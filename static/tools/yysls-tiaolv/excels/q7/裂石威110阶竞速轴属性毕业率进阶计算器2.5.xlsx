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<sst xmlns="http://schemas.openxmlformats.org/spreadsheetml/2006/main" count="4789" uniqueCount="241">
  <si>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</si>
  <si>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</si>
  <si>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</si>
  <si>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</si>
  <si>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</si>
  <si>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</si>
  <si>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</si>
  <si>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</si>
  <si>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</si>
  <si>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</si>
  <si>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</si>
  <si>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</si>
  <si>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</si>
  <si>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</si>
  <si>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</si>
  <si>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</si>
  <si>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</si>
  <si>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</si>
  <si>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</si>
  <si>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</si>
  <si>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</si>
  <si>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</si>
  <si>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</si>
  <si>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</si>
  <si>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</si>
  <si>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</si>
  <si>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</si>
  <si>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</si>
  <si>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</si>
  <si>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</si>
  <si>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</si>
  <si>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</si>
  <si>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</si>
  <si>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</si>
  <si>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</si>
  <si>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</si>
  <si>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</si>
  <si>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</si>
  <si>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</si>
  <si>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</si>
  <si>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</si>
  <si>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</si>
  <si>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</si>
  <si>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</si>
  <si>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</si>
  <si>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</si>
  <si>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</si>
  <si>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</si>
  <si>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</si>
  <si>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</si>
  <si>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</si>
  <si>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</si>
  <si>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</si>
  <si>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</si>
  <si>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</si>
  <si>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</si>
  <si>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</si>
  <si>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</si>
  <si>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</si>
  <si>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</si>
  <si>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</si>
  <si>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</si>
  <si>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</si>
  <si>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</si>
  <si>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</si>
  <si>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</si>
  <si>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</si>
  <si>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</si>
  <si>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</si>
  <si>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</si>
  <si>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</si>
  <si>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</si>
  <si>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</si>
  <si>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</si>
  <si>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</si>
  <si>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</si>
  <si>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</si>
  <si>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</si>
  <si>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</si>
  <si>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</si>
  <si>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</si>
  <si>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</si>
  <si>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</si>
  <si>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</si>
  <si>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</si>
  <si>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</si>
  <si>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</si>
  <si>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离猎(拐)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</si>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</sst>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G27" sqref="G27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>
        <v>1870.7</v>
      </c>
      <c r="C2" s="32">
        <v>6052.8</v>
      </c>
      <c r="D2" s="32">
        <f>58.4+IF($C$21="征人归",5.1,0)</f>
        <v>58.4</v>
      </c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558</v>
      </c>
      <c r="K2" s="39">
        <f>($L2*$BS2+$M2*$BQ2+$N2*$BT2+$O2*$BU2)</f>
        <v>21934.1740853974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24140.7380384317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27132.7271274744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13456.3757181894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6814.43504565692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79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1512.7</v>
      </c>
      <c r="AT2" cm="1">
        <f t="array" ref="AT2">$E$10*(1+$AR2)+VLOOKUP($Q2,武学奇术!$A:$ZZ,4,FALSE)+SUM(_xlfn.XLOOKUP($R2:$AK2,增益!$A:$A,增益!$D:$D,0))-$I$2</f>
        <v>5894.8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0.267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>$D$12*(1+$AW2)</f>
        <v>617</v>
      </c>
      <c r="BC2">
        <f>$E$12*(1+$AW2)</f>
        <v>1169.2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0.5984</v>
      </c>
      <c r="BT2" s="27">
        <f>1-BQ2-BS2-BU2</f>
        <v>0.2492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0.2037</v>
      </c>
      <c r="H3" s="46" t="s">
        <v>82</v>
      </c>
      <c r="I3" s="11">
        <f>25-IF(D17="√",10,0)-IF(F17="√",10,0)</f>
        <v>5</v>
      </c>
      <c r="K3" s="39">
        <f t="shared" ref="K3:K34" si="0">($L3*$BS3+$M3*$BQ3+$N3*$BT3+$O3*$BU3)</f>
        <v>23048.1735762059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25423.293656254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28365.9129232249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14092.7348427129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7173.68233488879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84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86</v>
      </c>
      <c r="AB3" s="41" t="s">
        <v>76</v>
      </c>
      <c r="AC3" s="41" t="s">
        <v>76</v>
      </c>
      <c r="AD3" s="41" t="s">
        <v>79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87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1512.7</v>
      </c>
      <c r="AT3" cm="1">
        <f t="array" ref="AT3">$E$10*(1+$AR3)+VLOOKUP($Q3,武学奇术!$A:$ZZ,4,FALSE)+SUM(_xlfn.XLOOKUP($R3:$AK3,增益!$A:$A,增益!$D:$D,0))-$I$2</f>
        <v>5894.8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0.287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3" cm="1">
        <f t="array" ref="BA3">$G$11+VLOOKUP($Q3,武学奇术!$A:$ZZ,10,FALSE)+SUM(_xlfn.XLOOKUP($R3:$AK3,增益!$A:$A,增益!$J:$J,0))</f>
        <v>0</v>
      </c>
      <c r="BB3">
        <f t="shared" ref="BB3:BB34" si="3">$D$12*(1+$AW3)</f>
        <v>617</v>
      </c>
      <c r="BC3">
        <f t="shared" ref="BC3:BC34" si="4">$E$12*(1+$AW3)</f>
        <v>1169.2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3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3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0.5984</v>
      </c>
      <c r="BT3" s="27">
        <f t="shared" ref="BT3:BT34" si="10">1-BQ3-BS3-BU3</f>
        <v>0.2492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>
        <v>537.8</v>
      </c>
      <c r="C4" s="52">
        <v>1076.8</v>
      </c>
      <c r="D4" s="52">
        <v>42</v>
      </c>
      <c r="E4" s="53">
        <v>0.15</v>
      </c>
      <c r="F4" s="46" t="s">
        <v>88</v>
      </c>
      <c r="G4" s="50">
        <f>B15+B17</f>
        <v>0.1704</v>
      </c>
      <c r="H4" s="54" t="s">
        <v>89</v>
      </c>
      <c r="I4" s="14">
        <f>30</f>
        <v>30</v>
      </c>
      <c r="K4" s="39">
        <f t="shared" si="0"/>
        <v>24071.7882523948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26794.5301643808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29110.4515539883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14452.2816420608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7341.26583672291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84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93</v>
      </c>
      <c r="AB4" s="41" t="s">
        <v>76</v>
      </c>
      <c r="AC4" s="41" t="s">
        <v>76</v>
      </c>
      <c r="AD4" s="41" t="s">
        <v>79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87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1512.7</v>
      </c>
      <c r="AT4" cm="1">
        <f t="array" ref="AT4">$E$10*(1+$AR4)+VLOOKUP($Q4,武学奇术!$A:$ZZ,4,FALSE)+SUM(_xlfn.XLOOKUP($R4:$AK4,增益!$A:$A,增益!$D:$D,0))-$I$2</f>
        <v>5894.8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0.317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3" cm="1">
        <f t="array" ref="BA4">$G$11+VLOOKUP($Q4,武学奇术!$A:$ZZ,10,FALSE)+SUM(_xlfn.XLOOKUP($R4:$AK4,增益!$A:$A,增益!$J:$J,0))</f>
        <v>0</v>
      </c>
      <c r="BB4">
        <f t="shared" si="3"/>
        <v>617</v>
      </c>
      <c r="BC4">
        <f t="shared" si="4"/>
        <v>1169.2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0.5984</v>
      </c>
      <c r="BT4" s="27">
        <f t="shared" si="10"/>
        <v>0.2492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0.0852</v>
      </c>
      <c r="H5" t="s">
        <v>96</v>
      </c>
      <c r="I5" s="29">
        <v>0.06</v>
      </c>
      <c r="K5" s="39">
        <f t="shared" si="0"/>
        <v>24490.3104214985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27308.1429867549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29516.1749723694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14650.2913019071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7436.74929094805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84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93</v>
      </c>
      <c r="AB5" s="41" t="s">
        <v>76</v>
      </c>
      <c r="AC5" s="41" t="s">
        <v>76</v>
      </c>
      <c r="AD5" s="41" t="s">
        <v>79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87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1512.7</v>
      </c>
      <c r="AT5" cm="1">
        <f t="array" ref="AT5">$E$10*(1+$AR5)+VLOOKUP($Q5,武学奇术!$A:$ZZ,4,FALSE)+SUM(_xlfn.XLOOKUP($R5:$AK5,增益!$A:$A,增益!$D:$D,0))-$I$2</f>
        <v>5894.8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0.327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3" cm="1">
        <f t="array" ref="BA5">$G$11+VLOOKUP($Q5,武学奇术!$A:$ZZ,10,FALSE)+SUM(_xlfn.XLOOKUP($R5:$AK5,增益!$A:$A,增益!$J:$J,0))</f>
        <v>0</v>
      </c>
      <c r="BB5">
        <f t="shared" si="3"/>
        <v>617</v>
      </c>
      <c r="BC5">
        <f t="shared" si="4"/>
        <v>1169.2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0.5984</v>
      </c>
      <c r="BT5" s="27">
        <f t="shared" si="10"/>
        <v>0.2492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25554.7388993333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28741.3608093154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30274.4452725979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15016.3849578451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7607.25489895096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84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86</v>
      </c>
      <c r="AB6" s="41" t="s">
        <v>76</v>
      </c>
      <c r="AC6" s="41" t="s">
        <v>76</v>
      </c>
      <c r="AD6" s="41" t="s">
        <v>79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87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1512.7</v>
      </c>
      <c r="AT6" cm="1">
        <f t="array" ref="AT6">$E$10*(1+$AR6)+VLOOKUP($Q6,武学奇术!$A:$ZZ,4,FALSE)+SUM(_xlfn.XLOOKUP($R6:$AK6,增益!$A:$A,增益!$D:$D,0))-$I$2</f>
        <v>5894.8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3" cm="1">
        <f t="array" ref="BA6">$G$11+VLOOKUP($Q6,武学奇术!$A:$ZZ,10,FALSE)+SUM(_xlfn.XLOOKUP($R6:$AK6,增益!$A:$A,增益!$J:$J,0))</f>
        <v>0</v>
      </c>
      <c r="BB6">
        <f t="shared" si="3"/>
        <v>617</v>
      </c>
      <c r="BC6">
        <f t="shared" si="4"/>
        <v>1169.2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0.5984</v>
      </c>
      <c r="BT6" s="27">
        <f t="shared" si="10"/>
        <v>0.2492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85" t="s">
        <v>104</v>
      </c>
      <c r="B7" s="88">
        <v>79.2</v>
      </c>
      <c r="C7" s="61">
        <v>92.4</v>
      </c>
      <c r="D7" s="62"/>
      <c r="E7" s="63"/>
      <c r="F7" s="54" t="s">
        <v>105</v>
      </c>
      <c r="G7" s="64">
        <f>B20</f>
        <v>0</v>
      </c>
      <c r="K7" s="39">
        <f t="shared" si="0"/>
        <v>274063.866772516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273747.246350988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283670.912996427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143774.814259973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77423.0263003702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79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87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0.8241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1512.7</v>
      </c>
      <c r="AT7" cm="1">
        <f t="array" ref="AT7">$E$10*(1+$AR7)+VLOOKUP($Q7,武学奇术!$A:$ZZ,4,FALSE)+SUM(_xlfn.XLOOKUP($R7:$AK7,增益!$A:$A,增益!$D:$D,0))-$I$2</f>
        <v>6094.8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0.277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617</v>
      </c>
      <c r="BC7">
        <f t="shared" si="4"/>
        <v>1169.2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0.8384</v>
      </c>
      <c r="BT7" s="27">
        <f t="shared" si="10"/>
        <v>0.00919999999999999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v>1.0116</v>
      </c>
      <c r="C8" s="37" t="s">
        <v>110</v>
      </c>
      <c r="D8" s="67"/>
      <c r="E8" s="67"/>
      <c r="F8" s="67"/>
      <c r="G8" s="38"/>
      <c r="H8" s="68" t="s">
        <v>111</v>
      </c>
      <c r="I8" s="18">
        <v>101.4</v>
      </c>
      <c r="J8" s="69"/>
      <c r="K8" s="39">
        <f t="shared" si="0"/>
        <v>8635.49790921543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9595.17200003252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10338.5890698699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5289.51047410833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2920.80682238712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84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86</v>
      </c>
      <c r="AB8" s="41" t="s">
        <v>76</v>
      </c>
      <c r="AC8" s="41" t="s">
        <v>76</v>
      </c>
      <c r="AD8" s="41" t="s">
        <v>79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87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1512.7</v>
      </c>
      <c r="AT8" cm="1">
        <f t="array" ref="AT8">$E$10*(1+$AR8)+VLOOKUP($Q8,武学奇术!$A:$ZZ,4,FALSE)+SUM(_xlfn.XLOOKUP($R8:$AK8,增益!$A:$A,增益!$D:$D,0))-$I$2</f>
        <v>5894.8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3" cm="1">
        <f t="array" ref="BA8">$G$11+VLOOKUP($Q8,武学奇术!$A:$ZZ,10,FALSE)+SUM(_xlfn.XLOOKUP($R8:$AK8,增益!$A:$A,增益!$J:$J,0))</f>
        <v>0</v>
      </c>
      <c r="BB8">
        <f t="shared" si="3"/>
        <v>617</v>
      </c>
      <c r="BC8">
        <f t="shared" si="4"/>
        <v>1169.2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0.5984</v>
      </c>
      <c r="BT8" s="27">
        <f t="shared" si="10"/>
        <v>0.2492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113</v>
      </c>
      <c r="B9" s="70">
        <v>0.5524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308753.538691454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308788.273868722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317461.949629916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161331.386556281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87505.7733866986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84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93</v>
      </c>
      <c r="AB9" s="41" t="s">
        <v>76</v>
      </c>
      <c r="AC9" s="41" t="s">
        <v>76</v>
      </c>
      <c r="AD9" s="41" t="s">
        <v>79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87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0.9941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1512.7</v>
      </c>
      <c r="AT9" cm="1">
        <f t="array" ref="AT9">$E$10*(1+$AR9)+VLOOKUP($Q9,武学奇术!$A:$ZZ,4,FALSE)+SUM(_xlfn.XLOOKUP($R9:$AK9,增益!$A:$A,增益!$D:$D,0))-$I$2</f>
        <v>6094.8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0.287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3" cm="1">
        <f t="array" ref="BA9">$G$11+VLOOKUP($Q9,武学奇术!$A:$ZZ,10,FALSE)+SUM(_xlfn.XLOOKUP($R9:$AK9,增益!$A:$A,增益!$J:$J,0))</f>
        <v>0</v>
      </c>
      <c r="BB9">
        <f t="shared" si="3"/>
        <v>617</v>
      </c>
      <c r="BC9">
        <f t="shared" si="4"/>
        <v>1169.2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0.8384</v>
      </c>
      <c r="BT9" s="27">
        <f t="shared" si="10"/>
        <v>0.00919999999999999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v>0.1524</v>
      </c>
      <c r="C10" s="46" t="s">
        <v>71</v>
      </c>
      <c r="D10">
        <f>B2+B23</f>
        <v>2070.7</v>
      </c>
      <c r="E10">
        <f>MAX(B2+B23,C2+B24)</f>
        <v>6452.8</v>
      </c>
      <c r="F10">
        <f>D2</f>
        <v>58.4</v>
      </c>
      <c r="G10" s="89">
        <f>E2</f>
        <v>0</v>
      </c>
      <c r="H10" s="68" t="s">
        <v>116</v>
      </c>
      <c r="I10" s="73">
        <f>SUM(K:K)</f>
        <v>14402332.46717</v>
      </c>
      <c r="J10" s="74"/>
      <c r="K10" s="39">
        <f t="shared" si="0"/>
        <v>184574.302871142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184585.812348419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189831.440087139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96439.8183638551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52263.7551816816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84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93</v>
      </c>
      <c r="AB10" s="41" t="s">
        <v>76</v>
      </c>
      <c r="AC10" s="41" t="s">
        <v>76</v>
      </c>
      <c r="AD10" s="41" t="s">
        <v>79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87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1512.7</v>
      </c>
      <c r="AT10" cm="1">
        <f t="array" ref="AT10">$E$10*(1+$AR10)+VLOOKUP($Q10,武学奇术!$A:$ZZ,4,FALSE)+SUM(_xlfn.XLOOKUP($R10:$AK10,增益!$A:$A,增益!$D:$D,0))-$I$2</f>
        <v>6094.8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617</v>
      </c>
      <c r="BC10">
        <f t="shared" si="4"/>
        <v>1169.2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0.8384</v>
      </c>
      <c r="BT10" s="27">
        <f t="shared" si="10"/>
        <v>0.00919999999999999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118</v>
      </c>
      <c r="B11" s="70">
        <f>4.6%+IF($C$21="易水歌",4.6%,0)</f>
        <v>0.046</v>
      </c>
      <c r="C11" s="46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89">
        <f>E3</f>
        <v>0</v>
      </c>
      <c r="H11" s="71"/>
      <c r="I11" s="75"/>
      <c r="J11" s="76"/>
      <c r="K11" s="39">
        <f t="shared" si="0"/>
        <v>325792.449632393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327110.69067395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328153.255688811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166553.304823803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90030.1239521908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84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93</v>
      </c>
      <c r="AB11" s="41" t="s">
        <v>76</v>
      </c>
      <c r="AC11" s="41" t="s">
        <v>76</v>
      </c>
      <c r="AD11" s="41" t="s">
        <v>79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87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1512.7</v>
      </c>
      <c r="AT11" cm="1">
        <f t="array" ref="AT11">$E$10*(1+$AR11)+VLOOKUP($Q11,武学奇术!$A:$ZZ,4,FALSE)+SUM(_xlfn.XLOOKUP($R11:$AK11,增益!$A:$A,增益!$D:$D,0))-$I$2</f>
        <v>6094.8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0.327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617</v>
      </c>
      <c r="BC11">
        <f t="shared" si="4"/>
        <v>1169.2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0.8384</v>
      </c>
      <c r="BT11" s="27">
        <f t="shared" si="10"/>
        <v>0.00919999999999999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v>0</v>
      </c>
      <c r="C12" s="46" t="s">
        <v>5</v>
      </c>
      <c r="D12">
        <f>B4+IF($G$1=$C12,$B$7,0)</f>
        <v>617</v>
      </c>
      <c r="E12">
        <f>MAX(B4,C4)+IF($G$1=$C12,$C$7,0)</f>
        <v>1169.2</v>
      </c>
      <c r="F12">
        <f>D4</f>
        <v>42</v>
      </c>
      <c r="G12" s="89">
        <f>E4</f>
        <v>0.15</v>
      </c>
      <c r="H12" s="68" t="s">
        <v>120</v>
      </c>
      <c r="I12" s="39">
        <f>I10/I8</f>
        <v>142034.836954339</v>
      </c>
      <c r="J12" s="77"/>
      <c r="K12" s="39">
        <f t="shared" si="0"/>
        <v>198300.755412211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199559.699457285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197304.242514666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100080.089998639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54008.8892456726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84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86</v>
      </c>
      <c r="AB12" s="41" t="s">
        <v>76</v>
      </c>
      <c r="AC12" s="41" t="s">
        <v>76</v>
      </c>
      <c r="AD12" s="41" t="s">
        <v>79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87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1.0241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1512.7</v>
      </c>
      <c r="AT12" cm="1">
        <f t="array" ref="AT12">$E$10*(1+$AR12)+VLOOKUP($Q12,武学奇术!$A:$ZZ,4,FALSE)+SUM(_xlfn.XLOOKUP($R12:$AK12,增益!$A:$A,增益!$D:$D,0))-$I$2</f>
        <v>6094.8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0.347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617</v>
      </c>
      <c r="BC12">
        <f t="shared" si="4"/>
        <v>1169.2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0.8384</v>
      </c>
      <c r="BT12" s="27">
        <f t="shared" si="10"/>
        <v>0.00919999999999999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122</v>
      </c>
      <c r="B13" s="70">
        <f>54.4%+IF(G2="时雨",10%,0)</f>
        <v>0.644</v>
      </c>
      <c r="C13" s="46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9">
        <f>E5</f>
        <v>0</v>
      </c>
      <c r="H13" s="71"/>
      <c r="I13" s="78"/>
      <c r="J13" s="76"/>
      <c r="K13" s="39">
        <f t="shared" si="0"/>
        <v>339900.484698018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342574.420453522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335440.961105777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170096.534485363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91718.2829664469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84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86</v>
      </c>
      <c r="AB13" s="41" t="s">
        <v>76</v>
      </c>
      <c r="AC13" s="41" t="s">
        <v>76</v>
      </c>
      <c r="AD13" s="41" t="s">
        <v>79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87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1512.7</v>
      </c>
      <c r="AT13" cm="1">
        <f t="array" ref="AT13">$E$10*(1+$AR13)+VLOOKUP($Q13,武学奇术!$A:$ZZ,4,FALSE)+SUM(_xlfn.XLOOKUP($R13:$AK13,增益!$A:$A,增益!$D:$D,0))-$I$2</f>
        <v>6094.8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0.357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617</v>
      </c>
      <c r="BC13">
        <f t="shared" si="4"/>
        <v>1169.2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0.8384</v>
      </c>
      <c r="BT13" s="27">
        <f t="shared" si="10"/>
        <v>0.00919999999999999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123</v>
      </c>
      <c r="B14" s="70">
        <v>0.35</v>
      </c>
      <c r="C14" s="54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0">
        <f>E6</f>
        <v>0</v>
      </c>
      <c r="H14" s="37" t="s">
        <v>124</v>
      </c>
      <c r="I14" s="73">
        <f>RD!I14</f>
        <v>147831.644053045</v>
      </c>
      <c r="J14" s="74"/>
      <c r="K14" s="39">
        <f t="shared" si="0"/>
        <v>192767.599520905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192705.419275831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198668.643421571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100682.037239201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54202.1163883498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84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86</v>
      </c>
      <c r="AB14" s="41" t="s">
        <v>76</v>
      </c>
      <c r="AC14" s="41" t="s">
        <v>76</v>
      </c>
      <c r="AD14" s="41" t="s">
        <v>79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87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1512.7</v>
      </c>
      <c r="AT14" cm="1">
        <f t="array" ref="AT14">$E$10*(1+$AR14)+VLOOKUP($Q14,武学奇术!$A:$ZZ,4,FALSE)+SUM(_xlfn.XLOOKUP($R14:$AK14,增益!$A:$A,增益!$D:$D,0))-$I$2</f>
        <v>6094.8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0.377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617</v>
      </c>
      <c r="BC14">
        <f t="shared" si="4"/>
        <v>1169.2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0.8384</v>
      </c>
      <c r="BT14" s="27">
        <f t="shared" si="10"/>
        <v>0.00919999999999999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spans="1:74">
      <c r="A15" s="42" t="s">
        <v>127</v>
      </c>
      <c r="B15" s="70">
        <v>0.0852</v>
      </c>
      <c r="C15" s="40" t="s">
        <v>128</v>
      </c>
      <c r="D15" s="40"/>
      <c r="F15" s="79"/>
      <c r="H15" s="80"/>
      <c r="I15" s="75"/>
      <c r="J15" s="76"/>
      <c r="K15" s="39">
        <f t="shared" si="0"/>
        <v>318185.972949926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317295.408137853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332126.490861167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168415.821729221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90812.0205983184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84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86</v>
      </c>
      <c r="AB15" s="41" t="s">
        <v>76</v>
      </c>
      <c r="AC15" s="41" t="s">
        <v>76</v>
      </c>
      <c r="AD15" s="41" t="s">
        <v>79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87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1.0041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1512.7</v>
      </c>
      <c r="AT15" cm="1">
        <f t="array" ref="AT15">$E$10*(1+$AR15)+VLOOKUP($Q15,武学奇术!$A:$ZZ,4,FALSE)+SUM(_xlfn.XLOOKUP($R15:$AK15,增益!$A:$A,增益!$D:$D,0))-$I$2</f>
        <v>6094.8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0.357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617</v>
      </c>
      <c r="BC15">
        <f t="shared" si="4"/>
        <v>1169.2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0.8384</v>
      </c>
      <c r="BT15" s="27">
        <f t="shared" si="10"/>
        <v>0.00919999999999999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v>0.0887</v>
      </c>
      <c r="C16" s="40"/>
      <c r="D16" s="40"/>
      <c r="E16" s="40" t="s">
        <v>131</v>
      </c>
      <c r="F16" s="79" t="s">
        <v>132</v>
      </c>
      <c r="H16" s="68" t="s">
        <v>133</v>
      </c>
      <c r="I16" s="81">
        <f>I12/142034.84</f>
        <v>0.999999978556943</v>
      </c>
      <c r="J16" s="82"/>
      <c r="K16" s="39">
        <f t="shared" si="0"/>
        <v>194010.977736814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194493.736770301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197058.371255363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99536.2010083423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53103.2381238231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86</v>
      </c>
      <c r="AB16" s="41" t="s">
        <v>76</v>
      </c>
      <c r="AC16" s="41" t="s">
        <v>76</v>
      </c>
      <c r="AD16" s="41" t="s">
        <v>79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87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1.0041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1512.7</v>
      </c>
      <c r="AT16" cm="1">
        <f t="array" ref="AT16">$E$10*(1+$AR16)+VLOOKUP($Q16,武学奇术!$A:$ZZ,4,FALSE)+SUM(_xlfn.XLOOKUP($R16:$AK16,增益!$A:$A,增益!$D:$D,0))-$I$2</f>
        <v>6094.8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0.392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617</v>
      </c>
      <c r="BC16">
        <f t="shared" si="4"/>
        <v>1169.2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0.8384</v>
      </c>
      <c r="BT16" s="27">
        <f t="shared" si="10"/>
        <v>0.00919999999999999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spans="1:74">
      <c r="A17" s="42" t="s">
        <v>135</v>
      </c>
      <c r="B17" s="70">
        <v>0.0852</v>
      </c>
      <c r="C17" s="40" t="s">
        <v>136</v>
      </c>
      <c r="D17" s="79" t="s">
        <v>132</v>
      </c>
      <c r="E17" s="40" t="s">
        <v>137</v>
      </c>
      <c r="F17" s="79" t="s">
        <v>132</v>
      </c>
      <c r="H17" s="71"/>
      <c r="I17" s="83"/>
      <c r="J17" s="84"/>
      <c r="K17" s="39">
        <f t="shared" si="0"/>
        <v>292626.302612765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292412.150623083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302246.861430627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152775.418298371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81664.2725740563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86</v>
      </c>
      <c r="AB17" s="41" t="s">
        <v>76</v>
      </c>
      <c r="AC17" s="41" t="s">
        <v>76</v>
      </c>
      <c r="AD17" s="41" t="s">
        <v>79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87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1512.7</v>
      </c>
      <c r="AT17" cm="1">
        <f t="array" ref="AT17">$E$10*(1+$AR17)+VLOOKUP($Q17,武学奇术!$A:$ZZ,4,FALSE)+SUM(_xlfn.XLOOKUP($R17:$AK17,增益!$A:$A,增益!$D:$D,0))-$I$2</f>
        <v>6094.8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0.367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617</v>
      </c>
      <c r="BC17">
        <f t="shared" si="4"/>
        <v>1169.2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0.8384</v>
      </c>
      <c r="BT17" s="27">
        <f t="shared" si="10"/>
        <v>0.00919999999999999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v>0</v>
      </c>
      <c r="C18" s="40" t="s">
        <v>141</v>
      </c>
      <c r="D18" s="79" t="s">
        <v>132</v>
      </c>
      <c r="E18" s="40" t="s">
        <v>142</v>
      </c>
      <c r="F18" s="79" t="s">
        <v>132</v>
      </c>
      <c r="K18" s="39">
        <f t="shared" si="0"/>
        <v>179289.73939358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179881.965501176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181325.953012332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91589.5954690304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48863.6701881853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86</v>
      </c>
      <c r="AB18" s="41" t="s">
        <v>76</v>
      </c>
      <c r="AC18" s="41" t="s">
        <v>76</v>
      </c>
      <c r="AD18" s="41" t="s">
        <v>79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87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1512.7</v>
      </c>
      <c r="AT18" cm="1">
        <f t="array" ref="AT18">$E$10*(1+$AR18)+VLOOKUP($Q18,武学奇术!$A:$ZZ,4,FALSE)+SUM(_xlfn.XLOOKUP($R18:$AK18,增益!$A:$A,增益!$D:$D,0))-$I$2</f>
        <v>6094.8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0.392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617</v>
      </c>
      <c r="BC18">
        <f t="shared" si="4"/>
        <v>1169.2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0.8384</v>
      </c>
      <c r="BT18" s="27">
        <f t="shared" si="10"/>
        <v>0.00919999999999999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v>0</v>
      </c>
      <c r="C19" s="40" t="s">
        <v>144</v>
      </c>
      <c r="D19" s="79" t="s">
        <v>132</v>
      </c>
      <c r="E19" t="s">
        <v>145</v>
      </c>
      <c r="F19" s="79" t="s">
        <v>132</v>
      </c>
      <c r="K19" s="39">
        <f t="shared" si="0"/>
        <v>9062.83525245691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10078.2717290331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10860.0766161251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5525.3682724962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3006.23534786268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86</v>
      </c>
      <c r="AB19" s="41" t="s">
        <v>76</v>
      </c>
      <c r="AC19" s="41" t="s">
        <v>76</v>
      </c>
      <c r="AD19" s="41" t="s">
        <v>79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87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1512.7</v>
      </c>
      <c r="AT19" cm="1">
        <f t="array" ref="AT19">$E$10*(1+$AR19)+VLOOKUP($Q19,武学奇术!$A:$ZZ,4,FALSE)+SUM(_xlfn.XLOOKUP($R19:$AK19,增益!$A:$A,增益!$D:$D,0))-$I$2</f>
        <v>5894.8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0.367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617</v>
      </c>
      <c r="BC19">
        <f t="shared" si="4"/>
        <v>1169.2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0.5984</v>
      </c>
      <c r="BT19" s="27">
        <f t="shared" si="10"/>
        <v>0.2492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v>0</v>
      </c>
      <c r="C20" s="40" t="s">
        <v>148</v>
      </c>
      <c r="D20" s="79" t="s">
        <v>132</v>
      </c>
      <c r="K20" s="39">
        <f t="shared" si="0"/>
        <v>326992.438409639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327450.000264307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333993.99587044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169312.306238008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91221.6525719853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84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93</v>
      </c>
      <c r="AB20" s="41" t="s">
        <v>76</v>
      </c>
      <c r="AC20" s="41" t="s">
        <v>76</v>
      </c>
      <c r="AD20" s="41" t="s">
        <v>79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87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1.0041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1512.7</v>
      </c>
      <c r="AT20" cm="1">
        <f t="array" ref="AT20">$E$10*(1+$AR20)+VLOOKUP($Q20,武学奇术!$A:$ZZ,4,FALSE)+SUM(_xlfn.XLOOKUP($R20:$AK20,增益!$A:$A,增益!$D:$D,0))-$I$2</f>
        <v>6094.8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0.367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617</v>
      </c>
      <c r="BC20">
        <f t="shared" si="4"/>
        <v>1169.2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0.8384</v>
      </c>
      <c r="BT20" s="27">
        <f t="shared" si="10"/>
        <v>0.00919999999999999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150</v>
      </c>
      <c r="B21" s="91">
        <v>0.32</v>
      </c>
      <c r="C21" s="40" t="s">
        <v>151</v>
      </c>
      <c r="D21" s="79" t="s">
        <v>152</v>
      </c>
      <c r="F21" s="40"/>
      <c r="K21" s="39">
        <f t="shared" si="0"/>
        <v>200259.351420734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201331.267304204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200325.619046777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101477.453278329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54565.5591146001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84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93</v>
      </c>
      <c r="AB21" s="41" t="s">
        <v>76</v>
      </c>
      <c r="AC21" s="41" t="s">
        <v>76</v>
      </c>
      <c r="AD21" s="41" t="s">
        <v>79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87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1.0041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1512.7</v>
      </c>
      <c r="AT21" cm="1">
        <f t="array" ref="AT21">$E$10*(1+$AR21)+VLOOKUP($Q21,武学奇术!$A:$ZZ,4,FALSE)+SUM(_xlfn.XLOOKUP($R21:$AK21,增益!$A:$A,增益!$D:$D,0))-$I$2</f>
        <v>6094.8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0.392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617</v>
      </c>
      <c r="BC21">
        <f t="shared" si="4"/>
        <v>1169.2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0.8384</v>
      </c>
      <c r="BT21" s="27">
        <f t="shared" si="10"/>
        <v>0.00919999999999999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v>0.5</v>
      </c>
      <c r="C22" s="40" t="s">
        <v>154</v>
      </c>
      <c r="D22" s="79" t="s">
        <v>152</v>
      </c>
      <c r="K22" s="39">
        <f t="shared" si="0"/>
        <v>328411.952785139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329143.123326687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333993.99587044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169312.306238008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91221.6525719853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84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93</v>
      </c>
      <c r="AB22" s="41" t="s">
        <v>76</v>
      </c>
      <c r="AC22" s="41" t="s">
        <v>76</v>
      </c>
      <c r="AD22" s="41" t="s">
        <v>79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87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1.0041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1512.7</v>
      </c>
      <c r="AT22" cm="1">
        <f t="array" ref="AT22">$E$10*(1+$AR22)+VLOOKUP($Q22,武学奇术!$A:$ZZ,4,FALSE)+SUM(_xlfn.XLOOKUP($R22:$AK22,增益!$A:$A,增益!$D:$D,0))-$I$2</f>
        <v>6094.8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0.367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617</v>
      </c>
      <c r="BC22">
        <f t="shared" si="4"/>
        <v>1169.2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0.8384</v>
      </c>
      <c r="BT22" s="27">
        <f t="shared" si="10"/>
        <v>0.00919999999999999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>
        <v>200</v>
      </c>
      <c r="K23" s="39">
        <f t="shared" si="0"/>
        <v>201110.13838902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202346.041836987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200325.619046777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101477.453278329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54565.5591146001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84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93</v>
      </c>
      <c r="AB23" s="41" t="s">
        <v>76</v>
      </c>
      <c r="AC23" s="41" t="s">
        <v>76</v>
      </c>
      <c r="AD23" s="41" t="s">
        <v>79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87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1.0041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1512.7</v>
      </c>
      <c r="AT23" cm="1">
        <f t="array" ref="AT23">$E$10*(1+$AR23)+VLOOKUP($Q23,武学奇术!$A:$ZZ,4,FALSE)+SUM(_xlfn.XLOOKUP($R23:$AK23,增益!$A:$A,增益!$D:$D,0))-$I$2</f>
        <v>6094.8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0.392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617</v>
      </c>
      <c r="BC23">
        <f t="shared" si="4"/>
        <v>1169.2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0.8384</v>
      </c>
      <c r="BT23" s="27">
        <f t="shared" si="10"/>
        <v>0.00919999999999999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>
        <v>400</v>
      </c>
      <c r="K24" s="39">
        <f t="shared" si="0"/>
        <v>328411.952785139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329143.123326687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333993.99587044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169312.306238008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91221.6525719853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84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86</v>
      </c>
      <c r="AB24" s="41" t="s">
        <v>76</v>
      </c>
      <c r="AC24" s="41" t="s">
        <v>76</v>
      </c>
      <c r="AD24" s="41" t="s">
        <v>79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87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1.0041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1512.7</v>
      </c>
      <c r="AT24" cm="1">
        <f t="array" ref="AT24">$E$10*(1+$AR24)+VLOOKUP($Q24,武学奇术!$A:$ZZ,4,FALSE)+SUM(_xlfn.XLOOKUP($R24:$AK24,增益!$A:$A,增益!$D:$D,0))-$I$2</f>
        <v>6094.8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617</v>
      </c>
      <c r="BC24">
        <f t="shared" si="4"/>
        <v>1169.2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0.8384</v>
      </c>
      <c r="BT24" s="27">
        <f t="shared" si="10"/>
        <v>0.00919999999999999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201110.13838902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202346.041836987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200325.619046777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101477.453278329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54565.5591146001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84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86</v>
      </c>
      <c r="AB25" s="41" t="s">
        <v>76</v>
      </c>
      <c r="AC25" s="41" t="s">
        <v>76</v>
      </c>
      <c r="AD25" s="41" t="s">
        <v>79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87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1.0041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1512.7</v>
      </c>
      <c r="AT25" cm="1">
        <f t="array" ref="AT25">$E$10*(1+$AR25)+VLOOKUP($Q25,武学奇术!$A:$ZZ,4,FALSE)+SUM(_xlfn.XLOOKUP($R25:$AK25,增益!$A:$A,增益!$D:$D,0))-$I$2</f>
        <v>6094.8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0.392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617</v>
      </c>
      <c r="BC25">
        <f t="shared" si="4"/>
        <v>1169.2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0.8384</v>
      </c>
      <c r="BT25" s="27">
        <f t="shared" si="10"/>
        <v>0.00919999999999999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349704.668417631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354539.969262388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333993.99587044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169312.306238008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91221.6525719853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84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86</v>
      </c>
      <c r="AB26" s="41" t="s">
        <v>76</v>
      </c>
      <c r="AC26" s="41" t="s">
        <v>76</v>
      </c>
      <c r="AD26" s="41" t="s">
        <v>79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87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1.0041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1512.7</v>
      </c>
      <c r="AT26" cm="1">
        <f t="array" ref="AT26">$E$10*(1+$AR26)+VLOOKUP($Q26,武学奇术!$A:$ZZ,4,FALSE)+SUM(_xlfn.XLOOKUP($R26:$AK26,增益!$A:$A,增益!$D:$D,0))-$I$2</f>
        <v>6094.8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0.367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617</v>
      </c>
      <c r="BC26">
        <f t="shared" si="4"/>
        <v>1169.2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0.8384</v>
      </c>
      <c r="BT26" s="27">
        <f t="shared" si="10"/>
        <v>0.00919999999999999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209866.696412639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213405.614961886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197058.371255363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99536.2010083423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53103.2381238231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86</v>
      </c>
      <c r="AB27" s="41" t="s">
        <v>76</v>
      </c>
      <c r="AC27" s="41" t="s">
        <v>76</v>
      </c>
      <c r="AD27" s="41" t="s">
        <v>79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87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1.0041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1512.7</v>
      </c>
      <c r="AT27" cm="1">
        <f t="array" ref="AT27">$E$10*(1+$AR27)+VLOOKUP($Q27,武学奇术!$A:$ZZ,4,FALSE)+SUM(_xlfn.XLOOKUP($R27:$AK27,增益!$A:$A,增益!$D:$D,0))-$I$2</f>
        <v>6094.8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0.392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617</v>
      </c>
      <c r="BC27">
        <f t="shared" si="4"/>
        <v>1169.2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0.8384</v>
      </c>
      <c r="BT27" s="27">
        <f t="shared" si="10"/>
        <v>0.00919999999999999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9624.9199160814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11017.5843353574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10860.0766161251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5525.3682724962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3006.23534786268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86</v>
      </c>
      <c r="AB28" s="41" t="s">
        <v>76</v>
      </c>
      <c r="AC28" s="41" t="s">
        <v>76</v>
      </c>
      <c r="AD28" s="41" t="s">
        <v>79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87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1512.7</v>
      </c>
      <c r="AT28" cm="1">
        <f t="array" ref="AT28">$E$10*(1+$AR28)+VLOOKUP($Q28,武学奇术!$A:$ZZ,4,FALSE)+SUM(_xlfn.XLOOKUP($R28:$AK28,增益!$A:$A,增益!$D:$D,0))-$I$2</f>
        <v>5894.8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0.367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617</v>
      </c>
      <c r="BC28">
        <f t="shared" si="4"/>
        <v>1169.2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0.5984</v>
      </c>
      <c r="BT28" s="27">
        <f t="shared" si="10"/>
        <v>0.2492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A29" s="4" t="s">
        <v>157</v>
      </c>
      <c r="B29" s="4">
        <v>1.2</v>
      </c>
      <c r="C29" s="40" t="s">
        <v>158</v>
      </c>
      <c r="I29">
        <v>1</v>
      </c>
      <c r="K29" s="39">
        <f t="shared" si="0"/>
        <v>322191.498507858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322763.682846957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328470.763512347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166030.701052961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88749.7254301102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86</v>
      </c>
      <c r="AB29" s="41" t="s">
        <v>76</v>
      </c>
      <c r="AC29" s="41" t="s">
        <v>76</v>
      </c>
      <c r="AD29" s="41" t="s">
        <v>79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87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1.0041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1512.7</v>
      </c>
      <c r="AT29" cm="1">
        <f t="array" ref="AT29">$E$10*(1+$AR29)+VLOOKUP($Q29,武学奇术!$A:$ZZ,4,FALSE)+SUM(_xlfn.XLOOKUP($R29:$AK29,增益!$A:$A,增益!$D:$D,0))-$I$2</f>
        <v>6094.8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0.367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617</v>
      </c>
      <c r="BC29">
        <f t="shared" si="4"/>
        <v>1169.2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0.8384</v>
      </c>
      <c r="BT29" s="27">
        <f t="shared" si="10"/>
        <v>0.00919999999999999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A30" s="4" t="s">
        <v>159</v>
      </c>
      <c r="B30" s="4">
        <v>1.3</v>
      </c>
      <c r="C30" s="40"/>
      <c r="I30">
        <v>21</v>
      </c>
      <c r="K30" s="39">
        <f t="shared" si="0"/>
        <v>237346.199360014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238804.788113922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236420.325181332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119761.679094244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64397.191387501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84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161</v>
      </c>
      <c r="AA30" s="41" t="s">
        <v>86</v>
      </c>
      <c r="AB30" s="41" t="s">
        <v>76</v>
      </c>
      <c r="AC30" s="41" t="s">
        <v>76</v>
      </c>
      <c r="AD30" s="41" t="s">
        <v>79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87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1.0041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1512.7</v>
      </c>
      <c r="AT30" cm="1">
        <f t="array" ref="AT30">$E$10*(1+$AR30)+VLOOKUP($Q30,武学奇术!$A:$ZZ,4,FALSE)+SUM(_xlfn.XLOOKUP($R30:$AK30,增益!$A:$A,增益!$D:$D,0))-$I$2</f>
        <v>6094.8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0.392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3" cm="1">
        <f t="array" ref="BA30">$G$11+VLOOKUP($Q30,武学奇术!$A:$ZZ,10,FALSE)+SUM(_xlfn.XLOOKUP($R30:$AK30,增益!$A:$A,增益!$J:$J,0))</f>
        <v>0.1</v>
      </c>
      <c r="BB30">
        <f t="shared" si="3"/>
        <v>617</v>
      </c>
      <c r="BC30">
        <f t="shared" si="4"/>
        <v>1169.2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0.8384</v>
      </c>
      <c r="BT30" s="27">
        <f t="shared" si="10"/>
        <v>0.00919999999999999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0.31</v>
      </c>
    </row>
    <row r="31" spans="1:74">
      <c r="A31" s="4" t="s">
        <v>162</v>
      </c>
      <c r="B31" s="4">
        <v>2.4</v>
      </c>
      <c r="C31" s="40"/>
      <c r="I31">
        <v>41</v>
      </c>
      <c r="K31" s="39">
        <f t="shared" si="0"/>
        <v>237346.199360014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238804.788113922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236420.325181332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119761.679094244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64397.191387501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84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161</v>
      </c>
      <c r="AA31" s="41" t="s">
        <v>86</v>
      </c>
      <c r="AB31" s="41" t="s">
        <v>76</v>
      </c>
      <c r="AC31" s="41" t="s">
        <v>76</v>
      </c>
      <c r="AD31" s="41" t="s">
        <v>79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87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1.0041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1512.7</v>
      </c>
      <c r="AT31" cm="1">
        <f t="array" ref="AT31">$E$10*(1+$AR31)+VLOOKUP($Q31,武学奇术!$A:$ZZ,4,FALSE)+SUM(_xlfn.XLOOKUP($R31:$AK31,增益!$A:$A,增益!$D:$D,0))-$I$2</f>
        <v>6094.8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0.392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3" cm="1">
        <f t="array" ref="BA31">$G$11+VLOOKUP($Q31,武学奇术!$A:$ZZ,10,FALSE)+SUM(_xlfn.XLOOKUP($R31:$AK31,增益!$A:$A,增益!$J:$J,0))</f>
        <v>0.1</v>
      </c>
      <c r="BB31">
        <f t="shared" si="3"/>
        <v>617</v>
      </c>
      <c r="BC31">
        <f t="shared" si="4"/>
        <v>1169.2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0.8384</v>
      </c>
      <c r="BT31" s="27">
        <f t="shared" si="10"/>
        <v>0.00919999999999999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1.26</v>
      </c>
      <c r="C32" s="40"/>
      <c r="D32" s="40" t="s">
        <v>159</v>
      </c>
      <c r="I32">
        <v>73</v>
      </c>
      <c r="K32" s="39">
        <f t="shared" si="0"/>
        <v>237346.199360014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238804.788113922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236420.325181332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119761.679094244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64397.191387501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84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161</v>
      </c>
      <c r="AA32" s="41" t="s">
        <v>93</v>
      </c>
      <c r="AB32" s="41" t="s">
        <v>76</v>
      </c>
      <c r="AC32" s="41" t="s">
        <v>76</v>
      </c>
      <c r="AD32" s="41" t="s">
        <v>79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87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1.0041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1512.7</v>
      </c>
      <c r="AT32" cm="1">
        <f t="array" ref="AT32">$E$10*(1+$AR32)+VLOOKUP($Q32,武学奇术!$A:$ZZ,4,FALSE)+SUM(_xlfn.XLOOKUP($R32:$AK32,增益!$A:$A,增益!$D:$D,0))-$I$2</f>
        <v>6094.8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0.392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3" cm="1">
        <f t="array" ref="BA32">$G$11+VLOOKUP($Q32,武学奇术!$A:$ZZ,10,FALSE)+SUM(_xlfn.XLOOKUP($R32:$AK32,增益!$A:$A,增益!$J:$J,0))</f>
        <v>0.1</v>
      </c>
      <c r="BB32">
        <f t="shared" si="3"/>
        <v>617</v>
      </c>
      <c r="BC32">
        <f t="shared" si="4"/>
        <v>1169.2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0.8384</v>
      </c>
      <c r="BT32" s="27">
        <f t="shared" si="10"/>
        <v>0.00919999999999999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0.31</v>
      </c>
    </row>
    <row r="33" spans="1:74">
      <c r="A33" s="4" t="s">
        <v>164</v>
      </c>
      <c r="B33" s="4">
        <v>1</v>
      </c>
      <c r="C33" s="40"/>
      <c r="D33" s="40"/>
      <c r="E33" s="40" t="s">
        <v>165</v>
      </c>
      <c r="I33">
        <v>121</v>
      </c>
      <c r="K33" s="39">
        <f t="shared" si="0"/>
        <v>387585.27761129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388448.190592756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394173.094225475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199819.028082694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107657.986368739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84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161</v>
      </c>
      <c r="AA33" s="41" t="s">
        <v>93</v>
      </c>
      <c r="AB33" s="41" t="s">
        <v>76</v>
      </c>
      <c r="AC33" s="41" t="s">
        <v>76</v>
      </c>
      <c r="AD33" s="41" t="s">
        <v>79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87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1.0041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1512.7</v>
      </c>
      <c r="AT33" cm="1">
        <f t="array" ref="AT33">$E$10*(1+$AR33)+VLOOKUP($Q33,武学奇术!$A:$ZZ,4,FALSE)+SUM(_xlfn.XLOOKUP($R33:$AK33,增益!$A:$A,增益!$D:$D,0))-$I$2</f>
        <v>6094.8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3" cm="1">
        <f t="array" ref="BA33">$G$11+VLOOKUP($Q33,武学奇术!$A:$ZZ,10,FALSE)+SUM(_xlfn.XLOOKUP($R33:$AK33,增益!$A:$A,增益!$J:$J,0))</f>
        <v>0.1</v>
      </c>
      <c r="BB33">
        <f t="shared" si="3"/>
        <v>617</v>
      </c>
      <c r="BC33">
        <f t="shared" si="4"/>
        <v>1169.2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0.8384</v>
      </c>
      <c r="BT33" s="27">
        <f t="shared" si="10"/>
        <v>0.00919999999999999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0"/>
      <c r="D34" s="40"/>
      <c r="E34" s="40"/>
      <c r="I34">
        <v>141</v>
      </c>
      <c r="K34" s="39">
        <f t="shared" si="0"/>
        <v>237346.199360014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238804.788113922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236420.325181332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119761.679094244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64397.191387501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84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161</v>
      </c>
      <c r="AA34" s="41" t="s">
        <v>93</v>
      </c>
      <c r="AB34" s="41" t="s">
        <v>76</v>
      </c>
      <c r="AC34" s="41" t="s">
        <v>76</v>
      </c>
      <c r="AD34" s="41" t="s">
        <v>79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87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1.0041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1512.7</v>
      </c>
      <c r="AT34" cm="1">
        <f t="array" ref="AT34">$E$10*(1+$AR34)+VLOOKUP($Q34,武学奇术!$A:$ZZ,4,FALSE)+SUM(_xlfn.XLOOKUP($R34:$AK34,增益!$A:$A,增益!$D:$D,0))-$I$2</f>
        <v>6094.8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0.392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3" cm="1">
        <f t="array" ref="BA34">$G$11+VLOOKUP($Q34,武学奇术!$A:$ZZ,10,FALSE)+SUM(_xlfn.XLOOKUP($R34:$AK34,增益!$A:$A,增益!$J:$J,0))</f>
        <v>0.1</v>
      </c>
      <c r="BB34">
        <f t="shared" si="3"/>
        <v>617</v>
      </c>
      <c r="BC34">
        <f t="shared" si="4"/>
        <v>1169.2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0.8384</v>
      </c>
      <c r="BT34" s="27">
        <f t="shared" si="10"/>
        <v>0.00919999999999999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1.66</v>
      </c>
      <c r="C35" s="40"/>
      <c r="D35" s="40"/>
      <c r="E35" s="40"/>
      <c r="F35" s="40" t="s">
        <v>166</v>
      </c>
      <c r="K35" s="39">
        <f t="shared" ref="K35:K60" si="11">($L35*$BS35+$M35*$BQ35+$N35*$BT35+$O35*$BU35)</f>
        <v>224791.160323588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249533.982977542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273935.390141387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135322.116582181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67729.1293559271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84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161</v>
      </c>
      <c r="AA35" s="41" t="s">
        <v>93</v>
      </c>
      <c r="AB35" s="41" t="s">
        <v>76</v>
      </c>
      <c r="AC35" s="41" t="s">
        <v>76</v>
      </c>
      <c r="AD35" s="41" t="s">
        <v>79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87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0.4137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1512.7</v>
      </c>
      <c r="AT35" cm="1">
        <f t="array" ref="AT35">$E$10*(1+$AR35)+VLOOKUP($Q35,武学奇术!$A:$ZZ,4,FALSE)+SUM(_xlfn.XLOOKUP($R35:$AK35,增益!$A:$A,增益!$D:$D,0))-$I$2</f>
        <v>5894.8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3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617</v>
      </c>
      <c r="BC35">
        <f t="shared" ref="BC35:BC66" si="15">$E$12*(1+$AW35)</f>
        <v>1169.2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3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3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0.5984</v>
      </c>
      <c r="BT35" s="27">
        <f t="shared" ref="BT35:BT66" si="21">1-BQ35-BS35-BU35</f>
        <v>0.2492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0.31</v>
      </c>
    </row>
    <row r="36" spans="1:74">
      <c r="A36" s="4" t="s">
        <v>168</v>
      </c>
      <c r="B36" s="4">
        <v>1.33</v>
      </c>
      <c r="C36" s="40"/>
      <c r="D36" s="40"/>
      <c r="E36" s="40"/>
      <c r="F36" s="40"/>
      <c r="K36" s="39">
        <f t="shared" si="11"/>
        <v>387585.27761129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388448.190592756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394173.094225475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199819.028082694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107657.986368739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84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161</v>
      </c>
      <c r="AA36" s="41" t="s">
        <v>86</v>
      </c>
      <c r="AB36" s="41" t="s">
        <v>76</v>
      </c>
      <c r="AC36" s="41" t="s">
        <v>76</v>
      </c>
      <c r="AD36" s="41" t="s">
        <v>79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87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1.0041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1512.7</v>
      </c>
      <c r="AT36" cm="1">
        <f t="array" ref="AT36">$E$10*(1+$AR36)+VLOOKUP($Q36,武学奇术!$A:$ZZ,4,FALSE)+SUM(_xlfn.XLOOKUP($R36:$AK36,增益!$A:$A,增益!$D:$D,0))-$I$2</f>
        <v>6094.8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3" cm="1">
        <f t="array" ref="BA36">$G$11+VLOOKUP($Q36,武学奇术!$A:$ZZ,10,FALSE)+SUM(_xlfn.XLOOKUP($R36:$AK36,增益!$A:$A,增益!$J:$J,0))</f>
        <v>0.1</v>
      </c>
      <c r="BB36">
        <f t="shared" si="14"/>
        <v>617</v>
      </c>
      <c r="BC36">
        <f t="shared" si="15"/>
        <v>1169.2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3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3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0.8384</v>
      </c>
      <c r="BT36" s="27">
        <f t="shared" si="21"/>
        <v>0.00919999999999999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0.31</v>
      </c>
    </row>
    <row r="37" spans="1:74">
      <c r="A37" s="4" t="s">
        <v>169</v>
      </c>
      <c r="B37" s="4">
        <v>2</v>
      </c>
      <c r="C37" s="40"/>
      <c r="D37" s="40"/>
      <c r="E37" s="40"/>
      <c r="F37" s="40"/>
      <c r="K37" s="39">
        <f t="shared" si="11"/>
        <v>201110.13838902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202346.041836987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200325.619046777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101477.453278329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54565.5591146001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84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86</v>
      </c>
      <c r="AB37" s="41" t="s">
        <v>76</v>
      </c>
      <c r="AC37" s="41" t="s">
        <v>76</v>
      </c>
      <c r="AD37" s="41" t="s">
        <v>79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87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1.0041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1512.7</v>
      </c>
      <c r="AT37" cm="1">
        <f t="array" ref="AT37">$E$10*(1+$AR37)+VLOOKUP($Q37,武学奇术!$A:$ZZ,4,FALSE)+SUM(_xlfn.XLOOKUP($R37:$AK37,增益!$A:$A,增益!$D:$D,0))-$I$2</f>
        <v>6094.8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0.392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3" cm="1">
        <f t="array" ref="BA37">$G$11+VLOOKUP($Q37,武学奇术!$A:$ZZ,10,FALSE)+SUM(_xlfn.XLOOKUP($R37:$AK37,增益!$A:$A,增益!$J:$J,0))</f>
        <v>0</v>
      </c>
      <c r="BB37">
        <f t="shared" si="14"/>
        <v>617</v>
      </c>
      <c r="BC37">
        <f t="shared" si="15"/>
        <v>1169.2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3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3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0.8384</v>
      </c>
      <c r="BT37" s="27">
        <f t="shared" si="21"/>
        <v>0.00919999999999999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1.66</v>
      </c>
      <c r="C38" s="40"/>
      <c r="D38" s="40"/>
      <c r="E38" s="40"/>
      <c r="F38" s="40"/>
      <c r="K38" s="39">
        <f t="shared" si="11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79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87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0.2037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1512.7</v>
      </c>
      <c r="AT38" cm="1">
        <f t="array" ref="AT38">$E$10*(1+$AR38)+VLOOKUP($Q38,武学奇术!$A:$ZZ,4,FALSE)+SUM(_xlfn.XLOOKUP($R38:$AK38,增益!$A:$A,增益!$D:$D,0))-$I$2</f>
        <v>5894.8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0.267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14"/>
        <v>617</v>
      </c>
      <c r="BC38">
        <f t="shared" si="15"/>
        <v>1169.2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0.5984</v>
      </c>
      <c r="BT38" s="27">
        <f t="shared" si="21"/>
        <v>0.2492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168</v>
      </c>
      <c r="B39" s="4">
        <v>1.33</v>
      </c>
      <c r="C39" s="40"/>
      <c r="D39" s="40"/>
      <c r="E39" s="40"/>
      <c r="K39" s="39">
        <f t="shared" si="11"/>
        <v>343071.519472278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347668.288004901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328470.763512347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166030.701052961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88749.7254301102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86</v>
      </c>
      <c r="AB39" s="41" t="s">
        <v>76</v>
      </c>
      <c r="AC39" s="41" t="s">
        <v>76</v>
      </c>
      <c r="AD39" s="41" t="s">
        <v>79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87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1.0041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1512.7</v>
      </c>
      <c r="AT39" cm="1">
        <f t="array" ref="AT39">$E$10*(1+$AR39)+VLOOKUP($Q39,武学奇术!$A:$ZZ,4,FALSE)+SUM(_xlfn.XLOOKUP($R39:$AK39,增益!$A:$A,增益!$D:$D,0))-$I$2</f>
        <v>6094.8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14"/>
        <v>617</v>
      </c>
      <c r="BC39">
        <f t="shared" si="15"/>
        <v>1169.2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0.8384</v>
      </c>
      <c r="BT39" s="27">
        <f t="shared" si="21"/>
        <v>0.00919999999999999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s="4" t="s">
        <v>163</v>
      </c>
      <c r="B40" s="4">
        <v>1.66</v>
      </c>
      <c r="C40" s="40"/>
      <c r="D40" s="40"/>
      <c r="E40" s="40"/>
      <c r="K40" s="39">
        <f t="shared" si="11"/>
        <v>213871.942913302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217567.659828737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200325.619046777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101477.453278329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54565.5591146001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84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86</v>
      </c>
      <c r="AB40" s="41" t="s">
        <v>76</v>
      </c>
      <c r="AC40" s="41" t="s">
        <v>76</v>
      </c>
      <c r="AD40" s="41" t="s">
        <v>79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87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1.0041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1512.7</v>
      </c>
      <c r="AT40" cm="1">
        <f t="array" ref="AT40">$E$10*(1+$AR40)+VLOOKUP($Q40,武学奇术!$A:$ZZ,4,FALSE)+SUM(_xlfn.XLOOKUP($R40:$AK40,增益!$A:$A,增益!$D:$D,0))-$I$2</f>
        <v>6094.8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0.392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3" cm="1">
        <f t="array" ref="BA40">$G$11+VLOOKUP($Q40,武学奇术!$A:$ZZ,10,FALSE)+SUM(_xlfn.XLOOKUP($R40:$AK40,增益!$A:$A,增益!$J:$J,0))</f>
        <v>0</v>
      </c>
      <c r="BB40">
        <f t="shared" si="14"/>
        <v>617</v>
      </c>
      <c r="BC40">
        <f t="shared" si="15"/>
        <v>1169.2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3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3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0.8384</v>
      </c>
      <c r="BT40" s="27">
        <f t="shared" si="21"/>
        <v>0.00919999999999999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:74">
      <c r="A41" s="4" t="s">
        <v>168</v>
      </c>
      <c r="B41" s="4">
        <v>1.33</v>
      </c>
      <c r="E41" s="40"/>
      <c r="K41" s="39">
        <f t="shared" si="11"/>
        <v>200763.982896095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228636.52940153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232113.193173236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114662.25145513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57388.8042634191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84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93</v>
      </c>
      <c r="AB41" s="41" t="s">
        <v>76</v>
      </c>
      <c r="AC41" s="41" t="s">
        <v>76</v>
      </c>
      <c r="AD41" s="41" t="s">
        <v>79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87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0.4137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1512.7</v>
      </c>
      <c r="AT41" cm="1">
        <f t="array" ref="AT41">$E$10*(1+$AR41)+VLOOKUP($Q41,武学奇术!$A:$ZZ,4,FALSE)+SUM(_xlfn.XLOOKUP($R41:$AK41,增益!$A:$A,增益!$D:$D,0))-$I$2</f>
        <v>5894.8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0.367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3" cm="1">
        <f t="array" ref="BA41">$G$11+VLOOKUP($Q41,武学奇术!$A:$ZZ,10,FALSE)+SUM(_xlfn.XLOOKUP($R41:$AK41,增益!$A:$A,增益!$J:$J,0))</f>
        <v>0</v>
      </c>
      <c r="BB41">
        <f t="shared" si="14"/>
        <v>617</v>
      </c>
      <c r="BC41">
        <f t="shared" si="15"/>
        <v>1169.2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3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3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0.5984</v>
      </c>
      <c r="BT41" s="27">
        <f t="shared" si="21"/>
        <v>0.2492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0"/>
      <c r="K42" s="39">
        <f t="shared" si="11"/>
        <v>349704.668417631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354539.969262388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333993.99587044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169312.306238008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91221.6525719853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84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93</v>
      </c>
      <c r="AB42" s="41" t="s">
        <v>76</v>
      </c>
      <c r="AC42" s="41" t="s">
        <v>76</v>
      </c>
      <c r="AD42" s="41" t="s">
        <v>79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87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1.0041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1512.7</v>
      </c>
      <c r="AT42" cm="1">
        <f t="array" ref="AT42">$E$10*(1+$AR42)+VLOOKUP($Q42,武学奇术!$A:$ZZ,4,FALSE)+SUM(_xlfn.XLOOKUP($R42:$AK42,增益!$A:$A,增益!$D:$D,0))-$I$2</f>
        <v>6094.8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0.367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3" cm="1">
        <f t="array" ref="BA42">$G$11+VLOOKUP($Q42,武学奇术!$A:$ZZ,10,FALSE)+SUM(_xlfn.XLOOKUP($R42:$AK42,增益!$A:$A,增益!$J:$J,0))</f>
        <v>0</v>
      </c>
      <c r="BB42">
        <f t="shared" si="14"/>
        <v>617</v>
      </c>
      <c r="BC42">
        <f t="shared" si="15"/>
        <v>1169.2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3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3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0.8384</v>
      </c>
      <c r="BT42" s="27">
        <f t="shared" si="21"/>
        <v>0.00919999999999999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:74">
      <c r="A43" s="4" t="s">
        <v>157</v>
      </c>
      <c r="B43" s="4">
        <v>1.2</v>
      </c>
      <c r="C43" s="40" t="s">
        <v>158</v>
      </c>
      <c r="E43" s="40"/>
      <c r="K43" s="39">
        <f t="shared" si="11"/>
        <v>213871.942913302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217567.659828737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200325.619046777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101477.453278329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54565.5591146001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84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93</v>
      </c>
      <c r="AB43" s="41" t="s">
        <v>76</v>
      </c>
      <c r="AC43" s="41" t="s">
        <v>76</v>
      </c>
      <c r="AD43" s="41" t="s">
        <v>79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87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1.0041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1512.7</v>
      </c>
      <c r="AT43" cm="1">
        <f t="array" ref="AT43">$E$10*(1+$AR43)+VLOOKUP($Q43,武学奇术!$A:$ZZ,4,FALSE)+SUM(_xlfn.XLOOKUP($R43:$AK43,增益!$A:$A,增益!$D:$D,0))-$I$2</f>
        <v>6094.8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0.392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3" cm="1">
        <f t="array" ref="BA43">$G$11+VLOOKUP($Q43,武学奇术!$A:$ZZ,10,FALSE)+SUM(_xlfn.XLOOKUP($R43:$AK43,增益!$A:$A,增益!$J:$J,0))</f>
        <v>0</v>
      </c>
      <c r="BB43">
        <f t="shared" si="14"/>
        <v>617</v>
      </c>
      <c r="BC43">
        <f t="shared" si="15"/>
        <v>1169.2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3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3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0.8384</v>
      </c>
      <c r="BT43" s="27">
        <f t="shared" si="21"/>
        <v>0.00919999999999999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1.66</v>
      </c>
      <c r="C44" s="40"/>
      <c r="E44" s="40"/>
      <c r="K44" s="39">
        <f t="shared" si="11"/>
        <v>328411.952785139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329143.123326687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333993.99587044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169312.306238008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91221.6525719853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84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93</v>
      </c>
      <c r="AB44" s="41" t="s">
        <v>76</v>
      </c>
      <c r="AC44" s="41" t="s">
        <v>76</v>
      </c>
      <c r="AD44" s="41" t="s">
        <v>79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87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1.0041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1512.7</v>
      </c>
      <c r="AT44" cm="1">
        <f t="array" ref="AT44">$E$10*(1+$AR44)+VLOOKUP($Q44,武学奇术!$A:$ZZ,4,FALSE)+SUM(_xlfn.XLOOKUP($R44:$AK44,增益!$A:$A,增益!$D:$D,0))-$I$2</f>
        <v>6094.8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0.367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3" cm="1">
        <f t="array" ref="BA44">$G$11+VLOOKUP($Q44,武学奇术!$A:$ZZ,10,FALSE)+SUM(_xlfn.XLOOKUP($R44:$AK44,增益!$A:$A,增益!$J:$J,0))</f>
        <v>0</v>
      </c>
      <c r="BB44">
        <f t="shared" si="14"/>
        <v>617</v>
      </c>
      <c r="BC44">
        <f t="shared" si="15"/>
        <v>1169.2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3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3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0.8384</v>
      </c>
      <c r="BT44" s="27">
        <f t="shared" si="21"/>
        <v>0.00919999999999999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:74">
      <c r="A45" s="4" t="s">
        <v>168</v>
      </c>
      <c r="B45" s="4">
        <v>1.33</v>
      </c>
      <c r="C45" s="40"/>
      <c r="K45" s="39">
        <f t="shared" si="11"/>
        <v>201110.13838902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202346.041836987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200325.619046777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101477.453278329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54565.5591146001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84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86</v>
      </c>
      <c r="AB45" s="41" t="s">
        <v>76</v>
      </c>
      <c r="AC45" s="41" t="s">
        <v>76</v>
      </c>
      <c r="AD45" s="41" t="s">
        <v>79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87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1.0041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1512.7</v>
      </c>
      <c r="AT45" cm="1">
        <f t="array" ref="AT45">$E$10*(1+$AR45)+VLOOKUP($Q45,武学奇术!$A:$ZZ,4,FALSE)+SUM(_xlfn.XLOOKUP($R45:$AK45,增益!$A:$A,增益!$D:$D,0))-$I$2</f>
        <v>6094.8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0.392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3" cm="1">
        <f t="array" ref="BA45">$G$11+VLOOKUP($Q45,武学奇术!$A:$ZZ,10,FALSE)+SUM(_xlfn.XLOOKUP($R45:$AK45,增益!$A:$A,增益!$J:$J,0))</f>
        <v>0</v>
      </c>
      <c r="BB45">
        <f t="shared" si="14"/>
        <v>617</v>
      </c>
      <c r="BC45">
        <f t="shared" si="15"/>
        <v>1169.2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3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3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0.8384</v>
      </c>
      <c r="BT45" s="27">
        <f t="shared" si="21"/>
        <v>0.00919999999999999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0"/>
      <c r="K46" s="39">
        <f t="shared" si="11"/>
        <v>349704.668417631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354539.969262388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333993.99587044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169312.306238008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91221.6525719853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84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86</v>
      </c>
      <c r="AB46" s="41" t="s">
        <v>76</v>
      </c>
      <c r="AC46" s="41" t="s">
        <v>76</v>
      </c>
      <c r="AD46" s="41" t="s">
        <v>79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87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1.0041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1512.7</v>
      </c>
      <c r="AT46" cm="1">
        <f t="array" ref="AT46">$E$10*(1+$AR46)+VLOOKUP($Q46,武学奇术!$A:$ZZ,4,FALSE)+SUM(_xlfn.XLOOKUP($R46:$AK46,增益!$A:$A,增益!$D:$D,0))-$I$2</f>
        <v>6094.8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0.367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3" cm="1">
        <f t="array" ref="BA46">$G$11+VLOOKUP($Q46,武学奇术!$A:$ZZ,10,FALSE)+SUM(_xlfn.XLOOKUP($R46:$AK46,增益!$A:$A,增益!$J:$J,0))</f>
        <v>0</v>
      </c>
      <c r="BB46">
        <f t="shared" si="14"/>
        <v>617</v>
      </c>
      <c r="BC46">
        <f t="shared" si="15"/>
        <v>1169.2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3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3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0.8384</v>
      </c>
      <c r="BT46" s="27">
        <f t="shared" si="21"/>
        <v>0.00919999999999999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:74">
      <c r="A47" s="4" t="s">
        <v>163</v>
      </c>
      <c r="B47" s="4">
        <v>1.66</v>
      </c>
      <c r="K47" s="39">
        <f t="shared" si="11"/>
        <v>213871.942913302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217567.659828737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200325.619046777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101477.453278329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54565.5591146001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84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86</v>
      </c>
      <c r="AB47" s="41" t="s">
        <v>76</v>
      </c>
      <c r="AC47" s="41" t="s">
        <v>76</v>
      </c>
      <c r="AD47" s="41" t="s">
        <v>79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87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1.0041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1512.7</v>
      </c>
      <c r="AT47" cm="1">
        <f t="array" ref="AT47">$E$10*(1+$AR47)+VLOOKUP($Q47,武学奇术!$A:$ZZ,4,FALSE)+SUM(_xlfn.XLOOKUP($R47:$AK47,增益!$A:$A,增益!$D:$D,0))-$I$2</f>
        <v>6094.8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0.392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3" cm="1">
        <f t="array" ref="BA47">$G$11+VLOOKUP($Q47,武学奇术!$A:$ZZ,10,FALSE)+SUM(_xlfn.XLOOKUP($R47:$AK47,增益!$A:$A,增益!$J:$J,0))</f>
        <v>0</v>
      </c>
      <c r="BB47">
        <f t="shared" si="14"/>
        <v>617</v>
      </c>
      <c r="BC47">
        <f t="shared" si="15"/>
        <v>1169.2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3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3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0.8384</v>
      </c>
      <c r="BT47" s="27">
        <f t="shared" si="21"/>
        <v>0.00919999999999999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:74">
      <c r="A48" s="4" t="s">
        <v>168</v>
      </c>
      <c r="B48" s="4">
        <v>1.33</v>
      </c>
      <c r="K48" s="39">
        <f t="shared" si="11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79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87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0.2037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1512.7</v>
      </c>
      <c r="AT48" cm="1">
        <f t="array" ref="AT48">$E$10*(1+$AR48)+VLOOKUP($Q48,武学奇术!$A:$ZZ,4,FALSE)+SUM(_xlfn.XLOOKUP($R48:$AK48,增益!$A:$A,增益!$D:$D,0))-$I$2</f>
        <v>5894.8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0.267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14"/>
        <v>617</v>
      </c>
      <c r="BC48">
        <f t="shared" si="15"/>
        <v>1169.2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0.5984</v>
      </c>
      <c r="BT48" s="27">
        <f t="shared" si="21"/>
        <v>0.2492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:74">
      <c r="A49" s="4" t="s">
        <v>164</v>
      </c>
      <c r="B49" s="4">
        <v>1</v>
      </c>
      <c r="E49" s="40" t="s">
        <v>165</v>
      </c>
      <c r="K49" s="39">
        <f t="shared" si="11"/>
        <v>8010.86739620984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8778.6806354188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9864.30468086469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5033.64715333647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2760.40195047688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86</v>
      </c>
      <c r="AB49" s="41" t="s">
        <v>76</v>
      </c>
      <c r="AC49" s="41" t="s">
        <v>76</v>
      </c>
      <c r="AD49" s="41" t="s">
        <v>79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87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1512.7</v>
      </c>
      <c r="AT49" cm="1">
        <f t="array" ref="AT49">$E$10*(1+$AR49)+VLOOKUP($Q49,武学奇术!$A:$ZZ,4,FALSE)+SUM(_xlfn.XLOOKUP($R49:$AK49,增益!$A:$A,增益!$D:$D,0))-$I$2</f>
        <v>5894.8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0.267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14"/>
        <v>617</v>
      </c>
      <c r="BC49">
        <f t="shared" si="15"/>
        <v>1169.2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0.5984</v>
      </c>
      <c r="BT49" s="27">
        <f t="shared" si="21"/>
        <v>0.2492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:74">
      <c r="A50" s="4" t="s">
        <v>169</v>
      </c>
      <c r="B50" s="4">
        <v>2</v>
      </c>
      <c r="E50" s="40"/>
      <c r="K50" s="39">
        <f t="shared" si="11"/>
        <v>108977.65824475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122102.403901351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130224.098322054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64468.006283712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32473.717514051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84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86</v>
      </c>
      <c r="AB50" s="41" t="s">
        <v>76</v>
      </c>
      <c r="AC50" s="41" t="s">
        <v>76</v>
      </c>
      <c r="AD50" s="41" t="s">
        <v>79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87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0.2137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1512.7</v>
      </c>
      <c r="AT50" cm="1">
        <f t="array" ref="AT50">$E$10*(1+$AR50)+VLOOKUP($Q50,武学奇术!$A:$ZZ,4,FALSE)+SUM(_xlfn.XLOOKUP($R50:$AK50,增益!$A:$A,增益!$D:$D,0))-$I$2</f>
        <v>5894.8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0.277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3" cm="1">
        <f t="array" ref="BA50">$G$11+VLOOKUP($Q50,武学奇术!$A:$ZZ,10,FALSE)+SUM(_xlfn.XLOOKUP($R50:$AK50,增益!$A:$A,增益!$J:$J,0))</f>
        <v>0</v>
      </c>
      <c r="BB50">
        <f t="shared" si="14"/>
        <v>617</v>
      </c>
      <c r="BC50">
        <f t="shared" si="15"/>
        <v>1169.2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3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3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0.5984</v>
      </c>
      <c r="BT50" s="27">
        <f t="shared" si="21"/>
        <v>0.2492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:74">
      <c r="A51" s="4" t="s">
        <v>163</v>
      </c>
      <c r="B51" s="4">
        <v>1.66</v>
      </c>
      <c r="E51" s="40"/>
      <c r="F51" s="40" t="s">
        <v>166</v>
      </c>
      <c r="K51" s="39">
        <f t="shared" si="11"/>
        <v>316369.158539263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318468.318870822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314277.937297236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159713.299333411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86628.1265947955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84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93</v>
      </c>
      <c r="AB51" s="41" t="s">
        <v>76</v>
      </c>
      <c r="AC51" s="41" t="s">
        <v>76</v>
      </c>
      <c r="AD51" s="41" t="s">
        <v>79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87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0.9741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1512.7</v>
      </c>
      <c r="AT51" cm="1">
        <f t="array" ref="AT51">$E$10*(1+$AR51)+VLOOKUP($Q51,武学奇术!$A:$ZZ,4,FALSE)+SUM(_xlfn.XLOOKUP($R51:$AK51,增益!$A:$A,增益!$D:$D,0))-$I$2</f>
        <v>6094.8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0.287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3" cm="1">
        <f t="array" ref="BA51">$G$11+VLOOKUP($Q51,武学奇术!$A:$ZZ,10,FALSE)+SUM(_xlfn.XLOOKUP($R51:$AK51,增益!$A:$A,增益!$J:$J,0))</f>
        <v>0</v>
      </c>
      <c r="BB51">
        <f t="shared" si="14"/>
        <v>617</v>
      </c>
      <c r="BC51">
        <f t="shared" si="15"/>
        <v>1169.2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3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3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0.8384</v>
      </c>
      <c r="BT51" s="27">
        <f t="shared" si="21"/>
        <v>0.00919999999999999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:74">
      <c r="A52" s="4" t="s">
        <v>168</v>
      </c>
      <c r="B52" s="4">
        <v>1.33</v>
      </c>
      <c r="E52" s="40"/>
      <c r="F52" s="40"/>
      <c r="K52" s="39">
        <f t="shared" si="11"/>
        <v>177128.958625474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176060.312972106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187937.009269444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95477.3931519011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51742.1868449551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84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93</v>
      </c>
      <c r="AB52" s="41" t="s">
        <v>76</v>
      </c>
      <c r="AC52" s="41" t="s">
        <v>76</v>
      </c>
      <c r="AD52" s="41" t="s">
        <v>79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87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0.9841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1512.7</v>
      </c>
      <c r="AT52" cm="1">
        <f t="array" ref="AT52">$E$10*(1+$AR52)+VLOOKUP($Q52,武学奇术!$A:$ZZ,4,FALSE)+SUM(_xlfn.XLOOKUP($R52:$AK52,增益!$A:$A,增益!$D:$D,0))-$I$2</f>
        <v>6094.8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0.297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3" cm="1">
        <f t="array" ref="BA52">$G$11+VLOOKUP($Q52,武学奇术!$A:$ZZ,10,FALSE)+SUM(_xlfn.XLOOKUP($R52:$AK52,增益!$A:$A,增益!$J:$J,0))</f>
        <v>0</v>
      </c>
      <c r="BB52">
        <f t="shared" si="14"/>
        <v>617</v>
      </c>
      <c r="BC52">
        <f t="shared" si="15"/>
        <v>1169.2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3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3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0.8384</v>
      </c>
      <c r="BT52" s="27">
        <f t="shared" si="21"/>
        <v>0.00919999999999999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:74">
      <c r="A53" s="4" t="s">
        <v>163</v>
      </c>
      <c r="B53" s="4">
        <v>1.66</v>
      </c>
      <c r="E53" s="40"/>
      <c r="F53" s="40"/>
      <c r="K53" s="39">
        <f t="shared" si="11"/>
        <v>311497.198035307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310670.529100338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324894.695977885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164899.431581921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89136.1254024446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84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93</v>
      </c>
      <c r="AB53" s="41" t="s">
        <v>76</v>
      </c>
      <c r="AC53" s="41" t="s">
        <v>76</v>
      </c>
      <c r="AD53" s="41" t="s">
        <v>79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87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0.9941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1512.7</v>
      </c>
      <c r="AT53" cm="1">
        <f t="array" ref="AT53">$E$10*(1+$AR53)+VLOOKUP($Q53,武学奇术!$A:$ZZ,4,FALSE)+SUM(_xlfn.XLOOKUP($R53:$AK53,增益!$A:$A,增益!$D:$D,0))-$I$2</f>
        <v>6094.8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0.327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3" cm="1">
        <f t="array" ref="BA53">$G$11+VLOOKUP($Q53,武学奇术!$A:$ZZ,10,FALSE)+SUM(_xlfn.XLOOKUP($R53:$AK53,增益!$A:$A,增益!$J:$J,0))</f>
        <v>0</v>
      </c>
      <c r="BB53">
        <f t="shared" si="14"/>
        <v>617</v>
      </c>
      <c r="BC53">
        <f t="shared" si="15"/>
        <v>1169.2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3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3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0.8384</v>
      </c>
      <c r="BT53" s="27">
        <f t="shared" si="21"/>
        <v>0.00919999999999999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:74">
      <c r="A54" s="4" t="s">
        <v>168</v>
      </c>
      <c r="B54" s="4">
        <v>1.33</v>
      </c>
      <c r="E54" s="40"/>
      <c r="F54" s="40"/>
      <c r="K54" s="39">
        <f t="shared" si="11"/>
        <v>188864.332613174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188669.654626442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195354.692171159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99091.2051609465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53475.2309358492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84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86</v>
      </c>
      <c r="AB54" s="41" t="s">
        <v>76</v>
      </c>
      <c r="AC54" s="41" t="s">
        <v>76</v>
      </c>
      <c r="AD54" s="41" t="s">
        <v>79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87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1.0041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1512.7</v>
      </c>
      <c r="AT54" cm="1">
        <f t="array" ref="AT54">$E$10*(1+$AR54)+VLOOKUP($Q54,武学奇术!$A:$ZZ,4,FALSE)+SUM(_xlfn.XLOOKUP($R54:$AK54,增益!$A:$A,增益!$D:$D,0))-$I$2</f>
        <v>6094.8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0.347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3" cm="1">
        <f t="array" ref="BA54">$G$11+VLOOKUP($Q54,武学奇术!$A:$ZZ,10,FALSE)+SUM(_xlfn.XLOOKUP($R54:$AK54,增益!$A:$A,增益!$J:$J,0))</f>
        <v>0</v>
      </c>
      <c r="BB54">
        <f t="shared" si="14"/>
        <v>617</v>
      </c>
      <c r="BC54">
        <f t="shared" si="15"/>
        <v>1169.2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3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3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0.8384</v>
      </c>
      <c r="BT54" s="27">
        <f t="shared" si="21"/>
        <v>0.00919999999999999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1.66</v>
      </c>
      <c r="E55" s="40"/>
      <c r="K55" s="39">
        <f t="shared" si="11"/>
        <v>323833.965947438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324032.041007022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332126.490861167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168415.821729221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90812.0205983184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84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86</v>
      </c>
      <c r="AB55" s="41" t="s">
        <v>76</v>
      </c>
      <c r="AC55" s="41" t="s">
        <v>76</v>
      </c>
      <c r="AD55" s="41" t="s">
        <v>79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87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1.0041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1512.7</v>
      </c>
      <c r="AT55" cm="1">
        <f t="array" ref="AT55">$E$10*(1+$AR55)+VLOOKUP($Q55,武学奇术!$A:$ZZ,4,FALSE)+SUM(_xlfn.XLOOKUP($R55:$AK55,增益!$A:$A,增益!$D:$D,0))-$I$2</f>
        <v>6094.8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0.357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3" cm="1">
        <f t="array" ref="BA55">$G$11+VLOOKUP($Q55,武学奇术!$A:$ZZ,10,FALSE)+SUM(_xlfn.XLOOKUP($R55:$AK55,增益!$A:$A,增益!$J:$J,0))</f>
        <v>0</v>
      </c>
      <c r="BB55">
        <f t="shared" si="14"/>
        <v>617</v>
      </c>
      <c r="BC55">
        <f t="shared" si="15"/>
        <v>1169.2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3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3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0.8384</v>
      </c>
      <c r="BT55" s="27">
        <f t="shared" si="21"/>
        <v>0.00919999999999999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:74">
      <c r="A56" s="4" t="s">
        <v>168</v>
      </c>
      <c r="B56" s="4">
        <v>1.33</v>
      </c>
      <c r="E56" s="40"/>
      <c r="K56" s="39">
        <f t="shared" si="11"/>
        <v>196988.190521972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197739.521137791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198668.643421571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100682.037239201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54202.1163883498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84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86</v>
      </c>
      <c r="AB56" s="41" t="s">
        <v>76</v>
      </c>
      <c r="AC56" s="41" t="s">
        <v>76</v>
      </c>
      <c r="AD56" s="41" t="s">
        <v>79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87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1.0041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1512.7</v>
      </c>
      <c r="AT56" cm="1">
        <f t="array" ref="AT56">$E$10*(1+$AR56)+VLOOKUP($Q56,武学奇术!$A:$ZZ,4,FALSE)+SUM(_xlfn.XLOOKUP($R56:$AK56,增益!$A:$A,增益!$D:$D,0))-$I$2</f>
        <v>6094.8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0.377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3" cm="1">
        <f t="array" ref="BA56">$G$11+VLOOKUP($Q56,武学奇术!$A:$ZZ,10,FALSE)+SUM(_xlfn.XLOOKUP($R56:$AK56,增益!$A:$A,增益!$J:$J,0))</f>
        <v>0</v>
      </c>
      <c r="BB56">
        <f t="shared" si="14"/>
        <v>617</v>
      </c>
      <c r="BC56">
        <f t="shared" si="15"/>
        <v>1169.2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3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3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0.8384</v>
      </c>
      <c r="BT56" s="27">
        <f t="shared" si="21"/>
        <v>0.00919999999999999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0"/>
      <c r="K57" s="39">
        <f t="shared" si="11"/>
        <v>9307.8351977192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10393.7580407165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11047.16242336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5636.52822164671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3089.97316673044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84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86</v>
      </c>
      <c r="AB57" s="41" t="s">
        <v>76</v>
      </c>
      <c r="AC57" s="41" t="s">
        <v>76</v>
      </c>
      <c r="AD57" s="41" t="s">
        <v>79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87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1512.7</v>
      </c>
      <c r="AT57" cm="1">
        <f t="array" ref="AT57">$E$10*(1+$AR57)+VLOOKUP($Q57,武学奇术!$A:$ZZ,4,FALSE)+SUM(_xlfn.XLOOKUP($R57:$AK57,增益!$A:$A,增益!$D:$D,0))-$I$2</f>
        <v>5894.8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0.367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3" cm="1">
        <f t="array" ref="BA57">$G$11+VLOOKUP($Q57,武学奇术!$A:$ZZ,10,FALSE)+SUM(_xlfn.XLOOKUP($R57:$AK57,增益!$A:$A,增益!$J:$J,0))</f>
        <v>0</v>
      </c>
      <c r="BB57">
        <f t="shared" si="14"/>
        <v>617</v>
      </c>
      <c r="BC57">
        <f t="shared" si="15"/>
        <v>1169.2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3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3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0.5984</v>
      </c>
      <c r="BT57" s="27">
        <f t="shared" si="21"/>
        <v>0.2492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:74">
      <c r="A58" s="4" t="s">
        <v>157</v>
      </c>
      <c r="B58" s="4">
        <v>1.2</v>
      </c>
      <c r="C58" s="40" t="s">
        <v>158</v>
      </c>
      <c r="E58" s="40"/>
      <c r="K58" s="39">
        <f t="shared" si="11"/>
        <v>322191.498507858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322763.682846957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328470.763512347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166030.701052961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88749.7254301102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86</v>
      </c>
      <c r="AB58" s="41" t="s">
        <v>76</v>
      </c>
      <c r="AC58" s="41" t="s">
        <v>76</v>
      </c>
      <c r="AD58" s="41" t="s">
        <v>79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87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1.0041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1512.7</v>
      </c>
      <c r="AT58" cm="1">
        <f t="array" ref="AT58">$E$10*(1+$AR58)+VLOOKUP($Q58,武学奇术!$A:$ZZ,4,FALSE)+SUM(_xlfn.XLOOKUP($R58:$AK58,增益!$A:$A,增益!$D:$D,0))-$I$2</f>
        <v>6094.8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0.367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14"/>
        <v>617</v>
      </c>
      <c r="BC58">
        <f t="shared" si="15"/>
        <v>1169.2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0.8384</v>
      </c>
      <c r="BT58" s="27">
        <f t="shared" si="21"/>
        <v>0.00919999999999999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:74">
      <c r="A59" s="4" t="s">
        <v>163</v>
      </c>
      <c r="B59" s="4">
        <v>1.66</v>
      </c>
      <c r="C59" s="40"/>
      <c r="E59" s="40"/>
      <c r="K59" s="39">
        <f t="shared" si="11"/>
        <v>197349.02377383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198475.184810634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197058.371255363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99536.2010083423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53103.2381238231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86</v>
      </c>
      <c r="AB59" s="41" t="s">
        <v>76</v>
      </c>
      <c r="AC59" s="41" t="s">
        <v>76</v>
      </c>
      <c r="AD59" s="41" t="s">
        <v>79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87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1.0041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1512.7</v>
      </c>
      <c r="AT59" cm="1">
        <f t="array" ref="AT59">$E$10*(1+$AR59)+VLOOKUP($Q59,武学奇术!$A:$ZZ,4,FALSE)+SUM(_xlfn.XLOOKUP($R59:$AK59,增益!$A:$A,增益!$D:$D,0))-$I$2</f>
        <v>6094.8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14"/>
        <v>617</v>
      </c>
      <c r="BC59">
        <f t="shared" si="15"/>
        <v>1169.2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0.8384</v>
      </c>
      <c r="BT59" s="27">
        <f t="shared" si="21"/>
        <v>0.00919999999999999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:74">
      <c r="A60" s="4" t="s">
        <v>168</v>
      </c>
      <c r="B60" s="4">
        <v>1.33</v>
      </c>
      <c r="C60" s="40"/>
      <c r="K60" s="39">
        <f t="shared" si="11"/>
        <v>349704.668417631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354539.969262388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333993.99587044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169312.306238008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91221.6525719853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84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93</v>
      </c>
      <c r="AB60" s="41" t="s">
        <v>76</v>
      </c>
      <c r="AC60" s="41" t="s">
        <v>76</v>
      </c>
      <c r="AD60" s="41" t="s">
        <v>79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87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1.0041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1512.7</v>
      </c>
      <c r="AT60" cm="1">
        <f t="array" ref="AT60">$E$10*(1+$AR60)+VLOOKUP($Q60,武学奇术!$A:$ZZ,4,FALSE)+SUM(_xlfn.XLOOKUP($R60:$AK60,增益!$A:$A,增益!$D:$D,0))-$I$2</f>
        <v>6094.8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3" cm="1">
        <f t="array" ref="BA60">$G$11+VLOOKUP($Q60,武学奇术!$A:$ZZ,10,FALSE)+SUM(_xlfn.XLOOKUP($R60:$AK60,增益!$A:$A,增益!$J:$J,0))</f>
        <v>0</v>
      </c>
      <c r="BB60">
        <f t="shared" si="14"/>
        <v>617</v>
      </c>
      <c r="BC60">
        <f t="shared" si="15"/>
        <v>1169.2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3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3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0.8384</v>
      </c>
      <c r="BT60" s="27">
        <f t="shared" si="21"/>
        <v>0.00919999999999999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:74">
      <c r="A61" s="4" t="s">
        <v>164</v>
      </c>
      <c r="B61" s="4">
        <v>1</v>
      </c>
      <c r="C61" s="40"/>
      <c r="K61" s="39">
        <f t="shared" ref="K61:K73" si="22">($L61*$BS61+$M61*$BQ61+$N61*$BT61+$O61*$BU61)</f>
        <v>213871.942913302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217567.659828737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200325.619046777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101477.453278329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54565.5591146001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84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93</v>
      </c>
      <c r="AB61" s="41" t="s">
        <v>76</v>
      </c>
      <c r="AC61" s="41" t="s">
        <v>76</v>
      </c>
      <c r="AD61" s="41" t="s">
        <v>79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87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1.0041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1512.7</v>
      </c>
      <c r="AT61" cm="1">
        <f t="array" ref="AT61">$E$10*(1+$AR61)+VLOOKUP($Q61,武学奇术!$A:$ZZ,4,FALSE)+SUM(_xlfn.XLOOKUP($R61:$AK61,增益!$A:$A,增益!$D:$D,0))-$I$2</f>
        <v>6094.8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0.392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3" cm="1">
        <f t="array" ref="BA61">$G$11+VLOOKUP($Q61,武学奇术!$A:$ZZ,10,FALSE)+SUM(_xlfn.XLOOKUP($R61:$AK61,增益!$A:$A,增益!$J:$J,0))</f>
        <v>0</v>
      </c>
      <c r="BB61">
        <f t="shared" si="14"/>
        <v>617</v>
      </c>
      <c r="BC61">
        <f t="shared" si="15"/>
        <v>1169.2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3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3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0.8384</v>
      </c>
      <c r="BT61" s="27">
        <f t="shared" si="21"/>
        <v>0.00919999999999999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39">
        <f t="shared" si="22"/>
        <v>349704.668417631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354539.969262388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333993.99587044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169312.306238008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91221.6525719853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84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93</v>
      </c>
      <c r="AB62" s="41" t="s">
        <v>76</v>
      </c>
      <c r="AC62" s="41" t="s">
        <v>76</v>
      </c>
      <c r="AD62" s="41" t="s">
        <v>79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87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1.0041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1512.7</v>
      </c>
      <c r="AT62" cm="1">
        <f t="array" ref="AT62">$E$10*(1+$AR62)+VLOOKUP($Q62,武学奇术!$A:$ZZ,4,FALSE)+SUM(_xlfn.XLOOKUP($R62:$AK62,增益!$A:$A,增益!$D:$D,0))-$I$2</f>
        <v>6094.8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3" cm="1">
        <f t="array" ref="BA62">$G$11+VLOOKUP($Q62,武学奇术!$A:$ZZ,10,FALSE)+SUM(_xlfn.XLOOKUP($R62:$AK62,增益!$A:$A,增益!$J:$J,0))</f>
        <v>0</v>
      </c>
      <c r="BB62">
        <f t="shared" si="14"/>
        <v>617</v>
      </c>
      <c r="BC62">
        <f t="shared" si="15"/>
        <v>1169.2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3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3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0.8384</v>
      </c>
      <c r="BT62" s="27">
        <f t="shared" si="21"/>
        <v>0.00919999999999999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:74">
      <c r="A63" s="4" t="s">
        <v>163</v>
      </c>
      <c r="B63" s="4">
        <v>1.66</v>
      </c>
      <c r="K63" s="39">
        <f t="shared" si="22"/>
        <v>252407.428122906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256769.039978059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236420.325181332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119761.679094244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64397.191387501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84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161</v>
      </c>
      <c r="AA63" s="41" t="s">
        <v>93</v>
      </c>
      <c r="AB63" s="41" t="s">
        <v>76</v>
      </c>
      <c r="AC63" s="41" t="s">
        <v>76</v>
      </c>
      <c r="AD63" s="41" t="s">
        <v>79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87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1.0041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1512.7</v>
      </c>
      <c r="AT63" cm="1">
        <f t="array" ref="AT63">$E$10*(1+$AR63)+VLOOKUP($Q63,武学奇术!$A:$ZZ,4,FALSE)+SUM(_xlfn.XLOOKUP($R63:$AK63,增益!$A:$A,增益!$D:$D,0))-$I$2</f>
        <v>6094.8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0.392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3" cm="1">
        <f t="array" ref="BA63">$G$11+VLOOKUP($Q63,武学奇术!$A:$ZZ,10,FALSE)+SUM(_xlfn.XLOOKUP($R63:$AK63,增益!$A:$A,增益!$J:$J,0))</f>
        <v>0.1</v>
      </c>
      <c r="BB63">
        <f t="shared" si="14"/>
        <v>617</v>
      </c>
      <c r="BC63">
        <f t="shared" si="15"/>
        <v>1169.2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3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3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0.8384</v>
      </c>
      <c r="BT63" s="27">
        <f t="shared" si="21"/>
        <v>0.00919999999999999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0.31</v>
      </c>
    </row>
    <row r="64" spans="1:74">
      <c r="A64" s="4" t="s">
        <v>168</v>
      </c>
      <c r="B64" s="4">
        <v>1.33</v>
      </c>
      <c r="C64" s="40" t="s">
        <v>171</v>
      </c>
      <c r="E64" s="40" t="s">
        <v>165</v>
      </c>
      <c r="K64" s="39">
        <f t="shared" si="22"/>
        <v>252407.428122906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256769.039978059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236420.325181332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119761.679094244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64397.191387501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84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161</v>
      </c>
      <c r="AA64" s="41" t="s">
        <v>86</v>
      </c>
      <c r="AB64" s="41" t="s">
        <v>76</v>
      </c>
      <c r="AC64" s="41" t="s">
        <v>76</v>
      </c>
      <c r="AD64" s="41" t="s">
        <v>79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87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1.0041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1512.7</v>
      </c>
      <c r="AT64" cm="1">
        <f t="array" ref="AT64">$E$10*(1+$AR64)+VLOOKUP($Q64,武学奇术!$A:$ZZ,4,FALSE)+SUM(_xlfn.XLOOKUP($R64:$AK64,增益!$A:$A,增益!$D:$D,0))-$I$2</f>
        <v>6094.8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0.392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3" cm="1">
        <f t="array" ref="BA64">$G$11+VLOOKUP($Q64,武学奇术!$A:$ZZ,10,FALSE)+SUM(_xlfn.XLOOKUP($R64:$AK64,增益!$A:$A,增益!$J:$J,0))</f>
        <v>0.1</v>
      </c>
      <c r="BB64">
        <f t="shared" si="14"/>
        <v>617</v>
      </c>
      <c r="BC64">
        <f t="shared" si="15"/>
        <v>1169.2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3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3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0.8384</v>
      </c>
      <c r="BT64" s="27">
        <f t="shared" si="21"/>
        <v>0.00919999999999999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0.31</v>
      </c>
    </row>
    <row r="65" spans="1:74">
      <c r="A65" s="4" t="s">
        <v>168</v>
      </c>
      <c r="B65" s="4">
        <v>1.33</v>
      </c>
      <c r="C65" s="40"/>
      <c r="E65" s="40"/>
      <c r="K65" s="39">
        <f t="shared" si="22"/>
        <v>252407.428122906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256769.039978059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236420.325181332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119761.679094244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64397.191387501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84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161</v>
      </c>
      <c r="AA65" s="41" t="s">
        <v>93</v>
      </c>
      <c r="AB65" s="41" t="s">
        <v>76</v>
      </c>
      <c r="AC65" s="41" t="s">
        <v>76</v>
      </c>
      <c r="AD65" s="41" t="s">
        <v>79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87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1.0041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1512.7</v>
      </c>
      <c r="AT65" cm="1">
        <f t="array" ref="AT65">$E$10*(1+$AR65)+VLOOKUP($Q65,武学奇术!$A:$ZZ,4,FALSE)+SUM(_xlfn.XLOOKUP($R65:$AK65,增益!$A:$A,增益!$D:$D,0))-$I$2</f>
        <v>6094.8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0.392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3" cm="1">
        <f t="array" ref="BA65">$G$11+VLOOKUP($Q65,武学奇术!$A:$ZZ,10,FALSE)+SUM(_xlfn.XLOOKUP($R65:$AK65,增益!$A:$A,增益!$J:$J,0))</f>
        <v>0.1</v>
      </c>
      <c r="BB65">
        <f t="shared" si="14"/>
        <v>617</v>
      </c>
      <c r="BC65">
        <f t="shared" si="15"/>
        <v>1169.2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3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3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0.8384</v>
      </c>
      <c r="BT65" s="27">
        <f t="shared" si="21"/>
        <v>0.00919999999999999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0.31</v>
      </c>
    </row>
    <row r="66" spans="1:74">
      <c r="A66" s="4" t="s">
        <v>168</v>
      </c>
      <c r="B66" s="4">
        <v>1.33</v>
      </c>
      <c r="C66" s="40"/>
      <c r="E66" s="40"/>
      <c r="K66" s="39">
        <f t="shared" si="22"/>
        <v>412714.51858297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418421.04480516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394173.094225475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199819.028082694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107657.986368739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84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161</v>
      </c>
      <c r="AA66" s="41" t="s">
        <v>93</v>
      </c>
      <c r="AB66" s="41" t="s">
        <v>76</v>
      </c>
      <c r="AC66" s="41" t="s">
        <v>76</v>
      </c>
      <c r="AD66" s="41" t="s">
        <v>79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87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1.0041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1512.7</v>
      </c>
      <c r="AT66" cm="1">
        <f t="array" ref="AT66">$E$10*(1+$AR66)+VLOOKUP($Q66,武学奇术!$A:$ZZ,4,FALSE)+SUM(_xlfn.XLOOKUP($R66:$AK66,增益!$A:$A,增益!$D:$D,0))-$I$2</f>
        <v>6094.8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3" cm="1">
        <f t="array" ref="BA66">$G$11+VLOOKUP($Q66,武学奇术!$A:$ZZ,10,FALSE)+SUM(_xlfn.XLOOKUP($R66:$AK66,增益!$A:$A,增益!$J:$J,0))</f>
        <v>0.1</v>
      </c>
      <c r="BB66">
        <f t="shared" si="14"/>
        <v>617</v>
      </c>
      <c r="BC66">
        <f t="shared" si="15"/>
        <v>1169.2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3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3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0.8384</v>
      </c>
      <c r="BT66" s="27">
        <f t="shared" si="21"/>
        <v>0.00919999999999999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0.31</v>
      </c>
    </row>
    <row r="67" spans="1:74">
      <c r="A67" s="4" t="s">
        <v>163</v>
      </c>
      <c r="B67" s="4">
        <v>1.66</v>
      </c>
      <c r="C67" s="40"/>
      <c r="E67" s="40"/>
      <c r="K67" s="39">
        <f t="shared" si="22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79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87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0.2037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1512.7</v>
      </c>
      <c r="AT67" cm="1">
        <f t="array" ref="AT67">$E$10*(1+$AR67)+VLOOKUP($Q67,武学奇术!$A:$ZZ,4,FALSE)+SUM(_xlfn.XLOOKUP($R67:$AK67,增益!$A:$A,增益!$D:$D,0))-$I$2</f>
        <v>5894.8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0.267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617</v>
      </c>
      <c r="BC67">
        <f t="shared" ref="BC67:BC102" si="26">$E$12*(1+$AW67)</f>
        <v>1169.2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102" si="31">MIN((1-BQ67)*BN67,BN67*BO67)</f>
        <v>0.5984</v>
      </c>
      <c r="BT67" s="27">
        <f t="shared" ref="BT67:BT102" si="32">1-BQ67-BS67-BU67</f>
        <v>0.2492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168</v>
      </c>
      <c r="B68" s="4">
        <v>1.33</v>
      </c>
      <c r="C68" s="40"/>
      <c r="E68" s="40"/>
      <c r="K68" s="39">
        <f t="shared" si="22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79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87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0.2037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1512.7</v>
      </c>
      <c r="AT68" cm="1">
        <f t="array" ref="AT68">$E$10*(1+$AR68)+VLOOKUP($Q68,武学奇术!$A:$ZZ,4,FALSE)+SUM(_xlfn.XLOOKUP($R68:$AK68,增益!$A:$A,增益!$D:$D,0))-$I$2</f>
        <v>5894.8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0.267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25"/>
        <v>617</v>
      </c>
      <c r="BC68">
        <f t="shared" si="26"/>
        <v>1169.2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0.5984</v>
      </c>
      <c r="BT68" s="27">
        <f t="shared" si="32"/>
        <v>0.2492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172</v>
      </c>
      <c r="B69" s="4">
        <v>1.7</v>
      </c>
      <c r="C69" s="40"/>
      <c r="E69" s="40"/>
      <c r="K69" s="39">
        <f t="shared" si="22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79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87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0.2037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1512.7</v>
      </c>
      <c r="AT69" cm="1">
        <f t="array" ref="AT69">$E$10*(1+$AR69)+VLOOKUP($Q69,武学奇术!$A:$ZZ,4,FALSE)+SUM(_xlfn.XLOOKUP($R69:$AK69,增益!$A:$A,增益!$D:$D,0))-$I$2</f>
        <v>5894.8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0.267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25"/>
        <v>617</v>
      </c>
      <c r="BC69">
        <f t="shared" si="26"/>
        <v>1169.2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0.5984</v>
      </c>
      <c r="BT69" s="27">
        <f t="shared" si="32"/>
        <v>0.2492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163</v>
      </c>
      <c r="B70" s="4">
        <v>1.66</v>
      </c>
      <c r="C70" s="40"/>
      <c r="E70" s="40"/>
      <c r="K70" s="39">
        <f t="shared" si="22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79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87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0.2037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1512.7</v>
      </c>
      <c r="AT70" cm="1">
        <f t="array" ref="AT70">$E$10*(1+$AR70)+VLOOKUP($Q70,武学奇术!$A:$ZZ,4,FALSE)+SUM(_xlfn.XLOOKUP($R70:$AK70,增益!$A:$A,增益!$D:$D,0))-$I$2</f>
        <v>5894.8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0.267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25"/>
        <v>617</v>
      </c>
      <c r="BC70">
        <f t="shared" si="26"/>
        <v>1169.2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0.5984</v>
      </c>
      <c r="BT70" s="27">
        <f t="shared" si="32"/>
        <v>0.2492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168</v>
      </c>
      <c r="B71" s="4">
        <v>1.33</v>
      </c>
      <c r="E71" s="40"/>
      <c r="K71" s="39">
        <f t="shared" si="22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79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87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1512.7</v>
      </c>
      <c r="AT71" cm="1">
        <f t="array" ref="AT71">$E$10*(1+$AR71)+VLOOKUP($Q71,武学奇术!$A:$ZZ,4,FALSE)+SUM(_xlfn.XLOOKUP($R71:$AK71,增益!$A:$A,增益!$D:$D,0))-$I$2</f>
        <v>5894.8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0.267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25"/>
        <v>617</v>
      </c>
      <c r="BC71">
        <f t="shared" si="26"/>
        <v>1169.2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0.5984</v>
      </c>
      <c r="BT71" s="27">
        <f t="shared" si="32"/>
        <v>0.2492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:74">
      <c r="A72" s="4" t="s">
        <v>173</v>
      </c>
      <c r="B72" s="4">
        <v>19.3</v>
      </c>
      <c r="K72" s="39">
        <f t="shared" si="22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79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87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0.2037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1512.7</v>
      </c>
      <c r="AT72" cm="1">
        <f t="array" ref="AT72">$E$10*(1+$AR72)+VLOOKUP($Q72,武学奇术!$A:$ZZ,4,FALSE)+SUM(_xlfn.XLOOKUP($R72:$AK72,增益!$A:$A,增益!$D:$D,0))-$I$2</f>
        <v>5894.8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0.267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25"/>
        <v>617</v>
      </c>
      <c r="BC72">
        <f t="shared" si="26"/>
        <v>1169.2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0.5984</v>
      </c>
      <c r="BT72" s="27">
        <f t="shared" si="32"/>
        <v>0.2492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1.66</v>
      </c>
      <c r="C73" s="40" t="s">
        <v>158</v>
      </c>
      <c r="K73" s="39">
        <f t="shared" si="22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79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87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0.2037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1512.7</v>
      </c>
      <c r="AT73" cm="1">
        <f t="array" ref="AT73">$E$10*(1+$AR73)+VLOOKUP($Q73,武学奇术!$A:$ZZ,4,FALSE)+SUM(_xlfn.XLOOKUP($R73:$AK73,增益!$A:$A,增益!$D:$D,0))-$I$2</f>
        <v>5894.8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25"/>
        <v>617</v>
      </c>
      <c r="BC73">
        <f t="shared" si="26"/>
        <v>1169.2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0.5984</v>
      </c>
      <c r="BT73" s="27">
        <f t="shared" si="32"/>
        <v>0.2492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:74">
      <c r="A74" s="4" t="s">
        <v>168</v>
      </c>
      <c r="B74" s="4">
        <v>1.33</v>
      </c>
      <c r="C74" s="40"/>
      <c r="E74" s="40" t="s">
        <v>165</v>
      </c>
      <c r="K74" s="39">
        <f t="shared" ref="K74:K86" si="33">($L74*$BS74+$M74*$BQ74+$N74*$BT74+$O74*$BU74)</f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79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87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1512.7</v>
      </c>
      <c r="AT74" cm="1">
        <f t="array" ref="AT74">$E$10*(1+$AR74)+VLOOKUP($Q74,武学奇术!$A:$ZZ,4,FALSE)+SUM(_xlfn.XLOOKUP($R74:$AK74,增益!$A:$A,增益!$D:$D,0))-$I$2</f>
        <v>5894.8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25"/>
        <v>617</v>
      </c>
      <c r="BC74">
        <f t="shared" si="26"/>
        <v>1169.2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0.5984</v>
      </c>
      <c r="BT74" s="27">
        <f t="shared" si="32"/>
        <v>0.2492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:74">
      <c r="A75" s="4" t="s">
        <v>172</v>
      </c>
      <c r="B75" s="4">
        <v>2</v>
      </c>
      <c r="C75" s="40"/>
      <c r="E75" s="40"/>
      <c r="F75" s="40" t="s">
        <v>166</v>
      </c>
      <c r="K75" s="39">
        <f t="shared" si="33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79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87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0.2037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1512.7</v>
      </c>
      <c r="AT75" cm="1">
        <f t="array" ref="AT75">$E$10*(1+$AR75)+VLOOKUP($Q75,武学奇术!$A:$ZZ,4,FALSE)+SUM(_xlfn.XLOOKUP($R75:$AK75,增益!$A:$A,增益!$D:$D,0))-$I$2</f>
        <v>5894.8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0.267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25"/>
        <v>617</v>
      </c>
      <c r="BC75">
        <f t="shared" si="26"/>
        <v>1169.2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0.5984</v>
      </c>
      <c r="BT75" s="27">
        <f t="shared" si="32"/>
        <v>0.2492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1.66</v>
      </c>
      <c r="C76" s="40"/>
      <c r="E76" s="40"/>
      <c r="F76" s="40"/>
      <c r="K76" s="39">
        <f t="shared" si="33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79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87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0.2037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1512.7</v>
      </c>
      <c r="AT76" cm="1">
        <f t="array" ref="AT76">$E$10*(1+$AR76)+VLOOKUP($Q76,武学奇术!$A:$ZZ,4,FALSE)+SUM(_xlfn.XLOOKUP($R76:$AK76,增益!$A:$A,增益!$D:$D,0))-$I$2</f>
        <v>5894.8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0.267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25"/>
        <v>617</v>
      </c>
      <c r="BC76">
        <f t="shared" si="26"/>
        <v>1169.2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0.5984</v>
      </c>
      <c r="BT76" s="27">
        <f t="shared" si="32"/>
        <v>0.2492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:74">
      <c r="A77" s="4" t="s">
        <v>168</v>
      </c>
      <c r="B77" s="4">
        <v>1.33</v>
      </c>
      <c r="C77" s="40"/>
      <c r="E77" s="40"/>
      <c r="F77" s="40"/>
      <c r="K77" s="39">
        <f t="shared" si="33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79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87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0.2037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1512.7</v>
      </c>
      <c r="AT77" cm="1">
        <f t="array" ref="AT77">$E$10*(1+$AR77)+VLOOKUP($Q77,武学奇术!$A:$ZZ,4,FALSE)+SUM(_xlfn.XLOOKUP($R77:$AK77,增益!$A:$A,增益!$D:$D,0))-$I$2</f>
        <v>5894.8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0.267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25"/>
        <v>617</v>
      </c>
      <c r="BC77">
        <f t="shared" si="26"/>
        <v>1169.2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0.5984</v>
      </c>
      <c r="BT77" s="27">
        <f t="shared" si="32"/>
        <v>0.2492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0"/>
      <c r="F78" s="40"/>
      <c r="K78" s="39">
        <f t="shared" si="33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79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87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1512.7</v>
      </c>
      <c r="AT78" cm="1">
        <f t="array" ref="AT78">$E$10*(1+$AR78)+VLOOKUP($Q78,武学奇术!$A:$ZZ,4,FALSE)+SUM(_xlfn.XLOOKUP($R78:$AK78,增益!$A:$A,增益!$D:$D,0))-$I$2</f>
        <v>5894.8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0.267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25"/>
        <v>617</v>
      </c>
      <c r="BC78">
        <f t="shared" si="26"/>
        <v>1169.2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0.5984</v>
      </c>
      <c r="BT78" s="27">
        <f t="shared" si="32"/>
        <v>0.2492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1.66</v>
      </c>
      <c r="E79" s="40"/>
      <c r="F79" s="40"/>
      <c r="K79" s="39">
        <f t="shared" si="33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79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87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0.2037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1512.7</v>
      </c>
      <c r="AT79" cm="1">
        <f t="array" ref="AT79">$E$10*(1+$AR79)+VLOOKUP($Q79,武学奇术!$A:$ZZ,4,FALSE)+SUM(_xlfn.XLOOKUP($R79:$AK79,增益!$A:$A,增益!$D:$D,0))-$I$2</f>
        <v>5894.8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0.267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25"/>
        <v>617</v>
      </c>
      <c r="BC79">
        <f t="shared" si="26"/>
        <v>1169.2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0.5984</v>
      </c>
      <c r="BT79" s="27">
        <f t="shared" si="32"/>
        <v>0.2492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:74">
      <c r="A80" s="4" t="s">
        <v>168</v>
      </c>
      <c r="B80" s="4">
        <v>1.33</v>
      </c>
      <c r="E80" s="40"/>
      <c r="K80" s="39">
        <f t="shared" si="33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79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87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0.2037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1512.7</v>
      </c>
      <c r="AT80" cm="1">
        <f t="array" ref="AT80">$E$10*(1+$AR80)+VLOOKUP($Q80,武学奇术!$A:$ZZ,4,FALSE)+SUM(_xlfn.XLOOKUP($R80:$AK80,增益!$A:$A,增益!$D:$D,0))-$I$2</f>
        <v>5894.8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0.267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25"/>
        <v>617</v>
      </c>
      <c r="BC80">
        <f t="shared" si="26"/>
        <v>1169.2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0.5984</v>
      </c>
      <c r="BT80" s="27">
        <f t="shared" si="32"/>
        <v>0.2492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:74">
      <c r="A81" s="4" t="s">
        <v>157</v>
      </c>
      <c r="B81" s="4">
        <v>1.2</v>
      </c>
      <c r="C81" s="40" t="s">
        <v>158</v>
      </c>
      <c r="E81" s="40"/>
      <c r="K81" s="39">
        <f t="shared" si="33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79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87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0.2037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1512.7</v>
      </c>
      <c r="AT81" cm="1">
        <f t="array" ref="AT81">$E$10*(1+$AR81)+VLOOKUP($Q81,武学奇术!$A:$ZZ,4,FALSE)+SUM(_xlfn.XLOOKUP($R81:$AK81,增益!$A:$A,增益!$D:$D,0))-$I$2</f>
        <v>5894.8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25"/>
        <v>617</v>
      </c>
      <c r="BC81">
        <f t="shared" si="26"/>
        <v>1169.2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0.5984</v>
      </c>
      <c r="BT81" s="27">
        <f t="shared" si="32"/>
        <v>0.2492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:74">
      <c r="A82" t="s">
        <v>174</v>
      </c>
      <c r="B82">
        <v>0.4</v>
      </c>
      <c r="C82" s="40"/>
      <c r="E82" s="40"/>
      <c r="K82" s="39">
        <f t="shared" si="33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79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87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0.2037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1512.7</v>
      </c>
      <c r="AT82" cm="1">
        <f t="array" ref="AT82">$E$10*(1+$AR82)+VLOOKUP($Q82,武学奇术!$A:$ZZ,4,FALSE)+SUM(_xlfn.XLOOKUP($R82:$AK82,增益!$A:$A,增益!$D:$D,0))-$I$2</f>
        <v>5894.8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0.267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25"/>
        <v>617</v>
      </c>
      <c r="BC82">
        <f t="shared" si="26"/>
        <v>1169.2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0.5984</v>
      </c>
      <c r="BT82" s="27">
        <f t="shared" si="32"/>
        <v>0.2492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:74">
      <c r="A83" s="4" t="s">
        <v>163</v>
      </c>
      <c r="B83" s="4">
        <v>1.66</v>
      </c>
      <c r="C83" s="40"/>
      <c r="E83" s="40"/>
      <c r="K83" s="39">
        <f t="shared" si="33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79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87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0.2037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1512.7</v>
      </c>
      <c r="AT83" cm="1">
        <f t="array" ref="AT83">$E$10*(1+$AR83)+VLOOKUP($Q83,武学奇术!$A:$ZZ,4,FALSE)+SUM(_xlfn.XLOOKUP($R83:$AK83,增益!$A:$A,增益!$D:$D,0))-$I$2</f>
        <v>5894.8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0.267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25"/>
        <v>617</v>
      </c>
      <c r="BC83">
        <f t="shared" si="26"/>
        <v>1169.2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0.5984</v>
      </c>
      <c r="BT83" s="27">
        <f t="shared" si="32"/>
        <v>0.2492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168</v>
      </c>
      <c r="B84" s="4">
        <v>1.33</v>
      </c>
      <c r="C84" s="40"/>
      <c r="E84" s="40"/>
      <c r="K84" s="39">
        <f t="shared" si="33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79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87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0.2037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1512.7</v>
      </c>
      <c r="AT84" cm="1">
        <f t="array" ref="AT84">$E$10*(1+$AR84)+VLOOKUP($Q84,武学奇术!$A:$ZZ,4,FALSE)+SUM(_xlfn.XLOOKUP($R84:$AK84,增益!$A:$A,增益!$D:$D,0))-$I$2</f>
        <v>5894.8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0.267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25"/>
        <v>617</v>
      </c>
      <c r="BC84">
        <f t="shared" si="26"/>
        <v>1169.2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0.5984</v>
      </c>
      <c r="BT84" s="27">
        <f t="shared" si="32"/>
        <v>0.2492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173</v>
      </c>
      <c r="B85" s="4">
        <v>30</v>
      </c>
      <c r="K85" s="39">
        <f t="shared" si="33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79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87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0.2037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1512.7</v>
      </c>
      <c r="AT85" cm="1">
        <f t="array" ref="AT85">$E$10*(1+$AR85)+VLOOKUP($Q85,武学奇术!$A:$ZZ,4,FALSE)+SUM(_xlfn.XLOOKUP($R85:$AK85,增益!$A:$A,增益!$D:$D,0))-$I$2</f>
        <v>5894.8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25"/>
        <v>617</v>
      </c>
      <c r="BC85">
        <f t="shared" si="26"/>
        <v>1169.2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0.5984</v>
      </c>
      <c r="BT85" s="27">
        <f t="shared" si="32"/>
        <v>0.2492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175</v>
      </c>
      <c r="B86" s="4">
        <v>1</v>
      </c>
      <c r="K86" s="39">
        <f t="shared" si="33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79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87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0.2037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1512.7</v>
      </c>
      <c r="AT86" cm="1">
        <f t="array" ref="AT86">$E$10*(1+$AR86)+VLOOKUP($Q86,武学奇术!$A:$ZZ,4,FALSE)+SUM(_xlfn.XLOOKUP($R86:$AK86,增益!$A:$A,增益!$D:$D,0))-$I$2</f>
        <v>5894.8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0.267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25"/>
        <v>617</v>
      </c>
      <c r="BC86">
        <f t="shared" si="26"/>
        <v>1169.2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0.5984</v>
      </c>
      <c r="BT86" s="27">
        <f t="shared" si="32"/>
        <v>0.2492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164</v>
      </c>
      <c r="B87" s="4">
        <v>1</v>
      </c>
      <c r="K87" s="39">
        <f t="shared" ref="K87:K102" si="34">($L87*$BS87+$M87*$BQ87+$N87*$BT87+$O87*$BU87)</f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79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87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0.2037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1512.7</v>
      </c>
      <c r="AT87" cm="1">
        <f t="array" ref="AT87">$E$10*(1+$AR87)+VLOOKUP($Q87,武学奇术!$A:$ZZ,4,FALSE)+SUM(_xlfn.XLOOKUP($R87:$AK87,增益!$A:$A,增益!$D:$D,0))-$I$2</f>
        <v>5894.8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0.267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25"/>
        <v>617</v>
      </c>
      <c r="BC87">
        <f t="shared" si="26"/>
        <v>1169.2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0.5984</v>
      </c>
      <c r="BT87" s="27">
        <f t="shared" si="32"/>
        <v>0.2492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157</v>
      </c>
      <c r="B88" s="4">
        <v>1.2</v>
      </c>
      <c r="C88" s="40" t="s">
        <v>158</v>
      </c>
      <c r="K88" s="39">
        <f t="shared" si="34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79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87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0.2037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1512.7</v>
      </c>
      <c r="AT88" cm="1">
        <f t="array" ref="AT88">$E$10*(1+$AR88)+VLOOKUP($Q88,武学奇术!$A:$ZZ,4,FALSE)+SUM(_xlfn.XLOOKUP($R88:$AK88,增益!$A:$A,增益!$D:$D,0))-$I$2</f>
        <v>5894.8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25"/>
        <v>617</v>
      </c>
      <c r="BC88">
        <f t="shared" si="26"/>
        <v>1169.2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0.5984</v>
      </c>
      <c r="BT88" s="27">
        <f t="shared" si="32"/>
        <v>0.2492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176</v>
      </c>
      <c r="B89" s="4">
        <v>2</v>
      </c>
      <c r="C89" s="40"/>
      <c r="E89" s="40" t="s">
        <v>165</v>
      </c>
      <c r="F89" s="40" t="s">
        <v>166</v>
      </c>
      <c r="K89" s="39">
        <f t="shared" si="34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79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87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0.2037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1512.7</v>
      </c>
      <c r="AT89" cm="1">
        <f t="array" ref="AT89">$E$10*(1+$AR89)+VLOOKUP($Q89,武学奇术!$A:$ZZ,4,FALSE)+SUM(_xlfn.XLOOKUP($R89:$AK89,增益!$A:$A,增益!$D:$D,0))-$I$2</f>
        <v>5894.8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25"/>
        <v>617</v>
      </c>
      <c r="BC89">
        <f t="shared" si="26"/>
        <v>1169.2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0.5984</v>
      </c>
      <c r="BT89" s="27">
        <f t="shared" si="32"/>
        <v>0.2492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0"/>
      <c r="E90" s="40"/>
      <c r="F90" s="40"/>
      <c r="K90" s="39">
        <f t="shared" si="34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79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87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0.2037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1512.7</v>
      </c>
      <c r="AT90" cm="1">
        <f t="array" ref="AT90">$E$10*(1+$AR90)+VLOOKUP($Q90,武学奇术!$A:$ZZ,4,FALSE)+SUM(_xlfn.XLOOKUP($R90:$AK90,增益!$A:$A,增益!$D:$D,0))-$I$2</f>
        <v>5894.8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25"/>
        <v>617</v>
      </c>
      <c r="BC90">
        <f t="shared" si="26"/>
        <v>1169.2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0.5984</v>
      </c>
      <c r="BT90" s="27">
        <f t="shared" si="32"/>
        <v>0.2492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1.66</v>
      </c>
      <c r="C91" s="40"/>
      <c r="E91" s="40"/>
      <c r="F91" s="40"/>
      <c r="K91" s="39">
        <f t="shared" si="34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79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87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1512.7</v>
      </c>
      <c r="AT91" cm="1">
        <f t="array" ref="AT91">$E$10*(1+$AR91)+VLOOKUP($Q91,武学奇术!$A:$ZZ,4,FALSE)+SUM(_xlfn.XLOOKUP($R91:$AK91,增益!$A:$A,增益!$D:$D,0))-$I$2</f>
        <v>5894.8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25"/>
        <v>617</v>
      </c>
      <c r="BC91">
        <f t="shared" si="26"/>
        <v>1169.2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0.5984</v>
      </c>
      <c r="BT91" s="27">
        <f t="shared" si="32"/>
        <v>0.2492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:74">
      <c r="A92" s="4" t="s">
        <v>168</v>
      </c>
      <c r="B92" s="4">
        <v>1.33</v>
      </c>
      <c r="E92" s="40"/>
      <c r="F92" s="40"/>
      <c r="K92" s="39">
        <f t="shared" si="34"/>
        <v>16378.9324895563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18162.4723079723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20225.3950721272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9743.81561586495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4505.8571042283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84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93</v>
      </c>
      <c r="AB92" s="41" t="s">
        <v>76</v>
      </c>
      <c r="AC92" s="41" t="s">
        <v>76</v>
      </c>
      <c r="AD92" s="41" t="s">
        <v>79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87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0.4337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1512.7</v>
      </c>
      <c r="AT92" cm="1">
        <f t="array" ref="AT92">$E$10*(1+$AR92)+VLOOKUP($Q92,武学奇术!$A:$ZZ,4,FALSE)+SUM(_xlfn.XLOOKUP($R92:$AK92,增益!$A:$A,增益!$D:$D,0))-$I$2</f>
        <v>5894.8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0.337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3" cm="1">
        <f t="array" ref="BA92">$G$11+VLOOKUP($Q92,武学奇术!$A:$ZZ,10,FALSE)+SUM(_xlfn.XLOOKUP($R92:$AK92,增益!$A:$A,增益!$J:$J,0))</f>
        <v>0</v>
      </c>
      <c r="BB92">
        <f t="shared" si="25"/>
        <v>617</v>
      </c>
      <c r="BC92">
        <f t="shared" si="26"/>
        <v>1169.2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3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3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0.5984</v>
      </c>
      <c r="BT92" s="27">
        <f t="shared" si="32"/>
        <v>0.2492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:74">
      <c r="A93" s="4" t="s">
        <v>169</v>
      </c>
      <c r="B93" s="4">
        <v>2</v>
      </c>
      <c r="E93" s="40"/>
      <c r="K93" s="39">
        <f t="shared" si="34"/>
        <v>16812.4550199812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18959.1096296582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20090.0121412565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9653.31447538605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4425.1384757673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86</v>
      </c>
      <c r="AB93" s="41" t="s">
        <v>76</v>
      </c>
      <c r="AC93" s="41" t="s">
        <v>76</v>
      </c>
      <c r="AD93" s="41" t="s">
        <v>79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87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0.4137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1512.7</v>
      </c>
      <c r="AT93" cm="1">
        <f t="array" ref="AT93">$E$10*(1+$AR93)+VLOOKUP($Q93,武学奇术!$A:$ZZ,4,FALSE)+SUM(_xlfn.XLOOKUP($R93:$AK93,增益!$A:$A,增益!$D:$D,0))-$I$2</f>
        <v>5894.8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0.367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25"/>
        <v>617</v>
      </c>
      <c r="BC93">
        <f t="shared" si="26"/>
        <v>1169.2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0.5984</v>
      </c>
      <c r="BT93" s="27">
        <f t="shared" si="32"/>
        <v>0.2492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:74">
      <c r="A94" s="4" t="s">
        <v>163</v>
      </c>
      <c r="B94" s="4">
        <v>1.66</v>
      </c>
      <c r="E94" s="40"/>
      <c r="K94" s="39">
        <f t="shared" si="34"/>
        <v>16328.4002844822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18038.4665703132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20317.883970847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9782.24868238245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4514.2129419153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84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93</v>
      </c>
      <c r="AB94" s="41" t="s">
        <v>76</v>
      </c>
      <c r="AC94" s="41" t="s">
        <v>76</v>
      </c>
      <c r="AD94" s="41" t="s">
        <v>79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87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0.4137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1512.7</v>
      </c>
      <c r="AT94" cm="1">
        <f t="array" ref="AT94">$E$10*(1+$AR94)+VLOOKUP($Q94,武学奇术!$A:$ZZ,4,FALSE)+SUM(_xlfn.XLOOKUP($R94:$AK94,增益!$A:$A,增益!$D:$D,0))-$I$2</f>
        <v>5894.8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0.367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3" cm="1">
        <f t="array" ref="BA94">$G$11+VLOOKUP($Q94,武学奇术!$A:$ZZ,10,FALSE)+SUM(_xlfn.XLOOKUP($R94:$AK94,增益!$A:$A,增益!$J:$J,0))</f>
        <v>0</v>
      </c>
      <c r="BB94">
        <f t="shared" si="25"/>
        <v>617</v>
      </c>
      <c r="BC94">
        <f t="shared" si="26"/>
        <v>1169.2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3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3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0.5984</v>
      </c>
      <c r="BT94" s="27">
        <f t="shared" si="32"/>
        <v>0.2492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:74">
      <c r="A95" s="4" t="s">
        <v>168</v>
      </c>
      <c r="B95" s="4">
        <v>1.33</v>
      </c>
      <c r="E95" s="40"/>
      <c r="K95" s="39">
        <f t="shared" si="34"/>
        <v>16985.7513214433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19248.7090639198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20090.0121412565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9653.31447538605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4425.1384757673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86</v>
      </c>
      <c r="AB95" s="41" t="s">
        <v>76</v>
      </c>
      <c r="AC95" s="41" t="s">
        <v>76</v>
      </c>
      <c r="AD95" s="41" t="s">
        <v>79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87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0.4137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1512.7</v>
      </c>
      <c r="AT95" cm="1">
        <f t="array" ref="AT95">$E$10*(1+$AR95)+VLOOKUP($Q95,武学奇术!$A:$ZZ,4,FALSE)+SUM(_xlfn.XLOOKUP($R95:$AK95,增益!$A:$A,增益!$D:$D,0))-$I$2</f>
        <v>5894.8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0.367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25"/>
        <v>617</v>
      </c>
      <c r="BC95">
        <f t="shared" si="26"/>
        <v>1169.2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0.5984</v>
      </c>
      <c r="BT95" s="27">
        <f t="shared" si="32"/>
        <v>0.2492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:74">
      <c r="A96" s="4" t="s">
        <v>163</v>
      </c>
      <c r="B96" s="4">
        <v>1.66</v>
      </c>
      <c r="E96" s="40"/>
      <c r="K96" s="39">
        <f t="shared" si="34"/>
        <v>19270.4543897943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21288.6407271264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23978.7639655942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11544.8160125415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5327.5846431613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84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161</v>
      </c>
      <c r="AA96" s="41" t="s">
        <v>93</v>
      </c>
      <c r="AB96" s="41" t="s">
        <v>76</v>
      </c>
      <c r="AC96" s="41" t="s">
        <v>76</v>
      </c>
      <c r="AD96" s="41" t="s">
        <v>79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87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0.4137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1512.7</v>
      </c>
      <c r="AT96" cm="1">
        <f t="array" ref="AT96">$E$10*(1+$AR96)+VLOOKUP($Q96,武学奇术!$A:$ZZ,4,FALSE)+SUM(_xlfn.XLOOKUP($R96:$AK96,增益!$A:$A,增益!$D:$D,0))-$I$2</f>
        <v>5894.8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0.367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3" cm="1">
        <f t="array" ref="BA96">$G$11+VLOOKUP($Q96,武学奇术!$A:$ZZ,10,FALSE)+SUM(_xlfn.XLOOKUP($R96:$AK96,增益!$A:$A,增益!$J:$J,0))</f>
        <v>0.1</v>
      </c>
      <c r="BB96">
        <f t="shared" si="25"/>
        <v>617</v>
      </c>
      <c r="BC96">
        <f t="shared" si="26"/>
        <v>1169.2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3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3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0.5984</v>
      </c>
      <c r="BT96" s="27">
        <f t="shared" si="32"/>
        <v>0.2492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0.31</v>
      </c>
    </row>
    <row r="97" spans="1:74">
      <c r="A97" s="4" t="s">
        <v>168</v>
      </c>
      <c r="B97" s="4">
        <v>1.33</v>
      </c>
      <c r="E97" s="40"/>
      <c r="K97" s="39">
        <f t="shared" si="34"/>
        <v>17206.4549262129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19505.8038726706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20317.883970847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9782.24868238245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4514.2129419153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84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86</v>
      </c>
      <c r="AB97" s="41" t="s">
        <v>76</v>
      </c>
      <c r="AC97" s="41" t="s">
        <v>76</v>
      </c>
      <c r="AD97" s="41" t="s">
        <v>79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87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0.4137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1512.7</v>
      </c>
      <c r="AT97" cm="1">
        <f t="array" ref="AT97">$E$10*(1+$AR97)+VLOOKUP($Q97,武学奇术!$A:$ZZ,4,FALSE)+SUM(_xlfn.XLOOKUP($R97:$AK97,增益!$A:$A,增益!$D:$D,0))-$I$2</f>
        <v>5894.8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0.367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3" cm="1">
        <f t="array" ref="BA97">$G$11+VLOOKUP($Q97,武学奇术!$A:$ZZ,10,FALSE)+SUM(_xlfn.XLOOKUP($R97:$AK97,增益!$A:$A,增益!$J:$J,0))</f>
        <v>0</v>
      </c>
      <c r="BB97">
        <f t="shared" si="25"/>
        <v>617</v>
      </c>
      <c r="BC97">
        <f t="shared" si="26"/>
        <v>1169.2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3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3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0.5984</v>
      </c>
      <c r="BT97" s="27">
        <f t="shared" si="32"/>
        <v>0.2492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:74">
      <c r="A98" s="4" t="s">
        <v>164</v>
      </c>
      <c r="B98" s="4">
        <v>1</v>
      </c>
      <c r="E98" s="40"/>
      <c r="K98" s="39">
        <f t="shared" si="34"/>
        <v>16328.4002844822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18038.4665703132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20317.883970847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9782.24868238245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4514.2129419153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84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93</v>
      </c>
      <c r="AB98" s="41" t="s">
        <v>76</v>
      </c>
      <c r="AC98" s="41" t="s">
        <v>76</v>
      </c>
      <c r="AD98" s="41" t="s">
        <v>79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87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0.4137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1512.7</v>
      </c>
      <c r="AT98" cm="1">
        <f t="array" ref="AT98">$E$10*(1+$AR98)+VLOOKUP($Q98,武学奇术!$A:$ZZ,4,FALSE)+SUM(_xlfn.XLOOKUP($R98:$AK98,增益!$A:$A,增益!$D:$D,0))-$I$2</f>
        <v>5894.8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0.367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3" cm="1">
        <f t="array" ref="BA98">$G$11+VLOOKUP($Q98,武学奇术!$A:$ZZ,10,FALSE)+SUM(_xlfn.XLOOKUP($R98:$AK98,增益!$A:$A,增益!$J:$J,0))</f>
        <v>0</v>
      </c>
      <c r="BB98">
        <f t="shared" si="25"/>
        <v>617</v>
      </c>
      <c r="BC98">
        <f t="shared" si="26"/>
        <v>1169.2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3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3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0.5984</v>
      </c>
      <c r="BT98" s="27">
        <f t="shared" si="32"/>
        <v>0.2492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:74">
      <c r="A99" s="4" t="s">
        <v>163</v>
      </c>
      <c r="B99" s="4">
        <v>1.66</v>
      </c>
      <c r="K99" s="39">
        <f t="shared" si="34"/>
        <v>15272.1868474749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16553.439624906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19693.498074754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9491.65116106995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4395.5259704703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84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93</v>
      </c>
      <c r="AB99" s="41" t="s">
        <v>76</v>
      </c>
      <c r="AC99" s="41" t="s">
        <v>76</v>
      </c>
      <c r="AD99" s="41" t="s">
        <v>79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87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0.4137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1512.7</v>
      </c>
      <c r="AT99" cm="1">
        <f t="array" ref="AT99">$E$10*(1+$AR99)+VLOOKUP($Q99,武学奇术!$A:$ZZ,4,FALSE)+SUM(_xlfn.XLOOKUP($R99:$AK99,增益!$A:$A,增益!$D:$D,0))-$I$2</f>
        <v>5894.8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0.317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3" cm="1">
        <f t="array" ref="BA99">$G$11+VLOOKUP($Q99,武学奇术!$A:$ZZ,10,FALSE)+SUM(_xlfn.XLOOKUP($R99:$AK99,增益!$A:$A,增益!$J:$J,0))</f>
        <v>0</v>
      </c>
      <c r="BB99">
        <f t="shared" si="25"/>
        <v>617</v>
      </c>
      <c r="BC99">
        <f t="shared" si="26"/>
        <v>1169.2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3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3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27" cm="1">
        <f t="array" ref="BR99">1+$B$14+VLOOKUP($Q99,武学奇术!$A:$ZZ,20,FALSE)+SUM(_xlfn.XLOOKUP($R99:$AK99,增益!$A:$A,增益!$T:$T,0))</f>
        <v>1.35</v>
      </c>
      <c r="BS99" s="27">
        <f t="shared" si="31"/>
        <v>0.5984</v>
      </c>
      <c r="BT99" s="27">
        <f t="shared" si="32"/>
        <v>0.2492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:74">
      <c r="A100" s="4" t="s">
        <v>168</v>
      </c>
      <c r="B100" s="4">
        <v>1.33</v>
      </c>
      <c r="K100" s="39">
        <f t="shared" si="34"/>
        <v>16119.2698141326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17800.7118926119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20090.0121412565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9653.31447538605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4425.1384757673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86</v>
      </c>
      <c r="AB100" s="41" t="s">
        <v>76</v>
      </c>
      <c r="AC100" s="41" t="s">
        <v>76</v>
      </c>
      <c r="AD100" s="41" t="s">
        <v>79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87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0.4137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1512.7</v>
      </c>
      <c r="AT100" cm="1">
        <f t="array" ref="AT100">$E$10*(1+$AR100)+VLOOKUP($Q100,武学奇术!$A:$ZZ,4,FALSE)+SUM(_xlfn.XLOOKUP($R100:$AK100,增益!$A:$A,增益!$D:$D,0))-$I$2</f>
        <v>5894.8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0.367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25"/>
        <v>617</v>
      </c>
      <c r="BC100">
        <f t="shared" si="26"/>
        <v>1169.2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31"/>
        <v>0.5984</v>
      </c>
      <c r="BT100" s="27">
        <f t="shared" si="32"/>
        <v>0.2492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:74">
      <c r="A101" s="4" t="s">
        <v>157</v>
      </c>
      <c r="B101" s="4">
        <v>1.2</v>
      </c>
      <c r="C101" t="s">
        <v>158</v>
      </c>
      <c r="K101" s="39">
        <f t="shared" si="34"/>
        <v>20306.7170750801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23020.3631290077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23978.7639655942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11544.8160125415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5327.5846431613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84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161</v>
      </c>
      <c r="AA101" s="41" t="s">
        <v>93</v>
      </c>
      <c r="AB101" s="41" t="s">
        <v>76</v>
      </c>
      <c r="AC101" s="41" t="s">
        <v>76</v>
      </c>
      <c r="AD101" s="41" t="s">
        <v>79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87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0.4137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1512.7</v>
      </c>
      <c r="AT101" cm="1">
        <f t="array" ref="AT101">$E$10*(1+$AR101)+VLOOKUP($Q101,武学奇术!$A:$ZZ,4,FALSE)+SUM(_xlfn.XLOOKUP($R101:$AK101,增益!$A:$A,增益!$D:$D,0))-$I$2</f>
        <v>5894.8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0.367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3" cm="1">
        <f t="array" ref="BA101">$G$11+VLOOKUP($Q101,武学奇术!$A:$ZZ,10,FALSE)+SUM(_xlfn.XLOOKUP($R101:$AK101,增益!$A:$A,增益!$J:$J,0))</f>
        <v>0.1</v>
      </c>
      <c r="BB101">
        <f t="shared" si="25"/>
        <v>617</v>
      </c>
      <c r="BC101">
        <f t="shared" si="26"/>
        <v>1169.2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3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3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31"/>
        <v>0.5984</v>
      </c>
      <c r="BT101" s="27">
        <f t="shared" si="32"/>
        <v>0.2492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39">
        <f t="shared" si="34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79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87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0.2037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1512.7</v>
      </c>
      <c r="AT102" cm="1">
        <f t="array" ref="AT102">$E$10*(1+$AR102)+VLOOKUP($Q102,武学奇术!$A:$ZZ,4,FALSE)+SUM(_xlfn.XLOOKUP($R102:$AK102,增益!$A:$A,增益!$D:$D,0))-$I$2</f>
        <v>5894.8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25"/>
        <v>617</v>
      </c>
      <c r="BC102">
        <f t="shared" si="26"/>
        <v>1169.2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31"/>
        <v>0.5984</v>
      </c>
      <c r="BT102" s="27">
        <f t="shared" si="32"/>
        <v>0.2492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A103" s="4" t="s">
        <v>163</v>
      </c>
      <c r="B103" s="4">
        <v>1.66</v>
      </c>
      <c r="E103" s="40" t="s">
        <v>165</v>
      </c>
      <c r="F103" s="40" t="s">
        <v>166</v>
      </c>
    </row>
    <row r="104" spans="1:74">
      <c r="A104" s="4" t="s">
        <v>168</v>
      </c>
      <c r="B104" s="4">
        <v>1.33</v>
      </c>
      <c r="E104" s="40"/>
      <c r="F104" s="40"/>
    </row>
    <row r="105" spans="1:74">
      <c r="A105" s="4" t="s">
        <v>163</v>
      </c>
      <c r="B105" s="4">
        <v>1.66</v>
      </c>
      <c r="E105" s="40"/>
      <c r="F105" s="40"/>
    </row>
    <row r="106" spans="1:74">
      <c r="A106" s="4" t="s">
        <v>168</v>
      </c>
      <c r="B106" s="4">
        <v>1.33</v>
      </c>
      <c r="C106" s="40" t="s">
        <v>171</v>
      </c>
      <c r="E106" s="40"/>
      <c r="F106" s="40"/>
    </row>
    <row r="107" spans="1:74">
      <c r="A107" s="4" t="s">
        <v>168</v>
      </c>
      <c r="B107" s="4">
        <v>1.33</v>
      </c>
      <c r="C107" s="40"/>
      <c r="E107" s="40"/>
    </row>
    <row r="108" spans="1:74">
      <c r="A108" s="4" t="s">
        <v>168</v>
      </c>
      <c r="B108" s="4">
        <v>1.33</v>
      </c>
      <c r="C108" s="40"/>
      <c r="E108" s="40"/>
      <c r="F108" s="40" t="s">
        <v>166</v>
      </c>
    </row>
    <row r="109" spans="1:74">
      <c r="A109" s="4" t="s">
        <v>163</v>
      </c>
      <c r="B109" s="4">
        <v>1.66</v>
      </c>
      <c r="C109" s="40"/>
      <c r="E109" s="40"/>
      <c r="F109" s="40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/>
      <c r="C2" s="32"/>
      <c r="D2" s="32"/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620</v>
      </c>
      <c r="K2" s="39">
        <f t="shared" ref="K2:K65" si="0">($L2*$BS2+$M2*$BQ2+$N2*$BT2+$O2*$BU2)</f>
        <v>20394.5170497465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22440.7189169926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25254.6415671778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12508.761938123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6310.38197463277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76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1450.7</v>
      </c>
      <c r="AT2" cm="1">
        <f t="array" ref="AT2">$E$10*(1+$AR2)+VLOOKUP($Q2,武学奇术!$A:$ZZ,4,FALSE)+SUM(_xlfn.XLOOKUP($R2:$AK2,增益!$A:$A,增益!$D:$D,0))-$I$2</f>
        <v>5832.8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0.167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 t="shared" ref="BB2:BB65" si="3">$D$12*(1+$AW2)</f>
        <v>617</v>
      </c>
      <c r="BC2">
        <f t="shared" ref="BC2:BC65" si="4">$E$12*(1+$AW2)</f>
        <v>1169.2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0.5984</v>
      </c>
      <c r="BT2" s="27">
        <f t="shared" ref="BT2:BT65" si="10">1-BQ2-BS2-BU2</f>
        <v>0.2492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0.2037</v>
      </c>
      <c r="H3" s="46" t="s">
        <v>82</v>
      </c>
      <c r="I3" s="11">
        <f>25-IF(D17="√",10,0)-IF(F17="√",10,0)</f>
        <v>25</v>
      </c>
      <c r="K3" s="39">
        <f t="shared" si="0"/>
        <v>21068.43378733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23223.7918039195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26005.5175539733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12873.4987826605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6483.65122904447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76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76</v>
      </c>
      <c r="AB3" s="41" t="s">
        <v>76</v>
      </c>
      <c r="AC3" s="41" t="s">
        <v>76</v>
      </c>
      <c r="AD3" s="41" t="s">
        <v>76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76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1450.7</v>
      </c>
      <c r="AT3" cm="1">
        <f t="array" ref="AT3">$E$10*(1+$AR3)+VLOOKUP($Q3,武学奇术!$A:$ZZ,4,FALSE)+SUM(_xlfn.XLOOKUP($R3:$AK3,增益!$A:$A,增益!$D:$D,0))-$I$2</f>
        <v>5832.8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0.187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3" cm="1">
        <f t="array" ref="BA3">$G$11+VLOOKUP($Q3,武学奇术!$A:$ZZ,10,FALSE)+SUM(_xlfn.XLOOKUP($R3:$AK3,增益!$A:$A,增益!$J:$J,0))</f>
        <v>0</v>
      </c>
      <c r="BB3">
        <f t="shared" si="3"/>
        <v>617</v>
      </c>
      <c r="BC3">
        <f t="shared" si="4"/>
        <v>1169.2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3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3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0.5984</v>
      </c>
      <c r="BT3" s="27">
        <f t="shared" si="10"/>
        <v>0.2492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/>
      <c r="C4" s="52"/>
      <c r="D4" s="52"/>
      <c r="E4" s="53"/>
      <c r="F4" s="46" t="s">
        <v>88</v>
      </c>
      <c r="G4" s="50">
        <f>B15+B17</f>
        <v>0.1704</v>
      </c>
      <c r="H4" s="54" t="s">
        <v>89</v>
      </c>
      <c r="I4" s="14">
        <f>30</f>
        <v>30</v>
      </c>
      <c r="K4" s="39">
        <f t="shared" si="0"/>
        <v>22033.3225214047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24508.7389555429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26725.8694263053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13219.3845499152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6641.82878404877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76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76</v>
      </c>
      <c r="AB4" s="41" t="s">
        <v>76</v>
      </c>
      <c r="AC4" s="41" t="s">
        <v>76</v>
      </c>
      <c r="AD4" s="41" t="s">
        <v>76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76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1450.7</v>
      </c>
      <c r="AT4" cm="1">
        <f t="array" ref="AT4">$E$10*(1+$AR4)+VLOOKUP($Q4,武学奇术!$A:$ZZ,4,FALSE)+SUM(_xlfn.XLOOKUP($R4:$AK4,增益!$A:$A,增益!$D:$D,0))-$I$2</f>
        <v>5832.8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0.217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3" cm="1">
        <f t="array" ref="BA4">$G$11+VLOOKUP($Q4,武学奇术!$A:$ZZ,10,FALSE)+SUM(_xlfn.XLOOKUP($R4:$AK4,增益!$A:$A,增益!$J:$J,0))</f>
        <v>0</v>
      </c>
      <c r="BB4">
        <f t="shared" si="3"/>
        <v>617</v>
      </c>
      <c r="BC4">
        <f t="shared" si="4"/>
        <v>1169.2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0.5984</v>
      </c>
      <c r="BT4" s="27">
        <f t="shared" si="10"/>
        <v>0.2492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0.0852</v>
      </c>
      <c r="H5" t="s">
        <v>96</v>
      </c>
      <c r="I5" s="29">
        <v>0.06</v>
      </c>
      <c r="K5" s="39">
        <f t="shared" si="0"/>
        <v>22426.1131415984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24989.2760461704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27110.8226603137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13406.2639732674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6730.43708704318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76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76</v>
      </c>
      <c r="AB5" s="41" t="s">
        <v>76</v>
      </c>
      <c r="AC5" s="41" t="s">
        <v>76</v>
      </c>
      <c r="AD5" s="41" t="s">
        <v>76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76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1450.7</v>
      </c>
      <c r="AT5" cm="1">
        <f t="array" ref="AT5">$E$10*(1+$AR5)+VLOOKUP($Q5,武学奇术!$A:$ZZ,4,FALSE)+SUM(_xlfn.XLOOKUP($R5:$AK5,增益!$A:$A,增益!$D:$D,0))-$I$2</f>
        <v>5832.8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0.227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3" cm="1">
        <f t="array" ref="BA5">$G$11+VLOOKUP($Q5,武学奇术!$A:$ZZ,10,FALSE)+SUM(_xlfn.XLOOKUP($R5:$AK5,增益!$A:$A,增益!$J:$J,0))</f>
        <v>0</v>
      </c>
      <c r="BB5">
        <f t="shared" si="3"/>
        <v>617</v>
      </c>
      <c r="BC5">
        <f t="shared" si="4"/>
        <v>1169.2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0.5984</v>
      </c>
      <c r="BT5" s="27">
        <f t="shared" si="10"/>
        <v>0.2492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23430.4192974686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26333.9489691789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27844.767733518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13758.5940277841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6891.43417888828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76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76</v>
      </c>
      <c r="AB6" s="41" t="s">
        <v>76</v>
      </c>
      <c r="AC6" s="41" t="s">
        <v>76</v>
      </c>
      <c r="AD6" s="41" t="s">
        <v>76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76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1450.7</v>
      </c>
      <c r="AT6" cm="1">
        <f t="array" ref="AT6">$E$10*(1+$AR6)+VLOOKUP($Q6,武学奇术!$A:$ZZ,4,FALSE)+SUM(_xlfn.XLOOKUP($R6:$AK6,增益!$A:$A,增益!$D:$D,0))-$I$2</f>
        <v>5832.8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3" cm="1">
        <f t="array" ref="BA6">$G$11+VLOOKUP($Q6,武学奇术!$A:$ZZ,10,FALSE)+SUM(_xlfn.XLOOKUP($R6:$AK6,增益!$A:$A,增益!$J:$J,0))</f>
        <v>0</v>
      </c>
      <c r="BB6">
        <f t="shared" si="3"/>
        <v>617</v>
      </c>
      <c r="BC6">
        <f t="shared" si="4"/>
        <v>1169.2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0.5984</v>
      </c>
      <c r="BT6" s="27">
        <f t="shared" si="10"/>
        <v>0.2492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42" t="s">
        <v>104</v>
      </c>
      <c r="B7" s="61"/>
      <c r="C7" s="61"/>
      <c r="D7" s="62"/>
      <c r="E7" s="63"/>
      <c r="F7" s="54" t="s">
        <v>105</v>
      </c>
      <c r="G7" s="64">
        <f>B20</f>
        <v>0</v>
      </c>
      <c r="K7" s="39">
        <f t="shared" si="0"/>
        <v>255816.504388283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255523.885871463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264767.744325419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134203.721571147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72283.1880864279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76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76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0.8241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1450.7</v>
      </c>
      <c r="AT7" cm="1">
        <f t="array" ref="AT7">$E$10*(1+$AR7)+VLOOKUP($Q7,武学奇术!$A:$ZZ,4,FALSE)+SUM(_xlfn.XLOOKUP($R7:$AK7,增益!$A:$A,增益!$D:$D,0))-$I$2</f>
        <v>6032.8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0.177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617</v>
      </c>
      <c r="BC7">
        <f t="shared" si="4"/>
        <v>1169.2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0.8384</v>
      </c>
      <c r="BT7" s="27">
        <f t="shared" si="10"/>
        <v>0.00919999999999999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f>期望!B8</f>
        <v>1.0116</v>
      </c>
      <c r="C8" s="67" t="s">
        <v>110</v>
      </c>
      <c r="D8" s="67"/>
      <c r="E8" s="67"/>
      <c r="F8" s="67"/>
      <c r="G8" s="38"/>
      <c r="H8" s="68" t="s">
        <v>111</v>
      </c>
      <c r="I8" s="18">
        <f>期望!I8</f>
        <v>101.4</v>
      </c>
      <c r="J8" s="69"/>
      <c r="K8" s="39">
        <f t="shared" si="0"/>
        <v>7899.75732761288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8772.95449408187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9480.50046781621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4836.24834293378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2649.90374674443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76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76</v>
      </c>
      <c r="AB8" s="41" t="s">
        <v>76</v>
      </c>
      <c r="AC8" s="41" t="s">
        <v>76</v>
      </c>
      <c r="AD8" s="41" t="s">
        <v>76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76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1450.7</v>
      </c>
      <c r="AT8" cm="1">
        <f t="array" ref="AT8">$E$10*(1+$AR8)+VLOOKUP($Q8,武学奇术!$A:$ZZ,4,FALSE)+SUM(_xlfn.XLOOKUP($R8:$AK8,增益!$A:$A,增益!$D:$D,0))-$I$2</f>
        <v>5832.8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0.177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3" cm="1">
        <f t="array" ref="BA8">$G$11+VLOOKUP($Q8,武学奇术!$A:$ZZ,10,FALSE)+SUM(_xlfn.XLOOKUP($R8:$AK8,增益!$A:$A,增益!$J:$J,0))</f>
        <v>0</v>
      </c>
      <c r="BB8">
        <f t="shared" si="3"/>
        <v>617</v>
      </c>
      <c r="BC8">
        <f t="shared" si="4"/>
        <v>1169.2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0.5984</v>
      </c>
      <c r="BT8" s="27">
        <f t="shared" si="10"/>
        <v>0.2492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113</v>
      </c>
      <c r="B9" s="70">
        <f>期望!B9</f>
        <v>0.5524</v>
      </c>
      <c r="C9" s="23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282586.717967913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282487.183507665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291283.698705784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147589.960035352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79414.2173256795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76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76</v>
      </c>
      <c r="AB9" s="41" t="s">
        <v>76</v>
      </c>
      <c r="AC9" s="41" t="s">
        <v>76</v>
      </c>
      <c r="AD9" s="41" t="s">
        <v>76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76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0.9941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1450.7</v>
      </c>
      <c r="AT9" cm="1">
        <f t="array" ref="AT9">$E$10*(1+$AR9)+VLOOKUP($Q9,武学奇术!$A:$ZZ,4,FALSE)+SUM(_xlfn.XLOOKUP($R9:$AK9,增益!$A:$A,增益!$D:$D,0))-$I$2</f>
        <v>6032.8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0.187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3" cm="1">
        <f t="array" ref="BA9">$G$11+VLOOKUP($Q9,武学奇术!$A:$ZZ,10,FALSE)+SUM(_xlfn.XLOOKUP($R9:$AK9,增益!$A:$A,增益!$J:$J,0))</f>
        <v>0</v>
      </c>
      <c r="BB9">
        <f t="shared" si="3"/>
        <v>617</v>
      </c>
      <c r="BC9">
        <f t="shared" si="4"/>
        <v>1169.2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0.8384</v>
      </c>
      <c r="BT9" s="27">
        <f t="shared" si="10"/>
        <v>0.00919999999999999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f>期望!B10</f>
        <v>0.1524</v>
      </c>
      <c r="C10" s="23" t="s">
        <v>71</v>
      </c>
      <c r="D10">
        <f>期望!D10</f>
        <v>2070.7</v>
      </c>
      <c r="E10">
        <f>期望!E10</f>
        <v>6452.8</v>
      </c>
      <c r="F10">
        <f>期望!F10</f>
        <v>58.4</v>
      </c>
      <c r="G10" s="50">
        <f>期望!G10</f>
        <v>0</v>
      </c>
      <c r="H10" s="68" t="s">
        <v>116</v>
      </c>
      <c r="I10" s="73">
        <f>SUM(K:K)</f>
        <v>13043248.7069787</v>
      </c>
      <c r="J10" s="74"/>
      <c r="K10" s="39">
        <f t="shared" si="0"/>
        <v>169004.302189654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168935.250916514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174258.325796104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88262.9315133302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47445.6216962133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76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76</v>
      </c>
      <c r="AB10" s="41" t="s">
        <v>76</v>
      </c>
      <c r="AC10" s="41" t="s">
        <v>76</v>
      </c>
      <c r="AD10" s="41" t="s">
        <v>76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76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1450.7</v>
      </c>
      <c r="AT10" cm="1">
        <f t="array" ref="AT10">$E$10*(1+$AR10)+VLOOKUP($Q10,武学奇术!$A:$ZZ,4,FALSE)+SUM(_xlfn.XLOOKUP($R10:$AK10,增益!$A:$A,增益!$D:$D,0))-$I$2</f>
        <v>6032.8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0.197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617</v>
      </c>
      <c r="BC10">
        <f t="shared" si="4"/>
        <v>1169.2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0.8384</v>
      </c>
      <c r="BT10" s="27">
        <f t="shared" si="10"/>
        <v>0.00919999999999999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118</v>
      </c>
      <c r="B11" s="70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298682.77395172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299747.828666085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301640.947067194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152621.094025501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81804.4494827109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76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76</v>
      </c>
      <c r="AB11" s="41" t="s">
        <v>76</v>
      </c>
      <c r="AC11" s="41" t="s">
        <v>76</v>
      </c>
      <c r="AD11" s="41" t="s">
        <v>76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76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1450.7</v>
      </c>
      <c r="AT11" cm="1">
        <f t="array" ref="AT11">$E$10*(1+$AR11)+VLOOKUP($Q11,武学奇术!$A:$ZZ,4,FALSE)+SUM(_xlfn.XLOOKUP($R11:$AK11,增益!$A:$A,增益!$D:$D,0))-$I$2</f>
        <v>6032.8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0.227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617</v>
      </c>
      <c r="BC11">
        <f t="shared" si="4"/>
        <v>1169.2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0.8384</v>
      </c>
      <c r="BT11" s="27">
        <f t="shared" si="10"/>
        <v>0.00919999999999999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f>期望!B12</f>
        <v>0</v>
      </c>
      <c r="C12" s="23" t="s">
        <v>5</v>
      </c>
      <c r="D12">
        <f>期望!D12</f>
        <v>617</v>
      </c>
      <c r="E12">
        <f>期望!E12</f>
        <v>1169.2</v>
      </c>
      <c r="F12">
        <f>期望!F12</f>
        <v>42</v>
      </c>
      <c r="G12" s="50">
        <f>期望!G12</f>
        <v>0.15</v>
      </c>
      <c r="H12" s="68" t="s">
        <v>178</v>
      </c>
      <c r="I12" s="39">
        <f>I10/I8</f>
        <v>128631.644053045</v>
      </c>
      <c r="J12" s="77"/>
      <c r="K12" s="39">
        <f t="shared" si="0"/>
        <v>181947.20753238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183013.798662525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181522.58576037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91782.2460694709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49103.3175016309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76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76</v>
      </c>
      <c r="AB12" s="41" t="s">
        <v>76</v>
      </c>
      <c r="AC12" s="41" t="s">
        <v>76</v>
      </c>
      <c r="AD12" s="41" t="s">
        <v>76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76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1.0241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1450.7</v>
      </c>
      <c r="AT12" cm="1">
        <f t="array" ref="AT12">$E$10*(1+$AR12)+VLOOKUP($Q12,武学奇术!$A:$ZZ,4,FALSE)+SUM(_xlfn.XLOOKUP($R12:$AK12,增益!$A:$A,增益!$D:$D,0))-$I$2</f>
        <v>6032.8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617</v>
      </c>
      <c r="BC12">
        <f t="shared" si="4"/>
        <v>1169.2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0.8384</v>
      </c>
      <c r="BT12" s="27">
        <f t="shared" si="10"/>
        <v>0.00919999999999999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122</v>
      </c>
      <c r="B13" s="70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311993.285089439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314295.234231843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308743.127223357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156055.230502404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83411.8482467665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76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76</v>
      </c>
      <c r="AB13" s="41" t="s">
        <v>76</v>
      </c>
      <c r="AC13" s="41" t="s">
        <v>76</v>
      </c>
      <c r="AD13" s="41" t="s">
        <v>76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76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1450.7</v>
      </c>
      <c r="AT13" cm="1">
        <f t="array" ref="AT13">$E$10*(1+$AR13)+VLOOKUP($Q13,武学奇术!$A:$ZZ,4,FALSE)+SUM(_xlfn.XLOOKUP($R13:$AK13,增益!$A:$A,增益!$D:$D,0))-$I$2</f>
        <v>6032.8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0.257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617</v>
      </c>
      <c r="BC13">
        <f t="shared" si="4"/>
        <v>1169.2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0.8384</v>
      </c>
      <c r="BT13" s="27">
        <f t="shared" si="10"/>
        <v>0.00919999999999999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123</v>
      </c>
      <c r="B14" s="70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4">
        <f>期望!G14</f>
        <v>0</v>
      </c>
      <c r="H14" s="37" t="s">
        <v>124</v>
      </c>
      <c r="I14" s="73">
        <f>I12+120000*16%</f>
        <v>147831.644053045</v>
      </c>
      <c r="J14" s="74"/>
      <c r="K14" s="39">
        <f t="shared" si="0"/>
        <v>177084.150623789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176935.526453592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183011.361221992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92442.8037897553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49321.6363039605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76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76</v>
      </c>
      <c r="AB14" s="41" t="s">
        <v>76</v>
      </c>
      <c r="AC14" s="41" t="s">
        <v>76</v>
      </c>
      <c r="AD14" s="41" t="s">
        <v>76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76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1450.7</v>
      </c>
      <c r="AT14" cm="1">
        <f t="array" ref="AT14">$E$10*(1+$AR14)+VLOOKUP($Q14,武学奇术!$A:$ZZ,4,FALSE)+SUM(_xlfn.XLOOKUP($R14:$AK14,增益!$A:$A,增益!$D:$D,0))-$I$2</f>
        <v>6032.8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0.277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617</v>
      </c>
      <c r="BC14">
        <f t="shared" si="4"/>
        <v>1169.2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0.8384</v>
      </c>
      <c r="BT14" s="27">
        <f t="shared" si="10"/>
        <v>0.00919999999999999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127</v>
      </c>
      <c r="B15" s="70">
        <f>期望!B15</f>
        <v>0.0852</v>
      </c>
      <c r="C15" s="40" t="s">
        <v>128</v>
      </c>
      <c r="D15" s="40"/>
      <c r="F15" s="79"/>
      <c r="H15" s="80"/>
      <c r="I15" s="75"/>
      <c r="J15" s="76"/>
      <c r="K15" s="39">
        <f t="shared" si="0"/>
        <v>292069.790681294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291102.979870339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305692.456532943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154513.258954532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82587.6612179955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76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76</v>
      </c>
      <c r="AB15" s="41" t="s">
        <v>76</v>
      </c>
      <c r="AC15" s="41" t="s">
        <v>76</v>
      </c>
      <c r="AD15" s="41" t="s">
        <v>76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76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1.0041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1450.7</v>
      </c>
      <c r="AT15" cm="1">
        <f t="array" ref="AT15">$E$10*(1+$AR15)+VLOOKUP($Q15,武学奇术!$A:$ZZ,4,FALSE)+SUM(_xlfn.XLOOKUP($R15:$AK15,增益!$A:$A,增益!$D:$D,0))-$I$2</f>
        <v>6032.8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0.257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617</v>
      </c>
      <c r="BC15">
        <f t="shared" si="4"/>
        <v>1169.2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0.8384</v>
      </c>
      <c r="BT15" s="27">
        <f t="shared" si="10"/>
        <v>0.00919999999999999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f>期望!B16</f>
        <v>0.0887</v>
      </c>
      <c r="C16" s="40"/>
      <c r="D16" s="40"/>
      <c r="E16" s="40" t="s">
        <v>131</v>
      </c>
      <c r="F16" s="79" t="s">
        <v>132</v>
      </c>
      <c r="H16" s="68" t="s">
        <v>133</v>
      </c>
      <c r="I16" s="81"/>
      <c r="J16" s="82"/>
      <c r="K16" s="39">
        <f t="shared" si="0"/>
        <v>181725.567109956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182164.639310457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184652.555364347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93226.529841585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49673.3890429131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76</v>
      </c>
      <c r="AB16" s="41" t="s">
        <v>76</v>
      </c>
      <c r="AC16" s="41" t="s">
        <v>76</v>
      </c>
      <c r="AD16" s="41" t="s">
        <v>76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76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1.0041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1450.7</v>
      </c>
      <c r="AT16" cm="1">
        <f t="array" ref="AT16">$E$10*(1+$AR16)+VLOOKUP($Q16,武学奇术!$A:$ZZ,4,FALSE)+SUM(_xlfn.XLOOKUP($R16:$AK16,增益!$A:$A,增益!$D:$D,0))-$I$2</f>
        <v>6032.8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0.292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617</v>
      </c>
      <c r="BC16">
        <f t="shared" si="4"/>
        <v>1169.2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0.8384</v>
      </c>
      <c r="BT16" s="27">
        <f t="shared" si="10"/>
        <v>0.00919999999999999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135</v>
      </c>
      <c r="B17" s="70">
        <f>期望!B17</f>
        <v>0.0852</v>
      </c>
      <c r="C17" s="40" t="s">
        <v>136</v>
      </c>
      <c r="D17" s="79" t="s">
        <v>152</v>
      </c>
      <c r="E17" s="40" t="s">
        <v>137</v>
      </c>
      <c r="F17" s="79" t="s">
        <v>152</v>
      </c>
      <c r="H17" s="71"/>
      <c r="I17" s="83"/>
      <c r="J17" s="84"/>
      <c r="K17" s="39">
        <f t="shared" si="0"/>
        <v>273899.207050203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273683.387835683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282989.134853181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142990.275776219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76358.9701797111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76</v>
      </c>
      <c r="AB17" s="41" t="s">
        <v>76</v>
      </c>
      <c r="AC17" s="41" t="s">
        <v>76</v>
      </c>
      <c r="AD17" s="41" t="s">
        <v>76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76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1450.7</v>
      </c>
      <c r="AT17" cm="1">
        <f t="array" ref="AT17">$E$10*(1+$AR17)+VLOOKUP($Q17,武学奇术!$A:$ZZ,4,FALSE)+SUM(_xlfn.XLOOKUP($R17:$AK17,增益!$A:$A,增益!$D:$D,0))-$I$2</f>
        <v>6032.8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0.267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617</v>
      </c>
      <c r="BC17">
        <f t="shared" si="4"/>
        <v>1169.2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0.8384</v>
      </c>
      <c r="BT17" s="27">
        <f t="shared" si="10"/>
        <v>0.00919999999999999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f>期望!B18</f>
        <v>0</v>
      </c>
      <c r="C18" s="40" t="s">
        <v>141</v>
      </c>
      <c r="D18" s="79" t="s">
        <v>152</v>
      </c>
      <c r="E18" s="40" t="s">
        <v>142</v>
      </c>
      <c r="F18" s="79" t="s">
        <v>132</v>
      </c>
      <c r="K18" s="39">
        <f t="shared" si="0"/>
        <v>167936.474013118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168479.118701274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169910.572001094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85783.665326514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45707.6476892551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76</v>
      </c>
      <c r="AB18" s="41" t="s">
        <v>76</v>
      </c>
      <c r="AC18" s="41" t="s">
        <v>76</v>
      </c>
      <c r="AD18" s="41" t="s">
        <v>76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76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1450.7</v>
      </c>
      <c r="AT18" cm="1">
        <f t="array" ref="AT18">$E$10*(1+$AR18)+VLOOKUP($Q18,武学奇术!$A:$ZZ,4,FALSE)+SUM(_xlfn.XLOOKUP($R18:$AK18,增益!$A:$A,增益!$D:$D,0))-$I$2</f>
        <v>6032.8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0.292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617</v>
      </c>
      <c r="BC18">
        <f t="shared" si="4"/>
        <v>1169.2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0.8384</v>
      </c>
      <c r="BT18" s="27">
        <f t="shared" si="10"/>
        <v>0.00919999999999999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f>期望!B19</f>
        <v>0</v>
      </c>
      <c r="C19" s="40" t="s">
        <v>144</v>
      </c>
      <c r="D19" s="79" t="s">
        <v>152</v>
      </c>
      <c r="E19" t="s">
        <v>145</v>
      </c>
      <c r="F19" s="79" t="s">
        <v>132</v>
      </c>
      <c r="K19" s="39">
        <f t="shared" si="0"/>
        <v>8484.5155115922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9434.41476049936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10170.6397097258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5172.37651343167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2810.94583447387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76</v>
      </c>
      <c r="AB19" s="41" t="s">
        <v>76</v>
      </c>
      <c r="AC19" s="41" t="s">
        <v>76</v>
      </c>
      <c r="AD19" s="41" t="s">
        <v>76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76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1450.7</v>
      </c>
      <c r="AT19" cm="1">
        <f t="array" ref="AT19">$E$10*(1+$AR19)+VLOOKUP($Q19,武学奇术!$A:$ZZ,4,FALSE)+SUM(_xlfn.XLOOKUP($R19:$AK19,增益!$A:$A,增益!$D:$D,0))-$I$2</f>
        <v>5832.8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0.267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617</v>
      </c>
      <c r="BC19">
        <f t="shared" si="4"/>
        <v>1169.2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0.5984</v>
      </c>
      <c r="BT19" s="27">
        <f t="shared" si="10"/>
        <v>0.2492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f>期望!B20</f>
        <v>0</v>
      </c>
      <c r="C20" s="40" t="s">
        <v>148</v>
      </c>
      <c r="D20" s="79" t="s">
        <v>152</v>
      </c>
      <c r="K20" s="39">
        <f t="shared" si="0"/>
        <v>300269.265846545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300536.963177243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307542.175131099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155396.568343973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82984.1180723165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76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76</v>
      </c>
      <c r="AB20" s="41" t="s">
        <v>76</v>
      </c>
      <c r="AC20" s="41" t="s">
        <v>76</v>
      </c>
      <c r="AD20" s="41" t="s">
        <v>76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76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1.0041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1450.7</v>
      </c>
      <c r="AT20" cm="1">
        <f t="array" ref="AT20">$E$10*(1+$AR20)+VLOOKUP($Q20,武学奇术!$A:$ZZ,4,FALSE)+SUM(_xlfn.XLOOKUP($R20:$AK20,增益!$A:$A,增益!$D:$D,0))-$I$2</f>
        <v>6032.8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0.267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617</v>
      </c>
      <c r="BC20">
        <f t="shared" si="4"/>
        <v>1169.2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0.8384</v>
      </c>
      <c r="BT20" s="27">
        <f t="shared" si="10"/>
        <v>0.00919999999999999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150</v>
      </c>
      <c r="B21" s="86">
        <f>期望!B21</f>
        <v>0.32</v>
      </c>
      <c r="C21" s="40" t="s">
        <v>151</v>
      </c>
      <c r="D21" s="79" t="s">
        <v>152</v>
      </c>
      <c r="F21" s="40"/>
      <c r="K21" s="39">
        <f t="shared" si="0"/>
        <v>184070.400788532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184961.435205705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184652.555364347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93226.529841585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49673.3890429131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76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76</v>
      </c>
      <c r="AB21" s="41" t="s">
        <v>76</v>
      </c>
      <c r="AC21" s="41" t="s">
        <v>76</v>
      </c>
      <c r="AD21" s="41" t="s">
        <v>76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76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1.0041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1450.7</v>
      </c>
      <c r="AT21" cm="1">
        <f t="array" ref="AT21">$E$10*(1+$AR21)+VLOOKUP($Q21,武学奇术!$A:$ZZ,4,FALSE)+SUM(_xlfn.XLOOKUP($R21:$AK21,增益!$A:$A,增益!$D:$D,0))-$I$2</f>
        <v>6032.8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617</v>
      </c>
      <c r="BC21">
        <f t="shared" si="4"/>
        <v>1169.2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0.8384</v>
      </c>
      <c r="BT21" s="27">
        <f t="shared" si="10"/>
        <v>0.00919999999999999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f>期望!B22</f>
        <v>0.5</v>
      </c>
      <c r="C22" s="40" t="s">
        <v>154</v>
      </c>
      <c r="D22" s="79" t="s">
        <v>152</v>
      </c>
      <c r="K22" s="39">
        <f t="shared" si="0"/>
        <v>301572.110675541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302090.928860683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307542.175131099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155396.568343973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82984.1180723165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76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76</v>
      </c>
      <c r="AB22" s="41" t="s">
        <v>76</v>
      </c>
      <c r="AC22" s="41" t="s">
        <v>76</v>
      </c>
      <c r="AD22" s="41" t="s">
        <v>76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76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1.0041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1450.7</v>
      </c>
      <c r="AT22" cm="1">
        <f t="array" ref="AT22">$E$10*(1+$AR22)+VLOOKUP($Q22,武学奇术!$A:$ZZ,4,FALSE)+SUM(_xlfn.XLOOKUP($R22:$AK22,增益!$A:$A,增益!$D:$D,0))-$I$2</f>
        <v>6032.8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0.267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617</v>
      </c>
      <c r="BC22">
        <f t="shared" si="4"/>
        <v>1169.2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0.8384</v>
      </c>
      <c r="BT22" s="27">
        <f t="shared" si="10"/>
        <v>0.00919999999999999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 s="87">
        <f>期望!B23</f>
        <v>200</v>
      </c>
      <c r="K23" s="39">
        <f t="shared" si="0"/>
        <v>184852.012014724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185893.70050412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184652.555364347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93226.529841585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49673.3890429131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76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76</v>
      </c>
      <c r="AB23" s="41" t="s">
        <v>76</v>
      </c>
      <c r="AC23" s="41" t="s">
        <v>76</v>
      </c>
      <c r="AD23" s="41" t="s">
        <v>76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76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1.0041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1450.7</v>
      </c>
      <c r="AT23" cm="1">
        <f t="array" ref="AT23">$E$10*(1+$AR23)+VLOOKUP($Q23,武学奇术!$A:$ZZ,4,FALSE)+SUM(_xlfn.XLOOKUP($R23:$AK23,增益!$A:$A,增益!$D:$D,0))-$I$2</f>
        <v>6032.8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0.292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617</v>
      </c>
      <c r="BC23">
        <f t="shared" si="4"/>
        <v>1169.2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0.8384</v>
      </c>
      <c r="BT23" s="27">
        <f t="shared" si="10"/>
        <v>0.00919999999999999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 s="87">
        <f>期望!B24</f>
        <v>400</v>
      </c>
      <c r="K24" s="39">
        <f t="shared" si="0"/>
        <v>301572.110675541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302090.928860683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307542.175131099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155396.568343973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82984.1180723165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76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76</v>
      </c>
      <c r="AB24" s="41" t="s">
        <v>76</v>
      </c>
      <c r="AC24" s="41" t="s">
        <v>76</v>
      </c>
      <c r="AD24" s="41" t="s">
        <v>76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76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1.0041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1450.7</v>
      </c>
      <c r="AT24" cm="1">
        <f t="array" ref="AT24">$E$10*(1+$AR24)+VLOOKUP($Q24,武学奇术!$A:$ZZ,4,FALSE)+SUM(_xlfn.XLOOKUP($R24:$AK24,增益!$A:$A,增益!$D:$D,0))-$I$2</f>
        <v>6032.8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0.267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617</v>
      </c>
      <c r="BC24">
        <f t="shared" si="4"/>
        <v>1169.2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0.8384</v>
      </c>
      <c r="BT24" s="27">
        <f t="shared" si="10"/>
        <v>0.00919999999999999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184852.012014724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185893.70050412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184652.555364347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93226.529841585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49673.3890429131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76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76</v>
      </c>
      <c r="AB25" s="41" t="s">
        <v>76</v>
      </c>
      <c r="AC25" s="41" t="s">
        <v>76</v>
      </c>
      <c r="AD25" s="41" t="s">
        <v>76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76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1.0041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1450.7</v>
      </c>
      <c r="AT25" cm="1">
        <f t="array" ref="AT25">$E$10*(1+$AR25)+VLOOKUP($Q25,武学奇术!$A:$ZZ,4,FALSE)+SUM(_xlfn.XLOOKUP($R25:$AK25,增益!$A:$A,增益!$D:$D,0))-$I$2</f>
        <v>6032.8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0.292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617</v>
      </c>
      <c r="BC25">
        <f t="shared" si="4"/>
        <v>1169.2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0.8384</v>
      </c>
      <c r="BT25" s="27">
        <f t="shared" si="10"/>
        <v>0.00919999999999999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321114.783110479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325400.414112279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307542.175131099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155396.568343973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82984.1180723165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76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76</v>
      </c>
      <c r="AB26" s="41" t="s">
        <v>76</v>
      </c>
      <c r="AC26" s="41" t="s">
        <v>76</v>
      </c>
      <c r="AD26" s="41" t="s">
        <v>76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76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1.0041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1450.7</v>
      </c>
      <c r="AT26" cm="1">
        <f t="array" ref="AT26">$E$10*(1+$AR26)+VLOOKUP($Q26,武学奇术!$A:$ZZ,4,FALSE)+SUM(_xlfn.XLOOKUP($R26:$AK26,增益!$A:$A,增益!$D:$D,0))-$I$2</f>
        <v>6032.8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0.267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617</v>
      </c>
      <c r="BC26">
        <f t="shared" si="4"/>
        <v>1169.2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0.8384</v>
      </c>
      <c r="BT26" s="27">
        <f t="shared" si="10"/>
        <v>0.00919999999999999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196576.180407601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199877.679980358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184652.555364347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93226.529841585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49673.3890429131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76</v>
      </c>
      <c r="AB27" s="41" t="s">
        <v>76</v>
      </c>
      <c r="AC27" s="41" t="s">
        <v>76</v>
      </c>
      <c r="AD27" s="41" t="s">
        <v>76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76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1.0041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1450.7</v>
      </c>
      <c r="AT27" cm="1">
        <f t="array" ref="AT27">$E$10*(1+$AR27)+VLOOKUP($Q27,武学奇术!$A:$ZZ,4,FALSE)+SUM(_xlfn.XLOOKUP($R27:$AK27,增益!$A:$A,增益!$D:$D,0))-$I$2</f>
        <v>6032.8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0.292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617</v>
      </c>
      <c r="BC27">
        <f t="shared" si="4"/>
        <v>1169.2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0.8384</v>
      </c>
      <c r="BT27" s="27">
        <f t="shared" si="10"/>
        <v>0.00919999999999999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9010.69102955058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10313.7187677827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10170.6397097258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5172.37651343167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2810.94583447387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76</v>
      </c>
      <c r="AB28" s="41" t="s">
        <v>76</v>
      </c>
      <c r="AC28" s="41" t="s">
        <v>76</v>
      </c>
      <c r="AD28" s="41" t="s">
        <v>76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76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1450.7</v>
      </c>
      <c r="AT28" cm="1">
        <f t="array" ref="AT28">$E$10*(1+$AR28)+VLOOKUP($Q28,武学奇术!$A:$ZZ,4,FALSE)+SUM(_xlfn.XLOOKUP($R28:$AK28,增益!$A:$A,增益!$D:$D,0))-$I$2</f>
        <v>5832.8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0.267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617</v>
      </c>
      <c r="BC28">
        <f t="shared" si="4"/>
        <v>1169.2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0.5984</v>
      </c>
      <c r="BT28" s="27">
        <f t="shared" si="10"/>
        <v>0.2492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K29" s="39">
        <f t="shared" si="0"/>
        <v>301572.110675541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302090.928860683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307542.175131099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155396.568343973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82984.1180723165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76</v>
      </c>
      <c r="AB29" s="41" t="s">
        <v>76</v>
      </c>
      <c r="AC29" s="41" t="s">
        <v>76</v>
      </c>
      <c r="AD29" s="41" t="s">
        <v>76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76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1.0041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1450.7</v>
      </c>
      <c r="AT29" cm="1">
        <f t="array" ref="AT29">$E$10*(1+$AR29)+VLOOKUP($Q29,武学奇术!$A:$ZZ,4,FALSE)+SUM(_xlfn.XLOOKUP($R29:$AK29,增益!$A:$A,增益!$D:$D,0))-$I$2</f>
        <v>6032.8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0.267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617</v>
      </c>
      <c r="BC29">
        <f t="shared" si="4"/>
        <v>1169.2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0.8384</v>
      </c>
      <c r="BT29" s="27">
        <f t="shared" si="10"/>
        <v>0.00919999999999999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K30" s="39">
        <f t="shared" si="0"/>
        <v>201505.346430464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202640.880729717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201287.920712486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101625.3163138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54148.4691368693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76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76</v>
      </c>
      <c r="AA30" s="41" t="s">
        <v>76</v>
      </c>
      <c r="AB30" s="41" t="s">
        <v>76</v>
      </c>
      <c r="AC30" s="41" t="s">
        <v>76</v>
      </c>
      <c r="AD30" s="41" t="s">
        <v>76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76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1.0041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1450.7</v>
      </c>
      <c r="AT30" cm="1">
        <f t="array" ref="AT30">$E$10*(1+$AR30)+VLOOKUP($Q30,武学奇术!$A:$ZZ,4,FALSE)+SUM(_xlfn.XLOOKUP($R30:$AK30,增益!$A:$A,增益!$D:$D,0))-$I$2</f>
        <v>6032.8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3" cm="1">
        <f t="array" ref="BA30">$G$11+VLOOKUP($Q30,武学奇术!$A:$ZZ,10,FALSE)+SUM(_xlfn.XLOOKUP($R30:$AK30,增益!$A:$A,增益!$J:$J,0))</f>
        <v>0</v>
      </c>
      <c r="BB30">
        <f t="shared" si="3"/>
        <v>617</v>
      </c>
      <c r="BC30">
        <f t="shared" si="4"/>
        <v>1169.2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0.8384</v>
      </c>
      <c r="BT30" s="27">
        <f t="shared" si="10"/>
        <v>0.00919999999999999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0.21</v>
      </c>
    </row>
    <row r="31" spans="1:74">
      <c r="K31" s="39">
        <f t="shared" si="0"/>
        <v>201505.346430464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202640.880729717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201287.920712486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101625.3163138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54148.4691368693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76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76</v>
      </c>
      <c r="AA31" s="41" t="s">
        <v>76</v>
      </c>
      <c r="AB31" s="41" t="s">
        <v>76</v>
      </c>
      <c r="AC31" s="41" t="s">
        <v>76</v>
      </c>
      <c r="AD31" s="41" t="s">
        <v>76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76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1.0041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1450.7</v>
      </c>
      <c r="AT31" cm="1">
        <f t="array" ref="AT31">$E$10*(1+$AR31)+VLOOKUP($Q31,武学奇术!$A:$ZZ,4,FALSE)+SUM(_xlfn.XLOOKUP($R31:$AK31,增益!$A:$A,增益!$D:$D,0))-$I$2</f>
        <v>6032.8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0.292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3" cm="1">
        <f t="array" ref="BA31">$G$11+VLOOKUP($Q31,武学奇术!$A:$ZZ,10,FALSE)+SUM(_xlfn.XLOOKUP($R31:$AK31,增益!$A:$A,增益!$J:$J,0))</f>
        <v>0</v>
      </c>
      <c r="BB31">
        <f t="shared" si="3"/>
        <v>617</v>
      </c>
      <c r="BC31">
        <f t="shared" si="4"/>
        <v>1169.2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0.8384</v>
      </c>
      <c r="BT31" s="27">
        <f t="shared" si="10"/>
        <v>0.00919999999999999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0.21</v>
      </c>
    </row>
    <row r="32" spans="1:74">
      <c r="K32" s="39">
        <f t="shared" si="0"/>
        <v>201505.346430464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202640.880729717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201287.920712486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101625.3163138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54148.4691368693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76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76</v>
      </c>
      <c r="AA32" s="41" t="s">
        <v>76</v>
      </c>
      <c r="AB32" s="41" t="s">
        <v>76</v>
      </c>
      <c r="AC32" s="41" t="s">
        <v>76</v>
      </c>
      <c r="AD32" s="41" t="s">
        <v>76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76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1.0041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1450.7</v>
      </c>
      <c r="AT32" cm="1">
        <f t="array" ref="AT32">$E$10*(1+$AR32)+VLOOKUP($Q32,武学奇术!$A:$ZZ,4,FALSE)+SUM(_xlfn.XLOOKUP($R32:$AK32,增益!$A:$A,增益!$D:$D,0))-$I$2</f>
        <v>6032.8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3" cm="1">
        <f t="array" ref="BA32">$G$11+VLOOKUP($Q32,武学奇术!$A:$ZZ,10,FALSE)+SUM(_xlfn.XLOOKUP($R32:$AK32,增益!$A:$A,增益!$J:$J,0))</f>
        <v>0</v>
      </c>
      <c r="BB32">
        <f t="shared" si="3"/>
        <v>617</v>
      </c>
      <c r="BC32">
        <f t="shared" si="4"/>
        <v>1169.2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0.8384</v>
      </c>
      <c r="BT32" s="27">
        <f t="shared" si="10"/>
        <v>0.00919999999999999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0.21</v>
      </c>
    </row>
    <row r="33" spans="11:74">
      <c r="K33" s="39">
        <f t="shared" si="0"/>
        <v>328740.769294959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329306.327857141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335248.677395162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169396.259185772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90460.1647454982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76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76</v>
      </c>
      <c r="AA33" s="41" t="s">
        <v>76</v>
      </c>
      <c r="AB33" s="41" t="s">
        <v>76</v>
      </c>
      <c r="AC33" s="41" t="s">
        <v>76</v>
      </c>
      <c r="AD33" s="41" t="s">
        <v>76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76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1.0041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1450.7</v>
      </c>
      <c r="AT33" cm="1">
        <f t="array" ref="AT33">$E$10*(1+$AR33)+VLOOKUP($Q33,武学奇术!$A:$ZZ,4,FALSE)+SUM(_xlfn.XLOOKUP($R33:$AK33,增益!$A:$A,增益!$D:$D,0))-$I$2</f>
        <v>6032.8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0.267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3" cm="1">
        <f t="array" ref="BA33">$G$11+VLOOKUP($Q33,武学奇术!$A:$ZZ,10,FALSE)+SUM(_xlfn.XLOOKUP($R33:$AK33,增益!$A:$A,增益!$J:$J,0))</f>
        <v>0</v>
      </c>
      <c r="BB33">
        <f t="shared" si="3"/>
        <v>617</v>
      </c>
      <c r="BC33">
        <f t="shared" si="4"/>
        <v>1169.2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0.8384</v>
      </c>
      <c r="BT33" s="27">
        <f t="shared" si="10"/>
        <v>0.00919999999999999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0.21</v>
      </c>
    </row>
    <row r="34" spans="11:74">
      <c r="K34" s="39">
        <f t="shared" si="0"/>
        <v>201505.346430464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202640.880729717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201287.920712486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101625.3163138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54148.4691368693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76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76</v>
      </c>
      <c r="AA34" s="41" t="s">
        <v>76</v>
      </c>
      <c r="AB34" s="41" t="s">
        <v>76</v>
      </c>
      <c r="AC34" s="41" t="s">
        <v>76</v>
      </c>
      <c r="AD34" s="41" t="s">
        <v>76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76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1.0041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1450.7</v>
      </c>
      <c r="AT34" cm="1">
        <f t="array" ref="AT34">$E$10*(1+$AR34)+VLOOKUP($Q34,武学奇术!$A:$ZZ,4,FALSE)+SUM(_xlfn.XLOOKUP($R34:$AK34,增益!$A:$A,增益!$D:$D,0))-$I$2</f>
        <v>6032.8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0.292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3" cm="1">
        <f t="array" ref="BA34">$G$11+VLOOKUP($Q34,武学奇术!$A:$ZZ,10,FALSE)+SUM(_xlfn.XLOOKUP($R34:$AK34,增益!$A:$A,增益!$J:$J,0))</f>
        <v>0</v>
      </c>
      <c r="BB34">
        <f t="shared" si="3"/>
        <v>617</v>
      </c>
      <c r="BC34">
        <f t="shared" si="4"/>
        <v>1169.2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0.8384</v>
      </c>
      <c r="BT34" s="27">
        <f t="shared" si="10"/>
        <v>0.00919999999999999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0.21</v>
      </c>
    </row>
    <row r="35" spans="11:74">
      <c r="K35" s="39">
        <f t="shared" si="0"/>
        <v>190432.181955526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211238.984296116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232806.605211204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114554.763718067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56660.1902426503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76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76</v>
      </c>
      <c r="AA35" s="41" t="s">
        <v>76</v>
      </c>
      <c r="AB35" s="41" t="s">
        <v>76</v>
      </c>
      <c r="AC35" s="41" t="s">
        <v>76</v>
      </c>
      <c r="AD35" s="41" t="s">
        <v>76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76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0.4137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1450.7</v>
      </c>
      <c r="AT35" cm="1">
        <f t="array" ref="AT35">$E$10*(1+$AR35)+VLOOKUP($Q35,武学奇术!$A:$ZZ,4,FALSE)+SUM(_xlfn.XLOOKUP($R35:$AK35,增益!$A:$A,增益!$D:$D,0))-$I$2</f>
        <v>5832.8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0.267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3" cm="1">
        <f t="array" ref="BA35">$G$11+VLOOKUP($Q35,武学奇术!$A:$ZZ,10,FALSE)+SUM(_xlfn.XLOOKUP($R35:$AK35,增益!$A:$A,增益!$J:$J,0))</f>
        <v>0</v>
      </c>
      <c r="BB35">
        <f t="shared" si="3"/>
        <v>617</v>
      </c>
      <c r="BC35">
        <f t="shared" si="4"/>
        <v>1169.2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3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3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0.5984</v>
      </c>
      <c r="BT35" s="27">
        <f t="shared" si="10"/>
        <v>0.2492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0.21</v>
      </c>
    </row>
    <row r="36" spans="11:74">
      <c r="K36" s="39">
        <f t="shared" si="0"/>
        <v>328740.769294959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329306.327857141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335248.677395162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169396.259185772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90460.1647454982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76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76</v>
      </c>
      <c r="AA36" s="41" t="s">
        <v>76</v>
      </c>
      <c r="AB36" s="41" t="s">
        <v>76</v>
      </c>
      <c r="AC36" s="41" t="s">
        <v>76</v>
      </c>
      <c r="AD36" s="41" t="s">
        <v>76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76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1.0041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1450.7</v>
      </c>
      <c r="AT36" cm="1">
        <f t="array" ref="AT36">$E$10*(1+$AR36)+VLOOKUP($Q36,武学奇术!$A:$ZZ,4,FALSE)+SUM(_xlfn.XLOOKUP($R36:$AK36,增益!$A:$A,增益!$D:$D,0))-$I$2</f>
        <v>6032.8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0.267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3" cm="1">
        <f t="array" ref="BA36">$G$11+VLOOKUP($Q36,武学奇术!$A:$ZZ,10,FALSE)+SUM(_xlfn.XLOOKUP($R36:$AK36,增益!$A:$A,增益!$J:$J,0))</f>
        <v>0</v>
      </c>
      <c r="BB36">
        <f t="shared" si="3"/>
        <v>617</v>
      </c>
      <c r="BC36">
        <f t="shared" si="4"/>
        <v>1169.2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3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3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0.8384</v>
      </c>
      <c r="BT36" s="27">
        <f t="shared" si="10"/>
        <v>0.00919999999999999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0.21</v>
      </c>
    </row>
    <row r="37" spans="11:74">
      <c r="K37" s="39">
        <f t="shared" si="0"/>
        <v>184852.012014724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185893.70050412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184652.555364347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93226.529841585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49673.3890429131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76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76</v>
      </c>
      <c r="AB37" s="41" t="s">
        <v>76</v>
      </c>
      <c r="AC37" s="41" t="s">
        <v>76</v>
      </c>
      <c r="AD37" s="41" t="s">
        <v>76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76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1.0041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1450.7</v>
      </c>
      <c r="AT37" cm="1">
        <f t="array" ref="AT37">$E$10*(1+$AR37)+VLOOKUP($Q37,武学奇术!$A:$ZZ,4,FALSE)+SUM(_xlfn.XLOOKUP($R37:$AK37,增益!$A:$A,增益!$D:$D,0))-$I$2</f>
        <v>6032.8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0.292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3" cm="1">
        <f t="array" ref="BA37">$G$11+VLOOKUP($Q37,武学奇术!$A:$ZZ,10,FALSE)+SUM(_xlfn.XLOOKUP($R37:$AK37,增益!$A:$A,增益!$J:$J,0))</f>
        <v>0</v>
      </c>
      <c r="BB37">
        <f t="shared" si="3"/>
        <v>617</v>
      </c>
      <c r="BC37">
        <f t="shared" si="4"/>
        <v>1169.2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3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3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0.8384</v>
      </c>
      <c r="BT37" s="27">
        <f t="shared" si="10"/>
        <v>0.00919999999999999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1:74">
      <c r="K38" s="39">
        <f t="shared" si="0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76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76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0.2037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1450.7</v>
      </c>
      <c r="AT38" cm="1">
        <f t="array" ref="AT38">$E$10*(1+$AR38)+VLOOKUP($Q38,武学奇术!$A:$ZZ,4,FALSE)+SUM(_xlfn.XLOOKUP($R38:$AK38,增益!$A:$A,增益!$D:$D,0))-$I$2</f>
        <v>5832.8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0.167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3"/>
        <v>617</v>
      </c>
      <c r="BC38">
        <f t="shared" si="4"/>
        <v>1169.2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0.5984</v>
      </c>
      <c r="BT38" s="27">
        <f t="shared" si="10"/>
        <v>0.2492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1:74">
      <c r="K39" s="39">
        <f t="shared" si="0"/>
        <v>321114.783110479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325400.414112279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307542.175131099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155396.568343973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82984.1180723165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76</v>
      </c>
      <c r="AB39" s="41" t="s">
        <v>76</v>
      </c>
      <c r="AC39" s="41" t="s">
        <v>76</v>
      </c>
      <c r="AD39" s="41" t="s">
        <v>76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76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1.0041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1450.7</v>
      </c>
      <c r="AT39" cm="1">
        <f t="array" ref="AT39">$E$10*(1+$AR39)+VLOOKUP($Q39,武学奇术!$A:$ZZ,4,FALSE)+SUM(_xlfn.XLOOKUP($R39:$AK39,增益!$A:$A,增益!$D:$D,0))-$I$2</f>
        <v>6032.8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0.267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3"/>
        <v>617</v>
      </c>
      <c r="BC39">
        <f t="shared" si="4"/>
        <v>1169.2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0.8384</v>
      </c>
      <c r="BT39" s="27">
        <f t="shared" si="10"/>
        <v>0.00919999999999999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1:74">
      <c r="K40" s="39">
        <f t="shared" si="0"/>
        <v>196576.180407601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199877.679980358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184652.555364347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93226.529841585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49673.3890429131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76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76</v>
      </c>
      <c r="AB40" s="41" t="s">
        <v>76</v>
      </c>
      <c r="AC40" s="41" t="s">
        <v>76</v>
      </c>
      <c r="AD40" s="41" t="s">
        <v>76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76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1.0041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1450.7</v>
      </c>
      <c r="AT40" cm="1">
        <f t="array" ref="AT40">$E$10*(1+$AR40)+VLOOKUP($Q40,武学奇术!$A:$ZZ,4,FALSE)+SUM(_xlfn.XLOOKUP($R40:$AK40,增益!$A:$A,增益!$D:$D,0))-$I$2</f>
        <v>6032.8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0.292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3" cm="1">
        <f t="array" ref="BA40">$G$11+VLOOKUP($Q40,武学奇术!$A:$ZZ,10,FALSE)+SUM(_xlfn.XLOOKUP($R40:$AK40,增益!$A:$A,增益!$J:$J,0))</f>
        <v>0</v>
      </c>
      <c r="BB40">
        <f t="shared" si="3"/>
        <v>617</v>
      </c>
      <c r="BC40">
        <f t="shared" si="4"/>
        <v>1169.2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3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3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0.8384</v>
      </c>
      <c r="BT40" s="27">
        <f t="shared" si="10"/>
        <v>0.00919999999999999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1:74">
      <c r="K41" s="39">
        <f t="shared" si="0"/>
        <v>184126.632625632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209544.331179957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213566.389904493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105087.427873599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51977.529892018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76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76</v>
      </c>
      <c r="AB41" s="41" t="s">
        <v>76</v>
      </c>
      <c r="AC41" s="41" t="s">
        <v>76</v>
      </c>
      <c r="AD41" s="41" t="s">
        <v>76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76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0.4137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1450.7</v>
      </c>
      <c r="AT41" cm="1">
        <f t="array" ref="AT41">$E$10*(1+$AR41)+VLOOKUP($Q41,武学奇术!$A:$ZZ,4,FALSE)+SUM(_xlfn.XLOOKUP($R41:$AK41,增益!$A:$A,增益!$D:$D,0))-$I$2</f>
        <v>5832.8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0.267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3" cm="1">
        <f t="array" ref="BA41">$G$11+VLOOKUP($Q41,武学奇术!$A:$ZZ,10,FALSE)+SUM(_xlfn.XLOOKUP($R41:$AK41,增益!$A:$A,增益!$J:$J,0))</f>
        <v>0</v>
      </c>
      <c r="BB41">
        <f t="shared" si="3"/>
        <v>617</v>
      </c>
      <c r="BC41">
        <f t="shared" si="4"/>
        <v>1169.2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3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3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0.5984</v>
      </c>
      <c r="BT41" s="27">
        <f t="shared" si="10"/>
        <v>0.2492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1:74">
      <c r="K42" s="39">
        <f t="shared" si="0"/>
        <v>321114.783110479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325400.414112279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307542.175131099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155396.568343973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82984.1180723165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76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76</v>
      </c>
      <c r="AB42" s="41" t="s">
        <v>76</v>
      </c>
      <c r="AC42" s="41" t="s">
        <v>76</v>
      </c>
      <c r="AD42" s="41" t="s">
        <v>76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76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1.0041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1450.7</v>
      </c>
      <c r="AT42" cm="1">
        <f t="array" ref="AT42">$E$10*(1+$AR42)+VLOOKUP($Q42,武学奇术!$A:$ZZ,4,FALSE)+SUM(_xlfn.XLOOKUP($R42:$AK42,增益!$A:$A,增益!$D:$D,0))-$I$2</f>
        <v>6032.8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0.267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3" cm="1">
        <f t="array" ref="BA42">$G$11+VLOOKUP($Q42,武学奇术!$A:$ZZ,10,FALSE)+SUM(_xlfn.XLOOKUP($R42:$AK42,增益!$A:$A,增益!$J:$J,0))</f>
        <v>0</v>
      </c>
      <c r="BB42">
        <f t="shared" si="3"/>
        <v>617</v>
      </c>
      <c r="BC42">
        <f t="shared" si="4"/>
        <v>1169.2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3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3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0.8384</v>
      </c>
      <c r="BT42" s="27">
        <f t="shared" si="10"/>
        <v>0.00919999999999999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1:74">
      <c r="K43" s="39">
        <f t="shared" si="0"/>
        <v>196576.180407601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199877.679980358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184652.555364347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93226.529841585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49673.3890429131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76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76</v>
      </c>
      <c r="AB43" s="41" t="s">
        <v>76</v>
      </c>
      <c r="AC43" s="41" t="s">
        <v>76</v>
      </c>
      <c r="AD43" s="41" t="s">
        <v>76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76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1.0041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1450.7</v>
      </c>
      <c r="AT43" cm="1">
        <f t="array" ref="AT43">$E$10*(1+$AR43)+VLOOKUP($Q43,武学奇术!$A:$ZZ,4,FALSE)+SUM(_xlfn.XLOOKUP($R43:$AK43,增益!$A:$A,增益!$D:$D,0))-$I$2</f>
        <v>6032.8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0.292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3" cm="1">
        <f t="array" ref="BA43">$G$11+VLOOKUP($Q43,武学奇术!$A:$ZZ,10,FALSE)+SUM(_xlfn.XLOOKUP($R43:$AK43,增益!$A:$A,增益!$J:$J,0))</f>
        <v>0</v>
      </c>
      <c r="BB43">
        <f t="shared" si="3"/>
        <v>617</v>
      </c>
      <c r="BC43">
        <f t="shared" si="4"/>
        <v>1169.2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3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3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0.8384</v>
      </c>
      <c r="BT43" s="27">
        <f t="shared" si="10"/>
        <v>0.00919999999999999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1:74">
      <c r="K44" s="39">
        <f t="shared" si="0"/>
        <v>301572.110675541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302090.928860683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307542.175131099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155396.568343973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82984.1180723165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76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76</v>
      </c>
      <c r="AB44" s="41" t="s">
        <v>76</v>
      </c>
      <c r="AC44" s="41" t="s">
        <v>76</v>
      </c>
      <c r="AD44" s="41" t="s">
        <v>76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76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1.0041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1450.7</v>
      </c>
      <c r="AT44" cm="1">
        <f t="array" ref="AT44">$E$10*(1+$AR44)+VLOOKUP($Q44,武学奇术!$A:$ZZ,4,FALSE)+SUM(_xlfn.XLOOKUP($R44:$AK44,增益!$A:$A,增益!$D:$D,0))-$I$2</f>
        <v>6032.8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0.267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3" cm="1">
        <f t="array" ref="BA44">$G$11+VLOOKUP($Q44,武学奇术!$A:$ZZ,10,FALSE)+SUM(_xlfn.XLOOKUP($R44:$AK44,增益!$A:$A,增益!$J:$J,0))</f>
        <v>0</v>
      </c>
      <c r="BB44">
        <f t="shared" si="3"/>
        <v>617</v>
      </c>
      <c r="BC44">
        <f t="shared" si="4"/>
        <v>1169.2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3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3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0.8384</v>
      </c>
      <c r="BT44" s="27">
        <f t="shared" si="10"/>
        <v>0.00919999999999999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1:74">
      <c r="K45" s="39">
        <f t="shared" si="0"/>
        <v>184852.012014724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185893.70050412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184652.555364347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93226.529841585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49673.3890429131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76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76</v>
      </c>
      <c r="AB45" s="41" t="s">
        <v>76</v>
      </c>
      <c r="AC45" s="41" t="s">
        <v>76</v>
      </c>
      <c r="AD45" s="41" t="s">
        <v>76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76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1.0041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1450.7</v>
      </c>
      <c r="AT45" cm="1">
        <f t="array" ref="AT45">$E$10*(1+$AR45)+VLOOKUP($Q45,武学奇术!$A:$ZZ,4,FALSE)+SUM(_xlfn.XLOOKUP($R45:$AK45,增益!$A:$A,增益!$D:$D,0))-$I$2</f>
        <v>6032.8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3" cm="1">
        <f t="array" ref="BA45">$G$11+VLOOKUP($Q45,武学奇术!$A:$ZZ,10,FALSE)+SUM(_xlfn.XLOOKUP($R45:$AK45,增益!$A:$A,增益!$J:$J,0))</f>
        <v>0</v>
      </c>
      <c r="BB45">
        <f t="shared" si="3"/>
        <v>617</v>
      </c>
      <c r="BC45">
        <f t="shared" si="4"/>
        <v>1169.2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3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3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0.8384</v>
      </c>
      <c r="BT45" s="27">
        <f t="shared" si="10"/>
        <v>0.00919999999999999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1:74">
      <c r="K46" s="39">
        <f t="shared" si="0"/>
        <v>321114.783110479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325400.414112279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307542.175131099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155396.568343973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82984.1180723165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76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76</v>
      </c>
      <c r="AB46" s="41" t="s">
        <v>76</v>
      </c>
      <c r="AC46" s="41" t="s">
        <v>76</v>
      </c>
      <c r="AD46" s="41" t="s">
        <v>76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76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1.0041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1450.7</v>
      </c>
      <c r="AT46" cm="1">
        <f t="array" ref="AT46">$E$10*(1+$AR46)+VLOOKUP($Q46,武学奇术!$A:$ZZ,4,FALSE)+SUM(_xlfn.XLOOKUP($R46:$AK46,增益!$A:$A,增益!$D:$D,0))-$I$2</f>
        <v>6032.8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0.267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3" cm="1">
        <f t="array" ref="BA46">$G$11+VLOOKUP($Q46,武学奇术!$A:$ZZ,10,FALSE)+SUM(_xlfn.XLOOKUP($R46:$AK46,增益!$A:$A,增益!$J:$J,0))</f>
        <v>0</v>
      </c>
      <c r="BB46">
        <f t="shared" si="3"/>
        <v>617</v>
      </c>
      <c r="BC46">
        <f t="shared" si="4"/>
        <v>1169.2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3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3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0.8384</v>
      </c>
      <c r="BT46" s="27">
        <f t="shared" si="10"/>
        <v>0.00919999999999999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1:74">
      <c r="K47" s="39">
        <f t="shared" si="0"/>
        <v>196576.180407601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199877.679980358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184652.555364347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93226.529841585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49673.3890429131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76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76</v>
      </c>
      <c r="AB47" s="41" t="s">
        <v>76</v>
      </c>
      <c r="AC47" s="41" t="s">
        <v>76</v>
      </c>
      <c r="AD47" s="41" t="s">
        <v>76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76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1.0041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1450.7</v>
      </c>
      <c r="AT47" cm="1">
        <f t="array" ref="AT47">$E$10*(1+$AR47)+VLOOKUP($Q47,武学奇术!$A:$ZZ,4,FALSE)+SUM(_xlfn.XLOOKUP($R47:$AK47,增益!$A:$A,增益!$D:$D,0))-$I$2</f>
        <v>6032.8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3" cm="1">
        <f t="array" ref="BA47">$G$11+VLOOKUP($Q47,武学奇术!$A:$ZZ,10,FALSE)+SUM(_xlfn.XLOOKUP($R47:$AK47,增益!$A:$A,增益!$J:$J,0))</f>
        <v>0</v>
      </c>
      <c r="BB47">
        <f t="shared" si="3"/>
        <v>617</v>
      </c>
      <c r="BC47">
        <f t="shared" si="4"/>
        <v>1169.2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3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3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0.8384</v>
      </c>
      <c r="BT47" s="27">
        <f t="shared" si="10"/>
        <v>0.00919999999999999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1:74">
      <c r="K48" s="39">
        <f t="shared" si="0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76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76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0.2037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1450.7</v>
      </c>
      <c r="AT48" cm="1">
        <f t="array" ref="AT48">$E$10*(1+$AR48)+VLOOKUP($Q48,武学奇术!$A:$ZZ,4,FALSE)+SUM(_xlfn.XLOOKUP($R48:$AK48,增益!$A:$A,增益!$D:$D,0))-$I$2</f>
        <v>5832.8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0.167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3"/>
        <v>617</v>
      </c>
      <c r="BC48">
        <f t="shared" si="4"/>
        <v>1169.2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0.5984</v>
      </c>
      <c r="BT48" s="27">
        <f t="shared" si="10"/>
        <v>0.2492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1:74">
      <c r="K49" s="39">
        <f t="shared" si="0"/>
        <v>7476.84937745183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8193.54463624781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9206.41355478367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4698.13339234393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2576.7011885518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76</v>
      </c>
      <c r="AB49" s="41" t="s">
        <v>76</v>
      </c>
      <c r="AC49" s="41" t="s">
        <v>76</v>
      </c>
      <c r="AD49" s="41" t="s">
        <v>76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76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1450.7</v>
      </c>
      <c r="AT49" cm="1">
        <f t="array" ref="AT49">$E$10*(1+$AR49)+VLOOKUP($Q49,武学奇术!$A:$ZZ,4,FALSE)+SUM(_xlfn.XLOOKUP($R49:$AK49,增益!$A:$A,增益!$D:$D,0))-$I$2</f>
        <v>5832.8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0.167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3"/>
        <v>617</v>
      </c>
      <c r="BC49">
        <f t="shared" si="4"/>
        <v>1169.2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0.5984</v>
      </c>
      <c r="BT49" s="27">
        <f t="shared" si="10"/>
        <v>0.2492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1:74">
      <c r="K50" s="39">
        <f t="shared" si="0"/>
        <v>99559.7780829358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111476.232252678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119324.770077869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58857.5671872639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29326.4157983286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76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76</v>
      </c>
      <c r="AB50" s="41" t="s">
        <v>76</v>
      </c>
      <c r="AC50" s="41" t="s">
        <v>76</v>
      </c>
      <c r="AD50" s="41" t="s">
        <v>76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76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0.2137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1450.7</v>
      </c>
      <c r="AT50" cm="1">
        <f t="array" ref="AT50">$E$10*(1+$AR50)+VLOOKUP($Q50,武学奇术!$A:$ZZ,4,FALSE)+SUM(_xlfn.XLOOKUP($R50:$AK50,增益!$A:$A,增益!$D:$D,0))-$I$2</f>
        <v>5832.8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0.177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3" cm="1">
        <f t="array" ref="BA50">$G$11+VLOOKUP($Q50,武学奇术!$A:$ZZ,10,FALSE)+SUM(_xlfn.XLOOKUP($R50:$AK50,增益!$A:$A,增益!$J:$J,0))</f>
        <v>0</v>
      </c>
      <c r="BB50">
        <f t="shared" si="3"/>
        <v>617</v>
      </c>
      <c r="BC50">
        <f t="shared" si="4"/>
        <v>1169.2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3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3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0.5984</v>
      </c>
      <c r="BT50" s="27">
        <f t="shared" si="10"/>
        <v>0.2492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1:74">
      <c r="K51" s="39">
        <f t="shared" si="0"/>
        <v>289552.359187619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291342.729136424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288362.24342565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146109.69364916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78617.7255015415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76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76</v>
      </c>
      <c r="AB51" s="41" t="s">
        <v>76</v>
      </c>
      <c r="AC51" s="41" t="s">
        <v>76</v>
      </c>
      <c r="AD51" s="41" t="s">
        <v>76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76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0.9741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1450.7</v>
      </c>
      <c r="AT51" cm="1">
        <f t="array" ref="AT51">$E$10*(1+$AR51)+VLOOKUP($Q51,武学奇术!$A:$ZZ,4,FALSE)+SUM(_xlfn.XLOOKUP($R51:$AK51,增益!$A:$A,增益!$D:$D,0))-$I$2</f>
        <v>6032.8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0.187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3" cm="1">
        <f t="array" ref="BA51">$G$11+VLOOKUP($Q51,武学奇术!$A:$ZZ,10,FALSE)+SUM(_xlfn.XLOOKUP($R51:$AK51,增益!$A:$A,增益!$J:$J,0))</f>
        <v>0</v>
      </c>
      <c r="BB51">
        <f t="shared" si="3"/>
        <v>617</v>
      </c>
      <c r="BC51">
        <f t="shared" si="4"/>
        <v>1169.2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3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3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0.8384</v>
      </c>
      <c r="BT51" s="27">
        <f t="shared" si="10"/>
        <v>0.00919999999999999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1:74">
      <c r="K52" s="39">
        <f t="shared" si="0"/>
        <v>162189.435520426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161132.606942949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172519.307525597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87382.1078866316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46972.1361246728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76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76</v>
      </c>
      <c r="AB52" s="41" t="s">
        <v>76</v>
      </c>
      <c r="AC52" s="41" t="s">
        <v>76</v>
      </c>
      <c r="AD52" s="41" t="s">
        <v>76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76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0.9841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1450.7</v>
      </c>
      <c r="AT52" cm="1">
        <f t="array" ref="AT52">$E$10*(1+$AR52)+VLOOKUP($Q52,武学奇术!$A:$ZZ,4,FALSE)+SUM(_xlfn.XLOOKUP($R52:$AK52,增益!$A:$A,增益!$D:$D,0))-$I$2</f>
        <v>6032.8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0.197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3" cm="1">
        <f t="array" ref="BA52">$G$11+VLOOKUP($Q52,武学奇术!$A:$ZZ,10,FALSE)+SUM(_xlfn.XLOOKUP($R52:$AK52,增益!$A:$A,增益!$J:$J,0))</f>
        <v>0</v>
      </c>
      <c r="BB52">
        <f t="shared" si="3"/>
        <v>617</v>
      </c>
      <c r="BC52">
        <f t="shared" si="4"/>
        <v>1169.2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3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3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0.8384</v>
      </c>
      <c r="BT52" s="27">
        <f t="shared" si="10"/>
        <v>0.00919999999999999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1:74">
      <c r="K53" s="39">
        <f t="shared" si="0"/>
        <v>285581.903307719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284682.889258398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298645.654409757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151105.56754692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80992.1318273541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76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76</v>
      </c>
      <c r="AB53" s="41" t="s">
        <v>76</v>
      </c>
      <c r="AC53" s="41" t="s">
        <v>76</v>
      </c>
      <c r="AD53" s="41" t="s">
        <v>76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76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0.9941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1450.7</v>
      </c>
      <c r="AT53" cm="1">
        <f t="array" ref="AT53">$E$10*(1+$AR53)+VLOOKUP($Q53,武学奇术!$A:$ZZ,4,FALSE)+SUM(_xlfn.XLOOKUP($R53:$AK53,增益!$A:$A,增益!$D:$D,0))-$I$2</f>
        <v>6032.8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0.227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3" cm="1">
        <f t="array" ref="BA53">$G$11+VLOOKUP($Q53,武学奇术!$A:$ZZ,10,FALSE)+SUM(_xlfn.XLOOKUP($R53:$AK53,增益!$A:$A,增益!$J:$J,0))</f>
        <v>0</v>
      </c>
      <c r="BB53">
        <f t="shared" si="3"/>
        <v>617</v>
      </c>
      <c r="BC53">
        <f t="shared" si="4"/>
        <v>1169.2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3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3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0.8384</v>
      </c>
      <c r="BT53" s="27">
        <f t="shared" si="10"/>
        <v>0.00919999999999999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1:74">
      <c r="K54" s="39">
        <f t="shared" si="0"/>
        <v>173292.308512452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173026.669610326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179728.972937284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90875.3516860958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48618.1308260553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76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76</v>
      </c>
      <c r="AB54" s="41" t="s">
        <v>76</v>
      </c>
      <c r="AC54" s="41" t="s">
        <v>76</v>
      </c>
      <c r="AD54" s="41" t="s">
        <v>76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76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1.0041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1450.7</v>
      </c>
      <c r="AT54" cm="1">
        <f t="array" ref="AT54">$E$10*(1+$AR54)+VLOOKUP($Q54,武学奇术!$A:$ZZ,4,FALSE)+SUM(_xlfn.XLOOKUP($R54:$AK54,增益!$A:$A,增益!$D:$D,0))-$I$2</f>
        <v>6032.8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0.247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3" cm="1">
        <f t="array" ref="BA54">$G$11+VLOOKUP($Q54,武学奇术!$A:$ZZ,10,FALSE)+SUM(_xlfn.XLOOKUP($R54:$AK54,增益!$A:$A,增益!$J:$J,0))</f>
        <v>0</v>
      </c>
      <c r="BB54">
        <f t="shared" si="3"/>
        <v>617</v>
      </c>
      <c r="BC54">
        <f t="shared" si="4"/>
        <v>1169.2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3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3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0.8384</v>
      </c>
      <c r="BT54" s="27">
        <f t="shared" si="10"/>
        <v>0.00919999999999999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1:74">
      <c r="K55" s="39">
        <f t="shared" si="0"/>
        <v>297251.547333594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297283.51022852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305692.456532943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154513.258954532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82587.6612179955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76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76</v>
      </c>
      <c r="AB55" s="41" t="s">
        <v>76</v>
      </c>
      <c r="AC55" s="41" t="s">
        <v>76</v>
      </c>
      <c r="AD55" s="41" t="s">
        <v>76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76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1.0041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1450.7</v>
      </c>
      <c r="AT55" cm="1">
        <f t="array" ref="AT55">$E$10*(1+$AR55)+VLOOKUP($Q55,武学奇术!$A:$ZZ,4,FALSE)+SUM(_xlfn.XLOOKUP($R55:$AK55,增益!$A:$A,增益!$D:$D,0))-$I$2</f>
        <v>6032.8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0.257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3" cm="1">
        <f t="array" ref="BA55">$G$11+VLOOKUP($Q55,武学奇术!$A:$ZZ,10,FALSE)+SUM(_xlfn.XLOOKUP($R55:$AK55,增益!$A:$A,增益!$J:$J,0))</f>
        <v>0</v>
      </c>
      <c r="BB55">
        <f t="shared" si="3"/>
        <v>617</v>
      </c>
      <c r="BC55">
        <f t="shared" si="4"/>
        <v>1169.2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3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3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0.8384</v>
      </c>
      <c r="BT55" s="27">
        <f t="shared" si="10"/>
        <v>0.00919999999999999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1:74">
      <c r="K56" s="39">
        <f t="shared" si="0"/>
        <v>180959.352958655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181557.666643079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183011.361221992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92442.8037897553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49321.6363039605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76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76</v>
      </c>
      <c r="AB56" s="41" t="s">
        <v>76</v>
      </c>
      <c r="AC56" s="41" t="s">
        <v>76</v>
      </c>
      <c r="AD56" s="41" t="s">
        <v>76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76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1.0041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1450.7</v>
      </c>
      <c r="AT56" cm="1">
        <f t="array" ref="AT56">$E$10*(1+$AR56)+VLOOKUP($Q56,武学奇术!$A:$ZZ,4,FALSE)+SUM(_xlfn.XLOOKUP($R56:$AK56,增益!$A:$A,增益!$D:$D,0))-$I$2</f>
        <v>6032.8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0.277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3" cm="1">
        <f t="array" ref="BA56">$G$11+VLOOKUP($Q56,武学奇术!$A:$ZZ,10,FALSE)+SUM(_xlfn.XLOOKUP($R56:$AK56,增益!$A:$A,增益!$J:$J,0))</f>
        <v>0</v>
      </c>
      <c r="BB56">
        <f t="shared" si="3"/>
        <v>617</v>
      </c>
      <c r="BC56">
        <f t="shared" si="4"/>
        <v>1169.2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3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3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0.8384</v>
      </c>
      <c r="BT56" s="27">
        <f t="shared" si="10"/>
        <v>0.00919999999999999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1:74">
      <c r="K57" s="39">
        <f t="shared" si="0"/>
        <v>8546.41851370495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9537.862290768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10170.6397097258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5172.37651343167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2810.94583447387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76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76</v>
      </c>
      <c r="AB57" s="41" t="s">
        <v>76</v>
      </c>
      <c r="AC57" s="41" t="s">
        <v>76</v>
      </c>
      <c r="AD57" s="41" t="s">
        <v>76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76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1450.7</v>
      </c>
      <c r="AT57" cm="1">
        <f t="array" ref="AT57">$E$10*(1+$AR57)+VLOOKUP($Q57,武学奇术!$A:$ZZ,4,FALSE)+SUM(_xlfn.XLOOKUP($R57:$AK57,增益!$A:$A,增益!$D:$D,0))-$I$2</f>
        <v>5832.8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0.267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3" cm="1">
        <f t="array" ref="BA57">$G$11+VLOOKUP($Q57,武学奇术!$A:$ZZ,10,FALSE)+SUM(_xlfn.XLOOKUP($R57:$AK57,增益!$A:$A,增益!$J:$J,0))</f>
        <v>0</v>
      </c>
      <c r="BB57">
        <f t="shared" si="3"/>
        <v>617</v>
      </c>
      <c r="BC57">
        <f t="shared" si="4"/>
        <v>1169.2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3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3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0.5984</v>
      </c>
      <c r="BT57" s="27">
        <f t="shared" si="10"/>
        <v>0.2492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1:74">
      <c r="K58" s="39">
        <f t="shared" si="0"/>
        <v>301572.110675541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302090.928860683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307542.175131099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155396.568343973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82984.1180723165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76</v>
      </c>
      <c r="AB58" s="41" t="s">
        <v>76</v>
      </c>
      <c r="AC58" s="41" t="s">
        <v>76</v>
      </c>
      <c r="AD58" s="41" t="s">
        <v>76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76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1.0041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1450.7</v>
      </c>
      <c r="AT58" cm="1">
        <f t="array" ref="AT58">$E$10*(1+$AR58)+VLOOKUP($Q58,武学奇术!$A:$ZZ,4,FALSE)+SUM(_xlfn.XLOOKUP($R58:$AK58,增益!$A:$A,增益!$D:$D,0))-$I$2</f>
        <v>6032.8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0.267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3"/>
        <v>617</v>
      </c>
      <c r="BC58">
        <f t="shared" si="4"/>
        <v>1169.2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0.8384</v>
      </c>
      <c r="BT58" s="27">
        <f t="shared" si="10"/>
        <v>0.00919999999999999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1:74">
      <c r="K59" s="39">
        <f t="shared" si="0"/>
        <v>184852.012014724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185893.70050412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184652.555364347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93226.529841585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49673.3890429131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76</v>
      </c>
      <c r="AB59" s="41" t="s">
        <v>76</v>
      </c>
      <c r="AC59" s="41" t="s">
        <v>76</v>
      </c>
      <c r="AD59" s="41" t="s">
        <v>76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76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1.0041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1450.7</v>
      </c>
      <c r="AT59" cm="1">
        <f t="array" ref="AT59">$E$10*(1+$AR59)+VLOOKUP($Q59,武学奇术!$A:$ZZ,4,FALSE)+SUM(_xlfn.XLOOKUP($R59:$AK59,增益!$A:$A,增益!$D:$D,0))-$I$2</f>
        <v>6032.8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0.292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3"/>
        <v>617</v>
      </c>
      <c r="BC59">
        <f t="shared" si="4"/>
        <v>1169.2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0.8384</v>
      </c>
      <c r="BT59" s="27">
        <f t="shared" si="10"/>
        <v>0.00919999999999999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1:74">
      <c r="K60" s="39">
        <f t="shared" si="0"/>
        <v>321114.783110479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325400.414112279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307542.175131099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155396.568343973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82984.1180723165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76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76</v>
      </c>
      <c r="AB60" s="41" t="s">
        <v>76</v>
      </c>
      <c r="AC60" s="41" t="s">
        <v>76</v>
      </c>
      <c r="AD60" s="41" t="s">
        <v>76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76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1.0041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1450.7</v>
      </c>
      <c r="AT60" cm="1">
        <f t="array" ref="AT60">$E$10*(1+$AR60)+VLOOKUP($Q60,武学奇术!$A:$ZZ,4,FALSE)+SUM(_xlfn.XLOOKUP($R60:$AK60,增益!$A:$A,增益!$D:$D,0))-$I$2</f>
        <v>6032.8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3" cm="1">
        <f t="array" ref="BA60">$G$11+VLOOKUP($Q60,武学奇术!$A:$ZZ,10,FALSE)+SUM(_xlfn.XLOOKUP($R60:$AK60,增益!$A:$A,增益!$J:$J,0))</f>
        <v>0</v>
      </c>
      <c r="BB60">
        <f t="shared" si="3"/>
        <v>617</v>
      </c>
      <c r="BC60">
        <f t="shared" si="4"/>
        <v>1169.2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3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3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0.8384</v>
      </c>
      <c r="BT60" s="27">
        <f t="shared" si="10"/>
        <v>0.00919999999999999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1:74">
      <c r="K61" s="39">
        <f t="shared" si="0"/>
        <v>196576.180407601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199877.679980358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184652.555364347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93226.529841585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49673.3890429131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76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76</v>
      </c>
      <c r="AB61" s="41" t="s">
        <v>76</v>
      </c>
      <c r="AC61" s="41" t="s">
        <v>76</v>
      </c>
      <c r="AD61" s="41" t="s">
        <v>76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76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1.0041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1450.7</v>
      </c>
      <c r="AT61" cm="1">
        <f t="array" ref="AT61">$E$10*(1+$AR61)+VLOOKUP($Q61,武学奇术!$A:$ZZ,4,FALSE)+SUM(_xlfn.XLOOKUP($R61:$AK61,增益!$A:$A,增益!$D:$D,0))-$I$2</f>
        <v>6032.8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0.292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3" cm="1">
        <f t="array" ref="BA61">$G$11+VLOOKUP($Q61,武学奇术!$A:$ZZ,10,FALSE)+SUM(_xlfn.XLOOKUP($R61:$AK61,增益!$A:$A,增益!$J:$J,0))</f>
        <v>0</v>
      </c>
      <c r="BB61">
        <f t="shared" si="3"/>
        <v>617</v>
      </c>
      <c r="BC61">
        <f t="shared" si="4"/>
        <v>1169.2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3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3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0.8384</v>
      </c>
      <c r="BT61" s="27">
        <f t="shared" si="10"/>
        <v>0.00919999999999999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1:74">
      <c r="K62" s="39">
        <f t="shared" si="0"/>
        <v>321114.783110479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325400.414112279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307542.175131099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155396.568343973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82984.1180723165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76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76</v>
      </c>
      <c r="AB62" s="41" t="s">
        <v>76</v>
      </c>
      <c r="AC62" s="41" t="s">
        <v>76</v>
      </c>
      <c r="AD62" s="41" t="s">
        <v>76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76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1.0041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1450.7</v>
      </c>
      <c r="AT62" cm="1">
        <f t="array" ref="AT62">$E$10*(1+$AR62)+VLOOKUP($Q62,武学奇术!$A:$ZZ,4,FALSE)+SUM(_xlfn.XLOOKUP($R62:$AK62,增益!$A:$A,增益!$D:$D,0))-$I$2</f>
        <v>6032.8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0.267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3" cm="1">
        <f t="array" ref="BA62">$G$11+VLOOKUP($Q62,武学奇术!$A:$ZZ,10,FALSE)+SUM(_xlfn.XLOOKUP($R62:$AK62,增益!$A:$A,增益!$J:$J,0))</f>
        <v>0</v>
      </c>
      <c r="BB62">
        <f t="shared" si="3"/>
        <v>617</v>
      </c>
      <c r="BC62">
        <f t="shared" si="4"/>
        <v>1169.2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3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3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0.8384</v>
      </c>
      <c r="BT62" s="27">
        <f t="shared" si="10"/>
        <v>0.00919999999999999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1:74">
      <c r="K63" s="39">
        <f t="shared" si="0"/>
        <v>214285.746210088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217884.678176787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201287.920712486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101625.3163138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54148.4691368693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76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76</v>
      </c>
      <c r="AA63" s="41" t="s">
        <v>76</v>
      </c>
      <c r="AB63" s="41" t="s">
        <v>76</v>
      </c>
      <c r="AC63" s="41" t="s">
        <v>76</v>
      </c>
      <c r="AD63" s="41" t="s">
        <v>76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76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1.0041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1450.7</v>
      </c>
      <c r="AT63" cm="1">
        <f t="array" ref="AT63">$E$10*(1+$AR63)+VLOOKUP($Q63,武学奇术!$A:$ZZ,4,FALSE)+SUM(_xlfn.XLOOKUP($R63:$AK63,增益!$A:$A,增益!$D:$D,0))-$I$2</f>
        <v>6032.8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0.292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3" cm="1">
        <f t="array" ref="BA63">$G$11+VLOOKUP($Q63,武学奇术!$A:$ZZ,10,FALSE)+SUM(_xlfn.XLOOKUP($R63:$AK63,增益!$A:$A,增益!$J:$J,0))</f>
        <v>0</v>
      </c>
      <c r="BB63">
        <f t="shared" si="3"/>
        <v>617</v>
      </c>
      <c r="BC63">
        <f t="shared" si="4"/>
        <v>1169.2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3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3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0.8384</v>
      </c>
      <c r="BT63" s="27">
        <f t="shared" si="10"/>
        <v>0.00919999999999999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0.21</v>
      </c>
    </row>
    <row r="64" spans="11:74">
      <c r="K64" s="39">
        <f t="shared" si="0"/>
        <v>214285.746210088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217884.678176787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201287.920712486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101625.3163138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54148.4691368693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76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76</v>
      </c>
      <c r="AA64" s="41" t="s">
        <v>76</v>
      </c>
      <c r="AB64" s="41" t="s">
        <v>76</v>
      </c>
      <c r="AC64" s="41" t="s">
        <v>76</v>
      </c>
      <c r="AD64" s="41" t="s">
        <v>76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76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1.0041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1450.7</v>
      </c>
      <c r="AT64" cm="1">
        <f t="array" ref="AT64">$E$10*(1+$AR64)+VLOOKUP($Q64,武学奇术!$A:$ZZ,4,FALSE)+SUM(_xlfn.XLOOKUP($R64:$AK64,增益!$A:$A,增益!$D:$D,0))-$I$2</f>
        <v>6032.8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0.292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3" cm="1">
        <f t="array" ref="BA64">$G$11+VLOOKUP($Q64,武学奇术!$A:$ZZ,10,FALSE)+SUM(_xlfn.XLOOKUP($R64:$AK64,增益!$A:$A,增益!$J:$J,0))</f>
        <v>0</v>
      </c>
      <c r="BB64">
        <f t="shared" si="3"/>
        <v>617</v>
      </c>
      <c r="BC64">
        <f t="shared" si="4"/>
        <v>1169.2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3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3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0.8384</v>
      </c>
      <c r="BT64" s="27">
        <f t="shared" si="10"/>
        <v>0.00919999999999999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0.21</v>
      </c>
    </row>
    <row r="65" spans="11:74">
      <c r="K65" s="39">
        <f t="shared" si="0"/>
        <v>214285.746210088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217884.678176787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201287.920712486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101625.3163138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54148.4691368693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76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76</v>
      </c>
      <c r="AA65" s="41" t="s">
        <v>76</v>
      </c>
      <c r="AB65" s="41" t="s">
        <v>76</v>
      </c>
      <c r="AC65" s="41" t="s">
        <v>76</v>
      </c>
      <c r="AD65" s="41" t="s">
        <v>76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76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1.0041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1450.7</v>
      </c>
      <c r="AT65" cm="1">
        <f t="array" ref="AT65">$E$10*(1+$AR65)+VLOOKUP($Q65,武学奇术!$A:$ZZ,4,FALSE)+SUM(_xlfn.XLOOKUP($R65:$AK65,增益!$A:$A,增益!$D:$D,0))-$I$2</f>
        <v>6032.8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0.292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3" cm="1">
        <f t="array" ref="BA65">$G$11+VLOOKUP($Q65,武学奇术!$A:$ZZ,10,FALSE)+SUM(_xlfn.XLOOKUP($R65:$AK65,增益!$A:$A,增益!$J:$J,0))</f>
        <v>0</v>
      </c>
      <c r="BB65">
        <f t="shared" si="3"/>
        <v>617</v>
      </c>
      <c r="BC65">
        <f t="shared" si="4"/>
        <v>1169.2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3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3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0.8384</v>
      </c>
      <c r="BT65" s="27">
        <f t="shared" si="10"/>
        <v>0.00919999999999999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0.21</v>
      </c>
    </row>
    <row r="66" spans="11:74">
      <c r="K66" s="39">
        <f t="shared" ref="K66:K102" si="11">($L66*$BS66+$M66*$BQ66+$N66*$BT66+$O66*$BU66)</f>
        <v>350044.042850162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354715.766735007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335248.677395162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169396.259185772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90460.1647454982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76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76</v>
      </c>
      <c r="AA66" s="41" t="s">
        <v>76</v>
      </c>
      <c r="AB66" s="41" t="s">
        <v>76</v>
      </c>
      <c r="AC66" s="41" t="s">
        <v>76</v>
      </c>
      <c r="AD66" s="41" t="s">
        <v>76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76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1.0041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1450.7</v>
      </c>
      <c r="AT66" cm="1">
        <f t="array" ref="AT66">$E$10*(1+$AR66)+VLOOKUP($Q66,武学奇术!$A:$ZZ,4,FALSE)+SUM(_xlfn.XLOOKUP($R66:$AK66,增益!$A:$A,增益!$D:$D,0))-$I$2</f>
        <v>6032.8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0.267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3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617</v>
      </c>
      <c r="BC66">
        <f t="shared" ref="BC66:BC102" si="15">$E$12*(1+$AW66)</f>
        <v>1169.2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3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3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02" si="20">MIN((1-BQ66)*BN66,BN66*BO66)</f>
        <v>0.8384</v>
      </c>
      <c r="BT66" s="27">
        <f t="shared" ref="BT66:BT102" si="21">1-BQ66-BS66-BU66</f>
        <v>0.00919999999999999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0.21</v>
      </c>
    </row>
    <row r="67" spans="11:74">
      <c r="K67" s="39">
        <f t="shared" si="11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76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76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0.2037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1450.7</v>
      </c>
      <c r="AT67" cm="1">
        <f t="array" ref="AT67">$E$10*(1+$AR67)+VLOOKUP($Q67,武学奇术!$A:$ZZ,4,FALSE)+SUM(_xlfn.XLOOKUP($R67:$AK67,增益!$A:$A,增益!$D:$D,0))-$I$2</f>
        <v>5832.8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0.167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si="14"/>
        <v>617</v>
      </c>
      <c r="BC67">
        <f t="shared" si="15"/>
        <v>1169.2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0.5984</v>
      </c>
      <c r="BT67" s="27">
        <f t="shared" si="21"/>
        <v>0.2492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1:74">
      <c r="K68" s="39">
        <f t="shared" si="11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76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76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0.2037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1450.7</v>
      </c>
      <c r="AT68" cm="1">
        <f t="array" ref="AT68">$E$10*(1+$AR68)+VLOOKUP($Q68,武学奇术!$A:$ZZ,4,FALSE)+SUM(_xlfn.XLOOKUP($R68:$AK68,增益!$A:$A,增益!$D:$D,0))-$I$2</f>
        <v>5832.8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0.167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14"/>
        <v>617</v>
      </c>
      <c r="BC68">
        <f t="shared" si="15"/>
        <v>1169.2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0.5984</v>
      </c>
      <c r="BT68" s="27">
        <f t="shared" si="21"/>
        <v>0.2492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1:74">
      <c r="K69" s="39">
        <f t="shared" si="11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76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76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0.2037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1450.7</v>
      </c>
      <c r="AT69" cm="1">
        <f t="array" ref="AT69">$E$10*(1+$AR69)+VLOOKUP($Q69,武学奇术!$A:$ZZ,4,FALSE)+SUM(_xlfn.XLOOKUP($R69:$AK69,增益!$A:$A,增益!$D:$D,0))-$I$2</f>
        <v>5832.8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0.167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14"/>
        <v>617</v>
      </c>
      <c r="BC69">
        <f t="shared" si="15"/>
        <v>1169.2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0.5984</v>
      </c>
      <c r="BT69" s="27">
        <f t="shared" si="21"/>
        <v>0.2492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1:74">
      <c r="K70" s="39">
        <f t="shared" si="11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76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76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0.2037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1450.7</v>
      </c>
      <c r="AT70" cm="1">
        <f t="array" ref="AT70">$E$10*(1+$AR70)+VLOOKUP($Q70,武学奇术!$A:$ZZ,4,FALSE)+SUM(_xlfn.XLOOKUP($R70:$AK70,增益!$A:$A,增益!$D:$D,0))-$I$2</f>
        <v>5832.8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0.167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14"/>
        <v>617</v>
      </c>
      <c r="BC70">
        <f t="shared" si="15"/>
        <v>1169.2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0.5984</v>
      </c>
      <c r="BT70" s="27">
        <f t="shared" si="21"/>
        <v>0.2492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1:74">
      <c r="K71" s="39">
        <f t="shared" si="11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76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76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1450.7</v>
      </c>
      <c r="AT71" cm="1">
        <f t="array" ref="AT71">$E$10*(1+$AR71)+VLOOKUP($Q71,武学奇术!$A:$ZZ,4,FALSE)+SUM(_xlfn.XLOOKUP($R71:$AK71,增益!$A:$A,增益!$D:$D,0))-$I$2</f>
        <v>5832.8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0.167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14"/>
        <v>617</v>
      </c>
      <c r="BC71">
        <f t="shared" si="15"/>
        <v>1169.2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0.5984</v>
      </c>
      <c r="BT71" s="27">
        <f t="shared" si="21"/>
        <v>0.2492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1:74">
      <c r="K72" s="39">
        <f t="shared" si="11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76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76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0.2037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1450.7</v>
      </c>
      <c r="AT72" cm="1">
        <f t="array" ref="AT72">$E$10*(1+$AR72)+VLOOKUP($Q72,武学奇术!$A:$ZZ,4,FALSE)+SUM(_xlfn.XLOOKUP($R72:$AK72,增益!$A:$A,增益!$D:$D,0))-$I$2</f>
        <v>5832.8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0.167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14"/>
        <v>617</v>
      </c>
      <c r="BC72">
        <f t="shared" si="15"/>
        <v>1169.2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0.5984</v>
      </c>
      <c r="BT72" s="27">
        <f t="shared" si="21"/>
        <v>0.2492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1:74">
      <c r="K73" s="39">
        <f t="shared" si="11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76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76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0.2037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1450.7</v>
      </c>
      <c r="AT73" cm="1">
        <f t="array" ref="AT73">$E$10*(1+$AR73)+VLOOKUP($Q73,武学奇术!$A:$ZZ,4,FALSE)+SUM(_xlfn.XLOOKUP($R73:$AK73,增益!$A:$A,增益!$D:$D,0))-$I$2</f>
        <v>5832.8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0.167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14"/>
        <v>617</v>
      </c>
      <c r="BC73">
        <f t="shared" si="15"/>
        <v>1169.2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0.5984</v>
      </c>
      <c r="BT73" s="27">
        <f t="shared" si="21"/>
        <v>0.2492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1:74">
      <c r="K74" s="39">
        <f t="shared" si="11"/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76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76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1450.7</v>
      </c>
      <c r="AT74" cm="1">
        <f t="array" ref="AT74">$E$10*(1+$AR74)+VLOOKUP($Q74,武学奇术!$A:$ZZ,4,FALSE)+SUM(_xlfn.XLOOKUP($R74:$AK74,增益!$A:$A,增益!$D:$D,0))-$I$2</f>
        <v>5832.8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0.167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14"/>
        <v>617</v>
      </c>
      <c r="BC74">
        <f t="shared" si="15"/>
        <v>1169.2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0.5984</v>
      </c>
      <c r="BT74" s="27">
        <f t="shared" si="21"/>
        <v>0.2492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1:74">
      <c r="K75" s="39">
        <f t="shared" si="11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76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76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0.2037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1450.7</v>
      </c>
      <c r="AT75" cm="1">
        <f t="array" ref="AT75">$E$10*(1+$AR75)+VLOOKUP($Q75,武学奇术!$A:$ZZ,4,FALSE)+SUM(_xlfn.XLOOKUP($R75:$AK75,增益!$A:$A,增益!$D:$D,0))-$I$2</f>
        <v>5832.8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0.167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14"/>
        <v>617</v>
      </c>
      <c r="BC75">
        <f t="shared" si="15"/>
        <v>1169.2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0.5984</v>
      </c>
      <c r="BT75" s="27">
        <f t="shared" si="21"/>
        <v>0.2492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1:74">
      <c r="K76" s="39">
        <f t="shared" si="11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76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76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0.2037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1450.7</v>
      </c>
      <c r="AT76" cm="1">
        <f t="array" ref="AT76">$E$10*(1+$AR76)+VLOOKUP($Q76,武学奇术!$A:$ZZ,4,FALSE)+SUM(_xlfn.XLOOKUP($R76:$AK76,增益!$A:$A,增益!$D:$D,0))-$I$2</f>
        <v>5832.8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0.167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14"/>
        <v>617</v>
      </c>
      <c r="BC76">
        <f t="shared" si="15"/>
        <v>1169.2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0.5984</v>
      </c>
      <c r="BT76" s="27">
        <f t="shared" si="21"/>
        <v>0.2492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1:74">
      <c r="K77" s="39">
        <f t="shared" si="11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76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76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0.2037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1450.7</v>
      </c>
      <c r="AT77" cm="1">
        <f t="array" ref="AT77">$E$10*(1+$AR77)+VLOOKUP($Q77,武学奇术!$A:$ZZ,4,FALSE)+SUM(_xlfn.XLOOKUP($R77:$AK77,增益!$A:$A,增益!$D:$D,0))-$I$2</f>
        <v>5832.8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0.167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14"/>
        <v>617</v>
      </c>
      <c r="BC77">
        <f t="shared" si="15"/>
        <v>1169.2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0.5984</v>
      </c>
      <c r="BT77" s="27">
        <f t="shared" si="21"/>
        <v>0.2492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1:74">
      <c r="K78" s="39">
        <f t="shared" si="11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76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76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1450.7</v>
      </c>
      <c r="AT78" cm="1">
        <f t="array" ref="AT78">$E$10*(1+$AR78)+VLOOKUP($Q78,武学奇术!$A:$ZZ,4,FALSE)+SUM(_xlfn.XLOOKUP($R78:$AK78,增益!$A:$A,增益!$D:$D,0))-$I$2</f>
        <v>5832.8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0.167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14"/>
        <v>617</v>
      </c>
      <c r="BC78">
        <f t="shared" si="15"/>
        <v>1169.2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0.5984</v>
      </c>
      <c r="BT78" s="27">
        <f t="shared" si="21"/>
        <v>0.2492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1:74">
      <c r="K79" s="39">
        <f t="shared" si="11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76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76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0.2037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1450.7</v>
      </c>
      <c r="AT79" cm="1">
        <f t="array" ref="AT79">$E$10*(1+$AR79)+VLOOKUP($Q79,武学奇术!$A:$ZZ,4,FALSE)+SUM(_xlfn.XLOOKUP($R79:$AK79,增益!$A:$A,增益!$D:$D,0))-$I$2</f>
        <v>5832.8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0.167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14"/>
        <v>617</v>
      </c>
      <c r="BC79">
        <f t="shared" si="15"/>
        <v>1169.2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0.5984</v>
      </c>
      <c r="BT79" s="27">
        <f t="shared" si="21"/>
        <v>0.2492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1:74">
      <c r="K80" s="39">
        <f t="shared" si="11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76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76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0.2037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1450.7</v>
      </c>
      <c r="AT80" cm="1">
        <f t="array" ref="AT80">$E$10*(1+$AR80)+VLOOKUP($Q80,武学奇术!$A:$ZZ,4,FALSE)+SUM(_xlfn.XLOOKUP($R80:$AK80,增益!$A:$A,增益!$D:$D,0))-$I$2</f>
        <v>5832.8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0.167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14"/>
        <v>617</v>
      </c>
      <c r="BC80">
        <f t="shared" si="15"/>
        <v>1169.2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0.5984</v>
      </c>
      <c r="BT80" s="27">
        <f t="shared" si="21"/>
        <v>0.2492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1:74">
      <c r="K81" s="39">
        <f t="shared" si="11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76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76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0.2037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1450.7</v>
      </c>
      <c r="AT81" cm="1">
        <f t="array" ref="AT81">$E$10*(1+$AR81)+VLOOKUP($Q81,武学奇术!$A:$ZZ,4,FALSE)+SUM(_xlfn.XLOOKUP($R81:$AK81,增益!$A:$A,增益!$D:$D,0))-$I$2</f>
        <v>5832.8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0.167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14"/>
        <v>617</v>
      </c>
      <c r="BC81">
        <f t="shared" si="15"/>
        <v>1169.2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0.5984</v>
      </c>
      <c r="BT81" s="27">
        <f t="shared" si="21"/>
        <v>0.2492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1:74">
      <c r="K82" s="39">
        <f t="shared" si="11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76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76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0.2037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1450.7</v>
      </c>
      <c r="AT82" cm="1">
        <f t="array" ref="AT82">$E$10*(1+$AR82)+VLOOKUP($Q82,武学奇术!$A:$ZZ,4,FALSE)+SUM(_xlfn.XLOOKUP($R82:$AK82,增益!$A:$A,增益!$D:$D,0))-$I$2</f>
        <v>5832.8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0.167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14"/>
        <v>617</v>
      </c>
      <c r="BC82">
        <f t="shared" si="15"/>
        <v>1169.2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0.5984</v>
      </c>
      <c r="BT82" s="27">
        <f t="shared" si="21"/>
        <v>0.2492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1:74">
      <c r="K83" s="39">
        <f t="shared" si="11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76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76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0.2037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1450.7</v>
      </c>
      <c r="AT83" cm="1">
        <f t="array" ref="AT83">$E$10*(1+$AR83)+VLOOKUP($Q83,武学奇术!$A:$ZZ,4,FALSE)+SUM(_xlfn.XLOOKUP($R83:$AK83,增益!$A:$A,增益!$D:$D,0))-$I$2</f>
        <v>5832.8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0.167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14"/>
        <v>617</v>
      </c>
      <c r="BC83">
        <f t="shared" si="15"/>
        <v>1169.2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0.5984</v>
      </c>
      <c r="BT83" s="27">
        <f t="shared" si="21"/>
        <v>0.2492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1:74">
      <c r="K84" s="39">
        <f t="shared" si="11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76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76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0.2037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1450.7</v>
      </c>
      <c r="AT84" cm="1">
        <f t="array" ref="AT84">$E$10*(1+$AR84)+VLOOKUP($Q84,武学奇术!$A:$ZZ,4,FALSE)+SUM(_xlfn.XLOOKUP($R84:$AK84,增益!$A:$A,增益!$D:$D,0))-$I$2</f>
        <v>5832.8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0.167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14"/>
        <v>617</v>
      </c>
      <c r="BC84">
        <f t="shared" si="15"/>
        <v>1169.2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0.5984</v>
      </c>
      <c r="BT84" s="27">
        <f t="shared" si="21"/>
        <v>0.2492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1:74">
      <c r="K85" s="39">
        <f t="shared" si="11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76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76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0.2037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1450.7</v>
      </c>
      <c r="AT85" cm="1">
        <f t="array" ref="AT85">$E$10*(1+$AR85)+VLOOKUP($Q85,武学奇术!$A:$ZZ,4,FALSE)+SUM(_xlfn.XLOOKUP($R85:$AK85,增益!$A:$A,增益!$D:$D,0))-$I$2</f>
        <v>5832.8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0.167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14"/>
        <v>617</v>
      </c>
      <c r="BC85">
        <f t="shared" si="15"/>
        <v>1169.2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0.5984</v>
      </c>
      <c r="BT85" s="27">
        <f t="shared" si="21"/>
        <v>0.2492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1:74">
      <c r="K86" s="39">
        <f t="shared" si="11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76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76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0.2037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1450.7</v>
      </c>
      <c r="AT86" cm="1">
        <f t="array" ref="AT86">$E$10*(1+$AR86)+VLOOKUP($Q86,武学奇术!$A:$ZZ,4,FALSE)+SUM(_xlfn.XLOOKUP($R86:$AK86,增益!$A:$A,增益!$D:$D,0))-$I$2</f>
        <v>5832.8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0.167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14"/>
        <v>617</v>
      </c>
      <c r="BC86">
        <f t="shared" si="15"/>
        <v>1169.2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0.5984</v>
      </c>
      <c r="BT86" s="27">
        <f t="shared" si="21"/>
        <v>0.2492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1:74">
      <c r="K87" s="39">
        <f t="shared" si="11"/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76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76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0.2037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1450.7</v>
      </c>
      <c r="AT87" cm="1">
        <f t="array" ref="AT87">$E$10*(1+$AR87)+VLOOKUP($Q87,武学奇术!$A:$ZZ,4,FALSE)+SUM(_xlfn.XLOOKUP($R87:$AK87,增益!$A:$A,增益!$D:$D,0))-$I$2</f>
        <v>5832.8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0.167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14"/>
        <v>617</v>
      </c>
      <c r="BC87">
        <f t="shared" si="15"/>
        <v>1169.2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0.5984</v>
      </c>
      <c r="BT87" s="27">
        <f t="shared" si="21"/>
        <v>0.2492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1:74">
      <c r="K88" s="39">
        <f t="shared" si="11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76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76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0.2037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1450.7</v>
      </c>
      <c r="AT88" cm="1">
        <f t="array" ref="AT88">$E$10*(1+$AR88)+VLOOKUP($Q88,武学奇术!$A:$ZZ,4,FALSE)+SUM(_xlfn.XLOOKUP($R88:$AK88,增益!$A:$A,增益!$D:$D,0))-$I$2</f>
        <v>5832.8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14"/>
        <v>617</v>
      </c>
      <c r="BC88">
        <f t="shared" si="15"/>
        <v>1169.2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0.5984</v>
      </c>
      <c r="BT88" s="27">
        <f t="shared" si="21"/>
        <v>0.2492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1:74">
      <c r="K89" s="39">
        <f t="shared" si="11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76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76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0.2037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1450.7</v>
      </c>
      <c r="AT89" cm="1">
        <f t="array" ref="AT89">$E$10*(1+$AR89)+VLOOKUP($Q89,武学奇术!$A:$ZZ,4,FALSE)+SUM(_xlfn.XLOOKUP($R89:$AK89,增益!$A:$A,增益!$D:$D,0))-$I$2</f>
        <v>5832.8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14"/>
        <v>617</v>
      </c>
      <c r="BC89">
        <f t="shared" si="15"/>
        <v>1169.2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0.5984</v>
      </c>
      <c r="BT89" s="27">
        <f t="shared" si="21"/>
        <v>0.2492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1:74">
      <c r="K90" s="39">
        <f t="shared" si="11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76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76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0.2037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1450.7</v>
      </c>
      <c r="AT90" cm="1">
        <f t="array" ref="AT90">$E$10*(1+$AR90)+VLOOKUP($Q90,武学奇术!$A:$ZZ,4,FALSE)+SUM(_xlfn.XLOOKUP($R90:$AK90,增益!$A:$A,增益!$D:$D,0))-$I$2</f>
        <v>5832.8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14"/>
        <v>617</v>
      </c>
      <c r="BC90">
        <f t="shared" si="15"/>
        <v>1169.2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0.5984</v>
      </c>
      <c r="BT90" s="27">
        <f t="shared" si="21"/>
        <v>0.2492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1:74">
      <c r="K91" s="39">
        <f t="shared" si="11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76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76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1450.7</v>
      </c>
      <c r="AT91" cm="1">
        <f t="array" ref="AT91">$E$10*(1+$AR91)+VLOOKUP($Q91,武学奇术!$A:$ZZ,4,FALSE)+SUM(_xlfn.XLOOKUP($R91:$AK91,增益!$A:$A,增益!$D:$D,0))-$I$2</f>
        <v>5832.8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14"/>
        <v>617</v>
      </c>
      <c r="BC91">
        <f t="shared" si="15"/>
        <v>1169.2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0.5984</v>
      </c>
      <c r="BT91" s="27">
        <f t="shared" si="21"/>
        <v>0.2492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1:74">
      <c r="K92" s="39">
        <f t="shared" si="11"/>
        <v>14976.2796420562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16592.5611603641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18563.0916223244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8901.58860534555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4052.7389719323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76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76</v>
      </c>
      <c r="AB92" s="41" t="s">
        <v>76</v>
      </c>
      <c r="AC92" s="41" t="s">
        <v>76</v>
      </c>
      <c r="AD92" s="41" t="s">
        <v>76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76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0.4337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1450.7</v>
      </c>
      <c r="AT92" cm="1">
        <f t="array" ref="AT92">$E$10*(1+$AR92)+VLOOKUP($Q92,武学奇术!$A:$ZZ,4,FALSE)+SUM(_xlfn.XLOOKUP($R92:$AK92,增益!$A:$A,增益!$D:$D,0))-$I$2</f>
        <v>5832.8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0.237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3" cm="1">
        <f t="array" ref="BA92">$G$11+VLOOKUP($Q92,武学奇术!$A:$ZZ,10,FALSE)+SUM(_xlfn.XLOOKUP($R92:$AK92,增益!$A:$A,增益!$J:$J,0))</f>
        <v>0</v>
      </c>
      <c r="BB92">
        <f t="shared" si="14"/>
        <v>617</v>
      </c>
      <c r="BC92">
        <f t="shared" si="15"/>
        <v>1169.2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3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3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0.5984</v>
      </c>
      <c r="BT92" s="27">
        <f t="shared" si="21"/>
        <v>0.2492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1:74">
      <c r="K93" s="39">
        <f t="shared" si="11"/>
        <v>15593.304142362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17575.5452221071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18674.8292420552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8948.85194608305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4064.4970461993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76</v>
      </c>
      <c r="AB93" s="41" t="s">
        <v>76</v>
      </c>
      <c r="AC93" s="41" t="s">
        <v>76</v>
      </c>
      <c r="AD93" s="41" t="s">
        <v>76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76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0.4137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1450.7</v>
      </c>
      <c r="AT93" cm="1">
        <f t="array" ref="AT93">$E$10*(1+$AR93)+VLOOKUP($Q93,武学奇术!$A:$ZZ,4,FALSE)+SUM(_xlfn.XLOOKUP($R93:$AK93,增益!$A:$A,增益!$D:$D,0))-$I$2</f>
        <v>5832.8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14"/>
        <v>617</v>
      </c>
      <c r="BC93">
        <f t="shared" si="15"/>
        <v>1169.2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0.5984</v>
      </c>
      <c r="BT93" s="27">
        <f t="shared" si="21"/>
        <v>0.2492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1:74">
      <c r="K94" s="39">
        <f t="shared" si="11"/>
        <v>14950.7049818177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16501.6829885771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18674.8292420552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8948.85194608305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4064.4970461993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76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76</v>
      </c>
      <c r="AB94" s="41" t="s">
        <v>76</v>
      </c>
      <c r="AC94" s="41" t="s">
        <v>76</v>
      </c>
      <c r="AD94" s="41" t="s">
        <v>76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76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0.4137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1450.7</v>
      </c>
      <c r="AT94" cm="1">
        <f t="array" ref="AT94">$E$10*(1+$AR94)+VLOOKUP($Q94,武学奇术!$A:$ZZ,4,FALSE)+SUM(_xlfn.XLOOKUP($R94:$AK94,增益!$A:$A,增益!$D:$D,0))-$I$2</f>
        <v>5832.8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3" cm="1">
        <f t="array" ref="BA94">$G$11+VLOOKUP($Q94,武学奇术!$A:$ZZ,10,FALSE)+SUM(_xlfn.XLOOKUP($R94:$AK94,增益!$A:$A,增益!$J:$J,0))</f>
        <v>0</v>
      </c>
      <c r="BB94">
        <f t="shared" si="14"/>
        <v>617</v>
      </c>
      <c r="BC94">
        <f t="shared" si="15"/>
        <v>1169.2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3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3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0.5984</v>
      </c>
      <c r="BT94" s="27">
        <f t="shared" si="21"/>
        <v>0.2492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1:74">
      <c r="K95" s="39">
        <f t="shared" si="11"/>
        <v>15753.9539324981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17844.0107804896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18674.8292420552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8948.85194608305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4064.4970461993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76</v>
      </c>
      <c r="AB95" s="41" t="s">
        <v>76</v>
      </c>
      <c r="AC95" s="41" t="s">
        <v>76</v>
      </c>
      <c r="AD95" s="41" t="s">
        <v>76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76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0.4137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1450.7</v>
      </c>
      <c r="AT95" cm="1">
        <f t="array" ref="AT95">$E$10*(1+$AR95)+VLOOKUP($Q95,武学奇术!$A:$ZZ,4,FALSE)+SUM(_xlfn.XLOOKUP($R95:$AK95,增益!$A:$A,增益!$D:$D,0))-$I$2</f>
        <v>5832.8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14"/>
        <v>617</v>
      </c>
      <c r="BC95">
        <f t="shared" si="15"/>
        <v>1169.2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0.5984</v>
      </c>
      <c r="BT95" s="27">
        <f t="shared" si="21"/>
        <v>0.2492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1:74">
      <c r="K96" s="39">
        <f t="shared" si="11"/>
        <v>16297.61534054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17988.3210956562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20357.246290889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9755.05482410855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4430.6679512623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76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76</v>
      </c>
      <c r="AA96" s="41" t="s">
        <v>76</v>
      </c>
      <c r="AB96" s="41" t="s">
        <v>76</v>
      </c>
      <c r="AC96" s="41" t="s">
        <v>76</v>
      </c>
      <c r="AD96" s="41" t="s">
        <v>76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76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0.4137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1450.7</v>
      </c>
      <c r="AT96" cm="1">
        <f t="array" ref="AT96">$E$10*(1+$AR96)+VLOOKUP($Q96,武学奇术!$A:$ZZ,4,FALSE)+SUM(_xlfn.XLOOKUP($R96:$AK96,增益!$A:$A,增益!$D:$D,0))-$I$2</f>
        <v>5832.8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3" cm="1">
        <f t="array" ref="BA96">$G$11+VLOOKUP($Q96,武学奇术!$A:$ZZ,10,FALSE)+SUM(_xlfn.XLOOKUP($R96:$AK96,增益!$A:$A,增益!$J:$J,0))</f>
        <v>0</v>
      </c>
      <c r="BB96">
        <f t="shared" si="14"/>
        <v>617</v>
      </c>
      <c r="BC96">
        <f t="shared" si="15"/>
        <v>1169.2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3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3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0.5984</v>
      </c>
      <c r="BT96" s="27">
        <f t="shared" si="21"/>
        <v>0.2492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0.21</v>
      </c>
    </row>
    <row r="97" spans="11:74">
      <c r="K97" s="39">
        <f t="shared" si="11"/>
        <v>15753.9539324981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17844.0107804896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18674.8292420552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8948.85194608305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4064.4970461993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76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76</v>
      </c>
      <c r="AB97" s="41" t="s">
        <v>76</v>
      </c>
      <c r="AC97" s="41" t="s">
        <v>76</v>
      </c>
      <c r="AD97" s="41" t="s">
        <v>76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76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0.4137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1450.7</v>
      </c>
      <c r="AT97" cm="1">
        <f t="array" ref="AT97">$E$10*(1+$AR97)+VLOOKUP($Q97,武学奇术!$A:$ZZ,4,FALSE)+SUM(_xlfn.XLOOKUP($R97:$AK97,增益!$A:$A,增益!$D:$D,0))-$I$2</f>
        <v>5832.8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3" cm="1">
        <f t="array" ref="BA97">$G$11+VLOOKUP($Q97,武学奇术!$A:$ZZ,10,FALSE)+SUM(_xlfn.XLOOKUP($R97:$AK97,增益!$A:$A,增益!$J:$J,0))</f>
        <v>0</v>
      </c>
      <c r="BB97">
        <f t="shared" si="14"/>
        <v>617</v>
      </c>
      <c r="BC97">
        <f t="shared" si="15"/>
        <v>1169.2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3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3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0.5984</v>
      </c>
      <c r="BT97" s="27">
        <f t="shared" si="21"/>
        <v>0.2492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1:74">
      <c r="K98" s="39">
        <f t="shared" si="11"/>
        <v>14950.7049818177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16501.6829885771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18674.8292420552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8948.85194608305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4064.4970461993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76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76</v>
      </c>
      <c r="AB98" s="41" t="s">
        <v>76</v>
      </c>
      <c r="AC98" s="41" t="s">
        <v>76</v>
      </c>
      <c r="AD98" s="41" t="s">
        <v>76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76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0.4137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1450.7</v>
      </c>
      <c r="AT98" cm="1">
        <f t="array" ref="AT98">$E$10*(1+$AR98)+VLOOKUP($Q98,武学奇术!$A:$ZZ,4,FALSE)+SUM(_xlfn.XLOOKUP($R98:$AK98,增益!$A:$A,增益!$D:$D,0))-$I$2</f>
        <v>5832.8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3" cm="1">
        <f t="array" ref="BA98">$G$11+VLOOKUP($Q98,武学奇术!$A:$ZZ,10,FALSE)+SUM(_xlfn.XLOOKUP($R98:$AK98,增益!$A:$A,增益!$J:$J,0))</f>
        <v>0</v>
      </c>
      <c r="BB98">
        <f t="shared" si="14"/>
        <v>617</v>
      </c>
      <c r="BC98">
        <f t="shared" si="15"/>
        <v>1169.2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3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3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0.5984</v>
      </c>
      <c r="BT98" s="27">
        <f t="shared" si="21"/>
        <v>0.2492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1:74">
      <c r="K99" s="39">
        <f t="shared" si="11"/>
        <v>13951.6517625292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15108.4794775246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18057.0104772572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8663.11896647055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3950.6746164543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76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76</v>
      </c>
      <c r="AB99" s="41" t="s">
        <v>76</v>
      </c>
      <c r="AC99" s="41" t="s">
        <v>76</v>
      </c>
      <c r="AD99" s="41" t="s">
        <v>76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76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0.4137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1450.7</v>
      </c>
      <c r="AT99" cm="1">
        <f t="array" ref="AT99">$E$10*(1+$AR99)+VLOOKUP($Q99,武学奇术!$A:$ZZ,4,FALSE)+SUM(_xlfn.XLOOKUP($R99:$AK99,增益!$A:$A,增益!$D:$D,0))-$I$2</f>
        <v>5832.8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0.217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3" cm="1">
        <f t="array" ref="BA99">$G$11+VLOOKUP($Q99,武学奇术!$A:$ZZ,10,FALSE)+SUM(_xlfn.XLOOKUP($R99:$AK99,增益!$A:$A,增益!$J:$J,0))</f>
        <v>0</v>
      </c>
      <c r="BB99">
        <f t="shared" si="14"/>
        <v>617</v>
      </c>
      <c r="BC99">
        <f t="shared" si="15"/>
        <v>1169.2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3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3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0.5984</v>
      </c>
      <c r="BT99" s="27">
        <f t="shared" si="21"/>
        <v>0.2492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1:74">
      <c r="K100" s="39">
        <f t="shared" si="11"/>
        <v>14950.7049818177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16501.6829885771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18674.8292420552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8948.85194608305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4064.4970461993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76</v>
      </c>
      <c r="AB100" s="41" t="s">
        <v>76</v>
      </c>
      <c r="AC100" s="41" t="s">
        <v>76</v>
      </c>
      <c r="AD100" s="41" t="s">
        <v>76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76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0.4137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1450.7</v>
      </c>
      <c r="AT100" cm="1">
        <f t="array" ref="AT100">$E$10*(1+$AR100)+VLOOKUP($Q100,武学奇术!$A:$ZZ,4,FALSE)+SUM(_xlfn.XLOOKUP($R100:$AK100,增益!$A:$A,增益!$D:$D,0))-$I$2</f>
        <v>5832.8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14"/>
        <v>617</v>
      </c>
      <c r="BC100">
        <f t="shared" si="15"/>
        <v>1169.2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0.5984</v>
      </c>
      <c r="BT100" s="27">
        <f t="shared" si="21"/>
        <v>0.2492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1:74">
      <c r="K101" s="39">
        <f t="shared" si="11"/>
        <v>17173.229061552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19451.5793192724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20357.246290889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9755.05482410855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4430.6679512623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76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76</v>
      </c>
      <c r="AA101" s="41" t="s">
        <v>76</v>
      </c>
      <c r="AB101" s="41" t="s">
        <v>76</v>
      </c>
      <c r="AC101" s="41" t="s">
        <v>76</v>
      </c>
      <c r="AD101" s="41" t="s">
        <v>76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76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0.4137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1450.7</v>
      </c>
      <c r="AT101" cm="1">
        <f t="array" ref="AT101">$E$10*(1+$AR101)+VLOOKUP($Q101,武学奇术!$A:$ZZ,4,FALSE)+SUM(_xlfn.XLOOKUP($R101:$AK101,增益!$A:$A,增益!$D:$D,0))-$I$2</f>
        <v>5832.8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3" cm="1">
        <f t="array" ref="BA101">$G$11+VLOOKUP($Q101,武学奇术!$A:$ZZ,10,FALSE)+SUM(_xlfn.XLOOKUP($R101:$AK101,增益!$A:$A,增益!$J:$J,0))</f>
        <v>0</v>
      </c>
      <c r="BB101">
        <f t="shared" si="14"/>
        <v>617</v>
      </c>
      <c r="BC101">
        <f t="shared" si="15"/>
        <v>1169.2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3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3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0.5984</v>
      </c>
      <c r="BT101" s="27">
        <f t="shared" si="21"/>
        <v>0.2492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0.21</v>
      </c>
    </row>
    <row r="102" spans="11:74">
      <c r="K102" s="39">
        <f t="shared" si="11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76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76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0.2037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1450.7</v>
      </c>
      <c r="AT102" cm="1">
        <f t="array" ref="AT102">$E$10*(1+$AR102)+VLOOKUP($Q102,武学奇术!$A:$ZZ,4,FALSE)+SUM(_xlfn.XLOOKUP($R102:$AK102,增益!$A:$A,增益!$D:$D,0))-$I$2</f>
        <v>5832.8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14"/>
        <v>617</v>
      </c>
      <c r="BC102">
        <f t="shared" si="15"/>
        <v>1169.2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0.5984</v>
      </c>
      <c r="BT102" s="27">
        <f t="shared" si="21"/>
        <v>0.2492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169</v>
      </c>
      <c r="V1" t="s">
        <v>187</v>
      </c>
      <c r="W1" t="s">
        <v>188</v>
      </c>
      <c r="X1" t="s">
        <v>189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190</v>
      </c>
    </row>
    <row r="2" spans="1:31">
      <c r="A2" t="s">
        <v>106</v>
      </c>
      <c r="D2">
        <v>200</v>
      </c>
      <c r="Q2" s="29">
        <v>0.24</v>
      </c>
      <c r="R2" s="29">
        <v>0.1</v>
      </c>
      <c r="V2">
        <v>1</v>
      </c>
      <c r="Y2" s="30" t="s">
        <v>88</v>
      </c>
      <c r="Z2" s="30">
        <v>7.2368</v>
      </c>
      <c r="AA2" s="31">
        <v>2002</v>
      </c>
      <c r="AB2" s="30">
        <v>10.8553</v>
      </c>
      <c r="AC2" s="28">
        <v>1090</v>
      </c>
      <c r="AD2" t="s">
        <v>191</v>
      </c>
    </row>
    <row r="3" spans="1:31">
      <c r="A3" t="s">
        <v>117</v>
      </c>
      <c r="D3">
        <v>200</v>
      </c>
      <c r="Q3" s="29">
        <v>0.24</v>
      </c>
      <c r="R3" s="29">
        <v>0.1</v>
      </c>
      <c r="V3">
        <v>1</v>
      </c>
      <c r="Y3" s="30" t="s">
        <v>88</v>
      </c>
      <c r="Z3" s="30">
        <f>263.43%+164.64%</f>
        <v>4.2807</v>
      </c>
      <c r="AA3" s="31">
        <f>729+455</f>
        <v>1184</v>
      </c>
      <c r="AB3" s="30">
        <f>395.14%+246.96%</f>
        <v>6.421</v>
      </c>
      <c r="AC3" s="28">
        <f>397+248</f>
        <v>645</v>
      </c>
      <c r="AD3" t="s">
        <v>191</v>
      </c>
    </row>
    <row r="4" spans="1:31">
      <c r="A4" t="s">
        <v>112</v>
      </c>
      <c r="R4" s="29"/>
      <c r="Y4" s="30" t="s">
        <v>95</v>
      </c>
      <c r="Z4" s="27">
        <v>0.4843</v>
      </c>
      <c r="AA4" s="28">
        <v>134</v>
      </c>
      <c r="AB4" s="27">
        <v>0.7264</v>
      </c>
      <c r="AC4" s="28">
        <v>73</v>
      </c>
    </row>
    <row r="5" spans="1:31">
      <c r="A5" t="s">
        <v>192</v>
      </c>
      <c r="R5" s="29"/>
      <c r="Y5" s="30" t="s">
        <v>95</v>
      </c>
      <c r="Z5" s="27">
        <v>0.3151</v>
      </c>
      <c r="AA5" s="28">
        <v>88</v>
      </c>
      <c r="AB5" s="27">
        <v>0.4726</v>
      </c>
      <c r="AC5" s="28">
        <v>48</v>
      </c>
    </row>
    <row r="6" customFormat="1" spans="1:31">
      <c r="A6" t="s">
        <v>193</v>
      </c>
      <c r="Q6" s="27"/>
      <c r="R6" s="29"/>
      <c r="Y6" t="s">
        <v>105</v>
      </c>
      <c r="Z6" s="27">
        <f>198.73%*2</f>
        <v>3.9746</v>
      </c>
      <c r="AA6" s="28">
        <f>504*2</f>
        <v>1008</v>
      </c>
      <c r="AB6" s="27">
        <f t="shared" ref="AB6:AB21" si="0">Z6*1.5</f>
        <v>5.9619</v>
      </c>
      <c r="AC6" s="28"/>
      <c r="AE6">
        <v>1</v>
      </c>
    </row>
    <row r="7" customFormat="1" spans="1:31">
      <c r="A7" t="s">
        <v>75</v>
      </c>
      <c r="Q7" s="27"/>
      <c r="R7" s="29"/>
      <c r="Y7" t="s">
        <v>105</v>
      </c>
      <c r="Z7" s="27">
        <f>74.52%*2</f>
        <v>1.4904</v>
      </c>
      <c r="AA7" s="28">
        <f>189*2</f>
        <v>378</v>
      </c>
      <c r="AB7" s="27">
        <f t="shared" si="0"/>
        <v>2.2356</v>
      </c>
      <c r="AC7" s="28"/>
      <c r="AE7">
        <v>1</v>
      </c>
    </row>
    <row r="8" customFormat="1" spans="1:31">
      <c r="A8" t="s">
        <v>167</v>
      </c>
      <c r="B8" s="29"/>
      <c r="E8" s="29"/>
      <c r="G8" s="29"/>
      <c r="N8" s="29"/>
      <c r="R8" s="29"/>
      <c r="Y8" t="s">
        <v>105</v>
      </c>
      <c r="Z8" s="27">
        <f>254.71%*2.7*1.5</f>
        <v>10.315755</v>
      </c>
      <c r="AA8" s="28">
        <f>492*2.7*1.5</f>
        <v>1992.6</v>
      </c>
      <c r="AB8" s="27">
        <f t="shared" si="0"/>
        <v>15.4736325</v>
      </c>
      <c r="AC8" s="28"/>
      <c r="AE8">
        <v>1</v>
      </c>
    </row>
    <row r="9" customFormat="1" spans="1:31">
      <c r="A9" t="s">
        <v>170</v>
      </c>
      <c r="B9" s="29"/>
      <c r="Q9" s="27"/>
      <c r="R9" s="29"/>
      <c r="Y9" t="s">
        <v>100</v>
      </c>
      <c r="Z9" s="27">
        <f>319.88%+390.96%</f>
        <v>7.1084</v>
      </c>
      <c r="AA9" s="28">
        <f>616+753</f>
        <v>1369</v>
      </c>
      <c r="AB9" s="27">
        <f t="shared" si="0"/>
        <v>10.6626</v>
      </c>
      <c r="AC9" s="28"/>
      <c r="AE9">
        <v>1</v>
      </c>
    </row>
    <row r="10" customFormat="1" spans="1:31">
      <c r="A10" t="s">
        <v>194</v>
      </c>
      <c r="B10" s="29">
        <v>0.47</v>
      </c>
      <c r="Q10" s="27"/>
      <c r="R10" s="29"/>
      <c r="V10">
        <v>1</v>
      </c>
      <c r="Y10" t="s">
        <v>100</v>
      </c>
      <c r="Z10" s="27">
        <f>1636.48%*2.2*0.7</f>
        <v>25.201792</v>
      </c>
      <c r="AA10" s="28">
        <f>3162*2.2*0.7</f>
        <v>4869.48</v>
      </c>
      <c r="AB10" s="27">
        <f t="shared" si="0"/>
        <v>37.802688</v>
      </c>
      <c r="AC10" s="28"/>
      <c r="AE10">
        <v>1</v>
      </c>
    </row>
    <row r="11" customFormat="1" spans="1:31">
      <c r="A11" t="s">
        <v>195</v>
      </c>
      <c r="B11"/>
      <c r="Q11" s="27"/>
      <c r="R11" s="29"/>
      <c r="Y11" t="s">
        <v>105</v>
      </c>
      <c r="Z11" s="27">
        <f>(416.02%+772.61%)*2</f>
        <v>23.7726</v>
      </c>
      <c r="AA11" s="28">
        <f>(803+1493)*2</f>
        <v>4592</v>
      </c>
      <c r="AB11" s="27">
        <f t="shared" si="0"/>
        <v>35.6589</v>
      </c>
      <c r="AC11" s="28"/>
      <c r="AE11">
        <v>1</v>
      </c>
    </row>
    <row r="12" customFormat="1" spans="1:31">
      <c r="A12" t="s">
        <v>196</v>
      </c>
      <c r="B12" s="29"/>
      <c r="Q12" s="27"/>
      <c r="R12" s="29"/>
      <c r="Y12" t="s">
        <v>100</v>
      </c>
      <c r="Z12" s="27">
        <f>257.01%/2</f>
        <v>1.28505</v>
      </c>
      <c r="AA12" s="28">
        <f>502/2</f>
        <v>251</v>
      </c>
      <c r="AB12" s="27">
        <f t="shared" si="0"/>
        <v>1.927575</v>
      </c>
      <c r="AC12" s="28"/>
      <c r="AE12">
        <v>1</v>
      </c>
    </row>
    <row r="13" customFormat="1" spans="1:31">
      <c r="A13" t="s">
        <v>197</v>
      </c>
      <c r="B13"/>
      <c r="Q13" s="27"/>
      <c r="R13" s="29"/>
      <c r="Y13" t="s">
        <v>100</v>
      </c>
      <c r="Z13" s="27">
        <f>257.01%+141.62%</f>
        <v>3.9863</v>
      </c>
      <c r="AA13" s="28">
        <f>502+276</f>
        <v>778</v>
      </c>
      <c r="AB13" s="27">
        <f t="shared" si="0"/>
        <v>5.97945</v>
      </c>
      <c r="AC13" s="28"/>
      <c r="AE13">
        <v>1</v>
      </c>
    </row>
    <row r="14" customFormat="1" spans="1:31">
      <c r="A14" t="s">
        <v>198</v>
      </c>
      <c r="B14" s="29"/>
      <c r="Q14" s="27"/>
      <c r="R14" s="29"/>
      <c r="T14" s="29"/>
      <c r="Y14" t="s">
        <v>100</v>
      </c>
      <c r="Z14" s="27">
        <v>0.236</v>
      </c>
      <c r="AA14" s="28">
        <v>46</v>
      </c>
      <c r="AB14" s="27">
        <f t="shared" si="0"/>
        <v>0.354</v>
      </c>
      <c r="AC14" s="28"/>
      <c r="AE14">
        <v>0.5</v>
      </c>
    </row>
    <row r="15" customFormat="1" spans="1:31">
      <c r="A15" t="s">
        <v>199</v>
      </c>
      <c r="B15" s="29"/>
      <c r="Q15" s="27"/>
      <c r="R15" s="29"/>
      <c r="Y15" t="s">
        <v>100</v>
      </c>
      <c r="Z15" s="27">
        <f>272.42%/2</f>
        <v>1.3621</v>
      </c>
      <c r="AA15" s="28">
        <f>528/2</f>
        <v>264</v>
      </c>
      <c r="AB15" s="27">
        <f t="shared" si="0"/>
        <v>2.04315</v>
      </c>
      <c r="AC15" s="28"/>
      <c r="AE15">
        <v>1</v>
      </c>
    </row>
    <row r="16" customFormat="1" spans="1:31">
      <c r="A16" t="s">
        <v>200</v>
      </c>
      <c r="B16"/>
      <c r="Q16" s="27"/>
      <c r="R16" s="29"/>
      <c r="Y16" t="s">
        <v>100</v>
      </c>
      <c r="Z16" s="27">
        <f>272.42%+150.11%</f>
        <v>4.2253</v>
      </c>
      <c r="AA16" s="28">
        <f>528+291</f>
        <v>819</v>
      </c>
      <c r="AB16" s="27">
        <f t="shared" si="0"/>
        <v>6.33795</v>
      </c>
      <c r="AC16" s="28"/>
      <c r="AE16">
        <v>1</v>
      </c>
    </row>
    <row r="17" customFormat="1" spans="1:31">
      <c r="A17" t="s">
        <v>201</v>
      </c>
      <c r="B17" s="29"/>
      <c r="Q17" s="27"/>
      <c r="R17" s="29"/>
      <c r="T17" s="29"/>
      <c r="Y17" t="s">
        <v>100</v>
      </c>
      <c r="Z17" s="27">
        <v>0.2958</v>
      </c>
      <c r="AA17" s="28">
        <v>57</v>
      </c>
      <c r="AB17" s="27">
        <f t="shared" si="0"/>
        <v>0.4437</v>
      </c>
      <c r="AC17" s="28"/>
      <c r="AE17">
        <v>0.5</v>
      </c>
    </row>
    <row r="18" customFormat="1" spans="1:31">
      <c r="A18" t="s">
        <v>202</v>
      </c>
      <c r="Q18" s="27"/>
      <c r="R18" s="29"/>
      <c r="Y18" t="s">
        <v>100</v>
      </c>
      <c r="Z18" s="27">
        <v>1.0239</v>
      </c>
      <c r="AA18" s="28">
        <v>196</v>
      </c>
      <c r="AB18" s="27">
        <f t="shared" si="0"/>
        <v>1.53585</v>
      </c>
      <c r="AC18" s="28"/>
      <c r="AE18">
        <v>1</v>
      </c>
    </row>
    <row r="19" customFormat="1" spans="1:31">
      <c r="A19" t="s">
        <v>203</v>
      </c>
      <c r="B19" s="29">
        <v>0.8</v>
      </c>
      <c r="Q19" s="27"/>
      <c r="R19" s="29"/>
      <c r="Y19" t="s">
        <v>100</v>
      </c>
      <c r="Z19" s="27">
        <v>1.7065</v>
      </c>
      <c r="AA19" s="28">
        <v>327</v>
      </c>
      <c r="AB19" s="27">
        <f t="shared" si="0"/>
        <v>2.55975</v>
      </c>
      <c r="AC19" s="28"/>
      <c r="AE19">
        <v>1</v>
      </c>
    </row>
    <row r="20" customFormat="1" spans="1:31">
      <c r="A20" t="s">
        <v>204</v>
      </c>
      <c r="B20"/>
      <c r="Q20" s="27"/>
      <c r="R20" s="29"/>
      <c r="Y20" t="s">
        <v>100</v>
      </c>
      <c r="Z20" s="27">
        <v>0.7021</v>
      </c>
      <c r="AA20" s="28">
        <v>134</v>
      </c>
      <c r="AB20" s="27">
        <f t="shared" si="0"/>
        <v>1.05315</v>
      </c>
      <c r="AC20" s="28"/>
      <c r="AE20">
        <v>1</v>
      </c>
    </row>
    <row r="21" customFormat="1" spans="1:31">
      <c r="A21" t="s">
        <v>205</v>
      </c>
      <c r="Q21" s="27"/>
      <c r="R21" s="29"/>
      <c r="Y21" t="s">
        <v>100</v>
      </c>
      <c r="Z21" s="27">
        <v>1.609</v>
      </c>
      <c r="AA21" s="28">
        <v>308</v>
      </c>
      <c r="AB21" s="27">
        <f t="shared" si="0"/>
        <v>2.4135</v>
      </c>
      <c r="AC21" s="28"/>
      <c r="AE21">
        <v>1</v>
      </c>
    </row>
    <row r="22" customFormat="1" spans="1:31">
      <c r="A22" t="s">
        <v>177</v>
      </c>
      <c r="Q22" s="27"/>
      <c r="R22" s="29"/>
      <c r="Y22" t="s">
        <v>206</v>
      </c>
      <c r="Z22" s="27">
        <v>1</v>
      </c>
      <c r="AA22" s="28"/>
      <c r="AB22" s="27">
        <v>1</v>
      </c>
      <c r="AC22" s="28"/>
      <c r="AE22">
        <v>1</v>
      </c>
    </row>
    <row r="23" customFormat="1" spans="1:31">
      <c r="A23" t="s">
        <v>207</v>
      </c>
      <c r="B23" s="29"/>
      <c r="E23" s="29"/>
      <c r="G23" s="29"/>
      <c r="N23" s="29"/>
      <c r="R23" s="29"/>
      <c r="Y23" t="s">
        <v>105</v>
      </c>
      <c r="Z23" s="27">
        <f>254.71%*2.7</f>
        <v>6.87717</v>
      </c>
      <c r="AA23" s="28">
        <f>492*2.7</f>
        <v>1328.4</v>
      </c>
      <c r="AB23" s="27">
        <f>Z23*1.5</f>
        <v>10.315755</v>
      </c>
      <c r="AC23" s="28"/>
      <c r="AE23">
        <v>1</v>
      </c>
    </row>
    <row r="24" customFormat="1" spans="1:31">
      <c r="A24" t="s">
        <v>76</v>
      </c>
      <c r="Q24" s="27"/>
      <c r="Y24" t="s">
        <v>206</v>
      </c>
      <c r="Z24" s="27">
        <v>0</v>
      </c>
      <c r="AA24" s="28"/>
      <c r="AB24" s="27">
        <v>0</v>
      </c>
      <c r="AC24" s="28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O35" sqref="O3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208</v>
      </c>
      <c r="V1" s="27" t="s">
        <v>209</v>
      </c>
      <c r="W1" s="27" t="s">
        <v>70</v>
      </c>
    </row>
    <row r="2" spans="1:27">
      <c r="A2" t="s">
        <v>84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customFormat="1" spans="1:27">
      <c r="A3" t="s">
        <v>210</v>
      </c>
      <c r="B3" s="29">
        <f>IF(期望!$D$20="√",25%,0)</f>
        <v>0.25</v>
      </c>
      <c r="W3" s="30"/>
      <c r="X3" s="30"/>
      <c r="Y3" s="31"/>
      <c r="Z3" s="30"/>
      <c r="AA3" s="28"/>
    </row>
    <row r="4" customFormat="1" spans="1:27">
      <c r="A4" t="s">
        <v>93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86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79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87</v>
      </c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R7" s="29"/>
      <c r="W7" s="30"/>
    </row>
    <row r="8" customFormat="1" spans="1:27">
      <c r="A8" t="s">
        <v>121</v>
      </c>
      <c r="B8"/>
      <c r="F8">
        <f>6*IF(期望!$F$18="√",1,0)</f>
        <v>6</v>
      </c>
      <c r="R8" s="29">
        <f>6%*IF(期望!$F$18="√",1,0)</f>
        <v>0.06</v>
      </c>
      <c r="W8" s="30"/>
    </row>
    <row r="9" customFormat="1" spans="1:27">
      <c r="A9" t="s">
        <v>126</v>
      </c>
      <c r="B9"/>
      <c r="F9">
        <f>12*IF(期望!$F$18="√",1,0)</f>
        <v>12</v>
      </c>
      <c r="R9" s="29">
        <f>12%*IF(期望!$F$18="√",1,0)</f>
        <v>0.12</v>
      </c>
      <c r="W9" s="30"/>
      <c r="X9" s="27"/>
      <c r="Y9" s="28"/>
      <c r="Z9" s="27"/>
      <c r="AA9" s="28"/>
    </row>
    <row r="10" spans="1:27">
      <c r="A10" t="s">
        <v>134</v>
      </c>
      <c r="F10">
        <f>15*IF(期望!$F$18="√",1,0)</f>
        <v>15</v>
      </c>
      <c r="R10" s="29">
        <f>15%*IF(期望!$F$18="√",1,0)</f>
        <v>0.15</v>
      </c>
      <c r="W10" s="30"/>
    </row>
    <row r="11" customFormat="1" spans="1:27">
      <c r="A11" t="s">
        <v>92</v>
      </c>
      <c r="F11">
        <f>4*IF(期望!$F$18="√",1,0)</f>
        <v>4</v>
      </c>
      <c r="R11" s="29">
        <f>4%*IF(期望!$F$18="√",1,0)</f>
        <v>0.04</v>
      </c>
      <c r="W11" s="30"/>
      <c r="X11" s="27"/>
      <c r="Y11" s="28"/>
      <c r="Z11" s="27"/>
      <c r="AA11" s="28"/>
    </row>
    <row r="12" customFormat="1" spans="1:27">
      <c r="A12" t="s">
        <v>103</v>
      </c>
      <c r="F12">
        <f>8*IF(期望!$F$18="√",1,0)</f>
        <v>8</v>
      </c>
      <c r="R12" s="29">
        <f>8%*IF(期望!$F$18="√",1,0)</f>
        <v>0.08</v>
      </c>
      <c r="W12" s="30"/>
      <c r="X12" s="27"/>
      <c r="Y12" s="28"/>
      <c r="Z12" s="27"/>
      <c r="AA12" s="28"/>
    </row>
    <row r="13" customFormat="1" spans="1:27">
      <c r="A13" t="s">
        <v>139</v>
      </c>
      <c r="B13"/>
      <c r="F13">
        <f>10*IF(期望!$F$18="√",1,0)</f>
        <v>10</v>
      </c>
      <c r="R13" s="29">
        <f>10%*IF(期望!$F$18="√",1,0)</f>
        <v>0.1</v>
      </c>
      <c r="W13" s="30"/>
      <c r="X13" s="27"/>
      <c r="Y13" s="28"/>
      <c r="Z13" s="27"/>
      <c r="AA13" s="28"/>
    </row>
    <row r="14" spans="1:27">
      <c r="A14" t="s">
        <v>160</v>
      </c>
      <c r="B14" s="29"/>
      <c r="W14" s="30">
        <v>0.1</v>
      </c>
    </row>
    <row r="15" spans="1:27">
      <c r="A15" t="s">
        <v>77</v>
      </c>
      <c r="B15" s="29"/>
      <c r="R15" s="29">
        <v>0.15</v>
      </c>
      <c r="W15" s="30"/>
    </row>
    <row r="16" spans="1:27">
      <c r="A16" t="s">
        <v>78</v>
      </c>
      <c r="B16" s="29">
        <v>0.02</v>
      </c>
      <c r="R16" s="29"/>
      <c r="W16" s="30"/>
    </row>
    <row r="17" customFormat="1" spans="1:27">
      <c r="A17" t="s">
        <v>211</v>
      </c>
      <c r="B17" s="29">
        <v>0.2</v>
      </c>
      <c r="R17" s="29"/>
      <c r="W17" s="30"/>
      <c r="X17" s="27"/>
      <c r="Y17" s="28"/>
      <c r="Z17" s="27"/>
      <c r="AA17" s="28"/>
    </row>
    <row r="18" spans="1:27">
      <c r="A18" t="s">
        <v>114</v>
      </c>
      <c r="B18" s="29">
        <v>0.16</v>
      </c>
      <c r="J18" s="29"/>
      <c r="X18" s="30"/>
      <c r="Y18" s="31"/>
      <c r="Z18" s="30"/>
    </row>
    <row r="19" spans="1:27">
      <c r="A19" t="s">
        <v>108</v>
      </c>
      <c r="B19" s="29">
        <v>0.42</v>
      </c>
      <c r="J19" s="29"/>
      <c r="X19" s="30"/>
      <c r="Y19" s="31"/>
      <c r="Z19" s="30"/>
    </row>
    <row r="20" spans="1:27">
      <c r="A20" t="s">
        <v>161</v>
      </c>
      <c r="B20" s="29"/>
      <c r="J20" s="29">
        <f>IF(期望!$D$17="√",10%,0)</f>
        <v>0.1</v>
      </c>
      <c r="W20" s="27">
        <f>IF(期望!$D$18="√",10%,0)</f>
        <v>0.1</v>
      </c>
      <c r="X20" s="30"/>
      <c r="Y20" s="31"/>
      <c r="Z20" s="30"/>
    </row>
    <row r="21" spans="1:27">
      <c r="A21" t="s">
        <v>80</v>
      </c>
      <c r="R21" s="29"/>
      <c r="W21" s="27">
        <v>0.05</v>
      </c>
      <c r="X21" s="30"/>
      <c r="Y21" s="31"/>
      <c r="Z21" s="30"/>
    </row>
    <row r="22" spans="1:27">
      <c r="A22" t="s">
        <v>85</v>
      </c>
      <c r="R22" s="29">
        <f>IF(期望!$F$16="√",1%,0)</f>
        <v>0.01</v>
      </c>
      <c r="X22" s="30"/>
      <c r="Y22" s="31"/>
      <c r="Z22" s="30"/>
    </row>
    <row r="23" spans="1:27">
      <c r="A23" t="s">
        <v>91</v>
      </c>
      <c r="R23" s="29">
        <f>IF(期望!$F$16="√",2%,0)</f>
        <v>0.02</v>
      </c>
      <c r="X23" s="30"/>
      <c r="Y23" s="31"/>
      <c r="Z23" s="30"/>
    </row>
    <row r="24" spans="1:27">
      <c r="A24" t="s">
        <v>98</v>
      </c>
      <c r="R24" s="29">
        <f>IF(期望!$F$16="√",3%,0)</f>
        <v>0.03</v>
      </c>
      <c r="X24" s="30"/>
      <c r="Y24" s="31"/>
      <c r="Z24" s="30"/>
    </row>
    <row r="25" spans="1:27">
      <c r="A25" t="s">
        <v>102</v>
      </c>
      <c r="R25" s="29">
        <f>IF(期望!$F$16="√",4%,0)</f>
        <v>0.04</v>
      </c>
      <c r="X25" s="30"/>
      <c r="Y25" s="31"/>
      <c r="Z25" s="30"/>
    </row>
    <row r="26" spans="1:27">
      <c r="A26" t="s">
        <v>125</v>
      </c>
      <c r="R26" s="29">
        <f>IF(期望!$F$16="√",5%,0)</f>
        <v>0.05</v>
      </c>
      <c r="X26" s="30"/>
      <c r="Y26" s="31"/>
      <c r="Z26" s="30"/>
    </row>
    <row r="27" spans="1:27">
      <c r="A27" t="s">
        <v>129</v>
      </c>
      <c r="R27" s="29">
        <f>IF(期望!$F$16="√",6%,0)</f>
        <v>0.06</v>
      </c>
      <c r="X27" s="30"/>
      <c r="Y27" s="31"/>
      <c r="Z27" s="30"/>
    </row>
    <row r="28" spans="1:27">
      <c r="A28" t="s">
        <v>138</v>
      </c>
      <c r="R28" s="29">
        <f>IF(期望!$F$16="√",7%,0)</f>
        <v>0.07</v>
      </c>
      <c r="X28" s="30"/>
      <c r="Y28" s="31"/>
      <c r="Z28" s="30"/>
    </row>
    <row r="29" spans="1:27">
      <c r="A29" t="s">
        <v>146</v>
      </c>
      <c r="R29" s="29">
        <f>IF(期望!$F$16="√",8%,0)</f>
        <v>0.08</v>
      </c>
      <c r="X29" s="30"/>
      <c r="Y29" s="31"/>
      <c r="Z29" s="30"/>
    </row>
    <row r="30" spans="1:27">
      <c r="A30" t="s">
        <v>149</v>
      </c>
      <c r="R30" s="29">
        <f>IF(期望!$F$16="√",9%,0)</f>
        <v>0.09</v>
      </c>
      <c r="X30" s="30"/>
      <c r="Y30" s="31"/>
      <c r="Z30" s="30"/>
    </row>
    <row r="31" spans="1:27">
      <c r="A31" t="s">
        <v>155</v>
      </c>
      <c r="R31" s="29">
        <f>IF(期望!$F$16="√",10%,0)</f>
        <v>0.1</v>
      </c>
      <c r="X31" s="30"/>
      <c r="Y31" s="31"/>
      <c r="Z31" s="30"/>
    </row>
    <row r="32" spans="1:27">
      <c r="A32" t="s">
        <v>107</v>
      </c>
      <c r="B32" s="29">
        <v>0.01</v>
      </c>
      <c r="F32">
        <v>2</v>
      </c>
      <c r="X32" s="30"/>
      <c r="Y32" s="31"/>
      <c r="Z32" s="30"/>
    </row>
    <row r="33" spans="1:26">
      <c r="A33" t="s">
        <v>83</v>
      </c>
      <c r="B33" s="29">
        <v>0.02</v>
      </c>
      <c r="F33">
        <v>4</v>
      </c>
      <c r="X33" s="30"/>
      <c r="Y33" s="31"/>
      <c r="Z33" s="30"/>
    </row>
    <row r="34" spans="1:26">
      <c r="A34" t="s">
        <v>90</v>
      </c>
      <c r="B34" s="29">
        <v>0.03</v>
      </c>
      <c r="F34">
        <v>6</v>
      </c>
      <c r="X34" s="30"/>
      <c r="Y34" s="31"/>
      <c r="Z34" s="30"/>
    </row>
    <row r="35" spans="1:26">
      <c r="A35" t="s">
        <v>97</v>
      </c>
      <c r="B35" s="29">
        <v>0.04</v>
      </c>
      <c r="F35">
        <v>8</v>
      </c>
      <c r="X35" s="30"/>
      <c r="Y35" s="31"/>
      <c r="Z35" s="30"/>
    </row>
    <row r="36" spans="1:26">
      <c r="A36" t="s">
        <v>101</v>
      </c>
      <c r="B36" s="29">
        <v>0.05</v>
      </c>
      <c r="F36">
        <v>10</v>
      </c>
      <c r="X36" s="30"/>
      <c r="Y36" s="31"/>
      <c r="Z36" s="30"/>
    </row>
    <row r="37" spans="1:26">
      <c r="A37" t="s">
        <v>76</v>
      </c>
      <c r="X37" s="30"/>
      <c r="Y37" s="31"/>
      <c r="Z37" s="30"/>
    </row>
    <row r="38" spans="1:26">
      <c r="X38" s="30"/>
      <c r="Y38" s="31"/>
      <c r="Z38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30" sqref="C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  <row r="25" ht="14.25" spans="1:3">
      <c r="A25" s="15">
        <v>2.5</v>
      </c>
      <c r="B25" s="16">
        <v>1</v>
      </c>
      <c r="C25" s="17" t="s">
        <v>240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