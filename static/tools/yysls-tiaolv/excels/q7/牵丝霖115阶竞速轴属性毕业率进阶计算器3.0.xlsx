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aruhi\Desktop\计算器\"/>
    </mc:Choice>
  </mc:AlternateContent>
  <bookViews>
    <workbookView windowWidth="27945" windowHeight="12375" activeTab="4"/>
  </bookViews>
  <sheets>
    <sheet name="期望" sheetId="1" r:id="rId1"/>
    <sheet name="RD" sheetId="6" state="hidden" r:id="rId2"/>
    <sheet name="武学奇术" sheetId="2" r:id="rId3"/>
    <sheet name="增益" sheetId="5" r:id="rId4"/>
    <sheet name="更新日志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<sst xmlns="http://schemas.openxmlformats.org/spreadsheetml/2006/main" count="3618" uniqueCount="209">
  <si>
    <t>最小攻击</t>
  </si>
  <si>
    <t>最大攻击</t>
  </si>
  <si>
    <t>穿透</t>
  </si>
  <si>
    <t>伤害加成</t>
  </si>
  <si>
    <t>武学属性</t>
  </si>
  <si>
    <t>牵丝</t>
  </si>
  <si>
    <t>怪物属性</t>
  </si>
  <si>
    <t>期望</t>
  </si>
  <si>
    <t>会心期望</t>
  </si>
  <si>
    <t>会意期望</t>
  </si>
  <si>
    <t>普通期望</t>
  </si>
  <si>
    <t>擦伤期望</t>
  </si>
  <si>
    <t>次数</t>
  </si>
  <si>
    <t>技能</t>
  </si>
  <si>
    <t>增益1</t>
  </si>
  <si>
    <t>增益2</t>
  </si>
  <si>
    <t>增益3</t>
  </si>
  <si>
    <t>增益4</t>
  </si>
  <si>
    <t>增益5</t>
  </si>
  <si>
    <t>增益6</t>
  </si>
  <si>
    <t>增益7</t>
  </si>
  <si>
    <t>增益8</t>
  </si>
  <si>
    <t>增益9</t>
  </si>
  <si>
    <t>增益10</t>
  </si>
  <si>
    <t>增益11</t>
  </si>
  <si>
    <t>增益12</t>
  </si>
  <si>
    <t>增益13</t>
  </si>
  <si>
    <t>增益14</t>
  </si>
  <si>
    <t>增益15</t>
  </si>
  <si>
    <t>类型</t>
  </si>
  <si>
    <t>外功倍率</t>
  </si>
  <si>
    <t>外攻固伤</t>
  </si>
  <si>
    <t>属性倍率</t>
  </si>
  <si>
    <t>属性固伤</t>
  </si>
  <si>
    <t>通用增伤</t>
  </si>
  <si>
    <t>外攻加成</t>
  </si>
  <si>
    <t>即时小外</t>
  </si>
  <si>
    <t>即时大外</t>
  </si>
  <si>
    <t>外穿加成</t>
  </si>
  <si>
    <t>外伤加成</t>
  </si>
  <si>
    <t>属攻加成</t>
  </si>
  <si>
    <t>即时小鸣</t>
  </si>
  <si>
    <t>即时大鸣</t>
  </si>
  <si>
    <t>鸣金穿透</t>
  </si>
  <si>
    <t>鸣金加成</t>
  </si>
  <si>
    <t>即时小裂</t>
  </si>
  <si>
    <t>即时大裂</t>
  </si>
  <si>
    <t>裂石穿透</t>
  </si>
  <si>
    <t>裂石加成</t>
  </si>
  <si>
    <t>即时小牵</t>
  </si>
  <si>
    <t>即时大牵</t>
  </si>
  <si>
    <t>牵丝穿透</t>
  </si>
  <si>
    <t>牵丝加成</t>
  </si>
  <si>
    <t>即时小破</t>
  </si>
  <si>
    <t>即时大破</t>
  </si>
  <si>
    <t>破竹穿透</t>
  </si>
  <si>
    <t>破竹加成</t>
  </si>
  <si>
    <t>生效精准</t>
  </si>
  <si>
    <t>生效会心</t>
  </si>
  <si>
    <t>生效会心伤害</t>
  </si>
  <si>
    <t>生效会意</t>
  </si>
  <si>
    <t>生效会意伤害</t>
  </si>
  <si>
    <t>会心占比</t>
  </si>
  <si>
    <t>普攻占比</t>
  </si>
  <si>
    <t>擦伤占比</t>
  </si>
  <si>
    <t>特殊增伤</t>
  </si>
  <si>
    <t>外功</t>
  </si>
  <si>
    <t>套装</t>
  </si>
  <si>
    <t>浣花</t>
  </si>
  <si>
    <t>防御</t>
  </si>
  <si>
    <t>神龙吐火暗灼2hit</t>
  </si>
  <si>
    <t>惧刃(拐)</t>
  </si>
  <si>
    <t>伞增</t>
  </si>
  <si>
    <t>沧海帖10层</t>
  </si>
  <si>
    <t>易水歌5层</t>
  </si>
  <si>
    <t>四时之秋</t>
  </si>
  <si>
    <t>N/a</t>
  </si>
  <si>
    <t>裁云(拐)</t>
  </si>
  <si>
    <t>离猎(拐)</t>
  </si>
  <si>
    <t>扶风(拐)</t>
  </si>
  <si>
    <t>大卷(30%+)</t>
  </si>
  <si>
    <t>无惧</t>
  </si>
  <si>
    <t>鸣金</t>
  </si>
  <si>
    <t>外抗</t>
  </si>
  <si>
    <t>神龙吐火暗灼dot</t>
  </si>
  <si>
    <t>惊神5(拐)</t>
  </si>
  <si>
    <t>裂石</t>
  </si>
  <si>
    <t>伞</t>
  </si>
  <si>
    <t>属抗</t>
  </si>
  <si>
    <t>太白醉月1-4</t>
  </si>
  <si>
    <t>扇</t>
  </si>
  <si>
    <t>副本天赋</t>
  </si>
  <si>
    <t>太白醉月5</t>
  </si>
  <si>
    <t>破竹</t>
  </si>
  <si>
    <t>单体奇术</t>
  </si>
  <si>
    <t>太白醉月暗灼</t>
  </si>
  <si>
    <t>无相</t>
  </si>
  <si>
    <t>群体奇术</t>
  </si>
  <si>
    <t>烁鼓(拐)</t>
  </si>
  <si>
    <t>精准率</t>
  </si>
  <si>
    <t>实际属性</t>
  </si>
  <si>
    <t>战斗时间</t>
  </si>
  <si>
    <t>会心率</t>
  </si>
  <si>
    <t>会意率</t>
  </si>
  <si>
    <t>总伤</t>
  </si>
  <si>
    <t>直接会心率</t>
  </si>
  <si>
    <t>易水歌6重</t>
  </si>
  <si>
    <t>直接会意率</t>
  </si>
  <si>
    <t>DPS</t>
  </si>
  <si>
    <t>会心伤害加成</t>
  </si>
  <si>
    <t>会意伤害加成</t>
  </si>
  <si>
    <t>RDPS</t>
  </si>
  <si>
    <t>全武增</t>
  </si>
  <si>
    <t>团队增益</t>
  </si>
  <si>
    <t>首领增</t>
  </si>
  <si>
    <t>威</t>
  </si>
  <si>
    <t>√</t>
  </si>
  <si>
    <t>沧海帖</t>
  </si>
  <si>
    <t>毕业率</t>
  </si>
  <si>
    <t>尘</t>
  </si>
  <si>
    <t>所恨年年</t>
  </si>
  <si>
    <t>扇增</t>
  </si>
  <si>
    <t>虹</t>
  </si>
  <si>
    <t>单体奇术增</t>
  </si>
  <si>
    <t>钧</t>
  </si>
  <si>
    <t>第三心法</t>
  </si>
  <si>
    <t>影</t>
  </si>
  <si>
    <t>易水歌</t>
  </si>
  <si>
    <t>固伤加成</t>
  </si>
  <si>
    <t>翊</t>
  </si>
  <si>
    <t>第四心法</t>
  </si>
  <si>
    <t>食物加成</t>
  </si>
  <si>
    <t>樽</t>
  </si>
  <si>
    <t>征人归</t>
  </si>
  <si>
    <t>撼天</t>
  </si>
  <si>
    <t>×</t>
  </si>
  <si>
    <t>奇术增</t>
  </si>
  <si>
    <t>最小外功</t>
  </si>
  <si>
    <t>最大外功</t>
  </si>
  <si>
    <t>外功加成</t>
  </si>
  <si>
    <t>外功穿透</t>
  </si>
  <si>
    <t>外攻伤害加成</t>
  </si>
  <si>
    <t>属性攻击加成</t>
  </si>
  <si>
    <t>会心伤害</t>
  </si>
  <si>
    <t>会意伤害</t>
  </si>
  <si>
    <t>蓄力</t>
  </si>
  <si>
    <t>强制精准</t>
  </si>
  <si>
    <t>强制会心</t>
  </si>
  <si>
    <t>强制会意</t>
  </si>
  <si>
    <t>定音加成</t>
  </si>
  <si>
    <t>萧呤千浪AOE</t>
  </si>
  <si>
    <t>萧呤千浪流星</t>
  </si>
  <si>
    <t>衍九矢9hit</t>
  </si>
  <si>
    <t>骑龙回马</t>
  </si>
  <si>
    <t>叶龙骧首(32层+70%HP)</t>
  </si>
  <si>
    <t>墨洗翰华(打盾)</t>
  </si>
  <si>
    <t>神龙吐火暗灼1hit</t>
  </si>
  <si>
    <t>神龙吐火1hit</t>
  </si>
  <si>
    <t>神龙吐火2hit</t>
  </si>
  <si>
    <t>神龙吐火dot</t>
  </si>
  <si>
    <t>太白醉月爆燃</t>
  </si>
  <si>
    <t>心法</t>
  </si>
  <si>
    <t>衍九矢9hit一段</t>
  </si>
  <si>
    <t>千灯一月单次</t>
  </si>
  <si>
    <t>近战笛</t>
  </si>
  <si>
    <t>气竭</t>
  </si>
  <si>
    <t>真气失衡</t>
  </si>
  <si>
    <t>特殊技减防</t>
  </si>
  <si>
    <t>沧海帖1层</t>
  </si>
  <si>
    <t>沧海帖2层</t>
  </si>
  <si>
    <t>沧海帖3层</t>
  </si>
  <si>
    <t>沧海帖4层</t>
  </si>
  <si>
    <t>沧海帖5层</t>
  </si>
  <si>
    <t>沧海帖6层</t>
  </si>
  <si>
    <t>沧海帖7层</t>
  </si>
  <si>
    <t>沧海帖8层</t>
  </si>
  <si>
    <t>沧海帖9层</t>
  </si>
  <si>
    <t>易水歌1层</t>
  </si>
  <si>
    <t>易水歌2层</t>
  </si>
  <si>
    <t>易水歌3层</t>
  </si>
  <si>
    <t>易水歌4层</t>
  </si>
  <si>
    <t>版本号</t>
  </si>
  <si>
    <t>编号</t>
  </si>
  <si>
    <t>描述</t>
  </si>
  <si>
    <t>BiliBili@片雲</t>
  </si>
  <si>
    <t>重构了计算器Pro版本,因为有xlookup函数,建议用WPS打开.</t>
  </si>
  <si>
    <t>如有问题⬆</t>
  </si>
  <si>
    <t>数据更新至6月12日先琢版本</t>
  </si>
  <si>
    <t>可能有小bug,但不会差很多</t>
  </si>
  <si>
    <t>只计算最高爆发的15秒(不含气竭但是有铁花),心法为君易四怒</t>
  </si>
  <si>
    <t>无视了所有和治疗有关的内容，无视了血祭和血战加成</t>
  </si>
  <si>
    <t>新撼天小外满值领先3.7%,旧撼天领先2.8%</t>
  </si>
  <si>
    <t>修正bug,小外满值约领先2%</t>
  </si>
  <si>
    <t>修正了单体奇术增的数值错误,添加了rd粗算(不包含气竭延长)</t>
  </si>
  <si>
    <t>增加了一个隐藏表来计算实际rdps,以减少需要去掉团队增益的操作步骤</t>
  </si>
  <si>
    <t>修正了一些文字错误</t>
  </si>
  <si>
    <t>将所恨年年从尘增益区划入公共增益区以观测实际RD</t>
  </si>
  <si>
    <t>修正尘加成</t>
  </si>
  <si>
    <t>更新蕤宾叠奏上半数值,将铁花替换成了无惧</t>
  </si>
  <si>
    <t>更新了奇术倍率,增加了1.5下易水歌,当前大小外满值差距约为1.7%</t>
  </si>
  <si>
    <t>当前大小外满值差距约为1.7%,可以理解为8件承音没有区别</t>
  </si>
  <si>
    <t>更新蕤宾叠奏下半数值</t>
  </si>
  <si>
    <t>根据测试对四时无常触发四时之秋加成进行了期望化</t>
  </si>
  <si>
    <t>选择四时无常拥有更高的上限,更多的精元,解控cd的时候需要额外释放易武技</t>
  </si>
  <si>
    <t>选择大卷微身拥有更高的期望,较少的精元,完全不用释放易武,治疗能力也会降低</t>
  </si>
  <si>
    <t>修正了通用增伤错误</t>
  </si>
  <si>
    <t>默认心法调整至征人归</t>
  </si>
  <si>
    <t>更新杭州西版本蹊跷</t>
  </si>
  <si>
    <t>更新南吕相和赛季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</si>
</sst>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%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7" borderId="14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15">
      <alignment vertical="center"/>
    </xf>
    <xf numFmtId="0" fontId="7" fillId="0" borderId="15">
      <alignment vertical="center"/>
    </xf>
    <xf numFmtId="0" fontId="8" fillId="0" borderId="16">
      <alignment vertical="center"/>
    </xf>
    <xf numFmtId="0" fontId="8" fillId="0" borderId="0">
      <alignment vertical="center"/>
    </xf>
    <xf numFmtId="0" fontId="9" fillId="8" borderId="17">
      <alignment vertical="center"/>
    </xf>
    <xf numFmtId="0" fontId="10" fillId="9" borderId="18">
      <alignment vertical="center"/>
    </xf>
    <xf numFmtId="0" fontId="11" fillId="9" borderId="17">
      <alignment vertical="center"/>
    </xf>
    <xf numFmtId="0" fontId="12" fillId="10" borderId="19">
      <alignment vertical="center"/>
    </xf>
    <xf numFmtId="0" fontId="13" fillId="0" borderId="20">
      <alignment vertical="center"/>
    </xf>
    <xf numFmtId="0" fontId="14" fillId="0" borderId="21">
      <alignment vertical="center"/>
    </xf>
    <xf numFmtId="0" fontId="15" fillId="11" borderId="0">
      <alignment vertical="center"/>
    </xf>
    <xf numFmtId="0" fontId="16" fillId="12" borderId="0">
      <alignment vertical="center"/>
    </xf>
    <xf numFmtId="0" fontId="17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  <xf numFmtId="0" fontId="18" fillId="34" borderId="0">
      <alignment vertical="center"/>
    </xf>
    <xf numFmtId="0" fontId="19" fillId="35" borderId="0">
      <alignment vertical="center"/>
    </xf>
    <xf numFmtId="0" fontId="19" fillId="36" borderId="0">
      <alignment vertical="center"/>
    </xf>
    <xf numFmtId="0" fontId="18" fillId="37" borderId="0">
      <alignment vertical="center"/>
    </xf>
  </cellStyleXfs>
  <cellXfs count="90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>
      <alignment vertical="center"/>
    </xf>
    <xf numFmtId="0" fontId="1" fillId="0" borderId="0" xfId="6">
      <alignment vertical="center"/>
    </xf>
    <xf numFmtId="176" fontId="0" fillId="0" borderId="1" xfId="0" applyNumberFormat="1" applyFont="1" applyBorder="1" applyAlignment="1">
      <alignment horizontal="center" vertical="center"/>
    </xf>
    <xf numFmtId="0" fontId="0" fillId="0" borderId="2" xfId="0" applyNumberFormat="1" applyFont="1" applyBorder="1" applyAlignment="1">
      <alignment vertical="center"/>
    </xf>
    <xf numFmtId="0" fontId="0" fillId="0" borderId="3" xfId="0" applyBorder="1" applyAlignment="1">
      <alignment vertical="center"/>
    </xf>
    <xf numFmtId="176" fontId="0" fillId="0" borderId="4" xfId="0" applyNumberFormat="1" applyFont="1" applyBorder="1" applyAlignment="1">
      <alignment horizontal="center" vertical="center"/>
    </xf>
    <xf numFmtId="0" fontId="0" fillId="0" borderId="0" xfId="0" applyNumberFormat="1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Border="1" applyAlignment="1">
      <alignment vertical="center"/>
    </xf>
    <xf numFmtId="176" fontId="0" fillId="0" borderId="6" xfId="0" applyNumberFormat="1" applyFon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176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176" fontId="0" fillId="0" borderId="9" xfId="0" applyNumberFormat="1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vertical="center"/>
    </xf>
    <xf numFmtId="176" fontId="0" fillId="0" borderId="6" xfId="0" applyNumberFormat="1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176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vertical="center"/>
    </xf>
    <xf numFmtId="10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10" fontId="0" fillId="0" borderId="0" xfId="0" applyNumberFormat="1">
      <alignment vertical="center"/>
    </xf>
    <xf numFmtId="2" fontId="0" fillId="0" borderId="0" xfId="0" applyNumberFormat="1">
      <alignment vertical="center"/>
    </xf>
    <xf numFmtId="0" fontId="0" fillId="2" borderId="0" xfId="0" applyFill="1" applyAlignment="1">
      <alignment vertical="center"/>
    </xf>
    <xf numFmtId="177" fontId="0" fillId="0" borderId="0" xfId="0" applyNumberFormat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4" xfId="0" applyFill="1" applyBorder="1" applyAlignment="1">
      <alignment vertical="center"/>
    </xf>
    <xf numFmtId="177" fontId="0" fillId="2" borderId="5" xfId="0" applyNumberFormat="1" applyFill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0" xfId="0" applyFill="1" applyAlignment="1">
      <alignment vertical="center"/>
    </xf>
    <xf numFmtId="177" fontId="0" fillId="3" borderId="5" xfId="0" applyNumberFormat="1" applyFill="1" applyBorder="1" applyAlignment="1">
      <alignment vertical="center"/>
    </xf>
    <xf numFmtId="10" fontId="0" fillId="0" borderId="5" xfId="0" applyNumberFormat="1" applyBorder="1" applyAlignment="1">
      <alignment vertical="center"/>
    </xf>
    <xf numFmtId="0" fontId="0" fillId="4" borderId="4" xfId="0" applyFill="1" applyBorder="1" applyAlignment="1">
      <alignment vertical="center"/>
    </xf>
    <xf numFmtId="0" fontId="0" fillId="4" borderId="0" xfId="0" applyFill="1" applyAlignment="1">
      <alignment vertical="center"/>
    </xf>
    <xf numFmtId="177" fontId="0" fillId="4" borderId="5" xfId="0" applyNumberFormat="1" applyFill="1" applyBorder="1" applyAlignment="1">
      <alignment vertical="center"/>
    </xf>
    <xf numFmtId="0" fontId="0" fillId="0" borderId="6" xfId="0" applyBorder="1" applyAlignment="1">
      <alignment vertical="center"/>
    </xf>
    <xf numFmtId="0" fontId="0" fillId="5" borderId="4" xfId="0" applyFill="1" applyBorder="1" applyAlignment="1">
      <alignment vertical="center"/>
    </xf>
    <xf numFmtId="0" fontId="0" fillId="5" borderId="0" xfId="0" applyFill="1" applyAlignment="1">
      <alignment vertical="center"/>
    </xf>
    <xf numFmtId="177" fontId="0" fillId="5" borderId="5" xfId="0" applyNumberFormat="1" applyFill="1" applyBorder="1" applyAlignment="1">
      <alignment vertical="center"/>
    </xf>
    <xf numFmtId="0" fontId="0" fillId="6" borderId="4" xfId="0" applyFill="1" applyBorder="1" applyAlignment="1">
      <alignment vertical="center"/>
    </xf>
    <xf numFmtId="0" fontId="0" fillId="6" borderId="0" xfId="0" applyFill="1" applyAlignment="1">
      <alignment vertical="center"/>
    </xf>
    <xf numFmtId="177" fontId="0" fillId="6" borderId="5" xfId="0" applyNumberForma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177" fontId="0" fillId="0" borderId="5" xfId="0" applyNumberFormat="1" applyFill="1" applyBorder="1" applyAlignment="1">
      <alignment vertical="center"/>
    </xf>
    <xf numFmtId="10" fontId="0" fillId="0" borderId="8" xfId="0" applyNumberFormat="1" applyBorder="1" applyAlignment="1">
      <alignment vertical="center"/>
    </xf>
    <xf numFmtId="0" fontId="0" fillId="2" borderId="1" xfId="0" applyFill="1" applyBorder="1" applyAlignment="1">
      <alignment vertical="center"/>
    </xf>
    <xf numFmtId="10" fontId="0" fillId="2" borderId="3" xfId="0" applyNumberForma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0" fontId="0" fillId="2" borderId="5" xfId="0" applyNumberFormat="1" applyFill="1" applyBorder="1" applyAlignment="1">
      <alignment vertical="center"/>
    </xf>
    <xf numFmtId="0" fontId="0" fillId="0" borderId="13" xfId="0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9" fontId="0" fillId="0" borderId="0" xfId="0" applyNumberFormat="1" applyFill="1" applyAlignment="1">
      <alignment horizontal="center" vertical="center"/>
    </xf>
    <xf numFmtId="0" fontId="0" fillId="0" borderId="6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10" fontId="0" fillId="0" borderId="8" xfId="0" applyNumberFormat="1" applyBorder="1" applyAlignment="1">
      <alignment horizontal="center" vertical="center"/>
    </xf>
    <xf numFmtId="0" fontId="0" fillId="2" borderId="6" xfId="0" applyFill="1" applyBorder="1" applyAlignment="1">
      <alignment vertical="center"/>
    </xf>
    <xf numFmtId="10" fontId="0" fillId="2" borderId="8" xfId="0" applyNumberFormat="1" applyFill="1" applyBorder="1" applyAlignment="1">
      <alignment vertical="center"/>
    </xf>
    <xf numFmtId="1" fontId="0" fillId="0" borderId="0" xfId="0" applyNumberFormat="1" applyAlignment="1">
      <alignment vertical="center"/>
    </xf>
    <xf numFmtId="177" fontId="0" fillId="0" borderId="5" xfId="0" applyNumberFormat="1" applyBorder="1" applyAlignment="1">
      <alignment vertical="center"/>
    </xf>
    <xf numFmtId="177" fontId="0" fillId="0" borderId="7" xfId="0" applyNumberForma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BiliBili@&#29255;&#38642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101"/>
  <sheetViews>
    <sheetView workbookViewId="0">
      <selection activeCell="D30" sqref="D30"/>
    </sheetView>
  </sheetViews>
  <sheetFormatPr defaultColWidth="9" defaultRowHeight="13.5"/>
  <cols>
    <col min="1" max="1" width="12.875" customWidth="1"/>
    <col min="4" max="5" width="9.375"/>
    <col min="11" max="15" width="12.625" style="27" customWidth="1"/>
    <col min="17" max="17" width="24.625" style="31" customWidth="1"/>
    <col min="18" max="32" width="9" style="31"/>
    <col min="34" max="34" width="9" style="26"/>
    <col min="35" max="35" width="9" style="27"/>
    <col min="36" max="36" width="9" style="26"/>
    <col min="37" max="37" width="9" style="27"/>
    <col min="38" max="39" width="9" style="26"/>
    <col min="42" max="44" width="9" style="32"/>
    <col min="47" max="48" width="9" style="32"/>
    <col min="61" max="65" width="9" style="26"/>
    <col min="66" max="67" width="9.00833333333333" style="26" customWidth="1"/>
    <col min="68" max="68" width="9" style="26"/>
    <col min="69" max="69" width="12.625" style="26"/>
  </cols>
  <sheetData>
    <row r="1" spans="1:69">
      <c r="A1" s="33"/>
      <c r="B1" s="34" t="s">
        <v>0</v>
      </c>
      <c r="C1" s="34" t="s">
        <v>1</v>
      </c>
      <c r="D1" s="34" t="s">
        <v>2</v>
      </c>
      <c r="E1" s="35" t="s">
        <v>3</v>
      </c>
      <c r="F1" s="36" t="s">
        <v>4</v>
      </c>
      <c r="G1" s="37" t="s">
        <v>5</v>
      </c>
      <c r="H1" s="36" t="s">
        <v>6</v>
      </c>
      <c r="I1" s="37"/>
      <c r="K1" s="38" t="s">
        <v>7</v>
      </c>
      <c r="L1" s="38" t="s">
        <v>8</v>
      </c>
      <c r="M1" s="38" t="s">
        <v>9</v>
      </c>
      <c r="N1" s="38" t="s">
        <v>10</v>
      </c>
      <c r="O1" s="38" t="s">
        <v>11</v>
      </c>
      <c r="P1" s="39" t="s">
        <v>12</v>
      </c>
      <c r="Q1" s="40" t="s">
        <v>13</v>
      </c>
      <c r="R1" s="40" t="s">
        <v>14</v>
      </c>
      <c r="S1" s="40" t="s">
        <v>15</v>
      </c>
      <c r="T1" s="40" t="s">
        <v>16</v>
      </c>
      <c r="U1" s="40" t="s">
        <v>17</v>
      </c>
      <c r="V1" s="40" t="s">
        <v>18</v>
      </c>
      <c r="W1" s="40" t="s">
        <v>19</v>
      </c>
      <c r="X1" s="40" t="s">
        <v>20</v>
      </c>
      <c r="Y1" s="40" t="s">
        <v>21</v>
      </c>
      <c r="Z1" s="40" t="s">
        <v>22</v>
      </c>
      <c r="AA1" s="40" t="s">
        <v>23</v>
      </c>
      <c r="AB1" s="40" t="s">
        <v>24</v>
      </c>
      <c r="AC1" s="40" t="s">
        <v>25</v>
      </c>
      <c r="AD1" s="40" t="s">
        <v>26</v>
      </c>
      <c r="AE1" s="40" t="s">
        <v>27</v>
      </c>
      <c r="AF1" s="40" t="s">
        <v>28</v>
      </c>
      <c r="AG1" t="s">
        <v>29</v>
      </c>
      <c r="AH1" s="26" t="s">
        <v>30</v>
      </c>
      <c r="AI1" s="27" t="s">
        <v>31</v>
      </c>
      <c r="AJ1" s="26" t="s">
        <v>32</v>
      </c>
      <c r="AK1" s="27" t="s">
        <v>33</v>
      </c>
      <c r="AL1" s="26" t="s">
        <v>34</v>
      </c>
      <c r="AM1" s="26" t="s">
        <v>35</v>
      </c>
      <c r="AN1" t="s">
        <v>36</v>
      </c>
      <c r="AO1" t="s">
        <v>37</v>
      </c>
      <c r="AP1" s="32" t="s">
        <v>38</v>
      </c>
      <c r="AQ1" s="32" t="s">
        <v>39</v>
      </c>
      <c r="AR1" s="32" t="s">
        <v>40</v>
      </c>
      <c r="AS1" t="s">
        <v>41</v>
      </c>
      <c r="AT1" t="s">
        <v>42</v>
      </c>
      <c r="AU1" s="32" t="s">
        <v>43</v>
      </c>
      <c r="AV1" s="32" t="s">
        <v>44</v>
      </c>
      <c r="AW1" t="s">
        <v>45</v>
      </c>
      <c r="AX1" t="s">
        <v>46</v>
      </c>
      <c r="AY1" s="32" t="s">
        <v>47</v>
      </c>
      <c r="AZ1" s="32" t="s">
        <v>48</v>
      </c>
      <c r="BA1" t="s">
        <v>49</v>
      </c>
      <c r="BB1" t="s">
        <v>50</v>
      </c>
      <c r="BC1" s="32" t="s">
        <v>51</v>
      </c>
      <c r="BD1" s="32" t="s">
        <v>52</v>
      </c>
      <c r="BE1" t="s">
        <v>53</v>
      </c>
      <c r="BF1" t="s">
        <v>54</v>
      </c>
      <c r="BG1" s="32" t="s">
        <v>55</v>
      </c>
      <c r="BH1" s="32" t="s">
        <v>56</v>
      </c>
      <c r="BI1" s="26" t="s">
        <v>57</v>
      </c>
      <c r="BJ1" s="26" t="s">
        <v>58</v>
      </c>
      <c r="BK1" s="26" t="s">
        <v>59</v>
      </c>
      <c r="BL1" s="26" t="s">
        <v>60</v>
      </c>
      <c r="BM1" s="26" t="s">
        <v>61</v>
      </c>
      <c r="BN1" s="26" t="s">
        <v>62</v>
      </c>
      <c r="BO1" s="26" t="s">
        <v>63</v>
      </c>
      <c r="BP1" s="26" t="s">
        <v>64</v>
      </c>
      <c r="BQ1" s="26" t="s">
        <v>65</v>
      </c>
    </row>
    <row r="2" spans="1:69">
      <c r="A2" s="41" t="s">
        <v>66</v>
      </c>
      <c r="B2" s="31">
        <v>4320</v>
      </c>
      <c r="C2" s="31">
        <v>3339.6</v>
      </c>
      <c r="D2" s="31">
        <f>58.7+IF(OR($E$20="征人归",$E$22="征人归"),5.1,0)</f>
        <v>63.8</v>
      </c>
      <c r="E2" s="42">
        <f>IF($E$22="四时无常",2.8%,0)</f>
        <v>0</v>
      </c>
      <c r="F2" s="43" t="s">
        <v>67</v>
      </c>
      <c r="G2" s="44" t="s">
        <v>68</v>
      </c>
      <c r="H2" s="45" t="s">
        <v>69</v>
      </c>
      <c r="I2" s="11">
        <f>620*(1-IF(F17="√",0.06,0)-IF(F19="√",0.04,0))</f>
        <v>582.8</v>
      </c>
      <c r="K2" s="38">
        <f>($L2*$BN2+$M2*$BL2+$N2*$BO2+$O2*$BP2)</f>
        <v>116312.785861382</v>
      </c>
      <c r="L2" s="38">
        <f>((($AN2+$AO2)/2*$AH2+$AI2)*(1+$AP2)*(1+$AQ2)+(($AS2+$AT2)/2*IF($G$1="鸣金",$AJ2,$AH2)+IF($G$1="鸣金",$AK2*1.5,0))*(1+$AU2)*(1+$AV2)+(($AW2+$AX2)/2*IF($G$1="裂石",$AJ2,$AH2)+IF($G$1="裂石",$AK2*1.5,0))*(1+$AY2)*(1+$AZ2)+(($BA2+$BB2)/2*IF($G$1="牵丝",$AJ2,$AH2)+IF($G$1="牵丝",$AK2*1.5,0))*(1+$BC2)*(1+$BD2)+(($BE2+$BF2)/2*IF($G$1="破竹",$AJ2,$AH2)+IF($G$1="破竹",$AK2*1.5,0))*(1+$BG2)*(1+$BH2))*(1+$AL2)*$BK2*$P2*(1+IF(VLOOKUP($Q2,武学奇术!$A:$ZZ,30,FALSE)="蓄力技",#REF!,0))*(1+$BQ2)</f>
        <v>118509.443252319</v>
      </c>
      <c r="M2" s="38">
        <f>(($AO2*$AH2+$AI2)*(1+$AP2)*(1+$AQ2)+($AT2*IF($G$1="鸣金",$AJ2,$AH2)+IF($G$1="鸣金",$AK2*1.5,0))*(1+$AU2)*(1+$AV2)+($AX2*IF($G$1="裂石",$AJ2,$AH2)+IF($G$1="裂石",$AK2*1.5,0))*(1+$AY2)*(1+$AZ2)+($BB2*IF($G$1="牵丝",$AJ2,$AH2)+IF($G$1="牵丝",$AK2*1.5,0))*(1+$BC2)*(1+$BD2)+($BF2*IF($G$1="破竹",$AJ2,$AH2)+IF($G$1="破竹",$AK2*1.5,0))*(1+$BG2)*(1+$BH2))*(1+$AL2)*$BM2*$P2*(1+IF(VLOOKUP($Q2,武学奇术!$A:$ZZ,30,FALSE)="蓄力技",#REF!,0))*(1+$BQ2)</f>
        <v>103739.800583542</v>
      </c>
      <c r="N2" s="38">
        <f>((($AN2+$AO2)/2*$AH2+$AI2)*(1+$AP2)*(1+$AQ2)+(($AS2+$AT2)/2*IF($G$1="鸣金",$AJ2,$AH2)+IF($G$1="鸣金",$AK2*1.5,0))*(1+$AU2)*(1+$AV2)+(($AW2+$AX2)/2*IF($G$1="裂石",$AJ2,$AH2)+IF($G$1="裂石",$AK2*1.5,0))*(1+$AY2)*(1+$AZ2)+(($BA2+$BB2)/2*IF($G$1="牵丝",$AJ2,$AH2)+IF($G$1="牵丝",$AK2*1.5,0))*(1+$BC2)*(1+$BD2)+(($BE2+$BF2)/2*IF($G$1="破竹",$AJ2,$AH2)+IF($G$1="破竹",$AK2*1.5,0))*(1+$BG2)*(1+$BH2))*(1+$AL2)*$P2*(1+IF(VLOOKUP($Q2,武学奇术!$A:$ZZ,30,FALSE)="蓄力技",#REF!,0))*(1+$BQ2)</f>
        <v>67719.6818584678</v>
      </c>
      <c r="O2" s="38">
        <f>((($AN2*$AH2+$AI2)*(1+$AP2)*(1+$AQ2)+($AS2*IF($G$1="鸣金",$AJ2,$AH2)+IF($G$1="鸣金",$AK2*1.5,0))*(1+$AU2)*(1+$AV2)+($AW2*IF($G$1="裂石",$AJ2,$AH2)+IF($G$1="裂石",$AK2*1.5,0))*(1+$AY2)*(1+$AZ2)+($BA2*IF($G$1="牵丝",$AJ2,$AH2)+IF($G$1="牵丝",$AK2*1.5,0))*(1+$BC2)*(1+$BD2)+($BE2*IF($G$1="破竹",$AJ2,$AH2)+IF($G$1="破竹",$AK2*1.5,0))*(1+$BG2)*(1+$BH2))*(1+$AL2))*$P2*(1+IF(VLOOKUP($Q2,武学奇术!$A:$ZZ,30,FALSE)="蓄力技",#REF!,0))*(1+$BQ2)</f>
        <v>58595.0669883863</v>
      </c>
      <c r="P2" s="39">
        <v>1</v>
      </c>
      <c r="Q2" s="40" t="s">
        <v>70</v>
      </c>
      <c r="R2" s="40" t="s">
        <v>71</v>
      </c>
      <c r="S2" s="40" t="s">
        <v>72</v>
      </c>
      <c r="T2" s="40" t="s">
        <v>73</v>
      </c>
      <c r="U2" s="40" t="s">
        <v>74</v>
      </c>
      <c r="V2" s="40" t="s">
        <v>75</v>
      </c>
      <c r="W2" s="40" t="s">
        <v>76</v>
      </c>
      <c r="X2" s="40" t="s">
        <v>77</v>
      </c>
      <c r="Y2" s="40" t="s">
        <v>78</v>
      </c>
      <c r="Z2" s="40" t="s">
        <v>79</v>
      </c>
      <c r="AA2" s="40" t="s">
        <v>68</v>
      </c>
      <c r="AB2" s="40" t="s">
        <v>76</v>
      </c>
      <c r="AC2" s="40" t="s">
        <v>76</v>
      </c>
      <c r="AD2" s="40" t="s">
        <v>76</v>
      </c>
      <c r="AE2" s="40" t="s">
        <v>80</v>
      </c>
      <c r="AF2" s="40" t="s">
        <v>81</v>
      </c>
      <c r="AG2" t="str">
        <f>VLOOKUP($Q2,武学奇术!$A:$ZZ,25,FALSE)</f>
        <v>单体奇术</v>
      </c>
      <c r="AH2" s="26">
        <f>VLOOKUP($Q2,武学奇术!$A:$ZZ,26,FALSE)</f>
        <v>3.987</v>
      </c>
      <c r="AI2" s="27">
        <f>VLOOKUP($Q2,武学奇术!$A:$ZZ,27,FALSE)*(1+IF(OR($AG2=$F$4,$AG2=$F$5),$B$21,0))</f>
        <v>807</v>
      </c>
      <c r="AJ2" s="26">
        <f>VLOOKUP($Q2,武学奇术!$A:$ZZ,28,FALSE)</f>
        <v>5.9805</v>
      </c>
      <c r="AK2" s="27">
        <f>VLOOKUP($Q2,武学奇术!$A:$ZZ,29,FALSE)*(1+IF(OR($AG2=$F$4,$AG2=$F$5),$B$21,0))</f>
        <v>0</v>
      </c>
      <c r="AL2" s="26" cm="1">
        <f t="array" ref="AL2">$G$3+IFERROR(VLOOKUP($AG2,$F$4:$G$7,2,FALSE),0)+VLOOKUP($Q2,武学奇术!$A:$ZZ,2,FALSE)+SUM(_xlfn.XLOOKUP($R2:$AF2,增益!$A:$A,增益!$B:$B,0))</f>
        <v>0.8219</v>
      </c>
      <c r="AM2" s="26" cm="1">
        <f t="array" ref="AM2">VLOOKUP($Q2,武学奇术!$A:$ZZ,5,FALSE)+SUM(_xlfn.XLOOKUP($R2:$AF2,增益!$A:$A,增益!$E:$E,0))</f>
        <v>0</v>
      </c>
      <c r="AN2" cm="1">
        <f t="array" ref="AN2">$D$10*(1+$AM2)+VLOOKUP($Q2,武学奇术!$A:$ZZ,3,FALSE)+SUM(_xlfn.XLOOKUP($R2:$AF2,增益!$A:$A,增益!$C:$C,0))-$I$2</f>
        <v>3977.2</v>
      </c>
      <c r="AO2" cm="1">
        <f t="array" ref="AO2">$E$10*(1+$AM2)+VLOOKUP($Q2,武学奇术!$A:$ZZ,4,FALSE)+SUM(_xlfn.XLOOKUP($R2:$AF2,增益!$A:$A,增益!$D:$D,0))-$I$2</f>
        <v>3977.2</v>
      </c>
      <c r="AP2" s="32" cm="1">
        <f t="array" ref="AP2">IF($F$10-$I$3+VLOOKUP($Q2,武学奇术!$A:$ZZ,6,FALSE)+SUM(_xlfn.XLOOKUP(R2:AF2,增益!$A:$A,增益!$F:$F,0))&gt;0,($F$10-$I$3+VLOOKUP($Q2,武学奇术!$A:$ZZ,6,FALSE)+SUM(_xlfn.XLOOKUP(R2:AF2,增益!$A:$A,增益!$F:$F,0)))/200,($F$10-$I$3+VLOOKUP($Q2,武学奇术!$A:$ZZ,6,FALSE)+SUM(_xlfn.XLOOKUP(R2:AF2,增益!$A:$A,增益!$F:$F,0)))/100)</f>
        <v>0.344</v>
      </c>
      <c r="AQ2" s="32" cm="1">
        <f t="array" ref="AQ2">$G$10+VLOOKUP($Q2,武学奇术!$A:$ZZ,7,FALSE)+SUM(_xlfn.XLOOKUP(R2:AF2,增益!$A:$A,增益!$G:$G,0))</f>
        <v>0.04</v>
      </c>
      <c r="AR2" s="26" cm="1">
        <f t="array" ref="AR2">VLOOKUP($Q2,武学奇术!$A:$ZZ,8,FALSE)+SUM(_xlfn.XLOOKUP(R2:AF2,增益!$A:$A,增益!$H:$H,0))</f>
        <v>0.06</v>
      </c>
      <c r="AS2">
        <f>$D$11*(1+$AR2)</f>
        <v>0</v>
      </c>
      <c r="AT2">
        <f>$E$11*(1+$AR2)</f>
        <v>0</v>
      </c>
      <c r="AU2" s="32" cm="1">
        <f t="array" ref="AU2">IF($F$11-$I$4+VLOOKUP($Q2,武学奇术!$A:$ZZ,9,FALSE)+SUM(_xlfn.XLOOKUP(R2:AF2,增益!$A:$A,增益!$I:$I,0))&gt;0,($F$11-$I$4+VLOOKUP($Q2,武学奇术!$A:$ZZ,9,FALSE)+SUM(_xlfn.XLOOKUP(R2:AF2,增益!$A:$A,增益!$I:$I,0)))/200,($F$11-$I$4+VLOOKUP($Q2,武学奇术!$A:$ZZ,9,FALSE)+SUM(_xlfn.XLOOKUP(R2:AF2,增益!$A:$A,增益!$I:$I,0)))/100)</f>
        <v>-0.14</v>
      </c>
      <c r="AV2" s="32" cm="1">
        <f t="array" ref="AV2">$G$11+VLOOKUP($Q2,武学奇术!$A:$ZZ,10,FALSE)+SUM(_xlfn.XLOOKUP(R2:AF2,增益!$A:$A,增益!$J:$J,0))</f>
        <v>0.04</v>
      </c>
      <c r="AW2">
        <f>$D$12*(1+$AR2)</f>
        <v>0</v>
      </c>
      <c r="AX2">
        <f>$E$12*(1+$AR2)</f>
        <v>0</v>
      </c>
      <c r="AY2" s="32" cm="1">
        <f t="array" ref="AY2">IF($F$12-$I$4+VLOOKUP($Q2,武学奇术!$A:$ZZ,11,FALSE)+SUM(_xlfn.XLOOKUP(R2:AF2,增益!$A:$A,增益!$K:$K,0))&gt;0,($F$12-$I$4+VLOOKUP($Q2,武学奇术!$A:$ZZ,11,FALSE)+SUM(_xlfn.XLOOKUP(R2:AF2,增益!$A:$A,增益!$K:$K,0)))/200,($F$12-$I$4+VLOOKUP($Q2,武学奇术!$A:$ZZ,11,FALSE)+SUM(_xlfn.XLOOKUP(R2:AF2,增益!$A:$A,增益!$K:$K,0)))/100)</f>
        <v>-0.14</v>
      </c>
      <c r="AZ2" s="32" cm="1">
        <f t="array" ref="AZ2">$G$12+VLOOKUP($Q2,武学奇术!$A:$ZZ,12,FALSE)+SUM(_xlfn.XLOOKUP(R2:AF2,增益!$A:$A,增益!$L:$L,0))</f>
        <v>0.04</v>
      </c>
      <c r="BA2">
        <f>$D$13*(1+$AR2)</f>
        <v>739.244</v>
      </c>
      <c r="BB2">
        <f>$E$13*(1+$AR2)</f>
        <v>1913.3</v>
      </c>
      <c r="BC2" s="32" cm="1">
        <f t="array" ref="BC2">IF($F$13-$I$4+VLOOKUP($Q2,武学奇术!$A:$ZZ,13,FALSE)+SUM(_xlfn.XLOOKUP(R2:AF2,增益!$A:$A,增益!$M:$M,0))&gt;0,($F$13-$I$4+VLOOKUP($Q2,武学奇术!$A:$ZZ,13,FALSE)+SUM(_xlfn.XLOOKUP(R2:AF2,增益!$A:$A,增益!$K:$K,0)))/200,($F$13-$I$4+VLOOKUP($Q2,武学奇术!$A:$ZZ,13,FALSE)+SUM(_xlfn.XLOOKUP(R2:AF2,增益!$A:$A,增益!$M:$M,0)))/100)</f>
        <v>0.08</v>
      </c>
      <c r="BD2" s="32" cm="1">
        <f t="array" ref="BD2">$G$13+VLOOKUP($Q2,武学奇术!$A:$ZZ,14,FALSE)+SUM(_xlfn.XLOOKUP(R2:AF2,增益!$A:$A,增益!$N:$N,0))</f>
        <v>0.19</v>
      </c>
      <c r="BE2">
        <f>$D$14*(1+$AR2)</f>
        <v>0</v>
      </c>
      <c r="BF2">
        <f>$E$14*(1+$AR2)</f>
        <v>0</v>
      </c>
      <c r="BG2" s="32" cm="1">
        <f t="array" ref="BG2">IF($F$14-$I$4+VLOOKUP($Q2,武学奇术!$A:$ZZ,15,FALSE)+SUM(_xlfn.XLOOKUP(R2:AF2,增益!$A:$A,增益!$O:$O,0))&gt;0,($F$14-$I$4+VLOOKUP($Q2,武学奇术!$A:$ZZ,15,FALSE)+SUM(_xlfn.XLOOKUP(R2:AF2,增益!$A:$A,增益!$O:$O,0)))/200,($F$14-$I$4+VLOOKUP($Q2,武学奇术!$A:$ZZ,15,FALSE)+SUM(_xlfn.XLOOKUP(R2:AF2,增益!$A:$A,增益!$O:$O,0)))/100)</f>
        <v>-0.14</v>
      </c>
      <c r="BH2" s="32" cm="1">
        <f t="array" ref="BH2">$G$14+VLOOKUP($Q2,武学奇术!$A:$ZZ,16,FALSE)+SUM(_xlfn.XLOOKUP(R2:AF2,增益!$A:$A,增益!$P:$P,0))</f>
        <v>0.04</v>
      </c>
      <c r="BI2" s="26">
        <f>MIN(IF(VLOOKUP($Q2,武学奇术!$A:$ZZ,23,FALSE)=1,100%,$B$8),100%)</f>
        <v>1</v>
      </c>
      <c r="BJ2" s="26" cm="1">
        <f t="array" ref="BJ2">IF(VLOOKUP($Q2,武学奇术!$A:$ZZ,23,FALSE)=1,100%,MIN(80%,$B$9+VLOOKUP($Q2,武学奇术!$A:$ZZ,17,FALSE)+SUM(_xlfn.XLOOKUP(R2:AF2,增益!$A:$A,增益!$Q:$Q,0)))+$B$11+SUM(_xlfn.XLOOKUP(R2:AF2,增益!$A:$A,增益!$U:$U,0)))*IF(VLOOKUP($Q2,武学奇术!$A:$ZZ,24,FALSE)=1,0,1)</f>
        <v>0.892</v>
      </c>
      <c r="BK2" s="26" cm="1">
        <f t="array" ref="BK2">1+$B$13+VLOOKUP($Q2,武学奇术!$A:$ZZ,18,FALSE)+SUM(_xlfn.XLOOKUP(R2:AF2,增益!$A:$A,增益!$R:$R,0))</f>
        <v>1.75</v>
      </c>
      <c r="BL2" s="26" cm="1">
        <f t="array" ref="BL2">IF(VLOOKUP($Q2,武学奇术!$A:$ZZ,24,FALSE)=1,100%,MIN(40%,$B$10+VLOOKUP($Q2,武学奇术!$A:$ZZ,19,FALSE)+SUM(_xlfn.XLOOKUP(R2:AF2,增益!$A:$A,增益!$S:$S,0)))+$B$12+SUM(_xlfn.XLOOKUP(R2:AF2,增益!$A:$A,增益!$V:$V,0)))*IF(VLOOKUP($Q2,武学奇术!$A:$ZZ,23,FALSE)=1,0,1)</f>
        <v>0.0913</v>
      </c>
      <c r="BM2" s="26" cm="1">
        <f t="array" ref="BM2">1+$B$14+VLOOKUP($Q2,武学奇术!$A:$ZZ,20,FALSE)+SUM(_xlfn.XLOOKUP(R2:AF2,增益!$A:$A,增益!$T:$T,0))</f>
        <v>1.35</v>
      </c>
      <c r="BN2" s="26">
        <f>MIN((1-BL2)*BI2,BI2*BJ2)</f>
        <v>0.892</v>
      </c>
      <c r="BO2" s="26">
        <f>1-BL2-BN2-BP2</f>
        <v>0.0166999999999999</v>
      </c>
      <c r="BP2" s="26">
        <f>IF(VLOOKUP($Q2,武学奇术!$A:$ZZ,22,FALSE)=1,0,(1-$BI2))*(1-$BL2)</f>
        <v>0</v>
      </c>
      <c r="BQ2" s="26" cm="1">
        <f t="array" ref="BQ2">SUM(_xlfn.XLOOKUP(R2:AF2,增益!$A:$A,增益!$W:$W,0))+$I$5</f>
        <v>0.11</v>
      </c>
    </row>
    <row r="3" spans="1:69">
      <c r="A3" s="46" t="s">
        <v>82</v>
      </c>
      <c r="B3" s="47"/>
      <c r="C3" s="47"/>
      <c r="D3" s="47"/>
      <c r="E3" s="48"/>
      <c r="F3" s="45" t="s">
        <v>34</v>
      </c>
      <c r="G3" s="49">
        <f>B16+1.5%+IF($D$16="√",8%,0)+IF(OR($E$20="征人归",$E$22="征人归"),8%,0)</f>
        <v>0.2642</v>
      </c>
      <c r="H3" s="45" t="s">
        <v>83</v>
      </c>
      <c r="I3" s="11">
        <f>25-IF(D17="√",10,0)-IF(F17="√",10,0)</f>
        <v>5</v>
      </c>
      <c r="K3" s="38">
        <f t="shared" ref="K3:K34" si="0">($L3*$BN3+$M3*$BL3+$N3*$BO3+$O3*$BP3)</f>
        <v>78285.6849322411</v>
      </c>
      <c r="L3" s="38">
        <f>((($AN3+$AO3)/2*$AH3+$AI3)*(1+$AP3)*(1+$AQ3)+(($AS3+$AT3)/2*IF($G$1="鸣金",$AJ3,$AH3)+IF($G$1="鸣金",$AK3*1.5,0))*(1+$AU3)*(1+$AV3)+(($AW3+$AX3)/2*IF($G$1="裂石",$AJ3,$AH3)+IF($G$1="裂石",$AK3*1.5,0))*(1+$AY3)*(1+$AZ3)+(($BA3+$BB3)/2*IF($G$1="牵丝",$AJ3,$AH3)+IF($G$1="牵丝",$AK3*1.5,0))*(1+$BC3)*(1+$BD3)+(($BE3+$BF3)/2*IF($G$1="破竹",$AJ3,$AH3)+IF($G$1="破竹",$AK3*1.5,0))*(1+$BG3)*(1+$BH3))*(1+$AL3)*$BK3*$P3*(1+IF(VLOOKUP($Q3,武学奇术!$A:$ZZ,30,FALSE)="蓄力技",#REF!,0))*(1+$BQ3)</f>
        <v>79763.7420641626</v>
      </c>
      <c r="M3" s="38">
        <f>(($AO3*$AH3+$AI3)*(1+$AP3)*(1+$AQ3)+($AT3*IF($G$1="鸣金",$AJ3,$AH3)+IF($G$1="鸣金",$AK3*1.5,0))*(1+$AU3)*(1+$AV3)+($AX3*IF($G$1="裂石",$AJ3,$AH3)+IF($G$1="裂石",$AK3*1.5,0))*(1+$AY3)*(1+$AZ3)+($BB3*IF($G$1="牵丝",$AJ3,$AH3)+IF($G$1="牵丝",$AK3*1.5,0))*(1+$BC3)*(1+$BD3)+($BF3*IF($G$1="破竹",$AJ3,$AH3)+IF($G$1="破竹",$AK3*1.5,0))*(1+$BG3)*(1+$BH3))*(1+$AL3)*$BM3*$P3*(1+IF(VLOOKUP($Q3,武学奇术!$A:$ZZ,30,FALSE)="蓄力技",#REF!,0))*(1+$BQ3)</f>
        <v>69827.5248117202</v>
      </c>
      <c r="N3" s="38">
        <f>((($AN3+$AO3)/2*$AH3+$AI3)*(1+$AP3)*(1+$AQ3)+(($AS3+$AT3)/2*IF($G$1="鸣金",$AJ3,$AH3)+IF($G$1="鸣金",$AK3*1.5,0))*(1+$AU3)*(1+$AV3)+(($AW3+$AX3)/2*IF($G$1="裂石",$AJ3,$AH3)+IF($G$1="裂石",$AK3*1.5,0))*(1+$AY3)*(1+$AZ3)+(($BA3+$BB3)/2*IF($G$1="牵丝",$AJ3,$AH3)+IF($G$1="牵丝",$AK3*1.5,0))*(1+$BC3)*(1+$BD3)+(($BE3+$BF3)/2*IF($G$1="破竹",$AJ3,$AH3)+IF($G$1="破竹",$AK3*1.5,0))*(1+$BG3)*(1+$BH3))*(1+$AL3)*$P3*(1+IF(VLOOKUP($Q3,武学奇术!$A:$ZZ,30,FALSE)="蓄力技",#REF!,0))*(1+$BQ3)</f>
        <v>45579.2811795215</v>
      </c>
      <c r="O3" s="38">
        <f>((($AN3*$AH3+$AI3)*(1+$AP3)*(1+$AQ3)+($AS3*IF($G$1="鸣金",$AJ3,$AH3)+IF($G$1="鸣金",$AK3*1.5,0))*(1+$AU3)*(1+$AV3)+($AW3*IF($G$1="裂石",$AJ3,$AH3)+IF($G$1="裂石",$AK3*1.5,0))*(1+$AY3)*(1+$AZ3)+($BA3*IF($G$1="牵丝",$AJ3,$AH3)+IF($G$1="牵丝",$AK3*1.5,0))*(1+$BC3)*(1+$BD3)+($BE3*IF($G$1="破竹",$AJ3,$AH3)+IF($G$1="破竹",$AK3*1.5,0))*(1+$BG3)*(1+$BH3))*(1+$AL3))*$P3*(1+IF(VLOOKUP($Q3,武学奇术!$A:$ZZ,30,FALSE)="蓄力技",#REF!,0))*(1+$BQ3)</f>
        <v>39434.4699059169</v>
      </c>
      <c r="P3" s="39">
        <v>10</v>
      </c>
      <c r="Q3" s="40" t="s">
        <v>84</v>
      </c>
      <c r="R3" s="40" t="s">
        <v>71</v>
      </c>
      <c r="S3" s="40" t="s">
        <v>72</v>
      </c>
      <c r="T3" s="40" t="s">
        <v>73</v>
      </c>
      <c r="U3" s="40" t="s">
        <v>74</v>
      </c>
      <c r="V3" s="40" t="s">
        <v>75</v>
      </c>
      <c r="W3" s="40" t="s">
        <v>85</v>
      </c>
      <c r="X3" s="40" t="s">
        <v>77</v>
      </c>
      <c r="Y3" s="40" t="s">
        <v>78</v>
      </c>
      <c r="Z3" s="40" t="s">
        <v>79</v>
      </c>
      <c r="AA3" s="40" t="s">
        <v>68</v>
      </c>
      <c r="AB3" s="40" t="s">
        <v>76</v>
      </c>
      <c r="AC3" s="40" t="s">
        <v>76</v>
      </c>
      <c r="AD3" s="40" t="s">
        <v>76</v>
      </c>
      <c r="AE3" s="40" t="s">
        <v>80</v>
      </c>
      <c r="AF3" s="40" t="s">
        <v>81</v>
      </c>
      <c r="AG3" t="str">
        <f>VLOOKUP($Q3,武学奇术!$A:$ZZ,25,FALSE)</f>
        <v>单体奇术</v>
      </c>
      <c r="AH3" s="26">
        <f>VLOOKUP($Q3,武学奇术!$A:$ZZ,26,FALSE)</f>
        <v>0.2361</v>
      </c>
      <c r="AI3" s="27">
        <f>VLOOKUP($Q3,武学奇术!$A:$ZZ,27,FALSE)*(1+IF(OR($AG3=$F$4,$AG3=$F$5),$B$21,0))</f>
        <v>47</v>
      </c>
      <c r="AJ3" s="26">
        <f>VLOOKUP($Q3,武学奇术!$A:$ZZ,28,FALSE)</f>
        <v>0.35415</v>
      </c>
      <c r="AK3" s="27">
        <f>VLOOKUP($Q3,武学奇术!$A:$ZZ,29,FALSE)*(1+IF(OR($AG3=$F$4,$AG3=$F$5),$B$21,0))</f>
        <v>0</v>
      </c>
      <c r="AL3" s="26" cm="1">
        <f t="array" ref="AL3">$G$3+IFERROR(VLOOKUP($AG3,$F$4:$G$7,2,FALSE),0)+VLOOKUP($Q3,武学奇术!$A:$ZZ,2,FALSE)+SUM(_xlfn.XLOOKUP($R3:$AF3,增益!$A:$A,增益!$B:$B,0))</f>
        <v>1.0719</v>
      </c>
      <c r="AM3" s="26" cm="1">
        <f t="array" ref="AM3">VLOOKUP($Q3,武学奇术!$A:$ZZ,5,FALSE)+SUM(_xlfn.XLOOKUP($R3:$AF3,增益!$A:$A,增益!$E:$E,0))</f>
        <v>0</v>
      </c>
      <c r="AN3" cm="1">
        <f t="array" ref="AN3">$D$10*(1+$AM3)+VLOOKUP($Q3,武学奇术!$A:$ZZ,3,FALSE)+SUM(_xlfn.XLOOKUP($R3:$AF3,增益!$A:$A,增益!$C:$C,0))-$I$2</f>
        <v>3977.2</v>
      </c>
      <c r="AO3" cm="1">
        <f t="array" ref="AO3">$E$10*(1+$AM3)+VLOOKUP($Q3,武学奇术!$A:$ZZ,4,FALSE)+SUM(_xlfn.XLOOKUP($R3:$AF3,增益!$A:$A,增益!$D:$D,0))-$I$2</f>
        <v>3977.2</v>
      </c>
      <c r="AP3" s="32" cm="1">
        <f t="array" ref="AP3">IF($F$10-$I$3+VLOOKUP($Q3,武学奇术!$A:$ZZ,6,FALSE)+SUM(_xlfn.XLOOKUP(R3:AF3,增益!$A:$A,增益!$F:$F,0))&gt;0,($F$10-$I$3+VLOOKUP($Q3,武学奇术!$A:$ZZ,6,FALSE)+SUM(_xlfn.XLOOKUP(R3:AF3,增益!$A:$A,增益!$F:$F,0)))/200,($F$10-$I$3+VLOOKUP($Q3,武学奇术!$A:$ZZ,6,FALSE)+SUM(_xlfn.XLOOKUP(R3:AF3,增益!$A:$A,增益!$F:$F,0)))/100)</f>
        <v>0.344</v>
      </c>
      <c r="AQ3" s="32" cm="1">
        <f t="array" ref="AQ3">$G$10+VLOOKUP($Q3,武学奇术!$A:$ZZ,7,FALSE)+SUM(_xlfn.XLOOKUP(R3:AF3,增益!$A:$A,增益!$G:$G,0))</f>
        <v>0.04</v>
      </c>
      <c r="AR3" s="26" cm="1">
        <f t="array" ref="AR3">VLOOKUP($Q3,武学奇术!$A:$ZZ,8,FALSE)+SUM(_xlfn.XLOOKUP(R3:AF3,增益!$A:$A,增益!$H:$H,0))</f>
        <v>0.06</v>
      </c>
      <c r="AS3">
        <f t="shared" ref="AS3:AS43" si="1">$D$11*(1+$AR3)</f>
        <v>0</v>
      </c>
      <c r="AT3">
        <f t="shared" ref="AT3:AT43" si="2">$E$11*(1+$AR3)</f>
        <v>0</v>
      </c>
      <c r="AU3" s="32" cm="1">
        <f t="array" ref="AU3">IF($F$11-$I$4+VLOOKUP($Q3,武学奇术!$A:$ZZ,9,FALSE)+SUM(_xlfn.XLOOKUP(R3:AF3,增益!$A:$A,增益!$I:$I,0))&gt;0,($F$11-$I$4+VLOOKUP($Q3,武学奇术!$A:$ZZ,9,FALSE)+SUM(_xlfn.XLOOKUP(R3:AF3,增益!$A:$A,增益!$I:$I,0)))/200,($F$11-$I$4+VLOOKUP($Q3,武学奇术!$A:$ZZ,9,FALSE)+SUM(_xlfn.XLOOKUP(R3:AF3,增益!$A:$A,增益!$I:$I,0)))/100)</f>
        <v>-0.14</v>
      </c>
      <c r="AV3" s="32" cm="1">
        <f t="array" ref="AV3">$G$11+VLOOKUP($Q3,武学奇术!$A:$ZZ,10,FALSE)+SUM(_xlfn.XLOOKUP(R3:AF3,增益!$A:$A,增益!$J:$J,0))</f>
        <v>0.04</v>
      </c>
      <c r="AW3">
        <f t="shared" ref="AW3:AW43" si="3">$D$12*(1+$AR3)</f>
        <v>0</v>
      </c>
      <c r="AX3">
        <f t="shared" ref="AX3:AX43" si="4">$E$12*(1+$AR3)</f>
        <v>0</v>
      </c>
      <c r="AY3" s="32" cm="1">
        <f t="array" ref="AY3">IF($F$12-$I$4+VLOOKUP($Q3,武学奇术!$A:$ZZ,11,FALSE)+SUM(_xlfn.XLOOKUP(R3:AF3,增益!$A:$A,增益!$K:$K,0))&gt;0,($F$12-$I$4+VLOOKUP($Q3,武学奇术!$A:$ZZ,11,FALSE)+SUM(_xlfn.XLOOKUP(R3:AF3,增益!$A:$A,增益!$K:$K,0)))/200,($F$12-$I$4+VLOOKUP($Q3,武学奇术!$A:$ZZ,11,FALSE)+SUM(_xlfn.XLOOKUP(R3:AF3,增益!$A:$A,增益!$K:$K,0)))/100)</f>
        <v>-0.14</v>
      </c>
      <c r="AZ3" s="32" cm="1">
        <f t="array" ref="AZ3">$G$12+VLOOKUP($Q3,武学奇术!$A:$ZZ,12,FALSE)+SUM(_xlfn.XLOOKUP(R3:AF3,增益!$A:$A,增益!$L:$L,0))</f>
        <v>0.04</v>
      </c>
      <c r="BA3">
        <f t="shared" ref="BA3:BA34" si="5">$D$13*(1+$AR3)</f>
        <v>739.244</v>
      </c>
      <c r="BB3">
        <f t="shared" ref="BB3:BB34" si="6">$E$13*(1+$AR3)</f>
        <v>1913.3</v>
      </c>
      <c r="BC3" s="32" cm="1">
        <f t="array" ref="BC3">IF($F$13-$I$4+VLOOKUP($Q3,武学奇术!$A:$ZZ,13,FALSE)+SUM(_xlfn.XLOOKUP(R3:AF3,增益!$A:$A,增益!$M:$M,0))&gt;0,($F$13-$I$4+VLOOKUP($Q3,武学奇术!$A:$ZZ,13,FALSE)+SUM(_xlfn.XLOOKUP(R3:AF3,增益!$A:$A,增益!$K:$K,0)))/200,($F$13-$I$4+VLOOKUP($Q3,武学奇术!$A:$ZZ,13,FALSE)+SUM(_xlfn.XLOOKUP(R3:AF3,增益!$A:$A,增益!$M:$M,0)))/100)</f>
        <v>0.08</v>
      </c>
      <c r="BD3" s="32" cm="1">
        <f t="array" ref="BD3">$G$13+VLOOKUP($Q3,武学奇术!$A:$ZZ,14,FALSE)+SUM(_xlfn.XLOOKUP(R3:AF3,增益!$A:$A,增益!$N:$N,0))</f>
        <v>0.19</v>
      </c>
      <c r="BE3">
        <f t="shared" ref="BE3:BE34" si="7">$D$14*(1+$AR3)</f>
        <v>0</v>
      </c>
      <c r="BF3">
        <f t="shared" ref="BF3:BF34" si="8">$E$14*(1+$AR3)</f>
        <v>0</v>
      </c>
      <c r="BG3" s="32" cm="1">
        <f t="array" ref="BG3">IF($F$14-$I$4+VLOOKUP($Q3,武学奇术!$A:$ZZ,15,FALSE)+SUM(_xlfn.XLOOKUP(R3:AF3,增益!$A:$A,增益!$O:$O,0))&gt;0,($F$14-$I$4+VLOOKUP($Q3,武学奇术!$A:$ZZ,15,FALSE)+SUM(_xlfn.XLOOKUP(R3:AF3,增益!$A:$A,增益!$O:$O,0)))/200,($F$14-$I$4+VLOOKUP($Q3,武学奇术!$A:$ZZ,15,FALSE)+SUM(_xlfn.XLOOKUP(R3:AF3,增益!$A:$A,增益!$O:$O,0)))/100)</f>
        <v>-0.14</v>
      </c>
      <c r="BH3" s="32" cm="1">
        <f t="array" ref="BH3">$G$14+VLOOKUP($Q3,武学奇术!$A:$ZZ,16,FALSE)+SUM(_xlfn.XLOOKUP(R3:AF3,增益!$A:$A,增益!$P:$P,0))</f>
        <v>0.04</v>
      </c>
      <c r="BI3" s="26">
        <f>MIN(IF(VLOOKUP($Q3,武学奇术!$A:$ZZ,23,FALSE)=1,100%,$B$8),100%)</f>
        <v>1</v>
      </c>
      <c r="BJ3" s="26" cm="1">
        <f t="array" ref="BJ3">IF(VLOOKUP($Q3,武学奇术!$A:$ZZ,23,FALSE)=1,100%,MIN(80%,$B$9+VLOOKUP($Q3,武学奇术!$A:$ZZ,17,FALSE)+SUM(_xlfn.XLOOKUP(R3:AF3,增益!$A:$A,增益!$Q:$Q,0)))+$B$11+SUM(_xlfn.XLOOKUP(R3:AF3,增益!$A:$A,增益!$U:$U,0)))*IF(VLOOKUP($Q3,武学奇术!$A:$ZZ,24,FALSE)=1,0,1)</f>
        <v>0.892</v>
      </c>
      <c r="BK3" s="26" cm="1">
        <f t="array" ref="BK3">1+$B$13+VLOOKUP($Q3,武学奇术!$A:$ZZ,18,FALSE)+SUM(_xlfn.XLOOKUP(R3:AF3,增益!$A:$A,增益!$R:$R,0))</f>
        <v>1.75</v>
      </c>
      <c r="BL3" s="26" cm="1">
        <f t="array" ref="BL3">IF(VLOOKUP($Q3,武学奇术!$A:$ZZ,24,FALSE)=1,100%,MIN(40%,$B$10+VLOOKUP($Q3,武学奇术!$A:$ZZ,19,FALSE)+SUM(_xlfn.XLOOKUP(R3:AF3,增益!$A:$A,增益!$S:$S,0)))+$B$12+SUM(_xlfn.XLOOKUP(R3:AF3,增益!$A:$A,增益!$V:$V,0)))*IF(VLOOKUP($Q3,武学奇术!$A:$ZZ,23,FALSE)=1,0,1)</f>
        <v>0.0913</v>
      </c>
      <c r="BM3" s="26" cm="1">
        <f t="array" ref="BM3">1+$B$14+VLOOKUP($Q3,武学奇术!$A:$ZZ,20,FALSE)+SUM(_xlfn.XLOOKUP(R3:AF3,增益!$A:$A,增益!$T:$T,0))</f>
        <v>1.35</v>
      </c>
      <c r="BN3" s="26">
        <f t="shared" ref="BN3:BN27" si="9">MIN((1-BL3)*BI3,BI3*BJ3)</f>
        <v>0.892</v>
      </c>
      <c r="BO3" s="26">
        <f t="shared" ref="BO3:BO34" si="10">1-BL3-BN3-BP3</f>
        <v>0.0166999999999999</v>
      </c>
      <c r="BP3" s="26">
        <f>IF(VLOOKUP($Q3,武学奇术!$A:$ZZ,22,FALSE)=1,0,(1-$BI3))*(1-$BL3)</f>
        <v>0</v>
      </c>
      <c r="BQ3" s="26" cm="1">
        <f t="array" ref="BQ3">SUM(_xlfn.XLOOKUP(R3:AF3,增益!$A:$A,增益!$W:$W,0))+$I$5</f>
        <v>0.11</v>
      </c>
    </row>
    <row r="4" ht="14.25" spans="1:69">
      <c r="A4" s="50" t="s">
        <v>86</v>
      </c>
      <c r="B4" s="51"/>
      <c r="C4" s="51"/>
      <c r="D4" s="51"/>
      <c r="E4" s="52"/>
      <c r="F4" s="45" t="s">
        <v>87</v>
      </c>
      <c r="G4" s="49">
        <f>B15+B17</f>
        <v>0</v>
      </c>
      <c r="H4" s="53" t="s">
        <v>88</v>
      </c>
      <c r="I4" s="15">
        <f>30</f>
        <v>30</v>
      </c>
      <c r="K4" s="38">
        <f t="shared" si="0"/>
        <v>119410.605937232</v>
      </c>
      <c r="L4" s="38">
        <f>((($AN4+$AO4)/2*$AH4+$AI4)*(1+$AP4)*(1+$AQ4)+(($AS4+$AT4)/2*IF($G$1="鸣金",$AJ4,$AH4)+IF($G$1="鸣金",$AK4*1.5,0))*(1+$AU4)*(1+$AV4)+(($AW4+$AX4)/2*IF($G$1="裂石",$AJ4,$AH4)+IF($G$1="裂石",$AK4*1.5,0))*(1+$AY4)*(1+$AZ4)+(($BA4+$BB4)/2*IF($G$1="牵丝",$AJ4,$AH4)+IF($G$1="牵丝",$AK4*1.5,0))*(1+$BC4)*(1+$BD4)+(($BE4+$BF4)/2*IF($G$1="破竹",$AJ4,$AH4)+IF($G$1="破竹",$AK4*1.5,0))*(1+$BG4)*(1+$BH4))*(1+$AL4)*$BK4*$P4*(1+IF(VLOOKUP($Q4,武学奇术!$A:$ZZ,30,FALSE)="蓄力技",#REF!,0))*(1+$BQ4)</f>
        <v>121664.951953939</v>
      </c>
      <c r="M4" s="38">
        <f>(($AO4*$AH4+$AI4)*(1+$AP4)*(1+$AQ4)+($AT4*IF($G$1="鸣金",$AJ4,$AH4)+IF($G$1="鸣金",$AK4*1.5,0))*(1+$AU4)*(1+$AV4)+($AX4*IF($G$1="裂石",$AJ4,$AH4)+IF($G$1="裂石",$AK4*1.5,0))*(1+$AY4)*(1+$AZ4)+($BB4*IF($G$1="牵丝",$AJ4,$AH4)+IF($G$1="牵丝",$AK4*1.5,0))*(1+$BC4)*(1+$BD4)+($BF4*IF($G$1="破竹",$AJ4,$AH4)+IF($G$1="破竹",$AK4*1.5,0))*(1+$BG4)*(1+$BH4))*(1+$AL4)*$BM4*$P4*(1+IF(VLOOKUP($Q4,武学奇术!$A:$ZZ,30,FALSE)="蓄力技",#REF!,0))*(1+$BQ4)</f>
        <v>106510.816413241</v>
      </c>
      <c r="N4" s="38">
        <f>((($AN4+$AO4)/2*$AH4+$AI4)*(1+$AP4)*(1+$AQ4)+(($AS4+$AT4)/2*IF($G$1="鸣金",$AJ4,$AH4)+IF($G$1="鸣金",$AK4*1.5,0))*(1+$AU4)*(1+$AV4)+(($AW4+$AX4)/2*IF($G$1="裂石",$AJ4,$AH4)+IF($G$1="裂石",$AK4*1.5,0))*(1+$AY4)*(1+$AZ4)+(($BA4+$BB4)/2*IF($G$1="牵丝",$AJ4,$AH4)+IF($G$1="牵丝",$AK4*1.5,0))*(1+$BC4)*(1+$BD4)+(($BE4+$BF4)/2*IF($G$1="破竹",$AJ4,$AH4)+IF($G$1="破竹",$AK4*1.5,0))*(1+$BG4)*(1+$BH4))*(1+$AL4)*$P4*(1+IF(VLOOKUP($Q4,武学奇术!$A:$ZZ,30,FALSE)="蓄力技",#REF!,0))*(1+$BQ4)</f>
        <v>69522.8296879652</v>
      </c>
      <c r="O4" s="38">
        <f>((($AN4*$AH4+$AI4)*(1+$AP4)*(1+$AQ4)+($AS4*IF($G$1="鸣金",$AJ4,$AH4)+IF($G$1="鸣金",$AK4*1.5,0))*(1+$AU4)*(1+$AV4)+($AW4*IF($G$1="裂石",$AJ4,$AH4)+IF($G$1="裂石",$AK4*1.5,0))*(1+$AY4)*(1+$AZ4)+($BA4*IF($G$1="牵丝",$AJ4,$AH4)+IF($G$1="牵丝",$AK4*1.5,0))*(1+$BC4)*(1+$BD4)+($BE4*IF($G$1="破竹",$AJ4,$AH4)+IF($G$1="破竹",$AK4*1.5,0))*(1+$BG4)*(1+$BH4))*(1+$AL4))*$P4*(1+IF(VLOOKUP($Q4,武学奇术!$A:$ZZ,30,FALSE)="蓄力技",#REF!,0))*(1+$BQ4)</f>
        <v>60148.7583290854</v>
      </c>
      <c r="P4" s="39">
        <v>4</v>
      </c>
      <c r="Q4" s="40" t="s">
        <v>89</v>
      </c>
      <c r="R4" s="40" t="s">
        <v>71</v>
      </c>
      <c r="S4" s="40" t="s">
        <v>72</v>
      </c>
      <c r="T4" s="40" t="s">
        <v>73</v>
      </c>
      <c r="U4" s="40" t="s">
        <v>74</v>
      </c>
      <c r="V4" s="40" t="s">
        <v>75</v>
      </c>
      <c r="W4" s="40" t="s">
        <v>76</v>
      </c>
      <c r="X4" s="40" t="s">
        <v>77</v>
      </c>
      <c r="Y4" s="40" t="s">
        <v>78</v>
      </c>
      <c r="Z4" s="40" t="s">
        <v>79</v>
      </c>
      <c r="AA4" s="40" t="s">
        <v>68</v>
      </c>
      <c r="AB4" s="40" t="s">
        <v>76</v>
      </c>
      <c r="AC4" s="40" t="s">
        <v>76</v>
      </c>
      <c r="AD4" s="40" t="s">
        <v>76</v>
      </c>
      <c r="AE4" s="40" t="s">
        <v>80</v>
      </c>
      <c r="AF4" s="40" t="s">
        <v>81</v>
      </c>
      <c r="AG4" t="str">
        <f>VLOOKUP($Q4,武学奇术!$A:$ZZ,25,FALSE)</f>
        <v>单体奇术</v>
      </c>
      <c r="AH4" s="26">
        <f>VLOOKUP($Q4,武学奇术!$A:$ZZ,26,FALSE)</f>
        <v>1.024</v>
      </c>
      <c r="AI4" s="27">
        <f>VLOOKUP($Q4,武学奇术!$A:$ZZ,27,FALSE)*(1+IF(OR($AG4=$F$4,$AG4=$F$5),$B$21,0))</f>
        <v>203</v>
      </c>
      <c r="AJ4" s="26">
        <f>VLOOKUP($Q4,武学奇术!$A:$ZZ,28,FALSE)</f>
        <v>1.536</v>
      </c>
      <c r="AK4" s="27">
        <f>VLOOKUP($Q4,武学奇术!$A:$ZZ,29,FALSE)*(1+IF(OR($AG4=$F$4,$AG4=$F$5),$B$21,0))</f>
        <v>0</v>
      </c>
      <c r="AL4" s="26" cm="1">
        <f t="array" ref="AL4">$G$3+IFERROR(VLOOKUP($AG4,$F$4:$G$7,2,FALSE),0)+VLOOKUP($Q4,武学奇术!$A:$ZZ,2,FALSE)+SUM(_xlfn.XLOOKUP($R4:$AF4,增益!$A:$A,增益!$B:$B,0))</f>
        <v>0.8219</v>
      </c>
      <c r="AM4" s="26" cm="1">
        <f t="array" ref="AM4">VLOOKUP($Q4,武学奇术!$A:$ZZ,5,FALSE)+SUM(_xlfn.XLOOKUP($R4:$AF4,增益!$A:$A,增益!$E:$E,0))</f>
        <v>0</v>
      </c>
      <c r="AN4" cm="1">
        <f t="array" ref="AN4">$D$10*(1+$AM4)+VLOOKUP($Q4,武学奇术!$A:$ZZ,3,FALSE)+SUM(_xlfn.XLOOKUP($R4:$AF4,增益!$A:$A,增益!$C:$C,0))-$I$2</f>
        <v>3977.2</v>
      </c>
      <c r="AO4" cm="1">
        <f t="array" ref="AO4">$E$10*(1+$AM4)+VLOOKUP($Q4,武学奇术!$A:$ZZ,4,FALSE)+SUM(_xlfn.XLOOKUP($R4:$AF4,增益!$A:$A,增益!$D:$D,0))-$I$2</f>
        <v>3977.2</v>
      </c>
      <c r="AP4" s="32" cm="1">
        <f t="array" ref="AP4">IF($F$10-$I$3+VLOOKUP($Q4,武学奇术!$A:$ZZ,6,FALSE)+SUM(_xlfn.XLOOKUP(R4:AF4,增益!$A:$A,增益!$F:$F,0))&gt;0,($F$10-$I$3+VLOOKUP($Q4,武学奇术!$A:$ZZ,6,FALSE)+SUM(_xlfn.XLOOKUP(R4:AF4,增益!$A:$A,增益!$F:$F,0)))/200,($F$10-$I$3+VLOOKUP($Q4,武学奇术!$A:$ZZ,6,FALSE)+SUM(_xlfn.XLOOKUP(R4:AF4,增益!$A:$A,增益!$F:$F,0)))/100)</f>
        <v>0.344</v>
      </c>
      <c r="AQ4" s="32" cm="1">
        <f t="array" ref="AQ4">$G$10+VLOOKUP($Q4,武学奇术!$A:$ZZ,7,FALSE)+SUM(_xlfn.XLOOKUP(R4:AF4,增益!$A:$A,增益!$G:$G,0))</f>
        <v>0.04</v>
      </c>
      <c r="AR4" s="26" cm="1">
        <f t="array" ref="AR4">VLOOKUP($Q4,武学奇术!$A:$ZZ,8,FALSE)+SUM(_xlfn.XLOOKUP(R4:AF4,增益!$A:$A,增益!$H:$H,0))</f>
        <v>0.06</v>
      </c>
      <c r="AS4">
        <f t="shared" si="1"/>
        <v>0</v>
      </c>
      <c r="AT4">
        <f t="shared" si="2"/>
        <v>0</v>
      </c>
      <c r="AU4" s="32" cm="1">
        <f t="array" ref="AU4">IF($F$11-$I$4+VLOOKUP($Q4,武学奇术!$A:$ZZ,9,FALSE)+SUM(_xlfn.XLOOKUP(R4:AF4,增益!$A:$A,增益!$I:$I,0))&gt;0,($F$11-$I$4+VLOOKUP($Q4,武学奇术!$A:$ZZ,9,FALSE)+SUM(_xlfn.XLOOKUP(R4:AF4,增益!$A:$A,增益!$I:$I,0)))/200,($F$11-$I$4+VLOOKUP($Q4,武学奇术!$A:$ZZ,9,FALSE)+SUM(_xlfn.XLOOKUP(R4:AF4,增益!$A:$A,增益!$I:$I,0)))/100)</f>
        <v>-0.14</v>
      </c>
      <c r="AV4" s="32" cm="1">
        <f t="array" ref="AV4">$G$11+VLOOKUP($Q4,武学奇术!$A:$ZZ,10,FALSE)+SUM(_xlfn.XLOOKUP(R4:AF4,增益!$A:$A,增益!$J:$J,0))</f>
        <v>0.04</v>
      </c>
      <c r="AW4">
        <f t="shared" si="3"/>
        <v>0</v>
      </c>
      <c r="AX4">
        <f t="shared" si="4"/>
        <v>0</v>
      </c>
      <c r="AY4" s="32" cm="1">
        <f t="array" ref="AY4">IF($F$12-$I$4+VLOOKUP($Q4,武学奇术!$A:$ZZ,11,FALSE)+SUM(_xlfn.XLOOKUP(R4:AF4,增益!$A:$A,增益!$K:$K,0))&gt;0,($F$12-$I$4+VLOOKUP($Q4,武学奇术!$A:$ZZ,11,FALSE)+SUM(_xlfn.XLOOKUP(R4:AF4,增益!$A:$A,增益!$K:$K,0)))/200,($F$12-$I$4+VLOOKUP($Q4,武学奇术!$A:$ZZ,11,FALSE)+SUM(_xlfn.XLOOKUP(R4:AF4,增益!$A:$A,增益!$K:$K,0)))/100)</f>
        <v>-0.14</v>
      </c>
      <c r="AZ4" s="32" cm="1">
        <f t="array" ref="AZ4">$G$12+VLOOKUP($Q4,武学奇术!$A:$ZZ,12,FALSE)+SUM(_xlfn.XLOOKUP(R4:AF4,增益!$A:$A,增益!$L:$L,0))</f>
        <v>0.04</v>
      </c>
      <c r="BA4">
        <f t="shared" si="5"/>
        <v>739.244</v>
      </c>
      <c r="BB4">
        <f t="shared" si="6"/>
        <v>1913.3</v>
      </c>
      <c r="BC4" s="32" cm="1">
        <f t="array" ref="BC4">IF($F$13-$I$4+VLOOKUP($Q4,武学奇术!$A:$ZZ,13,FALSE)+SUM(_xlfn.XLOOKUP(R4:AF4,增益!$A:$A,增益!$M:$M,0))&gt;0,($F$13-$I$4+VLOOKUP($Q4,武学奇术!$A:$ZZ,13,FALSE)+SUM(_xlfn.XLOOKUP(R4:AF4,增益!$A:$A,增益!$K:$K,0)))/200,($F$13-$I$4+VLOOKUP($Q4,武学奇术!$A:$ZZ,13,FALSE)+SUM(_xlfn.XLOOKUP(R4:AF4,增益!$A:$A,增益!$M:$M,0)))/100)</f>
        <v>0.08</v>
      </c>
      <c r="BD4" s="32" cm="1">
        <f t="array" ref="BD4">$G$13+VLOOKUP($Q4,武学奇术!$A:$ZZ,14,FALSE)+SUM(_xlfn.XLOOKUP(R4:AF4,增益!$A:$A,增益!$N:$N,0))</f>
        <v>0.19</v>
      </c>
      <c r="BE4">
        <f t="shared" si="7"/>
        <v>0</v>
      </c>
      <c r="BF4">
        <f t="shared" si="8"/>
        <v>0</v>
      </c>
      <c r="BG4" s="32" cm="1">
        <f t="array" ref="BG4">IF($F$14-$I$4+VLOOKUP($Q4,武学奇术!$A:$ZZ,15,FALSE)+SUM(_xlfn.XLOOKUP(R4:AF4,增益!$A:$A,增益!$O:$O,0))&gt;0,($F$14-$I$4+VLOOKUP($Q4,武学奇术!$A:$ZZ,15,FALSE)+SUM(_xlfn.XLOOKUP(R4:AF4,增益!$A:$A,增益!$O:$O,0)))/200,($F$14-$I$4+VLOOKUP($Q4,武学奇术!$A:$ZZ,15,FALSE)+SUM(_xlfn.XLOOKUP(R4:AF4,增益!$A:$A,增益!$O:$O,0)))/100)</f>
        <v>-0.14</v>
      </c>
      <c r="BH4" s="32" cm="1">
        <f t="array" ref="BH4">$G$14+VLOOKUP($Q4,武学奇术!$A:$ZZ,16,FALSE)+SUM(_xlfn.XLOOKUP(R4:AF4,增益!$A:$A,增益!$P:$P,0))</f>
        <v>0.04</v>
      </c>
      <c r="BI4" s="26">
        <f>MIN(IF(VLOOKUP($Q4,武学奇术!$A:$ZZ,23,FALSE)=1,100%,$B$8),100%)</f>
        <v>1</v>
      </c>
      <c r="BJ4" s="26" cm="1">
        <f t="array" ref="BJ4">IF(VLOOKUP($Q4,武学奇术!$A:$ZZ,23,FALSE)=1,100%,MIN(80%,$B$9+VLOOKUP($Q4,武学奇术!$A:$ZZ,17,FALSE)+SUM(_xlfn.XLOOKUP(R4:AF4,增益!$A:$A,增益!$Q:$Q,0)))+$B$11+SUM(_xlfn.XLOOKUP(R4:AF4,增益!$A:$A,增益!$U:$U,0)))*IF(VLOOKUP($Q4,武学奇术!$A:$ZZ,24,FALSE)=1,0,1)</f>
        <v>0.892</v>
      </c>
      <c r="BK4" s="26" cm="1">
        <f t="array" ref="BK4">1+$B$13+VLOOKUP($Q4,武学奇术!$A:$ZZ,18,FALSE)+SUM(_xlfn.XLOOKUP(R4:AF4,增益!$A:$A,增益!$R:$R,0))</f>
        <v>1.75</v>
      </c>
      <c r="BL4" s="26" cm="1">
        <f t="array" ref="BL4">IF(VLOOKUP($Q4,武学奇术!$A:$ZZ,24,FALSE)=1,100%,MIN(40%,$B$10+VLOOKUP($Q4,武学奇术!$A:$ZZ,19,FALSE)+SUM(_xlfn.XLOOKUP(R4:AF4,增益!$A:$A,增益!$S:$S,0)))+$B$12+SUM(_xlfn.XLOOKUP(R4:AF4,增益!$A:$A,增益!$V:$V,0)))*IF(VLOOKUP($Q4,武学奇术!$A:$ZZ,23,FALSE)=1,0,1)</f>
        <v>0.0913</v>
      </c>
      <c r="BM4" s="26" cm="1">
        <f t="array" ref="BM4">1+$B$14+VLOOKUP($Q4,武学奇术!$A:$ZZ,20,FALSE)+SUM(_xlfn.XLOOKUP(R4:AF4,增益!$A:$A,增益!$T:$T,0))</f>
        <v>1.35</v>
      </c>
      <c r="BN4" s="26">
        <f t="shared" si="9"/>
        <v>0.892</v>
      </c>
      <c r="BO4" s="26">
        <f t="shared" si="10"/>
        <v>0.0166999999999999</v>
      </c>
      <c r="BP4" s="26">
        <f>IF(VLOOKUP($Q4,武学奇术!$A:$ZZ,22,FALSE)=1,0,(1-$BI4))*(1-$BL4)</f>
        <v>0</v>
      </c>
      <c r="BQ4" s="26" cm="1">
        <f t="array" ref="BQ4">SUM(_xlfn.XLOOKUP(R4:AF4,增益!$A:$A,增益!$W:$W,0))+$I$5</f>
        <v>0.11</v>
      </c>
    </row>
    <row r="5" spans="1:69">
      <c r="A5" s="54" t="s">
        <v>5</v>
      </c>
      <c r="B5" s="55">
        <v>539</v>
      </c>
      <c r="C5" s="55">
        <v>1554.2</v>
      </c>
      <c r="D5" s="55">
        <v>30</v>
      </c>
      <c r="E5" s="56">
        <v>0.15</v>
      </c>
      <c r="F5" s="45" t="s">
        <v>90</v>
      </c>
      <c r="G5" s="49">
        <f>B15+B18</f>
        <v>0</v>
      </c>
      <c r="H5" t="s">
        <v>91</v>
      </c>
      <c r="I5" s="28">
        <v>0.06</v>
      </c>
      <c r="K5" s="38">
        <f t="shared" si="0"/>
        <v>71603.5932998148</v>
      </c>
      <c r="L5" s="38">
        <f>((($AN5+$AO5)/2*$AH5+$AI5)*(1+$AP5)*(1+$AQ5)+(($AS5+$AT5)/2*IF($G$1="鸣金",$AJ5,$AH5)+IF($G$1="鸣金",$AK5*1.5,0))*(1+$AU5)*(1+$AV5)+(($AW5+$AX5)/2*IF($G$1="裂石",$AJ5,$AH5)+IF($G$1="裂石",$AK5*1.5,0))*(1+$AY5)*(1+$AZ5)+(($BA5+$BB5)/2*IF($G$1="牵丝",$AJ5,$AH5)+IF($G$1="牵丝",$AK5*1.5,0))*(1+$BC5)*(1+$BD5)+(($BE5+$BF5)/2*IF($G$1="破竹",$AJ5,$AH5)+IF($G$1="破竹",$AK5*1.5,0))*(1+$BG5)*(1+$BH5))*(1+$AL5)*$BK5*$P5*(1+IF(VLOOKUP($Q5,武学奇术!$A:$ZZ,30,FALSE)="蓄力技",#REF!,0))*(1+$BQ5)</f>
        <v>72955.4402835244</v>
      </c>
      <c r="M5" s="38">
        <f>(($AO5*$AH5+$AI5)*(1+$AP5)*(1+$AQ5)+($AT5*IF($G$1="鸣金",$AJ5,$AH5)+IF($G$1="鸣金",$AK5*1.5,0))*(1+$AU5)*(1+$AV5)+($AX5*IF($G$1="裂石",$AJ5,$AH5)+IF($G$1="裂石",$AK5*1.5,0))*(1+$AY5)*(1+$AZ5)+($BB5*IF($G$1="牵丝",$AJ5,$AH5)+IF($G$1="牵丝",$AK5*1.5,0))*(1+$BC5)*(1+$BD5)+($BF5*IF($G$1="破竹",$AJ5,$AH5)+IF($G$1="破竹",$AK5*1.5,0))*(1+$BG5)*(1+$BH5))*(1+$AL5)*$BM5*$P5*(1+IF(VLOOKUP($Q5,武学奇术!$A:$ZZ,30,FALSE)="蓄力技",#REF!,0))*(1+$BQ5)</f>
        <v>63867.8775738342</v>
      </c>
      <c r="N5" s="38">
        <f>((($AN5+$AO5)/2*$AH5+$AI5)*(1+$AP5)*(1+$AQ5)+(($AS5+$AT5)/2*IF($G$1="鸣金",$AJ5,$AH5)+IF($G$1="鸣金",$AK5*1.5,0))*(1+$AU5)*(1+$AV5)+(($AW5+$AX5)/2*IF($G$1="裂石",$AJ5,$AH5)+IF($G$1="裂石",$AK5*1.5,0))*(1+$AY5)*(1+$AZ5)+(($BA5+$BB5)/2*IF($G$1="牵丝",$AJ5,$AH5)+IF($G$1="牵丝",$AK5*1.5,0))*(1+$BC5)*(1+$BD5)+(($BE5+$BF5)/2*IF($G$1="破竹",$AJ5,$AH5)+IF($G$1="破竹",$AK5*1.5,0))*(1+$BG5)*(1+$BH5))*(1+$AL5)*$P5*(1+IF(VLOOKUP($Q5,武学奇术!$A:$ZZ,30,FALSE)="蓄力技",#REF!,0))*(1+$BQ5)</f>
        <v>41688.8230191568</v>
      </c>
      <c r="O5" s="38">
        <f>((($AN5*$AH5+$AI5)*(1+$AP5)*(1+$AQ5)+($AS5*IF($G$1="鸣金",$AJ5,$AH5)+IF($G$1="鸣金",$AK5*1.5,0))*(1+$AU5)*(1+$AV5)+($AW5*IF($G$1="裂石",$AJ5,$AH5)+IF($G$1="裂石",$AK5*1.5,0))*(1+$AY5)*(1+$AZ5)+($BA5*IF($G$1="牵丝",$AJ5,$AH5)+IF($G$1="牵丝",$AK5*1.5,0))*(1+$BC5)*(1+$BD5)+($BE5*IF($G$1="破竹",$AJ5,$AH5)+IF($G$1="破竹",$AK5*1.5,0))*(1+$BG5)*(1+$BH5))*(1+$AL5))*$P5*(1+IF(VLOOKUP($Q5,武学奇术!$A:$ZZ,30,FALSE)="蓄力技",#REF!,0))*(1+$BQ5)</f>
        <v>36068.1070947328</v>
      </c>
      <c r="P5" s="39">
        <v>1</v>
      </c>
      <c r="Q5" s="40" t="s">
        <v>92</v>
      </c>
      <c r="R5" s="40" t="s">
        <v>71</v>
      </c>
      <c r="S5" s="40" t="s">
        <v>72</v>
      </c>
      <c r="T5" s="40" t="s">
        <v>73</v>
      </c>
      <c r="U5" s="40" t="s">
        <v>74</v>
      </c>
      <c r="V5" s="40" t="s">
        <v>75</v>
      </c>
      <c r="W5" s="40" t="s">
        <v>76</v>
      </c>
      <c r="X5" s="40" t="s">
        <v>77</v>
      </c>
      <c r="Y5" s="40" t="s">
        <v>78</v>
      </c>
      <c r="Z5" s="40" t="s">
        <v>79</v>
      </c>
      <c r="AA5" s="40" t="s">
        <v>68</v>
      </c>
      <c r="AB5" s="40" t="s">
        <v>76</v>
      </c>
      <c r="AC5" s="40" t="s">
        <v>76</v>
      </c>
      <c r="AD5" s="40" t="s">
        <v>76</v>
      </c>
      <c r="AE5" s="40" t="s">
        <v>80</v>
      </c>
      <c r="AF5" s="40" t="s">
        <v>81</v>
      </c>
      <c r="AG5" t="str">
        <f>VLOOKUP($Q5,武学奇术!$A:$ZZ,25,FALSE)</f>
        <v>单体奇术</v>
      </c>
      <c r="AH5" s="26">
        <f>VLOOKUP($Q5,武学奇术!$A:$ZZ,26,FALSE)</f>
        <v>1.7066</v>
      </c>
      <c r="AI5" s="27">
        <f>VLOOKUP($Q5,武学奇术!$A:$ZZ,27,FALSE)*(1+IF(OR($AG5=$F$4,$AG5=$F$5),$B$21,0))</f>
        <v>339</v>
      </c>
      <c r="AJ5" s="26">
        <f>VLOOKUP($Q5,武学奇术!$A:$ZZ,28,FALSE)</f>
        <v>2.5599</v>
      </c>
      <c r="AK5" s="27">
        <f>VLOOKUP($Q5,武学奇术!$A:$ZZ,29,FALSE)*(1+IF(OR($AG5=$F$4,$AG5=$F$5),$B$21,0))</f>
        <v>0</v>
      </c>
      <c r="AL5" s="26" cm="1">
        <f t="array" ref="AL5">$G$3+IFERROR(VLOOKUP($AG5,$F$4:$G$7,2,FALSE),0)+VLOOKUP($Q5,武学奇术!$A:$ZZ,2,FALSE)+SUM(_xlfn.XLOOKUP($R5:$AF5,增益!$A:$A,增益!$B:$B,0))</f>
        <v>1.6219</v>
      </c>
      <c r="AM5" s="26" cm="1">
        <f t="array" ref="AM5">VLOOKUP($Q5,武学奇术!$A:$ZZ,5,FALSE)+SUM(_xlfn.XLOOKUP($R5:$AF5,增益!$A:$A,增益!$E:$E,0))</f>
        <v>0</v>
      </c>
      <c r="AN5" cm="1">
        <f t="array" ref="AN5">$D$10*(1+$AM5)+VLOOKUP($Q5,武学奇术!$A:$ZZ,3,FALSE)+SUM(_xlfn.XLOOKUP($R5:$AF5,增益!$A:$A,增益!$C:$C,0))-$I$2</f>
        <v>3977.2</v>
      </c>
      <c r="AO5" cm="1">
        <f t="array" ref="AO5">$E$10*(1+$AM5)+VLOOKUP($Q5,武学奇术!$A:$ZZ,4,FALSE)+SUM(_xlfn.XLOOKUP($R5:$AF5,增益!$A:$A,增益!$D:$D,0))-$I$2</f>
        <v>3977.2</v>
      </c>
      <c r="AP5" s="32" cm="1">
        <f t="array" ref="AP5">IF($F$10-$I$3+VLOOKUP($Q5,武学奇术!$A:$ZZ,6,FALSE)+SUM(_xlfn.XLOOKUP(R5:AF5,增益!$A:$A,增益!$F:$F,0))&gt;0,($F$10-$I$3+VLOOKUP($Q5,武学奇术!$A:$ZZ,6,FALSE)+SUM(_xlfn.XLOOKUP(R5:AF5,增益!$A:$A,增益!$F:$F,0)))/200,($F$10-$I$3+VLOOKUP($Q5,武学奇术!$A:$ZZ,6,FALSE)+SUM(_xlfn.XLOOKUP(R5:AF5,增益!$A:$A,增益!$F:$F,0)))/100)</f>
        <v>0.344</v>
      </c>
      <c r="AQ5" s="32" cm="1">
        <f t="array" ref="AQ5">$G$10+VLOOKUP($Q5,武学奇术!$A:$ZZ,7,FALSE)+SUM(_xlfn.XLOOKUP(R5:AF5,增益!$A:$A,增益!$G:$G,0))</f>
        <v>0.04</v>
      </c>
      <c r="AR5" s="26" cm="1">
        <f t="array" ref="AR5">VLOOKUP($Q5,武学奇术!$A:$ZZ,8,FALSE)+SUM(_xlfn.XLOOKUP(R5:AF5,增益!$A:$A,增益!$H:$H,0))</f>
        <v>0.06</v>
      </c>
      <c r="AS5">
        <f t="shared" si="1"/>
        <v>0</v>
      </c>
      <c r="AT5">
        <f t="shared" si="2"/>
        <v>0</v>
      </c>
      <c r="AU5" s="32" cm="1">
        <f t="array" ref="AU5">IF($F$11-$I$4+VLOOKUP($Q5,武学奇术!$A:$ZZ,9,FALSE)+SUM(_xlfn.XLOOKUP(R5:AF5,增益!$A:$A,增益!$I:$I,0))&gt;0,($F$11-$I$4+VLOOKUP($Q5,武学奇术!$A:$ZZ,9,FALSE)+SUM(_xlfn.XLOOKUP(R5:AF5,增益!$A:$A,增益!$I:$I,0)))/200,($F$11-$I$4+VLOOKUP($Q5,武学奇术!$A:$ZZ,9,FALSE)+SUM(_xlfn.XLOOKUP(R5:AF5,增益!$A:$A,增益!$I:$I,0)))/100)</f>
        <v>-0.14</v>
      </c>
      <c r="AV5" s="32" cm="1">
        <f t="array" ref="AV5">$G$11+VLOOKUP($Q5,武学奇术!$A:$ZZ,10,FALSE)+SUM(_xlfn.XLOOKUP(R5:AF5,增益!$A:$A,增益!$J:$J,0))</f>
        <v>0.04</v>
      </c>
      <c r="AW5">
        <f t="shared" si="3"/>
        <v>0</v>
      </c>
      <c r="AX5">
        <f t="shared" si="4"/>
        <v>0</v>
      </c>
      <c r="AY5" s="32" cm="1">
        <f t="array" ref="AY5">IF($F$12-$I$4+VLOOKUP($Q5,武学奇术!$A:$ZZ,11,FALSE)+SUM(_xlfn.XLOOKUP(R5:AF5,增益!$A:$A,增益!$K:$K,0))&gt;0,($F$12-$I$4+VLOOKUP($Q5,武学奇术!$A:$ZZ,11,FALSE)+SUM(_xlfn.XLOOKUP(R5:AF5,增益!$A:$A,增益!$K:$K,0)))/200,($F$12-$I$4+VLOOKUP($Q5,武学奇术!$A:$ZZ,11,FALSE)+SUM(_xlfn.XLOOKUP(R5:AF5,增益!$A:$A,增益!$K:$K,0)))/100)</f>
        <v>-0.14</v>
      </c>
      <c r="AZ5" s="32" cm="1">
        <f t="array" ref="AZ5">$G$12+VLOOKUP($Q5,武学奇术!$A:$ZZ,12,FALSE)+SUM(_xlfn.XLOOKUP(R5:AF5,增益!$A:$A,增益!$L:$L,0))</f>
        <v>0.04</v>
      </c>
      <c r="BA5">
        <f t="shared" si="5"/>
        <v>739.244</v>
      </c>
      <c r="BB5">
        <f t="shared" si="6"/>
        <v>1913.3</v>
      </c>
      <c r="BC5" s="32" cm="1">
        <f t="array" ref="BC5">IF($F$13-$I$4+VLOOKUP($Q5,武学奇术!$A:$ZZ,13,FALSE)+SUM(_xlfn.XLOOKUP(R5:AF5,增益!$A:$A,增益!$M:$M,0))&gt;0,($F$13-$I$4+VLOOKUP($Q5,武学奇术!$A:$ZZ,13,FALSE)+SUM(_xlfn.XLOOKUP(R5:AF5,增益!$A:$A,增益!$K:$K,0)))/200,($F$13-$I$4+VLOOKUP($Q5,武学奇术!$A:$ZZ,13,FALSE)+SUM(_xlfn.XLOOKUP(R5:AF5,增益!$A:$A,增益!$M:$M,0)))/100)</f>
        <v>0.08</v>
      </c>
      <c r="BD5" s="32" cm="1">
        <f t="array" ref="BD5">$G$13+VLOOKUP($Q5,武学奇术!$A:$ZZ,14,FALSE)+SUM(_xlfn.XLOOKUP(R5:AF5,增益!$A:$A,增益!$N:$N,0))</f>
        <v>0.19</v>
      </c>
      <c r="BE5">
        <f t="shared" si="7"/>
        <v>0</v>
      </c>
      <c r="BF5">
        <f t="shared" si="8"/>
        <v>0</v>
      </c>
      <c r="BG5" s="32" cm="1">
        <f t="array" ref="BG5">IF($F$14-$I$4+VLOOKUP($Q5,武学奇术!$A:$ZZ,15,FALSE)+SUM(_xlfn.XLOOKUP(R5:AF5,增益!$A:$A,增益!$O:$O,0))&gt;0,($F$14-$I$4+VLOOKUP($Q5,武学奇术!$A:$ZZ,15,FALSE)+SUM(_xlfn.XLOOKUP(R5:AF5,增益!$A:$A,增益!$O:$O,0)))/200,($F$14-$I$4+VLOOKUP($Q5,武学奇术!$A:$ZZ,15,FALSE)+SUM(_xlfn.XLOOKUP(R5:AF5,增益!$A:$A,增益!$O:$O,0)))/100)</f>
        <v>-0.14</v>
      </c>
      <c r="BH5" s="32" cm="1">
        <f t="array" ref="BH5">$G$14+VLOOKUP($Q5,武学奇术!$A:$ZZ,16,FALSE)+SUM(_xlfn.XLOOKUP(R5:AF5,增益!$A:$A,增益!$P:$P,0))</f>
        <v>0.04</v>
      </c>
      <c r="BI5" s="26">
        <f>MIN(IF(VLOOKUP($Q5,武学奇术!$A:$ZZ,23,FALSE)=1,100%,$B$8),100%)</f>
        <v>1</v>
      </c>
      <c r="BJ5" s="26" cm="1">
        <f t="array" ref="BJ5">IF(VLOOKUP($Q5,武学奇术!$A:$ZZ,23,FALSE)=1,100%,MIN(80%,$B$9+VLOOKUP($Q5,武学奇术!$A:$ZZ,17,FALSE)+SUM(_xlfn.XLOOKUP(R5:AF5,增益!$A:$A,增益!$Q:$Q,0)))+$B$11+SUM(_xlfn.XLOOKUP(R5:AF5,增益!$A:$A,增益!$U:$U,0)))*IF(VLOOKUP($Q5,武学奇术!$A:$ZZ,24,FALSE)=1,0,1)</f>
        <v>0.892</v>
      </c>
      <c r="BK5" s="26" cm="1">
        <f t="array" ref="BK5">1+$B$13+VLOOKUP($Q5,武学奇术!$A:$ZZ,18,FALSE)+SUM(_xlfn.XLOOKUP(R5:AF5,增益!$A:$A,增益!$R:$R,0))</f>
        <v>1.75</v>
      </c>
      <c r="BL5" s="26" cm="1">
        <f t="array" ref="BL5">IF(VLOOKUP($Q5,武学奇术!$A:$ZZ,24,FALSE)=1,100%,MIN(40%,$B$10+VLOOKUP($Q5,武学奇术!$A:$ZZ,19,FALSE)+SUM(_xlfn.XLOOKUP(R5:AF5,增益!$A:$A,增益!$S:$S,0)))+$B$12+SUM(_xlfn.XLOOKUP(R5:AF5,增益!$A:$A,增益!$V:$V,0)))*IF(VLOOKUP($Q5,武学奇术!$A:$ZZ,23,FALSE)=1,0,1)</f>
        <v>0.0913</v>
      </c>
      <c r="BM5" s="26" cm="1">
        <f t="array" ref="BM5">1+$B$14+VLOOKUP($Q5,武学奇术!$A:$ZZ,20,FALSE)+SUM(_xlfn.XLOOKUP(R5:AF5,增益!$A:$A,增益!$T:$T,0))</f>
        <v>1.35</v>
      </c>
      <c r="BN5" s="26">
        <f t="shared" si="9"/>
        <v>0.892</v>
      </c>
      <c r="BO5" s="26">
        <f t="shared" si="10"/>
        <v>0.0166999999999999</v>
      </c>
      <c r="BP5" s="26">
        <f>IF(VLOOKUP($Q5,武学奇术!$A:$ZZ,22,FALSE)=1,0,(1-$BI5))*(1-$BL5)</f>
        <v>0</v>
      </c>
      <c r="BQ5" s="26" cm="1">
        <f t="array" ref="BQ5">SUM(_xlfn.XLOOKUP(R5:AF5,增益!$A:$A,增益!$W:$W,0))+$I$5</f>
        <v>0.11</v>
      </c>
    </row>
    <row r="6" spans="1:69">
      <c r="A6" s="57" t="s">
        <v>93</v>
      </c>
      <c r="B6" s="58"/>
      <c r="C6" s="58"/>
      <c r="D6" s="58"/>
      <c r="E6" s="59"/>
      <c r="F6" s="45" t="s">
        <v>94</v>
      </c>
      <c r="G6" s="49">
        <f>B19</f>
        <v>0.2677</v>
      </c>
      <c r="K6" s="38">
        <f t="shared" si="0"/>
        <v>234550.504559655</v>
      </c>
      <c r="L6" s="38">
        <f>((($AN6+$AO6)/2*$AH6+$AI6)*(1+$AP6)*(1+$AQ6)+(($AS6+$AT6)/2*IF($G$1="鸣金",$AJ6,$AH6)+IF($G$1="鸣金",$AK6*1.5,0))*(1+$AU6)*(1+$AV6)+(($AW6+$AX6)/2*IF($G$1="裂石",$AJ6,$AH6)+IF($G$1="裂石",$AK6*1.5,0))*(1+$AY6)*(1+$AZ6)+(($BA6+$BB6)/2*IF($G$1="牵丝",$AJ6,$AH6)+IF($G$1="牵丝",$AK6*1.5,0))*(1+$BC6)*(1+$BD6)+(($BE6+$BF6)/2*IF($G$1="破竹",$AJ6,$AH6)+IF($G$1="破竹",$AK6*1.5,0))*(1+$BG6)*(1+$BH6))*(1+$AL6)*$BK6*$P6*(1+IF(VLOOKUP($Q6,武学奇术!$A:$ZZ,30,FALSE)="蓄力技",#REF!,0))*(1+$BQ6)</f>
        <v>238978.572186613</v>
      </c>
      <c r="M6" s="38">
        <f>(($AO6*$AH6+$AI6)*(1+$AP6)*(1+$AQ6)+($AT6*IF($G$1="鸣金",$AJ6,$AH6)+IF($G$1="鸣金",$AK6*1.5,0))*(1+$AU6)*(1+$AV6)+($AX6*IF($G$1="裂石",$AJ6,$AH6)+IF($G$1="裂石",$AK6*1.5,0))*(1+$AY6)*(1+$AZ6)+($BB6*IF($G$1="牵丝",$AJ6,$AH6)+IF($G$1="牵丝",$AK6*1.5,0))*(1+$BC6)*(1+$BD6)+($BF6*IF($G$1="破竹",$AJ6,$AH6)+IF($G$1="破竹",$AK6*1.5,0))*(1+$BG6)*(1+$BH6))*(1+$AL6)*$BM6*$P6*(1+IF(VLOOKUP($Q6,武学奇术!$A:$ZZ,30,FALSE)="蓄力技",#REF!,0))*(1+$BQ6)</f>
        <v>209212.265001264</v>
      </c>
      <c r="N6" s="38">
        <f>((($AN6+$AO6)/2*$AH6+$AI6)*(1+$AP6)*(1+$AQ6)+(($AS6+$AT6)/2*IF($G$1="鸣金",$AJ6,$AH6)+IF($G$1="鸣金",$AK6*1.5,0))*(1+$AU6)*(1+$AV6)+(($AW6+$AX6)/2*IF($G$1="裂石",$AJ6,$AH6)+IF($G$1="裂石",$AK6*1.5,0))*(1+$AY6)*(1+$AZ6)+(($BA6+$BB6)/2*IF($G$1="牵丝",$AJ6,$AH6)+IF($G$1="牵丝",$AK6*1.5,0))*(1+$BC6)*(1+$BD6)+(($BE6+$BF6)/2*IF($G$1="破竹",$AJ6,$AH6)+IF($G$1="破竹",$AK6*1.5,0))*(1+$BG6)*(1+$BH6))*(1+$AL6)*$P6*(1+IF(VLOOKUP($Q6,武学奇术!$A:$ZZ,30,FALSE)="蓄力技",#REF!,0))*(1+$BQ6)</f>
        <v>136559.184106636</v>
      </c>
      <c r="O6" s="38">
        <f>((($AN6*$AH6+$AI6)*(1+$AP6)*(1+$AQ6)+($AS6*IF($G$1="鸣金",$AJ6,$AH6)+IF($G$1="鸣金",$AK6*1.5,0))*(1+$AU6)*(1+$AV6)+($AW6*IF($G$1="裂石",$AJ6,$AH6)+IF($G$1="裂石",$AK6*1.5,0))*(1+$AY6)*(1+$AZ6)+($BA6*IF($G$1="牵丝",$AJ6,$AH6)+IF($G$1="牵丝",$AK6*1.5,0))*(1+$BC6)*(1+$BD6)+($BE6*IF($G$1="破竹",$AJ6,$AH6)+IF($G$1="破竹",$AK6*1.5,0))*(1+$BG6)*(1+$BH6))*(1+$AL6))*$P6*(1+IF(VLOOKUP($Q6,武学奇术!$A:$ZZ,30,FALSE)="蓄力技",#REF!,0))*(1+$BQ6)</f>
        <v>118146.320064188</v>
      </c>
      <c r="P6" s="39">
        <v>5</v>
      </c>
      <c r="Q6" s="40" t="s">
        <v>95</v>
      </c>
      <c r="R6" s="40" t="s">
        <v>71</v>
      </c>
      <c r="S6" s="40" t="s">
        <v>72</v>
      </c>
      <c r="T6" s="40" t="s">
        <v>73</v>
      </c>
      <c r="U6" s="40" t="s">
        <v>74</v>
      </c>
      <c r="V6" s="40" t="s">
        <v>75</v>
      </c>
      <c r="W6" s="40" t="s">
        <v>76</v>
      </c>
      <c r="X6" s="40" t="s">
        <v>77</v>
      </c>
      <c r="Y6" s="40" t="s">
        <v>78</v>
      </c>
      <c r="Z6" s="40" t="s">
        <v>79</v>
      </c>
      <c r="AA6" s="40" t="s">
        <v>68</v>
      </c>
      <c r="AB6" s="40" t="s">
        <v>76</v>
      </c>
      <c r="AC6" s="40" t="s">
        <v>76</v>
      </c>
      <c r="AD6" s="40" t="s">
        <v>76</v>
      </c>
      <c r="AE6" s="40" t="s">
        <v>80</v>
      </c>
      <c r="AF6" s="40" t="s">
        <v>81</v>
      </c>
      <c r="AG6" t="str">
        <f>VLOOKUP($Q6,武学奇术!$A:$ZZ,25,FALSE)</f>
        <v>单体奇术</v>
      </c>
      <c r="AH6" s="26">
        <f>VLOOKUP($Q6,武学奇术!$A:$ZZ,26,FALSE)</f>
        <v>1.6091</v>
      </c>
      <c r="AI6" s="27">
        <f>VLOOKUP($Q6,武学奇术!$A:$ZZ,27,FALSE)*(1+IF(OR($AG6=$F$4,$AG6=$F$5),$B$21,0))</f>
        <v>319</v>
      </c>
      <c r="AJ6" s="26">
        <f>VLOOKUP($Q6,武学奇术!$A:$ZZ,28,FALSE)</f>
        <v>2.41365</v>
      </c>
      <c r="AK6" s="27">
        <f>VLOOKUP($Q6,武学奇术!$A:$ZZ,29,FALSE)*(1+IF(OR($AG6=$F$4,$AG6=$F$5),$B$21,0))</f>
        <v>0</v>
      </c>
      <c r="AL6" s="26" cm="1">
        <f t="array" ref="AL6">$G$3+IFERROR(VLOOKUP($AG6,$F$4:$G$7,2,FALSE),0)+VLOOKUP($Q6,武学奇术!$A:$ZZ,2,FALSE)+SUM(_xlfn.XLOOKUP($R6:$AF6,增益!$A:$A,增益!$B:$B,0))</f>
        <v>0.8219</v>
      </c>
      <c r="AM6" s="26" cm="1">
        <f t="array" ref="AM6">VLOOKUP($Q6,武学奇术!$A:$ZZ,5,FALSE)+SUM(_xlfn.XLOOKUP($R6:$AF6,增益!$A:$A,增益!$E:$E,0))</f>
        <v>0</v>
      </c>
      <c r="AN6" cm="1">
        <f t="array" ref="AN6">$D$10*(1+$AM6)+VLOOKUP($Q6,武学奇术!$A:$ZZ,3,FALSE)+SUM(_xlfn.XLOOKUP($R6:$AF6,增益!$A:$A,增益!$C:$C,0))-$I$2</f>
        <v>3977.2</v>
      </c>
      <c r="AO6" cm="1">
        <f t="array" ref="AO6">$E$10*(1+$AM6)+VLOOKUP($Q6,武学奇术!$A:$ZZ,4,FALSE)+SUM(_xlfn.XLOOKUP($R6:$AF6,增益!$A:$A,增益!$D:$D,0))-$I$2</f>
        <v>3977.2</v>
      </c>
      <c r="AP6" s="32" cm="1">
        <f t="array" ref="AP6">IF($F$10-$I$3+VLOOKUP($Q6,武学奇术!$A:$ZZ,6,FALSE)+SUM(_xlfn.XLOOKUP(R6:AF6,增益!$A:$A,增益!$F:$F,0))&gt;0,($F$10-$I$3+VLOOKUP($Q6,武学奇术!$A:$ZZ,6,FALSE)+SUM(_xlfn.XLOOKUP(R6:AF6,增益!$A:$A,增益!$F:$F,0)))/200,($F$10-$I$3+VLOOKUP($Q6,武学奇术!$A:$ZZ,6,FALSE)+SUM(_xlfn.XLOOKUP(R6:AF6,增益!$A:$A,增益!$F:$F,0)))/100)</f>
        <v>0.344</v>
      </c>
      <c r="AQ6" s="32" cm="1">
        <f t="array" ref="AQ6">$G$10+VLOOKUP($Q6,武学奇术!$A:$ZZ,7,FALSE)+SUM(_xlfn.XLOOKUP(R6:AF6,增益!$A:$A,增益!$G:$G,0))</f>
        <v>0.04</v>
      </c>
      <c r="AR6" s="26" cm="1">
        <f t="array" ref="AR6">VLOOKUP($Q6,武学奇术!$A:$ZZ,8,FALSE)+SUM(_xlfn.XLOOKUP(R6:AF6,增益!$A:$A,增益!$H:$H,0))</f>
        <v>0.06</v>
      </c>
      <c r="AS6">
        <f t="shared" si="1"/>
        <v>0</v>
      </c>
      <c r="AT6">
        <f t="shared" si="2"/>
        <v>0</v>
      </c>
      <c r="AU6" s="32" cm="1">
        <f t="array" ref="AU6">IF($F$11-$I$4+VLOOKUP($Q6,武学奇术!$A:$ZZ,9,FALSE)+SUM(_xlfn.XLOOKUP(R6:AF6,增益!$A:$A,增益!$I:$I,0))&gt;0,($F$11-$I$4+VLOOKUP($Q6,武学奇术!$A:$ZZ,9,FALSE)+SUM(_xlfn.XLOOKUP(R6:AF6,增益!$A:$A,增益!$I:$I,0)))/200,($F$11-$I$4+VLOOKUP($Q6,武学奇术!$A:$ZZ,9,FALSE)+SUM(_xlfn.XLOOKUP(R6:AF6,增益!$A:$A,增益!$I:$I,0)))/100)</f>
        <v>-0.14</v>
      </c>
      <c r="AV6" s="32" cm="1">
        <f t="array" ref="AV6">$G$11+VLOOKUP($Q6,武学奇术!$A:$ZZ,10,FALSE)+SUM(_xlfn.XLOOKUP(R6:AF6,增益!$A:$A,增益!$J:$J,0))</f>
        <v>0.04</v>
      </c>
      <c r="AW6">
        <f t="shared" si="3"/>
        <v>0</v>
      </c>
      <c r="AX6">
        <f t="shared" si="4"/>
        <v>0</v>
      </c>
      <c r="AY6" s="32" cm="1">
        <f t="array" ref="AY6">IF($F$12-$I$4+VLOOKUP($Q6,武学奇术!$A:$ZZ,11,FALSE)+SUM(_xlfn.XLOOKUP(R6:AF6,增益!$A:$A,增益!$K:$K,0))&gt;0,($F$12-$I$4+VLOOKUP($Q6,武学奇术!$A:$ZZ,11,FALSE)+SUM(_xlfn.XLOOKUP(R6:AF6,增益!$A:$A,增益!$K:$K,0)))/200,($F$12-$I$4+VLOOKUP($Q6,武学奇术!$A:$ZZ,11,FALSE)+SUM(_xlfn.XLOOKUP(R6:AF6,增益!$A:$A,增益!$K:$K,0)))/100)</f>
        <v>-0.14</v>
      </c>
      <c r="AZ6" s="32" cm="1">
        <f t="array" ref="AZ6">$G$12+VLOOKUP($Q6,武学奇术!$A:$ZZ,12,FALSE)+SUM(_xlfn.XLOOKUP(R6:AF6,增益!$A:$A,增益!$L:$L,0))</f>
        <v>0.04</v>
      </c>
      <c r="BA6">
        <f t="shared" si="5"/>
        <v>739.244</v>
      </c>
      <c r="BB6">
        <f t="shared" si="6"/>
        <v>1913.3</v>
      </c>
      <c r="BC6" s="32" cm="1">
        <f t="array" ref="BC6">IF($F$13-$I$4+VLOOKUP($Q6,武学奇术!$A:$ZZ,13,FALSE)+SUM(_xlfn.XLOOKUP(R6:AF6,增益!$A:$A,增益!$M:$M,0))&gt;0,($F$13-$I$4+VLOOKUP($Q6,武学奇术!$A:$ZZ,13,FALSE)+SUM(_xlfn.XLOOKUP(R6:AF6,增益!$A:$A,增益!$K:$K,0)))/200,($F$13-$I$4+VLOOKUP($Q6,武学奇术!$A:$ZZ,13,FALSE)+SUM(_xlfn.XLOOKUP(R6:AF6,增益!$A:$A,增益!$M:$M,0)))/100)</f>
        <v>0.08</v>
      </c>
      <c r="BD6" s="32" cm="1">
        <f t="array" ref="BD6">$G$13+VLOOKUP($Q6,武学奇术!$A:$ZZ,14,FALSE)+SUM(_xlfn.XLOOKUP(R6:AF6,增益!$A:$A,增益!$N:$N,0))</f>
        <v>0.19</v>
      </c>
      <c r="BE6">
        <f t="shared" si="7"/>
        <v>0</v>
      </c>
      <c r="BF6">
        <f t="shared" si="8"/>
        <v>0</v>
      </c>
      <c r="BG6" s="32" cm="1">
        <f t="array" ref="BG6">IF($F$14-$I$4+VLOOKUP($Q6,武学奇术!$A:$ZZ,15,FALSE)+SUM(_xlfn.XLOOKUP(R6:AF6,增益!$A:$A,增益!$O:$O,0))&gt;0,($F$14-$I$4+VLOOKUP($Q6,武学奇术!$A:$ZZ,15,FALSE)+SUM(_xlfn.XLOOKUP(R6:AF6,增益!$A:$A,增益!$O:$O,0)))/200,($F$14-$I$4+VLOOKUP($Q6,武学奇术!$A:$ZZ,15,FALSE)+SUM(_xlfn.XLOOKUP(R6:AF6,增益!$A:$A,增益!$O:$O,0)))/100)</f>
        <v>-0.14</v>
      </c>
      <c r="BH6" s="32" cm="1">
        <f t="array" ref="BH6">$G$14+VLOOKUP($Q6,武学奇术!$A:$ZZ,16,FALSE)+SUM(_xlfn.XLOOKUP(R6:AF6,增益!$A:$A,增益!$P:$P,0))</f>
        <v>0.04</v>
      </c>
      <c r="BI6" s="26">
        <f>MIN(IF(VLOOKUP($Q6,武学奇术!$A:$ZZ,23,FALSE)=1,100%,$B$8),100%)</f>
        <v>1</v>
      </c>
      <c r="BJ6" s="26" cm="1">
        <f t="array" ref="BJ6">IF(VLOOKUP($Q6,武学奇术!$A:$ZZ,23,FALSE)=1,100%,MIN(80%,$B$9+VLOOKUP($Q6,武学奇术!$A:$ZZ,17,FALSE)+SUM(_xlfn.XLOOKUP(R6:AF6,增益!$A:$A,增益!$Q:$Q,0)))+$B$11+SUM(_xlfn.XLOOKUP(R6:AF6,增益!$A:$A,增益!$U:$U,0)))*IF(VLOOKUP($Q6,武学奇术!$A:$ZZ,24,FALSE)=1,0,1)</f>
        <v>0.892</v>
      </c>
      <c r="BK6" s="26" cm="1">
        <f t="array" ref="BK6">1+$B$13+VLOOKUP($Q6,武学奇术!$A:$ZZ,18,FALSE)+SUM(_xlfn.XLOOKUP(R6:AF6,增益!$A:$A,增益!$R:$R,0))</f>
        <v>1.75</v>
      </c>
      <c r="BL6" s="26" cm="1">
        <f t="array" ref="BL6">IF(VLOOKUP($Q6,武学奇术!$A:$ZZ,24,FALSE)=1,100%,MIN(40%,$B$10+VLOOKUP($Q6,武学奇术!$A:$ZZ,19,FALSE)+SUM(_xlfn.XLOOKUP(R6:AF6,增益!$A:$A,增益!$S:$S,0)))+$B$12+SUM(_xlfn.XLOOKUP(R6:AF6,增益!$A:$A,增益!$V:$V,0)))*IF(VLOOKUP($Q6,武学奇术!$A:$ZZ,23,FALSE)=1,0,1)</f>
        <v>0.0913</v>
      </c>
      <c r="BM6" s="26" cm="1">
        <f t="array" ref="BM6">1+$B$14+VLOOKUP($Q6,武学奇术!$A:$ZZ,20,FALSE)+SUM(_xlfn.XLOOKUP(R6:AF6,增益!$A:$A,增益!$T:$T,0))</f>
        <v>1.35</v>
      </c>
      <c r="BN6" s="26">
        <f t="shared" si="9"/>
        <v>0.892</v>
      </c>
      <c r="BO6" s="26">
        <f t="shared" si="10"/>
        <v>0.0166999999999999</v>
      </c>
      <c r="BP6" s="26">
        <f>IF(VLOOKUP($Q6,武学奇术!$A:$ZZ,22,FALSE)=1,0,(1-$BI6))*(1-$BL6)</f>
        <v>0</v>
      </c>
      <c r="BQ6" s="26" cm="1">
        <f t="array" ref="BQ6">SUM(_xlfn.XLOOKUP(R6:AF6,增益!$A:$A,增益!$W:$W,0))+$I$5</f>
        <v>0.11</v>
      </c>
    </row>
    <row r="7" ht="14.25" spans="1:69">
      <c r="A7" s="85" t="s">
        <v>96</v>
      </c>
      <c r="B7" s="61">
        <f>79.2+IF($E$22="大卷微身",22.1,0)+79.2</f>
        <v>158.4</v>
      </c>
      <c r="C7" s="61">
        <f>92.4+79.2*2+IF($E$22="大卷微身",44.3,0)</f>
        <v>250.8</v>
      </c>
      <c r="D7" s="62">
        <f>IF($E$22="大卷微身",6,0)</f>
        <v>0</v>
      </c>
      <c r="E7" s="63"/>
      <c r="F7" s="53" t="s">
        <v>97</v>
      </c>
      <c r="G7" s="64">
        <f>B19</f>
        <v>0.2677</v>
      </c>
      <c r="K7" s="38">
        <f t="shared" si="0"/>
        <v>264583.290244679</v>
      </c>
      <c r="L7" s="38">
        <f>((($AN7+$AO7)/2*$AH7+$AI7)*(1+$AP7)*(1+$AQ7)+(($AS7+$AT7)/2*IF($G$1="鸣金",$AJ7,$AH7)+IF($G$1="鸣金",$AK7*1.5,0))*(1+$AU7)*(1+$AV7)+(($AW7+$AX7)/2*IF($G$1="裂石",$AJ7,$AH7)+IF($G$1="裂石",$AK7*1.5,0))*(1+$AY7)*(1+$AZ7)+(($BA7+$BB7)/2*IF($G$1="牵丝",$AJ7,$AH7)+IF($G$1="牵丝",$AK7*1.5,0))*(1+$BC7)*(1+$BD7)+(($BE7+$BF7)/2*IF($G$1="破竹",$AJ7,$AH7)+IF($G$1="破竹",$AK7*1.5,0))*(1+$BG7)*(1+$BH7))*(1+$AL7)*$BK7*$P7*(1+IF(VLOOKUP($Q7,武学奇术!$A:$ZZ,30,FALSE)="蓄力技",#REF!,0))*(1+$BQ7)</f>
        <v>269700.229352707</v>
      </c>
      <c r="M7" s="38">
        <f>(($AO7*$AH7+$AI7)*(1+$AP7)*(1+$AQ7)+($AT7*IF($G$1="鸣金",$AJ7,$AH7)+IF($G$1="鸣金",$AK7*1.5,0))*(1+$AU7)*(1+$AV7)+($AX7*IF($G$1="裂石",$AJ7,$AH7)+IF($G$1="裂石",$AK7*1.5,0))*(1+$AY7)*(1+$AZ7)+($BB7*IF($G$1="牵丝",$AJ7,$AH7)+IF($G$1="牵丝",$AK7*1.5,0))*(1+$BC7)*(1+$BD7)+($BF7*IF($G$1="破竹",$AJ7,$AH7)+IF($G$1="破竹",$AK7*1.5,0))*(1+$BG7)*(1+$BH7))*(1+$AL7)*$BM7*$P7*(1+IF(VLOOKUP($Q7,武学奇术!$A:$ZZ,30,FALSE)="蓄力技",#REF!,0))*(1+$BQ7)</f>
        <v>234797.096406962</v>
      </c>
      <c r="N7" s="38">
        <f>((($AN7+$AO7)/2*$AH7+$AI7)*(1+$AP7)*(1+$AQ7)+(($AS7+$AT7)/2*IF($G$1="鸣金",$AJ7,$AH7)+IF($G$1="鸣金",$AK7*1.5,0))*(1+$AU7)*(1+$AV7)+(($AW7+$AX7)/2*IF($G$1="裂石",$AJ7,$AH7)+IF($G$1="裂石",$AK7*1.5,0))*(1+$AY7)*(1+$AZ7)+(($BA7+$BB7)/2*IF($G$1="牵丝",$AJ7,$AH7)+IF($G$1="牵丝",$AK7*1.5,0))*(1+$BC7)*(1+$BD7)+(($BE7+$BF7)/2*IF($G$1="破竹",$AJ7,$AH7)+IF($G$1="破竹",$AK7*1.5,0))*(1+$BG7)*(1+$BH7))*(1+$AL7)*$P7*(1+IF(VLOOKUP($Q7,武学奇术!$A:$ZZ,30,FALSE)="蓄力技",#REF!,0))*(1+$BQ7)</f>
        <v>154114.416772975</v>
      </c>
      <c r="O7" s="38">
        <f>((($AN7*$AH7+$AI7)*(1+$AP7)*(1+$AQ7)+($AS7*IF($G$1="鸣金",$AJ7,$AH7)+IF($G$1="鸣金",$AK7*1.5,0))*(1+$AU7)*(1+$AV7)+($AW7*IF($G$1="裂石",$AJ7,$AH7)+IF($G$1="裂石",$AK7*1.5,0))*(1+$AY7)*(1+$AZ7)+($BA7*IF($G$1="牵丝",$AJ7,$AH7)+IF($G$1="牵丝",$AK7*1.5,0))*(1+$BC7)*(1+$BD7)+($BE7*IF($G$1="破竹",$AJ7,$AH7)+IF($G$1="破竹",$AK7*1.5,0))*(1+$BG7)*(1+$BH7))*(1+$AL7))*$P7*(1+IF(VLOOKUP($Q7,武学奇术!$A:$ZZ,30,FALSE)="蓄力技",#REF!,0))*(1+$BQ7)</f>
        <v>134305.058429682</v>
      </c>
      <c r="P7" s="39">
        <v>8</v>
      </c>
      <c r="Q7" s="40" t="s">
        <v>89</v>
      </c>
      <c r="R7" s="40" t="s">
        <v>71</v>
      </c>
      <c r="S7" s="40" t="s">
        <v>72</v>
      </c>
      <c r="T7" s="40" t="s">
        <v>73</v>
      </c>
      <c r="U7" s="40" t="s">
        <v>74</v>
      </c>
      <c r="V7" s="40" t="s">
        <v>75</v>
      </c>
      <c r="W7" s="40" t="s">
        <v>76</v>
      </c>
      <c r="X7" s="40" t="s">
        <v>77</v>
      </c>
      <c r="Y7" s="40" t="s">
        <v>78</v>
      </c>
      <c r="Z7" s="40" t="s">
        <v>98</v>
      </c>
      <c r="AA7" s="40" t="s">
        <v>68</v>
      </c>
      <c r="AB7" s="40" t="s">
        <v>76</v>
      </c>
      <c r="AC7" s="40" t="s">
        <v>76</v>
      </c>
      <c r="AD7" s="40" t="s">
        <v>76</v>
      </c>
      <c r="AE7" s="40" t="s">
        <v>80</v>
      </c>
      <c r="AF7" s="40" t="s">
        <v>81</v>
      </c>
      <c r="AG7" t="str">
        <f>VLOOKUP($Q7,武学奇术!$A:$ZZ,25,FALSE)</f>
        <v>单体奇术</v>
      </c>
      <c r="AH7" s="26">
        <f>VLOOKUP($Q7,武学奇术!$A:$ZZ,26,FALSE)</f>
        <v>1.024</v>
      </c>
      <c r="AI7" s="27">
        <f>VLOOKUP($Q7,武学奇术!$A:$ZZ,27,FALSE)*(1+IF(OR($AG7=$F$4,$AG7=$F$5),$B$21,0))</f>
        <v>203</v>
      </c>
      <c r="AJ7" s="26">
        <f>VLOOKUP($Q7,武学奇术!$A:$ZZ,28,FALSE)</f>
        <v>1.536</v>
      </c>
      <c r="AK7" s="27">
        <f>VLOOKUP($Q7,武学奇术!$A:$ZZ,29,FALSE)*(1+IF(OR($AG7=$F$4,$AG7=$F$5),$B$21,0))</f>
        <v>0</v>
      </c>
      <c r="AL7" s="26" cm="1">
        <f t="array" ref="AL7">$G$3+IFERROR(VLOOKUP($AG7,$F$4:$G$7,2,FALSE),0)+VLOOKUP($Q7,武学奇术!$A:$ZZ,2,FALSE)+SUM(_xlfn.XLOOKUP($R7:$AF7,增益!$A:$A,增益!$B:$B,0))</f>
        <v>0.8219</v>
      </c>
      <c r="AM7" s="26" cm="1">
        <f t="array" ref="AM7">VLOOKUP($Q7,武学奇术!$A:$ZZ,5,FALSE)+SUM(_xlfn.XLOOKUP($R7:$AF7,增益!$A:$A,增益!$E:$E,0))</f>
        <v>0.12</v>
      </c>
      <c r="AN7" cm="1">
        <f t="array" ref="AN7">$D$10*(1+$AM7)+VLOOKUP($Q7,武学奇术!$A:$ZZ,3,FALSE)+SUM(_xlfn.XLOOKUP($R7:$AF7,增益!$A:$A,增益!$C:$C,0))-$I$2</f>
        <v>4524.4</v>
      </c>
      <c r="AO7" cm="1">
        <f t="array" ref="AO7">$E$10*(1+$AM7)+VLOOKUP($Q7,武学奇术!$A:$ZZ,4,FALSE)+SUM(_xlfn.XLOOKUP($R7:$AF7,增益!$A:$A,增益!$D:$D,0))-$I$2</f>
        <v>4524.4</v>
      </c>
      <c r="AP7" s="32" cm="1">
        <f t="array" ref="AP7">IF($F$10-$I$3+VLOOKUP($Q7,武学奇术!$A:$ZZ,6,FALSE)+SUM(_xlfn.XLOOKUP(R7:AF7,增益!$A:$A,增益!$F:$F,0))&gt;0,($F$10-$I$3+VLOOKUP($Q7,武学奇术!$A:$ZZ,6,FALSE)+SUM(_xlfn.XLOOKUP(R7:AF7,增益!$A:$A,增益!$F:$F,0)))/200,($F$10-$I$3+VLOOKUP($Q7,武学奇术!$A:$ZZ,6,FALSE)+SUM(_xlfn.XLOOKUP(R7:AF7,增益!$A:$A,增益!$F:$F,0)))/100)</f>
        <v>0.344</v>
      </c>
      <c r="AQ7" s="32" cm="1">
        <f t="array" ref="AQ7">$G$10+VLOOKUP($Q7,武学奇术!$A:$ZZ,7,FALSE)+SUM(_xlfn.XLOOKUP(R7:AF7,增益!$A:$A,增益!$G:$G,0))</f>
        <v>0.04</v>
      </c>
      <c r="AR7" s="26" cm="1">
        <f t="array" ref="AR7">VLOOKUP($Q7,武学奇术!$A:$ZZ,8,FALSE)+SUM(_xlfn.XLOOKUP(R7:AF7,增益!$A:$A,增益!$H:$H,0))</f>
        <v>0.12</v>
      </c>
      <c r="AS7">
        <f t="shared" si="1"/>
        <v>0</v>
      </c>
      <c r="AT7">
        <f t="shared" si="2"/>
        <v>0</v>
      </c>
      <c r="AU7" s="32" cm="1">
        <f t="array" ref="AU7">IF($F$11-$I$4+VLOOKUP($Q7,武学奇术!$A:$ZZ,9,FALSE)+SUM(_xlfn.XLOOKUP(R7:AF7,增益!$A:$A,增益!$I:$I,0))&gt;0,($F$11-$I$4+VLOOKUP($Q7,武学奇术!$A:$ZZ,9,FALSE)+SUM(_xlfn.XLOOKUP(R7:AF7,增益!$A:$A,增益!$I:$I,0)))/200,($F$11-$I$4+VLOOKUP($Q7,武学奇术!$A:$ZZ,9,FALSE)+SUM(_xlfn.XLOOKUP(R7:AF7,增益!$A:$A,增益!$I:$I,0)))/100)</f>
        <v>-0.14</v>
      </c>
      <c r="AV7" s="32" cm="1">
        <f t="array" ref="AV7">$G$11+VLOOKUP($Q7,武学奇术!$A:$ZZ,10,FALSE)+SUM(_xlfn.XLOOKUP(R7:AF7,增益!$A:$A,增益!$J:$J,0))</f>
        <v>0.04</v>
      </c>
      <c r="AW7">
        <f t="shared" si="3"/>
        <v>0</v>
      </c>
      <c r="AX7">
        <f t="shared" si="4"/>
        <v>0</v>
      </c>
      <c r="AY7" s="32" cm="1">
        <f t="array" ref="AY7">IF($F$12-$I$4+VLOOKUP($Q7,武学奇术!$A:$ZZ,11,FALSE)+SUM(_xlfn.XLOOKUP(R7:AF7,增益!$A:$A,增益!$K:$K,0))&gt;0,($F$12-$I$4+VLOOKUP($Q7,武学奇术!$A:$ZZ,11,FALSE)+SUM(_xlfn.XLOOKUP(R7:AF7,增益!$A:$A,增益!$K:$K,0)))/200,($F$12-$I$4+VLOOKUP($Q7,武学奇术!$A:$ZZ,11,FALSE)+SUM(_xlfn.XLOOKUP(R7:AF7,增益!$A:$A,增益!$K:$K,0)))/100)</f>
        <v>-0.14</v>
      </c>
      <c r="AZ7" s="32" cm="1">
        <f t="array" ref="AZ7">$G$12+VLOOKUP($Q7,武学奇术!$A:$ZZ,12,FALSE)+SUM(_xlfn.XLOOKUP(R7:AF7,增益!$A:$A,增益!$L:$L,0))</f>
        <v>0.04</v>
      </c>
      <c r="BA7">
        <f t="shared" si="5"/>
        <v>781.088</v>
      </c>
      <c r="BB7">
        <f t="shared" si="6"/>
        <v>2021.6</v>
      </c>
      <c r="BC7" s="32" cm="1">
        <f t="array" ref="BC7">IF($F$13-$I$4+VLOOKUP($Q7,武学奇术!$A:$ZZ,13,FALSE)+SUM(_xlfn.XLOOKUP(R7:AF7,增益!$A:$A,增益!$M:$M,0))&gt;0,($F$13-$I$4+VLOOKUP($Q7,武学奇术!$A:$ZZ,13,FALSE)+SUM(_xlfn.XLOOKUP(R7:AF7,增益!$A:$A,增益!$K:$K,0)))/200,($F$13-$I$4+VLOOKUP($Q7,武学奇术!$A:$ZZ,13,FALSE)+SUM(_xlfn.XLOOKUP(R7:AF7,增益!$A:$A,增益!$M:$M,0)))/100)</f>
        <v>0.08</v>
      </c>
      <c r="BD7" s="32" cm="1">
        <f t="array" ref="BD7">$G$13+VLOOKUP($Q7,武学奇术!$A:$ZZ,14,FALSE)+SUM(_xlfn.XLOOKUP(R7:AF7,增益!$A:$A,增益!$N:$N,0))</f>
        <v>0.19</v>
      </c>
      <c r="BE7">
        <f t="shared" si="7"/>
        <v>0</v>
      </c>
      <c r="BF7">
        <f t="shared" si="8"/>
        <v>0</v>
      </c>
      <c r="BG7" s="32" cm="1">
        <f t="array" ref="BG7">IF($F$14-$I$4+VLOOKUP($Q7,武学奇术!$A:$ZZ,15,FALSE)+SUM(_xlfn.XLOOKUP(R7:AF7,增益!$A:$A,增益!$O:$O,0))&gt;0,($F$14-$I$4+VLOOKUP($Q7,武学奇术!$A:$ZZ,15,FALSE)+SUM(_xlfn.XLOOKUP(R7:AF7,增益!$A:$A,增益!$O:$O,0)))/200,($F$14-$I$4+VLOOKUP($Q7,武学奇术!$A:$ZZ,15,FALSE)+SUM(_xlfn.XLOOKUP(R7:AF7,增益!$A:$A,增益!$O:$O,0)))/100)</f>
        <v>-0.14</v>
      </c>
      <c r="BH7" s="32" cm="1">
        <f t="array" ref="BH7">$G$14+VLOOKUP($Q7,武学奇术!$A:$ZZ,16,FALSE)+SUM(_xlfn.XLOOKUP(R7:AF7,增益!$A:$A,增益!$P:$P,0))</f>
        <v>0.04</v>
      </c>
      <c r="BI7" s="26">
        <f>MIN(IF(VLOOKUP($Q7,武学奇术!$A:$ZZ,23,FALSE)=1,100%,$B$8),100%)</f>
        <v>1</v>
      </c>
      <c r="BJ7" s="26" cm="1">
        <f t="array" ref="BJ7">IF(VLOOKUP($Q7,武学奇术!$A:$ZZ,23,FALSE)=1,100%,MIN(80%,$B$9+VLOOKUP($Q7,武学奇术!$A:$ZZ,17,FALSE)+SUM(_xlfn.XLOOKUP(R7:AF7,增益!$A:$A,增益!$Q:$Q,0)))+$B$11+SUM(_xlfn.XLOOKUP(R7:AF7,增益!$A:$A,增益!$U:$U,0)))*IF(VLOOKUP($Q7,武学奇术!$A:$ZZ,24,FALSE)=1,0,1)</f>
        <v>0.892</v>
      </c>
      <c r="BK7" s="26" cm="1">
        <f t="array" ref="BK7">1+$B$13+VLOOKUP($Q7,武学奇术!$A:$ZZ,18,FALSE)+SUM(_xlfn.XLOOKUP(R7:AF7,增益!$A:$A,增益!$R:$R,0))</f>
        <v>1.75</v>
      </c>
      <c r="BL7" s="26" cm="1">
        <f t="array" ref="BL7">IF(VLOOKUP($Q7,武学奇术!$A:$ZZ,24,FALSE)=1,100%,MIN(40%,$B$10+VLOOKUP($Q7,武学奇术!$A:$ZZ,19,FALSE)+SUM(_xlfn.XLOOKUP(R7:AF7,增益!$A:$A,增益!$S:$S,0)))+$B$12+SUM(_xlfn.XLOOKUP(R7:AF7,增益!$A:$A,增益!$V:$V,0)))*IF(VLOOKUP($Q7,武学奇术!$A:$ZZ,23,FALSE)=1,0,1)</f>
        <v>0.0913</v>
      </c>
      <c r="BM7" s="26" cm="1">
        <f t="array" ref="BM7">1+$B$14+VLOOKUP($Q7,武学奇术!$A:$ZZ,20,FALSE)+SUM(_xlfn.XLOOKUP(R7:AF7,增益!$A:$A,增益!$T:$T,0))</f>
        <v>1.35</v>
      </c>
      <c r="BN7" s="26">
        <f t="shared" si="9"/>
        <v>0.892</v>
      </c>
      <c r="BO7" s="26">
        <f t="shared" si="10"/>
        <v>0.0166999999999999</v>
      </c>
      <c r="BP7" s="26">
        <f>IF(VLOOKUP($Q7,武学奇术!$A:$ZZ,22,FALSE)=1,0,(1-$BI7))*(1-$BL7)</f>
        <v>0</v>
      </c>
      <c r="BQ7" s="26" cm="1">
        <f t="array" ref="BQ7">SUM(_xlfn.XLOOKUP(R7:AF7,增益!$A:$A,增益!$W:$W,0))+$I$5</f>
        <v>0.11</v>
      </c>
    </row>
    <row r="8" spans="1:69">
      <c r="A8" s="65" t="s">
        <v>99</v>
      </c>
      <c r="B8" s="66">
        <v>1.0029</v>
      </c>
      <c r="C8" s="36" t="s">
        <v>100</v>
      </c>
      <c r="D8" s="67"/>
      <c r="E8" s="67"/>
      <c r="F8" s="67"/>
      <c r="G8" s="37"/>
      <c r="H8" s="68" t="s">
        <v>101</v>
      </c>
      <c r="I8" s="20">
        <v>15</v>
      </c>
      <c r="J8" s="69"/>
      <c r="K8" s="38">
        <f t="shared" si="0"/>
        <v>158654.191278612</v>
      </c>
      <c r="L8" s="38">
        <f>((($AN8+$AO8)/2*$AH8+$AI8)*(1+$AP8)*(1+$AQ8)+(($AS8+$AT8)/2*IF($G$1="鸣金",$AJ8,$AH8)+IF($G$1="鸣金",$AK8*1.5,0))*(1+$AU8)*(1+$AV8)+(($AW8+$AX8)/2*IF($G$1="裂石",$AJ8,$AH8)+IF($G$1="裂石",$AK8*1.5,0))*(1+$AY8)*(1+$AZ8)+(($BA8+$BB8)/2*IF($G$1="牵丝",$AJ8,$AH8)+IF($G$1="牵丝",$AK8*1.5,0))*(1+$BC8)*(1+$BD8)+(($BE8+$BF8)/2*IF($G$1="破竹",$AJ8,$AH8)+IF($G$1="破竹",$AK8*1.5,0))*(1+$BG8)*(1+$BH8))*(1+$AL8)*$BK8*$P8*(1+IF(VLOOKUP($Q8,武学奇术!$A:$ZZ,30,FALSE)="蓄力技",#REF!,0))*(1+$BQ8)</f>
        <v>161722.591667326</v>
      </c>
      <c r="M8" s="38">
        <f>(($AO8*$AH8+$AI8)*(1+$AP8)*(1+$AQ8)+($AT8*IF($G$1="鸣金",$AJ8,$AH8)+IF($G$1="鸣金",$AK8*1.5,0))*(1+$AU8)*(1+$AV8)+($AX8*IF($G$1="裂石",$AJ8,$AH8)+IF($G$1="裂石",$AK8*1.5,0))*(1+$AY8)*(1+$AZ8)+($BB8*IF($G$1="牵丝",$AJ8,$AH8)+IF($G$1="牵丝",$AK8*1.5,0))*(1+$BC8)*(1+$BD8)+($BF8*IF($G$1="破竹",$AJ8,$AH8)+IF($G$1="破竹",$AK8*1.5,0))*(1+$BG8)*(1+$BH8))*(1+$AL8)*$BM8*$P8*(1+IF(VLOOKUP($Q8,武学奇术!$A:$ZZ,30,FALSE)="蓄力技",#REF!,0))*(1+$BQ8)</f>
        <v>140792.375928839</v>
      </c>
      <c r="N8" s="38">
        <f>((($AN8+$AO8)/2*$AH8+$AI8)*(1+$AP8)*(1+$AQ8)+(($AS8+$AT8)/2*IF($G$1="鸣金",$AJ8,$AH8)+IF($G$1="鸣金",$AK8*1.5,0))*(1+$AU8)*(1+$AV8)+(($AW8+$AX8)/2*IF($G$1="裂石",$AJ8,$AH8)+IF($G$1="裂石",$AK8*1.5,0))*(1+$AY8)*(1+$AZ8)+(($BA8+$BB8)/2*IF($G$1="牵丝",$AJ8,$AH8)+IF($G$1="牵丝",$AK8*1.5,0))*(1+$BC8)*(1+$BD8)+(($BE8+$BF8)/2*IF($G$1="破竹",$AJ8,$AH8)+IF($G$1="破竹",$AK8*1.5,0))*(1+$BG8)*(1+$BH8))*(1+$AL8)*$P8*(1+IF(VLOOKUP($Q8,武学奇术!$A:$ZZ,30,FALSE)="蓄力技",#REF!,0))*(1+$BQ8)</f>
        <v>92412.9095241863</v>
      </c>
      <c r="O8" s="38">
        <f>((($AN8*$AH8+$AI8)*(1+$AP8)*(1+$AQ8)+($AS8*IF($G$1="鸣金",$AJ8,$AH8)+IF($G$1="鸣金",$AK8*1.5,0))*(1+$AU8)*(1+$AV8)+($AW8*IF($G$1="裂石",$AJ8,$AH8)+IF($G$1="裂石",$AK8*1.5,0))*(1+$AY8)*(1+$AZ8)+($BA8*IF($G$1="牵丝",$AJ8,$AH8)+IF($G$1="牵丝",$AK8*1.5,0))*(1+$BC8)*(1+$BD8)+($BE8*IF($G$1="破竹",$AJ8,$AH8)+IF($G$1="破竹",$AK8*1.5,0))*(1+$BG8)*(1+$BH8))*(1+$AL8))*$P8*(1+IF(VLOOKUP($Q8,武学奇术!$A:$ZZ,30,FALSE)="蓄力技",#REF!,0))*(1+$BQ8)</f>
        <v>80535.1702121959</v>
      </c>
      <c r="P8" s="39">
        <v>2</v>
      </c>
      <c r="Q8" s="40" t="s">
        <v>92</v>
      </c>
      <c r="R8" s="40" t="s">
        <v>71</v>
      </c>
      <c r="S8" s="40" t="s">
        <v>72</v>
      </c>
      <c r="T8" s="40" t="s">
        <v>73</v>
      </c>
      <c r="U8" s="40" t="s">
        <v>74</v>
      </c>
      <c r="V8" s="40" t="s">
        <v>75</v>
      </c>
      <c r="W8" s="40" t="s">
        <v>76</v>
      </c>
      <c r="X8" s="40" t="s">
        <v>77</v>
      </c>
      <c r="Y8" s="40" t="s">
        <v>78</v>
      </c>
      <c r="Z8" s="40" t="s">
        <v>98</v>
      </c>
      <c r="AA8" s="40" t="s">
        <v>68</v>
      </c>
      <c r="AB8" s="40" t="s">
        <v>76</v>
      </c>
      <c r="AC8" s="40" t="s">
        <v>76</v>
      </c>
      <c r="AD8" s="40" t="s">
        <v>76</v>
      </c>
      <c r="AE8" s="40" t="s">
        <v>80</v>
      </c>
      <c r="AF8" s="40" t="s">
        <v>81</v>
      </c>
      <c r="AG8" t="str">
        <f>VLOOKUP($Q8,武学奇术!$A:$ZZ,25,FALSE)</f>
        <v>单体奇术</v>
      </c>
      <c r="AH8" s="26">
        <f>VLOOKUP($Q8,武学奇术!$A:$ZZ,26,FALSE)</f>
        <v>1.7066</v>
      </c>
      <c r="AI8" s="27">
        <f>VLOOKUP($Q8,武学奇术!$A:$ZZ,27,FALSE)*(1+IF(OR($AG8=$F$4,$AG8=$F$5),$B$21,0))</f>
        <v>339</v>
      </c>
      <c r="AJ8" s="26">
        <f>VLOOKUP($Q8,武学奇术!$A:$ZZ,28,FALSE)</f>
        <v>2.5599</v>
      </c>
      <c r="AK8" s="27">
        <f>VLOOKUP($Q8,武学奇术!$A:$ZZ,29,FALSE)*(1+IF(OR($AG8=$F$4,$AG8=$F$5),$B$21,0))</f>
        <v>0</v>
      </c>
      <c r="AL8" s="26" cm="1">
        <f t="array" ref="AL8">$G$3+IFERROR(VLOOKUP($AG8,$F$4:$G$7,2,FALSE),0)+VLOOKUP($Q8,武学奇术!$A:$ZZ,2,FALSE)+SUM(_xlfn.XLOOKUP($R8:$AF8,增益!$A:$A,增益!$B:$B,0))</f>
        <v>1.6219</v>
      </c>
      <c r="AM8" s="26" cm="1">
        <f t="array" ref="AM8">VLOOKUP($Q8,武学奇术!$A:$ZZ,5,FALSE)+SUM(_xlfn.XLOOKUP($R8:$AF8,增益!$A:$A,增益!$E:$E,0))</f>
        <v>0.12</v>
      </c>
      <c r="AN8" cm="1">
        <f t="array" ref="AN8">$D$10*(1+$AM8)+VLOOKUP($Q8,武学奇术!$A:$ZZ,3,FALSE)+SUM(_xlfn.XLOOKUP($R8:$AF8,增益!$A:$A,增益!$C:$C,0))-$I$2</f>
        <v>4524.4</v>
      </c>
      <c r="AO8" cm="1">
        <f t="array" ref="AO8">$E$10*(1+$AM8)+VLOOKUP($Q8,武学奇术!$A:$ZZ,4,FALSE)+SUM(_xlfn.XLOOKUP($R8:$AF8,增益!$A:$A,增益!$D:$D,0))-$I$2</f>
        <v>4524.4</v>
      </c>
      <c r="AP8" s="32" cm="1">
        <f t="array" ref="AP8">IF($F$10-$I$3+VLOOKUP($Q8,武学奇术!$A:$ZZ,6,FALSE)+SUM(_xlfn.XLOOKUP(R8:AF8,增益!$A:$A,增益!$F:$F,0))&gt;0,($F$10-$I$3+VLOOKUP($Q8,武学奇术!$A:$ZZ,6,FALSE)+SUM(_xlfn.XLOOKUP(R8:AF8,增益!$A:$A,增益!$F:$F,0)))/200,($F$10-$I$3+VLOOKUP($Q8,武学奇术!$A:$ZZ,6,FALSE)+SUM(_xlfn.XLOOKUP(R8:AF8,增益!$A:$A,增益!$F:$F,0)))/100)</f>
        <v>0.344</v>
      </c>
      <c r="AQ8" s="32" cm="1">
        <f t="array" ref="AQ8">$G$10+VLOOKUP($Q8,武学奇术!$A:$ZZ,7,FALSE)+SUM(_xlfn.XLOOKUP(R8:AF8,增益!$A:$A,增益!$G:$G,0))</f>
        <v>0.04</v>
      </c>
      <c r="AR8" s="26" cm="1">
        <f t="array" ref="AR8">VLOOKUP($Q8,武学奇术!$A:$ZZ,8,FALSE)+SUM(_xlfn.XLOOKUP(R8:AF8,增益!$A:$A,增益!$H:$H,0))</f>
        <v>0.12</v>
      </c>
      <c r="AS8">
        <f t="shared" si="1"/>
        <v>0</v>
      </c>
      <c r="AT8">
        <f t="shared" si="2"/>
        <v>0</v>
      </c>
      <c r="AU8" s="32" cm="1">
        <f t="array" ref="AU8">IF($F$11-$I$4+VLOOKUP($Q8,武学奇术!$A:$ZZ,9,FALSE)+SUM(_xlfn.XLOOKUP(R8:AF8,增益!$A:$A,增益!$I:$I,0))&gt;0,($F$11-$I$4+VLOOKUP($Q8,武学奇术!$A:$ZZ,9,FALSE)+SUM(_xlfn.XLOOKUP(R8:AF8,增益!$A:$A,增益!$I:$I,0)))/200,($F$11-$I$4+VLOOKUP($Q8,武学奇术!$A:$ZZ,9,FALSE)+SUM(_xlfn.XLOOKUP(R8:AF8,增益!$A:$A,增益!$I:$I,0)))/100)</f>
        <v>-0.14</v>
      </c>
      <c r="AV8" s="32" cm="1">
        <f t="array" ref="AV8">$G$11+VLOOKUP($Q8,武学奇术!$A:$ZZ,10,FALSE)+SUM(_xlfn.XLOOKUP(R8:AF8,增益!$A:$A,增益!$J:$J,0))</f>
        <v>0.04</v>
      </c>
      <c r="AW8">
        <f t="shared" si="3"/>
        <v>0</v>
      </c>
      <c r="AX8">
        <f t="shared" si="4"/>
        <v>0</v>
      </c>
      <c r="AY8" s="32" cm="1">
        <f t="array" ref="AY8">IF($F$12-$I$4+VLOOKUP($Q8,武学奇术!$A:$ZZ,11,FALSE)+SUM(_xlfn.XLOOKUP(R8:AF8,增益!$A:$A,增益!$K:$K,0))&gt;0,($F$12-$I$4+VLOOKUP($Q8,武学奇术!$A:$ZZ,11,FALSE)+SUM(_xlfn.XLOOKUP(R8:AF8,增益!$A:$A,增益!$K:$K,0)))/200,($F$12-$I$4+VLOOKUP($Q8,武学奇术!$A:$ZZ,11,FALSE)+SUM(_xlfn.XLOOKUP(R8:AF8,增益!$A:$A,增益!$K:$K,0)))/100)</f>
        <v>-0.14</v>
      </c>
      <c r="AZ8" s="32" cm="1">
        <f t="array" ref="AZ8">$G$12+VLOOKUP($Q8,武学奇术!$A:$ZZ,12,FALSE)+SUM(_xlfn.XLOOKUP(R8:AF8,增益!$A:$A,增益!$L:$L,0))</f>
        <v>0.04</v>
      </c>
      <c r="BA8">
        <f t="shared" si="5"/>
        <v>781.088</v>
      </c>
      <c r="BB8">
        <f t="shared" si="6"/>
        <v>2021.6</v>
      </c>
      <c r="BC8" s="32" cm="1">
        <f t="array" ref="BC8">IF($F$13-$I$4+VLOOKUP($Q8,武学奇术!$A:$ZZ,13,FALSE)+SUM(_xlfn.XLOOKUP(R8:AF8,增益!$A:$A,增益!$M:$M,0))&gt;0,($F$13-$I$4+VLOOKUP($Q8,武学奇术!$A:$ZZ,13,FALSE)+SUM(_xlfn.XLOOKUP(R8:AF8,增益!$A:$A,增益!$K:$K,0)))/200,($F$13-$I$4+VLOOKUP($Q8,武学奇术!$A:$ZZ,13,FALSE)+SUM(_xlfn.XLOOKUP(R8:AF8,增益!$A:$A,增益!$M:$M,0)))/100)</f>
        <v>0.08</v>
      </c>
      <c r="BD8" s="32" cm="1">
        <f t="array" ref="BD8">$G$13+VLOOKUP($Q8,武学奇术!$A:$ZZ,14,FALSE)+SUM(_xlfn.XLOOKUP(R8:AF8,增益!$A:$A,增益!$N:$N,0))</f>
        <v>0.19</v>
      </c>
      <c r="BE8">
        <f t="shared" si="7"/>
        <v>0</v>
      </c>
      <c r="BF8">
        <f t="shared" si="8"/>
        <v>0</v>
      </c>
      <c r="BG8" s="32" cm="1">
        <f t="array" ref="BG8">IF($F$14-$I$4+VLOOKUP($Q8,武学奇术!$A:$ZZ,15,FALSE)+SUM(_xlfn.XLOOKUP(R8:AF8,增益!$A:$A,增益!$O:$O,0))&gt;0,($F$14-$I$4+VLOOKUP($Q8,武学奇术!$A:$ZZ,15,FALSE)+SUM(_xlfn.XLOOKUP(R8:AF8,增益!$A:$A,增益!$O:$O,0)))/200,($F$14-$I$4+VLOOKUP($Q8,武学奇术!$A:$ZZ,15,FALSE)+SUM(_xlfn.XLOOKUP(R8:AF8,增益!$A:$A,增益!$O:$O,0)))/100)</f>
        <v>-0.14</v>
      </c>
      <c r="BH8" s="32" cm="1">
        <f t="array" ref="BH8">$G$14+VLOOKUP($Q8,武学奇术!$A:$ZZ,16,FALSE)+SUM(_xlfn.XLOOKUP(R8:AF8,增益!$A:$A,增益!$P:$P,0))</f>
        <v>0.04</v>
      </c>
      <c r="BI8" s="26">
        <f>MIN(IF(VLOOKUP($Q8,武学奇术!$A:$ZZ,23,FALSE)=1,100%,$B$8),100%)</f>
        <v>1</v>
      </c>
      <c r="BJ8" s="26" cm="1">
        <f t="array" ref="BJ8">IF(VLOOKUP($Q8,武学奇术!$A:$ZZ,23,FALSE)=1,100%,MIN(80%,$B$9+VLOOKUP($Q8,武学奇术!$A:$ZZ,17,FALSE)+SUM(_xlfn.XLOOKUP(R8:AF8,增益!$A:$A,增益!$Q:$Q,0)))+$B$11+SUM(_xlfn.XLOOKUP(R8:AF8,增益!$A:$A,增益!$U:$U,0)))*IF(VLOOKUP($Q8,武学奇术!$A:$ZZ,24,FALSE)=1,0,1)</f>
        <v>0.892</v>
      </c>
      <c r="BK8" s="26" cm="1">
        <f t="array" ref="BK8">1+$B$13+VLOOKUP($Q8,武学奇术!$A:$ZZ,18,FALSE)+SUM(_xlfn.XLOOKUP(R8:AF8,增益!$A:$A,增益!$R:$R,0))</f>
        <v>1.75</v>
      </c>
      <c r="BL8" s="26" cm="1">
        <f t="array" ref="BL8">IF(VLOOKUP($Q8,武学奇术!$A:$ZZ,24,FALSE)=1,100%,MIN(40%,$B$10+VLOOKUP($Q8,武学奇术!$A:$ZZ,19,FALSE)+SUM(_xlfn.XLOOKUP(R8:AF8,增益!$A:$A,增益!$S:$S,0)))+$B$12+SUM(_xlfn.XLOOKUP(R8:AF8,增益!$A:$A,增益!$V:$V,0)))*IF(VLOOKUP($Q8,武学奇术!$A:$ZZ,23,FALSE)=1,0,1)</f>
        <v>0.0913</v>
      </c>
      <c r="BM8" s="26" cm="1">
        <f t="array" ref="BM8">1+$B$14+VLOOKUP($Q8,武学奇术!$A:$ZZ,20,FALSE)+SUM(_xlfn.XLOOKUP(R8:AF8,增益!$A:$A,增益!$T:$T,0))</f>
        <v>1.35</v>
      </c>
      <c r="BN8" s="26">
        <f t="shared" si="9"/>
        <v>0.892</v>
      </c>
      <c r="BO8" s="26">
        <f t="shared" si="10"/>
        <v>0.0166999999999999</v>
      </c>
      <c r="BP8" s="26">
        <f>IF(VLOOKUP($Q8,武学奇术!$A:$ZZ,22,FALSE)=1,0,(1-$BI8))*(1-$BL8)</f>
        <v>0</v>
      </c>
      <c r="BQ8" s="26" cm="1">
        <f t="array" ref="BQ8">SUM(_xlfn.XLOOKUP(R8:AF8,增益!$A:$A,增益!$W:$W,0))+$I$5</f>
        <v>0.11</v>
      </c>
    </row>
    <row r="9" ht="14.25" spans="1:69">
      <c r="A9" s="41" t="s">
        <v>102</v>
      </c>
      <c r="B9" s="70">
        <v>0.7705</v>
      </c>
      <c r="C9" s="45"/>
      <c r="D9" t="s">
        <v>0</v>
      </c>
      <c r="E9" t="s">
        <v>1</v>
      </c>
      <c r="F9" s="39" t="s">
        <v>2</v>
      </c>
      <c r="G9" s="44" t="s">
        <v>3</v>
      </c>
      <c r="H9" s="71"/>
      <c r="I9" s="22"/>
      <c r="J9" s="72"/>
      <c r="K9" s="38">
        <f t="shared" si="0"/>
        <v>519703.743867252</v>
      </c>
      <c r="L9" s="38">
        <f>((($AN9+$AO9)/2*$AH9+$AI9)*(1+$AP9)*(1+$AQ9)+(($AS9+$AT9)/2*IF($G$1="鸣金",$AJ9,$AH9)+IF($G$1="鸣金",$AK9*1.5,0))*(1+$AU9)*(1+$AV9)+(($AW9+$AX9)/2*IF($G$1="裂石",$AJ9,$AH9)+IF($G$1="裂石",$AK9*1.5,0))*(1+$AY9)*(1+$AZ9)+(($BA9+$BB9)/2*IF($G$1="牵丝",$AJ9,$AH9)+IF($G$1="牵丝",$AK9*1.5,0))*(1+$BC9)*(1+$BD9)+(($BE9+$BF9)/2*IF($G$1="破竹",$AJ9,$AH9)+IF($G$1="破竹",$AK9*1.5,0))*(1+$BG9)*(1+$BH9))*(1+$AL9)*$BK9*$P9*(1+IF(VLOOKUP($Q9,武学奇术!$A:$ZZ,30,FALSE)="蓄力技",#REF!,0))*(1+$BQ9)</f>
        <v>529754.618339624</v>
      </c>
      <c r="M9" s="38">
        <f>(($AO9*$AH9+$AI9)*(1+$AP9)*(1+$AQ9)+($AT9*IF($G$1="鸣金",$AJ9,$AH9)+IF($G$1="鸣金",$AK9*1.5,0))*(1+$AU9)*(1+$AV9)+($AX9*IF($G$1="裂石",$AJ9,$AH9)+IF($G$1="裂石",$AK9*1.5,0))*(1+$AY9)*(1+$AZ9)+($BB9*IF($G$1="牵丝",$AJ9,$AH9)+IF($G$1="牵丝",$AK9*1.5,0))*(1+$BC9)*(1+$BD9)+($BF9*IF($G$1="破竹",$AJ9,$AH9)+IF($G$1="破竹",$AK9*1.5,0))*(1+$BG9)*(1+$BH9))*(1+$AL9)*$BM9*$P9*(1+IF(VLOOKUP($Q9,武学奇术!$A:$ZZ,30,FALSE)="蓄力技",#REF!,0))*(1+$BQ9)</f>
        <v>461196.622833767</v>
      </c>
      <c r="N9" s="38">
        <f>((($AN9+$AO9)/2*$AH9+$AI9)*(1+$AP9)*(1+$AQ9)+(($AS9+$AT9)/2*IF($G$1="鸣金",$AJ9,$AH9)+IF($G$1="鸣金",$AK9*1.5,0))*(1+$AU9)*(1+$AV9)+(($AW9+$AX9)/2*IF($G$1="裂石",$AJ9,$AH9)+IF($G$1="裂石",$AK9*1.5,0))*(1+$AY9)*(1+$AZ9)+(($BA9+$BB9)/2*IF($G$1="牵丝",$AJ9,$AH9)+IF($G$1="牵丝",$AK9*1.5,0))*(1+$BC9)*(1+$BD9)+(($BE9+$BF9)/2*IF($G$1="破竹",$AJ9,$AH9)+IF($G$1="破竹",$AK9*1.5,0))*(1+$BG9)*(1+$BH9))*(1+$AL9)*$P9*(1+IF(VLOOKUP($Q9,武学奇术!$A:$ZZ,30,FALSE)="蓄力技",#REF!,0))*(1+$BQ9)</f>
        <v>302716.9247655</v>
      </c>
      <c r="O9" s="38">
        <f>((($AN9*$AH9+$AI9)*(1+$AP9)*(1+$AQ9)+($AS9*IF($G$1="鸣金",$AJ9,$AH9)+IF($G$1="鸣金",$AK9*1.5,0))*(1+$AU9)*(1+$AV9)+($AW9*IF($G$1="裂石",$AJ9,$AH9)+IF($G$1="裂石",$AK9*1.5,0))*(1+$AY9)*(1+$AZ9)+($BA9*IF($G$1="牵丝",$AJ9,$AH9)+IF($G$1="牵丝",$AK9*1.5,0))*(1+$BC9)*(1+$BD9)+($BE9*IF($G$1="破竹",$AJ9,$AH9)+IF($G$1="破竹",$AK9*1.5,0))*(1+$BG9)*(1+$BH9))*(1+$AL9))*$P9*(1+IF(VLOOKUP($Q9,武学奇术!$A:$ZZ,30,FALSE)="蓄力技",#REF!,0))*(1+$BQ9)</f>
        <v>263806.721505986</v>
      </c>
      <c r="P9" s="39">
        <v>10</v>
      </c>
      <c r="Q9" s="40" t="s">
        <v>95</v>
      </c>
      <c r="R9" s="40" t="s">
        <v>71</v>
      </c>
      <c r="S9" s="40" t="s">
        <v>72</v>
      </c>
      <c r="T9" s="40" t="s">
        <v>73</v>
      </c>
      <c r="U9" s="40" t="s">
        <v>74</v>
      </c>
      <c r="V9" s="40" t="s">
        <v>75</v>
      </c>
      <c r="W9" s="40" t="s">
        <v>76</v>
      </c>
      <c r="X9" s="40" t="s">
        <v>77</v>
      </c>
      <c r="Y9" s="40" t="s">
        <v>78</v>
      </c>
      <c r="Z9" s="40" t="s">
        <v>98</v>
      </c>
      <c r="AA9" s="40" t="s">
        <v>68</v>
      </c>
      <c r="AB9" s="40" t="s">
        <v>76</v>
      </c>
      <c r="AC9" s="40" t="s">
        <v>76</v>
      </c>
      <c r="AD9" s="40" t="s">
        <v>76</v>
      </c>
      <c r="AE9" s="40" t="s">
        <v>80</v>
      </c>
      <c r="AF9" s="40" t="s">
        <v>81</v>
      </c>
      <c r="AG9" t="str">
        <f>VLOOKUP($Q9,武学奇术!$A:$ZZ,25,FALSE)</f>
        <v>单体奇术</v>
      </c>
      <c r="AH9" s="26">
        <f>VLOOKUP($Q9,武学奇术!$A:$ZZ,26,FALSE)</f>
        <v>1.6091</v>
      </c>
      <c r="AI9" s="27">
        <f>VLOOKUP($Q9,武学奇术!$A:$ZZ,27,FALSE)*(1+IF(OR($AG9=$F$4,$AG9=$F$5),$B$21,0))</f>
        <v>319</v>
      </c>
      <c r="AJ9" s="26">
        <f>VLOOKUP($Q9,武学奇术!$A:$ZZ,28,FALSE)</f>
        <v>2.41365</v>
      </c>
      <c r="AK9" s="27">
        <f>VLOOKUP($Q9,武学奇术!$A:$ZZ,29,FALSE)*(1+IF(OR($AG9=$F$4,$AG9=$F$5),$B$21,0))</f>
        <v>0</v>
      </c>
      <c r="AL9" s="26" cm="1">
        <f t="array" ref="AL9">$G$3+IFERROR(VLOOKUP($AG9,$F$4:$G$7,2,FALSE),0)+VLOOKUP($Q9,武学奇术!$A:$ZZ,2,FALSE)+SUM(_xlfn.XLOOKUP($R9:$AF9,增益!$A:$A,增益!$B:$B,0))</f>
        <v>0.8219</v>
      </c>
      <c r="AM9" s="26" cm="1">
        <f t="array" ref="AM9">VLOOKUP($Q9,武学奇术!$A:$ZZ,5,FALSE)+SUM(_xlfn.XLOOKUP($R9:$AF9,增益!$A:$A,增益!$E:$E,0))</f>
        <v>0.12</v>
      </c>
      <c r="AN9" cm="1">
        <f t="array" ref="AN9">$D$10*(1+$AM9)+VLOOKUP($Q9,武学奇术!$A:$ZZ,3,FALSE)+SUM(_xlfn.XLOOKUP($R9:$AF9,增益!$A:$A,增益!$C:$C,0))-$I$2</f>
        <v>4524.4</v>
      </c>
      <c r="AO9" cm="1">
        <f t="array" ref="AO9">$E$10*(1+$AM9)+VLOOKUP($Q9,武学奇术!$A:$ZZ,4,FALSE)+SUM(_xlfn.XLOOKUP($R9:$AF9,增益!$A:$A,增益!$D:$D,0))-$I$2</f>
        <v>4524.4</v>
      </c>
      <c r="AP9" s="32" cm="1">
        <f t="array" ref="AP9">IF($F$10-$I$3+VLOOKUP($Q9,武学奇术!$A:$ZZ,6,FALSE)+SUM(_xlfn.XLOOKUP(R9:AF9,增益!$A:$A,增益!$F:$F,0))&gt;0,($F$10-$I$3+VLOOKUP($Q9,武学奇术!$A:$ZZ,6,FALSE)+SUM(_xlfn.XLOOKUP(R9:AF9,增益!$A:$A,增益!$F:$F,0)))/200,($F$10-$I$3+VLOOKUP($Q9,武学奇术!$A:$ZZ,6,FALSE)+SUM(_xlfn.XLOOKUP(R9:AF9,增益!$A:$A,增益!$F:$F,0)))/100)</f>
        <v>0.344</v>
      </c>
      <c r="AQ9" s="32" cm="1">
        <f t="array" ref="AQ9">$G$10+VLOOKUP($Q9,武学奇术!$A:$ZZ,7,FALSE)+SUM(_xlfn.XLOOKUP(R9:AF9,增益!$A:$A,增益!$G:$G,0))</f>
        <v>0.04</v>
      </c>
      <c r="AR9" s="26" cm="1">
        <f t="array" ref="AR9">VLOOKUP($Q9,武学奇术!$A:$ZZ,8,FALSE)+SUM(_xlfn.XLOOKUP(R9:AF9,增益!$A:$A,增益!$H:$H,0))</f>
        <v>0.12</v>
      </c>
      <c r="AS9">
        <f t="shared" si="1"/>
        <v>0</v>
      </c>
      <c r="AT9">
        <f t="shared" si="2"/>
        <v>0</v>
      </c>
      <c r="AU9" s="32" cm="1">
        <f t="array" ref="AU9">IF($F$11-$I$4+VLOOKUP($Q9,武学奇术!$A:$ZZ,9,FALSE)+SUM(_xlfn.XLOOKUP(R9:AF9,增益!$A:$A,增益!$I:$I,0))&gt;0,($F$11-$I$4+VLOOKUP($Q9,武学奇术!$A:$ZZ,9,FALSE)+SUM(_xlfn.XLOOKUP(R9:AF9,增益!$A:$A,增益!$I:$I,0)))/200,($F$11-$I$4+VLOOKUP($Q9,武学奇术!$A:$ZZ,9,FALSE)+SUM(_xlfn.XLOOKUP(R9:AF9,增益!$A:$A,增益!$I:$I,0)))/100)</f>
        <v>-0.14</v>
      </c>
      <c r="AV9" s="32" cm="1">
        <f t="array" ref="AV9">$G$11+VLOOKUP($Q9,武学奇术!$A:$ZZ,10,FALSE)+SUM(_xlfn.XLOOKUP(R9:AF9,增益!$A:$A,增益!$J:$J,0))</f>
        <v>0.04</v>
      </c>
      <c r="AW9">
        <f t="shared" si="3"/>
        <v>0</v>
      </c>
      <c r="AX9">
        <f t="shared" si="4"/>
        <v>0</v>
      </c>
      <c r="AY9" s="32" cm="1">
        <f t="array" ref="AY9">IF($F$12-$I$4+VLOOKUP($Q9,武学奇术!$A:$ZZ,11,FALSE)+SUM(_xlfn.XLOOKUP(R9:AF9,增益!$A:$A,增益!$K:$K,0))&gt;0,($F$12-$I$4+VLOOKUP($Q9,武学奇术!$A:$ZZ,11,FALSE)+SUM(_xlfn.XLOOKUP(R9:AF9,增益!$A:$A,增益!$K:$K,0)))/200,($F$12-$I$4+VLOOKUP($Q9,武学奇术!$A:$ZZ,11,FALSE)+SUM(_xlfn.XLOOKUP(R9:AF9,增益!$A:$A,增益!$K:$K,0)))/100)</f>
        <v>-0.14</v>
      </c>
      <c r="AZ9" s="32" cm="1">
        <f t="array" ref="AZ9">$G$12+VLOOKUP($Q9,武学奇术!$A:$ZZ,12,FALSE)+SUM(_xlfn.XLOOKUP(R9:AF9,增益!$A:$A,增益!$L:$L,0))</f>
        <v>0.04</v>
      </c>
      <c r="BA9">
        <f t="shared" si="5"/>
        <v>781.088</v>
      </c>
      <c r="BB9">
        <f t="shared" si="6"/>
        <v>2021.6</v>
      </c>
      <c r="BC9" s="32" cm="1">
        <f t="array" ref="BC9">IF($F$13-$I$4+VLOOKUP($Q9,武学奇术!$A:$ZZ,13,FALSE)+SUM(_xlfn.XLOOKUP(R9:AF9,增益!$A:$A,增益!$M:$M,0))&gt;0,($F$13-$I$4+VLOOKUP($Q9,武学奇术!$A:$ZZ,13,FALSE)+SUM(_xlfn.XLOOKUP(R9:AF9,增益!$A:$A,增益!$K:$K,0)))/200,($F$13-$I$4+VLOOKUP($Q9,武学奇术!$A:$ZZ,13,FALSE)+SUM(_xlfn.XLOOKUP(R9:AF9,增益!$A:$A,增益!$M:$M,0)))/100)</f>
        <v>0.08</v>
      </c>
      <c r="BD9" s="32" cm="1">
        <f t="array" ref="BD9">$G$13+VLOOKUP($Q9,武学奇术!$A:$ZZ,14,FALSE)+SUM(_xlfn.XLOOKUP(R9:AF9,增益!$A:$A,增益!$N:$N,0))</f>
        <v>0.19</v>
      </c>
      <c r="BE9">
        <f t="shared" si="7"/>
        <v>0</v>
      </c>
      <c r="BF9">
        <f t="shared" si="8"/>
        <v>0</v>
      </c>
      <c r="BG9" s="32" cm="1">
        <f t="array" ref="BG9">IF($F$14-$I$4+VLOOKUP($Q9,武学奇术!$A:$ZZ,15,FALSE)+SUM(_xlfn.XLOOKUP(R9:AF9,增益!$A:$A,增益!$O:$O,0))&gt;0,($F$14-$I$4+VLOOKUP($Q9,武学奇术!$A:$ZZ,15,FALSE)+SUM(_xlfn.XLOOKUP(R9:AF9,增益!$A:$A,增益!$O:$O,0)))/200,($F$14-$I$4+VLOOKUP($Q9,武学奇术!$A:$ZZ,15,FALSE)+SUM(_xlfn.XLOOKUP(R9:AF9,增益!$A:$A,增益!$O:$O,0)))/100)</f>
        <v>-0.14</v>
      </c>
      <c r="BH9" s="32" cm="1">
        <f t="array" ref="BH9">$G$14+VLOOKUP($Q9,武学奇术!$A:$ZZ,16,FALSE)+SUM(_xlfn.XLOOKUP(R9:AF9,增益!$A:$A,增益!$P:$P,0))</f>
        <v>0.04</v>
      </c>
      <c r="BI9" s="26">
        <f>MIN(IF(VLOOKUP($Q9,武学奇术!$A:$ZZ,23,FALSE)=1,100%,$B$8),100%)</f>
        <v>1</v>
      </c>
      <c r="BJ9" s="26" cm="1">
        <f t="array" ref="BJ9">IF(VLOOKUP($Q9,武学奇术!$A:$ZZ,23,FALSE)=1,100%,MIN(80%,$B$9+VLOOKUP($Q9,武学奇术!$A:$ZZ,17,FALSE)+SUM(_xlfn.XLOOKUP(R9:AF9,增益!$A:$A,增益!$Q:$Q,0)))+$B$11+SUM(_xlfn.XLOOKUP(R9:AF9,增益!$A:$A,增益!$U:$U,0)))*IF(VLOOKUP($Q9,武学奇术!$A:$ZZ,24,FALSE)=1,0,1)</f>
        <v>0.892</v>
      </c>
      <c r="BK9" s="26" cm="1">
        <f t="array" ref="BK9">1+$B$13+VLOOKUP($Q9,武学奇术!$A:$ZZ,18,FALSE)+SUM(_xlfn.XLOOKUP(R9:AF9,增益!$A:$A,增益!$R:$R,0))</f>
        <v>1.75</v>
      </c>
      <c r="BL9" s="26" cm="1">
        <f t="array" ref="BL9">IF(VLOOKUP($Q9,武学奇术!$A:$ZZ,24,FALSE)=1,100%,MIN(40%,$B$10+VLOOKUP($Q9,武学奇术!$A:$ZZ,19,FALSE)+SUM(_xlfn.XLOOKUP(R9:AF9,增益!$A:$A,增益!$S:$S,0)))+$B$12+SUM(_xlfn.XLOOKUP(R9:AF9,增益!$A:$A,增益!$V:$V,0)))*IF(VLOOKUP($Q9,武学奇术!$A:$ZZ,23,FALSE)=1,0,1)</f>
        <v>0.0913</v>
      </c>
      <c r="BM9" s="26" cm="1">
        <f t="array" ref="BM9">1+$B$14+VLOOKUP($Q9,武学奇术!$A:$ZZ,20,FALSE)+SUM(_xlfn.XLOOKUP(R9:AF9,增益!$A:$A,增益!$T:$T,0))</f>
        <v>1.35</v>
      </c>
      <c r="BN9" s="26">
        <f t="shared" si="9"/>
        <v>0.892</v>
      </c>
      <c r="BO9" s="26">
        <f t="shared" si="10"/>
        <v>0.0166999999999999</v>
      </c>
      <c r="BP9" s="26">
        <f>IF(VLOOKUP($Q9,武学奇术!$A:$ZZ,22,FALSE)=1,0,(1-$BI9))*(1-$BL9)</f>
        <v>0</v>
      </c>
      <c r="BQ9" s="26" cm="1">
        <f t="array" ref="BQ9">SUM(_xlfn.XLOOKUP(R9:AF9,增益!$A:$A,增益!$W:$W,0))+$I$5</f>
        <v>0.11</v>
      </c>
    </row>
    <row r="10" spans="1:69">
      <c r="A10" s="41" t="s">
        <v>103</v>
      </c>
      <c r="B10" s="70">
        <v>0.0913</v>
      </c>
      <c r="C10" s="45" t="s">
        <v>66</v>
      </c>
      <c r="D10">
        <f>(B2+B22)*IF($G$2="撼天",1.06,1)</f>
        <v>4560</v>
      </c>
      <c r="E10">
        <f>MAX(B2+B22,C2+B23)*IF($G$2="撼天",1.06,1)</f>
        <v>4560</v>
      </c>
      <c r="F10">
        <f>D2</f>
        <v>63.8</v>
      </c>
      <c r="G10" s="88">
        <f>E2</f>
        <v>0</v>
      </c>
      <c r="H10" s="68" t="s">
        <v>104</v>
      </c>
      <c r="I10" s="73">
        <f>SUM(K:K)</f>
        <v>1706440.34551677</v>
      </c>
      <c r="J10" s="74"/>
      <c r="K10" s="38">
        <f t="shared" si="0"/>
        <v>112748.159982057</v>
      </c>
      <c r="L10" s="38">
        <f>((($AN10+$AO10)/2*$AH10+$AI10)*(1+$AP10)*(1+$AQ10)+(($AS10+$AT10)/2*IF($G$1="鸣金",$AJ10,$AH10)+IF($G$1="鸣金",$AK10*1.5,0))*(1+$AU10)*(1+$AV10)+(($AW10+$AX10)/2*IF($G$1="裂石",$AJ10,$AH10)+IF($G$1="裂石",$AK10*1.5,0))*(1+$AY10)*(1+$AZ10)+(($BA10+$BB10)/2*IF($G$1="牵丝",$AJ10,$AH10)+IF($G$1="牵丝",$AK10*1.5,0))*(1+$BC10)*(1+$BD10)+(($BE10+$BF10)/2*IF($G$1="破竹",$AJ10,$AH10)+IF($G$1="破竹",$AK10*1.5,0))*(1+$BG10)*(1+$BH10))*(1+$AL10)*$BK10*$P10*(1+IF(VLOOKUP($Q10,武学奇术!$A:$ZZ,30,FALSE)="蓄力技",#REF!,0))*(1+$BQ10)</f>
        <v>114928.797659698</v>
      </c>
      <c r="M10" s="38">
        <f>(($AO10*$AH10+$AI10)*(1+$AP10)*(1+$AQ10)+($AT10*IF($G$1="鸣金",$AJ10,$AH10)+IF($G$1="鸣金",$AK10*1.5,0))*(1+$AU10)*(1+$AV10)+($AX10*IF($G$1="裂石",$AJ10,$AH10)+IF($G$1="裂石",$AK10*1.5,0))*(1+$AY10)*(1+$AZ10)+($BB10*IF($G$1="牵丝",$AJ10,$AH10)+IF($G$1="牵丝",$AK10*1.5,0))*(1+$BC10)*(1+$BD10)+($BF10*IF($G$1="破竹",$AJ10,$AH10)+IF($G$1="破竹",$AK10*1.5,0))*(1+$BG10)*(1+$BH10))*(1+$AL10)*$BM10*$P10*(1+IF(VLOOKUP($Q10,武学奇术!$A:$ZZ,30,FALSE)="蓄力技",#REF!,0))*(1+$BQ10)</f>
        <v>100053.925212924</v>
      </c>
      <c r="N10" s="38">
        <f>((($AN10+$AO10)/2*$AH10+$AI10)*(1+$AP10)*(1+$AQ10)+(($AS10+$AT10)/2*IF($G$1="鸣金",$AJ10,$AH10)+IF($G$1="鸣金",$AK10*1.5,0))*(1+$AU10)*(1+$AV10)+(($AW10+$AX10)/2*IF($G$1="裂石",$AJ10,$AH10)+IF($G$1="裂石",$AK10*1.5,0))*(1+$AY10)*(1+$AZ10)+(($BA10+$BB10)/2*IF($G$1="牵丝",$AJ10,$AH10)+IF($G$1="牵丝",$AK10*1.5,0))*(1+$BC10)*(1+$BD10)+(($BE10+$BF10)/2*IF($G$1="破竹",$AJ10,$AH10)+IF($G$1="破竹",$AK10*1.5,0))*(1+$BG10)*(1+$BH10))*(1+$AL10)*$P10*(1+IF(VLOOKUP($Q10,武学奇术!$A:$ZZ,30,FALSE)="蓄力技",#REF!,0))*(1+$BQ10)</f>
        <v>65673.5986626846</v>
      </c>
      <c r="O10" s="38">
        <f>((($AN10*$AH10+$AI10)*(1+$AP10)*(1+$AQ10)+($AS10*IF($G$1="鸣金",$AJ10,$AH10)+IF($G$1="鸣金",$AK10*1.5,0))*(1+$AU10)*(1+$AV10)+($AW10*IF($G$1="裂石",$AJ10,$AH10)+IF($G$1="裂石",$AK10*1.5,0))*(1+$AY10)*(1+$AZ10)+($BA10*IF($G$1="牵丝",$AJ10,$AH10)+IF($G$1="牵丝",$AK10*1.5,0))*(1+$BC10)*(1+$BD10)+($BE10*IF($G$1="破竹",$AJ10,$AH10)+IF($G$1="破竹",$AK10*1.5,0))*(1+$BG10)*(1+$BH10))*(1+$AL10))*$P10*(1+IF(VLOOKUP($Q10,武学奇术!$A:$ZZ,30,FALSE)="蓄力技",#REF!,0))*(1+$BQ10)</f>
        <v>57233.1786491296</v>
      </c>
      <c r="P10" s="39">
        <v>13</v>
      </c>
      <c r="Q10" s="40" t="s">
        <v>84</v>
      </c>
      <c r="R10" s="40" t="s">
        <v>71</v>
      </c>
      <c r="S10" s="40" t="s">
        <v>72</v>
      </c>
      <c r="T10" s="40" t="s">
        <v>73</v>
      </c>
      <c r="U10" s="40" t="s">
        <v>74</v>
      </c>
      <c r="V10" s="40" t="s">
        <v>75</v>
      </c>
      <c r="W10" s="40" t="s">
        <v>85</v>
      </c>
      <c r="X10" s="40" t="s">
        <v>77</v>
      </c>
      <c r="Y10" s="40" t="s">
        <v>78</v>
      </c>
      <c r="Z10" s="40" t="s">
        <v>98</v>
      </c>
      <c r="AA10" s="40" t="s">
        <v>68</v>
      </c>
      <c r="AB10" s="40" t="s">
        <v>76</v>
      </c>
      <c r="AC10" s="40" t="s">
        <v>76</v>
      </c>
      <c r="AD10" s="40" t="s">
        <v>76</v>
      </c>
      <c r="AE10" s="40" t="s">
        <v>80</v>
      </c>
      <c r="AF10" s="40" t="s">
        <v>81</v>
      </c>
      <c r="AG10" t="str">
        <f>VLOOKUP($Q10,武学奇术!$A:$ZZ,25,FALSE)</f>
        <v>单体奇术</v>
      </c>
      <c r="AH10" s="26">
        <f>VLOOKUP($Q10,武学奇术!$A:$ZZ,26,FALSE)</f>
        <v>0.2361</v>
      </c>
      <c r="AI10" s="27">
        <f>VLOOKUP($Q10,武学奇术!$A:$ZZ,27,FALSE)*(1+IF(OR($AG10=$F$4,$AG10=$F$5),$B$21,0))</f>
        <v>47</v>
      </c>
      <c r="AJ10" s="26">
        <f>VLOOKUP($Q10,武学奇术!$A:$ZZ,28,FALSE)</f>
        <v>0.35415</v>
      </c>
      <c r="AK10" s="27">
        <f>VLOOKUP($Q10,武学奇术!$A:$ZZ,29,FALSE)*(1+IF(OR($AG10=$F$4,$AG10=$F$5),$B$21,0))</f>
        <v>0</v>
      </c>
      <c r="AL10" s="26" cm="1">
        <f t="array" ref="AL10">$G$3+IFERROR(VLOOKUP($AG10,$F$4:$G$7,2,FALSE),0)+VLOOKUP($Q10,武学奇术!$A:$ZZ,2,FALSE)+SUM(_xlfn.XLOOKUP($R10:$AF10,增益!$A:$A,增益!$B:$B,0))</f>
        <v>1.0719</v>
      </c>
      <c r="AM10" s="26" cm="1">
        <f t="array" ref="AM10">VLOOKUP($Q10,武学奇术!$A:$ZZ,5,FALSE)+SUM(_xlfn.XLOOKUP($R10:$AF10,增益!$A:$A,增益!$E:$E,0))</f>
        <v>0.12</v>
      </c>
      <c r="AN10" cm="1">
        <f t="array" ref="AN10">$D$10*(1+$AM10)+VLOOKUP($Q10,武学奇术!$A:$ZZ,3,FALSE)+SUM(_xlfn.XLOOKUP($R10:$AF10,增益!$A:$A,增益!$C:$C,0))-$I$2</f>
        <v>4524.4</v>
      </c>
      <c r="AO10" cm="1">
        <f t="array" ref="AO10">$E$10*(1+$AM10)+VLOOKUP($Q10,武学奇术!$A:$ZZ,4,FALSE)+SUM(_xlfn.XLOOKUP($R10:$AF10,增益!$A:$A,增益!$D:$D,0))-$I$2</f>
        <v>4524.4</v>
      </c>
      <c r="AP10" s="32" cm="1">
        <f t="array" ref="AP10">IF($F$10-$I$3+VLOOKUP($Q10,武学奇术!$A:$ZZ,6,FALSE)+SUM(_xlfn.XLOOKUP(R10:AF10,增益!$A:$A,增益!$F:$F,0))&gt;0,($F$10-$I$3+VLOOKUP($Q10,武学奇术!$A:$ZZ,6,FALSE)+SUM(_xlfn.XLOOKUP(R10:AF10,增益!$A:$A,增益!$F:$F,0)))/200,($F$10-$I$3+VLOOKUP($Q10,武学奇术!$A:$ZZ,6,FALSE)+SUM(_xlfn.XLOOKUP(R10:AF10,增益!$A:$A,增益!$F:$F,0)))/100)</f>
        <v>0.344</v>
      </c>
      <c r="AQ10" s="32" cm="1">
        <f t="array" ref="AQ10">$G$10+VLOOKUP($Q10,武学奇术!$A:$ZZ,7,FALSE)+SUM(_xlfn.XLOOKUP(R10:AF10,增益!$A:$A,增益!$G:$G,0))</f>
        <v>0.04</v>
      </c>
      <c r="AR10" s="26" cm="1">
        <f t="array" ref="AR10">VLOOKUP($Q10,武学奇术!$A:$ZZ,8,FALSE)+SUM(_xlfn.XLOOKUP(R10:AF10,增益!$A:$A,增益!$H:$H,0))</f>
        <v>0.12</v>
      </c>
      <c r="AS10">
        <f t="shared" si="1"/>
        <v>0</v>
      </c>
      <c r="AT10">
        <f t="shared" si="2"/>
        <v>0</v>
      </c>
      <c r="AU10" s="32" cm="1">
        <f t="array" ref="AU10">IF($F$11-$I$4+VLOOKUP($Q10,武学奇术!$A:$ZZ,9,FALSE)+SUM(_xlfn.XLOOKUP(R10:AF10,增益!$A:$A,增益!$I:$I,0))&gt;0,($F$11-$I$4+VLOOKUP($Q10,武学奇术!$A:$ZZ,9,FALSE)+SUM(_xlfn.XLOOKUP(R10:AF10,增益!$A:$A,增益!$I:$I,0)))/200,($F$11-$I$4+VLOOKUP($Q10,武学奇术!$A:$ZZ,9,FALSE)+SUM(_xlfn.XLOOKUP(R10:AF10,增益!$A:$A,增益!$I:$I,0)))/100)</f>
        <v>-0.14</v>
      </c>
      <c r="AV10" s="32" cm="1">
        <f t="array" ref="AV10">$G$11+VLOOKUP($Q10,武学奇术!$A:$ZZ,10,FALSE)+SUM(_xlfn.XLOOKUP(R10:AF10,增益!$A:$A,增益!$J:$J,0))</f>
        <v>0.04</v>
      </c>
      <c r="AW10">
        <f t="shared" si="3"/>
        <v>0</v>
      </c>
      <c r="AX10">
        <f t="shared" si="4"/>
        <v>0</v>
      </c>
      <c r="AY10" s="32" cm="1">
        <f t="array" ref="AY10">IF($F$12-$I$4+VLOOKUP($Q10,武学奇术!$A:$ZZ,11,FALSE)+SUM(_xlfn.XLOOKUP(R10:AF10,增益!$A:$A,增益!$K:$K,0))&gt;0,($F$12-$I$4+VLOOKUP($Q10,武学奇术!$A:$ZZ,11,FALSE)+SUM(_xlfn.XLOOKUP(R10:AF10,增益!$A:$A,增益!$K:$K,0)))/200,($F$12-$I$4+VLOOKUP($Q10,武学奇术!$A:$ZZ,11,FALSE)+SUM(_xlfn.XLOOKUP(R10:AF10,增益!$A:$A,增益!$K:$K,0)))/100)</f>
        <v>-0.14</v>
      </c>
      <c r="AZ10" s="32" cm="1">
        <f t="array" ref="AZ10">$G$12+VLOOKUP($Q10,武学奇术!$A:$ZZ,12,FALSE)+SUM(_xlfn.XLOOKUP(R10:AF10,增益!$A:$A,增益!$L:$L,0))</f>
        <v>0.04</v>
      </c>
      <c r="BA10">
        <f t="shared" si="5"/>
        <v>781.088</v>
      </c>
      <c r="BB10">
        <f t="shared" si="6"/>
        <v>2021.6</v>
      </c>
      <c r="BC10" s="32" cm="1">
        <f t="array" ref="BC10">IF($F$13-$I$4+VLOOKUP($Q10,武学奇术!$A:$ZZ,13,FALSE)+SUM(_xlfn.XLOOKUP(R10:AF10,增益!$A:$A,增益!$M:$M,0))&gt;0,($F$13-$I$4+VLOOKUP($Q10,武学奇术!$A:$ZZ,13,FALSE)+SUM(_xlfn.XLOOKUP(R10:AF10,增益!$A:$A,增益!$K:$K,0)))/200,($F$13-$I$4+VLOOKUP($Q10,武学奇术!$A:$ZZ,13,FALSE)+SUM(_xlfn.XLOOKUP(R10:AF10,增益!$A:$A,增益!$M:$M,0)))/100)</f>
        <v>0.08</v>
      </c>
      <c r="BD10" s="32" cm="1">
        <f t="array" ref="BD10">$G$13+VLOOKUP($Q10,武学奇术!$A:$ZZ,14,FALSE)+SUM(_xlfn.XLOOKUP(R10:AF10,增益!$A:$A,增益!$N:$N,0))</f>
        <v>0.19</v>
      </c>
      <c r="BE10">
        <f t="shared" si="7"/>
        <v>0</v>
      </c>
      <c r="BF10">
        <f t="shared" si="8"/>
        <v>0</v>
      </c>
      <c r="BG10" s="32" cm="1">
        <f t="array" ref="BG10">IF($F$14-$I$4+VLOOKUP($Q10,武学奇术!$A:$ZZ,15,FALSE)+SUM(_xlfn.XLOOKUP(R10:AF10,增益!$A:$A,增益!$O:$O,0))&gt;0,($F$14-$I$4+VLOOKUP($Q10,武学奇术!$A:$ZZ,15,FALSE)+SUM(_xlfn.XLOOKUP(R10:AF10,增益!$A:$A,增益!$O:$O,0)))/200,($F$14-$I$4+VLOOKUP($Q10,武学奇术!$A:$ZZ,15,FALSE)+SUM(_xlfn.XLOOKUP(R10:AF10,增益!$A:$A,增益!$O:$O,0)))/100)</f>
        <v>-0.14</v>
      </c>
      <c r="BH10" s="32" cm="1">
        <f t="array" ref="BH10">$G$14+VLOOKUP($Q10,武学奇术!$A:$ZZ,16,FALSE)+SUM(_xlfn.XLOOKUP(R10:AF10,增益!$A:$A,增益!$P:$P,0))</f>
        <v>0.04</v>
      </c>
      <c r="BI10" s="26">
        <f>MIN(IF(VLOOKUP($Q10,武学奇术!$A:$ZZ,23,FALSE)=1,100%,$B$8),100%)</f>
        <v>1</v>
      </c>
      <c r="BJ10" s="26" cm="1">
        <f t="array" ref="BJ10">IF(VLOOKUP($Q10,武学奇术!$A:$ZZ,23,FALSE)=1,100%,MIN(80%,$B$9+VLOOKUP($Q10,武学奇术!$A:$ZZ,17,FALSE)+SUM(_xlfn.XLOOKUP(R10:AF10,增益!$A:$A,增益!$Q:$Q,0)))+$B$11+SUM(_xlfn.XLOOKUP(R10:AF10,增益!$A:$A,增益!$U:$U,0)))*IF(VLOOKUP($Q10,武学奇术!$A:$ZZ,24,FALSE)=1,0,1)</f>
        <v>0.892</v>
      </c>
      <c r="BK10" s="26" cm="1">
        <f t="array" ref="BK10">1+$B$13+VLOOKUP($Q10,武学奇术!$A:$ZZ,18,FALSE)+SUM(_xlfn.XLOOKUP(R10:AF10,增益!$A:$A,增益!$R:$R,0))</f>
        <v>1.75</v>
      </c>
      <c r="BL10" s="26" cm="1">
        <f t="array" ref="BL10">IF(VLOOKUP($Q10,武学奇术!$A:$ZZ,24,FALSE)=1,100%,MIN(40%,$B$10+VLOOKUP($Q10,武学奇术!$A:$ZZ,19,FALSE)+SUM(_xlfn.XLOOKUP(R10:AF10,增益!$A:$A,增益!$S:$S,0)))+$B$12+SUM(_xlfn.XLOOKUP(R10:AF10,增益!$A:$A,增益!$V:$V,0)))*IF(VLOOKUP($Q10,武学奇术!$A:$ZZ,23,FALSE)=1,0,1)</f>
        <v>0.0913</v>
      </c>
      <c r="BM10" s="26" cm="1">
        <f t="array" ref="BM10">1+$B$14+VLOOKUP($Q10,武学奇术!$A:$ZZ,20,FALSE)+SUM(_xlfn.XLOOKUP(R10:AF10,增益!$A:$A,增益!$T:$T,0))</f>
        <v>1.35</v>
      </c>
      <c r="BN10" s="26">
        <f t="shared" si="9"/>
        <v>0.892</v>
      </c>
      <c r="BO10" s="26">
        <f t="shared" si="10"/>
        <v>0.0166999999999999</v>
      </c>
      <c r="BP10" s="26">
        <f>IF(VLOOKUP($Q10,武学奇术!$A:$ZZ,22,FALSE)=1,0,(1-$BI10))*(1-$BL10)</f>
        <v>0</v>
      </c>
      <c r="BQ10" s="26" cm="1">
        <f t="array" ref="BQ10">SUM(_xlfn.XLOOKUP(R10:AF10,增益!$A:$A,增益!$W:$W,0))+$I$5</f>
        <v>0.11</v>
      </c>
    </row>
    <row r="11" ht="14.25" spans="1:69">
      <c r="A11" s="41" t="s">
        <v>105</v>
      </c>
      <c r="B11" s="70">
        <v>0.092</v>
      </c>
      <c r="C11" s="45" t="s">
        <v>82</v>
      </c>
      <c r="D11">
        <f>(B3+IF($G$1=$C11,$B$7,0))*IF($G$2="撼天",1.06,1)</f>
        <v>0</v>
      </c>
      <c r="E11">
        <f>(MAX(B3,C3)+IF($G$1=$C11,$C$7,0))*IF($G$2="撼天",1.06,1)</f>
        <v>0</v>
      </c>
      <c r="F11">
        <f>D3+IF($G$1=$C11,$D$7,0)</f>
        <v>0</v>
      </c>
      <c r="G11" s="88">
        <f>E3</f>
        <v>0</v>
      </c>
      <c r="H11" s="71"/>
      <c r="I11" s="75"/>
      <c r="J11" s="76"/>
      <c r="K11" s="38">
        <f t="shared" si="0"/>
        <v>30587.7855538413</v>
      </c>
      <c r="L11" s="38">
        <f>((($AN11+$AO11)/2*$AH11+$AI11)*(1+$AP11)*(1+$AQ11)+(($AS11+$AT11)/2*IF($G$1="鸣金",$AJ11,$AH11)+IF($G$1="鸣金",$AK11*1.5,0))*(1+$AU11)*(1+$AV11)+(($AW11+$AX11)/2*IF($G$1="裂石",$AJ11,$AH11)+IF($G$1="裂石",$AK11*1.5,0))*(1+$AY11)*(1+$AZ11)+(($BA11+$BB11)/2*IF($G$1="牵丝",$AJ11,$AH11)+IF($G$1="牵丝",$AK11*1.5,0))*(1+$BC11)*(1+$BD11)+(($BE11+$BF11)/2*IF($G$1="破竹",$AJ11,$AH11)+IF($G$1="破竹",$AK11*1.5,0))*(1+$BG11)*(1+$BH11))*(1+$AL11)*$BK11*$P11*(1+IF(VLOOKUP($Q11,武学奇术!$A:$ZZ,30,FALSE)="蓄力技",#REF!,0))*(1+$BQ11)</f>
        <v>31244.0404873968</v>
      </c>
      <c r="M11" s="38">
        <f>(($AO11*$AH11+$AI11)*(1+$AP11)*(1+$AQ11)+($AT11*IF($G$1="鸣金",$AJ11,$AH11)+IF($G$1="鸣金",$AK11*1.5,0))*(1+$AU11)*(1+$AV11)+($AX11*IF($G$1="裂石",$AJ11,$AH11)+IF($G$1="裂石",$AK11*1.5,0))*(1+$AY11)*(1+$AZ11)+($BB11*IF($G$1="牵丝",$AJ11,$AH11)+IF($G$1="牵丝",$AK11*1.5,0))*(1+$BC11)*(1+$BD11)+($BF11*IF($G$1="破竹",$AJ11,$AH11)+IF($G$1="破竹",$AK11*1.5,0))*(1+$BG11)*(1+$BH11))*(1+$AL11)*$BM11*$P11*(1+IF(VLOOKUP($Q11,武学奇术!$A:$ZZ,30,FALSE)="蓄力技",#REF!,0))*(1+$BQ11)</f>
        <v>26505.4109983187</v>
      </c>
      <c r="N11" s="38">
        <f>((($AN11+$AO11)/2*$AH11+$AI11)*(1+$AP11)*(1+$AQ11)+(($AS11+$AT11)/2*IF($G$1="鸣金",$AJ11,$AH11)+IF($G$1="鸣金",$AK11*1.5,0))*(1+$AU11)*(1+$AV11)+(($AW11+$AX11)/2*IF($G$1="裂石",$AJ11,$AH11)+IF($G$1="裂石",$AK11*1.5,0))*(1+$AY11)*(1+$AZ11)+(($BA11+$BB11)/2*IF($G$1="牵丝",$AJ11,$AH11)+IF($G$1="牵丝",$AK11*1.5,0))*(1+$BC11)*(1+$BD11)+(($BE11+$BF11)/2*IF($G$1="破竹",$AJ11,$AH11)+IF($G$1="破竹",$AK11*1.5,0))*(1+$BG11)*(1+$BH11))*(1+$AL11)*$P11*(1+IF(VLOOKUP($Q11,武学奇术!$A:$ZZ,30,FALSE)="蓄力技",#REF!,0))*(1+$BQ11)</f>
        <v>17853.7374213696</v>
      </c>
      <c r="O11" s="38">
        <f>((($AN11*$AH11+$AI11)*(1+$AP11)*(1+$AQ11)+($AS11*IF($G$1="鸣金",$AJ11,$AH11)+IF($G$1="鸣金",$AK11*1.5,0))*(1+$AU11)*(1+$AV11)+($AW11*IF($G$1="裂石",$AJ11,$AH11)+IF($G$1="裂石",$AK11*1.5,0))*(1+$AY11)*(1+$AZ11)+($BA11*IF($G$1="牵丝",$AJ11,$AH11)+IF($G$1="牵丝",$AK11*1.5,0))*(1+$BC11)*(1+$BD11)+($BE11*IF($G$1="破竹",$AJ11,$AH11)+IF($G$1="破竹",$AK11*1.5,0))*(1+$BG11)*(1+$BH11))*(1+$AL11))*$P11*(1+IF(VLOOKUP($Q11,武学奇术!$A:$ZZ,30,FALSE)="蓄力技",#REF!,0))*(1+$BQ11)</f>
        <v>16073.8370662068</v>
      </c>
      <c r="P11" s="39">
        <f>IF($E$20="易水歌",1.5,0)</f>
        <v>1.5</v>
      </c>
      <c r="Q11" s="40" t="s">
        <v>106</v>
      </c>
      <c r="R11" s="40" t="s">
        <v>71</v>
      </c>
      <c r="S11" s="40" t="s">
        <v>72</v>
      </c>
      <c r="T11" s="40" t="s">
        <v>73</v>
      </c>
      <c r="U11" s="40" t="s">
        <v>74</v>
      </c>
      <c r="V11" s="40" t="s">
        <v>76</v>
      </c>
      <c r="W11" s="40" t="s">
        <v>76</v>
      </c>
      <c r="X11" s="40" t="s">
        <v>76</v>
      </c>
      <c r="Y11" s="40" t="s">
        <v>76</v>
      </c>
      <c r="Z11" s="40" t="s">
        <v>76</v>
      </c>
      <c r="AA11" s="40" t="s">
        <v>68</v>
      </c>
      <c r="AB11" s="40" t="s">
        <v>76</v>
      </c>
      <c r="AC11" s="40" t="s">
        <v>76</v>
      </c>
      <c r="AD11" s="40" t="s">
        <v>76</v>
      </c>
      <c r="AE11" s="40" t="s">
        <v>76</v>
      </c>
      <c r="AF11" s="40" t="s">
        <v>81</v>
      </c>
      <c r="AG11" t="str">
        <f>VLOOKUP($Q11,武学奇术!$A:$ZZ,25,FALSE)</f>
        <v>心法</v>
      </c>
      <c r="AH11" s="26">
        <f>VLOOKUP($Q11,武学奇术!$A:$ZZ,26,FALSE)</f>
        <v>1</v>
      </c>
      <c r="AI11" s="27">
        <f>VLOOKUP($Q11,武学奇术!$A:$ZZ,27,FALSE)*(1+IF(OR($AG11=$F$4,$AG11=$F$5),$B$21,0))</f>
        <v>0</v>
      </c>
      <c r="AJ11" s="26">
        <f>VLOOKUP($Q11,武学奇术!$A:$ZZ,28,FALSE)</f>
        <v>1</v>
      </c>
      <c r="AK11" s="27">
        <f>VLOOKUP($Q11,武学奇术!$A:$ZZ,29,FALSE)*(1+IF(OR($AG11=$F$4,$AG11=$F$5),$B$21,0))</f>
        <v>0</v>
      </c>
      <c r="AL11" s="26" cm="1">
        <f t="array" ref="AL11">$G$3+IFERROR(VLOOKUP($AG11,$F$4:$G$7,2,FALSE),0)+VLOOKUP($Q11,武学奇术!$A:$ZZ,2,FALSE)+SUM(_xlfn.XLOOKUP($R11:$AF11,增益!$A:$A,增益!$B:$B,0))</f>
        <v>0.5542</v>
      </c>
      <c r="AM11" s="26" cm="1">
        <f t="array" ref="AM11">VLOOKUP($Q11,武学奇术!$A:$ZZ,5,FALSE)+SUM(_xlfn.XLOOKUP($R11:$AF11,增益!$A:$A,增益!$E:$E,0))</f>
        <v>0</v>
      </c>
      <c r="AN11" cm="1">
        <f t="array" ref="AN11">$D$10*(1+$AM11)+VLOOKUP($Q11,武学奇术!$A:$ZZ,3,FALSE)+SUM(_xlfn.XLOOKUP($R11:$AF11,增益!$A:$A,增益!$C:$C,0))-$I$2</f>
        <v>3977.2</v>
      </c>
      <c r="AO11" cm="1">
        <f t="array" ref="AO11">$E$10*(1+$AM11)+VLOOKUP($Q11,武学奇术!$A:$ZZ,4,FALSE)+SUM(_xlfn.XLOOKUP($R11:$AF11,增益!$A:$A,增益!$D:$D,0))-$I$2</f>
        <v>3977.2</v>
      </c>
      <c r="AP11" s="32" cm="1">
        <f t="array" ref="AP11">IF($F$10-$I$3+VLOOKUP($Q11,武学奇术!$A:$ZZ,6,FALSE)+SUM(_xlfn.XLOOKUP(R11:AF11,增益!$A:$A,增益!$F:$F,0))&gt;0,($F$10-$I$3+VLOOKUP($Q11,武学奇术!$A:$ZZ,6,FALSE)+SUM(_xlfn.XLOOKUP(R11:AF11,增益!$A:$A,增益!$F:$F,0)))/200,($F$10-$I$3+VLOOKUP($Q11,武学奇术!$A:$ZZ,6,FALSE)+SUM(_xlfn.XLOOKUP(R11:AF11,增益!$A:$A,增益!$F:$F,0)))/100)</f>
        <v>0.344</v>
      </c>
      <c r="AQ11" s="32" cm="1">
        <f t="array" ref="AQ11">$G$10+VLOOKUP($Q11,武学奇术!$A:$ZZ,7,FALSE)+SUM(_xlfn.XLOOKUP(R11:AF11,增益!$A:$A,增益!$G:$G,0))</f>
        <v>0</v>
      </c>
      <c r="AR11" s="26" cm="1">
        <f t="array" ref="AR11">VLOOKUP($Q11,武学奇术!$A:$ZZ,8,FALSE)+SUM(_xlfn.XLOOKUP(R11:AF11,增益!$A:$A,增益!$H:$H,0))</f>
        <v>0</v>
      </c>
      <c r="AS11">
        <f t="shared" si="1"/>
        <v>0</v>
      </c>
      <c r="AT11">
        <f t="shared" si="2"/>
        <v>0</v>
      </c>
      <c r="AU11" s="32" cm="1">
        <f t="array" ref="AU11">IF($F$11-$I$4+VLOOKUP($Q11,武学奇术!$A:$ZZ,9,FALSE)+SUM(_xlfn.XLOOKUP(R11:AF11,增益!$A:$A,增益!$I:$I,0))&gt;0,($F$11-$I$4+VLOOKUP($Q11,武学奇术!$A:$ZZ,9,FALSE)+SUM(_xlfn.XLOOKUP(R11:AF11,增益!$A:$A,增益!$I:$I,0)))/200,($F$11-$I$4+VLOOKUP($Q11,武学奇术!$A:$ZZ,9,FALSE)+SUM(_xlfn.XLOOKUP(R11:AF11,增益!$A:$A,增益!$I:$I,0)))/100)</f>
        <v>-0.14</v>
      </c>
      <c r="AV11" s="32" cm="1">
        <f t="array" ref="AV11">$G$11+VLOOKUP($Q11,武学奇术!$A:$ZZ,10,FALSE)+SUM(_xlfn.XLOOKUP(R11:AF11,增益!$A:$A,增益!$J:$J,0))</f>
        <v>0</v>
      </c>
      <c r="AW11">
        <f t="shared" si="3"/>
        <v>0</v>
      </c>
      <c r="AX11">
        <f t="shared" si="4"/>
        <v>0</v>
      </c>
      <c r="AY11" s="32" cm="1">
        <f t="array" ref="AY11">IF($F$12-$I$4+VLOOKUP($Q11,武学奇术!$A:$ZZ,11,FALSE)+SUM(_xlfn.XLOOKUP(R11:AF11,增益!$A:$A,增益!$K:$K,0))&gt;0,($F$12-$I$4+VLOOKUP($Q11,武学奇术!$A:$ZZ,11,FALSE)+SUM(_xlfn.XLOOKUP(R11:AF11,增益!$A:$A,增益!$K:$K,0)))/200,($F$12-$I$4+VLOOKUP($Q11,武学奇术!$A:$ZZ,11,FALSE)+SUM(_xlfn.XLOOKUP(R11:AF11,增益!$A:$A,增益!$K:$K,0)))/100)</f>
        <v>-0.14</v>
      </c>
      <c r="AZ11" s="32" cm="1">
        <f t="array" ref="AZ11">$G$12+VLOOKUP($Q11,武学奇术!$A:$ZZ,12,FALSE)+SUM(_xlfn.XLOOKUP(R11:AF11,增益!$A:$A,增益!$L:$L,0))</f>
        <v>0</v>
      </c>
      <c r="BA11">
        <f t="shared" si="5"/>
        <v>697.4</v>
      </c>
      <c r="BB11">
        <f t="shared" si="6"/>
        <v>1805</v>
      </c>
      <c r="BC11" s="32" cm="1">
        <f t="array" ref="BC11">IF($F$13-$I$4+VLOOKUP($Q11,武学奇术!$A:$ZZ,13,FALSE)+SUM(_xlfn.XLOOKUP(R11:AF11,增益!$A:$A,增益!$M:$M,0))&gt;0,($F$13-$I$4+VLOOKUP($Q11,武学奇术!$A:$ZZ,13,FALSE)+SUM(_xlfn.XLOOKUP(R11:AF11,增益!$A:$A,增益!$K:$K,0)))/200,($F$13-$I$4+VLOOKUP($Q11,武学奇术!$A:$ZZ,13,FALSE)+SUM(_xlfn.XLOOKUP(R11:AF11,增益!$A:$A,增益!$M:$M,0)))/100)</f>
        <v>0.08</v>
      </c>
      <c r="BD11" s="32" cm="1">
        <f t="array" ref="BD11">$G$13+VLOOKUP($Q11,武学奇术!$A:$ZZ,14,FALSE)+SUM(_xlfn.XLOOKUP(R11:AF11,增益!$A:$A,增益!$N:$N,0))</f>
        <v>0.15</v>
      </c>
      <c r="BE11">
        <f t="shared" si="7"/>
        <v>0</v>
      </c>
      <c r="BF11">
        <f t="shared" si="8"/>
        <v>0</v>
      </c>
      <c r="BG11" s="32" cm="1">
        <f t="array" ref="BG11">IF($F$14-$I$4+VLOOKUP($Q11,武学奇术!$A:$ZZ,15,FALSE)+SUM(_xlfn.XLOOKUP(R11:AF11,增益!$A:$A,增益!$O:$O,0))&gt;0,($F$14-$I$4+VLOOKUP($Q11,武学奇术!$A:$ZZ,15,FALSE)+SUM(_xlfn.XLOOKUP(R11:AF11,增益!$A:$A,增益!$O:$O,0)))/200,($F$14-$I$4+VLOOKUP($Q11,武学奇术!$A:$ZZ,15,FALSE)+SUM(_xlfn.XLOOKUP(R11:AF11,增益!$A:$A,增益!$O:$O,0)))/100)</f>
        <v>-0.14</v>
      </c>
      <c r="BH11" s="32" cm="1">
        <f t="array" ref="BH11">$G$14+VLOOKUP($Q11,武学奇术!$A:$ZZ,16,FALSE)+SUM(_xlfn.XLOOKUP(R11:AF11,增益!$A:$A,增益!$P:$P,0))</f>
        <v>0</v>
      </c>
      <c r="BI11" s="26">
        <f>MIN(IF(VLOOKUP($Q11,武学奇术!$A:$ZZ,23,FALSE)=1,100%,$B$8),100%)</f>
        <v>1</v>
      </c>
      <c r="BJ11" s="26" cm="1">
        <f t="array" ref="BJ11">IF(VLOOKUP($Q11,武学奇术!$A:$ZZ,23,FALSE)=1,100%,MIN(80%,$B$9+VLOOKUP($Q11,武学奇术!$A:$ZZ,17,FALSE)+SUM(_xlfn.XLOOKUP(R11:AF11,增益!$A:$A,增益!$Q:$Q,0)))+$B$11+SUM(_xlfn.XLOOKUP(R11:AF11,增益!$A:$A,增益!$U:$U,0)))*IF(VLOOKUP($Q11,武学奇术!$A:$ZZ,24,FALSE)=1,0,1)</f>
        <v>0.892</v>
      </c>
      <c r="BK11" s="26" cm="1">
        <f t="array" ref="BK11">1+$B$13+VLOOKUP($Q11,武学奇术!$A:$ZZ,18,FALSE)+SUM(_xlfn.XLOOKUP(R11:AF11,增益!$A:$A,增益!$R:$R,0))</f>
        <v>1.75</v>
      </c>
      <c r="BL11" s="26" cm="1">
        <f t="array" ref="BL11">IF(VLOOKUP($Q11,武学奇术!$A:$ZZ,24,FALSE)=1,100%,MIN(40%,$B$10+VLOOKUP($Q11,武学奇术!$A:$ZZ,19,FALSE)+SUM(_xlfn.XLOOKUP(R11:AF11,增益!$A:$A,增益!$S:$S,0)))+$B$12+SUM(_xlfn.XLOOKUP(R11:AF11,增益!$A:$A,增益!$V:$V,0)))*IF(VLOOKUP($Q11,武学奇术!$A:$ZZ,23,FALSE)=1,0,1)</f>
        <v>0.0913</v>
      </c>
      <c r="BM11" s="26" cm="1">
        <f t="array" ref="BM11">1+$B$14+VLOOKUP($Q11,武学奇术!$A:$ZZ,20,FALSE)+SUM(_xlfn.XLOOKUP(R11:AF11,增益!$A:$A,增益!$T:$T,0))</f>
        <v>1.35</v>
      </c>
      <c r="BN11" s="26">
        <f t="shared" si="9"/>
        <v>0.892</v>
      </c>
      <c r="BO11" s="26">
        <f t="shared" si="10"/>
        <v>0.0166999999999999</v>
      </c>
      <c r="BP11" s="26">
        <f>IF(VLOOKUP($Q11,武学奇术!$A:$ZZ,22,FALSE)=1,0,(1-$BI11))*(1-$BL11)</f>
        <v>0</v>
      </c>
      <c r="BQ11" s="26" cm="1">
        <f t="array" ref="BQ11">SUM(_xlfn.XLOOKUP(R11:AF11,增益!$A:$A,增益!$W:$W,0))+$I$5</f>
        <v>0.11</v>
      </c>
    </row>
    <row r="12" spans="1:69">
      <c r="A12" s="41" t="s">
        <v>107</v>
      </c>
      <c r="B12" s="70">
        <v>0</v>
      </c>
      <c r="C12" s="45" t="s">
        <v>86</v>
      </c>
      <c r="D12">
        <f>(B4+IF($G$1=$C12,$B$7,0))*IF($G$2="撼天",1.06,1)</f>
        <v>0</v>
      </c>
      <c r="E12">
        <f>(MAX(B4,C4)+IF($G$1=$C12,$C$7,0))*IF($G$2="撼天",1.06,1)</f>
        <v>0</v>
      </c>
      <c r="F12">
        <f>D4+IF($G$1=$C12,$D$7,0)</f>
        <v>0</v>
      </c>
      <c r="G12" s="88">
        <f>E4</f>
        <v>0</v>
      </c>
      <c r="H12" s="68" t="s">
        <v>108</v>
      </c>
      <c r="I12" s="38">
        <f>I10/I8</f>
        <v>113762.689701118</v>
      </c>
      <c r="J12" s="77"/>
      <c r="K12" s="38">
        <f t="shared" si="0"/>
        <v>0</v>
      </c>
      <c r="L12" s="38">
        <f>((($AN12+$AO12)/2*$AH12+$AI12)*(1+$AP12)*(1+$AQ12)+(($AS12+$AT12)/2*IF($G$1="鸣金",$AJ12,$AH12)+IF($G$1="鸣金",$AK12*1.5,0))*(1+$AU12)*(1+$AV12)+(($AW12+$AX12)/2*IF($G$1="裂石",$AJ12,$AH12)+IF($G$1="裂石",$AK12*1.5,0))*(1+$AY12)*(1+$AZ12)+(($BA12+$BB12)/2*IF($G$1="牵丝",$AJ12,$AH12)+IF($G$1="牵丝",$AK12*1.5,0))*(1+$BC12)*(1+$BD12)+(($BE12+$BF12)/2*IF($G$1="破竹",$AJ12,$AH12)+IF($G$1="破竹",$AK12*1.5,0))*(1+$BG12)*(1+$BH12))*(1+$AL12)*$BK12*$P12*(1+IF(VLOOKUP($Q12,武学奇术!$A:$ZZ,30,FALSE)="蓄力技",#REF!,0))*(1+$BQ12)</f>
        <v>0</v>
      </c>
      <c r="M12" s="38">
        <f>(($AO12*$AH12+$AI12)*(1+$AP12)*(1+$AQ12)+($AT12*IF($G$1="鸣金",$AJ12,$AH12)+IF($G$1="鸣金",$AK12*1.5,0))*(1+$AU12)*(1+$AV12)+($AX12*IF($G$1="裂石",$AJ12,$AH12)+IF($G$1="裂石",$AK12*1.5,0))*(1+$AY12)*(1+$AZ12)+($BB12*IF($G$1="牵丝",$AJ12,$AH12)+IF($G$1="牵丝",$AK12*1.5,0))*(1+$BC12)*(1+$BD12)+($BF12*IF($G$1="破竹",$AJ12,$AH12)+IF($G$1="破竹",$AK12*1.5,0))*(1+$BG12)*(1+$BH12))*(1+$AL12)*$BM12*$P12*(1+IF(VLOOKUP($Q12,武学奇术!$A:$ZZ,30,FALSE)="蓄力技",#REF!,0))*(1+$BQ12)</f>
        <v>0</v>
      </c>
      <c r="N12" s="38">
        <f>((($AN12+$AO12)/2*$AH12+$AI12)*(1+$AP12)*(1+$AQ12)+(($AS12+$AT12)/2*IF($G$1="鸣金",$AJ12,$AH12)+IF($G$1="鸣金",$AK12*1.5,0))*(1+$AU12)*(1+$AV12)+(($AW12+$AX12)/2*IF($G$1="裂石",$AJ12,$AH12)+IF($G$1="裂石",$AK12*1.5,0))*(1+$AY12)*(1+$AZ12)+(($BA12+$BB12)/2*IF($G$1="牵丝",$AJ12,$AH12)+IF($G$1="牵丝",$AK12*1.5,0))*(1+$BC12)*(1+$BD12)+(($BE12+$BF12)/2*IF($G$1="破竹",$AJ12,$AH12)+IF($G$1="破竹",$AK12*1.5,0))*(1+$BG12)*(1+$BH12))*(1+$AL12)*$P12*(1+IF(VLOOKUP($Q12,武学奇术!$A:$ZZ,30,FALSE)="蓄力技",#REF!,0))*(1+$BQ12)</f>
        <v>0</v>
      </c>
      <c r="O12" s="38">
        <f>((($AN12*$AH12+$AI12)*(1+$AP12)*(1+$AQ12)+($AS12*IF($G$1="鸣金",$AJ12,$AH12)+IF($G$1="鸣金",$AK12*1.5,0))*(1+$AU12)*(1+$AV12)+($AW12*IF($G$1="裂石",$AJ12,$AH12)+IF($G$1="裂石",$AK12*1.5,0))*(1+$AY12)*(1+$AZ12)+($BA12*IF($G$1="牵丝",$AJ12,$AH12)+IF($G$1="牵丝",$AK12*1.5,0))*(1+$BC12)*(1+$BD12)+($BE12*IF($G$1="破竹",$AJ12,$AH12)+IF($G$1="破竹",$AK12*1.5,0))*(1+$BG12)*(1+$BH12))*(1+$AL12))*$P12*(1+IF(VLOOKUP($Q12,武学奇术!$A:$ZZ,30,FALSE)="蓄力技",#REF!,0))*(1+$BQ12)</f>
        <v>0</v>
      </c>
      <c r="P12" s="39">
        <v>1</v>
      </c>
      <c r="Q12" s="40" t="s">
        <v>76</v>
      </c>
      <c r="R12" s="40" t="s">
        <v>76</v>
      </c>
      <c r="S12" s="40" t="s">
        <v>76</v>
      </c>
      <c r="T12" s="40" t="s">
        <v>76</v>
      </c>
      <c r="U12" s="40" t="s">
        <v>76</v>
      </c>
      <c r="V12" s="40" t="s">
        <v>76</v>
      </c>
      <c r="W12" s="40" t="s">
        <v>76</v>
      </c>
      <c r="X12" s="40" t="s">
        <v>76</v>
      </c>
      <c r="Y12" s="40" t="s">
        <v>76</v>
      </c>
      <c r="Z12" s="40" t="s">
        <v>76</v>
      </c>
      <c r="AA12" s="40" t="s">
        <v>76</v>
      </c>
      <c r="AB12" s="40" t="s">
        <v>76</v>
      </c>
      <c r="AC12" s="40" t="s">
        <v>76</v>
      </c>
      <c r="AD12" s="40" t="s">
        <v>76</v>
      </c>
      <c r="AE12" s="40" t="s">
        <v>76</v>
      </c>
      <c r="AF12" s="40" t="s">
        <v>76</v>
      </c>
      <c r="AG12" t="str">
        <f>VLOOKUP($Q12,武学奇术!$A:$ZZ,25,FALSE)</f>
        <v>心法</v>
      </c>
      <c r="AH12" s="26">
        <f>VLOOKUP($Q12,武学奇术!$A:$ZZ,26,FALSE)</f>
        <v>0</v>
      </c>
      <c r="AI12" s="27">
        <f>VLOOKUP($Q12,武学奇术!$A:$ZZ,27,FALSE)*(1+IF(OR($AG12=$F$4,$AG12=$F$5),$B$21,0))</f>
        <v>0</v>
      </c>
      <c r="AJ12" s="26">
        <f>VLOOKUP($Q12,武学奇术!$A:$ZZ,28,FALSE)</f>
        <v>0</v>
      </c>
      <c r="AK12" s="27">
        <f>VLOOKUP($Q12,武学奇术!$A:$ZZ,29,FALSE)*(1+IF(OR($AG12=$F$4,$AG12=$F$5),$B$21,0))</f>
        <v>0</v>
      </c>
      <c r="AL12" s="26" cm="1">
        <f t="array" ref="AL12">$G$3+IFERROR(VLOOKUP($AG12,$F$4:$G$7,2,FALSE),0)+VLOOKUP($Q12,武学奇术!$A:$ZZ,2,FALSE)+SUM(_xlfn.XLOOKUP($R12:$AF12,增益!$A:$A,增益!$B:$B,0))</f>
        <v>0.2642</v>
      </c>
      <c r="AM12" s="26" cm="1">
        <f t="array" ref="AM12">VLOOKUP($Q12,武学奇术!$A:$ZZ,5,FALSE)+SUM(_xlfn.XLOOKUP($R12:$AF12,增益!$A:$A,增益!$E:$E,0))</f>
        <v>0</v>
      </c>
      <c r="AN12" cm="1">
        <f t="array" ref="AN12">$D$10*(1+$AM12)+VLOOKUP($Q12,武学奇术!$A:$ZZ,3,FALSE)+SUM(_xlfn.XLOOKUP($R12:$AF12,增益!$A:$A,增益!$C:$C,0))-$I$2</f>
        <v>3977.2</v>
      </c>
      <c r="AO12" cm="1">
        <f t="array" ref="AO12">$E$10*(1+$AM12)+VLOOKUP($Q12,武学奇术!$A:$ZZ,4,FALSE)+SUM(_xlfn.XLOOKUP($R12:$AF12,增益!$A:$A,增益!$D:$D,0))-$I$2</f>
        <v>3977.2</v>
      </c>
      <c r="AP12" s="32" cm="1">
        <f t="array" ref="AP12">IF($F$10-$I$3+VLOOKUP($Q12,武学奇术!$A:$ZZ,6,FALSE)+SUM(_xlfn.XLOOKUP(R12:AF12,增益!$A:$A,增益!$F:$F,0))&gt;0,($F$10-$I$3+VLOOKUP($Q12,武学奇术!$A:$ZZ,6,FALSE)+SUM(_xlfn.XLOOKUP(R12:AF12,增益!$A:$A,增益!$F:$F,0)))/200,($F$10-$I$3+VLOOKUP($Q12,武学奇术!$A:$ZZ,6,FALSE)+SUM(_xlfn.XLOOKUP(R12:AF12,增益!$A:$A,增益!$F:$F,0)))/100)</f>
        <v>0.294</v>
      </c>
      <c r="AQ12" s="32" cm="1">
        <f t="array" ref="AQ12">$G$10+VLOOKUP($Q12,武学奇术!$A:$ZZ,7,FALSE)+SUM(_xlfn.XLOOKUP(R12:AF12,增益!$A:$A,增益!$G:$G,0))</f>
        <v>0</v>
      </c>
      <c r="AR12" s="26" cm="1">
        <f t="array" ref="AR12">VLOOKUP($Q12,武学奇术!$A:$ZZ,8,FALSE)+SUM(_xlfn.XLOOKUP(R12:AF12,增益!$A:$A,增益!$H:$H,0))</f>
        <v>0</v>
      </c>
      <c r="AS12">
        <f t="shared" si="1"/>
        <v>0</v>
      </c>
      <c r="AT12">
        <f t="shared" si="2"/>
        <v>0</v>
      </c>
      <c r="AU12" s="32" cm="1">
        <f t="array" ref="AU12">IF($F$11-$I$4+VLOOKUP($Q12,武学奇术!$A:$ZZ,9,FALSE)+SUM(_xlfn.XLOOKUP(R12:AF12,增益!$A:$A,增益!$I:$I,0))&gt;0,($F$11-$I$4+VLOOKUP($Q12,武学奇术!$A:$ZZ,9,FALSE)+SUM(_xlfn.XLOOKUP(R12:AF12,增益!$A:$A,增益!$I:$I,0)))/200,($F$11-$I$4+VLOOKUP($Q12,武学奇术!$A:$ZZ,9,FALSE)+SUM(_xlfn.XLOOKUP(R12:AF12,增益!$A:$A,增益!$I:$I,0)))/100)</f>
        <v>-0.3</v>
      </c>
      <c r="AV12" s="32" cm="1">
        <f t="array" ref="AV12">$G$11+VLOOKUP($Q12,武学奇术!$A:$ZZ,10,FALSE)+SUM(_xlfn.XLOOKUP(R12:AF12,增益!$A:$A,增益!$J:$J,0))</f>
        <v>0</v>
      </c>
      <c r="AW12">
        <f t="shared" si="3"/>
        <v>0</v>
      </c>
      <c r="AX12">
        <f t="shared" si="4"/>
        <v>0</v>
      </c>
      <c r="AY12" s="32" cm="1">
        <f t="array" ref="AY12">IF($F$12-$I$4+VLOOKUP($Q12,武学奇术!$A:$ZZ,11,FALSE)+SUM(_xlfn.XLOOKUP(R12:AF12,增益!$A:$A,增益!$K:$K,0))&gt;0,($F$12-$I$4+VLOOKUP($Q12,武学奇术!$A:$ZZ,11,FALSE)+SUM(_xlfn.XLOOKUP(R12:AF12,增益!$A:$A,增益!$K:$K,0)))/200,($F$12-$I$4+VLOOKUP($Q12,武学奇术!$A:$ZZ,11,FALSE)+SUM(_xlfn.XLOOKUP(R12:AF12,增益!$A:$A,增益!$K:$K,0)))/100)</f>
        <v>-0.3</v>
      </c>
      <c r="AZ12" s="32" cm="1">
        <f t="array" ref="AZ12">$G$12+VLOOKUP($Q12,武学奇术!$A:$ZZ,12,FALSE)+SUM(_xlfn.XLOOKUP(R12:AF12,增益!$A:$A,增益!$L:$L,0))</f>
        <v>0</v>
      </c>
      <c r="BA12">
        <f t="shared" si="5"/>
        <v>697.4</v>
      </c>
      <c r="BB12">
        <f t="shared" si="6"/>
        <v>1805</v>
      </c>
      <c r="BC12" s="32" cm="1">
        <f t="array" ref="BC12">IF($F$13-$I$4+VLOOKUP($Q12,武学奇术!$A:$ZZ,13,FALSE)+SUM(_xlfn.XLOOKUP(R12:AF12,增益!$A:$A,增益!$M:$M,0))&gt;0,($F$13-$I$4+VLOOKUP($Q12,武学奇术!$A:$ZZ,13,FALSE)+SUM(_xlfn.XLOOKUP(R12:AF12,增益!$A:$A,增益!$K:$K,0)))/200,($F$13-$I$4+VLOOKUP($Q12,武学奇术!$A:$ZZ,13,FALSE)+SUM(_xlfn.XLOOKUP(R12:AF12,增益!$A:$A,增益!$M:$M,0)))/100)</f>
        <v>0</v>
      </c>
      <c r="BD12" s="32" cm="1">
        <f t="array" ref="BD12">$G$13+VLOOKUP($Q12,武学奇术!$A:$ZZ,14,FALSE)+SUM(_xlfn.XLOOKUP(R12:AF12,增益!$A:$A,增益!$N:$N,0))</f>
        <v>0.15</v>
      </c>
      <c r="BE12">
        <f t="shared" si="7"/>
        <v>0</v>
      </c>
      <c r="BF12">
        <f t="shared" si="8"/>
        <v>0</v>
      </c>
      <c r="BG12" s="32" cm="1">
        <f t="array" ref="BG12">IF($F$14-$I$4+VLOOKUP($Q12,武学奇术!$A:$ZZ,15,FALSE)+SUM(_xlfn.XLOOKUP(R12:AF12,增益!$A:$A,增益!$O:$O,0))&gt;0,($F$14-$I$4+VLOOKUP($Q12,武学奇术!$A:$ZZ,15,FALSE)+SUM(_xlfn.XLOOKUP(R12:AF12,增益!$A:$A,增益!$O:$O,0)))/200,($F$14-$I$4+VLOOKUP($Q12,武学奇术!$A:$ZZ,15,FALSE)+SUM(_xlfn.XLOOKUP(R12:AF12,增益!$A:$A,增益!$O:$O,0)))/100)</f>
        <v>-0.3</v>
      </c>
      <c r="BH12" s="32" cm="1">
        <f t="array" ref="BH12">$G$14+VLOOKUP($Q12,武学奇术!$A:$ZZ,16,FALSE)+SUM(_xlfn.XLOOKUP(R12:AF12,增益!$A:$A,增益!$P:$P,0))</f>
        <v>0</v>
      </c>
      <c r="BI12" s="26">
        <f>MIN(IF(VLOOKUP($Q12,武学奇术!$A:$ZZ,23,FALSE)=1,100%,$B$8),100%)</f>
        <v>1</v>
      </c>
      <c r="BJ12" s="26" cm="1">
        <f t="array" ref="BJ12">IF(VLOOKUP($Q12,武学奇术!$A:$ZZ,23,FALSE)=1,100%,MIN(80%,$B$9+VLOOKUP($Q12,武学奇术!$A:$ZZ,17,FALSE)+SUM(_xlfn.XLOOKUP(R12:AF12,增益!$A:$A,增益!$Q:$Q,0)))+$B$11+SUM(_xlfn.XLOOKUP(R12:AF12,增益!$A:$A,增益!$U:$U,0)))*IF(VLOOKUP($Q12,武学奇术!$A:$ZZ,24,FALSE)=1,0,1)</f>
        <v>0.8625</v>
      </c>
      <c r="BK12" s="26" cm="1">
        <f t="array" ref="BK12">1+$B$13+VLOOKUP($Q12,武学奇术!$A:$ZZ,18,FALSE)+SUM(_xlfn.XLOOKUP(R12:AF12,增益!$A:$A,增益!$R:$R,0))</f>
        <v>1.5</v>
      </c>
      <c r="BL12" s="26" cm="1">
        <f t="array" ref="BL12">IF(VLOOKUP($Q12,武学奇术!$A:$ZZ,24,FALSE)=1,100%,MIN(40%,$B$10+VLOOKUP($Q12,武学奇术!$A:$ZZ,19,FALSE)+SUM(_xlfn.XLOOKUP(R12:AF12,增益!$A:$A,增益!$S:$S,0)))+$B$12+SUM(_xlfn.XLOOKUP(R12:AF12,增益!$A:$A,增益!$V:$V,0)))*IF(VLOOKUP($Q12,武学奇术!$A:$ZZ,23,FALSE)=1,0,1)</f>
        <v>0.0913</v>
      </c>
      <c r="BM12" s="26" cm="1">
        <f t="array" ref="BM12">1+$B$14+VLOOKUP($Q12,武学奇术!$A:$ZZ,20,FALSE)+SUM(_xlfn.XLOOKUP(R12:AF12,增益!$A:$A,增益!$T:$T,0))</f>
        <v>1.35</v>
      </c>
      <c r="BN12" s="26">
        <f t="shared" si="9"/>
        <v>0.8625</v>
      </c>
      <c r="BO12" s="26">
        <f t="shared" si="10"/>
        <v>0.0462</v>
      </c>
      <c r="BP12" s="26">
        <f>IF(VLOOKUP($Q12,武学奇术!$A:$ZZ,22,FALSE)=1,0,(1-$BI12))*(1-$BL12)</f>
        <v>0</v>
      </c>
      <c r="BQ12" s="26" cm="1">
        <f t="array" ref="BQ12">SUM(_xlfn.XLOOKUP(R12:AF12,增益!$A:$A,增益!$W:$W,0))+$I$5</f>
        <v>0.06</v>
      </c>
    </row>
    <row r="13" ht="14.25" spans="1:69">
      <c r="A13" s="41" t="s">
        <v>109</v>
      </c>
      <c r="B13" s="70">
        <f>50%+IF(G2="时雨",10%,0)</f>
        <v>0.5</v>
      </c>
      <c r="C13" s="45" t="s">
        <v>5</v>
      </c>
      <c r="D13">
        <f>(B5+IF($G$1=$C13,$B$7,0))*IF($G$2="撼天",1.06,1)</f>
        <v>697.4</v>
      </c>
      <c r="E13">
        <f>(MAX(B5,C5)+IF($G$1=$C13,$C$7,0))*IF($G$2="撼天",1.06,1)</f>
        <v>1805</v>
      </c>
      <c r="F13">
        <f>D5+IF($G$1=$C13,$D$7,0)</f>
        <v>30</v>
      </c>
      <c r="G13" s="88">
        <f>E5</f>
        <v>0.15</v>
      </c>
      <c r="H13" s="71"/>
      <c r="I13" s="78"/>
      <c r="J13" s="76"/>
      <c r="K13" s="38">
        <f t="shared" si="0"/>
        <v>0</v>
      </c>
      <c r="L13" s="38">
        <f>((($AN13+$AO13)/2*$AH13+$AI13)*(1+$AP13)*(1+$AQ13)+(($AS13+$AT13)/2*IF($G$1="鸣金",$AJ13,$AH13)+IF($G$1="鸣金",$AK13*1.5,0))*(1+$AU13)*(1+$AV13)+(($AW13+$AX13)/2*IF($G$1="裂石",$AJ13,$AH13)+IF($G$1="裂石",$AK13*1.5,0))*(1+$AY13)*(1+$AZ13)+(($BA13+$BB13)/2*IF($G$1="牵丝",$AJ13,$AH13)+IF($G$1="牵丝",$AK13*1.5,0))*(1+$BC13)*(1+$BD13)+(($BE13+$BF13)/2*IF($G$1="破竹",$AJ13,$AH13)+IF($G$1="破竹",$AK13*1.5,0))*(1+$BG13)*(1+$BH13))*(1+$AL13)*$BK13*$P13*(1+IF(VLOOKUP($Q13,武学奇术!$A:$ZZ,30,FALSE)="蓄力技",#REF!,0))*(1+$BQ13)</f>
        <v>0</v>
      </c>
      <c r="M13" s="38">
        <f>(($AO13*$AH13+$AI13)*(1+$AP13)*(1+$AQ13)+($AT13*IF($G$1="鸣金",$AJ13,$AH13)+IF($G$1="鸣金",$AK13*1.5,0))*(1+$AU13)*(1+$AV13)+($AX13*IF($G$1="裂石",$AJ13,$AH13)+IF($G$1="裂石",$AK13*1.5,0))*(1+$AY13)*(1+$AZ13)+($BB13*IF($G$1="牵丝",$AJ13,$AH13)+IF($G$1="牵丝",$AK13*1.5,0))*(1+$BC13)*(1+$BD13)+($BF13*IF($G$1="破竹",$AJ13,$AH13)+IF($G$1="破竹",$AK13*1.5,0))*(1+$BG13)*(1+$BH13))*(1+$AL13)*$BM13*$P13*(1+IF(VLOOKUP($Q13,武学奇术!$A:$ZZ,30,FALSE)="蓄力技",#REF!,0))*(1+$BQ13)</f>
        <v>0</v>
      </c>
      <c r="N13" s="38">
        <f>((($AN13+$AO13)/2*$AH13+$AI13)*(1+$AP13)*(1+$AQ13)+(($AS13+$AT13)/2*IF($G$1="鸣金",$AJ13,$AH13)+IF($G$1="鸣金",$AK13*1.5,0))*(1+$AU13)*(1+$AV13)+(($AW13+$AX13)/2*IF($G$1="裂石",$AJ13,$AH13)+IF($G$1="裂石",$AK13*1.5,0))*(1+$AY13)*(1+$AZ13)+(($BA13+$BB13)/2*IF($G$1="牵丝",$AJ13,$AH13)+IF($G$1="牵丝",$AK13*1.5,0))*(1+$BC13)*(1+$BD13)+(($BE13+$BF13)/2*IF($G$1="破竹",$AJ13,$AH13)+IF($G$1="破竹",$AK13*1.5,0))*(1+$BG13)*(1+$BH13))*(1+$AL13)*$P13*(1+IF(VLOOKUP($Q13,武学奇术!$A:$ZZ,30,FALSE)="蓄力技",#REF!,0))*(1+$BQ13)</f>
        <v>0</v>
      </c>
      <c r="O13" s="38">
        <f>((($AN13*$AH13+$AI13)*(1+$AP13)*(1+$AQ13)+($AS13*IF($G$1="鸣金",$AJ13,$AH13)+IF($G$1="鸣金",$AK13*1.5,0))*(1+$AU13)*(1+$AV13)+($AW13*IF($G$1="裂石",$AJ13,$AH13)+IF($G$1="裂石",$AK13*1.5,0))*(1+$AY13)*(1+$AZ13)+($BA13*IF($G$1="牵丝",$AJ13,$AH13)+IF($G$1="牵丝",$AK13*1.5,0))*(1+$BC13)*(1+$BD13)+($BE13*IF($G$1="破竹",$AJ13,$AH13)+IF($G$1="破竹",$AK13*1.5,0))*(1+$BG13)*(1+$BH13))*(1+$AL13))*$P13*(1+IF(VLOOKUP($Q13,武学奇术!$A:$ZZ,30,FALSE)="蓄力技",#REF!,0))*(1+$BQ13)</f>
        <v>0</v>
      </c>
      <c r="P13" s="39">
        <v>1</v>
      </c>
      <c r="Q13" s="40" t="s">
        <v>76</v>
      </c>
      <c r="R13" s="40" t="s">
        <v>76</v>
      </c>
      <c r="S13" s="40" t="s">
        <v>76</v>
      </c>
      <c r="T13" s="40" t="s">
        <v>76</v>
      </c>
      <c r="U13" s="40" t="s">
        <v>76</v>
      </c>
      <c r="V13" s="40" t="s">
        <v>76</v>
      </c>
      <c r="W13" s="40" t="s">
        <v>76</v>
      </c>
      <c r="X13" s="40" t="s">
        <v>76</v>
      </c>
      <c r="Y13" s="40" t="s">
        <v>76</v>
      </c>
      <c r="Z13" s="40" t="s">
        <v>76</v>
      </c>
      <c r="AA13" s="40" t="s">
        <v>76</v>
      </c>
      <c r="AB13" s="40" t="s">
        <v>76</v>
      </c>
      <c r="AC13" s="40" t="s">
        <v>76</v>
      </c>
      <c r="AD13" s="40" t="s">
        <v>76</v>
      </c>
      <c r="AE13" s="40" t="s">
        <v>76</v>
      </c>
      <c r="AF13" s="40" t="s">
        <v>76</v>
      </c>
      <c r="AG13" t="str">
        <f>VLOOKUP($Q13,武学奇术!$A:$ZZ,25,FALSE)</f>
        <v>心法</v>
      </c>
      <c r="AH13" s="26">
        <f>VLOOKUP($Q13,武学奇术!$A:$ZZ,26,FALSE)</f>
        <v>0</v>
      </c>
      <c r="AI13" s="27">
        <f>VLOOKUP($Q13,武学奇术!$A:$ZZ,27,FALSE)*(1+IF(OR($AG13=$F$4,$AG13=$F$5),$B$21,0))</f>
        <v>0</v>
      </c>
      <c r="AJ13" s="26">
        <f>VLOOKUP($Q13,武学奇术!$A:$ZZ,28,FALSE)</f>
        <v>0</v>
      </c>
      <c r="AK13" s="27">
        <f>VLOOKUP($Q13,武学奇术!$A:$ZZ,29,FALSE)*(1+IF(OR($AG13=$F$4,$AG13=$F$5),$B$21,0))</f>
        <v>0</v>
      </c>
      <c r="AL13" s="26" cm="1">
        <f t="array" ref="AL13">$G$3+IFERROR(VLOOKUP($AG13,$F$4:$G$7,2,FALSE),0)+VLOOKUP($Q13,武学奇术!$A:$ZZ,2,FALSE)+SUM(_xlfn.XLOOKUP($R13:$AF13,增益!$A:$A,增益!$B:$B,0))</f>
        <v>0.2642</v>
      </c>
      <c r="AM13" s="26" cm="1">
        <f t="array" ref="AM13">VLOOKUP($Q13,武学奇术!$A:$ZZ,5,FALSE)+SUM(_xlfn.XLOOKUP($R13:$AF13,增益!$A:$A,增益!$E:$E,0))</f>
        <v>0</v>
      </c>
      <c r="AN13" cm="1">
        <f t="array" ref="AN13">$D$10*(1+$AM13)+VLOOKUP($Q13,武学奇术!$A:$ZZ,3,FALSE)+SUM(_xlfn.XLOOKUP($R13:$AF13,增益!$A:$A,增益!$C:$C,0))-$I$2</f>
        <v>3977.2</v>
      </c>
      <c r="AO13" cm="1">
        <f t="array" ref="AO13">$E$10*(1+$AM13)+VLOOKUP($Q13,武学奇术!$A:$ZZ,4,FALSE)+SUM(_xlfn.XLOOKUP($R13:$AF13,增益!$A:$A,增益!$D:$D,0))-$I$2</f>
        <v>3977.2</v>
      </c>
      <c r="AP13" s="32" cm="1">
        <f t="array" ref="AP13">IF($F$10-$I$3+VLOOKUP($Q13,武学奇术!$A:$ZZ,6,FALSE)+SUM(_xlfn.XLOOKUP(R13:AF13,增益!$A:$A,增益!$F:$F,0))&gt;0,($F$10-$I$3+VLOOKUP($Q13,武学奇术!$A:$ZZ,6,FALSE)+SUM(_xlfn.XLOOKUP(R13:AF13,增益!$A:$A,增益!$F:$F,0)))/200,($F$10-$I$3+VLOOKUP($Q13,武学奇术!$A:$ZZ,6,FALSE)+SUM(_xlfn.XLOOKUP(R13:AF13,增益!$A:$A,增益!$F:$F,0)))/100)</f>
        <v>0.294</v>
      </c>
      <c r="AQ13" s="32" cm="1">
        <f t="array" ref="AQ13">$G$10+VLOOKUP($Q13,武学奇术!$A:$ZZ,7,FALSE)+SUM(_xlfn.XLOOKUP(R13:AF13,增益!$A:$A,增益!$G:$G,0))</f>
        <v>0</v>
      </c>
      <c r="AR13" s="26" cm="1">
        <f t="array" ref="AR13">VLOOKUP($Q13,武学奇术!$A:$ZZ,8,FALSE)+SUM(_xlfn.XLOOKUP(R13:AF13,增益!$A:$A,增益!$H:$H,0))</f>
        <v>0</v>
      </c>
      <c r="AS13">
        <f t="shared" si="1"/>
        <v>0</v>
      </c>
      <c r="AT13">
        <f t="shared" si="2"/>
        <v>0</v>
      </c>
      <c r="AU13" s="32" cm="1">
        <f t="array" ref="AU13">IF($F$11-$I$4+VLOOKUP($Q13,武学奇术!$A:$ZZ,9,FALSE)+SUM(_xlfn.XLOOKUP(R13:AF13,增益!$A:$A,增益!$I:$I,0))&gt;0,($F$11-$I$4+VLOOKUP($Q13,武学奇术!$A:$ZZ,9,FALSE)+SUM(_xlfn.XLOOKUP(R13:AF13,增益!$A:$A,增益!$I:$I,0)))/200,($F$11-$I$4+VLOOKUP($Q13,武学奇术!$A:$ZZ,9,FALSE)+SUM(_xlfn.XLOOKUP(R13:AF13,增益!$A:$A,增益!$I:$I,0)))/100)</f>
        <v>-0.3</v>
      </c>
      <c r="AV13" s="32" cm="1">
        <f t="array" ref="AV13">$G$11+VLOOKUP($Q13,武学奇术!$A:$ZZ,10,FALSE)+SUM(_xlfn.XLOOKUP(R13:AF13,增益!$A:$A,增益!$J:$J,0))</f>
        <v>0</v>
      </c>
      <c r="AW13">
        <f t="shared" si="3"/>
        <v>0</v>
      </c>
      <c r="AX13">
        <f t="shared" si="4"/>
        <v>0</v>
      </c>
      <c r="AY13" s="32" cm="1">
        <f t="array" ref="AY13">IF($F$12-$I$4+VLOOKUP($Q13,武学奇术!$A:$ZZ,11,FALSE)+SUM(_xlfn.XLOOKUP(R13:AF13,增益!$A:$A,增益!$K:$K,0))&gt;0,($F$12-$I$4+VLOOKUP($Q13,武学奇术!$A:$ZZ,11,FALSE)+SUM(_xlfn.XLOOKUP(R13:AF13,增益!$A:$A,增益!$K:$K,0)))/200,($F$12-$I$4+VLOOKUP($Q13,武学奇术!$A:$ZZ,11,FALSE)+SUM(_xlfn.XLOOKUP(R13:AF13,增益!$A:$A,增益!$K:$K,0)))/100)</f>
        <v>-0.3</v>
      </c>
      <c r="AZ13" s="32" cm="1">
        <f t="array" ref="AZ13">$G$12+VLOOKUP($Q13,武学奇术!$A:$ZZ,12,FALSE)+SUM(_xlfn.XLOOKUP(R13:AF13,增益!$A:$A,增益!$L:$L,0))</f>
        <v>0</v>
      </c>
      <c r="BA13">
        <f t="shared" si="5"/>
        <v>697.4</v>
      </c>
      <c r="BB13">
        <f t="shared" si="6"/>
        <v>1805</v>
      </c>
      <c r="BC13" s="32" cm="1">
        <f t="array" ref="BC13">IF($F$13-$I$4+VLOOKUP($Q13,武学奇术!$A:$ZZ,13,FALSE)+SUM(_xlfn.XLOOKUP(R13:AF13,增益!$A:$A,增益!$M:$M,0))&gt;0,($F$13-$I$4+VLOOKUP($Q13,武学奇术!$A:$ZZ,13,FALSE)+SUM(_xlfn.XLOOKUP(R13:AF13,增益!$A:$A,增益!$K:$K,0)))/200,($F$13-$I$4+VLOOKUP($Q13,武学奇术!$A:$ZZ,13,FALSE)+SUM(_xlfn.XLOOKUP(R13:AF13,增益!$A:$A,增益!$M:$M,0)))/100)</f>
        <v>0</v>
      </c>
      <c r="BD13" s="32" cm="1">
        <f t="array" ref="BD13">$G$13+VLOOKUP($Q13,武学奇术!$A:$ZZ,14,FALSE)+SUM(_xlfn.XLOOKUP(R13:AF13,增益!$A:$A,增益!$N:$N,0))</f>
        <v>0.15</v>
      </c>
      <c r="BE13">
        <f t="shared" si="7"/>
        <v>0</v>
      </c>
      <c r="BF13">
        <f t="shared" si="8"/>
        <v>0</v>
      </c>
      <c r="BG13" s="32" cm="1">
        <f t="array" ref="BG13">IF($F$14-$I$4+VLOOKUP($Q13,武学奇术!$A:$ZZ,15,FALSE)+SUM(_xlfn.XLOOKUP(R13:AF13,增益!$A:$A,增益!$O:$O,0))&gt;0,($F$14-$I$4+VLOOKUP($Q13,武学奇术!$A:$ZZ,15,FALSE)+SUM(_xlfn.XLOOKUP(R13:AF13,增益!$A:$A,增益!$O:$O,0)))/200,($F$14-$I$4+VLOOKUP($Q13,武学奇术!$A:$ZZ,15,FALSE)+SUM(_xlfn.XLOOKUP(R13:AF13,增益!$A:$A,增益!$O:$O,0)))/100)</f>
        <v>-0.3</v>
      </c>
      <c r="BH13" s="32" cm="1">
        <f t="array" ref="BH13">$G$14+VLOOKUP($Q13,武学奇术!$A:$ZZ,16,FALSE)+SUM(_xlfn.XLOOKUP(R13:AF13,增益!$A:$A,增益!$P:$P,0))</f>
        <v>0</v>
      </c>
      <c r="BI13" s="26">
        <f>MIN(IF(VLOOKUP($Q13,武学奇术!$A:$ZZ,23,FALSE)=1,100%,$B$8),100%)</f>
        <v>1</v>
      </c>
      <c r="BJ13" s="26" cm="1">
        <f t="array" ref="BJ13">IF(VLOOKUP($Q13,武学奇术!$A:$ZZ,23,FALSE)=1,100%,MIN(80%,$B$9+VLOOKUP($Q13,武学奇术!$A:$ZZ,17,FALSE)+SUM(_xlfn.XLOOKUP(R13:AF13,增益!$A:$A,增益!$Q:$Q,0)))+$B$11+SUM(_xlfn.XLOOKUP(R13:AF13,增益!$A:$A,增益!$U:$U,0)))*IF(VLOOKUP($Q13,武学奇术!$A:$ZZ,24,FALSE)=1,0,1)</f>
        <v>0.8625</v>
      </c>
      <c r="BK13" s="26" cm="1">
        <f t="array" ref="BK13">1+$B$13+VLOOKUP($Q13,武学奇术!$A:$ZZ,18,FALSE)+SUM(_xlfn.XLOOKUP(R13:AF13,增益!$A:$A,增益!$R:$R,0))</f>
        <v>1.5</v>
      </c>
      <c r="BL13" s="26" cm="1">
        <f t="array" ref="BL13">IF(VLOOKUP($Q13,武学奇术!$A:$ZZ,24,FALSE)=1,100%,MIN(40%,$B$10+VLOOKUP($Q13,武学奇术!$A:$ZZ,19,FALSE)+SUM(_xlfn.XLOOKUP(R13:AF13,增益!$A:$A,增益!$S:$S,0)))+$B$12+SUM(_xlfn.XLOOKUP(R13:AF13,增益!$A:$A,增益!$V:$V,0)))*IF(VLOOKUP($Q13,武学奇术!$A:$ZZ,23,FALSE)=1,0,1)</f>
        <v>0.0913</v>
      </c>
      <c r="BM13" s="26" cm="1">
        <f t="array" ref="BM13">1+$B$14+VLOOKUP($Q13,武学奇术!$A:$ZZ,20,FALSE)+SUM(_xlfn.XLOOKUP(R13:AF13,增益!$A:$A,增益!$T:$T,0))</f>
        <v>1.35</v>
      </c>
      <c r="BN13" s="26">
        <f t="shared" si="9"/>
        <v>0.8625</v>
      </c>
      <c r="BO13" s="26">
        <f t="shared" si="10"/>
        <v>0.0462</v>
      </c>
      <c r="BP13" s="26">
        <f>IF(VLOOKUP($Q13,武学奇术!$A:$ZZ,22,FALSE)=1,0,(1-$BI13))*(1-$BL13)</f>
        <v>0</v>
      </c>
      <c r="BQ13" s="26" cm="1">
        <f t="array" ref="BQ13">SUM(_xlfn.XLOOKUP(R13:AF13,增益!$A:$A,增益!$W:$W,0))+$I$5</f>
        <v>0.06</v>
      </c>
    </row>
    <row r="14" ht="14.25" spans="1:69">
      <c r="A14" s="41" t="s">
        <v>110</v>
      </c>
      <c r="B14" s="70">
        <v>0.35</v>
      </c>
      <c r="C14" s="53" t="s">
        <v>93</v>
      </c>
      <c r="D14" s="14">
        <f>(B6+IF($G$1=$C14,B7,0))*IF($G$2="撼天",1.06,1)</f>
        <v>0</v>
      </c>
      <c r="E14" s="14">
        <f>(MAX(B6,C6)+IF($G$1=$C14,$C$7,0))*IF($G$2="撼天",1.06,1)</f>
        <v>0</v>
      </c>
      <c r="F14" s="14">
        <f>D6+IF($G$1=$C14,$D$7,0)</f>
        <v>0</v>
      </c>
      <c r="G14" s="89">
        <f>E6</f>
        <v>0</v>
      </c>
      <c r="H14" s="36" t="s">
        <v>111</v>
      </c>
      <c r="I14" s="73">
        <f>RD!I14</f>
        <v>109913.333619925</v>
      </c>
      <c r="J14" s="74"/>
      <c r="K14" s="38">
        <f t="shared" si="0"/>
        <v>0</v>
      </c>
      <c r="L14" s="38">
        <f>((($AN14+$AO14)/2*$AH14+$AI14)*(1+$AP14)*(1+$AQ14)+(($AS14+$AT14)/2*IF($G$1="鸣金",$AJ14,$AH14)+IF($G$1="鸣金",$AK14*1.5,0))*(1+$AU14)*(1+$AV14)+(($AW14+$AX14)/2*IF($G$1="裂石",$AJ14,$AH14)+IF($G$1="裂石",$AK14*1.5,0))*(1+$AY14)*(1+$AZ14)+(($BA14+$BB14)/2*IF($G$1="牵丝",$AJ14,$AH14)+IF($G$1="牵丝",$AK14*1.5,0))*(1+$BC14)*(1+$BD14)+(($BE14+$BF14)/2*IF($G$1="破竹",$AJ14,$AH14)+IF($G$1="破竹",$AK14*1.5,0))*(1+$BG14)*(1+$BH14))*(1+$AL14)*$BK14*$P14*(1+IF(VLOOKUP($Q14,武学奇术!$A:$ZZ,30,FALSE)="蓄力技",#REF!,0))*(1+$BQ14)</f>
        <v>0</v>
      </c>
      <c r="M14" s="38">
        <f>(($AO14*$AH14+$AI14)*(1+$AP14)*(1+$AQ14)+($AT14*IF($G$1="鸣金",$AJ14,$AH14)+IF($G$1="鸣金",$AK14*1.5,0))*(1+$AU14)*(1+$AV14)+($AX14*IF($G$1="裂石",$AJ14,$AH14)+IF($G$1="裂石",$AK14*1.5,0))*(1+$AY14)*(1+$AZ14)+($BB14*IF($G$1="牵丝",$AJ14,$AH14)+IF($G$1="牵丝",$AK14*1.5,0))*(1+$BC14)*(1+$BD14)+($BF14*IF($G$1="破竹",$AJ14,$AH14)+IF($G$1="破竹",$AK14*1.5,0))*(1+$BG14)*(1+$BH14))*(1+$AL14)*$BM14*$P14*(1+IF(VLOOKUP($Q14,武学奇术!$A:$ZZ,30,FALSE)="蓄力技",#REF!,0))*(1+$BQ14)</f>
        <v>0</v>
      </c>
      <c r="N14" s="38">
        <f>((($AN14+$AO14)/2*$AH14+$AI14)*(1+$AP14)*(1+$AQ14)+(($AS14+$AT14)/2*IF($G$1="鸣金",$AJ14,$AH14)+IF($G$1="鸣金",$AK14*1.5,0))*(1+$AU14)*(1+$AV14)+(($AW14+$AX14)/2*IF($G$1="裂石",$AJ14,$AH14)+IF($G$1="裂石",$AK14*1.5,0))*(1+$AY14)*(1+$AZ14)+(($BA14+$BB14)/2*IF($G$1="牵丝",$AJ14,$AH14)+IF($G$1="牵丝",$AK14*1.5,0))*(1+$BC14)*(1+$BD14)+(($BE14+$BF14)/2*IF($G$1="破竹",$AJ14,$AH14)+IF($G$1="破竹",$AK14*1.5,0))*(1+$BG14)*(1+$BH14))*(1+$AL14)*$P14*(1+IF(VLOOKUP($Q14,武学奇术!$A:$ZZ,30,FALSE)="蓄力技",#REF!,0))*(1+$BQ14)</f>
        <v>0</v>
      </c>
      <c r="O14" s="38">
        <f>((($AN14*$AH14+$AI14)*(1+$AP14)*(1+$AQ14)+($AS14*IF($G$1="鸣金",$AJ14,$AH14)+IF($G$1="鸣金",$AK14*1.5,0))*(1+$AU14)*(1+$AV14)+($AW14*IF($G$1="裂石",$AJ14,$AH14)+IF($G$1="裂石",$AK14*1.5,0))*(1+$AY14)*(1+$AZ14)+($BA14*IF($G$1="牵丝",$AJ14,$AH14)+IF($G$1="牵丝",$AK14*1.5,0))*(1+$BC14)*(1+$BD14)+($BE14*IF($G$1="破竹",$AJ14,$AH14)+IF($G$1="破竹",$AK14*1.5,0))*(1+$BG14)*(1+$BH14))*(1+$AL14))*$P14*(1+IF(VLOOKUP($Q14,武学奇术!$A:$ZZ,30,FALSE)="蓄力技",#REF!,0))*(1+$BQ14)</f>
        <v>0</v>
      </c>
      <c r="P14" s="39">
        <v>1</v>
      </c>
      <c r="Q14" s="40" t="s">
        <v>76</v>
      </c>
      <c r="R14" s="40" t="s">
        <v>76</v>
      </c>
      <c r="S14" s="40" t="s">
        <v>76</v>
      </c>
      <c r="T14" s="40" t="s">
        <v>76</v>
      </c>
      <c r="U14" s="40" t="s">
        <v>76</v>
      </c>
      <c r="V14" s="40" t="s">
        <v>76</v>
      </c>
      <c r="W14" s="40" t="s">
        <v>76</v>
      </c>
      <c r="X14" s="40" t="s">
        <v>76</v>
      </c>
      <c r="Y14" s="40" t="s">
        <v>76</v>
      </c>
      <c r="Z14" s="40" t="s">
        <v>76</v>
      </c>
      <c r="AA14" s="40" t="s">
        <v>76</v>
      </c>
      <c r="AB14" s="40" t="s">
        <v>76</v>
      </c>
      <c r="AC14" s="40" t="s">
        <v>76</v>
      </c>
      <c r="AD14" s="40" t="s">
        <v>76</v>
      </c>
      <c r="AE14" s="40" t="s">
        <v>76</v>
      </c>
      <c r="AF14" s="40" t="s">
        <v>76</v>
      </c>
      <c r="AG14" t="str">
        <f>VLOOKUP($Q14,武学奇术!$A:$ZZ,25,FALSE)</f>
        <v>心法</v>
      </c>
      <c r="AH14" s="26">
        <f>VLOOKUP($Q14,武学奇术!$A:$ZZ,26,FALSE)</f>
        <v>0</v>
      </c>
      <c r="AI14" s="27">
        <f>VLOOKUP($Q14,武学奇术!$A:$ZZ,27,FALSE)*(1+IF(OR($AG14=$F$4,$AG14=$F$5),$B$21,0))</f>
        <v>0</v>
      </c>
      <c r="AJ14" s="26">
        <f>VLOOKUP($Q14,武学奇术!$A:$ZZ,28,FALSE)</f>
        <v>0</v>
      </c>
      <c r="AK14" s="27">
        <f>VLOOKUP($Q14,武学奇术!$A:$ZZ,29,FALSE)*(1+IF(OR($AG14=$F$4,$AG14=$F$5),$B$21,0))</f>
        <v>0</v>
      </c>
      <c r="AL14" s="26" cm="1">
        <f t="array" ref="AL14">$G$3+IFERROR(VLOOKUP($AG14,$F$4:$G$7,2,FALSE),0)+VLOOKUP($Q14,武学奇术!$A:$ZZ,2,FALSE)+SUM(_xlfn.XLOOKUP($R14:$AF14,增益!$A:$A,增益!$B:$B,0))</f>
        <v>0.2642</v>
      </c>
      <c r="AM14" s="26" cm="1">
        <f t="array" ref="AM14">VLOOKUP($Q14,武学奇术!$A:$ZZ,5,FALSE)+SUM(_xlfn.XLOOKUP($R14:$AF14,增益!$A:$A,增益!$E:$E,0))</f>
        <v>0</v>
      </c>
      <c r="AN14" cm="1">
        <f t="array" ref="AN14">$D$10*(1+$AM14)+VLOOKUP($Q14,武学奇术!$A:$ZZ,3,FALSE)+SUM(_xlfn.XLOOKUP($R14:$AF14,增益!$A:$A,增益!$C:$C,0))-$I$2</f>
        <v>3977.2</v>
      </c>
      <c r="AO14" cm="1">
        <f t="array" ref="AO14">$E$10*(1+$AM14)+VLOOKUP($Q14,武学奇术!$A:$ZZ,4,FALSE)+SUM(_xlfn.XLOOKUP($R14:$AF14,增益!$A:$A,增益!$D:$D,0))-$I$2</f>
        <v>3977.2</v>
      </c>
      <c r="AP14" s="32" cm="1">
        <f t="array" ref="AP14">IF($F$10-$I$3+VLOOKUP($Q14,武学奇术!$A:$ZZ,6,FALSE)+SUM(_xlfn.XLOOKUP(R14:AF14,增益!$A:$A,增益!$F:$F,0))&gt;0,($F$10-$I$3+VLOOKUP($Q14,武学奇术!$A:$ZZ,6,FALSE)+SUM(_xlfn.XLOOKUP(R14:AF14,增益!$A:$A,增益!$F:$F,0)))/200,($F$10-$I$3+VLOOKUP($Q14,武学奇术!$A:$ZZ,6,FALSE)+SUM(_xlfn.XLOOKUP(R14:AF14,增益!$A:$A,增益!$F:$F,0)))/100)</f>
        <v>0.294</v>
      </c>
      <c r="AQ14" s="32" cm="1">
        <f t="array" ref="AQ14">$G$10+VLOOKUP($Q14,武学奇术!$A:$ZZ,7,FALSE)+SUM(_xlfn.XLOOKUP(R14:AF14,增益!$A:$A,增益!$G:$G,0))</f>
        <v>0</v>
      </c>
      <c r="AR14" s="26" cm="1">
        <f t="array" ref="AR14">VLOOKUP($Q14,武学奇术!$A:$ZZ,8,FALSE)+SUM(_xlfn.XLOOKUP(R14:AF14,增益!$A:$A,增益!$H:$H,0))</f>
        <v>0</v>
      </c>
      <c r="AS14">
        <f t="shared" si="1"/>
        <v>0</v>
      </c>
      <c r="AT14">
        <f t="shared" si="2"/>
        <v>0</v>
      </c>
      <c r="AU14" s="32" cm="1">
        <f t="array" ref="AU14">IF($F$11-$I$4+VLOOKUP($Q14,武学奇术!$A:$ZZ,9,FALSE)+SUM(_xlfn.XLOOKUP(R14:AF14,增益!$A:$A,增益!$I:$I,0))&gt;0,($F$11-$I$4+VLOOKUP($Q14,武学奇术!$A:$ZZ,9,FALSE)+SUM(_xlfn.XLOOKUP(R14:AF14,增益!$A:$A,增益!$I:$I,0)))/200,($F$11-$I$4+VLOOKUP($Q14,武学奇术!$A:$ZZ,9,FALSE)+SUM(_xlfn.XLOOKUP(R14:AF14,增益!$A:$A,增益!$I:$I,0)))/100)</f>
        <v>-0.3</v>
      </c>
      <c r="AV14" s="32" cm="1">
        <f t="array" ref="AV14">$G$11+VLOOKUP($Q14,武学奇术!$A:$ZZ,10,FALSE)+SUM(_xlfn.XLOOKUP(R14:AF14,增益!$A:$A,增益!$J:$J,0))</f>
        <v>0</v>
      </c>
      <c r="AW14">
        <f t="shared" si="3"/>
        <v>0</v>
      </c>
      <c r="AX14">
        <f t="shared" si="4"/>
        <v>0</v>
      </c>
      <c r="AY14" s="32" cm="1">
        <f t="array" ref="AY14">IF($F$12-$I$4+VLOOKUP($Q14,武学奇术!$A:$ZZ,11,FALSE)+SUM(_xlfn.XLOOKUP(R14:AF14,增益!$A:$A,增益!$K:$K,0))&gt;0,($F$12-$I$4+VLOOKUP($Q14,武学奇术!$A:$ZZ,11,FALSE)+SUM(_xlfn.XLOOKUP(R14:AF14,增益!$A:$A,增益!$K:$K,0)))/200,($F$12-$I$4+VLOOKUP($Q14,武学奇术!$A:$ZZ,11,FALSE)+SUM(_xlfn.XLOOKUP(R14:AF14,增益!$A:$A,增益!$K:$K,0)))/100)</f>
        <v>-0.3</v>
      </c>
      <c r="AZ14" s="32" cm="1">
        <f t="array" ref="AZ14">$G$12+VLOOKUP($Q14,武学奇术!$A:$ZZ,12,FALSE)+SUM(_xlfn.XLOOKUP(R14:AF14,增益!$A:$A,增益!$L:$L,0))</f>
        <v>0</v>
      </c>
      <c r="BA14">
        <f t="shared" si="5"/>
        <v>697.4</v>
      </c>
      <c r="BB14">
        <f t="shared" si="6"/>
        <v>1805</v>
      </c>
      <c r="BC14" s="32" cm="1">
        <f t="array" ref="BC14">IF($F$13-$I$4+VLOOKUP($Q14,武学奇术!$A:$ZZ,13,FALSE)+SUM(_xlfn.XLOOKUP(R14:AF14,增益!$A:$A,增益!$M:$M,0))&gt;0,($F$13-$I$4+VLOOKUP($Q14,武学奇术!$A:$ZZ,13,FALSE)+SUM(_xlfn.XLOOKUP(R14:AF14,增益!$A:$A,增益!$K:$K,0)))/200,($F$13-$I$4+VLOOKUP($Q14,武学奇术!$A:$ZZ,13,FALSE)+SUM(_xlfn.XLOOKUP(R14:AF14,增益!$A:$A,增益!$M:$M,0)))/100)</f>
        <v>0</v>
      </c>
      <c r="BD14" s="32" cm="1">
        <f t="array" ref="BD14">$G$13+VLOOKUP($Q14,武学奇术!$A:$ZZ,14,FALSE)+SUM(_xlfn.XLOOKUP(R14:AF14,增益!$A:$A,增益!$N:$N,0))</f>
        <v>0.15</v>
      </c>
      <c r="BE14">
        <f t="shared" si="7"/>
        <v>0</v>
      </c>
      <c r="BF14">
        <f t="shared" si="8"/>
        <v>0</v>
      </c>
      <c r="BG14" s="32" cm="1">
        <f t="array" ref="BG14">IF($F$14-$I$4+VLOOKUP($Q14,武学奇术!$A:$ZZ,15,FALSE)+SUM(_xlfn.XLOOKUP(R14:AF14,增益!$A:$A,增益!$O:$O,0))&gt;0,($F$14-$I$4+VLOOKUP($Q14,武学奇术!$A:$ZZ,15,FALSE)+SUM(_xlfn.XLOOKUP(R14:AF14,增益!$A:$A,增益!$O:$O,0)))/200,($F$14-$I$4+VLOOKUP($Q14,武学奇术!$A:$ZZ,15,FALSE)+SUM(_xlfn.XLOOKUP(R14:AF14,增益!$A:$A,增益!$O:$O,0)))/100)</f>
        <v>-0.3</v>
      </c>
      <c r="BH14" s="32" cm="1">
        <f t="array" ref="BH14">$G$14+VLOOKUP($Q14,武学奇术!$A:$ZZ,16,FALSE)+SUM(_xlfn.XLOOKUP(R14:AF14,增益!$A:$A,增益!$P:$P,0))</f>
        <v>0</v>
      </c>
      <c r="BI14" s="26">
        <f>MIN(IF(VLOOKUP($Q14,武学奇术!$A:$ZZ,23,FALSE)=1,100%,$B$8),100%)</f>
        <v>1</v>
      </c>
      <c r="BJ14" s="26" cm="1">
        <f t="array" ref="BJ14">IF(VLOOKUP($Q14,武学奇术!$A:$ZZ,23,FALSE)=1,100%,MIN(80%,$B$9+VLOOKUP($Q14,武学奇术!$A:$ZZ,17,FALSE)+SUM(_xlfn.XLOOKUP(R14:AF14,增益!$A:$A,增益!$Q:$Q,0)))+$B$11+SUM(_xlfn.XLOOKUP(R14:AF14,增益!$A:$A,增益!$U:$U,0)))*IF(VLOOKUP($Q14,武学奇术!$A:$ZZ,24,FALSE)=1,0,1)</f>
        <v>0.8625</v>
      </c>
      <c r="BK14" s="26" cm="1">
        <f t="array" ref="BK14">1+$B$13+VLOOKUP($Q14,武学奇术!$A:$ZZ,18,FALSE)+SUM(_xlfn.XLOOKUP(R14:AF14,增益!$A:$A,增益!$R:$R,0))</f>
        <v>1.5</v>
      </c>
      <c r="BL14" s="26" cm="1">
        <f t="array" ref="BL14">IF(VLOOKUP($Q14,武学奇术!$A:$ZZ,24,FALSE)=1,100%,MIN(40%,$B$10+VLOOKUP($Q14,武学奇术!$A:$ZZ,19,FALSE)+SUM(_xlfn.XLOOKUP(R14:AF14,增益!$A:$A,增益!$S:$S,0)))+$B$12+SUM(_xlfn.XLOOKUP(R14:AF14,增益!$A:$A,增益!$V:$V,0)))*IF(VLOOKUP($Q14,武学奇术!$A:$ZZ,23,FALSE)=1,0,1)</f>
        <v>0.0913</v>
      </c>
      <c r="BM14" s="26" cm="1">
        <f t="array" ref="BM14">1+$B$14+VLOOKUP($Q14,武学奇术!$A:$ZZ,20,FALSE)+SUM(_xlfn.XLOOKUP(R14:AF14,增益!$A:$A,增益!$T:$T,0))</f>
        <v>1.35</v>
      </c>
      <c r="BN14" s="26">
        <f t="shared" si="9"/>
        <v>0.8625</v>
      </c>
      <c r="BO14" s="26">
        <f t="shared" si="10"/>
        <v>0.0462</v>
      </c>
      <c r="BP14" s="26">
        <f>IF(VLOOKUP($Q14,武学奇术!$A:$ZZ,22,FALSE)=1,0,(1-$BI14))*(1-$BL14)</f>
        <v>0</v>
      </c>
      <c r="BQ14" s="26" cm="1">
        <f t="array" ref="BQ14">SUM(_xlfn.XLOOKUP(R14:AF14,增益!$A:$A,增益!$W:$W,0))+$I$5</f>
        <v>0.06</v>
      </c>
    </row>
    <row r="15" ht="14.25" spans="1:69">
      <c r="A15" s="41" t="s">
        <v>112</v>
      </c>
      <c r="B15" s="70">
        <v>0</v>
      </c>
      <c r="C15" s="39" t="s">
        <v>113</v>
      </c>
      <c r="D15" s="39"/>
      <c r="F15" s="79"/>
      <c r="H15" s="80"/>
      <c r="I15" s="75"/>
      <c r="J15" s="76"/>
      <c r="K15" s="38">
        <f t="shared" si="0"/>
        <v>0</v>
      </c>
      <c r="L15" s="38">
        <f>((($AN15+$AO15)/2*$AH15+$AI15)*(1+$AP15)*(1+$AQ15)+(($AS15+$AT15)/2*IF($G$1="鸣金",$AJ15,$AH15)+IF($G$1="鸣金",$AK15*1.5,0))*(1+$AU15)*(1+$AV15)+(($AW15+$AX15)/2*IF($G$1="裂石",$AJ15,$AH15)+IF($G$1="裂石",$AK15*1.5,0))*(1+$AY15)*(1+$AZ15)+(($BA15+$BB15)/2*IF($G$1="牵丝",$AJ15,$AH15)+IF($G$1="牵丝",$AK15*1.5,0))*(1+$BC15)*(1+$BD15)+(($BE15+$BF15)/2*IF($G$1="破竹",$AJ15,$AH15)+IF($G$1="破竹",$AK15*1.5,0))*(1+$BG15)*(1+$BH15))*(1+$AL15)*$BK15*$P15*(1+IF(VLOOKUP($Q15,武学奇术!$A:$ZZ,30,FALSE)="蓄力技",#REF!,0))*(1+$BQ15)</f>
        <v>0</v>
      </c>
      <c r="M15" s="38">
        <f>(($AO15*$AH15+$AI15)*(1+$AP15)*(1+$AQ15)+($AT15*IF($G$1="鸣金",$AJ15,$AH15)+IF($G$1="鸣金",$AK15*1.5,0))*(1+$AU15)*(1+$AV15)+($AX15*IF($G$1="裂石",$AJ15,$AH15)+IF($G$1="裂石",$AK15*1.5,0))*(1+$AY15)*(1+$AZ15)+($BB15*IF($G$1="牵丝",$AJ15,$AH15)+IF($G$1="牵丝",$AK15*1.5,0))*(1+$BC15)*(1+$BD15)+($BF15*IF($G$1="破竹",$AJ15,$AH15)+IF($G$1="破竹",$AK15*1.5,0))*(1+$BG15)*(1+$BH15))*(1+$AL15)*$BM15*$P15*(1+IF(VLOOKUP($Q15,武学奇术!$A:$ZZ,30,FALSE)="蓄力技",#REF!,0))*(1+$BQ15)</f>
        <v>0</v>
      </c>
      <c r="N15" s="38">
        <f>((($AN15+$AO15)/2*$AH15+$AI15)*(1+$AP15)*(1+$AQ15)+(($AS15+$AT15)/2*IF($G$1="鸣金",$AJ15,$AH15)+IF($G$1="鸣金",$AK15*1.5,0))*(1+$AU15)*(1+$AV15)+(($AW15+$AX15)/2*IF($G$1="裂石",$AJ15,$AH15)+IF($G$1="裂石",$AK15*1.5,0))*(1+$AY15)*(1+$AZ15)+(($BA15+$BB15)/2*IF($G$1="牵丝",$AJ15,$AH15)+IF($G$1="牵丝",$AK15*1.5,0))*(1+$BC15)*(1+$BD15)+(($BE15+$BF15)/2*IF($G$1="破竹",$AJ15,$AH15)+IF($G$1="破竹",$AK15*1.5,0))*(1+$BG15)*(1+$BH15))*(1+$AL15)*$P15*(1+IF(VLOOKUP($Q15,武学奇术!$A:$ZZ,30,FALSE)="蓄力技",#REF!,0))*(1+$BQ15)</f>
        <v>0</v>
      </c>
      <c r="O15" s="38">
        <f>((($AN15*$AH15+$AI15)*(1+$AP15)*(1+$AQ15)+($AS15*IF($G$1="鸣金",$AJ15,$AH15)+IF($G$1="鸣金",$AK15*1.5,0))*(1+$AU15)*(1+$AV15)+($AW15*IF($G$1="裂石",$AJ15,$AH15)+IF($G$1="裂石",$AK15*1.5,0))*(1+$AY15)*(1+$AZ15)+($BA15*IF($G$1="牵丝",$AJ15,$AH15)+IF($G$1="牵丝",$AK15*1.5,0))*(1+$BC15)*(1+$BD15)+($BE15*IF($G$1="破竹",$AJ15,$AH15)+IF($G$1="破竹",$AK15*1.5,0))*(1+$BG15)*(1+$BH15))*(1+$AL15))*$P15*(1+IF(VLOOKUP($Q15,武学奇术!$A:$ZZ,30,FALSE)="蓄力技",#REF!,0))*(1+$BQ15)</f>
        <v>0</v>
      </c>
      <c r="P15" s="39">
        <v>1</v>
      </c>
      <c r="Q15" s="40" t="s">
        <v>76</v>
      </c>
      <c r="R15" s="40" t="s">
        <v>76</v>
      </c>
      <c r="S15" s="40" t="s">
        <v>76</v>
      </c>
      <c r="T15" s="40" t="s">
        <v>76</v>
      </c>
      <c r="U15" s="40" t="s">
        <v>76</v>
      </c>
      <c r="V15" s="40" t="s">
        <v>76</v>
      </c>
      <c r="W15" s="40" t="s">
        <v>76</v>
      </c>
      <c r="X15" s="40" t="s">
        <v>76</v>
      </c>
      <c r="Y15" s="40" t="s">
        <v>76</v>
      </c>
      <c r="Z15" s="40" t="s">
        <v>76</v>
      </c>
      <c r="AA15" s="40" t="s">
        <v>76</v>
      </c>
      <c r="AB15" s="40" t="s">
        <v>76</v>
      </c>
      <c r="AC15" s="40" t="s">
        <v>76</v>
      </c>
      <c r="AD15" s="40" t="s">
        <v>76</v>
      </c>
      <c r="AE15" s="40" t="s">
        <v>76</v>
      </c>
      <c r="AF15" s="40" t="s">
        <v>76</v>
      </c>
      <c r="AG15" t="str">
        <f>VLOOKUP($Q15,武学奇术!$A:$ZZ,25,FALSE)</f>
        <v>心法</v>
      </c>
      <c r="AH15" s="26">
        <f>VLOOKUP($Q15,武学奇术!$A:$ZZ,26,FALSE)</f>
        <v>0</v>
      </c>
      <c r="AI15" s="27">
        <f>VLOOKUP($Q15,武学奇术!$A:$ZZ,27,FALSE)*(1+IF(OR($AG15=$F$4,$AG15=$F$5),$B$21,0))</f>
        <v>0</v>
      </c>
      <c r="AJ15" s="26">
        <f>VLOOKUP($Q15,武学奇术!$A:$ZZ,28,FALSE)</f>
        <v>0</v>
      </c>
      <c r="AK15" s="27">
        <f>VLOOKUP($Q15,武学奇术!$A:$ZZ,29,FALSE)*(1+IF(OR($AG15=$F$4,$AG15=$F$5),$B$21,0))</f>
        <v>0</v>
      </c>
      <c r="AL15" s="26" cm="1">
        <f t="array" ref="AL15">$G$3+IFERROR(VLOOKUP($AG15,$F$4:$G$7,2,FALSE),0)+VLOOKUP($Q15,武学奇术!$A:$ZZ,2,FALSE)+SUM(_xlfn.XLOOKUP($R15:$AF15,增益!$A:$A,增益!$B:$B,0))</f>
        <v>0.2642</v>
      </c>
      <c r="AM15" s="26" cm="1">
        <f t="array" ref="AM15">VLOOKUP($Q15,武学奇术!$A:$ZZ,5,FALSE)+SUM(_xlfn.XLOOKUP($R15:$AF15,增益!$A:$A,增益!$E:$E,0))</f>
        <v>0</v>
      </c>
      <c r="AN15" cm="1">
        <f t="array" ref="AN15">$D$10*(1+$AM15)+VLOOKUP($Q15,武学奇术!$A:$ZZ,3,FALSE)+SUM(_xlfn.XLOOKUP($R15:$AF15,增益!$A:$A,增益!$C:$C,0))-$I$2</f>
        <v>3977.2</v>
      </c>
      <c r="AO15" cm="1">
        <f t="array" ref="AO15">$E$10*(1+$AM15)+VLOOKUP($Q15,武学奇术!$A:$ZZ,4,FALSE)+SUM(_xlfn.XLOOKUP($R15:$AF15,增益!$A:$A,增益!$D:$D,0))-$I$2</f>
        <v>3977.2</v>
      </c>
      <c r="AP15" s="32" cm="1">
        <f t="array" ref="AP15">IF($F$10-$I$3+VLOOKUP($Q15,武学奇术!$A:$ZZ,6,FALSE)+SUM(_xlfn.XLOOKUP(R15:AF15,增益!$A:$A,增益!$F:$F,0))&gt;0,($F$10-$I$3+VLOOKUP($Q15,武学奇术!$A:$ZZ,6,FALSE)+SUM(_xlfn.XLOOKUP(R15:AF15,增益!$A:$A,增益!$F:$F,0)))/200,($F$10-$I$3+VLOOKUP($Q15,武学奇术!$A:$ZZ,6,FALSE)+SUM(_xlfn.XLOOKUP(R15:AF15,增益!$A:$A,增益!$F:$F,0)))/100)</f>
        <v>0.294</v>
      </c>
      <c r="AQ15" s="32" cm="1">
        <f t="array" ref="AQ15">$G$10+VLOOKUP($Q15,武学奇术!$A:$ZZ,7,FALSE)+SUM(_xlfn.XLOOKUP(R15:AF15,增益!$A:$A,增益!$G:$G,0))</f>
        <v>0</v>
      </c>
      <c r="AR15" s="26" cm="1">
        <f t="array" ref="AR15">VLOOKUP($Q15,武学奇术!$A:$ZZ,8,FALSE)+SUM(_xlfn.XLOOKUP(R15:AF15,增益!$A:$A,增益!$H:$H,0))</f>
        <v>0</v>
      </c>
      <c r="AS15">
        <f t="shared" si="1"/>
        <v>0</v>
      </c>
      <c r="AT15">
        <f t="shared" si="2"/>
        <v>0</v>
      </c>
      <c r="AU15" s="32" cm="1">
        <f t="array" ref="AU15">IF($F$11-$I$4+VLOOKUP($Q15,武学奇术!$A:$ZZ,9,FALSE)+SUM(_xlfn.XLOOKUP(R15:AF15,增益!$A:$A,增益!$I:$I,0))&gt;0,($F$11-$I$4+VLOOKUP($Q15,武学奇术!$A:$ZZ,9,FALSE)+SUM(_xlfn.XLOOKUP(R15:AF15,增益!$A:$A,增益!$I:$I,0)))/200,($F$11-$I$4+VLOOKUP($Q15,武学奇术!$A:$ZZ,9,FALSE)+SUM(_xlfn.XLOOKUP(R15:AF15,增益!$A:$A,增益!$I:$I,0)))/100)</f>
        <v>-0.3</v>
      </c>
      <c r="AV15" s="32" cm="1">
        <f t="array" ref="AV15">$G$11+VLOOKUP($Q15,武学奇术!$A:$ZZ,10,FALSE)+SUM(_xlfn.XLOOKUP(R15:AF15,增益!$A:$A,增益!$J:$J,0))</f>
        <v>0</v>
      </c>
      <c r="AW15">
        <f t="shared" si="3"/>
        <v>0</v>
      </c>
      <c r="AX15">
        <f t="shared" si="4"/>
        <v>0</v>
      </c>
      <c r="AY15" s="32" cm="1">
        <f t="array" ref="AY15">IF($F$12-$I$4+VLOOKUP($Q15,武学奇术!$A:$ZZ,11,FALSE)+SUM(_xlfn.XLOOKUP(R15:AF15,增益!$A:$A,增益!$K:$K,0))&gt;0,($F$12-$I$4+VLOOKUP($Q15,武学奇术!$A:$ZZ,11,FALSE)+SUM(_xlfn.XLOOKUP(R15:AF15,增益!$A:$A,增益!$K:$K,0)))/200,($F$12-$I$4+VLOOKUP($Q15,武学奇术!$A:$ZZ,11,FALSE)+SUM(_xlfn.XLOOKUP(R15:AF15,增益!$A:$A,增益!$K:$K,0)))/100)</f>
        <v>-0.3</v>
      </c>
      <c r="AZ15" s="32" cm="1">
        <f t="array" ref="AZ15">$G$12+VLOOKUP($Q15,武学奇术!$A:$ZZ,12,FALSE)+SUM(_xlfn.XLOOKUP(R15:AF15,增益!$A:$A,增益!$L:$L,0))</f>
        <v>0</v>
      </c>
      <c r="BA15">
        <f t="shared" si="5"/>
        <v>697.4</v>
      </c>
      <c r="BB15">
        <f t="shared" si="6"/>
        <v>1805</v>
      </c>
      <c r="BC15" s="32" cm="1">
        <f t="array" ref="BC15">IF($F$13-$I$4+VLOOKUP($Q15,武学奇术!$A:$ZZ,13,FALSE)+SUM(_xlfn.XLOOKUP(R15:AF15,增益!$A:$A,增益!$M:$M,0))&gt;0,($F$13-$I$4+VLOOKUP($Q15,武学奇术!$A:$ZZ,13,FALSE)+SUM(_xlfn.XLOOKUP(R15:AF15,增益!$A:$A,增益!$K:$K,0)))/200,($F$13-$I$4+VLOOKUP($Q15,武学奇术!$A:$ZZ,13,FALSE)+SUM(_xlfn.XLOOKUP(R15:AF15,增益!$A:$A,增益!$M:$M,0)))/100)</f>
        <v>0</v>
      </c>
      <c r="BD15" s="32" cm="1">
        <f t="array" ref="BD15">$G$13+VLOOKUP($Q15,武学奇术!$A:$ZZ,14,FALSE)+SUM(_xlfn.XLOOKUP(R15:AF15,增益!$A:$A,增益!$N:$N,0))</f>
        <v>0.15</v>
      </c>
      <c r="BE15">
        <f t="shared" si="7"/>
        <v>0</v>
      </c>
      <c r="BF15">
        <f t="shared" si="8"/>
        <v>0</v>
      </c>
      <c r="BG15" s="32" cm="1">
        <f t="array" ref="BG15">IF($F$14-$I$4+VLOOKUP($Q15,武学奇术!$A:$ZZ,15,FALSE)+SUM(_xlfn.XLOOKUP(R15:AF15,增益!$A:$A,增益!$O:$O,0))&gt;0,($F$14-$I$4+VLOOKUP($Q15,武学奇术!$A:$ZZ,15,FALSE)+SUM(_xlfn.XLOOKUP(R15:AF15,增益!$A:$A,增益!$O:$O,0)))/200,($F$14-$I$4+VLOOKUP($Q15,武学奇术!$A:$ZZ,15,FALSE)+SUM(_xlfn.XLOOKUP(R15:AF15,增益!$A:$A,增益!$O:$O,0)))/100)</f>
        <v>-0.3</v>
      </c>
      <c r="BH15" s="32" cm="1">
        <f t="array" ref="BH15">$G$14+VLOOKUP($Q15,武学奇术!$A:$ZZ,16,FALSE)+SUM(_xlfn.XLOOKUP(R15:AF15,增益!$A:$A,增益!$P:$P,0))</f>
        <v>0</v>
      </c>
      <c r="BI15" s="26">
        <f>MIN(IF(VLOOKUP($Q15,武学奇术!$A:$ZZ,23,FALSE)=1,100%,$B$8),100%)</f>
        <v>1</v>
      </c>
      <c r="BJ15" s="26" cm="1">
        <f t="array" ref="BJ15">IF(VLOOKUP($Q15,武学奇术!$A:$ZZ,23,FALSE)=1,100%,MIN(80%,$B$9+VLOOKUP($Q15,武学奇术!$A:$ZZ,17,FALSE)+SUM(_xlfn.XLOOKUP(R15:AF15,增益!$A:$A,增益!$Q:$Q,0)))+$B$11+SUM(_xlfn.XLOOKUP(R15:AF15,增益!$A:$A,增益!$U:$U,0)))*IF(VLOOKUP($Q15,武学奇术!$A:$ZZ,24,FALSE)=1,0,1)</f>
        <v>0.8625</v>
      </c>
      <c r="BK15" s="26" cm="1">
        <f t="array" ref="BK15">1+$B$13+VLOOKUP($Q15,武学奇术!$A:$ZZ,18,FALSE)+SUM(_xlfn.XLOOKUP(R15:AF15,增益!$A:$A,增益!$R:$R,0))</f>
        <v>1.5</v>
      </c>
      <c r="BL15" s="26" cm="1">
        <f t="array" ref="BL15">IF(VLOOKUP($Q15,武学奇术!$A:$ZZ,24,FALSE)=1,100%,MIN(40%,$B$10+VLOOKUP($Q15,武学奇术!$A:$ZZ,19,FALSE)+SUM(_xlfn.XLOOKUP(R15:AF15,增益!$A:$A,增益!$S:$S,0)))+$B$12+SUM(_xlfn.XLOOKUP(R15:AF15,增益!$A:$A,增益!$V:$V,0)))*IF(VLOOKUP($Q15,武学奇术!$A:$ZZ,23,FALSE)=1,0,1)</f>
        <v>0.0913</v>
      </c>
      <c r="BM15" s="26" cm="1">
        <f t="array" ref="BM15">1+$B$14+VLOOKUP($Q15,武学奇术!$A:$ZZ,20,FALSE)+SUM(_xlfn.XLOOKUP(R15:AF15,增益!$A:$A,增益!$T:$T,0))</f>
        <v>1.35</v>
      </c>
      <c r="BN15" s="26">
        <f t="shared" si="9"/>
        <v>0.8625</v>
      </c>
      <c r="BO15" s="26">
        <f t="shared" si="10"/>
        <v>0.0462</v>
      </c>
      <c r="BP15" s="26">
        <f>IF(VLOOKUP($Q15,武学奇术!$A:$ZZ,22,FALSE)=1,0,(1-$BI15))*(1-$BL15)</f>
        <v>0</v>
      </c>
      <c r="BQ15" s="26" cm="1">
        <f t="array" ref="BQ15">SUM(_xlfn.XLOOKUP(R15:AF15,增益!$A:$A,增益!$W:$W,0))+$I$5</f>
        <v>0.06</v>
      </c>
    </row>
    <row r="16" spans="1:69">
      <c r="A16" s="41" t="s">
        <v>114</v>
      </c>
      <c r="B16" s="70">
        <v>0.0892</v>
      </c>
      <c r="C16" s="39" t="s">
        <v>115</v>
      </c>
      <c r="D16" s="79" t="s">
        <v>116</v>
      </c>
      <c r="E16" s="39" t="s">
        <v>117</v>
      </c>
      <c r="F16" s="79" t="s">
        <v>116</v>
      </c>
      <c r="H16" s="68" t="s">
        <v>118</v>
      </c>
      <c r="I16" s="81">
        <f>I12/113673.94</f>
        <v>1.00078073920124</v>
      </c>
      <c r="J16" s="82"/>
      <c r="K16" s="38">
        <f t="shared" si="0"/>
        <v>0</v>
      </c>
      <c r="L16" s="38">
        <f>((($AN16+$AO16)/2*$AH16+$AI16)*(1+$AP16)*(1+$AQ16)+(($AS16+$AT16)/2*IF($G$1="鸣金",$AJ16,$AH16)+IF($G$1="鸣金",$AK16*1.5,0))*(1+$AU16)*(1+$AV16)+(($AW16+$AX16)/2*IF($G$1="裂石",$AJ16,$AH16)+IF($G$1="裂石",$AK16*1.5,0))*(1+$AY16)*(1+$AZ16)+(($BA16+$BB16)/2*IF($G$1="牵丝",$AJ16,$AH16)+IF($G$1="牵丝",$AK16*1.5,0))*(1+$BC16)*(1+$BD16)+(($BE16+$BF16)/2*IF($G$1="破竹",$AJ16,$AH16)+IF($G$1="破竹",$AK16*1.5,0))*(1+$BG16)*(1+$BH16))*(1+$AL16)*$BK16*$P16*(1+IF(VLOOKUP($Q16,武学奇术!$A:$ZZ,30,FALSE)="蓄力技",#REF!,0))*(1+$BQ16)</f>
        <v>0</v>
      </c>
      <c r="M16" s="38">
        <f>(($AO16*$AH16+$AI16)*(1+$AP16)*(1+$AQ16)+($AT16*IF($G$1="鸣金",$AJ16,$AH16)+IF($G$1="鸣金",$AK16*1.5,0))*(1+$AU16)*(1+$AV16)+($AX16*IF($G$1="裂石",$AJ16,$AH16)+IF($G$1="裂石",$AK16*1.5,0))*(1+$AY16)*(1+$AZ16)+($BB16*IF($G$1="牵丝",$AJ16,$AH16)+IF($G$1="牵丝",$AK16*1.5,0))*(1+$BC16)*(1+$BD16)+($BF16*IF($G$1="破竹",$AJ16,$AH16)+IF($G$1="破竹",$AK16*1.5,0))*(1+$BG16)*(1+$BH16))*(1+$AL16)*$BM16*$P16*(1+IF(VLOOKUP($Q16,武学奇术!$A:$ZZ,30,FALSE)="蓄力技",#REF!,0))*(1+$BQ16)</f>
        <v>0</v>
      </c>
      <c r="N16" s="38">
        <f>((($AN16+$AO16)/2*$AH16+$AI16)*(1+$AP16)*(1+$AQ16)+(($AS16+$AT16)/2*IF($G$1="鸣金",$AJ16,$AH16)+IF($G$1="鸣金",$AK16*1.5,0))*(1+$AU16)*(1+$AV16)+(($AW16+$AX16)/2*IF($G$1="裂石",$AJ16,$AH16)+IF($G$1="裂石",$AK16*1.5,0))*(1+$AY16)*(1+$AZ16)+(($BA16+$BB16)/2*IF($G$1="牵丝",$AJ16,$AH16)+IF($G$1="牵丝",$AK16*1.5,0))*(1+$BC16)*(1+$BD16)+(($BE16+$BF16)/2*IF($G$1="破竹",$AJ16,$AH16)+IF($G$1="破竹",$AK16*1.5,0))*(1+$BG16)*(1+$BH16))*(1+$AL16)*$P16*(1+IF(VLOOKUP($Q16,武学奇术!$A:$ZZ,30,FALSE)="蓄力技",#REF!,0))*(1+$BQ16)</f>
        <v>0</v>
      </c>
      <c r="O16" s="38">
        <f>((($AN16*$AH16+$AI16)*(1+$AP16)*(1+$AQ16)+($AS16*IF($G$1="鸣金",$AJ16,$AH16)+IF($G$1="鸣金",$AK16*1.5,0))*(1+$AU16)*(1+$AV16)+($AW16*IF($G$1="裂石",$AJ16,$AH16)+IF($G$1="裂石",$AK16*1.5,0))*(1+$AY16)*(1+$AZ16)+($BA16*IF($G$1="牵丝",$AJ16,$AH16)+IF($G$1="牵丝",$AK16*1.5,0))*(1+$BC16)*(1+$BD16)+($BE16*IF($G$1="破竹",$AJ16,$AH16)+IF($G$1="破竹",$AK16*1.5,0))*(1+$BG16)*(1+$BH16))*(1+$AL16))*$P16*(1+IF(VLOOKUP($Q16,武学奇术!$A:$ZZ,30,FALSE)="蓄力技",#REF!,0))*(1+$BQ16)</f>
        <v>0</v>
      </c>
      <c r="P16" s="39">
        <v>1</v>
      </c>
      <c r="Q16" s="40" t="s">
        <v>76</v>
      </c>
      <c r="R16" s="40" t="s">
        <v>76</v>
      </c>
      <c r="S16" s="40" t="s">
        <v>76</v>
      </c>
      <c r="T16" s="40" t="s">
        <v>76</v>
      </c>
      <c r="U16" s="40" t="s">
        <v>76</v>
      </c>
      <c r="V16" s="40" t="s">
        <v>76</v>
      </c>
      <c r="W16" s="40" t="s">
        <v>76</v>
      </c>
      <c r="X16" s="40" t="s">
        <v>76</v>
      </c>
      <c r="Y16" s="40" t="s">
        <v>76</v>
      </c>
      <c r="Z16" s="40" t="s">
        <v>76</v>
      </c>
      <c r="AA16" s="40" t="s">
        <v>76</v>
      </c>
      <c r="AB16" s="40" t="s">
        <v>76</v>
      </c>
      <c r="AC16" s="40" t="s">
        <v>76</v>
      </c>
      <c r="AD16" s="40" t="s">
        <v>76</v>
      </c>
      <c r="AE16" s="40" t="s">
        <v>76</v>
      </c>
      <c r="AF16" s="40" t="s">
        <v>76</v>
      </c>
      <c r="AG16" t="str">
        <f>VLOOKUP($Q16,武学奇术!$A:$ZZ,25,FALSE)</f>
        <v>心法</v>
      </c>
      <c r="AH16" s="26">
        <f>VLOOKUP($Q16,武学奇术!$A:$ZZ,26,FALSE)</f>
        <v>0</v>
      </c>
      <c r="AI16" s="27">
        <f>VLOOKUP($Q16,武学奇术!$A:$ZZ,27,FALSE)*(1+IF(OR($AG16=$F$4,$AG16=$F$5),$B$21,0))</f>
        <v>0</v>
      </c>
      <c r="AJ16" s="26">
        <f>VLOOKUP($Q16,武学奇术!$A:$ZZ,28,FALSE)</f>
        <v>0</v>
      </c>
      <c r="AK16" s="27">
        <f>VLOOKUP($Q16,武学奇术!$A:$ZZ,29,FALSE)*(1+IF(OR($AG16=$F$4,$AG16=$F$5),$B$21,0))</f>
        <v>0</v>
      </c>
      <c r="AL16" s="26" cm="1">
        <f t="array" ref="AL16">$G$3+IFERROR(VLOOKUP($AG16,$F$4:$G$7,2,FALSE),0)+VLOOKUP($Q16,武学奇术!$A:$ZZ,2,FALSE)+SUM(_xlfn.XLOOKUP($R16:$AF16,增益!$A:$A,增益!$B:$B,0))</f>
        <v>0.2642</v>
      </c>
      <c r="AM16" s="26" cm="1">
        <f t="array" ref="AM16">VLOOKUP($Q16,武学奇术!$A:$ZZ,5,FALSE)+SUM(_xlfn.XLOOKUP($R16:$AF16,增益!$A:$A,增益!$E:$E,0))</f>
        <v>0</v>
      </c>
      <c r="AN16" cm="1">
        <f t="array" ref="AN16">$D$10*(1+$AM16)+VLOOKUP($Q16,武学奇术!$A:$ZZ,3,FALSE)+SUM(_xlfn.XLOOKUP($R16:$AF16,增益!$A:$A,增益!$C:$C,0))-$I$2</f>
        <v>3977.2</v>
      </c>
      <c r="AO16" cm="1">
        <f t="array" ref="AO16">$E$10*(1+$AM16)+VLOOKUP($Q16,武学奇术!$A:$ZZ,4,FALSE)+SUM(_xlfn.XLOOKUP($R16:$AF16,增益!$A:$A,增益!$D:$D,0))-$I$2</f>
        <v>3977.2</v>
      </c>
      <c r="AP16" s="32" cm="1">
        <f t="array" ref="AP16">IF($F$10-$I$3+VLOOKUP($Q16,武学奇术!$A:$ZZ,6,FALSE)+SUM(_xlfn.XLOOKUP(R16:AF16,增益!$A:$A,增益!$F:$F,0))&gt;0,($F$10-$I$3+VLOOKUP($Q16,武学奇术!$A:$ZZ,6,FALSE)+SUM(_xlfn.XLOOKUP(R16:AF16,增益!$A:$A,增益!$F:$F,0)))/200,($F$10-$I$3+VLOOKUP($Q16,武学奇术!$A:$ZZ,6,FALSE)+SUM(_xlfn.XLOOKUP(R16:AF16,增益!$A:$A,增益!$F:$F,0)))/100)</f>
        <v>0.294</v>
      </c>
      <c r="AQ16" s="32" cm="1">
        <f t="array" ref="AQ16">$G$10+VLOOKUP($Q16,武学奇术!$A:$ZZ,7,FALSE)+SUM(_xlfn.XLOOKUP(R16:AF16,增益!$A:$A,增益!$G:$G,0))</f>
        <v>0</v>
      </c>
      <c r="AR16" s="26" cm="1">
        <f t="array" ref="AR16">VLOOKUP($Q16,武学奇术!$A:$ZZ,8,FALSE)+SUM(_xlfn.XLOOKUP(R16:AF16,增益!$A:$A,增益!$H:$H,0))</f>
        <v>0</v>
      </c>
      <c r="AS16">
        <f t="shared" si="1"/>
        <v>0</v>
      </c>
      <c r="AT16">
        <f t="shared" si="2"/>
        <v>0</v>
      </c>
      <c r="AU16" s="32" cm="1">
        <f t="array" ref="AU16">IF($F$11-$I$4+VLOOKUP($Q16,武学奇术!$A:$ZZ,9,FALSE)+SUM(_xlfn.XLOOKUP(R16:AF16,增益!$A:$A,增益!$I:$I,0))&gt;0,($F$11-$I$4+VLOOKUP($Q16,武学奇术!$A:$ZZ,9,FALSE)+SUM(_xlfn.XLOOKUP(R16:AF16,增益!$A:$A,增益!$I:$I,0)))/200,($F$11-$I$4+VLOOKUP($Q16,武学奇术!$A:$ZZ,9,FALSE)+SUM(_xlfn.XLOOKUP(R16:AF16,增益!$A:$A,增益!$I:$I,0)))/100)</f>
        <v>-0.3</v>
      </c>
      <c r="AV16" s="32" cm="1">
        <f t="array" ref="AV16">$G$11+VLOOKUP($Q16,武学奇术!$A:$ZZ,10,FALSE)+SUM(_xlfn.XLOOKUP(R16:AF16,增益!$A:$A,增益!$J:$J,0))</f>
        <v>0</v>
      </c>
      <c r="AW16">
        <f t="shared" si="3"/>
        <v>0</v>
      </c>
      <c r="AX16">
        <f t="shared" si="4"/>
        <v>0</v>
      </c>
      <c r="AY16" s="32" cm="1">
        <f t="array" ref="AY16">IF($F$12-$I$4+VLOOKUP($Q16,武学奇术!$A:$ZZ,11,FALSE)+SUM(_xlfn.XLOOKUP(R16:AF16,增益!$A:$A,增益!$K:$K,0))&gt;0,($F$12-$I$4+VLOOKUP($Q16,武学奇术!$A:$ZZ,11,FALSE)+SUM(_xlfn.XLOOKUP(R16:AF16,增益!$A:$A,增益!$K:$K,0)))/200,($F$12-$I$4+VLOOKUP($Q16,武学奇术!$A:$ZZ,11,FALSE)+SUM(_xlfn.XLOOKUP(R16:AF16,增益!$A:$A,增益!$K:$K,0)))/100)</f>
        <v>-0.3</v>
      </c>
      <c r="AZ16" s="32" cm="1">
        <f t="array" ref="AZ16">$G$12+VLOOKUP($Q16,武学奇术!$A:$ZZ,12,FALSE)+SUM(_xlfn.XLOOKUP(R16:AF16,增益!$A:$A,增益!$L:$L,0))</f>
        <v>0</v>
      </c>
      <c r="BA16">
        <f t="shared" si="5"/>
        <v>697.4</v>
      </c>
      <c r="BB16">
        <f t="shared" si="6"/>
        <v>1805</v>
      </c>
      <c r="BC16" s="32" cm="1">
        <f t="array" ref="BC16">IF($F$13-$I$4+VLOOKUP($Q16,武学奇术!$A:$ZZ,13,FALSE)+SUM(_xlfn.XLOOKUP(R16:AF16,增益!$A:$A,增益!$M:$M,0))&gt;0,($F$13-$I$4+VLOOKUP($Q16,武学奇术!$A:$ZZ,13,FALSE)+SUM(_xlfn.XLOOKUP(R16:AF16,增益!$A:$A,增益!$K:$K,0)))/200,($F$13-$I$4+VLOOKUP($Q16,武学奇术!$A:$ZZ,13,FALSE)+SUM(_xlfn.XLOOKUP(R16:AF16,增益!$A:$A,增益!$M:$M,0)))/100)</f>
        <v>0</v>
      </c>
      <c r="BD16" s="32" cm="1">
        <f t="array" ref="BD16">$G$13+VLOOKUP($Q16,武学奇术!$A:$ZZ,14,FALSE)+SUM(_xlfn.XLOOKUP(R16:AF16,增益!$A:$A,增益!$N:$N,0))</f>
        <v>0.15</v>
      </c>
      <c r="BE16">
        <f t="shared" si="7"/>
        <v>0</v>
      </c>
      <c r="BF16">
        <f t="shared" si="8"/>
        <v>0</v>
      </c>
      <c r="BG16" s="32" cm="1">
        <f t="array" ref="BG16">IF($F$14-$I$4+VLOOKUP($Q16,武学奇术!$A:$ZZ,15,FALSE)+SUM(_xlfn.XLOOKUP(R16:AF16,增益!$A:$A,增益!$O:$O,0))&gt;0,($F$14-$I$4+VLOOKUP($Q16,武学奇术!$A:$ZZ,15,FALSE)+SUM(_xlfn.XLOOKUP(R16:AF16,增益!$A:$A,增益!$O:$O,0)))/200,($F$14-$I$4+VLOOKUP($Q16,武学奇术!$A:$ZZ,15,FALSE)+SUM(_xlfn.XLOOKUP(R16:AF16,增益!$A:$A,增益!$O:$O,0)))/100)</f>
        <v>-0.3</v>
      </c>
      <c r="BH16" s="32" cm="1">
        <f t="array" ref="BH16">$G$14+VLOOKUP($Q16,武学奇术!$A:$ZZ,16,FALSE)+SUM(_xlfn.XLOOKUP(R16:AF16,增益!$A:$A,增益!$P:$P,0))</f>
        <v>0</v>
      </c>
      <c r="BI16" s="26">
        <f>MIN(IF(VLOOKUP($Q16,武学奇术!$A:$ZZ,23,FALSE)=1,100%,$B$8),100%)</f>
        <v>1</v>
      </c>
      <c r="BJ16" s="26" cm="1">
        <f t="array" ref="BJ16">IF(VLOOKUP($Q16,武学奇术!$A:$ZZ,23,FALSE)=1,100%,MIN(80%,$B$9+VLOOKUP($Q16,武学奇术!$A:$ZZ,17,FALSE)+SUM(_xlfn.XLOOKUP(R16:AF16,增益!$A:$A,增益!$Q:$Q,0)))+$B$11+SUM(_xlfn.XLOOKUP(R16:AF16,增益!$A:$A,增益!$U:$U,0)))*IF(VLOOKUP($Q16,武学奇术!$A:$ZZ,24,FALSE)=1,0,1)</f>
        <v>0.8625</v>
      </c>
      <c r="BK16" s="26" cm="1">
        <f t="array" ref="BK16">1+$B$13+VLOOKUP($Q16,武学奇术!$A:$ZZ,18,FALSE)+SUM(_xlfn.XLOOKUP(R16:AF16,增益!$A:$A,增益!$R:$R,0))</f>
        <v>1.5</v>
      </c>
      <c r="BL16" s="26" cm="1">
        <f t="array" ref="BL16">IF(VLOOKUP($Q16,武学奇术!$A:$ZZ,24,FALSE)=1,100%,MIN(40%,$B$10+VLOOKUP($Q16,武学奇术!$A:$ZZ,19,FALSE)+SUM(_xlfn.XLOOKUP(R16:AF16,增益!$A:$A,增益!$S:$S,0)))+$B$12+SUM(_xlfn.XLOOKUP(R16:AF16,增益!$A:$A,增益!$V:$V,0)))*IF(VLOOKUP($Q16,武学奇术!$A:$ZZ,23,FALSE)=1,0,1)</f>
        <v>0.0913</v>
      </c>
      <c r="BM16" s="26" cm="1">
        <f t="array" ref="BM16">1+$B$14+VLOOKUP($Q16,武学奇术!$A:$ZZ,20,FALSE)+SUM(_xlfn.XLOOKUP(R16:AF16,增益!$A:$A,增益!$T:$T,0))</f>
        <v>1.35</v>
      </c>
      <c r="BN16" s="26">
        <f t="shared" si="9"/>
        <v>0.8625</v>
      </c>
      <c r="BO16" s="26">
        <f t="shared" si="10"/>
        <v>0.0462</v>
      </c>
      <c r="BP16" s="26">
        <f>IF(VLOOKUP($Q16,武学奇术!$A:$ZZ,22,FALSE)=1,0,(1-$BI16))*(1-$BL16)</f>
        <v>0</v>
      </c>
      <c r="BQ16" s="26" cm="1">
        <f t="array" ref="BQ16">SUM(_xlfn.XLOOKUP(R16:AF16,增益!$A:$A,增益!$W:$W,0))+$I$5</f>
        <v>0.06</v>
      </c>
    </row>
    <row r="17" ht="14.25" spans="1:69">
      <c r="A17" s="41" t="s">
        <v>72</v>
      </c>
      <c r="B17" s="70">
        <v>0</v>
      </c>
      <c r="C17" s="39" t="s">
        <v>119</v>
      </c>
      <c r="D17" s="79" t="s">
        <v>116</v>
      </c>
      <c r="E17" s="39" t="s">
        <v>120</v>
      </c>
      <c r="F17" s="79" t="s">
        <v>116</v>
      </c>
      <c r="H17" s="71"/>
      <c r="I17" s="83"/>
      <c r="J17" s="84"/>
      <c r="K17" s="38">
        <f t="shared" si="0"/>
        <v>0</v>
      </c>
      <c r="L17" s="38">
        <f>((($AN17+$AO17)/2*$AH17+$AI17)*(1+$AP17)*(1+$AQ17)+(($AS17+$AT17)/2*IF($G$1="鸣金",$AJ17,$AH17)+IF($G$1="鸣金",$AK17*1.5,0))*(1+$AU17)*(1+$AV17)+(($AW17+$AX17)/2*IF($G$1="裂石",$AJ17,$AH17)+IF($G$1="裂石",$AK17*1.5,0))*(1+$AY17)*(1+$AZ17)+(($BA17+$BB17)/2*IF($G$1="牵丝",$AJ17,$AH17)+IF($G$1="牵丝",$AK17*1.5,0))*(1+$BC17)*(1+$BD17)+(($BE17+$BF17)/2*IF($G$1="破竹",$AJ17,$AH17)+IF($G$1="破竹",$AK17*1.5,0))*(1+$BG17)*(1+$BH17))*(1+$AL17)*$BK17*$P17*(1+IF(VLOOKUP($Q17,武学奇术!$A:$ZZ,30,FALSE)="蓄力技",#REF!,0))*(1+$BQ17)</f>
        <v>0</v>
      </c>
      <c r="M17" s="38">
        <f>(($AO17*$AH17+$AI17)*(1+$AP17)*(1+$AQ17)+($AT17*IF($G$1="鸣金",$AJ17,$AH17)+IF($G$1="鸣金",$AK17*1.5,0))*(1+$AU17)*(1+$AV17)+($AX17*IF($G$1="裂石",$AJ17,$AH17)+IF($G$1="裂石",$AK17*1.5,0))*(1+$AY17)*(1+$AZ17)+($BB17*IF($G$1="牵丝",$AJ17,$AH17)+IF($G$1="牵丝",$AK17*1.5,0))*(1+$BC17)*(1+$BD17)+($BF17*IF($G$1="破竹",$AJ17,$AH17)+IF($G$1="破竹",$AK17*1.5,0))*(1+$BG17)*(1+$BH17))*(1+$AL17)*$BM17*$P17*(1+IF(VLOOKUP($Q17,武学奇术!$A:$ZZ,30,FALSE)="蓄力技",#REF!,0))*(1+$BQ17)</f>
        <v>0</v>
      </c>
      <c r="N17" s="38">
        <f>((($AN17+$AO17)/2*$AH17+$AI17)*(1+$AP17)*(1+$AQ17)+(($AS17+$AT17)/2*IF($G$1="鸣金",$AJ17,$AH17)+IF($G$1="鸣金",$AK17*1.5,0))*(1+$AU17)*(1+$AV17)+(($AW17+$AX17)/2*IF($G$1="裂石",$AJ17,$AH17)+IF($G$1="裂石",$AK17*1.5,0))*(1+$AY17)*(1+$AZ17)+(($BA17+$BB17)/2*IF($G$1="牵丝",$AJ17,$AH17)+IF($G$1="牵丝",$AK17*1.5,0))*(1+$BC17)*(1+$BD17)+(($BE17+$BF17)/2*IF($G$1="破竹",$AJ17,$AH17)+IF($G$1="破竹",$AK17*1.5,0))*(1+$BG17)*(1+$BH17))*(1+$AL17)*$P17*(1+IF(VLOOKUP($Q17,武学奇术!$A:$ZZ,30,FALSE)="蓄力技",#REF!,0))*(1+$BQ17)</f>
        <v>0</v>
      </c>
      <c r="O17" s="38">
        <f>((($AN17*$AH17+$AI17)*(1+$AP17)*(1+$AQ17)+($AS17*IF($G$1="鸣金",$AJ17,$AH17)+IF($G$1="鸣金",$AK17*1.5,0))*(1+$AU17)*(1+$AV17)+($AW17*IF($G$1="裂石",$AJ17,$AH17)+IF($G$1="裂石",$AK17*1.5,0))*(1+$AY17)*(1+$AZ17)+($BA17*IF($G$1="牵丝",$AJ17,$AH17)+IF($G$1="牵丝",$AK17*1.5,0))*(1+$BC17)*(1+$BD17)+($BE17*IF($G$1="破竹",$AJ17,$AH17)+IF($G$1="破竹",$AK17*1.5,0))*(1+$BG17)*(1+$BH17))*(1+$AL17))*$P17*(1+IF(VLOOKUP($Q17,武学奇术!$A:$ZZ,30,FALSE)="蓄力技",#REF!,0))*(1+$BQ17)</f>
        <v>0</v>
      </c>
      <c r="P17" s="39">
        <v>1</v>
      </c>
      <c r="Q17" s="40" t="s">
        <v>76</v>
      </c>
      <c r="R17" s="40" t="s">
        <v>76</v>
      </c>
      <c r="S17" s="40" t="s">
        <v>76</v>
      </c>
      <c r="T17" s="40" t="s">
        <v>76</v>
      </c>
      <c r="U17" s="40" t="s">
        <v>76</v>
      </c>
      <c r="V17" s="40" t="s">
        <v>76</v>
      </c>
      <c r="W17" s="40" t="s">
        <v>76</v>
      </c>
      <c r="X17" s="40" t="s">
        <v>76</v>
      </c>
      <c r="Y17" s="40" t="s">
        <v>76</v>
      </c>
      <c r="Z17" s="40" t="s">
        <v>76</v>
      </c>
      <c r="AA17" s="40" t="s">
        <v>76</v>
      </c>
      <c r="AB17" s="40" t="s">
        <v>76</v>
      </c>
      <c r="AC17" s="40" t="s">
        <v>76</v>
      </c>
      <c r="AD17" s="40" t="s">
        <v>76</v>
      </c>
      <c r="AE17" s="40" t="s">
        <v>76</v>
      </c>
      <c r="AF17" s="40" t="s">
        <v>76</v>
      </c>
      <c r="AG17" t="str">
        <f>VLOOKUP($Q17,武学奇术!$A:$ZZ,25,FALSE)</f>
        <v>心法</v>
      </c>
      <c r="AH17" s="26">
        <f>VLOOKUP($Q17,武学奇术!$A:$ZZ,26,FALSE)</f>
        <v>0</v>
      </c>
      <c r="AI17" s="27">
        <f>VLOOKUP($Q17,武学奇术!$A:$ZZ,27,FALSE)*(1+IF(OR($AG17=$F$4,$AG17=$F$5),$B$21,0))</f>
        <v>0</v>
      </c>
      <c r="AJ17" s="26">
        <f>VLOOKUP($Q17,武学奇术!$A:$ZZ,28,FALSE)</f>
        <v>0</v>
      </c>
      <c r="AK17" s="27">
        <f>VLOOKUP($Q17,武学奇术!$A:$ZZ,29,FALSE)*(1+IF(OR($AG17=$F$4,$AG17=$F$5),$B$21,0))</f>
        <v>0</v>
      </c>
      <c r="AL17" s="26" cm="1">
        <f t="array" ref="AL17">$G$3+IFERROR(VLOOKUP($AG17,$F$4:$G$7,2,FALSE),0)+VLOOKUP($Q17,武学奇术!$A:$ZZ,2,FALSE)+SUM(_xlfn.XLOOKUP($R17:$AF17,增益!$A:$A,增益!$B:$B,0))</f>
        <v>0.2642</v>
      </c>
      <c r="AM17" s="26" cm="1">
        <f t="array" ref="AM17">VLOOKUP($Q17,武学奇术!$A:$ZZ,5,FALSE)+SUM(_xlfn.XLOOKUP($R17:$AF17,增益!$A:$A,增益!$E:$E,0))</f>
        <v>0</v>
      </c>
      <c r="AN17" cm="1">
        <f t="array" ref="AN17">$D$10*(1+$AM17)+VLOOKUP($Q17,武学奇术!$A:$ZZ,3,FALSE)+SUM(_xlfn.XLOOKUP($R17:$AF17,增益!$A:$A,增益!$C:$C,0))-$I$2</f>
        <v>3977.2</v>
      </c>
      <c r="AO17" cm="1">
        <f t="array" ref="AO17">$E$10*(1+$AM17)+VLOOKUP($Q17,武学奇术!$A:$ZZ,4,FALSE)+SUM(_xlfn.XLOOKUP($R17:$AF17,增益!$A:$A,增益!$D:$D,0))-$I$2</f>
        <v>3977.2</v>
      </c>
      <c r="AP17" s="32" cm="1">
        <f t="array" ref="AP17">IF($F$10-$I$3+VLOOKUP($Q17,武学奇术!$A:$ZZ,6,FALSE)+SUM(_xlfn.XLOOKUP(R17:AF17,增益!$A:$A,增益!$F:$F,0))&gt;0,($F$10-$I$3+VLOOKUP($Q17,武学奇术!$A:$ZZ,6,FALSE)+SUM(_xlfn.XLOOKUP(R17:AF17,增益!$A:$A,增益!$F:$F,0)))/200,($F$10-$I$3+VLOOKUP($Q17,武学奇术!$A:$ZZ,6,FALSE)+SUM(_xlfn.XLOOKUP(R17:AF17,增益!$A:$A,增益!$F:$F,0)))/100)</f>
        <v>0.294</v>
      </c>
      <c r="AQ17" s="32" cm="1">
        <f t="array" ref="AQ17">$G$10+VLOOKUP($Q17,武学奇术!$A:$ZZ,7,FALSE)+SUM(_xlfn.XLOOKUP(R17:AF17,增益!$A:$A,增益!$G:$G,0))</f>
        <v>0</v>
      </c>
      <c r="AR17" s="26" cm="1">
        <f t="array" ref="AR17">VLOOKUP($Q17,武学奇术!$A:$ZZ,8,FALSE)+SUM(_xlfn.XLOOKUP(R17:AF17,增益!$A:$A,增益!$H:$H,0))</f>
        <v>0</v>
      </c>
      <c r="AS17">
        <f t="shared" si="1"/>
        <v>0</v>
      </c>
      <c r="AT17">
        <f t="shared" si="2"/>
        <v>0</v>
      </c>
      <c r="AU17" s="32" cm="1">
        <f t="array" ref="AU17">IF($F$11-$I$4+VLOOKUP($Q17,武学奇术!$A:$ZZ,9,FALSE)+SUM(_xlfn.XLOOKUP(R17:AF17,增益!$A:$A,增益!$I:$I,0))&gt;0,($F$11-$I$4+VLOOKUP($Q17,武学奇术!$A:$ZZ,9,FALSE)+SUM(_xlfn.XLOOKUP(R17:AF17,增益!$A:$A,增益!$I:$I,0)))/200,($F$11-$I$4+VLOOKUP($Q17,武学奇术!$A:$ZZ,9,FALSE)+SUM(_xlfn.XLOOKUP(R17:AF17,增益!$A:$A,增益!$I:$I,0)))/100)</f>
        <v>-0.3</v>
      </c>
      <c r="AV17" s="32" cm="1">
        <f t="array" ref="AV17">$G$11+VLOOKUP($Q17,武学奇术!$A:$ZZ,10,FALSE)+SUM(_xlfn.XLOOKUP(R17:AF17,增益!$A:$A,增益!$J:$J,0))</f>
        <v>0</v>
      </c>
      <c r="AW17">
        <f t="shared" si="3"/>
        <v>0</v>
      </c>
      <c r="AX17">
        <f t="shared" si="4"/>
        <v>0</v>
      </c>
      <c r="AY17" s="32" cm="1">
        <f t="array" ref="AY17">IF($F$12-$I$4+VLOOKUP($Q17,武学奇术!$A:$ZZ,11,FALSE)+SUM(_xlfn.XLOOKUP(R17:AF17,增益!$A:$A,增益!$K:$K,0))&gt;0,($F$12-$I$4+VLOOKUP($Q17,武学奇术!$A:$ZZ,11,FALSE)+SUM(_xlfn.XLOOKUP(R17:AF17,增益!$A:$A,增益!$K:$K,0)))/200,($F$12-$I$4+VLOOKUP($Q17,武学奇术!$A:$ZZ,11,FALSE)+SUM(_xlfn.XLOOKUP(R17:AF17,增益!$A:$A,增益!$K:$K,0)))/100)</f>
        <v>-0.3</v>
      </c>
      <c r="AZ17" s="32" cm="1">
        <f t="array" ref="AZ17">$G$12+VLOOKUP($Q17,武学奇术!$A:$ZZ,12,FALSE)+SUM(_xlfn.XLOOKUP(R17:AF17,增益!$A:$A,增益!$L:$L,0))</f>
        <v>0</v>
      </c>
      <c r="BA17">
        <f t="shared" si="5"/>
        <v>697.4</v>
      </c>
      <c r="BB17">
        <f t="shared" si="6"/>
        <v>1805</v>
      </c>
      <c r="BC17" s="32" cm="1">
        <f t="array" ref="BC17">IF($F$13-$I$4+VLOOKUP($Q17,武学奇术!$A:$ZZ,13,FALSE)+SUM(_xlfn.XLOOKUP(R17:AF17,增益!$A:$A,增益!$M:$M,0))&gt;0,($F$13-$I$4+VLOOKUP($Q17,武学奇术!$A:$ZZ,13,FALSE)+SUM(_xlfn.XLOOKUP(R17:AF17,增益!$A:$A,增益!$K:$K,0)))/200,($F$13-$I$4+VLOOKUP($Q17,武学奇术!$A:$ZZ,13,FALSE)+SUM(_xlfn.XLOOKUP(R17:AF17,增益!$A:$A,增益!$M:$M,0)))/100)</f>
        <v>0</v>
      </c>
      <c r="BD17" s="32" cm="1">
        <f t="array" ref="BD17">$G$13+VLOOKUP($Q17,武学奇术!$A:$ZZ,14,FALSE)+SUM(_xlfn.XLOOKUP(R17:AF17,增益!$A:$A,增益!$N:$N,0))</f>
        <v>0.15</v>
      </c>
      <c r="BE17">
        <f t="shared" si="7"/>
        <v>0</v>
      </c>
      <c r="BF17">
        <f t="shared" si="8"/>
        <v>0</v>
      </c>
      <c r="BG17" s="32" cm="1">
        <f t="array" ref="BG17">IF($F$14-$I$4+VLOOKUP($Q17,武学奇术!$A:$ZZ,15,FALSE)+SUM(_xlfn.XLOOKUP(R17:AF17,增益!$A:$A,增益!$O:$O,0))&gt;0,($F$14-$I$4+VLOOKUP($Q17,武学奇术!$A:$ZZ,15,FALSE)+SUM(_xlfn.XLOOKUP(R17:AF17,增益!$A:$A,增益!$O:$O,0)))/200,($F$14-$I$4+VLOOKUP($Q17,武学奇术!$A:$ZZ,15,FALSE)+SUM(_xlfn.XLOOKUP(R17:AF17,增益!$A:$A,增益!$O:$O,0)))/100)</f>
        <v>-0.3</v>
      </c>
      <c r="BH17" s="32" cm="1">
        <f t="array" ref="BH17">$G$14+VLOOKUP($Q17,武学奇术!$A:$ZZ,16,FALSE)+SUM(_xlfn.XLOOKUP(R17:AF17,增益!$A:$A,增益!$P:$P,0))</f>
        <v>0</v>
      </c>
      <c r="BI17" s="26">
        <f>MIN(IF(VLOOKUP($Q17,武学奇术!$A:$ZZ,23,FALSE)=1,100%,$B$8),100%)</f>
        <v>1</v>
      </c>
      <c r="BJ17" s="26" cm="1">
        <f t="array" ref="BJ17">IF(VLOOKUP($Q17,武学奇术!$A:$ZZ,23,FALSE)=1,100%,MIN(80%,$B$9+VLOOKUP($Q17,武学奇术!$A:$ZZ,17,FALSE)+SUM(_xlfn.XLOOKUP(R17:AF17,增益!$A:$A,增益!$Q:$Q,0)))+$B$11+SUM(_xlfn.XLOOKUP(R17:AF17,增益!$A:$A,增益!$U:$U,0)))*IF(VLOOKUP($Q17,武学奇术!$A:$ZZ,24,FALSE)=1,0,1)</f>
        <v>0.8625</v>
      </c>
      <c r="BK17" s="26" cm="1">
        <f t="array" ref="BK17">1+$B$13+VLOOKUP($Q17,武学奇术!$A:$ZZ,18,FALSE)+SUM(_xlfn.XLOOKUP(R17:AF17,增益!$A:$A,增益!$R:$R,0))</f>
        <v>1.5</v>
      </c>
      <c r="BL17" s="26" cm="1">
        <f t="array" ref="BL17">IF(VLOOKUP($Q17,武学奇术!$A:$ZZ,24,FALSE)=1,100%,MIN(40%,$B$10+VLOOKUP($Q17,武学奇术!$A:$ZZ,19,FALSE)+SUM(_xlfn.XLOOKUP(R17:AF17,增益!$A:$A,增益!$S:$S,0)))+$B$12+SUM(_xlfn.XLOOKUP(R17:AF17,增益!$A:$A,增益!$V:$V,0)))*IF(VLOOKUP($Q17,武学奇术!$A:$ZZ,23,FALSE)=1,0,1)</f>
        <v>0.0913</v>
      </c>
      <c r="BM17" s="26" cm="1">
        <f t="array" ref="BM17">1+$B$14+VLOOKUP($Q17,武学奇术!$A:$ZZ,20,FALSE)+SUM(_xlfn.XLOOKUP(R17:AF17,增益!$A:$A,增益!$T:$T,0))</f>
        <v>1.35</v>
      </c>
      <c r="BN17" s="26">
        <f t="shared" si="9"/>
        <v>0.8625</v>
      </c>
      <c r="BO17" s="26">
        <f t="shared" si="10"/>
        <v>0.0462</v>
      </c>
      <c r="BP17" s="26">
        <f>IF(VLOOKUP($Q17,武学奇术!$A:$ZZ,22,FALSE)=1,0,(1-$BI17))*(1-$BL17)</f>
        <v>0</v>
      </c>
      <c r="BQ17" s="26" cm="1">
        <f t="array" ref="BQ17">SUM(_xlfn.XLOOKUP(R17:AF17,增益!$A:$A,增益!$W:$W,0))+$I$5</f>
        <v>0.06</v>
      </c>
    </row>
    <row r="18" spans="1:69">
      <c r="A18" s="41" t="s">
        <v>121</v>
      </c>
      <c r="B18" s="70">
        <v>0</v>
      </c>
      <c r="C18" s="39" t="s">
        <v>122</v>
      </c>
      <c r="D18" s="79" t="s">
        <v>116</v>
      </c>
      <c r="K18" s="38">
        <f t="shared" si="0"/>
        <v>0</v>
      </c>
      <c r="L18" s="38">
        <f>((($AN18+$AO18)/2*$AH18+$AI18)*(1+$AP18)*(1+$AQ18)+(($AS18+$AT18)/2*IF($G$1="鸣金",$AJ18,$AH18)+IF($G$1="鸣金",$AK18*1.5,0))*(1+$AU18)*(1+$AV18)+(($AW18+$AX18)/2*IF($G$1="裂石",$AJ18,$AH18)+IF($G$1="裂石",$AK18*1.5,0))*(1+$AY18)*(1+$AZ18)+(($BA18+$BB18)/2*IF($G$1="牵丝",$AJ18,$AH18)+IF($G$1="牵丝",$AK18*1.5,0))*(1+$BC18)*(1+$BD18)+(($BE18+$BF18)/2*IF($G$1="破竹",$AJ18,$AH18)+IF($G$1="破竹",$AK18*1.5,0))*(1+$BG18)*(1+$BH18))*(1+$AL18)*$BK18*$P18*(1+IF(VLOOKUP($Q18,武学奇术!$A:$ZZ,30,FALSE)="蓄力技",#REF!,0))*(1+$BQ18)</f>
        <v>0</v>
      </c>
      <c r="M18" s="38">
        <f>(($AO18*$AH18+$AI18)*(1+$AP18)*(1+$AQ18)+($AT18*IF($G$1="鸣金",$AJ18,$AH18)+IF($G$1="鸣金",$AK18*1.5,0))*(1+$AU18)*(1+$AV18)+($AX18*IF($G$1="裂石",$AJ18,$AH18)+IF($G$1="裂石",$AK18*1.5,0))*(1+$AY18)*(1+$AZ18)+($BB18*IF($G$1="牵丝",$AJ18,$AH18)+IF($G$1="牵丝",$AK18*1.5,0))*(1+$BC18)*(1+$BD18)+($BF18*IF($G$1="破竹",$AJ18,$AH18)+IF($G$1="破竹",$AK18*1.5,0))*(1+$BG18)*(1+$BH18))*(1+$AL18)*$BM18*$P18*(1+IF(VLOOKUP($Q18,武学奇术!$A:$ZZ,30,FALSE)="蓄力技",#REF!,0))*(1+$BQ18)</f>
        <v>0</v>
      </c>
      <c r="N18" s="38">
        <f>((($AN18+$AO18)/2*$AH18+$AI18)*(1+$AP18)*(1+$AQ18)+(($AS18+$AT18)/2*IF($G$1="鸣金",$AJ18,$AH18)+IF($G$1="鸣金",$AK18*1.5,0))*(1+$AU18)*(1+$AV18)+(($AW18+$AX18)/2*IF($G$1="裂石",$AJ18,$AH18)+IF($G$1="裂石",$AK18*1.5,0))*(1+$AY18)*(1+$AZ18)+(($BA18+$BB18)/2*IF($G$1="牵丝",$AJ18,$AH18)+IF($G$1="牵丝",$AK18*1.5,0))*(1+$BC18)*(1+$BD18)+(($BE18+$BF18)/2*IF($G$1="破竹",$AJ18,$AH18)+IF($G$1="破竹",$AK18*1.5,0))*(1+$BG18)*(1+$BH18))*(1+$AL18)*$P18*(1+IF(VLOOKUP($Q18,武学奇术!$A:$ZZ,30,FALSE)="蓄力技",#REF!,0))*(1+$BQ18)</f>
        <v>0</v>
      </c>
      <c r="O18" s="38">
        <f>((($AN18*$AH18+$AI18)*(1+$AP18)*(1+$AQ18)+($AS18*IF($G$1="鸣金",$AJ18,$AH18)+IF($G$1="鸣金",$AK18*1.5,0))*(1+$AU18)*(1+$AV18)+($AW18*IF($G$1="裂石",$AJ18,$AH18)+IF($G$1="裂石",$AK18*1.5,0))*(1+$AY18)*(1+$AZ18)+($BA18*IF($G$1="牵丝",$AJ18,$AH18)+IF($G$1="牵丝",$AK18*1.5,0))*(1+$BC18)*(1+$BD18)+($BE18*IF($G$1="破竹",$AJ18,$AH18)+IF($G$1="破竹",$AK18*1.5,0))*(1+$BG18)*(1+$BH18))*(1+$AL18))*$P18*(1+IF(VLOOKUP($Q18,武学奇术!$A:$ZZ,30,FALSE)="蓄力技",#REF!,0))*(1+$BQ18)</f>
        <v>0</v>
      </c>
      <c r="P18" s="39">
        <v>1</v>
      </c>
      <c r="Q18" s="40" t="s">
        <v>76</v>
      </c>
      <c r="R18" s="40" t="s">
        <v>76</v>
      </c>
      <c r="S18" s="40" t="s">
        <v>76</v>
      </c>
      <c r="T18" s="40" t="s">
        <v>76</v>
      </c>
      <c r="U18" s="40" t="s">
        <v>76</v>
      </c>
      <c r="V18" s="40" t="s">
        <v>76</v>
      </c>
      <c r="W18" s="40" t="s">
        <v>76</v>
      </c>
      <c r="X18" s="40" t="s">
        <v>76</v>
      </c>
      <c r="Y18" s="40" t="s">
        <v>76</v>
      </c>
      <c r="Z18" s="40" t="s">
        <v>76</v>
      </c>
      <c r="AA18" s="40" t="s">
        <v>76</v>
      </c>
      <c r="AB18" s="40" t="s">
        <v>76</v>
      </c>
      <c r="AC18" s="40" t="s">
        <v>76</v>
      </c>
      <c r="AD18" s="40" t="s">
        <v>76</v>
      </c>
      <c r="AE18" s="40" t="s">
        <v>76</v>
      </c>
      <c r="AF18" s="40" t="s">
        <v>76</v>
      </c>
      <c r="AG18" t="str">
        <f>VLOOKUP($Q18,武学奇术!$A:$ZZ,25,FALSE)</f>
        <v>心法</v>
      </c>
      <c r="AH18" s="26">
        <f>VLOOKUP($Q18,武学奇术!$A:$ZZ,26,FALSE)</f>
        <v>0</v>
      </c>
      <c r="AI18" s="27">
        <f>VLOOKUP($Q18,武学奇术!$A:$ZZ,27,FALSE)*(1+IF(OR($AG18=$F$4,$AG18=$F$5),$B$21,0))</f>
        <v>0</v>
      </c>
      <c r="AJ18" s="26">
        <f>VLOOKUP($Q18,武学奇术!$A:$ZZ,28,FALSE)</f>
        <v>0</v>
      </c>
      <c r="AK18" s="27">
        <f>VLOOKUP($Q18,武学奇术!$A:$ZZ,29,FALSE)*(1+IF(OR($AG18=$F$4,$AG18=$F$5),$B$21,0))</f>
        <v>0</v>
      </c>
      <c r="AL18" s="26" cm="1">
        <f t="array" ref="AL18">$G$3+IFERROR(VLOOKUP($AG18,$F$4:$G$7,2,FALSE),0)+VLOOKUP($Q18,武学奇术!$A:$ZZ,2,FALSE)+SUM(_xlfn.XLOOKUP($R18:$AF18,增益!$A:$A,增益!$B:$B,0))</f>
        <v>0.2642</v>
      </c>
      <c r="AM18" s="26" cm="1">
        <f t="array" ref="AM18">VLOOKUP($Q18,武学奇术!$A:$ZZ,5,FALSE)+SUM(_xlfn.XLOOKUP($R18:$AF18,增益!$A:$A,增益!$E:$E,0))</f>
        <v>0</v>
      </c>
      <c r="AN18" cm="1">
        <f t="array" ref="AN18">$D$10*(1+$AM18)+VLOOKUP($Q18,武学奇术!$A:$ZZ,3,FALSE)+SUM(_xlfn.XLOOKUP($R18:$AF18,增益!$A:$A,增益!$C:$C,0))-$I$2</f>
        <v>3977.2</v>
      </c>
      <c r="AO18" cm="1">
        <f t="array" ref="AO18">$E$10*(1+$AM18)+VLOOKUP($Q18,武学奇术!$A:$ZZ,4,FALSE)+SUM(_xlfn.XLOOKUP($R18:$AF18,增益!$A:$A,增益!$D:$D,0))-$I$2</f>
        <v>3977.2</v>
      </c>
      <c r="AP18" s="32" cm="1">
        <f t="array" ref="AP18">IF($F$10-$I$3+VLOOKUP($Q18,武学奇术!$A:$ZZ,6,FALSE)+SUM(_xlfn.XLOOKUP(R18:AF18,增益!$A:$A,增益!$F:$F,0))&gt;0,($F$10-$I$3+VLOOKUP($Q18,武学奇术!$A:$ZZ,6,FALSE)+SUM(_xlfn.XLOOKUP(R18:AF18,增益!$A:$A,增益!$F:$F,0)))/200,($F$10-$I$3+VLOOKUP($Q18,武学奇术!$A:$ZZ,6,FALSE)+SUM(_xlfn.XLOOKUP(R18:AF18,增益!$A:$A,增益!$F:$F,0)))/100)</f>
        <v>0.294</v>
      </c>
      <c r="AQ18" s="32" cm="1">
        <f t="array" ref="AQ18">$G$10+VLOOKUP($Q18,武学奇术!$A:$ZZ,7,FALSE)+SUM(_xlfn.XLOOKUP(R18:AF18,增益!$A:$A,增益!$G:$G,0))</f>
        <v>0</v>
      </c>
      <c r="AR18" s="26" cm="1">
        <f t="array" ref="AR18">VLOOKUP($Q18,武学奇术!$A:$ZZ,8,FALSE)+SUM(_xlfn.XLOOKUP(R18:AF18,增益!$A:$A,增益!$H:$H,0))</f>
        <v>0</v>
      </c>
      <c r="AS18">
        <f t="shared" si="1"/>
        <v>0</v>
      </c>
      <c r="AT18">
        <f t="shared" si="2"/>
        <v>0</v>
      </c>
      <c r="AU18" s="32" cm="1">
        <f t="array" ref="AU18">IF($F$11-$I$4+VLOOKUP($Q18,武学奇术!$A:$ZZ,9,FALSE)+SUM(_xlfn.XLOOKUP(R18:AF18,增益!$A:$A,增益!$I:$I,0))&gt;0,($F$11-$I$4+VLOOKUP($Q18,武学奇术!$A:$ZZ,9,FALSE)+SUM(_xlfn.XLOOKUP(R18:AF18,增益!$A:$A,增益!$I:$I,0)))/200,($F$11-$I$4+VLOOKUP($Q18,武学奇术!$A:$ZZ,9,FALSE)+SUM(_xlfn.XLOOKUP(R18:AF18,增益!$A:$A,增益!$I:$I,0)))/100)</f>
        <v>-0.3</v>
      </c>
      <c r="AV18" s="32" cm="1">
        <f t="array" ref="AV18">$G$11+VLOOKUP($Q18,武学奇术!$A:$ZZ,10,FALSE)+SUM(_xlfn.XLOOKUP(R18:AF18,增益!$A:$A,增益!$J:$J,0))</f>
        <v>0</v>
      </c>
      <c r="AW18">
        <f t="shared" si="3"/>
        <v>0</v>
      </c>
      <c r="AX18">
        <f t="shared" si="4"/>
        <v>0</v>
      </c>
      <c r="AY18" s="32" cm="1">
        <f t="array" ref="AY18">IF($F$12-$I$4+VLOOKUP($Q18,武学奇术!$A:$ZZ,11,FALSE)+SUM(_xlfn.XLOOKUP(R18:AF18,增益!$A:$A,增益!$K:$K,0))&gt;0,($F$12-$I$4+VLOOKUP($Q18,武学奇术!$A:$ZZ,11,FALSE)+SUM(_xlfn.XLOOKUP(R18:AF18,增益!$A:$A,增益!$K:$K,0)))/200,($F$12-$I$4+VLOOKUP($Q18,武学奇术!$A:$ZZ,11,FALSE)+SUM(_xlfn.XLOOKUP(R18:AF18,增益!$A:$A,增益!$K:$K,0)))/100)</f>
        <v>-0.3</v>
      </c>
      <c r="AZ18" s="32" cm="1">
        <f t="array" ref="AZ18">$G$12+VLOOKUP($Q18,武学奇术!$A:$ZZ,12,FALSE)+SUM(_xlfn.XLOOKUP(R18:AF18,增益!$A:$A,增益!$L:$L,0))</f>
        <v>0</v>
      </c>
      <c r="BA18">
        <f t="shared" si="5"/>
        <v>697.4</v>
      </c>
      <c r="BB18">
        <f t="shared" si="6"/>
        <v>1805</v>
      </c>
      <c r="BC18" s="32" cm="1">
        <f t="array" ref="BC18">IF($F$13-$I$4+VLOOKUP($Q18,武学奇术!$A:$ZZ,13,FALSE)+SUM(_xlfn.XLOOKUP(R18:AF18,增益!$A:$A,增益!$M:$M,0))&gt;0,($F$13-$I$4+VLOOKUP($Q18,武学奇术!$A:$ZZ,13,FALSE)+SUM(_xlfn.XLOOKUP(R18:AF18,增益!$A:$A,增益!$K:$K,0)))/200,($F$13-$I$4+VLOOKUP($Q18,武学奇术!$A:$ZZ,13,FALSE)+SUM(_xlfn.XLOOKUP(R18:AF18,增益!$A:$A,增益!$M:$M,0)))/100)</f>
        <v>0</v>
      </c>
      <c r="BD18" s="32" cm="1">
        <f t="array" ref="BD18">$G$13+VLOOKUP($Q18,武学奇术!$A:$ZZ,14,FALSE)+SUM(_xlfn.XLOOKUP(R18:AF18,增益!$A:$A,增益!$N:$N,0))</f>
        <v>0.15</v>
      </c>
      <c r="BE18">
        <f t="shared" si="7"/>
        <v>0</v>
      </c>
      <c r="BF18">
        <f t="shared" si="8"/>
        <v>0</v>
      </c>
      <c r="BG18" s="32" cm="1">
        <f t="array" ref="BG18">IF($F$14-$I$4+VLOOKUP($Q18,武学奇术!$A:$ZZ,15,FALSE)+SUM(_xlfn.XLOOKUP(R18:AF18,增益!$A:$A,增益!$O:$O,0))&gt;0,($F$14-$I$4+VLOOKUP($Q18,武学奇术!$A:$ZZ,15,FALSE)+SUM(_xlfn.XLOOKUP(R18:AF18,增益!$A:$A,增益!$O:$O,0)))/200,($F$14-$I$4+VLOOKUP($Q18,武学奇术!$A:$ZZ,15,FALSE)+SUM(_xlfn.XLOOKUP(R18:AF18,增益!$A:$A,增益!$O:$O,0)))/100)</f>
        <v>-0.3</v>
      </c>
      <c r="BH18" s="32" cm="1">
        <f t="array" ref="BH18">$G$14+VLOOKUP($Q18,武学奇术!$A:$ZZ,16,FALSE)+SUM(_xlfn.XLOOKUP(R18:AF18,增益!$A:$A,增益!$P:$P,0))</f>
        <v>0</v>
      </c>
      <c r="BI18" s="26">
        <f>MIN(IF(VLOOKUP($Q18,武学奇术!$A:$ZZ,23,FALSE)=1,100%,$B$8),100%)</f>
        <v>1</v>
      </c>
      <c r="BJ18" s="26" cm="1">
        <f t="array" ref="BJ18">IF(VLOOKUP($Q18,武学奇术!$A:$ZZ,23,FALSE)=1,100%,MIN(80%,$B$9+VLOOKUP($Q18,武学奇术!$A:$ZZ,17,FALSE)+SUM(_xlfn.XLOOKUP(R18:AF18,增益!$A:$A,增益!$Q:$Q,0)))+$B$11+SUM(_xlfn.XLOOKUP(R18:AF18,增益!$A:$A,增益!$U:$U,0)))*IF(VLOOKUP($Q18,武学奇术!$A:$ZZ,24,FALSE)=1,0,1)</f>
        <v>0.8625</v>
      </c>
      <c r="BK18" s="26" cm="1">
        <f t="array" ref="BK18">1+$B$13+VLOOKUP($Q18,武学奇术!$A:$ZZ,18,FALSE)+SUM(_xlfn.XLOOKUP(R18:AF18,增益!$A:$A,增益!$R:$R,0))</f>
        <v>1.5</v>
      </c>
      <c r="BL18" s="26" cm="1">
        <f t="array" ref="BL18">IF(VLOOKUP($Q18,武学奇术!$A:$ZZ,24,FALSE)=1,100%,MIN(40%,$B$10+VLOOKUP($Q18,武学奇术!$A:$ZZ,19,FALSE)+SUM(_xlfn.XLOOKUP(R18:AF18,增益!$A:$A,增益!$S:$S,0)))+$B$12+SUM(_xlfn.XLOOKUP(R18:AF18,增益!$A:$A,增益!$V:$V,0)))*IF(VLOOKUP($Q18,武学奇术!$A:$ZZ,23,FALSE)=1,0,1)</f>
        <v>0.0913</v>
      </c>
      <c r="BM18" s="26" cm="1">
        <f t="array" ref="BM18">1+$B$14+VLOOKUP($Q18,武学奇术!$A:$ZZ,20,FALSE)+SUM(_xlfn.XLOOKUP(R18:AF18,增益!$A:$A,增益!$T:$T,0))</f>
        <v>1.35</v>
      </c>
      <c r="BN18" s="26">
        <f t="shared" si="9"/>
        <v>0.8625</v>
      </c>
      <c r="BO18" s="26">
        <f t="shared" si="10"/>
        <v>0.0462</v>
      </c>
      <c r="BP18" s="26">
        <f>IF(VLOOKUP($Q18,武学奇术!$A:$ZZ,22,FALSE)=1,0,(1-$BI18))*(1-$BL18)</f>
        <v>0</v>
      </c>
      <c r="BQ18" s="26" cm="1">
        <f t="array" ref="BQ18">SUM(_xlfn.XLOOKUP(R18:AF18,增益!$A:$A,增益!$W:$W,0))+$I$5</f>
        <v>0.06</v>
      </c>
    </row>
    <row r="19" spans="1:69">
      <c r="A19" s="41" t="s">
        <v>123</v>
      </c>
      <c r="B19" s="70">
        <v>0.2677</v>
      </c>
      <c r="C19" s="39" t="s">
        <v>124</v>
      </c>
      <c r="D19" s="79" t="s">
        <v>116</v>
      </c>
      <c r="E19" s="39" t="s">
        <v>125</v>
      </c>
      <c r="F19" s="39"/>
      <c r="K19" s="38">
        <f t="shared" si="0"/>
        <v>0</v>
      </c>
      <c r="L19" s="38">
        <f>((($AN19+$AO19)/2*$AH19+$AI19)*(1+$AP19)*(1+$AQ19)+(($AS19+$AT19)/2*IF($G$1="鸣金",$AJ19,$AH19)+IF($G$1="鸣金",$AK19*1.5,0))*(1+$AU19)*(1+$AV19)+(($AW19+$AX19)/2*IF($G$1="裂石",$AJ19,$AH19)+IF($G$1="裂石",$AK19*1.5,0))*(1+$AY19)*(1+$AZ19)+(($BA19+$BB19)/2*IF($G$1="牵丝",$AJ19,$AH19)+IF($G$1="牵丝",$AK19*1.5,0))*(1+$BC19)*(1+$BD19)+(($BE19+$BF19)/2*IF($G$1="破竹",$AJ19,$AH19)+IF($G$1="破竹",$AK19*1.5,0))*(1+$BG19)*(1+$BH19))*(1+$AL19)*$BK19*$P19*(1+IF(VLOOKUP($Q19,武学奇术!$A:$ZZ,30,FALSE)="蓄力技",#REF!,0))*(1+$BQ19)</f>
        <v>0</v>
      </c>
      <c r="M19" s="38">
        <f>(($AO19*$AH19+$AI19)*(1+$AP19)*(1+$AQ19)+($AT19*IF($G$1="鸣金",$AJ19,$AH19)+IF($G$1="鸣金",$AK19*1.5,0))*(1+$AU19)*(1+$AV19)+($AX19*IF($G$1="裂石",$AJ19,$AH19)+IF($G$1="裂石",$AK19*1.5,0))*(1+$AY19)*(1+$AZ19)+($BB19*IF($G$1="牵丝",$AJ19,$AH19)+IF($G$1="牵丝",$AK19*1.5,0))*(1+$BC19)*(1+$BD19)+($BF19*IF($G$1="破竹",$AJ19,$AH19)+IF($G$1="破竹",$AK19*1.5,0))*(1+$BG19)*(1+$BH19))*(1+$AL19)*$BM19*$P19*(1+IF(VLOOKUP($Q19,武学奇术!$A:$ZZ,30,FALSE)="蓄力技",#REF!,0))*(1+$BQ19)</f>
        <v>0</v>
      </c>
      <c r="N19" s="38">
        <f>((($AN19+$AO19)/2*$AH19+$AI19)*(1+$AP19)*(1+$AQ19)+(($AS19+$AT19)/2*IF($G$1="鸣金",$AJ19,$AH19)+IF($G$1="鸣金",$AK19*1.5,0))*(1+$AU19)*(1+$AV19)+(($AW19+$AX19)/2*IF($G$1="裂石",$AJ19,$AH19)+IF($G$1="裂石",$AK19*1.5,0))*(1+$AY19)*(1+$AZ19)+(($BA19+$BB19)/2*IF($G$1="牵丝",$AJ19,$AH19)+IF($G$1="牵丝",$AK19*1.5,0))*(1+$BC19)*(1+$BD19)+(($BE19+$BF19)/2*IF($G$1="破竹",$AJ19,$AH19)+IF($G$1="破竹",$AK19*1.5,0))*(1+$BG19)*(1+$BH19))*(1+$AL19)*$P19*(1+IF(VLOOKUP($Q19,武学奇术!$A:$ZZ,30,FALSE)="蓄力技",#REF!,0))*(1+$BQ19)</f>
        <v>0</v>
      </c>
      <c r="O19" s="38">
        <f>((($AN19*$AH19+$AI19)*(1+$AP19)*(1+$AQ19)+($AS19*IF($G$1="鸣金",$AJ19,$AH19)+IF($G$1="鸣金",$AK19*1.5,0))*(1+$AU19)*(1+$AV19)+($AW19*IF($G$1="裂石",$AJ19,$AH19)+IF($G$1="裂石",$AK19*1.5,0))*(1+$AY19)*(1+$AZ19)+($BA19*IF($G$1="牵丝",$AJ19,$AH19)+IF($G$1="牵丝",$AK19*1.5,0))*(1+$BC19)*(1+$BD19)+($BE19*IF($G$1="破竹",$AJ19,$AH19)+IF($G$1="破竹",$AK19*1.5,0))*(1+$BG19)*(1+$BH19))*(1+$AL19))*$P19*(1+IF(VLOOKUP($Q19,武学奇术!$A:$ZZ,30,FALSE)="蓄力技",#REF!,0))*(1+$BQ19)</f>
        <v>0</v>
      </c>
      <c r="P19" s="39">
        <v>1</v>
      </c>
      <c r="Q19" s="40" t="s">
        <v>76</v>
      </c>
      <c r="R19" s="40" t="s">
        <v>76</v>
      </c>
      <c r="S19" s="40" t="s">
        <v>76</v>
      </c>
      <c r="T19" s="40" t="s">
        <v>76</v>
      </c>
      <c r="U19" s="40" t="s">
        <v>76</v>
      </c>
      <c r="V19" s="40" t="s">
        <v>76</v>
      </c>
      <c r="W19" s="40" t="s">
        <v>76</v>
      </c>
      <c r="X19" s="40" t="s">
        <v>76</v>
      </c>
      <c r="Y19" s="40" t="s">
        <v>76</v>
      </c>
      <c r="Z19" s="40" t="s">
        <v>76</v>
      </c>
      <c r="AA19" s="40" t="s">
        <v>76</v>
      </c>
      <c r="AB19" s="40" t="s">
        <v>76</v>
      </c>
      <c r="AC19" s="40" t="s">
        <v>76</v>
      </c>
      <c r="AD19" s="40" t="s">
        <v>76</v>
      </c>
      <c r="AE19" s="40" t="s">
        <v>76</v>
      </c>
      <c r="AF19" s="40" t="s">
        <v>76</v>
      </c>
      <c r="AG19" t="str">
        <f>VLOOKUP($Q19,武学奇术!$A:$ZZ,25,FALSE)</f>
        <v>心法</v>
      </c>
      <c r="AH19" s="26">
        <f>VLOOKUP($Q19,武学奇术!$A:$ZZ,26,FALSE)</f>
        <v>0</v>
      </c>
      <c r="AI19" s="27">
        <f>VLOOKUP($Q19,武学奇术!$A:$ZZ,27,FALSE)*(1+IF(OR($AG19=$F$4,$AG19=$F$5),$B$21,0))</f>
        <v>0</v>
      </c>
      <c r="AJ19" s="26">
        <f>VLOOKUP($Q19,武学奇术!$A:$ZZ,28,FALSE)</f>
        <v>0</v>
      </c>
      <c r="AK19" s="27">
        <f>VLOOKUP($Q19,武学奇术!$A:$ZZ,29,FALSE)*(1+IF(OR($AG19=$F$4,$AG19=$F$5),$B$21,0))</f>
        <v>0</v>
      </c>
      <c r="AL19" s="26" cm="1">
        <f t="array" ref="AL19">$G$3+IFERROR(VLOOKUP($AG19,$F$4:$G$7,2,FALSE),0)+VLOOKUP($Q19,武学奇术!$A:$ZZ,2,FALSE)+SUM(_xlfn.XLOOKUP($R19:$AF19,增益!$A:$A,增益!$B:$B,0))</f>
        <v>0.2642</v>
      </c>
      <c r="AM19" s="26" cm="1">
        <f t="array" ref="AM19">VLOOKUP($Q19,武学奇术!$A:$ZZ,5,FALSE)+SUM(_xlfn.XLOOKUP($R19:$AF19,增益!$A:$A,增益!$E:$E,0))</f>
        <v>0</v>
      </c>
      <c r="AN19" cm="1">
        <f t="array" ref="AN19">$D$10*(1+$AM19)+VLOOKUP($Q19,武学奇术!$A:$ZZ,3,FALSE)+SUM(_xlfn.XLOOKUP($R19:$AF19,增益!$A:$A,增益!$C:$C,0))-$I$2</f>
        <v>3977.2</v>
      </c>
      <c r="AO19" cm="1">
        <f t="array" ref="AO19">$E$10*(1+$AM19)+VLOOKUP($Q19,武学奇术!$A:$ZZ,4,FALSE)+SUM(_xlfn.XLOOKUP($R19:$AF19,增益!$A:$A,增益!$D:$D,0))-$I$2</f>
        <v>3977.2</v>
      </c>
      <c r="AP19" s="32" cm="1">
        <f t="array" ref="AP19">IF($F$10-$I$3+VLOOKUP($Q19,武学奇术!$A:$ZZ,6,FALSE)+SUM(_xlfn.XLOOKUP(R19:AF19,增益!$A:$A,增益!$F:$F,0))&gt;0,($F$10-$I$3+VLOOKUP($Q19,武学奇术!$A:$ZZ,6,FALSE)+SUM(_xlfn.XLOOKUP(R19:AF19,增益!$A:$A,增益!$F:$F,0)))/200,($F$10-$I$3+VLOOKUP($Q19,武学奇术!$A:$ZZ,6,FALSE)+SUM(_xlfn.XLOOKUP(R19:AF19,增益!$A:$A,增益!$F:$F,0)))/100)</f>
        <v>0.294</v>
      </c>
      <c r="AQ19" s="32" cm="1">
        <f t="array" ref="AQ19">$G$10+VLOOKUP($Q19,武学奇术!$A:$ZZ,7,FALSE)+SUM(_xlfn.XLOOKUP(R19:AF19,增益!$A:$A,增益!$G:$G,0))</f>
        <v>0</v>
      </c>
      <c r="AR19" s="26" cm="1">
        <f t="array" ref="AR19">VLOOKUP($Q19,武学奇术!$A:$ZZ,8,FALSE)+SUM(_xlfn.XLOOKUP(R19:AF19,增益!$A:$A,增益!$H:$H,0))</f>
        <v>0</v>
      </c>
      <c r="AS19">
        <f t="shared" si="1"/>
        <v>0</v>
      </c>
      <c r="AT19">
        <f t="shared" si="2"/>
        <v>0</v>
      </c>
      <c r="AU19" s="32" cm="1">
        <f t="array" ref="AU19">IF($F$11-$I$4+VLOOKUP($Q19,武学奇术!$A:$ZZ,9,FALSE)+SUM(_xlfn.XLOOKUP(R19:AF19,增益!$A:$A,增益!$I:$I,0))&gt;0,($F$11-$I$4+VLOOKUP($Q19,武学奇术!$A:$ZZ,9,FALSE)+SUM(_xlfn.XLOOKUP(R19:AF19,增益!$A:$A,增益!$I:$I,0)))/200,($F$11-$I$4+VLOOKUP($Q19,武学奇术!$A:$ZZ,9,FALSE)+SUM(_xlfn.XLOOKUP(R19:AF19,增益!$A:$A,增益!$I:$I,0)))/100)</f>
        <v>-0.3</v>
      </c>
      <c r="AV19" s="32" cm="1">
        <f t="array" ref="AV19">$G$11+VLOOKUP($Q19,武学奇术!$A:$ZZ,10,FALSE)+SUM(_xlfn.XLOOKUP(R19:AF19,增益!$A:$A,增益!$J:$J,0))</f>
        <v>0</v>
      </c>
      <c r="AW19">
        <f t="shared" si="3"/>
        <v>0</v>
      </c>
      <c r="AX19">
        <f t="shared" si="4"/>
        <v>0</v>
      </c>
      <c r="AY19" s="32" cm="1">
        <f t="array" ref="AY19">IF($F$12-$I$4+VLOOKUP($Q19,武学奇术!$A:$ZZ,11,FALSE)+SUM(_xlfn.XLOOKUP(R19:AF19,增益!$A:$A,增益!$K:$K,0))&gt;0,($F$12-$I$4+VLOOKUP($Q19,武学奇术!$A:$ZZ,11,FALSE)+SUM(_xlfn.XLOOKUP(R19:AF19,增益!$A:$A,增益!$K:$K,0)))/200,($F$12-$I$4+VLOOKUP($Q19,武学奇术!$A:$ZZ,11,FALSE)+SUM(_xlfn.XLOOKUP(R19:AF19,增益!$A:$A,增益!$K:$K,0)))/100)</f>
        <v>-0.3</v>
      </c>
      <c r="AZ19" s="32" cm="1">
        <f t="array" ref="AZ19">$G$12+VLOOKUP($Q19,武学奇术!$A:$ZZ,12,FALSE)+SUM(_xlfn.XLOOKUP(R19:AF19,增益!$A:$A,增益!$L:$L,0))</f>
        <v>0</v>
      </c>
      <c r="BA19">
        <f t="shared" si="5"/>
        <v>697.4</v>
      </c>
      <c r="BB19">
        <f t="shared" si="6"/>
        <v>1805</v>
      </c>
      <c r="BC19" s="32" cm="1">
        <f t="array" ref="BC19">IF($F$13-$I$4+VLOOKUP($Q19,武学奇术!$A:$ZZ,13,FALSE)+SUM(_xlfn.XLOOKUP(R19:AF19,增益!$A:$A,增益!$M:$M,0))&gt;0,($F$13-$I$4+VLOOKUP($Q19,武学奇术!$A:$ZZ,13,FALSE)+SUM(_xlfn.XLOOKUP(R19:AF19,增益!$A:$A,增益!$K:$K,0)))/200,($F$13-$I$4+VLOOKUP($Q19,武学奇术!$A:$ZZ,13,FALSE)+SUM(_xlfn.XLOOKUP(R19:AF19,增益!$A:$A,增益!$M:$M,0)))/100)</f>
        <v>0</v>
      </c>
      <c r="BD19" s="32" cm="1">
        <f t="array" ref="BD19">$G$13+VLOOKUP($Q19,武学奇术!$A:$ZZ,14,FALSE)+SUM(_xlfn.XLOOKUP(R19:AF19,增益!$A:$A,增益!$N:$N,0))</f>
        <v>0.15</v>
      </c>
      <c r="BE19">
        <f t="shared" si="7"/>
        <v>0</v>
      </c>
      <c r="BF19">
        <f t="shared" si="8"/>
        <v>0</v>
      </c>
      <c r="BG19" s="32" cm="1">
        <f t="array" ref="BG19">IF($F$14-$I$4+VLOOKUP($Q19,武学奇术!$A:$ZZ,15,FALSE)+SUM(_xlfn.XLOOKUP(R19:AF19,增益!$A:$A,增益!$O:$O,0))&gt;0,($F$14-$I$4+VLOOKUP($Q19,武学奇术!$A:$ZZ,15,FALSE)+SUM(_xlfn.XLOOKUP(R19:AF19,增益!$A:$A,增益!$O:$O,0)))/200,($F$14-$I$4+VLOOKUP($Q19,武学奇术!$A:$ZZ,15,FALSE)+SUM(_xlfn.XLOOKUP(R19:AF19,增益!$A:$A,增益!$O:$O,0)))/100)</f>
        <v>-0.3</v>
      </c>
      <c r="BH19" s="32" cm="1">
        <f t="array" ref="BH19">$G$14+VLOOKUP($Q19,武学奇术!$A:$ZZ,16,FALSE)+SUM(_xlfn.XLOOKUP(R19:AF19,增益!$A:$A,增益!$P:$P,0))</f>
        <v>0</v>
      </c>
      <c r="BI19" s="26">
        <f>MIN(IF(VLOOKUP($Q19,武学奇术!$A:$ZZ,23,FALSE)=1,100%,$B$8),100%)</f>
        <v>1</v>
      </c>
      <c r="BJ19" s="26" cm="1">
        <f t="array" ref="BJ19">IF(VLOOKUP($Q19,武学奇术!$A:$ZZ,23,FALSE)=1,100%,MIN(80%,$B$9+VLOOKUP($Q19,武学奇术!$A:$ZZ,17,FALSE)+SUM(_xlfn.XLOOKUP(R19:AF19,增益!$A:$A,增益!$Q:$Q,0)))+$B$11+SUM(_xlfn.XLOOKUP(R19:AF19,增益!$A:$A,增益!$U:$U,0)))*IF(VLOOKUP($Q19,武学奇术!$A:$ZZ,24,FALSE)=1,0,1)</f>
        <v>0.8625</v>
      </c>
      <c r="BK19" s="26" cm="1">
        <f t="array" ref="BK19">1+$B$13+VLOOKUP($Q19,武学奇术!$A:$ZZ,18,FALSE)+SUM(_xlfn.XLOOKUP(R19:AF19,增益!$A:$A,增益!$R:$R,0))</f>
        <v>1.5</v>
      </c>
      <c r="BL19" s="26" cm="1">
        <f t="array" ref="BL19">IF(VLOOKUP($Q19,武学奇术!$A:$ZZ,24,FALSE)=1,100%,MIN(40%,$B$10+VLOOKUP($Q19,武学奇术!$A:$ZZ,19,FALSE)+SUM(_xlfn.XLOOKUP(R19:AF19,增益!$A:$A,增益!$S:$S,0)))+$B$12+SUM(_xlfn.XLOOKUP(R19:AF19,增益!$A:$A,增益!$V:$V,0)))*IF(VLOOKUP($Q19,武学奇术!$A:$ZZ,23,FALSE)=1,0,1)</f>
        <v>0.0913</v>
      </c>
      <c r="BM19" s="26" cm="1">
        <f t="array" ref="BM19">1+$B$14+VLOOKUP($Q19,武学奇术!$A:$ZZ,20,FALSE)+SUM(_xlfn.XLOOKUP(R19:AF19,增益!$A:$A,增益!$T:$T,0))</f>
        <v>1.35</v>
      </c>
      <c r="BN19" s="26">
        <f t="shared" si="9"/>
        <v>0.8625</v>
      </c>
      <c r="BO19" s="26">
        <f t="shared" si="10"/>
        <v>0.0462</v>
      </c>
      <c r="BP19" s="26">
        <f>IF(VLOOKUP($Q19,武学奇术!$A:$ZZ,22,FALSE)=1,0,(1-$BI19))*(1-$BL19)</f>
        <v>0</v>
      </c>
      <c r="BQ19" s="26" cm="1">
        <f t="array" ref="BQ19">SUM(_xlfn.XLOOKUP(R19:AF19,增益!$A:$A,增益!$W:$W,0))+$I$5</f>
        <v>0.06</v>
      </c>
    </row>
    <row r="20" ht="14.25" spans="1:69">
      <c r="A20" s="85"/>
      <c r="B20" s="86"/>
      <c r="C20" s="39" t="s">
        <v>126</v>
      </c>
      <c r="D20" s="79" t="s">
        <v>116</v>
      </c>
      <c r="E20" s="40" t="s">
        <v>127</v>
      </c>
      <c r="F20" s="40"/>
      <c r="K20" s="38">
        <f t="shared" si="0"/>
        <v>0</v>
      </c>
      <c r="L20" s="38">
        <f>((($AN20+$AO20)/2*$AH20+$AI20)*(1+$AP20)*(1+$AQ20)+(($AS20+$AT20)/2*IF($G$1="鸣金",$AJ20,$AH20)+IF($G$1="鸣金",$AK20*1.5,0))*(1+$AU20)*(1+$AV20)+(($AW20+$AX20)/2*IF($G$1="裂石",$AJ20,$AH20)+IF($G$1="裂石",$AK20*1.5,0))*(1+$AY20)*(1+$AZ20)+(($BA20+$BB20)/2*IF($G$1="牵丝",$AJ20,$AH20)+IF($G$1="牵丝",$AK20*1.5,0))*(1+$BC20)*(1+$BD20)+(($BE20+$BF20)/2*IF($G$1="破竹",$AJ20,$AH20)+IF($G$1="破竹",$AK20*1.5,0))*(1+$BG20)*(1+$BH20))*(1+$AL20)*$BK20*$P20*(1+IF(VLOOKUP($Q20,武学奇术!$A:$ZZ,30,FALSE)="蓄力技",#REF!,0))*(1+$BQ20)</f>
        <v>0</v>
      </c>
      <c r="M20" s="38">
        <f>(($AO20*$AH20+$AI20)*(1+$AP20)*(1+$AQ20)+($AT20*IF($G$1="鸣金",$AJ20,$AH20)+IF($G$1="鸣金",$AK20*1.5,0))*(1+$AU20)*(1+$AV20)+($AX20*IF($G$1="裂石",$AJ20,$AH20)+IF($G$1="裂石",$AK20*1.5,0))*(1+$AY20)*(1+$AZ20)+($BB20*IF($G$1="牵丝",$AJ20,$AH20)+IF($G$1="牵丝",$AK20*1.5,0))*(1+$BC20)*(1+$BD20)+($BF20*IF($G$1="破竹",$AJ20,$AH20)+IF($G$1="破竹",$AK20*1.5,0))*(1+$BG20)*(1+$BH20))*(1+$AL20)*$BM20*$P20*(1+IF(VLOOKUP($Q20,武学奇术!$A:$ZZ,30,FALSE)="蓄力技",#REF!,0))*(1+$BQ20)</f>
        <v>0</v>
      </c>
      <c r="N20" s="38">
        <f>((($AN20+$AO20)/2*$AH20+$AI20)*(1+$AP20)*(1+$AQ20)+(($AS20+$AT20)/2*IF($G$1="鸣金",$AJ20,$AH20)+IF($G$1="鸣金",$AK20*1.5,0))*(1+$AU20)*(1+$AV20)+(($AW20+$AX20)/2*IF($G$1="裂石",$AJ20,$AH20)+IF($G$1="裂石",$AK20*1.5,0))*(1+$AY20)*(1+$AZ20)+(($BA20+$BB20)/2*IF($G$1="牵丝",$AJ20,$AH20)+IF($G$1="牵丝",$AK20*1.5,0))*(1+$BC20)*(1+$BD20)+(($BE20+$BF20)/2*IF($G$1="破竹",$AJ20,$AH20)+IF($G$1="破竹",$AK20*1.5,0))*(1+$BG20)*(1+$BH20))*(1+$AL20)*$P20*(1+IF(VLOOKUP($Q20,武学奇术!$A:$ZZ,30,FALSE)="蓄力技",#REF!,0))*(1+$BQ20)</f>
        <v>0</v>
      </c>
      <c r="O20" s="38">
        <f>((($AN20*$AH20+$AI20)*(1+$AP20)*(1+$AQ20)+($AS20*IF($G$1="鸣金",$AJ20,$AH20)+IF($G$1="鸣金",$AK20*1.5,0))*(1+$AU20)*(1+$AV20)+($AW20*IF($G$1="裂石",$AJ20,$AH20)+IF($G$1="裂石",$AK20*1.5,0))*(1+$AY20)*(1+$AZ20)+($BA20*IF($G$1="牵丝",$AJ20,$AH20)+IF($G$1="牵丝",$AK20*1.5,0))*(1+$BC20)*(1+$BD20)+($BE20*IF($G$1="破竹",$AJ20,$AH20)+IF($G$1="破竹",$AK20*1.5,0))*(1+$BG20)*(1+$BH20))*(1+$AL20))*$P20*(1+IF(VLOOKUP($Q20,武学奇术!$A:$ZZ,30,FALSE)="蓄力技",#REF!,0))*(1+$BQ20)</f>
        <v>0</v>
      </c>
      <c r="P20" s="39">
        <v>1</v>
      </c>
      <c r="Q20" s="40" t="s">
        <v>76</v>
      </c>
      <c r="R20" s="40" t="s">
        <v>76</v>
      </c>
      <c r="S20" s="40" t="s">
        <v>76</v>
      </c>
      <c r="T20" s="40" t="s">
        <v>76</v>
      </c>
      <c r="U20" s="40" t="s">
        <v>76</v>
      </c>
      <c r="V20" s="40" t="s">
        <v>76</v>
      </c>
      <c r="W20" s="40" t="s">
        <v>76</v>
      </c>
      <c r="X20" s="40" t="s">
        <v>76</v>
      </c>
      <c r="Y20" s="40" t="s">
        <v>76</v>
      </c>
      <c r="Z20" s="40" t="s">
        <v>76</v>
      </c>
      <c r="AA20" s="40" t="s">
        <v>76</v>
      </c>
      <c r="AB20" s="40" t="s">
        <v>76</v>
      </c>
      <c r="AC20" s="40" t="s">
        <v>76</v>
      </c>
      <c r="AD20" s="40" t="s">
        <v>76</v>
      </c>
      <c r="AE20" s="40" t="s">
        <v>76</v>
      </c>
      <c r="AF20" s="40" t="s">
        <v>76</v>
      </c>
      <c r="AG20" t="str">
        <f>VLOOKUP($Q20,武学奇术!$A:$ZZ,25,FALSE)</f>
        <v>心法</v>
      </c>
      <c r="AH20" s="26">
        <f>VLOOKUP($Q20,武学奇术!$A:$ZZ,26,FALSE)</f>
        <v>0</v>
      </c>
      <c r="AI20" s="27">
        <f>VLOOKUP($Q20,武学奇术!$A:$ZZ,27,FALSE)*(1+IF(OR($AG20=$F$4,$AG20=$F$5),$B$21,0))</f>
        <v>0</v>
      </c>
      <c r="AJ20" s="26">
        <f>VLOOKUP($Q20,武学奇术!$A:$ZZ,28,FALSE)</f>
        <v>0</v>
      </c>
      <c r="AK20" s="27">
        <f>VLOOKUP($Q20,武学奇术!$A:$ZZ,29,FALSE)*(1+IF(OR($AG20=$F$4,$AG20=$F$5),$B$21,0))</f>
        <v>0</v>
      </c>
      <c r="AL20" s="26" cm="1">
        <f t="array" ref="AL20">$G$3+IFERROR(VLOOKUP($AG20,$F$4:$G$7,2,FALSE),0)+VLOOKUP($Q20,武学奇术!$A:$ZZ,2,FALSE)+SUM(_xlfn.XLOOKUP($R20:$AF20,增益!$A:$A,增益!$B:$B,0))</f>
        <v>0.2642</v>
      </c>
      <c r="AM20" s="26" cm="1">
        <f t="array" ref="AM20">VLOOKUP($Q20,武学奇术!$A:$ZZ,5,FALSE)+SUM(_xlfn.XLOOKUP($R20:$AF20,增益!$A:$A,增益!$E:$E,0))</f>
        <v>0</v>
      </c>
      <c r="AN20" cm="1">
        <f t="array" ref="AN20">$D$10*(1+$AM20)+VLOOKUP($Q20,武学奇术!$A:$ZZ,3,FALSE)+SUM(_xlfn.XLOOKUP($R20:$AF20,增益!$A:$A,增益!$C:$C,0))-$I$2</f>
        <v>3977.2</v>
      </c>
      <c r="AO20" cm="1">
        <f t="array" ref="AO20">$E$10*(1+$AM20)+VLOOKUP($Q20,武学奇术!$A:$ZZ,4,FALSE)+SUM(_xlfn.XLOOKUP($R20:$AF20,增益!$A:$A,增益!$D:$D,0))-$I$2</f>
        <v>3977.2</v>
      </c>
      <c r="AP20" s="32" cm="1">
        <f t="array" ref="AP20">IF($F$10-$I$3+VLOOKUP($Q20,武学奇术!$A:$ZZ,6,FALSE)+SUM(_xlfn.XLOOKUP(R20:AF20,增益!$A:$A,增益!$F:$F,0))&gt;0,($F$10-$I$3+VLOOKUP($Q20,武学奇术!$A:$ZZ,6,FALSE)+SUM(_xlfn.XLOOKUP(R20:AF20,增益!$A:$A,增益!$F:$F,0)))/200,($F$10-$I$3+VLOOKUP($Q20,武学奇术!$A:$ZZ,6,FALSE)+SUM(_xlfn.XLOOKUP(R20:AF20,增益!$A:$A,增益!$F:$F,0)))/100)</f>
        <v>0.294</v>
      </c>
      <c r="AQ20" s="32" cm="1">
        <f t="array" ref="AQ20">$G$10+VLOOKUP($Q20,武学奇术!$A:$ZZ,7,FALSE)+SUM(_xlfn.XLOOKUP(R20:AF20,增益!$A:$A,增益!$G:$G,0))</f>
        <v>0</v>
      </c>
      <c r="AR20" s="26" cm="1">
        <f t="array" ref="AR20">VLOOKUP($Q20,武学奇术!$A:$ZZ,8,FALSE)+SUM(_xlfn.XLOOKUP(R20:AF20,增益!$A:$A,增益!$H:$H,0))</f>
        <v>0</v>
      </c>
      <c r="AS20">
        <f t="shared" si="1"/>
        <v>0</v>
      </c>
      <c r="AT20">
        <f t="shared" si="2"/>
        <v>0</v>
      </c>
      <c r="AU20" s="32" cm="1">
        <f t="array" ref="AU20">IF($F$11-$I$4+VLOOKUP($Q20,武学奇术!$A:$ZZ,9,FALSE)+SUM(_xlfn.XLOOKUP(R20:AF20,增益!$A:$A,增益!$I:$I,0))&gt;0,($F$11-$I$4+VLOOKUP($Q20,武学奇术!$A:$ZZ,9,FALSE)+SUM(_xlfn.XLOOKUP(R20:AF20,增益!$A:$A,增益!$I:$I,0)))/200,($F$11-$I$4+VLOOKUP($Q20,武学奇术!$A:$ZZ,9,FALSE)+SUM(_xlfn.XLOOKUP(R20:AF20,增益!$A:$A,增益!$I:$I,0)))/100)</f>
        <v>-0.3</v>
      </c>
      <c r="AV20" s="32" cm="1">
        <f t="array" ref="AV20">$G$11+VLOOKUP($Q20,武学奇术!$A:$ZZ,10,FALSE)+SUM(_xlfn.XLOOKUP(R20:AF20,增益!$A:$A,增益!$J:$J,0))</f>
        <v>0</v>
      </c>
      <c r="AW20">
        <f t="shared" si="3"/>
        <v>0</v>
      </c>
      <c r="AX20">
        <f t="shared" si="4"/>
        <v>0</v>
      </c>
      <c r="AY20" s="32" cm="1">
        <f t="array" ref="AY20">IF($F$12-$I$4+VLOOKUP($Q20,武学奇术!$A:$ZZ,11,FALSE)+SUM(_xlfn.XLOOKUP(R20:AF20,增益!$A:$A,增益!$K:$K,0))&gt;0,($F$12-$I$4+VLOOKUP($Q20,武学奇术!$A:$ZZ,11,FALSE)+SUM(_xlfn.XLOOKUP(R20:AF20,增益!$A:$A,增益!$K:$K,0)))/200,($F$12-$I$4+VLOOKUP($Q20,武学奇术!$A:$ZZ,11,FALSE)+SUM(_xlfn.XLOOKUP(R20:AF20,增益!$A:$A,增益!$K:$K,0)))/100)</f>
        <v>-0.3</v>
      </c>
      <c r="AZ20" s="32" cm="1">
        <f t="array" ref="AZ20">$G$12+VLOOKUP($Q20,武学奇术!$A:$ZZ,12,FALSE)+SUM(_xlfn.XLOOKUP(R20:AF20,增益!$A:$A,增益!$L:$L,0))</f>
        <v>0</v>
      </c>
      <c r="BA20">
        <f t="shared" si="5"/>
        <v>697.4</v>
      </c>
      <c r="BB20">
        <f t="shared" si="6"/>
        <v>1805</v>
      </c>
      <c r="BC20" s="32" cm="1">
        <f t="array" ref="BC20">IF($F$13-$I$4+VLOOKUP($Q20,武学奇术!$A:$ZZ,13,FALSE)+SUM(_xlfn.XLOOKUP(R20:AF20,增益!$A:$A,增益!$M:$M,0))&gt;0,($F$13-$I$4+VLOOKUP($Q20,武学奇术!$A:$ZZ,13,FALSE)+SUM(_xlfn.XLOOKUP(R20:AF20,增益!$A:$A,增益!$K:$K,0)))/200,($F$13-$I$4+VLOOKUP($Q20,武学奇术!$A:$ZZ,13,FALSE)+SUM(_xlfn.XLOOKUP(R20:AF20,增益!$A:$A,增益!$M:$M,0)))/100)</f>
        <v>0</v>
      </c>
      <c r="BD20" s="32" cm="1">
        <f t="array" ref="BD20">$G$13+VLOOKUP($Q20,武学奇术!$A:$ZZ,14,FALSE)+SUM(_xlfn.XLOOKUP(R20:AF20,增益!$A:$A,增益!$N:$N,0))</f>
        <v>0.15</v>
      </c>
      <c r="BE20">
        <f t="shared" si="7"/>
        <v>0</v>
      </c>
      <c r="BF20">
        <f t="shared" si="8"/>
        <v>0</v>
      </c>
      <c r="BG20" s="32" cm="1">
        <f t="array" ref="BG20">IF($F$14-$I$4+VLOOKUP($Q20,武学奇术!$A:$ZZ,15,FALSE)+SUM(_xlfn.XLOOKUP(R20:AF20,增益!$A:$A,增益!$O:$O,0))&gt;0,($F$14-$I$4+VLOOKUP($Q20,武学奇术!$A:$ZZ,15,FALSE)+SUM(_xlfn.XLOOKUP(R20:AF20,增益!$A:$A,增益!$O:$O,0)))/200,($F$14-$I$4+VLOOKUP($Q20,武学奇术!$A:$ZZ,15,FALSE)+SUM(_xlfn.XLOOKUP(R20:AF20,增益!$A:$A,增益!$O:$O,0)))/100)</f>
        <v>-0.3</v>
      </c>
      <c r="BH20" s="32" cm="1">
        <f t="array" ref="BH20">$G$14+VLOOKUP($Q20,武学奇术!$A:$ZZ,16,FALSE)+SUM(_xlfn.XLOOKUP(R20:AF20,增益!$A:$A,增益!$P:$P,0))</f>
        <v>0</v>
      </c>
      <c r="BI20" s="26">
        <f>MIN(IF(VLOOKUP($Q20,武学奇术!$A:$ZZ,23,FALSE)=1,100%,$B$8),100%)</f>
        <v>1</v>
      </c>
      <c r="BJ20" s="26" cm="1">
        <f t="array" ref="BJ20">IF(VLOOKUP($Q20,武学奇术!$A:$ZZ,23,FALSE)=1,100%,MIN(80%,$B$9+VLOOKUP($Q20,武学奇术!$A:$ZZ,17,FALSE)+SUM(_xlfn.XLOOKUP(R20:AF20,增益!$A:$A,增益!$Q:$Q,0)))+$B$11+SUM(_xlfn.XLOOKUP(R20:AF20,增益!$A:$A,增益!$U:$U,0)))*IF(VLOOKUP($Q20,武学奇术!$A:$ZZ,24,FALSE)=1,0,1)</f>
        <v>0.8625</v>
      </c>
      <c r="BK20" s="26" cm="1">
        <f t="array" ref="BK20">1+$B$13+VLOOKUP($Q20,武学奇术!$A:$ZZ,18,FALSE)+SUM(_xlfn.XLOOKUP(R20:AF20,增益!$A:$A,增益!$R:$R,0))</f>
        <v>1.5</v>
      </c>
      <c r="BL20" s="26" cm="1">
        <f t="array" ref="BL20">IF(VLOOKUP($Q20,武学奇术!$A:$ZZ,24,FALSE)=1,100%,MIN(40%,$B$10+VLOOKUP($Q20,武学奇术!$A:$ZZ,19,FALSE)+SUM(_xlfn.XLOOKUP(R20:AF20,增益!$A:$A,增益!$S:$S,0)))+$B$12+SUM(_xlfn.XLOOKUP(R20:AF20,增益!$A:$A,增益!$V:$V,0)))*IF(VLOOKUP($Q20,武学奇术!$A:$ZZ,23,FALSE)=1,0,1)</f>
        <v>0.0913</v>
      </c>
      <c r="BM20" s="26" cm="1">
        <f t="array" ref="BM20">1+$B$14+VLOOKUP($Q20,武学奇术!$A:$ZZ,20,FALSE)+SUM(_xlfn.XLOOKUP(R20:AF20,增益!$A:$A,增益!$T:$T,0))</f>
        <v>1.35</v>
      </c>
      <c r="BN20" s="26">
        <f t="shared" si="9"/>
        <v>0.8625</v>
      </c>
      <c r="BO20" s="26">
        <f t="shared" si="10"/>
        <v>0.0462</v>
      </c>
      <c r="BP20" s="26">
        <f>IF(VLOOKUP($Q20,武学奇术!$A:$ZZ,22,FALSE)=1,0,(1-$BI20))*(1-$BL20)</f>
        <v>0</v>
      </c>
      <c r="BQ20" s="26" cm="1">
        <f t="array" ref="BQ20">SUM(_xlfn.XLOOKUP(R20:AF20,增益!$A:$A,增益!$W:$W,0))+$I$5</f>
        <v>0.06</v>
      </c>
    </row>
    <row r="21" spans="1:69">
      <c r="A21" t="s">
        <v>128</v>
      </c>
      <c r="B21" s="28">
        <v>0.6</v>
      </c>
      <c r="C21" s="39" t="s">
        <v>129</v>
      </c>
      <c r="D21" s="79" t="s">
        <v>116</v>
      </c>
      <c r="E21" s="39" t="s">
        <v>130</v>
      </c>
      <c r="F21" s="39"/>
      <c r="K21" s="38">
        <f t="shared" si="0"/>
        <v>0</v>
      </c>
      <c r="L21" s="38">
        <f>((($AN21+$AO21)/2*$AH21+$AI21)*(1+$AP21)*(1+$AQ21)+(($AS21+$AT21)/2*IF($G$1="鸣金",$AJ21,$AH21)+IF($G$1="鸣金",$AK21*1.5,0))*(1+$AU21)*(1+$AV21)+(($AW21+$AX21)/2*IF($G$1="裂石",$AJ21,$AH21)+IF($G$1="裂石",$AK21*1.5,0))*(1+$AY21)*(1+$AZ21)+(($BA21+$BB21)/2*IF($G$1="牵丝",$AJ21,$AH21)+IF($G$1="牵丝",$AK21*1.5,0))*(1+$BC21)*(1+$BD21)+(($BE21+$BF21)/2*IF($G$1="破竹",$AJ21,$AH21)+IF($G$1="破竹",$AK21*1.5,0))*(1+$BG21)*(1+$BH21))*(1+$AL21)*$BK21*$P21*(1+IF(VLOOKUP($Q21,武学奇术!$A:$ZZ,30,FALSE)="蓄力技",#REF!,0))*(1+$BQ21)</f>
        <v>0</v>
      </c>
      <c r="M21" s="38">
        <f>(($AO21*$AH21+$AI21)*(1+$AP21)*(1+$AQ21)+($AT21*IF($G$1="鸣金",$AJ21,$AH21)+IF($G$1="鸣金",$AK21*1.5,0))*(1+$AU21)*(1+$AV21)+($AX21*IF($G$1="裂石",$AJ21,$AH21)+IF($G$1="裂石",$AK21*1.5,0))*(1+$AY21)*(1+$AZ21)+($BB21*IF($G$1="牵丝",$AJ21,$AH21)+IF($G$1="牵丝",$AK21*1.5,0))*(1+$BC21)*(1+$BD21)+($BF21*IF($G$1="破竹",$AJ21,$AH21)+IF($G$1="破竹",$AK21*1.5,0))*(1+$BG21)*(1+$BH21))*(1+$AL21)*$BM21*$P21*(1+IF(VLOOKUP($Q21,武学奇术!$A:$ZZ,30,FALSE)="蓄力技",#REF!,0))*(1+$BQ21)</f>
        <v>0</v>
      </c>
      <c r="N21" s="38">
        <f>((($AN21+$AO21)/2*$AH21+$AI21)*(1+$AP21)*(1+$AQ21)+(($AS21+$AT21)/2*IF($G$1="鸣金",$AJ21,$AH21)+IF($G$1="鸣金",$AK21*1.5,0))*(1+$AU21)*(1+$AV21)+(($AW21+$AX21)/2*IF($G$1="裂石",$AJ21,$AH21)+IF($G$1="裂石",$AK21*1.5,0))*(1+$AY21)*(1+$AZ21)+(($BA21+$BB21)/2*IF($G$1="牵丝",$AJ21,$AH21)+IF($G$1="牵丝",$AK21*1.5,0))*(1+$BC21)*(1+$BD21)+(($BE21+$BF21)/2*IF($G$1="破竹",$AJ21,$AH21)+IF($G$1="破竹",$AK21*1.5,0))*(1+$BG21)*(1+$BH21))*(1+$AL21)*$P21*(1+IF(VLOOKUP($Q21,武学奇术!$A:$ZZ,30,FALSE)="蓄力技",#REF!,0))*(1+$BQ21)</f>
        <v>0</v>
      </c>
      <c r="O21" s="38">
        <f>((($AN21*$AH21+$AI21)*(1+$AP21)*(1+$AQ21)+($AS21*IF($G$1="鸣金",$AJ21,$AH21)+IF($G$1="鸣金",$AK21*1.5,0))*(1+$AU21)*(1+$AV21)+($AW21*IF($G$1="裂石",$AJ21,$AH21)+IF($G$1="裂石",$AK21*1.5,0))*(1+$AY21)*(1+$AZ21)+($BA21*IF($G$1="牵丝",$AJ21,$AH21)+IF($G$1="牵丝",$AK21*1.5,0))*(1+$BC21)*(1+$BD21)+($BE21*IF($G$1="破竹",$AJ21,$AH21)+IF($G$1="破竹",$AK21*1.5,0))*(1+$BG21)*(1+$BH21))*(1+$AL21))*$P21*(1+IF(VLOOKUP($Q21,武学奇术!$A:$ZZ,30,FALSE)="蓄力技",#REF!,0))*(1+$BQ21)</f>
        <v>0</v>
      </c>
      <c r="P21" s="39">
        <v>1</v>
      </c>
      <c r="Q21" s="40" t="s">
        <v>76</v>
      </c>
      <c r="R21" s="40" t="s">
        <v>76</v>
      </c>
      <c r="S21" s="40" t="s">
        <v>76</v>
      </c>
      <c r="T21" s="40" t="s">
        <v>76</v>
      </c>
      <c r="U21" s="40" t="s">
        <v>76</v>
      </c>
      <c r="V21" s="40" t="s">
        <v>76</v>
      </c>
      <c r="W21" s="40" t="s">
        <v>76</v>
      </c>
      <c r="X21" s="40" t="s">
        <v>76</v>
      </c>
      <c r="Y21" s="40" t="s">
        <v>76</v>
      </c>
      <c r="Z21" s="40" t="s">
        <v>76</v>
      </c>
      <c r="AA21" s="40" t="s">
        <v>76</v>
      </c>
      <c r="AB21" s="40" t="s">
        <v>76</v>
      </c>
      <c r="AC21" s="40" t="s">
        <v>76</v>
      </c>
      <c r="AD21" s="40" t="s">
        <v>76</v>
      </c>
      <c r="AE21" s="40" t="s">
        <v>76</v>
      </c>
      <c r="AF21" s="40" t="s">
        <v>76</v>
      </c>
      <c r="AG21" t="str">
        <f>VLOOKUP($Q21,武学奇术!$A:$ZZ,25,FALSE)</f>
        <v>心法</v>
      </c>
      <c r="AH21" s="26">
        <f>VLOOKUP($Q21,武学奇术!$A:$ZZ,26,FALSE)</f>
        <v>0</v>
      </c>
      <c r="AI21" s="27">
        <f>VLOOKUP($Q21,武学奇术!$A:$ZZ,27,FALSE)*(1+IF(OR($AG21=$F$4,$AG21=$F$5),$B$21,0))</f>
        <v>0</v>
      </c>
      <c r="AJ21" s="26">
        <f>VLOOKUP($Q21,武学奇术!$A:$ZZ,28,FALSE)</f>
        <v>0</v>
      </c>
      <c r="AK21" s="27">
        <f>VLOOKUP($Q21,武学奇术!$A:$ZZ,29,FALSE)*(1+IF(OR($AG21=$F$4,$AG21=$F$5),$B$21,0))</f>
        <v>0</v>
      </c>
      <c r="AL21" s="26" cm="1">
        <f t="array" ref="AL21">$G$3+IFERROR(VLOOKUP($AG21,$F$4:$G$7,2,FALSE),0)+VLOOKUP($Q21,武学奇术!$A:$ZZ,2,FALSE)+SUM(_xlfn.XLOOKUP($R21:$AF21,增益!$A:$A,增益!$B:$B,0))</f>
        <v>0.2642</v>
      </c>
      <c r="AM21" s="26" cm="1">
        <f t="array" ref="AM21">VLOOKUP($Q21,武学奇术!$A:$ZZ,5,FALSE)+SUM(_xlfn.XLOOKUP($R21:$AF21,增益!$A:$A,增益!$E:$E,0))</f>
        <v>0</v>
      </c>
      <c r="AN21" cm="1">
        <f t="array" ref="AN21">$D$10*(1+$AM21)+VLOOKUP($Q21,武学奇术!$A:$ZZ,3,FALSE)+SUM(_xlfn.XLOOKUP($R21:$AF21,增益!$A:$A,增益!$C:$C,0))-$I$2</f>
        <v>3977.2</v>
      </c>
      <c r="AO21" cm="1">
        <f t="array" ref="AO21">$E$10*(1+$AM21)+VLOOKUP($Q21,武学奇术!$A:$ZZ,4,FALSE)+SUM(_xlfn.XLOOKUP($R21:$AF21,增益!$A:$A,增益!$D:$D,0))-$I$2</f>
        <v>3977.2</v>
      </c>
      <c r="AP21" s="32" cm="1">
        <f t="array" ref="AP21">IF($F$10-$I$3+VLOOKUP($Q21,武学奇术!$A:$ZZ,6,FALSE)+SUM(_xlfn.XLOOKUP(R21:AF21,增益!$A:$A,增益!$F:$F,0))&gt;0,($F$10-$I$3+VLOOKUP($Q21,武学奇术!$A:$ZZ,6,FALSE)+SUM(_xlfn.XLOOKUP(R21:AF21,增益!$A:$A,增益!$F:$F,0)))/200,($F$10-$I$3+VLOOKUP($Q21,武学奇术!$A:$ZZ,6,FALSE)+SUM(_xlfn.XLOOKUP(R21:AF21,增益!$A:$A,增益!$F:$F,0)))/100)</f>
        <v>0.294</v>
      </c>
      <c r="AQ21" s="32" cm="1">
        <f t="array" ref="AQ21">$G$10+VLOOKUP($Q21,武学奇术!$A:$ZZ,7,FALSE)+SUM(_xlfn.XLOOKUP(R21:AF21,增益!$A:$A,增益!$G:$G,0))</f>
        <v>0</v>
      </c>
      <c r="AR21" s="26" cm="1">
        <f t="array" ref="AR21">VLOOKUP($Q21,武学奇术!$A:$ZZ,8,FALSE)+SUM(_xlfn.XLOOKUP(R21:AF21,增益!$A:$A,增益!$H:$H,0))</f>
        <v>0</v>
      </c>
      <c r="AS21">
        <f t="shared" si="1"/>
        <v>0</v>
      </c>
      <c r="AT21">
        <f t="shared" si="2"/>
        <v>0</v>
      </c>
      <c r="AU21" s="32" cm="1">
        <f t="array" ref="AU21">IF($F$11-$I$4+VLOOKUP($Q21,武学奇术!$A:$ZZ,9,FALSE)+SUM(_xlfn.XLOOKUP(R21:AF21,增益!$A:$A,增益!$I:$I,0))&gt;0,($F$11-$I$4+VLOOKUP($Q21,武学奇术!$A:$ZZ,9,FALSE)+SUM(_xlfn.XLOOKUP(R21:AF21,增益!$A:$A,增益!$I:$I,0)))/200,($F$11-$I$4+VLOOKUP($Q21,武学奇术!$A:$ZZ,9,FALSE)+SUM(_xlfn.XLOOKUP(R21:AF21,增益!$A:$A,增益!$I:$I,0)))/100)</f>
        <v>-0.3</v>
      </c>
      <c r="AV21" s="32" cm="1">
        <f t="array" ref="AV21">$G$11+VLOOKUP($Q21,武学奇术!$A:$ZZ,10,FALSE)+SUM(_xlfn.XLOOKUP(R21:AF21,增益!$A:$A,增益!$J:$J,0))</f>
        <v>0</v>
      </c>
      <c r="AW21">
        <f t="shared" si="3"/>
        <v>0</v>
      </c>
      <c r="AX21">
        <f t="shared" si="4"/>
        <v>0</v>
      </c>
      <c r="AY21" s="32" cm="1">
        <f t="array" ref="AY21">IF($F$12-$I$4+VLOOKUP($Q21,武学奇术!$A:$ZZ,11,FALSE)+SUM(_xlfn.XLOOKUP(R21:AF21,增益!$A:$A,增益!$K:$K,0))&gt;0,($F$12-$I$4+VLOOKUP($Q21,武学奇术!$A:$ZZ,11,FALSE)+SUM(_xlfn.XLOOKUP(R21:AF21,增益!$A:$A,增益!$K:$K,0)))/200,($F$12-$I$4+VLOOKUP($Q21,武学奇术!$A:$ZZ,11,FALSE)+SUM(_xlfn.XLOOKUP(R21:AF21,增益!$A:$A,增益!$K:$K,0)))/100)</f>
        <v>-0.3</v>
      </c>
      <c r="AZ21" s="32" cm="1">
        <f t="array" ref="AZ21">$G$12+VLOOKUP($Q21,武学奇术!$A:$ZZ,12,FALSE)+SUM(_xlfn.XLOOKUP(R21:AF21,增益!$A:$A,增益!$L:$L,0))</f>
        <v>0</v>
      </c>
      <c r="BA21">
        <f t="shared" si="5"/>
        <v>697.4</v>
      </c>
      <c r="BB21">
        <f t="shared" si="6"/>
        <v>1805</v>
      </c>
      <c r="BC21" s="32" cm="1">
        <f t="array" ref="BC21">IF($F$13-$I$4+VLOOKUP($Q21,武学奇术!$A:$ZZ,13,FALSE)+SUM(_xlfn.XLOOKUP(R21:AF21,增益!$A:$A,增益!$M:$M,0))&gt;0,($F$13-$I$4+VLOOKUP($Q21,武学奇术!$A:$ZZ,13,FALSE)+SUM(_xlfn.XLOOKUP(R21:AF21,增益!$A:$A,增益!$K:$K,0)))/200,($F$13-$I$4+VLOOKUP($Q21,武学奇术!$A:$ZZ,13,FALSE)+SUM(_xlfn.XLOOKUP(R21:AF21,增益!$A:$A,增益!$M:$M,0)))/100)</f>
        <v>0</v>
      </c>
      <c r="BD21" s="32" cm="1">
        <f t="array" ref="BD21">$G$13+VLOOKUP($Q21,武学奇术!$A:$ZZ,14,FALSE)+SUM(_xlfn.XLOOKUP(R21:AF21,增益!$A:$A,增益!$N:$N,0))</f>
        <v>0.15</v>
      </c>
      <c r="BE21">
        <f t="shared" si="7"/>
        <v>0</v>
      </c>
      <c r="BF21">
        <f t="shared" si="8"/>
        <v>0</v>
      </c>
      <c r="BG21" s="32" cm="1">
        <f t="array" ref="BG21">IF($F$14-$I$4+VLOOKUP($Q21,武学奇术!$A:$ZZ,15,FALSE)+SUM(_xlfn.XLOOKUP(R21:AF21,增益!$A:$A,增益!$O:$O,0))&gt;0,($F$14-$I$4+VLOOKUP($Q21,武学奇术!$A:$ZZ,15,FALSE)+SUM(_xlfn.XLOOKUP(R21:AF21,增益!$A:$A,增益!$O:$O,0)))/200,($F$14-$I$4+VLOOKUP($Q21,武学奇术!$A:$ZZ,15,FALSE)+SUM(_xlfn.XLOOKUP(R21:AF21,增益!$A:$A,增益!$O:$O,0)))/100)</f>
        <v>-0.3</v>
      </c>
      <c r="BH21" s="32" cm="1">
        <f t="array" ref="BH21">$G$14+VLOOKUP($Q21,武学奇术!$A:$ZZ,16,FALSE)+SUM(_xlfn.XLOOKUP(R21:AF21,增益!$A:$A,增益!$P:$P,0))</f>
        <v>0</v>
      </c>
      <c r="BI21" s="26">
        <f>MIN(IF(VLOOKUP($Q21,武学奇术!$A:$ZZ,23,FALSE)=1,100%,$B$8),100%)</f>
        <v>1</v>
      </c>
      <c r="BJ21" s="26" cm="1">
        <f t="array" ref="BJ21">IF(VLOOKUP($Q21,武学奇术!$A:$ZZ,23,FALSE)=1,100%,MIN(80%,$B$9+VLOOKUP($Q21,武学奇术!$A:$ZZ,17,FALSE)+SUM(_xlfn.XLOOKUP(R21:AF21,增益!$A:$A,增益!$Q:$Q,0)))+$B$11+SUM(_xlfn.XLOOKUP(R21:AF21,增益!$A:$A,增益!$U:$U,0)))*IF(VLOOKUP($Q21,武学奇术!$A:$ZZ,24,FALSE)=1,0,1)</f>
        <v>0.8625</v>
      </c>
      <c r="BK21" s="26" cm="1">
        <f t="array" ref="BK21">1+$B$13+VLOOKUP($Q21,武学奇术!$A:$ZZ,18,FALSE)+SUM(_xlfn.XLOOKUP(R21:AF21,增益!$A:$A,增益!$R:$R,0))</f>
        <v>1.5</v>
      </c>
      <c r="BL21" s="26" cm="1">
        <f t="array" ref="BL21">IF(VLOOKUP($Q21,武学奇术!$A:$ZZ,24,FALSE)=1,100%,MIN(40%,$B$10+VLOOKUP($Q21,武学奇术!$A:$ZZ,19,FALSE)+SUM(_xlfn.XLOOKUP(R21:AF21,增益!$A:$A,增益!$S:$S,0)))+$B$12+SUM(_xlfn.XLOOKUP(R21:AF21,增益!$A:$A,增益!$V:$V,0)))*IF(VLOOKUP($Q21,武学奇术!$A:$ZZ,23,FALSE)=1,0,1)</f>
        <v>0.0913</v>
      </c>
      <c r="BM21" s="26" cm="1">
        <f t="array" ref="BM21">1+$B$14+VLOOKUP($Q21,武学奇术!$A:$ZZ,20,FALSE)+SUM(_xlfn.XLOOKUP(R21:AF21,增益!$A:$A,增益!$T:$T,0))</f>
        <v>1.35</v>
      </c>
      <c r="BN21" s="26">
        <f t="shared" si="9"/>
        <v>0.8625</v>
      </c>
      <c r="BO21" s="26">
        <f t="shared" si="10"/>
        <v>0.0462</v>
      </c>
      <c r="BP21" s="26">
        <f>IF(VLOOKUP($Q21,武学奇术!$A:$ZZ,22,FALSE)=1,0,(1-$BI21))*(1-$BL21)</f>
        <v>0</v>
      </c>
      <c r="BQ21" s="26" cm="1">
        <f t="array" ref="BQ21">SUM(_xlfn.XLOOKUP(R21:AF21,增益!$A:$A,增益!$W:$W,0))+$I$5</f>
        <v>0.06</v>
      </c>
    </row>
    <row r="22" spans="1:69">
      <c r="A22" s="39" t="s">
        <v>131</v>
      </c>
      <c r="B22">
        <v>240</v>
      </c>
      <c r="C22" s="39" t="s">
        <v>132</v>
      </c>
      <c r="D22" s="79" t="s">
        <v>116</v>
      </c>
      <c r="E22" s="40" t="s">
        <v>133</v>
      </c>
      <c r="F22" s="40"/>
      <c r="K22" s="38">
        <f t="shared" si="0"/>
        <v>0</v>
      </c>
      <c r="L22" s="38">
        <f>((($AN22+$AO22)/2*$AH22+$AI22)*(1+$AP22)*(1+$AQ22)+(($AS22+$AT22)/2*IF($G$1="鸣金",$AJ22,$AH22)+IF($G$1="鸣金",$AK22*1.5,0))*(1+$AU22)*(1+$AV22)+(($AW22+$AX22)/2*IF($G$1="裂石",$AJ22,$AH22)+IF($G$1="裂石",$AK22*1.5,0))*(1+$AY22)*(1+$AZ22)+(($BA22+$BB22)/2*IF($G$1="牵丝",$AJ22,$AH22)+IF($G$1="牵丝",$AK22*1.5,0))*(1+$BC22)*(1+$BD22)+(($BE22+$BF22)/2*IF($G$1="破竹",$AJ22,$AH22)+IF($G$1="破竹",$AK22*1.5,0))*(1+$BG22)*(1+$BH22))*(1+$AL22)*$BK22*$P22*(1+IF(VLOOKUP($Q22,武学奇术!$A:$ZZ,30,FALSE)="蓄力技",#REF!,0))*(1+$BQ22)</f>
        <v>0</v>
      </c>
      <c r="M22" s="38">
        <f>(($AO22*$AH22+$AI22)*(1+$AP22)*(1+$AQ22)+($AT22*IF($G$1="鸣金",$AJ22,$AH22)+IF($G$1="鸣金",$AK22*1.5,0))*(1+$AU22)*(1+$AV22)+($AX22*IF($G$1="裂石",$AJ22,$AH22)+IF($G$1="裂石",$AK22*1.5,0))*(1+$AY22)*(1+$AZ22)+($BB22*IF($G$1="牵丝",$AJ22,$AH22)+IF($G$1="牵丝",$AK22*1.5,0))*(1+$BC22)*(1+$BD22)+($BF22*IF($G$1="破竹",$AJ22,$AH22)+IF($G$1="破竹",$AK22*1.5,0))*(1+$BG22)*(1+$BH22))*(1+$AL22)*$BM22*$P22*(1+IF(VLOOKUP($Q22,武学奇术!$A:$ZZ,30,FALSE)="蓄力技",#REF!,0))*(1+$BQ22)</f>
        <v>0</v>
      </c>
      <c r="N22" s="38">
        <f>((($AN22+$AO22)/2*$AH22+$AI22)*(1+$AP22)*(1+$AQ22)+(($AS22+$AT22)/2*IF($G$1="鸣金",$AJ22,$AH22)+IF($G$1="鸣金",$AK22*1.5,0))*(1+$AU22)*(1+$AV22)+(($AW22+$AX22)/2*IF($G$1="裂石",$AJ22,$AH22)+IF($G$1="裂石",$AK22*1.5,0))*(1+$AY22)*(1+$AZ22)+(($BA22+$BB22)/2*IF($G$1="牵丝",$AJ22,$AH22)+IF($G$1="牵丝",$AK22*1.5,0))*(1+$BC22)*(1+$BD22)+(($BE22+$BF22)/2*IF($G$1="破竹",$AJ22,$AH22)+IF($G$1="破竹",$AK22*1.5,0))*(1+$BG22)*(1+$BH22))*(1+$AL22)*$P22*(1+IF(VLOOKUP($Q22,武学奇术!$A:$ZZ,30,FALSE)="蓄力技",#REF!,0))*(1+$BQ22)</f>
        <v>0</v>
      </c>
      <c r="O22" s="38">
        <f>((($AN22*$AH22+$AI22)*(1+$AP22)*(1+$AQ22)+($AS22*IF($G$1="鸣金",$AJ22,$AH22)+IF($G$1="鸣金",$AK22*1.5,0))*(1+$AU22)*(1+$AV22)+($AW22*IF($G$1="裂石",$AJ22,$AH22)+IF($G$1="裂石",$AK22*1.5,0))*(1+$AY22)*(1+$AZ22)+($BA22*IF($G$1="牵丝",$AJ22,$AH22)+IF($G$1="牵丝",$AK22*1.5,0))*(1+$BC22)*(1+$BD22)+($BE22*IF($G$1="破竹",$AJ22,$AH22)+IF($G$1="破竹",$AK22*1.5,0))*(1+$BG22)*(1+$BH22))*(1+$AL22))*$P22*(1+IF(VLOOKUP($Q22,武学奇术!$A:$ZZ,30,FALSE)="蓄力技",#REF!,0))*(1+$BQ22)</f>
        <v>0</v>
      </c>
      <c r="P22" s="39">
        <v>1</v>
      </c>
      <c r="Q22" s="40" t="s">
        <v>76</v>
      </c>
      <c r="R22" s="40" t="s">
        <v>76</v>
      </c>
      <c r="S22" s="40" t="s">
        <v>76</v>
      </c>
      <c r="T22" s="40" t="s">
        <v>76</v>
      </c>
      <c r="U22" s="40" t="s">
        <v>76</v>
      </c>
      <c r="V22" s="40" t="s">
        <v>76</v>
      </c>
      <c r="W22" s="40" t="s">
        <v>76</v>
      </c>
      <c r="X22" s="40" t="s">
        <v>76</v>
      </c>
      <c r="Y22" s="40" t="s">
        <v>76</v>
      </c>
      <c r="Z22" s="40" t="s">
        <v>76</v>
      </c>
      <c r="AA22" s="40" t="s">
        <v>76</v>
      </c>
      <c r="AB22" s="40" t="s">
        <v>76</v>
      </c>
      <c r="AC22" s="40" t="s">
        <v>76</v>
      </c>
      <c r="AD22" s="40" t="s">
        <v>76</v>
      </c>
      <c r="AE22" s="40" t="s">
        <v>76</v>
      </c>
      <c r="AF22" s="40" t="s">
        <v>76</v>
      </c>
      <c r="AG22" t="str">
        <f>VLOOKUP($Q22,武学奇术!$A:$ZZ,25,FALSE)</f>
        <v>心法</v>
      </c>
      <c r="AH22" s="26">
        <f>VLOOKUP($Q22,武学奇术!$A:$ZZ,26,FALSE)</f>
        <v>0</v>
      </c>
      <c r="AI22" s="27">
        <f>VLOOKUP($Q22,武学奇术!$A:$ZZ,27,FALSE)*(1+IF(OR($AG22=$F$4,$AG22=$F$5),$B$21,0))</f>
        <v>0</v>
      </c>
      <c r="AJ22" s="26">
        <f>VLOOKUP($Q22,武学奇术!$A:$ZZ,28,FALSE)</f>
        <v>0</v>
      </c>
      <c r="AK22" s="27">
        <f>VLOOKUP($Q22,武学奇术!$A:$ZZ,29,FALSE)*(1+IF(OR($AG22=$F$4,$AG22=$F$5),$B$21,0))</f>
        <v>0</v>
      </c>
      <c r="AL22" s="26" cm="1">
        <f t="array" ref="AL22">$G$3+IFERROR(VLOOKUP($AG22,$F$4:$G$7,2,FALSE),0)+VLOOKUP($Q22,武学奇术!$A:$ZZ,2,FALSE)+SUM(_xlfn.XLOOKUP($R22:$AF22,增益!$A:$A,增益!$B:$B,0))</f>
        <v>0.2642</v>
      </c>
      <c r="AM22" s="26" cm="1">
        <f t="array" ref="AM22">VLOOKUP($Q22,武学奇术!$A:$ZZ,5,FALSE)+SUM(_xlfn.XLOOKUP($R22:$AF22,增益!$A:$A,增益!$E:$E,0))</f>
        <v>0</v>
      </c>
      <c r="AN22" cm="1">
        <f t="array" ref="AN22">$D$10*(1+$AM22)+VLOOKUP($Q22,武学奇术!$A:$ZZ,3,FALSE)+SUM(_xlfn.XLOOKUP($R22:$AF22,增益!$A:$A,增益!$C:$C,0))-$I$2</f>
        <v>3977.2</v>
      </c>
      <c r="AO22" cm="1">
        <f t="array" ref="AO22">$E$10*(1+$AM22)+VLOOKUP($Q22,武学奇术!$A:$ZZ,4,FALSE)+SUM(_xlfn.XLOOKUP($R22:$AF22,增益!$A:$A,增益!$D:$D,0))-$I$2</f>
        <v>3977.2</v>
      </c>
      <c r="AP22" s="32" cm="1">
        <f t="array" ref="AP22">IF($F$10-$I$3+VLOOKUP($Q22,武学奇术!$A:$ZZ,6,FALSE)+SUM(_xlfn.XLOOKUP(R22:AF22,增益!$A:$A,增益!$F:$F,0))&gt;0,($F$10-$I$3+VLOOKUP($Q22,武学奇术!$A:$ZZ,6,FALSE)+SUM(_xlfn.XLOOKUP(R22:AF22,增益!$A:$A,增益!$F:$F,0)))/200,($F$10-$I$3+VLOOKUP($Q22,武学奇术!$A:$ZZ,6,FALSE)+SUM(_xlfn.XLOOKUP(R22:AF22,增益!$A:$A,增益!$F:$F,0)))/100)</f>
        <v>0.294</v>
      </c>
      <c r="AQ22" s="32" cm="1">
        <f t="array" ref="AQ22">$G$10+VLOOKUP($Q22,武学奇术!$A:$ZZ,7,FALSE)+SUM(_xlfn.XLOOKUP(R22:AF22,增益!$A:$A,增益!$G:$G,0))</f>
        <v>0</v>
      </c>
      <c r="AR22" s="26" cm="1">
        <f t="array" ref="AR22">VLOOKUP($Q22,武学奇术!$A:$ZZ,8,FALSE)+SUM(_xlfn.XLOOKUP(R22:AF22,增益!$A:$A,增益!$H:$H,0))</f>
        <v>0</v>
      </c>
      <c r="AS22">
        <f t="shared" si="1"/>
        <v>0</v>
      </c>
      <c r="AT22">
        <f t="shared" si="2"/>
        <v>0</v>
      </c>
      <c r="AU22" s="32" cm="1">
        <f t="array" ref="AU22">IF($F$11-$I$4+VLOOKUP($Q22,武学奇术!$A:$ZZ,9,FALSE)+SUM(_xlfn.XLOOKUP(R22:AF22,增益!$A:$A,增益!$I:$I,0))&gt;0,($F$11-$I$4+VLOOKUP($Q22,武学奇术!$A:$ZZ,9,FALSE)+SUM(_xlfn.XLOOKUP(R22:AF22,增益!$A:$A,增益!$I:$I,0)))/200,($F$11-$I$4+VLOOKUP($Q22,武学奇术!$A:$ZZ,9,FALSE)+SUM(_xlfn.XLOOKUP(R22:AF22,增益!$A:$A,增益!$I:$I,0)))/100)</f>
        <v>-0.3</v>
      </c>
      <c r="AV22" s="32" cm="1">
        <f t="array" ref="AV22">$G$11+VLOOKUP($Q22,武学奇术!$A:$ZZ,10,FALSE)+SUM(_xlfn.XLOOKUP(R22:AF22,增益!$A:$A,增益!$J:$J,0))</f>
        <v>0</v>
      </c>
      <c r="AW22">
        <f t="shared" si="3"/>
        <v>0</v>
      </c>
      <c r="AX22">
        <f t="shared" si="4"/>
        <v>0</v>
      </c>
      <c r="AY22" s="32" cm="1">
        <f t="array" ref="AY22">IF($F$12-$I$4+VLOOKUP($Q22,武学奇术!$A:$ZZ,11,FALSE)+SUM(_xlfn.XLOOKUP(R22:AF22,增益!$A:$A,增益!$K:$K,0))&gt;0,($F$12-$I$4+VLOOKUP($Q22,武学奇术!$A:$ZZ,11,FALSE)+SUM(_xlfn.XLOOKUP(R22:AF22,增益!$A:$A,增益!$K:$K,0)))/200,($F$12-$I$4+VLOOKUP($Q22,武学奇术!$A:$ZZ,11,FALSE)+SUM(_xlfn.XLOOKUP(R22:AF22,增益!$A:$A,增益!$K:$K,0)))/100)</f>
        <v>-0.3</v>
      </c>
      <c r="AZ22" s="32" cm="1">
        <f t="array" ref="AZ22">$G$12+VLOOKUP($Q22,武学奇术!$A:$ZZ,12,FALSE)+SUM(_xlfn.XLOOKUP(R22:AF22,增益!$A:$A,增益!$L:$L,0))</f>
        <v>0</v>
      </c>
      <c r="BA22">
        <f t="shared" si="5"/>
        <v>697.4</v>
      </c>
      <c r="BB22">
        <f t="shared" si="6"/>
        <v>1805</v>
      </c>
      <c r="BC22" s="32" cm="1">
        <f t="array" ref="BC22">IF($F$13-$I$4+VLOOKUP($Q22,武学奇术!$A:$ZZ,13,FALSE)+SUM(_xlfn.XLOOKUP(R22:AF22,增益!$A:$A,增益!$M:$M,0))&gt;0,($F$13-$I$4+VLOOKUP($Q22,武学奇术!$A:$ZZ,13,FALSE)+SUM(_xlfn.XLOOKUP(R22:AF22,增益!$A:$A,增益!$K:$K,0)))/200,($F$13-$I$4+VLOOKUP($Q22,武学奇术!$A:$ZZ,13,FALSE)+SUM(_xlfn.XLOOKUP(R22:AF22,增益!$A:$A,增益!$M:$M,0)))/100)</f>
        <v>0</v>
      </c>
      <c r="BD22" s="32" cm="1">
        <f t="array" ref="BD22">$G$13+VLOOKUP($Q22,武学奇术!$A:$ZZ,14,FALSE)+SUM(_xlfn.XLOOKUP(R22:AF22,增益!$A:$A,增益!$N:$N,0))</f>
        <v>0.15</v>
      </c>
      <c r="BE22">
        <f t="shared" si="7"/>
        <v>0</v>
      </c>
      <c r="BF22">
        <f t="shared" si="8"/>
        <v>0</v>
      </c>
      <c r="BG22" s="32" cm="1">
        <f t="array" ref="BG22">IF($F$14-$I$4+VLOOKUP($Q22,武学奇术!$A:$ZZ,15,FALSE)+SUM(_xlfn.XLOOKUP(R22:AF22,增益!$A:$A,增益!$O:$O,0))&gt;0,($F$14-$I$4+VLOOKUP($Q22,武学奇术!$A:$ZZ,15,FALSE)+SUM(_xlfn.XLOOKUP(R22:AF22,增益!$A:$A,增益!$O:$O,0)))/200,($F$14-$I$4+VLOOKUP($Q22,武学奇术!$A:$ZZ,15,FALSE)+SUM(_xlfn.XLOOKUP(R22:AF22,增益!$A:$A,增益!$O:$O,0)))/100)</f>
        <v>-0.3</v>
      </c>
      <c r="BH22" s="32" cm="1">
        <f t="array" ref="BH22">$G$14+VLOOKUP($Q22,武学奇术!$A:$ZZ,16,FALSE)+SUM(_xlfn.XLOOKUP(R22:AF22,增益!$A:$A,增益!$P:$P,0))</f>
        <v>0</v>
      </c>
      <c r="BI22" s="26">
        <f>MIN(IF(VLOOKUP($Q22,武学奇术!$A:$ZZ,23,FALSE)=1,100%,$B$8),100%)</f>
        <v>1</v>
      </c>
      <c r="BJ22" s="26" cm="1">
        <f t="array" ref="BJ22">IF(VLOOKUP($Q22,武学奇术!$A:$ZZ,23,FALSE)=1,100%,MIN(80%,$B$9+VLOOKUP($Q22,武学奇术!$A:$ZZ,17,FALSE)+SUM(_xlfn.XLOOKUP(R22:AF22,增益!$A:$A,增益!$Q:$Q,0)))+$B$11+SUM(_xlfn.XLOOKUP(R22:AF22,增益!$A:$A,增益!$U:$U,0)))*IF(VLOOKUP($Q22,武学奇术!$A:$ZZ,24,FALSE)=1,0,1)</f>
        <v>0.8625</v>
      </c>
      <c r="BK22" s="26" cm="1">
        <f t="array" ref="BK22">1+$B$13+VLOOKUP($Q22,武学奇术!$A:$ZZ,18,FALSE)+SUM(_xlfn.XLOOKUP(R22:AF22,增益!$A:$A,增益!$R:$R,0))</f>
        <v>1.5</v>
      </c>
      <c r="BL22" s="26" cm="1">
        <f t="array" ref="BL22">IF(VLOOKUP($Q22,武学奇术!$A:$ZZ,24,FALSE)=1,100%,MIN(40%,$B$10+VLOOKUP($Q22,武学奇术!$A:$ZZ,19,FALSE)+SUM(_xlfn.XLOOKUP(R22:AF22,增益!$A:$A,增益!$S:$S,0)))+$B$12+SUM(_xlfn.XLOOKUP(R22:AF22,增益!$A:$A,增益!$V:$V,0)))*IF(VLOOKUP($Q22,武学奇术!$A:$ZZ,23,FALSE)=1,0,1)</f>
        <v>0.0913</v>
      </c>
      <c r="BM22" s="26" cm="1">
        <f t="array" ref="BM22">1+$B$14+VLOOKUP($Q22,武学奇术!$A:$ZZ,20,FALSE)+SUM(_xlfn.XLOOKUP(R22:AF22,增益!$A:$A,增益!$T:$T,0))</f>
        <v>1.35</v>
      </c>
      <c r="BN22" s="26">
        <f t="shared" si="9"/>
        <v>0.8625</v>
      </c>
      <c r="BO22" s="26">
        <f t="shared" si="10"/>
        <v>0.0462</v>
      </c>
      <c r="BP22" s="26">
        <f>IF(VLOOKUP($Q22,武学奇术!$A:$ZZ,22,FALSE)=1,0,(1-$BI22))*(1-$BL22)</f>
        <v>0</v>
      </c>
      <c r="BQ22" s="26" cm="1">
        <f t="array" ref="BQ22">SUM(_xlfn.XLOOKUP(R22:AF22,增益!$A:$A,增益!$W:$W,0))+$I$5</f>
        <v>0.06</v>
      </c>
    </row>
    <row r="23" spans="1:69">
      <c r="A23" s="39"/>
      <c r="B23">
        <v>480</v>
      </c>
      <c r="K23" s="38">
        <f t="shared" si="0"/>
        <v>0</v>
      </c>
      <c r="L23" s="38">
        <f>((($AN23+$AO23)/2*$AH23+$AI23)*(1+$AP23)*(1+$AQ23)+(($AS23+$AT23)/2*IF($G$1="鸣金",$AJ23,$AH23)+IF($G$1="鸣金",$AK23*1.5,0))*(1+$AU23)*(1+$AV23)+(($AW23+$AX23)/2*IF($G$1="裂石",$AJ23,$AH23)+IF($G$1="裂石",$AK23*1.5,0))*(1+$AY23)*(1+$AZ23)+(($BA23+$BB23)/2*IF($G$1="牵丝",$AJ23,$AH23)+IF($G$1="牵丝",$AK23*1.5,0))*(1+$BC23)*(1+$BD23)+(($BE23+$BF23)/2*IF($G$1="破竹",$AJ23,$AH23)+IF($G$1="破竹",$AK23*1.5,0))*(1+$BG23)*(1+$BH23))*(1+$AL23)*$BK23*$P23*(1+IF(VLOOKUP($Q23,武学奇术!$A:$ZZ,30,FALSE)="蓄力技",#REF!,0))*(1+$BQ23)</f>
        <v>0</v>
      </c>
      <c r="M23" s="38">
        <f>(($AO23*$AH23+$AI23)*(1+$AP23)*(1+$AQ23)+($AT23*IF($G$1="鸣金",$AJ23,$AH23)+IF($G$1="鸣金",$AK23*1.5,0))*(1+$AU23)*(1+$AV23)+($AX23*IF($G$1="裂石",$AJ23,$AH23)+IF($G$1="裂石",$AK23*1.5,0))*(1+$AY23)*(1+$AZ23)+($BB23*IF($G$1="牵丝",$AJ23,$AH23)+IF($G$1="牵丝",$AK23*1.5,0))*(1+$BC23)*(1+$BD23)+($BF23*IF($G$1="破竹",$AJ23,$AH23)+IF($G$1="破竹",$AK23*1.5,0))*(1+$BG23)*(1+$BH23))*(1+$AL23)*$BM23*$P23*(1+IF(VLOOKUP($Q23,武学奇术!$A:$ZZ,30,FALSE)="蓄力技",#REF!,0))*(1+$BQ23)</f>
        <v>0</v>
      </c>
      <c r="N23" s="38">
        <f>((($AN23+$AO23)/2*$AH23+$AI23)*(1+$AP23)*(1+$AQ23)+(($AS23+$AT23)/2*IF($G$1="鸣金",$AJ23,$AH23)+IF($G$1="鸣金",$AK23*1.5,0))*(1+$AU23)*(1+$AV23)+(($AW23+$AX23)/2*IF($G$1="裂石",$AJ23,$AH23)+IF($G$1="裂石",$AK23*1.5,0))*(1+$AY23)*(1+$AZ23)+(($BA23+$BB23)/2*IF($G$1="牵丝",$AJ23,$AH23)+IF($G$1="牵丝",$AK23*1.5,0))*(1+$BC23)*(1+$BD23)+(($BE23+$BF23)/2*IF($G$1="破竹",$AJ23,$AH23)+IF($G$1="破竹",$AK23*1.5,0))*(1+$BG23)*(1+$BH23))*(1+$AL23)*$P23*(1+IF(VLOOKUP($Q23,武学奇术!$A:$ZZ,30,FALSE)="蓄力技",#REF!,0))*(1+$BQ23)</f>
        <v>0</v>
      </c>
      <c r="O23" s="38">
        <f>((($AN23*$AH23+$AI23)*(1+$AP23)*(1+$AQ23)+($AS23*IF($G$1="鸣金",$AJ23,$AH23)+IF($G$1="鸣金",$AK23*1.5,0))*(1+$AU23)*(1+$AV23)+($AW23*IF($G$1="裂石",$AJ23,$AH23)+IF($G$1="裂石",$AK23*1.5,0))*(1+$AY23)*(1+$AZ23)+($BA23*IF($G$1="牵丝",$AJ23,$AH23)+IF($G$1="牵丝",$AK23*1.5,0))*(1+$BC23)*(1+$BD23)+($BE23*IF($G$1="破竹",$AJ23,$AH23)+IF($G$1="破竹",$AK23*1.5,0))*(1+$BG23)*(1+$BH23))*(1+$AL23))*$P23*(1+IF(VLOOKUP($Q23,武学奇术!$A:$ZZ,30,FALSE)="蓄力技",#REF!,0))*(1+$BQ23)</f>
        <v>0</v>
      </c>
      <c r="P23" s="39">
        <v>1</v>
      </c>
      <c r="Q23" s="40" t="s">
        <v>76</v>
      </c>
      <c r="R23" s="40" t="s">
        <v>76</v>
      </c>
      <c r="S23" s="40" t="s">
        <v>76</v>
      </c>
      <c r="T23" s="40" t="s">
        <v>76</v>
      </c>
      <c r="U23" s="40" t="s">
        <v>76</v>
      </c>
      <c r="V23" s="40" t="s">
        <v>76</v>
      </c>
      <c r="W23" s="40" t="s">
        <v>76</v>
      </c>
      <c r="X23" s="40" t="s">
        <v>76</v>
      </c>
      <c r="Y23" s="40" t="s">
        <v>76</v>
      </c>
      <c r="Z23" s="40" t="s">
        <v>76</v>
      </c>
      <c r="AA23" s="40" t="s">
        <v>76</v>
      </c>
      <c r="AB23" s="40" t="s">
        <v>76</v>
      </c>
      <c r="AC23" s="40" t="s">
        <v>76</v>
      </c>
      <c r="AD23" s="40" t="s">
        <v>76</v>
      </c>
      <c r="AE23" s="40" t="s">
        <v>76</v>
      </c>
      <c r="AF23" s="40" t="s">
        <v>76</v>
      </c>
      <c r="AG23" t="str">
        <f>VLOOKUP($Q23,武学奇术!$A:$ZZ,25,FALSE)</f>
        <v>心法</v>
      </c>
      <c r="AH23" s="26">
        <f>VLOOKUP($Q23,武学奇术!$A:$ZZ,26,FALSE)</f>
        <v>0</v>
      </c>
      <c r="AI23" s="27">
        <f>VLOOKUP($Q23,武学奇术!$A:$ZZ,27,FALSE)*(1+IF(OR($AG23=$F$4,$AG23=$F$5),$B$21,0))</f>
        <v>0</v>
      </c>
      <c r="AJ23" s="26">
        <f>VLOOKUP($Q23,武学奇术!$A:$ZZ,28,FALSE)</f>
        <v>0</v>
      </c>
      <c r="AK23" s="27">
        <f>VLOOKUP($Q23,武学奇术!$A:$ZZ,29,FALSE)*(1+IF(OR($AG23=$F$4,$AG23=$F$5),$B$21,0))</f>
        <v>0</v>
      </c>
      <c r="AL23" s="26" cm="1">
        <f t="array" ref="AL23">$G$3+IFERROR(VLOOKUP($AG23,$F$4:$G$7,2,FALSE),0)+VLOOKUP($Q23,武学奇术!$A:$ZZ,2,FALSE)+SUM(_xlfn.XLOOKUP($R23:$AF23,增益!$A:$A,增益!$B:$B,0))</f>
        <v>0.2642</v>
      </c>
      <c r="AM23" s="26" cm="1">
        <f t="array" ref="AM23">VLOOKUP($Q23,武学奇术!$A:$ZZ,5,FALSE)+SUM(_xlfn.XLOOKUP($R23:$AF23,增益!$A:$A,增益!$E:$E,0))</f>
        <v>0</v>
      </c>
      <c r="AN23" cm="1">
        <f t="array" ref="AN23">$D$10*(1+$AM23)+VLOOKUP($Q23,武学奇术!$A:$ZZ,3,FALSE)+SUM(_xlfn.XLOOKUP($R23:$AF23,增益!$A:$A,增益!$C:$C,0))-$I$2</f>
        <v>3977.2</v>
      </c>
      <c r="AO23" cm="1">
        <f t="array" ref="AO23">$E$10*(1+$AM23)+VLOOKUP($Q23,武学奇术!$A:$ZZ,4,FALSE)+SUM(_xlfn.XLOOKUP($R23:$AF23,增益!$A:$A,增益!$D:$D,0))-$I$2</f>
        <v>3977.2</v>
      </c>
      <c r="AP23" s="32" cm="1">
        <f t="array" ref="AP23">IF($F$10-$I$3+VLOOKUP($Q23,武学奇术!$A:$ZZ,6,FALSE)+SUM(_xlfn.XLOOKUP(R23:AF23,增益!$A:$A,增益!$F:$F,0))&gt;0,($F$10-$I$3+VLOOKUP($Q23,武学奇术!$A:$ZZ,6,FALSE)+SUM(_xlfn.XLOOKUP(R23:AF23,增益!$A:$A,增益!$F:$F,0)))/200,($F$10-$I$3+VLOOKUP($Q23,武学奇术!$A:$ZZ,6,FALSE)+SUM(_xlfn.XLOOKUP(R23:AF23,增益!$A:$A,增益!$F:$F,0)))/100)</f>
        <v>0.294</v>
      </c>
      <c r="AQ23" s="32" cm="1">
        <f t="array" ref="AQ23">$G$10+VLOOKUP($Q23,武学奇术!$A:$ZZ,7,FALSE)+SUM(_xlfn.XLOOKUP(R23:AF23,增益!$A:$A,增益!$G:$G,0))</f>
        <v>0</v>
      </c>
      <c r="AR23" s="26" cm="1">
        <f t="array" ref="AR23">VLOOKUP($Q23,武学奇术!$A:$ZZ,8,FALSE)+SUM(_xlfn.XLOOKUP(R23:AF23,增益!$A:$A,增益!$H:$H,0))</f>
        <v>0</v>
      </c>
      <c r="AS23">
        <f t="shared" si="1"/>
        <v>0</v>
      </c>
      <c r="AT23">
        <f t="shared" si="2"/>
        <v>0</v>
      </c>
      <c r="AU23" s="32" cm="1">
        <f t="array" ref="AU23">IF($F$11-$I$4+VLOOKUP($Q23,武学奇术!$A:$ZZ,9,FALSE)+SUM(_xlfn.XLOOKUP(R23:AF23,增益!$A:$A,增益!$I:$I,0))&gt;0,($F$11-$I$4+VLOOKUP($Q23,武学奇术!$A:$ZZ,9,FALSE)+SUM(_xlfn.XLOOKUP(R23:AF23,增益!$A:$A,增益!$I:$I,0)))/200,($F$11-$I$4+VLOOKUP($Q23,武学奇术!$A:$ZZ,9,FALSE)+SUM(_xlfn.XLOOKUP(R23:AF23,增益!$A:$A,增益!$I:$I,0)))/100)</f>
        <v>-0.3</v>
      </c>
      <c r="AV23" s="32" cm="1">
        <f t="array" ref="AV23">$G$11+VLOOKUP($Q23,武学奇术!$A:$ZZ,10,FALSE)+SUM(_xlfn.XLOOKUP(R23:AF23,增益!$A:$A,增益!$J:$J,0))</f>
        <v>0</v>
      </c>
      <c r="AW23">
        <f t="shared" si="3"/>
        <v>0</v>
      </c>
      <c r="AX23">
        <f t="shared" si="4"/>
        <v>0</v>
      </c>
      <c r="AY23" s="32" cm="1">
        <f t="array" ref="AY23">IF($F$12-$I$4+VLOOKUP($Q23,武学奇术!$A:$ZZ,11,FALSE)+SUM(_xlfn.XLOOKUP(R23:AF23,增益!$A:$A,增益!$K:$K,0))&gt;0,($F$12-$I$4+VLOOKUP($Q23,武学奇术!$A:$ZZ,11,FALSE)+SUM(_xlfn.XLOOKUP(R23:AF23,增益!$A:$A,增益!$K:$K,0)))/200,($F$12-$I$4+VLOOKUP($Q23,武学奇术!$A:$ZZ,11,FALSE)+SUM(_xlfn.XLOOKUP(R23:AF23,增益!$A:$A,增益!$K:$K,0)))/100)</f>
        <v>-0.3</v>
      </c>
      <c r="AZ23" s="32" cm="1">
        <f t="array" ref="AZ23">$G$12+VLOOKUP($Q23,武学奇术!$A:$ZZ,12,FALSE)+SUM(_xlfn.XLOOKUP(R23:AF23,增益!$A:$A,增益!$L:$L,0))</f>
        <v>0</v>
      </c>
      <c r="BA23">
        <f t="shared" si="5"/>
        <v>697.4</v>
      </c>
      <c r="BB23">
        <f t="shared" si="6"/>
        <v>1805</v>
      </c>
      <c r="BC23" s="32" cm="1">
        <f t="array" ref="BC23">IF($F$13-$I$4+VLOOKUP($Q23,武学奇术!$A:$ZZ,13,FALSE)+SUM(_xlfn.XLOOKUP(R23:AF23,增益!$A:$A,增益!$M:$M,0))&gt;0,($F$13-$I$4+VLOOKUP($Q23,武学奇术!$A:$ZZ,13,FALSE)+SUM(_xlfn.XLOOKUP(R23:AF23,增益!$A:$A,增益!$K:$K,0)))/200,($F$13-$I$4+VLOOKUP($Q23,武学奇术!$A:$ZZ,13,FALSE)+SUM(_xlfn.XLOOKUP(R23:AF23,增益!$A:$A,增益!$M:$M,0)))/100)</f>
        <v>0</v>
      </c>
      <c r="BD23" s="32" cm="1">
        <f t="array" ref="BD23">$G$13+VLOOKUP($Q23,武学奇术!$A:$ZZ,14,FALSE)+SUM(_xlfn.XLOOKUP(R23:AF23,增益!$A:$A,增益!$N:$N,0))</f>
        <v>0.15</v>
      </c>
      <c r="BE23">
        <f t="shared" si="7"/>
        <v>0</v>
      </c>
      <c r="BF23">
        <f t="shared" si="8"/>
        <v>0</v>
      </c>
      <c r="BG23" s="32" cm="1">
        <f t="array" ref="BG23">IF($F$14-$I$4+VLOOKUP($Q23,武学奇术!$A:$ZZ,15,FALSE)+SUM(_xlfn.XLOOKUP(R23:AF23,增益!$A:$A,增益!$O:$O,0))&gt;0,($F$14-$I$4+VLOOKUP($Q23,武学奇术!$A:$ZZ,15,FALSE)+SUM(_xlfn.XLOOKUP(R23:AF23,增益!$A:$A,增益!$O:$O,0)))/200,($F$14-$I$4+VLOOKUP($Q23,武学奇术!$A:$ZZ,15,FALSE)+SUM(_xlfn.XLOOKUP(R23:AF23,增益!$A:$A,增益!$O:$O,0)))/100)</f>
        <v>-0.3</v>
      </c>
      <c r="BH23" s="32" cm="1">
        <f t="array" ref="BH23">$G$14+VLOOKUP($Q23,武学奇术!$A:$ZZ,16,FALSE)+SUM(_xlfn.XLOOKUP(R23:AF23,增益!$A:$A,增益!$P:$P,0))</f>
        <v>0</v>
      </c>
      <c r="BI23" s="26">
        <f>MIN(IF(VLOOKUP($Q23,武学奇术!$A:$ZZ,23,FALSE)=1,100%,$B$8),100%)</f>
        <v>1</v>
      </c>
      <c r="BJ23" s="26" cm="1">
        <f t="array" ref="BJ23">IF(VLOOKUP($Q23,武学奇术!$A:$ZZ,23,FALSE)=1,100%,MIN(80%,$B$9+VLOOKUP($Q23,武学奇术!$A:$ZZ,17,FALSE)+SUM(_xlfn.XLOOKUP(R23:AF23,增益!$A:$A,增益!$Q:$Q,0)))+$B$11+SUM(_xlfn.XLOOKUP(R23:AF23,增益!$A:$A,增益!$U:$U,0)))*IF(VLOOKUP($Q23,武学奇术!$A:$ZZ,24,FALSE)=1,0,1)</f>
        <v>0.8625</v>
      </c>
      <c r="BK23" s="26" cm="1">
        <f t="array" ref="BK23">1+$B$13+VLOOKUP($Q23,武学奇术!$A:$ZZ,18,FALSE)+SUM(_xlfn.XLOOKUP(R23:AF23,增益!$A:$A,增益!$R:$R,0))</f>
        <v>1.5</v>
      </c>
      <c r="BL23" s="26" cm="1">
        <f t="array" ref="BL23">IF(VLOOKUP($Q23,武学奇术!$A:$ZZ,24,FALSE)=1,100%,MIN(40%,$B$10+VLOOKUP($Q23,武学奇术!$A:$ZZ,19,FALSE)+SUM(_xlfn.XLOOKUP(R23:AF23,增益!$A:$A,增益!$S:$S,0)))+$B$12+SUM(_xlfn.XLOOKUP(R23:AF23,增益!$A:$A,增益!$V:$V,0)))*IF(VLOOKUP($Q23,武学奇术!$A:$ZZ,23,FALSE)=1,0,1)</f>
        <v>0.0913</v>
      </c>
      <c r="BM23" s="26" cm="1">
        <f t="array" ref="BM23">1+$B$14+VLOOKUP($Q23,武学奇术!$A:$ZZ,20,FALSE)+SUM(_xlfn.XLOOKUP(R23:AF23,增益!$A:$A,增益!$T:$T,0))</f>
        <v>1.35</v>
      </c>
      <c r="BN23" s="26">
        <f t="shared" si="9"/>
        <v>0.8625</v>
      </c>
      <c r="BO23" s="26">
        <f t="shared" si="10"/>
        <v>0.0462</v>
      </c>
      <c r="BP23" s="26">
        <f>IF(VLOOKUP($Q23,武学奇术!$A:$ZZ,22,FALSE)=1,0,(1-$BI23))*(1-$BL23)</f>
        <v>0</v>
      </c>
      <c r="BQ23" s="26" cm="1">
        <f t="array" ref="BQ23">SUM(_xlfn.XLOOKUP(R23:AF23,增益!$A:$A,增益!$W:$W,0))+$I$5</f>
        <v>0.06</v>
      </c>
    </row>
    <row r="24" spans="1:69">
      <c r="K24" s="38">
        <f t="shared" si="0"/>
        <v>0</v>
      </c>
      <c r="L24" s="38">
        <f>((($AN24+$AO24)/2*$AH24+$AI24)*(1+$AP24)*(1+$AQ24)+(($AS24+$AT24)/2*IF($G$1="鸣金",$AJ24,$AH24)+IF($G$1="鸣金",$AK24*1.5,0))*(1+$AU24)*(1+$AV24)+(($AW24+$AX24)/2*IF($G$1="裂石",$AJ24,$AH24)+IF($G$1="裂石",$AK24*1.5,0))*(1+$AY24)*(1+$AZ24)+(($BA24+$BB24)/2*IF($G$1="牵丝",$AJ24,$AH24)+IF($G$1="牵丝",$AK24*1.5,0))*(1+$BC24)*(1+$BD24)+(($BE24+$BF24)/2*IF($G$1="破竹",$AJ24,$AH24)+IF($G$1="破竹",$AK24*1.5,0))*(1+$BG24)*(1+$BH24))*(1+$AL24)*$BK24*$P24*(1+IF(VLOOKUP($Q24,武学奇术!$A:$ZZ,30,FALSE)="蓄力技",#REF!,0))*(1+$BQ24)</f>
        <v>0</v>
      </c>
      <c r="M24" s="38">
        <f>(($AO24*$AH24+$AI24)*(1+$AP24)*(1+$AQ24)+($AT24*IF($G$1="鸣金",$AJ24,$AH24)+IF($G$1="鸣金",$AK24*1.5,0))*(1+$AU24)*(1+$AV24)+($AX24*IF($G$1="裂石",$AJ24,$AH24)+IF($G$1="裂石",$AK24*1.5,0))*(1+$AY24)*(1+$AZ24)+($BB24*IF($G$1="牵丝",$AJ24,$AH24)+IF($G$1="牵丝",$AK24*1.5,0))*(1+$BC24)*(1+$BD24)+($BF24*IF($G$1="破竹",$AJ24,$AH24)+IF($G$1="破竹",$AK24*1.5,0))*(1+$BG24)*(1+$BH24))*(1+$AL24)*$BM24*$P24*(1+IF(VLOOKUP($Q24,武学奇术!$A:$ZZ,30,FALSE)="蓄力技",#REF!,0))*(1+$BQ24)</f>
        <v>0</v>
      </c>
      <c r="N24" s="38">
        <f>((($AN24+$AO24)/2*$AH24+$AI24)*(1+$AP24)*(1+$AQ24)+(($AS24+$AT24)/2*IF($G$1="鸣金",$AJ24,$AH24)+IF($G$1="鸣金",$AK24*1.5,0))*(1+$AU24)*(1+$AV24)+(($AW24+$AX24)/2*IF($G$1="裂石",$AJ24,$AH24)+IF($G$1="裂石",$AK24*1.5,0))*(1+$AY24)*(1+$AZ24)+(($BA24+$BB24)/2*IF($G$1="牵丝",$AJ24,$AH24)+IF($G$1="牵丝",$AK24*1.5,0))*(1+$BC24)*(1+$BD24)+(($BE24+$BF24)/2*IF($G$1="破竹",$AJ24,$AH24)+IF($G$1="破竹",$AK24*1.5,0))*(1+$BG24)*(1+$BH24))*(1+$AL24)*$P24*(1+IF(VLOOKUP($Q24,武学奇术!$A:$ZZ,30,FALSE)="蓄力技",#REF!,0))*(1+$BQ24)</f>
        <v>0</v>
      </c>
      <c r="O24" s="38">
        <f>((($AN24*$AH24+$AI24)*(1+$AP24)*(1+$AQ24)+($AS24*IF($G$1="鸣金",$AJ24,$AH24)+IF($G$1="鸣金",$AK24*1.5,0))*(1+$AU24)*(1+$AV24)+($AW24*IF($G$1="裂石",$AJ24,$AH24)+IF($G$1="裂石",$AK24*1.5,0))*(1+$AY24)*(1+$AZ24)+($BA24*IF($G$1="牵丝",$AJ24,$AH24)+IF($G$1="牵丝",$AK24*1.5,0))*(1+$BC24)*(1+$BD24)+($BE24*IF($G$1="破竹",$AJ24,$AH24)+IF($G$1="破竹",$AK24*1.5,0))*(1+$BG24)*(1+$BH24))*(1+$AL24))*$P24*(1+IF(VLOOKUP($Q24,武学奇术!$A:$ZZ,30,FALSE)="蓄力技",#REF!,0))*(1+$BQ24)</f>
        <v>0</v>
      </c>
      <c r="P24" s="39">
        <v>1</v>
      </c>
      <c r="Q24" s="40" t="s">
        <v>76</v>
      </c>
      <c r="R24" s="40" t="s">
        <v>76</v>
      </c>
      <c r="S24" s="40" t="s">
        <v>76</v>
      </c>
      <c r="T24" s="40" t="s">
        <v>76</v>
      </c>
      <c r="U24" s="40" t="s">
        <v>76</v>
      </c>
      <c r="V24" s="40" t="s">
        <v>76</v>
      </c>
      <c r="W24" s="40" t="s">
        <v>76</v>
      </c>
      <c r="X24" s="40" t="s">
        <v>76</v>
      </c>
      <c r="Y24" s="40" t="s">
        <v>76</v>
      </c>
      <c r="Z24" s="40" t="s">
        <v>76</v>
      </c>
      <c r="AA24" s="40" t="s">
        <v>76</v>
      </c>
      <c r="AB24" s="40" t="s">
        <v>76</v>
      </c>
      <c r="AC24" s="40" t="s">
        <v>76</v>
      </c>
      <c r="AD24" s="40" t="s">
        <v>76</v>
      </c>
      <c r="AE24" s="40" t="s">
        <v>76</v>
      </c>
      <c r="AF24" s="40" t="s">
        <v>76</v>
      </c>
      <c r="AG24" t="str">
        <f>VLOOKUP($Q24,武学奇术!$A:$ZZ,25,FALSE)</f>
        <v>心法</v>
      </c>
      <c r="AH24" s="26">
        <f>VLOOKUP($Q24,武学奇术!$A:$ZZ,26,FALSE)</f>
        <v>0</v>
      </c>
      <c r="AI24" s="27">
        <f>VLOOKUP($Q24,武学奇术!$A:$ZZ,27,FALSE)*(1+IF(OR($AG24=$F$4,$AG24=$F$5),$B$21,0))</f>
        <v>0</v>
      </c>
      <c r="AJ24" s="26">
        <f>VLOOKUP($Q24,武学奇术!$A:$ZZ,28,FALSE)</f>
        <v>0</v>
      </c>
      <c r="AK24" s="27">
        <f>VLOOKUP($Q24,武学奇术!$A:$ZZ,29,FALSE)*(1+IF(OR($AG24=$F$4,$AG24=$F$5),$B$21,0))</f>
        <v>0</v>
      </c>
      <c r="AL24" s="26" cm="1">
        <f t="array" ref="AL24">$G$3+IFERROR(VLOOKUP($AG24,$F$4:$G$7,2,FALSE),0)+VLOOKUP($Q24,武学奇术!$A:$ZZ,2,FALSE)+SUM(_xlfn.XLOOKUP($R24:$AF24,增益!$A:$A,增益!$B:$B,0))</f>
        <v>0.2642</v>
      </c>
      <c r="AM24" s="26" cm="1">
        <f t="array" ref="AM24">VLOOKUP($Q24,武学奇术!$A:$ZZ,5,FALSE)+SUM(_xlfn.XLOOKUP($R24:$AF24,增益!$A:$A,增益!$E:$E,0))</f>
        <v>0</v>
      </c>
      <c r="AN24" cm="1">
        <f t="array" ref="AN24">$D$10*(1+$AM24)+VLOOKUP($Q24,武学奇术!$A:$ZZ,3,FALSE)+SUM(_xlfn.XLOOKUP($R24:$AF24,增益!$A:$A,增益!$C:$C,0))-$I$2</f>
        <v>3977.2</v>
      </c>
      <c r="AO24" cm="1">
        <f t="array" ref="AO24">$E$10*(1+$AM24)+VLOOKUP($Q24,武学奇术!$A:$ZZ,4,FALSE)+SUM(_xlfn.XLOOKUP($R24:$AF24,增益!$A:$A,增益!$D:$D,0))-$I$2</f>
        <v>3977.2</v>
      </c>
      <c r="AP24" s="32" cm="1">
        <f t="array" ref="AP24">IF($F$10-$I$3+VLOOKUP($Q24,武学奇术!$A:$ZZ,6,FALSE)+SUM(_xlfn.XLOOKUP(R24:AF24,增益!$A:$A,增益!$F:$F,0))&gt;0,($F$10-$I$3+VLOOKUP($Q24,武学奇术!$A:$ZZ,6,FALSE)+SUM(_xlfn.XLOOKUP(R24:AF24,增益!$A:$A,增益!$F:$F,0)))/200,($F$10-$I$3+VLOOKUP($Q24,武学奇术!$A:$ZZ,6,FALSE)+SUM(_xlfn.XLOOKUP(R24:AF24,增益!$A:$A,增益!$F:$F,0)))/100)</f>
        <v>0.294</v>
      </c>
      <c r="AQ24" s="32" cm="1">
        <f t="array" ref="AQ24">$G$10+VLOOKUP($Q24,武学奇术!$A:$ZZ,7,FALSE)+SUM(_xlfn.XLOOKUP(R24:AF24,增益!$A:$A,增益!$G:$G,0))</f>
        <v>0</v>
      </c>
      <c r="AR24" s="26" cm="1">
        <f t="array" ref="AR24">VLOOKUP($Q24,武学奇术!$A:$ZZ,8,FALSE)+SUM(_xlfn.XLOOKUP(R24:AF24,增益!$A:$A,增益!$H:$H,0))</f>
        <v>0</v>
      </c>
      <c r="AS24">
        <f t="shared" si="1"/>
        <v>0</v>
      </c>
      <c r="AT24">
        <f t="shared" si="2"/>
        <v>0</v>
      </c>
      <c r="AU24" s="32" cm="1">
        <f t="array" ref="AU24">IF($F$11-$I$4+VLOOKUP($Q24,武学奇术!$A:$ZZ,9,FALSE)+SUM(_xlfn.XLOOKUP(R24:AF24,增益!$A:$A,增益!$I:$I,0))&gt;0,($F$11-$I$4+VLOOKUP($Q24,武学奇术!$A:$ZZ,9,FALSE)+SUM(_xlfn.XLOOKUP(R24:AF24,增益!$A:$A,增益!$I:$I,0)))/200,($F$11-$I$4+VLOOKUP($Q24,武学奇术!$A:$ZZ,9,FALSE)+SUM(_xlfn.XLOOKUP(R24:AF24,增益!$A:$A,增益!$I:$I,0)))/100)</f>
        <v>-0.3</v>
      </c>
      <c r="AV24" s="32" cm="1">
        <f t="array" ref="AV24">$G$11+VLOOKUP($Q24,武学奇术!$A:$ZZ,10,FALSE)+SUM(_xlfn.XLOOKUP(R24:AF24,增益!$A:$A,增益!$J:$J,0))</f>
        <v>0</v>
      </c>
      <c r="AW24">
        <f t="shared" si="3"/>
        <v>0</v>
      </c>
      <c r="AX24">
        <f t="shared" si="4"/>
        <v>0</v>
      </c>
      <c r="AY24" s="32" cm="1">
        <f t="array" ref="AY24">IF($F$12-$I$4+VLOOKUP($Q24,武学奇术!$A:$ZZ,11,FALSE)+SUM(_xlfn.XLOOKUP(R24:AF24,增益!$A:$A,增益!$K:$K,0))&gt;0,($F$12-$I$4+VLOOKUP($Q24,武学奇术!$A:$ZZ,11,FALSE)+SUM(_xlfn.XLOOKUP(R24:AF24,增益!$A:$A,增益!$K:$K,0)))/200,($F$12-$I$4+VLOOKUP($Q24,武学奇术!$A:$ZZ,11,FALSE)+SUM(_xlfn.XLOOKUP(R24:AF24,增益!$A:$A,增益!$K:$K,0)))/100)</f>
        <v>-0.3</v>
      </c>
      <c r="AZ24" s="32" cm="1">
        <f t="array" ref="AZ24">$G$12+VLOOKUP($Q24,武学奇术!$A:$ZZ,12,FALSE)+SUM(_xlfn.XLOOKUP(R24:AF24,增益!$A:$A,增益!$L:$L,0))</f>
        <v>0</v>
      </c>
      <c r="BA24">
        <f t="shared" si="5"/>
        <v>697.4</v>
      </c>
      <c r="BB24">
        <f t="shared" si="6"/>
        <v>1805</v>
      </c>
      <c r="BC24" s="32" cm="1">
        <f t="array" ref="BC24">IF($F$13-$I$4+VLOOKUP($Q24,武学奇术!$A:$ZZ,13,FALSE)+SUM(_xlfn.XLOOKUP(R24:AF24,增益!$A:$A,增益!$M:$M,0))&gt;0,($F$13-$I$4+VLOOKUP($Q24,武学奇术!$A:$ZZ,13,FALSE)+SUM(_xlfn.XLOOKUP(R24:AF24,增益!$A:$A,增益!$K:$K,0)))/200,($F$13-$I$4+VLOOKUP($Q24,武学奇术!$A:$ZZ,13,FALSE)+SUM(_xlfn.XLOOKUP(R24:AF24,增益!$A:$A,增益!$M:$M,0)))/100)</f>
        <v>0</v>
      </c>
      <c r="BD24" s="32" cm="1">
        <f t="array" ref="BD24">$G$13+VLOOKUP($Q24,武学奇术!$A:$ZZ,14,FALSE)+SUM(_xlfn.XLOOKUP(R24:AF24,增益!$A:$A,增益!$N:$N,0))</f>
        <v>0.15</v>
      </c>
      <c r="BE24">
        <f t="shared" si="7"/>
        <v>0</v>
      </c>
      <c r="BF24">
        <f t="shared" si="8"/>
        <v>0</v>
      </c>
      <c r="BG24" s="32" cm="1">
        <f t="array" ref="BG24">IF($F$14-$I$4+VLOOKUP($Q24,武学奇术!$A:$ZZ,15,FALSE)+SUM(_xlfn.XLOOKUP(R24:AF24,增益!$A:$A,增益!$O:$O,0))&gt;0,($F$14-$I$4+VLOOKUP($Q24,武学奇术!$A:$ZZ,15,FALSE)+SUM(_xlfn.XLOOKUP(R24:AF24,增益!$A:$A,增益!$O:$O,0)))/200,($F$14-$I$4+VLOOKUP($Q24,武学奇术!$A:$ZZ,15,FALSE)+SUM(_xlfn.XLOOKUP(R24:AF24,增益!$A:$A,增益!$O:$O,0)))/100)</f>
        <v>-0.3</v>
      </c>
      <c r="BH24" s="32" cm="1">
        <f t="array" ref="BH24">$G$14+VLOOKUP($Q24,武学奇术!$A:$ZZ,16,FALSE)+SUM(_xlfn.XLOOKUP(R24:AF24,增益!$A:$A,增益!$P:$P,0))</f>
        <v>0</v>
      </c>
      <c r="BI24" s="26">
        <f>MIN(IF(VLOOKUP($Q24,武学奇术!$A:$ZZ,23,FALSE)=1,100%,$B$8),100%)</f>
        <v>1</v>
      </c>
      <c r="BJ24" s="26" cm="1">
        <f t="array" ref="BJ24">IF(VLOOKUP($Q24,武学奇术!$A:$ZZ,23,FALSE)=1,100%,MIN(80%,$B$9+VLOOKUP($Q24,武学奇术!$A:$ZZ,17,FALSE)+SUM(_xlfn.XLOOKUP(R24:AF24,增益!$A:$A,增益!$Q:$Q,0)))+$B$11+SUM(_xlfn.XLOOKUP(R24:AF24,增益!$A:$A,增益!$U:$U,0)))*IF(VLOOKUP($Q24,武学奇术!$A:$ZZ,24,FALSE)=1,0,1)</f>
        <v>0.8625</v>
      </c>
      <c r="BK24" s="26" cm="1">
        <f t="array" ref="BK24">1+$B$13+VLOOKUP($Q24,武学奇术!$A:$ZZ,18,FALSE)+SUM(_xlfn.XLOOKUP(R24:AF24,增益!$A:$A,增益!$R:$R,0))</f>
        <v>1.5</v>
      </c>
      <c r="BL24" s="26" cm="1">
        <f t="array" ref="BL24">IF(VLOOKUP($Q24,武学奇术!$A:$ZZ,24,FALSE)=1,100%,MIN(40%,$B$10+VLOOKUP($Q24,武学奇术!$A:$ZZ,19,FALSE)+SUM(_xlfn.XLOOKUP(R24:AF24,增益!$A:$A,增益!$S:$S,0)))+$B$12+SUM(_xlfn.XLOOKUP(R24:AF24,增益!$A:$A,增益!$V:$V,0)))*IF(VLOOKUP($Q24,武学奇术!$A:$ZZ,23,FALSE)=1,0,1)</f>
        <v>0.0913</v>
      </c>
      <c r="BM24" s="26" cm="1">
        <f t="array" ref="BM24">1+$B$14+VLOOKUP($Q24,武学奇术!$A:$ZZ,20,FALSE)+SUM(_xlfn.XLOOKUP(R24:AF24,增益!$A:$A,增益!$T:$T,0))</f>
        <v>1.35</v>
      </c>
      <c r="BN24" s="26">
        <f t="shared" si="9"/>
        <v>0.8625</v>
      </c>
      <c r="BO24" s="26">
        <f t="shared" si="10"/>
        <v>0.0462</v>
      </c>
      <c r="BP24" s="26">
        <f>IF(VLOOKUP($Q24,武学奇术!$A:$ZZ,22,FALSE)=1,0,(1-$BI24))*(1-$BL24)</f>
        <v>0</v>
      </c>
      <c r="BQ24" s="26" cm="1">
        <f t="array" ref="BQ24">SUM(_xlfn.XLOOKUP(R24:AF24,增益!$A:$A,增益!$W:$W,0))+$I$5</f>
        <v>0.06</v>
      </c>
    </row>
    <row r="25" spans="1:69">
      <c r="K25" s="38">
        <f t="shared" si="0"/>
        <v>0</v>
      </c>
      <c r="L25" s="38">
        <f>((($AN25+$AO25)/2*$AH25+$AI25)*(1+$AP25)*(1+$AQ25)+(($AS25+$AT25)/2*IF($G$1="鸣金",$AJ25,$AH25)+IF($G$1="鸣金",$AK25*1.5,0))*(1+$AU25)*(1+$AV25)+(($AW25+$AX25)/2*IF($G$1="裂石",$AJ25,$AH25)+IF($G$1="裂石",$AK25*1.5,0))*(1+$AY25)*(1+$AZ25)+(($BA25+$BB25)/2*IF($G$1="牵丝",$AJ25,$AH25)+IF($G$1="牵丝",$AK25*1.5,0))*(1+$BC25)*(1+$BD25)+(($BE25+$BF25)/2*IF($G$1="破竹",$AJ25,$AH25)+IF($G$1="破竹",$AK25*1.5,0))*(1+$BG25)*(1+$BH25))*(1+$AL25)*$BK25*$P25*(1+IF(VLOOKUP($Q25,武学奇术!$A:$ZZ,30,FALSE)="蓄力技",#REF!,0))*(1+$BQ25)</f>
        <v>0</v>
      </c>
      <c r="M25" s="38">
        <f>(($AO25*$AH25+$AI25)*(1+$AP25)*(1+$AQ25)+($AT25*IF($G$1="鸣金",$AJ25,$AH25)+IF($G$1="鸣金",$AK25*1.5,0))*(1+$AU25)*(1+$AV25)+($AX25*IF($G$1="裂石",$AJ25,$AH25)+IF($G$1="裂石",$AK25*1.5,0))*(1+$AY25)*(1+$AZ25)+($BB25*IF($G$1="牵丝",$AJ25,$AH25)+IF($G$1="牵丝",$AK25*1.5,0))*(1+$BC25)*(1+$BD25)+($BF25*IF($G$1="破竹",$AJ25,$AH25)+IF($G$1="破竹",$AK25*1.5,0))*(1+$BG25)*(1+$BH25))*(1+$AL25)*$BM25*$P25*(1+IF(VLOOKUP($Q25,武学奇术!$A:$ZZ,30,FALSE)="蓄力技",#REF!,0))*(1+$BQ25)</f>
        <v>0</v>
      </c>
      <c r="N25" s="38">
        <f>((($AN25+$AO25)/2*$AH25+$AI25)*(1+$AP25)*(1+$AQ25)+(($AS25+$AT25)/2*IF($G$1="鸣金",$AJ25,$AH25)+IF($G$1="鸣金",$AK25*1.5,0))*(1+$AU25)*(1+$AV25)+(($AW25+$AX25)/2*IF($G$1="裂石",$AJ25,$AH25)+IF($G$1="裂石",$AK25*1.5,0))*(1+$AY25)*(1+$AZ25)+(($BA25+$BB25)/2*IF($G$1="牵丝",$AJ25,$AH25)+IF($G$1="牵丝",$AK25*1.5,0))*(1+$BC25)*(1+$BD25)+(($BE25+$BF25)/2*IF($G$1="破竹",$AJ25,$AH25)+IF($G$1="破竹",$AK25*1.5,0))*(1+$BG25)*(1+$BH25))*(1+$AL25)*$P25*(1+IF(VLOOKUP($Q25,武学奇术!$A:$ZZ,30,FALSE)="蓄力技",#REF!,0))*(1+$BQ25)</f>
        <v>0</v>
      </c>
      <c r="O25" s="38">
        <f>((($AN25*$AH25+$AI25)*(1+$AP25)*(1+$AQ25)+($AS25*IF($G$1="鸣金",$AJ25,$AH25)+IF($G$1="鸣金",$AK25*1.5,0))*(1+$AU25)*(1+$AV25)+($AW25*IF($G$1="裂石",$AJ25,$AH25)+IF($G$1="裂石",$AK25*1.5,0))*(1+$AY25)*(1+$AZ25)+($BA25*IF($G$1="牵丝",$AJ25,$AH25)+IF($G$1="牵丝",$AK25*1.5,0))*(1+$BC25)*(1+$BD25)+($BE25*IF($G$1="破竹",$AJ25,$AH25)+IF($G$1="破竹",$AK25*1.5,0))*(1+$BG25)*(1+$BH25))*(1+$AL25))*$P25*(1+IF(VLOOKUP($Q25,武学奇术!$A:$ZZ,30,FALSE)="蓄力技",#REF!,0))*(1+$BQ25)</f>
        <v>0</v>
      </c>
      <c r="P25" s="39">
        <v>1</v>
      </c>
      <c r="Q25" s="40" t="s">
        <v>76</v>
      </c>
      <c r="R25" s="40" t="s">
        <v>76</v>
      </c>
      <c r="S25" s="40" t="s">
        <v>76</v>
      </c>
      <c r="T25" s="40" t="s">
        <v>76</v>
      </c>
      <c r="U25" s="40" t="s">
        <v>76</v>
      </c>
      <c r="V25" s="40" t="s">
        <v>76</v>
      </c>
      <c r="W25" s="40" t="s">
        <v>76</v>
      </c>
      <c r="X25" s="40" t="s">
        <v>76</v>
      </c>
      <c r="Y25" s="40" t="s">
        <v>76</v>
      </c>
      <c r="Z25" s="40" t="s">
        <v>76</v>
      </c>
      <c r="AA25" s="40" t="s">
        <v>76</v>
      </c>
      <c r="AB25" s="40" t="s">
        <v>76</v>
      </c>
      <c r="AC25" s="40" t="s">
        <v>76</v>
      </c>
      <c r="AD25" s="40" t="s">
        <v>76</v>
      </c>
      <c r="AE25" s="40" t="s">
        <v>76</v>
      </c>
      <c r="AF25" s="40" t="s">
        <v>76</v>
      </c>
      <c r="AG25" t="str">
        <f>VLOOKUP($Q25,武学奇术!$A:$ZZ,25,FALSE)</f>
        <v>心法</v>
      </c>
      <c r="AH25" s="26">
        <f>VLOOKUP($Q25,武学奇术!$A:$ZZ,26,FALSE)</f>
        <v>0</v>
      </c>
      <c r="AI25" s="27">
        <f>VLOOKUP($Q25,武学奇术!$A:$ZZ,27,FALSE)*(1+IF(OR($AG25=$F$4,$AG25=$F$5),$B$21,0))</f>
        <v>0</v>
      </c>
      <c r="AJ25" s="26">
        <f>VLOOKUP($Q25,武学奇术!$A:$ZZ,28,FALSE)</f>
        <v>0</v>
      </c>
      <c r="AK25" s="27">
        <f>VLOOKUP($Q25,武学奇术!$A:$ZZ,29,FALSE)*(1+IF(OR($AG25=$F$4,$AG25=$F$5),$B$21,0))</f>
        <v>0</v>
      </c>
      <c r="AL25" s="26" cm="1">
        <f t="array" ref="AL25">$G$3+IFERROR(VLOOKUP($AG25,$F$4:$G$7,2,FALSE),0)+VLOOKUP($Q25,武学奇术!$A:$ZZ,2,FALSE)+SUM(_xlfn.XLOOKUP($R25:$AF25,增益!$A:$A,增益!$B:$B,0))</f>
        <v>0.2642</v>
      </c>
      <c r="AM25" s="26" cm="1">
        <f t="array" ref="AM25">VLOOKUP($Q25,武学奇术!$A:$ZZ,5,FALSE)+SUM(_xlfn.XLOOKUP($R25:$AF25,增益!$A:$A,增益!$E:$E,0))</f>
        <v>0</v>
      </c>
      <c r="AN25" cm="1">
        <f t="array" ref="AN25">$D$10*(1+$AM25)+VLOOKUP($Q25,武学奇术!$A:$ZZ,3,FALSE)+SUM(_xlfn.XLOOKUP($R25:$AF25,增益!$A:$A,增益!$C:$C,0))-$I$2</f>
        <v>3977.2</v>
      </c>
      <c r="AO25" cm="1">
        <f t="array" ref="AO25">$E$10*(1+$AM25)+VLOOKUP($Q25,武学奇术!$A:$ZZ,4,FALSE)+SUM(_xlfn.XLOOKUP($R25:$AF25,增益!$A:$A,增益!$D:$D,0))-$I$2</f>
        <v>3977.2</v>
      </c>
      <c r="AP25" s="32" cm="1">
        <f t="array" ref="AP25">IF($F$10-$I$3+VLOOKUP($Q25,武学奇术!$A:$ZZ,6,FALSE)+SUM(_xlfn.XLOOKUP(R25:AF25,增益!$A:$A,增益!$F:$F,0))&gt;0,($F$10-$I$3+VLOOKUP($Q25,武学奇术!$A:$ZZ,6,FALSE)+SUM(_xlfn.XLOOKUP(R25:AF25,增益!$A:$A,增益!$F:$F,0)))/200,($F$10-$I$3+VLOOKUP($Q25,武学奇术!$A:$ZZ,6,FALSE)+SUM(_xlfn.XLOOKUP(R25:AF25,增益!$A:$A,增益!$F:$F,0)))/100)</f>
        <v>0.294</v>
      </c>
      <c r="AQ25" s="32" cm="1">
        <f t="array" ref="AQ25">$G$10+VLOOKUP($Q25,武学奇术!$A:$ZZ,7,FALSE)+SUM(_xlfn.XLOOKUP(R25:AF25,增益!$A:$A,增益!$G:$G,0))</f>
        <v>0</v>
      </c>
      <c r="AR25" s="26" cm="1">
        <f t="array" ref="AR25">VLOOKUP($Q25,武学奇术!$A:$ZZ,8,FALSE)+SUM(_xlfn.XLOOKUP(R25:AF25,增益!$A:$A,增益!$H:$H,0))</f>
        <v>0</v>
      </c>
      <c r="AS25">
        <f t="shared" si="1"/>
        <v>0</v>
      </c>
      <c r="AT25">
        <f t="shared" si="2"/>
        <v>0</v>
      </c>
      <c r="AU25" s="32" cm="1">
        <f t="array" ref="AU25">IF($F$11-$I$4+VLOOKUP($Q25,武学奇术!$A:$ZZ,9,FALSE)+SUM(_xlfn.XLOOKUP(R25:AF25,增益!$A:$A,增益!$I:$I,0))&gt;0,($F$11-$I$4+VLOOKUP($Q25,武学奇术!$A:$ZZ,9,FALSE)+SUM(_xlfn.XLOOKUP(R25:AF25,增益!$A:$A,增益!$I:$I,0)))/200,($F$11-$I$4+VLOOKUP($Q25,武学奇术!$A:$ZZ,9,FALSE)+SUM(_xlfn.XLOOKUP(R25:AF25,增益!$A:$A,增益!$I:$I,0)))/100)</f>
        <v>-0.3</v>
      </c>
      <c r="AV25" s="32" cm="1">
        <f t="array" ref="AV25">$G$11+VLOOKUP($Q25,武学奇术!$A:$ZZ,10,FALSE)+SUM(_xlfn.XLOOKUP(R25:AF25,增益!$A:$A,增益!$J:$J,0))</f>
        <v>0</v>
      </c>
      <c r="AW25">
        <f t="shared" si="3"/>
        <v>0</v>
      </c>
      <c r="AX25">
        <f t="shared" si="4"/>
        <v>0</v>
      </c>
      <c r="AY25" s="32" cm="1">
        <f t="array" ref="AY25">IF($F$12-$I$4+VLOOKUP($Q25,武学奇术!$A:$ZZ,11,FALSE)+SUM(_xlfn.XLOOKUP(R25:AF25,增益!$A:$A,增益!$K:$K,0))&gt;0,($F$12-$I$4+VLOOKUP($Q25,武学奇术!$A:$ZZ,11,FALSE)+SUM(_xlfn.XLOOKUP(R25:AF25,增益!$A:$A,增益!$K:$K,0)))/200,($F$12-$I$4+VLOOKUP($Q25,武学奇术!$A:$ZZ,11,FALSE)+SUM(_xlfn.XLOOKUP(R25:AF25,增益!$A:$A,增益!$K:$K,0)))/100)</f>
        <v>-0.3</v>
      </c>
      <c r="AZ25" s="32" cm="1">
        <f t="array" ref="AZ25">$G$12+VLOOKUP($Q25,武学奇术!$A:$ZZ,12,FALSE)+SUM(_xlfn.XLOOKUP(R25:AF25,增益!$A:$A,增益!$L:$L,0))</f>
        <v>0</v>
      </c>
      <c r="BA25">
        <f t="shared" si="5"/>
        <v>697.4</v>
      </c>
      <c r="BB25">
        <f t="shared" si="6"/>
        <v>1805</v>
      </c>
      <c r="BC25" s="32" cm="1">
        <f t="array" ref="BC25">IF($F$13-$I$4+VLOOKUP($Q25,武学奇术!$A:$ZZ,13,FALSE)+SUM(_xlfn.XLOOKUP(R25:AF25,增益!$A:$A,增益!$M:$M,0))&gt;0,($F$13-$I$4+VLOOKUP($Q25,武学奇术!$A:$ZZ,13,FALSE)+SUM(_xlfn.XLOOKUP(R25:AF25,增益!$A:$A,增益!$K:$K,0)))/200,($F$13-$I$4+VLOOKUP($Q25,武学奇术!$A:$ZZ,13,FALSE)+SUM(_xlfn.XLOOKUP(R25:AF25,增益!$A:$A,增益!$M:$M,0)))/100)</f>
        <v>0</v>
      </c>
      <c r="BD25" s="32" cm="1">
        <f t="array" ref="BD25">$G$13+VLOOKUP($Q25,武学奇术!$A:$ZZ,14,FALSE)+SUM(_xlfn.XLOOKUP(R25:AF25,增益!$A:$A,增益!$N:$N,0))</f>
        <v>0.15</v>
      </c>
      <c r="BE25">
        <f t="shared" si="7"/>
        <v>0</v>
      </c>
      <c r="BF25">
        <f t="shared" si="8"/>
        <v>0</v>
      </c>
      <c r="BG25" s="32" cm="1">
        <f t="array" ref="BG25">IF($F$14-$I$4+VLOOKUP($Q25,武学奇术!$A:$ZZ,15,FALSE)+SUM(_xlfn.XLOOKUP(R25:AF25,增益!$A:$A,增益!$O:$O,0))&gt;0,($F$14-$I$4+VLOOKUP($Q25,武学奇术!$A:$ZZ,15,FALSE)+SUM(_xlfn.XLOOKUP(R25:AF25,增益!$A:$A,增益!$O:$O,0)))/200,($F$14-$I$4+VLOOKUP($Q25,武学奇术!$A:$ZZ,15,FALSE)+SUM(_xlfn.XLOOKUP(R25:AF25,增益!$A:$A,增益!$O:$O,0)))/100)</f>
        <v>-0.3</v>
      </c>
      <c r="BH25" s="32" cm="1">
        <f t="array" ref="BH25">$G$14+VLOOKUP($Q25,武学奇术!$A:$ZZ,16,FALSE)+SUM(_xlfn.XLOOKUP(R25:AF25,增益!$A:$A,增益!$P:$P,0))</f>
        <v>0</v>
      </c>
      <c r="BI25" s="26">
        <f>MIN(IF(VLOOKUP($Q25,武学奇术!$A:$ZZ,23,FALSE)=1,100%,$B$8),100%)</f>
        <v>1</v>
      </c>
      <c r="BJ25" s="26" cm="1">
        <f t="array" ref="BJ25">IF(VLOOKUP($Q25,武学奇术!$A:$ZZ,23,FALSE)=1,100%,MIN(80%,$B$9+VLOOKUP($Q25,武学奇术!$A:$ZZ,17,FALSE)+SUM(_xlfn.XLOOKUP(R25:AF25,增益!$A:$A,增益!$Q:$Q,0)))+$B$11+SUM(_xlfn.XLOOKUP(R25:AF25,增益!$A:$A,增益!$U:$U,0)))*IF(VLOOKUP($Q25,武学奇术!$A:$ZZ,24,FALSE)=1,0,1)</f>
        <v>0.8625</v>
      </c>
      <c r="BK25" s="26" cm="1">
        <f t="array" ref="BK25">1+$B$13+VLOOKUP($Q25,武学奇术!$A:$ZZ,18,FALSE)+SUM(_xlfn.XLOOKUP(R25:AF25,增益!$A:$A,增益!$R:$R,0))</f>
        <v>1.5</v>
      </c>
      <c r="BL25" s="26" cm="1">
        <f t="array" ref="BL25">IF(VLOOKUP($Q25,武学奇术!$A:$ZZ,24,FALSE)=1,100%,MIN(40%,$B$10+VLOOKUP($Q25,武学奇术!$A:$ZZ,19,FALSE)+SUM(_xlfn.XLOOKUP(R25:AF25,增益!$A:$A,增益!$S:$S,0)))+$B$12+SUM(_xlfn.XLOOKUP(R25:AF25,增益!$A:$A,增益!$V:$V,0)))*IF(VLOOKUP($Q25,武学奇术!$A:$ZZ,23,FALSE)=1,0,1)</f>
        <v>0.0913</v>
      </c>
      <c r="BM25" s="26" cm="1">
        <f t="array" ref="BM25">1+$B$14+VLOOKUP($Q25,武学奇术!$A:$ZZ,20,FALSE)+SUM(_xlfn.XLOOKUP(R25:AF25,增益!$A:$A,增益!$T:$T,0))</f>
        <v>1.35</v>
      </c>
      <c r="BN25" s="26">
        <f t="shared" si="9"/>
        <v>0.8625</v>
      </c>
      <c r="BO25" s="26">
        <f t="shared" si="10"/>
        <v>0.0462</v>
      </c>
      <c r="BP25" s="26">
        <f>IF(VLOOKUP($Q25,武学奇术!$A:$ZZ,22,FALSE)=1,0,(1-$BI25))*(1-$BL25)</f>
        <v>0</v>
      </c>
      <c r="BQ25" s="26" cm="1">
        <f t="array" ref="BQ25">SUM(_xlfn.XLOOKUP(R25:AF25,增益!$A:$A,增益!$W:$W,0))+$I$5</f>
        <v>0.06</v>
      </c>
    </row>
    <row r="26" spans="1:69">
      <c r="K26" s="38">
        <f t="shared" si="0"/>
        <v>0</v>
      </c>
      <c r="L26" s="38">
        <f>((($AN26+$AO26)/2*$AH26+$AI26)*(1+$AP26)*(1+$AQ26)+(($AS26+$AT26)/2*IF($G$1="鸣金",$AJ26,$AH26)+IF($G$1="鸣金",$AK26*1.5,0))*(1+$AU26)*(1+$AV26)+(($AW26+$AX26)/2*IF($G$1="裂石",$AJ26,$AH26)+IF($G$1="裂石",$AK26*1.5,0))*(1+$AY26)*(1+$AZ26)+(($BA26+$BB26)/2*IF($G$1="牵丝",$AJ26,$AH26)+IF($G$1="牵丝",$AK26*1.5,0))*(1+$BC26)*(1+$BD26)+(($BE26+$BF26)/2*IF($G$1="破竹",$AJ26,$AH26)+IF($G$1="破竹",$AK26*1.5,0))*(1+$BG26)*(1+$BH26))*(1+$AL26)*$BK26*$P26*(1+IF(VLOOKUP($Q26,武学奇术!$A:$ZZ,30,FALSE)="蓄力技",#REF!,0))*(1+$BQ26)</f>
        <v>0</v>
      </c>
      <c r="M26" s="38">
        <f>(($AO26*$AH26+$AI26)*(1+$AP26)*(1+$AQ26)+($AT26*IF($G$1="鸣金",$AJ26,$AH26)+IF($G$1="鸣金",$AK26*1.5,0))*(1+$AU26)*(1+$AV26)+($AX26*IF($G$1="裂石",$AJ26,$AH26)+IF($G$1="裂石",$AK26*1.5,0))*(1+$AY26)*(1+$AZ26)+($BB26*IF($G$1="牵丝",$AJ26,$AH26)+IF($G$1="牵丝",$AK26*1.5,0))*(1+$BC26)*(1+$BD26)+($BF26*IF($G$1="破竹",$AJ26,$AH26)+IF($G$1="破竹",$AK26*1.5,0))*(1+$BG26)*(1+$BH26))*(1+$AL26)*$BM26*$P26*(1+IF(VLOOKUP($Q26,武学奇术!$A:$ZZ,30,FALSE)="蓄力技",#REF!,0))*(1+$BQ26)</f>
        <v>0</v>
      </c>
      <c r="N26" s="38">
        <f>((($AN26+$AO26)/2*$AH26+$AI26)*(1+$AP26)*(1+$AQ26)+(($AS26+$AT26)/2*IF($G$1="鸣金",$AJ26,$AH26)+IF($G$1="鸣金",$AK26*1.5,0))*(1+$AU26)*(1+$AV26)+(($AW26+$AX26)/2*IF($G$1="裂石",$AJ26,$AH26)+IF($G$1="裂石",$AK26*1.5,0))*(1+$AY26)*(1+$AZ26)+(($BA26+$BB26)/2*IF($G$1="牵丝",$AJ26,$AH26)+IF($G$1="牵丝",$AK26*1.5,0))*(1+$BC26)*(1+$BD26)+(($BE26+$BF26)/2*IF($G$1="破竹",$AJ26,$AH26)+IF($G$1="破竹",$AK26*1.5,0))*(1+$BG26)*(1+$BH26))*(1+$AL26)*$P26*(1+IF(VLOOKUP($Q26,武学奇术!$A:$ZZ,30,FALSE)="蓄力技",#REF!,0))*(1+$BQ26)</f>
        <v>0</v>
      </c>
      <c r="O26" s="38">
        <f>((($AN26*$AH26+$AI26)*(1+$AP26)*(1+$AQ26)+($AS26*IF($G$1="鸣金",$AJ26,$AH26)+IF($G$1="鸣金",$AK26*1.5,0))*(1+$AU26)*(1+$AV26)+($AW26*IF($G$1="裂石",$AJ26,$AH26)+IF($G$1="裂石",$AK26*1.5,0))*(1+$AY26)*(1+$AZ26)+($BA26*IF($G$1="牵丝",$AJ26,$AH26)+IF($G$1="牵丝",$AK26*1.5,0))*(1+$BC26)*(1+$BD26)+($BE26*IF($G$1="破竹",$AJ26,$AH26)+IF($G$1="破竹",$AK26*1.5,0))*(1+$BG26)*(1+$BH26))*(1+$AL26))*$P26*(1+IF(VLOOKUP($Q26,武学奇术!$A:$ZZ,30,FALSE)="蓄力技",#REF!,0))*(1+$BQ26)</f>
        <v>0</v>
      </c>
      <c r="P26" s="39">
        <v>1</v>
      </c>
      <c r="Q26" s="40" t="s">
        <v>76</v>
      </c>
      <c r="R26" s="40" t="s">
        <v>76</v>
      </c>
      <c r="S26" s="40" t="s">
        <v>76</v>
      </c>
      <c r="T26" s="40" t="s">
        <v>76</v>
      </c>
      <c r="U26" s="40" t="s">
        <v>76</v>
      </c>
      <c r="V26" s="40" t="s">
        <v>76</v>
      </c>
      <c r="W26" s="40" t="s">
        <v>76</v>
      </c>
      <c r="X26" s="40" t="s">
        <v>76</v>
      </c>
      <c r="Y26" s="40" t="s">
        <v>76</v>
      </c>
      <c r="Z26" s="40" t="s">
        <v>76</v>
      </c>
      <c r="AA26" s="40" t="s">
        <v>76</v>
      </c>
      <c r="AB26" s="40" t="s">
        <v>76</v>
      </c>
      <c r="AC26" s="40" t="s">
        <v>76</v>
      </c>
      <c r="AD26" s="40" t="s">
        <v>76</v>
      </c>
      <c r="AE26" s="40" t="s">
        <v>76</v>
      </c>
      <c r="AF26" s="40" t="s">
        <v>76</v>
      </c>
      <c r="AG26" t="str">
        <f>VLOOKUP($Q26,武学奇术!$A:$ZZ,25,FALSE)</f>
        <v>心法</v>
      </c>
      <c r="AH26" s="26">
        <f>VLOOKUP($Q26,武学奇术!$A:$ZZ,26,FALSE)</f>
        <v>0</v>
      </c>
      <c r="AI26" s="27">
        <f>VLOOKUP($Q26,武学奇术!$A:$ZZ,27,FALSE)*(1+IF(OR($AG26=$F$4,$AG26=$F$5),$B$21,0))</f>
        <v>0</v>
      </c>
      <c r="AJ26" s="26">
        <f>VLOOKUP($Q26,武学奇术!$A:$ZZ,28,FALSE)</f>
        <v>0</v>
      </c>
      <c r="AK26" s="27">
        <f>VLOOKUP($Q26,武学奇术!$A:$ZZ,29,FALSE)*(1+IF(OR($AG26=$F$4,$AG26=$F$5),$B$21,0))</f>
        <v>0</v>
      </c>
      <c r="AL26" s="26" cm="1">
        <f t="array" ref="AL26">$G$3+IFERROR(VLOOKUP($AG26,$F$4:$G$7,2,FALSE),0)+VLOOKUP($Q26,武学奇术!$A:$ZZ,2,FALSE)+SUM(_xlfn.XLOOKUP($R26:$AF26,增益!$A:$A,增益!$B:$B,0))</f>
        <v>0.2642</v>
      </c>
      <c r="AM26" s="26" cm="1">
        <f t="array" ref="AM26">VLOOKUP($Q26,武学奇术!$A:$ZZ,5,FALSE)+SUM(_xlfn.XLOOKUP($R26:$AF26,增益!$A:$A,增益!$E:$E,0))</f>
        <v>0</v>
      </c>
      <c r="AN26" cm="1">
        <f t="array" ref="AN26">$D$10*(1+$AM26)+VLOOKUP($Q26,武学奇术!$A:$ZZ,3,FALSE)+SUM(_xlfn.XLOOKUP($R26:$AF26,增益!$A:$A,增益!$C:$C,0))-$I$2</f>
        <v>3977.2</v>
      </c>
      <c r="AO26" cm="1">
        <f t="array" ref="AO26">$E$10*(1+$AM26)+VLOOKUP($Q26,武学奇术!$A:$ZZ,4,FALSE)+SUM(_xlfn.XLOOKUP($R26:$AF26,增益!$A:$A,增益!$D:$D,0))-$I$2</f>
        <v>3977.2</v>
      </c>
      <c r="AP26" s="32" cm="1">
        <f t="array" ref="AP26">IF($F$10-$I$3+VLOOKUP($Q26,武学奇术!$A:$ZZ,6,FALSE)+SUM(_xlfn.XLOOKUP(R26:AF26,增益!$A:$A,增益!$F:$F,0))&gt;0,($F$10-$I$3+VLOOKUP($Q26,武学奇术!$A:$ZZ,6,FALSE)+SUM(_xlfn.XLOOKUP(R26:AF26,增益!$A:$A,增益!$F:$F,0)))/200,($F$10-$I$3+VLOOKUP($Q26,武学奇术!$A:$ZZ,6,FALSE)+SUM(_xlfn.XLOOKUP(R26:AF26,增益!$A:$A,增益!$F:$F,0)))/100)</f>
        <v>0.294</v>
      </c>
      <c r="AQ26" s="32" cm="1">
        <f t="array" ref="AQ26">$G$10+VLOOKUP($Q26,武学奇术!$A:$ZZ,7,FALSE)+SUM(_xlfn.XLOOKUP(R26:AF26,增益!$A:$A,增益!$G:$G,0))</f>
        <v>0</v>
      </c>
      <c r="AR26" s="26" cm="1">
        <f t="array" ref="AR26">VLOOKUP($Q26,武学奇术!$A:$ZZ,8,FALSE)+SUM(_xlfn.XLOOKUP(R26:AF26,增益!$A:$A,增益!$H:$H,0))</f>
        <v>0</v>
      </c>
      <c r="AS26">
        <f t="shared" si="1"/>
        <v>0</v>
      </c>
      <c r="AT26">
        <f t="shared" si="2"/>
        <v>0</v>
      </c>
      <c r="AU26" s="32" cm="1">
        <f t="array" ref="AU26">IF($F$11-$I$4+VLOOKUP($Q26,武学奇术!$A:$ZZ,9,FALSE)+SUM(_xlfn.XLOOKUP(R26:AF26,增益!$A:$A,增益!$I:$I,0))&gt;0,($F$11-$I$4+VLOOKUP($Q26,武学奇术!$A:$ZZ,9,FALSE)+SUM(_xlfn.XLOOKUP(R26:AF26,增益!$A:$A,增益!$I:$I,0)))/200,($F$11-$I$4+VLOOKUP($Q26,武学奇术!$A:$ZZ,9,FALSE)+SUM(_xlfn.XLOOKUP(R26:AF26,增益!$A:$A,增益!$I:$I,0)))/100)</f>
        <v>-0.3</v>
      </c>
      <c r="AV26" s="32" cm="1">
        <f t="array" ref="AV26">$G$11+VLOOKUP($Q26,武学奇术!$A:$ZZ,10,FALSE)+SUM(_xlfn.XLOOKUP(R26:AF26,增益!$A:$A,增益!$J:$J,0))</f>
        <v>0</v>
      </c>
      <c r="AW26">
        <f t="shared" si="3"/>
        <v>0</v>
      </c>
      <c r="AX26">
        <f t="shared" si="4"/>
        <v>0</v>
      </c>
      <c r="AY26" s="32" cm="1">
        <f t="array" ref="AY26">IF($F$12-$I$4+VLOOKUP($Q26,武学奇术!$A:$ZZ,11,FALSE)+SUM(_xlfn.XLOOKUP(R26:AF26,增益!$A:$A,增益!$K:$K,0))&gt;0,($F$12-$I$4+VLOOKUP($Q26,武学奇术!$A:$ZZ,11,FALSE)+SUM(_xlfn.XLOOKUP(R26:AF26,增益!$A:$A,增益!$K:$K,0)))/200,($F$12-$I$4+VLOOKUP($Q26,武学奇术!$A:$ZZ,11,FALSE)+SUM(_xlfn.XLOOKUP(R26:AF26,增益!$A:$A,增益!$K:$K,0)))/100)</f>
        <v>-0.3</v>
      </c>
      <c r="AZ26" s="32" cm="1">
        <f t="array" ref="AZ26">$G$12+VLOOKUP($Q26,武学奇术!$A:$ZZ,12,FALSE)+SUM(_xlfn.XLOOKUP(R26:AF26,增益!$A:$A,增益!$L:$L,0))</f>
        <v>0</v>
      </c>
      <c r="BA26">
        <f t="shared" si="5"/>
        <v>697.4</v>
      </c>
      <c r="BB26">
        <f t="shared" si="6"/>
        <v>1805</v>
      </c>
      <c r="BC26" s="32" cm="1">
        <f t="array" ref="BC26">IF($F$13-$I$4+VLOOKUP($Q26,武学奇术!$A:$ZZ,13,FALSE)+SUM(_xlfn.XLOOKUP(R26:AF26,增益!$A:$A,增益!$M:$M,0))&gt;0,($F$13-$I$4+VLOOKUP($Q26,武学奇术!$A:$ZZ,13,FALSE)+SUM(_xlfn.XLOOKUP(R26:AF26,增益!$A:$A,增益!$K:$K,0)))/200,($F$13-$I$4+VLOOKUP($Q26,武学奇术!$A:$ZZ,13,FALSE)+SUM(_xlfn.XLOOKUP(R26:AF26,增益!$A:$A,增益!$M:$M,0)))/100)</f>
        <v>0</v>
      </c>
      <c r="BD26" s="32" cm="1">
        <f t="array" ref="BD26">$G$13+VLOOKUP($Q26,武学奇术!$A:$ZZ,14,FALSE)+SUM(_xlfn.XLOOKUP(R26:AF26,增益!$A:$A,增益!$N:$N,0))</f>
        <v>0.15</v>
      </c>
      <c r="BE26">
        <f t="shared" si="7"/>
        <v>0</v>
      </c>
      <c r="BF26">
        <f t="shared" si="8"/>
        <v>0</v>
      </c>
      <c r="BG26" s="32" cm="1">
        <f t="array" ref="BG26">IF($F$14-$I$4+VLOOKUP($Q26,武学奇术!$A:$ZZ,15,FALSE)+SUM(_xlfn.XLOOKUP(R26:AF26,增益!$A:$A,增益!$O:$O,0))&gt;0,($F$14-$I$4+VLOOKUP($Q26,武学奇术!$A:$ZZ,15,FALSE)+SUM(_xlfn.XLOOKUP(R26:AF26,增益!$A:$A,增益!$O:$O,0)))/200,($F$14-$I$4+VLOOKUP($Q26,武学奇术!$A:$ZZ,15,FALSE)+SUM(_xlfn.XLOOKUP(R26:AF26,增益!$A:$A,增益!$O:$O,0)))/100)</f>
        <v>-0.3</v>
      </c>
      <c r="BH26" s="32" cm="1">
        <f t="array" ref="BH26">$G$14+VLOOKUP($Q26,武学奇术!$A:$ZZ,16,FALSE)+SUM(_xlfn.XLOOKUP(R26:AF26,增益!$A:$A,增益!$P:$P,0))</f>
        <v>0</v>
      </c>
      <c r="BI26" s="26">
        <f>MIN(IF(VLOOKUP($Q26,武学奇术!$A:$ZZ,23,FALSE)=1,100%,$B$8),100%)</f>
        <v>1</v>
      </c>
      <c r="BJ26" s="26" cm="1">
        <f t="array" ref="BJ26">IF(VLOOKUP($Q26,武学奇术!$A:$ZZ,23,FALSE)=1,100%,MIN(80%,$B$9+VLOOKUP($Q26,武学奇术!$A:$ZZ,17,FALSE)+SUM(_xlfn.XLOOKUP(R26:AF26,增益!$A:$A,增益!$Q:$Q,0)))+$B$11+SUM(_xlfn.XLOOKUP(R26:AF26,增益!$A:$A,增益!$U:$U,0)))*IF(VLOOKUP($Q26,武学奇术!$A:$ZZ,24,FALSE)=1,0,1)</f>
        <v>0.8625</v>
      </c>
      <c r="BK26" s="26" cm="1">
        <f t="array" ref="BK26">1+$B$13+VLOOKUP($Q26,武学奇术!$A:$ZZ,18,FALSE)+SUM(_xlfn.XLOOKUP(R26:AF26,增益!$A:$A,增益!$R:$R,0))</f>
        <v>1.5</v>
      </c>
      <c r="BL26" s="26" cm="1">
        <f t="array" ref="BL26">IF(VLOOKUP($Q26,武学奇术!$A:$ZZ,24,FALSE)=1,100%,MIN(40%,$B$10+VLOOKUP($Q26,武学奇术!$A:$ZZ,19,FALSE)+SUM(_xlfn.XLOOKUP(R26:AF26,增益!$A:$A,增益!$S:$S,0)))+$B$12+SUM(_xlfn.XLOOKUP(R26:AF26,增益!$A:$A,增益!$V:$V,0)))*IF(VLOOKUP($Q26,武学奇术!$A:$ZZ,23,FALSE)=1,0,1)</f>
        <v>0.0913</v>
      </c>
      <c r="BM26" s="26" cm="1">
        <f t="array" ref="BM26">1+$B$14+VLOOKUP($Q26,武学奇术!$A:$ZZ,20,FALSE)+SUM(_xlfn.XLOOKUP(R26:AF26,增益!$A:$A,增益!$T:$T,0))</f>
        <v>1.35</v>
      </c>
      <c r="BN26" s="26">
        <f t="shared" si="9"/>
        <v>0.8625</v>
      </c>
      <c r="BO26" s="26">
        <f t="shared" si="10"/>
        <v>0.0462</v>
      </c>
      <c r="BP26" s="26">
        <f>IF(VLOOKUP($Q26,武学奇术!$A:$ZZ,22,FALSE)=1,0,(1-$BI26))*(1-$BL26)</f>
        <v>0</v>
      </c>
      <c r="BQ26" s="26" cm="1">
        <f t="array" ref="BQ26">SUM(_xlfn.XLOOKUP(R26:AF26,增益!$A:$A,增益!$W:$W,0))+$I$5</f>
        <v>0.06</v>
      </c>
    </row>
    <row r="27" spans="1:69">
      <c r="K27" s="38">
        <f t="shared" si="0"/>
        <v>0</v>
      </c>
      <c r="L27" s="38">
        <f>((($AN27+$AO27)/2*$AH27+$AI27)*(1+$AP27)*(1+$AQ27)+(($AS27+$AT27)/2*IF($G$1="鸣金",$AJ27,$AH27)+IF($G$1="鸣金",$AK27*1.5,0))*(1+$AU27)*(1+$AV27)+(($AW27+$AX27)/2*IF($G$1="裂石",$AJ27,$AH27)+IF($G$1="裂石",$AK27*1.5,0))*(1+$AY27)*(1+$AZ27)+(($BA27+$BB27)/2*IF($G$1="牵丝",$AJ27,$AH27)+IF($G$1="牵丝",$AK27*1.5,0))*(1+$BC27)*(1+$BD27)+(($BE27+$BF27)/2*IF($G$1="破竹",$AJ27,$AH27)+IF($G$1="破竹",$AK27*1.5,0))*(1+$BG27)*(1+$BH27))*(1+$AL27)*$BK27*$P27*(1+IF(VLOOKUP($Q27,武学奇术!$A:$ZZ,30,FALSE)="蓄力技",#REF!,0))*(1+$BQ27)</f>
        <v>0</v>
      </c>
      <c r="M27" s="38">
        <f>(($AO27*$AH27+$AI27)*(1+$AP27)*(1+$AQ27)+($AT27*IF($G$1="鸣金",$AJ27,$AH27)+IF($G$1="鸣金",$AK27*1.5,0))*(1+$AU27)*(1+$AV27)+($AX27*IF($G$1="裂石",$AJ27,$AH27)+IF($G$1="裂石",$AK27*1.5,0))*(1+$AY27)*(1+$AZ27)+($BB27*IF($G$1="牵丝",$AJ27,$AH27)+IF($G$1="牵丝",$AK27*1.5,0))*(1+$BC27)*(1+$BD27)+($BF27*IF($G$1="破竹",$AJ27,$AH27)+IF($G$1="破竹",$AK27*1.5,0))*(1+$BG27)*(1+$BH27))*(1+$AL27)*$BM27*$P27*(1+IF(VLOOKUP($Q27,武学奇术!$A:$ZZ,30,FALSE)="蓄力技",#REF!,0))*(1+$BQ27)</f>
        <v>0</v>
      </c>
      <c r="N27" s="38">
        <f>((($AN27+$AO27)/2*$AH27+$AI27)*(1+$AP27)*(1+$AQ27)+(($AS27+$AT27)/2*IF($G$1="鸣金",$AJ27,$AH27)+IF($G$1="鸣金",$AK27*1.5,0))*(1+$AU27)*(1+$AV27)+(($AW27+$AX27)/2*IF($G$1="裂石",$AJ27,$AH27)+IF($G$1="裂石",$AK27*1.5,0))*(1+$AY27)*(1+$AZ27)+(($BA27+$BB27)/2*IF($G$1="牵丝",$AJ27,$AH27)+IF($G$1="牵丝",$AK27*1.5,0))*(1+$BC27)*(1+$BD27)+(($BE27+$BF27)/2*IF($G$1="破竹",$AJ27,$AH27)+IF($G$1="破竹",$AK27*1.5,0))*(1+$BG27)*(1+$BH27))*(1+$AL27)*$P27*(1+IF(VLOOKUP($Q27,武学奇术!$A:$ZZ,30,FALSE)="蓄力技",#REF!,0))*(1+$BQ27)</f>
        <v>0</v>
      </c>
      <c r="O27" s="38">
        <f>((($AN27*$AH27+$AI27)*(1+$AP27)*(1+$AQ27)+($AS27*IF($G$1="鸣金",$AJ27,$AH27)+IF($G$1="鸣金",$AK27*1.5,0))*(1+$AU27)*(1+$AV27)+($AW27*IF($G$1="裂石",$AJ27,$AH27)+IF($G$1="裂石",$AK27*1.5,0))*(1+$AY27)*(1+$AZ27)+($BA27*IF($G$1="牵丝",$AJ27,$AH27)+IF($G$1="牵丝",$AK27*1.5,0))*(1+$BC27)*(1+$BD27)+($BE27*IF($G$1="破竹",$AJ27,$AH27)+IF($G$1="破竹",$AK27*1.5,0))*(1+$BG27)*(1+$BH27))*(1+$AL27))*$P27*(1+IF(VLOOKUP($Q27,武学奇术!$A:$ZZ,30,FALSE)="蓄力技",#REF!,0))*(1+$BQ27)</f>
        <v>0</v>
      </c>
      <c r="P27" s="39">
        <v>1</v>
      </c>
      <c r="Q27" s="40" t="s">
        <v>76</v>
      </c>
      <c r="R27" s="40" t="s">
        <v>76</v>
      </c>
      <c r="S27" s="40" t="s">
        <v>76</v>
      </c>
      <c r="T27" s="40" t="s">
        <v>76</v>
      </c>
      <c r="U27" s="40" t="s">
        <v>76</v>
      </c>
      <c r="V27" s="40" t="s">
        <v>76</v>
      </c>
      <c r="W27" s="40" t="s">
        <v>76</v>
      </c>
      <c r="X27" s="40" t="s">
        <v>76</v>
      </c>
      <c r="Y27" s="40" t="s">
        <v>76</v>
      </c>
      <c r="Z27" s="40" t="s">
        <v>76</v>
      </c>
      <c r="AA27" s="40" t="s">
        <v>76</v>
      </c>
      <c r="AB27" s="40" t="s">
        <v>76</v>
      </c>
      <c r="AC27" s="40" t="s">
        <v>76</v>
      </c>
      <c r="AD27" s="40" t="s">
        <v>76</v>
      </c>
      <c r="AE27" s="40" t="s">
        <v>76</v>
      </c>
      <c r="AF27" s="40" t="s">
        <v>76</v>
      </c>
      <c r="AG27" t="str">
        <f>VLOOKUP($Q27,武学奇术!$A:$ZZ,25,FALSE)</f>
        <v>心法</v>
      </c>
      <c r="AH27" s="26">
        <f>VLOOKUP($Q27,武学奇术!$A:$ZZ,26,FALSE)</f>
        <v>0</v>
      </c>
      <c r="AI27" s="27">
        <f>VLOOKUP($Q27,武学奇术!$A:$ZZ,27,FALSE)*(1+IF(OR($AG27=$F$4,$AG27=$F$5),$B$21,0))</f>
        <v>0</v>
      </c>
      <c r="AJ27" s="26">
        <f>VLOOKUP($Q27,武学奇术!$A:$ZZ,28,FALSE)</f>
        <v>0</v>
      </c>
      <c r="AK27" s="27">
        <f>VLOOKUP($Q27,武学奇术!$A:$ZZ,29,FALSE)*(1+IF(OR($AG27=$F$4,$AG27=$F$5),$B$21,0))</f>
        <v>0</v>
      </c>
      <c r="AL27" s="26" cm="1">
        <f t="array" ref="AL27">$G$3+IFERROR(VLOOKUP($AG27,$F$4:$G$7,2,FALSE),0)+VLOOKUP($Q27,武学奇术!$A:$ZZ,2,FALSE)+SUM(_xlfn.XLOOKUP($R27:$AF27,增益!$A:$A,增益!$B:$B,0))</f>
        <v>0.2642</v>
      </c>
      <c r="AM27" s="26" cm="1">
        <f t="array" ref="AM27">VLOOKUP($Q27,武学奇术!$A:$ZZ,5,FALSE)+SUM(_xlfn.XLOOKUP($R27:$AF27,增益!$A:$A,增益!$E:$E,0))</f>
        <v>0</v>
      </c>
      <c r="AN27" cm="1">
        <f t="array" ref="AN27">$D$10*(1+$AM27)+VLOOKUP($Q27,武学奇术!$A:$ZZ,3,FALSE)+SUM(_xlfn.XLOOKUP($R27:$AF27,增益!$A:$A,增益!$C:$C,0))-$I$2</f>
        <v>3977.2</v>
      </c>
      <c r="AO27" cm="1">
        <f t="array" ref="AO27">$E$10*(1+$AM27)+VLOOKUP($Q27,武学奇术!$A:$ZZ,4,FALSE)+SUM(_xlfn.XLOOKUP($R27:$AF27,增益!$A:$A,增益!$D:$D,0))-$I$2</f>
        <v>3977.2</v>
      </c>
      <c r="AP27" s="32" cm="1">
        <f t="array" ref="AP27">IF($F$10-$I$3+VLOOKUP($Q27,武学奇术!$A:$ZZ,6,FALSE)+SUM(_xlfn.XLOOKUP(R27:AF27,增益!$A:$A,增益!$F:$F,0))&gt;0,($F$10-$I$3+VLOOKUP($Q27,武学奇术!$A:$ZZ,6,FALSE)+SUM(_xlfn.XLOOKUP(R27:AF27,增益!$A:$A,增益!$F:$F,0)))/200,($F$10-$I$3+VLOOKUP($Q27,武学奇术!$A:$ZZ,6,FALSE)+SUM(_xlfn.XLOOKUP(R27:AF27,增益!$A:$A,增益!$F:$F,0)))/100)</f>
        <v>0.294</v>
      </c>
      <c r="AQ27" s="32" cm="1">
        <f t="array" ref="AQ27">$G$10+VLOOKUP($Q27,武学奇术!$A:$ZZ,7,FALSE)+SUM(_xlfn.XLOOKUP(R27:AF27,增益!$A:$A,增益!$G:$G,0))</f>
        <v>0</v>
      </c>
      <c r="AR27" s="26" cm="1">
        <f t="array" ref="AR27">VLOOKUP($Q27,武学奇术!$A:$ZZ,8,FALSE)+SUM(_xlfn.XLOOKUP(R27:AF27,增益!$A:$A,增益!$H:$H,0))</f>
        <v>0</v>
      </c>
      <c r="AS27">
        <f t="shared" si="1"/>
        <v>0</v>
      </c>
      <c r="AT27">
        <f t="shared" si="2"/>
        <v>0</v>
      </c>
      <c r="AU27" s="32" cm="1">
        <f t="array" ref="AU27">IF($F$11-$I$4+VLOOKUP($Q27,武学奇术!$A:$ZZ,9,FALSE)+SUM(_xlfn.XLOOKUP(R27:AF27,增益!$A:$A,增益!$I:$I,0))&gt;0,($F$11-$I$4+VLOOKUP($Q27,武学奇术!$A:$ZZ,9,FALSE)+SUM(_xlfn.XLOOKUP(R27:AF27,增益!$A:$A,增益!$I:$I,0)))/200,($F$11-$I$4+VLOOKUP($Q27,武学奇术!$A:$ZZ,9,FALSE)+SUM(_xlfn.XLOOKUP(R27:AF27,增益!$A:$A,增益!$I:$I,0)))/100)</f>
        <v>-0.3</v>
      </c>
      <c r="AV27" s="32" cm="1">
        <f t="array" ref="AV27">$G$11+VLOOKUP($Q27,武学奇术!$A:$ZZ,10,FALSE)+SUM(_xlfn.XLOOKUP(R27:AF27,增益!$A:$A,增益!$J:$J,0))</f>
        <v>0</v>
      </c>
      <c r="AW27">
        <f t="shared" si="3"/>
        <v>0</v>
      </c>
      <c r="AX27">
        <f t="shared" si="4"/>
        <v>0</v>
      </c>
      <c r="AY27" s="32" cm="1">
        <f t="array" ref="AY27">IF($F$12-$I$4+VLOOKUP($Q27,武学奇术!$A:$ZZ,11,FALSE)+SUM(_xlfn.XLOOKUP(R27:AF27,增益!$A:$A,增益!$K:$K,0))&gt;0,($F$12-$I$4+VLOOKUP($Q27,武学奇术!$A:$ZZ,11,FALSE)+SUM(_xlfn.XLOOKUP(R27:AF27,增益!$A:$A,增益!$K:$K,0)))/200,($F$12-$I$4+VLOOKUP($Q27,武学奇术!$A:$ZZ,11,FALSE)+SUM(_xlfn.XLOOKUP(R27:AF27,增益!$A:$A,增益!$K:$K,0)))/100)</f>
        <v>-0.3</v>
      </c>
      <c r="AZ27" s="32" cm="1">
        <f t="array" ref="AZ27">$G$12+VLOOKUP($Q27,武学奇术!$A:$ZZ,12,FALSE)+SUM(_xlfn.XLOOKUP(R27:AF27,增益!$A:$A,增益!$L:$L,0))</f>
        <v>0</v>
      </c>
      <c r="BA27">
        <f t="shared" si="5"/>
        <v>697.4</v>
      </c>
      <c r="BB27">
        <f t="shared" si="6"/>
        <v>1805</v>
      </c>
      <c r="BC27" s="32" cm="1">
        <f t="array" ref="BC27">IF($F$13-$I$4+VLOOKUP($Q27,武学奇术!$A:$ZZ,13,FALSE)+SUM(_xlfn.XLOOKUP(R27:AF27,增益!$A:$A,增益!$M:$M,0))&gt;0,($F$13-$I$4+VLOOKUP($Q27,武学奇术!$A:$ZZ,13,FALSE)+SUM(_xlfn.XLOOKUP(R27:AF27,增益!$A:$A,增益!$K:$K,0)))/200,($F$13-$I$4+VLOOKUP($Q27,武学奇术!$A:$ZZ,13,FALSE)+SUM(_xlfn.XLOOKUP(R27:AF27,增益!$A:$A,增益!$M:$M,0)))/100)</f>
        <v>0</v>
      </c>
      <c r="BD27" s="32" cm="1">
        <f t="array" ref="BD27">$G$13+VLOOKUP($Q27,武学奇术!$A:$ZZ,14,FALSE)+SUM(_xlfn.XLOOKUP(R27:AF27,增益!$A:$A,增益!$N:$N,0))</f>
        <v>0.15</v>
      </c>
      <c r="BE27">
        <f t="shared" si="7"/>
        <v>0</v>
      </c>
      <c r="BF27">
        <f t="shared" si="8"/>
        <v>0</v>
      </c>
      <c r="BG27" s="32" cm="1">
        <f t="array" ref="BG27">IF($F$14-$I$4+VLOOKUP($Q27,武学奇术!$A:$ZZ,15,FALSE)+SUM(_xlfn.XLOOKUP(R27:AF27,增益!$A:$A,增益!$O:$O,0))&gt;0,($F$14-$I$4+VLOOKUP($Q27,武学奇术!$A:$ZZ,15,FALSE)+SUM(_xlfn.XLOOKUP(R27:AF27,增益!$A:$A,增益!$O:$O,0)))/200,($F$14-$I$4+VLOOKUP($Q27,武学奇术!$A:$ZZ,15,FALSE)+SUM(_xlfn.XLOOKUP(R27:AF27,增益!$A:$A,增益!$O:$O,0)))/100)</f>
        <v>-0.3</v>
      </c>
      <c r="BH27" s="32" cm="1">
        <f t="array" ref="BH27">$G$14+VLOOKUP($Q27,武学奇术!$A:$ZZ,16,FALSE)+SUM(_xlfn.XLOOKUP(R27:AF27,增益!$A:$A,增益!$P:$P,0))</f>
        <v>0</v>
      </c>
      <c r="BI27" s="26">
        <f>MIN(IF(VLOOKUP($Q27,武学奇术!$A:$ZZ,23,FALSE)=1,100%,$B$8),100%)</f>
        <v>1</v>
      </c>
      <c r="BJ27" s="26" cm="1">
        <f t="array" ref="BJ27">IF(VLOOKUP($Q27,武学奇术!$A:$ZZ,23,FALSE)=1,100%,MIN(80%,$B$9+VLOOKUP($Q27,武学奇术!$A:$ZZ,17,FALSE)+SUM(_xlfn.XLOOKUP(R27:AF27,增益!$A:$A,增益!$Q:$Q,0)))+$B$11+SUM(_xlfn.XLOOKUP(R27:AF27,增益!$A:$A,增益!$U:$U,0)))*IF(VLOOKUP($Q27,武学奇术!$A:$ZZ,24,FALSE)=1,0,1)</f>
        <v>0.8625</v>
      </c>
      <c r="BK27" s="26" cm="1">
        <f t="array" ref="BK27">1+$B$13+VLOOKUP($Q27,武学奇术!$A:$ZZ,18,FALSE)+SUM(_xlfn.XLOOKUP(R27:AF27,增益!$A:$A,增益!$R:$R,0))</f>
        <v>1.5</v>
      </c>
      <c r="BL27" s="26" cm="1">
        <f t="array" ref="BL27">IF(VLOOKUP($Q27,武学奇术!$A:$ZZ,24,FALSE)=1,100%,MIN(40%,$B$10+VLOOKUP($Q27,武学奇术!$A:$ZZ,19,FALSE)+SUM(_xlfn.XLOOKUP(R27:AF27,增益!$A:$A,增益!$S:$S,0)))+$B$12+SUM(_xlfn.XLOOKUP(R27:AF27,增益!$A:$A,增益!$V:$V,0)))*IF(VLOOKUP($Q27,武学奇术!$A:$ZZ,23,FALSE)=1,0,1)</f>
        <v>0.0913</v>
      </c>
      <c r="BM27" s="26" cm="1">
        <f t="array" ref="BM27">1+$B$14+VLOOKUP($Q27,武学奇术!$A:$ZZ,20,FALSE)+SUM(_xlfn.XLOOKUP(R27:AF27,增益!$A:$A,增益!$T:$T,0))</f>
        <v>1.35</v>
      </c>
      <c r="BN27" s="26">
        <f t="shared" si="9"/>
        <v>0.8625</v>
      </c>
      <c r="BO27" s="26">
        <f t="shared" si="10"/>
        <v>0.0462</v>
      </c>
      <c r="BP27" s="26">
        <f>IF(VLOOKUP($Q27,武学奇术!$A:$ZZ,22,FALSE)=1,0,(1-$BI27))*(1-$BL27)</f>
        <v>0</v>
      </c>
      <c r="BQ27" s="26" cm="1">
        <f t="array" ref="BQ27">SUM(_xlfn.XLOOKUP(R27:AF27,增益!$A:$A,增益!$W:$W,0))+$I$5</f>
        <v>0.06</v>
      </c>
    </row>
    <row r="28" spans="1:69">
      <c r="K28" s="38">
        <f t="shared" si="0"/>
        <v>0</v>
      </c>
      <c r="L28" s="38">
        <f>((($AN28+$AO28)/2*$AH28+$AI28)*(1+$AP28)*(1+$AQ28)+(($AS28+$AT28)/2*IF($G$1="鸣金",$AJ28,$AH28)+IF($G$1="鸣金",$AK28*1.5,0))*(1+$AU28)*(1+$AV28)+(($AW28+$AX28)/2*IF($G$1="裂石",$AJ28,$AH28)+IF($G$1="裂石",$AK28*1.5,0))*(1+$AY28)*(1+$AZ28)+(($BA28+$BB28)/2*IF($G$1="牵丝",$AJ28,$AH28)+IF($G$1="牵丝",$AK28*1.5,0))*(1+$BC28)*(1+$BD28)+(($BE28+$BF28)/2*IF($G$1="破竹",$AJ28,$AH28)+IF($G$1="破竹",$AK28*1.5,0))*(1+$BG28)*(1+$BH28))*(1+$AL28)*$BK28*$P28*(1+IF(VLOOKUP($Q28,武学奇术!$A:$ZZ,30,FALSE)="蓄力技",#REF!,0))*(1+$BQ28)</f>
        <v>0</v>
      </c>
      <c r="M28" s="38">
        <f>(($AO28*$AH28+$AI28)*(1+$AP28)*(1+$AQ28)+($AT28*IF($G$1="鸣金",$AJ28,$AH28)+IF($G$1="鸣金",$AK28*1.5,0))*(1+$AU28)*(1+$AV28)+($AX28*IF($G$1="裂石",$AJ28,$AH28)+IF($G$1="裂石",$AK28*1.5,0))*(1+$AY28)*(1+$AZ28)+($BB28*IF($G$1="牵丝",$AJ28,$AH28)+IF($G$1="牵丝",$AK28*1.5,0))*(1+$BC28)*(1+$BD28)+($BF28*IF($G$1="破竹",$AJ28,$AH28)+IF($G$1="破竹",$AK28*1.5,0))*(1+$BG28)*(1+$BH28))*(1+$AL28)*$BM28*$P28*(1+IF(VLOOKUP($Q28,武学奇术!$A:$ZZ,30,FALSE)="蓄力技",#REF!,0))*(1+$BQ28)</f>
        <v>0</v>
      </c>
      <c r="N28" s="38">
        <f>((($AN28+$AO28)/2*$AH28+$AI28)*(1+$AP28)*(1+$AQ28)+(($AS28+$AT28)/2*IF($G$1="鸣金",$AJ28,$AH28)+IF($G$1="鸣金",$AK28*1.5,0))*(1+$AU28)*(1+$AV28)+(($AW28+$AX28)/2*IF($G$1="裂石",$AJ28,$AH28)+IF($G$1="裂石",$AK28*1.5,0))*(1+$AY28)*(1+$AZ28)+(($BA28+$BB28)/2*IF($G$1="牵丝",$AJ28,$AH28)+IF($G$1="牵丝",$AK28*1.5,0))*(1+$BC28)*(1+$BD28)+(($BE28+$BF28)/2*IF($G$1="破竹",$AJ28,$AH28)+IF($G$1="破竹",$AK28*1.5,0))*(1+$BG28)*(1+$BH28))*(1+$AL28)*$P28*(1+IF(VLOOKUP($Q28,武学奇术!$A:$ZZ,30,FALSE)="蓄力技",#REF!,0))*(1+$BQ28)</f>
        <v>0</v>
      </c>
      <c r="O28" s="38">
        <f>((($AN28*$AH28+$AI28)*(1+$AP28)*(1+$AQ28)+($AS28*IF($G$1="鸣金",$AJ28,$AH28)+IF($G$1="鸣金",$AK28*1.5,0))*(1+$AU28)*(1+$AV28)+($AW28*IF($G$1="裂石",$AJ28,$AH28)+IF($G$1="裂石",$AK28*1.5,0))*(1+$AY28)*(1+$AZ28)+($BA28*IF($G$1="牵丝",$AJ28,$AH28)+IF($G$1="牵丝",$AK28*1.5,0))*(1+$BC28)*(1+$BD28)+($BE28*IF($G$1="破竹",$AJ28,$AH28)+IF($G$1="破竹",$AK28*1.5,0))*(1+$BG28)*(1+$BH28))*(1+$AL28))*$P28*(1+IF(VLOOKUP($Q28,武学奇术!$A:$ZZ,30,FALSE)="蓄力技",#REF!,0))*(1+$BQ28)</f>
        <v>0</v>
      </c>
      <c r="P28" s="39">
        <v>1</v>
      </c>
      <c r="Q28" s="40" t="s">
        <v>76</v>
      </c>
      <c r="R28" s="40" t="s">
        <v>76</v>
      </c>
      <c r="S28" s="40" t="s">
        <v>76</v>
      </c>
      <c r="T28" s="40" t="s">
        <v>76</v>
      </c>
      <c r="U28" s="40" t="s">
        <v>76</v>
      </c>
      <c r="V28" s="40" t="s">
        <v>76</v>
      </c>
      <c r="W28" s="40" t="s">
        <v>76</v>
      </c>
      <c r="X28" s="40" t="s">
        <v>76</v>
      </c>
      <c r="Y28" s="40" t="s">
        <v>76</v>
      </c>
      <c r="Z28" s="40" t="s">
        <v>76</v>
      </c>
      <c r="AA28" s="40" t="s">
        <v>76</v>
      </c>
      <c r="AB28" s="40" t="s">
        <v>76</v>
      </c>
      <c r="AC28" s="40" t="s">
        <v>76</v>
      </c>
      <c r="AD28" s="40" t="s">
        <v>76</v>
      </c>
      <c r="AE28" s="40" t="s">
        <v>76</v>
      </c>
      <c r="AF28" s="40" t="s">
        <v>76</v>
      </c>
      <c r="AG28" t="str">
        <f>VLOOKUP($Q28,武学奇术!$A:$ZZ,25,FALSE)</f>
        <v>心法</v>
      </c>
      <c r="AH28" s="26">
        <f>VLOOKUP($Q28,武学奇术!$A:$ZZ,26,FALSE)</f>
        <v>0</v>
      </c>
      <c r="AI28" s="27">
        <f>VLOOKUP($Q28,武学奇术!$A:$ZZ,27,FALSE)*(1+IF(OR($AG28=$F$4,$AG28=$F$5),$B$21,0))</f>
        <v>0</v>
      </c>
      <c r="AJ28" s="26">
        <f>VLOOKUP($Q28,武学奇术!$A:$ZZ,28,FALSE)</f>
        <v>0</v>
      </c>
      <c r="AK28" s="27">
        <f>VLOOKUP($Q28,武学奇术!$A:$ZZ,29,FALSE)*(1+IF(OR($AG28=$F$4,$AG28=$F$5),$B$21,0))</f>
        <v>0</v>
      </c>
      <c r="AL28" s="26" cm="1">
        <f t="array" ref="AL28">$G$3+IFERROR(VLOOKUP($AG28,$F$4:$G$7,2,FALSE),0)+VLOOKUP($Q28,武学奇术!$A:$ZZ,2,FALSE)+SUM(_xlfn.XLOOKUP($R28:$AF28,增益!$A:$A,增益!$B:$B,0))</f>
        <v>0.2642</v>
      </c>
      <c r="AM28" s="26" cm="1">
        <f t="array" ref="AM28">VLOOKUP($Q28,武学奇术!$A:$ZZ,5,FALSE)+SUM(_xlfn.XLOOKUP($R28:$AF28,增益!$A:$A,增益!$E:$E,0))</f>
        <v>0</v>
      </c>
      <c r="AN28" cm="1">
        <f t="array" ref="AN28">$D$10*(1+$AM28)+VLOOKUP($Q28,武学奇术!$A:$ZZ,3,FALSE)+SUM(_xlfn.XLOOKUP($R28:$AF28,增益!$A:$A,增益!$C:$C,0))-$I$2</f>
        <v>3977.2</v>
      </c>
      <c r="AO28" cm="1">
        <f t="array" ref="AO28">$E$10*(1+$AM28)+VLOOKUP($Q28,武学奇术!$A:$ZZ,4,FALSE)+SUM(_xlfn.XLOOKUP($R28:$AF28,增益!$A:$A,增益!$D:$D,0))-$I$2</f>
        <v>3977.2</v>
      </c>
      <c r="AP28" s="32" cm="1">
        <f t="array" ref="AP28">IF($F$10-$I$3+VLOOKUP($Q28,武学奇术!$A:$ZZ,6,FALSE)+SUM(_xlfn.XLOOKUP(R28:AF28,增益!$A:$A,增益!$F:$F,0))&gt;0,($F$10-$I$3+VLOOKUP($Q28,武学奇术!$A:$ZZ,6,FALSE)+SUM(_xlfn.XLOOKUP(R28:AF28,增益!$A:$A,增益!$F:$F,0)))/200,($F$10-$I$3+VLOOKUP($Q28,武学奇术!$A:$ZZ,6,FALSE)+SUM(_xlfn.XLOOKUP(R28:AF28,增益!$A:$A,增益!$F:$F,0)))/100)</f>
        <v>0.294</v>
      </c>
      <c r="AQ28" s="32" cm="1">
        <f t="array" ref="AQ28">$G$10+VLOOKUP($Q28,武学奇术!$A:$ZZ,7,FALSE)+SUM(_xlfn.XLOOKUP(R28:AF28,增益!$A:$A,增益!$G:$G,0))</f>
        <v>0</v>
      </c>
      <c r="AR28" s="26" cm="1">
        <f t="array" ref="AR28">VLOOKUP($Q28,武学奇术!$A:$ZZ,8,FALSE)+SUM(_xlfn.XLOOKUP(R28:AF28,增益!$A:$A,增益!$H:$H,0))</f>
        <v>0</v>
      </c>
      <c r="AS28">
        <f t="shared" si="1"/>
        <v>0</v>
      </c>
      <c r="AT28">
        <f t="shared" si="2"/>
        <v>0</v>
      </c>
      <c r="AU28" s="32" cm="1">
        <f t="array" ref="AU28">IF($F$11-$I$4+VLOOKUP($Q28,武学奇术!$A:$ZZ,9,FALSE)+SUM(_xlfn.XLOOKUP(R28:AF28,增益!$A:$A,增益!$I:$I,0))&gt;0,($F$11-$I$4+VLOOKUP($Q28,武学奇术!$A:$ZZ,9,FALSE)+SUM(_xlfn.XLOOKUP(R28:AF28,增益!$A:$A,增益!$I:$I,0)))/200,($F$11-$I$4+VLOOKUP($Q28,武学奇术!$A:$ZZ,9,FALSE)+SUM(_xlfn.XLOOKUP(R28:AF28,增益!$A:$A,增益!$I:$I,0)))/100)</f>
        <v>-0.3</v>
      </c>
      <c r="AV28" s="32" cm="1">
        <f t="array" ref="AV28">$G$11+VLOOKUP($Q28,武学奇术!$A:$ZZ,10,FALSE)+SUM(_xlfn.XLOOKUP(R28:AF28,增益!$A:$A,增益!$J:$J,0))</f>
        <v>0</v>
      </c>
      <c r="AW28">
        <f t="shared" si="3"/>
        <v>0</v>
      </c>
      <c r="AX28">
        <f t="shared" si="4"/>
        <v>0</v>
      </c>
      <c r="AY28" s="32" cm="1">
        <f t="array" ref="AY28">IF($F$12-$I$4+VLOOKUP($Q28,武学奇术!$A:$ZZ,11,FALSE)+SUM(_xlfn.XLOOKUP(R28:AF28,增益!$A:$A,增益!$K:$K,0))&gt;0,($F$12-$I$4+VLOOKUP($Q28,武学奇术!$A:$ZZ,11,FALSE)+SUM(_xlfn.XLOOKUP(R28:AF28,增益!$A:$A,增益!$K:$K,0)))/200,($F$12-$I$4+VLOOKUP($Q28,武学奇术!$A:$ZZ,11,FALSE)+SUM(_xlfn.XLOOKUP(R28:AF28,增益!$A:$A,增益!$K:$K,0)))/100)</f>
        <v>-0.3</v>
      </c>
      <c r="AZ28" s="32" cm="1">
        <f t="array" ref="AZ28">$G$12+VLOOKUP($Q28,武学奇术!$A:$ZZ,12,FALSE)+SUM(_xlfn.XLOOKUP(R28:AF28,增益!$A:$A,增益!$L:$L,0))</f>
        <v>0</v>
      </c>
      <c r="BA28">
        <f t="shared" si="5"/>
        <v>697.4</v>
      </c>
      <c r="BB28">
        <f t="shared" si="6"/>
        <v>1805</v>
      </c>
      <c r="BC28" s="32" cm="1">
        <f t="array" ref="BC28">IF($F$13-$I$4+VLOOKUP($Q28,武学奇术!$A:$ZZ,13,FALSE)+SUM(_xlfn.XLOOKUP(R28:AF28,增益!$A:$A,增益!$M:$M,0))&gt;0,($F$13-$I$4+VLOOKUP($Q28,武学奇术!$A:$ZZ,13,FALSE)+SUM(_xlfn.XLOOKUP(R28:AF28,增益!$A:$A,增益!$K:$K,0)))/200,($F$13-$I$4+VLOOKUP($Q28,武学奇术!$A:$ZZ,13,FALSE)+SUM(_xlfn.XLOOKUP(R28:AF28,增益!$A:$A,增益!$M:$M,0)))/100)</f>
        <v>0</v>
      </c>
      <c r="BD28" s="32" cm="1">
        <f t="array" ref="BD28">$G$13+VLOOKUP($Q28,武学奇术!$A:$ZZ,14,FALSE)+SUM(_xlfn.XLOOKUP(R28:AF28,增益!$A:$A,增益!$N:$N,0))</f>
        <v>0.15</v>
      </c>
      <c r="BE28">
        <f t="shared" si="7"/>
        <v>0</v>
      </c>
      <c r="BF28">
        <f t="shared" si="8"/>
        <v>0</v>
      </c>
      <c r="BG28" s="32" cm="1">
        <f t="array" ref="BG28">IF($F$14-$I$4+VLOOKUP($Q28,武学奇术!$A:$ZZ,15,FALSE)+SUM(_xlfn.XLOOKUP(R28:AF28,增益!$A:$A,增益!$O:$O,0))&gt;0,($F$14-$I$4+VLOOKUP($Q28,武学奇术!$A:$ZZ,15,FALSE)+SUM(_xlfn.XLOOKUP(R28:AF28,增益!$A:$A,增益!$O:$O,0)))/200,($F$14-$I$4+VLOOKUP($Q28,武学奇术!$A:$ZZ,15,FALSE)+SUM(_xlfn.XLOOKUP(R28:AF28,增益!$A:$A,增益!$O:$O,0)))/100)</f>
        <v>-0.3</v>
      </c>
      <c r="BH28" s="32" cm="1">
        <f t="array" ref="BH28">$G$14+VLOOKUP($Q28,武学奇术!$A:$ZZ,16,FALSE)+SUM(_xlfn.XLOOKUP(R28:AF28,增益!$A:$A,增益!$P:$P,0))</f>
        <v>0</v>
      </c>
      <c r="BI28" s="26">
        <f>MIN(IF(VLOOKUP($Q28,武学奇术!$A:$ZZ,23,FALSE)=1,100%,$B$8),100%)</f>
        <v>1</v>
      </c>
      <c r="BJ28" s="26" cm="1">
        <f t="array" ref="BJ28">IF(VLOOKUP($Q28,武学奇术!$A:$ZZ,23,FALSE)=1,100%,MIN(80%,$B$9+VLOOKUP($Q28,武学奇术!$A:$ZZ,17,FALSE)+SUM(_xlfn.XLOOKUP(R28:AF28,增益!$A:$A,增益!$Q:$Q,0)))+$B$11+SUM(_xlfn.XLOOKUP(R28:AF28,增益!$A:$A,增益!$U:$U,0)))*IF(VLOOKUP($Q28,武学奇术!$A:$ZZ,24,FALSE)=1,0,1)</f>
        <v>0.8625</v>
      </c>
      <c r="BK28" s="26" cm="1">
        <f t="array" ref="BK28">1+$B$13+VLOOKUP($Q28,武学奇术!$A:$ZZ,18,FALSE)+SUM(_xlfn.XLOOKUP(R28:AF28,增益!$A:$A,增益!$R:$R,0))</f>
        <v>1.5</v>
      </c>
      <c r="BL28" s="26" cm="1">
        <f t="array" ref="BL28">IF(VLOOKUP($Q28,武学奇术!$A:$ZZ,24,FALSE)=1,100%,MIN(40%,$B$10+VLOOKUP($Q28,武学奇术!$A:$ZZ,19,FALSE)+SUM(_xlfn.XLOOKUP(R28:AF28,增益!$A:$A,增益!$S:$S,0)))+$B$12+SUM(_xlfn.XLOOKUP(R28:AF28,增益!$A:$A,增益!$V:$V,0)))*IF(VLOOKUP($Q28,武学奇术!$A:$ZZ,23,FALSE)=1,0,1)</f>
        <v>0.0913</v>
      </c>
      <c r="BM28" s="26" cm="1">
        <f t="array" ref="BM28">1+$B$14+VLOOKUP($Q28,武学奇术!$A:$ZZ,20,FALSE)+SUM(_xlfn.XLOOKUP(R28:AF28,增益!$A:$A,增益!$T:$T,0))</f>
        <v>1.35</v>
      </c>
      <c r="BN28" s="26">
        <f t="shared" ref="BN28:BN59" si="11">MIN((1-BL28)*BI28,BI28*BJ28)</f>
        <v>0.8625</v>
      </c>
      <c r="BO28" s="26">
        <f t="shared" si="10"/>
        <v>0.0462</v>
      </c>
      <c r="BP28" s="26">
        <f>IF(VLOOKUP($Q28,武学奇术!$A:$ZZ,22,FALSE)=1,0,(1-$BI28))*(1-$BL28)</f>
        <v>0</v>
      </c>
      <c r="BQ28" s="26" cm="1">
        <f t="array" ref="BQ28">SUM(_xlfn.XLOOKUP(R28:AF28,增益!$A:$A,增益!$W:$W,0))+$I$5</f>
        <v>0.06</v>
      </c>
    </row>
    <row r="29" spans="1:69">
      <c r="K29" s="38">
        <f t="shared" si="0"/>
        <v>0</v>
      </c>
      <c r="L29" s="38">
        <f>((($AN29+$AO29)/2*$AH29+$AI29)*(1+$AP29)*(1+$AQ29)+(($AS29+$AT29)/2*IF($G$1="鸣金",$AJ29,$AH29)+IF($G$1="鸣金",$AK29*1.5,0))*(1+$AU29)*(1+$AV29)+(($AW29+$AX29)/2*IF($G$1="裂石",$AJ29,$AH29)+IF($G$1="裂石",$AK29*1.5,0))*(1+$AY29)*(1+$AZ29)+(($BA29+$BB29)/2*IF($G$1="牵丝",$AJ29,$AH29)+IF($G$1="牵丝",$AK29*1.5,0))*(1+$BC29)*(1+$BD29)+(($BE29+$BF29)/2*IF($G$1="破竹",$AJ29,$AH29)+IF($G$1="破竹",$AK29*1.5,0))*(1+$BG29)*(1+$BH29))*(1+$AL29)*$BK29*$P29*(1+IF(VLOOKUP($Q29,武学奇术!$A:$ZZ,30,FALSE)="蓄力技",#REF!,0))*(1+$BQ29)</f>
        <v>0</v>
      </c>
      <c r="M29" s="38">
        <f>(($AO29*$AH29+$AI29)*(1+$AP29)*(1+$AQ29)+($AT29*IF($G$1="鸣金",$AJ29,$AH29)+IF($G$1="鸣金",$AK29*1.5,0))*(1+$AU29)*(1+$AV29)+($AX29*IF($G$1="裂石",$AJ29,$AH29)+IF($G$1="裂石",$AK29*1.5,0))*(1+$AY29)*(1+$AZ29)+($BB29*IF($G$1="牵丝",$AJ29,$AH29)+IF($G$1="牵丝",$AK29*1.5,0))*(1+$BC29)*(1+$BD29)+($BF29*IF($G$1="破竹",$AJ29,$AH29)+IF($G$1="破竹",$AK29*1.5,0))*(1+$BG29)*(1+$BH29))*(1+$AL29)*$BM29*$P29*(1+IF(VLOOKUP($Q29,武学奇术!$A:$ZZ,30,FALSE)="蓄力技",#REF!,0))*(1+$BQ29)</f>
        <v>0</v>
      </c>
      <c r="N29" s="38">
        <f>((($AN29+$AO29)/2*$AH29+$AI29)*(1+$AP29)*(1+$AQ29)+(($AS29+$AT29)/2*IF($G$1="鸣金",$AJ29,$AH29)+IF($G$1="鸣金",$AK29*1.5,0))*(1+$AU29)*(1+$AV29)+(($AW29+$AX29)/2*IF($G$1="裂石",$AJ29,$AH29)+IF($G$1="裂石",$AK29*1.5,0))*(1+$AY29)*(1+$AZ29)+(($BA29+$BB29)/2*IF($G$1="牵丝",$AJ29,$AH29)+IF($G$1="牵丝",$AK29*1.5,0))*(1+$BC29)*(1+$BD29)+(($BE29+$BF29)/2*IF($G$1="破竹",$AJ29,$AH29)+IF($G$1="破竹",$AK29*1.5,0))*(1+$BG29)*(1+$BH29))*(1+$AL29)*$P29*(1+IF(VLOOKUP($Q29,武学奇术!$A:$ZZ,30,FALSE)="蓄力技",#REF!,0))*(1+$BQ29)</f>
        <v>0</v>
      </c>
      <c r="O29" s="38">
        <f>((($AN29*$AH29+$AI29)*(1+$AP29)*(1+$AQ29)+($AS29*IF($G$1="鸣金",$AJ29,$AH29)+IF($G$1="鸣金",$AK29*1.5,0))*(1+$AU29)*(1+$AV29)+($AW29*IF($G$1="裂石",$AJ29,$AH29)+IF($G$1="裂石",$AK29*1.5,0))*(1+$AY29)*(1+$AZ29)+($BA29*IF($G$1="牵丝",$AJ29,$AH29)+IF($G$1="牵丝",$AK29*1.5,0))*(1+$BC29)*(1+$BD29)+($BE29*IF($G$1="破竹",$AJ29,$AH29)+IF($G$1="破竹",$AK29*1.5,0))*(1+$BG29)*(1+$BH29))*(1+$AL29))*$P29*(1+IF(VLOOKUP($Q29,武学奇术!$A:$ZZ,30,FALSE)="蓄力技",#REF!,0))*(1+$BQ29)</f>
        <v>0</v>
      </c>
      <c r="P29" s="39">
        <v>1</v>
      </c>
      <c r="Q29" s="40" t="s">
        <v>76</v>
      </c>
      <c r="R29" s="40" t="s">
        <v>76</v>
      </c>
      <c r="S29" s="40" t="s">
        <v>76</v>
      </c>
      <c r="T29" s="40" t="s">
        <v>76</v>
      </c>
      <c r="U29" s="40" t="s">
        <v>76</v>
      </c>
      <c r="V29" s="40" t="s">
        <v>76</v>
      </c>
      <c r="W29" s="40" t="s">
        <v>76</v>
      </c>
      <c r="X29" s="40" t="s">
        <v>76</v>
      </c>
      <c r="Y29" s="40" t="s">
        <v>76</v>
      </c>
      <c r="Z29" s="40" t="s">
        <v>76</v>
      </c>
      <c r="AA29" s="40" t="s">
        <v>76</v>
      </c>
      <c r="AB29" s="40" t="s">
        <v>76</v>
      </c>
      <c r="AC29" s="40" t="s">
        <v>76</v>
      </c>
      <c r="AD29" s="40" t="s">
        <v>76</v>
      </c>
      <c r="AE29" s="40" t="s">
        <v>76</v>
      </c>
      <c r="AF29" s="40" t="s">
        <v>76</v>
      </c>
      <c r="AG29" t="str">
        <f>VLOOKUP($Q29,武学奇术!$A:$ZZ,25,FALSE)</f>
        <v>心法</v>
      </c>
      <c r="AH29" s="26">
        <f>VLOOKUP($Q29,武学奇术!$A:$ZZ,26,FALSE)</f>
        <v>0</v>
      </c>
      <c r="AI29" s="27">
        <f>VLOOKUP($Q29,武学奇术!$A:$ZZ,27,FALSE)*(1+IF(OR($AG29=$F$4,$AG29=$F$5),$B$21,0))</f>
        <v>0</v>
      </c>
      <c r="AJ29" s="26">
        <f>VLOOKUP($Q29,武学奇术!$A:$ZZ,28,FALSE)</f>
        <v>0</v>
      </c>
      <c r="AK29" s="27">
        <f>VLOOKUP($Q29,武学奇术!$A:$ZZ,29,FALSE)*(1+IF(OR($AG29=$F$4,$AG29=$F$5),$B$21,0))</f>
        <v>0</v>
      </c>
      <c r="AL29" s="26" cm="1">
        <f t="array" ref="AL29">$G$3+IFERROR(VLOOKUP($AG29,$F$4:$G$7,2,FALSE),0)+VLOOKUP($Q29,武学奇术!$A:$ZZ,2,FALSE)+SUM(_xlfn.XLOOKUP($R29:$AF29,增益!$A:$A,增益!$B:$B,0))</f>
        <v>0.2642</v>
      </c>
      <c r="AM29" s="26" cm="1">
        <f t="array" ref="AM29">VLOOKUP($Q29,武学奇术!$A:$ZZ,5,FALSE)+SUM(_xlfn.XLOOKUP($R29:$AF29,增益!$A:$A,增益!$E:$E,0))</f>
        <v>0</v>
      </c>
      <c r="AN29" cm="1">
        <f t="array" ref="AN29">$D$10*(1+$AM29)+VLOOKUP($Q29,武学奇术!$A:$ZZ,3,FALSE)+SUM(_xlfn.XLOOKUP($R29:$AF29,增益!$A:$A,增益!$C:$C,0))-$I$2</f>
        <v>3977.2</v>
      </c>
      <c r="AO29" cm="1">
        <f t="array" ref="AO29">$E$10*(1+$AM29)+VLOOKUP($Q29,武学奇术!$A:$ZZ,4,FALSE)+SUM(_xlfn.XLOOKUP($R29:$AF29,增益!$A:$A,增益!$D:$D,0))-$I$2</f>
        <v>3977.2</v>
      </c>
      <c r="AP29" s="32" cm="1">
        <f t="array" ref="AP29">IF($F$10-$I$3+VLOOKUP($Q29,武学奇术!$A:$ZZ,6,FALSE)+SUM(_xlfn.XLOOKUP(R29:AF29,增益!$A:$A,增益!$F:$F,0))&gt;0,($F$10-$I$3+VLOOKUP($Q29,武学奇术!$A:$ZZ,6,FALSE)+SUM(_xlfn.XLOOKUP(R29:AF29,增益!$A:$A,增益!$F:$F,0)))/200,($F$10-$I$3+VLOOKUP($Q29,武学奇术!$A:$ZZ,6,FALSE)+SUM(_xlfn.XLOOKUP(R29:AF29,增益!$A:$A,增益!$F:$F,0)))/100)</f>
        <v>0.294</v>
      </c>
      <c r="AQ29" s="32" cm="1">
        <f t="array" ref="AQ29">$G$10+VLOOKUP($Q29,武学奇术!$A:$ZZ,7,FALSE)+SUM(_xlfn.XLOOKUP(R29:AF29,增益!$A:$A,增益!$G:$G,0))</f>
        <v>0</v>
      </c>
      <c r="AR29" s="26" cm="1">
        <f t="array" ref="AR29">VLOOKUP($Q29,武学奇术!$A:$ZZ,8,FALSE)+SUM(_xlfn.XLOOKUP(R29:AF29,增益!$A:$A,增益!$H:$H,0))</f>
        <v>0</v>
      </c>
      <c r="AS29">
        <f t="shared" si="1"/>
        <v>0</v>
      </c>
      <c r="AT29">
        <f t="shared" si="2"/>
        <v>0</v>
      </c>
      <c r="AU29" s="32" cm="1">
        <f t="array" ref="AU29">IF($F$11-$I$4+VLOOKUP($Q29,武学奇术!$A:$ZZ,9,FALSE)+SUM(_xlfn.XLOOKUP(R29:AF29,增益!$A:$A,增益!$I:$I,0))&gt;0,($F$11-$I$4+VLOOKUP($Q29,武学奇术!$A:$ZZ,9,FALSE)+SUM(_xlfn.XLOOKUP(R29:AF29,增益!$A:$A,增益!$I:$I,0)))/200,($F$11-$I$4+VLOOKUP($Q29,武学奇术!$A:$ZZ,9,FALSE)+SUM(_xlfn.XLOOKUP(R29:AF29,增益!$A:$A,增益!$I:$I,0)))/100)</f>
        <v>-0.3</v>
      </c>
      <c r="AV29" s="32" cm="1">
        <f t="array" ref="AV29">$G$11+VLOOKUP($Q29,武学奇术!$A:$ZZ,10,FALSE)+SUM(_xlfn.XLOOKUP(R29:AF29,增益!$A:$A,增益!$J:$J,0))</f>
        <v>0</v>
      </c>
      <c r="AW29">
        <f t="shared" si="3"/>
        <v>0</v>
      </c>
      <c r="AX29">
        <f t="shared" si="4"/>
        <v>0</v>
      </c>
      <c r="AY29" s="32" cm="1">
        <f t="array" ref="AY29">IF($F$12-$I$4+VLOOKUP($Q29,武学奇术!$A:$ZZ,11,FALSE)+SUM(_xlfn.XLOOKUP(R29:AF29,增益!$A:$A,增益!$K:$K,0))&gt;0,($F$12-$I$4+VLOOKUP($Q29,武学奇术!$A:$ZZ,11,FALSE)+SUM(_xlfn.XLOOKUP(R29:AF29,增益!$A:$A,增益!$K:$K,0)))/200,($F$12-$I$4+VLOOKUP($Q29,武学奇术!$A:$ZZ,11,FALSE)+SUM(_xlfn.XLOOKUP(R29:AF29,增益!$A:$A,增益!$K:$K,0)))/100)</f>
        <v>-0.3</v>
      </c>
      <c r="AZ29" s="32" cm="1">
        <f t="array" ref="AZ29">$G$12+VLOOKUP($Q29,武学奇术!$A:$ZZ,12,FALSE)+SUM(_xlfn.XLOOKUP(R29:AF29,增益!$A:$A,增益!$L:$L,0))</f>
        <v>0</v>
      </c>
      <c r="BA29">
        <f t="shared" si="5"/>
        <v>697.4</v>
      </c>
      <c r="BB29">
        <f t="shared" si="6"/>
        <v>1805</v>
      </c>
      <c r="BC29" s="32" cm="1">
        <f t="array" ref="BC29">IF($F$13-$I$4+VLOOKUP($Q29,武学奇术!$A:$ZZ,13,FALSE)+SUM(_xlfn.XLOOKUP(R29:AF29,增益!$A:$A,增益!$M:$M,0))&gt;0,($F$13-$I$4+VLOOKUP($Q29,武学奇术!$A:$ZZ,13,FALSE)+SUM(_xlfn.XLOOKUP(R29:AF29,增益!$A:$A,增益!$K:$K,0)))/200,($F$13-$I$4+VLOOKUP($Q29,武学奇术!$A:$ZZ,13,FALSE)+SUM(_xlfn.XLOOKUP(R29:AF29,增益!$A:$A,增益!$M:$M,0)))/100)</f>
        <v>0</v>
      </c>
      <c r="BD29" s="32" cm="1">
        <f t="array" ref="BD29">$G$13+VLOOKUP($Q29,武学奇术!$A:$ZZ,14,FALSE)+SUM(_xlfn.XLOOKUP(R29:AF29,增益!$A:$A,增益!$N:$N,0))</f>
        <v>0.15</v>
      </c>
      <c r="BE29">
        <f t="shared" si="7"/>
        <v>0</v>
      </c>
      <c r="BF29">
        <f t="shared" si="8"/>
        <v>0</v>
      </c>
      <c r="BG29" s="32" cm="1">
        <f t="array" ref="BG29">IF($F$14-$I$4+VLOOKUP($Q29,武学奇术!$A:$ZZ,15,FALSE)+SUM(_xlfn.XLOOKUP(R29:AF29,增益!$A:$A,增益!$O:$O,0))&gt;0,($F$14-$I$4+VLOOKUP($Q29,武学奇术!$A:$ZZ,15,FALSE)+SUM(_xlfn.XLOOKUP(R29:AF29,增益!$A:$A,增益!$O:$O,0)))/200,($F$14-$I$4+VLOOKUP($Q29,武学奇术!$A:$ZZ,15,FALSE)+SUM(_xlfn.XLOOKUP(R29:AF29,增益!$A:$A,增益!$O:$O,0)))/100)</f>
        <v>-0.3</v>
      </c>
      <c r="BH29" s="32" cm="1">
        <f t="array" ref="BH29">$G$14+VLOOKUP($Q29,武学奇术!$A:$ZZ,16,FALSE)+SUM(_xlfn.XLOOKUP(R29:AF29,增益!$A:$A,增益!$P:$P,0))</f>
        <v>0</v>
      </c>
      <c r="BI29" s="26">
        <f>MIN(IF(VLOOKUP($Q29,武学奇术!$A:$ZZ,23,FALSE)=1,100%,$B$8),100%)</f>
        <v>1</v>
      </c>
      <c r="BJ29" s="26" cm="1">
        <f t="array" ref="BJ29">IF(VLOOKUP($Q29,武学奇术!$A:$ZZ,23,FALSE)=1,100%,MIN(80%,$B$9+VLOOKUP($Q29,武学奇术!$A:$ZZ,17,FALSE)+SUM(_xlfn.XLOOKUP(R29:AF29,增益!$A:$A,增益!$Q:$Q,0)))+$B$11+SUM(_xlfn.XLOOKUP(R29:AF29,增益!$A:$A,增益!$U:$U,0)))*IF(VLOOKUP($Q29,武学奇术!$A:$ZZ,24,FALSE)=1,0,1)</f>
        <v>0.8625</v>
      </c>
      <c r="BK29" s="26" cm="1">
        <f t="array" ref="BK29">1+$B$13+VLOOKUP($Q29,武学奇术!$A:$ZZ,18,FALSE)+SUM(_xlfn.XLOOKUP(R29:AF29,增益!$A:$A,增益!$R:$R,0))</f>
        <v>1.5</v>
      </c>
      <c r="BL29" s="26" cm="1">
        <f t="array" ref="BL29">IF(VLOOKUP($Q29,武学奇术!$A:$ZZ,24,FALSE)=1,100%,MIN(40%,$B$10+VLOOKUP($Q29,武学奇术!$A:$ZZ,19,FALSE)+SUM(_xlfn.XLOOKUP(R29:AF29,增益!$A:$A,增益!$S:$S,0)))+$B$12+SUM(_xlfn.XLOOKUP(R29:AF29,增益!$A:$A,增益!$V:$V,0)))*IF(VLOOKUP($Q29,武学奇术!$A:$ZZ,23,FALSE)=1,0,1)</f>
        <v>0.0913</v>
      </c>
      <c r="BM29" s="26" cm="1">
        <f t="array" ref="BM29">1+$B$14+VLOOKUP($Q29,武学奇术!$A:$ZZ,20,FALSE)+SUM(_xlfn.XLOOKUP(R29:AF29,增益!$A:$A,增益!$T:$T,0))</f>
        <v>1.35</v>
      </c>
      <c r="BN29" s="26">
        <f t="shared" si="11"/>
        <v>0.8625</v>
      </c>
      <c r="BO29" s="26">
        <f t="shared" si="10"/>
        <v>0.0462</v>
      </c>
      <c r="BP29" s="26">
        <f>IF(VLOOKUP($Q29,武学奇术!$A:$ZZ,22,FALSE)=1,0,(1-$BI29))*(1-$BL29)</f>
        <v>0</v>
      </c>
      <c r="BQ29" s="26" cm="1">
        <f t="array" ref="BQ29">SUM(_xlfn.XLOOKUP(R29:AF29,增益!$A:$A,增益!$W:$W,0))+$I$5</f>
        <v>0.06</v>
      </c>
    </row>
    <row r="30" spans="1:69">
      <c r="K30" s="38">
        <f t="shared" si="0"/>
        <v>0</v>
      </c>
      <c r="L30" s="38">
        <f>((($AN30+$AO30)/2*$AH30+$AI30)*(1+$AP30)*(1+$AQ30)+(($AS30+$AT30)/2*IF($G$1="鸣金",$AJ30,$AH30)+IF($G$1="鸣金",$AK30*1.5,0))*(1+$AU30)*(1+$AV30)+(($AW30+$AX30)/2*IF($G$1="裂石",$AJ30,$AH30)+IF($G$1="裂石",$AK30*1.5,0))*(1+$AY30)*(1+$AZ30)+(($BA30+$BB30)/2*IF($G$1="牵丝",$AJ30,$AH30)+IF($G$1="牵丝",$AK30*1.5,0))*(1+$BC30)*(1+$BD30)+(($BE30+$BF30)/2*IF($G$1="破竹",$AJ30,$AH30)+IF($G$1="破竹",$AK30*1.5,0))*(1+$BG30)*(1+$BH30))*(1+$AL30)*$BK30*$P30*(1+IF(VLOOKUP($Q30,武学奇术!$A:$ZZ,30,FALSE)="蓄力技",#REF!,0))*(1+$BQ30)</f>
        <v>0</v>
      </c>
      <c r="M30" s="38">
        <f>(($AO30*$AH30+$AI30)*(1+$AP30)*(1+$AQ30)+($AT30*IF($G$1="鸣金",$AJ30,$AH30)+IF($G$1="鸣金",$AK30*1.5,0))*(1+$AU30)*(1+$AV30)+($AX30*IF($G$1="裂石",$AJ30,$AH30)+IF($G$1="裂石",$AK30*1.5,0))*(1+$AY30)*(1+$AZ30)+($BB30*IF($G$1="牵丝",$AJ30,$AH30)+IF($G$1="牵丝",$AK30*1.5,0))*(1+$BC30)*(1+$BD30)+($BF30*IF($G$1="破竹",$AJ30,$AH30)+IF($G$1="破竹",$AK30*1.5,0))*(1+$BG30)*(1+$BH30))*(1+$AL30)*$BM30*$P30*(1+IF(VLOOKUP($Q30,武学奇术!$A:$ZZ,30,FALSE)="蓄力技",#REF!,0))*(1+$BQ30)</f>
        <v>0</v>
      </c>
      <c r="N30" s="38">
        <f>((($AN30+$AO30)/2*$AH30+$AI30)*(1+$AP30)*(1+$AQ30)+(($AS30+$AT30)/2*IF($G$1="鸣金",$AJ30,$AH30)+IF($G$1="鸣金",$AK30*1.5,0))*(1+$AU30)*(1+$AV30)+(($AW30+$AX30)/2*IF($G$1="裂石",$AJ30,$AH30)+IF($G$1="裂石",$AK30*1.5,0))*(1+$AY30)*(1+$AZ30)+(($BA30+$BB30)/2*IF($G$1="牵丝",$AJ30,$AH30)+IF($G$1="牵丝",$AK30*1.5,0))*(1+$BC30)*(1+$BD30)+(($BE30+$BF30)/2*IF($G$1="破竹",$AJ30,$AH30)+IF($G$1="破竹",$AK30*1.5,0))*(1+$BG30)*(1+$BH30))*(1+$AL30)*$P30*(1+IF(VLOOKUP($Q30,武学奇术!$A:$ZZ,30,FALSE)="蓄力技",#REF!,0))*(1+$BQ30)</f>
        <v>0</v>
      </c>
      <c r="O30" s="38">
        <f>((($AN30*$AH30+$AI30)*(1+$AP30)*(1+$AQ30)+($AS30*IF($G$1="鸣金",$AJ30,$AH30)+IF($G$1="鸣金",$AK30*1.5,0))*(1+$AU30)*(1+$AV30)+($AW30*IF($G$1="裂石",$AJ30,$AH30)+IF($G$1="裂石",$AK30*1.5,0))*(1+$AY30)*(1+$AZ30)+($BA30*IF($G$1="牵丝",$AJ30,$AH30)+IF($G$1="牵丝",$AK30*1.5,0))*(1+$BC30)*(1+$BD30)+($BE30*IF($G$1="破竹",$AJ30,$AH30)+IF($G$1="破竹",$AK30*1.5,0))*(1+$BG30)*(1+$BH30))*(1+$AL30))*$P30*(1+IF(VLOOKUP($Q30,武学奇术!$A:$ZZ,30,FALSE)="蓄力技",#REF!,0))*(1+$BQ30)</f>
        <v>0</v>
      </c>
      <c r="P30" s="39">
        <v>1</v>
      </c>
      <c r="Q30" s="40" t="s">
        <v>76</v>
      </c>
      <c r="R30" s="40" t="s">
        <v>76</v>
      </c>
      <c r="S30" s="40" t="s">
        <v>76</v>
      </c>
      <c r="T30" s="40" t="s">
        <v>76</v>
      </c>
      <c r="U30" s="40" t="s">
        <v>76</v>
      </c>
      <c r="V30" s="40" t="s">
        <v>76</v>
      </c>
      <c r="W30" s="40" t="s">
        <v>76</v>
      </c>
      <c r="X30" s="40" t="s">
        <v>76</v>
      </c>
      <c r="Y30" s="40" t="s">
        <v>76</v>
      </c>
      <c r="Z30" s="40" t="s">
        <v>76</v>
      </c>
      <c r="AA30" s="40" t="s">
        <v>76</v>
      </c>
      <c r="AB30" s="40" t="s">
        <v>76</v>
      </c>
      <c r="AC30" s="40" t="s">
        <v>76</v>
      </c>
      <c r="AD30" s="40" t="s">
        <v>76</v>
      </c>
      <c r="AE30" s="40" t="s">
        <v>76</v>
      </c>
      <c r="AF30" s="40" t="s">
        <v>76</v>
      </c>
      <c r="AG30" t="str">
        <f>VLOOKUP($Q30,武学奇术!$A:$ZZ,25,FALSE)</f>
        <v>心法</v>
      </c>
      <c r="AH30" s="26">
        <f>VLOOKUP($Q30,武学奇术!$A:$ZZ,26,FALSE)</f>
        <v>0</v>
      </c>
      <c r="AI30" s="27">
        <f>VLOOKUP($Q30,武学奇术!$A:$ZZ,27,FALSE)*(1+IF(OR($AG30=$F$4,$AG30=$F$5),$B$21,0))</f>
        <v>0</v>
      </c>
      <c r="AJ30" s="26">
        <f>VLOOKUP($Q30,武学奇术!$A:$ZZ,28,FALSE)</f>
        <v>0</v>
      </c>
      <c r="AK30" s="27">
        <f>VLOOKUP($Q30,武学奇术!$A:$ZZ,29,FALSE)*(1+IF(OR($AG30=$F$4,$AG30=$F$5),$B$21,0))</f>
        <v>0</v>
      </c>
      <c r="AL30" s="26" cm="1">
        <f t="array" ref="AL30">$G$3+IFERROR(VLOOKUP($AG30,$F$4:$G$7,2,FALSE),0)+VLOOKUP($Q30,武学奇术!$A:$ZZ,2,FALSE)+SUM(_xlfn.XLOOKUP($R30:$AF30,增益!$A:$A,增益!$B:$B,0))</f>
        <v>0.2642</v>
      </c>
      <c r="AM30" s="26" cm="1">
        <f t="array" ref="AM30">VLOOKUP($Q30,武学奇术!$A:$ZZ,5,FALSE)+SUM(_xlfn.XLOOKUP($R30:$AF30,增益!$A:$A,增益!$E:$E,0))</f>
        <v>0</v>
      </c>
      <c r="AN30" cm="1">
        <f t="array" ref="AN30">$D$10*(1+$AM30)+VLOOKUP($Q30,武学奇术!$A:$ZZ,3,FALSE)+SUM(_xlfn.XLOOKUP($R30:$AF30,增益!$A:$A,增益!$C:$C,0))-$I$2</f>
        <v>3977.2</v>
      </c>
      <c r="AO30" cm="1">
        <f t="array" ref="AO30">$E$10*(1+$AM30)+VLOOKUP($Q30,武学奇术!$A:$ZZ,4,FALSE)+SUM(_xlfn.XLOOKUP($R30:$AF30,增益!$A:$A,增益!$D:$D,0))-$I$2</f>
        <v>3977.2</v>
      </c>
      <c r="AP30" s="32" cm="1">
        <f t="array" ref="AP30">IF($F$10-$I$3+VLOOKUP($Q30,武学奇术!$A:$ZZ,6,FALSE)+SUM(_xlfn.XLOOKUP(R30:AF30,增益!$A:$A,增益!$F:$F,0))&gt;0,($F$10-$I$3+VLOOKUP($Q30,武学奇术!$A:$ZZ,6,FALSE)+SUM(_xlfn.XLOOKUP(R30:AF30,增益!$A:$A,增益!$F:$F,0)))/200,($F$10-$I$3+VLOOKUP($Q30,武学奇术!$A:$ZZ,6,FALSE)+SUM(_xlfn.XLOOKUP(R30:AF30,增益!$A:$A,增益!$F:$F,0)))/100)</f>
        <v>0.294</v>
      </c>
      <c r="AQ30" s="32" cm="1">
        <f t="array" ref="AQ30">$G$10+VLOOKUP($Q30,武学奇术!$A:$ZZ,7,FALSE)+SUM(_xlfn.XLOOKUP(R30:AF30,增益!$A:$A,增益!$G:$G,0))</f>
        <v>0</v>
      </c>
      <c r="AR30" s="26" cm="1">
        <f t="array" ref="AR30">VLOOKUP($Q30,武学奇术!$A:$ZZ,8,FALSE)+SUM(_xlfn.XLOOKUP(R30:AF30,增益!$A:$A,增益!$H:$H,0))</f>
        <v>0</v>
      </c>
      <c r="AS30">
        <f t="shared" si="1"/>
        <v>0</v>
      </c>
      <c r="AT30">
        <f t="shared" si="2"/>
        <v>0</v>
      </c>
      <c r="AU30" s="32" cm="1">
        <f t="array" ref="AU30">IF($F$11-$I$4+VLOOKUP($Q30,武学奇术!$A:$ZZ,9,FALSE)+SUM(_xlfn.XLOOKUP(R30:AF30,增益!$A:$A,增益!$I:$I,0))&gt;0,($F$11-$I$4+VLOOKUP($Q30,武学奇术!$A:$ZZ,9,FALSE)+SUM(_xlfn.XLOOKUP(R30:AF30,增益!$A:$A,增益!$I:$I,0)))/200,($F$11-$I$4+VLOOKUP($Q30,武学奇术!$A:$ZZ,9,FALSE)+SUM(_xlfn.XLOOKUP(R30:AF30,增益!$A:$A,增益!$I:$I,0)))/100)</f>
        <v>-0.3</v>
      </c>
      <c r="AV30" s="32" cm="1">
        <f t="array" ref="AV30">$G$11+VLOOKUP($Q30,武学奇术!$A:$ZZ,10,FALSE)+SUM(_xlfn.XLOOKUP(R30:AF30,增益!$A:$A,增益!$J:$J,0))</f>
        <v>0</v>
      </c>
      <c r="AW30">
        <f t="shared" si="3"/>
        <v>0</v>
      </c>
      <c r="AX30">
        <f t="shared" si="4"/>
        <v>0</v>
      </c>
      <c r="AY30" s="32" cm="1">
        <f t="array" ref="AY30">IF($F$12-$I$4+VLOOKUP($Q30,武学奇术!$A:$ZZ,11,FALSE)+SUM(_xlfn.XLOOKUP(R30:AF30,增益!$A:$A,增益!$K:$K,0))&gt;0,($F$12-$I$4+VLOOKUP($Q30,武学奇术!$A:$ZZ,11,FALSE)+SUM(_xlfn.XLOOKUP(R30:AF30,增益!$A:$A,增益!$K:$K,0)))/200,($F$12-$I$4+VLOOKUP($Q30,武学奇术!$A:$ZZ,11,FALSE)+SUM(_xlfn.XLOOKUP(R30:AF30,增益!$A:$A,增益!$K:$K,0)))/100)</f>
        <v>-0.3</v>
      </c>
      <c r="AZ30" s="32" cm="1">
        <f t="array" ref="AZ30">$G$12+VLOOKUP($Q30,武学奇术!$A:$ZZ,12,FALSE)+SUM(_xlfn.XLOOKUP(R30:AF30,增益!$A:$A,增益!$L:$L,0))</f>
        <v>0</v>
      </c>
      <c r="BA30">
        <f t="shared" si="5"/>
        <v>697.4</v>
      </c>
      <c r="BB30">
        <f t="shared" si="6"/>
        <v>1805</v>
      </c>
      <c r="BC30" s="32" cm="1">
        <f t="array" ref="BC30">IF($F$13-$I$4+VLOOKUP($Q30,武学奇术!$A:$ZZ,13,FALSE)+SUM(_xlfn.XLOOKUP(R30:AF30,增益!$A:$A,增益!$M:$M,0))&gt;0,($F$13-$I$4+VLOOKUP($Q30,武学奇术!$A:$ZZ,13,FALSE)+SUM(_xlfn.XLOOKUP(R30:AF30,增益!$A:$A,增益!$K:$K,0)))/200,($F$13-$I$4+VLOOKUP($Q30,武学奇术!$A:$ZZ,13,FALSE)+SUM(_xlfn.XLOOKUP(R30:AF30,增益!$A:$A,增益!$M:$M,0)))/100)</f>
        <v>0</v>
      </c>
      <c r="BD30" s="32" cm="1">
        <f t="array" ref="BD30">$G$13+VLOOKUP($Q30,武学奇术!$A:$ZZ,14,FALSE)+SUM(_xlfn.XLOOKUP(R30:AF30,增益!$A:$A,增益!$N:$N,0))</f>
        <v>0.15</v>
      </c>
      <c r="BE30">
        <f t="shared" si="7"/>
        <v>0</v>
      </c>
      <c r="BF30">
        <f t="shared" si="8"/>
        <v>0</v>
      </c>
      <c r="BG30" s="32" cm="1">
        <f t="array" ref="BG30">IF($F$14-$I$4+VLOOKUP($Q30,武学奇术!$A:$ZZ,15,FALSE)+SUM(_xlfn.XLOOKUP(R30:AF30,增益!$A:$A,增益!$O:$O,0))&gt;0,($F$14-$I$4+VLOOKUP($Q30,武学奇术!$A:$ZZ,15,FALSE)+SUM(_xlfn.XLOOKUP(R30:AF30,增益!$A:$A,增益!$O:$O,0)))/200,($F$14-$I$4+VLOOKUP($Q30,武学奇术!$A:$ZZ,15,FALSE)+SUM(_xlfn.XLOOKUP(R30:AF30,增益!$A:$A,增益!$O:$O,0)))/100)</f>
        <v>-0.3</v>
      </c>
      <c r="BH30" s="32" cm="1">
        <f t="array" ref="BH30">$G$14+VLOOKUP($Q30,武学奇术!$A:$ZZ,16,FALSE)+SUM(_xlfn.XLOOKUP(R30:AF30,增益!$A:$A,增益!$P:$P,0))</f>
        <v>0</v>
      </c>
      <c r="BI30" s="26">
        <f>MIN(IF(VLOOKUP($Q30,武学奇术!$A:$ZZ,23,FALSE)=1,100%,$B$8),100%)</f>
        <v>1</v>
      </c>
      <c r="BJ30" s="26" cm="1">
        <f t="array" ref="BJ30">IF(VLOOKUP($Q30,武学奇术!$A:$ZZ,23,FALSE)=1,100%,MIN(80%,$B$9+VLOOKUP($Q30,武学奇术!$A:$ZZ,17,FALSE)+SUM(_xlfn.XLOOKUP(R30:AF30,增益!$A:$A,增益!$Q:$Q,0)))+$B$11+SUM(_xlfn.XLOOKUP(R30:AF30,增益!$A:$A,增益!$U:$U,0)))*IF(VLOOKUP($Q30,武学奇术!$A:$ZZ,24,FALSE)=1,0,1)</f>
        <v>0.8625</v>
      </c>
      <c r="BK30" s="26" cm="1">
        <f t="array" ref="BK30">1+$B$13+VLOOKUP($Q30,武学奇术!$A:$ZZ,18,FALSE)+SUM(_xlfn.XLOOKUP(R30:AF30,增益!$A:$A,增益!$R:$R,0))</f>
        <v>1.5</v>
      </c>
      <c r="BL30" s="26" cm="1">
        <f t="array" ref="BL30">IF(VLOOKUP($Q30,武学奇术!$A:$ZZ,24,FALSE)=1,100%,MIN(40%,$B$10+VLOOKUP($Q30,武学奇术!$A:$ZZ,19,FALSE)+SUM(_xlfn.XLOOKUP(R30:AF30,增益!$A:$A,增益!$S:$S,0)))+$B$12+SUM(_xlfn.XLOOKUP(R30:AF30,增益!$A:$A,增益!$V:$V,0)))*IF(VLOOKUP($Q30,武学奇术!$A:$ZZ,23,FALSE)=1,0,1)</f>
        <v>0.0913</v>
      </c>
      <c r="BM30" s="26" cm="1">
        <f t="array" ref="BM30">1+$B$14+VLOOKUP($Q30,武学奇术!$A:$ZZ,20,FALSE)+SUM(_xlfn.XLOOKUP(R30:AF30,增益!$A:$A,增益!$T:$T,0))</f>
        <v>1.35</v>
      </c>
      <c r="BN30" s="26">
        <f t="shared" si="11"/>
        <v>0.8625</v>
      </c>
      <c r="BO30" s="26">
        <f t="shared" si="10"/>
        <v>0.0462</v>
      </c>
      <c r="BP30" s="26">
        <f>IF(VLOOKUP($Q30,武学奇术!$A:$ZZ,22,FALSE)=1,0,(1-$BI30))*(1-$BL30)</f>
        <v>0</v>
      </c>
      <c r="BQ30" s="26" cm="1">
        <f t="array" ref="BQ30">SUM(_xlfn.XLOOKUP(R30:AF30,增益!$A:$A,增益!$W:$W,0))+$I$5</f>
        <v>0.06</v>
      </c>
    </row>
    <row r="31" spans="1:69">
      <c r="K31" s="38">
        <f t="shared" si="0"/>
        <v>0</v>
      </c>
      <c r="L31" s="38">
        <f>((($AN31+$AO31)/2*$AH31+$AI31)*(1+$AP31)*(1+$AQ31)+(($AS31+$AT31)/2*IF($G$1="鸣金",$AJ31,$AH31)+IF($G$1="鸣金",$AK31*1.5,0))*(1+$AU31)*(1+$AV31)+(($AW31+$AX31)/2*IF($G$1="裂石",$AJ31,$AH31)+IF($G$1="裂石",$AK31*1.5,0))*(1+$AY31)*(1+$AZ31)+(($BA31+$BB31)/2*IF($G$1="牵丝",$AJ31,$AH31)+IF($G$1="牵丝",$AK31*1.5,0))*(1+$BC31)*(1+$BD31)+(($BE31+$BF31)/2*IF($G$1="破竹",$AJ31,$AH31)+IF($G$1="破竹",$AK31*1.5,0))*(1+$BG31)*(1+$BH31))*(1+$AL31)*$BK31*$P31*(1+IF(VLOOKUP($Q31,武学奇术!$A:$ZZ,30,FALSE)="蓄力技",#REF!,0))*(1+$BQ31)</f>
        <v>0</v>
      </c>
      <c r="M31" s="38">
        <f>(($AO31*$AH31+$AI31)*(1+$AP31)*(1+$AQ31)+($AT31*IF($G$1="鸣金",$AJ31,$AH31)+IF($G$1="鸣金",$AK31*1.5,0))*(1+$AU31)*(1+$AV31)+($AX31*IF($G$1="裂石",$AJ31,$AH31)+IF($G$1="裂石",$AK31*1.5,0))*(1+$AY31)*(1+$AZ31)+($BB31*IF($G$1="牵丝",$AJ31,$AH31)+IF($G$1="牵丝",$AK31*1.5,0))*(1+$BC31)*(1+$BD31)+($BF31*IF($G$1="破竹",$AJ31,$AH31)+IF($G$1="破竹",$AK31*1.5,0))*(1+$BG31)*(1+$BH31))*(1+$AL31)*$BM31*$P31*(1+IF(VLOOKUP($Q31,武学奇术!$A:$ZZ,30,FALSE)="蓄力技",#REF!,0))*(1+$BQ31)</f>
        <v>0</v>
      </c>
      <c r="N31" s="38">
        <f>((($AN31+$AO31)/2*$AH31+$AI31)*(1+$AP31)*(1+$AQ31)+(($AS31+$AT31)/2*IF($G$1="鸣金",$AJ31,$AH31)+IF($G$1="鸣金",$AK31*1.5,0))*(1+$AU31)*(1+$AV31)+(($AW31+$AX31)/2*IF($G$1="裂石",$AJ31,$AH31)+IF($G$1="裂石",$AK31*1.5,0))*(1+$AY31)*(1+$AZ31)+(($BA31+$BB31)/2*IF($G$1="牵丝",$AJ31,$AH31)+IF($G$1="牵丝",$AK31*1.5,0))*(1+$BC31)*(1+$BD31)+(($BE31+$BF31)/2*IF($G$1="破竹",$AJ31,$AH31)+IF($G$1="破竹",$AK31*1.5,0))*(1+$BG31)*(1+$BH31))*(1+$AL31)*$P31*(1+IF(VLOOKUP($Q31,武学奇术!$A:$ZZ,30,FALSE)="蓄力技",#REF!,0))*(1+$BQ31)</f>
        <v>0</v>
      </c>
      <c r="O31" s="38">
        <f>((($AN31*$AH31+$AI31)*(1+$AP31)*(1+$AQ31)+($AS31*IF($G$1="鸣金",$AJ31,$AH31)+IF($G$1="鸣金",$AK31*1.5,0))*(1+$AU31)*(1+$AV31)+($AW31*IF($G$1="裂石",$AJ31,$AH31)+IF($G$1="裂石",$AK31*1.5,0))*(1+$AY31)*(1+$AZ31)+($BA31*IF($G$1="牵丝",$AJ31,$AH31)+IF($G$1="牵丝",$AK31*1.5,0))*(1+$BC31)*(1+$BD31)+($BE31*IF($G$1="破竹",$AJ31,$AH31)+IF($G$1="破竹",$AK31*1.5,0))*(1+$BG31)*(1+$BH31))*(1+$AL31))*$P31*(1+IF(VLOOKUP($Q31,武学奇术!$A:$ZZ,30,FALSE)="蓄力技",#REF!,0))*(1+$BQ31)</f>
        <v>0</v>
      </c>
      <c r="P31" s="39">
        <v>1</v>
      </c>
      <c r="Q31" s="40" t="s">
        <v>76</v>
      </c>
      <c r="R31" s="40" t="s">
        <v>76</v>
      </c>
      <c r="S31" s="40" t="s">
        <v>76</v>
      </c>
      <c r="T31" s="40" t="s">
        <v>76</v>
      </c>
      <c r="U31" s="40" t="s">
        <v>76</v>
      </c>
      <c r="V31" s="40" t="s">
        <v>76</v>
      </c>
      <c r="W31" s="40" t="s">
        <v>76</v>
      </c>
      <c r="X31" s="40" t="s">
        <v>76</v>
      </c>
      <c r="Y31" s="40" t="s">
        <v>76</v>
      </c>
      <c r="Z31" s="40" t="s">
        <v>76</v>
      </c>
      <c r="AA31" s="40" t="s">
        <v>76</v>
      </c>
      <c r="AB31" s="40" t="s">
        <v>76</v>
      </c>
      <c r="AC31" s="40" t="s">
        <v>76</v>
      </c>
      <c r="AD31" s="40" t="s">
        <v>76</v>
      </c>
      <c r="AE31" s="40" t="s">
        <v>76</v>
      </c>
      <c r="AF31" s="40" t="s">
        <v>76</v>
      </c>
      <c r="AG31" t="str">
        <f>VLOOKUP($Q31,武学奇术!$A:$ZZ,25,FALSE)</f>
        <v>心法</v>
      </c>
      <c r="AH31" s="26">
        <f>VLOOKUP($Q31,武学奇术!$A:$ZZ,26,FALSE)</f>
        <v>0</v>
      </c>
      <c r="AI31" s="27">
        <f>VLOOKUP($Q31,武学奇术!$A:$ZZ,27,FALSE)*(1+IF(OR($AG31=$F$4,$AG31=$F$5),$B$21,0))</f>
        <v>0</v>
      </c>
      <c r="AJ31" s="26">
        <f>VLOOKUP($Q31,武学奇术!$A:$ZZ,28,FALSE)</f>
        <v>0</v>
      </c>
      <c r="AK31" s="27">
        <f>VLOOKUP($Q31,武学奇术!$A:$ZZ,29,FALSE)*(1+IF(OR($AG31=$F$4,$AG31=$F$5),$B$21,0))</f>
        <v>0</v>
      </c>
      <c r="AL31" s="26" cm="1">
        <f t="array" ref="AL31">$G$3+IFERROR(VLOOKUP($AG31,$F$4:$G$7,2,FALSE),0)+VLOOKUP($Q31,武学奇术!$A:$ZZ,2,FALSE)+SUM(_xlfn.XLOOKUP($R31:$AF31,增益!$A:$A,增益!$B:$B,0))</f>
        <v>0.2642</v>
      </c>
      <c r="AM31" s="26" cm="1">
        <f t="array" ref="AM31">VLOOKUP($Q31,武学奇术!$A:$ZZ,5,FALSE)+SUM(_xlfn.XLOOKUP($R31:$AF31,增益!$A:$A,增益!$E:$E,0))</f>
        <v>0</v>
      </c>
      <c r="AN31" cm="1">
        <f t="array" ref="AN31">$D$10*(1+$AM31)+VLOOKUP($Q31,武学奇术!$A:$ZZ,3,FALSE)+SUM(_xlfn.XLOOKUP($R31:$AF31,增益!$A:$A,增益!$C:$C,0))-$I$2</f>
        <v>3977.2</v>
      </c>
      <c r="AO31" cm="1">
        <f t="array" ref="AO31">$E$10*(1+$AM31)+VLOOKUP($Q31,武学奇术!$A:$ZZ,4,FALSE)+SUM(_xlfn.XLOOKUP($R31:$AF31,增益!$A:$A,增益!$D:$D,0))-$I$2</f>
        <v>3977.2</v>
      </c>
      <c r="AP31" s="32" cm="1">
        <f t="array" ref="AP31">IF($F$10-$I$3+VLOOKUP($Q31,武学奇术!$A:$ZZ,6,FALSE)+SUM(_xlfn.XLOOKUP(R31:AF31,增益!$A:$A,增益!$F:$F,0))&gt;0,($F$10-$I$3+VLOOKUP($Q31,武学奇术!$A:$ZZ,6,FALSE)+SUM(_xlfn.XLOOKUP(R31:AF31,增益!$A:$A,增益!$F:$F,0)))/200,($F$10-$I$3+VLOOKUP($Q31,武学奇术!$A:$ZZ,6,FALSE)+SUM(_xlfn.XLOOKUP(R31:AF31,增益!$A:$A,增益!$F:$F,0)))/100)</f>
        <v>0.294</v>
      </c>
      <c r="AQ31" s="32" cm="1">
        <f t="array" ref="AQ31">$G$10+VLOOKUP($Q31,武学奇术!$A:$ZZ,7,FALSE)+SUM(_xlfn.XLOOKUP(R31:AF31,增益!$A:$A,增益!$G:$G,0))</f>
        <v>0</v>
      </c>
      <c r="AR31" s="26" cm="1">
        <f t="array" ref="AR31">VLOOKUP($Q31,武学奇术!$A:$ZZ,8,FALSE)+SUM(_xlfn.XLOOKUP(R31:AF31,增益!$A:$A,增益!$H:$H,0))</f>
        <v>0</v>
      </c>
      <c r="AS31">
        <f t="shared" si="1"/>
        <v>0</v>
      </c>
      <c r="AT31">
        <f t="shared" si="2"/>
        <v>0</v>
      </c>
      <c r="AU31" s="32" cm="1">
        <f t="array" ref="AU31">IF($F$11-$I$4+VLOOKUP($Q31,武学奇术!$A:$ZZ,9,FALSE)+SUM(_xlfn.XLOOKUP(R31:AF31,增益!$A:$A,增益!$I:$I,0))&gt;0,($F$11-$I$4+VLOOKUP($Q31,武学奇术!$A:$ZZ,9,FALSE)+SUM(_xlfn.XLOOKUP(R31:AF31,增益!$A:$A,增益!$I:$I,0)))/200,($F$11-$I$4+VLOOKUP($Q31,武学奇术!$A:$ZZ,9,FALSE)+SUM(_xlfn.XLOOKUP(R31:AF31,增益!$A:$A,增益!$I:$I,0)))/100)</f>
        <v>-0.3</v>
      </c>
      <c r="AV31" s="32" cm="1">
        <f t="array" ref="AV31">$G$11+VLOOKUP($Q31,武学奇术!$A:$ZZ,10,FALSE)+SUM(_xlfn.XLOOKUP(R31:AF31,增益!$A:$A,增益!$J:$J,0))</f>
        <v>0</v>
      </c>
      <c r="AW31">
        <f t="shared" si="3"/>
        <v>0</v>
      </c>
      <c r="AX31">
        <f t="shared" si="4"/>
        <v>0</v>
      </c>
      <c r="AY31" s="32" cm="1">
        <f t="array" ref="AY31">IF($F$12-$I$4+VLOOKUP($Q31,武学奇术!$A:$ZZ,11,FALSE)+SUM(_xlfn.XLOOKUP(R31:AF31,增益!$A:$A,增益!$K:$K,0))&gt;0,($F$12-$I$4+VLOOKUP($Q31,武学奇术!$A:$ZZ,11,FALSE)+SUM(_xlfn.XLOOKUP(R31:AF31,增益!$A:$A,增益!$K:$K,0)))/200,($F$12-$I$4+VLOOKUP($Q31,武学奇术!$A:$ZZ,11,FALSE)+SUM(_xlfn.XLOOKUP(R31:AF31,增益!$A:$A,增益!$K:$K,0)))/100)</f>
        <v>-0.3</v>
      </c>
      <c r="AZ31" s="32" cm="1">
        <f t="array" ref="AZ31">$G$12+VLOOKUP($Q31,武学奇术!$A:$ZZ,12,FALSE)+SUM(_xlfn.XLOOKUP(R31:AF31,增益!$A:$A,增益!$L:$L,0))</f>
        <v>0</v>
      </c>
      <c r="BA31">
        <f t="shared" si="5"/>
        <v>697.4</v>
      </c>
      <c r="BB31">
        <f t="shared" si="6"/>
        <v>1805</v>
      </c>
      <c r="BC31" s="32" cm="1">
        <f t="array" ref="BC31">IF($F$13-$I$4+VLOOKUP($Q31,武学奇术!$A:$ZZ,13,FALSE)+SUM(_xlfn.XLOOKUP(R31:AF31,增益!$A:$A,增益!$M:$M,0))&gt;0,($F$13-$I$4+VLOOKUP($Q31,武学奇术!$A:$ZZ,13,FALSE)+SUM(_xlfn.XLOOKUP(R31:AF31,增益!$A:$A,增益!$K:$K,0)))/200,($F$13-$I$4+VLOOKUP($Q31,武学奇术!$A:$ZZ,13,FALSE)+SUM(_xlfn.XLOOKUP(R31:AF31,增益!$A:$A,增益!$M:$M,0)))/100)</f>
        <v>0</v>
      </c>
      <c r="BD31" s="32" cm="1">
        <f t="array" ref="BD31">$G$13+VLOOKUP($Q31,武学奇术!$A:$ZZ,14,FALSE)+SUM(_xlfn.XLOOKUP(R31:AF31,增益!$A:$A,增益!$N:$N,0))</f>
        <v>0.15</v>
      </c>
      <c r="BE31">
        <f t="shared" si="7"/>
        <v>0</v>
      </c>
      <c r="BF31">
        <f t="shared" si="8"/>
        <v>0</v>
      </c>
      <c r="BG31" s="32" cm="1">
        <f t="array" ref="BG31">IF($F$14-$I$4+VLOOKUP($Q31,武学奇术!$A:$ZZ,15,FALSE)+SUM(_xlfn.XLOOKUP(R31:AF31,增益!$A:$A,增益!$O:$O,0))&gt;0,($F$14-$I$4+VLOOKUP($Q31,武学奇术!$A:$ZZ,15,FALSE)+SUM(_xlfn.XLOOKUP(R31:AF31,增益!$A:$A,增益!$O:$O,0)))/200,($F$14-$I$4+VLOOKUP($Q31,武学奇术!$A:$ZZ,15,FALSE)+SUM(_xlfn.XLOOKUP(R31:AF31,增益!$A:$A,增益!$O:$O,0)))/100)</f>
        <v>-0.3</v>
      </c>
      <c r="BH31" s="32" cm="1">
        <f t="array" ref="BH31">$G$14+VLOOKUP($Q31,武学奇术!$A:$ZZ,16,FALSE)+SUM(_xlfn.XLOOKUP(R31:AF31,增益!$A:$A,增益!$P:$P,0))</f>
        <v>0</v>
      </c>
      <c r="BI31" s="26">
        <f>MIN(IF(VLOOKUP($Q31,武学奇术!$A:$ZZ,23,FALSE)=1,100%,$B$8),100%)</f>
        <v>1</v>
      </c>
      <c r="BJ31" s="26" cm="1">
        <f t="array" ref="BJ31">IF(VLOOKUP($Q31,武学奇术!$A:$ZZ,23,FALSE)=1,100%,MIN(80%,$B$9+VLOOKUP($Q31,武学奇术!$A:$ZZ,17,FALSE)+SUM(_xlfn.XLOOKUP(R31:AF31,增益!$A:$A,增益!$Q:$Q,0)))+$B$11+SUM(_xlfn.XLOOKUP(R31:AF31,增益!$A:$A,增益!$U:$U,0)))*IF(VLOOKUP($Q31,武学奇术!$A:$ZZ,24,FALSE)=1,0,1)</f>
        <v>0.8625</v>
      </c>
      <c r="BK31" s="26" cm="1">
        <f t="array" ref="BK31">1+$B$13+VLOOKUP($Q31,武学奇术!$A:$ZZ,18,FALSE)+SUM(_xlfn.XLOOKUP(R31:AF31,增益!$A:$A,增益!$R:$R,0))</f>
        <v>1.5</v>
      </c>
      <c r="BL31" s="26" cm="1">
        <f t="array" ref="BL31">IF(VLOOKUP($Q31,武学奇术!$A:$ZZ,24,FALSE)=1,100%,MIN(40%,$B$10+VLOOKUP($Q31,武学奇术!$A:$ZZ,19,FALSE)+SUM(_xlfn.XLOOKUP(R31:AF31,增益!$A:$A,增益!$S:$S,0)))+$B$12+SUM(_xlfn.XLOOKUP(R31:AF31,增益!$A:$A,增益!$V:$V,0)))*IF(VLOOKUP($Q31,武学奇术!$A:$ZZ,23,FALSE)=1,0,1)</f>
        <v>0.0913</v>
      </c>
      <c r="BM31" s="26" cm="1">
        <f t="array" ref="BM31">1+$B$14+VLOOKUP($Q31,武学奇术!$A:$ZZ,20,FALSE)+SUM(_xlfn.XLOOKUP(R31:AF31,增益!$A:$A,增益!$T:$T,0))</f>
        <v>1.35</v>
      </c>
      <c r="BN31" s="26">
        <f t="shared" si="11"/>
        <v>0.8625</v>
      </c>
      <c r="BO31" s="26">
        <f t="shared" si="10"/>
        <v>0.0462</v>
      </c>
      <c r="BP31" s="26">
        <f>IF(VLOOKUP($Q31,武学奇术!$A:$ZZ,22,FALSE)=1,0,(1-$BI31))*(1-$BL31)</f>
        <v>0</v>
      </c>
      <c r="BQ31" s="26" cm="1">
        <f t="array" ref="BQ31">SUM(_xlfn.XLOOKUP(R31:AF31,增益!$A:$A,增益!$W:$W,0))+$I$5</f>
        <v>0.06</v>
      </c>
    </row>
    <row r="32" spans="1:69">
      <c r="K32" s="38">
        <f t="shared" si="0"/>
        <v>0</v>
      </c>
      <c r="L32" s="38">
        <f>((($AN32+$AO32)/2*$AH32+$AI32)*(1+$AP32)*(1+$AQ32)+(($AS32+$AT32)/2*IF($G$1="鸣金",$AJ32,$AH32)+IF($G$1="鸣金",$AK32*1.5,0))*(1+$AU32)*(1+$AV32)+(($AW32+$AX32)/2*IF($G$1="裂石",$AJ32,$AH32)+IF($G$1="裂石",$AK32*1.5,0))*(1+$AY32)*(1+$AZ32)+(($BA32+$BB32)/2*IF($G$1="牵丝",$AJ32,$AH32)+IF($G$1="牵丝",$AK32*1.5,0))*(1+$BC32)*(1+$BD32)+(($BE32+$BF32)/2*IF($G$1="破竹",$AJ32,$AH32)+IF($G$1="破竹",$AK32*1.5,0))*(1+$BG32)*(1+$BH32))*(1+$AL32)*$BK32*$P32*(1+IF(VLOOKUP($Q32,武学奇术!$A:$ZZ,30,FALSE)="蓄力技",#REF!,0))*(1+$BQ32)</f>
        <v>0</v>
      </c>
      <c r="M32" s="38">
        <f>(($AO32*$AH32+$AI32)*(1+$AP32)*(1+$AQ32)+($AT32*IF($G$1="鸣金",$AJ32,$AH32)+IF($G$1="鸣金",$AK32*1.5,0))*(1+$AU32)*(1+$AV32)+($AX32*IF($G$1="裂石",$AJ32,$AH32)+IF($G$1="裂石",$AK32*1.5,0))*(1+$AY32)*(1+$AZ32)+($BB32*IF($G$1="牵丝",$AJ32,$AH32)+IF($G$1="牵丝",$AK32*1.5,0))*(1+$BC32)*(1+$BD32)+($BF32*IF($G$1="破竹",$AJ32,$AH32)+IF($G$1="破竹",$AK32*1.5,0))*(1+$BG32)*(1+$BH32))*(1+$AL32)*$BM32*$P32*(1+IF(VLOOKUP($Q32,武学奇术!$A:$ZZ,30,FALSE)="蓄力技",#REF!,0))*(1+$BQ32)</f>
        <v>0</v>
      </c>
      <c r="N32" s="38">
        <f>((($AN32+$AO32)/2*$AH32+$AI32)*(1+$AP32)*(1+$AQ32)+(($AS32+$AT32)/2*IF($G$1="鸣金",$AJ32,$AH32)+IF($G$1="鸣金",$AK32*1.5,0))*(1+$AU32)*(1+$AV32)+(($AW32+$AX32)/2*IF($G$1="裂石",$AJ32,$AH32)+IF($G$1="裂石",$AK32*1.5,0))*(1+$AY32)*(1+$AZ32)+(($BA32+$BB32)/2*IF($G$1="牵丝",$AJ32,$AH32)+IF($G$1="牵丝",$AK32*1.5,0))*(1+$BC32)*(1+$BD32)+(($BE32+$BF32)/2*IF($G$1="破竹",$AJ32,$AH32)+IF($G$1="破竹",$AK32*1.5,0))*(1+$BG32)*(1+$BH32))*(1+$AL32)*$P32*(1+IF(VLOOKUP($Q32,武学奇术!$A:$ZZ,30,FALSE)="蓄力技",#REF!,0))*(1+$BQ32)</f>
        <v>0</v>
      </c>
      <c r="O32" s="38">
        <f>((($AN32*$AH32+$AI32)*(1+$AP32)*(1+$AQ32)+($AS32*IF($G$1="鸣金",$AJ32,$AH32)+IF($G$1="鸣金",$AK32*1.5,0))*(1+$AU32)*(1+$AV32)+($AW32*IF($G$1="裂石",$AJ32,$AH32)+IF($G$1="裂石",$AK32*1.5,0))*(1+$AY32)*(1+$AZ32)+($BA32*IF($G$1="牵丝",$AJ32,$AH32)+IF($G$1="牵丝",$AK32*1.5,0))*(1+$BC32)*(1+$BD32)+($BE32*IF($G$1="破竹",$AJ32,$AH32)+IF($G$1="破竹",$AK32*1.5,0))*(1+$BG32)*(1+$BH32))*(1+$AL32))*$P32*(1+IF(VLOOKUP($Q32,武学奇术!$A:$ZZ,30,FALSE)="蓄力技",#REF!,0))*(1+$BQ32)</f>
        <v>0</v>
      </c>
      <c r="P32" s="39">
        <v>1</v>
      </c>
      <c r="Q32" s="40" t="s">
        <v>76</v>
      </c>
      <c r="R32" s="40" t="s">
        <v>76</v>
      </c>
      <c r="S32" s="40" t="s">
        <v>76</v>
      </c>
      <c r="T32" s="40" t="s">
        <v>76</v>
      </c>
      <c r="U32" s="40" t="s">
        <v>76</v>
      </c>
      <c r="V32" s="40" t="s">
        <v>76</v>
      </c>
      <c r="W32" s="40" t="s">
        <v>76</v>
      </c>
      <c r="X32" s="40" t="s">
        <v>76</v>
      </c>
      <c r="Y32" s="40" t="s">
        <v>76</v>
      </c>
      <c r="Z32" s="40" t="s">
        <v>76</v>
      </c>
      <c r="AA32" s="40" t="s">
        <v>76</v>
      </c>
      <c r="AB32" s="40" t="s">
        <v>76</v>
      </c>
      <c r="AC32" s="40" t="s">
        <v>76</v>
      </c>
      <c r="AD32" s="40" t="s">
        <v>76</v>
      </c>
      <c r="AE32" s="40" t="s">
        <v>76</v>
      </c>
      <c r="AF32" s="40" t="s">
        <v>76</v>
      </c>
      <c r="AG32" t="str">
        <f>VLOOKUP($Q32,武学奇术!$A:$ZZ,25,FALSE)</f>
        <v>心法</v>
      </c>
      <c r="AH32" s="26">
        <f>VLOOKUP($Q32,武学奇术!$A:$ZZ,26,FALSE)</f>
        <v>0</v>
      </c>
      <c r="AI32" s="27">
        <f>VLOOKUP($Q32,武学奇术!$A:$ZZ,27,FALSE)*(1+IF(OR($AG32=$F$4,$AG32=$F$5),$B$21,0))</f>
        <v>0</v>
      </c>
      <c r="AJ32" s="26">
        <f>VLOOKUP($Q32,武学奇术!$A:$ZZ,28,FALSE)</f>
        <v>0</v>
      </c>
      <c r="AK32" s="27">
        <f>VLOOKUP($Q32,武学奇术!$A:$ZZ,29,FALSE)*(1+IF(OR($AG32=$F$4,$AG32=$F$5),$B$21,0))</f>
        <v>0</v>
      </c>
      <c r="AL32" s="26" cm="1">
        <f t="array" ref="AL32">$G$3+IFERROR(VLOOKUP($AG32,$F$4:$G$7,2,FALSE),0)+VLOOKUP($Q32,武学奇术!$A:$ZZ,2,FALSE)+SUM(_xlfn.XLOOKUP($R32:$AF32,增益!$A:$A,增益!$B:$B,0))</f>
        <v>0.2642</v>
      </c>
      <c r="AM32" s="26" cm="1">
        <f t="array" ref="AM32">VLOOKUP($Q32,武学奇术!$A:$ZZ,5,FALSE)+SUM(_xlfn.XLOOKUP($R32:$AF32,增益!$A:$A,增益!$E:$E,0))</f>
        <v>0</v>
      </c>
      <c r="AN32" cm="1">
        <f t="array" ref="AN32">$D$10*(1+$AM32)+VLOOKUP($Q32,武学奇术!$A:$ZZ,3,FALSE)+SUM(_xlfn.XLOOKUP($R32:$AF32,增益!$A:$A,增益!$C:$C,0))-$I$2</f>
        <v>3977.2</v>
      </c>
      <c r="AO32" cm="1">
        <f t="array" ref="AO32">$E$10*(1+$AM32)+VLOOKUP($Q32,武学奇术!$A:$ZZ,4,FALSE)+SUM(_xlfn.XLOOKUP($R32:$AF32,增益!$A:$A,增益!$D:$D,0))-$I$2</f>
        <v>3977.2</v>
      </c>
      <c r="AP32" s="32" cm="1">
        <f t="array" ref="AP32">IF($F$10-$I$3+VLOOKUP($Q32,武学奇术!$A:$ZZ,6,FALSE)+SUM(_xlfn.XLOOKUP(R32:AF32,增益!$A:$A,增益!$F:$F,0))&gt;0,($F$10-$I$3+VLOOKUP($Q32,武学奇术!$A:$ZZ,6,FALSE)+SUM(_xlfn.XLOOKUP(R32:AF32,增益!$A:$A,增益!$F:$F,0)))/200,($F$10-$I$3+VLOOKUP($Q32,武学奇术!$A:$ZZ,6,FALSE)+SUM(_xlfn.XLOOKUP(R32:AF32,增益!$A:$A,增益!$F:$F,0)))/100)</f>
        <v>0.294</v>
      </c>
      <c r="AQ32" s="32" cm="1">
        <f t="array" ref="AQ32">$G$10+VLOOKUP($Q32,武学奇术!$A:$ZZ,7,FALSE)+SUM(_xlfn.XLOOKUP(R32:AF32,增益!$A:$A,增益!$G:$G,0))</f>
        <v>0</v>
      </c>
      <c r="AR32" s="26" cm="1">
        <f t="array" ref="AR32">VLOOKUP($Q32,武学奇术!$A:$ZZ,8,FALSE)+SUM(_xlfn.XLOOKUP(R32:AF32,增益!$A:$A,增益!$H:$H,0))</f>
        <v>0</v>
      </c>
      <c r="AS32">
        <f t="shared" si="1"/>
        <v>0</v>
      </c>
      <c r="AT32">
        <f t="shared" si="2"/>
        <v>0</v>
      </c>
      <c r="AU32" s="32" cm="1">
        <f t="array" ref="AU32">IF($F$11-$I$4+VLOOKUP($Q32,武学奇术!$A:$ZZ,9,FALSE)+SUM(_xlfn.XLOOKUP(R32:AF32,增益!$A:$A,增益!$I:$I,0))&gt;0,($F$11-$I$4+VLOOKUP($Q32,武学奇术!$A:$ZZ,9,FALSE)+SUM(_xlfn.XLOOKUP(R32:AF32,增益!$A:$A,增益!$I:$I,0)))/200,($F$11-$I$4+VLOOKUP($Q32,武学奇术!$A:$ZZ,9,FALSE)+SUM(_xlfn.XLOOKUP(R32:AF32,增益!$A:$A,增益!$I:$I,0)))/100)</f>
        <v>-0.3</v>
      </c>
      <c r="AV32" s="32" cm="1">
        <f t="array" ref="AV32">$G$11+VLOOKUP($Q32,武学奇术!$A:$ZZ,10,FALSE)+SUM(_xlfn.XLOOKUP(R32:AF32,增益!$A:$A,增益!$J:$J,0))</f>
        <v>0</v>
      </c>
      <c r="AW32">
        <f t="shared" si="3"/>
        <v>0</v>
      </c>
      <c r="AX32">
        <f t="shared" si="4"/>
        <v>0</v>
      </c>
      <c r="AY32" s="32" cm="1">
        <f t="array" ref="AY32">IF($F$12-$I$4+VLOOKUP($Q32,武学奇术!$A:$ZZ,11,FALSE)+SUM(_xlfn.XLOOKUP(R32:AF32,增益!$A:$A,增益!$K:$K,0))&gt;0,($F$12-$I$4+VLOOKUP($Q32,武学奇术!$A:$ZZ,11,FALSE)+SUM(_xlfn.XLOOKUP(R32:AF32,增益!$A:$A,增益!$K:$K,0)))/200,($F$12-$I$4+VLOOKUP($Q32,武学奇术!$A:$ZZ,11,FALSE)+SUM(_xlfn.XLOOKUP(R32:AF32,增益!$A:$A,增益!$K:$K,0)))/100)</f>
        <v>-0.3</v>
      </c>
      <c r="AZ32" s="32" cm="1">
        <f t="array" ref="AZ32">$G$12+VLOOKUP($Q32,武学奇术!$A:$ZZ,12,FALSE)+SUM(_xlfn.XLOOKUP(R32:AF32,增益!$A:$A,增益!$L:$L,0))</f>
        <v>0</v>
      </c>
      <c r="BA32">
        <f t="shared" si="5"/>
        <v>697.4</v>
      </c>
      <c r="BB32">
        <f t="shared" si="6"/>
        <v>1805</v>
      </c>
      <c r="BC32" s="32" cm="1">
        <f t="array" ref="BC32">IF($F$13-$I$4+VLOOKUP($Q32,武学奇术!$A:$ZZ,13,FALSE)+SUM(_xlfn.XLOOKUP(R32:AF32,增益!$A:$A,增益!$M:$M,0))&gt;0,($F$13-$I$4+VLOOKUP($Q32,武学奇术!$A:$ZZ,13,FALSE)+SUM(_xlfn.XLOOKUP(R32:AF32,增益!$A:$A,增益!$K:$K,0)))/200,($F$13-$I$4+VLOOKUP($Q32,武学奇术!$A:$ZZ,13,FALSE)+SUM(_xlfn.XLOOKUP(R32:AF32,增益!$A:$A,增益!$M:$M,0)))/100)</f>
        <v>0</v>
      </c>
      <c r="BD32" s="32" cm="1">
        <f t="array" ref="BD32">$G$13+VLOOKUP($Q32,武学奇术!$A:$ZZ,14,FALSE)+SUM(_xlfn.XLOOKUP(R32:AF32,增益!$A:$A,增益!$N:$N,0))</f>
        <v>0.15</v>
      </c>
      <c r="BE32">
        <f t="shared" si="7"/>
        <v>0</v>
      </c>
      <c r="BF32">
        <f t="shared" si="8"/>
        <v>0</v>
      </c>
      <c r="BG32" s="32" cm="1">
        <f t="array" ref="BG32">IF($F$14-$I$4+VLOOKUP($Q32,武学奇术!$A:$ZZ,15,FALSE)+SUM(_xlfn.XLOOKUP(R32:AF32,增益!$A:$A,增益!$O:$O,0))&gt;0,($F$14-$I$4+VLOOKUP($Q32,武学奇术!$A:$ZZ,15,FALSE)+SUM(_xlfn.XLOOKUP(R32:AF32,增益!$A:$A,增益!$O:$O,0)))/200,($F$14-$I$4+VLOOKUP($Q32,武学奇术!$A:$ZZ,15,FALSE)+SUM(_xlfn.XLOOKUP(R32:AF32,增益!$A:$A,增益!$O:$O,0)))/100)</f>
        <v>-0.3</v>
      </c>
      <c r="BH32" s="32" cm="1">
        <f t="array" ref="BH32">$G$14+VLOOKUP($Q32,武学奇术!$A:$ZZ,16,FALSE)+SUM(_xlfn.XLOOKUP(R32:AF32,增益!$A:$A,增益!$P:$P,0))</f>
        <v>0</v>
      </c>
      <c r="BI32" s="26">
        <f>MIN(IF(VLOOKUP($Q32,武学奇术!$A:$ZZ,23,FALSE)=1,100%,$B$8),100%)</f>
        <v>1</v>
      </c>
      <c r="BJ32" s="26" cm="1">
        <f t="array" ref="BJ32">IF(VLOOKUP($Q32,武学奇术!$A:$ZZ,23,FALSE)=1,100%,MIN(80%,$B$9+VLOOKUP($Q32,武学奇术!$A:$ZZ,17,FALSE)+SUM(_xlfn.XLOOKUP(R32:AF32,增益!$A:$A,增益!$Q:$Q,0)))+$B$11+SUM(_xlfn.XLOOKUP(R32:AF32,增益!$A:$A,增益!$U:$U,0)))*IF(VLOOKUP($Q32,武学奇术!$A:$ZZ,24,FALSE)=1,0,1)</f>
        <v>0.8625</v>
      </c>
      <c r="BK32" s="26" cm="1">
        <f t="array" ref="BK32">1+$B$13+VLOOKUP($Q32,武学奇术!$A:$ZZ,18,FALSE)+SUM(_xlfn.XLOOKUP(R32:AF32,增益!$A:$A,增益!$R:$R,0))</f>
        <v>1.5</v>
      </c>
      <c r="BL32" s="26" cm="1">
        <f t="array" ref="BL32">IF(VLOOKUP($Q32,武学奇术!$A:$ZZ,24,FALSE)=1,100%,MIN(40%,$B$10+VLOOKUP($Q32,武学奇术!$A:$ZZ,19,FALSE)+SUM(_xlfn.XLOOKUP(R32:AF32,增益!$A:$A,增益!$S:$S,0)))+$B$12+SUM(_xlfn.XLOOKUP(R32:AF32,增益!$A:$A,增益!$V:$V,0)))*IF(VLOOKUP($Q32,武学奇术!$A:$ZZ,23,FALSE)=1,0,1)</f>
        <v>0.0913</v>
      </c>
      <c r="BM32" s="26" cm="1">
        <f t="array" ref="BM32">1+$B$14+VLOOKUP($Q32,武学奇术!$A:$ZZ,20,FALSE)+SUM(_xlfn.XLOOKUP(R32:AF32,增益!$A:$A,增益!$T:$T,0))</f>
        <v>1.35</v>
      </c>
      <c r="BN32" s="26">
        <f t="shared" si="11"/>
        <v>0.8625</v>
      </c>
      <c r="BO32" s="26">
        <f t="shared" si="10"/>
        <v>0.0462</v>
      </c>
      <c r="BP32" s="26">
        <f>IF(VLOOKUP($Q32,武学奇术!$A:$ZZ,22,FALSE)=1,0,(1-$BI32))*(1-$BL32)</f>
        <v>0</v>
      </c>
      <c r="BQ32" s="26" cm="1">
        <f t="array" ref="BQ32">SUM(_xlfn.XLOOKUP(R32:AF32,增益!$A:$A,增益!$W:$W,0))+$I$5</f>
        <v>0.06</v>
      </c>
    </row>
    <row r="33" spans="5:69">
      <c r="K33" s="38">
        <f t="shared" si="0"/>
        <v>0</v>
      </c>
      <c r="L33" s="38">
        <f>((($AN33+$AO33)/2*$AH33+$AI33)*(1+$AP33)*(1+$AQ33)+(($AS33+$AT33)/2*IF($G$1="鸣金",$AJ33,$AH33)+IF($G$1="鸣金",$AK33*1.5,0))*(1+$AU33)*(1+$AV33)+(($AW33+$AX33)/2*IF($G$1="裂石",$AJ33,$AH33)+IF($G$1="裂石",$AK33*1.5,0))*(1+$AY33)*(1+$AZ33)+(($BA33+$BB33)/2*IF($G$1="牵丝",$AJ33,$AH33)+IF($G$1="牵丝",$AK33*1.5,0))*(1+$BC33)*(1+$BD33)+(($BE33+$BF33)/2*IF($G$1="破竹",$AJ33,$AH33)+IF($G$1="破竹",$AK33*1.5,0))*(1+$BG33)*(1+$BH33))*(1+$AL33)*$BK33*$P33*(1+IF(VLOOKUP($Q33,武学奇术!$A:$ZZ,30,FALSE)="蓄力技",#REF!,0))*(1+$BQ33)</f>
        <v>0</v>
      </c>
      <c r="M33" s="38">
        <f>(($AO33*$AH33+$AI33)*(1+$AP33)*(1+$AQ33)+($AT33*IF($G$1="鸣金",$AJ33,$AH33)+IF($G$1="鸣金",$AK33*1.5,0))*(1+$AU33)*(1+$AV33)+($AX33*IF($G$1="裂石",$AJ33,$AH33)+IF($G$1="裂石",$AK33*1.5,0))*(1+$AY33)*(1+$AZ33)+($BB33*IF($G$1="牵丝",$AJ33,$AH33)+IF($G$1="牵丝",$AK33*1.5,0))*(1+$BC33)*(1+$BD33)+($BF33*IF($G$1="破竹",$AJ33,$AH33)+IF($G$1="破竹",$AK33*1.5,0))*(1+$BG33)*(1+$BH33))*(1+$AL33)*$BM33*$P33*(1+IF(VLOOKUP($Q33,武学奇术!$A:$ZZ,30,FALSE)="蓄力技",#REF!,0))*(1+$BQ33)</f>
        <v>0</v>
      </c>
      <c r="N33" s="38">
        <f>((($AN33+$AO33)/2*$AH33+$AI33)*(1+$AP33)*(1+$AQ33)+(($AS33+$AT33)/2*IF($G$1="鸣金",$AJ33,$AH33)+IF($G$1="鸣金",$AK33*1.5,0))*(1+$AU33)*(1+$AV33)+(($AW33+$AX33)/2*IF($G$1="裂石",$AJ33,$AH33)+IF($G$1="裂石",$AK33*1.5,0))*(1+$AY33)*(1+$AZ33)+(($BA33+$BB33)/2*IF($G$1="牵丝",$AJ33,$AH33)+IF($G$1="牵丝",$AK33*1.5,0))*(1+$BC33)*(1+$BD33)+(($BE33+$BF33)/2*IF($G$1="破竹",$AJ33,$AH33)+IF($G$1="破竹",$AK33*1.5,0))*(1+$BG33)*(1+$BH33))*(1+$AL33)*$P33*(1+IF(VLOOKUP($Q33,武学奇术!$A:$ZZ,30,FALSE)="蓄力技",#REF!,0))*(1+$BQ33)</f>
        <v>0</v>
      </c>
      <c r="O33" s="38">
        <f>((($AN33*$AH33+$AI33)*(1+$AP33)*(1+$AQ33)+($AS33*IF($G$1="鸣金",$AJ33,$AH33)+IF($G$1="鸣金",$AK33*1.5,0))*(1+$AU33)*(1+$AV33)+($AW33*IF($G$1="裂石",$AJ33,$AH33)+IF($G$1="裂石",$AK33*1.5,0))*(1+$AY33)*(1+$AZ33)+($BA33*IF($G$1="牵丝",$AJ33,$AH33)+IF($G$1="牵丝",$AK33*1.5,0))*(1+$BC33)*(1+$BD33)+($BE33*IF($G$1="破竹",$AJ33,$AH33)+IF($G$1="破竹",$AK33*1.5,0))*(1+$BG33)*(1+$BH33))*(1+$AL33))*$P33*(1+IF(VLOOKUP($Q33,武学奇术!$A:$ZZ,30,FALSE)="蓄力技",#REF!,0))*(1+$BQ33)</f>
        <v>0</v>
      </c>
      <c r="P33" s="39">
        <v>1</v>
      </c>
      <c r="Q33" s="40" t="s">
        <v>76</v>
      </c>
      <c r="R33" s="40" t="s">
        <v>76</v>
      </c>
      <c r="S33" s="40" t="s">
        <v>76</v>
      </c>
      <c r="T33" s="40" t="s">
        <v>76</v>
      </c>
      <c r="U33" s="40" t="s">
        <v>76</v>
      </c>
      <c r="V33" s="40" t="s">
        <v>76</v>
      </c>
      <c r="W33" s="40" t="s">
        <v>76</v>
      </c>
      <c r="X33" s="40" t="s">
        <v>76</v>
      </c>
      <c r="Y33" s="40" t="s">
        <v>76</v>
      </c>
      <c r="Z33" s="40" t="s">
        <v>76</v>
      </c>
      <c r="AA33" s="40" t="s">
        <v>76</v>
      </c>
      <c r="AB33" s="40" t="s">
        <v>76</v>
      </c>
      <c r="AC33" s="40" t="s">
        <v>76</v>
      </c>
      <c r="AD33" s="40" t="s">
        <v>76</v>
      </c>
      <c r="AE33" s="40" t="s">
        <v>76</v>
      </c>
      <c r="AF33" s="40" t="s">
        <v>76</v>
      </c>
      <c r="AG33" t="str">
        <f>VLOOKUP($Q33,武学奇术!$A:$ZZ,25,FALSE)</f>
        <v>心法</v>
      </c>
      <c r="AH33" s="26">
        <f>VLOOKUP($Q33,武学奇术!$A:$ZZ,26,FALSE)</f>
        <v>0</v>
      </c>
      <c r="AI33" s="27">
        <f>VLOOKUP($Q33,武学奇术!$A:$ZZ,27,FALSE)*(1+IF(OR($AG33=$F$4,$AG33=$F$5),$B$21,0))</f>
        <v>0</v>
      </c>
      <c r="AJ33" s="26">
        <f>VLOOKUP($Q33,武学奇术!$A:$ZZ,28,FALSE)</f>
        <v>0</v>
      </c>
      <c r="AK33" s="27">
        <f>VLOOKUP($Q33,武学奇术!$A:$ZZ,29,FALSE)*(1+IF(OR($AG33=$F$4,$AG33=$F$5),$B$21,0))</f>
        <v>0</v>
      </c>
      <c r="AL33" s="26" cm="1">
        <f t="array" ref="AL33">$G$3+IFERROR(VLOOKUP($AG33,$F$4:$G$7,2,FALSE),0)+VLOOKUP($Q33,武学奇术!$A:$ZZ,2,FALSE)+SUM(_xlfn.XLOOKUP($R33:$AF33,增益!$A:$A,增益!$B:$B,0))</f>
        <v>0.2642</v>
      </c>
      <c r="AM33" s="26" cm="1">
        <f t="array" ref="AM33">VLOOKUP($Q33,武学奇术!$A:$ZZ,5,FALSE)+SUM(_xlfn.XLOOKUP($R33:$AF33,增益!$A:$A,增益!$E:$E,0))</f>
        <v>0</v>
      </c>
      <c r="AN33" cm="1">
        <f t="array" ref="AN33">$D$10*(1+$AM33)+VLOOKUP($Q33,武学奇术!$A:$ZZ,3,FALSE)+SUM(_xlfn.XLOOKUP($R33:$AF33,增益!$A:$A,增益!$C:$C,0))-$I$2</f>
        <v>3977.2</v>
      </c>
      <c r="AO33" cm="1">
        <f t="array" ref="AO33">$E$10*(1+$AM33)+VLOOKUP($Q33,武学奇术!$A:$ZZ,4,FALSE)+SUM(_xlfn.XLOOKUP($R33:$AF33,增益!$A:$A,增益!$D:$D,0))-$I$2</f>
        <v>3977.2</v>
      </c>
      <c r="AP33" s="32" cm="1">
        <f t="array" ref="AP33">IF($F$10-$I$3+VLOOKUP($Q33,武学奇术!$A:$ZZ,6,FALSE)+SUM(_xlfn.XLOOKUP(R33:AF33,增益!$A:$A,增益!$F:$F,0))&gt;0,($F$10-$I$3+VLOOKUP($Q33,武学奇术!$A:$ZZ,6,FALSE)+SUM(_xlfn.XLOOKUP(R33:AF33,增益!$A:$A,增益!$F:$F,0)))/200,($F$10-$I$3+VLOOKUP($Q33,武学奇术!$A:$ZZ,6,FALSE)+SUM(_xlfn.XLOOKUP(R33:AF33,增益!$A:$A,增益!$F:$F,0)))/100)</f>
        <v>0.294</v>
      </c>
      <c r="AQ33" s="32" cm="1">
        <f t="array" ref="AQ33">$G$10+VLOOKUP($Q33,武学奇术!$A:$ZZ,7,FALSE)+SUM(_xlfn.XLOOKUP(R33:AF33,增益!$A:$A,增益!$G:$G,0))</f>
        <v>0</v>
      </c>
      <c r="AR33" s="26" cm="1">
        <f t="array" ref="AR33">VLOOKUP($Q33,武学奇术!$A:$ZZ,8,FALSE)+SUM(_xlfn.XLOOKUP(R33:AF33,增益!$A:$A,增益!$H:$H,0))</f>
        <v>0</v>
      </c>
      <c r="AS33">
        <f t="shared" si="1"/>
        <v>0</v>
      </c>
      <c r="AT33">
        <f t="shared" si="2"/>
        <v>0</v>
      </c>
      <c r="AU33" s="32" cm="1">
        <f t="array" ref="AU33">IF($F$11-$I$4+VLOOKUP($Q33,武学奇术!$A:$ZZ,9,FALSE)+SUM(_xlfn.XLOOKUP(R33:AF33,增益!$A:$A,增益!$I:$I,0))&gt;0,($F$11-$I$4+VLOOKUP($Q33,武学奇术!$A:$ZZ,9,FALSE)+SUM(_xlfn.XLOOKUP(R33:AF33,增益!$A:$A,增益!$I:$I,0)))/200,($F$11-$I$4+VLOOKUP($Q33,武学奇术!$A:$ZZ,9,FALSE)+SUM(_xlfn.XLOOKUP(R33:AF33,增益!$A:$A,增益!$I:$I,0)))/100)</f>
        <v>-0.3</v>
      </c>
      <c r="AV33" s="32" cm="1">
        <f t="array" ref="AV33">$G$11+VLOOKUP($Q33,武学奇术!$A:$ZZ,10,FALSE)+SUM(_xlfn.XLOOKUP(R33:AF33,增益!$A:$A,增益!$J:$J,0))</f>
        <v>0</v>
      </c>
      <c r="AW33">
        <f t="shared" si="3"/>
        <v>0</v>
      </c>
      <c r="AX33">
        <f t="shared" si="4"/>
        <v>0</v>
      </c>
      <c r="AY33" s="32" cm="1">
        <f t="array" ref="AY33">IF($F$12-$I$4+VLOOKUP($Q33,武学奇术!$A:$ZZ,11,FALSE)+SUM(_xlfn.XLOOKUP(R33:AF33,增益!$A:$A,增益!$K:$K,0))&gt;0,($F$12-$I$4+VLOOKUP($Q33,武学奇术!$A:$ZZ,11,FALSE)+SUM(_xlfn.XLOOKUP(R33:AF33,增益!$A:$A,增益!$K:$K,0)))/200,($F$12-$I$4+VLOOKUP($Q33,武学奇术!$A:$ZZ,11,FALSE)+SUM(_xlfn.XLOOKUP(R33:AF33,增益!$A:$A,增益!$K:$K,0)))/100)</f>
        <v>-0.3</v>
      </c>
      <c r="AZ33" s="32" cm="1">
        <f t="array" ref="AZ33">$G$12+VLOOKUP($Q33,武学奇术!$A:$ZZ,12,FALSE)+SUM(_xlfn.XLOOKUP(R33:AF33,增益!$A:$A,增益!$L:$L,0))</f>
        <v>0</v>
      </c>
      <c r="BA33">
        <f t="shared" si="5"/>
        <v>697.4</v>
      </c>
      <c r="BB33">
        <f t="shared" si="6"/>
        <v>1805</v>
      </c>
      <c r="BC33" s="32" cm="1">
        <f t="array" ref="BC33">IF($F$13-$I$4+VLOOKUP($Q33,武学奇术!$A:$ZZ,13,FALSE)+SUM(_xlfn.XLOOKUP(R33:AF33,增益!$A:$A,增益!$M:$M,0))&gt;0,($F$13-$I$4+VLOOKUP($Q33,武学奇术!$A:$ZZ,13,FALSE)+SUM(_xlfn.XLOOKUP(R33:AF33,增益!$A:$A,增益!$K:$K,0)))/200,($F$13-$I$4+VLOOKUP($Q33,武学奇术!$A:$ZZ,13,FALSE)+SUM(_xlfn.XLOOKUP(R33:AF33,增益!$A:$A,增益!$M:$M,0)))/100)</f>
        <v>0</v>
      </c>
      <c r="BD33" s="32" cm="1">
        <f t="array" ref="BD33">$G$13+VLOOKUP($Q33,武学奇术!$A:$ZZ,14,FALSE)+SUM(_xlfn.XLOOKUP(R33:AF33,增益!$A:$A,增益!$N:$N,0))</f>
        <v>0.15</v>
      </c>
      <c r="BE33">
        <f t="shared" si="7"/>
        <v>0</v>
      </c>
      <c r="BF33">
        <f t="shared" si="8"/>
        <v>0</v>
      </c>
      <c r="BG33" s="32" cm="1">
        <f t="array" ref="BG33">IF($F$14-$I$4+VLOOKUP($Q33,武学奇术!$A:$ZZ,15,FALSE)+SUM(_xlfn.XLOOKUP(R33:AF33,增益!$A:$A,增益!$O:$O,0))&gt;0,($F$14-$I$4+VLOOKUP($Q33,武学奇术!$A:$ZZ,15,FALSE)+SUM(_xlfn.XLOOKUP(R33:AF33,增益!$A:$A,增益!$O:$O,0)))/200,($F$14-$I$4+VLOOKUP($Q33,武学奇术!$A:$ZZ,15,FALSE)+SUM(_xlfn.XLOOKUP(R33:AF33,增益!$A:$A,增益!$O:$O,0)))/100)</f>
        <v>-0.3</v>
      </c>
      <c r="BH33" s="32" cm="1">
        <f t="array" ref="BH33">$G$14+VLOOKUP($Q33,武学奇术!$A:$ZZ,16,FALSE)+SUM(_xlfn.XLOOKUP(R33:AF33,增益!$A:$A,增益!$P:$P,0))</f>
        <v>0</v>
      </c>
      <c r="BI33" s="26">
        <f>MIN(IF(VLOOKUP($Q33,武学奇术!$A:$ZZ,23,FALSE)=1,100%,$B$8),100%)</f>
        <v>1</v>
      </c>
      <c r="BJ33" s="26" cm="1">
        <f t="array" ref="BJ33">IF(VLOOKUP($Q33,武学奇术!$A:$ZZ,23,FALSE)=1,100%,MIN(80%,$B$9+VLOOKUP($Q33,武学奇术!$A:$ZZ,17,FALSE)+SUM(_xlfn.XLOOKUP(R33:AF33,增益!$A:$A,增益!$Q:$Q,0)))+$B$11+SUM(_xlfn.XLOOKUP(R33:AF33,增益!$A:$A,增益!$U:$U,0)))*IF(VLOOKUP($Q33,武学奇术!$A:$ZZ,24,FALSE)=1,0,1)</f>
        <v>0.8625</v>
      </c>
      <c r="BK33" s="26" cm="1">
        <f t="array" ref="BK33">1+$B$13+VLOOKUP($Q33,武学奇术!$A:$ZZ,18,FALSE)+SUM(_xlfn.XLOOKUP(R33:AF33,增益!$A:$A,增益!$R:$R,0))</f>
        <v>1.5</v>
      </c>
      <c r="BL33" s="26" cm="1">
        <f t="array" ref="BL33">IF(VLOOKUP($Q33,武学奇术!$A:$ZZ,24,FALSE)=1,100%,MIN(40%,$B$10+VLOOKUP($Q33,武学奇术!$A:$ZZ,19,FALSE)+SUM(_xlfn.XLOOKUP(R33:AF33,增益!$A:$A,增益!$S:$S,0)))+$B$12+SUM(_xlfn.XLOOKUP(R33:AF33,增益!$A:$A,增益!$V:$V,0)))*IF(VLOOKUP($Q33,武学奇术!$A:$ZZ,23,FALSE)=1,0,1)</f>
        <v>0.0913</v>
      </c>
      <c r="BM33" s="26" cm="1">
        <f t="array" ref="BM33">1+$B$14+VLOOKUP($Q33,武学奇术!$A:$ZZ,20,FALSE)+SUM(_xlfn.XLOOKUP(R33:AF33,增益!$A:$A,增益!$T:$T,0))</f>
        <v>1.35</v>
      </c>
      <c r="BN33" s="26">
        <f t="shared" si="11"/>
        <v>0.8625</v>
      </c>
      <c r="BO33" s="26">
        <f t="shared" si="10"/>
        <v>0.0462</v>
      </c>
      <c r="BP33" s="26">
        <f>IF(VLOOKUP($Q33,武学奇术!$A:$ZZ,22,FALSE)=1,0,(1-$BI33))*(1-$BL33)</f>
        <v>0</v>
      </c>
      <c r="BQ33" s="26" cm="1">
        <f t="array" ref="BQ33">SUM(_xlfn.XLOOKUP(R33:AF33,增益!$A:$A,增益!$W:$W,0))+$I$5</f>
        <v>0.06</v>
      </c>
    </row>
    <row r="34" spans="5:69">
      <c r="K34" s="38">
        <f t="shared" si="0"/>
        <v>0</v>
      </c>
      <c r="L34" s="38">
        <f>((($AN34+$AO34)/2*$AH34+$AI34)*(1+$AP34)*(1+$AQ34)+(($AS34+$AT34)/2*IF($G$1="鸣金",$AJ34,$AH34)+IF($G$1="鸣金",$AK34*1.5,0))*(1+$AU34)*(1+$AV34)+(($AW34+$AX34)/2*IF($G$1="裂石",$AJ34,$AH34)+IF($G$1="裂石",$AK34*1.5,0))*(1+$AY34)*(1+$AZ34)+(($BA34+$BB34)/2*IF($G$1="牵丝",$AJ34,$AH34)+IF($G$1="牵丝",$AK34*1.5,0))*(1+$BC34)*(1+$BD34)+(($BE34+$BF34)/2*IF($G$1="破竹",$AJ34,$AH34)+IF($G$1="破竹",$AK34*1.5,0))*(1+$BG34)*(1+$BH34))*(1+$AL34)*$BK34*$P34*(1+IF(VLOOKUP($Q34,武学奇术!$A:$ZZ,30,FALSE)="蓄力技",#REF!,0))*(1+$BQ34)</f>
        <v>0</v>
      </c>
      <c r="M34" s="38">
        <f>(($AO34*$AH34+$AI34)*(1+$AP34)*(1+$AQ34)+($AT34*IF($G$1="鸣金",$AJ34,$AH34)+IF($G$1="鸣金",$AK34*1.5,0))*(1+$AU34)*(1+$AV34)+($AX34*IF($G$1="裂石",$AJ34,$AH34)+IF($G$1="裂石",$AK34*1.5,0))*(1+$AY34)*(1+$AZ34)+($BB34*IF($G$1="牵丝",$AJ34,$AH34)+IF($G$1="牵丝",$AK34*1.5,0))*(1+$BC34)*(1+$BD34)+($BF34*IF($G$1="破竹",$AJ34,$AH34)+IF($G$1="破竹",$AK34*1.5,0))*(1+$BG34)*(1+$BH34))*(1+$AL34)*$BM34*$P34*(1+IF(VLOOKUP($Q34,武学奇术!$A:$ZZ,30,FALSE)="蓄力技",#REF!,0))*(1+$BQ34)</f>
        <v>0</v>
      </c>
      <c r="N34" s="38">
        <f>((($AN34+$AO34)/2*$AH34+$AI34)*(1+$AP34)*(1+$AQ34)+(($AS34+$AT34)/2*IF($G$1="鸣金",$AJ34,$AH34)+IF($G$1="鸣金",$AK34*1.5,0))*(1+$AU34)*(1+$AV34)+(($AW34+$AX34)/2*IF($G$1="裂石",$AJ34,$AH34)+IF($G$1="裂石",$AK34*1.5,0))*(1+$AY34)*(1+$AZ34)+(($BA34+$BB34)/2*IF($G$1="牵丝",$AJ34,$AH34)+IF($G$1="牵丝",$AK34*1.5,0))*(1+$BC34)*(1+$BD34)+(($BE34+$BF34)/2*IF($G$1="破竹",$AJ34,$AH34)+IF($G$1="破竹",$AK34*1.5,0))*(1+$BG34)*(1+$BH34))*(1+$AL34)*$P34*(1+IF(VLOOKUP($Q34,武学奇术!$A:$ZZ,30,FALSE)="蓄力技",#REF!,0))*(1+$BQ34)</f>
        <v>0</v>
      </c>
      <c r="O34" s="38">
        <f>((($AN34*$AH34+$AI34)*(1+$AP34)*(1+$AQ34)+($AS34*IF($G$1="鸣金",$AJ34,$AH34)+IF($G$1="鸣金",$AK34*1.5,0))*(1+$AU34)*(1+$AV34)+($AW34*IF($G$1="裂石",$AJ34,$AH34)+IF($G$1="裂石",$AK34*1.5,0))*(1+$AY34)*(1+$AZ34)+($BA34*IF($G$1="牵丝",$AJ34,$AH34)+IF($G$1="牵丝",$AK34*1.5,0))*(1+$BC34)*(1+$BD34)+($BE34*IF($G$1="破竹",$AJ34,$AH34)+IF($G$1="破竹",$AK34*1.5,0))*(1+$BG34)*(1+$BH34))*(1+$AL34))*$P34*(1+IF(VLOOKUP($Q34,武学奇术!$A:$ZZ,30,FALSE)="蓄力技",#REF!,0))*(1+$BQ34)</f>
        <v>0</v>
      </c>
      <c r="P34" s="39">
        <v>1</v>
      </c>
      <c r="Q34" s="40" t="s">
        <v>76</v>
      </c>
      <c r="R34" s="40" t="s">
        <v>76</v>
      </c>
      <c r="S34" s="40" t="s">
        <v>76</v>
      </c>
      <c r="T34" s="40" t="s">
        <v>76</v>
      </c>
      <c r="U34" s="40" t="s">
        <v>76</v>
      </c>
      <c r="V34" s="40" t="s">
        <v>76</v>
      </c>
      <c r="W34" s="40" t="s">
        <v>76</v>
      </c>
      <c r="X34" s="40" t="s">
        <v>76</v>
      </c>
      <c r="Y34" s="40" t="s">
        <v>76</v>
      </c>
      <c r="Z34" s="40" t="s">
        <v>76</v>
      </c>
      <c r="AA34" s="40" t="s">
        <v>76</v>
      </c>
      <c r="AB34" s="40" t="s">
        <v>76</v>
      </c>
      <c r="AC34" s="40" t="s">
        <v>76</v>
      </c>
      <c r="AD34" s="40" t="s">
        <v>76</v>
      </c>
      <c r="AE34" s="40" t="s">
        <v>76</v>
      </c>
      <c r="AF34" s="40" t="s">
        <v>76</v>
      </c>
      <c r="AG34" t="str">
        <f>VLOOKUP($Q34,武学奇术!$A:$ZZ,25,FALSE)</f>
        <v>心法</v>
      </c>
      <c r="AH34" s="26">
        <f>VLOOKUP($Q34,武学奇术!$A:$ZZ,26,FALSE)</f>
        <v>0</v>
      </c>
      <c r="AI34" s="27">
        <f>VLOOKUP($Q34,武学奇术!$A:$ZZ,27,FALSE)*(1+IF(OR($AG34=$F$4,$AG34=$F$5),$B$21,0))</f>
        <v>0</v>
      </c>
      <c r="AJ34" s="26">
        <f>VLOOKUP($Q34,武学奇术!$A:$ZZ,28,FALSE)</f>
        <v>0</v>
      </c>
      <c r="AK34" s="27">
        <f>VLOOKUP($Q34,武学奇术!$A:$ZZ,29,FALSE)*(1+IF(OR($AG34=$F$4,$AG34=$F$5),$B$21,0))</f>
        <v>0</v>
      </c>
      <c r="AL34" s="26" cm="1">
        <f t="array" ref="AL34">$G$3+IFERROR(VLOOKUP($AG34,$F$4:$G$7,2,FALSE),0)+VLOOKUP($Q34,武学奇术!$A:$ZZ,2,FALSE)+SUM(_xlfn.XLOOKUP($R34:$AF34,增益!$A:$A,增益!$B:$B,0))</f>
        <v>0.2642</v>
      </c>
      <c r="AM34" s="26" cm="1">
        <f t="array" ref="AM34">VLOOKUP($Q34,武学奇术!$A:$ZZ,5,FALSE)+SUM(_xlfn.XLOOKUP($R34:$AF34,增益!$A:$A,增益!$E:$E,0))</f>
        <v>0</v>
      </c>
      <c r="AN34" cm="1">
        <f t="array" ref="AN34">$D$10*(1+$AM34)+VLOOKUP($Q34,武学奇术!$A:$ZZ,3,FALSE)+SUM(_xlfn.XLOOKUP($R34:$AF34,增益!$A:$A,增益!$C:$C,0))-$I$2</f>
        <v>3977.2</v>
      </c>
      <c r="AO34" cm="1">
        <f t="array" ref="AO34">$E$10*(1+$AM34)+VLOOKUP($Q34,武学奇术!$A:$ZZ,4,FALSE)+SUM(_xlfn.XLOOKUP($R34:$AF34,增益!$A:$A,增益!$D:$D,0))-$I$2</f>
        <v>3977.2</v>
      </c>
      <c r="AP34" s="32" cm="1">
        <f t="array" ref="AP34">IF($F$10-$I$3+VLOOKUP($Q34,武学奇术!$A:$ZZ,6,FALSE)+SUM(_xlfn.XLOOKUP(R34:AF34,增益!$A:$A,增益!$F:$F,0))&gt;0,($F$10-$I$3+VLOOKUP($Q34,武学奇术!$A:$ZZ,6,FALSE)+SUM(_xlfn.XLOOKUP(R34:AF34,增益!$A:$A,增益!$F:$F,0)))/200,($F$10-$I$3+VLOOKUP($Q34,武学奇术!$A:$ZZ,6,FALSE)+SUM(_xlfn.XLOOKUP(R34:AF34,增益!$A:$A,增益!$F:$F,0)))/100)</f>
        <v>0.294</v>
      </c>
      <c r="AQ34" s="32" cm="1">
        <f t="array" ref="AQ34">$G$10+VLOOKUP($Q34,武学奇术!$A:$ZZ,7,FALSE)+SUM(_xlfn.XLOOKUP(R34:AF34,增益!$A:$A,增益!$G:$G,0))</f>
        <v>0</v>
      </c>
      <c r="AR34" s="26" cm="1">
        <f t="array" ref="AR34">VLOOKUP($Q34,武学奇术!$A:$ZZ,8,FALSE)+SUM(_xlfn.XLOOKUP(R34:AF34,增益!$A:$A,增益!$H:$H,0))</f>
        <v>0</v>
      </c>
      <c r="AS34">
        <f t="shared" si="1"/>
        <v>0</v>
      </c>
      <c r="AT34">
        <f t="shared" si="2"/>
        <v>0</v>
      </c>
      <c r="AU34" s="32" cm="1">
        <f t="array" ref="AU34">IF($F$11-$I$4+VLOOKUP($Q34,武学奇术!$A:$ZZ,9,FALSE)+SUM(_xlfn.XLOOKUP(R34:AF34,增益!$A:$A,增益!$I:$I,0))&gt;0,($F$11-$I$4+VLOOKUP($Q34,武学奇术!$A:$ZZ,9,FALSE)+SUM(_xlfn.XLOOKUP(R34:AF34,增益!$A:$A,增益!$I:$I,0)))/200,($F$11-$I$4+VLOOKUP($Q34,武学奇术!$A:$ZZ,9,FALSE)+SUM(_xlfn.XLOOKUP(R34:AF34,增益!$A:$A,增益!$I:$I,0)))/100)</f>
        <v>-0.3</v>
      </c>
      <c r="AV34" s="32" cm="1">
        <f t="array" ref="AV34">$G$11+VLOOKUP($Q34,武学奇术!$A:$ZZ,10,FALSE)+SUM(_xlfn.XLOOKUP(R34:AF34,增益!$A:$A,增益!$J:$J,0))</f>
        <v>0</v>
      </c>
      <c r="AW34">
        <f t="shared" si="3"/>
        <v>0</v>
      </c>
      <c r="AX34">
        <f t="shared" si="4"/>
        <v>0</v>
      </c>
      <c r="AY34" s="32" cm="1">
        <f t="array" ref="AY34">IF($F$12-$I$4+VLOOKUP($Q34,武学奇术!$A:$ZZ,11,FALSE)+SUM(_xlfn.XLOOKUP(R34:AF34,增益!$A:$A,增益!$K:$K,0))&gt;0,($F$12-$I$4+VLOOKUP($Q34,武学奇术!$A:$ZZ,11,FALSE)+SUM(_xlfn.XLOOKUP(R34:AF34,增益!$A:$A,增益!$K:$K,0)))/200,($F$12-$I$4+VLOOKUP($Q34,武学奇术!$A:$ZZ,11,FALSE)+SUM(_xlfn.XLOOKUP(R34:AF34,增益!$A:$A,增益!$K:$K,0)))/100)</f>
        <v>-0.3</v>
      </c>
      <c r="AZ34" s="32" cm="1">
        <f t="array" ref="AZ34">$G$12+VLOOKUP($Q34,武学奇术!$A:$ZZ,12,FALSE)+SUM(_xlfn.XLOOKUP(R34:AF34,增益!$A:$A,增益!$L:$L,0))</f>
        <v>0</v>
      </c>
      <c r="BA34">
        <f t="shared" si="5"/>
        <v>697.4</v>
      </c>
      <c r="BB34">
        <f t="shared" si="6"/>
        <v>1805</v>
      </c>
      <c r="BC34" s="32" cm="1">
        <f t="array" ref="BC34">IF($F$13-$I$4+VLOOKUP($Q34,武学奇术!$A:$ZZ,13,FALSE)+SUM(_xlfn.XLOOKUP(R34:AF34,增益!$A:$A,增益!$M:$M,0))&gt;0,($F$13-$I$4+VLOOKUP($Q34,武学奇术!$A:$ZZ,13,FALSE)+SUM(_xlfn.XLOOKUP(R34:AF34,增益!$A:$A,增益!$K:$K,0)))/200,($F$13-$I$4+VLOOKUP($Q34,武学奇术!$A:$ZZ,13,FALSE)+SUM(_xlfn.XLOOKUP(R34:AF34,增益!$A:$A,增益!$M:$M,0)))/100)</f>
        <v>0</v>
      </c>
      <c r="BD34" s="32" cm="1">
        <f t="array" ref="BD34">$G$13+VLOOKUP($Q34,武学奇术!$A:$ZZ,14,FALSE)+SUM(_xlfn.XLOOKUP(R34:AF34,增益!$A:$A,增益!$N:$N,0))</f>
        <v>0.15</v>
      </c>
      <c r="BE34">
        <f t="shared" si="7"/>
        <v>0</v>
      </c>
      <c r="BF34">
        <f t="shared" si="8"/>
        <v>0</v>
      </c>
      <c r="BG34" s="32" cm="1">
        <f t="array" ref="BG34">IF($F$14-$I$4+VLOOKUP($Q34,武学奇术!$A:$ZZ,15,FALSE)+SUM(_xlfn.XLOOKUP(R34:AF34,增益!$A:$A,增益!$O:$O,0))&gt;0,($F$14-$I$4+VLOOKUP($Q34,武学奇术!$A:$ZZ,15,FALSE)+SUM(_xlfn.XLOOKUP(R34:AF34,增益!$A:$A,增益!$O:$O,0)))/200,($F$14-$I$4+VLOOKUP($Q34,武学奇术!$A:$ZZ,15,FALSE)+SUM(_xlfn.XLOOKUP(R34:AF34,增益!$A:$A,增益!$O:$O,0)))/100)</f>
        <v>-0.3</v>
      </c>
      <c r="BH34" s="32" cm="1">
        <f t="array" ref="BH34">$G$14+VLOOKUP($Q34,武学奇术!$A:$ZZ,16,FALSE)+SUM(_xlfn.XLOOKUP(R34:AF34,增益!$A:$A,增益!$P:$P,0))</f>
        <v>0</v>
      </c>
      <c r="BI34" s="26">
        <f>MIN(IF(VLOOKUP($Q34,武学奇术!$A:$ZZ,23,FALSE)=1,100%,$B$8),100%)</f>
        <v>1</v>
      </c>
      <c r="BJ34" s="26" cm="1">
        <f t="array" ref="BJ34">IF(VLOOKUP($Q34,武学奇术!$A:$ZZ,23,FALSE)=1,100%,MIN(80%,$B$9+VLOOKUP($Q34,武学奇术!$A:$ZZ,17,FALSE)+SUM(_xlfn.XLOOKUP(R34:AF34,增益!$A:$A,增益!$Q:$Q,0)))+$B$11+SUM(_xlfn.XLOOKUP(R34:AF34,增益!$A:$A,增益!$U:$U,0)))*IF(VLOOKUP($Q34,武学奇术!$A:$ZZ,24,FALSE)=1,0,1)</f>
        <v>0.8625</v>
      </c>
      <c r="BK34" s="26" cm="1">
        <f t="array" ref="BK34">1+$B$13+VLOOKUP($Q34,武学奇术!$A:$ZZ,18,FALSE)+SUM(_xlfn.XLOOKUP(R34:AF34,增益!$A:$A,增益!$R:$R,0))</f>
        <v>1.5</v>
      </c>
      <c r="BL34" s="26" cm="1">
        <f t="array" ref="BL34">IF(VLOOKUP($Q34,武学奇术!$A:$ZZ,24,FALSE)=1,100%,MIN(40%,$B$10+VLOOKUP($Q34,武学奇术!$A:$ZZ,19,FALSE)+SUM(_xlfn.XLOOKUP(R34:AF34,增益!$A:$A,增益!$S:$S,0)))+$B$12+SUM(_xlfn.XLOOKUP(R34:AF34,增益!$A:$A,增益!$V:$V,0)))*IF(VLOOKUP($Q34,武学奇术!$A:$ZZ,23,FALSE)=1,0,1)</f>
        <v>0.0913</v>
      </c>
      <c r="BM34" s="26" cm="1">
        <f t="array" ref="BM34">1+$B$14+VLOOKUP($Q34,武学奇术!$A:$ZZ,20,FALSE)+SUM(_xlfn.XLOOKUP(R34:AF34,增益!$A:$A,增益!$T:$T,0))</f>
        <v>1.35</v>
      </c>
      <c r="BN34" s="26">
        <f t="shared" si="11"/>
        <v>0.8625</v>
      </c>
      <c r="BO34" s="26">
        <f t="shared" si="10"/>
        <v>0.0462</v>
      </c>
      <c r="BP34" s="26">
        <f>IF(VLOOKUP($Q34,武学奇术!$A:$ZZ,22,FALSE)=1,0,(1-$BI34))*(1-$BL34)</f>
        <v>0</v>
      </c>
      <c r="BQ34" s="26" cm="1">
        <f t="array" ref="BQ34">SUM(_xlfn.XLOOKUP(R34:AF34,增益!$A:$A,增益!$W:$W,0))+$I$5</f>
        <v>0.06</v>
      </c>
    </row>
    <row r="35" spans="5:69">
      <c r="K35" s="38">
        <f t="shared" ref="K35:K60" si="12">($L35*$BN35+$M35*$BL35+$N35*$BO35+$O35*$BP35)</f>
        <v>0</v>
      </c>
      <c r="L35" s="38">
        <f>((($AN35+$AO35)/2*$AH35+$AI35)*(1+$AP35)*(1+$AQ35)+(($AS35+$AT35)/2*IF($G$1="鸣金",$AJ35,$AH35)+IF($G$1="鸣金",$AK35*1.5,0))*(1+$AU35)*(1+$AV35)+(($AW35+$AX35)/2*IF($G$1="裂石",$AJ35,$AH35)+IF($G$1="裂石",$AK35*1.5,0))*(1+$AY35)*(1+$AZ35)+(($BA35+$BB35)/2*IF($G$1="牵丝",$AJ35,$AH35)+IF($G$1="牵丝",$AK35*1.5,0))*(1+$BC35)*(1+$BD35)+(($BE35+$BF35)/2*IF($G$1="破竹",$AJ35,$AH35)+IF($G$1="破竹",$AK35*1.5,0))*(1+$BG35)*(1+$BH35))*(1+$AL35)*$BK35*$P35*(1+IF(VLOOKUP($Q35,武学奇术!$A:$ZZ,30,FALSE)="蓄力技",#REF!,0))*(1+$BQ35)</f>
        <v>0</v>
      </c>
      <c r="M35" s="38">
        <f>(($AO35*$AH35+$AI35)*(1+$AP35)*(1+$AQ35)+($AT35*IF($G$1="鸣金",$AJ35,$AH35)+IF($G$1="鸣金",$AK35*1.5,0))*(1+$AU35)*(1+$AV35)+($AX35*IF($G$1="裂石",$AJ35,$AH35)+IF($G$1="裂石",$AK35*1.5,0))*(1+$AY35)*(1+$AZ35)+($BB35*IF($G$1="牵丝",$AJ35,$AH35)+IF($G$1="牵丝",$AK35*1.5,0))*(1+$BC35)*(1+$BD35)+($BF35*IF($G$1="破竹",$AJ35,$AH35)+IF($G$1="破竹",$AK35*1.5,0))*(1+$BG35)*(1+$BH35))*(1+$AL35)*$BM35*$P35*(1+IF(VLOOKUP($Q35,武学奇术!$A:$ZZ,30,FALSE)="蓄力技",#REF!,0))*(1+$BQ35)</f>
        <v>0</v>
      </c>
      <c r="N35" s="38">
        <f>((($AN35+$AO35)/2*$AH35+$AI35)*(1+$AP35)*(1+$AQ35)+(($AS35+$AT35)/2*IF($G$1="鸣金",$AJ35,$AH35)+IF($G$1="鸣金",$AK35*1.5,0))*(1+$AU35)*(1+$AV35)+(($AW35+$AX35)/2*IF($G$1="裂石",$AJ35,$AH35)+IF($G$1="裂石",$AK35*1.5,0))*(1+$AY35)*(1+$AZ35)+(($BA35+$BB35)/2*IF($G$1="牵丝",$AJ35,$AH35)+IF($G$1="牵丝",$AK35*1.5,0))*(1+$BC35)*(1+$BD35)+(($BE35+$BF35)/2*IF($G$1="破竹",$AJ35,$AH35)+IF($G$1="破竹",$AK35*1.5,0))*(1+$BG35)*(1+$BH35))*(1+$AL35)*$P35*(1+IF(VLOOKUP($Q35,武学奇术!$A:$ZZ,30,FALSE)="蓄力技",#REF!,0))*(1+$BQ35)</f>
        <v>0</v>
      </c>
      <c r="O35" s="38">
        <f>((($AN35*$AH35+$AI35)*(1+$AP35)*(1+$AQ35)+($AS35*IF($G$1="鸣金",$AJ35,$AH35)+IF($G$1="鸣金",$AK35*1.5,0))*(1+$AU35)*(1+$AV35)+($AW35*IF($G$1="裂石",$AJ35,$AH35)+IF($G$1="裂石",$AK35*1.5,0))*(1+$AY35)*(1+$AZ35)+($BA35*IF($G$1="牵丝",$AJ35,$AH35)+IF($G$1="牵丝",$AK35*1.5,0))*(1+$BC35)*(1+$BD35)+($BE35*IF($G$1="破竹",$AJ35,$AH35)+IF($G$1="破竹",$AK35*1.5,0))*(1+$BG35)*(1+$BH35))*(1+$AL35))*$P35*(1+IF(VLOOKUP($Q35,武学奇术!$A:$ZZ,30,FALSE)="蓄力技",#REF!,0))*(1+$BQ35)</f>
        <v>0</v>
      </c>
      <c r="P35" s="39">
        <v>1</v>
      </c>
      <c r="Q35" s="40" t="s">
        <v>76</v>
      </c>
      <c r="R35" s="40" t="s">
        <v>76</v>
      </c>
      <c r="S35" s="40" t="s">
        <v>76</v>
      </c>
      <c r="T35" s="40" t="s">
        <v>76</v>
      </c>
      <c r="U35" s="40" t="s">
        <v>76</v>
      </c>
      <c r="V35" s="40" t="s">
        <v>76</v>
      </c>
      <c r="W35" s="40" t="s">
        <v>76</v>
      </c>
      <c r="X35" s="40" t="s">
        <v>76</v>
      </c>
      <c r="Y35" s="40" t="s">
        <v>76</v>
      </c>
      <c r="Z35" s="40" t="s">
        <v>76</v>
      </c>
      <c r="AA35" s="40" t="s">
        <v>76</v>
      </c>
      <c r="AB35" s="40" t="s">
        <v>76</v>
      </c>
      <c r="AC35" s="40" t="s">
        <v>76</v>
      </c>
      <c r="AD35" s="40" t="s">
        <v>76</v>
      </c>
      <c r="AE35" s="40" t="s">
        <v>76</v>
      </c>
      <c r="AF35" s="40" t="s">
        <v>76</v>
      </c>
      <c r="AG35" t="str">
        <f>VLOOKUP($Q35,武学奇术!$A:$ZZ,25,FALSE)</f>
        <v>心法</v>
      </c>
      <c r="AH35" s="26">
        <f>VLOOKUP($Q35,武学奇术!$A:$ZZ,26,FALSE)</f>
        <v>0</v>
      </c>
      <c r="AI35" s="27">
        <f>VLOOKUP($Q35,武学奇术!$A:$ZZ,27,FALSE)*(1+IF(OR($AG35=$F$4,$AG35=$F$5),$B$21,0))</f>
        <v>0</v>
      </c>
      <c r="AJ35" s="26">
        <f>VLOOKUP($Q35,武学奇术!$A:$ZZ,28,FALSE)</f>
        <v>0</v>
      </c>
      <c r="AK35" s="27">
        <f>VLOOKUP($Q35,武学奇术!$A:$ZZ,29,FALSE)*(1+IF(OR($AG35=$F$4,$AG35=$F$5),$B$21,0))</f>
        <v>0</v>
      </c>
      <c r="AL35" s="26" cm="1">
        <f t="array" ref="AL35">$G$3+IFERROR(VLOOKUP($AG35,$F$4:$G$7,2,FALSE),0)+VLOOKUP($Q35,武学奇术!$A:$ZZ,2,FALSE)+SUM(_xlfn.XLOOKUP($R35:$AF35,增益!$A:$A,增益!$B:$B,0))</f>
        <v>0.2642</v>
      </c>
      <c r="AM35" s="26" cm="1">
        <f t="array" ref="AM35">VLOOKUP($Q35,武学奇术!$A:$ZZ,5,FALSE)+SUM(_xlfn.XLOOKUP($R35:$AF35,增益!$A:$A,增益!$E:$E,0))</f>
        <v>0</v>
      </c>
      <c r="AN35" cm="1">
        <f t="array" ref="AN35">$D$10*(1+$AM35)+VLOOKUP($Q35,武学奇术!$A:$ZZ,3,FALSE)+SUM(_xlfn.XLOOKUP($R35:$AF35,增益!$A:$A,增益!$C:$C,0))-$I$2</f>
        <v>3977.2</v>
      </c>
      <c r="AO35" cm="1">
        <f t="array" ref="AO35">$E$10*(1+$AM35)+VLOOKUP($Q35,武学奇术!$A:$ZZ,4,FALSE)+SUM(_xlfn.XLOOKUP($R35:$AF35,增益!$A:$A,增益!$D:$D,0))-$I$2</f>
        <v>3977.2</v>
      </c>
      <c r="AP35" s="32" cm="1">
        <f t="array" ref="AP35">IF($F$10-$I$3+VLOOKUP($Q35,武学奇术!$A:$ZZ,6,FALSE)+SUM(_xlfn.XLOOKUP(R35:AF35,增益!$A:$A,增益!$F:$F,0))&gt;0,($F$10-$I$3+VLOOKUP($Q35,武学奇术!$A:$ZZ,6,FALSE)+SUM(_xlfn.XLOOKUP(R35:AF35,增益!$A:$A,增益!$F:$F,0)))/200,($F$10-$I$3+VLOOKUP($Q35,武学奇术!$A:$ZZ,6,FALSE)+SUM(_xlfn.XLOOKUP(R35:AF35,增益!$A:$A,增益!$F:$F,0)))/100)</f>
        <v>0.294</v>
      </c>
      <c r="AQ35" s="32" cm="1">
        <f t="array" ref="AQ35">$G$10+VLOOKUP($Q35,武学奇术!$A:$ZZ,7,FALSE)+SUM(_xlfn.XLOOKUP(R35:AF35,增益!$A:$A,增益!$G:$G,0))</f>
        <v>0</v>
      </c>
      <c r="AR35" s="26" cm="1">
        <f t="array" ref="AR35">VLOOKUP($Q35,武学奇术!$A:$ZZ,8,FALSE)+SUM(_xlfn.XLOOKUP(R35:AF35,增益!$A:$A,增益!$H:$H,0))</f>
        <v>0</v>
      </c>
      <c r="AS35">
        <f t="shared" si="1"/>
        <v>0</v>
      </c>
      <c r="AT35">
        <f t="shared" si="2"/>
        <v>0</v>
      </c>
      <c r="AU35" s="32" cm="1">
        <f t="array" ref="AU35">IF($F$11-$I$4+VLOOKUP($Q35,武学奇术!$A:$ZZ,9,FALSE)+SUM(_xlfn.XLOOKUP(R35:AF35,增益!$A:$A,增益!$I:$I,0))&gt;0,($F$11-$I$4+VLOOKUP($Q35,武学奇术!$A:$ZZ,9,FALSE)+SUM(_xlfn.XLOOKUP(R35:AF35,增益!$A:$A,增益!$I:$I,0)))/200,($F$11-$I$4+VLOOKUP($Q35,武学奇术!$A:$ZZ,9,FALSE)+SUM(_xlfn.XLOOKUP(R35:AF35,增益!$A:$A,增益!$I:$I,0)))/100)</f>
        <v>-0.3</v>
      </c>
      <c r="AV35" s="32" cm="1">
        <f t="array" ref="AV35">$G$11+VLOOKUP($Q35,武学奇术!$A:$ZZ,10,FALSE)+SUM(_xlfn.XLOOKUP(R35:AF35,增益!$A:$A,增益!$J:$J,0))</f>
        <v>0</v>
      </c>
      <c r="AW35">
        <f t="shared" si="3"/>
        <v>0</v>
      </c>
      <c r="AX35">
        <f t="shared" si="4"/>
        <v>0</v>
      </c>
      <c r="AY35" s="32" cm="1">
        <f t="array" ref="AY35">IF($F$12-$I$4+VLOOKUP($Q35,武学奇术!$A:$ZZ,11,FALSE)+SUM(_xlfn.XLOOKUP(R35:AF35,增益!$A:$A,增益!$K:$K,0))&gt;0,($F$12-$I$4+VLOOKUP($Q35,武学奇术!$A:$ZZ,11,FALSE)+SUM(_xlfn.XLOOKUP(R35:AF35,增益!$A:$A,增益!$K:$K,0)))/200,($F$12-$I$4+VLOOKUP($Q35,武学奇术!$A:$ZZ,11,FALSE)+SUM(_xlfn.XLOOKUP(R35:AF35,增益!$A:$A,增益!$K:$K,0)))/100)</f>
        <v>-0.3</v>
      </c>
      <c r="AZ35" s="32" cm="1">
        <f t="array" ref="AZ35">$G$12+VLOOKUP($Q35,武学奇术!$A:$ZZ,12,FALSE)+SUM(_xlfn.XLOOKUP(R35:AF35,增益!$A:$A,增益!$L:$L,0))</f>
        <v>0</v>
      </c>
      <c r="BA35">
        <f t="shared" ref="BA35:BA60" si="13">$D$13*(1+$AR35)</f>
        <v>697.4</v>
      </c>
      <c r="BB35">
        <f t="shared" ref="BB35:BB60" si="14">$E$13*(1+$AR35)</f>
        <v>1805</v>
      </c>
      <c r="BC35" s="32" cm="1">
        <f t="array" ref="BC35">IF($F$13-$I$4+VLOOKUP($Q35,武学奇术!$A:$ZZ,13,FALSE)+SUM(_xlfn.XLOOKUP(R35:AF35,增益!$A:$A,增益!$M:$M,0))&gt;0,($F$13-$I$4+VLOOKUP($Q35,武学奇术!$A:$ZZ,13,FALSE)+SUM(_xlfn.XLOOKUP(R35:AF35,增益!$A:$A,增益!$K:$K,0)))/200,($F$13-$I$4+VLOOKUP($Q35,武学奇术!$A:$ZZ,13,FALSE)+SUM(_xlfn.XLOOKUP(R35:AF35,增益!$A:$A,增益!$M:$M,0)))/100)</f>
        <v>0</v>
      </c>
      <c r="BD35" s="32" cm="1">
        <f t="array" ref="BD35">$G$13+VLOOKUP($Q35,武学奇术!$A:$ZZ,14,FALSE)+SUM(_xlfn.XLOOKUP(R35:AF35,增益!$A:$A,增益!$N:$N,0))</f>
        <v>0.15</v>
      </c>
      <c r="BE35">
        <f t="shared" ref="BE35:BE60" si="15">$D$14*(1+$AR35)</f>
        <v>0</v>
      </c>
      <c r="BF35">
        <f t="shared" ref="BF35:BF60" si="16">$E$14*(1+$AR35)</f>
        <v>0</v>
      </c>
      <c r="BG35" s="32" cm="1">
        <f t="array" ref="BG35">IF($F$14-$I$4+VLOOKUP($Q35,武学奇术!$A:$ZZ,15,FALSE)+SUM(_xlfn.XLOOKUP(R35:AF35,增益!$A:$A,增益!$O:$O,0))&gt;0,($F$14-$I$4+VLOOKUP($Q35,武学奇术!$A:$ZZ,15,FALSE)+SUM(_xlfn.XLOOKUP(R35:AF35,增益!$A:$A,增益!$O:$O,0)))/200,($F$14-$I$4+VLOOKUP($Q35,武学奇术!$A:$ZZ,15,FALSE)+SUM(_xlfn.XLOOKUP(R35:AF35,增益!$A:$A,增益!$O:$O,0)))/100)</f>
        <v>-0.3</v>
      </c>
      <c r="BH35" s="32" cm="1">
        <f t="array" ref="BH35">$G$14+VLOOKUP($Q35,武学奇术!$A:$ZZ,16,FALSE)+SUM(_xlfn.XLOOKUP(R35:AF35,增益!$A:$A,增益!$P:$P,0))</f>
        <v>0</v>
      </c>
      <c r="BI35" s="26">
        <f>MIN(IF(VLOOKUP($Q35,武学奇术!$A:$ZZ,23,FALSE)=1,100%,$B$8),100%)</f>
        <v>1</v>
      </c>
      <c r="BJ35" s="26" cm="1">
        <f t="array" ref="BJ35">IF(VLOOKUP($Q35,武学奇术!$A:$ZZ,23,FALSE)=1,100%,MIN(80%,$B$9+VLOOKUP($Q35,武学奇术!$A:$ZZ,17,FALSE)+SUM(_xlfn.XLOOKUP(R35:AF35,增益!$A:$A,增益!$Q:$Q,0)))+$B$11+SUM(_xlfn.XLOOKUP(R35:AF35,增益!$A:$A,增益!$U:$U,0)))*IF(VLOOKUP($Q35,武学奇术!$A:$ZZ,24,FALSE)=1,0,1)</f>
        <v>0.8625</v>
      </c>
      <c r="BK35" s="26" cm="1">
        <f t="array" ref="BK35">1+$B$13+VLOOKUP($Q35,武学奇术!$A:$ZZ,18,FALSE)+SUM(_xlfn.XLOOKUP(R35:AF35,增益!$A:$A,增益!$R:$R,0))</f>
        <v>1.5</v>
      </c>
      <c r="BL35" s="26" cm="1">
        <f t="array" ref="BL35">IF(VLOOKUP($Q35,武学奇术!$A:$ZZ,24,FALSE)=1,100%,MIN(40%,$B$10+VLOOKUP($Q35,武学奇术!$A:$ZZ,19,FALSE)+SUM(_xlfn.XLOOKUP(R35:AF35,增益!$A:$A,增益!$S:$S,0)))+$B$12+SUM(_xlfn.XLOOKUP(R35:AF35,增益!$A:$A,增益!$V:$V,0)))*IF(VLOOKUP($Q35,武学奇术!$A:$ZZ,23,FALSE)=1,0,1)</f>
        <v>0.0913</v>
      </c>
      <c r="BM35" s="26" cm="1">
        <f t="array" ref="BM35">1+$B$14+VLOOKUP($Q35,武学奇术!$A:$ZZ,20,FALSE)+SUM(_xlfn.XLOOKUP(R35:AF35,增益!$A:$A,增益!$T:$T,0))</f>
        <v>1.35</v>
      </c>
      <c r="BN35" s="26">
        <f t="shared" si="11"/>
        <v>0.8625</v>
      </c>
      <c r="BO35" s="26">
        <f t="shared" ref="BO35:BO66" si="17">1-BL35-BN35-BP35</f>
        <v>0.0462</v>
      </c>
      <c r="BP35" s="26">
        <f>IF(VLOOKUP($Q35,武学奇术!$A:$ZZ,22,FALSE)=1,0,(1-$BI35))*(1-$BL35)</f>
        <v>0</v>
      </c>
      <c r="BQ35" s="26" cm="1">
        <f t="array" ref="BQ35">SUM(_xlfn.XLOOKUP(R35:AF35,增益!$A:$A,增益!$W:$W,0))+$I$5</f>
        <v>0.06</v>
      </c>
    </row>
    <row r="36" spans="5:69">
      <c r="K36" s="38">
        <f t="shared" si="12"/>
        <v>0</v>
      </c>
      <c r="L36" s="38">
        <f>((($AN36+$AO36)/2*$AH36+$AI36)*(1+$AP36)*(1+$AQ36)+(($AS36+$AT36)/2*IF($G$1="鸣金",$AJ36,$AH36)+IF($G$1="鸣金",$AK36*1.5,0))*(1+$AU36)*(1+$AV36)+(($AW36+$AX36)/2*IF($G$1="裂石",$AJ36,$AH36)+IF($G$1="裂石",$AK36*1.5,0))*(1+$AY36)*(1+$AZ36)+(($BA36+$BB36)/2*IF($G$1="牵丝",$AJ36,$AH36)+IF($G$1="牵丝",$AK36*1.5,0))*(1+$BC36)*(1+$BD36)+(($BE36+$BF36)/2*IF($G$1="破竹",$AJ36,$AH36)+IF($G$1="破竹",$AK36*1.5,0))*(1+$BG36)*(1+$BH36))*(1+$AL36)*$BK36*$P36*(1+IF(VLOOKUP($Q36,武学奇术!$A:$ZZ,30,FALSE)="蓄力技",#REF!,0))*(1+$BQ36)</f>
        <v>0</v>
      </c>
      <c r="M36" s="38">
        <f>(($AO36*$AH36+$AI36)*(1+$AP36)*(1+$AQ36)+($AT36*IF($G$1="鸣金",$AJ36,$AH36)+IF($G$1="鸣金",$AK36*1.5,0))*(1+$AU36)*(1+$AV36)+($AX36*IF($G$1="裂石",$AJ36,$AH36)+IF($G$1="裂石",$AK36*1.5,0))*(1+$AY36)*(1+$AZ36)+($BB36*IF($G$1="牵丝",$AJ36,$AH36)+IF($G$1="牵丝",$AK36*1.5,0))*(1+$BC36)*(1+$BD36)+($BF36*IF($G$1="破竹",$AJ36,$AH36)+IF($G$1="破竹",$AK36*1.5,0))*(1+$BG36)*(1+$BH36))*(1+$AL36)*$BM36*$P36*(1+IF(VLOOKUP($Q36,武学奇术!$A:$ZZ,30,FALSE)="蓄力技",#REF!,0))*(1+$BQ36)</f>
        <v>0</v>
      </c>
      <c r="N36" s="38">
        <f>((($AN36+$AO36)/2*$AH36+$AI36)*(1+$AP36)*(1+$AQ36)+(($AS36+$AT36)/2*IF($G$1="鸣金",$AJ36,$AH36)+IF($G$1="鸣金",$AK36*1.5,0))*(1+$AU36)*(1+$AV36)+(($AW36+$AX36)/2*IF($G$1="裂石",$AJ36,$AH36)+IF($G$1="裂石",$AK36*1.5,0))*(1+$AY36)*(1+$AZ36)+(($BA36+$BB36)/2*IF($G$1="牵丝",$AJ36,$AH36)+IF($G$1="牵丝",$AK36*1.5,0))*(1+$BC36)*(1+$BD36)+(($BE36+$BF36)/2*IF($G$1="破竹",$AJ36,$AH36)+IF($G$1="破竹",$AK36*1.5,0))*(1+$BG36)*(1+$BH36))*(1+$AL36)*$P36*(1+IF(VLOOKUP($Q36,武学奇术!$A:$ZZ,30,FALSE)="蓄力技",#REF!,0))*(1+$BQ36)</f>
        <v>0</v>
      </c>
      <c r="O36" s="38">
        <f>((($AN36*$AH36+$AI36)*(1+$AP36)*(1+$AQ36)+($AS36*IF($G$1="鸣金",$AJ36,$AH36)+IF($G$1="鸣金",$AK36*1.5,0))*(1+$AU36)*(1+$AV36)+($AW36*IF($G$1="裂石",$AJ36,$AH36)+IF($G$1="裂石",$AK36*1.5,0))*(1+$AY36)*(1+$AZ36)+($BA36*IF($G$1="牵丝",$AJ36,$AH36)+IF($G$1="牵丝",$AK36*1.5,0))*(1+$BC36)*(1+$BD36)+($BE36*IF($G$1="破竹",$AJ36,$AH36)+IF($G$1="破竹",$AK36*1.5,0))*(1+$BG36)*(1+$BH36))*(1+$AL36))*$P36*(1+IF(VLOOKUP($Q36,武学奇术!$A:$ZZ,30,FALSE)="蓄力技",#REF!,0))*(1+$BQ36)</f>
        <v>0</v>
      </c>
      <c r="P36" s="39">
        <v>1</v>
      </c>
      <c r="Q36" s="40" t="s">
        <v>76</v>
      </c>
      <c r="R36" s="40" t="s">
        <v>76</v>
      </c>
      <c r="S36" s="40" t="s">
        <v>76</v>
      </c>
      <c r="T36" s="40" t="s">
        <v>76</v>
      </c>
      <c r="U36" s="40" t="s">
        <v>76</v>
      </c>
      <c r="V36" s="40" t="s">
        <v>76</v>
      </c>
      <c r="W36" s="40" t="s">
        <v>76</v>
      </c>
      <c r="X36" s="40" t="s">
        <v>76</v>
      </c>
      <c r="Y36" s="40" t="s">
        <v>76</v>
      </c>
      <c r="Z36" s="40" t="s">
        <v>76</v>
      </c>
      <c r="AA36" s="40" t="s">
        <v>76</v>
      </c>
      <c r="AB36" s="40" t="s">
        <v>76</v>
      </c>
      <c r="AC36" s="40" t="s">
        <v>76</v>
      </c>
      <c r="AD36" s="40" t="s">
        <v>76</v>
      </c>
      <c r="AE36" s="40" t="s">
        <v>76</v>
      </c>
      <c r="AF36" s="40" t="s">
        <v>76</v>
      </c>
      <c r="AG36" t="str">
        <f>VLOOKUP($Q36,武学奇术!$A:$ZZ,25,FALSE)</f>
        <v>心法</v>
      </c>
      <c r="AH36" s="26">
        <f>VLOOKUP($Q36,武学奇术!$A:$ZZ,26,FALSE)</f>
        <v>0</v>
      </c>
      <c r="AI36" s="27">
        <f>VLOOKUP($Q36,武学奇术!$A:$ZZ,27,FALSE)*(1+IF(OR($AG36=$F$4,$AG36=$F$5),$B$21,0))</f>
        <v>0</v>
      </c>
      <c r="AJ36" s="26">
        <f>VLOOKUP($Q36,武学奇术!$A:$ZZ,28,FALSE)</f>
        <v>0</v>
      </c>
      <c r="AK36" s="27">
        <f>VLOOKUP($Q36,武学奇术!$A:$ZZ,29,FALSE)*(1+IF(OR($AG36=$F$4,$AG36=$F$5),$B$21,0))</f>
        <v>0</v>
      </c>
      <c r="AL36" s="26" cm="1">
        <f t="array" ref="AL36">$G$3+IFERROR(VLOOKUP($AG36,$F$4:$G$7,2,FALSE),0)+VLOOKUP($Q36,武学奇术!$A:$ZZ,2,FALSE)+SUM(_xlfn.XLOOKUP($R36:$AF36,增益!$A:$A,增益!$B:$B,0))</f>
        <v>0.2642</v>
      </c>
      <c r="AM36" s="26" cm="1">
        <f t="array" ref="AM36">VLOOKUP($Q36,武学奇术!$A:$ZZ,5,FALSE)+SUM(_xlfn.XLOOKUP($R36:$AF36,增益!$A:$A,增益!$E:$E,0))</f>
        <v>0</v>
      </c>
      <c r="AN36" cm="1">
        <f t="array" ref="AN36">$D$10*(1+$AM36)+VLOOKUP($Q36,武学奇术!$A:$ZZ,3,FALSE)+SUM(_xlfn.XLOOKUP($R36:$AF36,增益!$A:$A,增益!$C:$C,0))-$I$2</f>
        <v>3977.2</v>
      </c>
      <c r="AO36" cm="1">
        <f t="array" ref="AO36">$E$10*(1+$AM36)+VLOOKUP($Q36,武学奇术!$A:$ZZ,4,FALSE)+SUM(_xlfn.XLOOKUP($R36:$AF36,增益!$A:$A,增益!$D:$D,0))-$I$2</f>
        <v>3977.2</v>
      </c>
      <c r="AP36" s="32" cm="1">
        <f t="array" ref="AP36">IF($F$10-$I$3+VLOOKUP($Q36,武学奇术!$A:$ZZ,6,FALSE)+SUM(_xlfn.XLOOKUP(R36:AF36,增益!$A:$A,增益!$F:$F,0))&gt;0,($F$10-$I$3+VLOOKUP($Q36,武学奇术!$A:$ZZ,6,FALSE)+SUM(_xlfn.XLOOKUP(R36:AF36,增益!$A:$A,增益!$F:$F,0)))/200,($F$10-$I$3+VLOOKUP($Q36,武学奇术!$A:$ZZ,6,FALSE)+SUM(_xlfn.XLOOKUP(R36:AF36,增益!$A:$A,增益!$F:$F,0)))/100)</f>
        <v>0.294</v>
      </c>
      <c r="AQ36" s="32" cm="1">
        <f t="array" ref="AQ36">$G$10+VLOOKUP($Q36,武学奇术!$A:$ZZ,7,FALSE)+SUM(_xlfn.XLOOKUP(R36:AF36,增益!$A:$A,增益!$G:$G,0))</f>
        <v>0</v>
      </c>
      <c r="AR36" s="26" cm="1">
        <f t="array" ref="AR36">VLOOKUP($Q36,武学奇术!$A:$ZZ,8,FALSE)+SUM(_xlfn.XLOOKUP(R36:AF36,增益!$A:$A,增益!$H:$H,0))</f>
        <v>0</v>
      </c>
      <c r="AS36">
        <f t="shared" si="1"/>
        <v>0</v>
      </c>
      <c r="AT36">
        <f t="shared" si="2"/>
        <v>0</v>
      </c>
      <c r="AU36" s="32" cm="1">
        <f t="array" ref="AU36">IF($F$11-$I$4+VLOOKUP($Q36,武学奇术!$A:$ZZ,9,FALSE)+SUM(_xlfn.XLOOKUP(R36:AF36,增益!$A:$A,增益!$I:$I,0))&gt;0,($F$11-$I$4+VLOOKUP($Q36,武学奇术!$A:$ZZ,9,FALSE)+SUM(_xlfn.XLOOKUP(R36:AF36,增益!$A:$A,增益!$I:$I,0)))/200,($F$11-$I$4+VLOOKUP($Q36,武学奇术!$A:$ZZ,9,FALSE)+SUM(_xlfn.XLOOKUP(R36:AF36,增益!$A:$A,增益!$I:$I,0)))/100)</f>
        <v>-0.3</v>
      </c>
      <c r="AV36" s="32" cm="1">
        <f t="array" ref="AV36">$G$11+VLOOKUP($Q36,武学奇术!$A:$ZZ,10,FALSE)+SUM(_xlfn.XLOOKUP(R36:AF36,增益!$A:$A,增益!$J:$J,0))</f>
        <v>0</v>
      </c>
      <c r="AW36">
        <f t="shared" si="3"/>
        <v>0</v>
      </c>
      <c r="AX36">
        <f t="shared" si="4"/>
        <v>0</v>
      </c>
      <c r="AY36" s="32" cm="1">
        <f t="array" ref="AY36">IF($F$12-$I$4+VLOOKUP($Q36,武学奇术!$A:$ZZ,11,FALSE)+SUM(_xlfn.XLOOKUP(R36:AF36,增益!$A:$A,增益!$K:$K,0))&gt;0,($F$12-$I$4+VLOOKUP($Q36,武学奇术!$A:$ZZ,11,FALSE)+SUM(_xlfn.XLOOKUP(R36:AF36,增益!$A:$A,增益!$K:$K,0)))/200,($F$12-$I$4+VLOOKUP($Q36,武学奇术!$A:$ZZ,11,FALSE)+SUM(_xlfn.XLOOKUP(R36:AF36,增益!$A:$A,增益!$K:$K,0)))/100)</f>
        <v>-0.3</v>
      </c>
      <c r="AZ36" s="32" cm="1">
        <f t="array" ref="AZ36">$G$12+VLOOKUP($Q36,武学奇术!$A:$ZZ,12,FALSE)+SUM(_xlfn.XLOOKUP(R36:AF36,增益!$A:$A,增益!$L:$L,0))</f>
        <v>0</v>
      </c>
      <c r="BA36">
        <f t="shared" si="13"/>
        <v>697.4</v>
      </c>
      <c r="BB36">
        <f t="shared" si="14"/>
        <v>1805</v>
      </c>
      <c r="BC36" s="32" cm="1">
        <f t="array" ref="BC36">IF($F$13-$I$4+VLOOKUP($Q36,武学奇术!$A:$ZZ,13,FALSE)+SUM(_xlfn.XLOOKUP(R36:AF36,增益!$A:$A,增益!$M:$M,0))&gt;0,($F$13-$I$4+VLOOKUP($Q36,武学奇术!$A:$ZZ,13,FALSE)+SUM(_xlfn.XLOOKUP(R36:AF36,增益!$A:$A,增益!$K:$K,0)))/200,($F$13-$I$4+VLOOKUP($Q36,武学奇术!$A:$ZZ,13,FALSE)+SUM(_xlfn.XLOOKUP(R36:AF36,增益!$A:$A,增益!$M:$M,0)))/100)</f>
        <v>0</v>
      </c>
      <c r="BD36" s="32" cm="1">
        <f t="array" ref="BD36">$G$13+VLOOKUP($Q36,武学奇术!$A:$ZZ,14,FALSE)+SUM(_xlfn.XLOOKUP(R36:AF36,增益!$A:$A,增益!$N:$N,0))</f>
        <v>0.15</v>
      </c>
      <c r="BE36">
        <f t="shared" si="15"/>
        <v>0</v>
      </c>
      <c r="BF36">
        <f t="shared" si="16"/>
        <v>0</v>
      </c>
      <c r="BG36" s="32" cm="1">
        <f t="array" ref="BG36">IF($F$14-$I$4+VLOOKUP($Q36,武学奇术!$A:$ZZ,15,FALSE)+SUM(_xlfn.XLOOKUP(R36:AF36,增益!$A:$A,增益!$O:$O,0))&gt;0,($F$14-$I$4+VLOOKUP($Q36,武学奇术!$A:$ZZ,15,FALSE)+SUM(_xlfn.XLOOKUP(R36:AF36,增益!$A:$A,增益!$O:$O,0)))/200,($F$14-$I$4+VLOOKUP($Q36,武学奇术!$A:$ZZ,15,FALSE)+SUM(_xlfn.XLOOKUP(R36:AF36,增益!$A:$A,增益!$O:$O,0)))/100)</f>
        <v>-0.3</v>
      </c>
      <c r="BH36" s="32" cm="1">
        <f t="array" ref="BH36">$G$14+VLOOKUP($Q36,武学奇术!$A:$ZZ,16,FALSE)+SUM(_xlfn.XLOOKUP(R36:AF36,增益!$A:$A,增益!$P:$P,0))</f>
        <v>0</v>
      </c>
      <c r="BI36" s="26">
        <f>MIN(IF(VLOOKUP($Q36,武学奇术!$A:$ZZ,23,FALSE)=1,100%,$B$8),100%)</f>
        <v>1</v>
      </c>
      <c r="BJ36" s="26" cm="1">
        <f t="array" ref="BJ36">IF(VLOOKUP($Q36,武学奇术!$A:$ZZ,23,FALSE)=1,100%,MIN(80%,$B$9+VLOOKUP($Q36,武学奇术!$A:$ZZ,17,FALSE)+SUM(_xlfn.XLOOKUP(R36:AF36,增益!$A:$A,增益!$Q:$Q,0)))+$B$11+SUM(_xlfn.XLOOKUP(R36:AF36,增益!$A:$A,增益!$U:$U,0)))*IF(VLOOKUP($Q36,武学奇术!$A:$ZZ,24,FALSE)=1,0,1)</f>
        <v>0.8625</v>
      </c>
      <c r="BK36" s="26" cm="1">
        <f t="array" ref="BK36">1+$B$13+VLOOKUP($Q36,武学奇术!$A:$ZZ,18,FALSE)+SUM(_xlfn.XLOOKUP(R36:AF36,增益!$A:$A,增益!$R:$R,0))</f>
        <v>1.5</v>
      </c>
      <c r="BL36" s="26" cm="1">
        <f t="array" ref="BL36">IF(VLOOKUP($Q36,武学奇术!$A:$ZZ,24,FALSE)=1,100%,MIN(40%,$B$10+VLOOKUP($Q36,武学奇术!$A:$ZZ,19,FALSE)+SUM(_xlfn.XLOOKUP(R36:AF36,增益!$A:$A,增益!$S:$S,0)))+$B$12+SUM(_xlfn.XLOOKUP(R36:AF36,增益!$A:$A,增益!$V:$V,0)))*IF(VLOOKUP($Q36,武学奇术!$A:$ZZ,23,FALSE)=1,0,1)</f>
        <v>0.0913</v>
      </c>
      <c r="BM36" s="26" cm="1">
        <f t="array" ref="BM36">1+$B$14+VLOOKUP($Q36,武学奇术!$A:$ZZ,20,FALSE)+SUM(_xlfn.XLOOKUP(R36:AF36,增益!$A:$A,增益!$T:$T,0))</f>
        <v>1.35</v>
      </c>
      <c r="BN36" s="26">
        <f t="shared" si="11"/>
        <v>0.8625</v>
      </c>
      <c r="BO36" s="26">
        <f t="shared" si="17"/>
        <v>0.0462</v>
      </c>
      <c r="BP36" s="26">
        <f>IF(VLOOKUP($Q36,武学奇术!$A:$ZZ,22,FALSE)=1,0,(1-$BI36))*(1-$BL36)</f>
        <v>0</v>
      </c>
      <c r="BQ36" s="26" cm="1">
        <f t="array" ref="BQ36">SUM(_xlfn.XLOOKUP(R36:AF36,增益!$A:$A,增益!$W:$W,0))+$I$5</f>
        <v>0.06</v>
      </c>
    </row>
    <row r="37" spans="5:69">
      <c r="K37" s="38">
        <f t="shared" si="12"/>
        <v>0</v>
      </c>
      <c r="L37" s="38">
        <f>((($AN37+$AO37)/2*$AH37+$AI37)*(1+$AP37)*(1+$AQ37)+(($AS37+$AT37)/2*IF($G$1="鸣金",$AJ37,$AH37)+IF($G$1="鸣金",$AK37*1.5,0))*(1+$AU37)*(1+$AV37)+(($AW37+$AX37)/2*IF($G$1="裂石",$AJ37,$AH37)+IF($G$1="裂石",$AK37*1.5,0))*(1+$AY37)*(1+$AZ37)+(($BA37+$BB37)/2*IF($G$1="牵丝",$AJ37,$AH37)+IF($G$1="牵丝",$AK37*1.5,0))*(1+$BC37)*(1+$BD37)+(($BE37+$BF37)/2*IF($G$1="破竹",$AJ37,$AH37)+IF($G$1="破竹",$AK37*1.5,0))*(1+$BG37)*(1+$BH37))*(1+$AL37)*$BK37*$P37*(1+IF(VLOOKUP($Q37,武学奇术!$A:$ZZ,30,FALSE)="蓄力技",#REF!,0))*(1+$BQ37)</f>
        <v>0</v>
      </c>
      <c r="M37" s="38">
        <f>(($AO37*$AH37+$AI37)*(1+$AP37)*(1+$AQ37)+($AT37*IF($G$1="鸣金",$AJ37,$AH37)+IF($G$1="鸣金",$AK37*1.5,0))*(1+$AU37)*(1+$AV37)+($AX37*IF($G$1="裂石",$AJ37,$AH37)+IF($G$1="裂石",$AK37*1.5,0))*(1+$AY37)*(1+$AZ37)+($BB37*IF($G$1="牵丝",$AJ37,$AH37)+IF($G$1="牵丝",$AK37*1.5,0))*(1+$BC37)*(1+$BD37)+($BF37*IF($G$1="破竹",$AJ37,$AH37)+IF($G$1="破竹",$AK37*1.5,0))*(1+$BG37)*(1+$BH37))*(1+$AL37)*$BM37*$P37*(1+IF(VLOOKUP($Q37,武学奇术!$A:$ZZ,30,FALSE)="蓄力技",#REF!,0))*(1+$BQ37)</f>
        <v>0</v>
      </c>
      <c r="N37" s="38">
        <f>((($AN37+$AO37)/2*$AH37+$AI37)*(1+$AP37)*(1+$AQ37)+(($AS37+$AT37)/2*IF($G$1="鸣金",$AJ37,$AH37)+IF($G$1="鸣金",$AK37*1.5,0))*(1+$AU37)*(1+$AV37)+(($AW37+$AX37)/2*IF($G$1="裂石",$AJ37,$AH37)+IF($G$1="裂石",$AK37*1.5,0))*(1+$AY37)*(1+$AZ37)+(($BA37+$BB37)/2*IF($G$1="牵丝",$AJ37,$AH37)+IF($G$1="牵丝",$AK37*1.5,0))*(1+$BC37)*(1+$BD37)+(($BE37+$BF37)/2*IF($G$1="破竹",$AJ37,$AH37)+IF($G$1="破竹",$AK37*1.5,0))*(1+$BG37)*(1+$BH37))*(1+$AL37)*$P37*(1+IF(VLOOKUP($Q37,武学奇术!$A:$ZZ,30,FALSE)="蓄力技",#REF!,0))*(1+$BQ37)</f>
        <v>0</v>
      </c>
      <c r="O37" s="38">
        <f>((($AN37*$AH37+$AI37)*(1+$AP37)*(1+$AQ37)+($AS37*IF($G$1="鸣金",$AJ37,$AH37)+IF($G$1="鸣金",$AK37*1.5,0))*(1+$AU37)*(1+$AV37)+($AW37*IF($G$1="裂石",$AJ37,$AH37)+IF($G$1="裂石",$AK37*1.5,0))*(1+$AY37)*(1+$AZ37)+($BA37*IF($G$1="牵丝",$AJ37,$AH37)+IF($G$1="牵丝",$AK37*1.5,0))*(1+$BC37)*(1+$BD37)+($BE37*IF($G$1="破竹",$AJ37,$AH37)+IF($G$1="破竹",$AK37*1.5,0))*(1+$BG37)*(1+$BH37))*(1+$AL37))*$P37*(1+IF(VLOOKUP($Q37,武学奇术!$A:$ZZ,30,FALSE)="蓄力技",#REF!,0))*(1+$BQ37)</f>
        <v>0</v>
      </c>
      <c r="P37" s="39">
        <v>1</v>
      </c>
      <c r="Q37" s="40" t="s">
        <v>76</v>
      </c>
      <c r="R37" s="40" t="s">
        <v>76</v>
      </c>
      <c r="S37" s="40" t="s">
        <v>76</v>
      </c>
      <c r="T37" s="40" t="s">
        <v>76</v>
      </c>
      <c r="U37" s="40" t="s">
        <v>76</v>
      </c>
      <c r="V37" s="40" t="s">
        <v>76</v>
      </c>
      <c r="W37" s="40" t="s">
        <v>76</v>
      </c>
      <c r="X37" s="40" t="s">
        <v>76</v>
      </c>
      <c r="Y37" s="40" t="s">
        <v>76</v>
      </c>
      <c r="Z37" s="40" t="s">
        <v>76</v>
      </c>
      <c r="AA37" s="40" t="s">
        <v>76</v>
      </c>
      <c r="AB37" s="40" t="s">
        <v>76</v>
      </c>
      <c r="AC37" s="40" t="s">
        <v>76</v>
      </c>
      <c r="AD37" s="40" t="s">
        <v>76</v>
      </c>
      <c r="AE37" s="40" t="s">
        <v>76</v>
      </c>
      <c r="AF37" s="40" t="s">
        <v>76</v>
      </c>
      <c r="AG37" t="str">
        <f>VLOOKUP($Q37,武学奇术!$A:$ZZ,25,FALSE)</f>
        <v>心法</v>
      </c>
      <c r="AH37" s="26">
        <f>VLOOKUP($Q37,武学奇术!$A:$ZZ,26,FALSE)</f>
        <v>0</v>
      </c>
      <c r="AI37" s="27">
        <f>VLOOKUP($Q37,武学奇术!$A:$ZZ,27,FALSE)*(1+IF(OR($AG37=$F$4,$AG37=$F$5),$B$21,0))</f>
        <v>0</v>
      </c>
      <c r="AJ37" s="26">
        <f>VLOOKUP($Q37,武学奇术!$A:$ZZ,28,FALSE)</f>
        <v>0</v>
      </c>
      <c r="AK37" s="27">
        <f>VLOOKUP($Q37,武学奇术!$A:$ZZ,29,FALSE)*(1+IF(OR($AG37=$F$4,$AG37=$F$5),$B$21,0))</f>
        <v>0</v>
      </c>
      <c r="AL37" s="26" cm="1">
        <f t="array" ref="AL37">$G$3+IFERROR(VLOOKUP($AG37,$F$4:$G$7,2,FALSE),0)+VLOOKUP($Q37,武学奇术!$A:$ZZ,2,FALSE)+SUM(_xlfn.XLOOKUP($R37:$AF37,增益!$A:$A,增益!$B:$B,0))</f>
        <v>0.2642</v>
      </c>
      <c r="AM37" s="26" cm="1">
        <f t="array" ref="AM37">VLOOKUP($Q37,武学奇术!$A:$ZZ,5,FALSE)+SUM(_xlfn.XLOOKUP($R37:$AF37,增益!$A:$A,增益!$E:$E,0))</f>
        <v>0</v>
      </c>
      <c r="AN37" cm="1">
        <f t="array" ref="AN37">$D$10*(1+$AM37)+VLOOKUP($Q37,武学奇术!$A:$ZZ,3,FALSE)+SUM(_xlfn.XLOOKUP($R37:$AF37,增益!$A:$A,增益!$C:$C,0))-$I$2</f>
        <v>3977.2</v>
      </c>
      <c r="AO37" cm="1">
        <f t="array" ref="AO37">$E$10*(1+$AM37)+VLOOKUP($Q37,武学奇术!$A:$ZZ,4,FALSE)+SUM(_xlfn.XLOOKUP($R37:$AF37,增益!$A:$A,增益!$D:$D,0))-$I$2</f>
        <v>3977.2</v>
      </c>
      <c r="AP37" s="32" cm="1">
        <f t="array" ref="AP37">IF($F$10-$I$3+VLOOKUP($Q37,武学奇术!$A:$ZZ,6,FALSE)+SUM(_xlfn.XLOOKUP(R37:AF37,增益!$A:$A,增益!$F:$F,0))&gt;0,($F$10-$I$3+VLOOKUP($Q37,武学奇术!$A:$ZZ,6,FALSE)+SUM(_xlfn.XLOOKUP(R37:AF37,增益!$A:$A,增益!$F:$F,0)))/200,($F$10-$I$3+VLOOKUP($Q37,武学奇术!$A:$ZZ,6,FALSE)+SUM(_xlfn.XLOOKUP(R37:AF37,增益!$A:$A,增益!$F:$F,0)))/100)</f>
        <v>0.294</v>
      </c>
      <c r="AQ37" s="32" cm="1">
        <f t="array" ref="AQ37">$G$10+VLOOKUP($Q37,武学奇术!$A:$ZZ,7,FALSE)+SUM(_xlfn.XLOOKUP(R37:AF37,增益!$A:$A,增益!$G:$G,0))</f>
        <v>0</v>
      </c>
      <c r="AR37" s="26" cm="1">
        <f t="array" ref="AR37">VLOOKUP($Q37,武学奇术!$A:$ZZ,8,FALSE)+SUM(_xlfn.XLOOKUP(R37:AF37,增益!$A:$A,增益!$H:$H,0))</f>
        <v>0</v>
      </c>
      <c r="AS37">
        <f t="shared" si="1"/>
        <v>0</v>
      </c>
      <c r="AT37">
        <f t="shared" si="2"/>
        <v>0</v>
      </c>
      <c r="AU37" s="32" cm="1">
        <f t="array" ref="AU37">IF($F$11-$I$4+VLOOKUP($Q37,武学奇术!$A:$ZZ,9,FALSE)+SUM(_xlfn.XLOOKUP(R37:AF37,增益!$A:$A,增益!$I:$I,0))&gt;0,($F$11-$I$4+VLOOKUP($Q37,武学奇术!$A:$ZZ,9,FALSE)+SUM(_xlfn.XLOOKUP(R37:AF37,增益!$A:$A,增益!$I:$I,0)))/200,($F$11-$I$4+VLOOKUP($Q37,武学奇术!$A:$ZZ,9,FALSE)+SUM(_xlfn.XLOOKUP(R37:AF37,增益!$A:$A,增益!$I:$I,0)))/100)</f>
        <v>-0.3</v>
      </c>
      <c r="AV37" s="32" cm="1">
        <f t="array" ref="AV37">$G$11+VLOOKUP($Q37,武学奇术!$A:$ZZ,10,FALSE)+SUM(_xlfn.XLOOKUP(R37:AF37,增益!$A:$A,增益!$J:$J,0))</f>
        <v>0</v>
      </c>
      <c r="AW37">
        <f t="shared" si="3"/>
        <v>0</v>
      </c>
      <c r="AX37">
        <f t="shared" si="4"/>
        <v>0</v>
      </c>
      <c r="AY37" s="32" cm="1">
        <f t="array" ref="AY37">IF($F$12-$I$4+VLOOKUP($Q37,武学奇术!$A:$ZZ,11,FALSE)+SUM(_xlfn.XLOOKUP(R37:AF37,增益!$A:$A,增益!$K:$K,0))&gt;0,($F$12-$I$4+VLOOKUP($Q37,武学奇术!$A:$ZZ,11,FALSE)+SUM(_xlfn.XLOOKUP(R37:AF37,增益!$A:$A,增益!$K:$K,0)))/200,($F$12-$I$4+VLOOKUP($Q37,武学奇术!$A:$ZZ,11,FALSE)+SUM(_xlfn.XLOOKUP(R37:AF37,增益!$A:$A,增益!$K:$K,0)))/100)</f>
        <v>-0.3</v>
      </c>
      <c r="AZ37" s="32" cm="1">
        <f t="array" ref="AZ37">$G$12+VLOOKUP($Q37,武学奇术!$A:$ZZ,12,FALSE)+SUM(_xlfn.XLOOKUP(R37:AF37,增益!$A:$A,增益!$L:$L,0))</f>
        <v>0</v>
      </c>
      <c r="BA37">
        <f t="shared" si="13"/>
        <v>697.4</v>
      </c>
      <c r="BB37">
        <f t="shared" si="14"/>
        <v>1805</v>
      </c>
      <c r="BC37" s="32" cm="1">
        <f t="array" ref="BC37">IF($F$13-$I$4+VLOOKUP($Q37,武学奇术!$A:$ZZ,13,FALSE)+SUM(_xlfn.XLOOKUP(R37:AF37,增益!$A:$A,增益!$M:$M,0))&gt;0,($F$13-$I$4+VLOOKUP($Q37,武学奇术!$A:$ZZ,13,FALSE)+SUM(_xlfn.XLOOKUP(R37:AF37,增益!$A:$A,增益!$K:$K,0)))/200,($F$13-$I$4+VLOOKUP($Q37,武学奇术!$A:$ZZ,13,FALSE)+SUM(_xlfn.XLOOKUP(R37:AF37,增益!$A:$A,增益!$M:$M,0)))/100)</f>
        <v>0</v>
      </c>
      <c r="BD37" s="32" cm="1">
        <f t="array" ref="BD37">$G$13+VLOOKUP($Q37,武学奇术!$A:$ZZ,14,FALSE)+SUM(_xlfn.XLOOKUP(R37:AF37,增益!$A:$A,增益!$N:$N,0))</f>
        <v>0.15</v>
      </c>
      <c r="BE37">
        <f t="shared" si="15"/>
        <v>0</v>
      </c>
      <c r="BF37">
        <f t="shared" si="16"/>
        <v>0</v>
      </c>
      <c r="BG37" s="32" cm="1">
        <f t="array" ref="BG37">IF($F$14-$I$4+VLOOKUP($Q37,武学奇术!$A:$ZZ,15,FALSE)+SUM(_xlfn.XLOOKUP(R37:AF37,增益!$A:$A,增益!$O:$O,0))&gt;0,($F$14-$I$4+VLOOKUP($Q37,武学奇术!$A:$ZZ,15,FALSE)+SUM(_xlfn.XLOOKUP(R37:AF37,增益!$A:$A,增益!$O:$O,0)))/200,($F$14-$I$4+VLOOKUP($Q37,武学奇术!$A:$ZZ,15,FALSE)+SUM(_xlfn.XLOOKUP(R37:AF37,增益!$A:$A,增益!$O:$O,0)))/100)</f>
        <v>-0.3</v>
      </c>
      <c r="BH37" s="32" cm="1">
        <f t="array" ref="BH37">$G$14+VLOOKUP($Q37,武学奇术!$A:$ZZ,16,FALSE)+SUM(_xlfn.XLOOKUP(R37:AF37,增益!$A:$A,增益!$P:$P,0))</f>
        <v>0</v>
      </c>
      <c r="BI37" s="26">
        <f>MIN(IF(VLOOKUP($Q37,武学奇术!$A:$ZZ,23,FALSE)=1,100%,$B$8),100%)</f>
        <v>1</v>
      </c>
      <c r="BJ37" s="26" cm="1">
        <f t="array" ref="BJ37">IF(VLOOKUP($Q37,武学奇术!$A:$ZZ,23,FALSE)=1,100%,MIN(80%,$B$9+VLOOKUP($Q37,武学奇术!$A:$ZZ,17,FALSE)+SUM(_xlfn.XLOOKUP(R37:AF37,增益!$A:$A,增益!$Q:$Q,0)))+$B$11+SUM(_xlfn.XLOOKUP(R37:AF37,增益!$A:$A,增益!$U:$U,0)))*IF(VLOOKUP($Q37,武学奇术!$A:$ZZ,24,FALSE)=1,0,1)</f>
        <v>0.8625</v>
      </c>
      <c r="BK37" s="26" cm="1">
        <f t="array" ref="BK37">1+$B$13+VLOOKUP($Q37,武学奇术!$A:$ZZ,18,FALSE)+SUM(_xlfn.XLOOKUP(R37:AF37,增益!$A:$A,增益!$R:$R,0))</f>
        <v>1.5</v>
      </c>
      <c r="BL37" s="26" cm="1">
        <f t="array" ref="BL37">IF(VLOOKUP($Q37,武学奇术!$A:$ZZ,24,FALSE)=1,100%,MIN(40%,$B$10+VLOOKUP($Q37,武学奇术!$A:$ZZ,19,FALSE)+SUM(_xlfn.XLOOKUP(R37:AF37,增益!$A:$A,增益!$S:$S,0)))+$B$12+SUM(_xlfn.XLOOKUP(R37:AF37,增益!$A:$A,增益!$V:$V,0)))*IF(VLOOKUP($Q37,武学奇术!$A:$ZZ,23,FALSE)=1,0,1)</f>
        <v>0.0913</v>
      </c>
      <c r="BM37" s="26" cm="1">
        <f t="array" ref="BM37">1+$B$14+VLOOKUP($Q37,武学奇术!$A:$ZZ,20,FALSE)+SUM(_xlfn.XLOOKUP(R37:AF37,增益!$A:$A,增益!$T:$T,0))</f>
        <v>1.35</v>
      </c>
      <c r="BN37" s="26">
        <f t="shared" si="11"/>
        <v>0.8625</v>
      </c>
      <c r="BO37" s="26">
        <f t="shared" si="17"/>
        <v>0.0462</v>
      </c>
      <c r="BP37" s="26">
        <f>IF(VLOOKUP($Q37,武学奇术!$A:$ZZ,22,FALSE)=1,0,(1-$BI37))*(1-$BL37)</f>
        <v>0</v>
      </c>
      <c r="BQ37" s="26" cm="1">
        <f t="array" ref="BQ37">SUM(_xlfn.XLOOKUP(R37:AF37,增益!$A:$A,增益!$W:$W,0))+$I$5</f>
        <v>0.06</v>
      </c>
    </row>
    <row r="38" spans="5:69">
      <c r="K38" s="38">
        <f t="shared" si="12"/>
        <v>0</v>
      </c>
      <c r="L38" s="38">
        <f>((($AN38+$AO38)/2*$AH38+$AI38)*(1+$AP38)*(1+$AQ38)+(($AS38+$AT38)/2*IF($G$1="鸣金",$AJ38,$AH38)+IF($G$1="鸣金",$AK38*1.5,0))*(1+$AU38)*(1+$AV38)+(($AW38+$AX38)/2*IF($G$1="裂石",$AJ38,$AH38)+IF($G$1="裂石",$AK38*1.5,0))*(1+$AY38)*(1+$AZ38)+(($BA38+$BB38)/2*IF($G$1="牵丝",$AJ38,$AH38)+IF($G$1="牵丝",$AK38*1.5,0))*(1+$BC38)*(1+$BD38)+(($BE38+$BF38)/2*IF($G$1="破竹",$AJ38,$AH38)+IF($G$1="破竹",$AK38*1.5,0))*(1+$BG38)*(1+$BH38))*(1+$AL38)*$BK38*$P38*(1+IF(VLOOKUP($Q38,武学奇术!$A:$ZZ,30,FALSE)="蓄力技",#REF!,0))*(1+$BQ38)</f>
        <v>0</v>
      </c>
      <c r="M38" s="38">
        <f>(($AO38*$AH38+$AI38)*(1+$AP38)*(1+$AQ38)+($AT38*IF($G$1="鸣金",$AJ38,$AH38)+IF($G$1="鸣金",$AK38*1.5,0))*(1+$AU38)*(1+$AV38)+($AX38*IF($G$1="裂石",$AJ38,$AH38)+IF($G$1="裂石",$AK38*1.5,0))*(1+$AY38)*(1+$AZ38)+($BB38*IF($G$1="牵丝",$AJ38,$AH38)+IF($G$1="牵丝",$AK38*1.5,0))*(1+$BC38)*(1+$BD38)+($BF38*IF($G$1="破竹",$AJ38,$AH38)+IF($G$1="破竹",$AK38*1.5,0))*(1+$BG38)*(1+$BH38))*(1+$AL38)*$BM38*$P38*(1+IF(VLOOKUP($Q38,武学奇术!$A:$ZZ,30,FALSE)="蓄力技",#REF!,0))*(1+$BQ38)</f>
        <v>0</v>
      </c>
      <c r="N38" s="38">
        <f>((($AN38+$AO38)/2*$AH38+$AI38)*(1+$AP38)*(1+$AQ38)+(($AS38+$AT38)/2*IF($G$1="鸣金",$AJ38,$AH38)+IF($G$1="鸣金",$AK38*1.5,0))*(1+$AU38)*(1+$AV38)+(($AW38+$AX38)/2*IF($G$1="裂石",$AJ38,$AH38)+IF($G$1="裂石",$AK38*1.5,0))*(1+$AY38)*(1+$AZ38)+(($BA38+$BB38)/2*IF($G$1="牵丝",$AJ38,$AH38)+IF($G$1="牵丝",$AK38*1.5,0))*(1+$BC38)*(1+$BD38)+(($BE38+$BF38)/2*IF($G$1="破竹",$AJ38,$AH38)+IF($G$1="破竹",$AK38*1.5,0))*(1+$BG38)*(1+$BH38))*(1+$AL38)*$P38*(1+IF(VLOOKUP($Q38,武学奇术!$A:$ZZ,30,FALSE)="蓄力技",#REF!,0))*(1+$BQ38)</f>
        <v>0</v>
      </c>
      <c r="O38" s="38">
        <f>((($AN38*$AH38+$AI38)*(1+$AP38)*(1+$AQ38)+($AS38*IF($G$1="鸣金",$AJ38,$AH38)+IF($G$1="鸣金",$AK38*1.5,0))*(1+$AU38)*(1+$AV38)+($AW38*IF($G$1="裂石",$AJ38,$AH38)+IF($G$1="裂石",$AK38*1.5,0))*(1+$AY38)*(1+$AZ38)+($BA38*IF($G$1="牵丝",$AJ38,$AH38)+IF($G$1="牵丝",$AK38*1.5,0))*(1+$BC38)*(1+$BD38)+($BE38*IF($G$1="破竹",$AJ38,$AH38)+IF($G$1="破竹",$AK38*1.5,0))*(1+$BG38)*(1+$BH38))*(1+$AL38))*$P38*(1+IF(VLOOKUP($Q38,武学奇术!$A:$ZZ,30,FALSE)="蓄力技",#REF!,0))*(1+$BQ38)</f>
        <v>0</v>
      </c>
      <c r="P38" s="39">
        <v>1</v>
      </c>
      <c r="Q38" s="40" t="s">
        <v>76</v>
      </c>
      <c r="R38" s="40" t="s">
        <v>76</v>
      </c>
      <c r="S38" s="40" t="s">
        <v>76</v>
      </c>
      <c r="T38" s="40" t="s">
        <v>76</v>
      </c>
      <c r="U38" s="40" t="s">
        <v>76</v>
      </c>
      <c r="V38" s="40" t="s">
        <v>76</v>
      </c>
      <c r="W38" s="40" t="s">
        <v>76</v>
      </c>
      <c r="X38" s="40" t="s">
        <v>76</v>
      </c>
      <c r="Y38" s="40" t="s">
        <v>76</v>
      </c>
      <c r="Z38" s="40" t="s">
        <v>76</v>
      </c>
      <c r="AA38" s="40" t="s">
        <v>76</v>
      </c>
      <c r="AB38" s="40" t="s">
        <v>76</v>
      </c>
      <c r="AC38" s="40" t="s">
        <v>76</v>
      </c>
      <c r="AD38" s="40" t="s">
        <v>76</v>
      </c>
      <c r="AE38" s="40" t="s">
        <v>76</v>
      </c>
      <c r="AF38" s="40" t="s">
        <v>76</v>
      </c>
      <c r="AG38" t="str">
        <f>VLOOKUP($Q38,武学奇术!$A:$ZZ,25,FALSE)</f>
        <v>心法</v>
      </c>
      <c r="AH38" s="26">
        <f>VLOOKUP($Q38,武学奇术!$A:$ZZ,26,FALSE)</f>
        <v>0</v>
      </c>
      <c r="AI38" s="27">
        <f>VLOOKUP($Q38,武学奇术!$A:$ZZ,27,FALSE)*(1+IF(OR($AG38=$F$4,$AG38=$F$5),$B$21,0))</f>
        <v>0</v>
      </c>
      <c r="AJ38" s="26">
        <f>VLOOKUP($Q38,武学奇术!$A:$ZZ,28,FALSE)</f>
        <v>0</v>
      </c>
      <c r="AK38" s="27">
        <f>VLOOKUP($Q38,武学奇术!$A:$ZZ,29,FALSE)*(1+IF(OR($AG38=$F$4,$AG38=$F$5),$B$21,0))</f>
        <v>0</v>
      </c>
      <c r="AL38" s="26" cm="1">
        <f t="array" ref="AL38">$G$3+IFERROR(VLOOKUP($AG38,$F$4:$G$7,2,FALSE),0)+VLOOKUP($Q38,武学奇术!$A:$ZZ,2,FALSE)+SUM(_xlfn.XLOOKUP($R38:$AF38,增益!$A:$A,增益!$B:$B,0))</f>
        <v>0.2642</v>
      </c>
      <c r="AM38" s="26" cm="1">
        <f t="array" ref="AM38">VLOOKUP($Q38,武学奇术!$A:$ZZ,5,FALSE)+SUM(_xlfn.XLOOKUP($R38:$AF38,增益!$A:$A,增益!$E:$E,0))</f>
        <v>0</v>
      </c>
      <c r="AN38" cm="1">
        <f t="array" ref="AN38">$D$10*(1+$AM38)+VLOOKUP($Q38,武学奇术!$A:$ZZ,3,FALSE)+SUM(_xlfn.XLOOKUP($R38:$AF38,增益!$A:$A,增益!$C:$C,0))-$I$2</f>
        <v>3977.2</v>
      </c>
      <c r="AO38" cm="1">
        <f t="array" ref="AO38">$E$10*(1+$AM38)+VLOOKUP($Q38,武学奇术!$A:$ZZ,4,FALSE)+SUM(_xlfn.XLOOKUP($R38:$AF38,增益!$A:$A,增益!$D:$D,0))-$I$2</f>
        <v>3977.2</v>
      </c>
      <c r="AP38" s="32" cm="1">
        <f t="array" ref="AP38">IF($F$10-$I$3+VLOOKUP($Q38,武学奇术!$A:$ZZ,6,FALSE)+SUM(_xlfn.XLOOKUP(R38:AF38,增益!$A:$A,增益!$F:$F,0))&gt;0,($F$10-$I$3+VLOOKUP($Q38,武学奇术!$A:$ZZ,6,FALSE)+SUM(_xlfn.XLOOKUP(R38:AF38,增益!$A:$A,增益!$F:$F,0)))/200,($F$10-$I$3+VLOOKUP($Q38,武学奇术!$A:$ZZ,6,FALSE)+SUM(_xlfn.XLOOKUP(R38:AF38,增益!$A:$A,增益!$F:$F,0)))/100)</f>
        <v>0.294</v>
      </c>
      <c r="AQ38" s="32" cm="1">
        <f t="array" ref="AQ38">$G$10+VLOOKUP($Q38,武学奇术!$A:$ZZ,7,FALSE)+SUM(_xlfn.XLOOKUP(R38:AF38,增益!$A:$A,增益!$G:$G,0))</f>
        <v>0</v>
      </c>
      <c r="AR38" s="26" cm="1">
        <f t="array" ref="AR38">VLOOKUP($Q38,武学奇术!$A:$ZZ,8,FALSE)+SUM(_xlfn.XLOOKUP(R38:AF38,增益!$A:$A,增益!$H:$H,0))</f>
        <v>0</v>
      </c>
      <c r="AS38">
        <f t="shared" si="1"/>
        <v>0</v>
      </c>
      <c r="AT38">
        <f t="shared" si="2"/>
        <v>0</v>
      </c>
      <c r="AU38" s="32" cm="1">
        <f t="array" ref="AU38">IF($F$11-$I$4+VLOOKUP($Q38,武学奇术!$A:$ZZ,9,FALSE)+SUM(_xlfn.XLOOKUP(R38:AF38,增益!$A:$A,增益!$I:$I,0))&gt;0,($F$11-$I$4+VLOOKUP($Q38,武学奇术!$A:$ZZ,9,FALSE)+SUM(_xlfn.XLOOKUP(R38:AF38,增益!$A:$A,增益!$I:$I,0)))/200,($F$11-$I$4+VLOOKUP($Q38,武学奇术!$A:$ZZ,9,FALSE)+SUM(_xlfn.XLOOKUP(R38:AF38,增益!$A:$A,增益!$I:$I,0)))/100)</f>
        <v>-0.3</v>
      </c>
      <c r="AV38" s="32" cm="1">
        <f t="array" ref="AV38">$G$11+VLOOKUP($Q38,武学奇术!$A:$ZZ,10,FALSE)+SUM(_xlfn.XLOOKUP(R38:AF38,增益!$A:$A,增益!$J:$J,0))</f>
        <v>0</v>
      </c>
      <c r="AW38">
        <f t="shared" si="3"/>
        <v>0</v>
      </c>
      <c r="AX38">
        <f t="shared" si="4"/>
        <v>0</v>
      </c>
      <c r="AY38" s="32" cm="1">
        <f t="array" ref="AY38">IF($F$12-$I$4+VLOOKUP($Q38,武学奇术!$A:$ZZ,11,FALSE)+SUM(_xlfn.XLOOKUP(R38:AF38,增益!$A:$A,增益!$K:$K,0))&gt;0,($F$12-$I$4+VLOOKUP($Q38,武学奇术!$A:$ZZ,11,FALSE)+SUM(_xlfn.XLOOKUP(R38:AF38,增益!$A:$A,增益!$K:$K,0)))/200,($F$12-$I$4+VLOOKUP($Q38,武学奇术!$A:$ZZ,11,FALSE)+SUM(_xlfn.XLOOKUP(R38:AF38,增益!$A:$A,增益!$K:$K,0)))/100)</f>
        <v>-0.3</v>
      </c>
      <c r="AZ38" s="32" cm="1">
        <f t="array" ref="AZ38">$G$12+VLOOKUP($Q38,武学奇术!$A:$ZZ,12,FALSE)+SUM(_xlfn.XLOOKUP(R38:AF38,增益!$A:$A,增益!$L:$L,0))</f>
        <v>0</v>
      </c>
      <c r="BA38">
        <f t="shared" si="13"/>
        <v>697.4</v>
      </c>
      <c r="BB38">
        <f t="shared" si="14"/>
        <v>1805</v>
      </c>
      <c r="BC38" s="32" cm="1">
        <f t="array" ref="BC38">IF($F$13-$I$4+VLOOKUP($Q38,武学奇术!$A:$ZZ,13,FALSE)+SUM(_xlfn.XLOOKUP(R38:AF38,增益!$A:$A,增益!$M:$M,0))&gt;0,($F$13-$I$4+VLOOKUP($Q38,武学奇术!$A:$ZZ,13,FALSE)+SUM(_xlfn.XLOOKUP(R38:AF38,增益!$A:$A,增益!$K:$K,0)))/200,($F$13-$I$4+VLOOKUP($Q38,武学奇术!$A:$ZZ,13,FALSE)+SUM(_xlfn.XLOOKUP(R38:AF38,增益!$A:$A,增益!$M:$M,0)))/100)</f>
        <v>0</v>
      </c>
      <c r="BD38" s="32" cm="1">
        <f t="array" ref="BD38">$G$13+VLOOKUP($Q38,武学奇术!$A:$ZZ,14,FALSE)+SUM(_xlfn.XLOOKUP(R38:AF38,增益!$A:$A,增益!$N:$N,0))</f>
        <v>0.15</v>
      </c>
      <c r="BE38">
        <f t="shared" si="15"/>
        <v>0</v>
      </c>
      <c r="BF38">
        <f t="shared" si="16"/>
        <v>0</v>
      </c>
      <c r="BG38" s="32" cm="1">
        <f t="array" ref="BG38">IF($F$14-$I$4+VLOOKUP($Q38,武学奇术!$A:$ZZ,15,FALSE)+SUM(_xlfn.XLOOKUP(R38:AF38,增益!$A:$A,增益!$O:$O,0))&gt;0,($F$14-$I$4+VLOOKUP($Q38,武学奇术!$A:$ZZ,15,FALSE)+SUM(_xlfn.XLOOKUP(R38:AF38,增益!$A:$A,增益!$O:$O,0)))/200,($F$14-$I$4+VLOOKUP($Q38,武学奇术!$A:$ZZ,15,FALSE)+SUM(_xlfn.XLOOKUP(R38:AF38,增益!$A:$A,增益!$O:$O,0)))/100)</f>
        <v>-0.3</v>
      </c>
      <c r="BH38" s="32" cm="1">
        <f t="array" ref="BH38">$G$14+VLOOKUP($Q38,武学奇术!$A:$ZZ,16,FALSE)+SUM(_xlfn.XLOOKUP(R38:AF38,增益!$A:$A,增益!$P:$P,0))</f>
        <v>0</v>
      </c>
      <c r="BI38" s="26">
        <f>MIN(IF(VLOOKUP($Q38,武学奇术!$A:$ZZ,23,FALSE)=1,100%,$B$8),100%)</f>
        <v>1</v>
      </c>
      <c r="BJ38" s="26" cm="1">
        <f t="array" ref="BJ38">IF(VLOOKUP($Q38,武学奇术!$A:$ZZ,23,FALSE)=1,100%,MIN(80%,$B$9+VLOOKUP($Q38,武学奇术!$A:$ZZ,17,FALSE)+SUM(_xlfn.XLOOKUP(R38:AF38,增益!$A:$A,增益!$Q:$Q,0)))+$B$11+SUM(_xlfn.XLOOKUP(R38:AF38,增益!$A:$A,增益!$U:$U,0)))*IF(VLOOKUP($Q38,武学奇术!$A:$ZZ,24,FALSE)=1,0,1)</f>
        <v>0.8625</v>
      </c>
      <c r="BK38" s="26" cm="1">
        <f t="array" ref="BK38">1+$B$13+VLOOKUP($Q38,武学奇术!$A:$ZZ,18,FALSE)+SUM(_xlfn.XLOOKUP(R38:AF38,增益!$A:$A,增益!$R:$R,0))</f>
        <v>1.5</v>
      </c>
      <c r="BL38" s="26" cm="1">
        <f t="array" ref="BL38">IF(VLOOKUP($Q38,武学奇术!$A:$ZZ,24,FALSE)=1,100%,MIN(40%,$B$10+VLOOKUP($Q38,武学奇术!$A:$ZZ,19,FALSE)+SUM(_xlfn.XLOOKUP(R38:AF38,增益!$A:$A,增益!$S:$S,0)))+$B$12+SUM(_xlfn.XLOOKUP(R38:AF38,增益!$A:$A,增益!$V:$V,0)))*IF(VLOOKUP($Q38,武学奇术!$A:$ZZ,23,FALSE)=1,0,1)</f>
        <v>0.0913</v>
      </c>
      <c r="BM38" s="26" cm="1">
        <f t="array" ref="BM38">1+$B$14+VLOOKUP($Q38,武学奇术!$A:$ZZ,20,FALSE)+SUM(_xlfn.XLOOKUP(R38:AF38,增益!$A:$A,增益!$T:$T,0))</f>
        <v>1.35</v>
      </c>
      <c r="BN38" s="26">
        <f t="shared" si="11"/>
        <v>0.8625</v>
      </c>
      <c r="BO38" s="26">
        <f t="shared" si="17"/>
        <v>0.0462</v>
      </c>
      <c r="BP38" s="26">
        <f>IF(VLOOKUP($Q38,武学奇术!$A:$ZZ,22,FALSE)=1,0,(1-$BI38))*(1-$BL38)</f>
        <v>0</v>
      </c>
      <c r="BQ38" s="26" cm="1">
        <f t="array" ref="BQ38">SUM(_xlfn.XLOOKUP(R38:AF38,增益!$A:$A,增益!$W:$W,0))+$I$5</f>
        <v>0.06</v>
      </c>
    </row>
    <row r="39" spans="5:69">
      <c r="E39" s="4"/>
      <c r="F39" s="4"/>
      <c r="K39" s="38">
        <f t="shared" si="12"/>
        <v>0</v>
      </c>
      <c r="L39" s="38">
        <f>((($AN39+$AO39)/2*$AH39+$AI39)*(1+$AP39)*(1+$AQ39)+(($AS39+$AT39)/2*IF($G$1="鸣金",$AJ39,$AH39)+IF($G$1="鸣金",$AK39*1.5,0))*(1+$AU39)*(1+$AV39)+(($AW39+$AX39)/2*IF($G$1="裂石",$AJ39,$AH39)+IF($G$1="裂石",$AK39*1.5,0))*(1+$AY39)*(1+$AZ39)+(($BA39+$BB39)/2*IF($G$1="牵丝",$AJ39,$AH39)+IF($G$1="牵丝",$AK39*1.5,0))*(1+$BC39)*(1+$BD39)+(($BE39+$BF39)/2*IF($G$1="破竹",$AJ39,$AH39)+IF($G$1="破竹",$AK39*1.5,0))*(1+$BG39)*(1+$BH39))*(1+$AL39)*$BK39*$P39*(1+IF(VLOOKUP($Q39,武学奇术!$A:$ZZ,30,FALSE)="蓄力技",#REF!,0))*(1+$BQ39)</f>
        <v>0</v>
      </c>
      <c r="M39" s="38">
        <f>(($AO39*$AH39+$AI39)*(1+$AP39)*(1+$AQ39)+($AT39*IF($G$1="鸣金",$AJ39,$AH39)+IF($G$1="鸣金",$AK39*1.5,0))*(1+$AU39)*(1+$AV39)+($AX39*IF($G$1="裂石",$AJ39,$AH39)+IF($G$1="裂石",$AK39*1.5,0))*(1+$AY39)*(1+$AZ39)+($BB39*IF($G$1="牵丝",$AJ39,$AH39)+IF($G$1="牵丝",$AK39*1.5,0))*(1+$BC39)*(1+$BD39)+($BF39*IF($G$1="破竹",$AJ39,$AH39)+IF($G$1="破竹",$AK39*1.5,0))*(1+$BG39)*(1+$BH39))*(1+$AL39)*$BM39*$P39*(1+IF(VLOOKUP($Q39,武学奇术!$A:$ZZ,30,FALSE)="蓄力技",#REF!,0))*(1+$BQ39)</f>
        <v>0</v>
      </c>
      <c r="N39" s="38">
        <f>((($AN39+$AO39)/2*$AH39+$AI39)*(1+$AP39)*(1+$AQ39)+(($AS39+$AT39)/2*IF($G$1="鸣金",$AJ39,$AH39)+IF($G$1="鸣金",$AK39*1.5,0))*(1+$AU39)*(1+$AV39)+(($AW39+$AX39)/2*IF($G$1="裂石",$AJ39,$AH39)+IF($G$1="裂石",$AK39*1.5,0))*(1+$AY39)*(1+$AZ39)+(($BA39+$BB39)/2*IF($G$1="牵丝",$AJ39,$AH39)+IF($G$1="牵丝",$AK39*1.5,0))*(1+$BC39)*(1+$BD39)+(($BE39+$BF39)/2*IF($G$1="破竹",$AJ39,$AH39)+IF($G$1="破竹",$AK39*1.5,0))*(1+$BG39)*(1+$BH39))*(1+$AL39)*$P39*(1+IF(VLOOKUP($Q39,武学奇术!$A:$ZZ,30,FALSE)="蓄力技",#REF!,0))*(1+$BQ39)</f>
        <v>0</v>
      </c>
      <c r="O39" s="38">
        <f>((($AN39*$AH39+$AI39)*(1+$AP39)*(1+$AQ39)+($AS39*IF($G$1="鸣金",$AJ39,$AH39)+IF($G$1="鸣金",$AK39*1.5,0))*(1+$AU39)*(1+$AV39)+($AW39*IF($G$1="裂石",$AJ39,$AH39)+IF($G$1="裂石",$AK39*1.5,0))*(1+$AY39)*(1+$AZ39)+($BA39*IF($G$1="牵丝",$AJ39,$AH39)+IF($G$1="牵丝",$AK39*1.5,0))*(1+$BC39)*(1+$BD39)+($BE39*IF($G$1="破竹",$AJ39,$AH39)+IF($G$1="破竹",$AK39*1.5,0))*(1+$BG39)*(1+$BH39))*(1+$AL39))*$P39*(1+IF(VLOOKUP($Q39,武学奇术!$A:$ZZ,30,FALSE)="蓄力技",#REF!,0))*(1+$BQ39)</f>
        <v>0</v>
      </c>
      <c r="P39" s="39">
        <v>1</v>
      </c>
      <c r="Q39" s="40" t="s">
        <v>76</v>
      </c>
      <c r="R39" s="40" t="s">
        <v>76</v>
      </c>
      <c r="S39" s="40" t="s">
        <v>76</v>
      </c>
      <c r="T39" s="40" t="s">
        <v>76</v>
      </c>
      <c r="U39" s="40" t="s">
        <v>76</v>
      </c>
      <c r="V39" s="40" t="s">
        <v>76</v>
      </c>
      <c r="W39" s="40" t="s">
        <v>76</v>
      </c>
      <c r="X39" s="40" t="s">
        <v>76</v>
      </c>
      <c r="Y39" s="40" t="s">
        <v>76</v>
      </c>
      <c r="Z39" s="40" t="s">
        <v>76</v>
      </c>
      <c r="AA39" s="40" t="s">
        <v>76</v>
      </c>
      <c r="AB39" s="40" t="s">
        <v>76</v>
      </c>
      <c r="AC39" s="40" t="s">
        <v>76</v>
      </c>
      <c r="AD39" s="40" t="s">
        <v>76</v>
      </c>
      <c r="AE39" s="40" t="s">
        <v>76</v>
      </c>
      <c r="AF39" s="40" t="s">
        <v>76</v>
      </c>
      <c r="AG39" t="str">
        <f>VLOOKUP($Q39,武学奇术!$A:$ZZ,25,FALSE)</f>
        <v>心法</v>
      </c>
      <c r="AH39" s="26">
        <f>VLOOKUP($Q39,武学奇术!$A:$ZZ,26,FALSE)</f>
        <v>0</v>
      </c>
      <c r="AI39" s="27">
        <f>VLOOKUP($Q39,武学奇术!$A:$ZZ,27,FALSE)*(1+IF(OR($AG39=$F$4,$AG39=$F$5),$B$21,0))</f>
        <v>0</v>
      </c>
      <c r="AJ39" s="26">
        <f>VLOOKUP($Q39,武学奇术!$A:$ZZ,28,FALSE)</f>
        <v>0</v>
      </c>
      <c r="AK39" s="27">
        <f>VLOOKUP($Q39,武学奇术!$A:$ZZ,29,FALSE)*(1+IF(OR($AG39=$F$4,$AG39=$F$5),$B$21,0))</f>
        <v>0</v>
      </c>
      <c r="AL39" s="26" cm="1">
        <f t="array" ref="AL39">$G$3+IFERROR(VLOOKUP($AG39,$F$4:$G$7,2,FALSE),0)+VLOOKUP($Q39,武学奇术!$A:$ZZ,2,FALSE)+SUM(_xlfn.XLOOKUP($R39:$AF39,增益!$A:$A,增益!$B:$B,0))</f>
        <v>0.2642</v>
      </c>
      <c r="AM39" s="26" cm="1">
        <f t="array" ref="AM39">VLOOKUP($Q39,武学奇术!$A:$ZZ,5,FALSE)+SUM(_xlfn.XLOOKUP($R39:$AF39,增益!$A:$A,增益!$E:$E,0))</f>
        <v>0</v>
      </c>
      <c r="AN39" cm="1">
        <f t="array" ref="AN39">$D$10*(1+$AM39)+VLOOKUP($Q39,武学奇术!$A:$ZZ,3,FALSE)+SUM(_xlfn.XLOOKUP($R39:$AF39,增益!$A:$A,增益!$C:$C,0))-$I$2</f>
        <v>3977.2</v>
      </c>
      <c r="AO39" cm="1">
        <f t="array" ref="AO39">$E$10*(1+$AM39)+VLOOKUP($Q39,武学奇术!$A:$ZZ,4,FALSE)+SUM(_xlfn.XLOOKUP($R39:$AF39,增益!$A:$A,增益!$D:$D,0))-$I$2</f>
        <v>3977.2</v>
      </c>
      <c r="AP39" s="32" cm="1">
        <f t="array" ref="AP39">IF($F$10-$I$3+VLOOKUP($Q39,武学奇术!$A:$ZZ,6,FALSE)+SUM(_xlfn.XLOOKUP(R39:AF39,增益!$A:$A,增益!$F:$F,0))&gt;0,($F$10-$I$3+VLOOKUP($Q39,武学奇术!$A:$ZZ,6,FALSE)+SUM(_xlfn.XLOOKUP(R39:AF39,增益!$A:$A,增益!$F:$F,0)))/200,($F$10-$I$3+VLOOKUP($Q39,武学奇术!$A:$ZZ,6,FALSE)+SUM(_xlfn.XLOOKUP(R39:AF39,增益!$A:$A,增益!$F:$F,0)))/100)</f>
        <v>0.294</v>
      </c>
      <c r="AQ39" s="32" cm="1">
        <f t="array" ref="AQ39">$G$10+VLOOKUP($Q39,武学奇术!$A:$ZZ,7,FALSE)+SUM(_xlfn.XLOOKUP(R39:AF39,增益!$A:$A,增益!$G:$G,0))</f>
        <v>0</v>
      </c>
      <c r="AR39" s="26" cm="1">
        <f t="array" ref="AR39">VLOOKUP($Q39,武学奇术!$A:$ZZ,8,FALSE)+SUM(_xlfn.XLOOKUP(R39:AF39,增益!$A:$A,增益!$H:$H,0))</f>
        <v>0</v>
      </c>
      <c r="AS39">
        <f t="shared" si="1"/>
        <v>0</v>
      </c>
      <c r="AT39">
        <f t="shared" si="2"/>
        <v>0</v>
      </c>
      <c r="AU39" s="32" cm="1">
        <f t="array" ref="AU39">IF($F$11-$I$4+VLOOKUP($Q39,武学奇术!$A:$ZZ,9,FALSE)+SUM(_xlfn.XLOOKUP(R39:AF39,增益!$A:$A,增益!$I:$I,0))&gt;0,($F$11-$I$4+VLOOKUP($Q39,武学奇术!$A:$ZZ,9,FALSE)+SUM(_xlfn.XLOOKUP(R39:AF39,增益!$A:$A,增益!$I:$I,0)))/200,($F$11-$I$4+VLOOKUP($Q39,武学奇术!$A:$ZZ,9,FALSE)+SUM(_xlfn.XLOOKUP(R39:AF39,增益!$A:$A,增益!$I:$I,0)))/100)</f>
        <v>-0.3</v>
      </c>
      <c r="AV39" s="32" cm="1">
        <f t="array" ref="AV39">$G$11+VLOOKUP($Q39,武学奇术!$A:$ZZ,10,FALSE)+SUM(_xlfn.XLOOKUP(R39:AF39,增益!$A:$A,增益!$J:$J,0))</f>
        <v>0</v>
      </c>
      <c r="AW39">
        <f t="shared" si="3"/>
        <v>0</v>
      </c>
      <c r="AX39">
        <f t="shared" si="4"/>
        <v>0</v>
      </c>
      <c r="AY39" s="32" cm="1">
        <f t="array" ref="AY39">IF($F$12-$I$4+VLOOKUP($Q39,武学奇术!$A:$ZZ,11,FALSE)+SUM(_xlfn.XLOOKUP(R39:AF39,增益!$A:$A,增益!$K:$K,0))&gt;0,($F$12-$I$4+VLOOKUP($Q39,武学奇术!$A:$ZZ,11,FALSE)+SUM(_xlfn.XLOOKUP(R39:AF39,增益!$A:$A,增益!$K:$K,0)))/200,($F$12-$I$4+VLOOKUP($Q39,武学奇术!$A:$ZZ,11,FALSE)+SUM(_xlfn.XLOOKUP(R39:AF39,增益!$A:$A,增益!$K:$K,0)))/100)</f>
        <v>-0.3</v>
      </c>
      <c r="AZ39" s="32" cm="1">
        <f t="array" ref="AZ39">$G$12+VLOOKUP($Q39,武学奇术!$A:$ZZ,12,FALSE)+SUM(_xlfn.XLOOKUP(R39:AF39,增益!$A:$A,增益!$L:$L,0))</f>
        <v>0</v>
      </c>
      <c r="BA39">
        <f t="shared" si="13"/>
        <v>697.4</v>
      </c>
      <c r="BB39">
        <f t="shared" si="14"/>
        <v>1805</v>
      </c>
      <c r="BC39" s="32" cm="1">
        <f t="array" ref="BC39">IF($F$13-$I$4+VLOOKUP($Q39,武学奇术!$A:$ZZ,13,FALSE)+SUM(_xlfn.XLOOKUP(R39:AF39,增益!$A:$A,增益!$M:$M,0))&gt;0,($F$13-$I$4+VLOOKUP($Q39,武学奇术!$A:$ZZ,13,FALSE)+SUM(_xlfn.XLOOKUP(R39:AF39,增益!$A:$A,增益!$K:$K,0)))/200,($F$13-$I$4+VLOOKUP($Q39,武学奇术!$A:$ZZ,13,FALSE)+SUM(_xlfn.XLOOKUP(R39:AF39,增益!$A:$A,增益!$M:$M,0)))/100)</f>
        <v>0</v>
      </c>
      <c r="BD39" s="32" cm="1">
        <f t="array" ref="BD39">$G$13+VLOOKUP($Q39,武学奇术!$A:$ZZ,14,FALSE)+SUM(_xlfn.XLOOKUP(R39:AF39,增益!$A:$A,增益!$N:$N,0))</f>
        <v>0.15</v>
      </c>
      <c r="BE39">
        <f t="shared" si="15"/>
        <v>0</v>
      </c>
      <c r="BF39">
        <f t="shared" si="16"/>
        <v>0</v>
      </c>
      <c r="BG39" s="32" cm="1">
        <f t="array" ref="BG39">IF($F$14-$I$4+VLOOKUP($Q39,武学奇术!$A:$ZZ,15,FALSE)+SUM(_xlfn.XLOOKUP(R39:AF39,增益!$A:$A,增益!$O:$O,0))&gt;0,($F$14-$I$4+VLOOKUP($Q39,武学奇术!$A:$ZZ,15,FALSE)+SUM(_xlfn.XLOOKUP(R39:AF39,增益!$A:$A,增益!$O:$O,0)))/200,($F$14-$I$4+VLOOKUP($Q39,武学奇术!$A:$ZZ,15,FALSE)+SUM(_xlfn.XLOOKUP(R39:AF39,增益!$A:$A,增益!$O:$O,0)))/100)</f>
        <v>-0.3</v>
      </c>
      <c r="BH39" s="32" cm="1">
        <f t="array" ref="BH39">$G$14+VLOOKUP($Q39,武学奇术!$A:$ZZ,16,FALSE)+SUM(_xlfn.XLOOKUP(R39:AF39,增益!$A:$A,增益!$P:$P,0))</f>
        <v>0</v>
      </c>
      <c r="BI39" s="26">
        <f>MIN(IF(VLOOKUP($Q39,武学奇术!$A:$ZZ,23,FALSE)=1,100%,$B$8),100%)</f>
        <v>1</v>
      </c>
      <c r="BJ39" s="26" cm="1">
        <f t="array" ref="BJ39">IF(VLOOKUP($Q39,武学奇术!$A:$ZZ,23,FALSE)=1,100%,MIN(80%,$B$9+VLOOKUP($Q39,武学奇术!$A:$ZZ,17,FALSE)+SUM(_xlfn.XLOOKUP(R39:AF39,增益!$A:$A,增益!$Q:$Q,0)))+$B$11+SUM(_xlfn.XLOOKUP(R39:AF39,增益!$A:$A,增益!$U:$U,0)))*IF(VLOOKUP($Q39,武学奇术!$A:$ZZ,24,FALSE)=1,0,1)</f>
        <v>0.8625</v>
      </c>
      <c r="BK39" s="26" cm="1">
        <f t="array" ref="BK39">1+$B$13+VLOOKUP($Q39,武学奇术!$A:$ZZ,18,FALSE)+SUM(_xlfn.XLOOKUP(R39:AF39,增益!$A:$A,增益!$R:$R,0))</f>
        <v>1.5</v>
      </c>
      <c r="BL39" s="26" cm="1">
        <f t="array" ref="BL39">IF(VLOOKUP($Q39,武学奇术!$A:$ZZ,24,FALSE)=1,100%,MIN(40%,$B$10+VLOOKUP($Q39,武学奇术!$A:$ZZ,19,FALSE)+SUM(_xlfn.XLOOKUP(R39:AF39,增益!$A:$A,增益!$S:$S,0)))+$B$12+SUM(_xlfn.XLOOKUP(R39:AF39,增益!$A:$A,增益!$V:$V,0)))*IF(VLOOKUP($Q39,武学奇术!$A:$ZZ,23,FALSE)=1,0,1)</f>
        <v>0.0913</v>
      </c>
      <c r="BM39" s="26" cm="1">
        <f t="array" ref="BM39">1+$B$14+VLOOKUP($Q39,武学奇术!$A:$ZZ,20,FALSE)+SUM(_xlfn.XLOOKUP(R39:AF39,增益!$A:$A,增益!$T:$T,0))</f>
        <v>1.35</v>
      </c>
      <c r="BN39" s="26">
        <f t="shared" si="11"/>
        <v>0.8625</v>
      </c>
      <c r="BO39" s="26">
        <f t="shared" si="17"/>
        <v>0.0462</v>
      </c>
      <c r="BP39" s="26">
        <f>IF(VLOOKUP($Q39,武学奇术!$A:$ZZ,22,FALSE)=1,0,(1-$BI39))*(1-$BL39)</f>
        <v>0</v>
      </c>
      <c r="BQ39" s="26" cm="1">
        <f t="array" ref="BQ39">SUM(_xlfn.XLOOKUP(R39:AF39,增益!$A:$A,增益!$W:$W,0))+$I$5</f>
        <v>0.06</v>
      </c>
    </row>
    <row r="40" spans="5:69">
      <c r="K40" s="38">
        <f t="shared" si="12"/>
        <v>0</v>
      </c>
      <c r="L40" s="38">
        <f>((($AN40+$AO40)/2*$AH40+$AI40)*(1+$AP40)*(1+$AQ40)+(($AS40+$AT40)/2*IF($G$1="鸣金",$AJ40,$AH40)+IF($G$1="鸣金",$AK40*1.5,0))*(1+$AU40)*(1+$AV40)+(($AW40+$AX40)/2*IF($G$1="裂石",$AJ40,$AH40)+IF($G$1="裂石",$AK40*1.5,0))*(1+$AY40)*(1+$AZ40)+(($BA40+$BB40)/2*IF($G$1="牵丝",$AJ40,$AH40)+IF($G$1="牵丝",$AK40*1.5,0))*(1+$BC40)*(1+$BD40)+(($BE40+$BF40)/2*IF($G$1="破竹",$AJ40,$AH40)+IF($G$1="破竹",$AK40*1.5,0))*(1+$BG40)*(1+$BH40))*(1+$AL40)*$BK40*$P40*(1+IF(VLOOKUP($Q40,武学奇术!$A:$ZZ,30,FALSE)="蓄力技",#REF!,0))*(1+$BQ40)</f>
        <v>0</v>
      </c>
      <c r="M40" s="38">
        <f>(($AO40*$AH40+$AI40)*(1+$AP40)*(1+$AQ40)+($AT40*IF($G$1="鸣金",$AJ40,$AH40)+IF($G$1="鸣金",$AK40*1.5,0))*(1+$AU40)*(1+$AV40)+($AX40*IF($G$1="裂石",$AJ40,$AH40)+IF($G$1="裂石",$AK40*1.5,0))*(1+$AY40)*(1+$AZ40)+($BB40*IF($G$1="牵丝",$AJ40,$AH40)+IF($G$1="牵丝",$AK40*1.5,0))*(1+$BC40)*(1+$BD40)+($BF40*IF($G$1="破竹",$AJ40,$AH40)+IF($G$1="破竹",$AK40*1.5,0))*(1+$BG40)*(1+$BH40))*(1+$AL40)*$BM40*$P40*(1+IF(VLOOKUP($Q40,武学奇术!$A:$ZZ,30,FALSE)="蓄力技",#REF!,0))*(1+$BQ40)</f>
        <v>0</v>
      </c>
      <c r="N40" s="38">
        <f>((($AN40+$AO40)/2*$AH40+$AI40)*(1+$AP40)*(1+$AQ40)+(($AS40+$AT40)/2*IF($G$1="鸣金",$AJ40,$AH40)+IF($G$1="鸣金",$AK40*1.5,0))*(1+$AU40)*(1+$AV40)+(($AW40+$AX40)/2*IF($G$1="裂石",$AJ40,$AH40)+IF($G$1="裂石",$AK40*1.5,0))*(1+$AY40)*(1+$AZ40)+(($BA40+$BB40)/2*IF($G$1="牵丝",$AJ40,$AH40)+IF($G$1="牵丝",$AK40*1.5,0))*(1+$BC40)*(1+$BD40)+(($BE40+$BF40)/2*IF($G$1="破竹",$AJ40,$AH40)+IF($G$1="破竹",$AK40*1.5,0))*(1+$BG40)*(1+$BH40))*(1+$AL40)*$P40*(1+IF(VLOOKUP($Q40,武学奇术!$A:$ZZ,30,FALSE)="蓄力技",#REF!,0))*(1+$BQ40)</f>
        <v>0</v>
      </c>
      <c r="O40" s="38">
        <f>((($AN40*$AH40+$AI40)*(1+$AP40)*(1+$AQ40)+($AS40*IF($G$1="鸣金",$AJ40,$AH40)+IF($G$1="鸣金",$AK40*1.5,0))*(1+$AU40)*(1+$AV40)+($AW40*IF($G$1="裂石",$AJ40,$AH40)+IF($G$1="裂石",$AK40*1.5,0))*(1+$AY40)*(1+$AZ40)+($BA40*IF($G$1="牵丝",$AJ40,$AH40)+IF($G$1="牵丝",$AK40*1.5,0))*(1+$BC40)*(1+$BD40)+($BE40*IF($G$1="破竹",$AJ40,$AH40)+IF($G$1="破竹",$AK40*1.5,0))*(1+$BG40)*(1+$BH40))*(1+$AL40))*$P40*(1+IF(VLOOKUP($Q40,武学奇术!$A:$ZZ,30,FALSE)="蓄力技",#REF!,0))*(1+$BQ40)</f>
        <v>0</v>
      </c>
      <c r="P40" s="39">
        <v>1</v>
      </c>
      <c r="Q40" s="40" t="s">
        <v>76</v>
      </c>
      <c r="R40" s="40" t="s">
        <v>76</v>
      </c>
      <c r="S40" s="40" t="s">
        <v>76</v>
      </c>
      <c r="T40" s="40" t="s">
        <v>76</v>
      </c>
      <c r="U40" s="40" t="s">
        <v>76</v>
      </c>
      <c r="V40" s="40" t="s">
        <v>76</v>
      </c>
      <c r="W40" s="40" t="s">
        <v>76</v>
      </c>
      <c r="X40" s="40" t="s">
        <v>76</v>
      </c>
      <c r="Y40" s="40" t="s">
        <v>76</v>
      </c>
      <c r="Z40" s="40" t="s">
        <v>76</v>
      </c>
      <c r="AA40" s="40" t="s">
        <v>76</v>
      </c>
      <c r="AB40" s="40" t="s">
        <v>76</v>
      </c>
      <c r="AC40" s="40" t="s">
        <v>76</v>
      </c>
      <c r="AD40" s="40" t="s">
        <v>76</v>
      </c>
      <c r="AE40" s="40" t="s">
        <v>76</v>
      </c>
      <c r="AF40" s="40" t="s">
        <v>76</v>
      </c>
      <c r="AG40" t="str">
        <f>VLOOKUP($Q40,武学奇术!$A:$ZZ,25,FALSE)</f>
        <v>心法</v>
      </c>
      <c r="AH40" s="26">
        <f>VLOOKUP($Q40,武学奇术!$A:$ZZ,26,FALSE)</f>
        <v>0</v>
      </c>
      <c r="AI40" s="27">
        <f>VLOOKUP($Q40,武学奇术!$A:$ZZ,27,FALSE)*(1+IF(OR($AG40=$F$4,$AG40=$F$5),$B$21,0))</f>
        <v>0</v>
      </c>
      <c r="AJ40" s="26">
        <f>VLOOKUP($Q40,武学奇术!$A:$ZZ,28,FALSE)</f>
        <v>0</v>
      </c>
      <c r="AK40" s="27">
        <f>VLOOKUP($Q40,武学奇术!$A:$ZZ,29,FALSE)*(1+IF(OR($AG40=$F$4,$AG40=$F$5),$B$21,0))</f>
        <v>0</v>
      </c>
      <c r="AL40" s="26" cm="1">
        <f t="array" ref="AL40">$G$3+IFERROR(VLOOKUP($AG40,$F$4:$G$7,2,FALSE),0)+VLOOKUP($Q40,武学奇术!$A:$ZZ,2,FALSE)+SUM(_xlfn.XLOOKUP($R40:$AF40,增益!$A:$A,增益!$B:$B,0))</f>
        <v>0.2642</v>
      </c>
      <c r="AM40" s="26" cm="1">
        <f t="array" ref="AM40">VLOOKUP($Q40,武学奇术!$A:$ZZ,5,FALSE)+SUM(_xlfn.XLOOKUP($R40:$AF40,增益!$A:$A,增益!$E:$E,0))</f>
        <v>0</v>
      </c>
      <c r="AN40" cm="1">
        <f t="array" ref="AN40">$D$10*(1+$AM40)+VLOOKUP($Q40,武学奇术!$A:$ZZ,3,FALSE)+SUM(_xlfn.XLOOKUP($R40:$AF40,增益!$A:$A,增益!$C:$C,0))-$I$2</f>
        <v>3977.2</v>
      </c>
      <c r="AO40" cm="1">
        <f t="array" ref="AO40">$E$10*(1+$AM40)+VLOOKUP($Q40,武学奇术!$A:$ZZ,4,FALSE)+SUM(_xlfn.XLOOKUP($R40:$AF40,增益!$A:$A,增益!$D:$D,0))-$I$2</f>
        <v>3977.2</v>
      </c>
      <c r="AP40" s="32" cm="1">
        <f t="array" ref="AP40">IF($F$10-$I$3+VLOOKUP($Q40,武学奇术!$A:$ZZ,6,FALSE)+SUM(_xlfn.XLOOKUP(R40:AF40,增益!$A:$A,增益!$F:$F,0))&gt;0,($F$10-$I$3+VLOOKUP($Q40,武学奇术!$A:$ZZ,6,FALSE)+SUM(_xlfn.XLOOKUP(R40:AF40,增益!$A:$A,增益!$F:$F,0)))/200,($F$10-$I$3+VLOOKUP($Q40,武学奇术!$A:$ZZ,6,FALSE)+SUM(_xlfn.XLOOKUP(R40:AF40,增益!$A:$A,增益!$F:$F,0)))/100)</f>
        <v>0.294</v>
      </c>
      <c r="AQ40" s="32" cm="1">
        <f t="array" ref="AQ40">$G$10+VLOOKUP($Q40,武学奇术!$A:$ZZ,7,FALSE)+SUM(_xlfn.XLOOKUP(R40:AF40,增益!$A:$A,增益!$G:$G,0))</f>
        <v>0</v>
      </c>
      <c r="AR40" s="26" cm="1">
        <f t="array" ref="AR40">VLOOKUP($Q40,武学奇术!$A:$ZZ,8,FALSE)+SUM(_xlfn.XLOOKUP(R40:AF40,增益!$A:$A,增益!$H:$H,0))</f>
        <v>0</v>
      </c>
      <c r="AS40">
        <f t="shared" si="1"/>
        <v>0</v>
      </c>
      <c r="AT40">
        <f t="shared" si="2"/>
        <v>0</v>
      </c>
      <c r="AU40" s="32" cm="1">
        <f t="array" ref="AU40">IF($F$11-$I$4+VLOOKUP($Q40,武学奇术!$A:$ZZ,9,FALSE)+SUM(_xlfn.XLOOKUP(R40:AF40,增益!$A:$A,增益!$I:$I,0))&gt;0,($F$11-$I$4+VLOOKUP($Q40,武学奇术!$A:$ZZ,9,FALSE)+SUM(_xlfn.XLOOKUP(R40:AF40,增益!$A:$A,增益!$I:$I,0)))/200,($F$11-$I$4+VLOOKUP($Q40,武学奇术!$A:$ZZ,9,FALSE)+SUM(_xlfn.XLOOKUP(R40:AF40,增益!$A:$A,增益!$I:$I,0)))/100)</f>
        <v>-0.3</v>
      </c>
      <c r="AV40" s="32" cm="1">
        <f t="array" ref="AV40">$G$11+VLOOKUP($Q40,武学奇术!$A:$ZZ,10,FALSE)+SUM(_xlfn.XLOOKUP(R40:AF40,增益!$A:$A,增益!$J:$J,0))</f>
        <v>0</v>
      </c>
      <c r="AW40">
        <f t="shared" si="3"/>
        <v>0</v>
      </c>
      <c r="AX40">
        <f t="shared" si="4"/>
        <v>0</v>
      </c>
      <c r="AY40" s="32" cm="1">
        <f t="array" ref="AY40">IF($F$12-$I$4+VLOOKUP($Q40,武学奇术!$A:$ZZ,11,FALSE)+SUM(_xlfn.XLOOKUP(R40:AF40,增益!$A:$A,增益!$K:$K,0))&gt;0,($F$12-$I$4+VLOOKUP($Q40,武学奇术!$A:$ZZ,11,FALSE)+SUM(_xlfn.XLOOKUP(R40:AF40,增益!$A:$A,增益!$K:$K,0)))/200,($F$12-$I$4+VLOOKUP($Q40,武学奇术!$A:$ZZ,11,FALSE)+SUM(_xlfn.XLOOKUP(R40:AF40,增益!$A:$A,增益!$K:$K,0)))/100)</f>
        <v>-0.3</v>
      </c>
      <c r="AZ40" s="32" cm="1">
        <f t="array" ref="AZ40">$G$12+VLOOKUP($Q40,武学奇术!$A:$ZZ,12,FALSE)+SUM(_xlfn.XLOOKUP(R40:AF40,增益!$A:$A,增益!$L:$L,0))</f>
        <v>0</v>
      </c>
      <c r="BA40">
        <f t="shared" si="13"/>
        <v>697.4</v>
      </c>
      <c r="BB40">
        <f t="shared" si="14"/>
        <v>1805</v>
      </c>
      <c r="BC40" s="32" cm="1">
        <f t="array" ref="BC40">IF($F$13-$I$4+VLOOKUP($Q40,武学奇术!$A:$ZZ,13,FALSE)+SUM(_xlfn.XLOOKUP(R40:AF40,增益!$A:$A,增益!$M:$M,0))&gt;0,($F$13-$I$4+VLOOKUP($Q40,武学奇术!$A:$ZZ,13,FALSE)+SUM(_xlfn.XLOOKUP(R40:AF40,增益!$A:$A,增益!$K:$K,0)))/200,($F$13-$I$4+VLOOKUP($Q40,武学奇术!$A:$ZZ,13,FALSE)+SUM(_xlfn.XLOOKUP(R40:AF40,增益!$A:$A,增益!$M:$M,0)))/100)</f>
        <v>0</v>
      </c>
      <c r="BD40" s="32" cm="1">
        <f t="array" ref="BD40">$G$13+VLOOKUP($Q40,武学奇术!$A:$ZZ,14,FALSE)+SUM(_xlfn.XLOOKUP(R40:AF40,增益!$A:$A,增益!$N:$N,0))</f>
        <v>0.15</v>
      </c>
      <c r="BE40">
        <f t="shared" si="15"/>
        <v>0</v>
      </c>
      <c r="BF40">
        <f t="shared" si="16"/>
        <v>0</v>
      </c>
      <c r="BG40" s="32" cm="1">
        <f t="array" ref="BG40">IF($F$14-$I$4+VLOOKUP($Q40,武学奇术!$A:$ZZ,15,FALSE)+SUM(_xlfn.XLOOKUP(R40:AF40,增益!$A:$A,增益!$O:$O,0))&gt;0,($F$14-$I$4+VLOOKUP($Q40,武学奇术!$A:$ZZ,15,FALSE)+SUM(_xlfn.XLOOKUP(R40:AF40,增益!$A:$A,增益!$O:$O,0)))/200,($F$14-$I$4+VLOOKUP($Q40,武学奇术!$A:$ZZ,15,FALSE)+SUM(_xlfn.XLOOKUP(R40:AF40,增益!$A:$A,增益!$O:$O,0)))/100)</f>
        <v>-0.3</v>
      </c>
      <c r="BH40" s="32" cm="1">
        <f t="array" ref="BH40">$G$14+VLOOKUP($Q40,武学奇术!$A:$ZZ,16,FALSE)+SUM(_xlfn.XLOOKUP(R40:AF40,增益!$A:$A,增益!$P:$P,0))</f>
        <v>0</v>
      </c>
      <c r="BI40" s="26">
        <f>MIN(IF(VLOOKUP($Q40,武学奇术!$A:$ZZ,23,FALSE)=1,100%,$B$8),100%)</f>
        <v>1</v>
      </c>
      <c r="BJ40" s="26" cm="1">
        <f t="array" ref="BJ40">IF(VLOOKUP($Q40,武学奇术!$A:$ZZ,23,FALSE)=1,100%,MIN(80%,$B$9+VLOOKUP($Q40,武学奇术!$A:$ZZ,17,FALSE)+SUM(_xlfn.XLOOKUP(R40:AF40,增益!$A:$A,增益!$Q:$Q,0)))+$B$11+SUM(_xlfn.XLOOKUP(R40:AF40,增益!$A:$A,增益!$U:$U,0)))*IF(VLOOKUP($Q40,武学奇术!$A:$ZZ,24,FALSE)=1,0,1)</f>
        <v>0.8625</v>
      </c>
      <c r="BK40" s="26" cm="1">
        <f t="array" ref="BK40">1+$B$13+VLOOKUP($Q40,武学奇术!$A:$ZZ,18,FALSE)+SUM(_xlfn.XLOOKUP(R40:AF40,增益!$A:$A,增益!$R:$R,0))</f>
        <v>1.5</v>
      </c>
      <c r="BL40" s="26" cm="1">
        <f t="array" ref="BL40">IF(VLOOKUP($Q40,武学奇术!$A:$ZZ,24,FALSE)=1,100%,MIN(40%,$B$10+VLOOKUP($Q40,武学奇术!$A:$ZZ,19,FALSE)+SUM(_xlfn.XLOOKUP(R40:AF40,增益!$A:$A,增益!$S:$S,0)))+$B$12+SUM(_xlfn.XLOOKUP(R40:AF40,增益!$A:$A,增益!$V:$V,0)))*IF(VLOOKUP($Q40,武学奇术!$A:$ZZ,23,FALSE)=1,0,1)</f>
        <v>0.0913</v>
      </c>
      <c r="BM40" s="26" cm="1">
        <f t="array" ref="BM40">1+$B$14+VLOOKUP($Q40,武学奇术!$A:$ZZ,20,FALSE)+SUM(_xlfn.XLOOKUP(R40:AF40,增益!$A:$A,增益!$T:$T,0))</f>
        <v>1.35</v>
      </c>
      <c r="BN40" s="26">
        <f t="shared" si="11"/>
        <v>0.8625</v>
      </c>
      <c r="BO40" s="26">
        <f t="shared" si="17"/>
        <v>0.0462</v>
      </c>
      <c r="BP40" s="26">
        <f>IF(VLOOKUP($Q40,武学奇术!$A:$ZZ,22,FALSE)=1,0,(1-$BI40))*(1-$BL40)</f>
        <v>0</v>
      </c>
      <c r="BQ40" s="26" cm="1">
        <f t="array" ref="BQ40">SUM(_xlfn.XLOOKUP(R40:AF40,增益!$A:$A,增益!$W:$W,0))+$I$5</f>
        <v>0.06</v>
      </c>
    </row>
    <row r="41" spans="5:69">
      <c r="K41" s="38">
        <f t="shared" si="12"/>
        <v>0</v>
      </c>
      <c r="L41" s="38">
        <f>((($AN41+$AO41)/2*$AH41+$AI41)*(1+$AP41)*(1+$AQ41)+(($AS41+$AT41)/2*IF($G$1="鸣金",$AJ41,$AH41)+IF($G$1="鸣金",$AK41*1.5,0))*(1+$AU41)*(1+$AV41)+(($AW41+$AX41)/2*IF($G$1="裂石",$AJ41,$AH41)+IF($G$1="裂石",$AK41*1.5,0))*(1+$AY41)*(1+$AZ41)+(($BA41+$BB41)/2*IF($G$1="牵丝",$AJ41,$AH41)+IF($G$1="牵丝",$AK41*1.5,0))*(1+$BC41)*(1+$BD41)+(($BE41+$BF41)/2*IF($G$1="破竹",$AJ41,$AH41)+IF($G$1="破竹",$AK41*1.5,0))*(1+$BG41)*(1+$BH41))*(1+$AL41)*$BK41*$P41*(1+IF(VLOOKUP($Q41,武学奇术!$A:$ZZ,30,FALSE)="蓄力技",#REF!,0))*(1+$BQ41)</f>
        <v>0</v>
      </c>
      <c r="M41" s="38">
        <f>(($AO41*$AH41+$AI41)*(1+$AP41)*(1+$AQ41)+($AT41*IF($G$1="鸣金",$AJ41,$AH41)+IF($G$1="鸣金",$AK41*1.5,0))*(1+$AU41)*(1+$AV41)+($AX41*IF($G$1="裂石",$AJ41,$AH41)+IF($G$1="裂石",$AK41*1.5,0))*(1+$AY41)*(1+$AZ41)+($BB41*IF($G$1="牵丝",$AJ41,$AH41)+IF($G$1="牵丝",$AK41*1.5,0))*(1+$BC41)*(1+$BD41)+($BF41*IF($G$1="破竹",$AJ41,$AH41)+IF($G$1="破竹",$AK41*1.5,0))*(1+$BG41)*(1+$BH41))*(1+$AL41)*$BM41*$P41*(1+IF(VLOOKUP($Q41,武学奇术!$A:$ZZ,30,FALSE)="蓄力技",#REF!,0))*(1+$BQ41)</f>
        <v>0</v>
      </c>
      <c r="N41" s="38">
        <f>((($AN41+$AO41)/2*$AH41+$AI41)*(1+$AP41)*(1+$AQ41)+(($AS41+$AT41)/2*IF($G$1="鸣金",$AJ41,$AH41)+IF($G$1="鸣金",$AK41*1.5,0))*(1+$AU41)*(1+$AV41)+(($AW41+$AX41)/2*IF($G$1="裂石",$AJ41,$AH41)+IF($G$1="裂石",$AK41*1.5,0))*(1+$AY41)*(1+$AZ41)+(($BA41+$BB41)/2*IF($G$1="牵丝",$AJ41,$AH41)+IF($G$1="牵丝",$AK41*1.5,0))*(1+$BC41)*(1+$BD41)+(($BE41+$BF41)/2*IF($G$1="破竹",$AJ41,$AH41)+IF($G$1="破竹",$AK41*1.5,0))*(1+$BG41)*(1+$BH41))*(1+$AL41)*$P41*(1+IF(VLOOKUP($Q41,武学奇术!$A:$ZZ,30,FALSE)="蓄力技",#REF!,0))*(1+$BQ41)</f>
        <v>0</v>
      </c>
      <c r="O41" s="38">
        <f>((($AN41*$AH41+$AI41)*(1+$AP41)*(1+$AQ41)+($AS41*IF($G$1="鸣金",$AJ41,$AH41)+IF($G$1="鸣金",$AK41*1.5,0))*(1+$AU41)*(1+$AV41)+($AW41*IF($G$1="裂石",$AJ41,$AH41)+IF($G$1="裂石",$AK41*1.5,0))*(1+$AY41)*(1+$AZ41)+($BA41*IF($G$1="牵丝",$AJ41,$AH41)+IF($G$1="牵丝",$AK41*1.5,0))*(1+$BC41)*(1+$BD41)+($BE41*IF($G$1="破竹",$AJ41,$AH41)+IF($G$1="破竹",$AK41*1.5,0))*(1+$BG41)*(1+$BH41))*(1+$AL41))*$P41*(1+IF(VLOOKUP($Q41,武学奇术!$A:$ZZ,30,FALSE)="蓄力技",#REF!,0))*(1+$BQ41)</f>
        <v>0</v>
      </c>
      <c r="P41" s="39">
        <v>1</v>
      </c>
      <c r="Q41" s="40" t="s">
        <v>76</v>
      </c>
      <c r="R41" s="40" t="s">
        <v>76</v>
      </c>
      <c r="S41" s="40" t="s">
        <v>76</v>
      </c>
      <c r="T41" s="40" t="s">
        <v>76</v>
      </c>
      <c r="U41" s="40" t="s">
        <v>76</v>
      </c>
      <c r="V41" s="40" t="s">
        <v>76</v>
      </c>
      <c r="W41" s="40" t="s">
        <v>76</v>
      </c>
      <c r="X41" s="40" t="s">
        <v>76</v>
      </c>
      <c r="Y41" s="40" t="s">
        <v>76</v>
      </c>
      <c r="Z41" s="40" t="s">
        <v>76</v>
      </c>
      <c r="AA41" s="40" t="s">
        <v>76</v>
      </c>
      <c r="AB41" s="40" t="s">
        <v>76</v>
      </c>
      <c r="AC41" s="40" t="s">
        <v>76</v>
      </c>
      <c r="AD41" s="40" t="s">
        <v>76</v>
      </c>
      <c r="AE41" s="40" t="s">
        <v>76</v>
      </c>
      <c r="AF41" s="40" t="s">
        <v>76</v>
      </c>
      <c r="AG41" t="str">
        <f>VLOOKUP($Q41,武学奇术!$A:$ZZ,25,FALSE)</f>
        <v>心法</v>
      </c>
      <c r="AH41" s="26">
        <f>VLOOKUP($Q41,武学奇术!$A:$ZZ,26,FALSE)</f>
        <v>0</v>
      </c>
      <c r="AI41" s="27">
        <f>VLOOKUP($Q41,武学奇术!$A:$ZZ,27,FALSE)*(1+IF(OR($AG41=$F$4,$AG41=$F$5),$B$21,0))</f>
        <v>0</v>
      </c>
      <c r="AJ41" s="26">
        <f>VLOOKUP($Q41,武学奇术!$A:$ZZ,28,FALSE)</f>
        <v>0</v>
      </c>
      <c r="AK41" s="27">
        <f>VLOOKUP($Q41,武学奇术!$A:$ZZ,29,FALSE)*(1+IF(OR($AG41=$F$4,$AG41=$F$5),$B$21,0))</f>
        <v>0</v>
      </c>
      <c r="AL41" s="26" cm="1">
        <f t="array" ref="AL41">$G$3+IFERROR(VLOOKUP($AG41,$F$4:$G$7,2,FALSE),0)+VLOOKUP($Q41,武学奇术!$A:$ZZ,2,FALSE)+SUM(_xlfn.XLOOKUP($R41:$AF41,增益!$A:$A,增益!$B:$B,0))</f>
        <v>0.2642</v>
      </c>
      <c r="AM41" s="26" cm="1">
        <f t="array" ref="AM41">VLOOKUP($Q41,武学奇术!$A:$ZZ,5,FALSE)+SUM(_xlfn.XLOOKUP($R41:$AF41,增益!$A:$A,增益!$E:$E,0))</f>
        <v>0</v>
      </c>
      <c r="AN41" cm="1">
        <f t="array" ref="AN41">$D$10*(1+$AM41)+VLOOKUP($Q41,武学奇术!$A:$ZZ,3,FALSE)+SUM(_xlfn.XLOOKUP($R41:$AF41,增益!$A:$A,增益!$C:$C,0))-$I$2</f>
        <v>3977.2</v>
      </c>
      <c r="AO41" cm="1">
        <f t="array" ref="AO41">$E$10*(1+$AM41)+VLOOKUP($Q41,武学奇术!$A:$ZZ,4,FALSE)+SUM(_xlfn.XLOOKUP($R41:$AF41,增益!$A:$A,增益!$D:$D,0))-$I$2</f>
        <v>3977.2</v>
      </c>
      <c r="AP41" s="32" cm="1">
        <f t="array" ref="AP41">IF($F$10-$I$3+VLOOKUP($Q41,武学奇术!$A:$ZZ,6,FALSE)+SUM(_xlfn.XLOOKUP(R41:AF41,增益!$A:$A,增益!$F:$F,0))&gt;0,($F$10-$I$3+VLOOKUP($Q41,武学奇术!$A:$ZZ,6,FALSE)+SUM(_xlfn.XLOOKUP(R41:AF41,增益!$A:$A,增益!$F:$F,0)))/200,($F$10-$I$3+VLOOKUP($Q41,武学奇术!$A:$ZZ,6,FALSE)+SUM(_xlfn.XLOOKUP(R41:AF41,增益!$A:$A,增益!$F:$F,0)))/100)</f>
        <v>0.294</v>
      </c>
      <c r="AQ41" s="32" cm="1">
        <f t="array" ref="AQ41">$G$10+VLOOKUP($Q41,武学奇术!$A:$ZZ,7,FALSE)+SUM(_xlfn.XLOOKUP(R41:AF41,增益!$A:$A,增益!$G:$G,0))</f>
        <v>0</v>
      </c>
      <c r="AR41" s="26" cm="1">
        <f t="array" ref="AR41">VLOOKUP($Q41,武学奇术!$A:$ZZ,8,FALSE)+SUM(_xlfn.XLOOKUP(R41:AF41,增益!$A:$A,增益!$H:$H,0))</f>
        <v>0</v>
      </c>
      <c r="AS41">
        <f t="shared" si="1"/>
        <v>0</v>
      </c>
      <c r="AT41">
        <f t="shared" si="2"/>
        <v>0</v>
      </c>
      <c r="AU41" s="32" cm="1">
        <f t="array" ref="AU41">IF($F$11-$I$4+VLOOKUP($Q41,武学奇术!$A:$ZZ,9,FALSE)+SUM(_xlfn.XLOOKUP(R41:AF41,增益!$A:$A,增益!$I:$I,0))&gt;0,($F$11-$I$4+VLOOKUP($Q41,武学奇术!$A:$ZZ,9,FALSE)+SUM(_xlfn.XLOOKUP(R41:AF41,增益!$A:$A,增益!$I:$I,0)))/200,($F$11-$I$4+VLOOKUP($Q41,武学奇术!$A:$ZZ,9,FALSE)+SUM(_xlfn.XLOOKUP(R41:AF41,增益!$A:$A,增益!$I:$I,0)))/100)</f>
        <v>-0.3</v>
      </c>
      <c r="AV41" s="32" cm="1">
        <f t="array" ref="AV41">$G$11+VLOOKUP($Q41,武学奇术!$A:$ZZ,10,FALSE)+SUM(_xlfn.XLOOKUP(R41:AF41,增益!$A:$A,增益!$J:$J,0))</f>
        <v>0</v>
      </c>
      <c r="AW41">
        <f t="shared" si="3"/>
        <v>0</v>
      </c>
      <c r="AX41">
        <f t="shared" si="4"/>
        <v>0</v>
      </c>
      <c r="AY41" s="32" cm="1">
        <f t="array" ref="AY41">IF($F$12-$I$4+VLOOKUP($Q41,武学奇术!$A:$ZZ,11,FALSE)+SUM(_xlfn.XLOOKUP(R41:AF41,增益!$A:$A,增益!$K:$K,0))&gt;0,($F$12-$I$4+VLOOKUP($Q41,武学奇术!$A:$ZZ,11,FALSE)+SUM(_xlfn.XLOOKUP(R41:AF41,增益!$A:$A,增益!$K:$K,0)))/200,($F$12-$I$4+VLOOKUP($Q41,武学奇术!$A:$ZZ,11,FALSE)+SUM(_xlfn.XLOOKUP(R41:AF41,增益!$A:$A,增益!$K:$K,0)))/100)</f>
        <v>-0.3</v>
      </c>
      <c r="AZ41" s="32" cm="1">
        <f t="array" ref="AZ41">$G$12+VLOOKUP($Q41,武学奇术!$A:$ZZ,12,FALSE)+SUM(_xlfn.XLOOKUP(R41:AF41,增益!$A:$A,增益!$L:$L,0))</f>
        <v>0</v>
      </c>
      <c r="BA41">
        <f t="shared" si="13"/>
        <v>697.4</v>
      </c>
      <c r="BB41">
        <f t="shared" si="14"/>
        <v>1805</v>
      </c>
      <c r="BC41" s="32" cm="1">
        <f t="array" ref="BC41">IF($F$13-$I$4+VLOOKUP($Q41,武学奇术!$A:$ZZ,13,FALSE)+SUM(_xlfn.XLOOKUP(R41:AF41,增益!$A:$A,增益!$M:$M,0))&gt;0,($F$13-$I$4+VLOOKUP($Q41,武学奇术!$A:$ZZ,13,FALSE)+SUM(_xlfn.XLOOKUP(R41:AF41,增益!$A:$A,增益!$K:$K,0)))/200,($F$13-$I$4+VLOOKUP($Q41,武学奇术!$A:$ZZ,13,FALSE)+SUM(_xlfn.XLOOKUP(R41:AF41,增益!$A:$A,增益!$M:$M,0)))/100)</f>
        <v>0</v>
      </c>
      <c r="BD41" s="32" cm="1">
        <f t="array" ref="BD41">$G$13+VLOOKUP($Q41,武学奇术!$A:$ZZ,14,FALSE)+SUM(_xlfn.XLOOKUP(R41:AF41,增益!$A:$A,增益!$N:$N,0))</f>
        <v>0.15</v>
      </c>
      <c r="BE41">
        <f t="shared" si="15"/>
        <v>0</v>
      </c>
      <c r="BF41">
        <f t="shared" si="16"/>
        <v>0</v>
      </c>
      <c r="BG41" s="32" cm="1">
        <f t="array" ref="BG41">IF($F$14-$I$4+VLOOKUP($Q41,武学奇术!$A:$ZZ,15,FALSE)+SUM(_xlfn.XLOOKUP(R41:AF41,增益!$A:$A,增益!$O:$O,0))&gt;0,($F$14-$I$4+VLOOKUP($Q41,武学奇术!$A:$ZZ,15,FALSE)+SUM(_xlfn.XLOOKUP(R41:AF41,增益!$A:$A,增益!$O:$O,0)))/200,($F$14-$I$4+VLOOKUP($Q41,武学奇术!$A:$ZZ,15,FALSE)+SUM(_xlfn.XLOOKUP(R41:AF41,增益!$A:$A,增益!$O:$O,0)))/100)</f>
        <v>-0.3</v>
      </c>
      <c r="BH41" s="32" cm="1">
        <f t="array" ref="BH41">$G$14+VLOOKUP($Q41,武学奇术!$A:$ZZ,16,FALSE)+SUM(_xlfn.XLOOKUP(R41:AF41,增益!$A:$A,增益!$P:$P,0))</f>
        <v>0</v>
      </c>
      <c r="BI41" s="26">
        <f>MIN(IF(VLOOKUP($Q41,武学奇术!$A:$ZZ,23,FALSE)=1,100%,$B$8),100%)</f>
        <v>1</v>
      </c>
      <c r="BJ41" s="26" cm="1">
        <f t="array" ref="BJ41">IF(VLOOKUP($Q41,武学奇术!$A:$ZZ,23,FALSE)=1,100%,MIN(80%,$B$9+VLOOKUP($Q41,武学奇术!$A:$ZZ,17,FALSE)+SUM(_xlfn.XLOOKUP(R41:AF41,增益!$A:$A,增益!$Q:$Q,0)))+$B$11+SUM(_xlfn.XLOOKUP(R41:AF41,增益!$A:$A,增益!$U:$U,0)))*IF(VLOOKUP($Q41,武学奇术!$A:$ZZ,24,FALSE)=1,0,1)</f>
        <v>0.8625</v>
      </c>
      <c r="BK41" s="26" cm="1">
        <f t="array" ref="BK41">1+$B$13+VLOOKUP($Q41,武学奇术!$A:$ZZ,18,FALSE)+SUM(_xlfn.XLOOKUP(R41:AF41,增益!$A:$A,增益!$R:$R,0))</f>
        <v>1.5</v>
      </c>
      <c r="BL41" s="26" cm="1">
        <f t="array" ref="BL41">IF(VLOOKUP($Q41,武学奇术!$A:$ZZ,24,FALSE)=1,100%,MIN(40%,$B$10+VLOOKUP($Q41,武学奇术!$A:$ZZ,19,FALSE)+SUM(_xlfn.XLOOKUP(R41:AF41,增益!$A:$A,增益!$S:$S,0)))+$B$12+SUM(_xlfn.XLOOKUP(R41:AF41,增益!$A:$A,增益!$V:$V,0)))*IF(VLOOKUP($Q41,武学奇术!$A:$ZZ,23,FALSE)=1,0,1)</f>
        <v>0.0913</v>
      </c>
      <c r="BM41" s="26" cm="1">
        <f t="array" ref="BM41">1+$B$14+VLOOKUP($Q41,武学奇术!$A:$ZZ,20,FALSE)+SUM(_xlfn.XLOOKUP(R41:AF41,增益!$A:$A,增益!$T:$T,0))</f>
        <v>1.35</v>
      </c>
      <c r="BN41" s="26">
        <f t="shared" si="11"/>
        <v>0.8625</v>
      </c>
      <c r="BO41" s="26">
        <f t="shared" si="17"/>
        <v>0.0462</v>
      </c>
      <c r="BP41" s="26">
        <f>IF(VLOOKUP($Q41,武学奇术!$A:$ZZ,22,FALSE)=1,0,(1-$BI41))*(1-$BL41)</f>
        <v>0</v>
      </c>
      <c r="BQ41" s="26" cm="1">
        <f t="array" ref="BQ41">SUM(_xlfn.XLOOKUP(R41:AF41,增益!$A:$A,增益!$W:$W,0))+$I$5</f>
        <v>0.06</v>
      </c>
    </row>
    <row r="42" spans="5:69">
      <c r="K42" s="38">
        <f t="shared" si="12"/>
        <v>0</v>
      </c>
      <c r="L42" s="38">
        <f>((($AN42+$AO42)/2*$AH42+$AI42)*(1+$AP42)*(1+$AQ42)+(($AS42+$AT42)/2*IF($G$1="鸣金",$AJ42,$AH42)+IF($G$1="鸣金",$AK42*1.5,0))*(1+$AU42)*(1+$AV42)+(($AW42+$AX42)/2*IF($G$1="裂石",$AJ42,$AH42)+IF($G$1="裂石",$AK42*1.5,0))*(1+$AY42)*(1+$AZ42)+(($BA42+$BB42)/2*IF($G$1="牵丝",$AJ42,$AH42)+IF($G$1="牵丝",$AK42*1.5,0))*(1+$BC42)*(1+$BD42)+(($BE42+$BF42)/2*IF($G$1="破竹",$AJ42,$AH42)+IF($G$1="破竹",$AK42*1.5,0))*(1+$BG42)*(1+$BH42))*(1+$AL42)*$BK42*$P42*(1+IF(VLOOKUP($Q42,武学奇术!$A:$ZZ,30,FALSE)="蓄力技",#REF!,0))*(1+$BQ42)</f>
        <v>0</v>
      </c>
      <c r="M42" s="38">
        <f>(($AO42*$AH42+$AI42)*(1+$AP42)*(1+$AQ42)+($AT42*IF($G$1="鸣金",$AJ42,$AH42)+IF($G$1="鸣金",$AK42*1.5,0))*(1+$AU42)*(1+$AV42)+($AX42*IF($G$1="裂石",$AJ42,$AH42)+IF($G$1="裂石",$AK42*1.5,0))*(1+$AY42)*(1+$AZ42)+($BB42*IF($G$1="牵丝",$AJ42,$AH42)+IF($G$1="牵丝",$AK42*1.5,0))*(1+$BC42)*(1+$BD42)+($BF42*IF($G$1="破竹",$AJ42,$AH42)+IF($G$1="破竹",$AK42*1.5,0))*(1+$BG42)*(1+$BH42))*(1+$AL42)*$BM42*$P42*(1+IF(VLOOKUP($Q42,武学奇术!$A:$ZZ,30,FALSE)="蓄力技",#REF!,0))*(1+$BQ42)</f>
        <v>0</v>
      </c>
      <c r="N42" s="38">
        <f>((($AN42+$AO42)/2*$AH42+$AI42)*(1+$AP42)*(1+$AQ42)+(($AS42+$AT42)/2*IF($G$1="鸣金",$AJ42,$AH42)+IF($G$1="鸣金",$AK42*1.5,0))*(1+$AU42)*(1+$AV42)+(($AW42+$AX42)/2*IF($G$1="裂石",$AJ42,$AH42)+IF($G$1="裂石",$AK42*1.5,0))*(1+$AY42)*(1+$AZ42)+(($BA42+$BB42)/2*IF($G$1="牵丝",$AJ42,$AH42)+IF($G$1="牵丝",$AK42*1.5,0))*(1+$BC42)*(1+$BD42)+(($BE42+$BF42)/2*IF($G$1="破竹",$AJ42,$AH42)+IF($G$1="破竹",$AK42*1.5,0))*(1+$BG42)*(1+$BH42))*(1+$AL42)*$P42*(1+IF(VLOOKUP($Q42,武学奇术!$A:$ZZ,30,FALSE)="蓄力技",#REF!,0))*(1+$BQ42)</f>
        <v>0</v>
      </c>
      <c r="O42" s="38">
        <f>((($AN42*$AH42+$AI42)*(1+$AP42)*(1+$AQ42)+($AS42*IF($G$1="鸣金",$AJ42,$AH42)+IF($G$1="鸣金",$AK42*1.5,0))*(1+$AU42)*(1+$AV42)+($AW42*IF($G$1="裂石",$AJ42,$AH42)+IF($G$1="裂石",$AK42*1.5,0))*(1+$AY42)*(1+$AZ42)+($BA42*IF($G$1="牵丝",$AJ42,$AH42)+IF($G$1="牵丝",$AK42*1.5,0))*(1+$BC42)*(1+$BD42)+($BE42*IF($G$1="破竹",$AJ42,$AH42)+IF($G$1="破竹",$AK42*1.5,0))*(1+$BG42)*(1+$BH42))*(1+$AL42))*$P42*(1+IF(VLOOKUP($Q42,武学奇术!$A:$ZZ,30,FALSE)="蓄力技",#REF!,0))*(1+$BQ42)</f>
        <v>0</v>
      </c>
      <c r="P42" s="39">
        <v>1</v>
      </c>
      <c r="Q42" s="40" t="s">
        <v>76</v>
      </c>
      <c r="R42" s="40" t="s">
        <v>76</v>
      </c>
      <c r="S42" s="40" t="s">
        <v>76</v>
      </c>
      <c r="T42" s="40" t="s">
        <v>76</v>
      </c>
      <c r="U42" s="40" t="s">
        <v>76</v>
      </c>
      <c r="V42" s="40" t="s">
        <v>76</v>
      </c>
      <c r="W42" s="40" t="s">
        <v>76</v>
      </c>
      <c r="X42" s="40" t="s">
        <v>76</v>
      </c>
      <c r="Y42" s="40" t="s">
        <v>76</v>
      </c>
      <c r="Z42" s="40" t="s">
        <v>76</v>
      </c>
      <c r="AA42" s="40" t="s">
        <v>76</v>
      </c>
      <c r="AB42" s="40" t="s">
        <v>76</v>
      </c>
      <c r="AC42" s="40" t="s">
        <v>76</v>
      </c>
      <c r="AD42" s="40" t="s">
        <v>76</v>
      </c>
      <c r="AE42" s="40" t="s">
        <v>76</v>
      </c>
      <c r="AF42" s="40" t="s">
        <v>76</v>
      </c>
      <c r="AG42" t="str">
        <f>VLOOKUP($Q42,武学奇术!$A:$ZZ,25,FALSE)</f>
        <v>心法</v>
      </c>
      <c r="AH42" s="26">
        <f>VLOOKUP($Q42,武学奇术!$A:$ZZ,26,FALSE)</f>
        <v>0</v>
      </c>
      <c r="AI42" s="27">
        <f>VLOOKUP($Q42,武学奇术!$A:$ZZ,27,FALSE)*(1+IF(OR($AG42=$F$4,$AG42=$F$5),$B$21,0))</f>
        <v>0</v>
      </c>
      <c r="AJ42" s="26">
        <f>VLOOKUP($Q42,武学奇术!$A:$ZZ,28,FALSE)</f>
        <v>0</v>
      </c>
      <c r="AK42" s="27">
        <f>VLOOKUP($Q42,武学奇术!$A:$ZZ,29,FALSE)*(1+IF(OR($AG42=$F$4,$AG42=$F$5),$B$21,0))</f>
        <v>0</v>
      </c>
      <c r="AL42" s="26" cm="1">
        <f t="array" ref="AL42">$G$3+IFERROR(VLOOKUP($AG42,$F$4:$G$7,2,FALSE),0)+VLOOKUP($Q42,武学奇术!$A:$ZZ,2,FALSE)+SUM(_xlfn.XLOOKUP($R42:$AF42,增益!$A:$A,增益!$B:$B,0))</f>
        <v>0.2642</v>
      </c>
      <c r="AM42" s="26" cm="1">
        <f t="array" ref="AM42">VLOOKUP($Q42,武学奇术!$A:$ZZ,5,FALSE)+SUM(_xlfn.XLOOKUP($R42:$AF42,增益!$A:$A,增益!$E:$E,0))</f>
        <v>0</v>
      </c>
      <c r="AN42" cm="1">
        <f t="array" ref="AN42">$D$10*(1+$AM42)+VLOOKUP($Q42,武学奇术!$A:$ZZ,3,FALSE)+SUM(_xlfn.XLOOKUP($R42:$AF42,增益!$A:$A,增益!$C:$C,0))-$I$2</f>
        <v>3977.2</v>
      </c>
      <c r="AO42" cm="1">
        <f t="array" ref="AO42">$E$10*(1+$AM42)+VLOOKUP($Q42,武学奇术!$A:$ZZ,4,FALSE)+SUM(_xlfn.XLOOKUP($R42:$AF42,增益!$A:$A,增益!$D:$D,0))-$I$2</f>
        <v>3977.2</v>
      </c>
      <c r="AP42" s="32" cm="1">
        <f t="array" ref="AP42">IF($F$10-$I$3+VLOOKUP($Q42,武学奇术!$A:$ZZ,6,FALSE)+SUM(_xlfn.XLOOKUP(R42:AF42,增益!$A:$A,增益!$F:$F,0))&gt;0,($F$10-$I$3+VLOOKUP($Q42,武学奇术!$A:$ZZ,6,FALSE)+SUM(_xlfn.XLOOKUP(R42:AF42,增益!$A:$A,增益!$F:$F,0)))/200,($F$10-$I$3+VLOOKUP($Q42,武学奇术!$A:$ZZ,6,FALSE)+SUM(_xlfn.XLOOKUP(R42:AF42,增益!$A:$A,增益!$F:$F,0)))/100)</f>
        <v>0.294</v>
      </c>
      <c r="AQ42" s="32" cm="1">
        <f t="array" ref="AQ42">$G$10+VLOOKUP($Q42,武学奇术!$A:$ZZ,7,FALSE)+SUM(_xlfn.XLOOKUP(R42:AF42,增益!$A:$A,增益!$G:$G,0))</f>
        <v>0</v>
      </c>
      <c r="AR42" s="26" cm="1">
        <f t="array" ref="AR42">VLOOKUP($Q42,武学奇术!$A:$ZZ,8,FALSE)+SUM(_xlfn.XLOOKUP(R42:AF42,增益!$A:$A,增益!$H:$H,0))</f>
        <v>0</v>
      </c>
      <c r="AS42">
        <f t="shared" si="1"/>
        <v>0</v>
      </c>
      <c r="AT42">
        <f t="shared" si="2"/>
        <v>0</v>
      </c>
      <c r="AU42" s="32" cm="1">
        <f t="array" ref="AU42">IF($F$11-$I$4+VLOOKUP($Q42,武学奇术!$A:$ZZ,9,FALSE)+SUM(_xlfn.XLOOKUP(R42:AF42,增益!$A:$A,增益!$I:$I,0))&gt;0,($F$11-$I$4+VLOOKUP($Q42,武学奇术!$A:$ZZ,9,FALSE)+SUM(_xlfn.XLOOKUP(R42:AF42,增益!$A:$A,增益!$I:$I,0)))/200,($F$11-$I$4+VLOOKUP($Q42,武学奇术!$A:$ZZ,9,FALSE)+SUM(_xlfn.XLOOKUP(R42:AF42,增益!$A:$A,增益!$I:$I,0)))/100)</f>
        <v>-0.3</v>
      </c>
      <c r="AV42" s="32" cm="1">
        <f t="array" ref="AV42">$G$11+VLOOKUP($Q42,武学奇术!$A:$ZZ,10,FALSE)+SUM(_xlfn.XLOOKUP(R42:AF42,增益!$A:$A,增益!$J:$J,0))</f>
        <v>0</v>
      </c>
      <c r="AW42">
        <f t="shared" si="3"/>
        <v>0</v>
      </c>
      <c r="AX42">
        <f t="shared" si="4"/>
        <v>0</v>
      </c>
      <c r="AY42" s="32" cm="1">
        <f t="array" ref="AY42">IF($F$12-$I$4+VLOOKUP($Q42,武学奇术!$A:$ZZ,11,FALSE)+SUM(_xlfn.XLOOKUP(R42:AF42,增益!$A:$A,增益!$K:$K,0))&gt;0,($F$12-$I$4+VLOOKUP($Q42,武学奇术!$A:$ZZ,11,FALSE)+SUM(_xlfn.XLOOKUP(R42:AF42,增益!$A:$A,增益!$K:$K,0)))/200,($F$12-$I$4+VLOOKUP($Q42,武学奇术!$A:$ZZ,11,FALSE)+SUM(_xlfn.XLOOKUP(R42:AF42,增益!$A:$A,增益!$K:$K,0)))/100)</f>
        <v>-0.3</v>
      </c>
      <c r="AZ42" s="32" cm="1">
        <f t="array" ref="AZ42">$G$12+VLOOKUP($Q42,武学奇术!$A:$ZZ,12,FALSE)+SUM(_xlfn.XLOOKUP(R42:AF42,增益!$A:$A,增益!$L:$L,0))</f>
        <v>0</v>
      </c>
      <c r="BA42">
        <f t="shared" si="13"/>
        <v>697.4</v>
      </c>
      <c r="BB42">
        <f t="shared" si="14"/>
        <v>1805</v>
      </c>
      <c r="BC42" s="32" cm="1">
        <f t="array" ref="BC42">IF($F$13-$I$4+VLOOKUP($Q42,武学奇术!$A:$ZZ,13,FALSE)+SUM(_xlfn.XLOOKUP(R42:AF42,增益!$A:$A,增益!$M:$M,0))&gt;0,($F$13-$I$4+VLOOKUP($Q42,武学奇术!$A:$ZZ,13,FALSE)+SUM(_xlfn.XLOOKUP(R42:AF42,增益!$A:$A,增益!$K:$K,0)))/200,($F$13-$I$4+VLOOKUP($Q42,武学奇术!$A:$ZZ,13,FALSE)+SUM(_xlfn.XLOOKUP(R42:AF42,增益!$A:$A,增益!$M:$M,0)))/100)</f>
        <v>0</v>
      </c>
      <c r="BD42" s="32" cm="1">
        <f t="array" ref="BD42">$G$13+VLOOKUP($Q42,武学奇术!$A:$ZZ,14,FALSE)+SUM(_xlfn.XLOOKUP(R42:AF42,增益!$A:$A,增益!$N:$N,0))</f>
        <v>0.15</v>
      </c>
      <c r="BE42">
        <f t="shared" si="15"/>
        <v>0</v>
      </c>
      <c r="BF42">
        <f t="shared" si="16"/>
        <v>0</v>
      </c>
      <c r="BG42" s="32" cm="1">
        <f t="array" ref="BG42">IF($F$14-$I$4+VLOOKUP($Q42,武学奇术!$A:$ZZ,15,FALSE)+SUM(_xlfn.XLOOKUP(R42:AF42,增益!$A:$A,增益!$O:$O,0))&gt;0,($F$14-$I$4+VLOOKUP($Q42,武学奇术!$A:$ZZ,15,FALSE)+SUM(_xlfn.XLOOKUP(R42:AF42,增益!$A:$A,增益!$O:$O,0)))/200,($F$14-$I$4+VLOOKUP($Q42,武学奇术!$A:$ZZ,15,FALSE)+SUM(_xlfn.XLOOKUP(R42:AF42,增益!$A:$A,增益!$O:$O,0)))/100)</f>
        <v>-0.3</v>
      </c>
      <c r="BH42" s="32" cm="1">
        <f t="array" ref="BH42">$G$14+VLOOKUP($Q42,武学奇术!$A:$ZZ,16,FALSE)+SUM(_xlfn.XLOOKUP(R42:AF42,增益!$A:$A,增益!$P:$P,0))</f>
        <v>0</v>
      </c>
      <c r="BI42" s="26">
        <f>MIN(IF(VLOOKUP($Q42,武学奇术!$A:$ZZ,23,FALSE)=1,100%,$B$8),100%)</f>
        <v>1</v>
      </c>
      <c r="BJ42" s="26" cm="1">
        <f t="array" ref="BJ42">IF(VLOOKUP($Q42,武学奇术!$A:$ZZ,23,FALSE)=1,100%,MIN(80%,$B$9+VLOOKUP($Q42,武学奇术!$A:$ZZ,17,FALSE)+SUM(_xlfn.XLOOKUP(R42:AF42,增益!$A:$A,增益!$Q:$Q,0)))+$B$11+SUM(_xlfn.XLOOKUP(R42:AF42,增益!$A:$A,增益!$U:$U,0)))*IF(VLOOKUP($Q42,武学奇术!$A:$ZZ,24,FALSE)=1,0,1)</f>
        <v>0.8625</v>
      </c>
      <c r="BK42" s="26" cm="1">
        <f t="array" ref="BK42">1+$B$13+VLOOKUP($Q42,武学奇术!$A:$ZZ,18,FALSE)+SUM(_xlfn.XLOOKUP(R42:AF42,增益!$A:$A,增益!$R:$R,0))</f>
        <v>1.5</v>
      </c>
      <c r="BL42" s="26" cm="1">
        <f t="array" ref="BL42">IF(VLOOKUP($Q42,武学奇术!$A:$ZZ,24,FALSE)=1,100%,MIN(40%,$B$10+VLOOKUP($Q42,武学奇术!$A:$ZZ,19,FALSE)+SUM(_xlfn.XLOOKUP(R42:AF42,增益!$A:$A,增益!$S:$S,0)))+$B$12+SUM(_xlfn.XLOOKUP(R42:AF42,增益!$A:$A,增益!$V:$V,0)))*IF(VLOOKUP($Q42,武学奇术!$A:$ZZ,23,FALSE)=1,0,1)</f>
        <v>0.0913</v>
      </c>
      <c r="BM42" s="26" cm="1">
        <f t="array" ref="BM42">1+$B$14+VLOOKUP($Q42,武学奇术!$A:$ZZ,20,FALSE)+SUM(_xlfn.XLOOKUP(R42:AF42,增益!$A:$A,增益!$T:$T,0))</f>
        <v>1.35</v>
      </c>
      <c r="BN42" s="26">
        <f t="shared" si="11"/>
        <v>0.8625</v>
      </c>
      <c r="BO42" s="26">
        <f t="shared" si="17"/>
        <v>0.0462</v>
      </c>
      <c r="BP42" s="26">
        <f>IF(VLOOKUP($Q42,武学奇术!$A:$ZZ,22,FALSE)=1,0,(1-$BI42))*(1-$BL42)</f>
        <v>0</v>
      </c>
      <c r="BQ42" s="26" cm="1">
        <f t="array" ref="BQ42">SUM(_xlfn.XLOOKUP(R42:AF42,增益!$A:$A,增益!$W:$W,0))+$I$5</f>
        <v>0.06</v>
      </c>
    </row>
    <row r="43" spans="5:69">
      <c r="K43" s="38">
        <f t="shared" si="12"/>
        <v>0</v>
      </c>
      <c r="L43" s="38">
        <f>((($AN43+$AO43)/2*$AH43+$AI43)*(1+$AP43)*(1+$AQ43)+(($AS43+$AT43)/2*IF($G$1="鸣金",$AJ43,$AH43)+IF($G$1="鸣金",$AK43*1.5,0))*(1+$AU43)*(1+$AV43)+(($AW43+$AX43)/2*IF($G$1="裂石",$AJ43,$AH43)+IF($G$1="裂石",$AK43*1.5,0))*(1+$AY43)*(1+$AZ43)+(($BA43+$BB43)/2*IF($G$1="牵丝",$AJ43,$AH43)+IF($G$1="牵丝",$AK43*1.5,0))*(1+$BC43)*(1+$BD43)+(($BE43+$BF43)/2*IF($G$1="破竹",$AJ43,$AH43)+IF($G$1="破竹",$AK43*1.5,0))*(1+$BG43)*(1+$BH43))*(1+$AL43)*$BK43*$P43*(1+IF(VLOOKUP($Q43,武学奇术!$A:$ZZ,30,FALSE)="蓄力技",#REF!,0))*(1+$BQ43)</f>
        <v>0</v>
      </c>
      <c r="M43" s="38">
        <f>(($AO43*$AH43+$AI43)*(1+$AP43)*(1+$AQ43)+($AT43*IF($G$1="鸣金",$AJ43,$AH43)+IF($G$1="鸣金",$AK43*1.5,0))*(1+$AU43)*(1+$AV43)+($AX43*IF($G$1="裂石",$AJ43,$AH43)+IF($G$1="裂石",$AK43*1.5,0))*(1+$AY43)*(1+$AZ43)+($BB43*IF($G$1="牵丝",$AJ43,$AH43)+IF($G$1="牵丝",$AK43*1.5,0))*(1+$BC43)*(1+$BD43)+($BF43*IF($G$1="破竹",$AJ43,$AH43)+IF($G$1="破竹",$AK43*1.5,0))*(1+$BG43)*(1+$BH43))*(1+$AL43)*$BM43*$P43*(1+IF(VLOOKUP($Q43,武学奇术!$A:$ZZ,30,FALSE)="蓄力技",#REF!,0))*(1+$BQ43)</f>
        <v>0</v>
      </c>
      <c r="N43" s="38">
        <f>((($AN43+$AO43)/2*$AH43+$AI43)*(1+$AP43)*(1+$AQ43)+(($AS43+$AT43)/2*IF($G$1="鸣金",$AJ43,$AH43)+IF($G$1="鸣金",$AK43*1.5,0))*(1+$AU43)*(1+$AV43)+(($AW43+$AX43)/2*IF($G$1="裂石",$AJ43,$AH43)+IF($G$1="裂石",$AK43*1.5,0))*(1+$AY43)*(1+$AZ43)+(($BA43+$BB43)/2*IF($G$1="牵丝",$AJ43,$AH43)+IF($G$1="牵丝",$AK43*1.5,0))*(1+$BC43)*(1+$BD43)+(($BE43+$BF43)/2*IF($G$1="破竹",$AJ43,$AH43)+IF($G$1="破竹",$AK43*1.5,0))*(1+$BG43)*(1+$BH43))*(1+$AL43)*$P43*(1+IF(VLOOKUP($Q43,武学奇术!$A:$ZZ,30,FALSE)="蓄力技",#REF!,0))*(1+$BQ43)</f>
        <v>0</v>
      </c>
      <c r="O43" s="38">
        <f>((($AN43*$AH43+$AI43)*(1+$AP43)*(1+$AQ43)+($AS43*IF($G$1="鸣金",$AJ43,$AH43)+IF($G$1="鸣金",$AK43*1.5,0))*(1+$AU43)*(1+$AV43)+($AW43*IF($G$1="裂石",$AJ43,$AH43)+IF($G$1="裂石",$AK43*1.5,0))*(1+$AY43)*(1+$AZ43)+($BA43*IF($G$1="牵丝",$AJ43,$AH43)+IF($G$1="牵丝",$AK43*1.5,0))*(1+$BC43)*(1+$BD43)+($BE43*IF($G$1="破竹",$AJ43,$AH43)+IF($G$1="破竹",$AK43*1.5,0))*(1+$BG43)*(1+$BH43))*(1+$AL43))*$P43*(1+IF(VLOOKUP($Q43,武学奇术!$A:$ZZ,30,FALSE)="蓄力技",#REF!,0))*(1+$BQ43)</f>
        <v>0</v>
      </c>
      <c r="P43" s="39">
        <v>1</v>
      </c>
      <c r="Q43" s="40" t="s">
        <v>76</v>
      </c>
      <c r="R43" s="40" t="s">
        <v>76</v>
      </c>
      <c r="S43" s="40" t="s">
        <v>76</v>
      </c>
      <c r="T43" s="40" t="s">
        <v>76</v>
      </c>
      <c r="U43" s="40" t="s">
        <v>76</v>
      </c>
      <c r="V43" s="40" t="s">
        <v>76</v>
      </c>
      <c r="W43" s="40" t="s">
        <v>76</v>
      </c>
      <c r="X43" s="40" t="s">
        <v>76</v>
      </c>
      <c r="Y43" s="40" t="s">
        <v>76</v>
      </c>
      <c r="Z43" s="40" t="s">
        <v>76</v>
      </c>
      <c r="AA43" s="40" t="s">
        <v>76</v>
      </c>
      <c r="AB43" s="40" t="s">
        <v>76</v>
      </c>
      <c r="AC43" s="40" t="s">
        <v>76</v>
      </c>
      <c r="AD43" s="40" t="s">
        <v>76</v>
      </c>
      <c r="AE43" s="40" t="s">
        <v>76</v>
      </c>
      <c r="AF43" s="40" t="s">
        <v>76</v>
      </c>
      <c r="AG43" t="str">
        <f>VLOOKUP($Q43,武学奇术!$A:$ZZ,25,FALSE)</f>
        <v>心法</v>
      </c>
      <c r="AH43" s="26">
        <f>VLOOKUP($Q43,武学奇术!$A:$ZZ,26,FALSE)</f>
        <v>0</v>
      </c>
      <c r="AI43" s="27">
        <f>VLOOKUP($Q43,武学奇术!$A:$ZZ,27,FALSE)*(1+IF(OR($AG43=$F$4,$AG43=$F$5),$B$21,0))</f>
        <v>0</v>
      </c>
      <c r="AJ43" s="26">
        <f>VLOOKUP($Q43,武学奇术!$A:$ZZ,28,FALSE)</f>
        <v>0</v>
      </c>
      <c r="AK43" s="27">
        <f>VLOOKUP($Q43,武学奇术!$A:$ZZ,29,FALSE)*(1+IF(OR($AG43=$F$4,$AG43=$F$5),$B$21,0))</f>
        <v>0</v>
      </c>
      <c r="AL43" s="26" cm="1">
        <f t="array" ref="AL43">$G$3+IFERROR(VLOOKUP($AG43,$F$4:$G$7,2,FALSE),0)+VLOOKUP($Q43,武学奇术!$A:$ZZ,2,FALSE)+SUM(_xlfn.XLOOKUP($R43:$AF43,增益!$A:$A,增益!$B:$B,0))</f>
        <v>0.2642</v>
      </c>
      <c r="AM43" s="26" cm="1">
        <f t="array" ref="AM43">VLOOKUP($Q43,武学奇术!$A:$ZZ,5,FALSE)+SUM(_xlfn.XLOOKUP($R43:$AF43,增益!$A:$A,增益!$E:$E,0))</f>
        <v>0</v>
      </c>
      <c r="AN43" cm="1">
        <f t="array" ref="AN43">$D$10*(1+$AM43)+VLOOKUP($Q43,武学奇术!$A:$ZZ,3,FALSE)+SUM(_xlfn.XLOOKUP($R43:$AF43,增益!$A:$A,增益!$C:$C,0))-$I$2</f>
        <v>3977.2</v>
      </c>
      <c r="AO43" cm="1">
        <f t="array" ref="AO43">$E$10*(1+$AM43)+VLOOKUP($Q43,武学奇术!$A:$ZZ,4,FALSE)+SUM(_xlfn.XLOOKUP($R43:$AF43,增益!$A:$A,增益!$D:$D,0))-$I$2</f>
        <v>3977.2</v>
      </c>
      <c r="AP43" s="32" cm="1">
        <f t="array" ref="AP43">IF($F$10-$I$3+VLOOKUP($Q43,武学奇术!$A:$ZZ,6,FALSE)+SUM(_xlfn.XLOOKUP(R43:AF43,增益!$A:$A,增益!$F:$F,0))&gt;0,($F$10-$I$3+VLOOKUP($Q43,武学奇术!$A:$ZZ,6,FALSE)+SUM(_xlfn.XLOOKUP(R43:AF43,增益!$A:$A,增益!$F:$F,0)))/200,($F$10-$I$3+VLOOKUP($Q43,武学奇术!$A:$ZZ,6,FALSE)+SUM(_xlfn.XLOOKUP(R43:AF43,增益!$A:$A,增益!$F:$F,0)))/100)</f>
        <v>0.294</v>
      </c>
      <c r="AQ43" s="32" cm="1">
        <f t="array" ref="AQ43">$G$10+VLOOKUP($Q43,武学奇术!$A:$ZZ,7,FALSE)+SUM(_xlfn.XLOOKUP(R43:AF43,增益!$A:$A,增益!$G:$G,0))</f>
        <v>0</v>
      </c>
      <c r="AR43" s="26" cm="1">
        <f t="array" ref="AR43">VLOOKUP($Q43,武学奇术!$A:$ZZ,8,FALSE)+SUM(_xlfn.XLOOKUP(R43:AF43,增益!$A:$A,增益!$H:$H,0))</f>
        <v>0</v>
      </c>
      <c r="AS43">
        <f t="shared" si="1"/>
        <v>0</v>
      </c>
      <c r="AT43">
        <f t="shared" si="2"/>
        <v>0</v>
      </c>
      <c r="AU43" s="32" cm="1">
        <f t="array" ref="AU43">IF($F$11-$I$4+VLOOKUP($Q43,武学奇术!$A:$ZZ,9,FALSE)+SUM(_xlfn.XLOOKUP(R43:AF43,增益!$A:$A,增益!$I:$I,0))&gt;0,($F$11-$I$4+VLOOKUP($Q43,武学奇术!$A:$ZZ,9,FALSE)+SUM(_xlfn.XLOOKUP(R43:AF43,增益!$A:$A,增益!$I:$I,0)))/200,($F$11-$I$4+VLOOKUP($Q43,武学奇术!$A:$ZZ,9,FALSE)+SUM(_xlfn.XLOOKUP(R43:AF43,增益!$A:$A,增益!$I:$I,0)))/100)</f>
        <v>-0.3</v>
      </c>
      <c r="AV43" s="32" cm="1">
        <f t="array" ref="AV43">$G$11+VLOOKUP($Q43,武学奇术!$A:$ZZ,10,FALSE)+SUM(_xlfn.XLOOKUP(R43:AF43,增益!$A:$A,增益!$J:$J,0))</f>
        <v>0</v>
      </c>
      <c r="AW43">
        <f t="shared" si="3"/>
        <v>0</v>
      </c>
      <c r="AX43">
        <f t="shared" si="4"/>
        <v>0</v>
      </c>
      <c r="AY43" s="32" cm="1">
        <f t="array" ref="AY43">IF($F$12-$I$4+VLOOKUP($Q43,武学奇术!$A:$ZZ,11,FALSE)+SUM(_xlfn.XLOOKUP(R43:AF43,增益!$A:$A,增益!$K:$K,0))&gt;0,($F$12-$I$4+VLOOKUP($Q43,武学奇术!$A:$ZZ,11,FALSE)+SUM(_xlfn.XLOOKUP(R43:AF43,增益!$A:$A,增益!$K:$K,0)))/200,($F$12-$I$4+VLOOKUP($Q43,武学奇术!$A:$ZZ,11,FALSE)+SUM(_xlfn.XLOOKUP(R43:AF43,增益!$A:$A,增益!$K:$K,0)))/100)</f>
        <v>-0.3</v>
      </c>
      <c r="AZ43" s="32" cm="1">
        <f t="array" ref="AZ43">$G$12+VLOOKUP($Q43,武学奇术!$A:$ZZ,12,FALSE)+SUM(_xlfn.XLOOKUP(R43:AF43,增益!$A:$A,增益!$L:$L,0))</f>
        <v>0</v>
      </c>
      <c r="BA43">
        <f t="shared" si="13"/>
        <v>697.4</v>
      </c>
      <c r="BB43">
        <f t="shared" si="14"/>
        <v>1805</v>
      </c>
      <c r="BC43" s="32" cm="1">
        <f t="array" ref="BC43">IF($F$13-$I$4+VLOOKUP($Q43,武学奇术!$A:$ZZ,13,FALSE)+SUM(_xlfn.XLOOKUP(R43:AF43,增益!$A:$A,增益!$M:$M,0))&gt;0,($F$13-$I$4+VLOOKUP($Q43,武学奇术!$A:$ZZ,13,FALSE)+SUM(_xlfn.XLOOKUP(R43:AF43,增益!$A:$A,增益!$K:$K,0)))/200,($F$13-$I$4+VLOOKUP($Q43,武学奇术!$A:$ZZ,13,FALSE)+SUM(_xlfn.XLOOKUP(R43:AF43,增益!$A:$A,增益!$M:$M,0)))/100)</f>
        <v>0</v>
      </c>
      <c r="BD43" s="32" cm="1">
        <f t="array" ref="BD43">$G$13+VLOOKUP($Q43,武学奇术!$A:$ZZ,14,FALSE)+SUM(_xlfn.XLOOKUP(R43:AF43,增益!$A:$A,增益!$N:$N,0))</f>
        <v>0.15</v>
      </c>
      <c r="BE43">
        <f t="shared" si="15"/>
        <v>0</v>
      </c>
      <c r="BF43">
        <f t="shared" si="16"/>
        <v>0</v>
      </c>
      <c r="BG43" s="32" cm="1">
        <f t="array" ref="BG43">IF($F$14-$I$4+VLOOKUP($Q43,武学奇术!$A:$ZZ,15,FALSE)+SUM(_xlfn.XLOOKUP(R43:AF43,增益!$A:$A,增益!$O:$O,0))&gt;0,($F$14-$I$4+VLOOKUP($Q43,武学奇术!$A:$ZZ,15,FALSE)+SUM(_xlfn.XLOOKUP(R43:AF43,增益!$A:$A,增益!$O:$O,0)))/200,($F$14-$I$4+VLOOKUP($Q43,武学奇术!$A:$ZZ,15,FALSE)+SUM(_xlfn.XLOOKUP(R43:AF43,增益!$A:$A,增益!$O:$O,0)))/100)</f>
        <v>-0.3</v>
      </c>
      <c r="BH43" s="32" cm="1">
        <f t="array" ref="BH43">$G$14+VLOOKUP($Q43,武学奇术!$A:$ZZ,16,FALSE)+SUM(_xlfn.XLOOKUP(R43:AF43,增益!$A:$A,增益!$P:$P,0))</f>
        <v>0</v>
      </c>
      <c r="BI43" s="26">
        <f>MIN(IF(VLOOKUP($Q43,武学奇术!$A:$ZZ,23,FALSE)=1,100%,$B$8),100%)</f>
        <v>1</v>
      </c>
      <c r="BJ43" s="26" cm="1">
        <f t="array" ref="BJ43">IF(VLOOKUP($Q43,武学奇术!$A:$ZZ,23,FALSE)=1,100%,MIN(80%,$B$9+VLOOKUP($Q43,武学奇术!$A:$ZZ,17,FALSE)+SUM(_xlfn.XLOOKUP(R43:AF43,增益!$A:$A,增益!$Q:$Q,0)))+$B$11+SUM(_xlfn.XLOOKUP(R43:AF43,增益!$A:$A,增益!$U:$U,0)))*IF(VLOOKUP($Q43,武学奇术!$A:$ZZ,24,FALSE)=1,0,1)</f>
        <v>0.8625</v>
      </c>
      <c r="BK43" s="26" cm="1">
        <f t="array" ref="BK43">1+$B$13+VLOOKUP($Q43,武学奇术!$A:$ZZ,18,FALSE)+SUM(_xlfn.XLOOKUP(R43:AF43,增益!$A:$A,增益!$R:$R,0))</f>
        <v>1.5</v>
      </c>
      <c r="BL43" s="26" cm="1">
        <f t="array" ref="BL43">IF(VLOOKUP($Q43,武学奇术!$A:$ZZ,24,FALSE)=1,100%,MIN(40%,$B$10+VLOOKUP($Q43,武学奇术!$A:$ZZ,19,FALSE)+SUM(_xlfn.XLOOKUP(R43:AF43,增益!$A:$A,增益!$S:$S,0)))+$B$12+SUM(_xlfn.XLOOKUP(R43:AF43,增益!$A:$A,增益!$V:$V,0)))*IF(VLOOKUP($Q43,武学奇术!$A:$ZZ,23,FALSE)=1,0,1)</f>
        <v>0.0913</v>
      </c>
      <c r="BM43" s="26" cm="1">
        <f t="array" ref="BM43">1+$B$14+VLOOKUP($Q43,武学奇术!$A:$ZZ,20,FALSE)+SUM(_xlfn.XLOOKUP(R43:AF43,增益!$A:$A,增益!$T:$T,0))</f>
        <v>1.35</v>
      </c>
      <c r="BN43" s="26">
        <f t="shared" si="11"/>
        <v>0.8625</v>
      </c>
      <c r="BO43" s="26">
        <f t="shared" si="17"/>
        <v>0.0462</v>
      </c>
      <c r="BP43" s="26">
        <f>IF(VLOOKUP($Q43,武学奇术!$A:$ZZ,22,FALSE)=1,0,(1-$BI43))*(1-$BL43)</f>
        <v>0</v>
      </c>
      <c r="BQ43" s="26" cm="1">
        <f t="array" ref="BQ43">SUM(_xlfn.XLOOKUP(R43:AF43,增益!$A:$A,增益!$W:$W,0))+$I$5</f>
        <v>0.06</v>
      </c>
    </row>
    <row r="44" spans="5:69">
      <c r="K44" s="38">
        <f t="shared" si="12"/>
        <v>0</v>
      </c>
      <c r="L44" s="38">
        <f>((($AN44+$AO44)/2*$AH44+$AI44)*(1+$AP44)*(1+$AQ44)+(($AS44+$AT44)/2*IF($G$1="鸣金",$AJ44,$AH44)+IF($G$1="鸣金",$AK44*1.5,0))*(1+$AU44)*(1+$AV44)+(($AW44+$AX44)/2*IF($G$1="裂石",$AJ44,$AH44)+IF($G$1="裂石",$AK44*1.5,0))*(1+$AY44)*(1+$AZ44)+(($BA44+$BB44)/2*IF($G$1="牵丝",$AJ44,$AH44)+IF($G$1="牵丝",$AK44*1.5,0))*(1+$BC44)*(1+$BD44)+(($BE44+$BF44)/2*IF($G$1="破竹",$AJ44,$AH44)+IF($G$1="破竹",$AK44*1.5,0))*(1+$BG44)*(1+$BH44))*(1+$AL44)*$BK44*$P44*(1+IF(VLOOKUP($Q44,武学奇术!$A:$ZZ,30,FALSE)="蓄力技",#REF!,0))*(1+$BQ44)</f>
        <v>0</v>
      </c>
      <c r="M44" s="38">
        <f>(($AO44*$AH44+$AI44)*(1+$AP44)*(1+$AQ44)+($AT44*IF($G$1="鸣金",$AJ44,$AH44)+IF($G$1="鸣金",$AK44*1.5,0))*(1+$AU44)*(1+$AV44)+($AX44*IF($G$1="裂石",$AJ44,$AH44)+IF($G$1="裂石",$AK44*1.5,0))*(1+$AY44)*(1+$AZ44)+($BB44*IF($G$1="牵丝",$AJ44,$AH44)+IF($G$1="牵丝",$AK44*1.5,0))*(1+$BC44)*(1+$BD44)+($BF44*IF($G$1="破竹",$AJ44,$AH44)+IF($G$1="破竹",$AK44*1.5,0))*(1+$BG44)*(1+$BH44))*(1+$AL44)*$BM44*$P44*(1+IF(VLOOKUP($Q44,武学奇术!$A:$ZZ,30,FALSE)="蓄力技",#REF!,0))*(1+$BQ44)</f>
        <v>0</v>
      </c>
      <c r="N44" s="38">
        <f>((($AN44+$AO44)/2*$AH44+$AI44)*(1+$AP44)*(1+$AQ44)+(($AS44+$AT44)/2*IF($G$1="鸣金",$AJ44,$AH44)+IF($G$1="鸣金",$AK44*1.5,0))*(1+$AU44)*(1+$AV44)+(($AW44+$AX44)/2*IF($G$1="裂石",$AJ44,$AH44)+IF($G$1="裂石",$AK44*1.5,0))*(1+$AY44)*(1+$AZ44)+(($BA44+$BB44)/2*IF($G$1="牵丝",$AJ44,$AH44)+IF($G$1="牵丝",$AK44*1.5,0))*(1+$BC44)*(1+$BD44)+(($BE44+$BF44)/2*IF($G$1="破竹",$AJ44,$AH44)+IF($G$1="破竹",$AK44*1.5,0))*(1+$BG44)*(1+$BH44))*(1+$AL44)*$P44*(1+IF(VLOOKUP($Q44,武学奇术!$A:$ZZ,30,FALSE)="蓄力技",#REF!,0))*(1+$BQ44)</f>
        <v>0</v>
      </c>
      <c r="O44" s="38">
        <f>((($AN44*$AH44+$AI44)*(1+$AP44)*(1+$AQ44)+($AS44*IF($G$1="鸣金",$AJ44,$AH44)+IF($G$1="鸣金",$AK44*1.5,0))*(1+$AU44)*(1+$AV44)+($AW44*IF($G$1="裂石",$AJ44,$AH44)+IF($G$1="裂石",$AK44*1.5,0))*(1+$AY44)*(1+$AZ44)+($BA44*IF($G$1="牵丝",$AJ44,$AH44)+IF($G$1="牵丝",$AK44*1.5,0))*(1+$BC44)*(1+$BD44)+($BE44*IF($G$1="破竹",$AJ44,$AH44)+IF($G$1="破竹",$AK44*1.5,0))*(1+$BG44)*(1+$BH44))*(1+$AL44))*$P44*(1+IF(VLOOKUP($Q44,武学奇术!$A:$ZZ,30,FALSE)="蓄力技",#REF!,0))*(1+$BQ44)</f>
        <v>0</v>
      </c>
      <c r="P44" s="39">
        <v>1</v>
      </c>
      <c r="Q44" s="40" t="s">
        <v>76</v>
      </c>
      <c r="R44" s="40" t="s">
        <v>76</v>
      </c>
      <c r="S44" s="40" t="s">
        <v>76</v>
      </c>
      <c r="T44" s="40" t="s">
        <v>76</v>
      </c>
      <c r="U44" s="40" t="s">
        <v>76</v>
      </c>
      <c r="V44" s="40" t="s">
        <v>76</v>
      </c>
      <c r="W44" s="40" t="s">
        <v>76</v>
      </c>
      <c r="X44" s="40" t="s">
        <v>76</v>
      </c>
      <c r="Y44" s="40" t="s">
        <v>76</v>
      </c>
      <c r="Z44" s="40" t="s">
        <v>76</v>
      </c>
      <c r="AA44" s="40" t="s">
        <v>76</v>
      </c>
      <c r="AB44" s="40" t="s">
        <v>76</v>
      </c>
      <c r="AC44" s="40" t="s">
        <v>76</v>
      </c>
      <c r="AD44" s="40" t="s">
        <v>76</v>
      </c>
      <c r="AE44" s="40" t="s">
        <v>76</v>
      </c>
      <c r="AF44" s="40" t="s">
        <v>76</v>
      </c>
      <c r="AG44" t="str">
        <f>VLOOKUP($Q44,武学奇术!$A:$ZZ,25,FALSE)</f>
        <v>心法</v>
      </c>
      <c r="AH44" s="26">
        <f>VLOOKUP($Q44,武学奇术!$A:$ZZ,26,FALSE)</f>
        <v>0</v>
      </c>
      <c r="AI44" s="27">
        <f>VLOOKUP($Q44,武学奇术!$A:$ZZ,27,FALSE)*(1+IF(OR($AG44=$F$4,$AG44=$F$5),$B$21,0))</f>
        <v>0</v>
      </c>
      <c r="AJ44" s="26">
        <f>VLOOKUP($Q44,武学奇术!$A:$ZZ,28,FALSE)</f>
        <v>0</v>
      </c>
      <c r="AK44" s="27">
        <f>VLOOKUP($Q44,武学奇术!$A:$ZZ,29,FALSE)*(1+IF(OR($AG44=$F$4,$AG44=$F$5),$B$21,0))</f>
        <v>0</v>
      </c>
      <c r="AL44" s="26" cm="1">
        <f t="array" ref="AL44">$G$3+IFERROR(VLOOKUP($AG44,$F$4:$G$7,2,FALSE),0)+VLOOKUP($Q44,武学奇术!$A:$ZZ,2,FALSE)+SUM(_xlfn.XLOOKUP($R44:$AF44,增益!$A:$A,增益!$B:$B,0))</f>
        <v>0.2642</v>
      </c>
      <c r="AM44" s="26" cm="1">
        <f t="array" ref="AM44">VLOOKUP($Q44,武学奇术!$A:$ZZ,5,FALSE)+SUM(_xlfn.XLOOKUP($R44:$AF44,增益!$A:$A,增益!$E:$E,0))</f>
        <v>0</v>
      </c>
      <c r="AN44" cm="1">
        <f t="array" ref="AN44">$D$10*(1+$AM44)+VLOOKUP($Q44,武学奇术!$A:$ZZ,3,FALSE)+SUM(_xlfn.XLOOKUP($R44:$AF44,增益!$A:$A,增益!$C:$C,0))-$I$2</f>
        <v>3977.2</v>
      </c>
      <c r="AO44" cm="1">
        <f t="array" ref="AO44">$E$10*(1+$AM44)+VLOOKUP($Q44,武学奇术!$A:$ZZ,4,FALSE)+SUM(_xlfn.XLOOKUP($R44:$AF44,增益!$A:$A,增益!$D:$D,0))-$I$2</f>
        <v>3977.2</v>
      </c>
      <c r="AP44" s="32" cm="1">
        <f t="array" ref="AP44">IF($F$10-$I$3+VLOOKUP($Q44,武学奇术!$A:$ZZ,6,FALSE)+SUM(_xlfn.XLOOKUP(R44:AF44,增益!$A:$A,增益!$F:$F,0))&gt;0,($F$10-$I$3+VLOOKUP($Q44,武学奇术!$A:$ZZ,6,FALSE)+SUM(_xlfn.XLOOKUP(R44:AF44,增益!$A:$A,增益!$F:$F,0)))/200,($F$10-$I$3+VLOOKUP($Q44,武学奇术!$A:$ZZ,6,FALSE)+SUM(_xlfn.XLOOKUP(R44:AF44,增益!$A:$A,增益!$F:$F,0)))/100)</f>
        <v>0.294</v>
      </c>
      <c r="AQ44" s="32" cm="1">
        <f t="array" ref="AQ44">$G$10+VLOOKUP($Q44,武学奇术!$A:$ZZ,7,FALSE)+SUM(_xlfn.XLOOKUP(R44:AF44,增益!$A:$A,增益!$G:$G,0))</f>
        <v>0</v>
      </c>
      <c r="AR44" s="26" cm="1">
        <f t="array" ref="AR44">VLOOKUP($Q44,武学奇术!$A:$ZZ,8,FALSE)+SUM(_xlfn.XLOOKUP(R44:AF44,增益!$A:$A,增益!$H:$H,0))</f>
        <v>0</v>
      </c>
      <c r="AS44">
        <f t="shared" ref="AS44:AS60" si="18">$D$11*(1+$AR44)</f>
        <v>0</v>
      </c>
      <c r="AT44">
        <f t="shared" ref="AT44:AT60" si="19">$E$11*(1+$AR44)</f>
        <v>0</v>
      </c>
      <c r="AU44" s="32" cm="1">
        <f t="array" ref="AU44">IF($F$11-$I$4+VLOOKUP($Q44,武学奇术!$A:$ZZ,9,FALSE)+SUM(_xlfn.XLOOKUP(R44:AF44,增益!$A:$A,增益!$I:$I,0))&gt;0,($F$11-$I$4+VLOOKUP($Q44,武学奇术!$A:$ZZ,9,FALSE)+SUM(_xlfn.XLOOKUP(R44:AF44,增益!$A:$A,增益!$I:$I,0)))/200,($F$11-$I$4+VLOOKUP($Q44,武学奇术!$A:$ZZ,9,FALSE)+SUM(_xlfn.XLOOKUP(R44:AF44,增益!$A:$A,增益!$I:$I,0)))/100)</f>
        <v>-0.3</v>
      </c>
      <c r="AV44" s="32" cm="1">
        <f t="array" ref="AV44">$G$11+VLOOKUP($Q44,武学奇术!$A:$ZZ,10,FALSE)+SUM(_xlfn.XLOOKUP(R44:AF44,增益!$A:$A,增益!$J:$J,0))</f>
        <v>0</v>
      </c>
      <c r="AW44">
        <f t="shared" ref="AW44:AW60" si="20">$D$12*(1+$AR44)</f>
        <v>0</v>
      </c>
      <c r="AX44">
        <f t="shared" ref="AX44:AX60" si="21">$E$12*(1+$AR44)</f>
        <v>0</v>
      </c>
      <c r="AY44" s="32" cm="1">
        <f t="array" ref="AY44">IF($F$12-$I$4+VLOOKUP($Q44,武学奇术!$A:$ZZ,11,FALSE)+SUM(_xlfn.XLOOKUP(R44:AF44,增益!$A:$A,增益!$K:$K,0))&gt;0,($F$12-$I$4+VLOOKUP($Q44,武学奇术!$A:$ZZ,11,FALSE)+SUM(_xlfn.XLOOKUP(R44:AF44,增益!$A:$A,增益!$K:$K,0)))/200,($F$12-$I$4+VLOOKUP($Q44,武学奇术!$A:$ZZ,11,FALSE)+SUM(_xlfn.XLOOKUP(R44:AF44,增益!$A:$A,增益!$K:$K,0)))/100)</f>
        <v>-0.3</v>
      </c>
      <c r="AZ44" s="32" cm="1">
        <f t="array" ref="AZ44">$G$12+VLOOKUP($Q44,武学奇术!$A:$ZZ,12,FALSE)+SUM(_xlfn.XLOOKUP(R44:AF44,增益!$A:$A,增益!$L:$L,0))</f>
        <v>0</v>
      </c>
      <c r="BA44">
        <f t="shared" si="13"/>
        <v>697.4</v>
      </c>
      <c r="BB44">
        <f t="shared" si="14"/>
        <v>1805</v>
      </c>
      <c r="BC44" s="32" cm="1">
        <f t="array" ref="BC44">IF($F$13-$I$4+VLOOKUP($Q44,武学奇术!$A:$ZZ,13,FALSE)+SUM(_xlfn.XLOOKUP(R44:AF44,增益!$A:$A,增益!$M:$M,0))&gt;0,($F$13-$I$4+VLOOKUP($Q44,武学奇术!$A:$ZZ,13,FALSE)+SUM(_xlfn.XLOOKUP(R44:AF44,增益!$A:$A,增益!$K:$K,0)))/200,($F$13-$I$4+VLOOKUP($Q44,武学奇术!$A:$ZZ,13,FALSE)+SUM(_xlfn.XLOOKUP(R44:AF44,增益!$A:$A,增益!$M:$M,0)))/100)</f>
        <v>0</v>
      </c>
      <c r="BD44" s="32" cm="1">
        <f t="array" ref="BD44">$G$13+VLOOKUP($Q44,武学奇术!$A:$ZZ,14,FALSE)+SUM(_xlfn.XLOOKUP(R44:AF44,增益!$A:$A,增益!$N:$N,0))</f>
        <v>0.15</v>
      </c>
      <c r="BE44">
        <f t="shared" si="15"/>
        <v>0</v>
      </c>
      <c r="BF44">
        <f t="shared" si="16"/>
        <v>0</v>
      </c>
      <c r="BG44" s="32" cm="1">
        <f t="array" ref="BG44">IF($F$14-$I$4+VLOOKUP($Q44,武学奇术!$A:$ZZ,15,FALSE)+SUM(_xlfn.XLOOKUP(R44:AF44,增益!$A:$A,增益!$O:$O,0))&gt;0,($F$14-$I$4+VLOOKUP($Q44,武学奇术!$A:$ZZ,15,FALSE)+SUM(_xlfn.XLOOKUP(R44:AF44,增益!$A:$A,增益!$O:$O,0)))/200,($F$14-$I$4+VLOOKUP($Q44,武学奇术!$A:$ZZ,15,FALSE)+SUM(_xlfn.XLOOKUP(R44:AF44,增益!$A:$A,增益!$O:$O,0)))/100)</f>
        <v>-0.3</v>
      </c>
      <c r="BH44" s="32" cm="1">
        <f t="array" ref="BH44">$G$14+VLOOKUP($Q44,武学奇术!$A:$ZZ,16,FALSE)+SUM(_xlfn.XLOOKUP(R44:AF44,增益!$A:$A,增益!$P:$P,0))</f>
        <v>0</v>
      </c>
      <c r="BI44" s="26">
        <f>MIN(IF(VLOOKUP($Q44,武学奇术!$A:$ZZ,23,FALSE)=1,100%,$B$8),100%)</f>
        <v>1</v>
      </c>
      <c r="BJ44" s="26" cm="1">
        <f t="array" ref="BJ44">IF(VLOOKUP($Q44,武学奇术!$A:$ZZ,23,FALSE)=1,100%,MIN(80%,$B$9+VLOOKUP($Q44,武学奇术!$A:$ZZ,17,FALSE)+SUM(_xlfn.XLOOKUP(R44:AF44,增益!$A:$A,增益!$Q:$Q,0)))+$B$11+SUM(_xlfn.XLOOKUP(R44:AF44,增益!$A:$A,增益!$U:$U,0)))*IF(VLOOKUP($Q44,武学奇术!$A:$ZZ,24,FALSE)=1,0,1)</f>
        <v>0.8625</v>
      </c>
      <c r="BK44" s="26" cm="1">
        <f t="array" ref="BK44">1+$B$13+VLOOKUP($Q44,武学奇术!$A:$ZZ,18,FALSE)+SUM(_xlfn.XLOOKUP(R44:AF44,增益!$A:$A,增益!$R:$R,0))</f>
        <v>1.5</v>
      </c>
      <c r="BL44" s="26" cm="1">
        <f t="array" ref="BL44">IF(VLOOKUP($Q44,武学奇术!$A:$ZZ,24,FALSE)=1,100%,MIN(40%,$B$10+VLOOKUP($Q44,武学奇术!$A:$ZZ,19,FALSE)+SUM(_xlfn.XLOOKUP(R44:AF44,增益!$A:$A,增益!$S:$S,0)))+$B$12+SUM(_xlfn.XLOOKUP(R44:AF44,增益!$A:$A,增益!$V:$V,0)))*IF(VLOOKUP($Q44,武学奇术!$A:$ZZ,23,FALSE)=1,0,1)</f>
        <v>0.0913</v>
      </c>
      <c r="BM44" s="26" cm="1">
        <f t="array" ref="BM44">1+$B$14+VLOOKUP($Q44,武学奇术!$A:$ZZ,20,FALSE)+SUM(_xlfn.XLOOKUP(R44:AF44,增益!$A:$A,增益!$T:$T,0))</f>
        <v>1.35</v>
      </c>
      <c r="BN44" s="26">
        <f t="shared" si="11"/>
        <v>0.8625</v>
      </c>
      <c r="BO44" s="26">
        <f t="shared" si="17"/>
        <v>0.0462</v>
      </c>
      <c r="BP44" s="26">
        <f>IF(VLOOKUP($Q44,武学奇术!$A:$ZZ,22,FALSE)=1,0,(1-$BI44))*(1-$BL44)</f>
        <v>0</v>
      </c>
      <c r="BQ44" s="26" cm="1">
        <f t="array" ref="BQ44">SUM(_xlfn.XLOOKUP(R44:AF44,增益!$A:$A,增益!$W:$W,0))+$I$5</f>
        <v>0.06</v>
      </c>
    </row>
    <row r="45" spans="5:69">
      <c r="K45" s="38">
        <f t="shared" si="12"/>
        <v>0</v>
      </c>
      <c r="L45" s="38">
        <f>((($AN45+$AO45)/2*$AH45+$AI45)*(1+$AP45)*(1+$AQ45)+(($AS45+$AT45)/2*IF($G$1="鸣金",$AJ45,$AH45)+IF($G$1="鸣金",$AK45*1.5,0))*(1+$AU45)*(1+$AV45)+(($AW45+$AX45)/2*IF($G$1="裂石",$AJ45,$AH45)+IF($G$1="裂石",$AK45*1.5,0))*(1+$AY45)*(1+$AZ45)+(($BA45+$BB45)/2*IF($G$1="牵丝",$AJ45,$AH45)+IF($G$1="牵丝",$AK45*1.5,0))*(1+$BC45)*(1+$BD45)+(($BE45+$BF45)/2*IF($G$1="破竹",$AJ45,$AH45)+IF($G$1="破竹",$AK45*1.5,0))*(1+$BG45)*(1+$BH45))*(1+$AL45)*$BK45*$P45*(1+IF(VLOOKUP($Q45,武学奇术!$A:$ZZ,30,FALSE)="蓄力技",#REF!,0))*(1+$BQ45)</f>
        <v>0</v>
      </c>
      <c r="M45" s="38">
        <f>(($AO45*$AH45+$AI45)*(1+$AP45)*(1+$AQ45)+($AT45*IF($G$1="鸣金",$AJ45,$AH45)+IF($G$1="鸣金",$AK45*1.5,0))*(1+$AU45)*(1+$AV45)+($AX45*IF($G$1="裂石",$AJ45,$AH45)+IF($G$1="裂石",$AK45*1.5,0))*(1+$AY45)*(1+$AZ45)+($BB45*IF($G$1="牵丝",$AJ45,$AH45)+IF($G$1="牵丝",$AK45*1.5,0))*(1+$BC45)*(1+$BD45)+($BF45*IF($G$1="破竹",$AJ45,$AH45)+IF($G$1="破竹",$AK45*1.5,0))*(1+$BG45)*(1+$BH45))*(1+$AL45)*$BM45*$P45*(1+IF(VLOOKUP($Q45,武学奇术!$A:$ZZ,30,FALSE)="蓄力技",#REF!,0))*(1+$BQ45)</f>
        <v>0</v>
      </c>
      <c r="N45" s="38">
        <f>((($AN45+$AO45)/2*$AH45+$AI45)*(1+$AP45)*(1+$AQ45)+(($AS45+$AT45)/2*IF($G$1="鸣金",$AJ45,$AH45)+IF($G$1="鸣金",$AK45*1.5,0))*(1+$AU45)*(1+$AV45)+(($AW45+$AX45)/2*IF($G$1="裂石",$AJ45,$AH45)+IF($G$1="裂石",$AK45*1.5,0))*(1+$AY45)*(1+$AZ45)+(($BA45+$BB45)/2*IF($G$1="牵丝",$AJ45,$AH45)+IF($G$1="牵丝",$AK45*1.5,0))*(1+$BC45)*(1+$BD45)+(($BE45+$BF45)/2*IF($G$1="破竹",$AJ45,$AH45)+IF($G$1="破竹",$AK45*1.5,0))*(1+$BG45)*(1+$BH45))*(1+$AL45)*$P45*(1+IF(VLOOKUP($Q45,武学奇术!$A:$ZZ,30,FALSE)="蓄力技",#REF!,0))*(1+$BQ45)</f>
        <v>0</v>
      </c>
      <c r="O45" s="38">
        <f>((($AN45*$AH45+$AI45)*(1+$AP45)*(1+$AQ45)+($AS45*IF($G$1="鸣金",$AJ45,$AH45)+IF($G$1="鸣金",$AK45*1.5,0))*(1+$AU45)*(1+$AV45)+($AW45*IF($G$1="裂石",$AJ45,$AH45)+IF($G$1="裂石",$AK45*1.5,0))*(1+$AY45)*(1+$AZ45)+($BA45*IF($G$1="牵丝",$AJ45,$AH45)+IF($G$1="牵丝",$AK45*1.5,0))*(1+$BC45)*(1+$BD45)+($BE45*IF($G$1="破竹",$AJ45,$AH45)+IF($G$1="破竹",$AK45*1.5,0))*(1+$BG45)*(1+$BH45))*(1+$AL45))*$P45*(1+IF(VLOOKUP($Q45,武学奇术!$A:$ZZ,30,FALSE)="蓄力技",#REF!,0))*(1+$BQ45)</f>
        <v>0</v>
      </c>
      <c r="P45" s="39">
        <v>1</v>
      </c>
      <c r="Q45" s="40" t="s">
        <v>76</v>
      </c>
      <c r="R45" s="40" t="s">
        <v>76</v>
      </c>
      <c r="S45" s="40" t="s">
        <v>76</v>
      </c>
      <c r="T45" s="40" t="s">
        <v>76</v>
      </c>
      <c r="U45" s="40" t="s">
        <v>76</v>
      </c>
      <c r="V45" s="40" t="s">
        <v>76</v>
      </c>
      <c r="W45" s="40" t="s">
        <v>76</v>
      </c>
      <c r="X45" s="40" t="s">
        <v>76</v>
      </c>
      <c r="Y45" s="40" t="s">
        <v>76</v>
      </c>
      <c r="Z45" s="40" t="s">
        <v>76</v>
      </c>
      <c r="AA45" s="40" t="s">
        <v>76</v>
      </c>
      <c r="AB45" s="40" t="s">
        <v>76</v>
      </c>
      <c r="AC45" s="40" t="s">
        <v>76</v>
      </c>
      <c r="AD45" s="40" t="s">
        <v>76</v>
      </c>
      <c r="AE45" s="40" t="s">
        <v>76</v>
      </c>
      <c r="AF45" s="40" t="s">
        <v>76</v>
      </c>
      <c r="AG45" t="str">
        <f>VLOOKUP($Q45,武学奇术!$A:$ZZ,25,FALSE)</f>
        <v>心法</v>
      </c>
      <c r="AH45" s="26">
        <f>VLOOKUP($Q45,武学奇术!$A:$ZZ,26,FALSE)</f>
        <v>0</v>
      </c>
      <c r="AI45" s="27">
        <f>VLOOKUP($Q45,武学奇术!$A:$ZZ,27,FALSE)*(1+IF(OR($AG45=$F$4,$AG45=$F$5),$B$21,0))</f>
        <v>0</v>
      </c>
      <c r="AJ45" s="26">
        <f>VLOOKUP($Q45,武学奇术!$A:$ZZ,28,FALSE)</f>
        <v>0</v>
      </c>
      <c r="AK45" s="27">
        <f>VLOOKUP($Q45,武学奇术!$A:$ZZ,29,FALSE)*(1+IF(OR($AG45=$F$4,$AG45=$F$5),$B$21,0))</f>
        <v>0</v>
      </c>
      <c r="AL45" s="26" cm="1">
        <f t="array" ref="AL45">$G$3+IFERROR(VLOOKUP($AG45,$F$4:$G$7,2,FALSE),0)+VLOOKUP($Q45,武学奇术!$A:$ZZ,2,FALSE)+SUM(_xlfn.XLOOKUP($R45:$AF45,增益!$A:$A,增益!$B:$B,0))</f>
        <v>0.2642</v>
      </c>
      <c r="AM45" s="26" cm="1">
        <f t="array" ref="AM45">VLOOKUP($Q45,武学奇术!$A:$ZZ,5,FALSE)+SUM(_xlfn.XLOOKUP($R45:$AF45,增益!$A:$A,增益!$E:$E,0))</f>
        <v>0</v>
      </c>
      <c r="AN45" cm="1">
        <f t="array" ref="AN45">$D$10*(1+$AM45)+VLOOKUP($Q45,武学奇术!$A:$ZZ,3,FALSE)+SUM(_xlfn.XLOOKUP($R45:$AF45,增益!$A:$A,增益!$C:$C,0))-$I$2</f>
        <v>3977.2</v>
      </c>
      <c r="AO45" cm="1">
        <f t="array" ref="AO45">$E$10*(1+$AM45)+VLOOKUP($Q45,武学奇术!$A:$ZZ,4,FALSE)+SUM(_xlfn.XLOOKUP($R45:$AF45,增益!$A:$A,增益!$D:$D,0))-$I$2</f>
        <v>3977.2</v>
      </c>
      <c r="AP45" s="32" cm="1">
        <f t="array" ref="AP45">IF($F$10-$I$3+VLOOKUP($Q45,武学奇术!$A:$ZZ,6,FALSE)+SUM(_xlfn.XLOOKUP(R45:AF45,增益!$A:$A,增益!$F:$F,0))&gt;0,($F$10-$I$3+VLOOKUP($Q45,武学奇术!$A:$ZZ,6,FALSE)+SUM(_xlfn.XLOOKUP(R45:AF45,增益!$A:$A,增益!$F:$F,0)))/200,($F$10-$I$3+VLOOKUP($Q45,武学奇术!$A:$ZZ,6,FALSE)+SUM(_xlfn.XLOOKUP(R45:AF45,增益!$A:$A,增益!$F:$F,0)))/100)</f>
        <v>0.294</v>
      </c>
      <c r="AQ45" s="32" cm="1">
        <f t="array" ref="AQ45">$G$10+VLOOKUP($Q45,武学奇术!$A:$ZZ,7,FALSE)+SUM(_xlfn.XLOOKUP(R45:AF45,增益!$A:$A,增益!$G:$G,0))</f>
        <v>0</v>
      </c>
      <c r="AR45" s="26" cm="1">
        <f t="array" ref="AR45">VLOOKUP($Q45,武学奇术!$A:$ZZ,8,FALSE)+SUM(_xlfn.XLOOKUP(R45:AF45,增益!$A:$A,增益!$H:$H,0))</f>
        <v>0</v>
      </c>
      <c r="AS45">
        <f t="shared" si="18"/>
        <v>0</v>
      </c>
      <c r="AT45">
        <f t="shared" si="19"/>
        <v>0</v>
      </c>
      <c r="AU45" s="32" cm="1">
        <f t="array" ref="AU45">IF($F$11-$I$4+VLOOKUP($Q45,武学奇术!$A:$ZZ,9,FALSE)+SUM(_xlfn.XLOOKUP(R45:AF45,增益!$A:$A,增益!$I:$I,0))&gt;0,($F$11-$I$4+VLOOKUP($Q45,武学奇术!$A:$ZZ,9,FALSE)+SUM(_xlfn.XLOOKUP(R45:AF45,增益!$A:$A,增益!$I:$I,0)))/200,($F$11-$I$4+VLOOKUP($Q45,武学奇术!$A:$ZZ,9,FALSE)+SUM(_xlfn.XLOOKUP(R45:AF45,增益!$A:$A,增益!$I:$I,0)))/100)</f>
        <v>-0.3</v>
      </c>
      <c r="AV45" s="32" cm="1">
        <f t="array" ref="AV45">$G$11+VLOOKUP($Q45,武学奇术!$A:$ZZ,10,FALSE)+SUM(_xlfn.XLOOKUP(R45:AF45,增益!$A:$A,增益!$J:$J,0))</f>
        <v>0</v>
      </c>
      <c r="AW45">
        <f t="shared" si="20"/>
        <v>0</v>
      </c>
      <c r="AX45">
        <f t="shared" si="21"/>
        <v>0</v>
      </c>
      <c r="AY45" s="32" cm="1">
        <f t="array" ref="AY45">IF($F$12-$I$4+VLOOKUP($Q45,武学奇术!$A:$ZZ,11,FALSE)+SUM(_xlfn.XLOOKUP(R45:AF45,增益!$A:$A,增益!$K:$K,0))&gt;0,($F$12-$I$4+VLOOKUP($Q45,武学奇术!$A:$ZZ,11,FALSE)+SUM(_xlfn.XLOOKUP(R45:AF45,增益!$A:$A,增益!$K:$K,0)))/200,($F$12-$I$4+VLOOKUP($Q45,武学奇术!$A:$ZZ,11,FALSE)+SUM(_xlfn.XLOOKUP(R45:AF45,增益!$A:$A,增益!$K:$K,0)))/100)</f>
        <v>-0.3</v>
      </c>
      <c r="AZ45" s="32" cm="1">
        <f t="array" ref="AZ45">$G$12+VLOOKUP($Q45,武学奇术!$A:$ZZ,12,FALSE)+SUM(_xlfn.XLOOKUP(R45:AF45,增益!$A:$A,增益!$L:$L,0))</f>
        <v>0</v>
      </c>
      <c r="BA45">
        <f t="shared" si="13"/>
        <v>697.4</v>
      </c>
      <c r="BB45">
        <f t="shared" si="14"/>
        <v>1805</v>
      </c>
      <c r="BC45" s="32" cm="1">
        <f t="array" ref="BC45">IF($F$13-$I$4+VLOOKUP($Q45,武学奇术!$A:$ZZ,13,FALSE)+SUM(_xlfn.XLOOKUP(R45:AF45,增益!$A:$A,增益!$M:$M,0))&gt;0,($F$13-$I$4+VLOOKUP($Q45,武学奇术!$A:$ZZ,13,FALSE)+SUM(_xlfn.XLOOKUP(R45:AF45,增益!$A:$A,增益!$K:$K,0)))/200,($F$13-$I$4+VLOOKUP($Q45,武学奇术!$A:$ZZ,13,FALSE)+SUM(_xlfn.XLOOKUP(R45:AF45,增益!$A:$A,增益!$M:$M,0)))/100)</f>
        <v>0</v>
      </c>
      <c r="BD45" s="32" cm="1">
        <f t="array" ref="BD45">$G$13+VLOOKUP($Q45,武学奇术!$A:$ZZ,14,FALSE)+SUM(_xlfn.XLOOKUP(R45:AF45,增益!$A:$A,增益!$N:$N,0))</f>
        <v>0.15</v>
      </c>
      <c r="BE45">
        <f t="shared" si="15"/>
        <v>0</v>
      </c>
      <c r="BF45">
        <f t="shared" si="16"/>
        <v>0</v>
      </c>
      <c r="BG45" s="32" cm="1">
        <f t="array" ref="BG45">IF($F$14-$I$4+VLOOKUP($Q45,武学奇术!$A:$ZZ,15,FALSE)+SUM(_xlfn.XLOOKUP(R45:AF45,增益!$A:$A,增益!$O:$O,0))&gt;0,($F$14-$I$4+VLOOKUP($Q45,武学奇术!$A:$ZZ,15,FALSE)+SUM(_xlfn.XLOOKUP(R45:AF45,增益!$A:$A,增益!$O:$O,0)))/200,($F$14-$I$4+VLOOKUP($Q45,武学奇术!$A:$ZZ,15,FALSE)+SUM(_xlfn.XLOOKUP(R45:AF45,增益!$A:$A,增益!$O:$O,0)))/100)</f>
        <v>-0.3</v>
      </c>
      <c r="BH45" s="32" cm="1">
        <f t="array" ref="BH45">$G$14+VLOOKUP($Q45,武学奇术!$A:$ZZ,16,FALSE)+SUM(_xlfn.XLOOKUP(R45:AF45,增益!$A:$A,增益!$P:$P,0))</f>
        <v>0</v>
      </c>
      <c r="BI45" s="26">
        <f>MIN(IF(VLOOKUP($Q45,武学奇术!$A:$ZZ,23,FALSE)=1,100%,$B$8),100%)</f>
        <v>1</v>
      </c>
      <c r="BJ45" s="26" cm="1">
        <f t="array" ref="BJ45">IF(VLOOKUP($Q45,武学奇术!$A:$ZZ,23,FALSE)=1,100%,MIN(80%,$B$9+VLOOKUP($Q45,武学奇术!$A:$ZZ,17,FALSE)+SUM(_xlfn.XLOOKUP(R45:AF45,增益!$A:$A,增益!$Q:$Q,0)))+$B$11+SUM(_xlfn.XLOOKUP(R45:AF45,增益!$A:$A,增益!$U:$U,0)))*IF(VLOOKUP($Q45,武学奇术!$A:$ZZ,24,FALSE)=1,0,1)</f>
        <v>0.8625</v>
      </c>
      <c r="BK45" s="26" cm="1">
        <f t="array" ref="BK45">1+$B$13+VLOOKUP($Q45,武学奇术!$A:$ZZ,18,FALSE)+SUM(_xlfn.XLOOKUP(R45:AF45,增益!$A:$A,增益!$R:$R,0))</f>
        <v>1.5</v>
      </c>
      <c r="BL45" s="26" cm="1">
        <f t="array" ref="BL45">IF(VLOOKUP($Q45,武学奇术!$A:$ZZ,24,FALSE)=1,100%,MIN(40%,$B$10+VLOOKUP($Q45,武学奇术!$A:$ZZ,19,FALSE)+SUM(_xlfn.XLOOKUP(R45:AF45,增益!$A:$A,增益!$S:$S,0)))+$B$12+SUM(_xlfn.XLOOKUP(R45:AF45,增益!$A:$A,增益!$V:$V,0)))*IF(VLOOKUP($Q45,武学奇术!$A:$ZZ,23,FALSE)=1,0,1)</f>
        <v>0.0913</v>
      </c>
      <c r="BM45" s="26" cm="1">
        <f t="array" ref="BM45">1+$B$14+VLOOKUP($Q45,武学奇术!$A:$ZZ,20,FALSE)+SUM(_xlfn.XLOOKUP(R45:AF45,增益!$A:$A,增益!$T:$T,0))</f>
        <v>1.35</v>
      </c>
      <c r="BN45" s="26">
        <f t="shared" si="11"/>
        <v>0.8625</v>
      </c>
      <c r="BO45" s="26">
        <f t="shared" si="17"/>
        <v>0.0462</v>
      </c>
      <c r="BP45" s="26">
        <f>IF(VLOOKUP($Q45,武学奇术!$A:$ZZ,22,FALSE)=1,0,(1-$BI45))*(1-$BL45)</f>
        <v>0</v>
      </c>
      <c r="BQ45" s="26" cm="1">
        <f t="array" ref="BQ45">SUM(_xlfn.XLOOKUP(R45:AF45,增益!$A:$A,增益!$W:$W,0))+$I$5</f>
        <v>0.06</v>
      </c>
    </row>
    <row r="46" spans="5:69">
      <c r="K46" s="38">
        <f t="shared" si="12"/>
        <v>0</v>
      </c>
      <c r="L46" s="38">
        <f>((($AN46+$AO46)/2*$AH46+$AI46)*(1+$AP46)*(1+$AQ46)+(($AS46+$AT46)/2*IF($G$1="鸣金",$AJ46,$AH46)+IF($G$1="鸣金",$AK46*1.5,0))*(1+$AU46)*(1+$AV46)+(($AW46+$AX46)/2*IF($G$1="裂石",$AJ46,$AH46)+IF($G$1="裂石",$AK46*1.5,0))*(1+$AY46)*(1+$AZ46)+(($BA46+$BB46)/2*IF($G$1="牵丝",$AJ46,$AH46)+IF($G$1="牵丝",$AK46*1.5,0))*(1+$BC46)*(1+$BD46)+(($BE46+$BF46)/2*IF($G$1="破竹",$AJ46,$AH46)+IF($G$1="破竹",$AK46*1.5,0))*(1+$BG46)*(1+$BH46))*(1+$AL46)*$BK46*$P46*(1+IF(VLOOKUP($Q46,武学奇术!$A:$ZZ,30,FALSE)="蓄力技",#REF!,0))*(1+$BQ46)</f>
        <v>0</v>
      </c>
      <c r="M46" s="38">
        <f>(($AO46*$AH46+$AI46)*(1+$AP46)*(1+$AQ46)+($AT46*IF($G$1="鸣金",$AJ46,$AH46)+IF($G$1="鸣金",$AK46*1.5,0))*(1+$AU46)*(1+$AV46)+($AX46*IF($G$1="裂石",$AJ46,$AH46)+IF($G$1="裂石",$AK46*1.5,0))*(1+$AY46)*(1+$AZ46)+($BB46*IF($G$1="牵丝",$AJ46,$AH46)+IF($G$1="牵丝",$AK46*1.5,0))*(1+$BC46)*(1+$BD46)+($BF46*IF($G$1="破竹",$AJ46,$AH46)+IF($G$1="破竹",$AK46*1.5,0))*(1+$BG46)*(1+$BH46))*(1+$AL46)*$BM46*$P46*(1+IF(VLOOKUP($Q46,武学奇术!$A:$ZZ,30,FALSE)="蓄力技",#REF!,0))*(1+$BQ46)</f>
        <v>0</v>
      </c>
      <c r="N46" s="38">
        <f>((($AN46+$AO46)/2*$AH46+$AI46)*(1+$AP46)*(1+$AQ46)+(($AS46+$AT46)/2*IF($G$1="鸣金",$AJ46,$AH46)+IF($G$1="鸣金",$AK46*1.5,0))*(1+$AU46)*(1+$AV46)+(($AW46+$AX46)/2*IF($G$1="裂石",$AJ46,$AH46)+IF($G$1="裂石",$AK46*1.5,0))*(1+$AY46)*(1+$AZ46)+(($BA46+$BB46)/2*IF($G$1="牵丝",$AJ46,$AH46)+IF($G$1="牵丝",$AK46*1.5,0))*(1+$BC46)*(1+$BD46)+(($BE46+$BF46)/2*IF($G$1="破竹",$AJ46,$AH46)+IF($G$1="破竹",$AK46*1.5,0))*(1+$BG46)*(1+$BH46))*(1+$AL46)*$P46*(1+IF(VLOOKUP($Q46,武学奇术!$A:$ZZ,30,FALSE)="蓄力技",#REF!,0))*(1+$BQ46)</f>
        <v>0</v>
      </c>
      <c r="O46" s="38">
        <f>((($AN46*$AH46+$AI46)*(1+$AP46)*(1+$AQ46)+($AS46*IF($G$1="鸣金",$AJ46,$AH46)+IF($G$1="鸣金",$AK46*1.5,0))*(1+$AU46)*(1+$AV46)+($AW46*IF($G$1="裂石",$AJ46,$AH46)+IF($G$1="裂石",$AK46*1.5,0))*(1+$AY46)*(1+$AZ46)+($BA46*IF($G$1="牵丝",$AJ46,$AH46)+IF($G$1="牵丝",$AK46*1.5,0))*(1+$BC46)*(1+$BD46)+($BE46*IF($G$1="破竹",$AJ46,$AH46)+IF($G$1="破竹",$AK46*1.5,0))*(1+$BG46)*(1+$BH46))*(1+$AL46))*$P46*(1+IF(VLOOKUP($Q46,武学奇术!$A:$ZZ,30,FALSE)="蓄力技",#REF!,0))*(1+$BQ46)</f>
        <v>0</v>
      </c>
      <c r="P46" s="39">
        <v>1</v>
      </c>
      <c r="Q46" s="40" t="s">
        <v>76</v>
      </c>
      <c r="R46" s="40" t="s">
        <v>76</v>
      </c>
      <c r="S46" s="40" t="s">
        <v>76</v>
      </c>
      <c r="T46" s="40" t="s">
        <v>76</v>
      </c>
      <c r="U46" s="40" t="s">
        <v>76</v>
      </c>
      <c r="V46" s="40" t="s">
        <v>76</v>
      </c>
      <c r="W46" s="40" t="s">
        <v>76</v>
      </c>
      <c r="X46" s="40" t="s">
        <v>76</v>
      </c>
      <c r="Y46" s="40" t="s">
        <v>76</v>
      </c>
      <c r="Z46" s="40" t="s">
        <v>76</v>
      </c>
      <c r="AA46" s="40" t="s">
        <v>76</v>
      </c>
      <c r="AB46" s="40" t="s">
        <v>76</v>
      </c>
      <c r="AC46" s="40" t="s">
        <v>76</v>
      </c>
      <c r="AD46" s="40" t="s">
        <v>76</v>
      </c>
      <c r="AE46" s="40" t="s">
        <v>76</v>
      </c>
      <c r="AF46" s="40" t="s">
        <v>76</v>
      </c>
      <c r="AG46" t="str">
        <f>VLOOKUP($Q46,武学奇术!$A:$ZZ,25,FALSE)</f>
        <v>心法</v>
      </c>
      <c r="AH46" s="26">
        <f>VLOOKUP($Q46,武学奇术!$A:$ZZ,26,FALSE)</f>
        <v>0</v>
      </c>
      <c r="AI46" s="27">
        <f>VLOOKUP($Q46,武学奇术!$A:$ZZ,27,FALSE)*(1+IF(OR($AG46=$F$4,$AG46=$F$5),$B$21,0))</f>
        <v>0</v>
      </c>
      <c r="AJ46" s="26">
        <f>VLOOKUP($Q46,武学奇术!$A:$ZZ,28,FALSE)</f>
        <v>0</v>
      </c>
      <c r="AK46" s="27">
        <f>VLOOKUP($Q46,武学奇术!$A:$ZZ,29,FALSE)*(1+IF(OR($AG46=$F$4,$AG46=$F$5),$B$21,0))</f>
        <v>0</v>
      </c>
      <c r="AL46" s="26" cm="1">
        <f t="array" ref="AL46">$G$3+IFERROR(VLOOKUP($AG46,$F$4:$G$7,2,FALSE),0)+VLOOKUP($Q46,武学奇术!$A:$ZZ,2,FALSE)+SUM(_xlfn.XLOOKUP($R46:$AF46,增益!$A:$A,增益!$B:$B,0))</f>
        <v>0.2642</v>
      </c>
      <c r="AM46" s="26" cm="1">
        <f t="array" ref="AM46">VLOOKUP($Q46,武学奇术!$A:$ZZ,5,FALSE)+SUM(_xlfn.XLOOKUP($R46:$AF46,增益!$A:$A,增益!$E:$E,0))</f>
        <v>0</v>
      </c>
      <c r="AN46" cm="1">
        <f t="array" ref="AN46">$D$10*(1+$AM46)+VLOOKUP($Q46,武学奇术!$A:$ZZ,3,FALSE)+SUM(_xlfn.XLOOKUP($R46:$AF46,增益!$A:$A,增益!$C:$C,0))-$I$2</f>
        <v>3977.2</v>
      </c>
      <c r="AO46" cm="1">
        <f t="array" ref="AO46">$E$10*(1+$AM46)+VLOOKUP($Q46,武学奇术!$A:$ZZ,4,FALSE)+SUM(_xlfn.XLOOKUP($R46:$AF46,增益!$A:$A,增益!$D:$D,0))-$I$2</f>
        <v>3977.2</v>
      </c>
      <c r="AP46" s="32" cm="1">
        <f t="array" ref="AP46">IF($F$10-$I$3+VLOOKUP($Q46,武学奇术!$A:$ZZ,6,FALSE)+SUM(_xlfn.XLOOKUP(R46:AF46,增益!$A:$A,增益!$F:$F,0))&gt;0,($F$10-$I$3+VLOOKUP($Q46,武学奇术!$A:$ZZ,6,FALSE)+SUM(_xlfn.XLOOKUP(R46:AF46,增益!$A:$A,增益!$F:$F,0)))/200,($F$10-$I$3+VLOOKUP($Q46,武学奇术!$A:$ZZ,6,FALSE)+SUM(_xlfn.XLOOKUP(R46:AF46,增益!$A:$A,增益!$F:$F,0)))/100)</f>
        <v>0.294</v>
      </c>
      <c r="AQ46" s="32" cm="1">
        <f t="array" ref="AQ46">$G$10+VLOOKUP($Q46,武学奇术!$A:$ZZ,7,FALSE)+SUM(_xlfn.XLOOKUP(R46:AF46,增益!$A:$A,增益!$G:$G,0))</f>
        <v>0</v>
      </c>
      <c r="AR46" s="26" cm="1">
        <f t="array" ref="AR46">VLOOKUP($Q46,武学奇术!$A:$ZZ,8,FALSE)+SUM(_xlfn.XLOOKUP(R46:AF46,增益!$A:$A,增益!$H:$H,0))</f>
        <v>0</v>
      </c>
      <c r="AS46">
        <f t="shared" si="18"/>
        <v>0</v>
      </c>
      <c r="AT46">
        <f t="shared" si="19"/>
        <v>0</v>
      </c>
      <c r="AU46" s="32" cm="1">
        <f t="array" ref="AU46">IF($F$11-$I$4+VLOOKUP($Q46,武学奇术!$A:$ZZ,9,FALSE)+SUM(_xlfn.XLOOKUP(R46:AF46,增益!$A:$A,增益!$I:$I,0))&gt;0,($F$11-$I$4+VLOOKUP($Q46,武学奇术!$A:$ZZ,9,FALSE)+SUM(_xlfn.XLOOKUP(R46:AF46,增益!$A:$A,增益!$I:$I,0)))/200,($F$11-$I$4+VLOOKUP($Q46,武学奇术!$A:$ZZ,9,FALSE)+SUM(_xlfn.XLOOKUP(R46:AF46,增益!$A:$A,增益!$I:$I,0)))/100)</f>
        <v>-0.3</v>
      </c>
      <c r="AV46" s="32" cm="1">
        <f t="array" ref="AV46">$G$11+VLOOKUP($Q46,武学奇术!$A:$ZZ,10,FALSE)+SUM(_xlfn.XLOOKUP(R46:AF46,增益!$A:$A,增益!$J:$J,0))</f>
        <v>0</v>
      </c>
      <c r="AW46">
        <f t="shared" si="20"/>
        <v>0</v>
      </c>
      <c r="AX46">
        <f t="shared" si="21"/>
        <v>0</v>
      </c>
      <c r="AY46" s="32" cm="1">
        <f t="array" ref="AY46">IF($F$12-$I$4+VLOOKUP($Q46,武学奇术!$A:$ZZ,11,FALSE)+SUM(_xlfn.XLOOKUP(R46:AF46,增益!$A:$A,增益!$K:$K,0))&gt;0,($F$12-$I$4+VLOOKUP($Q46,武学奇术!$A:$ZZ,11,FALSE)+SUM(_xlfn.XLOOKUP(R46:AF46,增益!$A:$A,增益!$K:$K,0)))/200,($F$12-$I$4+VLOOKUP($Q46,武学奇术!$A:$ZZ,11,FALSE)+SUM(_xlfn.XLOOKUP(R46:AF46,增益!$A:$A,增益!$K:$K,0)))/100)</f>
        <v>-0.3</v>
      </c>
      <c r="AZ46" s="32" cm="1">
        <f t="array" ref="AZ46">$G$12+VLOOKUP($Q46,武学奇术!$A:$ZZ,12,FALSE)+SUM(_xlfn.XLOOKUP(R46:AF46,增益!$A:$A,增益!$L:$L,0))</f>
        <v>0</v>
      </c>
      <c r="BA46">
        <f t="shared" si="13"/>
        <v>697.4</v>
      </c>
      <c r="BB46">
        <f t="shared" si="14"/>
        <v>1805</v>
      </c>
      <c r="BC46" s="32" cm="1">
        <f t="array" ref="BC46">IF($F$13-$I$4+VLOOKUP($Q46,武学奇术!$A:$ZZ,13,FALSE)+SUM(_xlfn.XLOOKUP(R46:AF46,增益!$A:$A,增益!$M:$M,0))&gt;0,($F$13-$I$4+VLOOKUP($Q46,武学奇术!$A:$ZZ,13,FALSE)+SUM(_xlfn.XLOOKUP(R46:AF46,增益!$A:$A,增益!$K:$K,0)))/200,($F$13-$I$4+VLOOKUP($Q46,武学奇术!$A:$ZZ,13,FALSE)+SUM(_xlfn.XLOOKUP(R46:AF46,增益!$A:$A,增益!$M:$M,0)))/100)</f>
        <v>0</v>
      </c>
      <c r="BD46" s="32" cm="1">
        <f t="array" ref="BD46">$G$13+VLOOKUP($Q46,武学奇术!$A:$ZZ,14,FALSE)+SUM(_xlfn.XLOOKUP(R46:AF46,增益!$A:$A,增益!$N:$N,0))</f>
        <v>0.15</v>
      </c>
      <c r="BE46">
        <f t="shared" si="15"/>
        <v>0</v>
      </c>
      <c r="BF46">
        <f t="shared" si="16"/>
        <v>0</v>
      </c>
      <c r="BG46" s="32" cm="1">
        <f t="array" ref="BG46">IF($F$14-$I$4+VLOOKUP($Q46,武学奇术!$A:$ZZ,15,FALSE)+SUM(_xlfn.XLOOKUP(R46:AF46,增益!$A:$A,增益!$O:$O,0))&gt;0,($F$14-$I$4+VLOOKUP($Q46,武学奇术!$A:$ZZ,15,FALSE)+SUM(_xlfn.XLOOKUP(R46:AF46,增益!$A:$A,增益!$O:$O,0)))/200,($F$14-$I$4+VLOOKUP($Q46,武学奇术!$A:$ZZ,15,FALSE)+SUM(_xlfn.XLOOKUP(R46:AF46,增益!$A:$A,增益!$O:$O,0)))/100)</f>
        <v>-0.3</v>
      </c>
      <c r="BH46" s="32" cm="1">
        <f t="array" ref="BH46">$G$14+VLOOKUP($Q46,武学奇术!$A:$ZZ,16,FALSE)+SUM(_xlfn.XLOOKUP(R46:AF46,增益!$A:$A,增益!$P:$P,0))</f>
        <v>0</v>
      </c>
      <c r="BI46" s="26">
        <f>MIN(IF(VLOOKUP($Q46,武学奇术!$A:$ZZ,23,FALSE)=1,100%,$B$8),100%)</f>
        <v>1</v>
      </c>
      <c r="BJ46" s="26" cm="1">
        <f t="array" ref="BJ46">IF(VLOOKUP($Q46,武学奇术!$A:$ZZ,23,FALSE)=1,100%,MIN(80%,$B$9+VLOOKUP($Q46,武学奇术!$A:$ZZ,17,FALSE)+SUM(_xlfn.XLOOKUP(R46:AF46,增益!$A:$A,增益!$Q:$Q,0)))+$B$11+SUM(_xlfn.XLOOKUP(R46:AF46,增益!$A:$A,增益!$U:$U,0)))*IF(VLOOKUP($Q46,武学奇术!$A:$ZZ,24,FALSE)=1,0,1)</f>
        <v>0.8625</v>
      </c>
      <c r="BK46" s="26" cm="1">
        <f t="array" ref="BK46">1+$B$13+VLOOKUP($Q46,武学奇术!$A:$ZZ,18,FALSE)+SUM(_xlfn.XLOOKUP(R46:AF46,增益!$A:$A,增益!$R:$R,0))</f>
        <v>1.5</v>
      </c>
      <c r="BL46" s="26" cm="1">
        <f t="array" ref="BL46">IF(VLOOKUP($Q46,武学奇术!$A:$ZZ,24,FALSE)=1,100%,MIN(40%,$B$10+VLOOKUP($Q46,武学奇术!$A:$ZZ,19,FALSE)+SUM(_xlfn.XLOOKUP(R46:AF46,增益!$A:$A,增益!$S:$S,0)))+$B$12+SUM(_xlfn.XLOOKUP(R46:AF46,增益!$A:$A,增益!$V:$V,0)))*IF(VLOOKUP($Q46,武学奇术!$A:$ZZ,23,FALSE)=1,0,1)</f>
        <v>0.0913</v>
      </c>
      <c r="BM46" s="26" cm="1">
        <f t="array" ref="BM46">1+$B$14+VLOOKUP($Q46,武学奇术!$A:$ZZ,20,FALSE)+SUM(_xlfn.XLOOKUP(R46:AF46,增益!$A:$A,增益!$T:$T,0))</f>
        <v>1.35</v>
      </c>
      <c r="BN46" s="26">
        <f t="shared" si="11"/>
        <v>0.8625</v>
      </c>
      <c r="BO46" s="26">
        <f t="shared" si="17"/>
        <v>0.0462</v>
      </c>
      <c r="BP46" s="26">
        <f>IF(VLOOKUP($Q46,武学奇术!$A:$ZZ,22,FALSE)=1,0,(1-$BI46))*(1-$BL46)</f>
        <v>0</v>
      </c>
      <c r="BQ46" s="26" cm="1">
        <f t="array" ref="BQ46">SUM(_xlfn.XLOOKUP(R46:AF46,增益!$A:$A,增益!$W:$W,0))+$I$5</f>
        <v>0.06</v>
      </c>
    </row>
    <row r="47" spans="5:69">
      <c r="K47" s="38">
        <f t="shared" si="12"/>
        <v>0</v>
      </c>
      <c r="L47" s="38">
        <f>((($AN47+$AO47)/2*$AH47+$AI47)*(1+$AP47)*(1+$AQ47)+(($AS47+$AT47)/2*IF($G$1="鸣金",$AJ47,$AH47)+IF($G$1="鸣金",$AK47*1.5,0))*(1+$AU47)*(1+$AV47)+(($AW47+$AX47)/2*IF($G$1="裂石",$AJ47,$AH47)+IF($G$1="裂石",$AK47*1.5,0))*(1+$AY47)*(1+$AZ47)+(($BA47+$BB47)/2*IF($G$1="牵丝",$AJ47,$AH47)+IF($G$1="牵丝",$AK47*1.5,0))*(1+$BC47)*(1+$BD47)+(($BE47+$BF47)/2*IF($G$1="破竹",$AJ47,$AH47)+IF($G$1="破竹",$AK47*1.5,0))*(1+$BG47)*(1+$BH47))*(1+$AL47)*$BK47*$P47*(1+IF(VLOOKUP($Q47,武学奇术!$A:$ZZ,30,FALSE)="蓄力技",#REF!,0))*(1+$BQ47)</f>
        <v>0</v>
      </c>
      <c r="M47" s="38">
        <f>(($AO47*$AH47+$AI47)*(1+$AP47)*(1+$AQ47)+($AT47*IF($G$1="鸣金",$AJ47,$AH47)+IF($G$1="鸣金",$AK47*1.5,0))*(1+$AU47)*(1+$AV47)+($AX47*IF($G$1="裂石",$AJ47,$AH47)+IF($G$1="裂石",$AK47*1.5,0))*(1+$AY47)*(1+$AZ47)+($BB47*IF($G$1="牵丝",$AJ47,$AH47)+IF($G$1="牵丝",$AK47*1.5,0))*(1+$BC47)*(1+$BD47)+($BF47*IF($G$1="破竹",$AJ47,$AH47)+IF($G$1="破竹",$AK47*1.5,0))*(1+$BG47)*(1+$BH47))*(1+$AL47)*$BM47*$P47*(1+IF(VLOOKUP($Q47,武学奇术!$A:$ZZ,30,FALSE)="蓄力技",#REF!,0))*(1+$BQ47)</f>
        <v>0</v>
      </c>
      <c r="N47" s="38">
        <f>((($AN47+$AO47)/2*$AH47+$AI47)*(1+$AP47)*(1+$AQ47)+(($AS47+$AT47)/2*IF($G$1="鸣金",$AJ47,$AH47)+IF($G$1="鸣金",$AK47*1.5,0))*(1+$AU47)*(1+$AV47)+(($AW47+$AX47)/2*IF($G$1="裂石",$AJ47,$AH47)+IF($G$1="裂石",$AK47*1.5,0))*(1+$AY47)*(1+$AZ47)+(($BA47+$BB47)/2*IF($G$1="牵丝",$AJ47,$AH47)+IF($G$1="牵丝",$AK47*1.5,0))*(1+$BC47)*(1+$BD47)+(($BE47+$BF47)/2*IF($G$1="破竹",$AJ47,$AH47)+IF($G$1="破竹",$AK47*1.5,0))*(1+$BG47)*(1+$BH47))*(1+$AL47)*$P47*(1+IF(VLOOKUP($Q47,武学奇术!$A:$ZZ,30,FALSE)="蓄力技",#REF!,0))*(1+$BQ47)</f>
        <v>0</v>
      </c>
      <c r="O47" s="38">
        <f>((($AN47*$AH47+$AI47)*(1+$AP47)*(1+$AQ47)+($AS47*IF($G$1="鸣金",$AJ47,$AH47)+IF($G$1="鸣金",$AK47*1.5,0))*(1+$AU47)*(1+$AV47)+($AW47*IF($G$1="裂石",$AJ47,$AH47)+IF($G$1="裂石",$AK47*1.5,0))*(1+$AY47)*(1+$AZ47)+($BA47*IF($G$1="牵丝",$AJ47,$AH47)+IF($G$1="牵丝",$AK47*1.5,0))*(1+$BC47)*(1+$BD47)+($BE47*IF($G$1="破竹",$AJ47,$AH47)+IF($G$1="破竹",$AK47*1.5,0))*(1+$BG47)*(1+$BH47))*(1+$AL47))*$P47*(1+IF(VLOOKUP($Q47,武学奇术!$A:$ZZ,30,FALSE)="蓄力技",#REF!,0))*(1+$BQ47)</f>
        <v>0</v>
      </c>
      <c r="P47" s="39">
        <v>1</v>
      </c>
      <c r="Q47" s="40" t="s">
        <v>76</v>
      </c>
      <c r="R47" s="40" t="s">
        <v>76</v>
      </c>
      <c r="S47" s="40" t="s">
        <v>76</v>
      </c>
      <c r="T47" s="40" t="s">
        <v>76</v>
      </c>
      <c r="U47" s="40" t="s">
        <v>76</v>
      </c>
      <c r="V47" s="40" t="s">
        <v>76</v>
      </c>
      <c r="W47" s="40" t="s">
        <v>76</v>
      </c>
      <c r="X47" s="40" t="s">
        <v>76</v>
      </c>
      <c r="Y47" s="40" t="s">
        <v>76</v>
      </c>
      <c r="Z47" s="40" t="s">
        <v>76</v>
      </c>
      <c r="AA47" s="40" t="s">
        <v>76</v>
      </c>
      <c r="AB47" s="40" t="s">
        <v>76</v>
      </c>
      <c r="AC47" s="40" t="s">
        <v>76</v>
      </c>
      <c r="AD47" s="40" t="s">
        <v>76</v>
      </c>
      <c r="AE47" s="40" t="s">
        <v>76</v>
      </c>
      <c r="AF47" s="40" t="s">
        <v>76</v>
      </c>
      <c r="AG47" t="str">
        <f>VLOOKUP($Q47,武学奇术!$A:$ZZ,25,FALSE)</f>
        <v>心法</v>
      </c>
      <c r="AH47" s="26">
        <f>VLOOKUP($Q47,武学奇术!$A:$ZZ,26,FALSE)</f>
        <v>0</v>
      </c>
      <c r="AI47" s="27">
        <f>VLOOKUP($Q47,武学奇术!$A:$ZZ,27,FALSE)*(1+IF(OR($AG47=$F$4,$AG47=$F$5),$B$21,0))</f>
        <v>0</v>
      </c>
      <c r="AJ47" s="26">
        <f>VLOOKUP($Q47,武学奇术!$A:$ZZ,28,FALSE)</f>
        <v>0</v>
      </c>
      <c r="AK47" s="27">
        <f>VLOOKUP($Q47,武学奇术!$A:$ZZ,29,FALSE)*(1+IF(OR($AG47=$F$4,$AG47=$F$5),$B$21,0))</f>
        <v>0</v>
      </c>
      <c r="AL47" s="26" cm="1">
        <f t="array" ref="AL47">$G$3+IFERROR(VLOOKUP($AG47,$F$4:$G$7,2,FALSE),0)+VLOOKUP($Q47,武学奇术!$A:$ZZ,2,FALSE)+SUM(_xlfn.XLOOKUP($R47:$AF47,增益!$A:$A,增益!$B:$B,0))</f>
        <v>0.2642</v>
      </c>
      <c r="AM47" s="26" cm="1">
        <f t="array" ref="AM47">VLOOKUP($Q47,武学奇术!$A:$ZZ,5,FALSE)+SUM(_xlfn.XLOOKUP($R47:$AF47,增益!$A:$A,增益!$E:$E,0))</f>
        <v>0</v>
      </c>
      <c r="AN47" cm="1">
        <f t="array" ref="AN47">$D$10*(1+$AM47)+VLOOKUP($Q47,武学奇术!$A:$ZZ,3,FALSE)+SUM(_xlfn.XLOOKUP($R47:$AF47,增益!$A:$A,增益!$C:$C,0))-$I$2</f>
        <v>3977.2</v>
      </c>
      <c r="AO47" cm="1">
        <f t="array" ref="AO47">$E$10*(1+$AM47)+VLOOKUP($Q47,武学奇术!$A:$ZZ,4,FALSE)+SUM(_xlfn.XLOOKUP($R47:$AF47,增益!$A:$A,增益!$D:$D,0))-$I$2</f>
        <v>3977.2</v>
      </c>
      <c r="AP47" s="32" cm="1">
        <f t="array" ref="AP47">IF($F$10-$I$3+VLOOKUP($Q47,武学奇术!$A:$ZZ,6,FALSE)+SUM(_xlfn.XLOOKUP(R47:AF47,增益!$A:$A,增益!$F:$F,0))&gt;0,($F$10-$I$3+VLOOKUP($Q47,武学奇术!$A:$ZZ,6,FALSE)+SUM(_xlfn.XLOOKUP(R47:AF47,增益!$A:$A,增益!$F:$F,0)))/200,($F$10-$I$3+VLOOKUP($Q47,武学奇术!$A:$ZZ,6,FALSE)+SUM(_xlfn.XLOOKUP(R47:AF47,增益!$A:$A,增益!$F:$F,0)))/100)</f>
        <v>0.294</v>
      </c>
      <c r="AQ47" s="32" cm="1">
        <f t="array" ref="AQ47">$G$10+VLOOKUP($Q47,武学奇术!$A:$ZZ,7,FALSE)+SUM(_xlfn.XLOOKUP(R47:AF47,增益!$A:$A,增益!$G:$G,0))</f>
        <v>0</v>
      </c>
      <c r="AR47" s="26" cm="1">
        <f t="array" ref="AR47">VLOOKUP($Q47,武学奇术!$A:$ZZ,8,FALSE)+SUM(_xlfn.XLOOKUP(R47:AF47,增益!$A:$A,增益!$H:$H,0))</f>
        <v>0</v>
      </c>
      <c r="AS47">
        <f t="shared" si="18"/>
        <v>0</v>
      </c>
      <c r="AT47">
        <f t="shared" si="19"/>
        <v>0</v>
      </c>
      <c r="AU47" s="32" cm="1">
        <f t="array" ref="AU47">IF($F$11-$I$4+VLOOKUP($Q47,武学奇术!$A:$ZZ,9,FALSE)+SUM(_xlfn.XLOOKUP(R47:AF47,增益!$A:$A,增益!$I:$I,0))&gt;0,($F$11-$I$4+VLOOKUP($Q47,武学奇术!$A:$ZZ,9,FALSE)+SUM(_xlfn.XLOOKUP(R47:AF47,增益!$A:$A,增益!$I:$I,0)))/200,($F$11-$I$4+VLOOKUP($Q47,武学奇术!$A:$ZZ,9,FALSE)+SUM(_xlfn.XLOOKUP(R47:AF47,增益!$A:$A,增益!$I:$I,0)))/100)</f>
        <v>-0.3</v>
      </c>
      <c r="AV47" s="32" cm="1">
        <f t="array" ref="AV47">$G$11+VLOOKUP($Q47,武学奇术!$A:$ZZ,10,FALSE)+SUM(_xlfn.XLOOKUP(R47:AF47,增益!$A:$A,增益!$J:$J,0))</f>
        <v>0</v>
      </c>
      <c r="AW47">
        <f t="shared" si="20"/>
        <v>0</v>
      </c>
      <c r="AX47">
        <f t="shared" si="21"/>
        <v>0</v>
      </c>
      <c r="AY47" s="32" cm="1">
        <f t="array" ref="AY47">IF($F$12-$I$4+VLOOKUP($Q47,武学奇术!$A:$ZZ,11,FALSE)+SUM(_xlfn.XLOOKUP(R47:AF47,增益!$A:$A,增益!$K:$K,0))&gt;0,($F$12-$I$4+VLOOKUP($Q47,武学奇术!$A:$ZZ,11,FALSE)+SUM(_xlfn.XLOOKUP(R47:AF47,增益!$A:$A,增益!$K:$K,0)))/200,($F$12-$I$4+VLOOKUP($Q47,武学奇术!$A:$ZZ,11,FALSE)+SUM(_xlfn.XLOOKUP(R47:AF47,增益!$A:$A,增益!$K:$K,0)))/100)</f>
        <v>-0.3</v>
      </c>
      <c r="AZ47" s="32" cm="1">
        <f t="array" ref="AZ47">$G$12+VLOOKUP($Q47,武学奇术!$A:$ZZ,12,FALSE)+SUM(_xlfn.XLOOKUP(R47:AF47,增益!$A:$A,增益!$L:$L,0))</f>
        <v>0</v>
      </c>
      <c r="BA47">
        <f t="shared" si="13"/>
        <v>697.4</v>
      </c>
      <c r="BB47">
        <f t="shared" si="14"/>
        <v>1805</v>
      </c>
      <c r="BC47" s="32" cm="1">
        <f t="array" ref="BC47">IF($F$13-$I$4+VLOOKUP($Q47,武学奇术!$A:$ZZ,13,FALSE)+SUM(_xlfn.XLOOKUP(R47:AF47,增益!$A:$A,增益!$M:$M,0))&gt;0,($F$13-$I$4+VLOOKUP($Q47,武学奇术!$A:$ZZ,13,FALSE)+SUM(_xlfn.XLOOKUP(R47:AF47,增益!$A:$A,增益!$K:$K,0)))/200,($F$13-$I$4+VLOOKUP($Q47,武学奇术!$A:$ZZ,13,FALSE)+SUM(_xlfn.XLOOKUP(R47:AF47,增益!$A:$A,增益!$M:$M,0)))/100)</f>
        <v>0</v>
      </c>
      <c r="BD47" s="32" cm="1">
        <f t="array" ref="BD47">$G$13+VLOOKUP($Q47,武学奇术!$A:$ZZ,14,FALSE)+SUM(_xlfn.XLOOKUP(R47:AF47,增益!$A:$A,增益!$N:$N,0))</f>
        <v>0.15</v>
      </c>
      <c r="BE47">
        <f t="shared" si="15"/>
        <v>0</v>
      </c>
      <c r="BF47">
        <f t="shared" si="16"/>
        <v>0</v>
      </c>
      <c r="BG47" s="32" cm="1">
        <f t="array" ref="BG47">IF($F$14-$I$4+VLOOKUP($Q47,武学奇术!$A:$ZZ,15,FALSE)+SUM(_xlfn.XLOOKUP(R47:AF47,增益!$A:$A,增益!$O:$O,0))&gt;0,($F$14-$I$4+VLOOKUP($Q47,武学奇术!$A:$ZZ,15,FALSE)+SUM(_xlfn.XLOOKUP(R47:AF47,增益!$A:$A,增益!$O:$O,0)))/200,($F$14-$I$4+VLOOKUP($Q47,武学奇术!$A:$ZZ,15,FALSE)+SUM(_xlfn.XLOOKUP(R47:AF47,增益!$A:$A,增益!$O:$O,0)))/100)</f>
        <v>-0.3</v>
      </c>
      <c r="BH47" s="32" cm="1">
        <f t="array" ref="BH47">$G$14+VLOOKUP($Q47,武学奇术!$A:$ZZ,16,FALSE)+SUM(_xlfn.XLOOKUP(R47:AF47,增益!$A:$A,增益!$P:$P,0))</f>
        <v>0</v>
      </c>
      <c r="BI47" s="26">
        <f>MIN(IF(VLOOKUP($Q47,武学奇术!$A:$ZZ,23,FALSE)=1,100%,$B$8),100%)</f>
        <v>1</v>
      </c>
      <c r="BJ47" s="26" cm="1">
        <f t="array" ref="BJ47">IF(VLOOKUP($Q47,武学奇术!$A:$ZZ,23,FALSE)=1,100%,MIN(80%,$B$9+VLOOKUP($Q47,武学奇术!$A:$ZZ,17,FALSE)+SUM(_xlfn.XLOOKUP(R47:AF47,增益!$A:$A,增益!$Q:$Q,0)))+$B$11+SUM(_xlfn.XLOOKUP(R47:AF47,增益!$A:$A,增益!$U:$U,0)))*IF(VLOOKUP($Q47,武学奇术!$A:$ZZ,24,FALSE)=1,0,1)</f>
        <v>0.8625</v>
      </c>
      <c r="BK47" s="26" cm="1">
        <f t="array" ref="BK47">1+$B$13+VLOOKUP($Q47,武学奇术!$A:$ZZ,18,FALSE)+SUM(_xlfn.XLOOKUP(R47:AF47,增益!$A:$A,增益!$R:$R,0))</f>
        <v>1.5</v>
      </c>
      <c r="BL47" s="26" cm="1">
        <f t="array" ref="BL47">IF(VLOOKUP($Q47,武学奇术!$A:$ZZ,24,FALSE)=1,100%,MIN(40%,$B$10+VLOOKUP($Q47,武学奇术!$A:$ZZ,19,FALSE)+SUM(_xlfn.XLOOKUP(R47:AF47,增益!$A:$A,增益!$S:$S,0)))+$B$12+SUM(_xlfn.XLOOKUP(R47:AF47,增益!$A:$A,增益!$V:$V,0)))*IF(VLOOKUP($Q47,武学奇术!$A:$ZZ,23,FALSE)=1,0,1)</f>
        <v>0.0913</v>
      </c>
      <c r="BM47" s="26" cm="1">
        <f t="array" ref="BM47">1+$B$14+VLOOKUP($Q47,武学奇术!$A:$ZZ,20,FALSE)+SUM(_xlfn.XLOOKUP(R47:AF47,增益!$A:$A,增益!$T:$T,0))</f>
        <v>1.35</v>
      </c>
      <c r="BN47" s="26">
        <f t="shared" si="11"/>
        <v>0.8625</v>
      </c>
      <c r="BO47" s="26">
        <f t="shared" si="17"/>
        <v>0.0462</v>
      </c>
      <c r="BP47" s="26">
        <f>IF(VLOOKUP($Q47,武学奇术!$A:$ZZ,22,FALSE)=1,0,(1-$BI47))*(1-$BL47)</f>
        <v>0</v>
      </c>
      <c r="BQ47" s="26" cm="1">
        <f t="array" ref="BQ47">SUM(_xlfn.XLOOKUP(R47:AF47,增益!$A:$A,增益!$W:$W,0))+$I$5</f>
        <v>0.06</v>
      </c>
    </row>
    <row r="48" spans="5:69">
      <c r="K48" s="38">
        <f t="shared" si="12"/>
        <v>0</v>
      </c>
      <c r="L48" s="38">
        <f>((($AN48+$AO48)/2*$AH48+$AI48)*(1+$AP48)*(1+$AQ48)+(($AS48+$AT48)/2*IF($G$1="鸣金",$AJ48,$AH48)+IF($G$1="鸣金",$AK48*1.5,0))*(1+$AU48)*(1+$AV48)+(($AW48+$AX48)/2*IF($G$1="裂石",$AJ48,$AH48)+IF($G$1="裂石",$AK48*1.5,0))*(1+$AY48)*(1+$AZ48)+(($BA48+$BB48)/2*IF($G$1="牵丝",$AJ48,$AH48)+IF($G$1="牵丝",$AK48*1.5,0))*(1+$BC48)*(1+$BD48)+(($BE48+$BF48)/2*IF($G$1="破竹",$AJ48,$AH48)+IF($G$1="破竹",$AK48*1.5,0))*(1+$BG48)*(1+$BH48))*(1+$AL48)*$BK48*$P48*(1+IF(VLOOKUP($Q48,武学奇术!$A:$ZZ,30,FALSE)="蓄力技",#REF!,0))*(1+$BQ48)</f>
        <v>0</v>
      </c>
      <c r="M48" s="38">
        <f>(($AO48*$AH48+$AI48)*(1+$AP48)*(1+$AQ48)+($AT48*IF($G$1="鸣金",$AJ48,$AH48)+IF($G$1="鸣金",$AK48*1.5,0))*(1+$AU48)*(1+$AV48)+($AX48*IF($G$1="裂石",$AJ48,$AH48)+IF($G$1="裂石",$AK48*1.5,0))*(1+$AY48)*(1+$AZ48)+($BB48*IF($G$1="牵丝",$AJ48,$AH48)+IF($G$1="牵丝",$AK48*1.5,0))*(1+$BC48)*(1+$BD48)+($BF48*IF($G$1="破竹",$AJ48,$AH48)+IF($G$1="破竹",$AK48*1.5,0))*(1+$BG48)*(1+$BH48))*(1+$AL48)*$BM48*$P48*(1+IF(VLOOKUP($Q48,武学奇术!$A:$ZZ,30,FALSE)="蓄力技",#REF!,0))*(1+$BQ48)</f>
        <v>0</v>
      </c>
      <c r="N48" s="38">
        <f>((($AN48+$AO48)/2*$AH48+$AI48)*(1+$AP48)*(1+$AQ48)+(($AS48+$AT48)/2*IF($G$1="鸣金",$AJ48,$AH48)+IF($G$1="鸣金",$AK48*1.5,0))*(1+$AU48)*(1+$AV48)+(($AW48+$AX48)/2*IF($G$1="裂石",$AJ48,$AH48)+IF($G$1="裂石",$AK48*1.5,0))*(1+$AY48)*(1+$AZ48)+(($BA48+$BB48)/2*IF($G$1="牵丝",$AJ48,$AH48)+IF($G$1="牵丝",$AK48*1.5,0))*(1+$BC48)*(1+$BD48)+(($BE48+$BF48)/2*IF($G$1="破竹",$AJ48,$AH48)+IF($G$1="破竹",$AK48*1.5,0))*(1+$BG48)*(1+$BH48))*(1+$AL48)*$P48*(1+IF(VLOOKUP($Q48,武学奇术!$A:$ZZ,30,FALSE)="蓄力技",#REF!,0))*(1+$BQ48)</f>
        <v>0</v>
      </c>
      <c r="O48" s="38">
        <f>((($AN48*$AH48+$AI48)*(1+$AP48)*(1+$AQ48)+($AS48*IF($G$1="鸣金",$AJ48,$AH48)+IF($G$1="鸣金",$AK48*1.5,0))*(1+$AU48)*(1+$AV48)+($AW48*IF($G$1="裂石",$AJ48,$AH48)+IF($G$1="裂石",$AK48*1.5,0))*(1+$AY48)*(1+$AZ48)+($BA48*IF($G$1="牵丝",$AJ48,$AH48)+IF($G$1="牵丝",$AK48*1.5,0))*(1+$BC48)*(1+$BD48)+($BE48*IF($G$1="破竹",$AJ48,$AH48)+IF($G$1="破竹",$AK48*1.5,0))*(1+$BG48)*(1+$BH48))*(1+$AL48))*$P48*(1+IF(VLOOKUP($Q48,武学奇术!$A:$ZZ,30,FALSE)="蓄力技",#REF!,0))*(1+$BQ48)</f>
        <v>0</v>
      </c>
      <c r="P48" s="39">
        <v>1</v>
      </c>
      <c r="Q48" s="40" t="s">
        <v>76</v>
      </c>
      <c r="R48" s="40" t="s">
        <v>76</v>
      </c>
      <c r="S48" s="40" t="s">
        <v>76</v>
      </c>
      <c r="T48" s="40" t="s">
        <v>76</v>
      </c>
      <c r="U48" s="40" t="s">
        <v>76</v>
      </c>
      <c r="V48" s="40" t="s">
        <v>76</v>
      </c>
      <c r="W48" s="40" t="s">
        <v>76</v>
      </c>
      <c r="X48" s="40" t="s">
        <v>76</v>
      </c>
      <c r="Y48" s="40" t="s">
        <v>76</v>
      </c>
      <c r="Z48" s="40" t="s">
        <v>76</v>
      </c>
      <c r="AA48" s="40" t="s">
        <v>76</v>
      </c>
      <c r="AB48" s="40" t="s">
        <v>76</v>
      </c>
      <c r="AC48" s="40" t="s">
        <v>76</v>
      </c>
      <c r="AD48" s="40" t="s">
        <v>76</v>
      </c>
      <c r="AE48" s="40" t="s">
        <v>76</v>
      </c>
      <c r="AF48" s="40" t="s">
        <v>76</v>
      </c>
      <c r="AG48" t="str">
        <f>VLOOKUP($Q48,武学奇术!$A:$ZZ,25,FALSE)</f>
        <v>心法</v>
      </c>
      <c r="AH48" s="26">
        <f>VLOOKUP($Q48,武学奇术!$A:$ZZ,26,FALSE)</f>
        <v>0</v>
      </c>
      <c r="AI48" s="27">
        <f>VLOOKUP($Q48,武学奇术!$A:$ZZ,27,FALSE)*(1+IF(OR($AG48=$F$4,$AG48=$F$5),$B$21,0))</f>
        <v>0</v>
      </c>
      <c r="AJ48" s="26">
        <f>VLOOKUP($Q48,武学奇术!$A:$ZZ,28,FALSE)</f>
        <v>0</v>
      </c>
      <c r="AK48" s="27">
        <f>VLOOKUP($Q48,武学奇术!$A:$ZZ,29,FALSE)*(1+IF(OR($AG48=$F$4,$AG48=$F$5),$B$21,0))</f>
        <v>0</v>
      </c>
      <c r="AL48" s="26" cm="1">
        <f t="array" ref="AL48">$G$3+IFERROR(VLOOKUP($AG48,$F$4:$G$7,2,FALSE),0)+VLOOKUP($Q48,武学奇术!$A:$ZZ,2,FALSE)+SUM(_xlfn.XLOOKUP($R48:$AF48,增益!$A:$A,增益!$B:$B,0))</f>
        <v>0.2642</v>
      </c>
      <c r="AM48" s="26" cm="1">
        <f t="array" ref="AM48">VLOOKUP($Q48,武学奇术!$A:$ZZ,5,FALSE)+SUM(_xlfn.XLOOKUP($R48:$AF48,增益!$A:$A,增益!$E:$E,0))</f>
        <v>0</v>
      </c>
      <c r="AN48" cm="1">
        <f t="array" ref="AN48">$D$10*(1+$AM48)+VLOOKUP($Q48,武学奇术!$A:$ZZ,3,FALSE)+SUM(_xlfn.XLOOKUP($R48:$AF48,增益!$A:$A,增益!$C:$C,0))-$I$2</f>
        <v>3977.2</v>
      </c>
      <c r="AO48" cm="1">
        <f t="array" ref="AO48">$E$10*(1+$AM48)+VLOOKUP($Q48,武学奇术!$A:$ZZ,4,FALSE)+SUM(_xlfn.XLOOKUP($R48:$AF48,增益!$A:$A,增益!$D:$D,0))-$I$2</f>
        <v>3977.2</v>
      </c>
      <c r="AP48" s="32" cm="1">
        <f t="array" ref="AP48">IF($F$10-$I$3+VLOOKUP($Q48,武学奇术!$A:$ZZ,6,FALSE)+SUM(_xlfn.XLOOKUP(R48:AF48,增益!$A:$A,增益!$F:$F,0))&gt;0,($F$10-$I$3+VLOOKUP($Q48,武学奇术!$A:$ZZ,6,FALSE)+SUM(_xlfn.XLOOKUP(R48:AF48,增益!$A:$A,增益!$F:$F,0)))/200,($F$10-$I$3+VLOOKUP($Q48,武学奇术!$A:$ZZ,6,FALSE)+SUM(_xlfn.XLOOKUP(R48:AF48,增益!$A:$A,增益!$F:$F,0)))/100)</f>
        <v>0.294</v>
      </c>
      <c r="AQ48" s="32" cm="1">
        <f t="array" ref="AQ48">$G$10+VLOOKUP($Q48,武学奇术!$A:$ZZ,7,FALSE)+SUM(_xlfn.XLOOKUP(R48:AF48,增益!$A:$A,增益!$G:$G,0))</f>
        <v>0</v>
      </c>
      <c r="AR48" s="26" cm="1">
        <f t="array" ref="AR48">VLOOKUP($Q48,武学奇术!$A:$ZZ,8,FALSE)+SUM(_xlfn.XLOOKUP(R48:AF48,增益!$A:$A,增益!$H:$H,0))</f>
        <v>0</v>
      </c>
      <c r="AS48">
        <f t="shared" si="18"/>
        <v>0</v>
      </c>
      <c r="AT48">
        <f t="shared" si="19"/>
        <v>0</v>
      </c>
      <c r="AU48" s="32" cm="1">
        <f t="array" ref="AU48">IF($F$11-$I$4+VLOOKUP($Q48,武学奇术!$A:$ZZ,9,FALSE)+SUM(_xlfn.XLOOKUP(R48:AF48,增益!$A:$A,增益!$I:$I,0))&gt;0,($F$11-$I$4+VLOOKUP($Q48,武学奇术!$A:$ZZ,9,FALSE)+SUM(_xlfn.XLOOKUP(R48:AF48,增益!$A:$A,增益!$I:$I,0)))/200,($F$11-$I$4+VLOOKUP($Q48,武学奇术!$A:$ZZ,9,FALSE)+SUM(_xlfn.XLOOKUP(R48:AF48,增益!$A:$A,增益!$I:$I,0)))/100)</f>
        <v>-0.3</v>
      </c>
      <c r="AV48" s="32" cm="1">
        <f t="array" ref="AV48">$G$11+VLOOKUP($Q48,武学奇术!$A:$ZZ,10,FALSE)+SUM(_xlfn.XLOOKUP(R48:AF48,增益!$A:$A,增益!$J:$J,0))</f>
        <v>0</v>
      </c>
      <c r="AW48">
        <f t="shared" si="20"/>
        <v>0</v>
      </c>
      <c r="AX48">
        <f t="shared" si="21"/>
        <v>0</v>
      </c>
      <c r="AY48" s="32" cm="1">
        <f t="array" ref="AY48">IF($F$12-$I$4+VLOOKUP($Q48,武学奇术!$A:$ZZ,11,FALSE)+SUM(_xlfn.XLOOKUP(R48:AF48,增益!$A:$A,增益!$K:$K,0))&gt;0,($F$12-$I$4+VLOOKUP($Q48,武学奇术!$A:$ZZ,11,FALSE)+SUM(_xlfn.XLOOKUP(R48:AF48,增益!$A:$A,增益!$K:$K,0)))/200,($F$12-$I$4+VLOOKUP($Q48,武学奇术!$A:$ZZ,11,FALSE)+SUM(_xlfn.XLOOKUP(R48:AF48,增益!$A:$A,增益!$K:$K,0)))/100)</f>
        <v>-0.3</v>
      </c>
      <c r="AZ48" s="32" cm="1">
        <f t="array" ref="AZ48">$G$12+VLOOKUP($Q48,武学奇术!$A:$ZZ,12,FALSE)+SUM(_xlfn.XLOOKUP(R48:AF48,增益!$A:$A,增益!$L:$L,0))</f>
        <v>0</v>
      </c>
      <c r="BA48">
        <f t="shared" si="13"/>
        <v>697.4</v>
      </c>
      <c r="BB48">
        <f t="shared" si="14"/>
        <v>1805</v>
      </c>
      <c r="BC48" s="32" cm="1">
        <f t="array" ref="BC48">IF($F$13-$I$4+VLOOKUP($Q48,武学奇术!$A:$ZZ,13,FALSE)+SUM(_xlfn.XLOOKUP(R48:AF48,增益!$A:$A,增益!$M:$M,0))&gt;0,($F$13-$I$4+VLOOKUP($Q48,武学奇术!$A:$ZZ,13,FALSE)+SUM(_xlfn.XLOOKUP(R48:AF48,增益!$A:$A,增益!$K:$K,0)))/200,($F$13-$I$4+VLOOKUP($Q48,武学奇术!$A:$ZZ,13,FALSE)+SUM(_xlfn.XLOOKUP(R48:AF48,增益!$A:$A,增益!$M:$M,0)))/100)</f>
        <v>0</v>
      </c>
      <c r="BD48" s="32" cm="1">
        <f t="array" ref="BD48">$G$13+VLOOKUP($Q48,武学奇术!$A:$ZZ,14,FALSE)+SUM(_xlfn.XLOOKUP(R48:AF48,增益!$A:$A,增益!$N:$N,0))</f>
        <v>0.15</v>
      </c>
      <c r="BE48">
        <f t="shared" si="15"/>
        <v>0</v>
      </c>
      <c r="BF48">
        <f t="shared" si="16"/>
        <v>0</v>
      </c>
      <c r="BG48" s="32" cm="1">
        <f t="array" ref="BG48">IF($F$14-$I$4+VLOOKUP($Q48,武学奇术!$A:$ZZ,15,FALSE)+SUM(_xlfn.XLOOKUP(R48:AF48,增益!$A:$A,增益!$O:$O,0))&gt;0,($F$14-$I$4+VLOOKUP($Q48,武学奇术!$A:$ZZ,15,FALSE)+SUM(_xlfn.XLOOKUP(R48:AF48,增益!$A:$A,增益!$O:$O,0)))/200,($F$14-$I$4+VLOOKUP($Q48,武学奇术!$A:$ZZ,15,FALSE)+SUM(_xlfn.XLOOKUP(R48:AF48,增益!$A:$A,增益!$O:$O,0)))/100)</f>
        <v>-0.3</v>
      </c>
      <c r="BH48" s="32" cm="1">
        <f t="array" ref="BH48">$G$14+VLOOKUP($Q48,武学奇术!$A:$ZZ,16,FALSE)+SUM(_xlfn.XLOOKUP(R48:AF48,增益!$A:$A,增益!$P:$P,0))</f>
        <v>0</v>
      </c>
      <c r="BI48" s="26">
        <f>MIN(IF(VLOOKUP($Q48,武学奇术!$A:$ZZ,23,FALSE)=1,100%,$B$8),100%)</f>
        <v>1</v>
      </c>
      <c r="BJ48" s="26" cm="1">
        <f t="array" ref="BJ48">IF(VLOOKUP($Q48,武学奇术!$A:$ZZ,23,FALSE)=1,100%,MIN(80%,$B$9+VLOOKUP($Q48,武学奇术!$A:$ZZ,17,FALSE)+SUM(_xlfn.XLOOKUP(R48:AF48,增益!$A:$A,增益!$Q:$Q,0)))+$B$11+SUM(_xlfn.XLOOKUP(R48:AF48,增益!$A:$A,增益!$U:$U,0)))*IF(VLOOKUP($Q48,武学奇术!$A:$ZZ,24,FALSE)=1,0,1)</f>
        <v>0.8625</v>
      </c>
      <c r="BK48" s="26" cm="1">
        <f t="array" ref="BK48">1+$B$13+VLOOKUP($Q48,武学奇术!$A:$ZZ,18,FALSE)+SUM(_xlfn.XLOOKUP(R48:AF48,增益!$A:$A,增益!$R:$R,0))</f>
        <v>1.5</v>
      </c>
      <c r="BL48" s="26" cm="1">
        <f t="array" ref="BL48">IF(VLOOKUP($Q48,武学奇术!$A:$ZZ,24,FALSE)=1,100%,MIN(40%,$B$10+VLOOKUP($Q48,武学奇术!$A:$ZZ,19,FALSE)+SUM(_xlfn.XLOOKUP(R48:AF48,增益!$A:$A,增益!$S:$S,0)))+$B$12+SUM(_xlfn.XLOOKUP(R48:AF48,增益!$A:$A,增益!$V:$V,0)))*IF(VLOOKUP($Q48,武学奇术!$A:$ZZ,23,FALSE)=1,0,1)</f>
        <v>0.0913</v>
      </c>
      <c r="BM48" s="26" cm="1">
        <f t="array" ref="BM48">1+$B$14+VLOOKUP($Q48,武学奇术!$A:$ZZ,20,FALSE)+SUM(_xlfn.XLOOKUP(R48:AF48,增益!$A:$A,增益!$T:$T,0))</f>
        <v>1.35</v>
      </c>
      <c r="BN48" s="26">
        <f t="shared" si="11"/>
        <v>0.8625</v>
      </c>
      <c r="BO48" s="26">
        <f t="shared" si="17"/>
        <v>0.0462</v>
      </c>
      <c r="BP48" s="26">
        <f>IF(VLOOKUP($Q48,武学奇术!$A:$ZZ,22,FALSE)=1,0,(1-$BI48))*(1-$BL48)</f>
        <v>0</v>
      </c>
      <c r="BQ48" s="26" cm="1">
        <f t="array" ref="BQ48">SUM(_xlfn.XLOOKUP(R48:AF48,增益!$A:$A,增益!$W:$W,0))+$I$5</f>
        <v>0.06</v>
      </c>
    </row>
    <row r="49" spans="4:69">
      <c r="K49" s="38">
        <f t="shared" si="12"/>
        <v>0</v>
      </c>
      <c r="L49" s="38">
        <f>((($AN49+$AO49)/2*$AH49+$AI49)*(1+$AP49)*(1+$AQ49)+(($AS49+$AT49)/2*IF($G$1="鸣金",$AJ49,$AH49)+IF($G$1="鸣金",$AK49*1.5,0))*(1+$AU49)*(1+$AV49)+(($AW49+$AX49)/2*IF($G$1="裂石",$AJ49,$AH49)+IF($G$1="裂石",$AK49*1.5,0))*(1+$AY49)*(1+$AZ49)+(($BA49+$BB49)/2*IF($G$1="牵丝",$AJ49,$AH49)+IF($G$1="牵丝",$AK49*1.5,0))*(1+$BC49)*(1+$BD49)+(($BE49+$BF49)/2*IF($G$1="破竹",$AJ49,$AH49)+IF($G$1="破竹",$AK49*1.5,0))*(1+$BG49)*(1+$BH49))*(1+$AL49)*$BK49*$P49*(1+IF(VLOOKUP($Q49,武学奇术!$A:$ZZ,30,FALSE)="蓄力技",#REF!,0))*(1+$BQ49)</f>
        <v>0</v>
      </c>
      <c r="M49" s="38">
        <f>(($AO49*$AH49+$AI49)*(1+$AP49)*(1+$AQ49)+($AT49*IF($G$1="鸣金",$AJ49,$AH49)+IF($G$1="鸣金",$AK49*1.5,0))*(1+$AU49)*(1+$AV49)+($AX49*IF($G$1="裂石",$AJ49,$AH49)+IF($G$1="裂石",$AK49*1.5,0))*(1+$AY49)*(1+$AZ49)+($BB49*IF($G$1="牵丝",$AJ49,$AH49)+IF($G$1="牵丝",$AK49*1.5,0))*(1+$BC49)*(1+$BD49)+($BF49*IF($G$1="破竹",$AJ49,$AH49)+IF($G$1="破竹",$AK49*1.5,0))*(1+$BG49)*(1+$BH49))*(1+$AL49)*$BM49*$P49*(1+IF(VLOOKUP($Q49,武学奇术!$A:$ZZ,30,FALSE)="蓄力技",#REF!,0))*(1+$BQ49)</f>
        <v>0</v>
      </c>
      <c r="N49" s="38">
        <f>((($AN49+$AO49)/2*$AH49+$AI49)*(1+$AP49)*(1+$AQ49)+(($AS49+$AT49)/2*IF($G$1="鸣金",$AJ49,$AH49)+IF($G$1="鸣金",$AK49*1.5,0))*(1+$AU49)*(1+$AV49)+(($AW49+$AX49)/2*IF($G$1="裂石",$AJ49,$AH49)+IF($G$1="裂石",$AK49*1.5,0))*(1+$AY49)*(1+$AZ49)+(($BA49+$BB49)/2*IF($G$1="牵丝",$AJ49,$AH49)+IF($G$1="牵丝",$AK49*1.5,0))*(1+$BC49)*(1+$BD49)+(($BE49+$BF49)/2*IF($G$1="破竹",$AJ49,$AH49)+IF($G$1="破竹",$AK49*1.5,0))*(1+$BG49)*(1+$BH49))*(1+$AL49)*$P49*(1+IF(VLOOKUP($Q49,武学奇术!$A:$ZZ,30,FALSE)="蓄力技",#REF!,0))*(1+$BQ49)</f>
        <v>0</v>
      </c>
      <c r="O49" s="38">
        <f>((($AN49*$AH49+$AI49)*(1+$AP49)*(1+$AQ49)+($AS49*IF($G$1="鸣金",$AJ49,$AH49)+IF($G$1="鸣金",$AK49*1.5,0))*(1+$AU49)*(1+$AV49)+($AW49*IF($G$1="裂石",$AJ49,$AH49)+IF($G$1="裂石",$AK49*1.5,0))*(1+$AY49)*(1+$AZ49)+($BA49*IF($G$1="牵丝",$AJ49,$AH49)+IF($G$1="牵丝",$AK49*1.5,0))*(1+$BC49)*(1+$BD49)+($BE49*IF($G$1="破竹",$AJ49,$AH49)+IF($G$1="破竹",$AK49*1.5,0))*(1+$BG49)*(1+$BH49))*(1+$AL49))*$P49*(1+IF(VLOOKUP($Q49,武学奇术!$A:$ZZ,30,FALSE)="蓄力技",#REF!,0))*(1+$BQ49)</f>
        <v>0</v>
      </c>
      <c r="P49" s="39">
        <v>1</v>
      </c>
      <c r="Q49" s="40" t="s">
        <v>76</v>
      </c>
      <c r="R49" s="40" t="s">
        <v>76</v>
      </c>
      <c r="S49" s="40" t="s">
        <v>76</v>
      </c>
      <c r="T49" s="40" t="s">
        <v>76</v>
      </c>
      <c r="U49" s="40" t="s">
        <v>76</v>
      </c>
      <c r="V49" s="40" t="s">
        <v>76</v>
      </c>
      <c r="W49" s="40" t="s">
        <v>76</v>
      </c>
      <c r="X49" s="40" t="s">
        <v>76</v>
      </c>
      <c r="Y49" s="40" t="s">
        <v>76</v>
      </c>
      <c r="Z49" s="40" t="s">
        <v>76</v>
      </c>
      <c r="AA49" s="40" t="s">
        <v>76</v>
      </c>
      <c r="AB49" s="40" t="s">
        <v>76</v>
      </c>
      <c r="AC49" s="40" t="s">
        <v>76</v>
      </c>
      <c r="AD49" s="40" t="s">
        <v>76</v>
      </c>
      <c r="AE49" s="40" t="s">
        <v>76</v>
      </c>
      <c r="AF49" s="40" t="s">
        <v>76</v>
      </c>
      <c r="AG49" t="str">
        <f>VLOOKUP($Q49,武学奇术!$A:$ZZ,25,FALSE)</f>
        <v>心法</v>
      </c>
      <c r="AH49" s="26">
        <f>VLOOKUP($Q49,武学奇术!$A:$ZZ,26,FALSE)</f>
        <v>0</v>
      </c>
      <c r="AI49" s="27">
        <f>VLOOKUP($Q49,武学奇术!$A:$ZZ,27,FALSE)*(1+IF(OR($AG49=$F$4,$AG49=$F$5),$B$21,0))</f>
        <v>0</v>
      </c>
      <c r="AJ49" s="26">
        <f>VLOOKUP($Q49,武学奇术!$A:$ZZ,28,FALSE)</f>
        <v>0</v>
      </c>
      <c r="AK49" s="27">
        <f>VLOOKUP($Q49,武学奇术!$A:$ZZ,29,FALSE)*(1+IF(OR($AG49=$F$4,$AG49=$F$5),$B$21,0))</f>
        <v>0</v>
      </c>
      <c r="AL49" s="26" cm="1">
        <f t="array" ref="AL49">$G$3+IFERROR(VLOOKUP($AG49,$F$4:$G$7,2,FALSE),0)+VLOOKUP($Q49,武学奇术!$A:$ZZ,2,FALSE)+SUM(_xlfn.XLOOKUP($R49:$AF49,增益!$A:$A,增益!$B:$B,0))</f>
        <v>0.2642</v>
      </c>
      <c r="AM49" s="26" cm="1">
        <f t="array" ref="AM49">VLOOKUP($Q49,武学奇术!$A:$ZZ,5,FALSE)+SUM(_xlfn.XLOOKUP($R49:$AF49,增益!$A:$A,增益!$E:$E,0))</f>
        <v>0</v>
      </c>
      <c r="AN49" cm="1">
        <f t="array" ref="AN49">$D$10*(1+$AM49)+VLOOKUP($Q49,武学奇术!$A:$ZZ,3,FALSE)+SUM(_xlfn.XLOOKUP($R49:$AF49,增益!$A:$A,增益!$C:$C,0))-$I$2</f>
        <v>3977.2</v>
      </c>
      <c r="AO49" cm="1">
        <f t="array" ref="AO49">$E$10*(1+$AM49)+VLOOKUP($Q49,武学奇术!$A:$ZZ,4,FALSE)+SUM(_xlfn.XLOOKUP($R49:$AF49,增益!$A:$A,增益!$D:$D,0))-$I$2</f>
        <v>3977.2</v>
      </c>
      <c r="AP49" s="32" cm="1">
        <f t="array" ref="AP49">IF($F$10-$I$3+VLOOKUP($Q49,武学奇术!$A:$ZZ,6,FALSE)+SUM(_xlfn.XLOOKUP(R49:AF49,增益!$A:$A,增益!$F:$F,0))&gt;0,($F$10-$I$3+VLOOKUP($Q49,武学奇术!$A:$ZZ,6,FALSE)+SUM(_xlfn.XLOOKUP(R49:AF49,增益!$A:$A,增益!$F:$F,0)))/200,($F$10-$I$3+VLOOKUP($Q49,武学奇术!$A:$ZZ,6,FALSE)+SUM(_xlfn.XLOOKUP(R49:AF49,增益!$A:$A,增益!$F:$F,0)))/100)</f>
        <v>0.294</v>
      </c>
      <c r="AQ49" s="32" cm="1">
        <f t="array" ref="AQ49">$G$10+VLOOKUP($Q49,武学奇术!$A:$ZZ,7,FALSE)+SUM(_xlfn.XLOOKUP(R49:AF49,增益!$A:$A,增益!$G:$G,0))</f>
        <v>0</v>
      </c>
      <c r="AR49" s="26" cm="1">
        <f t="array" ref="AR49">VLOOKUP($Q49,武学奇术!$A:$ZZ,8,FALSE)+SUM(_xlfn.XLOOKUP(R49:AF49,增益!$A:$A,增益!$H:$H,0))</f>
        <v>0</v>
      </c>
      <c r="AS49">
        <f t="shared" si="18"/>
        <v>0</v>
      </c>
      <c r="AT49">
        <f t="shared" si="19"/>
        <v>0</v>
      </c>
      <c r="AU49" s="32" cm="1">
        <f t="array" ref="AU49">IF($F$11-$I$4+VLOOKUP($Q49,武学奇术!$A:$ZZ,9,FALSE)+SUM(_xlfn.XLOOKUP(R49:AF49,增益!$A:$A,增益!$I:$I,0))&gt;0,($F$11-$I$4+VLOOKUP($Q49,武学奇术!$A:$ZZ,9,FALSE)+SUM(_xlfn.XLOOKUP(R49:AF49,增益!$A:$A,增益!$I:$I,0)))/200,($F$11-$I$4+VLOOKUP($Q49,武学奇术!$A:$ZZ,9,FALSE)+SUM(_xlfn.XLOOKUP(R49:AF49,增益!$A:$A,增益!$I:$I,0)))/100)</f>
        <v>-0.3</v>
      </c>
      <c r="AV49" s="32" cm="1">
        <f t="array" ref="AV49">$G$11+VLOOKUP($Q49,武学奇术!$A:$ZZ,10,FALSE)+SUM(_xlfn.XLOOKUP(R49:AF49,增益!$A:$A,增益!$J:$J,0))</f>
        <v>0</v>
      </c>
      <c r="AW49">
        <f t="shared" si="20"/>
        <v>0</v>
      </c>
      <c r="AX49">
        <f t="shared" si="21"/>
        <v>0</v>
      </c>
      <c r="AY49" s="32" cm="1">
        <f t="array" ref="AY49">IF($F$12-$I$4+VLOOKUP($Q49,武学奇术!$A:$ZZ,11,FALSE)+SUM(_xlfn.XLOOKUP(R49:AF49,增益!$A:$A,增益!$K:$K,0))&gt;0,($F$12-$I$4+VLOOKUP($Q49,武学奇术!$A:$ZZ,11,FALSE)+SUM(_xlfn.XLOOKUP(R49:AF49,增益!$A:$A,增益!$K:$K,0)))/200,($F$12-$I$4+VLOOKUP($Q49,武学奇术!$A:$ZZ,11,FALSE)+SUM(_xlfn.XLOOKUP(R49:AF49,增益!$A:$A,增益!$K:$K,0)))/100)</f>
        <v>-0.3</v>
      </c>
      <c r="AZ49" s="32" cm="1">
        <f t="array" ref="AZ49">$G$12+VLOOKUP($Q49,武学奇术!$A:$ZZ,12,FALSE)+SUM(_xlfn.XLOOKUP(R49:AF49,增益!$A:$A,增益!$L:$L,0))</f>
        <v>0</v>
      </c>
      <c r="BA49">
        <f t="shared" si="13"/>
        <v>697.4</v>
      </c>
      <c r="BB49">
        <f t="shared" si="14"/>
        <v>1805</v>
      </c>
      <c r="BC49" s="32" cm="1">
        <f t="array" ref="BC49">IF($F$13-$I$4+VLOOKUP($Q49,武学奇术!$A:$ZZ,13,FALSE)+SUM(_xlfn.XLOOKUP(R49:AF49,增益!$A:$A,增益!$M:$M,0))&gt;0,($F$13-$I$4+VLOOKUP($Q49,武学奇术!$A:$ZZ,13,FALSE)+SUM(_xlfn.XLOOKUP(R49:AF49,增益!$A:$A,增益!$K:$K,0)))/200,($F$13-$I$4+VLOOKUP($Q49,武学奇术!$A:$ZZ,13,FALSE)+SUM(_xlfn.XLOOKUP(R49:AF49,增益!$A:$A,增益!$M:$M,0)))/100)</f>
        <v>0</v>
      </c>
      <c r="BD49" s="32" cm="1">
        <f t="array" ref="BD49">$G$13+VLOOKUP($Q49,武学奇术!$A:$ZZ,14,FALSE)+SUM(_xlfn.XLOOKUP(R49:AF49,增益!$A:$A,增益!$N:$N,0))</f>
        <v>0.15</v>
      </c>
      <c r="BE49">
        <f t="shared" si="15"/>
        <v>0</v>
      </c>
      <c r="BF49">
        <f t="shared" si="16"/>
        <v>0</v>
      </c>
      <c r="BG49" s="32" cm="1">
        <f t="array" ref="BG49">IF($F$14-$I$4+VLOOKUP($Q49,武学奇术!$A:$ZZ,15,FALSE)+SUM(_xlfn.XLOOKUP(R49:AF49,增益!$A:$A,增益!$O:$O,0))&gt;0,($F$14-$I$4+VLOOKUP($Q49,武学奇术!$A:$ZZ,15,FALSE)+SUM(_xlfn.XLOOKUP(R49:AF49,增益!$A:$A,增益!$O:$O,0)))/200,($F$14-$I$4+VLOOKUP($Q49,武学奇术!$A:$ZZ,15,FALSE)+SUM(_xlfn.XLOOKUP(R49:AF49,增益!$A:$A,增益!$O:$O,0)))/100)</f>
        <v>-0.3</v>
      </c>
      <c r="BH49" s="32" cm="1">
        <f t="array" ref="BH49">$G$14+VLOOKUP($Q49,武学奇术!$A:$ZZ,16,FALSE)+SUM(_xlfn.XLOOKUP(R49:AF49,增益!$A:$A,增益!$P:$P,0))</f>
        <v>0</v>
      </c>
      <c r="BI49" s="26">
        <f>MIN(IF(VLOOKUP($Q49,武学奇术!$A:$ZZ,23,FALSE)=1,100%,$B$8),100%)</f>
        <v>1</v>
      </c>
      <c r="BJ49" s="26" cm="1">
        <f t="array" ref="BJ49">IF(VLOOKUP($Q49,武学奇术!$A:$ZZ,23,FALSE)=1,100%,MIN(80%,$B$9+VLOOKUP($Q49,武学奇术!$A:$ZZ,17,FALSE)+SUM(_xlfn.XLOOKUP(R49:AF49,增益!$A:$A,增益!$Q:$Q,0)))+$B$11+SUM(_xlfn.XLOOKUP(R49:AF49,增益!$A:$A,增益!$U:$U,0)))*IF(VLOOKUP($Q49,武学奇术!$A:$ZZ,24,FALSE)=1,0,1)</f>
        <v>0.8625</v>
      </c>
      <c r="BK49" s="26" cm="1">
        <f t="array" ref="BK49">1+$B$13+VLOOKUP($Q49,武学奇术!$A:$ZZ,18,FALSE)+SUM(_xlfn.XLOOKUP(R49:AF49,增益!$A:$A,增益!$R:$R,0))</f>
        <v>1.5</v>
      </c>
      <c r="BL49" s="26" cm="1">
        <f t="array" ref="BL49">IF(VLOOKUP($Q49,武学奇术!$A:$ZZ,24,FALSE)=1,100%,MIN(40%,$B$10+VLOOKUP($Q49,武学奇术!$A:$ZZ,19,FALSE)+SUM(_xlfn.XLOOKUP(R49:AF49,增益!$A:$A,增益!$S:$S,0)))+$B$12+SUM(_xlfn.XLOOKUP(R49:AF49,增益!$A:$A,增益!$V:$V,0)))*IF(VLOOKUP($Q49,武学奇术!$A:$ZZ,23,FALSE)=1,0,1)</f>
        <v>0.0913</v>
      </c>
      <c r="BM49" s="26" cm="1">
        <f t="array" ref="BM49">1+$B$14+VLOOKUP($Q49,武学奇术!$A:$ZZ,20,FALSE)+SUM(_xlfn.XLOOKUP(R49:AF49,增益!$A:$A,增益!$T:$T,0))</f>
        <v>1.35</v>
      </c>
      <c r="BN49" s="26">
        <f t="shared" si="11"/>
        <v>0.8625</v>
      </c>
      <c r="BO49" s="26">
        <f t="shared" si="17"/>
        <v>0.0462</v>
      </c>
      <c r="BP49" s="26">
        <f>IF(VLOOKUP($Q49,武学奇术!$A:$ZZ,22,FALSE)=1,0,(1-$BI49))*(1-$BL49)</f>
        <v>0</v>
      </c>
      <c r="BQ49" s="26" cm="1">
        <f t="array" ref="BQ49">SUM(_xlfn.XLOOKUP(R49:AF49,增益!$A:$A,增益!$W:$W,0))+$I$5</f>
        <v>0.06</v>
      </c>
    </row>
    <row r="50" spans="4:69">
      <c r="K50" s="38">
        <f t="shared" si="12"/>
        <v>0</v>
      </c>
      <c r="L50" s="38">
        <f>((($AN50+$AO50)/2*$AH50+$AI50)*(1+$AP50)*(1+$AQ50)+(($AS50+$AT50)/2*IF($G$1="鸣金",$AJ50,$AH50)+IF($G$1="鸣金",$AK50*1.5,0))*(1+$AU50)*(1+$AV50)+(($AW50+$AX50)/2*IF($G$1="裂石",$AJ50,$AH50)+IF($G$1="裂石",$AK50*1.5,0))*(1+$AY50)*(1+$AZ50)+(($BA50+$BB50)/2*IF($G$1="牵丝",$AJ50,$AH50)+IF($G$1="牵丝",$AK50*1.5,0))*(1+$BC50)*(1+$BD50)+(($BE50+$BF50)/2*IF($G$1="破竹",$AJ50,$AH50)+IF($G$1="破竹",$AK50*1.5,0))*(1+$BG50)*(1+$BH50))*(1+$AL50)*$BK50*$P50*(1+IF(VLOOKUP($Q50,武学奇术!$A:$ZZ,30,FALSE)="蓄力技",#REF!,0))*(1+$BQ50)</f>
        <v>0</v>
      </c>
      <c r="M50" s="38">
        <f>(($AO50*$AH50+$AI50)*(1+$AP50)*(1+$AQ50)+($AT50*IF($G$1="鸣金",$AJ50,$AH50)+IF($G$1="鸣金",$AK50*1.5,0))*(1+$AU50)*(1+$AV50)+($AX50*IF($G$1="裂石",$AJ50,$AH50)+IF($G$1="裂石",$AK50*1.5,0))*(1+$AY50)*(1+$AZ50)+($BB50*IF($G$1="牵丝",$AJ50,$AH50)+IF($G$1="牵丝",$AK50*1.5,0))*(1+$BC50)*(1+$BD50)+($BF50*IF($G$1="破竹",$AJ50,$AH50)+IF($G$1="破竹",$AK50*1.5,0))*(1+$BG50)*(1+$BH50))*(1+$AL50)*$BM50*$P50*(1+IF(VLOOKUP($Q50,武学奇术!$A:$ZZ,30,FALSE)="蓄力技",#REF!,0))*(1+$BQ50)</f>
        <v>0</v>
      </c>
      <c r="N50" s="38">
        <f>((($AN50+$AO50)/2*$AH50+$AI50)*(1+$AP50)*(1+$AQ50)+(($AS50+$AT50)/2*IF($G$1="鸣金",$AJ50,$AH50)+IF($G$1="鸣金",$AK50*1.5,0))*(1+$AU50)*(1+$AV50)+(($AW50+$AX50)/2*IF($G$1="裂石",$AJ50,$AH50)+IF($G$1="裂石",$AK50*1.5,0))*(1+$AY50)*(1+$AZ50)+(($BA50+$BB50)/2*IF($G$1="牵丝",$AJ50,$AH50)+IF($G$1="牵丝",$AK50*1.5,0))*(1+$BC50)*(1+$BD50)+(($BE50+$BF50)/2*IF($G$1="破竹",$AJ50,$AH50)+IF($G$1="破竹",$AK50*1.5,0))*(1+$BG50)*(1+$BH50))*(1+$AL50)*$P50*(1+IF(VLOOKUP($Q50,武学奇术!$A:$ZZ,30,FALSE)="蓄力技",#REF!,0))*(1+$BQ50)</f>
        <v>0</v>
      </c>
      <c r="O50" s="38">
        <f>((($AN50*$AH50+$AI50)*(1+$AP50)*(1+$AQ50)+($AS50*IF($G$1="鸣金",$AJ50,$AH50)+IF($G$1="鸣金",$AK50*1.5,0))*(1+$AU50)*(1+$AV50)+($AW50*IF($G$1="裂石",$AJ50,$AH50)+IF($G$1="裂石",$AK50*1.5,0))*(1+$AY50)*(1+$AZ50)+($BA50*IF($G$1="牵丝",$AJ50,$AH50)+IF($G$1="牵丝",$AK50*1.5,0))*(1+$BC50)*(1+$BD50)+($BE50*IF($G$1="破竹",$AJ50,$AH50)+IF($G$1="破竹",$AK50*1.5,0))*(1+$BG50)*(1+$BH50))*(1+$AL50))*$P50*(1+IF(VLOOKUP($Q50,武学奇术!$A:$ZZ,30,FALSE)="蓄力技",#REF!,0))*(1+$BQ50)</f>
        <v>0</v>
      </c>
      <c r="P50" s="39">
        <v>1</v>
      </c>
      <c r="Q50" s="40" t="s">
        <v>76</v>
      </c>
      <c r="R50" s="40" t="s">
        <v>76</v>
      </c>
      <c r="S50" s="40" t="s">
        <v>76</v>
      </c>
      <c r="T50" s="40" t="s">
        <v>76</v>
      </c>
      <c r="U50" s="40" t="s">
        <v>76</v>
      </c>
      <c r="V50" s="40" t="s">
        <v>76</v>
      </c>
      <c r="W50" s="40" t="s">
        <v>76</v>
      </c>
      <c r="X50" s="40" t="s">
        <v>76</v>
      </c>
      <c r="Y50" s="40" t="s">
        <v>76</v>
      </c>
      <c r="Z50" s="40" t="s">
        <v>76</v>
      </c>
      <c r="AA50" s="40" t="s">
        <v>76</v>
      </c>
      <c r="AB50" s="40" t="s">
        <v>76</v>
      </c>
      <c r="AC50" s="40" t="s">
        <v>76</v>
      </c>
      <c r="AD50" s="40" t="s">
        <v>76</v>
      </c>
      <c r="AE50" s="40" t="s">
        <v>76</v>
      </c>
      <c r="AF50" s="40" t="s">
        <v>76</v>
      </c>
      <c r="AG50" t="str">
        <f>VLOOKUP($Q50,武学奇术!$A:$ZZ,25,FALSE)</f>
        <v>心法</v>
      </c>
      <c r="AH50" s="26">
        <f>VLOOKUP($Q50,武学奇术!$A:$ZZ,26,FALSE)</f>
        <v>0</v>
      </c>
      <c r="AI50" s="27">
        <f>VLOOKUP($Q50,武学奇术!$A:$ZZ,27,FALSE)*(1+IF(OR($AG50=$F$4,$AG50=$F$5),$B$21,0))</f>
        <v>0</v>
      </c>
      <c r="AJ50" s="26">
        <f>VLOOKUP($Q50,武学奇术!$A:$ZZ,28,FALSE)</f>
        <v>0</v>
      </c>
      <c r="AK50" s="27">
        <f>VLOOKUP($Q50,武学奇术!$A:$ZZ,29,FALSE)*(1+IF(OR($AG50=$F$4,$AG50=$F$5),$B$21,0))</f>
        <v>0</v>
      </c>
      <c r="AL50" s="26" cm="1">
        <f t="array" ref="AL50">$G$3+IFERROR(VLOOKUP($AG50,$F$4:$G$7,2,FALSE),0)+VLOOKUP($Q50,武学奇术!$A:$ZZ,2,FALSE)+SUM(_xlfn.XLOOKUP($R50:$AF50,增益!$A:$A,增益!$B:$B,0))</f>
        <v>0.2642</v>
      </c>
      <c r="AM50" s="26" cm="1">
        <f t="array" ref="AM50">VLOOKUP($Q50,武学奇术!$A:$ZZ,5,FALSE)+SUM(_xlfn.XLOOKUP($R50:$AF50,增益!$A:$A,增益!$E:$E,0))</f>
        <v>0</v>
      </c>
      <c r="AN50" cm="1">
        <f t="array" ref="AN50">$D$10*(1+$AM50)+VLOOKUP($Q50,武学奇术!$A:$ZZ,3,FALSE)+SUM(_xlfn.XLOOKUP($R50:$AF50,增益!$A:$A,增益!$C:$C,0))-$I$2</f>
        <v>3977.2</v>
      </c>
      <c r="AO50" cm="1">
        <f t="array" ref="AO50">$E$10*(1+$AM50)+VLOOKUP($Q50,武学奇术!$A:$ZZ,4,FALSE)+SUM(_xlfn.XLOOKUP($R50:$AF50,增益!$A:$A,增益!$D:$D,0))-$I$2</f>
        <v>3977.2</v>
      </c>
      <c r="AP50" s="32" cm="1">
        <f t="array" ref="AP50">IF($F$10-$I$3+VLOOKUP($Q50,武学奇术!$A:$ZZ,6,FALSE)+SUM(_xlfn.XLOOKUP(R50:AF50,增益!$A:$A,增益!$F:$F,0))&gt;0,($F$10-$I$3+VLOOKUP($Q50,武学奇术!$A:$ZZ,6,FALSE)+SUM(_xlfn.XLOOKUP(R50:AF50,增益!$A:$A,增益!$F:$F,0)))/200,($F$10-$I$3+VLOOKUP($Q50,武学奇术!$A:$ZZ,6,FALSE)+SUM(_xlfn.XLOOKUP(R50:AF50,增益!$A:$A,增益!$F:$F,0)))/100)</f>
        <v>0.294</v>
      </c>
      <c r="AQ50" s="32" cm="1">
        <f t="array" ref="AQ50">$G$10+VLOOKUP($Q50,武学奇术!$A:$ZZ,7,FALSE)+SUM(_xlfn.XLOOKUP(R50:AF50,增益!$A:$A,增益!$G:$G,0))</f>
        <v>0</v>
      </c>
      <c r="AR50" s="26" cm="1">
        <f t="array" ref="AR50">VLOOKUP($Q50,武学奇术!$A:$ZZ,8,FALSE)+SUM(_xlfn.XLOOKUP(R50:AF50,增益!$A:$A,增益!$H:$H,0))</f>
        <v>0</v>
      </c>
      <c r="AS50">
        <f t="shared" si="18"/>
        <v>0</v>
      </c>
      <c r="AT50">
        <f t="shared" si="19"/>
        <v>0</v>
      </c>
      <c r="AU50" s="32" cm="1">
        <f t="array" ref="AU50">IF($F$11-$I$4+VLOOKUP($Q50,武学奇术!$A:$ZZ,9,FALSE)+SUM(_xlfn.XLOOKUP(R50:AF50,增益!$A:$A,增益!$I:$I,0))&gt;0,($F$11-$I$4+VLOOKUP($Q50,武学奇术!$A:$ZZ,9,FALSE)+SUM(_xlfn.XLOOKUP(R50:AF50,增益!$A:$A,增益!$I:$I,0)))/200,($F$11-$I$4+VLOOKUP($Q50,武学奇术!$A:$ZZ,9,FALSE)+SUM(_xlfn.XLOOKUP(R50:AF50,增益!$A:$A,增益!$I:$I,0)))/100)</f>
        <v>-0.3</v>
      </c>
      <c r="AV50" s="32" cm="1">
        <f t="array" ref="AV50">$G$11+VLOOKUP($Q50,武学奇术!$A:$ZZ,10,FALSE)+SUM(_xlfn.XLOOKUP(R50:AF50,增益!$A:$A,增益!$J:$J,0))</f>
        <v>0</v>
      </c>
      <c r="AW50">
        <f t="shared" si="20"/>
        <v>0</v>
      </c>
      <c r="AX50">
        <f t="shared" si="21"/>
        <v>0</v>
      </c>
      <c r="AY50" s="32" cm="1">
        <f t="array" ref="AY50">IF($F$12-$I$4+VLOOKUP($Q50,武学奇术!$A:$ZZ,11,FALSE)+SUM(_xlfn.XLOOKUP(R50:AF50,增益!$A:$A,增益!$K:$K,0))&gt;0,($F$12-$I$4+VLOOKUP($Q50,武学奇术!$A:$ZZ,11,FALSE)+SUM(_xlfn.XLOOKUP(R50:AF50,增益!$A:$A,增益!$K:$K,0)))/200,($F$12-$I$4+VLOOKUP($Q50,武学奇术!$A:$ZZ,11,FALSE)+SUM(_xlfn.XLOOKUP(R50:AF50,增益!$A:$A,增益!$K:$K,0)))/100)</f>
        <v>-0.3</v>
      </c>
      <c r="AZ50" s="32" cm="1">
        <f t="array" ref="AZ50">$G$12+VLOOKUP($Q50,武学奇术!$A:$ZZ,12,FALSE)+SUM(_xlfn.XLOOKUP(R50:AF50,增益!$A:$A,增益!$L:$L,0))</f>
        <v>0</v>
      </c>
      <c r="BA50">
        <f t="shared" si="13"/>
        <v>697.4</v>
      </c>
      <c r="BB50">
        <f t="shared" si="14"/>
        <v>1805</v>
      </c>
      <c r="BC50" s="32" cm="1">
        <f t="array" ref="BC50">IF($F$13-$I$4+VLOOKUP($Q50,武学奇术!$A:$ZZ,13,FALSE)+SUM(_xlfn.XLOOKUP(R50:AF50,增益!$A:$A,增益!$M:$M,0))&gt;0,($F$13-$I$4+VLOOKUP($Q50,武学奇术!$A:$ZZ,13,FALSE)+SUM(_xlfn.XLOOKUP(R50:AF50,增益!$A:$A,增益!$K:$K,0)))/200,($F$13-$I$4+VLOOKUP($Q50,武学奇术!$A:$ZZ,13,FALSE)+SUM(_xlfn.XLOOKUP(R50:AF50,增益!$A:$A,增益!$M:$M,0)))/100)</f>
        <v>0</v>
      </c>
      <c r="BD50" s="32" cm="1">
        <f t="array" ref="BD50">$G$13+VLOOKUP($Q50,武学奇术!$A:$ZZ,14,FALSE)+SUM(_xlfn.XLOOKUP(R50:AF50,增益!$A:$A,增益!$N:$N,0))</f>
        <v>0.15</v>
      </c>
      <c r="BE50">
        <f t="shared" si="15"/>
        <v>0</v>
      </c>
      <c r="BF50">
        <f t="shared" si="16"/>
        <v>0</v>
      </c>
      <c r="BG50" s="32" cm="1">
        <f t="array" ref="BG50">IF($F$14-$I$4+VLOOKUP($Q50,武学奇术!$A:$ZZ,15,FALSE)+SUM(_xlfn.XLOOKUP(R50:AF50,增益!$A:$A,增益!$O:$O,0))&gt;0,($F$14-$I$4+VLOOKUP($Q50,武学奇术!$A:$ZZ,15,FALSE)+SUM(_xlfn.XLOOKUP(R50:AF50,增益!$A:$A,增益!$O:$O,0)))/200,($F$14-$I$4+VLOOKUP($Q50,武学奇术!$A:$ZZ,15,FALSE)+SUM(_xlfn.XLOOKUP(R50:AF50,增益!$A:$A,增益!$O:$O,0)))/100)</f>
        <v>-0.3</v>
      </c>
      <c r="BH50" s="32" cm="1">
        <f t="array" ref="BH50">$G$14+VLOOKUP($Q50,武学奇术!$A:$ZZ,16,FALSE)+SUM(_xlfn.XLOOKUP(R50:AF50,增益!$A:$A,增益!$P:$P,0))</f>
        <v>0</v>
      </c>
      <c r="BI50" s="26">
        <f>MIN(IF(VLOOKUP($Q50,武学奇术!$A:$ZZ,23,FALSE)=1,100%,$B$8),100%)</f>
        <v>1</v>
      </c>
      <c r="BJ50" s="26" cm="1">
        <f t="array" ref="BJ50">IF(VLOOKUP($Q50,武学奇术!$A:$ZZ,23,FALSE)=1,100%,MIN(80%,$B$9+VLOOKUP($Q50,武学奇术!$A:$ZZ,17,FALSE)+SUM(_xlfn.XLOOKUP(R50:AF50,增益!$A:$A,增益!$Q:$Q,0)))+$B$11+SUM(_xlfn.XLOOKUP(R50:AF50,增益!$A:$A,增益!$U:$U,0)))*IF(VLOOKUP($Q50,武学奇术!$A:$ZZ,24,FALSE)=1,0,1)</f>
        <v>0.8625</v>
      </c>
      <c r="BK50" s="26" cm="1">
        <f t="array" ref="BK50">1+$B$13+VLOOKUP($Q50,武学奇术!$A:$ZZ,18,FALSE)+SUM(_xlfn.XLOOKUP(R50:AF50,增益!$A:$A,增益!$R:$R,0))</f>
        <v>1.5</v>
      </c>
      <c r="BL50" s="26" cm="1">
        <f t="array" ref="BL50">IF(VLOOKUP($Q50,武学奇术!$A:$ZZ,24,FALSE)=1,100%,MIN(40%,$B$10+VLOOKUP($Q50,武学奇术!$A:$ZZ,19,FALSE)+SUM(_xlfn.XLOOKUP(R50:AF50,增益!$A:$A,增益!$S:$S,0)))+$B$12+SUM(_xlfn.XLOOKUP(R50:AF50,增益!$A:$A,增益!$V:$V,0)))*IF(VLOOKUP($Q50,武学奇术!$A:$ZZ,23,FALSE)=1,0,1)</f>
        <v>0.0913</v>
      </c>
      <c r="BM50" s="26" cm="1">
        <f t="array" ref="BM50">1+$B$14+VLOOKUP($Q50,武学奇术!$A:$ZZ,20,FALSE)+SUM(_xlfn.XLOOKUP(R50:AF50,增益!$A:$A,增益!$T:$T,0))</f>
        <v>1.35</v>
      </c>
      <c r="BN50" s="26">
        <f t="shared" si="11"/>
        <v>0.8625</v>
      </c>
      <c r="BO50" s="26">
        <f t="shared" si="17"/>
        <v>0.0462</v>
      </c>
      <c r="BP50" s="26">
        <f>IF(VLOOKUP($Q50,武学奇术!$A:$ZZ,22,FALSE)=1,0,(1-$BI50))*(1-$BL50)</f>
        <v>0</v>
      </c>
      <c r="BQ50" s="26" cm="1">
        <f t="array" ref="BQ50">SUM(_xlfn.XLOOKUP(R50:AF50,增益!$A:$A,增益!$W:$W,0))+$I$5</f>
        <v>0.06</v>
      </c>
    </row>
    <row r="51" spans="4:69">
      <c r="K51" s="38">
        <f t="shared" si="12"/>
        <v>0</v>
      </c>
      <c r="L51" s="38">
        <f>((($AN51+$AO51)/2*$AH51+$AI51)*(1+$AP51)*(1+$AQ51)+(($AS51+$AT51)/2*IF($G$1="鸣金",$AJ51,$AH51)+IF($G$1="鸣金",$AK51*1.5,0))*(1+$AU51)*(1+$AV51)+(($AW51+$AX51)/2*IF($G$1="裂石",$AJ51,$AH51)+IF($G$1="裂石",$AK51*1.5,0))*(1+$AY51)*(1+$AZ51)+(($BA51+$BB51)/2*IF($G$1="牵丝",$AJ51,$AH51)+IF($G$1="牵丝",$AK51*1.5,0))*(1+$BC51)*(1+$BD51)+(($BE51+$BF51)/2*IF($G$1="破竹",$AJ51,$AH51)+IF($G$1="破竹",$AK51*1.5,0))*(1+$BG51)*(1+$BH51))*(1+$AL51)*$BK51*$P51*(1+IF(VLOOKUP($Q51,武学奇术!$A:$ZZ,30,FALSE)="蓄力技",#REF!,0))*(1+$BQ51)</f>
        <v>0</v>
      </c>
      <c r="M51" s="38">
        <f>(($AO51*$AH51+$AI51)*(1+$AP51)*(1+$AQ51)+($AT51*IF($G$1="鸣金",$AJ51,$AH51)+IF($G$1="鸣金",$AK51*1.5,0))*(1+$AU51)*(1+$AV51)+($AX51*IF($G$1="裂石",$AJ51,$AH51)+IF($G$1="裂石",$AK51*1.5,0))*(1+$AY51)*(1+$AZ51)+($BB51*IF($G$1="牵丝",$AJ51,$AH51)+IF($G$1="牵丝",$AK51*1.5,0))*(1+$BC51)*(1+$BD51)+($BF51*IF($G$1="破竹",$AJ51,$AH51)+IF($G$1="破竹",$AK51*1.5,0))*(1+$BG51)*(1+$BH51))*(1+$AL51)*$BM51*$P51*(1+IF(VLOOKUP($Q51,武学奇术!$A:$ZZ,30,FALSE)="蓄力技",#REF!,0))*(1+$BQ51)</f>
        <v>0</v>
      </c>
      <c r="N51" s="38">
        <f>((($AN51+$AO51)/2*$AH51+$AI51)*(1+$AP51)*(1+$AQ51)+(($AS51+$AT51)/2*IF($G$1="鸣金",$AJ51,$AH51)+IF($G$1="鸣金",$AK51*1.5,0))*(1+$AU51)*(1+$AV51)+(($AW51+$AX51)/2*IF($G$1="裂石",$AJ51,$AH51)+IF($G$1="裂石",$AK51*1.5,0))*(1+$AY51)*(1+$AZ51)+(($BA51+$BB51)/2*IF($G$1="牵丝",$AJ51,$AH51)+IF($G$1="牵丝",$AK51*1.5,0))*(1+$BC51)*(1+$BD51)+(($BE51+$BF51)/2*IF($G$1="破竹",$AJ51,$AH51)+IF($G$1="破竹",$AK51*1.5,0))*(1+$BG51)*(1+$BH51))*(1+$AL51)*$P51*(1+IF(VLOOKUP($Q51,武学奇术!$A:$ZZ,30,FALSE)="蓄力技",#REF!,0))*(1+$BQ51)</f>
        <v>0</v>
      </c>
      <c r="O51" s="38">
        <f>((($AN51*$AH51+$AI51)*(1+$AP51)*(1+$AQ51)+($AS51*IF($G$1="鸣金",$AJ51,$AH51)+IF($G$1="鸣金",$AK51*1.5,0))*(1+$AU51)*(1+$AV51)+($AW51*IF($G$1="裂石",$AJ51,$AH51)+IF($G$1="裂石",$AK51*1.5,0))*(1+$AY51)*(1+$AZ51)+($BA51*IF($G$1="牵丝",$AJ51,$AH51)+IF($G$1="牵丝",$AK51*1.5,0))*(1+$BC51)*(1+$BD51)+($BE51*IF($G$1="破竹",$AJ51,$AH51)+IF($G$1="破竹",$AK51*1.5,0))*(1+$BG51)*(1+$BH51))*(1+$AL51))*$P51*(1+IF(VLOOKUP($Q51,武学奇术!$A:$ZZ,30,FALSE)="蓄力技",#REF!,0))*(1+$BQ51)</f>
        <v>0</v>
      </c>
      <c r="P51" s="39">
        <v>1</v>
      </c>
      <c r="Q51" s="40" t="s">
        <v>76</v>
      </c>
      <c r="R51" s="40" t="s">
        <v>76</v>
      </c>
      <c r="S51" s="40" t="s">
        <v>76</v>
      </c>
      <c r="T51" s="40" t="s">
        <v>76</v>
      </c>
      <c r="U51" s="40" t="s">
        <v>76</v>
      </c>
      <c r="V51" s="40" t="s">
        <v>76</v>
      </c>
      <c r="W51" s="40" t="s">
        <v>76</v>
      </c>
      <c r="X51" s="40" t="s">
        <v>76</v>
      </c>
      <c r="Y51" s="40" t="s">
        <v>76</v>
      </c>
      <c r="Z51" s="40" t="s">
        <v>76</v>
      </c>
      <c r="AA51" s="40" t="s">
        <v>76</v>
      </c>
      <c r="AB51" s="40" t="s">
        <v>76</v>
      </c>
      <c r="AC51" s="40" t="s">
        <v>76</v>
      </c>
      <c r="AD51" s="40" t="s">
        <v>76</v>
      </c>
      <c r="AE51" s="40" t="s">
        <v>76</v>
      </c>
      <c r="AF51" s="40" t="s">
        <v>76</v>
      </c>
      <c r="AG51" t="str">
        <f>VLOOKUP($Q51,武学奇术!$A:$ZZ,25,FALSE)</f>
        <v>心法</v>
      </c>
      <c r="AH51" s="26">
        <f>VLOOKUP($Q51,武学奇术!$A:$ZZ,26,FALSE)</f>
        <v>0</v>
      </c>
      <c r="AI51" s="27">
        <f>VLOOKUP($Q51,武学奇术!$A:$ZZ,27,FALSE)*(1+IF(OR($AG51=$F$4,$AG51=$F$5),$B$21,0))</f>
        <v>0</v>
      </c>
      <c r="AJ51" s="26">
        <f>VLOOKUP($Q51,武学奇术!$A:$ZZ,28,FALSE)</f>
        <v>0</v>
      </c>
      <c r="AK51" s="27">
        <f>VLOOKUP($Q51,武学奇术!$A:$ZZ,29,FALSE)*(1+IF(OR($AG51=$F$4,$AG51=$F$5),$B$21,0))</f>
        <v>0</v>
      </c>
      <c r="AL51" s="26" cm="1">
        <f t="array" ref="AL51">$G$3+IFERROR(VLOOKUP($AG51,$F$4:$G$7,2,FALSE),0)+VLOOKUP($Q51,武学奇术!$A:$ZZ,2,FALSE)+SUM(_xlfn.XLOOKUP($R51:$AF51,增益!$A:$A,增益!$B:$B,0))</f>
        <v>0.2642</v>
      </c>
      <c r="AM51" s="26" cm="1">
        <f t="array" ref="AM51">VLOOKUP($Q51,武学奇术!$A:$ZZ,5,FALSE)+SUM(_xlfn.XLOOKUP($R51:$AF51,增益!$A:$A,增益!$E:$E,0))</f>
        <v>0</v>
      </c>
      <c r="AN51" cm="1">
        <f t="array" ref="AN51">$D$10*(1+$AM51)+VLOOKUP($Q51,武学奇术!$A:$ZZ,3,FALSE)+SUM(_xlfn.XLOOKUP($R51:$AF51,增益!$A:$A,增益!$C:$C,0))-$I$2</f>
        <v>3977.2</v>
      </c>
      <c r="AO51" cm="1">
        <f t="array" ref="AO51">$E$10*(1+$AM51)+VLOOKUP($Q51,武学奇术!$A:$ZZ,4,FALSE)+SUM(_xlfn.XLOOKUP($R51:$AF51,增益!$A:$A,增益!$D:$D,0))-$I$2</f>
        <v>3977.2</v>
      </c>
      <c r="AP51" s="32" cm="1">
        <f t="array" ref="AP51">IF($F$10-$I$3+VLOOKUP($Q51,武学奇术!$A:$ZZ,6,FALSE)+SUM(_xlfn.XLOOKUP(R51:AF51,增益!$A:$A,增益!$F:$F,0))&gt;0,($F$10-$I$3+VLOOKUP($Q51,武学奇术!$A:$ZZ,6,FALSE)+SUM(_xlfn.XLOOKUP(R51:AF51,增益!$A:$A,增益!$F:$F,0)))/200,($F$10-$I$3+VLOOKUP($Q51,武学奇术!$A:$ZZ,6,FALSE)+SUM(_xlfn.XLOOKUP(R51:AF51,增益!$A:$A,增益!$F:$F,0)))/100)</f>
        <v>0.294</v>
      </c>
      <c r="AQ51" s="32" cm="1">
        <f t="array" ref="AQ51">$G$10+VLOOKUP($Q51,武学奇术!$A:$ZZ,7,FALSE)+SUM(_xlfn.XLOOKUP(R51:AF51,增益!$A:$A,增益!$G:$G,0))</f>
        <v>0</v>
      </c>
      <c r="AR51" s="26" cm="1">
        <f t="array" ref="AR51">VLOOKUP($Q51,武学奇术!$A:$ZZ,8,FALSE)+SUM(_xlfn.XLOOKUP(R51:AF51,增益!$A:$A,增益!$H:$H,0))</f>
        <v>0</v>
      </c>
      <c r="AS51">
        <f t="shared" si="18"/>
        <v>0</v>
      </c>
      <c r="AT51">
        <f t="shared" si="19"/>
        <v>0</v>
      </c>
      <c r="AU51" s="32" cm="1">
        <f t="array" ref="AU51">IF($F$11-$I$4+VLOOKUP($Q51,武学奇术!$A:$ZZ,9,FALSE)+SUM(_xlfn.XLOOKUP(R51:AF51,增益!$A:$A,增益!$I:$I,0))&gt;0,($F$11-$I$4+VLOOKUP($Q51,武学奇术!$A:$ZZ,9,FALSE)+SUM(_xlfn.XLOOKUP(R51:AF51,增益!$A:$A,增益!$I:$I,0)))/200,($F$11-$I$4+VLOOKUP($Q51,武学奇术!$A:$ZZ,9,FALSE)+SUM(_xlfn.XLOOKUP(R51:AF51,增益!$A:$A,增益!$I:$I,0)))/100)</f>
        <v>-0.3</v>
      </c>
      <c r="AV51" s="32" cm="1">
        <f t="array" ref="AV51">$G$11+VLOOKUP($Q51,武学奇术!$A:$ZZ,10,FALSE)+SUM(_xlfn.XLOOKUP(R51:AF51,增益!$A:$A,增益!$J:$J,0))</f>
        <v>0</v>
      </c>
      <c r="AW51">
        <f t="shared" si="20"/>
        <v>0</v>
      </c>
      <c r="AX51">
        <f t="shared" si="21"/>
        <v>0</v>
      </c>
      <c r="AY51" s="32" cm="1">
        <f t="array" ref="AY51">IF($F$12-$I$4+VLOOKUP($Q51,武学奇术!$A:$ZZ,11,FALSE)+SUM(_xlfn.XLOOKUP(R51:AF51,增益!$A:$A,增益!$K:$K,0))&gt;0,($F$12-$I$4+VLOOKUP($Q51,武学奇术!$A:$ZZ,11,FALSE)+SUM(_xlfn.XLOOKUP(R51:AF51,增益!$A:$A,增益!$K:$K,0)))/200,($F$12-$I$4+VLOOKUP($Q51,武学奇术!$A:$ZZ,11,FALSE)+SUM(_xlfn.XLOOKUP(R51:AF51,增益!$A:$A,增益!$K:$K,0)))/100)</f>
        <v>-0.3</v>
      </c>
      <c r="AZ51" s="32" cm="1">
        <f t="array" ref="AZ51">$G$12+VLOOKUP($Q51,武学奇术!$A:$ZZ,12,FALSE)+SUM(_xlfn.XLOOKUP(R51:AF51,增益!$A:$A,增益!$L:$L,0))</f>
        <v>0</v>
      </c>
      <c r="BA51">
        <f t="shared" si="13"/>
        <v>697.4</v>
      </c>
      <c r="BB51">
        <f t="shared" si="14"/>
        <v>1805</v>
      </c>
      <c r="BC51" s="32" cm="1">
        <f t="array" ref="BC51">IF($F$13-$I$4+VLOOKUP($Q51,武学奇术!$A:$ZZ,13,FALSE)+SUM(_xlfn.XLOOKUP(R51:AF51,增益!$A:$A,增益!$M:$M,0))&gt;0,($F$13-$I$4+VLOOKUP($Q51,武学奇术!$A:$ZZ,13,FALSE)+SUM(_xlfn.XLOOKUP(R51:AF51,增益!$A:$A,增益!$K:$K,0)))/200,($F$13-$I$4+VLOOKUP($Q51,武学奇术!$A:$ZZ,13,FALSE)+SUM(_xlfn.XLOOKUP(R51:AF51,增益!$A:$A,增益!$M:$M,0)))/100)</f>
        <v>0</v>
      </c>
      <c r="BD51" s="32" cm="1">
        <f t="array" ref="BD51">$G$13+VLOOKUP($Q51,武学奇术!$A:$ZZ,14,FALSE)+SUM(_xlfn.XLOOKUP(R51:AF51,增益!$A:$A,增益!$N:$N,0))</f>
        <v>0.15</v>
      </c>
      <c r="BE51">
        <f t="shared" si="15"/>
        <v>0</v>
      </c>
      <c r="BF51">
        <f t="shared" si="16"/>
        <v>0</v>
      </c>
      <c r="BG51" s="32" cm="1">
        <f t="array" ref="BG51">IF($F$14-$I$4+VLOOKUP($Q51,武学奇术!$A:$ZZ,15,FALSE)+SUM(_xlfn.XLOOKUP(R51:AF51,增益!$A:$A,增益!$O:$O,0))&gt;0,($F$14-$I$4+VLOOKUP($Q51,武学奇术!$A:$ZZ,15,FALSE)+SUM(_xlfn.XLOOKUP(R51:AF51,增益!$A:$A,增益!$O:$O,0)))/200,($F$14-$I$4+VLOOKUP($Q51,武学奇术!$A:$ZZ,15,FALSE)+SUM(_xlfn.XLOOKUP(R51:AF51,增益!$A:$A,增益!$O:$O,0)))/100)</f>
        <v>-0.3</v>
      </c>
      <c r="BH51" s="32" cm="1">
        <f t="array" ref="BH51">$G$14+VLOOKUP($Q51,武学奇术!$A:$ZZ,16,FALSE)+SUM(_xlfn.XLOOKUP(R51:AF51,增益!$A:$A,增益!$P:$P,0))</f>
        <v>0</v>
      </c>
      <c r="BI51" s="26">
        <f>MIN(IF(VLOOKUP($Q51,武学奇术!$A:$ZZ,23,FALSE)=1,100%,$B$8),100%)</f>
        <v>1</v>
      </c>
      <c r="BJ51" s="26" cm="1">
        <f t="array" ref="BJ51">IF(VLOOKUP($Q51,武学奇术!$A:$ZZ,23,FALSE)=1,100%,MIN(80%,$B$9+VLOOKUP($Q51,武学奇术!$A:$ZZ,17,FALSE)+SUM(_xlfn.XLOOKUP(R51:AF51,增益!$A:$A,增益!$Q:$Q,0)))+$B$11+SUM(_xlfn.XLOOKUP(R51:AF51,增益!$A:$A,增益!$U:$U,0)))*IF(VLOOKUP($Q51,武学奇术!$A:$ZZ,24,FALSE)=1,0,1)</f>
        <v>0.8625</v>
      </c>
      <c r="BK51" s="26" cm="1">
        <f t="array" ref="BK51">1+$B$13+VLOOKUP($Q51,武学奇术!$A:$ZZ,18,FALSE)+SUM(_xlfn.XLOOKUP(R51:AF51,增益!$A:$A,增益!$R:$R,0))</f>
        <v>1.5</v>
      </c>
      <c r="BL51" s="26" cm="1">
        <f t="array" ref="BL51">IF(VLOOKUP($Q51,武学奇术!$A:$ZZ,24,FALSE)=1,100%,MIN(40%,$B$10+VLOOKUP($Q51,武学奇术!$A:$ZZ,19,FALSE)+SUM(_xlfn.XLOOKUP(R51:AF51,增益!$A:$A,增益!$S:$S,0)))+$B$12+SUM(_xlfn.XLOOKUP(R51:AF51,增益!$A:$A,增益!$V:$V,0)))*IF(VLOOKUP($Q51,武学奇术!$A:$ZZ,23,FALSE)=1,0,1)</f>
        <v>0.0913</v>
      </c>
      <c r="BM51" s="26" cm="1">
        <f t="array" ref="BM51">1+$B$14+VLOOKUP($Q51,武学奇术!$A:$ZZ,20,FALSE)+SUM(_xlfn.XLOOKUP(R51:AF51,增益!$A:$A,增益!$T:$T,0))</f>
        <v>1.35</v>
      </c>
      <c r="BN51" s="26">
        <f t="shared" si="11"/>
        <v>0.8625</v>
      </c>
      <c r="BO51" s="26">
        <f t="shared" si="17"/>
        <v>0.0462</v>
      </c>
      <c r="BP51" s="26">
        <f>IF(VLOOKUP($Q51,武学奇术!$A:$ZZ,22,FALSE)=1,0,(1-$BI51))*(1-$BL51)</f>
        <v>0</v>
      </c>
      <c r="BQ51" s="26" cm="1">
        <f t="array" ref="BQ51">SUM(_xlfn.XLOOKUP(R51:AF51,增益!$A:$A,增益!$W:$W,0))+$I$5</f>
        <v>0.06</v>
      </c>
    </row>
    <row r="52" spans="4:69">
      <c r="K52" s="38">
        <f t="shared" si="12"/>
        <v>0</v>
      </c>
      <c r="L52" s="38">
        <f>((($AN52+$AO52)/2*$AH52+$AI52)*(1+$AP52)*(1+$AQ52)+(($AS52+$AT52)/2*IF($G$1="鸣金",$AJ52,$AH52)+IF($G$1="鸣金",$AK52*1.5,0))*(1+$AU52)*(1+$AV52)+(($AW52+$AX52)/2*IF($G$1="裂石",$AJ52,$AH52)+IF($G$1="裂石",$AK52*1.5,0))*(1+$AY52)*(1+$AZ52)+(($BA52+$BB52)/2*IF($G$1="牵丝",$AJ52,$AH52)+IF($G$1="牵丝",$AK52*1.5,0))*(1+$BC52)*(1+$BD52)+(($BE52+$BF52)/2*IF($G$1="破竹",$AJ52,$AH52)+IF($G$1="破竹",$AK52*1.5,0))*(1+$BG52)*(1+$BH52))*(1+$AL52)*$BK52*$P52*(1+IF(VLOOKUP($Q52,武学奇术!$A:$ZZ,30,FALSE)="蓄力技",#REF!,0))*(1+$BQ52)</f>
        <v>0</v>
      </c>
      <c r="M52" s="38">
        <f>(($AO52*$AH52+$AI52)*(1+$AP52)*(1+$AQ52)+($AT52*IF($G$1="鸣金",$AJ52,$AH52)+IF($G$1="鸣金",$AK52*1.5,0))*(1+$AU52)*(1+$AV52)+($AX52*IF($G$1="裂石",$AJ52,$AH52)+IF($G$1="裂石",$AK52*1.5,0))*(1+$AY52)*(1+$AZ52)+($BB52*IF($G$1="牵丝",$AJ52,$AH52)+IF($G$1="牵丝",$AK52*1.5,0))*(1+$BC52)*(1+$BD52)+($BF52*IF($G$1="破竹",$AJ52,$AH52)+IF($G$1="破竹",$AK52*1.5,0))*(1+$BG52)*(1+$BH52))*(1+$AL52)*$BM52*$P52*(1+IF(VLOOKUP($Q52,武学奇术!$A:$ZZ,30,FALSE)="蓄力技",#REF!,0))*(1+$BQ52)</f>
        <v>0</v>
      </c>
      <c r="N52" s="38">
        <f>((($AN52+$AO52)/2*$AH52+$AI52)*(1+$AP52)*(1+$AQ52)+(($AS52+$AT52)/2*IF($G$1="鸣金",$AJ52,$AH52)+IF($G$1="鸣金",$AK52*1.5,0))*(1+$AU52)*(1+$AV52)+(($AW52+$AX52)/2*IF($G$1="裂石",$AJ52,$AH52)+IF($G$1="裂石",$AK52*1.5,0))*(1+$AY52)*(1+$AZ52)+(($BA52+$BB52)/2*IF($G$1="牵丝",$AJ52,$AH52)+IF($G$1="牵丝",$AK52*1.5,0))*(1+$BC52)*(1+$BD52)+(($BE52+$BF52)/2*IF($G$1="破竹",$AJ52,$AH52)+IF($G$1="破竹",$AK52*1.5,0))*(1+$BG52)*(1+$BH52))*(1+$AL52)*$P52*(1+IF(VLOOKUP($Q52,武学奇术!$A:$ZZ,30,FALSE)="蓄力技",#REF!,0))*(1+$BQ52)</f>
        <v>0</v>
      </c>
      <c r="O52" s="38">
        <f>((($AN52*$AH52+$AI52)*(1+$AP52)*(1+$AQ52)+($AS52*IF($G$1="鸣金",$AJ52,$AH52)+IF($G$1="鸣金",$AK52*1.5,0))*(1+$AU52)*(1+$AV52)+($AW52*IF($G$1="裂石",$AJ52,$AH52)+IF($G$1="裂石",$AK52*1.5,0))*(1+$AY52)*(1+$AZ52)+($BA52*IF($G$1="牵丝",$AJ52,$AH52)+IF($G$1="牵丝",$AK52*1.5,0))*(1+$BC52)*(1+$BD52)+($BE52*IF($G$1="破竹",$AJ52,$AH52)+IF($G$1="破竹",$AK52*1.5,0))*(1+$BG52)*(1+$BH52))*(1+$AL52))*$P52*(1+IF(VLOOKUP($Q52,武学奇术!$A:$ZZ,30,FALSE)="蓄力技",#REF!,0))*(1+$BQ52)</f>
        <v>0</v>
      </c>
      <c r="P52" s="39">
        <v>1</v>
      </c>
      <c r="Q52" s="40" t="s">
        <v>76</v>
      </c>
      <c r="R52" s="40" t="s">
        <v>76</v>
      </c>
      <c r="S52" s="40" t="s">
        <v>76</v>
      </c>
      <c r="T52" s="40" t="s">
        <v>76</v>
      </c>
      <c r="U52" s="40" t="s">
        <v>76</v>
      </c>
      <c r="V52" s="40" t="s">
        <v>76</v>
      </c>
      <c r="W52" s="40" t="s">
        <v>76</v>
      </c>
      <c r="X52" s="40" t="s">
        <v>76</v>
      </c>
      <c r="Y52" s="40" t="s">
        <v>76</v>
      </c>
      <c r="Z52" s="40" t="s">
        <v>76</v>
      </c>
      <c r="AA52" s="40" t="s">
        <v>76</v>
      </c>
      <c r="AB52" s="40" t="s">
        <v>76</v>
      </c>
      <c r="AC52" s="40" t="s">
        <v>76</v>
      </c>
      <c r="AD52" s="40" t="s">
        <v>76</v>
      </c>
      <c r="AE52" s="40" t="s">
        <v>76</v>
      </c>
      <c r="AF52" s="40" t="s">
        <v>76</v>
      </c>
      <c r="AG52" t="str">
        <f>VLOOKUP($Q52,武学奇术!$A:$ZZ,25,FALSE)</f>
        <v>心法</v>
      </c>
      <c r="AH52" s="26">
        <f>VLOOKUP($Q52,武学奇术!$A:$ZZ,26,FALSE)</f>
        <v>0</v>
      </c>
      <c r="AI52" s="27">
        <f>VLOOKUP($Q52,武学奇术!$A:$ZZ,27,FALSE)*(1+IF(OR($AG52=$F$4,$AG52=$F$5),$B$21,0))</f>
        <v>0</v>
      </c>
      <c r="AJ52" s="26">
        <f>VLOOKUP($Q52,武学奇术!$A:$ZZ,28,FALSE)</f>
        <v>0</v>
      </c>
      <c r="AK52" s="27">
        <f>VLOOKUP($Q52,武学奇术!$A:$ZZ,29,FALSE)*(1+IF(OR($AG52=$F$4,$AG52=$F$5),$B$21,0))</f>
        <v>0</v>
      </c>
      <c r="AL52" s="26" cm="1">
        <f t="array" ref="AL52">$G$3+IFERROR(VLOOKUP($AG52,$F$4:$G$7,2,FALSE),0)+VLOOKUP($Q52,武学奇术!$A:$ZZ,2,FALSE)+SUM(_xlfn.XLOOKUP($R52:$AF52,增益!$A:$A,增益!$B:$B,0))</f>
        <v>0.2642</v>
      </c>
      <c r="AM52" s="26" cm="1">
        <f t="array" ref="AM52">VLOOKUP($Q52,武学奇术!$A:$ZZ,5,FALSE)+SUM(_xlfn.XLOOKUP($R52:$AF52,增益!$A:$A,增益!$E:$E,0))</f>
        <v>0</v>
      </c>
      <c r="AN52" cm="1">
        <f t="array" ref="AN52">$D$10*(1+$AM52)+VLOOKUP($Q52,武学奇术!$A:$ZZ,3,FALSE)+SUM(_xlfn.XLOOKUP($R52:$AF52,增益!$A:$A,增益!$C:$C,0))-$I$2</f>
        <v>3977.2</v>
      </c>
      <c r="AO52" cm="1">
        <f t="array" ref="AO52">$E$10*(1+$AM52)+VLOOKUP($Q52,武学奇术!$A:$ZZ,4,FALSE)+SUM(_xlfn.XLOOKUP($R52:$AF52,增益!$A:$A,增益!$D:$D,0))-$I$2</f>
        <v>3977.2</v>
      </c>
      <c r="AP52" s="32" cm="1">
        <f t="array" ref="AP52">IF($F$10-$I$3+VLOOKUP($Q52,武学奇术!$A:$ZZ,6,FALSE)+SUM(_xlfn.XLOOKUP(R52:AF52,增益!$A:$A,增益!$F:$F,0))&gt;0,($F$10-$I$3+VLOOKUP($Q52,武学奇术!$A:$ZZ,6,FALSE)+SUM(_xlfn.XLOOKUP(R52:AF52,增益!$A:$A,增益!$F:$F,0)))/200,($F$10-$I$3+VLOOKUP($Q52,武学奇术!$A:$ZZ,6,FALSE)+SUM(_xlfn.XLOOKUP(R52:AF52,增益!$A:$A,增益!$F:$F,0)))/100)</f>
        <v>0.294</v>
      </c>
      <c r="AQ52" s="32" cm="1">
        <f t="array" ref="AQ52">$G$10+VLOOKUP($Q52,武学奇术!$A:$ZZ,7,FALSE)+SUM(_xlfn.XLOOKUP(R52:AF52,增益!$A:$A,增益!$G:$G,0))</f>
        <v>0</v>
      </c>
      <c r="AR52" s="26" cm="1">
        <f t="array" ref="AR52">VLOOKUP($Q52,武学奇术!$A:$ZZ,8,FALSE)+SUM(_xlfn.XLOOKUP(R52:AF52,增益!$A:$A,增益!$H:$H,0))</f>
        <v>0</v>
      </c>
      <c r="AS52">
        <f t="shared" si="18"/>
        <v>0</v>
      </c>
      <c r="AT52">
        <f t="shared" si="19"/>
        <v>0</v>
      </c>
      <c r="AU52" s="32" cm="1">
        <f t="array" ref="AU52">IF($F$11-$I$4+VLOOKUP($Q52,武学奇术!$A:$ZZ,9,FALSE)+SUM(_xlfn.XLOOKUP(R52:AF52,增益!$A:$A,增益!$I:$I,0))&gt;0,($F$11-$I$4+VLOOKUP($Q52,武学奇术!$A:$ZZ,9,FALSE)+SUM(_xlfn.XLOOKUP(R52:AF52,增益!$A:$A,增益!$I:$I,0)))/200,($F$11-$I$4+VLOOKUP($Q52,武学奇术!$A:$ZZ,9,FALSE)+SUM(_xlfn.XLOOKUP(R52:AF52,增益!$A:$A,增益!$I:$I,0)))/100)</f>
        <v>-0.3</v>
      </c>
      <c r="AV52" s="32" cm="1">
        <f t="array" ref="AV52">$G$11+VLOOKUP($Q52,武学奇术!$A:$ZZ,10,FALSE)+SUM(_xlfn.XLOOKUP(R52:AF52,增益!$A:$A,增益!$J:$J,0))</f>
        <v>0</v>
      </c>
      <c r="AW52">
        <f t="shared" si="20"/>
        <v>0</v>
      </c>
      <c r="AX52">
        <f t="shared" si="21"/>
        <v>0</v>
      </c>
      <c r="AY52" s="32" cm="1">
        <f t="array" ref="AY52">IF($F$12-$I$4+VLOOKUP($Q52,武学奇术!$A:$ZZ,11,FALSE)+SUM(_xlfn.XLOOKUP(R52:AF52,增益!$A:$A,增益!$K:$K,0))&gt;0,($F$12-$I$4+VLOOKUP($Q52,武学奇术!$A:$ZZ,11,FALSE)+SUM(_xlfn.XLOOKUP(R52:AF52,增益!$A:$A,增益!$K:$K,0)))/200,($F$12-$I$4+VLOOKUP($Q52,武学奇术!$A:$ZZ,11,FALSE)+SUM(_xlfn.XLOOKUP(R52:AF52,增益!$A:$A,增益!$K:$K,0)))/100)</f>
        <v>-0.3</v>
      </c>
      <c r="AZ52" s="32" cm="1">
        <f t="array" ref="AZ52">$G$12+VLOOKUP($Q52,武学奇术!$A:$ZZ,12,FALSE)+SUM(_xlfn.XLOOKUP(R52:AF52,增益!$A:$A,增益!$L:$L,0))</f>
        <v>0</v>
      </c>
      <c r="BA52">
        <f t="shared" si="13"/>
        <v>697.4</v>
      </c>
      <c r="BB52">
        <f t="shared" si="14"/>
        <v>1805</v>
      </c>
      <c r="BC52" s="32" cm="1">
        <f t="array" ref="BC52">IF($F$13-$I$4+VLOOKUP($Q52,武学奇术!$A:$ZZ,13,FALSE)+SUM(_xlfn.XLOOKUP(R52:AF52,增益!$A:$A,增益!$M:$M,0))&gt;0,($F$13-$I$4+VLOOKUP($Q52,武学奇术!$A:$ZZ,13,FALSE)+SUM(_xlfn.XLOOKUP(R52:AF52,增益!$A:$A,增益!$K:$K,0)))/200,($F$13-$I$4+VLOOKUP($Q52,武学奇术!$A:$ZZ,13,FALSE)+SUM(_xlfn.XLOOKUP(R52:AF52,增益!$A:$A,增益!$M:$M,0)))/100)</f>
        <v>0</v>
      </c>
      <c r="BD52" s="32" cm="1">
        <f t="array" ref="BD52">$G$13+VLOOKUP($Q52,武学奇术!$A:$ZZ,14,FALSE)+SUM(_xlfn.XLOOKUP(R52:AF52,增益!$A:$A,增益!$N:$N,0))</f>
        <v>0.15</v>
      </c>
      <c r="BE52">
        <f t="shared" si="15"/>
        <v>0</v>
      </c>
      <c r="BF52">
        <f t="shared" si="16"/>
        <v>0</v>
      </c>
      <c r="BG52" s="32" cm="1">
        <f t="array" ref="BG52">IF($F$14-$I$4+VLOOKUP($Q52,武学奇术!$A:$ZZ,15,FALSE)+SUM(_xlfn.XLOOKUP(R52:AF52,增益!$A:$A,增益!$O:$O,0))&gt;0,($F$14-$I$4+VLOOKUP($Q52,武学奇术!$A:$ZZ,15,FALSE)+SUM(_xlfn.XLOOKUP(R52:AF52,增益!$A:$A,增益!$O:$O,0)))/200,($F$14-$I$4+VLOOKUP($Q52,武学奇术!$A:$ZZ,15,FALSE)+SUM(_xlfn.XLOOKUP(R52:AF52,增益!$A:$A,增益!$O:$O,0)))/100)</f>
        <v>-0.3</v>
      </c>
      <c r="BH52" s="32" cm="1">
        <f t="array" ref="BH52">$G$14+VLOOKUP($Q52,武学奇术!$A:$ZZ,16,FALSE)+SUM(_xlfn.XLOOKUP(R52:AF52,增益!$A:$A,增益!$P:$P,0))</f>
        <v>0</v>
      </c>
      <c r="BI52" s="26">
        <f>MIN(IF(VLOOKUP($Q52,武学奇术!$A:$ZZ,23,FALSE)=1,100%,$B$8),100%)</f>
        <v>1</v>
      </c>
      <c r="BJ52" s="26" cm="1">
        <f t="array" ref="BJ52">IF(VLOOKUP($Q52,武学奇术!$A:$ZZ,23,FALSE)=1,100%,MIN(80%,$B$9+VLOOKUP($Q52,武学奇术!$A:$ZZ,17,FALSE)+SUM(_xlfn.XLOOKUP(R52:AF52,增益!$A:$A,增益!$Q:$Q,0)))+$B$11+SUM(_xlfn.XLOOKUP(R52:AF52,增益!$A:$A,增益!$U:$U,0)))*IF(VLOOKUP($Q52,武学奇术!$A:$ZZ,24,FALSE)=1,0,1)</f>
        <v>0.8625</v>
      </c>
      <c r="BK52" s="26" cm="1">
        <f t="array" ref="BK52">1+$B$13+VLOOKUP($Q52,武学奇术!$A:$ZZ,18,FALSE)+SUM(_xlfn.XLOOKUP(R52:AF52,增益!$A:$A,增益!$R:$R,0))</f>
        <v>1.5</v>
      </c>
      <c r="BL52" s="26" cm="1">
        <f t="array" ref="BL52">IF(VLOOKUP($Q52,武学奇术!$A:$ZZ,24,FALSE)=1,100%,MIN(40%,$B$10+VLOOKUP($Q52,武学奇术!$A:$ZZ,19,FALSE)+SUM(_xlfn.XLOOKUP(R52:AF52,增益!$A:$A,增益!$S:$S,0)))+$B$12+SUM(_xlfn.XLOOKUP(R52:AF52,增益!$A:$A,增益!$V:$V,0)))*IF(VLOOKUP($Q52,武学奇术!$A:$ZZ,23,FALSE)=1,0,1)</f>
        <v>0.0913</v>
      </c>
      <c r="BM52" s="26" cm="1">
        <f t="array" ref="BM52">1+$B$14+VLOOKUP($Q52,武学奇术!$A:$ZZ,20,FALSE)+SUM(_xlfn.XLOOKUP(R52:AF52,增益!$A:$A,增益!$T:$T,0))</f>
        <v>1.35</v>
      </c>
      <c r="BN52" s="26">
        <f t="shared" si="11"/>
        <v>0.8625</v>
      </c>
      <c r="BO52" s="26">
        <f t="shared" si="17"/>
        <v>0.0462</v>
      </c>
      <c r="BP52" s="26">
        <f>IF(VLOOKUP($Q52,武学奇术!$A:$ZZ,22,FALSE)=1,0,(1-$BI52))*(1-$BL52)</f>
        <v>0</v>
      </c>
      <c r="BQ52" s="26" cm="1">
        <f t="array" ref="BQ52">SUM(_xlfn.XLOOKUP(R52:AF52,增益!$A:$A,增益!$W:$W,0))+$I$5</f>
        <v>0.06</v>
      </c>
    </row>
    <row r="53" spans="4:69">
      <c r="K53" s="38">
        <f t="shared" si="12"/>
        <v>0</v>
      </c>
      <c r="L53" s="38">
        <f>((($AN53+$AO53)/2*$AH53+$AI53)*(1+$AP53)*(1+$AQ53)+(($AS53+$AT53)/2*IF($G$1="鸣金",$AJ53,$AH53)+IF($G$1="鸣金",$AK53*1.5,0))*(1+$AU53)*(1+$AV53)+(($AW53+$AX53)/2*IF($G$1="裂石",$AJ53,$AH53)+IF($G$1="裂石",$AK53*1.5,0))*(1+$AY53)*(1+$AZ53)+(($BA53+$BB53)/2*IF($G$1="牵丝",$AJ53,$AH53)+IF($G$1="牵丝",$AK53*1.5,0))*(1+$BC53)*(1+$BD53)+(($BE53+$BF53)/2*IF($G$1="破竹",$AJ53,$AH53)+IF($G$1="破竹",$AK53*1.5,0))*(1+$BG53)*(1+$BH53))*(1+$AL53)*$BK53*$P53*(1+IF(VLOOKUP($Q53,武学奇术!$A:$ZZ,30,FALSE)="蓄力技",#REF!,0))*(1+$BQ53)</f>
        <v>0</v>
      </c>
      <c r="M53" s="38">
        <f>(($AO53*$AH53+$AI53)*(1+$AP53)*(1+$AQ53)+($AT53*IF($G$1="鸣金",$AJ53,$AH53)+IF($G$1="鸣金",$AK53*1.5,0))*(1+$AU53)*(1+$AV53)+($AX53*IF($G$1="裂石",$AJ53,$AH53)+IF($G$1="裂石",$AK53*1.5,0))*(1+$AY53)*(1+$AZ53)+($BB53*IF($G$1="牵丝",$AJ53,$AH53)+IF($G$1="牵丝",$AK53*1.5,0))*(1+$BC53)*(1+$BD53)+($BF53*IF($G$1="破竹",$AJ53,$AH53)+IF($G$1="破竹",$AK53*1.5,0))*(1+$BG53)*(1+$BH53))*(1+$AL53)*$BM53*$P53*(1+IF(VLOOKUP($Q53,武学奇术!$A:$ZZ,30,FALSE)="蓄力技",#REF!,0))*(1+$BQ53)</f>
        <v>0</v>
      </c>
      <c r="N53" s="38">
        <f>((($AN53+$AO53)/2*$AH53+$AI53)*(1+$AP53)*(1+$AQ53)+(($AS53+$AT53)/2*IF($G$1="鸣金",$AJ53,$AH53)+IF($G$1="鸣金",$AK53*1.5,0))*(1+$AU53)*(1+$AV53)+(($AW53+$AX53)/2*IF($G$1="裂石",$AJ53,$AH53)+IF($G$1="裂石",$AK53*1.5,0))*(1+$AY53)*(1+$AZ53)+(($BA53+$BB53)/2*IF($G$1="牵丝",$AJ53,$AH53)+IF($G$1="牵丝",$AK53*1.5,0))*(1+$BC53)*(1+$BD53)+(($BE53+$BF53)/2*IF($G$1="破竹",$AJ53,$AH53)+IF($G$1="破竹",$AK53*1.5,0))*(1+$BG53)*(1+$BH53))*(1+$AL53)*$P53*(1+IF(VLOOKUP($Q53,武学奇术!$A:$ZZ,30,FALSE)="蓄力技",#REF!,0))*(1+$BQ53)</f>
        <v>0</v>
      </c>
      <c r="O53" s="38">
        <f>((($AN53*$AH53+$AI53)*(1+$AP53)*(1+$AQ53)+($AS53*IF($G$1="鸣金",$AJ53,$AH53)+IF($G$1="鸣金",$AK53*1.5,0))*(1+$AU53)*(1+$AV53)+($AW53*IF($G$1="裂石",$AJ53,$AH53)+IF($G$1="裂石",$AK53*1.5,0))*(1+$AY53)*(1+$AZ53)+($BA53*IF($G$1="牵丝",$AJ53,$AH53)+IF($G$1="牵丝",$AK53*1.5,0))*(1+$BC53)*(1+$BD53)+($BE53*IF($G$1="破竹",$AJ53,$AH53)+IF($G$1="破竹",$AK53*1.5,0))*(1+$BG53)*(1+$BH53))*(1+$AL53))*$P53*(1+IF(VLOOKUP($Q53,武学奇术!$A:$ZZ,30,FALSE)="蓄力技",#REF!,0))*(1+$BQ53)</f>
        <v>0</v>
      </c>
      <c r="P53" s="39">
        <v>1</v>
      </c>
      <c r="Q53" s="40" t="s">
        <v>76</v>
      </c>
      <c r="R53" s="40" t="s">
        <v>76</v>
      </c>
      <c r="S53" s="40" t="s">
        <v>76</v>
      </c>
      <c r="T53" s="40" t="s">
        <v>76</v>
      </c>
      <c r="U53" s="40" t="s">
        <v>76</v>
      </c>
      <c r="V53" s="40" t="s">
        <v>76</v>
      </c>
      <c r="W53" s="40" t="s">
        <v>76</v>
      </c>
      <c r="X53" s="40" t="s">
        <v>76</v>
      </c>
      <c r="Y53" s="40" t="s">
        <v>76</v>
      </c>
      <c r="Z53" s="40" t="s">
        <v>76</v>
      </c>
      <c r="AA53" s="40" t="s">
        <v>76</v>
      </c>
      <c r="AB53" s="40" t="s">
        <v>76</v>
      </c>
      <c r="AC53" s="40" t="s">
        <v>76</v>
      </c>
      <c r="AD53" s="40" t="s">
        <v>76</v>
      </c>
      <c r="AE53" s="40" t="s">
        <v>76</v>
      </c>
      <c r="AF53" s="40" t="s">
        <v>76</v>
      </c>
      <c r="AG53" t="str">
        <f>VLOOKUP($Q53,武学奇术!$A:$ZZ,25,FALSE)</f>
        <v>心法</v>
      </c>
      <c r="AH53" s="26">
        <f>VLOOKUP($Q53,武学奇术!$A:$ZZ,26,FALSE)</f>
        <v>0</v>
      </c>
      <c r="AI53" s="27">
        <f>VLOOKUP($Q53,武学奇术!$A:$ZZ,27,FALSE)*(1+IF(OR($AG53=$F$4,$AG53=$F$5),$B$21,0))</f>
        <v>0</v>
      </c>
      <c r="AJ53" s="26">
        <f>VLOOKUP($Q53,武学奇术!$A:$ZZ,28,FALSE)</f>
        <v>0</v>
      </c>
      <c r="AK53" s="27">
        <f>VLOOKUP($Q53,武学奇术!$A:$ZZ,29,FALSE)*(1+IF(OR($AG53=$F$4,$AG53=$F$5),$B$21,0))</f>
        <v>0</v>
      </c>
      <c r="AL53" s="26" cm="1">
        <f t="array" ref="AL53">$G$3+IFERROR(VLOOKUP($AG53,$F$4:$G$7,2,FALSE),0)+VLOOKUP($Q53,武学奇术!$A:$ZZ,2,FALSE)+SUM(_xlfn.XLOOKUP($R53:$AF53,增益!$A:$A,增益!$B:$B,0))</f>
        <v>0.2642</v>
      </c>
      <c r="AM53" s="26" cm="1">
        <f t="array" ref="AM53">VLOOKUP($Q53,武学奇术!$A:$ZZ,5,FALSE)+SUM(_xlfn.XLOOKUP($R53:$AF53,增益!$A:$A,增益!$E:$E,0))</f>
        <v>0</v>
      </c>
      <c r="AN53" cm="1">
        <f t="array" ref="AN53">$D$10*(1+$AM53)+VLOOKUP($Q53,武学奇术!$A:$ZZ,3,FALSE)+SUM(_xlfn.XLOOKUP($R53:$AF53,增益!$A:$A,增益!$C:$C,0))-$I$2</f>
        <v>3977.2</v>
      </c>
      <c r="AO53" cm="1">
        <f t="array" ref="AO53">$E$10*(1+$AM53)+VLOOKUP($Q53,武学奇术!$A:$ZZ,4,FALSE)+SUM(_xlfn.XLOOKUP($R53:$AF53,增益!$A:$A,增益!$D:$D,0))-$I$2</f>
        <v>3977.2</v>
      </c>
      <c r="AP53" s="32" cm="1">
        <f t="array" ref="AP53">IF($F$10-$I$3+VLOOKUP($Q53,武学奇术!$A:$ZZ,6,FALSE)+SUM(_xlfn.XLOOKUP(R53:AF53,增益!$A:$A,增益!$F:$F,0))&gt;0,($F$10-$I$3+VLOOKUP($Q53,武学奇术!$A:$ZZ,6,FALSE)+SUM(_xlfn.XLOOKUP(R53:AF53,增益!$A:$A,增益!$F:$F,0)))/200,($F$10-$I$3+VLOOKUP($Q53,武学奇术!$A:$ZZ,6,FALSE)+SUM(_xlfn.XLOOKUP(R53:AF53,增益!$A:$A,增益!$F:$F,0)))/100)</f>
        <v>0.294</v>
      </c>
      <c r="AQ53" s="32" cm="1">
        <f t="array" ref="AQ53">$G$10+VLOOKUP($Q53,武学奇术!$A:$ZZ,7,FALSE)+SUM(_xlfn.XLOOKUP(R53:AF53,增益!$A:$A,增益!$G:$G,0))</f>
        <v>0</v>
      </c>
      <c r="AR53" s="26" cm="1">
        <f t="array" ref="AR53">VLOOKUP($Q53,武学奇术!$A:$ZZ,8,FALSE)+SUM(_xlfn.XLOOKUP(R53:AF53,增益!$A:$A,增益!$H:$H,0))</f>
        <v>0</v>
      </c>
      <c r="AS53">
        <f t="shared" si="18"/>
        <v>0</v>
      </c>
      <c r="AT53">
        <f t="shared" si="19"/>
        <v>0</v>
      </c>
      <c r="AU53" s="32" cm="1">
        <f t="array" ref="AU53">IF($F$11-$I$4+VLOOKUP($Q53,武学奇术!$A:$ZZ,9,FALSE)+SUM(_xlfn.XLOOKUP(R53:AF53,增益!$A:$A,增益!$I:$I,0))&gt;0,($F$11-$I$4+VLOOKUP($Q53,武学奇术!$A:$ZZ,9,FALSE)+SUM(_xlfn.XLOOKUP(R53:AF53,增益!$A:$A,增益!$I:$I,0)))/200,($F$11-$I$4+VLOOKUP($Q53,武学奇术!$A:$ZZ,9,FALSE)+SUM(_xlfn.XLOOKUP(R53:AF53,增益!$A:$A,增益!$I:$I,0)))/100)</f>
        <v>-0.3</v>
      </c>
      <c r="AV53" s="32" cm="1">
        <f t="array" ref="AV53">$G$11+VLOOKUP($Q53,武学奇术!$A:$ZZ,10,FALSE)+SUM(_xlfn.XLOOKUP(R53:AF53,增益!$A:$A,增益!$J:$J,0))</f>
        <v>0</v>
      </c>
      <c r="AW53">
        <f t="shared" si="20"/>
        <v>0</v>
      </c>
      <c r="AX53">
        <f t="shared" si="21"/>
        <v>0</v>
      </c>
      <c r="AY53" s="32" cm="1">
        <f t="array" ref="AY53">IF($F$12-$I$4+VLOOKUP($Q53,武学奇术!$A:$ZZ,11,FALSE)+SUM(_xlfn.XLOOKUP(R53:AF53,增益!$A:$A,增益!$K:$K,0))&gt;0,($F$12-$I$4+VLOOKUP($Q53,武学奇术!$A:$ZZ,11,FALSE)+SUM(_xlfn.XLOOKUP(R53:AF53,增益!$A:$A,增益!$K:$K,0)))/200,($F$12-$I$4+VLOOKUP($Q53,武学奇术!$A:$ZZ,11,FALSE)+SUM(_xlfn.XLOOKUP(R53:AF53,增益!$A:$A,增益!$K:$K,0)))/100)</f>
        <v>-0.3</v>
      </c>
      <c r="AZ53" s="32" cm="1">
        <f t="array" ref="AZ53">$G$12+VLOOKUP($Q53,武学奇术!$A:$ZZ,12,FALSE)+SUM(_xlfn.XLOOKUP(R53:AF53,增益!$A:$A,增益!$L:$L,0))</f>
        <v>0</v>
      </c>
      <c r="BA53">
        <f t="shared" si="13"/>
        <v>697.4</v>
      </c>
      <c r="BB53">
        <f t="shared" si="14"/>
        <v>1805</v>
      </c>
      <c r="BC53" s="32" cm="1">
        <f t="array" ref="BC53">IF($F$13-$I$4+VLOOKUP($Q53,武学奇术!$A:$ZZ,13,FALSE)+SUM(_xlfn.XLOOKUP(R53:AF53,增益!$A:$A,增益!$M:$M,0))&gt;0,($F$13-$I$4+VLOOKUP($Q53,武学奇术!$A:$ZZ,13,FALSE)+SUM(_xlfn.XLOOKUP(R53:AF53,增益!$A:$A,增益!$K:$K,0)))/200,($F$13-$I$4+VLOOKUP($Q53,武学奇术!$A:$ZZ,13,FALSE)+SUM(_xlfn.XLOOKUP(R53:AF53,增益!$A:$A,增益!$M:$M,0)))/100)</f>
        <v>0</v>
      </c>
      <c r="BD53" s="32" cm="1">
        <f t="array" ref="BD53">$G$13+VLOOKUP($Q53,武学奇术!$A:$ZZ,14,FALSE)+SUM(_xlfn.XLOOKUP(R53:AF53,增益!$A:$A,增益!$N:$N,0))</f>
        <v>0.15</v>
      </c>
      <c r="BE53">
        <f t="shared" si="15"/>
        <v>0</v>
      </c>
      <c r="BF53">
        <f t="shared" si="16"/>
        <v>0</v>
      </c>
      <c r="BG53" s="32" cm="1">
        <f t="array" ref="BG53">IF($F$14-$I$4+VLOOKUP($Q53,武学奇术!$A:$ZZ,15,FALSE)+SUM(_xlfn.XLOOKUP(R53:AF53,增益!$A:$A,增益!$O:$O,0))&gt;0,($F$14-$I$4+VLOOKUP($Q53,武学奇术!$A:$ZZ,15,FALSE)+SUM(_xlfn.XLOOKUP(R53:AF53,增益!$A:$A,增益!$O:$O,0)))/200,($F$14-$I$4+VLOOKUP($Q53,武学奇术!$A:$ZZ,15,FALSE)+SUM(_xlfn.XLOOKUP(R53:AF53,增益!$A:$A,增益!$O:$O,0)))/100)</f>
        <v>-0.3</v>
      </c>
      <c r="BH53" s="32" cm="1">
        <f t="array" ref="BH53">$G$14+VLOOKUP($Q53,武学奇术!$A:$ZZ,16,FALSE)+SUM(_xlfn.XLOOKUP(R53:AF53,增益!$A:$A,增益!$P:$P,0))</f>
        <v>0</v>
      </c>
      <c r="BI53" s="26">
        <f>MIN(IF(VLOOKUP($Q53,武学奇术!$A:$ZZ,23,FALSE)=1,100%,$B$8),100%)</f>
        <v>1</v>
      </c>
      <c r="BJ53" s="26" cm="1">
        <f t="array" ref="BJ53">IF(VLOOKUP($Q53,武学奇术!$A:$ZZ,23,FALSE)=1,100%,MIN(80%,$B$9+VLOOKUP($Q53,武学奇术!$A:$ZZ,17,FALSE)+SUM(_xlfn.XLOOKUP(R53:AF53,增益!$A:$A,增益!$Q:$Q,0)))+$B$11+SUM(_xlfn.XLOOKUP(R53:AF53,增益!$A:$A,增益!$U:$U,0)))*IF(VLOOKUP($Q53,武学奇术!$A:$ZZ,24,FALSE)=1,0,1)</f>
        <v>0.8625</v>
      </c>
      <c r="BK53" s="26" cm="1">
        <f t="array" ref="BK53">1+$B$13+VLOOKUP($Q53,武学奇术!$A:$ZZ,18,FALSE)+SUM(_xlfn.XLOOKUP(R53:AF53,增益!$A:$A,增益!$R:$R,0))</f>
        <v>1.5</v>
      </c>
      <c r="BL53" s="26" cm="1">
        <f t="array" ref="BL53">IF(VLOOKUP($Q53,武学奇术!$A:$ZZ,24,FALSE)=1,100%,MIN(40%,$B$10+VLOOKUP($Q53,武学奇术!$A:$ZZ,19,FALSE)+SUM(_xlfn.XLOOKUP(R53:AF53,增益!$A:$A,增益!$S:$S,0)))+$B$12+SUM(_xlfn.XLOOKUP(R53:AF53,增益!$A:$A,增益!$V:$V,0)))*IF(VLOOKUP($Q53,武学奇术!$A:$ZZ,23,FALSE)=1,0,1)</f>
        <v>0.0913</v>
      </c>
      <c r="BM53" s="26" cm="1">
        <f t="array" ref="BM53">1+$B$14+VLOOKUP($Q53,武学奇术!$A:$ZZ,20,FALSE)+SUM(_xlfn.XLOOKUP(R53:AF53,增益!$A:$A,增益!$T:$T,0))</f>
        <v>1.35</v>
      </c>
      <c r="BN53" s="26">
        <f t="shared" si="11"/>
        <v>0.8625</v>
      </c>
      <c r="BO53" s="26">
        <f t="shared" si="17"/>
        <v>0.0462</v>
      </c>
      <c r="BP53" s="26">
        <f>IF(VLOOKUP($Q53,武学奇术!$A:$ZZ,22,FALSE)=1,0,(1-$BI53))*(1-$BL53)</f>
        <v>0</v>
      </c>
      <c r="BQ53" s="26" cm="1">
        <f t="array" ref="BQ53">SUM(_xlfn.XLOOKUP(R53:AF53,增益!$A:$A,增益!$W:$W,0))+$I$5</f>
        <v>0.06</v>
      </c>
    </row>
    <row r="54" spans="4:69">
      <c r="K54" s="38">
        <f t="shared" si="12"/>
        <v>0</v>
      </c>
      <c r="L54" s="38">
        <f>((($AN54+$AO54)/2*$AH54+$AI54)*(1+$AP54)*(1+$AQ54)+(($AS54+$AT54)/2*IF($G$1="鸣金",$AJ54,$AH54)+IF($G$1="鸣金",$AK54*1.5,0))*(1+$AU54)*(1+$AV54)+(($AW54+$AX54)/2*IF($G$1="裂石",$AJ54,$AH54)+IF($G$1="裂石",$AK54*1.5,0))*(1+$AY54)*(1+$AZ54)+(($BA54+$BB54)/2*IF($G$1="牵丝",$AJ54,$AH54)+IF($G$1="牵丝",$AK54*1.5,0))*(1+$BC54)*(1+$BD54)+(($BE54+$BF54)/2*IF($G$1="破竹",$AJ54,$AH54)+IF($G$1="破竹",$AK54*1.5,0))*(1+$BG54)*(1+$BH54))*(1+$AL54)*$BK54*$P54*(1+IF(VLOOKUP($Q54,武学奇术!$A:$ZZ,30,FALSE)="蓄力技",#REF!,0))*(1+$BQ54)</f>
        <v>0</v>
      </c>
      <c r="M54" s="38">
        <f>(($AO54*$AH54+$AI54)*(1+$AP54)*(1+$AQ54)+($AT54*IF($G$1="鸣金",$AJ54,$AH54)+IF($G$1="鸣金",$AK54*1.5,0))*(1+$AU54)*(1+$AV54)+($AX54*IF($G$1="裂石",$AJ54,$AH54)+IF($G$1="裂石",$AK54*1.5,0))*(1+$AY54)*(1+$AZ54)+($BB54*IF($G$1="牵丝",$AJ54,$AH54)+IF($G$1="牵丝",$AK54*1.5,0))*(1+$BC54)*(1+$BD54)+($BF54*IF($G$1="破竹",$AJ54,$AH54)+IF($G$1="破竹",$AK54*1.5,0))*(1+$BG54)*(1+$BH54))*(1+$AL54)*$BM54*$P54*(1+IF(VLOOKUP($Q54,武学奇术!$A:$ZZ,30,FALSE)="蓄力技",#REF!,0))*(1+$BQ54)</f>
        <v>0</v>
      </c>
      <c r="N54" s="38">
        <f>((($AN54+$AO54)/2*$AH54+$AI54)*(1+$AP54)*(1+$AQ54)+(($AS54+$AT54)/2*IF($G$1="鸣金",$AJ54,$AH54)+IF($G$1="鸣金",$AK54*1.5,0))*(1+$AU54)*(1+$AV54)+(($AW54+$AX54)/2*IF($G$1="裂石",$AJ54,$AH54)+IF($G$1="裂石",$AK54*1.5,0))*(1+$AY54)*(1+$AZ54)+(($BA54+$BB54)/2*IF($G$1="牵丝",$AJ54,$AH54)+IF($G$1="牵丝",$AK54*1.5,0))*(1+$BC54)*(1+$BD54)+(($BE54+$BF54)/2*IF($G$1="破竹",$AJ54,$AH54)+IF($G$1="破竹",$AK54*1.5,0))*(1+$BG54)*(1+$BH54))*(1+$AL54)*$P54*(1+IF(VLOOKUP($Q54,武学奇术!$A:$ZZ,30,FALSE)="蓄力技",#REF!,0))*(1+$BQ54)</f>
        <v>0</v>
      </c>
      <c r="O54" s="38">
        <f>((($AN54*$AH54+$AI54)*(1+$AP54)*(1+$AQ54)+($AS54*IF($G$1="鸣金",$AJ54,$AH54)+IF($G$1="鸣金",$AK54*1.5,0))*(1+$AU54)*(1+$AV54)+($AW54*IF($G$1="裂石",$AJ54,$AH54)+IF($G$1="裂石",$AK54*1.5,0))*(1+$AY54)*(1+$AZ54)+($BA54*IF($G$1="牵丝",$AJ54,$AH54)+IF($G$1="牵丝",$AK54*1.5,0))*(1+$BC54)*(1+$BD54)+($BE54*IF($G$1="破竹",$AJ54,$AH54)+IF($G$1="破竹",$AK54*1.5,0))*(1+$BG54)*(1+$BH54))*(1+$AL54))*$P54*(1+IF(VLOOKUP($Q54,武学奇术!$A:$ZZ,30,FALSE)="蓄力技",#REF!,0))*(1+$BQ54)</f>
        <v>0</v>
      </c>
      <c r="P54" s="39">
        <v>1</v>
      </c>
      <c r="Q54" s="40" t="s">
        <v>76</v>
      </c>
      <c r="R54" s="40" t="s">
        <v>76</v>
      </c>
      <c r="S54" s="40" t="s">
        <v>76</v>
      </c>
      <c r="T54" s="40" t="s">
        <v>76</v>
      </c>
      <c r="U54" s="40" t="s">
        <v>76</v>
      </c>
      <c r="V54" s="40" t="s">
        <v>76</v>
      </c>
      <c r="W54" s="40" t="s">
        <v>76</v>
      </c>
      <c r="X54" s="40" t="s">
        <v>76</v>
      </c>
      <c r="Y54" s="40" t="s">
        <v>76</v>
      </c>
      <c r="Z54" s="40" t="s">
        <v>76</v>
      </c>
      <c r="AA54" s="40" t="s">
        <v>76</v>
      </c>
      <c r="AB54" s="40" t="s">
        <v>76</v>
      </c>
      <c r="AC54" s="40" t="s">
        <v>76</v>
      </c>
      <c r="AD54" s="40" t="s">
        <v>76</v>
      </c>
      <c r="AE54" s="40" t="s">
        <v>76</v>
      </c>
      <c r="AF54" s="40" t="s">
        <v>76</v>
      </c>
      <c r="AG54" t="str">
        <f>VLOOKUP($Q54,武学奇术!$A:$ZZ,25,FALSE)</f>
        <v>心法</v>
      </c>
      <c r="AH54" s="26">
        <f>VLOOKUP($Q54,武学奇术!$A:$ZZ,26,FALSE)</f>
        <v>0</v>
      </c>
      <c r="AI54" s="27">
        <f>VLOOKUP($Q54,武学奇术!$A:$ZZ,27,FALSE)*(1+IF(OR($AG54=$F$4,$AG54=$F$5),$B$21,0))</f>
        <v>0</v>
      </c>
      <c r="AJ54" s="26">
        <f>VLOOKUP($Q54,武学奇术!$A:$ZZ,28,FALSE)</f>
        <v>0</v>
      </c>
      <c r="AK54" s="27">
        <f>VLOOKUP($Q54,武学奇术!$A:$ZZ,29,FALSE)*(1+IF(OR($AG54=$F$4,$AG54=$F$5),$B$21,0))</f>
        <v>0</v>
      </c>
      <c r="AL54" s="26" cm="1">
        <f t="array" ref="AL54">$G$3+IFERROR(VLOOKUP($AG54,$F$4:$G$7,2,FALSE),0)+VLOOKUP($Q54,武学奇术!$A:$ZZ,2,FALSE)+SUM(_xlfn.XLOOKUP($R54:$AF54,增益!$A:$A,增益!$B:$B,0))</f>
        <v>0.2642</v>
      </c>
      <c r="AM54" s="26" cm="1">
        <f t="array" ref="AM54">VLOOKUP($Q54,武学奇术!$A:$ZZ,5,FALSE)+SUM(_xlfn.XLOOKUP($R54:$AF54,增益!$A:$A,增益!$E:$E,0))</f>
        <v>0</v>
      </c>
      <c r="AN54" cm="1">
        <f t="array" ref="AN54">$D$10*(1+$AM54)+VLOOKUP($Q54,武学奇术!$A:$ZZ,3,FALSE)+SUM(_xlfn.XLOOKUP($R54:$AF54,增益!$A:$A,增益!$C:$C,0))-$I$2</f>
        <v>3977.2</v>
      </c>
      <c r="AO54" cm="1">
        <f t="array" ref="AO54">$E$10*(1+$AM54)+VLOOKUP($Q54,武学奇术!$A:$ZZ,4,FALSE)+SUM(_xlfn.XLOOKUP($R54:$AF54,增益!$A:$A,增益!$D:$D,0))-$I$2</f>
        <v>3977.2</v>
      </c>
      <c r="AP54" s="32" cm="1">
        <f t="array" ref="AP54">IF($F$10-$I$3+VLOOKUP($Q54,武学奇术!$A:$ZZ,6,FALSE)+SUM(_xlfn.XLOOKUP(R54:AF54,增益!$A:$A,增益!$F:$F,0))&gt;0,($F$10-$I$3+VLOOKUP($Q54,武学奇术!$A:$ZZ,6,FALSE)+SUM(_xlfn.XLOOKUP(R54:AF54,增益!$A:$A,增益!$F:$F,0)))/200,($F$10-$I$3+VLOOKUP($Q54,武学奇术!$A:$ZZ,6,FALSE)+SUM(_xlfn.XLOOKUP(R54:AF54,增益!$A:$A,增益!$F:$F,0)))/100)</f>
        <v>0.294</v>
      </c>
      <c r="AQ54" s="32" cm="1">
        <f t="array" ref="AQ54">$G$10+VLOOKUP($Q54,武学奇术!$A:$ZZ,7,FALSE)+SUM(_xlfn.XLOOKUP(R54:AF54,增益!$A:$A,增益!$G:$G,0))</f>
        <v>0</v>
      </c>
      <c r="AR54" s="26" cm="1">
        <f t="array" ref="AR54">VLOOKUP($Q54,武学奇术!$A:$ZZ,8,FALSE)+SUM(_xlfn.XLOOKUP(R54:AF54,增益!$A:$A,增益!$H:$H,0))</f>
        <v>0</v>
      </c>
      <c r="AS54">
        <f t="shared" si="18"/>
        <v>0</v>
      </c>
      <c r="AT54">
        <f t="shared" si="19"/>
        <v>0</v>
      </c>
      <c r="AU54" s="32" cm="1">
        <f t="array" ref="AU54">IF($F$11-$I$4+VLOOKUP($Q54,武学奇术!$A:$ZZ,9,FALSE)+SUM(_xlfn.XLOOKUP(R54:AF54,增益!$A:$A,增益!$I:$I,0))&gt;0,($F$11-$I$4+VLOOKUP($Q54,武学奇术!$A:$ZZ,9,FALSE)+SUM(_xlfn.XLOOKUP(R54:AF54,增益!$A:$A,增益!$I:$I,0)))/200,($F$11-$I$4+VLOOKUP($Q54,武学奇术!$A:$ZZ,9,FALSE)+SUM(_xlfn.XLOOKUP(R54:AF54,增益!$A:$A,增益!$I:$I,0)))/100)</f>
        <v>-0.3</v>
      </c>
      <c r="AV54" s="32" cm="1">
        <f t="array" ref="AV54">$G$11+VLOOKUP($Q54,武学奇术!$A:$ZZ,10,FALSE)+SUM(_xlfn.XLOOKUP(R54:AF54,增益!$A:$A,增益!$J:$J,0))</f>
        <v>0</v>
      </c>
      <c r="AW54">
        <f t="shared" si="20"/>
        <v>0</v>
      </c>
      <c r="AX54">
        <f t="shared" si="21"/>
        <v>0</v>
      </c>
      <c r="AY54" s="32" cm="1">
        <f t="array" ref="AY54">IF($F$12-$I$4+VLOOKUP($Q54,武学奇术!$A:$ZZ,11,FALSE)+SUM(_xlfn.XLOOKUP(R54:AF54,增益!$A:$A,增益!$K:$K,0))&gt;0,($F$12-$I$4+VLOOKUP($Q54,武学奇术!$A:$ZZ,11,FALSE)+SUM(_xlfn.XLOOKUP(R54:AF54,增益!$A:$A,增益!$K:$K,0)))/200,($F$12-$I$4+VLOOKUP($Q54,武学奇术!$A:$ZZ,11,FALSE)+SUM(_xlfn.XLOOKUP(R54:AF54,增益!$A:$A,增益!$K:$K,0)))/100)</f>
        <v>-0.3</v>
      </c>
      <c r="AZ54" s="32" cm="1">
        <f t="array" ref="AZ54">$G$12+VLOOKUP($Q54,武学奇术!$A:$ZZ,12,FALSE)+SUM(_xlfn.XLOOKUP(R54:AF54,增益!$A:$A,增益!$L:$L,0))</f>
        <v>0</v>
      </c>
      <c r="BA54">
        <f t="shared" si="13"/>
        <v>697.4</v>
      </c>
      <c r="BB54">
        <f t="shared" si="14"/>
        <v>1805</v>
      </c>
      <c r="BC54" s="32" cm="1">
        <f t="array" ref="BC54">IF($F$13-$I$4+VLOOKUP($Q54,武学奇术!$A:$ZZ,13,FALSE)+SUM(_xlfn.XLOOKUP(R54:AF54,增益!$A:$A,增益!$M:$M,0))&gt;0,($F$13-$I$4+VLOOKUP($Q54,武学奇术!$A:$ZZ,13,FALSE)+SUM(_xlfn.XLOOKUP(R54:AF54,增益!$A:$A,增益!$K:$K,0)))/200,($F$13-$I$4+VLOOKUP($Q54,武学奇术!$A:$ZZ,13,FALSE)+SUM(_xlfn.XLOOKUP(R54:AF54,增益!$A:$A,增益!$M:$M,0)))/100)</f>
        <v>0</v>
      </c>
      <c r="BD54" s="32" cm="1">
        <f t="array" ref="BD54">$G$13+VLOOKUP($Q54,武学奇术!$A:$ZZ,14,FALSE)+SUM(_xlfn.XLOOKUP(R54:AF54,增益!$A:$A,增益!$N:$N,0))</f>
        <v>0.15</v>
      </c>
      <c r="BE54">
        <f t="shared" si="15"/>
        <v>0</v>
      </c>
      <c r="BF54">
        <f t="shared" si="16"/>
        <v>0</v>
      </c>
      <c r="BG54" s="32" cm="1">
        <f t="array" ref="BG54">IF($F$14-$I$4+VLOOKUP($Q54,武学奇术!$A:$ZZ,15,FALSE)+SUM(_xlfn.XLOOKUP(R54:AF54,增益!$A:$A,增益!$O:$O,0))&gt;0,($F$14-$I$4+VLOOKUP($Q54,武学奇术!$A:$ZZ,15,FALSE)+SUM(_xlfn.XLOOKUP(R54:AF54,增益!$A:$A,增益!$O:$O,0)))/200,($F$14-$I$4+VLOOKUP($Q54,武学奇术!$A:$ZZ,15,FALSE)+SUM(_xlfn.XLOOKUP(R54:AF54,增益!$A:$A,增益!$O:$O,0)))/100)</f>
        <v>-0.3</v>
      </c>
      <c r="BH54" s="32" cm="1">
        <f t="array" ref="BH54">$G$14+VLOOKUP($Q54,武学奇术!$A:$ZZ,16,FALSE)+SUM(_xlfn.XLOOKUP(R54:AF54,增益!$A:$A,增益!$P:$P,0))</f>
        <v>0</v>
      </c>
      <c r="BI54" s="26">
        <f>MIN(IF(VLOOKUP($Q54,武学奇术!$A:$ZZ,23,FALSE)=1,100%,$B$8),100%)</f>
        <v>1</v>
      </c>
      <c r="BJ54" s="26" cm="1">
        <f t="array" ref="BJ54">IF(VLOOKUP($Q54,武学奇术!$A:$ZZ,23,FALSE)=1,100%,MIN(80%,$B$9+VLOOKUP($Q54,武学奇术!$A:$ZZ,17,FALSE)+SUM(_xlfn.XLOOKUP(R54:AF54,增益!$A:$A,增益!$Q:$Q,0)))+$B$11+SUM(_xlfn.XLOOKUP(R54:AF54,增益!$A:$A,增益!$U:$U,0)))*IF(VLOOKUP($Q54,武学奇术!$A:$ZZ,24,FALSE)=1,0,1)</f>
        <v>0.8625</v>
      </c>
      <c r="BK54" s="26" cm="1">
        <f t="array" ref="BK54">1+$B$13+VLOOKUP($Q54,武学奇术!$A:$ZZ,18,FALSE)+SUM(_xlfn.XLOOKUP(R54:AF54,增益!$A:$A,增益!$R:$R,0))</f>
        <v>1.5</v>
      </c>
      <c r="BL54" s="26" cm="1">
        <f t="array" ref="BL54">IF(VLOOKUP($Q54,武学奇术!$A:$ZZ,24,FALSE)=1,100%,MIN(40%,$B$10+VLOOKUP($Q54,武学奇术!$A:$ZZ,19,FALSE)+SUM(_xlfn.XLOOKUP(R54:AF54,增益!$A:$A,增益!$S:$S,0)))+$B$12+SUM(_xlfn.XLOOKUP(R54:AF54,增益!$A:$A,增益!$V:$V,0)))*IF(VLOOKUP($Q54,武学奇术!$A:$ZZ,23,FALSE)=1,0,1)</f>
        <v>0.0913</v>
      </c>
      <c r="BM54" s="26" cm="1">
        <f t="array" ref="BM54">1+$B$14+VLOOKUP($Q54,武学奇术!$A:$ZZ,20,FALSE)+SUM(_xlfn.XLOOKUP(R54:AF54,增益!$A:$A,增益!$T:$T,0))</f>
        <v>1.35</v>
      </c>
      <c r="BN54" s="26">
        <f t="shared" si="11"/>
        <v>0.8625</v>
      </c>
      <c r="BO54" s="26">
        <f t="shared" si="17"/>
        <v>0.0462</v>
      </c>
      <c r="BP54" s="26">
        <f>IF(VLOOKUP($Q54,武学奇术!$A:$ZZ,22,FALSE)=1,0,(1-$BI54))*(1-$BL54)</f>
        <v>0</v>
      </c>
      <c r="BQ54" s="26" cm="1">
        <f t="array" ref="BQ54">SUM(_xlfn.XLOOKUP(R54:AF54,增益!$A:$A,增益!$W:$W,0))+$I$5</f>
        <v>0.06</v>
      </c>
    </row>
    <row r="55" spans="4:69">
      <c r="K55" s="38">
        <f t="shared" si="12"/>
        <v>0</v>
      </c>
      <c r="L55" s="38">
        <f>((($AN55+$AO55)/2*$AH55+$AI55)*(1+$AP55)*(1+$AQ55)+(($AS55+$AT55)/2*IF($G$1="鸣金",$AJ55,$AH55)+IF($G$1="鸣金",$AK55*1.5,0))*(1+$AU55)*(1+$AV55)+(($AW55+$AX55)/2*IF($G$1="裂石",$AJ55,$AH55)+IF($G$1="裂石",$AK55*1.5,0))*(1+$AY55)*(1+$AZ55)+(($BA55+$BB55)/2*IF($G$1="牵丝",$AJ55,$AH55)+IF($G$1="牵丝",$AK55*1.5,0))*(1+$BC55)*(1+$BD55)+(($BE55+$BF55)/2*IF($G$1="破竹",$AJ55,$AH55)+IF($G$1="破竹",$AK55*1.5,0))*(1+$BG55)*(1+$BH55))*(1+$AL55)*$BK55*$P55*(1+IF(VLOOKUP($Q55,武学奇术!$A:$ZZ,30,FALSE)="蓄力技",#REF!,0))*(1+$BQ55)</f>
        <v>0</v>
      </c>
      <c r="M55" s="38">
        <f>(($AO55*$AH55+$AI55)*(1+$AP55)*(1+$AQ55)+($AT55*IF($G$1="鸣金",$AJ55,$AH55)+IF($G$1="鸣金",$AK55*1.5,0))*(1+$AU55)*(1+$AV55)+($AX55*IF($G$1="裂石",$AJ55,$AH55)+IF($G$1="裂石",$AK55*1.5,0))*(1+$AY55)*(1+$AZ55)+($BB55*IF($G$1="牵丝",$AJ55,$AH55)+IF($G$1="牵丝",$AK55*1.5,0))*(1+$BC55)*(1+$BD55)+($BF55*IF($G$1="破竹",$AJ55,$AH55)+IF($G$1="破竹",$AK55*1.5,0))*(1+$BG55)*(1+$BH55))*(1+$AL55)*$BM55*$P55*(1+IF(VLOOKUP($Q55,武学奇术!$A:$ZZ,30,FALSE)="蓄力技",#REF!,0))*(1+$BQ55)</f>
        <v>0</v>
      </c>
      <c r="N55" s="38">
        <f>((($AN55+$AO55)/2*$AH55+$AI55)*(1+$AP55)*(1+$AQ55)+(($AS55+$AT55)/2*IF($G$1="鸣金",$AJ55,$AH55)+IF($G$1="鸣金",$AK55*1.5,0))*(1+$AU55)*(1+$AV55)+(($AW55+$AX55)/2*IF($G$1="裂石",$AJ55,$AH55)+IF($G$1="裂石",$AK55*1.5,0))*(1+$AY55)*(1+$AZ55)+(($BA55+$BB55)/2*IF($G$1="牵丝",$AJ55,$AH55)+IF($G$1="牵丝",$AK55*1.5,0))*(1+$BC55)*(1+$BD55)+(($BE55+$BF55)/2*IF($G$1="破竹",$AJ55,$AH55)+IF($G$1="破竹",$AK55*1.5,0))*(1+$BG55)*(1+$BH55))*(1+$AL55)*$P55*(1+IF(VLOOKUP($Q55,武学奇术!$A:$ZZ,30,FALSE)="蓄力技",#REF!,0))*(1+$BQ55)</f>
        <v>0</v>
      </c>
      <c r="O55" s="38">
        <f>((($AN55*$AH55+$AI55)*(1+$AP55)*(1+$AQ55)+($AS55*IF($G$1="鸣金",$AJ55,$AH55)+IF($G$1="鸣金",$AK55*1.5,0))*(1+$AU55)*(1+$AV55)+($AW55*IF($G$1="裂石",$AJ55,$AH55)+IF($G$1="裂石",$AK55*1.5,0))*(1+$AY55)*(1+$AZ55)+($BA55*IF($G$1="牵丝",$AJ55,$AH55)+IF($G$1="牵丝",$AK55*1.5,0))*(1+$BC55)*(1+$BD55)+($BE55*IF($G$1="破竹",$AJ55,$AH55)+IF($G$1="破竹",$AK55*1.5,0))*(1+$BG55)*(1+$BH55))*(1+$AL55))*$P55*(1+IF(VLOOKUP($Q55,武学奇术!$A:$ZZ,30,FALSE)="蓄力技",#REF!,0))*(1+$BQ55)</f>
        <v>0</v>
      </c>
      <c r="P55" s="39">
        <v>1</v>
      </c>
      <c r="Q55" s="40" t="s">
        <v>76</v>
      </c>
      <c r="R55" s="40" t="s">
        <v>76</v>
      </c>
      <c r="S55" s="40" t="s">
        <v>76</v>
      </c>
      <c r="T55" s="40" t="s">
        <v>76</v>
      </c>
      <c r="U55" s="40" t="s">
        <v>76</v>
      </c>
      <c r="V55" s="40" t="s">
        <v>76</v>
      </c>
      <c r="W55" s="40" t="s">
        <v>76</v>
      </c>
      <c r="X55" s="40" t="s">
        <v>76</v>
      </c>
      <c r="Y55" s="40" t="s">
        <v>76</v>
      </c>
      <c r="Z55" s="40" t="s">
        <v>76</v>
      </c>
      <c r="AA55" s="40" t="s">
        <v>76</v>
      </c>
      <c r="AB55" s="40" t="s">
        <v>76</v>
      </c>
      <c r="AC55" s="40" t="s">
        <v>76</v>
      </c>
      <c r="AD55" s="40" t="s">
        <v>76</v>
      </c>
      <c r="AE55" s="40" t="s">
        <v>76</v>
      </c>
      <c r="AF55" s="40" t="s">
        <v>76</v>
      </c>
      <c r="AG55" t="str">
        <f>VLOOKUP($Q55,武学奇术!$A:$ZZ,25,FALSE)</f>
        <v>心法</v>
      </c>
      <c r="AH55" s="26">
        <f>VLOOKUP($Q55,武学奇术!$A:$ZZ,26,FALSE)</f>
        <v>0</v>
      </c>
      <c r="AI55" s="27">
        <f>VLOOKUP($Q55,武学奇术!$A:$ZZ,27,FALSE)*(1+IF(OR($AG55=$F$4,$AG55=$F$5),$B$21,0))</f>
        <v>0</v>
      </c>
      <c r="AJ55" s="26">
        <f>VLOOKUP($Q55,武学奇术!$A:$ZZ,28,FALSE)</f>
        <v>0</v>
      </c>
      <c r="AK55" s="27">
        <f>VLOOKUP($Q55,武学奇术!$A:$ZZ,29,FALSE)*(1+IF(OR($AG55=$F$4,$AG55=$F$5),$B$21,0))</f>
        <v>0</v>
      </c>
      <c r="AL55" s="26" cm="1">
        <f t="array" ref="AL55">$G$3+IFERROR(VLOOKUP($AG55,$F$4:$G$7,2,FALSE),0)+VLOOKUP($Q55,武学奇术!$A:$ZZ,2,FALSE)+SUM(_xlfn.XLOOKUP($R55:$AF55,增益!$A:$A,增益!$B:$B,0))</f>
        <v>0.2642</v>
      </c>
      <c r="AM55" s="26" cm="1">
        <f t="array" ref="AM55">VLOOKUP($Q55,武学奇术!$A:$ZZ,5,FALSE)+SUM(_xlfn.XLOOKUP($R55:$AF55,增益!$A:$A,增益!$E:$E,0))</f>
        <v>0</v>
      </c>
      <c r="AN55" cm="1">
        <f t="array" ref="AN55">$D$10*(1+$AM55)+VLOOKUP($Q55,武学奇术!$A:$ZZ,3,FALSE)+SUM(_xlfn.XLOOKUP($R55:$AF55,增益!$A:$A,增益!$C:$C,0))-$I$2</f>
        <v>3977.2</v>
      </c>
      <c r="AO55" cm="1">
        <f t="array" ref="AO55">$E$10*(1+$AM55)+VLOOKUP($Q55,武学奇术!$A:$ZZ,4,FALSE)+SUM(_xlfn.XLOOKUP($R55:$AF55,增益!$A:$A,增益!$D:$D,0))-$I$2</f>
        <v>3977.2</v>
      </c>
      <c r="AP55" s="32" cm="1">
        <f t="array" ref="AP55">IF($F$10-$I$3+VLOOKUP($Q55,武学奇术!$A:$ZZ,6,FALSE)+SUM(_xlfn.XLOOKUP(R55:AF55,增益!$A:$A,增益!$F:$F,0))&gt;0,($F$10-$I$3+VLOOKUP($Q55,武学奇术!$A:$ZZ,6,FALSE)+SUM(_xlfn.XLOOKUP(R55:AF55,增益!$A:$A,增益!$F:$F,0)))/200,($F$10-$I$3+VLOOKUP($Q55,武学奇术!$A:$ZZ,6,FALSE)+SUM(_xlfn.XLOOKUP(R55:AF55,增益!$A:$A,增益!$F:$F,0)))/100)</f>
        <v>0.294</v>
      </c>
      <c r="AQ55" s="32" cm="1">
        <f t="array" ref="AQ55">$G$10+VLOOKUP($Q55,武学奇术!$A:$ZZ,7,FALSE)+SUM(_xlfn.XLOOKUP(R55:AF55,增益!$A:$A,增益!$G:$G,0))</f>
        <v>0</v>
      </c>
      <c r="AR55" s="26" cm="1">
        <f t="array" ref="AR55">VLOOKUP($Q55,武学奇术!$A:$ZZ,8,FALSE)+SUM(_xlfn.XLOOKUP(R55:AF55,增益!$A:$A,增益!$H:$H,0))</f>
        <v>0</v>
      </c>
      <c r="AS55">
        <f t="shared" si="18"/>
        <v>0</v>
      </c>
      <c r="AT55">
        <f t="shared" si="19"/>
        <v>0</v>
      </c>
      <c r="AU55" s="32" cm="1">
        <f t="array" ref="AU55">IF($F$11-$I$4+VLOOKUP($Q55,武学奇术!$A:$ZZ,9,FALSE)+SUM(_xlfn.XLOOKUP(R55:AF55,增益!$A:$A,增益!$I:$I,0))&gt;0,($F$11-$I$4+VLOOKUP($Q55,武学奇术!$A:$ZZ,9,FALSE)+SUM(_xlfn.XLOOKUP(R55:AF55,增益!$A:$A,增益!$I:$I,0)))/200,($F$11-$I$4+VLOOKUP($Q55,武学奇术!$A:$ZZ,9,FALSE)+SUM(_xlfn.XLOOKUP(R55:AF55,增益!$A:$A,增益!$I:$I,0)))/100)</f>
        <v>-0.3</v>
      </c>
      <c r="AV55" s="32" cm="1">
        <f t="array" ref="AV55">$G$11+VLOOKUP($Q55,武学奇术!$A:$ZZ,10,FALSE)+SUM(_xlfn.XLOOKUP(R55:AF55,增益!$A:$A,增益!$J:$J,0))</f>
        <v>0</v>
      </c>
      <c r="AW55">
        <f t="shared" si="20"/>
        <v>0</v>
      </c>
      <c r="AX55">
        <f t="shared" si="21"/>
        <v>0</v>
      </c>
      <c r="AY55" s="32" cm="1">
        <f t="array" ref="AY55">IF($F$12-$I$4+VLOOKUP($Q55,武学奇术!$A:$ZZ,11,FALSE)+SUM(_xlfn.XLOOKUP(R55:AF55,增益!$A:$A,增益!$K:$K,0))&gt;0,($F$12-$I$4+VLOOKUP($Q55,武学奇术!$A:$ZZ,11,FALSE)+SUM(_xlfn.XLOOKUP(R55:AF55,增益!$A:$A,增益!$K:$K,0)))/200,($F$12-$I$4+VLOOKUP($Q55,武学奇术!$A:$ZZ,11,FALSE)+SUM(_xlfn.XLOOKUP(R55:AF55,增益!$A:$A,增益!$K:$K,0)))/100)</f>
        <v>-0.3</v>
      </c>
      <c r="AZ55" s="32" cm="1">
        <f t="array" ref="AZ55">$G$12+VLOOKUP($Q55,武学奇术!$A:$ZZ,12,FALSE)+SUM(_xlfn.XLOOKUP(R55:AF55,增益!$A:$A,增益!$L:$L,0))</f>
        <v>0</v>
      </c>
      <c r="BA55">
        <f t="shared" si="13"/>
        <v>697.4</v>
      </c>
      <c r="BB55">
        <f t="shared" si="14"/>
        <v>1805</v>
      </c>
      <c r="BC55" s="32" cm="1">
        <f t="array" ref="BC55">IF($F$13-$I$4+VLOOKUP($Q55,武学奇术!$A:$ZZ,13,FALSE)+SUM(_xlfn.XLOOKUP(R55:AF55,增益!$A:$A,增益!$M:$M,0))&gt;0,($F$13-$I$4+VLOOKUP($Q55,武学奇术!$A:$ZZ,13,FALSE)+SUM(_xlfn.XLOOKUP(R55:AF55,增益!$A:$A,增益!$K:$K,0)))/200,($F$13-$I$4+VLOOKUP($Q55,武学奇术!$A:$ZZ,13,FALSE)+SUM(_xlfn.XLOOKUP(R55:AF55,增益!$A:$A,增益!$M:$M,0)))/100)</f>
        <v>0</v>
      </c>
      <c r="BD55" s="32" cm="1">
        <f t="array" ref="BD55">$G$13+VLOOKUP($Q55,武学奇术!$A:$ZZ,14,FALSE)+SUM(_xlfn.XLOOKUP(R55:AF55,增益!$A:$A,增益!$N:$N,0))</f>
        <v>0.15</v>
      </c>
      <c r="BE55">
        <f t="shared" si="15"/>
        <v>0</v>
      </c>
      <c r="BF55">
        <f t="shared" si="16"/>
        <v>0</v>
      </c>
      <c r="BG55" s="32" cm="1">
        <f t="array" ref="BG55">IF($F$14-$I$4+VLOOKUP($Q55,武学奇术!$A:$ZZ,15,FALSE)+SUM(_xlfn.XLOOKUP(R55:AF55,增益!$A:$A,增益!$O:$O,0))&gt;0,($F$14-$I$4+VLOOKUP($Q55,武学奇术!$A:$ZZ,15,FALSE)+SUM(_xlfn.XLOOKUP(R55:AF55,增益!$A:$A,增益!$O:$O,0)))/200,($F$14-$I$4+VLOOKUP($Q55,武学奇术!$A:$ZZ,15,FALSE)+SUM(_xlfn.XLOOKUP(R55:AF55,增益!$A:$A,增益!$O:$O,0)))/100)</f>
        <v>-0.3</v>
      </c>
      <c r="BH55" s="32" cm="1">
        <f t="array" ref="BH55">$G$14+VLOOKUP($Q55,武学奇术!$A:$ZZ,16,FALSE)+SUM(_xlfn.XLOOKUP(R55:AF55,增益!$A:$A,增益!$P:$P,0))</f>
        <v>0</v>
      </c>
      <c r="BI55" s="26">
        <f>MIN(IF(VLOOKUP($Q55,武学奇术!$A:$ZZ,23,FALSE)=1,100%,$B$8),100%)</f>
        <v>1</v>
      </c>
      <c r="BJ55" s="26" cm="1">
        <f t="array" ref="BJ55">IF(VLOOKUP($Q55,武学奇术!$A:$ZZ,23,FALSE)=1,100%,MIN(80%,$B$9+VLOOKUP($Q55,武学奇术!$A:$ZZ,17,FALSE)+SUM(_xlfn.XLOOKUP(R55:AF55,增益!$A:$A,增益!$Q:$Q,0)))+$B$11+SUM(_xlfn.XLOOKUP(R55:AF55,增益!$A:$A,增益!$U:$U,0)))*IF(VLOOKUP($Q55,武学奇术!$A:$ZZ,24,FALSE)=1,0,1)</f>
        <v>0.8625</v>
      </c>
      <c r="BK55" s="26" cm="1">
        <f t="array" ref="BK55">1+$B$13+VLOOKUP($Q55,武学奇术!$A:$ZZ,18,FALSE)+SUM(_xlfn.XLOOKUP(R55:AF55,增益!$A:$A,增益!$R:$R,0))</f>
        <v>1.5</v>
      </c>
      <c r="BL55" s="26" cm="1">
        <f t="array" ref="BL55">IF(VLOOKUP($Q55,武学奇术!$A:$ZZ,24,FALSE)=1,100%,MIN(40%,$B$10+VLOOKUP($Q55,武学奇术!$A:$ZZ,19,FALSE)+SUM(_xlfn.XLOOKUP(R55:AF55,增益!$A:$A,增益!$S:$S,0)))+$B$12+SUM(_xlfn.XLOOKUP(R55:AF55,增益!$A:$A,增益!$V:$V,0)))*IF(VLOOKUP($Q55,武学奇术!$A:$ZZ,23,FALSE)=1,0,1)</f>
        <v>0.0913</v>
      </c>
      <c r="BM55" s="26" cm="1">
        <f t="array" ref="BM55">1+$B$14+VLOOKUP($Q55,武学奇术!$A:$ZZ,20,FALSE)+SUM(_xlfn.XLOOKUP(R55:AF55,增益!$A:$A,增益!$T:$T,0))</f>
        <v>1.35</v>
      </c>
      <c r="BN55" s="26">
        <f t="shared" si="11"/>
        <v>0.8625</v>
      </c>
      <c r="BO55" s="26">
        <f t="shared" si="17"/>
        <v>0.0462</v>
      </c>
      <c r="BP55" s="26">
        <f>IF(VLOOKUP($Q55,武学奇术!$A:$ZZ,22,FALSE)=1,0,(1-$BI55))*(1-$BL55)</f>
        <v>0</v>
      </c>
      <c r="BQ55" s="26" cm="1">
        <f t="array" ref="BQ55">SUM(_xlfn.XLOOKUP(R55:AF55,增益!$A:$A,增益!$W:$W,0))+$I$5</f>
        <v>0.06</v>
      </c>
    </row>
    <row r="56" spans="4:69">
      <c r="K56" s="38">
        <f t="shared" si="12"/>
        <v>0</v>
      </c>
      <c r="L56" s="38">
        <f>((($AN56+$AO56)/2*$AH56+$AI56)*(1+$AP56)*(1+$AQ56)+(($AS56+$AT56)/2*IF($G$1="鸣金",$AJ56,$AH56)+IF($G$1="鸣金",$AK56*1.5,0))*(1+$AU56)*(1+$AV56)+(($AW56+$AX56)/2*IF($G$1="裂石",$AJ56,$AH56)+IF($G$1="裂石",$AK56*1.5,0))*(1+$AY56)*(1+$AZ56)+(($BA56+$BB56)/2*IF($G$1="牵丝",$AJ56,$AH56)+IF($G$1="牵丝",$AK56*1.5,0))*(1+$BC56)*(1+$BD56)+(($BE56+$BF56)/2*IF($G$1="破竹",$AJ56,$AH56)+IF($G$1="破竹",$AK56*1.5,0))*(1+$BG56)*(1+$BH56))*(1+$AL56)*$BK56*$P56*(1+IF(VLOOKUP($Q56,武学奇术!$A:$ZZ,30,FALSE)="蓄力技",#REF!,0))*(1+$BQ56)</f>
        <v>0</v>
      </c>
      <c r="M56" s="38">
        <f>(($AO56*$AH56+$AI56)*(1+$AP56)*(1+$AQ56)+($AT56*IF($G$1="鸣金",$AJ56,$AH56)+IF($G$1="鸣金",$AK56*1.5,0))*(1+$AU56)*(1+$AV56)+($AX56*IF($G$1="裂石",$AJ56,$AH56)+IF($G$1="裂石",$AK56*1.5,0))*(1+$AY56)*(1+$AZ56)+($BB56*IF($G$1="牵丝",$AJ56,$AH56)+IF($G$1="牵丝",$AK56*1.5,0))*(1+$BC56)*(1+$BD56)+($BF56*IF($G$1="破竹",$AJ56,$AH56)+IF($G$1="破竹",$AK56*1.5,0))*(1+$BG56)*(1+$BH56))*(1+$AL56)*$BM56*$P56*(1+IF(VLOOKUP($Q56,武学奇术!$A:$ZZ,30,FALSE)="蓄力技",#REF!,0))*(1+$BQ56)</f>
        <v>0</v>
      </c>
      <c r="N56" s="38">
        <f>((($AN56+$AO56)/2*$AH56+$AI56)*(1+$AP56)*(1+$AQ56)+(($AS56+$AT56)/2*IF($G$1="鸣金",$AJ56,$AH56)+IF($G$1="鸣金",$AK56*1.5,0))*(1+$AU56)*(1+$AV56)+(($AW56+$AX56)/2*IF($G$1="裂石",$AJ56,$AH56)+IF($G$1="裂石",$AK56*1.5,0))*(1+$AY56)*(1+$AZ56)+(($BA56+$BB56)/2*IF($G$1="牵丝",$AJ56,$AH56)+IF($G$1="牵丝",$AK56*1.5,0))*(1+$BC56)*(1+$BD56)+(($BE56+$BF56)/2*IF($G$1="破竹",$AJ56,$AH56)+IF($G$1="破竹",$AK56*1.5,0))*(1+$BG56)*(1+$BH56))*(1+$AL56)*$P56*(1+IF(VLOOKUP($Q56,武学奇术!$A:$ZZ,30,FALSE)="蓄力技",#REF!,0))*(1+$BQ56)</f>
        <v>0</v>
      </c>
      <c r="O56" s="38">
        <f>((($AN56*$AH56+$AI56)*(1+$AP56)*(1+$AQ56)+($AS56*IF($G$1="鸣金",$AJ56,$AH56)+IF($G$1="鸣金",$AK56*1.5,0))*(1+$AU56)*(1+$AV56)+($AW56*IF($G$1="裂石",$AJ56,$AH56)+IF($G$1="裂石",$AK56*1.5,0))*(1+$AY56)*(1+$AZ56)+($BA56*IF($G$1="牵丝",$AJ56,$AH56)+IF($G$1="牵丝",$AK56*1.5,0))*(1+$BC56)*(1+$BD56)+($BE56*IF($G$1="破竹",$AJ56,$AH56)+IF($G$1="破竹",$AK56*1.5,0))*(1+$BG56)*(1+$BH56))*(1+$AL56))*$P56*(1+IF(VLOOKUP($Q56,武学奇术!$A:$ZZ,30,FALSE)="蓄力技",#REF!,0))*(1+$BQ56)</f>
        <v>0</v>
      </c>
      <c r="P56" s="39">
        <v>1</v>
      </c>
      <c r="Q56" s="40" t="s">
        <v>76</v>
      </c>
      <c r="R56" s="40" t="s">
        <v>76</v>
      </c>
      <c r="S56" s="40" t="s">
        <v>76</v>
      </c>
      <c r="T56" s="40" t="s">
        <v>76</v>
      </c>
      <c r="U56" s="40" t="s">
        <v>76</v>
      </c>
      <c r="V56" s="40" t="s">
        <v>76</v>
      </c>
      <c r="W56" s="40" t="s">
        <v>76</v>
      </c>
      <c r="X56" s="40" t="s">
        <v>76</v>
      </c>
      <c r="Y56" s="40" t="s">
        <v>76</v>
      </c>
      <c r="Z56" s="40" t="s">
        <v>76</v>
      </c>
      <c r="AA56" s="40" t="s">
        <v>76</v>
      </c>
      <c r="AB56" s="40" t="s">
        <v>76</v>
      </c>
      <c r="AC56" s="40" t="s">
        <v>76</v>
      </c>
      <c r="AD56" s="40" t="s">
        <v>76</v>
      </c>
      <c r="AE56" s="40" t="s">
        <v>76</v>
      </c>
      <c r="AF56" s="40" t="s">
        <v>76</v>
      </c>
      <c r="AG56" t="str">
        <f>VLOOKUP($Q56,武学奇术!$A:$ZZ,25,FALSE)</f>
        <v>心法</v>
      </c>
      <c r="AH56" s="26">
        <f>VLOOKUP($Q56,武学奇术!$A:$ZZ,26,FALSE)</f>
        <v>0</v>
      </c>
      <c r="AI56" s="27">
        <f>VLOOKUP($Q56,武学奇术!$A:$ZZ,27,FALSE)*(1+IF(OR($AG56=$F$4,$AG56=$F$5),$B$21,0))</f>
        <v>0</v>
      </c>
      <c r="AJ56" s="26">
        <f>VLOOKUP($Q56,武学奇术!$A:$ZZ,28,FALSE)</f>
        <v>0</v>
      </c>
      <c r="AK56" s="27">
        <f>VLOOKUP($Q56,武学奇术!$A:$ZZ,29,FALSE)*(1+IF(OR($AG56=$F$4,$AG56=$F$5),$B$21,0))</f>
        <v>0</v>
      </c>
      <c r="AL56" s="26" cm="1">
        <f t="array" ref="AL56">$G$3+IFERROR(VLOOKUP($AG56,$F$4:$G$7,2,FALSE),0)+VLOOKUP($Q56,武学奇术!$A:$ZZ,2,FALSE)+SUM(_xlfn.XLOOKUP($R56:$AF56,增益!$A:$A,增益!$B:$B,0))</f>
        <v>0.2642</v>
      </c>
      <c r="AM56" s="26" cm="1">
        <f t="array" ref="AM56">VLOOKUP($Q56,武学奇术!$A:$ZZ,5,FALSE)+SUM(_xlfn.XLOOKUP($R56:$AF56,增益!$A:$A,增益!$E:$E,0))</f>
        <v>0</v>
      </c>
      <c r="AN56" cm="1">
        <f t="array" ref="AN56">$D$10*(1+$AM56)+VLOOKUP($Q56,武学奇术!$A:$ZZ,3,FALSE)+SUM(_xlfn.XLOOKUP($R56:$AF56,增益!$A:$A,增益!$C:$C,0))-$I$2</f>
        <v>3977.2</v>
      </c>
      <c r="AO56" cm="1">
        <f t="array" ref="AO56">$E$10*(1+$AM56)+VLOOKUP($Q56,武学奇术!$A:$ZZ,4,FALSE)+SUM(_xlfn.XLOOKUP($R56:$AF56,增益!$A:$A,增益!$D:$D,0))-$I$2</f>
        <v>3977.2</v>
      </c>
      <c r="AP56" s="32" cm="1">
        <f t="array" ref="AP56">IF($F$10-$I$3+VLOOKUP($Q56,武学奇术!$A:$ZZ,6,FALSE)+SUM(_xlfn.XLOOKUP(R56:AF56,增益!$A:$A,增益!$F:$F,0))&gt;0,($F$10-$I$3+VLOOKUP($Q56,武学奇术!$A:$ZZ,6,FALSE)+SUM(_xlfn.XLOOKUP(R56:AF56,增益!$A:$A,增益!$F:$F,0)))/200,($F$10-$I$3+VLOOKUP($Q56,武学奇术!$A:$ZZ,6,FALSE)+SUM(_xlfn.XLOOKUP(R56:AF56,增益!$A:$A,增益!$F:$F,0)))/100)</f>
        <v>0.294</v>
      </c>
      <c r="AQ56" s="32" cm="1">
        <f t="array" ref="AQ56">$G$10+VLOOKUP($Q56,武学奇术!$A:$ZZ,7,FALSE)+SUM(_xlfn.XLOOKUP(R56:AF56,增益!$A:$A,增益!$G:$G,0))</f>
        <v>0</v>
      </c>
      <c r="AR56" s="26" cm="1">
        <f t="array" ref="AR56">VLOOKUP($Q56,武学奇术!$A:$ZZ,8,FALSE)+SUM(_xlfn.XLOOKUP(R56:AF56,增益!$A:$A,增益!$H:$H,0))</f>
        <v>0</v>
      </c>
      <c r="AS56">
        <f t="shared" si="18"/>
        <v>0</v>
      </c>
      <c r="AT56">
        <f t="shared" si="19"/>
        <v>0</v>
      </c>
      <c r="AU56" s="32" cm="1">
        <f t="array" ref="AU56">IF($F$11-$I$4+VLOOKUP($Q56,武学奇术!$A:$ZZ,9,FALSE)+SUM(_xlfn.XLOOKUP(R56:AF56,增益!$A:$A,增益!$I:$I,0))&gt;0,($F$11-$I$4+VLOOKUP($Q56,武学奇术!$A:$ZZ,9,FALSE)+SUM(_xlfn.XLOOKUP(R56:AF56,增益!$A:$A,增益!$I:$I,0)))/200,($F$11-$I$4+VLOOKUP($Q56,武学奇术!$A:$ZZ,9,FALSE)+SUM(_xlfn.XLOOKUP(R56:AF56,增益!$A:$A,增益!$I:$I,0)))/100)</f>
        <v>-0.3</v>
      </c>
      <c r="AV56" s="32" cm="1">
        <f t="array" ref="AV56">$G$11+VLOOKUP($Q56,武学奇术!$A:$ZZ,10,FALSE)+SUM(_xlfn.XLOOKUP(R56:AF56,增益!$A:$A,增益!$J:$J,0))</f>
        <v>0</v>
      </c>
      <c r="AW56">
        <f t="shared" si="20"/>
        <v>0</v>
      </c>
      <c r="AX56">
        <f t="shared" si="21"/>
        <v>0</v>
      </c>
      <c r="AY56" s="32" cm="1">
        <f t="array" ref="AY56">IF($F$12-$I$4+VLOOKUP($Q56,武学奇术!$A:$ZZ,11,FALSE)+SUM(_xlfn.XLOOKUP(R56:AF56,增益!$A:$A,增益!$K:$K,0))&gt;0,($F$12-$I$4+VLOOKUP($Q56,武学奇术!$A:$ZZ,11,FALSE)+SUM(_xlfn.XLOOKUP(R56:AF56,增益!$A:$A,增益!$K:$K,0)))/200,($F$12-$I$4+VLOOKUP($Q56,武学奇术!$A:$ZZ,11,FALSE)+SUM(_xlfn.XLOOKUP(R56:AF56,增益!$A:$A,增益!$K:$K,0)))/100)</f>
        <v>-0.3</v>
      </c>
      <c r="AZ56" s="32" cm="1">
        <f t="array" ref="AZ56">$G$12+VLOOKUP($Q56,武学奇术!$A:$ZZ,12,FALSE)+SUM(_xlfn.XLOOKUP(R56:AF56,增益!$A:$A,增益!$L:$L,0))</f>
        <v>0</v>
      </c>
      <c r="BA56">
        <f t="shared" si="13"/>
        <v>697.4</v>
      </c>
      <c r="BB56">
        <f t="shared" si="14"/>
        <v>1805</v>
      </c>
      <c r="BC56" s="32" cm="1">
        <f t="array" ref="BC56">IF($F$13-$I$4+VLOOKUP($Q56,武学奇术!$A:$ZZ,13,FALSE)+SUM(_xlfn.XLOOKUP(R56:AF56,增益!$A:$A,增益!$M:$M,0))&gt;0,($F$13-$I$4+VLOOKUP($Q56,武学奇术!$A:$ZZ,13,FALSE)+SUM(_xlfn.XLOOKUP(R56:AF56,增益!$A:$A,增益!$K:$K,0)))/200,($F$13-$I$4+VLOOKUP($Q56,武学奇术!$A:$ZZ,13,FALSE)+SUM(_xlfn.XLOOKUP(R56:AF56,增益!$A:$A,增益!$M:$M,0)))/100)</f>
        <v>0</v>
      </c>
      <c r="BD56" s="32" cm="1">
        <f t="array" ref="BD56">$G$13+VLOOKUP($Q56,武学奇术!$A:$ZZ,14,FALSE)+SUM(_xlfn.XLOOKUP(R56:AF56,增益!$A:$A,增益!$N:$N,0))</f>
        <v>0.15</v>
      </c>
      <c r="BE56">
        <f t="shared" si="15"/>
        <v>0</v>
      </c>
      <c r="BF56">
        <f t="shared" si="16"/>
        <v>0</v>
      </c>
      <c r="BG56" s="32" cm="1">
        <f t="array" ref="BG56">IF($F$14-$I$4+VLOOKUP($Q56,武学奇术!$A:$ZZ,15,FALSE)+SUM(_xlfn.XLOOKUP(R56:AF56,增益!$A:$A,增益!$O:$O,0))&gt;0,($F$14-$I$4+VLOOKUP($Q56,武学奇术!$A:$ZZ,15,FALSE)+SUM(_xlfn.XLOOKUP(R56:AF56,增益!$A:$A,增益!$O:$O,0)))/200,($F$14-$I$4+VLOOKUP($Q56,武学奇术!$A:$ZZ,15,FALSE)+SUM(_xlfn.XLOOKUP(R56:AF56,增益!$A:$A,增益!$O:$O,0)))/100)</f>
        <v>-0.3</v>
      </c>
      <c r="BH56" s="32" cm="1">
        <f t="array" ref="BH56">$G$14+VLOOKUP($Q56,武学奇术!$A:$ZZ,16,FALSE)+SUM(_xlfn.XLOOKUP(R56:AF56,增益!$A:$A,增益!$P:$P,0))</f>
        <v>0</v>
      </c>
      <c r="BI56" s="26">
        <f>MIN(IF(VLOOKUP($Q56,武学奇术!$A:$ZZ,23,FALSE)=1,100%,$B$8),100%)</f>
        <v>1</v>
      </c>
      <c r="BJ56" s="26" cm="1">
        <f t="array" ref="BJ56">IF(VLOOKUP($Q56,武学奇术!$A:$ZZ,23,FALSE)=1,100%,MIN(80%,$B$9+VLOOKUP($Q56,武学奇术!$A:$ZZ,17,FALSE)+SUM(_xlfn.XLOOKUP(R56:AF56,增益!$A:$A,增益!$Q:$Q,0)))+$B$11+SUM(_xlfn.XLOOKUP(R56:AF56,增益!$A:$A,增益!$U:$U,0)))*IF(VLOOKUP($Q56,武学奇术!$A:$ZZ,24,FALSE)=1,0,1)</f>
        <v>0.8625</v>
      </c>
      <c r="BK56" s="26" cm="1">
        <f t="array" ref="BK56">1+$B$13+VLOOKUP($Q56,武学奇术!$A:$ZZ,18,FALSE)+SUM(_xlfn.XLOOKUP(R56:AF56,增益!$A:$A,增益!$R:$R,0))</f>
        <v>1.5</v>
      </c>
      <c r="BL56" s="26" cm="1">
        <f t="array" ref="BL56">IF(VLOOKUP($Q56,武学奇术!$A:$ZZ,24,FALSE)=1,100%,MIN(40%,$B$10+VLOOKUP($Q56,武学奇术!$A:$ZZ,19,FALSE)+SUM(_xlfn.XLOOKUP(R56:AF56,增益!$A:$A,增益!$S:$S,0)))+$B$12+SUM(_xlfn.XLOOKUP(R56:AF56,增益!$A:$A,增益!$V:$V,0)))*IF(VLOOKUP($Q56,武学奇术!$A:$ZZ,23,FALSE)=1,0,1)</f>
        <v>0.0913</v>
      </c>
      <c r="BM56" s="26" cm="1">
        <f t="array" ref="BM56">1+$B$14+VLOOKUP($Q56,武学奇术!$A:$ZZ,20,FALSE)+SUM(_xlfn.XLOOKUP(R56:AF56,增益!$A:$A,增益!$T:$T,0))</f>
        <v>1.35</v>
      </c>
      <c r="BN56" s="26">
        <f t="shared" si="11"/>
        <v>0.8625</v>
      </c>
      <c r="BO56" s="26">
        <f t="shared" si="17"/>
        <v>0.0462</v>
      </c>
      <c r="BP56" s="26">
        <f>IF(VLOOKUP($Q56,武学奇术!$A:$ZZ,22,FALSE)=1,0,(1-$BI56))*(1-$BL56)</f>
        <v>0</v>
      </c>
      <c r="BQ56" s="26" cm="1">
        <f t="array" ref="BQ56">SUM(_xlfn.XLOOKUP(R56:AF56,增益!$A:$A,增益!$W:$W,0))+$I$5</f>
        <v>0.06</v>
      </c>
    </row>
    <row r="57" spans="4:69">
      <c r="D57" s="4"/>
      <c r="E57" s="4"/>
      <c r="K57" s="38">
        <f t="shared" si="12"/>
        <v>0</v>
      </c>
      <c r="L57" s="38">
        <f>((($AN57+$AO57)/2*$AH57+$AI57)*(1+$AP57)*(1+$AQ57)+(($AS57+$AT57)/2*IF($G$1="鸣金",$AJ57,$AH57)+IF($G$1="鸣金",$AK57*1.5,0))*(1+$AU57)*(1+$AV57)+(($AW57+$AX57)/2*IF($G$1="裂石",$AJ57,$AH57)+IF($G$1="裂石",$AK57*1.5,0))*(1+$AY57)*(1+$AZ57)+(($BA57+$BB57)/2*IF($G$1="牵丝",$AJ57,$AH57)+IF($G$1="牵丝",$AK57*1.5,0))*(1+$BC57)*(1+$BD57)+(($BE57+$BF57)/2*IF($G$1="破竹",$AJ57,$AH57)+IF($G$1="破竹",$AK57*1.5,0))*(1+$BG57)*(1+$BH57))*(1+$AL57)*$BK57*$P57*(1+IF(VLOOKUP($Q57,武学奇术!$A:$ZZ,30,FALSE)="蓄力技",#REF!,0))*(1+$BQ57)</f>
        <v>0</v>
      </c>
      <c r="M57" s="38">
        <f>(($AO57*$AH57+$AI57)*(1+$AP57)*(1+$AQ57)+($AT57*IF($G$1="鸣金",$AJ57,$AH57)+IF($G$1="鸣金",$AK57*1.5,0))*(1+$AU57)*(1+$AV57)+($AX57*IF($G$1="裂石",$AJ57,$AH57)+IF($G$1="裂石",$AK57*1.5,0))*(1+$AY57)*(1+$AZ57)+($BB57*IF($G$1="牵丝",$AJ57,$AH57)+IF($G$1="牵丝",$AK57*1.5,0))*(1+$BC57)*(1+$BD57)+($BF57*IF($G$1="破竹",$AJ57,$AH57)+IF($G$1="破竹",$AK57*1.5,0))*(1+$BG57)*(1+$BH57))*(1+$AL57)*$BM57*$P57*(1+IF(VLOOKUP($Q57,武学奇术!$A:$ZZ,30,FALSE)="蓄力技",#REF!,0))*(1+$BQ57)</f>
        <v>0</v>
      </c>
      <c r="N57" s="38">
        <f>((($AN57+$AO57)/2*$AH57+$AI57)*(1+$AP57)*(1+$AQ57)+(($AS57+$AT57)/2*IF($G$1="鸣金",$AJ57,$AH57)+IF($G$1="鸣金",$AK57*1.5,0))*(1+$AU57)*(1+$AV57)+(($AW57+$AX57)/2*IF($G$1="裂石",$AJ57,$AH57)+IF($G$1="裂石",$AK57*1.5,0))*(1+$AY57)*(1+$AZ57)+(($BA57+$BB57)/2*IF($G$1="牵丝",$AJ57,$AH57)+IF($G$1="牵丝",$AK57*1.5,0))*(1+$BC57)*(1+$BD57)+(($BE57+$BF57)/2*IF($G$1="破竹",$AJ57,$AH57)+IF($G$1="破竹",$AK57*1.5,0))*(1+$BG57)*(1+$BH57))*(1+$AL57)*$P57*(1+IF(VLOOKUP($Q57,武学奇术!$A:$ZZ,30,FALSE)="蓄力技",#REF!,0))*(1+$BQ57)</f>
        <v>0</v>
      </c>
      <c r="O57" s="38">
        <f>((($AN57*$AH57+$AI57)*(1+$AP57)*(1+$AQ57)+($AS57*IF($G$1="鸣金",$AJ57,$AH57)+IF($G$1="鸣金",$AK57*1.5,0))*(1+$AU57)*(1+$AV57)+($AW57*IF($G$1="裂石",$AJ57,$AH57)+IF($G$1="裂石",$AK57*1.5,0))*(1+$AY57)*(1+$AZ57)+($BA57*IF($G$1="牵丝",$AJ57,$AH57)+IF($G$1="牵丝",$AK57*1.5,0))*(1+$BC57)*(1+$BD57)+($BE57*IF($G$1="破竹",$AJ57,$AH57)+IF($G$1="破竹",$AK57*1.5,0))*(1+$BG57)*(1+$BH57))*(1+$AL57))*$P57*(1+IF(VLOOKUP($Q57,武学奇术!$A:$ZZ,30,FALSE)="蓄力技",#REF!,0))*(1+$BQ57)</f>
        <v>0</v>
      </c>
      <c r="P57" s="39">
        <v>1</v>
      </c>
      <c r="Q57" s="40" t="s">
        <v>76</v>
      </c>
      <c r="R57" s="40" t="s">
        <v>76</v>
      </c>
      <c r="S57" s="40" t="s">
        <v>76</v>
      </c>
      <c r="T57" s="40" t="s">
        <v>76</v>
      </c>
      <c r="U57" s="40" t="s">
        <v>76</v>
      </c>
      <c r="V57" s="40" t="s">
        <v>76</v>
      </c>
      <c r="W57" s="40" t="s">
        <v>76</v>
      </c>
      <c r="X57" s="40" t="s">
        <v>76</v>
      </c>
      <c r="Y57" s="40" t="s">
        <v>76</v>
      </c>
      <c r="Z57" s="40" t="s">
        <v>76</v>
      </c>
      <c r="AA57" s="40" t="s">
        <v>76</v>
      </c>
      <c r="AB57" s="40" t="s">
        <v>76</v>
      </c>
      <c r="AC57" s="40" t="s">
        <v>76</v>
      </c>
      <c r="AD57" s="40" t="s">
        <v>76</v>
      </c>
      <c r="AE57" s="40" t="s">
        <v>76</v>
      </c>
      <c r="AF57" s="40" t="s">
        <v>76</v>
      </c>
      <c r="AG57" t="str">
        <f>VLOOKUP($Q57,武学奇术!$A:$ZZ,25,FALSE)</f>
        <v>心法</v>
      </c>
      <c r="AH57" s="26">
        <f>VLOOKUP($Q57,武学奇术!$A:$ZZ,26,FALSE)</f>
        <v>0</v>
      </c>
      <c r="AI57" s="27">
        <f>VLOOKUP($Q57,武学奇术!$A:$ZZ,27,FALSE)*(1+IF(OR($AG57=$F$4,$AG57=$F$5),$B$21,0))</f>
        <v>0</v>
      </c>
      <c r="AJ57" s="26">
        <f>VLOOKUP($Q57,武学奇术!$A:$ZZ,28,FALSE)</f>
        <v>0</v>
      </c>
      <c r="AK57" s="27">
        <f>VLOOKUP($Q57,武学奇术!$A:$ZZ,29,FALSE)*(1+IF(OR($AG57=$F$4,$AG57=$F$5),$B$21,0))</f>
        <v>0</v>
      </c>
      <c r="AL57" s="26" cm="1">
        <f t="array" ref="AL57">$G$3+IFERROR(VLOOKUP($AG57,$F$4:$G$7,2,FALSE),0)+VLOOKUP($Q57,武学奇术!$A:$ZZ,2,FALSE)+SUM(_xlfn.XLOOKUP($R57:$AF57,增益!$A:$A,增益!$B:$B,0))</f>
        <v>0.2642</v>
      </c>
      <c r="AM57" s="26" cm="1">
        <f t="array" ref="AM57">VLOOKUP($Q57,武学奇术!$A:$ZZ,5,FALSE)+SUM(_xlfn.XLOOKUP($R57:$AF57,增益!$A:$A,增益!$E:$E,0))</f>
        <v>0</v>
      </c>
      <c r="AN57" cm="1">
        <f t="array" ref="AN57">$D$10*(1+$AM57)+VLOOKUP($Q57,武学奇术!$A:$ZZ,3,FALSE)+SUM(_xlfn.XLOOKUP($R57:$AF57,增益!$A:$A,增益!$C:$C,0))-$I$2</f>
        <v>3977.2</v>
      </c>
      <c r="AO57" cm="1">
        <f t="array" ref="AO57">$E$10*(1+$AM57)+VLOOKUP($Q57,武学奇术!$A:$ZZ,4,FALSE)+SUM(_xlfn.XLOOKUP($R57:$AF57,增益!$A:$A,增益!$D:$D,0))-$I$2</f>
        <v>3977.2</v>
      </c>
      <c r="AP57" s="32" cm="1">
        <f t="array" ref="AP57">IF($F$10-$I$3+VLOOKUP($Q57,武学奇术!$A:$ZZ,6,FALSE)+SUM(_xlfn.XLOOKUP(R57:AF57,增益!$A:$A,增益!$F:$F,0))&gt;0,($F$10-$I$3+VLOOKUP($Q57,武学奇术!$A:$ZZ,6,FALSE)+SUM(_xlfn.XLOOKUP(R57:AF57,增益!$A:$A,增益!$F:$F,0)))/200,($F$10-$I$3+VLOOKUP($Q57,武学奇术!$A:$ZZ,6,FALSE)+SUM(_xlfn.XLOOKUP(R57:AF57,增益!$A:$A,增益!$F:$F,0)))/100)</f>
        <v>0.294</v>
      </c>
      <c r="AQ57" s="32" cm="1">
        <f t="array" ref="AQ57">$G$10+VLOOKUP($Q57,武学奇术!$A:$ZZ,7,FALSE)+SUM(_xlfn.XLOOKUP(R57:AF57,增益!$A:$A,增益!$G:$G,0))</f>
        <v>0</v>
      </c>
      <c r="AR57" s="26" cm="1">
        <f t="array" ref="AR57">VLOOKUP($Q57,武学奇术!$A:$ZZ,8,FALSE)+SUM(_xlfn.XLOOKUP(R57:AF57,增益!$A:$A,增益!$H:$H,0))</f>
        <v>0</v>
      </c>
      <c r="AS57">
        <f t="shared" si="18"/>
        <v>0</v>
      </c>
      <c r="AT57">
        <f t="shared" si="19"/>
        <v>0</v>
      </c>
      <c r="AU57" s="32" cm="1">
        <f t="array" ref="AU57">IF($F$11-$I$4+VLOOKUP($Q57,武学奇术!$A:$ZZ,9,FALSE)+SUM(_xlfn.XLOOKUP(R57:AF57,增益!$A:$A,增益!$I:$I,0))&gt;0,($F$11-$I$4+VLOOKUP($Q57,武学奇术!$A:$ZZ,9,FALSE)+SUM(_xlfn.XLOOKUP(R57:AF57,增益!$A:$A,增益!$I:$I,0)))/200,($F$11-$I$4+VLOOKUP($Q57,武学奇术!$A:$ZZ,9,FALSE)+SUM(_xlfn.XLOOKUP(R57:AF57,增益!$A:$A,增益!$I:$I,0)))/100)</f>
        <v>-0.3</v>
      </c>
      <c r="AV57" s="32" cm="1">
        <f t="array" ref="AV57">$G$11+VLOOKUP($Q57,武学奇术!$A:$ZZ,10,FALSE)+SUM(_xlfn.XLOOKUP(R57:AF57,增益!$A:$A,增益!$J:$J,0))</f>
        <v>0</v>
      </c>
      <c r="AW57">
        <f t="shared" si="20"/>
        <v>0</v>
      </c>
      <c r="AX57">
        <f t="shared" si="21"/>
        <v>0</v>
      </c>
      <c r="AY57" s="32" cm="1">
        <f t="array" ref="AY57">IF($F$12-$I$4+VLOOKUP($Q57,武学奇术!$A:$ZZ,11,FALSE)+SUM(_xlfn.XLOOKUP(R57:AF57,增益!$A:$A,增益!$K:$K,0))&gt;0,($F$12-$I$4+VLOOKUP($Q57,武学奇术!$A:$ZZ,11,FALSE)+SUM(_xlfn.XLOOKUP(R57:AF57,增益!$A:$A,增益!$K:$K,0)))/200,($F$12-$I$4+VLOOKUP($Q57,武学奇术!$A:$ZZ,11,FALSE)+SUM(_xlfn.XLOOKUP(R57:AF57,增益!$A:$A,增益!$K:$K,0)))/100)</f>
        <v>-0.3</v>
      </c>
      <c r="AZ57" s="32" cm="1">
        <f t="array" ref="AZ57">$G$12+VLOOKUP($Q57,武学奇术!$A:$ZZ,12,FALSE)+SUM(_xlfn.XLOOKUP(R57:AF57,增益!$A:$A,增益!$L:$L,0))</f>
        <v>0</v>
      </c>
      <c r="BA57">
        <f t="shared" si="13"/>
        <v>697.4</v>
      </c>
      <c r="BB57">
        <f t="shared" si="14"/>
        <v>1805</v>
      </c>
      <c r="BC57" s="32" cm="1">
        <f t="array" ref="BC57">IF($F$13-$I$4+VLOOKUP($Q57,武学奇术!$A:$ZZ,13,FALSE)+SUM(_xlfn.XLOOKUP(R57:AF57,增益!$A:$A,增益!$M:$M,0))&gt;0,($F$13-$I$4+VLOOKUP($Q57,武学奇术!$A:$ZZ,13,FALSE)+SUM(_xlfn.XLOOKUP(R57:AF57,增益!$A:$A,增益!$K:$K,0)))/200,($F$13-$I$4+VLOOKUP($Q57,武学奇术!$A:$ZZ,13,FALSE)+SUM(_xlfn.XLOOKUP(R57:AF57,增益!$A:$A,增益!$M:$M,0)))/100)</f>
        <v>0</v>
      </c>
      <c r="BD57" s="32" cm="1">
        <f t="array" ref="BD57">$G$13+VLOOKUP($Q57,武学奇术!$A:$ZZ,14,FALSE)+SUM(_xlfn.XLOOKUP(R57:AF57,增益!$A:$A,增益!$N:$N,0))</f>
        <v>0.15</v>
      </c>
      <c r="BE57">
        <f t="shared" si="15"/>
        <v>0</v>
      </c>
      <c r="BF57">
        <f t="shared" si="16"/>
        <v>0</v>
      </c>
      <c r="BG57" s="32" cm="1">
        <f t="array" ref="BG57">IF($F$14-$I$4+VLOOKUP($Q57,武学奇术!$A:$ZZ,15,FALSE)+SUM(_xlfn.XLOOKUP(R57:AF57,增益!$A:$A,增益!$O:$O,0))&gt;0,($F$14-$I$4+VLOOKUP($Q57,武学奇术!$A:$ZZ,15,FALSE)+SUM(_xlfn.XLOOKUP(R57:AF57,增益!$A:$A,增益!$O:$O,0)))/200,($F$14-$I$4+VLOOKUP($Q57,武学奇术!$A:$ZZ,15,FALSE)+SUM(_xlfn.XLOOKUP(R57:AF57,增益!$A:$A,增益!$O:$O,0)))/100)</f>
        <v>-0.3</v>
      </c>
      <c r="BH57" s="32" cm="1">
        <f t="array" ref="BH57">$G$14+VLOOKUP($Q57,武学奇术!$A:$ZZ,16,FALSE)+SUM(_xlfn.XLOOKUP(R57:AF57,增益!$A:$A,增益!$P:$P,0))</f>
        <v>0</v>
      </c>
      <c r="BI57" s="26">
        <f>MIN(IF(VLOOKUP($Q57,武学奇术!$A:$ZZ,23,FALSE)=1,100%,$B$8),100%)</f>
        <v>1</v>
      </c>
      <c r="BJ57" s="26" cm="1">
        <f t="array" ref="BJ57">IF(VLOOKUP($Q57,武学奇术!$A:$ZZ,23,FALSE)=1,100%,MIN(80%,$B$9+VLOOKUP($Q57,武学奇术!$A:$ZZ,17,FALSE)+SUM(_xlfn.XLOOKUP(R57:AF57,增益!$A:$A,增益!$Q:$Q,0)))+$B$11+SUM(_xlfn.XLOOKUP(R57:AF57,增益!$A:$A,增益!$U:$U,0)))*IF(VLOOKUP($Q57,武学奇术!$A:$ZZ,24,FALSE)=1,0,1)</f>
        <v>0.8625</v>
      </c>
      <c r="BK57" s="26" cm="1">
        <f t="array" ref="BK57">1+$B$13+VLOOKUP($Q57,武学奇术!$A:$ZZ,18,FALSE)+SUM(_xlfn.XLOOKUP(R57:AF57,增益!$A:$A,增益!$R:$R,0))</f>
        <v>1.5</v>
      </c>
      <c r="BL57" s="26" cm="1">
        <f t="array" ref="BL57">IF(VLOOKUP($Q57,武学奇术!$A:$ZZ,24,FALSE)=1,100%,MIN(40%,$B$10+VLOOKUP($Q57,武学奇术!$A:$ZZ,19,FALSE)+SUM(_xlfn.XLOOKUP(R57:AF57,增益!$A:$A,增益!$S:$S,0)))+$B$12+SUM(_xlfn.XLOOKUP(R57:AF57,增益!$A:$A,增益!$V:$V,0)))*IF(VLOOKUP($Q57,武学奇术!$A:$ZZ,23,FALSE)=1,0,1)</f>
        <v>0.0913</v>
      </c>
      <c r="BM57" s="26" cm="1">
        <f t="array" ref="BM57">1+$B$14+VLOOKUP($Q57,武学奇术!$A:$ZZ,20,FALSE)+SUM(_xlfn.XLOOKUP(R57:AF57,增益!$A:$A,增益!$T:$T,0))</f>
        <v>1.35</v>
      </c>
      <c r="BN57" s="26">
        <f t="shared" si="11"/>
        <v>0.8625</v>
      </c>
      <c r="BO57" s="26">
        <f t="shared" si="17"/>
        <v>0.0462</v>
      </c>
      <c r="BP57" s="26">
        <f>IF(VLOOKUP($Q57,武学奇术!$A:$ZZ,22,FALSE)=1,0,(1-$BI57))*(1-$BL57)</f>
        <v>0</v>
      </c>
      <c r="BQ57" s="26" cm="1">
        <f t="array" ref="BQ57">SUM(_xlfn.XLOOKUP(R57:AF57,增益!$A:$A,增益!$W:$W,0))+$I$5</f>
        <v>0.06</v>
      </c>
    </row>
    <row r="58" spans="4:69">
      <c r="K58" s="38">
        <f t="shared" si="12"/>
        <v>0</v>
      </c>
      <c r="L58" s="38">
        <f>((($AN58+$AO58)/2*$AH58+$AI58)*(1+$AP58)*(1+$AQ58)+(($AS58+$AT58)/2*IF($G$1="鸣金",$AJ58,$AH58)+IF($G$1="鸣金",$AK58*1.5,0))*(1+$AU58)*(1+$AV58)+(($AW58+$AX58)/2*IF($G$1="裂石",$AJ58,$AH58)+IF($G$1="裂石",$AK58*1.5,0))*(1+$AY58)*(1+$AZ58)+(($BA58+$BB58)/2*IF($G$1="牵丝",$AJ58,$AH58)+IF($G$1="牵丝",$AK58*1.5,0))*(1+$BC58)*(1+$BD58)+(($BE58+$BF58)/2*IF($G$1="破竹",$AJ58,$AH58)+IF($G$1="破竹",$AK58*1.5,0))*(1+$BG58)*(1+$BH58))*(1+$AL58)*$BK58*$P58*(1+IF(VLOOKUP($Q58,武学奇术!$A:$ZZ,30,FALSE)="蓄力技",#REF!,0))*(1+$BQ58)</f>
        <v>0</v>
      </c>
      <c r="M58" s="38">
        <f>(($AO58*$AH58+$AI58)*(1+$AP58)*(1+$AQ58)+($AT58*IF($G$1="鸣金",$AJ58,$AH58)+IF($G$1="鸣金",$AK58*1.5,0))*(1+$AU58)*(1+$AV58)+($AX58*IF($G$1="裂石",$AJ58,$AH58)+IF($G$1="裂石",$AK58*1.5,0))*(1+$AY58)*(1+$AZ58)+($BB58*IF($G$1="牵丝",$AJ58,$AH58)+IF($G$1="牵丝",$AK58*1.5,0))*(1+$BC58)*(1+$BD58)+($BF58*IF($G$1="破竹",$AJ58,$AH58)+IF($G$1="破竹",$AK58*1.5,0))*(1+$BG58)*(1+$BH58))*(1+$AL58)*$BM58*$P58*(1+IF(VLOOKUP($Q58,武学奇术!$A:$ZZ,30,FALSE)="蓄力技",#REF!,0))*(1+$BQ58)</f>
        <v>0</v>
      </c>
      <c r="N58" s="38">
        <f>((($AN58+$AO58)/2*$AH58+$AI58)*(1+$AP58)*(1+$AQ58)+(($AS58+$AT58)/2*IF($G$1="鸣金",$AJ58,$AH58)+IF($G$1="鸣金",$AK58*1.5,0))*(1+$AU58)*(1+$AV58)+(($AW58+$AX58)/2*IF($G$1="裂石",$AJ58,$AH58)+IF($G$1="裂石",$AK58*1.5,0))*(1+$AY58)*(1+$AZ58)+(($BA58+$BB58)/2*IF($G$1="牵丝",$AJ58,$AH58)+IF($G$1="牵丝",$AK58*1.5,0))*(1+$BC58)*(1+$BD58)+(($BE58+$BF58)/2*IF($G$1="破竹",$AJ58,$AH58)+IF($G$1="破竹",$AK58*1.5,0))*(1+$BG58)*(1+$BH58))*(1+$AL58)*$P58*(1+IF(VLOOKUP($Q58,武学奇术!$A:$ZZ,30,FALSE)="蓄力技",#REF!,0))*(1+$BQ58)</f>
        <v>0</v>
      </c>
      <c r="O58" s="38">
        <f>((($AN58*$AH58+$AI58)*(1+$AP58)*(1+$AQ58)+($AS58*IF($G$1="鸣金",$AJ58,$AH58)+IF($G$1="鸣金",$AK58*1.5,0))*(1+$AU58)*(1+$AV58)+($AW58*IF($G$1="裂石",$AJ58,$AH58)+IF($G$1="裂石",$AK58*1.5,0))*(1+$AY58)*(1+$AZ58)+($BA58*IF($G$1="牵丝",$AJ58,$AH58)+IF($G$1="牵丝",$AK58*1.5,0))*(1+$BC58)*(1+$BD58)+($BE58*IF($G$1="破竹",$AJ58,$AH58)+IF($G$1="破竹",$AK58*1.5,0))*(1+$BG58)*(1+$BH58))*(1+$AL58))*$P58*(1+IF(VLOOKUP($Q58,武学奇术!$A:$ZZ,30,FALSE)="蓄力技",#REF!,0))*(1+$BQ58)</f>
        <v>0</v>
      </c>
      <c r="P58" s="39">
        <v>1</v>
      </c>
      <c r="Q58" s="40" t="s">
        <v>76</v>
      </c>
      <c r="R58" s="40" t="s">
        <v>76</v>
      </c>
      <c r="S58" s="40" t="s">
        <v>76</v>
      </c>
      <c r="T58" s="40" t="s">
        <v>76</v>
      </c>
      <c r="U58" s="40" t="s">
        <v>76</v>
      </c>
      <c r="V58" s="40" t="s">
        <v>76</v>
      </c>
      <c r="W58" s="40" t="s">
        <v>76</v>
      </c>
      <c r="X58" s="40" t="s">
        <v>76</v>
      </c>
      <c r="Y58" s="40" t="s">
        <v>76</v>
      </c>
      <c r="Z58" s="40" t="s">
        <v>76</v>
      </c>
      <c r="AA58" s="40" t="s">
        <v>76</v>
      </c>
      <c r="AB58" s="40" t="s">
        <v>76</v>
      </c>
      <c r="AC58" s="40" t="s">
        <v>76</v>
      </c>
      <c r="AD58" s="40" t="s">
        <v>76</v>
      </c>
      <c r="AE58" s="40" t="s">
        <v>76</v>
      </c>
      <c r="AF58" s="40" t="s">
        <v>76</v>
      </c>
      <c r="AG58" t="str">
        <f>VLOOKUP($Q58,武学奇术!$A:$ZZ,25,FALSE)</f>
        <v>心法</v>
      </c>
      <c r="AH58" s="26">
        <f>VLOOKUP($Q58,武学奇术!$A:$ZZ,26,FALSE)</f>
        <v>0</v>
      </c>
      <c r="AI58" s="27">
        <f>VLOOKUP($Q58,武学奇术!$A:$ZZ,27,FALSE)*(1+IF(OR($AG58=$F$4,$AG58=$F$5),$B$21,0))</f>
        <v>0</v>
      </c>
      <c r="AJ58" s="26">
        <f>VLOOKUP($Q58,武学奇术!$A:$ZZ,28,FALSE)</f>
        <v>0</v>
      </c>
      <c r="AK58" s="27">
        <f>VLOOKUP($Q58,武学奇术!$A:$ZZ,29,FALSE)*(1+IF(OR($AG58=$F$4,$AG58=$F$5),$B$21,0))</f>
        <v>0</v>
      </c>
      <c r="AL58" s="26" cm="1">
        <f t="array" ref="AL58">$G$3+IFERROR(VLOOKUP($AG58,$F$4:$G$7,2,FALSE),0)+VLOOKUP($Q58,武学奇术!$A:$ZZ,2,FALSE)+SUM(_xlfn.XLOOKUP($R58:$AF58,增益!$A:$A,增益!$B:$B,0))</f>
        <v>0.2642</v>
      </c>
      <c r="AM58" s="26" cm="1">
        <f t="array" ref="AM58">VLOOKUP($Q58,武学奇术!$A:$ZZ,5,FALSE)+SUM(_xlfn.XLOOKUP($R58:$AF58,增益!$A:$A,增益!$E:$E,0))</f>
        <v>0</v>
      </c>
      <c r="AN58" cm="1">
        <f t="array" ref="AN58">$D$10*(1+$AM58)+VLOOKUP($Q58,武学奇术!$A:$ZZ,3,FALSE)+SUM(_xlfn.XLOOKUP($R58:$AF58,增益!$A:$A,增益!$C:$C,0))-$I$2</f>
        <v>3977.2</v>
      </c>
      <c r="AO58" cm="1">
        <f t="array" ref="AO58">$E$10*(1+$AM58)+VLOOKUP($Q58,武学奇术!$A:$ZZ,4,FALSE)+SUM(_xlfn.XLOOKUP($R58:$AF58,增益!$A:$A,增益!$D:$D,0))-$I$2</f>
        <v>3977.2</v>
      </c>
      <c r="AP58" s="32" cm="1">
        <f t="array" ref="AP58">IF($F$10-$I$3+VLOOKUP($Q58,武学奇术!$A:$ZZ,6,FALSE)+SUM(_xlfn.XLOOKUP(R58:AF58,增益!$A:$A,增益!$F:$F,0))&gt;0,($F$10-$I$3+VLOOKUP($Q58,武学奇术!$A:$ZZ,6,FALSE)+SUM(_xlfn.XLOOKUP(R58:AF58,增益!$A:$A,增益!$F:$F,0)))/200,($F$10-$I$3+VLOOKUP($Q58,武学奇术!$A:$ZZ,6,FALSE)+SUM(_xlfn.XLOOKUP(R58:AF58,增益!$A:$A,增益!$F:$F,0)))/100)</f>
        <v>0.294</v>
      </c>
      <c r="AQ58" s="32" cm="1">
        <f t="array" ref="AQ58">$G$10+VLOOKUP($Q58,武学奇术!$A:$ZZ,7,FALSE)+SUM(_xlfn.XLOOKUP(R58:AF58,增益!$A:$A,增益!$G:$G,0))</f>
        <v>0</v>
      </c>
      <c r="AR58" s="26" cm="1">
        <f t="array" ref="AR58">VLOOKUP($Q58,武学奇术!$A:$ZZ,8,FALSE)+SUM(_xlfn.XLOOKUP(R58:AF58,增益!$A:$A,增益!$H:$H,0))</f>
        <v>0</v>
      </c>
      <c r="AS58">
        <f t="shared" si="18"/>
        <v>0</v>
      </c>
      <c r="AT58">
        <f t="shared" si="19"/>
        <v>0</v>
      </c>
      <c r="AU58" s="32" cm="1">
        <f t="array" ref="AU58">IF($F$11-$I$4+VLOOKUP($Q58,武学奇术!$A:$ZZ,9,FALSE)+SUM(_xlfn.XLOOKUP(R58:AF58,增益!$A:$A,增益!$I:$I,0))&gt;0,($F$11-$I$4+VLOOKUP($Q58,武学奇术!$A:$ZZ,9,FALSE)+SUM(_xlfn.XLOOKUP(R58:AF58,增益!$A:$A,增益!$I:$I,0)))/200,($F$11-$I$4+VLOOKUP($Q58,武学奇术!$A:$ZZ,9,FALSE)+SUM(_xlfn.XLOOKUP(R58:AF58,增益!$A:$A,增益!$I:$I,0)))/100)</f>
        <v>-0.3</v>
      </c>
      <c r="AV58" s="32" cm="1">
        <f t="array" ref="AV58">$G$11+VLOOKUP($Q58,武学奇术!$A:$ZZ,10,FALSE)+SUM(_xlfn.XLOOKUP(R58:AF58,增益!$A:$A,增益!$J:$J,0))</f>
        <v>0</v>
      </c>
      <c r="AW58">
        <f t="shared" si="20"/>
        <v>0</v>
      </c>
      <c r="AX58">
        <f t="shared" si="21"/>
        <v>0</v>
      </c>
      <c r="AY58" s="32" cm="1">
        <f t="array" ref="AY58">IF($F$12-$I$4+VLOOKUP($Q58,武学奇术!$A:$ZZ,11,FALSE)+SUM(_xlfn.XLOOKUP(R58:AF58,增益!$A:$A,增益!$K:$K,0))&gt;0,($F$12-$I$4+VLOOKUP($Q58,武学奇术!$A:$ZZ,11,FALSE)+SUM(_xlfn.XLOOKUP(R58:AF58,增益!$A:$A,增益!$K:$K,0)))/200,($F$12-$I$4+VLOOKUP($Q58,武学奇术!$A:$ZZ,11,FALSE)+SUM(_xlfn.XLOOKUP(R58:AF58,增益!$A:$A,增益!$K:$K,0)))/100)</f>
        <v>-0.3</v>
      </c>
      <c r="AZ58" s="32" cm="1">
        <f t="array" ref="AZ58">$G$12+VLOOKUP($Q58,武学奇术!$A:$ZZ,12,FALSE)+SUM(_xlfn.XLOOKUP(R58:AF58,增益!$A:$A,增益!$L:$L,0))</f>
        <v>0</v>
      </c>
      <c r="BA58">
        <f t="shared" si="13"/>
        <v>697.4</v>
      </c>
      <c r="BB58">
        <f t="shared" si="14"/>
        <v>1805</v>
      </c>
      <c r="BC58" s="32" cm="1">
        <f t="array" ref="BC58">IF($F$13-$I$4+VLOOKUP($Q58,武学奇术!$A:$ZZ,13,FALSE)+SUM(_xlfn.XLOOKUP(R58:AF58,增益!$A:$A,增益!$M:$M,0))&gt;0,($F$13-$I$4+VLOOKUP($Q58,武学奇术!$A:$ZZ,13,FALSE)+SUM(_xlfn.XLOOKUP(R58:AF58,增益!$A:$A,增益!$K:$K,0)))/200,($F$13-$I$4+VLOOKUP($Q58,武学奇术!$A:$ZZ,13,FALSE)+SUM(_xlfn.XLOOKUP(R58:AF58,增益!$A:$A,增益!$M:$M,0)))/100)</f>
        <v>0</v>
      </c>
      <c r="BD58" s="32" cm="1">
        <f t="array" ref="BD58">$G$13+VLOOKUP($Q58,武学奇术!$A:$ZZ,14,FALSE)+SUM(_xlfn.XLOOKUP(R58:AF58,增益!$A:$A,增益!$N:$N,0))</f>
        <v>0.15</v>
      </c>
      <c r="BE58">
        <f t="shared" si="15"/>
        <v>0</v>
      </c>
      <c r="BF58">
        <f t="shared" si="16"/>
        <v>0</v>
      </c>
      <c r="BG58" s="32" cm="1">
        <f t="array" ref="BG58">IF($F$14-$I$4+VLOOKUP($Q58,武学奇术!$A:$ZZ,15,FALSE)+SUM(_xlfn.XLOOKUP(R58:AF58,增益!$A:$A,增益!$O:$O,0))&gt;0,($F$14-$I$4+VLOOKUP($Q58,武学奇术!$A:$ZZ,15,FALSE)+SUM(_xlfn.XLOOKUP(R58:AF58,增益!$A:$A,增益!$O:$O,0)))/200,($F$14-$I$4+VLOOKUP($Q58,武学奇术!$A:$ZZ,15,FALSE)+SUM(_xlfn.XLOOKUP(R58:AF58,增益!$A:$A,增益!$O:$O,0)))/100)</f>
        <v>-0.3</v>
      </c>
      <c r="BH58" s="32" cm="1">
        <f t="array" ref="BH58">$G$14+VLOOKUP($Q58,武学奇术!$A:$ZZ,16,FALSE)+SUM(_xlfn.XLOOKUP(R58:AF58,增益!$A:$A,增益!$P:$P,0))</f>
        <v>0</v>
      </c>
      <c r="BI58" s="26">
        <f>MIN(IF(VLOOKUP($Q58,武学奇术!$A:$ZZ,23,FALSE)=1,100%,$B$8),100%)</f>
        <v>1</v>
      </c>
      <c r="BJ58" s="26" cm="1">
        <f t="array" ref="BJ58">IF(VLOOKUP($Q58,武学奇术!$A:$ZZ,23,FALSE)=1,100%,MIN(80%,$B$9+VLOOKUP($Q58,武学奇术!$A:$ZZ,17,FALSE)+SUM(_xlfn.XLOOKUP(R58:AF58,增益!$A:$A,增益!$Q:$Q,0)))+$B$11+SUM(_xlfn.XLOOKUP(R58:AF58,增益!$A:$A,增益!$U:$U,0)))*IF(VLOOKUP($Q58,武学奇术!$A:$ZZ,24,FALSE)=1,0,1)</f>
        <v>0.8625</v>
      </c>
      <c r="BK58" s="26" cm="1">
        <f t="array" ref="BK58">1+$B$13+VLOOKUP($Q58,武学奇术!$A:$ZZ,18,FALSE)+SUM(_xlfn.XLOOKUP(R58:AF58,增益!$A:$A,增益!$R:$R,0))</f>
        <v>1.5</v>
      </c>
      <c r="BL58" s="26" cm="1">
        <f t="array" ref="BL58">IF(VLOOKUP($Q58,武学奇术!$A:$ZZ,24,FALSE)=1,100%,MIN(40%,$B$10+VLOOKUP($Q58,武学奇术!$A:$ZZ,19,FALSE)+SUM(_xlfn.XLOOKUP(R58:AF58,增益!$A:$A,增益!$S:$S,0)))+$B$12+SUM(_xlfn.XLOOKUP(R58:AF58,增益!$A:$A,增益!$V:$V,0)))*IF(VLOOKUP($Q58,武学奇术!$A:$ZZ,23,FALSE)=1,0,1)</f>
        <v>0.0913</v>
      </c>
      <c r="BM58" s="26" cm="1">
        <f t="array" ref="BM58">1+$B$14+VLOOKUP($Q58,武学奇术!$A:$ZZ,20,FALSE)+SUM(_xlfn.XLOOKUP(R58:AF58,增益!$A:$A,增益!$T:$T,0))</f>
        <v>1.35</v>
      </c>
      <c r="BN58" s="26">
        <f t="shared" si="11"/>
        <v>0.8625</v>
      </c>
      <c r="BO58" s="26">
        <f t="shared" si="17"/>
        <v>0.0462</v>
      </c>
      <c r="BP58" s="26">
        <f>IF(VLOOKUP($Q58,武学奇术!$A:$ZZ,22,FALSE)=1,0,(1-$BI58))*(1-$BL58)</f>
        <v>0</v>
      </c>
      <c r="BQ58" s="26" cm="1">
        <f t="array" ref="BQ58">SUM(_xlfn.XLOOKUP(R58:AF58,增益!$A:$A,增益!$W:$W,0))+$I$5</f>
        <v>0.06</v>
      </c>
    </row>
    <row r="59" spans="4:69">
      <c r="K59" s="38">
        <f t="shared" si="12"/>
        <v>0</v>
      </c>
      <c r="L59" s="38">
        <f>((($AN59+$AO59)/2*$AH59+$AI59)*(1+$AP59)*(1+$AQ59)+(($AS59+$AT59)/2*IF($G$1="鸣金",$AJ59,$AH59)+IF($G$1="鸣金",$AK59*1.5,0))*(1+$AU59)*(1+$AV59)+(($AW59+$AX59)/2*IF($G$1="裂石",$AJ59,$AH59)+IF($G$1="裂石",$AK59*1.5,0))*(1+$AY59)*(1+$AZ59)+(($BA59+$BB59)/2*IF($G$1="牵丝",$AJ59,$AH59)+IF($G$1="牵丝",$AK59*1.5,0))*(1+$BC59)*(1+$BD59)+(($BE59+$BF59)/2*IF($G$1="破竹",$AJ59,$AH59)+IF($G$1="破竹",$AK59*1.5,0))*(1+$BG59)*(1+$BH59))*(1+$AL59)*$BK59*$P59*(1+IF(VLOOKUP($Q59,武学奇术!$A:$ZZ,30,FALSE)="蓄力技",#REF!,0))*(1+$BQ59)</f>
        <v>0</v>
      </c>
      <c r="M59" s="38">
        <f>(($AO59*$AH59+$AI59)*(1+$AP59)*(1+$AQ59)+($AT59*IF($G$1="鸣金",$AJ59,$AH59)+IF($G$1="鸣金",$AK59*1.5,0))*(1+$AU59)*(1+$AV59)+($AX59*IF($G$1="裂石",$AJ59,$AH59)+IF($G$1="裂石",$AK59*1.5,0))*(1+$AY59)*(1+$AZ59)+($BB59*IF($G$1="牵丝",$AJ59,$AH59)+IF($G$1="牵丝",$AK59*1.5,0))*(1+$BC59)*(1+$BD59)+($BF59*IF($G$1="破竹",$AJ59,$AH59)+IF($G$1="破竹",$AK59*1.5,0))*(1+$BG59)*(1+$BH59))*(1+$AL59)*$BM59*$P59*(1+IF(VLOOKUP($Q59,武学奇术!$A:$ZZ,30,FALSE)="蓄力技",#REF!,0))*(1+$BQ59)</f>
        <v>0</v>
      </c>
      <c r="N59" s="38">
        <f>((($AN59+$AO59)/2*$AH59+$AI59)*(1+$AP59)*(1+$AQ59)+(($AS59+$AT59)/2*IF($G$1="鸣金",$AJ59,$AH59)+IF($G$1="鸣金",$AK59*1.5,0))*(1+$AU59)*(1+$AV59)+(($AW59+$AX59)/2*IF($G$1="裂石",$AJ59,$AH59)+IF($G$1="裂石",$AK59*1.5,0))*(1+$AY59)*(1+$AZ59)+(($BA59+$BB59)/2*IF($G$1="牵丝",$AJ59,$AH59)+IF($G$1="牵丝",$AK59*1.5,0))*(1+$BC59)*(1+$BD59)+(($BE59+$BF59)/2*IF($G$1="破竹",$AJ59,$AH59)+IF($G$1="破竹",$AK59*1.5,0))*(1+$BG59)*(1+$BH59))*(1+$AL59)*$P59*(1+IF(VLOOKUP($Q59,武学奇术!$A:$ZZ,30,FALSE)="蓄力技",#REF!,0))*(1+$BQ59)</f>
        <v>0</v>
      </c>
      <c r="O59" s="38">
        <f>((($AN59*$AH59+$AI59)*(1+$AP59)*(1+$AQ59)+($AS59*IF($G$1="鸣金",$AJ59,$AH59)+IF($G$1="鸣金",$AK59*1.5,0))*(1+$AU59)*(1+$AV59)+($AW59*IF($G$1="裂石",$AJ59,$AH59)+IF($G$1="裂石",$AK59*1.5,0))*(1+$AY59)*(1+$AZ59)+($BA59*IF($G$1="牵丝",$AJ59,$AH59)+IF($G$1="牵丝",$AK59*1.5,0))*(1+$BC59)*(1+$BD59)+($BE59*IF($G$1="破竹",$AJ59,$AH59)+IF($G$1="破竹",$AK59*1.5,0))*(1+$BG59)*(1+$BH59))*(1+$AL59))*$P59*(1+IF(VLOOKUP($Q59,武学奇术!$A:$ZZ,30,FALSE)="蓄力技",#REF!,0))*(1+$BQ59)</f>
        <v>0</v>
      </c>
      <c r="P59" s="39">
        <v>1</v>
      </c>
      <c r="Q59" s="40" t="s">
        <v>76</v>
      </c>
      <c r="R59" s="40" t="s">
        <v>76</v>
      </c>
      <c r="S59" s="40" t="s">
        <v>76</v>
      </c>
      <c r="T59" s="40" t="s">
        <v>76</v>
      </c>
      <c r="U59" s="40" t="s">
        <v>76</v>
      </c>
      <c r="V59" s="40" t="s">
        <v>76</v>
      </c>
      <c r="W59" s="40" t="s">
        <v>76</v>
      </c>
      <c r="X59" s="40" t="s">
        <v>76</v>
      </c>
      <c r="Y59" s="40" t="s">
        <v>76</v>
      </c>
      <c r="Z59" s="40" t="s">
        <v>76</v>
      </c>
      <c r="AA59" s="40" t="s">
        <v>76</v>
      </c>
      <c r="AB59" s="40" t="s">
        <v>76</v>
      </c>
      <c r="AC59" s="40" t="s">
        <v>76</v>
      </c>
      <c r="AD59" s="40" t="s">
        <v>76</v>
      </c>
      <c r="AE59" s="40" t="s">
        <v>76</v>
      </c>
      <c r="AF59" s="40" t="s">
        <v>76</v>
      </c>
      <c r="AG59" t="str">
        <f>VLOOKUP($Q59,武学奇术!$A:$ZZ,25,FALSE)</f>
        <v>心法</v>
      </c>
      <c r="AH59" s="26">
        <f>VLOOKUP($Q59,武学奇术!$A:$ZZ,26,FALSE)</f>
        <v>0</v>
      </c>
      <c r="AI59" s="27">
        <f>VLOOKUP($Q59,武学奇术!$A:$ZZ,27,FALSE)*(1+IF(OR($AG59=$F$4,$AG59=$F$5),$B$21,0))</f>
        <v>0</v>
      </c>
      <c r="AJ59" s="26">
        <f>VLOOKUP($Q59,武学奇术!$A:$ZZ,28,FALSE)</f>
        <v>0</v>
      </c>
      <c r="AK59" s="27">
        <f>VLOOKUP($Q59,武学奇术!$A:$ZZ,29,FALSE)*(1+IF(OR($AG59=$F$4,$AG59=$F$5),$B$21,0))</f>
        <v>0</v>
      </c>
      <c r="AL59" s="26" cm="1">
        <f t="array" ref="AL59">$G$3+IFERROR(VLOOKUP($AG59,$F$4:$G$7,2,FALSE),0)+VLOOKUP($Q59,武学奇术!$A:$ZZ,2,FALSE)+SUM(_xlfn.XLOOKUP($R59:$AF59,增益!$A:$A,增益!$B:$B,0))</f>
        <v>0.2642</v>
      </c>
      <c r="AM59" s="26" cm="1">
        <f t="array" ref="AM59">VLOOKUP($Q59,武学奇术!$A:$ZZ,5,FALSE)+SUM(_xlfn.XLOOKUP($R59:$AF59,增益!$A:$A,增益!$E:$E,0))</f>
        <v>0</v>
      </c>
      <c r="AN59" cm="1">
        <f t="array" ref="AN59">$D$10*(1+$AM59)+VLOOKUP($Q59,武学奇术!$A:$ZZ,3,FALSE)+SUM(_xlfn.XLOOKUP($R59:$AF59,增益!$A:$A,增益!$C:$C,0))-$I$2</f>
        <v>3977.2</v>
      </c>
      <c r="AO59" cm="1">
        <f t="array" ref="AO59">$E$10*(1+$AM59)+VLOOKUP($Q59,武学奇术!$A:$ZZ,4,FALSE)+SUM(_xlfn.XLOOKUP($R59:$AF59,增益!$A:$A,增益!$D:$D,0))-$I$2</f>
        <v>3977.2</v>
      </c>
      <c r="AP59" s="32" cm="1">
        <f t="array" ref="AP59">IF($F$10-$I$3+VLOOKUP($Q59,武学奇术!$A:$ZZ,6,FALSE)+SUM(_xlfn.XLOOKUP(R59:AF59,增益!$A:$A,增益!$F:$F,0))&gt;0,($F$10-$I$3+VLOOKUP($Q59,武学奇术!$A:$ZZ,6,FALSE)+SUM(_xlfn.XLOOKUP(R59:AF59,增益!$A:$A,增益!$F:$F,0)))/200,($F$10-$I$3+VLOOKUP($Q59,武学奇术!$A:$ZZ,6,FALSE)+SUM(_xlfn.XLOOKUP(R59:AF59,增益!$A:$A,增益!$F:$F,0)))/100)</f>
        <v>0.294</v>
      </c>
      <c r="AQ59" s="32" cm="1">
        <f t="array" ref="AQ59">$G$10+VLOOKUP($Q59,武学奇术!$A:$ZZ,7,FALSE)+SUM(_xlfn.XLOOKUP(R59:AF59,增益!$A:$A,增益!$G:$G,0))</f>
        <v>0</v>
      </c>
      <c r="AR59" s="26" cm="1">
        <f t="array" ref="AR59">VLOOKUP($Q59,武学奇术!$A:$ZZ,8,FALSE)+SUM(_xlfn.XLOOKUP(R59:AF59,增益!$A:$A,增益!$H:$H,0))</f>
        <v>0</v>
      </c>
      <c r="AS59">
        <f t="shared" si="18"/>
        <v>0</v>
      </c>
      <c r="AT59">
        <f t="shared" si="19"/>
        <v>0</v>
      </c>
      <c r="AU59" s="32" cm="1">
        <f t="array" ref="AU59">IF($F$11-$I$4+VLOOKUP($Q59,武学奇术!$A:$ZZ,9,FALSE)+SUM(_xlfn.XLOOKUP(R59:AF59,增益!$A:$A,增益!$I:$I,0))&gt;0,($F$11-$I$4+VLOOKUP($Q59,武学奇术!$A:$ZZ,9,FALSE)+SUM(_xlfn.XLOOKUP(R59:AF59,增益!$A:$A,增益!$I:$I,0)))/200,($F$11-$I$4+VLOOKUP($Q59,武学奇术!$A:$ZZ,9,FALSE)+SUM(_xlfn.XLOOKUP(R59:AF59,增益!$A:$A,增益!$I:$I,0)))/100)</f>
        <v>-0.3</v>
      </c>
      <c r="AV59" s="32" cm="1">
        <f t="array" ref="AV59">$G$11+VLOOKUP($Q59,武学奇术!$A:$ZZ,10,FALSE)+SUM(_xlfn.XLOOKUP(R59:AF59,增益!$A:$A,增益!$J:$J,0))</f>
        <v>0</v>
      </c>
      <c r="AW59">
        <f t="shared" si="20"/>
        <v>0</v>
      </c>
      <c r="AX59">
        <f t="shared" si="21"/>
        <v>0</v>
      </c>
      <c r="AY59" s="32" cm="1">
        <f t="array" ref="AY59">IF($F$12-$I$4+VLOOKUP($Q59,武学奇术!$A:$ZZ,11,FALSE)+SUM(_xlfn.XLOOKUP(R59:AF59,增益!$A:$A,增益!$K:$K,0))&gt;0,($F$12-$I$4+VLOOKUP($Q59,武学奇术!$A:$ZZ,11,FALSE)+SUM(_xlfn.XLOOKUP(R59:AF59,增益!$A:$A,增益!$K:$K,0)))/200,($F$12-$I$4+VLOOKUP($Q59,武学奇术!$A:$ZZ,11,FALSE)+SUM(_xlfn.XLOOKUP(R59:AF59,增益!$A:$A,增益!$K:$K,0)))/100)</f>
        <v>-0.3</v>
      </c>
      <c r="AZ59" s="32" cm="1">
        <f t="array" ref="AZ59">$G$12+VLOOKUP($Q59,武学奇术!$A:$ZZ,12,FALSE)+SUM(_xlfn.XLOOKUP(R59:AF59,增益!$A:$A,增益!$L:$L,0))</f>
        <v>0</v>
      </c>
      <c r="BA59">
        <f t="shared" si="13"/>
        <v>697.4</v>
      </c>
      <c r="BB59">
        <f t="shared" si="14"/>
        <v>1805</v>
      </c>
      <c r="BC59" s="32" cm="1">
        <f t="array" ref="BC59">IF($F$13-$I$4+VLOOKUP($Q59,武学奇术!$A:$ZZ,13,FALSE)+SUM(_xlfn.XLOOKUP(R59:AF59,增益!$A:$A,增益!$M:$M,0))&gt;0,($F$13-$I$4+VLOOKUP($Q59,武学奇术!$A:$ZZ,13,FALSE)+SUM(_xlfn.XLOOKUP(R59:AF59,增益!$A:$A,增益!$K:$K,0)))/200,($F$13-$I$4+VLOOKUP($Q59,武学奇术!$A:$ZZ,13,FALSE)+SUM(_xlfn.XLOOKUP(R59:AF59,增益!$A:$A,增益!$M:$M,0)))/100)</f>
        <v>0</v>
      </c>
      <c r="BD59" s="32" cm="1">
        <f t="array" ref="BD59">$G$13+VLOOKUP($Q59,武学奇术!$A:$ZZ,14,FALSE)+SUM(_xlfn.XLOOKUP(R59:AF59,增益!$A:$A,增益!$N:$N,0))</f>
        <v>0.15</v>
      </c>
      <c r="BE59">
        <f t="shared" si="15"/>
        <v>0</v>
      </c>
      <c r="BF59">
        <f t="shared" si="16"/>
        <v>0</v>
      </c>
      <c r="BG59" s="32" cm="1">
        <f t="array" ref="BG59">IF($F$14-$I$4+VLOOKUP($Q59,武学奇术!$A:$ZZ,15,FALSE)+SUM(_xlfn.XLOOKUP(R59:AF59,增益!$A:$A,增益!$O:$O,0))&gt;0,($F$14-$I$4+VLOOKUP($Q59,武学奇术!$A:$ZZ,15,FALSE)+SUM(_xlfn.XLOOKUP(R59:AF59,增益!$A:$A,增益!$O:$O,0)))/200,($F$14-$I$4+VLOOKUP($Q59,武学奇术!$A:$ZZ,15,FALSE)+SUM(_xlfn.XLOOKUP(R59:AF59,增益!$A:$A,增益!$O:$O,0)))/100)</f>
        <v>-0.3</v>
      </c>
      <c r="BH59" s="32" cm="1">
        <f t="array" ref="BH59">$G$14+VLOOKUP($Q59,武学奇术!$A:$ZZ,16,FALSE)+SUM(_xlfn.XLOOKUP(R59:AF59,增益!$A:$A,增益!$P:$P,0))</f>
        <v>0</v>
      </c>
      <c r="BI59" s="26">
        <f>MIN(IF(VLOOKUP($Q59,武学奇术!$A:$ZZ,23,FALSE)=1,100%,$B$8),100%)</f>
        <v>1</v>
      </c>
      <c r="BJ59" s="26" cm="1">
        <f t="array" ref="BJ59">IF(VLOOKUP($Q59,武学奇术!$A:$ZZ,23,FALSE)=1,100%,MIN(80%,$B$9+VLOOKUP($Q59,武学奇术!$A:$ZZ,17,FALSE)+SUM(_xlfn.XLOOKUP(R59:AF59,增益!$A:$A,增益!$Q:$Q,0)))+$B$11+SUM(_xlfn.XLOOKUP(R59:AF59,增益!$A:$A,增益!$U:$U,0)))*IF(VLOOKUP($Q59,武学奇术!$A:$ZZ,24,FALSE)=1,0,1)</f>
        <v>0.8625</v>
      </c>
      <c r="BK59" s="26" cm="1">
        <f t="array" ref="BK59">1+$B$13+VLOOKUP($Q59,武学奇术!$A:$ZZ,18,FALSE)+SUM(_xlfn.XLOOKUP(R59:AF59,增益!$A:$A,增益!$R:$R,0))</f>
        <v>1.5</v>
      </c>
      <c r="BL59" s="26" cm="1">
        <f t="array" ref="BL59">IF(VLOOKUP($Q59,武学奇术!$A:$ZZ,24,FALSE)=1,100%,MIN(40%,$B$10+VLOOKUP($Q59,武学奇术!$A:$ZZ,19,FALSE)+SUM(_xlfn.XLOOKUP(R59:AF59,增益!$A:$A,增益!$S:$S,0)))+$B$12+SUM(_xlfn.XLOOKUP(R59:AF59,增益!$A:$A,增益!$V:$V,0)))*IF(VLOOKUP($Q59,武学奇术!$A:$ZZ,23,FALSE)=1,0,1)</f>
        <v>0.0913</v>
      </c>
      <c r="BM59" s="26" cm="1">
        <f t="array" ref="BM59">1+$B$14+VLOOKUP($Q59,武学奇术!$A:$ZZ,20,FALSE)+SUM(_xlfn.XLOOKUP(R59:AF59,增益!$A:$A,增益!$T:$T,0))</f>
        <v>1.35</v>
      </c>
      <c r="BN59" s="26">
        <f t="shared" si="11"/>
        <v>0.8625</v>
      </c>
      <c r="BO59" s="26">
        <f t="shared" si="17"/>
        <v>0.0462</v>
      </c>
      <c r="BP59" s="26">
        <f>IF(VLOOKUP($Q59,武学奇术!$A:$ZZ,22,FALSE)=1,0,(1-$BI59))*(1-$BL59)</f>
        <v>0</v>
      </c>
      <c r="BQ59" s="26" cm="1">
        <f t="array" ref="BQ59">SUM(_xlfn.XLOOKUP(R59:AF59,增益!$A:$A,增益!$W:$W,0))+$I$5</f>
        <v>0.06</v>
      </c>
    </row>
    <row r="60" spans="4:69">
      <c r="K60" s="38">
        <f t="shared" si="12"/>
        <v>0</v>
      </c>
      <c r="L60" s="38">
        <f>((($AN60+$AO60)/2*$AH60+$AI60)*(1+$AP60)*(1+$AQ60)+(($AS60+$AT60)/2*IF($G$1="鸣金",$AJ60,$AH60)+IF($G$1="鸣金",$AK60*1.5,0))*(1+$AU60)*(1+$AV60)+(($AW60+$AX60)/2*IF($G$1="裂石",$AJ60,$AH60)+IF($G$1="裂石",$AK60*1.5,0))*(1+$AY60)*(1+$AZ60)+(($BA60+$BB60)/2*IF($G$1="牵丝",$AJ60,$AH60)+IF($G$1="牵丝",$AK60*1.5,0))*(1+$BC60)*(1+$BD60)+(($BE60+$BF60)/2*IF($G$1="破竹",$AJ60,$AH60)+IF($G$1="破竹",$AK60*1.5,0))*(1+$BG60)*(1+$BH60))*(1+$AL60)*$BK60*$P60*(1+IF(VLOOKUP($Q60,武学奇术!$A:$ZZ,30,FALSE)="蓄力技",#REF!,0))*(1+$BQ60)</f>
        <v>0</v>
      </c>
      <c r="M60" s="38">
        <f>(($AO60*$AH60+$AI60)*(1+$AP60)*(1+$AQ60)+($AT60*IF($G$1="鸣金",$AJ60,$AH60)+IF($G$1="鸣金",$AK60*1.5,0))*(1+$AU60)*(1+$AV60)+($AX60*IF($G$1="裂石",$AJ60,$AH60)+IF($G$1="裂石",$AK60*1.5,0))*(1+$AY60)*(1+$AZ60)+($BB60*IF($G$1="牵丝",$AJ60,$AH60)+IF($G$1="牵丝",$AK60*1.5,0))*(1+$BC60)*(1+$BD60)+($BF60*IF($G$1="破竹",$AJ60,$AH60)+IF($G$1="破竹",$AK60*1.5,0))*(1+$BG60)*(1+$BH60))*(1+$AL60)*$BM60*$P60*(1+IF(VLOOKUP($Q60,武学奇术!$A:$ZZ,30,FALSE)="蓄力技",#REF!,0))*(1+$BQ60)</f>
        <v>0</v>
      </c>
      <c r="N60" s="38">
        <f>((($AN60+$AO60)/2*$AH60+$AI60)*(1+$AP60)*(1+$AQ60)+(($AS60+$AT60)/2*IF($G$1="鸣金",$AJ60,$AH60)+IF($G$1="鸣金",$AK60*1.5,0))*(1+$AU60)*(1+$AV60)+(($AW60+$AX60)/2*IF($G$1="裂石",$AJ60,$AH60)+IF($G$1="裂石",$AK60*1.5,0))*(1+$AY60)*(1+$AZ60)+(($BA60+$BB60)/2*IF($G$1="牵丝",$AJ60,$AH60)+IF($G$1="牵丝",$AK60*1.5,0))*(1+$BC60)*(1+$BD60)+(($BE60+$BF60)/2*IF($G$1="破竹",$AJ60,$AH60)+IF($G$1="破竹",$AK60*1.5,0))*(1+$BG60)*(1+$BH60))*(1+$AL60)*$P60*(1+IF(VLOOKUP($Q60,武学奇术!$A:$ZZ,30,FALSE)="蓄力技",#REF!,0))*(1+$BQ60)</f>
        <v>0</v>
      </c>
      <c r="O60" s="38">
        <f>((($AN60*$AH60+$AI60)*(1+$AP60)*(1+$AQ60)+($AS60*IF($G$1="鸣金",$AJ60,$AH60)+IF($G$1="鸣金",$AK60*1.5,0))*(1+$AU60)*(1+$AV60)+($AW60*IF($G$1="裂石",$AJ60,$AH60)+IF($G$1="裂石",$AK60*1.5,0))*(1+$AY60)*(1+$AZ60)+($BA60*IF($G$1="牵丝",$AJ60,$AH60)+IF($G$1="牵丝",$AK60*1.5,0))*(1+$BC60)*(1+$BD60)+($BE60*IF($G$1="破竹",$AJ60,$AH60)+IF($G$1="破竹",$AK60*1.5,0))*(1+$BG60)*(1+$BH60))*(1+$AL60))*$P60*(1+IF(VLOOKUP($Q60,武学奇术!$A:$ZZ,30,FALSE)="蓄力技",#REF!,0))*(1+$BQ60)</f>
        <v>0</v>
      </c>
      <c r="P60" s="39">
        <v>1</v>
      </c>
      <c r="Q60" s="40" t="s">
        <v>76</v>
      </c>
      <c r="R60" s="40" t="s">
        <v>76</v>
      </c>
      <c r="S60" s="40" t="s">
        <v>76</v>
      </c>
      <c r="T60" s="40" t="s">
        <v>76</v>
      </c>
      <c r="U60" s="40" t="s">
        <v>76</v>
      </c>
      <c r="V60" s="40" t="s">
        <v>76</v>
      </c>
      <c r="W60" s="40" t="s">
        <v>76</v>
      </c>
      <c r="X60" s="40" t="s">
        <v>76</v>
      </c>
      <c r="Y60" s="40" t="s">
        <v>76</v>
      </c>
      <c r="Z60" s="40" t="s">
        <v>76</v>
      </c>
      <c r="AA60" s="40" t="s">
        <v>76</v>
      </c>
      <c r="AB60" s="40" t="s">
        <v>76</v>
      </c>
      <c r="AC60" s="40" t="s">
        <v>76</v>
      </c>
      <c r="AD60" s="40" t="s">
        <v>76</v>
      </c>
      <c r="AE60" s="40" t="s">
        <v>76</v>
      </c>
      <c r="AF60" s="40" t="s">
        <v>76</v>
      </c>
      <c r="AG60" t="str">
        <f>VLOOKUP($Q60,武学奇术!$A:$ZZ,25,FALSE)</f>
        <v>心法</v>
      </c>
      <c r="AH60" s="26">
        <f>VLOOKUP($Q60,武学奇术!$A:$ZZ,26,FALSE)</f>
        <v>0</v>
      </c>
      <c r="AI60" s="27">
        <f>VLOOKUP($Q60,武学奇术!$A:$ZZ,27,FALSE)*(1+IF(OR($AG60=$F$4,$AG60=$F$5),$B$21,0))</f>
        <v>0</v>
      </c>
      <c r="AJ60" s="26">
        <f>VLOOKUP($Q60,武学奇术!$A:$ZZ,28,FALSE)</f>
        <v>0</v>
      </c>
      <c r="AK60" s="27">
        <f>VLOOKUP($Q60,武学奇术!$A:$ZZ,29,FALSE)*(1+IF(OR($AG60=$F$4,$AG60=$F$5),$B$21,0))</f>
        <v>0</v>
      </c>
      <c r="AL60" s="26" cm="1">
        <f t="array" ref="AL60">$G$3+IFERROR(VLOOKUP($AG60,$F$4:$G$7,2,FALSE),0)+VLOOKUP($Q60,武学奇术!$A:$ZZ,2,FALSE)+SUM(_xlfn.XLOOKUP($R60:$AF60,增益!$A:$A,增益!$B:$B,0))</f>
        <v>0.2642</v>
      </c>
      <c r="AM60" s="26" cm="1">
        <f t="array" ref="AM60">VLOOKUP($Q60,武学奇术!$A:$ZZ,5,FALSE)+SUM(_xlfn.XLOOKUP($R60:$AF60,增益!$A:$A,增益!$E:$E,0))</f>
        <v>0</v>
      </c>
      <c r="AN60" cm="1">
        <f t="array" ref="AN60">$D$10*(1+$AM60)+VLOOKUP($Q60,武学奇术!$A:$ZZ,3,FALSE)+SUM(_xlfn.XLOOKUP($R60:$AF60,增益!$A:$A,增益!$C:$C,0))-$I$2</f>
        <v>3977.2</v>
      </c>
      <c r="AO60" cm="1">
        <f t="array" ref="AO60">$E$10*(1+$AM60)+VLOOKUP($Q60,武学奇术!$A:$ZZ,4,FALSE)+SUM(_xlfn.XLOOKUP($R60:$AF60,增益!$A:$A,增益!$D:$D,0))-$I$2</f>
        <v>3977.2</v>
      </c>
      <c r="AP60" s="32" cm="1">
        <f t="array" ref="AP60">IF($F$10-$I$3+VLOOKUP($Q60,武学奇术!$A:$ZZ,6,FALSE)+SUM(_xlfn.XLOOKUP(R60:AF60,增益!$A:$A,增益!$F:$F,0))&gt;0,($F$10-$I$3+VLOOKUP($Q60,武学奇术!$A:$ZZ,6,FALSE)+SUM(_xlfn.XLOOKUP(R60:AF60,增益!$A:$A,增益!$F:$F,0)))/200,($F$10-$I$3+VLOOKUP($Q60,武学奇术!$A:$ZZ,6,FALSE)+SUM(_xlfn.XLOOKUP(R60:AF60,增益!$A:$A,增益!$F:$F,0)))/100)</f>
        <v>0.294</v>
      </c>
      <c r="AQ60" s="32" cm="1">
        <f t="array" ref="AQ60">$G$10+VLOOKUP($Q60,武学奇术!$A:$ZZ,7,FALSE)+SUM(_xlfn.XLOOKUP(R60:AF60,增益!$A:$A,增益!$G:$G,0))</f>
        <v>0</v>
      </c>
      <c r="AR60" s="26" cm="1">
        <f t="array" ref="AR60">VLOOKUP($Q60,武学奇术!$A:$ZZ,8,FALSE)+SUM(_xlfn.XLOOKUP(R60:AF60,增益!$A:$A,增益!$H:$H,0))</f>
        <v>0</v>
      </c>
      <c r="AS60">
        <f t="shared" si="18"/>
        <v>0</v>
      </c>
      <c r="AT60">
        <f t="shared" si="19"/>
        <v>0</v>
      </c>
      <c r="AU60" s="32" cm="1">
        <f t="array" ref="AU60">IF($F$11-$I$4+VLOOKUP($Q60,武学奇术!$A:$ZZ,9,FALSE)+SUM(_xlfn.XLOOKUP(R60:AF60,增益!$A:$A,增益!$I:$I,0))&gt;0,($F$11-$I$4+VLOOKUP($Q60,武学奇术!$A:$ZZ,9,FALSE)+SUM(_xlfn.XLOOKUP(R60:AF60,增益!$A:$A,增益!$I:$I,0)))/200,($F$11-$I$4+VLOOKUP($Q60,武学奇术!$A:$ZZ,9,FALSE)+SUM(_xlfn.XLOOKUP(R60:AF60,增益!$A:$A,增益!$I:$I,0)))/100)</f>
        <v>-0.3</v>
      </c>
      <c r="AV60" s="32" cm="1">
        <f t="array" ref="AV60">$G$11+VLOOKUP($Q60,武学奇术!$A:$ZZ,10,FALSE)+SUM(_xlfn.XLOOKUP(R60:AF60,增益!$A:$A,增益!$J:$J,0))</f>
        <v>0</v>
      </c>
      <c r="AW60">
        <f t="shared" si="20"/>
        <v>0</v>
      </c>
      <c r="AX60">
        <f t="shared" si="21"/>
        <v>0</v>
      </c>
      <c r="AY60" s="32" cm="1">
        <f t="array" ref="AY60">IF($F$12-$I$4+VLOOKUP($Q60,武学奇术!$A:$ZZ,11,FALSE)+SUM(_xlfn.XLOOKUP(R60:AF60,增益!$A:$A,增益!$K:$K,0))&gt;0,($F$12-$I$4+VLOOKUP($Q60,武学奇术!$A:$ZZ,11,FALSE)+SUM(_xlfn.XLOOKUP(R60:AF60,增益!$A:$A,增益!$K:$K,0)))/200,($F$12-$I$4+VLOOKUP($Q60,武学奇术!$A:$ZZ,11,FALSE)+SUM(_xlfn.XLOOKUP(R60:AF60,增益!$A:$A,增益!$K:$K,0)))/100)</f>
        <v>-0.3</v>
      </c>
      <c r="AZ60" s="32" cm="1">
        <f t="array" ref="AZ60">$G$12+VLOOKUP($Q60,武学奇术!$A:$ZZ,12,FALSE)+SUM(_xlfn.XLOOKUP(R60:AF60,增益!$A:$A,增益!$L:$L,0))</f>
        <v>0</v>
      </c>
      <c r="BA60">
        <f t="shared" si="13"/>
        <v>697.4</v>
      </c>
      <c r="BB60">
        <f t="shared" si="14"/>
        <v>1805</v>
      </c>
      <c r="BC60" s="32" cm="1">
        <f t="array" ref="BC60">IF($F$13-$I$4+VLOOKUP($Q60,武学奇术!$A:$ZZ,13,FALSE)+SUM(_xlfn.XLOOKUP(R60:AF60,增益!$A:$A,增益!$M:$M,0))&gt;0,($F$13-$I$4+VLOOKUP($Q60,武学奇术!$A:$ZZ,13,FALSE)+SUM(_xlfn.XLOOKUP(R60:AF60,增益!$A:$A,增益!$K:$K,0)))/200,($F$13-$I$4+VLOOKUP($Q60,武学奇术!$A:$ZZ,13,FALSE)+SUM(_xlfn.XLOOKUP(R60:AF60,增益!$A:$A,增益!$M:$M,0)))/100)</f>
        <v>0</v>
      </c>
      <c r="BD60" s="32" cm="1">
        <f t="array" ref="BD60">$G$13+VLOOKUP($Q60,武学奇术!$A:$ZZ,14,FALSE)+SUM(_xlfn.XLOOKUP(R60:AF60,增益!$A:$A,增益!$N:$N,0))</f>
        <v>0.15</v>
      </c>
      <c r="BE60">
        <f t="shared" si="15"/>
        <v>0</v>
      </c>
      <c r="BF60">
        <f t="shared" si="16"/>
        <v>0</v>
      </c>
      <c r="BG60" s="32" cm="1">
        <f t="array" ref="BG60">IF($F$14-$I$4+VLOOKUP($Q60,武学奇术!$A:$ZZ,15,FALSE)+SUM(_xlfn.XLOOKUP(R60:AF60,增益!$A:$A,增益!$O:$O,0))&gt;0,($F$14-$I$4+VLOOKUP($Q60,武学奇术!$A:$ZZ,15,FALSE)+SUM(_xlfn.XLOOKUP(R60:AF60,增益!$A:$A,增益!$O:$O,0)))/200,($F$14-$I$4+VLOOKUP($Q60,武学奇术!$A:$ZZ,15,FALSE)+SUM(_xlfn.XLOOKUP(R60:AF60,增益!$A:$A,增益!$O:$O,0)))/100)</f>
        <v>-0.3</v>
      </c>
      <c r="BH60" s="32" cm="1">
        <f t="array" ref="BH60">$G$14+VLOOKUP($Q60,武学奇术!$A:$ZZ,16,FALSE)+SUM(_xlfn.XLOOKUP(R60:AF60,增益!$A:$A,增益!$P:$P,0))</f>
        <v>0</v>
      </c>
      <c r="BI60" s="26">
        <f>MIN(IF(VLOOKUP($Q60,武学奇术!$A:$ZZ,23,FALSE)=1,100%,$B$8),100%)</f>
        <v>1</v>
      </c>
      <c r="BJ60" s="26" cm="1">
        <f t="array" ref="BJ60">IF(VLOOKUP($Q60,武学奇术!$A:$ZZ,23,FALSE)=1,100%,MIN(80%,$B$9+VLOOKUP($Q60,武学奇术!$A:$ZZ,17,FALSE)+SUM(_xlfn.XLOOKUP(R60:AF60,增益!$A:$A,增益!$Q:$Q,0)))+$B$11+SUM(_xlfn.XLOOKUP(R60:AF60,增益!$A:$A,增益!$U:$U,0)))*IF(VLOOKUP($Q60,武学奇术!$A:$ZZ,24,FALSE)=1,0,1)</f>
        <v>0.8625</v>
      </c>
      <c r="BK60" s="26" cm="1">
        <f t="array" ref="BK60">1+$B$13+VLOOKUP($Q60,武学奇术!$A:$ZZ,18,FALSE)+SUM(_xlfn.XLOOKUP(R60:AF60,增益!$A:$A,增益!$R:$R,0))</f>
        <v>1.5</v>
      </c>
      <c r="BL60" s="26" cm="1">
        <f t="array" ref="BL60">IF(VLOOKUP($Q60,武学奇术!$A:$ZZ,24,FALSE)=1,100%,MIN(40%,$B$10+VLOOKUP($Q60,武学奇术!$A:$ZZ,19,FALSE)+SUM(_xlfn.XLOOKUP(R60:AF60,增益!$A:$A,增益!$S:$S,0)))+$B$12+SUM(_xlfn.XLOOKUP(R60:AF60,增益!$A:$A,增益!$V:$V,0)))*IF(VLOOKUP($Q60,武学奇术!$A:$ZZ,23,FALSE)=1,0,1)</f>
        <v>0.0913</v>
      </c>
      <c r="BM60" s="26" cm="1">
        <f t="array" ref="BM60">1+$B$14+VLOOKUP($Q60,武学奇术!$A:$ZZ,20,FALSE)+SUM(_xlfn.XLOOKUP(R60:AF60,增益!$A:$A,增益!$T:$T,0))</f>
        <v>1.35</v>
      </c>
      <c r="BN60" s="26">
        <f t="shared" ref="BN60:BN101" si="22">MIN((1-BL60)*BI60,BI60*BJ60)</f>
        <v>0.8625</v>
      </c>
      <c r="BO60" s="26">
        <f t="shared" si="17"/>
        <v>0.0462</v>
      </c>
      <c r="BP60" s="26">
        <f>IF(VLOOKUP($Q60,武学奇术!$A:$ZZ,22,FALSE)=1,0,(1-$BI60))*(1-$BL60)</f>
        <v>0</v>
      </c>
      <c r="BQ60" s="26" cm="1">
        <f t="array" ref="BQ60">SUM(_xlfn.XLOOKUP(R60:AF60,增益!$A:$A,增益!$W:$W,0))+$I$5</f>
        <v>0.06</v>
      </c>
    </row>
    <row r="61" spans="4:69">
      <c r="K61" s="38">
        <f t="shared" ref="K61:K73" si="23">($L61*$BN61+$M61*$BL61+$N61*$BO61+$O61*$BP61)</f>
        <v>0</v>
      </c>
      <c r="L61" s="38">
        <f>((($AN61+$AO61)/2*$AH61+$AI61)*(1+$AP61)*(1+$AQ61)+(($AS61+$AT61)/2*IF($G$1="鸣金",$AJ61,$AH61)+IF($G$1="鸣金",$AK61*1.5,0))*(1+$AU61)*(1+$AV61)+(($AW61+$AX61)/2*IF($G$1="裂石",$AJ61,$AH61)+IF($G$1="裂石",$AK61*1.5,0))*(1+$AY61)*(1+$AZ61)+(($BA61+$BB61)/2*IF($G$1="牵丝",$AJ61,$AH61)+IF($G$1="牵丝",$AK61*1.5,0))*(1+$BC61)*(1+$BD61)+(($BE61+$BF61)/2*IF($G$1="破竹",$AJ61,$AH61)+IF($G$1="破竹",$AK61*1.5,0))*(1+$BG61)*(1+$BH61))*(1+$AL61)*$BK61*$P61*(1+IF(VLOOKUP($Q61,武学奇术!$A:$ZZ,30,FALSE)="蓄力技",#REF!,0))*(1+$BQ61)</f>
        <v>0</v>
      </c>
      <c r="M61" s="38">
        <f>(($AO61*$AH61+$AI61)*(1+$AP61)*(1+$AQ61)+($AT61*IF($G$1="鸣金",$AJ61,$AH61)+IF($G$1="鸣金",$AK61*1.5,0))*(1+$AU61)*(1+$AV61)+($AX61*IF($G$1="裂石",$AJ61,$AH61)+IF($G$1="裂石",$AK61*1.5,0))*(1+$AY61)*(1+$AZ61)+($BB61*IF($G$1="牵丝",$AJ61,$AH61)+IF($G$1="牵丝",$AK61*1.5,0))*(1+$BC61)*(1+$BD61)+($BF61*IF($G$1="破竹",$AJ61,$AH61)+IF($G$1="破竹",$AK61*1.5,0))*(1+$BG61)*(1+$BH61))*(1+$AL61)*$BM61*$P61*(1+IF(VLOOKUP($Q61,武学奇术!$A:$ZZ,30,FALSE)="蓄力技",#REF!,0))*(1+$BQ61)</f>
        <v>0</v>
      </c>
      <c r="N61" s="38">
        <f>((($AN61+$AO61)/2*$AH61+$AI61)*(1+$AP61)*(1+$AQ61)+(($AS61+$AT61)/2*IF($G$1="鸣金",$AJ61,$AH61)+IF($G$1="鸣金",$AK61*1.5,0))*(1+$AU61)*(1+$AV61)+(($AW61+$AX61)/2*IF($G$1="裂石",$AJ61,$AH61)+IF($G$1="裂石",$AK61*1.5,0))*(1+$AY61)*(1+$AZ61)+(($BA61+$BB61)/2*IF($G$1="牵丝",$AJ61,$AH61)+IF($G$1="牵丝",$AK61*1.5,0))*(1+$BC61)*(1+$BD61)+(($BE61+$BF61)/2*IF($G$1="破竹",$AJ61,$AH61)+IF($G$1="破竹",$AK61*1.5,0))*(1+$BG61)*(1+$BH61))*(1+$AL61)*$P61*(1+IF(VLOOKUP($Q61,武学奇术!$A:$ZZ,30,FALSE)="蓄力技",#REF!,0))*(1+$BQ61)</f>
        <v>0</v>
      </c>
      <c r="O61" s="38">
        <f>((($AN61*$AH61+$AI61)*(1+$AP61)*(1+$AQ61)+($AS61*IF($G$1="鸣金",$AJ61,$AH61)+IF($G$1="鸣金",$AK61*1.5,0))*(1+$AU61)*(1+$AV61)+($AW61*IF($G$1="裂石",$AJ61,$AH61)+IF($G$1="裂石",$AK61*1.5,0))*(1+$AY61)*(1+$AZ61)+($BA61*IF($G$1="牵丝",$AJ61,$AH61)+IF($G$1="牵丝",$AK61*1.5,0))*(1+$BC61)*(1+$BD61)+($BE61*IF($G$1="破竹",$AJ61,$AH61)+IF($G$1="破竹",$AK61*1.5,0))*(1+$BG61)*(1+$BH61))*(1+$AL61))*$P61*(1+IF(VLOOKUP($Q61,武学奇术!$A:$ZZ,30,FALSE)="蓄力技",#REF!,0))*(1+$BQ61)</f>
        <v>0</v>
      </c>
      <c r="P61" s="39">
        <v>1</v>
      </c>
      <c r="Q61" s="40" t="s">
        <v>76</v>
      </c>
      <c r="R61" s="40" t="s">
        <v>76</v>
      </c>
      <c r="S61" s="40" t="s">
        <v>76</v>
      </c>
      <c r="T61" s="40" t="s">
        <v>76</v>
      </c>
      <c r="U61" s="40" t="s">
        <v>76</v>
      </c>
      <c r="V61" s="40" t="s">
        <v>76</v>
      </c>
      <c r="W61" s="40" t="s">
        <v>76</v>
      </c>
      <c r="X61" s="40" t="s">
        <v>76</v>
      </c>
      <c r="Y61" s="40" t="s">
        <v>76</v>
      </c>
      <c r="Z61" s="40" t="s">
        <v>76</v>
      </c>
      <c r="AA61" s="40" t="s">
        <v>76</v>
      </c>
      <c r="AB61" s="40" t="s">
        <v>76</v>
      </c>
      <c r="AC61" s="40" t="s">
        <v>76</v>
      </c>
      <c r="AD61" s="40" t="s">
        <v>76</v>
      </c>
      <c r="AE61" s="40" t="s">
        <v>76</v>
      </c>
      <c r="AF61" s="40" t="s">
        <v>76</v>
      </c>
      <c r="AG61" t="str">
        <f>VLOOKUP($Q61,武学奇术!$A:$ZZ,25,FALSE)</f>
        <v>心法</v>
      </c>
      <c r="AH61" s="26">
        <f>VLOOKUP($Q61,武学奇术!$A:$ZZ,26,FALSE)</f>
        <v>0</v>
      </c>
      <c r="AI61" s="27">
        <f>VLOOKUP($Q61,武学奇术!$A:$ZZ,27,FALSE)*(1+IF(OR($AG61=$F$4,$AG61=$F$5),$B$21,0))</f>
        <v>0</v>
      </c>
      <c r="AJ61" s="26">
        <f>VLOOKUP($Q61,武学奇术!$A:$ZZ,28,FALSE)</f>
        <v>0</v>
      </c>
      <c r="AK61" s="27">
        <f>VLOOKUP($Q61,武学奇术!$A:$ZZ,29,FALSE)*(1+IF(OR($AG61=$F$4,$AG61=$F$5),$B$21,0))</f>
        <v>0</v>
      </c>
      <c r="AL61" s="26" cm="1">
        <f t="array" ref="AL61">$G$3+IFERROR(VLOOKUP($AG61,$F$4:$G$7,2,FALSE),0)+VLOOKUP($Q61,武学奇术!$A:$ZZ,2,FALSE)+SUM(_xlfn.XLOOKUP($R61:$AF61,增益!$A:$A,增益!$B:$B,0))</f>
        <v>0.2642</v>
      </c>
      <c r="AM61" s="26" cm="1">
        <f t="array" ref="AM61">VLOOKUP($Q61,武学奇术!$A:$ZZ,5,FALSE)+SUM(_xlfn.XLOOKUP($R61:$AF61,增益!$A:$A,增益!$E:$E,0))</f>
        <v>0</v>
      </c>
      <c r="AN61" cm="1">
        <f t="array" ref="AN61">$D$10*(1+$AM61)+VLOOKUP($Q61,武学奇术!$A:$ZZ,3,FALSE)+SUM(_xlfn.XLOOKUP($R61:$AF61,增益!$A:$A,增益!$C:$C,0))-$I$2</f>
        <v>3977.2</v>
      </c>
      <c r="AO61" cm="1">
        <f t="array" ref="AO61">$E$10*(1+$AM61)+VLOOKUP($Q61,武学奇术!$A:$ZZ,4,FALSE)+SUM(_xlfn.XLOOKUP($R61:$AF61,增益!$A:$A,增益!$D:$D,0))-$I$2</f>
        <v>3977.2</v>
      </c>
      <c r="AP61" s="32" cm="1">
        <f t="array" ref="AP61">IF($F$10-$I$3+VLOOKUP($Q61,武学奇术!$A:$ZZ,6,FALSE)+SUM(_xlfn.XLOOKUP(R61:AF61,增益!$A:$A,增益!$F:$F,0))&gt;0,($F$10-$I$3+VLOOKUP($Q61,武学奇术!$A:$ZZ,6,FALSE)+SUM(_xlfn.XLOOKUP(R61:AF61,增益!$A:$A,增益!$F:$F,0)))/200,($F$10-$I$3+VLOOKUP($Q61,武学奇术!$A:$ZZ,6,FALSE)+SUM(_xlfn.XLOOKUP(R61:AF61,增益!$A:$A,增益!$F:$F,0)))/100)</f>
        <v>0.294</v>
      </c>
      <c r="AQ61" s="32" cm="1">
        <f t="array" ref="AQ61">$G$10+VLOOKUP($Q61,武学奇术!$A:$ZZ,7,FALSE)+SUM(_xlfn.XLOOKUP(R61:AF61,增益!$A:$A,增益!$G:$G,0))</f>
        <v>0</v>
      </c>
      <c r="AR61" s="26" cm="1">
        <f t="array" ref="AR61">VLOOKUP($Q61,武学奇术!$A:$ZZ,8,FALSE)+SUM(_xlfn.XLOOKUP(R61:AF61,增益!$A:$A,增益!$H:$H,0))</f>
        <v>0</v>
      </c>
      <c r="AS61">
        <f t="shared" ref="AS61:AS73" si="24">$D$11*(1+$AR61)</f>
        <v>0</v>
      </c>
      <c r="AT61">
        <f t="shared" ref="AT61:AT73" si="25">$E$11*(1+$AR61)</f>
        <v>0</v>
      </c>
      <c r="AU61" s="32" cm="1">
        <f t="array" ref="AU61">IF($F$11-$I$4+VLOOKUP($Q61,武学奇术!$A:$ZZ,9,FALSE)+SUM(_xlfn.XLOOKUP(R61:AF61,增益!$A:$A,增益!$I:$I,0))&gt;0,($F$11-$I$4+VLOOKUP($Q61,武学奇术!$A:$ZZ,9,FALSE)+SUM(_xlfn.XLOOKUP(R61:AF61,增益!$A:$A,增益!$I:$I,0)))/200,($F$11-$I$4+VLOOKUP($Q61,武学奇术!$A:$ZZ,9,FALSE)+SUM(_xlfn.XLOOKUP(R61:AF61,增益!$A:$A,增益!$I:$I,0)))/100)</f>
        <v>-0.3</v>
      </c>
      <c r="AV61" s="32" cm="1">
        <f t="array" ref="AV61">$G$11+VLOOKUP($Q61,武学奇术!$A:$ZZ,10,FALSE)+SUM(_xlfn.XLOOKUP(R61:AF61,增益!$A:$A,增益!$J:$J,0))</f>
        <v>0</v>
      </c>
      <c r="AW61">
        <f t="shared" ref="AW61:AW73" si="26">$D$12*(1+$AR61)</f>
        <v>0</v>
      </c>
      <c r="AX61">
        <f t="shared" ref="AX61:AX73" si="27">$E$12*(1+$AR61)</f>
        <v>0</v>
      </c>
      <c r="AY61" s="32" cm="1">
        <f t="array" ref="AY61">IF($F$12-$I$4+VLOOKUP($Q61,武学奇术!$A:$ZZ,11,FALSE)+SUM(_xlfn.XLOOKUP(R61:AF61,增益!$A:$A,增益!$K:$K,0))&gt;0,($F$12-$I$4+VLOOKUP($Q61,武学奇术!$A:$ZZ,11,FALSE)+SUM(_xlfn.XLOOKUP(R61:AF61,增益!$A:$A,增益!$K:$K,0)))/200,($F$12-$I$4+VLOOKUP($Q61,武学奇术!$A:$ZZ,11,FALSE)+SUM(_xlfn.XLOOKUP(R61:AF61,增益!$A:$A,增益!$K:$K,0)))/100)</f>
        <v>-0.3</v>
      </c>
      <c r="AZ61" s="32" cm="1">
        <f t="array" ref="AZ61">$G$12+VLOOKUP($Q61,武学奇术!$A:$ZZ,12,FALSE)+SUM(_xlfn.XLOOKUP(R61:AF61,增益!$A:$A,增益!$L:$L,0))</f>
        <v>0</v>
      </c>
      <c r="BA61">
        <f t="shared" ref="BA61:BA73" si="28">$D$13*(1+$AR61)</f>
        <v>697.4</v>
      </c>
      <c r="BB61">
        <f t="shared" ref="BB61:BB73" si="29">$E$13*(1+$AR61)</f>
        <v>1805</v>
      </c>
      <c r="BC61" s="32" cm="1">
        <f t="array" ref="BC61">IF($F$13-$I$4+VLOOKUP($Q61,武学奇术!$A:$ZZ,13,FALSE)+SUM(_xlfn.XLOOKUP(R61:AF61,增益!$A:$A,增益!$M:$M,0))&gt;0,($F$13-$I$4+VLOOKUP($Q61,武学奇术!$A:$ZZ,13,FALSE)+SUM(_xlfn.XLOOKUP(R61:AF61,增益!$A:$A,增益!$K:$K,0)))/200,($F$13-$I$4+VLOOKUP($Q61,武学奇术!$A:$ZZ,13,FALSE)+SUM(_xlfn.XLOOKUP(R61:AF61,增益!$A:$A,增益!$M:$M,0)))/100)</f>
        <v>0</v>
      </c>
      <c r="BD61" s="32" cm="1">
        <f t="array" ref="BD61">$G$13+VLOOKUP($Q61,武学奇术!$A:$ZZ,14,FALSE)+SUM(_xlfn.XLOOKUP(R61:AF61,增益!$A:$A,增益!$N:$N,0))</f>
        <v>0.15</v>
      </c>
      <c r="BE61">
        <f t="shared" ref="BE61:BE73" si="30">$D$14*(1+$AR61)</f>
        <v>0</v>
      </c>
      <c r="BF61">
        <f t="shared" ref="BF61:BF73" si="31">$E$14*(1+$AR61)</f>
        <v>0</v>
      </c>
      <c r="BG61" s="32" cm="1">
        <f t="array" ref="BG61">IF($F$14-$I$4+VLOOKUP($Q61,武学奇术!$A:$ZZ,15,FALSE)+SUM(_xlfn.XLOOKUP(R61:AF61,增益!$A:$A,增益!$O:$O,0))&gt;0,($F$14-$I$4+VLOOKUP($Q61,武学奇术!$A:$ZZ,15,FALSE)+SUM(_xlfn.XLOOKUP(R61:AF61,增益!$A:$A,增益!$O:$O,0)))/200,($F$14-$I$4+VLOOKUP($Q61,武学奇术!$A:$ZZ,15,FALSE)+SUM(_xlfn.XLOOKUP(R61:AF61,增益!$A:$A,增益!$O:$O,0)))/100)</f>
        <v>-0.3</v>
      </c>
      <c r="BH61" s="32" cm="1">
        <f t="array" ref="BH61">$G$14+VLOOKUP($Q61,武学奇术!$A:$ZZ,16,FALSE)+SUM(_xlfn.XLOOKUP(R61:AF61,增益!$A:$A,增益!$P:$P,0))</f>
        <v>0</v>
      </c>
      <c r="BI61" s="26">
        <f>MIN(IF(VLOOKUP($Q61,武学奇术!$A:$ZZ,23,FALSE)=1,100%,$B$8),100%)</f>
        <v>1</v>
      </c>
      <c r="BJ61" s="26" cm="1">
        <f t="array" ref="BJ61">IF(VLOOKUP($Q61,武学奇术!$A:$ZZ,23,FALSE)=1,100%,MIN(80%,$B$9+VLOOKUP($Q61,武学奇术!$A:$ZZ,17,FALSE)+SUM(_xlfn.XLOOKUP(R61:AF61,增益!$A:$A,增益!$Q:$Q,0)))+$B$11+SUM(_xlfn.XLOOKUP(R61:AF61,增益!$A:$A,增益!$U:$U,0)))*IF(VLOOKUP($Q61,武学奇术!$A:$ZZ,24,FALSE)=1,0,1)</f>
        <v>0.8625</v>
      </c>
      <c r="BK61" s="26" cm="1">
        <f t="array" ref="BK61">1+$B$13+VLOOKUP($Q61,武学奇术!$A:$ZZ,18,FALSE)+SUM(_xlfn.XLOOKUP(R61:AF61,增益!$A:$A,增益!$R:$R,0))</f>
        <v>1.5</v>
      </c>
      <c r="BL61" s="26" cm="1">
        <f t="array" ref="BL61">IF(VLOOKUP($Q61,武学奇术!$A:$ZZ,24,FALSE)=1,100%,MIN(40%,$B$10+VLOOKUP($Q61,武学奇术!$A:$ZZ,19,FALSE)+SUM(_xlfn.XLOOKUP(R61:AF61,增益!$A:$A,增益!$S:$S,0)))+$B$12+SUM(_xlfn.XLOOKUP(R61:AF61,增益!$A:$A,增益!$V:$V,0)))*IF(VLOOKUP($Q61,武学奇术!$A:$ZZ,23,FALSE)=1,0,1)</f>
        <v>0.0913</v>
      </c>
      <c r="BM61" s="26" cm="1">
        <f t="array" ref="BM61">1+$B$14+VLOOKUP($Q61,武学奇术!$A:$ZZ,20,FALSE)+SUM(_xlfn.XLOOKUP(R61:AF61,增益!$A:$A,增益!$T:$T,0))</f>
        <v>1.35</v>
      </c>
      <c r="BN61" s="26">
        <f t="shared" si="22"/>
        <v>0.8625</v>
      </c>
      <c r="BO61" s="26">
        <f t="shared" si="17"/>
        <v>0.0462</v>
      </c>
      <c r="BP61" s="26">
        <f>IF(VLOOKUP($Q61,武学奇术!$A:$ZZ,22,FALSE)=1,0,(1-$BI61))*(1-$BL61)</f>
        <v>0</v>
      </c>
      <c r="BQ61" s="26" cm="1">
        <f t="array" ref="BQ61">SUM(_xlfn.XLOOKUP(R61:AF61,增益!$A:$A,增益!$W:$W,0))+$I$5</f>
        <v>0.06</v>
      </c>
    </row>
    <row r="62" spans="4:69">
      <c r="K62" s="38">
        <f t="shared" si="23"/>
        <v>0</v>
      </c>
      <c r="L62" s="38">
        <f>((($AN62+$AO62)/2*$AH62+$AI62)*(1+$AP62)*(1+$AQ62)+(($AS62+$AT62)/2*IF($G$1="鸣金",$AJ62,$AH62)+IF($G$1="鸣金",$AK62*1.5,0))*(1+$AU62)*(1+$AV62)+(($AW62+$AX62)/2*IF($G$1="裂石",$AJ62,$AH62)+IF($G$1="裂石",$AK62*1.5,0))*(1+$AY62)*(1+$AZ62)+(($BA62+$BB62)/2*IF($G$1="牵丝",$AJ62,$AH62)+IF($G$1="牵丝",$AK62*1.5,0))*(1+$BC62)*(1+$BD62)+(($BE62+$BF62)/2*IF($G$1="破竹",$AJ62,$AH62)+IF($G$1="破竹",$AK62*1.5,0))*(1+$BG62)*(1+$BH62))*(1+$AL62)*$BK62*$P62*(1+IF(VLOOKUP($Q62,武学奇术!$A:$ZZ,30,FALSE)="蓄力技",#REF!,0))*(1+$BQ62)</f>
        <v>0</v>
      </c>
      <c r="M62" s="38">
        <f>(($AO62*$AH62+$AI62)*(1+$AP62)*(1+$AQ62)+($AT62*IF($G$1="鸣金",$AJ62,$AH62)+IF($G$1="鸣金",$AK62*1.5,0))*(1+$AU62)*(1+$AV62)+($AX62*IF($G$1="裂石",$AJ62,$AH62)+IF($G$1="裂石",$AK62*1.5,0))*(1+$AY62)*(1+$AZ62)+($BB62*IF($G$1="牵丝",$AJ62,$AH62)+IF($G$1="牵丝",$AK62*1.5,0))*(1+$BC62)*(1+$BD62)+($BF62*IF($G$1="破竹",$AJ62,$AH62)+IF($G$1="破竹",$AK62*1.5,0))*(1+$BG62)*(1+$BH62))*(1+$AL62)*$BM62*$P62*(1+IF(VLOOKUP($Q62,武学奇术!$A:$ZZ,30,FALSE)="蓄力技",#REF!,0))*(1+$BQ62)</f>
        <v>0</v>
      </c>
      <c r="N62" s="38">
        <f>((($AN62+$AO62)/2*$AH62+$AI62)*(1+$AP62)*(1+$AQ62)+(($AS62+$AT62)/2*IF($G$1="鸣金",$AJ62,$AH62)+IF($G$1="鸣金",$AK62*1.5,0))*(1+$AU62)*(1+$AV62)+(($AW62+$AX62)/2*IF($G$1="裂石",$AJ62,$AH62)+IF($G$1="裂石",$AK62*1.5,0))*(1+$AY62)*(1+$AZ62)+(($BA62+$BB62)/2*IF($G$1="牵丝",$AJ62,$AH62)+IF($G$1="牵丝",$AK62*1.5,0))*(1+$BC62)*(1+$BD62)+(($BE62+$BF62)/2*IF($G$1="破竹",$AJ62,$AH62)+IF($G$1="破竹",$AK62*1.5,0))*(1+$BG62)*(1+$BH62))*(1+$AL62)*$P62*(1+IF(VLOOKUP($Q62,武学奇术!$A:$ZZ,30,FALSE)="蓄力技",#REF!,0))*(1+$BQ62)</f>
        <v>0</v>
      </c>
      <c r="O62" s="38">
        <f>((($AN62*$AH62+$AI62)*(1+$AP62)*(1+$AQ62)+($AS62*IF($G$1="鸣金",$AJ62,$AH62)+IF($G$1="鸣金",$AK62*1.5,0))*(1+$AU62)*(1+$AV62)+($AW62*IF($G$1="裂石",$AJ62,$AH62)+IF($G$1="裂石",$AK62*1.5,0))*(1+$AY62)*(1+$AZ62)+($BA62*IF($G$1="牵丝",$AJ62,$AH62)+IF($G$1="牵丝",$AK62*1.5,0))*(1+$BC62)*(1+$BD62)+($BE62*IF($G$1="破竹",$AJ62,$AH62)+IF($G$1="破竹",$AK62*1.5,0))*(1+$BG62)*(1+$BH62))*(1+$AL62))*$P62*(1+IF(VLOOKUP($Q62,武学奇术!$A:$ZZ,30,FALSE)="蓄力技",#REF!,0))*(1+$BQ62)</f>
        <v>0</v>
      </c>
      <c r="P62" s="39">
        <v>1</v>
      </c>
      <c r="Q62" s="40" t="s">
        <v>76</v>
      </c>
      <c r="R62" s="40" t="s">
        <v>76</v>
      </c>
      <c r="S62" s="40" t="s">
        <v>76</v>
      </c>
      <c r="T62" s="40" t="s">
        <v>76</v>
      </c>
      <c r="U62" s="40" t="s">
        <v>76</v>
      </c>
      <c r="V62" s="40" t="s">
        <v>76</v>
      </c>
      <c r="W62" s="40" t="s">
        <v>76</v>
      </c>
      <c r="X62" s="40" t="s">
        <v>76</v>
      </c>
      <c r="Y62" s="40" t="s">
        <v>76</v>
      </c>
      <c r="Z62" s="40" t="s">
        <v>76</v>
      </c>
      <c r="AA62" s="40" t="s">
        <v>76</v>
      </c>
      <c r="AB62" s="40" t="s">
        <v>76</v>
      </c>
      <c r="AC62" s="40" t="s">
        <v>76</v>
      </c>
      <c r="AD62" s="40" t="s">
        <v>76</v>
      </c>
      <c r="AE62" s="40" t="s">
        <v>76</v>
      </c>
      <c r="AF62" s="40" t="s">
        <v>76</v>
      </c>
      <c r="AG62" t="str">
        <f>VLOOKUP($Q62,武学奇术!$A:$ZZ,25,FALSE)</f>
        <v>心法</v>
      </c>
      <c r="AH62" s="26">
        <f>VLOOKUP($Q62,武学奇术!$A:$ZZ,26,FALSE)</f>
        <v>0</v>
      </c>
      <c r="AI62" s="27">
        <f>VLOOKUP($Q62,武学奇术!$A:$ZZ,27,FALSE)*(1+IF(OR($AG62=$F$4,$AG62=$F$5),$B$21,0))</f>
        <v>0</v>
      </c>
      <c r="AJ62" s="26">
        <f>VLOOKUP($Q62,武学奇术!$A:$ZZ,28,FALSE)</f>
        <v>0</v>
      </c>
      <c r="AK62" s="27">
        <f>VLOOKUP($Q62,武学奇术!$A:$ZZ,29,FALSE)*(1+IF(OR($AG62=$F$4,$AG62=$F$5),$B$21,0))</f>
        <v>0</v>
      </c>
      <c r="AL62" s="26" cm="1">
        <f t="array" ref="AL62">$G$3+IFERROR(VLOOKUP($AG62,$F$4:$G$7,2,FALSE),0)+VLOOKUP($Q62,武学奇术!$A:$ZZ,2,FALSE)+SUM(_xlfn.XLOOKUP($R62:$AF62,增益!$A:$A,增益!$B:$B,0))</f>
        <v>0.2642</v>
      </c>
      <c r="AM62" s="26" cm="1">
        <f t="array" ref="AM62">VLOOKUP($Q62,武学奇术!$A:$ZZ,5,FALSE)+SUM(_xlfn.XLOOKUP($R62:$AF62,增益!$A:$A,增益!$E:$E,0))</f>
        <v>0</v>
      </c>
      <c r="AN62" cm="1">
        <f t="array" ref="AN62">$D$10*(1+$AM62)+VLOOKUP($Q62,武学奇术!$A:$ZZ,3,FALSE)+SUM(_xlfn.XLOOKUP($R62:$AF62,增益!$A:$A,增益!$C:$C,0))-$I$2</f>
        <v>3977.2</v>
      </c>
      <c r="AO62" cm="1">
        <f t="array" ref="AO62">$E$10*(1+$AM62)+VLOOKUP($Q62,武学奇术!$A:$ZZ,4,FALSE)+SUM(_xlfn.XLOOKUP($R62:$AF62,增益!$A:$A,增益!$D:$D,0))-$I$2</f>
        <v>3977.2</v>
      </c>
      <c r="AP62" s="32" cm="1">
        <f t="array" ref="AP62">IF($F$10-$I$3+VLOOKUP($Q62,武学奇术!$A:$ZZ,6,FALSE)+SUM(_xlfn.XLOOKUP(R62:AF62,增益!$A:$A,增益!$F:$F,0))&gt;0,($F$10-$I$3+VLOOKUP($Q62,武学奇术!$A:$ZZ,6,FALSE)+SUM(_xlfn.XLOOKUP(R62:AF62,增益!$A:$A,增益!$F:$F,0)))/200,($F$10-$I$3+VLOOKUP($Q62,武学奇术!$A:$ZZ,6,FALSE)+SUM(_xlfn.XLOOKUP(R62:AF62,增益!$A:$A,增益!$F:$F,0)))/100)</f>
        <v>0.294</v>
      </c>
      <c r="AQ62" s="32" cm="1">
        <f t="array" ref="AQ62">$G$10+VLOOKUP($Q62,武学奇术!$A:$ZZ,7,FALSE)+SUM(_xlfn.XLOOKUP(R62:AF62,增益!$A:$A,增益!$G:$G,0))</f>
        <v>0</v>
      </c>
      <c r="AR62" s="26" cm="1">
        <f t="array" ref="AR62">VLOOKUP($Q62,武学奇术!$A:$ZZ,8,FALSE)+SUM(_xlfn.XLOOKUP(R62:AF62,增益!$A:$A,增益!$H:$H,0))</f>
        <v>0</v>
      </c>
      <c r="AS62">
        <f t="shared" si="24"/>
        <v>0</v>
      </c>
      <c r="AT62">
        <f t="shared" si="25"/>
        <v>0</v>
      </c>
      <c r="AU62" s="32" cm="1">
        <f t="array" ref="AU62">IF($F$11-$I$4+VLOOKUP($Q62,武学奇术!$A:$ZZ,9,FALSE)+SUM(_xlfn.XLOOKUP(R62:AF62,增益!$A:$A,增益!$I:$I,0))&gt;0,($F$11-$I$4+VLOOKUP($Q62,武学奇术!$A:$ZZ,9,FALSE)+SUM(_xlfn.XLOOKUP(R62:AF62,增益!$A:$A,增益!$I:$I,0)))/200,($F$11-$I$4+VLOOKUP($Q62,武学奇术!$A:$ZZ,9,FALSE)+SUM(_xlfn.XLOOKUP(R62:AF62,增益!$A:$A,增益!$I:$I,0)))/100)</f>
        <v>-0.3</v>
      </c>
      <c r="AV62" s="32" cm="1">
        <f t="array" ref="AV62">$G$11+VLOOKUP($Q62,武学奇术!$A:$ZZ,10,FALSE)+SUM(_xlfn.XLOOKUP(R62:AF62,增益!$A:$A,增益!$J:$J,0))</f>
        <v>0</v>
      </c>
      <c r="AW62">
        <f t="shared" si="26"/>
        <v>0</v>
      </c>
      <c r="AX62">
        <f t="shared" si="27"/>
        <v>0</v>
      </c>
      <c r="AY62" s="32" cm="1">
        <f t="array" ref="AY62">IF($F$12-$I$4+VLOOKUP($Q62,武学奇术!$A:$ZZ,11,FALSE)+SUM(_xlfn.XLOOKUP(R62:AF62,增益!$A:$A,增益!$K:$K,0))&gt;0,($F$12-$I$4+VLOOKUP($Q62,武学奇术!$A:$ZZ,11,FALSE)+SUM(_xlfn.XLOOKUP(R62:AF62,增益!$A:$A,增益!$K:$K,0)))/200,($F$12-$I$4+VLOOKUP($Q62,武学奇术!$A:$ZZ,11,FALSE)+SUM(_xlfn.XLOOKUP(R62:AF62,增益!$A:$A,增益!$K:$K,0)))/100)</f>
        <v>-0.3</v>
      </c>
      <c r="AZ62" s="32" cm="1">
        <f t="array" ref="AZ62">$G$12+VLOOKUP($Q62,武学奇术!$A:$ZZ,12,FALSE)+SUM(_xlfn.XLOOKUP(R62:AF62,增益!$A:$A,增益!$L:$L,0))</f>
        <v>0</v>
      </c>
      <c r="BA62">
        <f t="shared" si="28"/>
        <v>697.4</v>
      </c>
      <c r="BB62">
        <f t="shared" si="29"/>
        <v>1805</v>
      </c>
      <c r="BC62" s="32" cm="1">
        <f t="array" ref="BC62">IF($F$13-$I$4+VLOOKUP($Q62,武学奇术!$A:$ZZ,13,FALSE)+SUM(_xlfn.XLOOKUP(R62:AF62,增益!$A:$A,增益!$M:$M,0))&gt;0,($F$13-$I$4+VLOOKUP($Q62,武学奇术!$A:$ZZ,13,FALSE)+SUM(_xlfn.XLOOKUP(R62:AF62,增益!$A:$A,增益!$K:$K,0)))/200,($F$13-$I$4+VLOOKUP($Q62,武学奇术!$A:$ZZ,13,FALSE)+SUM(_xlfn.XLOOKUP(R62:AF62,增益!$A:$A,增益!$M:$M,0)))/100)</f>
        <v>0</v>
      </c>
      <c r="BD62" s="32" cm="1">
        <f t="array" ref="BD62">$G$13+VLOOKUP($Q62,武学奇术!$A:$ZZ,14,FALSE)+SUM(_xlfn.XLOOKUP(R62:AF62,增益!$A:$A,增益!$N:$N,0))</f>
        <v>0.15</v>
      </c>
      <c r="BE62">
        <f t="shared" si="30"/>
        <v>0</v>
      </c>
      <c r="BF62">
        <f t="shared" si="31"/>
        <v>0</v>
      </c>
      <c r="BG62" s="32" cm="1">
        <f t="array" ref="BG62">IF($F$14-$I$4+VLOOKUP($Q62,武学奇术!$A:$ZZ,15,FALSE)+SUM(_xlfn.XLOOKUP(R62:AF62,增益!$A:$A,增益!$O:$O,0))&gt;0,($F$14-$I$4+VLOOKUP($Q62,武学奇术!$A:$ZZ,15,FALSE)+SUM(_xlfn.XLOOKUP(R62:AF62,增益!$A:$A,增益!$O:$O,0)))/200,($F$14-$I$4+VLOOKUP($Q62,武学奇术!$A:$ZZ,15,FALSE)+SUM(_xlfn.XLOOKUP(R62:AF62,增益!$A:$A,增益!$O:$O,0)))/100)</f>
        <v>-0.3</v>
      </c>
      <c r="BH62" s="32" cm="1">
        <f t="array" ref="BH62">$G$14+VLOOKUP($Q62,武学奇术!$A:$ZZ,16,FALSE)+SUM(_xlfn.XLOOKUP(R62:AF62,增益!$A:$A,增益!$P:$P,0))</f>
        <v>0</v>
      </c>
      <c r="BI62" s="26">
        <f>MIN(IF(VLOOKUP($Q62,武学奇术!$A:$ZZ,23,FALSE)=1,100%,$B$8),100%)</f>
        <v>1</v>
      </c>
      <c r="BJ62" s="26" cm="1">
        <f t="array" ref="BJ62">IF(VLOOKUP($Q62,武学奇术!$A:$ZZ,23,FALSE)=1,100%,MIN(80%,$B$9+VLOOKUP($Q62,武学奇术!$A:$ZZ,17,FALSE)+SUM(_xlfn.XLOOKUP(R62:AF62,增益!$A:$A,增益!$Q:$Q,0)))+$B$11+SUM(_xlfn.XLOOKUP(R62:AF62,增益!$A:$A,增益!$U:$U,0)))*IF(VLOOKUP($Q62,武学奇术!$A:$ZZ,24,FALSE)=1,0,1)</f>
        <v>0.8625</v>
      </c>
      <c r="BK62" s="26" cm="1">
        <f t="array" ref="BK62">1+$B$13+VLOOKUP($Q62,武学奇术!$A:$ZZ,18,FALSE)+SUM(_xlfn.XLOOKUP(R62:AF62,增益!$A:$A,增益!$R:$R,0))</f>
        <v>1.5</v>
      </c>
      <c r="BL62" s="26" cm="1">
        <f t="array" ref="BL62">IF(VLOOKUP($Q62,武学奇术!$A:$ZZ,24,FALSE)=1,100%,MIN(40%,$B$10+VLOOKUP($Q62,武学奇术!$A:$ZZ,19,FALSE)+SUM(_xlfn.XLOOKUP(R62:AF62,增益!$A:$A,增益!$S:$S,0)))+$B$12+SUM(_xlfn.XLOOKUP(R62:AF62,增益!$A:$A,增益!$V:$V,0)))*IF(VLOOKUP($Q62,武学奇术!$A:$ZZ,23,FALSE)=1,0,1)</f>
        <v>0.0913</v>
      </c>
      <c r="BM62" s="26" cm="1">
        <f t="array" ref="BM62">1+$B$14+VLOOKUP($Q62,武学奇术!$A:$ZZ,20,FALSE)+SUM(_xlfn.XLOOKUP(R62:AF62,增益!$A:$A,增益!$T:$T,0))</f>
        <v>1.35</v>
      </c>
      <c r="BN62" s="26">
        <f t="shared" si="22"/>
        <v>0.8625</v>
      </c>
      <c r="BO62" s="26">
        <f t="shared" si="17"/>
        <v>0.0462</v>
      </c>
      <c r="BP62" s="26">
        <f>IF(VLOOKUP($Q62,武学奇术!$A:$ZZ,22,FALSE)=1,0,(1-$BI62))*(1-$BL62)</f>
        <v>0</v>
      </c>
      <c r="BQ62" s="26" cm="1">
        <f t="array" ref="BQ62">SUM(_xlfn.XLOOKUP(R62:AF62,增益!$A:$A,增益!$W:$W,0))+$I$5</f>
        <v>0.06</v>
      </c>
    </row>
    <row r="63" spans="4:69">
      <c r="K63" s="38">
        <f t="shared" si="23"/>
        <v>0</v>
      </c>
      <c r="L63" s="38">
        <f>((($AN63+$AO63)/2*$AH63+$AI63)*(1+$AP63)*(1+$AQ63)+(($AS63+$AT63)/2*IF($G$1="鸣金",$AJ63,$AH63)+IF($G$1="鸣金",$AK63*1.5,0))*(1+$AU63)*(1+$AV63)+(($AW63+$AX63)/2*IF($G$1="裂石",$AJ63,$AH63)+IF($G$1="裂石",$AK63*1.5,0))*(1+$AY63)*(1+$AZ63)+(($BA63+$BB63)/2*IF($G$1="牵丝",$AJ63,$AH63)+IF($G$1="牵丝",$AK63*1.5,0))*(1+$BC63)*(1+$BD63)+(($BE63+$BF63)/2*IF($G$1="破竹",$AJ63,$AH63)+IF($G$1="破竹",$AK63*1.5,0))*(1+$BG63)*(1+$BH63))*(1+$AL63)*$BK63*$P63*(1+IF(VLOOKUP($Q63,武学奇术!$A:$ZZ,30,FALSE)="蓄力技",#REF!,0))*(1+$BQ63)</f>
        <v>0</v>
      </c>
      <c r="M63" s="38">
        <f>(($AO63*$AH63+$AI63)*(1+$AP63)*(1+$AQ63)+($AT63*IF($G$1="鸣金",$AJ63,$AH63)+IF($G$1="鸣金",$AK63*1.5,0))*(1+$AU63)*(1+$AV63)+($AX63*IF($G$1="裂石",$AJ63,$AH63)+IF($G$1="裂石",$AK63*1.5,0))*(1+$AY63)*(1+$AZ63)+($BB63*IF($G$1="牵丝",$AJ63,$AH63)+IF($G$1="牵丝",$AK63*1.5,0))*(1+$BC63)*(1+$BD63)+($BF63*IF($G$1="破竹",$AJ63,$AH63)+IF($G$1="破竹",$AK63*1.5,0))*(1+$BG63)*(1+$BH63))*(1+$AL63)*$BM63*$P63*(1+IF(VLOOKUP($Q63,武学奇术!$A:$ZZ,30,FALSE)="蓄力技",#REF!,0))*(1+$BQ63)</f>
        <v>0</v>
      </c>
      <c r="N63" s="38">
        <f>((($AN63+$AO63)/2*$AH63+$AI63)*(1+$AP63)*(1+$AQ63)+(($AS63+$AT63)/2*IF($G$1="鸣金",$AJ63,$AH63)+IF($G$1="鸣金",$AK63*1.5,0))*(1+$AU63)*(1+$AV63)+(($AW63+$AX63)/2*IF($G$1="裂石",$AJ63,$AH63)+IF($G$1="裂石",$AK63*1.5,0))*(1+$AY63)*(1+$AZ63)+(($BA63+$BB63)/2*IF($G$1="牵丝",$AJ63,$AH63)+IF($G$1="牵丝",$AK63*1.5,0))*(1+$BC63)*(1+$BD63)+(($BE63+$BF63)/2*IF($G$1="破竹",$AJ63,$AH63)+IF($G$1="破竹",$AK63*1.5,0))*(1+$BG63)*(1+$BH63))*(1+$AL63)*$P63*(1+IF(VLOOKUP($Q63,武学奇术!$A:$ZZ,30,FALSE)="蓄力技",#REF!,0))*(1+$BQ63)</f>
        <v>0</v>
      </c>
      <c r="O63" s="38">
        <f>((($AN63*$AH63+$AI63)*(1+$AP63)*(1+$AQ63)+($AS63*IF($G$1="鸣金",$AJ63,$AH63)+IF($G$1="鸣金",$AK63*1.5,0))*(1+$AU63)*(1+$AV63)+($AW63*IF($G$1="裂石",$AJ63,$AH63)+IF($G$1="裂石",$AK63*1.5,0))*(1+$AY63)*(1+$AZ63)+($BA63*IF($G$1="牵丝",$AJ63,$AH63)+IF($G$1="牵丝",$AK63*1.5,0))*(1+$BC63)*(1+$BD63)+($BE63*IF($G$1="破竹",$AJ63,$AH63)+IF($G$1="破竹",$AK63*1.5,0))*(1+$BG63)*(1+$BH63))*(1+$AL63))*$P63*(1+IF(VLOOKUP($Q63,武学奇术!$A:$ZZ,30,FALSE)="蓄力技",#REF!,0))*(1+$BQ63)</f>
        <v>0</v>
      </c>
      <c r="P63" s="39">
        <v>1</v>
      </c>
      <c r="Q63" s="40" t="s">
        <v>76</v>
      </c>
      <c r="R63" s="40" t="s">
        <v>76</v>
      </c>
      <c r="S63" s="40" t="s">
        <v>76</v>
      </c>
      <c r="T63" s="40" t="s">
        <v>76</v>
      </c>
      <c r="U63" s="40" t="s">
        <v>76</v>
      </c>
      <c r="V63" s="40" t="s">
        <v>76</v>
      </c>
      <c r="W63" s="40" t="s">
        <v>76</v>
      </c>
      <c r="X63" s="40" t="s">
        <v>76</v>
      </c>
      <c r="Y63" s="40" t="s">
        <v>76</v>
      </c>
      <c r="Z63" s="40" t="s">
        <v>76</v>
      </c>
      <c r="AA63" s="40" t="s">
        <v>76</v>
      </c>
      <c r="AB63" s="40" t="s">
        <v>76</v>
      </c>
      <c r="AC63" s="40" t="s">
        <v>76</v>
      </c>
      <c r="AD63" s="40" t="s">
        <v>76</v>
      </c>
      <c r="AE63" s="40" t="s">
        <v>76</v>
      </c>
      <c r="AF63" s="40" t="s">
        <v>76</v>
      </c>
      <c r="AG63" t="str">
        <f>VLOOKUP($Q63,武学奇术!$A:$ZZ,25,FALSE)</f>
        <v>心法</v>
      </c>
      <c r="AH63" s="26">
        <f>VLOOKUP($Q63,武学奇术!$A:$ZZ,26,FALSE)</f>
        <v>0</v>
      </c>
      <c r="AI63" s="27">
        <f>VLOOKUP($Q63,武学奇术!$A:$ZZ,27,FALSE)*(1+IF(OR($AG63=$F$4,$AG63=$F$5),$B$21,0))</f>
        <v>0</v>
      </c>
      <c r="AJ63" s="26">
        <f>VLOOKUP($Q63,武学奇术!$A:$ZZ,28,FALSE)</f>
        <v>0</v>
      </c>
      <c r="AK63" s="27">
        <f>VLOOKUP($Q63,武学奇术!$A:$ZZ,29,FALSE)*(1+IF(OR($AG63=$F$4,$AG63=$F$5),$B$21,0))</f>
        <v>0</v>
      </c>
      <c r="AL63" s="26" cm="1">
        <f t="array" ref="AL63">$G$3+IFERROR(VLOOKUP($AG63,$F$4:$G$7,2,FALSE),0)+VLOOKUP($Q63,武学奇术!$A:$ZZ,2,FALSE)+SUM(_xlfn.XLOOKUP($R63:$AF63,增益!$A:$A,增益!$B:$B,0))</f>
        <v>0.2642</v>
      </c>
      <c r="AM63" s="26" cm="1">
        <f t="array" ref="AM63">VLOOKUP($Q63,武学奇术!$A:$ZZ,5,FALSE)+SUM(_xlfn.XLOOKUP($R63:$AF63,增益!$A:$A,增益!$E:$E,0))</f>
        <v>0</v>
      </c>
      <c r="AN63" cm="1">
        <f t="array" ref="AN63">$D$10*(1+$AM63)+VLOOKUP($Q63,武学奇术!$A:$ZZ,3,FALSE)+SUM(_xlfn.XLOOKUP($R63:$AF63,增益!$A:$A,增益!$C:$C,0))-$I$2</f>
        <v>3977.2</v>
      </c>
      <c r="AO63" cm="1">
        <f t="array" ref="AO63">$E$10*(1+$AM63)+VLOOKUP($Q63,武学奇术!$A:$ZZ,4,FALSE)+SUM(_xlfn.XLOOKUP($R63:$AF63,增益!$A:$A,增益!$D:$D,0))-$I$2</f>
        <v>3977.2</v>
      </c>
      <c r="AP63" s="32" cm="1">
        <f t="array" ref="AP63">IF($F$10-$I$3+VLOOKUP($Q63,武学奇术!$A:$ZZ,6,FALSE)+SUM(_xlfn.XLOOKUP(R63:AF63,增益!$A:$A,增益!$F:$F,0))&gt;0,($F$10-$I$3+VLOOKUP($Q63,武学奇术!$A:$ZZ,6,FALSE)+SUM(_xlfn.XLOOKUP(R63:AF63,增益!$A:$A,增益!$F:$F,0)))/200,($F$10-$I$3+VLOOKUP($Q63,武学奇术!$A:$ZZ,6,FALSE)+SUM(_xlfn.XLOOKUP(R63:AF63,增益!$A:$A,增益!$F:$F,0)))/100)</f>
        <v>0.294</v>
      </c>
      <c r="AQ63" s="32" cm="1">
        <f t="array" ref="AQ63">$G$10+VLOOKUP($Q63,武学奇术!$A:$ZZ,7,FALSE)+SUM(_xlfn.XLOOKUP(R63:AF63,增益!$A:$A,增益!$G:$G,0))</f>
        <v>0</v>
      </c>
      <c r="AR63" s="26" cm="1">
        <f t="array" ref="AR63">VLOOKUP($Q63,武学奇术!$A:$ZZ,8,FALSE)+SUM(_xlfn.XLOOKUP(R63:AF63,增益!$A:$A,增益!$H:$H,0))</f>
        <v>0</v>
      </c>
      <c r="AS63">
        <f t="shared" si="24"/>
        <v>0</v>
      </c>
      <c r="AT63">
        <f t="shared" si="25"/>
        <v>0</v>
      </c>
      <c r="AU63" s="32" cm="1">
        <f t="array" ref="AU63">IF($F$11-$I$4+VLOOKUP($Q63,武学奇术!$A:$ZZ,9,FALSE)+SUM(_xlfn.XLOOKUP(R63:AF63,增益!$A:$A,增益!$I:$I,0))&gt;0,($F$11-$I$4+VLOOKUP($Q63,武学奇术!$A:$ZZ,9,FALSE)+SUM(_xlfn.XLOOKUP(R63:AF63,增益!$A:$A,增益!$I:$I,0)))/200,($F$11-$I$4+VLOOKUP($Q63,武学奇术!$A:$ZZ,9,FALSE)+SUM(_xlfn.XLOOKUP(R63:AF63,增益!$A:$A,增益!$I:$I,0)))/100)</f>
        <v>-0.3</v>
      </c>
      <c r="AV63" s="32" cm="1">
        <f t="array" ref="AV63">$G$11+VLOOKUP($Q63,武学奇术!$A:$ZZ,10,FALSE)+SUM(_xlfn.XLOOKUP(R63:AF63,增益!$A:$A,增益!$J:$J,0))</f>
        <v>0</v>
      </c>
      <c r="AW63">
        <f t="shared" si="26"/>
        <v>0</v>
      </c>
      <c r="AX63">
        <f t="shared" si="27"/>
        <v>0</v>
      </c>
      <c r="AY63" s="32" cm="1">
        <f t="array" ref="AY63">IF($F$12-$I$4+VLOOKUP($Q63,武学奇术!$A:$ZZ,11,FALSE)+SUM(_xlfn.XLOOKUP(R63:AF63,增益!$A:$A,增益!$K:$K,0))&gt;0,($F$12-$I$4+VLOOKUP($Q63,武学奇术!$A:$ZZ,11,FALSE)+SUM(_xlfn.XLOOKUP(R63:AF63,增益!$A:$A,增益!$K:$K,0)))/200,($F$12-$I$4+VLOOKUP($Q63,武学奇术!$A:$ZZ,11,FALSE)+SUM(_xlfn.XLOOKUP(R63:AF63,增益!$A:$A,增益!$K:$K,0)))/100)</f>
        <v>-0.3</v>
      </c>
      <c r="AZ63" s="32" cm="1">
        <f t="array" ref="AZ63">$G$12+VLOOKUP($Q63,武学奇术!$A:$ZZ,12,FALSE)+SUM(_xlfn.XLOOKUP(R63:AF63,增益!$A:$A,增益!$L:$L,0))</f>
        <v>0</v>
      </c>
      <c r="BA63">
        <f t="shared" si="28"/>
        <v>697.4</v>
      </c>
      <c r="BB63">
        <f t="shared" si="29"/>
        <v>1805</v>
      </c>
      <c r="BC63" s="32" cm="1">
        <f t="array" ref="BC63">IF($F$13-$I$4+VLOOKUP($Q63,武学奇术!$A:$ZZ,13,FALSE)+SUM(_xlfn.XLOOKUP(R63:AF63,增益!$A:$A,增益!$M:$M,0))&gt;0,($F$13-$I$4+VLOOKUP($Q63,武学奇术!$A:$ZZ,13,FALSE)+SUM(_xlfn.XLOOKUP(R63:AF63,增益!$A:$A,增益!$K:$K,0)))/200,($F$13-$I$4+VLOOKUP($Q63,武学奇术!$A:$ZZ,13,FALSE)+SUM(_xlfn.XLOOKUP(R63:AF63,增益!$A:$A,增益!$M:$M,0)))/100)</f>
        <v>0</v>
      </c>
      <c r="BD63" s="32" cm="1">
        <f t="array" ref="BD63">$G$13+VLOOKUP($Q63,武学奇术!$A:$ZZ,14,FALSE)+SUM(_xlfn.XLOOKUP(R63:AF63,增益!$A:$A,增益!$N:$N,0))</f>
        <v>0.15</v>
      </c>
      <c r="BE63">
        <f t="shared" si="30"/>
        <v>0</v>
      </c>
      <c r="BF63">
        <f t="shared" si="31"/>
        <v>0</v>
      </c>
      <c r="BG63" s="32" cm="1">
        <f t="array" ref="BG63">IF($F$14-$I$4+VLOOKUP($Q63,武学奇术!$A:$ZZ,15,FALSE)+SUM(_xlfn.XLOOKUP(R63:AF63,增益!$A:$A,增益!$O:$O,0))&gt;0,($F$14-$I$4+VLOOKUP($Q63,武学奇术!$A:$ZZ,15,FALSE)+SUM(_xlfn.XLOOKUP(R63:AF63,增益!$A:$A,增益!$O:$O,0)))/200,($F$14-$I$4+VLOOKUP($Q63,武学奇术!$A:$ZZ,15,FALSE)+SUM(_xlfn.XLOOKUP(R63:AF63,增益!$A:$A,增益!$O:$O,0)))/100)</f>
        <v>-0.3</v>
      </c>
      <c r="BH63" s="32" cm="1">
        <f t="array" ref="BH63">$G$14+VLOOKUP($Q63,武学奇术!$A:$ZZ,16,FALSE)+SUM(_xlfn.XLOOKUP(R63:AF63,增益!$A:$A,增益!$P:$P,0))</f>
        <v>0</v>
      </c>
      <c r="BI63" s="26">
        <f>MIN(IF(VLOOKUP($Q63,武学奇术!$A:$ZZ,23,FALSE)=1,100%,$B$8),100%)</f>
        <v>1</v>
      </c>
      <c r="BJ63" s="26" cm="1">
        <f t="array" ref="BJ63">IF(VLOOKUP($Q63,武学奇术!$A:$ZZ,23,FALSE)=1,100%,MIN(80%,$B$9+VLOOKUP($Q63,武学奇术!$A:$ZZ,17,FALSE)+SUM(_xlfn.XLOOKUP(R63:AF63,增益!$A:$A,增益!$Q:$Q,0)))+$B$11+SUM(_xlfn.XLOOKUP(R63:AF63,增益!$A:$A,增益!$U:$U,0)))*IF(VLOOKUP($Q63,武学奇术!$A:$ZZ,24,FALSE)=1,0,1)</f>
        <v>0.8625</v>
      </c>
      <c r="BK63" s="26" cm="1">
        <f t="array" ref="BK63">1+$B$13+VLOOKUP($Q63,武学奇术!$A:$ZZ,18,FALSE)+SUM(_xlfn.XLOOKUP(R63:AF63,增益!$A:$A,增益!$R:$R,0))</f>
        <v>1.5</v>
      </c>
      <c r="BL63" s="26" cm="1">
        <f t="array" ref="BL63">IF(VLOOKUP($Q63,武学奇术!$A:$ZZ,24,FALSE)=1,100%,MIN(40%,$B$10+VLOOKUP($Q63,武学奇术!$A:$ZZ,19,FALSE)+SUM(_xlfn.XLOOKUP(R63:AF63,增益!$A:$A,增益!$S:$S,0)))+$B$12+SUM(_xlfn.XLOOKUP(R63:AF63,增益!$A:$A,增益!$V:$V,0)))*IF(VLOOKUP($Q63,武学奇术!$A:$ZZ,23,FALSE)=1,0,1)</f>
        <v>0.0913</v>
      </c>
      <c r="BM63" s="26" cm="1">
        <f t="array" ref="BM63">1+$B$14+VLOOKUP($Q63,武学奇术!$A:$ZZ,20,FALSE)+SUM(_xlfn.XLOOKUP(R63:AF63,增益!$A:$A,增益!$T:$T,0))</f>
        <v>1.35</v>
      </c>
      <c r="BN63" s="26">
        <f t="shared" si="22"/>
        <v>0.8625</v>
      </c>
      <c r="BO63" s="26">
        <f t="shared" si="17"/>
        <v>0.0462</v>
      </c>
      <c r="BP63" s="26">
        <f>IF(VLOOKUP($Q63,武学奇术!$A:$ZZ,22,FALSE)=1,0,(1-$BI63))*(1-$BL63)</f>
        <v>0</v>
      </c>
      <c r="BQ63" s="26" cm="1">
        <f t="array" ref="BQ63">SUM(_xlfn.XLOOKUP(R63:AF63,增益!$A:$A,增益!$W:$W,0))+$I$5</f>
        <v>0.06</v>
      </c>
    </row>
    <row r="64" spans="4:69">
      <c r="K64" s="38">
        <f t="shared" si="23"/>
        <v>0</v>
      </c>
      <c r="L64" s="38">
        <f>((($AN64+$AO64)/2*$AH64+$AI64)*(1+$AP64)*(1+$AQ64)+(($AS64+$AT64)/2*IF($G$1="鸣金",$AJ64,$AH64)+IF($G$1="鸣金",$AK64*1.5,0))*(1+$AU64)*(1+$AV64)+(($AW64+$AX64)/2*IF($G$1="裂石",$AJ64,$AH64)+IF($G$1="裂石",$AK64*1.5,0))*(1+$AY64)*(1+$AZ64)+(($BA64+$BB64)/2*IF($G$1="牵丝",$AJ64,$AH64)+IF($G$1="牵丝",$AK64*1.5,0))*(1+$BC64)*(1+$BD64)+(($BE64+$BF64)/2*IF($G$1="破竹",$AJ64,$AH64)+IF($G$1="破竹",$AK64*1.5,0))*(1+$BG64)*(1+$BH64))*(1+$AL64)*$BK64*$P64*(1+IF(VLOOKUP($Q64,武学奇术!$A:$ZZ,30,FALSE)="蓄力技",#REF!,0))*(1+$BQ64)</f>
        <v>0</v>
      </c>
      <c r="M64" s="38">
        <f>(($AO64*$AH64+$AI64)*(1+$AP64)*(1+$AQ64)+($AT64*IF($G$1="鸣金",$AJ64,$AH64)+IF($G$1="鸣金",$AK64*1.5,0))*(1+$AU64)*(1+$AV64)+($AX64*IF($G$1="裂石",$AJ64,$AH64)+IF($G$1="裂石",$AK64*1.5,0))*(1+$AY64)*(1+$AZ64)+($BB64*IF($G$1="牵丝",$AJ64,$AH64)+IF($G$1="牵丝",$AK64*1.5,0))*(1+$BC64)*(1+$BD64)+($BF64*IF($G$1="破竹",$AJ64,$AH64)+IF($G$1="破竹",$AK64*1.5,0))*(1+$BG64)*(1+$BH64))*(1+$AL64)*$BM64*$P64*(1+IF(VLOOKUP($Q64,武学奇术!$A:$ZZ,30,FALSE)="蓄力技",#REF!,0))*(1+$BQ64)</f>
        <v>0</v>
      </c>
      <c r="N64" s="38">
        <f>((($AN64+$AO64)/2*$AH64+$AI64)*(1+$AP64)*(1+$AQ64)+(($AS64+$AT64)/2*IF($G$1="鸣金",$AJ64,$AH64)+IF($G$1="鸣金",$AK64*1.5,0))*(1+$AU64)*(1+$AV64)+(($AW64+$AX64)/2*IF($G$1="裂石",$AJ64,$AH64)+IF($G$1="裂石",$AK64*1.5,0))*(1+$AY64)*(1+$AZ64)+(($BA64+$BB64)/2*IF($G$1="牵丝",$AJ64,$AH64)+IF($G$1="牵丝",$AK64*1.5,0))*(1+$BC64)*(1+$BD64)+(($BE64+$BF64)/2*IF($G$1="破竹",$AJ64,$AH64)+IF($G$1="破竹",$AK64*1.5,0))*(1+$BG64)*(1+$BH64))*(1+$AL64)*$P64*(1+IF(VLOOKUP($Q64,武学奇术!$A:$ZZ,30,FALSE)="蓄力技",#REF!,0))*(1+$BQ64)</f>
        <v>0</v>
      </c>
      <c r="O64" s="38">
        <f>((($AN64*$AH64+$AI64)*(1+$AP64)*(1+$AQ64)+($AS64*IF($G$1="鸣金",$AJ64,$AH64)+IF($G$1="鸣金",$AK64*1.5,0))*(1+$AU64)*(1+$AV64)+($AW64*IF($G$1="裂石",$AJ64,$AH64)+IF($G$1="裂石",$AK64*1.5,0))*(1+$AY64)*(1+$AZ64)+($BA64*IF($G$1="牵丝",$AJ64,$AH64)+IF($G$1="牵丝",$AK64*1.5,0))*(1+$BC64)*(1+$BD64)+($BE64*IF($G$1="破竹",$AJ64,$AH64)+IF($G$1="破竹",$AK64*1.5,0))*(1+$BG64)*(1+$BH64))*(1+$AL64))*$P64*(1+IF(VLOOKUP($Q64,武学奇术!$A:$ZZ,30,FALSE)="蓄力技",#REF!,0))*(1+$BQ64)</f>
        <v>0</v>
      </c>
      <c r="P64" s="39">
        <v>1</v>
      </c>
      <c r="Q64" s="40" t="s">
        <v>76</v>
      </c>
      <c r="R64" s="40" t="s">
        <v>76</v>
      </c>
      <c r="S64" s="40" t="s">
        <v>76</v>
      </c>
      <c r="T64" s="40" t="s">
        <v>76</v>
      </c>
      <c r="U64" s="40" t="s">
        <v>76</v>
      </c>
      <c r="V64" s="40" t="s">
        <v>76</v>
      </c>
      <c r="W64" s="40" t="s">
        <v>76</v>
      </c>
      <c r="X64" s="40" t="s">
        <v>76</v>
      </c>
      <c r="Y64" s="40" t="s">
        <v>76</v>
      </c>
      <c r="Z64" s="40" t="s">
        <v>76</v>
      </c>
      <c r="AA64" s="40" t="s">
        <v>76</v>
      </c>
      <c r="AB64" s="40" t="s">
        <v>76</v>
      </c>
      <c r="AC64" s="40" t="s">
        <v>76</v>
      </c>
      <c r="AD64" s="40" t="s">
        <v>76</v>
      </c>
      <c r="AE64" s="40" t="s">
        <v>76</v>
      </c>
      <c r="AF64" s="40" t="s">
        <v>76</v>
      </c>
      <c r="AG64" t="str">
        <f>VLOOKUP($Q64,武学奇术!$A:$ZZ,25,FALSE)</f>
        <v>心法</v>
      </c>
      <c r="AH64" s="26">
        <f>VLOOKUP($Q64,武学奇术!$A:$ZZ,26,FALSE)</f>
        <v>0</v>
      </c>
      <c r="AI64" s="27">
        <f>VLOOKUP($Q64,武学奇术!$A:$ZZ,27,FALSE)*(1+IF(OR($AG64=$F$4,$AG64=$F$5),$B$21,0))</f>
        <v>0</v>
      </c>
      <c r="AJ64" s="26">
        <f>VLOOKUP($Q64,武学奇术!$A:$ZZ,28,FALSE)</f>
        <v>0</v>
      </c>
      <c r="AK64" s="27">
        <f>VLOOKUP($Q64,武学奇术!$A:$ZZ,29,FALSE)*(1+IF(OR($AG64=$F$4,$AG64=$F$5),$B$21,0))</f>
        <v>0</v>
      </c>
      <c r="AL64" s="26" cm="1">
        <f t="array" ref="AL64">$G$3+IFERROR(VLOOKUP($AG64,$F$4:$G$7,2,FALSE),0)+VLOOKUP($Q64,武学奇术!$A:$ZZ,2,FALSE)+SUM(_xlfn.XLOOKUP($R64:$AF64,增益!$A:$A,增益!$B:$B,0))</f>
        <v>0.2642</v>
      </c>
      <c r="AM64" s="26" cm="1">
        <f t="array" ref="AM64">VLOOKUP($Q64,武学奇术!$A:$ZZ,5,FALSE)+SUM(_xlfn.XLOOKUP($R64:$AF64,增益!$A:$A,增益!$E:$E,0))</f>
        <v>0</v>
      </c>
      <c r="AN64" cm="1">
        <f t="array" ref="AN64">$D$10*(1+$AM64)+VLOOKUP($Q64,武学奇术!$A:$ZZ,3,FALSE)+SUM(_xlfn.XLOOKUP($R64:$AF64,增益!$A:$A,增益!$C:$C,0))-$I$2</f>
        <v>3977.2</v>
      </c>
      <c r="AO64" cm="1">
        <f t="array" ref="AO64">$E$10*(1+$AM64)+VLOOKUP($Q64,武学奇术!$A:$ZZ,4,FALSE)+SUM(_xlfn.XLOOKUP($R64:$AF64,增益!$A:$A,增益!$D:$D,0))-$I$2</f>
        <v>3977.2</v>
      </c>
      <c r="AP64" s="32" cm="1">
        <f t="array" ref="AP64">IF($F$10-$I$3+VLOOKUP($Q64,武学奇术!$A:$ZZ,6,FALSE)+SUM(_xlfn.XLOOKUP(R64:AF64,增益!$A:$A,增益!$F:$F,0))&gt;0,($F$10-$I$3+VLOOKUP($Q64,武学奇术!$A:$ZZ,6,FALSE)+SUM(_xlfn.XLOOKUP(R64:AF64,增益!$A:$A,增益!$F:$F,0)))/200,($F$10-$I$3+VLOOKUP($Q64,武学奇术!$A:$ZZ,6,FALSE)+SUM(_xlfn.XLOOKUP(R64:AF64,增益!$A:$A,增益!$F:$F,0)))/100)</f>
        <v>0.294</v>
      </c>
      <c r="AQ64" s="32" cm="1">
        <f t="array" ref="AQ64">$G$10+VLOOKUP($Q64,武学奇术!$A:$ZZ,7,FALSE)+SUM(_xlfn.XLOOKUP(R64:AF64,增益!$A:$A,增益!$G:$G,0))</f>
        <v>0</v>
      </c>
      <c r="AR64" s="26" cm="1">
        <f t="array" ref="AR64">VLOOKUP($Q64,武学奇术!$A:$ZZ,8,FALSE)+SUM(_xlfn.XLOOKUP(R64:AF64,增益!$A:$A,增益!$H:$H,0))</f>
        <v>0</v>
      </c>
      <c r="AS64">
        <f t="shared" si="24"/>
        <v>0</v>
      </c>
      <c r="AT64">
        <f t="shared" si="25"/>
        <v>0</v>
      </c>
      <c r="AU64" s="32" cm="1">
        <f t="array" ref="AU64">IF($F$11-$I$4+VLOOKUP($Q64,武学奇术!$A:$ZZ,9,FALSE)+SUM(_xlfn.XLOOKUP(R64:AF64,增益!$A:$A,增益!$I:$I,0))&gt;0,($F$11-$I$4+VLOOKUP($Q64,武学奇术!$A:$ZZ,9,FALSE)+SUM(_xlfn.XLOOKUP(R64:AF64,增益!$A:$A,增益!$I:$I,0)))/200,($F$11-$I$4+VLOOKUP($Q64,武学奇术!$A:$ZZ,9,FALSE)+SUM(_xlfn.XLOOKUP(R64:AF64,增益!$A:$A,增益!$I:$I,0)))/100)</f>
        <v>-0.3</v>
      </c>
      <c r="AV64" s="32" cm="1">
        <f t="array" ref="AV64">$G$11+VLOOKUP($Q64,武学奇术!$A:$ZZ,10,FALSE)+SUM(_xlfn.XLOOKUP(R64:AF64,增益!$A:$A,增益!$J:$J,0))</f>
        <v>0</v>
      </c>
      <c r="AW64">
        <f t="shared" si="26"/>
        <v>0</v>
      </c>
      <c r="AX64">
        <f t="shared" si="27"/>
        <v>0</v>
      </c>
      <c r="AY64" s="32" cm="1">
        <f t="array" ref="AY64">IF($F$12-$I$4+VLOOKUP($Q64,武学奇术!$A:$ZZ,11,FALSE)+SUM(_xlfn.XLOOKUP(R64:AF64,增益!$A:$A,增益!$K:$K,0))&gt;0,($F$12-$I$4+VLOOKUP($Q64,武学奇术!$A:$ZZ,11,FALSE)+SUM(_xlfn.XLOOKUP(R64:AF64,增益!$A:$A,增益!$K:$K,0)))/200,($F$12-$I$4+VLOOKUP($Q64,武学奇术!$A:$ZZ,11,FALSE)+SUM(_xlfn.XLOOKUP(R64:AF64,增益!$A:$A,增益!$K:$K,0)))/100)</f>
        <v>-0.3</v>
      </c>
      <c r="AZ64" s="32" cm="1">
        <f t="array" ref="AZ64">$G$12+VLOOKUP($Q64,武学奇术!$A:$ZZ,12,FALSE)+SUM(_xlfn.XLOOKUP(R64:AF64,增益!$A:$A,增益!$L:$L,0))</f>
        <v>0</v>
      </c>
      <c r="BA64">
        <f t="shared" si="28"/>
        <v>697.4</v>
      </c>
      <c r="BB64">
        <f t="shared" si="29"/>
        <v>1805</v>
      </c>
      <c r="BC64" s="32" cm="1">
        <f t="array" ref="BC64">IF($F$13-$I$4+VLOOKUP($Q64,武学奇术!$A:$ZZ,13,FALSE)+SUM(_xlfn.XLOOKUP(R64:AF64,增益!$A:$A,增益!$M:$M,0))&gt;0,($F$13-$I$4+VLOOKUP($Q64,武学奇术!$A:$ZZ,13,FALSE)+SUM(_xlfn.XLOOKUP(R64:AF64,增益!$A:$A,增益!$K:$K,0)))/200,($F$13-$I$4+VLOOKUP($Q64,武学奇术!$A:$ZZ,13,FALSE)+SUM(_xlfn.XLOOKUP(R64:AF64,增益!$A:$A,增益!$M:$M,0)))/100)</f>
        <v>0</v>
      </c>
      <c r="BD64" s="32" cm="1">
        <f t="array" ref="BD64">$G$13+VLOOKUP($Q64,武学奇术!$A:$ZZ,14,FALSE)+SUM(_xlfn.XLOOKUP(R64:AF64,增益!$A:$A,增益!$N:$N,0))</f>
        <v>0.15</v>
      </c>
      <c r="BE64">
        <f t="shared" si="30"/>
        <v>0</v>
      </c>
      <c r="BF64">
        <f t="shared" si="31"/>
        <v>0</v>
      </c>
      <c r="BG64" s="32" cm="1">
        <f t="array" ref="BG64">IF($F$14-$I$4+VLOOKUP($Q64,武学奇术!$A:$ZZ,15,FALSE)+SUM(_xlfn.XLOOKUP(R64:AF64,增益!$A:$A,增益!$O:$O,0))&gt;0,($F$14-$I$4+VLOOKUP($Q64,武学奇术!$A:$ZZ,15,FALSE)+SUM(_xlfn.XLOOKUP(R64:AF64,增益!$A:$A,增益!$O:$O,0)))/200,($F$14-$I$4+VLOOKUP($Q64,武学奇术!$A:$ZZ,15,FALSE)+SUM(_xlfn.XLOOKUP(R64:AF64,增益!$A:$A,增益!$O:$O,0)))/100)</f>
        <v>-0.3</v>
      </c>
      <c r="BH64" s="32" cm="1">
        <f t="array" ref="BH64">$G$14+VLOOKUP($Q64,武学奇术!$A:$ZZ,16,FALSE)+SUM(_xlfn.XLOOKUP(R64:AF64,增益!$A:$A,增益!$P:$P,0))</f>
        <v>0</v>
      </c>
      <c r="BI64" s="26">
        <f>MIN(IF(VLOOKUP($Q64,武学奇术!$A:$ZZ,23,FALSE)=1,100%,$B$8),100%)</f>
        <v>1</v>
      </c>
      <c r="BJ64" s="26" cm="1">
        <f t="array" ref="BJ64">IF(VLOOKUP($Q64,武学奇术!$A:$ZZ,23,FALSE)=1,100%,MIN(80%,$B$9+VLOOKUP($Q64,武学奇术!$A:$ZZ,17,FALSE)+SUM(_xlfn.XLOOKUP(R64:AF64,增益!$A:$A,增益!$Q:$Q,0)))+$B$11+SUM(_xlfn.XLOOKUP(R64:AF64,增益!$A:$A,增益!$U:$U,0)))*IF(VLOOKUP($Q64,武学奇术!$A:$ZZ,24,FALSE)=1,0,1)</f>
        <v>0.8625</v>
      </c>
      <c r="BK64" s="26" cm="1">
        <f t="array" ref="BK64">1+$B$13+VLOOKUP($Q64,武学奇术!$A:$ZZ,18,FALSE)+SUM(_xlfn.XLOOKUP(R64:AF64,增益!$A:$A,增益!$R:$R,0))</f>
        <v>1.5</v>
      </c>
      <c r="BL64" s="26" cm="1">
        <f t="array" ref="BL64">IF(VLOOKUP($Q64,武学奇术!$A:$ZZ,24,FALSE)=1,100%,MIN(40%,$B$10+VLOOKUP($Q64,武学奇术!$A:$ZZ,19,FALSE)+SUM(_xlfn.XLOOKUP(R64:AF64,增益!$A:$A,增益!$S:$S,0)))+$B$12+SUM(_xlfn.XLOOKUP(R64:AF64,增益!$A:$A,增益!$V:$V,0)))*IF(VLOOKUP($Q64,武学奇术!$A:$ZZ,23,FALSE)=1,0,1)</f>
        <v>0.0913</v>
      </c>
      <c r="BM64" s="26" cm="1">
        <f t="array" ref="BM64">1+$B$14+VLOOKUP($Q64,武学奇术!$A:$ZZ,20,FALSE)+SUM(_xlfn.XLOOKUP(R64:AF64,增益!$A:$A,增益!$T:$T,0))</f>
        <v>1.35</v>
      </c>
      <c r="BN64" s="26">
        <f t="shared" si="22"/>
        <v>0.8625</v>
      </c>
      <c r="BO64" s="26">
        <f t="shared" si="17"/>
        <v>0.0462</v>
      </c>
      <c r="BP64" s="26">
        <f>IF(VLOOKUP($Q64,武学奇术!$A:$ZZ,22,FALSE)=1,0,(1-$BI64))*(1-$BL64)</f>
        <v>0</v>
      </c>
      <c r="BQ64" s="26" cm="1">
        <f t="array" ref="BQ64">SUM(_xlfn.XLOOKUP(R64:AF64,增益!$A:$A,增益!$W:$W,0))+$I$5</f>
        <v>0.06</v>
      </c>
    </row>
    <row r="65" spans="1:69">
      <c r="K65" s="38">
        <f t="shared" si="23"/>
        <v>0</v>
      </c>
      <c r="L65" s="38">
        <f>((($AN65+$AO65)/2*$AH65+$AI65)*(1+$AP65)*(1+$AQ65)+(($AS65+$AT65)/2*IF($G$1="鸣金",$AJ65,$AH65)+IF($G$1="鸣金",$AK65*1.5,0))*(1+$AU65)*(1+$AV65)+(($AW65+$AX65)/2*IF($G$1="裂石",$AJ65,$AH65)+IF($G$1="裂石",$AK65*1.5,0))*(1+$AY65)*(1+$AZ65)+(($BA65+$BB65)/2*IF($G$1="牵丝",$AJ65,$AH65)+IF($G$1="牵丝",$AK65*1.5,0))*(1+$BC65)*(1+$BD65)+(($BE65+$BF65)/2*IF($G$1="破竹",$AJ65,$AH65)+IF($G$1="破竹",$AK65*1.5,0))*(1+$BG65)*(1+$BH65))*(1+$AL65)*$BK65*$P65*(1+IF(VLOOKUP($Q65,武学奇术!$A:$ZZ,30,FALSE)="蓄力技",#REF!,0))*(1+$BQ65)</f>
        <v>0</v>
      </c>
      <c r="M65" s="38">
        <f>(($AO65*$AH65+$AI65)*(1+$AP65)*(1+$AQ65)+($AT65*IF($G$1="鸣金",$AJ65,$AH65)+IF($G$1="鸣金",$AK65*1.5,0))*(1+$AU65)*(1+$AV65)+($AX65*IF($G$1="裂石",$AJ65,$AH65)+IF($G$1="裂石",$AK65*1.5,0))*(1+$AY65)*(1+$AZ65)+($BB65*IF($G$1="牵丝",$AJ65,$AH65)+IF($G$1="牵丝",$AK65*1.5,0))*(1+$BC65)*(1+$BD65)+($BF65*IF($G$1="破竹",$AJ65,$AH65)+IF($G$1="破竹",$AK65*1.5,0))*(1+$BG65)*(1+$BH65))*(1+$AL65)*$BM65*$P65*(1+IF(VLOOKUP($Q65,武学奇术!$A:$ZZ,30,FALSE)="蓄力技",#REF!,0))*(1+$BQ65)</f>
        <v>0</v>
      </c>
      <c r="N65" s="38">
        <f>((($AN65+$AO65)/2*$AH65+$AI65)*(1+$AP65)*(1+$AQ65)+(($AS65+$AT65)/2*IF($G$1="鸣金",$AJ65,$AH65)+IF($G$1="鸣金",$AK65*1.5,0))*(1+$AU65)*(1+$AV65)+(($AW65+$AX65)/2*IF($G$1="裂石",$AJ65,$AH65)+IF($G$1="裂石",$AK65*1.5,0))*(1+$AY65)*(1+$AZ65)+(($BA65+$BB65)/2*IF($G$1="牵丝",$AJ65,$AH65)+IF($G$1="牵丝",$AK65*1.5,0))*(1+$BC65)*(1+$BD65)+(($BE65+$BF65)/2*IF($G$1="破竹",$AJ65,$AH65)+IF($G$1="破竹",$AK65*1.5,0))*(1+$BG65)*(1+$BH65))*(1+$AL65)*$P65*(1+IF(VLOOKUP($Q65,武学奇术!$A:$ZZ,30,FALSE)="蓄力技",#REF!,0))*(1+$BQ65)</f>
        <v>0</v>
      </c>
      <c r="O65" s="38">
        <f>((($AN65*$AH65+$AI65)*(1+$AP65)*(1+$AQ65)+($AS65*IF($G$1="鸣金",$AJ65,$AH65)+IF($G$1="鸣金",$AK65*1.5,0))*(1+$AU65)*(1+$AV65)+($AW65*IF($G$1="裂石",$AJ65,$AH65)+IF($G$1="裂石",$AK65*1.5,0))*(1+$AY65)*(1+$AZ65)+($BA65*IF($G$1="牵丝",$AJ65,$AH65)+IF($G$1="牵丝",$AK65*1.5,0))*(1+$BC65)*(1+$BD65)+($BE65*IF($G$1="破竹",$AJ65,$AH65)+IF($G$1="破竹",$AK65*1.5,0))*(1+$BG65)*(1+$BH65))*(1+$AL65))*$P65*(1+IF(VLOOKUP($Q65,武学奇术!$A:$ZZ,30,FALSE)="蓄力技",#REF!,0))*(1+$BQ65)</f>
        <v>0</v>
      </c>
      <c r="P65" s="39">
        <v>1</v>
      </c>
      <c r="Q65" s="40" t="s">
        <v>76</v>
      </c>
      <c r="R65" s="40" t="s">
        <v>76</v>
      </c>
      <c r="S65" s="40" t="s">
        <v>76</v>
      </c>
      <c r="T65" s="40" t="s">
        <v>76</v>
      </c>
      <c r="U65" s="40" t="s">
        <v>76</v>
      </c>
      <c r="V65" s="40" t="s">
        <v>76</v>
      </c>
      <c r="W65" s="40" t="s">
        <v>76</v>
      </c>
      <c r="X65" s="40" t="s">
        <v>76</v>
      </c>
      <c r="Y65" s="40" t="s">
        <v>76</v>
      </c>
      <c r="Z65" s="40" t="s">
        <v>76</v>
      </c>
      <c r="AA65" s="40" t="s">
        <v>76</v>
      </c>
      <c r="AB65" s="40" t="s">
        <v>76</v>
      </c>
      <c r="AC65" s="40" t="s">
        <v>76</v>
      </c>
      <c r="AD65" s="40" t="s">
        <v>76</v>
      </c>
      <c r="AE65" s="40" t="s">
        <v>76</v>
      </c>
      <c r="AF65" s="40" t="s">
        <v>76</v>
      </c>
      <c r="AG65" t="str">
        <f>VLOOKUP($Q65,武学奇术!$A:$ZZ,25,FALSE)</f>
        <v>心法</v>
      </c>
      <c r="AH65" s="26">
        <f>VLOOKUP($Q65,武学奇术!$A:$ZZ,26,FALSE)</f>
        <v>0</v>
      </c>
      <c r="AI65" s="27">
        <f>VLOOKUP($Q65,武学奇术!$A:$ZZ,27,FALSE)*(1+IF(OR($AG65=$F$4,$AG65=$F$5),$B$21,0))</f>
        <v>0</v>
      </c>
      <c r="AJ65" s="26">
        <f>VLOOKUP($Q65,武学奇术!$A:$ZZ,28,FALSE)</f>
        <v>0</v>
      </c>
      <c r="AK65" s="27">
        <f>VLOOKUP($Q65,武学奇术!$A:$ZZ,29,FALSE)*(1+IF(OR($AG65=$F$4,$AG65=$F$5),$B$21,0))</f>
        <v>0</v>
      </c>
      <c r="AL65" s="26" cm="1">
        <f t="array" ref="AL65">$G$3+IFERROR(VLOOKUP($AG65,$F$4:$G$7,2,FALSE),0)+VLOOKUP($Q65,武学奇术!$A:$ZZ,2,FALSE)+SUM(_xlfn.XLOOKUP($R65:$AF65,增益!$A:$A,增益!$B:$B,0))</f>
        <v>0.2642</v>
      </c>
      <c r="AM65" s="26" cm="1">
        <f t="array" ref="AM65">VLOOKUP($Q65,武学奇术!$A:$ZZ,5,FALSE)+SUM(_xlfn.XLOOKUP($R65:$AF65,增益!$A:$A,增益!$E:$E,0))</f>
        <v>0</v>
      </c>
      <c r="AN65" cm="1">
        <f t="array" ref="AN65">$D$10*(1+$AM65)+VLOOKUP($Q65,武学奇术!$A:$ZZ,3,FALSE)+SUM(_xlfn.XLOOKUP($R65:$AF65,增益!$A:$A,增益!$C:$C,0))-$I$2</f>
        <v>3977.2</v>
      </c>
      <c r="AO65" cm="1">
        <f t="array" ref="AO65">$E$10*(1+$AM65)+VLOOKUP($Q65,武学奇术!$A:$ZZ,4,FALSE)+SUM(_xlfn.XLOOKUP($R65:$AF65,增益!$A:$A,增益!$D:$D,0))-$I$2</f>
        <v>3977.2</v>
      </c>
      <c r="AP65" s="32" cm="1">
        <f t="array" ref="AP65">IF($F$10-$I$3+VLOOKUP($Q65,武学奇术!$A:$ZZ,6,FALSE)+SUM(_xlfn.XLOOKUP(R65:AF65,增益!$A:$A,增益!$F:$F,0))&gt;0,($F$10-$I$3+VLOOKUP($Q65,武学奇术!$A:$ZZ,6,FALSE)+SUM(_xlfn.XLOOKUP(R65:AF65,增益!$A:$A,增益!$F:$F,0)))/200,($F$10-$I$3+VLOOKUP($Q65,武学奇术!$A:$ZZ,6,FALSE)+SUM(_xlfn.XLOOKUP(R65:AF65,增益!$A:$A,增益!$F:$F,0)))/100)</f>
        <v>0.294</v>
      </c>
      <c r="AQ65" s="32" cm="1">
        <f t="array" ref="AQ65">$G$10+VLOOKUP($Q65,武学奇术!$A:$ZZ,7,FALSE)+SUM(_xlfn.XLOOKUP(R65:AF65,增益!$A:$A,增益!$G:$G,0))</f>
        <v>0</v>
      </c>
      <c r="AR65" s="26" cm="1">
        <f t="array" ref="AR65">VLOOKUP($Q65,武学奇术!$A:$ZZ,8,FALSE)+SUM(_xlfn.XLOOKUP(R65:AF65,增益!$A:$A,增益!$H:$H,0))</f>
        <v>0</v>
      </c>
      <c r="AS65">
        <f t="shared" si="24"/>
        <v>0</v>
      </c>
      <c r="AT65">
        <f t="shared" si="25"/>
        <v>0</v>
      </c>
      <c r="AU65" s="32" cm="1">
        <f t="array" ref="AU65">IF($F$11-$I$4+VLOOKUP($Q65,武学奇术!$A:$ZZ,9,FALSE)+SUM(_xlfn.XLOOKUP(R65:AF65,增益!$A:$A,增益!$I:$I,0))&gt;0,($F$11-$I$4+VLOOKUP($Q65,武学奇术!$A:$ZZ,9,FALSE)+SUM(_xlfn.XLOOKUP(R65:AF65,增益!$A:$A,增益!$I:$I,0)))/200,($F$11-$I$4+VLOOKUP($Q65,武学奇术!$A:$ZZ,9,FALSE)+SUM(_xlfn.XLOOKUP(R65:AF65,增益!$A:$A,增益!$I:$I,0)))/100)</f>
        <v>-0.3</v>
      </c>
      <c r="AV65" s="32" cm="1">
        <f t="array" ref="AV65">$G$11+VLOOKUP($Q65,武学奇术!$A:$ZZ,10,FALSE)+SUM(_xlfn.XLOOKUP(R65:AF65,增益!$A:$A,增益!$J:$J,0))</f>
        <v>0</v>
      </c>
      <c r="AW65">
        <f t="shared" si="26"/>
        <v>0</v>
      </c>
      <c r="AX65">
        <f t="shared" si="27"/>
        <v>0</v>
      </c>
      <c r="AY65" s="32" cm="1">
        <f t="array" ref="AY65">IF($F$12-$I$4+VLOOKUP($Q65,武学奇术!$A:$ZZ,11,FALSE)+SUM(_xlfn.XLOOKUP(R65:AF65,增益!$A:$A,增益!$K:$K,0))&gt;0,($F$12-$I$4+VLOOKUP($Q65,武学奇术!$A:$ZZ,11,FALSE)+SUM(_xlfn.XLOOKUP(R65:AF65,增益!$A:$A,增益!$K:$K,0)))/200,($F$12-$I$4+VLOOKUP($Q65,武学奇术!$A:$ZZ,11,FALSE)+SUM(_xlfn.XLOOKUP(R65:AF65,增益!$A:$A,增益!$K:$K,0)))/100)</f>
        <v>-0.3</v>
      </c>
      <c r="AZ65" s="32" cm="1">
        <f t="array" ref="AZ65">$G$12+VLOOKUP($Q65,武学奇术!$A:$ZZ,12,FALSE)+SUM(_xlfn.XLOOKUP(R65:AF65,增益!$A:$A,增益!$L:$L,0))</f>
        <v>0</v>
      </c>
      <c r="BA65">
        <f t="shared" si="28"/>
        <v>697.4</v>
      </c>
      <c r="BB65">
        <f t="shared" si="29"/>
        <v>1805</v>
      </c>
      <c r="BC65" s="32" cm="1">
        <f t="array" ref="BC65">IF($F$13-$I$4+VLOOKUP($Q65,武学奇术!$A:$ZZ,13,FALSE)+SUM(_xlfn.XLOOKUP(R65:AF65,增益!$A:$A,增益!$M:$M,0))&gt;0,($F$13-$I$4+VLOOKUP($Q65,武学奇术!$A:$ZZ,13,FALSE)+SUM(_xlfn.XLOOKUP(R65:AF65,增益!$A:$A,增益!$K:$K,0)))/200,($F$13-$I$4+VLOOKUP($Q65,武学奇术!$A:$ZZ,13,FALSE)+SUM(_xlfn.XLOOKUP(R65:AF65,增益!$A:$A,增益!$M:$M,0)))/100)</f>
        <v>0</v>
      </c>
      <c r="BD65" s="32" cm="1">
        <f t="array" ref="BD65">$G$13+VLOOKUP($Q65,武学奇术!$A:$ZZ,14,FALSE)+SUM(_xlfn.XLOOKUP(R65:AF65,增益!$A:$A,增益!$N:$N,0))</f>
        <v>0.15</v>
      </c>
      <c r="BE65">
        <f t="shared" si="30"/>
        <v>0</v>
      </c>
      <c r="BF65">
        <f t="shared" si="31"/>
        <v>0</v>
      </c>
      <c r="BG65" s="32" cm="1">
        <f t="array" ref="BG65">IF($F$14-$I$4+VLOOKUP($Q65,武学奇术!$A:$ZZ,15,FALSE)+SUM(_xlfn.XLOOKUP(R65:AF65,增益!$A:$A,增益!$O:$O,0))&gt;0,($F$14-$I$4+VLOOKUP($Q65,武学奇术!$A:$ZZ,15,FALSE)+SUM(_xlfn.XLOOKUP(R65:AF65,增益!$A:$A,增益!$O:$O,0)))/200,($F$14-$I$4+VLOOKUP($Q65,武学奇术!$A:$ZZ,15,FALSE)+SUM(_xlfn.XLOOKUP(R65:AF65,增益!$A:$A,增益!$O:$O,0)))/100)</f>
        <v>-0.3</v>
      </c>
      <c r="BH65" s="32" cm="1">
        <f t="array" ref="BH65">$G$14+VLOOKUP($Q65,武学奇术!$A:$ZZ,16,FALSE)+SUM(_xlfn.XLOOKUP(R65:AF65,增益!$A:$A,增益!$P:$P,0))</f>
        <v>0</v>
      </c>
      <c r="BI65" s="26">
        <f>MIN(IF(VLOOKUP($Q65,武学奇术!$A:$ZZ,23,FALSE)=1,100%,$B$8),100%)</f>
        <v>1</v>
      </c>
      <c r="BJ65" s="26" cm="1">
        <f t="array" ref="BJ65">IF(VLOOKUP($Q65,武学奇术!$A:$ZZ,23,FALSE)=1,100%,MIN(80%,$B$9+VLOOKUP($Q65,武学奇术!$A:$ZZ,17,FALSE)+SUM(_xlfn.XLOOKUP(R65:AF65,增益!$A:$A,增益!$Q:$Q,0)))+$B$11+SUM(_xlfn.XLOOKUP(R65:AF65,增益!$A:$A,增益!$U:$U,0)))*IF(VLOOKUP($Q65,武学奇术!$A:$ZZ,24,FALSE)=1,0,1)</f>
        <v>0.8625</v>
      </c>
      <c r="BK65" s="26" cm="1">
        <f t="array" ref="BK65">1+$B$13+VLOOKUP($Q65,武学奇术!$A:$ZZ,18,FALSE)+SUM(_xlfn.XLOOKUP(R65:AF65,增益!$A:$A,增益!$R:$R,0))</f>
        <v>1.5</v>
      </c>
      <c r="BL65" s="26" cm="1">
        <f t="array" ref="BL65">IF(VLOOKUP($Q65,武学奇术!$A:$ZZ,24,FALSE)=1,100%,MIN(40%,$B$10+VLOOKUP($Q65,武学奇术!$A:$ZZ,19,FALSE)+SUM(_xlfn.XLOOKUP(R65:AF65,增益!$A:$A,增益!$S:$S,0)))+$B$12+SUM(_xlfn.XLOOKUP(R65:AF65,增益!$A:$A,增益!$V:$V,0)))*IF(VLOOKUP($Q65,武学奇术!$A:$ZZ,23,FALSE)=1,0,1)</f>
        <v>0.0913</v>
      </c>
      <c r="BM65" s="26" cm="1">
        <f t="array" ref="BM65">1+$B$14+VLOOKUP($Q65,武学奇术!$A:$ZZ,20,FALSE)+SUM(_xlfn.XLOOKUP(R65:AF65,增益!$A:$A,增益!$T:$T,0))</f>
        <v>1.35</v>
      </c>
      <c r="BN65" s="26">
        <f t="shared" si="22"/>
        <v>0.8625</v>
      </c>
      <c r="BO65" s="26">
        <f t="shared" si="17"/>
        <v>0.0462</v>
      </c>
      <c r="BP65" s="26">
        <f>IF(VLOOKUP($Q65,武学奇术!$A:$ZZ,22,FALSE)=1,0,(1-$BI65))*(1-$BL65)</f>
        <v>0</v>
      </c>
      <c r="BQ65" s="26" cm="1">
        <f t="array" ref="BQ65">SUM(_xlfn.XLOOKUP(R65:AF65,增益!$A:$A,增益!$W:$W,0))+$I$5</f>
        <v>0.06</v>
      </c>
    </row>
    <row r="66" spans="1:69">
      <c r="K66" s="38">
        <f t="shared" si="23"/>
        <v>0</v>
      </c>
      <c r="L66" s="38">
        <f>((($AN66+$AO66)/2*$AH66+$AI66)*(1+$AP66)*(1+$AQ66)+(($AS66+$AT66)/2*IF($G$1="鸣金",$AJ66,$AH66)+IF($G$1="鸣金",$AK66*1.5,0))*(1+$AU66)*(1+$AV66)+(($AW66+$AX66)/2*IF($G$1="裂石",$AJ66,$AH66)+IF($G$1="裂石",$AK66*1.5,0))*(1+$AY66)*(1+$AZ66)+(($BA66+$BB66)/2*IF($G$1="牵丝",$AJ66,$AH66)+IF($G$1="牵丝",$AK66*1.5,0))*(1+$BC66)*(1+$BD66)+(($BE66+$BF66)/2*IF($G$1="破竹",$AJ66,$AH66)+IF($G$1="破竹",$AK66*1.5,0))*(1+$BG66)*(1+$BH66))*(1+$AL66)*$BK66*$P66*(1+IF(VLOOKUP($Q66,武学奇术!$A:$ZZ,30,FALSE)="蓄力技",#REF!,0))*(1+$BQ66)</f>
        <v>0</v>
      </c>
      <c r="M66" s="38">
        <f>(($AO66*$AH66+$AI66)*(1+$AP66)*(1+$AQ66)+($AT66*IF($G$1="鸣金",$AJ66,$AH66)+IF($G$1="鸣金",$AK66*1.5,0))*(1+$AU66)*(1+$AV66)+($AX66*IF($G$1="裂石",$AJ66,$AH66)+IF($G$1="裂石",$AK66*1.5,0))*(1+$AY66)*(1+$AZ66)+($BB66*IF($G$1="牵丝",$AJ66,$AH66)+IF($G$1="牵丝",$AK66*1.5,0))*(1+$BC66)*(1+$BD66)+($BF66*IF($G$1="破竹",$AJ66,$AH66)+IF($G$1="破竹",$AK66*1.5,0))*(1+$BG66)*(1+$BH66))*(1+$AL66)*$BM66*$P66*(1+IF(VLOOKUP($Q66,武学奇术!$A:$ZZ,30,FALSE)="蓄力技",#REF!,0))*(1+$BQ66)</f>
        <v>0</v>
      </c>
      <c r="N66" s="38">
        <f>((($AN66+$AO66)/2*$AH66+$AI66)*(1+$AP66)*(1+$AQ66)+(($AS66+$AT66)/2*IF($G$1="鸣金",$AJ66,$AH66)+IF($G$1="鸣金",$AK66*1.5,0))*(1+$AU66)*(1+$AV66)+(($AW66+$AX66)/2*IF($G$1="裂石",$AJ66,$AH66)+IF($G$1="裂石",$AK66*1.5,0))*(1+$AY66)*(1+$AZ66)+(($BA66+$BB66)/2*IF($G$1="牵丝",$AJ66,$AH66)+IF($G$1="牵丝",$AK66*1.5,0))*(1+$BC66)*(1+$BD66)+(($BE66+$BF66)/2*IF($G$1="破竹",$AJ66,$AH66)+IF($G$1="破竹",$AK66*1.5,0))*(1+$BG66)*(1+$BH66))*(1+$AL66)*$P66*(1+IF(VLOOKUP($Q66,武学奇术!$A:$ZZ,30,FALSE)="蓄力技",#REF!,0))*(1+$BQ66)</f>
        <v>0</v>
      </c>
      <c r="O66" s="38">
        <f>((($AN66*$AH66+$AI66)*(1+$AP66)*(1+$AQ66)+($AS66*IF($G$1="鸣金",$AJ66,$AH66)+IF($G$1="鸣金",$AK66*1.5,0))*(1+$AU66)*(1+$AV66)+($AW66*IF($G$1="裂石",$AJ66,$AH66)+IF($G$1="裂石",$AK66*1.5,0))*(1+$AY66)*(1+$AZ66)+($BA66*IF($G$1="牵丝",$AJ66,$AH66)+IF($G$1="牵丝",$AK66*1.5,0))*(1+$BC66)*(1+$BD66)+($BE66*IF($G$1="破竹",$AJ66,$AH66)+IF($G$1="破竹",$AK66*1.5,0))*(1+$BG66)*(1+$BH66))*(1+$AL66))*$P66*(1+IF(VLOOKUP($Q66,武学奇术!$A:$ZZ,30,FALSE)="蓄力技",#REF!,0))*(1+$BQ66)</f>
        <v>0</v>
      </c>
      <c r="P66" s="39">
        <v>1</v>
      </c>
      <c r="Q66" s="40" t="s">
        <v>76</v>
      </c>
      <c r="R66" s="40" t="s">
        <v>76</v>
      </c>
      <c r="S66" s="40" t="s">
        <v>76</v>
      </c>
      <c r="T66" s="40" t="s">
        <v>76</v>
      </c>
      <c r="U66" s="40" t="s">
        <v>76</v>
      </c>
      <c r="V66" s="40" t="s">
        <v>76</v>
      </c>
      <c r="W66" s="40" t="s">
        <v>76</v>
      </c>
      <c r="X66" s="40" t="s">
        <v>76</v>
      </c>
      <c r="Y66" s="40" t="s">
        <v>76</v>
      </c>
      <c r="Z66" s="40" t="s">
        <v>76</v>
      </c>
      <c r="AA66" s="40" t="s">
        <v>76</v>
      </c>
      <c r="AB66" s="40" t="s">
        <v>76</v>
      </c>
      <c r="AC66" s="40" t="s">
        <v>76</v>
      </c>
      <c r="AD66" s="40" t="s">
        <v>76</v>
      </c>
      <c r="AE66" s="40" t="s">
        <v>76</v>
      </c>
      <c r="AF66" s="40" t="s">
        <v>76</v>
      </c>
      <c r="AG66" t="str">
        <f>VLOOKUP($Q66,武学奇术!$A:$ZZ,25,FALSE)</f>
        <v>心法</v>
      </c>
      <c r="AH66" s="26">
        <f>VLOOKUP($Q66,武学奇术!$A:$ZZ,26,FALSE)</f>
        <v>0</v>
      </c>
      <c r="AI66" s="27">
        <f>VLOOKUP($Q66,武学奇术!$A:$ZZ,27,FALSE)*(1+IF(OR($AG66=$F$4,$AG66=$F$5),$B$21,0))</f>
        <v>0</v>
      </c>
      <c r="AJ66" s="26">
        <f>VLOOKUP($Q66,武学奇术!$A:$ZZ,28,FALSE)</f>
        <v>0</v>
      </c>
      <c r="AK66" s="27">
        <f>VLOOKUP($Q66,武学奇术!$A:$ZZ,29,FALSE)*(1+IF(OR($AG66=$F$4,$AG66=$F$5),$B$21,0))</f>
        <v>0</v>
      </c>
      <c r="AL66" s="26" cm="1">
        <f t="array" ref="AL66">$G$3+IFERROR(VLOOKUP($AG66,$F$4:$G$7,2,FALSE),0)+VLOOKUP($Q66,武学奇术!$A:$ZZ,2,FALSE)+SUM(_xlfn.XLOOKUP($R66:$AF66,增益!$A:$A,增益!$B:$B,0))</f>
        <v>0.2642</v>
      </c>
      <c r="AM66" s="26" cm="1">
        <f t="array" ref="AM66">VLOOKUP($Q66,武学奇术!$A:$ZZ,5,FALSE)+SUM(_xlfn.XLOOKUP($R66:$AF66,增益!$A:$A,增益!$E:$E,0))</f>
        <v>0</v>
      </c>
      <c r="AN66" cm="1">
        <f t="array" ref="AN66">$D$10*(1+$AM66)+VLOOKUP($Q66,武学奇术!$A:$ZZ,3,FALSE)+SUM(_xlfn.XLOOKUP($R66:$AF66,增益!$A:$A,增益!$C:$C,0))-$I$2</f>
        <v>3977.2</v>
      </c>
      <c r="AO66" cm="1">
        <f t="array" ref="AO66">$E$10*(1+$AM66)+VLOOKUP($Q66,武学奇术!$A:$ZZ,4,FALSE)+SUM(_xlfn.XLOOKUP($R66:$AF66,增益!$A:$A,增益!$D:$D,0))-$I$2</f>
        <v>3977.2</v>
      </c>
      <c r="AP66" s="32" cm="1">
        <f t="array" ref="AP66">IF($F$10-$I$3+VLOOKUP($Q66,武学奇术!$A:$ZZ,6,FALSE)+SUM(_xlfn.XLOOKUP(R66:AF66,增益!$A:$A,增益!$F:$F,0))&gt;0,($F$10-$I$3+VLOOKUP($Q66,武学奇术!$A:$ZZ,6,FALSE)+SUM(_xlfn.XLOOKUP(R66:AF66,增益!$A:$A,增益!$F:$F,0)))/200,($F$10-$I$3+VLOOKUP($Q66,武学奇术!$A:$ZZ,6,FALSE)+SUM(_xlfn.XLOOKUP(R66:AF66,增益!$A:$A,增益!$F:$F,0)))/100)</f>
        <v>0.294</v>
      </c>
      <c r="AQ66" s="32" cm="1">
        <f t="array" ref="AQ66">$G$10+VLOOKUP($Q66,武学奇术!$A:$ZZ,7,FALSE)+SUM(_xlfn.XLOOKUP(R66:AF66,增益!$A:$A,增益!$G:$G,0))</f>
        <v>0</v>
      </c>
      <c r="AR66" s="26" cm="1">
        <f t="array" ref="AR66">VLOOKUP($Q66,武学奇术!$A:$ZZ,8,FALSE)+SUM(_xlfn.XLOOKUP(R66:AF66,增益!$A:$A,增益!$H:$H,0))</f>
        <v>0</v>
      </c>
      <c r="AS66">
        <f t="shared" si="24"/>
        <v>0</v>
      </c>
      <c r="AT66">
        <f t="shared" si="25"/>
        <v>0</v>
      </c>
      <c r="AU66" s="32" cm="1">
        <f t="array" ref="AU66">IF($F$11-$I$4+VLOOKUP($Q66,武学奇术!$A:$ZZ,9,FALSE)+SUM(_xlfn.XLOOKUP(R66:AF66,增益!$A:$A,增益!$I:$I,0))&gt;0,($F$11-$I$4+VLOOKUP($Q66,武学奇术!$A:$ZZ,9,FALSE)+SUM(_xlfn.XLOOKUP(R66:AF66,增益!$A:$A,增益!$I:$I,0)))/200,($F$11-$I$4+VLOOKUP($Q66,武学奇术!$A:$ZZ,9,FALSE)+SUM(_xlfn.XLOOKUP(R66:AF66,增益!$A:$A,增益!$I:$I,0)))/100)</f>
        <v>-0.3</v>
      </c>
      <c r="AV66" s="32" cm="1">
        <f t="array" ref="AV66">$G$11+VLOOKUP($Q66,武学奇术!$A:$ZZ,10,FALSE)+SUM(_xlfn.XLOOKUP(R66:AF66,增益!$A:$A,增益!$J:$J,0))</f>
        <v>0</v>
      </c>
      <c r="AW66">
        <f t="shared" si="26"/>
        <v>0</v>
      </c>
      <c r="AX66">
        <f t="shared" si="27"/>
        <v>0</v>
      </c>
      <c r="AY66" s="32" cm="1">
        <f t="array" ref="AY66">IF($F$12-$I$4+VLOOKUP($Q66,武学奇术!$A:$ZZ,11,FALSE)+SUM(_xlfn.XLOOKUP(R66:AF66,增益!$A:$A,增益!$K:$K,0))&gt;0,($F$12-$I$4+VLOOKUP($Q66,武学奇术!$A:$ZZ,11,FALSE)+SUM(_xlfn.XLOOKUP(R66:AF66,增益!$A:$A,增益!$K:$K,0)))/200,($F$12-$I$4+VLOOKUP($Q66,武学奇术!$A:$ZZ,11,FALSE)+SUM(_xlfn.XLOOKUP(R66:AF66,增益!$A:$A,增益!$K:$K,0)))/100)</f>
        <v>-0.3</v>
      </c>
      <c r="AZ66" s="32" cm="1">
        <f t="array" ref="AZ66">$G$12+VLOOKUP($Q66,武学奇术!$A:$ZZ,12,FALSE)+SUM(_xlfn.XLOOKUP(R66:AF66,增益!$A:$A,增益!$L:$L,0))</f>
        <v>0</v>
      </c>
      <c r="BA66">
        <f t="shared" si="28"/>
        <v>697.4</v>
      </c>
      <c r="BB66">
        <f t="shared" si="29"/>
        <v>1805</v>
      </c>
      <c r="BC66" s="32" cm="1">
        <f t="array" ref="BC66">IF($F$13-$I$4+VLOOKUP($Q66,武学奇术!$A:$ZZ,13,FALSE)+SUM(_xlfn.XLOOKUP(R66:AF66,增益!$A:$A,增益!$M:$M,0))&gt;0,($F$13-$I$4+VLOOKUP($Q66,武学奇术!$A:$ZZ,13,FALSE)+SUM(_xlfn.XLOOKUP(R66:AF66,增益!$A:$A,增益!$K:$K,0)))/200,($F$13-$I$4+VLOOKUP($Q66,武学奇术!$A:$ZZ,13,FALSE)+SUM(_xlfn.XLOOKUP(R66:AF66,增益!$A:$A,增益!$M:$M,0)))/100)</f>
        <v>0</v>
      </c>
      <c r="BD66" s="32" cm="1">
        <f t="array" ref="BD66">$G$13+VLOOKUP($Q66,武学奇术!$A:$ZZ,14,FALSE)+SUM(_xlfn.XLOOKUP(R66:AF66,增益!$A:$A,增益!$N:$N,0))</f>
        <v>0.15</v>
      </c>
      <c r="BE66">
        <f t="shared" si="30"/>
        <v>0</v>
      </c>
      <c r="BF66">
        <f t="shared" si="31"/>
        <v>0</v>
      </c>
      <c r="BG66" s="32" cm="1">
        <f t="array" ref="BG66">IF($F$14-$I$4+VLOOKUP($Q66,武学奇术!$A:$ZZ,15,FALSE)+SUM(_xlfn.XLOOKUP(R66:AF66,增益!$A:$A,增益!$O:$O,0))&gt;0,($F$14-$I$4+VLOOKUP($Q66,武学奇术!$A:$ZZ,15,FALSE)+SUM(_xlfn.XLOOKUP(R66:AF66,增益!$A:$A,增益!$O:$O,0)))/200,($F$14-$I$4+VLOOKUP($Q66,武学奇术!$A:$ZZ,15,FALSE)+SUM(_xlfn.XLOOKUP(R66:AF66,增益!$A:$A,增益!$O:$O,0)))/100)</f>
        <v>-0.3</v>
      </c>
      <c r="BH66" s="32" cm="1">
        <f t="array" ref="BH66">$G$14+VLOOKUP($Q66,武学奇术!$A:$ZZ,16,FALSE)+SUM(_xlfn.XLOOKUP(R66:AF66,增益!$A:$A,增益!$P:$P,0))</f>
        <v>0</v>
      </c>
      <c r="BI66" s="26">
        <f>MIN(IF(VLOOKUP($Q66,武学奇术!$A:$ZZ,23,FALSE)=1,100%,$B$8),100%)</f>
        <v>1</v>
      </c>
      <c r="BJ66" s="26" cm="1">
        <f t="array" ref="BJ66">IF(VLOOKUP($Q66,武学奇术!$A:$ZZ,23,FALSE)=1,100%,MIN(80%,$B$9+VLOOKUP($Q66,武学奇术!$A:$ZZ,17,FALSE)+SUM(_xlfn.XLOOKUP(R66:AF66,增益!$A:$A,增益!$Q:$Q,0)))+$B$11+SUM(_xlfn.XLOOKUP(R66:AF66,增益!$A:$A,增益!$U:$U,0)))*IF(VLOOKUP($Q66,武学奇术!$A:$ZZ,24,FALSE)=1,0,1)</f>
        <v>0.8625</v>
      </c>
      <c r="BK66" s="26" cm="1">
        <f t="array" ref="BK66">1+$B$13+VLOOKUP($Q66,武学奇术!$A:$ZZ,18,FALSE)+SUM(_xlfn.XLOOKUP(R66:AF66,增益!$A:$A,增益!$R:$R,0))</f>
        <v>1.5</v>
      </c>
      <c r="BL66" s="26" cm="1">
        <f t="array" ref="BL66">IF(VLOOKUP($Q66,武学奇术!$A:$ZZ,24,FALSE)=1,100%,MIN(40%,$B$10+VLOOKUP($Q66,武学奇术!$A:$ZZ,19,FALSE)+SUM(_xlfn.XLOOKUP(R66:AF66,增益!$A:$A,增益!$S:$S,0)))+$B$12+SUM(_xlfn.XLOOKUP(R66:AF66,增益!$A:$A,增益!$V:$V,0)))*IF(VLOOKUP($Q66,武学奇术!$A:$ZZ,23,FALSE)=1,0,1)</f>
        <v>0.0913</v>
      </c>
      <c r="BM66" s="26" cm="1">
        <f t="array" ref="BM66">1+$B$14+VLOOKUP($Q66,武学奇术!$A:$ZZ,20,FALSE)+SUM(_xlfn.XLOOKUP(R66:AF66,增益!$A:$A,增益!$T:$T,0))</f>
        <v>1.35</v>
      </c>
      <c r="BN66" s="26">
        <f t="shared" si="22"/>
        <v>0.8625</v>
      </c>
      <c r="BO66" s="26">
        <f t="shared" si="17"/>
        <v>0.0462</v>
      </c>
      <c r="BP66" s="26">
        <f>IF(VLOOKUP($Q66,武学奇术!$A:$ZZ,22,FALSE)=1,0,(1-$BI66))*(1-$BL66)</f>
        <v>0</v>
      </c>
      <c r="BQ66" s="26" cm="1">
        <f t="array" ref="BQ66">SUM(_xlfn.XLOOKUP(R66:AF66,增益!$A:$A,增益!$W:$W,0))+$I$5</f>
        <v>0.06</v>
      </c>
    </row>
    <row r="67" spans="1:69">
      <c r="K67" s="38">
        <f t="shared" si="23"/>
        <v>0</v>
      </c>
      <c r="L67" s="38">
        <f>((($AN67+$AO67)/2*$AH67+$AI67)*(1+$AP67)*(1+$AQ67)+(($AS67+$AT67)/2*IF($G$1="鸣金",$AJ67,$AH67)+IF($G$1="鸣金",$AK67*1.5,0))*(1+$AU67)*(1+$AV67)+(($AW67+$AX67)/2*IF($G$1="裂石",$AJ67,$AH67)+IF($G$1="裂石",$AK67*1.5,0))*(1+$AY67)*(1+$AZ67)+(($BA67+$BB67)/2*IF($G$1="牵丝",$AJ67,$AH67)+IF($G$1="牵丝",$AK67*1.5,0))*(1+$BC67)*(1+$BD67)+(($BE67+$BF67)/2*IF($G$1="破竹",$AJ67,$AH67)+IF($G$1="破竹",$AK67*1.5,0))*(1+$BG67)*(1+$BH67))*(1+$AL67)*$BK67*$P67*(1+IF(VLOOKUP($Q67,武学奇术!$A:$ZZ,30,FALSE)="蓄力技",#REF!,0))*(1+$BQ67)</f>
        <v>0</v>
      </c>
      <c r="M67" s="38">
        <f>(($AO67*$AH67+$AI67)*(1+$AP67)*(1+$AQ67)+($AT67*IF($G$1="鸣金",$AJ67,$AH67)+IF($G$1="鸣金",$AK67*1.5,0))*(1+$AU67)*(1+$AV67)+($AX67*IF($G$1="裂石",$AJ67,$AH67)+IF($G$1="裂石",$AK67*1.5,0))*(1+$AY67)*(1+$AZ67)+($BB67*IF($G$1="牵丝",$AJ67,$AH67)+IF($G$1="牵丝",$AK67*1.5,0))*(1+$BC67)*(1+$BD67)+($BF67*IF($G$1="破竹",$AJ67,$AH67)+IF($G$1="破竹",$AK67*1.5,0))*(1+$BG67)*(1+$BH67))*(1+$AL67)*$BM67*$P67*(1+IF(VLOOKUP($Q67,武学奇术!$A:$ZZ,30,FALSE)="蓄力技",#REF!,0))*(1+$BQ67)</f>
        <v>0</v>
      </c>
      <c r="N67" s="38">
        <f>((($AN67+$AO67)/2*$AH67+$AI67)*(1+$AP67)*(1+$AQ67)+(($AS67+$AT67)/2*IF($G$1="鸣金",$AJ67,$AH67)+IF($G$1="鸣金",$AK67*1.5,0))*(1+$AU67)*(1+$AV67)+(($AW67+$AX67)/2*IF($G$1="裂石",$AJ67,$AH67)+IF($G$1="裂石",$AK67*1.5,0))*(1+$AY67)*(1+$AZ67)+(($BA67+$BB67)/2*IF($G$1="牵丝",$AJ67,$AH67)+IF($G$1="牵丝",$AK67*1.5,0))*(1+$BC67)*(1+$BD67)+(($BE67+$BF67)/2*IF($G$1="破竹",$AJ67,$AH67)+IF($G$1="破竹",$AK67*1.5,0))*(1+$BG67)*(1+$BH67))*(1+$AL67)*$P67*(1+IF(VLOOKUP($Q67,武学奇术!$A:$ZZ,30,FALSE)="蓄力技",#REF!,0))*(1+$BQ67)</f>
        <v>0</v>
      </c>
      <c r="O67" s="38">
        <f>((($AN67*$AH67+$AI67)*(1+$AP67)*(1+$AQ67)+($AS67*IF($G$1="鸣金",$AJ67,$AH67)+IF($G$1="鸣金",$AK67*1.5,0))*(1+$AU67)*(1+$AV67)+($AW67*IF($G$1="裂石",$AJ67,$AH67)+IF($G$1="裂石",$AK67*1.5,0))*(1+$AY67)*(1+$AZ67)+($BA67*IF($G$1="牵丝",$AJ67,$AH67)+IF($G$1="牵丝",$AK67*1.5,0))*(1+$BC67)*(1+$BD67)+($BE67*IF($G$1="破竹",$AJ67,$AH67)+IF($G$1="破竹",$AK67*1.5,0))*(1+$BG67)*(1+$BH67))*(1+$AL67))*$P67*(1+IF(VLOOKUP($Q67,武学奇术!$A:$ZZ,30,FALSE)="蓄力技",#REF!,0))*(1+$BQ67)</f>
        <v>0</v>
      </c>
      <c r="P67" s="39">
        <v>1</v>
      </c>
      <c r="Q67" s="40" t="s">
        <v>76</v>
      </c>
      <c r="R67" s="40" t="s">
        <v>76</v>
      </c>
      <c r="S67" s="40" t="s">
        <v>76</v>
      </c>
      <c r="T67" s="40" t="s">
        <v>76</v>
      </c>
      <c r="U67" s="40" t="s">
        <v>76</v>
      </c>
      <c r="V67" s="40" t="s">
        <v>76</v>
      </c>
      <c r="W67" s="40" t="s">
        <v>76</v>
      </c>
      <c r="X67" s="40" t="s">
        <v>76</v>
      </c>
      <c r="Y67" s="40" t="s">
        <v>76</v>
      </c>
      <c r="Z67" s="40" t="s">
        <v>76</v>
      </c>
      <c r="AA67" s="40" t="s">
        <v>76</v>
      </c>
      <c r="AB67" s="40" t="s">
        <v>76</v>
      </c>
      <c r="AC67" s="40" t="s">
        <v>76</v>
      </c>
      <c r="AD67" s="40" t="s">
        <v>76</v>
      </c>
      <c r="AE67" s="40" t="s">
        <v>76</v>
      </c>
      <c r="AF67" s="40" t="s">
        <v>76</v>
      </c>
      <c r="AG67" t="str">
        <f>VLOOKUP($Q67,武学奇术!$A:$ZZ,25,FALSE)</f>
        <v>心法</v>
      </c>
      <c r="AH67" s="26">
        <f>VLOOKUP($Q67,武学奇术!$A:$ZZ,26,FALSE)</f>
        <v>0</v>
      </c>
      <c r="AI67" s="27">
        <f>VLOOKUP($Q67,武学奇术!$A:$ZZ,27,FALSE)*(1+IF(OR($AG67=$F$4,$AG67=$F$5),$B$21,0))</f>
        <v>0</v>
      </c>
      <c r="AJ67" s="26">
        <f>VLOOKUP($Q67,武学奇术!$A:$ZZ,28,FALSE)</f>
        <v>0</v>
      </c>
      <c r="AK67" s="27">
        <f>VLOOKUP($Q67,武学奇术!$A:$ZZ,29,FALSE)*(1+IF(OR($AG67=$F$4,$AG67=$F$5),$B$21,0))</f>
        <v>0</v>
      </c>
      <c r="AL67" s="26" cm="1">
        <f t="array" ref="AL67">$G$3+IFERROR(VLOOKUP($AG67,$F$4:$G$7,2,FALSE),0)+VLOOKUP($Q67,武学奇术!$A:$ZZ,2,FALSE)+SUM(_xlfn.XLOOKUP($R67:$AF67,增益!$A:$A,增益!$B:$B,0))</f>
        <v>0.2642</v>
      </c>
      <c r="AM67" s="26" cm="1">
        <f t="array" ref="AM67">VLOOKUP($Q67,武学奇术!$A:$ZZ,5,FALSE)+SUM(_xlfn.XLOOKUP($R67:$AF67,增益!$A:$A,增益!$E:$E,0))</f>
        <v>0</v>
      </c>
      <c r="AN67" cm="1">
        <f t="array" ref="AN67">$D$10*(1+$AM67)+VLOOKUP($Q67,武学奇术!$A:$ZZ,3,FALSE)+SUM(_xlfn.XLOOKUP($R67:$AF67,增益!$A:$A,增益!$C:$C,0))-$I$2</f>
        <v>3977.2</v>
      </c>
      <c r="AO67" cm="1">
        <f t="array" ref="AO67">$E$10*(1+$AM67)+VLOOKUP($Q67,武学奇术!$A:$ZZ,4,FALSE)+SUM(_xlfn.XLOOKUP($R67:$AF67,增益!$A:$A,增益!$D:$D,0))-$I$2</f>
        <v>3977.2</v>
      </c>
      <c r="AP67" s="32" cm="1">
        <f t="array" ref="AP67">IF($F$10-$I$3+VLOOKUP($Q67,武学奇术!$A:$ZZ,6,FALSE)+SUM(_xlfn.XLOOKUP(R67:AF67,增益!$A:$A,增益!$F:$F,0))&gt;0,($F$10-$I$3+VLOOKUP($Q67,武学奇术!$A:$ZZ,6,FALSE)+SUM(_xlfn.XLOOKUP(R67:AF67,增益!$A:$A,增益!$F:$F,0)))/200,($F$10-$I$3+VLOOKUP($Q67,武学奇术!$A:$ZZ,6,FALSE)+SUM(_xlfn.XLOOKUP(R67:AF67,增益!$A:$A,增益!$F:$F,0)))/100)</f>
        <v>0.294</v>
      </c>
      <c r="AQ67" s="32" cm="1">
        <f t="array" ref="AQ67">$G$10+VLOOKUP($Q67,武学奇术!$A:$ZZ,7,FALSE)+SUM(_xlfn.XLOOKUP(R67:AF67,增益!$A:$A,增益!$G:$G,0))</f>
        <v>0</v>
      </c>
      <c r="AR67" s="26" cm="1">
        <f t="array" ref="AR67">VLOOKUP($Q67,武学奇术!$A:$ZZ,8,FALSE)+SUM(_xlfn.XLOOKUP(R67:AF67,增益!$A:$A,增益!$H:$H,0))</f>
        <v>0</v>
      </c>
      <c r="AS67">
        <f t="shared" si="24"/>
        <v>0</v>
      </c>
      <c r="AT67">
        <f t="shared" si="25"/>
        <v>0</v>
      </c>
      <c r="AU67" s="32" cm="1">
        <f t="array" ref="AU67">IF($F$11-$I$4+VLOOKUP($Q67,武学奇术!$A:$ZZ,9,FALSE)+SUM(_xlfn.XLOOKUP(R67:AF67,增益!$A:$A,增益!$I:$I,0))&gt;0,($F$11-$I$4+VLOOKUP($Q67,武学奇术!$A:$ZZ,9,FALSE)+SUM(_xlfn.XLOOKUP(R67:AF67,增益!$A:$A,增益!$I:$I,0)))/200,($F$11-$I$4+VLOOKUP($Q67,武学奇术!$A:$ZZ,9,FALSE)+SUM(_xlfn.XLOOKUP(R67:AF67,增益!$A:$A,增益!$I:$I,0)))/100)</f>
        <v>-0.3</v>
      </c>
      <c r="AV67" s="32" cm="1">
        <f t="array" ref="AV67">$G$11+VLOOKUP($Q67,武学奇术!$A:$ZZ,10,FALSE)+SUM(_xlfn.XLOOKUP(R67:AF67,增益!$A:$A,增益!$J:$J,0))</f>
        <v>0</v>
      </c>
      <c r="AW67">
        <f t="shared" si="26"/>
        <v>0</v>
      </c>
      <c r="AX67">
        <f t="shared" si="27"/>
        <v>0</v>
      </c>
      <c r="AY67" s="32" cm="1">
        <f t="array" ref="AY67">IF($F$12-$I$4+VLOOKUP($Q67,武学奇术!$A:$ZZ,11,FALSE)+SUM(_xlfn.XLOOKUP(R67:AF67,增益!$A:$A,增益!$K:$K,0))&gt;0,($F$12-$I$4+VLOOKUP($Q67,武学奇术!$A:$ZZ,11,FALSE)+SUM(_xlfn.XLOOKUP(R67:AF67,增益!$A:$A,增益!$K:$K,0)))/200,($F$12-$I$4+VLOOKUP($Q67,武学奇术!$A:$ZZ,11,FALSE)+SUM(_xlfn.XLOOKUP(R67:AF67,增益!$A:$A,增益!$K:$K,0)))/100)</f>
        <v>-0.3</v>
      </c>
      <c r="AZ67" s="32" cm="1">
        <f t="array" ref="AZ67">$G$12+VLOOKUP($Q67,武学奇术!$A:$ZZ,12,FALSE)+SUM(_xlfn.XLOOKUP(R67:AF67,增益!$A:$A,增益!$L:$L,0))</f>
        <v>0</v>
      </c>
      <c r="BA67">
        <f t="shared" si="28"/>
        <v>697.4</v>
      </c>
      <c r="BB67">
        <f t="shared" si="29"/>
        <v>1805</v>
      </c>
      <c r="BC67" s="32" cm="1">
        <f t="array" ref="BC67">IF($F$13-$I$4+VLOOKUP($Q67,武学奇术!$A:$ZZ,13,FALSE)+SUM(_xlfn.XLOOKUP(R67:AF67,增益!$A:$A,增益!$M:$M,0))&gt;0,($F$13-$I$4+VLOOKUP($Q67,武学奇术!$A:$ZZ,13,FALSE)+SUM(_xlfn.XLOOKUP(R67:AF67,增益!$A:$A,增益!$K:$K,0)))/200,($F$13-$I$4+VLOOKUP($Q67,武学奇术!$A:$ZZ,13,FALSE)+SUM(_xlfn.XLOOKUP(R67:AF67,增益!$A:$A,增益!$M:$M,0)))/100)</f>
        <v>0</v>
      </c>
      <c r="BD67" s="32" cm="1">
        <f t="array" ref="BD67">$G$13+VLOOKUP($Q67,武学奇术!$A:$ZZ,14,FALSE)+SUM(_xlfn.XLOOKUP(R67:AF67,增益!$A:$A,增益!$N:$N,0))</f>
        <v>0.15</v>
      </c>
      <c r="BE67">
        <f t="shared" si="30"/>
        <v>0</v>
      </c>
      <c r="BF67">
        <f t="shared" si="31"/>
        <v>0</v>
      </c>
      <c r="BG67" s="32" cm="1">
        <f t="array" ref="BG67">IF($F$14-$I$4+VLOOKUP($Q67,武学奇术!$A:$ZZ,15,FALSE)+SUM(_xlfn.XLOOKUP(R67:AF67,增益!$A:$A,增益!$O:$O,0))&gt;0,($F$14-$I$4+VLOOKUP($Q67,武学奇术!$A:$ZZ,15,FALSE)+SUM(_xlfn.XLOOKUP(R67:AF67,增益!$A:$A,增益!$O:$O,0)))/200,($F$14-$I$4+VLOOKUP($Q67,武学奇术!$A:$ZZ,15,FALSE)+SUM(_xlfn.XLOOKUP(R67:AF67,增益!$A:$A,增益!$O:$O,0)))/100)</f>
        <v>-0.3</v>
      </c>
      <c r="BH67" s="32" cm="1">
        <f t="array" ref="BH67">$G$14+VLOOKUP($Q67,武学奇术!$A:$ZZ,16,FALSE)+SUM(_xlfn.XLOOKUP(R67:AF67,增益!$A:$A,增益!$P:$P,0))</f>
        <v>0</v>
      </c>
      <c r="BI67" s="26">
        <f>MIN(IF(VLOOKUP($Q67,武学奇术!$A:$ZZ,23,FALSE)=1,100%,$B$8),100%)</f>
        <v>1</v>
      </c>
      <c r="BJ67" s="26" cm="1">
        <f t="array" ref="BJ67">IF(VLOOKUP($Q67,武学奇术!$A:$ZZ,23,FALSE)=1,100%,MIN(80%,$B$9+VLOOKUP($Q67,武学奇术!$A:$ZZ,17,FALSE)+SUM(_xlfn.XLOOKUP(R67:AF67,增益!$A:$A,增益!$Q:$Q,0)))+$B$11+SUM(_xlfn.XLOOKUP(R67:AF67,增益!$A:$A,增益!$U:$U,0)))*IF(VLOOKUP($Q67,武学奇术!$A:$ZZ,24,FALSE)=1,0,1)</f>
        <v>0.8625</v>
      </c>
      <c r="BK67" s="26" cm="1">
        <f t="array" ref="BK67">1+$B$13+VLOOKUP($Q67,武学奇术!$A:$ZZ,18,FALSE)+SUM(_xlfn.XLOOKUP(R67:AF67,增益!$A:$A,增益!$R:$R,0))</f>
        <v>1.5</v>
      </c>
      <c r="BL67" s="26" cm="1">
        <f t="array" ref="BL67">IF(VLOOKUP($Q67,武学奇术!$A:$ZZ,24,FALSE)=1,100%,MIN(40%,$B$10+VLOOKUP($Q67,武学奇术!$A:$ZZ,19,FALSE)+SUM(_xlfn.XLOOKUP(R67:AF67,增益!$A:$A,增益!$S:$S,0)))+$B$12+SUM(_xlfn.XLOOKUP(R67:AF67,增益!$A:$A,增益!$V:$V,0)))*IF(VLOOKUP($Q67,武学奇术!$A:$ZZ,23,FALSE)=1,0,1)</f>
        <v>0.0913</v>
      </c>
      <c r="BM67" s="26" cm="1">
        <f t="array" ref="BM67">1+$B$14+VLOOKUP($Q67,武学奇术!$A:$ZZ,20,FALSE)+SUM(_xlfn.XLOOKUP(R67:AF67,增益!$A:$A,增益!$T:$T,0))</f>
        <v>1.35</v>
      </c>
      <c r="BN67" s="26">
        <f t="shared" si="22"/>
        <v>0.8625</v>
      </c>
      <c r="BO67" s="26">
        <f t="shared" ref="BO67:BO101" si="32">1-BL67-BN67-BP67</f>
        <v>0.0462</v>
      </c>
      <c r="BP67" s="26">
        <f>IF(VLOOKUP($Q67,武学奇术!$A:$ZZ,22,FALSE)=1,0,(1-$BI67))*(1-$BL67)</f>
        <v>0</v>
      </c>
      <c r="BQ67" s="26" cm="1">
        <f t="array" ref="BQ67">SUM(_xlfn.XLOOKUP(R67:AF67,增益!$A:$A,增益!$W:$W,0))+$I$5</f>
        <v>0.06</v>
      </c>
    </row>
    <row r="68" spans="1:69">
      <c r="K68" s="38">
        <f t="shared" si="23"/>
        <v>0</v>
      </c>
      <c r="L68" s="38">
        <f>((($AN68+$AO68)/2*$AH68+$AI68)*(1+$AP68)*(1+$AQ68)+(($AS68+$AT68)/2*IF($G$1="鸣金",$AJ68,$AH68)+IF($G$1="鸣金",$AK68*1.5,0))*(1+$AU68)*(1+$AV68)+(($AW68+$AX68)/2*IF($G$1="裂石",$AJ68,$AH68)+IF($G$1="裂石",$AK68*1.5,0))*(1+$AY68)*(1+$AZ68)+(($BA68+$BB68)/2*IF($G$1="牵丝",$AJ68,$AH68)+IF($G$1="牵丝",$AK68*1.5,0))*(1+$BC68)*(1+$BD68)+(($BE68+$BF68)/2*IF($G$1="破竹",$AJ68,$AH68)+IF($G$1="破竹",$AK68*1.5,0))*(1+$BG68)*(1+$BH68))*(1+$AL68)*$BK68*$P68*(1+IF(VLOOKUP($Q68,武学奇术!$A:$ZZ,30,FALSE)="蓄力技",#REF!,0))*(1+$BQ68)</f>
        <v>0</v>
      </c>
      <c r="M68" s="38">
        <f>(($AO68*$AH68+$AI68)*(1+$AP68)*(1+$AQ68)+($AT68*IF($G$1="鸣金",$AJ68,$AH68)+IF($G$1="鸣金",$AK68*1.5,0))*(1+$AU68)*(1+$AV68)+($AX68*IF($G$1="裂石",$AJ68,$AH68)+IF($G$1="裂石",$AK68*1.5,0))*(1+$AY68)*(1+$AZ68)+($BB68*IF($G$1="牵丝",$AJ68,$AH68)+IF($G$1="牵丝",$AK68*1.5,0))*(1+$BC68)*(1+$BD68)+($BF68*IF($G$1="破竹",$AJ68,$AH68)+IF($G$1="破竹",$AK68*1.5,0))*(1+$BG68)*(1+$BH68))*(1+$AL68)*$BM68*$P68*(1+IF(VLOOKUP($Q68,武学奇术!$A:$ZZ,30,FALSE)="蓄力技",#REF!,0))*(1+$BQ68)</f>
        <v>0</v>
      </c>
      <c r="N68" s="38">
        <f>((($AN68+$AO68)/2*$AH68+$AI68)*(1+$AP68)*(1+$AQ68)+(($AS68+$AT68)/2*IF($G$1="鸣金",$AJ68,$AH68)+IF($G$1="鸣金",$AK68*1.5,0))*(1+$AU68)*(1+$AV68)+(($AW68+$AX68)/2*IF($G$1="裂石",$AJ68,$AH68)+IF($G$1="裂石",$AK68*1.5,0))*(1+$AY68)*(1+$AZ68)+(($BA68+$BB68)/2*IF($G$1="牵丝",$AJ68,$AH68)+IF($G$1="牵丝",$AK68*1.5,0))*(1+$BC68)*(1+$BD68)+(($BE68+$BF68)/2*IF($G$1="破竹",$AJ68,$AH68)+IF($G$1="破竹",$AK68*1.5,0))*(1+$BG68)*(1+$BH68))*(1+$AL68)*$P68*(1+IF(VLOOKUP($Q68,武学奇术!$A:$ZZ,30,FALSE)="蓄力技",#REF!,0))*(1+$BQ68)</f>
        <v>0</v>
      </c>
      <c r="O68" s="38">
        <f>((($AN68*$AH68+$AI68)*(1+$AP68)*(1+$AQ68)+($AS68*IF($G$1="鸣金",$AJ68,$AH68)+IF($G$1="鸣金",$AK68*1.5,0))*(1+$AU68)*(1+$AV68)+($AW68*IF($G$1="裂石",$AJ68,$AH68)+IF($G$1="裂石",$AK68*1.5,0))*(1+$AY68)*(1+$AZ68)+($BA68*IF($G$1="牵丝",$AJ68,$AH68)+IF($G$1="牵丝",$AK68*1.5,0))*(1+$BC68)*(1+$BD68)+($BE68*IF($G$1="破竹",$AJ68,$AH68)+IF($G$1="破竹",$AK68*1.5,0))*(1+$BG68)*(1+$BH68))*(1+$AL68))*$P68*(1+IF(VLOOKUP($Q68,武学奇术!$A:$ZZ,30,FALSE)="蓄力技",#REF!,0))*(1+$BQ68)</f>
        <v>0</v>
      </c>
      <c r="P68" s="39">
        <v>1</v>
      </c>
      <c r="Q68" s="40" t="s">
        <v>76</v>
      </c>
      <c r="R68" s="40" t="s">
        <v>76</v>
      </c>
      <c r="S68" s="40" t="s">
        <v>76</v>
      </c>
      <c r="T68" s="40" t="s">
        <v>76</v>
      </c>
      <c r="U68" s="40" t="s">
        <v>76</v>
      </c>
      <c r="V68" s="40" t="s">
        <v>76</v>
      </c>
      <c r="W68" s="40" t="s">
        <v>76</v>
      </c>
      <c r="X68" s="40" t="s">
        <v>76</v>
      </c>
      <c r="Y68" s="40" t="s">
        <v>76</v>
      </c>
      <c r="Z68" s="40" t="s">
        <v>76</v>
      </c>
      <c r="AA68" s="40" t="s">
        <v>76</v>
      </c>
      <c r="AB68" s="40" t="s">
        <v>76</v>
      </c>
      <c r="AC68" s="40" t="s">
        <v>76</v>
      </c>
      <c r="AD68" s="40" t="s">
        <v>76</v>
      </c>
      <c r="AE68" s="40" t="s">
        <v>76</v>
      </c>
      <c r="AF68" s="40" t="s">
        <v>76</v>
      </c>
      <c r="AG68" t="str">
        <f>VLOOKUP($Q68,武学奇术!$A:$ZZ,25,FALSE)</f>
        <v>心法</v>
      </c>
      <c r="AH68" s="26">
        <f>VLOOKUP($Q68,武学奇术!$A:$ZZ,26,FALSE)</f>
        <v>0</v>
      </c>
      <c r="AI68" s="27">
        <f>VLOOKUP($Q68,武学奇术!$A:$ZZ,27,FALSE)*(1+IF(OR($AG68=$F$4,$AG68=$F$5),$B$21,0))</f>
        <v>0</v>
      </c>
      <c r="AJ68" s="26">
        <f>VLOOKUP($Q68,武学奇术!$A:$ZZ,28,FALSE)</f>
        <v>0</v>
      </c>
      <c r="AK68" s="27">
        <f>VLOOKUP($Q68,武学奇术!$A:$ZZ,29,FALSE)*(1+IF(OR($AG68=$F$4,$AG68=$F$5),$B$21,0))</f>
        <v>0</v>
      </c>
      <c r="AL68" s="26" cm="1">
        <f t="array" ref="AL68">$G$3+IFERROR(VLOOKUP($AG68,$F$4:$G$7,2,FALSE),0)+VLOOKUP($Q68,武学奇术!$A:$ZZ,2,FALSE)+SUM(_xlfn.XLOOKUP($R68:$AF68,增益!$A:$A,增益!$B:$B,0))</f>
        <v>0.2642</v>
      </c>
      <c r="AM68" s="26" cm="1">
        <f t="array" ref="AM68">VLOOKUP($Q68,武学奇术!$A:$ZZ,5,FALSE)+SUM(_xlfn.XLOOKUP($R68:$AF68,增益!$A:$A,增益!$E:$E,0))</f>
        <v>0</v>
      </c>
      <c r="AN68" cm="1">
        <f t="array" ref="AN68">$D$10*(1+$AM68)+VLOOKUP($Q68,武学奇术!$A:$ZZ,3,FALSE)+SUM(_xlfn.XLOOKUP($R68:$AF68,增益!$A:$A,增益!$C:$C,0))-$I$2</f>
        <v>3977.2</v>
      </c>
      <c r="AO68" cm="1">
        <f t="array" ref="AO68">$E$10*(1+$AM68)+VLOOKUP($Q68,武学奇术!$A:$ZZ,4,FALSE)+SUM(_xlfn.XLOOKUP($R68:$AF68,增益!$A:$A,增益!$D:$D,0))-$I$2</f>
        <v>3977.2</v>
      </c>
      <c r="AP68" s="32" cm="1">
        <f t="array" ref="AP68">IF($F$10-$I$3+VLOOKUP($Q68,武学奇术!$A:$ZZ,6,FALSE)+SUM(_xlfn.XLOOKUP(R68:AF68,增益!$A:$A,增益!$F:$F,0))&gt;0,($F$10-$I$3+VLOOKUP($Q68,武学奇术!$A:$ZZ,6,FALSE)+SUM(_xlfn.XLOOKUP(R68:AF68,增益!$A:$A,增益!$F:$F,0)))/200,($F$10-$I$3+VLOOKUP($Q68,武学奇术!$A:$ZZ,6,FALSE)+SUM(_xlfn.XLOOKUP(R68:AF68,增益!$A:$A,增益!$F:$F,0)))/100)</f>
        <v>0.294</v>
      </c>
      <c r="AQ68" s="32" cm="1">
        <f t="array" ref="AQ68">$G$10+VLOOKUP($Q68,武学奇术!$A:$ZZ,7,FALSE)+SUM(_xlfn.XLOOKUP(R68:AF68,增益!$A:$A,增益!$G:$G,0))</f>
        <v>0</v>
      </c>
      <c r="AR68" s="26" cm="1">
        <f t="array" ref="AR68">VLOOKUP($Q68,武学奇术!$A:$ZZ,8,FALSE)+SUM(_xlfn.XLOOKUP(R68:AF68,增益!$A:$A,增益!$H:$H,0))</f>
        <v>0</v>
      </c>
      <c r="AS68">
        <f t="shared" si="24"/>
        <v>0</v>
      </c>
      <c r="AT68">
        <f t="shared" si="25"/>
        <v>0</v>
      </c>
      <c r="AU68" s="32" cm="1">
        <f t="array" ref="AU68">IF($F$11-$I$4+VLOOKUP($Q68,武学奇术!$A:$ZZ,9,FALSE)+SUM(_xlfn.XLOOKUP(R68:AF68,增益!$A:$A,增益!$I:$I,0))&gt;0,($F$11-$I$4+VLOOKUP($Q68,武学奇术!$A:$ZZ,9,FALSE)+SUM(_xlfn.XLOOKUP(R68:AF68,增益!$A:$A,增益!$I:$I,0)))/200,($F$11-$I$4+VLOOKUP($Q68,武学奇术!$A:$ZZ,9,FALSE)+SUM(_xlfn.XLOOKUP(R68:AF68,增益!$A:$A,增益!$I:$I,0)))/100)</f>
        <v>-0.3</v>
      </c>
      <c r="AV68" s="32" cm="1">
        <f t="array" ref="AV68">$G$11+VLOOKUP($Q68,武学奇术!$A:$ZZ,10,FALSE)+SUM(_xlfn.XLOOKUP(R68:AF68,增益!$A:$A,增益!$J:$J,0))</f>
        <v>0</v>
      </c>
      <c r="AW68">
        <f t="shared" si="26"/>
        <v>0</v>
      </c>
      <c r="AX68">
        <f t="shared" si="27"/>
        <v>0</v>
      </c>
      <c r="AY68" s="32" cm="1">
        <f t="array" ref="AY68">IF($F$12-$I$4+VLOOKUP($Q68,武学奇术!$A:$ZZ,11,FALSE)+SUM(_xlfn.XLOOKUP(R68:AF68,增益!$A:$A,增益!$K:$K,0))&gt;0,($F$12-$I$4+VLOOKUP($Q68,武学奇术!$A:$ZZ,11,FALSE)+SUM(_xlfn.XLOOKUP(R68:AF68,增益!$A:$A,增益!$K:$K,0)))/200,($F$12-$I$4+VLOOKUP($Q68,武学奇术!$A:$ZZ,11,FALSE)+SUM(_xlfn.XLOOKUP(R68:AF68,增益!$A:$A,增益!$K:$K,0)))/100)</f>
        <v>-0.3</v>
      </c>
      <c r="AZ68" s="32" cm="1">
        <f t="array" ref="AZ68">$G$12+VLOOKUP($Q68,武学奇术!$A:$ZZ,12,FALSE)+SUM(_xlfn.XLOOKUP(R68:AF68,增益!$A:$A,增益!$L:$L,0))</f>
        <v>0</v>
      </c>
      <c r="BA68">
        <f t="shared" si="28"/>
        <v>697.4</v>
      </c>
      <c r="BB68">
        <f t="shared" si="29"/>
        <v>1805</v>
      </c>
      <c r="BC68" s="32" cm="1">
        <f t="array" ref="BC68">IF($F$13-$I$4+VLOOKUP($Q68,武学奇术!$A:$ZZ,13,FALSE)+SUM(_xlfn.XLOOKUP(R68:AF68,增益!$A:$A,增益!$M:$M,0))&gt;0,($F$13-$I$4+VLOOKUP($Q68,武学奇术!$A:$ZZ,13,FALSE)+SUM(_xlfn.XLOOKUP(R68:AF68,增益!$A:$A,增益!$K:$K,0)))/200,($F$13-$I$4+VLOOKUP($Q68,武学奇术!$A:$ZZ,13,FALSE)+SUM(_xlfn.XLOOKUP(R68:AF68,增益!$A:$A,增益!$M:$M,0)))/100)</f>
        <v>0</v>
      </c>
      <c r="BD68" s="32" cm="1">
        <f t="array" ref="BD68">$G$13+VLOOKUP($Q68,武学奇术!$A:$ZZ,14,FALSE)+SUM(_xlfn.XLOOKUP(R68:AF68,增益!$A:$A,增益!$N:$N,0))</f>
        <v>0.15</v>
      </c>
      <c r="BE68">
        <f t="shared" si="30"/>
        <v>0</v>
      </c>
      <c r="BF68">
        <f t="shared" si="31"/>
        <v>0</v>
      </c>
      <c r="BG68" s="32" cm="1">
        <f t="array" ref="BG68">IF($F$14-$I$4+VLOOKUP($Q68,武学奇术!$A:$ZZ,15,FALSE)+SUM(_xlfn.XLOOKUP(R68:AF68,增益!$A:$A,增益!$O:$O,0))&gt;0,($F$14-$I$4+VLOOKUP($Q68,武学奇术!$A:$ZZ,15,FALSE)+SUM(_xlfn.XLOOKUP(R68:AF68,增益!$A:$A,增益!$O:$O,0)))/200,($F$14-$I$4+VLOOKUP($Q68,武学奇术!$A:$ZZ,15,FALSE)+SUM(_xlfn.XLOOKUP(R68:AF68,增益!$A:$A,增益!$O:$O,0)))/100)</f>
        <v>-0.3</v>
      </c>
      <c r="BH68" s="32" cm="1">
        <f t="array" ref="BH68">$G$14+VLOOKUP($Q68,武学奇术!$A:$ZZ,16,FALSE)+SUM(_xlfn.XLOOKUP(R68:AF68,增益!$A:$A,增益!$P:$P,0))</f>
        <v>0</v>
      </c>
      <c r="BI68" s="26">
        <f>MIN(IF(VLOOKUP($Q68,武学奇术!$A:$ZZ,23,FALSE)=1,100%,$B$8),100%)</f>
        <v>1</v>
      </c>
      <c r="BJ68" s="26" cm="1">
        <f t="array" ref="BJ68">IF(VLOOKUP($Q68,武学奇术!$A:$ZZ,23,FALSE)=1,100%,MIN(80%,$B$9+VLOOKUP($Q68,武学奇术!$A:$ZZ,17,FALSE)+SUM(_xlfn.XLOOKUP(R68:AF68,增益!$A:$A,增益!$Q:$Q,0)))+$B$11+SUM(_xlfn.XLOOKUP(R68:AF68,增益!$A:$A,增益!$U:$U,0)))*IF(VLOOKUP($Q68,武学奇术!$A:$ZZ,24,FALSE)=1,0,1)</f>
        <v>0.8625</v>
      </c>
      <c r="BK68" s="26" cm="1">
        <f t="array" ref="BK68">1+$B$13+VLOOKUP($Q68,武学奇术!$A:$ZZ,18,FALSE)+SUM(_xlfn.XLOOKUP(R68:AF68,增益!$A:$A,增益!$R:$R,0))</f>
        <v>1.5</v>
      </c>
      <c r="BL68" s="26" cm="1">
        <f t="array" ref="BL68">IF(VLOOKUP($Q68,武学奇术!$A:$ZZ,24,FALSE)=1,100%,MIN(40%,$B$10+VLOOKUP($Q68,武学奇术!$A:$ZZ,19,FALSE)+SUM(_xlfn.XLOOKUP(R68:AF68,增益!$A:$A,增益!$S:$S,0)))+$B$12+SUM(_xlfn.XLOOKUP(R68:AF68,增益!$A:$A,增益!$V:$V,0)))*IF(VLOOKUP($Q68,武学奇术!$A:$ZZ,23,FALSE)=1,0,1)</f>
        <v>0.0913</v>
      </c>
      <c r="BM68" s="26" cm="1">
        <f t="array" ref="BM68">1+$B$14+VLOOKUP($Q68,武学奇术!$A:$ZZ,20,FALSE)+SUM(_xlfn.XLOOKUP(R68:AF68,增益!$A:$A,增益!$T:$T,0))</f>
        <v>1.35</v>
      </c>
      <c r="BN68" s="26">
        <f t="shared" si="22"/>
        <v>0.8625</v>
      </c>
      <c r="BO68" s="26">
        <f t="shared" si="32"/>
        <v>0.0462</v>
      </c>
      <c r="BP68" s="26">
        <f>IF(VLOOKUP($Q68,武学奇术!$A:$ZZ,22,FALSE)=1,0,(1-$BI68))*(1-$BL68)</f>
        <v>0</v>
      </c>
      <c r="BQ68" s="26" cm="1">
        <f t="array" ref="BQ68">SUM(_xlfn.XLOOKUP(R68:AF68,增益!$A:$A,增益!$W:$W,0))+$I$5</f>
        <v>0.06</v>
      </c>
    </row>
    <row r="69" spans="1:69">
      <c r="K69" s="38">
        <f t="shared" si="23"/>
        <v>0</v>
      </c>
      <c r="L69" s="38">
        <f>((($AN69+$AO69)/2*$AH69+$AI69)*(1+$AP69)*(1+$AQ69)+(($AS69+$AT69)/2*IF($G$1="鸣金",$AJ69,$AH69)+IF($G$1="鸣金",$AK69*1.5,0))*(1+$AU69)*(1+$AV69)+(($AW69+$AX69)/2*IF($G$1="裂石",$AJ69,$AH69)+IF($G$1="裂石",$AK69*1.5,0))*(1+$AY69)*(1+$AZ69)+(($BA69+$BB69)/2*IF($G$1="牵丝",$AJ69,$AH69)+IF($G$1="牵丝",$AK69*1.5,0))*(1+$BC69)*(1+$BD69)+(($BE69+$BF69)/2*IF($G$1="破竹",$AJ69,$AH69)+IF($G$1="破竹",$AK69*1.5,0))*(1+$BG69)*(1+$BH69))*(1+$AL69)*$BK69*$P69*(1+IF(VLOOKUP($Q69,武学奇术!$A:$ZZ,30,FALSE)="蓄力技",#REF!,0))*(1+$BQ69)</f>
        <v>0</v>
      </c>
      <c r="M69" s="38">
        <f>(($AO69*$AH69+$AI69)*(1+$AP69)*(1+$AQ69)+($AT69*IF($G$1="鸣金",$AJ69,$AH69)+IF($G$1="鸣金",$AK69*1.5,0))*(1+$AU69)*(1+$AV69)+($AX69*IF($G$1="裂石",$AJ69,$AH69)+IF($G$1="裂石",$AK69*1.5,0))*(1+$AY69)*(1+$AZ69)+($BB69*IF($G$1="牵丝",$AJ69,$AH69)+IF($G$1="牵丝",$AK69*1.5,0))*(1+$BC69)*(1+$BD69)+($BF69*IF($G$1="破竹",$AJ69,$AH69)+IF($G$1="破竹",$AK69*1.5,0))*(1+$BG69)*(1+$BH69))*(1+$AL69)*$BM69*$P69*(1+IF(VLOOKUP($Q69,武学奇术!$A:$ZZ,30,FALSE)="蓄力技",#REF!,0))*(1+$BQ69)</f>
        <v>0</v>
      </c>
      <c r="N69" s="38">
        <f>((($AN69+$AO69)/2*$AH69+$AI69)*(1+$AP69)*(1+$AQ69)+(($AS69+$AT69)/2*IF($G$1="鸣金",$AJ69,$AH69)+IF($G$1="鸣金",$AK69*1.5,0))*(1+$AU69)*(1+$AV69)+(($AW69+$AX69)/2*IF($G$1="裂石",$AJ69,$AH69)+IF($G$1="裂石",$AK69*1.5,0))*(1+$AY69)*(1+$AZ69)+(($BA69+$BB69)/2*IF($G$1="牵丝",$AJ69,$AH69)+IF($G$1="牵丝",$AK69*1.5,0))*(1+$BC69)*(1+$BD69)+(($BE69+$BF69)/2*IF($G$1="破竹",$AJ69,$AH69)+IF($G$1="破竹",$AK69*1.5,0))*(1+$BG69)*(1+$BH69))*(1+$AL69)*$P69*(1+IF(VLOOKUP($Q69,武学奇术!$A:$ZZ,30,FALSE)="蓄力技",#REF!,0))*(1+$BQ69)</f>
        <v>0</v>
      </c>
      <c r="O69" s="38">
        <f>((($AN69*$AH69+$AI69)*(1+$AP69)*(1+$AQ69)+($AS69*IF($G$1="鸣金",$AJ69,$AH69)+IF($G$1="鸣金",$AK69*1.5,0))*(1+$AU69)*(1+$AV69)+($AW69*IF($G$1="裂石",$AJ69,$AH69)+IF($G$1="裂石",$AK69*1.5,0))*(1+$AY69)*(1+$AZ69)+($BA69*IF($G$1="牵丝",$AJ69,$AH69)+IF($G$1="牵丝",$AK69*1.5,0))*(1+$BC69)*(1+$BD69)+($BE69*IF($G$1="破竹",$AJ69,$AH69)+IF($G$1="破竹",$AK69*1.5,0))*(1+$BG69)*(1+$BH69))*(1+$AL69))*$P69*(1+IF(VLOOKUP($Q69,武学奇术!$A:$ZZ,30,FALSE)="蓄力技",#REF!,0))*(1+$BQ69)</f>
        <v>0</v>
      </c>
      <c r="P69" s="39">
        <v>1</v>
      </c>
      <c r="Q69" s="40" t="s">
        <v>76</v>
      </c>
      <c r="R69" s="40" t="s">
        <v>76</v>
      </c>
      <c r="S69" s="40" t="s">
        <v>76</v>
      </c>
      <c r="T69" s="40" t="s">
        <v>76</v>
      </c>
      <c r="U69" s="40" t="s">
        <v>76</v>
      </c>
      <c r="V69" s="40" t="s">
        <v>76</v>
      </c>
      <c r="W69" s="40" t="s">
        <v>76</v>
      </c>
      <c r="X69" s="40" t="s">
        <v>76</v>
      </c>
      <c r="Y69" s="40" t="s">
        <v>76</v>
      </c>
      <c r="Z69" s="40" t="s">
        <v>76</v>
      </c>
      <c r="AA69" s="40" t="s">
        <v>76</v>
      </c>
      <c r="AB69" s="40" t="s">
        <v>76</v>
      </c>
      <c r="AC69" s="40" t="s">
        <v>76</v>
      </c>
      <c r="AD69" s="40" t="s">
        <v>76</v>
      </c>
      <c r="AE69" s="40" t="s">
        <v>76</v>
      </c>
      <c r="AF69" s="40" t="s">
        <v>76</v>
      </c>
      <c r="AG69" t="str">
        <f>VLOOKUP($Q69,武学奇术!$A:$ZZ,25,FALSE)</f>
        <v>心法</v>
      </c>
      <c r="AH69" s="26">
        <f>VLOOKUP($Q69,武学奇术!$A:$ZZ,26,FALSE)</f>
        <v>0</v>
      </c>
      <c r="AI69" s="27">
        <f>VLOOKUP($Q69,武学奇术!$A:$ZZ,27,FALSE)*(1+IF(OR($AG69=$F$4,$AG69=$F$5),$B$21,0))</f>
        <v>0</v>
      </c>
      <c r="AJ69" s="26">
        <f>VLOOKUP($Q69,武学奇术!$A:$ZZ,28,FALSE)</f>
        <v>0</v>
      </c>
      <c r="AK69" s="27">
        <f>VLOOKUP($Q69,武学奇术!$A:$ZZ,29,FALSE)*(1+IF(OR($AG69=$F$4,$AG69=$F$5),$B$21,0))</f>
        <v>0</v>
      </c>
      <c r="AL69" s="26" cm="1">
        <f t="array" ref="AL69">$G$3+IFERROR(VLOOKUP($AG69,$F$4:$G$7,2,FALSE),0)+VLOOKUP($Q69,武学奇术!$A:$ZZ,2,FALSE)+SUM(_xlfn.XLOOKUP($R69:$AF69,增益!$A:$A,增益!$B:$B,0))</f>
        <v>0.2642</v>
      </c>
      <c r="AM69" s="26" cm="1">
        <f t="array" ref="AM69">VLOOKUP($Q69,武学奇术!$A:$ZZ,5,FALSE)+SUM(_xlfn.XLOOKUP($R69:$AF69,增益!$A:$A,增益!$E:$E,0))</f>
        <v>0</v>
      </c>
      <c r="AN69" cm="1">
        <f t="array" ref="AN69">$D$10*(1+$AM69)+VLOOKUP($Q69,武学奇术!$A:$ZZ,3,FALSE)+SUM(_xlfn.XLOOKUP($R69:$AF69,增益!$A:$A,增益!$C:$C,0))-$I$2</f>
        <v>3977.2</v>
      </c>
      <c r="AO69" cm="1">
        <f t="array" ref="AO69">$E$10*(1+$AM69)+VLOOKUP($Q69,武学奇术!$A:$ZZ,4,FALSE)+SUM(_xlfn.XLOOKUP($R69:$AF69,增益!$A:$A,增益!$D:$D,0))-$I$2</f>
        <v>3977.2</v>
      </c>
      <c r="AP69" s="32" cm="1">
        <f t="array" ref="AP69">IF($F$10-$I$3+VLOOKUP($Q69,武学奇术!$A:$ZZ,6,FALSE)+SUM(_xlfn.XLOOKUP(R69:AF69,增益!$A:$A,增益!$F:$F,0))&gt;0,($F$10-$I$3+VLOOKUP($Q69,武学奇术!$A:$ZZ,6,FALSE)+SUM(_xlfn.XLOOKUP(R69:AF69,增益!$A:$A,增益!$F:$F,0)))/200,($F$10-$I$3+VLOOKUP($Q69,武学奇术!$A:$ZZ,6,FALSE)+SUM(_xlfn.XLOOKUP(R69:AF69,增益!$A:$A,增益!$F:$F,0)))/100)</f>
        <v>0.294</v>
      </c>
      <c r="AQ69" s="32" cm="1">
        <f t="array" ref="AQ69">$G$10+VLOOKUP($Q69,武学奇术!$A:$ZZ,7,FALSE)+SUM(_xlfn.XLOOKUP(R69:AF69,增益!$A:$A,增益!$G:$G,0))</f>
        <v>0</v>
      </c>
      <c r="AR69" s="26" cm="1">
        <f t="array" ref="AR69">VLOOKUP($Q69,武学奇术!$A:$ZZ,8,FALSE)+SUM(_xlfn.XLOOKUP(R69:AF69,增益!$A:$A,增益!$H:$H,0))</f>
        <v>0</v>
      </c>
      <c r="AS69">
        <f t="shared" si="24"/>
        <v>0</v>
      </c>
      <c r="AT69">
        <f t="shared" si="25"/>
        <v>0</v>
      </c>
      <c r="AU69" s="32" cm="1">
        <f t="array" ref="AU69">IF($F$11-$I$4+VLOOKUP($Q69,武学奇术!$A:$ZZ,9,FALSE)+SUM(_xlfn.XLOOKUP(R69:AF69,增益!$A:$A,增益!$I:$I,0))&gt;0,($F$11-$I$4+VLOOKUP($Q69,武学奇术!$A:$ZZ,9,FALSE)+SUM(_xlfn.XLOOKUP(R69:AF69,增益!$A:$A,增益!$I:$I,0)))/200,($F$11-$I$4+VLOOKUP($Q69,武学奇术!$A:$ZZ,9,FALSE)+SUM(_xlfn.XLOOKUP(R69:AF69,增益!$A:$A,增益!$I:$I,0)))/100)</f>
        <v>-0.3</v>
      </c>
      <c r="AV69" s="32" cm="1">
        <f t="array" ref="AV69">$G$11+VLOOKUP($Q69,武学奇术!$A:$ZZ,10,FALSE)+SUM(_xlfn.XLOOKUP(R69:AF69,增益!$A:$A,增益!$J:$J,0))</f>
        <v>0</v>
      </c>
      <c r="AW69">
        <f t="shared" si="26"/>
        <v>0</v>
      </c>
      <c r="AX69">
        <f t="shared" si="27"/>
        <v>0</v>
      </c>
      <c r="AY69" s="32" cm="1">
        <f t="array" ref="AY69">IF($F$12-$I$4+VLOOKUP($Q69,武学奇术!$A:$ZZ,11,FALSE)+SUM(_xlfn.XLOOKUP(R69:AF69,增益!$A:$A,增益!$K:$K,0))&gt;0,($F$12-$I$4+VLOOKUP($Q69,武学奇术!$A:$ZZ,11,FALSE)+SUM(_xlfn.XLOOKUP(R69:AF69,增益!$A:$A,增益!$K:$K,0)))/200,($F$12-$I$4+VLOOKUP($Q69,武学奇术!$A:$ZZ,11,FALSE)+SUM(_xlfn.XLOOKUP(R69:AF69,增益!$A:$A,增益!$K:$K,0)))/100)</f>
        <v>-0.3</v>
      </c>
      <c r="AZ69" s="32" cm="1">
        <f t="array" ref="AZ69">$G$12+VLOOKUP($Q69,武学奇术!$A:$ZZ,12,FALSE)+SUM(_xlfn.XLOOKUP(R69:AF69,增益!$A:$A,增益!$L:$L,0))</f>
        <v>0</v>
      </c>
      <c r="BA69">
        <f t="shared" si="28"/>
        <v>697.4</v>
      </c>
      <c r="BB69">
        <f t="shared" si="29"/>
        <v>1805</v>
      </c>
      <c r="BC69" s="32" cm="1">
        <f t="array" ref="BC69">IF($F$13-$I$4+VLOOKUP($Q69,武学奇术!$A:$ZZ,13,FALSE)+SUM(_xlfn.XLOOKUP(R69:AF69,增益!$A:$A,增益!$M:$M,0))&gt;0,($F$13-$I$4+VLOOKUP($Q69,武学奇术!$A:$ZZ,13,FALSE)+SUM(_xlfn.XLOOKUP(R69:AF69,增益!$A:$A,增益!$K:$K,0)))/200,($F$13-$I$4+VLOOKUP($Q69,武学奇术!$A:$ZZ,13,FALSE)+SUM(_xlfn.XLOOKUP(R69:AF69,增益!$A:$A,增益!$M:$M,0)))/100)</f>
        <v>0</v>
      </c>
      <c r="BD69" s="32" cm="1">
        <f t="array" ref="BD69">$G$13+VLOOKUP($Q69,武学奇术!$A:$ZZ,14,FALSE)+SUM(_xlfn.XLOOKUP(R69:AF69,增益!$A:$A,增益!$N:$N,0))</f>
        <v>0.15</v>
      </c>
      <c r="BE69">
        <f t="shared" si="30"/>
        <v>0</v>
      </c>
      <c r="BF69">
        <f t="shared" si="31"/>
        <v>0</v>
      </c>
      <c r="BG69" s="32" cm="1">
        <f t="array" ref="BG69">IF($F$14-$I$4+VLOOKUP($Q69,武学奇术!$A:$ZZ,15,FALSE)+SUM(_xlfn.XLOOKUP(R69:AF69,增益!$A:$A,增益!$O:$O,0))&gt;0,($F$14-$I$4+VLOOKUP($Q69,武学奇术!$A:$ZZ,15,FALSE)+SUM(_xlfn.XLOOKUP(R69:AF69,增益!$A:$A,增益!$O:$O,0)))/200,($F$14-$I$4+VLOOKUP($Q69,武学奇术!$A:$ZZ,15,FALSE)+SUM(_xlfn.XLOOKUP(R69:AF69,增益!$A:$A,增益!$O:$O,0)))/100)</f>
        <v>-0.3</v>
      </c>
      <c r="BH69" s="32" cm="1">
        <f t="array" ref="BH69">$G$14+VLOOKUP($Q69,武学奇术!$A:$ZZ,16,FALSE)+SUM(_xlfn.XLOOKUP(R69:AF69,增益!$A:$A,增益!$P:$P,0))</f>
        <v>0</v>
      </c>
      <c r="BI69" s="26">
        <f>MIN(IF(VLOOKUP($Q69,武学奇术!$A:$ZZ,23,FALSE)=1,100%,$B$8),100%)</f>
        <v>1</v>
      </c>
      <c r="BJ69" s="26" cm="1">
        <f t="array" ref="BJ69">IF(VLOOKUP($Q69,武学奇术!$A:$ZZ,23,FALSE)=1,100%,MIN(80%,$B$9+VLOOKUP($Q69,武学奇术!$A:$ZZ,17,FALSE)+SUM(_xlfn.XLOOKUP(R69:AF69,增益!$A:$A,增益!$Q:$Q,0)))+$B$11+SUM(_xlfn.XLOOKUP(R69:AF69,增益!$A:$A,增益!$U:$U,0)))*IF(VLOOKUP($Q69,武学奇术!$A:$ZZ,24,FALSE)=1,0,1)</f>
        <v>0.8625</v>
      </c>
      <c r="BK69" s="26" cm="1">
        <f t="array" ref="BK69">1+$B$13+VLOOKUP($Q69,武学奇术!$A:$ZZ,18,FALSE)+SUM(_xlfn.XLOOKUP(R69:AF69,增益!$A:$A,增益!$R:$R,0))</f>
        <v>1.5</v>
      </c>
      <c r="BL69" s="26" cm="1">
        <f t="array" ref="BL69">IF(VLOOKUP($Q69,武学奇术!$A:$ZZ,24,FALSE)=1,100%,MIN(40%,$B$10+VLOOKUP($Q69,武学奇术!$A:$ZZ,19,FALSE)+SUM(_xlfn.XLOOKUP(R69:AF69,增益!$A:$A,增益!$S:$S,0)))+$B$12+SUM(_xlfn.XLOOKUP(R69:AF69,增益!$A:$A,增益!$V:$V,0)))*IF(VLOOKUP($Q69,武学奇术!$A:$ZZ,23,FALSE)=1,0,1)</f>
        <v>0.0913</v>
      </c>
      <c r="BM69" s="26" cm="1">
        <f t="array" ref="BM69">1+$B$14+VLOOKUP($Q69,武学奇术!$A:$ZZ,20,FALSE)+SUM(_xlfn.XLOOKUP(R69:AF69,增益!$A:$A,增益!$T:$T,0))</f>
        <v>1.35</v>
      </c>
      <c r="BN69" s="26">
        <f t="shared" si="22"/>
        <v>0.8625</v>
      </c>
      <c r="BO69" s="26">
        <f t="shared" si="32"/>
        <v>0.0462</v>
      </c>
      <c r="BP69" s="26">
        <f>IF(VLOOKUP($Q69,武学奇术!$A:$ZZ,22,FALSE)=1,0,(1-$BI69))*(1-$BL69)</f>
        <v>0</v>
      </c>
      <c r="BQ69" s="26" cm="1">
        <f t="array" ref="BQ69">SUM(_xlfn.XLOOKUP(R69:AF69,增益!$A:$A,增益!$W:$W,0))+$I$5</f>
        <v>0.06</v>
      </c>
    </row>
    <row r="70" spans="1:69">
      <c r="K70" s="38">
        <f t="shared" si="23"/>
        <v>0</v>
      </c>
      <c r="L70" s="38">
        <f>((($AN70+$AO70)/2*$AH70+$AI70)*(1+$AP70)*(1+$AQ70)+(($AS70+$AT70)/2*IF($G$1="鸣金",$AJ70,$AH70)+IF($G$1="鸣金",$AK70*1.5,0))*(1+$AU70)*(1+$AV70)+(($AW70+$AX70)/2*IF($G$1="裂石",$AJ70,$AH70)+IF($G$1="裂石",$AK70*1.5,0))*(1+$AY70)*(1+$AZ70)+(($BA70+$BB70)/2*IF($G$1="牵丝",$AJ70,$AH70)+IF($G$1="牵丝",$AK70*1.5,0))*(1+$BC70)*(1+$BD70)+(($BE70+$BF70)/2*IF($G$1="破竹",$AJ70,$AH70)+IF($G$1="破竹",$AK70*1.5,0))*(1+$BG70)*(1+$BH70))*(1+$AL70)*$BK70*$P70*(1+IF(VLOOKUP($Q70,武学奇术!$A:$ZZ,30,FALSE)="蓄力技",#REF!,0))*(1+$BQ70)</f>
        <v>0</v>
      </c>
      <c r="M70" s="38">
        <f>(($AO70*$AH70+$AI70)*(1+$AP70)*(1+$AQ70)+($AT70*IF($G$1="鸣金",$AJ70,$AH70)+IF($G$1="鸣金",$AK70*1.5,0))*(1+$AU70)*(1+$AV70)+($AX70*IF($G$1="裂石",$AJ70,$AH70)+IF($G$1="裂石",$AK70*1.5,0))*(1+$AY70)*(1+$AZ70)+($BB70*IF($G$1="牵丝",$AJ70,$AH70)+IF($G$1="牵丝",$AK70*1.5,0))*(1+$BC70)*(1+$BD70)+($BF70*IF($G$1="破竹",$AJ70,$AH70)+IF($G$1="破竹",$AK70*1.5,0))*(1+$BG70)*(1+$BH70))*(1+$AL70)*$BM70*$P70*(1+IF(VLOOKUP($Q70,武学奇术!$A:$ZZ,30,FALSE)="蓄力技",#REF!,0))*(1+$BQ70)</f>
        <v>0</v>
      </c>
      <c r="N70" s="38">
        <f>((($AN70+$AO70)/2*$AH70+$AI70)*(1+$AP70)*(1+$AQ70)+(($AS70+$AT70)/2*IF($G$1="鸣金",$AJ70,$AH70)+IF($G$1="鸣金",$AK70*1.5,0))*(1+$AU70)*(1+$AV70)+(($AW70+$AX70)/2*IF($G$1="裂石",$AJ70,$AH70)+IF($G$1="裂石",$AK70*1.5,0))*(1+$AY70)*(1+$AZ70)+(($BA70+$BB70)/2*IF($G$1="牵丝",$AJ70,$AH70)+IF($G$1="牵丝",$AK70*1.5,0))*(1+$BC70)*(1+$BD70)+(($BE70+$BF70)/2*IF($G$1="破竹",$AJ70,$AH70)+IF($G$1="破竹",$AK70*1.5,0))*(1+$BG70)*(1+$BH70))*(1+$AL70)*$P70*(1+IF(VLOOKUP($Q70,武学奇术!$A:$ZZ,30,FALSE)="蓄力技",#REF!,0))*(1+$BQ70)</f>
        <v>0</v>
      </c>
      <c r="O70" s="38">
        <f>((($AN70*$AH70+$AI70)*(1+$AP70)*(1+$AQ70)+($AS70*IF($G$1="鸣金",$AJ70,$AH70)+IF($G$1="鸣金",$AK70*1.5,0))*(1+$AU70)*(1+$AV70)+($AW70*IF($G$1="裂石",$AJ70,$AH70)+IF($G$1="裂石",$AK70*1.5,0))*(1+$AY70)*(1+$AZ70)+($BA70*IF($G$1="牵丝",$AJ70,$AH70)+IF($G$1="牵丝",$AK70*1.5,0))*(1+$BC70)*(1+$BD70)+($BE70*IF($G$1="破竹",$AJ70,$AH70)+IF($G$1="破竹",$AK70*1.5,0))*(1+$BG70)*(1+$BH70))*(1+$AL70))*$P70*(1+IF(VLOOKUP($Q70,武学奇术!$A:$ZZ,30,FALSE)="蓄力技",#REF!,0))*(1+$BQ70)</f>
        <v>0</v>
      </c>
      <c r="P70" s="39">
        <v>1</v>
      </c>
      <c r="Q70" s="40" t="s">
        <v>76</v>
      </c>
      <c r="R70" s="40" t="s">
        <v>76</v>
      </c>
      <c r="S70" s="40" t="s">
        <v>76</v>
      </c>
      <c r="T70" s="40" t="s">
        <v>76</v>
      </c>
      <c r="U70" s="40" t="s">
        <v>76</v>
      </c>
      <c r="V70" s="40" t="s">
        <v>76</v>
      </c>
      <c r="W70" s="40" t="s">
        <v>76</v>
      </c>
      <c r="X70" s="40" t="s">
        <v>76</v>
      </c>
      <c r="Y70" s="40" t="s">
        <v>76</v>
      </c>
      <c r="Z70" s="40" t="s">
        <v>76</v>
      </c>
      <c r="AA70" s="40" t="s">
        <v>76</v>
      </c>
      <c r="AB70" s="40" t="s">
        <v>76</v>
      </c>
      <c r="AC70" s="40" t="s">
        <v>76</v>
      </c>
      <c r="AD70" s="40" t="s">
        <v>76</v>
      </c>
      <c r="AE70" s="40" t="s">
        <v>76</v>
      </c>
      <c r="AF70" s="40" t="s">
        <v>76</v>
      </c>
      <c r="AG70" t="str">
        <f>VLOOKUP($Q70,武学奇术!$A:$ZZ,25,FALSE)</f>
        <v>心法</v>
      </c>
      <c r="AH70" s="26">
        <f>VLOOKUP($Q70,武学奇术!$A:$ZZ,26,FALSE)</f>
        <v>0</v>
      </c>
      <c r="AI70" s="27">
        <f>VLOOKUP($Q70,武学奇术!$A:$ZZ,27,FALSE)*(1+IF(OR($AG70=$F$4,$AG70=$F$5),$B$21,0))</f>
        <v>0</v>
      </c>
      <c r="AJ70" s="26">
        <f>VLOOKUP($Q70,武学奇术!$A:$ZZ,28,FALSE)</f>
        <v>0</v>
      </c>
      <c r="AK70" s="27">
        <f>VLOOKUP($Q70,武学奇术!$A:$ZZ,29,FALSE)*(1+IF(OR($AG70=$F$4,$AG70=$F$5),$B$21,0))</f>
        <v>0</v>
      </c>
      <c r="AL70" s="26" cm="1">
        <f t="array" ref="AL70">$G$3+IFERROR(VLOOKUP($AG70,$F$4:$G$7,2,FALSE),0)+VLOOKUP($Q70,武学奇术!$A:$ZZ,2,FALSE)+SUM(_xlfn.XLOOKUP($R70:$AF70,增益!$A:$A,增益!$B:$B,0))</f>
        <v>0.2642</v>
      </c>
      <c r="AM70" s="26" cm="1">
        <f t="array" ref="AM70">VLOOKUP($Q70,武学奇术!$A:$ZZ,5,FALSE)+SUM(_xlfn.XLOOKUP($R70:$AF70,增益!$A:$A,增益!$E:$E,0))</f>
        <v>0</v>
      </c>
      <c r="AN70" cm="1">
        <f t="array" ref="AN70">$D$10*(1+$AM70)+VLOOKUP($Q70,武学奇术!$A:$ZZ,3,FALSE)+SUM(_xlfn.XLOOKUP($R70:$AF70,增益!$A:$A,增益!$C:$C,0))-$I$2</f>
        <v>3977.2</v>
      </c>
      <c r="AO70" cm="1">
        <f t="array" ref="AO70">$E$10*(1+$AM70)+VLOOKUP($Q70,武学奇术!$A:$ZZ,4,FALSE)+SUM(_xlfn.XLOOKUP($R70:$AF70,增益!$A:$A,增益!$D:$D,0))-$I$2</f>
        <v>3977.2</v>
      </c>
      <c r="AP70" s="32" cm="1">
        <f t="array" ref="AP70">IF($F$10-$I$3+VLOOKUP($Q70,武学奇术!$A:$ZZ,6,FALSE)+SUM(_xlfn.XLOOKUP(R70:AF70,增益!$A:$A,增益!$F:$F,0))&gt;0,($F$10-$I$3+VLOOKUP($Q70,武学奇术!$A:$ZZ,6,FALSE)+SUM(_xlfn.XLOOKUP(R70:AF70,增益!$A:$A,增益!$F:$F,0)))/200,($F$10-$I$3+VLOOKUP($Q70,武学奇术!$A:$ZZ,6,FALSE)+SUM(_xlfn.XLOOKUP(R70:AF70,增益!$A:$A,增益!$F:$F,0)))/100)</f>
        <v>0.294</v>
      </c>
      <c r="AQ70" s="32" cm="1">
        <f t="array" ref="AQ70">$G$10+VLOOKUP($Q70,武学奇术!$A:$ZZ,7,FALSE)+SUM(_xlfn.XLOOKUP(R70:AF70,增益!$A:$A,增益!$G:$G,0))</f>
        <v>0</v>
      </c>
      <c r="AR70" s="26" cm="1">
        <f t="array" ref="AR70">VLOOKUP($Q70,武学奇术!$A:$ZZ,8,FALSE)+SUM(_xlfn.XLOOKUP(R70:AF70,增益!$A:$A,增益!$H:$H,0))</f>
        <v>0</v>
      </c>
      <c r="AS70">
        <f t="shared" si="24"/>
        <v>0</v>
      </c>
      <c r="AT70">
        <f t="shared" si="25"/>
        <v>0</v>
      </c>
      <c r="AU70" s="32" cm="1">
        <f t="array" ref="AU70">IF($F$11-$I$4+VLOOKUP($Q70,武学奇术!$A:$ZZ,9,FALSE)+SUM(_xlfn.XLOOKUP(R70:AF70,增益!$A:$A,增益!$I:$I,0))&gt;0,($F$11-$I$4+VLOOKUP($Q70,武学奇术!$A:$ZZ,9,FALSE)+SUM(_xlfn.XLOOKUP(R70:AF70,增益!$A:$A,增益!$I:$I,0)))/200,($F$11-$I$4+VLOOKUP($Q70,武学奇术!$A:$ZZ,9,FALSE)+SUM(_xlfn.XLOOKUP(R70:AF70,增益!$A:$A,增益!$I:$I,0)))/100)</f>
        <v>-0.3</v>
      </c>
      <c r="AV70" s="32" cm="1">
        <f t="array" ref="AV70">$G$11+VLOOKUP($Q70,武学奇术!$A:$ZZ,10,FALSE)+SUM(_xlfn.XLOOKUP(R70:AF70,增益!$A:$A,增益!$J:$J,0))</f>
        <v>0</v>
      </c>
      <c r="AW70">
        <f t="shared" si="26"/>
        <v>0</v>
      </c>
      <c r="AX70">
        <f t="shared" si="27"/>
        <v>0</v>
      </c>
      <c r="AY70" s="32" cm="1">
        <f t="array" ref="AY70">IF($F$12-$I$4+VLOOKUP($Q70,武学奇术!$A:$ZZ,11,FALSE)+SUM(_xlfn.XLOOKUP(R70:AF70,增益!$A:$A,增益!$K:$K,0))&gt;0,($F$12-$I$4+VLOOKUP($Q70,武学奇术!$A:$ZZ,11,FALSE)+SUM(_xlfn.XLOOKUP(R70:AF70,增益!$A:$A,增益!$K:$K,0)))/200,($F$12-$I$4+VLOOKUP($Q70,武学奇术!$A:$ZZ,11,FALSE)+SUM(_xlfn.XLOOKUP(R70:AF70,增益!$A:$A,增益!$K:$K,0)))/100)</f>
        <v>-0.3</v>
      </c>
      <c r="AZ70" s="32" cm="1">
        <f t="array" ref="AZ70">$G$12+VLOOKUP($Q70,武学奇术!$A:$ZZ,12,FALSE)+SUM(_xlfn.XLOOKUP(R70:AF70,增益!$A:$A,增益!$L:$L,0))</f>
        <v>0</v>
      </c>
      <c r="BA70">
        <f t="shared" si="28"/>
        <v>697.4</v>
      </c>
      <c r="BB70">
        <f t="shared" si="29"/>
        <v>1805</v>
      </c>
      <c r="BC70" s="32" cm="1">
        <f t="array" ref="BC70">IF($F$13-$I$4+VLOOKUP($Q70,武学奇术!$A:$ZZ,13,FALSE)+SUM(_xlfn.XLOOKUP(R70:AF70,增益!$A:$A,增益!$M:$M,0))&gt;0,($F$13-$I$4+VLOOKUP($Q70,武学奇术!$A:$ZZ,13,FALSE)+SUM(_xlfn.XLOOKUP(R70:AF70,增益!$A:$A,增益!$K:$K,0)))/200,($F$13-$I$4+VLOOKUP($Q70,武学奇术!$A:$ZZ,13,FALSE)+SUM(_xlfn.XLOOKUP(R70:AF70,增益!$A:$A,增益!$M:$M,0)))/100)</f>
        <v>0</v>
      </c>
      <c r="BD70" s="32" cm="1">
        <f t="array" ref="BD70">$G$13+VLOOKUP($Q70,武学奇术!$A:$ZZ,14,FALSE)+SUM(_xlfn.XLOOKUP(R70:AF70,增益!$A:$A,增益!$N:$N,0))</f>
        <v>0.15</v>
      </c>
      <c r="BE70">
        <f t="shared" si="30"/>
        <v>0</v>
      </c>
      <c r="BF70">
        <f t="shared" si="31"/>
        <v>0</v>
      </c>
      <c r="BG70" s="32" cm="1">
        <f t="array" ref="BG70">IF($F$14-$I$4+VLOOKUP($Q70,武学奇术!$A:$ZZ,15,FALSE)+SUM(_xlfn.XLOOKUP(R70:AF70,增益!$A:$A,增益!$O:$O,0))&gt;0,($F$14-$I$4+VLOOKUP($Q70,武学奇术!$A:$ZZ,15,FALSE)+SUM(_xlfn.XLOOKUP(R70:AF70,增益!$A:$A,增益!$O:$O,0)))/200,($F$14-$I$4+VLOOKUP($Q70,武学奇术!$A:$ZZ,15,FALSE)+SUM(_xlfn.XLOOKUP(R70:AF70,增益!$A:$A,增益!$O:$O,0)))/100)</f>
        <v>-0.3</v>
      </c>
      <c r="BH70" s="32" cm="1">
        <f t="array" ref="BH70">$G$14+VLOOKUP($Q70,武学奇术!$A:$ZZ,16,FALSE)+SUM(_xlfn.XLOOKUP(R70:AF70,增益!$A:$A,增益!$P:$P,0))</f>
        <v>0</v>
      </c>
      <c r="BI70" s="26">
        <f>MIN(IF(VLOOKUP($Q70,武学奇术!$A:$ZZ,23,FALSE)=1,100%,$B$8),100%)</f>
        <v>1</v>
      </c>
      <c r="BJ70" s="26" cm="1">
        <f t="array" ref="BJ70">IF(VLOOKUP($Q70,武学奇术!$A:$ZZ,23,FALSE)=1,100%,MIN(80%,$B$9+VLOOKUP($Q70,武学奇术!$A:$ZZ,17,FALSE)+SUM(_xlfn.XLOOKUP(R70:AF70,增益!$A:$A,增益!$Q:$Q,0)))+$B$11+SUM(_xlfn.XLOOKUP(R70:AF70,增益!$A:$A,增益!$U:$U,0)))*IF(VLOOKUP($Q70,武学奇术!$A:$ZZ,24,FALSE)=1,0,1)</f>
        <v>0.8625</v>
      </c>
      <c r="BK70" s="26" cm="1">
        <f t="array" ref="BK70">1+$B$13+VLOOKUP($Q70,武学奇术!$A:$ZZ,18,FALSE)+SUM(_xlfn.XLOOKUP(R70:AF70,增益!$A:$A,增益!$R:$R,0))</f>
        <v>1.5</v>
      </c>
      <c r="BL70" s="26" cm="1">
        <f t="array" ref="BL70">IF(VLOOKUP($Q70,武学奇术!$A:$ZZ,24,FALSE)=1,100%,MIN(40%,$B$10+VLOOKUP($Q70,武学奇术!$A:$ZZ,19,FALSE)+SUM(_xlfn.XLOOKUP(R70:AF70,增益!$A:$A,增益!$S:$S,0)))+$B$12+SUM(_xlfn.XLOOKUP(R70:AF70,增益!$A:$A,增益!$V:$V,0)))*IF(VLOOKUP($Q70,武学奇术!$A:$ZZ,23,FALSE)=1,0,1)</f>
        <v>0.0913</v>
      </c>
      <c r="BM70" s="26" cm="1">
        <f t="array" ref="BM70">1+$B$14+VLOOKUP($Q70,武学奇术!$A:$ZZ,20,FALSE)+SUM(_xlfn.XLOOKUP(R70:AF70,增益!$A:$A,增益!$T:$T,0))</f>
        <v>1.35</v>
      </c>
      <c r="BN70" s="26">
        <f t="shared" si="22"/>
        <v>0.8625</v>
      </c>
      <c r="BO70" s="26">
        <f t="shared" si="32"/>
        <v>0.0462</v>
      </c>
      <c r="BP70" s="26">
        <f>IF(VLOOKUP($Q70,武学奇术!$A:$ZZ,22,FALSE)=1,0,(1-$BI70))*(1-$BL70)</f>
        <v>0</v>
      </c>
      <c r="BQ70" s="26" cm="1">
        <f t="array" ref="BQ70">SUM(_xlfn.XLOOKUP(R70:AF70,增益!$A:$A,增益!$W:$W,0))+$I$5</f>
        <v>0.06</v>
      </c>
    </row>
    <row r="71" spans="1:69">
      <c r="K71" s="38">
        <f t="shared" si="23"/>
        <v>0</v>
      </c>
      <c r="L71" s="38">
        <f>((($AN71+$AO71)/2*$AH71+$AI71)*(1+$AP71)*(1+$AQ71)+(($AS71+$AT71)/2*IF($G$1="鸣金",$AJ71,$AH71)+IF($G$1="鸣金",$AK71*1.5,0))*(1+$AU71)*(1+$AV71)+(($AW71+$AX71)/2*IF($G$1="裂石",$AJ71,$AH71)+IF($G$1="裂石",$AK71*1.5,0))*(1+$AY71)*(1+$AZ71)+(($BA71+$BB71)/2*IF($G$1="牵丝",$AJ71,$AH71)+IF($G$1="牵丝",$AK71*1.5,0))*(1+$BC71)*(1+$BD71)+(($BE71+$BF71)/2*IF($G$1="破竹",$AJ71,$AH71)+IF($G$1="破竹",$AK71*1.5,0))*(1+$BG71)*(1+$BH71))*(1+$AL71)*$BK71*$P71*(1+IF(VLOOKUP($Q71,武学奇术!$A:$ZZ,30,FALSE)="蓄力技",#REF!,0))*(1+$BQ71)</f>
        <v>0</v>
      </c>
      <c r="M71" s="38">
        <f>(($AO71*$AH71+$AI71)*(1+$AP71)*(1+$AQ71)+($AT71*IF($G$1="鸣金",$AJ71,$AH71)+IF($G$1="鸣金",$AK71*1.5,0))*(1+$AU71)*(1+$AV71)+($AX71*IF($G$1="裂石",$AJ71,$AH71)+IF($G$1="裂石",$AK71*1.5,0))*(1+$AY71)*(1+$AZ71)+($BB71*IF($G$1="牵丝",$AJ71,$AH71)+IF($G$1="牵丝",$AK71*1.5,0))*(1+$BC71)*(1+$BD71)+($BF71*IF($G$1="破竹",$AJ71,$AH71)+IF($G$1="破竹",$AK71*1.5,0))*(1+$BG71)*(1+$BH71))*(1+$AL71)*$BM71*$P71*(1+IF(VLOOKUP($Q71,武学奇术!$A:$ZZ,30,FALSE)="蓄力技",#REF!,0))*(1+$BQ71)</f>
        <v>0</v>
      </c>
      <c r="N71" s="38">
        <f>((($AN71+$AO71)/2*$AH71+$AI71)*(1+$AP71)*(1+$AQ71)+(($AS71+$AT71)/2*IF($G$1="鸣金",$AJ71,$AH71)+IF($G$1="鸣金",$AK71*1.5,0))*(1+$AU71)*(1+$AV71)+(($AW71+$AX71)/2*IF($G$1="裂石",$AJ71,$AH71)+IF($G$1="裂石",$AK71*1.5,0))*(1+$AY71)*(1+$AZ71)+(($BA71+$BB71)/2*IF($G$1="牵丝",$AJ71,$AH71)+IF($G$1="牵丝",$AK71*1.5,0))*(1+$BC71)*(1+$BD71)+(($BE71+$BF71)/2*IF($G$1="破竹",$AJ71,$AH71)+IF($G$1="破竹",$AK71*1.5,0))*(1+$BG71)*(1+$BH71))*(1+$AL71)*$P71*(1+IF(VLOOKUP($Q71,武学奇术!$A:$ZZ,30,FALSE)="蓄力技",#REF!,0))*(1+$BQ71)</f>
        <v>0</v>
      </c>
      <c r="O71" s="38">
        <f>((($AN71*$AH71+$AI71)*(1+$AP71)*(1+$AQ71)+($AS71*IF($G$1="鸣金",$AJ71,$AH71)+IF($G$1="鸣金",$AK71*1.5,0))*(1+$AU71)*(1+$AV71)+($AW71*IF($G$1="裂石",$AJ71,$AH71)+IF($G$1="裂石",$AK71*1.5,0))*(1+$AY71)*(1+$AZ71)+($BA71*IF($G$1="牵丝",$AJ71,$AH71)+IF($G$1="牵丝",$AK71*1.5,0))*(1+$BC71)*(1+$BD71)+($BE71*IF($G$1="破竹",$AJ71,$AH71)+IF($G$1="破竹",$AK71*1.5,0))*(1+$BG71)*(1+$BH71))*(1+$AL71))*$P71*(1+IF(VLOOKUP($Q71,武学奇术!$A:$ZZ,30,FALSE)="蓄力技",#REF!,0))*(1+$BQ71)</f>
        <v>0</v>
      </c>
      <c r="P71" s="39">
        <v>1</v>
      </c>
      <c r="Q71" s="40" t="s">
        <v>76</v>
      </c>
      <c r="R71" s="40" t="s">
        <v>76</v>
      </c>
      <c r="S71" s="40" t="s">
        <v>76</v>
      </c>
      <c r="T71" s="40" t="s">
        <v>76</v>
      </c>
      <c r="U71" s="40" t="s">
        <v>76</v>
      </c>
      <c r="V71" s="40" t="s">
        <v>76</v>
      </c>
      <c r="W71" s="40" t="s">
        <v>76</v>
      </c>
      <c r="X71" s="40" t="s">
        <v>76</v>
      </c>
      <c r="Y71" s="40" t="s">
        <v>76</v>
      </c>
      <c r="Z71" s="40" t="s">
        <v>76</v>
      </c>
      <c r="AA71" s="40" t="s">
        <v>76</v>
      </c>
      <c r="AB71" s="40" t="s">
        <v>76</v>
      </c>
      <c r="AC71" s="40" t="s">
        <v>76</v>
      </c>
      <c r="AD71" s="40" t="s">
        <v>76</v>
      </c>
      <c r="AE71" s="40" t="s">
        <v>76</v>
      </c>
      <c r="AF71" s="40" t="s">
        <v>76</v>
      </c>
      <c r="AG71" t="str">
        <f>VLOOKUP($Q71,武学奇术!$A:$ZZ,25,FALSE)</f>
        <v>心法</v>
      </c>
      <c r="AH71" s="26">
        <f>VLOOKUP($Q71,武学奇术!$A:$ZZ,26,FALSE)</f>
        <v>0</v>
      </c>
      <c r="AI71" s="27">
        <f>VLOOKUP($Q71,武学奇术!$A:$ZZ,27,FALSE)*(1+IF(OR($AG71=$F$4,$AG71=$F$5),$B$21,0))</f>
        <v>0</v>
      </c>
      <c r="AJ71" s="26">
        <f>VLOOKUP($Q71,武学奇术!$A:$ZZ,28,FALSE)</f>
        <v>0</v>
      </c>
      <c r="AK71" s="27">
        <f>VLOOKUP($Q71,武学奇术!$A:$ZZ,29,FALSE)*(1+IF(OR($AG71=$F$4,$AG71=$F$5),$B$21,0))</f>
        <v>0</v>
      </c>
      <c r="AL71" s="26" cm="1">
        <f t="array" ref="AL71">$G$3+IFERROR(VLOOKUP($AG71,$F$4:$G$7,2,FALSE),0)+VLOOKUP($Q71,武学奇术!$A:$ZZ,2,FALSE)+SUM(_xlfn.XLOOKUP($R71:$AF71,增益!$A:$A,增益!$B:$B,0))</f>
        <v>0.2642</v>
      </c>
      <c r="AM71" s="26" cm="1">
        <f t="array" ref="AM71">VLOOKUP($Q71,武学奇术!$A:$ZZ,5,FALSE)+SUM(_xlfn.XLOOKUP($R71:$AF71,增益!$A:$A,增益!$E:$E,0))</f>
        <v>0</v>
      </c>
      <c r="AN71" cm="1">
        <f t="array" ref="AN71">$D$10*(1+$AM71)+VLOOKUP($Q71,武学奇术!$A:$ZZ,3,FALSE)+SUM(_xlfn.XLOOKUP($R71:$AF71,增益!$A:$A,增益!$C:$C,0))-$I$2</f>
        <v>3977.2</v>
      </c>
      <c r="AO71" cm="1">
        <f t="array" ref="AO71">$E$10*(1+$AM71)+VLOOKUP($Q71,武学奇术!$A:$ZZ,4,FALSE)+SUM(_xlfn.XLOOKUP($R71:$AF71,增益!$A:$A,增益!$D:$D,0))-$I$2</f>
        <v>3977.2</v>
      </c>
      <c r="AP71" s="32" cm="1">
        <f t="array" ref="AP71">IF($F$10-$I$3+VLOOKUP($Q71,武学奇术!$A:$ZZ,6,FALSE)+SUM(_xlfn.XLOOKUP(R71:AF71,增益!$A:$A,增益!$F:$F,0))&gt;0,($F$10-$I$3+VLOOKUP($Q71,武学奇术!$A:$ZZ,6,FALSE)+SUM(_xlfn.XLOOKUP(R71:AF71,增益!$A:$A,增益!$F:$F,0)))/200,($F$10-$I$3+VLOOKUP($Q71,武学奇术!$A:$ZZ,6,FALSE)+SUM(_xlfn.XLOOKUP(R71:AF71,增益!$A:$A,增益!$F:$F,0)))/100)</f>
        <v>0.294</v>
      </c>
      <c r="AQ71" s="32" cm="1">
        <f t="array" ref="AQ71">$G$10+VLOOKUP($Q71,武学奇术!$A:$ZZ,7,FALSE)+SUM(_xlfn.XLOOKUP(R71:AF71,增益!$A:$A,增益!$G:$G,0))</f>
        <v>0</v>
      </c>
      <c r="AR71" s="26" cm="1">
        <f t="array" ref="AR71">VLOOKUP($Q71,武学奇术!$A:$ZZ,8,FALSE)+SUM(_xlfn.XLOOKUP(R71:AF71,增益!$A:$A,增益!$H:$H,0))</f>
        <v>0</v>
      </c>
      <c r="AS71">
        <f t="shared" si="24"/>
        <v>0</v>
      </c>
      <c r="AT71">
        <f t="shared" si="25"/>
        <v>0</v>
      </c>
      <c r="AU71" s="32" cm="1">
        <f t="array" ref="AU71">IF($F$11-$I$4+VLOOKUP($Q71,武学奇术!$A:$ZZ,9,FALSE)+SUM(_xlfn.XLOOKUP(R71:AF71,增益!$A:$A,增益!$I:$I,0))&gt;0,($F$11-$I$4+VLOOKUP($Q71,武学奇术!$A:$ZZ,9,FALSE)+SUM(_xlfn.XLOOKUP(R71:AF71,增益!$A:$A,增益!$I:$I,0)))/200,($F$11-$I$4+VLOOKUP($Q71,武学奇术!$A:$ZZ,9,FALSE)+SUM(_xlfn.XLOOKUP(R71:AF71,增益!$A:$A,增益!$I:$I,0)))/100)</f>
        <v>-0.3</v>
      </c>
      <c r="AV71" s="32" cm="1">
        <f t="array" ref="AV71">$G$11+VLOOKUP($Q71,武学奇术!$A:$ZZ,10,FALSE)+SUM(_xlfn.XLOOKUP(R71:AF71,增益!$A:$A,增益!$J:$J,0))</f>
        <v>0</v>
      </c>
      <c r="AW71">
        <f t="shared" si="26"/>
        <v>0</v>
      </c>
      <c r="AX71">
        <f t="shared" si="27"/>
        <v>0</v>
      </c>
      <c r="AY71" s="32" cm="1">
        <f t="array" ref="AY71">IF($F$12-$I$4+VLOOKUP($Q71,武学奇术!$A:$ZZ,11,FALSE)+SUM(_xlfn.XLOOKUP(R71:AF71,增益!$A:$A,增益!$K:$K,0))&gt;0,($F$12-$I$4+VLOOKUP($Q71,武学奇术!$A:$ZZ,11,FALSE)+SUM(_xlfn.XLOOKUP(R71:AF71,增益!$A:$A,增益!$K:$K,0)))/200,($F$12-$I$4+VLOOKUP($Q71,武学奇术!$A:$ZZ,11,FALSE)+SUM(_xlfn.XLOOKUP(R71:AF71,增益!$A:$A,增益!$K:$K,0)))/100)</f>
        <v>-0.3</v>
      </c>
      <c r="AZ71" s="32" cm="1">
        <f t="array" ref="AZ71">$G$12+VLOOKUP($Q71,武学奇术!$A:$ZZ,12,FALSE)+SUM(_xlfn.XLOOKUP(R71:AF71,增益!$A:$A,增益!$L:$L,0))</f>
        <v>0</v>
      </c>
      <c r="BA71">
        <f t="shared" si="28"/>
        <v>697.4</v>
      </c>
      <c r="BB71">
        <f t="shared" si="29"/>
        <v>1805</v>
      </c>
      <c r="BC71" s="32" cm="1">
        <f t="array" ref="BC71">IF($F$13-$I$4+VLOOKUP($Q71,武学奇术!$A:$ZZ,13,FALSE)+SUM(_xlfn.XLOOKUP(R71:AF71,增益!$A:$A,增益!$M:$M,0))&gt;0,($F$13-$I$4+VLOOKUP($Q71,武学奇术!$A:$ZZ,13,FALSE)+SUM(_xlfn.XLOOKUP(R71:AF71,增益!$A:$A,增益!$K:$K,0)))/200,($F$13-$I$4+VLOOKUP($Q71,武学奇术!$A:$ZZ,13,FALSE)+SUM(_xlfn.XLOOKUP(R71:AF71,增益!$A:$A,增益!$M:$M,0)))/100)</f>
        <v>0</v>
      </c>
      <c r="BD71" s="32" cm="1">
        <f t="array" ref="BD71">$G$13+VLOOKUP($Q71,武学奇术!$A:$ZZ,14,FALSE)+SUM(_xlfn.XLOOKUP(R71:AF71,增益!$A:$A,增益!$N:$N,0))</f>
        <v>0.15</v>
      </c>
      <c r="BE71">
        <f t="shared" si="30"/>
        <v>0</v>
      </c>
      <c r="BF71">
        <f t="shared" si="31"/>
        <v>0</v>
      </c>
      <c r="BG71" s="32" cm="1">
        <f t="array" ref="BG71">IF($F$14-$I$4+VLOOKUP($Q71,武学奇术!$A:$ZZ,15,FALSE)+SUM(_xlfn.XLOOKUP(R71:AF71,增益!$A:$A,增益!$O:$O,0))&gt;0,($F$14-$I$4+VLOOKUP($Q71,武学奇术!$A:$ZZ,15,FALSE)+SUM(_xlfn.XLOOKUP(R71:AF71,增益!$A:$A,增益!$O:$O,0)))/200,($F$14-$I$4+VLOOKUP($Q71,武学奇术!$A:$ZZ,15,FALSE)+SUM(_xlfn.XLOOKUP(R71:AF71,增益!$A:$A,增益!$O:$O,0)))/100)</f>
        <v>-0.3</v>
      </c>
      <c r="BH71" s="32" cm="1">
        <f t="array" ref="BH71">$G$14+VLOOKUP($Q71,武学奇术!$A:$ZZ,16,FALSE)+SUM(_xlfn.XLOOKUP(R71:AF71,增益!$A:$A,增益!$P:$P,0))</f>
        <v>0</v>
      </c>
      <c r="BI71" s="26">
        <f>MIN(IF(VLOOKUP($Q71,武学奇术!$A:$ZZ,23,FALSE)=1,100%,$B$8),100%)</f>
        <v>1</v>
      </c>
      <c r="BJ71" s="26" cm="1">
        <f t="array" ref="BJ71">IF(VLOOKUP($Q71,武学奇术!$A:$ZZ,23,FALSE)=1,100%,MIN(80%,$B$9+VLOOKUP($Q71,武学奇术!$A:$ZZ,17,FALSE)+SUM(_xlfn.XLOOKUP(R71:AF71,增益!$A:$A,增益!$Q:$Q,0)))+$B$11+SUM(_xlfn.XLOOKUP(R71:AF71,增益!$A:$A,增益!$U:$U,0)))*IF(VLOOKUP($Q71,武学奇术!$A:$ZZ,24,FALSE)=1,0,1)</f>
        <v>0.8625</v>
      </c>
      <c r="BK71" s="26" cm="1">
        <f t="array" ref="BK71">1+$B$13+VLOOKUP($Q71,武学奇术!$A:$ZZ,18,FALSE)+SUM(_xlfn.XLOOKUP(R71:AF71,增益!$A:$A,增益!$R:$R,0))</f>
        <v>1.5</v>
      </c>
      <c r="BL71" s="26" cm="1">
        <f t="array" ref="BL71">IF(VLOOKUP($Q71,武学奇术!$A:$ZZ,24,FALSE)=1,100%,MIN(40%,$B$10+VLOOKUP($Q71,武学奇术!$A:$ZZ,19,FALSE)+SUM(_xlfn.XLOOKUP(R71:AF71,增益!$A:$A,增益!$S:$S,0)))+$B$12+SUM(_xlfn.XLOOKUP(R71:AF71,增益!$A:$A,增益!$V:$V,0)))*IF(VLOOKUP($Q71,武学奇术!$A:$ZZ,23,FALSE)=1,0,1)</f>
        <v>0.0913</v>
      </c>
      <c r="BM71" s="26" cm="1">
        <f t="array" ref="BM71">1+$B$14+VLOOKUP($Q71,武学奇术!$A:$ZZ,20,FALSE)+SUM(_xlfn.XLOOKUP(R71:AF71,增益!$A:$A,增益!$T:$T,0))</f>
        <v>1.35</v>
      </c>
      <c r="BN71" s="26">
        <f t="shared" si="22"/>
        <v>0.8625</v>
      </c>
      <c r="BO71" s="26">
        <f t="shared" si="32"/>
        <v>0.0462</v>
      </c>
      <c r="BP71" s="26">
        <f>IF(VLOOKUP($Q71,武学奇术!$A:$ZZ,22,FALSE)=1,0,(1-$BI71))*(1-$BL71)</f>
        <v>0</v>
      </c>
      <c r="BQ71" s="26" cm="1">
        <f t="array" ref="BQ71">SUM(_xlfn.XLOOKUP(R71:AF71,增益!$A:$A,增益!$W:$W,0))+$I$5</f>
        <v>0.06</v>
      </c>
    </row>
    <row r="72" spans="1:69">
      <c r="K72" s="38">
        <f t="shared" si="23"/>
        <v>0</v>
      </c>
      <c r="L72" s="38">
        <f>((($AN72+$AO72)/2*$AH72+$AI72)*(1+$AP72)*(1+$AQ72)+(($AS72+$AT72)/2*IF($G$1="鸣金",$AJ72,$AH72)+IF($G$1="鸣金",$AK72*1.5,0))*(1+$AU72)*(1+$AV72)+(($AW72+$AX72)/2*IF($G$1="裂石",$AJ72,$AH72)+IF($G$1="裂石",$AK72*1.5,0))*(1+$AY72)*(1+$AZ72)+(($BA72+$BB72)/2*IF($G$1="牵丝",$AJ72,$AH72)+IF($G$1="牵丝",$AK72*1.5,0))*(1+$BC72)*(1+$BD72)+(($BE72+$BF72)/2*IF($G$1="破竹",$AJ72,$AH72)+IF($G$1="破竹",$AK72*1.5,0))*(1+$BG72)*(1+$BH72))*(1+$AL72)*$BK72*$P72*(1+IF(VLOOKUP($Q72,武学奇术!$A:$ZZ,30,FALSE)="蓄力技",#REF!,0))*(1+$BQ72)</f>
        <v>0</v>
      </c>
      <c r="M72" s="38">
        <f>(($AO72*$AH72+$AI72)*(1+$AP72)*(1+$AQ72)+($AT72*IF($G$1="鸣金",$AJ72,$AH72)+IF($G$1="鸣金",$AK72*1.5,0))*(1+$AU72)*(1+$AV72)+($AX72*IF($G$1="裂石",$AJ72,$AH72)+IF($G$1="裂石",$AK72*1.5,0))*(1+$AY72)*(1+$AZ72)+($BB72*IF($G$1="牵丝",$AJ72,$AH72)+IF($G$1="牵丝",$AK72*1.5,0))*(1+$BC72)*(1+$BD72)+($BF72*IF($G$1="破竹",$AJ72,$AH72)+IF($G$1="破竹",$AK72*1.5,0))*(1+$BG72)*(1+$BH72))*(1+$AL72)*$BM72*$P72*(1+IF(VLOOKUP($Q72,武学奇术!$A:$ZZ,30,FALSE)="蓄力技",#REF!,0))*(1+$BQ72)</f>
        <v>0</v>
      </c>
      <c r="N72" s="38">
        <f>((($AN72+$AO72)/2*$AH72+$AI72)*(1+$AP72)*(1+$AQ72)+(($AS72+$AT72)/2*IF($G$1="鸣金",$AJ72,$AH72)+IF($G$1="鸣金",$AK72*1.5,0))*(1+$AU72)*(1+$AV72)+(($AW72+$AX72)/2*IF($G$1="裂石",$AJ72,$AH72)+IF($G$1="裂石",$AK72*1.5,0))*(1+$AY72)*(1+$AZ72)+(($BA72+$BB72)/2*IF($G$1="牵丝",$AJ72,$AH72)+IF($G$1="牵丝",$AK72*1.5,0))*(1+$BC72)*(1+$BD72)+(($BE72+$BF72)/2*IF($G$1="破竹",$AJ72,$AH72)+IF($G$1="破竹",$AK72*1.5,0))*(1+$BG72)*(1+$BH72))*(1+$AL72)*$P72*(1+IF(VLOOKUP($Q72,武学奇术!$A:$ZZ,30,FALSE)="蓄力技",#REF!,0))*(1+$BQ72)</f>
        <v>0</v>
      </c>
      <c r="O72" s="38">
        <f>((($AN72*$AH72+$AI72)*(1+$AP72)*(1+$AQ72)+($AS72*IF($G$1="鸣金",$AJ72,$AH72)+IF($G$1="鸣金",$AK72*1.5,0))*(1+$AU72)*(1+$AV72)+($AW72*IF($G$1="裂石",$AJ72,$AH72)+IF($G$1="裂石",$AK72*1.5,0))*(1+$AY72)*(1+$AZ72)+($BA72*IF($G$1="牵丝",$AJ72,$AH72)+IF($G$1="牵丝",$AK72*1.5,0))*(1+$BC72)*(1+$BD72)+($BE72*IF($G$1="破竹",$AJ72,$AH72)+IF($G$1="破竹",$AK72*1.5,0))*(1+$BG72)*(1+$BH72))*(1+$AL72))*$P72*(1+IF(VLOOKUP($Q72,武学奇术!$A:$ZZ,30,FALSE)="蓄力技",#REF!,0))*(1+$BQ72)</f>
        <v>0</v>
      </c>
      <c r="P72" s="39">
        <v>1</v>
      </c>
      <c r="Q72" s="40" t="s">
        <v>76</v>
      </c>
      <c r="R72" s="40" t="s">
        <v>76</v>
      </c>
      <c r="S72" s="40" t="s">
        <v>76</v>
      </c>
      <c r="T72" s="40" t="s">
        <v>76</v>
      </c>
      <c r="U72" s="40" t="s">
        <v>76</v>
      </c>
      <c r="V72" s="40" t="s">
        <v>76</v>
      </c>
      <c r="W72" s="40" t="s">
        <v>76</v>
      </c>
      <c r="X72" s="40" t="s">
        <v>76</v>
      </c>
      <c r="Y72" s="40" t="s">
        <v>76</v>
      </c>
      <c r="Z72" s="40" t="s">
        <v>76</v>
      </c>
      <c r="AA72" s="40" t="s">
        <v>76</v>
      </c>
      <c r="AB72" s="40" t="s">
        <v>76</v>
      </c>
      <c r="AC72" s="40" t="s">
        <v>76</v>
      </c>
      <c r="AD72" s="40" t="s">
        <v>76</v>
      </c>
      <c r="AE72" s="40" t="s">
        <v>76</v>
      </c>
      <c r="AF72" s="40" t="s">
        <v>76</v>
      </c>
      <c r="AG72" t="str">
        <f>VLOOKUP($Q72,武学奇术!$A:$ZZ,25,FALSE)</f>
        <v>心法</v>
      </c>
      <c r="AH72" s="26">
        <f>VLOOKUP($Q72,武学奇术!$A:$ZZ,26,FALSE)</f>
        <v>0</v>
      </c>
      <c r="AI72" s="27">
        <f>VLOOKUP($Q72,武学奇术!$A:$ZZ,27,FALSE)*(1+IF(OR($AG72=$F$4,$AG72=$F$5),$B$21,0))</f>
        <v>0</v>
      </c>
      <c r="AJ72" s="26">
        <f>VLOOKUP($Q72,武学奇术!$A:$ZZ,28,FALSE)</f>
        <v>0</v>
      </c>
      <c r="AK72" s="27">
        <f>VLOOKUP($Q72,武学奇术!$A:$ZZ,29,FALSE)*(1+IF(OR($AG72=$F$4,$AG72=$F$5),$B$21,0))</f>
        <v>0</v>
      </c>
      <c r="AL72" s="26" cm="1">
        <f t="array" ref="AL72">$G$3+IFERROR(VLOOKUP($AG72,$F$4:$G$7,2,FALSE),0)+VLOOKUP($Q72,武学奇术!$A:$ZZ,2,FALSE)+SUM(_xlfn.XLOOKUP($R72:$AF72,增益!$A:$A,增益!$B:$B,0))</f>
        <v>0.2642</v>
      </c>
      <c r="AM72" s="26" cm="1">
        <f t="array" ref="AM72">VLOOKUP($Q72,武学奇术!$A:$ZZ,5,FALSE)+SUM(_xlfn.XLOOKUP($R72:$AF72,增益!$A:$A,增益!$E:$E,0))</f>
        <v>0</v>
      </c>
      <c r="AN72" cm="1">
        <f t="array" ref="AN72">$D$10*(1+$AM72)+VLOOKUP($Q72,武学奇术!$A:$ZZ,3,FALSE)+SUM(_xlfn.XLOOKUP($R72:$AF72,增益!$A:$A,增益!$C:$C,0))-$I$2</f>
        <v>3977.2</v>
      </c>
      <c r="AO72" cm="1">
        <f t="array" ref="AO72">$E$10*(1+$AM72)+VLOOKUP($Q72,武学奇术!$A:$ZZ,4,FALSE)+SUM(_xlfn.XLOOKUP($R72:$AF72,增益!$A:$A,增益!$D:$D,0))-$I$2</f>
        <v>3977.2</v>
      </c>
      <c r="AP72" s="32" cm="1">
        <f t="array" ref="AP72">IF($F$10-$I$3+VLOOKUP($Q72,武学奇术!$A:$ZZ,6,FALSE)+SUM(_xlfn.XLOOKUP(R72:AF72,增益!$A:$A,增益!$F:$F,0))&gt;0,($F$10-$I$3+VLOOKUP($Q72,武学奇术!$A:$ZZ,6,FALSE)+SUM(_xlfn.XLOOKUP(R72:AF72,增益!$A:$A,增益!$F:$F,0)))/200,($F$10-$I$3+VLOOKUP($Q72,武学奇术!$A:$ZZ,6,FALSE)+SUM(_xlfn.XLOOKUP(R72:AF72,增益!$A:$A,增益!$F:$F,0)))/100)</f>
        <v>0.294</v>
      </c>
      <c r="AQ72" s="32" cm="1">
        <f t="array" ref="AQ72">$G$10+VLOOKUP($Q72,武学奇术!$A:$ZZ,7,FALSE)+SUM(_xlfn.XLOOKUP(R72:AF72,增益!$A:$A,增益!$G:$G,0))</f>
        <v>0</v>
      </c>
      <c r="AR72" s="26" cm="1">
        <f t="array" ref="AR72">VLOOKUP($Q72,武学奇术!$A:$ZZ,8,FALSE)+SUM(_xlfn.XLOOKUP(R72:AF72,增益!$A:$A,增益!$H:$H,0))</f>
        <v>0</v>
      </c>
      <c r="AS72">
        <f t="shared" si="24"/>
        <v>0</v>
      </c>
      <c r="AT72">
        <f t="shared" si="25"/>
        <v>0</v>
      </c>
      <c r="AU72" s="32" cm="1">
        <f t="array" ref="AU72">IF($F$11-$I$4+VLOOKUP($Q72,武学奇术!$A:$ZZ,9,FALSE)+SUM(_xlfn.XLOOKUP(R72:AF72,增益!$A:$A,增益!$I:$I,0))&gt;0,($F$11-$I$4+VLOOKUP($Q72,武学奇术!$A:$ZZ,9,FALSE)+SUM(_xlfn.XLOOKUP(R72:AF72,增益!$A:$A,增益!$I:$I,0)))/200,($F$11-$I$4+VLOOKUP($Q72,武学奇术!$A:$ZZ,9,FALSE)+SUM(_xlfn.XLOOKUP(R72:AF72,增益!$A:$A,增益!$I:$I,0)))/100)</f>
        <v>-0.3</v>
      </c>
      <c r="AV72" s="32" cm="1">
        <f t="array" ref="AV72">$G$11+VLOOKUP($Q72,武学奇术!$A:$ZZ,10,FALSE)+SUM(_xlfn.XLOOKUP(R72:AF72,增益!$A:$A,增益!$J:$J,0))</f>
        <v>0</v>
      </c>
      <c r="AW72">
        <f t="shared" si="26"/>
        <v>0</v>
      </c>
      <c r="AX72">
        <f t="shared" si="27"/>
        <v>0</v>
      </c>
      <c r="AY72" s="32" cm="1">
        <f t="array" ref="AY72">IF($F$12-$I$4+VLOOKUP($Q72,武学奇术!$A:$ZZ,11,FALSE)+SUM(_xlfn.XLOOKUP(R72:AF72,增益!$A:$A,增益!$K:$K,0))&gt;0,($F$12-$I$4+VLOOKUP($Q72,武学奇术!$A:$ZZ,11,FALSE)+SUM(_xlfn.XLOOKUP(R72:AF72,增益!$A:$A,增益!$K:$K,0)))/200,($F$12-$I$4+VLOOKUP($Q72,武学奇术!$A:$ZZ,11,FALSE)+SUM(_xlfn.XLOOKUP(R72:AF72,增益!$A:$A,增益!$K:$K,0)))/100)</f>
        <v>-0.3</v>
      </c>
      <c r="AZ72" s="32" cm="1">
        <f t="array" ref="AZ72">$G$12+VLOOKUP($Q72,武学奇术!$A:$ZZ,12,FALSE)+SUM(_xlfn.XLOOKUP(R72:AF72,增益!$A:$A,增益!$L:$L,0))</f>
        <v>0</v>
      </c>
      <c r="BA72">
        <f t="shared" si="28"/>
        <v>697.4</v>
      </c>
      <c r="BB72">
        <f t="shared" si="29"/>
        <v>1805</v>
      </c>
      <c r="BC72" s="32" cm="1">
        <f t="array" ref="BC72">IF($F$13-$I$4+VLOOKUP($Q72,武学奇术!$A:$ZZ,13,FALSE)+SUM(_xlfn.XLOOKUP(R72:AF72,增益!$A:$A,增益!$M:$M,0))&gt;0,($F$13-$I$4+VLOOKUP($Q72,武学奇术!$A:$ZZ,13,FALSE)+SUM(_xlfn.XLOOKUP(R72:AF72,增益!$A:$A,增益!$K:$K,0)))/200,($F$13-$I$4+VLOOKUP($Q72,武学奇术!$A:$ZZ,13,FALSE)+SUM(_xlfn.XLOOKUP(R72:AF72,增益!$A:$A,增益!$M:$M,0)))/100)</f>
        <v>0</v>
      </c>
      <c r="BD72" s="32" cm="1">
        <f t="array" ref="BD72">$G$13+VLOOKUP($Q72,武学奇术!$A:$ZZ,14,FALSE)+SUM(_xlfn.XLOOKUP(R72:AF72,增益!$A:$A,增益!$N:$N,0))</f>
        <v>0.15</v>
      </c>
      <c r="BE72">
        <f t="shared" si="30"/>
        <v>0</v>
      </c>
      <c r="BF72">
        <f t="shared" si="31"/>
        <v>0</v>
      </c>
      <c r="BG72" s="32" cm="1">
        <f t="array" ref="BG72">IF($F$14-$I$4+VLOOKUP($Q72,武学奇术!$A:$ZZ,15,FALSE)+SUM(_xlfn.XLOOKUP(R72:AF72,增益!$A:$A,增益!$O:$O,0))&gt;0,($F$14-$I$4+VLOOKUP($Q72,武学奇术!$A:$ZZ,15,FALSE)+SUM(_xlfn.XLOOKUP(R72:AF72,增益!$A:$A,增益!$O:$O,0)))/200,($F$14-$I$4+VLOOKUP($Q72,武学奇术!$A:$ZZ,15,FALSE)+SUM(_xlfn.XLOOKUP(R72:AF72,增益!$A:$A,增益!$O:$O,0)))/100)</f>
        <v>-0.3</v>
      </c>
      <c r="BH72" s="32" cm="1">
        <f t="array" ref="BH72">$G$14+VLOOKUP($Q72,武学奇术!$A:$ZZ,16,FALSE)+SUM(_xlfn.XLOOKUP(R72:AF72,增益!$A:$A,增益!$P:$P,0))</f>
        <v>0</v>
      </c>
      <c r="BI72" s="26">
        <f>MIN(IF(VLOOKUP($Q72,武学奇术!$A:$ZZ,23,FALSE)=1,100%,$B$8),100%)</f>
        <v>1</v>
      </c>
      <c r="BJ72" s="26" cm="1">
        <f t="array" ref="BJ72">IF(VLOOKUP($Q72,武学奇术!$A:$ZZ,23,FALSE)=1,100%,MIN(80%,$B$9+VLOOKUP($Q72,武学奇术!$A:$ZZ,17,FALSE)+SUM(_xlfn.XLOOKUP(R72:AF72,增益!$A:$A,增益!$Q:$Q,0)))+$B$11+SUM(_xlfn.XLOOKUP(R72:AF72,增益!$A:$A,增益!$U:$U,0)))*IF(VLOOKUP($Q72,武学奇术!$A:$ZZ,24,FALSE)=1,0,1)</f>
        <v>0.8625</v>
      </c>
      <c r="BK72" s="26" cm="1">
        <f t="array" ref="BK72">1+$B$13+VLOOKUP($Q72,武学奇术!$A:$ZZ,18,FALSE)+SUM(_xlfn.XLOOKUP(R72:AF72,增益!$A:$A,增益!$R:$R,0))</f>
        <v>1.5</v>
      </c>
      <c r="BL72" s="26" cm="1">
        <f t="array" ref="BL72">IF(VLOOKUP($Q72,武学奇术!$A:$ZZ,24,FALSE)=1,100%,MIN(40%,$B$10+VLOOKUP($Q72,武学奇术!$A:$ZZ,19,FALSE)+SUM(_xlfn.XLOOKUP(R72:AF72,增益!$A:$A,增益!$S:$S,0)))+$B$12+SUM(_xlfn.XLOOKUP(R72:AF72,增益!$A:$A,增益!$V:$V,0)))*IF(VLOOKUP($Q72,武学奇术!$A:$ZZ,23,FALSE)=1,0,1)</f>
        <v>0.0913</v>
      </c>
      <c r="BM72" s="26" cm="1">
        <f t="array" ref="BM72">1+$B$14+VLOOKUP($Q72,武学奇术!$A:$ZZ,20,FALSE)+SUM(_xlfn.XLOOKUP(R72:AF72,增益!$A:$A,增益!$T:$T,0))</f>
        <v>1.35</v>
      </c>
      <c r="BN72" s="26">
        <f t="shared" si="22"/>
        <v>0.8625</v>
      </c>
      <c r="BO72" s="26">
        <f t="shared" si="32"/>
        <v>0.0462</v>
      </c>
      <c r="BP72" s="26">
        <f>IF(VLOOKUP($Q72,武学奇术!$A:$ZZ,22,FALSE)=1,0,(1-$BI72))*(1-$BL72)</f>
        <v>0</v>
      </c>
      <c r="BQ72" s="26" cm="1">
        <f t="array" ref="BQ72">SUM(_xlfn.XLOOKUP(R72:AF72,增益!$A:$A,增益!$W:$W,0))+$I$5</f>
        <v>0.06</v>
      </c>
    </row>
    <row r="73" spans="1:69">
      <c r="K73" s="38">
        <f t="shared" si="23"/>
        <v>0</v>
      </c>
      <c r="L73" s="38">
        <f>((($AN73+$AO73)/2*$AH73+$AI73)*(1+$AP73)*(1+$AQ73)+(($AS73+$AT73)/2*IF($G$1="鸣金",$AJ73,$AH73)+IF($G$1="鸣金",$AK73*1.5,0))*(1+$AU73)*(1+$AV73)+(($AW73+$AX73)/2*IF($G$1="裂石",$AJ73,$AH73)+IF($G$1="裂石",$AK73*1.5,0))*(1+$AY73)*(1+$AZ73)+(($BA73+$BB73)/2*IF($G$1="牵丝",$AJ73,$AH73)+IF($G$1="牵丝",$AK73*1.5,0))*(1+$BC73)*(1+$BD73)+(($BE73+$BF73)/2*IF($G$1="破竹",$AJ73,$AH73)+IF($G$1="破竹",$AK73*1.5,0))*(1+$BG73)*(1+$BH73))*(1+$AL73)*$BK73*$P73*(1+IF(VLOOKUP($Q73,武学奇术!$A:$ZZ,30,FALSE)="蓄力技",#REF!,0))*(1+$BQ73)</f>
        <v>0</v>
      </c>
      <c r="M73" s="38">
        <f>(($AO73*$AH73+$AI73)*(1+$AP73)*(1+$AQ73)+($AT73*IF($G$1="鸣金",$AJ73,$AH73)+IF($G$1="鸣金",$AK73*1.5,0))*(1+$AU73)*(1+$AV73)+($AX73*IF($G$1="裂石",$AJ73,$AH73)+IF($G$1="裂石",$AK73*1.5,0))*(1+$AY73)*(1+$AZ73)+($BB73*IF($G$1="牵丝",$AJ73,$AH73)+IF($G$1="牵丝",$AK73*1.5,0))*(1+$BC73)*(1+$BD73)+($BF73*IF($G$1="破竹",$AJ73,$AH73)+IF($G$1="破竹",$AK73*1.5,0))*(1+$BG73)*(1+$BH73))*(1+$AL73)*$BM73*$P73*(1+IF(VLOOKUP($Q73,武学奇术!$A:$ZZ,30,FALSE)="蓄力技",#REF!,0))*(1+$BQ73)</f>
        <v>0</v>
      </c>
      <c r="N73" s="38">
        <f>((($AN73+$AO73)/2*$AH73+$AI73)*(1+$AP73)*(1+$AQ73)+(($AS73+$AT73)/2*IF($G$1="鸣金",$AJ73,$AH73)+IF($G$1="鸣金",$AK73*1.5,0))*(1+$AU73)*(1+$AV73)+(($AW73+$AX73)/2*IF($G$1="裂石",$AJ73,$AH73)+IF($G$1="裂石",$AK73*1.5,0))*(1+$AY73)*(1+$AZ73)+(($BA73+$BB73)/2*IF($G$1="牵丝",$AJ73,$AH73)+IF($G$1="牵丝",$AK73*1.5,0))*(1+$BC73)*(1+$BD73)+(($BE73+$BF73)/2*IF($G$1="破竹",$AJ73,$AH73)+IF($G$1="破竹",$AK73*1.5,0))*(1+$BG73)*(1+$BH73))*(1+$AL73)*$P73*(1+IF(VLOOKUP($Q73,武学奇术!$A:$ZZ,30,FALSE)="蓄力技",#REF!,0))*(1+$BQ73)</f>
        <v>0</v>
      </c>
      <c r="O73" s="38">
        <f>((($AN73*$AH73+$AI73)*(1+$AP73)*(1+$AQ73)+($AS73*IF($G$1="鸣金",$AJ73,$AH73)+IF($G$1="鸣金",$AK73*1.5,0))*(1+$AU73)*(1+$AV73)+($AW73*IF($G$1="裂石",$AJ73,$AH73)+IF($G$1="裂石",$AK73*1.5,0))*(1+$AY73)*(1+$AZ73)+($BA73*IF($G$1="牵丝",$AJ73,$AH73)+IF($G$1="牵丝",$AK73*1.5,0))*(1+$BC73)*(1+$BD73)+($BE73*IF($G$1="破竹",$AJ73,$AH73)+IF($G$1="破竹",$AK73*1.5,0))*(1+$BG73)*(1+$BH73))*(1+$AL73))*$P73*(1+IF(VLOOKUP($Q73,武学奇术!$A:$ZZ,30,FALSE)="蓄力技",#REF!,0))*(1+$BQ73)</f>
        <v>0</v>
      </c>
      <c r="P73" s="39">
        <v>1</v>
      </c>
      <c r="Q73" s="40" t="s">
        <v>76</v>
      </c>
      <c r="R73" s="40" t="s">
        <v>76</v>
      </c>
      <c r="S73" s="40" t="s">
        <v>76</v>
      </c>
      <c r="T73" s="40" t="s">
        <v>76</v>
      </c>
      <c r="U73" s="40" t="s">
        <v>76</v>
      </c>
      <c r="V73" s="40" t="s">
        <v>76</v>
      </c>
      <c r="W73" s="40" t="s">
        <v>76</v>
      </c>
      <c r="X73" s="40" t="s">
        <v>76</v>
      </c>
      <c r="Y73" s="40" t="s">
        <v>76</v>
      </c>
      <c r="Z73" s="40" t="s">
        <v>76</v>
      </c>
      <c r="AA73" s="40" t="s">
        <v>76</v>
      </c>
      <c r="AB73" s="40" t="s">
        <v>76</v>
      </c>
      <c r="AC73" s="40" t="s">
        <v>76</v>
      </c>
      <c r="AD73" s="40" t="s">
        <v>76</v>
      </c>
      <c r="AE73" s="40" t="s">
        <v>76</v>
      </c>
      <c r="AF73" s="40" t="s">
        <v>76</v>
      </c>
      <c r="AG73" t="str">
        <f>VLOOKUP($Q73,武学奇术!$A:$ZZ,25,FALSE)</f>
        <v>心法</v>
      </c>
      <c r="AH73" s="26">
        <f>VLOOKUP($Q73,武学奇术!$A:$ZZ,26,FALSE)</f>
        <v>0</v>
      </c>
      <c r="AI73" s="27">
        <f>VLOOKUP($Q73,武学奇术!$A:$ZZ,27,FALSE)*(1+IF(OR($AG73=$F$4,$AG73=$F$5),$B$21,0))</f>
        <v>0</v>
      </c>
      <c r="AJ73" s="26">
        <f>VLOOKUP($Q73,武学奇术!$A:$ZZ,28,FALSE)</f>
        <v>0</v>
      </c>
      <c r="AK73" s="27">
        <f>VLOOKUP($Q73,武学奇术!$A:$ZZ,29,FALSE)*(1+IF(OR($AG73=$F$4,$AG73=$F$5),$B$21,0))</f>
        <v>0</v>
      </c>
      <c r="AL73" s="26" cm="1">
        <f t="array" ref="AL73">$G$3+IFERROR(VLOOKUP($AG73,$F$4:$G$7,2,FALSE),0)+VLOOKUP($Q73,武学奇术!$A:$ZZ,2,FALSE)+SUM(_xlfn.XLOOKUP($R73:$AF73,增益!$A:$A,增益!$B:$B,0))</f>
        <v>0.2642</v>
      </c>
      <c r="AM73" s="26" cm="1">
        <f t="array" ref="AM73">VLOOKUP($Q73,武学奇术!$A:$ZZ,5,FALSE)+SUM(_xlfn.XLOOKUP($R73:$AF73,增益!$A:$A,增益!$E:$E,0))</f>
        <v>0</v>
      </c>
      <c r="AN73" cm="1">
        <f t="array" ref="AN73">$D$10*(1+$AM73)+VLOOKUP($Q73,武学奇术!$A:$ZZ,3,FALSE)+SUM(_xlfn.XLOOKUP($R73:$AF73,增益!$A:$A,增益!$C:$C,0))-$I$2</f>
        <v>3977.2</v>
      </c>
      <c r="AO73" cm="1">
        <f t="array" ref="AO73">$E$10*(1+$AM73)+VLOOKUP($Q73,武学奇术!$A:$ZZ,4,FALSE)+SUM(_xlfn.XLOOKUP($R73:$AF73,增益!$A:$A,增益!$D:$D,0))-$I$2</f>
        <v>3977.2</v>
      </c>
      <c r="AP73" s="32" cm="1">
        <f t="array" ref="AP73">IF($F$10-$I$3+VLOOKUP($Q73,武学奇术!$A:$ZZ,6,FALSE)+SUM(_xlfn.XLOOKUP(R73:AF73,增益!$A:$A,增益!$F:$F,0))&gt;0,($F$10-$I$3+VLOOKUP($Q73,武学奇术!$A:$ZZ,6,FALSE)+SUM(_xlfn.XLOOKUP(R73:AF73,增益!$A:$A,增益!$F:$F,0)))/200,($F$10-$I$3+VLOOKUP($Q73,武学奇术!$A:$ZZ,6,FALSE)+SUM(_xlfn.XLOOKUP(R73:AF73,增益!$A:$A,增益!$F:$F,0)))/100)</f>
        <v>0.294</v>
      </c>
      <c r="AQ73" s="32" cm="1">
        <f t="array" ref="AQ73">$G$10+VLOOKUP($Q73,武学奇术!$A:$ZZ,7,FALSE)+SUM(_xlfn.XLOOKUP(R73:AF73,增益!$A:$A,增益!$G:$G,0))</f>
        <v>0</v>
      </c>
      <c r="AR73" s="26" cm="1">
        <f t="array" ref="AR73">VLOOKUP($Q73,武学奇术!$A:$ZZ,8,FALSE)+SUM(_xlfn.XLOOKUP(R73:AF73,增益!$A:$A,增益!$H:$H,0))</f>
        <v>0</v>
      </c>
      <c r="AS73">
        <f t="shared" si="24"/>
        <v>0</v>
      </c>
      <c r="AT73">
        <f t="shared" si="25"/>
        <v>0</v>
      </c>
      <c r="AU73" s="32" cm="1">
        <f t="array" ref="AU73">IF($F$11-$I$4+VLOOKUP($Q73,武学奇术!$A:$ZZ,9,FALSE)+SUM(_xlfn.XLOOKUP(R73:AF73,增益!$A:$A,增益!$I:$I,0))&gt;0,($F$11-$I$4+VLOOKUP($Q73,武学奇术!$A:$ZZ,9,FALSE)+SUM(_xlfn.XLOOKUP(R73:AF73,增益!$A:$A,增益!$I:$I,0)))/200,($F$11-$I$4+VLOOKUP($Q73,武学奇术!$A:$ZZ,9,FALSE)+SUM(_xlfn.XLOOKUP(R73:AF73,增益!$A:$A,增益!$I:$I,0)))/100)</f>
        <v>-0.3</v>
      </c>
      <c r="AV73" s="32" cm="1">
        <f t="array" ref="AV73">$G$11+VLOOKUP($Q73,武学奇术!$A:$ZZ,10,FALSE)+SUM(_xlfn.XLOOKUP(R73:AF73,增益!$A:$A,增益!$J:$J,0))</f>
        <v>0</v>
      </c>
      <c r="AW73">
        <f t="shared" si="26"/>
        <v>0</v>
      </c>
      <c r="AX73">
        <f t="shared" si="27"/>
        <v>0</v>
      </c>
      <c r="AY73" s="32" cm="1">
        <f t="array" ref="AY73">IF($F$12-$I$4+VLOOKUP($Q73,武学奇术!$A:$ZZ,11,FALSE)+SUM(_xlfn.XLOOKUP(R73:AF73,增益!$A:$A,增益!$K:$K,0))&gt;0,($F$12-$I$4+VLOOKUP($Q73,武学奇术!$A:$ZZ,11,FALSE)+SUM(_xlfn.XLOOKUP(R73:AF73,增益!$A:$A,增益!$K:$K,0)))/200,($F$12-$I$4+VLOOKUP($Q73,武学奇术!$A:$ZZ,11,FALSE)+SUM(_xlfn.XLOOKUP(R73:AF73,增益!$A:$A,增益!$K:$K,0)))/100)</f>
        <v>-0.3</v>
      </c>
      <c r="AZ73" s="32" cm="1">
        <f t="array" ref="AZ73">$G$12+VLOOKUP($Q73,武学奇术!$A:$ZZ,12,FALSE)+SUM(_xlfn.XLOOKUP(R73:AF73,增益!$A:$A,增益!$L:$L,0))</f>
        <v>0</v>
      </c>
      <c r="BA73">
        <f t="shared" si="28"/>
        <v>697.4</v>
      </c>
      <c r="BB73">
        <f t="shared" si="29"/>
        <v>1805</v>
      </c>
      <c r="BC73" s="32" cm="1">
        <f t="array" ref="BC73">IF($F$13-$I$4+VLOOKUP($Q73,武学奇术!$A:$ZZ,13,FALSE)+SUM(_xlfn.XLOOKUP(R73:AF73,增益!$A:$A,增益!$M:$M,0))&gt;0,($F$13-$I$4+VLOOKUP($Q73,武学奇术!$A:$ZZ,13,FALSE)+SUM(_xlfn.XLOOKUP(R73:AF73,增益!$A:$A,增益!$K:$K,0)))/200,($F$13-$I$4+VLOOKUP($Q73,武学奇术!$A:$ZZ,13,FALSE)+SUM(_xlfn.XLOOKUP(R73:AF73,增益!$A:$A,增益!$M:$M,0)))/100)</f>
        <v>0</v>
      </c>
      <c r="BD73" s="32" cm="1">
        <f t="array" ref="BD73">$G$13+VLOOKUP($Q73,武学奇术!$A:$ZZ,14,FALSE)+SUM(_xlfn.XLOOKUP(R73:AF73,增益!$A:$A,增益!$N:$N,0))</f>
        <v>0.15</v>
      </c>
      <c r="BE73">
        <f t="shared" si="30"/>
        <v>0</v>
      </c>
      <c r="BF73">
        <f t="shared" si="31"/>
        <v>0</v>
      </c>
      <c r="BG73" s="32" cm="1">
        <f t="array" ref="BG73">IF($F$14-$I$4+VLOOKUP($Q73,武学奇术!$A:$ZZ,15,FALSE)+SUM(_xlfn.XLOOKUP(R73:AF73,增益!$A:$A,增益!$O:$O,0))&gt;0,($F$14-$I$4+VLOOKUP($Q73,武学奇术!$A:$ZZ,15,FALSE)+SUM(_xlfn.XLOOKUP(R73:AF73,增益!$A:$A,增益!$O:$O,0)))/200,($F$14-$I$4+VLOOKUP($Q73,武学奇术!$A:$ZZ,15,FALSE)+SUM(_xlfn.XLOOKUP(R73:AF73,增益!$A:$A,增益!$O:$O,0)))/100)</f>
        <v>-0.3</v>
      </c>
      <c r="BH73" s="32" cm="1">
        <f t="array" ref="BH73">$G$14+VLOOKUP($Q73,武学奇术!$A:$ZZ,16,FALSE)+SUM(_xlfn.XLOOKUP(R73:AF73,增益!$A:$A,增益!$P:$P,0))</f>
        <v>0</v>
      </c>
      <c r="BI73" s="26">
        <f>MIN(IF(VLOOKUP($Q73,武学奇术!$A:$ZZ,23,FALSE)=1,100%,$B$8),100%)</f>
        <v>1</v>
      </c>
      <c r="BJ73" s="26" cm="1">
        <f t="array" ref="BJ73">IF(VLOOKUP($Q73,武学奇术!$A:$ZZ,23,FALSE)=1,100%,MIN(80%,$B$9+VLOOKUP($Q73,武学奇术!$A:$ZZ,17,FALSE)+SUM(_xlfn.XLOOKUP(R73:AF73,增益!$A:$A,增益!$Q:$Q,0)))+$B$11+SUM(_xlfn.XLOOKUP(R73:AF73,增益!$A:$A,增益!$U:$U,0)))*IF(VLOOKUP($Q73,武学奇术!$A:$ZZ,24,FALSE)=1,0,1)</f>
        <v>0.8625</v>
      </c>
      <c r="BK73" s="26" cm="1">
        <f t="array" ref="BK73">1+$B$13+VLOOKUP($Q73,武学奇术!$A:$ZZ,18,FALSE)+SUM(_xlfn.XLOOKUP(R73:AF73,增益!$A:$A,增益!$R:$R,0))</f>
        <v>1.5</v>
      </c>
      <c r="BL73" s="26" cm="1">
        <f t="array" ref="BL73">IF(VLOOKUP($Q73,武学奇术!$A:$ZZ,24,FALSE)=1,100%,MIN(40%,$B$10+VLOOKUP($Q73,武学奇术!$A:$ZZ,19,FALSE)+SUM(_xlfn.XLOOKUP(R73:AF73,增益!$A:$A,增益!$S:$S,0)))+$B$12+SUM(_xlfn.XLOOKUP(R73:AF73,增益!$A:$A,增益!$V:$V,0)))*IF(VLOOKUP($Q73,武学奇术!$A:$ZZ,23,FALSE)=1,0,1)</f>
        <v>0.0913</v>
      </c>
      <c r="BM73" s="26" cm="1">
        <f t="array" ref="BM73">1+$B$14+VLOOKUP($Q73,武学奇术!$A:$ZZ,20,FALSE)+SUM(_xlfn.XLOOKUP(R73:AF73,增益!$A:$A,增益!$T:$T,0))</f>
        <v>1.35</v>
      </c>
      <c r="BN73" s="26">
        <f t="shared" si="22"/>
        <v>0.8625</v>
      </c>
      <c r="BO73" s="26">
        <f t="shared" si="32"/>
        <v>0.0462</v>
      </c>
      <c r="BP73" s="26">
        <f>IF(VLOOKUP($Q73,武学奇术!$A:$ZZ,22,FALSE)=1,0,(1-$BI73))*(1-$BL73)</f>
        <v>0</v>
      </c>
      <c r="BQ73" s="26" cm="1">
        <f t="array" ref="BQ73">SUM(_xlfn.XLOOKUP(R73:AF73,增益!$A:$A,增益!$W:$W,0))+$I$5</f>
        <v>0.06</v>
      </c>
    </row>
    <row r="74" spans="1:69">
      <c r="K74" s="38">
        <f t="shared" ref="K74:K86" si="33">($L74*$BN74+$M74*$BL74+$N74*$BO74+$O74*$BP74)</f>
        <v>0</v>
      </c>
      <c r="L74" s="38">
        <f>((($AN74+$AO74)/2*$AH74+$AI74)*(1+$AP74)*(1+$AQ74)+(($AS74+$AT74)/2*IF($G$1="鸣金",$AJ74,$AH74)+IF($G$1="鸣金",$AK74*1.5,0))*(1+$AU74)*(1+$AV74)+(($AW74+$AX74)/2*IF($G$1="裂石",$AJ74,$AH74)+IF($G$1="裂石",$AK74*1.5,0))*(1+$AY74)*(1+$AZ74)+(($BA74+$BB74)/2*IF($G$1="牵丝",$AJ74,$AH74)+IF($G$1="牵丝",$AK74*1.5,0))*(1+$BC74)*(1+$BD74)+(($BE74+$BF74)/2*IF($G$1="破竹",$AJ74,$AH74)+IF($G$1="破竹",$AK74*1.5,0))*(1+$BG74)*(1+$BH74))*(1+$AL74)*$BK74*$P74*(1+IF(VLOOKUP($Q74,武学奇术!$A:$ZZ,30,FALSE)="蓄力技",#REF!,0))*(1+$BQ74)</f>
        <v>0</v>
      </c>
      <c r="M74" s="38">
        <f>(($AO74*$AH74+$AI74)*(1+$AP74)*(1+$AQ74)+($AT74*IF($G$1="鸣金",$AJ74,$AH74)+IF($G$1="鸣金",$AK74*1.5,0))*(1+$AU74)*(1+$AV74)+($AX74*IF($G$1="裂石",$AJ74,$AH74)+IF($G$1="裂石",$AK74*1.5,0))*(1+$AY74)*(1+$AZ74)+($BB74*IF($G$1="牵丝",$AJ74,$AH74)+IF($G$1="牵丝",$AK74*1.5,0))*(1+$BC74)*(1+$BD74)+($BF74*IF($G$1="破竹",$AJ74,$AH74)+IF($G$1="破竹",$AK74*1.5,0))*(1+$BG74)*(1+$BH74))*(1+$AL74)*$BM74*$P74*(1+IF(VLOOKUP($Q74,武学奇术!$A:$ZZ,30,FALSE)="蓄力技",#REF!,0))*(1+$BQ74)</f>
        <v>0</v>
      </c>
      <c r="N74" s="38">
        <f>((($AN74+$AO74)/2*$AH74+$AI74)*(1+$AP74)*(1+$AQ74)+(($AS74+$AT74)/2*IF($G$1="鸣金",$AJ74,$AH74)+IF($G$1="鸣金",$AK74*1.5,0))*(1+$AU74)*(1+$AV74)+(($AW74+$AX74)/2*IF($G$1="裂石",$AJ74,$AH74)+IF($G$1="裂石",$AK74*1.5,0))*(1+$AY74)*(1+$AZ74)+(($BA74+$BB74)/2*IF($G$1="牵丝",$AJ74,$AH74)+IF($G$1="牵丝",$AK74*1.5,0))*(1+$BC74)*(1+$BD74)+(($BE74+$BF74)/2*IF($G$1="破竹",$AJ74,$AH74)+IF($G$1="破竹",$AK74*1.5,0))*(1+$BG74)*(1+$BH74))*(1+$AL74)*$P74*(1+IF(VLOOKUP($Q74,武学奇术!$A:$ZZ,30,FALSE)="蓄力技",#REF!,0))*(1+$BQ74)</f>
        <v>0</v>
      </c>
      <c r="O74" s="38">
        <f>((($AN74*$AH74+$AI74)*(1+$AP74)*(1+$AQ74)+($AS74*IF($G$1="鸣金",$AJ74,$AH74)+IF($G$1="鸣金",$AK74*1.5,0))*(1+$AU74)*(1+$AV74)+($AW74*IF($G$1="裂石",$AJ74,$AH74)+IF($G$1="裂石",$AK74*1.5,0))*(1+$AY74)*(1+$AZ74)+($BA74*IF($G$1="牵丝",$AJ74,$AH74)+IF($G$1="牵丝",$AK74*1.5,0))*(1+$BC74)*(1+$BD74)+($BE74*IF($G$1="破竹",$AJ74,$AH74)+IF($G$1="破竹",$AK74*1.5,0))*(1+$BG74)*(1+$BH74))*(1+$AL74))*$P74*(1+IF(VLOOKUP($Q74,武学奇术!$A:$ZZ,30,FALSE)="蓄力技",#REF!,0))*(1+$BQ74)</f>
        <v>0</v>
      </c>
      <c r="P74" s="39">
        <v>1</v>
      </c>
      <c r="Q74" s="40" t="s">
        <v>76</v>
      </c>
      <c r="R74" s="40" t="s">
        <v>76</v>
      </c>
      <c r="S74" s="40" t="s">
        <v>76</v>
      </c>
      <c r="T74" s="40" t="s">
        <v>76</v>
      </c>
      <c r="U74" s="40" t="s">
        <v>76</v>
      </c>
      <c r="V74" s="40" t="s">
        <v>76</v>
      </c>
      <c r="W74" s="40" t="s">
        <v>76</v>
      </c>
      <c r="X74" s="40" t="s">
        <v>76</v>
      </c>
      <c r="Y74" s="40" t="s">
        <v>76</v>
      </c>
      <c r="Z74" s="40" t="s">
        <v>76</v>
      </c>
      <c r="AA74" s="40" t="s">
        <v>76</v>
      </c>
      <c r="AB74" s="40" t="s">
        <v>76</v>
      </c>
      <c r="AC74" s="40" t="s">
        <v>76</v>
      </c>
      <c r="AD74" s="40" t="s">
        <v>76</v>
      </c>
      <c r="AE74" s="40" t="s">
        <v>76</v>
      </c>
      <c r="AF74" s="40" t="s">
        <v>76</v>
      </c>
      <c r="AG74" t="str">
        <f>VLOOKUP($Q74,武学奇术!$A:$ZZ,25,FALSE)</f>
        <v>心法</v>
      </c>
      <c r="AH74" s="26">
        <f>VLOOKUP($Q74,武学奇术!$A:$ZZ,26,FALSE)</f>
        <v>0</v>
      </c>
      <c r="AI74" s="27">
        <f>VLOOKUP($Q74,武学奇术!$A:$ZZ,27,FALSE)*(1+IF(OR($AG74=$F$4,$AG74=$F$5),$B$21,0))</f>
        <v>0</v>
      </c>
      <c r="AJ74" s="26">
        <f>VLOOKUP($Q74,武学奇术!$A:$ZZ,28,FALSE)</f>
        <v>0</v>
      </c>
      <c r="AK74" s="27">
        <f>VLOOKUP($Q74,武学奇术!$A:$ZZ,29,FALSE)*(1+IF(OR($AG74=$F$4,$AG74=$F$5),$B$21,0))</f>
        <v>0</v>
      </c>
      <c r="AL74" s="26" cm="1">
        <f t="array" ref="AL74">$G$3+IFERROR(VLOOKUP($AG74,$F$4:$G$7,2,FALSE),0)+VLOOKUP($Q74,武学奇术!$A:$ZZ,2,FALSE)+SUM(_xlfn.XLOOKUP($R74:$AF74,增益!$A:$A,增益!$B:$B,0))</f>
        <v>0.2642</v>
      </c>
      <c r="AM74" s="26" cm="1">
        <f t="array" ref="AM74">VLOOKUP($Q74,武学奇术!$A:$ZZ,5,FALSE)+SUM(_xlfn.XLOOKUP($R74:$AF74,增益!$A:$A,增益!$E:$E,0))</f>
        <v>0</v>
      </c>
      <c r="AN74" cm="1">
        <f t="array" ref="AN74">$D$10*(1+$AM74)+VLOOKUP($Q74,武学奇术!$A:$ZZ,3,FALSE)+SUM(_xlfn.XLOOKUP($R74:$AF74,增益!$A:$A,增益!$C:$C,0))-$I$2</f>
        <v>3977.2</v>
      </c>
      <c r="AO74" cm="1">
        <f t="array" ref="AO74">$E$10*(1+$AM74)+VLOOKUP($Q74,武学奇术!$A:$ZZ,4,FALSE)+SUM(_xlfn.XLOOKUP($R74:$AF74,增益!$A:$A,增益!$D:$D,0))-$I$2</f>
        <v>3977.2</v>
      </c>
      <c r="AP74" s="32" cm="1">
        <f t="array" ref="AP74">IF($F$10-$I$3+VLOOKUP($Q74,武学奇术!$A:$ZZ,6,FALSE)+SUM(_xlfn.XLOOKUP(R74:AF74,增益!$A:$A,增益!$F:$F,0))&gt;0,($F$10-$I$3+VLOOKUP($Q74,武学奇术!$A:$ZZ,6,FALSE)+SUM(_xlfn.XLOOKUP(R74:AF74,增益!$A:$A,增益!$F:$F,0)))/200,($F$10-$I$3+VLOOKUP($Q74,武学奇术!$A:$ZZ,6,FALSE)+SUM(_xlfn.XLOOKUP(R74:AF74,增益!$A:$A,增益!$F:$F,0)))/100)</f>
        <v>0.294</v>
      </c>
      <c r="AQ74" s="32" cm="1">
        <f t="array" ref="AQ74">$G$10+VLOOKUP($Q74,武学奇术!$A:$ZZ,7,FALSE)+SUM(_xlfn.XLOOKUP(R74:AF74,增益!$A:$A,增益!$G:$G,0))</f>
        <v>0</v>
      </c>
      <c r="AR74" s="26" cm="1">
        <f t="array" ref="AR74">VLOOKUP($Q74,武学奇术!$A:$ZZ,8,FALSE)+SUM(_xlfn.XLOOKUP(R74:AF74,增益!$A:$A,增益!$H:$H,0))</f>
        <v>0</v>
      </c>
      <c r="AS74">
        <f t="shared" ref="AS74:AS86" si="34">$D$11*(1+$AR74)</f>
        <v>0</v>
      </c>
      <c r="AT74">
        <f t="shared" ref="AT74:AT86" si="35">$E$11*(1+$AR74)</f>
        <v>0</v>
      </c>
      <c r="AU74" s="32" cm="1">
        <f t="array" ref="AU74">IF($F$11-$I$4+VLOOKUP($Q74,武学奇术!$A:$ZZ,9,FALSE)+SUM(_xlfn.XLOOKUP(R74:AF74,增益!$A:$A,增益!$I:$I,0))&gt;0,($F$11-$I$4+VLOOKUP($Q74,武学奇术!$A:$ZZ,9,FALSE)+SUM(_xlfn.XLOOKUP(R74:AF74,增益!$A:$A,增益!$I:$I,0)))/200,($F$11-$I$4+VLOOKUP($Q74,武学奇术!$A:$ZZ,9,FALSE)+SUM(_xlfn.XLOOKUP(R74:AF74,增益!$A:$A,增益!$I:$I,0)))/100)</f>
        <v>-0.3</v>
      </c>
      <c r="AV74" s="32" cm="1">
        <f t="array" ref="AV74">$G$11+VLOOKUP($Q74,武学奇术!$A:$ZZ,10,FALSE)+SUM(_xlfn.XLOOKUP(R74:AF74,增益!$A:$A,增益!$J:$J,0))</f>
        <v>0</v>
      </c>
      <c r="AW74">
        <f t="shared" ref="AW74:AW86" si="36">$D$12*(1+$AR74)</f>
        <v>0</v>
      </c>
      <c r="AX74">
        <f t="shared" ref="AX74:AX86" si="37">$E$12*(1+$AR74)</f>
        <v>0</v>
      </c>
      <c r="AY74" s="32" cm="1">
        <f t="array" ref="AY74">IF($F$12-$I$4+VLOOKUP($Q74,武学奇术!$A:$ZZ,11,FALSE)+SUM(_xlfn.XLOOKUP(R74:AF74,增益!$A:$A,增益!$K:$K,0))&gt;0,($F$12-$I$4+VLOOKUP($Q74,武学奇术!$A:$ZZ,11,FALSE)+SUM(_xlfn.XLOOKUP(R74:AF74,增益!$A:$A,增益!$K:$K,0)))/200,($F$12-$I$4+VLOOKUP($Q74,武学奇术!$A:$ZZ,11,FALSE)+SUM(_xlfn.XLOOKUP(R74:AF74,增益!$A:$A,增益!$K:$K,0)))/100)</f>
        <v>-0.3</v>
      </c>
      <c r="AZ74" s="32" cm="1">
        <f t="array" ref="AZ74">$G$12+VLOOKUP($Q74,武学奇术!$A:$ZZ,12,FALSE)+SUM(_xlfn.XLOOKUP(R74:AF74,增益!$A:$A,增益!$L:$L,0))</f>
        <v>0</v>
      </c>
      <c r="BA74">
        <f t="shared" ref="BA74:BA86" si="38">$D$13*(1+$AR74)</f>
        <v>697.4</v>
      </c>
      <c r="BB74">
        <f t="shared" ref="BB74:BB86" si="39">$E$13*(1+$AR74)</f>
        <v>1805</v>
      </c>
      <c r="BC74" s="32" cm="1">
        <f t="array" ref="BC74">IF($F$13-$I$4+VLOOKUP($Q74,武学奇术!$A:$ZZ,13,FALSE)+SUM(_xlfn.XLOOKUP(R74:AF74,增益!$A:$A,增益!$M:$M,0))&gt;0,($F$13-$I$4+VLOOKUP($Q74,武学奇术!$A:$ZZ,13,FALSE)+SUM(_xlfn.XLOOKUP(R74:AF74,增益!$A:$A,增益!$K:$K,0)))/200,($F$13-$I$4+VLOOKUP($Q74,武学奇术!$A:$ZZ,13,FALSE)+SUM(_xlfn.XLOOKUP(R74:AF74,增益!$A:$A,增益!$M:$M,0)))/100)</f>
        <v>0</v>
      </c>
      <c r="BD74" s="32" cm="1">
        <f t="array" ref="BD74">$G$13+VLOOKUP($Q74,武学奇术!$A:$ZZ,14,FALSE)+SUM(_xlfn.XLOOKUP(R74:AF74,增益!$A:$A,增益!$N:$N,0))</f>
        <v>0.15</v>
      </c>
      <c r="BE74">
        <f t="shared" ref="BE74:BE86" si="40">$D$14*(1+$AR74)</f>
        <v>0</v>
      </c>
      <c r="BF74">
        <f t="shared" ref="BF74:BF86" si="41">$E$14*(1+$AR74)</f>
        <v>0</v>
      </c>
      <c r="BG74" s="32" cm="1">
        <f t="array" ref="BG74">IF($F$14-$I$4+VLOOKUP($Q74,武学奇术!$A:$ZZ,15,FALSE)+SUM(_xlfn.XLOOKUP(R74:AF74,增益!$A:$A,增益!$O:$O,0))&gt;0,($F$14-$I$4+VLOOKUP($Q74,武学奇术!$A:$ZZ,15,FALSE)+SUM(_xlfn.XLOOKUP(R74:AF74,增益!$A:$A,增益!$O:$O,0)))/200,($F$14-$I$4+VLOOKUP($Q74,武学奇术!$A:$ZZ,15,FALSE)+SUM(_xlfn.XLOOKUP(R74:AF74,增益!$A:$A,增益!$O:$O,0)))/100)</f>
        <v>-0.3</v>
      </c>
      <c r="BH74" s="32" cm="1">
        <f t="array" ref="BH74">$G$14+VLOOKUP($Q74,武学奇术!$A:$ZZ,16,FALSE)+SUM(_xlfn.XLOOKUP(R74:AF74,增益!$A:$A,增益!$P:$P,0))</f>
        <v>0</v>
      </c>
      <c r="BI74" s="26">
        <f>MIN(IF(VLOOKUP($Q74,武学奇术!$A:$ZZ,23,FALSE)=1,100%,$B$8),100%)</f>
        <v>1</v>
      </c>
      <c r="BJ74" s="26" cm="1">
        <f t="array" ref="BJ74">IF(VLOOKUP($Q74,武学奇术!$A:$ZZ,23,FALSE)=1,100%,MIN(80%,$B$9+VLOOKUP($Q74,武学奇术!$A:$ZZ,17,FALSE)+SUM(_xlfn.XLOOKUP(R74:AF74,增益!$A:$A,增益!$Q:$Q,0)))+$B$11+SUM(_xlfn.XLOOKUP(R74:AF74,增益!$A:$A,增益!$U:$U,0)))*IF(VLOOKUP($Q74,武学奇术!$A:$ZZ,24,FALSE)=1,0,1)</f>
        <v>0.8625</v>
      </c>
      <c r="BK74" s="26" cm="1">
        <f t="array" ref="BK74">1+$B$13+VLOOKUP($Q74,武学奇术!$A:$ZZ,18,FALSE)+SUM(_xlfn.XLOOKUP(R74:AF74,增益!$A:$A,增益!$R:$R,0))</f>
        <v>1.5</v>
      </c>
      <c r="BL74" s="26" cm="1">
        <f t="array" ref="BL74">IF(VLOOKUP($Q74,武学奇术!$A:$ZZ,24,FALSE)=1,100%,MIN(40%,$B$10+VLOOKUP($Q74,武学奇术!$A:$ZZ,19,FALSE)+SUM(_xlfn.XLOOKUP(R74:AF74,增益!$A:$A,增益!$S:$S,0)))+$B$12+SUM(_xlfn.XLOOKUP(R74:AF74,增益!$A:$A,增益!$V:$V,0)))*IF(VLOOKUP($Q74,武学奇术!$A:$ZZ,23,FALSE)=1,0,1)</f>
        <v>0.0913</v>
      </c>
      <c r="BM74" s="26" cm="1">
        <f t="array" ref="BM74">1+$B$14+VLOOKUP($Q74,武学奇术!$A:$ZZ,20,FALSE)+SUM(_xlfn.XLOOKUP(R74:AF74,增益!$A:$A,增益!$T:$T,0))</f>
        <v>1.35</v>
      </c>
      <c r="BN74" s="26">
        <f t="shared" si="22"/>
        <v>0.8625</v>
      </c>
      <c r="BO74" s="26">
        <f t="shared" si="32"/>
        <v>0.0462</v>
      </c>
      <c r="BP74" s="26">
        <f>IF(VLOOKUP($Q74,武学奇术!$A:$ZZ,22,FALSE)=1,0,(1-$BI74))*(1-$BL74)</f>
        <v>0</v>
      </c>
      <c r="BQ74" s="26" cm="1">
        <f t="array" ref="BQ74">SUM(_xlfn.XLOOKUP(R74:AF74,增益!$A:$A,增益!$W:$W,0))+$I$5</f>
        <v>0.06</v>
      </c>
    </row>
    <row r="75" spans="1:69">
      <c r="K75" s="38">
        <f t="shared" si="33"/>
        <v>0</v>
      </c>
      <c r="L75" s="38">
        <f>((($AN75+$AO75)/2*$AH75+$AI75)*(1+$AP75)*(1+$AQ75)+(($AS75+$AT75)/2*IF($G$1="鸣金",$AJ75,$AH75)+IF($G$1="鸣金",$AK75*1.5,0))*(1+$AU75)*(1+$AV75)+(($AW75+$AX75)/2*IF($G$1="裂石",$AJ75,$AH75)+IF($G$1="裂石",$AK75*1.5,0))*(1+$AY75)*(1+$AZ75)+(($BA75+$BB75)/2*IF($G$1="牵丝",$AJ75,$AH75)+IF($G$1="牵丝",$AK75*1.5,0))*(1+$BC75)*(1+$BD75)+(($BE75+$BF75)/2*IF($G$1="破竹",$AJ75,$AH75)+IF($G$1="破竹",$AK75*1.5,0))*(1+$BG75)*(1+$BH75))*(1+$AL75)*$BK75*$P75*(1+IF(VLOOKUP($Q75,武学奇术!$A:$ZZ,30,FALSE)="蓄力技",#REF!,0))*(1+$BQ75)</f>
        <v>0</v>
      </c>
      <c r="M75" s="38">
        <f>(($AO75*$AH75+$AI75)*(1+$AP75)*(1+$AQ75)+($AT75*IF($G$1="鸣金",$AJ75,$AH75)+IF($G$1="鸣金",$AK75*1.5,0))*(1+$AU75)*(1+$AV75)+($AX75*IF($G$1="裂石",$AJ75,$AH75)+IF($G$1="裂石",$AK75*1.5,0))*(1+$AY75)*(1+$AZ75)+($BB75*IF($G$1="牵丝",$AJ75,$AH75)+IF($G$1="牵丝",$AK75*1.5,0))*(1+$BC75)*(1+$BD75)+($BF75*IF($G$1="破竹",$AJ75,$AH75)+IF($G$1="破竹",$AK75*1.5,0))*(1+$BG75)*(1+$BH75))*(1+$AL75)*$BM75*$P75*(1+IF(VLOOKUP($Q75,武学奇术!$A:$ZZ,30,FALSE)="蓄力技",#REF!,0))*(1+$BQ75)</f>
        <v>0</v>
      </c>
      <c r="N75" s="38">
        <f>((($AN75+$AO75)/2*$AH75+$AI75)*(1+$AP75)*(1+$AQ75)+(($AS75+$AT75)/2*IF($G$1="鸣金",$AJ75,$AH75)+IF($G$1="鸣金",$AK75*1.5,0))*(1+$AU75)*(1+$AV75)+(($AW75+$AX75)/2*IF($G$1="裂石",$AJ75,$AH75)+IF($G$1="裂石",$AK75*1.5,0))*(1+$AY75)*(1+$AZ75)+(($BA75+$BB75)/2*IF($G$1="牵丝",$AJ75,$AH75)+IF($G$1="牵丝",$AK75*1.5,0))*(1+$BC75)*(1+$BD75)+(($BE75+$BF75)/2*IF($G$1="破竹",$AJ75,$AH75)+IF($G$1="破竹",$AK75*1.5,0))*(1+$BG75)*(1+$BH75))*(1+$AL75)*$P75*(1+IF(VLOOKUP($Q75,武学奇术!$A:$ZZ,30,FALSE)="蓄力技",#REF!,0))*(1+$BQ75)</f>
        <v>0</v>
      </c>
      <c r="O75" s="38">
        <f>((($AN75*$AH75+$AI75)*(1+$AP75)*(1+$AQ75)+($AS75*IF($G$1="鸣金",$AJ75,$AH75)+IF($G$1="鸣金",$AK75*1.5,0))*(1+$AU75)*(1+$AV75)+($AW75*IF($G$1="裂石",$AJ75,$AH75)+IF($G$1="裂石",$AK75*1.5,0))*(1+$AY75)*(1+$AZ75)+($BA75*IF($G$1="牵丝",$AJ75,$AH75)+IF($G$1="牵丝",$AK75*1.5,0))*(1+$BC75)*(1+$BD75)+($BE75*IF($G$1="破竹",$AJ75,$AH75)+IF($G$1="破竹",$AK75*1.5,0))*(1+$BG75)*(1+$BH75))*(1+$AL75))*$P75*(1+IF(VLOOKUP($Q75,武学奇术!$A:$ZZ,30,FALSE)="蓄力技",#REF!,0))*(1+$BQ75)</f>
        <v>0</v>
      </c>
      <c r="P75" s="39">
        <v>1</v>
      </c>
      <c r="Q75" s="40" t="s">
        <v>76</v>
      </c>
      <c r="R75" s="40" t="s">
        <v>76</v>
      </c>
      <c r="S75" s="40" t="s">
        <v>76</v>
      </c>
      <c r="T75" s="40" t="s">
        <v>76</v>
      </c>
      <c r="U75" s="40" t="s">
        <v>76</v>
      </c>
      <c r="V75" s="40" t="s">
        <v>76</v>
      </c>
      <c r="W75" s="40" t="s">
        <v>76</v>
      </c>
      <c r="X75" s="40" t="s">
        <v>76</v>
      </c>
      <c r="Y75" s="40" t="s">
        <v>76</v>
      </c>
      <c r="Z75" s="40" t="s">
        <v>76</v>
      </c>
      <c r="AA75" s="40" t="s">
        <v>76</v>
      </c>
      <c r="AB75" s="40" t="s">
        <v>76</v>
      </c>
      <c r="AC75" s="40" t="s">
        <v>76</v>
      </c>
      <c r="AD75" s="40" t="s">
        <v>76</v>
      </c>
      <c r="AE75" s="40" t="s">
        <v>76</v>
      </c>
      <c r="AF75" s="40" t="s">
        <v>76</v>
      </c>
      <c r="AG75" t="str">
        <f>VLOOKUP($Q75,武学奇术!$A:$ZZ,25,FALSE)</f>
        <v>心法</v>
      </c>
      <c r="AH75" s="26">
        <f>VLOOKUP($Q75,武学奇术!$A:$ZZ,26,FALSE)</f>
        <v>0</v>
      </c>
      <c r="AI75" s="27">
        <f>VLOOKUP($Q75,武学奇术!$A:$ZZ,27,FALSE)*(1+IF(OR($AG75=$F$4,$AG75=$F$5),$B$21,0))</f>
        <v>0</v>
      </c>
      <c r="AJ75" s="26">
        <f>VLOOKUP($Q75,武学奇术!$A:$ZZ,28,FALSE)</f>
        <v>0</v>
      </c>
      <c r="AK75" s="27">
        <f>VLOOKUP($Q75,武学奇术!$A:$ZZ,29,FALSE)*(1+IF(OR($AG75=$F$4,$AG75=$F$5),$B$21,0))</f>
        <v>0</v>
      </c>
      <c r="AL75" s="26" cm="1">
        <f t="array" ref="AL75">$G$3+IFERROR(VLOOKUP($AG75,$F$4:$G$7,2,FALSE),0)+VLOOKUP($Q75,武学奇术!$A:$ZZ,2,FALSE)+SUM(_xlfn.XLOOKUP($R75:$AF75,增益!$A:$A,增益!$B:$B,0))</f>
        <v>0.2642</v>
      </c>
      <c r="AM75" s="26" cm="1">
        <f t="array" ref="AM75">VLOOKUP($Q75,武学奇术!$A:$ZZ,5,FALSE)+SUM(_xlfn.XLOOKUP($R75:$AF75,增益!$A:$A,增益!$E:$E,0))</f>
        <v>0</v>
      </c>
      <c r="AN75" cm="1">
        <f t="array" ref="AN75">$D$10*(1+$AM75)+VLOOKUP($Q75,武学奇术!$A:$ZZ,3,FALSE)+SUM(_xlfn.XLOOKUP($R75:$AF75,增益!$A:$A,增益!$C:$C,0))-$I$2</f>
        <v>3977.2</v>
      </c>
      <c r="AO75" cm="1">
        <f t="array" ref="AO75">$E$10*(1+$AM75)+VLOOKUP($Q75,武学奇术!$A:$ZZ,4,FALSE)+SUM(_xlfn.XLOOKUP($R75:$AF75,增益!$A:$A,增益!$D:$D,0))-$I$2</f>
        <v>3977.2</v>
      </c>
      <c r="AP75" s="32" cm="1">
        <f t="array" ref="AP75">IF($F$10-$I$3+VLOOKUP($Q75,武学奇术!$A:$ZZ,6,FALSE)+SUM(_xlfn.XLOOKUP(R75:AF75,增益!$A:$A,增益!$F:$F,0))&gt;0,($F$10-$I$3+VLOOKUP($Q75,武学奇术!$A:$ZZ,6,FALSE)+SUM(_xlfn.XLOOKUP(R75:AF75,增益!$A:$A,增益!$F:$F,0)))/200,($F$10-$I$3+VLOOKUP($Q75,武学奇术!$A:$ZZ,6,FALSE)+SUM(_xlfn.XLOOKUP(R75:AF75,增益!$A:$A,增益!$F:$F,0)))/100)</f>
        <v>0.294</v>
      </c>
      <c r="AQ75" s="32" cm="1">
        <f t="array" ref="AQ75">$G$10+VLOOKUP($Q75,武学奇术!$A:$ZZ,7,FALSE)+SUM(_xlfn.XLOOKUP(R75:AF75,增益!$A:$A,增益!$G:$G,0))</f>
        <v>0</v>
      </c>
      <c r="AR75" s="26" cm="1">
        <f t="array" ref="AR75">VLOOKUP($Q75,武学奇术!$A:$ZZ,8,FALSE)+SUM(_xlfn.XLOOKUP(R75:AF75,增益!$A:$A,增益!$H:$H,0))</f>
        <v>0</v>
      </c>
      <c r="AS75">
        <f t="shared" si="34"/>
        <v>0</v>
      </c>
      <c r="AT75">
        <f t="shared" si="35"/>
        <v>0</v>
      </c>
      <c r="AU75" s="32" cm="1">
        <f t="array" ref="AU75">IF($F$11-$I$4+VLOOKUP($Q75,武学奇术!$A:$ZZ,9,FALSE)+SUM(_xlfn.XLOOKUP(R75:AF75,增益!$A:$A,增益!$I:$I,0))&gt;0,($F$11-$I$4+VLOOKUP($Q75,武学奇术!$A:$ZZ,9,FALSE)+SUM(_xlfn.XLOOKUP(R75:AF75,增益!$A:$A,增益!$I:$I,0)))/200,($F$11-$I$4+VLOOKUP($Q75,武学奇术!$A:$ZZ,9,FALSE)+SUM(_xlfn.XLOOKUP(R75:AF75,增益!$A:$A,增益!$I:$I,0)))/100)</f>
        <v>-0.3</v>
      </c>
      <c r="AV75" s="32" cm="1">
        <f t="array" ref="AV75">$G$11+VLOOKUP($Q75,武学奇术!$A:$ZZ,10,FALSE)+SUM(_xlfn.XLOOKUP(R75:AF75,增益!$A:$A,增益!$J:$J,0))</f>
        <v>0</v>
      </c>
      <c r="AW75">
        <f t="shared" si="36"/>
        <v>0</v>
      </c>
      <c r="AX75">
        <f t="shared" si="37"/>
        <v>0</v>
      </c>
      <c r="AY75" s="32" cm="1">
        <f t="array" ref="AY75">IF($F$12-$I$4+VLOOKUP($Q75,武学奇术!$A:$ZZ,11,FALSE)+SUM(_xlfn.XLOOKUP(R75:AF75,增益!$A:$A,增益!$K:$K,0))&gt;0,($F$12-$I$4+VLOOKUP($Q75,武学奇术!$A:$ZZ,11,FALSE)+SUM(_xlfn.XLOOKUP(R75:AF75,增益!$A:$A,增益!$K:$K,0)))/200,($F$12-$I$4+VLOOKUP($Q75,武学奇术!$A:$ZZ,11,FALSE)+SUM(_xlfn.XLOOKUP(R75:AF75,增益!$A:$A,增益!$K:$K,0)))/100)</f>
        <v>-0.3</v>
      </c>
      <c r="AZ75" s="32" cm="1">
        <f t="array" ref="AZ75">$G$12+VLOOKUP($Q75,武学奇术!$A:$ZZ,12,FALSE)+SUM(_xlfn.XLOOKUP(R75:AF75,增益!$A:$A,增益!$L:$L,0))</f>
        <v>0</v>
      </c>
      <c r="BA75">
        <f t="shared" si="38"/>
        <v>697.4</v>
      </c>
      <c r="BB75">
        <f t="shared" si="39"/>
        <v>1805</v>
      </c>
      <c r="BC75" s="32" cm="1">
        <f t="array" ref="BC75">IF($F$13-$I$4+VLOOKUP($Q75,武学奇术!$A:$ZZ,13,FALSE)+SUM(_xlfn.XLOOKUP(R75:AF75,增益!$A:$A,增益!$M:$M,0))&gt;0,($F$13-$I$4+VLOOKUP($Q75,武学奇术!$A:$ZZ,13,FALSE)+SUM(_xlfn.XLOOKUP(R75:AF75,增益!$A:$A,增益!$K:$K,0)))/200,($F$13-$I$4+VLOOKUP($Q75,武学奇术!$A:$ZZ,13,FALSE)+SUM(_xlfn.XLOOKUP(R75:AF75,增益!$A:$A,增益!$M:$M,0)))/100)</f>
        <v>0</v>
      </c>
      <c r="BD75" s="32" cm="1">
        <f t="array" ref="BD75">$G$13+VLOOKUP($Q75,武学奇术!$A:$ZZ,14,FALSE)+SUM(_xlfn.XLOOKUP(R75:AF75,增益!$A:$A,增益!$N:$N,0))</f>
        <v>0.15</v>
      </c>
      <c r="BE75">
        <f t="shared" si="40"/>
        <v>0</v>
      </c>
      <c r="BF75">
        <f t="shared" si="41"/>
        <v>0</v>
      </c>
      <c r="BG75" s="32" cm="1">
        <f t="array" ref="BG75">IF($F$14-$I$4+VLOOKUP($Q75,武学奇术!$A:$ZZ,15,FALSE)+SUM(_xlfn.XLOOKUP(R75:AF75,增益!$A:$A,增益!$O:$O,0))&gt;0,($F$14-$I$4+VLOOKUP($Q75,武学奇术!$A:$ZZ,15,FALSE)+SUM(_xlfn.XLOOKUP(R75:AF75,增益!$A:$A,增益!$O:$O,0)))/200,($F$14-$I$4+VLOOKUP($Q75,武学奇术!$A:$ZZ,15,FALSE)+SUM(_xlfn.XLOOKUP(R75:AF75,增益!$A:$A,增益!$O:$O,0)))/100)</f>
        <v>-0.3</v>
      </c>
      <c r="BH75" s="32" cm="1">
        <f t="array" ref="BH75">$G$14+VLOOKUP($Q75,武学奇术!$A:$ZZ,16,FALSE)+SUM(_xlfn.XLOOKUP(R75:AF75,增益!$A:$A,增益!$P:$P,0))</f>
        <v>0</v>
      </c>
      <c r="BI75" s="26">
        <f>MIN(IF(VLOOKUP($Q75,武学奇术!$A:$ZZ,23,FALSE)=1,100%,$B$8),100%)</f>
        <v>1</v>
      </c>
      <c r="BJ75" s="26" cm="1">
        <f t="array" ref="BJ75">IF(VLOOKUP($Q75,武学奇术!$A:$ZZ,23,FALSE)=1,100%,MIN(80%,$B$9+VLOOKUP($Q75,武学奇术!$A:$ZZ,17,FALSE)+SUM(_xlfn.XLOOKUP(R75:AF75,增益!$A:$A,增益!$Q:$Q,0)))+$B$11+SUM(_xlfn.XLOOKUP(R75:AF75,增益!$A:$A,增益!$U:$U,0)))*IF(VLOOKUP($Q75,武学奇术!$A:$ZZ,24,FALSE)=1,0,1)</f>
        <v>0.8625</v>
      </c>
      <c r="BK75" s="26" cm="1">
        <f t="array" ref="BK75">1+$B$13+VLOOKUP($Q75,武学奇术!$A:$ZZ,18,FALSE)+SUM(_xlfn.XLOOKUP(R75:AF75,增益!$A:$A,增益!$R:$R,0))</f>
        <v>1.5</v>
      </c>
      <c r="BL75" s="26" cm="1">
        <f t="array" ref="BL75">IF(VLOOKUP($Q75,武学奇术!$A:$ZZ,24,FALSE)=1,100%,MIN(40%,$B$10+VLOOKUP($Q75,武学奇术!$A:$ZZ,19,FALSE)+SUM(_xlfn.XLOOKUP(R75:AF75,增益!$A:$A,增益!$S:$S,0)))+$B$12+SUM(_xlfn.XLOOKUP(R75:AF75,增益!$A:$A,增益!$V:$V,0)))*IF(VLOOKUP($Q75,武学奇术!$A:$ZZ,23,FALSE)=1,0,1)</f>
        <v>0.0913</v>
      </c>
      <c r="BM75" s="26" cm="1">
        <f t="array" ref="BM75">1+$B$14+VLOOKUP($Q75,武学奇术!$A:$ZZ,20,FALSE)+SUM(_xlfn.XLOOKUP(R75:AF75,增益!$A:$A,增益!$T:$T,0))</f>
        <v>1.35</v>
      </c>
      <c r="BN75" s="26">
        <f t="shared" si="22"/>
        <v>0.8625</v>
      </c>
      <c r="BO75" s="26">
        <f t="shared" si="32"/>
        <v>0.0462</v>
      </c>
      <c r="BP75" s="26">
        <f>IF(VLOOKUP($Q75,武学奇术!$A:$ZZ,22,FALSE)=1,0,(1-$BI75))*(1-$BL75)</f>
        <v>0</v>
      </c>
      <c r="BQ75" s="26" cm="1">
        <f t="array" ref="BQ75">SUM(_xlfn.XLOOKUP(R75:AF75,增益!$A:$A,增益!$W:$W,0))+$I$5</f>
        <v>0.06</v>
      </c>
    </row>
    <row r="76" spans="1:69">
      <c r="K76" s="38">
        <f t="shared" si="33"/>
        <v>0</v>
      </c>
      <c r="L76" s="38">
        <f>((($AN76+$AO76)/2*$AH76+$AI76)*(1+$AP76)*(1+$AQ76)+(($AS76+$AT76)/2*IF($G$1="鸣金",$AJ76,$AH76)+IF($G$1="鸣金",$AK76*1.5,0))*(1+$AU76)*(1+$AV76)+(($AW76+$AX76)/2*IF($G$1="裂石",$AJ76,$AH76)+IF($G$1="裂石",$AK76*1.5,0))*(1+$AY76)*(1+$AZ76)+(($BA76+$BB76)/2*IF($G$1="牵丝",$AJ76,$AH76)+IF($G$1="牵丝",$AK76*1.5,0))*(1+$BC76)*(1+$BD76)+(($BE76+$BF76)/2*IF($G$1="破竹",$AJ76,$AH76)+IF($G$1="破竹",$AK76*1.5,0))*(1+$BG76)*(1+$BH76))*(1+$AL76)*$BK76*$P76*(1+IF(VLOOKUP($Q76,武学奇术!$A:$ZZ,30,FALSE)="蓄力技",#REF!,0))*(1+$BQ76)</f>
        <v>0</v>
      </c>
      <c r="M76" s="38">
        <f>(($AO76*$AH76+$AI76)*(1+$AP76)*(1+$AQ76)+($AT76*IF($G$1="鸣金",$AJ76,$AH76)+IF($G$1="鸣金",$AK76*1.5,0))*(1+$AU76)*(1+$AV76)+($AX76*IF($G$1="裂石",$AJ76,$AH76)+IF($G$1="裂石",$AK76*1.5,0))*(1+$AY76)*(1+$AZ76)+($BB76*IF($G$1="牵丝",$AJ76,$AH76)+IF($G$1="牵丝",$AK76*1.5,0))*(1+$BC76)*(1+$BD76)+($BF76*IF($G$1="破竹",$AJ76,$AH76)+IF($G$1="破竹",$AK76*1.5,0))*(1+$BG76)*(1+$BH76))*(1+$AL76)*$BM76*$P76*(1+IF(VLOOKUP($Q76,武学奇术!$A:$ZZ,30,FALSE)="蓄力技",#REF!,0))*(1+$BQ76)</f>
        <v>0</v>
      </c>
      <c r="N76" s="38">
        <f>((($AN76+$AO76)/2*$AH76+$AI76)*(1+$AP76)*(1+$AQ76)+(($AS76+$AT76)/2*IF($G$1="鸣金",$AJ76,$AH76)+IF($G$1="鸣金",$AK76*1.5,0))*(1+$AU76)*(1+$AV76)+(($AW76+$AX76)/2*IF($G$1="裂石",$AJ76,$AH76)+IF($G$1="裂石",$AK76*1.5,0))*(1+$AY76)*(1+$AZ76)+(($BA76+$BB76)/2*IF($G$1="牵丝",$AJ76,$AH76)+IF($G$1="牵丝",$AK76*1.5,0))*(1+$BC76)*(1+$BD76)+(($BE76+$BF76)/2*IF($G$1="破竹",$AJ76,$AH76)+IF($G$1="破竹",$AK76*1.5,0))*(1+$BG76)*(1+$BH76))*(1+$AL76)*$P76*(1+IF(VLOOKUP($Q76,武学奇术!$A:$ZZ,30,FALSE)="蓄力技",#REF!,0))*(1+$BQ76)</f>
        <v>0</v>
      </c>
      <c r="O76" s="38">
        <f>((($AN76*$AH76+$AI76)*(1+$AP76)*(1+$AQ76)+($AS76*IF($G$1="鸣金",$AJ76,$AH76)+IF($G$1="鸣金",$AK76*1.5,0))*(1+$AU76)*(1+$AV76)+($AW76*IF($G$1="裂石",$AJ76,$AH76)+IF($G$1="裂石",$AK76*1.5,0))*(1+$AY76)*(1+$AZ76)+($BA76*IF($G$1="牵丝",$AJ76,$AH76)+IF($G$1="牵丝",$AK76*1.5,0))*(1+$BC76)*(1+$BD76)+($BE76*IF($G$1="破竹",$AJ76,$AH76)+IF($G$1="破竹",$AK76*1.5,0))*(1+$BG76)*(1+$BH76))*(1+$AL76))*$P76*(1+IF(VLOOKUP($Q76,武学奇术!$A:$ZZ,30,FALSE)="蓄力技",#REF!,0))*(1+$BQ76)</f>
        <v>0</v>
      </c>
      <c r="P76" s="39">
        <v>1</v>
      </c>
      <c r="Q76" s="40" t="s">
        <v>76</v>
      </c>
      <c r="R76" s="40" t="s">
        <v>76</v>
      </c>
      <c r="S76" s="40" t="s">
        <v>76</v>
      </c>
      <c r="T76" s="40" t="s">
        <v>76</v>
      </c>
      <c r="U76" s="40" t="s">
        <v>76</v>
      </c>
      <c r="V76" s="40" t="s">
        <v>76</v>
      </c>
      <c r="W76" s="40" t="s">
        <v>76</v>
      </c>
      <c r="X76" s="40" t="s">
        <v>76</v>
      </c>
      <c r="Y76" s="40" t="s">
        <v>76</v>
      </c>
      <c r="Z76" s="40" t="s">
        <v>76</v>
      </c>
      <c r="AA76" s="40" t="s">
        <v>76</v>
      </c>
      <c r="AB76" s="40" t="s">
        <v>76</v>
      </c>
      <c r="AC76" s="40" t="s">
        <v>76</v>
      </c>
      <c r="AD76" s="40" t="s">
        <v>76</v>
      </c>
      <c r="AE76" s="40" t="s">
        <v>76</v>
      </c>
      <c r="AF76" s="40" t="s">
        <v>76</v>
      </c>
      <c r="AG76" t="str">
        <f>VLOOKUP($Q76,武学奇术!$A:$ZZ,25,FALSE)</f>
        <v>心法</v>
      </c>
      <c r="AH76" s="26">
        <f>VLOOKUP($Q76,武学奇术!$A:$ZZ,26,FALSE)</f>
        <v>0</v>
      </c>
      <c r="AI76" s="27">
        <f>VLOOKUP($Q76,武学奇术!$A:$ZZ,27,FALSE)*(1+IF(OR($AG76=$F$4,$AG76=$F$5),$B$21,0))</f>
        <v>0</v>
      </c>
      <c r="AJ76" s="26">
        <f>VLOOKUP($Q76,武学奇术!$A:$ZZ,28,FALSE)</f>
        <v>0</v>
      </c>
      <c r="AK76" s="27">
        <f>VLOOKUP($Q76,武学奇术!$A:$ZZ,29,FALSE)*(1+IF(OR($AG76=$F$4,$AG76=$F$5),$B$21,0))</f>
        <v>0</v>
      </c>
      <c r="AL76" s="26" cm="1">
        <f t="array" ref="AL76">$G$3+IFERROR(VLOOKUP($AG76,$F$4:$G$7,2,FALSE),0)+VLOOKUP($Q76,武学奇术!$A:$ZZ,2,FALSE)+SUM(_xlfn.XLOOKUP($R76:$AF76,增益!$A:$A,增益!$B:$B,0))</f>
        <v>0.2642</v>
      </c>
      <c r="AM76" s="26" cm="1">
        <f t="array" ref="AM76">VLOOKUP($Q76,武学奇术!$A:$ZZ,5,FALSE)+SUM(_xlfn.XLOOKUP($R76:$AF76,增益!$A:$A,增益!$E:$E,0))</f>
        <v>0</v>
      </c>
      <c r="AN76" cm="1">
        <f t="array" ref="AN76">$D$10*(1+$AM76)+VLOOKUP($Q76,武学奇术!$A:$ZZ,3,FALSE)+SUM(_xlfn.XLOOKUP($R76:$AF76,增益!$A:$A,增益!$C:$C,0))-$I$2</f>
        <v>3977.2</v>
      </c>
      <c r="AO76" cm="1">
        <f t="array" ref="AO76">$E$10*(1+$AM76)+VLOOKUP($Q76,武学奇术!$A:$ZZ,4,FALSE)+SUM(_xlfn.XLOOKUP($R76:$AF76,增益!$A:$A,增益!$D:$D,0))-$I$2</f>
        <v>3977.2</v>
      </c>
      <c r="AP76" s="32" cm="1">
        <f t="array" ref="AP76">IF($F$10-$I$3+VLOOKUP($Q76,武学奇术!$A:$ZZ,6,FALSE)+SUM(_xlfn.XLOOKUP(R76:AF76,增益!$A:$A,增益!$F:$F,0))&gt;0,($F$10-$I$3+VLOOKUP($Q76,武学奇术!$A:$ZZ,6,FALSE)+SUM(_xlfn.XLOOKUP(R76:AF76,增益!$A:$A,增益!$F:$F,0)))/200,($F$10-$I$3+VLOOKUP($Q76,武学奇术!$A:$ZZ,6,FALSE)+SUM(_xlfn.XLOOKUP(R76:AF76,增益!$A:$A,增益!$F:$F,0)))/100)</f>
        <v>0.294</v>
      </c>
      <c r="AQ76" s="32" cm="1">
        <f t="array" ref="AQ76">$G$10+VLOOKUP($Q76,武学奇术!$A:$ZZ,7,FALSE)+SUM(_xlfn.XLOOKUP(R76:AF76,增益!$A:$A,增益!$G:$G,0))</f>
        <v>0</v>
      </c>
      <c r="AR76" s="26" cm="1">
        <f t="array" ref="AR76">VLOOKUP($Q76,武学奇术!$A:$ZZ,8,FALSE)+SUM(_xlfn.XLOOKUP(R76:AF76,增益!$A:$A,增益!$H:$H,0))</f>
        <v>0</v>
      </c>
      <c r="AS76">
        <f t="shared" si="34"/>
        <v>0</v>
      </c>
      <c r="AT76">
        <f t="shared" si="35"/>
        <v>0</v>
      </c>
      <c r="AU76" s="32" cm="1">
        <f t="array" ref="AU76">IF($F$11-$I$4+VLOOKUP($Q76,武学奇术!$A:$ZZ,9,FALSE)+SUM(_xlfn.XLOOKUP(R76:AF76,增益!$A:$A,增益!$I:$I,0))&gt;0,($F$11-$I$4+VLOOKUP($Q76,武学奇术!$A:$ZZ,9,FALSE)+SUM(_xlfn.XLOOKUP(R76:AF76,增益!$A:$A,增益!$I:$I,0)))/200,($F$11-$I$4+VLOOKUP($Q76,武学奇术!$A:$ZZ,9,FALSE)+SUM(_xlfn.XLOOKUP(R76:AF76,增益!$A:$A,增益!$I:$I,0)))/100)</f>
        <v>-0.3</v>
      </c>
      <c r="AV76" s="32" cm="1">
        <f t="array" ref="AV76">$G$11+VLOOKUP($Q76,武学奇术!$A:$ZZ,10,FALSE)+SUM(_xlfn.XLOOKUP(R76:AF76,增益!$A:$A,增益!$J:$J,0))</f>
        <v>0</v>
      </c>
      <c r="AW76">
        <f t="shared" si="36"/>
        <v>0</v>
      </c>
      <c r="AX76">
        <f t="shared" si="37"/>
        <v>0</v>
      </c>
      <c r="AY76" s="32" cm="1">
        <f t="array" ref="AY76">IF($F$12-$I$4+VLOOKUP($Q76,武学奇术!$A:$ZZ,11,FALSE)+SUM(_xlfn.XLOOKUP(R76:AF76,增益!$A:$A,增益!$K:$K,0))&gt;0,($F$12-$I$4+VLOOKUP($Q76,武学奇术!$A:$ZZ,11,FALSE)+SUM(_xlfn.XLOOKUP(R76:AF76,增益!$A:$A,增益!$K:$K,0)))/200,($F$12-$I$4+VLOOKUP($Q76,武学奇术!$A:$ZZ,11,FALSE)+SUM(_xlfn.XLOOKUP(R76:AF76,增益!$A:$A,增益!$K:$K,0)))/100)</f>
        <v>-0.3</v>
      </c>
      <c r="AZ76" s="32" cm="1">
        <f t="array" ref="AZ76">$G$12+VLOOKUP($Q76,武学奇术!$A:$ZZ,12,FALSE)+SUM(_xlfn.XLOOKUP(R76:AF76,增益!$A:$A,增益!$L:$L,0))</f>
        <v>0</v>
      </c>
      <c r="BA76">
        <f t="shared" si="38"/>
        <v>697.4</v>
      </c>
      <c r="BB76">
        <f t="shared" si="39"/>
        <v>1805</v>
      </c>
      <c r="BC76" s="32" cm="1">
        <f t="array" ref="BC76">IF($F$13-$I$4+VLOOKUP($Q76,武学奇术!$A:$ZZ,13,FALSE)+SUM(_xlfn.XLOOKUP(R76:AF76,增益!$A:$A,增益!$M:$M,0))&gt;0,($F$13-$I$4+VLOOKUP($Q76,武学奇术!$A:$ZZ,13,FALSE)+SUM(_xlfn.XLOOKUP(R76:AF76,增益!$A:$A,增益!$K:$K,0)))/200,($F$13-$I$4+VLOOKUP($Q76,武学奇术!$A:$ZZ,13,FALSE)+SUM(_xlfn.XLOOKUP(R76:AF76,增益!$A:$A,增益!$M:$M,0)))/100)</f>
        <v>0</v>
      </c>
      <c r="BD76" s="32" cm="1">
        <f t="array" ref="BD76">$G$13+VLOOKUP($Q76,武学奇术!$A:$ZZ,14,FALSE)+SUM(_xlfn.XLOOKUP(R76:AF76,增益!$A:$A,增益!$N:$N,0))</f>
        <v>0.15</v>
      </c>
      <c r="BE76">
        <f t="shared" si="40"/>
        <v>0</v>
      </c>
      <c r="BF76">
        <f t="shared" si="41"/>
        <v>0</v>
      </c>
      <c r="BG76" s="32" cm="1">
        <f t="array" ref="BG76">IF($F$14-$I$4+VLOOKUP($Q76,武学奇术!$A:$ZZ,15,FALSE)+SUM(_xlfn.XLOOKUP(R76:AF76,增益!$A:$A,增益!$O:$O,0))&gt;0,($F$14-$I$4+VLOOKUP($Q76,武学奇术!$A:$ZZ,15,FALSE)+SUM(_xlfn.XLOOKUP(R76:AF76,增益!$A:$A,增益!$O:$O,0)))/200,($F$14-$I$4+VLOOKUP($Q76,武学奇术!$A:$ZZ,15,FALSE)+SUM(_xlfn.XLOOKUP(R76:AF76,增益!$A:$A,增益!$O:$O,0)))/100)</f>
        <v>-0.3</v>
      </c>
      <c r="BH76" s="32" cm="1">
        <f t="array" ref="BH76">$G$14+VLOOKUP($Q76,武学奇术!$A:$ZZ,16,FALSE)+SUM(_xlfn.XLOOKUP(R76:AF76,增益!$A:$A,增益!$P:$P,0))</f>
        <v>0</v>
      </c>
      <c r="BI76" s="26">
        <f>MIN(IF(VLOOKUP($Q76,武学奇术!$A:$ZZ,23,FALSE)=1,100%,$B$8),100%)</f>
        <v>1</v>
      </c>
      <c r="BJ76" s="26" cm="1">
        <f t="array" ref="BJ76">IF(VLOOKUP($Q76,武学奇术!$A:$ZZ,23,FALSE)=1,100%,MIN(80%,$B$9+VLOOKUP($Q76,武学奇术!$A:$ZZ,17,FALSE)+SUM(_xlfn.XLOOKUP(R76:AF76,增益!$A:$A,增益!$Q:$Q,0)))+$B$11+SUM(_xlfn.XLOOKUP(R76:AF76,增益!$A:$A,增益!$U:$U,0)))*IF(VLOOKUP($Q76,武学奇术!$A:$ZZ,24,FALSE)=1,0,1)</f>
        <v>0.8625</v>
      </c>
      <c r="BK76" s="26" cm="1">
        <f t="array" ref="BK76">1+$B$13+VLOOKUP($Q76,武学奇术!$A:$ZZ,18,FALSE)+SUM(_xlfn.XLOOKUP(R76:AF76,增益!$A:$A,增益!$R:$R,0))</f>
        <v>1.5</v>
      </c>
      <c r="BL76" s="26" cm="1">
        <f t="array" ref="BL76">IF(VLOOKUP($Q76,武学奇术!$A:$ZZ,24,FALSE)=1,100%,MIN(40%,$B$10+VLOOKUP($Q76,武学奇术!$A:$ZZ,19,FALSE)+SUM(_xlfn.XLOOKUP(R76:AF76,增益!$A:$A,增益!$S:$S,0)))+$B$12+SUM(_xlfn.XLOOKUP(R76:AF76,增益!$A:$A,增益!$V:$V,0)))*IF(VLOOKUP($Q76,武学奇术!$A:$ZZ,23,FALSE)=1,0,1)</f>
        <v>0.0913</v>
      </c>
      <c r="BM76" s="26" cm="1">
        <f t="array" ref="BM76">1+$B$14+VLOOKUP($Q76,武学奇术!$A:$ZZ,20,FALSE)+SUM(_xlfn.XLOOKUP(R76:AF76,增益!$A:$A,增益!$T:$T,0))</f>
        <v>1.35</v>
      </c>
      <c r="BN76" s="26">
        <f t="shared" si="22"/>
        <v>0.8625</v>
      </c>
      <c r="BO76" s="26">
        <f t="shared" si="32"/>
        <v>0.0462</v>
      </c>
      <c r="BP76" s="26">
        <f>IF(VLOOKUP($Q76,武学奇术!$A:$ZZ,22,FALSE)=1,0,(1-$BI76))*(1-$BL76)</f>
        <v>0</v>
      </c>
      <c r="BQ76" s="26" cm="1">
        <f t="array" ref="BQ76">SUM(_xlfn.XLOOKUP(R76:AF76,增益!$A:$A,增益!$W:$W,0))+$I$5</f>
        <v>0.06</v>
      </c>
    </row>
    <row r="77" spans="1:69">
      <c r="K77" s="38">
        <f t="shared" si="33"/>
        <v>0</v>
      </c>
      <c r="L77" s="38">
        <f>((($AN77+$AO77)/2*$AH77+$AI77)*(1+$AP77)*(1+$AQ77)+(($AS77+$AT77)/2*IF($G$1="鸣金",$AJ77,$AH77)+IF($G$1="鸣金",$AK77*1.5,0))*(1+$AU77)*(1+$AV77)+(($AW77+$AX77)/2*IF($G$1="裂石",$AJ77,$AH77)+IF($G$1="裂石",$AK77*1.5,0))*(1+$AY77)*(1+$AZ77)+(($BA77+$BB77)/2*IF($G$1="牵丝",$AJ77,$AH77)+IF($G$1="牵丝",$AK77*1.5,0))*(1+$BC77)*(1+$BD77)+(($BE77+$BF77)/2*IF($G$1="破竹",$AJ77,$AH77)+IF($G$1="破竹",$AK77*1.5,0))*(1+$BG77)*(1+$BH77))*(1+$AL77)*$BK77*$P77*(1+IF(VLOOKUP($Q77,武学奇术!$A:$ZZ,30,FALSE)="蓄力技",#REF!,0))*(1+$BQ77)</f>
        <v>0</v>
      </c>
      <c r="M77" s="38">
        <f>(($AO77*$AH77+$AI77)*(1+$AP77)*(1+$AQ77)+($AT77*IF($G$1="鸣金",$AJ77,$AH77)+IF($G$1="鸣金",$AK77*1.5,0))*(1+$AU77)*(1+$AV77)+($AX77*IF($G$1="裂石",$AJ77,$AH77)+IF($G$1="裂石",$AK77*1.5,0))*(1+$AY77)*(1+$AZ77)+($BB77*IF($G$1="牵丝",$AJ77,$AH77)+IF($G$1="牵丝",$AK77*1.5,0))*(1+$BC77)*(1+$BD77)+($BF77*IF($G$1="破竹",$AJ77,$AH77)+IF($G$1="破竹",$AK77*1.5,0))*(1+$BG77)*(1+$BH77))*(1+$AL77)*$BM77*$P77*(1+IF(VLOOKUP($Q77,武学奇术!$A:$ZZ,30,FALSE)="蓄力技",#REF!,0))*(1+$BQ77)</f>
        <v>0</v>
      </c>
      <c r="N77" s="38">
        <f>((($AN77+$AO77)/2*$AH77+$AI77)*(1+$AP77)*(1+$AQ77)+(($AS77+$AT77)/2*IF($G$1="鸣金",$AJ77,$AH77)+IF($G$1="鸣金",$AK77*1.5,0))*(1+$AU77)*(1+$AV77)+(($AW77+$AX77)/2*IF($G$1="裂石",$AJ77,$AH77)+IF($G$1="裂石",$AK77*1.5,0))*(1+$AY77)*(1+$AZ77)+(($BA77+$BB77)/2*IF($G$1="牵丝",$AJ77,$AH77)+IF($G$1="牵丝",$AK77*1.5,0))*(1+$BC77)*(1+$BD77)+(($BE77+$BF77)/2*IF($G$1="破竹",$AJ77,$AH77)+IF($G$1="破竹",$AK77*1.5,0))*(1+$BG77)*(1+$BH77))*(1+$AL77)*$P77*(1+IF(VLOOKUP($Q77,武学奇术!$A:$ZZ,30,FALSE)="蓄力技",#REF!,0))*(1+$BQ77)</f>
        <v>0</v>
      </c>
      <c r="O77" s="38">
        <f>((($AN77*$AH77+$AI77)*(1+$AP77)*(1+$AQ77)+($AS77*IF($G$1="鸣金",$AJ77,$AH77)+IF($G$1="鸣金",$AK77*1.5,0))*(1+$AU77)*(1+$AV77)+($AW77*IF($G$1="裂石",$AJ77,$AH77)+IF($G$1="裂石",$AK77*1.5,0))*(1+$AY77)*(1+$AZ77)+($BA77*IF($G$1="牵丝",$AJ77,$AH77)+IF($G$1="牵丝",$AK77*1.5,0))*(1+$BC77)*(1+$BD77)+($BE77*IF($G$1="破竹",$AJ77,$AH77)+IF($G$1="破竹",$AK77*1.5,0))*(1+$BG77)*(1+$BH77))*(1+$AL77))*$P77*(1+IF(VLOOKUP($Q77,武学奇术!$A:$ZZ,30,FALSE)="蓄力技",#REF!,0))*(1+$BQ77)</f>
        <v>0</v>
      </c>
      <c r="P77" s="39">
        <v>1</v>
      </c>
      <c r="Q77" s="40" t="s">
        <v>76</v>
      </c>
      <c r="R77" s="40" t="s">
        <v>76</v>
      </c>
      <c r="S77" s="40" t="s">
        <v>76</v>
      </c>
      <c r="T77" s="40" t="s">
        <v>76</v>
      </c>
      <c r="U77" s="40" t="s">
        <v>76</v>
      </c>
      <c r="V77" s="40" t="s">
        <v>76</v>
      </c>
      <c r="W77" s="40" t="s">
        <v>76</v>
      </c>
      <c r="X77" s="40" t="s">
        <v>76</v>
      </c>
      <c r="Y77" s="40" t="s">
        <v>76</v>
      </c>
      <c r="Z77" s="40" t="s">
        <v>76</v>
      </c>
      <c r="AA77" s="40" t="s">
        <v>76</v>
      </c>
      <c r="AB77" s="40" t="s">
        <v>76</v>
      </c>
      <c r="AC77" s="40" t="s">
        <v>76</v>
      </c>
      <c r="AD77" s="40" t="s">
        <v>76</v>
      </c>
      <c r="AE77" s="40" t="s">
        <v>76</v>
      </c>
      <c r="AF77" s="40" t="s">
        <v>76</v>
      </c>
      <c r="AG77" t="str">
        <f>VLOOKUP($Q77,武学奇术!$A:$ZZ,25,FALSE)</f>
        <v>心法</v>
      </c>
      <c r="AH77" s="26">
        <f>VLOOKUP($Q77,武学奇术!$A:$ZZ,26,FALSE)</f>
        <v>0</v>
      </c>
      <c r="AI77" s="27">
        <f>VLOOKUP($Q77,武学奇术!$A:$ZZ,27,FALSE)*(1+IF(OR($AG77=$F$4,$AG77=$F$5),$B$21,0))</f>
        <v>0</v>
      </c>
      <c r="AJ77" s="26">
        <f>VLOOKUP($Q77,武学奇术!$A:$ZZ,28,FALSE)</f>
        <v>0</v>
      </c>
      <c r="AK77" s="27">
        <f>VLOOKUP($Q77,武学奇术!$A:$ZZ,29,FALSE)*(1+IF(OR($AG77=$F$4,$AG77=$F$5),$B$21,0))</f>
        <v>0</v>
      </c>
      <c r="AL77" s="26" cm="1">
        <f t="array" ref="AL77">$G$3+IFERROR(VLOOKUP($AG77,$F$4:$G$7,2,FALSE),0)+VLOOKUP($Q77,武学奇术!$A:$ZZ,2,FALSE)+SUM(_xlfn.XLOOKUP($R77:$AF77,增益!$A:$A,增益!$B:$B,0))</f>
        <v>0.2642</v>
      </c>
      <c r="AM77" s="26" cm="1">
        <f t="array" ref="AM77">VLOOKUP($Q77,武学奇术!$A:$ZZ,5,FALSE)+SUM(_xlfn.XLOOKUP($R77:$AF77,增益!$A:$A,增益!$E:$E,0))</f>
        <v>0</v>
      </c>
      <c r="AN77" cm="1">
        <f t="array" ref="AN77">$D$10*(1+$AM77)+VLOOKUP($Q77,武学奇术!$A:$ZZ,3,FALSE)+SUM(_xlfn.XLOOKUP($R77:$AF77,增益!$A:$A,增益!$C:$C,0))-$I$2</f>
        <v>3977.2</v>
      </c>
      <c r="AO77" cm="1">
        <f t="array" ref="AO77">$E$10*(1+$AM77)+VLOOKUP($Q77,武学奇术!$A:$ZZ,4,FALSE)+SUM(_xlfn.XLOOKUP($R77:$AF77,增益!$A:$A,增益!$D:$D,0))-$I$2</f>
        <v>3977.2</v>
      </c>
      <c r="AP77" s="32" cm="1">
        <f t="array" ref="AP77">IF($F$10-$I$3+VLOOKUP($Q77,武学奇术!$A:$ZZ,6,FALSE)+SUM(_xlfn.XLOOKUP(R77:AF77,增益!$A:$A,增益!$F:$F,0))&gt;0,($F$10-$I$3+VLOOKUP($Q77,武学奇术!$A:$ZZ,6,FALSE)+SUM(_xlfn.XLOOKUP(R77:AF77,增益!$A:$A,增益!$F:$F,0)))/200,($F$10-$I$3+VLOOKUP($Q77,武学奇术!$A:$ZZ,6,FALSE)+SUM(_xlfn.XLOOKUP(R77:AF77,增益!$A:$A,增益!$F:$F,0)))/100)</f>
        <v>0.294</v>
      </c>
      <c r="AQ77" s="32" cm="1">
        <f t="array" ref="AQ77">$G$10+VLOOKUP($Q77,武学奇术!$A:$ZZ,7,FALSE)+SUM(_xlfn.XLOOKUP(R77:AF77,增益!$A:$A,增益!$G:$G,0))</f>
        <v>0</v>
      </c>
      <c r="AR77" s="26" cm="1">
        <f t="array" ref="AR77">VLOOKUP($Q77,武学奇术!$A:$ZZ,8,FALSE)+SUM(_xlfn.XLOOKUP(R77:AF77,增益!$A:$A,增益!$H:$H,0))</f>
        <v>0</v>
      </c>
      <c r="AS77">
        <f t="shared" si="34"/>
        <v>0</v>
      </c>
      <c r="AT77">
        <f t="shared" si="35"/>
        <v>0</v>
      </c>
      <c r="AU77" s="32" cm="1">
        <f t="array" ref="AU77">IF($F$11-$I$4+VLOOKUP($Q77,武学奇术!$A:$ZZ,9,FALSE)+SUM(_xlfn.XLOOKUP(R77:AF77,增益!$A:$A,增益!$I:$I,0))&gt;0,($F$11-$I$4+VLOOKUP($Q77,武学奇术!$A:$ZZ,9,FALSE)+SUM(_xlfn.XLOOKUP(R77:AF77,增益!$A:$A,增益!$I:$I,0)))/200,($F$11-$I$4+VLOOKUP($Q77,武学奇术!$A:$ZZ,9,FALSE)+SUM(_xlfn.XLOOKUP(R77:AF77,增益!$A:$A,增益!$I:$I,0)))/100)</f>
        <v>-0.3</v>
      </c>
      <c r="AV77" s="32" cm="1">
        <f t="array" ref="AV77">$G$11+VLOOKUP($Q77,武学奇术!$A:$ZZ,10,FALSE)+SUM(_xlfn.XLOOKUP(R77:AF77,增益!$A:$A,增益!$J:$J,0))</f>
        <v>0</v>
      </c>
      <c r="AW77">
        <f t="shared" si="36"/>
        <v>0</v>
      </c>
      <c r="AX77">
        <f t="shared" si="37"/>
        <v>0</v>
      </c>
      <c r="AY77" s="32" cm="1">
        <f t="array" ref="AY77">IF($F$12-$I$4+VLOOKUP($Q77,武学奇术!$A:$ZZ,11,FALSE)+SUM(_xlfn.XLOOKUP(R77:AF77,增益!$A:$A,增益!$K:$K,0))&gt;0,($F$12-$I$4+VLOOKUP($Q77,武学奇术!$A:$ZZ,11,FALSE)+SUM(_xlfn.XLOOKUP(R77:AF77,增益!$A:$A,增益!$K:$K,0)))/200,($F$12-$I$4+VLOOKUP($Q77,武学奇术!$A:$ZZ,11,FALSE)+SUM(_xlfn.XLOOKUP(R77:AF77,增益!$A:$A,增益!$K:$K,0)))/100)</f>
        <v>-0.3</v>
      </c>
      <c r="AZ77" s="32" cm="1">
        <f t="array" ref="AZ77">$G$12+VLOOKUP($Q77,武学奇术!$A:$ZZ,12,FALSE)+SUM(_xlfn.XLOOKUP(R77:AF77,增益!$A:$A,增益!$L:$L,0))</f>
        <v>0</v>
      </c>
      <c r="BA77">
        <f t="shared" si="38"/>
        <v>697.4</v>
      </c>
      <c r="BB77">
        <f t="shared" si="39"/>
        <v>1805</v>
      </c>
      <c r="BC77" s="32" cm="1">
        <f t="array" ref="BC77">IF($F$13-$I$4+VLOOKUP($Q77,武学奇术!$A:$ZZ,13,FALSE)+SUM(_xlfn.XLOOKUP(R77:AF77,增益!$A:$A,增益!$M:$M,0))&gt;0,($F$13-$I$4+VLOOKUP($Q77,武学奇术!$A:$ZZ,13,FALSE)+SUM(_xlfn.XLOOKUP(R77:AF77,增益!$A:$A,增益!$K:$K,0)))/200,($F$13-$I$4+VLOOKUP($Q77,武学奇术!$A:$ZZ,13,FALSE)+SUM(_xlfn.XLOOKUP(R77:AF77,增益!$A:$A,增益!$M:$M,0)))/100)</f>
        <v>0</v>
      </c>
      <c r="BD77" s="32" cm="1">
        <f t="array" ref="BD77">$G$13+VLOOKUP($Q77,武学奇术!$A:$ZZ,14,FALSE)+SUM(_xlfn.XLOOKUP(R77:AF77,增益!$A:$A,增益!$N:$N,0))</f>
        <v>0.15</v>
      </c>
      <c r="BE77">
        <f t="shared" si="40"/>
        <v>0</v>
      </c>
      <c r="BF77">
        <f t="shared" si="41"/>
        <v>0</v>
      </c>
      <c r="BG77" s="32" cm="1">
        <f t="array" ref="BG77">IF($F$14-$I$4+VLOOKUP($Q77,武学奇术!$A:$ZZ,15,FALSE)+SUM(_xlfn.XLOOKUP(R77:AF77,增益!$A:$A,增益!$O:$O,0))&gt;0,($F$14-$I$4+VLOOKUP($Q77,武学奇术!$A:$ZZ,15,FALSE)+SUM(_xlfn.XLOOKUP(R77:AF77,增益!$A:$A,增益!$O:$O,0)))/200,($F$14-$I$4+VLOOKUP($Q77,武学奇术!$A:$ZZ,15,FALSE)+SUM(_xlfn.XLOOKUP(R77:AF77,增益!$A:$A,增益!$O:$O,0)))/100)</f>
        <v>-0.3</v>
      </c>
      <c r="BH77" s="32" cm="1">
        <f t="array" ref="BH77">$G$14+VLOOKUP($Q77,武学奇术!$A:$ZZ,16,FALSE)+SUM(_xlfn.XLOOKUP(R77:AF77,增益!$A:$A,增益!$P:$P,0))</f>
        <v>0</v>
      </c>
      <c r="BI77" s="26">
        <f>MIN(IF(VLOOKUP($Q77,武学奇术!$A:$ZZ,23,FALSE)=1,100%,$B$8),100%)</f>
        <v>1</v>
      </c>
      <c r="BJ77" s="26" cm="1">
        <f t="array" ref="BJ77">IF(VLOOKUP($Q77,武学奇术!$A:$ZZ,23,FALSE)=1,100%,MIN(80%,$B$9+VLOOKUP($Q77,武学奇术!$A:$ZZ,17,FALSE)+SUM(_xlfn.XLOOKUP(R77:AF77,增益!$A:$A,增益!$Q:$Q,0)))+$B$11+SUM(_xlfn.XLOOKUP(R77:AF77,增益!$A:$A,增益!$U:$U,0)))*IF(VLOOKUP($Q77,武学奇术!$A:$ZZ,24,FALSE)=1,0,1)</f>
        <v>0.8625</v>
      </c>
      <c r="BK77" s="26" cm="1">
        <f t="array" ref="BK77">1+$B$13+VLOOKUP($Q77,武学奇术!$A:$ZZ,18,FALSE)+SUM(_xlfn.XLOOKUP(R77:AF77,增益!$A:$A,增益!$R:$R,0))</f>
        <v>1.5</v>
      </c>
      <c r="BL77" s="26" cm="1">
        <f t="array" ref="BL77">IF(VLOOKUP($Q77,武学奇术!$A:$ZZ,24,FALSE)=1,100%,MIN(40%,$B$10+VLOOKUP($Q77,武学奇术!$A:$ZZ,19,FALSE)+SUM(_xlfn.XLOOKUP(R77:AF77,增益!$A:$A,增益!$S:$S,0)))+$B$12+SUM(_xlfn.XLOOKUP(R77:AF77,增益!$A:$A,增益!$V:$V,0)))*IF(VLOOKUP($Q77,武学奇术!$A:$ZZ,23,FALSE)=1,0,1)</f>
        <v>0.0913</v>
      </c>
      <c r="BM77" s="26" cm="1">
        <f t="array" ref="BM77">1+$B$14+VLOOKUP($Q77,武学奇术!$A:$ZZ,20,FALSE)+SUM(_xlfn.XLOOKUP(R77:AF77,增益!$A:$A,增益!$T:$T,0))</f>
        <v>1.35</v>
      </c>
      <c r="BN77" s="26">
        <f t="shared" si="22"/>
        <v>0.8625</v>
      </c>
      <c r="BO77" s="26">
        <f t="shared" si="32"/>
        <v>0.0462</v>
      </c>
      <c r="BP77" s="26">
        <f>IF(VLOOKUP($Q77,武学奇术!$A:$ZZ,22,FALSE)=1,0,(1-$BI77))*(1-$BL77)</f>
        <v>0</v>
      </c>
      <c r="BQ77" s="26" cm="1">
        <f t="array" ref="BQ77">SUM(_xlfn.XLOOKUP(R77:AF77,增益!$A:$A,增益!$W:$W,0))+$I$5</f>
        <v>0.06</v>
      </c>
    </row>
    <row r="78" spans="1:69">
      <c r="A78" s="4"/>
      <c r="B78" s="4"/>
      <c r="K78" s="38">
        <f t="shared" si="33"/>
        <v>0</v>
      </c>
      <c r="L78" s="38">
        <f>((($AN78+$AO78)/2*$AH78+$AI78)*(1+$AP78)*(1+$AQ78)+(($AS78+$AT78)/2*IF($G$1="鸣金",$AJ78,$AH78)+IF($G$1="鸣金",$AK78*1.5,0))*(1+$AU78)*(1+$AV78)+(($AW78+$AX78)/2*IF($G$1="裂石",$AJ78,$AH78)+IF($G$1="裂石",$AK78*1.5,0))*(1+$AY78)*(1+$AZ78)+(($BA78+$BB78)/2*IF($G$1="牵丝",$AJ78,$AH78)+IF($G$1="牵丝",$AK78*1.5,0))*(1+$BC78)*(1+$BD78)+(($BE78+$BF78)/2*IF($G$1="破竹",$AJ78,$AH78)+IF($G$1="破竹",$AK78*1.5,0))*(1+$BG78)*(1+$BH78))*(1+$AL78)*$BK78*$P78*(1+IF(VLOOKUP($Q78,武学奇术!$A:$ZZ,30,FALSE)="蓄力技",#REF!,0))*(1+$BQ78)</f>
        <v>0</v>
      </c>
      <c r="M78" s="38">
        <f>(($AO78*$AH78+$AI78)*(1+$AP78)*(1+$AQ78)+($AT78*IF($G$1="鸣金",$AJ78,$AH78)+IF($G$1="鸣金",$AK78*1.5,0))*(1+$AU78)*(1+$AV78)+($AX78*IF($G$1="裂石",$AJ78,$AH78)+IF($G$1="裂石",$AK78*1.5,0))*(1+$AY78)*(1+$AZ78)+($BB78*IF($G$1="牵丝",$AJ78,$AH78)+IF($G$1="牵丝",$AK78*1.5,0))*(1+$BC78)*(1+$BD78)+($BF78*IF($G$1="破竹",$AJ78,$AH78)+IF($G$1="破竹",$AK78*1.5,0))*(1+$BG78)*(1+$BH78))*(1+$AL78)*$BM78*$P78*(1+IF(VLOOKUP($Q78,武学奇术!$A:$ZZ,30,FALSE)="蓄力技",#REF!,0))*(1+$BQ78)</f>
        <v>0</v>
      </c>
      <c r="N78" s="38">
        <f>((($AN78+$AO78)/2*$AH78+$AI78)*(1+$AP78)*(1+$AQ78)+(($AS78+$AT78)/2*IF($G$1="鸣金",$AJ78,$AH78)+IF($G$1="鸣金",$AK78*1.5,0))*(1+$AU78)*(1+$AV78)+(($AW78+$AX78)/2*IF($G$1="裂石",$AJ78,$AH78)+IF($G$1="裂石",$AK78*1.5,0))*(1+$AY78)*(1+$AZ78)+(($BA78+$BB78)/2*IF($G$1="牵丝",$AJ78,$AH78)+IF($G$1="牵丝",$AK78*1.5,0))*(1+$BC78)*(1+$BD78)+(($BE78+$BF78)/2*IF($G$1="破竹",$AJ78,$AH78)+IF($G$1="破竹",$AK78*1.5,0))*(1+$BG78)*(1+$BH78))*(1+$AL78)*$P78*(1+IF(VLOOKUP($Q78,武学奇术!$A:$ZZ,30,FALSE)="蓄力技",#REF!,0))*(1+$BQ78)</f>
        <v>0</v>
      </c>
      <c r="O78" s="38">
        <f>((($AN78*$AH78+$AI78)*(1+$AP78)*(1+$AQ78)+($AS78*IF($G$1="鸣金",$AJ78,$AH78)+IF($G$1="鸣金",$AK78*1.5,0))*(1+$AU78)*(1+$AV78)+($AW78*IF($G$1="裂石",$AJ78,$AH78)+IF($G$1="裂石",$AK78*1.5,0))*(1+$AY78)*(1+$AZ78)+($BA78*IF($G$1="牵丝",$AJ78,$AH78)+IF($G$1="牵丝",$AK78*1.5,0))*(1+$BC78)*(1+$BD78)+($BE78*IF($G$1="破竹",$AJ78,$AH78)+IF($G$1="破竹",$AK78*1.5,0))*(1+$BG78)*(1+$BH78))*(1+$AL78))*$P78*(1+IF(VLOOKUP($Q78,武学奇术!$A:$ZZ,30,FALSE)="蓄力技",#REF!,0))*(1+$BQ78)</f>
        <v>0</v>
      </c>
      <c r="P78" s="39">
        <v>1</v>
      </c>
      <c r="Q78" s="40" t="s">
        <v>76</v>
      </c>
      <c r="R78" s="40" t="s">
        <v>76</v>
      </c>
      <c r="S78" s="40" t="s">
        <v>76</v>
      </c>
      <c r="T78" s="40" t="s">
        <v>76</v>
      </c>
      <c r="U78" s="40" t="s">
        <v>76</v>
      </c>
      <c r="V78" s="40" t="s">
        <v>76</v>
      </c>
      <c r="W78" s="40" t="s">
        <v>76</v>
      </c>
      <c r="X78" s="40" t="s">
        <v>76</v>
      </c>
      <c r="Y78" s="40" t="s">
        <v>76</v>
      </c>
      <c r="Z78" s="40" t="s">
        <v>76</v>
      </c>
      <c r="AA78" s="40" t="s">
        <v>76</v>
      </c>
      <c r="AB78" s="40" t="s">
        <v>76</v>
      </c>
      <c r="AC78" s="40" t="s">
        <v>76</v>
      </c>
      <c r="AD78" s="40" t="s">
        <v>76</v>
      </c>
      <c r="AE78" s="40" t="s">
        <v>76</v>
      </c>
      <c r="AF78" s="40" t="s">
        <v>76</v>
      </c>
      <c r="AG78" t="str">
        <f>VLOOKUP($Q78,武学奇术!$A:$ZZ,25,FALSE)</f>
        <v>心法</v>
      </c>
      <c r="AH78" s="26">
        <f>VLOOKUP($Q78,武学奇术!$A:$ZZ,26,FALSE)</f>
        <v>0</v>
      </c>
      <c r="AI78" s="27">
        <f>VLOOKUP($Q78,武学奇术!$A:$ZZ,27,FALSE)*(1+IF(OR($AG78=$F$4,$AG78=$F$5),$B$21,0))</f>
        <v>0</v>
      </c>
      <c r="AJ78" s="26">
        <f>VLOOKUP($Q78,武学奇术!$A:$ZZ,28,FALSE)</f>
        <v>0</v>
      </c>
      <c r="AK78" s="27">
        <f>VLOOKUP($Q78,武学奇术!$A:$ZZ,29,FALSE)*(1+IF(OR($AG78=$F$4,$AG78=$F$5),$B$21,0))</f>
        <v>0</v>
      </c>
      <c r="AL78" s="26" cm="1">
        <f t="array" ref="AL78">$G$3+IFERROR(VLOOKUP($AG78,$F$4:$G$7,2,FALSE),0)+VLOOKUP($Q78,武学奇术!$A:$ZZ,2,FALSE)+SUM(_xlfn.XLOOKUP($R78:$AF78,增益!$A:$A,增益!$B:$B,0))</f>
        <v>0.2642</v>
      </c>
      <c r="AM78" s="26" cm="1">
        <f t="array" ref="AM78">VLOOKUP($Q78,武学奇术!$A:$ZZ,5,FALSE)+SUM(_xlfn.XLOOKUP($R78:$AF78,增益!$A:$A,增益!$E:$E,0))</f>
        <v>0</v>
      </c>
      <c r="AN78" cm="1">
        <f t="array" ref="AN78">$D$10*(1+$AM78)+VLOOKUP($Q78,武学奇术!$A:$ZZ,3,FALSE)+SUM(_xlfn.XLOOKUP($R78:$AF78,增益!$A:$A,增益!$C:$C,0))-$I$2</f>
        <v>3977.2</v>
      </c>
      <c r="AO78" cm="1">
        <f t="array" ref="AO78">$E$10*(1+$AM78)+VLOOKUP($Q78,武学奇术!$A:$ZZ,4,FALSE)+SUM(_xlfn.XLOOKUP($R78:$AF78,增益!$A:$A,增益!$D:$D,0))-$I$2</f>
        <v>3977.2</v>
      </c>
      <c r="AP78" s="32" cm="1">
        <f t="array" ref="AP78">IF($F$10-$I$3+VLOOKUP($Q78,武学奇术!$A:$ZZ,6,FALSE)+SUM(_xlfn.XLOOKUP(R78:AF78,增益!$A:$A,增益!$F:$F,0))&gt;0,($F$10-$I$3+VLOOKUP($Q78,武学奇术!$A:$ZZ,6,FALSE)+SUM(_xlfn.XLOOKUP(R78:AF78,增益!$A:$A,增益!$F:$F,0)))/200,($F$10-$I$3+VLOOKUP($Q78,武学奇术!$A:$ZZ,6,FALSE)+SUM(_xlfn.XLOOKUP(R78:AF78,增益!$A:$A,增益!$F:$F,0)))/100)</f>
        <v>0.294</v>
      </c>
      <c r="AQ78" s="32" cm="1">
        <f t="array" ref="AQ78">$G$10+VLOOKUP($Q78,武学奇术!$A:$ZZ,7,FALSE)+SUM(_xlfn.XLOOKUP(R78:AF78,增益!$A:$A,增益!$G:$G,0))</f>
        <v>0</v>
      </c>
      <c r="AR78" s="26" cm="1">
        <f t="array" ref="AR78">VLOOKUP($Q78,武学奇术!$A:$ZZ,8,FALSE)+SUM(_xlfn.XLOOKUP(R78:AF78,增益!$A:$A,增益!$H:$H,0))</f>
        <v>0</v>
      </c>
      <c r="AS78">
        <f t="shared" si="34"/>
        <v>0</v>
      </c>
      <c r="AT78">
        <f t="shared" si="35"/>
        <v>0</v>
      </c>
      <c r="AU78" s="32" cm="1">
        <f t="array" ref="AU78">IF($F$11-$I$4+VLOOKUP($Q78,武学奇术!$A:$ZZ,9,FALSE)+SUM(_xlfn.XLOOKUP(R78:AF78,增益!$A:$A,增益!$I:$I,0))&gt;0,($F$11-$I$4+VLOOKUP($Q78,武学奇术!$A:$ZZ,9,FALSE)+SUM(_xlfn.XLOOKUP(R78:AF78,增益!$A:$A,增益!$I:$I,0)))/200,($F$11-$I$4+VLOOKUP($Q78,武学奇术!$A:$ZZ,9,FALSE)+SUM(_xlfn.XLOOKUP(R78:AF78,增益!$A:$A,增益!$I:$I,0)))/100)</f>
        <v>-0.3</v>
      </c>
      <c r="AV78" s="32" cm="1">
        <f t="array" ref="AV78">$G$11+VLOOKUP($Q78,武学奇术!$A:$ZZ,10,FALSE)+SUM(_xlfn.XLOOKUP(R78:AF78,增益!$A:$A,增益!$J:$J,0))</f>
        <v>0</v>
      </c>
      <c r="AW78">
        <f t="shared" si="36"/>
        <v>0</v>
      </c>
      <c r="AX78">
        <f t="shared" si="37"/>
        <v>0</v>
      </c>
      <c r="AY78" s="32" cm="1">
        <f t="array" ref="AY78">IF($F$12-$I$4+VLOOKUP($Q78,武学奇术!$A:$ZZ,11,FALSE)+SUM(_xlfn.XLOOKUP(R78:AF78,增益!$A:$A,增益!$K:$K,0))&gt;0,($F$12-$I$4+VLOOKUP($Q78,武学奇术!$A:$ZZ,11,FALSE)+SUM(_xlfn.XLOOKUP(R78:AF78,增益!$A:$A,增益!$K:$K,0)))/200,($F$12-$I$4+VLOOKUP($Q78,武学奇术!$A:$ZZ,11,FALSE)+SUM(_xlfn.XLOOKUP(R78:AF78,增益!$A:$A,增益!$K:$K,0)))/100)</f>
        <v>-0.3</v>
      </c>
      <c r="AZ78" s="32" cm="1">
        <f t="array" ref="AZ78">$G$12+VLOOKUP($Q78,武学奇术!$A:$ZZ,12,FALSE)+SUM(_xlfn.XLOOKUP(R78:AF78,增益!$A:$A,增益!$L:$L,0))</f>
        <v>0</v>
      </c>
      <c r="BA78">
        <f t="shared" si="38"/>
        <v>697.4</v>
      </c>
      <c r="BB78">
        <f t="shared" si="39"/>
        <v>1805</v>
      </c>
      <c r="BC78" s="32" cm="1">
        <f t="array" ref="BC78">IF($F$13-$I$4+VLOOKUP($Q78,武学奇术!$A:$ZZ,13,FALSE)+SUM(_xlfn.XLOOKUP(R78:AF78,增益!$A:$A,增益!$M:$M,0))&gt;0,($F$13-$I$4+VLOOKUP($Q78,武学奇术!$A:$ZZ,13,FALSE)+SUM(_xlfn.XLOOKUP(R78:AF78,增益!$A:$A,增益!$K:$K,0)))/200,($F$13-$I$4+VLOOKUP($Q78,武学奇术!$A:$ZZ,13,FALSE)+SUM(_xlfn.XLOOKUP(R78:AF78,增益!$A:$A,增益!$M:$M,0)))/100)</f>
        <v>0</v>
      </c>
      <c r="BD78" s="32" cm="1">
        <f t="array" ref="BD78">$G$13+VLOOKUP($Q78,武学奇术!$A:$ZZ,14,FALSE)+SUM(_xlfn.XLOOKUP(R78:AF78,增益!$A:$A,增益!$N:$N,0))</f>
        <v>0.15</v>
      </c>
      <c r="BE78">
        <f t="shared" si="40"/>
        <v>0</v>
      </c>
      <c r="BF78">
        <f t="shared" si="41"/>
        <v>0</v>
      </c>
      <c r="BG78" s="32" cm="1">
        <f t="array" ref="BG78">IF($F$14-$I$4+VLOOKUP($Q78,武学奇术!$A:$ZZ,15,FALSE)+SUM(_xlfn.XLOOKUP(R78:AF78,增益!$A:$A,增益!$O:$O,0))&gt;0,($F$14-$I$4+VLOOKUP($Q78,武学奇术!$A:$ZZ,15,FALSE)+SUM(_xlfn.XLOOKUP(R78:AF78,增益!$A:$A,增益!$O:$O,0)))/200,($F$14-$I$4+VLOOKUP($Q78,武学奇术!$A:$ZZ,15,FALSE)+SUM(_xlfn.XLOOKUP(R78:AF78,增益!$A:$A,增益!$O:$O,0)))/100)</f>
        <v>-0.3</v>
      </c>
      <c r="BH78" s="32" cm="1">
        <f t="array" ref="BH78">$G$14+VLOOKUP($Q78,武学奇术!$A:$ZZ,16,FALSE)+SUM(_xlfn.XLOOKUP(R78:AF78,增益!$A:$A,增益!$P:$P,0))</f>
        <v>0</v>
      </c>
      <c r="BI78" s="26">
        <f>MIN(IF(VLOOKUP($Q78,武学奇术!$A:$ZZ,23,FALSE)=1,100%,$B$8),100%)</f>
        <v>1</v>
      </c>
      <c r="BJ78" s="26" cm="1">
        <f t="array" ref="BJ78">IF(VLOOKUP($Q78,武学奇术!$A:$ZZ,23,FALSE)=1,100%,MIN(80%,$B$9+VLOOKUP($Q78,武学奇术!$A:$ZZ,17,FALSE)+SUM(_xlfn.XLOOKUP(R78:AF78,增益!$A:$A,增益!$Q:$Q,0)))+$B$11+SUM(_xlfn.XLOOKUP(R78:AF78,增益!$A:$A,增益!$U:$U,0)))*IF(VLOOKUP($Q78,武学奇术!$A:$ZZ,24,FALSE)=1,0,1)</f>
        <v>0.8625</v>
      </c>
      <c r="BK78" s="26" cm="1">
        <f t="array" ref="BK78">1+$B$13+VLOOKUP($Q78,武学奇术!$A:$ZZ,18,FALSE)+SUM(_xlfn.XLOOKUP(R78:AF78,增益!$A:$A,增益!$R:$R,0))</f>
        <v>1.5</v>
      </c>
      <c r="BL78" s="26" cm="1">
        <f t="array" ref="BL78">IF(VLOOKUP($Q78,武学奇术!$A:$ZZ,24,FALSE)=1,100%,MIN(40%,$B$10+VLOOKUP($Q78,武学奇术!$A:$ZZ,19,FALSE)+SUM(_xlfn.XLOOKUP(R78:AF78,增益!$A:$A,增益!$S:$S,0)))+$B$12+SUM(_xlfn.XLOOKUP(R78:AF78,增益!$A:$A,增益!$V:$V,0)))*IF(VLOOKUP($Q78,武学奇术!$A:$ZZ,23,FALSE)=1,0,1)</f>
        <v>0.0913</v>
      </c>
      <c r="BM78" s="26" cm="1">
        <f t="array" ref="BM78">1+$B$14+VLOOKUP($Q78,武学奇术!$A:$ZZ,20,FALSE)+SUM(_xlfn.XLOOKUP(R78:AF78,增益!$A:$A,增益!$T:$T,0))</f>
        <v>1.35</v>
      </c>
      <c r="BN78" s="26">
        <f t="shared" si="22"/>
        <v>0.8625</v>
      </c>
      <c r="BO78" s="26">
        <f t="shared" si="32"/>
        <v>0.0462</v>
      </c>
      <c r="BP78" s="26">
        <f>IF(VLOOKUP($Q78,武学奇术!$A:$ZZ,22,FALSE)=1,0,(1-$BI78))*(1-$BL78)</f>
        <v>0</v>
      </c>
      <c r="BQ78" s="26" cm="1">
        <f t="array" ref="BQ78">SUM(_xlfn.XLOOKUP(R78:AF78,增益!$A:$A,增益!$W:$W,0))+$I$5</f>
        <v>0.06</v>
      </c>
    </row>
    <row r="79" spans="1:69">
      <c r="A79" s="4"/>
      <c r="B79" s="4"/>
      <c r="K79" s="38">
        <f t="shared" si="33"/>
        <v>0</v>
      </c>
      <c r="L79" s="38">
        <f>((($AN79+$AO79)/2*$AH79+$AI79)*(1+$AP79)*(1+$AQ79)+(($AS79+$AT79)/2*IF($G$1="鸣金",$AJ79,$AH79)+IF($G$1="鸣金",$AK79*1.5,0))*(1+$AU79)*(1+$AV79)+(($AW79+$AX79)/2*IF($G$1="裂石",$AJ79,$AH79)+IF($G$1="裂石",$AK79*1.5,0))*(1+$AY79)*(1+$AZ79)+(($BA79+$BB79)/2*IF($G$1="牵丝",$AJ79,$AH79)+IF($G$1="牵丝",$AK79*1.5,0))*(1+$BC79)*(1+$BD79)+(($BE79+$BF79)/2*IF($G$1="破竹",$AJ79,$AH79)+IF($G$1="破竹",$AK79*1.5,0))*(1+$BG79)*(1+$BH79))*(1+$AL79)*$BK79*$P79*(1+IF(VLOOKUP($Q79,武学奇术!$A:$ZZ,30,FALSE)="蓄力技",#REF!,0))*(1+$BQ79)</f>
        <v>0</v>
      </c>
      <c r="M79" s="38">
        <f>(($AO79*$AH79+$AI79)*(1+$AP79)*(1+$AQ79)+($AT79*IF($G$1="鸣金",$AJ79,$AH79)+IF($G$1="鸣金",$AK79*1.5,0))*(1+$AU79)*(1+$AV79)+($AX79*IF($G$1="裂石",$AJ79,$AH79)+IF($G$1="裂石",$AK79*1.5,0))*(1+$AY79)*(1+$AZ79)+($BB79*IF($G$1="牵丝",$AJ79,$AH79)+IF($G$1="牵丝",$AK79*1.5,0))*(1+$BC79)*(1+$BD79)+($BF79*IF($G$1="破竹",$AJ79,$AH79)+IF($G$1="破竹",$AK79*1.5,0))*(1+$BG79)*(1+$BH79))*(1+$AL79)*$BM79*$P79*(1+IF(VLOOKUP($Q79,武学奇术!$A:$ZZ,30,FALSE)="蓄力技",#REF!,0))*(1+$BQ79)</f>
        <v>0</v>
      </c>
      <c r="N79" s="38">
        <f>((($AN79+$AO79)/2*$AH79+$AI79)*(1+$AP79)*(1+$AQ79)+(($AS79+$AT79)/2*IF($G$1="鸣金",$AJ79,$AH79)+IF($G$1="鸣金",$AK79*1.5,0))*(1+$AU79)*(1+$AV79)+(($AW79+$AX79)/2*IF($G$1="裂石",$AJ79,$AH79)+IF($G$1="裂石",$AK79*1.5,0))*(1+$AY79)*(1+$AZ79)+(($BA79+$BB79)/2*IF($G$1="牵丝",$AJ79,$AH79)+IF($G$1="牵丝",$AK79*1.5,0))*(1+$BC79)*(1+$BD79)+(($BE79+$BF79)/2*IF($G$1="破竹",$AJ79,$AH79)+IF($G$1="破竹",$AK79*1.5,0))*(1+$BG79)*(1+$BH79))*(1+$AL79)*$P79*(1+IF(VLOOKUP($Q79,武学奇术!$A:$ZZ,30,FALSE)="蓄力技",#REF!,0))*(1+$BQ79)</f>
        <v>0</v>
      </c>
      <c r="O79" s="38">
        <f>((($AN79*$AH79+$AI79)*(1+$AP79)*(1+$AQ79)+($AS79*IF($G$1="鸣金",$AJ79,$AH79)+IF($G$1="鸣金",$AK79*1.5,0))*(1+$AU79)*(1+$AV79)+($AW79*IF($G$1="裂石",$AJ79,$AH79)+IF($G$1="裂石",$AK79*1.5,0))*(1+$AY79)*(1+$AZ79)+($BA79*IF($G$1="牵丝",$AJ79,$AH79)+IF($G$1="牵丝",$AK79*1.5,0))*(1+$BC79)*(1+$BD79)+($BE79*IF($G$1="破竹",$AJ79,$AH79)+IF($G$1="破竹",$AK79*1.5,0))*(1+$BG79)*(1+$BH79))*(1+$AL79))*$P79*(1+IF(VLOOKUP($Q79,武学奇术!$A:$ZZ,30,FALSE)="蓄力技",#REF!,0))*(1+$BQ79)</f>
        <v>0</v>
      </c>
      <c r="P79" s="39">
        <v>1</v>
      </c>
      <c r="Q79" s="40" t="s">
        <v>76</v>
      </c>
      <c r="R79" s="40" t="s">
        <v>76</v>
      </c>
      <c r="S79" s="40" t="s">
        <v>76</v>
      </c>
      <c r="T79" s="40" t="s">
        <v>76</v>
      </c>
      <c r="U79" s="40" t="s">
        <v>76</v>
      </c>
      <c r="V79" s="40" t="s">
        <v>76</v>
      </c>
      <c r="W79" s="40" t="s">
        <v>76</v>
      </c>
      <c r="X79" s="40" t="s">
        <v>76</v>
      </c>
      <c r="Y79" s="40" t="s">
        <v>76</v>
      </c>
      <c r="Z79" s="40" t="s">
        <v>76</v>
      </c>
      <c r="AA79" s="40" t="s">
        <v>76</v>
      </c>
      <c r="AB79" s="40" t="s">
        <v>76</v>
      </c>
      <c r="AC79" s="40" t="s">
        <v>76</v>
      </c>
      <c r="AD79" s="40" t="s">
        <v>76</v>
      </c>
      <c r="AE79" s="40" t="s">
        <v>76</v>
      </c>
      <c r="AF79" s="40" t="s">
        <v>76</v>
      </c>
      <c r="AG79" t="str">
        <f>VLOOKUP($Q79,武学奇术!$A:$ZZ,25,FALSE)</f>
        <v>心法</v>
      </c>
      <c r="AH79" s="26">
        <f>VLOOKUP($Q79,武学奇术!$A:$ZZ,26,FALSE)</f>
        <v>0</v>
      </c>
      <c r="AI79" s="27">
        <f>VLOOKUP($Q79,武学奇术!$A:$ZZ,27,FALSE)*(1+IF(OR($AG79=$F$4,$AG79=$F$5),$B$21,0))</f>
        <v>0</v>
      </c>
      <c r="AJ79" s="26">
        <f>VLOOKUP($Q79,武学奇术!$A:$ZZ,28,FALSE)</f>
        <v>0</v>
      </c>
      <c r="AK79" s="27">
        <f>VLOOKUP($Q79,武学奇术!$A:$ZZ,29,FALSE)*(1+IF(OR($AG79=$F$4,$AG79=$F$5),$B$21,0))</f>
        <v>0</v>
      </c>
      <c r="AL79" s="26" cm="1">
        <f t="array" ref="AL79">$G$3+IFERROR(VLOOKUP($AG79,$F$4:$G$7,2,FALSE),0)+VLOOKUP($Q79,武学奇术!$A:$ZZ,2,FALSE)+SUM(_xlfn.XLOOKUP($R79:$AF79,增益!$A:$A,增益!$B:$B,0))</f>
        <v>0.2642</v>
      </c>
      <c r="AM79" s="26" cm="1">
        <f t="array" ref="AM79">VLOOKUP($Q79,武学奇术!$A:$ZZ,5,FALSE)+SUM(_xlfn.XLOOKUP($R79:$AF79,增益!$A:$A,增益!$E:$E,0))</f>
        <v>0</v>
      </c>
      <c r="AN79" cm="1">
        <f t="array" ref="AN79">$D$10*(1+$AM79)+VLOOKUP($Q79,武学奇术!$A:$ZZ,3,FALSE)+SUM(_xlfn.XLOOKUP($R79:$AF79,增益!$A:$A,增益!$C:$C,0))-$I$2</f>
        <v>3977.2</v>
      </c>
      <c r="AO79" cm="1">
        <f t="array" ref="AO79">$E$10*(1+$AM79)+VLOOKUP($Q79,武学奇术!$A:$ZZ,4,FALSE)+SUM(_xlfn.XLOOKUP($R79:$AF79,增益!$A:$A,增益!$D:$D,0))-$I$2</f>
        <v>3977.2</v>
      </c>
      <c r="AP79" s="32" cm="1">
        <f t="array" ref="AP79">IF($F$10-$I$3+VLOOKUP($Q79,武学奇术!$A:$ZZ,6,FALSE)+SUM(_xlfn.XLOOKUP(R79:AF79,增益!$A:$A,增益!$F:$F,0))&gt;0,($F$10-$I$3+VLOOKUP($Q79,武学奇术!$A:$ZZ,6,FALSE)+SUM(_xlfn.XLOOKUP(R79:AF79,增益!$A:$A,增益!$F:$F,0)))/200,($F$10-$I$3+VLOOKUP($Q79,武学奇术!$A:$ZZ,6,FALSE)+SUM(_xlfn.XLOOKUP(R79:AF79,增益!$A:$A,增益!$F:$F,0)))/100)</f>
        <v>0.294</v>
      </c>
      <c r="AQ79" s="32" cm="1">
        <f t="array" ref="AQ79">$G$10+VLOOKUP($Q79,武学奇术!$A:$ZZ,7,FALSE)+SUM(_xlfn.XLOOKUP(R79:AF79,增益!$A:$A,增益!$G:$G,0))</f>
        <v>0</v>
      </c>
      <c r="AR79" s="26" cm="1">
        <f t="array" ref="AR79">VLOOKUP($Q79,武学奇术!$A:$ZZ,8,FALSE)+SUM(_xlfn.XLOOKUP(R79:AF79,增益!$A:$A,增益!$H:$H,0))</f>
        <v>0</v>
      </c>
      <c r="AS79">
        <f t="shared" si="34"/>
        <v>0</v>
      </c>
      <c r="AT79">
        <f t="shared" si="35"/>
        <v>0</v>
      </c>
      <c r="AU79" s="32" cm="1">
        <f t="array" ref="AU79">IF($F$11-$I$4+VLOOKUP($Q79,武学奇术!$A:$ZZ,9,FALSE)+SUM(_xlfn.XLOOKUP(R79:AF79,增益!$A:$A,增益!$I:$I,0))&gt;0,($F$11-$I$4+VLOOKUP($Q79,武学奇术!$A:$ZZ,9,FALSE)+SUM(_xlfn.XLOOKUP(R79:AF79,增益!$A:$A,增益!$I:$I,0)))/200,($F$11-$I$4+VLOOKUP($Q79,武学奇术!$A:$ZZ,9,FALSE)+SUM(_xlfn.XLOOKUP(R79:AF79,增益!$A:$A,增益!$I:$I,0)))/100)</f>
        <v>-0.3</v>
      </c>
      <c r="AV79" s="32" cm="1">
        <f t="array" ref="AV79">$G$11+VLOOKUP($Q79,武学奇术!$A:$ZZ,10,FALSE)+SUM(_xlfn.XLOOKUP(R79:AF79,增益!$A:$A,增益!$J:$J,0))</f>
        <v>0</v>
      </c>
      <c r="AW79">
        <f t="shared" si="36"/>
        <v>0</v>
      </c>
      <c r="AX79">
        <f t="shared" si="37"/>
        <v>0</v>
      </c>
      <c r="AY79" s="32" cm="1">
        <f t="array" ref="AY79">IF($F$12-$I$4+VLOOKUP($Q79,武学奇术!$A:$ZZ,11,FALSE)+SUM(_xlfn.XLOOKUP(R79:AF79,增益!$A:$A,增益!$K:$K,0))&gt;0,($F$12-$I$4+VLOOKUP($Q79,武学奇术!$A:$ZZ,11,FALSE)+SUM(_xlfn.XLOOKUP(R79:AF79,增益!$A:$A,增益!$K:$K,0)))/200,($F$12-$I$4+VLOOKUP($Q79,武学奇术!$A:$ZZ,11,FALSE)+SUM(_xlfn.XLOOKUP(R79:AF79,增益!$A:$A,增益!$K:$K,0)))/100)</f>
        <v>-0.3</v>
      </c>
      <c r="AZ79" s="32" cm="1">
        <f t="array" ref="AZ79">$G$12+VLOOKUP($Q79,武学奇术!$A:$ZZ,12,FALSE)+SUM(_xlfn.XLOOKUP(R79:AF79,增益!$A:$A,增益!$L:$L,0))</f>
        <v>0</v>
      </c>
      <c r="BA79">
        <f t="shared" si="38"/>
        <v>697.4</v>
      </c>
      <c r="BB79">
        <f t="shared" si="39"/>
        <v>1805</v>
      </c>
      <c r="BC79" s="32" cm="1">
        <f t="array" ref="BC79">IF($F$13-$I$4+VLOOKUP($Q79,武学奇术!$A:$ZZ,13,FALSE)+SUM(_xlfn.XLOOKUP(R79:AF79,增益!$A:$A,增益!$M:$M,0))&gt;0,($F$13-$I$4+VLOOKUP($Q79,武学奇术!$A:$ZZ,13,FALSE)+SUM(_xlfn.XLOOKUP(R79:AF79,增益!$A:$A,增益!$K:$K,0)))/200,($F$13-$I$4+VLOOKUP($Q79,武学奇术!$A:$ZZ,13,FALSE)+SUM(_xlfn.XLOOKUP(R79:AF79,增益!$A:$A,增益!$M:$M,0)))/100)</f>
        <v>0</v>
      </c>
      <c r="BD79" s="32" cm="1">
        <f t="array" ref="BD79">$G$13+VLOOKUP($Q79,武学奇术!$A:$ZZ,14,FALSE)+SUM(_xlfn.XLOOKUP(R79:AF79,增益!$A:$A,增益!$N:$N,0))</f>
        <v>0.15</v>
      </c>
      <c r="BE79">
        <f t="shared" si="40"/>
        <v>0</v>
      </c>
      <c r="BF79">
        <f t="shared" si="41"/>
        <v>0</v>
      </c>
      <c r="BG79" s="32" cm="1">
        <f t="array" ref="BG79">IF($F$14-$I$4+VLOOKUP($Q79,武学奇术!$A:$ZZ,15,FALSE)+SUM(_xlfn.XLOOKUP(R79:AF79,增益!$A:$A,增益!$O:$O,0))&gt;0,($F$14-$I$4+VLOOKUP($Q79,武学奇术!$A:$ZZ,15,FALSE)+SUM(_xlfn.XLOOKUP(R79:AF79,增益!$A:$A,增益!$O:$O,0)))/200,($F$14-$I$4+VLOOKUP($Q79,武学奇术!$A:$ZZ,15,FALSE)+SUM(_xlfn.XLOOKUP(R79:AF79,增益!$A:$A,增益!$O:$O,0)))/100)</f>
        <v>-0.3</v>
      </c>
      <c r="BH79" s="32" cm="1">
        <f t="array" ref="BH79">$G$14+VLOOKUP($Q79,武学奇术!$A:$ZZ,16,FALSE)+SUM(_xlfn.XLOOKUP(R79:AF79,增益!$A:$A,增益!$P:$P,0))</f>
        <v>0</v>
      </c>
      <c r="BI79" s="26">
        <f>MIN(IF(VLOOKUP($Q79,武学奇术!$A:$ZZ,23,FALSE)=1,100%,$B$8),100%)</f>
        <v>1</v>
      </c>
      <c r="BJ79" s="26" cm="1">
        <f t="array" ref="BJ79">IF(VLOOKUP($Q79,武学奇术!$A:$ZZ,23,FALSE)=1,100%,MIN(80%,$B$9+VLOOKUP($Q79,武学奇术!$A:$ZZ,17,FALSE)+SUM(_xlfn.XLOOKUP(R79:AF79,增益!$A:$A,增益!$Q:$Q,0)))+$B$11+SUM(_xlfn.XLOOKUP(R79:AF79,增益!$A:$A,增益!$U:$U,0)))*IF(VLOOKUP($Q79,武学奇术!$A:$ZZ,24,FALSE)=1,0,1)</f>
        <v>0.8625</v>
      </c>
      <c r="BK79" s="26" cm="1">
        <f t="array" ref="BK79">1+$B$13+VLOOKUP($Q79,武学奇术!$A:$ZZ,18,FALSE)+SUM(_xlfn.XLOOKUP(R79:AF79,增益!$A:$A,增益!$R:$R,0))</f>
        <v>1.5</v>
      </c>
      <c r="BL79" s="26" cm="1">
        <f t="array" ref="BL79">IF(VLOOKUP($Q79,武学奇术!$A:$ZZ,24,FALSE)=1,100%,MIN(40%,$B$10+VLOOKUP($Q79,武学奇术!$A:$ZZ,19,FALSE)+SUM(_xlfn.XLOOKUP(R79:AF79,增益!$A:$A,增益!$S:$S,0)))+$B$12+SUM(_xlfn.XLOOKUP(R79:AF79,增益!$A:$A,增益!$V:$V,0)))*IF(VLOOKUP($Q79,武学奇术!$A:$ZZ,23,FALSE)=1,0,1)</f>
        <v>0.0913</v>
      </c>
      <c r="BM79" s="26" cm="1">
        <f t="array" ref="BM79">1+$B$14+VLOOKUP($Q79,武学奇术!$A:$ZZ,20,FALSE)+SUM(_xlfn.XLOOKUP(R79:AF79,增益!$A:$A,增益!$T:$T,0))</f>
        <v>1.35</v>
      </c>
      <c r="BN79" s="26">
        <f t="shared" si="22"/>
        <v>0.8625</v>
      </c>
      <c r="BO79" s="26">
        <f t="shared" si="32"/>
        <v>0.0462</v>
      </c>
      <c r="BP79" s="26">
        <f>IF(VLOOKUP($Q79,武学奇术!$A:$ZZ,22,FALSE)=1,0,(1-$BI79))*(1-$BL79)</f>
        <v>0</v>
      </c>
      <c r="BQ79" s="26" cm="1">
        <f t="array" ref="BQ79">SUM(_xlfn.XLOOKUP(R79:AF79,增益!$A:$A,增益!$W:$W,0))+$I$5</f>
        <v>0.06</v>
      </c>
    </row>
    <row r="80" spans="1:69">
      <c r="A80" s="4"/>
      <c r="B80" s="4"/>
      <c r="C80" s="39"/>
      <c r="K80" s="38">
        <f t="shared" si="33"/>
        <v>0</v>
      </c>
      <c r="L80" s="38">
        <f>((($AN80+$AO80)/2*$AH80+$AI80)*(1+$AP80)*(1+$AQ80)+(($AS80+$AT80)/2*IF($G$1="鸣金",$AJ80,$AH80)+IF($G$1="鸣金",$AK80*1.5,0))*(1+$AU80)*(1+$AV80)+(($AW80+$AX80)/2*IF($G$1="裂石",$AJ80,$AH80)+IF($G$1="裂石",$AK80*1.5,0))*(1+$AY80)*(1+$AZ80)+(($BA80+$BB80)/2*IF($G$1="牵丝",$AJ80,$AH80)+IF($G$1="牵丝",$AK80*1.5,0))*(1+$BC80)*(1+$BD80)+(($BE80+$BF80)/2*IF($G$1="破竹",$AJ80,$AH80)+IF($G$1="破竹",$AK80*1.5,0))*(1+$BG80)*(1+$BH80))*(1+$AL80)*$BK80*$P80*(1+IF(VLOOKUP($Q80,武学奇术!$A:$ZZ,30,FALSE)="蓄力技",#REF!,0))*(1+$BQ80)</f>
        <v>0</v>
      </c>
      <c r="M80" s="38">
        <f>(($AO80*$AH80+$AI80)*(1+$AP80)*(1+$AQ80)+($AT80*IF($G$1="鸣金",$AJ80,$AH80)+IF($G$1="鸣金",$AK80*1.5,0))*(1+$AU80)*(1+$AV80)+($AX80*IF($G$1="裂石",$AJ80,$AH80)+IF($G$1="裂石",$AK80*1.5,0))*(1+$AY80)*(1+$AZ80)+($BB80*IF($G$1="牵丝",$AJ80,$AH80)+IF($G$1="牵丝",$AK80*1.5,0))*(1+$BC80)*(1+$BD80)+($BF80*IF($G$1="破竹",$AJ80,$AH80)+IF($G$1="破竹",$AK80*1.5,0))*(1+$BG80)*(1+$BH80))*(1+$AL80)*$BM80*$P80*(1+IF(VLOOKUP($Q80,武学奇术!$A:$ZZ,30,FALSE)="蓄力技",#REF!,0))*(1+$BQ80)</f>
        <v>0</v>
      </c>
      <c r="N80" s="38">
        <f>((($AN80+$AO80)/2*$AH80+$AI80)*(1+$AP80)*(1+$AQ80)+(($AS80+$AT80)/2*IF($G$1="鸣金",$AJ80,$AH80)+IF($G$1="鸣金",$AK80*1.5,0))*(1+$AU80)*(1+$AV80)+(($AW80+$AX80)/2*IF($G$1="裂石",$AJ80,$AH80)+IF($G$1="裂石",$AK80*1.5,0))*(1+$AY80)*(1+$AZ80)+(($BA80+$BB80)/2*IF($G$1="牵丝",$AJ80,$AH80)+IF($G$1="牵丝",$AK80*1.5,0))*(1+$BC80)*(1+$BD80)+(($BE80+$BF80)/2*IF($G$1="破竹",$AJ80,$AH80)+IF($G$1="破竹",$AK80*1.5,0))*(1+$BG80)*(1+$BH80))*(1+$AL80)*$P80*(1+IF(VLOOKUP($Q80,武学奇术!$A:$ZZ,30,FALSE)="蓄力技",#REF!,0))*(1+$BQ80)</f>
        <v>0</v>
      </c>
      <c r="O80" s="38">
        <f>((($AN80*$AH80+$AI80)*(1+$AP80)*(1+$AQ80)+($AS80*IF($G$1="鸣金",$AJ80,$AH80)+IF($G$1="鸣金",$AK80*1.5,0))*(1+$AU80)*(1+$AV80)+($AW80*IF($G$1="裂石",$AJ80,$AH80)+IF($G$1="裂石",$AK80*1.5,0))*(1+$AY80)*(1+$AZ80)+($BA80*IF($G$1="牵丝",$AJ80,$AH80)+IF($G$1="牵丝",$AK80*1.5,0))*(1+$BC80)*(1+$BD80)+($BE80*IF($G$1="破竹",$AJ80,$AH80)+IF($G$1="破竹",$AK80*1.5,0))*(1+$BG80)*(1+$BH80))*(1+$AL80))*$P80*(1+IF(VLOOKUP($Q80,武学奇术!$A:$ZZ,30,FALSE)="蓄力技",#REF!,0))*(1+$BQ80)</f>
        <v>0</v>
      </c>
      <c r="P80" s="39">
        <v>1</v>
      </c>
      <c r="Q80" s="40" t="s">
        <v>76</v>
      </c>
      <c r="R80" s="40" t="s">
        <v>76</v>
      </c>
      <c r="S80" s="40" t="s">
        <v>76</v>
      </c>
      <c r="T80" s="40" t="s">
        <v>76</v>
      </c>
      <c r="U80" s="40" t="s">
        <v>76</v>
      </c>
      <c r="V80" s="40" t="s">
        <v>76</v>
      </c>
      <c r="W80" s="40" t="s">
        <v>76</v>
      </c>
      <c r="X80" s="40" t="s">
        <v>76</v>
      </c>
      <c r="Y80" s="40" t="s">
        <v>76</v>
      </c>
      <c r="Z80" s="40" t="s">
        <v>76</v>
      </c>
      <c r="AA80" s="40" t="s">
        <v>76</v>
      </c>
      <c r="AB80" s="40" t="s">
        <v>76</v>
      </c>
      <c r="AC80" s="40" t="s">
        <v>76</v>
      </c>
      <c r="AD80" s="40" t="s">
        <v>76</v>
      </c>
      <c r="AE80" s="40" t="s">
        <v>76</v>
      </c>
      <c r="AF80" s="40" t="s">
        <v>76</v>
      </c>
      <c r="AG80" t="str">
        <f>VLOOKUP($Q80,武学奇术!$A:$ZZ,25,FALSE)</f>
        <v>心法</v>
      </c>
      <c r="AH80" s="26">
        <f>VLOOKUP($Q80,武学奇术!$A:$ZZ,26,FALSE)</f>
        <v>0</v>
      </c>
      <c r="AI80" s="27">
        <f>VLOOKUP($Q80,武学奇术!$A:$ZZ,27,FALSE)*(1+IF(OR($AG80=$F$4,$AG80=$F$5),$B$21,0))</f>
        <v>0</v>
      </c>
      <c r="AJ80" s="26">
        <f>VLOOKUP($Q80,武学奇术!$A:$ZZ,28,FALSE)</f>
        <v>0</v>
      </c>
      <c r="AK80" s="27">
        <f>VLOOKUP($Q80,武学奇术!$A:$ZZ,29,FALSE)*(1+IF(OR($AG80=$F$4,$AG80=$F$5),$B$21,0))</f>
        <v>0</v>
      </c>
      <c r="AL80" s="26" cm="1">
        <f t="array" ref="AL80">$G$3+IFERROR(VLOOKUP($AG80,$F$4:$G$7,2,FALSE),0)+VLOOKUP($Q80,武学奇术!$A:$ZZ,2,FALSE)+SUM(_xlfn.XLOOKUP($R80:$AF80,增益!$A:$A,增益!$B:$B,0))</f>
        <v>0.2642</v>
      </c>
      <c r="AM80" s="26" cm="1">
        <f t="array" ref="AM80">VLOOKUP($Q80,武学奇术!$A:$ZZ,5,FALSE)+SUM(_xlfn.XLOOKUP($R80:$AF80,增益!$A:$A,增益!$E:$E,0))</f>
        <v>0</v>
      </c>
      <c r="AN80" cm="1">
        <f t="array" ref="AN80">$D$10*(1+$AM80)+VLOOKUP($Q80,武学奇术!$A:$ZZ,3,FALSE)+SUM(_xlfn.XLOOKUP($R80:$AF80,增益!$A:$A,增益!$C:$C,0))-$I$2</f>
        <v>3977.2</v>
      </c>
      <c r="AO80" cm="1">
        <f t="array" ref="AO80">$E$10*(1+$AM80)+VLOOKUP($Q80,武学奇术!$A:$ZZ,4,FALSE)+SUM(_xlfn.XLOOKUP($R80:$AF80,增益!$A:$A,增益!$D:$D,0))-$I$2</f>
        <v>3977.2</v>
      </c>
      <c r="AP80" s="32" cm="1">
        <f t="array" ref="AP80">IF($F$10-$I$3+VLOOKUP($Q80,武学奇术!$A:$ZZ,6,FALSE)+SUM(_xlfn.XLOOKUP(R80:AF80,增益!$A:$A,增益!$F:$F,0))&gt;0,($F$10-$I$3+VLOOKUP($Q80,武学奇术!$A:$ZZ,6,FALSE)+SUM(_xlfn.XLOOKUP(R80:AF80,增益!$A:$A,增益!$F:$F,0)))/200,($F$10-$I$3+VLOOKUP($Q80,武学奇术!$A:$ZZ,6,FALSE)+SUM(_xlfn.XLOOKUP(R80:AF80,增益!$A:$A,增益!$F:$F,0)))/100)</f>
        <v>0.294</v>
      </c>
      <c r="AQ80" s="32" cm="1">
        <f t="array" ref="AQ80">$G$10+VLOOKUP($Q80,武学奇术!$A:$ZZ,7,FALSE)+SUM(_xlfn.XLOOKUP(R80:AF80,增益!$A:$A,增益!$G:$G,0))</f>
        <v>0</v>
      </c>
      <c r="AR80" s="26" cm="1">
        <f t="array" ref="AR80">VLOOKUP($Q80,武学奇术!$A:$ZZ,8,FALSE)+SUM(_xlfn.XLOOKUP(R80:AF80,增益!$A:$A,增益!$H:$H,0))</f>
        <v>0</v>
      </c>
      <c r="AS80">
        <f t="shared" si="34"/>
        <v>0</v>
      </c>
      <c r="AT80">
        <f t="shared" si="35"/>
        <v>0</v>
      </c>
      <c r="AU80" s="32" cm="1">
        <f t="array" ref="AU80">IF($F$11-$I$4+VLOOKUP($Q80,武学奇术!$A:$ZZ,9,FALSE)+SUM(_xlfn.XLOOKUP(R80:AF80,增益!$A:$A,增益!$I:$I,0))&gt;0,($F$11-$I$4+VLOOKUP($Q80,武学奇术!$A:$ZZ,9,FALSE)+SUM(_xlfn.XLOOKUP(R80:AF80,增益!$A:$A,增益!$I:$I,0)))/200,($F$11-$I$4+VLOOKUP($Q80,武学奇术!$A:$ZZ,9,FALSE)+SUM(_xlfn.XLOOKUP(R80:AF80,增益!$A:$A,增益!$I:$I,0)))/100)</f>
        <v>-0.3</v>
      </c>
      <c r="AV80" s="32" cm="1">
        <f t="array" ref="AV80">$G$11+VLOOKUP($Q80,武学奇术!$A:$ZZ,10,FALSE)+SUM(_xlfn.XLOOKUP(R80:AF80,增益!$A:$A,增益!$J:$J,0))</f>
        <v>0</v>
      </c>
      <c r="AW80">
        <f t="shared" si="36"/>
        <v>0</v>
      </c>
      <c r="AX80">
        <f t="shared" si="37"/>
        <v>0</v>
      </c>
      <c r="AY80" s="32" cm="1">
        <f t="array" ref="AY80">IF($F$12-$I$4+VLOOKUP($Q80,武学奇术!$A:$ZZ,11,FALSE)+SUM(_xlfn.XLOOKUP(R80:AF80,增益!$A:$A,增益!$K:$K,0))&gt;0,($F$12-$I$4+VLOOKUP($Q80,武学奇术!$A:$ZZ,11,FALSE)+SUM(_xlfn.XLOOKUP(R80:AF80,增益!$A:$A,增益!$K:$K,0)))/200,($F$12-$I$4+VLOOKUP($Q80,武学奇术!$A:$ZZ,11,FALSE)+SUM(_xlfn.XLOOKUP(R80:AF80,增益!$A:$A,增益!$K:$K,0)))/100)</f>
        <v>-0.3</v>
      </c>
      <c r="AZ80" s="32" cm="1">
        <f t="array" ref="AZ80">$G$12+VLOOKUP($Q80,武学奇术!$A:$ZZ,12,FALSE)+SUM(_xlfn.XLOOKUP(R80:AF80,增益!$A:$A,增益!$L:$L,0))</f>
        <v>0</v>
      </c>
      <c r="BA80">
        <f t="shared" si="38"/>
        <v>697.4</v>
      </c>
      <c r="BB80">
        <f t="shared" si="39"/>
        <v>1805</v>
      </c>
      <c r="BC80" s="32" cm="1">
        <f t="array" ref="BC80">IF($F$13-$I$4+VLOOKUP($Q80,武学奇术!$A:$ZZ,13,FALSE)+SUM(_xlfn.XLOOKUP(R80:AF80,增益!$A:$A,增益!$M:$M,0))&gt;0,($F$13-$I$4+VLOOKUP($Q80,武学奇术!$A:$ZZ,13,FALSE)+SUM(_xlfn.XLOOKUP(R80:AF80,增益!$A:$A,增益!$K:$K,0)))/200,($F$13-$I$4+VLOOKUP($Q80,武学奇术!$A:$ZZ,13,FALSE)+SUM(_xlfn.XLOOKUP(R80:AF80,增益!$A:$A,增益!$M:$M,0)))/100)</f>
        <v>0</v>
      </c>
      <c r="BD80" s="32" cm="1">
        <f t="array" ref="BD80">$G$13+VLOOKUP($Q80,武学奇术!$A:$ZZ,14,FALSE)+SUM(_xlfn.XLOOKUP(R80:AF80,增益!$A:$A,增益!$N:$N,0))</f>
        <v>0.15</v>
      </c>
      <c r="BE80">
        <f t="shared" si="40"/>
        <v>0</v>
      </c>
      <c r="BF80">
        <f t="shared" si="41"/>
        <v>0</v>
      </c>
      <c r="BG80" s="32" cm="1">
        <f t="array" ref="BG80">IF($F$14-$I$4+VLOOKUP($Q80,武学奇术!$A:$ZZ,15,FALSE)+SUM(_xlfn.XLOOKUP(R80:AF80,增益!$A:$A,增益!$O:$O,0))&gt;0,($F$14-$I$4+VLOOKUP($Q80,武学奇术!$A:$ZZ,15,FALSE)+SUM(_xlfn.XLOOKUP(R80:AF80,增益!$A:$A,增益!$O:$O,0)))/200,($F$14-$I$4+VLOOKUP($Q80,武学奇术!$A:$ZZ,15,FALSE)+SUM(_xlfn.XLOOKUP(R80:AF80,增益!$A:$A,增益!$O:$O,0)))/100)</f>
        <v>-0.3</v>
      </c>
      <c r="BH80" s="32" cm="1">
        <f t="array" ref="BH80">$G$14+VLOOKUP($Q80,武学奇术!$A:$ZZ,16,FALSE)+SUM(_xlfn.XLOOKUP(R80:AF80,增益!$A:$A,增益!$P:$P,0))</f>
        <v>0</v>
      </c>
      <c r="BI80" s="26">
        <f>MIN(IF(VLOOKUP($Q80,武学奇术!$A:$ZZ,23,FALSE)=1,100%,$B$8),100%)</f>
        <v>1</v>
      </c>
      <c r="BJ80" s="26" cm="1">
        <f t="array" ref="BJ80">IF(VLOOKUP($Q80,武学奇术!$A:$ZZ,23,FALSE)=1,100%,MIN(80%,$B$9+VLOOKUP($Q80,武学奇术!$A:$ZZ,17,FALSE)+SUM(_xlfn.XLOOKUP(R80:AF80,增益!$A:$A,增益!$Q:$Q,0)))+$B$11+SUM(_xlfn.XLOOKUP(R80:AF80,增益!$A:$A,增益!$U:$U,0)))*IF(VLOOKUP($Q80,武学奇术!$A:$ZZ,24,FALSE)=1,0,1)</f>
        <v>0.8625</v>
      </c>
      <c r="BK80" s="26" cm="1">
        <f t="array" ref="BK80">1+$B$13+VLOOKUP($Q80,武学奇术!$A:$ZZ,18,FALSE)+SUM(_xlfn.XLOOKUP(R80:AF80,增益!$A:$A,增益!$R:$R,0))</f>
        <v>1.5</v>
      </c>
      <c r="BL80" s="26" cm="1">
        <f t="array" ref="BL80">IF(VLOOKUP($Q80,武学奇术!$A:$ZZ,24,FALSE)=1,100%,MIN(40%,$B$10+VLOOKUP($Q80,武学奇术!$A:$ZZ,19,FALSE)+SUM(_xlfn.XLOOKUP(R80:AF80,增益!$A:$A,增益!$S:$S,0)))+$B$12+SUM(_xlfn.XLOOKUP(R80:AF80,增益!$A:$A,增益!$V:$V,0)))*IF(VLOOKUP($Q80,武学奇术!$A:$ZZ,23,FALSE)=1,0,1)</f>
        <v>0.0913</v>
      </c>
      <c r="BM80" s="26" cm="1">
        <f t="array" ref="BM80">1+$B$14+VLOOKUP($Q80,武学奇术!$A:$ZZ,20,FALSE)+SUM(_xlfn.XLOOKUP(R80:AF80,增益!$A:$A,增益!$T:$T,0))</f>
        <v>1.35</v>
      </c>
      <c r="BN80" s="26">
        <f t="shared" si="22"/>
        <v>0.8625</v>
      </c>
      <c r="BO80" s="26">
        <f t="shared" si="32"/>
        <v>0.0462</v>
      </c>
      <c r="BP80" s="26">
        <f>IF(VLOOKUP($Q80,武学奇术!$A:$ZZ,22,FALSE)=1,0,(1-$BI80))*(1-$BL80)</f>
        <v>0</v>
      </c>
      <c r="BQ80" s="26" cm="1">
        <f t="array" ref="BQ80">SUM(_xlfn.XLOOKUP(R80:AF80,增益!$A:$A,增益!$W:$W,0))+$I$5</f>
        <v>0.06</v>
      </c>
    </row>
    <row r="81" spans="1:69">
      <c r="K81" s="38">
        <f t="shared" si="33"/>
        <v>0</v>
      </c>
      <c r="L81" s="38">
        <f>((($AN81+$AO81)/2*$AH81+$AI81)*(1+$AP81)*(1+$AQ81)+(($AS81+$AT81)/2*IF($G$1="鸣金",$AJ81,$AH81)+IF($G$1="鸣金",$AK81*1.5,0))*(1+$AU81)*(1+$AV81)+(($AW81+$AX81)/2*IF($G$1="裂石",$AJ81,$AH81)+IF($G$1="裂石",$AK81*1.5,0))*(1+$AY81)*(1+$AZ81)+(($BA81+$BB81)/2*IF($G$1="牵丝",$AJ81,$AH81)+IF($G$1="牵丝",$AK81*1.5,0))*(1+$BC81)*(1+$BD81)+(($BE81+$BF81)/2*IF($G$1="破竹",$AJ81,$AH81)+IF($G$1="破竹",$AK81*1.5,0))*(1+$BG81)*(1+$BH81))*(1+$AL81)*$BK81*$P81*(1+IF(VLOOKUP($Q81,武学奇术!$A:$ZZ,30,FALSE)="蓄力技",#REF!,0))*(1+$BQ81)</f>
        <v>0</v>
      </c>
      <c r="M81" s="38">
        <f>(($AO81*$AH81+$AI81)*(1+$AP81)*(1+$AQ81)+($AT81*IF($G$1="鸣金",$AJ81,$AH81)+IF($G$1="鸣金",$AK81*1.5,0))*(1+$AU81)*(1+$AV81)+($AX81*IF($G$1="裂石",$AJ81,$AH81)+IF($G$1="裂石",$AK81*1.5,0))*(1+$AY81)*(1+$AZ81)+($BB81*IF($G$1="牵丝",$AJ81,$AH81)+IF($G$1="牵丝",$AK81*1.5,0))*(1+$BC81)*(1+$BD81)+($BF81*IF($G$1="破竹",$AJ81,$AH81)+IF($G$1="破竹",$AK81*1.5,0))*(1+$BG81)*(1+$BH81))*(1+$AL81)*$BM81*$P81*(1+IF(VLOOKUP($Q81,武学奇术!$A:$ZZ,30,FALSE)="蓄力技",#REF!,0))*(1+$BQ81)</f>
        <v>0</v>
      </c>
      <c r="N81" s="38">
        <f>((($AN81+$AO81)/2*$AH81+$AI81)*(1+$AP81)*(1+$AQ81)+(($AS81+$AT81)/2*IF($G$1="鸣金",$AJ81,$AH81)+IF($G$1="鸣金",$AK81*1.5,0))*(1+$AU81)*(1+$AV81)+(($AW81+$AX81)/2*IF($G$1="裂石",$AJ81,$AH81)+IF($G$1="裂石",$AK81*1.5,0))*(1+$AY81)*(1+$AZ81)+(($BA81+$BB81)/2*IF($G$1="牵丝",$AJ81,$AH81)+IF($G$1="牵丝",$AK81*1.5,0))*(1+$BC81)*(1+$BD81)+(($BE81+$BF81)/2*IF($G$1="破竹",$AJ81,$AH81)+IF($G$1="破竹",$AK81*1.5,0))*(1+$BG81)*(1+$BH81))*(1+$AL81)*$P81*(1+IF(VLOOKUP($Q81,武学奇术!$A:$ZZ,30,FALSE)="蓄力技",#REF!,0))*(1+$BQ81)</f>
        <v>0</v>
      </c>
      <c r="O81" s="38">
        <f>((($AN81*$AH81+$AI81)*(1+$AP81)*(1+$AQ81)+($AS81*IF($G$1="鸣金",$AJ81,$AH81)+IF($G$1="鸣金",$AK81*1.5,0))*(1+$AU81)*(1+$AV81)+($AW81*IF($G$1="裂石",$AJ81,$AH81)+IF($G$1="裂石",$AK81*1.5,0))*(1+$AY81)*(1+$AZ81)+($BA81*IF($G$1="牵丝",$AJ81,$AH81)+IF($G$1="牵丝",$AK81*1.5,0))*(1+$BC81)*(1+$BD81)+($BE81*IF($G$1="破竹",$AJ81,$AH81)+IF($G$1="破竹",$AK81*1.5,0))*(1+$BG81)*(1+$BH81))*(1+$AL81))*$P81*(1+IF(VLOOKUP($Q81,武学奇术!$A:$ZZ,30,FALSE)="蓄力技",#REF!,0))*(1+$BQ81)</f>
        <v>0</v>
      </c>
      <c r="P81" s="39">
        <v>1</v>
      </c>
      <c r="Q81" s="40" t="s">
        <v>76</v>
      </c>
      <c r="R81" s="40" t="s">
        <v>76</v>
      </c>
      <c r="S81" s="40" t="s">
        <v>76</v>
      </c>
      <c r="T81" s="40" t="s">
        <v>76</v>
      </c>
      <c r="U81" s="40" t="s">
        <v>76</v>
      </c>
      <c r="V81" s="40" t="s">
        <v>76</v>
      </c>
      <c r="W81" s="40" t="s">
        <v>76</v>
      </c>
      <c r="X81" s="40" t="s">
        <v>76</v>
      </c>
      <c r="Y81" s="40" t="s">
        <v>76</v>
      </c>
      <c r="Z81" s="40" t="s">
        <v>76</v>
      </c>
      <c r="AA81" s="40" t="s">
        <v>76</v>
      </c>
      <c r="AB81" s="40" t="s">
        <v>76</v>
      </c>
      <c r="AC81" s="40" t="s">
        <v>76</v>
      </c>
      <c r="AD81" s="40" t="s">
        <v>76</v>
      </c>
      <c r="AE81" s="40" t="s">
        <v>76</v>
      </c>
      <c r="AF81" s="40" t="s">
        <v>76</v>
      </c>
      <c r="AG81" t="str">
        <f>VLOOKUP($Q81,武学奇术!$A:$ZZ,25,FALSE)</f>
        <v>心法</v>
      </c>
      <c r="AH81" s="26">
        <f>VLOOKUP($Q81,武学奇术!$A:$ZZ,26,FALSE)</f>
        <v>0</v>
      </c>
      <c r="AI81" s="27">
        <f>VLOOKUP($Q81,武学奇术!$A:$ZZ,27,FALSE)*(1+IF(OR($AG81=$F$4,$AG81=$F$5),$B$21,0))</f>
        <v>0</v>
      </c>
      <c r="AJ81" s="26">
        <f>VLOOKUP($Q81,武学奇术!$A:$ZZ,28,FALSE)</f>
        <v>0</v>
      </c>
      <c r="AK81" s="27">
        <f>VLOOKUP($Q81,武学奇术!$A:$ZZ,29,FALSE)*(1+IF(OR($AG81=$F$4,$AG81=$F$5),$B$21,0))</f>
        <v>0</v>
      </c>
      <c r="AL81" s="26" cm="1">
        <f t="array" ref="AL81">$G$3+IFERROR(VLOOKUP($AG81,$F$4:$G$7,2,FALSE),0)+VLOOKUP($Q81,武学奇术!$A:$ZZ,2,FALSE)+SUM(_xlfn.XLOOKUP($R81:$AF81,增益!$A:$A,增益!$B:$B,0))</f>
        <v>0.2642</v>
      </c>
      <c r="AM81" s="26" cm="1">
        <f t="array" ref="AM81">VLOOKUP($Q81,武学奇术!$A:$ZZ,5,FALSE)+SUM(_xlfn.XLOOKUP($R81:$AF81,增益!$A:$A,增益!$E:$E,0))</f>
        <v>0</v>
      </c>
      <c r="AN81" cm="1">
        <f t="array" ref="AN81">$D$10*(1+$AM81)+VLOOKUP($Q81,武学奇术!$A:$ZZ,3,FALSE)+SUM(_xlfn.XLOOKUP($R81:$AF81,增益!$A:$A,增益!$C:$C,0))-$I$2</f>
        <v>3977.2</v>
      </c>
      <c r="AO81" cm="1">
        <f t="array" ref="AO81">$E$10*(1+$AM81)+VLOOKUP($Q81,武学奇术!$A:$ZZ,4,FALSE)+SUM(_xlfn.XLOOKUP($R81:$AF81,增益!$A:$A,增益!$D:$D,0))-$I$2</f>
        <v>3977.2</v>
      </c>
      <c r="AP81" s="32" cm="1">
        <f t="array" ref="AP81">IF($F$10-$I$3+VLOOKUP($Q81,武学奇术!$A:$ZZ,6,FALSE)+SUM(_xlfn.XLOOKUP(R81:AF81,增益!$A:$A,增益!$F:$F,0))&gt;0,($F$10-$I$3+VLOOKUP($Q81,武学奇术!$A:$ZZ,6,FALSE)+SUM(_xlfn.XLOOKUP(R81:AF81,增益!$A:$A,增益!$F:$F,0)))/200,($F$10-$I$3+VLOOKUP($Q81,武学奇术!$A:$ZZ,6,FALSE)+SUM(_xlfn.XLOOKUP(R81:AF81,增益!$A:$A,增益!$F:$F,0)))/100)</f>
        <v>0.294</v>
      </c>
      <c r="AQ81" s="32" cm="1">
        <f t="array" ref="AQ81">$G$10+VLOOKUP($Q81,武学奇术!$A:$ZZ,7,FALSE)+SUM(_xlfn.XLOOKUP(R81:AF81,增益!$A:$A,增益!$G:$G,0))</f>
        <v>0</v>
      </c>
      <c r="AR81" s="26" cm="1">
        <f t="array" ref="AR81">VLOOKUP($Q81,武学奇术!$A:$ZZ,8,FALSE)+SUM(_xlfn.XLOOKUP(R81:AF81,增益!$A:$A,增益!$H:$H,0))</f>
        <v>0</v>
      </c>
      <c r="AS81">
        <f t="shared" si="34"/>
        <v>0</v>
      </c>
      <c r="AT81">
        <f t="shared" si="35"/>
        <v>0</v>
      </c>
      <c r="AU81" s="32" cm="1">
        <f t="array" ref="AU81">IF($F$11-$I$4+VLOOKUP($Q81,武学奇术!$A:$ZZ,9,FALSE)+SUM(_xlfn.XLOOKUP(R81:AF81,增益!$A:$A,增益!$I:$I,0))&gt;0,($F$11-$I$4+VLOOKUP($Q81,武学奇术!$A:$ZZ,9,FALSE)+SUM(_xlfn.XLOOKUP(R81:AF81,增益!$A:$A,增益!$I:$I,0)))/200,($F$11-$I$4+VLOOKUP($Q81,武学奇术!$A:$ZZ,9,FALSE)+SUM(_xlfn.XLOOKUP(R81:AF81,增益!$A:$A,增益!$I:$I,0)))/100)</f>
        <v>-0.3</v>
      </c>
      <c r="AV81" s="32" cm="1">
        <f t="array" ref="AV81">$G$11+VLOOKUP($Q81,武学奇术!$A:$ZZ,10,FALSE)+SUM(_xlfn.XLOOKUP(R81:AF81,增益!$A:$A,增益!$J:$J,0))</f>
        <v>0</v>
      </c>
      <c r="AW81">
        <f t="shared" si="36"/>
        <v>0</v>
      </c>
      <c r="AX81">
        <f t="shared" si="37"/>
        <v>0</v>
      </c>
      <c r="AY81" s="32" cm="1">
        <f t="array" ref="AY81">IF($F$12-$I$4+VLOOKUP($Q81,武学奇术!$A:$ZZ,11,FALSE)+SUM(_xlfn.XLOOKUP(R81:AF81,增益!$A:$A,增益!$K:$K,0))&gt;0,($F$12-$I$4+VLOOKUP($Q81,武学奇术!$A:$ZZ,11,FALSE)+SUM(_xlfn.XLOOKUP(R81:AF81,增益!$A:$A,增益!$K:$K,0)))/200,($F$12-$I$4+VLOOKUP($Q81,武学奇术!$A:$ZZ,11,FALSE)+SUM(_xlfn.XLOOKUP(R81:AF81,增益!$A:$A,增益!$K:$K,0)))/100)</f>
        <v>-0.3</v>
      </c>
      <c r="AZ81" s="32" cm="1">
        <f t="array" ref="AZ81">$G$12+VLOOKUP($Q81,武学奇术!$A:$ZZ,12,FALSE)+SUM(_xlfn.XLOOKUP(R81:AF81,增益!$A:$A,增益!$L:$L,0))</f>
        <v>0</v>
      </c>
      <c r="BA81">
        <f t="shared" si="38"/>
        <v>697.4</v>
      </c>
      <c r="BB81">
        <f t="shared" si="39"/>
        <v>1805</v>
      </c>
      <c r="BC81" s="32" cm="1">
        <f t="array" ref="BC81">IF($F$13-$I$4+VLOOKUP($Q81,武学奇术!$A:$ZZ,13,FALSE)+SUM(_xlfn.XLOOKUP(R81:AF81,增益!$A:$A,增益!$M:$M,0))&gt;0,($F$13-$I$4+VLOOKUP($Q81,武学奇术!$A:$ZZ,13,FALSE)+SUM(_xlfn.XLOOKUP(R81:AF81,增益!$A:$A,增益!$K:$K,0)))/200,($F$13-$I$4+VLOOKUP($Q81,武学奇术!$A:$ZZ,13,FALSE)+SUM(_xlfn.XLOOKUP(R81:AF81,增益!$A:$A,增益!$M:$M,0)))/100)</f>
        <v>0</v>
      </c>
      <c r="BD81" s="32" cm="1">
        <f t="array" ref="BD81">$G$13+VLOOKUP($Q81,武学奇术!$A:$ZZ,14,FALSE)+SUM(_xlfn.XLOOKUP(R81:AF81,增益!$A:$A,增益!$N:$N,0))</f>
        <v>0.15</v>
      </c>
      <c r="BE81">
        <f t="shared" si="40"/>
        <v>0</v>
      </c>
      <c r="BF81">
        <f t="shared" si="41"/>
        <v>0</v>
      </c>
      <c r="BG81" s="32" cm="1">
        <f t="array" ref="BG81">IF($F$14-$I$4+VLOOKUP($Q81,武学奇术!$A:$ZZ,15,FALSE)+SUM(_xlfn.XLOOKUP(R81:AF81,增益!$A:$A,增益!$O:$O,0))&gt;0,($F$14-$I$4+VLOOKUP($Q81,武学奇术!$A:$ZZ,15,FALSE)+SUM(_xlfn.XLOOKUP(R81:AF81,增益!$A:$A,增益!$O:$O,0)))/200,($F$14-$I$4+VLOOKUP($Q81,武学奇术!$A:$ZZ,15,FALSE)+SUM(_xlfn.XLOOKUP(R81:AF81,增益!$A:$A,增益!$O:$O,0)))/100)</f>
        <v>-0.3</v>
      </c>
      <c r="BH81" s="32" cm="1">
        <f t="array" ref="BH81">$G$14+VLOOKUP($Q81,武学奇术!$A:$ZZ,16,FALSE)+SUM(_xlfn.XLOOKUP(R81:AF81,增益!$A:$A,增益!$P:$P,0))</f>
        <v>0</v>
      </c>
      <c r="BI81" s="26">
        <f>MIN(IF(VLOOKUP($Q81,武学奇术!$A:$ZZ,23,FALSE)=1,100%,$B$8),100%)</f>
        <v>1</v>
      </c>
      <c r="BJ81" s="26" cm="1">
        <f t="array" ref="BJ81">IF(VLOOKUP($Q81,武学奇术!$A:$ZZ,23,FALSE)=1,100%,MIN(80%,$B$9+VLOOKUP($Q81,武学奇术!$A:$ZZ,17,FALSE)+SUM(_xlfn.XLOOKUP(R81:AF81,增益!$A:$A,增益!$Q:$Q,0)))+$B$11+SUM(_xlfn.XLOOKUP(R81:AF81,增益!$A:$A,增益!$U:$U,0)))*IF(VLOOKUP($Q81,武学奇术!$A:$ZZ,24,FALSE)=1,0,1)</f>
        <v>0.8625</v>
      </c>
      <c r="BK81" s="26" cm="1">
        <f t="array" ref="BK81">1+$B$13+VLOOKUP($Q81,武学奇术!$A:$ZZ,18,FALSE)+SUM(_xlfn.XLOOKUP(R81:AF81,增益!$A:$A,增益!$R:$R,0))</f>
        <v>1.5</v>
      </c>
      <c r="BL81" s="26" cm="1">
        <f t="array" ref="BL81">IF(VLOOKUP($Q81,武学奇术!$A:$ZZ,24,FALSE)=1,100%,MIN(40%,$B$10+VLOOKUP($Q81,武学奇术!$A:$ZZ,19,FALSE)+SUM(_xlfn.XLOOKUP(R81:AF81,增益!$A:$A,增益!$S:$S,0)))+$B$12+SUM(_xlfn.XLOOKUP(R81:AF81,增益!$A:$A,增益!$V:$V,0)))*IF(VLOOKUP($Q81,武学奇术!$A:$ZZ,23,FALSE)=1,0,1)</f>
        <v>0.0913</v>
      </c>
      <c r="BM81" s="26" cm="1">
        <f t="array" ref="BM81">1+$B$14+VLOOKUP($Q81,武学奇术!$A:$ZZ,20,FALSE)+SUM(_xlfn.XLOOKUP(R81:AF81,增益!$A:$A,增益!$T:$T,0))</f>
        <v>1.35</v>
      </c>
      <c r="BN81" s="26">
        <f t="shared" si="22"/>
        <v>0.8625</v>
      </c>
      <c r="BO81" s="26">
        <f t="shared" si="32"/>
        <v>0.0462</v>
      </c>
      <c r="BP81" s="26">
        <f>IF(VLOOKUP($Q81,武学奇术!$A:$ZZ,22,FALSE)=1,0,(1-$BI81))*(1-$BL81)</f>
        <v>0</v>
      </c>
      <c r="BQ81" s="26" cm="1">
        <f t="array" ref="BQ81">SUM(_xlfn.XLOOKUP(R81:AF81,增益!$A:$A,增益!$W:$W,0))+$I$5</f>
        <v>0.06</v>
      </c>
    </row>
    <row r="82" spans="1:69">
      <c r="A82" s="4"/>
      <c r="B82" s="4"/>
      <c r="K82" s="38">
        <f t="shared" si="33"/>
        <v>0</v>
      </c>
      <c r="L82" s="38">
        <f>((($AN82+$AO82)/2*$AH82+$AI82)*(1+$AP82)*(1+$AQ82)+(($AS82+$AT82)/2*IF($G$1="鸣金",$AJ82,$AH82)+IF($G$1="鸣金",$AK82*1.5,0))*(1+$AU82)*(1+$AV82)+(($AW82+$AX82)/2*IF($G$1="裂石",$AJ82,$AH82)+IF($G$1="裂石",$AK82*1.5,0))*(1+$AY82)*(1+$AZ82)+(($BA82+$BB82)/2*IF($G$1="牵丝",$AJ82,$AH82)+IF($G$1="牵丝",$AK82*1.5,0))*(1+$BC82)*(1+$BD82)+(($BE82+$BF82)/2*IF($G$1="破竹",$AJ82,$AH82)+IF($G$1="破竹",$AK82*1.5,0))*(1+$BG82)*(1+$BH82))*(1+$AL82)*$BK82*$P82*(1+IF(VLOOKUP($Q82,武学奇术!$A:$ZZ,30,FALSE)="蓄力技",#REF!,0))*(1+$BQ82)</f>
        <v>0</v>
      </c>
      <c r="M82" s="38">
        <f>(($AO82*$AH82+$AI82)*(1+$AP82)*(1+$AQ82)+($AT82*IF($G$1="鸣金",$AJ82,$AH82)+IF($G$1="鸣金",$AK82*1.5,0))*(1+$AU82)*(1+$AV82)+($AX82*IF($G$1="裂石",$AJ82,$AH82)+IF($G$1="裂石",$AK82*1.5,0))*(1+$AY82)*(1+$AZ82)+($BB82*IF($G$1="牵丝",$AJ82,$AH82)+IF($G$1="牵丝",$AK82*1.5,0))*(1+$BC82)*(1+$BD82)+($BF82*IF($G$1="破竹",$AJ82,$AH82)+IF($G$1="破竹",$AK82*1.5,0))*(1+$BG82)*(1+$BH82))*(1+$AL82)*$BM82*$P82*(1+IF(VLOOKUP($Q82,武学奇术!$A:$ZZ,30,FALSE)="蓄力技",#REF!,0))*(1+$BQ82)</f>
        <v>0</v>
      </c>
      <c r="N82" s="38">
        <f>((($AN82+$AO82)/2*$AH82+$AI82)*(1+$AP82)*(1+$AQ82)+(($AS82+$AT82)/2*IF($G$1="鸣金",$AJ82,$AH82)+IF($G$1="鸣金",$AK82*1.5,0))*(1+$AU82)*(1+$AV82)+(($AW82+$AX82)/2*IF($G$1="裂石",$AJ82,$AH82)+IF($G$1="裂石",$AK82*1.5,0))*(1+$AY82)*(1+$AZ82)+(($BA82+$BB82)/2*IF($G$1="牵丝",$AJ82,$AH82)+IF($G$1="牵丝",$AK82*1.5,0))*(1+$BC82)*(1+$BD82)+(($BE82+$BF82)/2*IF($G$1="破竹",$AJ82,$AH82)+IF($G$1="破竹",$AK82*1.5,0))*(1+$BG82)*(1+$BH82))*(1+$AL82)*$P82*(1+IF(VLOOKUP($Q82,武学奇术!$A:$ZZ,30,FALSE)="蓄力技",#REF!,0))*(1+$BQ82)</f>
        <v>0</v>
      </c>
      <c r="O82" s="38">
        <f>((($AN82*$AH82+$AI82)*(1+$AP82)*(1+$AQ82)+($AS82*IF($G$1="鸣金",$AJ82,$AH82)+IF($G$1="鸣金",$AK82*1.5,0))*(1+$AU82)*(1+$AV82)+($AW82*IF($G$1="裂石",$AJ82,$AH82)+IF($G$1="裂石",$AK82*1.5,0))*(1+$AY82)*(1+$AZ82)+($BA82*IF($G$1="牵丝",$AJ82,$AH82)+IF($G$1="牵丝",$AK82*1.5,0))*(1+$BC82)*(1+$BD82)+($BE82*IF($G$1="破竹",$AJ82,$AH82)+IF($G$1="破竹",$AK82*1.5,0))*(1+$BG82)*(1+$BH82))*(1+$AL82))*$P82*(1+IF(VLOOKUP($Q82,武学奇术!$A:$ZZ,30,FALSE)="蓄力技",#REF!,0))*(1+$BQ82)</f>
        <v>0</v>
      </c>
      <c r="P82" s="39">
        <v>1</v>
      </c>
      <c r="Q82" s="40" t="s">
        <v>76</v>
      </c>
      <c r="R82" s="40" t="s">
        <v>76</v>
      </c>
      <c r="S82" s="40" t="s">
        <v>76</v>
      </c>
      <c r="T82" s="40" t="s">
        <v>76</v>
      </c>
      <c r="U82" s="40" t="s">
        <v>76</v>
      </c>
      <c r="V82" s="40" t="s">
        <v>76</v>
      </c>
      <c r="W82" s="40" t="s">
        <v>76</v>
      </c>
      <c r="X82" s="40" t="s">
        <v>76</v>
      </c>
      <c r="Y82" s="40" t="s">
        <v>76</v>
      </c>
      <c r="Z82" s="40" t="s">
        <v>76</v>
      </c>
      <c r="AA82" s="40" t="s">
        <v>76</v>
      </c>
      <c r="AB82" s="40" t="s">
        <v>76</v>
      </c>
      <c r="AC82" s="40" t="s">
        <v>76</v>
      </c>
      <c r="AD82" s="40" t="s">
        <v>76</v>
      </c>
      <c r="AE82" s="40" t="s">
        <v>76</v>
      </c>
      <c r="AF82" s="40" t="s">
        <v>76</v>
      </c>
      <c r="AG82" t="str">
        <f>VLOOKUP($Q82,武学奇术!$A:$ZZ,25,FALSE)</f>
        <v>心法</v>
      </c>
      <c r="AH82" s="26">
        <f>VLOOKUP($Q82,武学奇术!$A:$ZZ,26,FALSE)</f>
        <v>0</v>
      </c>
      <c r="AI82" s="27">
        <f>VLOOKUP($Q82,武学奇术!$A:$ZZ,27,FALSE)*(1+IF(OR($AG82=$F$4,$AG82=$F$5),$B$21,0))</f>
        <v>0</v>
      </c>
      <c r="AJ82" s="26">
        <f>VLOOKUP($Q82,武学奇术!$A:$ZZ,28,FALSE)</f>
        <v>0</v>
      </c>
      <c r="AK82" s="27">
        <f>VLOOKUP($Q82,武学奇术!$A:$ZZ,29,FALSE)*(1+IF(OR($AG82=$F$4,$AG82=$F$5),$B$21,0))</f>
        <v>0</v>
      </c>
      <c r="AL82" s="26" cm="1">
        <f t="array" ref="AL82">$G$3+IFERROR(VLOOKUP($AG82,$F$4:$G$7,2,FALSE),0)+VLOOKUP($Q82,武学奇术!$A:$ZZ,2,FALSE)+SUM(_xlfn.XLOOKUP($R82:$AF82,增益!$A:$A,增益!$B:$B,0))</f>
        <v>0.2642</v>
      </c>
      <c r="AM82" s="26" cm="1">
        <f t="array" ref="AM82">VLOOKUP($Q82,武学奇术!$A:$ZZ,5,FALSE)+SUM(_xlfn.XLOOKUP($R82:$AF82,增益!$A:$A,增益!$E:$E,0))</f>
        <v>0</v>
      </c>
      <c r="AN82" cm="1">
        <f t="array" ref="AN82">$D$10*(1+$AM82)+VLOOKUP($Q82,武学奇术!$A:$ZZ,3,FALSE)+SUM(_xlfn.XLOOKUP($R82:$AF82,增益!$A:$A,增益!$C:$C,0))-$I$2</f>
        <v>3977.2</v>
      </c>
      <c r="AO82" cm="1">
        <f t="array" ref="AO82">$E$10*(1+$AM82)+VLOOKUP($Q82,武学奇术!$A:$ZZ,4,FALSE)+SUM(_xlfn.XLOOKUP($R82:$AF82,增益!$A:$A,增益!$D:$D,0))-$I$2</f>
        <v>3977.2</v>
      </c>
      <c r="AP82" s="32" cm="1">
        <f t="array" ref="AP82">IF($F$10-$I$3+VLOOKUP($Q82,武学奇术!$A:$ZZ,6,FALSE)+SUM(_xlfn.XLOOKUP(R82:AF82,增益!$A:$A,增益!$F:$F,0))&gt;0,($F$10-$I$3+VLOOKUP($Q82,武学奇术!$A:$ZZ,6,FALSE)+SUM(_xlfn.XLOOKUP(R82:AF82,增益!$A:$A,增益!$F:$F,0)))/200,($F$10-$I$3+VLOOKUP($Q82,武学奇术!$A:$ZZ,6,FALSE)+SUM(_xlfn.XLOOKUP(R82:AF82,增益!$A:$A,增益!$F:$F,0)))/100)</f>
        <v>0.294</v>
      </c>
      <c r="AQ82" s="32" cm="1">
        <f t="array" ref="AQ82">$G$10+VLOOKUP($Q82,武学奇术!$A:$ZZ,7,FALSE)+SUM(_xlfn.XLOOKUP(R82:AF82,增益!$A:$A,增益!$G:$G,0))</f>
        <v>0</v>
      </c>
      <c r="AR82" s="26" cm="1">
        <f t="array" ref="AR82">VLOOKUP($Q82,武学奇术!$A:$ZZ,8,FALSE)+SUM(_xlfn.XLOOKUP(R82:AF82,增益!$A:$A,增益!$H:$H,0))</f>
        <v>0</v>
      </c>
      <c r="AS82">
        <f t="shared" si="34"/>
        <v>0</v>
      </c>
      <c r="AT82">
        <f t="shared" si="35"/>
        <v>0</v>
      </c>
      <c r="AU82" s="32" cm="1">
        <f t="array" ref="AU82">IF($F$11-$I$4+VLOOKUP($Q82,武学奇术!$A:$ZZ,9,FALSE)+SUM(_xlfn.XLOOKUP(R82:AF82,增益!$A:$A,增益!$I:$I,0))&gt;0,($F$11-$I$4+VLOOKUP($Q82,武学奇术!$A:$ZZ,9,FALSE)+SUM(_xlfn.XLOOKUP(R82:AF82,增益!$A:$A,增益!$I:$I,0)))/200,($F$11-$I$4+VLOOKUP($Q82,武学奇术!$A:$ZZ,9,FALSE)+SUM(_xlfn.XLOOKUP(R82:AF82,增益!$A:$A,增益!$I:$I,0)))/100)</f>
        <v>-0.3</v>
      </c>
      <c r="AV82" s="32" cm="1">
        <f t="array" ref="AV82">$G$11+VLOOKUP($Q82,武学奇术!$A:$ZZ,10,FALSE)+SUM(_xlfn.XLOOKUP(R82:AF82,增益!$A:$A,增益!$J:$J,0))</f>
        <v>0</v>
      </c>
      <c r="AW82">
        <f t="shared" si="36"/>
        <v>0</v>
      </c>
      <c r="AX82">
        <f t="shared" si="37"/>
        <v>0</v>
      </c>
      <c r="AY82" s="32" cm="1">
        <f t="array" ref="AY82">IF($F$12-$I$4+VLOOKUP($Q82,武学奇术!$A:$ZZ,11,FALSE)+SUM(_xlfn.XLOOKUP(R82:AF82,增益!$A:$A,增益!$K:$K,0))&gt;0,($F$12-$I$4+VLOOKUP($Q82,武学奇术!$A:$ZZ,11,FALSE)+SUM(_xlfn.XLOOKUP(R82:AF82,增益!$A:$A,增益!$K:$K,0)))/200,($F$12-$I$4+VLOOKUP($Q82,武学奇术!$A:$ZZ,11,FALSE)+SUM(_xlfn.XLOOKUP(R82:AF82,增益!$A:$A,增益!$K:$K,0)))/100)</f>
        <v>-0.3</v>
      </c>
      <c r="AZ82" s="32" cm="1">
        <f t="array" ref="AZ82">$G$12+VLOOKUP($Q82,武学奇术!$A:$ZZ,12,FALSE)+SUM(_xlfn.XLOOKUP(R82:AF82,增益!$A:$A,增益!$L:$L,0))</f>
        <v>0</v>
      </c>
      <c r="BA82">
        <f t="shared" si="38"/>
        <v>697.4</v>
      </c>
      <c r="BB82">
        <f t="shared" si="39"/>
        <v>1805</v>
      </c>
      <c r="BC82" s="32" cm="1">
        <f t="array" ref="BC82">IF($F$13-$I$4+VLOOKUP($Q82,武学奇术!$A:$ZZ,13,FALSE)+SUM(_xlfn.XLOOKUP(R82:AF82,增益!$A:$A,增益!$M:$M,0))&gt;0,($F$13-$I$4+VLOOKUP($Q82,武学奇术!$A:$ZZ,13,FALSE)+SUM(_xlfn.XLOOKUP(R82:AF82,增益!$A:$A,增益!$K:$K,0)))/200,($F$13-$I$4+VLOOKUP($Q82,武学奇术!$A:$ZZ,13,FALSE)+SUM(_xlfn.XLOOKUP(R82:AF82,增益!$A:$A,增益!$M:$M,0)))/100)</f>
        <v>0</v>
      </c>
      <c r="BD82" s="32" cm="1">
        <f t="array" ref="BD82">$G$13+VLOOKUP($Q82,武学奇术!$A:$ZZ,14,FALSE)+SUM(_xlfn.XLOOKUP(R82:AF82,增益!$A:$A,增益!$N:$N,0))</f>
        <v>0.15</v>
      </c>
      <c r="BE82">
        <f t="shared" si="40"/>
        <v>0</v>
      </c>
      <c r="BF82">
        <f t="shared" si="41"/>
        <v>0</v>
      </c>
      <c r="BG82" s="32" cm="1">
        <f t="array" ref="BG82">IF($F$14-$I$4+VLOOKUP($Q82,武学奇术!$A:$ZZ,15,FALSE)+SUM(_xlfn.XLOOKUP(R82:AF82,增益!$A:$A,增益!$O:$O,0))&gt;0,($F$14-$I$4+VLOOKUP($Q82,武学奇术!$A:$ZZ,15,FALSE)+SUM(_xlfn.XLOOKUP(R82:AF82,增益!$A:$A,增益!$O:$O,0)))/200,($F$14-$I$4+VLOOKUP($Q82,武学奇术!$A:$ZZ,15,FALSE)+SUM(_xlfn.XLOOKUP(R82:AF82,增益!$A:$A,增益!$O:$O,0)))/100)</f>
        <v>-0.3</v>
      </c>
      <c r="BH82" s="32" cm="1">
        <f t="array" ref="BH82">$G$14+VLOOKUP($Q82,武学奇术!$A:$ZZ,16,FALSE)+SUM(_xlfn.XLOOKUP(R82:AF82,增益!$A:$A,增益!$P:$P,0))</f>
        <v>0</v>
      </c>
      <c r="BI82" s="26">
        <f>MIN(IF(VLOOKUP($Q82,武学奇术!$A:$ZZ,23,FALSE)=1,100%,$B$8),100%)</f>
        <v>1</v>
      </c>
      <c r="BJ82" s="26" cm="1">
        <f t="array" ref="BJ82">IF(VLOOKUP($Q82,武学奇术!$A:$ZZ,23,FALSE)=1,100%,MIN(80%,$B$9+VLOOKUP($Q82,武学奇术!$A:$ZZ,17,FALSE)+SUM(_xlfn.XLOOKUP(R82:AF82,增益!$A:$A,增益!$Q:$Q,0)))+$B$11+SUM(_xlfn.XLOOKUP(R82:AF82,增益!$A:$A,增益!$U:$U,0)))*IF(VLOOKUP($Q82,武学奇术!$A:$ZZ,24,FALSE)=1,0,1)</f>
        <v>0.8625</v>
      </c>
      <c r="BK82" s="26" cm="1">
        <f t="array" ref="BK82">1+$B$13+VLOOKUP($Q82,武学奇术!$A:$ZZ,18,FALSE)+SUM(_xlfn.XLOOKUP(R82:AF82,增益!$A:$A,增益!$R:$R,0))</f>
        <v>1.5</v>
      </c>
      <c r="BL82" s="26" cm="1">
        <f t="array" ref="BL82">IF(VLOOKUP($Q82,武学奇术!$A:$ZZ,24,FALSE)=1,100%,MIN(40%,$B$10+VLOOKUP($Q82,武学奇术!$A:$ZZ,19,FALSE)+SUM(_xlfn.XLOOKUP(R82:AF82,增益!$A:$A,增益!$S:$S,0)))+$B$12+SUM(_xlfn.XLOOKUP(R82:AF82,增益!$A:$A,增益!$V:$V,0)))*IF(VLOOKUP($Q82,武学奇术!$A:$ZZ,23,FALSE)=1,0,1)</f>
        <v>0.0913</v>
      </c>
      <c r="BM82" s="26" cm="1">
        <f t="array" ref="BM82">1+$B$14+VLOOKUP($Q82,武学奇术!$A:$ZZ,20,FALSE)+SUM(_xlfn.XLOOKUP(R82:AF82,增益!$A:$A,增益!$T:$T,0))</f>
        <v>1.35</v>
      </c>
      <c r="BN82" s="26">
        <f t="shared" si="22"/>
        <v>0.8625</v>
      </c>
      <c r="BO82" s="26">
        <f t="shared" si="32"/>
        <v>0.0462</v>
      </c>
      <c r="BP82" s="26">
        <f>IF(VLOOKUP($Q82,武学奇术!$A:$ZZ,22,FALSE)=1,0,(1-$BI82))*(1-$BL82)</f>
        <v>0</v>
      </c>
      <c r="BQ82" s="26" cm="1">
        <f t="array" ref="BQ82">SUM(_xlfn.XLOOKUP(R82:AF82,增益!$A:$A,增益!$W:$W,0))+$I$5</f>
        <v>0.06</v>
      </c>
    </row>
    <row r="83" spans="1:69">
      <c r="A83" s="4"/>
      <c r="B83" s="4"/>
      <c r="K83" s="38">
        <f t="shared" si="33"/>
        <v>0</v>
      </c>
      <c r="L83" s="38">
        <f>((($AN83+$AO83)/2*$AH83+$AI83)*(1+$AP83)*(1+$AQ83)+(($AS83+$AT83)/2*IF($G$1="鸣金",$AJ83,$AH83)+IF($G$1="鸣金",$AK83*1.5,0))*(1+$AU83)*(1+$AV83)+(($AW83+$AX83)/2*IF($G$1="裂石",$AJ83,$AH83)+IF($G$1="裂石",$AK83*1.5,0))*(1+$AY83)*(1+$AZ83)+(($BA83+$BB83)/2*IF($G$1="牵丝",$AJ83,$AH83)+IF($G$1="牵丝",$AK83*1.5,0))*(1+$BC83)*(1+$BD83)+(($BE83+$BF83)/2*IF($G$1="破竹",$AJ83,$AH83)+IF($G$1="破竹",$AK83*1.5,0))*(1+$BG83)*(1+$BH83))*(1+$AL83)*$BK83*$P83*(1+IF(VLOOKUP($Q83,武学奇术!$A:$ZZ,30,FALSE)="蓄力技",#REF!,0))*(1+$BQ83)</f>
        <v>0</v>
      </c>
      <c r="M83" s="38">
        <f>(($AO83*$AH83+$AI83)*(1+$AP83)*(1+$AQ83)+($AT83*IF($G$1="鸣金",$AJ83,$AH83)+IF($G$1="鸣金",$AK83*1.5,0))*(1+$AU83)*(1+$AV83)+($AX83*IF($G$1="裂石",$AJ83,$AH83)+IF($G$1="裂石",$AK83*1.5,0))*(1+$AY83)*(1+$AZ83)+($BB83*IF($G$1="牵丝",$AJ83,$AH83)+IF($G$1="牵丝",$AK83*1.5,0))*(1+$BC83)*(1+$BD83)+($BF83*IF($G$1="破竹",$AJ83,$AH83)+IF($G$1="破竹",$AK83*1.5,0))*(1+$BG83)*(1+$BH83))*(1+$AL83)*$BM83*$P83*(1+IF(VLOOKUP($Q83,武学奇术!$A:$ZZ,30,FALSE)="蓄力技",#REF!,0))*(1+$BQ83)</f>
        <v>0</v>
      </c>
      <c r="N83" s="38">
        <f>((($AN83+$AO83)/2*$AH83+$AI83)*(1+$AP83)*(1+$AQ83)+(($AS83+$AT83)/2*IF($G$1="鸣金",$AJ83,$AH83)+IF($G$1="鸣金",$AK83*1.5,0))*(1+$AU83)*(1+$AV83)+(($AW83+$AX83)/2*IF($G$1="裂石",$AJ83,$AH83)+IF($G$1="裂石",$AK83*1.5,0))*(1+$AY83)*(1+$AZ83)+(($BA83+$BB83)/2*IF($G$1="牵丝",$AJ83,$AH83)+IF($G$1="牵丝",$AK83*1.5,0))*(1+$BC83)*(1+$BD83)+(($BE83+$BF83)/2*IF($G$1="破竹",$AJ83,$AH83)+IF($G$1="破竹",$AK83*1.5,0))*(1+$BG83)*(1+$BH83))*(1+$AL83)*$P83*(1+IF(VLOOKUP($Q83,武学奇术!$A:$ZZ,30,FALSE)="蓄力技",#REF!,0))*(1+$BQ83)</f>
        <v>0</v>
      </c>
      <c r="O83" s="38">
        <f>((($AN83*$AH83+$AI83)*(1+$AP83)*(1+$AQ83)+($AS83*IF($G$1="鸣金",$AJ83,$AH83)+IF($G$1="鸣金",$AK83*1.5,0))*(1+$AU83)*(1+$AV83)+($AW83*IF($G$1="裂石",$AJ83,$AH83)+IF($G$1="裂石",$AK83*1.5,0))*(1+$AY83)*(1+$AZ83)+($BA83*IF($G$1="牵丝",$AJ83,$AH83)+IF($G$1="牵丝",$AK83*1.5,0))*(1+$BC83)*(1+$BD83)+($BE83*IF($G$1="破竹",$AJ83,$AH83)+IF($G$1="破竹",$AK83*1.5,0))*(1+$BG83)*(1+$BH83))*(1+$AL83))*$P83*(1+IF(VLOOKUP($Q83,武学奇术!$A:$ZZ,30,FALSE)="蓄力技",#REF!,0))*(1+$BQ83)</f>
        <v>0</v>
      </c>
      <c r="P83" s="39">
        <v>1</v>
      </c>
      <c r="Q83" s="40" t="s">
        <v>76</v>
      </c>
      <c r="R83" s="40" t="s">
        <v>76</v>
      </c>
      <c r="S83" s="40" t="s">
        <v>76</v>
      </c>
      <c r="T83" s="40" t="s">
        <v>76</v>
      </c>
      <c r="U83" s="40" t="s">
        <v>76</v>
      </c>
      <c r="V83" s="40" t="s">
        <v>76</v>
      </c>
      <c r="W83" s="40" t="s">
        <v>76</v>
      </c>
      <c r="X83" s="40" t="s">
        <v>76</v>
      </c>
      <c r="Y83" s="40" t="s">
        <v>76</v>
      </c>
      <c r="Z83" s="40" t="s">
        <v>76</v>
      </c>
      <c r="AA83" s="40" t="s">
        <v>76</v>
      </c>
      <c r="AB83" s="40" t="s">
        <v>76</v>
      </c>
      <c r="AC83" s="40" t="s">
        <v>76</v>
      </c>
      <c r="AD83" s="40" t="s">
        <v>76</v>
      </c>
      <c r="AE83" s="40" t="s">
        <v>76</v>
      </c>
      <c r="AF83" s="40" t="s">
        <v>76</v>
      </c>
      <c r="AG83" t="str">
        <f>VLOOKUP($Q83,武学奇术!$A:$ZZ,25,FALSE)</f>
        <v>心法</v>
      </c>
      <c r="AH83" s="26">
        <f>VLOOKUP($Q83,武学奇术!$A:$ZZ,26,FALSE)</f>
        <v>0</v>
      </c>
      <c r="AI83" s="27">
        <f>VLOOKUP($Q83,武学奇术!$A:$ZZ,27,FALSE)*(1+IF(OR($AG83=$F$4,$AG83=$F$5),$B$21,0))</f>
        <v>0</v>
      </c>
      <c r="AJ83" s="26">
        <f>VLOOKUP($Q83,武学奇术!$A:$ZZ,28,FALSE)</f>
        <v>0</v>
      </c>
      <c r="AK83" s="27">
        <f>VLOOKUP($Q83,武学奇术!$A:$ZZ,29,FALSE)*(1+IF(OR($AG83=$F$4,$AG83=$F$5),$B$21,0))</f>
        <v>0</v>
      </c>
      <c r="AL83" s="26" cm="1">
        <f t="array" ref="AL83">$G$3+IFERROR(VLOOKUP($AG83,$F$4:$G$7,2,FALSE),0)+VLOOKUP($Q83,武学奇术!$A:$ZZ,2,FALSE)+SUM(_xlfn.XLOOKUP($R83:$AF83,增益!$A:$A,增益!$B:$B,0))</f>
        <v>0.2642</v>
      </c>
      <c r="AM83" s="26" cm="1">
        <f t="array" ref="AM83">VLOOKUP($Q83,武学奇术!$A:$ZZ,5,FALSE)+SUM(_xlfn.XLOOKUP($R83:$AF83,增益!$A:$A,增益!$E:$E,0))</f>
        <v>0</v>
      </c>
      <c r="AN83" cm="1">
        <f t="array" ref="AN83">$D$10*(1+$AM83)+VLOOKUP($Q83,武学奇术!$A:$ZZ,3,FALSE)+SUM(_xlfn.XLOOKUP($R83:$AF83,增益!$A:$A,增益!$C:$C,0))-$I$2</f>
        <v>3977.2</v>
      </c>
      <c r="AO83" cm="1">
        <f t="array" ref="AO83">$E$10*(1+$AM83)+VLOOKUP($Q83,武学奇术!$A:$ZZ,4,FALSE)+SUM(_xlfn.XLOOKUP($R83:$AF83,增益!$A:$A,增益!$D:$D,0))-$I$2</f>
        <v>3977.2</v>
      </c>
      <c r="AP83" s="32" cm="1">
        <f t="array" ref="AP83">IF($F$10-$I$3+VLOOKUP($Q83,武学奇术!$A:$ZZ,6,FALSE)+SUM(_xlfn.XLOOKUP(R83:AF83,增益!$A:$A,增益!$F:$F,0))&gt;0,($F$10-$I$3+VLOOKUP($Q83,武学奇术!$A:$ZZ,6,FALSE)+SUM(_xlfn.XLOOKUP(R83:AF83,增益!$A:$A,增益!$F:$F,0)))/200,($F$10-$I$3+VLOOKUP($Q83,武学奇术!$A:$ZZ,6,FALSE)+SUM(_xlfn.XLOOKUP(R83:AF83,增益!$A:$A,增益!$F:$F,0)))/100)</f>
        <v>0.294</v>
      </c>
      <c r="AQ83" s="32" cm="1">
        <f t="array" ref="AQ83">$G$10+VLOOKUP($Q83,武学奇术!$A:$ZZ,7,FALSE)+SUM(_xlfn.XLOOKUP(R83:AF83,增益!$A:$A,增益!$G:$G,0))</f>
        <v>0</v>
      </c>
      <c r="AR83" s="26" cm="1">
        <f t="array" ref="AR83">VLOOKUP($Q83,武学奇术!$A:$ZZ,8,FALSE)+SUM(_xlfn.XLOOKUP(R83:AF83,增益!$A:$A,增益!$H:$H,0))</f>
        <v>0</v>
      </c>
      <c r="AS83">
        <f t="shared" si="34"/>
        <v>0</v>
      </c>
      <c r="AT83">
        <f t="shared" si="35"/>
        <v>0</v>
      </c>
      <c r="AU83" s="32" cm="1">
        <f t="array" ref="AU83">IF($F$11-$I$4+VLOOKUP($Q83,武学奇术!$A:$ZZ,9,FALSE)+SUM(_xlfn.XLOOKUP(R83:AF83,增益!$A:$A,增益!$I:$I,0))&gt;0,($F$11-$I$4+VLOOKUP($Q83,武学奇术!$A:$ZZ,9,FALSE)+SUM(_xlfn.XLOOKUP(R83:AF83,增益!$A:$A,增益!$I:$I,0)))/200,($F$11-$I$4+VLOOKUP($Q83,武学奇术!$A:$ZZ,9,FALSE)+SUM(_xlfn.XLOOKUP(R83:AF83,增益!$A:$A,增益!$I:$I,0)))/100)</f>
        <v>-0.3</v>
      </c>
      <c r="AV83" s="32" cm="1">
        <f t="array" ref="AV83">$G$11+VLOOKUP($Q83,武学奇术!$A:$ZZ,10,FALSE)+SUM(_xlfn.XLOOKUP(R83:AF83,增益!$A:$A,增益!$J:$J,0))</f>
        <v>0</v>
      </c>
      <c r="AW83">
        <f t="shared" si="36"/>
        <v>0</v>
      </c>
      <c r="AX83">
        <f t="shared" si="37"/>
        <v>0</v>
      </c>
      <c r="AY83" s="32" cm="1">
        <f t="array" ref="AY83">IF($F$12-$I$4+VLOOKUP($Q83,武学奇术!$A:$ZZ,11,FALSE)+SUM(_xlfn.XLOOKUP(R83:AF83,增益!$A:$A,增益!$K:$K,0))&gt;0,($F$12-$I$4+VLOOKUP($Q83,武学奇术!$A:$ZZ,11,FALSE)+SUM(_xlfn.XLOOKUP(R83:AF83,增益!$A:$A,增益!$K:$K,0)))/200,($F$12-$I$4+VLOOKUP($Q83,武学奇术!$A:$ZZ,11,FALSE)+SUM(_xlfn.XLOOKUP(R83:AF83,增益!$A:$A,增益!$K:$K,0)))/100)</f>
        <v>-0.3</v>
      </c>
      <c r="AZ83" s="32" cm="1">
        <f t="array" ref="AZ83">$G$12+VLOOKUP($Q83,武学奇术!$A:$ZZ,12,FALSE)+SUM(_xlfn.XLOOKUP(R83:AF83,增益!$A:$A,增益!$L:$L,0))</f>
        <v>0</v>
      </c>
      <c r="BA83">
        <f t="shared" si="38"/>
        <v>697.4</v>
      </c>
      <c r="BB83">
        <f t="shared" si="39"/>
        <v>1805</v>
      </c>
      <c r="BC83" s="32" cm="1">
        <f t="array" ref="BC83">IF($F$13-$I$4+VLOOKUP($Q83,武学奇术!$A:$ZZ,13,FALSE)+SUM(_xlfn.XLOOKUP(R83:AF83,增益!$A:$A,增益!$M:$M,0))&gt;0,($F$13-$I$4+VLOOKUP($Q83,武学奇术!$A:$ZZ,13,FALSE)+SUM(_xlfn.XLOOKUP(R83:AF83,增益!$A:$A,增益!$K:$K,0)))/200,($F$13-$I$4+VLOOKUP($Q83,武学奇术!$A:$ZZ,13,FALSE)+SUM(_xlfn.XLOOKUP(R83:AF83,增益!$A:$A,增益!$M:$M,0)))/100)</f>
        <v>0</v>
      </c>
      <c r="BD83" s="32" cm="1">
        <f t="array" ref="BD83">$G$13+VLOOKUP($Q83,武学奇术!$A:$ZZ,14,FALSE)+SUM(_xlfn.XLOOKUP(R83:AF83,增益!$A:$A,增益!$N:$N,0))</f>
        <v>0.15</v>
      </c>
      <c r="BE83">
        <f t="shared" si="40"/>
        <v>0</v>
      </c>
      <c r="BF83">
        <f t="shared" si="41"/>
        <v>0</v>
      </c>
      <c r="BG83" s="32" cm="1">
        <f t="array" ref="BG83">IF($F$14-$I$4+VLOOKUP($Q83,武学奇术!$A:$ZZ,15,FALSE)+SUM(_xlfn.XLOOKUP(R83:AF83,增益!$A:$A,增益!$O:$O,0))&gt;0,($F$14-$I$4+VLOOKUP($Q83,武学奇术!$A:$ZZ,15,FALSE)+SUM(_xlfn.XLOOKUP(R83:AF83,增益!$A:$A,增益!$O:$O,0)))/200,($F$14-$I$4+VLOOKUP($Q83,武学奇术!$A:$ZZ,15,FALSE)+SUM(_xlfn.XLOOKUP(R83:AF83,增益!$A:$A,增益!$O:$O,0)))/100)</f>
        <v>-0.3</v>
      </c>
      <c r="BH83" s="32" cm="1">
        <f t="array" ref="BH83">$G$14+VLOOKUP($Q83,武学奇术!$A:$ZZ,16,FALSE)+SUM(_xlfn.XLOOKUP(R83:AF83,增益!$A:$A,增益!$P:$P,0))</f>
        <v>0</v>
      </c>
      <c r="BI83" s="26">
        <f>MIN(IF(VLOOKUP($Q83,武学奇术!$A:$ZZ,23,FALSE)=1,100%,$B$8),100%)</f>
        <v>1</v>
      </c>
      <c r="BJ83" s="26" cm="1">
        <f t="array" ref="BJ83">IF(VLOOKUP($Q83,武学奇术!$A:$ZZ,23,FALSE)=1,100%,MIN(80%,$B$9+VLOOKUP($Q83,武学奇术!$A:$ZZ,17,FALSE)+SUM(_xlfn.XLOOKUP(R83:AF83,增益!$A:$A,增益!$Q:$Q,0)))+$B$11+SUM(_xlfn.XLOOKUP(R83:AF83,增益!$A:$A,增益!$U:$U,0)))*IF(VLOOKUP($Q83,武学奇术!$A:$ZZ,24,FALSE)=1,0,1)</f>
        <v>0.8625</v>
      </c>
      <c r="BK83" s="26" cm="1">
        <f t="array" ref="BK83">1+$B$13+VLOOKUP($Q83,武学奇术!$A:$ZZ,18,FALSE)+SUM(_xlfn.XLOOKUP(R83:AF83,增益!$A:$A,增益!$R:$R,0))</f>
        <v>1.5</v>
      </c>
      <c r="BL83" s="26" cm="1">
        <f t="array" ref="BL83">IF(VLOOKUP($Q83,武学奇术!$A:$ZZ,24,FALSE)=1,100%,MIN(40%,$B$10+VLOOKUP($Q83,武学奇术!$A:$ZZ,19,FALSE)+SUM(_xlfn.XLOOKUP(R83:AF83,增益!$A:$A,增益!$S:$S,0)))+$B$12+SUM(_xlfn.XLOOKUP(R83:AF83,增益!$A:$A,增益!$V:$V,0)))*IF(VLOOKUP($Q83,武学奇术!$A:$ZZ,23,FALSE)=1,0,1)</f>
        <v>0.0913</v>
      </c>
      <c r="BM83" s="26" cm="1">
        <f t="array" ref="BM83">1+$B$14+VLOOKUP($Q83,武学奇术!$A:$ZZ,20,FALSE)+SUM(_xlfn.XLOOKUP(R83:AF83,增益!$A:$A,增益!$T:$T,0))</f>
        <v>1.35</v>
      </c>
      <c r="BN83" s="26">
        <f t="shared" si="22"/>
        <v>0.8625</v>
      </c>
      <c r="BO83" s="26">
        <f t="shared" si="32"/>
        <v>0.0462</v>
      </c>
      <c r="BP83" s="26">
        <f>IF(VLOOKUP($Q83,武学奇术!$A:$ZZ,22,FALSE)=1,0,(1-$BI83))*(1-$BL83)</f>
        <v>0</v>
      </c>
      <c r="BQ83" s="26" cm="1">
        <f t="array" ref="BQ83">SUM(_xlfn.XLOOKUP(R83:AF83,增益!$A:$A,增益!$W:$W,0))+$I$5</f>
        <v>0.06</v>
      </c>
    </row>
    <row r="84" spans="1:69">
      <c r="A84" s="4"/>
      <c r="B84" s="4"/>
      <c r="K84" s="38">
        <f t="shared" si="33"/>
        <v>0</v>
      </c>
      <c r="L84" s="38">
        <f>((($AN84+$AO84)/2*$AH84+$AI84)*(1+$AP84)*(1+$AQ84)+(($AS84+$AT84)/2*IF($G$1="鸣金",$AJ84,$AH84)+IF($G$1="鸣金",$AK84*1.5,0))*(1+$AU84)*(1+$AV84)+(($AW84+$AX84)/2*IF($G$1="裂石",$AJ84,$AH84)+IF($G$1="裂石",$AK84*1.5,0))*(1+$AY84)*(1+$AZ84)+(($BA84+$BB84)/2*IF($G$1="牵丝",$AJ84,$AH84)+IF($G$1="牵丝",$AK84*1.5,0))*(1+$BC84)*(1+$BD84)+(($BE84+$BF84)/2*IF($G$1="破竹",$AJ84,$AH84)+IF($G$1="破竹",$AK84*1.5,0))*(1+$BG84)*(1+$BH84))*(1+$AL84)*$BK84*$P84*(1+IF(VLOOKUP($Q84,武学奇术!$A:$ZZ,30,FALSE)="蓄力技",#REF!,0))*(1+$BQ84)</f>
        <v>0</v>
      </c>
      <c r="M84" s="38">
        <f>(($AO84*$AH84+$AI84)*(1+$AP84)*(1+$AQ84)+($AT84*IF($G$1="鸣金",$AJ84,$AH84)+IF($G$1="鸣金",$AK84*1.5,0))*(1+$AU84)*(1+$AV84)+($AX84*IF($G$1="裂石",$AJ84,$AH84)+IF($G$1="裂石",$AK84*1.5,0))*(1+$AY84)*(1+$AZ84)+($BB84*IF($G$1="牵丝",$AJ84,$AH84)+IF($G$1="牵丝",$AK84*1.5,0))*(1+$BC84)*(1+$BD84)+($BF84*IF($G$1="破竹",$AJ84,$AH84)+IF($G$1="破竹",$AK84*1.5,0))*(1+$BG84)*(1+$BH84))*(1+$AL84)*$BM84*$P84*(1+IF(VLOOKUP($Q84,武学奇术!$A:$ZZ,30,FALSE)="蓄力技",#REF!,0))*(1+$BQ84)</f>
        <v>0</v>
      </c>
      <c r="N84" s="38">
        <f>((($AN84+$AO84)/2*$AH84+$AI84)*(1+$AP84)*(1+$AQ84)+(($AS84+$AT84)/2*IF($G$1="鸣金",$AJ84,$AH84)+IF($G$1="鸣金",$AK84*1.5,0))*(1+$AU84)*(1+$AV84)+(($AW84+$AX84)/2*IF($G$1="裂石",$AJ84,$AH84)+IF($G$1="裂石",$AK84*1.5,0))*(1+$AY84)*(1+$AZ84)+(($BA84+$BB84)/2*IF($G$1="牵丝",$AJ84,$AH84)+IF($G$1="牵丝",$AK84*1.5,0))*(1+$BC84)*(1+$BD84)+(($BE84+$BF84)/2*IF($G$1="破竹",$AJ84,$AH84)+IF($G$1="破竹",$AK84*1.5,0))*(1+$BG84)*(1+$BH84))*(1+$AL84)*$P84*(1+IF(VLOOKUP($Q84,武学奇术!$A:$ZZ,30,FALSE)="蓄力技",#REF!,0))*(1+$BQ84)</f>
        <v>0</v>
      </c>
      <c r="O84" s="38">
        <f>((($AN84*$AH84+$AI84)*(1+$AP84)*(1+$AQ84)+($AS84*IF($G$1="鸣金",$AJ84,$AH84)+IF($G$1="鸣金",$AK84*1.5,0))*(1+$AU84)*(1+$AV84)+($AW84*IF($G$1="裂石",$AJ84,$AH84)+IF($G$1="裂石",$AK84*1.5,0))*(1+$AY84)*(1+$AZ84)+($BA84*IF($G$1="牵丝",$AJ84,$AH84)+IF($G$1="牵丝",$AK84*1.5,0))*(1+$BC84)*(1+$BD84)+($BE84*IF($G$1="破竹",$AJ84,$AH84)+IF($G$1="破竹",$AK84*1.5,0))*(1+$BG84)*(1+$BH84))*(1+$AL84))*$P84*(1+IF(VLOOKUP($Q84,武学奇术!$A:$ZZ,30,FALSE)="蓄力技",#REF!,0))*(1+$BQ84)</f>
        <v>0</v>
      </c>
      <c r="P84" s="39">
        <v>1</v>
      </c>
      <c r="Q84" s="40" t="s">
        <v>76</v>
      </c>
      <c r="R84" s="40" t="s">
        <v>76</v>
      </c>
      <c r="S84" s="40" t="s">
        <v>76</v>
      </c>
      <c r="T84" s="40" t="s">
        <v>76</v>
      </c>
      <c r="U84" s="40" t="s">
        <v>76</v>
      </c>
      <c r="V84" s="40" t="s">
        <v>76</v>
      </c>
      <c r="W84" s="40" t="s">
        <v>76</v>
      </c>
      <c r="X84" s="40" t="s">
        <v>76</v>
      </c>
      <c r="Y84" s="40" t="s">
        <v>76</v>
      </c>
      <c r="Z84" s="40" t="s">
        <v>76</v>
      </c>
      <c r="AA84" s="40" t="s">
        <v>76</v>
      </c>
      <c r="AB84" s="40" t="s">
        <v>76</v>
      </c>
      <c r="AC84" s="40" t="s">
        <v>76</v>
      </c>
      <c r="AD84" s="40" t="s">
        <v>76</v>
      </c>
      <c r="AE84" s="40" t="s">
        <v>76</v>
      </c>
      <c r="AF84" s="40" t="s">
        <v>76</v>
      </c>
      <c r="AG84" t="str">
        <f>VLOOKUP($Q84,武学奇术!$A:$ZZ,25,FALSE)</f>
        <v>心法</v>
      </c>
      <c r="AH84" s="26">
        <f>VLOOKUP($Q84,武学奇术!$A:$ZZ,26,FALSE)</f>
        <v>0</v>
      </c>
      <c r="AI84" s="27">
        <f>VLOOKUP($Q84,武学奇术!$A:$ZZ,27,FALSE)*(1+IF(OR($AG84=$F$4,$AG84=$F$5),$B$21,0))</f>
        <v>0</v>
      </c>
      <c r="AJ84" s="26">
        <f>VLOOKUP($Q84,武学奇术!$A:$ZZ,28,FALSE)</f>
        <v>0</v>
      </c>
      <c r="AK84" s="27">
        <f>VLOOKUP($Q84,武学奇术!$A:$ZZ,29,FALSE)*(1+IF(OR($AG84=$F$4,$AG84=$F$5),$B$21,0))</f>
        <v>0</v>
      </c>
      <c r="AL84" s="26" cm="1">
        <f t="array" ref="AL84">$G$3+IFERROR(VLOOKUP($AG84,$F$4:$G$7,2,FALSE),0)+VLOOKUP($Q84,武学奇术!$A:$ZZ,2,FALSE)+SUM(_xlfn.XLOOKUP($R84:$AF84,增益!$A:$A,增益!$B:$B,0))</f>
        <v>0.2642</v>
      </c>
      <c r="AM84" s="26" cm="1">
        <f t="array" ref="AM84">VLOOKUP($Q84,武学奇术!$A:$ZZ,5,FALSE)+SUM(_xlfn.XLOOKUP($R84:$AF84,增益!$A:$A,增益!$E:$E,0))</f>
        <v>0</v>
      </c>
      <c r="AN84" cm="1">
        <f t="array" ref="AN84">$D$10*(1+$AM84)+VLOOKUP($Q84,武学奇术!$A:$ZZ,3,FALSE)+SUM(_xlfn.XLOOKUP($R84:$AF84,增益!$A:$A,增益!$C:$C,0))-$I$2</f>
        <v>3977.2</v>
      </c>
      <c r="AO84" cm="1">
        <f t="array" ref="AO84">$E$10*(1+$AM84)+VLOOKUP($Q84,武学奇术!$A:$ZZ,4,FALSE)+SUM(_xlfn.XLOOKUP($R84:$AF84,增益!$A:$A,增益!$D:$D,0))-$I$2</f>
        <v>3977.2</v>
      </c>
      <c r="AP84" s="32" cm="1">
        <f t="array" ref="AP84">IF($F$10-$I$3+VLOOKUP($Q84,武学奇术!$A:$ZZ,6,FALSE)+SUM(_xlfn.XLOOKUP(R84:AF84,增益!$A:$A,增益!$F:$F,0))&gt;0,($F$10-$I$3+VLOOKUP($Q84,武学奇术!$A:$ZZ,6,FALSE)+SUM(_xlfn.XLOOKUP(R84:AF84,增益!$A:$A,增益!$F:$F,0)))/200,($F$10-$I$3+VLOOKUP($Q84,武学奇术!$A:$ZZ,6,FALSE)+SUM(_xlfn.XLOOKUP(R84:AF84,增益!$A:$A,增益!$F:$F,0)))/100)</f>
        <v>0.294</v>
      </c>
      <c r="AQ84" s="32" cm="1">
        <f t="array" ref="AQ84">$G$10+VLOOKUP($Q84,武学奇术!$A:$ZZ,7,FALSE)+SUM(_xlfn.XLOOKUP(R84:AF84,增益!$A:$A,增益!$G:$G,0))</f>
        <v>0</v>
      </c>
      <c r="AR84" s="26" cm="1">
        <f t="array" ref="AR84">VLOOKUP($Q84,武学奇术!$A:$ZZ,8,FALSE)+SUM(_xlfn.XLOOKUP(R84:AF84,增益!$A:$A,增益!$H:$H,0))</f>
        <v>0</v>
      </c>
      <c r="AS84">
        <f t="shared" si="34"/>
        <v>0</v>
      </c>
      <c r="AT84">
        <f t="shared" si="35"/>
        <v>0</v>
      </c>
      <c r="AU84" s="32" cm="1">
        <f t="array" ref="AU84">IF($F$11-$I$4+VLOOKUP($Q84,武学奇术!$A:$ZZ,9,FALSE)+SUM(_xlfn.XLOOKUP(R84:AF84,增益!$A:$A,增益!$I:$I,0))&gt;0,($F$11-$I$4+VLOOKUP($Q84,武学奇术!$A:$ZZ,9,FALSE)+SUM(_xlfn.XLOOKUP(R84:AF84,增益!$A:$A,增益!$I:$I,0)))/200,($F$11-$I$4+VLOOKUP($Q84,武学奇术!$A:$ZZ,9,FALSE)+SUM(_xlfn.XLOOKUP(R84:AF84,增益!$A:$A,增益!$I:$I,0)))/100)</f>
        <v>-0.3</v>
      </c>
      <c r="AV84" s="32" cm="1">
        <f t="array" ref="AV84">$G$11+VLOOKUP($Q84,武学奇术!$A:$ZZ,10,FALSE)+SUM(_xlfn.XLOOKUP(R84:AF84,增益!$A:$A,增益!$J:$J,0))</f>
        <v>0</v>
      </c>
      <c r="AW84">
        <f t="shared" si="36"/>
        <v>0</v>
      </c>
      <c r="AX84">
        <f t="shared" si="37"/>
        <v>0</v>
      </c>
      <c r="AY84" s="32" cm="1">
        <f t="array" ref="AY84">IF($F$12-$I$4+VLOOKUP($Q84,武学奇术!$A:$ZZ,11,FALSE)+SUM(_xlfn.XLOOKUP(R84:AF84,增益!$A:$A,增益!$K:$K,0))&gt;0,($F$12-$I$4+VLOOKUP($Q84,武学奇术!$A:$ZZ,11,FALSE)+SUM(_xlfn.XLOOKUP(R84:AF84,增益!$A:$A,增益!$K:$K,0)))/200,($F$12-$I$4+VLOOKUP($Q84,武学奇术!$A:$ZZ,11,FALSE)+SUM(_xlfn.XLOOKUP(R84:AF84,增益!$A:$A,增益!$K:$K,0)))/100)</f>
        <v>-0.3</v>
      </c>
      <c r="AZ84" s="32" cm="1">
        <f t="array" ref="AZ84">$G$12+VLOOKUP($Q84,武学奇术!$A:$ZZ,12,FALSE)+SUM(_xlfn.XLOOKUP(R84:AF84,增益!$A:$A,增益!$L:$L,0))</f>
        <v>0</v>
      </c>
      <c r="BA84">
        <f t="shared" si="38"/>
        <v>697.4</v>
      </c>
      <c r="BB84">
        <f t="shared" si="39"/>
        <v>1805</v>
      </c>
      <c r="BC84" s="32" cm="1">
        <f t="array" ref="BC84">IF($F$13-$I$4+VLOOKUP($Q84,武学奇术!$A:$ZZ,13,FALSE)+SUM(_xlfn.XLOOKUP(R84:AF84,增益!$A:$A,增益!$M:$M,0))&gt;0,($F$13-$I$4+VLOOKUP($Q84,武学奇术!$A:$ZZ,13,FALSE)+SUM(_xlfn.XLOOKUP(R84:AF84,增益!$A:$A,增益!$K:$K,0)))/200,($F$13-$I$4+VLOOKUP($Q84,武学奇术!$A:$ZZ,13,FALSE)+SUM(_xlfn.XLOOKUP(R84:AF84,增益!$A:$A,增益!$M:$M,0)))/100)</f>
        <v>0</v>
      </c>
      <c r="BD84" s="32" cm="1">
        <f t="array" ref="BD84">$G$13+VLOOKUP($Q84,武学奇术!$A:$ZZ,14,FALSE)+SUM(_xlfn.XLOOKUP(R84:AF84,增益!$A:$A,增益!$N:$N,0))</f>
        <v>0.15</v>
      </c>
      <c r="BE84">
        <f t="shared" si="40"/>
        <v>0</v>
      </c>
      <c r="BF84">
        <f t="shared" si="41"/>
        <v>0</v>
      </c>
      <c r="BG84" s="32" cm="1">
        <f t="array" ref="BG84">IF($F$14-$I$4+VLOOKUP($Q84,武学奇术!$A:$ZZ,15,FALSE)+SUM(_xlfn.XLOOKUP(R84:AF84,增益!$A:$A,增益!$O:$O,0))&gt;0,($F$14-$I$4+VLOOKUP($Q84,武学奇术!$A:$ZZ,15,FALSE)+SUM(_xlfn.XLOOKUP(R84:AF84,增益!$A:$A,增益!$O:$O,0)))/200,($F$14-$I$4+VLOOKUP($Q84,武学奇术!$A:$ZZ,15,FALSE)+SUM(_xlfn.XLOOKUP(R84:AF84,增益!$A:$A,增益!$O:$O,0)))/100)</f>
        <v>-0.3</v>
      </c>
      <c r="BH84" s="32" cm="1">
        <f t="array" ref="BH84">$G$14+VLOOKUP($Q84,武学奇术!$A:$ZZ,16,FALSE)+SUM(_xlfn.XLOOKUP(R84:AF84,增益!$A:$A,增益!$P:$P,0))</f>
        <v>0</v>
      </c>
      <c r="BI84" s="26">
        <f>MIN(IF(VLOOKUP($Q84,武学奇术!$A:$ZZ,23,FALSE)=1,100%,$B$8),100%)</f>
        <v>1</v>
      </c>
      <c r="BJ84" s="26" cm="1">
        <f t="array" ref="BJ84">IF(VLOOKUP($Q84,武学奇术!$A:$ZZ,23,FALSE)=1,100%,MIN(80%,$B$9+VLOOKUP($Q84,武学奇术!$A:$ZZ,17,FALSE)+SUM(_xlfn.XLOOKUP(R84:AF84,增益!$A:$A,增益!$Q:$Q,0)))+$B$11+SUM(_xlfn.XLOOKUP(R84:AF84,增益!$A:$A,增益!$U:$U,0)))*IF(VLOOKUP($Q84,武学奇术!$A:$ZZ,24,FALSE)=1,0,1)</f>
        <v>0.8625</v>
      </c>
      <c r="BK84" s="26" cm="1">
        <f t="array" ref="BK84">1+$B$13+VLOOKUP($Q84,武学奇术!$A:$ZZ,18,FALSE)+SUM(_xlfn.XLOOKUP(R84:AF84,增益!$A:$A,增益!$R:$R,0))</f>
        <v>1.5</v>
      </c>
      <c r="BL84" s="26" cm="1">
        <f t="array" ref="BL84">IF(VLOOKUP($Q84,武学奇术!$A:$ZZ,24,FALSE)=1,100%,MIN(40%,$B$10+VLOOKUP($Q84,武学奇术!$A:$ZZ,19,FALSE)+SUM(_xlfn.XLOOKUP(R84:AF84,增益!$A:$A,增益!$S:$S,0)))+$B$12+SUM(_xlfn.XLOOKUP(R84:AF84,增益!$A:$A,增益!$V:$V,0)))*IF(VLOOKUP($Q84,武学奇术!$A:$ZZ,23,FALSE)=1,0,1)</f>
        <v>0.0913</v>
      </c>
      <c r="BM84" s="26" cm="1">
        <f t="array" ref="BM84">1+$B$14+VLOOKUP($Q84,武学奇术!$A:$ZZ,20,FALSE)+SUM(_xlfn.XLOOKUP(R84:AF84,增益!$A:$A,增益!$T:$T,0))</f>
        <v>1.35</v>
      </c>
      <c r="BN84" s="26">
        <f t="shared" si="22"/>
        <v>0.8625</v>
      </c>
      <c r="BO84" s="26">
        <f t="shared" si="32"/>
        <v>0.0462</v>
      </c>
      <c r="BP84" s="26">
        <f>IF(VLOOKUP($Q84,武学奇术!$A:$ZZ,22,FALSE)=1,0,(1-$BI84))*(1-$BL84)</f>
        <v>0</v>
      </c>
      <c r="BQ84" s="26" cm="1">
        <f t="array" ref="BQ84">SUM(_xlfn.XLOOKUP(R84:AF84,增益!$A:$A,增益!$W:$W,0))+$I$5</f>
        <v>0.06</v>
      </c>
    </row>
    <row r="85" spans="1:69">
      <c r="A85" s="4"/>
      <c r="B85" s="4"/>
      <c r="K85" s="38">
        <f t="shared" si="33"/>
        <v>0</v>
      </c>
      <c r="L85" s="38">
        <f>((($AN85+$AO85)/2*$AH85+$AI85)*(1+$AP85)*(1+$AQ85)+(($AS85+$AT85)/2*IF($G$1="鸣金",$AJ85,$AH85)+IF($G$1="鸣金",$AK85*1.5,0))*(1+$AU85)*(1+$AV85)+(($AW85+$AX85)/2*IF($G$1="裂石",$AJ85,$AH85)+IF($G$1="裂石",$AK85*1.5,0))*(1+$AY85)*(1+$AZ85)+(($BA85+$BB85)/2*IF($G$1="牵丝",$AJ85,$AH85)+IF($G$1="牵丝",$AK85*1.5,0))*(1+$BC85)*(1+$BD85)+(($BE85+$BF85)/2*IF($G$1="破竹",$AJ85,$AH85)+IF($G$1="破竹",$AK85*1.5,0))*(1+$BG85)*(1+$BH85))*(1+$AL85)*$BK85*$P85*(1+IF(VLOOKUP($Q85,武学奇术!$A:$ZZ,30,FALSE)="蓄力技",#REF!,0))*(1+$BQ85)</f>
        <v>0</v>
      </c>
      <c r="M85" s="38">
        <f>(($AO85*$AH85+$AI85)*(1+$AP85)*(1+$AQ85)+($AT85*IF($G$1="鸣金",$AJ85,$AH85)+IF($G$1="鸣金",$AK85*1.5,0))*(1+$AU85)*(1+$AV85)+($AX85*IF($G$1="裂石",$AJ85,$AH85)+IF($G$1="裂石",$AK85*1.5,0))*(1+$AY85)*(1+$AZ85)+($BB85*IF($G$1="牵丝",$AJ85,$AH85)+IF($G$1="牵丝",$AK85*1.5,0))*(1+$BC85)*(1+$BD85)+($BF85*IF($G$1="破竹",$AJ85,$AH85)+IF($G$1="破竹",$AK85*1.5,0))*(1+$BG85)*(1+$BH85))*(1+$AL85)*$BM85*$P85*(1+IF(VLOOKUP($Q85,武学奇术!$A:$ZZ,30,FALSE)="蓄力技",#REF!,0))*(1+$BQ85)</f>
        <v>0</v>
      </c>
      <c r="N85" s="38">
        <f>((($AN85+$AO85)/2*$AH85+$AI85)*(1+$AP85)*(1+$AQ85)+(($AS85+$AT85)/2*IF($G$1="鸣金",$AJ85,$AH85)+IF($G$1="鸣金",$AK85*1.5,0))*(1+$AU85)*(1+$AV85)+(($AW85+$AX85)/2*IF($G$1="裂石",$AJ85,$AH85)+IF($G$1="裂石",$AK85*1.5,0))*(1+$AY85)*(1+$AZ85)+(($BA85+$BB85)/2*IF($G$1="牵丝",$AJ85,$AH85)+IF($G$1="牵丝",$AK85*1.5,0))*(1+$BC85)*(1+$BD85)+(($BE85+$BF85)/2*IF($G$1="破竹",$AJ85,$AH85)+IF($G$1="破竹",$AK85*1.5,0))*(1+$BG85)*(1+$BH85))*(1+$AL85)*$P85*(1+IF(VLOOKUP($Q85,武学奇术!$A:$ZZ,30,FALSE)="蓄力技",#REF!,0))*(1+$BQ85)</f>
        <v>0</v>
      </c>
      <c r="O85" s="38">
        <f>((($AN85*$AH85+$AI85)*(1+$AP85)*(1+$AQ85)+($AS85*IF($G$1="鸣金",$AJ85,$AH85)+IF($G$1="鸣金",$AK85*1.5,0))*(1+$AU85)*(1+$AV85)+($AW85*IF($G$1="裂石",$AJ85,$AH85)+IF($G$1="裂石",$AK85*1.5,0))*(1+$AY85)*(1+$AZ85)+($BA85*IF($G$1="牵丝",$AJ85,$AH85)+IF($G$1="牵丝",$AK85*1.5,0))*(1+$BC85)*(1+$BD85)+($BE85*IF($G$1="破竹",$AJ85,$AH85)+IF($G$1="破竹",$AK85*1.5,0))*(1+$BG85)*(1+$BH85))*(1+$AL85))*$P85*(1+IF(VLOOKUP($Q85,武学奇术!$A:$ZZ,30,FALSE)="蓄力技",#REF!,0))*(1+$BQ85)</f>
        <v>0</v>
      </c>
      <c r="P85" s="39">
        <v>1</v>
      </c>
      <c r="Q85" s="40" t="s">
        <v>76</v>
      </c>
      <c r="R85" s="40" t="s">
        <v>76</v>
      </c>
      <c r="S85" s="40" t="s">
        <v>76</v>
      </c>
      <c r="T85" s="40" t="s">
        <v>76</v>
      </c>
      <c r="U85" s="40" t="s">
        <v>76</v>
      </c>
      <c r="V85" s="40" t="s">
        <v>76</v>
      </c>
      <c r="W85" s="40" t="s">
        <v>76</v>
      </c>
      <c r="X85" s="40" t="s">
        <v>76</v>
      </c>
      <c r="Y85" s="40" t="s">
        <v>76</v>
      </c>
      <c r="Z85" s="40" t="s">
        <v>76</v>
      </c>
      <c r="AA85" s="40" t="s">
        <v>76</v>
      </c>
      <c r="AB85" s="40" t="s">
        <v>76</v>
      </c>
      <c r="AC85" s="40" t="s">
        <v>76</v>
      </c>
      <c r="AD85" s="40" t="s">
        <v>76</v>
      </c>
      <c r="AE85" s="40" t="s">
        <v>76</v>
      </c>
      <c r="AF85" s="40" t="s">
        <v>76</v>
      </c>
      <c r="AG85" t="str">
        <f>VLOOKUP($Q85,武学奇术!$A:$ZZ,25,FALSE)</f>
        <v>心法</v>
      </c>
      <c r="AH85" s="26">
        <f>VLOOKUP($Q85,武学奇术!$A:$ZZ,26,FALSE)</f>
        <v>0</v>
      </c>
      <c r="AI85" s="27">
        <f>VLOOKUP($Q85,武学奇术!$A:$ZZ,27,FALSE)*(1+IF(OR($AG85=$F$4,$AG85=$F$5),$B$21,0))</f>
        <v>0</v>
      </c>
      <c r="AJ85" s="26">
        <f>VLOOKUP($Q85,武学奇术!$A:$ZZ,28,FALSE)</f>
        <v>0</v>
      </c>
      <c r="AK85" s="27">
        <f>VLOOKUP($Q85,武学奇术!$A:$ZZ,29,FALSE)*(1+IF(OR($AG85=$F$4,$AG85=$F$5),$B$21,0))</f>
        <v>0</v>
      </c>
      <c r="AL85" s="26" cm="1">
        <f t="array" ref="AL85">$G$3+IFERROR(VLOOKUP($AG85,$F$4:$G$7,2,FALSE),0)+VLOOKUP($Q85,武学奇术!$A:$ZZ,2,FALSE)+SUM(_xlfn.XLOOKUP($R85:$AF85,增益!$A:$A,增益!$B:$B,0))</f>
        <v>0.2642</v>
      </c>
      <c r="AM85" s="26" cm="1">
        <f t="array" ref="AM85">VLOOKUP($Q85,武学奇术!$A:$ZZ,5,FALSE)+SUM(_xlfn.XLOOKUP($R85:$AF85,增益!$A:$A,增益!$E:$E,0))</f>
        <v>0</v>
      </c>
      <c r="AN85" cm="1">
        <f t="array" ref="AN85">$D$10*(1+$AM85)+VLOOKUP($Q85,武学奇术!$A:$ZZ,3,FALSE)+SUM(_xlfn.XLOOKUP($R85:$AF85,增益!$A:$A,增益!$C:$C,0))-$I$2</f>
        <v>3977.2</v>
      </c>
      <c r="AO85" cm="1">
        <f t="array" ref="AO85">$E$10*(1+$AM85)+VLOOKUP($Q85,武学奇术!$A:$ZZ,4,FALSE)+SUM(_xlfn.XLOOKUP($R85:$AF85,增益!$A:$A,增益!$D:$D,0))-$I$2</f>
        <v>3977.2</v>
      </c>
      <c r="AP85" s="32" cm="1">
        <f t="array" ref="AP85">IF($F$10-$I$3+VLOOKUP($Q85,武学奇术!$A:$ZZ,6,FALSE)+SUM(_xlfn.XLOOKUP(R85:AF85,增益!$A:$A,增益!$F:$F,0))&gt;0,($F$10-$I$3+VLOOKUP($Q85,武学奇术!$A:$ZZ,6,FALSE)+SUM(_xlfn.XLOOKUP(R85:AF85,增益!$A:$A,增益!$F:$F,0)))/200,($F$10-$I$3+VLOOKUP($Q85,武学奇术!$A:$ZZ,6,FALSE)+SUM(_xlfn.XLOOKUP(R85:AF85,增益!$A:$A,增益!$F:$F,0)))/100)</f>
        <v>0.294</v>
      </c>
      <c r="AQ85" s="32" cm="1">
        <f t="array" ref="AQ85">$G$10+VLOOKUP($Q85,武学奇术!$A:$ZZ,7,FALSE)+SUM(_xlfn.XLOOKUP(R85:AF85,增益!$A:$A,增益!$G:$G,0))</f>
        <v>0</v>
      </c>
      <c r="AR85" s="26" cm="1">
        <f t="array" ref="AR85">VLOOKUP($Q85,武学奇术!$A:$ZZ,8,FALSE)+SUM(_xlfn.XLOOKUP(R85:AF85,增益!$A:$A,增益!$H:$H,0))</f>
        <v>0</v>
      </c>
      <c r="AS85">
        <f t="shared" si="34"/>
        <v>0</v>
      </c>
      <c r="AT85">
        <f t="shared" si="35"/>
        <v>0</v>
      </c>
      <c r="AU85" s="32" cm="1">
        <f t="array" ref="AU85">IF($F$11-$I$4+VLOOKUP($Q85,武学奇术!$A:$ZZ,9,FALSE)+SUM(_xlfn.XLOOKUP(R85:AF85,增益!$A:$A,增益!$I:$I,0))&gt;0,($F$11-$I$4+VLOOKUP($Q85,武学奇术!$A:$ZZ,9,FALSE)+SUM(_xlfn.XLOOKUP(R85:AF85,增益!$A:$A,增益!$I:$I,0)))/200,($F$11-$I$4+VLOOKUP($Q85,武学奇术!$A:$ZZ,9,FALSE)+SUM(_xlfn.XLOOKUP(R85:AF85,增益!$A:$A,增益!$I:$I,0)))/100)</f>
        <v>-0.3</v>
      </c>
      <c r="AV85" s="32" cm="1">
        <f t="array" ref="AV85">$G$11+VLOOKUP($Q85,武学奇术!$A:$ZZ,10,FALSE)+SUM(_xlfn.XLOOKUP(R85:AF85,增益!$A:$A,增益!$J:$J,0))</f>
        <v>0</v>
      </c>
      <c r="AW85">
        <f t="shared" si="36"/>
        <v>0</v>
      </c>
      <c r="AX85">
        <f t="shared" si="37"/>
        <v>0</v>
      </c>
      <c r="AY85" s="32" cm="1">
        <f t="array" ref="AY85">IF($F$12-$I$4+VLOOKUP($Q85,武学奇术!$A:$ZZ,11,FALSE)+SUM(_xlfn.XLOOKUP(R85:AF85,增益!$A:$A,增益!$K:$K,0))&gt;0,($F$12-$I$4+VLOOKUP($Q85,武学奇术!$A:$ZZ,11,FALSE)+SUM(_xlfn.XLOOKUP(R85:AF85,增益!$A:$A,增益!$K:$K,0)))/200,($F$12-$I$4+VLOOKUP($Q85,武学奇术!$A:$ZZ,11,FALSE)+SUM(_xlfn.XLOOKUP(R85:AF85,增益!$A:$A,增益!$K:$K,0)))/100)</f>
        <v>-0.3</v>
      </c>
      <c r="AZ85" s="32" cm="1">
        <f t="array" ref="AZ85">$G$12+VLOOKUP($Q85,武学奇术!$A:$ZZ,12,FALSE)+SUM(_xlfn.XLOOKUP(R85:AF85,增益!$A:$A,增益!$L:$L,0))</f>
        <v>0</v>
      </c>
      <c r="BA85">
        <f t="shared" si="38"/>
        <v>697.4</v>
      </c>
      <c r="BB85">
        <f t="shared" si="39"/>
        <v>1805</v>
      </c>
      <c r="BC85" s="32" cm="1">
        <f t="array" ref="BC85">IF($F$13-$I$4+VLOOKUP($Q85,武学奇术!$A:$ZZ,13,FALSE)+SUM(_xlfn.XLOOKUP(R85:AF85,增益!$A:$A,增益!$M:$M,0))&gt;0,($F$13-$I$4+VLOOKUP($Q85,武学奇术!$A:$ZZ,13,FALSE)+SUM(_xlfn.XLOOKUP(R85:AF85,增益!$A:$A,增益!$K:$K,0)))/200,($F$13-$I$4+VLOOKUP($Q85,武学奇术!$A:$ZZ,13,FALSE)+SUM(_xlfn.XLOOKUP(R85:AF85,增益!$A:$A,增益!$M:$M,0)))/100)</f>
        <v>0</v>
      </c>
      <c r="BD85" s="32" cm="1">
        <f t="array" ref="BD85">$G$13+VLOOKUP($Q85,武学奇术!$A:$ZZ,14,FALSE)+SUM(_xlfn.XLOOKUP(R85:AF85,增益!$A:$A,增益!$N:$N,0))</f>
        <v>0.15</v>
      </c>
      <c r="BE85">
        <f t="shared" si="40"/>
        <v>0</v>
      </c>
      <c r="BF85">
        <f t="shared" si="41"/>
        <v>0</v>
      </c>
      <c r="BG85" s="32" cm="1">
        <f t="array" ref="BG85">IF($F$14-$I$4+VLOOKUP($Q85,武学奇术!$A:$ZZ,15,FALSE)+SUM(_xlfn.XLOOKUP(R85:AF85,增益!$A:$A,增益!$O:$O,0))&gt;0,($F$14-$I$4+VLOOKUP($Q85,武学奇术!$A:$ZZ,15,FALSE)+SUM(_xlfn.XLOOKUP(R85:AF85,增益!$A:$A,增益!$O:$O,0)))/200,($F$14-$I$4+VLOOKUP($Q85,武学奇术!$A:$ZZ,15,FALSE)+SUM(_xlfn.XLOOKUP(R85:AF85,增益!$A:$A,增益!$O:$O,0)))/100)</f>
        <v>-0.3</v>
      </c>
      <c r="BH85" s="32" cm="1">
        <f t="array" ref="BH85">$G$14+VLOOKUP($Q85,武学奇术!$A:$ZZ,16,FALSE)+SUM(_xlfn.XLOOKUP(R85:AF85,增益!$A:$A,增益!$P:$P,0))</f>
        <v>0</v>
      </c>
      <c r="BI85" s="26">
        <f>MIN(IF(VLOOKUP($Q85,武学奇术!$A:$ZZ,23,FALSE)=1,100%,$B$8),100%)</f>
        <v>1</v>
      </c>
      <c r="BJ85" s="26" cm="1">
        <f t="array" ref="BJ85">IF(VLOOKUP($Q85,武学奇术!$A:$ZZ,23,FALSE)=1,100%,MIN(80%,$B$9+VLOOKUP($Q85,武学奇术!$A:$ZZ,17,FALSE)+SUM(_xlfn.XLOOKUP(R85:AF85,增益!$A:$A,增益!$Q:$Q,0)))+$B$11+SUM(_xlfn.XLOOKUP(R85:AF85,增益!$A:$A,增益!$U:$U,0)))*IF(VLOOKUP($Q85,武学奇术!$A:$ZZ,24,FALSE)=1,0,1)</f>
        <v>0.8625</v>
      </c>
      <c r="BK85" s="26" cm="1">
        <f t="array" ref="BK85">1+$B$13+VLOOKUP($Q85,武学奇术!$A:$ZZ,18,FALSE)+SUM(_xlfn.XLOOKUP(R85:AF85,增益!$A:$A,增益!$R:$R,0))</f>
        <v>1.5</v>
      </c>
      <c r="BL85" s="26" cm="1">
        <f t="array" ref="BL85">IF(VLOOKUP($Q85,武学奇术!$A:$ZZ,24,FALSE)=1,100%,MIN(40%,$B$10+VLOOKUP($Q85,武学奇术!$A:$ZZ,19,FALSE)+SUM(_xlfn.XLOOKUP(R85:AF85,增益!$A:$A,增益!$S:$S,0)))+$B$12+SUM(_xlfn.XLOOKUP(R85:AF85,增益!$A:$A,增益!$V:$V,0)))*IF(VLOOKUP($Q85,武学奇术!$A:$ZZ,23,FALSE)=1,0,1)</f>
        <v>0.0913</v>
      </c>
      <c r="BM85" s="26" cm="1">
        <f t="array" ref="BM85">1+$B$14+VLOOKUP($Q85,武学奇术!$A:$ZZ,20,FALSE)+SUM(_xlfn.XLOOKUP(R85:AF85,增益!$A:$A,增益!$T:$T,0))</f>
        <v>1.35</v>
      </c>
      <c r="BN85" s="26">
        <f t="shared" si="22"/>
        <v>0.8625</v>
      </c>
      <c r="BO85" s="26">
        <f t="shared" si="32"/>
        <v>0.0462</v>
      </c>
      <c r="BP85" s="26">
        <f>IF(VLOOKUP($Q85,武学奇术!$A:$ZZ,22,FALSE)=1,0,(1-$BI85))*(1-$BL85)</f>
        <v>0</v>
      </c>
      <c r="BQ85" s="26" cm="1">
        <f t="array" ref="BQ85">SUM(_xlfn.XLOOKUP(R85:AF85,增益!$A:$A,增益!$W:$W,0))+$I$5</f>
        <v>0.06</v>
      </c>
    </row>
    <row r="86" spans="1:69">
      <c r="A86" s="4"/>
      <c r="B86" s="4"/>
      <c r="K86" s="38">
        <f t="shared" si="33"/>
        <v>0</v>
      </c>
      <c r="L86" s="38">
        <f>((($AN86+$AO86)/2*$AH86+$AI86)*(1+$AP86)*(1+$AQ86)+(($AS86+$AT86)/2*IF($G$1="鸣金",$AJ86,$AH86)+IF($G$1="鸣金",$AK86*1.5,0))*(1+$AU86)*(1+$AV86)+(($AW86+$AX86)/2*IF($G$1="裂石",$AJ86,$AH86)+IF($G$1="裂石",$AK86*1.5,0))*(1+$AY86)*(1+$AZ86)+(($BA86+$BB86)/2*IF($G$1="牵丝",$AJ86,$AH86)+IF($G$1="牵丝",$AK86*1.5,0))*(1+$BC86)*(1+$BD86)+(($BE86+$BF86)/2*IF($G$1="破竹",$AJ86,$AH86)+IF($G$1="破竹",$AK86*1.5,0))*(1+$BG86)*(1+$BH86))*(1+$AL86)*$BK86*$P86*(1+IF(VLOOKUP($Q86,武学奇术!$A:$ZZ,30,FALSE)="蓄力技",#REF!,0))*(1+$BQ86)</f>
        <v>0</v>
      </c>
      <c r="M86" s="38">
        <f>(($AO86*$AH86+$AI86)*(1+$AP86)*(1+$AQ86)+($AT86*IF($G$1="鸣金",$AJ86,$AH86)+IF($G$1="鸣金",$AK86*1.5,0))*(1+$AU86)*(1+$AV86)+($AX86*IF($G$1="裂石",$AJ86,$AH86)+IF($G$1="裂石",$AK86*1.5,0))*(1+$AY86)*(1+$AZ86)+($BB86*IF($G$1="牵丝",$AJ86,$AH86)+IF($G$1="牵丝",$AK86*1.5,0))*(1+$BC86)*(1+$BD86)+($BF86*IF($G$1="破竹",$AJ86,$AH86)+IF($G$1="破竹",$AK86*1.5,0))*(1+$BG86)*(1+$BH86))*(1+$AL86)*$BM86*$P86*(1+IF(VLOOKUP($Q86,武学奇术!$A:$ZZ,30,FALSE)="蓄力技",#REF!,0))*(1+$BQ86)</f>
        <v>0</v>
      </c>
      <c r="N86" s="38">
        <f>((($AN86+$AO86)/2*$AH86+$AI86)*(1+$AP86)*(1+$AQ86)+(($AS86+$AT86)/2*IF($G$1="鸣金",$AJ86,$AH86)+IF($G$1="鸣金",$AK86*1.5,0))*(1+$AU86)*(1+$AV86)+(($AW86+$AX86)/2*IF($G$1="裂石",$AJ86,$AH86)+IF($G$1="裂石",$AK86*1.5,0))*(1+$AY86)*(1+$AZ86)+(($BA86+$BB86)/2*IF($G$1="牵丝",$AJ86,$AH86)+IF($G$1="牵丝",$AK86*1.5,0))*(1+$BC86)*(1+$BD86)+(($BE86+$BF86)/2*IF($G$1="破竹",$AJ86,$AH86)+IF($G$1="破竹",$AK86*1.5,0))*(1+$BG86)*(1+$BH86))*(1+$AL86)*$P86*(1+IF(VLOOKUP($Q86,武学奇术!$A:$ZZ,30,FALSE)="蓄力技",#REF!,0))*(1+$BQ86)</f>
        <v>0</v>
      </c>
      <c r="O86" s="38">
        <f>((($AN86*$AH86+$AI86)*(1+$AP86)*(1+$AQ86)+($AS86*IF($G$1="鸣金",$AJ86,$AH86)+IF($G$1="鸣金",$AK86*1.5,0))*(1+$AU86)*(1+$AV86)+($AW86*IF($G$1="裂石",$AJ86,$AH86)+IF($G$1="裂石",$AK86*1.5,0))*(1+$AY86)*(1+$AZ86)+($BA86*IF($G$1="牵丝",$AJ86,$AH86)+IF($G$1="牵丝",$AK86*1.5,0))*(1+$BC86)*(1+$BD86)+($BE86*IF($G$1="破竹",$AJ86,$AH86)+IF($G$1="破竹",$AK86*1.5,0))*(1+$BG86)*(1+$BH86))*(1+$AL86))*$P86*(1+IF(VLOOKUP($Q86,武学奇术!$A:$ZZ,30,FALSE)="蓄力技",#REF!,0))*(1+$BQ86)</f>
        <v>0</v>
      </c>
      <c r="P86" s="39">
        <v>1</v>
      </c>
      <c r="Q86" s="40" t="s">
        <v>76</v>
      </c>
      <c r="R86" s="40" t="s">
        <v>76</v>
      </c>
      <c r="S86" s="40" t="s">
        <v>76</v>
      </c>
      <c r="T86" s="40" t="s">
        <v>76</v>
      </c>
      <c r="U86" s="40" t="s">
        <v>76</v>
      </c>
      <c r="V86" s="40" t="s">
        <v>76</v>
      </c>
      <c r="W86" s="40" t="s">
        <v>76</v>
      </c>
      <c r="X86" s="40" t="s">
        <v>76</v>
      </c>
      <c r="Y86" s="40" t="s">
        <v>76</v>
      </c>
      <c r="Z86" s="40" t="s">
        <v>76</v>
      </c>
      <c r="AA86" s="40" t="s">
        <v>76</v>
      </c>
      <c r="AB86" s="40" t="s">
        <v>76</v>
      </c>
      <c r="AC86" s="40" t="s">
        <v>76</v>
      </c>
      <c r="AD86" s="40" t="s">
        <v>76</v>
      </c>
      <c r="AE86" s="40" t="s">
        <v>76</v>
      </c>
      <c r="AF86" s="40" t="s">
        <v>76</v>
      </c>
      <c r="AG86" t="str">
        <f>VLOOKUP($Q86,武学奇术!$A:$ZZ,25,FALSE)</f>
        <v>心法</v>
      </c>
      <c r="AH86" s="26">
        <f>VLOOKUP($Q86,武学奇术!$A:$ZZ,26,FALSE)</f>
        <v>0</v>
      </c>
      <c r="AI86" s="27">
        <f>VLOOKUP($Q86,武学奇术!$A:$ZZ,27,FALSE)*(1+IF(OR($AG86=$F$4,$AG86=$F$5),$B$21,0))</f>
        <v>0</v>
      </c>
      <c r="AJ86" s="26">
        <f>VLOOKUP($Q86,武学奇术!$A:$ZZ,28,FALSE)</f>
        <v>0</v>
      </c>
      <c r="AK86" s="27">
        <f>VLOOKUP($Q86,武学奇术!$A:$ZZ,29,FALSE)*(1+IF(OR($AG86=$F$4,$AG86=$F$5),$B$21,0))</f>
        <v>0</v>
      </c>
      <c r="AL86" s="26" cm="1">
        <f t="array" ref="AL86">$G$3+IFERROR(VLOOKUP($AG86,$F$4:$G$7,2,FALSE),0)+VLOOKUP($Q86,武学奇术!$A:$ZZ,2,FALSE)+SUM(_xlfn.XLOOKUP($R86:$AF86,增益!$A:$A,增益!$B:$B,0))</f>
        <v>0.2642</v>
      </c>
      <c r="AM86" s="26" cm="1">
        <f t="array" ref="AM86">VLOOKUP($Q86,武学奇术!$A:$ZZ,5,FALSE)+SUM(_xlfn.XLOOKUP($R86:$AF86,增益!$A:$A,增益!$E:$E,0))</f>
        <v>0</v>
      </c>
      <c r="AN86" cm="1">
        <f t="array" ref="AN86">$D$10*(1+$AM86)+VLOOKUP($Q86,武学奇术!$A:$ZZ,3,FALSE)+SUM(_xlfn.XLOOKUP($R86:$AF86,增益!$A:$A,增益!$C:$C,0))-$I$2</f>
        <v>3977.2</v>
      </c>
      <c r="AO86" cm="1">
        <f t="array" ref="AO86">$E$10*(1+$AM86)+VLOOKUP($Q86,武学奇术!$A:$ZZ,4,FALSE)+SUM(_xlfn.XLOOKUP($R86:$AF86,增益!$A:$A,增益!$D:$D,0))-$I$2</f>
        <v>3977.2</v>
      </c>
      <c r="AP86" s="32" cm="1">
        <f t="array" ref="AP86">IF($F$10-$I$3+VLOOKUP($Q86,武学奇术!$A:$ZZ,6,FALSE)+SUM(_xlfn.XLOOKUP(R86:AF86,增益!$A:$A,增益!$F:$F,0))&gt;0,($F$10-$I$3+VLOOKUP($Q86,武学奇术!$A:$ZZ,6,FALSE)+SUM(_xlfn.XLOOKUP(R86:AF86,增益!$A:$A,增益!$F:$F,0)))/200,($F$10-$I$3+VLOOKUP($Q86,武学奇术!$A:$ZZ,6,FALSE)+SUM(_xlfn.XLOOKUP(R86:AF86,增益!$A:$A,增益!$F:$F,0)))/100)</f>
        <v>0.294</v>
      </c>
      <c r="AQ86" s="32" cm="1">
        <f t="array" ref="AQ86">$G$10+VLOOKUP($Q86,武学奇术!$A:$ZZ,7,FALSE)+SUM(_xlfn.XLOOKUP(R86:AF86,增益!$A:$A,增益!$G:$G,0))</f>
        <v>0</v>
      </c>
      <c r="AR86" s="26" cm="1">
        <f t="array" ref="AR86">VLOOKUP($Q86,武学奇术!$A:$ZZ,8,FALSE)+SUM(_xlfn.XLOOKUP(R86:AF86,增益!$A:$A,增益!$H:$H,0))</f>
        <v>0</v>
      </c>
      <c r="AS86">
        <f t="shared" si="34"/>
        <v>0</v>
      </c>
      <c r="AT86">
        <f t="shared" si="35"/>
        <v>0</v>
      </c>
      <c r="AU86" s="32" cm="1">
        <f t="array" ref="AU86">IF($F$11-$I$4+VLOOKUP($Q86,武学奇术!$A:$ZZ,9,FALSE)+SUM(_xlfn.XLOOKUP(R86:AF86,增益!$A:$A,增益!$I:$I,0))&gt;0,($F$11-$I$4+VLOOKUP($Q86,武学奇术!$A:$ZZ,9,FALSE)+SUM(_xlfn.XLOOKUP(R86:AF86,增益!$A:$A,增益!$I:$I,0)))/200,($F$11-$I$4+VLOOKUP($Q86,武学奇术!$A:$ZZ,9,FALSE)+SUM(_xlfn.XLOOKUP(R86:AF86,增益!$A:$A,增益!$I:$I,0)))/100)</f>
        <v>-0.3</v>
      </c>
      <c r="AV86" s="32" cm="1">
        <f t="array" ref="AV86">$G$11+VLOOKUP($Q86,武学奇术!$A:$ZZ,10,FALSE)+SUM(_xlfn.XLOOKUP(R86:AF86,增益!$A:$A,增益!$J:$J,0))</f>
        <v>0</v>
      </c>
      <c r="AW86">
        <f t="shared" si="36"/>
        <v>0</v>
      </c>
      <c r="AX86">
        <f t="shared" si="37"/>
        <v>0</v>
      </c>
      <c r="AY86" s="32" cm="1">
        <f t="array" ref="AY86">IF($F$12-$I$4+VLOOKUP($Q86,武学奇术!$A:$ZZ,11,FALSE)+SUM(_xlfn.XLOOKUP(R86:AF86,增益!$A:$A,增益!$K:$K,0))&gt;0,($F$12-$I$4+VLOOKUP($Q86,武学奇术!$A:$ZZ,11,FALSE)+SUM(_xlfn.XLOOKUP(R86:AF86,增益!$A:$A,增益!$K:$K,0)))/200,($F$12-$I$4+VLOOKUP($Q86,武学奇术!$A:$ZZ,11,FALSE)+SUM(_xlfn.XLOOKUP(R86:AF86,增益!$A:$A,增益!$K:$K,0)))/100)</f>
        <v>-0.3</v>
      </c>
      <c r="AZ86" s="32" cm="1">
        <f t="array" ref="AZ86">$G$12+VLOOKUP($Q86,武学奇术!$A:$ZZ,12,FALSE)+SUM(_xlfn.XLOOKUP(R86:AF86,增益!$A:$A,增益!$L:$L,0))</f>
        <v>0</v>
      </c>
      <c r="BA86">
        <f t="shared" si="38"/>
        <v>697.4</v>
      </c>
      <c r="BB86">
        <f t="shared" si="39"/>
        <v>1805</v>
      </c>
      <c r="BC86" s="32" cm="1">
        <f t="array" ref="BC86">IF($F$13-$I$4+VLOOKUP($Q86,武学奇术!$A:$ZZ,13,FALSE)+SUM(_xlfn.XLOOKUP(R86:AF86,增益!$A:$A,增益!$M:$M,0))&gt;0,($F$13-$I$4+VLOOKUP($Q86,武学奇术!$A:$ZZ,13,FALSE)+SUM(_xlfn.XLOOKUP(R86:AF86,增益!$A:$A,增益!$K:$K,0)))/200,($F$13-$I$4+VLOOKUP($Q86,武学奇术!$A:$ZZ,13,FALSE)+SUM(_xlfn.XLOOKUP(R86:AF86,增益!$A:$A,增益!$M:$M,0)))/100)</f>
        <v>0</v>
      </c>
      <c r="BD86" s="32" cm="1">
        <f t="array" ref="BD86">$G$13+VLOOKUP($Q86,武学奇术!$A:$ZZ,14,FALSE)+SUM(_xlfn.XLOOKUP(R86:AF86,增益!$A:$A,增益!$N:$N,0))</f>
        <v>0.15</v>
      </c>
      <c r="BE86">
        <f t="shared" si="40"/>
        <v>0</v>
      </c>
      <c r="BF86">
        <f t="shared" si="41"/>
        <v>0</v>
      </c>
      <c r="BG86" s="32" cm="1">
        <f t="array" ref="BG86">IF($F$14-$I$4+VLOOKUP($Q86,武学奇术!$A:$ZZ,15,FALSE)+SUM(_xlfn.XLOOKUP(R86:AF86,增益!$A:$A,增益!$O:$O,0))&gt;0,($F$14-$I$4+VLOOKUP($Q86,武学奇术!$A:$ZZ,15,FALSE)+SUM(_xlfn.XLOOKUP(R86:AF86,增益!$A:$A,增益!$O:$O,0)))/200,($F$14-$I$4+VLOOKUP($Q86,武学奇术!$A:$ZZ,15,FALSE)+SUM(_xlfn.XLOOKUP(R86:AF86,增益!$A:$A,增益!$O:$O,0)))/100)</f>
        <v>-0.3</v>
      </c>
      <c r="BH86" s="32" cm="1">
        <f t="array" ref="BH86">$G$14+VLOOKUP($Q86,武学奇术!$A:$ZZ,16,FALSE)+SUM(_xlfn.XLOOKUP(R86:AF86,增益!$A:$A,增益!$P:$P,0))</f>
        <v>0</v>
      </c>
      <c r="BI86" s="26">
        <f>MIN(IF(VLOOKUP($Q86,武学奇术!$A:$ZZ,23,FALSE)=1,100%,$B$8),100%)</f>
        <v>1</v>
      </c>
      <c r="BJ86" s="26" cm="1">
        <f t="array" ref="BJ86">IF(VLOOKUP($Q86,武学奇术!$A:$ZZ,23,FALSE)=1,100%,MIN(80%,$B$9+VLOOKUP($Q86,武学奇术!$A:$ZZ,17,FALSE)+SUM(_xlfn.XLOOKUP(R86:AF86,增益!$A:$A,增益!$Q:$Q,0)))+$B$11+SUM(_xlfn.XLOOKUP(R86:AF86,增益!$A:$A,增益!$U:$U,0)))*IF(VLOOKUP($Q86,武学奇术!$A:$ZZ,24,FALSE)=1,0,1)</f>
        <v>0.8625</v>
      </c>
      <c r="BK86" s="26" cm="1">
        <f t="array" ref="BK86">1+$B$13+VLOOKUP($Q86,武学奇术!$A:$ZZ,18,FALSE)+SUM(_xlfn.XLOOKUP(R86:AF86,增益!$A:$A,增益!$R:$R,0))</f>
        <v>1.5</v>
      </c>
      <c r="BL86" s="26" cm="1">
        <f t="array" ref="BL86">IF(VLOOKUP($Q86,武学奇术!$A:$ZZ,24,FALSE)=1,100%,MIN(40%,$B$10+VLOOKUP($Q86,武学奇术!$A:$ZZ,19,FALSE)+SUM(_xlfn.XLOOKUP(R86:AF86,增益!$A:$A,增益!$S:$S,0)))+$B$12+SUM(_xlfn.XLOOKUP(R86:AF86,增益!$A:$A,增益!$V:$V,0)))*IF(VLOOKUP($Q86,武学奇术!$A:$ZZ,23,FALSE)=1,0,1)</f>
        <v>0.0913</v>
      </c>
      <c r="BM86" s="26" cm="1">
        <f t="array" ref="BM86">1+$B$14+VLOOKUP($Q86,武学奇术!$A:$ZZ,20,FALSE)+SUM(_xlfn.XLOOKUP(R86:AF86,增益!$A:$A,增益!$T:$T,0))</f>
        <v>1.35</v>
      </c>
      <c r="BN86" s="26">
        <f t="shared" si="22"/>
        <v>0.8625</v>
      </c>
      <c r="BO86" s="26">
        <f t="shared" si="32"/>
        <v>0.0462</v>
      </c>
      <c r="BP86" s="26">
        <f>IF(VLOOKUP($Q86,武学奇术!$A:$ZZ,22,FALSE)=1,0,(1-$BI86))*(1-$BL86)</f>
        <v>0</v>
      </c>
      <c r="BQ86" s="26" cm="1">
        <f t="array" ref="BQ86">SUM(_xlfn.XLOOKUP(R86:AF86,增益!$A:$A,增益!$W:$W,0))+$I$5</f>
        <v>0.06</v>
      </c>
    </row>
    <row r="87" spans="1:69">
      <c r="K87" s="38">
        <f t="shared" ref="K87:K101" si="42">($L87*$BN87+$M87*$BL87+$N87*$BO87+$O87*$BP87)</f>
        <v>0</v>
      </c>
      <c r="L87" s="38">
        <f>((($AN87+$AO87)/2*$AH87+$AI87)*(1+$AP87)*(1+$AQ87)+(($AS87+$AT87)/2*IF($G$1="鸣金",$AJ87,$AH87)+IF($G$1="鸣金",$AK87*1.5,0))*(1+$AU87)*(1+$AV87)+(($AW87+$AX87)/2*IF($G$1="裂石",$AJ87,$AH87)+IF($G$1="裂石",$AK87*1.5,0))*(1+$AY87)*(1+$AZ87)+(($BA87+$BB87)/2*IF($G$1="牵丝",$AJ87,$AH87)+IF($G$1="牵丝",$AK87*1.5,0))*(1+$BC87)*(1+$BD87)+(($BE87+$BF87)/2*IF($G$1="破竹",$AJ87,$AH87)+IF($G$1="破竹",$AK87*1.5,0))*(1+$BG87)*(1+$BH87))*(1+$AL87)*$BK87*$P87*(1+IF(VLOOKUP($Q87,武学奇术!$A:$ZZ,30,FALSE)="蓄力技",#REF!,0))*(1+$BQ87)</f>
        <v>0</v>
      </c>
      <c r="M87" s="38">
        <f>(($AO87*$AH87+$AI87)*(1+$AP87)*(1+$AQ87)+($AT87*IF($G$1="鸣金",$AJ87,$AH87)+IF($G$1="鸣金",$AK87*1.5,0))*(1+$AU87)*(1+$AV87)+($AX87*IF($G$1="裂石",$AJ87,$AH87)+IF($G$1="裂石",$AK87*1.5,0))*(1+$AY87)*(1+$AZ87)+($BB87*IF($G$1="牵丝",$AJ87,$AH87)+IF($G$1="牵丝",$AK87*1.5,0))*(1+$BC87)*(1+$BD87)+($BF87*IF($G$1="破竹",$AJ87,$AH87)+IF($G$1="破竹",$AK87*1.5,0))*(1+$BG87)*(1+$BH87))*(1+$AL87)*$BM87*$P87*(1+IF(VLOOKUP($Q87,武学奇术!$A:$ZZ,30,FALSE)="蓄力技",#REF!,0))*(1+$BQ87)</f>
        <v>0</v>
      </c>
      <c r="N87" s="38">
        <f>((($AN87+$AO87)/2*$AH87+$AI87)*(1+$AP87)*(1+$AQ87)+(($AS87+$AT87)/2*IF($G$1="鸣金",$AJ87,$AH87)+IF($G$1="鸣金",$AK87*1.5,0))*(1+$AU87)*(1+$AV87)+(($AW87+$AX87)/2*IF($G$1="裂石",$AJ87,$AH87)+IF($G$1="裂石",$AK87*1.5,0))*(1+$AY87)*(1+$AZ87)+(($BA87+$BB87)/2*IF($G$1="牵丝",$AJ87,$AH87)+IF($G$1="牵丝",$AK87*1.5,0))*(1+$BC87)*(1+$BD87)+(($BE87+$BF87)/2*IF($G$1="破竹",$AJ87,$AH87)+IF($G$1="破竹",$AK87*1.5,0))*(1+$BG87)*(1+$BH87))*(1+$AL87)*$P87*(1+IF(VLOOKUP($Q87,武学奇术!$A:$ZZ,30,FALSE)="蓄力技",#REF!,0))*(1+$BQ87)</f>
        <v>0</v>
      </c>
      <c r="O87" s="38">
        <f>((($AN87*$AH87+$AI87)*(1+$AP87)*(1+$AQ87)+($AS87*IF($G$1="鸣金",$AJ87,$AH87)+IF($G$1="鸣金",$AK87*1.5,0))*(1+$AU87)*(1+$AV87)+($AW87*IF($G$1="裂石",$AJ87,$AH87)+IF($G$1="裂石",$AK87*1.5,0))*(1+$AY87)*(1+$AZ87)+($BA87*IF($G$1="牵丝",$AJ87,$AH87)+IF($G$1="牵丝",$AK87*1.5,0))*(1+$BC87)*(1+$BD87)+($BE87*IF($G$1="破竹",$AJ87,$AH87)+IF($G$1="破竹",$AK87*1.5,0))*(1+$BG87)*(1+$BH87))*(1+$AL87))*$P87*(1+IF(VLOOKUP($Q87,武学奇术!$A:$ZZ,30,FALSE)="蓄力技",#REF!,0))*(1+$BQ87)</f>
        <v>0</v>
      </c>
      <c r="P87" s="39">
        <v>1</v>
      </c>
      <c r="Q87" s="40" t="s">
        <v>76</v>
      </c>
      <c r="R87" s="40" t="s">
        <v>76</v>
      </c>
      <c r="S87" s="40" t="s">
        <v>76</v>
      </c>
      <c r="T87" s="40" t="s">
        <v>76</v>
      </c>
      <c r="U87" s="40" t="s">
        <v>76</v>
      </c>
      <c r="V87" s="40" t="s">
        <v>76</v>
      </c>
      <c r="W87" s="40" t="s">
        <v>76</v>
      </c>
      <c r="X87" s="40" t="s">
        <v>76</v>
      </c>
      <c r="Y87" s="40" t="s">
        <v>76</v>
      </c>
      <c r="Z87" s="40" t="s">
        <v>76</v>
      </c>
      <c r="AA87" s="40" t="s">
        <v>76</v>
      </c>
      <c r="AB87" s="40" t="s">
        <v>76</v>
      </c>
      <c r="AC87" s="40" t="s">
        <v>76</v>
      </c>
      <c r="AD87" s="40" t="s">
        <v>76</v>
      </c>
      <c r="AE87" s="40" t="s">
        <v>76</v>
      </c>
      <c r="AF87" s="40" t="s">
        <v>76</v>
      </c>
      <c r="AG87" t="str">
        <f>VLOOKUP($Q87,武学奇术!$A:$ZZ,25,FALSE)</f>
        <v>心法</v>
      </c>
      <c r="AH87" s="26">
        <f>VLOOKUP($Q87,武学奇术!$A:$ZZ,26,FALSE)</f>
        <v>0</v>
      </c>
      <c r="AI87" s="27">
        <f>VLOOKUP($Q87,武学奇术!$A:$ZZ,27,FALSE)*(1+IF(OR($AG87=$F$4,$AG87=$F$5),$B$21,0))</f>
        <v>0</v>
      </c>
      <c r="AJ87" s="26">
        <f>VLOOKUP($Q87,武学奇术!$A:$ZZ,28,FALSE)</f>
        <v>0</v>
      </c>
      <c r="AK87" s="27">
        <f>VLOOKUP($Q87,武学奇术!$A:$ZZ,29,FALSE)*(1+IF(OR($AG87=$F$4,$AG87=$F$5),$B$21,0))</f>
        <v>0</v>
      </c>
      <c r="AL87" s="26" cm="1">
        <f t="array" ref="AL87">$G$3+IFERROR(VLOOKUP($AG87,$F$4:$G$7,2,FALSE),0)+VLOOKUP($Q87,武学奇术!$A:$ZZ,2,FALSE)+SUM(_xlfn.XLOOKUP($R87:$AF87,增益!$A:$A,增益!$B:$B,0))</f>
        <v>0.2642</v>
      </c>
      <c r="AM87" s="26" cm="1">
        <f t="array" ref="AM87">VLOOKUP($Q87,武学奇术!$A:$ZZ,5,FALSE)+SUM(_xlfn.XLOOKUP($R87:$AF87,增益!$A:$A,增益!$E:$E,0))</f>
        <v>0</v>
      </c>
      <c r="AN87" cm="1">
        <f t="array" ref="AN87">$D$10*(1+$AM87)+VLOOKUP($Q87,武学奇术!$A:$ZZ,3,FALSE)+SUM(_xlfn.XLOOKUP($R87:$AF87,增益!$A:$A,增益!$C:$C,0))-$I$2</f>
        <v>3977.2</v>
      </c>
      <c r="AO87" cm="1">
        <f t="array" ref="AO87">$E$10*(1+$AM87)+VLOOKUP($Q87,武学奇术!$A:$ZZ,4,FALSE)+SUM(_xlfn.XLOOKUP($R87:$AF87,增益!$A:$A,增益!$D:$D,0))-$I$2</f>
        <v>3977.2</v>
      </c>
      <c r="AP87" s="32" cm="1">
        <f t="array" ref="AP87">IF($F$10-$I$3+VLOOKUP($Q87,武学奇术!$A:$ZZ,6,FALSE)+SUM(_xlfn.XLOOKUP(R87:AF87,增益!$A:$A,增益!$F:$F,0))&gt;0,($F$10-$I$3+VLOOKUP($Q87,武学奇术!$A:$ZZ,6,FALSE)+SUM(_xlfn.XLOOKUP(R87:AF87,增益!$A:$A,增益!$F:$F,0)))/200,($F$10-$I$3+VLOOKUP($Q87,武学奇术!$A:$ZZ,6,FALSE)+SUM(_xlfn.XLOOKUP(R87:AF87,增益!$A:$A,增益!$F:$F,0)))/100)</f>
        <v>0.294</v>
      </c>
      <c r="AQ87" s="32" cm="1">
        <f t="array" ref="AQ87">$G$10+VLOOKUP($Q87,武学奇术!$A:$ZZ,7,FALSE)+SUM(_xlfn.XLOOKUP(R87:AF87,增益!$A:$A,增益!$G:$G,0))</f>
        <v>0</v>
      </c>
      <c r="AR87" s="26" cm="1">
        <f t="array" ref="AR87">VLOOKUP($Q87,武学奇术!$A:$ZZ,8,FALSE)+SUM(_xlfn.XLOOKUP(R87:AF87,增益!$A:$A,增益!$H:$H,0))</f>
        <v>0</v>
      </c>
      <c r="AS87">
        <f t="shared" ref="AS87:AS101" si="43">$D$11*(1+$AR87)</f>
        <v>0</v>
      </c>
      <c r="AT87">
        <f t="shared" ref="AT87:AT101" si="44">$E$11*(1+$AR87)</f>
        <v>0</v>
      </c>
      <c r="AU87" s="32" cm="1">
        <f t="array" ref="AU87">IF($F$11-$I$4+VLOOKUP($Q87,武学奇术!$A:$ZZ,9,FALSE)+SUM(_xlfn.XLOOKUP(R87:AF87,增益!$A:$A,增益!$I:$I,0))&gt;0,($F$11-$I$4+VLOOKUP($Q87,武学奇术!$A:$ZZ,9,FALSE)+SUM(_xlfn.XLOOKUP(R87:AF87,增益!$A:$A,增益!$I:$I,0)))/200,($F$11-$I$4+VLOOKUP($Q87,武学奇术!$A:$ZZ,9,FALSE)+SUM(_xlfn.XLOOKUP(R87:AF87,增益!$A:$A,增益!$I:$I,0)))/100)</f>
        <v>-0.3</v>
      </c>
      <c r="AV87" s="32" cm="1">
        <f t="array" ref="AV87">$G$11+VLOOKUP($Q87,武学奇术!$A:$ZZ,10,FALSE)+SUM(_xlfn.XLOOKUP(R87:AF87,增益!$A:$A,增益!$J:$J,0))</f>
        <v>0</v>
      </c>
      <c r="AW87">
        <f t="shared" ref="AW87:AW101" si="45">$D$12*(1+$AR87)</f>
        <v>0</v>
      </c>
      <c r="AX87">
        <f t="shared" ref="AX87:AX101" si="46">$E$12*(1+$AR87)</f>
        <v>0</v>
      </c>
      <c r="AY87" s="32" cm="1">
        <f t="array" ref="AY87">IF($F$12-$I$4+VLOOKUP($Q87,武学奇术!$A:$ZZ,11,FALSE)+SUM(_xlfn.XLOOKUP(R87:AF87,增益!$A:$A,增益!$K:$K,0))&gt;0,($F$12-$I$4+VLOOKUP($Q87,武学奇术!$A:$ZZ,11,FALSE)+SUM(_xlfn.XLOOKUP(R87:AF87,增益!$A:$A,增益!$K:$K,0)))/200,($F$12-$I$4+VLOOKUP($Q87,武学奇术!$A:$ZZ,11,FALSE)+SUM(_xlfn.XLOOKUP(R87:AF87,增益!$A:$A,增益!$K:$K,0)))/100)</f>
        <v>-0.3</v>
      </c>
      <c r="AZ87" s="32" cm="1">
        <f t="array" ref="AZ87">$G$12+VLOOKUP($Q87,武学奇术!$A:$ZZ,12,FALSE)+SUM(_xlfn.XLOOKUP(R87:AF87,增益!$A:$A,增益!$L:$L,0))</f>
        <v>0</v>
      </c>
      <c r="BA87">
        <f t="shared" ref="BA87:BA101" si="47">$D$13*(1+$AR87)</f>
        <v>697.4</v>
      </c>
      <c r="BB87">
        <f t="shared" ref="BB87:BB101" si="48">$E$13*(1+$AR87)</f>
        <v>1805</v>
      </c>
      <c r="BC87" s="32" cm="1">
        <f t="array" ref="BC87">IF($F$13-$I$4+VLOOKUP($Q87,武学奇术!$A:$ZZ,13,FALSE)+SUM(_xlfn.XLOOKUP(R87:AF87,增益!$A:$A,增益!$M:$M,0))&gt;0,($F$13-$I$4+VLOOKUP($Q87,武学奇术!$A:$ZZ,13,FALSE)+SUM(_xlfn.XLOOKUP(R87:AF87,增益!$A:$A,增益!$K:$K,0)))/200,($F$13-$I$4+VLOOKUP($Q87,武学奇术!$A:$ZZ,13,FALSE)+SUM(_xlfn.XLOOKUP(R87:AF87,增益!$A:$A,增益!$M:$M,0)))/100)</f>
        <v>0</v>
      </c>
      <c r="BD87" s="32" cm="1">
        <f t="array" ref="BD87">$G$13+VLOOKUP($Q87,武学奇术!$A:$ZZ,14,FALSE)+SUM(_xlfn.XLOOKUP(R87:AF87,增益!$A:$A,增益!$N:$N,0))</f>
        <v>0.15</v>
      </c>
      <c r="BE87">
        <f t="shared" ref="BE87:BE101" si="49">$D$14*(1+$AR87)</f>
        <v>0</v>
      </c>
      <c r="BF87">
        <f t="shared" ref="BF87:BF101" si="50">$E$14*(1+$AR87)</f>
        <v>0</v>
      </c>
      <c r="BG87" s="32" cm="1">
        <f t="array" ref="BG87">IF($F$14-$I$4+VLOOKUP($Q87,武学奇术!$A:$ZZ,15,FALSE)+SUM(_xlfn.XLOOKUP(R87:AF87,增益!$A:$A,增益!$O:$O,0))&gt;0,($F$14-$I$4+VLOOKUP($Q87,武学奇术!$A:$ZZ,15,FALSE)+SUM(_xlfn.XLOOKUP(R87:AF87,增益!$A:$A,增益!$O:$O,0)))/200,($F$14-$I$4+VLOOKUP($Q87,武学奇术!$A:$ZZ,15,FALSE)+SUM(_xlfn.XLOOKUP(R87:AF87,增益!$A:$A,增益!$O:$O,0)))/100)</f>
        <v>-0.3</v>
      </c>
      <c r="BH87" s="32" cm="1">
        <f t="array" ref="BH87">$G$14+VLOOKUP($Q87,武学奇术!$A:$ZZ,16,FALSE)+SUM(_xlfn.XLOOKUP(R87:AF87,增益!$A:$A,增益!$P:$P,0))</f>
        <v>0</v>
      </c>
      <c r="BI87" s="26">
        <f>MIN(IF(VLOOKUP($Q87,武学奇术!$A:$ZZ,23,FALSE)=1,100%,$B$8),100%)</f>
        <v>1</v>
      </c>
      <c r="BJ87" s="26" cm="1">
        <f t="array" ref="BJ87">IF(VLOOKUP($Q87,武学奇术!$A:$ZZ,23,FALSE)=1,100%,MIN(80%,$B$9+VLOOKUP($Q87,武学奇术!$A:$ZZ,17,FALSE)+SUM(_xlfn.XLOOKUP(R87:AF87,增益!$A:$A,增益!$Q:$Q,0)))+$B$11+SUM(_xlfn.XLOOKUP(R87:AF87,增益!$A:$A,增益!$U:$U,0)))*IF(VLOOKUP($Q87,武学奇术!$A:$ZZ,24,FALSE)=1,0,1)</f>
        <v>0.8625</v>
      </c>
      <c r="BK87" s="26" cm="1">
        <f t="array" ref="BK87">1+$B$13+VLOOKUP($Q87,武学奇术!$A:$ZZ,18,FALSE)+SUM(_xlfn.XLOOKUP(R87:AF87,增益!$A:$A,增益!$R:$R,0))</f>
        <v>1.5</v>
      </c>
      <c r="BL87" s="26" cm="1">
        <f t="array" ref="BL87">IF(VLOOKUP($Q87,武学奇术!$A:$ZZ,24,FALSE)=1,100%,MIN(40%,$B$10+VLOOKUP($Q87,武学奇术!$A:$ZZ,19,FALSE)+SUM(_xlfn.XLOOKUP(R87:AF87,增益!$A:$A,增益!$S:$S,0)))+$B$12+SUM(_xlfn.XLOOKUP(R87:AF87,增益!$A:$A,增益!$V:$V,0)))*IF(VLOOKUP($Q87,武学奇术!$A:$ZZ,23,FALSE)=1,0,1)</f>
        <v>0.0913</v>
      </c>
      <c r="BM87" s="26" cm="1">
        <f t="array" ref="BM87">1+$B$14+VLOOKUP($Q87,武学奇术!$A:$ZZ,20,FALSE)+SUM(_xlfn.XLOOKUP(R87:AF87,增益!$A:$A,增益!$T:$T,0))</f>
        <v>1.35</v>
      </c>
      <c r="BN87" s="26">
        <f t="shared" si="22"/>
        <v>0.8625</v>
      </c>
      <c r="BO87" s="26">
        <f t="shared" si="32"/>
        <v>0.0462</v>
      </c>
      <c r="BP87" s="26">
        <f>IF(VLOOKUP($Q87,武学奇术!$A:$ZZ,22,FALSE)=1,0,(1-$BI87))*(1-$BL87)</f>
        <v>0</v>
      </c>
      <c r="BQ87" s="26" cm="1">
        <f t="array" ref="BQ87">SUM(_xlfn.XLOOKUP(R87:AF87,增益!$A:$A,增益!$W:$W,0))+$I$5</f>
        <v>0.06</v>
      </c>
    </row>
    <row r="88" spans="1:69">
      <c r="K88" s="38">
        <f t="shared" si="42"/>
        <v>0</v>
      </c>
      <c r="L88" s="38">
        <f>((($AN88+$AO88)/2*$AH88+$AI88)*(1+$AP88)*(1+$AQ88)+(($AS88+$AT88)/2*IF($G$1="鸣金",$AJ88,$AH88)+IF($G$1="鸣金",$AK88*1.5,0))*(1+$AU88)*(1+$AV88)+(($AW88+$AX88)/2*IF($G$1="裂石",$AJ88,$AH88)+IF($G$1="裂石",$AK88*1.5,0))*(1+$AY88)*(1+$AZ88)+(($BA88+$BB88)/2*IF($G$1="牵丝",$AJ88,$AH88)+IF($G$1="牵丝",$AK88*1.5,0))*(1+$BC88)*(1+$BD88)+(($BE88+$BF88)/2*IF($G$1="破竹",$AJ88,$AH88)+IF($G$1="破竹",$AK88*1.5,0))*(1+$BG88)*(1+$BH88))*(1+$AL88)*$BK88*$P88*(1+IF(VLOOKUP($Q88,武学奇术!$A:$ZZ,30,FALSE)="蓄力技",#REF!,0))*(1+$BQ88)</f>
        <v>0</v>
      </c>
      <c r="M88" s="38">
        <f>(($AO88*$AH88+$AI88)*(1+$AP88)*(1+$AQ88)+($AT88*IF($G$1="鸣金",$AJ88,$AH88)+IF($G$1="鸣金",$AK88*1.5,0))*(1+$AU88)*(1+$AV88)+($AX88*IF($G$1="裂石",$AJ88,$AH88)+IF($G$1="裂石",$AK88*1.5,0))*(1+$AY88)*(1+$AZ88)+($BB88*IF($G$1="牵丝",$AJ88,$AH88)+IF($G$1="牵丝",$AK88*1.5,0))*(1+$BC88)*(1+$BD88)+($BF88*IF($G$1="破竹",$AJ88,$AH88)+IF($G$1="破竹",$AK88*1.5,0))*(1+$BG88)*(1+$BH88))*(1+$AL88)*$BM88*$P88*(1+IF(VLOOKUP($Q88,武学奇术!$A:$ZZ,30,FALSE)="蓄力技",#REF!,0))*(1+$BQ88)</f>
        <v>0</v>
      </c>
      <c r="N88" s="38">
        <f>((($AN88+$AO88)/2*$AH88+$AI88)*(1+$AP88)*(1+$AQ88)+(($AS88+$AT88)/2*IF($G$1="鸣金",$AJ88,$AH88)+IF($G$1="鸣金",$AK88*1.5,0))*(1+$AU88)*(1+$AV88)+(($AW88+$AX88)/2*IF($G$1="裂石",$AJ88,$AH88)+IF($G$1="裂石",$AK88*1.5,0))*(1+$AY88)*(1+$AZ88)+(($BA88+$BB88)/2*IF($G$1="牵丝",$AJ88,$AH88)+IF($G$1="牵丝",$AK88*1.5,0))*(1+$BC88)*(1+$BD88)+(($BE88+$BF88)/2*IF($G$1="破竹",$AJ88,$AH88)+IF($G$1="破竹",$AK88*1.5,0))*(1+$BG88)*(1+$BH88))*(1+$AL88)*$P88*(1+IF(VLOOKUP($Q88,武学奇术!$A:$ZZ,30,FALSE)="蓄力技",#REF!,0))*(1+$BQ88)</f>
        <v>0</v>
      </c>
      <c r="O88" s="38">
        <f>((($AN88*$AH88+$AI88)*(1+$AP88)*(1+$AQ88)+($AS88*IF($G$1="鸣金",$AJ88,$AH88)+IF($G$1="鸣金",$AK88*1.5,0))*(1+$AU88)*(1+$AV88)+($AW88*IF($G$1="裂石",$AJ88,$AH88)+IF($G$1="裂石",$AK88*1.5,0))*(1+$AY88)*(1+$AZ88)+($BA88*IF($G$1="牵丝",$AJ88,$AH88)+IF($G$1="牵丝",$AK88*1.5,0))*(1+$BC88)*(1+$BD88)+($BE88*IF($G$1="破竹",$AJ88,$AH88)+IF($G$1="破竹",$AK88*1.5,0))*(1+$BG88)*(1+$BH88))*(1+$AL88))*$P88*(1+IF(VLOOKUP($Q88,武学奇术!$A:$ZZ,30,FALSE)="蓄力技",#REF!,0))*(1+$BQ88)</f>
        <v>0</v>
      </c>
      <c r="P88" s="39">
        <v>1</v>
      </c>
      <c r="Q88" s="40" t="s">
        <v>76</v>
      </c>
      <c r="R88" s="40" t="s">
        <v>76</v>
      </c>
      <c r="S88" s="40" t="s">
        <v>76</v>
      </c>
      <c r="T88" s="40" t="s">
        <v>76</v>
      </c>
      <c r="U88" s="40" t="s">
        <v>76</v>
      </c>
      <c r="V88" s="40" t="s">
        <v>76</v>
      </c>
      <c r="W88" s="40" t="s">
        <v>76</v>
      </c>
      <c r="X88" s="40" t="s">
        <v>76</v>
      </c>
      <c r="Y88" s="40" t="s">
        <v>76</v>
      </c>
      <c r="Z88" s="40" t="s">
        <v>76</v>
      </c>
      <c r="AA88" s="40" t="s">
        <v>76</v>
      </c>
      <c r="AB88" s="40" t="s">
        <v>76</v>
      </c>
      <c r="AC88" s="40" t="s">
        <v>76</v>
      </c>
      <c r="AD88" s="40" t="s">
        <v>76</v>
      </c>
      <c r="AE88" s="40" t="s">
        <v>76</v>
      </c>
      <c r="AF88" s="40" t="s">
        <v>76</v>
      </c>
      <c r="AG88" t="str">
        <f>VLOOKUP($Q88,武学奇术!$A:$ZZ,25,FALSE)</f>
        <v>心法</v>
      </c>
      <c r="AH88" s="26">
        <f>VLOOKUP($Q88,武学奇术!$A:$ZZ,26,FALSE)</f>
        <v>0</v>
      </c>
      <c r="AI88" s="27">
        <f>VLOOKUP($Q88,武学奇术!$A:$ZZ,27,FALSE)*(1+IF(OR($AG88=$F$4,$AG88=$F$5),$B$21,0))</f>
        <v>0</v>
      </c>
      <c r="AJ88" s="26">
        <f>VLOOKUP($Q88,武学奇术!$A:$ZZ,28,FALSE)</f>
        <v>0</v>
      </c>
      <c r="AK88" s="27">
        <f>VLOOKUP($Q88,武学奇术!$A:$ZZ,29,FALSE)*(1+IF(OR($AG88=$F$4,$AG88=$F$5),$B$21,0))</f>
        <v>0</v>
      </c>
      <c r="AL88" s="26" cm="1">
        <f t="array" ref="AL88">$G$3+IFERROR(VLOOKUP($AG88,$F$4:$G$7,2,FALSE),0)+VLOOKUP($Q88,武学奇术!$A:$ZZ,2,FALSE)+SUM(_xlfn.XLOOKUP($R88:$AF88,增益!$A:$A,增益!$B:$B,0))</f>
        <v>0.2642</v>
      </c>
      <c r="AM88" s="26" cm="1">
        <f t="array" ref="AM88">VLOOKUP($Q88,武学奇术!$A:$ZZ,5,FALSE)+SUM(_xlfn.XLOOKUP($R88:$AF88,增益!$A:$A,增益!$E:$E,0))</f>
        <v>0</v>
      </c>
      <c r="AN88" cm="1">
        <f t="array" ref="AN88">$D$10*(1+$AM88)+VLOOKUP($Q88,武学奇术!$A:$ZZ,3,FALSE)+SUM(_xlfn.XLOOKUP($R88:$AF88,增益!$A:$A,增益!$C:$C,0))-$I$2</f>
        <v>3977.2</v>
      </c>
      <c r="AO88" cm="1">
        <f t="array" ref="AO88">$E$10*(1+$AM88)+VLOOKUP($Q88,武学奇术!$A:$ZZ,4,FALSE)+SUM(_xlfn.XLOOKUP($R88:$AF88,增益!$A:$A,增益!$D:$D,0))-$I$2</f>
        <v>3977.2</v>
      </c>
      <c r="AP88" s="32" cm="1">
        <f t="array" ref="AP88">IF($F$10-$I$3+VLOOKUP($Q88,武学奇术!$A:$ZZ,6,FALSE)+SUM(_xlfn.XLOOKUP(R88:AF88,增益!$A:$A,增益!$F:$F,0))&gt;0,($F$10-$I$3+VLOOKUP($Q88,武学奇术!$A:$ZZ,6,FALSE)+SUM(_xlfn.XLOOKUP(R88:AF88,增益!$A:$A,增益!$F:$F,0)))/200,($F$10-$I$3+VLOOKUP($Q88,武学奇术!$A:$ZZ,6,FALSE)+SUM(_xlfn.XLOOKUP(R88:AF88,增益!$A:$A,增益!$F:$F,0)))/100)</f>
        <v>0.294</v>
      </c>
      <c r="AQ88" s="32" cm="1">
        <f t="array" ref="AQ88">$G$10+VLOOKUP($Q88,武学奇术!$A:$ZZ,7,FALSE)+SUM(_xlfn.XLOOKUP(R88:AF88,增益!$A:$A,增益!$G:$G,0))</f>
        <v>0</v>
      </c>
      <c r="AR88" s="26" cm="1">
        <f t="array" ref="AR88">VLOOKUP($Q88,武学奇术!$A:$ZZ,8,FALSE)+SUM(_xlfn.XLOOKUP(R88:AF88,增益!$A:$A,增益!$H:$H,0))</f>
        <v>0</v>
      </c>
      <c r="AS88">
        <f t="shared" si="43"/>
        <v>0</v>
      </c>
      <c r="AT88">
        <f t="shared" si="44"/>
        <v>0</v>
      </c>
      <c r="AU88" s="32" cm="1">
        <f t="array" ref="AU88">IF($F$11-$I$4+VLOOKUP($Q88,武学奇术!$A:$ZZ,9,FALSE)+SUM(_xlfn.XLOOKUP(R88:AF88,增益!$A:$A,增益!$I:$I,0))&gt;0,($F$11-$I$4+VLOOKUP($Q88,武学奇术!$A:$ZZ,9,FALSE)+SUM(_xlfn.XLOOKUP(R88:AF88,增益!$A:$A,增益!$I:$I,0)))/200,($F$11-$I$4+VLOOKUP($Q88,武学奇术!$A:$ZZ,9,FALSE)+SUM(_xlfn.XLOOKUP(R88:AF88,增益!$A:$A,增益!$I:$I,0)))/100)</f>
        <v>-0.3</v>
      </c>
      <c r="AV88" s="32" cm="1">
        <f t="array" ref="AV88">$G$11+VLOOKUP($Q88,武学奇术!$A:$ZZ,10,FALSE)+SUM(_xlfn.XLOOKUP(R88:AF88,增益!$A:$A,增益!$J:$J,0))</f>
        <v>0</v>
      </c>
      <c r="AW88">
        <f t="shared" si="45"/>
        <v>0</v>
      </c>
      <c r="AX88">
        <f t="shared" si="46"/>
        <v>0</v>
      </c>
      <c r="AY88" s="32" cm="1">
        <f t="array" ref="AY88">IF($F$12-$I$4+VLOOKUP($Q88,武学奇术!$A:$ZZ,11,FALSE)+SUM(_xlfn.XLOOKUP(R88:AF88,增益!$A:$A,增益!$K:$K,0))&gt;0,($F$12-$I$4+VLOOKUP($Q88,武学奇术!$A:$ZZ,11,FALSE)+SUM(_xlfn.XLOOKUP(R88:AF88,增益!$A:$A,增益!$K:$K,0)))/200,($F$12-$I$4+VLOOKUP($Q88,武学奇术!$A:$ZZ,11,FALSE)+SUM(_xlfn.XLOOKUP(R88:AF88,增益!$A:$A,增益!$K:$K,0)))/100)</f>
        <v>-0.3</v>
      </c>
      <c r="AZ88" s="32" cm="1">
        <f t="array" ref="AZ88">$G$12+VLOOKUP($Q88,武学奇术!$A:$ZZ,12,FALSE)+SUM(_xlfn.XLOOKUP(R88:AF88,增益!$A:$A,增益!$L:$L,0))</f>
        <v>0</v>
      </c>
      <c r="BA88">
        <f t="shared" si="47"/>
        <v>697.4</v>
      </c>
      <c r="BB88">
        <f t="shared" si="48"/>
        <v>1805</v>
      </c>
      <c r="BC88" s="32" cm="1">
        <f t="array" ref="BC88">IF($F$13-$I$4+VLOOKUP($Q88,武学奇术!$A:$ZZ,13,FALSE)+SUM(_xlfn.XLOOKUP(R88:AF88,增益!$A:$A,增益!$M:$M,0))&gt;0,($F$13-$I$4+VLOOKUP($Q88,武学奇术!$A:$ZZ,13,FALSE)+SUM(_xlfn.XLOOKUP(R88:AF88,增益!$A:$A,增益!$K:$K,0)))/200,($F$13-$I$4+VLOOKUP($Q88,武学奇术!$A:$ZZ,13,FALSE)+SUM(_xlfn.XLOOKUP(R88:AF88,增益!$A:$A,增益!$M:$M,0)))/100)</f>
        <v>0</v>
      </c>
      <c r="BD88" s="32" cm="1">
        <f t="array" ref="BD88">$G$13+VLOOKUP($Q88,武学奇术!$A:$ZZ,14,FALSE)+SUM(_xlfn.XLOOKUP(R88:AF88,增益!$A:$A,增益!$N:$N,0))</f>
        <v>0.15</v>
      </c>
      <c r="BE88">
        <f t="shared" si="49"/>
        <v>0</v>
      </c>
      <c r="BF88">
        <f t="shared" si="50"/>
        <v>0</v>
      </c>
      <c r="BG88" s="32" cm="1">
        <f t="array" ref="BG88">IF($F$14-$I$4+VLOOKUP($Q88,武学奇术!$A:$ZZ,15,FALSE)+SUM(_xlfn.XLOOKUP(R88:AF88,增益!$A:$A,增益!$O:$O,0))&gt;0,($F$14-$I$4+VLOOKUP($Q88,武学奇术!$A:$ZZ,15,FALSE)+SUM(_xlfn.XLOOKUP(R88:AF88,增益!$A:$A,增益!$O:$O,0)))/200,($F$14-$I$4+VLOOKUP($Q88,武学奇术!$A:$ZZ,15,FALSE)+SUM(_xlfn.XLOOKUP(R88:AF88,增益!$A:$A,增益!$O:$O,0)))/100)</f>
        <v>-0.3</v>
      </c>
      <c r="BH88" s="32" cm="1">
        <f t="array" ref="BH88">$G$14+VLOOKUP($Q88,武学奇术!$A:$ZZ,16,FALSE)+SUM(_xlfn.XLOOKUP(R88:AF88,增益!$A:$A,增益!$P:$P,0))</f>
        <v>0</v>
      </c>
      <c r="BI88" s="26">
        <f>MIN(IF(VLOOKUP($Q88,武学奇术!$A:$ZZ,23,FALSE)=1,100%,$B$8),100%)</f>
        <v>1</v>
      </c>
      <c r="BJ88" s="26" cm="1">
        <f t="array" ref="BJ88">IF(VLOOKUP($Q88,武学奇术!$A:$ZZ,23,FALSE)=1,100%,MIN(80%,$B$9+VLOOKUP($Q88,武学奇术!$A:$ZZ,17,FALSE)+SUM(_xlfn.XLOOKUP(R88:AF88,增益!$A:$A,增益!$Q:$Q,0)))+$B$11+SUM(_xlfn.XLOOKUP(R88:AF88,增益!$A:$A,增益!$U:$U,0)))*IF(VLOOKUP($Q88,武学奇术!$A:$ZZ,24,FALSE)=1,0,1)</f>
        <v>0.8625</v>
      </c>
      <c r="BK88" s="26" cm="1">
        <f t="array" ref="BK88">1+$B$13+VLOOKUP($Q88,武学奇术!$A:$ZZ,18,FALSE)+SUM(_xlfn.XLOOKUP(R88:AF88,增益!$A:$A,增益!$R:$R,0))</f>
        <v>1.5</v>
      </c>
      <c r="BL88" s="26" cm="1">
        <f t="array" ref="BL88">IF(VLOOKUP($Q88,武学奇术!$A:$ZZ,24,FALSE)=1,100%,MIN(40%,$B$10+VLOOKUP($Q88,武学奇术!$A:$ZZ,19,FALSE)+SUM(_xlfn.XLOOKUP(R88:AF88,增益!$A:$A,增益!$S:$S,0)))+$B$12+SUM(_xlfn.XLOOKUP(R88:AF88,增益!$A:$A,增益!$V:$V,0)))*IF(VLOOKUP($Q88,武学奇术!$A:$ZZ,23,FALSE)=1,0,1)</f>
        <v>0.0913</v>
      </c>
      <c r="BM88" s="26" cm="1">
        <f t="array" ref="BM88">1+$B$14+VLOOKUP($Q88,武学奇术!$A:$ZZ,20,FALSE)+SUM(_xlfn.XLOOKUP(R88:AF88,增益!$A:$A,增益!$T:$T,0))</f>
        <v>1.35</v>
      </c>
      <c r="BN88" s="26">
        <f t="shared" si="22"/>
        <v>0.8625</v>
      </c>
      <c r="BO88" s="26">
        <f t="shared" si="32"/>
        <v>0.0462</v>
      </c>
      <c r="BP88" s="26">
        <f>IF(VLOOKUP($Q88,武学奇术!$A:$ZZ,22,FALSE)=1,0,(1-$BI88))*(1-$BL88)</f>
        <v>0</v>
      </c>
      <c r="BQ88" s="26" cm="1">
        <f t="array" ref="BQ88">SUM(_xlfn.XLOOKUP(R88:AF88,增益!$A:$A,增益!$W:$W,0))+$I$5</f>
        <v>0.06</v>
      </c>
    </row>
    <row r="89" spans="1:69">
      <c r="K89" s="38">
        <f t="shared" si="42"/>
        <v>0</v>
      </c>
      <c r="L89" s="38">
        <f>((($AN89+$AO89)/2*$AH89+$AI89)*(1+$AP89)*(1+$AQ89)+(($AS89+$AT89)/2*IF($G$1="鸣金",$AJ89,$AH89)+IF($G$1="鸣金",$AK89*1.5,0))*(1+$AU89)*(1+$AV89)+(($AW89+$AX89)/2*IF($G$1="裂石",$AJ89,$AH89)+IF($G$1="裂石",$AK89*1.5,0))*(1+$AY89)*(1+$AZ89)+(($BA89+$BB89)/2*IF($G$1="牵丝",$AJ89,$AH89)+IF($G$1="牵丝",$AK89*1.5,0))*(1+$BC89)*(1+$BD89)+(($BE89+$BF89)/2*IF($G$1="破竹",$AJ89,$AH89)+IF($G$1="破竹",$AK89*1.5,0))*(1+$BG89)*(1+$BH89))*(1+$AL89)*$BK89*$P89*(1+IF(VLOOKUP($Q89,武学奇术!$A:$ZZ,30,FALSE)="蓄力技",#REF!,0))*(1+$BQ89)</f>
        <v>0</v>
      </c>
      <c r="M89" s="38">
        <f>(($AO89*$AH89+$AI89)*(1+$AP89)*(1+$AQ89)+($AT89*IF($G$1="鸣金",$AJ89,$AH89)+IF($G$1="鸣金",$AK89*1.5,0))*(1+$AU89)*(1+$AV89)+($AX89*IF($G$1="裂石",$AJ89,$AH89)+IF($G$1="裂石",$AK89*1.5,0))*(1+$AY89)*(1+$AZ89)+($BB89*IF($G$1="牵丝",$AJ89,$AH89)+IF($G$1="牵丝",$AK89*1.5,0))*(1+$BC89)*(1+$BD89)+($BF89*IF($G$1="破竹",$AJ89,$AH89)+IF($G$1="破竹",$AK89*1.5,0))*(1+$BG89)*(1+$BH89))*(1+$AL89)*$BM89*$P89*(1+IF(VLOOKUP($Q89,武学奇术!$A:$ZZ,30,FALSE)="蓄力技",#REF!,0))*(1+$BQ89)</f>
        <v>0</v>
      </c>
      <c r="N89" s="38">
        <f>((($AN89+$AO89)/2*$AH89+$AI89)*(1+$AP89)*(1+$AQ89)+(($AS89+$AT89)/2*IF($G$1="鸣金",$AJ89,$AH89)+IF($G$1="鸣金",$AK89*1.5,0))*(1+$AU89)*(1+$AV89)+(($AW89+$AX89)/2*IF($G$1="裂石",$AJ89,$AH89)+IF($G$1="裂石",$AK89*1.5,0))*(1+$AY89)*(1+$AZ89)+(($BA89+$BB89)/2*IF($G$1="牵丝",$AJ89,$AH89)+IF($G$1="牵丝",$AK89*1.5,0))*(1+$BC89)*(1+$BD89)+(($BE89+$BF89)/2*IF($G$1="破竹",$AJ89,$AH89)+IF($G$1="破竹",$AK89*1.5,0))*(1+$BG89)*(1+$BH89))*(1+$AL89)*$P89*(1+IF(VLOOKUP($Q89,武学奇术!$A:$ZZ,30,FALSE)="蓄力技",#REF!,0))*(1+$BQ89)</f>
        <v>0</v>
      </c>
      <c r="O89" s="38">
        <f>((($AN89*$AH89+$AI89)*(1+$AP89)*(1+$AQ89)+($AS89*IF($G$1="鸣金",$AJ89,$AH89)+IF($G$1="鸣金",$AK89*1.5,0))*(1+$AU89)*(1+$AV89)+($AW89*IF($G$1="裂石",$AJ89,$AH89)+IF($G$1="裂石",$AK89*1.5,0))*(1+$AY89)*(1+$AZ89)+($BA89*IF($G$1="牵丝",$AJ89,$AH89)+IF($G$1="牵丝",$AK89*1.5,0))*(1+$BC89)*(1+$BD89)+($BE89*IF($G$1="破竹",$AJ89,$AH89)+IF($G$1="破竹",$AK89*1.5,0))*(1+$BG89)*(1+$BH89))*(1+$AL89))*$P89*(1+IF(VLOOKUP($Q89,武学奇术!$A:$ZZ,30,FALSE)="蓄力技",#REF!,0))*(1+$BQ89)</f>
        <v>0</v>
      </c>
      <c r="P89" s="39">
        <v>1</v>
      </c>
      <c r="Q89" s="40" t="s">
        <v>76</v>
      </c>
      <c r="R89" s="40" t="s">
        <v>76</v>
      </c>
      <c r="S89" s="40" t="s">
        <v>76</v>
      </c>
      <c r="T89" s="40" t="s">
        <v>76</v>
      </c>
      <c r="U89" s="40" t="s">
        <v>76</v>
      </c>
      <c r="V89" s="40" t="s">
        <v>76</v>
      </c>
      <c r="W89" s="40" t="s">
        <v>76</v>
      </c>
      <c r="X89" s="40" t="s">
        <v>76</v>
      </c>
      <c r="Y89" s="40" t="s">
        <v>76</v>
      </c>
      <c r="Z89" s="40" t="s">
        <v>76</v>
      </c>
      <c r="AA89" s="40" t="s">
        <v>76</v>
      </c>
      <c r="AB89" s="40" t="s">
        <v>76</v>
      </c>
      <c r="AC89" s="40" t="s">
        <v>76</v>
      </c>
      <c r="AD89" s="40" t="s">
        <v>76</v>
      </c>
      <c r="AE89" s="40" t="s">
        <v>76</v>
      </c>
      <c r="AF89" s="40" t="s">
        <v>76</v>
      </c>
      <c r="AG89" t="str">
        <f>VLOOKUP($Q89,武学奇术!$A:$ZZ,25,FALSE)</f>
        <v>心法</v>
      </c>
      <c r="AH89" s="26">
        <f>VLOOKUP($Q89,武学奇术!$A:$ZZ,26,FALSE)</f>
        <v>0</v>
      </c>
      <c r="AI89" s="27">
        <f>VLOOKUP($Q89,武学奇术!$A:$ZZ,27,FALSE)*(1+IF(OR($AG89=$F$4,$AG89=$F$5),$B$21,0))</f>
        <v>0</v>
      </c>
      <c r="AJ89" s="26">
        <f>VLOOKUP($Q89,武学奇术!$A:$ZZ,28,FALSE)</f>
        <v>0</v>
      </c>
      <c r="AK89" s="27">
        <f>VLOOKUP($Q89,武学奇术!$A:$ZZ,29,FALSE)*(1+IF(OR($AG89=$F$4,$AG89=$F$5),$B$21,0))</f>
        <v>0</v>
      </c>
      <c r="AL89" s="26" cm="1">
        <f t="array" ref="AL89">$G$3+IFERROR(VLOOKUP($AG89,$F$4:$G$7,2,FALSE),0)+VLOOKUP($Q89,武学奇术!$A:$ZZ,2,FALSE)+SUM(_xlfn.XLOOKUP($R89:$AF89,增益!$A:$A,增益!$B:$B,0))</f>
        <v>0.2642</v>
      </c>
      <c r="AM89" s="26" cm="1">
        <f t="array" ref="AM89">VLOOKUP($Q89,武学奇术!$A:$ZZ,5,FALSE)+SUM(_xlfn.XLOOKUP($R89:$AF89,增益!$A:$A,增益!$E:$E,0))</f>
        <v>0</v>
      </c>
      <c r="AN89" cm="1">
        <f t="array" ref="AN89">$D$10*(1+$AM89)+VLOOKUP($Q89,武学奇术!$A:$ZZ,3,FALSE)+SUM(_xlfn.XLOOKUP($R89:$AF89,增益!$A:$A,增益!$C:$C,0))-$I$2</f>
        <v>3977.2</v>
      </c>
      <c r="AO89" cm="1">
        <f t="array" ref="AO89">$E$10*(1+$AM89)+VLOOKUP($Q89,武学奇术!$A:$ZZ,4,FALSE)+SUM(_xlfn.XLOOKUP($R89:$AF89,增益!$A:$A,增益!$D:$D,0))-$I$2</f>
        <v>3977.2</v>
      </c>
      <c r="AP89" s="32" cm="1">
        <f t="array" ref="AP89">IF($F$10-$I$3+VLOOKUP($Q89,武学奇术!$A:$ZZ,6,FALSE)+SUM(_xlfn.XLOOKUP(R89:AF89,增益!$A:$A,增益!$F:$F,0))&gt;0,($F$10-$I$3+VLOOKUP($Q89,武学奇术!$A:$ZZ,6,FALSE)+SUM(_xlfn.XLOOKUP(R89:AF89,增益!$A:$A,增益!$F:$F,0)))/200,($F$10-$I$3+VLOOKUP($Q89,武学奇术!$A:$ZZ,6,FALSE)+SUM(_xlfn.XLOOKUP(R89:AF89,增益!$A:$A,增益!$F:$F,0)))/100)</f>
        <v>0.294</v>
      </c>
      <c r="AQ89" s="32" cm="1">
        <f t="array" ref="AQ89">$G$10+VLOOKUP($Q89,武学奇术!$A:$ZZ,7,FALSE)+SUM(_xlfn.XLOOKUP(R89:AF89,增益!$A:$A,增益!$G:$G,0))</f>
        <v>0</v>
      </c>
      <c r="AR89" s="26" cm="1">
        <f t="array" ref="AR89">VLOOKUP($Q89,武学奇术!$A:$ZZ,8,FALSE)+SUM(_xlfn.XLOOKUP(R89:AF89,增益!$A:$A,增益!$H:$H,0))</f>
        <v>0</v>
      </c>
      <c r="AS89">
        <f t="shared" si="43"/>
        <v>0</v>
      </c>
      <c r="AT89">
        <f t="shared" si="44"/>
        <v>0</v>
      </c>
      <c r="AU89" s="32" cm="1">
        <f t="array" ref="AU89">IF($F$11-$I$4+VLOOKUP($Q89,武学奇术!$A:$ZZ,9,FALSE)+SUM(_xlfn.XLOOKUP(R89:AF89,增益!$A:$A,增益!$I:$I,0))&gt;0,($F$11-$I$4+VLOOKUP($Q89,武学奇术!$A:$ZZ,9,FALSE)+SUM(_xlfn.XLOOKUP(R89:AF89,增益!$A:$A,增益!$I:$I,0)))/200,($F$11-$I$4+VLOOKUP($Q89,武学奇术!$A:$ZZ,9,FALSE)+SUM(_xlfn.XLOOKUP(R89:AF89,增益!$A:$A,增益!$I:$I,0)))/100)</f>
        <v>-0.3</v>
      </c>
      <c r="AV89" s="32" cm="1">
        <f t="array" ref="AV89">$G$11+VLOOKUP($Q89,武学奇术!$A:$ZZ,10,FALSE)+SUM(_xlfn.XLOOKUP(R89:AF89,增益!$A:$A,增益!$J:$J,0))</f>
        <v>0</v>
      </c>
      <c r="AW89">
        <f t="shared" si="45"/>
        <v>0</v>
      </c>
      <c r="AX89">
        <f t="shared" si="46"/>
        <v>0</v>
      </c>
      <c r="AY89" s="32" cm="1">
        <f t="array" ref="AY89">IF($F$12-$I$4+VLOOKUP($Q89,武学奇术!$A:$ZZ,11,FALSE)+SUM(_xlfn.XLOOKUP(R89:AF89,增益!$A:$A,增益!$K:$K,0))&gt;0,($F$12-$I$4+VLOOKUP($Q89,武学奇术!$A:$ZZ,11,FALSE)+SUM(_xlfn.XLOOKUP(R89:AF89,增益!$A:$A,增益!$K:$K,0)))/200,($F$12-$I$4+VLOOKUP($Q89,武学奇术!$A:$ZZ,11,FALSE)+SUM(_xlfn.XLOOKUP(R89:AF89,增益!$A:$A,增益!$K:$K,0)))/100)</f>
        <v>-0.3</v>
      </c>
      <c r="AZ89" s="32" cm="1">
        <f t="array" ref="AZ89">$G$12+VLOOKUP($Q89,武学奇术!$A:$ZZ,12,FALSE)+SUM(_xlfn.XLOOKUP(R89:AF89,增益!$A:$A,增益!$L:$L,0))</f>
        <v>0</v>
      </c>
      <c r="BA89">
        <f t="shared" si="47"/>
        <v>697.4</v>
      </c>
      <c r="BB89">
        <f t="shared" si="48"/>
        <v>1805</v>
      </c>
      <c r="BC89" s="32" cm="1">
        <f t="array" ref="BC89">IF($F$13-$I$4+VLOOKUP($Q89,武学奇术!$A:$ZZ,13,FALSE)+SUM(_xlfn.XLOOKUP(R89:AF89,增益!$A:$A,增益!$M:$M,0))&gt;0,($F$13-$I$4+VLOOKUP($Q89,武学奇术!$A:$ZZ,13,FALSE)+SUM(_xlfn.XLOOKUP(R89:AF89,增益!$A:$A,增益!$K:$K,0)))/200,($F$13-$I$4+VLOOKUP($Q89,武学奇术!$A:$ZZ,13,FALSE)+SUM(_xlfn.XLOOKUP(R89:AF89,增益!$A:$A,增益!$M:$M,0)))/100)</f>
        <v>0</v>
      </c>
      <c r="BD89" s="32" cm="1">
        <f t="array" ref="BD89">$G$13+VLOOKUP($Q89,武学奇术!$A:$ZZ,14,FALSE)+SUM(_xlfn.XLOOKUP(R89:AF89,增益!$A:$A,增益!$N:$N,0))</f>
        <v>0.15</v>
      </c>
      <c r="BE89">
        <f t="shared" si="49"/>
        <v>0</v>
      </c>
      <c r="BF89">
        <f t="shared" si="50"/>
        <v>0</v>
      </c>
      <c r="BG89" s="32" cm="1">
        <f t="array" ref="BG89">IF($F$14-$I$4+VLOOKUP($Q89,武学奇术!$A:$ZZ,15,FALSE)+SUM(_xlfn.XLOOKUP(R89:AF89,增益!$A:$A,增益!$O:$O,0))&gt;0,($F$14-$I$4+VLOOKUP($Q89,武学奇术!$A:$ZZ,15,FALSE)+SUM(_xlfn.XLOOKUP(R89:AF89,增益!$A:$A,增益!$O:$O,0)))/200,($F$14-$I$4+VLOOKUP($Q89,武学奇术!$A:$ZZ,15,FALSE)+SUM(_xlfn.XLOOKUP(R89:AF89,增益!$A:$A,增益!$O:$O,0)))/100)</f>
        <v>-0.3</v>
      </c>
      <c r="BH89" s="32" cm="1">
        <f t="array" ref="BH89">$G$14+VLOOKUP($Q89,武学奇术!$A:$ZZ,16,FALSE)+SUM(_xlfn.XLOOKUP(R89:AF89,增益!$A:$A,增益!$P:$P,0))</f>
        <v>0</v>
      </c>
      <c r="BI89" s="26">
        <f>MIN(IF(VLOOKUP($Q89,武学奇术!$A:$ZZ,23,FALSE)=1,100%,$B$8),100%)</f>
        <v>1</v>
      </c>
      <c r="BJ89" s="26" cm="1">
        <f t="array" ref="BJ89">IF(VLOOKUP($Q89,武学奇术!$A:$ZZ,23,FALSE)=1,100%,MIN(80%,$B$9+VLOOKUP($Q89,武学奇术!$A:$ZZ,17,FALSE)+SUM(_xlfn.XLOOKUP(R89:AF89,增益!$A:$A,增益!$Q:$Q,0)))+$B$11+SUM(_xlfn.XLOOKUP(R89:AF89,增益!$A:$A,增益!$U:$U,0)))*IF(VLOOKUP($Q89,武学奇术!$A:$ZZ,24,FALSE)=1,0,1)</f>
        <v>0.8625</v>
      </c>
      <c r="BK89" s="26" cm="1">
        <f t="array" ref="BK89">1+$B$13+VLOOKUP($Q89,武学奇术!$A:$ZZ,18,FALSE)+SUM(_xlfn.XLOOKUP(R89:AF89,增益!$A:$A,增益!$R:$R,0))</f>
        <v>1.5</v>
      </c>
      <c r="BL89" s="26" cm="1">
        <f t="array" ref="BL89">IF(VLOOKUP($Q89,武学奇术!$A:$ZZ,24,FALSE)=1,100%,MIN(40%,$B$10+VLOOKUP($Q89,武学奇术!$A:$ZZ,19,FALSE)+SUM(_xlfn.XLOOKUP(R89:AF89,增益!$A:$A,增益!$S:$S,0)))+$B$12+SUM(_xlfn.XLOOKUP(R89:AF89,增益!$A:$A,增益!$V:$V,0)))*IF(VLOOKUP($Q89,武学奇术!$A:$ZZ,23,FALSE)=1,0,1)</f>
        <v>0.0913</v>
      </c>
      <c r="BM89" s="26" cm="1">
        <f t="array" ref="BM89">1+$B$14+VLOOKUP($Q89,武学奇术!$A:$ZZ,20,FALSE)+SUM(_xlfn.XLOOKUP(R89:AF89,增益!$A:$A,增益!$T:$T,0))</f>
        <v>1.35</v>
      </c>
      <c r="BN89" s="26">
        <f t="shared" si="22"/>
        <v>0.8625</v>
      </c>
      <c r="BO89" s="26">
        <f t="shared" si="32"/>
        <v>0.0462</v>
      </c>
      <c r="BP89" s="26">
        <f>IF(VLOOKUP($Q89,武学奇术!$A:$ZZ,22,FALSE)=1,0,(1-$BI89))*(1-$BL89)</f>
        <v>0</v>
      </c>
      <c r="BQ89" s="26" cm="1">
        <f t="array" ref="BQ89">SUM(_xlfn.XLOOKUP(R89:AF89,增益!$A:$A,增益!$W:$W,0))+$I$5</f>
        <v>0.06</v>
      </c>
    </row>
    <row r="90" spans="1:69">
      <c r="K90" s="38">
        <f t="shared" si="42"/>
        <v>0</v>
      </c>
      <c r="L90" s="38">
        <f>((($AN90+$AO90)/2*$AH90+$AI90)*(1+$AP90)*(1+$AQ90)+(($AS90+$AT90)/2*IF($G$1="鸣金",$AJ90,$AH90)+IF($G$1="鸣金",$AK90*1.5,0))*(1+$AU90)*(1+$AV90)+(($AW90+$AX90)/2*IF($G$1="裂石",$AJ90,$AH90)+IF($G$1="裂石",$AK90*1.5,0))*(1+$AY90)*(1+$AZ90)+(($BA90+$BB90)/2*IF($G$1="牵丝",$AJ90,$AH90)+IF($G$1="牵丝",$AK90*1.5,0))*(1+$BC90)*(1+$BD90)+(($BE90+$BF90)/2*IF($G$1="破竹",$AJ90,$AH90)+IF($G$1="破竹",$AK90*1.5,0))*(1+$BG90)*(1+$BH90))*(1+$AL90)*$BK90*$P90*(1+IF(VLOOKUP($Q90,武学奇术!$A:$ZZ,30,FALSE)="蓄力技",#REF!,0))*(1+$BQ90)</f>
        <v>0</v>
      </c>
      <c r="M90" s="38">
        <f>(($AO90*$AH90+$AI90)*(1+$AP90)*(1+$AQ90)+($AT90*IF($G$1="鸣金",$AJ90,$AH90)+IF($G$1="鸣金",$AK90*1.5,0))*(1+$AU90)*(1+$AV90)+($AX90*IF($G$1="裂石",$AJ90,$AH90)+IF($G$1="裂石",$AK90*1.5,0))*(1+$AY90)*(1+$AZ90)+($BB90*IF($G$1="牵丝",$AJ90,$AH90)+IF($G$1="牵丝",$AK90*1.5,0))*(1+$BC90)*(1+$BD90)+($BF90*IF($G$1="破竹",$AJ90,$AH90)+IF($G$1="破竹",$AK90*1.5,0))*(1+$BG90)*(1+$BH90))*(1+$AL90)*$BM90*$P90*(1+IF(VLOOKUP($Q90,武学奇术!$A:$ZZ,30,FALSE)="蓄力技",#REF!,0))*(1+$BQ90)</f>
        <v>0</v>
      </c>
      <c r="N90" s="38">
        <f>((($AN90+$AO90)/2*$AH90+$AI90)*(1+$AP90)*(1+$AQ90)+(($AS90+$AT90)/2*IF($G$1="鸣金",$AJ90,$AH90)+IF($G$1="鸣金",$AK90*1.5,0))*(1+$AU90)*(1+$AV90)+(($AW90+$AX90)/2*IF($G$1="裂石",$AJ90,$AH90)+IF($G$1="裂石",$AK90*1.5,0))*(1+$AY90)*(1+$AZ90)+(($BA90+$BB90)/2*IF($G$1="牵丝",$AJ90,$AH90)+IF($G$1="牵丝",$AK90*1.5,0))*(1+$BC90)*(1+$BD90)+(($BE90+$BF90)/2*IF($G$1="破竹",$AJ90,$AH90)+IF($G$1="破竹",$AK90*1.5,0))*(1+$BG90)*(1+$BH90))*(1+$AL90)*$P90*(1+IF(VLOOKUP($Q90,武学奇术!$A:$ZZ,30,FALSE)="蓄力技",#REF!,0))*(1+$BQ90)</f>
        <v>0</v>
      </c>
      <c r="O90" s="38">
        <f>((($AN90*$AH90+$AI90)*(1+$AP90)*(1+$AQ90)+($AS90*IF($G$1="鸣金",$AJ90,$AH90)+IF($G$1="鸣金",$AK90*1.5,0))*(1+$AU90)*(1+$AV90)+($AW90*IF($G$1="裂石",$AJ90,$AH90)+IF($G$1="裂石",$AK90*1.5,0))*(1+$AY90)*(1+$AZ90)+($BA90*IF($G$1="牵丝",$AJ90,$AH90)+IF($G$1="牵丝",$AK90*1.5,0))*(1+$BC90)*(1+$BD90)+($BE90*IF($G$1="破竹",$AJ90,$AH90)+IF($G$1="破竹",$AK90*1.5,0))*(1+$BG90)*(1+$BH90))*(1+$AL90))*$P90*(1+IF(VLOOKUP($Q90,武学奇术!$A:$ZZ,30,FALSE)="蓄力技",#REF!,0))*(1+$BQ90)</f>
        <v>0</v>
      </c>
      <c r="P90" s="39">
        <v>1</v>
      </c>
      <c r="Q90" s="40" t="s">
        <v>76</v>
      </c>
      <c r="R90" s="40" t="s">
        <v>76</v>
      </c>
      <c r="S90" s="40" t="s">
        <v>76</v>
      </c>
      <c r="T90" s="40" t="s">
        <v>76</v>
      </c>
      <c r="U90" s="40" t="s">
        <v>76</v>
      </c>
      <c r="V90" s="40" t="s">
        <v>76</v>
      </c>
      <c r="W90" s="40" t="s">
        <v>76</v>
      </c>
      <c r="X90" s="40" t="s">
        <v>76</v>
      </c>
      <c r="Y90" s="40" t="s">
        <v>76</v>
      </c>
      <c r="Z90" s="40" t="s">
        <v>76</v>
      </c>
      <c r="AA90" s="40" t="s">
        <v>76</v>
      </c>
      <c r="AB90" s="40" t="s">
        <v>76</v>
      </c>
      <c r="AC90" s="40" t="s">
        <v>76</v>
      </c>
      <c r="AD90" s="40" t="s">
        <v>76</v>
      </c>
      <c r="AE90" s="40" t="s">
        <v>76</v>
      </c>
      <c r="AF90" s="40" t="s">
        <v>76</v>
      </c>
      <c r="AG90" t="str">
        <f>VLOOKUP($Q90,武学奇术!$A:$ZZ,25,FALSE)</f>
        <v>心法</v>
      </c>
      <c r="AH90" s="26">
        <f>VLOOKUP($Q90,武学奇术!$A:$ZZ,26,FALSE)</f>
        <v>0</v>
      </c>
      <c r="AI90" s="27">
        <f>VLOOKUP($Q90,武学奇术!$A:$ZZ,27,FALSE)*(1+IF(OR($AG90=$F$4,$AG90=$F$5),$B$21,0))</f>
        <v>0</v>
      </c>
      <c r="AJ90" s="26">
        <f>VLOOKUP($Q90,武学奇术!$A:$ZZ,28,FALSE)</f>
        <v>0</v>
      </c>
      <c r="AK90" s="27">
        <f>VLOOKUP($Q90,武学奇术!$A:$ZZ,29,FALSE)*(1+IF(OR($AG90=$F$4,$AG90=$F$5),$B$21,0))</f>
        <v>0</v>
      </c>
      <c r="AL90" s="26" cm="1">
        <f t="array" ref="AL90">$G$3+IFERROR(VLOOKUP($AG90,$F$4:$G$7,2,FALSE),0)+VLOOKUP($Q90,武学奇术!$A:$ZZ,2,FALSE)+SUM(_xlfn.XLOOKUP($R90:$AF90,增益!$A:$A,增益!$B:$B,0))</f>
        <v>0.2642</v>
      </c>
      <c r="AM90" s="26" cm="1">
        <f t="array" ref="AM90">VLOOKUP($Q90,武学奇术!$A:$ZZ,5,FALSE)+SUM(_xlfn.XLOOKUP($R90:$AF90,增益!$A:$A,增益!$E:$E,0))</f>
        <v>0</v>
      </c>
      <c r="AN90" cm="1">
        <f t="array" ref="AN90">$D$10*(1+$AM90)+VLOOKUP($Q90,武学奇术!$A:$ZZ,3,FALSE)+SUM(_xlfn.XLOOKUP($R90:$AF90,增益!$A:$A,增益!$C:$C,0))-$I$2</f>
        <v>3977.2</v>
      </c>
      <c r="AO90" cm="1">
        <f t="array" ref="AO90">$E$10*(1+$AM90)+VLOOKUP($Q90,武学奇术!$A:$ZZ,4,FALSE)+SUM(_xlfn.XLOOKUP($R90:$AF90,增益!$A:$A,增益!$D:$D,0))-$I$2</f>
        <v>3977.2</v>
      </c>
      <c r="AP90" s="32" cm="1">
        <f t="array" ref="AP90">IF($F$10-$I$3+VLOOKUP($Q90,武学奇术!$A:$ZZ,6,FALSE)+SUM(_xlfn.XLOOKUP(R90:AF90,增益!$A:$A,增益!$F:$F,0))&gt;0,($F$10-$I$3+VLOOKUP($Q90,武学奇术!$A:$ZZ,6,FALSE)+SUM(_xlfn.XLOOKUP(R90:AF90,增益!$A:$A,增益!$F:$F,0)))/200,($F$10-$I$3+VLOOKUP($Q90,武学奇术!$A:$ZZ,6,FALSE)+SUM(_xlfn.XLOOKUP(R90:AF90,增益!$A:$A,增益!$F:$F,0)))/100)</f>
        <v>0.294</v>
      </c>
      <c r="AQ90" s="32" cm="1">
        <f t="array" ref="AQ90">$G$10+VLOOKUP($Q90,武学奇术!$A:$ZZ,7,FALSE)+SUM(_xlfn.XLOOKUP(R90:AF90,增益!$A:$A,增益!$G:$G,0))</f>
        <v>0</v>
      </c>
      <c r="AR90" s="26" cm="1">
        <f t="array" ref="AR90">VLOOKUP($Q90,武学奇术!$A:$ZZ,8,FALSE)+SUM(_xlfn.XLOOKUP(R90:AF90,增益!$A:$A,增益!$H:$H,0))</f>
        <v>0</v>
      </c>
      <c r="AS90">
        <f t="shared" si="43"/>
        <v>0</v>
      </c>
      <c r="AT90">
        <f t="shared" si="44"/>
        <v>0</v>
      </c>
      <c r="AU90" s="32" cm="1">
        <f t="array" ref="AU90">IF($F$11-$I$4+VLOOKUP($Q90,武学奇术!$A:$ZZ,9,FALSE)+SUM(_xlfn.XLOOKUP(R90:AF90,增益!$A:$A,增益!$I:$I,0))&gt;0,($F$11-$I$4+VLOOKUP($Q90,武学奇术!$A:$ZZ,9,FALSE)+SUM(_xlfn.XLOOKUP(R90:AF90,增益!$A:$A,增益!$I:$I,0)))/200,($F$11-$I$4+VLOOKUP($Q90,武学奇术!$A:$ZZ,9,FALSE)+SUM(_xlfn.XLOOKUP(R90:AF90,增益!$A:$A,增益!$I:$I,0)))/100)</f>
        <v>-0.3</v>
      </c>
      <c r="AV90" s="32" cm="1">
        <f t="array" ref="AV90">$G$11+VLOOKUP($Q90,武学奇术!$A:$ZZ,10,FALSE)+SUM(_xlfn.XLOOKUP(R90:AF90,增益!$A:$A,增益!$J:$J,0))</f>
        <v>0</v>
      </c>
      <c r="AW90">
        <f t="shared" si="45"/>
        <v>0</v>
      </c>
      <c r="AX90">
        <f t="shared" si="46"/>
        <v>0</v>
      </c>
      <c r="AY90" s="32" cm="1">
        <f t="array" ref="AY90">IF($F$12-$I$4+VLOOKUP($Q90,武学奇术!$A:$ZZ,11,FALSE)+SUM(_xlfn.XLOOKUP(R90:AF90,增益!$A:$A,增益!$K:$K,0))&gt;0,($F$12-$I$4+VLOOKUP($Q90,武学奇术!$A:$ZZ,11,FALSE)+SUM(_xlfn.XLOOKUP(R90:AF90,增益!$A:$A,增益!$K:$K,0)))/200,($F$12-$I$4+VLOOKUP($Q90,武学奇术!$A:$ZZ,11,FALSE)+SUM(_xlfn.XLOOKUP(R90:AF90,增益!$A:$A,增益!$K:$K,0)))/100)</f>
        <v>-0.3</v>
      </c>
      <c r="AZ90" s="32" cm="1">
        <f t="array" ref="AZ90">$G$12+VLOOKUP($Q90,武学奇术!$A:$ZZ,12,FALSE)+SUM(_xlfn.XLOOKUP(R90:AF90,增益!$A:$A,增益!$L:$L,0))</f>
        <v>0</v>
      </c>
      <c r="BA90">
        <f t="shared" si="47"/>
        <v>697.4</v>
      </c>
      <c r="BB90">
        <f t="shared" si="48"/>
        <v>1805</v>
      </c>
      <c r="BC90" s="32" cm="1">
        <f t="array" ref="BC90">IF($F$13-$I$4+VLOOKUP($Q90,武学奇术!$A:$ZZ,13,FALSE)+SUM(_xlfn.XLOOKUP(R90:AF90,增益!$A:$A,增益!$M:$M,0))&gt;0,($F$13-$I$4+VLOOKUP($Q90,武学奇术!$A:$ZZ,13,FALSE)+SUM(_xlfn.XLOOKUP(R90:AF90,增益!$A:$A,增益!$K:$K,0)))/200,($F$13-$I$4+VLOOKUP($Q90,武学奇术!$A:$ZZ,13,FALSE)+SUM(_xlfn.XLOOKUP(R90:AF90,增益!$A:$A,增益!$M:$M,0)))/100)</f>
        <v>0</v>
      </c>
      <c r="BD90" s="32" cm="1">
        <f t="array" ref="BD90">$G$13+VLOOKUP($Q90,武学奇术!$A:$ZZ,14,FALSE)+SUM(_xlfn.XLOOKUP(R90:AF90,增益!$A:$A,增益!$N:$N,0))</f>
        <v>0.15</v>
      </c>
      <c r="BE90">
        <f t="shared" si="49"/>
        <v>0</v>
      </c>
      <c r="BF90">
        <f t="shared" si="50"/>
        <v>0</v>
      </c>
      <c r="BG90" s="32" cm="1">
        <f t="array" ref="BG90">IF($F$14-$I$4+VLOOKUP($Q90,武学奇术!$A:$ZZ,15,FALSE)+SUM(_xlfn.XLOOKUP(R90:AF90,增益!$A:$A,增益!$O:$O,0))&gt;0,($F$14-$I$4+VLOOKUP($Q90,武学奇术!$A:$ZZ,15,FALSE)+SUM(_xlfn.XLOOKUP(R90:AF90,增益!$A:$A,增益!$O:$O,0)))/200,($F$14-$I$4+VLOOKUP($Q90,武学奇术!$A:$ZZ,15,FALSE)+SUM(_xlfn.XLOOKUP(R90:AF90,增益!$A:$A,增益!$O:$O,0)))/100)</f>
        <v>-0.3</v>
      </c>
      <c r="BH90" s="32" cm="1">
        <f t="array" ref="BH90">$G$14+VLOOKUP($Q90,武学奇术!$A:$ZZ,16,FALSE)+SUM(_xlfn.XLOOKUP(R90:AF90,增益!$A:$A,增益!$P:$P,0))</f>
        <v>0</v>
      </c>
      <c r="BI90" s="26">
        <f>MIN(IF(VLOOKUP($Q90,武学奇术!$A:$ZZ,23,FALSE)=1,100%,$B$8),100%)</f>
        <v>1</v>
      </c>
      <c r="BJ90" s="26" cm="1">
        <f t="array" ref="BJ90">IF(VLOOKUP($Q90,武学奇术!$A:$ZZ,23,FALSE)=1,100%,MIN(80%,$B$9+VLOOKUP($Q90,武学奇术!$A:$ZZ,17,FALSE)+SUM(_xlfn.XLOOKUP(R90:AF90,增益!$A:$A,增益!$Q:$Q,0)))+$B$11+SUM(_xlfn.XLOOKUP(R90:AF90,增益!$A:$A,增益!$U:$U,0)))*IF(VLOOKUP($Q90,武学奇术!$A:$ZZ,24,FALSE)=1,0,1)</f>
        <v>0.8625</v>
      </c>
      <c r="BK90" s="26" cm="1">
        <f t="array" ref="BK90">1+$B$13+VLOOKUP($Q90,武学奇术!$A:$ZZ,18,FALSE)+SUM(_xlfn.XLOOKUP(R90:AF90,增益!$A:$A,增益!$R:$R,0))</f>
        <v>1.5</v>
      </c>
      <c r="BL90" s="26" cm="1">
        <f t="array" ref="BL90">IF(VLOOKUP($Q90,武学奇术!$A:$ZZ,24,FALSE)=1,100%,MIN(40%,$B$10+VLOOKUP($Q90,武学奇术!$A:$ZZ,19,FALSE)+SUM(_xlfn.XLOOKUP(R90:AF90,增益!$A:$A,增益!$S:$S,0)))+$B$12+SUM(_xlfn.XLOOKUP(R90:AF90,增益!$A:$A,增益!$V:$V,0)))*IF(VLOOKUP($Q90,武学奇术!$A:$ZZ,23,FALSE)=1,0,1)</f>
        <v>0.0913</v>
      </c>
      <c r="BM90" s="26" cm="1">
        <f t="array" ref="BM90">1+$B$14+VLOOKUP($Q90,武学奇术!$A:$ZZ,20,FALSE)+SUM(_xlfn.XLOOKUP(R90:AF90,增益!$A:$A,增益!$T:$T,0))</f>
        <v>1.35</v>
      </c>
      <c r="BN90" s="26">
        <f t="shared" si="22"/>
        <v>0.8625</v>
      </c>
      <c r="BO90" s="26">
        <f t="shared" si="32"/>
        <v>0.0462</v>
      </c>
      <c r="BP90" s="26">
        <f>IF(VLOOKUP($Q90,武学奇术!$A:$ZZ,22,FALSE)=1,0,(1-$BI90))*(1-$BL90)</f>
        <v>0</v>
      </c>
      <c r="BQ90" s="26" cm="1">
        <f t="array" ref="BQ90">SUM(_xlfn.XLOOKUP(R90:AF90,增益!$A:$A,增益!$W:$W,0))+$I$5</f>
        <v>0.06</v>
      </c>
    </row>
    <row r="91" spans="1:69">
      <c r="K91" s="38">
        <f t="shared" si="42"/>
        <v>0</v>
      </c>
      <c r="L91" s="38">
        <f>((($AN91+$AO91)/2*$AH91+$AI91)*(1+$AP91)*(1+$AQ91)+(($AS91+$AT91)/2*IF($G$1="鸣金",$AJ91,$AH91)+IF($G$1="鸣金",$AK91*1.5,0))*(1+$AU91)*(1+$AV91)+(($AW91+$AX91)/2*IF($G$1="裂石",$AJ91,$AH91)+IF($G$1="裂石",$AK91*1.5,0))*(1+$AY91)*(1+$AZ91)+(($BA91+$BB91)/2*IF($G$1="牵丝",$AJ91,$AH91)+IF($G$1="牵丝",$AK91*1.5,0))*(1+$BC91)*(1+$BD91)+(($BE91+$BF91)/2*IF($G$1="破竹",$AJ91,$AH91)+IF($G$1="破竹",$AK91*1.5,0))*(1+$BG91)*(1+$BH91))*(1+$AL91)*$BK91*$P91*(1+IF(VLOOKUP($Q91,武学奇术!$A:$ZZ,30,FALSE)="蓄力技",#REF!,0))*(1+$BQ91)</f>
        <v>0</v>
      </c>
      <c r="M91" s="38">
        <f>(($AO91*$AH91+$AI91)*(1+$AP91)*(1+$AQ91)+($AT91*IF($G$1="鸣金",$AJ91,$AH91)+IF($G$1="鸣金",$AK91*1.5,0))*(1+$AU91)*(1+$AV91)+($AX91*IF($G$1="裂石",$AJ91,$AH91)+IF($G$1="裂石",$AK91*1.5,0))*(1+$AY91)*(1+$AZ91)+($BB91*IF($G$1="牵丝",$AJ91,$AH91)+IF($G$1="牵丝",$AK91*1.5,0))*(1+$BC91)*(1+$BD91)+($BF91*IF($G$1="破竹",$AJ91,$AH91)+IF($G$1="破竹",$AK91*1.5,0))*(1+$BG91)*(1+$BH91))*(1+$AL91)*$BM91*$P91*(1+IF(VLOOKUP($Q91,武学奇术!$A:$ZZ,30,FALSE)="蓄力技",#REF!,0))*(1+$BQ91)</f>
        <v>0</v>
      </c>
      <c r="N91" s="38">
        <f>((($AN91+$AO91)/2*$AH91+$AI91)*(1+$AP91)*(1+$AQ91)+(($AS91+$AT91)/2*IF($G$1="鸣金",$AJ91,$AH91)+IF($G$1="鸣金",$AK91*1.5,0))*(1+$AU91)*(1+$AV91)+(($AW91+$AX91)/2*IF($G$1="裂石",$AJ91,$AH91)+IF($G$1="裂石",$AK91*1.5,0))*(1+$AY91)*(1+$AZ91)+(($BA91+$BB91)/2*IF($G$1="牵丝",$AJ91,$AH91)+IF($G$1="牵丝",$AK91*1.5,0))*(1+$BC91)*(1+$BD91)+(($BE91+$BF91)/2*IF($G$1="破竹",$AJ91,$AH91)+IF($G$1="破竹",$AK91*1.5,0))*(1+$BG91)*(1+$BH91))*(1+$AL91)*$P91*(1+IF(VLOOKUP($Q91,武学奇术!$A:$ZZ,30,FALSE)="蓄力技",#REF!,0))*(1+$BQ91)</f>
        <v>0</v>
      </c>
      <c r="O91" s="38">
        <f>((($AN91*$AH91+$AI91)*(1+$AP91)*(1+$AQ91)+($AS91*IF($G$1="鸣金",$AJ91,$AH91)+IF($G$1="鸣金",$AK91*1.5,0))*(1+$AU91)*(1+$AV91)+($AW91*IF($G$1="裂石",$AJ91,$AH91)+IF($G$1="裂石",$AK91*1.5,0))*(1+$AY91)*(1+$AZ91)+($BA91*IF($G$1="牵丝",$AJ91,$AH91)+IF($G$1="牵丝",$AK91*1.5,0))*(1+$BC91)*(1+$BD91)+($BE91*IF($G$1="破竹",$AJ91,$AH91)+IF($G$1="破竹",$AK91*1.5,0))*(1+$BG91)*(1+$BH91))*(1+$AL91))*$P91*(1+IF(VLOOKUP($Q91,武学奇术!$A:$ZZ,30,FALSE)="蓄力技",#REF!,0))*(1+$BQ91)</f>
        <v>0</v>
      </c>
      <c r="P91" s="39">
        <v>1</v>
      </c>
      <c r="Q91" s="40" t="s">
        <v>76</v>
      </c>
      <c r="R91" s="40" t="s">
        <v>76</v>
      </c>
      <c r="S91" s="40" t="s">
        <v>76</v>
      </c>
      <c r="T91" s="40" t="s">
        <v>76</v>
      </c>
      <c r="U91" s="40" t="s">
        <v>76</v>
      </c>
      <c r="V91" s="40" t="s">
        <v>76</v>
      </c>
      <c r="W91" s="40" t="s">
        <v>76</v>
      </c>
      <c r="X91" s="40" t="s">
        <v>76</v>
      </c>
      <c r="Y91" s="40" t="s">
        <v>76</v>
      </c>
      <c r="Z91" s="40" t="s">
        <v>76</v>
      </c>
      <c r="AA91" s="40" t="s">
        <v>76</v>
      </c>
      <c r="AB91" s="40" t="s">
        <v>76</v>
      </c>
      <c r="AC91" s="40" t="s">
        <v>76</v>
      </c>
      <c r="AD91" s="40" t="s">
        <v>76</v>
      </c>
      <c r="AE91" s="40" t="s">
        <v>76</v>
      </c>
      <c r="AF91" s="40" t="s">
        <v>76</v>
      </c>
      <c r="AG91" t="str">
        <f>VLOOKUP($Q91,武学奇术!$A:$ZZ,25,FALSE)</f>
        <v>心法</v>
      </c>
      <c r="AH91" s="26">
        <f>VLOOKUP($Q91,武学奇术!$A:$ZZ,26,FALSE)</f>
        <v>0</v>
      </c>
      <c r="AI91" s="27">
        <f>VLOOKUP($Q91,武学奇术!$A:$ZZ,27,FALSE)*(1+IF(OR($AG91=$F$4,$AG91=$F$5),$B$21,0))</f>
        <v>0</v>
      </c>
      <c r="AJ91" s="26">
        <f>VLOOKUP($Q91,武学奇术!$A:$ZZ,28,FALSE)</f>
        <v>0</v>
      </c>
      <c r="AK91" s="27">
        <f>VLOOKUP($Q91,武学奇术!$A:$ZZ,29,FALSE)*(1+IF(OR($AG91=$F$4,$AG91=$F$5),$B$21,0))</f>
        <v>0</v>
      </c>
      <c r="AL91" s="26" cm="1">
        <f t="array" ref="AL91">$G$3+IFERROR(VLOOKUP($AG91,$F$4:$G$7,2,FALSE),0)+VLOOKUP($Q91,武学奇术!$A:$ZZ,2,FALSE)+SUM(_xlfn.XLOOKUP($R91:$AF91,增益!$A:$A,增益!$B:$B,0))</f>
        <v>0.2642</v>
      </c>
      <c r="AM91" s="26" cm="1">
        <f t="array" ref="AM91">VLOOKUP($Q91,武学奇术!$A:$ZZ,5,FALSE)+SUM(_xlfn.XLOOKUP($R91:$AF91,增益!$A:$A,增益!$E:$E,0))</f>
        <v>0</v>
      </c>
      <c r="AN91" cm="1">
        <f t="array" ref="AN91">$D$10*(1+$AM91)+VLOOKUP($Q91,武学奇术!$A:$ZZ,3,FALSE)+SUM(_xlfn.XLOOKUP($R91:$AF91,增益!$A:$A,增益!$C:$C,0))-$I$2</f>
        <v>3977.2</v>
      </c>
      <c r="AO91" cm="1">
        <f t="array" ref="AO91">$E$10*(1+$AM91)+VLOOKUP($Q91,武学奇术!$A:$ZZ,4,FALSE)+SUM(_xlfn.XLOOKUP($R91:$AF91,增益!$A:$A,增益!$D:$D,0))-$I$2</f>
        <v>3977.2</v>
      </c>
      <c r="AP91" s="32" cm="1">
        <f t="array" ref="AP91">IF($F$10-$I$3+VLOOKUP($Q91,武学奇术!$A:$ZZ,6,FALSE)+SUM(_xlfn.XLOOKUP(R91:AF91,增益!$A:$A,增益!$F:$F,0))&gt;0,($F$10-$I$3+VLOOKUP($Q91,武学奇术!$A:$ZZ,6,FALSE)+SUM(_xlfn.XLOOKUP(R91:AF91,增益!$A:$A,增益!$F:$F,0)))/200,($F$10-$I$3+VLOOKUP($Q91,武学奇术!$A:$ZZ,6,FALSE)+SUM(_xlfn.XLOOKUP(R91:AF91,增益!$A:$A,增益!$F:$F,0)))/100)</f>
        <v>0.294</v>
      </c>
      <c r="AQ91" s="32" cm="1">
        <f t="array" ref="AQ91">$G$10+VLOOKUP($Q91,武学奇术!$A:$ZZ,7,FALSE)+SUM(_xlfn.XLOOKUP(R91:AF91,增益!$A:$A,增益!$G:$G,0))</f>
        <v>0</v>
      </c>
      <c r="AR91" s="26" cm="1">
        <f t="array" ref="AR91">VLOOKUP($Q91,武学奇术!$A:$ZZ,8,FALSE)+SUM(_xlfn.XLOOKUP(R91:AF91,增益!$A:$A,增益!$H:$H,0))</f>
        <v>0</v>
      </c>
      <c r="AS91">
        <f t="shared" si="43"/>
        <v>0</v>
      </c>
      <c r="AT91">
        <f t="shared" si="44"/>
        <v>0</v>
      </c>
      <c r="AU91" s="32" cm="1">
        <f t="array" ref="AU91">IF($F$11-$I$4+VLOOKUP($Q91,武学奇术!$A:$ZZ,9,FALSE)+SUM(_xlfn.XLOOKUP(R91:AF91,增益!$A:$A,增益!$I:$I,0))&gt;0,($F$11-$I$4+VLOOKUP($Q91,武学奇术!$A:$ZZ,9,FALSE)+SUM(_xlfn.XLOOKUP(R91:AF91,增益!$A:$A,增益!$I:$I,0)))/200,($F$11-$I$4+VLOOKUP($Q91,武学奇术!$A:$ZZ,9,FALSE)+SUM(_xlfn.XLOOKUP(R91:AF91,增益!$A:$A,增益!$I:$I,0)))/100)</f>
        <v>-0.3</v>
      </c>
      <c r="AV91" s="32" cm="1">
        <f t="array" ref="AV91">$G$11+VLOOKUP($Q91,武学奇术!$A:$ZZ,10,FALSE)+SUM(_xlfn.XLOOKUP(R91:AF91,增益!$A:$A,增益!$J:$J,0))</f>
        <v>0</v>
      </c>
      <c r="AW91">
        <f t="shared" si="45"/>
        <v>0</v>
      </c>
      <c r="AX91">
        <f t="shared" si="46"/>
        <v>0</v>
      </c>
      <c r="AY91" s="32" cm="1">
        <f t="array" ref="AY91">IF($F$12-$I$4+VLOOKUP($Q91,武学奇术!$A:$ZZ,11,FALSE)+SUM(_xlfn.XLOOKUP(R91:AF91,增益!$A:$A,增益!$K:$K,0))&gt;0,($F$12-$I$4+VLOOKUP($Q91,武学奇术!$A:$ZZ,11,FALSE)+SUM(_xlfn.XLOOKUP(R91:AF91,增益!$A:$A,增益!$K:$K,0)))/200,($F$12-$I$4+VLOOKUP($Q91,武学奇术!$A:$ZZ,11,FALSE)+SUM(_xlfn.XLOOKUP(R91:AF91,增益!$A:$A,增益!$K:$K,0)))/100)</f>
        <v>-0.3</v>
      </c>
      <c r="AZ91" s="32" cm="1">
        <f t="array" ref="AZ91">$G$12+VLOOKUP($Q91,武学奇术!$A:$ZZ,12,FALSE)+SUM(_xlfn.XLOOKUP(R91:AF91,增益!$A:$A,增益!$L:$L,0))</f>
        <v>0</v>
      </c>
      <c r="BA91">
        <f t="shared" si="47"/>
        <v>697.4</v>
      </c>
      <c r="BB91">
        <f t="shared" si="48"/>
        <v>1805</v>
      </c>
      <c r="BC91" s="32" cm="1">
        <f t="array" ref="BC91">IF($F$13-$I$4+VLOOKUP($Q91,武学奇术!$A:$ZZ,13,FALSE)+SUM(_xlfn.XLOOKUP(R91:AF91,增益!$A:$A,增益!$M:$M,0))&gt;0,($F$13-$I$4+VLOOKUP($Q91,武学奇术!$A:$ZZ,13,FALSE)+SUM(_xlfn.XLOOKUP(R91:AF91,增益!$A:$A,增益!$K:$K,0)))/200,($F$13-$I$4+VLOOKUP($Q91,武学奇术!$A:$ZZ,13,FALSE)+SUM(_xlfn.XLOOKUP(R91:AF91,增益!$A:$A,增益!$M:$M,0)))/100)</f>
        <v>0</v>
      </c>
      <c r="BD91" s="32" cm="1">
        <f t="array" ref="BD91">$G$13+VLOOKUP($Q91,武学奇术!$A:$ZZ,14,FALSE)+SUM(_xlfn.XLOOKUP(R91:AF91,增益!$A:$A,增益!$N:$N,0))</f>
        <v>0.15</v>
      </c>
      <c r="BE91">
        <f t="shared" si="49"/>
        <v>0</v>
      </c>
      <c r="BF91">
        <f t="shared" si="50"/>
        <v>0</v>
      </c>
      <c r="BG91" s="32" cm="1">
        <f t="array" ref="BG91">IF($F$14-$I$4+VLOOKUP($Q91,武学奇术!$A:$ZZ,15,FALSE)+SUM(_xlfn.XLOOKUP(R91:AF91,增益!$A:$A,增益!$O:$O,0))&gt;0,($F$14-$I$4+VLOOKUP($Q91,武学奇术!$A:$ZZ,15,FALSE)+SUM(_xlfn.XLOOKUP(R91:AF91,增益!$A:$A,增益!$O:$O,0)))/200,($F$14-$I$4+VLOOKUP($Q91,武学奇术!$A:$ZZ,15,FALSE)+SUM(_xlfn.XLOOKUP(R91:AF91,增益!$A:$A,增益!$O:$O,0)))/100)</f>
        <v>-0.3</v>
      </c>
      <c r="BH91" s="32" cm="1">
        <f t="array" ref="BH91">$G$14+VLOOKUP($Q91,武学奇术!$A:$ZZ,16,FALSE)+SUM(_xlfn.XLOOKUP(R91:AF91,增益!$A:$A,增益!$P:$P,0))</f>
        <v>0</v>
      </c>
      <c r="BI91" s="26">
        <f>MIN(IF(VLOOKUP($Q91,武学奇术!$A:$ZZ,23,FALSE)=1,100%,$B$8),100%)</f>
        <v>1</v>
      </c>
      <c r="BJ91" s="26" cm="1">
        <f t="array" ref="BJ91">IF(VLOOKUP($Q91,武学奇术!$A:$ZZ,23,FALSE)=1,100%,MIN(80%,$B$9+VLOOKUP($Q91,武学奇术!$A:$ZZ,17,FALSE)+SUM(_xlfn.XLOOKUP(R91:AF91,增益!$A:$A,增益!$Q:$Q,0)))+$B$11+SUM(_xlfn.XLOOKUP(R91:AF91,增益!$A:$A,增益!$U:$U,0)))*IF(VLOOKUP($Q91,武学奇术!$A:$ZZ,24,FALSE)=1,0,1)</f>
        <v>0.8625</v>
      </c>
      <c r="BK91" s="26" cm="1">
        <f t="array" ref="BK91">1+$B$13+VLOOKUP($Q91,武学奇术!$A:$ZZ,18,FALSE)+SUM(_xlfn.XLOOKUP(R91:AF91,增益!$A:$A,增益!$R:$R,0))</f>
        <v>1.5</v>
      </c>
      <c r="BL91" s="26" cm="1">
        <f t="array" ref="BL91">IF(VLOOKUP($Q91,武学奇术!$A:$ZZ,24,FALSE)=1,100%,MIN(40%,$B$10+VLOOKUP($Q91,武学奇术!$A:$ZZ,19,FALSE)+SUM(_xlfn.XLOOKUP(R91:AF91,增益!$A:$A,增益!$S:$S,0)))+$B$12+SUM(_xlfn.XLOOKUP(R91:AF91,增益!$A:$A,增益!$V:$V,0)))*IF(VLOOKUP($Q91,武学奇术!$A:$ZZ,23,FALSE)=1,0,1)</f>
        <v>0.0913</v>
      </c>
      <c r="BM91" s="26" cm="1">
        <f t="array" ref="BM91">1+$B$14+VLOOKUP($Q91,武学奇术!$A:$ZZ,20,FALSE)+SUM(_xlfn.XLOOKUP(R91:AF91,增益!$A:$A,增益!$T:$T,0))</f>
        <v>1.35</v>
      </c>
      <c r="BN91" s="26">
        <f t="shared" si="22"/>
        <v>0.8625</v>
      </c>
      <c r="BO91" s="26">
        <f t="shared" si="32"/>
        <v>0.0462</v>
      </c>
      <c r="BP91" s="26">
        <f>IF(VLOOKUP($Q91,武学奇术!$A:$ZZ,22,FALSE)=1,0,(1-$BI91))*(1-$BL91)</f>
        <v>0</v>
      </c>
      <c r="BQ91" s="26" cm="1">
        <f t="array" ref="BQ91">SUM(_xlfn.XLOOKUP(R91:AF91,增益!$A:$A,增益!$W:$W,0))+$I$5</f>
        <v>0.06</v>
      </c>
    </row>
    <row r="92" spans="1:69">
      <c r="K92" s="38">
        <f t="shared" si="42"/>
        <v>0</v>
      </c>
      <c r="L92" s="38">
        <f>((($AN92+$AO92)/2*$AH92+$AI92)*(1+$AP92)*(1+$AQ92)+(($AS92+$AT92)/2*IF($G$1="鸣金",$AJ92,$AH92)+IF($G$1="鸣金",$AK92*1.5,0))*(1+$AU92)*(1+$AV92)+(($AW92+$AX92)/2*IF($G$1="裂石",$AJ92,$AH92)+IF($G$1="裂石",$AK92*1.5,0))*(1+$AY92)*(1+$AZ92)+(($BA92+$BB92)/2*IF($G$1="牵丝",$AJ92,$AH92)+IF($G$1="牵丝",$AK92*1.5,0))*(1+$BC92)*(1+$BD92)+(($BE92+$BF92)/2*IF($G$1="破竹",$AJ92,$AH92)+IF($G$1="破竹",$AK92*1.5,0))*(1+$BG92)*(1+$BH92))*(1+$AL92)*$BK92*$P92*(1+IF(VLOOKUP($Q92,武学奇术!$A:$ZZ,30,FALSE)="蓄力技",#REF!,0))*(1+$BQ92)</f>
        <v>0</v>
      </c>
      <c r="M92" s="38">
        <f>(($AO92*$AH92+$AI92)*(1+$AP92)*(1+$AQ92)+($AT92*IF($G$1="鸣金",$AJ92,$AH92)+IF($G$1="鸣金",$AK92*1.5,0))*(1+$AU92)*(1+$AV92)+($AX92*IF($G$1="裂石",$AJ92,$AH92)+IF($G$1="裂石",$AK92*1.5,0))*(1+$AY92)*(1+$AZ92)+($BB92*IF($G$1="牵丝",$AJ92,$AH92)+IF($G$1="牵丝",$AK92*1.5,0))*(1+$BC92)*(1+$BD92)+($BF92*IF($G$1="破竹",$AJ92,$AH92)+IF($G$1="破竹",$AK92*1.5,0))*(1+$BG92)*(1+$BH92))*(1+$AL92)*$BM92*$P92*(1+IF(VLOOKUP($Q92,武学奇术!$A:$ZZ,30,FALSE)="蓄力技",#REF!,0))*(1+$BQ92)</f>
        <v>0</v>
      </c>
      <c r="N92" s="38">
        <f>((($AN92+$AO92)/2*$AH92+$AI92)*(1+$AP92)*(1+$AQ92)+(($AS92+$AT92)/2*IF($G$1="鸣金",$AJ92,$AH92)+IF($G$1="鸣金",$AK92*1.5,0))*(1+$AU92)*(1+$AV92)+(($AW92+$AX92)/2*IF($G$1="裂石",$AJ92,$AH92)+IF($G$1="裂石",$AK92*1.5,0))*(1+$AY92)*(1+$AZ92)+(($BA92+$BB92)/2*IF($G$1="牵丝",$AJ92,$AH92)+IF($G$1="牵丝",$AK92*1.5,0))*(1+$BC92)*(1+$BD92)+(($BE92+$BF92)/2*IF($G$1="破竹",$AJ92,$AH92)+IF($G$1="破竹",$AK92*1.5,0))*(1+$BG92)*(1+$BH92))*(1+$AL92)*$P92*(1+IF(VLOOKUP($Q92,武学奇术!$A:$ZZ,30,FALSE)="蓄力技",#REF!,0))*(1+$BQ92)</f>
        <v>0</v>
      </c>
      <c r="O92" s="38">
        <f>((($AN92*$AH92+$AI92)*(1+$AP92)*(1+$AQ92)+($AS92*IF($G$1="鸣金",$AJ92,$AH92)+IF($G$1="鸣金",$AK92*1.5,0))*(1+$AU92)*(1+$AV92)+($AW92*IF($G$1="裂石",$AJ92,$AH92)+IF($G$1="裂石",$AK92*1.5,0))*(1+$AY92)*(1+$AZ92)+($BA92*IF($G$1="牵丝",$AJ92,$AH92)+IF($G$1="牵丝",$AK92*1.5,0))*(1+$BC92)*(1+$BD92)+($BE92*IF($G$1="破竹",$AJ92,$AH92)+IF($G$1="破竹",$AK92*1.5,0))*(1+$BG92)*(1+$BH92))*(1+$AL92))*$P92*(1+IF(VLOOKUP($Q92,武学奇术!$A:$ZZ,30,FALSE)="蓄力技",#REF!,0))*(1+$BQ92)</f>
        <v>0</v>
      </c>
      <c r="P92" s="39">
        <v>1</v>
      </c>
      <c r="Q92" s="40" t="s">
        <v>76</v>
      </c>
      <c r="R92" s="40" t="s">
        <v>76</v>
      </c>
      <c r="S92" s="40" t="s">
        <v>76</v>
      </c>
      <c r="T92" s="40" t="s">
        <v>76</v>
      </c>
      <c r="U92" s="40" t="s">
        <v>76</v>
      </c>
      <c r="V92" s="40" t="s">
        <v>76</v>
      </c>
      <c r="W92" s="40" t="s">
        <v>76</v>
      </c>
      <c r="X92" s="40" t="s">
        <v>76</v>
      </c>
      <c r="Y92" s="40" t="s">
        <v>76</v>
      </c>
      <c r="Z92" s="40" t="s">
        <v>76</v>
      </c>
      <c r="AA92" s="40" t="s">
        <v>76</v>
      </c>
      <c r="AB92" s="40" t="s">
        <v>76</v>
      </c>
      <c r="AC92" s="40" t="s">
        <v>76</v>
      </c>
      <c r="AD92" s="40" t="s">
        <v>76</v>
      </c>
      <c r="AE92" s="40" t="s">
        <v>76</v>
      </c>
      <c r="AF92" s="40" t="s">
        <v>76</v>
      </c>
      <c r="AG92" t="str">
        <f>VLOOKUP($Q92,武学奇术!$A:$ZZ,25,FALSE)</f>
        <v>心法</v>
      </c>
      <c r="AH92" s="26">
        <f>VLOOKUP($Q92,武学奇术!$A:$ZZ,26,FALSE)</f>
        <v>0</v>
      </c>
      <c r="AI92" s="27">
        <f>VLOOKUP($Q92,武学奇术!$A:$ZZ,27,FALSE)*(1+IF(OR($AG92=$F$4,$AG92=$F$5),$B$21,0))</f>
        <v>0</v>
      </c>
      <c r="AJ92" s="26">
        <f>VLOOKUP($Q92,武学奇术!$A:$ZZ,28,FALSE)</f>
        <v>0</v>
      </c>
      <c r="AK92" s="27">
        <f>VLOOKUP($Q92,武学奇术!$A:$ZZ,29,FALSE)*(1+IF(OR($AG92=$F$4,$AG92=$F$5),$B$21,0))</f>
        <v>0</v>
      </c>
      <c r="AL92" s="26" cm="1">
        <f t="array" ref="AL92">$G$3+IFERROR(VLOOKUP($AG92,$F$4:$G$7,2,FALSE),0)+VLOOKUP($Q92,武学奇术!$A:$ZZ,2,FALSE)+SUM(_xlfn.XLOOKUP($R92:$AF92,增益!$A:$A,增益!$B:$B,0))</f>
        <v>0.2642</v>
      </c>
      <c r="AM92" s="26" cm="1">
        <f t="array" ref="AM92">VLOOKUP($Q92,武学奇术!$A:$ZZ,5,FALSE)+SUM(_xlfn.XLOOKUP($R92:$AF92,增益!$A:$A,增益!$E:$E,0))</f>
        <v>0</v>
      </c>
      <c r="AN92" cm="1">
        <f t="array" ref="AN92">$D$10*(1+$AM92)+VLOOKUP($Q92,武学奇术!$A:$ZZ,3,FALSE)+SUM(_xlfn.XLOOKUP($R92:$AF92,增益!$A:$A,增益!$C:$C,0))-$I$2</f>
        <v>3977.2</v>
      </c>
      <c r="AO92" cm="1">
        <f t="array" ref="AO92">$E$10*(1+$AM92)+VLOOKUP($Q92,武学奇术!$A:$ZZ,4,FALSE)+SUM(_xlfn.XLOOKUP($R92:$AF92,增益!$A:$A,增益!$D:$D,0))-$I$2</f>
        <v>3977.2</v>
      </c>
      <c r="AP92" s="32" cm="1">
        <f t="array" ref="AP92">IF($F$10-$I$3+VLOOKUP($Q92,武学奇术!$A:$ZZ,6,FALSE)+SUM(_xlfn.XLOOKUP(R92:AF92,增益!$A:$A,增益!$F:$F,0))&gt;0,($F$10-$I$3+VLOOKUP($Q92,武学奇术!$A:$ZZ,6,FALSE)+SUM(_xlfn.XLOOKUP(R92:AF92,增益!$A:$A,增益!$F:$F,0)))/200,($F$10-$I$3+VLOOKUP($Q92,武学奇术!$A:$ZZ,6,FALSE)+SUM(_xlfn.XLOOKUP(R92:AF92,增益!$A:$A,增益!$F:$F,0)))/100)</f>
        <v>0.294</v>
      </c>
      <c r="AQ92" s="32" cm="1">
        <f t="array" ref="AQ92">$G$10+VLOOKUP($Q92,武学奇术!$A:$ZZ,7,FALSE)+SUM(_xlfn.XLOOKUP(R92:AF92,增益!$A:$A,增益!$G:$G,0))</f>
        <v>0</v>
      </c>
      <c r="AR92" s="26" cm="1">
        <f t="array" ref="AR92">VLOOKUP($Q92,武学奇术!$A:$ZZ,8,FALSE)+SUM(_xlfn.XLOOKUP(R92:AF92,增益!$A:$A,增益!$H:$H,0))</f>
        <v>0</v>
      </c>
      <c r="AS92">
        <f t="shared" si="43"/>
        <v>0</v>
      </c>
      <c r="AT92">
        <f t="shared" si="44"/>
        <v>0</v>
      </c>
      <c r="AU92" s="32" cm="1">
        <f t="array" ref="AU92">IF($F$11-$I$4+VLOOKUP($Q92,武学奇术!$A:$ZZ,9,FALSE)+SUM(_xlfn.XLOOKUP(R92:AF92,增益!$A:$A,增益!$I:$I,0))&gt;0,($F$11-$I$4+VLOOKUP($Q92,武学奇术!$A:$ZZ,9,FALSE)+SUM(_xlfn.XLOOKUP(R92:AF92,增益!$A:$A,增益!$I:$I,0)))/200,($F$11-$I$4+VLOOKUP($Q92,武学奇术!$A:$ZZ,9,FALSE)+SUM(_xlfn.XLOOKUP(R92:AF92,增益!$A:$A,增益!$I:$I,0)))/100)</f>
        <v>-0.3</v>
      </c>
      <c r="AV92" s="32" cm="1">
        <f t="array" ref="AV92">$G$11+VLOOKUP($Q92,武学奇术!$A:$ZZ,10,FALSE)+SUM(_xlfn.XLOOKUP(R92:AF92,增益!$A:$A,增益!$J:$J,0))</f>
        <v>0</v>
      </c>
      <c r="AW92">
        <f t="shared" si="45"/>
        <v>0</v>
      </c>
      <c r="AX92">
        <f t="shared" si="46"/>
        <v>0</v>
      </c>
      <c r="AY92" s="32" cm="1">
        <f t="array" ref="AY92">IF($F$12-$I$4+VLOOKUP($Q92,武学奇术!$A:$ZZ,11,FALSE)+SUM(_xlfn.XLOOKUP(R92:AF92,增益!$A:$A,增益!$K:$K,0))&gt;0,($F$12-$I$4+VLOOKUP($Q92,武学奇术!$A:$ZZ,11,FALSE)+SUM(_xlfn.XLOOKUP(R92:AF92,增益!$A:$A,增益!$K:$K,0)))/200,($F$12-$I$4+VLOOKUP($Q92,武学奇术!$A:$ZZ,11,FALSE)+SUM(_xlfn.XLOOKUP(R92:AF92,增益!$A:$A,增益!$K:$K,0)))/100)</f>
        <v>-0.3</v>
      </c>
      <c r="AZ92" s="32" cm="1">
        <f t="array" ref="AZ92">$G$12+VLOOKUP($Q92,武学奇术!$A:$ZZ,12,FALSE)+SUM(_xlfn.XLOOKUP(R92:AF92,增益!$A:$A,增益!$L:$L,0))</f>
        <v>0</v>
      </c>
      <c r="BA92">
        <f t="shared" si="47"/>
        <v>697.4</v>
      </c>
      <c r="BB92">
        <f t="shared" si="48"/>
        <v>1805</v>
      </c>
      <c r="BC92" s="32" cm="1">
        <f t="array" ref="BC92">IF($F$13-$I$4+VLOOKUP($Q92,武学奇术!$A:$ZZ,13,FALSE)+SUM(_xlfn.XLOOKUP(R92:AF92,增益!$A:$A,增益!$M:$M,0))&gt;0,($F$13-$I$4+VLOOKUP($Q92,武学奇术!$A:$ZZ,13,FALSE)+SUM(_xlfn.XLOOKUP(R92:AF92,增益!$A:$A,增益!$K:$K,0)))/200,($F$13-$I$4+VLOOKUP($Q92,武学奇术!$A:$ZZ,13,FALSE)+SUM(_xlfn.XLOOKUP(R92:AF92,增益!$A:$A,增益!$M:$M,0)))/100)</f>
        <v>0</v>
      </c>
      <c r="BD92" s="32" cm="1">
        <f t="array" ref="BD92">$G$13+VLOOKUP($Q92,武学奇术!$A:$ZZ,14,FALSE)+SUM(_xlfn.XLOOKUP(R92:AF92,增益!$A:$A,增益!$N:$N,0))</f>
        <v>0.15</v>
      </c>
      <c r="BE92">
        <f t="shared" si="49"/>
        <v>0</v>
      </c>
      <c r="BF92">
        <f t="shared" si="50"/>
        <v>0</v>
      </c>
      <c r="BG92" s="32" cm="1">
        <f t="array" ref="BG92">IF($F$14-$I$4+VLOOKUP($Q92,武学奇术!$A:$ZZ,15,FALSE)+SUM(_xlfn.XLOOKUP(R92:AF92,增益!$A:$A,增益!$O:$O,0))&gt;0,($F$14-$I$4+VLOOKUP($Q92,武学奇术!$A:$ZZ,15,FALSE)+SUM(_xlfn.XLOOKUP(R92:AF92,增益!$A:$A,增益!$O:$O,0)))/200,($F$14-$I$4+VLOOKUP($Q92,武学奇术!$A:$ZZ,15,FALSE)+SUM(_xlfn.XLOOKUP(R92:AF92,增益!$A:$A,增益!$O:$O,0)))/100)</f>
        <v>-0.3</v>
      </c>
      <c r="BH92" s="32" cm="1">
        <f t="array" ref="BH92">$G$14+VLOOKUP($Q92,武学奇术!$A:$ZZ,16,FALSE)+SUM(_xlfn.XLOOKUP(R92:AF92,增益!$A:$A,增益!$P:$P,0))</f>
        <v>0</v>
      </c>
      <c r="BI92" s="26">
        <f>MIN(IF(VLOOKUP($Q92,武学奇术!$A:$ZZ,23,FALSE)=1,100%,$B$8),100%)</f>
        <v>1</v>
      </c>
      <c r="BJ92" s="26" cm="1">
        <f t="array" ref="BJ92">IF(VLOOKUP($Q92,武学奇术!$A:$ZZ,23,FALSE)=1,100%,MIN(80%,$B$9+VLOOKUP($Q92,武学奇术!$A:$ZZ,17,FALSE)+SUM(_xlfn.XLOOKUP(R92:AF92,增益!$A:$A,增益!$Q:$Q,0)))+$B$11+SUM(_xlfn.XLOOKUP(R92:AF92,增益!$A:$A,增益!$U:$U,0)))*IF(VLOOKUP($Q92,武学奇术!$A:$ZZ,24,FALSE)=1,0,1)</f>
        <v>0.8625</v>
      </c>
      <c r="BK92" s="26" cm="1">
        <f t="array" ref="BK92">1+$B$13+VLOOKUP($Q92,武学奇术!$A:$ZZ,18,FALSE)+SUM(_xlfn.XLOOKUP(R92:AF92,增益!$A:$A,增益!$R:$R,0))</f>
        <v>1.5</v>
      </c>
      <c r="BL92" s="26" cm="1">
        <f t="array" ref="BL92">IF(VLOOKUP($Q92,武学奇术!$A:$ZZ,24,FALSE)=1,100%,MIN(40%,$B$10+VLOOKUP($Q92,武学奇术!$A:$ZZ,19,FALSE)+SUM(_xlfn.XLOOKUP(R92:AF92,增益!$A:$A,增益!$S:$S,0)))+$B$12+SUM(_xlfn.XLOOKUP(R92:AF92,增益!$A:$A,增益!$V:$V,0)))*IF(VLOOKUP($Q92,武学奇术!$A:$ZZ,23,FALSE)=1,0,1)</f>
        <v>0.0913</v>
      </c>
      <c r="BM92" s="26" cm="1">
        <f t="array" ref="BM92">1+$B$14+VLOOKUP($Q92,武学奇术!$A:$ZZ,20,FALSE)+SUM(_xlfn.XLOOKUP(R92:AF92,增益!$A:$A,增益!$T:$T,0))</f>
        <v>1.35</v>
      </c>
      <c r="BN92" s="26">
        <f t="shared" si="22"/>
        <v>0.8625</v>
      </c>
      <c r="BO92" s="26">
        <f t="shared" si="32"/>
        <v>0.0462</v>
      </c>
      <c r="BP92" s="26">
        <f>IF(VLOOKUP($Q92,武学奇术!$A:$ZZ,22,FALSE)=1,0,(1-$BI92))*(1-$BL92)</f>
        <v>0</v>
      </c>
      <c r="BQ92" s="26" cm="1">
        <f t="array" ref="BQ92">SUM(_xlfn.XLOOKUP(R92:AF92,增益!$A:$A,增益!$W:$W,0))+$I$5</f>
        <v>0.06</v>
      </c>
    </row>
    <row r="93" spans="1:69">
      <c r="K93" s="38">
        <f t="shared" si="42"/>
        <v>0</v>
      </c>
      <c r="L93" s="38">
        <f>((($AN93+$AO93)/2*$AH93+$AI93)*(1+$AP93)*(1+$AQ93)+(($AS93+$AT93)/2*IF($G$1="鸣金",$AJ93,$AH93)+IF($G$1="鸣金",$AK93*1.5,0))*(1+$AU93)*(1+$AV93)+(($AW93+$AX93)/2*IF($G$1="裂石",$AJ93,$AH93)+IF($G$1="裂石",$AK93*1.5,0))*(1+$AY93)*(1+$AZ93)+(($BA93+$BB93)/2*IF($G$1="牵丝",$AJ93,$AH93)+IF($G$1="牵丝",$AK93*1.5,0))*(1+$BC93)*(1+$BD93)+(($BE93+$BF93)/2*IF($G$1="破竹",$AJ93,$AH93)+IF($G$1="破竹",$AK93*1.5,0))*(1+$BG93)*(1+$BH93))*(1+$AL93)*$BK93*$P93*(1+IF(VLOOKUP($Q93,武学奇术!$A:$ZZ,30,FALSE)="蓄力技",#REF!,0))*(1+$BQ93)</f>
        <v>0</v>
      </c>
      <c r="M93" s="38">
        <f>(($AO93*$AH93+$AI93)*(1+$AP93)*(1+$AQ93)+($AT93*IF($G$1="鸣金",$AJ93,$AH93)+IF($G$1="鸣金",$AK93*1.5,0))*(1+$AU93)*(1+$AV93)+($AX93*IF($G$1="裂石",$AJ93,$AH93)+IF($G$1="裂石",$AK93*1.5,0))*(1+$AY93)*(1+$AZ93)+($BB93*IF($G$1="牵丝",$AJ93,$AH93)+IF($G$1="牵丝",$AK93*1.5,0))*(1+$BC93)*(1+$BD93)+($BF93*IF($G$1="破竹",$AJ93,$AH93)+IF($G$1="破竹",$AK93*1.5,0))*(1+$BG93)*(1+$BH93))*(1+$AL93)*$BM93*$P93*(1+IF(VLOOKUP($Q93,武学奇术!$A:$ZZ,30,FALSE)="蓄力技",#REF!,0))*(1+$BQ93)</f>
        <v>0</v>
      </c>
      <c r="N93" s="38">
        <f>((($AN93+$AO93)/2*$AH93+$AI93)*(1+$AP93)*(1+$AQ93)+(($AS93+$AT93)/2*IF($G$1="鸣金",$AJ93,$AH93)+IF($G$1="鸣金",$AK93*1.5,0))*(1+$AU93)*(1+$AV93)+(($AW93+$AX93)/2*IF($G$1="裂石",$AJ93,$AH93)+IF($G$1="裂石",$AK93*1.5,0))*(1+$AY93)*(1+$AZ93)+(($BA93+$BB93)/2*IF($G$1="牵丝",$AJ93,$AH93)+IF($G$1="牵丝",$AK93*1.5,0))*(1+$BC93)*(1+$BD93)+(($BE93+$BF93)/2*IF($G$1="破竹",$AJ93,$AH93)+IF($G$1="破竹",$AK93*1.5,0))*(1+$BG93)*(1+$BH93))*(1+$AL93)*$P93*(1+IF(VLOOKUP($Q93,武学奇术!$A:$ZZ,30,FALSE)="蓄力技",#REF!,0))*(1+$BQ93)</f>
        <v>0</v>
      </c>
      <c r="O93" s="38">
        <f>((($AN93*$AH93+$AI93)*(1+$AP93)*(1+$AQ93)+($AS93*IF($G$1="鸣金",$AJ93,$AH93)+IF($G$1="鸣金",$AK93*1.5,0))*(1+$AU93)*(1+$AV93)+($AW93*IF($G$1="裂石",$AJ93,$AH93)+IF($G$1="裂石",$AK93*1.5,0))*(1+$AY93)*(1+$AZ93)+($BA93*IF($G$1="牵丝",$AJ93,$AH93)+IF($G$1="牵丝",$AK93*1.5,0))*(1+$BC93)*(1+$BD93)+($BE93*IF($G$1="破竹",$AJ93,$AH93)+IF($G$1="破竹",$AK93*1.5,0))*(1+$BG93)*(1+$BH93))*(1+$AL93))*$P93*(1+IF(VLOOKUP($Q93,武学奇术!$A:$ZZ,30,FALSE)="蓄力技",#REF!,0))*(1+$BQ93)</f>
        <v>0</v>
      </c>
      <c r="P93" s="39">
        <v>1</v>
      </c>
      <c r="Q93" s="40" t="s">
        <v>76</v>
      </c>
      <c r="R93" s="40" t="s">
        <v>76</v>
      </c>
      <c r="S93" s="40" t="s">
        <v>76</v>
      </c>
      <c r="T93" s="40" t="s">
        <v>76</v>
      </c>
      <c r="U93" s="40" t="s">
        <v>76</v>
      </c>
      <c r="V93" s="40" t="s">
        <v>76</v>
      </c>
      <c r="W93" s="40" t="s">
        <v>76</v>
      </c>
      <c r="X93" s="40" t="s">
        <v>76</v>
      </c>
      <c r="Y93" s="40" t="s">
        <v>76</v>
      </c>
      <c r="Z93" s="40" t="s">
        <v>76</v>
      </c>
      <c r="AA93" s="40" t="s">
        <v>76</v>
      </c>
      <c r="AB93" s="40" t="s">
        <v>76</v>
      </c>
      <c r="AC93" s="40" t="s">
        <v>76</v>
      </c>
      <c r="AD93" s="40" t="s">
        <v>76</v>
      </c>
      <c r="AE93" s="40" t="s">
        <v>76</v>
      </c>
      <c r="AF93" s="40" t="s">
        <v>76</v>
      </c>
      <c r="AG93" t="str">
        <f>VLOOKUP($Q93,武学奇术!$A:$ZZ,25,FALSE)</f>
        <v>心法</v>
      </c>
      <c r="AH93" s="26">
        <f>VLOOKUP($Q93,武学奇术!$A:$ZZ,26,FALSE)</f>
        <v>0</v>
      </c>
      <c r="AI93" s="27">
        <f>VLOOKUP($Q93,武学奇术!$A:$ZZ,27,FALSE)*(1+IF(OR($AG93=$F$4,$AG93=$F$5),$B$21,0))</f>
        <v>0</v>
      </c>
      <c r="AJ93" s="26">
        <f>VLOOKUP($Q93,武学奇术!$A:$ZZ,28,FALSE)</f>
        <v>0</v>
      </c>
      <c r="AK93" s="27">
        <f>VLOOKUP($Q93,武学奇术!$A:$ZZ,29,FALSE)*(1+IF(OR($AG93=$F$4,$AG93=$F$5),$B$21,0))</f>
        <v>0</v>
      </c>
      <c r="AL93" s="26" cm="1">
        <f t="array" ref="AL93">$G$3+IFERROR(VLOOKUP($AG93,$F$4:$G$7,2,FALSE),0)+VLOOKUP($Q93,武学奇术!$A:$ZZ,2,FALSE)+SUM(_xlfn.XLOOKUP($R93:$AF93,增益!$A:$A,增益!$B:$B,0))</f>
        <v>0.2642</v>
      </c>
      <c r="AM93" s="26" cm="1">
        <f t="array" ref="AM93">VLOOKUP($Q93,武学奇术!$A:$ZZ,5,FALSE)+SUM(_xlfn.XLOOKUP($R93:$AF93,增益!$A:$A,增益!$E:$E,0))</f>
        <v>0</v>
      </c>
      <c r="AN93" cm="1">
        <f t="array" ref="AN93">$D$10*(1+$AM93)+VLOOKUP($Q93,武学奇术!$A:$ZZ,3,FALSE)+SUM(_xlfn.XLOOKUP($R93:$AF93,增益!$A:$A,增益!$C:$C,0))-$I$2</f>
        <v>3977.2</v>
      </c>
      <c r="AO93" cm="1">
        <f t="array" ref="AO93">$E$10*(1+$AM93)+VLOOKUP($Q93,武学奇术!$A:$ZZ,4,FALSE)+SUM(_xlfn.XLOOKUP($R93:$AF93,增益!$A:$A,增益!$D:$D,0))-$I$2</f>
        <v>3977.2</v>
      </c>
      <c r="AP93" s="32" cm="1">
        <f t="array" ref="AP93">IF($F$10-$I$3+VLOOKUP($Q93,武学奇术!$A:$ZZ,6,FALSE)+SUM(_xlfn.XLOOKUP(R93:AF93,增益!$A:$A,增益!$F:$F,0))&gt;0,($F$10-$I$3+VLOOKUP($Q93,武学奇术!$A:$ZZ,6,FALSE)+SUM(_xlfn.XLOOKUP(R93:AF93,增益!$A:$A,增益!$F:$F,0)))/200,($F$10-$I$3+VLOOKUP($Q93,武学奇术!$A:$ZZ,6,FALSE)+SUM(_xlfn.XLOOKUP(R93:AF93,增益!$A:$A,增益!$F:$F,0)))/100)</f>
        <v>0.294</v>
      </c>
      <c r="AQ93" s="32" cm="1">
        <f t="array" ref="AQ93">$G$10+VLOOKUP($Q93,武学奇术!$A:$ZZ,7,FALSE)+SUM(_xlfn.XLOOKUP(R93:AF93,增益!$A:$A,增益!$G:$G,0))</f>
        <v>0</v>
      </c>
      <c r="AR93" s="26" cm="1">
        <f t="array" ref="AR93">VLOOKUP($Q93,武学奇术!$A:$ZZ,8,FALSE)+SUM(_xlfn.XLOOKUP(R93:AF93,增益!$A:$A,增益!$H:$H,0))</f>
        <v>0</v>
      </c>
      <c r="AS93">
        <f t="shared" si="43"/>
        <v>0</v>
      </c>
      <c r="AT93">
        <f t="shared" si="44"/>
        <v>0</v>
      </c>
      <c r="AU93" s="32" cm="1">
        <f t="array" ref="AU93">IF($F$11-$I$4+VLOOKUP($Q93,武学奇术!$A:$ZZ,9,FALSE)+SUM(_xlfn.XLOOKUP(R93:AF93,增益!$A:$A,增益!$I:$I,0))&gt;0,($F$11-$I$4+VLOOKUP($Q93,武学奇术!$A:$ZZ,9,FALSE)+SUM(_xlfn.XLOOKUP(R93:AF93,增益!$A:$A,增益!$I:$I,0)))/200,($F$11-$I$4+VLOOKUP($Q93,武学奇术!$A:$ZZ,9,FALSE)+SUM(_xlfn.XLOOKUP(R93:AF93,增益!$A:$A,增益!$I:$I,0)))/100)</f>
        <v>-0.3</v>
      </c>
      <c r="AV93" s="32" cm="1">
        <f t="array" ref="AV93">$G$11+VLOOKUP($Q93,武学奇术!$A:$ZZ,10,FALSE)+SUM(_xlfn.XLOOKUP(R93:AF93,增益!$A:$A,增益!$J:$J,0))</f>
        <v>0</v>
      </c>
      <c r="AW93">
        <f t="shared" si="45"/>
        <v>0</v>
      </c>
      <c r="AX93">
        <f t="shared" si="46"/>
        <v>0</v>
      </c>
      <c r="AY93" s="32" cm="1">
        <f t="array" ref="AY93">IF($F$12-$I$4+VLOOKUP($Q93,武学奇术!$A:$ZZ,11,FALSE)+SUM(_xlfn.XLOOKUP(R93:AF93,增益!$A:$A,增益!$K:$K,0))&gt;0,($F$12-$I$4+VLOOKUP($Q93,武学奇术!$A:$ZZ,11,FALSE)+SUM(_xlfn.XLOOKUP(R93:AF93,增益!$A:$A,增益!$K:$K,0)))/200,($F$12-$I$4+VLOOKUP($Q93,武学奇术!$A:$ZZ,11,FALSE)+SUM(_xlfn.XLOOKUP(R93:AF93,增益!$A:$A,增益!$K:$K,0)))/100)</f>
        <v>-0.3</v>
      </c>
      <c r="AZ93" s="32" cm="1">
        <f t="array" ref="AZ93">$G$12+VLOOKUP($Q93,武学奇术!$A:$ZZ,12,FALSE)+SUM(_xlfn.XLOOKUP(R93:AF93,增益!$A:$A,增益!$L:$L,0))</f>
        <v>0</v>
      </c>
      <c r="BA93">
        <f t="shared" si="47"/>
        <v>697.4</v>
      </c>
      <c r="BB93">
        <f t="shared" si="48"/>
        <v>1805</v>
      </c>
      <c r="BC93" s="32" cm="1">
        <f t="array" ref="BC93">IF($F$13-$I$4+VLOOKUP($Q93,武学奇术!$A:$ZZ,13,FALSE)+SUM(_xlfn.XLOOKUP(R93:AF93,增益!$A:$A,增益!$M:$M,0))&gt;0,($F$13-$I$4+VLOOKUP($Q93,武学奇术!$A:$ZZ,13,FALSE)+SUM(_xlfn.XLOOKUP(R93:AF93,增益!$A:$A,增益!$K:$K,0)))/200,($F$13-$I$4+VLOOKUP($Q93,武学奇术!$A:$ZZ,13,FALSE)+SUM(_xlfn.XLOOKUP(R93:AF93,增益!$A:$A,增益!$M:$M,0)))/100)</f>
        <v>0</v>
      </c>
      <c r="BD93" s="32" cm="1">
        <f t="array" ref="BD93">$G$13+VLOOKUP($Q93,武学奇术!$A:$ZZ,14,FALSE)+SUM(_xlfn.XLOOKUP(R93:AF93,增益!$A:$A,增益!$N:$N,0))</f>
        <v>0.15</v>
      </c>
      <c r="BE93">
        <f t="shared" si="49"/>
        <v>0</v>
      </c>
      <c r="BF93">
        <f t="shared" si="50"/>
        <v>0</v>
      </c>
      <c r="BG93" s="32" cm="1">
        <f t="array" ref="BG93">IF($F$14-$I$4+VLOOKUP($Q93,武学奇术!$A:$ZZ,15,FALSE)+SUM(_xlfn.XLOOKUP(R93:AF93,增益!$A:$A,增益!$O:$O,0))&gt;0,($F$14-$I$4+VLOOKUP($Q93,武学奇术!$A:$ZZ,15,FALSE)+SUM(_xlfn.XLOOKUP(R93:AF93,增益!$A:$A,增益!$O:$O,0)))/200,($F$14-$I$4+VLOOKUP($Q93,武学奇术!$A:$ZZ,15,FALSE)+SUM(_xlfn.XLOOKUP(R93:AF93,增益!$A:$A,增益!$O:$O,0)))/100)</f>
        <v>-0.3</v>
      </c>
      <c r="BH93" s="32" cm="1">
        <f t="array" ref="BH93">$G$14+VLOOKUP($Q93,武学奇术!$A:$ZZ,16,FALSE)+SUM(_xlfn.XLOOKUP(R93:AF93,增益!$A:$A,增益!$P:$P,0))</f>
        <v>0</v>
      </c>
      <c r="BI93" s="26">
        <f>MIN(IF(VLOOKUP($Q93,武学奇术!$A:$ZZ,23,FALSE)=1,100%,$B$8),100%)</f>
        <v>1</v>
      </c>
      <c r="BJ93" s="26" cm="1">
        <f t="array" ref="BJ93">IF(VLOOKUP($Q93,武学奇术!$A:$ZZ,23,FALSE)=1,100%,MIN(80%,$B$9+VLOOKUP($Q93,武学奇术!$A:$ZZ,17,FALSE)+SUM(_xlfn.XLOOKUP(R93:AF93,增益!$A:$A,增益!$Q:$Q,0)))+$B$11+SUM(_xlfn.XLOOKUP(R93:AF93,增益!$A:$A,增益!$U:$U,0)))*IF(VLOOKUP($Q93,武学奇术!$A:$ZZ,24,FALSE)=1,0,1)</f>
        <v>0.8625</v>
      </c>
      <c r="BK93" s="26" cm="1">
        <f t="array" ref="BK93">1+$B$13+VLOOKUP($Q93,武学奇术!$A:$ZZ,18,FALSE)+SUM(_xlfn.XLOOKUP(R93:AF93,增益!$A:$A,增益!$R:$R,0))</f>
        <v>1.5</v>
      </c>
      <c r="BL93" s="26" cm="1">
        <f t="array" ref="BL93">IF(VLOOKUP($Q93,武学奇术!$A:$ZZ,24,FALSE)=1,100%,MIN(40%,$B$10+VLOOKUP($Q93,武学奇术!$A:$ZZ,19,FALSE)+SUM(_xlfn.XLOOKUP(R93:AF93,增益!$A:$A,增益!$S:$S,0)))+$B$12+SUM(_xlfn.XLOOKUP(R93:AF93,增益!$A:$A,增益!$V:$V,0)))*IF(VLOOKUP($Q93,武学奇术!$A:$ZZ,23,FALSE)=1,0,1)</f>
        <v>0.0913</v>
      </c>
      <c r="BM93" s="26" cm="1">
        <f t="array" ref="BM93">1+$B$14+VLOOKUP($Q93,武学奇术!$A:$ZZ,20,FALSE)+SUM(_xlfn.XLOOKUP(R93:AF93,增益!$A:$A,增益!$T:$T,0))</f>
        <v>1.35</v>
      </c>
      <c r="BN93" s="26">
        <f t="shared" si="22"/>
        <v>0.8625</v>
      </c>
      <c r="BO93" s="26">
        <f t="shared" si="32"/>
        <v>0.0462</v>
      </c>
      <c r="BP93" s="26">
        <f>IF(VLOOKUP($Q93,武学奇术!$A:$ZZ,22,FALSE)=1,0,(1-$BI93))*(1-$BL93)</f>
        <v>0</v>
      </c>
      <c r="BQ93" s="26" cm="1">
        <f t="array" ref="BQ93">SUM(_xlfn.XLOOKUP(R93:AF93,增益!$A:$A,增益!$W:$W,0))+$I$5</f>
        <v>0.06</v>
      </c>
    </row>
    <row r="94" spans="1:69">
      <c r="K94" s="38">
        <f t="shared" si="42"/>
        <v>0</v>
      </c>
      <c r="L94" s="38">
        <f>((($AN94+$AO94)/2*$AH94+$AI94)*(1+$AP94)*(1+$AQ94)+(($AS94+$AT94)/2*IF($G$1="鸣金",$AJ94,$AH94)+IF($G$1="鸣金",$AK94*1.5,0))*(1+$AU94)*(1+$AV94)+(($AW94+$AX94)/2*IF($G$1="裂石",$AJ94,$AH94)+IF($G$1="裂石",$AK94*1.5,0))*(1+$AY94)*(1+$AZ94)+(($BA94+$BB94)/2*IF($G$1="牵丝",$AJ94,$AH94)+IF($G$1="牵丝",$AK94*1.5,0))*(1+$BC94)*(1+$BD94)+(($BE94+$BF94)/2*IF($G$1="破竹",$AJ94,$AH94)+IF($G$1="破竹",$AK94*1.5,0))*(1+$BG94)*(1+$BH94))*(1+$AL94)*$BK94*$P94*(1+IF(VLOOKUP($Q94,武学奇术!$A:$ZZ,30,FALSE)="蓄力技",#REF!,0))*(1+$BQ94)</f>
        <v>0</v>
      </c>
      <c r="M94" s="38">
        <f>(($AO94*$AH94+$AI94)*(1+$AP94)*(1+$AQ94)+($AT94*IF($G$1="鸣金",$AJ94,$AH94)+IF($G$1="鸣金",$AK94*1.5,0))*(1+$AU94)*(1+$AV94)+($AX94*IF($G$1="裂石",$AJ94,$AH94)+IF($G$1="裂石",$AK94*1.5,0))*(1+$AY94)*(1+$AZ94)+($BB94*IF($G$1="牵丝",$AJ94,$AH94)+IF($G$1="牵丝",$AK94*1.5,0))*(1+$BC94)*(1+$BD94)+($BF94*IF($G$1="破竹",$AJ94,$AH94)+IF($G$1="破竹",$AK94*1.5,0))*(1+$BG94)*(1+$BH94))*(1+$AL94)*$BM94*$P94*(1+IF(VLOOKUP($Q94,武学奇术!$A:$ZZ,30,FALSE)="蓄力技",#REF!,0))*(1+$BQ94)</f>
        <v>0</v>
      </c>
      <c r="N94" s="38">
        <f>((($AN94+$AO94)/2*$AH94+$AI94)*(1+$AP94)*(1+$AQ94)+(($AS94+$AT94)/2*IF($G$1="鸣金",$AJ94,$AH94)+IF($G$1="鸣金",$AK94*1.5,0))*(1+$AU94)*(1+$AV94)+(($AW94+$AX94)/2*IF($G$1="裂石",$AJ94,$AH94)+IF($G$1="裂石",$AK94*1.5,0))*(1+$AY94)*(1+$AZ94)+(($BA94+$BB94)/2*IF($G$1="牵丝",$AJ94,$AH94)+IF($G$1="牵丝",$AK94*1.5,0))*(1+$BC94)*(1+$BD94)+(($BE94+$BF94)/2*IF($G$1="破竹",$AJ94,$AH94)+IF($G$1="破竹",$AK94*1.5,0))*(1+$BG94)*(1+$BH94))*(1+$AL94)*$P94*(1+IF(VLOOKUP($Q94,武学奇术!$A:$ZZ,30,FALSE)="蓄力技",#REF!,0))*(1+$BQ94)</f>
        <v>0</v>
      </c>
      <c r="O94" s="38">
        <f>((($AN94*$AH94+$AI94)*(1+$AP94)*(1+$AQ94)+($AS94*IF($G$1="鸣金",$AJ94,$AH94)+IF($G$1="鸣金",$AK94*1.5,0))*(1+$AU94)*(1+$AV94)+($AW94*IF($G$1="裂石",$AJ94,$AH94)+IF($G$1="裂石",$AK94*1.5,0))*(1+$AY94)*(1+$AZ94)+($BA94*IF($G$1="牵丝",$AJ94,$AH94)+IF($G$1="牵丝",$AK94*1.5,0))*(1+$BC94)*(1+$BD94)+($BE94*IF($G$1="破竹",$AJ94,$AH94)+IF($G$1="破竹",$AK94*1.5,0))*(1+$BG94)*(1+$BH94))*(1+$AL94))*$P94*(1+IF(VLOOKUP($Q94,武学奇术!$A:$ZZ,30,FALSE)="蓄力技",#REF!,0))*(1+$BQ94)</f>
        <v>0</v>
      </c>
      <c r="P94" s="39">
        <v>1</v>
      </c>
      <c r="Q94" s="40" t="s">
        <v>76</v>
      </c>
      <c r="R94" s="40" t="s">
        <v>76</v>
      </c>
      <c r="S94" s="40" t="s">
        <v>76</v>
      </c>
      <c r="T94" s="40" t="s">
        <v>76</v>
      </c>
      <c r="U94" s="40" t="s">
        <v>76</v>
      </c>
      <c r="V94" s="40" t="s">
        <v>76</v>
      </c>
      <c r="W94" s="40" t="s">
        <v>76</v>
      </c>
      <c r="X94" s="40" t="s">
        <v>76</v>
      </c>
      <c r="Y94" s="40" t="s">
        <v>76</v>
      </c>
      <c r="Z94" s="40" t="s">
        <v>76</v>
      </c>
      <c r="AA94" s="40" t="s">
        <v>76</v>
      </c>
      <c r="AB94" s="40" t="s">
        <v>76</v>
      </c>
      <c r="AC94" s="40" t="s">
        <v>76</v>
      </c>
      <c r="AD94" s="40" t="s">
        <v>76</v>
      </c>
      <c r="AE94" s="40" t="s">
        <v>76</v>
      </c>
      <c r="AF94" s="40" t="s">
        <v>76</v>
      </c>
      <c r="AG94" t="str">
        <f>VLOOKUP($Q94,武学奇术!$A:$ZZ,25,FALSE)</f>
        <v>心法</v>
      </c>
      <c r="AH94" s="26">
        <f>VLOOKUP($Q94,武学奇术!$A:$ZZ,26,FALSE)</f>
        <v>0</v>
      </c>
      <c r="AI94" s="27">
        <f>VLOOKUP($Q94,武学奇术!$A:$ZZ,27,FALSE)*(1+IF(OR($AG94=$F$4,$AG94=$F$5),$B$21,0))</f>
        <v>0</v>
      </c>
      <c r="AJ94" s="26">
        <f>VLOOKUP($Q94,武学奇术!$A:$ZZ,28,FALSE)</f>
        <v>0</v>
      </c>
      <c r="AK94" s="27">
        <f>VLOOKUP($Q94,武学奇术!$A:$ZZ,29,FALSE)*(1+IF(OR($AG94=$F$4,$AG94=$F$5),$B$21,0))</f>
        <v>0</v>
      </c>
      <c r="AL94" s="26" cm="1">
        <f t="array" ref="AL94">$G$3+IFERROR(VLOOKUP($AG94,$F$4:$G$7,2,FALSE),0)+VLOOKUP($Q94,武学奇术!$A:$ZZ,2,FALSE)+SUM(_xlfn.XLOOKUP($R94:$AF94,增益!$A:$A,增益!$B:$B,0))</f>
        <v>0.2642</v>
      </c>
      <c r="AM94" s="26" cm="1">
        <f t="array" ref="AM94">VLOOKUP($Q94,武学奇术!$A:$ZZ,5,FALSE)+SUM(_xlfn.XLOOKUP($R94:$AF94,增益!$A:$A,增益!$E:$E,0))</f>
        <v>0</v>
      </c>
      <c r="AN94" cm="1">
        <f t="array" ref="AN94">$D$10*(1+$AM94)+VLOOKUP($Q94,武学奇术!$A:$ZZ,3,FALSE)+SUM(_xlfn.XLOOKUP($R94:$AF94,增益!$A:$A,增益!$C:$C,0))-$I$2</f>
        <v>3977.2</v>
      </c>
      <c r="AO94" cm="1">
        <f t="array" ref="AO94">$E$10*(1+$AM94)+VLOOKUP($Q94,武学奇术!$A:$ZZ,4,FALSE)+SUM(_xlfn.XLOOKUP($R94:$AF94,增益!$A:$A,增益!$D:$D,0))-$I$2</f>
        <v>3977.2</v>
      </c>
      <c r="AP94" s="32" cm="1">
        <f t="array" ref="AP94">IF($F$10-$I$3+VLOOKUP($Q94,武学奇术!$A:$ZZ,6,FALSE)+SUM(_xlfn.XLOOKUP(R94:AF94,增益!$A:$A,增益!$F:$F,0))&gt;0,($F$10-$I$3+VLOOKUP($Q94,武学奇术!$A:$ZZ,6,FALSE)+SUM(_xlfn.XLOOKUP(R94:AF94,增益!$A:$A,增益!$F:$F,0)))/200,($F$10-$I$3+VLOOKUP($Q94,武学奇术!$A:$ZZ,6,FALSE)+SUM(_xlfn.XLOOKUP(R94:AF94,增益!$A:$A,增益!$F:$F,0)))/100)</f>
        <v>0.294</v>
      </c>
      <c r="AQ94" s="32" cm="1">
        <f t="array" ref="AQ94">$G$10+VLOOKUP($Q94,武学奇术!$A:$ZZ,7,FALSE)+SUM(_xlfn.XLOOKUP(R94:AF94,增益!$A:$A,增益!$G:$G,0))</f>
        <v>0</v>
      </c>
      <c r="AR94" s="26" cm="1">
        <f t="array" ref="AR94">VLOOKUP($Q94,武学奇术!$A:$ZZ,8,FALSE)+SUM(_xlfn.XLOOKUP(R94:AF94,增益!$A:$A,增益!$H:$H,0))</f>
        <v>0</v>
      </c>
      <c r="AS94">
        <f t="shared" si="43"/>
        <v>0</v>
      </c>
      <c r="AT94">
        <f t="shared" si="44"/>
        <v>0</v>
      </c>
      <c r="AU94" s="32" cm="1">
        <f t="array" ref="AU94">IF($F$11-$I$4+VLOOKUP($Q94,武学奇术!$A:$ZZ,9,FALSE)+SUM(_xlfn.XLOOKUP(R94:AF94,增益!$A:$A,增益!$I:$I,0))&gt;0,($F$11-$I$4+VLOOKUP($Q94,武学奇术!$A:$ZZ,9,FALSE)+SUM(_xlfn.XLOOKUP(R94:AF94,增益!$A:$A,增益!$I:$I,0)))/200,($F$11-$I$4+VLOOKUP($Q94,武学奇术!$A:$ZZ,9,FALSE)+SUM(_xlfn.XLOOKUP(R94:AF94,增益!$A:$A,增益!$I:$I,0)))/100)</f>
        <v>-0.3</v>
      </c>
      <c r="AV94" s="32" cm="1">
        <f t="array" ref="AV94">$G$11+VLOOKUP($Q94,武学奇术!$A:$ZZ,10,FALSE)+SUM(_xlfn.XLOOKUP(R94:AF94,增益!$A:$A,增益!$J:$J,0))</f>
        <v>0</v>
      </c>
      <c r="AW94">
        <f t="shared" si="45"/>
        <v>0</v>
      </c>
      <c r="AX94">
        <f t="shared" si="46"/>
        <v>0</v>
      </c>
      <c r="AY94" s="32" cm="1">
        <f t="array" ref="AY94">IF($F$12-$I$4+VLOOKUP($Q94,武学奇术!$A:$ZZ,11,FALSE)+SUM(_xlfn.XLOOKUP(R94:AF94,增益!$A:$A,增益!$K:$K,0))&gt;0,($F$12-$I$4+VLOOKUP($Q94,武学奇术!$A:$ZZ,11,FALSE)+SUM(_xlfn.XLOOKUP(R94:AF94,增益!$A:$A,增益!$K:$K,0)))/200,($F$12-$I$4+VLOOKUP($Q94,武学奇术!$A:$ZZ,11,FALSE)+SUM(_xlfn.XLOOKUP(R94:AF94,增益!$A:$A,增益!$K:$K,0)))/100)</f>
        <v>-0.3</v>
      </c>
      <c r="AZ94" s="32" cm="1">
        <f t="array" ref="AZ94">$G$12+VLOOKUP($Q94,武学奇术!$A:$ZZ,12,FALSE)+SUM(_xlfn.XLOOKUP(R94:AF94,增益!$A:$A,增益!$L:$L,0))</f>
        <v>0</v>
      </c>
      <c r="BA94">
        <f t="shared" si="47"/>
        <v>697.4</v>
      </c>
      <c r="BB94">
        <f t="shared" si="48"/>
        <v>1805</v>
      </c>
      <c r="BC94" s="32" cm="1">
        <f t="array" ref="BC94">IF($F$13-$I$4+VLOOKUP($Q94,武学奇术!$A:$ZZ,13,FALSE)+SUM(_xlfn.XLOOKUP(R94:AF94,增益!$A:$A,增益!$M:$M,0))&gt;0,($F$13-$I$4+VLOOKUP($Q94,武学奇术!$A:$ZZ,13,FALSE)+SUM(_xlfn.XLOOKUP(R94:AF94,增益!$A:$A,增益!$K:$K,0)))/200,($F$13-$I$4+VLOOKUP($Q94,武学奇术!$A:$ZZ,13,FALSE)+SUM(_xlfn.XLOOKUP(R94:AF94,增益!$A:$A,增益!$M:$M,0)))/100)</f>
        <v>0</v>
      </c>
      <c r="BD94" s="32" cm="1">
        <f t="array" ref="BD94">$G$13+VLOOKUP($Q94,武学奇术!$A:$ZZ,14,FALSE)+SUM(_xlfn.XLOOKUP(R94:AF94,增益!$A:$A,增益!$N:$N,0))</f>
        <v>0.15</v>
      </c>
      <c r="BE94">
        <f t="shared" si="49"/>
        <v>0</v>
      </c>
      <c r="BF94">
        <f t="shared" si="50"/>
        <v>0</v>
      </c>
      <c r="BG94" s="32" cm="1">
        <f t="array" ref="BG94">IF($F$14-$I$4+VLOOKUP($Q94,武学奇术!$A:$ZZ,15,FALSE)+SUM(_xlfn.XLOOKUP(R94:AF94,增益!$A:$A,增益!$O:$O,0))&gt;0,($F$14-$I$4+VLOOKUP($Q94,武学奇术!$A:$ZZ,15,FALSE)+SUM(_xlfn.XLOOKUP(R94:AF94,增益!$A:$A,增益!$O:$O,0)))/200,($F$14-$I$4+VLOOKUP($Q94,武学奇术!$A:$ZZ,15,FALSE)+SUM(_xlfn.XLOOKUP(R94:AF94,增益!$A:$A,增益!$O:$O,0)))/100)</f>
        <v>-0.3</v>
      </c>
      <c r="BH94" s="32" cm="1">
        <f t="array" ref="BH94">$G$14+VLOOKUP($Q94,武学奇术!$A:$ZZ,16,FALSE)+SUM(_xlfn.XLOOKUP(R94:AF94,增益!$A:$A,增益!$P:$P,0))</f>
        <v>0</v>
      </c>
      <c r="BI94" s="26">
        <f>MIN(IF(VLOOKUP($Q94,武学奇术!$A:$ZZ,23,FALSE)=1,100%,$B$8),100%)</f>
        <v>1</v>
      </c>
      <c r="BJ94" s="26" cm="1">
        <f t="array" ref="BJ94">IF(VLOOKUP($Q94,武学奇术!$A:$ZZ,23,FALSE)=1,100%,MIN(80%,$B$9+VLOOKUP($Q94,武学奇术!$A:$ZZ,17,FALSE)+SUM(_xlfn.XLOOKUP(R94:AF94,增益!$A:$A,增益!$Q:$Q,0)))+$B$11+SUM(_xlfn.XLOOKUP(R94:AF94,增益!$A:$A,增益!$U:$U,0)))*IF(VLOOKUP($Q94,武学奇术!$A:$ZZ,24,FALSE)=1,0,1)</f>
        <v>0.8625</v>
      </c>
      <c r="BK94" s="26" cm="1">
        <f t="array" ref="BK94">1+$B$13+VLOOKUP($Q94,武学奇术!$A:$ZZ,18,FALSE)+SUM(_xlfn.XLOOKUP(R94:AF94,增益!$A:$A,增益!$R:$R,0))</f>
        <v>1.5</v>
      </c>
      <c r="BL94" s="26" cm="1">
        <f t="array" ref="BL94">IF(VLOOKUP($Q94,武学奇术!$A:$ZZ,24,FALSE)=1,100%,MIN(40%,$B$10+VLOOKUP($Q94,武学奇术!$A:$ZZ,19,FALSE)+SUM(_xlfn.XLOOKUP(R94:AF94,增益!$A:$A,增益!$S:$S,0)))+$B$12+SUM(_xlfn.XLOOKUP(R94:AF94,增益!$A:$A,增益!$V:$V,0)))*IF(VLOOKUP($Q94,武学奇术!$A:$ZZ,23,FALSE)=1,0,1)</f>
        <v>0.0913</v>
      </c>
      <c r="BM94" s="26" cm="1">
        <f t="array" ref="BM94">1+$B$14+VLOOKUP($Q94,武学奇术!$A:$ZZ,20,FALSE)+SUM(_xlfn.XLOOKUP(R94:AF94,增益!$A:$A,增益!$T:$T,0))</f>
        <v>1.35</v>
      </c>
      <c r="BN94" s="26">
        <f t="shared" si="22"/>
        <v>0.8625</v>
      </c>
      <c r="BO94" s="26">
        <f t="shared" si="32"/>
        <v>0.0462</v>
      </c>
      <c r="BP94" s="26">
        <f>IF(VLOOKUP($Q94,武学奇术!$A:$ZZ,22,FALSE)=1,0,(1-$BI94))*(1-$BL94)</f>
        <v>0</v>
      </c>
      <c r="BQ94" s="26" cm="1">
        <f t="array" ref="BQ94">SUM(_xlfn.XLOOKUP(R94:AF94,增益!$A:$A,增益!$W:$W,0))+$I$5</f>
        <v>0.06</v>
      </c>
    </row>
    <row r="95" spans="1:69">
      <c r="K95" s="38">
        <f t="shared" si="42"/>
        <v>0</v>
      </c>
      <c r="L95" s="38">
        <f>((($AN95+$AO95)/2*$AH95+$AI95)*(1+$AP95)*(1+$AQ95)+(($AS95+$AT95)/2*IF($G$1="鸣金",$AJ95,$AH95)+IF($G$1="鸣金",$AK95*1.5,0))*(1+$AU95)*(1+$AV95)+(($AW95+$AX95)/2*IF($G$1="裂石",$AJ95,$AH95)+IF($G$1="裂石",$AK95*1.5,0))*(1+$AY95)*(1+$AZ95)+(($BA95+$BB95)/2*IF($G$1="牵丝",$AJ95,$AH95)+IF($G$1="牵丝",$AK95*1.5,0))*(1+$BC95)*(1+$BD95)+(($BE95+$BF95)/2*IF($G$1="破竹",$AJ95,$AH95)+IF($G$1="破竹",$AK95*1.5,0))*(1+$BG95)*(1+$BH95))*(1+$AL95)*$BK95*$P95*(1+IF(VLOOKUP($Q95,武学奇术!$A:$ZZ,30,FALSE)="蓄力技",#REF!,0))*(1+$BQ95)</f>
        <v>0</v>
      </c>
      <c r="M95" s="38">
        <f>(($AO95*$AH95+$AI95)*(1+$AP95)*(1+$AQ95)+($AT95*IF($G$1="鸣金",$AJ95,$AH95)+IF($G$1="鸣金",$AK95*1.5,0))*(1+$AU95)*(1+$AV95)+($AX95*IF($G$1="裂石",$AJ95,$AH95)+IF($G$1="裂石",$AK95*1.5,0))*(1+$AY95)*(1+$AZ95)+($BB95*IF($G$1="牵丝",$AJ95,$AH95)+IF($G$1="牵丝",$AK95*1.5,0))*(1+$BC95)*(1+$BD95)+($BF95*IF($G$1="破竹",$AJ95,$AH95)+IF($G$1="破竹",$AK95*1.5,0))*(1+$BG95)*(1+$BH95))*(1+$AL95)*$BM95*$P95*(1+IF(VLOOKUP($Q95,武学奇术!$A:$ZZ,30,FALSE)="蓄力技",#REF!,0))*(1+$BQ95)</f>
        <v>0</v>
      </c>
      <c r="N95" s="38">
        <f>((($AN95+$AO95)/2*$AH95+$AI95)*(1+$AP95)*(1+$AQ95)+(($AS95+$AT95)/2*IF($G$1="鸣金",$AJ95,$AH95)+IF($G$1="鸣金",$AK95*1.5,0))*(1+$AU95)*(1+$AV95)+(($AW95+$AX95)/2*IF($G$1="裂石",$AJ95,$AH95)+IF($G$1="裂石",$AK95*1.5,0))*(1+$AY95)*(1+$AZ95)+(($BA95+$BB95)/2*IF($G$1="牵丝",$AJ95,$AH95)+IF($G$1="牵丝",$AK95*1.5,0))*(1+$BC95)*(1+$BD95)+(($BE95+$BF95)/2*IF($G$1="破竹",$AJ95,$AH95)+IF($G$1="破竹",$AK95*1.5,0))*(1+$BG95)*(1+$BH95))*(1+$AL95)*$P95*(1+IF(VLOOKUP($Q95,武学奇术!$A:$ZZ,30,FALSE)="蓄力技",#REF!,0))*(1+$BQ95)</f>
        <v>0</v>
      </c>
      <c r="O95" s="38">
        <f>((($AN95*$AH95+$AI95)*(1+$AP95)*(1+$AQ95)+($AS95*IF($G$1="鸣金",$AJ95,$AH95)+IF($G$1="鸣金",$AK95*1.5,0))*(1+$AU95)*(1+$AV95)+($AW95*IF($G$1="裂石",$AJ95,$AH95)+IF($G$1="裂石",$AK95*1.5,0))*(1+$AY95)*(1+$AZ95)+($BA95*IF($G$1="牵丝",$AJ95,$AH95)+IF($G$1="牵丝",$AK95*1.5,0))*(1+$BC95)*(1+$BD95)+($BE95*IF($G$1="破竹",$AJ95,$AH95)+IF($G$1="破竹",$AK95*1.5,0))*(1+$BG95)*(1+$BH95))*(1+$AL95))*$P95*(1+IF(VLOOKUP($Q95,武学奇术!$A:$ZZ,30,FALSE)="蓄力技",#REF!,0))*(1+$BQ95)</f>
        <v>0</v>
      </c>
      <c r="P95" s="39">
        <v>1</v>
      </c>
      <c r="Q95" s="40" t="s">
        <v>76</v>
      </c>
      <c r="R95" s="40" t="s">
        <v>76</v>
      </c>
      <c r="S95" s="40" t="s">
        <v>76</v>
      </c>
      <c r="T95" s="40" t="s">
        <v>76</v>
      </c>
      <c r="U95" s="40" t="s">
        <v>76</v>
      </c>
      <c r="V95" s="40" t="s">
        <v>76</v>
      </c>
      <c r="W95" s="40" t="s">
        <v>76</v>
      </c>
      <c r="X95" s="40" t="s">
        <v>76</v>
      </c>
      <c r="Y95" s="40" t="s">
        <v>76</v>
      </c>
      <c r="Z95" s="40" t="s">
        <v>76</v>
      </c>
      <c r="AA95" s="40" t="s">
        <v>76</v>
      </c>
      <c r="AB95" s="40" t="s">
        <v>76</v>
      </c>
      <c r="AC95" s="40" t="s">
        <v>76</v>
      </c>
      <c r="AD95" s="40" t="s">
        <v>76</v>
      </c>
      <c r="AE95" s="40" t="s">
        <v>76</v>
      </c>
      <c r="AF95" s="40" t="s">
        <v>76</v>
      </c>
      <c r="AG95" t="str">
        <f>VLOOKUP($Q95,武学奇术!$A:$ZZ,25,FALSE)</f>
        <v>心法</v>
      </c>
      <c r="AH95" s="26">
        <f>VLOOKUP($Q95,武学奇术!$A:$ZZ,26,FALSE)</f>
        <v>0</v>
      </c>
      <c r="AI95" s="27">
        <f>VLOOKUP($Q95,武学奇术!$A:$ZZ,27,FALSE)*(1+IF(OR($AG95=$F$4,$AG95=$F$5),$B$21,0))</f>
        <v>0</v>
      </c>
      <c r="AJ95" s="26">
        <f>VLOOKUP($Q95,武学奇术!$A:$ZZ,28,FALSE)</f>
        <v>0</v>
      </c>
      <c r="AK95" s="27">
        <f>VLOOKUP($Q95,武学奇术!$A:$ZZ,29,FALSE)*(1+IF(OR($AG95=$F$4,$AG95=$F$5),$B$21,0))</f>
        <v>0</v>
      </c>
      <c r="AL95" s="26" cm="1">
        <f t="array" ref="AL95">$G$3+IFERROR(VLOOKUP($AG95,$F$4:$G$7,2,FALSE),0)+VLOOKUP($Q95,武学奇术!$A:$ZZ,2,FALSE)+SUM(_xlfn.XLOOKUP($R95:$AF95,增益!$A:$A,增益!$B:$B,0))</f>
        <v>0.2642</v>
      </c>
      <c r="AM95" s="26" cm="1">
        <f t="array" ref="AM95">VLOOKUP($Q95,武学奇术!$A:$ZZ,5,FALSE)+SUM(_xlfn.XLOOKUP($R95:$AF95,增益!$A:$A,增益!$E:$E,0))</f>
        <v>0</v>
      </c>
      <c r="AN95" cm="1">
        <f t="array" ref="AN95">$D$10*(1+$AM95)+VLOOKUP($Q95,武学奇术!$A:$ZZ,3,FALSE)+SUM(_xlfn.XLOOKUP($R95:$AF95,增益!$A:$A,增益!$C:$C,0))-$I$2</f>
        <v>3977.2</v>
      </c>
      <c r="AO95" cm="1">
        <f t="array" ref="AO95">$E$10*(1+$AM95)+VLOOKUP($Q95,武学奇术!$A:$ZZ,4,FALSE)+SUM(_xlfn.XLOOKUP($R95:$AF95,增益!$A:$A,增益!$D:$D,0))-$I$2</f>
        <v>3977.2</v>
      </c>
      <c r="AP95" s="32" cm="1">
        <f t="array" ref="AP95">IF($F$10-$I$3+VLOOKUP($Q95,武学奇术!$A:$ZZ,6,FALSE)+SUM(_xlfn.XLOOKUP(R95:AF95,增益!$A:$A,增益!$F:$F,0))&gt;0,($F$10-$I$3+VLOOKUP($Q95,武学奇术!$A:$ZZ,6,FALSE)+SUM(_xlfn.XLOOKUP(R95:AF95,增益!$A:$A,增益!$F:$F,0)))/200,($F$10-$I$3+VLOOKUP($Q95,武学奇术!$A:$ZZ,6,FALSE)+SUM(_xlfn.XLOOKUP(R95:AF95,增益!$A:$A,增益!$F:$F,0)))/100)</f>
        <v>0.294</v>
      </c>
      <c r="AQ95" s="32" cm="1">
        <f t="array" ref="AQ95">$G$10+VLOOKUP($Q95,武学奇术!$A:$ZZ,7,FALSE)+SUM(_xlfn.XLOOKUP(R95:AF95,增益!$A:$A,增益!$G:$G,0))</f>
        <v>0</v>
      </c>
      <c r="AR95" s="26" cm="1">
        <f t="array" ref="AR95">VLOOKUP($Q95,武学奇术!$A:$ZZ,8,FALSE)+SUM(_xlfn.XLOOKUP(R95:AF95,增益!$A:$A,增益!$H:$H,0))</f>
        <v>0</v>
      </c>
      <c r="AS95">
        <f t="shared" si="43"/>
        <v>0</v>
      </c>
      <c r="AT95">
        <f t="shared" si="44"/>
        <v>0</v>
      </c>
      <c r="AU95" s="32" cm="1">
        <f t="array" ref="AU95">IF($F$11-$I$4+VLOOKUP($Q95,武学奇术!$A:$ZZ,9,FALSE)+SUM(_xlfn.XLOOKUP(R95:AF95,增益!$A:$A,增益!$I:$I,0))&gt;0,($F$11-$I$4+VLOOKUP($Q95,武学奇术!$A:$ZZ,9,FALSE)+SUM(_xlfn.XLOOKUP(R95:AF95,增益!$A:$A,增益!$I:$I,0)))/200,($F$11-$I$4+VLOOKUP($Q95,武学奇术!$A:$ZZ,9,FALSE)+SUM(_xlfn.XLOOKUP(R95:AF95,增益!$A:$A,增益!$I:$I,0)))/100)</f>
        <v>-0.3</v>
      </c>
      <c r="AV95" s="32" cm="1">
        <f t="array" ref="AV95">$G$11+VLOOKUP($Q95,武学奇术!$A:$ZZ,10,FALSE)+SUM(_xlfn.XLOOKUP(R95:AF95,增益!$A:$A,增益!$J:$J,0))</f>
        <v>0</v>
      </c>
      <c r="AW95">
        <f t="shared" si="45"/>
        <v>0</v>
      </c>
      <c r="AX95">
        <f t="shared" si="46"/>
        <v>0</v>
      </c>
      <c r="AY95" s="32" cm="1">
        <f t="array" ref="AY95">IF($F$12-$I$4+VLOOKUP($Q95,武学奇术!$A:$ZZ,11,FALSE)+SUM(_xlfn.XLOOKUP(R95:AF95,增益!$A:$A,增益!$K:$K,0))&gt;0,($F$12-$I$4+VLOOKUP($Q95,武学奇术!$A:$ZZ,11,FALSE)+SUM(_xlfn.XLOOKUP(R95:AF95,增益!$A:$A,增益!$K:$K,0)))/200,($F$12-$I$4+VLOOKUP($Q95,武学奇术!$A:$ZZ,11,FALSE)+SUM(_xlfn.XLOOKUP(R95:AF95,增益!$A:$A,增益!$K:$K,0)))/100)</f>
        <v>-0.3</v>
      </c>
      <c r="AZ95" s="32" cm="1">
        <f t="array" ref="AZ95">$G$12+VLOOKUP($Q95,武学奇术!$A:$ZZ,12,FALSE)+SUM(_xlfn.XLOOKUP(R95:AF95,增益!$A:$A,增益!$L:$L,0))</f>
        <v>0</v>
      </c>
      <c r="BA95">
        <f t="shared" si="47"/>
        <v>697.4</v>
      </c>
      <c r="BB95">
        <f t="shared" si="48"/>
        <v>1805</v>
      </c>
      <c r="BC95" s="32" cm="1">
        <f t="array" ref="BC95">IF($F$13-$I$4+VLOOKUP($Q95,武学奇术!$A:$ZZ,13,FALSE)+SUM(_xlfn.XLOOKUP(R95:AF95,增益!$A:$A,增益!$M:$M,0))&gt;0,($F$13-$I$4+VLOOKUP($Q95,武学奇术!$A:$ZZ,13,FALSE)+SUM(_xlfn.XLOOKUP(R95:AF95,增益!$A:$A,增益!$K:$K,0)))/200,($F$13-$I$4+VLOOKUP($Q95,武学奇术!$A:$ZZ,13,FALSE)+SUM(_xlfn.XLOOKUP(R95:AF95,增益!$A:$A,增益!$M:$M,0)))/100)</f>
        <v>0</v>
      </c>
      <c r="BD95" s="32" cm="1">
        <f t="array" ref="BD95">$G$13+VLOOKUP($Q95,武学奇术!$A:$ZZ,14,FALSE)+SUM(_xlfn.XLOOKUP(R95:AF95,增益!$A:$A,增益!$N:$N,0))</f>
        <v>0.15</v>
      </c>
      <c r="BE95">
        <f t="shared" si="49"/>
        <v>0</v>
      </c>
      <c r="BF95">
        <f t="shared" si="50"/>
        <v>0</v>
      </c>
      <c r="BG95" s="32" cm="1">
        <f t="array" ref="BG95">IF($F$14-$I$4+VLOOKUP($Q95,武学奇术!$A:$ZZ,15,FALSE)+SUM(_xlfn.XLOOKUP(R95:AF95,增益!$A:$A,增益!$O:$O,0))&gt;0,($F$14-$I$4+VLOOKUP($Q95,武学奇术!$A:$ZZ,15,FALSE)+SUM(_xlfn.XLOOKUP(R95:AF95,增益!$A:$A,增益!$O:$O,0)))/200,($F$14-$I$4+VLOOKUP($Q95,武学奇术!$A:$ZZ,15,FALSE)+SUM(_xlfn.XLOOKUP(R95:AF95,增益!$A:$A,增益!$O:$O,0)))/100)</f>
        <v>-0.3</v>
      </c>
      <c r="BH95" s="32" cm="1">
        <f t="array" ref="BH95">$G$14+VLOOKUP($Q95,武学奇术!$A:$ZZ,16,FALSE)+SUM(_xlfn.XLOOKUP(R95:AF95,增益!$A:$A,增益!$P:$P,0))</f>
        <v>0</v>
      </c>
      <c r="BI95" s="26">
        <f>MIN(IF(VLOOKUP($Q95,武学奇术!$A:$ZZ,23,FALSE)=1,100%,$B$8),100%)</f>
        <v>1</v>
      </c>
      <c r="BJ95" s="26" cm="1">
        <f t="array" ref="BJ95">IF(VLOOKUP($Q95,武学奇术!$A:$ZZ,23,FALSE)=1,100%,MIN(80%,$B$9+VLOOKUP($Q95,武学奇术!$A:$ZZ,17,FALSE)+SUM(_xlfn.XLOOKUP(R95:AF95,增益!$A:$A,增益!$Q:$Q,0)))+$B$11+SUM(_xlfn.XLOOKUP(R95:AF95,增益!$A:$A,增益!$U:$U,0)))*IF(VLOOKUP($Q95,武学奇术!$A:$ZZ,24,FALSE)=1,0,1)</f>
        <v>0.8625</v>
      </c>
      <c r="BK95" s="26" cm="1">
        <f t="array" ref="BK95">1+$B$13+VLOOKUP($Q95,武学奇术!$A:$ZZ,18,FALSE)+SUM(_xlfn.XLOOKUP(R95:AF95,增益!$A:$A,增益!$R:$R,0))</f>
        <v>1.5</v>
      </c>
      <c r="BL95" s="26" cm="1">
        <f t="array" ref="BL95">IF(VLOOKUP($Q95,武学奇术!$A:$ZZ,24,FALSE)=1,100%,MIN(40%,$B$10+VLOOKUP($Q95,武学奇术!$A:$ZZ,19,FALSE)+SUM(_xlfn.XLOOKUP(R95:AF95,增益!$A:$A,增益!$S:$S,0)))+$B$12+SUM(_xlfn.XLOOKUP(R95:AF95,增益!$A:$A,增益!$V:$V,0)))*IF(VLOOKUP($Q95,武学奇术!$A:$ZZ,23,FALSE)=1,0,1)</f>
        <v>0.0913</v>
      </c>
      <c r="BM95" s="26" cm="1">
        <f t="array" ref="BM95">1+$B$14+VLOOKUP($Q95,武学奇术!$A:$ZZ,20,FALSE)+SUM(_xlfn.XLOOKUP(R95:AF95,增益!$A:$A,增益!$T:$T,0))</f>
        <v>1.35</v>
      </c>
      <c r="BN95" s="26">
        <f t="shared" si="22"/>
        <v>0.8625</v>
      </c>
      <c r="BO95" s="26">
        <f t="shared" si="32"/>
        <v>0.0462</v>
      </c>
      <c r="BP95" s="26">
        <f>IF(VLOOKUP($Q95,武学奇术!$A:$ZZ,22,FALSE)=1,0,(1-$BI95))*(1-$BL95)</f>
        <v>0</v>
      </c>
      <c r="BQ95" s="26" cm="1">
        <f t="array" ref="BQ95">SUM(_xlfn.XLOOKUP(R95:AF95,增益!$A:$A,增益!$W:$W,0))+$I$5</f>
        <v>0.06</v>
      </c>
    </row>
    <row r="96" spans="1:69">
      <c r="K96" s="38">
        <f t="shared" si="42"/>
        <v>0</v>
      </c>
      <c r="L96" s="38">
        <f>((($AN96+$AO96)/2*$AH96+$AI96)*(1+$AP96)*(1+$AQ96)+(($AS96+$AT96)/2*IF($G$1="鸣金",$AJ96,$AH96)+IF($G$1="鸣金",$AK96*1.5,0))*(1+$AU96)*(1+$AV96)+(($AW96+$AX96)/2*IF($G$1="裂石",$AJ96,$AH96)+IF($G$1="裂石",$AK96*1.5,0))*(1+$AY96)*(1+$AZ96)+(($BA96+$BB96)/2*IF($G$1="牵丝",$AJ96,$AH96)+IF($G$1="牵丝",$AK96*1.5,0))*(1+$BC96)*(1+$BD96)+(($BE96+$BF96)/2*IF($G$1="破竹",$AJ96,$AH96)+IF($G$1="破竹",$AK96*1.5,0))*(1+$BG96)*(1+$BH96))*(1+$AL96)*$BK96*$P96*(1+IF(VLOOKUP($Q96,武学奇术!$A:$ZZ,30,FALSE)="蓄力技",#REF!,0))*(1+$BQ96)</f>
        <v>0</v>
      </c>
      <c r="M96" s="38">
        <f>(($AO96*$AH96+$AI96)*(1+$AP96)*(1+$AQ96)+($AT96*IF($G$1="鸣金",$AJ96,$AH96)+IF($G$1="鸣金",$AK96*1.5,0))*(1+$AU96)*(1+$AV96)+($AX96*IF($G$1="裂石",$AJ96,$AH96)+IF($G$1="裂石",$AK96*1.5,0))*(1+$AY96)*(1+$AZ96)+($BB96*IF($G$1="牵丝",$AJ96,$AH96)+IF($G$1="牵丝",$AK96*1.5,0))*(1+$BC96)*(1+$BD96)+($BF96*IF($G$1="破竹",$AJ96,$AH96)+IF($G$1="破竹",$AK96*1.5,0))*(1+$BG96)*(1+$BH96))*(1+$AL96)*$BM96*$P96*(1+IF(VLOOKUP($Q96,武学奇术!$A:$ZZ,30,FALSE)="蓄力技",#REF!,0))*(1+$BQ96)</f>
        <v>0</v>
      </c>
      <c r="N96" s="38">
        <f>((($AN96+$AO96)/2*$AH96+$AI96)*(1+$AP96)*(1+$AQ96)+(($AS96+$AT96)/2*IF($G$1="鸣金",$AJ96,$AH96)+IF($G$1="鸣金",$AK96*1.5,0))*(1+$AU96)*(1+$AV96)+(($AW96+$AX96)/2*IF($G$1="裂石",$AJ96,$AH96)+IF($G$1="裂石",$AK96*1.5,0))*(1+$AY96)*(1+$AZ96)+(($BA96+$BB96)/2*IF($G$1="牵丝",$AJ96,$AH96)+IF($G$1="牵丝",$AK96*1.5,0))*(1+$BC96)*(1+$BD96)+(($BE96+$BF96)/2*IF($G$1="破竹",$AJ96,$AH96)+IF($G$1="破竹",$AK96*1.5,0))*(1+$BG96)*(1+$BH96))*(1+$AL96)*$P96*(1+IF(VLOOKUP($Q96,武学奇术!$A:$ZZ,30,FALSE)="蓄力技",#REF!,0))*(1+$BQ96)</f>
        <v>0</v>
      </c>
      <c r="O96" s="38">
        <f>((($AN96*$AH96+$AI96)*(1+$AP96)*(1+$AQ96)+($AS96*IF($G$1="鸣金",$AJ96,$AH96)+IF($G$1="鸣金",$AK96*1.5,0))*(1+$AU96)*(1+$AV96)+($AW96*IF($G$1="裂石",$AJ96,$AH96)+IF($G$1="裂石",$AK96*1.5,0))*(1+$AY96)*(1+$AZ96)+($BA96*IF($G$1="牵丝",$AJ96,$AH96)+IF($G$1="牵丝",$AK96*1.5,0))*(1+$BC96)*(1+$BD96)+($BE96*IF($G$1="破竹",$AJ96,$AH96)+IF($G$1="破竹",$AK96*1.5,0))*(1+$BG96)*(1+$BH96))*(1+$AL96))*$P96*(1+IF(VLOOKUP($Q96,武学奇术!$A:$ZZ,30,FALSE)="蓄力技",#REF!,0))*(1+$BQ96)</f>
        <v>0</v>
      </c>
      <c r="P96" s="39">
        <v>1</v>
      </c>
      <c r="Q96" s="40" t="s">
        <v>76</v>
      </c>
      <c r="R96" s="40" t="s">
        <v>76</v>
      </c>
      <c r="S96" s="40" t="s">
        <v>76</v>
      </c>
      <c r="T96" s="40" t="s">
        <v>76</v>
      </c>
      <c r="U96" s="40" t="s">
        <v>76</v>
      </c>
      <c r="V96" s="40" t="s">
        <v>76</v>
      </c>
      <c r="W96" s="40" t="s">
        <v>76</v>
      </c>
      <c r="X96" s="40" t="s">
        <v>76</v>
      </c>
      <c r="Y96" s="40" t="s">
        <v>76</v>
      </c>
      <c r="Z96" s="40" t="s">
        <v>76</v>
      </c>
      <c r="AA96" s="40" t="s">
        <v>76</v>
      </c>
      <c r="AB96" s="40" t="s">
        <v>76</v>
      </c>
      <c r="AC96" s="40" t="s">
        <v>76</v>
      </c>
      <c r="AD96" s="40" t="s">
        <v>76</v>
      </c>
      <c r="AE96" s="40" t="s">
        <v>76</v>
      </c>
      <c r="AF96" s="40" t="s">
        <v>76</v>
      </c>
      <c r="AG96" t="str">
        <f>VLOOKUP($Q96,武学奇术!$A:$ZZ,25,FALSE)</f>
        <v>心法</v>
      </c>
      <c r="AH96" s="26">
        <f>VLOOKUP($Q96,武学奇术!$A:$ZZ,26,FALSE)</f>
        <v>0</v>
      </c>
      <c r="AI96" s="27">
        <f>VLOOKUP($Q96,武学奇术!$A:$ZZ,27,FALSE)*(1+IF(OR($AG96=$F$4,$AG96=$F$5),$B$21,0))</f>
        <v>0</v>
      </c>
      <c r="AJ96" s="26">
        <f>VLOOKUP($Q96,武学奇术!$A:$ZZ,28,FALSE)</f>
        <v>0</v>
      </c>
      <c r="AK96" s="27">
        <f>VLOOKUP($Q96,武学奇术!$A:$ZZ,29,FALSE)*(1+IF(OR($AG96=$F$4,$AG96=$F$5),$B$21,0))</f>
        <v>0</v>
      </c>
      <c r="AL96" s="26" cm="1">
        <f t="array" ref="AL96">$G$3+IFERROR(VLOOKUP($AG96,$F$4:$G$7,2,FALSE),0)+VLOOKUP($Q96,武学奇术!$A:$ZZ,2,FALSE)+SUM(_xlfn.XLOOKUP($R96:$AF96,增益!$A:$A,增益!$B:$B,0))</f>
        <v>0.2642</v>
      </c>
      <c r="AM96" s="26" cm="1">
        <f t="array" ref="AM96">VLOOKUP($Q96,武学奇术!$A:$ZZ,5,FALSE)+SUM(_xlfn.XLOOKUP($R96:$AF96,增益!$A:$A,增益!$E:$E,0))</f>
        <v>0</v>
      </c>
      <c r="AN96" cm="1">
        <f t="array" ref="AN96">$D$10*(1+$AM96)+VLOOKUP($Q96,武学奇术!$A:$ZZ,3,FALSE)+SUM(_xlfn.XLOOKUP($R96:$AF96,增益!$A:$A,增益!$C:$C,0))-$I$2</f>
        <v>3977.2</v>
      </c>
      <c r="AO96" cm="1">
        <f t="array" ref="AO96">$E$10*(1+$AM96)+VLOOKUP($Q96,武学奇术!$A:$ZZ,4,FALSE)+SUM(_xlfn.XLOOKUP($R96:$AF96,增益!$A:$A,增益!$D:$D,0))-$I$2</f>
        <v>3977.2</v>
      </c>
      <c r="AP96" s="32" cm="1">
        <f t="array" ref="AP96">IF($F$10-$I$3+VLOOKUP($Q96,武学奇术!$A:$ZZ,6,FALSE)+SUM(_xlfn.XLOOKUP(R96:AF96,增益!$A:$A,增益!$F:$F,0))&gt;0,($F$10-$I$3+VLOOKUP($Q96,武学奇术!$A:$ZZ,6,FALSE)+SUM(_xlfn.XLOOKUP(R96:AF96,增益!$A:$A,增益!$F:$F,0)))/200,($F$10-$I$3+VLOOKUP($Q96,武学奇术!$A:$ZZ,6,FALSE)+SUM(_xlfn.XLOOKUP(R96:AF96,增益!$A:$A,增益!$F:$F,0)))/100)</f>
        <v>0.294</v>
      </c>
      <c r="AQ96" s="32" cm="1">
        <f t="array" ref="AQ96">$G$10+VLOOKUP($Q96,武学奇术!$A:$ZZ,7,FALSE)+SUM(_xlfn.XLOOKUP(R96:AF96,增益!$A:$A,增益!$G:$G,0))</f>
        <v>0</v>
      </c>
      <c r="AR96" s="26" cm="1">
        <f t="array" ref="AR96">VLOOKUP($Q96,武学奇术!$A:$ZZ,8,FALSE)+SUM(_xlfn.XLOOKUP(R96:AF96,增益!$A:$A,增益!$H:$H,0))</f>
        <v>0</v>
      </c>
      <c r="AS96">
        <f t="shared" si="43"/>
        <v>0</v>
      </c>
      <c r="AT96">
        <f t="shared" si="44"/>
        <v>0</v>
      </c>
      <c r="AU96" s="32" cm="1">
        <f t="array" ref="AU96">IF($F$11-$I$4+VLOOKUP($Q96,武学奇术!$A:$ZZ,9,FALSE)+SUM(_xlfn.XLOOKUP(R96:AF96,增益!$A:$A,增益!$I:$I,0))&gt;0,($F$11-$I$4+VLOOKUP($Q96,武学奇术!$A:$ZZ,9,FALSE)+SUM(_xlfn.XLOOKUP(R96:AF96,增益!$A:$A,增益!$I:$I,0)))/200,($F$11-$I$4+VLOOKUP($Q96,武学奇术!$A:$ZZ,9,FALSE)+SUM(_xlfn.XLOOKUP(R96:AF96,增益!$A:$A,增益!$I:$I,0)))/100)</f>
        <v>-0.3</v>
      </c>
      <c r="AV96" s="32" cm="1">
        <f t="array" ref="AV96">$G$11+VLOOKUP($Q96,武学奇术!$A:$ZZ,10,FALSE)+SUM(_xlfn.XLOOKUP(R96:AF96,增益!$A:$A,增益!$J:$J,0))</f>
        <v>0</v>
      </c>
      <c r="AW96">
        <f t="shared" si="45"/>
        <v>0</v>
      </c>
      <c r="AX96">
        <f t="shared" si="46"/>
        <v>0</v>
      </c>
      <c r="AY96" s="32" cm="1">
        <f t="array" ref="AY96">IF($F$12-$I$4+VLOOKUP($Q96,武学奇术!$A:$ZZ,11,FALSE)+SUM(_xlfn.XLOOKUP(R96:AF96,增益!$A:$A,增益!$K:$K,0))&gt;0,($F$12-$I$4+VLOOKUP($Q96,武学奇术!$A:$ZZ,11,FALSE)+SUM(_xlfn.XLOOKUP(R96:AF96,增益!$A:$A,增益!$K:$K,0)))/200,($F$12-$I$4+VLOOKUP($Q96,武学奇术!$A:$ZZ,11,FALSE)+SUM(_xlfn.XLOOKUP(R96:AF96,增益!$A:$A,增益!$K:$K,0)))/100)</f>
        <v>-0.3</v>
      </c>
      <c r="AZ96" s="32" cm="1">
        <f t="array" ref="AZ96">$G$12+VLOOKUP($Q96,武学奇术!$A:$ZZ,12,FALSE)+SUM(_xlfn.XLOOKUP(R96:AF96,增益!$A:$A,增益!$L:$L,0))</f>
        <v>0</v>
      </c>
      <c r="BA96">
        <f t="shared" si="47"/>
        <v>697.4</v>
      </c>
      <c r="BB96">
        <f t="shared" si="48"/>
        <v>1805</v>
      </c>
      <c r="BC96" s="32" cm="1">
        <f t="array" ref="BC96">IF($F$13-$I$4+VLOOKUP($Q96,武学奇术!$A:$ZZ,13,FALSE)+SUM(_xlfn.XLOOKUP(R96:AF96,增益!$A:$A,增益!$M:$M,0))&gt;0,($F$13-$I$4+VLOOKUP($Q96,武学奇术!$A:$ZZ,13,FALSE)+SUM(_xlfn.XLOOKUP(R96:AF96,增益!$A:$A,增益!$K:$K,0)))/200,($F$13-$I$4+VLOOKUP($Q96,武学奇术!$A:$ZZ,13,FALSE)+SUM(_xlfn.XLOOKUP(R96:AF96,增益!$A:$A,增益!$M:$M,0)))/100)</f>
        <v>0</v>
      </c>
      <c r="BD96" s="32" cm="1">
        <f t="array" ref="BD96">$G$13+VLOOKUP($Q96,武学奇术!$A:$ZZ,14,FALSE)+SUM(_xlfn.XLOOKUP(R96:AF96,增益!$A:$A,增益!$N:$N,0))</f>
        <v>0.15</v>
      </c>
      <c r="BE96">
        <f t="shared" si="49"/>
        <v>0</v>
      </c>
      <c r="BF96">
        <f t="shared" si="50"/>
        <v>0</v>
      </c>
      <c r="BG96" s="32" cm="1">
        <f t="array" ref="BG96">IF($F$14-$I$4+VLOOKUP($Q96,武学奇术!$A:$ZZ,15,FALSE)+SUM(_xlfn.XLOOKUP(R96:AF96,增益!$A:$A,增益!$O:$O,0))&gt;0,($F$14-$I$4+VLOOKUP($Q96,武学奇术!$A:$ZZ,15,FALSE)+SUM(_xlfn.XLOOKUP(R96:AF96,增益!$A:$A,增益!$O:$O,0)))/200,($F$14-$I$4+VLOOKUP($Q96,武学奇术!$A:$ZZ,15,FALSE)+SUM(_xlfn.XLOOKUP(R96:AF96,增益!$A:$A,增益!$O:$O,0)))/100)</f>
        <v>-0.3</v>
      </c>
      <c r="BH96" s="32" cm="1">
        <f t="array" ref="BH96">$G$14+VLOOKUP($Q96,武学奇术!$A:$ZZ,16,FALSE)+SUM(_xlfn.XLOOKUP(R96:AF96,增益!$A:$A,增益!$P:$P,0))</f>
        <v>0</v>
      </c>
      <c r="BI96" s="26">
        <f>MIN(IF(VLOOKUP($Q96,武学奇术!$A:$ZZ,23,FALSE)=1,100%,$B$8),100%)</f>
        <v>1</v>
      </c>
      <c r="BJ96" s="26" cm="1">
        <f t="array" ref="BJ96">IF(VLOOKUP($Q96,武学奇术!$A:$ZZ,23,FALSE)=1,100%,MIN(80%,$B$9+VLOOKUP($Q96,武学奇术!$A:$ZZ,17,FALSE)+SUM(_xlfn.XLOOKUP(R96:AF96,增益!$A:$A,增益!$Q:$Q,0)))+$B$11+SUM(_xlfn.XLOOKUP(R96:AF96,增益!$A:$A,增益!$U:$U,0)))*IF(VLOOKUP($Q96,武学奇术!$A:$ZZ,24,FALSE)=1,0,1)</f>
        <v>0.8625</v>
      </c>
      <c r="BK96" s="26" cm="1">
        <f t="array" ref="BK96">1+$B$13+VLOOKUP($Q96,武学奇术!$A:$ZZ,18,FALSE)+SUM(_xlfn.XLOOKUP(R96:AF96,增益!$A:$A,增益!$R:$R,0))</f>
        <v>1.5</v>
      </c>
      <c r="BL96" s="26" cm="1">
        <f t="array" ref="BL96">IF(VLOOKUP($Q96,武学奇术!$A:$ZZ,24,FALSE)=1,100%,MIN(40%,$B$10+VLOOKUP($Q96,武学奇术!$A:$ZZ,19,FALSE)+SUM(_xlfn.XLOOKUP(R96:AF96,增益!$A:$A,增益!$S:$S,0)))+$B$12+SUM(_xlfn.XLOOKUP(R96:AF96,增益!$A:$A,增益!$V:$V,0)))*IF(VLOOKUP($Q96,武学奇术!$A:$ZZ,23,FALSE)=1,0,1)</f>
        <v>0.0913</v>
      </c>
      <c r="BM96" s="26" cm="1">
        <f t="array" ref="BM96">1+$B$14+VLOOKUP($Q96,武学奇术!$A:$ZZ,20,FALSE)+SUM(_xlfn.XLOOKUP(R96:AF96,增益!$A:$A,增益!$T:$T,0))</f>
        <v>1.35</v>
      </c>
      <c r="BN96" s="26">
        <f t="shared" si="22"/>
        <v>0.8625</v>
      </c>
      <c r="BO96" s="26">
        <f t="shared" si="32"/>
        <v>0.0462</v>
      </c>
      <c r="BP96" s="26">
        <f>IF(VLOOKUP($Q96,武学奇术!$A:$ZZ,22,FALSE)=1,0,(1-$BI96))*(1-$BL96)</f>
        <v>0</v>
      </c>
      <c r="BQ96" s="26" cm="1">
        <f t="array" ref="BQ96">SUM(_xlfn.XLOOKUP(R96:AF96,增益!$A:$A,增益!$W:$W,0))+$I$5</f>
        <v>0.06</v>
      </c>
    </row>
    <row r="97" spans="11:69">
      <c r="K97" s="38">
        <f t="shared" si="42"/>
        <v>0</v>
      </c>
      <c r="L97" s="38">
        <f>((($AN97+$AO97)/2*$AH97+$AI97)*(1+$AP97)*(1+$AQ97)+(($AS97+$AT97)/2*IF($G$1="鸣金",$AJ97,$AH97)+IF($G$1="鸣金",$AK97*1.5,0))*(1+$AU97)*(1+$AV97)+(($AW97+$AX97)/2*IF($G$1="裂石",$AJ97,$AH97)+IF($G$1="裂石",$AK97*1.5,0))*(1+$AY97)*(1+$AZ97)+(($BA97+$BB97)/2*IF($G$1="牵丝",$AJ97,$AH97)+IF($G$1="牵丝",$AK97*1.5,0))*(1+$BC97)*(1+$BD97)+(($BE97+$BF97)/2*IF($G$1="破竹",$AJ97,$AH97)+IF($G$1="破竹",$AK97*1.5,0))*(1+$BG97)*(1+$BH97))*(1+$AL97)*$BK97*$P97*(1+IF(VLOOKUP($Q97,武学奇术!$A:$ZZ,30,FALSE)="蓄力技",#REF!,0))*(1+$BQ97)</f>
        <v>0</v>
      </c>
      <c r="M97" s="38">
        <f>(($AO97*$AH97+$AI97)*(1+$AP97)*(1+$AQ97)+($AT97*IF($G$1="鸣金",$AJ97,$AH97)+IF($G$1="鸣金",$AK97*1.5,0))*(1+$AU97)*(1+$AV97)+($AX97*IF($G$1="裂石",$AJ97,$AH97)+IF($G$1="裂石",$AK97*1.5,0))*(1+$AY97)*(1+$AZ97)+($BB97*IF($G$1="牵丝",$AJ97,$AH97)+IF($G$1="牵丝",$AK97*1.5,0))*(1+$BC97)*(1+$BD97)+($BF97*IF($G$1="破竹",$AJ97,$AH97)+IF($G$1="破竹",$AK97*1.5,0))*(1+$BG97)*(1+$BH97))*(1+$AL97)*$BM97*$P97*(1+IF(VLOOKUP($Q97,武学奇术!$A:$ZZ,30,FALSE)="蓄力技",#REF!,0))*(1+$BQ97)</f>
        <v>0</v>
      </c>
      <c r="N97" s="38">
        <f>((($AN97+$AO97)/2*$AH97+$AI97)*(1+$AP97)*(1+$AQ97)+(($AS97+$AT97)/2*IF($G$1="鸣金",$AJ97,$AH97)+IF($G$1="鸣金",$AK97*1.5,0))*(1+$AU97)*(1+$AV97)+(($AW97+$AX97)/2*IF($G$1="裂石",$AJ97,$AH97)+IF($G$1="裂石",$AK97*1.5,0))*(1+$AY97)*(1+$AZ97)+(($BA97+$BB97)/2*IF($G$1="牵丝",$AJ97,$AH97)+IF($G$1="牵丝",$AK97*1.5,0))*(1+$BC97)*(1+$BD97)+(($BE97+$BF97)/2*IF($G$1="破竹",$AJ97,$AH97)+IF($G$1="破竹",$AK97*1.5,0))*(1+$BG97)*(1+$BH97))*(1+$AL97)*$P97*(1+IF(VLOOKUP($Q97,武学奇术!$A:$ZZ,30,FALSE)="蓄力技",#REF!,0))*(1+$BQ97)</f>
        <v>0</v>
      </c>
      <c r="O97" s="38">
        <f>((($AN97*$AH97+$AI97)*(1+$AP97)*(1+$AQ97)+($AS97*IF($G$1="鸣金",$AJ97,$AH97)+IF($G$1="鸣金",$AK97*1.5,0))*(1+$AU97)*(1+$AV97)+($AW97*IF($G$1="裂石",$AJ97,$AH97)+IF($G$1="裂石",$AK97*1.5,0))*(1+$AY97)*(1+$AZ97)+($BA97*IF($G$1="牵丝",$AJ97,$AH97)+IF($G$1="牵丝",$AK97*1.5,0))*(1+$BC97)*(1+$BD97)+($BE97*IF($G$1="破竹",$AJ97,$AH97)+IF($G$1="破竹",$AK97*1.5,0))*(1+$BG97)*(1+$BH97))*(1+$AL97))*$P97*(1+IF(VLOOKUP($Q97,武学奇术!$A:$ZZ,30,FALSE)="蓄力技",#REF!,0))*(1+$BQ97)</f>
        <v>0</v>
      </c>
      <c r="P97" s="39">
        <v>1</v>
      </c>
      <c r="Q97" s="40" t="s">
        <v>76</v>
      </c>
      <c r="R97" s="40" t="s">
        <v>76</v>
      </c>
      <c r="S97" s="40" t="s">
        <v>76</v>
      </c>
      <c r="T97" s="40" t="s">
        <v>76</v>
      </c>
      <c r="U97" s="40" t="s">
        <v>76</v>
      </c>
      <c r="V97" s="40" t="s">
        <v>76</v>
      </c>
      <c r="W97" s="40" t="s">
        <v>76</v>
      </c>
      <c r="X97" s="40" t="s">
        <v>76</v>
      </c>
      <c r="Y97" s="40" t="s">
        <v>76</v>
      </c>
      <c r="Z97" s="40" t="s">
        <v>76</v>
      </c>
      <c r="AA97" s="40" t="s">
        <v>76</v>
      </c>
      <c r="AB97" s="40" t="s">
        <v>76</v>
      </c>
      <c r="AC97" s="40" t="s">
        <v>76</v>
      </c>
      <c r="AD97" s="40" t="s">
        <v>76</v>
      </c>
      <c r="AE97" s="40" t="s">
        <v>76</v>
      </c>
      <c r="AF97" s="40" t="s">
        <v>76</v>
      </c>
      <c r="AG97" t="str">
        <f>VLOOKUP($Q97,武学奇术!$A:$ZZ,25,FALSE)</f>
        <v>心法</v>
      </c>
      <c r="AH97" s="26">
        <f>VLOOKUP($Q97,武学奇术!$A:$ZZ,26,FALSE)</f>
        <v>0</v>
      </c>
      <c r="AI97" s="27">
        <f>VLOOKUP($Q97,武学奇术!$A:$ZZ,27,FALSE)*(1+IF(OR($AG97=$F$4,$AG97=$F$5),$B$21,0))</f>
        <v>0</v>
      </c>
      <c r="AJ97" s="26">
        <f>VLOOKUP($Q97,武学奇术!$A:$ZZ,28,FALSE)</f>
        <v>0</v>
      </c>
      <c r="AK97" s="27">
        <f>VLOOKUP($Q97,武学奇术!$A:$ZZ,29,FALSE)*(1+IF(OR($AG97=$F$4,$AG97=$F$5),$B$21,0))</f>
        <v>0</v>
      </c>
      <c r="AL97" s="26" cm="1">
        <f t="array" ref="AL97">$G$3+IFERROR(VLOOKUP($AG97,$F$4:$G$7,2,FALSE),0)+VLOOKUP($Q97,武学奇术!$A:$ZZ,2,FALSE)+SUM(_xlfn.XLOOKUP($R97:$AF97,增益!$A:$A,增益!$B:$B,0))</f>
        <v>0.2642</v>
      </c>
      <c r="AM97" s="26" cm="1">
        <f t="array" ref="AM97">VLOOKUP($Q97,武学奇术!$A:$ZZ,5,FALSE)+SUM(_xlfn.XLOOKUP($R97:$AF97,增益!$A:$A,增益!$E:$E,0))</f>
        <v>0</v>
      </c>
      <c r="AN97" cm="1">
        <f t="array" ref="AN97">$D$10*(1+$AM97)+VLOOKUP($Q97,武学奇术!$A:$ZZ,3,FALSE)+SUM(_xlfn.XLOOKUP($R97:$AF97,增益!$A:$A,增益!$C:$C,0))-$I$2</f>
        <v>3977.2</v>
      </c>
      <c r="AO97" cm="1">
        <f t="array" ref="AO97">$E$10*(1+$AM97)+VLOOKUP($Q97,武学奇术!$A:$ZZ,4,FALSE)+SUM(_xlfn.XLOOKUP($R97:$AF97,增益!$A:$A,增益!$D:$D,0))-$I$2</f>
        <v>3977.2</v>
      </c>
      <c r="AP97" s="32" cm="1">
        <f t="array" ref="AP97">IF($F$10-$I$3+VLOOKUP($Q97,武学奇术!$A:$ZZ,6,FALSE)+SUM(_xlfn.XLOOKUP(R97:AF97,增益!$A:$A,增益!$F:$F,0))&gt;0,($F$10-$I$3+VLOOKUP($Q97,武学奇术!$A:$ZZ,6,FALSE)+SUM(_xlfn.XLOOKUP(R97:AF97,增益!$A:$A,增益!$F:$F,0)))/200,($F$10-$I$3+VLOOKUP($Q97,武学奇术!$A:$ZZ,6,FALSE)+SUM(_xlfn.XLOOKUP(R97:AF97,增益!$A:$A,增益!$F:$F,0)))/100)</f>
        <v>0.294</v>
      </c>
      <c r="AQ97" s="32" cm="1">
        <f t="array" ref="AQ97">$G$10+VLOOKUP($Q97,武学奇术!$A:$ZZ,7,FALSE)+SUM(_xlfn.XLOOKUP(R97:AF97,增益!$A:$A,增益!$G:$G,0))</f>
        <v>0</v>
      </c>
      <c r="AR97" s="26" cm="1">
        <f t="array" ref="AR97">VLOOKUP($Q97,武学奇术!$A:$ZZ,8,FALSE)+SUM(_xlfn.XLOOKUP(R97:AF97,增益!$A:$A,增益!$H:$H,0))</f>
        <v>0</v>
      </c>
      <c r="AS97">
        <f t="shared" si="43"/>
        <v>0</v>
      </c>
      <c r="AT97">
        <f t="shared" si="44"/>
        <v>0</v>
      </c>
      <c r="AU97" s="32" cm="1">
        <f t="array" ref="AU97">IF($F$11-$I$4+VLOOKUP($Q97,武学奇术!$A:$ZZ,9,FALSE)+SUM(_xlfn.XLOOKUP(R97:AF97,增益!$A:$A,增益!$I:$I,0))&gt;0,($F$11-$I$4+VLOOKUP($Q97,武学奇术!$A:$ZZ,9,FALSE)+SUM(_xlfn.XLOOKUP(R97:AF97,增益!$A:$A,增益!$I:$I,0)))/200,($F$11-$I$4+VLOOKUP($Q97,武学奇术!$A:$ZZ,9,FALSE)+SUM(_xlfn.XLOOKUP(R97:AF97,增益!$A:$A,增益!$I:$I,0)))/100)</f>
        <v>-0.3</v>
      </c>
      <c r="AV97" s="32" cm="1">
        <f t="array" ref="AV97">$G$11+VLOOKUP($Q97,武学奇术!$A:$ZZ,10,FALSE)+SUM(_xlfn.XLOOKUP(R97:AF97,增益!$A:$A,增益!$J:$J,0))</f>
        <v>0</v>
      </c>
      <c r="AW97">
        <f t="shared" si="45"/>
        <v>0</v>
      </c>
      <c r="AX97">
        <f t="shared" si="46"/>
        <v>0</v>
      </c>
      <c r="AY97" s="32" cm="1">
        <f t="array" ref="AY97">IF($F$12-$I$4+VLOOKUP($Q97,武学奇术!$A:$ZZ,11,FALSE)+SUM(_xlfn.XLOOKUP(R97:AF97,增益!$A:$A,增益!$K:$K,0))&gt;0,($F$12-$I$4+VLOOKUP($Q97,武学奇术!$A:$ZZ,11,FALSE)+SUM(_xlfn.XLOOKUP(R97:AF97,增益!$A:$A,增益!$K:$K,0)))/200,($F$12-$I$4+VLOOKUP($Q97,武学奇术!$A:$ZZ,11,FALSE)+SUM(_xlfn.XLOOKUP(R97:AF97,增益!$A:$A,增益!$K:$K,0)))/100)</f>
        <v>-0.3</v>
      </c>
      <c r="AZ97" s="32" cm="1">
        <f t="array" ref="AZ97">$G$12+VLOOKUP($Q97,武学奇术!$A:$ZZ,12,FALSE)+SUM(_xlfn.XLOOKUP(R97:AF97,增益!$A:$A,增益!$L:$L,0))</f>
        <v>0</v>
      </c>
      <c r="BA97">
        <f t="shared" si="47"/>
        <v>697.4</v>
      </c>
      <c r="BB97">
        <f t="shared" si="48"/>
        <v>1805</v>
      </c>
      <c r="BC97" s="32" cm="1">
        <f t="array" ref="BC97">IF($F$13-$I$4+VLOOKUP($Q97,武学奇术!$A:$ZZ,13,FALSE)+SUM(_xlfn.XLOOKUP(R97:AF97,增益!$A:$A,增益!$M:$M,0))&gt;0,($F$13-$I$4+VLOOKUP($Q97,武学奇术!$A:$ZZ,13,FALSE)+SUM(_xlfn.XLOOKUP(R97:AF97,增益!$A:$A,增益!$K:$K,0)))/200,($F$13-$I$4+VLOOKUP($Q97,武学奇术!$A:$ZZ,13,FALSE)+SUM(_xlfn.XLOOKUP(R97:AF97,增益!$A:$A,增益!$M:$M,0)))/100)</f>
        <v>0</v>
      </c>
      <c r="BD97" s="32" cm="1">
        <f t="array" ref="BD97">$G$13+VLOOKUP($Q97,武学奇术!$A:$ZZ,14,FALSE)+SUM(_xlfn.XLOOKUP(R97:AF97,增益!$A:$A,增益!$N:$N,0))</f>
        <v>0.15</v>
      </c>
      <c r="BE97">
        <f t="shared" si="49"/>
        <v>0</v>
      </c>
      <c r="BF97">
        <f t="shared" si="50"/>
        <v>0</v>
      </c>
      <c r="BG97" s="32" cm="1">
        <f t="array" ref="BG97">IF($F$14-$I$4+VLOOKUP($Q97,武学奇术!$A:$ZZ,15,FALSE)+SUM(_xlfn.XLOOKUP(R97:AF97,增益!$A:$A,增益!$O:$O,0))&gt;0,($F$14-$I$4+VLOOKUP($Q97,武学奇术!$A:$ZZ,15,FALSE)+SUM(_xlfn.XLOOKUP(R97:AF97,增益!$A:$A,增益!$O:$O,0)))/200,($F$14-$I$4+VLOOKUP($Q97,武学奇术!$A:$ZZ,15,FALSE)+SUM(_xlfn.XLOOKUP(R97:AF97,增益!$A:$A,增益!$O:$O,0)))/100)</f>
        <v>-0.3</v>
      </c>
      <c r="BH97" s="32" cm="1">
        <f t="array" ref="BH97">$G$14+VLOOKUP($Q97,武学奇术!$A:$ZZ,16,FALSE)+SUM(_xlfn.XLOOKUP(R97:AF97,增益!$A:$A,增益!$P:$P,0))</f>
        <v>0</v>
      </c>
      <c r="BI97" s="26">
        <f>MIN(IF(VLOOKUP($Q97,武学奇术!$A:$ZZ,23,FALSE)=1,100%,$B$8),100%)</f>
        <v>1</v>
      </c>
      <c r="BJ97" s="26" cm="1">
        <f t="array" ref="BJ97">IF(VLOOKUP($Q97,武学奇术!$A:$ZZ,23,FALSE)=1,100%,MIN(80%,$B$9+VLOOKUP($Q97,武学奇术!$A:$ZZ,17,FALSE)+SUM(_xlfn.XLOOKUP(R97:AF97,增益!$A:$A,增益!$Q:$Q,0)))+$B$11+SUM(_xlfn.XLOOKUP(R97:AF97,增益!$A:$A,增益!$U:$U,0)))*IF(VLOOKUP($Q97,武学奇术!$A:$ZZ,24,FALSE)=1,0,1)</f>
        <v>0.8625</v>
      </c>
      <c r="BK97" s="26" cm="1">
        <f t="array" ref="BK97">1+$B$13+VLOOKUP($Q97,武学奇术!$A:$ZZ,18,FALSE)+SUM(_xlfn.XLOOKUP(R97:AF97,增益!$A:$A,增益!$R:$R,0))</f>
        <v>1.5</v>
      </c>
      <c r="BL97" s="26" cm="1">
        <f t="array" ref="BL97">IF(VLOOKUP($Q97,武学奇术!$A:$ZZ,24,FALSE)=1,100%,MIN(40%,$B$10+VLOOKUP($Q97,武学奇术!$A:$ZZ,19,FALSE)+SUM(_xlfn.XLOOKUP(R97:AF97,增益!$A:$A,增益!$S:$S,0)))+$B$12+SUM(_xlfn.XLOOKUP(R97:AF97,增益!$A:$A,增益!$V:$V,0)))*IF(VLOOKUP($Q97,武学奇术!$A:$ZZ,23,FALSE)=1,0,1)</f>
        <v>0.0913</v>
      </c>
      <c r="BM97" s="26" cm="1">
        <f t="array" ref="BM97">1+$B$14+VLOOKUP($Q97,武学奇术!$A:$ZZ,20,FALSE)+SUM(_xlfn.XLOOKUP(R97:AF97,增益!$A:$A,增益!$T:$T,0))</f>
        <v>1.35</v>
      </c>
      <c r="BN97" s="26">
        <f t="shared" si="22"/>
        <v>0.8625</v>
      </c>
      <c r="BO97" s="26">
        <f t="shared" si="32"/>
        <v>0.0462</v>
      </c>
      <c r="BP97" s="26">
        <f>IF(VLOOKUP($Q97,武学奇术!$A:$ZZ,22,FALSE)=1,0,(1-$BI97))*(1-$BL97)</f>
        <v>0</v>
      </c>
      <c r="BQ97" s="26" cm="1">
        <f t="array" ref="BQ97">SUM(_xlfn.XLOOKUP(R97:AF97,增益!$A:$A,增益!$W:$W,0))+$I$5</f>
        <v>0.06</v>
      </c>
    </row>
    <row r="98" spans="11:69">
      <c r="K98" s="38">
        <f t="shared" si="42"/>
        <v>0</v>
      </c>
      <c r="L98" s="38">
        <f>((($AN98+$AO98)/2*$AH98+$AI98)*(1+$AP98)*(1+$AQ98)+(($AS98+$AT98)/2*IF($G$1="鸣金",$AJ98,$AH98)+IF($G$1="鸣金",$AK98*1.5,0))*(1+$AU98)*(1+$AV98)+(($AW98+$AX98)/2*IF($G$1="裂石",$AJ98,$AH98)+IF($G$1="裂石",$AK98*1.5,0))*(1+$AY98)*(1+$AZ98)+(($BA98+$BB98)/2*IF($G$1="牵丝",$AJ98,$AH98)+IF($G$1="牵丝",$AK98*1.5,0))*(1+$BC98)*(1+$BD98)+(($BE98+$BF98)/2*IF($G$1="破竹",$AJ98,$AH98)+IF($G$1="破竹",$AK98*1.5,0))*(1+$BG98)*(1+$BH98))*(1+$AL98)*$BK98*$P98*(1+IF(VLOOKUP($Q98,武学奇术!$A:$ZZ,30,FALSE)="蓄力技",#REF!,0))*(1+$BQ98)</f>
        <v>0</v>
      </c>
      <c r="M98" s="38">
        <f>(($AO98*$AH98+$AI98)*(1+$AP98)*(1+$AQ98)+($AT98*IF($G$1="鸣金",$AJ98,$AH98)+IF($G$1="鸣金",$AK98*1.5,0))*(1+$AU98)*(1+$AV98)+($AX98*IF($G$1="裂石",$AJ98,$AH98)+IF($G$1="裂石",$AK98*1.5,0))*(1+$AY98)*(1+$AZ98)+($BB98*IF($G$1="牵丝",$AJ98,$AH98)+IF($G$1="牵丝",$AK98*1.5,0))*(1+$BC98)*(1+$BD98)+($BF98*IF($G$1="破竹",$AJ98,$AH98)+IF($G$1="破竹",$AK98*1.5,0))*(1+$BG98)*(1+$BH98))*(1+$AL98)*$BM98*$P98*(1+IF(VLOOKUP($Q98,武学奇术!$A:$ZZ,30,FALSE)="蓄力技",#REF!,0))*(1+$BQ98)</f>
        <v>0</v>
      </c>
      <c r="N98" s="38">
        <f>((($AN98+$AO98)/2*$AH98+$AI98)*(1+$AP98)*(1+$AQ98)+(($AS98+$AT98)/2*IF($G$1="鸣金",$AJ98,$AH98)+IF($G$1="鸣金",$AK98*1.5,0))*(1+$AU98)*(1+$AV98)+(($AW98+$AX98)/2*IF($G$1="裂石",$AJ98,$AH98)+IF($G$1="裂石",$AK98*1.5,0))*(1+$AY98)*(1+$AZ98)+(($BA98+$BB98)/2*IF($G$1="牵丝",$AJ98,$AH98)+IF($G$1="牵丝",$AK98*1.5,0))*(1+$BC98)*(1+$BD98)+(($BE98+$BF98)/2*IF($G$1="破竹",$AJ98,$AH98)+IF($G$1="破竹",$AK98*1.5,0))*(1+$BG98)*(1+$BH98))*(1+$AL98)*$P98*(1+IF(VLOOKUP($Q98,武学奇术!$A:$ZZ,30,FALSE)="蓄力技",#REF!,0))*(1+$BQ98)</f>
        <v>0</v>
      </c>
      <c r="O98" s="38">
        <f>((($AN98*$AH98+$AI98)*(1+$AP98)*(1+$AQ98)+($AS98*IF($G$1="鸣金",$AJ98,$AH98)+IF($G$1="鸣金",$AK98*1.5,0))*(1+$AU98)*(1+$AV98)+($AW98*IF($G$1="裂石",$AJ98,$AH98)+IF($G$1="裂石",$AK98*1.5,0))*(1+$AY98)*(1+$AZ98)+($BA98*IF($G$1="牵丝",$AJ98,$AH98)+IF($G$1="牵丝",$AK98*1.5,0))*(1+$BC98)*(1+$BD98)+($BE98*IF($G$1="破竹",$AJ98,$AH98)+IF($G$1="破竹",$AK98*1.5,0))*(1+$BG98)*(1+$BH98))*(1+$AL98))*$P98*(1+IF(VLOOKUP($Q98,武学奇术!$A:$ZZ,30,FALSE)="蓄力技",#REF!,0))*(1+$BQ98)</f>
        <v>0</v>
      </c>
      <c r="P98" s="39">
        <v>1</v>
      </c>
      <c r="Q98" s="40" t="s">
        <v>76</v>
      </c>
      <c r="R98" s="40" t="s">
        <v>76</v>
      </c>
      <c r="S98" s="40" t="s">
        <v>76</v>
      </c>
      <c r="T98" s="40" t="s">
        <v>76</v>
      </c>
      <c r="U98" s="40" t="s">
        <v>76</v>
      </c>
      <c r="V98" s="40" t="s">
        <v>76</v>
      </c>
      <c r="W98" s="40" t="s">
        <v>76</v>
      </c>
      <c r="X98" s="40" t="s">
        <v>76</v>
      </c>
      <c r="Y98" s="40" t="s">
        <v>76</v>
      </c>
      <c r="Z98" s="40" t="s">
        <v>76</v>
      </c>
      <c r="AA98" s="40" t="s">
        <v>76</v>
      </c>
      <c r="AB98" s="40" t="s">
        <v>76</v>
      </c>
      <c r="AC98" s="40" t="s">
        <v>76</v>
      </c>
      <c r="AD98" s="40" t="s">
        <v>76</v>
      </c>
      <c r="AE98" s="40" t="s">
        <v>76</v>
      </c>
      <c r="AF98" s="40" t="s">
        <v>76</v>
      </c>
      <c r="AG98" t="str">
        <f>VLOOKUP($Q98,武学奇术!$A:$ZZ,25,FALSE)</f>
        <v>心法</v>
      </c>
      <c r="AH98" s="26">
        <f>VLOOKUP($Q98,武学奇术!$A:$ZZ,26,FALSE)</f>
        <v>0</v>
      </c>
      <c r="AI98" s="27">
        <f>VLOOKUP($Q98,武学奇术!$A:$ZZ,27,FALSE)*(1+IF(OR($AG98=$F$4,$AG98=$F$5),$B$21,0))</f>
        <v>0</v>
      </c>
      <c r="AJ98" s="26">
        <f>VLOOKUP($Q98,武学奇术!$A:$ZZ,28,FALSE)</f>
        <v>0</v>
      </c>
      <c r="AK98" s="27">
        <f>VLOOKUP($Q98,武学奇术!$A:$ZZ,29,FALSE)*(1+IF(OR($AG98=$F$4,$AG98=$F$5),$B$21,0))</f>
        <v>0</v>
      </c>
      <c r="AL98" s="26" cm="1">
        <f t="array" ref="AL98">$G$3+IFERROR(VLOOKUP($AG98,$F$4:$G$7,2,FALSE),0)+VLOOKUP($Q98,武学奇术!$A:$ZZ,2,FALSE)+SUM(_xlfn.XLOOKUP($R98:$AF98,增益!$A:$A,增益!$B:$B,0))</f>
        <v>0.2642</v>
      </c>
      <c r="AM98" s="26" cm="1">
        <f t="array" ref="AM98">VLOOKUP($Q98,武学奇术!$A:$ZZ,5,FALSE)+SUM(_xlfn.XLOOKUP($R98:$AF98,增益!$A:$A,增益!$E:$E,0))</f>
        <v>0</v>
      </c>
      <c r="AN98" cm="1">
        <f t="array" ref="AN98">$D$10*(1+$AM98)+VLOOKUP($Q98,武学奇术!$A:$ZZ,3,FALSE)+SUM(_xlfn.XLOOKUP($R98:$AF98,增益!$A:$A,增益!$C:$C,0))-$I$2</f>
        <v>3977.2</v>
      </c>
      <c r="AO98" cm="1">
        <f t="array" ref="AO98">$E$10*(1+$AM98)+VLOOKUP($Q98,武学奇术!$A:$ZZ,4,FALSE)+SUM(_xlfn.XLOOKUP($R98:$AF98,增益!$A:$A,增益!$D:$D,0))-$I$2</f>
        <v>3977.2</v>
      </c>
      <c r="AP98" s="32" cm="1">
        <f t="array" ref="AP98">IF($F$10-$I$3+VLOOKUP($Q98,武学奇术!$A:$ZZ,6,FALSE)+SUM(_xlfn.XLOOKUP(R98:AF98,增益!$A:$A,增益!$F:$F,0))&gt;0,($F$10-$I$3+VLOOKUP($Q98,武学奇术!$A:$ZZ,6,FALSE)+SUM(_xlfn.XLOOKUP(R98:AF98,增益!$A:$A,增益!$F:$F,0)))/200,($F$10-$I$3+VLOOKUP($Q98,武学奇术!$A:$ZZ,6,FALSE)+SUM(_xlfn.XLOOKUP(R98:AF98,增益!$A:$A,增益!$F:$F,0)))/100)</f>
        <v>0.294</v>
      </c>
      <c r="AQ98" s="32" cm="1">
        <f t="array" ref="AQ98">$G$10+VLOOKUP($Q98,武学奇术!$A:$ZZ,7,FALSE)+SUM(_xlfn.XLOOKUP(R98:AF98,增益!$A:$A,增益!$G:$G,0))</f>
        <v>0</v>
      </c>
      <c r="AR98" s="26" cm="1">
        <f t="array" ref="AR98">VLOOKUP($Q98,武学奇术!$A:$ZZ,8,FALSE)+SUM(_xlfn.XLOOKUP(R98:AF98,增益!$A:$A,增益!$H:$H,0))</f>
        <v>0</v>
      </c>
      <c r="AS98">
        <f t="shared" si="43"/>
        <v>0</v>
      </c>
      <c r="AT98">
        <f t="shared" si="44"/>
        <v>0</v>
      </c>
      <c r="AU98" s="32" cm="1">
        <f t="array" ref="AU98">IF($F$11-$I$4+VLOOKUP($Q98,武学奇术!$A:$ZZ,9,FALSE)+SUM(_xlfn.XLOOKUP(R98:AF98,增益!$A:$A,增益!$I:$I,0))&gt;0,($F$11-$I$4+VLOOKUP($Q98,武学奇术!$A:$ZZ,9,FALSE)+SUM(_xlfn.XLOOKUP(R98:AF98,增益!$A:$A,增益!$I:$I,0)))/200,($F$11-$I$4+VLOOKUP($Q98,武学奇术!$A:$ZZ,9,FALSE)+SUM(_xlfn.XLOOKUP(R98:AF98,增益!$A:$A,增益!$I:$I,0)))/100)</f>
        <v>-0.3</v>
      </c>
      <c r="AV98" s="32" cm="1">
        <f t="array" ref="AV98">$G$11+VLOOKUP($Q98,武学奇术!$A:$ZZ,10,FALSE)+SUM(_xlfn.XLOOKUP(R98:AF98,增益!$A:$A,增益!$J:$J,0))</f>
        <v>0</v>
      </c>
      <c r="AW98">
        <f t="shared" si="45"/>
        <v>0</v>
      </c>
      <c r="AX98">
        <f t="shared" si="46"/>
        <v>0</v>
      </c>
      <c r="AY98" s="32" cm="1">
        <f t="array" ref="AY98">IF($F$12-$I$4+VLOOKUP($Q98,武学奇术!$A:$ZZ,11,FALSE)+SUM(_xlfn.XLOOKUP(R98:AF98,增益!$A:$A,增益!$K:$K,0))&gt;0,($F$12-$I$4+VLOOKUP($Q98,武学奇术!$A:$ZZ,11,FALSE)+SUM(_xlfn.XLOOKUP(R98:AF98,增益!$A:$A,增益!$K:$K,0)))/200,($F$12-$I$4+VLOOKUP($Q98,武学奇术!$A:$ZZ,11,FALSE)+SUM(_xlfn.XLOOKUP(R98:AF98,增益!$A:$A,增益!$K:$K,0)))/100)</f>
        <v>-0.3</v>
      </c>
      <c r="AZ98" s="32" cm="1">
        <f t="array" ref="AZ98">$G$12+VLOOKUP($Q98,武学奇术!$A:$ZZ,12,FALSE)+SUM(_xlfn.XLOOKUP(R98:AF98,增益!$A:$A,增益!$L:$L,0))</f>
        <v>0</v>
      </c>
      <c r="BA98">
        <f t="shared" si="47"/>
        <v>697.4</v>
      </c>
      <c r="BB98">
        <f t="shared" si="48"/>
        <v>1805</v>
      </c>
      <c r="BC98" s="32" cm="1">
        <f t="array" ref="BC98">IF($F$13-$I$4+VLOOKUP($Q98,武学奇术!$A:$ZZ,13,FALSE)+SUM(_xlfn.XLOOKUP(R98:AF98,增益!$A:$A,增益!$M:$M,0))&gt;0,($F$13-$I$4+VLOOKUP($Q98,武学奇术!$A:$ZZ,13,FALSE)+SUM(_xlfn.XLOOKUP(R98:AF98,增益!$A:$A,增益!$K:$K,0)))/200,($F$13-$I$4+VLOOKUP($Q98,武学奇术!$A:$ZZ,13,FALSE)+SUM(_xlfn.XLOOKUP(R98:AF98,增益!$A:$A,增益!$M:$M,0)))/100)</f>
        <v>0</v>
      </c>
      <c r="BD98" s="32" cm="1">
        <f t="array" ref="BD98">$G$13+VLOOKUP($Q98,武学奇术!$A:$ZZ,14,FALSE)+SUM(_xlfn.XLOOKUP(R98:AF98,增益!$A:$A,增益!$N:$N,0))</f>
        <v>0.15</v>
      </c>
      <c r="BE98">
        <f t="shared" si="49"/>
        <v>0</v>
      </c>
      <c r="BF98">
        <f t="shared" si="50"/>
        <v>0</v>
      </c>
      <c r="BG98" s="32" cm="1">
        <f t="array" ref="BG98">IF($F$14-$I$4+VLOOKUP($Q98,武学奇术!$A:$ZZ,15,FALSE)+SUM(_xlfn.XLOOKUP(R98:AF98,增益!$A:$A,增益!$O:$O,0))&gt;0,($F$14-$I$4+VLOOKUP($Q98,武学奇术!$A:$ZZ,15,FALSE)+SUM(_xlfn.XLOOKUP(R98:AF98,增益!$A:$A,增益!$O:$O,0)))/200,($F$14-$I$4+VLOOKUP($Q98,武学奇术!$A:$ZZ,15,FALSE)+SUM(_xlfn.XLOOKUP(R98:AF98,增益!$A:$A,增益!$O:$O,0)))/100)</f>
        <v>-0.3</v>
      </c>
      <c r="BH98" s="32" cm="1">
        <f t="array" ref="BH98">$G$14+VLOOKUP($Q98,武学奇术!$A:$ZZ,16,FALSE)+SUM(_xlfn.XLOOKUP(R98:AF98,增益!$A:$A,增益!$P:$P,0))</f>
        <v>0</v>
      </c>
      <c r="BI98" s="26">
        <f>MIN(IF(VLOOKUP($Q98,武学奇术!$A:$ZZ,23,FALSE)=1,100%,$B$8),100%)</f>
        <v>1</v>
      </c>
      <c r="BJ98" s="26" cm="1">
        <f t="array" ref="BJ98">IF(VLOOKUP($Q98,武学奇术!$A:$ZZ,23,FALSE)=1,100%,MIN(80%,$B$9+VLOOKUP($Q98,武学奇术!$A:$ZZ,17,FALSE)+SUM(_xlfn.XLOOKUP(R98:AF98,增益!$A:$A,增益!$Q:$Q,0)))+$B$11+SUM(_xlfn.XLOOKUP(R98:AF98,增益!$A:$A,增益!$U:$U,0)))*IF(VLOOKUP($Q98,武学奇术!$A:$ZZ,24,FALSE)=1,0,1)</f>
        <v>0.8625</v>
      </c>
      <c r="BK98" s="26" cm="1">
        <f t="array" ref="BK98">1+$B$13+VLOOKUP($Q98,武学奇术!$A:$ZZ,18,FALSE)+SUM(_xlfn.XLOOKUP(R98:AF98,增益!$A:$A,增益!$R:$R,0))</f>
        <v>1.5</v>
      </c>
      <c r="BL98" s="26" cm="1">
        <f t="array" ref="BL98">IF(VLOOKUP($Q98,武学奇术!$A:$ZZ,24,FALSE)=1,100%,MIN(40%,$B$10+VLOOKUP($Q98,武学奇术!$A:$ZZ,19,FALSE)+SUM(_xlfn.XLOOKUP(R98:AF98,增益!$A:$A,增益!$S:$S,0)))+$B$12+SUM(_xlfn.XLOOKUP(R98:AF98,增益!$A:$A,增益!$V:$V,0)))*IF(VLOOKUP($Q98,武学奇术!$A:$ZZ,23,FALSE)=1,0,1)</f>
        <v>0.0913</v>
      </c>
      <c r="BM98" s="26" cm="1">
        <f t="array" ref="BM98">1+$B$14+VLOOKUP($Q98,武学奇术!$A:$ZZ,20,FALSE)+SUM(_xlfn.XLOOKUP(R98:AF98,增益!$A:$A,增益!$T:$T,0))</f>
        <v>1.35</v>
      </c>
      <c r="BN98" s="26">
        <f t="shared" si="22"/>
        <v>0.8625</v>
      </c>
      <c r="BO98" s="26">
        <f t="shared" si="32"/>
        <v>0.0462</v>
      </c>
      <c r="BP98" s="26">
        <f>IF(VLOOKUP($Q98,武学奇术!$A:$ZZ,22,FALSE)=1,0,(1-$BI98))*(1-$BL98)</f>
        <v>0</v>
      </c>
      <c r="BQ98" s="26" cm="1">
        <f t="array" ref="BQ98">SUM(_xlfn.XLOOKUP(R98:AF98,增益!$A:$A,增益!$W:$W,0))+$I$5</f>
        <v>0.06</v>
      </c>
    </row>
    <row r="99" spans="11:69">
      <c r="K99" s="38">
        <f t="shared" si="42"/>
        <v>0</v>
      </c>
      <c r="L99" s="38">
        <f>((($AN99+$AO99)/2*$AH99+$AI99)*(1+$AP99)*(1+$AQ99)+(($AS99+$AT99)/2*IF($G$1="鸣金",$AJ99,$AH99)+IF($G$1="鸣金",$AK99*1.5,0))*(1+$AU99)*(1+$AV99)+(($AW99+$AX99)/2*IF($G$1="裂石",$AJ99,$AH99)+IF($G$1="裂石",$AK99*1.5,0))*(1+$AY99)*(1+$AZ99)+(($BA99+$BB99)/2*IF($G$1="牵丝",$AJ99,$AH99)+IF($G$1="牵丝",$AK99*1.5,0))*(1+$BC99)*(1+$BD99)+(($BE99+$BF99)/2*IF($G$1="破竹",$AJ99,$AH99)+IF($G$1="破竹",$AK99*1.5,0))*(1+$BG99)*(1+$BH99))*(1+$AL99)*$BK99*$P99*(1+IF(VLOOKUP($Q99,武学奇术!$A:$ZZ,30,FALSE)="蓄力技",#REF!,0))*(1+$BQ99)</f>
        <v>0</v>
      </c>
      <c r="M99" s="38">
        <f>(($AO99*$AH99+$AI99)*(1+$AP99)*(1+$AQ99)+($AT99*IF($G$1="鸣金",$AJ99,$AH99)+IF($G$1="鸣金",$AK99*1.5,0))*(1+$AU99)*(1+$AV99)+($AX99*IF($G$1="裂石",$AJ99,$AH99)+IF($G$1="裂石",$AK99*1.5,0))*(1+$AY99)*(1+$AZ99)+($BB99*IF($G$1="牵丝",$AJ99,$AH99)+IF($G$1="牵丝",$AK99*1.5,0))*(1+$BC99)*(1+$BD99)+($BF99*IF($G$1="破竹",$AJ99,$AH99)+IF($G$1="破竹",$AK99*1.5,0))*(1+$BG99)*(1+$BH99))*(1+$AL99)*$BM99*$P99*(1+IF(VLOOKUP($Q99,武学奇术!$A:$ZZ,30,FALSE)="蓄力技",#REF!,0))*(1+$BQ99)</f>
        <v>0</v>
      </c>
      <c r="N99" s="38">
        <f>((($AN99+$AO99)/2*$AH99+$AI99)*(1+$AP99)*(1+$AQ99)+(($AS99+$AT99)/2*IF($G$1="鸣金",$AJ99,$AH99)+IF($G$1="鸣金",$AK99*1.5,0))*(1+$AU99)*(1+$AV99)+(($AW99+$AX99)/2*IF($G$1="裂石",$AJ99,$AH99)+IF($G$1="裂石",$AK99*1.5,0))*(1+$AY99)*(1+$AZ99)+(($BA99+$BB99)/2*IF($G$1="牵丝",$AJ99,$AH99)+IF($G$1="牵丝",$AK99*1.5,0))*(1+$BC99)*(1+$BD99)+(($BE99+$BF99)/2*IF($G$1="破竹",$AJ99,$AH99)+IF($G$1="破竹",$AK99*1.5,0))*(1+$BG99)*(1+$BH99))*(1+$AL99)*$P99*(1+IF(VLOOKUP($Q99,武学奇术!$A:$ZZ,30,FALSE)="蓄力技",#REF!,0))*(1+$BQ99)</f>
        <v>0</v>
      </c>
      <c r="O99" s="38">
        <f>((($AN99*$AH99+$AI99)*(1+$AP99)*(1+$AQ99)+($AS99*IF($G$1="鸣金",$AJ99,$AH99)+IF($G$1="鸣金",$AK99*1.5,0))*(1+$AU99)*(1+$AV99)+($AW99*IF($G$1="裂石",$AJ99,$AH99)+IF($G$1="裂石",$AK99*1.5,0))*(1+$AY99)*(1+$AZ99)+($BA99*IF($G$1="牵丝",$AJ99,$AH99)+IF($G$1="牵丝",$AK99*1.5,0))*(1+$BC99)*(1+$BD99)+($BE99*IF($G$1="破竹",$AJ99,$AH99)+IF($G$1="破竹",$AK99*1.5,0))*(1+$BG99)*(1+$BH99))*(1+$AL99))*$P99*(1+IF(VLOOKUP($Q99,武学奇术!$A:$ZZ,30,FALSE)="蓄力技",#REF!,0))*(1+$BQ99)</f>
        <v>0</v>
      </c>
      <c r="P99" s="39">
        <v>1</v>
      </c>
      <c r="Q99" s="40" t="s">
        <v>76</v>
      </c>
      <c r="R99" s="40" t="s">
        <v>76</v>
      </c>
      <c r="S99" s="40" t="s">
        <v>76</v>
      </c>
      <c r="T99" s="40" t="s">
        <v>76</v>
      </c>
      <c r="U99" s="40" t="s">
        <v>76</v>
      </c>
      <c r="V99" s="40" t="s">
        <v>76</v>
      </c>
      <c r="W99" s="40" t="s">
        <v>76</v>
      </c>
      <c r="X99" s="40" t="s">
        <v>76</v>
      </c>
      <c r="Y99" s="40" t="s">
        <v>76</v>
      </c>
      <c r="Z99" s="40" t="s">
        <v>76</v>
      </c>
      <c r="AA99" s="40" t="s">
        <v>76</v>
      </c>
      <c r="AB99" s="40" t="s">
        <v>76</v>
      </c>
      <c r="AC99" s="40" t="s">
        <v>76</v>
      </c>
      <c r="AD99" s="40" t="s">
        <v>76</v>
      </c>
      <c r="AE99" s="40" t="s">
        <v>76</v>
      </c>
      <c r="AF99" s="40" t="s">
        <v>76</v>
      </c>
      <c r="AG99" t="str">
        <f>VLOOKUP($Q99,武学奇术!$A:$ZZ,25,FALSE)</f>
        <v>心法</v>
      </c>
      <c r="AH99" s="26">
        <f>VLOOKUP($Q99,武学奇术!$A:$ZZ,26,FALSE)</f>
        <v>0</v>
      </c>
      <c r="AI99" s="27">
        <f>VLOOKUP($Q99,武学奇术!$A:$ZZ,27,FALSE)*(1+IF(OR($AG99=$F$4,$AG99=$F$5),$B$21,0))</f>
        <v>0</v>
      </c>
      <c r="AJ99" s="26">
        <f>VLOOKUP($Q99,武学奇术!$A:$ZZ,28,FALSE)</f>
        <v>0</v>
      </c>
      <c r="AK99" s="27">
        <f>VLOOKUP($Q99,武学奇术!$A:$ZZ,29,FALSE)*(1+IF(OR($AG99=$F$4,$AG99=$F$5),$B$21,0))</f>
        <v>0</v>
      </c>
      <c r="AL99" s="26" cm="1">
        <f t="array" ref="AL99">$G$3+IFERROR(VLOOKUP($AG99,$F$4:$G$7,2,FALSE),0)+VLOOKUP($Q99,武学奇术!$A:$ZZ,2,FALSE)+SUM(_xlfn.XLOOKUP($R99:$AF99,增益!$A:$A,增益!$B:$B,0))</f>
        <v>0.2642</v>
      </c>
      <c r="AM99" s="26" cm="1">
        <f t="array" ref="AM99">VLOOKUP($Q99,武学奇术!$A:$ZZ,5,FALSE)+SUM(_xlfn.XLOOKUP($R99:$AF99,增益!$A:$A,增益!$E:$E,0))</f>
        <v>0</v>
      </c>
      <c r="AN99" cm="1">
        <f t="array" ref="AN99">$D$10*(1+$AM99)+VLOOKUP($Q99,武学奇术!$A:$ZZ,3,FALSE)+SUM(_xlfn.XLOOKUP($R99:$AF99,增益!$A:$A,增益!$C:$C,0))-$I$2</f>
        <v>3977.2</v>
      </c>
      <c r="AO99" cm="1">
        <f t="array" ref="AO99">$E$10*(1+$AM99)+VLOOKUP($Q99,武学奇术!$A:$ZZ,4,FALSE)+SUM(_xlfn.XLOOKUP($R99:$AF99,增益!$A:$A,增益!$D:$D,0))-$I$2</f>
        <v>3977.2</v>
      </c>
      <c r="AP99" s="32" cm="1">
        <f t="array" ref="AP99">IF($F$10-$I$3+VLOOKUP($Q99,武学奇术!$A:$ZZ,6,FALSE)+SUM(_xlfn.XLOOKUP(R99:AF99,增益!$A:$A,增益!$F:$F,0))&gt;0,($F$10-$I$3+VLOOKUP($Q99,武学奇术!$A:$ZZ,6,FALSE)+SUM(_xlfn.XLOOKUP(R99:AF99,增益!$A:$A,增益!$F:$F,0)))/200,($F$10-$I$3+VLOOKUP($Q99,武学奇术!$A:$ZZ,6,FALSE)+SUM(_xlfn.XLOOKUP(R99:AF99,增益!$A:$A,增益!$F:$F,0)))/100)</f>
        <v>0.294</v>
      </c>
      <c r="AQ99" s="32" cm="1">
        <f t="array" ref="AQ99">$G$10+VLOOKUP($Q99,武学奇术!$A:$ZZ,7,FALSE)+SUM(_xlfn.XLOOKUP(R99:AF99,增益!$A:$A,增益!$G:$G,0))</f>
        <v>0</v>
      </c>
      <c r="AR99" s="26" cm="1">
        <f t="array" ref="AR99">VLOOKUP($Q99,武学奇术!$A:$ZZ,8,FALSE)+SUM(_xlfn.XLOOKUP(R99:AF99,增益!$A:$A,增益!$H:$H,0))</f>
        <v>0</v>
      </c>
      <c r="AS99">
        <f t="shared" si="43"/>
        <v>0</v>
      </c>
      <c r="AT99">
        <f t="shared" si="44"/>
        <v>0</v>
      </c>
      <c r="AU99" s="32" cm="1">
        <f t="array" ref="AU99">IF($F$11-$I$4+VLOOKUP($Q99,武学奇术!$A:$ZZ,9,FALSE)+SUM(_xlfn.XLOOKUP(R99:AF99,增益!$A:$A,增益!$I:$I,0))&gt;0,($F$11-$I$4+VLOOKUP($Q99,武学奇术!$A:$ZZ,9,FALSE)+SUM(_xlfn.XLOOKUP(R99:AF99,增益!$A:$A,增益!$I:$I,0)))/200,($F$11-$I$4+VLOOKUP($Q99,武学奇术!$A:$ZZ,9,FALSE)+SUM(_xlfn.XLOOKUP(R99:AF99,增益!$A:$A,增益!$I:$I,0)))/100)</f>
        <v>-0.3</v>
      </c>
      <c r="AV99" s="32" cm="1">
        <f t="array" ref="AV99">$G$11+VLOOKUP($Q99,武学奇术!$A:$ZZ,10,FALSE)+SUM(_xlfn.XLOOKUP(R99:AF99,增益!$A:$A,增益!$J:$J,0))</f>
        <v>0</v>
      </c>
      <c r="AW99">
        <f t="shared" si="45"/>
        <v>0</v>
      </c>
      <c r="AX99">
        <f t="shared" si="46"/>
        <v>0</v>
      </c>
      <c r="AY99" s="32" cm="1">
        <f t="array" ref="AY99">IF($F$12-$I$4+VLOOKUP($Q99,武学奇术!$A:$ZZ,11,FALSE)+SUM(_xlfn.XLOOKUP(R99:AF99,增益!$A:$A,增益!$K:$K,0))&gt;0,($F$12-$I$4+VLOOKUP($Q99,武学奇术!$A:$ZZ,11,FALSE)+SUM(_xlfn.XLOOKUP(R99:AF99,增益!$A:$A,增益!$K:$K,0)))/200,($F$12-$I$4+VLOOKUP($Q99,武学奇术!$A:$ZZ,11,FALSE)+SUM(_xlfn.XLOOKUP(R99:AF99,增益!$A:$A,增益!$K:$K,0)))/100)</f>
        <v>-0.3</v>
      </c>
      <c r="AZ99" s="32" cm="1">
        <f t="array" ref="AZ99">$G$12+VLOOKUP($Q99,武学奇术!$A:$ZZ,12,FALSE)+SUM(_xlfn.XLOOKUP(R99:AF99,增益!$A:$A,增益!$L:$L,0))</f>
        <v>0</v>
      </c>
      <c r="BA99">
        <f t="shared" si="47"/>
        <v>697.4</v>
      </c>
      <c r="BB99">
        <f t="shared" si="48"/>
        <v>1805</v>
      </c>
      <c r="BC99" s="32" cm="1">
        <f t="array" ref="BC99">IF($F$13-$I$4+VLOOKUP($Q99,武学奇术!$A:$ZZ,13,FALSE)+SUM(_xlfn.XLOOKUP(R99:AF99,增益!$A:$A,增益!$M:$M,0))&gt;0,($F$13-$I$4+VLOOKUP($Q99,武学奇术!$A:$ZZ,13,FALSE)+SUM(_xlfn.XLOOKUP(R99:AF99,增益!$A:$A,增益!$K:$K,0)))/200,($F$13-$I$4+VLOOKUP($Q99,武学奇术!$A:$ZZ,13,FALSE)+SUM(_xlfn.XLOOKUP(R99:AF99,增益!$A:$A,增益!$M:$M,0)))/100)</f>
        <v>0</v>
      </c>
      <c r="BD99" s="32" cm="1">
        <f t="array" ref="BD99">$G$13+VLOOKUP($Q99,武学奇术!$A:$ZZ,14,FALSE)+SUM(_xlfn.XLOOKUP(R99:AF99,增益!$A:$A,增益!$N:$N,0))</f>
        <v>0.15</v>
      </c>
      <c r="BE99">
        <f t="shared" si="49"/>
        <v>0</v>
      </c>
      <c r="BF99">
        <f t="shared" si="50"/>
        <v>0</v>
      </c>
      <c r="BG99" s="32" cm="1">
        <f t="array" ref="BG99">IF($F$14-$I$4+VLOOKUP($Q99,武学奇术!$A:$ZZ,15,FALSE)+SUM(_xlfn.XLOOKUP(R99:AF99,增益!$A:$A,增益!$O:$O,0))&gt;0,($F$14-$I$4+VLOOKUP($Q99,武学奇术!$A:$ZZ,15,FALSE)+SUM(_xlfn.XLOOKUP(R99:AF99,增益!$A:$A,增益!$O:$O,0)))/200,($F$14-$I$4+VLOOKUP($Q99,武学奇术!$A:$ZZ,15,FALSE)+SUM(_xlfn.XLOOKUP(R99:AF99,增益!$A:$A,增益!$O:$O,0)))/100)</f>
        <v>-0.3</v>
      </c>
      <c r="BH99" s="32" cm="1">
        <f t="array" ref="BH99">$G$14+VLOOKUP($Q99,武学奇术!$A:$ZZ,16,FALSE)+SUM(_xlfn.XLOOKUP(R99:AF99,增益!$A:$A,增益!$P:$P,0))</f>
        <v>0</v>
      </c>
      <c r="BI99" s="26">
        <f>MIN(IF(VLOOKUP($Q99,武学奇术!$A:$ZZ,23,FALSE)=1,100%,$B$8),100%)</f>
        <v>1</v>
      </c>
      <c r="BJ99" s="26" cm="1">
        <f t="array" ref="BJ99">IF(VLOOKUP($Q99,武学奇术!$A:$ZZ,23,FALSE)=1,100%,MIN(80%,$B$9+VLOOKUP($Q99,武学奇术!$A:$ZZ,17,FALSE)+SUM(_xlfn.XLOOKUP(R99:AF99,增益!$A:$A,增益!$Q:$Q,0)))+$B$11+SUM(_xlfn.XLOOKUP(R99:AF99,增益!$A:$A,增益!$U:$U,0)))*IF(VLOOKUP($Q99,武学奇术!$A:$ZZ,24,FALSE)=1,0,1)</f>
        <v>0.8625</v>
      </c>
      <c r="BK99" s="26" cm="1">
        <f t="array" ref="BK99">1+$B$13+VLOOKUP($Q99,武学奇术!$A:$ZZ,18,FALSE)+SUM(_xlfn.XLOOKUP(R99:AF99,增益!$A:$A,增益!$R:$R,0))</f>
        <v>1.5</v>
      </c>
      <c r="BL99" s="26" cm="1">
        <f t="array" ref="BL99">IF(VLOOKUP($Q99,武学奇术!$A:$ZZ,24,FALSE)=1,100%,MIN(40%,$B$10+VLOOKUP($Q99,武学奇术!$A:$ZZ,19,FALSE)+SUM(_xlfn.XLOOKUP(R99:AF99,增益!$A:$A,增益!$S:$S,0)))+$B$12+SUM(_xlfn.XLOOKUP(R99:AF99,增益!$A:$A,增益!$V:$V,0)))*IF(VLOOKUP($Q99,武学奇术!$A:$ZZ,23,FALSE)=1,0,1)</f>
        <v>0.0913</v>
      </c>
      <c r="BM99" s="26" cm="1">
        <f t="array" ref="BM99">1+$B$14+VLOOKUP($Q99,武学奇术!$A:$ZZ,20,FALSE)+SUM(_xlfn.XLOOKUP(R99:AF99,增益!$A:$A,增益!$T:$T,0))</f>
        <v>1.35</v>
      </c>
      <c r="BN99" s="26">
        <f t="shared" si="22"/>
        <v>0.8625</v>
      </c>
      <c r="BO99" s="26">
        <f t="shared" si="32"/>
        <v>0.0462</v>
      </c>
      <c r="BP99" s="26">
        <f>IF(VLOOKUP($Q99,武学奇术!$A:$ZZ,22,FALSE)=1,0,(1-$BI99))*(1-$BL99)</f>
        <v>0</v>
      </c>
      <c r="BQ99" s="26" cm="1">
        <f t="array" ref="BQ99">SUM(_xlfn.XLOOKUP(R99:AF99,增益!$A:$A,增益!$W:$W,0))+$I$5</f>
        <v>0.06</v>
      </c>
    </row>
    <row r="100" spans="11:69">
      <c r="K100" s="38">
        <f t="shared" si="42"/>
        <v>0</v>
      </c>
      <c r="L100" s="38">
        <f>((($AN100+$AO100)/2*$AH100+$AI100)*(1+$AP100)*(1+$AQ100)+(($AS100+$AT100)/2*IF($G$1="鸣金",$AJ100,$AH100)+IF($G$1="鸣金",$AK100*1.5,0))*(1+$AU100)*(1+$AV100)+(($AW100+$AX100)/2*IF($G$1="裂石",$AJ100,$AH100)+IF($G$1="裂石",$AK100*1.5,0))*(1+$AY100)*(1+$AZ100)+(($BA100+$BB100)/2*IF($G$1="牵丝",$AJ100,$AH100)+IF($G$1="牵丝",$AK100*1.5,0))*(1+$BC100)*(1+$BD100)+(($BE100+$BF100)/2*IF($G$1="破竹",$AJ100,$AH100)+IF($G$1="破竹",$AK100*1.5,0))*(1+$BG100)*(1+$BH100))*(1+$AL100)*$BK100*$P100*(1+IF(VLOOKUP($Q100,武学奇术!$A:$ZZ,30,FALSE)="蓄力技",#REF!,0))*(1+$BQ100)</f>
        <v>0</v>
      </c>
      <c r="M100" s="38">
        <f>(($AO100*$AH100+$AI100)*(1+$AP100)*(1+$AQ100)+($AT100*IF($G$1="鸣金",$AJ100,$AH100)+IF($G$1="鸣金",$AK100*1.5,0))*(1+$AU100)*(1+$AV100)+($AX100*IF($G$1="裂石",$AJ100,$AH100)+IF($G$1="裂石",$AK100*1.5,0))*(1+$AY100)*(1+$AZ100)+($BB100*IF($G$1="牵丝",$AJ100,$AH100)+IF($G$1="牵丝",$AK100*1.5,0))*(1+$BC100)*(1+$BD100)+($BF100*IF($G$1="破竹",$AJ100,$AH100)+IF($G$1="破竹",$AK100*1.5,0))*(1+$BG100)*(1+$BH100))*(1+$AL100)*$BM100*$P100*(1+IF(VLOOKUP($Q100,武学奇术!$A:$ZZ,30,FALSE)="蓄力技",#REF!,0))*(1+$BQ100)</f>
        <v>0</v>
      </c>
      <c r="N100" s="38">
        <f>((($AN100+$AO100)/2*$AH100+$AI100)*(1+$AP100)*(1+$AQ100)+(($AS100+$AT100)/2*IF($G$1="鸣金",$AJ100,$AH100)+IF($G$1="鸣金",$AK100*1.5,0))*(1+$AU100)*(1+$AV100)+(($AW100+$AX100)/2*IF($G$1="裂石",$AJ100,$AH100)+IF($G$1="裂石",$AK100*1.5,0))*(1+$AY100)*(1+$AZ100)+(($BA100+$BB100)/2*IF($G$1="牵丝",$AJ100,$AH100)+IF($G$1="牵丝",$AK100*1.5,0))*(1+$BC100)*(1+$BD100)+(($BE100+$BF100)/2*IF($G$1="破竹",$AJ100,$AH100)+IF($G$1="破竹",$AK100*1.5,0))*(1+$BG100)*(1+$BH100))*(1+$AL100)*$P100*(1+IF(VLOOKUP($Q100,武学奇术!$A:$ZZ,30,FALSE)="蓄力技",#REF!,0))*(1+$BQ100)</f>
        <v>0</v>
      </c>
      <c r="O100" s="38">
        <f>((($AN100*$AH100+$AI100)*(1+$AP100)*(1+$AQ100)+($AS100*IF($G$1="鸣金",$AJ100,$AH100)+IF($G$1="鸣金",$AK100*1.5,0))*(1+$AU100)*(1+$AV100)+($AW100*IF($G$1="裂石",$AJ100,$AH100)+IF($G$1="裂石",$AK100*1.5,0))*(1+$AY100)*(1+$AZ100)+($BA100*IF($G$1="牵丝",$AJ100,$AH100)+IF($G$1="牵丝",$AK100*1.5,0))*(1+$BC100)*(1+$BD100)+($BE100*IF($G$1="破竹",$AJ100,$AH100)+IF($G$1="破竹",$AK100*1.5,0))*(1+$BG100)*(1+$BH100))*(1+$AL100))*$P100*(1+IF(VLOOKUP($Q100,武学奇术!$A:$ZZ,30,FALSE)="蓄力技",#REF!,0))*(1+$BQ100)</f>
        <v>0</v>
      </c>
      <c r="P100" s="39">
        <v>1</v>
      </c>
      <c r="Q100" s="40" t="s">
        <v>76</v>
      </c>
      <c r="R100" s="40" t="s">
        <v>76</v>
      </c>
      <c r="S100" s="40" t="s">
        <v>76</v>
      </c>
      <c r="T100" s="40" t="s">
        <v>76</v>
      </c>
      <c r="U100" s="40" t="s">
        <v>76</v>
      </c>
      <c r="V100" s="40" t="s">
        <v>76</v>
      </c>
      <c r="W100" s="40" t="s">
        <v>76</v>
      </c>
      <c r="X100" s="40" t="s">
        <v>76</v>
      </c>
      <c r="Y100" s="40" t="s">
        <v>76</v>
      </c>
      <c r="Z100" s="40" t="s">
        <v>76</v>
      </c>
      <c r="AA100" s="40" t="s">
        <v>76</v>
      </c>
      <c r="AB100" s="40" t="s">
        <v>76</v>
      </c>
      <c r="AC100" s="40" t="s">
        <v>76</v>
      </c>
      <c r="AD100" s="40" t="s">
        <v>76</v>
      </c>
      <c r="AE100" s="40" t="s">
        <v>76</v>
      </c>
      <c r="AF100" s="40" t="s">
        <v>76</v>
      </c>
      <c r="AG100" t="str">
        <f>VLOOKUP($Q100,武学奇术!$A:$ZZ,25,FALSE)</f>
        <v>心法</v>
      </c>
      <c r="AH100" s="26">
        <f>VLOOKUP($Q100,武学奇术!$A:$ZZ,26,FALSE)</f>
        <v>0</v>
      </c>
      <c r="AI100" s="27">
        <f>VLOOKUP($Q100,武学奇术!$A:$ZZ,27,FALSE)*(1+IF(OR($AG100=$F$4,$AG100=$F$5),$B$21,0))</f>
        <v>0</v>
      </c>
      <c r="AJ100" s="26">
        <f>VLOOKUP($Q100,武学奇术!$A:$ZZ,28,FALSE)</f>
        <v>0</v>
      </c>
      <c r="AK100" s="27">
        <f>VLOOKUP($Q100,武学奇术!$A:$ZZ,29,FALSE)*(1+IF(OR($AG100=$F$4,$AG100=$F$5),$B$21,0))</f>
        <v>0</v>
      </c>
      <c r="AL100" s="26" cm="1">
        <f t="array" ref="AL100">$G$3+IFERROR(VLOOKUP($AG100,$F$4:$G$7,2,FALSE),0)+VLOOKUP($Q100,武学奇术!$A:$ZZ,2,FALSE)+SUM(_xlfn.XLOOKUP($R100:$AF100,增益!$A:$A,增益!$B:$B,0))</f>
        <v>0.2642</v>
      </c>
      <c r="AM100" s="26" cm="1">
        <f t="array" ref="AM100">VLOOKUP($Q100,武学奇术!$A:$ZZ,5,FALSE)+SUM(_xlfn.XLOOKUP($R100:$AF100,增益!$A:$A,增益!$E:$E,0))</f>
        <v>0</v>
      </c>
      <c r="AN100" cm="1">
        <f t="array" ref="AN100">$D$10*(1+$AM100)+VLOOKUP($Q100,武学奇术!$A:$ZZ,3,FALSE)+SUM(_xlfn.XLOOKUP($R100:$AF100,增益!$A:$A,增益!$C:$C,0))-$I$2</f>
        <v>3977.2</v>
      </c>
      <c r="AO100" cm="1">
        <f t="array" ref="AO100">$E$10*(1+$AM100)+VLOOKUP($Q100,武学奇术!$A:$ZZ,4,FALSE)+SUM(_xlfn.XLOOKUP($R100:$AF100,增益!$A:$A,增益!$D:$D,0))-$I$2</f>
        <v>3977.2</v>
      </c>
      <c r="AP100" s="32" cm="1">
        <f t="array" ref="AP100">IF($F$10-$I$3+VLOOKUP($Q100,武学奇术!$A:$ZZ,6,FALSE)+SUM(_xlfn.XLOOKUP(R100:AF100,增益!$A:$A,增益!$F:$F,0))&gt;0,($F$10-$I$3+VLOOKUP($Q100,武学奇术!$A:$ZZ,6,FALSE)+SUM(_xlfn.XLOOKUP(R100:AF100,增益!$A:$A,增益!$F:$F,0)))/200,($F$10-$I$3+VLOOKUP($Q100,武学奇术!$A:$ZZ,6,FALSE)+SUM(_xlfn.XLOOKUP(R100:AF100,增益!$A:$A,增益!$F:$F,0)))/100)</f>
        <v>0.294</v>
      </c>
      <c r="AQ100" s="32" cm="1">
        <f t="array" ref="AQ100">$G$10+VLOOKUP($Q100,武学奇术!$A:$ZZ,7,FALSE)+SUM(_xlfn.XLOOKUP(R100:AF100,增益!$A:$A,增益!$G:$G,0))</f>
        <v>0</v>
      </c>
      <c r="AR100" s="26" cm="1">
        <f t="array" ref="AR100">VLOOKUP($Q100,武学奇术!$A:$ZZ,8,FALSE)+SUM(_xlfn.XLOOKUP(R100:AF100,增益!$A:$A,增益!$H:$H,0))</f>
        <v>0</v>
      </c>
      <c r="AS100">
        <f t="shared" si="43"/>
        <v>0</v>
      </c>
      <c r="AT100">
        <f t="shared" si="44"/>
        <v>0</v>
      </c>
      <c r="AU100" s="32" cm="1">
        <f t="array" ref="AU100">IF($F$11-$I$4+VLOOKUP($Q100,武学奇术!$A:$ZZ,9,FALSE)+SUM(_xlfn.XLOOKUP(R100:AF100,增益!$A:$A,增益!$I:$I,0))&gt;0,($F$11-$I$4+VLOOKUP($Q100,武学奇术!$A:$ZZ,9,FALSE)+SUM(_xlfn.XLOOKUP(R100:AF100,增益!$A:$A,增益!$I:$I,0)))/200,($F$11-$I$4+VLOOKUP($Q100,武学奇术!$A:$ZZ,9,FALSE)+SUM(_xlfn.XLOOKUP(R100:AF100,增益!$A:$A,增益!$I:$I,0)))/100)</f>
        <v>-0.3</v>
      </c>
      <c r="AV100" s="32" cm="1">
        <f t="array" ref="AV100">$G$11+VLOOKUP($Q100,武学奇术!$A:$ZZ,10,FALSE)+SUM(_xlfn.XLOOKUP(R100:AF100,增益!$A:$A,增益!$J:$J,0))</f>
        <v>0</v>
      </c>
      <c r="AW100">
        <f t="shared" si="45"/>
        <v>0</v>
      </c>
      <c r="AX100">
        <f t="shared" si="46"/>
        <v>0</v>
      </c>
      <c r="AY100" s="32" cm="1">
        <f t="array" ref="AY100">IF($F$12-$I$4+VLOOKUP($Q100,武学奇术!$A:$ZZ,11,FALSE)+SUM(_xlfn.XLOOKUP(R100:AF100,增益!$A:$A,增益!$K:$K,0))&gt;0,($F$12-$I$4+VLOOKUP($Q100,武学奇术!$A:$ZZ,11,FALSE)+SUM(_xlfn.XLOOKUP(R100:AF100,增益!$A:$A,增益!$K:$K,0)))/200,($F$12-$I$4+VLOOKUP($Q100,武学奇术!$A:$ZZ,11,FALSE)+SUM(_xlfn.XLOOKUP(R100:AF100,增益!$A:$A,增益!$K:$K,0)))/100)</f>
        <v>-0.3</v>
      </c>
      <c r="AZ100" s="32" cm="1">
        <f t="array" ref="AZ100">$G$12+VLOOKUP($Q100,武学奇术!$A:$ZZ,12,FALSE)+SUM(_xlfn.XLOOKUP(R100:AF100,增益!$A:$A,增益!$L:$L,0))</f>
        <v>0</v>
      </c>
      <c r="BA100">
        <f t="shared" si="47"/>
        <v>697.4</v>
      </c>
      <c r="BB100">
        <f t="shared" si="48"/>
        <v>1805</v>
      </c>
      <c r="BC100" s="32" cm="1">
        <f t="array" ref="BC100">IF($F$13-$I$4+VLOOKUP($Q100,武学奇术!$A:$ZZ,13,FALSE)+SUM(_xlfn.XLOOKUP(R100:AF100,增益!$A:$A,增益!$M:$M,0))&gt;0,($F$13-$I$4+VLOOKUP($Q100,武学奇术!$A:$ZZ,13,FALSE)+SUM(_xlfn.XLOOKUP(R100:AF100,增益!$A:$A,增益!$K:$K,0)))/200,($F$13-$I$4+VLOOKUP($Q100,武学奇术!$A:$ZZ,13,FALSE)+SUM(_xlfn.XLOOKUP(R100:AF100,增益!$A:$A,增益!$M:$M,0)))/100)</f>
        <v>0</v>
      </c>
      <c r="BD100" s="32" cm="1">
        <f t="array" ref="BD100">$G$13+VLOOKUP($Q100,武学奇术!$A:$ZZ,14,FALSE)+SUM(_xlfn.XLOOKUP(R100:AF100,增益!$A:$A,增益!$N:$N,0))</f>
        <v>0.15</v>
      </c>
      <c r="BE100">
        <f t="shared" si="49"/>
        <v>0</v>
      </c>
      <c r="BF100">
        <f t="shared" si="50"/>
        <v>0</v>
      </c>
      <c r="BG100" s="32" cm="1">
        <f t="array" ref="BG100">IF($F$14-$I$4+VLOOKUP($Q100,武学奇术!$A:$ZZ,15,FALSE)+SUM(_xlfn.XLOOKUP(R100:AF100,增益!$A:$A,增益!$O:$O,0))&gt;0,($F$14-$I$4+VLOOKUP($Q100,武学奇术!$A:$ZZ,15,FALSE)+SUM(_xlfn.XLOOKUP(R100:AF100,增益!$A:$A,增益!$O:$O,0)))/200,($F$14-$I$4+VLOOKUP($Q100,武学奇术!$A:$ZZ,15,FALSE)+SUM(_xlfn.XLOOKUP(R100:AF100,增益!$A:$A,增益!$O:$O,0)))/100)</f>
        <v>-0.3</v>
      </c>
      <c r="BH100" s="32" cm="1">
        <f t="array" ref="BH100">$G$14+VLOOKUP($Q100,武学奇术!$A:$ZZ,16,FALSE)+SUM(_xlfn.XLOOKUP(R100:AF100,增益!$A:$A,增益!$P:$P,0))</f>
        <v>0</v>
      </c>
      <c r="BI100" s="26">
        <f>MIN(IF(VLOOKUP($Q100,武学奇术!$A:$ZZ,23,FALSE)=1,100%,$B$8),100%)</f>
        <v>1</v>
      </c>
      <c r="BJ100" s="26" cm="1">
        <f t="array" ref="BJ100">IF(VLOOKUP($Q100,武学奇术!$A:$ZZ,23,FALSE)=1,100%,MIN(80%,$B$9+VLOOKUP($Q100,武学奇术!$A:$ZZ,17,FALSE)+SUM(_xlfn.XLOOKUP(R100:AF100,增益!$A:$A,增益!$Q:$Q,0)))+$B$11+SUM(_xlfn.XLOOKUP(R100:AF100,增益!$A:$A,增益!$U:$U,0)))*IF(VLOOKUP($Q100,武学奇术!$A:$ZZ,24,FALSE)=1,0,1)</f>
        <v>0.8625</v>
      </c>
      <c r="BK100" s="26" cm="1">
        <f t="array" ref="BK100">1+$B$13+VLOOKUP($Q100,武学奇术!$A:$ZZ,18,FALSE)+SUM(_xlfn.XLOOKUP(R100:AF100,增益!$A:$A,增益!$R:$R,0))</f>
        <v>1.5</v>
      </c>
      <c r="BL100" s="26" cm="1">
        <f t="array" ref="BL100">IF(VLOOKUP($Q100,武学奇术!$A:$ZZ,24,FALSE)=1,100%,MIN(40%,$B$10+VLOOKUP($Q100,武学奇术!$A:$ZZ,19,FALSE)+SUM(_xlfn.XLOOKUP(R100:AF100,增益!$A:$A,增益!$S:$S,0)))+$B$12+SUM(_xlfn.XLOOKUP(R100:AF100,增益!$A:$A,增益!$V:$V,0)))*IF(VLOOKUP($Q100,武学奇术!$A:$ZZ,23,FALSE)=1,0,1)</f>
        <v>0.0913</v>
      </c>
      <c r="BM100" s="26" cm="1">
        <f t="array" ref="BM100">1+$B$14+VLOOKUP($Q100,武学奇术!$A:$ZZ,20,FALSE)+SUM(_xlfn.XLOOKUP(R100:AF100,增益!$A:$A,增益!$T:$T,0))</f>
        <v>1.35</v>
      </c>
      <c r="BN100" s="26">
        <f t="shared" si="22"/>
        <v>0.8625</v>
      </c>
      <c r="BO100" s="26">
        <f t="shared" si="32"/>
        <v>0.0462</v>
      </c>
      <c r="BP100" s="26">
        <f>IF(VLOOKUP($Q100,武学奇术!$A:$ZZ,22,FALSE)=1,0,(1-$BI100))*(1-$BL100)</f>
        <v>0</v>
      </c>
      <c r="BQ100" s="26" cm="1">
        <f t="array" ref="BQ100">SUM(_xlfn.XLOOKUP(R100:AF100,增益!$A:$A,增益!$W:$W,0))+$I$5</f>
        <v>0.06</v>
      </c>
    </row>
    <row r="101" spans="11:69">
      <c r="K101" s="38">
        <f t="shared" si="42"/>
        <v>0</v>
      </c>
      <c r="L101" s="38">
        <f>((($AN101+$AO101)/2*$AH101+$AI101)*(1+$AP101)*(1+$AQ101)+(($AS101+$AT101)/2*IF($G$1="鸣金",$AJ101,$AH101)+IF($G$1="鸣金",$AK101*1.5,0))*(1+$AU101)*(1+$AV101)+(($AW101+$AX101)/2*IF($G$1="裂石",$AJ101,$AH101)+IF($G$1="裂石",$AK101*1.5,0))*(1+$AY101)*(1+$AZ101)+(($BA101+$BB101)/2*IF($G$1="牵丝",$AJ101,$AH101)+IF($G$1="牵丝",$AK101*1.5,0))*(1+$BC101)*(1+$BD101)+(($BE101+$BF101)/2*IF($G$1="破竹",$AJ101,$AH101)+IF($G$1="破竹",$AK101*1.5,0))*(1+$BG101)*(1+$BH101))*(1+$AL101)*$BK101*$P101*(1+IF(VLOOKUP($Q101,武学奇术!$A:$ZZ,30,FALSE)="蓄力技",#REF!,0))*(1+$BQ101)</f>
        <v>0</v>
      </c>
      <c r="M101" s="38">
        <f>(($AO101*$AH101+$AI101)*(1+$AP101)*(1+$AQ101)+($AT101*IF($G$1="鸣金",$AJ101,$AH101)+IF($G$1="鸣金",$AK101*1.5,0))*(1+$AU101)*(1+$AV101)+($AX101*IF($G$1="裂石",$AJ101,$AH101)+IF($G$1="裂石",$AK101*1.5,0))*(1+$AY101)*(1+$AZ101)+($BB101*IF($G$1="牵丝",$AJ101,$AH101)+IF($G$1="牵丝",$AK101*1.5,0))*(1+$BC101)*(1+$BD101)+($BF101*IF($G$1="破竹",$AJ101,$AH101)+IF($G$1="破竹",$AK101*1.5,0))*(1+$BG101)*(1+$BH101))*(1+$AL101)*$BM101*$P101*(1+IF(VLOOKUP($Q101,武学奇术!$A:$ZZ,30,FALSE)="蓄力技",#REF!,0))*(1+$BQ101)</f>
        <v>0</v>
      </c>
      <c r="N101" s="38">
        <f>((($AN101+$AO101)/2*$AH101+$AI101)*(1+$AP101)*(1+$AQ101)+(($AS101+$AT101)/2*IF($G$1="鸣金",$AJ101,$AH101)+IF($G$1="鸣金",$AK101*1.5,0))*(1+$AU101)*(1+$AV101)+(($AW101+$AX101)/2*IF($G$1="裂石",$AJ101,$AH101)+IF($G$1="裂石",$AK101*1.5,0))*(1+$AY101)*(1+$AZ101)+(($BA101+$BB101)/2*IF($G$1="牵丝",$AJ101,$AH101)+IF($G$1="牵丝",$AK101*1.5,0))*(1+$BC101)*(1+$BD101)+(($BE101+$BF101)/2*IF($G$1="破竹",$AJ101,$AH101)+IF($G$1="破竹",$AK101*1.5,0))*(1+$BG101)*(1+$BH101))*(1+$AL101)*$P101*(1+IF(VLOOKUP($Q101,武学奇术!$A:$ZZ,30,FALSE)="蓄力技",#REF!,0))*(1+$BQ101)</f>
        <v>0</v>
      </c>
      <c r="O101" s="38">
        <f>((($AN101*$AH101+$AI101)*(1+$AP101)*(1+$AQ101)+($AS101*IF($G$1="鸣金",$AJ101,$AH101)+IF($G$1="鸣金",$AK101*1.5,0))*(1+$AU101)*(1+$AV101)+($AW101*IF($G$1="裂石",$AJ101,$AH101)+IF($G$1="裂石",$AK101*1.5,0))*(1+$AY101)*(1+$AZ101)+($BA101*IF($G$1="牵丝",$AJ101,$AH101)+IF($G$1="牵丝",$AK101*1.5,0))*(1+$BC101)*(1+$BD101)+($BE101*IF($G$1="破竹",$AJ101,$AH101)+IF($G$1="破竹",$AK101*1.5,0))*(1+$BG101)*(1+$BH101))*(1+$AL101))*$P101*(1+IF(VLOOKUP($Q101,武学奇术!$A:$ZZ,30,FALSE)="蓄力技",#REF!,0))*(1+$BQ101)</f>
        <v>0</v>
      </c>
      <c r="P101" s="39">
        <v>1</v>
      </c>
      <c r="Q101" s="40" t="s">
        <v>76</v>
      </c>
      <c r="R101" s="40" t="s">
        <v>76</v>
      </c>
      <c r="S101" s="40" t="s">
        <v>76</v>
      </c>
      <c r="T101" s="40" t="s">
        <v>76</v>
      </c>
      <c r="U101" s="40" t="s">
        <v>76</v>
      </c>
      <c r="V101" s="40" t="s">
        <v>76</v>
      </c>
      <c r="W101" s="40" t="s">
        <v>76</v>
      </c>
      <c r="X101" s="40" t="s">
        <v>76</v>
      </c>
      <c r="Y101" s="40" t="s">
        <v>76</v>
      </c>
      <c r="Z101" s="40" t="s">
        <v>76</v>
      </c>
      <c r="AA101" s="40" t="s">
        <v>76</v>
      </c>
      <c r="AB101" s="40" t="s">
        <v>76</v>
      </c>
      <c r="AC101" s="40" t="s">
        <v>76</v>
      </c>
      <c r="AD101" s="40" t="s">
        <v>76</v>
      </c>
      <c r="AE101" s="40" t="s">
        <v>76</v>
      </c>
      <c r="AF101" s="40" t="s">
        <v>76</v>
      </c>
      <c r="AG101" t="str">
        <f>VLOOKUP($Q101,武学奇术!$A:$ZZ,25,FALSE)</f>
        <v>心法</v>
      </c>
      <c r="AH101" s="26">
        <f>VLOOKUP($Q101,武学奇术!$A:$ZZ,26,FALSE)</f>
        <v>0</v>
      </c>
      <c r="AI101" s="27">
        <f>VLOOKUP($Q101,武学奇术!$A:$ZZ,27,FALSE)*(1+IF(OR($AG101=$F$4,$AG101=$F$5),$B$21,0))</f>
        <v>0</v>
      </c>
      <c r="AJ101" s="26">
        <f>VLOOKUP($Q101,武学奇术!$A:$ZZ,28,FALSE)</f>
        <v>0</v>
      </c>
      <c r="AK101" s="27">
        <f>VLOOKUP($Q101,武学奇术!$A:$ZZ,29,FALSE)*(1+IF(OR($AG101=$F$4,$AG101=$F$5),$B$21,0))</f>
        <v>0</v>
      </c>
      <c r="AL101" s="26" cm="1">
        <f t="array" ref="AL101">$G$3+IFERROR(VLOOKUP($AG101,$F$4:$G$7,2,FALSE),0)+VLOOKUP($Q101,武学奇术!$A:$ZZ,2,FALSE)+SUM(_xlfn.XLOOKUP($R101:$AF101,增益!$A:$A,增益!$B:$B,0))</f>
        <v>0.2642</v>
      </c>
      <c r="AM101" s="26" cm="1">
        <f t="array" ref="AM101">VLOOKUP($Q101,武学奇术!$A:$ZZ,5,FALSE)+SUM(_xlfn.XLOOKUP($R101:$AF101,增益!$A:$A,增益!$E:$E,0))</f>
        <v>0</v>
      </c>
      <c r="AN101" cm="1">
        <f t="array" ref="AN101">$D$10*(1+$AM101)+VLOOKUP($Q101,武学奇术!$A:$ZZ,3,FALSE)+SUM(_xlfn.XLOOKUP($R101:$AF101,增益!$A:$A,增益!$C:$C,0))-$I$2</f>
        <v>3977.2</v>
      </c>
      <c r="AO101" cm="1">
        <f t="array" ref="AO101">$E$10*(1+$AM101)+VLOOKUP($Q101,武学奇术!$A:$ZZ,4,FALSE)+SUM(_xlfn.XLOOKUP($R101:$AF101,增益!$A:$A,增益!$D:$D,0))-$I$2</f>
        <v>3977.2</v>
      </c>
      <c r="AP101" s="32" cm="1">
        <f t="array" ref="AP101">IF($F$10-$I$3+VLOOKUP($Q101,武学奇术!$A:$ZZ,6,FALSE)+SUM(_xlfn.XLOOKUP(R101:AF101,增益!$A:$A,增益!$F:$F,0))&gt;0,($F$10-$I$3+VLOOKUP($Q101,武学奇术!$A:$ZZ,6,FALSE)+SUM(_xlfn.XLOOKUP(R101:AF101,增益!$A:$A,增益!$F:$F,0)))/200,($F$10-$I$3+VLOOKUP($Q101,武学奇术!$A:$ZZ,6,FALSE)+SUM(_xlfn.XLOOKUP(R101:AF101,增益!$A:$A,增益!$F:$F,0)))/100)</f>
        <v>0.294</v>
      </c>
      <c r="AQ101" s="32" cm="1">
        <f t="array" ref="AQ101">$G$10+VLOOKUP($Q101,武学奇术!$A:$ZZ,7,FALSE)+SUM(_xlfn.XLOOKUP(R101:AF101,增益!$A:$A,增益!$G:$G,0))</f>
        <v>0</v>
      </c>
      <c r="AR101" s="26" cm="1">
        <f t="array" ref="AR101">VLOOKUP($Q101,武学奇术!$A:$ZZ,8,FALSE)+SUM(_xlfn.XLOOKUP(R101:AF101,增益!$A:$A,增益!$H:$H,0))</f>
        <v>0</v>
      </c>
      <c r="AS101">
        <f t="shared" si="43"/>
        <v>0</v>
      </c>
      <c r="AT101">
        <f t="shared" si="44"/>
        <v>0</v>
      </c>
      <c r="AU101" s="32" cm="1">
        <f t="array" ref="AU101">IF($F$11-$I$4+VLOOKUP($Q101,武学奇术!$A:$ZZ,9,FALSE)+SUM(_xlfn.XLOOKUP(R101:AF101,增益!$A:$A,增益!$I:$I,0))&gt;0,($F$11-$I$4+VLOOKUP($Q101,武学奇术!$A:$ZZ,9,FALSE)+SUM(_xlfn.XLOOKUP(R101:AF101,增益!$A:$A,增益!$I:$I,0)))/200,($F$11-$I$4+VLOOKUP($Q101,武学奇术!$A:$ZZ,9,FALSE)+SUM(_xlfn.XLOOKUP(R101:AF101,增益!$A:$A,增益!$I:$I,0)))/100)</f>
        <v>-0.3</v>
      </c>
      <c r="AV101" s="32" cm="1">
        <f t="array" ref="AV101">$G$11+VLOOKUP($Q101,武学奇术!$A:$ZZ,10,FALSE)+SUM(_xlfn.XLOOKUP(R101:AF101,增益!$A:$A,增益!$J:$J,0))</f>
        <v>0</v>
      </c>
      <c r="AW101">
        <f t="shared" si="45"/>
        <v>0</v>
      </c>
      <c r="AX101">
        <f t="shared" si="46"/>
        <v>0</v>
      </c>
      <c r="AY101" s="32" cm="1">
        <f t="array" ref="AY101">IF($F$12-$I$4+VLOOKUP($Q101,武学奇术!$A:$ZZ,11,FALSE)+SUM(_xlfn.XLOOKUP(R101:AF101,增益!$A:$A,增益!$K:$K,0))&gt;0,($F$12-$I$4+VLOOKUP($Q101,武学奇术!$A:$ZZ,11,FALSE)+SUM(_xlfn.XLOOKUP(R101:AF101,增益!$A:$A,增益!$K:$K,0)))/200,($F$12-$I$4+VLOOKUP($Q101,武学奇术!$A:$ZZ,11,FALSE)+SUM(_xlfn.XLOOKUP(R101:AF101,增益!$A:$A,增益!$K:$K,0)))/100)</f>
        <v>-0.3</v>
      </c>
      <c r="AZ101" s="32" cm="1">
        <f t="array" ref="AZ101">$G$12+VLOOKUP($Q101,武学奇术!$A:$ZZ,12,FALSE)+SUM(_xlfn.XLOOKUP(R101:AF101,增益!$A:$A,增益!$L:$L,0))</f>
        <v>0</v>
      </c>
      <c r="BA101">
        <f t="shared" si="47"/>
        <v>697.4</v>
      </c>
      <c r="BB101">
        <f t="shared" si="48"/>
        <v>1805</v>
      </c>
      <c r="BC101" s="32" cm="1">
        <f t="array" ref="BC101">IF($F$13-$I$4+VLOOKUP($Q101,武学奇术!$A:$ZZ,13,FALSE)+SUM(_xlfn.XLOOKUP(R101:AF101,增益!$A:$A,增益!$M:$M,0))&gt;0,($F$13-$I$4+VLOOKUP($Q101,武学奇术!$A:$ZZ,13,FALSE)+SUM(_xlfn.XLOOKUP(R101:AF101,增益!$A:$A,增益!$K:$K,0)))/200,($F$13-$I$4+VLOOKUP($Q101,武学奇术!$A:$ZZ,13,FALSE)+SUM(_xlfn.XLOOKUP(R101:AF101,增益!$A:$A,增益!$M:$M,0)))/100)</f>
        <v>0</v>
      </c>
      <c r="BD101" s="32" cm="1">
        <f t="array" ref="BD101">$G$13+VLOOKUP($Q101,武学奇术!$A:$ZZ,14,FALSE)+SUM(_xlfn.XLOOKUP(R101:AF101,增益!$A:$A,增益!$N:$N,0))</f>
        <v>0.15</v>
      </c>
      <c r="BE101">
        <f t="shared" si="49"/>
        <v>0</v>
      </c>
      <c r="BF101">
        <f t="shared" si="50"/>
        <v>0</v>
      </c>
      <c r="BG101" s="32" cm="1">
        <f t="array" ref="BG101">IF($F$14-$I$4+VLOOKUP($Q101,武学奇术!$A:$ZZ,15,FALSE)+SUM(_xlfn.XLOOKUP(R101:AF101,增益!$A:$A,增益!$O:$O,0))&gt;0,($F$14-$I$4+VLOOKUP($Q101,武学奇术!$A:$ZZ,15,FALSE)+SUM(_xlfn.XLOOKUP(R101:AF101,增益!$A:$A,增益!$O:$O,0)))/200,($F$14-$I$4+VLOOKUP($Q101,武学奇术!$A:$ZZ,15,FALSE)+SUM(_xlfn.XLOOKUP(R101:AF101,增益!$A:$A,增益!$O:$O,0)))/100)</f>
        <v>-0.3</v>
      </c>
      <c r="BH101" s="32" cm="1">
        <f t="array" ref="BH101">$G$14+VLOOKUP($Q101,武学奇术!$A:$ZZ,16,FALSE)+SUM(_xlfn.XLOOKUP(R101:AF101,增益!$A:$A,增益!$P:$P,0))</f>
        <v>0</v>
      </c>
      <c r="BI101" s="26">
        <f>MIN(IF(VLOOKUP($Q101,武学奇术!$A:$ZZ,23,FALSE)=1,100%,$B$8),100%)</f>
        <v>1</v>
      </c>
      <c r="BJ101" s="26" cm="1">
        <f t="array" ref="BJ101">IF(VLOOKUP($Q101,武学奇术!$A:$ZZ,23,FALSE)=1,100%,MIN(80%,$B$9+VLOOKUP($Q101,武学奇术!$A:$ZZ,17,FALSE)+SUM(_xlfn.XLOOKUP(R101:AF101,增益!$A:$A,增益!$Q:$Q,0)))+$B$11+SUM(_xlfn.XLOOKUP(R101:AF101,增益!$A:$A,增益!$U:$U,0)))*IF(VLOOKUP($Q101,武学奇术!$A:$ZZ,24,FALSE)=1,0,1)</f>
        <v>0.8625</v>
      </c>
      <c r="BK101" s="26" cm="1">
        <f t="array" ref="BK101">1+$B$13+VLOOKUP($Q101,武学奇术!$A:$ZZ,18,FALSE)+SUM(_xlfn.XLOOKUP(R101:AF101,增益!$A:$A,增益!$R:$R,0))</f>
        <v>1.5</v>
      </c>
      <c r="BL101" s="26" cm="1">
        <f t="array" ref="BL101">IF(VLOOKUP($Q101,武学奇术!$A:$ZZ,24,FALSE)=1,100%,MIN(40%,$B$10+VLOOKUP($Q101,武学奇术!$A:$ZZ,19,FALSE)+SUM(_xlfn.XLOOKUP(R101:AF101,增益!$A:$A,增益!$S:$S,0)))+$B$12+SUM(_xlfn.XLOOKUP(R101:AF101,增益!$A:$A,增益!$V:$V,0)))*IF(VLOOKUP($Q101,武学奇术!$A:$ZZ,23,FALSE)=1,0,1)</f>
        <v>0.0913</v>
      </c>
      <c r="BM101" s="26" cm="1">
        <f t="array" ref="BM101">1+$B$14+VLOOKUP($Q101,武学奇术!$A:$ZZ,20,FALSE)+SUM(_xlfn.XLOOKUP(R101:AF101,增益!$A:$A,增益!$T:$T,0))</f>
        <v>1.35</v>
      </c>
      <c r="BN101" s="26">
        <f t="shared" si="22"/>
        <v>0.8625</v>
      </c>
      <c r="BO101" s="26">
        <f t="shared" si="32"/>
        <v>0.0462</v>
      </c>
      <c r="BP101" s="26">
        <f>IF(VLOOKUP($Q101,武学奇术!$A:$ZZ,22,FALSE)=1,0,(1-$BI101))*(1-$BL101)</f>
        <v>0</v>
      </c>
      <c r="BQ101" s="26" cm="1">
        <f t="array" ref="BQ101">SUM(_xlfn.XLOOKUP(R101:AF101,增益!$A:$A,增益!$W:$W,0))+$I$5</f>
        <v>0.06</v>
      </c>
    </row>
  </sheetData>
  <mergeCells count="18">
    <mergeCell ref="H1:I1"/>
    <mergeCell ref="C8:G8"/>
    <mergeCell ref="C15:D15"/>
    <mergeCell ref="E19:F19"/>
    <mergeCell ref="E20:F20"/>
    <mergeCell ref="E21:F21"/>
    <mergeCell ref="E22:F22"/>
    <mergeCell ref="A22:A23"/>
    <mergeCell ref="H8:H9"/>
    <mergeCell ref="H10:H11"/>
    <mergeCell ref="H12:H13"/>
    <mergeCell ref="H14:H15"/>
    <mergeCell ref="H16:H17"/>
    <mergeCell ref="I10:J11"/>
    <mergeCell ref="I8:J9"/>
    <mergeCell ref="I12:J13"/>
    <mergeCell ref="I14:J15"/>
    <mergeCell ref="I16:J17"/>
  </mergeCells>
  <dataValidations count="7">
    <dataValidation type="list" allowBlank="1" showInputMessage="1" showErrorMessage="1" sqref="G1">
      <formula1>"鸣金,裂石,牵丝,破竹"</formula1>
    </dataValidation>
    <dataValidation type="list" allowBlank="1" showInputMessage="1" showErrorMessage="1" sqref="G2">
      <formula1>"撼天,时雨,浣花"</formula1>
    </dataValidation>
    <dataValidation type="list" allowBlank="1" showInputMessage="1" showErrorMessage="1" sqref="E20:F20">
      <formula1>"易水歌,征人归"</formula1>
    </dataValidation>
    <dataValidation type="list" allowBlank="1" showInputMessage="1" showErrorMessage="1" sqref="E22:F22">
      <formula1>"四时无常,大卷微身,征人归"</formula1>
    </dataValidation>
    <dataValidation type="list" allowBlank="1" showInputMessage="1" showErrorMessage="1" sqref="D16:D22 F15:F17">
      <formula1>"√,×"</formula1>
    </dataValidation>
    <dataValidation type="list" allowBlank="1" showInputMessage="1" showErrorMessage="1" sqref="Q2:Q101">
      <formula1>武学奇术!$A:$A</formula1>
    </dataValidation>
    <dataValidation type="list" allowBlank="1" showInputMessage="1" showErrorMessage="1" sqref="R2:AF101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101"/>
  <sheetViews>
    <sheetView workbookViewId="0">
      <selection activeCell="Z25" sqref="Z25"/>
    </sheetView>
  </sheetViews>
  <sheetFormatPr defaultColWidth="9" defaultRowHeight="13.5"/>
  <cols>
    <col min="1" max="1" width="12.875" customWidth="1"/>
    <col min="4" max="4" width="9.375"/>
    <col min="11" max="15" width="12.625" style="27" customWidth="1"/>
    <col min="17" max="17" width="24.625" style="31" customWidth="1"/>
    <col min="18" max="32" width="9" style="31"/>
    <col min="34" max="34" width="9" style="26"/>
    <col min="35" max="35" width="9" style="27"/>
    <col min="36" max="36" width="9" style="26"/>
    <col min="37" max="37" width="9" style="27"/>
    <col min="38" max="39" width="9" style="26"/>
    <col min="42" max="44" width="9" style="32"/>
    <col min="47" max="48" width="9" style="32"/>
    <col min="61" max="65" width="9" style="26"/>
    <col min="66" max="67" width="9.00833333333333" style="26" customWidth="1"/>
    <col min="68" max="69" width="9" style="26"/>
  </cols>
  <sheetData>
    <row r="1" spans="1:69">
      <c r="A1" s="33"/>
      <c r="B1" s="34" t="s">
        <v>0</v>
      </c>
      <c r="C1" s="34" t="s">
        <v>1</v>
      </c>
      <c r="D1" s="34" t="s">
        <v>2</v>
      </c>
      <c r="E1" s="35" t="s">
        <v>3</v>
      </c>
      <c r="F1" s="36" t="s">
        <v>4</v>
      </c>
      <c r="G1" s="37" t="s">
        <v>5</v>
      </c>
      <c r="H1" s="36" t="s">
        <v>6</v>
      </c>
      <c r="I1" s="37"/>
      <c r="K1" s="38" t="s">
        <v>7</v>
      </c>
      <c r="L1" s="38" t="s">
        <v>8</v>
      </c>
      <c r="M1" s="38" t="s">
        <v>9</v>
      </c>
      <c r="N1" s="38" t="s">
        <v>10</v>
      </c>
      <c r="O1" s="38" t="s">
        <v>11</v>
      </c>
      <c r="P1" s="39" t="s">
        <v>12</v>
      </c>
      <c r="Q1" s="40" t="s">
        <v>13</v>
      </c>
      <c r="R1" s="40" t="s">
        <v>14</v>
      </c>
      <c r="S1" s="40" t="s">
        <v>15</v>
      </c>
      <c r="T1" s="40" t="s">
        <v>16</v>
      </c>
      <c r="U1" s="40" t="s">
        <v>17</v>
      </c>
      <c r="V1" s="40" t="s">
        <v>18</v>
      </c>
      <c r="W1" s="40" t="s">
        <v>19</v>
      </c>
      <c r="X1" s="40" t="s">
        <v>20</v>
      </c>
      <c r="Y1" s="40" t="s">
        <v>21</v>
      </c>
      <c r="Z1" s="40" t="s">
        <v>22</v>
      </c>
      <c r="AA1" s="40" t="s">
        <v>23</v>
      </c>
      <c r="AB1" s="40" t="s">
        <v>24</v>
      </c>
      <c r="AC1" s="40" t="s">
        <v>25</v>
      </c>
      <c r="AD1" s="40" t="s">
        <v>26</v>
      </c>
      <c r="AE1" s="40" t="s">
        <v>27</v>
      </c>
      <c r="AF1" s="40" t="s">
        <v>28</v>
      </c>
      <c r="AG1" t="s">
        <v>29</v>
      </c>
      <c r="AH1" s="26" t="s">
        <v>30</v>
      </c>
      <c r="AI1" s="27" t="s">
        <v>31</v>
      </c>
      <c r="AJ1" s="26" t="s">
        <v>32</v>
      </c>
      <c r="AK1" s="27" t="s">
        <v>33</v>
      </c>
      <c r="AL1" s="26" t="s">
        <v>34</v>
      </c>
      <c r="AM1" s="26" t="s">
        <v>35</v>
      </c>
      <c r="AN1" t="s">
        <v>36</v>
      </c>
      <c r="AO1" t="s">
        <v>37</v>
      </c>
      <c r="AP1" s="32" t="s">
        <v>38</v>
      </c>
      <c r="AQ1" s="32" t="s">
        <v>39</v>
      </c>
      <c r="AR1" s="32" t="s">
        <v>40</v>
      </c>
      <c r="AS1" t="s">
        <v>41</v>
      </c>
      <c r="AT1" t="s">
        <v>42</v>
      </c>
      <c r="AU1" s="32" t="s">
        <v>43</v>
      </c>
      <c r="AV1" s="32" t="s">
        <v>44</v>
      </c>
      <c r="AW1" t="s">
        <v>45</v>
      </c>
      <c r="AX1" t="s">
        <v>46</v>
      </c>
      <c r="AY1" s="32" t="s">
        <v>47</v>
      </c>
      <c r="AZ1" s="32" t="s">
        <v>48</v>
      </c>
      <c r="BA1" t="s">
        <v>49</v>
      </c>
      <c r="BB1" t="s">
        <v>50</v>
      </c>
      <c r="BC1" s="32" t="s">
        <v>51</v>
      </c>
      <c r="BD1" s="32" t="s">
        <v>52</v>
      </c>
      <c r="BE1" t="s">
        <v>53</v>
      </c>
      <c r="BF1" t="s">
        <v>54</v>
      </c>
      <c r="BG1" s="32" t="s">
        <v>55</v>
      </c>
      <c r="BH1" s="32" t="s">
        <v>56</v>
      </c>
      <c r="BI1" s="26" t="s">
        <v>57</v>
      </c>
      <c r="BJ1" s="26" t="s">
        <v>58</v>
      </c>
      <c r="BK1" s="26" t="s">
        <v>59</v>
      </c>
      <c r="BL1" s="26" t="s">
        <v>60</v>
      </c>
      <c r="BM1" s="26" t="s">
        <v>61</v>
      </c>
      <c r="BN1" s="26" t="s">
        <v>62</v>
      </c>
      <c r="BO1" s="26" t="s">
        <v>63</v>
      </c>
      <c r="BP1" s="26" t="s">
        <v>64</v>
      </c>
      <c r="BQ1" s="26" t="s">
        <v>65</v>
      </c>
    </row>
    <row r="2" spans="1:69">
      <c r="A2" s="41" t="s">
        <v>66</v>
      </c>
      <c r="B2" s="31"/>
      <c r="C2" s="31"/>
      <c r="D2" s="31"/>
      <c r="E2" s="42"/>
      <c r="F2" s="43" t="s">
        <v>67</v>
      </c>
      <c r="G2" s="44" t="s">
        <v>134</v>
      </c>
      <c r="H2" s="45" t="s">
        <v>69</v>
      </c>
      <c r="I2" s="11">
        <f>620*(1-IF(F17="√",0.06,0)-IF(F19="√",0.04,0))</f>
        <v>620</v>
      </c>
      <c r="K2" s="38">
        <f t="shared" ref="K2:K65" si="0">($L2*$BN2+$M2*$BL2+$N2*$BO2+$O2*$BP2)</f>
        <v>99116.0515466637</v>
      </c>
      <c r="L2" s="38">
        <f>((($AN2+$AO2)/2*$AH2+$AI2)*(1+$AP2)*(1+$AQ2)+(($AS2+$AT2)/2*IF($G$1="鸣金",$AJ2,$AH2)+IF($G$1="鸣金",$AK2*1.5,0))*(1+$AU2)*(1+$AV2)+(($AW2+$AX2)/2*IF($G$1="裂石",$AJ2,$AH2)+IF($G$1="裂石",$AK2*1.5,0))*(1+$AY2)*(1+$AZ2)+(($BA2+$BB2)/2*IF($G$1="牵丝",$AJ2,$AH2)+IF($G$1="牵丝",$AK2*1.5,0))*(1+$BC2)*(1+$BD2)+(($BE2+$BF2)/2*IF($G$1="破竹",$AJ2,$AH2)+IF($G$1="破竹",$AK2*1.5,0))*(1+$BG2)*(1+$BH2))*(1+$AL2)*$BK2*$P2*(1+IF(VLOOKUP($Q2,武学奇术!$A:$ZZ,30,FALSE)="蓄力技",#REF!,0))*(1+$BQ2)</f>
        <v>100965.369608251</v>
      </c>
      <c r="M2" s="38">
        <f>(($AO2*$AH2+$AI2)*(1+$AP2)*(1+$AQ2)+($AT2*IF($G$1="鸣金",$AJ2,$AH2)+IF($G$1="鸣金",$AK2*1.5,0))*(1+$AU2)*(1+$AV2)+($AX2*IF($G$1="裂石",$AJ2,$AH2)+IF($G$1="裂石",$AK2*1.5,0))*(1+$AY2)*(1+$AZ2)+($BB2*IF($G$1="牵丝",$AJ2,$AH2)+IF($G$1="牵丝",$AK2*1.5,0))*(1+$BC2)*(1+$BD2)+($BF2*IF($G$1="破竹",$AJ2,$AH2)+IF($G$1="破竹",$AK2*1.5,0))*(1+$BG2)*(1+$BH2))*(1+$AL2)*$BM2*$P2*(1+IF(VLOOKUP($Q2,武学奇术!$A:$ZZ,30,FALSE)="蓄力技",#REF!,0))*(1+$BQ2)</f>
        <v>88624.7947158472</v>
      </c>
      <c r="N2" s="38">
        <f>((($AN2+$AO2)/2*$AH2+$AI2)*(1+$AP2)*(1+$AQ2)+(($AS2+$AT2)/2*IF($G$1="鸣金",$AJ2,$AH2)+IF($G$1="鸣金",$AK2*1.5,0))*(1+$AU2)*(1+$AV2)+(($AW2+$AX2)/2*IF($G$1="裂石",$AJ2,$AH2)+IF($G$1="裂石",$AK2*1.5,0))*(1+$AY2)*(1+$AZ2)+(($BA2+$BB2)/2*IF($G$1="牵丝",$AJ2,$AH2)+IF($G$1="牵丝",$AK2*1.5,0))*(1+$BC2)*(1+$BD2)+(($BE2+$BF2)/2*IF($G$1="破竹",$AJ2,$AH2)+IF($G$1="破竹",$AK2*1.5,0))*(1+$BG2)*(1+$BH2))*(1+$AL2)*$P2*(1+IF(VLOOKUP($Q2,武学奇术!$A:$ZZ,30,FALSE)="蓄力技",#REF!,0))*(1+$BQ2)</f>
        <v>57694.4969190004</v>
      </c>
      <c r="O2" s="38">
        <f>((($AN2*$AH2+$AI2)*(1+$AP2)*(1+$AQ2)+($AS2*IF($G$1="鸣金",$AJ2,$AH2)+IF($G$1="鸣金",$AK2*1.5,0))*(1+$AU2)*(1+$AV2)+($AW2*IF($G$1="裂石",$AJ2,$AH2)+IF($G$1="裂石",$AK2*1.5,0))*(1+$AY2)*(1+$AZ2)+($BA2*IF($G$1="牵丝",$AJ2,$AH2)+IF($G$1="牵丝",$AK2*1.5,0))*(1+$BC2)*(1+$BD2)+($BE2*IF($G$1="破竹",$AJ2,$AH2)+IF($G$1="破竹",$AK2*1.5,0))*(1+$BG2)*(1+$BH2))*(1+$AL2))*$P2*(1+IF(VLOOKUP($Q2,武学奇术!$A:$ZZ,30,FALSE)="蓄力技",#REF!,0))*(1+$BQ2)</f>
        <v>49740.997752188</v>
      </c>
      <c r="P2" s="39">
        <v>1</v>
      </c>
      <c r="Q2" s="40" t="s">
        <v>70</v>
      </c>
      <c r="R2" s="40" t="s">
        <v>71</v>
      </c>
      <c r="S2" s="40" t="s">
        <v>72</v>
      </c>
      <c r="T2" s="40" t="s">
        <v>73</v>
      </c>
      <c r="U2" s="40" t="s">
        <v>74</v>
      </c>
      <c r="V2" s="40" t="s">
        <v>75</v>
      </c>
      <c r="W2" s="40" t="s">
        <v>76</v>
      </c>
      <c r="X2" s="40" t="s">
        <v>76</v>
      </c>
      <c r="Y2" s="40" t="s">
        <v>76</v>
      </c>
      <c r="Z2" s="40" t="s">
        <v>76</v>
      </c>
      <c r="AA2" s="40" t="s">
        <v>68</v>
      </c>
      <c r="AB2" s="40" t="s">
        <v>76</v>
      </c>
      <c r="AC2" s="40" t="s">
        <v>76</v>
      </c>
      <c r="AD2" s="40" t="s">
        <v>76</v>
      </c>
      <c r="AE2" s="40" t="s">
        <v>80</v>
      </c>
      <c r="AF2" s="40" t="s">
        <v>81</v>
      </c>
      <c r="AG2" t="str">
        <f>VLOOKUP($Q2,武学奇术!$A:$ZZ,25,FALSE)</f>
        <v>单体奇术</v>
      </c>
      <c r="AH2" s="26">
        <f>VLOOKUP($Q2,武学奇术!$A:$ZZ,26,FALSE)</f>
        <v>3.987</v>
      </c>
      <c r="AI2" s="27">
        <f>VLOOKUP($Q2,武学奇术!$A:$ZZ,27,FALSE)*(1+IF(OR($AG2=$F$4,$AG2=$F$5),$B$21,0))</f>
        <v>807</v>
      </c>
      <c r="AJ2" s="26">
        <f>VLOOKUP($Q2,武学奇术!$A:$ZZ,28,FALSE)</f>
        <v>5.9805</v>
      </c>
      <c r="AK2" s="27">
        <f>VLOOKUP($Q2,武学奇术!$A:$ZZ,29,FALSE)*(1+IF(OR($AG2=$F$4,$AG2=$F$5),$B$21,0))</f>
        <v>0</v>
      </c>
      <c r="AL2" s="26" cm="1">
        <f t="array" ref="AL2">$G$3+IFERROR(VLOOKUP($AG2,$F$4:$G$7,2,FALSE),0)+VLOOKUP($Q2,武学奇术!$A:$ZZ,2,FALSE)+SUM(_xlfn.XLOOKUP($R2:$AF2,增益!$A:$A,增益!$B:$B,0))</f>
        <v>0.7419</v>
      </c>
      <c r="AM2" s="26" cm="1">
        <f t="array" ref="AM2">VLOOKUP($Q2,武学奇术!$A:$ZZ,5,FALSE)+SUM(_xlfn.XLOOKUP($R2:$AF2,增益!$A:$A,增益!$E:$E,0))</f>
        <v>0</v>
      </c>
      <c r="AN2" cm="1">
        <f t="array" ref="AN2">$D$10*(1+$AM2)+VLOOKUP($Q2,武学奇术!$A:$ZZ,3,FALSE)+SUM(_xlfn.XLOOKUP($R2:$AF2,增益!$A:$A,增益!$C:$C,0))-$I$2</f>
        <v>3940</v>
      </c>
      <c r="AO2" cm="1">
        <f t="array" ref="AO2">$E$10*(1+$AM2)+VLOOKUP($Q2,武学奇术!$A:$ZZ,4,FALSE)+SUM(_xlfn.XLOOKUP($R2:$AF2,增益!$A:$A,增益!$D:$D,0))-$I$2</f>
        <v>3940</v>
      </c>
      <c r="AP2" s="32" cm="1">
        <f t="array" ref="AP2">IF($F$10-$I$3+VLOOKUP($Q2,武学奇术!$A:$ZZ,6,FALSE)+SUM(_xlfn.XLOOKUP(R2:AF2,增益!$A:$A,增益!$F:$F,0))&gt;0,($F$10-$I$3+VLOOKUP($Q2,武学奇术!$A:$ZZ,6,FALSE)+SUM(_xlfn.XLOOKUP(R2:AF2,增益!$A:$A,增益!$F:$F,0)))/200,($F$10-$I$3+VLOOKUP($Q2,武学奇术!$A:$ZZ,6,FALSE)+SUM(_xlfn.XLOOKUP(R2:AF2,增益!$A:$A,增益!$F:$F,0)))/100)</f>
        <v>0.244</v>
      </c>
      <c r="AQ2" s="32" cm="1">
        <f t="array" ref="AQ2">$G$10+VLOOKUP($Q2,武学奇术!$A:$ZZ,7,FALSE)+SUM(_xlfn.XLOOKUP(R2:AF2,增益!$A:$A,增益!$G:$G,0))</f>
        <v>0</v>
      </c>
      <c r="AR2" s="26" cm="1">
        <f t="array" ref="AR2">VLOOKUP($Q2,武学奇术!$A:$ZZ,8,FALSE)+SUM(_xlfn.XLOOKUP(R2:AF2,增益!$A:$A,增益!$H:$H,0))</f>
        <v>0</v>
      </c>
      <c r="AS2">
        <f t="shared" ref="AS2:AS65" si="1">$D$11*(1+$AR2)</f>
        <v>0</v>
      </c>
      <c r="AT2">
        <f t="shared" ref="AT2:AT65" si="2">$E$11*(1+$AR2)</f>
        <v>0</v>
      </c>
      <c r="AU2" s="32" cm="1">
        <f t="array" ref="AU2">IF($F$11-$I$4+VLOOKUP($Q2,武学奇术!$A:$ZZ,9,FALSE)+SUM(_xlfn.XLOOKUP(R2:AF2,增益!$A:$A,增益!$I:$I,0))&gt;0,($F$11-$I$4+VLOOKUP($Q2,武学奇术!$A:$ZZ,9,FALSE)+SUM(_xlfn.XLOOKUP(R2:AF2,增益!$A:$A,增益!$I:$I,0)))/200,($F$11-$I$4+VLOOKUP($Q2,武学奇术!$A:$ZZ,9,FALSE)+SUM(_xlfn.XLOOKUP(R2:AF2,增益!$A:$A,增益!$I:$I,0)))/100)</f>
        <v>-0.14</v>
      </c>
      <c r="AV2" s="32" cm="1">
        <f t="array" ref="AV2">$G$11+VLOOKUP($Q2,武学奇术!$A:$ZZ,10,FALSE)+SUM(_xlfn.XLOOKUP(R2:AF2,增益!$A:$A,增益!$J:$J,0))</f>
        <v>0</v>
      </c>
      <c r="AW2">
        <f t="shared" ref="AW2:AW65" si="3">$D$12*(1+$AR2)</f>
        <v>0</v>
      </c>
      <c r="AX2">
        <f t="shared" ref="AX2:AX65" si="4">$E$12*(1+$AR2)</f>
        <v>0</v>
      </c>
      <c r="AY2" s="32" cm="1">
        <f t="array" ref="AY2">IF($F$12-$I$4+VLOOKUP($Q2,武学奇术!$A:$ZZ,11,FALSE)+SUM(_xlfn.XLOOKUP(R2:AF2,增益!$A:$A,增益!$K:$K,0))&gt;0,($F$12-$I$4+VLOOKUP($Q2,武学奇术!$A:$ZZ,11,FALSE)+SUM(_xlfn.XLOOKUP(R2:AF2,增益!$A:$A,增益!$K:$K,0)))/200,($F$12-$I$4+VLOOKUP($Q2,武学奇术!$A:$ZZ,11,FALSE)+SUM(_xlfn.XLOOKUP(R2:AF2,增益!$A:$A,增益!$K:$K,0)))/100)</f>
        <v>-0.14</v>
      </c>
      <c r="AZ2" s="32" cm="1">
        <f t="array" ref="AZ2">$G$12+VLOOKUP($Q2,武学奇术!$A:$ZZ,12,FALSE)+SUM(_xlfn.XLOOKUP(R2:AF2,增益!$A:$A,增益!$L:$L,0))</f>
        <v>0</v>
      </c>
      <c r="BA2">
        <f t="shared" ref="BA2:BA65" si="5">$D$13*(1+$AR2)</f>
        <v>697.4</v>
      </c>
      <c r="BB2">
        <f t="shared" ref="BB2:BB65" si="6">$E$13*(1+$AR2)</f>
        <v>1805</v>
      </c>
      <c r="BC2" s="32" cm="1">
        <f t="array" ref="BC2">IF($F$13-$I$4+VLOOKUP($Q2,武学奇术!$A:$ZZ,13,FALSE)+SUM(_xlfn.XLOOKUP(R2:AF2,增益!$A:$A,增益!$M:$M,0))&gt;0,($F$13-$I$4+VLOOKUP($Q2,武学奇术!$A:$ZZ,13,FALSE)+SUM(_xlfn.XLOOKUP(R2:AF2,增益!$A:$A,增益!$K:$K,0)))/200,($F$13-$I$4+VLOOKUP($Q2,武学奇术!$A:$ZZ,13,FALSE)+SUM(_xlfn.XLOOKUP(R2:AF2,增益!$A:$A,增益!$M:$M,0)))/100)</f>
        <v>0.08</v>
      </c>
      <c r="BD2" s="32" cm="1">
        <f t="array" ref="BD2">$G$13+VLOOKUP($Q2,武学奇术!$A:$ZZ,14,FALSE)+SUM(_xlfn.XLOOKUP(R2:AF2,增益!$A:$A,增益!$N:$N,0))</f>
        <v>0.15</v>
      </c>
      <c r="BE2">
        <f t="shared" ref="BE2:BE65" si="7">$D$14*(1+$AR2)</f>
        <v>0</v>
      </c>
      <c r="BF2">
        <f t="shared" ref="BF2:BF65" si="8">$E$14*(1+$AR2)</f>
        <v>0</v>
      </c>
      <c r="BG2" s="32" cm="1">
        <f t="array" ref="BG2">IF($F$14-$I$4+VLOOKUP($Q2,武学奇术!$A:$ZZ,15,FALSE)+SUM(_xlfn.XLOOKUP(R2:AF2,增益!$A:$A,增益!$O:$O,0))&gt;0,($F$14-$I$4+VLOOKUP($Q2,武学奇术!$A:$ZZ,15,FALSE)+SUM(_xlfn.XLOOKUP(R2:AF2,增益!$A:$A,增益!$O:$O,0)))/200,($F$14-$I$4+VLOOKUP($Q2,武学奇术!$A:$ZZ,15,FALSE)+SUM(_xlfn.XLOOKUP(R2:AF2,增益!$A:$A,增益!$O:$O,0)))/100)</f>
        <v>-0.14</v>
      </c>
      <c r="BH2" s="32" cm="1">
        <f t="array" ref="BH2">$G$14+VLOOKUP($Q2,武学奇术!$A:$ZZ,16,FALSE)+SUM(_xlfn.XLOOKUP(R2:AF2,增益!$A:$A,增益!$P:$P,0))</f>
        <v>0</v>
      </c>
      <c r="BI2" s="26">
        <f>MIN(IF(VLOOKUP($Q2,武学奇术!$A:$ZZ,23,FALSE)=1,100%,$B$8),100%)</f>
        <v>1</v>
      </c>
      <c r="BJ2" s="26" cm="1">
        <f t="array" ref="BJ2">IF(VLOOKUP($Q2,武学奇术!$A:$ZZ,23,FALSE)=1,100%,MIN(80%,$B$9+VLOOKUP($Q2,武学奇术!$A:$ZZ,17,FALSE)+SUM(_xlfn.XLOOKUP(R2:AF2,增益!$A:$A,增益!$Q:$Q,0)))+$B$11+SUM(_xlfn.XLOOKUP(R2:AF2,增益!$A:$A,增益!$U:$U,0)))*IF(VLOOKUP($Q2,武学奇术!$A:$ZZ,24,FALSE)=1,0,1)</f>
        <v>0.892</v>
      </c>
      <c r="BK2" s="26" cm="1">
        <f t="array" ref="BK2">1+$B$13+VLOOKUP($Q2,武学奇术!$A:$ZZ,18,FALSE)+SUM(_xlfn.XLOOKUP(R2:AF2,增益!$A:$A,增益!$R:$R,0))</f>
        <v>1.75</v>
      </c>
      <c r="BL2" s="26" cm="1">
        <f t="array" ref="BL2">IF(VLOOKUP($Q2,武学奇术!$A:$ZZ,24,FALSE)=1,100%,MIN(40%,$B$10+VLOOKUP($Q2,武学奇术!$A:$ZZ,19,FALSE)+SUM(_xlfn.XLOOKUP(R2:AF2,增益!$A:$A,增益!$S:$S,0)))+$B$12+SUM(_xlfn.XLOOKUP(R2:AF2,增益!$A:$A,增益!$V:$V,0)))*IF(VLOOKUP($Q2,武学奇术!$A:$ZZ,23,FALSE)=1,0,1)</f>
        <v>0.0913</v>
      </c>
      <c r="BM2" s="26" cm="1">
        <f t="array" ref="BM2">1+$B$14+VLOOKUP($Q2,武学奇术!$A:$ZZ,20,FALSE)+SUM(_xlfn.XLOOKUP(R2:AF2,增益!$A:$A,增益!$T:$T,0))</f>
        <v>1.35</v>
      </c>
      <c r="BN2" s="26">
        <f t="shared" ref="BN2:BN65" si="9">MIN((1-BL2)*BI2,BI2*BJ2)</f>
        <v>0.892</v>
      </c>
      <c r="BO2" s="26">
        <f t="shared" ref="BO2:BO65" si="10">1-BL2-BN2-BP2</f>
        <v>0.0166999999999999</v>
      </c>
      <c r="BP2" s="26">
        <f>IF(VLOOKUP($Q2,武学奇术!$A:$ZZ,22,FALSE)=1,0,(1-$BI2))*(1-$BL2)</f>
        <v>0</v>
      </c>
      <c r="BQ2" s="26" cm="1">
        <f t="array" ref="BQ2">SUM(_xlfn.XLOOKUP(R2:AF2,增益!$A:$A,增益!$W:$W,0))+$I$5</f>
        <v>0.11</v>
      </c>
    </row>
    <row r="3" spans="1:69">
      <c r="A3" s="46" t="s">
        <v>82</v>
      </c>
      <c r="B3" s="47"/>
      <c r="C3" s="47"/>
      <c r="D3" s="47"/>
      <c r="E3" s="48"/>
      <c r="F3" s="45" t="s">
        <v>34</v>
      </c>
      <c r="G3" s="49">
        <f>B16+1.5%+IF($D$16="√",8%,0)+IF(OR($E$20="征人归",$E$22="征人归"),8%,0)</f>
        <v>0.1842</v>
      </c>
      <c r="H3" s="45" t="s">
        <v>83</v>
      </c>
      <c r="I3" s="11">
        <f>25-IF(D17="√",10,0)-IF(F17="√",10,0)</f>
        <v>25</v>
      </c>
      <c r="K3" s="38">
        <f t="shared" si="0"/>
        <v>58661.7456917968</v>
      </c>
      <c r="L3" s="38">
        <f>((($AN3+$AO3)/2*$AH3+$AI3)*(1+$AP3)*(1+$AQ3)+(($AS3+$AT3)/2*IF($G$1="鸣金",$AJ3,$AH3)+IF($G$1="鸣金",$AK3*1.5,0))*(1+$AU3)*(1+$AV3)+(($AW3+$AX3)/2*IF($G$1="裂石",$AJ3,$AH3)+IF($G$1="裂石",$AK3*1.5,0))*(1+$AY3)*(1+$AZ3)+(($BA3+$BB3)/2*IF($G$1="牵丝",$AJ3,$AH3)+IF($G$1="牵丝",$AK3*1.5,0))*(1+$BC3)*(1+$BD3)+(($BE3+$BF3)/2*IF($G$1="破竹",$AJ3,$AH3)+IF($G$1="破竹",$AK3*1.5,0))*(1+$BG3)*(1+$BH3))*(1+$AL3)*$BK3*$P3*(1+IF(VLOOKUP($Q3,武学奇术!$A:$ZZ,30,FALSE)="蓄力技",#REF!,0))*(1+$BQ3)</f>
        <v>59755.9346579742</v>
      </c>
      <c r="M3" s="38">
        <f>(($AO3*$AH3+$AI3)*(1+$AP3)*(1+$AQ3)+($AT3*IF($G$1="鸣金",$AJ3,$AH3)+IF($G$1="鸣金",$AK3*1.5,0))*(1+$AU3)*(1+$AV3)+($AX3*IF($G$1="裂石",$AJ3,$AH3)+IF($G$1="裂石",$AK3*1.5,0))*(1+$AY3)*(1+$AZ3)+($BB3*IF($G$1="牵丝",$AJ3,$AH3)+IF($G$1="牵丝",$AK3*1.5,0))*(1+$BC3)*(1+$BD3)+($BF3*IF($G$1="破竹",$AJ3,$AH3)+IF($G$1="破竹",$AK3*1.5,0))*(1+$BG3)*(1+$BH3))*(1+$AL3)*$BM3*$P3*(1+IF(VLOOKUP($Q3,武学奇术!$A:$ZZ,30,FALSE)="蓄力技",#REF!,0))*(1+$BQ3)</f>
        <v>52455.7462103489</v>
      </c>
      <c r="N3" s="38">
        <f>((($AN3+$AO3)/2*$AH3+$AI3)*(1+$AP3)*(1+$AQ3)+(($AS3+$AT3)/2*IF($G$1="鸣金",$AJ3,$AH3)+IF($G$1="鸣金",$AK3*1.5,0))*(1+$AU3)*(1+$AV3)+(($AW3+$AX3)/2*IF($G$1="裂石",$AJ3,$AH3)+IF($G$1="裂石",$AK3*1.5,0))*(1+$AY3)*(1+$AZ3)+(($BA3+$BB3)/2*IF($G$1="牵丝",$AJ3,$AH3)+IF($G$1="牵丝",$AK3*1.5,0))*(1+$BC3)*(1+$BD3)+(($BE3+$BF3)/2*IF($G$1="破竹",$AJ3,$AH3)+IF($G$1="破竹",$AK3*1.5,0))*(1+$BG3)*(1+$BH3))*(1+$AL3)*$P3*(1+IF(VLOOKUP($Q3,武学奇术!$A:$ZZ,30,FALSE)="蓄力技",#REF!,0))*(1+$BQ3)</f>
        <v>34146.2483759853</v>
      </c>
      <c r="O3" s="38">
        <f>((($AN3*$AH3+$AI3)*(1+$AP3)*(1+$AQ3)+($AS3*IF($G$1="鸣金",$AJ3,$AH3)+IF($G$1="鸣金",$AK3*1.5,0))*(1+$AU3)*(1+$AV3)+($AW3*IF($G$1="裂石",$AJ3,$AH3)+IF($G$1="裂石",$AK3*1.5,0))*(1+$AY3)*(1+$AZ3)+($BA3*IF($G$1="牵丝",$AJ3,$AH3)+IF($G$1="牵丝",$AK3*1.5,0))*(1+$BC3)*(1+$BD3)+($BE3*IF($G$1="破竹",$AJ3,$AH3)+IF($G$1="破竹",$AK3*1.5,0))*(1+$BG3)*(1+$BH3))*(1+$AL3))*$P3*(1+IF(VLOOKUP($Q3,武学奇术!$A:$ZZ,30,FALSE)="蓄力技",#REF!,0))*(1+$BQ3)</f>
        <v>29436.3884480083</v>
      </c>
      <c r="P3" s="39">
        <v>10</v>
      </c>
      <c r="Q3" s="40" t="s">
        <v>84</v>
      </c>
      <c r="R3" s="40" t="s">
        <v>71</v>
      </c>
      <c r="S3" s="40" t="s">
        <v>72</v>
      </c>
      <c r="T3" s="40" t="s">
        <v>73</v>
      </c>
      <c r="U3" s="40" t="s">
        <v>74</v>
      </c>
      <c r="V3" s="40" t="s">
        <v>75</v>
      </c>
      <c r="W3" s="40" t="s">
        <v>76</v>
      </c>
      <c r="X3" s="40" t="s">
        <v>76</v>
      </c>
      <c r="Y3" s="40" t="s">
        <v>76</v>
      </c>
      <c r="Z3" s="40" t="s">
        <v>76</v>
      </c>
      <c r="AA3" s="40" t="s">
        <v>68</v>
      </c>
      <c r="AB3" s="40" t="s">
        <v>76</v>
      </c>
      <c r="AC3" s="40" t="s">
        <v>76</v>
      </c>
      <c r="AD3" s="40" t="s">
        <v>76</v>
      </c>
      <c r="AE3" s="40" t="s">
        <v>80</v>
      </c>
      <c r="AF3" s="40" t="s">
        <v>81</v>
      </c>
      <c r="AG3" t="str">
        <f>VLOOKUP($Q3,武学奇术!$A:$ZZ,25,FALSE)</f>
        <v>单体奇术</v>
      </c>
      <c r="AH3" s="26">
        <f>VLOOKUP($Q3,武学奇术!$A:$ZZ,26,FALSE)</f>
        <v>0.2361</v>
      </c>
      <c r="AI3" s="27">
        <f>VLOOKUP($Q3,武学奇术!$A:$ZZ,27,FALSE)*(1+IF(OR($AG3=$F$4,$AG3=$F$5),$B$21,0))</f>
        <v>47</v>
      </c>
      <c r="AJ3" s="26">
        <f>VLOOKUP($Q3,武学奇术!$A:$ZZ,28,FALSE)</f>
        <v>0.35415</v>
      </c>
      <c r="AK3" s="27">
        <f>VLOOKUP($Q3,武学奇术!$A:$ZZ,29,FALSE)*(1+IF(OR($AG3=$F$4,$AG3=$F$5),$B$21,0))</f>
        <v>0</v>
      </c>
      <c r="AL3" s="26" cm="1">
        <f t="array" ref="AL3">$G$3+IFERROR(VLOOKUP($AG3,$F$4:$G$7,2,FALSE),0)+VLOOKUP($Q3,武学奇术!$A:$ZZ,2,FALSE)+SUM(_xlfn.XLOOKUP($R3:$AF3,增益!$A:$A,增益!$B:$B,0))</f>
        <v>0.7419</v>
      </c>
      <c r="AM3" s="26" cm="1">
        <f t="array" ref="AM3">VLOOKUP($Q3,武学奇术!$A:$ZZ,5,FALSE)+SUM(_xlfn.XLOOKUP($R3:$AF3,增益!$A:$A,增益!$E:$E,0))</f>
        <v>0</v>
      </c>
      <c r="AN3" cm="1">
        <f t="array" ref="AN3">$D$10*(1+$AM3)+VLOOKUP($Q3,武学奇术!$A:$ZZ,3,FALSE)+SUM(_xlfn.XLOOKUP($R3:$AF3,增益!$A:$A,增益!$C:$C,0))-$I$2</f>
        <v>3940</v>
      </c>
      <c r="AO3" cm="1">
        <f t="array" ref="AO3">$E$10*(1+$AM3)+VLOOKUP($Q3,武学奇术!$A:$ZZ,4,FALSE)+SUM(_xlfn.XLOOKUP($R3:$AF3,增益!$A:$A,增益!$D:$D,0))-$I$2</f>
        <v>3940</v>
      </c>
      <c r="AP3" s="32" cm="1">
        <f t="array" ref="AP3">IF($F$10-$I$3+VLOOKUP($Q3,武学奇术!$A:$ZZ,6,FALSE)+SUM(_xlfn.XLOOKUP(R3:AF3,增益!$A:$A,增益!$F:$F,0))&gt;0,($F$10-$I$3+VLOOKUP($Q3,武学奇术!$A:$ZZ,6,FALSE)+SUM(_xlfn.XLOOKUP(R3:AF3,增益!$A:$A,增益!$F:$F,0)))/200,($F$10-$I$3+VLOOKUP($Q3,武学奇术!$A:$ZZ,6,FALSE)+SUM(_xlfn.XLOOKUP(R3:AF3,增益!$A:$A,增益!$F:$F,0)))/100)</f>
        <v>0.244</v>
      </c>
      <c r="AQ3" s="32" cm="1">
        <f t="array" ref="AQ3">$G$10+VLOOKUP($Q3,武学奇术!$A:$ZZ,7,FALSE)+SUM(_xlfn.XLOOKUP(R3:AF3,增益!$A:$A,增益!$G:$G,0))</f>
        <v>0</v>
      </c>
      <c r="AR3" s="26" cm="1">
        <f t="array" ref="AR3">VLOOKUP($Q3,武学奇术!$A:$ZZ,8,FALSE)+SUM(_xlfn.XLOOKUP(R3:AF3,增益!$A:$A,增益!$H:$H,0))</f>
        <v>0</v>
      </c>
      <c r="AS3">
        <f t="shared" si="1"/>
        <v>0</v>
      </c>
      <c r="AT3">
        <f t="shared" si="2"/>
        <v>0</v>
      </c>
      <c r="AU3" s="32" cm="1">
        <f t="array" ref="AU3">IF($F$11-$I$4+VLOOKUP($Q3,武学奇术!$A:$ZZ,9,FALSE)+SUM(_xlfn.XLOOKUP(R3:AF3,增益!$A:$A,增益!$I:$I,0))&gt;0,($F$11-$I$4+VLOOKUP($Q3,武学奇术!$A:$ZZ,9,FALSE)+SUM(_xlfn.XLOOKUP(R3:AF3,增益!$A:$A,增益!$I:$I,0)))/200,($F$11-$I$4+VLOOKUP($Q3,武学奇术!$A:$ZZ,9,FALSE)+SUM(_xlfn.XLOOKUP(R3:AF3,增益!$A:$A,增益!$I:$I,0)))/100)</f>
        <v>-0.14</v>
      </c>
      <c r="AV3" s="32" cm="1">
        <f t="array" ref="AV3">$G$11+VLOOKUP($Q3,武学奇术!$A:$ZZ,10,FALSE)+SUM(_xlfn.XLOOKUP(R3:AF3,增益!$A:$A,增益!$J:$J,0))</f>
        <v>0</v>
      </c>
      <c r="AW3">
        <f t="shared" si="3"/>
        <v>0</v>
      </c>
      <c r="AX3">
        <f t="shared" si="4"/>
        <v>0</v>
      </c>
      <c r="AY3" s="32" cm="1">
        <f t="array" ref="AY3">IF($F$12-$I$4+VLOOKUP($Q3,武学奇术!$A:$ZZ,11,FALSE)+SUM(_xlfn.XLOOKUP(R3:AF3,增益!$A:$A,增益!$K:$K,0))&gt;0,($F$12-$I$4+VLOOKUP($Q3,武学奇术!$A:$ZZ,11,FALSE)+SUM(_xlfn.XLOOKUP(R3:AF3,增益!$A:$A,增益!$K:$K,0)))/200,($F$12-$I$4+VLOOKUP($Q3,武学奇术!$A:$ZZ,11,FALSE)+SUM(_xlfn.XLOOKUP(R3:AF3,增益!$A:$A,增益!$K:$K,0)))/100)</f>
        <v>-0.14</v>
      </c>
      <c r="AZ3" s="32" cm="1">
        <f t="array" ref="AZ3">$G$12+VLOOKUP($Q3,武学奇术!$A:$ZZ,12,FALSE)+SUM(_xlfn.XLOOKUP(R3:AF3,增益!$A:$A,增益!$L:$L,0))</f>
        <v>0</v>
      </c>
      <c r="BA3">
        <f t="shared" si="5"/>
        <v>697.4</v>
      </c>
      <c r="BB3">
        <f t="shared" si="6"/>
        <v>1805</v>
      </c>
      <c r="BC3" s="32" cm="1">
        <f t="array" ref="BC3">IF($F$13-$I$4+VLOOKUP($Q3,武学奇术!$A:$ZZ,13,FALSE)+SUM(_xlfn.XLOOKUP(R3:AF3,增益!$A:$A,增益!$M:$M,0))&gt;0,($F$13-$I$4+VLOOKUP($Q3,武学奇术!$A:$ZZ,13,FALSE)+SUM(_xlfn.XLOOKUP(R3:AF3,增益!$A:$A,增益!$K:$K,0)))/200,($F$13-$I$4+VLOOKUP($Q3,武学奇术!$A:$ZZ,13,FALSE)+SUM(_xlfn.XLOOKUP(R3:AF3,增益!$A:$A,增益!$M:$M,0)))/100)</f>
        <v>0.08</v>
      </c>
      <c r="BD3" s="32" cm="1">
        <f t="array" ref="BD3">$G$13+VLOOKUP($Q3,武学奇术!$A:$ZZ,14,FALSE)+SUM(_xlfn.XLOOKUP(R3:AF3,增益!$A:$A,增益!$N:$N,0))</f>
        <v>0.15</v>
      </c>
      <c r="BE3">
        <f t="shared" si="7"/>
        <v>0</v>
      </c>
      <c r="BF3">
        <f t="shared" si="8"/>
        <v>0</v>
      </c>
      <c r="BG3" s="32" cm="1">
        <f t="array" ref="BG3">IF($F$14-$I$4+VLOOKUP($Q3,武学奇术!$A:$ZZ,15,FALSE)+SUM(_xlfn.XLOOKUP(R3:AF3,增益!$A:$A,增益!$O:$O,0))&gt;0,($F$14-$I$4+VLOOKUP($Q3,武学奇术!$A:$ZZ,15,FALSE)+SUM(_xlfn.XLOOKUP(R3:AF3,增益!$A:$A,增益!$O:$O,0)))/200,($F$14-$I$4+VLOOKUP($Q3,武学奇术!$A:$ZZ,15,FALSE)+SUM(_xlfn.XLOOKUP(R3:AF3,增益!$A:$A,增益!$O:$O,0)))/100)</f>
        <v>-0.14</v>
      </c>
      <c r="BH3" s="32" cm="1">
        <f t="array" ref="BH3">$G$14+VLOOKUP($Q3,武学奇术!$A:$ZZ,16,FALSE)+SUM(_xlfn.XLOOKUP(R3:AF3,增益!$A:$A,增益!$P:$P,0))</f>
        <v>0</v>
      </c>
      <c r="BI3" s="26">
        <f>MIN(IF(VLOOKUP($Q3,武学奇术!$A:$ZZ,23,FALSE)=1,100%,$B$8),100%)</f>
        <v>1</v>
      </c>
      <c r="BJ3" s="26" cm="1">
        <f t="array" ref="BJ3">IF(VLOOKUP($Q3,武学奇术!$A:$ZZ,23,FALSE)=1,100%,MIN(80%,$B$9+VLOOKUP($Q3,武学奇术!$A:$ZZ,17,FALSE)+SUM(_xlfn.XLOOKUP(R3:AF3,增益!$A:$A,增益!$Q:$Q,0)))+$B$11+SUM(_xlfn.XLOOKUP(R3:AF3,增益!$A:$A,增益!$U:$U,0)))*IF(VLOOKUP($Q3,武学奇术!$A:$ZZ,24,FALSE)=1,0,1)</f>
        <v>0.892</v>
      </c>
      <c r="BK3" s="26" cm="1">
        <f t="array" ref="BK3">1+$B$13+VLOOKUP($Q3,武学奇术!$A:$ZZ,18,FALSE)+SUM(_xlfn.XLOOKUP(R3:AF3,增益!$A:$A,增益!$R:$R,0))</f>
        <v>1.75</v>
      </c>
      <c r="BL3" s="26" cm="1">
        <f t="array" ref="BL3">IF(VLOOKUP($Q3,武学奇术!$A:$ZZ,24,FALSE)=1,100%,MIN(40%,$B$10+VLOOKUP($Q3,武学奇术!$A:$ZZ,19,FALSE)+SUM(_xlfn.XLOOKUP(R3:AF3,增益!$A:$A,增益!$S:$S,0)))+$B$12+SUM(_xlfn.XLOOKUP(R3:AF3,增益!$A:$A,增益!$V:$V,0)))*IF(VLOOKUP($Q3,武学奇术!$A:$ZZ,23,FALSE)=1,0,1)</f>
        <v>0.0913</v>
      </c>
      <c r="BM3" s="26" cm="1">
        <f t="array" ref="BM3">1+$B$14+VLOOKUP($Q3,武学奇术!$A:$ZZ,20,FALSE)+SUM(_xlfn.XLOOKUP(R3:AF3,增益!$A:$A,增益!$T:$T,0))</f>
        <v>1.35</v>
      </c>
      <c r="BN3" s="26">
        <f t="shared" si="9"/>
        <v>0.892</v>
      </c>
      <c r="BO3" s="26">
        <f t="shared" si="10"/>
        <v>0.0166999999999999</v>
      </c>
      <c r="BP3" s="26">
        <f>IF(VLOOKUP($Q3,武学奇术!$A:$ZZ,22,FALSE)=1,0,(1-$BI3))*(1-$BL3)</f>
        <v>0</v>
      </c>
      <c r="BQ3" s="26" cm="1">
        <f t="array" ref="BQ3">SUM(_xlfn.XLOOKUP(R3:AF3,增益!$A:$A,增益!$W:$W,0))+$I$5</f>
        <v>0.11</v>
      </c>
    </row>
    <row r="4" spans="1:69">
      <c r="A4" s="50" t="s">
        <v>86</v>
      </c>
      <c r="B4" s="51"/>
      <c r="C4" s="51"/>
      <c r="D4" s="51"/>
      <c r="E4" s="52"/>
      <c r="F4" s="45" t="s">
        <v>87</v>
      </c>
      <c r="G4" s="49">
        <f>B15+B17</f>
        <v>0</v>
      </c>
      <c r="H4" s="53" t="s">
        <v>88</v>
      </c>
      <c r="I4" s="15">
        <f>30</f>
        <v>30</v>
      </c>
      <c r="K4" s="38">
        <f t="shared" si="0"/>
        <v>101755.963233349</v>
      </c>
      <c r="L4" s="38">
        <f>((($AN4+$AO4)/2*$AH4+$AI4)*(1+$AP4)*(1+$AQ4)+(($AS4+$AT4)/2*IF($G$1="鸣金",$AJ4,$AH4)+IF($G$1="鸣金",$AK4*1.5,0))*(1+$AU4)*(1+$AV4)+(($AW4+$AX4)/2*IF($G$1="裂石",$AJ4,$AH4)+IF($G$1="裂石",$AK4*1.5,0))*(1+$AY4)*(1+$AZ4)+(($BA4+$BB4)/2*IF($G$1="牵丝",$AJ4,$AH4)+IF($G$1="牵丝",$AK4*1.5,0))*(1+$BC4)*(1+$BD4)+(($BE4+$BF4)/2*IF($G$1="破竹",$AJ4,$AH4)+IF($G$1="破竹",$AK4*1.5,0))*(1+$BG4)*(1+$BH4))*(1+$AL4)*$BK4*$P4*(1+IF(VLOOKUP($Q4,武学奇术!$A:$ZZ,30,FALSE)="蓄力技",#REF!,0))*(1+$BQ4)</f>
        <v>103653.826716352</v>
      </c>
      <c r="M4" s="38">
        <f>(($AO4*$AH4+$AI4)*(1+$AP4)*(1+$AQ4)+($AT4*IF($G$1="鸣金",$AJ4,$AH4)+IF($G$1="鸣金",$AK4*1.5,0))*(1+$AU4)*(1+$AV4)+($AX4*IF($G$1="裂石",$AJ4,$AH4)+IF($G$1="裂石",$AK4*1.5,0))*(1+$AY4)*(1+$AZ4)+($BB4*IF($G$1="牵丝",$AJ4,$AH4)+IF($G$1="牵丝",$AK4*1.5,0))*(1+$BC4)*(1+$BD4)+($BF4*IF($G$1="破竹",$AJ4,$AH4)+IF($G$1="破竹",$AK4*1.5,0))*(1+$BG4)*(1+$BH4))*(1+$AL4)*$BM4*$P4*(1+IF(VLOOKUP($Q4,武学奇术!$A:$ZZ,30,FALSE)="蓄力技",#REF!,0))*(1+$BQ4)</f>
        <v>90992.2907086373</v>
      </c>
      <c r="N4" s="38">
        <f>((($AN4+$AO4)/2*$AH4+$AI4)*(1+$AP4)*(1+$AQ4)+(($AS4+$AT4)/2*IF($G$1="鸣金",$AJ4,$AH4)+IF($G$1="鸣金",$AK4*1.5,0))*(1+$AU4)*(1+$AV4)+(($AW4+$AX4)/2*IF($G$1="裂石",$AJ4,$AH4)+IF($G$1="裂石",$AK4*1.5,0))*(1+$AY4)*(1+$AZ4)+(($BA4+$BB4)/2*IF($G$1="牵丝",$AJ4,$AH4)+IF($G$1="牵丝",$AK4*1.5,0))*(1+$BC4)*(1+$BD4)+(($BE4+$BF4)/2*IF($G$1="破竹",$AJ4,$AH4)+IF($G$1="破竹",$AK4*1.5,0))*(1+$BG4)*(1+$BH4))*(1+$AL4)*$P4*(1+IF(VLOOKUP($Q4,武学奇术!$A:$ZZ,30,FALSE)="蓄力技",#REF!,0))*(1+$BQ4)</f>
        <v>59230.7581236298</v>
      </c>
      <c r="O4" s="38">
        <f>((($AN4*$AH4+$AI4)*(1+$AP4)*(1+$AQ4)+($AS4*IF($G$1="鸣金",$AJ4,$AH4)+IF($G$1="鸣金",$AK4*1.5,0))*(1+$AU4)*(1+$AV4)+($AW4*IF($G$1="裂石",$AJ4,$AH4)+IF($G$1="裂石",$AK4*1.5,0))*(1+$AY4)*(1+$AZ4)+($BA4*IF($G$1="牵丝",$AJ4,$AH4)+IF($G$1="牵丝",$AK4*1.5,0))*(1+$BC4)*(1+$BD4)+($BE4*IF($G$1="破竹",$AJ4,$AH4)+IF($G$1="破竹",$AK4*1.5,0))*(1+$BG4)*(1+$BH4))*(1+$AL4))*$P4*(1+IF(VLOOKUP($Q4,武学奇术!$A:$ZZ,30,FALSE)="蓄力技",#REF!,0))*(1+$BQ4)</f>
        <v>51059.8194260468</v>
      </c>
      <c r="P4" s="39">
        <v>4</v>
      </c>
      <c r="Q4" s="40" t="s">
        <v>89</v>
      </c>
      <c r="R4" s="40" t="s">
        <v>71</v>
      </c>
      <c r="S4" s="40" t="s">
        <v>72</v>
      </c>
      <c r="T4" s="40" t="s">
        <v>73</v>
      </c>
      <c r="U4" s="40" t="s">
        <v>74</v>
      </c>
      <c r="V4" s="40" t="s">
        <v>75</v>
      </c>
      <c r="W4" s="40" t="s">
        <v>76</v>
      </c>
      <c r="X4" s="40" t="s">
        <v>76</v>
      </c>
      <c r="Y4" s="40" t="s">
        <v>76</v>
      </c>
      <c r="Z4" s="40" t="s">
        <v>76</v>
      </c>
      <c r="AA4" s="40" t="s">
        <v>68</v>
      </c>
      <c r="AB4" s="40" t="s">
        <v>76</v>
      </c>
      <c r="AC4" s="40" t="s">
        <v>76</v>
      </c>
      <c r="AD4" s="40" t="s">
        <v>76</v>
      </c>
      <c r="AE4" s="40" t="s">
        <v>80</v>
      </c>
      <c r="AF4" s="40" t="s">
        <v>81</v>
      </c>
      <c r="AG4" t="str">
        <f>VLOOKUP($Q4,武学奇术!$A:$ZZ,25,FALSE)</f>
        <v>单体奇术</v>
      </c>
      <c r="AH4" s="26">
        <f>VLOOKUP($Q4,武学奇术!$A:$ZZ,26,FALSE)</f>
        <v>1.024</v>
      </c>
      <c r="AI4" s="27">
        <f>VLOOKUP($Q4,武学奇术!$A:$ZZ,27,FALSE)*(1+IF(OR($AG4=$F$4,$AG4=$F$5),$B$21,0))</f>
        <v>203</v>
      </c>
      <c r="AJ4" s="26">
        <f>VLOOKUP($Q4,武学奇术!$A:$ZZ,28,FALSE)</f>
        <v>1.536</v>
      </c>
      <c r="AK4" s="27">
        <f>VLOOKUP($Q4,武学奇术!$A:$ZZ,29,FALSE)*(1+IF(OR($AG4=$F$4,$AG4=$F$5),$B$21,0))</f>
        <v>0</v>
      </c>
      <c r="AL4" s="26" cm="1">
        <f t="array" ref="AL4">$G$3+IFERROR(VLOOKUP($AG4,$F$4:$G$7,2,FALSE),0)+VLOOKUP($Q4,武学奇术!$A:$ZZ,2,FALSE)+SUM(_xlfn.XLOOKUP($R4:$AF4,增益!$A:$A,增益!$B:$B,0))</f>
        <v>0.7419</v>
      </c>
      <c r="AM4" s="26" cm="1">
        <f t="array" ref="AM4">VLOOKUP($Q4,武学奇术!$A:$ZZ,5,FALSE)+SUM(_xlfn.XLOOKUP($R4:$AF4,增益!$A:$A,增益!$E:$E,0))</f>
        <v>0</v>
      </c>
      <c r="AN4" cm="1">
        <f t="array" ref="AN4">$D$10*(1+$AM4)+VLOOKUP($Q4,武学奇术!$A:$ZZ,3,FALSE)+SUM(_xlfn.XLOOKUP($R4:$AF4,增益!$A:$A,增益!$C:$C,0))-$I$2</f>
        <v>3940</v>
      </c>
      <c r="AO4" cm="1">
        <f t="array" ref="AO4">$E$10*(1+$AM4)+VLOOKUP($Q4,武学奇术!$A:$ZZ,4,FALSE)+SUM(_xlfn.XLOOKUP($R4:$AF4,增益!$A:$A,增益!$D:$D,0))-$I$2</f>
        <v>3940</v>
      </c>
      <c r="AP4" s="32" cm="1">
        <f t="array" ref="AP4">IF($F$10-$I$3+VLOOKUP($Q4,武学奇术!$A:$ZZ,6,FALSE)+SUM(_xlfn.XLOOKUP(R4:AF4,增益!$A:$A,增益!$F:$F,0))&gt;0,($F$10-$I$3+VLOOKUP($Q4,武学奇术!$A:$ZZ,6,FALSE)+SUM(_xlfn.XLOOKUP(R4:AF4,增益!$A:$A,增益!$F:$F,0)))/200,($F$10-$I$3+VLOOKUP($Q4,武学奇术!$A:$ZZ,6,FALSE)+SUM(_xlfn.XLOOKUP(R4:AF4,增益!$A:$A,增益!$F:$F,0)))/100)</f>
        <v>0.244</v>
      </c>
      <c r="AQ4" s="32" cm="1">
        <f t="array" ref="AQ4">$G$10+VLOOKUP($Q4,武学奇术!$A:$ZZ,7,FALSE)+SUM(_xlfn.XLOOKUP(R4:AF4,增益!$A:$A,增益!$G:$G,0))</f>
        <v>0</v>
      </c>
      <c r="AR4" s="26" cm="1">
        <f t="array" ref="AR4">VLOOKUP($Q4,武学奇术!$A:$ZZ,8,FALSE)+SUM(_xlfn.XLOOKUP(R4:AF4,增益!$A:$A,增益!$H:$H,0))</f>
        <v>0</v>
      </c>
      <c r="AS4">
        <f t="shared" si="1"/>
        <v>0</v>
      </c>
      <c r="AT4">
        <f t="shared" si="2"/>
        <v>0</v>
      </c>
      <c r="AU4" s="32" cm="1">
        <f t="array" ref="AU4">IF($F$11-$I$4+VLOOKUP($Q4,武学奇术!$A:$ZZ,9,FALSE)+SUM(_xlfn.XLOOKUP(R4:AF4,增益!$A:$A,增益!$I:$I,0))&gt;0,($F$11-$I$4+VLOOKUP($Q4,武学奇术!$A:$ZZ,9,FALSE)+SUM(_xlfn.XLOOKUP(R4:AF4,增益!$A:$A,增益!$I:$I,0)))/200,($F$11-$I$4+VLOOKUP($Q4,武学奇术!$A:$ZZ,9,FALSE)+SUM(_xlfn.XLOOKUP(R4:AF4,增益!$A:$A,增益!$I:$I,0)))/100)</f>
        <v>-0.14</v>
      </c>
      <c r="AV4" s="32" cm="1">
        <f t="array" ref="AV4">$G$11+VLOOKUP($Q4,武学奇术!$A:$ZZ,10,FALSE)+SUM(_xlfn.XLOOKUP(R4:AF4,增益!$A:$A,增益!$J:$J,0))</f>
        <v>0</v>
      </c>
      <c r="AW4">
        <f t="shared" si="3"/>
        <v>0</v>
      </c>
      <c r="AX4">
        <f t="shared" si="4"/>
        <v>0</v>
      </c>
      <c r="AY4" s="32" cm="1">
        <f t="array" ref="AY4">IF($F$12-$I$4+VLOOKUP($Q4,武学奇术!$A:$ZZ,11,FALSE)+SUM(_xlfn.XLOOKUP(R4:AF4,增益!$A:$A,增益!$K:$K,0))&gt;0,($F$12-$I$4+VLOOKUP($Q4,武学奇术!$A:$ZZ,11,FALSE)+SUM(_xlfn.XLOOKUP(R4:AF4,增益!$A:$A,增益!$K:$K,0)))/200,($F$12-$I$4+VLOOKUP($Q4,武学奇术!$A:$ZZ,11,FALSE)+SUM(_xlfn.XLOOKUP(R4:AF4,增益!$A:$A,增益!$K:$K,0)))/100)</f>
        <v>-0.14</v>
      </c>
      <c r="AZ4" s="32" cm="1">
        <f t="array" ref="AZ4">$G$12+VLOOKUP($Q4,武学奇术!$A:$ZZ,12,FALSE)+SUM(_xlfn.XLOOKUP(R4:AF4,增益!$A:$A,增益!$L:$L,0))</f>
        <v>0</v>
      </c>
      <c r="BA4">
        <f t="shared" si="5"/>
        <v>697.4</v>
      </c>
      <c r="BB4">
        <f t="shared" si="6"/>
        <v>1805</v>
      </c>
      <c r="BC4" s="32" cm="1">
        <f t="array" ref="BC4">IF($F$13-$I$4+VLOOKUP($Q4,武学奇术!$A:$ZZ,13,FALSE)+SUM(_xlfn.XLOOKUP(R4:AF4,增益!$A:$A,增益!$M:$M,0))&gt;0,($F$13-$I$4+VLOOKUP($Q4,武学奇术!$A:$ZZ,13,FALSE)+SUM(_xlfn.XLOOKUP(R4:AF4,增益!$A:$A,增益!$K:$K,0)))/200,($F$13-$I$4+VLOOKUP($Q4,武学奇术!$A:$ZZ,13,FALSE)+SUM(_xlfn.XLOOKUP(R4:AF4,增益!$A:$A,增益!$M:$M,0)))/100)</f>
        <v>0.08</v>
      </c>
      <c r="BD4" s="32" cm="1">
        <f t="array" ref="BD4">$G$13+VLOOKUP($Q4,武学奇术!$A:$ZZ,14,FALSE)+SUM(_xlfn.XLOOKUP(R4:AF4,增益!$A:$A,增益!$N:$N,0))</f>
        <v>0.15</v>
      </c>
      <c r="BE4">
        <f t="shared" si="7"/>
        <v>0</v>
      </c>
      <c r="BF4">
        <f t="shared" si="8"/>
        <v>0</v>
      </c>
      <c r="BG4" s="32" cm="1">
        <f t="array" ref="BG4">IF($F$14-$I$4+VLOOKUP($Q4,武学奇术!$A:$ZZ,15,FALSE)+SUM(_xlfn.XLOOKUP(R4:AF4,增益!$A:$A,增益!$O:$O,0))&gt;0,($F$14-$I$4+VLOOKUP($Q4,武学奇术!$A:$ZZ,15,FALSE)+SUM(_xlfn.XLOOKUP(R4:AF4,增益!$A:$A,增益!$O:$O,0)))/200,($F$14-$I$4+VLOOKUP($Q4,武学奇术!$A:$ZZ,15,FALSE)+SUM(_xlfn.XLOOKUP(R4:AF4,增益!$A:$A,增益!$O:$O,0)))/100)</f>
        <v>-0.14</v>
      </c>
      <c r="BH4" s="32" cm="1">
        <f t="array" ref="BH4">$G$14+VLOOKUP($Q4,武学奇术!$A:$ZZ,16,FALSE)+SUM(_xlfn.XLOOKUP(R4:AF4,增益!$A:$A,增益!$P:$P,0))</f>
        <v>0</v>
      </c>
      <c r="BI4" s="26">
        <f>MIN(IF(VLOOKUP($Q4,武学奇术!$A:$ZZ,23,FALSE)=1,100%,$B$8),100%)</f>
        <v>1</v>
      </c>
      <c r="BJ4" s="26" cm="1">
        <f t="array" ref="BJ4">IF(VLOOKUP($Q4,武学奇术!$A:$ZZ,23,FALSE)=1,100%,MIN(80%,$B$9+VLOOKUP($Q4,武学奇术!$A:$ZZ,17,FALSE)+SUM(_xlfn.XLOOKUP(R4:AF4,增益!$A:$A,增益!$Q:$Q,0)))+$B$11+SUM(_xlfn.XLOOKUP(R4:AF4,增益!$A:$A,增益!$U:$U,0)))*IF(VLOOKUP($Q4,武学奇术!$A:$ZZ,24,FALSE)=1,0,1)</f>
        <v>0.892</v>
      </c>
      <c r="BK4" s="26" cm="1">
        <f t="array" ref="BK4">1+$B$13+VLOOKUP($Q4,武学奇术!$A:$ZZ,18,FALSE)+SUM(_xlfn.XLOOKUP(R4:AF4,增益!$A:$A,增益!$R:$R,0))</f>
        <v>1.75</v>
      </c>
      <c r="BL4" s="26" cm="1">
        <f t="array" ref="BL4">IF(VLOOKUP($Q4,武学奇术!$A:$ZZ,24,FALSE)=1,100%,MIN(40%,$B$10+VLOOKUP($Q4,武学奇术!$A:$ZZ,19,FALSE)+SUM(_xlfn.XLOOKUP(R4:AF4,增益!$A:$A,增益!$S:$S,0)))+$B$12+SUM(_xlfn.XLOOKUP(R4:AF4,增益!$A:$A,增益!$V:$V,0)))*IF(VLOOKUP($Q4,武学奇术!$A:$ZZ,23,FALSE)=1,0,1)</f>
        <v>0.0913</v>
      </c>
      <c r="BM4" s="26" cm="1">
        <f t="array" ref="BM4">1+$B$14+VLOOKUP($Q4,武学奇术!$A:$ZZ,20,FALSE)+SUM(_xlfn.XLOOKUP(R4:AF4,增益!$A:$A,增益!$T:$T,0))</f>
        <v>1.35</v>
      </c>
      <c r="BN4" s="26">
        <f t="shared" si="9"/>
        <v>0.892</v>
      </c>
      <c r="BO4" s="26">
        <f t="shared" si="10"/>
        <v>0.0166999999999999</v>
      </c>
      <c r="BP4" s="26">
        <f>IF(VLOOKUP($Q4,武学奇术!$A:$ZZ,22,FALSE)=1,0,(1-$BI4))*(1-$BL4)</f>
        <v>0</v>
      </c>
      <c r="BQ4" s="26" cm="1">
        <f t="array" ref="BQ4">SUM(_xlfn.XLOOKUP(R4:AF4,增益!$A:$A,增益!$W:$W,0))+$I$5</f>
        <v>0.11</v>
      </c>
    </row>
    <row r="5" spans="1:69">
      <c r="A5" s="54" t="s">
        <v>5</v>
      </c>
      <c r="B5" s="55"/>
      <c r="C5" s="55"/>
      <c r="D5" s="55"/>
      <c r="E5" s="56"/>
      <c r="F5" s="45" t="s">
        <v>90</v>
      </c>
      <c r="G5" s="49">
        <f>B15+B18</f>
        <v>0</v>
      </c>
      <c r="H5" t="s">
        <v>91</v>
      </c>
      <c r="I5" s="28">
        <v>0.06</v>
      </c>
      <c r="K5" s="38">
        <f t="shared" si="0"/>
        <v>61872.1770675407</v>
      </c>
      <c r="L5" s="38">
        <f>((($AN5+$AO5)/2*$AH5+$AI5)*(1+$AP5)*(1+$AQ5)+(($AS5+$AT5)/2*IF($G$1="鸣金",$AJ5,$AH5)+IF($G$1="鸣金",$AK5*1.5,0))*(1+$AU5)*(1+$AV5)+(($AW5+$AX5)/2*IF($G$1="裂石",$AJ5,$AH5)+IF($G$1="裂石",$AK5*1.5,0))*(1+$AY5)*(1+$AZ5)+(($BA5+$BB5)/2*IF($G$1="牵丝",$AJ5,$AH5)+IF($G$1="牵丝",$AK5*1.5,0))*(1+$BC5)*(1+$BD5)+(($BE5+$BF5)/2*IF($G$1="破竹",$AJ5,$AH5)+IF($G$1="破竹",$AK5*1.5,0))*(1+$BG5)*(1+$BH5))*(1+$AL5)*$BK5*$P5*(1+IF(VLOOKUP($Q5,武学奇术!$A:$ZZ,30,FALSE)="蓄力技",#REF!,0))*(1+$BQ5)</f>
        <v>63026.2042867479</v>
      </c>
      <c r="M5" s="38">
        <f>(($AO5*$AH5+$AI5)*(1+$AP5)*(1+$AQ5)+($AT5*IF($G$1="鸣金",$AJ5,$AH5)+IF($G$1="鸣金",$AK5*1.5,0))*(1+$AU5)*(1+$AV5)+($AX5*IF($G$1="裂石",$AJ5,$AH5)+IF($G$1="裂石",$AK5*1.5,0))*(1+$AY5)*(1+$AZ5)+($BB5*IF($G$1="牵丝",$AJ5,$AH5)+IF($G$1="牵丝",$AK5*1.5,0))*(1+$BC5)*(1+$BD5)+($BF5*IF($G$1="破竹",$AJ5,$AH5)+IF($G$1="破竹",$AK5*1.5,0))*(1+$BG5)*(1+$BH5))*(1+$AL5)*$BM5*$P5*(1+IF(VLOOKUP($Q5,武学奇术!$A:$ZZ,30,FALSE)="蓄力技",#REF!,0))*(1+$BQ5)</f>
        <v>55326.9745892296</v>
      </c>
      <c r="N5" s="38">
        <f>((($AN5+$AO5)/2*$AH5+$AI5)*(1+$AP5)*(1+$AQ5)+(($AS5+$AT5)/2*IF($G$1="鸣金",$AJ5,$AH5)+IF($G$1="鸣金",$AK5*1.5,0))*(1+$AU5)*(1+$AV5)+(($AW5+$AX5)/2*IF($G$1="裂石",$AJ5,$AH5)+IF($G$1="裂石",$AK5*1.5,0))*(1+$AY5)*(1+$AZ5)+(($BA5+$BB5)/2*IF($G$1="牵丝",$AJ5,$AH5)+IF($G$1="牵丝",$AK5*1.5,0))*(1+$BC5)*(1+$BD5)+(($BE5+$BF5)/2*IF($G$1="破竹",$AJ5,$AH5)+IF($G$1="破竹",$AK5*1.5,0))*(1+$BG5)*(1+$BH5))*(1+$AL5)*$P5*(1+IF(VLOOKUP($Q5,武学奇术!$A:$ZZ,30,FALSE)="蓄力技",#REF!,0))*(1+$BQ5)</f>
        <v>36014.9738781417</v>
      </c>
      <c r="O5" s="38">
        <f>((($AN5*$AH5+$AI5)*(1+$AP5)*(1+$AQ5)+($AS5*IF($G$1="鸣金",$AJ5,$AH5)+IF($G$1="鸣金",$AK5*1.5,0))*(1+$AU5)*(1+$AV5)+($AW5*IF($G$1="裂石",$AJ5,$AH5)+IF($G$1="裂石",$AK5*1.5,0))*(1+$AY5)*(1+$AZ5)+($BA5*IF($G$1="牵丝",$AJ5,$AH5)+IF($G$1="牵丝",$AK5*1.5,0))*(1+$BC5)*(1+$BD5)+($BE5*IF($G$1="破竹",$AJ5,$AH5)+IF($G$1="破竹",$AK5*1.5,0))*(1+$BG5)*(1+$BH5))*(1+$AL5))*$P5*(1+IF(VLOOKUP($Q5,武学奇术!$A:$ZZ,30,FALSE)="蓄力技",#REF!,0))*(1+$BQ5)</f>
        <v>31047.0036161132</v>
      </c>
      <c r="P5" s="39">
        <v>1</v>
      </c>
      <c r="Q5" s="40" t="s">
        <v>92</v>
      </c>
      <c r="R5" s="40" t="s">
        <v>71</v>
      </c>
      <c r="S5" s="40" t="s">
        <v>72</v>
      </c>
      <c r="T5" s="40" t="s">
        <v>73</v>
      </c>
      <c r="U5" s="40" t="s">
        <v>74</v>
      </c>
      <c r="V5" s="40" t="s">
        <v>75</v>
      </c>
      <c r="W5" s="40" t="s">
        <v>76</v>
      </c>
      <c r="X5" s="40" t="s">
        <v>76</v>
      </c>
      <c r="Y5" s="40" t="s">
        <v>76</v>
      </c>
      <c r="Z5" s="40" t="s">
        <v>76</v>
      </c>
      <c r="AA5" s="40" t="s">
        <v>68</v>
      </c>
      <c r="AB5" s="40" t="s">
        <v>76</v>
      </c>
      <c r="AC5" s="40" t="s">
        <v>76</v>
      </c>
      <c r="AD5" s="40" t="s">
        <v>76</v>
      </c>
      <c r="AE5" s="40" t="s">
        <v>80</v>
      </c>
      <c r="AF5" s="40" t="s">
        <v>81</v>
      </c>
      <c r="AG5" t="str">
        <f>VLOOKUP($Q5,武学奇术!$A:$ZZ,25,FALSE)</f>
        <v>单体奇术</v>
      </c>
      <c r="AH5" s="26">
        <f>VLOOKUP($Q5,武学奇术!$A:$ZZ,26,FALSE)</f>
        <v>1.7066</v>
      </c>
      <c r="AI5" s="27">
        <f>VLOOKUP($Q5,武学奇术!$A:$ZZ,27,FALSE)*(1+IF(OR($AG5=$F$4,$AG5=$F$5),$B$21,0))</f>
        <v>339</v>
      </c>
      <c r="AJ5" s="26">
        <f>VLOOKUP($Q5,武学奇术!$A:$ZZ,28,FALSE)</f>
        <v>2.5599</v>
      </c>
      <c r="AK5" s="27">
        <f>VLOOKUP($Q5,武学奇术!$A:$ZZ,29,FALSE)*(1+IF(OR($AG5=$F$4,$AG5=$F$5),$B$21,0))</f>
        <v>0</v>
      </c>
      <c r="AL5" s="26" cm="1">
        <f t="array" ref="AL5">$G$3+IFERROR(VLOOKUP($AG5,$F$4:$G$7,2,FALSE),0)+VLOOKUP($Q5,武学奇术!$A:$ZZ,2,FALSE)+SUM(_xlfn.XLOOKUP($R5:$AF5,增益!$A:$A,增益!$B:$B,0))</f>
        <v>1.5419</v>
      </c>
      <c r="AM5" s="26" cm="1">
        <f t="array" ref="AM5">VLOOKUP($Q5,武学奇术!$A:$ZZ,5,FALSE)+SUM(_xlfn.XLOOKUP($R5:$AF5,增益!$A:$A,增益!$E:$E,0))</f>
        <v>0</v>
      </c>
      <c r="AN5" cm="1">
        <f t="array" ref="AN5">$D$10*(1+$AM5)+VLOOKUP($Q5,武学奇术!$A:$ZZ,3,FALSE)+SUM(_xlfn.XLOOKUP($R5:$AF5,增益!$A:$A,增益!$C:$C,0))-$I$2</f>
        <v>3940</v>
      </c>
      <c r="AO5" cm="1">
        <f t="array" ref="AO5">$E$10*(1+$AM5)+VLOOKUP($Q5,武学奇术!$A:$ZZ,4,FALSE)+SUM(_xlfn.XLOOKUP($R5:$AF5,增益!$A:$A,增益!$D:$D,0))-$I$2</f>
        <v>3940</v>
      </c>
      <c r="AP5" s="32" cm="1">
        <f t="array" ref="AP5">IF($F$10-$I$3+VLOOKUP($Q5,武学奇术!$A:$ZZ,6,FALSE)+SUM(_xlfn.XLOOKUP(R5:AF5,增益!$A:$A,增益!$F:$F,0))&gt;0,($F$10-$I$3+VLOOKUP($Q5,武学奇术!$A:$ZZ,6,FALSE)+SUM(_xlfn.XLOOKUP(R5:AF5,增益!$A:$A,增益!$F:$F,0)))/200,($F$10-$I$3+VLOOKUP($Q5,武学奇术!$A:$ZZ,6,FALSE)+SUM(_xlfn.XLOOKUP(R5:AF5,增益!$A:$A,增益!$F:$F,0)))/100)</f>
        <v>0.244</v>
      </c>
      <c r="AQ5" s="32" cm="1">
        <f t="array" ref="AQ5">$G$10+VLOOKUP($Q5,武学奇术!$A:$ZZ,7,FALSE)+SUM(_xlfn.XLOOKUP(R5:AF5,增益!$A:$A,增益!$G:$G,0))</f>
        <v>0</v>
      </c>
      <c r="AR5" s="26" cm="1">
        <f t="array" ref="AR5">VLOOKUP($Q5,武学奇术!$A:$ZZ,8,FALSE)+SUM(_xlfn.XLOOKUP(R5:AF5,增益!$A:$A,增益!$H:$H,0))</f>
        <v>0</v>
      </c>
      <c r="AS5">
        <f t="shared" si="1"/>
        <v>0</v>
      </c>
      <c r="AT5">
        <f t="shared" si="2"/>
        <v>0</v>
      </c>
      <c r="AU5" s="32" cm="1">
        <f t="array" ref="AU5">IF($F$11-$I$4+VLOOKUP($Q5,武学奇术!$A:$ZZ,9,FALSE)+SUM(_xlfn.XLOOKUP(R5:AF5,增益!$A:$A,增益!$I:$I,0))&gt;0,($F$11-$I$4+VLOOKUP($Q5,武学奇术!$A:$ZZ,9,FALSE)+SUM(_xlfn.XLOOKUP(R5:AF5,增益!$A:$A,增益!$I:$I,0)))/200,($F$11-$I$4+VLOOKUP($Q5,武学奇术!$A:$ZZ,9,FALSE)+SUM(_xlfn.XLOOKUP(R5:AF5,增益!$A:$A,增益!$I:$I,0)))/100)</f>
        <v>-0.14</v>
      </c>
      <c r="AV5" s="32" cm="1">
        <f t="array" ref="AV5">$G$11+VLOOKUP($Q5,武学奇术!$A:$ZZ,10,FALSE)+SUM(_xlfn.XLOOKUP(R5:AF5,增益!$A:$A,增益!$J:$J,0))</f>
        <v>0</v>
      </c>
      <c r="AW5">
        <f t="shared" si="3"/>
        <v>0</v>
      </c>
      <c r="AX5">
        <f t="shared" si="4"/>
        <v>0</v>
      </c>
      <c r="AY5" s="32" cm="1">
        <f t="array" ref="AY5">IF($F$12-$I$4+VLOOKUP($Q5,武学奇术!$A:$ZZ,11,FALSE)+SUM(_xlfn.XLOOKUP(R5:AF5,增益!$A:$A,增益!$K:$K,0))&gt;0,($F$12-$I$4+VLOOKUP($Q5,武学奇术!$A:$ZZ,11,FALSE)+SUM(_xlfn.XLOOKUP(R5:AF5,增益!$A:$A,增益!$K:$K,0)))/200,($F$12-$I$4+VLOOKUP($Q5,武学奇术!$A:$ZZ,11,FALSE)+SUM(_xlfn.XLOOKUP(R5:AF5,增益!$A:$A,增益!$K:$K,0)))/100)</f>
        <v>-0.14</v>
      </c>
      <c r="AZ5" s="32" cm="1">
        <f t="array" ref="AZ5">$G$12+VLOOKUP($Q5,武学奇术!$A:$ZZ,12,FALSE)+SUM(_xlfn.XLOOKUP(R5:AF5,增益!$A:$A,增益!$L:$L,0))</f>
        <v>0</v>
      </c>
      <c r="BA5">
        <f t="shared" si="5"/>
        <v>697.4</v>
      </c>
      <c r="BB5">
        <f t="shared" si="6"/>
        <v>1805</v>
      </c>
      <c r="BC5" s="32" cm="1">
        <f t="array" ref="BC5">IF($F$13-$I$4+VLOOKUP($Q5,武学奇术!$A:$ZZ,13,FALSE)+SUM(_xlfn.XLOOKUP(R5:AF5,增益!$A:$A,增益!$M:$M,0))&gt;0,($F$13-$I$4+VLOOKUP($Q5,武学奇术!$A:$ZZ,13,FALSE)+SUM(_xlfn.XLOOKUP(R5:AF5,增益!$A:$A,增益!$K:$K,0)))/200,($F$13-$I$4+VLOOKUP($Q5,武学奇术!$A:$ZZ,13,FALSE)+SUM(_xlfn.XLOOKUP(R5:AF5,增益!$A:$A,增益!$M:$M,0)))/100)</f>
        <v>0.08</v>
      </c>
      <c r="BD5" s="32" cm="1">
        <f t="array" ref="BD5">$G$13+VLOOKUP($Q5,武学奇术!$A:$ZZ,14,FALSE)+SUM(_xlfn.XLOOKUP(R5:AF5,增益!$A:$A,增益!$N:$N,0))</f>
        <v>0.15</v>
      </c>
      <c r="BE5">
        <f t="shared" si="7"/>
        <v>0</v>
      </c>
      <c r="BF5">
        <f t="shared" si="8"/>
        <v>0</v>
      </c>
      <c r="BG5" s="32" cm="1">
        <f t="array" ref="BG5">IF($F$14-$I$4+VLOOKUP($Q5,武学奇术!$A:$ZZ,15,FALSE)+SUM(_xlfn.XLOOKUP(R5:AF5,增益!$A:$A,增益!$O:$O,0))&gt;0,($F$14-$I$4+VLOOKUP($Q5,武学奇术!$A:$ZZ,15,FALSE)+SUM(_xlfn.XLOOKUP(R5:AF5,增益!$A:$A,增益!$O:$O,0)))/200,($F$14-$I$4+VLOOKUP($Q5,武学奇术!$A:$ZZ,15,FALSE)+SUM(_xlfn.XLOOKUP(R5:AF5,增益!$A:$A,增益!$O:$O,0)))/100)</f>
        <v>-0.14</v>
      </c>
      <c r="BH5" s="32" cm="1">
        <f t="array" ref="BH5">$G$14+VLOOKUP($Q5,武学奇术!$A:$ZZ,16,FALSE)+SUM(_xlfn.XLOOKUP(R5:AF5,增益!$A:$A,增益!$P:$P,0))</f>
        <v>0</v>
      </c>
      <c r="BI5" s="26">
        <f>MIN(IF(VLOOKUP($Q5,武学奇术!$A:$ZZ,23,FALSE)=1,100%,$B$8),100%)</f>
        <v>1</v>
      </c>
      <c r="BJ5" s="26" cm="1">
        <f t="array" ref="BJ5">IF(VLOOKUP($Q5,武学奇术!$A:$ZZ,23,FALSE)=1,100%,MIN(80%,$B$9+VLOOKUP($Q5,武学奇术!$A:$ZZ,17,FALSE)+SUM(_xlfn.XLOOKUP(R5:AF5,增益!$A:$A,增益!$Q:$Q,0)))+$B$11+SUM(_xlfn.XLOOKUP(R5:AF5,增益!$A:$A,增益!$U:$U,0)))*IF(VLOOKUP($Q5,武学奇术!$A:$ZZ,24,FALSE)=1,0,1)</f>
        <v>0.892</v>
      </c>
      <c r="BK5" s="26" cm="1">
        <f t="array" ref="BK5">1+$B$13+VLOOKUP($Q5,武学奇术!$A:$ZZ,18,FALSE)+SUM(_xlfn.XLOOKUP(R5:AF5,增益!$A:$A,增益!$R:$R,0))</f>
        <v>1.75</v>
      </c>
      <c r="BL5" s="26" cm="1">
        <f t="array" ref="BL5">IF(VLOOKUP($Q5,武学奇术!$A:$ZZ,24,FALSE)=1,100%,MIN(40%,$B$10+VLOOKUP($Q5,武学奇术!$A:$ZZ,19,FALSE)+SUM(_xlfn.XLOOKUP(R5:AF5,增益!$A:$A,增益!$S:$S,0)))+$B$12+SUM(_xlfn.XLOOKUP(R5:AF5,增益!$A:$A,增益!$V:$V,0)))*IF(VLOOKUP($Q5,武学奇术!$A:$ZZ,23,FALSE)=1,0,1)</f>
        <v>0.0913</v>
      </c>
      <c r="BM5" s="26" cm="1">
        <f t="array" ref="BM5">1+$B$14+VLOOKUP($Q5,武学奇术!$A:$ZZ,20,FALSE)+SUM(_xlfn.XLOOKUP(R5:AF5,增益!$A:$A,增益!$T:$T,0))</f>
        <v>1.35</v>
      </c>
      <c r="BN5" s="26">
        <f t="shared" si="9"/>
        <v>0.892</v>
      </c>
      <c r="BO5" s="26">
        <f t="shared" si="10"/>
        <v>0.0166999999999999</v>
      </c>
      <c r="BP5" s="26">
        <f>IF(VLOOKUP($Q5,武学奇术!$A:$ZZ,22,FALSE)=1,0,(1-$BI5))*(1-$BL5)</f>
        <v>0</v>
      </c>
      <c r="BQ5" s="26" cm="1">
        <f t="array" ref="BQ5">SUM(_xlfn.XLOOKUP(R5:AF5,增益!$A:$A,增益!$W:$W,0))+$I$5</f>
        <v>0.11</v>
      </c>
    </row>
    <row r="6" spans="1:69">
      <c r="A6" s="57" t="s">
        <v>93</v>
      </c>
      <c r="B6" s="58"/>
      <c r="C6" s="58"/>
      <c r="D6" s="58"/>
      <c r="E6" s="59"/>
      <c r="F6" s="45" t="s">
        <v>94</v>
      </c>
      <c r="G6" s="49">
        <f>B19</f>
        <v>0.2677</v>
      </c>
      <c r="K6" s="38">
        <f t="shared" si="0"/>
        <v>199872.635272695</v>
      </c>
      <c r="L6" s="38">
        <f>((($AN6+$AO6)/2*$AH6+$AI6)*(1+$AP6)*(1+$AQ6)+(($AS6+$AT6)/2*IF($G$1="鸣金",$AJ6,$AH6)+IF($G$1="鸣金",$AK6*1.5,0))*(1+$AU6)*(1+$AV6)+(($AW6+$AX6)/2*IF($G$1="裂石",$AJ6,$AH6)+IF($G$1="裂石",$AK6*1.5,0))*(1+$AY6)*(1+$AZ6)+(($BA6+$BB6)/2*IF($G$1="牵丝",$AJ6,$AH6)+IF($G$1="牵丝",$AK6*1.5,0))*(1+$BC6)*(1+$BD6)+(($BE6+$BF6)/2*IF($G$1="破竹",$AJ6,$AH6)+IF($G$1="破竹",$AK6*1.5,0))*(1+$BG6)*(1+$BH6))*(1+$AL6)*$BK6*$P6*(1+IF(VLOOKUP($Q6,武学奇术!$A:$ZZ,30,FALSE)="蓄力技",#REF!,0))*(1+$BQ6)</f>
        <v>203600.487122987</v>
      </c>
      <c r="M6" s="38">
        <f>(($AO6*$AH6+$AI6)*(1+$AP6)*(1+$AQ6)+($AT6*IF($G$1="鸣金",$AJ6,$AH6)+IF($G$1="鸣金",$AK6*1.5,0))*(1+$AU6)*(1+$AV6)+($AX6*IF($G$1="裂石",$AJ6,$AH6)+IF($G$1="裂石",$AK6*1.5,0))*(1+$AY6)*(1+$AZ6)+($BB6*IF($G$1="牵丝",$AJ6,$AH6)+IF($G$1="牵丝",$AK6*1.5,0))*(1+$BC6)*(1+$BD6)+($BF6*IF($G$1="破竹",$AJ6,$AH6)+IF($G$1="破竹",$AK6*1.5,0))*(1+$BG6)*(1+$BH6))*(1+$AL6)*$BM6*$P6*(1+IF(VLOOKUP($Q6,武学奇术!$A:$ZZ,30,FALSE)="蓄力技",#REF!,0))*(1+$BQ6)</f>
        <v>178730.234350057</v>
      </c>
      <c r="N6" s="38">
        <f>((($AN6+$AO6)/2*$AH6+$AI6)*(1+$AP6)*(1+$AQ6)+(($AS6+$AT6)/2*IF($G$1="鸣金",$AJ6,$AH6)+IF($G$1="鸣金",$AK6*1.5,0))*(1+$AU6)*(1+$AV6)+(($AW6+$AX6)/2*IF($G$1="裂石",$AJ6,$AH6)+IF($G$1="裂石",$AK6*1.5,0))*(1+$AY6)*(1+$AZ6)+(($BA6+$BB6)/2*IF($G$1="牵丝",$AJ6,$AH6)+IF($G$1="牵丝",$AK6*1.5,0))*(1+$BC6)*(1+$BD6)+(($BE6+$BF6)/2*IF($G$1="破竹",$AJ6,$AH6)+IF($G$1="破竹",$AK6*1.5,0))*(1+$BG6)*(1+$BH6))*(1+$AL6)*$P6*(1+IF(VLOOKUP($Q6,武学奇术!$A:$ZZ,30,FALSE)="蓄力技",#REF!,0))*(1+$BQ6)</f>
        <v>116343.13549885</v>
      </c>
      <c r="O6" s="38">
        <f>((($AN6*$AH6+$AI6)*(1+$AP6)*(1+$AQ6)+($AS6*IF($G$1="鸣金",$AJ6,$AH6)+IF($G$1="鸣金",$AK6*1.5,0))*(1+$AU6)*(1+$AV6)+($AW6*IF($G$1="裂石",$AJ6,$AH6)+IF($G$1="裂石",$AK6*1.5,0))*(1+$AY6)*(1+$AZ6)+($BA6*IF($G$1="牵丝",$AJ6,$AH6)+IF($G$1="牵丝",$AK6*1.5,0))*(1+$BC6)*(1+$BD6)+($BE6*IF($G$1="破竹",$AJ6,$AH6)+IF($G$1="破竹",$AK6*1.5,0))*(1+$BG6)*(1+$BH6))*(1+$AL6))*$P6*(1+IF(VLOOKUP($Q6,武学奇术!$A:$ZZ,30,FALSE)="蓄力技",#REF!,0))*(1+$BQ6)</f>
        <v>100293.504812472</v>
      </c>
      <c r="P6" s="39">
        <v>5</v>
      </c>
      <c r="Q6" s="40" t="s">
        <v>95</v>
      </c>
      <c r="R6" s="40" t="s">
        <v>71</v>
      </c>
      <c r="S6" s="40" t="s">
        <v>72</v>
      </c>
      <c r="T6" s="40" t="s">
        <v>73</v>
      </c>
      <c r="U6" s="40" t="s">
        <v>74</v>
      </c>
      <c r="V6" s="40" t="s">
        <v>75</v>
      </c>
      <c r="W6" s="40" t="s">
        <v>76</v>
      </c>
      <c r="X6" s="40" t="s">
        <v>76</v>
      </c>
      <c r="Y6" s="40" t="s">
        <v>76</v>
      </c>
      <c r="Z6" s="40" t="s">
        <v>76</v>
      </c>
      <c r="AA6" s="40" t="s">
        <v>68</v>
      </c>
      <c r="AB6" s="40" t="s">
        <v>76</v>
      </c>
      <c r="AC6" s="40" t="s">
        <v>76</v>
      </c>
      <c r="AD6" s="40" t="s">
        <v>76</v>
      </c>
      <c r="AE6" s="40" t="s">
        <v>80</v>
      </c>
      <c r="AF6" s="40" t="s">
        <v>81</v>
      </c>
      <c r="AG6" t="str">
        <f>VLOOKUP($Q6,武学奇术!$A:$ZZ,25,FALSE)</f>
        <v>单体奇术</v>
      </c>
      <c r="AH6" s="26">
        <f>VLOOKUP($Q6,武学奇术!$A:$ZZ,26,FALSE)</f>
        <v>1.6091</v>
      </c>
      <c r="AI6" s="27">
        <f>VLOOKUP($Q6,武学奇术!$A:$ZZ,27,FALSE)*(1+IF(OR($AG6=$F$4,$AG6=$F$5),$B$21,0))</f>
        <v>319</v>
      </c>
      <c r="AJ6" s="26">
        <f>VLOOKUP($Q6,武学奇术!$A:$ZZ,28,FALSE)</f>
        <v>2.41365</v>
      </c>
      <c r="AK6" s="27">
        <f>VLOOKUP($Q6,武学奇术!$A:$ZZ,29,FALSE)*(1+IF(OR($AG6=$F$4,$AG6=$F$5),$B$21,0))</f>
        <v>0</v>
      </c>
      <c r="AL6" s="26" cm="1">
        <f t="array" ref="AL6">$G$3+IFERROR(VLOOKUP($AG6,$F$4:$G$7,2,FALSE),0)+VLOOKUP($Q6,武学奇术!$A:$ZZ,2,FALSE)+SUM(_xlfn.XLOOKUP($R6:$AF6,增益!$A:$A,增益!$B:$B,0))</f>
        <v>0.7419</v>
      </c>
      <c r="AM6" s="26" cm="1">
        <f t="array" ref="AM6">VLOOKUP($Q6,武学奇术!$A:$ZZ,5,FALSE)+SUM(_xlfn.XLOOKUP($R6:$AF6,增益!$A:$A,增益!$E:$E,0))</f>
        <v>0</v>
      </c>
      <c r="AN6" cm="1">
        <f t="array" ref="AN6">$D$10*(1+$AM6)+VLOOKUP($Q6,武学奇术!$A:$ZZ,3,FALSE)+SUM(_xlfn.XLOOKUP($R6:$AF6,增益!$A:$A,增益!$C:$C,0))-$I$2</f>
        <v>3940</v>
      </c>
      <c r="AO6" cm="1">
        <f t="array" ref="AO6">$E$10*(1+$AM6)+VLOOKUP($Q6,武学奇术!$A:$ZZ,4,FALSE)+SUM(_xlfn.XLOOKUP($R6:$AF6,增益!$A:$A,增益!$D:$D,0))-$I$2</f>
        <v>3940</v>
      </c>
      <c r="AP6" s="32" cm="1">
        <f t="array" ref="AP6">IF($F$10-$I$3+VLOOKUP($Q6,武学奇术!$A:$ZZ,6,FALSE)+SUM(_xlfn.XLOOKUP(R6:AF6,增益!$A:$A,增益!$F:$F,0))&gt;0,($F$10-$I$3+VLOOKUP($Q6,武学奇术!$A:$ZZ,6,FALSE)+SUM(_xlfn.XLOOKUP(R6:AF6,增益!$A:$A,增益!$F:$F,0)))/200,($F$10-$I$3+VLOOKUP($Q6,武学奇术!$A:$ZZ,6,FALSE)+SUM(_xlfn.XLOOKUP(R6:AF6,增益!$A:$A,增益!$F:$F,0)))/100)</f>
        <v>0.244</v>
      </c>
      <c r="AQ6" s="32" cm="1">
        <f t="array" ref="AQ6">$G$10+VLOOKUP($Q6,武学奇术!$A:$ZZ,7,FALSE)+SUM(_xlfn.XLOOKUP(R6:AF6,增益!$A:$A,增益!$G:$G,0))</f>
        <v>0</v>
      </c>
      <c r="AR6" s="26" cm="1">
        <f t="array" ref="AR6">VLOOKUP($Q6,武学奇术!$A:$ZZ,8,FALSE)+SUM(_xlfn.XLOOKUP(R6:AF6,增益!$A:$A,增益!$H:$H,0))</f>
        <v>0</v>
      </c>
      <c r="AS6">
        <f t="shared" si="1"/>
        <v>0</v>
      </c>
      <c r="AT6">
        <f t="shared" si="2"/>
        <v>0</v>
      </c>
      <c r="AU6" s="32" cm="1">
        <f t="array" ref="AU6">IF($F$11-$I$4+VLOOKUP($Q6,武学奇术!$A:$ZZ,9,FALSE)+SUM(_xlfn.XLOOKUP(R6:AF6,增益!$A:$A,增益!$I:$I,0))&gt;0,($F$11-$I$4+VLOOKUP($Q6,武学奇术!$A:$ZZ,9,FALSE)+SUM(_xlfn.XLOOKUP(R6:AF6,增益!$A:$A,增益!$I:$I,0)))/200,($F$11-$I$4+VLOOKUP($Q6,武学奇术!$A:$ZZ,9,FALSE)+SUM(_xlfn.XLOOKUP(R6:AF6,增益!$A:$A,增益!$I:$I,0)))/100)</f>
        <v>-0.14</v>
      </c>
      <c r="AV6" s="32" cm="1">
        <f t="array" ref="AV6">$G$11+VLOOKUP($Q6,武学奇术!$A:$ZZ,10,FALSE)+SUM(_xlfn.XLOOKUP(R6:AF6,增益!$A:$A,增益!$J:$J,0))</f>
        <v>0</v>
      </c>
      <c r="AW6">
        <f t="shared" si="3"/>
        <v>0</v>
      </c>
      <c r="AX6">
        <f t="shared" si="4"/>
        <v>0</v>
      </c>
      <c r="AY6" s="32" cm="1">
        <f t="array" ref="AY6">IF($F$12-$I$4+VLOOKUP($Q6,武学奇术!$A:$ZZ,11,FALSE)+SUM(_xlfn.XLOOKUP(R6:AF6,增益!$A:$A,增益!$K:$K,0))&gt;0,($F$12-$I$4+VLOOKUP($Q6,武学奇术!$A:$ZZ,11,FALSE)+SUM(_xlfn.XLOOKUP(R6:AF6,增益!$A:$A,增益!$K:$K,0)))/200,($F$12-$I$4+VLOOKUP($Q6,武学奇术!$A:$ZZ,11,FALSE)+SUM(_xlfn.XLOOKUP(R6:AF6,增益!$A:$A,增益!$K:$K,0)))/100)</f>
        <v>-0.14</v>
      </c>
      <c r="AZ6" s="32" cm="1">
        <f t="array" ref="AZ6">$G$12+VLOOKUP($Q6,武学奇术!$A:$ZZ,12,FALSE)+SUM(_xlfn.XLOOKUP(R6:AF6,增益!$A:$A,增益!$L:$L,0))</f>
        <v>0</v>
      </c>
      <c r="BA6">
        <f t="shared" si="5"/>
        <v>697.4</v>
      </c>
      <c r="BB6">
        <f t="shared" si="6"/>
        <v>1805</v>
      </c>
      <c r="BC6" s="32" cm="1">
        <f t="array" ref="BC6">IF($F$13-$I$4+VLOOKUP($Q6,武学奇术!$A:$ZZ,13,FALSE)+SUM(_xlfn.XLOOKUP(R6:AF6,增益!$A:$A,增益!$M:$M,0))&gt;0,($F$13-$I$4+VLOOKUP($Q6,武学奇术!$A:$ZZ,13,FALSE)+SUM(_xlfn.XLOOKUP(R6:AF6,增益!$A:$A,增益!$K:$K,0)))/200,($F$13-$I$4+VLOOKUP($Q6,武学奇术!$A:$ZZ,13,FALSE)+SUM(_xlfn.XLOOKUP(R6:AF6,增益!$A:$A,增益!$M:$M,0)))/100)</f>
        <v>0.08</v>
      </c>
      <c r="BD6" s="32" cm="1">
        <f t="array" ref="BD6">$G$13+VLOOKUP($Q6,武学奇术!$A:$ZZ,14,FALSE)+SUM(_xlfn.XLOOKUP(R6:AF6,增益!$A:$A,增益!$N:$N,0))</f>
        <v>0.15</v>
      </c>
      <c r="BE6">
        <f t="shared" si="7"/>
        <v>0</v>
      </c>
      <c r="BF6">
        <f t="shared" si="8"/>
        <v>0</v>
      </c>
      <c r="BG6" s="32" cm="1">
        <f t="array" ref="BG6">IF($F$14-$I$4+VLOOKUP($Q6,武学奇术!$A:$ZZ,15,FALSE)+SUM(_xlfn.XLOOKUP(R6:AF6,增益!$A:$A,增益!$O:$O,0))&gt;0,($F$14-$I$4+VLOOKUP($Q6,武学奇术!$A:$ZZ,15,FALSE)+SUM(_xlfn.XLOOKUP(R6:AF6,增益!$A:$A,增益!$O:$O,0)))/200,($F$14-$I$4+VLOOKUP($Q6,武学奇术!$A:$ZZ,15,FALSE)+SUM(_xlfn.XLOOKUP(R6:AF6,增益!$A:$A,增益!$O:$O,0)))/100)</f>
        <v>-0.14</v>
      </c>
      <c r="BH6" s="32" cm="1">
        <f t="array" ref="BH6">$G$14+VLOOKUP($Q6,武学奇术!$A:$ZZ,16,FALSE)+SUM(_xlfn.XLOOKUP(R6:AF6,增益!$A:$A,增益!$P:$P,0))</f>
        <v>0</v>
      </c>
      <c r="BI6" s="26">
        <f>MIN(IF(VLOOKUP($Q6,武学奇术!$A:$ZZ,23,FALSE)=1,100%,$B$8),100%)</f>
        <v>1</v>
      </c>
      <c r="BJ6" s="26" cm="1">
        <f t="array" ref="BJ6">IF(VLOOKUP($Q6,武学奇术!$A:$ZZ,23,FALSE)=1,100%,MIN(80%,$B$9+VLOOKUP($Q6,武学奇术!$A:$ZZ,17,FALSE)+SUM(_xlfn.XLOOKUP(R6:AF6,增益!$A:$A,增益!$Q:$Q,0)))+$B$11+SUM(_xlfn.XLOOKUP(R6:AF6,增益!$A:$A,增益!$U:$U,0)))*IF(VLOOKUP($Q6,武学奇术!$A:$ZZ,24,FALSE)=1,0,1)</f>
        <v>0.892</v>
      </c>
      <c r="BK6" s="26" cm="1">
        <f t="array" ref="BK6">1+$B$13+VLOOKUP($Q6,武学奇术!$A:$ZZ,18,FALSE)+SUM(_xlfn.XLOOKUP(R6:AF6,增益!$A:$A,增益!$R:$R,0))</f>
        <v>1.75</v>
      </c>
      <c r="BL6" s="26" cm="1">
        <f t="array" ref="BL6">IF(VLOOKUP($Q6,武学奇术!$A:$ZZ,24,FALSE)=1,100%,MIN(40%,$B$10+VLOOKUP($Q6,武学奇术!$A:$ZZ,19,FALSE)+SUM(_xlfn.XLOOKUP(R6:AF6,增益!$A:$A,增益!$S:$S,0)))+$B$12+SUM(_xlfn.XLOOKUP(R6:AF6,增益!$A:$A,增益!$V:$V,0)))*IF(VLOOKUP($Q6,武学奇术!$A:$ZZ,23,FALSE)=1,0,1)</f>
        <v>0.0913</v>
      </c>
      <c r="BM6" s="26" cm="1">
        <f t="array" ref="BM6">1+$B$14+VLOOKUP($Q6,武学奇术!$A:$ZZ,20,FALSE)+SUM(_xlfn.XLOOKUP(R6:AF6,增益!$A:$A,增益!$T:$T,0))</f>
        <v>1.35</v>
      </c>
      <c r="BN6" s="26">
        <f t="shared" si="9"/>
        <v>0.892</v>
      </c>
      <c r="BO6" s="26">
        <f t="shared" si="10"/>
        <v>0.0166999999999999</v>
      </c>
      <c r="BP6" s="26">
        <f>IF(VLOOKUP($Q6,武学奇术!$A:$ZZ,22,FALSE)=1,0,(1-$BI6))*(1-$BL6)</f>
        <v>0</v>
      </c>
      <c r="BQ6" s="26" cm="1">
        <f t="array" ref="BQ6">SUM(_xlfn.XLOOKUP(R6:AF6,增益!$A:$A,增益!$W:$W,0))+$I$5</f>
        <v>0.11</v>
      </c>
    </row>
    <row r="7" spans="1:69">
      <c r="A7" s="41" t="s">
        <v>96</v>
      </c>
      <c r="B7" s="60"/>
      <c r="C7" s="61"/>
      <c r="D7" s="62"/>
      <c r="E7" s="63"/>
      <c r="F7" s="53" t="s">
        <v>97</v>
      </c>
      <c r="G7" s="64">
        <f>B20</f>
        <v>0</v>
      </c>
      <c r="K7" s="38">
        <f t="shared" si="0"/>
        <v>203511.926466699</v>
      </c>
      <c r="L7" s="38">
        <f>((($AN7+$AO7)/2*$AH7+$AI7)*(1+$AP7)*(1+$AQ7)+(($AS7+$AT7)/2*IF($G$1="鸣金",$AJ7,$AH7)+IF($G$1="鸣金",$AK7*1.5,0))*(1+$AU7)*(1+$AV7)+(($AW7+$AX7)/2*IF($G$1="裂石",$AJ7,$AH7)+IF($G$1="裂石",$AK7*1.5,0))*(1+$AY7)*(1+$AZ7)+(($BA7+$BB7)/2*IF($G$1="牵丝",$AJ7,$AH7)+IF($G$1="牵丝",$AK7*1.5,0))*(1+$BC7)*(1+$BD7)+(($BE7+$BF7)/2*IF($G$1="破竹",$AJ7,$AH7)+IF($G$1="破竹",$AK7*1.5,0))*(1+$BG7)*(1+$BH7))*(1+$AL7)*$BK7*$P7*(1+IF(VLOOKUP($Q7,武学奇术!$A:$ZZ,30,FALSE)="蓄力技",#REF!,0))*(1+$BQ7)</f>
        <v>207307.653432704</v>
      </c>
      <c r="M7" s="38">
        <f>(($AO7*$AH7+$AI7)*(1+$AP7)*(1+$AQ7)+($AT7*IF($G$1="鸣金",$AJ7,$AH7)+IF($G$1="鸣金",$AK7*1.5,0))*(1+$AU7)*(1+$AV7)+($AX7*IF($G$1="裂石",$AJ7,$AH7)+IF($G$1="裂石",$AK7*1.5,0))*(1+$AY7)*(1+$AZ7)+($BB7*IF($G$1="牵丝",$AJ7,$AH7)+IF($G$1="牵丝",$AK7*1.5,0))*(1+$BC7)*(1+$BD7)+($BF7*IF($G$1="破竹",$AJ7,$AH7)+IF($G$1="破竹",$AK7*1.5,0))*(1+$BG7)*(1+$BH7))*(1+$AL7)*$BM7*$P7*(1+IF(VLOOKUP($Q7,武学奇术!$A:$ZZ,30,FALSE)="蓄力技",#REF!,0))*(1+$BQ7)</f>
        <v>181984.581417275</v>
      </c>
      <c r="N7" s="38">
        <f>((($AN7+$AO7)/2*$AH7+$AI7)*(1+$AP7)*(1+$AQ7)+(($AS7+$AT7)/2*IF($G$1="鸣金",$AJ7,$AH7)+IF($G$1="鸣金",$AK7*1.5,0))*(1+$AU7)*(1+$AV7)+(($AW7+$AX7)/2*IF($G$1="裂石",$AJ7,$AH7)+IF($G$1="裂石",$AK7*1.5,0))*(1+$AY7)*(1+$AZ7)+(($BA7+$BB7)/2*IF($G$1="牵丝",$AJ7,$AH7)+IF($G$1="牵丝",$AK7*1.5,0))*(1+$BC7)*(1+$BD7)+(($BE7+$BF7)/2*IF($G$1="破竹",$AJ7,$AH7)+IF($G$1="破竹",$AK7*1.5,0))*(1+$BG7)*(1+$BH7))*(1+$AL7)*$P7*(1+IF(VLOOKUP($Q7,武学奇术!$A:$ZZ,30,FALSE)="蓄力技",#REF!,0))*(1+$BQ7)</f>
        <v>118461.51624726</v>
      </c>
      <c r="O7" s="38">
        <f>((($AN7*$AH7+$AI7)*(1+$AP7)*(1+$AQ7)+($AS7*IF($G$1="鸣金",$AJ7,$AH7)+IF($G$1="鸣金",$AK7*1.5,0))*(1+$AU7)*(1+$AV7)+($AW7*IF($G$1="裂石",$AJ7,$AH7)+IF($G$1="裂石",$AK7*1.5,0))*(1+$AY7)*(1+$AZ7)+($BA7*IF($G$1="牵丝",$AJ7,$AH7)+IF($G$1="牵丝",$AK7*1.5,0))*(1+$BC7)*(1+$BD7)+($BE7*IF($G$1="破竹",$AJ7,$AH7)+IF($G$1="破竹",$AK7*1.5,0))*(1+$BG7)*(1+$BH7))*(1+$AL7))*$P7*(1+IF(VLOOKUP($Q7,武学奇术!$A:$ZZ,30,FALSE)="蓄力技",#REF!,0))*(1+$BQ7)</f>
        <v>102119.638852094</v>
      </c>
      <c r="P7" s="39">
        <v>8</v>
      </c>
      <c r="Q7" s="40" t="s">
        <v>89</v>
      </c>
      <c r="R7" s="40" t="s">
        <v>71</v>
      </c>
      <c r="S7" s="40" t="s">
        <v>72</v>
      </c>
      <c r="T7" s="40" t="s">
        <v>73</v>
      </c>
      <c r="U7" s="40" t="s">
        <v>74</v>
      </c>
      <c r="V7" s="40" t="s">
        <v>75</v>
      </c>
      <c r="W7" s="40" t="s">
        <v>76</v>
      </c>
      <c r="X7" s="40" t="s">
        <v>76</v>
      </c>
      <c r="Y7" s="40" t="s">
        <v>76</v>
      </c>
      <c r="Z7" s="40" t="s">
        <v>76</v>
      </c>
      <c r="AA7" s="40" t="s">
        <v>68</v>
      </c>
      <c r="AB7" s="40" t="s">
        <v>76</v>
      </c>
      <c r="AC7" s="40" t="s">
        <v>76</v>
      </c>
      <c r="AD7" s="40" t="s">
        <v>76</v>
      </c>
      <c r="AE7" s="40" t="s">
        <v>80</v>
      </c>
      <c r="AF7" s="40" t="s">
        <v>81</v>
      </c>
      <c r="AG7" t="str">
        <f>VLOOKUP($Q7,武学奇术!$A:$ZZ,25,FALSE)</f>
        <v>单体奇术</v>
      </c>
      <c r="AH7" s="26">
        <f>VLOOKUP($Q7,武学奇术!$A:$ZZ,26,FALSE)</f>
        <v>1.024</v>
      </c>
      <c r="AI7" s="27">
        <f>VLOOKUP($Q7,武学奇术!$A:$ZZ,27,FALSE)*(1+IF(OR($AG7=$F$4,$AG7=$F$5),$B$21,0))</f>
        <v>203</v>
      </c>
      <c r="AJ7" s="26">
        <f>VLOOKUP($Q7,武学奇术!$A:$ZZ,28,FALSE)</f>
        <v>1.536</v>
      </c>
      <c r="AK7" s="27">
        <f>VLOOKUP($Q7,武学奇术!$A:$ZZ,29,FALSE)*(1+IF(OR($AG7=$F$4,$AG7=$F$5),$B$21,0))</f>
        <v>0</v>
      </c>
      <c r="AL7" s="26" cm="1">
        <f t="array" ref="AL7">$G$3+IFERROR(VLOOKUP($AG7,$F$4:$G$7,2,FALSE),0)+VLOOKUP($Q7,武学奇术!$A:$ZZ,2,FALSE)+SUM(_xlfn.XLOOKUP($R7:$AF7,增益!$A:$A,增益!$B:$B,0))</f>
        <v>0.7419</v>
      </c>
      <c r="AM7" s="26" cm="1">
        <f t="array" ref="AM7">VLOOKUP($Q7,武学奇术!$A:$ZZ,5,FALSE)+SUM(_xlfn.XLOOKUP($R7:$AF7,增益!$A:$A,增益!$E:$E,0))</f>
        <v>0</v>
      </c>
      <c r="AN7" cm="1">
        <f t="array" ref="AN7">$D$10*(1+$AM7)+VLOOKUP($Q7,武学奇术!$A:$ZZ,3,FALSE)+SUM(_xlfn.XLOOKUP($R7:$AF7,增益!$A:$A,增益!$C:$C,0))-$I$2</f>
        <v>3940</v>
      </c>
      <c r="AO7" cm="1">
        <f t="array" ref="AO7">$E$10*(1+$AM7)+VLOOKUP($Q7,武学奇术!$A:$ZZ,4,FALSE)+SUM(_xlfn.XLOOKUP($R7:$AF7,增益!$A:$A,增益!$D:$D,0))-$I$2</f>
        <v>3940</v>
      </c>
      <c r="AP7" s="32" cm="1">
        <f t="array" ref="AP7">IF($F$10-$I$3+VLOOKUP($Q7,武学奇术!$A:$ZZ,6,FALSE)+SUM(_xlfn.XLOOKUP(R7:AF7,增益!$A:$A,增益!$F:$F,0))&gt;0,($F$10-$I$3+VLOOKUP($Q7,武学奇术!$A:$ZZ,6,FALSE)+SUM(_xlfn.XLOOKUP(R7:AF7,增益!$A:$A,增益!$F:$F,0)))/200,($F$10-$I$3+VLOOKUP($Q7,武学奇术!$A:$ZZ,6,FALSE)+SUM(_xlfn.XLOOKUP(R7:AF7,增益!$A:$A,增益!$F:$F,0)))/100)</f>
        <v>0.244</v>
      </c>
      <c r="AQ7" s="32" cm="1">
        <f t="array" ref="AQ7">$G$10+VLOOKUP($Q7,武学奇术!$A:$ZZ,7,FALSE)+SUM(_xlfn.XLOOKUP(R7:AF7,增益!$A:$A,增益!$G:$G,0))</f>
        <v>0</v>
      </c>
      <c r="AR7" s="26" cm="1">
        <f t="array" ref="AR7">VLOOKUP($Q7,武学奇术!$A:$ZZ,8,FALSE)+SUM(_xlfn.XLOOKUP(R7:AF7,增益!$A:$A,增益!$H:$H,0))</f>
        <v>0</v>
      </c>
      <c r="AS7">
        <f t="shared" si="1"/>
        <v>0</v>
      </c>
      <c r="AT7">
        <f t="shared" si="2"/>
        <v>0</v>
      </c>
      <c r="AU7" s="32" cm="1">
        <f t="array" ref="AU7">IF($F$11-$I$4+VLOOKUP($Q7,武学奇术!$A:$ZZ,9,FALSE)+SUM(_xlfn.XLOOKUP(R7:AF7,增益!$A:$A,增益!$I:$I,0))&gt;0,($F$11-$I$4+VLOOKUP($Q7,武学奇术!$A:$ZZ,9,FALSE)+SUM(_xlfn.XLOOKUP(R7:AF7,增益!$A:$A,增益!$I:$I,0)))/200,($F$11-$I$4+VLOOKUP($Q7,武学奇术!$A:$ZZ,9,FALSE)+SUM(_xlfn.XLOOKUP(R7:AF7,增益!$A:$A,增益!$I:$I,0)))/100)</f>
        <v>-0.14</v>
      </c>
      <c r="AV7" s="32" cm="1">
        <f t="array" ref="AV7">$G$11+VLOOKUP($Q7,武学奇术!$A:$ZZ,10,FALSE)+SUM(_xlfn.XLOOKUP(R7:AF7,增益!$A:$A,增益!$J:$J,0))</f>
        <v>0</v>
      </c>
      <c r="AW7">
        <f t="shared" si="3"/>
        <v>0</v>
      </c>
      <c r="AX7">
        <f t="shared" si="4"/>
        <v>0</v>
      </c>
      <c r="AY7" s="32" cm="1">
        <f t="array" ref="AY7">IF($F$12-$I$4+VLOOKUP($Q7,武学奇术!$A:$ZZ,11,FALSE)+SUM(_xlfn.XLOOKUP(R7:AF7,增益!$A:$A,增益!$K:$K,0))&gt;0,($F$12-$I$4+VLOOKUP($Q7,武学奇术!$A:$ZZ,11,FALSE)+SUM(_xlfn.XLOOKUP(R7:AF7,增益!$A:$A,增益!$K:$K,0)))/200,($F$12-$I$4+VLOOKUP($Q7,武学奇术!$A:$ZZ,11,FALSE)+SUM(_xlfn.XLOOKUP(R7:AF7,增益!$A:$A,增益!$K:$K,0)))/100)</f>
        <v>-0.14</v>
      </c>
      <c r="AZ7" s="32" cm="1">
        <f t="array" ref="AZ7">$G$12+VLOOKUP($Q7,武学奇术!$A:$ZZ,12,FALSE)+SUM(_xlfn.XLOOKUP(R7:AF7,增益!$A:$A,增益!$L:$L,0))</f>
        <v>0</v>
      </c>
      <c r="BA7">
        <f t="shared" si="5"/>
        <v>697.4</v>
      </c>
      <c r="BB7">
        <f t="shared" si="6"/>
        <v>1805</v>
      </c>
      <c r="BC7" s="32" cm="1">
        <f t="array" ref="BC7">IF($F$13-$I$4+VLOOKUP($Q7,武学奇术!$A:$ZZ,13,FALSE)+SUM(_xlfn.XLOOKUP(R7:AF7,增益!$A:$A,增益!$M:$M,0))&gt;0,($F$13-$I$4+VLOOKUP($Q7,武学奇术!$A:$ZZ,13,FALSE)+SUM(_xlfn.XLOOKUP(R7:AF7,增益!$A:$A,增益!$K:$K,0)))/200,($F$13-$I$4+VLOOKUP($Q7,武学奇术!$A:$ZZ,13,FALSE)+SUM(_xlfn.XLOOKUP(R7:AF7,增益!$A:$A,增益!$M:$M,0)))/100)</f>
        <v>0.08</v>
      </c>
      <c r="BD7" s="32" cm="1">
        <f t="array" ref="BD7">$G$13+VLOOKUP($Q7,武学奇术!$A:$ZZ,14,FALSE)+SUM(_xlfn.XLOOKUP(R7:AF7,增益!$A:$A,增益!$N:$N,0))</f>
        <v>0.15</v>
      </c>
      <c r="BE7">
        <f t="shared" si="7"/>
        <v>0</v>
      </c>
      <c r="BF7">
        <f t="shared" si="8"/>
        <v>0</v>
      </c>
      <c r="BG7" s="32" cm="1">
        <f t="array" ref="BG7">IF($F$14-$I$4+VLOOKUP($Q7,武学奇术!$A:$ZZ,15,FALSE)+SUM(_xlfn.XLOOKUP(R7:AF7,增益!$A:$A,增益!$O:$O,0))&gt;0,($F$14-$I$4+VLOOKUP($Q7,武学奇术!$A:$ZZ,15,FALSE)+SUM(_xlfn.XLOOKUP(R7:AF7,增益!$A:$A,增益!$O:$O,0)))/200,($F$14-$I$4+VLOOKUP($Q7,武学奇术!$A:$ZZ,15,FALSE)+SUM(_xlfn.XLOOKUP(R7:AF7,增益!$A:$A,增益!$O:$O,0)))/100)</f>
        <v>-0.14</v>
      </c>
      <c r="BH7" s="32" cm="1">
        <f t="array" ref="BH7">$G$14+VLOOKUP($Q7,武学奇术!$A:$ZZ,16,FALSE)+SUM(_xlfn.XLOOKUP(R7:AF7,增益!$A:$A,增益!$P:$P,0))</f>
        <v>0</v>
      </c>
      <c r="BI7" s="26">
        <f>MIN(IF(VLOOKUP($Q7,武学奇术!$A:$ZZ,23,FALSE)=1,100%,$B$8),100%)</f>
        <v>1</v>
      </c>
      <c r="BJ7" s="26" cm="1">
        <f t="array" ref="BJ7">IF(VLOOKUP($Q7,武学奇术!$A:$ZZ,23,FALSE)=1,100%,MIN(80%,$B$9+VLOOKUP($Q7,武学奇术!$A:$ZZ,17,FALSE)+SUM(_xlfn.XLOOKUP(R7:AF7,增益!$A:$A,增益!$Q:$Q,0)))+$B$11+SUM(_xlfn.XLOOKUP(R7:AF7,增益!$A:$A,增益!$U:$U,0)))*IF(VLOOKUP($Q7,武学奇术!$A:$ZZ,24,FALSE)=1,0,1)</f>
        <v>0.892</v>
      </c>
      <c r="BK7" s="26" cm="1">
        <f t="array" ref="BK7">1+$B$13+VLOOKUP($Q7,武学奇术!$A:$ZZ,18,FALSE)+SUM(_xlfn.XLOOKUP(R7:AF7,增益!$A:$A,增益!$R:$R,0))</f>
        <v>1.75</v>
      </c>
      <c r="BL7" s="26" cm="1">
        <f t="array" ref="BL7">IF(VLOOKUP($Q7,武学奇术!$A:$ZZ,24,FALSE)=1,100%,MIN(40%,$B$10+VLOOKUP($Q7,武学奇术!$A:$ZZ,19,FALSE)+SUM(_xlfn.XLOOKUP(R7:AF7,增益!$A:$A,增益!$S:$S,0)))+$B$12+SUM(_xlfn.XLOOKUP(R7:AF7,增益!$A:$A,增益!$V:$V,0)))*IF(VLOOKUP($Q7,武学奇术!$A:$ZZ,23,FALSE)=1,0,1)</f>
        <v>0.0913</v>
      </c>
      <c r="BM7" s="26" cm="1">
        <f t="array" ref="BM7">1+$B$14+VLOOKUP($Q7,武学奇术!$A:$ZZ,20,FALSE)+SUM(_xlfn.XLOOKUP(R7:AF7,增益!$A:$A,增益!$T:$T,0))</f>
        <v>1.35</v>
      </c>
      <c r="BN7" s="26">
        <f t="shared" si="9"/>
        <v>0.892</v>
      </c>
      <c r="BO7" s="26">
        <f t="shared" si="10"/>
        <v>0.0166999999999999</v>
      </c>
      <c r="BP7" s="26">
        <f>IF(VLOOKUP($Q7,武学奇术!$A:$ZZ,22,FALSE)=1,0,(1-$BI7))*(1-$BL7)</f>
        <v>0</v>
      </c>
      <c r="BQ7" s="26" cm="1">
        <f t="array" ref="BQ7">SUM(_xlfn.XLOOKUP(R7:AF7,增益!$A:$A,增益!$W:$W,0))+$I$5</f>
        <v>0.11</v>
      </c>
    </row>
    <row r="8" spans="1:69">
      <c r="A8" s="65" t="s">
        <v>99</v>
      </c>
      <c r="B8" s="66">
        <f>期望!B8</f>
        <v>1.0029</v>
      </c>
      <c r="C8" s="67" t="s">
        <v>100</v>
      </c>
      <c r="D8" s="67"/>
      <c r="E8" s="67"/>
      <c r="F8" s="67"/>
      <c r="G8" s="37"/>
      <c r="H8" s="68" t="s">
        <v>101</v>
      </c>
      <c r="I8" s="20">
        <v>15</v>
      </c>
      <c r="J8" s="69"/>
      <c r="K8" s="38">
        <f t="shared" si="0"/>
        <v>123744.354135081</v>
      </c>
      <c r="L8" s="38">
        <f>((($AN8+$AO8)/2*$AH8+$AI8)*(1+$AP8)*(1+$AQ8)+(($AS8+$AT8)/2*IF($G$1="鸣金",$AJ8,$AH8)+IF($G$1="鸣金",$AK8*1.5,0))*(1+$AU8)*(1+$AV8)+(($AW8+$AX8)/2*IF($G$1="裂石",$AJ8,$AH8)+IF($G$1="裂石",$AK8*1.5,0))*(1+$AY8)*(1+$AZ8)+(($BA8+$BB8)/2*IF($G$1="牵丝",$AJ8,$AH8)+IF($G$1="牵丝",$AK8*1.5,0))*(1+$BC8)*(1+$BD8)+(($BE8+$BF8)/2*IF($G$1="破竹",$AJ8,$AH8)+IF($G$1="破竹",$AK8*1.5,0))*(1+$BG8)*(1+$BH8))*(1+$AL8)*$BK8*$P8*(1+IF(VLOOKUP($Q8,武学奇术!$A:$ZZ,30,FALSE)="蓄力技",#REF!,0))*(1+$BQ8)</f>
        <v>126052.408573496</v>
      </c>
      <c r="M8" s="38">
        <f>(($AO8*$AH8+$AI8)*(1+$AP8)*(1+$AQ8)+($AT8*IF($G$1="鸣金",$AJ8,$AH8)+IF($G$1="鸣金",$AK8*1.5,0))*(1+$AU8)*(1+$AV8)+($AX8*IF($G$1="裂石",$AJ8,$AH8)+IF($G$1="裂石",$AK8*1.5,0))*(1+$AY8)*(1+$AZ8)+($BB8*IF($G$1="牵丝",$AJ8,$AH8)+IF($G$1="牵丝",$AK8*1.5,0))*(1+$BC8)*(1+$BD8)+($BF8*IF($G$1="破竹",$AJ8,$AH8)+IF($G$1="破竹",$AK8*1.5,0))*(1+$BG8)*(1+$BH8))*(1+$AL8)*$BM8*$P8*(1+IF(VLOOKUP($Q8,武学奇术!$A:$ZZ,30,FALSE)="蓄力技",#REF!,0))*(1+$BQ8)</f>
        <v>110653.949178459</v>
      </c>
      <c r="N8" s="38">
        <f>((($AN8+$AO8)/2*$AH8+$AI8)*(1+$AP8)*(1+$AQ8)+(($AS8+$AT8)/2*IF($G$1="鸣金",$AJ8,$AH8)+IF($G$1="鸣金",$AK8*1.5,0))*(1+$AU8)*(1+$AV8)+(($AW8+$AX8)/2*IF($G$1="裂石",$AJ8,$AH8)+IF($G$1="裂石",$AK8*1.5,0))*(1+$AY8)*(1+$AZ8)+(($BA8+$BB8)/2*IF($G$1="牵丝",$AJ8,$AH8)+IF($G$1="牵丝",$AK8*1.5,0))*(1+$BC8)*(1+$BD8)+(($BE8+$BF8)/2*IF($G$1="破竹",$AJ8,$AH8)+IF($G$1="破竹",$AK8*1.5,0))*(1+$BG8)*(1+$BH8))*(1+$AL8)*$P8*(1+IF(VLOOKUP($Q8,武学奇术!$A:$ZZ,30,FALSE)="蓄力技",#REF!,0))*(1+$BQ8)</f>
        <v>72029.9477562833</v>
      </c>
      <c r="O8" s="38">
        <f>((($AN8*$AH8+$AI8)*(1+$AP8)*(1+$AQ8)+($AS8*IF($G$1="鸣金",$AJ8,$AH8)+IF($G$1="鸣金",$AK8*1.5,0))*(1+$AU8)*(1+$AV8)+($AW8*IF($G$1="裂石",$AJ8,$AH8)+IF($G$1="裂石",$AK8*1.5,0))*(1+$AY8)*(1+$AZ8)+($BA8*IF($G$1="牵丝",$AJ8,$AH8)+IF($G$1="牵丝",$AK8*1.5,0))*(1+$BC8)*(1+$BD8)+($BE8*IF($G$1="破竹",$AJ8,$AH8)+IF($G$1="破竹",$AK8*1.5,0))*(1+$BG8)*(1+$BH8))*(1+$AL8))*$P8*(1+IF(VLOOKUP($Q8,武学奇术!$A:$ZZ,30,FALSE)="蓄力技",#REF!,0))*(1+$BQ8)</f>
        <v>62094.0072322265</v>
      </c>
      <c r="P8" s="39">
        <v>2</v>
      </c>
      <c r="Q8" s="40" t="s">
        <v>92</v>
      </c>
      <c r="R8" s="40" t="s">
        <v>71</v>
      </c>
      <c r="S8" s="40" t="s">
        <v>72</v>
      </c>
      <c r="T8" s="40" t="s">
        <v>73</v>
      </c>
      <c r="U8" s="40" t="s">
        <v>74</v>
      </c>
      <c r="V8" s="40" t="s">
        <v>75</v>
      </c>
      <c r="W8" s="40" t="s">
        <v>76</v>
      </c>
      <c r="X8" s="40" t="s">
        <v>76</v>
      </c>
      <c r="Y8" s="40" t="s">
        <v>76</v>
      </c>
      <c r="Z8" s="40" t="s">
        <v>76</v>
      </c>
      <c r="AA8" s="40" t="s">
        <v>68</v>
      </c>
      <c r="AB8" s="40" t="s">
        <v>76</v>
      </c>
      <c r="AC8" s="40" t="s">
        <v>76</v>
      </c>
      <c r="AD8" s="40" t="s">
        <v>76</v>
      </c>
      <c r="AE8" s="40" t="s">
        <v>80</v>
      </c>
      <c r="AF8" s="40" t="s">
        <v>81</v>
      </c>
      <c r="AG8" t="str">
        <f>VLOOKUP($Q8,武学奇术!$A:$ZZ,25,FALSE)</f>
        <v>单体奇术</v>
      </c>
      <c r="AH8" s="26">
        <f>VLOOKUP($Q8,武学奇术!$A:$ZZ,26,FALSE)</f>
        <v>1.7066</v>
      </c>
      <c r="AI8" s="27">
        <f>VLOOKUP($Q8,武学奇术!$A:$ZZ,27,FALSE)*(1+IF(OR($AG8=$F$4,$AG8=$F$5),$B$21,0))</f>
        <v>339</v>
      </c>
      <c r="AJ8" s="26">
        <f>VLOOKUP($Q8,武学奇术!$A:$ZZ,28,FALSE)</f>
        <v>2.5599</v>
      </c>
      <c r="AK8" s="27">
        <f>VLOOKUP($Q8,武学奇术!$A:$ZZ,29,FALSE)*(1+IF(OR($AG8=$F$4,$AG8=$F$5),$B$21,0))</f>
        <v>0</v>
      </c>
      <c r="AL8" s="26" cm="1">
        <f t="array" ref="AL8">$G$3+IFERROR(VLOOKUP($AG8,$F$4:$G$7,2,FALSE),0)+VLOOKUP($Q8,武学奇术!$A:$ZZ,2,FALSE)+SUM(_xlfn.XLOOKUP($R8:$AF8,增益!$A:$A,增益!$B:$B,0))</f>
        <v>1.5419</v>
      </c>
      <c r="AM8" s="26" cm="1">
        <f t="array" ref="AM8">VLOOKUP($Q8,武学奇术!$A:$ZZ,5,FALSE)+SUM(_xlfn.XLOOKUP($R8:$AF8,增益!$A:$A,增益!$E:$E,0))</f>
        <v>0</v>
      </c>
      <c r="AN8" cm="1">
        <f t="array" ref="AN8">$D$10*(1+$AM8)+VLOOKUP($Q8,武学奇术!$A:$ZZ,3,FALSE)+SUM(_xlfn.XLOOKUP($R8:$AF8,增益!$A:$A,增益!$C:$C,0))-$I$2</f>
        <v>3940</v>
      </c>
      <c r="AO8" cm="1">
        <f t="array" ref="AO8">$E$10*(1+$AM8)+VLOOKUP($Q8,武学奇术!$A:$ZZ,4,FALSE)+SUM(_xlfn.XLOOKUP($R8:$AF8,增益!$A:$A,增益!$D:$D,0))-$I$2</f>
        <v>3940</v>
      </c>
      <c r="AP8" s="32" cm="1">
        <f t="array" ref="AP8">IF($F$10-$I$3+VLOOKUP($Q8,武学奇术!$A:$ZZ,6,FALSE)+SUM(_xlfn.XLOOKUP(R8:AF8,增益!$A:$A,增益!$F:$F,0))&gt;0,($F$10-$I$3+VLOOKUP($Q8,武学奇术!$A:$ZZ,6,FALSE)+SUM(_xlfn.XLOOKUP(R8:AF8,增益!$A:$A,增益!$F:$F,0)))/200,($F$10-$I$3+VLOOKUP($Q8,武学奇术!$A:$ZZ,6,FALSE)+SUM(_xlfn.XLOOKUP(R8:AF8,增益!$A:$A,增益!$F:$F,0)))/100)</f>
        <v>0.244</v>
      </c>
      <c r="AQ8" s="32" cm="1">
        <f t="array" ref="AQ8">$G$10+VLOOKUP($Q8,武学奇术!$A:$ZZ,7,FALSE)+SUM(_xlfn.XLOOKUP(R8:AF8,增益!$A:$A,增益!$G:$G,0))</f>
        <v>0</v>
      </c>
      <c r="AR8" s="26" cm="1">
        <f t="array" ref="AR8">VLOOKUP($Q8,武学奇术!$A:$ZZ,8,FALSE)+SUM(_xlfn.XLOOKUP(R8:AF8,增益!$A:$A,增益!$H:$H,0))</f>
        <v>0</v>
      </c>
      <c r="AS8">
        <f t="shared" si="1"/>
        <v>0</v>
      </c>
      <c r="AT8">
        <f t="shared" si="2"/>
        <v>0</v>
      </c>
      <c r="AU8" s="32" cm="1">
        <f t="array" ref="AU8">IF($F$11-$I$4+VLOOKUP($Q8,武学奇术!$A:$ZZ,9,FALSE)+SUM(_xlfn.XLOOKUP(R8:AF8,增益!$A:$A,增益!$I:$I,0))&gt;0,($F$11-$I$4+VLOOKUP($Q8,武学奇术!$A:$ZZ,9,FALSE)+SUM(_xlfn.XLOOKUP(R8:AF8,增益!$A:$A,增益!$I:$I,0)))/200,($F$11-$I$4+VLOOKUP($Q8,武学奇术!$A:$ZZ,9,FALSE)+SUM(_xlfn.XLOOKUP(R8:AF8,增益!$A:$A,增益!$I:$I,0)))/100)</f>
        <v>-0.14</v>
      </c>
      <c r="AV8" s="32" cm="1">
        <f t="array" ref="AV8">$G$11+VLOOKUP($Q8,武学奇术!$A:$ZZ,10,FALSE)+SUM(_xlfn.XLOOKUP(R8:AF8,增益!$A:$A,增益!$J:$J,0))</f>
        <v>0</v>
      </c>
      <c r="AW8">
        <f t="shared" si="3"/>
        <v>0</v>
      </c>
      <c r="AX8">
        <f t="shared" si="4"/>
        <v>0</v>
      </c>
      <c r="AY8" s="32" cm="1">
        <f t="array" ref="AY8">IF($F$12-$I$4+VLOOKUP($Q8,武学奇术!$A:$ZZ,11,FALSE)+SUM(_xlfn.XLOOKUP(R8:AF8,增益!$A:$A,增益!$K:$K,0))&gt;0,($F$12-$I$4+VLOOKUP($Q8,武学奇术!$A:$ZZ,11,FALSE)+SUM(_xlfn.XLOOKUP(R8:AF8,增益!$A:$A,增益!$K:$K,0)))/200,($F$12-$I$4+VLOOKUP($Q8,武学奇术!$A:$ZZ,11,FALSE)+SUM(_xlfn.XLOOKUP(R8:AF8,增益!$A:$A,增益!$K:$K,0)))/100)</f>
        <v>-0.14</v>
      </c>
      <c r="AZ8" s="32" cm="1">
        <f t="array" ref="AZ8">$G$12+VLOOKUP($Q8,武学奇术!$A:$ZZ,12,FALSE)+SUM(_xlfn.XLOOKUP(R8:AF8,增益!$A:$A,增益!$L:$L,0))</f>
        <v>0</v>
      </c>
      <c r="BA8">
        <f t="shared" si="5"/>
        <v>697.4</v>
      </c>
      <c r="BB8">
        <f t="shared" si="6"/>
        <v>1805</v>
      </c>
      <c r="BC8" s="32" cm="1">
        <f t="array" ref="BC8">IF($F$13-$I$4+VLOOKUP($Q8,武学奇术!$A:$ZZ,13,FALSE)+SUM(_xlfn.XLOOKUP(R8:AF8,增益!$A:$A,增益!$M:$M,0))&gt;0,($F$13-$I$4+VLOOKUP($Q8,武学奇术!$A:$ZZ,13,FALSE)+SUM(_xlfn.XLOOKUP(R8:AF8,增益!$A:$A,增益!$K:$K,0)))/200,($F$13-$I$4+VLOOKUP($Q8,武学奇术!$A:$ZZ,13,FALSE)+SUM(_xlfn.XLOOKUP(R8:AF8,增益!$A:$A,增益!$M:$M,0)))/100)</f>
        <v>0.08</v>
      </c>
      <c r="BD8" s="32" cm="1">
        <f t="array" ref="BD8">$G$13+VLOOKUP($Q8,武学奇术!$A:$ZZ,14,FALSE)+SUM(_xlfn.XLOOKUP(R8:AF8,增益!$A:$A,增益!$N:$N,0))</f>
        <v>0.15</v>
      </c>
      <c r="BE8">
        <f t="shared" si="7"/>
        <v>0</v>
      </c>
      <c r="BF8">
        <f t="shared" si="8"/>
        <v>0</v>
      </c>
      <c r="BG8" s="32" cm="1">
        <f t="array" ref="BG8">IF($F$14-$I$4+VLOOKUP($Q8,武学奇术!$A:$ZZ,15,FALSE)+SUM(_xlfn.XLOOKUP(R8:AF8,增益!$A:$A,增益!$O:$O,0))&gt;0,($F$14-$I$4+VLOOKUP($Q8,武学奇术!$A:$ZZ,15,FALSE)+SUM(_xlfn.XLOOKUP(R8:AF8,增益!$A:$A,增益!$O:$O,0)))/200,($F$14-$I$4+VLOOKUP($Q8,武学奇术!$A:$ZZ,15,FALSE)+SUM(_xlfn.XLOOKUP(R8:AF8,增益!$A:$A,增益!$O:$O,0)))/100)</f>
        <v>-0.14</v>
      </c>
      <c r="BH8" s="32" cm="1">
        <f t="array" ref="BH8">$G$14+VLOOKUP($Q8,武学奇术!$A:$ZZ,16,FALSE)+SUM(_xlfn.XLOOKUP(R8:AF8,增益!$A:$A,增益!$P:$P,0))</f>
        <v>0</v>
      </c>
      <c r="BI8" s="26">
        <f>MIN(IF(VLOOKUP($Q8,武学奇术!$A:$ZZ,23,FALSE)=1,100%,$B$8),100%)</f>
        <v>1</v>
      </c>
      <c r="BJ8" s="26" cm="1">
        <f t="array" ref="BJ8">IF(VLOOKUP($Q8,武学奇术!$A:$ZZ,23,FALSE)=1,100%,MIN(80%,$B$9+VLOOKUP($Q8,武学奇术!$A:$ZZ,17,FALSE)+SUM(_xlfn.XLOOKUP(R8:AF8,增益!$A:$A,增益!$Q:$Q,0)))+$B$11+SUM(_xlfn.XLOOKUP(R8:AF8,增益!$A:$A,增益!$U:$U,0)))*IF(VLOOKUP($Q8,武学奇术!$A:$ZZ,24,FALSE)=1,0,1)</f>
        <v>0.892</v>
      </c>
      <c r="BK8" s="26" cm="1">
        <f t="array" ref="BK8">1+$B$13+VLOOKUP($Q8,武学奇术!$A:$ZZ,18,FALSE)+SUM(_xlfn.XLOOKUP(R8:AF8,增益!$A:$A,增益!$R:$R,0))</f>
        <v>1.75</v>
      </c>
      <c r="BL8" s="26" cm="1">
        <f t="array" ref="BL8">IF(VLOOKUP($Q8,武学奇术!$A:$ZZ,24,FALSE)=1,100%,MIN(40%,$B$10+VLOOKUP($Q8,武学奇术!$A:$ZZ,19,FALSE)+SUM(_xlfn.XLOOKUP(R8:AF8,增益!$A:$A,增益!$S:$S,0)))+$B$12+SUM(_xlfn.XLOOKUP(R8:AF8,增益!$A:$A,增益!$V:$V,0)))*IF(VLOOKUP($Q8,武学奇术!$A:$ZZ,23,FALSE)=1,0,1)</f>
        <v>0.0913</v>
      </c>
      <c r="BM8" s="26" cm="1">
        <f t="array" ref="BM8">1+$B$14+VLOOKUP($Q8,武学奇术!$A:$ZZ,20,FALSE)+SUM(_xlfn.XLOOKUP(R8:AF8,增益!$A:$A,增益!$T:$T,0))</f>
        <v>1.35</v>
      </c>
      <c r="BN8" s="26">
        <f t="shared" si="9"/>
        <v>0.892</v>
      </c>
      <c r="BO8" s="26">
        <f t="shared" si="10"/>
        <v>0.0166999999999999</v>
      </c>
      <c r="BP8" s="26">
        <f>IF(VLOOKUP($Q8,武学奇术!$A:$ZZ,22,FALSE)=1,0,(1-$BI8))*(1-$BL8)</f>
        <v>0</v>
      </c>
      <c r="BQ8" s="26" cm="1">
        <f t="array" ref="BQ8">SUM(_xlfn.XLOOKUP(R8:AF8,增益!$A:$A,增益!$W:$W,0))+$I$5</f>
        <v>0.11</v>
      </c>
    </row>
    <row r="9" spans="1:69">
      <c r="A9" s="41" t="s">
        <v>102</v>
      </c>
      <c r="B9" s="70">
        <f>期望!B9</f>
        <v>0.7705</v>
      </c>
      <c r="C9" s="12"/>
      <c r="D9" t="s">
        <v>0</v>
      </c>
      <c r="E9" t="s">
        <v>1</v>
      </c>
      <c r="F9" s="39" t="s">
        <v>2</v>
      </c>
      <c r="G9" s="44" t="s">
        <v>3</v>
      </c>
      <c r="H9" s="71"/>
      <c r="I9" s="22"/>
      <c r="J9" s="72"/>
      <c r="K9" s="38">
        <f t="shared" si="0"/>
        <v>399745.27054539</v>
      </c>
      <c r="L9" s="38">
        <f>((($AN9+$AO9)/2*$AH9+$AI9)*(1+$AP9)*(1+$AQ9)+(($AS9+$AT9)/2*IF($G$1="鸣金",$AJ9,$AH9)+IF($G$1="鸣金",$AK9*1.5,0))*(1+$AU9)*(1+$AV9)+(($AW9+$AX9)/2*IF($G$1="裂石",$AJ9,$AH9)+IF($G$1="裂石",$AK9*1.5,0))*(1+$AY9)*(1+$AZ9)+(($BA9+$BB9)/2*IF($G$1="牵丝",$AJ9,$AH9)+IF($G$1="牵丝",$AK9*1.5,0))*(1+$BC9)*(1+$BD9)+(($BE9+$BF9)/2*IF($G$1="破竹",$AJ9,$AH9)+IF($G$1="破竹",$AK9*1.5,0))*(1+$BG9)*(1+$BH9))*(1+$AL9)*$BK9*$P9*(1+IF(VLOOKUP($Q9,武学奇术!$A:$ZZ,30,FALSE)="蓄力技",#REF!,0))*(1+$BQ9)</f>
        <v>407200.974245973</v>
      </c>
      <c r="M9" s="38">
        <f>(($AO9*$AH9+$AI9)*(1+$AP9)*(1+$AQ9)+($AT9*IF($G$1="鸣金",$AJ9,$AH9)+IF($G$1="鸣金",$AK9*1.5,0))*(1+$AU9)*(1+$AV9)+($AX9*IF($G$1="裂石",$AJ9,$AH9)+IF($G$1="裂石",$AK9*1.5,0))*(1+$AY9)*(1+$AZ9)+($BB9*IF($G$1="牵丝",$AJ9,$AH9)+IF($G$1="牵丝",$AK9*1.5,0))*(1+$BC9)*(1+$BD9)+($BF9*IF($G$1="破竹",$AJ9,$AH9)+IF($G$1="破竹",$AK9*1.5,0))*(1+$BG9)*(1+$BH9))*(1+$AL9)*$BM9*$P9*(1+IF(VLOOKUP($Q9,武学奇术!$A:$ZZ,30,FALSE)="蓄力技",#REF!,0))*(1+$BQ9)</f>
        <v>357460.468700114</v>
      </c>
      <c r="N9" s="38">
        <f>((($AN9+$AO9)/2*$AH9+$AI9)*(1+$AP9)*(1+$AQ9)+(($AS9+$AT9)/2*IF($G$1="鸣金",$AJ9,$AH9)+IF($G$1="鸣金",$AK9*1.5,0))*(1+$AU9)*(1+$AV9)+(($AW9+$AX9)/2*IF($G$1="裂石",$AJ9,$AH9)+IF($G$1="裂石",$AK9*1.5,0))*(1+$AY9)*(1+$AZ9)+(($BA9+$BB9)/2*IF($G$1="牵丝",$AJ9,$AH9)+IF($G$1="牵丝",$AK9*1.5,0))*(1+$BC9)*(1+$BD9)+(($BE9+$BF9)/2*IF($G$1="破竹",$AJ9,$AH9)+IF($G$1="破竹",$AK9*1.5,0))*(1+$BG9)*(1+$BH9))*(1+$AL9)*$P9*(1+IF(VLOOKUP($Q9,武学奇术!$A:$ZZ,30,FALSE)="蓄力技",#REF!,0))*(1+$BQ9)</f>
        <v>232686.270997699</v>
      </c>
      <c r="O9" s="38">
        <f>((($AN9*$AH9+$AI9)*(1+$AP9)*(1+$AQ9)+($AS9*IF($G$1="鸣金",$AJ9,$AH9)+IF($G$1="鸣金",$AK9*1.5,0))*(1+$AU9)*(1+$AV9)+($AW9*IF($G$1="裂石",$AJ9,$AH9)+IF($G$1="裂石",$AK9*1.5,0))*(1+$AY9)*(1+$AZ9)+($BA9*IF($G$1="牵丝",$AJ9,$AH9)+IF($G$1="牵丝",$AK9*1.5,0))*(1+$BC9)*(1+$BD9)+($BE9*IF($G$1="破竹",$AJ9,$AH9)+IF($G$1="破竹",$AK9*1.5,0))*(1+$BG9)*(1+$BH9))*(1+$AL9))*$P9*(1+IF(VLOOKUP($Q9,武学奇术!$A:$ZZ,30,FALSE)="蓄力技",#REF!,0))*(1+$BQ9)</f>
        <v>200587.009624943</v>
      </c>
      <c r="P9" s="39">
        <v>10</v>
      </c>
      <c r="Q9" s="40" t="s">
        <v>95</v>
      </c>
      <c r="R9" s="40" t="s">
        <v>71</v>
      </c>
      <c r="S9" s="40" t="s">
        <v>72</v>
      </c>
      <c r="T9" s="40" t="s">
        <v>73</v>
      </c>
      <c r="U9" s="40" t="s">
        <v>74</v>
      </c>
      <c r="V9" s="40" t="s">
        <v>75</v>
      </c>
      <c r="W9" s="40" t="s">
        <v>76</v>
      </c>
      <c r="X9" s="40" t="s">
        <v>76</v>
      </c>
      <c r="Y9" s="40" t="s">
        <v>76</v>
      </c>
      <c r="Z9" s="40" t="s">
        <v>76</v>
      </c>
      <c r="AA9" s="40" t="s">
        <v>68</v>
      </c>
      <c r="AB9" s="40" t="s">
        <v>76</v>
      </c>
      <c r="AC9" s="40" t="s">
        <v>76</v>
      </c>
      <c r="AD9" s="40" t="s">
        <v>76</v>
      </c>
      <c r="AE9" s="40" t="s">
        <v>80</v>
      </c>
      <c r="AF9" s="40" t="s">
        <v>81</v>
      </c>
      <c r="AG9" t="str">
        <f>VLOOKUP($Q9,武学奇术!$A:$ZZ,25,FALSE)</f>
        <v>单体奇术</v>
      </c>
      <c r="AH9" s="26">
        <f>VLOOKUP($Q9,武学奇术!$A:$ZZ,26,FALSE)</f>
        <v>1.6091</v>
      </c>
      <c r="AI9" s="27">
        <f>VLOOKUP($Q9,武学奇术!$A:$ZZ,27,FALSE)*(1+IF(OR($AG9=$F$4,$AG9=$F$5),$B$21,0))</f>
        <v>319</v>
      </c>
      <c r="AJ9" s="26">
        <f>VLOOKUP($Q9,武学奇术!$A:$ZZ,28,FALSE)</f>
        <v>2.41365</v>
      </c>
      <c r="AK9" s="27">
        <f>VLOOKUP($Q9,武学奇术!$A:$ZZ,29,FALSE)*(1+IF(OR($AG9=$F$4,$AG9=$F$5),$B$21,0))</f>
        <v>0</v>
      </c>
      <c r="AL9" s="26" cm="1">
        <f t="array" ref="AL9">$G$3+IFERROR(VLOOKUP($AG9,$F$4:$G$7,2,FALSE),0)+VLOOKUP($Q9,武学奇术!$A:$ZZ,2,FALSE)+SUM(_xlfn.XLOOKUP($R9:$AF9,增益!$A:$A,增益!$B:$B,0))</f>
        <v>0.7419</v>
      </c>
      <c r="AM9" s="26" cm="1">
        <f t="array" ref="AM9">VLOOKUP($Q9,武学奇术!$A:$ZZ,5,FALSE)+SUM(_xlfn.XLOOKUP($R9:$AF9,增益!$A:$A,增益!$E:$E,0))</f>
        <v>0</v>
      </c>
      <c r="AN9" cm="1">
        <f t="array" ref="AN9">$D$10*(1+$AM9)+VLOOKUP($Q9,武学奇术!$A:$ZZ,3,FALSE)+SUM(_xlfn.XLOOKUP($R9:$AF9,增益!$A:$A,增益!$C:$C,0))-$I$2</f>
        <v>3940</v>
      </c>
      <c r="AO9" cm="1">
        <f t="array" ref="AO9">$E$10*(1+$AM9)+VLOOKUP($Q9,武学奇术!$A:$ZZ,4,FALSE)+SUM(_xlfn.XLOOKUP($R9:$AF9,增益!$A:$A,增益!$D:$D,0))-$I$2</f>
        <v>3940</v>
      </c>
      <c r="AP9" s="32" cm="1">
        <f t="array" ref="AP9">IF($F$10-$I$3+VLOOKUP($Q9,武学奇术!$A:$ZZ,6,FALSE)+SUM(_xlfn.XLOOKUP(R9:AF9,增益!$A:$A,增益!$F:$F,0))&gt;0,($F$10-$I$3+VLOOKUP($Q9,武学奇术!$A:$ZZ,6,FALSE)+SUM(_xlfn.XLOOKUP(R9:AF9,增益!$A:$A,增益!$F:$F,0)))/200,($F$10-$I$3+VLOOKUP($Q9,武学奇术!$A:$ZZ,6,FALSE)+SUM(_xlfn.XLOOKUP(R9:AF9,增益!$A:$A,增益!$F:$F,0)))/100)</f>
        <v>0.244</v>
      </c>
      <c r="AQ9" s="32" cm="1">
        <f t="array" ref="AQ9">$G$10+VLOOKUP($Q9,武学奇术!$A:$ZZ,7,FALSE)+SUM(_xlfn.XLOOKUP(R9:AF9,增益!$A:$A,增益!$G:$G,0))</f>
        <v>0</v>
      </c>
      <c r="AR9" s="26" cm="1">
        <f t="array" ref="AR9">VLOOKUP($Q9,武学奇术!$A:$ZZ,8,FALSE)+SUM(_xlfn.XLOOKUP(R9:AF9,增益!$A:$A,增益!$H:$H,0))</f>
        <v>0</v>
      </c>
      <c r="AS9">
        <f t="shared" si="1"/>
        <v>0</v>
      </c>
      <c r="AT9">
        <f t="shared" si="2"/>
        <v>0</v>
      </c>
      <c r="AU9" s="32" cm="1">
        <f t="array" ref="AU9">IF($F$11-$I$4+VLOOKUP($Q9,武学奇术!$A:$ZZ,9,FALSE)+SUM(_xlfn.XLOOKUP(R9:AF9,增益!$A:$A,增益!$I:$I,0))&gt;0,($F$11-$I$4+VLOOKUP($Q9,武学奇术!$A:$ZZ,9,FALSE)+SUM(_xlfn.XLOOKUP(R9:AF9,增益!$A:$A,增益!$I:$I,0)))/200,($F$11-$I$4+VLOOKUP($Q9,武学奇术!$A:$ZZ,9,FALSE)+SUM(_xlfn.XLOOKUP(R9:AF9,增益!$A:$A,增益!$I:$I,0)))/100)</f>
        <v>-0.14</v>
      </c>
      <c r="AV9" s="32" cm="1">
        <f t="array" ref="AV9">$G$11+VLOOKUP($Q9,武学奇术!$A:$ZZ,10,FALSE)+SUM(_xlfn.XLOOKUP(R9:AF9,增益!$A:$A,增益!$J:$J,0))</f>
        <v>0</v>
      </c>
      <c r="AW9">
        <f t="shared" si="3"/>
        <v>0</v>
      </c>
      <c r="AX9">
        <f t="shared" si="4"/>
        <v>0</v>
      </c>
      <c r="AY9" s="32" cm="1">
        <f t="array" ref="AY9">IF($F$12-$I$4+VLOOKUP($Q9,武学奇术!$A:$ZZ,11,FALSE)+SUM(_xlfn.XLOOKUP(R9:AF9,增益!$A:$A,增益!$K:$K,0))&gt;0,($F$12-$I$4+VLOOKUP($Q9,武学奇术!$A:$ZZ,11,FALSE)+SUM(_xlfn.XLOOKUP(R9:AF9,增益!$A:$A,增益!$K:$K,0)))/200,($F$12-$I$4+VLOOKUP($Q9,武学奇术!$A:$ZZ,11,FALSE)+SUM(_xlfn.XLOOKUP(R9:AF9,增益!$A:$A,增益!$K:$K,0)))/100)</f>
        <v>-0.14</v>
      </c>
      <c r="AZ9" s="32" cm="1">
        <f t="array" ref="AZ9">$G$12+VLOOKUP($Q9,武学奇术!$A:$ZZ,12,FALSE)+SUM(_xlfn.XLOOKUP(R9:AF9,增益!$A:$A,增益!$L:$L,0))</f>
        <v>0</v>
      </c>
      <c r="BA9">
        <f t="shared" si="5"/>
        <v>697.4</v>
      </c>
      <c r="BB9">
        <f t="shared" si="6"/>
        <v>1805</v>
      </c>
      <c r="BC9" s="32" cm="1">
        <f t="array" ref="BC9">IF($F$13-$I$4+VLOOKUP($Q9,武学奇术!$A:$ZZ,13,FALSE)+SUM(_xlfn.XLOOKUP(R9:AF9,增益!$A:$A,增益!$M:$M,0))&gt;0,($F$13-$I$4+VLOOKUP($Q9,武学奇术!$A:$ZZ,13,FALSE)+SUM(_xlfn.XLOOKUP(R9:AF9,增益!$A:$A,增益!$K:$K,0)))/200,($F$13-$I$4+VLOOKUP($Q9,武学奇术!$A:$ZZ,13,FALSE)+SUM(_xlfn.XLOOKUP(R9:AF9,增益!$A:$A,增益!$M:$M,0)))/100)</f>
        <v>0.08</v>
      </c>
      <c r="BD9" s="32" cm="1">
        <f t="array" ref="BD9">$G$13+VLOOKUP($Q9,武学奇术!$A:$ZZ,14,FALSE)+SUM(_xlfn.XLOOKUP(R9:AF9,增益!$A:$A,增益!$N:$N,0))</f>
        <v>0.15</v>
      </c>
      <c r="BE9">
        <f t="shared" si="7"/>
        <v>0</v>
      </c>
      <c r="BF9">
        <f t="shared" si="8"/>
        <v>0</v>
      </c>
      <c r="BG9" s="32" cm="1">
        <f t="array" ref="BG9">IF($F$14-$I$4+VLOOKUP($Q9,武学奇术!$A:$ZZ,15,FALSE)+SUM(_xlfn.XLOOKUP(R9:AF9,增益!$A:$A,增益!$O:$O,0))&gt;0,($F$14-$I$4+VLOOKUP($Q9,武学奇术!$A:$ZZ,15,FALSE)+SUM(_xlfn.XLOOKUP(R9:AF9,增益!$A:$A,增益!$O:$O,0)))/200,($F$14-$I$4+VLOOKUP($Q9,武学奇术!$A:$ZZ,15,FALSE)+SUM(_xlfn.XLOOKUP(R9:AF9,增益!$A:$A,增益!$O:$O,0)))/100)</f>
        <v>-0.14</v>
      </c>
      <c r="BH9" s="32" cm="1">
        <f t="array" ref="BH9">$G$14+VLOOKUP($Q9,武学奇术!$A:$ZZ,16,FALSE)+SUM(_xlfn.XLOOKUP(R9:AF9,增益!$A:$A,增益!$P:$P,0))</f>
        <v>0</v>
      </c>
      <c r="BI9" s="26">
        <f>MIN(IF(VLOOKUP($Q9,武学奇术!$A:$ZZ,23,FALSE)=1,100%,$B$8),100%)</f>
        <v>1</v>
      </c>
      <c r="BJ9" s="26" cm="1">
        <f t="array" ref="BJ9">IF(VLOOKUP($Q9,武学奇术!$A:$ZZ,23,FALSE)=1,100%,MIN(80%,$B$9+VLOOKUP($Q9,武学奇术!$A:$ZZ,17,FALSE)+SUM(_xlfn.XLOOKUP(R9:AF9,增益!$A:$A,增益!$Q:$Q,0)))+$B$11+SUM(_xlfn.XLOOKUP(R9:AF9,增益!$A:$A,增益!$U:$U,0)))*IF(VLOOKUP($Q9,武学奇术!$A:$ZZ,24,FALSE)=1,0,1)</f>
        <v>0.892</v>
      </c>
      <c r="BK9" s="26" cm="1">
        <f t="array" ref="BK9">1+$B$13+VLOOKUP($Q9,武学奇术!$A:$ZZ,18,FALSE)+SUM(_xlfn.XLOOKUP(R9:AF9,增益!$A:$A,增益!$R:$R,0))</f>
        <v>1.75</v>
      </c>
      <c r="BL9" s="26" cm="1">
        <f t="array" ref="BL9">IF(VLOOKUP($Q9,武学奇术!$A:$ZZ,24,FALSE)=1,100%,MIN(40%,$B$10+VLOOKUP($Q9,武学奇术!$A:$ZZ,19,FALSE)+SUM(_xlfn.XLOOKUP(R9:AF9,增益!$A:$A,增益!$S:$S,0)))+$B$12+SUM(_xlfn.XLOOKUP(R9:AF9,增益!$A:$A,增益!$V:$V,0)))*IF(VLOOKUP($Q9,武学奇术!$A:$ZZ,23,FALSE)=1,0,1)</f>
        <v>0.0913</v>
      </c>
      <c r="BM9" s="26" cm="1">
        <f t="array" ref="BM9">1+$B$14+VLOOKUP($Q9,武学奇术!$A:$ZZ,20,FALSE)+SUM(_xlfn.XLOOKUP(R9:AF9,增益!$A:$A,增益!$T:$T,0))</f>
        <v>1.35</v>
      </c>
      <c r="BN9" s="26">
        <f t="shared" si="9"/>
        <v>0.892</v>
      </c>
      <c r="BO9" s="26">
        <f t="shared" si="10"/>
        <v>0.0166999999999999</v>
      </c>
      <c r="BP9" s="26">
        <f>IF(VLOOKUP($Q9,武学奇术!$A:$ZZ,22,FALSE)=1,0,(1-$BI9))*(1-$BL9)</f>
        <v>0</v>
      </c>
      <c r="BQ9" s="26" cm="1">
        <f t="array" ref="BQ9">SUM(_xlfn.XLOOKUP(R9:AF9,增益!$A:$A,增益!$W:$W,0))+$I$5</f>
        <v>0.11</v>
      </c>
    </row>
    <row r="10" spans="1:69">
      <c r="A10" s="41" t="s">
        <v>103</v>
      </c>
      <c r="B10" s="70">
        <f>期望!B10</f>
        <v>0.0913</v>
      </c>
      <c r="C10" s="12" t="s">
        <v>66</v>
      </c>
      <c r="D10">
        <f>期望!D10</f>
        <v>4560</v>
      </c>
      <c r="E10">
        <f>期望!E10</f>
        <v>4560</v>
      </c>
      <c r="F10">
        <f>期望!F10</f>
        <v>63.8</v>
      </c>
      <c r="G10" s="49">
        <f>期望!G10</f>
        <v>0</v>
      </c>
      <c r="H10" s="68" t="s">
        <v>104</v>
      </c>
      <c r="I10" s="73">
        <f>SUM(K:K)</f>
        <v>1351700.00429888</v>
      </c>
      <c r="J10" s="74"/>
      <c r="K10" s="38">
        <f t="shared" si="0"/>
        <v>76260.2693993358</v>
      </c>
      <c r="L10" s="38">
        <f>((($AN10+$AO10)/2*$AH10+$AI10)*(1+$AP10)*(1+$AQ10)+(($AS10+$AT10)/2*IF($G$1="鸣金",$AJ10,$AH10)+IF($G$1="鸣金",$AK10*1.5,0))*(1+$AU10)*(1+$AV10)+(($AW10+$AX10)/2*IF($G$1="裂石",$AJ10,$AH10)+IF($G$1="裂石",$AK10*1.5,0))*(1+$AY10)*(1+$AZ10)+(($BA10+$BB10)/2*IF($G$1="牵丝",$AJ10,$AH10)+IF($G$1="牵丝",$AK10*1.5,0))*(1+$BC10)*(1+$BD10)+(($BE10+$BF10)/2*IF($G$1="破竹",$AJ10,$AH10)+IF($G$1="破竹",$AK10*1.5,0))*(1+$BG10)*(1+$BH10))*(1+$AL10)*$BK10*$P10*(1+IF(VLOOKUP($Q10,武学奇术!$A:$ZZ,30,FALSE)="蓄力技",#REF!,0))*(1+$BQ10)</f>
        <v>77682.7150553665</v>
      </c>
      <c r="M10" s="38">
        <f>(($AO10*$AH10+$AI10)*(1+$AP10)*(1+$AQ10)+($AT10*IF($G$1="鸣金",$AJ10,$AH10)+IF($G$1="鸣金",$AK10*1.5,0))*(1+$AU10)*(1+$AV10)+($AX10*IF($G$1="裂石",$AJ10,$AH10)+IF($G$1="裂石",$AK10*1.5,0))*(1+$AY10)*(1+$AZ10)+($BB10*IF($G$1="牵丝",$AJ10,$AH10)+IF($G$1="牵丝",$AK10*1.5,0))*(1+$BC10)*(1+$BD10)+($BF10*IF($G$1="破竹",$AJ10,$AH10)+IF($G$1="破竹",$AK10*1.5,0))*(1+$BG10)*(1+$BH10))*(1+$AL10)*$BM10*$P10*(1+IF(VLOOKUP($Q10,武学奇术!$A:$ZZ,30,FALSE)="蓄力技",#REF!,0))*(1+$BQ10)</f>
        <v>68192.4700734536</v>
      </c>
      <c r="N10" s="38">
        <f>((($AN10+$AO10)/2*$AH10+$AI10)*(1+$AP10)*(1+$AQ10)+(($AS10+$AT10)/2*IF($G$1="鸣金",$AJ10,$AH10)+IF($G$1="鸣金",$AK10*1.5,0))*(1+$AU10)*(1+$AV10)+(($AW10+$AX10)/2*IF($G$1="裂石",$AJ10,$AH10)+IF($G$1="裂石",$AK10*1.5,0))*(1+$AY10)*(1+$AZ10)+(($BA10+$BB10)/2*IF($G$1="牵丝",$AJ10,$AH10)+IF($G$1="牵丝",$AK10*1.5,0))*(1+$BC10)*(1+$BD10)+(($BE10+$BF10)/2*IF($G$1="破竹",$AJ10,$AH10)+IF($G$1="破竹",$AK10*1.5,0))*(1+$BG10)*(1+$BH10))*(1+$AL10)*$P10*(1+IF(VLOOKUP($Q10,武学奇术!$A:$ZZ,30,FALSE)="蓄力技",#REF!,0))*(1+$BQ10)</f>
        <v>44390.1228887808</v>
      </c>
      <c r="O10" s="38">
        <f>((($AN10*$AH10+$AI10)*(1+$AP10)*(1+$AQ10)+($AS10*IF($G$1="鸣金",$AJ10,$AH10)+IF($G$1="鸣金",$AK10*1.5,0))*(1+$AU10)*(1+$AV10)+($AW10*IF($G$1="裂石",$AJ10,$AH10)+IF($G$1="裂石",$AK10*1.5,0))*(1+$AY10)*(1+$AZ10)+($BA10*IF($G$1="牵丝",$AJ10,$AH10)+IF($G$1="牵丝",$AK10*1.5,0))*(1+$BC10)*(1+$BD10)+($BE10*IF($G$1="破竹",$AJ10,$AH10)+IF($G$1="破竹",$AK10*1.5,0))*(1+$BG10)*(1+$BH10))*(1+$AL10))*$P10*(1+IF(VLOOKUP($Q10,武学奇术!$A:$ZZ,30,FALSE)="蓄力技",#REF!,0))*(1+$BQ10)</f>
        <v>38267.3049824108</v>
      </c>
      <c r="P10" s="39">
        <v>13</v>
      </c>
      <c r="Q10" s="40" t="s">
        <v>84</v>
      </c>
      <c r="R10" s="40" t="s">
        <v>71</v>
      </c>
      <c r="S10" s="40" t="s">
        <v>72</v>
      </c>
      <c r="T10" s="40" t="s">
        <v>73</v>
      </c>
      <c r="U10" s="40" t="s">
        <v>74</v>
      </c>
      <c r="V10" s="40" t="s">
        <v>75</v>
      </c>
      <c r="W10" s="40" t="s">
        <v>76</v>
      </c>
      <c r="X10" s="40" t="s">
        <v>76</v>
      </c>
      <c r="Y10" s="40" t="s">
        <v>76</v>
      </c>
      <c r="Z10" s="40" t="s">
        <v>76</v>
      </c>
      <c r="AA10" s="40" t="s">
        <v>68</v>
      </c>
      <c r="AB10" s="40" t="s">
        <v>76</v>
      </c>
      <c r="AC10" s="40" t="s">
        <v>76</v>
      </c>
      <c r="AD10" s="40" t="s">
        <v>76</v>
      </c>
      <c r="AE10" s="40" t="s">
        <v>80</v>
      </c>
      <c r="AF10" s="40" t="s">
        <v>81</v>
      </c>
      <c r="AG10" t="str">
        <f>VLOOKUP($Q10,武学奇术!$A:$ZZ,25,FALSE)</f>
        <v>单体奇术</v>
      </c>
      <c r="AH10" s="26">
        <f>VLOOKUP($Q10,武学奇术!$A:$ZZ,26,FALSE)</f>
        <v>0.2361</v>
      </c>
      <c r="AI10" s="27">
        <f>VLOOKUP($Q10,武学奇术!$A:$ZZ,27,FALSE)*(1+IF(OR($AG10=$F$4,$AG10=$F$5),$B$21,0))</f>
        <v>47</v>
      </c>
      <c r="AJ10" s="26">
        <f>VLOOKUP($Q10,武学奇术!$A:$ZZ,28,FALSE)</f>
        <v>0.35415</v>
      </c>
      <c r="AK10" s="27">
        <f>VLOOKUP($Q10,武学奇术!$A:$ZZ,29,FALSE)*(1+IF(OR($AG10=$F$4,$AG10=$F$5),$B$21,0))</f>
        <v>0</v>
      </c>
      <c r="AL10" s="26" cm="1">
        <f t="array" ref="AL10">$G$3+IFERROR(VLOOKUP($AG10,$F$4:$G$7,2,FALSE),0)+VLOOKUP($Q10,武学奇术!$A:$ZZ,2,FALSE)+SUM(_xlfn.XLOOKUP($R10:$AF10,增益!$A:$A,增益!$B:$B,0))</f>
        <v>0.7419</v>
      </c>
      <c r="AM10" s="26" cm="1">
        <f t="array" ref="AM10">VLOOKUP($Q10,武学奇术!$A:$ZZ,5,FALSE)+SUM(_xlfn.XLOOKUP($R10:$AF10,增益!$A:$A,增益!$E:$E,0))</f>
        <v>0</v>
      </c>
      <c r="AN10" cm="1">
        <f t="array" ref="AN10">$D$10*(1+$AM10)+VLOOKUP($Q10,武学奇术!$A:$ZZ,3,FALSE)+SUM(_xlfn.XLOOKUP($R10:$AF10,增益!$A:$A,增益!$C:$C,0))-$I$2</f>
        <v>3940</v>
      </c>
      <c r="AO10" cm="1">
        <f t="array" ref="AO10">$E$10*(1+$AM10)+VLOOKUP($Q10,武学奇术!$A:$ZZ,4,FALSE)+SUM(_xlfn.XLOOKUP($R10:$AF10,增益!$A:$A,增益!$D:$D,0))-$I$2</f>
        <v>3940</v>
      </c>
      <c r="AP10" s="32" cm="1">
        <f t="array" ref="AP10">IF($F$10-$I$3+VLOOKUP($Q10,武学奇术!$A:$ZZ,6,FALSE)+SUM(_xlfn.XLOOKUP(R10:AF10,增益!$A:$A,增益!$F:$F,0))&gt;0,($F$10-$I$3+VLOOKUP($Q10,武学奇术!$A:$ZZ,6,FALSE)+SUM(_xlfn.XLOOKUP(R10:AF10,增益!$A:$A,增益!$F:$F,0)))/200,($F$10-$I$3+VLOOKUP($Q10,武学奇术!$A:$ZZ,6,FALSE)+SUM(_xlfn.XLOOKUP(R10:AF10,增益!$A:$A,增益!$F:$F,0)))/100)</f>
        <v>0.244</v>
      </c>
      <c r="AQ10" s="32" cm="1">
        <f t="array" ref="AQ10">$G$10+VLOOKUP($Q10,武学奇术!$A:$ZZ,7,FALSE)+SUM(_xlfn.XLOOKUP(R10:AF10,增益!$A:$A,增益!$G:$G,0))</f>
        <v>0</v>
      </c>
      <c r="AR10" s="26" cm="1">
        <f t="array" ref="AR10">VLOOKUP($Q10,武学奇术!$A:$ZZ,8,FALSE)+SUM(_xlfn.XLOOKUP(R10:AF10,增益!$A:$A,增益!$H:$H,0))</f>
        <v>0</v>
      </c>
      <c r="AS10">
        <f t="shared" si="1"/>
        <v>0</v>
      </c>
      <c r="AT10">
        <f t="shared" si="2"/>
        <v>0</v>
      </c>
      <c r="AU10" s="32" cm="1">
        <f t="array" ref="AU10">IF($F$11-$I$4+VLOOKUP($Q10,武学奇术!$A:$ZZ,9,FALSE)+SUM(_xlfn.XLOOKUP(R10:AF10,增益!$A:$A,增益!$I:$I,0))&gt;0,($F$11-$I$4+VLOOKUP($Q10,武学奇术!$A:$ZZ,9,FALSE)+SUM(_xlfn.XLOOKUP(R10:AF10,增益!$A:$A,增益!$I:$I,0)))/200,($F$11-$I$4+VLOOKUP($Q10,武学奇术!$A:$ZZ,9,FALSE)+SUM(_xlfn.XLOOKUP(R10:AF10,增益!$A:$A,增益!$I:$I,0)))/100)</f>
        <v>-0.14</v>
      </c>
      <c r="AV10" s="32" cm="1">
        <f t="array" ref="AV10">$G$11+VLOOKUP($Q10,武学奇术!$A:$ZZ,10,FALSE)+SUM(_xlfn.XLOOKUP(R10:AF10,增益!$A:$A,增益!$J:$J,0))</f>
        <v>0</v>
      </c>
      <c r="AW10">
        <f t="shared" si="3"/>
        <v>0</v>
      </c>
      <c r="AX10">
        <f t="shared" si="4"/>
        <v>0</v>
      </c>
      <c r="AY10" s="32" cm="1">
        <f t="array" ref="AY10">IF($F$12-$I$4+VLOOKUP($Q10,武学奇术!$A:$ZZ,11,FALSE)+SUM(_xlfn.XLOOKUP(R10:AF10,增益!$A:$A,增益!$K:$K,0))&gt;0,($F$12-$I$4+VLOOKUP($Q10,武学奇术!$A:$ZZ,11,FALSE)+SUM(_xlfn.XLOOKUP(R10:AF10,增益!$A:$A,增益!$K:$K,0)))/200,($F$12-$I$4+VLOOKUP($Q10,武学奇术!$A:$ZZ,11,FALSE)+SUM(_xlfn.XLOOKUP(R10:AF10,增益!$A:$A,增益!$K:$K,0)))/100)</f>
        <v>-0.14</v>
      </c>
      <c r="AZ10" s="32" cm="1">
        <f t="array" ref="AZ10">$G$12+VLOOKUP($Q10,武学奇术!$A:$ZZ,12,FALSE)+SUM(_xlfn.XLOOKUP(R10:AF10,增益!$A:$A,增益!$L:$L,0))</f>
        <v>0</v>
      </c>
      <c r="BA10">
        <f t="shared" si="5"/>
        <v>697.4</v>
      </c>
      <c r="BB10">
        <f t="shared" si="6"/>
        <v>1805</v>
      </c>
      <c r="BC10" s="32" cm="1">
        <f t="array" ref="BC10">IF($F$13-$I$4+VLOOKUP($Q10,武学奇术!$A:$ZZ,13,FALSE)+SUM(_xlfn.XLOOKUP(R10:AF10,增益!$A:$A,增益!$M:$M,0))&gt;0,($F$13-$I$4+VLOOKUP($Q10,武学奇术!$A:$ZZ,13,FALSE)+SUM(_xlfn.XLOOKUP(R10:AF10,增益!$A:$A,增益!$K:$K,0)))/200,($F$13-$I$4+VLOOKUP($Q10,武学奇术!$A:$ZZ,13,FALSE)+SUM(_xlfn.XLOOKUP(R10:AF10,增益!$A:$A,增益!$M:$M,0)))/100)</f>
        <v>0.08</v>
      </c>
      <c r="BD10" s="32" cm="1">
        <f t="array" ref="BD10">$G$13+VLOOKUP($Q10,武学奇术!$A:$ZZ,14,FALSE)+SUM(_xlfn.XLOOKUP(R10:AF10,增益!$A:$A,增益!$N:$N,0))</f>
        <v>0.15</v>
      </c>
      <c r="BE10">
        <f t="shared" si="7"/>
        <v>0</v>
      </c>
      <c r="BF10">
        <f t="shared" si="8"/>
        <v>0</v>
      </c>
      <c r="BG10" s="32" cm="1">
        <f t="array" ref="BG10">IF($F$14-$I$4+VLOOKUP($Q10,武学奇术!$A:$ZZ,15,FALSE)+SUM(_xlfn.XLOOKUP(R10:AF10,增益!$A:$A,增益!$O:$O,0))&gt;0,($F$14-$I$4+VLOOKUP($Q10,武学奇术!$A:$ZZ,15,FALSE)+SUM(_xlfn.XLOOKUP(R10:AF10,增益!$A:$A,增益!$O:$O,0)))/200,($F$14-$I$4+VLOOKUP($Q10,武学奇术!$A:$ZZ,15,FALSE)+SUM(_xlfn.XLOOKUP(R10:AF10,增益!$A:$A,增益!$O:$O,0)))/100)</f>
        <v>-0.14</v>
      </c>
      <c r="BH10" s="32" cm="1">
        <f t="array" ref="BH10">$G$14+VLOOKUP($Q10,武学奇术!$A:$ZZ,16,FALSE)+SUM(_xlfn.XLOOKUP(R10:AF10,增益!$A:$A,增益!$P:$P,0))</f>
        <v>0</v>
      </c>
      <c r="BI10" s="26">
        <f>MIN(IF(VLOOKUP($Q10,武学奇术!$A:$ZZ,23,FALSE)=1,100%,$B$8),100%)</f>
        <v>1</v>
      </c>
      <c r="BJ10" s="26" cm="1">
        <f t="array" ref="BJ10">IF(VLOOKUP($Q10,武学奇术!$A:$ZZ,23,FALSE)=1,100%,MIN(80%,$B$9+VLOOKUP($Q10,武学奇术!$A:$ZZ,17,FALSE)+SUM(_xlfn.XLOOKUP(R10:AF10,增益!$A:$A,增益!$Q:$Q,0)))+$B$11+SUM(_xlfn.XLOOKUP(R10:AF10,增益!$A:$A,增益!$U:$U,0)))*IF(VLOOKUP($Q10,武学奇术!$A:$ZZ,24,FALSE)=1,0,1)</f>
        <v>0.892</v>
      </c>
      <c r="BK10" s="26" cm="1">
        <f t="array" ref="BK10">1+$B$13+VLOOKUP($Q10,武学奇术!$A:$ZZ,18,FALSE)+SUM(_xlfn.XLOOKUP(R10:AF10,增益!$A:$A,增益!$R:$R,0))</f>
        <v>1.75</v>
      </c>
      <c r="BL10" s="26" cm="1">
        <f t="array" ref="BL10">IF(VLOOKUP($Q10,武学奇术!$A:$ZZ,24,FALSE)=1,100%,MIN(40%,$B$10+VLOOKUP($Q10,武学奇术!$A:$ZZ,19,FALSE)+SUM(_xlfn.XLOOKUP(R10:AF10,增益!$A:$A,增益!$S:$S,0)))+$B$12+SUM(_xlfn.XLOOKUP(R10:AF10,增益!$A:$A,增益!$V:$V,0)))*IF(VLOOKUP($Q10,武学奇术!$A:$ZZ,23,FALSE)=1,0,1)</f>
        <v>0.0913</v>
      </c>
      <c r="BM10" s="26" cm="1">
        <f t="array" ref="BM10">1+$B$14+VLOOKUP($Q10,武学奇术!$A:$ZZ,20,FALSE)+SUM(_xlfn.XLOOKUP(R10:AF10,增益!$A:$A,增益!$T:$T,0))</f>
        <v>1.35</v>
      </c>
      <c r="BN10" s="26">
        <f t="shared" si="9"/>
        <v>0.892</v>
      </c>
      <c r="BO10" s="26">
        <f t="shared" si="10"/>
        <v>0.0166999999999999</v>
      </c>
      <c r="BP10" s="26">
        <f>IF(VLOOKUP($Q10,武学奇术!$A:$ZZ,22,FALSE)=1,0,(1-$BI10))*(1-$BL10)</f>
        <v>0</v>
      </c>
      <c r="BQ10" s="26" cm="1">
        <f t="array" ref="BQ10">SUM(_xlfn.XLOOKUP(R10:AF10,增益!$A:$A,增益!$W:$W,0))+$I$5</f>
        <v>0.11</v>
      </c>
    </row>
    <row r="11" spans="1:69">
      <c r="A11" s="41" t="s">
        <v>105</v>
      </c>
      <c r="B11" s="70">
        <f>期望!B11</f>
        <v>0.092</v>
      </c>
      <c r="C11" s="12" t="s">
        <v>82</v>
      </c>
      <c r="D11">
        <f>期望!D11</f>
        <v>0</v>
      </c>
      <c r="E11">
        <f>期望!E11</f>
        <v>0</v>
      </c>
      <c r="F11">
        <f>期望!F11</f>
        <v>0</v>
      </c>
      <c r="G11" s="49">
        <f>期望!G11</f>
        <v>0</v>
      </c>
      <c r="H11" s="71"/>
      <c r="I11" s="75"/>
      <c r="J11" s="76"/>
      <c r="K11" s="38">
        <f t="shared" si="0"/>
        <v>27159.6109403264</v>
      </c>
      <c r="L11" s="38">
        <f>((($AN11+$AO11)/2*$AH11+$AI11)*(1+$AP11)*(1+$AQ11)+(($AS11+$AT11)/2*IF($G$1="鸣金",$AJ11,$AH11)+IF($G$1="鸣金",$AK11*1.5,0))*(1+$AU11)*(1+$AV11)+(($AW11+$AX11)/2*IF($G$1="裂石",$AJ11,$AH11)+IF($G$1="裂石",$AK11*1.5,0))*(1+$AY11)*(1+$AZ11)+(($BA11+$BB11)/2*IF($G$1="牵丝",$AJ11,$AH11)+IF($G$1="牵丝",$AK11*1.5,0))*(1+$BC11)*(1+$BD11)+(($BE11+$BF11)/2*IF($G$1="破竹",$AJ11,$AH11)+IF($G$1="破竹",$AK11*1.5,0))*(1+$BG11)*(1+$BH11))*(1+$AL11)*$BK11*$P11*(1+IF(VLOOKUP($Q11,武学奇术!$A:$ZZ,30,FALSE)="蓄力技",#REF!,0))*(1+$BQ11)</f>
        <v>27728.6364895176</v>
      </c>
      <c r="M11" s="38">
        <f>(($AO11*$AH11+$AI11)*(1+$AP11)*(1+$AQ11)+($AT11*IF($G$1="鸣金",$AJ11,$AH11)+IF($G$1="鸣金",$AK11*1.5,0))*(1+$AU11)*(1+$AV11)+($AX11*IF($G$1="裂石",$AJ11,$AH11)+IF($G$1="裂石",$AK11*1.5,0))*(1+$AY11)*(1+$AZ11)+($BB11*IF($G$1="牵丝",$AJ11,$AH11)+IF($G$1="牵丝",$AK11*1.5,0))*(1+$BC11)*(1+$BD11)+($BF11*IF($G$1="破竹",$AJ11,$AH11)+IF($G$1="破竹",$AK11*1.5,0))*(1+$BG11)*(1+$BH11))*(1+$AL11)*$BM11*$P11*(1+IF(VLOOKUP($Q11,武学奇术!$A:$ZZ,30,FALSE)="蓄力技",#REF!,0))*(1+$BQ11)</f>
        <v>23669.8441937685</v>
      </c>
      <c r="N11" s="38">
        <f>((($AN11+$AO11)/2*$AH11+$AI11)*(1+$AP11)*(1+$AQ11)+(($AS11+$AT11)/2*IF($G$1="鸣金",$AJ11,$AH11)+IF($G$1="鸣金",$AK11*1.5,0))*(1+$AU11)*(1+$AV11)+(($AW11+$AX11)/2*IF($G$1="裂石",$AJ11,$AH11)+IF($G$1="裂石",$AK11*1.5,0))*(1+$AY11)*(1+$AZ11)+(($BA11+$BB11)/2*IF($G$1="牵丝",$AJ11,$AH11)+IF($G$1="牵丝",$AK11*1.5,0))*(1+$BC11)*(1+$BD11)+(($BE11+$BF11)/2*IF($G$1="破竹",$AJ11,$AH11)+IF($G$1="破竹",$AK11*1.5,0))*(1+$BG11)*(1+$BH11))*(1+$AL11)*$P11*(1+IF(VLOOKUP($Q11,武学奇术!$A:$ZZ,30,FALSE)="蓄力技",#REF!,0))*(1+$BQ11)</f>
        <v>15844.9351368672</v>
      </c>
      <c r="O11" s="38">
        <f>((($AN11*$AH11+$AI11)*(1+$AP11)*(1+$AQ11)+($AS11*IF($G$1="鸣金",$AJ11,$AH11)+IF($G$1="鸣金",$AK11*1.5,0))*(1+$AU11)*(1+$AV11)+($AW11*IF($G$1="裂石",$AJ11,$AH11)+IF($G$1="裂石",$AK11*1.5,0))*(1+$AY11)*(1+$AZ11)+($BA11*IF($G$1="牵丝",$AJ11,$AH11)+IF($G$1="牵丝",$AK11*1.5,0))*(1+$BC11)*(1+$BD11)+($BE11*IF($G$1="破竹",$AJ11,$AH11)+IF($G$1="破竹",$AK11*1.5,0))*(1+$BG11)*(1+$BH11))*(1+$AL11))*$P11*(1+IF(VLOOKUP($Q11,武学奇术!$A:$ZZ,30,FALSE)="蓄力技",#REF!,0))*(1+$BQ11)</f>
        <v>14156.6523524244</v>
      </c>
      <c r="P11" s="39">
        <f>IF($E$20="易水歌",1.5,0)</f>
        <v>1.5</v>
      </c>
      <c r="Q11" s="40" t="s">
        <v>106</v>
      </c>
      <c r="R11" s="40" t="s">
        <v>71</v>
      </c>
      <c r="S11" s="40" t="s">
        <v>72</v>
      </c>
      <c r="T11" s="40" t="s">
        <v>73</v>
      </c>
      <c r="U11" s="40" t="s">
        <v>74</v>
      </c>
      <c r="V11" s="40" t="s">
        <v>76</v>
      </c>
      <c r="W11" s="40" t="s">
        <v>76</v>
      </c>
      <c r="X11" s="40" t="s">
        <v>76</v>
      </c>
      <c r="Y11" s="40" t="s">
        <v>76</v>
      </c>
      <c r="Z11" s="40" t="s">
        <v>76</v>
      </c>
      <c r="AA11" s="40" t="s">
        <v>68</v>
      </c>
      <c r="AB11" s="40" t="s">
        <v>76</v>
      </c>
      <c r="AC11" s="40" t="s">
        <v>76</v>
      </c>
      <c r="AD11" s="40" t="s">
        <v>76</v>
      </c>
      <c r="AE11" s="40" t="s">
        <v>76</v>
      </c>
      <c r="AF11" s="40" t="s">
        <v>81</v>
      </c>
      <c r="AG11" t="str">
        <f>VLOOKUP($Q11,武学奇术!$A:$ZZ,25,FALSE)</f>
        <v>心法</v>
      </c>
      <c r="AH11" s="26">
        <f>VLOOKUP($Q11,武学奇术!$A:$ZZ,26,FALSE)</f>
        <v>1</v>
      </c>
      <c r="AI11" s="27">
        <f>VLOOKUP($Q11,武学奇术!$A:$ZZ,27,FALSE)*(1+IF(OR($AG11=$F$4,$AG11=$F$5),$B$21,0))</f>
        <v>0</v>
      </c>
      <c r="AJ11" s="26">
        <f>VLOOKUP($Q11,武学奇术!$A:$ZZ,28,FALSE)</f>
        <v>1</v>
      </c>
      <c r="AK11" s="27">
        <f>VLOOKUP($Q11,武学奇术!$A:$ZZ,29,FALSE)*(1+IF(OR($AG11=$F$4,$AG11=$F$5),$B$21,0))</f>
        <v>0</v>
      </c>
      <c r="AL11" s="26" cm="1">
        <f t="array" ref="AL11">$G$3+IFERROR(VLOOKUP($AG11,$F$4:$G$7,2,FALSE),0)+VLOOKUP($Q11,武学奇术!$A:$ZZ,2,FALSE)+SUM(_xlfn.XLOOKUP($R11:$AF11,增益!$A:$A,增益!$B:$B,0))</f>
        <v>0.4742</v>
      </c>
      <c r="AM11" s="26" cm="1">
        <f t="array" ref="AM11">VLOOKUP($Q11,武学奇术!$A:$ZZ,5,FALSE)+SUM(_xlfn.XLOOKUP($R11:$AF11,增益!$A:$A,增益!$E:$E,0))</f>
        <v>0</v>
      </c>
      <c r="AN11" cm="1">
        <f t="array" ref="AN11">$D$10*(1+$AM11)+VLOOKUP($Q11,武学奇术!$A:$ZZ,3,FALSE)+SUM(_xlfn.XLOOKUP($R11:$AF11,增益!$A:$A,增益!$C:$C,0))-$I$2</f>
        <v>3940</v>
      </c>
      <c r="AO11" cm="1">
        <f t="array" ref="AO11">$E$10*(1+$AM11)+VLOOKUP($Q11,武学奇术!$A:$ZZ,4,FALSE)+SUM(_xlfn.XLOOKUP($R11:$AF11,增益!$A:$A,增益!$D:$D,0))-$I$2</f>
        <v>3940</v>
      </c>
      <c r="AP11" s="32" cm="1">
        <f t="array" ref="AP11">IF($F$10-$I$3+VLOOKUP($Q11,武学奇术!$A:$ZZ,6,FALSE)+SUM(_xlfn.XLOOKUP(R11:AF11,增益!$A:$A,增益!$F:$F,0))&gt;0,($F$10-$I$3+VLOOKUP($Q11,武学奇术!$A:$ZZ,6,FALSE)+SUM(_xlfn.XLOOKUP(R11:AF11,增益!$A:$A,增益!$F:$F,0)))/200,($F$10-$I$3+VLOOKUP($Q11,武学奇术!$A:$ZZ,6,FALSE)+SUM(_xlfn.XLOOKUP(R11:AF11,增益!$A:$A,增益!$F:$F,0)))/100)</f>
        <v>0.244</v>
      </c>
      <c r="AQ11" s="32" cm="1">
        <f t="array" ref="AQ11">$G$10+VLOOKUP($Q11,武学奇术!$A:$ZZ,7,FALSE)+SUM(_xlfn.XLOOKUP(R11:AF11,增益!$A:$A,增益!$G:$G,0))</f>
        <v>0</v>
      </c>
      <c r="AR11" s="26" cm="1">
        <f t="array" ref="AR11">VLOOKUP($Q11,武学奇术!$A:$ZZ,8,FALSE)+SUM(_xlfn.XLOOKUP(R11:AF11,增益!$A:$A,增益!$H:$H,0))</f>
        <v>0</v>
      </c>
      <c r="AS11">
        <f t="shared" si="1"/>
        <v>0</v>
      </c>
      <c r="AT11">
        <f t="shared" si="2"/>
        <v>0</v>
      </c>
      <c r="AU11" s="32" cm="1">
        <f t="array" ref="AU11">IF($F$11-$I$4+VLOOKUP($Q11,武学奇术!$A:$ZZ,9,FALSE)+SUM(_xlfn.XLOOKUP(R11:AF11,增益!$A:$A,增益!$I:$I,0))&gt;0,($F$11-$I$4+VLOOKUP($Q11,武学奇术!$A:$ZZ,9,FALSE)+SUM(_xlfn.XLOOKUP(R11:AF11,增益!$A:$A,增益!$I:$I,0)))/200,($F$11-$I$4+VLOOKUP($Q11,武学奇术!$A:$ZZ,9,FALSE)+SUM(_xlfn.XLOOKUP(R11:AF11,增益!$A:$A,增益!$I:$I,0)))/100)</f>
        <v>-0.14</v>
      </c>
      <c r="AV11" s="32" cm="1">
        <f t="array" ref="AV11">$G$11+VLOOKUP($Q11,武学奇术!$A:$ZZ,10,FALSE)+SUM(_xlfn.XLOOKUP(R11:AF11,增益!$A:$A,增益!$J:$J,0))</f>
        <v>0</v>
      </c>
      <c r="AW11">
        <f t="shared" si="3"/>
        <v>0</v>
      </c>
      <c r="AX11">
        <f t="shared" si="4"/>
        <v>0</v>
      </c>
      <c r="AY11" s="32" cm="1">
        <f t="array" ref="AY11">IF($F$12-$I$4+VLOOKUP($Q11,武学奇术!$A:$ZZ,11,FALSE)+SUM(_xlfn.XLOOKUP(R11:AF11,增益!$A:$A,增益!$K:$K,0))&gt;0,($F$12-$I$4+VLOOKUP($Q11,武学奇术!$A:$ZZ,11,FALSE)+SUM(_xlfn.XLOOKUP(R11:AF11,增益!$A:$A,增益!$K:$K,0)))/200,($F$12-$I$4+VLOOKUP($Q11,武学奇术!$A:$ZZ,11,FALSE)+SUM(_xlfn.XLOOKUP(R11:AF11,增益!$A:$A,增益!$K:$K,0)))/100)</f>
        <v>-0.14</v>
      </c>
      <c r="AZ11" s="32" cm="1">
        <f t="array" ref="AZ11">$G$12+VLOOKUP($Q11,武学奇术!$A:$ZZ,12,FALSE)+SUM(_xlfn.XLOOKUP(R11:AF11,增益!$A:$A,增益!$L:$L,0))</f>
        <v>0</v>
      </c>
      <c r="BA11">
        <f t="shared" si="5"/>
        <v>697.4</v>
      </c>
      <c r="BB11">
        <f t="shared" si="6"/>
        <v>1805</v>
      </c>
      <c r="BC11" s="32" cm="1">
        <f t="array" ref="BC11">IF($F$13-$I$4+VLOOKUP($Q11,武学奇术!$A:$ZZ,13,FALSE)+SUM(_xlfn.XLOOKUP(R11:AF11,增益!$A:$A,增益!$M:$M,0))&gt;0,($F$13-$I$4+VLOOKUP($Q11,武学奇术!$A:$ZZ,13,FALSE)+SUM(_xlfn.XLOOKUP(R11:AF11,增益!$A:$A,增益!$K:$K,0)))/200,($F$13-$I$4+VLOOKUP($Q11,武学奇术!$A:$ZZ,13,FALSE)+SUM(_xlfn.XLOOKUP(R11:AF11,增益!$A:$A,增益!$M:$M,0)))/100)</f>
        <v>0.08</v>
      </c>
      <c r="BD11" s="32" cm="1">
        <f t="array" ref="BD11">$G$13+VLOOKUP($Q11,武学奇术!$A:$ZZ,14,FALSE)+SUM(_xlfn.XLOOKUP(R11:AF11,增益!$A:$A,增益!$N:$N,0))</f>
        <v>0.15</v>
      </c>
      <c r="BE11">
        <f t="shared" si="7"/>
        <v>0</v>
      </c>
      <c r="BF11">
        <f t="shared" si="8"/>
        <v>0</v>
      </c>
      <c r="BG11" s="32" cm="1">
        <f t="array" ref="BG11">IF($F$14-$I$4+VLOOKUP($Q11,武学奇术!$A:$ZZ,15,FALSE)+SUM(_xlfn.XLOOKUP(R11:AF11,增益!$A:$A,增益!$O:$O,0))&gt;0,($F$14-$I$4+VLOOKUP($Q11,武学奇术!$A:$ZZ,15,FALSE)+SUM(_xlfn.XLOOKUP(R11:AF11,增益!$A:$A,增益!$O:$O,0)))/200,($F$14-$I$4+VLOOKUP($Q11,武学奇术!$A:$ZZ,15,FALSE)+SUM(_xlfn.XLOOKUP(R11:AF11,增益!$A:$A,增益!$O:$O,0)))/100)</f>
        <v>-0.14</v>
      </c>
      <c r="BH11" s="32" cm="1">
        <f t="array" ref="BH11">$G$14+VLOOKUP($Q11,武学奇术!$A:$ZZ,16,FALSE)+SUM(_xlfn.XLOOKUP(R11:AF11,增益!$A:$A,增益!$P:$P,0))</f>
        <v>0</v>
      </c>
      <c r="BI11" s="26">
        <f>MIN(IF(VLOOKUP($Q11,武学奇术!$A:$ZZ,23,FALSE)=1,100%,$B$8),100%)</f>
        <v>1</v>
      </c>
      <c r="BJ11" s="26" cm="1">
        <f t="array" ref="BJ11">IF(VLOOKUP($Q11,武学奇术!$A:$ZZ,23,FALSE)=1,100%,MIN(80%,$B$9+VLOOKUP($Q11,武学奇术!$A:$ZZ,17,FALSE)+SUM(_xlfn.XLOOKUP(R11:AF11,增益!$A:$A,增益!$Q:$Q,0)))+$B$11+SUM(_xlfn.XLOOKUP(R11:AF11,增益!$A:$A,增益!$U:$U,0)))*IF(VLOOKUP($Q11,武学奇术!$A:$ZZ,24,FALSE)=1,0,1)</f>
        <v>0.892</v>
      </c>
      <c r="BK11" s="26" cm="1">
        <f t="array" ref="BK11">1+$B$13+VLOOKUP($Q11,武学奇术!$A:$ZZ,18,FALSE)+SUM(_xlfn.XLOOKUP(R11:AF11,增益!$A:$A,增益!$R:$R,0))</f>
        <v>1.75</v>
      </c>
      <c r="BL11" s="26" cm="1">
        <f t="array" ref="BL11">IF(VLOOKUP($Q11,武学奇术!$A:$ZZ,24,FALSE)=1,100%,MIN(40%,$B$10+VLOOKUP($Q11,武学奇术!$A:$ZZ,19,FALSE)+SUM(_xlfn.XLOOKUP(R11:AF11,增益!$A:$A,增益!$S:$S,0)))+$B$12+SUM(_xlfn.XLOOKUP(R11:AF11,增益!$A:$A,增益!$V:$V,0)))*IF(VLOOKUP($Q11,武学奇术!$A:$ZZ,23,FALSE)=1,0,1)</f>
        <v>0.0913</v>
      </c>
      <c r="BM11" s="26" cm="1">
        <f t="array" ref="BM11">1+$B$14+VLOOKUP($Q11,武学奇术!$A:$ZZ,20,FALSE)+SUM(_xlfn.XLOOKUP(R11:AF11,增益!$A:$A,增益!$T:$T,0))</f>
        <v>1.35</v>
      </c>
      <c r="BN11" s="26">
        <f t="shared" si="9"/>
        <v>0.892</v>
      </c>
      <c r="BO11" s="26">
        <f t="shared" si="10"/>
        <v>0.0166999999999999</v>
      </c>
      <c r="BP11" s="26">
        <f>IF(VLOOKUP($Q11,武学奇术!$A:$ZZ,22,FALSE)=1,0,(1-$BI11))*(1-$BL11)</f>
        <v>0</v>
      </c>
      <c r="BQ11" s="26" cm="1">
        <f t="array" ref="BQ11">SUM(_xlfn.XLOOKUP(R11:AF11,增益!$A:$A,增益!$W:$W,0))+$I$5</f>
        <v>0.11</v>
      </c>
    </row>
    <row r="12" spans="1:69">
      <c r="A12" s="41" t="s">
        <v>107</v>
      </c>
      <c r="B12" s="70">
        <f>期望!B12</f>
        <v>0</v>
      </c>
      <c r="C12" s="12" t="s">
        <v>86</v>
      </c>
      <c r="D12">
        <f>期望!D12</f>
        <v>0</v>
      </c>
      <c r="E12">
        <f>期望!E12</f>
        <v>0</v>
      </c>
      <c r="F12">
        <f>期望!F12</f>
        <v>0</v>
      </c>
      <c r="G12" s="49">
        <f>期望!G12</f>
        <v>0</v>
      </c>
      <c r="H12" s="68" t="s">
        <v>108</v>
      </c>
      <c r="I12" s="38">
        <f>I10/I8</f>
        <v>90113.3336199252</v>
      </c>
      <c r="J12" s="77"/>
      <c r="K12" s="38">
        <f t="shared" si="0"/>
        <v>0</v>
      </c>
      <c r="L12" s="38">
        <f>((($AN12+$AO12)/2*$AH12+$AI12)*(1+$AP12)*(1+$AQ12)+(($AS12+$AT12)/2*IF($G$1="鸣金",$AJ12,$AH12)+IF($G$1="鸣金",$AK12*1.5,0))*(1+$AU12)*(1+$AV12)+(($AW12+$AX12)/2*IF($G$1="裂石",$AJ12,$AH12)+IF($G$1="裂石",$AK12*1.5,0))*(1+$AY12)*(1+$AZ12)+(($BA12+$BB12)/2*IF($G$1="牵丝",$AJ12,$AH12)+IF($G$1="牵丝",$AK12*1.5,0))*(1+$BC12)*(1+$BD12)+(($BE12+$BF12)/2*IF($G$1="破竹",$AJ12,$AH12)+IF($G$1="破竹",$AK12*1.5,0))*(1+$BG12)*(1+$BH12))*(1+$AL12)*$BK12*$P12*(1+IF(VLOOKUP($Q12,武学奇术!$A:$ZZ,30,FALSE)="蓄力技",#REF!,0))*(1+$BQ12)</f>
        <v>0</v>
      </c>
      <c r="M12" s="38">
        <f>(($AO12*$AH12+$AI12)*(1+$AP12)*(1+$AQ12)+($AT12*IF($G$1="鸣金",$AJ12,$AH12)+IF($G$1="鸣金",$AK12*1.5,0))*(1+$AU12)*(1+$AV12)+($AX12*IF($G$1="裂石",$AJ12,$AH12)+IF($G$1="裂石",$AK12*1.5,0))*(1+$AY12)*(1+$AZ12)+($BB12*IF($G$1="牵丝",$AJ12,$AH12)+IF($G$1="牵丝",$AK12*1.5,0))*(1+$BC12)*(1+$BD12)+($BF12*IF($G$1="破竹",$AJ12,$AH12)+IF($G$1="破竹",$AK12*1.5,0))*(1+$BG12)*(1+$BH12))*(1+$AL12)*$BM12*$P12*(1+IF(VLOOKUP($Q12,武学奇术!$A:$ZZ,30,FALSE)="蓄力技",#REF!,0))*(1+$BQ12)</f>
        <v>0</v>
      </c>
      <c r="N12" s="38">
        <f>((($AN12+$AO12)/2*$AH12+$AI12)*(1+$AP12)*(1+$AQ12)+(($AS12+$AT12)/2*IF($G$1="鸣金",$AJ12,$AH12)+IF($G$1="鸣金",$AK12*1.5,0))*(1+$AU12)*(1+$AV12)+(($AW12+$AX12)/2*IF($G$1="裂石",$AJ12,$AH12)+IF($G$1="裂石",$AK12*1.5,0))*(1+$AY12)*(1+$AZ12)+(($BA12+$BB12)/2*IF($G$1="牵丝",$AJ12,$AH12)+IF($G$1="牵丝",$AK12*1.5,0))*(1+$BC12)*(1+$BD12)+(($BE12+$BF12)/2*IF($G$1="破竹",$AJ12,$AH12)+IF($G$1="破竹",$AK12*1.5,0))*(1+$BG12)*(1+$BH12))*(1+$AL12)*$P12*(1+IF(VLOOKUP($Q12,武学奇术!$A:$ZZ,30,FALSE)="蓄力技",#REF!,0))*(1+$BQ12)</f>
        <v>0</v>
      </c>
      <c r="O12" s="38">
        <f>((($AN12*$AH12+$AI12)*(1+$AP12)*(1+$AQ12)+($AS12*IF($G$1="鸣金",$AJ12,$AH12)+IF($G$1="鸣金",$AK12*1.5,0))*(1+$AU12)*(1+$AV12)+($AW12*IF($G$1="裂石",$AJ12,$AH12)+IF($G$1="裂石",$AK12*1.5,0))*(1+$AY12)*(1+$AZ12)+($BA12*IF($G$1="牵丝",$AJ12,$AH12)+IF($G$1="牵丝",$AK12*1.5,0))*(1+$BC12)*(1+$BD12)+($BE12*IF($G$1="破竹",$AJ12,$AH12)+IF($G$1="破竹",$AK12*1.5,0))*(1+$BG12)*(1+$BH12))*(1+$AL12))*$P12*(1+IF(VLOOKUP($Q12,武学奇术!$A:$ZZ,30,FALSE)="蓄力技",#REF!,0))*(1+$BQ12)</f>
        <v>0</v>
      </c>
      <c r="P12" s="39">
        <v>1</v>
      </c>
      <c r="Q12" s="40" t="s">
        <v>76</v>
      </c>
      <c r="R12" s="40" t="s">
        <v>76</v>
      </c>
      <c r="S12" s="40" t="s">
        <v>76</v>
      </c>
      <c r="T12" s="40" t="s">
        <v>76</v>
      </c>
      <c r="U12" s="40" t="s">
        <v>76</v>
      </c>
      <c r="V12" s="40" t="s">
        <v>76</v>
      </c>
      <c r="W12" s="40" t="s">
        <v>76</v>
      </c>
      <c r="X12" s="40" t="s">
        <v>76</v>
      </c>
      <c r="Y12" s="40" t="s">
        <v>76</v>
      </c>
      <c r="Z12" s="40" t="s">
        <v>76</v>
      </c>
      <c r="AA12" s="40" t="s">
        <v>76</v>
      </c>
      <c r="AB12" s="40" t="s">
        <v>76</v>
      </c>
      <c r="AC12" s="40" t="s">
        <v>76</v>
      </c>
      <c r="AD12" s="40" t="s">
        <v>76</v>
      </c>
      <c r="AE12" s="40" t="s">
        <v>76</v>
      </c>
      <c r="AF12" s="40" t="s">
        <v>76</v>
      </c>
      <c r="AG12" t="str">
        <f>VLOOKUP($Q12,武学奇术!$A:$ZZ,25,FALSE)</f>
        <v>心法</v>
      </c>
      <c r="AH12" s="26">
        <f>VLOOKUP($Q12,武学奇术!$A:$ZZ,26,FALSE)</f>
        <v>0</v>
      </c>
      <c r="AI12" s="27">
        <f>VLOOKUP($Q12,武学奇术!$A:$ZZ,27,FALSE)*(1+IF(OR($AG12=$F$4,$AG12=$F$5),$B$21,0))</f>
        <v>0</v>
      </c>
      <c r="AJ12" s="26">
        <f>VLOOKUP($Q12,武学奇术!$A:$ZZ,28,FALSE)</f>
        <v>0</v>
      </c>
      <c r="AK12" s="27">
        <f>VLOOKUP($Q12,武学奇术!$A:$ZZ,29,FALSE)*(1+IF(OR($AG12=$F$4,$AG12=$F$5),$B$21,0))</f>
        <v>0</v>
      </c>
      <c r="AL12" s="26" cm="1">
        <f t="array" ref="AL12">$G$3+IFERROR(VLOOKUP($AG12,$F$4:$G$7,2,FALSE),0)+VLOOKUP($Q12,武学奇术!$A:$ZZ,2,FALSE)+SUM(_xlfn.XLOOKUP($R12:$AF12,增益!$A:$A,增益!$B:$B,0))</f>
        <v>0.1842</v>
      </c>
      <c r="AM12" s="26" cm="1">
        <f t="array" ref="AM12">VLOOKUP($Q12,武学奇术!$A:$ZZ,5,FALSE)+SUM(_xlfn.XLOOKUP($R12:$AF12,增益!$A:$A,增益!$E:$E,0))</f>
        <v>0</v>
      </c>
      <c r="AN12" cm="1">
        <f t="array" ref="AN12">$D$10*(1+$AM12)+VLOOKUP($Q12,武学奇术!$A:$ZZ,3,FALSE)+SUM(_xlfn.XLOOKUP($R12:$AF12,增益!$A:$A,增益!$C:$C,0))-$I$2</f>
        <v>3940</v>
      </c>
      <c r="AO12" cm="1">
        <f t="array" ref="AO12">$E$10*(1+$AM12)+VLOOKUP($Q12,武学奇术!$A:$ZZ,4,FALSE)+SUM(_xlfn.XLOOKUP($R12:$AF12,增益!$A:$A,增益!$D:$D,0))-$I$2</f>
        <v>3940</v>
      </c>
      <c r="AP12" s="32" cm="1">
        <f t="array" ref="AP12">IF($F$10-$I$3+VLOOKUP($Q12,武学奇术!$A:$ZZ,6,FALSE)+SUM(_xlfn.XLOOKUP(R12:AF12,增益!$A:$A,增益!$F:$F,0))&gt;0,($F$10-$I$3+VLOOKUP($Q12,武学奇术!$A:$ZZ,6,FALSE)+SUM(_xlfn.XLOOKUP(R12:AF12,增益!$A:$A,增益!$F:$F,0)))/200,($F$10-$I$3+VLOOKUP($Q12,武学奇术!$A:$ZZ,6,FALSE)+SUM(_xlfn.XLOOKUP(R12:AF12,增益!$A:$A,增益!$F:$F,0)))/100)</f>
        <v>0.194</v>
      </c>
      <c r="AQ12" s="32" cm="1">
        <f t="array" ref="AQ12">$G$10+VLOOKUP($Q12,武学奇术!$A:$ZZ,7,FALSE)+SUM(_xlfn.XLOOKUP(R12:AF12,增益!$A:$A,增益!$G:$G,0))</f>
        <v>0</v>
      </c>
      <c r="AR12" s="26" cm="1">
        <f t="array" ref="AR12">VLOOKUP($Q12,武学奇术!$A:$ZZ,8,FALSE)+SUM(_xlfn.XLOOKUP(R12:AF12,增益!$A:$A,增益!$H:$H,0))</f>
        <v>0</v>
      </c>
      <c r="AS12">
        <f t="shared" si="1"/>
        <v>0</v>
      </c>
      <c r="AT12">
        <f t="shared" si="2"/>
        <v>0</v>
      </c>
      <c r="AU12" s="32" cm="1">
        <f t="array" ref="AU12">IF($F$11-$I$4+VLOOKUP($Q12,武学奇术!$A:$ZZ,9,FALSE)+SUM(_xlfn.XLOOKUP(R12:AF12,增益!$A:$A,增益!$I:$I,0))&gt;0,($F$11-$I$4+VLOOKUP($Q12,武学奇术!$A:$ZZ,9,FALSE)+SUM(_xlfn.XLOOKUP(R12:AF12,增益!$A:$A,增益!$I:$I,0)))/200,($F$11-$I$4+VLOOKUP($Q12,武学奇术!$A:$ZZ,9,FALSE)+SUM(_xlfn.XLOOKUP(R12:AF12,增益!$A:$A,增益!$I:$I,0)))/100)</f>
        <v>-0.3</v>
      </c>
      <c r="AV12" s="32" cm="1">
        <f t="array" ref="AV12">$G$11+VLOOKUP($Q12,武学奇术!$A:$ZZ,10,FALSE)+SUM(_xlfn.XLOOKUP(R12:AF12,增益!$A:$A,增益!$J:$J,0))</f>
        <v>0</v>
      </c>
      <c r="AW12">
        <f t="shared" si="3"/>
        <v>0</v>
      </c>
      <c r="AX12">
        <f t="shared" si="4"/>
        <v>0</v>
      </c>
      <c r="AY12" s="32" cm="1">
        <f t="array" ref="AY12">IF($F$12-$I$4+VLOOKUP($Q12,武学奇术!$A:$ZZ,11,FALSE)+SUM(_xlfn.XLOOKUP(R12:AF12,增益!$A:$A,增益!$K:$K,0))&gt;0,($F$12-$I$4+VLOOKUP($Q12,武学奇术!$A:$ZZ,11,FALSE)+SUM(_xlfn.XLOOKUP(R12:AF12,增益!$A:$A,增益!$K:$K,0)))/200,($F$12-$I$4+VLOOKUP($Q12,武学奇术!$A:$ZZ,11,FALSE)+SUM(_xlfn.XLOOKUP(R12:AF12,增益!$A:$A,增益!$K:$K,0)))/100)</f>
        <v>-0.3</v>
      </c>
      <c r="AZ12" s="32" cm="1">
        <f t="array" ref="AZ12">$G$12+VLOOKUP($Q12,武学奇术!$A:$ZZ,12,FALSE)+SUM(_xlfn.XLOOKUP(R12:AF12,增益!$A:$A,增益!$L:$L,0))</f>
        <v>0</v>
      </c>
      <c r="BA12">
        <f t="shared" si="5"/>
        <v>697.4</v>
      </c>
      <c r="BB12">
        <f t="shared" si="6"/>
        <v>1805</v>
      </c>
      <c r="BC12" s="32" cm="1">
        <f t="array" ref="BC12">IF($F$13-$I$4+VLOOKUP($Q12,武学奇术!$A:$ZZ,13,FALSE)+SUM(_xlfn.XLOOKUP(R12:AF12,增益!$A:$A,增益!$M:$M,0))&gt;0,($F$13-$I$4+VLOOKUP($Q12,武学奇术!$A:$ZZ,13,FALSE)+SUM(_xlfn.XLOOKUP(R12:AF12,增益!$A:$A,增益!$K:$K,0)))/200,($F$13-$I$4+VLOOKUP($Q12,武学奇术!$A:$ZZ,13,FALSE)+SUM(_xlfn.XLOOKUP(R12:AF12,增益!$A:$A,增益!$M:$M,0)))/100)</f>
        <v>0</v>
      </c>
      <c r="BD12" s="32" cm="1">
        <f t="array" ref="BD12">$G$13+VLOOKUP($Q12,武学奇术!$A:$ZZ,14,FALSE)+SUM(_xlfn.XLOOKUP(R12:AF12,增益!$A:$A,增益!$N:$N,0))</f>
        <v>0.15</v>
      </c>
      <c r="BE12">
        <f t="shared" si="7"/>
        <v>0</v>
      </c>
      <c r="BF12">
        <f t="shared" si="8"/>
        <v>0</v>
      </c>
      <c r="BG12" s="32" cm="1">
        <f t="array" ref="BG12">IF($F$14-$I$4+VLOOKUP($Q12,武学奇术!$A:$ZZ,15,FALSE)+SUM(_xlfn.XLOOKUP(R12:AF12,增益!$A:$A,增益!$O:$O,0))&gt;0,($F$14-$I$4+VLOOKUP($Q12,武学奇术!$A:$ZZ,15,FALSE)+SUM(_xlfn.XLOOKUP(R12:AF12,增益!$A:$A,增益!$O:$O,0)))/200,($F$14-$I$4+VLOOKUP($Q12,武学奇术!$A:$ZZ,15,FALSE)+SUM(_xlfn.XLOOKUP(R12:AF12,增益!$A:$A,增益!$O:$O,0)))/100)</f>
        <v>-0.3</v>
      </c>
      <c r="BH12" s="32" cm="1">
        <f t="array" ref="BH12">$G$14+VLOOKUP($Q12,武学奇术!$A:$ZZ,16,FALSE)+SUM(_xlfn.XLOOKUP(R12:AF12,增益!$A:$A,增益!$P:$P,0))</f>
        <v>0</v>
      </c>
      <c r="BI12" s="26">
        <f>MIN(IF(VLOOKUP($Q12,武学奇术!$A:$ZZ,23,FALSE)=1,100%,$B$8),100%)</f>
        <v>1</v>
      </c>
      <c r="BJ12" s="26" cm="1">
        <f t="array" ref="BJ12">IF(VLOOKUP($Q12,武学奇术!$A:$ZZ,23,FALSE)=1,100%,MIN(80%,$B$9+VLOOKUP($Q12,武学奇术!$A:$ZZ,17,FALSE)+SUM(_xlfn.XLOOKUP(R12:AF12,增益!$A:$A,增益!$Q:$Q,0)))+$B$11+SUM(_xlfn.XLOOKUP(R12:AF12,增益!$A:$A,增益!$U:$U,0)))*IF(VLOOKUP($Q12,武学奇术!$A:$ZZ,24,FALSE)=1,0,1)</f>
        <v>0.8625</v>
      </c>
      <c r="BK12" s="26" cm="1">
        <f t="array" ref="BK12">1+$B$13+VLOOKUP($Q12,武学奇术!$A:$ZZ,18,FALSE)+SUM(_xlfn.XLOOKUP(R12:AF12,增益!$A:$A,增益!$R:$R,0))</f>
        <v>1.5</v>
      </c>
      <c r="BL12" s="26" cm="1">
        <f t="array" ref="BL12">IF(VLOOKUP($Q12,武学奇术!$A:$ZZ,24,FALSE)=1,100%,MIN(40%,$B$10+VLOOKUP($Q12,武学奇术!$A:$ZZ,19,FALSE)+SUM(_xlfn.XLOOKUP(R12:AF12,增益!$A:$A,增益!$S:$S,0)))+$B$12+SUM(_xlfn.XLOOKUP(R12:AF12,增益!$A:$A,增益!$V:$V,0)))*IF(VLOOKUP($Q12,武学奇术!$A:$ZZ,23,FALSE)=1,0,1)</f>
        <v>0.0913</v>
      </c>
      <c r="BM12" s="26" cm="1">
        <f t="array" ref="BM12">1+$B$14+VLOOKUP($Q12,武学奇术!$A:$ZZ,20,FALSE)+SUM(_xlfn.XLOOKUP(R12:AF12,增益!$A:$A,增益!$T:$T,0))</f>
        <v>1.35</v>
      </c>
      <c r="BN12" s="26">
        <f t="shared" si="9"/>
        <v>0.8625</v>
      </c>
      <c r="BO12" s="26">
        <f t="shared" si="10"/>
        <v>0.0462</v>
      </c>
      <c r="BP12" s="26">
        <f>IF(VLOOKUP($Q12,武学奇术!$A:$ZZ,22,FALSE)=1,0,(1-$BI12))*(1-$BL12)</f>
        <v>0</v>
      </c>
      <c r="BQ12" s="26" cm="1">
        <f t="array" ref="BQ12">SUM(_xlfn.XLOOKUP(R12:AF12,增益!$A:$A,增益!$W:$W,0))+$I$5</f>
        <v>0.06</v>
      </c>
    </row>
    <row r="13" ht="14.25" spans="1:69">
      <c r="A13" s="41" t="s">
        <v>109</v>
      </c>
      <c r="B13" s="70">
        <f>期望!B13</f>
        <v>0.5</v>
      </c>
      <c r="C13" s="12" t="s">
        <v>5</v>
      </c>
      <c r="D13">
        <f>期望!D13</f>
        <v>697.4</v>
      </c>
      <c r="E13">
        <f>期望!E13</f>
        <v>1805</v>
      </c>
      <c r="F13">
        <f>期望!F13</f>
        <v>30</v>
      </c>
      <c r="G13" s="49">
        <f>期望!G13</f>
        <v>0.15</v>
      </c>
      <c r="H13" s="71"/>
      <c r="I13" s="78"/>
      <c r="J13" s="76"/>
      <c r="K13" s="38">
        <f t="shared" si="0"/>
        <v>0</v>
      </c>
      <c r="L13" s="38">
        <f>((($AN13+$AO13)/2*$AH13+$AI13)*(1+$AP13)*(1+$AQ13)+(($AS13+$AT13)/2*IF($G$1="鸣金",$AJ13,$AH13)+IF($G$1="鸣金",$AK13*1.5,0))*(1+$AU13)*(1+$AV13)+(($AW13+$AX13)/2*IF($G$1="裂石",$AJ13,$AH13)+IF($G$1="裂石",$AK13*1.5,0))*(1+$AY13)*(1+$AZ13)+(($BA13+$BB13)/2*IF($G$1="牵丝",$AJ13,$AH13)+IF($G$1="牵丝",$AK13*1.5,0))*(1+$BC13)*(1+$BD13)+(($BE13+$BF13)/2*IF($G$1="破竹",$AJ13,$AH13)+IF($G$1="破竹",$AK13*1.5,0))*(1+$BG13)*(1+$BH13))*(1+$AL13)*$BK13*$P13*(1+IF(VLOOKUP($Q13,武学奇术!$A:$ZZ,30,FALSE)="蓄力技",#REF!,0))*(1+$BQ13)</f>
        <v>0</v>
      </c>
      <c r="M13" s="38">
        <f>(($AO13*$AH13+$AI13)*(1+$AP13)*(1+$AQ13)+($AT13*IF($G$1="鸣金",$AJ13,$AH13)+IF($G$1="鸣金",$AK13*1.5,0))*(1+$AU13)*(1+$AV13)+($AX13*IF($G$1="裂石",$AJ13,$AH13)+IF($G$1="裂石",$AK13*1.5,0))*(1+$AY13)*(1+$AZ13)+($BB13*IF($G$1="牵丝",$AJ13,$AH13)+IF($G$1="牵丝",$AK13*1.5,0))*(1+$BC13)*(1+$BD13)+($BF13*IF($G$1="破竹",$AJ13,$AH13)+IF($G$1="破竹",$AK13*1.5,0))*(1+$BG13)*(1+$BH13))*(1+$AL13)*$BM13*$P13*(1+IF(VLOOKUP($Q13,武学奇术!$A:$ZZ,30,FALSE)="蓄力技",#REF!,0))*(1+$BQ13)</f>
        <v>0</v>
      </c>
      <c r="N13" s="38">
        <f>((($AN13+$AO13)/2*$AH13+$AI13)*(1+$AP13)*(1+$AQ13)+(($AS13+$AT13)/2*IF($G$1="鸣金",$AJ13,$AH13)+IF($G$1="鸣金",$AK13*1.5,0))*(1+$AU13)*(1+$AV13)+(($AW13+$AX13)/2*IF($G$1="裂石",$AJ13,$AH13)+IF($G$1="裂石",$AK13*1.5,0))*(1+$AY13)*(1+$AZ13)+(($BA13+$BB13)/2*IF($G$1="牵丝",$AJ13,$AH13)+IF($G$1="牵丝",$AK13*1.5,0))*(1+$BC13)*(1+$BD13)+(($BE13+$BF13)/2*IF($G$1="破竹",$AJ13,$AH13)+IF($G$1="破竹",$AK13*1.5,0))*(1+$BG13)*(1+$BH13))*(1+$AL13)*$P13*(1+IF(VLOOKUP($Q13,武学奇术!$A:$ZZ,30,FALSE)="蓄力技",#REF!,0))*(1+$BQ13)</f>
        <v>0</v>
      </c>
      <c r="O13" s="38">
        <f>((($AN13*$AH13+$AI13)*(1+$AP13)*(1+$AQ13)+($AS13*IF($G$1="鸣金",$AJ13,$AH13)+IF($G$1="鸣金",$AK13*1.5,0))*(1+$AU13)*(1+$AV13)+($AW13*IF($G$1="裂石",$AJ13,$AH13)+IF($G$1="裂石",$AK13*1.5,0))*(1+$AY13)*(1+$AZ13)+($BA13*IF($G$1="牵丝",$AJ13,$AH13)+IF($G$1="牵丝",$AK13*1.5,0))*(1+$BC13)*(1+$BD13)+($BE13*IF($G$1="破竹",$AJ13,$AH13)+IF($G$1="破竹",$AK13*1.5,0))*(1+$BG13)*(1+$BH13))*(1+$AL13))*$P13*(1+IF(VLOOKUP($Q13,武学奇术!$A:$ZZ,30,FALSE)="蓄力技",#REF!,0))*(1+$BQ13)</f>
        <v>0</v>
      </c>
      <c r="P13" s="39">
        <v>1</v>
      </c>
      <c r="Q13" s="40" t="s">
        <v>76</v>
      </c>
      <c r="R13" s="40" t="s">
        <v>76</v>
      </c>
      <c r="S13" s="40" t="s">
        <v>76</v>
      </c>
      <c r="T13" s="40" t="s">
        <v>76</v>
      </c>
      <c r="U13" s="40" t="s">
        <v>76</v>
      </c>
      <c r="V13" s="40" t="s">
        <v>76</v>
      </c>
      <c r="W13" s="40" t="s">
        <v>76</v>
      </c>
      <c r="X13" s="40" t="s">
        <v>76</v>
      </c>
      <c r="Y13" s="40" t="s">
        <v>76</v>
      </c>
      <c r="Z13" s="40" t="s">
        <v>76</v>
      </c>
      <c r="AA13" s="40" t="s">
        <v>76</v>
      </c>
      <c r="AB13" s="40" t="s">
        <v>76</v>
      </c>
      <c r="AC13" s="40" t="s">
        <v>76</v>
      </c>
      <c r="AD13" s="40" t="s">
        <v>76</v>
      </c>
      <c r="AE13" s="40" t="s">
        <v>76</v>
      </c>
      <c r="AF13" s="40" t="s">
        <v>76</v>
      </c>
      <c r="AG13" t="str">
        <f>VLOOKUP($Q13,武学奇术!$A:$ZZ,25,FALSE)</f>
        <v>心法</v>
      </c>
      <c r="AH13" s="26">
        <f>VLOOKUP($Q13,武学奇术!$A:$ZZ,26,FALSE)</f>
        <v>0</v>
      </c>
      <c r="AI13" s="27">
        <f>VLOOKUP($Q13,武学奇术!$A:$ZZ,27,FALSE)*(1+IF(OR($AG13=$F$4,$AG13=$F$5),$B$21,0))</f>
        <v>0</v>
      </c>
      <c r="AJ13" s="26">
        <f>VLOOKUP($Q13,武学奇术!$A:$ZZ,28,FALSE)</f>
        <v>0</v>
      </c>
      <c r="AK13" s="27">
        <f>VLOOKUP($Q13,武学奇术!$A:$ZZ,29,FALSE)*(1+IF(OR($AG13=$F$4,$AG13=$F$5),$B$21,0))</f>
        <v>0</v>
      </c>
      <c r="AL13" s="26" cm="1">
        <f t="array" ref="AL13">$G$3+IFERROR(VLOOKUP($AG13,$F$4:$G$7,2,FALSE),0)+VLOOKUP($Q13,武学奇术!$A:$ZZ,2,FALSE)+SUM(_xlfn.XLOOKUP($R13:$AF13,增益!$A:$A,增益!$B:$B,0))</f>
        <v>0.1842</v>
      </c>
      <c r="AM13" s="26" cm="1">
        <f t="array" ref="AM13">VLOOKUP($Q13,武学奇术!$A:$ZZ,5,FALSE)+SUM(_xlfn.XLOOKUP($R13:$AF13,增益!$A:$A,增益!$E:$E,0))</f>
        <v>0</v>
      </c>
      <c r="AN13" cm="1">
        <f t="array" ref="AN13">$D$10*(1+$AM13)+VLOOKUP($Q13,武学奇术!$A:$ZZ,3,FALSE)+SUM(_xlfn.XLOOKUP($R13:$AF13,增益!$A:$A,增益!$C:$C,0))-$I$2</f>
        <v>3940</v>
      </c>
      <c r="AO13" cm="1">
        <f t="array" ref="AO13">$E$10*(1+$AM13)+VLOOKUP($Q13,武学奇术!$A:$ZZ,4,FALSE)+SUM(_xlfn.XLOOKUP($R13:$AF13,增益!$A:$A,增益!$D:$D,0))-$I$2</f>
        <v>3940</v>
      </c>
      <c r="AP13" s="32" cm="1">
        <f t="array" ref="AP13">IF($F$10-$I$3+VLOOKUP($Q13,武学奇术!$A:$ZZ,6,FALSE)+SUM(_xlfn.XLOOKUP(R13:AF13,增益!$A:$A,增益!$F:$F,0))&gt;0,($F$10-$I$3+VLOOKUP($Q13,武学奇术!$A:$ZZ,6,FALSE)+SUM(_xlfn.XLOOKUP(R13:AF13,增益!$A:$A,增益!$F:$F,0)))/200,($F$10-$I$3+VLOOKUP($Q13,武学奇术!$A:$ZZ,6,FALSE)+SUM(_xlfn.XLOOKUP(R13:AF13,增益!$A:$A,增益!$F:$F,0)))/100)</f>
        <v>0.194</v>
      </c>
      <c r="AQ13" s="32" cm="1">
        <f t="array" ref="AQ13">$G$10+VLOOKUP($Q13,武学奇术!$A:$ZZ,7,FALSE)+SUM(_xlfn.XLOOKUP(R13:AF13,增益!$A:$A,增益!$G:$G,0))</f>
        <v>0</v>
      </c>
      <c r="AR13" s="26" cm="1">
        <f t="array" ref="AR13">VLOOKUP($Q13,武学奇术!$A:$ZZ,8,FALSE)+SUM(_xlfn.XLOOKUP(R13:AF13,增益!$A:$A,增益!$H:$H,0))</f>
        <v>0</v>
      </c>
      <c r="AS13">
        <f t="shared" si="1"/>
        <v>0</v>
      </c>
      <c r="AT13">
        <f t="shared" si="2"/>
        <v>0</v>
      </c>
      <c r="AU13" s="32" cm="1">
        <f t="array" ref="AU13">IF($F$11-$I$4+VLOOKUP($Q13,武学奇术!$A:$ZZ,9,FALSE)+SUM(_xlfn.XLOOKUP(R13:AF13,增益!$A:$A,增益!$I:$I,0))&gt;0,($F$11-$I$4+VLOOKUP($Q13,武学奇术!$A:$ZZ,9,FALSE)+SUM(_xlfn.XLOOKUP(R13:AF13,增益!$A:$A,增益!$I:$I,0)))/200,($F$11-$I$4+VLOOKUP($Q13,武学奇术!$A:$ZZ,9,FALSE)+SUM(_xlfn.XLOOKUP(R13:AF13,增益!$A:$A,增益!$I:$I,0)))/100)</f>
        <v>-0.3</v>
      </c>
      <c r="AV13" s="32" cm="1">
        <f t="array" ref="AV13">$G$11+VLOOKUP($Q13,武学奇术!$A:$ZZ,10,FALSE)+SUM(_xlfn.XLOOKUP(R13:AF13,增益!$A:$A,增益!$J:$J,0))</f>
        <v>0</v>
      </c>
      <c r="AW13">
        <f t="shared" si="3"/>
        <v>0</v>
      </c>
      <c r="AX13">
        <f t="shared" si="4"/>
        <v>0</v>
      </c>
      <c r="AY13" s="32" cm="1">
        <f t="array" ref="AY13">IF($F$12-$I$4+VLOOKUP($Q13,武学奇术!$A:$ZZ,11,FALSE)+SUM(_xlfn.XLOOKUP(R13:AF13,增益!$A:$A,增益!$K:$K,0))&gt;0,($F$12-$I$4+VLOOKUP($Q13,武学奇术!$A:$ZZ,11,FALSE)+SUM(_xlfn.XLOOKUP(R13:AF13,增益!$A:$A,增益!$K:$K,0)))/200,($F$12-$I$4+VLOOKUP($Q13,武学奇术!$A:$ZZ,11,FALSE)+SUM(_xlfn.XLOOKUP(R13:AF13,增益!$A:$A,增益!$K:$K,0)))/100)</f>
        <v>-0.3</v>
      </c>
      <c r="AZ13" s="32" cm="1">
        <f t="array" ref="AZ13">$G$12+VLOOKUP($Q13,武学奇术!$A:$ZZ,12,FALSE)+SUM(_xlfn.XLOOKUP(R13:AF13,增益!$A:$A,增益!$L:$L,0))</f>
        <v>0</v>
      </c>
      <c r="BA13">
        <f t="shared" si="5"/>
        <v>697.4</v>
      </c>
      <c r="BB13">
        <f t="shared" si="6"/>
        <v>1805</v>
      </c>
      <c r="BC13" s="32" cm="1">
        <f t="array" ref="BC13">IF($F$13-$I$4+VLOOKUP($Q13,武学奇术!$A:$ZZ,13,FALSE)+SUM(_xlfn.XLOOKUP(R13:AF13,增益!$A:$A,增益!$M:$M,0))&gt;0,($F$13-$I$4+VLOOKUP($Q13,武学奇术!$A:$ZZ,13,FALSE)+SUM(_xlfn.XLOOKUP(R13:AF13,增益!$A:$A,增益!$K:$K,0)))/200,($F$13-$I$4+VLOOKUP($Q13,武学奇术!$A:$ZZ,13,FALSE)+SUM(_xlfn.XLOOKUP(R13:AF13,增益!$A:$A,增益!$M:$M,0)))/100)</f>
        <v>0</v>
      </c>
      <c r="BD13" s="32" cm="1">
        <f t="array" ref="BD13">$G$13+VLOOKUP($Q13,武学奇术!$A:$ZZ,14,FALSE)+SUM(_xlfn.XLOOKUP(R13:AF13,增益!$A:$A,增益!$N:$N,0))</f>
        <v>0.15</v>
      </c>
      <c r="BE13">
        <f t="shared" si="7"/>
        <v>0</v>
      </c>
      <c r="BF13">
        <f t="shared" si="8"/>
        <v>0</v>
      </c>
      <c r="BG13" s="32" cm="1">
        <f t="array" ref="BG13">IF($F$14-$I$4+VLOOKUP($Q13,武学奇术!$A:$ZZ,15,FALSE)+SUM(_xlfn.XLOOKUP(R13:AF13,增益!$A:$A,增益!$O:$O,0))&gt;0,($F$14-$I$4+VLOOKUP($Q13,武学奇术!$A:$ZZ,15,FALSE)+SUM(_xlfn.XLOOKUP(R13:AF13,增益!$A:$A,增益!$O:$O,0)))/200,($F$14-$I$4+VLOOKUP($Q13,武学奇术!$A:$ZZ,15,FALSE)+SUM(_xlfn.XLOOKUP(R13:AF13,增益!$A:$A,增益!$O:$O,0)))/100)</f>
        <v>-0.3</v>
      </c>
      <c r="BH13" s="32" cm="1">
        <f t="array" ref="BH13">$G$14+VLOOKUP($Q13,武学奇术!$A:$ZZ,16,FALSE)+SUM(_xlfn.XLOOKUP(R13:AF13,增益!$A:$A,增益!$P:$P,0))</f>
        <v>0</v>
      </c>
      <c r="BI13" s="26">
        <f>MIN(IF(VLOOKUP($Q13,武学奇术!$A:$ZZ,23,FALSE)=1,100%,$B$8),100%)</f>
        <v>1</v>
      </c>
      <c r="BJ13" s="26" cm="1">
        <f t="array" ref="BJ13">IF(VLOOKUP($Q13,武学奇术!$A:$ZZ,23,FALSE)=1,100%,MIN(80%,$B$9+VLOOKUP($Q13,武学奇术!$A:$ZZ,17,FALSE)+SUM(_xlfn.XLOOKUP(R13:AF13,增益!$A:$A,增益!$Q:$Q,0)))+$B$11+SUM(_xlfn.XLOOKUP(R13:AF13,增益!$A:$A,增益!$U:$U,0)))*IF(VLOOKUP($Q13,武学奇术!$A:$ZZ,24,FALSE)=1,0,1)</f>
        <v>0.8625</v>
      </c>
      <c r="BK13" s="26" cm="1">
        <f t="array" ref="BK13">1+$B$13+VLOOKUP($Q13,武学奇术!$A:$ZZ,18,FALSE)+SUM(_xlfn.XLOOKUP(R13:AF13,增益!$A:$A,增益!$R:$R,0))</f>
        <v>1.5</v>
      </c>
      <c r="BL13" s="26" cm="1">
        <f t="array" ref="BL13">IF(VLOOKUP($Q13,武学奇术!$A:$ZZ,24,FALSE)=1,100%,MIN(40%,$B$10+VLOOKUP($Q13,武学奇术!$A:$ZZ,19,FALSE)+SUM(_xlfn.XLOOKUP(R13:AF13,增益!$A:$A,增益!$S:$S,0)))+$B$12+SUM(_xlfn.XLOOKUP(R13:AF13,增益!$A:$A,增益!$V:$V,0)))*IF(VLOOKUP($Q13,武学奇术!$A:$ZZ,23,FALSE)=1,0,1)</f>
        <v>0.0913</v>
      </c>
      <c r="BM13" s="26" cm="1">
        <f t="array" ref="BM13">1+$B$14+VLOOKUP($Q13,武学奇术!$A:$ZZ,20,FALSE)+SUM(_xlfn.XLOOKUP(R13:AF13,增益!$A:$A,增益!$T:$T,0))</f>
        <v>1.35</v>
      </c>
      <c r="BN13" s="26">
        <f t="shared" si="9"/>
        <v>0.8625</v>
      </c>
      <c r="BO13" s="26">
        <f t="shared" si="10"/>
        <v>0.0462</v>
      </c>
      <c r="BP13" s="26">
        <f>IF(VLOOKUP($Q13,武学奇术!$A:$ZZ,22,FALSE)=1,0,(1-$BI13))*(1-$BL13)</f>
        <v>0</v>
      </c>
      <c r="BQ13" s="26" cm="1">
        <f t="array" ref="BQ13">SUM(_xlfn.XLOOKUP(R13:AF13,增益!$A:$A,增益!$W:$W,0))+$I$5</f>
        <v>0.06</v>
      </c>
    </row>
    <row r="14" ht="14.25" spans="1:69">
      <c r="A14" s="41" t="s">
        <v>110</v>
      </c>
      <c r="B14" s="70">
        <f>期望!B14</f>
        <v>0.35</v>
      </c>
      <c r="C14" s="14" t="s">
        <v>93</v>
      </c>
      <c r="D14" s="14">
        <f>期望!D14</f>
        <v>0</v>
      </c>
      <c r="E14" s="14">
        <f>期望!E14</f>
        <v>0</v>
      </c>
      <c r="F14" s="14">
        <f>期望!F14</f>
        <v>0</v>
      </c>
      <c r="G14" s="64">
        <f>期望!G14</f>
        <v>0</v>
      </c>
      <c r="H14" s="36" t="s">
        <v>111</v>
      </c>
      <c r="I14" s="73">
        <f>I12+110000*18%</f>
        <v>109913.333619925</v>
      </c>
      <c r="J14" s="74"/>
      <c r="K14" s="38">
        <f t="shared" si="0"/>
        <v>0</v>
      </c>
      <c r="L14" s="38">
        <f>((($AN14+$AO14)/2*$AH14+$AI14)*(1+$AP14)*(1+$AQ14)+(($AS14+$AT14)/2*IF($G$1="鸣金",$AJ14,$AH14)+IF($G$1="鸣金",$AK14*1.5,0))*(1+$AU14)*(1+$AV14)+(($AW14+$AX14)/2*IF($G$1="裂石",$AJ14,$AH14)+IF($G$1="裂石",$AK14*1.5,0))*(1+$AY14)*(1+$AZ14)+(($BA14+$BB14)/2*IF($G$1="牵丝",$AJ14,$AH14)+IF($G$1="牵丝",$AK14*1.5,0))*(1+$BC14)*(1+$BD14)+(($BE14+$BF14)/2*IF($G$1="破竹",$AJ14,$AH14)+IF($G$1="破竹",$AK14*1.5,0))*(1+$BG14)*(1+$BH14))*(1+$AL14)*$BK14*$P14*(1+IF(VLOOKUP($Q14,武学奇术!$A:$ZZ,30,FALSE)="蓄力技",#REF!,0))*(1+$BQ14)</f>
        <v>0</v>
      </c>
      <c r="M14" s="38">
        <f>(($AO14*$AH14+$AI14)*(1+$AP14)*(1+$AQ14)+($AT14*IF($G$1="鸣金",$AJ14,$AH14)+IF($G$1="鸣金",$AK14*1.5,0))*(1+$AU14)*(1+$AV14)+($AX14*IF($G$1="裂石",$AJ14,$AH14)+IF($G$1="裂石",$AK14*1.5,0))*(1+$AY14)*(1+$AZ14)+($BB14*IF($G$1="牵丝",$AJ14,$AH14)+IF($G$1="牵丝",$AK14*1.5,0))*(1+$BC14)*(1+$BD14)+($BF14*IF($G$1="破竹",$AJ14,$AH14)+IF($G$1="破竹",$AK14*1.5,0))*(1+$BG14)*(1+$BH14))*(1+$AL14)*$BM14*$P14*(1+IF(VLOOKUP($Q14,武学奇术!$A:$ZZ,30,FALSE)="蓄力技",#REF!,0))*(1+$BQ14)</f>
        <v>0</v>
      </c>
      <c r="N14" s="38">
        <f>((($AN14+$AO14)/2*$AH14+$AI14)*(1+$AP14)*(1+$AQ14)+(($AS14+$AT14)/2*IF($G$1="鸣金",$AJ14,$AH14)+IF($G$1="鸣金",$AK14*1.5,0))*(1+$AU14)*(1+$AV14)+(($AW14+$AX14)/2*IF($G$1="裂石",$AJ14,$AH14)+IF($G$1="裂石",$AK14*1.5,0))*(1+$AY14)*(1+$AZ14)+(($BA14+$BB14)/2*IF($G$1="牵丝",$AJ14,$AH14)+IF($G$1="牵丝",$AK14*1.5,0))*(1+$BC14)*(1+$BD14)+(($BE14+$BF14)/2*IF($G$1="破竹",$AJ14,$AH14)+IF($G$1="破竹",$AK14*1.5,0))*(1+$BG14)*(1+$BH14))*(1+$AL14)*$P14*(1+IF(VLOOKUP($Q14,武学奇术!$A:$ZZ,30,FALSE)="蓄力技",#REF!,0))*(1+$BQ14)</f>
        <v>0</v>
      </c>
      <c r="O14" s="38">
        <f>((($AN14*$AH14+$AI14)*(1+$AP14)*(1+$AQ14)+($AS14*IF($G$1="鸣金",$AJ14,$AH14)+IF($G$1="鸣金",$AK14*1.5,0))*(1+$AU14)*(1+$AV14)+($AW14*IF($G$1="裂石",$AJ14,$AH14)+IF($G$1="裂石",$AK14*1.5,0))*(1+$AY14)*(1+$AZ14)+($BA14*IF($G$1="牵丝",$AJ14,$AH14)+IF($G$1="牵丝",$AK14*1.5,0))*(1+$BC14)*(1+$BD14)+($BE14*IF($G$1="破竹",$AJ14,$AH14)+IF($G$1="破竹",$AK14*1.5,0))*(1+$BG14)*(1+$BH14))*(1+$AL14))*$P14*(1+IF(VLOOKUP($Q14,武学奇术!$A:$ZZ,30,FALSE)="蓄力技",#REF!,0))*(1+$BQ14)</f>
        <v>0</v>
      </c>
      <c r="P14" s="39">
        <v>1</v>
      </c>
      <c r="Q14" s="40" t="s">
        <v>76</v>
      </c>
      <c r="R14" s="40" t="s">
        <v>76</v>
      </c>
      <c r="S14" s="40" t="s">
        <v>76</v>
      </c>
      <c r="T14" s="40" t="s">
        <v>76</v>
      </c>
      <c r="U14" s="40" t="s">
        <v>76</v>
      </c>
      <c r="V14" s="40" t="s">
        <v>76</v>
      </c>
      <c r="W14" s="40" t="s">
        <v>76</v>
      </c>
      <c r="X14" s="40" t="s">
        <v>76</v>
      </c>
      <c r="Y14" s="40" t="s">
        <v>76</v>
      </c>
      <c r="Z14" s="40" t="s">
        <v>76</v>
      </c>
      <c r="AA14" s="40" t="s">
        <v>76</v>
      </c>
      <c r="AB14" s="40" t="s">
        <v>76</v>
      </c>
      <c r="AC14" s="40" t="s">
        <v>76</v>
      </c>
      <c r="AD14" s="40" t="s">
        <v>76</v>
      </c>
      <c r="AE14" s="40" t="s">
        <v>76</v>
      </c>
      <c r="AF14" s="40" t="s">
        <v>76</v>
      </c>
      <c r="AG14" t="str">
        <f>VLOOKUP($Q14,武学奇术!$A:$ZZ,25,FALSE)</f>
        <v>心法</v>
      </c>
      <c r="AH14" s="26">
        <f>VLOOKUP($Q14,武学奇术!$A:$ZZ,26,FALSE)</f>
        <v>0</v>
      </c>
      <c r="AI14" s="27">
        <f>VLOOKUP($Q14,武学奇术!$A:$ZZ,27,FALSE)*(1+IF(OR($AG14=$F$4,$AG14=$F$5),$B$21,0))</f>
        <v>0</v>
      </c>
      <c r="AJ14" s="26">
        <f>VLOOKUP($Q14,武学奇术!$A:$ZZ,28,FALSE)</f>
        <v>0</v>
      </c>
      <c r="AK14" s="27">
        <f>VLOOKUP($Q14,武学奇术!$A:$ZZ,29,FALSE)*(1+IF(OR($AG14=$F$4,$AG14=$F$5),$B$21,0))</f>
        <v>0</v>
      </c>
      <c r="AL14" s="26" cm="1">
        <f t="array" ref="AL14">$G$3+IFERROR(VLOOKUP($AG14,$F$4:$G$7,2,FALSE),0)+VLOOKUP($Q14,武学奇术!$A:$ZZ,2,FALSE)+SUM(_xlfn.XLOOKUP($R14:$AF14,增益!$A:$A,增益!$B:$B,0))</f>
        <v>0.1842</v>
      </c>
      <c r="AM14" s="26" cm="1">
        <f t="array" ref="AM14">VLOOKUP($Q14,武学奇术!$A:$ZZ,5,FALSE)+SUM(_xlfn.XLOOKUP($R14:$AF14,增益!$A:$A,增益!$E:$E,0))</f>
        <v>0</v>
      </c>
      <c r="AN14" cm="1">
        <f t="array" ref="AN14">$D$10*(1+$AM14)+VLOOKUP($Q14,武学奇术!$A:$ZZ,3,FALSE)+SUM(_xlfn.XLOOKUP($R14:$AF14,增益!$A:$A,增益!$C:$C,0))-$I$2</f>
        <v>3940</v>
      </c>
      <c r="AO14" cm="1">
        <f t="array" ref="AO14">$E$10*(1+$AM14)+VLOOKUP($Q14,武学奇术!$A:$ZZ,4,FALSE)+SUM(_xlfn.XLOOKUP($R14:$AF14,增益!$A:$A,增益!$D:$D,0))-$I$2</f>
        <v>3940</v>
      </c>
      <c r="AP14" s="32" cm="1">
        <f t="array" ref="AP14">IF($F$10-$I$3+VLOOKUP($Q14,武学奇术!$A:$ZZ,6,FALSE)+SUM(_xlfn.XLOOKUP(R14:AF14,增益!$A:$A,增益!$F:$F,0))&gt;0,($F$10-$I$3+VLOOKUP($Q14,武学奇术!$A:$ZZ,6,FALSE)+SUM(_xlfn.XLOOKUP(R14:AF14,增益!$A:$A,增益!$F:$F,0)))/200,($F$10-$I$3+VLOOKUP($Q14,武学奇术!$A:$ZZ,6,FALSE)+SUM(_xlfn.XLOOKUP(R14:AF14,增益!$A:$A,增益!$F:$F,0)))/100)</f>
        <v>0.194</v>
      </c>
      <c r="AQ14" s="32" cm="1">
        <f t="array" ref="AQ14">$G$10+VLOOKUP($Q14,武学奇术!$A:$ZZ,7,FALSE)+SUM(_xlfn.XLOOKUP(R14:AF14,增益!$A:$A,增益!$G:$G,0))</f>
        <v>0</v>
      </c>
      <c r="AR14" s="26" cm="1">
        <f t="array" ref="AR14">VLOOKUP($Q14,武学奇术!$A:$ZZ,8,FALSE)+SUM(_xlfn.XLOOKUP(R14:AF14,增益!$A:$A,增益!$H:$H,0))</f>
        <v>0</v>
      </c>
      <c r="AS14">
        <f t="shared" si="1"/>
        <v>0</v>
      </c>
      <c r="AT14">
        <f t="shared" si="2"/>
        <v>0</v>
      </c>
      <c r="AU14" s="32" cm="1">
        <f t="array" ref="AU14">IF($F$11-$I$4+VLOOKUP($Q14,武学奇术!$A:$ZZ,9,FALSE)+SUM(_xlfn.XLOOKUP(R14:AF14,增益!$A:$A,增益!$I:$I,0))&gt;0,($F$11-$I$4+VLOOKUP($Q14,武学奇术!$A:$ZZ,9,FALSE)+SUM(_xlfn.XLOOKUP(R14:AF14,增益!$A:$A,增益!$I:$I,0)))/200,($F$11-$I$4+VLOOKUP($Q14,武学奇术!$A:$ZZ,9,FALSE)+SUM(_xlfn.XLOOKUP(R14:AF14,增益!$A:$A,增益!$I:$I,0)))/100)</f>
        <v>-0.3</v>
      </c>
      <c r="AV14" s="32" cm="1">
        <f t="array" ref="AV14">$G$11+VLOOKUP($Q14,武学奇术!$A:$ZZ,10,FALSE)+SUM(_xlfn.XLOOKUP(R14:AF14,增益!$A:$A,增益!$J:$J,0))</f>
        <v>0</v>
      </c>
      <c r="AW14">
        <f t="shared" si="3"/>
        <v>0</v>
      </c>
      <c r="AX14">
        <f t="shared" si="4"/>
        <v>0</v>
      </c>
      <c r="AY14" s="32" cm="1">
        <f t="array" ref="AY14">IF($F$12-$I$4+VLOOKUP($Q14,武学奇术!$A:$ZZ,11,FALSE)+SUM(_xlfn.XLOOKUP(R14:AF14,增益!$A:$A,增益!$K:$K,0))&gt;0,($F$12-$I$4+VLOOKUP($Q14,武学奇术!$A:$ZZ,11,FALSE)+SUM(_xlfn.XLOOKUP(R14:AF14,增益!$A:$A,增益!$K:$K,0)))/200,($F$12-$I$4+VLOOKUP($Q14,武学奇术!$A:$ZZ,11,FALSE)+SUM(_xlfn.XLOOKUP(R14:AF14,增益!$A:$A,增益!$K:$K,0)))/100)</f>
        <v>-0.3</v>
      </c>
      <c r="AZ14" s="32" cm="1">
        <f t="array" ref="AZ14">$G$12+VLOOKUP($Q14,武学奇术!$A:$ZZ,12,FALSE)+SUM(_xlfn.XLOOKUP(R14:AF14,增益!$A:$A,增益!$L:$L,0))</f>
        <v>0</v>
      </c>
      <c r="BA14">
        <f t="shared" si="5"/>
        <v>697.4</v>
      </c>
      <c r="BB14">
        <f t="shared" si="6"/>
        <v>1805</v>
      </c>
      <c r="BC14" s="32" cm="1">
        <f t="array" ref="BC14">IF($F$13-$I$4+VLOOKUP($Q14,武学奇术!$A:$ZZ,13,FALSE)+SUM(_xlfn.XLOOKUP(R14:AF14,增益!$A:$A,增益!$M:$M,0))&gt;0,($F$13-$I$4+VLOOKUP($Q14,武学奇术!$A:$ZZ,13,FALSE)+SUM(_xlfn.XLOOKUP(R14:AF14,增益!$A:$A,增益!$K:$K,0)))/200,($F$13-$I$4+VLOOKUP($Q14,武学奇术!$A:$ZZ,13,FALSE)+SUM(_xlfn.XLOOKUP(R14:AF14,增益!$A:$A,增益!$M:$M,0)))/100)</f>
        <v>0</v>
      </c>
      <c r="BD14" s="32" cm="1">
        <f t="array" ref="BD14">$G$13+VLOOKUP($Q14,武学奇术!$A:$ZZ,14,FALSE)+SUM(_xlfn.XLOOKUP(R14:AF14,增益!$A:$A,增益!$N:$N,0))</f>
        <v>0.15</v>
      </c>
      <c r="BE14">
        <f t="shared" si="7"/>
        <v>0</v>
      </c>
      <c r="BF14">
        <f t="shared" si="8"/>
        <v>0</v>
      </c>
      <c r="BG14" s="32" cm="1">
        <f t="array" ref="BG14">IF($F$14-$I$4+VLOOKUP($Q14,武学奇术!$A:$ZZ,15,FALSE)+SUM(_xlfn.XLOOKUP(R14:AF14,增益!$A:$A,增益!$O:$O,0))&gt;0,($F$14-$I$4+VLOOKUP($Q14,武学奇术!$A:$ZZ,15,FALSE)+SUM(_xlfn.XLOOKUP(R14:AF14,增益!$A:$A,增益!$O:$O,0)))/200,($F$14-$I$4+VLOOKUP($Q14,武学奇术!$A:$ZZ,15,FALSE)+SUM(_xlfn.XLOOKUP(R14:AF14,增益!$A:$A,增益!$O:$O,0)))/100)</f>
        <v>-0.3</v>
      </c>
      <c r="BH14" s="32" cm="1">
        <f t="array" ref="BH14">$G$14+VLOOKUP($Q14,武学奇术!$A:$ZZ,16,FALSE)+SUM(_xlfn.XLOOKUP(R14:AF14,增益!$A:$A,增益!$P:$P,0))</f>
        <v>0</v>
      </c>
      <c r="BI14" s="26">
        <f>MIN(IF(VLOOKUP($Q14,武学奇术!$A:$ZZ,23,FALSE)=1,100%,$B$8),100%)</f>
        <v>1</v>
      </c>
      <c r="BJ14" s="26" cm="1">
        <f t="array" ref="BJ14">IF(VLOOKUP($Q14,武学奇术!$A:$ZZ,23,FALSE)=1,100%,MIN(80%,$B$9+VLOOKUP($Q14,武学奇术!$A:$ZZ,17,FALSE)+SUM(_xlfn.XLOOKUP(R14:AF14,增益!$A:$A,增益!$Q:$Q,0)))+$B$11+SUM(_xlfn.XLOOKUP(R14:AF14,增益!$A:$A,增益!$U:$U,0)))*IF(VLOOKUP($Q14,武学奇术!$A:$ZZ,24,FALSE)=1,0,1)</f>
        <v>0.8625</v>
      </c>
      <c r="BK14" s="26" cm="1">
        <f t="array" ref="BK14">1+$B$13+VLOOKUP($Q14,武学奇术!$A:$ZZ,18,FALSE)+SUM(_xlfn.XLOOKUP(R14:AF14,增益!$A:$A,增益!$R:$R,0))</f>
        <v>1.5</v>
      </c>
      <c r="BL14" s="26" cm="1">
        <f t="array" ref="BL14">IF(VLOOKUP($Q14,武学奇术!$A:$ZZ,24,FALSE)=1,100%,MIN(40%,$B$10+VLOOKUP($Q14,武学奇术!$A:$ZZ,19,FALSE)+SUM(_xlfn.XLOOKUP(R14:AF14,增益!$A:$A,增益!$S:$S,0)))+$B$12+SUM(_xlfn.XLOOKUP(R14:AF14,增益!$A:$A,增益!$V:$V,0)))*IF(VLOOKUP($Q14,武学奇术!$A:$ZZ,23,FALSE)=1,0,1)</f>
        <v>0.0913</v>
      </c>
      <c r="BM14" s="26" cm="1">
        <f t="array" ref="BM14">1+$B$14+VLOOKUP($Q14,武学奇术!$A:$ZZ,20,FALSE)+SUM(_xlfn.XLOOKUP(R14:AF14,增益!$A:$A,增益!$T:$T,0))</f>
        <v>1.35</v>
      </c>
      <c r="BN14" s="26">
        <f t="shared" si="9"/>
        <v>0.8625</v>
      </c>
      <c r="BO14" s="26">
        <f t="shared" si="10"/>
        <v>0.0462</v>
      </c>
      <c r="BP14" s="26">
        <f>IF(VLOOKUP($Q14,武学奇术!$A:$ZZ,22,FALSE)=1,0,(1-$BI14))*(1-$BL14)</f>
        <v>0</v>
      </c>
      <c r="BQ14" s="26" cm="1">
        <f t="array" ref="BQ14">SUM(_xlfn.XLOOKUP(R14:AF14,增益!$A:$A,增益!$W:$W,0))+$I$5</f>
        <v>0.06</v>
      </c>
    </row>
    <row r="15" ht="14.25" spans="1:69">
      <c r="A15" s="41" t="s">
        <v>112</v>
      </c>
      <c r="B15" s="70">
        <f>期望!B15</f>
        <v>0</v>
      </c>
      <c r="C15" s="39" t="s">
        <v>113</v>
      </c>
      <c r="D15" s="39"/>
      <c r="F15" s="79"/>
      <c r="H15" s="80"/>
      <c r="I15" s="75"/>
      <c r="J15" s="76"/>
      <c r="K15" s="38">
        <f t="shared" si="0"/>
        <v>0</v>
      </c>
      <c r="L15" s="38">
        <f>((($AN15+$AO15)/2*$AH15+$AI15)*(1+$AP15)*(1+$AQ15)+(($AS15+$AT15)/2*IF($G$1="鸣金",$AJ15,$AH15)+IF($G$1="鸣金",$AK15*1.5,0))*(1+$AU15)*(1+$AV15)+(($AW15+$AX15)/2*IF($G$1="裂石",$AJ15,$AH15)+IF($G$1="裂石",$AK15*1.5,0))*(1+$AY15)*(1+$AZ15)+(($BA15+$BB15)/2*IF($G$1="牵丝",$AJ15,$AH15)+IF($G$1="牵丝",$AK15*1.5,0))*(1+$BC15)*(1+$BD15)+(($BE15+$BF15)/2*IF($G$1="破竹",$AJ15,$AH15)+IF($G$1="破竹",$AK15*1.5,0))*(1+$BG15)*(1+$BH15))*(1+$AL15)*$BK15*$P15*(1+IF(VLOOKUP($Q15,武学奇术!$A:$ZZ,30,FALSE)="蓄力技",#REF!,0))*(1+$BQ15)</f>
        <v>0</v>
      </c>
      <c r="M15" s="38">
        <f>(($AO15*$AH15+$AI15)*(1+$AP15)*(1+$AQ15)+($AT15*IF($G$1="鸣金",$AJ15,$AH15)+IF($G$1="鸣金",$AK15*1.5,0))*(1+$AU15)*(1+$AV15)+($AX15*IF($G$1="裂石",$AJ15,$AH15)+IF($G$1="裂石",$AK15*1.5,0))*(1+$AY15)*(1+$AZ15)+($BB15*IF($G$1="牵丝",$AJ15,$AH15)+IF($G$1="牵丝",$AK15*1.5,0))*(1+$BC15)*(1+$BD15)+($BF15*IF($G$1="破竹",$AJ15,$AH15)+IF($G$1="破竹",$AK15*1.5,0))*(1+$BG15)*(1+$BH15))*(1+$AL15)*$BM15*$P15*(1+IF(VLOOKUP($Q15,武学奇术!$A:$ZZ,30,FALSE)="蓄力技",#REF!,0))*(1+$BQ15)</f>
        <v>0</v>
      </c>
      <c r="N15" s="38">
        <f>((($AN15+$AO15)/2*$AH15+$AI15)*(1+$AP15)*(1+$AQ15)+(($AS15+$AT15)/2*IF($G$1="鸣金",$AJ15,$AH15)+IF($G$1="鸣金",$AK15*1.5,0))*(1+$AU15)*(1+$AV15)+(($AW15+$AX15)/2*IF($G$1="裂石",$AJ15,$AH15)+IF($G$1="裂石",$AK15*1.5,0))*(1+$AY15)*(1+$AZ15)+(($BA15+$BB15)/2*IF($G$1="牵丝",$AJ15,$AH15)+IF($G$1="牵丝",$AK15*1.5,0))*(1+$BC15)*(1+$BD15)+(($BE15+$BF15)/2*IF($G$1="破竹",$AJ15,$AH15)+IF($G$1="破竹",$AK15*1.5,0))*(1+$BG15)*(1+$BH15))*(1+$AL15)*$P15*(1+IF(VLOOKUP($Q15,武学奇术!$A:$ZZ,30,FALSE)="蓄力技",#REF!,0))*(1+$BQ15)</f>
        <v>0</v>
      </c>
      <c r="O15" s="38">
        <f>((($AN15*$AH15+$AI15)*(1+$AP15)*(1+$AQ15)+($AS15*IF($G$1="鸣金",$AJ15,$AH15)+IF($G$1="鸣金",$AK15*1.5,0))*(1+$AU15)*(1+$AV15)+($AW15*IF($G$1="裂石",$AJ15,$AH15)+IF($G$1="裂石",$AK15*1.5,0))*(1+$AY15)*(1+$AZ15)+($BA15*IF($G$1="牵丝",$AJ15,$AH15)+IF($G$1="牵丝",$AK15*1.5,0))*(1+$BC15)*(1+$BD15)+($BE15*IF($G$1="破竹",$AJ15,$AH15)+IF($G$1="破竹",$AK15*1.5,0))*(1+$BG15)*(1+$BH15))*(1+$AL15))*$P15*(1+IF(VLOOKUP($Q15,武学奇术!$A:$ZZ,30,FALSE)="蓄力技",#REF!,0))*(1+$BQ15)</f>
        <v>0</v>
      </c>
      <c r="P15" s="39">
        <v>1</v>
      </c>
      <c r="Q15" s="40" t="s">
        <v>76</v>
      </c>
      <c r="R15" s="40" t="s">
        <v>76</v>
      </c>
      <c r="S15" s="40" t="s">
        <v>76</v>
      </c>
      <c r="T15" s="40" t="s">
        <v>76</v>
      </c>
      <c r="U15" s="40" t="s">
        <v>76</v>
      </c>
      <c r="V15" s="40" t="s">
        <v>76</v>
      </c>
      <c r="W15" s="40" t="s">
        <v>76</v>
      </c>
      <c r="X15" s="40" t="s">
        <v>76</v>
      </c>
      <c r="Y15" s="40" t="s">
        <v>76</v>
      </c>
      <c r="Z15" s="40" t="s">
        <v>76</v>
      </c>
      <c r="AA15" s="40" t="s">
        <v>76</v>
      </c>
      <c r="AB15" s="40" t="s">
        <v>76</v>
      </c>
      <c r="AC15" s="40" t="s">
        <v>76</v>
      </c>
      <c r="AD15" s="40" t="s">
        <v>76</v>
      </c>
      <c r="AE15" s="40" t="s">
        <v>76</v>
      </c>
      <c r="AF15" s="40" t="s">
        <v>76</v>
      </c>
      <c r="AG15" t="str">
        <f>VLOOKUP($Q15,武学奇术!$A:$ZZ,25,FALSE)</f>
        <v>心法</v>
      </c>
      <c r="AH15" s="26">
        <f>VLOOKUP($Q15,武学奇术!$A:$ZZ,26,FALSE)</f>
        <v>0</v>
      </c>
      <c r="AI15" s="27">
        <f>VLOOKUP($Q15,武学奇术!$A:$ZZ,27,FALSE)*(1+IF(OR($AG15=$F$4,$AG15=$F$5),$B$21,0))</f>
        <v>0</v>
      </c>
      <c r="AJ15" s="26">
        <f>VLOOKUP($Q15,武学奇术!$A:$ZZ,28,FALSE)</f>
        <v>0</v>
      </c>
      <c r="AK15" s="27">
        <f>VLOOKUP($Q15,武学奇术!$A:$ZZ,29,FALSE)*(1+IF(OR($AG15=$F$4,$AG15=$F$5),$B$21,0))</f>
        <v>0</v>
      </c>
      <c r="AL15" s="26" cm="1">
        <f t="array" ref="AL15">$G$3+IFERROR(VLOOKUP($AG15,$F$4:$G$7,2,FALSE),0)+VLOOKUP($Q15,武学奇术!$A:$ZZ,2,FALSE)+SUM(_xlfn.XLOOKUP($R15:$AF15,增益!$A:$A,增益!$B:$B,0))</f>
        <v>0.1842</v>
      </c>
      <c r="AM15" s="26" cm="1">
        <f t="array" ref="AM15">VLOOKUP($Q15,武学奇术!$A:$ZZ,5,FALSE)+SUM(_xlfn.XLOOKUP($R15:$AF15,增益!$A:$A,增益!$E:$E,0))</f>
        <v>0</v>
      </c>
      <c r="AN15" cm="1">
        <f t="array" ref="AN15">$D$10*(1+$AM15)+VLOOKUP($Q15,武学奇术!$A:$ZZ,3,FALSE)+SUM(_xlfn.XLOOKUP($R15:$AF15,增益!$A:$A,增益!$C:$C,0))-$I$2</f>
        <v>3940</v>
      </c>
      <c r="AO15" cm="1">
        <f t="array" ref="AO15">$E$10*(1+$AM15)+VLOOKUP($Q15,武学奇术!$A:$ZZ,4,FALSE)+SUM(_xlfn.XLOOKUP($R15:$AF15,增益!$A:$A,增益!$D:$D,0))-$I$2</f>
        <v>3940</v>
      </c>
      <c r="AP15" s="32" cm="1">
        <f t="array" ref="AP15">IF($F$10-$I$3+VLOOKUP($Q15,武学奇术!$A:$ZZ,6,FALSE)+SUM(_xlfn.XLOOKUP(R15:AF15,增益!$A:$A,增益!$F:$F,0))&gt;0,($F$10-$I$3+VLOOKUP($Q15,武学奇术!$A:$ZZ,6,FALSE)+SUM(_xlfn.XLOOKUP(R15:AF15,增益!$A:$A,增益!$F:$F,0)))/200,($F$10-$I$3+VLOOKUP($Q15,武学奇术!$A:$ZZ,6,FALSE)+SUM(_xlfn.XLOOKUP(R15:AF15,增益!$A:$A,增益!$F:$F,0)))/100)</f>
        <v>0.194</v>
      </c>
      <c r="AQ15" s="32" cm="1">
        <f t="array" ref="AQ15">$G$10+VLOOKUP($Q15,武学奇术!$A:$ZZ,7,FALSE)+SUM(_xlfn.XLOOKUP(R15:AF15,增益!$A:$A,增益!$G:$G,0))</f>
        <v>0</v>
      </c>
      <c r="AR15" s="26" cm="1">
        <f t="array" ref="AR15">VLOOKUP($Q15,武学奇术!$A:$ZZ,8,FALSE)+SUM(_xlfn.XLOOKUP(R15:AF15,增益!$A:$A,增益!$H:$H,0))</f>
        <v>0</v>
      </c>
      <c r="AS15">
        <f t="shared" si="1"/>
        <v>0</v>
      </c>
      <c r="AT15">
        <f t="shared" si="2"/>
        <v>0</v>
      </c>
      <c r="AU15" s="32" cm="1">
        <f t="array" ref="AU15">IF($F$11-$I$4+VLOOKUP($Q15,武学奇术!$A:$ZZ,9,FALSE)+SUM(_xlfn.XLOOKUP(R15:AF15,增益!$A:$A,增益!$I:$I,0))&gt;0,($F$11-$I$4+VLOOKUP($Q15,武学奇术!$A:$ZZ,9,FALSE)+SUM(_xlfn.XLOOKUP(R15:AF15,增益!$A:$A,增益!$I:$I,0)))/200,($F$11-$I$4+VLOOKUP($Q15,武学奇术!$A:$ZZ,9,FALSE)+SUM(_xlfn.XLOOKUP(R15:AF15,增益!$A:$A,增益!$I:$I,0)))/100)</f>
        <v>-0.3</v>
      </c>
      <c r="AV15" s="32" cm="1">
        <f t="array" ref="AV15">$G$11+VLOOKUP($Q15,武学奇术!$A:$ZZ,10,FALSE)+SUM(_xlfn.XLOOKUP(R15:AF15,增益!$A:$A,增益!$J:$J,0))</f>
        <v>0</v>
      </c>
      <c r="AW15">
        <f t="shared" si="3"/>
        <v>0</v>
      </c>
      <c r="AX15">
        <f t="shared" si="4"/>
        <v>0</v>
      </c>
      <c r="AY15" s="32" cm="1">
        <f t="array" ref="AY15">IF($F$12-$I$4+VLOOKUP($Q15,武学奇术!$A:$ZZ,11,FALSE)+SUM(_xlfn.XLOOKUP(R15:AF15,增益!$A:$A,增益!$K:$K,0))&gt;0,($F$12-$I$4+VLOOKUP($Q15,武学奇术!$A:$ZZ,11,FALSE)+SUM(_xlfn.XLOOKUP(R15:AF15,增益!$A:$A,增益!$K:$K,0)))/200,($F$12-$I$4+VLOOKUP($Q15,武学奇术!$A:$ZZ,11,FALSE)+SUM(_xlfn.XLOOKUP(R15:AF15,增益!$A:$A,增益!$K:$K,0)))/100)</f>
        <v>-0.3</v>
      </c>
      <c r="AZ15" s="32" cm="1">
        <f t="array" ref="AZ15">$G$12+VLOOKUP($Q15,武学奇术!$A:$ZZ,12,FALSE)+SUM(_xlfn.XLOOKUP(R15:AF15,增益!$A:$A,增益!$L:$L,0))</f>
        <v>0</v>
      </c>
      <c r="BA15">
        <f t="shared" si="5"/>
        <v>697.4</v>
      </c>
      <c r="BB15">
        <f t="shared" si="6"/>
        <v>1805</v>
      </c>
      <c r="BC15" s="32" cm="1">
        <f t="array" ref="BC15">IF($F$13-$I$4+VLOOKUP($Q15,武学奇术!$A:$ZZ,13,FALSE)+SUM(_xlfn.XLOOKUP(R15:AF15,增益!$A:$A,增益!$M:$M,0))&gt;0,($F$13-$I$4+VLOOKUP($Q15,武学奇术!$A:$ZZ,13,FALSE)+SUM(_xlfn.XLOOKUP(R15:AF15,增益!$A:$A,增益!$K:$K,0)))/200,($F$13-$I$4+VLOOKUP($Q15,武学奇术!$A:$ZZ,13,FALSE)+SUM(_xlfn.XLOOKUP(R15:AF15,增益!$A:$A,增益!$M:$M,0)))/100)</f>
        <v>0</v>
      </c>
      <c r="BD15" s="32" cm="1">
        <f t="array" ref="BD15">$G$13+VLOOKUP($Q15,武学奇术!$A:$ZZ,14,FALSE)+SUM(_xlfn.XLOOKUP(R15:AF15,增益!$A:$A,增益!$N:$N,0))</f>
        <v>0.15</v>
      </c>
      <c r="BE15">
        <f t="shared" si="7"/>
        <v>0</v>
      </c>
      <c r="BF15">
        <f t="shared" si="8"/>
        <v>0</v>
      </c>
      <c r="BG15" s="32" cm="1">
        <f t="array" ref="BG15">IF($F$14-$I$4+VLOOKUP($Q15,武学奇术!$A:$ZZ,15,FALSE)+SUM(_xlfn.XLOOKUP(R15:AF15,增益!$A:$A,增益!$O:$O,0))&gt;0,($F$14-$I$4+VLOOKUP($Q15,武学奇术!$A:$ZZ,15,FALSE)+SUM(_xlfn.XLOOKUP(R15:AF15,增益!$A:$A,增益!$O:$O,0)))/200,($F$14-$I$4+VLOOKUP($Q15,武学奇术!$A:$ZZ,15,FALSE)+SUM(_xlfn.XLOOKUP(R15:AF15,增益!$A:$A,增益!$O:$O,0)))/100)</f>
        <v>-0.3</v>
      </c>
      <c r="BH15" s="32" cm="1">
        <f t="array" ref="BH15">$G$14+VLOOKUP($Q15,武学奇术!$A:$ZZ,16,FALSE)+SUM(_xlfn.XLOOKUP(R15:AF15,增益!$A:$A,增益!$P:$P,0))</f>
        <v>0</v>
      </c>
      <c r="BI15" s="26">
        <f>MIN(IF(VLOOKUP($Q15,武学奇术!$A:$ZZ,23,FALSE)=1,100%,$B$8),100%)</f>
        <v>1</v>
      </c>
      <c r="BJ15" s="26" cm="1">
        <f t="array" ref="BJ15">IF(VLOOKUP($Q15,武学奇术!$A:$ZZ,23,FALSE)=1,100%,MIN(80%,$B$9+VLOOKUP($Q15,武学奇术!$A:$ZZ,17,FALSE)+SUM(_xlfn.XLOOKUP(R15:AF15,增益!$A:$A,增益!$Q:$Q,0)))+$B$11+SUM(_xlfn.XLOOKUP(R15:AF15,增益!$A:$A,增益!$U:$U,0)))*IF(VLOOKUP($Q15,武学奇术!$A:$ZZ,24,FALSE)=1,0,1)</f>
        <v>0.8625</v>
      </c>
      <c r="BK15" s="26" cm="1">
        <f t="array" ref="BK15">1+$B$13+VLOOKUP($Q15,武学奇术!$A:$ZZ,18,FALSE)+SUM(_xlfn.XLOOKUP(R15:AF15,增益!$A:$A,增益!$R:$R,0))</f>
        <v>1.5</v>
      </c>
      <c r="BL15" s="26" cm="1">
        <f t="array" ref="BL15">IF(VLOOKUP($Q15,武学奇术!$A:$ZZ,24,FALSE)=1,100%,MIN(40%,$B$10+VLOOKUP($Q15,武学奇术!$A:$ZZ,19,FALSE)+SUM(_xlfn.XLOOKUP(R15:AF15,增益!$A:$A,增益!$S:$S,0)))+$B$12+SUM(_xlfn.XLOOKUP(R15:AF15,增益!$A:$A,增益!$V:$V,0)))*IF(VLOOKUP($Q15,武学奇术!$A:$ZZ,23,FALSE)=1,0,1)</f>
        <v>0.0913</v>
      </c>
      <c r="BM15" s="26" cm="1">
        <f t="array" ref="BM15">1+$B$14+VLOOKUP($Q15,武学奇术!$A:$ZZ,20,FALSE)+SUM(_xlfn.XLOOKUP(R15:AF15,增益!$A:$A,增益!$T:$T,0))</f>
        <v>1.35</v>
      </c>
      <c r="BN15" s="26">
        <f t="shared" si="9"/>
        <v>0.8625</v>
      </c>
      <c r="BO15" s="26">
        <f t="shared" si="10"/>
        <v>0.0462</v>
      </c>
      <c r="BP15" s="26">
        <f>IF(VLOOKUP($Q15,武学奇术!$A:$ZZ,22,FALSE)=1,0,(1-$BI15))*(1-$BL15)</f>
        <v>0</v>
      </c>
      <c r="BQ15" s="26" cm="1">
        <f t="array" ref="BQ15">SUM(_xlfn.XLOOKUP(R15:AF15,增益!$A:$A,增益!$W:$W,0))+$I$5</f>
        <v>0.06</v>
      </c>
    </row>
    <row r="16" spans="1:69">
      <c r="A16" s="41" t="s">
        <v>114</v>
      </c>
      <c r="B16" s="70">
        <f>期望!B16</f>
        <v>0.0892</v>
      </c>
      <c r="C16" s="39" t="s">
        <v>115</v>
      </c>
      <c r="D16" s="79" t="s">
        <v>135</v>
      </c>
      <c r="E16" s="39" t="s">
        <v>117</v>
      </c>
      <c r="F16" s="79" t="s">
        <v>116</v>
      </c>
      <c r="H16" s="68" t="s">
        <v>118</v>
      </c>
      <c r="I16" s="81"/>
      <c r="J16" s="82"/>
      <c r="K16" s="38">
        <f t="shared" si="0"/>
        <v>0</v>
      </c>
      <c r="L16" s="38">
        <f>((($AN16+$AO16)/2*$AH16+$AI16)*(1+$AP16)*(1+$AQ16)+(($AS16+$AT16)/2*IF($G$1="鸣金",$AJ16,$AH16)+IF($G$1="鸣金",$AK16*1.5,0))*(1+$AU16)*(1+$AV16)+(($AW16+$AX16)/2*IF($G$1="裂石",$AJ16,$AH16)+IF($G$1="裂石",$AK16*1.5,0))*(1+$AY16)*(1+$AZ16)+(($BA16+$BB16)/2*IF($G$1="牵丝",$AJ16,$AH16)+IF($G$1="牵丝",$AK16*1.5,0))*(1+$BC16)*(1+$BD16)+(($BE16+$BF16)/2*IF($G$1="破竹",$AJ16,$AH16)+IF($G$1="破竹",$AK16*1.5,0))*(1+$BG16)*(1+$BH16))*(1+$AL16)*$BK16*$P16*(1+IF(VLOOKUP($Q16,武学奇术!$A:$ZZ,30,FALSE)="蓄力技",#REF!,0))*(1+$BQ16)</f>
        <v>0</v>
      </c>
      <c r="M16" s="38">
        <f>(($AO16*$AH16+$AI16)*(1+$AP16)*(1+$AQ16)+($AT16*IF($G$1="鸣金",$AJ16,$AH16)+IF($G$1="鸣金",$AK16*1.5,0))*(1+$AU16)*(1+$AV16)+($AX16*IF($G$1="裂石",$AJ16,$AH16)+IF($G$1="裂石",$AK16*1.5,0))*(1+$AY16)*(1+$AZ16)+($BB16*IF($G$1="牵丝",$AJ16,$AH16)+IF($G$1="牵丝",$AK16*1.5,0))*(1+$BC16)*(1+$BD16)+($BF16*IF($G$1="破竹",$AJ16,$AH16)+IF($G$1="破竹",$AK16*1.5,0))*(1+$BG16)*(1+$BH16))*(1+$AL16)*$BM16*$P16*(1+IF(VLOOKUP($Q16,武学奇术!$A:$ZZ,30,FALSE)="蓄力技",#REF!,0))*(1+$BQ16)</f>
        <v>0</v>
      </c>
      <c r="N16" s="38">
        <f>((($AN16+$AO16)/2*$AH16+$AI16)*(1+$AP16)*(1+$AQ16)+(($AS16+$AT16)/2*IF($G$1="鸣金",$AJ16,$AH16)+IF($G$1="鸣金",$AK16*1.5,0))*(1+$AU16)*(1+$AV16)+(($AW16+$AX16)/2*IF($G$1="裂石",$AJ16,$AH16)+IF($G$1="裂石",$AK16*1.5,0))*(1+$AY16)*(1+$AZ16)+(($BA16+$BB16)/2*IF($G$1="牵丝",$AJ16,$AH16)+IF($G$1="牵丝",$AK16*1.5,0))*(1+$BC16)*(1+$BD16)+(($BE16+$BF16)/2*IF($G$1="破竹",$AJ16,$AH16)+IF($G$1="破竹",$AK16*1.5,0))*(1+$BG16)*(1+$BH16))*(1+$AL16)*$P16*(1+IF(VLOOKUP($Q16,武学奇术!$A:$ZZ,30,FALSE)="蓄力技",#REF!,0))*(1+$BQ16)</f>
        <v>0</v>
      </c>
      <c r="O16" s="38">
        <f>((($AN16*$AH16+$AI16)*(1+$AP16)*(1+$AQ16)+($AS16*IF($G$1="鸣金",$AJ16,$AH16)+IF($G$1="鸣金",$AK16*1.5,0))*(1+$AU16)*(1+$AV16)+($AW16*IF($G$1="裂石",$AJ16,$AH16)+IF($G$1="裂石",$AK16*1.5,0))*(1+$AY16)*(1+$AZ16)+($BA16*IF($G$1="牵丝",$AJ16,$AH16)+IF($G$1="牵丝",$AK16*1.5,0))*(1+$BC16)*(1+$BD16)+($BE16*IF($G$1="破竹",$AJ16,$AH16)+IF($G$1="破竹",$AK16*1.5,0))*(1+$BG16)*(1+$BH16))*(1+$AL16))*$P16*(1+IF(VLOOKUP($Q16,武学奇术!$A:$ZZ,30,FALSE)="蓄力技",#REF!,0))*(1+$BQ16)</f>
        <v>0</v>
      </c>
      <c r="P16" s="39">
        <v>1</v>
      </c>
      <c r="Q16" s="40" t="s">
        <v>76</v>
      </c>
      <c r="R16" s="40" t="s">
        <v>76</v>
      </c>
      <c r="S16" s="40" t="s">
        <v>76</v>
      </c>
      <c r="T16" s="40" t="s">
        <v>76</v>
      </c>
      <c r="U16" s="40" t="s">
        <v>76</v>
      </c>
      <c r="V16" s="40" t="s">
        <v>76</v>
      </c>
      <c r="W16" s="40" t="s">
        <v>76</v>
      </c>
      <c r="X16" s="40" t="s">
        <v>76</v>
      </c>
      <c r="Y16" s="40" t="s">
        <v>76</v>
      </c>
      <c r="Z16" s="40" t="s">
        <v>76</v>
      </c>
      <c r="AA16" s="40" t="s">
        <v>76</v>
      </c>
      <c r="AB16" s="40" t="s">
        <v>76</v>
      </c>
      <c r="AC16" s="40" t="s">
        <v>76</v>
      </c>
      <c r="AD16" s="40" t="s">
        <v>76</v>
      </c>
      <c r="AE16" s="40" t="s">
        <v>76</v>
      </c>
      <c r="AF16" s="40" t="s">
        <v>76</v>
      </c>
      <c r="AG16" t="str">
        <f>VLOOKUP($Q16,武学奇术!$A:$ZZ,25,FALSE)</f>
        <v>心法</v>
      </c>
      <c r="AH16" s="26">
        <f>VLOOKUP($Q16,武学奇术!$A:$ZZ,26,FALSE)</f>
        <v>0</v>
      </c>
      <c r="AI16" s="27">
        <f>VLOOKUP($Q16,武学奇术!$A:$ZZ,27,FALSE)*(1+IF(OR($AG16=$F$4,$AG16=$F$5),$B$21,0))</f>
        <v>0</v>
      </c>
      <c r="AJ16" s="26">
        <f>VLOOKUP($Q16,武学奇术!$A:$ZZ,28,FALSE)</f>
        <v>0</v>
      </c>
      <c r="AK16" s="27">
        <f>VLOOKUP($Q16,武学奇术!$A:$ZZ,29,FALSE)*(1+IF(OR($AG16=$F$4,$AG16=$F$5),$B$21,0))</f>
        <v>0</v>
      </c>
      <c r="AL16" s="26" cm="1">
        <f t="array" ref="AL16">$G$3+IFERROR(VLOOKUP($AG16,$F$4:$G$7,2,FALSE),0)+VLOOKUP($Q16,武学奇术!$A:$ZZ,2,FALSE)+SUM(_xlfn.XLOOKUP($R16:$AF16,增益!$A:$A,增益!$B:$B,0))</f>
        <v>0.1842</v>
      </c>
      <c r="AM16" s="26" cm="1">
        <f t="array" ref="AM16">VLOOKUP($Q16,武学奇术!$A:$ZZ,5,FALSE)+SUM(_xlfn.XLOOKUP($R16:$AF16,增益!$A:$A,增益!$E:$E,0))</f>
        <v>0</v>
      </c>
      <c r="AN16" cm="1">
        <f t="array" ref="AN16">$D$10*(1+$AM16)+VLOOKUP($Q16,武学奇术!$A:$ZZ,3,FALSE)+SUM(_xlfn.XLOOKUP($R16:$AF16,增益!$A:$A,增益!$C:$C,0))-$I$2</f>
        <v>3940</v>
      </c>
      <c r="AO16" cm="1">
        <f t="array" ref="AO16">$E$10*(1+$AM16)+VLOOKUP($Q16,武学奇术!$A:$ZZ,4,FALSE)+SUM(_xlfn.XLOOKUP($R16:$AF16,增益!$A:$A,增益!$D:$D,0))-$I$2</f>
        <v>3940</v>
      </c>
      <c r="AP16" s="32" cm="1">
        <f t="array" ref="AP16">IF($F$10-$I$3+VLOOKUP($Q16,武学奇术!$A:$ZZ,6,FALSE)+SUM(_xlfn.XLOOKUP(R16:AF16,增益!$A:$A,增益!$F:$F,0))&gt;0,($F$10-$I$3+VLOOKUP($Q16,武学奇术!$A:$ZZ,6,FALSE)+SUM(_xlfn.XLOOKUP(R16:AF16,增益!$A:$A,增益!$F:$F,0)))/200,($F$10-$I$3+VLOOKUP($Q16,武学奇术!$A:$ZZ,6,FALSE)+SUM(_xlfn.XLOOKUP(R16:AF16,增益!$A:$A,增益!$F:$F,0)))/100)</f>
        <v>0.194</v>
      </c>
      <c r="AQ16" s="32" cm="1">
        <f t="array" ref="AQ16">$G$10+VLOOKUP($Q16,武学奇术!$A:$ZZ,7,FALSE)+SUM(_xlfn.XLOOKUP(R16:AF16,增益!$A:$A,增益!$G:$G,0))</f>
        <v>0</v>
      </c>
      <c r="AR16" s="26" cm="1">
        <f t="array" ref="AR16">VLOOKUP($Q16,武学奇术!$A:$ZZ,8,FALSE)+SUM(_xlfn.XLOOKUP(R16:AF16,增益!$A:$A,增益!$H:$H,0))</f>
        <v>0</v>
      </c>
      <c r="AS16">
        <f t="shared" si="1"/>
        <v>0</v>
      </c>
      <c r="AT16">
        <f t="shared" si="2"/>
        <v>0</v>
      </c>
      <c r="AU16" s="32" cm="1">
        <f t="array" ref="AU16">IF($F$11-$I$4+VLOOKUP($Q16,武学奇术!$A:$ZZ,9,FALSE)+SUM(_xlfn.XLOOKUP(R16:AF16,增益!$A:$A,增益!$I:$I,0))&gt;0,($F$11-$I$4+VLOOKUP($Q16,武学奇术!$A:$ZZ,9,FALSE)+SUM(_xlfn.XLOOKUP(R16:AF16,增益!$A:$A,增益!$I:$I,0)))/200,($F$11-$I$4+VLOOKUP($Q16,武学奇术!$A:$ZZ,9,FALSE)+SUM(_xlfn.XLOOKUP(R16:AF16,增益!$A:$A,增益!$I:$I,0)))/100)</f>
        <v>-0.3</v>
      </c>
      <c r="AV16" s="32" cm="1">
        <f t="array" ref="AV16">$G$11+VLOOKUP($Q16,武学奇术!$A:$ZZ,10,FALSE)+SUM(_xlfn.XLOOKUP(R16:AF16,增益!$A:$A,增益!$J:$J,0))</f>
        <v>0</v>
      </c>
      <c r="AW16">
        <f t="shared" si="3"/>
        <v>0</v>
      </c>
      <c r="AX16">
        <f t="shared" si="4"/>
        <v>0</v>
      </c>
      <c r="AY16" s="32" cm="1">
        <f t="array" ref="AY16">IF($F$12-$I$4+VLOOKUP($Q16,武学奇术!$A:$ZZ,11,FALSE)+SUM(_xlfn.XLOOKUP(R16:AF16,增益!$A:$A,增益!$K:$K,0))&gt;0,($F$12-$I$4+VLOOKUP($Q16,武学奇术!$A:$ZZ,11,FALSE)+SUM(_xlfn.XLOOKUP(R16:AF16,增益!$A:$A,增益!$K:$K,0)))/200,($F$12-$I$4+VLOOKUP($Q16,武学奇术!$A:$ZZ,11,FALSE)+SUM(_xlfn.XLOOKUP(R16:AF16,增益!$A:$A,增益!$K:$K,0)))/100)</f>
        <v>-0.3</v>
      </c>
      <c r="AZ16" s="32" cm="1">
        <f t="array" ref="AZ16">$G$12+VLOOKUP($Q16,武学奇术!$A:$ZZ,12,FALSE)+SUM(_xlfn.XLOOKUP(R16:AF16,增益!$A:$A,增益!$L:$L,0))</f>
        <v>0</v>
      </c>
      <c r="BA16">
        <f t="shared" si="5"/>
        <v>697.4</v>
      </c>
      <c r="BB16">
        <f t="shared" si="6"/>
        <v>1805</v>
      </c>
      <c r="BC16" s="32" cm="1">
        <f t="array" ref="BC16">IF($F$13-$I$4+VLOOKUP($Q16,武学奇术!$A:$ZZ,13,FALSE)+SUM(_xlfn.XLOOKUP(R16:AF16,增益!$A:$A,增益!$M:$M,0))&gt;0,($F$13-$I$4+VLOOKUP($Q16,武学奇术!$A:$ZZ,13,FALSE)+SUM(_xlfn.XLOOKUP(R16:AF16,增益!$A:$A,增益!$K:$K,0)))/200,($F$13-$I$4+VLOOKUP($Q16,武学奇术!$A:$ZZ,13,FALSE)+SUM(_xlfn.XLOOKUP(R16:AF16,增益!$A:$A,增益!$M:$M,0)))/100)</f>
        <v>0</v>
      </c>
      <c r="BD16" s="32" cm="1">
        <f t="array" ref="BD16">$G$13+VLOOKUP($Q16,武学奇术!$A:$ZZ,14,FALSE)+SUM(_xlfn.XLOOKUP(R16:AF16,增益!$A:$A,增益!$N:$N,0))</f>
        <v>0.15</v>
      </c>
      <c r="BE16">
        <f t="shared" si="7"/>
        <v>0</v>
      </c>
      <c r="BF16">
        <f t="shared" si="8"/>
        <v>0</v>
      </c>
      <c r="BG16" s="32" cm="1">
        <f t="array" ref="BG16">IF($F$14-$I$4+VLOOKUP($Q16,武学奇术!$A:$ZZ,15,FALSE)+SUM(_xlfn.XLOOKUP(R16:AF16,增益!$A:$A,增益!$O:$O,0))&gt;0,($F$14-$I$4+VLOOKUP($Q16,武学奇术!$A:$ZZ,15,FALSE)+SUM(_xlfn.XLOOKUP(R16:AF16,增益!$A:$A,增益!$O:$O,0)))/200,($F$14-$I$4+VLOOKUP($Q16,武学奇术!$A:$ZZ,15,FALSE)+SUM(_xlfn.XLOOKUP(R16:AF16,增益!$A:$A,增益!$O:$O,0)))/100)</f>
        <v>-0.3</v>
      </c>
      <c r="BH16" s="32" cm="1">
        <f t="array" ref="BH16">$G$14+VLOOKUP($Q16,武学奇术!$A:$ZZ,16,FALSE)+SUM(_xlfn.XLOOKUP(R16:AF16,增益!$A:$A,增益!$P:$P,0))</f>
        <v>0</v>
      </c>
      <c r="BI16" s="26">
        <f>MIN(IF(VLOOKUP($Q16,武学奇术!$A:$ZZ,23,FALSE)=1,100%,$B$8),100%)</f>
        <v>1</v>
      </c>
      <c r="BJ16" s="26" cm="1">
        <f t="array" ref="BJ16">IF(VLOOKUP($Q16,武学奇术!$A:$ZZ,23,FALSE)=1,100%,MIN(80%,$B$9+VLOOKUP($Q16,武学奇术!$A:$ZZ,17,FALSE)+SUM(_xlfn.XLOOKUP(R16:AF16,增益!$A:$A,增益!$Q:$Q,0)))+$B$11+SUM(_xlfn.XLOOKUP(R16:AF16,增益!$A:$A,增益!$U:$U,0)))*IF(VLOOKUP($Q16,武学奇术!$A:$ZZ,24,FALSE)=1,0,1)</f>
        <v>0.8625</v>
      </c>
      <c r="BK16" s="26" cm="1">
        <f t="array" ref="BK16">1+$B$13+VLOOKUP($Q16,武学奇术!$A:$ZZ,18,FALSE)+SUM(_xlfn.XLOOKUP(R16:AF16,增益!$A:$A,增益!$R:$R,0))</f>
        <v>1.5</v>
      </c>
      <c r="BL16" s="26" cm="1">
        <f t="array" ref="BL16">IF(VLOOKUP($Q16,武学奇术!$A:$ZZ,24,FALSE)=1,100%,MIN(40%,$B$10+VLOOKUP($Q16,武学奇术!$A:$ZZ,19,FALSE)+SUM(_xlfn.XLOOKUP(R16:AF16,增益!$A:$A,增益!$S:$S,0)))+$B$12+SUM(_xlfn.XLOOKUP(R16:AF16,增益!$A:$A,增益!$V:$V,0)))*IF(VLOOKUP($Q16,武学奇术!$A:$ZZ,23,FALSE)=1,0,1)</f>
        <v>0.0913</v>
      </c>
      <c r="BM16" s="26" cm="1">
        <f t="array" ref="BM16">1+$B$14+VLOOKUP($Q16,武学奇术!$A:$ZZ,20,FALSE)+SUM(_xlfn.XLOOKUP(R16:AF16,增益!$A:$A,增益!$T:$T,0))</f>
        <v>1.35</v>
      </c>
      <c r="BN16" s="26">
        <f t="shared" si="9"/>
        <v>0.8625</v>
      </c>
      <c r="BO16" s="26">
        <f t="shared" si="10"/>
        <v>0.0462</v>
      </c>
      <c r="BP16" s="26">
        <f>IF(VLOOKUP($Q16,武学奇术!$A:$ZZ,22,FALSE)=1,0,(1-$BI16))*(1-$BL16)</f>
        <v>0</v>
      </c>
      <c r="BQ16" s="26" cm="1">
        <f t="array" ref="BQ16">SUM(_xlfn.XLOOKUP(R16:AF16,增益!$A:$A,增益!$W:$W,0))+$I$5</f>
        <v>0.06</v>
      </c>
    </row>
    <row r="17" ht="14.25" spans="1:69">
      <c r="A17" s="41" t="s">
        <v>72</v>
      </c>
      <c r="B17" s="70">
        <f>期望!B17</f>
        <v>0</v>
      </c>
      <c r="C17" s="39" t="s">
        <v>119</v>
      </c>
      <c r="D17" s="79" t="s">
        <v>135</v>
      </c>
      <c r="E17" s="39" t="s">
        <v>120</v>
      </c>
      <c r="F17" s="79" t="s">
        <v>135</v>
      </c>
      <c r="H17" s="71"/>
      <c r="I17" s="83"/>
      <c r="J17" s="84"/>
      <c r="K17" s="38">
        <f t="shared" si="0"/>
        <v>0</v>
      </c>
      <c r="L17" s="38">
        <f>((($AN17+$AO17)/2*$AH17+$AI17)*(1+$AP17)*(1+$AQ17)+(($AS17+$AT17)/2*IF($G$1="鸣金",$AJ17,$AH17)+IF($G$1="鸣金",$AK17*1.5,0))*(1+$AU17)*(1+$AV17)+(($AW17+$AX17)/2*IF($G$1="裂石",$AJ17,$AH17)+IF($G$1="裂石",$AK17*1.5,0))*(1+$AY17)*(1+$AZ17)+(($BA17+$BB17)/2*IF($G$1="牵丝",$AJ17,$AH17)+IF($G$1="牵丝",$AK17*1.5,0))*(1+$BC17)*(1+$BD17)+(($BE17+$BF17)/2*IF($G$1="破竹",$AJ17,$AH17)+IF($G$1="破竹",$AK17*1.5,0))*(1+$BG17)*(1+$BH17))*(1+$AL17)*$BK17*$P17*(1+IF(VLOOKUP($Q17,武学奇术!$A:$ZZ,30,FALSE)="蓄力技",#REF!,0))*(1+$BQ17)</f>
        <v>0</v>
      </c>
      <c r="M17" s="38">
        <f>(($AO17*$AH17+$AI17)*(1+$AP17)*(1+$AQ17)+($AT17*IF($G$1="鸣金",$AJ17,$AH17)+IF($G$1="鸣金",$AK17*1.5,0))*(1+$AU17)*(1+$AV17)+($AX17*IF($G$1="裂石",$AJ17,$AH17)+IF($G$1="裂石",$AK17*1.5,0))*(1+$AY17)*(1+$AZ17)+($BB17*IF($G$1="牵丝",$AJ17,$AH17)+IF($G$1="牵丝",$AK17*1.5,0))*(1+$BC17)*(1+$BD17)+($BF17*IF($G$1="破竹",$AJ17,$AH17)+IF($G$1="破竹",$AK17*1.5,0))*(1+$BG17)*(1+$BH17))*(1+$AL17)*$BM17*$P17*(1+IF(VLOOKUP($Q17,武学奇术!$A:$ZZ,30,FALSE)="蓄力技",#REF!,0))*(1+$BQ17)</f>
        <v>0</v>
      </c>
      <c r="N17" s="38">
        <f>((($AN17+$AO17)/2*$AH17+$AI17)*(1+$AP17)*(1+$AQ17)+(($AS17+$AT17)/2*IF($G$1="鸣金",$AJ17,$AH17)+IF($G$1="鸣金",$AK17*1.5,0))*(1+$AU17)*(1+$AV17)+(($AW17+$AX17)/2*IF($G$1="裂石",$AJ17,$AH17)+IF($G$1="裂石",$AK17*1.5,0))*(1+$AY17)*(1+$AZ17)+(($BA17+$BB17)/2*IF($G$1="牵丝",$AJ17,$AH17)+IF($G$1="牵丝",$AK17*1.5,0))*(1+$BC17)*(1+$BD17)+(($BE17+$BF17)/2*IF($G$1="破竹",$AJ17,$AH17)+IF($G$1="破竹",$AK17*1.5,0))*(1+$BG17)*(1+$BH17))*(1+$AL17)*$P17*(1+IF(VLOOKUP($Q17,武学奇术!$A:$ZZ,30,FALSE)="蓄力技",#REF!,0))*(1+$BQ17)</f>
        <v>0</v>
      </c>
      <c r="O17" s="38">
        <f>((($AN17*$AH17+$AI17)*(1+$AP17)*(1+$AQ17)+($AS17*IF($G$1="鸣金",$AJ17,$AH17)+IF($G$1="鸣金",$AK17*1.5,0))*(1+$AU17)*(1+$AV17)+($AW17*IF($G$1="裂石",$AJ17,$AH17)+IF($G$1="裂石",$AK17*1.5,0))*(1+$AY17)*(1+$AZ17)+($BA17*IF($G$1="牵丝",$AJ17,$AH17)+IF($G$1="牵丝",$AK17*1.5,0))*(1+$BC17)*(1+$BD17)+($BE17*IF($G$1="破竹",$AJ17,$AH17)+IF($G$1="破竹",$AK17*1.5,0))*(1+$BG17)*(1+$BH17))*(1+$AL17))*$P17*(1+IF(VLOOKUP($Q17,武学奇术!$A:$ZZ,30,FALSE)="蓄力技",#REF!,0))*(1+$BQ17)</f>
        <v>0</v>
      </c>
      <c r="P17" s="39">
        <v>1</v>
      </c>
      <c r="Q17" s="40" t="s">
        <v>76</v>
      </c>
      <c r="R17" s="40" t="s">
        <v>76</v>
      </c>
      <c r="S17" s="40" t="s">
        <v>76</v>
      </c>
      <c r="T17" s="40" t="s">
        <v>76</v>
      </c>
      <c r="U17" s="40" t="s">
        <v>76</v>
      </c>
      <c r="V17" s="40" t="s">
        <v>76</v>
      </c>
      <c r="W17" s="40" t="s">
        <v>76</v>
      </c>
      <c r="X17" s="40" t="s">
        <v>76</v>
      </c>
      <c r="Y17" s="40" t="s">
        <v>76</v>
      </c>
      <c r="Z17" s="40" t="s">
        <v>76</v>
      </c>
      <c r="AA17" s="40" t="s">
        <v>76</v>
      </c>
      <c r="AB17" s="40" t="s">
        <v>76</v>
      </c>
      <c r="AC17" s="40" t="s">
        <v>76</v>
      </c>
      <c r="AD17" s="40" t="s">
        <v>76</v>
      </c>
      <c r="AE17" s="40" t="s">
        <v>76</v>
      </c>
      <c r="AF17" s="40" t="s">
        <v>76</v>
      </c>
      <c r="AG17" t="str">
        <f>VLOOKUP($Q17,武学奇术!$A:$ZZ,25,FALSE)</f>
        <v>心法</v>
      </c>
      <c r="AH17" s="26">
        <f>VLOOKUP($Q17,武学奇术!$A:$ZZ,26,FALSE)</f>
        <v>0</v>
      </c>
      <c r="AI17" s="27">
        <f>VLOOKUP($Q17,武学奇术!$A:$ZZ,27,FALSE)*(1+IF(OR($AG17=$F$4,$AG17=$F$5),$B$21,0))</f>
        <v>0</v>
      </c>
      <c r="AJ17" s="26">
        <f>VLOOKUP($Q17,武学奇术!$A:$ZZ,28,FALSE)</f>
        <v>0</v>
      </c>
      <c r="AK17" s="27">
        <f>VLOOKUP($Q17,武学奇术!$A:$ZZ,29,FALSE)*(1+IF(OR($AG17=$F$4,$AG17=$F$5),$B$21,0))</f>
        <v>0</v>
      </c>
      <c r="AL17" s="26" cm="1">
        <f t="array" ref="AL17">$G$3+IFERROR(VLOOKUP($AG17,$F$4:$G$7,2,FALSE),0)+VLOOKUP($Q17,武学奇术!$A:$ZZ,2,FALSE)+SUM(_xlfn.XLOOKUP($R17:$AF17,增益!$A:$A,增益!$B:$B,0))</f>
        <v>0.1842</v>
      </c>
      <c r="AM17" s="26" cm="1">
        <f t="array" ref="AM17">VLOOKUP($Q17,武学奇术!$A:$ZZ,5,FALSE)+SUM(_xlfn.XLOOKUP($R17:$AF17,增益!$A:$A,增益!$E:$E,0))</f>
        <v>0</v>
      </c>
      <c r="AN17" cm="1">
        <f t="array" ref="AN17">$D$10*(1+$AM17)+VLOOKUP($Q17,武学奇术!$A:$ZZ,3,FALSE)+SUM(_xlfn.XLOOKUP($R17:$AF17,增益!$A:$A,增益!$C:$C,0))-$I$2</f>
        <v>3940</v>
      </c>
      <c r="AO17" cm="1">
        <f t="array" ref="AO17">$E$10*(1+$AM17)+VLOOKUP($Q17,武学奇术!$A:$ZZ,4,FALSE)+SUM(_xlfn.XLOOKUP($R17:$AF17,增益!$A:$A,增益!$D:$D,0))-$I$2</f>
        <v>3940</v>
      </c>
      <c r="AP17" s="32" cm="1">
        <f t="array" ref="AP17">IF($F$10-$I$3+VLOOKUP($Q17,武学奇术!$A:$ZZ,6,FALSE)+SUM(_xlfn.XLOOKUP(R17:AF17,增益!$A:$A,增益!$F:$F,0))&gt;0,($F$10-$I$3+VLOOKUP($Q17,武学奇术!$A:$ZZ,6,FALSE)+SUM(_xlfn.XLOOKUP(R17:AF17,增益!$A:$A,增益!$F:$F,0)))/200,($F$10-$I$3+VLOOKUP($Q17,武学奇术!$A:$ZZ,6,FALSE)+SUM(_xlfn.XLOOKUP(R17:AF17,增益!$A:$A,增益!$F:$F,0)))/100)</f>
        <v>0.194</v>
      </c>
      <c r="AQ17" s="32" cm="1">
        <f t="array" ref="AQ17">$G$10+VLOOKUP($Q17,武学奇术!$A:$ZZ,7,FALSE)+SUM(_xlfn.XLOOKUP(R17:AF17,增益!$A:$A,增益!$G:$G,0))</f>
        <v>0</v>
      </c>
      <c r="AR17" s="26" cm="1">
        <f t="array" ref="AR17">VLOOKUP($Q17,武学奇术!$A:$ZZ,8,FALSE)+SUM(_xlfn.XLOOKUP(R17:AF17,增益!$A:$A,增益!$H:$H,0))</f>
        <v>0</v>
      </c>
      <c r="AS17">
        <f t="shared" si="1"/>
        <v>0</v>
      </c>
      <c r="AT17">
        <f t="shared" si="2"/>
        <v>0</v>
      </c>
      <c r="AU17" s="32" cm="1">
        <f t="array" ref="AU17">IF($F$11-$I$4+VLOOKUP($Q17,武学奇术!$A:$ZZ,9,FALSE)+SUM(_xlfn.XLOOKUP(R17:AF17,增益!$A:$A,增益!$I:$I,0))&gt;0,($F$11-$I$4+VLOOKUP($Q17,武学奇术!$A:$ZZ,9,FALSE)+SUM(_xlfn.XLOOKUP(R17:AF17,增益!$A:$A,增益!$I:$I,0)))/200,($F$11-$I$4+VLOOKUP($Q17,武学奇术!$A:$ZZ,9,FALSE)+SUM(_xlfn.XLOOKUP(R17:AF17,增益!$A:$A,增益!$I:$I,0)))/100)</f>
        <v>-0.3</v>
      </c>
      <c r="AV17" s="32" cm="1">
        <f t="array" ref="AV17">$G$11+VLOOKUP($Q17,武学奇术!$A:$ZZ,10,FALSE)+SUM(_xlfn.XLOOKUP(R17:AF17,增益!$A:$A,增益!$J:$J,0))</f>
        <v>0</v>
      </c>
      <c r="AW17">
        <f t="shared" si="3"/>
        <v>0</v>
      </c>
      <c r="AX17">
        <f t="shared" si="4"/>
        <v>0</v>
      </c>
      <c r="AY17" s="32" cm="1">
        <f t="array" ref="AY17">IF($F$12-$I$4+VLOOKUP($Q17,武学奇术!$A:$ZZ,11,FALSE)+SUM(_xlfn.XLOOKUP(R17:AF17,增益!$A:$A,增益!$K:$K,0))&gt;0,($F$12-$I$4+VLOOKUP($Q17,武学奇术!$A:$ZZ,11,FALSE)+SUM(_xlfn.XLOOKUP(R17:AF17,增益!$A:$A,增益!$K:$K,0)))/200,($F$12-$I$4+VLOOKUP($Q17,武学奇术!$A:$ZZ,11,FALSE)+SUM(_xlfn.XLOOKUP(R17:AF17,增益!$A:$A,增益!$K:$K,0)))/100)</f>
        <v>-0.3</v>
      </c>
      <c r="AZ17" s="32" cm="1">
        <f t="array" ref="AZ17">$G$12+VLOOKUP($Q17,武学奇术!$A:$ZZ,12,FALSE)+SUM(_xlfn.XLOOKUP(R17:AF17,增益!$A:$A,增益!$L:$L,0))</f>
        <v>0</v>
      </c>
      <c r="BA17">
        <f t="shared" si="5"/>
        <v>697.4</v>
      </c>
      <c r="BB17">
        <f t="shared" si="6"/>
        <v>1805</v>
      </c>
      <c r="BC17" s="32" cm="1">
        <f t="array" ref="BC17">IF($F$13-$I$4+VLOOKUP($Q17,武学奇术!$A:$ZZ,13,FALSE)+SUM(_xlfn.XLOOKUP(R17:AF17,增益!$A:$A,增益!$M:$M,0))&gt;0,($F$13-$I$4+VLOOKUP($Q17,武学奇术!$A:$ZZ,13,FALSE)+SUM(_xlfn.XLOOKUP(R17:AF17,增益!$A:$A,增益!$K:$K,0)))/200,($F$13-$I$4+VLOOKUP($Q17,武学奇术!$A:$ZZ,13,FALSE)+SUM(_xlfn.XLOOKUP(R17:AF17,增益!$A:$A,增益!$M:$M,0)))/100)</f>
        <v>0</v>
      </c>
      <c r="BD17" s="32" cm="1">
        <f t="array" ref="BD17">$G$13+VLOOKUP($Q17,武学奇术!$A:$ZZ,14,FALSE)+SUM(_xlfn.XLOOKUP(R17:AF17,增益!$A:$A,增益!$N:$N,0))</f>
        <v>0.15</v>
      </c>
      <c r="BE17">
        <f t="shared" si="7"/>
        <v>0</v>
      </c>
      <c r="BF17">
        <f t="shared" si="8"/>
        <v>0</v>
      </c>
      <c r="BG17" s="32" cm="1">
        <f t="array" ref="BG17">IF($F$14-$I$4+VLOOKUP($Q17,武学奇术!$A:$ZZ,15,FALSE)+SUM(_xlfn.XLOOKUP(R17:AF17,增益!$A:$A,增益!$O:$O,0))&gt;0,($F$14-$I$4+VLOOKUP($Q17,武学奇术!$A:$ZZ,15,FALSE)+SUM(_xlfn.XLOOKUP(R17:AF17,增益!$A:$A,增益!$O:$O,0)))/200,($F$14-$I$4+VLOOKUP($Q17,武学奇术!$A:$ZZ,15,FALSE)+SUM(_xlfn.XLOOKUP(R17:AF17,增益!$A:$A,增益!$O:$O,0)))/100)</f>
        <v>-0.3</v>
      </c>
      <c r="BH17" s="32" cm="1">
        <f t="array" ref="BH17">$G$14+VLOOKUP($Q17,武学奇术!$A:$ZZ,16,FALSE)+SUM(_xlfn.XLOOKUP(R17:AF17,增益!$A:$A,增益!$P:$P,0))</f>
        <v>0</v>
      </c>
      <c r="BI17" s="26">
        <f>MIN(IF(VLOOKUP($Q17,武学奇术!$A:$ZZ,23,FALSE)=1,100%,$B$8),100%)</f>
        <v>1</v>
      </c>
      <c r="BJ17" s="26" cm="1">
        <f t="array" ref="BJ17">IF(VLOOKUP($Q17,武学奇术!$A:$ZZ,23,FALSE)=1,100%,MIN(80%,$B$9+VLOOKUP($Q17,武学奇术!$A:$ZZ,17,FALSE)+SUM(_xlfn.XLOOKUP(R17:AF17,增益!$A:$A,增益!$Q:$Q,0)))+$B$11+SUM(_xlfn.XLOOKUP(R17:AF17,增益!$A:$A,增益!$U:$U,0)))*IF(VLOOKUP($Q17,武学奇术!$A:$ZZ,24,FALSE)=1,0,1)</f>
        <v>0.8625</v>
      </c>
      <c r="BK17" s="26" cm="1">
        <f t="array" ref="BK17">1+$B$13+VLOOKUP($Q17,武学奇术!$A:$ZZ,18,FALSE)+SUM(_xlfn.XLOOKUP(R17:AF17,增益!$A:$A,增益!$R:$R,0))</f>
        <v>1.5</v>
      </c>
      <c r="BL17" s="26" cm="1">
        <f t="array" ref="BL17">IF(VLOOKUP($Q17,武学奇术!$A:$ZZ,24,FALSE)=1,100%,MIN(40%,$B$10+VLOOKUP($Q17,武学奇术!$A:$ZZ,19,FALSE)+SUM(_xlfn.XLOOKUP(R17:AF17,增益!$A:$A,增益!$S:$S,0)))+$B$12+SUM(_xlfn.XLOOKUP(R17:AF17,增益!$A:$A,增益!$V:$V,0)))*IF(VLOOKUP($Q17,武学奇术!$A:$ZZ,23,FALSE)=1,0,1)</f>
        <v>0.0913</v>
      </c>
      <c r="BM17" s="26" cm="1">
        <f t="array" ref="BM17">1+$B$14+VLOOKUP($Q17,武学奇术!$A:$ZZ,20,FALSE)+SUM(_xlfn.XLOOKUP(R17:AF17,增益!$A:$A,增益!$T:$T,0))</f>
        <v>1.35</v>
      </c>
      <c r="BN17" s="26">
        <f t="shared" si="9"/>
        <v>0.8625</v>
      </c>
      <c r="BO17" s="26">
        <f t="shared" si="10"/>
        <v>0.0462</v>
      </c>
      <c r="BP17" s="26">
        <f>IF(VLOOKUP($Q17,武学奇术!$A:$ZZ,22,FALSE)=1,0,(1-$BI17))*(1-$BL17)</f>
        <v>0</v>
      </c>
      <c r="BQ17" s="26" cm="1">
        <f t="array" ref="BQ17">SUM(_xlfn.XLOOKUP(R17:AF17,增益!$A:$A,增益!$W:$W,0))+$I$5</f>
        <v>0.06</v>
      </c>
    </row>
    <row r="18" spans="1:69">
      <c r="A18" s="41" t="s">
        <v>121</v>
      </c>
      <c r="B18" s="70">
        <f>期望!B18</f>
        <v>0</v>
      </c>
      <c r="C18" s="39" t="s">
        <v>122</v>
      </c>
      <c r="D18" s="79" t="s">
        <v>135</v>
      </c>
      <c r="K18" s="38">
        <f t="shared" si="0"/>
        <v>0</v>
      </c>
      <c r="L18" s="38">
        <f>((($AN18+$AO18)/2*$AH18+$AI18)*(1+$AP18)*(1+$AQ18)+(($AS18+$AT18)/2*IF($G$1="鸣金",$AJ18,$AH18)+IF($G$1="鸣金",$AK18*1.5,0))*(1+$AU18)*(1+$AV18)+(($AW18+$AX18)/2*IF($G$1="裂石",$AJ18,$AH18)+IF($G$1="裂石",$AK18*1.5,0))*(1+$AY18)*(1+$AZ18)+(($BA18+$BB18)/2*IF($G$1="牵丝",$AJ18,$AH18)+IF($G$1="牵丝",$AK18*1.5,0))*(1+$BC18)*(1+$BD18)+(($BE18+$BF18)/2*IF($G$1="破竹",$AJ18,$AH18)+IF($G$1="破竹",$AK18*1.5,0))*(1+$BG18)*(1+$BH18))*(1+$AL18)*$BK18*$P18*(1+IF(VLOOKUP($Q18,武学奇术!$A:$ZZ,30,FALSE)="蓄力技",#REF!,0))*(1+$BQ18)</f>
        <v>0</v>
      </c>
      <c r="M18" s="38">
        <f>(($AO18*$AH18+$AI18)*(1+$AP18)*(1+$AQ18)+($AT18*IF($G$1="鸣金",$AJ18,$AH18)+IF($G$1="鸣金",$AK18*1.5,0))*(1+$AU18)*(1+$AV18)+($AX18*IF($G$1="裂石",$AJ18,$AH18)+IF($G$1="裂石",$AK18*1.5,0))*(1+$AY18)*(1+$AZ18)+($BB18*IF($G$1="牵丝",$AJ18,$AH18)+IF($G$1="牵丝",$AK18*1.5,0))*(1+$BC18)*(1+$BD18)+($BF18*IF($G$1="破竹",$AJ18,$AH18)+IF($G$1="破竹",$AK18*1.5,0))*(1+$BG18)*(1+$BH18))*(1+$AL18)*$BM18*$P18*(1+IF(VLOOKUP($Q18,武学奇术!$A:$ZZ,30,FALSE)="蓄力技",#REF!,0))*(1+$BQ18)</f>
        <v>0</v>
      </c>
      <c r="N18" s="38">
        <f>((($AN18+$AO18)/2*$AH18+$AI18)*(1+$AP18)*(1+$AQ18)+(($AS18+$AT18)/2*IF($G$1="鸣金",$AJ18,$AH18)+IF($G$1="鸣金",$AK18*1.5,0))*(1+$AU18)*(1+$AV18)+(($AW18+$AX18)/2*IF($G$1="裂石",$AJ18,$AH18)+IF($G$1="裂石",$AK18*1.5,0))*(1+$AY18)*(1+$AZ18)+(($BA18+$BB18)/2*IF($G$1="牵丝",$AJ18,$AH18)+IF($G$1="牵丝",$AK18*1.5,0))*(1+$BC18)*(1+$BD18)+(($BE18+$BF18)/2*IF($G$1="破竹",$AJ18,$AH18)+IF($G$1="破竹",$AK18*1.5,0))*(1+$BG18)*(1+$BH18))*(1+$AL18)*$P18*(1+IF(VLOOKUP($Q18,武学奇术!$A:$ZZ,30,FALSE)="蓄力技",#REF!,0))*(1+$BQ18)</f>
        <v>0</v>
      </c>
      <c r="O18" s="38">
        <f>((($AN18*$AH18+$AI18)*(1+$AP18)*(1+$AQ18)+($AS18*IF($G$1="鸣金",$AJ18,$AH18)+IF($G$1="鸣金",$AK18*1.5,0))*(1+$AU18)*(1+$AV18)+($AW18*IF($G$1="裂石",$AJ18,$AH18)+IF($G$1="裂石",$AK18*1.5,0))*(1+$AY18)*(1+$AZ18)+($BA18*IF($G$1="牵丝",$AJ18,$AH18)+IF($G$1="牵丝",$AK18*1.5,0))*(1+$BC18)*(1+$BD18)+($BE18*IF($G$1="破竹",$AJ18,$AH18)+IF($G$1="破竹",$AK18*1.5,0))*(1+$BG18)*(1+$BH18))*(1+$AL18))*$P18*(1+IF(VLOOKUP($Q18,武学奇术!$A:$ZZ,30,FALSE)="蓄力技",#REF!,0))*(1+$BQ18)</f>
        <v>0</v>
      </c>
      <c r="P18" s="39">
        <v>1</v>
      </c>
      <c r="Q18" s="40" t="s">
        <v>76</v>
      </c>
      <c r="R18" s="40" t="s">
        <v>76</v>
      </c>
      <c r="S18" s="40" t="s">
        <v>76</v>
      </c>
      <c r="T18" s="40" t="s">
        <v>76</v>
      </c>
      <c r="U18" s="40" t="s">
        <v>76</v>
      </c>
      <c r="V18" s="40" t="s">
        <v>76</v>
      </c>
      <c r="W18" s="40" t="s">
        <v>76</v>
      </c>
      <c r="X18" s="40" t="s">
        <v>76</v>
      </c>
      <c r="Y18" s="40" t="s">
        <v>76</v>
      </c>
      <c r="Z18" s="40" t="s">
        <v>76</v>
      </c>
      <c r="AA18" s="40" t="s">
        <v>76</v>
      </c>
      <c r="AB18" s="40" t="s">
        <v>76</v>
      </c>
      <c r="AC18" s="40" t="s">
        <v>76</v>
      </c>
      <c r="AD18" s="40" t="s">
        <v>76</v>
      </c>
      <c r="AE18" s="40" t="s">
        <v>76</v>
      </c>
      <c r="AF18" s="40" t="s">
        <v>76</v>
      </c>
      <c r="AG18" t="str">
        <f>VLOOKUP($Q18,武学奇术!$A:$ZZ,25,FALSE)</f>
        <v>心法</v>
      </c>
      <c r="AH18" s="26">
        <f>VLOOKUP($Q18,武学奇术!$A:$ZZ,26,FALSE)</f>
        <v>0</v>
      </c>
      <c r="AI18" s="27">
        <f>VLOOKUP($Q18,武学奇术!$A:$ZZ,27,FALSE)*(1+IF(OR($AG18=$F$4,$AG18=$F$5),$B$21,0))</f>
        <v>0</v>
      </c>
      <c r="AJ18" s="26">
        <f>VLOOKUP($Q18,武学奇术!$A:$ZZ,28,FALSE)</f>
        <v>0</v>
      </c>
      <c r="AK18" s="27">
        <f>VLOOKUP($Q18,武学奇术!$A:$ZZ,29,FALSE)*(1+IF(OR($AG18=$F$4,$AG18=$F$5),$B$21,0))</f>
        <v>0</v>
      </c>
      <c r="AL18" s="26" cm="1">
        <f t="array" ref="AL18">$G$3+IFERROR(VLOOKUP($AG18,$F$4:$G$7,2,FALSE),0)+VLOOKUP($Q18,武学奇术!$A:$ZZ,2,FALSE)+SUM(_xlfn.XLOOKUP($R18:$AF18,增益!$A:$A,增益!$B:$B,0))</f>
        <v>0.1842</v>
      </c>
      <c r="AM18" s="26" cm="1">
        <f t="array" ref="AM18">VLOOKUP($Q18,武学奇术!$A:$ZZ,5,FALSE)+SUM(_xlfn.XLOOKUP($R18:$AF18,增益!$A:$A,增益!$E:$E,0))</f>
        <v>0</v>
      </c>
      <c r="AN18" cm="1">
        <f t="array" ref="AN18">$D$10*(1+$AM18)+VLOOKUP($Q18,武学奇术!$A:$ZZ,3,FALSE)+SUM(_xlfn.XLOOKUP($R18:$AF18,增益!$A:$A,增益!$C:$C,0))-$I$2</f>
        <v>3940</v>
      </c>
      <c r="AO18" cm="1">
        <f t="array" ref="AO18">$E$10*(1+$AM18)+VLOOKUP($Q18,武学奇术!$A:$ZZ,4,FALSE)+SUM(_xlfn.XLOOKUP($R18:$AF18,增益!$A:$A,增益!$D:$D,0))-$I$2</f>
        <v>3940</v>
      </c>
      <c r="AP18" s="32" cm="1">
        <f t="array" ref="AP18">IF($F$10-$I$3+VLOOKUP($Q18,武学奇术!$A:$ZZ,6,FALSE)+SUM(_xlfn.XLOOKUP(R18:AF18,增益!$A:$A,增益!$F:$F,0))&gt;0,($F$10-$I$3+VLOOKUP($Q18,武学奇术!$A:$ZZ,6,FALSE)+SUM(_xlfn.XLOOKUP(R18:AF18,增益!$A:$A,增益!$F:$F,0)))/200,($F$10-$I$3+VLOOKUP($Q18,武学奇术!$A:$ZZ,6,FALSE)+SUM(_xlfn.XLOOKUP(R18:AF18,增益!$A:$A,增益!$F:$F,0)))/100)</f>
        <v>0.194</v>
      </c>
      <c r="AQ18" s="32" cm="1">
        <f t="array" ref="AQ18">$G$10+VLOOKUP($Q18,武学奇术!$A:$ZZ,7,FALSE)+SUM(_xlfn.XLOOKUP(R18:AF18,增益!$A:$A,增益!$G:$G,0))</f>
        <v>0</v>
      </c>
      <c r="AR18" s="26" cm="1">
        <f t="array" ref="AR18">VLOOKUP($Q18,武学奇术!$A:$ZZ,8,FALSE)+SUM(_xlfn.XLOOKUP(R18:AF18,增益!$A:$A,增益!$H:$H,0))</f>
        <v>0</v>
      </c>
      <c r="AS18">
        <f t="shared" si="1"/>
        <v>0</v>
      </c>
      <c r="AT18">
        <f t="shared" si="2"/>
        <v>0</v>
      </c>
      <c r="AU18" s="32" cm="1">
        <f t="array" ref="AU18">IF($F$11-$I$4+VLOOKUP($Q18,武学奇术!$A:$ZZ,9,FALSE)+SUM(_xlfn.XLOOKUP(R18:AF18,增益!$A:$A,增益!$I:$I,0))&gt;0,($F$11-$I$4+VLOOKUP($Q18,武学奇术!$A:$ZZ,9,FALSE)+SUM(_xlfn.XLOOKUP(R18:AF18,增益!$A:$A,增益!$I:$I,0)))/200,($F$11-$I$4+VLOOKUP($Q18,武学奇术!$A:$ZZ,9,FALSE)+SUM(_xlfn.XLOOKUP(R18:AF18,增益!$A:$A,增益!$I:$I,0)))/100)</f>
        <v>-0.3</v>
      </c>
      <c r="AV18" s="32" cm="1">
        <f t="array" ref="AV18">$G$11+VLOOKUP($Q18,武学奇术!$A:$ZZ,10,FALSE)+SUM(_xlfn.XLOOKUP(R18:AF18,增益!$A:$A,增益!$J:$J,0))</f>
        <v>0</v>
      </c>
      <c r="AW18">
        <f t="shared" si="3"/>
        <v>0</v>
      </c>
      <c r="AX18">
        <f t="shared" si="4"/>
        <v>0</v>
      </c>
      <c r="AY18" s="32" cm="1">
        <f t="array" ref="AY18">IF($F$12-$I$4+VLOOKUP($Q18,武学奇术!$A:$ZZ,11,FALSE)+SUM(_xlfn.XLOOKUP(R18:AF18,增益!$A:$A,增益!$K:$K,0))&gt;0,($F$12-$I$4+VLOOKUP($Q18,武学奇术!$A:$ZZ,11,FALSE)+SUM(_xlfn.XLOOKUP(R18:AF18,增益!$A:$A,增益!$K:$K,0)))/200,($F$12-$I$4+VLOOKUP($Q18,武学奇术!$A:$ZZ,11,FALSE)+SUM(_xlfn.XLOOKUP(R18:AF18,增益!$A:$A,增益!$K:$K,0)))/100)</f>
        <v>-0.3</v>
      </c>
      <c r="AZ18" s="32" cm="1">
        <f t="array" ref="AZ18">$G$12+VLOOKUP($Q18,武学奇术!$A:$ZZ,12,FALSE)+SUM(_xlfn.XLOOKUP(R18:AF18,增益!$A:$A,增益!$L:$L,0))</f>
        <v>0</v>
      </c>
      <c r="BA18">
        <f t="shared" si="5"/>
        <v>697.4</v>
      </c>
      <c r="BB18">
        <f t="shared" si="6"/>
        <v>1805</v>
      </c>
      <c r="BC18" s="32" cm="1">
        <f t="array" ref="BC18">IF($F$13-$I$4+VLOOKUP($Q18,武学奇术!$A:$ZZ,13,FALSE)+SUM(_xlfn.XLOOKUP(R18:AF18,增益!$A:$A,增益!$M:$M,0))&gt;0,($F$13-$I$4+VLOOKUP($Q18,武学奇术!$A:$ZZ,13,FALSE)+SUM(_xlfn.XLOOKUP(R18:AF18,增益!$A:$A,增益!$K:$K,0)))/200,($F$13-$I$4+VLOOKUP($Q18,武学奇术!$A:$ZZ,13,FALSE)+SUM(_xlfn.XLOOKUP(R18:AF18,增益!$A:$A,增益!$M:$M,0)))/100)</f>
        <v>0</v>
      </c>
      <c r="BD18" s="32" cm="1">
        <f t="array" ref="BD18">$G$13+VLOOKUP($Q18,武学奇术!$A:$ZZ,14,FALSE)+SUM(_xlfn.XLOOKUP(R18:AF18,增益!$A:$A,增益!$N:$N,0))</f>
        <v>0.15</v>
      </c>
      <c r="BE18">
        <f t="shared" si="7"/>
        <v>0</v>
      </c>
      <c r="BF18">
        <f t="shared" si="8"/>
        <v>0</v>
      </c>
      <c r="BG18" s="32" cm="1">
        <f t="array" ref="BG18">IF($F$14-$I$4+VLOOKUP($Q18,武学奇术!$A:$ZZ,15,FALSE)+SUM(_xlfn.XLOOKUP(R18:AF18,增益!$A:$A,增益!$O:$O,0))&gt;0,($F$14-$I$4+VLOOKUP($Q18,武学奇术!$A:$ZZ,15,FALSE)+SUM(_xlfn.XLOOKUP(R18:AF18,增益!$A:$A,增益!$O:$O,0)))/200,($F$14-$I$4+VLOOKUP($Q18,武学奇术!$A:$ZZ,15,FALSE)+SUM(_xlfn.XLOOKUP(R18:AF18,增益!$A:$A,增益!$O:$O,0)))/100)</f>
        <v>-0.3</v>
      </c>
      <c r="BH18" s="32" cm="1">
        <f t="array" ref="BH18">$G$14+VLOOKUP($Q18,武学奇术!$A:$ZZ,16,FALSE)+SUM(_xlfn.XLOOKUP(R18:AF18,增益!$A:$A,增益!$P:$P,0))</f>
        <v>0</v>
      </c>
      <c r="BI18" s="26">
        <f>MIN(IF(VLOOKUP($Q18,武学奇术!$A:$ZZ,23,FALSE)=1,100%,$B$8),100%)</f>
        <v>1</v>
      </c>
      <c r="BJ18" s="26" cm="1">
        <f t="array" ref="BJ18">IF(VLOOKUP($Q18,武学奇术!$A:$ZZ,23,FALSE)=1,100%,MIN(80%,$B$9+VLOOKUP($Q18,武学奇术!$A:$ZZ,17,FALSE)+SUM(_xlfn.XLOOKUP(R18:AF18,增益!$A:$A,增益!$Q:$Q,0)))+$B$11+SUM(_xlfn.XLOOKUP(R18:AF18,增益!$A:$A,增益!$U:$U,0)))*IF(VLOOKUP($Q18,武学奇术!$A:$ZZ,24,FALSE)=1,0,1)</f>
        <v>0.8625</v>
      </c>
      <c r="BK18" s="26" cm="1">
        <f t="array" ref="BK18">1+$B$13+VLOOKUP($Q18,武学奇术!$A:$ZZ,18,FALSE)+SUM(_xlfn.XLOOKUP(R18:AF18,增益!$A:$A,增益!$R:$R,0))</f>
        <v>1.5</v>
      </c>
      <c r="BL18" s="26" cm="1">
        <f t="array" ref="BL18">IF(VLOOKUP($Q18,武学奇术!$A:$ZZ,24,FALSE)=1,100%,MIN(40%,$B$10+VLOOKUP($Q18,武学奇术!$A:$ZZ,19,FALSE)+SUM(_xlfn.XLOOKUP(R18:AF18,增益!$A:$A,增益!$S:$S,0)))+$B$12+SUM(_xlfn.XLOOKUP(R18:AF18,增益!$A:$A,增益!$V:$V,0)))*IF(VLOOKUP($Q18,武学奇术!$A:$ZZ,23,FALSE)=1,0,1)</f>
        <v>0.0913</v>
      </c>
      <c r="BM18" s="26" cm="1">
        <f t="array" ref="BM18">1+$B$14+VLOOKUP($Q18,武学奇术!$A:$ZZ,20,FALSE)+SUM(_xlfn.XLOOKUP(R18:AF18,增益!$A:$A,增益!$T:$T,0))</f>
        <v>1.35</v>
      </c>
      <c r="BN18" s="26">
        <f t="shared" si="9"/>
        <v>0.8625</v>
      </c>
      <c r="BO18" s="26">
        <f t="shared" si="10"/>
        <v>0.0462</v>
      </c>
      <c r="BP18" s="26">
        <f>IF(VLOOKUP($Q18,武学奇术!$A:$ZZ,22,FALSE)=1,0,(1-$BI18))*(1-$BL18)</f>
        <v>0</v>
      </c>
      <c r="BQ18" s="26" cm="1">
        <f t="array" ref="BQ18">SUM(_xlfn.XLOOKUP(R18:AF18,增益!$A:$A,增益!$W:$W,0))+$I$5</f>
        <v>0.06</v>
      </c>
    </row>
    <row r="19" spans="1:69">
      <c r="A19" s="41" t="s">
        <v>136</v>
      </c>
      <c r="B19" s="70">
        <f>期望!B19</f>
        <v>0.2677</v>
      </c>
      <c r="C19" s="39" t="s">
        <v>124</v>
      </c>
      <c r="D19" s="79" t="s">
        <v>135</v>
      </c>
      <c r="E19" s="39" t="s">
        <v>125</v>
      </c>
      <c r="F19" s="39"/>
      <c r="K19" s="38">
        <f t="shared" si="0"/>
        <v>0</v>
      </c>
      <c r="L19" s="38">
        <f>((($AN19+$AO19)/2*$AH19+$AI19)*(1+$AP19)*(1+$AQ19)+(($AS19+$AT19)/2*IF($G$1="鸣金",$AJ19,$AH19)+IF($G$1="鸣金",$AK19*1.5,0))*(1+$AU19)*(1+$AV19)+(($AW19+$AX19)/2*IF($G$1="裂石",$AJ19,$AH19)+IF($G$1="裂石",$AK19*1.5,0))*(1+$AY19)*(1+$AZ19)+(($BA19+$BB19)/2*IF($G$1="牵丝",$AJ19,$AH19)+IF($G$1="牵丝",$AK19*1.5,0))*(1+$BC19)*(1+$BD19)+(($BE19+$BF19)/2*IF($G$1="破竹",$AJ19,$AH19)+IF($G$1="破竹",$AK19*1.5,0))*(1+$BG19)*(1+$BH19))*(1+$AL19)*$BK19*$P19*(1+IF(VLOOKUP($Q19,武学奇术!$A:$ZZ,30,FALSE)="蓄力技",#REF!,0))*(1+$BQ19)</f>
        <v>0</v>
      </c>
      <c r="M19" s="38">
        <f>(($AO19*$AH19+$AI19)*(1+$AP19)*(1+$AQ19)+($AT19*IF($G$1="鸣金",$AJ19,$AH19)+IF($G$1="鸣金",$AK19*1.5,0))*(1+$AU19)*(1+$AV19)+($AX19*IF($G$1="裂石",$AJ19,$AH19)+IF($G$1="裂石",$AK19*1.5,0))*(1+$AY19)*(1+$AZ19)+($BB19*IF($G$1="牵丝",$AJ19,$AH19)+IF($G$1="牵丝",$AK19*1.5,0))*(1+$BC19)*(1+$BD19)+($BF19*IF($G$1="破竹",$AJ19,$AH19)+IF($G$1="破竹",$AK19*1.5,0))*(1+$BG19)*(1+$BH19))*(1+$AL19)*$BM19*$P19*(1+IF(VLOOKUP($Q19,武学奇术!$A:$ZZ,30,FALSE)="蓄力技",#REF!,0))*(1+$BQ19)</f>
        <v>0</v>
      </c>
      <c r="N19" s="38">
        <f>((($AN19+$AO19)/2*$AH19+$AI19)*(1+$AP19)*(1+$AQ19)+(($AS19+$AT19)/2*IF($G$1="鸣金",$AJ19,$AH19)+IF($G$1="鸣金",$AK19*1.5,0))*(1+$AU19)*(1+$AV19)+(($AW19+$AX19)/2*IF($G$1="裂石",$AJ19,$AH19)+IF($G$1="裂石",$AK19*1.5,0))*(1+$AY19)*(1+$AZ19)+(($BA19+$BB19)/2*IF($G$1="牵丝",$AJ19,$AH19)+IF($G$1="牵丝",$AK19*1.5,0))*(1+$BC19)*(1+$BD19)+(($BE19+$BF19)/2*IF($G$1="破竹",$AJ19,$AH19)+IF($G$1="破竹",$AK19*1.5,0))*(1+$BG19)*(1+$BH19))*(1+$AL19)*$P19*(1+IF(VLOOKUP($Q19,武学奇术!$A:$ZZ,30,FALSE)="蓄力技",#REF!,0))*(1+$BQ19)</f>
        <v>0</v>
      </c>
      <c r="O19" s="38">
        <f>((($AN19*$AH19+$AI19)*(1+$AP19)*(1+$AQ19)+($AS19*IF($G$1="鸣金",$AJ19,$AH19)+IF($G$1="鸣金",$AK19*1.5,0))*(1+$AU19)*(1+$AV19)+($AW19*IF($G$1="裂石",$AJ19,$AH19)+IF($G$1="裂石",$AK19*1.5,0))*(1+$AY19)*(1+$AZ19)+($BA19*IF($G$1="牵丝",$AJ19,$AH19)+IF($G$1="牵丝",$AK19*1.5,0))*(1+$BC19)*(1+$BD19)+($BE19*IF($G$1="破竹",$AJ19,$AH19)+IF($G$1="破竹",$AK19*1.5,0))*(1+$BG19)*(1+$BH19))*(1+$AL19))*$P19*(1+IF(VLOOKUP($Q19,武学奇术!$A:$ZZ,30,FALSE)="蓄力技",#REF!,0))*(1+$BQ19)</f>
        <v>0</v>
      </c>
      <c r="P19" s="39">
        <v>1</v>
      </c>
      <c r="Q19" s="40" t="s">
        <v>76</v>
      </c>
      <c r="R19" s="40" t="s">
        <v>76</v>
      </c>
      <c r="S19" s="40" t="s">
        <v>76</v>
      </c>
      <c r="T19" s="40" t="s">
        <v>76</v>
      </c>
      <c r="U19" s="40" t="s">
        <v>76</v>
      </c>
      <c r="V19" s="40" t="s">
        <v>76</v>
      </c>
      <c r="W19" s="40" t="s">
        <v>76</v>
      </c>
      <c r="X19" s="40" t="s">
        <v>76</v>
      </c>
      <c r="Y19" s="40" t="s">
        <v>76</v>
      </c>
      <c r="Z19" s="40" t="s">
        <v>76</v>
      </c>
      <c r="AA19" s="40" t="s">
        <v>76</v>
      </c>
      <c r="AB19" s="40" t="s">
        <v>76</v>
      </c>
      <c r="AC19" s="40" t="s">
        <v>76</v>
      </c>
      <c r="AD19" s="40" t="s">
        <v>76</v>
      </c>
      <c r="AE19" s="40" t="s">
        <v>76</v>
      </c>
      <c r="AF19" s="40" t="s">
        <v>76</v>
      </c>
      <c r="AG19" t="str">
        <f>VLOOKUP($Q19,武学奇术!$A:$ZZ,25,FALSE)</f>
        <v>心法</v>
      </c>
      <c r="AH19" s="26">
        <f>VLOOKUP($Q19,武学奇术!$A:$ZZ,26,FALSE)</f>
        <v>0</v>
      </c>
      <c r="AI19" s="27">
        <f>VLOOKUP($Q19,武学奇术!$A:$ZZ,27,FALSE)*(1+IF(OR($AG19=$F$4,$AG19=$F$5),$B$21,0))</f>
        <v>0</v>
      </c>
      <c r="AJ19" s="26">
        <f>VLOOKUP($Q19,武学奇术!$A:$ZZ,28,FALSE)</f>
        <v>0</v>
      </c>
      <c r="AK19" s="27">
        <f>VLOOKUP($Q19,武学奇术!$A:$ZZ,29,FALSE)*(1+IF(OR($AG19=$F$4,$AG19=$F$5),$B$21,0))</f>
        <v>0</v>
      </c>
      <c r="AL19" s="26" cm="1">
        <f t="array" ref="AL19">$G$3+IFERROR(VLOOKUP($AG19,$F$4:$G$7,2,FALSE),0)+VLOOKUP($Q19,武学奇术!$A:$ZZ,2,FALSE)+SUM(_xlfn.XLOOKUP($R19:$AF19,增益!$A:$A,增益!$B:$B,0))</f>
        <v>0.1842</v>
      </c>
      <c r="AM19" s="26" cm="1">
        <f t="array" ref="AM19">VLOOKUP($Q19,武学奇术!$A:$ZZ,5,FALSE)+SUM(_xlfn.XLOOKUP($R19:$AF19,增益!$A:$A,增益!$E:$E,0))</f>
        <v>0</v>
      </c>
      <c r="AN19" cm="1">
        <f t="array" ref="AN19">$D$10*(1+$AM19)+VLOOKUP($Q19,武学奇术!$A:$ZZ,3,FALSE)+SUM(_xlfn.XLOOKUP($R19:$AF19,增益!$A:$A,增益!$C:$C,0))-$I$2</f>
        <v>3940</v>
      </c>
      <c r="AO19" cm="1">
        <f t="array" ref="AO19">$E$10*(1+$AM19)+VLOOKUP($Q19,武学奇术!$A:$ZZ,4,FALSE)+SUM(_xlfn.XLOOKUP($R19:$AF19,增益!$A:$A,增益!$D:$D,0))-$I$2</f>
        <v>3940</v>
      </c>
      <c r="AP19" s="32" cm="1">
        <f t="array" ref="AP19">IF($F$10-$I$3+VLOOKUP($Q19,武学奇术!$A:$ZZ,6,FALSE)+SUM(_xlfn.XLOOKUP(R19:AF19,增益!$A:$A,增益!$F:$F,0))&gt;0,($F$10-$I$3+VLOOKUP($Q19,武学奇术!$A:$ZZ,6,FALSE)+SUM(_xlfn.XLOOKUP(R19:AF19,增益!$A:$A,增益!$F:$F,0)))/200,($F$10-$I$3+VLOOKUP($Q19,武学奇术!$A:$ZZ,6,FALSE)+SUM(_xlfn.XLOOKUP(R19:AF19,增益!$A:$A,增益!$F:$F,0)))/100)</f>
        <v>0.194</v>
      </c>
      <c r="AQ19" s="32" cm="1">
        <f t="array" ref="AQ19">$G$10+VLOOKUP($Q19,武学奇术!$A:$ZZ,7,FALSE)+SUM(_xlfn.XLOOKUP(R19:AF19,增益!$A:$A,增益!$G:$G,0))</f>
        <v>0</v>
      </c>
      <c r="AR19" s="26" cm="1">
        <f t="array" ref="AR19">VLOOKUP($Q19,武学奇术!$A:$ZZ,8,FALSE)+SUM(_xlfn.XLOOKUP(R19:AF19,增益!$A:$A,增益!$H:$H,0))</f>
        <v>0</v>
      </c>
      <c r="AS19">
        <f t="shared" si="1"/>
        <v>0</v>
      </c>
      <c r="AT19">
        <f t="shared" si="2"/>
        <v>0</v>
      </c>
      <c r="AU19" s="32" cm="1">
        <f t="array" ref="AU19">IF($F$11-$I$4+VLOOKUP($Q19,武学奇术!$A:$ZZ,9,FALSE)+SUM(_xlfn.XLOOKUP(R19:AF19,增益!$A:$A,增益!$I:$I,0))&gt;0,($F$11-$I$4+VLOOKUP($Q19,武学奇术!$A:$ZZ,9,FALSE)+SUM(_xlfn.XLOOKUP(R19:AF19,增益!$A:$A,增益!$I:$I,0)))/200,($F$11-$I$4+VLOOKUP($Q19,武学奇术!$A:$ZZ,9,FALSE)+SUM(_xlfn.XLOOKUP(R19:AF19,增益!$A:$A,增益!$I:$I,0)))/100)</f>
        <v>-0.3</v>
      </c>
      <c r="AV19" s="32" cm="1">
        <f t="array" ref="AV19">$G$11+VLOOKUP($Q19,武学奇术!$A:$ZZ,10,FALSE)+SUM(_xlfn.XLOOKUP(R19:AF19,增益!$A:$A,增益!$J:$J,0))</f>
        <v>0</v>
      </c>
      <c r="AW19">
        <f t="shared" si="3"/>
        <v>0</v>
      </c>
      <c r="AX19">
        <f t="shared" si="4"/>
        <v>0</v>
      </c>
      <c r="AY19" s="32" cm="1">
        <f t="array" ref="AY19">IF($F$12-$I$4+VLOOKUP($Q19,武学奇术!$A:$ZZ,11,FALSE)+SUM(_xlfn.XLOOKUP(R19:AF19,增益!$A:$A,增益!$K:$K,0))&gt;0,($F$12-$I$4+VLOOKUP($Q19,武学奇术!$A:$ZZ,11,FALSE)+SUM(_xlfn.XLOOKUP(R19:AF19,增益!$A:$A,增益!$K:$K,0)))/200,($F$12-$I$4+VLOOKUP($Q19,武学奇术!$A:$ZZ,11,FALSE)+SUM(_xlfn.XLOOKUP(R19:AF19,增益!$A:$A,增益!$K:$K,0)))/100)</f>
        <v>-0.3</v>
      </c>
      <c r="AZ19" s="32" cm="1">
        <f t="array" ref="AZ19">$G$12+VLOOKUP($Q19,武学奇术!$A:$ZZ,12,FALSE)+SUM(_xlfn.XLOOKUP(R19:AF19,增益!$A:$A,增益!$L:$L,0))</f>
        <v>0</v>
      </c>
      <c r="BA19">
        <f t="shared" si="5"/>
        <v>697.4</v>
      </c>
      <c r="BB19">
        <f t="shared" si="6"/>
        <v>1805</v>
      </c>
      <c r="BC19" s="32" cm="1">
        <f t="array" ref="BC19">IF($F$13-$I$4+VLOOKUP($Q19,武学奇术!$A:$ZZ,13,FALSE)+SUM(_xlfn.XLOOKUP(R19:AF19,增益!$A:$A,增益!$M:$M,0))&gt;0,($F$13-$I$4+VLOOKUP($Q19,武学奇术!$A:$ZZ,13,FALSE)+SUM(_xlfn.XLOOKUP(R19:AF19,增益!$A:$A,增益!$K:$K,0)))/200,($F$13-$I$4+VLOOKUP($Q19,武学奇术!$A:$ZZ,13,FALSE)+SUM(_xlfn.XLOOKUP(R19:AF19,增益!$A:$A,增益!$M:$M,0)))/100)</f>
        <v>0</v>
      </c>
      <c r="BD19" s="32" cm="1">
        <f t="array" ref="BD19">$G$13+VLOOKUP($Q19,武学奇术!$A:$ZZ,14,FALSE)+SUM(_xlfn.XLOOKUP(R19:AF19,增益!$A:$A,增益!$N:$N,0))</f>
        <v>0.15</v>
      </c>
      <c r="BE19">
        <f t="shared" si="7"/>
        <v>0</v>
      </c>
      <c r="BF19">
        <f t="shared" si="8"/>
        <v>0</v>
      </c>
      <c r="BG19" s="32" cm="1">
        <f t="array" ref="BG19">IF($F$14-$I$4+VLOOKUP($Q19,武学奇术!$A:$ZZ,15,FALSE)+SUM(_xlfn.XLOOKUP(R19:AF19,增益!$A:$A,增益!$O:$O,0))&gt;0,($F$14-$I$4+VLOOKUP($Q19,武学奇术!$A:$ZZ,15,FALSE)+SUM(_xlfn.XLOOKUP(R19:AF19,增益!$A:$A,增益!$O:$O,0)))/200,($F$14-$I$4+VLOOKUP($Q19,武学奇术!$A:$ZZ,15,FALSE)+SUM(_xlfn.XLOOKUP(R19:AF19,增益!$A:$A,增益!$O:$O,0)))/100)</f>
        <v>-0.3</v>
      </c>
      <c r="BH19" s="32" cm="1">
        <f t="array" ref="BH19">$G$14+VLOOKUP($Q19,武学奇术!$A:$ZZ,16,FALSE)+SUM(_xlfn.XLOOKUP(R19:AF19,增益!$A:$A,增益!$P:$P,0))</f>
        <v>0</v>
      </c>
      <c r="BI19" s="26">
        <f>MIN(IF(VLOOKUP($Q19,武学奇术!$A:$ZZ,23,FALSE)=1,100%,$B$8),100%)</f>
        <v>1</v>
      </c>
      <c r="BJ19" s="26" cm="1">
        <f t="array" ref="BJ19">IF(VLOOKUP($Q19,武学奇术!$A:$ZZ,23,FALSE)=1,100%,MIN(80%,$B$9+VLOOKUP($Q19,武学奇术!$A:$ZZ,17,FALSE)+SUM(_xlfn.XLOOKUP(R19:AF19,增益!$A:$A,增益!$Q:$Q,0)))+$B$11+SUM(_xlfn.XLOOKUP(R19:AF19,增益!$A:$A,增益!$U:$U,0)))*IF(VLOOKUP($Q19,武学奇术!$A:$ZZ,24,FALSE)=1,0,1)</f>
        <v>0.8625</v>
      </c>
      <c r="BK19" s="26" cm="1">
        <f t="array" ref="BK19">1+$B$13+VLOOKUP($Q19,武学奇术!$A:$ZZ,18,FALSE)+SUM(_xlfn.XLOOKUP(R19:AF19,增益!$A:$A,增益!$R:$R,0))</f>
        <v>1.5</v>
      </c>
      <c r="BL19" s="26" cm="1">
        <f t="array" ref="BL19">IF(VLOOKUP($Q19,武学奇术!$A:$ZZ,24,FALSE)=1,100%,MIN(40%,$B$10+VLOOKUP($Q19,武学奇术!$A:$ZZ,19,FALSE)+SUM(_xlfn.XLOOKUP(R19:AF19,增益!$A:$A,增益!$S:$S,0)))+$B$12+SUM(_xlfn.XLOOKUP(R19:AF19,增益!$A:$A,增益!$V:$V,0)))*IF(VLOOKUP($Q19,武学奇术!$A:$ZZ,23,FALSE)=1,0,1)</f>
        <v>0.0913</v>
      </c>
      <c r="BM19" s="26" cm="1">
        <f t="array" ref="BM19">1+$B$14+VLOOKUP($Q19,武学奇术!$A:$ZZ,20,FALSE)+SUM(_xlfn.XLOOKUP(R19:AF19,增益!$A:$A,增益!$T:$T,0))</f>
        <v>1.35</v>
      </c>
      <c r="BN19" s="26">
        <f t="shared" si="9"/>
        <v>0.8625</v>
      </c>
      <c r="BO19" s="26">
        <f t="shared" si="10"/>
        <v>0.0462</v>
      </c>
      <c r="BP19" s="26">
        <f>IF(VLOOKUP($Q19,武学奇术!$A:$ZZ,22,FALSE)=1,0,(1-$BI19))*(1-$BL19)</f>
        <v>0</v>
      </c>
      <c r="BQ19" s="26" cm="1">
        <f t="array" ref="BQ19">SUM(_xlfn.XLOOKUP(R19:AF19,增益!$A:$A,增益!$W:$W,0))+$I$5</f>
        <v>0.06</v>
      </c>
    </row>
    <row r="20" ht="14.25" spans="1:69">
      <c r="A20" s="85"/>
      <c r="B20" s="86"/>
      <c r="C20" s="39" t="s">
        <v>126</v>
      </c>
      <c r="D20" s="79" t="s">
        <v>135</v>
      </c>
      <c r="E20" s="40" t="str">
        <f>期望!E20</f>
        <v>易水歌</v>
      </c>
      <c r="F20" s="40"/>
      <c r="K20" s="38">
        <f t="shared" si="0"/>
        <v>0</v>
      </c>
      <c r="L20" s="38">
        <f>((($AN20+$AO20)/2*$AH20+$AI20)*(1+$AP20)*(1+$AQ20)+(($AS20+$AT20)/2*IF($G$1="鸣金",$AJ20,$AH20)+IF($G$1="鸣金",$AK20*1.5,0))*(1+$AU20)*(1+$AV20)+(($AW20+$AX20)/2*IF($G$1="裂石",$AJ20,$AH20)+IF($G$1="裂石",$AK20*1.5,0))*(1+$AY20)*(1+$AZ20)+(($BA20+$BB20)/2*IF($G$1="牵丝",$AJ20,$AH20)+IF($G$1="牵丝",$AK20*1.5,0))*(1+$BC20)*(1+$BD20)+(($BE20+$BF20)/2*IF($G$1="破竹",$AJ20,$AH20)+IF($G$1="破竹",$AK20*1.5,0))*(1+$BG20)*(1+$BH20))*(1+$AL20)*$BK20*$P20*(1+IF(VLOOKUP($Q20,武学奇术!$A:$ZZ,30,FALSE)="蓄力技",#REF!,0))*(1+$BQ20)</f>
        <v>0</v>
      </c>
      <c r="M20" s="38">
        <f>(($AO20*$AH20+$AI20)*(1+$AP20)*(1+$AQ20)+($AT20*IF($G$1="鸣金",$AJ20,$AH20)+IF($G$1="鸣金",$AK20*1.5,0))*(1+$AU20)*(1+$AV20)+($AX20*IF($G$1="裂石",$AJ20,$AH20)+IF($G$1="裂石",$AK20*1.5,0))*(1+$AY20)*(1+$AZ20)+($BB20*IF($G$1="牵丝",$AJ20,$AH20)+IF($G$1="牵丝",$AK20*1.5,0))*(1+$BC20)*(1+$BD20)+($BF20*IF($G$1="破竹",$AJ20,$AH20)+IF($G$1="破竹",$AK20*1.5,0))*(1+$BG20)*(1+$BH20))*(1+$AL20)*$BM20*$P20*(1+IF(VLOOKUP($Q20,武学奇术!$A:$ZZ,30,FALSE)="蓄力技",#REF!,0))*(1+$BQ20)</f>
        <v>0</v>
      </c>
      <c r="N20" s="38">
        <f>((($AN20+$AO20)/2*$AH20+$AI20)*(1+$AP20)*(1+$AQ20)+(($AS20+$AT20)/2*IF($G$1="鸣金",$AJ20,$AH20)+IF($G$1="鸣金",$AK20*1.5,0))*(1+$AU20)*(1+$AV20)+(($AW20+$AX20)/2*IF($G$1="裂石",$AJ20,$AH20)+IF($G$1="裂石",$AK20*1.5,0))*(1+$AY20)*(1+$AZ20)+(($BA20+$BB20)/2*IF($G$1="牵丝",$AJ20,$AH20)+IF($G$1="牵丝",$AK20*1.5,0))*(1+$BC20)*(1+$BD20)+(($BE20+$BF20)/2*IF($G$1="破竹",$AJ20,$AH20)+IF($G$1="破竹",$AK20*1.5,0))*(1+$BG20)*(1+$BH20))*(1+$AL20)*$P20*(1+IF(VLOOKUP($Q20,武学奇术!$A:$ZZ,30,FALSE)="蓄力技",#REF!,0))*(1+$BQ20)</f>
        <v>0</v>
      </c>
      <c r="O20" s="38">
        <f>((($AN20*$AH20+$AI20)*(1+$AP20)*(1+$AQ20)+($AS20*IF($G$1="鸣金",$AJ20,$AH20)+IF($G$1="鸣金",$AK20*1.5,0))*(1+$AU20)*(1+$AV20)+($AW20*IF($G$1="裂石",$AJ20,$AH20)+IF($G$1="裂石",$AK20*1.5,0))*(1+$AY20)*(1+$AZ20)+($BA20*IF($G$1="牵丝",$AJ20,$AH20)+IF($G$1="牵丝",$AK20*1.5,0))*(1+$BC20)*(1+$BD20)+($BE20*IF($G$1="破竹",$AJ20,$AH20)+IF($G$1="破竹",$AK20*1.5,0))*(1+$BG20)*(1+$BH20))*(1+$AL20))*$P20*(1+IF(VLOOKUP($Q20,武学奇术!$A:$ZZ,30,FALSE)="蓄力技",#REF!,0))*(1+$BQ20)</f>
        <v>0</v>
      </c>
      <c r="P20" s="39">
        <v>1</v>
      </c>
      <c r="Q20" s="40" t="s">
        <v>76</v>
      </c>
      <c r="R20" s="40" t="s">
        <v>76</v>
      </c>
      <c r="S20" s="40" t="s">
        <v>76</v>
      </c>
      <c r="T20" s="40" t="s">
        <v>76</v>
      </c>
      <c r="U20" s="40" t="s">
        <v>76</v>
      </c>
      <c r="V20" s="40" t="s">
        <v>76</v>
      </c>
      <c r="W20" s="40" t="s">
        <v>76</v>
      </c>
      <c r="X20" s="40" t="s">
        <v>76</v>
      </c>
      <c r="Y20" s="40" t="s">
        <v>76</v>
      </c>
      <c r="Z20" s="40" t="s">
        <v>76</v>
      </c>
      <c r="AA20" s="40" t="s">
        <v>76</v>
      </c>
      <c r="AB20" s="40" t="s">
        <v>76</v>
      </c>
      <c r="AC20" s="40" t="s">
        <v>76</v>
      </c>
      <c r="AD20" s="40" t="s">
        <v>76</v>
      </c>
      <c r="AE20" s="40" t="s">
        <v>76</v>
      </c>
      <c r="AF20" s="40" t="s">
        <v>76</v>
      </c>
      <c r="AG20" t="str">
        <f>VLOOKUP($Q20,武学奇术!$A:$ZZ,25,FALSE)</f>
        <v>心法</v>
      </c>
      <c r="AH20" s="26">
        <f>VLOOKUP($Q20,武学奇术!$A:$ZZ,26,FALSE)</f>
        <v>0</v>
      </c>
      <c r="AI20" s="27">
        <f>VLOOKUP($Q20,武学奇术!$A:$ZZ,27,FALSE)*(1+IF(OR($AG20=$F$4,$AG20=$F$5),$B$21,0))</f>
        <v>0</v>
      </c>
      <c r="AJ20" s="26">
        <f>VLOOKUP($Q20,武学奇术!$A:$ZZ,28,FALSE)</f>
        <v>0</v>
      </c>
      <c r="AK20" s="27">
        <f>VLOOKUP($Q20,武学奇术!$A:$ZZ,29,FALSE)*(1+IF(OR($AG20=$F$4,$AG20=$F$5),$B$21,0))</f>
        <v>0</v>
      </c>
      <c r="AL20" s="26" cm="1">
        <f t="array" ref="AL20">$G$3+IFERROR(VLOOKUP($AG20,$F$4:$G$7,2,FALSE),0)+VLOOKUP($Q20,武学奇术!$A:$ZZ,2,FALSE)+SUM(_xlfn.XLOOKUP($R20:$AF20,增益!$A:$A,增益!$B:$B,0))</f>
        <v>0.1842</v>
      </c>
      <c r="AM20" s="26" cm="1">
        <f t="array" ref="AM20">VLOOKUP($Q20,武学奇术!$A:$ZZ,5,FALSE)+SUM(_xlfn.XLOOKUP($R20:$AF20,增益!$A:$A,增益!$E:$E,0))</f>
        <v>0</v>
      </c>
      <c r="AN20" cm="1">
        <f t="array" ref="AN20">$D$10*(1+$AM20)+VLOOKUP($Q20,武学奇术!$A:$ZZ,3,FALSE)+SUM(_xlfn.XLOOKUP($R20:$AF20,增益!$A:$A,增益!$C:$C,0))-$I$2</f>
        <v>3940</v>
      </c>
      <c r="AO20" cm="1">
        <f t="array" ref="AO20">$E$10*(1+$AM20)+VLOOKUP($Q20,武学奇术!$A:$ZZ,4,FALSE)+SUM(_xlfn.XLOOKUP($R20:$AF20,增益!$A:$A,增益!$D:$D,0))-$I$2</f>
        <v>3940</v>
      </c>
      <c r="AP20" s="32" cm="1">
        <f t="array" ref="AP20">IF($F$10-$I$3+VLOOKUP($Q20,武学奇术!$A:$ZZ,6,FALSE)+SUM(_xlfn.XLOOKUP(R20:AF20,增益!$A:$A,增益!$F:$F,0))&gt;0,($F$10-$I$3+VLOOKUP($Q20,武学奇术!$A:$ZZ,6,FALSE)+SUM(_xlfn.XLOOKUP(R20:AF20,增益!$A:$A,增益!$F:$F,0)))/200,($F$10-$I$3+VLOOKUP($Q20,武学奇术!$A:$ZZ,6,FALSE)+SUM(_xlfn.XLOOKUP(R20:AF20,增益!$A:$A,增益!$F:$F,0)))/100)</f>
        <v>0.194</v>
      </c>
      <c r="AQ20" s="32" cm="1">
        <f t="array" ref="AQ20">$G$10+VLOOKUP($Q20,武学奇术!$A:$ZZ,7,FALSE)+SUM(_xlfn.XLOOKUP(R20:AF20,增益!$A:$A,增益!$G:$G,0))</f>
        <v>0</v>
      </c>
      <c r="AR20" s="26" cm="1">
        <f t="array" ref="AR20">VLOOKUP($Q20,武学奇术!$A:$ZZ,8,FALSE)+SUM(_xlfn.XLOOKUP(R20:AF20,增益!$A:$A,增益!$H:$H,0))</f>
        <v>0</v>
      </c>
      <c r="AS20">
        <f t="shared" si="1"/>
        <v>0</v>
      </c>
      <c r="AT20">
        <f t="shared" si="2"/>
        <v>0</v>
      </c>
      <c r="AU20" s="32" cm="1">
        <f t="array" ref="AU20">IF($F$11-$I$4+VLOOKUP($Q20,武学奇术!$A:$ZZ,9,FALSE)+SUM(_xlfn.XLOOKUP(R20:AF20,增益!$A:$A,增益!$I:$I,0))&gt;0,($F$11-$I$4+VLOOKUP($Q20,武学奇术!$A:$ZZ,9,FALSE)+SUM(_xlfn.XLOOKUP(R20:AF20,增益!$A:$A,增益!$I:$I,0)))/200,($F$11-$I$4+VLOOKUP($Q20,武学奇术!$A:$ZZ,9,FALSE)+SUM(_xlfn.XLOOKUP(R20:AF20,增益!$A:$A,增益!$I:$I,0)))/100)</f>
        <v>-0.3</v>
      </c>
      <c r="AV20" s="32" cm="1">
        <f t="array" ref="AV20">$G$11+VLOOKUP($Q20,武学奇术!$A:$ZZ,10,FALSE)+SUM(_xlfn.XLOOKUP(R20:AF20,增益!$A:$A,增益!$J:$J,0))</f>
        <v>0</v>
      </c>
      <c r="AW20">
        <f t="shared" si="3"/>
        <v>0</v>
      </c>
      <c r="AX20">
        <f t="shared" si="4"/>
        <v>0</v>
      </c>
      <c r="AY20" s="32" cm="1">
        <f t="array" ref="AY20">IF($F$12-$I$4+VLOOKUP($Q20,武学奇术!$A:$ZZ,11,FALSE)+SUM(_xlfn.XLOOKUP(R20:AF20,增益!$A:$A,增益!$K:$K,0))&gt;0,($F$12-$I$4+VLOOKUP($Q20,武学奇术!$A:$ZZ,11,FALSE)+SUM(_xlfn.XLOOKUP(R20:AF20,增益!$A:$A,增益!$K:$K,0)))/200,($F$12-$I$4+VLOOKUP($Q20,武学奇术!$A:$ZZ,11,FALSE)+SUM(_xlfn.XLOOKUP(R20:AF20,增益!$A:$A,增益!$K:$K,0)))/100)</f>
        <v>-0.3</v>
      </c>
      <c r="AZ20" s="32" cm="1">
        <f t="array" ref="AZ20">$G$12+VLOOKUP($Q20,武学奇术!$A:$ZZ,12,FALSE)+SUM(_xlfn.XLOOKUP(R20:AF20,增益!$A:$A,增益!$L:$L,0))</f>
        <v>0</v>
      </c>
      <c r="BA20">
        <f t="shared" si="5"/>
        <v>697.4</v>
      </c>
      <c r="BB20">
        <f t="shared" si="6"/>
        <v>1805</v>
      </c>
      <c r="BC20" s="32" cm="1">
        <f t="array" ref="BC20">IF($F$13-$I$4+VLOOKUP($Q20,武学奇术!$A:$ZZ,13,FALSE)+SUM(_xlfn.XLOOKUP(R20:AF20,增益!$A:$A,增益!$M:$M,0))&gt;0,($F$13-$I$4+VLOOKUP($Q20,武学奇术!$A:$ZZ,13,FALSE)+SUM(_xlfn.XLOOKUP(R20:AF20,增益!$A:$A,增益!$K:$K,0)))/200,($F$13-$I$4+VLOOKUP($Q20,武学奇术!$A:$ZZ,13,FALSE)+SUM(_xlfn.XLOOKUP(R20:AF20,增益!$A:$A,增益!$M:$M,0)))/100)</f>
        <v>0</v>
      </c>
      <c r="BD20" s="32" cm="1">
        <f t="array" ref="BD20">$G$13+VLOOKUP($Q20,武学奇术!$A:$ZZ,14,FALSE)+SUM(_xlfn.XLOOKUP(R20:AF20,增益!$A:$A,增益!$N:$N,0))</f>
        <v>0.15</v>
      </c>
      <c r="BE20">
        <f t="shared" si="7"/>
        <v>0</v>
      </c>
      <c r="BF20">
        <f t="shared" si="8"/>
        <v>0</v>
      </c>
      <c r="BG20" s="32" cm="1">
        <f t="array" ref="BG20">IF($F$14-$I$4+VLOOKUP($Q20,武学奇术!$A:$ZZ,15,FALSE)+SUM(_xlfn.XLOOKUP(R20:AF20,增益!$A:$A,增益!$O:$O,0))&gt;0,($F$14-$I$4+VLOOKUP($Q20,武学奇术!$A:$ZZ,15,FALSE)+SUM(_xlfn.XLOOKUP(R20:AF20,增益!$A:$A,增益!$O:$O,0)))/200,($F$14-$I$4+VLOOKUP($Q20,武学奇术!$A:$ZZ,15,FALSE)+SUM(_xlfn.XLOOKUP(R20:AF20,增益!$A:$A,增益!$O:$O,0)))/100)</f>
        <v>-0.3</v>
      </c>
      <c r="BH20" s="32" cm="1">
        <f t="array" ref="BH20">$G$14+VLOOKUP($Q20,武学奇术!$A:$ZZ,16,FALSE)+SUM(_xlfn.XLOOKUP(R20:AF20,增益!$A:$A,增益!$P:$P,0))</f>
        <v>0</v>
      </c>
      <c r="BI20" s="26">
        <f>MIN(IF(VLOOKUP($Q20,武学奇术!$A:$ZZ,23,FALSE)=1,100%,$B$8),100%)</f>
        <v>1</v>
      </c>
      <c r="BJ20" s="26" cm="1">
        <f t="array" ref="BJ20">IF(VLOOKUP($Q20,武学奇术!$A:$ZZ,23,FALSE)=1,100%,MIN(80%,$B$9+VLOOKUP($Q20,武学奇术!$A:$ZZ,17,FALSE)+SUM(_xlfn.XLOOKUP(R20:AF20,增益!$A:$A,增益!$Q:$Q,0)))+$B$11+SUM(_xlfn.XLOOKUP(R20:AF20,增益!$A:$A,增益!$U:$U,0)))*IF(VLOOKUP($Q20,武学奇术!$A:$ZZ,24,FALSE)=1,0,1)</f>
        <v>0.8625</v>
      </c>
      <c r="BK20" s="26" cm="1">
        <f t="array" ref="BK20">1+$B$13+VLOOKUP($Q20,武学奇术!$A:$ZZ,18,FALSE)+SUM(_xlfn.XLOOKUP(R20:AF20,增益!$A:$A,增益!$R:$R,0))</f>
        <v>1.5</v>
      </c>
      <c r="BL20" s="26" cm="1">
        <f t="array" ref="BL20">IF(VLOOKUP($Q20,武学奇术!$A:$ZZ,24,FALSE)=1,100%,MIN(40%,$B$10+VLOOKUP($Q20,武学奇术!$A:$ZZ,19,FALSE)+SUM(_xlfn.XLOOKUP(R20:AF20,增益!$A:$A,增益!$S:$S,0)))+$B$12+SUM(_xlfn.XLOOKUP(R20:AF20,增益!$A:$A,增益!$V:$V,0)))*IF(VLOOKUP($Q20,武学奇术!$A:$ZZ,23,FALSE)=1,0,1)</f>
        <v>0.0913</v>
      </c>
      <c r="BM20" s="26" cm="1">
        <f t="array" ref="BM20">1+$B$14+VLOOKUP($Q20,武学奇术!$A:$ZZ,20,FALSE)+SUM(_xlfn.XLOOKUP(R20:AF20,增益!$A:$A,增益!$T:$T,0))</f>
        <v>1.35</v>
      </c>
      <c r="BN20" s="26">
        <f t="shared" si="9"/>
        <v>0.8625</v>
      </c>
      <c r="BO20" s="26">
        <f t="shared" si="10"/>
        <v>0.0462</v>
      </c>
      <c r="BP20" s="26">
        <f>IF(VLOOKUP($Q20,武学奇术!$A:$ZZ,22,FALSE)=1,0,(1-$BI20))*(1-$BL20)</f>
        <v>0</v>
      </c>
      <c r="BQ20" s="26" cm="1">
        <f t="array" ref="BQ20">SUM(_xlfn.XLOOKUP(R20:AF20,增益!$A:$A,增益!$W:$W,0))+$I$5</f>
        <v>0.06</v>
      </c>
    </row>
    <row r="21" spans="1:69">
      <c r="A21" t="s">
        <v>128</v>
      </c>
      <c r="B21" s="28">
        <f>期望!B21</f>
        <v>0.6</v>
      </c>
      <c r="C21" s="39" t="s">
        <v>129</v>
      </c>
      <c r="D21" s="79" t="s">
        <v>135</v>
      </c>
      <c r="E21" s="39" t="s">
        <v>130</v>
      </c>
      <c r="F21" s="39"/>
      <c r="K21" s="38">
        <f t="shared" si="0"/>
        <v>0</v>
      </c>
      <c r="L21" s="38">
        <f>((($AN21+$AO21)/2*$AH21+$AI21)*(1+$AP21)*(1+$AQ21)+(($AS21+$AT21)/2*IF($G$1="鸣金",$AJ21,$AH21)+IF($G$1="鸣金",$AK21*1.5,0))*(1+$AU21)*(1+$AV21)+(($AW21+$AX21)/2*IF($G$1="裂石",$AJ21,$AH21)+IF($G$1="裂石",$AK21*1.5,0))*(1+$AY21)*(1+$AZ21)+(($BA21+$BB21)/2*IF($G$1="牵丝",$AJ21,$AH21)+IF($G$1="牵丝",$AK21*1.5,0))*(1+$BC21)*(1+$BD21)+(($BE21+$BF21)/2*IF($G$1="破竹",$AJ21,$AH21)+IF($G$1="破竹",$AK21*1.5,0))*(1+$BG21)*(1+$BH21))*(1+$AL21)*$BK21*$P21*(1+IF(VLOOKUP($Q21,武学奇术!$A:$ZZ,30,FALSE)="蓄力技",#REF!,0))*(1+$BQ21)</f>
        <v>0</v>
      </c>
      <c r="M21" s="38">
        <f>(($AO21*$AH21+$AI21)*(1+$AP21)*(1+$AQ21)+($AT21*IF($G$1="鸣金",$AJ21,$AH21)+IF($G$1="鸣金",$AK21*1.5,0))*(1+$AU21)*(1+$AV21)+($AX21*IF($G$1="裂石",$AJ21,$AH21)+IF($G$1="裂石",$AK21*1.5,0))*(1+$AY21)*(1+$AZ21)+($BB21*IF($G$1="牵丝",$AJ21,$AH21)+IF($G$1="牵丝",$AK21*1.5,0))*(1+$BC21)*(1+$BD21)+($BF21*IF($G$1="破竹",$AJ21,$AH21)+IF($G$1="破竹",$AK21*1.5,0))*(1+$BG21)*(1+$BH21))*(1+$AL21)*$BM21*$P21*(1+IF(VLOOKUP($Q21,武学奇术!$A:$ZZ,30,FALSE)="蓄力技",#REF!,0))*(1+$BQ21)</f>
        <v>0</v>
      </c>
      <c r="N21" s="38">
        <f>((($AN21+$AO21)/2*$AH21+$AI21)*(1+$AP21)*(1+$AQ21)+(($AS21+$AT21)/2*IF($G$1="鸣金",$AJ21,$AH21)+IF($G$1="鸣金",$AK21*1.5,0))*(1+$AU21)*(1+$AV21)+(($AW21+$AX21)/2*IF($G$1="裂石",$AJ21,$AH21)+IF($G$1="裂石",$AK21*1.5,0))*(1+$AY21)*(1+$AZ21)+(($BA21+$BB21)/2*IF($G$1="牵丝",$AJ21,$AH21)+IF($G$1="牵丝",$AK21*1.5,0))*(1+$BC21)*(1+$BD21)+(($BE21+$BF21)/2*IF($G$1="破竹",$AJ21,$AH21)+IF($G$1="破竹",$AK21*1.5,0))*(1+$BG21)*(1+$BH21))*(1+$AL21)*$P21*(1+IF(VLOOKUP($Q21,武学奇术!$A:$ZZ,30,FALSE)="蓄力技",#REF!,0))*(1+$BQ21)</f>
        <v>0</v>
      </c>
      <c r="O21" s="38">
        <f>((($AN21*$AH21+$AI21)*(1+$AP21)*(1+$AQ21)+($AS21*IF($G$1="鸣金",$AJ21,$AH21)+IF($G$1="鸣金",$AK21*1.5,0))*(1+$AU21)*(1+$AV21)+($AW21*IF($G$1="裂石",$AJ21,$AH21)+IF($G$1="裂石",$AK21*1.5,0))*(1+$AY21)*(1+$AZ21)+($BA21*IF($G$1="牵丝",$AJ21,$AH21)+IF($G$1="牵丝",$AK21*1.5,0))*(1+$BC21)*(1+$BD21)+($BE21*IF($G$1="破竹",$AJ21,$AH21)+IF($G$1="破竹",$AK21*1.5,0))*(1+$BG21)*(1+$BH21))*(1+$AL21))*$P21*(1+IF(VLOOKUP($Q21,武学奇术!$A:$ZZ,30,FALSE)="蓄力技",#REF!,0))*(1+$BQ21)</f>
        <v>0</v>
      </c>
      <c r="P21" s="39">
        <v>1</v>
      </c>
      <c r="Q21" s="40" t="s">
        <v>76</v>
      </c>
      <c r="R21" s="40" t="s">
        <v>76</v>
      </c>
      <c r="S21" s="40" t="s">
        <v>76</v>
      </c>
      <c r="T21" s="40" t="s">
        <v>76</v>
      </c>
      <c r="U21" s="40" t="s">
        <v>76</v>
      </c>
      <c r="V21" s="40" t="s">
        <v>76</v>
      </c>
      <c r="W21" s="40" t="s">
        <v>76</v>
      </c>
      <c r="X21" s="40" t="s">
        <v>76</v>
      </c>
      <c r="Y21" s="40" t="s">
        <v>76</v>
      </c>
      <c r="Z21" s="40" t="s">
        <v>76</v>
      </c>
      <c r="AA21" s="40" t="s">
        <v>76</v>
      </c>
      <c r="AB21" s="40" t="s">
        <v>76</v>
      </c>
      <c r="AC21" s="40" t="s">
        <v>76</v>
      </c>
      <c r="AD21" s="40" t="s">
        <v>76</v>
      </c>
      <c r="AE21" s="40" t="s">
        <v>76</v>
      </c>
      <c r="AF21" s="40" t="s">
        <v>76</v>
      </c>
      <c r="AG21" t="str">
        <f>VLOOKUP($Q21,武学奇术!$A:$ZZ,25,FALSE)</f>
        <v>心法</v>
      </c>
      <c r="AH21" s="26">
        <f>VLOOKUP($Q21,武学奇术!$A:$ZZ,26,FALSE)</f>
        <v>0</v>
      </c>
      <c r="AI21" s="27">
        <f>VLOOKUP($Q21,武学奇术!$A:$ZZ,27,FALSE)*(1+IF(OR($AG21=$F$4,$AG21=$F$5),$B$21,0))</f>
        <v>0</v>
      </c>
      <c r="AJ21" s="26">
        <f>VLOOKUP($Q21,武学奇术!$A:$ZZ,28,FALSE)</f>
        <v>0</v>
      </c>
      <c r="AK21" s="27">
        <f>VLOOKUP($Q21,武学奇术!$A:$ZZ,29,FALSE)*(1+IF(OR($AG21=$F$4,$AG21=$F$5),$B$21,0))</f>
        <v>0</v>
      </c>
      <c r="AL21" s="26" cm="1">
        <f t="array" ref="AL21">$G$3+IFERROR(VLOOKUP($AG21,$F$4:$G$7,2,FALSE),0)+VLOOKUP($Q21,武学奇术!$A:$ZZ,2,FALSE)+SUM(_xlfn.XLOOKUP($R21:$AF21,增益!$A:$A,增益!$B:$B,0))</f>
        <v>0.1842</v>
      </c>
      <c r="AM21" s="26" cm="1">
        <f t="array" ref="AM21">VLOOKUP($Q21,武学奇术!$A:$ZZ,5,FALSE)+SUM(_xlfn.XLOOKUP($R21:$AF21,增益!$A:$A,增益!$E:$E,0))</f>
        <v>0</v>
      </c>
      <c r="AN21" cm="1">
        <f t="array" ref="AN21">$D$10*(1+$AM21)+VLOOKUP($Q21,武学奇术!$A:$ZZ,3,FALSE)+SUM(_xlfn.XLOOKUP($R21:$AF21,增益!$A:$A,增益!$C:$C,0))-$I$2</f>
        <v>3940</v>
      </c>
      <c r="AO21" cm="1">
        <f t="array" ref="AO21">$E$10*(1+$AM21)+VLOOKUP($Q21,武学奇术!$A:$ZZ,4,FALSE)+SUM(_xlfn.XLOOKUP($R21:$AF21,增益!$A:$A,增益!$D:$D,0))-$I$2</f>
        <v>3940</v>
      </c>
      <c r="AP21" s="32" cm="1">
        <f t="array" ref="AP21">IF($F$10-$I$3+VLOOKUP($Q21,武学奇术!$A:$ZZ,6,FALSE)+SUM(_xlfn.XLOOKUP(R21:AF21,增益!$A:$A,增益!$F:$F,0))&gt;0,($F$10-$I$3+VLOOKUP($Q21,武学奇术!$A:$ZZ,6,FALSE)+SUM(_xlfn.XLOOKUP(R21:AF21,增益!$A:$A,增益!$F:$F,0)))/200,($F$10-$I$3+VLOOKUP($Q21,武学奇术!$A:$ZZ,6,FALSE)+SUM(_xlfn.XLOOKUP(R21:AF21,增益!$A:$A,增益!$F:$F,0)))/100)</f>
        <v>0.194</v>
      </c>
      <c r="AQ21" s="32" cm="1">
        <f t="array" ref="AQ21">$G$10+VLOOKUP($Q21,武学奇术!$A:$ZZ,7,FALSE)+SUM(_xlfn.XLOOKUP(R21:AF21,增益!$A:$A,增益!$G:$G,0))</f>
        <v>0</v>
      </c>
      <c r="AR21" s="26" cm="1">
        <f t="array" ref="AR21">VLOOKUP($Q21,武学奇术!$A:$ZZ,8,FALSE)+SUM(_xlfn.XLOOKUP(R21:AF21,增益!$A:$A,增益!$H:$H,0))</f>
        <v>0</v>
      </c>
      <c r="AS21">
        <f t="shared" si="1"/>
        <v>0</v>
      </c>
      <c r="AT21">
        <f t="shared" si="2"/>
        <v>0</v>
      </c>
      <c r="AU21" s="32" cm="1">
        <f t="array" ref="AU21">IF($F$11-$I$4+VLOOKUP($Q21,武学奇术!$A:$ZZ,9,FALSE)+SUM(_xlfn.XLOOKUP(R21:AF21,增益!$A:$A,增益!$I:$I,0))&gt;0,($F$11-$I$4+VLOOKUP($Q21,武学奇术!$A:$ZZ,9,FALSE)+SUM(_xlfn.XLOOKUP(R21:AF21,增益!$A:$A,增益!$I:$I,0)))/200,($F$11-$I$4+VLOOKUP($Q21,武学奇术!$A:$ZZ,9,FALSE)+SUM(_xlfn.XLOOKUP(R21:AF21,增益!$A:$A,增益!$I:$I,0)))/100)</f>
        <v>-0.3</v>
      </c>
      <c r="AV21" s="32" cm="1">
        <f t="array" ref="AV21">$G$11+VLOOKUP($Q21,武学奇术!$A:$ZZ,10,FALSE)+SUM(_xlfn.XLOOKUP(R21:AF21,增益!$A:$A,增益!$J:$J,0))</f>
        <v>0</v>
      </c>
      <c r="AW21">
        <f t="shared" si="3"/>
        <v>0</v>
      </c>
      <c r="AX21">
        <f t="shared" si="4"/>
        <v>0</v>
      </c>
      <c r="AY21" s="32" cm="1">
        <f t="array" ref="AY21">IF($F$12-$I$4+VLOOKUP($Q21,武学奇术!$A:$ZZ,11,FALSE)+SUM(_xlfn.XLOOKUP(R21:AF21,增益!$A:$A,增益!$K:$K,0))&gt;0,($F$12-$I$4+VLOOKUP($Q21,武学奇术!$A:$ZZ,11,FALSE)+SUM(_xlfn.XLOOKUP(R21:AF21,增益!$A:$A,增益!$K:$K,0)))/200,($F$12-$I$4+VLOOKUP($Q21,武学奇术!$A:$ZZ,11,FALSE)+SUM(_xlfn.XLOOKUP(R21:AF21,增益!$A:$A,增益!$K:$K,0)))/100)</f>
        <v>-0.3</v>
      </c>
      <c r="AZ21" s="32" cm="1">
        <f t="array" ref="AZ21">$G$12+VLOOKUP($Q21,武学奇术!$A:$ZZ,12,FALSE)+SUM(_xlfn.XLOOKUP(R21:AF21,增益!$A:$A,增益!$L:$L,0))</f>
        <v>0</v>
      </c>
      <c r="BA21">
        <f t="shared" si="5"/>
        <v>697.4</v>
      </c>
      <c r="BB21">
        <f t="shared" si="6"/>
        <v>1805</v>
      </c>
      <c r="BC21" s="32" cm="1">
        <f t="array" ref="BC21">IF($F$13-$I$4+VLOOKUP($Q21,武学奇术!$A:$ZZ,13,FALSE)+SUM(_xlfn.XLOOKUP(R21:AF21,增益!$A:$A,增益!$M:$M,0))&gt;0,($F$13-$I$4+VLOOKUP($Q21,武学奇术!$A:$ZZ,13,FALSE)+SUM(_xlfn.XLOOKUP(R21:AF21,增益!$A:$A,增益!$K:$K,0)))/200,($F$13-$I$4+VLOOKUP($Q21,武学奇术!$A:$ZZ,13,FALSE)+SUM(_xlfn.XLOOKUP(R21:AF21,增益!$A:$A,增益!$M:$M,0)))/100)</f>
        <v>0</v>
      </c>
      <c r="BD21" s="32" cm="1">
        <f t="array" ref="BD21">$G$13+VLOOKUP($Q21,武学奇术!$A:$ZZ,14,FALSE)+SUM(_xlfn.XLOOKUP(R21:AF21,增益!$A:$A,增益!$N:$N,0))</f>
        <v>0.15</v>
      </c>
      <c r="BE21">
        <f t="shared" si="7"/>
        <v>0</v>
      </c>
      <c r="BF21">
        <f t="shared" si="8"/>
        <v>0</v>
      </c>
      <c r="BG21" s="32" cm="1">
        <f t="array" ref="BG21">IF($F$14-$I$4+VLOOKUP($Q21,武学奇术!$A:$ZZ,15,FALSE)+SUM(_xlfn.XLOOKUP(R21:AF21,增益!$A:$A,增益!$O:$O,0))&gt;0,($F$14-$I$4+VLOOKUP($Q21,武学奇术!$A:$ZZ,15,FALSE)+SUM(_xlfn.XLOOKUP(R21:AF21,增益!$A:$A,增益!$O:$O,0)))/200,($F$14-$I$4+VLOOKUP($Q21,武学奇术!$A:$ZZ,15,FALSE)+SUM(_xlfn.XLOOKUP(R21:AF21,增益!$A:$A,增益!$O:$O,0)))/100)</f>
        <v>-0.3</v>
      </c>
      <c r="BH21" s="32" cm="1">
        <f t="array" ref="BH21">$G$14+VLOOKUP($Q21,武学奇术!$A:$ZZ,16,FALSE)+SUM(_xlfn.XLOOKUP(R21:AF21,增益!$A:$A,增益!$P:$P,0))</f>
        <v>0</v>
      </c>
      <c r="BI21" s="26">
        <f>MIN(IF(VLOOKUP($Q21,武学奇术!$A:$ZZ,23,FALSE)=1,100%,$B$8),100%)</f>
        <v>1</v>
      </c>
      <c r="BJ21" s="26" cm="1">
        <f t="array" ref="BJ21">IF(VLOOKUP($Q21,武学奇术!$A:$ZZ,23,FALSE)=1,100%,MIN(80%,$B$9+VLOOKUP($Q21,武学奇术!$A:$ZZ,17,FALSE)+SUM(_xlfn.XLOOKUP(R21:AF21,增益!$A:$A,增益!$Q:$Q,0)))+$B$11+SUM(_xlfn.XLOOKUP(R21:AF21,增益!$A:$A,增益!$U:$U,0)))*IF(VLOOKUP($Q21,武学奇术!$A:$ZZ,24,FALSE)=1,0,1)</f>
        <v>0.8625</v>
      </c>
      <c r="BK21" s="26" cm="1">
        <f t="array" ref="BK21">1+$B$13+VLOOKUP($Q21,武学奇术!$A:$ZZ,18,FALSE)+SUM(_xlfn.XLOOKUP(R21:AF21,增益!$A:$A,增益!$R:$R,0))</f>
        <v>1.5</v>
      </c>
      <c r="BL21" s="26" cm="1">
        <f t="array" ref="BL21">IF(VLOOKUP($Q21,武学奇术!$A:$ZZ,24,FALSE)=1,100%,MIN(40%,$B$10+VLOOKUP($Q21,武学奇术!$A:$ZZ,19,FALSE)+SUM(_xlfn.XLOOKUP(R21:AF21,增益!$A:$A,增益!$S:$S,0)))+$B$12+SUM(_xlfn.XLOOKUP(R21:AF21,增益!$A:$A,增益!$V:$V,0)))*IF(VLOOKUP($Q21,武学奇术!$A:$ZZ,23,FALSE)=1,0,1)</f>
        <v>0.0913</v>
      </c>
      <c r="BM21" s="26" cm="1">
        <f t="array" ref="BM21">1+$B$14+VLOOKUP($Q21,武学奇术!$A:$ZZ,20,FALSE)+SUM(_xlfn.XLOOKUP(R21:AF21,增益!$A:$A,增益!$T:$T,0))</f>
        <v>1.35</v>
      </c>
      <c r="BN21" s="26">
        <f t="shared" si="9"/>
        <v>0.8625</v>
      </c>
      <c r="BO21" s="26">
        <f t="shared" si="10"/>
        <v>0.0462</v>
      </c>
      <c r="BP21" s="26">
        <f>IF(VLOOKUP($Q21,武学奇术!$A:$ZZ,22,FALSE)=1,0,(1-$BI21))*(1-$BL21)</f>
        <v>0</v>
      </c>
      <c r="BQ21" s="26" cm="1">
        <f t="array" ref="BQ21">SUM(_xlfn.XLOOKUP(R21:AF21,增益!$A:$A,增益!$W:$W,0))+$I$5</f>
        <v>0.06</v>
      </c>
    </row>
    <row r="22" spans="1:69">
      <c r="A22" s="39" t="s">
        <v>131</v>
      </c>
      <c r="B22" s="87">
        <f>期望!B22</f>
        <v>240</v>
      </c>
      <c r="C22" s="39" t="s">
        <v>132</v>
      </c>
      <c r="D22" s="79" t="s">
        <v>135</v>
      </c>
      <c r="E22" s="39" t="str">
        <f>期望!E22</f>
        <v>征人归</v>
      </c>
      <c r="F22" s="39"/>
      <c r="K22" s="38">
        <f t="shared" si="0"/>
        <v>0</v>
      </c>
      <c r="L22" s="38">
        <f>((($AN22+$AO22)/2*$AH22+$AI22)*(1+$AP22)*(1+$AQ22)+(($AS22+$AT22)/2*IF($G$1="鸣金",$AJ22,$AH22)+IF($G$1="鸣金",$AK22*1.5,0))*(1+$AU22)*(1+$AV22)+(($AW22+$AX22)/2*IF($G$1="裂石",$AJ22,$AH22)+IF($G$1="裂石",$AK22*1.5,0))*(1+$AY22)*(1+$AZ22)+(($BA22+$BB22)/2*IF($G$1="牵丝",$AJ22,$AH22)+IF($G$1="牵丝",$AK22*1.5,0))*(1+$BC22)*(1+$BD22)+(($BE22+$BF22)/2*IF($G$1="破竹",$AJ22,$AH22)+IF($G$1="破竹",$AK22*1.5,0))*(1+$BG22)*(1+$BH22))*(1+$AL22)*$BK22*$P22*(1+IF(VLOOKUP($Q22,武学奇术!$A:$ZZ,30,FALSE)="蓄力技",#REF!,0))*(1+$BQ22)</f>
        <v>0</v>
      </c>
      <c r="M22" s="38">
        <f>(($AO22*$AH22+$AI22)*(1+$AP22)*(1+$AQ22)+($AT22*IF($G$1="鸣金",$AJ22,$AH22)+IF($G$1="鸣金",$AK22*1.5,0))*(1+$AU22)*(1+$AV22)+($AX22*IF($G$1="裂石",$AJ22,$AH22)+IF($G$1="裂石",$AK22*1.5,0))*(1+$AY22)*(1+$AZ22)+($BB22*IF($G$1="牵丝",$AJ22,$AH22)+IF($G$1="牵丝",$AK22*1.5,0))*(1+$BC22)*(1+$BD22)+($BF22*IF($G$1="破竹",$AJ22,$AH22)+IF($G$1="破竹",$AK22*1.5,0))*(1+$BG22)*(1+$BH22))*(1+$AL22)*$BM22*$P22*(1+IF(VLOOKUP($Q22,武学奇术!$A:$ZZ,30,FALSE)="蓄力技",#REF!,0))*(1+$BQ22)</f>
        <v>0</v>
      </c>
      <c r="N22" s="38">
        <f>((($AN22+$AO22)/2*$AH22+$AI22)*(1+$AP22)*(1+$AQ22)+(($AS22+$AT22)/2*IF($G$1="鸣金",$AJ22,$AH22)+IF($G$1="鸣金",$AK22*1.5,0))*(1+$AU22)*(1+$AV22)+(($AW22+$AX22)/2*IF($G$1="裂石",$AJ22,$AH22)+IF($G$1="裂石",$AK22*1.5,0))*(1+$AY22)*(1+$AZ22)+(($BA22+$BB22)/2*IF($G$1="牵丝",$AJ22,$AH22)+IF($G$1="牵丝",$AK22*1.5,0))*(1+$BC22)*(1+$BD22)+(($BE22+$BF22)/2*IF($G$1="破竹",$AJ22,$AH22)+IF($G$1="破竹",$AK22*1.5,0))*(1+$BG22)*(1+$BH22))*(1+$AL22)*$P22*(1+IF(VLOOKUP($Q22,武学奇术!$A:$ZZ,30,FALSE)="蓄力技",#REF!,0))*(1+$BQ22)</f>
        <v>0</v>
      </c>
      <c r="O22" s="38">
        <f>((($AN22*$AH22+$AI22)*(1+$AP22)*(1+$AQ22)+($AS22*IF($G$1="鸣金",$AJ22,$AH22)+IF($G$1="鸣金",$AK22*1.5,0))*(1+$AU22)*(1+$AV22)+($AW22*IF($G$1="裂石",$AJ22,$AH22)+IF($G$1="裂石",$AK22*1.5,0))*(1+$AY22)*(1+$AZ22)+($BA22*IF($G$1="牵丝",$AJ22,$AH22)+IF($G$1="牵丝",$AK22*1.5,0))*(1+$BC22)*(1+$BD22)+($BE22*IF($G$1="破竹",$AJ22,$AH22)+IF($G$1="破竹",$AK22*1.5,0))*(1+$BG22)*(1+$BH22))*(1+$AL22))*$P22*(1+IF(VLOOKUP($Q22,武学奇术!$A:$ZZ,30,FALSE)="蓄力技",#REF!,0))*(1+$BQ22)</f>
        <v>0</v>
      </c>
      <c r="P22" s="39">
        <v>1</v>
      </c>
      <c r="Q22" s="40" t="s">
        <v>76</v>
      </c>
      <c r="R22" s="40" t="s">
        <v>76</v>
      </c>
      <c r="S22" s="40" t="s">
        <v>76</v>
      </c>
      <c r="T22" s="40" t="s">
        <v>76</v>
      </c>
      <c r="U22" s="40" t="s">
        <v>76</v>
      </c>
      <c r="V22" s="40" t="s">
        <v>76</v>
      </c>
      <c r="W22" s="40" t="s">
        <v>76</v>
      </c>
      <c r="X22" s="40" t="s">
        <v>76</v>
      </c>
      <c r="Y22" s="40" t="s">
        <v>76</v>
      </c>
      <c r="Z22" s="40" t="s">
        <v>76</v>
      </c>
      <c r="AA22" s="40" t="s">
        <v>76</v>
      </c>
      <c r="AB22" s="40" t="s">
        <v>76</v>
      </c>
      <c r="AC22" s="40" t="s">
        <v>76</v>
      </c>
      <c r="AD22" s="40" t="s">
        <v>76</v>
      </c>
      <c r="AE22" s="40" t="s">
        <v>76</v>
      </c>
      <c r="AF22" s="40" t="s">
        <v>76</v>
      </c>
      <c r="AG22" t="str">
        <f>VLOOKUP($Q22,武学奇术!$A:$ZZ,25,FALSE)</f>
        <v>心法</v>
      </c>
      <c r="AH22" s="26">
        <f>VLOOKUP($Q22,武学奇术!$A:$ZZ,26,FALSE)</f>
        <v>0</v>
      </c>
      <c r="AI22" s="27">
        <f>VLOOKUP($Q22,武学奇术!$A:$ZZ,27,FALSE)*(1+IF(OR($AG22=$F$4,$AG22=$F$5),$B$21,0))</f>
        <v>0</v>
      </c>
      <c r="AJ22" s="26">
        <f>VLOOKUP($Q22,武学奇术!$A:$ZZ,28,FALSE)</f>
        <v>0</v>
      </c>
      <c r="AK22" s="27">
        <f>VLOOKUP($Q22,武学奇术!$A:$ZZ,29,FALSE)*(1+IF(OR($AG22=$F$4,$AG22=$F$5),$B$21,0))</f>
        <v>0</v>
      </c>
      <c r="AL22" s="26" cm="1">
        <f t="array" ref="AL22">$G$3+IFERROR(VLOOKUP($AG22,$F$4:$G$7,2,FALSE),0)+VLOOKUP($Q22,武学奇术!$A:$ZZ,2,FALSE)+SUM(_xlfn.XLOOKUP($R22:$AF22,增益!$A:$A,增益!$B:$B,0))</f>
        <v>0.1842</v>
      </c>
      <c r="AM22" s="26" cm="1">
        <f t="array" ref="AM22">VLOOKUP($Q22,武学奇术!$A:$ZZ,5,FALSE)+SUM(_xlfn.XLOOKUP($R22:$AF22,增益!$A:$A,增益!$E:$E,0))</f>
        <v>0</v>
      </c>
      <c r="AN22" cm="1">
        <f t="array" ref="AN22">$D$10*(1+$AM22)+VLOOKUP($Q22,武学奇术!$A:$ZZ,3,FALSE)+SUM(_xlfn.XLOOKUP($R22:$AF22,增益!$A:$A,增益!$C:$C,0))-$I$2</f>
        <v>3940</v>
      </c>
      <c r="AO22" cm="1">
        <f t="array" ref="AO22">$E$10*(1+$AM22)+VLOOKUP($Q22,武学奇术!$A:$ZZ,4,FALSE)+SUM(_xlfn.XLOOKUP($R22:$AF22,增益!$A:$A,增益!$D:$D,0))-$I$2</f>
        <v>3940</v>
      </c>
      <c r="AP22" s="32" cm="1">
        <f t="array" ref="AP22">IF($F$10-$I$3+VLOOKUP($Q22,武学奇术!$A:$ZZ,6,FALSE)+SUM(_xlfn.XLOOKUP(R22:AF22,增益!$A:$A,增益!$F:$F,0))&gt;0,($F$10-$I$3+VLOOKUP($Q22,武学奇术!$A:$ZZ,6,FALSE)+SUM(_xlfn.XLOOKUP(R22:AF22,增益!$A:$A,增益!$F:$F,0)))/200,($F$10-$I$3+VLOOKUP($Q22,武学奇术!$A:$ZZ,6,FALSE)+SUM(_xlfn.XLOOKUP(R22:AF22,增益!$A:$A,增益!$F:$F,0)))/100)</f>
        <v>0.194</v>
      </c>
      <c r="AQ22" s="32" cm="1">
        <f t="array" ref="AQ22">$G$10+VLOOKUP($Q22,武学奇术!$A:$ZZ,7,FALSE)+SUM(_xlfn.XLOOKUP(R22:AF22,增益!$A:$A,增益!$G:$G,0))</f>
        <v>0</v>
      </c>
      <c r="AR22" s="26" cm="1">
        <f t="array" ref="AR22">VLOOKUP($Q22,武学奇术!$A:$ZZ,8,FALSE)+SUM(_xlfn.XLOOKUP(R22:AF22,增益!$A:$A,增益!$H:$H,0))</f>
        <v>0</v>
      </c>
      <c r="AS22">
        <f t="shared" si="1"/>
        <v>0</v>
      </c>
      <c r="AT22">
        <f t="shared" si="2"/>
        <v>0</v>
      </c>
      <c r="AU22" s="32" cm="1">
        <f t="array" ref="AU22">IF($F$11-$I$4+VLOOKUP($Q22,武学奇术!$A:$ZZ,9,FALSE)+SUM(_xlfn.XLOOKUP(R22:AF22,增益!$A:$A,增益!$I:$I,0))&gt;0,($F$11-$I$4+VLOOKUP($Q22,武学奇术!$A:$ZZ,9,FALSE)+SUM(_xlfn.XLOOKUP(R22:AF22,增益!$A:$A,增益!$I:$I,0)))/200,($F$11-$I$4+VLOOKUP($Q22,武学奇术!$A:$ZZ,9,FALSE)+SUM(_xlfn.XLOOKUP(R22:AF22,增益!$A:$A,增益!$I:$I,0)))/100)</f>
        <v>-0.3</v>
      </c>
      <c r="AV22" s="32" cm="1">
        <f t="array" ref="AV22">$G$11+VLOOKUP($Q22,武学奇术!$A:$ZZ,10,FALSE)+SUM(_xlfn.XLOOKUP(R22:AF22,增益!$A:$A,增益!$J:$J,0))</f>
        <v>0</v>
      </c>
      <c r="AW22">
        <f t="shared" si="3"/>
        <v>0</v>
      </c>
      <c r="AX22">
        <f t="shared" si="4"/>
        <v>0</v>
      </c>
      <c r="AY22" s="32" cm="1">
        <f t="array" ref="AY22">IF($F$12-$I$4+VLOOKUP($Q22,武学奇术!$A:$ZZ,11,FALSE)+SUM(_xlfn.XLOOKUP(R22:AF22,增益!$A:$A,增益!$K:$K,0))&gt;0,($F$12-$I$4+VLOOKUP($Q22,武学奇术!$A:$ZZ,11,FALSE)+SUM(_xlfn.XLOOKUP(R22:AF22,增益!$A:$A,增益!$K:$K,0)))/200,($F$12-$I$4+VLOOKUP($Q22,武学奇术!$A:$ZZ,11,FALSE)+SUM(_xlfn.XLOOKUP(R22:AF22,增益!$A:$A,增益!$K:$K,0)))/100)</f>
        <v>-0.3</v>
      </c>
      <c r="AZ22" s="32" cm="1">
        <f t="array" ref="AZ22">$G$12+VLOOKUP($Q22,武学奇术!$A:$ZZ,12,FALSE)+SUM(_xlfn.XLOOKUP(R22:AF22,增益!$A:$A,增益!$L:$L,0))</f>
        <v>0</v>
      </c>
      <c r="BA22">
        <f t="shared" si="5"/>
        <v>697.4</v>
      </c>
      <c r="BB22">
        <f t="shared" si="6"/>
        <v>1805</v>
      </c>
      <c r="BC22" s="32" cm="1">
        <f t="array" ref="BC22">IF($F$13-$I$4+VLOOKUP($Q22,武学奇术!$A:$ZZ,13,FALSE)+SUM(_xlfn.XLOOKUP(R22:AF22,增益!$A:$A,增益!$M:$M,0))&gt;0,($F$13-$I$4+VLOOKUP($Q22,武学奇术!$A:$ZZ,13,FALSE)+SUM(_xlfn.XLOOKUP(R22:AF22,增益!$A:$A,增益!$K:$K,0)))/200,($F$13-$I$4+VLOOKUP($Q22,武学奇术!$A:$ZZ,13,FALSE)+SUM(_xlfn.XLOOKUP(R22:AF22,增益!$A:$A,增益!$M:$M,0)))/100)</f>
        <v>0</v>
      </c>
      <c r="BD22" s="32" cm="1">
        <f t="array" ref="BD22">$G$13+VLOOKUP($Q22,武学奇术!$A:$ZZ,14,FALSE)+SUM(_xlfn.XLOOKUP(R22:AF22,增益!$A:$A,增益!$N:$N,0))</f>
        <v>0.15</v>
      </c>
      <c r="BE22">
        <f t="shared" si="7"/>
        <v>0</v>
      </c>
      <c r="BF22">
        <f t="shared" si="8"/>
        <v>0</v>
      </c>
      <c r="BG22" s="32" cm="1">
        <f t="array" ref="BG22">IF($F$14-$I$4+VLOOKUP($Q22,武学奇术!$A:$ZZ,15,FALSE)+SUM(_xlfn.XLOOKUP(R22:AF22,增益!$A:$A,增益!$O:$O,0))&gt;0,($F$14-$I$4+VLOOKUP($Q22,武学奇术!$A:$ZZ,15,FALSE)+SUM(_xlfn.XLOOKUP(R22:AF22,增益!$A:$A,增益!$O:$O,0)))/200,($F$14-$I$4+VLOOKUP($Q22,武学奇术!$A:$ZZ,15,FALSE)+SUM(_xlfn.XLOOKUP(R22:AF22,增益!$A:$A,增益!$O:$O,0)))/100)</f>
        <v>-0.3</v>
      </c>
      <c r="BH22" s="32" cm="1">
        <f t="array" ref="BH22">$G$14+VLOOKUP($Q22,武学奇术!$A:$ZZ,16,FALSE)+SUM(_xlfn.XLOOKUP(R22:AF22,增益!$A:$A,增益!$P:$P,0))</f>
        <v>0</v>
      </c>
      <c r="BI22" s="26">
        <f>MIN(IF(VLOOKUP($Q22,武学奇术!$A:$ZZ,23,FALSE)=1,100%,$B$8),100%)</f>
        <v>1</v>
      </c>
      <c r="BJ22" s="26" cm="1">
        <f t="array" ref="BJ22">IF(VLOOKUP($Q22,武学奇术!$A:$ZZ,23,FALSE)=1,100%,MIN(80%,$B$9+VLOOKUP($Q22,武学奇术!$A:$ZZ,17,FALSE)+SUM(_xlfn.XLOOKUP(R22:AF22,增益!$A:$A,增益!$Q:$Q,0)))+$B$11+SUM(_xlfn.XLOOKUP(R22:AF22,增益!$A:$A,增益!$U:$U,0)))*IF(VLOOKUP($Q22,武学奇术!$A:$ZZ,24,FALSE)=1,0,1)</f>
        <v>0.8625</v>
      </c>
      <c r="BK22" s="26" cm="1">
        <f t="array" ref="BK22">1+$B$13+VLOOKUP($Q22,武学奇术!$A:$ZZ,18,FALSE)+SUM(_xlfn.XLOOKUP(R22:AF22,增益!$A:$A,增益!$R:$R,0))</f>
        <v>1.5</v>
      </c>
      <c r="BL22" s="26" cm="1">
        <f t="array" ref="BL22">IF(VLOOKUP($Q22,武学奇术!$A:$ZZ,24,FALSE)=1,100%,MIN(40%,$B$10+VLOOKUP($Q22,武学奇术!$A:$ZZ,19,FALSE)+SUM(_xlfn.XLOOKUP(R22:AF22,增益!$A:$A,增益!$S:$S,0)))+$B$12+SUM(_xlfn.XLOOKUP(R22:AF22,增益!$A:$A,增益!$V:$V,0)))*IF(VLOOKUP($Q22,武学奇术!$A:$ZZ,23,FALSE)=1,0,1)</f>
        <v>0.0913</v>
      </c>
      <c r="BM22" s="26" cm="1">
        <f t="array" ref="BM22">1+$B$14+VLOOKUP($Q22,武学奇术!$A:$ZZ,20,FALSE)+SUM(_xlfn.XLOOKUP(R22:AF22,增益!$A:$A,增益!$T:$T,0))</f>
        <v>1.35</v>
      </c>
      <c r="BN22" s="26">
        <f t="shared" si="9"/>
        <v>0.8625</v>
      </c>
      <c r="BO22" s="26">
        <f t="shared" si="10"/>
        <v>0.0462</v>
      </c>
      <c r="BP22" s="26">
        <f>IF(VLOOKUP($Q22,武学奇术!$A:$ZZ,22,FALSE)=1,0,(1-$BI22))*(1-$BL22)</f>
        <v>0</v>
      </c>
      <c r="BQ22" s="26" cm="1">
        <f t="array" ref="BQ22">SUM(_xlfn.XLOOKUP(R22:AF22,增益!$A:$A,增益!$W:$W,0))+$I$5</f>
        <v>0.06</v>
      </c>
    </row>
    <row r="23" spans="1:69">
      <c r="A23" s="39"/>
      <c r="B23" s="87">
        <f>期望!B23</f>
        <v>480</v>
      </c>
      <c r="K23" s="38">
        <f t="shared" si="0"/>
        <v>0</v>
      </c>
      <c r="L23" s="38">
        <f>((($AN23+$AO23)/2*$AH23+$AI23)*(1+$AP23)*(1+$AQ23)+(($AS23+$AT23)/2*IF($G$1="鸣金",$AJ23,$AH23)+IF($G$1="鸣金",$AK23*1.5,0))*(1+$AU23)*(1+$AV23)+(($AW23+$AX23)/2*IF($G$1="裂石",$AJ23,$AH23)+IF($G$1="裂石",$AK23*1.5,0))*(1+$AY23)*(1+$AZ23)+(($BA23+$BB23)/2*IF($G$1="牵丝",$AJ23,$AH23)+IF($G$1="牵丝",$AK23*1.5,0))*(1+$BC23)*(1+$BD23)+(($BE23+$BF23)/2*IF($G$1="破竹",$AJ23,$AH23)+IF($G$1="破竹",$AK23*1.5,0))*(1+$BG23)*(1+$BH23))*(1+$AL23)*$BK23*$P23*(1+IF(VLOOKUP($Q23,武学奇术!$A:$ZZ,30,FALSE)="蓄力技",#REF!,0))*(1+$BQ23)</f>
        <v>0</v>
      </c>
      <c r="M23" s="38">
        <f>(($AO23*$AH23+$AI23)*(1+$AP23)*(1+$AQ23)+($AT23*IF($G$1="鸣金",$AJ23,$AH23)+IF($G$1="鸣金",$AK23*1.5,0))*(1+$AU23)*(1+$AV23)+($AX23*IF($G$1="裂石",$AJ23,$AH23)+IF($G$1="裂石",$AK23*1.5,0))*(1+$AY23)*(1+$AZ23)+($BB23*IF($G$1="牵丝",$AJ23,$AH23)+IF($G$1="牵丝",$AK23*1.5,0))*(1+$BC23)*(1+$BD23)+($BF23*IF($G$1="破竹",$AJ23,$AH23)+IF($G$1="破竹",$AK23*1.5,0))*(1+$BG23)*(1+$BH23))*(1+$AL23)*$BM23*$P23*(1+IF(VLOOKUP($Q23,武学奇术!$A:$ZZ,30,FALSE)="蓄力技",#REF!,0))*(1+$BQ23)</f>
        <v>0</v>
      </c>
      <c r="N23" s="38">
        <f>((($AN23+$AO23)/2*$AH23+$AI23)*(1+$AP23)*(1+$AQ23)+(($AS23+$AT23)/2*IF($G$1="鸣金",$AJ23,$AH23)+IF($G$1="鸣金",$AK23*1.5,0))*(1+$AU23)*(1+$AV23)+(($AW23+$AX23)/2*IF($G$1="裂石",$AJ23,$AH23)+IF($G$1="裂石",$AK23*1.5,0))*(1+$AY23)*(1+$AZ23)+(($BA23+$BB23)/2*IF($G$1="牵丝",$AJ23,$AH23)+IF($G$1="牵丝",$AK23*1.5,0))*(1+$BC23)*(1+$BD23)+(($BE23+$BF23)/2*IF($G$1="破竹",$AJ23,$AH23)+IF($G$1="破竹",$AK23*1.5,0))*(1+$BG23)*(1+$BH23))*(1+$AL23)*$P23*(1+IF(VLOOKUP($Q23,武学奇术!$A:$ZZ,30,FALSE)="蓄力技",#REF!,0))*(1+$BQ23)</f>
        <v>0</v>
      </c>
      <c r="O23" s="38">
        <f>((($AN23*$AH23+$AI23)*(1+$AP23)*(1+$AQ23)+($AS23*IF($G$1="鸣金",$AJ23,$AH23)+IF($G$1="鸣金",$AK23*1.5,0))*(1+$AU23)*(1+$AV23)+($AW23*IF($G$1="裂石",$AJ23,$AH23)+IF($G$1="裂石",$AK23*1.5,0))*(1+$AY23)*(1+$AZ23)+($BA23*IF($G$1="牵丝",$AJ23,$AH23)+IF($G$1="牵丝",$AK23*1.5,0))*(1+$BC23)*(1+$BD23)+($BE23*IF($G$1="破竹",$AJ23,$AH23)+IF($G$1="破竹",$AK23*1.5,0))*(1+$BG23)*(1+$BH23))*(1+$AL23))*$P23*(1+IF(VLOOKUP($Q23,武学奇术!$A:$ZZ,30,FALSE)="蓄力技",#REF!,0))*(1+$BQ23)</f>
        <v>0</v>
      </c>
      <c r="P23" s="39">
        <v>1</v>
      </c>
      <c r="Q23" s="40" t="s">
        <v>76</v>
      </c>
      <c r="R23" s="40" t="s">
        <v>76</v>
      </c>
      <c r="S23" s="40" t="s">
        <v>76</v>
      </c>
      <c r="T23" s="40" t="s">
        <v>76</v>
      </c>
      <c r="U23" s="40" t="s">
        <v>76</v>
      </c>
      <c r="V23" s="40" t="s">
        <v>76</v>
      </c>
      <c r="W23" s="40" t="s">
        <v>76</v>
      </c>
      <c r="X23" s="40" t="s">
        <v>76</v>
      </c>
      <c r="Y23" s="40" t="s">
        <v>76</v>
      </c>
      <c r="Z23" s="40" t="s">
        <v>76</v>
      </c>
      <c r="AA23" s="40" t="s">
        <v>76</v>
      </c>
      <c r="AB23" s="40" t="s">
        <v>76</v>
      </c>
      <c r="AC23" s="40" t="s">
        <v>76</v>
      </c>
      <c r="AD23" s="40" t="s">
        <v>76</v>
      </c>
      <c r="AE23" s="40" t="s">
        <v>76</v>
      </c>
      <c r="AF23" s="40" t="s">
        <v>76</v>
      </c>
      <c r="AG23" t="str">
        <f>VLOOKUP($Q23,武学奇术!$A:$ZZ,25,FALSE)</f>
        <v>心法</v>
      </c>
      <c r="AH23" s="26">
        <f>VLOOKUP($Q23,武学奇术!$A:$ZZ,26,FALSE)</f>
        <v>0</v>
      </c>
      <c r="AI23" s="27">
        <f>VLOOKUP($Q23,武学奇术!$A:$ZZ,27,FALSE)*(1+IF(OR($AG23=$F$4,$AG23=$F$5),$B$21,0))</f>
        <v>0</v>
      </c>
      <c r="AJ23" s="26">
        <f>VLOOKUP($Q23,武学奇术!$A:$ZZ,28,FALSE)</f>
        <v>0</v>
      </c>
      <c r="AK23" s="27">
        <f>VLOOKUP($Q23,武学奇术!$A:$ZZ,29,FALSE)*(1+IF(OR($AG23=$F$4,$AG23=$F$5),$B$21,0))</f>
        <v>0</v>
      </c>
      <c r="AL23" s="26" cm="1">
        <f t="array" ref="AL23">$G$3+IFERROR(VLOOKUP($AG23,$F$4:$G$7,2,FALSE),0)+VLOOKUP($Q23,武学奇术!$A:$ZZ,2,FALSE)+SUM(_xlfn.XLOOKUP($R23:$AF23,增益!$A:$A,增益!$B:$B,0))</f>
        <v>0.1842</v>
      </c>
      <c r="AM23" s="26" cm="1">
        <f t="array" ref="AM23">VLOOKUP($Q23,武学奇术!$A:$ZZ,5,FALSE)+SUM(_xlfn.XLOOKUP($R23:$AF23,增益!$A:$A,增益!$E:$E,0))</f>
        <v>0</v>
      </c>
      <c r="AN23" cm="1">
        <f t="array" ref="AN23">$D$10*(1+$AM23)+VLOOKUP($Q23,武学奇术!$A:$ZZ,3,FALSE)+SUM(_xlfn.XLOOKUP($R23:$AF23,增益!$A:$A,增益!$C:$C,0))-$I$2</f>
        <v>3940</v>
      </c>
      <c r="AO23" cm="1">
        <f t="array" ref="AO23">$E$10*(1+$AM23)+VLOOKUP($Q23,武学奇术!$A:$ZZ,4,FALSE)+SUM(_xlfn.XLOOKUP($R23:$AF23,增益!$A:$A,增益!$D:$D,0))-$I$2</f>
        <v>3940</v>
      </c>
      <c r="AP23" s="32" cm="1">
        <f t="array" ref="AP23">IF($F$10-$I$3+VLOOKUP($Q23,武学奇术!$A:$ZZ,6,FALSE)+SUM(_xlfn.XLOOKUP(R23:AF23,增益!$A:$A,增益!$F:$F,0))&gt;0,($F$10-$I$3+VLOOKUP($Q23,武学奇术!$A:$ZZ,6,FALSE)+SUM(_xlfn.XLOOKUP(R23:AF23,增益!$A:$A,增益!$F:$F,0)))/200,($F$10-$I$3+VLOOKUP($Q23,武学奇术!$A:$ZZ,6,FALSE)+SUM(_xlfn.XLOOKUP(R23:AF23,增益!$A:$A,增益!$F:$F,0)))/100)</f>
        <v>0.194</v>
      </c>
      <c r="AQ23" s="32" cm="1">
        <f t="array" ref="AQ23">$G$10+VLOOKUP($Q23,武学奇术!$A:$ZZ,7,FALSE)+SUM(_xlfn.XLOOKUP(R23:AF23,增益!$A:$A,增益!$G:$G,0))</f>
        <v>0</v>
      </c>
      <c r="AR23" s="26" cm="1">
        <f t="array" ref="AR23">VLOOKUP($Q23,武学奇术!$A:$ZZ,8,FALSE)+SUM(_xlfn.XLOOKUP(R23:AF23,增益!$A:$A,增益!$H:$H,0))</f>
        <v>0</v>
      </c>
      <c r="AS23">
        <f t="shared" si="1"/>
        <v>0</v>
      </c>
      <c r="AT23">
        <f t="shared" si="2"/>
        <v>0</v>
      </c>
      <c r="AU23" s="32" cm="1">
        <f t="array" ref="AU23">IF($F$11-$I$4+VLOOKUP($Q23,武学奇术!$A:$ZZ,9,FALSE)+SUM(_xlfn.XLOOKUP(R23:AF23,增益!$A:$A,增益!$I:$I,0))&gt;0,($F$11-$I$4+VLOOKUP($Q23,武学奇术!$A:$ZZ,9,FALSE)+SUM(_xlfn.XLOOKUP(R23:AF23,增益!$A:$A,增益!$I:$I,0)))/200,($F$11-$I$4+VLOOKUP($Q23,武学奇术!$A:$ZZ,9,FALSE)+SUM(_xlfn.XLOOKUP(R23:AF23,增益!$A:$A,增益!$I:$I,0)))/100)</f>
        <v>-0.3</v>
      </c>
      <c r="AV23" s="32" cm="1">
        <f t="array" ref="AV23">$G$11+VLOOKUP($Q23,武学奇术!$A:$ZZ,10,FALSE)+SUM(_xlfn.XLOOKUP(R23:AF23,增益!$A:$A,增益!$J:$J,0))</f>
        <v>0</v>
      </c>
      <c r="AW23">
        <f t="shared" si="3"/>
        <v>0</v>
      </c>
      <c r="AX23">
        <f t="shared" si="4"/>
        <v>0</v>
      </c>
      <c r="AY23" s="32" cm="1">
        <f t="array" ref="AY23">IF($F$12-$I$4+VLOOKUP($Q23,武学奇术!$A:$ZZ,11,FALSE)+SUM(_xlfn.XLOOKUP(R23:AF23,增益!$A:$A,增益!$K:$K,0))&gt;0,($F$12-$I$4+VLOOKUP($Q23,武学奇术!$A:$ZZ,11,FALSE)+SUM(_xlfn.XLOOKUP(R23:AF23,增益!$A:$A,增益!$K:$K,0)))/200,($F$12-$I$4+VLOOKUP($Q23,武学奇术!$A:$ZZ,11,FALSE)+SUM(_xlfn.XLOOKUP(R23:AF23,增益!$A:$A,增益!$K:$K,0)))/100)</f>
        <v>-0.3</v>
      </c>
      <c r="AZ23" s="32" cm="1">
        <f t="array" ref="AZ23">$G$12+VLOOKUP($Q23,武学奇术!$A:$ZZ,12,FALSE)+SUM(_xlfn.XLOOKUP(R23:AF23,增益!$A:$A,增益!$L:$L,0))</f>
        <v>0</v>
      </c>
      <c r="BA23">
        <f t="shared" si="5"/>
        <v>697.4</v>
      </c>
      <c r="BB23">
        <f t="shared" si="6"/>
        <v>1805</v>
      </c>
      <c r="BC23" s="32" cm="1">
        <f t="array" ref="BC23">IF($F$13-$I$4+VLOOKUP($Q23,武学奇术!$A:$ZZ,13,FALSE)+SUM(_xlfn.XLOOKUP(R23:AF23,增益!$A:$A,增益!$M:$M,0))&gt;0,($F$13-$I$4+VLOOKUP($Q23,武学奇术!$A:$ZZ,13,FALSE)+SUM(_xlfn.XLOOKUP(R23:AF23,增益!$A:$A,增益!$K:$K,0)))/200,($F$13-$I$4+VLOOKUP($Q23,武学奇术!$A:$ZZ,13,FALSE)+SUM(_xlfn.XLOOKUP(R23:AF23,增益!$A:$A,增益!$M:$M,0)))/100)</f>
        <v>0</v>
      </c>
      <c r="BD23" s="32" cm="1">
        <f t="array" ref="BD23">$G$13+VLOOKUP($Q23,武学奇术!$A:$ZZ,14,FALSE)+SUM(_xlfn.XLOOKUP(R23:AF23,增益!$A:$A,增益!$N:$N,0))</f>
        <v>0.15</v>
      </c>
      <c r="BE23">
        <f t="shared" si="7"/>
        <v>0</v>
      </c>
      <c r="BF23">
        <f t="shared" si="8"/>
        <v>0</v>
      </c>
      <c r="BG23" s="32" cm="1">
        <f t="array" ref="BG23">IF($F$14-$I$4+VLOOKUP($Q23,武学奇术!$A:$ZZ,15,FALSE)+SUM(_xlfn.XLOOKUP(R23:AF23,增益!$A:$A,增益!$O:$O,0))&gt;0,($F$14-$I$4+VLOOKUP($Q23,武学奇术!$A:$ZZ,15,FALSE)+SUM(_xlfn.XLOOKUP(R23:AF23,增益!$A:$A,增益!$O:$O,0)))/200,($F$14-$I$4+VLOOKUP($Q23,武学奇术!$A:$ZZ,15,FALSE)+SUM(_xlfn.XLOOKUP(R23:AF23,增益!$A:$A,增益!$O:$O,0)))/100)</f>
        <v>-0.3</v>
      </c>
      <c r="BH23" s="32" cm="1">
        <f t="array" ref="BH23">$G$14+VLOOKUP($Q23,武学奇术!$A:$ZZ,16,FALSE)+SUM(_xlfn.XLOOKUP(R23:AF23,增益!$A:$A,增益!$P:$P,0))</f>
        <v>0</v>
      </c>
      <c r="BI23" s="26">
        <f>MIN(IF(VLOOKUP($Q23,武学奇术!$A:$ZZ,23,FALSE)=1,100%,$B$8),100%)</f>
        <v>1</v>
      </c>
      <c r="BJ23" s="26" cm="1">
        <f t="array" ref="BJ23">IF(VLOOKUP($Q23,武学奇术!$A:$ZZ,23,FALSE)=1,100%,MIN(80%,$B$9+VLOOKUP($Q23,武学奇术!$A:$ZZ,17,FALSE)+SUM(_xlfn.XLOOKUP(R23:AF23,增益!$A:$A,增益!$Q:$Q,0)))+$B$11+SUM(_xlfn.XLOOKUP(R23:AF23,增益!$A:$A,增益!$U:$U,0)))*IF(VLOOKUP($Q23,武学奇术!$A:$ZZ,24,FALSE)=1,0,1)</f>
        <v>0.8625</v>
      </c>
      <c r="BK23" s="26" cm="1">
        <f t="array" ref="BK23">1+$B$13+VLOOKUP($Q23,武学奇术!$A:$ZZ,18,FALSE)+SUM(_xlfn.XLOOKUP(R23:AF23,增益!$A:$A,增益!$R:$R,0))</f>
        <v>1.5</v>
      </c>
      <c r="BL23" s="26" cm="1">
        <f t="array" ref="BL23">IF(VLOOKUP($Q23,武学奇术!$A:$ZZ,24,FALSE)=1,100%,MIN(40%,$B$10+VLOOKUP($Q23,武学奇术!$A:$ZZ,19,FALSE)+SUM(_xlfn.XLOOKUP(R23:AF23,增益!$A:$A,增益!$S:$S,0)))+$B$12+SUM(_xlfn.XLOOKUP(R23:AF23,增益!$A:$A,增益!$V:$V,0)))*IF(VLOOKUP($Q23,武学奇术!$A:$ZZ,23,FALSE)=1,0,1)</f>
        <v>0.0913</v>
      </c>
      <c r="BM23" s="26" cm="1">
        <f t="array" ref="BM23">1+$B$14+VLOOKUP($Q23,武学奇术!$A:$ZZ,20,FALSE)+SUM(_xlfn.XLOOKUP(R23:AF23,增益!$A:$A,增益!$T:$T,0))</f>
        <v>1.35</v>
      </c>
      <c r="BN23" s="26">
        <f t="shared" si="9"/>
        <v>0.8625</v>
      </c>
      <c r="BO23" s="26">
        <f t="shared" si="10"/>
        <v>0.0462</v>
      </c>
      <c r="BP23" s="26">
        <f>IF(VLOOKUP($Q23,武学奇术!$A:$ZZ,22,FALSE)=1,0,(1-$BI23))*(1-$BL23)</f>
        <v>0</v>
      </c>
      <c r="BQ23" s="26" cm="1">
        <f t="array" ref="BQ23">SUM(_xlfn.XLOOKUP(R23:AF23,增益!$A:$A,增益!$W:$W,0))+$I$5</f>
        <v>0.06</v>
      </c>
    </row>
    <row r="24" spans="1:69">
      <c r="K24" s="38">
        <f t="shared" si="0"/>
        <v>0</v>
      </c>
      <c r="L24" s="38">
        <f>((($AN24+$AO24)/2*$AH24+$AI24)*(1+$AP24)*(1+$AQ24)+(($AS24+$AT24)/2*IF($G$1="鸣金",$AJ24,$AH24)+IF($G$1="鸣金",$AK24*1.5,0))*(1+$AU24)*(1+$AV24)+(($AW24+$AX24)/2*IF($G$1="裂石",$AJ24,$AH24)+IF($G$1="裂石",$AK24*1.5,0))*(1+$AY24)*(1+$AZ24)+(($BA24+$BB24)/2*IF($G$1="牵丝",$AJ24,$AH24)+IF($G$1="牵丝",$AK24*1.5,0))*(1+$BC24)*(1+$BD24)+(($BE24+$BF24)/2*IF($G$1="破竹",$AJ24,$AH24)+IF($G$1="破竹",$AK24*1.5,0))*(1+$BG24)*(1+$BH24))*(1+$AL24)*$BK24*$P24*(1+IF(VLOOKUP($Q24,武学奇术!$A:$ZZ,30,FALSE)="蓄力技",#REF!,0))*(1+$BQ24)</f>
        <v>0</v>
      </c>
      <c r="M24" s="38">
        <f>(($AO24*$AH24+$AI24)*(1+$AP24)*(1+$AQ24)+($AT24*IF($G$1="鸣金",$AJ24,$AH24)+IF($G$1="鸣金",$AK24*1.5,0))*(1+$AU24)*(1+$AV24)+($AX24*IF($G$1="裂石",$AJ24,$AH24)+IF($G$1="裂石",$AK24*1.5,0))*(1+$AY24)*(1+$AZ24)+($BB24*IF($G$1="牵丝",$AJ24,$AH24)+IF($G$1="牵丝",$AK24*1.5,0))*(1+$BC24)*(1+$BD24)+($BF24*IF($G$1="破竹",$AJ24,$AH24)+IF($G$1="破竹",$AK24*1.5,0))*(1+$BG24)*(1+$BH24))*(1+$AL24)*$BM24*$P24*(1+IF(VLOOKUP($Q24,武学奇术!$A:$ZZ,30,FALSE)="蓄力技",#REF!,0))*(1+$BQ24)</f>
        <v>0</v>
      </c>
      <c r="N24" s="38">
        <f>((($AN24+$AO24)/2*$AH24+$AI24)*(1+$AP24)*(1+$AQ24)+(($AS24+$AT24)/2*IF($G$1="鸣金",$AJ24,$AH24)+IF($G$1="鸣金",$AK24*1.5,0))*(1+$AU24)*(1+$AV24)+(($AW24+$AX24)/2*IF($G$1="裂石",$AJ24,$AH24)+IF($G$1="裂石",$AK24*1.5,0))*(1+$AY24)*(1+$AZ24)+(($BA24+$BB24)/2*IF($G$1="牵丝",$AJ24,$AH24)+IF($G$1="牵丝",$AK24*1.5,0))*(1+$BC24)*(1+$BD24)+(($BE24+$BF24)/2*IF($G$1="破竹",$AJ24,$AH24)+IF($G$1="破竹",$AK24*1.5,0))*(1+$BG24)*(1+$BH24))*(1+$AL24)*$P24*(1+IF(VLOOKUP($Q24,武学奇术!$A:$ZZ,30,FALSE)="蓄力技",#REF!,0))*(1+$BQ24)</f>
        <v>0</v>
      </c>
      <c r="O24" s="38">
        <f>((($AN24*$AH24+$AI24)*(1+$AP24)*(1+$AQ24)+($AS24*IF($G$1="鸣金",$AJ24,$AH24)+IF($G$1="鸣金",$AK24*1.5,0))*(1+$AU24)*(1+$AV24)+($AW24*IF($G$1="裂石",$AJ24,$AH24)+IF($G$1="裂石",$AK24*1.5,0))*(1+$AY24)*(1+$AZ24)+($BA24*IF($G$1="牵丝",$AJ24,$AH24)+IF($G$1="牵丝",$AK24*1.5,0))*(1+$BC24)*(1+$BD24)+($BE24*IF($G$1="破竹",$AJ24,$AH24)+IF($G$1="破竹",$AK24*1.5,0))*(1+$BG24)*(1+$BH24))*(1+$AL24))*$P24*(1+IF(VLOOKUP($Q24,武学奇术!$A:$ZZ,30,FALSE)="蓄力技",#REF!,0))*(1+$BQ24)</f>
        <v>0</v>
      </c>
      <c r="P24" s="39">
        <v>1</v>
      </c>
      <c r="Q24" s="40" t="s">
        <v>76</v>
      </c>
      <c r="R24" s="40" t="s">
        <v>76</v>
      </c>
      <c r="S24" s="40" t="s">
        <v>76</v>
      </c>
      <c r="T24" s="40" t="s">
        <v>76</v>
      </c>
      <c r="U24" s="40" t="s">
        <v>76</v>
      </c>
      <c r="V24" s="40" t="s">
        <v>76</v>
      </c>
      <c r="W24" s="40" t="s">
        <v>76</v>
      </c>
      <c r="X24" s="40" t="s">
        <v>76</v>
      </c>
      <c r="Y24" s="40" t="s">
        <v>76</v>
      </c>
      <c r="Z24" s="40" t="s">
        <v>76</v>
      </c>
      <c r="AA24" s="40" t="s">
        <v>76</v>
      </c>
      <c r="AB24" s="40" t="s">
        <v>76</v>
      </c>
      <c r="AC24" s="40" t="s">
        <v>76</v>
      </c>
      <c r="AD24" s="40" t="s">
        <v>76</v>
      </c>
      <c r="AE24" s="40" t="s">
        <v>76</v>
      </c>
      <c r="AF24" s="40" t="s">
        <v>76</v>
      </c>
      <c r="AG24" t="str">
        <f>VLOOKUP($Q24,武学奇术!$A:$ZZ,25,FALSE)</f>
        <v>心法</v>
      </c>
      <c r="AH24" s="26">
        <f>VLOOKUP($Q24,武学奇术!$A:$ZZ,26,FALSE)</f>
        <v>0</v>
      </c>
      <c r="AI24" s="27">
        <f>VLOOKUP($Q24,武学奇术!$A:$ZZ,27,FALSE)*(1+IF(OR($AG24=$F$4,$AG24=$F$5),$B$21,0))</f>
        <v>0</v>
      </c>
      <c r="AJ24" s="26">
        <f>VLOOKUP($Q24,武学奇术!$A:$ZZ,28,FALSE)</f>
        <v>0</v>
      </c>
      <c r="AK24" s="27">
        <f>VLOOKUP($Q24,武学奇术!$A:$ZZ,29,FALSE)*(1+IF(OR($AG24=$F$4,$AG24=$F$5),$B$21,0))</f>
        <v>0</v>
      </c>
      <c r="AL24" s="26" cm="1">
        <f t="array" ref="AL24">$G$3+IFERROR(VLOOKUP($AG24,$F$4:$G$7,2,FALSE),0)+VLOOKUP($Q24,武学奇术!$A:$ZZ,2,FALSE)+SUM(_xlfn.XLOOKUP($R24:$AF24,增益!$A:$A,增益!$B:$B,0))</f>
        <v>0.1842</v>
      </c>
      <c r="AM24" s="26" cm="1">
        <f t="array" ref="AM24">VLOOKUP($Q24,武学奇术!$A:$ZZ,5,FALSE)+SUM(_xlfn.XLOOKUP($R24:$AF24,增益!$A:$A,增益!$E:$E,0))</f>
        <v>0</v>
      </c>
      <c r="AN24" cm="1">
        <f t="array" ref="AN24">$D$10*(1+$AM24)+VLOOKUP($Q24,武学奇术!$A:$ZZ,3,FALSE)+SUM(_xlfn.XLOOKUP($R24:$AF24,增益!$A:$A,增益!$C:$C,0))-$I$2</f>
        <v>3940</v>
      </c>
      <c r="AO24" cm="1">
        <f t="array" ref="AO24">$E$10*(1+$AM24)+VLOOKUP($Q24,武学奇术!$A:$ZZ,4,FALSE)+SUM(_xlfn.XLOOKUP($R24:$AF24,增益!$A:$A,增益!$D:$D,0))-$I$2</f>
        <v>3940</v>
      </c>
      <c r="AP24" s="32" cm="1">
        <f t="array" ref="AP24">IF($F$10-$I$3+VLOOKUP($Q24,武学奇术!$A:$ZZ,6,FALSE)+SUM(_xlfn.XLOOKUP(R24:AF24,增益!$A:$A,增益!$F:$F,0))&gt;0,($F$10-$I$3+VLOOKUP($Q24,武学奇术!$A:$ZZ,6,FALSE)+SUM(_xlfn.XLOOKUP(R24:AF24,增益!$A:$A,增益!$F:$F,0)))/200,($F$10-$I$3+VLOOKUP($Q24,武学奇术!$A:$ZZ,6,FALSE)+SUM(_xlfn.XLOOKUP(R24:AF24,增益!$A:$A,增益!$F:$F,0)))/100)</f>
        <v>0.194</v>
      </c>
      <c r="AQ24" s="32" cm="1">
        <f t="array" ref="AQ24">$G$10+VLOOKUP($Q24,武学奇术!$A:$ZZ,7,FALSE)+SUM(_xlfn.XLOOKUP(R24:AF24,增益!$A:$A,增益!$G:$G,0))</f>
        <v>0</v>
      </c>
      <c r="AR24" s="26" cm="1">
        <f t="array" ref="AR24">VLOOKUP($Q24,武学奇术!$A:$ZZ,8,FALSE)+SUM(_xlfn.XLOOKUP(R24:AF24,增益!$A:$A,增益!$H:$H,0))</f>
        <v>0</v>
      </c>
      <c r="AS24">
        <f t="shared" si="1"/>
        <v>0</v>
      </c>
      <c r="AT24">
        <f t="shared" si="2"/>
        <v>0</v>
      </c>
      <c r="AU24" s="32" cm="1">
        <f t="array" ref="AU24">IF($F$11-$I$4+VLOOKUP($Q24,武学奇术!$A:$ZZ,9,FALSE)+SUM(_xlfn.XLOOKUP(R24:AF24,增益!$A:$A,增益!$I:$I,0))&gt;0,($F$11-$I$4+VLOOKUP($Q24,武学奇术!$A:$ZZ,9,FALSE)+SUM(_xlfn.XLOOKUP(R24:AF24,增益!$A:$A,增益!$I:$I,0)))/200,($F$11-$I$4+VLOOKUP($Q24,武学奇术!$A:$ZZ,9,FALSE)+SUM(_xlfn.XLOOKUP(R24:AF24,增益!$A:$A,增益!$I:$I,0)))/100)</f>
        <v>-0.3</v>
      </c>
      <c r="AV24" s="32" cm="1">
        <f t="array" ref="AV24">$G$11+VLOOKUP($Q24,武学奇术!$A:$ZZ,10,FALSE)+SUM(_xlfn.XLOOKUP(R24:AF24,增益!$A:$A,增益!$J:$J,0))</f>
        <v>0</v>
      </c>
      <c r="AW24">
        <f t="shared" si="3"/>
        <v>0</v>
      </c>
      <c r="AX24">
        <f t="shared" si="4"/>
        <v>0</v>
      </c>
      <c r="AY24" s="32" cm="1">
        <f t="array" ref="AY24">IF($F$12-$I$4+VLOOKUP($Q24,武学奇术!$A:$ZZ,11,FALSE)+SUM(_xlfn.XLOOKUP(R24:AF24,增益!$A:$A,增益!$K:$K,0))&gt;0,($F$12-$I$4+VLOOKUP($Q24,武学奇术!$A:$ZZ,11,FALSE)+SUM(_xlfn.XLOOKUP(R24:AF24,增益!$A:$A,增益!$K:$K,0)))/200,($F$12-$I$4+VLOOKUP($Q24,武学奇术!$A:$ZZ,11,FALSE)+SUM(_xlfn.XLOOKUP(R24:AF24,增益!$A:$A,增益!$K:$K,0)))/100)</f>
        <v>-0.3</v>
      </c>
      <c r="AZ24" s="32" cm="1">
        <f t="array" ref="AZ24">$G$12+VLOOKUP($Q24,武学奇术!$A:$ZZ,12,FALSE)+SUM(_xlfn.XLOOKUP(R24:AF24,增益!$A:$A,增益!$L:$L,0))</f>
        <v>0</v>
      </c>
      <c r="BA24">
        <f t="shared" si="5"/>
        <v>697.4</v>
      </c>
      <c r="BB24">
        <f t="shared" si="6"/>
        <v>1805</v>
      </c>
      <c r="BC24" s="32" cm="1">
        <f t="array" ref="BC24">IF($F$13-$I$4+VLOOKUP($Q24,武学奇术!$A:$ZZ,13,FALSE)+SUM(_xlfn.XLOOKUP(R24:AF24,增益!$A:$A,增益!$M:$M,0))&gt;0,($F$13-$I$4+VLOOKUP($Q24,武学奇术!$A:$ZZ,13,FALSE)+SUM(_xlfn.XLOOKUP(R24:AF24,增益!$A:$A,增益!$K:$K,0)))/200,($F$13-$I$4+VLOOKUP($Q24,武学奇术!$A:$ZZ,13,FALSE)+SUM(_xlfn.XLOOKUP(R24:AF24,增益!$A:$A,增益!$M:$M,0)))/100)</f>
        <v>0</v>
      </c>
      <c r="BD24" s="32" cm="1">
        <f t="array" ref="BD24">$G$13+VLOOKUP($Q24,武学奇术!$A:$ZZ,14,FALSE)+SUM(_xlfn.XLOOKUP(R24:AF24,增益!$A:$A,增益!$N:$N,0))</f>
        <v>0.15</v>
      </c>
      <c r="BE24">
        <f t="shared" si="7"/>
        <v>0</v>
      </c>
      <c r="BF24">
        <f t="shared" si="8"/>
        <v>0</v>
      </c>
      <c r="BG24" s="32" cm="1">
        <f t="array" ref="BG24">IF($F$14-$I$4+VLOOKUP($Q24,武学奇术!$A:$ZZ,15,FALSE)+SUM(_xlfn.XLOOKUP(R24:AF24,增益!$A:$A,增益!$O:$O,0))&gt;0,($F$14-$I$4+VLOOKUP($Q24,武学奇术!$A:$ZZ,15,FALSE)+SUM(_xlfn.XLOOKUP(R24:AF24,增益!$A:$A,增益!$O:$O,0)))/200,($F$14-$I$4+VLOOKUP($Q24,武学奇术!$A:$ZZ,15,FALSE)+SUM(_xlfn.XLOOKUP(R24:AF24,增益!$A:$A,增益!$O:$O,0)))/100)</f>
        <v>-0.3</v>
      </c>
      <c r="BH24" s="32" cm="1">
        <f t="array" ref="BH24">$G$14+VLOOKUP($Q24,武学奇术!$A:$ZZ,16,FALSE)+SUM(_xlfn.XLOOKUP(R24:AF24,增益!$A:$A,增益!$P:$P,0))</f>
        <v>0</v>
      </c>
      <c r="BI24" s="26">
        <f>MIN(IF(VLOOKUP($Q24,武学奇术!$A:$ZZ,23,FALSE)=1,100%,$B$8),100%)</f>
        <v>1</v>
      </c>
      <c r="BJ24" s="26" cm="1">
        <f t="array" ref="BJ24">IF(VLOOKUP($Q24,武学奇术!$A:$ZZ,23,FALSE)=1,100%,MIN(80%,$B$9+VLOOKUP($Q24,武学奇术!$A:$ZZ,17,FALSE)+SUM(_xlfn.XLOOKUP(R24:AF24,增益!$A:$A,增益!$Q:$Q,0)))+$B$11+SUM(_xlfn.XLOOKUP(R24:AF24,增益!$A:$A,增益!$U:$U,0)))*IF(VLOOKUP($Q24,武学奇术!$A:$ZZ,24,FALSE)=1,0,1)</f>
        <v>0.8625</v>
      </c>
      <c r="BK24" s="26" cm="1">
        <f t="array" ref="BK24">1+$B$13+VLOOKUP($Q24,武学奇术!$A:$ZZ,18,FALSE)+SUM(_xlfn.XLOOKUP(R24:AF24,增益!$A:$A,增益!$R:$R,0))</f>
        <v>1.5</v>
      </c>
      <c r="BL24" s="26" cm="1">
        <f t="array" ref="BL24">IF(VLOOKUP($Q24,武学奇术!$A:$ZZ,24,FALSE)=1,100%,MIN(40%,$B$10+VLOOKUP($Q24,武学奇术!$A:$ZZ,19,FALSE)+SUM(_xlfn.XLOOKUP(R24:AF24,增益!$A:$A,增益!$S:$S,0)))+$B$12+SUM(_xlfn.XLOOKUP(R24:AF24,增益!$A:$A,增益!$V:$V,0)))*IF(VLOOKUP($Q24,武学奇术!$A:$ZZ,23,FALSE)=1,0,1)</f>
        <v>0.0913</v>
      </c>
      <c r="BM24" s="26" cm="1">
        <f t="array" ref="BM24">1+$B$14+VLOOKUP($Q24,武学奇术!$A:$ZZ,20,FALSE)+SUM(_xlfn.XLOOKUP(R24:AF24,增益!$A:$A,增益!$T:$T,0))</f>
        <v>1.35</v>
      </c>
      <c r="BN24" s="26">
        <f t="shared" si="9"/>
        <v>0.8625</v>
      </c>
      <c r="BO24" s="26">
        <f t="shared" si="10"/>
        <v>0.0462</v>
      </c>
      <c r="BP24" s="26">
        <f>IF(VLOOKUP($Q24,武学奇术!$A:$ZZ,22,FALSE)=1,0,(1-$BI24))*(1-$BL24)</f>
        <v>0</v>
      </c>
      <c r="BQ24" s="26" cm="1">
        <f t="array" ref="BQ24">SUM(_xlfn.XLOOKUP(R24:AF24,增益!$A:$A,增益!$W:$W,0))+$I$5</f>
        <v>0.06</v>
      </c>
    </row>
    <row r="25" spans="1:69">
      <c r="K25" s="38">
        <f t="shared" si="0"/>
        <v>0</v>
      </c>
      <c r="L25" s="38">
        <f>((($AN25+$AO25)/2*$AH25+$AI25)*(1+$AP25)*(1+$AQ25)+(($AS25+$AT25)/2*IF($G$1="鸣金",$AJ25,$AH25)+IF($G$1="鸣金",$AK25*1.5,0))*(1+$AU25)*(1+$AV25)+(($AW25+$AX25)/2*IF($G$1="裂石",$AJ25,$AH25)+IF($G$1="裂石",$AK25*1.5,0))*(1+$AY25)*(1+$AZ25)+(($BA25+$BB25)/2*IF($G$1="牵丝",$AJ25,$AH25)+IF($G$1="牵丝",$AK25*1.5,0))*(1+$BC25)*(1+$BD25)+(($BE25+$BF25)/2*IF($G$1="破竹",$AJ25,$AH25)+IF($G$1="破竹",$AK25*1.5,0))*(1+$BG25)*(1+$BH25))*(1+$AL25)*$BK25*$P25*(1+IF(VLOOKUP($Q25,武学奇术!$A:$ZZ,30,FALSE)="蓄力技",#REF!,0))*(1+$BQ25)</f>
        <v>0</v>
      </c>
      <c r="M25" s="38">
        <f>(($AO25*$AH25+$AI25)*(1+$AP25)*(1+$AQ25)+($AT25*IF($G$1="鸣金",$AJ25,$AH25)+IF($G$1="鸣金",$AK25*1.5,0))*(1+$AU25)*(1+$AV25)+($AX25*IF($G$1="裂石",$AJ25,$AH25)+IF($G$1="裂石",$AK25*1.5,0))*(1+$AY25)*(1+$AZ25)+($BB25*IF($G$1="牵丝",$AJ25,$AH25)+IF($G$1="牵丝",$AK25*1.5,0))*(1+$BC25)*(1+$BD25)+($BF25*IF($G$1="破竹",$AJ25,$AH25)+IF($G$1="破竹",$AK25*1.5,0))*(1+$BG25)*(1+$BH25))*(1+$AL25)*$BM25*$P25*(1+IF(VLOOKUP($Q25,武学奇术!$A:$ZZ,30,FALSE)="蓄力技",#REF!,0))*(1+$BQ25)</f>
        <v>0</v>
      </c>
      <c r="N25" s="38">
        <f>((($AN25+$AO25)/2*$AH25+$AI25)*(1+$AP25)*(1+$AQ25)+(($AS25+$AT25)/2*IF($G$1="鸣金",$AJ25,$AH25)+IF($G$1="鸣金",$AK25*1.5,0))*(1+$AU25)*(1+$AV25)+(($AW25+$AX25)/2*IF($G$1="裂石",$AJ25,$AH25)+IF($G$1="裂石",$AK25*1.5,0))*(1+$AY25)*(1+$AZ25)+(($BA25+$BB25)/2*IF($G$1="牵丝",$AJ25,$AH25)+IF($G$1="牵丝",$AK25*1.5,0))*(1+$BC25)*(1+$BD25)+(($BE25+$BF25)/2*IF($G$1="破竹",$AJ25,$AH25)+IF($G$1="破竹",$AK25*1.5,0))*(1+$BG25)*(1+$BH25))*(1+$AL25)*$P25*(1+IF(VLOOKUP($Q25,武学奇术!$A:$ZZ,30,FALSE)="蓄力技",#REF!,0))*(1+$BQ25)</f>
        <v>0</v>
      </c>
      <c r="O25" s="38">
        <f>((($AN25*$AH25+$AI25)*(1+$AP25)*(1+$AQ25)+($AS25*IF($G$1="鸣金",$AJ25,$AH25)+IF($G$1="鸣金",$AK25*1.5,0))*(1+$AU25)*(1+$AV25)+($AW25*IF($G$1="裂石",$AJ25,$AH25)+IF($G$1="裂石",$AK25*1.5,0))*(1+$AY25)*(1+$AZ25)+($BA25*IF($G$1="牵丝",$AJ25,$AH25)+IF($G$1="牵丝",$AK25*1.5,0))*(1+$BC25)*(1+$BD25)+($BE25*IF($G$1="破竹",$AJ25,$AH25)+IF($G$1="破竹",$AK25*1.5,0))*(1+$BG25)*(1+$BH25))*(1+$AL25))*$P25*(1+IF(VLOOKUP($Q25,武学奇术!$A:$ZZ,30,FALSE)="蓄力技",#REF!,0))*(1+$BQ25)</f>
        <v>0</v>
      </c>
      <c r="P25" s="39">
        <v>1</v>
      </c>
      <c r="Q25" s="40" t="s">
        <v>76</v>
      </c>
      <c r="R25" s="40" t="s">
        <v>76</v>
      </c>
      <c r="S25" s="40" t="s">
        <v>76</v>
      </c>
      <c r="T25" s="40" t="s">
        <v>76</v>
      </c>
      <c r="U25" s="40" t="s">
        <v>76</v>
      </c>
      <c r="V25" s="40" t="s">
        <v>76</v>
      </c>
      <c r="W25" s="40" t="s">
        <v>76</v>
      </c>
      <c r="X25" s="40" t="s">
        <v>76</v>
      </c>
      <c r="Y25" s="40" t="s">
        <v>76</v>
      </c>
      <c r="Z25" s="40" t="s">
        <v>76</v>
      </c>
      <c r="AA25" s="40" t="s">
        <v>76</v>
      </c>
      <c r="AB25" s="40" t="s">
        <v>76</v>
      </c>
      <c r="AC25" s="40" t="s">
        <v>76</v>
      </c>
      <c r="AD25" s="40" t="s">
        <v>76</v>
      </c>
      <c r="AE25" s="40" t="s">
        <v>76</v>
      </c>
      <c r="AF25" s="40" t="s">
        <v>76</v>
      </c>
      <c r="AG25" t="str">
        <f>VLOOKUP($Q25,武学奇术!$A:$ZZ,25,FALSE)</f>
        <v>心法</v>
      </c>
      <c r="AH25" s="26">
        <f>VLOOKUP($Q25,武学奇术!$A:$ZZ,26,FALSE)</f>
        <v>0</v>
      </c>
      <c r="AI25" s="27">
        <f>VLOOKUP($Q25,武学奇术!$A:$ZZ,27,FALSE)*(1+IF(OR($AG25=$F$4,$AG25=$F$5),$B$21,0))</f>
        <v>0</v>
      </c>
      <c r="AJ25" s="26">
        <f>VLOOKUP($Q25,武学奇术!$A:$ZZ,28,FALSE)</f>
        <v>0</v>
      </c>
      <c r="AK25" s="27">
        <f>VLOOKUP($Q25,武学奇术!$A:$ZZ,29,FALSE)*(1+IF(OR($AG25=$F$4,$AG25=$F$5),$B$21,0))</f>
        <v>0</v>
      </c>
      <c r="AL25" s="26" cm="1">
        <f t="array" ref="AL25">$G$3+IFERROR(VLOOKUP($AG25,$F$4:$G$7,2,FALSE),0)+VLOOKUP($Q25,武学奇术!$A:$ZZ,2,FALSE)+SUM(_xlfn.XLOOKUP($R25:$AF25,增益!$A:$A,增益!$B:$B,0))</f>
        <v>0.1842</v>
      </c>
      <c r="AM25" s="26" cm="1">
        <f t="array" ref="AM25">VLOOKUP($Q25,武学奇术!$A:$ZZ,5,FALSE)+SUM(_xlfn.XLOOKUP($R25:$AF25,增益!$A:$A,增益!$E:$E,0))</f>
        <v>0</v>
      </c>
      <c r="AN25" cm="1">
        <f t="array" ref="AN25">$D$10*(1+$AM25)+VLOOKUP($Q25,武学奇术!$A:$ZZ,3,FALSE)+SUM(_xlfn.XLOOKUP($R25:$AF25,增益!$A:$A,增益!$C:$C,0))-$I$2</f>
        <v>3940</v>
      </c>
      <c r="AO25" cm="1">
        <f t="array" ref="AO25">$E$10*(1+$AM25)+VLOOKUP($Q25,武学奇术!$A:$ZZ,4,FALSE)+SUM(_xlfn.XLOOKUP($R25:$AF25,增益!$A:$A,增益!$D:$D,0))-$I$2</f>
        <v>3940</v>
      </c>
      <c r="AP25" s="32" cm="1">
        <f t="array" ref="AP25">IF($F$10-$I$3+VLOOKUP($Q25,武学奇术!$A:$ZZ,6,FALSE)+SUM(_xlfn.XLOOKUP(R25:AF25,增益!$A:$A,增益!$F:$F,0))&gt;0,($F$10-$I$3+VLOOKUP($Q25,武学奇术!$A:$ZZ,6,FALSE)+SUM(_xlfn.XLOOKUP(R25:AF25,增益!$A:$A,增益!$F:$F,0)))/200,($F$10-$I$3+VLOOKUP($Q25,武学奇术!$A:$ZZ,6,FALSE)+SUM(_xlfn.XLOOKUP(R25:AF25,增益!$A:$A,增益!$F:$F,0)))/100)</f>
        <v>0.194</v>
      </c>
      <c r="AQ25" s="32" cm="1">
        <f t="array" ref="AQ25">$G$10+VLOOKUP($Q25,武学奇术!$A:$ZZ,7,FALSE)+SUM(_xlfn.XLOOKUP(R25:AF25,增益!$A:$A,增益!$G:$G,0))</f>
        <v>0</v>
      </c>
      <c r="AR25" s="26" cm="1">
        <f t="array" ref="AR25">VLOOKUP($Q25,武学奇术!$A:$ZZ,8,FALSE)+SUM(_xlfn.XLOOKUP(R25:AF25,增益!$A:$A,增益!$H:$H,0))</f>
        <v>0</v>
      </c>
      <c r="AS25">
        <f t="shared" si="1"/>
        <v>0</v>
      </c>
      <c r="AT25">
        <f t="shared" si="2"/>
        <v>0</v>
      </c>
      <c r="AU25" s="32" cm="1">
        <f t="array" ref="AU25">IF($F$11-$I$4+VLOOKUP($Q25,武学奇术!$A:$ZZ,9,FALSE)+SUM(_xlfn.XLOOKUP(R25:AF25,增益!$A:$A,增益!$I:$I,0))&gt;0,($F$11-$I$4+VLOOKUP($Q25,武学奇术!$A:$ZZ,9,FALSE)+SUM(_xlfn.XLOOKUP(R25:AF25,增益!$A:$A,增益!$I:$I,0)))/200,($F$11-$I$4+VLOOKUP($Q25,武学奇术!$A:$ZZ,9,FALSE)+SUM(_xlfn.XLOOKUP(R25:AF25,增益!$A:$A,增益!$I:$I,0)))/100)</f>
        <v>-0.3</v>
      </c>
      <c r="AV25" s="32" cm="1">
        <f t="array" ref="AV25">$G$11+VLOOKUP($Q25,武学奇术!$A:$ZZ,10,FALSE)+SUM(_xlfn.XLOOKUP(R25:AF25,增益!$A:$A,增益!$J:$J,0))</f>
        <v>0</v>
      </c>
      <c r="AW25">
        <f t="shared" si="3"/>
        <v>0</v>
      </c>
      <c r="AX25">
        <f t="shared" si="4"/>
        <v>0</v>
      </c>
      <c r="AY25" s="32" cm="1">
        <f t="array" ref="AY25">IF($F$12-$I$4+VLOOKUP($Q25,武学奇术!$A:$ZZ,11,FALSE)+SUM(_xlfn.XLOOKUP(R25:AF25,增益!$A:$A,增益!$K:$K,0))&gt;0,($F$12-$I$4+VLOOKUP($Q25,武学奇术!$A:$ZZ,11,FALSE)+SUM(_xlfn.XLOOKUP(R25:AF25,增益!$A:$A,增益!$K:$K,0)))/200,($F$12-$I$4+VLOOKUP($Q25,武学奇术!$A:$ZZ,11,FALSE)+SUM(_xlfn.XLOOKUP(R25:AF25,增益!$A:$A,增益!$K:$K,0)))/100)</f>
        <v>-0.3</v>
      </c>
      <c r="AZ25" s="32" cm="1">
        <f t="array" ref="AZ25">$G$12+VLOOKUP($Q25,武学奇术!$A:$ZZ,12,FALSE)+SUM(_xlfn.XLOOKUP(R25:AF25,增益!$A:$A,增益!$L:$L,0))</f>
        <v>0</v>
      </c>
      <c r="BA25">
        <f t="shared" si="5"/>
        <v>697.4</v>
      </c>
      <c r="BB25">
        <f t="shared" si="6"/>
        <v>1805</v>
      </c>
      <c r="BC25" s="32" cm="1">
        <f t="array" ref="BC25">IF($F$13-$I$4+VLOOKUP($Q25,武学奇术!$A:$ZZ,13,FALSE)+SUM(_xlfn.XLOOKUP(R25:AF25,增益!$A:$A,增益!$M:$M,0))&gt;0,($F$13-$I$4+VLOOKUP($Q25,武学奇术!$A:$ZZ,13,FALSE)+SUM(_xlfn.XLOOKUP(R25:AF25,增益!$A:$A,增益!$K:$K,0)))/200,($F$13-$I$4+VLOOKUP($Q25,武学奇术!$A:$ZZ,13,FALSE)+SUM(_xlfn.XLOOKUP(R25:AF25,增益!$A:$A,增益!$M:$M,0)))/100)</f>
        <v>0</v>
      </c>
      <c r="BD25" s="32" cm="1">
        <f t="array" ref="BD25">$G$13+VLOOKUP($Q25,武学奇术!$A:$ZZ,14,FALSE)+SUM(_xlfn.XLOOKUP(R25:AF25,增益!$A:$A,增益!$N:$N,0))</f>
        <v>0.15</v>
      </c>
      <c r="BE25">
        <f t="shared" si="7"/>
        <v>0</v>
      </c>
      <c r="BF25">
        <f t="shared" si="8"/>
        <v>0</v>
      </c>
      <c r="BG25" s="32" cm="1">
        <f t="array" ref="BG25">IF($F$14-$I$4+VLOOKUP($Q25,武学奇术!$A:$ZZ,15,FALSE)+SUM(_xlfn.XLOOKUP(R25:AF25,增益!$A:$A,增益!$O:$O,0))&gt;0,($F$14-$I$4+VLOOKUP($Q25,武学奇术!$A:$ZZ,15,FALSE)+SUM(_xlfn.XLOOKUP(R25:AF25,增益!$A:$A,增益!$O:$O,0)))/200,($F$14-$I$4+VLOOKUP($Q25,武学奇术!$A:$ZZ,15,FALSE)+SUM(_xlfn.XLOOKUP(R25:AF25,增益!$A:$A,增益!$O:$O,0)))/100)</f>
        <v>-0.3</v>
      </c>
      <c r="BH25" s="32" cm="1">
        <f t="array" ref="BH25">$G$14+VLOOKUP($Q25,武学奇术!$A:$ZZ,16,FALSE)+SUM(_xlfn.XLOOKUP(R25:AF25,增益!$A:$A,增益!$P:$P,0))</f>
        <v>0</v>
      </c>
      <c r="BI25" s="26">
        <f>MIN(IF(VLOOKUP($Q25,武学奇术!$A:$ZZ,23,FALSE)=1,100%,$B$8),100%)</f>
        <v>1</v>
      </c>
      <c r="BJ25" s="26" cm="1">
        <f t="array" ref="BJ25">IF(VLOOKUP($Q25,武学奇术!$A:$ZZ,23,FALSE)=1,100%,MIN(80%,$B$9+VLOOKUP($Q25,武学奇术!$A:$ZZ,17,FALSE)+SUM(_xlfn.XLOOKUP(R25:AF25,增益!$A:$A,增益!$Q:$Q,0)))+$B$11+SUM(_xlfn.XLOOKUP(R25:AF25,增益!$A:$A,增益!$U:$U,0)))*IF(VLOOKUP($Q25,武学奇术!$A:$ZZ,24,FALSE)=1,0,1)</f>
        <v>0.8625</v>
      </c>
      <c r="BK25" s="26" cm="1">
        <f t="array" ref="BK25">1+$B$13+VLOOKUP($Q25,武学奇术!$A:$ZZ,18,FALSE)+SUM(_xlfn.XLOOKUP(R25:AF25,增益!$A:$A,增益!$R:$R,0))</f>
        <v>1.5</v>
      </c>
      <c r="BL25" s="26" cm="1">
        <f t="array" ref="BL25">IF(VLOOKUP($Q25,武学奇术!$A:$ZZ,24,FALSE)=1,100%,MIN(40%,$B$10+VLOOKUP($Q25,武学奇术!$A:$ZZ,19,FALSE)+SUM(_xlfn.XLOOKUP(R25:AF25,增益!$A:$A,增益!$S:$S,0)))+$B$12+SUM(_xlfn.XLOOKUP(R25:AF25,增益!$A:$A,增益!$V:$V,0)))*IF(VLOOKUP($Q25,武学奇术!$A:$ZZ,23,FALSE)=1,0,1)</f>
        <v>0.0913</v>
      </c>
      <c r="BM25" s="26" cm="1">
        <f t="array" ref="BM25">1+$B$14+VLOOKUP($Q25,武学奇术!$A:$ZZ,20,FALSE)+SUM(_xlfn.XLOOKUP(R25:AF25,增益!$A:$A,增益!$T:$T,0))</f>
        <v>1.35</v>
      </c>
      <c r="BN25" s="26">
        <f t="shared" si="9"/>
        <v>0.8625</v>
      </c>
      <c r="BO25" s="26">
        <f t="shared" si="10"/>
        <v>0.0462</v>
      </c>
      <c r="BP25" s="26">
        <f>IF(VLOOKUP($Q25,武学奇术!$A:$ZZ,22,FALSE)=1,0,(1-$BI25))*(1-$BL25)</f>
        <v>0</v>
      </c>
      <c r="BQ25" s="26" cm="1">
        <f t="array" ref="BQ25">SUM(_xlfn.XLOOKUP(R25:AF25,增益!$A:$A,增益!$W:$W,0))+$I$5</f>
        <v>0.06</v>
      </c>
    </row>
    <row r="26" spans="1:69">
      <c r="K26" s="38">
        <f t="shared" si="0"/>
        <v>0</v>
      </c>
      <c r="L26" s="38">
        <f>((($AN26+$AO26)/2*$AH26+$AI26)*(1+$AP26)*(1+$AQ26)+(($AS26+$AT26)/2*IF($G$1="鸣金",$AJ26,$AH26)+IF($G$1="鸣金",$AK26*1.5,0))*(1+$AU26)*(1+$AV26)+(($AW26+$AX26)/2*IF($G$1="裂石",$AJ26,$AH26)+IF($G$1="裂石",$AK26*1.5,0))*(1+$AY26)*(1+$AZ26)+(($BA26+$BB26)/2*IF($G$1="牵丝",$AJ26,$AH26)+IF($G$1="牵丝",$AK26*1.5,0))*(1+$BC26)*(1+$BD26)+(($BE26+$BF26)/2*IF($G$1="破竹",$AJ26,$AH26)+IF($G$1="破竹",$AK26*1.5,0))*(1+$BG26)*(1+$BH26))*(1+$AL26)*$BK26*$P26*(1+IF(VLOOKUP($Q26,武学奇术!$A:$ZZ,30,FALSE)="蓄力技",#REF!,0))*(1+$BQ26)</f>
        <v>0</v>
      </c>
      <c r="M26" s="38">
        <f>(($AO26*$AH26+$AI26)*(1+$AP26)*(1+$AQ26)+($AT26*IF($G$1="鸣金",$AJ26,$AH26)+IF($G$1="鸣金",$AK26*1.5,0))*(1+$AU26)*(1+$AV26)+($AX26*IF($G$1="裂石",$AJ26,$AH26)+IF($G$1="裂石",$AK26*1.5,0))*(1+$AY26)*(1+$AZ26)+($BB26*IF($G$1="牵丝",$AJ26,$AH26)+IF($G$1="牵丝",$AK26*1.5,0))*(1+$BC26)*(1+$BD26)+($BF26*IF($G$1="破竹",$AJ26,$AH26)+IF($G$1="破竹",$AK26*1.5,0))*(1+$BG26)*(1+$BH26))*(1+$AL26)*$BM26*$P26*(1+IF(VLOOKUP($Q26,武学奇术!$A:$ZZ,30,FALSE)="蓄力技",#REF!,0))*(1+$BQ26)</f>
        <v>0</v>
      </c>
      <c r="N26" s="38">
        <f>((($AN26+$AO26)/2*$AH26+$AI26)*(1+$AP26)*(1+$AQ26)+(($AS26+$AT26)/2*IF($G$1="鸣金",$AJ26,$AH26)+IF($G$1="鸣金",$AK26*1.5,0))*(1+$AU26)*(1+$AV26)+(($AW26+$AX26)/2*IF($G$1="裂石",$AJ26,$AH26)+IF($G$1="裂石",$AK26*1.5,0))*(1+$AY26)*(1+$AZ26)+(($BA26+$BB26)/2*IF($G$1="牵丝",$AJ26,$AH26)+IF($G$1="牵丝",$AK26*1.5,0))*(1+$BC26)*(1+$BD26)+(($BE26+$BF26)/2*IF($G$1="破竹",$AJ26,$AH26)+IF($G$1="破竹",$AK26*1.5,0))*(1+$BG26)*(1+$BH26))*(1+$AL26)*$P26*(1+IF(VLOOKUP($Q26,武学奇术!$A:$ZZ,30,FALSE)="蓄力技",#REF!,0))*(1+$BQ26)</f>
        <v>0</v>
      </c>
      <c r="O26" s="38">
        <f>((($AN26*$AH26+$AI26)*(1+$AP26)*(1+$AQ26)+($AS26*IF($G$1="鸣金",$AJ26,$AH26)+IF($G$1="鸣金",$AK26*1.5,0))*(1+$AU26)*(1+$AV26)+($AW26*IF($G$1="裂石",$AJ26,$AH26)+IF($G$1="裂石",$AK26*1.5,0))*(1+$AY26)*(1+$AZ26)+($BA26*IF($G$1="牵丝",$AJ26,$AH26)+IF($G$1="牵丝",$AK26*1.5,0))*(1+$BC26)*(1+$BD26)+($BE26*IF($G$1="破竹",$AJ26,$AH26)+IF($G$1="破竹",$AK26*1.5,0))*(1+$BG26)*(1+$BH26))*(1+$AL26))*$P26*(1+IF(VLOOKUP($Q26,武学奇术!$A:$ZZ,30,FALSE)="蓄力技",#REF!,0))*(1+$BQ26)</f>
        <v>0</v>
      </c>
      <c r="P26" s="39">
        <v>1</v>
      </c>
      <c r="Q26" s="40" t="s">
        <v>76</v>
      </c>
      <c r="R26" s="40" t="s">
        <v>76</v>
      </c>
      <c r="S26" s="40" t="s">
        <v>76</v>
      </c>
      <c r="T26" s="40" t="s">
        <v>76</v>
      </c>
      <c r="U26" s="40" t="s">
        <v>76</v>
      </c>
      <c r="V26" s="40" t="s">
        <v>76</v>
      </c>
      <c r="W26" s="40" t="s">
        <v>76</v>
      </c>
      <c r="X26" s="40" t="s">
        <v>76</v>
      </c>
      <c r="Y26" s="40" t="s">
        <v>76</v>
      </c>
      <c r="Z26" s="40" t="s">
        <v>76</v>
      </c>
      <c r="AA26" s="40" t="s">
        <v>76</v>
      </c>
      <c r="AB26" s="40" t="s">
        <v>76</v>
      </c>
      <c r="AC26" s="40" t="s">
        <v>76</v>
      </c>
      <c r="AD26" s="40" t="s">
        <v>76</v>
      </c>
      <c r="AE26" s="40" t="s">
        <v>76</v>
      </c>
      <c r="AF26" s="40" t="s">
        <v>76</v>
      </c>
      <c r="AG26" t="str">
        <f>VLOOKUP($Q26,武学奇术!$A:$ZZ,25,FALSE)</f>
        <v>心法</v>
      </c>
      <c r="AH26" s="26">
        <f>VLOOKUP($Q26,武学奇术!$A:$ZZ,26,FALSE)</f>
        <v>0</v>
      </c>
      <c r="AI26" s="27">
        <f>VLOOKUP($Q26,武学奇术!$A:$ZZ,27,FALSE)*(1+IF(OR($AG26=$F$4,$AG26=$F$5),$B$21,0))</f>
        <v>0</v>
      </c>
      <c r="AJ26" s="26">
        <f>VLOOKUP($Q26,武学奇术!$A:$ZZ,28,FALSE)</f>
        <v>0</v>
      </c>
      <c r="AK26" s="27">
        <f>VLOOKUP($Q26,武学奇术!$A:$ZZ,29,FALSE)*(1+IF(OR($AG26=$F$4,$AG26=$F$5),$B$21,0))</f>
        <v>0</v>
      </c>
      <c r="AL26" s="26" cm="1">
        <f t="array" ref="AL26">$G$3+IFERROR(VLOOKUP($AG26,$F$4:$G$7,2,FALSE),0)+VLOOKUP($Q26,武学奇术!$A:$ZZ,2,FALSE)+SUM(_xlfn.XLOOKUP($R26:$AF26,增益!$A:$A,增益!$B:$B,0))</f>
        <v>0.1842</v>
      </c>
      <c r="AM26" s="26" cm="1">
        <f t="array" ref="AM26">VLOOKUP($Q26,武学奇术!$A:$ZZ,5,FALSE)+SUM(_xlfn.XLOOKUP($R26:$AF26,增益!$A:$A,增益!$E:$E,0))</f>
        <v>0</v>
      </c>
      <c r="AN26" cm="1">
        <f t="array" ref="AN26">$D$10*(1+$AM26)+VLOOKUP($Q26,武学奇术!$A:$ZZ,3,FALSE)+SUM(_xlfn.XLOOKUP($R26:$AF26,增益!$A:$A,增益!$C:$C,0))-$I$2</f>
        <v>3940</v>
      </c>
      <c r="AO26" cm="1">
        <f t="array" ref="AO26">$E$10*(1+$AM26)+VLOOKUP($Q26,武学奇术!$A:$ZZ,4,FALSE)+SUM(_xlfn.XLOOKUP($R26:$AF26,增益!$A:$A,增益!$D:$D,0))-$I$2</f>
        <v>3940</v>
      </c>
      <c r="AP26" s="32" cm="1">
        <f t="array" ref="AP26">IF($F$10-$I$3+VLOOKUP($Q26,武学奇术!$A:$ZZ,6,FALSE)+SUM(_xlfn.XLOOKUP(R26:AF26,增益!$A:$A,增益!$F:$F,0))&gt;0,($F$10-$I$3+VLOOKUP($Q26,武学奇术!$A:$ZZ,6,FALSE)+SUM(_xlfn.XLOOKUP(R26:AF26,增益!$A:$A,增益!$F:$F,0)))/200,($F$10-$I$3+VLOOKUP($Q26,武学奇术!$A:$ZZ,6,FALSE)+SUM(_xlfn.XLOOKUP(R26:AF26,增益!$A:$A,增益!$F:$F,0)))/100)</f>
        <v>0.194</v>
      </c>
      <c r="AQ26" s="32" cm="1">
        <f t="array" ref="AQ26">$G$10+VLOOKUP($Q26,武学奇术!$A:$ZZ,7,FALSE)+SUM(_xlfn.XLOOKUP(R26:AF26,增益!$A:$A,增益!$G:$G,0))</f>
        <v>0</v>
      </c>
      <c r="AR26" s="26" cm="1">
        <f t="array" ref="AR26">VLOOKUP($Q26,武学奇术!$A:$ZZ,8,FALSE)+SUM(_xlfn.XLOOKUP(R26:AF26,增益!$A:$A,增益!$H:$H,0))</f>
        <v>0</v>
      </c>
      <c r="AS26">
        <f t="shared" si="1"/>
        <v>0</v>
      </c>
      <c r="AT26">
        <f t="shared" si="2"/>
        <v>0</v>
      </c>
      <c r="AU26" s="32" cm="1">
        <f t="array" ref="AU26">IF($F$11-$I$4+VLOOKUP($Q26,武学奇术!$A:$ZZ,9,FALSE)+SUM(_xlfn.XLOOKUP(R26:AF26,增益!$A:$A,增益!$I:$I,0))&gt;0,($F$11-$I$4+VLOOKUP($Q26,武学奇术!$A:$ZZ,9,FALSE)+SUM(_xlfn.XLOOKUP(R26:AF26,增益!$A:$A,增益!$I:$I,0)))/200,($F$11-$I$4+VLOOKUP($Q26,武学奇术!$A:$ZZ,9,FALSE)+SUM(_xlfn.XLOOKUP(R26:AF26,增益!$A:$A,增益!$I:$I,0)))/100)</f>
        <v>-0.3</v>
      </c>
      <c r="AV26" s="32" cm="1">
        <f t="array" ref="AV26">$G$11+VLOOKUP($Q26,武学奇术!$A:$ZZ,10,FALSE)+SUM(_xlfn.XLOOKUP(R26:AF26,增益!$A:$A,增益!$J:$J,0))</f>
        <v>0</v>
      </c>
      <c r="AW26">
        <f t="shared" si="3"/>
        <v>0</v>
      </c>
      <c r="AX26">
        <f t="shared" si="4"/>
        <v>0</v>
      </c>
      <c r="AY26" s="32" cm="1">
        <f t="array" ref="AY26">IF($F$12-$I$4+VLOOKUP($Q26,武学奇术!$A:$ZZ,11,FALSE)+SUM(_xlfn.XLOOKUP(R26:AF26,增益!$A:$A,增益!$K:$K,0))&gt;0,($F$12-$I$4+VLOOKUP($Q26,武学奇术!$A:$ZZ,11,FALSE)+SUM(_xlfn.XLOOKUP(R26:AF26,增益!$A:$A,增益!$K:$K,0)))/200,($F$12-$I$4+VLOOKUP($Q26,武学奇术!$A:$ZZ,11,FALSE)+SUM(_xlfn.XLOOKUP(R26:AF26,增益!$A:$A,增益!$K:$K,0)))/100)</f>
        <v>-0.3</v>
      </c>
      <c r="AZ26" s="32" cm="1">
        <f t="array" ref="AZ26">$G$12+VLOOKUP($Q26,武学奇术!$A:$ZZ,12,FALSE)+SUM(_xlfn.XLOOKUP(R26:AF26,增益!$A:$A,增益!$L:$L,0))</f>
        <v>0</v>
      </c>
      <c r="BA26">
        <f t="shared" si="5"/>
        <v>697.4</v>
      </c>
      <c r="BB26">
        <f t="shared" si="6"/>
        <v>1805</v>
      </c>
      <c r="BC26" s="32" cm="1">
        <f t="array" ref="BC26">IF($F$13-$I$4+VLOOKUP($Q26,武学奇术!$A:$ZZ,13,FALSE)+SUM(_xlfn.XLOOKUP(R26:AF26,增益!$A:$A,增益!$M:$M,0))&gt;0,($F$13-$I$4+VLOOKUP($Q26,武学奇术!$A:$ZZ,13,FALSE)+SUM(_xlfn.XLOOKUP(R26:AF26,增益!$A:$A,增益!$K:$K,0)))/200,($F$13-$I$4+VLOOKUP($Q26,武学奇术!$A:$ZZ,13,FALSE)+SUM(_xlfn.XLOOKUP(R26:AF26,增益!$A:$A,增益!$M:$M,0)))/100)</f>
        <v>0</v>
      </c>
      <c r="BD26" s="32" cm="1">
        <f t="array" ref="BD26">$G$13+VLOOKUP($Q26,武学奇术!$A:$ZZ,14,FALSE)+SUM(_xlfn.XLOOKUP(R26:AF26,增益!$A:$A,增益!$N:$N,0))</f>
        <v>0.15</v>
      </c>
      <c r="BE26">
        <f t="shared" si="7"/>
        <v>0</v>
      </c>
      <c r="BF26">
        <f t="shared" si="8"/>
        <v>0</v>
      </c>
      <c r="BG26" s="32" cm="1">
        <f t="array" ref="BG26">IF($F$14-$I$4+VLOOKUP($Q26,武学奇术!$A:$ZZ,15,FALSE)+SUM(_xlfn.XLOOKUP(R26:AF26,增益!$A:$A,增益!$O:$O,0))&gt;0,($F$14-$I$4+VLOOKUP($Q26,武学奇术!$A:$ZZ,15,FALSE)+SUM(_xlfn.XLOOKUP(R26:AF26,增益!$A:$A,增益!$O:$O,0)))/200,($F$14-$I$4+VLOOKUP($Q26,武学奇术!$A:$ZZ,15,FALSE)+SUM(_xlfn.XLOOKUP(R26:AF26,增益!$A:$A,增益!$O:$O,0)))/100)</f>
        <v>-0.3</v>
      </c>
      <c r="BH26" s="32" cm="1">
        <f t="array" ref="BH26">$G$14+VLOOKUP($Q26,武学奇术!$A:$ZZ,16,FALSE)+SUM(_xlfn.XLOOKUP(R26:AF26,增益!$A:$A,增益!$P:$P,0))</f>
        <v>0</v>
      </c>
      <c r="BI26" s="26">
        <f>MIN(IF(VLOOKUP($Q26,武学奇术!$A:$ZZ,23,FALSE)=1,100%,$B$8),100%)</f>
        <v>1</v>
      </c>
      <c r="BJ26" s="26" cm="1">
        <f t="array" ref="BJ26">IF(VLOOKUP($Q26,武学奇术!$A:$ZZ,23,FALSE)=1,100%,MIN(80%,$B$9+VLOOKUP($Q26,武学奇术!$A:$ZZ,17,FALSE)+SUM(_xlfn.XLOOKUP(R26:AF26,增益!$A:$A,增益!$Q:$Q,0)))+$B$11+SUM(_xlfn.XLOOKUP(R26:AF26,增益!$A:$A,增益!$U:$U,0)))*IF(VLOOKUP($Q26,武学奇术!$A:$ZZ,24,FALSE)=1,0,1)</f>
        <v>0.8625</v>
      </c>
      <c r="BK26" s="26" cm="1">
        <f t="array" ref="BK26">1+$B$13+VLOOKUP($Q26,武学奇术!$A:$ZZ,18,FALSE)+SUM(_xlfn.XLOOKUP(R26:AF26,增益!$A:$A,增益!$R:$R,0))</f>
        <v>1.5</v>
      </c>
      <c r="BL26" s="26" cm="1">
        <f t="array" ref="BL26">IF(VLOOKUP($Q26,武学奇术!$A:$ZZ,24,FALSE)=1,100%,MIN(40%,$B$10+VLOOKUP($Q26,武学奇术!$A:$ZZ,19,FALSE)+SUM(_xlfn.XLOOKUP(R26:AF26,增益!$A:$A,增益!$S:$S,0)))+$B$12+SUM(_xlfn.XLOOKUP(R26:AF26,增益!$A:$A,增益!$V:$V,0)))*IF(VLOOKUP($Q26,武学奇术!$A:$ZZ,23,FALSE)=1,0,1)</f>
        <v>0.0913</v>
      </c>
      <c r="BM26" s="26" cm="1">
        <f t="array" ref="BM26">1+$B$14+VLOOKUP($Q26,武学奇术!$A:$ZZ,20,FALSE)+SUM(_xlfn.XLOOKUP(R26:AF26,增益!$A:$A,增益!$T:$T,0))</f>
        <v>1.35</v>
      </c>
      <c r="BN26" s="26">
        <f t="shared" si="9"/>
        <v>0.8625</v>
      </c>
      <c r="BO26" s="26">
        <f t="shared" si="10"/>
        <v>0.0462</v>
      </c>
      <c r="BP26" s="26">
        <f>IF(VLOOKUP($Q26,武学奇术!$A:$ZZ,22,FALSE)=1,0,(1-$BI26))*(1-$BL26)</f>
        <v>0</v>
      </c>
      <c r="BQ26" s="26" cm="1">
        <f t="array" ref="BQ26">SUM(_xlfn.XLOOKUP(R26:AF26,增益!$A:$A,增益!$W:$W,0))+$I$5</f>
        <v>0.06</v>
      </c>
    </row>
    <row r="27" spans="1:69">
      <c r="K27" s="38">
        <f t="shared" si="0"/>
        <v>0</v>
      </c>
      <c r="L27" s="38">
        <f>((($AN27+$AO27)/2*$AH27+$AI27)*(1+$AP27)*(1+$AQ27)+(($AS27+$AT27)/2*IF($G$1="鸣金",$AJ27,$AH27)+IF($G$1="鸣金",$AK27*1.5,0))*(1+$AU27)*(1+$AV27)+(($AW27+$AX27)/2*IF($G$1="裂石",$AJ27,$AH27)+IF($G$1="裂石",$AK27*1.5,0))*(1+$AY27)*(1+$AZ27)+(($BA27+$BB27)/2*IF($G$1="牵丝",$AJ27,$AH27)+IF($G$1="牵丝",$AK27*1.5,0))*(1+$BC27)*(1+$BD27)+(($BE27+$BF27)/2*IF($G$1="破竹",$AJ27,$AH27)+IF($G$1="破竹",$AK27*1.5,0))*(1+$BG27)*(1+$BH27))*(1+$AL27)*$BK27*$P27*(1+IF(VLOOKUP($Q27,武学奇术!$A:$ZZ,30,FALSE)="蓄力技",#REF!,0))*(1+$BQ27)</f>
        <v>0</v>
      </c>
      <c r="M27" s="38">
        <f>(($AO27*$AH27+$AI27)*(1+$AP27)*(1+$AQ27)+($AT27*IF($G$1="鸣金",$AJ27,$AH27)+IF($G$1="鸣金",$AK27*1.5,0))*(1+$AU27)*(1+$AV27)+($AX27*IF($G$1="裂石",$AJ27,$AH27)+IF($G$1="裂石",$AK27*1.5,0))*(1+$AY27)*(1+$AZ27)+($BB27*IF($G$1="牵丝",$AJ27,$AH27)+IF($G$1="牵丝",$AK27*1.5,0))*(1+$BC27)*(1+$BD27)+($BF27*IF($G$1="破竹",$AJ27,$AH27)+IF($G$1="破竹",$AK27*1.5,0))*(1+$BG27)*(1+$BH27))*(1+$AL27)*$BM27*$P27*(1+IF(VLOOKUP($Q27,武学奇术!$A:$ZZ,30,FALSE)="蓄力技",#REF!,0))*(1+$BQ27)</f>
        <v>0</v>
      </c>
      <c r="N27" s="38">
        <f>((($AN27+$AO27)/2*$AH27+$AI27)*(1+$AP27)*(1+$AQ27)+(($AS27+$AT27)/2*IF($G$1="鸣金",$AJ27,$AH27)+IF($G$1="鸣金",$AK27*1.5,0))*(1+$AU27)*(1+$AV27)+(($AW27+$AX27)/2*IF($G$1="裂石",$AJ27,$AH27)+IF($G$1="裂石",$AK27*1.5,0))*(1+$AY27)*(1+$AZ27)+(($BA27+$BB27)/2*IF($G$1="牵丝",$AJ27,$AH27)+IF($G$1="牵丝",$AK27*1.5,0))*(1+$BC27)*(1+$BD27)+(($BE27+$BF27)/2*IF($G$1="破竹",$AJ27,$AH27)+IF($G$1="破竹",$AK27*1.5,0))*(1+$BG27)*(1+$BH27))*(1+$AL27)*$P27*(1+IF(VLOOKUP($Q27,武学奇术!$A:$ZZ,30,FALSE)="蓄力技",#REF!,0))*(1+$BQ27)</f>
        <v>0</v>
      </c>
      <c r="O27" s="38">
        <f>((($AN27*$AH27+$AI27)*(1+$AP27)*(1+$AQ27)+($AS27*IF($G$1="鸣金",$AJ27,$AH27)+IF($G$1="鸣金",$AK27*1.5,0))*(1+$AU27)*(1+$AV27)+($AW27*IF($G$1="裂石",$AJ27,$AH27)+IF($G$1="裂石",$AK27*1.5,0))*(1+$AY27)*(1+$AZ27)+($BA27*IF($G$1="牵丝",$AJ27,$AH27)+IF($G$1="牵丝",$AK27*1.5,0))*(1+$BC27)*(1+$BD27)+($BE27*IF($G$1="破竹",$AJ27,$AH27)+IF($G$1="破竹",$AK27*1.5,0))*(1+$BG27)*(1+$BH27))*(1+$AL27))*$P27*(1+IF(VLOOKUP($Q27,武学奇术!$A:$ZZ,30,FALSE)="蓄力技",#REF!,0))*(1+$BQ27)</f>
        <v>0</v>
      </c>
      <c r="P27" s="39">
        <v>1</v>
      </c>
      <c r="Q27" s="40" t="s">
        <v>76</v>
      </c>
      <c r="R27" s="40" t="s">
        <v>76</v>
      </c>
      <c r="S27" s="40" t="s">
        <v>76</v>
      </c>
      <c r="T27" s="40" t="s">
        <v>76</v>
      </c>
      <c r="U27" s="40" t="s">
        <v>76</v>
      </c>
      <c r="V27" s="40" t="s">
        <v>76</v>
      </c>
      <c r="W27" s="40" t="s">
        <v>76</v>
      </c>
      <c r="X27" s="40" t="s">
        <v>76</v>
      </c>
      <c r="Y27" s="40" t="s">
        <v>76</v>
      </c>
      <c r="Z27" s="40" t="s">
        <v>76</v>
      </c>
      <c r="AA27" s="40" t="s">
        <v>76</v>
      </c>
      <c r="AB27" s="40" t="s">
        <v>76</v>
      </c>
      <c r="AC27" s="40" t="s">
        <v>76</v>
      </c>
      <c r="AD27" s="40" t="s">
        <v>76</v>
      </c>
      <c r="AE27" s="40" t="s">
        <v>76</v>
      </c>
      <c r="AF27" s="40" t="s">
        <v>76</v>
      </c>
      <c r="AG27" t="str">
        <f>VLOOKUP($Q27,武学奇术!$A:$ZZ,25,FALSE)</f>
        <v>心法</v>
      </c>
      <c r="AH27" s="26">
        <f>VLOOKUP($Q27,武学奇术!$A:$ZZ,26,FALSE)</f>
        <v>0</v>
      </c>
      <c r="AI27" s="27">
        <f>VLOOKUP($Q27,武学奇术!$A:$ZZ,27,FALSE)*(1+IF(OR($AG27=$F$4,$AG27=$F$5),$B$21,0))</f>
        <v>0</v>
      </c>
      <c r="AJ27" s="26">
        <f>VLOOKUP($Q27,武学奇术!$A:$ZZ,28,FALSE)</f>
        <v>0</v>
      </c>
      <c r="AK27" s="27">
        <f>VLOOKUP($Q27,武学奇术!$A:$ZZ,29,FALSE)*(1+IF(OR($AG27=$F$4,$AG27=$F$5),$B$21,0))</f>
        <v>0</v>
      </c>
      <c r="AL27" s="26" cm="1">
        <f t="array" ref="AL27">$G$3+IFERROR(VLOOKUP($AG27,$F$4:$G$7,2,FALSE),0)+VLOOKUP($Q27,武学奇术!$A:$ZZ,2,FALSE)+SUM(_xlfn.XLOOKUP($R27:$AF27,增益!$A:$A,增益!$B:$B,0))</f>
        <v>0.1842</v>
      </c>
      <c r="AM27" s="26" cm="1">
        <f t="array" ref="AM27">VLOOKUP($Q27,武学奇术!$A:$ZZ,5,FALSE)+SUM(_xlfn.XLOOKUP($R27:$AF27,增益!$A:$A,增益!$E:$E,0))</f>
        <v>0</v>
      </c>
      <c r="AN27" cm="1">
        <f t="array" ref="AN27">$D$10*(1+$AM27)+VLOOKUP($Q27,武学奇术!$A:$ZZ,3,FALSE)+SUM(_xlfn.XLOOKUP($R27:$AF27,增益!$A:$A,增益!$C:$C,0))-$I$2</f>
        <v>3940</v>
      </c>
      <c r="AO27" cm="1">
        <f t="array" ref="AO27">$E$10*(1+$AM27)+VLOOKUP($Q27,武学奇术!$A:$ZZ,4,FALSE)+SUM(_xlfn.XLOOKUP($R27:$AF27,增益!$A:$A,增益!$D:$D,0))-$I$2</f>
        <v>3940</v>
      </c>
      <c r="AP27" s="32" cm="1">
        <f t="array" ref="AP27">IF($F$10-$I$3+VLOOKUP($Q27,武学奇术!$A:$ZZ,6,FALSE)+SUM(_xlfn.XLOOKUP(R27:AF27,增益!$A:$A,增益!$F:$F,0))&gt;0,($F$10-$I$3+VLOOKUP($Q27,武学奇术!$A:$ZZ,6,FALSE)+SUM(_xlfn.XLOOKUP(R27:AF27,增益!$A:$A,增益!$F:$F,0)))/200,($F$10-$I$3+VLOOKUP($Q27,武学奇术!$A:$ZZ,6,FALSE)+SUM(_xlfn.XLOOKUP(R27:AF27,增益!$A:$A,增益!$F:$F,0)))/100)</f>
        <v>0.194</v>
      </c>
      <c r="AQ27" s="32" cm="1">
        <f t="array" ref="AQ27">$G$10+VLOOKUP($Q27,武学奇术!$A:$ZZ,7,FALSE)+SUM(_xlfn.XLOOKUP(R27:AF27,增益!$A:$A,增益!$G:$G,0))</f>
        <v>0</v>
      </c>
      <c r="AR27" s="26" cm="1">
        <f t="array" ref="AR27">VLOOKUP($Q27,武学奇术!$A:$ZZ,8,FALSE)+SUM(_xlfn.XLOOKUP(R27:AF27,增益!$A:$A,增益!$H:$H,0))</f>
        <v>0</v>
      </c>
      <c r="AS27">
        <f t="shared" si="1"/>
        <v>0</v>
      </c>
      <c r="AT27">
        <f t="shared" si="2"/>
        <v>0</v>
      </c>
      <c r="AU27" s="32" cm="1">
        <f t="array" ref="AU27">IF($F$11-$I$4+VLOOKUP($Q27,武学奇术!$A:$ZZ,9,FALSE)+SUM(_xlfn.XLOOKUP(R27:AF27,增益!$A:$A,增益!$I:$I,0))&gt;0,($F$11-$I$4+VLOOKUP($Q27,武学奇术!$A:$ZZ,9,FALSE)+SUM(_xlfn.XLOOKUP(R27:AF27,增益!$A:$A,增益!$I:$I,0)))/200,($F$11-$I$4+VLOOKUP($Q27,武学奇术!$A:$ZZ,9,FALSE)+SUM(_xlfn.XLOOKUP(R27:AF27,增益!$A:$A,增益!$I:$I,0)))/100)</f>
        <v>-0.3</v>
      </c>
      <c r="AV27" s="32" cm="1">
        <f t="array" ref="AV27">$G$11+VLOOKUP($Q27,武学奇术!$A:$ZZ,10,FALSE)+SUM(_xlfn.XLOOKUP(R27:AF27,增益!$A:$A,增益!$J:$J,0))</f>
        <v>0</v>
      </c>
      <c r="AW27">
        <f t="shared" si="3"/>
        <v>0</v>
      </c>
      <c r="AX27">
        <f t="shared" si="4"/>
        <v>0</v>
      </c>
      <c r="AY27" s="32" cm="1">
        <f t="array" ref="AY27">IF($F$12-$I$4+VLOOKUP($Q27,武学奇术!$A:$ZZ,11,FALSE)+SUM(_xlfn.XLOOKUP(R27:AF27,增益!$A:$A,增益!$K:$K,0))&gt;0,($F$12-$I$4+VLOOKUP($Q27,武学奇术!$A:$ZZ,11,FALSE)+SUM(_xlfn.XLOOKUP(R27:AF27,增益!$A:$A,增益!$K:$K,0)))/200,($F$12-$I$4+VLOOKUP($Q27,武学奇术!$A:$ZZ,11,FALSE)+SUM(_xlfn.XLOOKUP(R27:AF27,增益!$A:$A,增益!$K:$K,0)))/100)</f>
        <v>-0.3</v>
      </c>
      <c r="AZ27" s="32" cm="1">
        <f t="array" ref="AZ27">$G$12+VLOOKUP($Q27,武学奇术!$A:$ZZ,12,FALSE)+SUM(_xlfn.XLOOKUP(R27:AF27,增益!$A:$A,增益!$L:$L,0))</f>
        <v>0</v>
      </c>
      <c r="BA27">
        <f t="shared" si="5"/>
        <v>697.4</v>
      </c>
      <c r="BB27">
        <f t="shared" si="6"/>
        <v>1805</v>
      </c>
      <c r="BC27" s="32" cm="1">
        <f t="array" ref="BC27">IF($F$13-$I$4+VLOOKUP($Q27,武学奇术!$A:$ZZ,13,FALSE)+SUM(_xlfn.XLOOKUP(R27:AF27,增益!$A:$A,增益!$M:$M,0))&gt;0,($F$13-$I$4+VLOOKUP($Q27,武学奇术!$A:$ZZ,13,FALSE)+SUM(_xlfn.XLOOKUP(R27:AF27,增益!$A:$A,增益!$K:$K,0)))/200,($F$13-$I$4+VLOOKUP($Q27,武学奇术!$A:$ZZ,13,FALSE)+SUM(_xlfn.XLOOKUP(R27:AF27,增益!$A:$A,增益!$M:$M,0)))/100)</f>
        <v>0</v>
      </c>
      <c r="BD27" s="32" cm="1">
        <f t="array" ref="BD27">$G$13+VLOOKUP($Q27,武学奇术!$A:$ZZ,14,FALSE)+SUM(_xlfn.XLOOKUP(R27:AF27,增益!$A:$A,增益!$N:$N,0))</f>
        <v>0.15</v>
      </c>
      <c r="BE27">
        <f t="shared" si="7"/>
        <v>0</v>
      </c>
      <c r="BF27">
        <f t="shared" si="8"/>
        <v>0</v>
      </c>
      <c r="BG27" s="32" cm="1">
        <f t="array" ref="BG27">IF($F$14-$I$4+VLOOKUP($Q27,武学奇术!$A:$ZZ,15,FALSE)+SUM(_xlfn.XLOOKUP(R27:AF27,增益!$A:$A,增益!$O:$O,0))&gt;0,($F$14-$I$4+VLOOKUP($Q27,武学奇术!$A:$ZZ,15,FALSE)+SUM(_xlfn.XLOOKUP(R27:AF27,增益!$A:$A,增益!$O:$O,0)))/200,($F$14-$I$4+VLOOKUP($Q27,武学奇术!$A:$ZZ,15,FALSE)+SUM(_xlfn.XLOOKUP(R27:AF27,增益!$A:$A,增益!$O:$O,0)))/100)</f>
        <v>-0.3</v>
      </c>
      <c r="BH27" s="32" cm="1">
        <f t="array" ref="BH27">$G$14+VLOOKUP($Q27,武学奇术!$A:$ZZ,16,FALSE)+SUM(_xlfn.XLOOKUP(R27:AF27,增益!$A:$A,增益!$P:$P,0))</f>
        <v>0</v>
      </c>
      <c r="BI27" s="26">
        <f>MIN(IF(VLOOKUP($Q27,武学奇术!$A:$ZZ,23,FALSE)=1,100%,$B$8),100%)</f>
        <v>1</v>
      </c>
      <c r="BJ27" s="26" cm="1">
        <f t="array" ref="BJ27">IF(VLOOKUP($Q27,武学奇术!$A:$ZZ,23,FALSE)=1,100%,MIN(80%,$B$9+VLOOKUP($Q27,武学奇术!$A:$ZZ,17,FALSE)+SUM(_xlfn.XLOOKUP(R27:AF27,增益!$A:$A,增益!$Q:$Q,0)))+$B$11+SUM(_xlfn.XLOOKUP(R27:AF27,增益!$A:$A,增益!$U:$U,0)))*IF(VLOOKUP($Q27,武学奇术!$A:$ZZ,24,FALSE)=1,0,1)</f>
        <v>0.8625</v>
      </c>
      <c r="BK27" s="26" cm="1">
        <f t="array" ref="BK27">1+$B$13+VLOOKUP($Q27,武学奇术!$A:$ZZ,18,FALSE)+SUM(_xlfn.XLOOKUP(R27:AF27,增益!$A:$A,增益!$R:$R,0))</f>
        <v>1.5</v>
      </c>
      <c r="BL27" s="26" cm="1">
        <f t="array" ref="BL27">IF(VLOOKUP($Q27,武学奇术!$A:$ZZ,24,FALSE)=1,100%,MIN(40%,$B$10+VLOOKUP($Q27,武学奇术!$A:$ZZ,19,FALSE)+SUM(_xlfn.XLOOKUP(R27:AF27,增益!$A:$A,增益!$S:$S,0)))+$B$12+SUM(_xlfn.XLOOKUP(R27:AF27,增益!$A:$A,增益!$V:$V,0)))*IF(VLOOKUP($Q27,武学奇术!$A:$ZZ,23,FALSE)=1,0,1)</f>
        <v>0.0913</v>
      </c>
      <c r="BM27" s="26" cm="1">
        <f t="array" ref="BM27">1+$B$14+VLOOKUP($Q27,武学奇术!$A:$ZZ,20,FALSE)+SUM(_xlfn.XLOOKUP(R27:AF27,增益!$A:$A,增益!$T:$T,0))</f>
        <v>1.35</v>
      </c>
      <c r="BN27" s="26">
        <f t="shared" si="9"/>
        <v>0.8625</v>
      </c>
      <c r="BO27" s="26">
        <f t="shared" si="10"/>
        <v>0.0462</v>
      </c>
      <c r="BP27" s="26">
        <f>IF(VLOOKUP($Q27,武学奇术!$A:$ZZ,22,FALSE)=1,0,(1-$BI27))*(1-$BL27)</f>
        <v>0</v>
      </c>
      <c r="BQ27" s="26" cm="1">
        <f t="array" ref="BQ27">SUM(_xlfn.XLOOKUP(R27:AF27,增益!$A:$A,增益!$W:$W,0))+$I$5</f>
        <v>0.06</v>
      </c>
    </row>
    <row r="28" spans="1:69">
      <c r="K28" s="38">
        <f t="shared" si="0"/>
        <v>0</v>
      </c>
      <c r="L28" s="38">
        <f>((($AN28+$AO28)/2*$AH28+$AI28)*(1+$AP28)*(1+$AQ28)+(($AS28+$AT28)/2*IF($G$1="鸣金",$AJ28,$AH28)+IF($G$1="鸣金",$AK28*1.5,0))*(1+$AU28)*(1+$AV28)+(($AW28+$AX28)/2*IF($G$1="裂石",$AJ28,$AH28)+IF($G$1="裂石",$AK28*1.5,0))*(1+$AY28)*(1+$AZ28)+(($BA28+$BB28)/2*IF($G$1="牵丝",$AJ28,$AH28)+IF($G$1="牵丝",$AK28*1.5,0))*(1+$BC28)*(1+$BD28)+(($BE28+$BF28)/2*IF($G$1="破竹",$AJ28,$AH28)+IF($G$1="破竹",$AK28*1.5,0))*(1+$BG28)*(1+$BH28))*(1+$AL28)*$BK28*$P28*(1+IF(VLOOKUP($Q28,武学奇术!$A:$ZZ,30,FALSE)="蓄力技",#REF!,0))*(1+$BQ28)</f>
        <v>0</v>
      </c>
      <c r="M28" s="38">
        <f>(($AO28*$AH28+$AI28)*(1+$AP28)*(1+$AQ28)+($AT28*IF($G$1="鸣金",$AJ28,$AH28)+IF($G$1="鸣金",$AK28*1.5,0))*(1+$AU28)*(1+$AV28)+($AX28*IF($G$1="裂石",$AJ28,$AH28)+IF($G$1="裂石",$AK28*1.5,0))*(1+$AY28)*(1+$AZ28)+($BB28*IF($G$1="牵丝",$AJ28,$AH28)+IF($G$1="牵丝",$AK28*1.5,0))*(1+$BC28)*(1+$BD28)+($BF28*IF($G$1="破竹",$AJ28,$AH28)+IF($G$1="破竹",$AK28*1.5,0))*(1+$BG28)*(1+$BH28))*(1+$AL28)*$BM28*$P28*(1+IF(VLOOKUP($Q28,武学奇术!$A:$ZZ,30,FALSE)="蓄力技",#REF!,0))*(1+$BQ28)</f>
        <v>0</v>
      </c>
      <c r="N28" s="38">
        <f>((($AN28+$AO28)/2*$AH28+$AI28)*(1+$AP28)*(1+$AQ28)+(($AS28+$AT28)/2*IF($G$1="鸣金",$AJ28,$AH28)+IF($G$1="鸣金",$AK28*1.5,0))*(1+$AU28)*(1+$AV28)+(($AW28+$AX28)/2*IF($G$1="裂石",$AJ28,$AH28)+IF($G$1="裂石",$AK28*1.5,0))*(1+$AY28)*(1+$AZ28)+(($BA28+$BB28)/2*IF($G$1="牵丝",$AJ28,$AH28)+IF($G$1="牵丝",$AK28*1.5,0))*(1+$BC28)*(1+$BD28)+(($BE28+$BF28)/2*IF($G$1="破竹",$AJ28,$AH28)+IF($G$1="破竹",$AK28*1.5,0))*(1+$BG28)*(1+$BH28))*(1+$AL28)*$P28*(1+IF(VLOOKUP($Q28,武学奇术!$A:$ZZ,30,FALSE)="蓄力技",#REF!,0))*(1+$BQ28)</f>
        <v>0</v>
      </c>
      <c r="O28" s="38">
        <f>((($AN28*$AH28+$AI28)*(1+$AP28)*(1+$AQ28)+($AS28*IF($G$1="鸣金",$AJ28,$AH28)+IF($G$1="鸣金",$AK28*1.5,0))*(1+$AU28)*(1+$AV28)+($AW28*IF($G$1="裂石",$AJ28,$AH28)+IF($G$1="裂石",$AK28*1.5,0))*(1+$AY28)*(1+$AZ28)+($BA28*IF($G$1="牵丝",$AJ28,$AH28)+IF($G$1="牵丝",$AK28*1.5,0))*(1+$BC28)*(1+$BD28)+($BE28*IF($G$1="破竹",$AJ28,$AH28)+IF($G$1="破竹",$AK28*1.5,0))*(1+$BG28)*(1+$BH28))*(1+$AL28))*$P28*(1+IF(VLOOKUP($Q28,武学奇术!$A:$ZZ,30,FALSE)="蓄力技",#REF!,0))*(1+$BQ28)</f>
        <v>0</v>
      </c>
      <c r="P28" s="39">
        <v>1</v>
      </c>
      <c r="Q28" s="40" t="s">
        <v>76</v>
      </c>
      <c r="R28" s="40" t="s">
        <v>76</v>
      </c>
      <c r="S28" s="40" t="s">
        <v>76</v>
      </c>
      <c r="T28" s="40" t="s">
        <v>76</v>
      </c>
      <c r="U28" s="40" t="s">
        <v>76</v>
      </c>
      <c r="V28" s="40" t="s">
        <v>76</v>
      </c>
      <c r="W28" s="40" t="s">
        <v>76</v>
      </c>
      <c r="X28" s="40" t="s">
        <v>76</v>
      </c>
      <c r="Y28" s="40" t="s">
        <v>76</v>
      </c>
      <c r="Z28" s="40" t="s">
        <v>76</v>
      </c>
      <c r="AA28" s="40" t="s">
        <v>76</v>
      </c>
      <c r="AB28" s="40" t="s">
        <v>76</v>
      </c>
      <c r="AC28" s="40" t="s">
        <v>76</v>
      </c>
      <c r="AD28" s="40" t="s">
        <v>76</v>
      </c>
      <c r="AE28" s="40" t="s">
        <v>76</v>
      </c>
      <c r="AF28" s="40" t="s">
        <v>76</v>
      </c>
      <c r="AG28" t="str">
        <f>VLOOKUP($Q28,武学奇术!$A:$ZZ,25,FALSE)</f>
        <v>心法</v>
      </c>
      <c r="AH28" s="26">
        <f>VLOOKUP($Q28,武学奇术!$A:$ZZ,26,FALSE)</f>
        <v>0</v>
      </c>
      <c r="AI28" s="27">
        <f>VLOOKUP($Q28,武学奇术!$A:$ZZ,27,FALSE)*(1+IF(OR($AG28=$F$4,$AG28=$F$5),$B$21,0))</f>
        <v>0</v>
      </c>
      <c r="AJ28" s="26">
        <f>VLOOKUP($Q28,武学奇术!$A:$ZZ,28,FALSE)</f>
        <v>0</v>
      </c>
      <c r="AK28" s="27">
        <f>VLOOKUP($Q28,武学奇术!$A:$ZZ,29,FALSE)*(1+IF(OR($AG28=$F$4,$AG28=$F$5),$B$21,0))</f>
        <v>0</v>
      </c>
      <c r="AL28" s="26" cm="1">
        <f t="array" ref="AL28">$G$3+IFERROR(VLOOKUP($AG28,$F$4:$G$7,2,FALSE),0)+VLOOKUP($Q28,武学奇术!$A:$ZZ,2,FALSE)+SUM(_xlfn.XLOOKUP($R28:$AF28,增益!$A:$A,增益!$B:$B,0))</f>
        <v>0.1842</v>
      </c>
      <c r="AM28" s="26" cm="1">
        <f t="array" ref="AM28">VLOOKUP($Q28,武学奇术!$A:$ZZ,5,FALSE)+SUM(_xlfn.XLOOKUP($R28:$AF28,增益!$A:$A,增益!$E:$E,0))</f>
        <v>0</v>
      </c>
      <c r="AN28" cm="1">
        <f t="array" ref="AN28">$D$10*(1+$AM28)+VLOOKUP($Q28,武学奇术!$A:$ZZ,3,FALSE)+SUM(_xlfn.XLOOKUP($R28:$AF28,增益!$A:$A,增益!$C:$C,0))-$I$2</f>
        <v>3940</v>
      </c>
      <c r="AO28" cm="1">
        <f t="array" ref="AO28">$E$10*(1+$AM28)+VLOOKUP($Q28,武学奇术!$A:$ZZ,4,FALSE)+SUM(_xlfn.XLOOKUP($R28:$AF28,增益!$A:$A,增益!$D:$D,0))-$I$2</f>
        <v>3940</v>
      </c>
      <c r="AP28" s="32" cm="1">
        <f t="array" ref="AP28">IF($F$10-$I$3+VLOOKUP($Q28,武学奇术!$A:$ZZ,6,FALSE)+SUM(_xlfn.XLOOKUP(R28:AF28,增益!$A:$A,增益!$F:$F,0))&gt;0,($F$10-$I$3+VLOOKUP($Q28,武学奇术!$A:$ZZ,6,FALSE)+SUM(_xlfn.XLOOKUP(R28:AF28,增益!$A:$A,增益!$F:$F,0)))/200,($F$10-$I$3+VLOOKUP($Q28,武学奇术!$A:$ZZ,6,FALSE)+SUM(_xlfn.XLOOKUP(R28:AF28,增益!$A:$A,增益!$F:$F,0)))/100)</f>
        <v>0.194</v>
      </c>
      <c r="AQ28" s="32" cm="1">
        <f t="array" ref="AQ28">$G$10+VLOOKUP($Q28,武学奇术!$A:$ZZ,7,FALSE)+SUM(_xlfn.XLOOKUP(R28:AF28,增益!$A:$A,增益!$G:$G,0))</f>
        <v>0</v>
      </c>
      <c r="AR28" s="26" cm="1">
        <f t="array" ref="AR28">VLOOKUP($Q28,武学奇术!$A:$ZZ,8,FALSE)+SUM(_xlfn.XLOOKUP(R28:AF28,增益!$A:$A,增益!$H:$H,0))</f>
        <v>0</v>
      </c>
      <c r="AS28">
        <f t="shared" si="1"/>
        <v>0</v>
      </c>
      <c r="AT28">
        <f t="shared" si="2"/>
        <v>0</v>
      </c>
      <c r="AU28" s="32" cm="1">
        <f t="array" ref="AU28">IF($F$11-$I$4+VLOOKUP($Q28,武学奇术!$A:$ZZ,9,FALSE)+SUM(_xlfn.XLOOKUP(R28:AF28,增益!$A:$A,增益!$I:$I,0))&gt;0,($F$11-$I$4+VLOOKUP($Q28,武学奇术!$A:$ZZ,9,FALSE)+SUM(_xlfn.XLOOKUP(R28:AF28,增益!$A:$A,增益!$I:$I,0)))/200,($F$11-$I$4+VLOOKUP($Q28,武学奇术!$A:$ZZ,9,FALSE)+SUM(_xlfn.XLOOKUP(R28:AF28,增益!$A:$A,增益!$I:$I,0)))/100)</f>
        <v>-0.3</v>
      </c>
      <c r="AV28" s="32" cm="1">
        <f t="array" ref="AV28">$G$11+VLOOKUP($Q28,武学奇术!$A:$ZZ,10,FALSE)+SUM(_xlfn.XLOOKUP(R28:AF28,增益!$A:$A,增益!$J:$J,0))</f>
        <v>0</v>
      </c>
      <c r="AW28">
        <f t="shared" si="3"/>
        <v>0</v>
      </c>
      <c r="AX28">
        <f t="shared" si="4"/>
        <v>0</v>
      </c>
      <c r="AY28" s="32" cm="1">
        <f t="array" ref="AY28">IF($F$12-$I$4+VLOOKUP($Q28,武学奇术!$A:$ZZ,11,FALSE)+SUM(_xlfn.XLOOKUP(R28:AF28,增益!$A:$A,增益!$K:$K,0))&gt;0,($F$12-$I$4+VLOOKUP($Q28,武学奇术!$A:$ZZ,11,FALSE)+SUM(_xlfn.XLOOKUP(R28:AF28,增益!$A:$A,增益!$K:$K,0)))/200,($F$12-$I$4+VLOOKUP($Q28,武学奇术!$A:$ZZ,11,FALSE)+SUM(_xlfn.XLOOKUP(R28:AF28,增益!$A:$A,增益!$K:$K,0)))/100)</f>
        <v>-0.3</v>
      </c>
      <c r="AZ28" s="32" cm="1">
        <f t="array" ref="AZ28">$G$12+VLOOKUP($Q28,武学奇术!$A:$ZZ,12,FALSE)+SUM(_xlfn.XLOOKUP(R28:AF28,增益!$A:$A,增益!$L:$L,0))</f>
        <v>0</v>
      </c>
      <c r="BA28">
        <f t="shared" si="5"/>
        <v>697.4</v>
      </c>
      <c r="BB28">
        <f t="shared" si="6"/>
        <v>1805</v>
      </c>
      <c r="BC28" s="32" cm="1">
        <f t="array" ref="BC28">IF($F$13-$I$4+VLOOKUP($Q28,武学奇术!$A:$ZZ,13,FALSE)+SUM(_xlfn.XLOOKUP(R28:AF28,增益!$A:$A,增益!$M:$M,0))&gt;0,($F$13-$I$4+VLOOKUP($Q28,武学奇术!$A:$ZZ,13,FALSE)+SUM(_xlfn.XLOOKUP(R28:AF28,增益!$A:$A,增益!$K:$K,0)))/200,($F$13-$I$4+VLOOKUP($Q28,武学奇术!$A:$ZZ,13,FALSE)+SUM(_xlfn.XLOOKUP(R28:AF28,增益!$A:$A,增益!$M:$M,0)))/100)</f>
        <v>0</v>
      </c>
      <c r="BD28" s="32" cm="1">
        <f t="array" ref="BD28">$G$13+VLOOKUP($Q28,武学奇术!$A:$ZZ,14,FALSE)+SUM(_xlfn.XLOOKUP(R28:AF28,增益!$A:$A,增益!$N:$N,0))</f>
        <v>0.15</v>
      </c>
      <c r="BE28">
        <f t="shared" si="7"/>
        <v>0</v>
      </c>
      <c r="BF28">
        <f t="shared" si="8"/>
        <v>0</v>
      </c>
      <c r="BG28" s="32" cm="1">
        <f t="array" ref="BG28">IF($F$14-$I$4+VLOOKUP($Q28,武学奇术!$A:$ZZ,15,FALSE)+SUM(_xlfn.XLOOKUP(R28:AF28,增益!$A:$A,增益!$O:$O,0))&gt;0,($F$14-$I$4+VLOOKUP($Q28,武学奇术!$A:$ZZ,15,FALSE)+SUM(_xlfn.XLOOKUP(R28:AF28,增益!$A:$A,增益!$O:$O,0)))/200,($F$14-$I$4+VLOOKUP($Q28,武学奇术!$A:$ZZ,15,FALSE)+SUM(_xlfn.XLOOKUP(R28:AF28,增益!$A:$A,增益!$O:$O,0)))/100)</f>
        <v>-0.3</v>
      </c>
      <c r="BH28" s="32" cm="1">
        <f t="array" ref="BH28">$G$14+VLOOKUP($Q28,武学奇术!$A:$ZZ,16,FALSE)+SUM(_xlfn.XLOOKUP(R28:AF28,增益!$A:$A,增益!$P:$P,0))</f>
        <v>0</v>
      </c>
      <c r="BI28" s="26">
        <f>MIN(IF(VLOOKUP($Q28,武学奇术!$A:$ZZ,23,FALSE)=1,100%,$B$8),100%)</f>
        <v>1</v>
      </c>
      <c r="BJ28" s="26" cm="1">
        <f t="array" ref="BJ28">IF(VLOOKUP($Q28,武学奇术!$A:$ZZ,23,FALSE)=1,100%,MIN(80%,$B$9+VLOOKUP($Q28,武学奇术!$A:$ZZ,17,FALSE)+SUM(_xlfn.XLOOKUP(R28:AF28,增益!$A:$A,增益!$Q:$Q,0)))+$B$11+SUM(_xlfn.XLOOKUP(R28:AF28,增益!$A:$A,增益!$U:$U,0)))*IF(VLOOKUP($Q28,武学奇术!$A:$ZZ,24,FALSE)=1,0,1)</f>
        <v>0.8625</v>
      </c>
      <c r="BK28" s="26" cm="1">
        <f t="array" ref="BK28">1+$B$13+VLOOKUP($Q28,武学奇术!$A:$ZZ,18,FALSE)+SUM(_xlfn.XLOOKUP(R28:AF28,增益!$A:$A,增益!$R:$R,0))</f>
        <v>1.5</v>
      </c>
      <c r="BL28" s="26" cm="1">
        <f t="array" ref="BL28">IF(VLOOKUP($Q28,武学奇术!$A:$ZZ,24,FALSE)=1,100%,MIN(40%,$B$10+VLOOKUP($Q28,武学奇术!$A:$ZZ,19,FALSE)+SUM(_xlfn.XLOOKUP(R28:AF28,增益!$A:$A,增益!$S:$S,0)))+$B$12+SUM(_xlfn.XLOOKUP(R28:AF28,增益!$A:$A,增益!$V:$V,0)))*IF(VLOOKUP($Q28,武学奇术!$A:$ZZ,23,FALSE)=1,0,1)</f>
        <v>0.0913</v>
      </c>
      <c r="BM28" s="26" cm="1">
        <f t="array" ref="BM28">1+$B$14+VLOOKUP($Q28,武学奇术!$A:$ZZ,20,FALSE)+SUM(_xlfn.XLOOKUP(R28:AF28,增益!$A:$A,增益!$T:$T,0))</f>
        <v>1.35</v>
      </c>
      <c r="BN28" s="26">
        <f t="shared" si="9"/>
        <v>0.8625</v>
      </c>
      <c r="BO28" s="26">
        <f t="shared" si="10"/>
        <v>0.0462</v>
      </c>
      <c r="BP28" s="26">
        <f>IF(VLOOKUP($Q28,武学奇术!$A:$ZZ,22,FALSE)=1,0,(1-$BI28))*(1-$BL28)</f>
        <v>0</v>
      </c>
      <c r="BQ28" s="26" cm="1">
        <f t="array" ref="BQ28">SUM(_xlfn.XLOOKUP(R28:AF28,增益!$A:$A,增益!$W:$W,0))+$I$5</f>
        <v>0.06</v>
      </c>
    </row>
    <row r="29" spans="1:69">
      <c r="K29" s="38">
        <f t="shared" si="0"/>
        <v>0</v>
      </c>
      <c r="L29" s="38">
        <f>((($AN29+$AO29)/2*$AH29+$AI29)*(1+$AP29)*(1+$AQ29)+(($AS29+$AT29)/2*IF($G$1="鸣金",$AJ29,$AH29)+IF($G$1="鸣金",$AK29*1.5,0))*(1+$AU29)*(1+$AV29)+(($AW29+$AX29)/2*IF($G$1="裂石",$AJ29,$AH29)+IF($G$1="裂石",$AK29*1.5,0))*(1+$AY29)*(1+$AZ29)+(($BA29+$BB29)/2*IF($G$1="牵丝",$AJ29,$AH29)+IF($G$1="牵丝",$AK29*1.5,0))*(1+$BC29)*(1+$BD29)+(($BE29+$BF29)/2*IF($G$1="破竹",$AJ29,$AH29)+IF($G$1="破竹",$AK29*1.5,0))*(1+$BG29)*(1+$BH29))*(1+$AL29)*$BK29*$P29*(1+IF(VLOOKUP($Q29,武学奇术!$A:$ZZ,30,FALSE)="蓄力技",#REF!,0))*(1+$BQ29)</f>
        <v>0</v>
      </c>
      <c r="M29" s="38">
        <f>(($AO29*$AH29+$AI29)*(1+$AP29)*(1+$AQ29)+($AT29*IF($G$1="鸣金",$AJ29,$AH29)+IF($G$1="鸣金",$AK29*1.5,0))*(1+$AU29)*(1+$AV29)+($AX29*IF($G$1="裂石",$AJ29,$AH29)+IF($G$1="裂石",$AK29*1.5,0))*(1+$AY29)*(1+$AZ29)+($BB29*IF($G$1="牵丝",$AJ29,$AH29)+IF($G$1="牵丝",$AK29*1.5,0))*(1+$BC29)*(1+$BD29)+($BF29*IF($G$1="破竹",$AJ29,$AH29)+IF($G$1="破竹",$AK29*1.5,0))*(1+$BG29)*(1+$BH29))*(1+$AL29)*$BM29*$P29*(1+IF(VLOOKUP($Q29,武学奇术!$A:$ZZ,30,FALSE)="蓄力技",#REF!,0))*(1+$BQ29)</f>
        <v>0</v>
      </c>
      <c r="N29" s="38">
        <f>((($AN29+$AO29)/2*$AH29+$AI29)*(1+$AP29)*(1+$AQ29)+(($AS29+$AT29)/2*IF($G$1="鸣金",$AJ29,$AH29)+IF($G$1="鸣金",$AK29*1.5,0))*(1+$AU29)*(1+$AV29)+(($AW29+$AX29)/2*IF($G$1="裂石",$AJ29,$AH29)+IF($G$1="裂石",$AK29*1.5,0))*(1+$AY29)*(1+$AZ29)+(($BA29+$BB29)/2*IF($G$1="牵丝",$AJ29,$AH29)+IF($G$1="牵丝",$AK29*1.5,0))*(1+$BC29)*(1+$BD29)+(($BE29+$BF29)/2*IF($G$1="破竹",$AJ29,$AH29)+IF($G$1="破竹",$AK29*1.5,0))*(1+$BG29)*(1+$BH29))*(1+$AL29)*$P29*(1+IF(VLOOKUP($Q29,武学奇术!$A:$ZZ,30,FALSE)="蓄力技",#REF!,0))*(1+$BQ29)</f>
        <v>0</v>
      </c>
      <c r="O29" s="38">
        <f>((($AN29*$AH29+$AI29)*(1+$AP29)*(1+$AQ29)+($AS29*IF($G$1="鸣金",$AJ29,$AH29)+IF($G$1="鸣金",$AK29*1.5,0))*(1+$AU29)*(1+$AV29)+($AW29*IF($G$1="裂石",$AJ29,$AH29)+IF($G$1="裂石",$AK29*1.5,0))*(1+$AY29)*(1+$AZ29)+($BA29*IF($G$1="牵丝",$AJ29,$AH29)+IF($G$1="牵丝",$AK29*1.5,0))*(1+$BC29)*(1+$BD29)+($BE29*IF($G$1="破竹",$AJ29,$AH29)+IF($G$1="破竹",$AK29*1.5,0))*(1+$BG29)*(1+$BH29))*(1+$AL29))*$P29*(1+IF(VLOOKUP($Q29,武学奇术!$A:$ZZ,30,FALSE)="蓄力技",#REF!,0))*(1+$BQ29)</f>
        <v>0</v>
      </c>
      <c r="P29" s="39">
        <v>1</v>
      </c>
      <c r="Q29" s="40" t="s">
        <v>76</v>
      </c>
      <c r="R29" s="40" t="s">
        <v>76</v>
      </c>
      <c r="S29" s="40" t="s">
        <v>76</v>
      </c>
      <c r="T29" s="40" t="s">
        <v>76</v>
      </c>
      <c r="U29" s="40" t="s">
        <v>76</v>
      </c>
      <c r="V29" s="40" t="s">
        <v>76</v>
      </c>
      <c r="W29" s="40" t="s">
        <v>76</v>
      </c>
      <c r="X29" s="40" t="s">
        <v>76</v>
      </c>
      <c r="Y29" s="40" t="s">
        <v>76</v>
      </c>
      <c r="Z29" s="40" t="s">
        <v>76</v>
      </c>
      <c r="AA29" s="40" t="s">
        <v>76</v>
      </c>
      <c r="AB29" s="40" t="s">
        <v>76</v>
      </c>
      <c r="AC29" s="40" t="s">
        <v>76</v>
      </c>
      <c r="AD29" s="40" t="s">
        <v>76</v>
      </c>
      <c r="AE29" s="40" t="s">
        <v>76</v>
      </c>
      <c r="AF29" s="40" t="s">
        <v>76</v>
      </c>
      <c r="AG29" t="str">
        <f>VLOOKUP($Q29,武学奇术!$A:$ZZ,25,FALSE)</f>
        <v>心法</v>
      </c>
      <c r="AH29" s="26">
        <f>VLOOKUP($Q29,武学奇术!$A:$ZZ,26,FALSE)</f>
        <v>0</v>
      </c>
      <c r="AI29" s="27">
        <f>VLOOKUP($Q29,武学奇术!$A:$ZZ,27,FALSE)*(1+IF(OR($AG29=$F$4,$AG29=$F$5),$B$21,0))</f>
        <v>0</v>
      </c>
      <c r="AJ29" s="26">
        <f>VLOOKUP($Q29,武学奇术!$A:$ZZ,28,FALSE)</f>
        <v>0</v>
      </c>
      <c r="AK29" s="27">
        <f>VLOOKUP($Q29,武学奇术!$A:$ZZ,29,FALSE)*(1+IF(OR($AG29=$F$4,$AG29=$F$5),$B$21,0))</f>
        <v>0</v>
      </c>
      <c r="AL29" s="26" cm="1">
        <f t="array" ref="AL29">$G$3+IFERROR(VLOOKUP($AG29,$F$4:$G$7,2,FALSE),0)+VLOOKUP($Q29,武学奇术!$A:$ZZ,2,FALSE)+SUM(_xlfn.XLOOKUP($R29:$AF29,增益!$A:$A,增益!$B:$B,0))</f>
        <v>0.1842</v>
      </c>
      <c r="AM29" s="26" cm="1">
        <f t="array" ref="AM29">VLOOKUP($Q29,武学奇术!$A:$ZZ,5,FALSE)+SUM(_xlfn.XLOOKUP($R29:$AF29,增益!$A:$A,增益!$E:$E,0))</f>
        <v>0</v>
      </c>
      <c r="AN29" cm="1">
        <f t="array" ref="AN29">$D$10*(1+$AM29)+VLOOKUP($Q29,武学奇术!$A:$ZZ,3,FALSE)+SUM(_xlfn.XLOOKUP($R29:$AF29,增益!$A:$A,增益!$C:$C,0))-$I$2</f>
        <v>3940</v>
      </c>
      <c r="AO29" cm="1">
        <f t="array" ref="AO29">$E$10*(1+$AM29)+VLOOKUP($Q29,武学奇术!$A:$ZZ,4,FALSE)+SUM(_xlfn.XLOOKUP($R29:$AF29,增益!$A:$A,增益!$D:$D,0))-$I$2</f>
        <v>3940</v>
      </c>
      <c r="AP29" s="32" cm="1">
        <f t="array" ref="AP29">IF($F$10-$I$3+VLOOKUP($Q29,武学奇术!$A:$ZZ,6,FALSE)+SUM(_xlfn.XLOOKUP(R29:AF29,增益!$A:$A,增益!$F:$F,0))&gt;0,($F$10-$I$3+VLOOKUP($Q29,武学奇术!$A:$ZZ,6,FALSE)+SUM(_xlfn.XLOOKUP(R29:AF29,增益!$A:$A,增益!$F:$F,0)))/200,($F$10-$I$3+VLOOKUP($Q29,武学奇术!$A:$ZZ,6,FALSE)+SUM(_xlfn.XLOOKUP(R29:AF29,增益!$A:$A,增益!$F:$F,0)))/100)</f>
        <v>0.194</v>
      </c>
      <c r="AQ29" s="32" cm="1">
        <f t="array" ref="AQ29">$G$10+VLOOKUP($Q29,武学奇术!$A:$ZZ,7,FALSE)+SUM(_xlfn.XLOOKUP(R29:AF29,增益!$A:$A,增益!$G:$G,0))</f>
        <v>0</v>
      </c>
      <c r="AR29" s="26" cm="1">
        <f t="array" ref="AR29">VLOOKUP($Q29,武学奇术!$A:$ZZ,8,FALSE)+SUM(_xlfn.XLOOKUP(R29:AF29,增益!$A:$A,增益!$H:$H,0))</f>
        <v>0</v>
      </c>
      <c r="AS29">
        <f t="shared" si="1"/>
        <v>0</v>
      </c>
      <c r="AT29">
        <f t="shared" si="2"/>
        <v>0</v>
      </c>
      <c r="AU29" s="32" cm="1">
        <f t="array" ref="AU29">IF($F$11-$I$4+VLOOKUP($Q29,武学奇术!$A:$ZZ,9,FALSE)+SUM(_xlfn.XLOOKUP(R29:AF29,增益!$A:$A,增益!$I:$I,0))&gt;0,($F$11-$I$4+VLOOKUP($Q29,武学奇术!$A:$ZZ,9,FALSE)+SUM(_xlfn.XLOOKUP(R29:AF29,增益!$A:$A,增益!$I:$I,0)))/200,($F$11-$I$4+VLOOKUP($Q29,武学奇术!$A:$ZZ,9,FALSE)+SUM(_xlfn.XLOOKUP(R29:AF29,增益!$A:$A,增益!$I:$I,0)))/100)</f>
        <v>-0.3</v>
      </c>
      <c r="AV29" s="32" cm="1">
        <f t="array" ref="AV29">$G$11+VLOOKUP($Q29,武学奇术!$A:$ZZ,10,FALSE)+SUM(_xlfn.XLOOKUP(R29:AF29,增益!$A:$A,增益!$J:$J,0))</f>
        <v>0</v>
      </c>
      <c r="AW29">
        <f t="shared" si="3"/>
        <v>0</v>
      </c>
      <c r="AX29">
        <f t="shared" si="4"/>
        <v>0</v>
      </c>
      <c r="AY29" s="32" cm="1">
        <f t="array" ref="AY29">IF($F$12-$I$4+VLOOKUP($Q29,武学奇术!$A:$ZZ,11,FALSE)+SUM(_xlfn.XLOOKUP(R29:AF29,增益!$A:$A,增益!$K:$K,0))&gt;0,($F$12-$I$4+VLOOKUP($Q29,武学奇术!$A:$ZZ,11,FALSE)+SUM(_xlfn.XLOOKUP(R29:AF29,增益!$A:$A,增益!$K:$K,0)))/200,($F$12-$I$4+VLOOKUP($Q29,武学奇术!$A:$ZZ,11,FALSE)+SUM(_xlfn.XLOOKUP(R29:AF29,增益!$A:$A,增益!$K:$K,0)))/100)</f>
        <v>-0.3</v>
      </c>
      <c r="AZ29" s="32" cm="1">
        <f t="array" ref="AZ29">$G$12+VLOOKUP($Q29,武学奇术!$A:$ZZ,12,FALSE)+SUM(_xlfn.XLOOKUP(R29:AF29,增益!$A:$A,增益!$L:$L,0))</f>
        <v>0</v>
      </c>
      <c r="BA29">
        <f t="shared" si="5"/>
        <v>697.4</v>
      </c>
      <c r="BB29">
        <f t="shared" si="6"/>
        <v>1805</v>
      </c>
      <c r="BC29" s="32" cm="1">
        <f t="array" ref="BC29">IF($F$13-$I$4+VLOOKUP($Q29,武学奇术!$A:$ZZ,13,FALSE)+SUM(_xlfn.XLOOKUP(R29:AF29,增益!$A:$A,增益!$M:$M,0))&gt;0,($F$13-$I$4+VLOOKUP($Q29,武学奇术!$A:$ZZ,13,FALSE)+SUM(_xlfn.XLOOKUP(R29:AF29,增益!$A:$A,增益!$K:$K,0)))/200,($F$13-$I$4+VLOOKUP($Q29,武学奇术!$A:$ZZ,13,FALSE)+SUM(_xlfn.XLOOKUP(R29:AF29,增益!$A:$A,增益!$M:$M,0)))/100)</f>
        <v>0</v>
      </c>
      <c r="BD29" s="32" cm="1">
        <f t="array" ref="BD29">$G$13+VLOOKUP($Q29,武学奇术!$A:$ZZ,14,FALSE)+SUM(_xlfn.XLOOKUP(R29:AF29,增益!$A:$A,增益!$N:$N,0))</f>
        <v>0.15</v>
      </c>
      <c r="BE29">
        <f t="shared" si="7"/>
        <v>0</v>
      </c>
      <c r="BF29">
        <f t="shared" si="8"/>
        <v>0</v>
      </c>
      <c r="BG29" s="32" cm="1">
        <f t="array" ref="BG29">IF($F$14-$I$4+VLOOKUP($Q29,武学奇术!$A:$ZZ,15,FALSE)+SUM(_xlfn.XLOOKUP(R29:AF29,增益!$A:$A,增益!$O:$O,0))&gt;0,($F$14-$I$4+VLOOKUP($Q29,武学奇术!$A:$ZZ,15,FALSE)+SUM(_xlfn.XLOOKUP(R29:AF29,增益!$A:$A,增益!$O:$O,0)))/200,($F$14-$I$4+VLOOKUP($Q29,武学奇术!$A:$ZZ,15,FALSE)+SUM(_xlfn.XLOOKUP(R29:AF29,增益!$A:$A,增益!$O:$O,0)))/100)</f>
        <v>-0.3</v>
      </c>
      <c r="BH29" s="32" cm="1">
        <f t="array" ref="BH29">$G$14+VLOOKUP($Q29,武学奇术!$A:$ZZ,16,FALSE)+SUM(_xlfn.XLOOKUP(R29:AF29,增益!$A:$A,增益!$P:$P,0))</f>
        <v>0</v>
      </c>
      <c r="BI29" s="26">
        <f>MIN(IF(VLOOKUP($Q29,武学奇术!$A:$ZZ,23,FALSE)=1,100%,$B$8),100%)</f>
        <v>1</v>
      </c>
      <c r="BJ29" s="26" cm="1">
        <f t="array" ref="BJ29">IF(VLOOKUP($Q29,武学奇术!$A:$ZZ,23,FALSE)=1,100%,MIN(80%,$B$9+VLOOKUP($Q29,武学奇术!$A:$ZZ,17,FALSE)+SUM(_xlfn.XLOOKUP(R29:AF29,增益!$A:$A,增益!$Q:$Q,0)))+$B$11+SUM(_xlfn.XLOOKUP(R29:AF29,增益!$A:$A,增益!$U:$U,0)))*IF(VLOOKUP($Q29,武学奇术!$A:$ZZ,24,FALSE)=1,0,1)</f>
        <v>0.8625</v>
      </c>
      <c r="BK29" s="26" cm="1">
        <f t="array" ref="BK29">1+$B$13+VLOOKUP($Q29,武学奇术!$A:$ZZ,18,FALSE)+SUM(_xlfn.XLOOKUP(R29:AF29,增益!$A:$A,增益!$R:$R,0))</f>
        <v>1.5</v>
      </c>
      <c r="BL29" s="26" cm="1">
        <f t="array" ref="BL29">IF(VLOOKUP($Q29,武学奇术!$A:$ZZ,24,FALSE)=1,100%,MIN(40%,$B$10+VLOOKUP($Q29,武学奇术!$A:$ZZ,19,FALSE)+SUM(_xlfn.XLOOKUP(R29:AF29,增益!$A:$A,增益!$S:$S,0)))+$B$12+SUM(_xlfn.XLOOKUP(R29:AF29,增益!$A:$A,增益!$V:$V,0)))*IF(VLOOKUP($Q29,武学奇术!$A:$ZZ,23,FALSE)=1,0,1)</f>
        <v>0.0913</v>
      </c>
      <c r="BM29" s="26" cm="1">
        <f t="array" ref="BM29">1+$B$14+VLOOKUP($Q29,武学奇术!$A:$ZZ,20,FALSE)+SUM(_xlfn.XLOOKUP(R29:AF29,增益!$A:$A,增益!$T:$T,0))</f>
        <v>1.35</v>
      </c>
      <c r="BN29" s="26">
        <f t="shared" si="9"/>
        <v>0.8625</v>
      </c>
      <c r="BO29" s="26">
        <f t="shared" si="10"/>
        <v>0.0462</v>
      </c>
      <c r="BP29" s="26">
        <f>IF(VLOOKUP($Q29,武学奇术!$A:$ZZ,22,FALSE)=1,0,(1-$BI29))*(1-$BL29)</f>
        <v>0</v>
      </c>
      <c r="BQ29" s="26" cm="1">
        <f t="array" ref="BQ29">SUM(_xlfn.XLOOKUP(R29:AF29,增益!$A:$A,增益!$W:$W,0))+$I$5</f>
        <v>0.06</v>
      </c>
    </row>
    <row r="30" spans="1:69">
      <c r="K30" s="38">
        <f t="shared" si="0"/>
        <v>0</v>
      </c>
      <c r="L30" s="38">
        <f>((($AN30+$AO30)/2*$AH30+$AI30)*(1+$AP30)*(1+$AQ30)+(($AS30+$AT30)/2*IF($G$1="鸣金",$AJ30,$AH30)+IF($G$1="鸣金",$AK30*1.5,0))*(1+$AU30)*(1+$AV30)+(($AW30+$AX30)/2*IF($G$1="裂石",$AJ30,$AH30)+IF($G$1="裂石",$AK30*1.5,0))*(1+$AY30)*(1+$AZ30)+(($BA30+$BB30)/2*IF($G$1="牵丝",$AJ30,$AH30)+IF($G$1="牵丝",$AK30*1.5,0))*(1+$BC30)*(1+$BD30)+(($BE30+$BF30)/2*IF($G$1="破竹",$AJ30,$AH30)+IF($G$1="破竹",$AK30*1.5,0))*(1+$BG30)*(1+$BH30))*(1+$AL30)*$BK30*$P30*(1+IF(VLOOKUP($Q30,武学奇术!$A:$ZZ,30,FALSE)="蓄力技",#REF!,0))*(1+$BQ30)</f>
        <v>0</v>
      </c>
      <c r="M30" s="38">
        <f>(($AO30*$AH30+$AI30)*(1+$AP30)*(1+$AQ30)+($AT30*IF($G$1="鸣金",$AJ30,$AH30)+IF($G$1="鸣金",$AK30*1.5,0))*(1+$AU30)*(1+$AV30)+($AX30*IF($G$1="裂石",$AJ30,$AH30)+IF($G$1="裂石",$AK30*1.5,0))*(1+$AY30)*(1+$AZ30)+($BB30*IF($G$1="牵丝",$AJ30,$AH30)+IF($G$1="牵丝",$AK30*1.5,0))*(1+$BC30)*(1+$BD30)+($BF30*IF($G$1="破竹",$AJ30,$AH30)+IF($G$1="破竹",$AK30*1.5,0))*(1+$BG30)*(1+$BH30))*(1+$AL30)*$BM30*$P30*(1+IF(VLOOKUP($Q30,武学奇术!$A:$ZZ,30,FALSE)="蓄力技",#REF!,0))*(1+$BQ30)</f>
        <v>0</v>
      </c>
      <c r="N30" s="38">
        <f>((($AN30+$AO30)/2*$AH30+$AI30)*(1+$AP30)*(1+$AQ30)+(($AS30+$AT30)/2*IF($G$1="鸣金",$AJ30,$AH30)+IF($G$1="鸣金",$AK30*1.5,0))*(1+$AU30)*(1+$AV30)+(($AW30+$AX30)/2*IF($G$1="裂石",$AJ30,$AH30)+IF($G$1="裂石",$AK30*1.5,0))*(1+$AY30)*(1+$AZ30)+(($BA30+$BB30)/2*IF($G$1="牵丝",$AJ30,$AH30)+IF($G$1="牵丝",$AK30*1.5,0))*(1+$BC30)*(1+$BD30)+(($BE30+$BF30)/2*IF($G$1="破竹",$AJ30,$AH30)+IF($G$1="破竹",$AK30*1.5,0))*(1+$BG30)*(1+$BH30))*(1+$AL30)*$P30*(1+IF(VLOOKUP($Q30,武学奇术!$A:$ZZ,30,FALSE)="蓄力技",#REF!,0))*(1+$BQ30)</f>
        <v>0</v>
      </c>
      <c r="O30" s="38">
        <f>((($AN30*$AH30+$AI30)*(1+$AP30)*(1+$AQ30)+($AS30*IF($G$1="鸣金",$AJ30,$AH30)+IF($G$1="鸣金",$AK30*1.5,0))*(1+$AU30)*(1+$AV30)+($AW30*IF($G$1="裂石",$AJ30,$AH30)+IF($G$1="裂石",$AK30*1.5,0))*(1+$AY30)*(1+$AZ30)+($BA30*IF($G$1="牵丝",$AJ30,$AH30)+IF($G$1="牵丝",$AK30*1.5,0))*(1+$BC30)*(1+$BD30)+($BE30*IF($G$1="破竹",$AJ30,$AH30)+IF($G$1="破竹",$AK30*1.5,0))*(1+$BG30)*(1+$BH30))*(1+$AL30))*$P30*(1+IF(VLOOKUP($Q30,武学奇术!$A:$ZZ,30,FALSE)="蓄力技",#REF!,0))*(1+$BQ30)</f>
        <v>0</v>
      </c>
      <c r="P30" s="39">
        <v>1</v>
      </c>
      <c r="Q30" s="40" t="s">
        <v>76</v>
      </c>
      <c r="R30" s="40" t="s">
        <v>76</v>
      </c>
      <c r="S30" s="40" t="s">
        <v>76</v>
      </c>
      <c r="T30" s="40" t="s">
        <v>76</v>
      </c>
      <c r="U30" s="40" t="s">
        <v>76</v>
      </c>
      <c r="V30" s="40" t="s">
        <v>76</v>
      </c>
      <c r="W30" s="40" t="s">
        <v>76</v>
      </c>
      <c r="X30" s="40" t="s">
        <v>76</v>
      </c>
      <c r="Y30" s="40" t="s">
        <v>76</v>
      </c>
      <c r="Z30" s="40" t="s">
        <v>76</v>
      </c>
      <c r="AA30" s="40" t="s">
        <v>76</v>
      </c>
      <c r="AB30" s="40" t="s">
        <v>76</v>
      </c>
      <c r="AC30" s="40" t="s">
        <v>76</v>
      </c>
      <c r="AD30" s="40" t="s">
        <v>76</v>
      </c>
      <c r="AE30" s="40" t="s">
        <v>76</v>
      </c>
      <c r="AF30" s="40" t="s">
        <v>76</v>
      </c>
      <c r="AG30" t="str">
        <f>VLOOKUP($Q30,武学奇术!$A:$ZZ,25,FALSE)</f>
        <v>心法</v>
      </c>
      <c r="AH30" s="26">
        <f>VLOOKUP($Q30,武学奇术!$A:$ZZ,26,FALSE)</f>
        <v>0</v>
      </c>
      <c r="AI30" s="27">
        <f>VLOOKUP($Q30,武学奇术!$A:$ZZ,27,FALSE)*(1+IF(OR($AG30=$F$4,$AG30=$F$5),$B$21,0))</f>
        <v>0</v>
      </c>
      <c r="AJ30" s="26">
        <f>VLOOKUP($Q30,武学奇术!$A:$ZZ,28,FALSE)</f>
        <v>0</v>
      </c>
      <c r="AK30" s="27">
        <f>VLOOKUP($Q30,武学奇术!$A:$ZZ,29,FALSE)*(1+IF(OR($AG30=$F$4,$AG30=$F$5),$B$21,0))</f>
        <v>0</v>
      </c>
      <c r="AL30" s="26" cm="1">
        <f t="array" ref="AL30">$G$3+IFERROR(VLOOKUP($AG30,$F$4:$G$7,2,FALSE),0)+VLOOKUP($Q30,武学奇术!$A:$ZZ,2,FALSE)+SUM(_xlfn.XLOOKUP($R30:$AF30,增益!$A:$A,增益!$B:$B,0))</f>
        <v>0.1842</v>
      </c>
      <c r="AM30" s="26" cm="1">
        <f t="array" ref="AM30">VLOOKUP($Q30,武学奇术!$A:$ZZ,5,FALSE)+SUM(_xlfn.XLOOKUP($R30:$AF30,增益!$A:$A,增益!$E:$E,0))</f>
        <v>0</v>
      </c>
      <c r="AN30" cm="1">
        <f t="array" ref="AN30">$D$10*(1+$AM30)+VLOOKUP($Q30,武学奇术!$A:$ZZ,3,FALSE)+SUM(_xlfn.XLOOKUP($R30:$AF30,增益!$A:$A,增益!$C:$C,0))-$I$2</f>
        <v>3940</v>
      </c>
      <c r="AO30" cm="1">
        <f t="array" ref="AO30">$E$10*(1+$AM30)+VLOOKUP($Q30,武学奇术!$A:$ZZ,4,FALSE)+SUM(_xlfn.XLOOKUP($R30:$AF30,增益!$A:$A,增益!$D:$D,0))-$I$2</f>
        <v>3940</v>
      </c>
      <c r="AP30" s="32" cm="1">
        <f t="array" ref="AP30">IF($F$10-$I$3+VLOOKUP($Q30,武学奇术!$A:$ZZ,6,FALSE)+SUM(_xlfn.XLOOKUP(R30:AF30,增益!$A:$A,增益!$F:$F,0))&gt;0,($F$10-$I$3+VLOOKUP($Q30,武学奇术!$A:$ZZ,6,FALSE)+SUM(_xlfn.XLOOKUP(R30:AF30,增益!$A:$A,增益!$F:$F,0)))/200,($F$10-$I$3+VLOOKUP($Q30,武学奇术!$A:$ZZ,6,FALSE)+SUM(_xlfn.XLOOKUP(R30:AF30,增益!$A:$A,增益!$F:$F,0)))/100)</f>
        <v>0.194</v>
      </c>
      <c r="AQ30" s="32" cm="1">
        <f t="array" ref="AQ30">$G$10+VLOOKUP($Q30,武学奇术!$A:$ZZ,7,FALSE)+SUM(_xlfn.XLOOKUP(R30:AF30,增益!$A:$A,增益!$G:$G,0))</f>
        <v>0</v>
      </c>
      <c r="AR30" s="26" cm="1">
        <f t="array" ref="AR30">VLOOKUP($Q30,武学奇术!$A:$ZZ,8,FALSE)+SUM(_xlfn.XLOOKUP(R30:AF30,增益!$A:$A,增益!$H:$H,0))</f>
        <v>0</v>
      </c>
      <c r="AS30">
        <f t="shared" si="1"/>
        <v>0</v>
      </c>
      <c r="AT30">
        <f t="shared" si="2"/>
        <v>0</v>
      </c>
      <c r="AU30" s="32" cm="1">
        <f t="array" ref="AU30">IF($F$11-$I$4+VLOOKUP($Q30,武学奇术!$A:$ZZ,9,FALSE)+SUM(_xlfn.XLOOKUP(R30:AF30,增益!$A:$A,增益!$I:$I,0))&gt;0,($F$11-$I$4+VLOOKUP($Q30,武学奇术!$A:$ZZ,9,FALSE)+SUM(_xlfn.XLOOKUP(R30:AF30,增益!$A:$A,增益!$I:$I,0)))/200,($F$11-$I$4+VLOOKUP($Q30,武学奇术!$A:$ZZ,9,FALSE)+SUM(_xlfn.XLOOKUP(R30:AF30,增益!$A:$A,增益!$I:$I,0)))/100)</f>
        <v>-0.3</v>
      </c>
      <c r="AV30" s="32" cm="1">
        <f t="array" ref="AV30">$G$11+VLOOKUP($Q30,武学奇术!$A:$ZZ,10,FALSE)+SUM(_xlfn.XLOOKUP(R30:AF30,增益!$A:$A,增益!$J:$J,0))</f>
        <v>0</v>
      </c>
      <c r="AW30">
        <f t="shared" si="3"/>
        <v>0</v>
      </c>
      <c r="AX30">
        <f t="shared" si="4"/>
        <v>0</v>
      </c>
      <c r="AY30" s="32" cm="1">
        <f t="array" ref="AY30">IF($F$12-$I$4+VLOOKUP($Q30,武学奇术!$A:$ZZ,11,FALSE)+SUM(_xlfn.XLOOKUP(R30:AF30,增益!$A:$A,增益!$K:$K,0))&gt;0,($F$12-$I$4+VLOOKUP($Q30,武学奇术!$A:$ZZ,11,FALSE)+SUM(_xlfn.XLOOKUP(R30:AF30,增益!$A:$A,增益!$K:$K,0)))/200,($F$12-$I$4+VLOOKUP($Q30,武学奇术!$A:$ZZ,11,FALSE)+SUM(_xlfn.XLOOKUP(R30:AF30,增益!$A:$A,增益!$K:$K,0)))/100)</f>
        <v>-0.3</v>
      </c>
      <c r="AZ30" s="32" cm="1">
        <f t="array" ref="AZ30">$G$12+VLOOKUP($Q30,武学奇术!$A:$ZZ,12,FALSE)+SUM(_xlfn.XLOOKUP(R30:AF30,增益!$A:$A,增益!$L:$L,0))</f>
        <v>0</v>
      </c>
      <c r="BA30">
        <f t="shared" si="5"/>
        <v>697.4</v>
      </c>
      <c r="BB30">
        <f t="shared" si="6"/>
        <v>1805</v>
      </c>
      <c r="BC30" s="32" cm="1">
        <f t="array" ref="BC30">IF($F$13-$I$4+VLOOKUP($Q30,武学奇术!$A:$ZZ,13,FALSE)+SUM(_xlfn.XLOOKUP(R30:AF30,增益!$A:$A,增益!$M:$M,0))&gt;0,($F$13-$I$4+VLOOKUP($Q30,武学奇术!$A:$ZZ,13,FALSE)+SUM(_xlfn.XLOOKUP(R30:AF30,增益!$A:$A,增益!$K:$K,0)))/200,($F$13-$I$4+VLOOKUP($Q30,武学奇术!$A:$ZZ,13,FALSE)+SUM(_xlfn.XLOOKUP(R30:AF30,增益!$A:$A,增益!$M:$M,0)))/100)</f>
        <v>0</v>
      </c>
      <c r="BD30" s="32" cm="1">
        <f t="array" ref="BD30">$G$13+VLOOKUP($Q30,武学奇术!$A:$ZZ,14,FALSE)+SUM(_xlfn.XLOOKUP(R30:AF30,增益!$A:$A,增益!$N:$N,0))</f>
        <v>0.15</v>
      </c>
      <c r="BE30">
        <f t="shared" si="7"/>
        <v>0</v>
      </c>
      <c r="BF30">
        <f t="shared" si="8"/>
        <v>0</v>
      </c>
      <c r="BG30" s="32" cm="1">
        <f t="array" ref="BG30">IF($F$14-$I$4+VLOOKUP($Q30,武学奇术!$A:$ZZ,15,FALSE)+SUM(_xlfn.XLOOKUP(R30:AF30,增益!$A:$A,增益!$O:$O,0))&gt;0,($F$14-$I$4+VLOOKUP($Q30,武学奇术!$A:$ZZ,15,FALSE)+SUM(_xlfn.XLOOKUP(R30:AF30,增益!$A:$A,增益!$O:$O,0)))/200,($F$14-$I$4+VLOOKUP($Q30,武学奇术!$A:$ZZ,15,FALSE)+SUM(_xlfn.XLOOKUP(R30:AF30,增益!$A:$A,增益!$O:$O,0)))/100)</f>
        <v>-0.3</v>
      </c>
      <c r="BH30" s="32" cm="1">
        <f t="array" ref="BH30">$G$14+VLOOKUP($Q30,武学奇术!$A:$ZZ,16,FALSE)+SUM(_xlfn.XLOOKUP(R30:AF30,增益!$A:$A,增益!$P:$P,0))</f>
        <v>0</v>
      </c>
      <c r="BI30" s="26">
        <f>MIN(IF(VLOOKUP($Q30,武学奇术!$A:$ZZ,23,FALSE)=1,100%,$B$8),100%)</f>
        <v>1</v>
      </c>
      <c r="BJ30" s="26" cm="1">
        <f t="array" ref="BJ30">IF(VLOOKUP($Q30,武学奇术!$A:$ZZ,23,FALSE)=1,100%,MIN(80%,$B$9+VLOOKUP($Q30,武学奇术!$A:$ZZ,17,FALSE)+SUM(_xlfn.XLOOKUP(R30:AF30,增益!$A:$A,增益!$Q:$Q,0)))+$B$11+SUM(_xlfn.XLOOKUP(R30:AF30,增益!$A:$A,增益!$U:$U,0)))*IF(VLOOKUP($Q30,武学奇术!$A:$ZZ,24,FALSE)=1,0,1)</f>
        <v>0.8625</v>
      </c>
      <c r="BK30" s="26" cm="1">
        <f t="array" ref="BK30">1+$B$13+VLOOKUP($Q30,武学奇术!$A:$ZZ,18,FALSE)+SUM(_xlfn.XLOOKUP(R30:AF30,增益!$A:$A,增益!$R:$R,0))</f>
        <v>1.5</v>
      </c>
      <c r="BL30" s="26" cm="1">
        <f t="array" ref="BL30">IF(VLOOKUP($Q30,武学奇术!$A:$ZZ,24,FALSE)=1,100%,MIN(40%,$B$10+VLOOKUP($Q30,武学奇术!$A:$ZZ,19,FALSE)+SUM(_xlfn.XLOOKUP(R30:AF30,增益!$A:$A,增益!$S:$S,0)))+$B$12+SUM(_xlfn.XLOOKUP(R30:AF30,增益!$A:$A,增益!$V:$V,0)))*IF(VLOOKUP($Q30,武学奇术!$A:$ZZ,23,FALSE)=1,0,1)</f>
        <v>0.0913</v>
      </c>
      <c r="BM30" s="26" cm="1">
        <f t="array" ref="BM30">1+$B$14+VLOOKUP($Q30,武学奇术!$A:$ZZ,20,FALSE)+SUM(_xlfn.XLOOKUP(R30:AF30,增益!$A:$A,增益!$T:$T,0))</f>
        <v>1.35</v>
      </c>
      <c r="BN30" s="26">
        <f t="shared" si="9"/>
        <v>0.8625</v>
      </c>
      <c r="BO30" s="26">
        <f t="shared" si="10"/>
        <v>0.0462</v>
      </c>
      <c r="BP30" s="26">
        <f>IF(VLOOKUP($Q30,武学奇术!$A:$ZZ,22,FALSE)=1,0,(1-$BI30))*(1-$BL30)</f>
        <v>0</v>
      </c>
      <c r="BQ30" s="26" cm="1">
        <f t="array" ref="BQ30">SUM(_xlfn.XLOOKUP(R30:AF30,增益!$A:$A,增益!$W:$W,0))+$I$5</f>
        <v>0.06</v>
      </c>
    </row>
    <row r="31" spans="1:69">
      <c r="K31" s="38">
        <f t="shared" si="0"/>
        <v>0</v>
      </c>
      <c r="L31" s="38">
        <f>((($AN31+$AO31)/2*$AH31+$AI31)*(1+$AP31)*(1+$AQ31)+(($AS31+$AT31)/2*IF($G$1="鸣金",$AJ31,$AH31)+IF($G$1="鸣金",$AK31*1.5,0))*(1+$AU31)*(1+$AV31)+(($AW31+$AX31)/2*IF($G$1="裂石",$AJ31,$AH31)+IF($G$1="裂石",$AK31*1.5,0))*(1+$AY31)*(1+$AZ31)+(($BA31+$BB31)/2*IF($G$1="牵丝",$AJ31,$AH31)+IF($G$1="牵丝",$AK31*1.5,0))*(1+$BC31)*(1+$BD31)+(($BE31+$BF31)/2*IF($G$1="破竹",$AJ31,$AH31)+IF($G$1="破竹",$AK31*1.5,0))*(1+$BG31)*(1+$BH31))*(1+$AL31)*$BK31*$P31*(1+IF(VLOOKUP($Q31,武学奇术!$A:$ZZ,30,FALSE)="蓄力技",#REF!,0))*(1+$BQ31)</f>
        <v>0</v>
      </c>
      <c r="M31" s="38">
        <f>(($AO31*$AH31+$AI31)*(1+$AP31)*(1+$AQ31)+($AT31*IF($G$1="鸣金",$AJ31,$AH31)+IF($G$1="鸣金",$AK31*1.5,0))*(1+$AU31)*(1+$AV31)+($AX31*IF($G$1="裂石",$AJ31,$AH31)+IF($G$1="裂石",$AK31*1.5,0))*(1+$AY31)*(1+$AZ31)+($BB31*IF($G$1="牵丝",$AJ31,$AH31)+IF($G$1="牵丝",$AK31*1.5,0))*(1+$BC31)*(1+$BD31)+($BF31*IF($G$1="破竹",$AJ31,$AH31)+IF($G$1="破竹",$AK31*1.5,0))*(1+$BG31)*(1+$BH31))*(1+$AL31)*$BM31*$P31*(1+IF(VLOOKUP($Q31,武学奇术!$A:$ZZ,30,FALSE)="蓄力技",#REF!,0))*(1+$BQ31)</f>
        <v>0</v>
      </c>
      <c r="N31" s="38">
        <f>((($AN31+$AO31)/2*$AH31+$AI31)*(1+$AP31)*(1+$AQ31)+(($AS31+$AT31)/2*IF($G$1="鸣金",$AJ31,$AH31)+IF($G$1="鸣金",$AK31*1.5,0))*(1+$AU31)*(1+$AV31)+(($AW31+$AX31)/2*IF($G$1="裂石",$AJ31,$AH31)+IF($G$1="裂石",$AK31*1.5,0))*(1+$AY31)*(1+$AZ31)+(($BA31+$BB31)/2*IF($G$1="牵丝",$AJ31,$AH31)+IF($G$1="牵丝",$AK31*1.5,0))*(1+$BC31)*(1+$BD31)+(($BE31+$BF31)/2*IF($G$1="破竹",$AJ31,$AH31)+IF($G$1="破竹",$AK31*1.5,0))*(1+$BG31)*(1+$BH31))*(1+$AL31)*$P31*(1+IF(VLOOKUP($Q31,武学奇术!$A:$ZZ,30,FALSE)="蓄力技",#REF!,0))*(1+$BQ31)</f>
        <v>0</v>
      </c>
      <c r="O31" s="38">
        <f>((($AN31*$AH31+$AI31)*(1+$AP31)*(1+$AQ31)+($AS31*IF($G$1="鸣金",$AJ31,$AH31)+IF($G$1="鸣金",$AK31*1.5,0))*(1+$AU31)*(1+$AV31)+($AW31*IF($G$1="裂石",$AJ31,$AH31)+IF($G$1="裂石",$AK31*1.5,0))*(1+$AY31)*(1+$AZ31)+($BA31*IF($G$1="牵丝",$AJ31,$AH31)+IF($G$1="牵丝",$AK31*1.5,0))*(1+$BC31)*(1+$BD31)+($BE31*IF($G$1="破竹",$AJ31,$AH31)+IF($G$1="破竹",$AK31*1.5,0))*(1+$BG31)*(1+$BH31))*(1+$AL31))*$P31*(1+IF(VLOOKUP($Q31,武学奇术!$A:$ZZ,30,FALSE)="蓄力技",#REF!,0))*(1+$BQ31)</f>
        <v>0</v>
      </c>
      <c r="P31" s="39">
        <v>1</v>
      </c>
      <c r="Q31" s="40" t="s">
        <v>76</v>
      </c>
      <c r="R31" s="40" t="s">
        <v>76</v>
      </c>
      <c r="S31" s="40" t="s">
        <v>76</v>
      </c>
      <c r="T31" s="40" t="s">
        <v>76</v>
      </c>
      <c r="U31" s="40" t="s">
        <v>76</v>
      </c>
      <c r="V31" s="40" t="s">
        <v>76</v>
      </c>
      <c r="W31" s="40" t="s">
        <v>76</v>
      </c>
      <c r="X31" s="40" t="s">
        <v>76</v>
      </c>
      <c r="Y31" s="40" t="s">
        <v>76</v>
      </c>
      <c r="Z31" s="40" t="s">
        <v>76</v>
      </c>
      <c r="AA31" s="40" t="s">
        <v>76</v>
      </c>
      <c r="AB31" s="40" t="s">
        <v>76</v>
      </c>
      <c r="AC31" s="40" t="s">
        <v>76</v>
      </c>
      <c r="AD31" s="40" t="s">
        <v>76</v>
      </c>
      <c r="AE31" s="40" t="s">
        <v>76</v>
      </c>
      <c r="AF31" s="40" t="s">
        <v>76</v>
      </c>
      <c r="AG31" t="str">
        <f>VLOOKUP($Q31,武学奇术!$A:$ZZ,25,FALSE)</f>
        <v>心法</v>
      </c>
      <c r="AH31" s="26">
        <f>VLOOKUP($Q31,武学奇术!$A:$ZZ,26,FALSE)</f>
        <v>0</v>
      </c>
      <c r="AI31" s="27">
        <f>VLOOKUP($Q31,武学奇术!$A:$ZZ,27,FALSE)*(1+IF(OR($AG31=$F$4,$AG31=$F$5),$B$21,0))</f>
        <v>0</v>
      </c>
      <c r="AJ31" s="26">
        <f>VLOOKUP($Q31,武学奇术!$A:$ZZ,28,FALSE)</f>
        <v>0</v>
      </c>
      <c r="AK31" s="27">
        <f>VLOOKUP($Q31,武学奇术!$A:$ZZ,29,FALSE)*(1+IF(OR($AG31=$F$4,$AG31=$F$5),$B$21,0))</f>
        <v>0</v>
      </c>
      <c r="AL31" s="26" cm="1">
        <f t="array" ref="AL31">$G$3+IFERROR(VLOOKUP($AG31,$F$4:$G$7,2,FALSE),0)+VLOOKUP($Q31,武学奇术!$A:$ZZ,2,FALSE)+SUM(_xlfn.XLOOKUP($R31:$AF31,增益!$A:$A,增益!$B:$B,0))</f>
        <v>0.1842</v>
      </c>
      <c r="AM31" s="26" cm="1">
        <f t="array" ref="AM31">VLOOKUP($Q31,武学奇术!$A:$ZZ,5,FALSE)+SUM(_xlfn.XLOOKUP($R31:$AF31,增益!$A:$A,增益!$E:$E,0))</f>
        <v>0</v>
      </c>
      <c r="AN31" cm="1">
        <f t="array" ref="AN31">$D$10*(1+$AM31)+VLOOKUP($Q31,武学奇术!$A:$ZZ,3,FALSE)+SUM(_xlfn.XLOOKUP($R31:$AF31,增益!$A:$A,增益!$C:$C,0))-$I$2</f>
        <v>3940</v>
      </c>
      <c r="AO31" cm="1">
        <f t="array" ref="AO31">$E$10*(1+$AM31)+VLOOKUP($Q31,武学奇术!$A:$ZZ,4,FALSE)+SUM(_xlfn.XLOOKUP($R31:$AF31,增益!$A:$A,增益!$D:$D,0))-$I$2</f>
        <v>3940</v>
      </c>
      <c r="AP31" s="32" cm="1">
        <f t="array" ref="AP31">IF($F$10-$I$3+VLOOKUP($Q31,武学奇术!$A:$ZZ,6,FALSE)+SUM(_xlfn.XLOOKUP(R31:AF31,增益!$A:$A,增益!$F:$F,0))&gt;0,($F$10-$I$3+VLOOKUP($Q31,武学奇术!$A:$ZZ,6,FALSE)+SUM(_xlfn.XLOOKUP(R31:AF31,增益!$A:$A,增益!$F:$F,0)))/200,($F$10-$I$3+VLOOKUP($Q31,武学奇术!$A:$ZZ,6,FALSE)+SUM(_xlfn.XLOOKUP(R31:AF31,增益!$A:$A,增益!$F:$F,0)))/100)</f>
        <v>0.194</v>
      </c>
      <c r="AQ31" s="32" cm="1">
        <f t="array" ref="AQ31">$G$10+VLOOKUP($Q31,武学奇术!$A:$ZZ,7,FALSE)+SUM(_xlfn.XLOOKUP(R31:AF31,增益!$A:$A,增益!$G:$G,0))</f>
        <v>0</v>
      </c>
      <c r="AR31" s="26" cm="1">
        <f t="array" ref="AR31">VLOOKUP($Q31,武学奇术!$A:$ZZ,8,FALSE)+SUM(_xlfn.XLOOKUP(R31:AF31,增益!$A:$A,增益!$H:$H,0))</f>
        <v>0</v>
      </c>
      <c r="AS31">
        <f t="shared" si="1"/>
        <v>0</v>
      </c>
      <c r="AT31">
        <f t="shared" si="2"/>
        <v>0</v>
      </c>
      <c r="AU31" s="32" cm="1">
        <f t="array" ref="AU31">IF($F$11-$I$4+VLOOKUP($Q31,武学奇术!$A:$ZZ,9,FALSE)+SUM(_xlfn.XLOOKUP(R31:AF31,增益!$A:$A,增益!$I:$I,0))&gt;0,($F$11-$I$4+VLOOKUP($Q31,武学奇术!$A:$ZZ,9,FALSE)+SUM(_xlfn.XLOOKUP(R31:AF31,增益!$A:$A,增益!$I:$I,0)))/200,($F$11-$I$4+VLOOKUP($Q31,武学奇术!$A:$ZZ,9,FALSE)+SUM(_xlfn.XLOOKUP(R31:AF31,增益!$A:$A,增益!$I:$I,0)))/100)</f>
        <v>-0.3</v>
      </c>
      <c r="AV31" s="32" cm="1">
        <f t="array" ref="AV31">$G$11+VLOOKUP($Q31,武学奇术!$A:$ZZ,10,FALSE)+SUM(_xlfn.XLOOKUP(R31:AF31,增益!$A:$A,增益!$J:$J,0))</f>
        <v>0</v>
      </c>
      <c r="AW31">
        <f t="shared" si="3"/>
        <v>0</v>
      </c>
      <c r="AX31">
        <f t="shared" si="4"/>
        <v>0</v>
      </c>
      <c r="AY31" s="32" cm="1">
        <f t="array" ref="AY31">IF($F$12-$I$4+VLOOKUP($Q31,武学奇术!$A:$ZZ,11,FALSE)+SUM(_xlfn.XLOOKUP(R31:AF31,增益!$A:$A,增益!$K:$K,0))&gt;0,($F$12-$I$4+VLOOKUP($Q31,武学奇术!$A:$ZZ,11,FALSE)+SUM(_xlfn.XLOOKUP(R31:AF31,增益!$A:$A,增益!$K:$K,0)))/200,($F$12-$I$4+VLOOKUP($Q31,武学奇术!$A:$ZZ,11,FALSE)+SUM(_xlfn.XLOOKUP(R31:AF31,增益!$A:$A,增益!$K:$K,0)))/100)</f>
        <v>-0.3</v>
      </c>
      <c r="AZ31" s="32" cm="1">
        <f t="array" ref="AZ31">$G$12+VLOOKUP($Q31,武学奇术!$A:$ZZ,12,FALSE)+SUM(_xlfn.XLOOKUP(R31:AF31,增益!$A:$A,增益!$L:$L,0))</f>
        <v>0</v>
      </c>
      <c r="BA31">
        <f t="shared" si="5"/>
        <v>697.4</v>
      </c>
      <c r="BB31">
        <f t="shared" si="6"/>
        <v>1805</v>
      </c>
      <c r="BC31" s="32" cm="1">
        <f t="array" ref="BC31">IF($F$13-$I$4+VLOOKUP($Q31,武学奇术!$A:$ZZ,13,FALSE)+SUM(_xlfn.XLOOKUP(R31:AF31,增益!$A:$A,增益!$M:$M,0))&gt;0,($F$13-$I$4+VLOOKUP($Q31,武学奇术!$A:$ZZ,13,FALSE)+SUM(_xlfn.XLOOKUP(R31:AF31,增益!$A:$A,增益!$K:$K,0)))/200,($F$13-$I$4+VLOOKUP($Q31,武学奇术!$A:$ZZ,13,FALSE)+SUM(_xlfn.XLOOKUP(R31:AF31,增益!$A:$A,增益!$M:$M,0)))/100)</f>
        <v>0</v>
      </c>
      <c r="BD31" s="32" cm="1">
        <f t="array" ref="BD31">$G$13+VLOOKUP($Q31,武学奇术!$A:$ZZ,14,FALSE)+SUM(_xlfn.XLOOKUP(R31:AF31,增益!$A:$A,增益!$N:$N,0))</f>
        <v>0.15</v>
      </c>
      <c r="BE31">
        <f t="shared" si="7"/>
        <v>0</v>
      </c>
      <c r="BF31">
        <f t="shared" si="8"/>
        <v>0</v>
      </c>
      <c r="BG31" s="32" cm="1">
        <f t="array" ref="BG31">IF($F$14-$I$4+VLOOKUP($Q31,武学奇术!$A:$ZZ,15,FALSE)+SUM(_xlfn.XLOOKUP(R31:AF31,增益!$A:$A,增益!$O:$O,0))&gt;0,($F$14-$I$4+VLOOKUP($Q31,武学奇术!$A:$ZZ,15,FALSE)+SUM(_xlfn.XLOOKUP(R31:AF31,增益!$A:$A,增益!$O:$O,0)))/200,($F$14-$I$4+VLOOKUP($Q31,武学奇术!$A:$ZZ,15,FALSE)+SUM(_xlfn.XLOOKUP(R31:AF31,增益!$A:$A,增益!$O:$O,0)))/100)</f>
        <v>-0.3</v>
      </c>
      <c r="BH31" s="32" cm="1">
        <f t="array" ref="BH31">$G$14+VLOOKUP($Q31,武学奇术!$A:$ZZ,16,FALSE)+SUM(_xlfn.XLOOKUP(R31:AF31,增益!$A:$A,增益!$P:$P,0))</f>
        <v>0</v>
      </c>
      <c r="BI31" s="26">
        <f>MIN(IF(VLOOKUP($Q31,武学奇术!$A:$ZZ,23,FALSE)=1,100%,$B$8),100%)</f>
        <v>1</v>
      </c>
      <c r="BJ31" s="26" cm="1">
        <f t="array" ref="BJ31">IF(VLOOKUP($Q31,武学奇术!$A:$ZZ,23,FALSE)=1,100%,MIN(80%,$B$9+VLOOKUP($Q31,武学奇术!$A:$ZZ,17,FALSE)+SUM(_xlfn.XLOOKUP(R31:AF31,增益!$A:$A,增益!$Q:$Q,0)))+$B$11+SUM(_xlfn.XLOOKUP(R31:AF31,增益!$A:$A,增益!$U:$U,0)))*IF(VLOOKUP($Q31,武学奇术!$A:$ZZ,24,FALSE)=1,0,1)</f>
        <v>0.8625</v>
      </c>
      <c r="BK31" s="26" cm="1">
        <f t="array" ref="BK31">1+$B$13+VLOOKUP($Q31,武学奇术!$A:$ZZ,18,FALSE)+SUM(_xlfn.XLOOKUP(R31:AF31,增益!$A:$A,增益!$R:$R,0))</f>
        <v>1.5</v>
      </c>
      <c r="BL31" s="26" cm="1">
        <f t="array" ref="BL31">IF(VLOOKUP($Q31,武学奇术!$A:$ZZ,24,FALSE)=1,100%,MIN(40%,$B$10+VLOOKUP($Q31,武学奇术!$A:$ZZ,19,FALSE)+SUM(_xlfn.XLOOKUP(R31:AF31,增益!$A:$A,增益!$S:$S,0)))+$B$12+SUM(_xlfn.XLOOKUP(R31:AF31,增益!$A:$A,增益!$V:$V,0)))*IF(VLOOKUP($Q31,武学奇术!$A:$ZZ,23,FALSE)=1,0,1)</f>
        <v>0.0913</v>
      </c>
      <c r="BM31" s="26" cm="1">
        <f t="array" ref="BM31">1+$B$14+VLOOKUP($Q31,武学奇术!$A:$ZZ,20,FALSE)+SUM(_xlfn.XLOOKUP(R31:AF31,增益!$A:$A,增益!$T:$T,0))</f>
        <v>1.35</v>
      </c>
      <c r="BN31" s="26">
        <f t="shared" si="9"/>
        <v>0.8625</v>
      </c>
      <c r="BO31" s="26">
        <f t="shared" si="10"/>
        <v>0.0462</v>
      </c>
      <c r="BP31" s="26">
        <f>IF(VLOOKUP($Q31,武学奇术!$A:$ZZ,22,FALSE)=1,0,(1-$BI31))*(1-$BL31)</f>
        <v>0</v>
      </c>
      <c r="BQ31" s="26" cm="1">
        <f t="array" ref="BQ31">SUM(_xlfn.XLOOKUP(R31:AF31,增益!$A:$A,增益!$W:$W,0))+$I$5</f>
        <v>0.06</v>
      </c>
    </row>
    <row r="32" spans="1:69">
      <c r="K32" s="38">
        <f t="shared" si="0"/>
        <v>0</v>
      </c>
      <c r="L32" s="38">
        <f>((($AN32+$AO32)/2*$AH32+$AI32)*(1+$AP32)*(1+$AQ32)+(($AS32+$AT32)/2*IF($G$1="鸣金",$AJ32,$AH32)+IF($G$1="鸣金",$AK32*1.5,0))*(1+$AU32)*(1+$AV32)+(($AW32+$AX32)/2*IF($G$1="裂石",$AJ32,$AH32)+IF($G$1="裂石",$AK32*1.5,0))*(1+$AY32)*(1+$AZ32)+(($BA32+$BB32)/2*IF($G$1="牵丝",$AJ32,$AH32)+IF($G$1="牵丝",$AK32*1.5,0))*(1+$BC32)*(1+$BD32)+(($BE32+$BF32)/2*IF($G$1="破竹",$AJ32,$AH32)+IF($G$1="破竹",$AK32*1.5,0))*(1+$BG32)*(1+$BH32))*(1+$AL32)*$BK32*$P32*(1+IF(VLOOKUP($Q32,武学奇术!$A:$ZZ,30,FALSE)="蓄力技",#REF!,0))*(1+$BQ32)</f>
        <v>0</v>
      </c>
      <c r="M32" s="38">
        <f>(($AO32*$AH32+$AI32)*(1+$AP32)*(1+$AQ32)+($AT32*IF($G$1="鸣金",$AJ32,$AH32)+IF($G$1="鸣金",$AK32*1.5,0))*(1+$AU32)*(1+$AV32)+($AX32*IF($G$1="裂石",$AJ32,$AH32)+IF($G$1="裂石",$AK32*1.5,0))*(1+$AY32)*(1+$AZ32)+($BB32*IF($G$1="牵丝",$AJ32,$AH32)+IF($G$1="牵丝",$AK32*1.5,0))*(1+$BC32)*(1+$BD32)+($BF32*IF($G$1="破竹",$AJ32,$AH32)+IF($G$1="破竹",$AK32*1.5,0))*(1+$BG32)*(1+$BH32))*(1+$AL32)*$BM32*$P32*(1+IF(VLOOKUP($Q32,武学奇术!$A:$ZZ,30,FALSE)="蓄力技",#REF!,0))*(1+$BQ32)</f>
        <v>0</v>
      </c>
      <c r="N32" s="38">
        <f>((($AN32+$AO32)/2*$AH32+$AI32)*(1+$AP32)*(1+$AQ32)+(($AS32+$AT32)/2*IF($G$1="鸣金",$AJ32,$AH32)+IF($G$1="鸣金",$AK32*1.5,0))*(1+$AU32)*(1+$AV32)+(($AW32+$AX32)/2*IF($G$1="裂石",$AJ32,$AH32)+IF($G$1="裂石",$AK32*1.5,0))*(1+$AY32)*(1+$AZ32)+(($BA32+$BB32)/2*IF($G$1="牵丝",$AJ32,$AH32)+IF($G$1="牵丝",$AK32*1.5,0))*(1+$BC32)*(1+$BD32)+(($BE32+$BF32)/2*IF($G$1="破竹",$AJ32,$AH32)+IF($G$1="破竹",$AK32*1.5,0))*(1+$BG32)*(1+$BH32))*(1+$AL32)*$P32*(1+IF(VLOOKUP($Q32,武学奇术!$A:$ZZ,30,FALSE)="蓄力技",#REF!,0))*(1+$BQ32)</f>
        <v>0</v>
      </c>
      <c r="O32" s="38">
        <f>((($AN32*$AH32+$AI32)*(1+$AP32)*(1+$AQ32)+($AS32*IF($G$1="鸣金",$AJ32,$AH32)+IF($G$1="鸣金",$AK32*1.5,0))*(1+$AU32)*(1+$AV32)+($AW32*IF($G$1="裂石",$AJ32,$AH32)+IF($G$1="裂石",$AK32*1.5,0))*(1+$AY32)*(1+$AZ32)+($BA32*IF($G$1="牵丝",$AJ32,$AH32)+IF($G$1="牵丝",$AK32*1.5,0))*(1+$BC32)*(1+$BD32)+($BE32*IF($G$1="破竹",$AJ32,$AH32)+IF($G$1="破竹",$AK32*1.5,0))*(1+$BG32)*(1+$BH32))*(1+$AL32))*$P32*(1+IF(VLOOKUP($Q32,武学奇术!$A:$ZZ,30,FALSE)="蓄力技",#REF!,0))*(1+$BQ32)</f>
        <v>0</v>
      </c>
      <c r="P32" s="39">
        <v>1</v>
      </c>
      <c r="Q32" s="40" t="s">
        <v>76</v>
      </c>
      <c r="R32" s="40" t="s">
        <v>76</v>
      </c>
      <c r="S32" s="40" t="s">
        <v>76</v>
      </c>
      <c r="T32" s="40" t="s">
        <v>76</v>
      </c>
      <c r="U32" s="40" t="s">
        <v>76</v>
      </c>
      <c r="V32" s="40" t="s">
        <v>76</v>
      </c>
      <c r="W32" s="40" t="s">
        <v>76</v>
      </c>
      <c r="X32" s="40" t="s">
        <v>76</v>
      </c>
      <c r="Y32" s="40" t="s">
        <v>76</v>
      </c>
      <c r="Z32" s="40" t="s">
        <v>76</v>
      </c>
      <c r="AA32" s="40" t="s">
        <v>76</v>
      </c>
      <c r="AB32" s="40" t="s">
        <v>76</v>
      </c>
      <c r="AC32" s="40" t="s">
        <v>76</v>
      </c>
      <c r="AD32" s="40" t="s">
        <v>76</v>
      </c>
      <c r="AE32" s="40" t="s">
        <v>76</v>
      </c>
      <c r="AF32" s="40" t="s">
        <v>76</v>
      </c>
      <c r="AG32" t="str">
        <f>VLOOKUP($Q32,武学奇术!$A:$ZZ,25,FALSE)</f>
        <v>心法</v>
      </c>
      <c r="AH32" s="26">
        <f>VLOOKUP($Q32,武学奇术!$A:$ZZ,26,FALSE)</f>
        <v>0</v>
      </c>
      <c r="AI32" s="27">
        <f>VLOOKUP($Q32,武学奇术!$A:$ZZ,27,FALSE)*(1+IF(OR($AG32=$F$4,$AG32=$F$5),$B$21,0))</f>
        <v>0</v>
      </c>
      <c r="AJ32" s="26">
        <f>VLOOKUP($Q32,武学奇术!$A:$ZZ,28,FALSE)</f>
        <v>0</v>
      </c>
      <c r="AK32" s="27">
        <f>VLOOKUP($Q32,武学奇术!$A:$ZZ,29,FALSE)*(1+IF(OR($AG32=$F$4,$AG32=$F$5),$B$21,0))</f>
        <v>0</v>
      </c>
      <c r="AL32" s="26" cm="1">
        <f t="array" ref="AL32">$G$3+IFERROR(VLOOKUP($AG32,$F$4:$G$7,2,FALSE),0)+VLOOKUP($Q32,武学奇术!$A:$ZZ,2,FALSE)+SUM(_xlfn.XLOOKUP($R32:$AF32,增益!$A:$A,增益!$B:$B,0))</f>
        <v>0.1842</v>
      </c>
      <c r="AM32" s="26" cm="1">
        <f t="array" ref="AM32">VLOOKUP($Q32,武学奇术!$A:$ZZ,5,FALSE)+SUM(_xlfn.XLOOKUP($R32:$AF32,增益!$A:$A,增益!$E:$E,0))</f>
        <v>0</v>
      </c>
      <c r="AN32" cm="1">
        <f t="array" ref="AN32">$D$10*(1+$AM32)+VLOOKUP($Q32,武学奇术!$A:$ZZ,3,FALSE)+SUM(_xlfn.XLOOKUP($R32:$AF32,增益!$A:$A,增益!$C:$C,0))-$I$2</f>
        <v>3940</v>
      </c>
      <c r="AO32" cm="1">
        <f t="array" ref="AO32">$E$10*(1+$AM32)+VLOOKUP($Q32,武学奇术!$A:$ZZ,4,FALSE)+SUM(_xlfn.XLOOKUP($R32:$AF32,增益!$A:$A,增益!$D:$D,0))-$I$2</f>
        <v>3940</v>
      </c>
      <c r="AP32" s="32" cm="1">
        <f t="array" ref="AP32">IF($F$10-$I$3+VLOOKUP($Q32,武学奇术!$A:$ZZ,6,FALSE)+SUM(_xlfn.XLOOKUP(R32:AF32,增益!$A:$A,增益!$F:$F,0))&gt;0,($F$10-$I$3+VLOOKUP($Q32,武学奇术!$A:$ZZ,6,FALSE)+SUM(_xlfn.XLOOKUP(R32:AF32,增益!$A:$A,增益!$F:$F,0)))/200,($F$10-$I$3+VLOOKUP($Q32,武学奇术!$A:$ZZ,6,FALSE)+SUM(_xlfn.XLOOKUP(R32:AF32,增益!$A:$A,增益!$F:$F,0)))/100)</f>
        <v>0.194</v>
      </c>
      <c r="AQ32" s="32" cm="1">
        <f t="array" ref="AQ32">$G$10+VLOOKUP($Q32,武学奇术!$A:$ZZ,7,FALSE)+SUM(_xlfn.XLOOKUP(R32:AF32,增益!$A:$A,增益!$G:$G,0))</f>
        <v>0</v>
      </c>
      <c r="AR32" s="26" cm="1">
        <f t="array" ref="AR32">VLOOKUP($Q32,武学奇术!$A:$ZZ,8,FALSE)+SUM(_xlfn.XLOOKUP(R32:AF32,增益!$A:$A,增益!$H:$H,0))</f>
        <v>0</v>
      </c>
      <c r="AS32">
        <f t="shared" si="1"/>
        <v>0</v>
      </c>
      <c r="AT32">
        <f t="shared" si="2"/>
        <v>0</v>
      </c>
      <c r="AU32" s="32" cm="1">
        <f t="array" ref="AU32">IF($F$11-$I$4+VLOOKUP($Q32,武学奇术!$A:$ZZ,9,FALSE)+SUM(_xlfn.XLOOKUP(R32:AF32,增益!$A:$A,增益!$I:$I,0))&gt;0,($F$11-$I$4+VLOOKUP($Q32,武学奇术!$A:$ZZ,9,FALSE)+SUM(_xlfn.XLOOKUP(R32:AF32,增益!$A:$A,增益!$I:$I,0)))/200,($F$11-$I$4+VLOOKUP($Q32,武学奇术!$A:$ZZ,9,FALSE)+SUM(_xlfn.XLOOKUP(R32:AF32,增益!$A:$A,增益!$I:$I,0)))/100)</f>
        <v>-0.3</v>
      </c>
      <c r="AV32" s="32" cm="1">
        <f t="array" ref="AV32">$G$11+VLOOKUP($Q32,武学奇术!$A:$ZZ,10,FALSE)+SUM(_xlfn.XLOOKUP(R32:AF32,增益!$A:$A,增益!$J:$J,0))</f>
        <v>0</v>
      </c>
      <c r="AW32">
        <f t="shared" si="3"/>
        <v>0</v>
      </c>
      <c r="AX32">
        <f t="shared" si="4"/>
        <v>0</v>
      </c>
      <c r="AY32" s="32" cm="1">
        <f t="array" ref="AY32">IF($F$12-$I$4+VLOOKUP($Q32,武学奇术!$A:$ZZ,11,FALSE)+SUM(_xlfn.XLOOKUP(R32:AF32,增益!$A:$A,增益!$K:$K,0))&gt;0,($F$12-$I$4+VLOOKUP($Q32,武学奇术!$A:$ZZ,11,FALSE)+SUM(_xlfn.XLOOKUP(R32:AF32,增益!$A:$A,增益!$K:$K,0)))/200,($F$12-$I$4+VLOOKUP($Q32,武学奇术!$A:$ZZ,11,FALSE)+SUM(_xlfn.XLOOKUP(R32:AF32,增益!$A:$A,增益!$K:$K,0)))/100)</f>
        <v>-0.3</v>
      </c>
      <c r="AZ32" s="32" cm="1">
        <f t="array" ref="AZ32">$G$12+VLOOKUP($Q32,武学奇术!$A:$ZZ,12,FALSE)+SUM(_xlfn.XLOOKUP(R32:AF32,增益!$A:$A,增益!$L:$L,0))</f>
        <v>0</v>
      </c>
      <c r="BA32">
        <f t="shared" si="5"/>
        <v>697.4</v>
      </c>
      <c r="BB32">
        <f t="shared" si="6"/>
        <v>1805</v>
      </c>
      <c r="BC32" s="32" cm="1">
        <f t="array" ref="BC32">IF($F$13-$I$4+VLOOKUP($Q32,武学奇术!$A:$ZZ,13,FALSE)+SUM(_xlfn.XLOOKUP(R32:AF32,增益!$A:$A,增益!$M:$M,0))&gt;0,($F$13-$I$4+VLOOKUP($Q32,武学奇术!$A:$ZZ,13,FALSE)+SUM(_xlfn.XLOOKUP(R32:AF32,增益!$A:$A,增益!$K:$K,0)))/200,($F$13-$I$4+VLOOKUP($Q32,武学奇术!$A:$ZZ,13,FALSE)+SUM(_xlfn.XLOOKUP(R32:AF32,增益!$A:$A,增益!$M:$M,0)))/100)</f>
        <v>0</v>
      </c>
      <c r="BD32" s="32" cm="1">
        <f t="array" ref="BD32">$G$13+VLOOKUP($Q32,武学奇术!$A:$ZZ,14,FALSE)+SUM(_xlfn.XLOOKUP(R32:AF32,增益!$A:$A,增益!$N:$N,0))</f>
        <v>0.15</v>
      </c>
      <c r="BE32">
        <f t="shared" si="7"/>
        <v>0</v>
      </c>
      <c r="BF32">
        <f t="shared" si="8"/>
        <v>0</v>
      </c>
      <c r="BG32" s="32" cm="1">
        <f t="array" ref="BG32">IF($F$14-$I$4+VLOOKUP($Q32,武学奇术!$A:$ZZ,15,FALSE)+SUM(_xlfn.XLOOKUP(R32:AF32,增益!$A:$A,增益!$O:$O,0))&gt;0,($F$14-$I$4+VLOOKUP($Q32,武学奇术!$A:$ZZ,15,FALSE)+SUM(_xlfn.XLOOKUP(R32:AF32,增益!$A:$A,增益!$O:$O,0)))/200,($F$14-$I$4+VLOOKUP($Q32,武学奇术!$A:$ZZ,15,FALSE)+SUM(_xlfn.XLOOKUP(R32:AF32,增益!$A:$A,增益!$O:$O,0)))/100)</f>
        <v>-0.3</v>
      </c>
      <c r="BH32" s="32" cm="1">
        <f t="array" ref="BH32">$G$14+VLOOKUP($Q32,武学奇术!$A:$ZZ,16,FALSE)+SUM(_xlfn.XLOOKUP(R32:AF32,增益!$A:$A,增益!$P:$P,0))</f>
        <v>0</v>
      </c>
      <c r="BI32" s="26">
        <f>MIN(IF(VLOOKUP($Q32,武学奇术!$A:$ZZ,23,FALSE)=1,100%,$B$8),100%)</f>
        <v>1</v>
      </c>
      <c r="BJ32" s="26" cm="1">
        <f t="array" ref="BJ32">IF(VLOOKUP($Q32,武学奇术!$A:$ZZ,23,FALSE)=1,100%,MIN(80%,$B$9+VLOOKUP($Q32,武学奇术!$A:$ZZ,17,FALSE)+SUM(_xlfn.XLOOKUP(R32:AF32,增益!$A:$A,增益!$Q:$Q,0)))+$B$11+SUM(_xlfn.XLOOKUP(R32:AF32,增益!$A:$A,增益!$U:$U,0)))*IF(VLOOKUP($Q32,武学奇术!$A:$ZZ,24,FALSE)=1,0,1)</f>
        <v>0.8625</v>
      </c>
      <c r="BK32" s="26" cm="1">
        <f t="array" ref="BK32">1+$B$13+VLOOKUP($Q32,武学奇术!$A:$ZZ,18,FALSE)+SUM(_xlfn.XLOOKUP(R32:AF32,增益!$A:$A,增益!$R:$R,0))</f>
        <v>1.5</v>
      </c>
      <c r="BL32" s="26" cm="1">
        <f t="array" ref="BL32">IF(VLOOKUP($Q32,武学奇术!$A:$ZZ,24,FALSE)=1,100%,MIN(40%,$B$10+VLOOKUP($Q32,武学奇术!$A:$ZZ,19,FALSE)+SUM(_xlfn.XLOOKUP(R32:AF32,增益!$A:$A,增益!$S:$S,0)))+$B$12+SUM(_xlfn.XLOOKUP(R32:AF32,增益!$A:$A,增益!$V:$V,0)))*IF(VLOOKUP($Q32,武学奇术!$A:$ZZ,23,FALSE)=1,0,1)</f>
        <v>0.0913</v>
      </c>
      <c r="BM32" s="26" cm="1">
        <f t="array" ref="BM32">1+$B$14+VLOOKUP($Q32,武学奇术!$A:$ZZ,20,FALSE)+SUM(_xlfn.XLOOKUP(R32:AF32,增益!$A:$A,增益!$T:$T,0))</f>
        <v>1.35</v>
      </c>
      <c r="BN32" s="26">
        <f t="shared" si="9"/>
        <v>0.8625</v>
      </c>
      <c r="BO32" s="26">
        <f t="shared" si="10"/>
        <v>0.0462</v>
      </c>
      <c r="BP32" s="26">
        <f>IF(VLOOKUP($Q32,武学奇术!$A:$ZZ,22,FALSE)=1,0,(1-$BI32))*(1-$BL32)</f>
        <v>0</v>
      </c>
      <c r="BQ32" s="26" cm="1">
        <f t="array" ref="BQ32">SUM(_xlfn.XLOOKUP(R32:AF32,增益!$A:$A,增益!$W:$W,0))+$I$5</f>
        <v>0.06</v>
      </c>
    </row>
    <row r="33" spans="5:69">
      <c r="K33" s="38">
        <f t="shared" si="0"/>
        <v>0</v>
      </c>
      <c r="L33" s="38">
        <f>((($AN33+$AO33)/2*$AH33+$AI33)*(1+$AP33)*(1+$AQ33)+(($AS33+$AT33)/2*IF($G$1="鸣金",$AJ33,$AH33)+IF($G$1="鸣金",$AK33*1.5,0))*(1+$AU33)*(1+$AV33)+(($AW33+$AX33)/2*IF($G$1="裂石",$AJ33,$AH33)+IF($G$1="裂石",$AK33*1.5,0))*(1+$AY33)*(1+$AZ33)+(($BA33+$BB33)/2*IF($G$1="牵丝",$AJ33,$AH33)+IF($G$1="牵丝",$AK33*1.5,0))*(1+$BC33)*(1+$BD33)+(($BE33+$BF33)/2*IF($G$1="破竹",$AJ33,$AH33)+IF($G$1="破竹",$AK33*1.5,0))*(1+$BG33)*(1+$BH33))*(1+$AL33)*$BK33*$P33*(1+IF(VLOOKUP($Q33,武学奇术!$A:$ZZ,30,FALSE)="蓄力技",#REF!,0))*(1+$BQ33)</f>
        <v>0</v>
      </c>
      <c r="M33" s="38">
        <f>(($AO33*$AH33+$AI33)*(1+$AP33)*(1+$AQ33)+($AT33*IF($G$1="鸣金",$AJ33,$AH33)+IF($G$1="鸣金",$AK33*1.5,0))*(1+$AU33)*(1+$AV33)+($AX33*IF($G$1="裂石",$AJ33,$AH33)+IF($G$1="裂石",$AK33*1.5,0))*(1+$AY33)*(1+$AZ33)+($BB33*IF($G$1="牵丝",$AJ33,$AH33)+IF($G$1="牵丝",$AK33*1.5,0))*(1+$BC33)*(1+$BD33)+($BF33*IF($G$1="破竹",$AJ33,$AH33)+IF($G$1="破竹",$AK33*1.5,0))*(1+$BG33)*(1+$BH33))*(1+$AL33)*$BM33*$P33*(1+IF(VLOOKUP($Q33,武学奇术!$A:$ZZ,30,FALSE)="蓄力技",#REF!,0))*(1+$BQ33)</f>
        <v>0</v>
      </c>
      <c r="N33" s="38">
        <f>((($AN33+$AO33)/2*$AH33+$AI33)*(1+$AP33)*(1+$AQ33)+(($AS33+$AT33)/2*IF($G$1="鸣金",$AJ33,$AH33)+IF($G$1="鸣金",$AK33*1.5,0))*(1+$AU33)*(1+$AV33)+(($AW33+$AX33)/2*IF($G$1="裂石",$AJ33,$AH33)+IF($G$1="裂石",$AK33*1.5,0))*(1+$AY33)*(1+$AZ33)+(($BA33+$BB33)/2*IF($G$1="牵丝",$AJ33,$AH33)+IF($G$1="牵丝",$AK33*1.5,0))*(1+$BC33)*(1+$BD33)+(($BE33+$BF33)/2*IF($G$1="破竹",$AJ33,$AH33)+IF($G$1="破竹",$AK33*1.5,0))*(1+$BG33)*(1+$BH33))*(1+$AL33)*$P33*(1+IF(VLOOKUP($Q33,武学奇术!$A:$ZZ,30,FALSE)="蓄力技",#REF!,0))*(1+$BQ33)</f>
        <v>0</v>
      </c>
      <c r="O33" s="38">
        <f>((($AN33*$AH33+$AI33)*(1+$AP33)*(1+$AQ33)+($AS33*IF($G$1="鸣金",$AJ33,$AH33)+IF($G$1="鸣金",$AK33*1.5,0))*(1+$AU33)*(1+$AV33)+($AW33*IF($G$1="裂石",$AJ33,$AH33)+IF($G$1="裂石",$AK33*1.5,0))*(1+$AY33)*(1+$AZ33)+($BA33*IF($G$1="牵丝",$AJ33,$AH33)+IF($G$1="牵丝",$AK33*1.5,0))*(1+$BC33)*(1+$BD33)+($BE33*IF($G$1="破竹",$AJ33,$AH33)+IF($G$1="破竹",$AK33*1.5,0))*(1+$BG33)*(1+$BH33))*(1+$AL33))*$P33*(1+IF(VLOOKUP($Q33,武学奇术!$A:$ZZ,30,FALSE)="蓄力技",#REF!,0))*(1+$BQ33)</f>
        <v>0</v>
      </c>
      <c r="P33" s="39">
        <v>1</v>
      </c>
      <c r="Q33" s="40" t="s">
        <v>76</v>
      </c>
      <c r="R33" s="40" t="s">
        <v>76</v>
      </c>
      <c r="S33" s="40" t="s">
        <v>76</v>
      </c>
      <c r="T33" s="40" t="s">
        <v>76</v>
      </c>
      <c r="U33" s="40" t="s">
        <v>76</v>
      </c>
      <c r="V33" s="40" t="s">
        <v>76</v>
      </c>
      <c r="W33" s="40" t="s">
        <v>76</v>
      </c>
      <c r="X33" s="40" t="s">
        <v>76</v>
      </c>
      <c r="Y33" s="40" t="s">
        <v>76</v>
      </c>
      <c r="Z33" s="40" t="s">
        <v>76</v>
      </c>
      <c r="AA33" s="40" t="s">
        <v>76</v>
      </c>
      <c r="AB33" s="40" t="s">
        <v>76</v>
      </c>
      <c r="AC33" s="40" t="s">
        <v>76</v>
      </c>
      <c r="AD33" s="40" t="s">
        <v>76</v>
      </c>
      <c r="AE33" s="40" t="s">
        <v>76</v>
      </c>
      <c r="AF33" s="40" t="s">
        <v>76</v>
      </c>
      <c r="AG33" t="str">
        <f>VLOOKUP($Q33,武学奇术!$A:$ZZ,25,FALSE)</f>
        <v>心法</v>
      </c>
      <c r="AH33" s="26">
        <f>VLOOKUP($Q33,武学奇术!$A:$ZZ,26,FALSE)</f>
        <v>0</v>
      </c>
      <c r="AI33" s="27">
        <f>VLOOKUP($Q33,武学奇术!$A:$ZZ,27,FALSE)*(1+IF(OR($AG33=$F$4,$AG33=$F$5),$B$21,0))</f>
        <v>0</v>
      </c>
      <c r="AJ33" s="26">
        <f>VLOOKUP($Q33,武学奇术!$A:$ZZ,28,FALSE)</f>
        <v>0</v>
      </c>
      <c r="AK33" s="27">
        <f>VLOOKUP($Q33,武学奇术!$A:$ZZ,29,FALSE)*(1+IF(OR($AG33=$F$4,$AG33=$F$5),$B$21,0))</f>
        <v>0</v>
      </c>
      <c r="AL33" s="26" cm="1">
        <f t="array" ref="AL33">$G$3+IFERROR(VLOOKUP($AG33,$F$4:$G$7,2,FALSE),0)+VLOOKUP($Q33,武学奇术!$A:$ZZ,2,FALSE)+SUM(_xlfn.XLOOKUP($R33:$AF33,增益!$A:$A,增益!$B:$B,0))</f>
        <v>0.1842</v>
      </c>
      <c r="AM33" s="26" cm="1">
        <f t="array" ref="AM33">VLOOKUP($Q33,武学奇术!$A:$ZZ,5,FALSE)+SUM(_xlfn.XLOOKUP($R33:$AF33,增益!$A:$A,增益!$E:$E,0))</f>
        <v>0</v>
      </c>
      <c r="AN33" cm="1">
        <f t="array" ref="AN33">$D$10*(1+$AM33)+VLOOKUP($Q33,武学奇术!$A:$ZZ,3,FALSE)+SUM(_xlfn.XLOOKUP($R33:$AF33,增益!$A:$A,增益!$C:$C,0))-$I$2</f>
        <v>3940</v>
      </c>
      <c r="AO33" cm="1">
        <f t="array" ref="AO33">$E$10*(1+$AM33)+VLOOKUP($Q33,武学奇术!$A:$ZZ,4,FALSE)+SUM(_xlfn.XLOOKUP($R33:$AF33,增益!$A:$A,增益!$D:$D,0))-$I$2</f>
        <v>3940</v>
      </c>
      <c r="AP33" s="32" cm="1">
        <f t="array" ref="AP33">IF($F$10-$I$3+VLOOKUP($Q33,武学奇术!$A:$ZZ,6,FALSE)+SUM(_xlfn.XLOOKUP(R33:AF33,增益!$A:$A,增益!$F:$F,0))&gt;0,($F$10-$I$3+VLOOKUP($Q33,武学奇术!$A:$ZZ,6,FALSE)+SUM(_xlfn.XLOOKUP(R33:AF33,增益!$A:$A,增益!$F:$F,0)))/200,($F$10-$I$3+VLOOKUP($Q33,武学奇术!$A:$ZZ,6,FALSE)+SUM(_xlfn.XLOOKUP(R33:AF33,增益!$A:$A,增益!$F:$F,0)))/100)</f>
        <v>0.194</v>
      </c>
      <c r="AQ33" s="32" cm="1">
        <f t="array" ref="AQ33">$G$10+VLOOKUP($Q33,武学奇术!$A:$ZZ,7,FALSE)+SUM(_xlfn.XLOOKUP(R33:AF33,增益!$A:$A,增益!$G:$G,0))</f>
        <v>0</v>
      </c>
      <c r="AR33" s="26" cm="1">
        <f t="array" ref="AR33">VLOOKUP($Q33,武学奇术!$A:$ZZ,8,FALSE)+SUM(_xlfn.XLOOKUP(R33:AF33,增益!$A:$A,增益!$H:$H,0))</f>
        <v>0</v>
      </c>
      <c r="AS33">
        <f t="shared" si="1"/>
        <v>0</v>
      </c>
      <c r="AT33">
        <f t="shared" si="2"/>
        <v>0</v>
      </c>
      <c r="AU33" s="32" cm="1">
        <f t="array" ref="AU33">IF($F$11-$I$4+VLOOKUP($Q33,武学奇术!$A:$ZZ,9,FALSE)+SUM(_xlfn.XLOOKUP(R33:AF33,增益!$A:$A,增益!$I:$I,0))&gt;0,($F$11-$I$4+VLOOKUP($Q33,武学奇术!$A:$ZZ,9,FALSE)+SUM(_xlfn.XLOOKUP(R33:AF33,增益!$A:$A,增益!$I:$I,0)))/200,($F$11-$I$4+VLOOKUP($Q33,武学奇术!$A:$ZZ,9,FALSE)+SUM(_xlfn.XLOOKUP(R33:AF33,增益!$A:$A,增益!$I:$I,0)))/100)</f>
        <v>-0.3</v>
      </c>
      <c r="AV33" s="32" cm="1">
        <f t="array" ref="AV33">$G$11+VLOOKUP($Q33,武学奇术!$A:$ZZ,10,FALSE)+SUM(_xlfn.XLOOKUP(R33:AF33,增益!$A:$A,增益!$J:$J,0))</f>
        <v>0</v>
      </c>
      <c r="AW33">
        <f t="shared" si="3"/>
        <v>0</v>
      </c>
      <c r="AX33">
        <f t="shared" si="4"/>
        <v>0</v>
      </c>
      <c r="AY33" s="32" cm="1">
        <f t="array" ref="AY33">IF($F$12-$I$4+VLOOKUP($Q33,武学奇术!$A:$ZZ,11,FALSE)+SUM(_xlfn.XLOOKUP(R33:AF33,增益!$A:$A,增益!$K:$K,0))&gt;0,($F$12-$I$4+VLOOKUP($Q33,武学奇术!$A:$ZZ,11,FALSE)+SUM(_xlfn.XLOOKUP(R33:AF33,增益!$A:$A,增益!$K:$K,0)))/200,($F$12-$I$4+VLOOKUP($Q33,武学奇术!$A:$ZZ,11,FALSE)+SUM(_xlfn.XLOOKUP(R33:AF33,增益!$A:$A,增益!$K:$K,0)))/100)</f>
        <v>-0.3</v>
      </c>
      <c r="AZ33" s="32" cm="1">
        <f t="array" ref="AZ33">$G$12+VLOOKUP($Q33,武学奇术!$A:$ZZ,12,FALSE)+SUM(_xlfn.XLOOKUP(R33:AF33,增益!$A:$A,增益!$L:$L,0))</f>
        <v>0</v>
      </c>
      <c r="BA33">
        <f t="shared" si="5"/>
        <v>697.4</v>
      </c>
      <c r="BB33">
        <f t="shared" si="6"/>
        <v>1805</v>
      </c>
      <c r="BC33" s="32" cm="1">
        <f t="array" ref="BC33">IF($F$13-$I$4+VLOOKUP($Q33,武学奇术!$A:$ZZ,13,FALSE)+SUM(_xlfn.XLOOKUP(R33:AF33,增益!$A:$A,增益!$M:$M,0))&gt;0,($F$13-$I$4+VLOOKUP($Q33,武学奇术!$A:$ZZ,13,FALSE)+SUM(_xlfn.XLOOKUP(R33:AF33,增益!$A:$A,增益!$K:$K,0)))/200,($F$13-$I$4+VLOOKUP($Q33,武学奇术!$A:$ZZ,13,FALSE)+SUM(_xlfn.XLOOKUP(R33:AF33,增益!$A:$A,增益!$M:$M,0)))/100)</f>
        <v>0</v>
      </c>
      <c r="BD33" s="32" cm="1">
        <f t="array" ref="BD33">$G$13+VLOOKUP($Q33,武学奇术!$A:$ZZ,14,FALSE)+SUM(_xlfn.XLOOKUP(R33:AF33,增益!$A:$A,增益!$N:$N,0))</f>
        <v>0.15</v>
      </c>
      <c r="BE33">
        <f t="shared" si="7"/>
        <v>0</v>
      </c>
      <c r="BF33">
        <f t="shared" si="8"/>
        <v>0</v>
      </c>
      <c r="BG33" s="32" cm="1">
        <f t="array" ref="BG33">IF($F$14-$I$4+VLOOKUP($Q33,武学奇术!$A:$ZZ,15,FALSE)+SUM(_xlfn.XLOOKUP(R33:AF33,增益!$A:$A,增益!$O:$O,0))&gt;0,($F$14-$I$4+VLOOKUP($Q33,武学奇术!$A:$ZZ,15,FALSE)+SUM(_xlfn.XLOOKUP(R33:AF33,增益!$A:$A,增益!$O:$O,0)))/200,($F$14-$I$4+VLOOKUP($Q33,武学奇术!$A:$ZZ,15,FALSE)+SUM(_xlfn.XLOOKUP(R33:AF33,增益!$A:$A,增益!$O:$O,0)))/100)</f>
        <v>-0.3</v>
      </c>
      <c r="BH33" s="32" cm="1">
        <f t="array" ref="BH33">$G$14+VLOOKUP($Q33,武学奇术!$A:$ZZ,16,FALSE)+SUM(_xlfn.XLOOKUP(R33:AF33,增益!$A:$A,增益!$P:$P,0))</f>
        <v>0</v>
      </c>
      <c r="BI33" s="26">
        <f>MIN(IF(VLOOKUP($Q33,武学奇术!$A:$ZZ,23,FALSE)=1,100%,$B$8),100%)</f>
        <v>1</v>
      </c>
      <c r="BJ33" s="26" cm="1">
        <f t="array" ref="BJ33">IF(VLOOKUP($Q33,武学奇术!$A:$ZZ,23,FALSE)=1,100%,MIN(80%,$B$9+VLOOKUP($Q33,武学奇术!$A:$ZZ,17,FALSE)+SUM(_xlfn.XLOOKUP(R33:AF33,增益!$A:$A,增益!$Q:$Q,0)))+$B$11+SUM(_xlfn.XLOOKUP(R33:AF33,增益!$A:$A,增益!$U:$U,0)))*IF(VLOOKUP($Q33,武学奇术!$A:$ZZ,24,FALSE)=1,0,1)</f>
        <v>0.8625</v>
      </c>
      <c r="BK33" s="26" cm="1">
        <f t="array" ref="BK33">1+$B$13+VLOOKUP($Q33,武学奇术!$A:$ZZ,18,FALSE)+SUM(_xlfn.XLOOKUP(R33:AF33,增益!$A:$A,增益!$R:$R,0))</f>
        <v>1.5</v>
      </c>
      <c r="BL33" s="26" cm="1">
        <f t="array" ref="BL33">IF(VLOOKUP($Q33,武学奇术!$A:$ZZ,24,FALSE)=1,100%,MIN(40%,$B$10+VLOOKUP($Q33,武学奇术!$A:$ZZ,19,FALSE)+SUM(_xlfn.XLOOKUP(R33:AF33,增益!$A:$A,增益!$S:$S,0)))+$B$12+SUM(_xlfn.XLOOKUP(R33:AF33,增益!$A:$A,增益!$V:$V,0)))*IF(VLOOKUP($Q33,武学奇术!$A:$ZZ,23,FALSE)=1,0,1)</f>
        <v>0.0913</v>
      </c>
      <c r="BM33" s="26" cm="1">
        <f t="array" ref="BM33">1+$B$14+VLOOKUP($Q33,武学奇术!$A:$ZZ,20,FALSE)+SUM(_xlfn.XLOOKUP(R33:AF33,增益!$A:$A,增益!$T:$T,0))</f>
        <v>1.35</v>
      </c>
      <c r="BN33" s="26">
        <f t="shared" si="9"/>
        <v>0.8625</v>
      </c>
      <c r="BO33" s="26">
        <f t="shared" si="10"/>
        <v>0.0462</v>
      </c>
      <c r="BP33" s="26">
        <f>IF(VLOOKUP($Q33,武学奇术!$A:$ZZ,22,FALSE)=1,0,(1-$BI33))*(1-$BL33)</f>
        <v>0</v>
      </c>
      <c r="BQ33" s="26" cm="1">
        <f t="array" ref="BQ33">SUM(_xlfn.XLOOKUP(R33:AF33,增益!$A:$A,增益!$W:$W,0))+$I$5</f>
        <v>0.06</v>
      </c>
    </row>
    <row r="34" spans="5:69">
      <c r="K34" s="38">
        <f t="shared" si="0"/>
        <v>0</v>
      </c>
      <c r="L34" s="38">
        <f>((($AN34+$AO34)/2*$AH34+$AI34)*(1+$AP34)*(1+$AQ34)+(($AS34+$AT34)/2*IF($G$1="鸣金",$AJ34,$AH34)+IF($G$1="鸣金",$AK34*1.5,0))*(1+$AU34)*(1+$AV34)+(($AW34+$AX34)/2*IF($G$1="裂石",$AJ34,$AH34)+IF($G$1="裂石",$AK34*1.5,0))*(1+$AY34)*(1+$AZ34)+(($BA34+$BB34)/2*IF($G$1="牵丝",$AJ34,$AH34)+IF($G$1="牵丝",$AK34*1.5,0))*(1+$BC34)*(1+$BD34)+(($BE34+$BF34)/2*IF($G$1="破竹",$AJ34,$AH34)+IF($G$1="破竹",$AK34*1.5,0))*(1+$BG34)*(1+$BH34))*(1+$AL34)*$BK34*$P34*(1+IF(VLOOKUP($Q34,武学奇术!$A:$ZZ,30,FALSE)="蓄力技",#REF!,0))*(1+$BQ34)</f>
        <v>0</v>
      </c>
      <c r="M34" s="38">
        <f>(($AO34*$AH34+$AI34)*(1+$AP34)*(1+$AQ34)+($AT34*IF($G$1="鸣金",$AJ34,$AH34)+IF($G$1="鸣金",$AK34*1.5,0))*(1+$AU34)*(1+$AV34)+($AX34*IF($G$1="裂石",$AJ34,$AH34)+IF($G$1="裂石",$AK34*1.5,0))*(1+$AY34)*(1+$AZ34)+($BB34*IF($G$1="牵丝",$AJ34,$AH34)+IF($G$1="牵丝",$AK34*1.5,0))*(1+$BC34)*(1+$BD34)+($BF34*IF($G$1="破竹",$AJ34,$AH34)+IF($G$1="破竹",$AK34*1.5,0))*(1+$BG34)*(1+$BH34))*(1+$AL34)*$BM34*$P34*(1+IF(VLOOKUP($Q34,武学奇术!$A:$ZZ,30,FALSE)="蓄力技",#REF!,0))*(1+$BQ34)</f>
        <v>0</v>
      </c>
      <c r="N34" s="38">
        <f>((($AN34+$AO34)/2*$AH34+$AI34)*(1+$AP34)*(1+$AQ34)+(($AS34+$AT34)/2*IF($G$1="鸣金",$AJ34,$AH34)+IF($G$1="鸣金",$AK34*1.5,0))*(1+$AU34)*(1+$AV34)+(($AW34+$AX34)/2*IF($G$1="裂石",$AJ34,$AH34)+IF($G$1="裂石",$AK34*1.5,0))*(1+$AY34)*(1+$AZ34)+(($BA34+$BB34)/2*IF($G$1="牵丝",$AJ34,$AH34)+IF($G$1="牵丝",$AK34*1.5,0))*(1+$BC34)*(1+$BD34)+(($BE34+$BF34)/2*IF($G$1="破竹",$AJ34,$AH34)+IF($G$1="破竹",$AK34*1.5,0))*(1+$BG34)*(1+$BH34))*(1+$AL34)*$P34*(1+IF(VLOOKUP($Q34,武学奇术!$A:$ZZ,30,FALSE)="蓄力技",#REF!,0))*(1+$BQ34)</f>
        <v>0</v>
      </c>
      <c r="O34" s="38">
        <f>((($AN34*$AH34+$AI34)*(1+$AP34)*(1+$AQ34)+($AS34*IF($G$1="鸣金",$AJ34,$AH34)+IF($G$1="鸣金",$AK34*1.5,0))*(1+$AU34)*(1+$AV34)+($AW34*IF($G$1="裂石",$AJ34,$AH34)+IF($G$1="裂石",$AK34*1.5,0))*(1+$AY34)*(1+$AZ34)+($BA34*IF($G$1="牵丝",$AJ34,$AH34)+IF($G$1="牵丝",$AK34*1.5,0))*(1+$BC34)*(1+$BD34)+($BE34*IF($G$1="破竹",$AJ34,$AH34)+IF($G$1="破竹",$AK34*1.5,0))*(1+$BG34)*(1+$BH34))*(1+$AL34))*$P34*(1+IF(VLOOKUP($Q34,武学奇术!$A:$ZZ,30,FALSE)="蓄力技",#REF!,0))*(1+$BQ34)</f>
        <v>0</v>
      </c>
      <c r="P34" s="39">
        <v>1</v>
      </c>
      <c r="Q34" s="40" t="s">
        <v>76</v>
      </c>
      <c r="R34" s="40" t="s">
        <v>76</v>
      </c>
      <c r="S34" s="40" t="s">
        <v>76</v>
      </c>
      <c r="T34" s="40" t="s">
        <v>76</v>
      </c>
      <c r="U34" s="40" t="s">
        <v>76</v>
      </c>
      <c r="V34" s="40" t="s">
        <v>76</v>
      </c>
      <c r="W34" s="40" t="s">
        <v>76</v>
      </c>
      <c r="X34" s="40" t="s">
        <v>76</v>
      </c>
      <c r="Y34" s="40" t="s">
        <v>76</v>
      </c>
      <c r="Z34" s="40" t="s">
        <v>76</v>
      </c>
      <c r="AA34" s="40" t="s">
        <v>76</v>
      </c>
      <c r="AB34" s="40" t="s">
        <v>76</v>
      </c>
      <c r="AC34" s="40" t="s">
        <v>76</v>
      </c>
      <c r="AD34" s="40" t="s">
        <v>76</v>
      </c>
      <c r="AE34" s="40" t="s">
        <v>76</v>
      </c>
      <c r="AF34" s="40" t="s">
        <v>76</v>
      </c>
      <c r="AG34" t="str">
        <f>VLOOKUP($Q34,武学奇术!$A:$ZZ,25,FALSE)</f>
        <v>心法</v>
      </c>
      <c r="AH34" s="26">
        <f>VLOOKUP($Q34,武学奇术!$A:$ZZ,26,FALSE)</f>
        <v>0</v>
      </c>
      <c r="AI34" s="27">
        <f>VLOOKUP($Q34,武学奇术!$A:$ZZ,27,FALSE)*(1+IF(OR($AG34=$F$4,$AG34=$F$5),$B$21,0))</f>
        <v>0</v>
      </c>
      <c r="AJ34" s="26">
        <f>VLOOKUP($Q34,武学奇术!$A:$ZZ,28,FALSE)</f>
        <v>0</v>
      </c>
      <c r="AK34" s="27">
        <f>VLOOKUP($Q34,武学奇术!$A:$ZZ,29,FALSE)*(1+IF(OR($AG34=$F$4,$AG34=$F$5),$B$21,0))</f>
        <v>0</v>
      </c>
      <c r="AL34" s="26" cm="1">
        <f t="array" ref="AL34">$G$3+IFERROR(VLOOKUP($AG34,$F$4:$G$7,2,FALSE),0)+VLOOKUP($Q34,武学奇术!$A:$ZZ,2,FALSE)+SUM(_xlfn.XLOOKUP($R34:$AF34,增益!$A:$A,增益!$B:$B,0))</f>
        <v>0.1842</v>
      </c>
      <c r="AM34" s="26" cm="1">
        <f t="array" ref="AM34">VLOOKUP($Q34,武学奇术!$A:$ZZ,5,FALSE)+SUM(_xlfn.XLOOKUP($R34:$AF34,增益!$A:$A,增益!$E:$E,0))</f>
        <v>0</v>
      </c>
      <c r="AN34" cm="1">
        <f t="array" ref="AN34">$D$10*(1+$AM34)+VLOOKUP($Q34,武学奇术!$A:$ZZ,3,FALSE)+SUM(_xlfn.XLOOKUP($R34:$AF34,增益!$A:$A,增益!$C:$C,0))-$I$2</f>
        <v>3940</v>
      </c>
      <c r="AO34" cm="1">
        <f t="array" ref="AO34">$E$10*(1+$AM34)+VLOOKUP($Q34,武学奇术!$A:$ZZ,4,FALSE)+SUM(_xlfn.XLOOKUP($R34:$AF34,增益!$A:$A,增益!$D:$D,0))-$I$2</f>
        <v>3940</v>
      </c>
      <c r="AP34" s="32" cm="1">
        <f t="array" ref="AP34">IF($F$10-$I$3+VLOOKUP($Q34,武学奇术!$A:$ZZ,6,FALSE)+SUM(_xlfn.XLOOKUP(R34:AF34,增益!$A:$A,增益!$F:$F,0))&gt;0,($F$10-$I$3+VLOOKUP($Q34,武学奇术!$A:$ZZ,6,FALSE)+SUM(_xlfn.XLOOKUP(R34:AF34,增益!$A:$A,增益!$F:$F,0)))/200,($F$10-$I$3+VLOOKUP($Q34,武学奇术!$A:$ZZ,6,FALSE)+SUM(_xlfn.XLOOKUP(R34:AF34,增益!$A:$A,增益!$F:$F,0)))/100)</f>
        <v>0.194</v>
      </c>
      <c r="AQ34" s="32" cm="1">
        <f t="array" ref="AQ34">$G$10+VLOOKUP($Q34,武学奇术!$A:$ZZ,7,FALSE)+SUM(_xlfn.XLOOKUP(R34:AF34,增益!$A:$A,增益!$G:$G,0))</f>
        <v>0</v>
      </c>
      <c r="AR34" s="26" cm="1">
        <f t="array" ref="AR34">VLOOKUP($Q34,武学奇术!$A:$ZZ,8,FALSE)+SUM(_xlfn.XLOOKUP(R34:AF34,增益!$A:$A,增益!$H:$H,0))</f>
        <v>0</v>
      </c>
      <c r="AS34">
        <f t="shared" si="1"/>
        <v>0</v>
      </c>
      <c r="AT34">
        <f t="shared" si="2"/>
        <v>0</v>
      </c>
      <c r="AU34" s="32" cm="1">
        <f t="array" ref="AU34">IF($F$11-$I$4+VLOOKUP($Q34,武学奇术!$A:$ZZ,9,FALSE)+SUM(_xlfn.XLOOKUP(R34:AF34,增益!$A:$A,增益!$I:$I,0))&gt;0,($F$11-$I$4+VLOOKUP($Q34,武学奇术!$A:$ZZ,9,FALSE)+SUM(_xlfn.XLOOKUP(R34:AF34,增益!$A:$A,增益!$I:$I,0)))/200,($F$11-$I$4+VLOOKUP($Q34,武学奇术!$A:$ZZ,9,FALSE)+SUM(_xlfn.XLOOKUP(R34:AF34,增益!$A:$A,增益!$I:$I,0)))/100)</f>
        <v>-0.3</v>
      </c>
      <c r="AV34" s="32" cm="1">
        <f t="array" ref="AV34">$G$11+VLOOKUP($Q34,武学奇术!$A:$ZZ,10,FALSE)+SUM(_xlfn.XLOOKUP(R34:AF34,增益!$A:$A,增益!$J:$J,0))</f>
        <v>0</v>
      </c>
      <c r="AW34">
        <f t="shared" si="3"/>
        <v>0</v>
      </c>
      <c r="AX34">
        <f t="shared" si="4"/>
        <v>0</v>
      </c>
      <c r="AY34" s="32" cm="1">
        <f t="array" ref="AY34">IF($F$12-$I$4+VLOOKUP($Q34,武学奇术!$A:$ZZ,11,FALSE)+SUM(_xlfn.XLOOKUP(R34:AF34,增益!$A:$A,增益!$K:$K,0))&gt;0,($F$12-$I$4+VLOOKUP($Q34,武学奇术!$A:$ZZ,11,FALSE)+SUM(_xlfn.XLOOKUP(R34:AF34,增益!$A:$A,增益!$K:$K,0)))/200,($F$12-$I$4+VLOOKUP($Q34,武学奇术!$A:$ZZ,11,FALSE)+SUM(_xlfn.XLOOKUP(R34:AF34,增益!$A:$A,增益!$K:$K,0)))/100)</f>
        <v>-0.3</v>
      </c>
      <c r="AZ34" s="32" cm="1">
        <f t="array" ref="AZ34">$G$12+VLOOKUP($Q34,武学奇术!$A:$ZZ,12,FALSE)+SUM(_xlfn.XLOOKUP(R34:AF34,增益!$A:$A,增益!$L:$L,0))</f>
        <v>0</v>
      </c>
      <c r="BA34">
        <f t="shared" si="5"/>
        <v>697.4</v>
      </c>
      <c r="BB34">
        <f t="shared" si="6"/>
        <v>1805</v>
      </c>
      <c r="BC34" s="32" cm="1">
        <f t="array" ref="BC34">IF($F$13-$I$4+VLOOKUP($Q34,武学奇术!$A:$ZZ,13,FALSE)+SUM(_xlfn.XLOOKUP(R34:AF34,增益!$A:$A,增益!$M:$M,0))&gt;0,($F$13-$I$4+VLOOKUP($Q34,武学奇术!$A:$ZZ,13,FALSE)+SUM(_xlfn.XLOOKUP(R34:AF34,增益!$A:$A,增益!$K:$K,0)))/200,($F$13-$I$4+VLOOKUP($Q34,武学奇术!$A:$ZZ,13,FALSE)+SUM(_xlfn.XLOOKUP(R34:AF34,增益!$A:$A,增益!$M:$M,0)))/100)</f>
        <v>0</v>
      </c>
      <c r="BD34" s="32" cm="1">
        <f t="array" ref="BD34">$G$13+VLOOKUP($Q34,武学奇术!$A:$ZZ,14,FALSE)+SUM(_xlfn.XLOOKUP(R34:AF34,增益!$A:$A,增益!$N:$N,0))</f>
        <v>0.15</v>
      </c>
      <c r="BE34">
        <f t="shared" si="7"/>
        <v>0</v>
      </c>
      <c r="BF34">
        <f t="shared" si="8"/>
        <v>0</v>
      </c>
      <c r="BG34" s="32" cm="1">
        <f t="array" ref="BG34">IF($F$14-$I$4+VLOOKUP($Q34,武学奇术!$A:$ZZ,15,FALSE)+SUM(_xlfn.XLOOKUP(R34:AF34,增益!$A:$A,增益!$O:$O,0))&gt;0,($F$14-$I$4+VLOOKUP($Q34,武学奇术!$A:$ZZ,15,FALSE)+SUM(_xlfn.XLOOKUP(R34:AF34,增益!$A:$A,增益!$O:$O,0)))/200,($F$14-$I$4+VLOOKUP($Q34,武学奇术!$A:$ZZ,15,FALSE)+SUM(_xlfn.XLOOKUP(R34:AF34,增益!$A:$A,增益!$O:$O,0)))/100)</f>
        <v>-0.3</v>
      </c>
      <c r="BH34" s="32" cm="1">
        <f t="array" ref="BH34">$G$14+VLOOKUP($Q34,武学奇术!$A:$ZZ,16,FALSE)+SUM(_xlfn.XLOOKUP(R34:AF34,增益!$A:$A,增益!$P:$P,0))</f>
        <v>0</v>
      </c>
      <c r="BI34" s="26">
        <f>MIN(IF(VLOOKUP($Q34,武学奇术!$A:$ZZ,23,FALSE)=1,100%,$B$8),100%)</f>
        <v>1</v>
      </c>
      <c r="BJ34" s="26" cm="1">
        <f t="array" ref="BJ34">IF(VLOOKUP($Q34,武学奇术!$A:$ZZ,23,FALSE)=1,100%,MIN(80%,$B$9+VLOOKUP($Q34,武学奇术!$A:$ZZ,17,FALSE)+SUM(_xlfn.XLOOKUP(R34:AF34,增益!$A:$A,增益!$Q:$Q,0)))+$B$11+SUM(_xlfn.XLOOKUP(R34:AF34,增益!$A:$A,增益!$U:$U,0)))*IF(VLOOKUP($Q34,武学奇术!$A:$ZZ,24,FALSE)=1,0,1)</f>
        <v>0.8625</v>
      </c>
      <c r="BK34" s="26" cm="1">
        <f t="array" ref="BK34">1+$B$13+VLOOKUP($Q34,武学奇术!$A:$ZZ,18,FALSE)+SUM(_xlfn.XLOOKUP(R34:AF34,增益!$A:$A,增益!$R:$R,0))</f>
        <v>1.5</v>
      </c>
      <c r="BL34" s="26" cm="1">
        <f t="array" ref="BL34">IF(VLOOKUP($Q34,武学奇术!$A:$ZZ,24,FALSE)=1,100%,MIN(40%,$B$10+VLOOKUP($Q34,武学奇术!$A:$ZZ,19,FALSE)+SUM(_xlfn.XLOOKUP(R34:AF34,增益!$A:$A,增益!$S:$S,0)))+$B$12+SUM(_xlfn.XLOOKUP(R34:AF34,增益!$A:$A,增益!$V:$V,0)))*IF(VLOOKUP($Q34,武学奇术!$A:$ZZ,23,FALSE)=1,0,1)</f>
        <v>0.0913</v>
      </c>
      <c r="BM34" s="26" cm="1">
        <f t="array" ref="BM34">1+$B$14+VLOOKUP($Q34,武学奇术!$A:$ZZ,20,FALSE)+SUM(_xlfn.XLOOKUP(R34:AF34,增益!$A:$A,增益!$T:$T,0))</f>
        <v>1.35</v>
      </c>
      <c r="BN34" s="26">
        <f t="shared" si="9"/>
        <v>0.8625</v>
      </c>
      <c r="BO34" s="26">
        <f t="shared" si="10"/>
        <v>0.0462</v>
      </c>
      <c r="BP34" s="26">
        <f>IF(VLOOKUP($Q34,武学奇术!$A:$ZZ,22,FALSE)=1,0,(1-$BI34))*(1-$BL34)</f>
        <v>0</v>
      </c>
      <c r="BQ34" s="26" cm="1">
        <f t="array" ref="BQ34">SUM(_xlfn.XLOOKUP(R34:AF34,增益!$A:$A,增益!$W:$W,0))+$I$5</f>
        <v>0.06</v>
      </c>
    </row>
    <row r="35" spans="5:69">
      <c r="K35" s="38">
        <f t="shared" si="0"/>
        <v>0</v>
      </c>
      <c r="L35" s="38">
        <f>((($AN35+$AO35)/2*$AH35+$AI35)*(1+$AP35)*(1+$AQ35)+(($AS35+$AT35)/2*IF($G$1="鸣金",$AJ35,$AH35)+IF($G$1="鸣金",$AK35*1.5,0))*(1+$AU35)*(1+$AV35)+(($AW35+$AX35)/2*IF($G$1="裂石",$AJ35,$AH35)+IF($G$1="裂石",$AK35*1.5,0))*(1+$AY35)*(1+$AZ35)+(($BA35+$BB35)/2*IF($G$1="牵丝",$AJ35,$AH35)+IF($G$1="牵丝",$AK35*1.5,0))*(1+$BC35)*(1+$BD35)+(($BE35+$BF35)/2*IF($G$1="破竹",$AJ35,$AH35)+IF($G$1="破竹",$AK35*1.5,0))*(1+$BG35)*(1+$BH35))*(1+$AL35)*$BK35*$P35*(1+IF(VLOOKUP($Q35,武学奇术!$A:$ZZ,30,FALSE)="蓄力技",#REF!,0))*(1+$BQ35)</f>
        <v>0</v>
      </c>
      <c r="M35" s="38">
        <f>(($AO35*$AH35+$AI35)*(1+$AP35)*(1+$AQ35)+($AT35*IF($G$1="鸣金",$AJ35,$AH35)+IF($G$1="鸣金",$AK35*1.5,0))*(1+$AU35)*(1+$AV35)+($AX35*IF($G$1="裂石",$AJ35,$AH35)+IF($G$1="裂石",$AK35*1.5,0))*(1+$AY35)*(1+$AZ35)+($BB35*IF($G$1="牵丝",$AJ35,$AH35)+IF($G$1="牵丝",$AK35*1.5,0))*(1+$BC35)*(1+$BD35)+($BF35*IF($G$1="破竹",$AJ35,$AH35)+IF($G$1="破竹",$AK35*1.5,0))*(1+$BG35)*(1+$BH35))*(1+$AL35)*$BM35*$P35*(1+IF(VLOOKUP($Q35,武学奇术!$A:$ZZ,30,FALSE)="蓄力技",#REF!,0))*(1+$BQ35)</f>
        <v>0</v>
      </c>
      <c r="N35" s="38">
        <f>((($AN35+$AO35)/2*$AH35+$AI35)*(1+$AP35)*(1+$AQ35)+(($AS35+$AT35)/2*IF($G$1="鸣金",$AJ35,$AH35)+IF($G$1="鸣金",$AK35*1.5,0))*(1+$AU35)*(1+$AV35)+(($AW35+$AX35)/2*IF($G$1="裂石",$AJ35,$AH35)+IF($G$1="裂石",$AK35*1.5,0))*(1+$AY35)*(1+$AZ35)+(($BA35+$BB35)/2*IF($G$1="牵丝",$AJ35,$AH35)+IF($G$1="牵丝",$AK35*1.5,0))*(1+$BC35)*(1+$BD35)+(($BE35+$BF35)/2*IF($G$1="破竹",$AJ35,$AH35)+IF($G$1="破竹",$AK35*1.5,0))*(1+$BG35)*(1+$BH35))*(1+$AL35)*$P35*(1+IF(VLOOKUP($Q35,武学奇术!$A:$ZZ,30,FALSE)="蓄力技",#REF!,0))*(1+$BQ35)</f>
        <v>0</v>
      </c>
      <c r="O35" s="38">
        <f>((($AN35*$AH35+$AI35)*(1+$AP35)*(1+$AQ35)+($AS35*IF($G$1="鸣金",$AJ35,$AH35)+IF($G$1="鸣金",$AK35*1.5,0))*(1+$AU35)*(1+$AV35)+($AW35*IF($G$1="裂石",$AJ35,$AH35)+IF($G$1="裂石",$AK35*1.5,0))*(1+$AY35)*(1+$AZ35)+($BA35*IF($G$1="牵丝",$AJ35,$AH35)+IF($G$1="牵丝",$AK35*1.5,0))*(1+$BC35)*(1+$BD35)+($BE35*IF($G$1="破竹",$AJ35,$AH35)+IF($G$1="破竹",$AK35*1.5,0))*(1+$BG35)*(1+$BH35))*(1+$AL35))*$P35*(1+IF(VLOOKUP($Q35,武学奇术!$A:$ZZ,30,FALSE)="蓄力技",#REF!,0))*(1+$BQ35)</f>
        <v>0</v>
      </c>
      <c r="P35" s="39">
        <v>1</v>
      </c>
      <c r="Q35" s="40" t="s">
        <v>76</v>
      </c>
      <c r="R35" s="40" t="s">
        <v>76</v>
      </c>
      <c r="S35" s="40" t="s">
        <v>76</v>
      </c>
      <c r="T35" s="40" t="s">
        <v>76</v>
      </c>
      <c r="U35" s="40" t="s">
        <v>76</v>
      </c>
      <c r="V35" s="40" t="s">
        <v>76</v>
      </c>
      <c r="W35" s="40" t="s">
        <v>76</v>
      </c>
      <c r="X35" s="40" t="s">
        <v>76</v>
      </c>
      <c r="Y35" s="40" t="s">
        <v>76</v>
      </c>
      <c r="Z35" s="40" t="s">
        <v>76</v>
      </c>
      <c r="AA35" s="40" t="s">
        <v>76</v>
      </c>
      <c r="AB35" s="40" t="s">
        <v>76</v>
      </c>
      <c r="AC35" s="40" t="s">
        <v>76</v>
      </c>
      <c r="AD35" s="40" t="s">
        <v>76</v>
      </c>
      <c r="AE35" s="40" t="s">
        <v>76</v>
      </c>
      <c r="AF35" s="40" t="s">
        <v>76</v>
      </c>
      <c r="AG35" t="str">
        <f>VLOOKUP($Q35,武学奇术!$A:$ZZ,25,FALSE)</f>
        <v>心法</v>
      </c>
      <c r="AH35" s="26">
        <f>VLOOKUP($Q35,武学奇术!$A:$ZZ,26,FALSE)</f>
        <v>0</v>
      </c>
      <c r="AI35" s="27">
        <f>VLOOKUP($Q35,武学奇术!$A:$ZZ,27,FALSE)*(1+IF(OR($AG35=$F$4,$AG35=$F$5),$B$21,0))</f>
        <v>0</v>
      </c>
      <c r="AJ35" s="26">
        <f>VLOOKUP($Q35,武学奇术!$A:$ZZ,28,FALSE)</f>
        <v>0</v>
      </c>
      <c r="AK35" s="27">
        <f>VLOOKUP($Q35,武学奇术!$A:$ZZ,29,FALSE)*(1+IF(OR($AG35=$F$4,$AG35=$F$5),$B$21,0))</f>
        <v>0</v>
      </c>
      <c r="AL35" s="26" cm="1">
        <f t="array" ref="AL35">$G$3+IFERROR(VLOOKUP($AG35,$F$4:$G$7,2,FALSE),0)+VLOOKUP($Q35,武学奇术!$A:$ZZ,2,FALSE)+SUM(_xlfn.XLOOKUP($R35:$AF35,增益!$A:$A,增益!$B:$B,0))</f>
        <v>0.1842</v>
      </c>
      <c r="AM35" s="26" cm="1">
        <f t="array" ref="AM35">VLOOKUP($Q35,武学奇术!$A:$ZZ,5,FALSE)+SUM(_xlfn.XLOOKUP($R35:$AF35,增益!$A:$A,增益!$E:$E,0))</f>
        <v>0</v>
      </c>
      <c r="AN35" cm="1">
        <f t="array" ref="AN35">$D$10*(1+$AM35)+VLOOKUP($Q35,武学奇术!$A:$ZZ,3,FALSE)+SUM(_xlfn.XLOOKUP($R35:$AF35,增益!$A:$A,增益!$C:$C,0))-$I$2</f>
        <v>3940</v>
      </c>
      <c r="AO35" cm="1">
        <f t="array" ref="AO35">$E$10*(1+$AM35)+VLOOKUP($Q35,武学奇术!$A:$ZZ,4,FALSE)+SUM(_xlfn.XLOOKUP($R35:$AF35,增益!$A:$A,增益!$D:$D,0))-$I$2</f>
        <v>3940</v>
      </c>
      <c r="AP35" s="32" cm="1">
        <f t="array" ref="AP35">IF($F$10-$I$3+VLOOKUP($Q35,武学奇术!$A:$ZZ,6,FALSE)+SUM(_xlfn.XLOOKUP(R35:AF35,增益!$A:$A,增益!$F:$F,0))&gt;0,($F$10-$I$3+VLOOKUP($Q35,武学奇术!$A:$ZZ,6,FALSE)+SUM(_xlfn.XLOOKUP(R35:AF35,增益!$A:$A,增益!$F:$F,0)))/200,($F$10-$I$3+VLOOKUP($Q35,武学奇术!$A:$ZZ,6,FALSE)+SUM(_xlfn.XLOOKUP(R35:AF35,增益!$A:$A,增益!$F:$F,0)))/100)</f>
        <v>0.194</v>
      </c>
      <c r="AQ35" s="32" cm="1">
        <f t="array" ref="AQ35">$G$10+VLOOKUP($Q35,武学奇术!$A:$ZZ,7,FALSE)+SUM(_xlfn.XLOOKUP(R35:AF35,增益!$A:$A,增益!$G:$G,0))</f>
        <v>0</v>
      </c>
      <c r="AR35" s="26" cm="1">
        <f t="array" ref="AR35">VLOOKUP($Q35,武学奇术!$A:$ZZ,8,FALSE)+SUM(_xlfn.XLOOKUP(R35:AF35,增益!$A:$A,增益!$H:$H,0))</f>
        <v>0</v>
      </c>
      <c r="AS35">
        <f t="shared" si="1"/>
        <v>0</v>
      </c>
      <c r="AT35">
        <f t="shared" si="2"/>
        <v>0</v>
      </c>
      <c r="AU35" s="32" cm="1">
        <f t="array" ref="AU35">IF($F$11-$I$4+VLOOKUP($Q35,武学奇术!$A:$ZZ,9,FALSE)+SUM(_xlfn.XLOOKUP(R35:AF35,增益!$A:$A,增益!$I:$I,0))&gt;0,($F$11-$I$4+VLOOKUP($Q35,武学奇术!$A:$ZZ,9,FALSE)+SUM(_xlfn.XLOOKUP(R35:AF35,增益!$A:$A,增益!$I:$I,0)))/200,($F$11-$I$4+VLOOKUP($Q35,武学奇术!$A:$ZZ,9,FALSE)+SUM(_xlfn.XLOOKUP(R35:AF35,增益!$A:$A,增益!$I:$I,0)))/100)</f>
        <v>-0.3</v>
      </c>
      <c r="AV35" s="32" cm="1">
        <f t="array" ref="AV35">$G$11+VLOOKUP($Q35,武学奇术!$A:$ZZ,10,FALSE)+SUM(_xlfn.XLOOKUP(R35:AF35,增益!$A:$A,增益!$J:$J,0))</f>
        <v>0</v>
      </c>
      <c r="AW35">
        <f t="shared" si="3"/>
        <v>0</v>
      </c>
      <c r="AX35">
        <f t="shared" si="4"/>
        <v>0</v>
      </c>
      <c r="AY35" s="32" cm="1">
        <f t="array" ref="AY35">IF($F$12-$I$4+VLOOKUP($Q35,武学奇术!$A:$ZZ,11,FALSE)+SUM(_xlfn.XLOOKUP(R35:AF35,增益!$A:$A,增益!$K:$K,0))&gt;0,($F$12-$I$4+VLOOKUP($Q35,武学奇术!$A:$ZZ,11,FALSE)+SUM(_xlfn.XLOOKUP(R35:AF35,增益!$A:$A,增益!$K:$K,0)))/200,($F$12-$I$4+VLOOKUP($Q35,武学奇术!$A:$ZZ,11,FALSE)+SUM(_xlfn.XLOOKUP(R35:AF35,增益!$A:$A,增益!$K:$K,0)))/100)</f>
        <v>-0.3</v>
      </c>
      <c r="AZ35" s="32" cm="1">
        <f t="array" ref="AZ35">$G$12+VLOOKUP($Q35,武学奇术!$A:$ZZ,12,FALSE)+SUM(_xlfn.XLOOKUP(R35:AF35,增益!$A:$A,增益!$L:$L,0))</f>
        <v>0</v>
      </c>
      <c r="BA35">
        <f t="shared" si="5"/>
        <v>697.4</v>
      </c>
      <c r="BB35">
        <f t="shared" si="6"/>
        <v>1805</v>
      </c>
      <c r="BC35" s="32" cm="1">
        <f t="array" ref="BC35">IF($F$13-$I$4+VLOOKUP($Q35,武学奇术!$A:$ZZ,13,FALSE)+SUM(_xlfn.XLOOKUP(R35:AF35,增益!$A:$A,增益!$M:$M,0))&gt;0,($F$13-$I$4+VLOOKUP($Q35,武学奇术!$A:$ZZ,13,FALSE)+SUM(_xlfn.XLOOKUP(R35:AF35,增益!$A:$A,增益!$K:$K,0)))/200,($F$13-$I$4+VLOOKUP($Q35,武学奇术!$A:$ZZ,13,FALSE)+SUM(_xlfn.XLOOKUP(R35:AF35,增益!$A:$A,增益!$M:$M,0)))/100)</f>
        <v>0</v>
      </c>
      <c r="BD35" s="32" cm="1">
        <f t="array" ref="BD35">$G$13+VLOOKUP($Q35,武学奇术!$A:$ZZ,14,FALSE)+SUM(_xlfn.XLOOKUP(R35:AF35,增益!$A:$A,增益!$N:$N,0))</f>
        <v>0.15</v>
      </c>
      <c r="BE35">
        <f t="shared" si="7"/>
        <v>0</v>
      </c>
      <c r="BF35">
        <f t="shared" si="8"/>
        <v>0</v>
      </c>
      <c r="BG35" s="32" cm="1">
        <f t="array" ref="BG35">IF($F$14-$I$4+VLOOKUP($Q35,武学奇术!$A:$ZZ,15,FALSE)+SUM(_xlfn.XLOOKUP(R35:AF35,增益!$A:$A,增益!$O:$O,0))&gt;0,($F$14-$I$4+VLOOKUP($Q35,武学奇术!$A:$ZZ,15,FALSE)+SUM(_xlfn.XLOOKUP(R35:AF35,增益!$A:$A,增益!$O:$O,0)))/200,($F$14-$I$4+VLOOKUP($Q35,武学奇术!$A:$ZZ,15,FALSE)+SUM(_xlfn.XLOOKUP(R35:AF35,增益!$A:$A,增益!$O:$O,0)))/100)</f>
        <v>-0.3</v>
      </c>
      <c r="BH35" s="32" cm="1">
        <f t="array" ref="BH35">$G$14+VLOOKUP($Q35,武学奇术!$A:$ZZ,16,FALSE)+SUM(_xlfn.XLOOKUP(R35:AF35,增益!$A:$A,增益!$P:$P,0))</f>
        <v>0</v>
      </c>
      <c r="BI35" s="26">
        <f>MIN(IF(VLOOKUP($Q35,武学奇术!$A:$ZZ,23,FALSE)=1,100%,$B$8),100%)</f>
        <v>1</v>
      </c>
      <c r="BJ35" s="26" cm="1">
        <f t="array" ref="BJ35">IF(VLOOKUP($Q35,武学奇术!$A:$ZZ,23,FALSE)=1,100%,MIN(80%,$B$9+VLOOKUP($Q35,武学奇术!$A:$ZZ,17,FALSE)+SUM(_xlfn.XLOOKUP(R35:AF35,增益!$A:$A,增益!$Q:$Q,0)))+$B$11+SUM(_xlfn.XLOOKUP(R35:AF35,增益!$A:$A,增益!$U:$U,0)))*IF(VLOOKUP($Q35,武学奇术!$A:$ZZ,24,FALSE)=1,0,1)</f>
        <v>0.8625</v>
      </c>
      <c r="BK35" s="26" cm="1">
        <f t="array" ref="BK35">1+$B$13+VLOOKUP($Q35,武学奇术!$A:$ZZ,18,FALSE)+SUM(_xlfn.XLOOKUP(R35:AF35,增益!$A:$A,增益!$R:$R,0))</f>
        <v>1.5</v>
      </c>
      <c r="BL35" s="26" cm="1">
        <f t="array" ref="BL35">IF(VLOOKUP($Q35,武学奇术!$A:$ZZ,24,FALSE)=1,100%,MIN(40%,$B$10+VLOOKUP($Q35,武学奇术!$A:$ZZ,19,FALSE)+SUM(_xlfn.XLOOKUP(R35:AF35,增益!$A:$A,增益!$S:$S,0)))+$B$12+SUM(_xlfn.XLOOKUP(R35:AF35,增益!$A:$A,增益!$V:$V,0)))*IF(VLOOKUP($Q35,武学奇术!$A:$ZZ,23,FALSE)=1,0,1)</f>
        <v>0.0913</v>
      </c>
      <c r="BM35" s="26" cm="1">
        <f t="array" ref="BM35">1+$B$14+VLOOKUP($Q35,武学奇术!$A:$ZZ,20,FALSE)+SUM(_xlfn.XLOOKUP(R35:AF35,增益!$A:$A,增益!$T:$T,0))</f>
        <v>1.35</v>
      </c>
      <c r="BN35" s="26">
        <f t="shared" si="9"/>
        <v>0.8625</v>
      </c>
      <c r="BO35" s="26">
        <f t="shared" si="10"/>
        <v>0.0462</v>
      </c>
      <c r="BP35" s="26">
        <f>IF(VLOOKUP($Q35,武学奇术!$A:$ZZ,22,FALSE)=1,0,(1-$BI35))*(1-$BL35)</f>
        <v>0</v>
      </c>
      <c r="BQ35" s="26" cm="1">
        <f t="array" ref="BQ35">SUM(_xlfn.XLOOKUP(R35:AF35,增益!$A:$A,增益!$W:$W,0))+$I$5</f>
        <v>0.06</v>
      </c>
    </row>
    <row r="36" spans="5:69">
      <c r="K36" s="38">
        <f t="shared" si="0"/>
        <v>0</v>
      </c>
      <c r="L36" s="38">
        <f>((($AN36+$AO36)/2*$AH36+$AI36)*(1+$AP36)*(1+$AQ36)+(($AS36+$AT36)/2*IF($G$1="鸣金",$AJ36,$AH36)+IF($G$1="鸣金",$AK36*1.5,0))*(1+$AU36)*(1+$AV36)+(($AW36+$AX36)/2*IF($G$1="裂石",$AJ36,$AH36)+IF($G$1="裂石",$AK36*1.5,0))*(1+$AY36)*(1+$AZ36)+(($BA36+$BB36)/2*IF($G$1="牵丝",$AJ36,$AH36)+IF($G$1="牵丝",$AK36*1.5,0))*(1+$BC36)*(1+$BD36)+(($BE36+$BF36)/2*IF($G$1="破竹",$AJ36,$AH36)+IF($G$1="破竹",$AK36*1.5,0))*(1+$BG36)*(1+$BH36))*(1+$AL36)*$BK36*$P36*(1+IF(VLOOKUP($Q36,武学奇术!$A:$ZZ,30,FALSE)="蓄力技",#REF!,0))*(1+$BQ36)</f>
        <v>0</v>
      </c>
      <c r="M36" s="38">
        <f>(($AO36*$AH36+$AI36)*(1+$AP36)*(1+$AQ36)+($AT36*IF($G$1="鸣金",$AJ36,$AH36)+IF($G$1="鸣金",$AK36*1.5,0))*(1+$AU36)*(1+$AV36)+($AX36*IF($G$1="裂石",$AJ36,$AH36)+IF($G$1="裂石",$AK36*1.5,0))*(1+$AY36)*(1+$AZ36)+($BB36*IF($G$1="牵丝",$AJ36,$AH36)+IF($G$1="牵丝",$AK36*1.5,0))*(1+$BC36)*(1+$BD36)+($BF36*IF($G$1="破竹",$AJ36,$AH36)+IF($G$1="破竹",$AK36*1.5,0))*(1+$BG36)*(1+$BH36))*(1+$AL36)*$BM36*$P36*(1+IF(VLOOKUP($Q36,武学奇术!$A:$ZZ,30,FALSE)="蓄力技",#REF!,0))*(1+$BQ36)</f>
        <v>0</v>
      </c>
      <c r="N36" s="38">
        <f>((($AN36+$AO36)/2*$AH36+$AI36)*(1+$AP36)*(1+$AQ36)+(($AS36+$AT36)/2*IF($G$1="鸣金",$AJ36,$AH36)+IF($G$1="鸣金",$AK36*1.5,0))*(1+$AU36)*(1+$AV36)+(($AW36+$AX36)/2*IF($G$1="裂石",$AJ36,$AH36)+IF($G$1="裂石",$AK36*1.5,0))*(1+$AY36)*(1+$AZ36)+(($BA36+$BB36)/2*IF($G$1="牵丝",$AJ36,$AH36)+IF($G$1="牵丝",$AK36*1.5,0))*(1+$BC36)*(1+$BD36)+(($BE36+$BF36)/2*IF($G$1="破竹",$AJ36,$AH36)+IF($G$1="破竹",$AK36*1.5,0))*(1+$BG36)*(1+$BH36))*(1+$AL36)*$P36*(1+IF(VLOOKUP($Q36,武学奇术!$A:$ZZ,30,FALSE)="蓄力技",#REF!,0))*(1+$BQ36)</f>
        <v>0</v>
      </c>
      <c r="O36" s="38">
        <f>((($AN36*$AH36+$AI36)*(1+$AP36)*(1+$AQ36)+($AS36*IF($G$1="鸣金",$AJ36,$AH36)+IF($G$1="鸣金",$AK36*1.5,0))*(1+$AU36)*(1+$AV36)+($AW36*IF($G$1="裂石",$AJ36,$AH36)+IF($G$1="裂石",$AK36*1.5,0))*(1+$AY36)*(1+$AZ36)+($BA36*IF($G$1="牵丝",$AJ36,$AH36)+IF($G$1="牵丝",$AK36*1.5,0))*(1+$BC36)*(1+$BD36)+($BE36*IF($G$1="破竹",$AJ36,$AH36)+IF($G$1="破竹",$AK36*1.5,0))*(1+$BG36)*(1+$BH36))*(1+$AL36))*$P36*(1+IF(VLOOKUP($Q36,武学奇术!$A:$ZZ,30,FALSE)="蓄力技",#REF!,0))*(1+$BQ36)</f>
        <v>0</v>
      </c>
      <c r="P36" s="39">
        <v>1</v>
      </c>
      <c r="Q36" s="40" t="s">
        <v>76</v>
      </c>
      <c r="R36" s="40" t="s">
        <v>76</v>
      </c>
      <c r="S36" s="40" t="s">
        <v>76</v>
      </c>
      <c r="T36" s="40" t="s">
        <v>76</v>
      </c>
      <c r="U36" s="40" t="s">
        <v>76</v>
      </c>
      <c r="V36" s="40" t="s">
        <v>76</v>
      </c>
      <c r="W36" s="40" t="s">
        <v>76</v>
      </c>
      <c r="X36" s="40" t="s">
        <v>76</v>
      </c>
      <c r="Y36" s="40" t="s">
        <v>76</v>
      </c>
      <c r="Z36" s="40" t="s">
        <v>76</v>
      </c>
      <c r="AA36" s="40" t="s">
        <v>76</v>
      </c>
      <c r="AB36" s="40" t="s">
        <v>76</v>
      </c>
      <c r="AC36" s="40" t="s">
        <v>76</v>
      </c>
      <c r="AD36" s="40" t="s">
        <v>76</v>
      </c>
      <c r="AE36" s="40" t="s">
        <v>76</v>
      </c>
      <c r="AF36" s="40" t="s">
        <v>76</v>
      </c>
      <c r="AG36" t="str">
        <f>VLOOKUP($Q36,武学奇术!$A:$ZZ,25,FALSE)</f>
        <v>心法</v>
      </c>
      <c r="AH36" s="26">
        <f>VLOOKUP($Q36,武学奇术!$A:$ZZ,26,FALSE)</f>
        <v>0</v>
      </c>
      <c r="AI36" s="27">
        <f>VLOOKUP($Q36,武学奇术!$A:$ZZ,27,FALSE)*(1+IF(OR($AG36=$F$4,$AG36=$F$5),$B$21,0))</f>
        <v>0</v>
      </c>
      <c r="AJ36" s="26">
        <f>VLOOKUP($Q36,武学奇术!$A:$ZZ,28,FALSE)</f>
        <v>0</v>
      </c>
      <c r="AK36" s="27">
        <f>VLOOKUP($Q36,武学奇术!$A:$ZZ,29,FALSE)*(1+IF(OR($AG36=$F$4,$AG36=$F$5),$B$21,0))</f>
        <v>0</v>
      </c>
      <c r="AL36" s="26" cm="1">
        <f t="array" ref="AL36">$G$3+IFERROR(VLOOKUP($AG36,$F$4:$G$7,2,FALSE),0)+VLOOKUP($Q36,武学奇术!$A:$ZZ,2,FALSE)+SUM(_xlfn.XLOOKUP($R36:$AF36,增益!$A:$A,增益!$B:$B,0))</f>
        <v>0.1842</v>
      </c>
      <c r="AM36" s="26" cm="1">
        <f t="array" ref="AM36">VLOOKUP($Q36,武学奇术!$A:$ZZ,5,FALSE)+SUM(_xlfn.XLOOKUP($R36:$AF36,增益!$A:$A,增益!$E:$E,0))</f>
        <v>0</v>
      </c>
      <c r="AN36" cm="1">
        <f t="array" ref="AN36">$D$10*(1+$AM36)+VLOOKUP($Q36,武学奇术!$A:$ZZ,3,FALSE)+SUM(_xlfn.XLOOKUP($R36:$AF36,增益!$A:$A,增益!$C:$C,0))-$I$2</f>
        <v>3940</v>
      </c>
      <c r="AO36" cm="1">
        <f t="array" ref="AO36">$E$10*(1+$AM36)+VLOOKUP($Q36,武学奇术!$A:$ZZ,4,FALSE)+SUM(_xlfn.XLOOKUP($R36:$AF36,增益!$A:$A,增益!$D:$D,0))-$I$2</f>
        <v>3940</v>
      </c>
      <c r="AP36" s="32" cm="1">
        <f t="array" ref="AP36">IF($F$10-$I$3+VLOOKUP($Q36,武学奇术!$A:$ZZ,6,FALSE)+SUM(_xlfn.XLOOKUP(R36:AF36,增益!$A:$A,增益!$F:$F,0))&gt;0,($F$10-$I$3+VLOOKUP($Q36,武学奇术!$A:$ZZ,6,FALSE)+SUM(_xlfn.XLOOKUP(R36:AF36,增益!$A:$A,增益!$F:$F,0)))/200,($F$10-$I$3+VLOOKUP($Q36,武学奇术!$A:$ZZ,6,FALSE)+SUM(_xlfn.XLOOKUP(R36:AF36,增益!$A:$A,增益!$F:$F,0)))/100)</f>
        <v>0.194</v>
      </c>
      <c r="AQ36" s="32" cm="1">
        <f t="array" ref="AQ36">$G$10+VLOOKUP($Q36,武学奇术!$A:$ZZ,7,FALSE)+SUM(_xlfn.XLOOKUP(R36:AF36,增益!$A:$A,增益!$G:$G,0))</f>
        <v>0</v>
      </c>
      <c r="AR36" s="26" cm="1">
        <f t="array" ref="AR36">VLOOKUP($Q36,武学奇术!$A:$ZZ,8,FALSE)+SUM(_xlfn.XLOOKUP(R36:AF36,增益!$A:$A,增益!$H:$H,0))</f>
        <v>0</v>
      </c>
      <c r="AS36">
        <f t="shared" si="1"/>
        <v>0</v>
      </c>
      <c r="AT36">
        <f t="shared" si="2"/>
        <v>0</v>
      </c>
      <c r="AU36" s="32" cm="1">
        <f t="array" ref="AU36">IF($F$11-$I$4+VLOOKUP($Q36,武学奇术!$A:$ZZ,9,FALSE)+SUM(_xlfn.XLOOKUP(R36:AF36,增益!$A:$A,增益!$I:$I,0))&gt;0,($F$11-$I$4+VLOOKUP($Q36,武学奇术!$A:$ZZ,9,FALSE)+SUM(_xlfn.XLOOKUP(R36:AF36,增益!$A:$A,增益!$I:$I,0)))/200,($F$11-$I$4+VLOOKUP($Q36,武学奇术!$A:$ZZ,9,FALSE)+SUM(_xlfn.XLOOKUP(R36:AF36,增益!$A:$A,增益!$I:$I,0)))/100)</f>
        <v>-0.3</v>
      </c>
      <c r="AV36" s="32" cm="1">
        <f t="array" ref="AV36">$G$11+VLOOKUP($Q36,武学奇术!$A:$ZZ,10,FALSE)+SUM(_xlfn.XLOOKUP(R36:AF36,增益!$A:$A,增益!$J:$J,0))</f>
        <v>0</v>
      </c>
      <c r="AW36">
        <f t="shared" si="3"/>
        <v>0</v>
      </c>
      <c r="AX36">
        <f t="shared" si="4"/>
        <v>0</v>
      </c>
      <c r="AY36" s="32" cm="1">
        <f t="array" ref="AY36">IF($F$12-$I$4+VLOOKUP($Q36,武学奇术!$A:$ZZ,11,FALSE)+SUM(_xlfn.XLOOKUP(R36:AF36,增益!$A:$A,增益!$K:$K,0))&gt;0,($F$12-$I$4+VLOOKUP($Q36,武学奇术!$A:$ZZ,11,FALSE)+SUM(_xlfn.XLOOKUP(R36:AF36,增益!$A:$A,增益!$K:$K,0)))/200,($F$12-$I$4+VLOOKUP($Q36,武学奇术!$A:$ZZ,11,FALSE)+SUM(_xlfn.XLOOKUP(R36:AF36,增益!$A:$A,增益!$K:$K,0)))/100)</f>
        <v>-0.3</v>
      </c>
      <c r="AZ36" s="32" cm="1">
        <f t="array" ref="AZ36">$G$12+VLOOKUP($Q36,武学奇术!$A:$ZZ,12,FALSE)+SUM(_xlfn.XLOOKUP(R36:AF36,增益!$A:$A,增益!$L:$L,0))</f>
        <v>0</v>
      </c>
      <c r="BA36">
        <f t="shared" si="5"/>
        <v>697.4</v>
      </c>
      <c r="BB36">
        <f t="shared" si="6"/>
        <v>1805</v>
      </c>
      <c r="BC36" s="32" cm="1">
        <f t="array" ref="BC36">IF($F$13-$I$4+VLOOKUP($Q36,武学奇术!$A:$ZZ,13,FALSE)+SUM(_xlfn.XLOOKUP(R36:AF36,增益!$A:$A,增益!$M:$M,0))&gt;0,($F$13-$I$4+VLOOKUP($Q36,武学奇术!$A:$ZZ,13,FALSE)+SUM(_xlfn.XLOOKUP(R36:AF36,增益!$A:$A,增益!$K:$K,0)))/200,($F$13-$I$4+VLOOKUP($Q36,武学奇术!$A:$ZZ,13,FALSE)+SUM(_xlfn.XLOOKUP(R36:AF36,增益!$A:$A,增益!$M:$M,0)))/100)</f>
        <v>0</v>
      </c>
      <c r="BD36" s="32" cm="1">
        <f t="array" ref="BD36">$G$13+VLOOKUP($Q36,武学奇术!$A:$ZZ,14,FALSE)+SUM(_xlfn.XLOOKUP(R36:AF36,增益!$A:$A,增益!$N:$N,0))</f>
        <v>0.15</v>
      </c>
      <c r="BE36">
        <f t="shared" si="7"/>
        <v>0</v>
      </c>
      <c r="BF36">
        <f t="shared" si="8"/>
        <v>0</v>
      </c>
      <c r="BG36" s="32" cm="1">
        <f t="array" ref="BG36">IF($F$14-$I$4+VLOOKUP($Q36,武学奇术!$A:$ZZ,15,FALSE)+SUM(_xlfn.XLOOKUP(R36:AF36,增益!$A:$A,增益!$O:$O,0))&gt;0,($F$14-$I$4+VLOOKUP($Q36,武学奇术!$A:$ZZ,15,FALSE)+SUM(_xlfn.XLOOKUP(R36:AF36,增益!$A:$A,增益!$O:$O,0)))/200,($F$14-$I$4+VLOOKUP($Q36,武学奇术!$A:$ZZ,15,FALSE)+SUM(_xlfn.XLOOKUP(R36:AF36,增益!$A:$A,增益!$O:$O,0)))/100)</f>
        <v>-0.3</v>
      </c>
      <c r="BH36" s="32" cm="1">
        <f t="array" ref="BH36">$G$14+VLOOKUP($Q36,武学奇术!$A:$ZZ,16,FALSE)+SUM(_xlfn.XLOOKUP(R36:AF36,增益!$A:$A,增益!$P:$P,0))</f>
        <v>0</v>
      </c>
      <c r="BI36" s="26">
        <f>MIN(IF(VLOOKUP($Q36,武学奇术!$A:$ZZ,23,FALSE)=1,100%,$B$8),100%)</f>
        <v>1</v>
      </c>
      <c r="BJ36" s="26" cm="1">
        <f t="array" ref="BJ36">IF(VLOOKUP($Q36,武学奇术!$A:$ZZ,23,FALSE)=1,100%,MIN(80%,$B$9+VLOOKUP($Q36,武学奇术!$A:$ZZ,17,FALSE)+SUM(_xlfn.XLOOKUP(R36:AF36,增益!$A:$A,增益!$Q:$Q,0)))+$B$11+SUM(_xlfn.XLOOKUP(R36:AF36,增益!$A:$A,增益!$U:$U,0)))*IF(VLOOKUP($Q36,武学奇术!$A:$ZZ,24,FALSE)=1,0,1)</f>
        <v>0.8625</v>
      </c>
      <c r="BK36" s="26" cm="1">
        <f t="array" ref="BK36">1+$B$13+VLOOKUP($Q36,武学奇术!$A:$ZZ,18,FALSE)+SUM(_xlfn.XLOOKUP(R36:AF36,增益!$A:$A,增益!$R:$R,0))</f>
        <v>1.5</v>
      </c>
      <c r="BL36" s="26" cm="1">
        <f t="array" ref="BL36">IF(VLOOKUP($Q36,武学奇术!$A:$ZZ,24,FALSE)=1,100%,MIN(40%,$B$10+VLOOKUP($Q36,武学奇术!$A:$ZZ,19,FALSE)+SUM(_xlfn.XLOOKUP(R36:AF36,增益!$A:$A,增益!$S:$S,0)))+$B$12+SUM(_xlfn.XLOOKUP(R36:AF36,增益!$A:$A,增益!$V:$V,0)))*IF(VLOOKUP($Q36,武学奇术!$A:$ZZ,23,FALSE)=1,0,1)</f>
        <v>0.0913</v>
      </c>
      <c r="BM36" s="26" cm="1">
        <f t="array" ref="BM36">1+$B$14+VLOOKUP($Q36,武学奇术!$A:$ZZ,20,FALSE)+SUM(_xlfn.XLOOKUP(R36:AF36,增益!$A:$A,增益!$T:$T,0))</f>
        <v>1.35</v>
      </c>
      <c r="BN36" s="26">
        <f t="shared" si="9"/>
        <v>0.8625</v>
      </c>
      <c r="BO36" s="26">
        <f t="shared" si="10"/>
        <v>0.0462</v>
      </c>
      <c r="BP36" s="26">
        <f>IF(VLOOKUP($Q36,武学奇术!$A:$ZZ,22,FALSE)=1,0,(1-$BI36))*(1-$BL36)</f>
        <v>0</v>
      </c>
      <c r="BQ36" s="26" cm="1">
        <f t="array" ref="BQ36">SUM(_xlfn.XLOOKUP(R36:AF36,增益!$A:$A,增益!$W:$W,0))+$I$5</f>
        <v>0.06</v>
      </c>
    </row>
    <row r="37" spans="5:69">
      <c r="K37" s="38">
        <f t="shared" si="0"/>
        <v>0</v>
      </c>
      <c r="L37" s="38">
        <f>((($AN37+$AO37)/2*$AH37+$AI37)*(1+$AP37)*(1+$AQ37)+(($AS37+$AT37)/2*IF($G$1="鸣金",$AJ37,$AH37)+IF($G$1="鸣金",$AK37*1.5,0))*(1+$AU37)*(1+$AV37)+(($AW37+$AX37)/2*IF($G$1="裂石",$AJ37,$AH37)+IF($G$1="裂石",$AK37*1.5,0))*(1+$AY37)*(1+$AZ37)+(($BA37+$BB37)/2*IF($G$1="牵丝",$AJ37,$AH37)+IF($G$1="牵丝",$AK37*1.5,0))*(1+$BC37)*(1+$BD37)+(($BE37+$BF37)/2*IF($G$1="破竹",$AJ37,$AH37)+IF($G$1="破竹",$AK37*1.5,0))*(1+$BG37)*(1+$BH37))*(1+$AL37)*$BK37*$P37*(1+IF(VLOOKUP($Q37,武学奇术!$A:$ZZ,30,FALSE)="蓄力技",#REF!,0))*(1+$BQ37)</f>
        <v>0</v>
      </c>
      <c r="M37" s="38">
        <f>(($AO37*$AH37+$AI37)*(1+$AP37)*(1+$AQ37)+($AT37*IF($G$1="鸣金",$AJ37,$AH37)+IF($G$1="鸣金",$AK37*1.5,0))*(1+$AU37)*(1+$AV37)+($AX37*IF($G$1="裂石",$AJ37,$AH37)+IF($G$1="裂石",$AK37*1.5,0))*(1+$AY37)*(1+$AZ37)+($BB37*IF($G$1="牵丝",$AJ37,$AH37)+IF($G$1="牵丝",$AK37*1.5,0))*(1+$BC37)*(1+$BD37)+($BF37*IF($G$1="破竹",$AJ37,$AH37)+IF($G$1="破竹",$AK37*1.5,0))*(1+$BG37)*(1+$BH37))*(1+$AL37)*$BM37*$P37*(1+IF(VLOOKUP($Q37,武学奇术!$A:$ZZ,30,FALSE)="蓄力技",#REF!,0))*(1+$BQ37)</f>
        <v>0</v>
      </c>
      <c r="N37" s="38">
        <f>((($AN37+$AO37)/2*$AH37+$AI37)*(1+$AP37)*(1+$AQ37)+(($AS37+$AT37)/2*IF($G$1="鸣金",$AJ37,$AH37)+IF($G$1="鸣金",$AK37*1.5,0))*(1+$AU37)*(1+$AV37)+(($AW37+$AX37)/2*IF($G$1="裂石",$AJ37,$AH37)+IF($G$1="裂石",$AK37*1.5,0))*(1+$AY37)*(1+$AZ37)+(($BA37+$BB37)/2*IF($G$1="牵丝",$AJ37,$AH37)+IF($G$1="牵丝",$AK37*1.5,0))*(1+$BC37)*(1+$BD37)+(($BE37+$BF37)/2*IF($G$1="破竹",$AJ37,$AH37)+IF($G$1="破竹",$AK37*1.5,0))*(1+$BG37)*(1+$BH37))*(1+$AL37)*$P37*(1+IF(VLOOKUP($Q37,武学奇术!$A:$ZZ,30,FALSE)="蓄力技",#REF!,0))*(1+$BQ37)</f>
        <v>0</v>
      </c>
      <c r="O37" s="38">
        <f>((($AN37*$AH37+$AI37)*(1+$AP37)*(1+$AQ37)+($AS37*IF($G$1="鸣金",$AJ37,$AH37)+IF($G$1="鸣金",$AK37*1.5,0))*(1+$AU37)*(1+$AV37)+($AW37*IF($G$1="裂石",$AJ37,$AH37)+IF($G$1="裂石",$AK37*1.5,0))*(1+$AY37)*(1+$AZ37)+($BA37*IF($G$1="牵丝",$AJ37,$AH37)+IF($G$1="牵丝",$AK37*1.5,0))*(1+$BC37)*(1+$BD37)+($BE37*IF($G$1="破竹",$AJ37,$AH37)+IF($G$1="破竹",$AK37*1.5,0))*(1+$BG37)*(1+$BH37))*(1+$AL37))*$P37*(1+IF(VLOOKUP($Q37,武学奇术!$A:$ZZ,30,FALSE)="蓄力技",#REF!,0))*(1+$BQ37)</f>
        <v>0</v>
      </c>
      <c r="P37" s="39">
        <v>1</v>
      </c>
      <c r="Q37" s="40" t="s">
        <v>76</v>
      </c>
      <c r="R37" s="40" t="s">
        <v>76</v>
      </c>
      <c r="S37" s="40" t="s">
        <v>76</v>
      </c>
      <c r="T37" s="40" t="s">
        <v>76</v>
      </c>
      <c r="U37" s="40" t="s">
        <v>76</v>
      </c>
      <c r="V37" s="40" t="s">
        <v>76</v>
      </c>
      <c r="W37" s="40" t="s">
        <v>76</v>
      </c>
      <c r="X37" s="40" t="s">
        <v>76</v>
      </c>
      <c r="Y37" s="40" t="s">
        <v>76</v>
      </c>
      <c r="Z37" s="40" t="s">
        <v>76</v>
      </c>
      <c r="AA37" s="40" t="s">
        <v>76</v>
      </c>
      <c r="AB37" s="40" t="s">
        <v>76</v>
      </c>
      <c r="AC37" s="40" t="s">
        <v>76</v>
      </c>
      <c r="AD37" s="40" t="s">
        <v>76</v>
      </c>
      <c r="AE37" s="40" t="s">
        <v>76</v>
      </c>
      <c r="AF37" s="40" t="s">
        <v>76</v>
      </c>
      <c r="AG37" t="str">
        <f>VLOOKUP($Q37,武学奇术!$A:$ZZ,25,FALSE)</f>
        <v>心法</v>
      </c>
      <c r="AH37" s="26">
        <f>VLOOKUP($Q37,武学奇术!$A:$ZZ,26,FALSE)</f>
        <v>0</v>
      </c>
      <c r="AI37" s="27">
        <f>VLOOKUP($Q37,武学奇术!$A:$ZZ,27,FALSE)*(1+IF(OR($AG37=$F$4,$AG37=$F$5),$B$21,0))</f>
        <v>0</v>
      </c>
      <c r="AJ37" s="26">
        <f>VLOOKUP($Q37,武学奇术!$A:$ZZ,28,FALSE)</f>
        <v>0</v>
      </c>
      <c r="AK37" s="27">
        <f>VLOOKUP($Q37,武学奇术!$A:$ZZ,29,FALSE)*(1+IF(OR($AG37=$F$4,$AG37=$F$5),$B$21,0))</f>
        <v>0</v>
      </c>
      <c r="AL37" s="26" cm="1">
        <f t="array" ref="AL37">$G$3+IFERROR(VLOOKUP($AG37,$F$4:$G$7,2,FALSE),0)+VLOOKUP($Q37,武学奇术!$A:$ZZ,2,FALSE)+SUM(_xlfn.XLOOKUP($R37:$AF37,增益!$A:$A,增益!$B:$B,0))</f>
        <v>0.1842</v>
      </c>
      <c r="AM37" s="26" cm="1">
        <f t="array" ref="AM37">VLOOKUP($Q37,武学奇术!$A:$ZZ,5,FALSE)+SUM(_xlfn.XLOOKUP($R37:$AF37,增益!$A:$A,增益!$E:$E,0))</f>
        <v>0</v>
      </c>
      <c r="AN37" cm="1">
        <f t="array" ref="AN37">$D$10*(1+$AM37)+VLOOKUP($Q37,武学奇术!$A:$ZZ,3,FALSE)+SUM(_xlfn.XLOOKUP($R37:$AF37,增益!$A:$A,增益!$C:$C,0))-$I$2</f>
        <v>3940</v>
      </c>
      <c r="AO37" cm="1">
        <f t="array" ref="AO37">$E$10*(1+$AM37)+VLOOKUP($Q37,武学奇术!$A:$ZZ,4,FALSE)+SUM(_xlfn.XLOOKUP($R37:$AF37,增益!$A:$A,增益!$D:$D,0))-$I$2</f>
        <v>3940</v>
      </c>
      <c r="AP37" s="32" cm="1">
        <f t="array" ref="AP37">IF($F$10-$I$3+VLOOKUP($Q37,武学奇术!$A:$ZZ,6,FALSE)+SUM(_xlfn.XLOOKUP(R37:AF37,增益!$A:$A,增益!$F:$F,0))&gt;0,($F$10-$I$3+VLOOKUP($Q37,武学奇术!$A:$ZZ,6,FALSE)+SUM(_xlfn.XLOOKUP(R37:AF37,增益!$A:$A,增益!$F:$F,0)))/200,($F$10-$I$3+VLOOKUP($Q37,武学奇术!$A:$ZZ,6,FALSE)+SUM(_xlfn.XLOOKUP(R37:AF37,增益!$A:$A,增益!$F:$F,0)))/100)</f>
        <v>0.194</v>
      </c>
      <c r="AQ37" s="32" cm="1">
        <f t="array" ref="AQ37">$G$10+VLOOKUP($Q37,武学奇术!$A:$ZZ,7,FALSE)+SUM(_xlfn.XLOOKUP(R37:AF37,增益!$A:$A,增益!$G:$G,0))</f>
        <v>0</v>
      </c>
      <c r="AR37" s="26" cm="1">
        <f t="array" ref="AR37">VLOOKUP($Q37,武学奇术!$A:$ZZ,8,FALSE)+SUM(_xlfn.XLOOKUP(R37:AF37,增益!$A:$A,增益!$H:$H,0))</f>
        <v>0</v>
      </c>
      <c r="AS37">
        <f t="shared" si="1"/>
        <v>0</v>
      </c>
      <c r="AT37">
        <f t="shared" si="2"/>
        <v>0</v>
      </c>
      <c r="AU37" s="32" cm="1">
        <f t="array" ref="AU37">IF($F$11-$I$4+VLOOKUP($Q37,武学奇术!$A:$ZZ,9,FALSE)+SUM(_xlfn.XLOOKUP(R37:AF37,增益!$A:$A,增益!$I:$I,0))&gt;0,($F$11-$I$4+VLOOKUP($Q37,武学奇术!$A:$ZZ,9,FALSE)+SUM(_xlfn.XLOOKUP(R37:AF37,增益!$A:$A,增益!$I:$I,0)))/200,($F$11-$I$4+VLOOKUP($Q37,武学奇术!$A:$ZZ,9,FALSE)+SUM(_xlfn.XLOOKUP(R37:AF37,增益!$A:$A,增益!$I:$I,0)))/100)</f>
        <v>-0.3</v>
      </c>
      <c r="AV37" s="32" cm="1">
        <f t="array" ref="AV37">$G$11+VLOOKUP($Q37,武学奇术!$A:$ZZ,10,FALSE)+SUM(_xlfn.XLOOKUP(R37:AF37,增益!$A:$A,增益!$J:$J,0))</f>
        <v>0</v>
      </c>
      <c r="AW37">
        <f t="shared" si="3"/>
        <v>0</v>
      </c>
      <c r="AX37">
        <f t="shared" si="4"/>
        <v>0</v>
      </c>
      <c r="AY37" s="32" cm="1">
        <f t="array" ref="AY37">IF($F$12-$I$4+VLOOKUP($Q37,武学奇术!$A:$ZZ,11,FALSE)+SUM(_xlfn.XLOOKUP(R37:AF37,增益!$A:$A,增益!$K:$K,0))&gt;0,($F$12-$I$4+VLOOKUP($Q37,武学奇术!$A:$ZZ,11,FALSE)+SUM(_xlfn.XLOOKUP(R37:AF37,增益!$A:$A,增益!$K:$K,0)))/200,($F$12-$I$4+VLOOKUP($Q37,武学奇术!$A:$ZZ,11,FALSE)+SUM(_xlfn.XLOOKUP(R37:AF37,增益!$A:$A,增益!$K:$K,0)))/100)</f>
        <v>-0.3</v>
      </c>
      <c r="AZ37" s="32" cm="1">
        <f t="array" ref="AZ37">$G$12+VLOOKUP($Q37,武学奇术!$A:$ZZ,12,FALSE)+SUM(_xlfn.XLOOKUP(R37:AF37,增益!$A:$A,增益!$L:$L,0))</f>
        <v>0</v>
      </c>
      <c r="BA37">
        <f t="shared" si="5"/>
        <v>697.4</v>
      </c>
      <c r="BB37">
        <f t="shared" si="6"/>
        <v>1805</v>
      </c>
      <c r="BC37" s="32" cm="1">
        <f t="array" ref="BC37">IF($F$13-$I$4+VLOOKUP($Q37,武学奇术!$A:$ZZ,13,FALSE)+SUM(_xlfn.XLOOKUP(R37:AF37,增益!$A:$A,增益!$M:$M,0))&gt;0,($F$13-$I$4+VLOOKUP($Q37,武学奇术!$A:$ZZ,13,FALSE)+SUM(_xlfn.XLOOKUP(R37:AF37,增益!$A:$A,增益!$K:$K,0)))/200,($F$13-$I$4+VLOOKUP($Q37,武学奇术!$A:$ZZ,13,FALSE)+SUM(_xlfn.XLOOKUP(R37:AF37,增益!$A:$A,增益!$M:$M,0)))/100)</f>
        <v>0</v>
      </c>
      <c r="BD37" s="32" cm="1">
        <f t="array" ref="BD37">$G$13+VLOOKUP($Q37,武学奇术!$A:$ZZ,14,FALSE)+SUM(_xlfn.XLOOKUP(R37:AF37,增益!$A:$A,增益!$N:$N,0))</f>
        <v>0.15</v>
      </c>
      <c r="BE37">
        <f t="shared" si="7"/>
        <v>0</v>
      </c>
      <c r="BF37">
        <f t="shared" si="8"/>
        <v>0</v>
      </c>
      <c r="BG37" s="32" cm="1">
        <f t="array" ref="BG37">IF($F$14-$I$4+VLOOKUP($Q37,武学奇术!$A:$ZZ,15,FALSE)+SUM(_xlfn.XLOOKUP(R37:AF37,增益!$A:$A,增益!$O:$O,0))&gt;0,($F$14-$I$4+VLOOKUP($Q37,武学奇术!$A:$ZZ,15,FALSE)+SUM(_xlfn.XLOOKUP(R37:AF37,增益!$A:$A,增益!$O:$O,0)))/200,($F$14-$I$4+VLOOKUP($Q37,武学奇术!$A:$ZZ,15,FALSE)+SUM(_xlfn.XLOOKUP(R37:AF37,增益!$A:$A,增益!$O:$O,0)))/100)</f>
        <v>-0.3</v>
      </c>
      <c r="BH37" s="32" cm="1">
        <f t="array" ref="BH37">$G$14+VLOOKUP($Q37,武学奇术!$A:$ZZ,16,FALSE)+SUM(_xlfn.XLOOKUP(R37:AF37,增益!$A:$A,增益!$P:$P,0))</f>
        <v>0</v>
      </c>
      <c r="BI37" s="26">
        <f>MIN(IF(VLOOKUP($Q37,武学奇术!$A:$ZZ,23,FALSE)=1,100%,$B$8),100%)</f>
        <v>1</v>
      </c>
      <c r="BJ37" s="26" cm="1">
        <f t="array" ref="BJ37">IF(VLOOKUP($Q37,武学奇术!$A:$ZZ,23,FALSE)=1,100%,MIN(80%,$B$9+VLOOKUP($Q37,武学奇术!$A:$ZZ,17,FALSE)+SUM(_xlfn.XLOOKUP(R37:AF37,增益!$A:$A,增益!$Q:$Q,0)))+$B$11+SUM(_xlfn.XLOOKUP(R37:AF37,增益!$A:$A,增益!$U:$U,0)))*IF(VLOOKUP($Q37,武学奇术!$A:$ZZ,24,FALSE)=1,0,1)</f>
        <v>0.8625</v>
      </c>
      <c r="BK37" s="26" cm="1">
        <f t="array" ref="BK37">1+$B$13+VLOOKUP($Q37,武学奇术!$A:$ZZ,18,FALSE)+SUM(_xlfn.XLOOKUP(R37:AF37,增益!$A:$A,增益!$R:$R,0))</f>
        <v>1.5</v>
      </c>
      <c r="BL37" s="26" cm="1">
        <f t="array" ref="BL37">IF(VLOOKUP($Q37,武学奇术!$A:$ZZ,24,FALSE)=1,100%,MIN(40%,$B$10+VLOOKUP($Q37,武学奇术!$A:$ZZ,19,FALSE)+SUM(_xlfn.XLOOKUP(R37:AF37,增益!$A:$A,增益!$S:$S,0)))+$B$12+SUM(_xlfn.XLOOKUP(R37:AF37,增益!$A:$A,增益!$V:$V,0)))*IF(VLOOKUP($Q37,武学奇术!$A:$ZZ,23,FALSE)=1,0,1)</f>
        <v>0.0913</v>
      </c>
      <c r="BM37" s="26" cm="1">
        <f t="array" ref="BM37">1+$B$14+VLOOKUP($Q37,武学奇术!$A:$ZZ,20,FALSE)+SUM(_xlfn.XLOOKUP(R37:AF37,增益!$A:$A,增益!$T:$T,0))</f>
        <v>1.35</v>
      </c>
      <c r="BN37" s="26">
        <f t="shared" si="9"/>
        <v>0.8625</v>
      </c>
      <c r="BO37" s="26">
        <f t="shared" si="10"/>
        <v>0.0462</v>
      </c>
      <c r="BP37" s="26">
        <f>IF(VLOOKUP($Q37,武学奇术!$A:$ZZ,22,FALSE)=1,0,(1-$BI37))*(1-$BL37)</f>
        <v>0</v>
      </c>
      <c r="BQ37" s="26" cm="1">
        <f t="array" ref="BQ37">SUM(_xlfn.XLOOKUP(R37:AF37,增益!$A:$A,增益!$W:$W,0))+$I$5</f>
        <v>0.06</v>
      </c>
    </row>
    <row r="38" spans="5:69">
      <c r="K38" s="38">
        <f t="shared" si="0"/>
        <v>0</v>
      </c>
      <c r="L38" s="38">
        <f>((($AN38+$AO38)/2*$AH38+$AI38)*(1+$AP38)*(1+$AQ38)+(($AS38+$AT38)/2*IF($G$1="鸣金",$AJ38,$AH38)+IF($G$1="鸣金",$AK38*1.5,0))*(1+$AU38)*(1+$AV38)+(($AW38+$AX38)/2*IF($G$1="裂石",$AJ38,$AH38)+IF($G$1="裂石",$AK38*1.5,0))*(1+$AY38)*(1+$AZ38)+(($BA38+$BB38)/2*IF($G$1="牵丝",$AJ38,$AH38)+IF($G$1="牵丝",$AK38*1.5,0))*(1+$BC38)*(1+$BD38)+(($BE38+$BF38)/2*IF($G$1="破竹",$AJ38,$AH38)+IF($G$1="破竹",$AK38*1.5,0))*(1+$BG38)*(1+$BH38))*(1+$AL38)*$BK38*$P38*(1+IF(VLOOKUP($Q38,武学奇术!$A:$ZZ,30,FALSE)="蓄力技",#REF!,0))*(1+$BQ38)</f>
        <v>0</v>
      </c>
      <c r="M38" s="38">
        <f>(($AO38*$AH38+$AI38)*(1+$AP38)*(1+$AQ38)+($AT38*IF($G$1="鸣金",$AJ38,$AH38)+IF($G$1="鸣金",$AK38*1.5,0))*(1+$AU38)*(1+$AV38)+($AX38*IF($G$1="裂石",$AJ38,$AH38)+IF($G$1="裂石",$AK38*1.5,0))*(1+$AY38)*(1+$AZ38)+($BB38*IF($G$1="牵丝",$AJ38,$AH38)+IF($G$1="牵丝",$AK38*1.5,0))*(1+$BC38)*(1+$BD38)+($BF38*IF($G$1="破竹",$AJ38,$AH38)+IF($G$1="破竹",$AK38*1.5,0))*(1+$BG38)*(1+$BH38))*(1+$AL38)*$BM38*$P38*(1+IF(VLOOKUP($Q38,武学奇术!$A:$ZZ,30,FALSE)="蓄力技",#REF!,0))*(1+$BQ38)</f>
        <v>0</v>
      </c>
      <c r="N38" s="38">
        <f>((($AN38+$AO38)/2*$AH38+$AI38)*(1+$AP38)*(1+$AQ38)+(($AS38+$AT38)/2*IF($G$1="鸣金",$AJ38,$AH38)+IF($G$1="鸣金",$AK38*1.5,0))*(1+$AU38)*(1+$AV38)+(($AW38+$AX38)/2*IF($G$1="裂石",$AJ38,$AH38)+IF($G$1="裂石",$AK38*1.5,0))*(1+$AY38)*(1+$AZ38)+(($BA38+$BB38)/2*IF($G$1="牵丝",$AJ38,$AH38)+IF($G$1="牵丝",$AK38*1.5,0))*(1+$BC38)*(1+$BD38)+(($BE38+$BF38)/2*IF($G$1="破竹",$AJ38,$AH38)+IF($G$1="破竹",$AK38*1.5,0))*(1+$BG38)*(1+$BH38))*(1+$AL38)*$P38*(1+IF(VLOOKUP($Q38,武学奇术!$A:$ZZ,30,FALSE)="蓄力技",#REF!,0))*(1+$BQ38)</f>
        <v>0</v>
      </c>
      <c r="O38" s="38">
        <f>((($AN38*$AH38+$AI38)*(1+$AP38)*(1+$AQ38)+($AS38*IF($G$1="鸣金",$AJ38,$AH38)+IF($G$1="鸣金",$AK38*1.5,0))*(1+$AU38)*(1+$AV38)+($AW38*IF($G$1="裂石",$AJ38,$AH38)+IF($G$1="裂石",$AK38*1.5,0))*(1+$AY38)*(1+$AZ38)+($BA38*IF($G$1="牵丝",$AJ38,$AH38)+IF($G$1="牵丝",$AK38*1.5,0))*(1+$BC38)*(1+$BD38)+($BE38*IF($G$1="破竹",$AJ38,$AH38)+IF($G$1="破竹",$AK38*1.5,0))*(1+$BG38)*(1+$BH38))*(1+$AL38))*$P38*(1+IF(VLOOKUP($Q38,武学奇术!$A:$ZZ,30,FALSE)="蓄力技",#REF!,0))*(1+$BQ38)</f>
        <v>0</v>
      </c>
      <c r="P38" s="39">
        <v>1</v>
      </c>
      <c r="Q38" s="40" t="s">
        <v>76</v>
      </c>
      <c r="R38" s="40" t="s">
        <v>76</v>
      </c>
      <c r="S38" s="40" t="s">
        <v>76</v>
      </c>
      <c r="T38" s="40" t="s">
        <v>76</v>
      </c>
      <c r="U38" s="40" t="s">
        <v>76</v>
      </c>
      <c r="V38" s="40" t="s">
        <v>76</v>
      </c>
      <c r="W38" s="40" t="s">
        <v>76</v>
      </c>
      <c r="X38" s="40" t="s">
        <v>76</v>
      </c>
      <c r="Y38" s="40" t="s">
        <v>76</v>
      </c>
      <c r="Z38" s="40" t="s">
        <v>76</v>
      </c>
      <c r="AA38" s="40" t="s">
        <v>76</v>
      </c>
      <c r="AB38" s="40" t="s">
        <v>76</v>
      </c>
      <c r="AC38" s="40" t="s">
        <v>76</v>
      </c>
      <c r="AD38" s="40" t="s">
        <v>76</v>
      </c>
      <c r="AE38" s="40" t="s">
        <v>76</v>
      </c>
      <c r="AF38" s="40" t="s">
        <v>76</v>
      </c>
      <c r="AG38" t="str">
        <f>VLOOKUP($Q38,武学奇术!$A:$ZZ,25,FALSE)</f>
        <v>心法</v>
      </c>
      <c r="AH38" s="26">
        <f>VLOOKUP($Q38,武学奇术!$A:$ZZ,26,FALSE)</f>
        <v>0</v>
      </c>
      <c r="AI38" s="27">
        <f>VLOOKUP($Q38,武学奇术!$A:$ZZ,27,FALSE)*(1+IF(OR($AG38=$F$4,$AG38=$F$5),$B$21,0))</f>
        <v>0</v>
      </c>
      <c r="AJ38" s="26">
        <f>VLOOKUP($Q38,武学奇术!$A:$ZZ,28,FALSE)</f>
        <v>0</v>
      </c>
      <c r="AK38" s="27">
        <f>VLOOKUP($Q38,武学奇术!$A:$ZZ,29,FALSE)*(1+IF(OR($AG38=$F$4,$AG38=$F$5),$B$21,0))</f>
        <v>0</v>
      </c>
      <c r="AL38" s="26" cm="1">
        <f t="array" ref="AL38">$G$3+IFERROR(VLOOKUP($AG38,$F$4:$G$7,2,FALSE),0)+VLOOKUP($Q38,武学奇术!$A:$ZZ,2,FALSE)+SUM(_xlfn.XLOOKUP($R38:$AF38,增益!$A:$A,增益!$B:$B,0))</f>
        <v>0.1842</v>
      </c>
      <c r="AM38" s="26" cm="1">
        <f t="array" ref="AM38">VLOOKUP($Q38,武学奇术!$A:$ZZ,5,FALSE)+SUM(_xlfn.XLOOKUP($R38:$AF38,增益!$A:$A,增益!$E:$E,0))</f>
        <v>0</v>
      </c>
      <c r="AN38" cm="1">
        <f t="array" ref="AN38">$D$10*(1+$AM38)+VLOOKUP($Q38,武学奇术!$A:$ZZ,3,FALSE)+SUM(_xlfn.XLOOKUP($R38:$AF38,增益!$A:$A,增益!$C:$C,0))-$I$2</f>
        <v>3940</v>
      </c>
      <c r="AO38" cm="1">
        <f t="array" ref="AO38">$E$10*(1+$AM38)+VLOOKUP($Q38,武学奇术!$A:$ZZ,4,FALSE)+SUM(_xlfn.XLOOKUP($R38:$AF38,增益!$A:$A,增益!$D:$D,0))-$I$2</f>
        <v>3940</v>
      </c>
      <c r="AP38" s="32" cm="1">
        <f t="array" ref="AP38">IF($F$10-$I$3+VLOOKUP($Q38,武学奇术!$A:$ZZ,6,FALSE)+SUM(_xlfn.XLOOKUP(R38:AF38,增益!$A:$A,增益!$F:$F,0))&gt;0,($F$10-$I$3+VLOOKUP($Q38,武学奇术!$A:$ZZ,6,FALSE)+SUM(_xlfn.XLOOKUP(R38:AF38,增益!$A:$A,增益!$F:$F,0)))/200,($F$10-$I$3+VLOOKUP($Q38,武学奇术!$A:$ZZ,6,FALSE)+SUM(_xlfn.XLOOKUP(R38:AF38,增益!$A:$A,增益!$F:$F,0)))/100)</f>
        <v>0.194</v>
      </c>
      <c r="AQ38" s="32" cm="1">
        <f t="array" ref="AQ38">$G$10+VLOOKUP($Q38,武学奇术!$A:$ZZ,7,FALSE)+SUM(_xlfn.XLOOKUP(R38:AF38,增益!$A:$A,增益!$G:$G,0))</f>
        <v>0</v>
      </c>
      <c r="AR38" s="26" cm="1">
        <f t="array" ref="AR38">VLOOKUP($Q38,武学奇术!$A:$ZZ,8,FALSE)+SUM(_xlfn.XLOOKUP(R38:AF38,增益!$A:$A,增益!$H:$H,0))</f>
        <v>0</v>
      </c>
      <c r="AS38">
        <f t="shared" si="1"/>
        <v>0</v>
      </c>
      <c r="AT38">
        <f t="shared" si="2"/>
        <v>0</v>
      </c>
      <c r="AU38" s="32" cm="1">
        <f t="array" ref="AU38">IF($F$11-$I$4+VLOOKUP($Q38,武学奇术!$A:$ZZ,9,FALSE)+SUM(_xlfn.XLOOKUP(R38:AF38,增益!$A:$A,增益!$I:$I,0))&gt;0,($F$11-$I$4+VLOOKUP($Q38,武学奇术!$A:$ZZ,9,FALSE)+SUM(_xlfn.XLOOKUP(R38:AF38,增益!$A:$A,增益!$I:$I,0)))/200,($F$11-$I$4+VLOOKUP($Q38,武学奇术!$A:$ZZ,9,FALSE)+SUM(_xlfn.XLOOKUP(R38:AF38,增益!$A:$A,增益!$I:$I,0)))/100)</f>
        <v>-0.3</v>
      </c>
      <c r="AV38" s="32" cm="1">
        <f t="array" ref="AV38">$G$11+VLOOKUP($Q38,武学奇术!$A:$ZZ,10,FALSE)+SUM(_xlfn.XLOOKUP(R38:AF38,增益!$A:$A,增益!$J:$J,0))</f>
        <v>0</v>
      </c>
      <c r="AW38">
        <f t="shared" si="3"/>
        <v>0</v>
      </c>
      <c r="AX38">
        <f t="shared" si="4"/>
        <v>0</v>
      </c>
      <c r="AY38" s="32" cm="1">
        <f t="array" ref="AY38">IF($F$12-$I$4+VLOOKUP($Q38,武学奇术!$A:$ZZ,11,FALSE)+SUM(_xlfn.XLOOKUP(R38:AF38,增益!$A:$A,增益!$K:$K,0))&gt;0,($F$12-$I$4+VLOOKUP($Q38,武学奇术!$A:$ZZ,11,FALSE)+SUM(_xlfn.XLOOKUP(R38:AF38,增益!$A:$A,增益!$K:$K,0)))/200,($F$12-$I$4+VLOOKUP($Q38,武学奇术!$A:$ZZ,11,FALSE)+SUM(_xlfn.XLOOKUP(R38:AF38,增益!$A:$A,增益!$K:$K,0)))/100)</f>
        <v>-0.3</v>
      </c>
      <c r="AZ38" s="32" cm="1">
        <f t="array" ref="AZ38">$G$12+VLOOKUP($Q38,武学奇术!$A:$ZZ,12,FALSE)+SUM(_xlfn.XLOOKUP(R38:AF38,增益!$A:$A,增益!$L:$L,0))</f>
        <v>0</v>
      </c>
      <c r="BA38">
        <f t="shared" si="5"/>
        <v>697.4</v>
      </c>
      <c r="BB38">
        <f t="shared" si="6"/>
        <v>1805</v>
      </c>
      <c r="BC38" s="32" cm="1">
        <f t="array" ref="BC38">IF($F$13-$I$4+VLOOKUP($Q38,武学奇术!$A:$ZZ,13,FALSE)+SUM(_xlfn.XLOOKUP(R38:AF38,增益!$A:$A,增益!$M:$M,0))&gt;0,($F$13-$I$4+VLOOKUP($Q38,武学奇术!$A:$ZZ,13,FALSE)+SUM(_xlfn.XLOOKUP(R38:AF38,增益!$A:$A,增益!$K:$K,0)))/200,($F$13-$I$4+VLOOKUP($Q38,武学奇术!$A:$ZZ,13,FALSE)+SUM(_xlfn.XLOOKUP(R38:AF38,增益!$A:$A,增益!$M:$M,0)))/100)</f>
        <v>0</v>
      </c>
      <c r="BD38" s="32" cm="1">
        <f t="array" ref="BD38">$G$13+VLOOKUP($Q38,武学奇术!$A:$ZZ,14,FALSE)+SUM(_xlfn.XLOOKUP(R38:AF38,增益!$A:$A,增益!$N:$N,0))</f>
        <v>0.15</v>
      </c>
      <c r="BE38">
        <f t="shared" si="7"/>
        <v>0</v>
      </c>
      <c r="BF38">
        <f t="shared" si="8"/>
        <v>0</v>
      </c>
      <c r="BG38" s="32" cm="1">
        <f t="array" ref="BG38">IF($F$14-$I$4+VLOOKUP($Q38,武学奇术!$A:$ZZ,15,FALSE)+SUM(_xlfn.XLOOKUP(R38:AF38,增益!$A:$A,增益!$O:$O,0))&gt;0,($F$14-$I$4+VLOOKUP($Q38,武学奇术!$A:$ZZ,15,FALSE)+SUM(_xlfn.XLOOKUP(R38:AF38,增益!$A:$A,增益!$O:$O,0)))/200,($F$14-$I$4+VLOOKUP($Q38,武学奇术!$A:$ZZ,15,FALSE)+SUM(_xlfn.XLOOKUP(R38:AF38,增益!$A:$A,增益!$O:$O,0)))/100)</f>
        <v>-0.3</v>
      </c>
      <c r="BH38" s="32" cm="1">
        <f t="array" ref="BH38">$G$14+VLOOKUP($Q38,武学奇术!$A:$ZZ,16,FALSE)+SUM(_xlfn.XLOOKUP(R38:AF38,增益!$A:$A,增益!$P:$P,0))</f>
        <v>0</v>
      </c>
      <c r="BI38" s="26">
        <f>MIN(IF(VLOOKUP($Q38,武学奇术!$A:$ZZ,23,FALSE)=1,100%,$B$8),100%)</f>
        <v>1</v>
      </c>
      <c r="BJ38" s="26" cm="1">
        <f t="array" ref="BJ38">IF(VLOOKUP($Q38,武学奇术!$A:$ZZ,23,FALSE)=1,100%,MIN(80%,$B$9+VLOOKUP($Q38,武学奇术!$A:$ZZ,17,FALSE)+SUM(_xlfn.XLOOKUP(R38:AF38,增益!$A:$A,增益!$Q:$Q,0)))+$B$11+SUM(_xlfn.XLOOKUP(R38:AF38,增益!$A:$A,增益!$U:$U,0)))*IF(VLOOKUP($Q38,武学奇术!$A:$ZZ,24,FALSE)=1,0,1)</f>
        <v>0.8625</v>
      </c>
      <c r="BK38" s="26" cm="1">
        <f t="array" ref="BK38">1+$B$13+VLOOKUP($Q38,武学奇术!$A:$ZZ,18,FALSE)+SUM(_xlfn.XLOOKUP(R38:AF38,增益!$A:$A,增益!$R:$R,0))</f>
        <v>1.5</v>
      </c>
      <c r="BL38" s="26" cm="1">
        <f t="array" ref="BL38">IF(VLOOKUP($Q38,武学奇术!$A:$ZZ,24,FALSE)=1,100%,MIN(40%,$B$10+VLOOKUP($Q38,武学奇术!$A:$ZZ,19,FALSE)+SUM(_xlfn.XLOOKUP(R38:AF38,增益!$A:$A,增益!$S:$S,0)))+$B$12+SUM(_xlfn.XLOOKUP(R38:AF38,增益!$A:$A,增益!$V:$V,0)))*IF(VLOOKUP($Q38,武学奇术!$A:$ZZ,23,FALSE)=1,0,1)</f>
        <v>0.0913</v>
      </c>
      <c r="BM38" s="26" cm="1">
        <f t="array" ref="BM38">1+$B$14+VLOOKUP($Q38,武学奇术!$A:$ZZ,20,FALSE)+SUM(_xlfn.XLOOKUP(R38:AF38,增益!$A:$A,增益!$T:$T,0))</f>
        <v>1.35</v>
      </c>
      <c r="BN38" s="26">
        <f t="shared" si="9"/>
        <v>0.8625</v>
      </c>
      <c r="BO38" s="26">
        <f t="shared" si="10"/>
        <v>0.0462</v>
      </c>
      <c r="BP38" s="26">
        <f>IF(VLOOKUP($Q38,武学奇术!$A:$ZZ,22,FALSE)=1,0,(1-$BI38))*(1-$BL38)</f>
        <v>0</v>
      </c>
      <c r="BQ38" s="26" cm="1">
        <f t="array" ref="BQ38">SUM(_xlfn.XLOOKUP(R38:AF38,增益!$A:$A,增益!$W:$W,0))+$I$5</f>
        <v>0.06</v>
      </c>
    </row>
    <row r="39" spans="5:69">
      <c r="E39" s="4"/>
      <c r="F39" s="4"/>
      <c r="K39" s="38">
        <f t="shared" si="0"/>
        <v>0</v>
      </c>
      <c r="L39" s="38">
        <f>((($AN39+$AO39)/2*$AH39+$AI39)*(1+$AP39)*(1+$AQ39)+(($AS39+$AT39)/2*IF($G$1="鸣金",$AJ39,$AH39)+IF($G$1="鸣金",$AK39*1.5,0))*(1+$AU39)*(1+$AV39)+(($AW39+$AX39)/2*IF($G$1="裂石",$AJ39,$AH39)+IF($G$1="裂石",$AK39*1.5,0))*(1+$AY39)*(1+$AZ39)+(($BA39+$BB39)/2*IF($G$1="牵丝",$AJ39,$AH39)+IF($G$1="牵丝",$AK39*1.5,0))*(1+$BC39)*(1+$BD39)+(($BE39+$BF39)/2*IF($G$1="破竹",$AJ39,$AH39)+IF($G$1="破竹",$AK39*1.5,0))*(1+$BG39)*(1+$BH39))*(1+$AL39)*$BK39*$P39*(1+IF(VLOOKUP($Q39,武学奇术!$A:$ZZ,30,FALSE)="蓄力技",#REF!,0))*(1+$BQ39)</f>
        <v>0</v>
      </c>
      <c r="M39" s="38">
        <f>(($AO39*$AH39+$AI39)*(1+$AP39)*(1+$AQ39)+($AT39*IF($G$1="鸣金",$AJ39,$AH39)+IF($G$1="鸣金",$AK39*1.5,0))*(1+$AU39)*(1+$AV39)+($AX39*IF($G$1="裂石",$AJ39,$AH39)+IF($G$1="裂石",$AK39*1.5,0))*(1+$AY39)*(1+$AZ39)+($BB39*IF($G$1="牵丝",$AJ39,$AH39)+IF($G$1="牵丝",$AK39*1.5,0))*(1+$BC39)*(1+$BD39)+($BF39*IF($G$1="破竹",$AJ39,$AH39)+IF($G$1="破竹",$AK39*1.5,0))*(1+$BG39)*(1+$BH39))*(1+$AL39)*$BM39*$P39*(1+IF(VLOOKUP($Q39,武学奇术!$A:$ZZ,30,FALSE)="蓄力技",#REF!,0))*(1+$BQ39)</f>
        <v>0</v>
      </c>
      <c r="N39" s="38">
        <f>((($AN39+$AO39)/2*$AH39+$AI39)*(1+$AP39)*(1+$AQ39)+(($AS39+$AT39)/2*IF($G$1="鸣金",$AJ39,$AH39)+IF($G$1="鸣金",$AK39*1.5,0))*(1+$AU39)*(1+$AV39)+(($AW39+$AX39)/2*IF($G$1="裂石",$AJ39,$AH39)+IF($G$1="裂石",$AK39*1.5,0))*(1+$AY39)*(1+$AZ39)+(($BA39+$BB39)/2*IF($G$1="牵丝",$AJ39,$AH39)+IF($G$1="牵丝",$AK39*1.5,0))*(1+$BC39)*(1+$BD39)+(($BE39+$BF39)/2*IF($G$1="破竹",$AJ39,$AH39)+IF($G$1="破竹",$AK39*1.5,0))*(1+$BG39)*(1+$BH39))*(1+$AL39)*$P39*(1+IF(VLOOKUP($Q39,武学奇术!$A:$ZZ,30,FALSE)="蓄力技",#REF!,0))*(1+$BQ39)</f>
        <v>0</v>
      </c>
      <c r="O39" s="38">
        <f>((($AN39*$AH39+$AI39)*(1+$AP39)*(1+$AQ39)+($AS39*IF($G$1="鸣金",$AJ39,$AH39)+IF($G$1="鸣金",$AK39*1.5,0))*(1+$AU39)*(1+$AV39)+($AW39*IF($G$1="裂石",$AJ39,$AH39)+IF($G$1="裂石",$AK39*1.5,0))*(1+$AY39)*(1+$AZ39)+($BA39*IF($G$1="牵丝",$AJ39,$AH39)+IF($G$1="牵丝",$AK39*1.5,0))*(1+$BC39)*(1+$BD39)+($BE39*IF($G$1="破竹",$AJ39,$AH39)+IF($G$1="破竹",$AK39*1.5,0))*(1+$BG39)*(1+$BH39))*(1+$AL39))*$P39*(1+IF(VLOOKUP($Q39,武学奇术!$A:$ZZ,30,FALSE)="蓄力技",#REF!,0))*(1+$BQ39)</f>
        <v>0</v>
      </c>
      <c r="P39" s="39">
        <v>1</v>
      </c>
      <c r="Q39" s="40" t="s">
        <v>76</v>
      </c>
      <c r="R39" s="40" t="s">
        <v>76</v>
      </c>
      <c r="S39" s="40" t="s">
        <v>76</v>
      </c>
      <c r="T39" s="40" t="s">
        <v>76</v>
      </c>
      <c r="U39" s="40" t="s">
        <v>76</v>
      </c>
      <c r="V39" s="40" t="s">
        <v>76</v>
      </c>
      <c r="W39" s="40" t="s">
        <v>76</v>
      </c>
      <c r="X39" s="40" t="s">
        <v>76</v>
      </c>
      <c r="Y39" s="40" t="s">
        <v>76</v>
      </c>
      <c r="Z39" s="40" t="s">
        <v>76</v>
      </c>
      <c r="AA39" s="40" t="s">
        <v>76</v>
      </c>
      <c r="AB39" s="40" t="s">
        <v>76</v>
      </c>
      <c r="AC39" s="40" t="s">
        <v>76</v>
      </c>
      <c r="AD39" s="40" t="s">
        <v>76</v>
      </c>
      <c r="AE39" s="40" t="s">
        <v>76</v>
      </c>
      <c r="AF39" s="40" t="s">
        <v>76</v>
      </c>
      <c r="AG39" t="str">
        <f>VLOOKUP($Q39,武学奇术!$A:$ZZ,25,FALSE)</f>
        <v>心法</v>
      </c>
      <c r="AH39" s="26">
        <f>VLOOKUP($Q39,武学奇术!$A:$ZZ,26,FALSE)</f>
        <v>0</v>
      </c>
      <c r="AI39" s="27">
        <f>VLOOKUP($Q39,武学奇术!$A:$ZZ,27,FALSE)*(1+IF(OR($AG39=$F$4,$AG39=$F$5),$B$21,0))</f>
        <v>0</v>
      </c>
      <c r="AJ39" s="26">
        <f>VLOOKUP($Q39,武学奇术!$A:$ZZ,28,FALSE)</f>
        <v>0</v>
      </c>
      <c r="AK39" s="27">
        <f>VLOOKUP($Q39,武学奇术!$A:$ZZ,29,FALSE)*(1+IF(OR($AG39=$F$4,$AG39=$F$5),$B$21,0))</f>
        <v>0</v>
      </c>
      <c r="AL39" s="26" cm="1">
        <f t="array" ref="AL39">$G$3+IFERROR(VLOOKUP($AG39,$F$4:$G$7,2,FALSE),0)+VLOOKUP($Q39,武学奇术!$A:$ZZ,2,FALSE)+SUM(_xlfn.XLOOKUP($R39:$AF39,增益!$A:$A,增益!$B:$B,0))</f>
        <v>0.1842</v>
      </c>
      <c r="AM39" s="26" cm="1">
        <f t="array" ref="AM39">VLOOKUP($Q39,武学奇术!$A:$ZZ,5,FALSE)+SUM(_xlfn.XLOOKUP($R39:$AF39,增益!$A:$A,增益!$E:$E,0))</f>
        <v>0</v>
      </c>
      <c r="AN39" cm="1">
        <f t="array" ref="AN39">$D$10*(1+$AM39)+VLOOKUP($Q39,武学奇术!$A:$ZZ,3,FALSE)+SUM(_xlfn.XLOOKUP($R39:$AF39,增益!$A:$A,增益!$C:$C,0))-$I$2</f>
        <v>3940</v>
      </c>
      <c r="AO39" cm="1">
        <f t="array" ref="AO39">$E$10*(1+$AM39)+VLOOKUP($Q39,武学奇术!$A:$ZZ,4,FALSE)+SUM(_xlfn.XLOOKUP($R39:$AF39,增益!$A:$A,增益!$D:$D,0))-$I$2</f>
        <v>3940</v>
      </c>
      <c r="AP39" s="32" cm="1">
        <f t="array" ref="AP39">IF($F$10-$I$3+VLOOKUP($Q39,武学奇术!$A:$ZZ,6,FALSE)+SUM(_xlfn.XLOOKUP(R39:AF39,增益!$A:$A,增益!$F:$F,0))&gt;0,($F$10-$I$3+VLOOKUP($Q39,武学奇术!$A:$ZZ,6,FALSE)+SUM(_xlfn.XLOOKUP(R39:AF39,增益!$A:$A,增益!$F:$F,0)))/200,($F$10-$I$3+VLOOKUP($Q39,武学奇术!$A:$ZZ,6,FALSE)+SUM(_xlfn.XLOOKUP(R39:AF39,增益!$A:$A,增益!$F:$F,0)))/100)</f>
        <v>0.194</v>
      </c>
      <c r="AQ39" s="32" cm="1">
        <f t="array" ref="AQ39">$G$10+VLOOKUP($Q39,武学奇术!$A:$ZZ,7,FALSE)+SUM(_xlfn.XLOOKUP(R39:AF39,增益!$A:$A,增益!$G:$G,0))</f>
        <v>0</v>
      </c>
      <c r="AR39" s="26" cm="1">
        <f t="array" ref="AR39">VLOOKUP($Q39,武学奇术!$A:$ZZ,8,FALSE)+SUM(_xlfn.XLOOKUP(R39:AF39,增益!$A:$A,增益!$H:$H,0))</f>
        <v>0</v>
      </c>
      <c r="AS39">
        <f t="shared" si="1"/>
        <v>0</v>
      </c>
      <c r="AT39">
        <f t="shared" si="2"/>
        <v>0</v>
      </c>
      <c r="AU39" s="32" cm="1">
        <f t="array" ref="AU39">IF($F$11-$I$4+VLOOKUP($Q39,武学奇术!$A:$ZZ,9,FALSE)+SUM(_xlfn.XLOOKUP(R39:AF39,增益!$A:$A,增益!$I:$I,0))&gt;0,($F$11-$I$4+VLOOKUP($Q39,武学奇术!$A:$ZZ,9,FALSE)+SUM(_xlfn.XLOOKUP(R39:AF39,增益!$A:$A,增益!$I:$I,0)))/200,($F$11-$I$4+VLOOKUP($Q39,武学奇术!$A:$ZZ,9,FALSE)+SUM(_xlfn.XLOOKUP(R39:AF39,增益!$A:$A,增益!$I:$I,0)))/100)</f>
        <v>-0.3</v>
      </c>
      <c r="AV39" s="32" cm="1">
        <f t="array" ref="AV39">$G$11+VLOOKUP($Q39,武学奇术!$A:$ZZ,10,FALSE)+SUM(_xlfn.XLOOKUP(R39:AF39,增益!$A:$A,增益!$J:$J,0))</f>
        <v>0</v>
      </c>
      <c r="AW39">
        <f t="shared" si="3"/>
        <v>0</v>
      </c>
      <c r="AX39">
        <f t="shared" si="4"/>
        <v>0</v>
      </c>
      <c r="AY39" s="32" cm="1">
        <f t="array" ref="AY39">IF($F$12-$I$4+VLOOKUP($Q39,武学奇术!$A:$ZZ,11,FALSE)+SUM(_xlfn.XLOOKUP(R39:AF39,增益!$A:$A,增益!$K:$K,0))&gt;0,($F$12-$I$4+VLOOKUP($Q39,武学奇术!$A:$ZZ,11,FALSE)+SUM(_xlfn.XLOOKUP(R39:AF39,增益!$A:$A,增益!$K:$K,0)))/200,($F$12-$I$4+VLOOKUP($Q39,武学奇术!$A:$ZZ,11,FALSE)+SUM(_xlfn.XLOOKUP(R39:AF39,增益!$A:$A,增益!$K:$K,0)))/100)</f>
        <v>-0.3</v>
      </c>
      <c r="AZ39" s="32" cm="1">
        <f t="array" ref="AZ39">$G$12+VLOOKUP($Q39,武学奇术!$A:$ZZ,12,FALSE)+SUM(_xlfn.XLOOKUP(R39:AF39,增益!$A:$A,增益!$L:$L,0))</f>
        <v>0</v>
      </c>
      <c r="BA39">
        <f t="shared" si="5"/>
        <v>697.4</v>
      </c>
      <c r="BB39">
        <f t="shared" si="6"/>
        <v>1805</v>
      </c>
      <c r="BC39" s="32" cm="1">
        <f t="array" ref="BC39">IF($F$13-$I$4+VLOOKUP($Q39,武学奇术!$A:$ZZ,13,FALSE)+SUM(_xlfn.XLOOKUP(R39:AF39,增益!$A:$A,增益!$M:$M,0))&gt;0,($F$13-$I$4+VLOOKUP($Q39,武学奇术!$A:$ZZ,13,FALSE)+SUM(_xlfn.XLOOKUP(R39:AF39,增益!$A:$A,增益!$K:$K,0)))/200,($F$13-$I$4+VLOOKUP($Q39,武学奇术!$A:$ZZ,13,FALSE)+SUM(_xlfn.XLOOKUP(R39:AF39,增益!$A:$A,增益!$M:$M,0)))/100)</f>
        <v>0</v>
      </c>
      <c r="BD39" s="32" cm="1">
        <f t="array" ref="BD39">$G$13+VLOOKUP($Q39,武学奇术!$A:$ZZ,14,FALSE)+SUM(_xlfn.XLOOKUP(R39:AF39,增益!$A:$A,增益!$N:$N,0))</f>
        <v>0.15</v>
      </c>
      <c r="BE39">
        <f t="shared" si="7"/>
        <v>0</v>
      </c>
      <c r="BF39">
        <f t="shared" si="8"/>
        <v>0</v>
      </c>
      <c r="BG39" s="32" cm="1">
        <f t="array" ref="BG39">IF($F$14-$I$4+VLOOKUP($Q39,武学奇术!$A:$ZZ,15,FALSE)+SUM(_xlfn.XLOOKUP(R39:AF39,增益!$A:$A,增益!$O:$O,0))&gt;0,($F$14-$I$4+VLOOKUP($Q39,武学奇术!$A:$ZZ,15,FALSE)+SUM(_xlfn.XLOOKUP(R39:AF39,增益!$A:$A,增益!$O:$O,0)))/200,($F$14-$I$4+VLOOKUP($Q39,武学奇术!$A:$ZZ,15,FALSE)+SUM(_xlfn.XLOOKUP(R39:AF39,增益!$A:$A,增益!$O:$O,0)))/100)</f>
        <v>-0.3</v>
      </c>
      <c r="BH39" s="32" cm="1">
        <f t="array" ref="BH39">$G$14+VLOOKUP($Q39,武学奇术!$A:$ZZ,16,FALSE)+SUM(_xlfn.XLOOKUP(R39:AF39,增益!$A:$A,增益!$P:$P,0))</f>
        <v>0</v>
      </c>
      <c r="BI39" s="26">
        <f>MIN(IF(VLOOKUP($Q39,武学奇术!$A:$ZZ,23,FALSE)=1,100%,$B$8),100%)</f>
        <v>1</v>
      </c>
      <c r="BJ39" s="26" cm="1">
        <f t="array" ref="BJ39">IF(VLOOKUP($Q39,武学奇术!$A:$ZZ,23,FALSE)=1,100%,MIN(80%,$B$9+VLOOKUP($Q39,武学奇术!$A:$ZZ,17,FALSE)+SUM(_xlfn.XLOOKUP(R39:AF39,增益!$A:$A,增益!$Q:$Q,0)))+$B$11+SUM(_xlfn.XLOOKUP(R39:AF39,增益!$A:$A,增益!$U:$U,0)))*IF(VLOOKUP($Q39,武学奇术!$A:$ZZ,24,FALSE)=1,0,1)</f>
        <v>0.8625</v>
      </c>
      <c r="BK39" s="26" cm="1">
        <f t="array" ref="BK39">1+$B$13+VLOOKUP($Q39,武学奇术!$A:$ZZ,18,FALSE)+SUM(_xlfn.XLOOKUP(R39:AF39,增益!$A:$A,增益!$R:$R,0))</f>
        <v>1.5</v>
      </c>
      <c r="BL39" s="26" cm="1">
        <f t="array" ref="BL39">IF(VLOOKUP($Q39,武学奇术!$A:$ZZ,24,FALSE)=1,100%,MIN(40%,$B$10+VLOOKUP($Q39,武学奇术!$A:$ZZ,19,FALSE)+SUM(_xlfn.XLOOKUP(R39:AF39,增益!$A:$A,增益!$S:$S,0)))+$B$12+SUM(_xlfn.XLOOKUP(R39:AF39,增益!$A:$A,增益!$V:$V,0)))*IF(VLOOKUP($Q39,武学奇术!$A:$ZZ,23,FALSE)=1,0,1)</f>
        <v>0.0913</v>
      </c>
      <c r="BM39" s="26" cm="1">
        <f t="array" ref="BM39">1+$B$14+VLOOKUP($Q39,武学奇术!$A:$ZZ,20,FALSE)+SUM(_xlfn.XLOOKUP(R39:AF39,增益!$A:$A,增益!$T:$T,0))</f>
        <v>1.35</v>
      </c>
      <c r="BN39" s="26">
        <f t="shared" si="9"/>
        <v>0.8625</v>
      </c>
      <c r="BO39" s="26">
        <f t="shared" si="10"/>
        <v>0.0462</v>
      </c>
      <c r="BP39" s="26">
        <f>IF(VLOOKUP($Q39,武学奇术!$A:$ZZ,22,FALSE)=1,0,(1-$BI39))*(1-$BL39)</f>
        <v>0</v>
      </c>
      <c r="BQ39" s="26" cm="1">
        <f t="array" ref="BQ39">SUM(_xlfn.XLOOKUP(R39:AF39,增益!$A:$A,增益!$W:$W,0))+$I$5</f>
        <v>0.06</v>
      </c>
    </row>
    <row r="40" spans="5:69">
      <c r="K40" s="38">
        <f t="shared" si="0"/>
        <v>0</v>
      </c>
      <c r="L40" s="38">
        <f>((($AN40+$AO40)/2*$AH40+$AI40)*(1+$AP40)*(1+$AQ40)+(($AS40+$AT40)/2*IF($G$1="鸣金",$AJ40,$AH40)+IF($G$1="鸣金",$AK40*1.5,0))*(1+$AU40)*(1+$AV40)+(($AW40+$AX40)/2*IF($G$1="裂石",$AJ40,$AH40)+IF($G$1="裂石",$AK40*1.5,0))*(1+$AY40)*(1+$AZ40)+(($BA40+$BB40)/2*IF($G$1="牵丝",$AJ40,$AH40)+IF($G$1="牵丝",$AK40*1.5,0))*(1+$BC40)*(1+$BD40)+(($BE40+$BF40)/2*IF($G$1="破竹",$AJ40,$AH40)+IF($G$1="破竹",$AK40*1.5,0))*(1+$BG40)*(1+$BH40))*(1+$AL40)*$BK40*$P40*(1+IF(VLOOKUP($Q40,武学奇术!$A:$ZZ,30,FALSE)="蓄力技",#REF!,0))*(1+$BQ40)</f>
        <v>0</v>
      </c>
      <c r="M40" s="38">
        <f>(($AO40*$AH40+$AI40)*(1+$AP40)*(1+$AQ40)+($AT40*IF($G$1="鸣金",$AJ40,$AH40)+IF($G$1="鸣金",$AK40*1.5,0))*(1+$AU40)*(1+$AV40)+($AX40*IF($G$1="裂石",$AJ40,$AH40)+IF($G$1="裂石",$AK40*1.5,0))*(1+$AY40)*(1+$AZ40)+($BB40*IF($G$1="牵丝",$AJ40,$AH40)+IF($G$1="牵丝",$AK40*1.5,0))*(1+$BC40)*(1+$BD40)+($BF40*IF($G$1="破竹",$AJ40,$AH40)+IF($G$1="破竹",$AK40*1.5,0))*(1+$BG40)*(1+$BH40))*(1+$AL40)*$BM40*$P40*(1+IF(VLOOKUP($Q40,武学奇术!$A:$ZZ,30,FALSE)="蓄力技",#REF!,0))*(1+$BQ40)</f>
        <v>0</v>
      </c>
      <c r="N40" s="38">
        <f>((($AN40+$AO40)/2*$AH40+$AI40)*(1+$AP40)*(1+$AQ40)+(($AS40+$AT40)/2*IF($G$1="鸣金",$AJ40,$AH40)+IF($G$1="鸣金",$AK40*1.5,0))*(1+$AU40)*(1+$AV40)+(($AW40+$AX40)/2*IF($G$1="裂石",$AJ40,$AH40)+IF($G$1="裂石",$AK40*1.5,0))*(1+$AY40)*(1+$AZ40)+(($BA40+$BB40)/2*IF($G$1="牵丝",$AJ40,$AH40)+IF($G$1="牵丝",$AK40*1.5,0))*(1+$BC40)*(1+$BD40)+(($BE40+$BF40)/2*IF($G$1="破竹",$AJ40,$AH40)+IF($G$1="破竹",$AK40*1.5,0))*(1+$BG40)*(1+$BH40))*(1+$AL40)*$P40*(1+IF(VLOOKUP($Q40,武学奇术!$A:$ZZ,30,FALSE)="蓄力技",#REF!,0))*(1+$BQ40)</f>
        <v>0</v>
      </c>
      <c r="O40" s="38">
        <f>((($AN40*$AH40+$AI40)*(1+$AP40)*(1+$AQ40)+($AS40*IF($G$1="鸣金",$AJ40,$AH40)+IF($G$1="鸣金",$AK40*1.5,0))*(1+$AU40)*(1+$AV40)+($AW40*IF($G$1="裂石",$AJ40,$AH40)+IF($G$1="裂石",$AK40*1.5,0))*(1+$AY40)*(1+$AZ40)+($BA40*IF($G$1="牵丝",$AJ40,$AH40)+IF($G$1="牵丝",$AK40*1.5,0))*(1+$BC40)*(1+$BD40)+($BE40*IF($G$1="破竹",$AJ40,$AH40)+IF($G$1="破竹",$AK40*1.5,0))*(1+$BG40)*(1+$BH40))*(1+$AL40))*$P40*(1+IF(VLOOKUP($Q40,武学奇术!$A:$ZZ,30,FALSE)="蓄力技",#REF!,0))*(1+$BQ40)</f>
        <v>0</v>
      </c>
      <c r="P40" s="39">
        <v>1</v>
      </c>
      <c r="Q40" s="40" t="s">
        <v>76</v>
      </c>
      <c r="R40" s="40" t="s">
        <v>76</v>
      </c>
      <c r="S40" s="40" t="s">
        <v>76</v>
      </c>
      <c r="T40" s="40" t="s">
        <v>76</v>
      </c>
      <c r="U40" s="40" t="s">
        <v>76</v>
      </c>
      <c r="V40" s="40" t="s">
        <v>76</v>
      </c>
      <c r="W40" s="40" t="s">
        <v>76</v>
      </c>
      <c r="X40" s="40" t="s">
        <v>76</v>
      </c>
      <c r="Y40" s="40" t="s">
        <v>76</v>
      </c>
      <c r="Z40" s="40" t="s">
        <v>76</v>
      </c>
      <c r="AA40" s="40" t="s">
        <v>76</v>
      </c>
      <c r="AB40" s="40" t="s">
        <v>76</v>
      </c>
      <c r="AC40" s="40" t="s">
        <v>76</v>
      </c>
      <c r="AD40" s="40" t="s">
        <v>76</v>
      </c>
      <c r="AE40" s="40" t="s">
        <v>76</v>
      </c>
      <c r="AF40" s="40" t="s">
        <v>76</v>
      </c>
      <c r="AG40" t="str">
        <f>VLOOKUP($Q40,武学奇术!$A:$ZZ,25,FALSE)</f>
        <v>心法</v>
      </c>
      <c r="AH40" s="26">
        <f>VLOOKUP($Q40,武学奇术!$A:$ZZ,26,FALSE)</f>
        <v>0</v>
      </c>
      <c r="AI40" s="27">
        <f>VLOOKUP($Q40,武学奇术!$A:$ZZ,27,FALSE)*(1+IF(OR($AG40=$F$4,$AG40=$F$5),$B$21,0))</f>
        <v>0</v>
      </c>
      <c r="AJ40" s="26">
        <f>VLOOKUP($Q40,武学奇术!$A:$ZZ,28,FALSE)</f>
        <v>0</v>
      </c>
      <c r="AK40" s="27">
        <f>VLOOKUP($Q40,武学奇术!$A:$ZZ,29,FALSE)*(1+IF(OR($AG40=$F$4,$AG40=$F$5),$B$21,0))</f>
        <v>0</v>
      </c>
      <c r="AL40" s="26" cm="1">
        <f t="array" ref="AL40">$G$3+IFERROR(VLOOKUP($AG40,$F$4:$G$7,2,FALSE),0)+VLOOKUP($Q40,武学奇术!$A:$ZZ,2,FALSE)+SUM(_xlfn.XLOOKUP($R40:$AF40,增益!$A:$A,增益!$B:$B,0))</f>
        <v>0.1842</v>
      </c>
      <c r="AM40" s="26" cm="1">
        <f t="array" ref="AM40">VLOOKUP($Q40,武学奇术!$A:$ZZ,5,FALSE)+SUM(_xlfn.XLOOKUP($R40:$AF40,增益!$A:$A,增益!$E:$E,0))</f>
        <v>0</v>
      </c>
      <c r="AN40" cm="1">
        <f t="array" ref="AN40">$D$10*(1+$AM40)+VLOOKUP($Q40,武学奇术!$A:$ZZ,3,FALSE)+SUM(_xlfn.XLOOKUP($R40:$AF40,增益!$A:$A,增益!$C:$C,0))-$I$2</f>
        <v>3940</v>
      </c>
      <c r="AO40" cm="1">
        <f t="array" ref="AO40">$E$10*(1+$AM40)+VLOOKUP($Q40,武学奇术!$A:$ZZ,4,FALSE)+SUM(_xlfn.XLOOKUP($R40:$AF40,增益!$A:$A,增益!$D:$D,0))-$I$2</f>
        <v>3940</v>
      </c>
      <c r="AP40" s="32" cm="1">
        <f t="array" ref="AP40">IF($F$10-$I$3+VLOOKUP($Q40,武学奇术!$A:$ZZ,6,FALSE)+SUM(_xlfn.XLOOKUP(R40:AF40,增益!$A:$A,增益!$F:$F,0))&gt;0,($F$10-$I$3+VLOOKUP($Q40,武学奇术!$A:$ZZ,6,FALSE)+SUM(_xlfn.XLOOKUP(R40:AF40,增益!$A:$A,增益!$F:$F,0)))/200,($F$10-$I$3+VLOOKUP($Q40,武学奇术!$A:$ZZ,6,FALSE)+SUM(_xlfn.XLOOKUP(R40:AF40,增益!$A:$A,增益!$F:$F,0)))/100)</f>
        <v>0.194</v>
      </c>
      <c r="AQ40" s="32" cm="1">
        <f t="array" ref="AQ40">$G$10+VLOOKUP($Q40,武学奇术!$A:$ZZ,7,FALSE)+SUM(_xlfn.XLOOKUP(R40:AF40,增益!$A:$A,增益!$G:$G,0))</f>
        <v>0</v>
      </c>
      <c r="AR40" s="26" cm="1">
        <f t="array" ref="AR40">VLOOKUP($Q40,武学奇术!$A:$ZZ,8,FALSE)+SUM(_xlfn.XLOOKUP(R40:AF40,增益!$A:$A,增益!$H:$H,0))</f>
        <v>0</v>
      </c>
      <c r="AS40">
        <f t="shared" si="1"/>
        <v>0</v>
      </c>
      <c r="AT40">
        <f t="shared" si="2"/>
        <v>0</v>
      </c>
      <c r="AU40" s="32" cm="1">
        <f t="array" ref="AU40">IF($F$11-$I$4+VLOOKUP($Q40,武学奇术!$A:$ZZ,9,FALSE)+SUM(_xlfn.XLOOKUP(R40:AF40,增益!$A:$A,增益!$I:$I,0))&gt;0,($F$11-$I$4+VLOOKUP($Q40,武学奇术!$A:$ZZ,9,FALSE)+SUM(_xlfn.XLOOKUP(R40:AF40,增益!$A:$A,增益!$I:$I,0)))/200,($F$11-$I$4+VLOOKUP($Q40,武学奇术!$A:$ZZ,9,FALSE)+SUM(_xlfn.XLOOKUP(R40:AF40,增益!$A:$A,增益!$I:$I,0)))/100)</f>
        <v>-0.3</v>
      </c>
      <c r="AV40" s="32" cm="1">
        <f t="array" ref="AV40">$G$11+VLOOKUP($Q40,武学奇术!$A:$ZZ,10,FALSE)+SUM(_xlfn.XLOOKUP(R40:AF40,增益!$A:$A,增益!$J:$J,0))</f>
        <v>0</v>
      </c>
      <c r="AW40">
        <f t="shared" si="3"/>
        <v>0</v>
      </c>
      <c r="AX40">
        <f t="shared" si="4"/>
        <v>0</v>
      </c>
      <c r="AY40" s="32" cm="1">
        <f t="array" ref="AY40">IF($F$12-$I$4+VLOOKUP($Q40,武学奇术!$A:$ZZ,11,FALSE)+SUM(_xlfn.XLOOKUP(R40:AF40,增益!$A:$A,增益!$K:$K,0))&gt;0,($F$12-$I$4+VLOOKUP($Q40,武学奇术!$A:$ZZ,11,FALSE)+SUM(_xlfn.XLOOKUP(R40:AF40,增益!$A:$A,增益!$K:$K,0)))/200,($F$12-$I$4+VLOOKUP($Q40,武学奇术!$A:$ZZ,11,FALSE)+SUM(_xlfn.XLOOKUP(R40:AF40,增益!$A:$A,增益!$K:$K,0)))/100)</f>
        <v>-0.3</v>
      </c>
      <c r="AZ40" s="32" cm="1">
        <f t="array" ref="AZ40">$G$12+VLOOKUP($Q40,武学奇术!$A:$ZZ,12,FALSE)+SUM(_xlfn.XLOOKUP(R40:AF40,增益!$A:$A,增益!$L:$L,0))</f>
        <v>0</v>
      </c>
      <c r="BA40">
        <f t="shared" si="5"/>
        <v>697.4</v>
      </c>
      <c r="BB40">
        <f t="shared" si="6"/>
        <v>1805</v>
      </c>
      <c r="BC40" s="32" cm="1">
        <f t="array" ref="BC40">IF($F$13-$I$4+VLOOKUP($Q40,武学奇术!$A:$ZZ,13,FALSE)+SUM(_xlfn.XLOOKUP(R40:AF40,增益!$A:$A,增益!$M:$M,0))&gt;0,($F$13-$I$4+VLOOKUP($Q40,武学奇术!$A:$ZZ,13,FALSE)+SUM(_xlfn.XLOOKUP(R40:AF40,增益!$A:$A,增益!$K:$K,0)))/200,($F$13-$I$4+VLOOKUP($Q40,武学奇术!$A:$ZZ,13,FALSE)+SUM(_xlfn.XLOOKUP(R40:AF40,增益!$A:$A,增益!$M:$M,0)))/100)</f>
        <v>0</v>
      </c>
      <c r="BD40" s="32" cm="1">
        <f t="array" ref="BD40">$G$13+VLOOKUP($Q40,武学奇术!$A:$ZZ,14,FALSE)+SUM(_xlfn.XLOOKUP(R40:AF40,增益!$A:$A,增益!$N:$N,0))</f>
        <v>0.15</v>
      </c>
      <c r="BE40">
        <f t="shared" si="7"/>
        <v>0</v>
      </c>
      <c r="BF40">
        <f t="shared" si="8"/>
        <v>0</v>
      </c>
      <c r="BG40" s="32" cm="1">
        <f t="array" ref="BG40">IF($F$14-$I$4+VLOOKUP($Q40,武学奇术!$A:$ZZ,15,FALSE)+SUM(_xlfn.XLOOKUP(R40:AF40,增益!$A:$A,增益!$O:$O,0))&gt;0,($F$14-$I$4+VLOOKUP($Q40,武学奇术!$A:$ZZ,15,FALSE)+SUM(_xlfn.XLOOKUP(R40:AF40,增益!$A:$A,增益!$O:$O,0)))/200,($F$14-$I$4+VLOOKUP($Q40,武学奇术!$A:$ZZ,15,FALSE)+SUM(_xlfn.XLOOKUP(R40:AF40,增益!$A:$A,增益!$O:$O,0)))/100)</f>
        <v>-0.3</v>
      </c>
      <c r="BH40" s="32" cm="1">
        <f t="array" ref="BH40">$G$14+VLOOKUP($Q40,武学奇术!$A:$ZZ,16,FALSE)+SUM(_xlfn.XLOOKUP(R40:AF40,增益!$A:$A,增益!$P:$P,0))</f>
        <v>0</v>
      </c>
      <c r="BI40" s="26">
        <f>MIN(IF(VLOOKUP($Q40,武学奇术!$A:$ZZ,23,FALSE)=1,100%,$B$8),100%)</f>
        <v>1</v>
      </c>
      <c r="BJ40" s="26" cm="1">
        <f t="array" ref="BJ40">IF(VLOOKUP($Q40,武学奇术!$A:$ZZ,23,FALSE)=1,100%,MIN(80%,$B$9+VLOOKUP($Q40,武学奇术!$A:$ZZ,17,FALSE)+SUM(_xlfn.XLOOKUP(R40:AF40,增益!$A:$A,增益!$Q:$Q,0)))+$B$11+SUM(_xlfn.XLOOKUP(R40:AF40,增益!$A:$A,增益!$U:$U,0)))*IF(VLOOKUP($Q40,武学奇术!$A:$ZZ,24,FALSE)=1,0,1)</f>
        <v>0.8625</v>
      </c>
      <c r="BK40" s="26" cm="1">
        <f t="array" ref="BK40">1+$B$13+VLOOKUP($Q40,武学奇术!$A:$ZZ,18,FALSE)+SUM(_xlfn.XLOOKUP(R40:AF40,增益!$A:$A,增益!$R:$R,0))</f>
        <v>1.5</v>
      </c>
      <c r="BL40" s="26" cm="1">
        <f t="array" ref="BL40">IF(VLOOKUP($Q40,武学奇术!$A:$ZZ,24,FALSE)=1,100%,MIN(40%,$B$10+VLOOKUP($Q40,武学奇术!$A:$ZZ,19,FALSE)+SUM(_xlfn.XLOOKUP(R40:AF40,增益!$A:$A,增益!$S:$S,0)))+$B$12+SUM(_xlfn.XLOOKUP(R40:AF40,增益!$A:$A,增益!$V:$V,0)))*IF(VLOOKUP($Q40,武学奇术!$A:$ZZ,23,FALSE)=1,0,1)</f>
        <v>0.0913</v>
      </c>
      <c r="BM40" s="26" cm="1">
        <f t="array" ref="BM40">1+$B$14+VLOOKUP($Q40,武学奇术!$A:$ZZ,20,FALSE)+SUM(_xlfn.XLOOKUP(R40:AF40,增益!$A:$A,增益!$T:$T,0))</f>
        <v>1.35</v>
      </c>
      <c r="BN40" s="26">
        <f t="shared" si="9"/>
        <v>0.8625</v>
      </c>
      <c r="BO40" s="26">
        <f t="shared" si="10"/>
        <v>0.0462</v>
      </c>
      <c r="BP40" s="26">
        <f>IF(VLOOKUP($Q40,武学奇术!$A:$ZZ,22,FALSE)=1,0,(1-$BI40))*(1-$BL40)</f>
        <v>0</v>
      </c>
      <c r="BQ40" s="26" cm="1">
        <f t="array" ref="BQ40">SUM(_xlfn.XLOOKUP(R40:AF40,增益!$A:$A,增益!$W:$W,0))+$I$5</f>
        <v>0.06</v>
      </c>
    </row>
    <row r="41" spans="5:69">
      <c r="K41" s="38">
        <f t="shared" si="0"/>
        <v>0</v>
      </c>
      <c r="L41" s="38">
        <f>((($AN41+$AO41)/2*$AH41+$AI41)*(1+$AP41)*(1+$AQ41)+(($AS41+$AT41)/2*IF($G$1="鸣金",$AJ41,$AH41)+IF($G$1="鸣金",$AK41*1.5,0))*(1+$AU41)*(1+$AV41)+(($AW41+$AX41)/2*IF($G$1="裂石",$AJ41,$AH41)+IF($G$1="裂石",$AK41*1.5,0))*(1+$AY41)*(1+$AZ41)+(($BA41+$BB41)/2*IF($G$1="牵丝",$AJ41,$AH41)+IF($G$1="牵丝",$AK41*1.5,0))*(1+$BC41)*(1+$BD41)+(($BE41+$BF41)/2*IF($G$1="破竹",$AJ41,$AH41)+IF($G$1="破竹",$AK41*1.5,0))*(1+$BG41)*(1+$BH41))*(1+$AL41)*$BK41*$P41*(1+IF(VLOOKUP($Q41,武学奇术!$A:$ZZ,30,FALSE)="蓄力技",#REF!,0))*(1+$BQ41)</f>
        <v>0</v>
      </c>
      <c r="M41" s="38">
        <f>(($AO41*$AH41+$AI41)*(1+$AP41)*(1+$AQ41)+($AT41*IF($G$1="鸣金",$AJ41,$AH41)+IF($G$1="鸣金",$AK41*1.5,0))*(1+$AU41)*(1+$AV41)+($AX41*IF($G$1="裂石",$AJ41,$AH41)+IF($G$1="裂石",$AK41*1.5,0))*(1+$AY41)*(1+$AZ41)+($BB41*IF($G$1="牵丝",$AJ41,$AH41)+IF($G$1="牵丝",$AK41*1.5,0))*(1+$BC41)*(1+$BD41)+($BF41*IF($G$1="破竹",$AJ41,$AH41)+IF($G$1="破竹",$AK41*1.5,0))*(1+$BG41)*(1+$BH41))*(1+$AL41)*$BM41*$P41*(1+IF(VLOOKUP($Q41,武学奇术!$A:$ZZ,30,FALSE)="蓄力技",#REF!,0))*(1+$BQ41)</f>
        <v>0</v>
      </c>
      <c r="N41" s="38">
        <f>((($AN41+$AO41)/2*$AH41+$AI41)*(1+$AP41)*(1+$AQ41)+(($AS41+$AT41)/2*IF($G$1="鸣金",$AJ41,$AH41)+IF($G$1="鸣金",$AK41*1.5,0))*(1+$AU41)*(1+$AV41)+(($AW41+$AX41)/2*IF($G$1="裂石",$AJ41,$AH41)+IF($G$1="裂石",$AK41*1.5,0))*(1+$AY41)*(1+$AZ41)+(($BA41+$BB41)/2*IF($G$1="牵丝",$AJ41,$AH41)+IF($G$1="牵丝",$AK41*1.5,0))*(1+$BC41)*(1+$BD41)+(($BE41+$BF41)/2*IF($G$1="破竹",$AJ41,$AH41)+IF($G$1="破竹",$AK41*1.5,0))*(1+$BG41)*(1+$BH41))*(1+$AL41)*$P41*(1+IF(VLOOKUP($Q41,武学奇术!$A:$ZZ,30,FALSE)="蓄力技",#REF!,0))*(1+$BQ41)</f>
        <v>0</v>
      </c>
      <c r="O41" s="38">
        <f>((($AN41*$AH41+$AI41)*(1+$AP41)*(1+$AQ41)+($AS41*IF($G$1="鸣金",$AJ41,$AH41)+IF($G$1="鸣金",$AK41*1.5,0))*(1+$AU41)*(1+$AV41)+($AW41*IF($G$1="裂石",$AJ41,$AH41)+IF($G$1="裂石",$AK41*1.5,0))*(1+$AY41)*(1+$AZ41)+($BA41*IF($G$1="牵丝",$AJ41,$AH41)+IF($G$1="牵丝",$AK41*1.5,0))*(1+$BC41)*(1+$BD41)+($BE41*IF($G$1="破竹",$AJ41,$AH41)+IF($G$1="破竹",$AK41*1.5,0))*(1+$BG41)*(1+$BH41))*(1+$AL41))*$P41*(1+IF(VLOOKUP($Q41,武学奇术!$A:$ZZ,30,FALSE)="蓄力技",#REF!,0))*(1+$BQ41)</f>
        <v>0</v>
      </c>
      <c r="P41" s="39">
        <v>1</v>
      </c>
      <c r="Q41" s="40" t="s">
        <v>76</v>
      </c>
      <c r="R41" s="40" t="s">
        <v>76</v>
      </c>
      <c r="S41" s="40" t="s">
        <v>76</v>
      </c>
      <c r="T41" s="40" t="s">
        <v>76</v>
      </c>
      <c r="U41" s="40" t="s">
        <v>76</v>
      </c>
      <c r="V41" s="40" t="s">
        <v>76</v>
      </c>
      <c r="W41" s="40" t="s">
        <v>76</v>
      </c>
      <c r="X41" s="40" t="s">
        <v>76</v>
      </c>
      <c r="Y41" s="40" t="s">
        <v>76</v>
      </c>
      <c r="Z41" s="40" t="s">
        <v>76</v>
      </c>
      <c r="AA41" s="40" t="s">
        <v>76</v>
      </c>
      <c r="AB41" s="40" t="s">
        <v>76</v>
      </c>
      <c r="AC41" s="40" t="s">
        <v>76</v>
      </c>
      <c r="AD41" s="40" t="s">
        <v>76</v>
      </c>
      <c r="AE41" s="40" t="s">
        <v>76</v>
      </c>
      <c r="AF41" s="40" t="s">
        <v>76</v>
      </c>
      <c r="AG41" t="str">
        <f>VLOOKUP($Q41,武学奇术!$A:$ZZ,25,FALSE)</f>
        <v>心法</v>
      </c>
      <c r="AH41" s="26">
        <f>VLOOKUP($Q41,武学奇术!$A:$ZZ,26,FALSE)</f>
        <v>0</v>
      </c>
      <c r="AI41" s="27">
        <f>VLOOKUP($Q41,武学奇术!$A:$ZZ,27,FALSE)*(1+IF(OR($AG41=$F$4,$AG41=$F$5),$B$21,0))</f>
        <v>0</v>
      </c>
      <c r="AJ41" s="26">
        <f>VLOOKUP($Q41,武学奇术!$A:$ZZ,28,FALSE)</f>
        <v>0</v>
      </c>
      <c r="AK41" s="27">
        <f>VLOOKUP($Q41,武学奇术!$A:$ZZ,29,FALSE)*(1+IF(OR($AG41=$F$4,$AG41=$F$5),$B$21,0))</f>
        <v>0</v>
      </c>
      <c r="AL41" s="26" cm="1">
        <f t="array" ref="AL41">$G$3+IFERROR(VLOOKUP($AG41,$F$4:$G$7,2,FALSE),0)+VLOOKUP($Q41,武学奇术!$A:$ZZ,2,FALSE)+SUM(_xlfn.XLOOKUP($R41:$AF41,增益!$A:$A,增益!$B:$B,0))</f>
        <v>0.1842</v>
      </c>
      <c r="AM41" s="26" cm="1">
        <f t="array" ref="AM41">VLOOKUP($Q41,武学奇术!$A:$ZZ,5,FALSE)+SUM(_xlfn.XLOOKUP($R41:$AF41,增益!$A:$A,增益!$E:$E,0))</f>
        <v>0</v>
      </c>
      <c r="AN41" cm="1">
        <f t="array" ref="AN41">$D$10*(1+$AM41)+VLOOKUP($Q41,武学奇术!$A:$ZZ,3,FALSE)+SUM(_xlfn.XLOOKUP($R41:$AF41,增益!$A:$A,增益!$C:$C,0))-$I$2</f>
        <v>3940</v>
      </c>
      <c r="AO41" cm="1">
        <f t="array" ref="AO41">$E$10*(1+$AM41)+VLOOKUP($Q41,武学奇术!$A:$ZZ,4,FALSE)+SUM(_xlfn.XLOOKUP($R41:$AF41,增益!$A:$A,增益!$D:$D,0))-$I$2</f>
        <v>3940</v>
      </c>
      <c r="AP41" s="32" cm="1">
        <f t="array" ref="AP41">IF($F$10-$I$3+VLOOKUP($Q41,武学奇术!$A:$ZZ,6,FALSE)+SUM(_xlfn.XLOOKUP(R41:AF41,增益!$A:$A,增益!$F:$F,0))&gt;0,($F$10-$I$3+VLOOKUP($Q41,武学奇术!$A:$ZZ,6,FALSE)+SUM(_xlfn.XLOOKUP(R41:AF41,增益!$A:$A,增益!$F:$F,0)))/200,($F$10-$I$3+VLOOKUP($Q41,武学奇术!$A:$ZZ,6,FALSE)+SUM(_xlfn.XLOOKUP(R41:AF41,增益!$A:$A,增益!$F:$F,0)))/100)</f>
        <v>0.194</v>
      </c>
      <c r="AQ41" s="32" cm="1">
        <f t="array" ref="AQ41">$G$10+VLOOKUP($Q41,武学奇术!$A:$ZZ,7,FALSE)+SUM(_xlfn.XLOOKUP(R41:AF41,增益!$A:$A,增益!$G:$G,0))</f>
        <v>0</v>
      </c>
      <c r="AR41" s="26" cm="1">
        <f t="array" ref="AR41">VLOOKUP($Q41,武学奇术!$A:$ZZ,8,FALSE)+SUM(_xlfn.XLOOKUP(R41:AF41,增益!$A:$A,增益!$H:$H,0))</f>
        <v>0</v>
      </c>
      <c r="AS41">
        <f t="shared" si="1"/>
        <v>0</v>
      </c>
      <c r="AT41">
        <f t="shared" si="2"/>
        <v>0</v>
      </c>
      <c r="AU41" s="32" cm="1">
        <f t="array" ref="AU41">IF($F$11-$I$4+VLOOKUP($Q41,武学奇术!$A:$ZZ,9,FALSE)+SUM(_xlfn.XLOOKUP(R41:AF41,增益!$A:$A,增益!$I:$I,0))&gt;0,($F$11-$I$4+VLOOKUP($Q41,武学奇术!$A:$ZZ,9,FALSE)+SUM(_xlfn.XLOOKUP(R41:AF41,增益!$A:$A,增益!$I:$I,0)))/200,($F$11-$I$4+VLOOKUP($Q41,武学奇术!$A:$ZZ,9,FALSE)+SUM(_xlfn.XLOOKUP(R41:AF41,增益!$A:$A,增益!$I:$I,0)))/100)</f>
        <v>-0.3</v>
      </c>
      <c r="AV41" s="32" cm="1">
        <f t="array" ref="AV41">$G$11+VLOOKUP($Q41,武学奇术!$A:$ZZ,10,FALSE)+SUM(_xlfn.XLOOKUP(R41:AF41,增益!$A:$A,增益!$J:$J,0))</f>
        <v>0</v>
      </c>
      <c r="AW41">
        <f t="shared" si="3"/>
        <v>0</v>
      </c>
      <c r="AX41">
        <f t="shared" si="4"/>
        <v>0</v>
      </c>
      <c r="AY41" s="32" cm="1">
        <f t="array" ref="AY41">IF($F$12-$I$4+VLOOKUP($Q41,武学奇术!$A:$ZZ,11,FALSE)+SUM(_xlfn.XLOOKUP(R41:AF41,增益!$A:$A,增益!$K:$K,0))&gt;0,($F$12-$I$4+VLOOKUP($Q41,武学奇术!$A:$ZZ,11,FALSE)+SUM(_xlfn.XLOOKUP(R41:AF41,增益!$A:$A,增益!$K:$K,0)))/200,($F$12-$I$4+VLOOKUP($Q41,武学奇术!$A:$ZZ,11,FALSE)+SUM(_xlfn.XLOOKUP(R41:AF41,增益!$A:$A,增益!$K:$K,0)))/100)</f>
        <v>-0.3</v>
      </c>
      <c r="AZ41" s="32" cm="1">
        <f t="array" ref="AZ41">$G$12+VLOOKUP($Q41,武学奇术!$A:$ZZ,12,FALSE)+SUM(_xlfn.XLOOKUP(R41:AF41,增益!$A:$A,增益!$L:$L,0))</f>
        <v>0</v>
      </c>
      <c r="BA41">
        <f t="shared" si="5"/>
        <v>697.4</v>
      </c>
      <c r="BB41">
        <f t="shared" si="6"/>
        <v>1805</v>
      </c>
      <c r="BC41" s="32" cm="1">
        <f t="array" ref="BC41">IF($F$13-$I$4+VLOOKUP($Q41,武学奇术!$A:$ZZ,13,FALSE)+SUM(_xlfn.XLOOKUP(R41:AF41,增益!$A:$A,增益!$M:$M,0))&gt;0,($F$13-$I$4+VLOOKUP($Q41,武学奇术!$A:$ZZ,13,FALSE)+SUM(_xlfn.XLOOKUP(R41:AF41,增益!$A:$A,增益!$K:$K,0)))/200,($F$13-$I$4+VLOOKUP($Q41,武学奇术!$A:$ZZ,13,FALSE)+SUM(_xlfn.XLOOKUP(R41:AF41,增益!$A:$A,增益!$M:$M,0)))/100)</f>
        <v>0</v>
      </c>
      <c r="BD41" s="32" cm="1">
        <f t="array" ref="BD41">$G$13+VLOOKUP($Q41,武学奇术!$A:$ZZ,14,FALSE)+SUM(_xlfn.XLOOKUP(R41:AF41,增益!$A:$A,增益!$N:$N,0))</f>
        <v>0.15</v>
      </c>
      <c r="BE41">
        <f t="shared" si="7"/>
        <v>0</v>
      </c>
      <c r="BF41">
        <f t="shared" si="8"/>
        <v>0</v>
      </c>
      <c r="BG41" s="32" cm="1">
        <f t="array" ref="BG41">IF($F$14-$I$4+VLOOKUP($Q41,武学奇术!$A:$ZZ,15,FALSE)+SUM(_xlfn.XLOOKUP(R41:AF41,增益!$A:$A,增益!$O:$O,0))&gt;0,($F$14-$I$4+VLOOKUP($Q41,武学奇术!$A:$ZZ,15,FALSE)+SUM(_xlfn.XLOOKUP(R41:AF41,增益!$A:$A,增益!$O:$O,0)))/200,($F$14-$I$4+VLOOKUP($Q41,武学奇术!$A:$ZZ,15,FALSE)+SUM(_xlfn.XLOOKUP(R41:AF41,增益!$A:$A,增益!$O:$O,0)))/100)</f>
        <v>-0.3</v>
      </c>
      <c r="BH41" s="32" cm="1">
        <f t="array" ref="BH41">$G$14+VLOOKUP($Q41,武学奇术!$A:$ZZ,16,FALSE)+SUM(_xlfn.XLOOKUP(R41:AF41,增益!$A:$A,增益!$P:$P,0))</f>
        <v>0</v>
      </c>
      <c r="BI41" s="26">
        <f>MIN(IF(VLOOKUP($Q41,武学奇术!$A:$ZZ,23,FALSE)=1,100%,$B$8),100%)</f>
        <v>1</v>
      </c>
      <c r="BJ41" s="26" cm="1">
        <f t="array" ref="BJ41">IF(VLOOKUP($Q41,武学奇术!$A:$ZZ,23,FALSE)=1,100%,MIN(80%,$B$9+VLOOKUP($Q41,武学奇术!$A:$ZZ,17,FALSE)+SUM(_xlfn.XLOOKUP(R41:AF41,增益!$A:$A,增益!$Q:$Q,0)))+$B$11+SUM(_xlfn.XLOOKUP(R41:AF41,增益!$A:$A,增益!$U:$U,0)))*IF(VLOOKUP($Q41,武学奇术!$A:$ZZ,24,FALSE)=1,0,1)</f>
        <v>0.8625</v>
      </c>
      <c r="BK41" s="26" cm="1">
        <f t="array" ref="BK41">1+$B$13+VLOOKUP($Q41,武学奇术!$A:$ZZ,18,FALSE)+SUM(_xlfn.XLOOKUP(R41:AF41,增益!$A:$A,增益!$R:$R,0))</f>
        <v>1.5</v>
      </c>
      <c r="BL41" s="26" cm="1">
        <f t="array" ref="BL41">IF(VLOOKUP($Q41,武学奇术!$A:$ZZ,24,FALSE)=1,100%,MIN(40%,$B$10+VLOOKUP($Q41,武学奇术!$A:$ZZ,19,FALSE)+SUM(_xlfn.XLOOKUP(R41:AF41,增益!$A:$A,增益!$S:$S,0)))+$B$12+SUM(_xlfn.XLOOKUP(R41:AF41,增益!$A:$A,增益!$V:$V,0)))*IF(VLOOKUP($Q41,武学奇术!$A:$ZZ,23,FALSE)=1,0,1)</f>
        <v>0.0913</v>
      </c>
      <c r="BM41" s="26" cm="1">
        <f t="array" ref="BM41">1+$B$14+VLOOKUP($Q41,武学奇术!$A:$ZZ,20,FALSE)+SUM(_xlfn.XLOOKUP(R41:AF41,增益!$A:$A,增益!$T:$T,0))</f>
        <v>1.35</v>
      </c>
      <c r="BN41" s="26">
        <f t="shared" si="9"/>
        <v>0.8625</v>
      </c>
      <c r="BO41" s="26">
        <f t="shared" si="10"/>
        <v>0.0462</v>
      </c>
      <c r="BP41" s="26">
        <f>IF(VLOOKUP($Q41,武学奇术!$A:$ZZ,22,FALSE)=1,0,(1-$BI41))*(1-$BL41)</f>
        <v>0</v>
      </c>
      <c r="BQ41" s="26" cm="1">
        <f t="array" ref="BQ41">SUM(_xlfn.XLOOKUP(R41:AF41,增益!$A:$A,增益!$W:$W,0))+$I$5</f>
        <v>0.06</v>
      </c>
    </row>
    <row r="42" spans="5:69">
      <c r="K42" s="38">
        <f t="shared" si="0"/>
        <v>0</v>
      </c>
      <c r="L42" s="38">
        <f>((($AN42+$AO42)/2*$AH42+$AI42)*(1+$AP42)*(1+$AQ42)+(($AS42+$AT42)/2*IF($G$1="鸣金",$AJ42,$AH42)+IF($G$1="鸣金",$AK42*1.5,0))*(1+$AU42)*(1+$AV42)+(($AW42+$AX42)/2*IF($G$1="裂石",$AJ42,$AH42)+IF($G$1="裂石",$AK42*1.5,0))*(1+$AY42)*(1+$AZ42)+(($BA42+$BB42)/2*IF($G$1="牵丝",$AJ42,$AH42)+IF($G$1="牵丝",$AK42*1.5,0))*(1+$BC42)*(1+$BD42)+(($BE42+$BF42)/2*IF($G$1="破竹",$AJ42,$AH42)+IF($G$1="破竹",$AK42*1.5,0))*(1+$BG42)*(1+$BH42))*(1+$AL42)*$BK42*$P42*(1+IF(VLOOKUP($Q42,武学奇术!$A:$ZZ,30,FALSE)="蓄力技",#REF!,0))*(1+$BQ42)</f>
        <v>0</v>
      </c>
      <c r="M42" s="38">
        <f>(($AO42*$AH42+$AI42)*(1+$AP42)*(1+$AQ42)+($AT42*IF($G$1="鸣金",$AJ42,$AH42)+IF($G$1="鸣金",$AK42*1.5,0))*(1+$AU42)*(1+$AV42)+($AX42*IF($G$1="裂石",$AJ42,$AH42)+IF($G$1="裂石",$AK42*1.5,0))*(1+$AY42)*(1+$AZ42)+($BB42*IF($G$1="牵丝",$AJ42,$AH42)+IF($G$1="牵丝",$AK42*1.5,0))*(1+$BC42)*(1+$BD42)+($BF42*IF($G$1="破竹",$AJ42,$AH42)+IF($G$1="破竹",$AK42*1.5,0))*(1+$BG42)*(1+$BH42))*(1+$AL42)*$BM42*$P42*(1+IF(VLOOKUP($Q42,武学奇术!$A:$ZZ,30,FALSE)="蓄力技",#REF!,0))*(1+$BQ42)</f>
        <v>0</v>
      </c>
      <c r="N42" s="38">
        <f>((($AN42+$AO42)/2*$AH42+$AI42)*(1+$AP42)*(1+$AQ42)+(($AS42+$AT42)/2*IF($G$1="鸣金",$AJ42,$AH42)+IF($G$1="鸣金",$AK42*1.5,0))*(1+$AU42)*(1+$AV42)+(($AW42+$AX42)/2*IF($G$1="裂石",$AJ42,$AH42)+IF($G$1="裂石",$AK42*1.5,0))*(1+$AY42)*(1+$AZ42)+(($BA42+$BB42)/2*IF($G$1="牵丝",$AJ42,$AH42)+IF($G$1="牵丝",$AK42*1.5,0))*(1+$BC42)*(1+$BD42)+(($BE42+$BF42)/2*IF($G$1="破竹",$AJ42,$AH42)+IF($G$1="破竹",$AK42*1.5,0))*(1+$BG42)*(1+$BH42))*(1+$AL42)*$P42*(1+IF(VLOOKUP($Q42,武学奇术!$A:$ZZ,30,FALSE)="蓄力技",#REF!,0))*(1+$BQ42)</f>
        <v>0</v>
      </c>
      <c r="O42" s="38">
        <f>((($AN42*$AH42+$AI42)*(1+$AP42)*(1+$AQ42)+($AS42*IF($G$1="鸣金",$AJ42,$AH42)+IF($G$1="鸣金",$AK42*1.5,0))*(1+$AU42)*(1+$AV42)+($AW42*IF($G$1="裂石",$AJ42,$AH42)+IF($G$1="裂石",$AK42*1.5,0))*(1+$AY42)*(1+$AZ42)+($BA42*IF($G$1="牵丝",$AJ42,$AH42)+IF($G$1="牵丝",$AK42*1.5,0))*(1+$BC42)*(1+$BD42)+($BE42*IF($G$1="破竹",$AJ42,$AH42)+IF($G$1="破竹",$AK42*1.5,0))*(1+$BG42)*(1+$BH42))*(1+$AL42))*$P42*(1+IF(VLOOKUP($Q42,武学奇术!$A:$ZZ,30,FALSE)="蓄力技",#REF!,0))*(1+$BQ42)</f>
        <v>0</v>
      </c>
      <c r="P42" s="39">
        <v>1</v>
      </c>
      <c r="Q42" s="40" t="s">
        <v>76</v>
      </c>
      <c r="R42" s="40" t="s">
        <v>76</v>
      </c>
      <c r="S42" s="40" t="s">
        <v>76</v>
      </c>
      <c r="T42" s="40" t="s">
        <v>76</v>
      </c>
      <c r="U42" s="40" t="s">
        <v>76</v>
      </c>
      <c r="V42" s="40" t="s">
        <v>76</v>
      </c>
      <c r="W42" s="40" t="s">
        <v>76</v>
      </c>
      <c r="X42" s="40" t="s">
        <v>76</v>
      </c>
      <c r="Y42" s="40" t="s">
        <v>76</v>
      </c>
      <c r="Z42" s="40" t="s">
        <v>76</v>
      </c>
      <c r="AA42" s="40" t="s">
        <v>76</v>
      </c>
      <c r="AB42" s="40" t="s">
        <v>76</v>
      </c>
      <c r="AC42" s="40" t="s">
        <v>76</v>
      </c>
      <c r="AD42" s="40" t="s">
        <v>76</v>
      </c>
      <c r="AE42" s="40" t="s">
        <v>76</v>
      </c>
      <c r="AF42" s="40" t="s">
        <v>76</v>
      </c>
      <c r="AG42" t="str">
        <f>VLOOKUP($Q42,武学奇术!$A:$ZZ,25,FALSE)</f>
        <v>心法</v>
      </c>
      <c r="AH42" s="26">
        <f>VLOOKUP($Q42,武学奇术!$A:$ZZ,26,FALSE)</f>
        <v>0</v>
      </c>
      <c r="AI42" s="27">
        <f>VLOOKUP($Q42,武学奇术!$A:$ZZ,27,FALSE)*(1+IF(OR($AG42=$F$4,$AG42=$F$5),$B$21,0))</f>
        <v>0</v>
      </c>
      <c r="AJ42" s="26">
        <f>VLOOKUP($Q42,武学奇术!$A:$ZZ,28,FALSE)</f>
        <v>0</v>
      </c>
      <c r="AK42" s="27">
        <f>VLOOKUP($Q42,武学奇术!$A:$ZZ,29,FALSE)*(1+IF(OR($AG42=$F$4,$AG42=$F$5),$B$21,0))</f>
        <v>0</v>
      </c>
      <c r="AL42" s="26" cm="1">
        <f t="array" ref="AL42">$G$3+IFERROR(VLOOKUP($AG42,$F$4:$G$7,2,FALSE),0)+VLOOKUP($Q42,武学奇术!$A:$ZZ,2,FALSE)+SUM(_xlfn.XLOOKUP($R42:$AF42,增益!$A:$A,增益!$B:$B,0))</f>
        <v>0.1842</v>
      </c>
      <c r="AM42" s="26" cm="1">
        <f t="array" ref="AM42">VLOOKUP($Q42,武学奇术!$A:$ZZ,5,FALSE)+SUM(_xlfn.XLOOKUP($R42:$AF42,增益!$A:$A,增益!$E:$E,0))</f>
        <v>0</v>
      </c>
      <c r="AN42" cm="1">
        <f t="array" ref="AN42">$D$10*(1+$AM42)+VLOOKUP($Q42,武学奇术!$A:$ZZ,3,FALSE)+SUM(_xlfn.XLOOKUP($R42:$AF42,增益!$A:$A,增益!$C:$C,0))-$I$2</f>
        <v>3940</v>
      </c>
      <c r="AO42" cm="1">
        <f t="array" ref="AO42">$E$10*(1+$AM42)+VLOOKUP($Q42,武学奇术!$A:$ZZ,4,FALSE)+SUM(_xlfn.XLOOKUP($R42:$AF42,增益!$A:$A,增益!$D:$D,0))-$I$2</f>
        <v>3940</v>
      </c>
      <c r="AP42" s="32" cm="1">
        <f t="array" ref="AP42">IF($F$10-$I$3+VLOOKUP($Q42,武学奇术!$A:$ZZ,6,FALSE)+SUM(_xlfn.XLOOKUP(R42:AF42,增益!$A:$A,增益!$F:$F,0))&gt;0,($F$10-$I$3+VLOOKUP($Q42,武学奇术!$A:$ZZ,6,FALSE)+SUM(_xlfn.XLOOKUP(R42:AF42,增益!$A:$A,增益!$F:$F,0)))/200,($F$10-$I$3+VLOOKUP($Q42,武学奇术!$A:$ZZ,6,FALSE)+SUM(_xlfn.XLOOKUP(R42:AF42,增益!$A:$A,增益!$F:$F,0)))/100)</f>
        <v>0.194</v>
      </c>
      <c r="AQ42" s="32" cm="1">
        <f t="array" ref="AQ42">$G$10+VLOOKUP($Q42,武学奇术!$A:$ZZ,7,FALSE)+SUM(_xlfn.XLOOKUP(R42:AF42,增益!$A:$A,增益!$G:$G,0))</f>
        <v>0</v>
      </c>
      <c r="AR42" s="26" cm="1">
        <f t="array" ref="AR42">VLOOKUP($Q42,武学奇术!$A:$ZZ,8,FALSE)+SUM(_xlfn.XLOOKUP(R42:AF42,增益!$A:$A,增益!$H:$H,0))</f>
        <v>0</v>
      </c>
      <c r="AS42">
        <f t="shared" si="1"/>
        <v>0</v>
      </c>
      <c r="AT42">
        <f t="shared" si="2"/>
        <v>0</v>
      </c>
      <c r="AU42" s="32" cm="1">
        <f t="array" ref="AU42">IF($F$11-$I$4+VLOOKUP($Q42,武学奇术!$A:$ZZ,9,FALSE)+SUM(_xlfn.XLOOKUP(R42:AF42,增益!$A:$A,增益!$I:$I,0))&gt;0,($F$11-$I$4+VLOOKUP($Q42,武学奇术!$A:$ZZ,9,FALSE)+SUM(_xlfn.XLOOKUP(R42:AF42,增益!$A:$A,增益!$I:$I,0)))/200,($F$11-$I$4+VLOOKUP($Q42,武学奇术!$A:$ZZ,9,FALSE)+SUM(_xlfn.XLOOKUP(R42:AF42,增益!$A:$A,增益!$I:$I,0)))/100)</f>
        <v>-0.3</v>
      </c>
      <c r="AV42" s="32" cm="1">
        <f t="array" ref="AV42">$G$11+VLOOKUP($Q42,武学奇术!$A:$ZZ,10,FALSE)+SUM(_xlfn.XLOOKUP(R42:AF42,增益!$A:$A,增益!$J:$J,0))</f>
        <v>0</v>
      </c>
      <c r="AW42">
        <f t="shared" si="3"/>
        <v>0</v>
      </c>
      <c r="AX42">
        <f t="shared" si="4"/>
        <v>0</v>
      </c>
      <c r="AY42" s="32" cm="1">
        <f t="array" ref="AY42">IF($F$12-$I$4+VLOOKUP($Q42,武学奇术!$A:$ZZ,11,FALSE)+SUM(_xlfn.XLOOKUP(R42:AF42,增益!$A:$A,增益!$K:$K,0))&gt;0,($F$12-$I$4+VLOOKUP($Q42,武学奇术!$A:$ZZ,11,FALSE)+SUM(_xlfn.XLOOKUP(R42:AF42,增益!$A:$A,增益!$K:$K,0)))/200,($F$12-$I$4+VLOOKUP($Q42,武学奇术!$A:$ZZ,11,FALSE)+SUM(_xlfn.XLOOKUP(R42:AF42,增益!$A:$A,增益!$K:$K,0)))/100)</f>
        <v>-0.3</v>
      </c>
      <c r="AZ42" s="32" cm="1">
        <f t="array" ref="AZ42">$G$12+VLOOKUP($Q42,武学奇术!$A:$ZZ,12,FALSE)+SUM(_xlfn.XLOOKUP(R42:AF42,增益!$A:$A,增益!$L:$L,0))</f>
        <v>0</v>
      </c>
      <c r="BA42">
        <f t="shared" si="5"/>
        <v>697.4</v>
      </c>
      <c r="BB42">
        <f t="shared" si="6"/>
        <v>1805</v>
      </c>
      <c r="BC42" s="32" cm="1">
        <f t="array" ref="BC42">IF($F$13-$I$4+VLOOKUP($Q42,武学奇术!$A:$ZZ,13,FALSE)+SUM(_xlfn.XLOOKUP(R42:AF42,增益!$A:$A,增益!$M:$M,0))&gt;0,($F$13-$I$4+VLOOKUP($Q42,武学奇术!$A:$ZZ,13,FALSE)+SUM(_xlfn.XLOOKUP(R42:AF42,增益!$A:$A,增益!$K:$K,0)))/200,($F$13-$I$4+VLOOKUP($Q42,武学奇术!$A:$ZZ,13,FALSE)+SUM(_xlfn.XLOOKUP(R42:AF42,增益!$A:$A,增益!$M:$M,0)))/100)</f>
        <v>0</v>
      </c>
      <c r="BD42" s="32" cm="1">
        <f t="array" ref="BD42">$G$13+VLOOKUP($Q42,武学奇术!$A:$ZZ,14,FALSE)+SUM(_xlfn.XLOOKUP(R42:AF42,增益!$A:$A,增益!$N:$N,0))</f>
        <v>0.15</v>
      </c>
      <c r="BE42">
        <f t="shared" si="7"/>
        <v>0</v>
      </c>
      <c r="BF42">
        <f t="shared" si="8"/>
        <v>0</v>
      </c>
      <c r="BG42" s="32" cm="1">
        <f t="array" ref="BG42">IF($F$14-$I$4+VLOOKUP($Q42,武学奇术!$A:$ZZ,15,FALSE)+SUM(_xlfn.XLOOKUP(R42:AF42,增益!$A:$A,增益!$O:$O,0))&gt;0,($F$14-$I$4+VLOOKUP($Q42,武学奇术!$A:$ZZ,15,FALSE)+SUM(_xlfn.XLOOKUP(R42:AF42,增益!$A:$A,增益!$O:$O,0)))/200,($F$14-$I$4+VLOOKUP($Q42,武学奇术!$A:$ZZ,15,FALSE)+SUM(_xlfn.XLOOKUP(R42:AF42,增益!$A:$A,增益!$O:$O,0)))/100)</f>
        <v>-0.3</v>
      </c>
      <c r="BH42" s="32" cm="1">
        <f t="array" ref="BH42">$G$14+VLOOKUP($Q42,武学奇术!$A:$ZZ,16,FALSE)+SUM(_xlfn.XLOOKUP(R42:AF42,增益!$A:$A,增益!$P:$P,0))</f>
        <v>0</v>
      </c>
      <c r="BI42" s="26">
        <f>MIN(IF(VLOOKUP($Q42,武学奇术!$A:$ZZ,23,FALSE)=1,100%,$B$8),100%)</f>
        <v>1</v>
      </c>
      <c r="BJ42" s="26" cm="1">
        <f t="array" ref="BJ42">IF(VLOOKUP($Q42,武学奇术!$A:$ZZ,23,FALSE)=1,100%,MIN(80%,$B$9+VLOOKUP($Q42,武学奇术!$A:$ZZ,17,FALSE)+SUM(_xlfn.XLOOKUP(R42:AF42,增益!$A:$A,增益!$Q:$Q,0)))+$B$11+SUM(_xlfn.XLOOKUP(R42:AF42,增益!$A:$A,增益!$U:$U,0)))*IF(VLOOKUP($Q42,武学奇术!$A:$ZZ,24,FALSE)=1,0,1)</f>
        <v>0.8625</v>
      </c>
      <c r="BK42" s="26" cm="1">
        <f t="array" ref="BK42">1+$B$13+VLOOKUP($Q42,武学奇术!$A:$ZZ,18,FALSE)+SUM(_xlfn.XLOOKUP(R42:AF42,增益!$A:$A,增益!$R:$R,0))</f>
        <v>1.5</v>
      </c>
      <c r="BL42" s="26" cm="1">
        <f t="array" ref="BL42">IF(VLOOKUP($Q42,武学奇术!$A:$ZZ,24,FALSE)=1,100%,MIN(40%,$B$10+VLOOKUP($Q42,武学奇术!$A:$ZZ,19,FALSE)+SUM(_xlfn.XLOOKUP(R42:AF42,增益!$A:$A,增益!$S:$S,0)))+$B$12+SUM(_xlfn.XLOOKUP(R42:AF42,增益!$A:$A,增益!$V:$V,0)))*IF(VLOOKUP($Q42,武学奇术!$A:$ZZ,23,FALSE)=1,0,1)</f>
        <v>0.0913</v>
      </c>
      <c r="BM42" s="26" cm="1">
        <f t="array" ref="BM42">1+$B$14+VLOOKUP($Q42,武学奇术!$A:$ZZ,20,FALSE)+SUM(_xlfn.XLOOKUP(R42:AF42,增益!$A:$A,增益!$T:$T,0))</f>
        <v>1.35</v>
      </c>
      <c r="BN42" s="26">
        <f t="shared" si="9"/>
        <v>0.8625</v>
      </c>
      <c r="BO42" s="26">
        <f t="shared" si="10"/>
        <v>0.0462</v>
      </c>
      <c r="BP42" s="26">
        <f>IF(VLOOKUP($Q42,武学奇术!$A:$ZZ,22,FALSE)=1,0,(1-$BI42))*(1-$BL42)</f>
        <v>0</v>
      </c>
      <c r="BQ42" s="26" cm="1">
        <f t="array" ref="BQ42">SUM(_xlfn.XLOOKUP(R42:AF42,增益!$A:$A,增益!$W:$W,0))+$I$5</f>
        <v>0.06</v>
      </c>
    </row>
    <row r="43" spans="5:69">
      <c r="K43" s="38">
        <f t="shared" si="0"/>
        <v>0</v>
      </c>
      <c r="L43" s="38">
        <f>((($AN43+$AO43)/2*$AH43+$AI43)*(1+$AP43)*(1+$AQ43)+(($AS43+$AT43)/2*IF($G$1="鸣金",$AJ43,$AH43)+IF($G$1="鸣金",$AK43*1.5,0))*(1+$AU43)*(1+$AV43)+(($AW43+$AX43)/2*IF($G$1="裂石",$AJ43,$AH43)+IF($G$1="裂石",$AK43*1.5,0))*(1+$AY43)*(1+$AZ43)+(($BA43+$BB43)/2*IF($G$1="牵丝",$AJ43,$AH43)+IF($G$1="牵丝",$AK43*1.5,0))*(1+$BC43)*(1+$BD43)+(($BE43+$BF43)/2*IF($G$1="破竹",$AJ43,$AH43)+IF($G$1="破竹",$AK43*1.5,0))*(1+$BG43)*(1+$BH43))*(1+$AL43)*$BK43*$P43*(1+IF(VLOOKUP($Q43,武学奇术!$A:$ZZ,30,FALSE)="蓄力技",#REF!,0))*(1+$BQ43)</f>
        <v>0</v>
      </c>
      <c r="M43" s="38">
        <f>(($AO43*$AH43+$AI43)*(1+$AP43)*(1+$AQ43)+($AT43*IF($G$1="鸣金",$AJ43,$AH43)+IF($G$1="鸣金",$AK43*1.5,0))*(1+$AU43)*(1+$AV43)+($AX43*IF($G$1="裂石",$AJ43,$AH43)+IF($G$1="裂石",$AK43*1.5,0))*(1+$AY43)*(1+$AZ43)+($BB43*IF($G$1="牵丝",$AJ43,$AH43)+IF($G$1="牵丝",$AK43*1.5,0))*(1+$BC43)*(1+$BD43)+($BF43*IF($G$1="破竹",$AJ43,$AH43)+IF($G$1="破竹",$AK43*1.5,0))*(1+$BG43)*(1+$BH43))*(1+$AL43)*$BM43*$P43*(1+IF(VLOOKUP($Q43,武学奇术!$A:$ZZ,30,FALSE)="蓄力技",#REF!,0))*(1+$BQ43)</f>
        <v>0</v>
      </c>
      <c r="N43" s="38">
        <f>((($AN43+$AO43)/2*$AH43+$AI43)*(1+$AP43)*(1+$AQ43)+(($AS43+$AT43)/2*IF($G$1="鸣金",$AJ43,$AH43)+IF($G$1="鸣金",$AK43*1.5,0))*(1+$AU43)*(1+$AV43)+(($AW43+$AX43)/2*IF($G$1="裂石",$AJ43,$AH43)+IF($G$1="裂石",$AK43*1.5,0))*(1+$AY43)*(1+$AZ43)+(($BA43+$BB43)/2*IF($G$1="牵丝",$AJ43,$AH43)+IF($G$1="牵丝",$AK43*1.5,0))*(1+$BC43)*(1+$BD43)+(($BE43+$BF43)/2*IF($G$1="破竹",$AJ43,$AH43)+IF($G$1="破竹",$AK43*1.5,0))*(1+$BG43)*(1+$BH43))*(1+$AL43)*$P43*(1+IF(VLOOKUP($Q43,武学奇术!$A:$ZZ,30,FALSE)="蓄力技",#REF!,0))*(1+$BQ43)</f>
        <v>0</v>
      </c>
      <c r="O43" s="38">
        <f>((($AN43*$AH43+$AI43)*(1+$AP43)*(1+$AQ43)+($AS43*IF($G$1="鸣金",$AJ43,$AH43)+IF($G$1="鸣金",$AK43*1.5,0))*(1+$AU43)*(1+$AV43)+($AW43*IF($G$1="裂石",$AJ43,$AH43)+IF($G$1="裂石",$AK43*1.5,0))*(1+$AY43)*(1+$AZ43)+($BA43*IF($G$1="牵丝",$AJ43,$AH43)+IF($G$1="牵丝",$AK43*1.5,0))*(1+$BC43)*(1+$BD43)+($BE43*IF($G$1="破竹",$AJ43,$AH43)+IF($G$1="破竹",$AK43*1.5,0))*(1+$BG43)*(1+$BH43))*(1+$AL43))*$P43*(1+IF(VLOOKUP($Q43,武学奇术!$A:$ZZ,30,FALSE)="蓄力技",#REF!,0))*(1+$BQ43)</f>
        <v>0</v>
      </c>
      <c r="P43" s="39">
        <v>1</v>
      </c>
      <c r="Q43" s="40" t="s">
        <v>76</v>
      </c>
      <c r="R43" s="40" t="s">
        <v>76</v>
      </c>
      <c r="S43" s="40" t="s">
        <v>76</v>
      </c>
      <c r="T43" s="40" t="s">
        <v>76</v>
      </c>
      <c r="U43" s="40" t="s">
        <v>76</v>
      </c>
      <c r="V43" s="40" t="s">
        <v>76</v>
      </c>
      <c r="W43" s="40" t="s">
        <v>76</v>
      </c>
      <c r="X43" s="40" t="s">
        <v>76</v>
      </c>
      <c r="Y43" s="40" t="s">
        <v>76</v>
      </c>
      <c r="Z43" s="40" t="s">
        <v>76</v>
      </c>
      <c r="AA43" s="40" t="s">
        <v>76</v>
      </c>
      <c r="AB43" s="40" t="s">
        <v>76</v>
      </c>
      <c r="AC43" s="40" t="s">
        <v>76</v>
      </c>
      <c r="AD43" s="40" t="s">
        <v>76</v>
      </c>
      <c r="AE43" s="40" t="s">
        <v>76</v>
      </c>
      <c r="AF43" s="40" t="s">
        <v>76</v>
      </c>
      <c r="AG43" t="str">
        <f>VLOOKUP($Q43,武学奇术!$A:$ZZ,25,FALSE)</f>
        <v>心法</v>
      </c>
      <c r="AH43" s="26">
        <f>VLOOKUP($Q43,武学奇术!$A:$ZZ,26,FALSE)</f>
        <v>0</v>
      </c>
      <c r="AI43" s="27">
        <f>VLOOKUP($Q43,武学奇术!$A:$ZZ,27,FALSE)*(1+IF(OR($AG43=$F$4,$AG43=$F$5),$B$21,0))</f>
        <v>0</v>
      </c>
      <c r="AJ43" s="26">
        <f>VLOOKUP($Q43,武学奇术!$A:$ZZ,28,FALSE)</f>
        <v>0</v>
      </c>
      <c r="AK43" s="27">
        <f>VLOOKUP($Q43,武学奇术!$A:$ZZ,29,FALSE)*(1+IF(OR($AG43=$F$4,$AG43=$F$5),$B$21,0))</f>
        <v>0</v>
      </c>
      <c r="AL43" s="26" cm="1">
        <f t="array" ref="AL43">$G$3+IFERROR(VLOOKUP($AG43,$F$4:$G$7,2,FALSE),0)+VLOOKUP($Q43,武学奇术!$A:$ZZ,2,FALSE)+SUM(_xlfn.XLOOKUP($R43:$AF43,增益!$A:$A,增益!$B:$B,0))</f>
        <v>0.1842</v>
      </c>
      <c r="AM43" s="26" cm="1">
        <f t="array" ref="AM43">VLOOKUP($Q43,武学奇术!$A:$ZZ,5,FALSE)+SUM(_xlfn.XLOOKUP($R43:$AF43,增益!$A:$A,增益!$E:$E,0))</f>
        <v>0</v>
      </c>
      <c r="AN43" cm="1">
        <f t="array" ref="AN43">$D$10*(1+$AM43)+VLOOKUP($Q43,武学奇术!$A:$ZZ,3,FALSE)+SUM(_xlfn.XLOOKUP($R43:$AF43,增益!$A:$A,增益!$C:$C,0))-$I$2</f>
        <v>3940</v>
      </c>
      <c r="AO43" cm="1">
        <f t="array" ref="AO43">$E$10*(1+$AM43)+VLOOKUP($Q43,武学奇术!$A:$ZZ,4,FALSE)+SUM(_xlfn.XLOOKUP($R43:$AF43,增益!$A:$A,增益!$D:$D,0))-$I$2</f>
        <v>3940</v>
      </c>
      <c r="AP43" s="32" cm="1">
        <f t="array" ref="AP43">IF($F$10-$I$3+VLOOKUP($Q43,武学奇术!$A:$ZZ,6,FALSE)+SUM(_xlfn.XLOOKUP(R43:AF43,增益!$A:$A,增益!$F:$F,0))&gt;0,($F$10-$I$3+VLOOKUP($Q43,武学奇术!$A:$ZZ,6,FALSE)+SUM(_xlfn.XLOOKUP(R43:AF43,增益!$A:$A,增益!$F:$F,0)))/200,($F$10-$I$3+VLOOKUP($Q43,武学奇术!$A:$ZZ,6,FALSE)+SUM(_xlfn.XLOOKUP(R43:AF43,增益!$A:$A,增益!$F:$F,0)))/100)</f>
        <v>0.194</v>
      </c>
      <c r="AQ43" s="32" cm="1">
        <f t="array" ref="AQ43">$G$10+VLOOKUP($Q43,武学奇术!$A:$ZZ,7,FALSE)+SUM(_xlfn.XLOOKUP(R43:AF43,增益!$A:$A,增益!$G:$G,0))</f>
        <v>0</v>
      </c>
      <c r="AR43" s="26" cm="1">
        <f t="array" ref="AR43">VLOOKUP($Q43,武学奇术!$A:$ZZ,8,FALSE)+SUM(_xlfn.XLOOKUP(R43:AF43,增益!$A:$A,增益!$H:$H,0))</f>
        <v>0</v>
      </c>
      <c r="AS43">
        <f t="shared" si="1"/>
        <v>0</v>
      </c>
      <c r="AT43">
        <f t="shared" si="2"/>
        <v>0</v>
      </c>
      <c r="AU43" s="32" cm="1">
        <f t="array" ref="AU43">IF($F$11-$I$4+VLOOKUP($Q43,武学奇术!$A:$ZZ,9,FALSE)+SUM(_xlfn.XLOOKUP(R43:AF43,增益!$A:$A,增益!$I:$I,0))&gt;0,($F$11-$I$4+VLOOKUP($Q43,武学奇术!$A:$ZZ,9,FALSE)+SUM(_xlfn.XLOOKUP(R43:AF43,增益!$A:$A,增益!$I:$I,0)))/200,($F$11-$I$4+VLOOKUP($Q43,武学奇术!$A:$ZZ,9,FALSE)+SUM(_xlfn.XLOOKUP(R43:AF43,增益!$A:$A,增益!$I:$I,0)))/100)</f>
        <v>-0.3</v>
      </c>
      <c r="AV43" s="32" cm="1">
        <f t="array" ref="AV43">$G$11+VLOOKUP($Q43,武学奇术!$A:$ZZ,10,FALSE)+SUM(_xlfn.XLOOKUP(R43:AF43,增益!$A:$A,增益!$J:$J,0))</f>
        <v>0</v>
      </c>
      <c r="AW43">
        <f t="shared" si="3"/>
        <v>0</v>
      </c>
      <c r="AX43">
        <f t="shared" si="4"/>
        <v>0</v>
      </c>
      <c r="AY43" s="32" cm="1">
        <f t="array" ref="AY43">IF($F$12-$I$4+VLOOKUP($Q43,武学奇术!$A:$ZZ,11,FALSE)+SUM(_xlfn.XLOOKUP(R43:AF43,增益!$A:$A,增益!$K:$K,0))&gt;0,($F$12-$I$4+VLOOKUP($Q43,武学奇术!$A:$ZZ,11,FALSE)+SUM(_xlfn.XLOOKUP(R43:AF43,增益!$A:$A,增益!$K:$K,0)))/200,($F$12-$I$4+VLOOKUP($Q43,武学奇术!$A:$ZZ,11,FALSE)+SUM(_xlfn.XLOOKUP(R43:AF43,增益!$A:$A,增益!$K:$K,0)))/100)</f>
        <v>-0.3</v>
      </c>
      <c r="AZ43" s="32" cm="1">
        <f t="array" ref="AZ43">$G$12+VLOOKUP($Q43,武学奇术!$A:$ZZ,12,FALSE)+SUM(_xlfn.XLOOKUP(R43:AF43,增益!$A:$A,增益!$L:$L,0))</f>
        <v>0</v>
      </c>
      <c r="BA43">
        <f t="shared" si="5"/>
        <v>697.4</v>
      </c>
      <c r="BB43">
        <f t="shared" si="6"/>
        <v>1805</v>
      </c>
      <c r="BC43" s="32" cm="1">
        <f t="array" ref="BC43">IF($F$13-$I$4+VLOOKUP($Q43,武学奇术!$A:$ZZ,13,FALSE)+SUM(_xlfn.XLOOKUP(R43:AF43,增益!$A:$A,增益!$M:$M,0))&gt;0,($F$13-$I$4+VLOOKUP($Q43,武学奇术!$A:$ZZ,13,FALSE)+SUM(_xlfn.XLOOKUP(R43:AF43,增益!$A:$A,增益!$K:$K,0)))/200,($F$13-$I$4+VLOOKUP($Q43,武学奇术!$A:$ZZ,13,FALSE)+SUM(_xlfn.XLOOKUP(R43:AF43,增益!$A:$A,增益!$M:$M,0)))/100)</f>
        <v>0</v>
      </c>
      <c r="BD43" s="32" cm="1">
        <f t="array" ref="BD43">$G$13+VLOOKUP($Q43,武学奇术!$A:$ZZ,14,FALSE)+SUM(_xlfn.XLOOKUP(R43:AF43,增益!$A:$A,增益!$N:$N,0))</f>
        <v>0.15</v>
      </c>
      <c r="BE43">
        <f t="shared" si="7"/>
        <v>0</v>
      </c>
      <c r="BF43">
        <f t="shared" si="8"/>
        <v>0</v>
      </c>
      <c r="BG43" s="32" cm="1">
        <f t="array" ref="BG43">IF($F$14-$I$4+VLOOKUP($Q43,武学奇术!$A:$ZZ,15,FALSE)+SUM(_xlfn.XLOOKUP(R43:AF43,增益!$A:$A,增益!$O:$O,0))&gt;0,($F$14-$I$4+VLOOKUP($Q43,武学奇术!$A:$ZZ,15,FALSE)+SUM(_xlfn.XLOOKUP(R43:AF43,增益!$A:$A,增益!$O:$O,0)))/200,($F$14-$I$4+VLOOKUP($Q43,武学奇术!$A:$ZZ,15,FALSE)+SUM(_xlfn.XLOOKUP(R43:AF43,增益!$A:$A,增益!$O:$O,0)))/100)</f>
        <v>-0.3</v>
      </c>
      <c r="BH43" s="32" cm="1">
        <f t="array" ref="BH43">$G$14+VLOOKUP($Q43,武学奇术!$A:$ZZ,16,FALSE)+SUM(_xlfn.XLOOKUP(R43:AF43,增益!$A:$A,增益!$P:$P,0))</f>
        <v>0</v>
      </c>
      <c r="BI43" s="26">
        <f>MIN(IF(VLOOKUP($Q43,武学奇术!$A:$ZZ,23,FALSE)=1,100%,$B$8),100%)</f>
        <v>1</v>
      </c>
      <c r="BJ43" s="26" cm="1">
        <f t="array" ref="BJ43">IF(VLOOKUP($Q43,武学奇术!$A:$ZZ,23,FALSE)=1,100%,MIN(80%,$B$9+VLOOKUP($Q43,武学奇术!$A:$ZZ,17,FALSE)+SUM(_xlfn.XLOOKUP(R43:AF43,增益!$A:$A,增益!$Q:$Q,0)))+$B$11+SUM(_xlfn.XLOOKUP(R43:AF43,增益!$A:$A,增益!$U:$U,0)))*IF(VLOOKUP($Q43,武学奇术!$A:$ZZ,24,FALSE)=1,0,1)</f>
        <v>0.8625</v>
      </c>
      <c r="BK43" s="26" cm="1">
        <f t="array" ref="BK43">1+$B$13+VLOOKUP($Q43,武学奇术!$A:$ZZ,18,FALSE)+SUM(_xlfn.XLOOKUP(R43:AF43,增益!$A:$A,增益!$R:$R,0))</f>
        <v>1.5</v>
      </c>
      <c r="BL43" s="26" cm="1">
        <f t="array" ref="BL43">IF(VLOOKUP($Q43,武学奇术!$A:$ZZ,24,FALSE)=1,100%,MIN(40%,$B$10+VLOOKUP($Q43,武学奇术!$A:$ZZ,19,FALSE)+SUM(_xlfn.XLOOKUP(R43:AF43,增益!$A:$A,增益!$S:$S,0)))+$B$12+SUM(_xlfn.XLOOKUP(R43:AF43,增益!$A:$A,增益!$V:$V,0)))*IF(VLOOKUP($Q43,武学奇术!$A:$ZZ,23,FALSE)=1,0,1)</f>
        <v>0.0913</v>
      </c>
      <c r="BM43" s="26" cm="1">
        <f t="array" ref="BM43">1+$B$14+VLOOKUP($Q43,武学奇术!$A:$ZZ,20,FALSE)+SUM(_xlfn.XLOOKUP(R43:AF43,增益!$A:$A,增益!$T:$T,0))</f>
        <v>1.35</v>
      </c>
      <c r="BN43" s="26">
        <f t="shared" si="9"/>
        <v>0.8625</v>
      </c>
      <c r="BO43" s="26">
        <f t="shared" si="10"/>
        <v>0.0462</v>
      </c>
      <c r="BP43" s="26">
        <f>IF(VLOOKUP($Q43,武学奇术!$A:$ZZ,22,FALSE)=1,0,(1-$BI43))*(1-$BL43)</f>
        <v>0</v>
      </c>
      <c r="BQ43" s="26" cm="1">
        <f t="array" ref="BQ43">SUM(_xlfn.XLOOKUP(R43:AF43,增益!$A:$A,增益!$W:$W,0))+$I$5</f>
        <v>0.06</v>
      </c>
    </row>
    <row r="44" spans="5:69">
      <c r="K44" s="38">
        <f t="shared" si="0"/>
        <v>0</v>
      </c>
      <c r="L44" s="38">
        <f>((($AN44+$AO44)/2*$AH44+$AI44)*(1+$AP44)*(1+$AQ44)+(($AS44+$AT44)/2*IF($G$1="鸣金",$AJ44,$AH44)+IF($G$1="鸣金",$AK44*1.5,0))*(1+$AU44)*(1+$AV44)+(($AW44+$AX44)/2*IF($G$1="裂石",$AJ44,$AH44)+IF($G$1="裂石",$AK44*1.5,0))*(1+$AY44)*(1+$AZ44)+(($BA44+$BB44)/2*IF($G$1="牵丝",$AJ44,$AH44)+IF($G$1="牵丝",$AK44*1.5,0))*(1+$BC44)*(1+$BD44)+(($BE44+$BF44)/2*IF($G$1="破竹",$AJ44,$AH44)+IF($G$1="破竹",$AK44*1.5,0))*(1+$BG44)*(1+$BH44))*(1+$AL44)*$BK44*$P44*(1+IF(VLOOKUP($Q44,武学奇术!$A:$ZZ,30,FALSE)="蓄力技",#REF!,0))*(1+$BQ44)</f>
        <v>0</v>
      </c>
      <c r="M44" s="38">
        <f>(($AO44*$AH44+$AI44)*(1+$AP44)*(1+$AQ44)+($AT44*IF($G$1="鸣金",$AJ44,$AH44)+IF($G$1="鸣金",$AK44*1.5,0))*(1+$AU44)*(1+$AV44)+($AX44*IF($G$1="裂石",$AJ44,$AH44)+IF($G$1="裂石",$AK44*1.5,0))*(1+$AY44)*(1+$AZ44)+($BB44*IF($G$1="牵丝",$AJ44,$AH44)+IF($G$1="牵丝",$AK44*1.5,0))*(1+$BC44)*(1+$BD44)+($BF44*IF($G$1="破竹",$AJ44,$AH44)+IF($G$1="破竹",$AK44*1.5,0))*(1+$BG44)*(1+$BH44))*(1+$AL44)*$BM44*$P44*(1+IF(VLOOKUP($Q44,武学奇术!$A:$ZZ,30,FALSE)="蓄力技",#REF!,0))*(1+$BQ44)</f>
        <v>0</v>
      </c>
      <c r="N44" s="38">
        <f>((($AN44+$AO44)/2*$AH44+$AI44)*(1+$AP44)*(1+$AQ44)+(($AS44+$AT44)/2*IF($G$1="鸣金",$AJ44,$AH44)+IF($G$1="鸣金",$AK44*1.5,0))*(1+$AU44)*(1+$AV44)+(($AW44+$AX44)/2*IF($G$1="裂石",$AJ44,$AH44)+IF($G$1="裂石",$AK44*1.5,0))*(1+$AY44)*(1+$AZ44)+(($BA44+$BB44)/2*IF($G$1="牵丝",$AJ44,$AH44)+IF($G$1="牵丝",$AK44*1.5,0))*(1+$BC44)*(1+$BD44)+(($BE44+$BF44)/2*IF($G$1="破竹",$AJ44,$AH44)+IF($G$1="破竹",$AK44*1.5,0))*(1+$BG44)*(1+$BH44))*(1+$AL44)*$P44*(1+IF(VLOOKUP($Q44,武学奇术!$A:$ZZ,30,FALSE)="蓄力技",#REF!,0))*(1+$BQ44)</f>
        <v>0</v>
      </c>
      <c r="O44" s="38">
        <f>((($AN44*$AH44+$AI44)*(1+$AP44)*(1+$AQ44)+($AS44*IF($G$1="鸣金",$AJ44,$AH44)+IF($G$1="鸣金",$AK44*1.5,0))*(1+$AU44)*(1+$AV44)+($AW44*IF($G$1="裂石",$AJ44,$AH44)+IF($G$1="裂石",$AK44*1.5,0))*(1+$AY44)*(1+$AZ44)+($BA44*IF($G$1="牵丝",$AJ44,$AH44)+IF($G$1="牵丝",$AK44*1.5,0))*(1+$BC44)*(1+$BD44)+($BE44*IF($G$1="破竹",$AJ44,$AH44)+IF($G$1="破竹",$AK44*1.5,0))*(1+$BG44)*(1+$BH44))*(1+$AL44))*$P44*(1+IF(VLOOKUP($Q44,武学奇术!$A:$ZZ,30,FALSE)="蓄力技",#REF!,0))*(1+$BQ44)</f>
        <v>0</v>
      </c>
      <c r="P44" s="39">
        <v>1</v>
      </c>
      <c r="Q44" s="40" t="s">
        <v>76</v>
      </c>
      <c r="R44" s="40" t="s">
        <v>76</v>
      </c>
      <c r="S44" s="40" t="s">
        <v>76</v>
      </c>
      <c r="T44" s="40" t="s">
        <v>76</v>
      </c>
      <c r="U44" s="40" t="s">
        <v>76</v>
      </c>
      <c r="V44" s="40" t="s">
        <v>76</v>
      </c>
      <c r="W44" s="40" t="s">
        <v>76</v>
      </c>
      <c r="X44" s="40" t="s">
        <v>76</v>
      </c>
      <c r="Y44" s="40" t="s">
        <v>76</v>
      </c>
      <c r="Z44" s="40" t="s">
        <v>76</v>
      </c>
      <c r="AA44" s="40" t="s">
        <v>76</v>
      </c>
      <c r="AB44" s="40" t="s">
        <v>76</v>
      </c>
      <c r="AC44" s="40" t="s">
        <v>76</v>
      </c>
      <c r="AD44" s="40" t="s">
        <v>76</v>
      </c>
      <c r="AE44" s="40" t="s">
        <v>76</v>
      </c>
      <c r="AF44" s="40" t="s">
        <v>76</v>
      </c>
      <c r="AG44" t="str">
        <f>VLOOKUP($Q44,武学奇术!$A:$ZZ,25,FALSE)</f>
        <v>心法</v>
      </c>
      <c r="AH44" s="26">
        <f>VLOOKUP($Q44,武学奇术!$A:$ZZ,26,FALSE)</f>
        <v>0</v>
      </c>
      <c r="AI44" s="27">
        <f>VLOOKUP($Q44,武学奇术!$A:$ZZ,27,FALSE)*(1+IF(OR($AG44=$F$4,$AG44=$F$5),$B$21,0))</f>
        <v>0</v>
      </c>
      <c r="AJ44" s="26">
        <f>VLOOKUP($Q44,武学奇术!$A:$ZZ,28,FALSE)</f>
        <v>0</v>
      </c>
      <c r="AK44" s="27">
        <f>VLOOKUP($Q44,武学奇术!$A:$ZZ,29,FALSE)*(1+IF(OR($AG44=$F$4,$AG44=$F$5),$B$21,0))</f>
        <v>0</v>
      </c>
      <c r="AL44" s="26" cm="1">
        <f t="array" ref="AL44">$G$3+IFERROR(VLOOKUP($AG44,$F$4:$G$7,2,FALSE),0)+VLOOKUP($Q44,武学奇术!$A:$ZZ,2,FALSE)+SUM(_xlfn.XLOOKUP($R44:$AF44,增益!$A:$A,增益!$B:$B,0))</f>
        <v>0.1842</v>
      </c>
      <c r="AM44" s="26" cm="1">
        <f t="array" ref="AM44">VLOOKUP($Q44,武学奇术!$A:$ZZ,5,FALSE)+SUM(_xlfn.XLOOKUP($R44:$AF44,增益!$A:$A,增益!$E:$E,0))</f>
        <v>0</v>
      </c>
      <c r="AN44" cm="1">
        <f t="array" ref="AN44">$D$10*(1+$AM44)+VLOOKUP($Q44,武学奇术!$A:$ZZ,3,FALSE)+SUM(_xlfn.XLOOKUP($R44:$AF44,增益!$A:$A,增益!$C:$C,0))-$I$2</f>
        <v>3940</v>
      </c>
      <c r="AO44" cm="1">
        <f t="array" ref="AO44">$E$10*(1+$AM44)+VLOOKUP($Q44,武学奇术!$A:$ZZ,4,FALSE)+SUM(_xlfn.XLOOKUP($R44:$AF44,增益!$A:$A,增益!$D:$D,0))-$I$2</f>
        <v>3940</v>
      </c>
      <c r="AP44" s="32" cm="1">
        <f t="array" ref="AP44">IF($F$10-$I$3+VLOOKUP($Q44,武学奇术!$A:$ZZ,6,FALSE)+SUM(_xlfn.XLOOKUP(R44:AF44,增益!$A:$A,增益!$F:$F,0))&gt;0,($F$10-$I$3+VLOOKUP($Q44,武学奇术!$A:$ZZ,6,FALSE)+SUM(_xlfn.XLOOKUP(R44:AF44,增益!$A:$A,增益!$F:$F,0)))/200,($F$10-$I$3+VLOOKUP($Q44,武学奇术!$A:$ZZ,6,FALSE)+SUM(_xlfn.XLOOKUP(R44:AF44,增益!$A:$A,增益!$F:$F,0)))/100)</f>
        <v>0.194</v>
      </c>
      <c r="AQ44" s="32" cm="1">
        <f t="array" ref="AQ44">$G$10+VLOOKUP($Q44,武学奇术!$A:$ZZ,7,FALSE)+SUM(_xlfn.XLOOKUP(R44:AF44,增益!$A:$A,增益!$G:$G,0))</f>
        <v>0</v>
      </c>
      <c r="AR44" s="26" cm="1">
        <f t="array" ref="AR44">VLOOKUP($Q44,武学奇术!$A:$ZZ,8,FALSE)+SUM(_xlfn.XLOOKUP(R44:AF44,增益!$A:$A,增益!$H:$H,0))</f>
        <v>0</v>
      </c>
      <c r="AS44">
        <f t="shared" si="1"/>
        <v>0</v>
      </c>
      <c r="AT44">
        <f t="shared" si="2"/>
        <v>0</v>
      </c>
      <c r="AU44" s="32" cm="1">
        <f t="array" ref="AU44">IF($F$11-$I$4+VLOOKUP($Q44,武学奇术!$A:$ZZ,9,FALSE)+SUM(_xlfn.XLOOKUP(R44:AF44,增益!$A:$A,增益!$I:$I,0))&gt;0,($F$11-$I$4+VLOOKUP($Q44,武学奇术!$A:$ZZ,9,FALSE)+SUM(_xlfn.XLOOKUP(R44:AF44,增益!$A:$A,增益!$I:$I,0)))/200,($F$11-$I$4+VLOOKUP($Q44,武学奇术!$A:$ZZ,9,FALSE)+SUM(_xlfn.XLOOKUP(R44:AF44,增益!$A:$A,增益!$I:$I,0)))/100)</f>
        <v>-0.3</v>
      </c>
      <c r="AV44" s="32" cm="1">
        <f t="array" ref="AV44">$G$11+VLOOKUP($Q44,武学奇术!$A:$ZZ,10,FALSE)+SUM(_xlfn.XLOOKUP(R44:AF44,增益!$A:$A,增益!$J:$J,0))</f>
        <v>0</v>
      </c>
      <c r="AW44">
        <f t="shared" si="3"/>
        <v>0</v>
      </c>
      <c r="AX44">
        <f t="shared" si="4"/>
        <v>0</v>
      </c>
      <c r="AY44" s="32" cm="1">
        <f t="array" ref="AY44">IF($F$12-$I$4+VLOOKUP($Q44,武学奇术!$A:$ZZ,11,FALSE)+SUM(_xlfn.XLOOKUP(R44:AF44,增益!$A:$A,增益!$K:$K,0))&gt;0,($F$12-$I$4+VLOOKUP($Q44,武学奇术!$A:$ZZ,11,FALSE)+SUM(_xlfn.XLOOKUP(R44:AF44,增益!$A:$A,增益!$K:$K,0)))/200,($F$12-$I$4+VLOOKUP($Q44,武学奇术!$A:$ZZ,11,FALSE)+SUM(_xlfn.XLOOKUP(R44:AF44,增益!$A:$A,增益!$K:$K,0)))/100)</f>
        <v>-0.3</v>
      </c>
      <c r="AZ44" s="32" cm="1">
        <f t="array" ref="AZ44">$G$12+VLOOKUP($Q44,武学奇术!$A:$ZZ,12,FALSE)+SUM(_xlfn.XLOOKUP(R44:AF44,增益!$A:$A,增益!$L:$L,0))</f>
        <v>0</v>
      </c>
      <c r="BA44">
        <f t="shared" si="5"/>
        <v>697.4</v>
      </c>
      <c r="BB44">
        <f t="shared" si="6"/>
        <v>1805</v>
      </c>
      <c r="BC44" s="32" cm="1">
        <f t="array" ref="BC44">IF($F$13-$I$4+VLOOKUP($Q44,武学奇术!$A:$ZZ,13,FALSE)+SUM(_xlfn.XLOOKUP(R44:AF44,增益!$A:$A,增益!$M:$M,0))&gt;0,($F$13-$I$4+VLOOKUP($Q44,武学奇术!$A:$ZZ,13,FALSE)+SUM(_xlfn.XLOOKUP(R44:AF44,增益!$A:$A,增益!$K:$K,0)))/200,($F$13-$I$4+VLOOKUP($Q44,武学奇术!$A:$ZZ,13,FALSE)+SUM(_xlfn.XLOOKUP(R44:AF44,增益!$A:$A,增益!$M:$M,0)))/100)</f>
        <v>0</v>
      </c>
      <c r="BD44" s="32" cm="1">
        <f t="array" ref="BD44">$G$13+VLOOKUP($Q44,武学奇术!$A:$ZZ,14,FALSE)+SUM(_xlfn.XLOOKUP(R44:AF44,增益!$A:$A,增益!$N:$N,0))</f>
        <v>0.15</v>
      </c>
      <c r="BE44">
        <f t="shared" si="7"/>
        <v>0</v>
      </c>
      <c r="BF44">
        <f t="shared" si="8"/>
        <v>0</v>
      </c>
      <c r="BG44" s="32" cm="1">
        <f t="array" ref="BG44">IF($F$14-$I$4+VLOOKUP($Q44,武学奇术!$A:$ZZ,15,FALSE)+SUM(_xlfn.XLOOKUP(R44:AF44,增益!$A:$A,增益!$O:$O,0))&gt;0,($F$14-$I$4+VLOOKUP($Q44,武学奇术!$A:$ZZ,15,FALSE)+SUM(_xlfn.XLOOKUP(R44:AF44,增益!$A:$A,增益!$O:$O,0)))/200,($F$14-$I$4+VLOOKUP($Q44,武学奇术!$A:$ZZ,15,FALSE)+SUM(_xlfn.XLOOKUP(R44:AF44,增益!$A:$A,增益!$O:$O,0)))/100)</f>
        <v>-0.3</v>
      </c>
      <c r="BH44" s="32" cm="1">
        <f t="array" ref="BH44">$G$14+VLOOKUP($Q44,武学奇术!$A:$ZZ,16,FALSE)+SUM(_xlfn.XLOOKUP(R44:AF44,增益!$A:$A,增益!$P:$P,0))</f>
        <v>0</v>
      </c>
      <c r="BI44" s="26">
        <f>MIN(IF(VLOOKUP($Q44,武学奇术!$A:$ZZ,23,FALSE)=1,100%,$B$8),100%)</f>
        <v>1</v>
      </c>
      <c r="BJ44" s="26" cm="1">
        <f t="array" ref="BJ44">IF(VLOOKUP($Q44,武学奇术!$A:$ZZ,23,FALSE)=1,100%,MIN(80%,$B$9+VLOOKUP($Q44,武学奇术!$A:$ZZ,17,FALSE)+SUM(_xlfn.XLOOKUP(R44:AF44,增益!$A:$A,增益!$Q:$Q,0)))+$B$11+SUM(_xlfn.XLOOKUP(R44:AF44,增益!$A:$A,增益!$U:$U,0)))*IF(VLOOKUP($Q44,武学奇术!$A:$ZZ,24,FALSE)=1,0,1)</f>
        <v>0.8625</v>
      </c>
      <c r="BK44" s="26" cm="1">
        <f t="array" ref="BK44">1+$B$13+VLOOKUP($Q44,武学奇术!$A:$ZZ,18,FALSE)+SUM(_xlfn.XLOOKUP(R44:AF44,增益!$A:$A,增益!$R:$R,0))</f>
        <v>1.5</v>
      </c>
      <c r="BL44" s="26" cm="1">
        <f t="array" ref="BL44">IF(VLOOKUP($Q44,武学奇术!$A:$ZZ,24,FALSE)=1,100%,MIN(40%,$B$10+VLOOKUP($Q44,武学奇术!$A:$ZZ,19,FALSE)+SUM(_xlfn.XLOOKUP(R44:AF44,增益!$A:$A,增益!$S:$S,0)))+$B$12+SUM(_xlfn.XLOOKUP(R44:AF44,增益!$A:$A,增益!$V:$V,0)))*IF(VLOOKUP($Q44,武学奇术!$A:$ZZ,23,FALSE)=1,0,1)</f>
        <v>0.0913</v>
      </c>
      <c r="BM44" s="26" cm="1">
        <f t="array" ref="BM44">1+$B$14+VLOOKUP($Q44,武学奇术!$A:$ZZ,20,FALSE)+SUM(_xlfn.XLOOKUP(R44:AF44,增益!$A:$A,增益!$T:$T,0))</f>
        <v>1.35</v>
      </c>
      <c r="BN44" s="26">
        <f t="shared" si="9"/>
        <v>0.8625</v>
      </c>
      <c r="BO44" s="26">
        <f t="shared" si="10"/>
        <v>0.0462</v>
      </c>
      <c r="BP44" s="26">
        <f>IF(VLOOKUP($Q44,武学奇术!$A:$ZZ,22,FALSE)=1,0,(1-$BI44))*(1-$BL44)</f>
        <v>0</v>
      </c>
      <c r="BQ44" s="26" cm="1">
        <f t="array" ref="BQ44">SUM(_xlfn.XLOOKUP(R44:AF44,增益!$A:$A,增益!$W:$W,0))+$I$5</f>
        <v>0.06</v>
      </c>
    </row>
    <row r="45" spans="5:69">
      <c r="K45" s="38">
        <f t="shared" si="0"/>
        <v>0</v>
      </c>
      <c r="L45" s="38">
        <f>((($AN45+$AO45)/2*$AH45+$AI45)*(1+$AP45)*(1+$AQ45)+(($AS45+$AT45)/2*IF($G$1="鸣金",$AJ45,$AH45)+IF($G$1="鸣金",$AK45*1.5,0))*(1+$AU45)*(1+$AV45)+(($AW45+$AX45)/2*IF($G$1="裂石",$AJ45,$AH45)+IF($G$1="裂石",$AK45*1.5,0))*(1+$AY45)*(1+$AZ45)+(($BA45+$BB45)/2*IF($G$1="牵丝",$AJ45,$AH45)+IF($G$1="牵丝",$AK45*1.5,0))*(1+$BC45)*(1+$BD45)+(($BE45+$BF45)/2*IF($G$1="破竹",$AJ45,$AH45)+IF($G$1="破竹",$AK45*1.5,0))*(1+$BG45)*(1+$BH45))*(1+$AL45)*$BK45*$P45*(1+IF(VLOOKUP($Q45,武学奇术!$A:$ZZ,30,FALSE)="蓄力技",#REF!,0))*(1+$BQ45)</f>
        <v>0</v>
      </c>
      <c r="M45" s="38">
        <f>(($AO45*$AH45+$AI45)*(1+$AP45)*(1+$AQ45)+($AT45*IF($G$1="鸣金",$AJ45,$AH45)+IF($G$1="鸣金",$AK45*1.5,0))*(1+$AU45)*(1+$AV45)+($AX45*IF($G$1="裂石",$AJ45,$AH45)+IF($G$1="裂石",$AK45*1.5,0))*(1+$AY45)*(1+$AZ45)+($BB45*IF($G$1="牵丝",$AJ45,$AH45)+IF($G$1="牵丝",$AK45*1.5,0))*(1+$BC45)*(1+$BD45)+($BF45*IF($G$1="破竹",$AJ45,$AH45)+IF($G$1="破竹",$AK45*1.5,0))*(1+$BG45)*(1+$BH45))*(1+$AL45)*$BM45*$P45*(1+IF(VLOOKUP($Q45,武学奇术!$A:$ZZ,30,FALSE)="蓄力技",#REF!,0))*(1+$BQ45)</f>
        <v>0</v>
      </c>
      <c r="N45" s="38">
        <f>((($AN45+$AO45)/2*$AH45+$AI45)*(1+$AP45)*(1+$AQ45)+(($AS45+$AT45)/2*IF($G$1="鸣金",$AJ45,$AH45)+IF($G$1="鸣金",$AK45*1.5,0))*(1+$AU45)*(1+$AV45)+(($AW45+$AX45)/2*IF($G$1="裂石",$AJ45,$AH45)+IF($G$1="裂石",$AK45*1.5,0))*(1+$AY45)*(1+$AZ45)+(($BA45+$BB45)/2*IF($G$1="牵丝",$AJ45,$AH45)+IF($G$1="牵丝",$AK45*1.5,0))*(1+$BC45)*(1+$BD45)+(($BE45+$BF45)/2*IF($G$1="破竹",$AJ45,$AH45)+IF($G$1="破竹",$AK45*1.5,0))*(1+$BG45)*(1+$BH45))*(1+$AL45)*$P45*(1+IF(VLOOKUP($Q45,武学奇术!$A:$ZZ,30,FALSE)="蓄力技",#REF!,0))*(1+$BQ45)</f>
        <v>0</v>
      </c>
      <c r="O45" s="38">
        <f>((($AN45*$AH45+$AI45)*(1+$AP45)*(1+$AQ45)+($AS45*IF($G$1="鸣金",$AJ45,$AH45)+IF($G$1="鸣金",$AK45*1.5,0))*(1+$AU45)*(1+$AV45)+($AW45*IF($G$1="裂石",$AJ45,$AH45)+IF($G$1="裂石",$AK45*1.5,0))*(1+$AY45)*(1+$AZ45)+($BA45*IF($G$1="牵丝",$AJ45,$AH45)+IF($G$1="牵丝",$AK45*1.5,0))*(1+$BC45)*(1+$BD45)+($BE45*IF($G$1="破竹",$AJ45,$AH45)+IF($G$1="破竹",$AK45*1.5,0))*(1+$BG45)*(1+$BH45))*(1+$AL45))*$P45*(1+IF(VLOOKUP($Q45,武学奇术!$A:$ZZ,30,FALSE)="蓄力技",#REF!,0))*(1+$BQ45)</f>
        <v>0</v>
      </c>
      <c r="P45" s="39">
        <v>1</v>
      </c>
      <c r="Q45" s="40" t="s">
        <v>76</v>
      </c>
      <c r="R45" s="40" t="s">
        <v>76</v>
      </c>
      <c r="S45" s="40" t="s">
        <v>76</v>
      </c>
      <c r="T45" s="40" t="s">
        <v>76</v>
      </c>
      <c r="U45" s="40" t="s">
        <v>76</v>
      </c>
      <c r="V45" s="40" t="s">
        <v>76</v>
      </c>
      <c r="W45" s="40" t="s">
        <v>76</v>
      </c>
      <c r="X45" s="40" t="s">
        <v>76</v>
      </c>
      <c r="Y45" s="40" t="s">
        <v>76</v>
      </c>
      <c r="Z45" s="40" t="s">
        <v>76</v>
      </c>
      <c r="AA45" s="40" t="s">
        <v>76</v>
      </c>
      <c r="AB45" s="40" t="s">
        <v>76</v>
      </c>
      <c r="AC45" s="40" t="s">
        <v>76</v>
      </c>
      <c r="AD45" s="40" t="s">
        <v>76</v>
      </c>
      <c r="AE45" s="40" t="s">
        <v>76</v>
      </c>
      <c r="AF45" s="40" t="s">
        <v>76</v>
      </c>
      <c r="AG45" t="str">
        <f>VLOOKUP($Q45,武学奇术!$A:$ZZ,25,FALSE)</f>
        <v>心法</v>
      </c>
      <c r="AH45" s="26">
        <f>VLOOKUP($Q45,武学奇术!$A:$ZZ,26,FALSE)</f>
        <v>0</v>
      </c>
      <c r="AI45" s="27">
        <f>VLOOKUP($Q45,武学奇术!$A:$ZZ,27,FALSE)*(1+IF(OR($AG45=$F$4,$AG45=$F$5),$B$21,0))</f>
        <v>0</v>
      </c>
      <c r="AJ45" s="26">
        <f>VLOOKUP($Q45,武学奇术!$A:$ZZ,28,FALSE)</f>
        <v>0</v>
      </c>
      <c r="AK45" s="27">
        <f>VLOOKUP($Q45,武学奇术!$A:$ZZ,29,FALSE)*(1+IF(OR($AG45=$F$4,$AG45=$F$5),$B$21,0))</f>
        <v>0</v>
      </c>
      <c r="AL45" s="26" cm="1">
        <f t="array" ref="AL45">$G$3+IFERROR(VLOOKUP($AG45,$F$4:$G$7,2,FALSE),0)+VLOOKUP($Q45,武学奇术!$A:$ZZ,2,FALSE)+SUM(_xlfn.XLOOKUP($R45:$AF45,增益!$A:$A,增益!$B:$B,0))</f>
        <v>0.1842</v>
      </c>
      <c r="AM45" s="26" cm="1">
        <f t="array" ref="AM45">VLOOKUP($Q45,武学奇术!$A:$ZZ,5,FALSE)+SUM(_xlfn.XLOOKUP($R45:$AF45,增益!$A:$A,增益!$E:$E,0))</f>
        <v>0</v>
      </c>
      <c r="AN45" cm="1">
        <f t="array" ref="AN45">$D$10*(1+$AM45)+VLOOKUP($Q45,武学奇术!$A:$ZZ,3,FALSE)+SUM(_xlfn.XLOOKUP($R45:$AF45,增益!$A:$A,增益!$C:$C,0))-$I$2</f>
        <v>3940</v>
      </c>
      <c r="AO45" cm="1">
        <f t="array" ref="AO45">$E$10*(1+$AM45)+VLOOKUP($Q45,武学奇术!$A:$ZZ,4,FALSE)+SUM(_xlfn.XLOOKUP($R45:$AF45,增益!$A:$A,增益!$D:$D,0))-$I$2</f>
        <v>3940</v>
      </c>
      <c r="AP45" s="32" cm="1">
        <f t="array" ref="AP45">IF($F$10-$I$3+VLOOKUP($Q45,武学奇术!$A:$ZZ,6,FALSE)+SUM(_xlfn.XLOOKUP(R45:AF45,增益!$A:$A,增益!$F:$F,0))&gt;0,($F$10-$I$3+VLOOKUP($Q45,武学奇术!$A:$ZZ,6,FALSE)+SUM(_xlfn.XLOOKUP(R45:AF45,增益!$A:$A,增益!$F:$F,0)))/200,($F$10-$I$3+VLOOKUP($Q45,武学奇术!$A:$ZZ,6,FALSE)+SUM(_xlfn.XLOOKUP(R45:AF45,增益!$A:$A,增益!$F:$F,0)))/100)</f>
        <v>0.194</v>
      </c>
      <c r="AQ45" s="32" cm="1">
        <f t="array" ref="AQ45">$G$10+VLOOKUP($Q45,武学奇术!$A:$ZZ,7,FALSE)+SUM(_xlfn.XLOOKUP(R45:AF45,增益!$A:$A,增益!$G:$G,0))</f>
        <v>0</v>
      </c>
      <c r="AR45" s="26" cm="1">
        <f t="array" ref="AR45">VLOOKUP($Q45,武学奇术!$A:$ZZ,8,FALSE)+SUM(_xlfn.XLOOKUP(R45:AF45,增益!$A:$A,增益!$H:$H,0))</f>
        <v>0</v>
      </c>
      <c r="AS45">
        <f t="shared" si="1"/>
        <v>0</v>
      </c>
      <c r="AT45">
        <f t="shared" si="2"/>
        <v>0</v>
      </c>
      <c r="AU45" s="32" cm="1">
        <f t="array" ref="AU45">IF($F$11-$I$4+VLOOKUP($Q45,武学奇术!$A:$ZZ,9,FALSE)+SUM(_xlfn.XLOOKUP(R45:AF45,增益!$A:$A,增益!$I:$I,0))&gt;0,($F$11-$I$4+VLOOKUP($Q45,武学奇术!$A:$ZZ,9,FALSE)+SUM(_xlfn.XLOOKUP(R45:AF45,增益!$A:$A,增益!$I:$I,0)))/200,($F$11-$I$4+VLOOKUP($Q45,武学奇术!$A:$ZZ,9,FALSE)+SUM(_xlfn.XLOOKUP(R45:AF45,增益!$A:$A,增益!$I:$I,0)))/100)</f>
        <v>-0.3</v>
      </c>
      <c r="AV45" s="32" cm="1">
        <f t="array" ref="AV45">$G$11+VLOOKUP($Q45,武学奇术!$A:$ZZ,10,FALSE)+SUM(_xlfn.XLOOKUP(R45:AF45,增益!$A:$A,增益!$J:$J,0))</f>
        <v>0</v>
      </c>
      <c r="AW45">
        <f t="shared" si="3"/>
        <v>0</v>
      </c>
      <c r="AX45">
        <f t="shared" si="4"/>
        <v>0</v>
      </c>
      <c r="AY45" s="32" cm="1">
        <f t="array" ref="AY45">IF($F$12-$I$4+VLOOKUP($Q45,武学奇术!$A:$ZZ,11,FALSE)+SUM(_xlfn.XLOOKUP(R45:AF45,增益!$A:$A,增益!$K:$K,0))&gt;0,($F$12-$I$4+VLOOKUP($Q45,武学奇术!$A:$ZZ,11,FALSE)+SUM(_xlfn.XLOOKUP(R45:AF45,增益!$A:$A,增益!$K:$K,0)))/200,($F$12-$I$4+VLOOKUP($Q45,武学奇术!$A:$ZZ,11,FALSE)+SUM(_xlfn.XLOOKUP(R45:AF45,增益!$A:$A,增益!$K:$K,0)))/100)</f>
        <v>-0.3</v>
      </c>
      <c r="AZ45" s="32" cm="1">
        <f t="array" ref="AZ45">$G$12+VLOOKUP($Q45,武学奇术!$A:$ZZ,12,FALSE)+SUM(_xlfn.XLOOKUP(R45:AF45,增益!$A:$A,增益!$L:$L,0))</f>
        <v>0</v>
      </c>
      <c r="BA45">
        <f t="shared" si="5"/>
        <v>697.4</v>
      </c>
      <c r="BB45">
        <f t="shared" si="6"/>
        <v>1805</v>
      </c>
      <c r="BC45" s="32" cm="1">
        <f t="array" ref="BC45">IF($F$13-$I$4+VLOOKUP($Q45,武学奇术!$A:$ZZ,13,FALSE)+SUM(_xlfn.XLOOKUP(R45:AF45,增益!$A:$A,增益!$M:$M,0))&gt;0,($F$13-$I$4+VLOOKUP($Q45,武学奇术!$A:$ZZ,13,FALSE)+SUM(_xlfn.XLOOKUP(R45:AF45,增益!$A:$A,增益!$K:$K,0)))/200,($F$13-$I$4+VLOOKUP($Q45,武学奇术!$A:$ZZ,13,FALSE)+SUM(_xlfn.XLOOKUP(R45:AF45,增益!$A:$A,增益!$M:$M,0)))/100)</f>
        <v>0</v>
      </c>
      <c r="BD45" s="32" cm="1">
        <f t="array" ref="BD45">$G$13+VLOOKUP($Q45,武学奇术!$A:$ZZ,14,FALSE)+SUM(_xlfn.XLOOKUP(R45:AF45,增益!$A:$A,增益!$N:$N,0))</f>
        <v>0.15</v>
      </c>
      <c r="BE45">
        <f t="shared" si="7"/>
        <v>0</v>
      </c>
      <c r="BF45">
        <f t="shared" si="8"/>
        <v>0</v>
      </c>
      <c r="BG45" s="32" cm="1">
        <f t="array" ref="BG45">IF($F$14-$I$4+VLOOKUP($Q45,武学奇术!$A:$ZZ,15,FALSE)+SUM(_xlfn.XLOOKUP(R45:AF45,增益!$A:$A,增益!$O:$O,0))&gt;0,($F$14-$I$4+VLOOKUP($Q45,武学奇术!$A:$ZZ,15,FALSE)+SUM(_xlfn.XLOOKUP(R45:AF45,增益!$A:$A,增益!$O:$O,0)))/200,($F$14-$I$4+VLOOKUP($Q45,武学奇术!$A:$ZZ,15,FALSE)+SUM(_xlfn.XLOOKUP(R45:AF45,增益!$A:$A,增益!$O:$O,0)))/100)</f>
        <v>-0.3</v>
      </c>
      <c r="BH45" s="32" cm="1">
        <f t="array" ref="BH45">$G$14+VLOOKUP($Q45,武学奇术!$A:$ZZ,16,FALSE)+SUM(_xlfn.XLOOKUP(R45:AF45,增益!$A:$A,增益!$P:$P,0))</f>
        <v>0</v>
      </c>
      <c r="BI45" s="26">
        <f>MIN(IF(VLOOKUP($Q45,武学奇术!$A:$ZZ,23,FALSE)=1,100%,$B$8),100%)</f>
        <v>1</v>
      </c>
      <c r="BJ45" s="26" cm="1">
        <f t="array" ref="BJ45">IF(VLOOKUP($Q45,武学奇术!$A:$ZZ,23,FALSE)=1,100%,MIN(80%,$B$9+VLOOKUP($Q45,武学奇术!$A:$ZZ,17,FALSE)+SUM(_xlfn.XLOOKUP(R45:AF45,增益!$A:$A,增益!$Q:$Q,0)))+$B$11+SUM(_xlfn.XLOOKUP(R45:AF45,增益!$A:$A,增益!$U:$U,0)))*IF(VLOOKUP($Q45,武学奇术!$A:$ZZ,24,FALSE)=1,0,1)</f>
        <v>0.8625</v>
      </c>
      <c r="BK45" s="26" cm="1">
        <f t="array" ref="BK45">1+$B$13+VLOOKUP($Q45,武学奇术!$A:$ZZ,18,FALSE)+SUM(_xlfn.XLOOKUP(R45:AF45,增益!$A:$A,增益!$R:$R,0))</f>
        <v>1.5</v>
      </c>
      <c r="BL45" s="26" cm="1">
        <f t="array" ref="BL45">IF(VLOOKUP($Q45,武学奇术!$A:$ZZ,24,FALSE)=1,100%,MIN(40%,$B$10+VLOOKUP($Q45,武学奇术!$A:$ZZ,19,FALSE)+SUM(_xlfn.XLOOKUP(R45:AF45,增益!$A:$A,增益!$S:$S,0)))+$B$12+SUM(_xlfn.XLOOKUP(R45:AF45,增益!$A:$A,增益!$V:$V,0)))*IF(VLOOKUP($Q45,武学奇术!$A:$ZZ,23,FALSE)=1,0,1)</f>
        <v>0.0913</v>
      </c>
      <c r="BM45" s="26" cm="1">
        <f t="array" ref="BM45">1+$B$14+VLOOKUP($Q45,武学奇术!$A:$ZZ,20,FALSE)+SUM(_xlfn.XLOOKUP(R45:AF45,增益!$A:$A,增益!$T:$T,0))</f>
        <v>1.35</v>
      </c>
      <c r="BN45" s="26">
        <f t="shared" si="9"/>
        <v>0.8625</v>
      </c>
      <c r="BO45" s="26">
        <f t="shared" si="10"/>
        <v>0.0462</v>
      </c>
      <c r="BP45" s="26">
        <f>IF(VLOOKUP($Q45,武学奇术!$A:$ZZ,22,FALSE)=1,0,(1-$BI45))*(1-$BL45)</f>
        <v>0</v>
      </c>
      <c r="BQ45" s="26" cm="1">
        <f t="array" ref="BQ45">SUM(_xlfn.XLOOKUP(R45:AF45,增益!$A:$A,增益!$W:$W,0))+$I$5</f>
        <v>0.06</v>
      </c>
    </row>
    <row r="46" spans="5:69">
      <c r="K46" s="38">
        <f t="shared" si="0"/>
        <v>0</v>
      </c>
      <c r="L46" s="38">
        <f>((($AN46+$AO46)/2*$AH46+$AI46)*(1+$AP46)*(1+$AQ46)+(($AS46+$AT46)/2*IF($G$1="鸣金",$AJ46,$AH46)+IF($G$1="鸣金",$AK46*1.5,0))*(1+$AU46)*(1+$AV46)+(($AW46+$AX46)/2*IF($G$1="裂石",$AJ46,$AH46)+IF($G$1="裂石",$AK46*1.5,0))*(1+$AY46)*(1+$AZ46)+(($BA46+$BB46)/2*IF($G$1="牵丝",$AJ46,$AH46)+IF($G$1="牵丝",$AK46*1.5,0))*(1+$BC46)*(1+$BD46)+(($BE46+$BF46)/2*IF($G$1="破竹",$AJ46,$AH46)+IF($G$1="破竹",$AK46*1.5,0))*(1+$BG46)*(1+$BH46))*(1+$AL46)*$BK46*$P46*(1+IF(VLOOKUP($Q46,武学奇术!$A:$ZZ,30,FALSE)="蓄力技",#REF!,0))*(1+$BQ46)</f>
        <v>0</v>
      </c>
      <c r="M46" s="38">
        <f>(($AO46*$AH46+$AI46)*(1+$AP46)*(1+$AQ46)+($AT46*IF($G$1="鸣金",$AJ46,$AH46)+IF($G$1="鸣金",$AK46*1.5,0))*(1+$AU46)*(1+$AV46)+($AX46*IF($G$1="裂石",$AJ46,$AH46)+IF($G$1="裂石",$AK46*1.5,0))*(1+$AY46)*(1+$AZ46)+($BB46*IF($G$1="牵丝",$AJ46,$AH46)+IF($G$1="牵丝",$AK46*1.5,0))*(1+$BC46)*(1+$BD46)+($BF46*IF($G$1="破竹",$AJ46,$AH46)+IF($G$1="破竹",$AK46*1.5,0))*(1+$BG46)*(1+$BH46))*(1+$AL46)*$BM46*$P46*(1+IF(VLOOKUP($Q46,武学奇术!$A:$ZZ,30,FALSE)="蓄力技",#REF!,0))*(1+$BQ46)</f>
        <v>0</v>
      </c>
      <c r="N46" s="38">
        <f>((($AN46+$AO46)/2*$AH46+$AI46)*(1+$AP46)*(1+$AQ46)+(($AS46+$AT46)/2*IF($G$1="鸣金",$AJ46,$AH46)+IF($G$1="鸣金",$AK46*1.5,0))*(1+$AU46)*(1+$AV46)+(($AW46+$AX46)/2*IF($G$1="裂石",$AJ46,$AH46)+IF($G$1="裂石",$AK46*1.5,0))*(1+$AY46)*(1+$AZ46)+(($BA46+$BB46)/2*IF($G$1="牵丝",$AJ46,$AH46)+IF($G$1="牵丝",$AK46*1.5,0))*(1+$BC46)*(1+$BD46)+(($BE46+$BF46)/2*IF($G$1="破竹",$AJ46,$AH46)+IF($G$1="破竹",$AK46*1.5,0))*(1+$BG46)*(1+$BH46))*(1+$AL46)*$P46*(1+IF(VLOOKUP($Q46,武学奇术!$A:$ZZ,30,FALSE)="蓄力技",#REF!,0))*(1+$BQ46)</f>
        <v>0</v>
      </c>
      <c r="O46" s="38">
        <f>((($AN46*$AH46+$AI46)*(1+$AP46)*(1+$AQ46)+($AS46*IF($G$1="鸣金",$AJ46,$AH46)+IF($G$1="鸣金",$AK46*1.5,0))*(1+$AU46)*(1+$AV46)+($AW46*IF($G$1="裂石",$AJ46,$AH46)+IF($G$1="裂石",$AK46*1.5,0))*(1+$AY46)*(1+$AZ46)+($BA46*IF($G$1="牵丝",$AJ46,$AH46)+IF($G$1="牵丝",$AK46*1.5,0))*(1+$BC46)*(1+$BD46)+($BE46*IF($G$1="破竹",$AJ46,$AH46)+IF($G$1="破竹",$AK46*1.5,0))*(1+$BG46)*(1+$BH46))*(1+$AL46))*$P46*(1+IF(VLOOKUP($Q46,武学奇术!$A:$ZZ,30,FALSE)="蓄力技",#REF!,0))*(1+$BQ46)</f>
        <v>0</v>
      </c>
      <c r="P46" s="39">
        <v>1</v>
      </c>
      <c r="Q46" s="40" t="s">
        <v>76</v>
      </c>
      <c r="R46" s="40" t="s">
        <v>76</v>
      </c>
      <c r="S46" s="40" t="s">
        <v>76</v>
      </c>
      <c r="T46" s="40" t="s">
        <v>76</v>
      </c>
      <c r="U46" s="40" t="s">
        <v>76</v>
      </c>
      <c r="V46" s="40" t="s">
        <v>76</v>
      </c>
      <c r="W46" s="40" t="s">
        <v>76</v>
      </c>
      <c r="X46" s="40" t="s">
        <v>76</v>
      </c>
      <c r="Y46" s="40" t="s">
        <v>76</v>
      </c>
      <c r="Z46" s="40" t="s">
        <v>76</v>
      </c>
      <c r="AA46" s="40" t="s">
        <v>76</v>
      </c>
      <c r="AB46" s="40" t="s">
        <v>76</v>
      </c>
      <c r="AC46" s="40" t="s">
        <v>76</v>
      </c>
      <c r="AD46" s="40" t="s">
        <v>76</v>
      </c>
      <c r="AE46" s="40" t="s">
        <v>76</v>
      </c>
      <c r="AF46" s="40" t="s">
        <v>76</v>
      </c>
      <c r="AG46" t="str">
        <f>VLOOKUP($Q46,武学奇术!$A:$ZZ,25,FALSE)</f>
        <v>心法</v>
      </c>
      <c r="AH46" s="26">
        <f>VLOOKUP($Q46,武学奇术!$A:$ZZ,26,FALSE)</f>
        <v>0</v>
      </c>
      <c r="AI46" s="27">
        <f>VLOOKUP($Q46,武学奇术!$A:$ZZ,27,FALSE)*(1+IF(OR($AG46=$F$4,$AG46=$F$5),$B$21,0))</f>
        <v>0</v>
      </c>
      <c r="AJ46" s="26">
        <f>VLOOKUP($Q46,武学奇术!$A:$ZZ,28,FALSE)</f>
        <v>0</v>
      </c>
      <c r="AK46" s="27">
        <f>VLOOKUP($Q46,武学奇术!$A:$ZZ,29,FALSE)*(1+IF(OR($AG46=$F$4,$AG46=$F$5),$B$21,0))</f>
        <v>0</v>
      </c>
      <c r="AL46" s="26" cm="1">
        <f t="array" ref="AL46">$G$3+IFERROR(VLOOKUP($AG46,$F$4:$G$7,2,FALSE),0)+VLOOKUP($Q46,武学奇术!$A:$ZZ,2,FALSE)+SUM(_xlfn.XLOOKUP($R46:$AF46,增益!$A:$A,增益!$B:$B,0))</f>
        <v>0.1842</v>
      </c>
      <c r="AM46" s="26" cm="1">
        <f t="array" ref="AM46">VLOOKUP($Q46,武学奇术!$A:$ZZ,5,FALSE)+SUM(_xlfn.XLOOKUP($R46:$AF46,增益!$A:$A,增益!$E:$E,0))</f>
        <v>0</v>
      </c>
      <c r="AN46" cm="1">
        <f t="array" ref="AN46">$D$10*(1+$AM46)+VLOOKUP($Q46,武学奇术!$A:$ZZ,3,FALSE)+SUM(_xlfn.XLOOKUP($R46:$AF46,增益!$A:$A,增益!$C:$C,0))-$I$2</f>
        <v>3940</v>
      </c>
      <c r="AO46" cm="1">
        <f t="array" ref="AO46">$E$10*(1+$AM46)+VLOOKUP($Q46,武学奇术!$A:$ZZ,4,FALSE)+SUM(_xlfn.XLOOKUP($R46:$AF46,增益!$A:$A,增益!$D:$D,0))-$I$2</f>
        <v>3940</v>
      </c>
      <c r="AP46" s="32" cm="1">
        <f t="array" ref="AP46">IF($F$10-$I$3+VLOOKUP($Q46,武学奇术!$A:$ZZ,6,FALSE)+SUM(_xlfn.XLOOKUP(R46:AF46,增益!$A:$A,增益!$F:$F,0))&gt;0,($F$10-$I$3+VLOOKUP($Q46,武学奇术!$A:$ZZ,6,FALSE)+SUM(_xlfn.XLOOKUP(R46:AF46,增益!$A:$A,增益!$F:$F,0)))/200,($F$10-$I$3+VLOOKUP($Q46,武学奇术!$A:$ZZ,6,FALSE)+SUM(_xlfn.XLOOKUP(R46:AF46,增益!$A:$A,增益!$F:$F,0)))/100)</f>
        <v>0.194</v>
      </c>
      <c r="AQ46" s="32" cm="1">
        <f t="array" ref="AQ46">$G$10+VLOOKUP($Q46,武学奇术!$A:$ZZ,7,FALSE)+SUM(_xlfn.XLOOKUP(R46:AF46,增益!$A:$A,增益!$G:$G,0))</f>
        <v>0</v>
      </c>
      <c r="AR46" s="26" cm="1">
        <f t="array" ref="AR46">VLOOKUP($Q46,武学奇术!$A:$ZZ,8,FALSE)+SUM(_xlfn.XLOOKUP(R46:AF46,增益!$A:$A,增益!$H:$H,0))</f>
        <v>0</v>
      </c>
      <c r="AS46">
        <f t="shared" si="1"/>
        <v>0</v>
      </c>
      <c r="AT46">
        <f t="shared" si="2"/>
        <v>0</v>
      </c>
      <c r="AU46" s="32" cm="1">
        <f t="array" ref="AU46">IF($F$11-$I$4+VLOOKUP($Q46,武学奇术!$A:$ZZ,9,FALSE)+SUM(_xlfn.XLOOKUP(R46:AF46,增益!$A:$A,增益!$I:$I,0))&gt;0,($F$11-$I$4+VLOOKUP($Q46,武学奇术!$A:$ZZ,9,FALSE)+SUM(_xlfn.XLOOKUP(R46:AF46,增益!$A:$A,增益!$I:$I,0)))/200,($F$11-$I$4+VLOOKUP($Q46,武学奇术!$A:$ZZ,9,FALSE)+SUM(_xlfn.XLOOKUP(R46:AF46,增益!$A:$A,增益!$I:$I,0)))/100)</f>
        <v>-0.3</v>
      </c>
      <c r="AV46" s="32" cm="1">
        <f t="array" ref="AV46">$G$11+VLOOKUP($Q46,武学奇术!$A:$ZZ,10,FALSE)+SUM(_xlfn.XLOOKUP(R46:AF46,增益!$A:$A,增益!$J:$J,0))</f>
        <v>0</v>
      </c>
      <c r="AW46">
        <f t="shared" si="3"/>
        <v>0</v>
      </c>
      <c r="AX46">
        <f t="shared" si="4"/>
        <v>0</v>
      </c>
      <c r="AY46" s="32" cm="1">
        <f t="array" ref="AY46">IF($F$12-$I$4+VLOOKUP($Q46,武学奇术!$A:$ZZ,11,FALSE)+SUM(_xlfn.XLOOKUP(R46:AF46,增益!$A:$A,增益!$K:$K,0))&gt;0,($F$12-$I$4+VLOOKUP($Q46,武学奇术!$A:$ZZ,11,FALSE)+SUM(_xlfn.XLOOKUP(R46:AF46,增益!$A:$A,增益!$K:$K,0)))/200,($F$12-$I$4+VLOOKUP($Q46,武学奇术!$A:$ZZ,11,FALSE)+SUM(_xlfn.XLOOKUP(R46:AF46,增益!$A:$A,增益!$K:$K,0)))/100)</f>
        <v>-0.3</v>
      </c>
      <c r="AZ46" s="32" cm="1">
        <f t="array" ref="AZ46">$G$12+VLOOKUP($Q46,武学奇术!$A:$ZZ,12,FALSE)+SUM(_xlfn.XLOOKUP(R46:AF46,增益!$A:$A,增益!$L:$L,0))</f>
        <v>0</v>
      </c>
      <c r="BA46">
        <f t="shared" si="5"/>
        <v>697.4</v>
      </c>
      <c r="BB46">
        <f t="shared" si="6"/>
        <v>1805</v>
      </c>
      <c r="BC46" s="32" cm="1">
        <f t="array" ref="BC46">IF($F$13-$I$4+VLOOKUP($Q46,武学奇术!$A:$ZZ,13,FALSE)+SUM(_xlfn.XLOOKUP(R46:AF46,增益!$A:$A,增益!$M:$M,0))&gt;0,($F$13-$I$4+VLOOKUP($Q46,武学奇术!$A:$ZZ,13,FALSE)+SUM(_xlfn.XLOOKUP(R46:AF46,增益!$A:$A,增益!$K:$K,0)))/200,($F$13-$I$4+VLOOKUP($Q46,武学奇术!$A:$ZZ,13,FALSE)+SUM(_xlfn.XLOOKUP(R46:AF46,增益!$A:$A,增益!$M:$M,0)))/100)</f>
        <v>0</v>
      </c>
      <c r="BD46" s="32" cm="1">
        <f t="array" ref="BD46">$G$13+VLOOKUP($Q46,武学奇术!$A:$ZZ,14,FALSE)+SUM(_xlfn.XLOOKUP(R46:AF46,增益!$A:$A,增益!$N:$N,0))</f>
        <v>0.15</v>
      </c>
      <c r="BE46">
        <f t="shared" si="7"/>
        <v>0</v>
      </c>
      <c r="BF46">
        <f t="shared" si="8"/>
        <v>0</v>
      </c>
      <c r="BG46" s="32" cm="1">
        <f t="array" ref="BG46">IF($F$14-$I$4+VLOOKUP($Q46,武学奇术!$A:$ZZ,15,FALSE)+SUM(_xlfn.XLOOKUP(R46:AF46,增益!$A:$A,增益!$O:$O,0))&gt;0,($F$14-$I$4+VLOOKUP($Q46,武学奇术!$A:$ZZ,15,FALSE)+SUM(_xlfn.XLOOKUP(R46:AF46,增益!$A:$A,增益!$O:$O,0)))/200,($F$14-$I$4+VLOOKUP($Q46,武学奇术!$A:$ZZ,15,FALSE)+SUM(_xlfn.XLOOKUP(R46:AF46,增益!$A:$A,增益!$O:$O,0)))/100)</f>
        <v>-0.3</v>
      </c>
      <c r="BH46" s="32" cm="1">
        <f t="array" ref="BH46">$G$14+VLOOKUP($Q46,武学奇术!$A:$ZZ,16,FALSE)+SUM(_xlfn.XLOOKUP(R46:AF46,增益!$A:$A,增益!$P:$P,0))</f>
        <v>0</v>
      </c>
      <c r="BI46" s="26">
        <f>MIN(IF(VLOOKUP($Q46,武学奇术!$A:$ZZ,23,FALSE)=1,100%,$B$8),100%)</f>
        <v>1</v>
      </c>
      <c r="BJ46" s="26" cm="1">
        <f t="array" ref="BJ46">IF(VLOOKUP($Q46,武学奇术!$A:$ZZ,23,FALSE)=1,100%,MIN(80%,$B$9+VLOOKUP($Q46,武学奇术!$A:$ZZ,17,FALSE)+SUM(_xlfn.XLOOKUP(R46:AF46,增益!$A:$A,增益!$Q:$Q,0)))+$B$11+SUM(_xlfn.XLOOKUP(R46:AF46,增益!$A:$A,增益!$U:$U,0)))*IF(VLOOKUP($Q46,武学奇术!$A:$ZZ,24,FALSE)=1,0,1)</f>
        <v>0.8625</v>
      </c>
      <c r="BK46" s="26" cm="1">
        <f t="array" ref="BK46">1+$B$13+VLOOKUP($Q46,武学奇术!$A:$ZZ,18,FALSE)+SUM(_xlfn.XLOOKUP(R46:AF46,增益!$A:$A,增益!$R:$R,0))</f>
        <v>1.5</v>
      </c>
      <c r="BL46" s="26" cm="1">
        <f t="array" ref="BL46">IF(VLOOKUP($Q46,武学奇术!$A:$ZZ,24,FALSE)=1,100%,MIN(40%,$B$10+VLOOKUP($Q46,武学奇术!$A:$ZZ,19,FALSE)+SUM(_xlfn.XLOOKUP(R46:AF46,增益!$A:$A,增益!$S:$S,0)))+$B$12+SUM(_xlfn.XLOOKUP(R46:AF46,增益!$A:$A,增益!$V:$V,0)))*IF(VLOOKUP($Q46,武学奇术!$A:$ZZ,23,FALSE)=1,0,1)</f>
        <v>0.0913</v>
      </c>
      <c r="BM46" s="26" cm="1">
        <f t="array" ref="BM46">1+$B$14+VLOOKUP($Q46,武学奇术!$A:$ZZ,20,FALSE)+SUM(_xlfn.XLOOKUP(R46:AF46,增益!$A:$A,增益!$T:$T,0))</f>
        <v>1.35</v>
      </c>
      <c r="BN46" s="26">
        <f t="shared" si="9"/>
        <v>0.8625</v>
      </c>
      <c r="BO46" s="26">
        <f t="shared" si="10"/>
        <v>0.0462</v>
      </c>
      <c r="BP46" s="26">
        <f>IF(VLOOKUP($Q46,武学奇术!$A:$ZZ,22,FALSE)=1,0,(1-$BI46))*(1-$BL46)</f>
        <v>0</v>
      </c>
      <c r="BQ46" s="26" cm="1">
        <f t="array" ref="BQ46">SUM(_xlfn.XLOOKUP(R46:AF46,增益!$A:$A,增益!$W:$W,0))+$I$5</f>
        <v>0.06</v>
      </c>
    </row>
    <row r="47" spans="5:69">
      <c r="K47" s="38">
        <f t="shared" si="0"/>
        <v>0</v>
      </c>
      <c r="L47" s="38">
        <f>((($AN47+$AO47)/2*$AH47+$AI47)*(1+$AP47)*(1+$AQ47)+(($AS47+$AT47)/2*IF($G$1="鸣金",$AJ47,$AH47)+IF($G$1="鸣金",$AK47*1.5,0))*(1+$AU47)*(1+$AV47)+(($AW47+$AX47)/2*IF($G$1="裂石",$AJ47,$AH47)+IF($G$1="裂石",$AK47*1.5,0))*(1+$AY47)*(1+$AZ47)+(($BA47+$BB47)/2*IF($G$1="牵丝",$AJ47,$AH47)+IF($G$1="牵丝",$AK47*1.5,0))*(1+$BC47)*(1+$BD47)+(($BE47+$BF47)/2*IF($G$1="破竹",$AJ47,$AH47)+IF($G$1="破竹",$AK47*1.5,0))*(1+$BG47)*(1+$BH47))*(1+$AL47)*$BK47*$P47*(1+IF(VLOOKUP($Q47,武学奇术!$A:$ZZ,30,FALSE)="蓄力技",#REF!,0))*(1+$BQ47)</f>
        <v>0</v>
      </c>
      <c r="M47" s="38">
        <f>(($AO47*$AH47+$AI47)*(1+$AP47)*(1+$AQ47)+($AT47*IF($G$1="鸣金",$AJ47,$AH47)+IF($G$1="鸣金",$AK47*1.5,0))*(1+$AU47)*(1+$AV47)+($AX47*IF($G$1="裂石",$AJ47,$AH47)+IF($G$1="裂石",$AK47*1.5,0))*(1+$AY47)*(1+$AZ47)+($BB47*IF($G$1="牵丝",$AJ47,$AH47)+IF($G$1="牵丝",$AK47*1.5,0))*(1+$BC47)*(1+$BD47)+($BF47*IF($G$1="破竹",$AJ47,$AH47)+IF($G$1="破竹",$AK47*1.5,0))*(1+$BG47)*(1+$BH47))*(1+$AL47)*$BM47*$P47*(1+IF(VLOOKUP($Q47,武学奇术!$A:$ZZ,30,FALSE)="蓄力技",#REF!,0))*(1+$BQ47)</f>
        <v>0</v>
      </c>
      <c r="N47" s="38">
        <f>((($AN47+$AO47)/2*$AH47+$AI47)*(1+$AP47)*(1+$AQ47)+(($AS47+$AT47)/2*IF($G$1="鸣金",$AJ47,$AH47)+IF($G$1="鸣金",$AK47*1.5,0))*(1+$AU47)*(1+$AV47)+(($AW47+$AX47)/2*IF($G$1="裂石",$AJ47,$AH47)+IF($G$1="裂石",$AK47*1.5,0))*(1+$AY47)*(1+$AZ47)+(($BA47+$BB47)/2*IF($G$1="牵丝",$AJ47,$AH47)+IF($G$1="牵丝",$AK47*1.5,0))*(1+$BC47)*(1+$BD47)+(($BE47+$BF47)/2*IF($G$1="破竹",$AJ47,$AH47)+IF($G$1="破竹",$AK47*1.5,0))*(1+$BG47)*(1+$BH47))*(1+$AL47)*$P47*(1+IF(VLOOKUP($Q47,武学奇术!$A:$ZZ,30,FALSE)="蓄力技",#REF!,0))*(1+$BQ47)</f>
        <v>0</v>
      </c>
      <c r="O47" s="38">
        <f>((($AN47*$AH47+$AI47)*(1+$AP47)*(1+$AQ47)+($AS47*IF($G$1="鸣金",$AJ47,$AH47)+IF($G$1="鸣金",$AK47*1.5,0))*(1+$AU47)*(1+$AV47)+($AW47*IF($G$1="裂石",$AJ47,$AH47)+IF($G$1="裂石",$AK47*1.5,0))*(1+$AY47)*(1+$AZ47)+($BA47*IF($G$1="牵丝",$AJ47,$AH47)+IF($G$1="牵丝",$AK47*1.5,0))*(1+$BC47)*(1+$BD47)+($BE47*IF($G$1="破竹",$AJ47,$AH47)+IF($G$1="破竹",$AK47*1.5,0))*(1+$BG47)*(1+$BH47))*(1+$AL47))*$P47*(1+IF(VLOOKUP($Q47,武学奇术!$A:$ZZ,30,FALSE)="蓄力技",#REF!,0))*(1+$BQ47)</f>
        <v>0</v>
      </c>
      <c r="P47" s="39">
        <v>1</v>
      </c>
      <c r="Q47" s="40" t="s">
        <v>76</v>
      </c>
      <c r="R47" s="40" t="s">
        <v>76</v>
      </c>
      <c r="S47" s="40" t="s">
        <v>76</v>
      </c>
      <c r="T47" s="40" t="s">
        <v>76</v>
      </c>
      <c r="U47" s="40" t="s">
        <v>76</v>
      </c>
      <c r="V47" s="40" t="s">
        <v>76</v>
      </c>
      <c r="W47" s="40" t="s">
        <v>76</v>
      </c>
      <c r="X47" s="40" t="s">
        <v>76</v>
      </c>
      <c r="Y47" s="40" t="s">
        <v>76</v>
      </c>
      <c r="Z47" s="40" t="s">
        <v>76</v>
      </c>
      <c r="AA47" s="40" t="s">
        <v>76</v>
      </c>
      <c r="AB47" s="40" t="s">
        <v>76</v>
      </c>
      <c r="AC47" s="40" t="s">
        <v>76</v>
      </c>
      <c r="AD47" s="40" t="s">
        <v>76</v>
      </c>
      <c r="AE47" s="40" t="s">
        <v>76</v>
      </c>
      <c r="AF47" s="40" t="s">
        <v>76</v>
      </c>
      <c r="AG47" t="str">
        <f>VLOOKUP($Q47,武学奇术!$A:$ZZ,25,FALSE)</f>
        <v>心法</v>
      </c>
      <c r="AH47" s="26">
        <f>VLOOKUP($Q47,武学奇术!$A:$ZZ,26,FALSE)</f>
        <v>0</v>
      </c>
      <c r="AI47" s="27">
        <f>VLOOKUP($Q47,武学奇术!$A:$ZZ,27,FALSE)*(1+IF(OR($AG47=$F$4,$AG47=$F$5),$B$21,0))</f>
        <v>0</v>
      </c>
      <c r="AJ47" s="26">
        <f>VLOOKUP($Q47,武学奇术!$A:$ZZ,28,FALSE)</f>
        <v>0</v>
      </c>
      <c r="AK47" s="27">
        <f>VLOOKUP($Q47,武学奇术!$A:$ZZ,29,FALSE)*(1+IF(OR($AG47=$F$4,$AG47=$F$5),$B$21,0))</f>
        <v>0</v>
      </c>
      <c r="AL47" s="26" cm="1">
        <f t="array" ref="AL47">$G$3+IFERROR(VLOOKUP($AG47,$F$4:$G$7,2,FALSE),0)+VLOOKUP($Q47,武学奇术!$A:$ZZ,2,FALSE)+SUM(_xlfn.XLOOKUP($R47:$AF47,增益!$A:$A,增益!$B:$B,0))</f>
        <v>0.1842</v>
      </c>
      <c r="AM47" s="26" cm="1">
        <f t="array" ref="AM47">VLOOKUP($Q47,武学奇术!$A:$ZZ,5,FALSE)+SUM(_xlfn.XLOOKUP($R47:$AF47,增益!$A:$A,增益!$E:$E,0))</f>
        <v>0</v>
      </c>
      <c r="AN47" cm="1">
        <f t="array" ref="AN47">$D$10*(1+$AM47)+VLOOKUP($Q47,武学奇术!$A:$ZZ,3,FALSE)+SUM(_xlfn.XLOOKUP($R47:$AF47,增益!$A:$A,增益!$C:$C,0))-$I$2</f>
        <v>3940</v>
      </c>
      <c r="AO47" cm="1">
        <f t="array" ref="AO47">$E$10*(1+$AM47)+VLOOKUP($Q47,武学奇术!$A:$ZZ,4,FALSE)+SUM(_xlfn.XLOOKUP($R47:$AF47,增益!$A:$A,增益!$D:$D,0))-$I$2</f>
        <v>3940</v>
      </c>
      <c r="AP47" s="32" cm="1">
        <f t="array" ref="AP47">IF($F$10-$I$3+VLOOKUP($Q47,武学奇术!$A:$ZZ,6,FALSE)+SUM(_xlfn.XLOOKUP(R47:AF47,增益!$A:$A,增益!$F:$F,0))&gt;0,($F$10-$I$3+VLOOKUP($Q47,武学奇术!$A:$ZZ,6,FALSE)+SUM(_xlfn.XLOOKUP(R47:AF47,增益!$A:$A,增益!$F:$F,0)))/200,($F$10-$I$3+VLOOKUP($Q47,武学奇术!$A:$ZZ,6,FALSE)+SUM(_xlfn.XLOOKUP(R47:AF47,增益!$A:$A,增益!$F:$F,0)))/100)</f>
        <v>0.194</v>
      </c>
      <c r="AQ47" s="32" cm="1">
        <f t="array" ref="AQ47">$G$10+VLOOKUP($Q47,武学奇术!$A:$ZZ,7,FALSE)+SUM(_xlfn.XLOOKUP(R47:AF47,增益!$A:$A,增益!$G:$G,0))</f>
        <v>0</v>
      </c>
      <c r="AR47" s="26" cm="1">
        <f t="array" ref="AR47">VLOOKUP($Q47,武学奇术!$A:$ZZ,8,FALSE)+SUM(_xlfn.XLOOKUP(R47:AF47,增益!$A:$A,增益!$H:$H,0))</f>
        <v>0</v>
      </c>
      <c r="AS47">
        <f t="shared" si="1"/>
        <v>0</v>
      </c>
      <c r="AT47">
        <f t="shared" si="2"/>
        <v>0</v>
      </c>
      <c r="AU47" s="32" cm="1">
        <f t="array" ref="AU47">IF($F$11-$I$4+VLOOKUP($Q47,武学奇术!$A:$ZZ,9,FALSE)+SUM(_xlfn.XLOOKUP(R47:AF47,增益!$A:$A,增益!$I:$I,0))&gt;0,($F$11-$I$4+VLOOKUP($Q47,武学奇术!$A:$ZZ,9,FALSE)+SUM(_xlfn.XLOOKUP(R47:AF47,增益!$A:$A,增益!$I:$I,0)))/200,($F$11-$I$4+VLOOKUP($Q47,武学奇术!$A:$ZZ,9,FALSE)+SUM(_xlfn.XLOOKUP(R47:AF47,增益!$A:$A,增益!$I:$I,0)))/100)</f>
        <v>-0.3</v>
      </c>
      <c r="AV47" s="32" cm="1">
        <f t="array" ref="AV47">$G$11+VLOOKUP($Q47,武学奇术!$A:$ZZ,10,FALSE)+SUM(_xlfn.XLOOKUP(R47:AF47,增益!$A:$A,增益!$J:$J,0))</f>
        <v>0</v>
      </c>
      <c r="AW47">
        <f t="shared" si="3"/>
        <v>0</v>
      </c>
      <c r="AX47">
        <f t="shared" si="4"/>
        <v>0</v>
      </c>
      <c r="AY47" s="32" cm="1">
        <f t="array" ref="AY47">IF($F$12-$I$4+VLOOKUP($Q47,武学奇术!$A:$ZZ,11,FALSE)+SUM(_xlfn.XLOOKUP(R47:AF47,增益!$A:$A,增益!$K:$K,0))&gt;0,($F$12-$I$4+VLOOKUP($Q47,武学奇术!$A:$ZZ,11,FALSE)+SUM(_xlfn.XLOOKUP(R47:AF47,增益!$A:$A,增益!$K:$K,0)))/200,($F$12-$I$4+VLOOKUP($Q47,武学奇术!$A:$ZZ,11,FALSE)+SUM(_xlfn.XLOOKUP(R47:AF47,增益!$A:$A,增益!$K:$K,0)))/100)</f>
        <v>-0.3</v>
      </c>
      <c r="AZ47" s="32" cm="1">
        <f t="array" ref="AZ47">$G$12+VLOOKUP($Q47,武学奇术!$A:$ZZ,12,FALSE)+SUM(_xlfn.XLOOKUP(R47:AF47,增益!$A:$A,增益!$L:$L,0))</f>
        <v>0</v>
      </c>
      <c r="BA47">
        <f t="shared" si="5"/>
        <v>697.4</v>
      </c>
      <c r="BB47">
        <f t="shared" si="6"/>
        <v>1805</v>
      </c>
      <c r="BC47" s="32" cm="1">
        <f t="array" ref="BC47">IF($F$13-$I$4+VLOOKUP($Q47,武学奇术!$A:$ZZ,13,FALSE)+SUM(_xlfn.XLOOKUP(R47:AF47,增益!$A:$A,增益!$M:$M,0))&gt;0,($F$13-$I$4+VLOOKUP($Q47,武学奇术!$A:$ZZ,13,FALSE)+SUM(_xlfn.XLOOKUP(R47:AF47,增益!$A:$A,增益!$K:$K,0)))/200,($F$13-$I$4+VLOOKUP($Q47,武学奇术!$A:$ZZ,13,FALSE)+SUM(_xlfn.XLOOKUP(R47:AF47,增益!$A:$A,增益!$M:$M,0)))/100)</f>
        <v>0</v>
      </c>
      <c r="BD47" s="32" cm="1">
        <f t="array" ref="BD47">$G$13+VLOOKUP($Q47,武学奇术!$A:$ZZ,14,FALSE)+SUM(_xlfn.XLOOKUP(R47:AF47,增益!$A:$A,增益!$N:$N,0))</f>
        <v>0.15</v>
      </c>
      <c r="BE47">
        <f t="shared" si="7"/>
        <v>0</v>
      </c>
      <c r="BF47">
        <f t="shared" si="8"/>
        <v>0</v>
      </c>
      <c r="BG47" s="32" cm="1">
        <f t="array" ref="BG47">IF($F$14-$I$4+VLOOKUP($Q47,武学奇术!$A:$ZZ,15,FALSE)+SUM(_xlfn.XLOOKUP(R47:AF47,增益!$A:$A,增益!$O:$O,0))&gt;0,($F$14-$I$4+VLOOKUP($Q47,武学奇术!$A:$ZZ,15,FALSE)+SUM(_xlfn.XLOOKUP(R47:AF47,增益!$A:$A,增益!$O:$O,0)))/200,($F$14-$I$4+VLOOKUP($Q47,武学奇术!$A:$ZZ,15,FALSE)+SUM(_xlfn.XLOOKUP(R47:AF47,增益!$A:$A,增益!$O:$O,0)))/100)</f>
        <v>-0.3</v>
      </c>
      <c r="BH47" s="32" cm="1">
        <f t="array" ref="BH47">$G$14+VLOOKUP($Q47,武学奇术!$A:$ZZ,16,FALSE)+SUM(_xlfn.XLOOKUP(R47:AF47,增益!$A:$A,增益!$P:$P,0))</f>
        <v>0</v>
      </c>
      <c r="BI47" s="26">
        <f>MIN(IF(VLOOKUP($Q47,武学奇术!$A:$ZZ,23,FALSE)=1,100%,$B$8),100%)</f>
        <v>1</v>
      </c>
      <c r="BJ47" s="26" cm="1">
        <f t="array" ref="BJ47">IF(VLOOKUP($Q47,武学奇术!$A:$ZZ,23,FALSE)=1,100%,MIN(80%,$B$9+VLOOKUP($Q47,武学奇术!$A:$ZZ,17,FALSE)+SUM(_xlfn.XLOOKUP(R47:AF47,增益!$A:$A,增益!$Q:$Q,0)))+$B$11+SUM(_xlfn.XLOOKUP(R47:AF47,增益!$A:$A,增益!$U:$U,0)))*IF(VLOOKUP($Q47,武学奇术!$A:$ZZ,24,FALSE)=1,0,1)</f>
        <v>0.8625</v>
      </c>
      <c r="BK47" s="26" cm="1">
        <f t="array" ref="BK47">1+$B$13+VLOOKUP($Q47,武学奇术!$A:$ZZ,18,FALSE)+SUM(_xlfn.XLOOKUP(R47:AF47,增益!$A:$A,增益!$R:$R,0))</f>
        <v>1.5</v>
      </c>
      <c r="BL47" s="26" cm="1">
        <f t="array" ref="BL47">IF(VLOOKUP($Q47,武学奇术!$A:$ZZ,24,FALSE)=1,100%,MIN(40%,$B$10+VLOOKUP($Q47,武学奇术!$A:$ZZ,19,FALSE)+SUM(_xlfn.XLOOKUP(R47:AF47,增益!$A:$A,增益!$S:$S,0)))+$B$12+SUM(_xlfn.XLOOKUP(R47:AF47,增益!$A:$A,增益!$V:$V,0)))*IF(VLOOKUP($Q47,武学奇术!$A:$ZZ,23,FALSE)=1,0,1)</f>
        <v>0.0913</v>
      </c>
      <c r="BM47" s="26" cm="1">
        <f t="array" ref="BM47">1+$B$14+VLOOKUP($Q47,武学奇术!$A:$ZZ,20,FALSE)+SUM(_xlfn.XLOOKUP(R47:AF47,增益!$A:$A,增益!$T:$T,0))</f>
        <v>1.35</v>
      </c>
      <c r="BN47" s="26">
        <f t="shared" si="9"/>
        <v>0.8625</v>
      </c>
      <c r="BO47" s="26">
        <f t="shared" si="10"/>
        <v>0.0462</v>
      </c>
      <c r="BP47" s="26">
        <f>IF(VLOOKUP($Q47,武学奇术!$A:$ZZ,22,FALSE)=1,0,(1-$BI47))*(1-$BL47)</f>
        <v>0</v>
      </c>
      <c r="BQ47" s="26" cm="1">
        <f t="array" ref="BQ47">SUM(_xlfn.XLOOKUP(R47:AF47,增益!$A:$A,增益!$W:$W,0))+$I$5</f>
        <v>0.06</v>
      </c>
    </row>
    <row r="48" spans="5:69">
      <c r="K48" s="38">
        <f t="shared" si="0"/>
        <v>0</v>
      </c>
      <c r="L48" s="38">
        <f>((($AN48+$AO48)/2*$AH48+$AI48)*(1+$AP48)*(1+$AQ48)+(($AS48+$AT48)/2*IF($G$1="鸣金",$AJ48,$AH48)+IF($G$1="鸣金",$AK48*1.5,0))*(1+$AU48)*(1+$AV48)+(($AW48+$AX48)/2*IF($G$1="裂石",$AJ48,$AH48)+IF($G$1="裂石",$AK48*1.5,0))*(1+$AY48)*(1+$AZ48)+(($BA48+$BB48)/2*IF($G$1="牵丝",$AJ48,$AH48)+IF($G$1="牵丝",$AK48*1.5,0))*(1+$BC48)*(1+$BD48)+(($BE48+$BF48)/2*IF($G$1="破竹",$AJ48,$AH48)+IF($G$1="破竹",$AK48*1.5,0))*(1+$BG48)*(1+$BH48))*(1+$AL48)*$BK48*$P48*(1+IF(VLOOKUP($Q48,武学奇术!$A:$ZZ,30,FALSE)="蓄力技",#REF!,0))*(1+$BQ48)</f>
        <v>0</v>
      </c>
      <c r="M48" s="38">
        <f>(($AO48*$AH48+$AI48)*(1+$AP48)*(1+$AQ48)+($AT48*IF($G$1="鸣金",$AJ48,$AH48)+IF($G$1="鸣金",$AK48*1.5,0))*(1+$AU48)*(1+$AV48)+($AX48*IF($G$1="裂石",$AJ48,$AH48)+IF($G$1="裂石",$AK48*1.5,0))*(1+$AY48)*(1+$AZ48)+($BB48*IF($G$1="牵丝",$AJ48,$AH48)+IF($G$1="牵丝",$AK48*1.5,0))*(1+$BC48)*(1+$BD48)+($BF48*IF($G$1="破竹",$AJ48,$AH48)+IF($G$1="破竹",$AK48*1.5,0))*(1+$BG48)*(1+$BH48))*(1+$AL48)*$BM48*$P48*(1+IF(VLOOKUP($Q48,武学奇术!$A:$ZZ,30,FALSE)="蓄力技",#REF!,0))*(1+$BQ48)</f>
        <v>0</v>
      </c>
      <c r="N48" s="38">
        <f>((($AN48+$AO48)/2*$AH48+$AI48)*(1+$AP48)*(1+$AQ48)+(($AS48+$AT48)/2*IF($G$1="鸣金",$AJ48,$AH48)+IF($G$1="鸣金",$AK48*1.5,0))*(1+$AU48)*(1+$AV48)+(($AW48+$AX48)/2*IF($G$1="裂石",$AJ48,$AH48)+IF($G$1="裂石",$AK48*1.5,0))*(1+$AY48)*(1+$AZ48)+(($BA48+$BB48)/2*IF($G$1="牵丝",$AJ48,$AH48)+IF($G$1="牵丝",$AK48*1.5,0))*(1+$BC48)*(1+$BD48)+(($BE48+$BF48)/2*IF($G$1="破竹",$AJ48,$AH48)+IF($G$1="破竹",$AK48*1.5,0))*(1+$BG48)*(1+$BH48))*(1+$AL48)*$P48*(1+IF(VLOOKUP($Q48,武学奇术!$A:$ZZ,30,FALSE)="蓄力技",#REF!,0))*(1+$BQ48)</f>
        <v>0</v>
      </c>
      <c r="O48" s="38">
        <f>((($AN48*$AH48+$AI48)*(1+$AP48)*(1+$AQ48)+($AS48*IF($G$1="鸣金",$AJ48,$AH48)+IF($G$1="鸣金",$AK48*1.5,0))*(1+$AU48)*(1+$AV48)+($AW48*IF($G$1="裂石",$AJ48,$AH48)+IF($G$1="裂石",$AK48*1.5,0))*(1+$AY48)*(1+$AZ48)+($BA48*IF($G$1="牵丝",$AJ48,$AH48)+IF($G$1="牵丝",$AK48*1.5,0))*(1+$BC48)*(1+$BD48)+($BE48*IF($G$1="破竹",$AJ48,$AH48)+IF($G$1="破竹",$AK48*1.5,0))*(1+$BG48)*(1+$BH48))*(1+$AL48))*$P48*(1+IF(VLOOKUP($Q48,武学奇术!$A:$ZZ,30,FALSE)="蓄力技",#REF!,0))*(1+$BQ48)</f>
        <v>0</v>
      </c>
      <c r="P48" s="39">
        <v>1</v>
      </c>
      <c r="Q48" s="40" t="s">
        <v>76</v>
      </c>
      <c r="R48" s="40" t="s">
        <v>76</v>
      </c>
      <c r="S48" s="40" t="s">
        <v>76</v>
      </c>
      <c r="T48" s="40" t="s">
        <v>76</v>
      </c>
      <c r="U48" s="40" t="s">
        <v>76</v>
      </c>
      <c r="V48" s="40" t="s">
        <v>76</v>
      </c>
      <c r="W48" s="40" t="s">
        <v>76</v>
      </c>
      <c r="X48" s="40" t="s">
        <v>76</v>
      </c>
      <c r="Y48" s="40" t="s">
        <v>76</v>
      </c>
      <c r="Z48" s="40" t="s">
        <v>76</v>
      </c>
      <c r="AA48" s="40" t="s">
        <v>76</v>
      </c>
      <c r="AB48" s="40" t="s">
        <v>76</v>
      </c>
      <c r="AC48" s="40" t="s">
        <v>76</v>
      </c>
      <c r="AD48" s="40" t="s">
        <v>76</v>
      </c>
      <c r="AE48" s="40" t="s">
        <v>76</v>
      </c>
      <c r="AF48" s="40" t="s">
        <v>76</v>
      </c>
      <c r="AG48" t="str">
        <f>VLOOKUP($Q48,武学奇术!$A:$ZZ,25,FALSE)</f>
        <v>心法</v>
      </c>
      <c r="AH48" s="26">
        <f>VLOOKUP($Q48,武学奇术!$A:$ZZ,26,FALSE)</f>
        <v>0</v>
      </c>
      <c r="AI48" s="27">
        <f>VLOOKUP($Q48,武学奇术!$A:$ZZ,27,FALSE)*(1+IF(OR($AG48=$F$4,$AG48=$F$5),$B$21,0))</f>
        <v>0</v>
      </c>
      <c r="AJ48" s="26">
        <f>VLOOKUP($Q48,武学奇术!$A:$ZZ,28,FALSE)</f>
        <v>0</v>
      </c>
      <c r="AK48" s="27">
        <f>VLOOKUP($Q48,武学奇术!$A:$ZZ,29,FALSE)*(1+IF(OR($AG48=$F$4,$AG48=$F$5),$B$21,0))</f>
        <v>0</v>
      </c>
      <c r="AL48" s="26" cm="1">
        <f t="array" ref="AL48">$G$3+IFERROR(VLOOKUP($AG48,$F$4:$G$7,2,FALSE),0)+VLOOKUP($Q48,武学奇术!$A:$ZZ,2,FALSE)+SUM(_xlfn.XLOOKUP($R48:$AF48,增益!$A:$A,增益!$B:$B,0))</f>
        <v>0.1842</v>
      </c>
      <c r="AM48" s="26" cm="1">
        <f t="array" ref="AM48">VLOOKUP($Q48,武学奇术!$A:$ZZ,5,FALSE)+SUM(_xlfn.XLOOKUP($R48:$AF48,增益!$A:$A,增益!$E:$E,0))</f>
        <v>0</v>
      </c>
      <c r="AN48" cm="1">
        <f t="array" ref="AN48">$D$10*(1+$AM48)+VLOOKUP($Q48,武学奇术!$A:$ZZ,3,FALSE)+SUM(_xlfn.XLOOKUP($R48:$AF48,增益!$A:$A,增益!$C:$C,0))-$I$2</f>
        <v>3940</v>
      </c>
      <c r="AO48" cm="1">
        <f t="array" ref="AO48">$E$10*(1+$AM48)+VLOOKUP($Q48,武学奇术!$A:$ZZ,4,FALSE)+SUM(_xlfn.XLOOKUP($R48:$AF48,增益!$A:$A,增益!$D:$D,0))-$I$2</f>
        <v>3940</v>
      </c>
      <c r="AP48" s="32" cm="1">
        <f t="array" ref="AP48">IF($F$10-$I$3+VLOOKUP($Q48,武学奇术!$A:$ZZ,6,FALSE)+SUM(_xlfn.XLOOKUP(R48:AF48,增益!$A:$A,增益!$F:$F,0))&gt;0,($F$10-$I$3+VLOOKUP($Q48,武学奇术!$A:$ZZ,6,FALSE)+SUM(_xlfn.XLOOKUP(R48:AF48,增益!$A:$A,增益!$F:$F,0)))/200,($F$10-$I$3+VLOOKUP($Q48,武学奇术!$A:$ZZ,6,FALSE)+SUM(_xlfn.XLOOKUP(R48:AF48,增益!$A:$A,增益!$F:$F,0)))/100)</f>
        <v>0.194</v>
      </c>
      <c r="AQ48" s="32" cm="1">
        <f t="array" ref="AQ48">$G$10+VLOOKUP($Q48,武学奇术!$A:$ZZ,7,FALSE)+SUM(_xlfn.XLOOKUP(R48:AF48,增益!$A:$A,增益!$G:$G,0))</f>
        <v>0</v>
      </c>
      <c r="AR48" s="26" cm="1">
        <f t="array" ref="AR48">VLOOKUP($Q48,武学奇术!$A:$ZZ,8,FALSE)+SUM(_xlfn.XLOOKUP(R48:AF48,增益!$A:$A,增益!$H:$H,0))</f>
        <v>0</v>
      </c>
      <c r="AS48">
        <f t="shared" si="1"/>
        <v>0</v>
      </c>
      <c r="AT48">
        <f t="shared" si="2"/>
        <v>0</v>
      </c>
      <c r="AU48" s="32" cm="1">
        <f t="array" ref="AU48">IF($F$11-$I$4+VLOOKUP($Q48,武学奇术!$A:$ZZ,9,FALSE)+SUM(_xlfn.XLOOKUP(R48:AF48,增益!$A:$A,增益!$I:$I,0))&gt;0,($F$11-$I$4+VLOOKUP($Q48,武学奇术!$A:$ZZ,9,FALSE)+SUM(_xlfn.XLOOKUP(R48:AF48,增益!$A:$A,增益!$I:$I,0)))/200,($F$11-$I$4+VLOOKUP($Q48,武学奇术!$A:$ZZ,9,FALSE)+SUM(_xlfn.XLOOKUP(R48:AF48,增益!$A:$A,增益!$I:$I,0)))/100)</f>
        <v>-0.3</v>
      </c>
      <c r="AV48" s="32" cm="1">
        <f t="array" ref="AV48">$G$11+VLOOKUP($Q48,武学奇术!$A:$ZZ,10,FALSE)+SUM(_xlfn.XLOOKUP(R48:AF48,增益!$A:$A,增益!$J:$J,0))</f>
        <v>0</v>
      </c>
      <c r="AW48">
        <f t="shared" si="3"/>
        <v>0</v>
      </c>
      <c r="AX48">
        <f t="shared" si="4"/>
        <v>0</v>
      </c>
      <c r="AY48" s="32" cm="1">
        <f t="array" ref="AY48">IF($F$12-$I$4+VLOOKUP($Q48,武学奇术!$A:$ZZ,11,FALSE)+SUM(_xlfn.XLOOKUP(R48:AF48,增益!$A:$A,增益!$K:$K,0))&gt;0,($F$12-$I$4+VLOOKUP($Q48,武学奇术!$A:$ZZ,11,FALSE)+SUM(_xlfn.XLOOKUP(R48:AF48,增益!$A:$A,增益!$K:$K,0)))/200,($F$12-$I$4+VLOOKUP($Q48,武学奇术!$A:$ZZ,11,FALSE)+SUM(_xlfn.XLOOKUP(R48:AF48,增益!$A:$A,增益!$K:$K,0)))/100)</f>
        <v>-0.3</v>
      </c>
      <c r="AZ48" s="32" cm="1">
        <f t="array" ref="AZ48">$G$12+VLOOKUP($Q48,武学奇术!$A:$ZZ,12,FALSE)+SUM(_xlfn.XLOOKUP(R48:AF48,增益!$A:$A,增益!$L:$L,0))</f>
        <v>0</v>
      </c>
      <c r="BA48">
        <f t="shared" si="5"/>
        <v>697.4</v>
      </c>
      <c r="BB48">
        <f t="shared" si="6"/>
        <v>1805</v>
      </c>
      <c r="BC48" s="32" cm="1">
        <f t="array" ref="BC48">IF($F$13-$I$4+VLOOKUP($Q48,武学奇术!$A:$ZZ,13,FALSE)+SUM(_xlfn.XLOOKUP(R48:AF48,增益!$A:$A,增益!$M:$M,0))&gt;0,($F$13-$I$4+VLOOKUP($Q48,武学奇术!$A:$ZZ,13,FALSE)+SUM(_xlfn.XLOOKUP(R48:AF48,增益!$A:$A,增益!$K:$K,0)))/200,($F$13-$I$4+VLOOKUP($Q48,武学奇术!$A:$ZZ,13,FALSE)+SUM(_xlfn.XLOOKUP(R48:AF48,增益!$A:$A,增益!$M:$M,0)))/100)</f>
        <v>0</v>
      </c>
      <c r="BD48" s="32" cm="1">
        <f t="array" ref="BD48">$G$13+VLOOKUP($Q48,武学奇术!$A:$ZZ,14,FALSE)+SUM(_xlfn.XLOOKUP(R48:AF48,增益!$A:$A,增益!$N:$N,0))</f>
        <v>0.15</v>
      </c>
      <c r="BE48">
        <f t="shared" si="7"/>
        <v>0</v>
      </c>
      <c r="BF48">
        <f t="shared" si="8"/>
        <v>0</v>
      </c>
      <c r="BG48" s="32" cm="1">
        <f t="array" ref="BG48">IF($F$14-$I$4+VLOOKUP($Q48,武学奇术!$A:$ZZ,15,FALSE)+SUM(_xlfn.XLOOKUP(R48:AF48,增益!$A:$A,增益!$O:$O,0))&gt;0,($F$14-$I$4+VLOOKUP($Q48,武学奇术!$A:$ZZ,15,FALSE)+SUM(_xlfn.XLOOKUP(R48:AF48,增益!$A:$A,增益!$O:$O,0)))/200,($F$14-$I$4+VLOOKUP($Q48,武学奇术!$A:$ZZ,15,FALSE)+SUM(_xlfn.XLOOKUP(R48:AF48,增益!$A:$A,增益!$O:$O,0)))/100)</f>
        <v>-0.3</v>
      </c>
      <c r="BH48" s="32" cm="1">
        <f t="array" ref="BH48">$G$14+VLOOKUP($Q48,武学奇术!$A:$ZZ,16,FALSE)+SUM(_xlfn.XLOOKUP(R48:AF48,增益!$A:$A,增益!$P:$P,0))</f>
        <v>0</v>
      </c>
      <c r="BI48" s="26">
        <f>MIN(IF(VLOOKUP($Q48,武学奇术!$A:$ZZ,23,FALSE)=1,100%,$B$8),100%)</f>
        <v>1</v>
      </c>
      <c r="BJ48" s="26" cm="1">
        <f t="array" ref="BJ48">IF(VLOOKUP($Q48,武学奇术!$A:$ZZ,23,FALSE)=1,100%,MIN(80%,$B$9+VLOOKUP($Q48,武学奇术!$A:$ZZ,17,FALSE)+SUM(_xlfn.XLOOKUP(R48:AF48,增益!$A:$A,增益!$Q:$Q,0)))+$B$11+SUM(_xlfn.XLOOKUP(R48:AF48,增益!$A:$A,增益!$U:$U,0)))*IF(VLOOKUP($Q48,武学奇术!$A:$ZZ,24,FALSE)=1,0,1)</f>
        <v>0.8625</v>
      </c>
      <c r="BK48" s="26" cm="1">
        <f t="array" ref="BK48">1+$B$13+VLOOKUP($Q48,武学奇术!$A:$ZZ,18,FALSE)+SUM(_xlfn.XLOOKUP(R48:AF48,增益!$A:$A,增益!$R:$R,0))</f>
        <v>1.5</v>
      </c>
      <c r="BL48" s="26" cm="1">
        <f t="array" ref="BL48">IF(VLOOKUP($Q48,武学奇术!$A:$ZZ,24,FALSE)=1,100%,MIN(40%,$B$10+VLOOKUP($Q48,武学奇术!$A:$ZZ,19,FALSE)+SUM(_xlfn.XLOOKUP(R48:AF48,增益!$A:$A,增益!$S:$S,0)))+$B$12+SUM(_xlfn.XLOOKUP(R48:AF48,增益!$A:$A,增益!$V:$V,0)))*IF(VLOOKUP($Q48,武学奇术!$A:$ZZ,23,FALSE)=1,0,1)</f>
        <v>0.0913</v>
      </c>
      <c r="BM48" s="26" cm="1">
        <f t="array" ref="BM48">1+$B$14+VLOOKUP($Q48,武学奇术!$A:$ZZ,20,FALSE)+SUM(_xlfn.XLOOKUP(R48:AF48,增益!$A:$A,增益!$T:$T,0))</f>
        <v>1.35</v>
      </c>
      <c r="BN48" s="26">
        <f t="shared" si="9"/>
        <v>0.8625</v>
      </c>
      <c r="BO48" s="26">
        <f t="shared" si="10"/>
        <v>0.0462</v>
      </c>
      <c r="BP48" s="26">
        <f>IF(VLOOKUP($Q48,武学奇术!$A:$ZZ,22,FALSE)=1,0,(1-$BI48))*(1-$BL48)</f>
        <v>0</v>
      </c>
      <c r="BQ48" s="26" cm="1">
        <f t="array" ref="BQ48">SUM(_xlfn.XLOOKUP(R48:AF48,增益!$A:$A,增益!$W:$W,0))+$I$5</f>
        <v>0.06</v>
      </c>
    </row>
    <row r="49" spans="4:69">
      <c r="K49" s="38">
        <f t="shared" si="0"/>
        <v>0</v>
      </c>
      <c r="L49" s="38">
        <f>((($AN49+$AO49)/2*$AH49+$AI49)*(1+$AP49)*(1+$AQ49)+(($AS49+$AT49)/2*IF($G$1="鸣金",$AJ49,$AH49)+IF($G$1="鸣金",$AK49*1.5,0))*(1+$AU49)*(1+$AV49)+(($AW49+$AX49)/2*IF($G$1="裂石",$AJ49,$AH49)+IF($G$1="裂石",$AK49*1.5,0))*(1+$AY49)*(1+$AZ49)+(($BA49+$BB49)/2*IF($G$1="牵丝",$AJ49,$AH49)+IF($G$1="牵丝",$AK49*1.5,0))*(1+$BC49)*(1+$BD49)+(($BE49+$BF49)/2*IF($G$1="破竹",$AJ49,$AH49)+IF($G$1="破竹",$AK49*1.5,0))*(1+$BG49)*(1+$BH49))*(1+$AL49)*$BK49*$P49*(1+IF(VLOOKUP($Q49,武学奇术!$A:$ZZ,30,FALSE)="蓄力技",#REF!,0))*(1+$BQ49)</f>
        <v>0</v>
      </c>
      <c r="M49" s="38">
        <f>(($AO49*$AH49+$AI49)*(1+$AP49)*(1+$AQ49)+($AT49*IF($G$1="鸣金",$AJ49,$AH49)+IF($G$1="鸣金",$AK49*1.5,0))*(1+$AU49)*(1+$AV49)+($AX49*IF($G$1="裂石",$AJ49,$AH49)+IF($G$1="裂石",$AK49*1.5,0))*(1+$AY49)*(1+$AZ49)+($BB49*IF($G$1="牵丝",$AJ49,$AH49)+IF($G$1="牵丝",$AK49*1.5,0))*(1+$BC49)*(1+$BD49)+($BF49*IF($G$1="破竹",$AJ49,$AH49)+IF($G$1="破竹",$AK49*1.5,0))*(1+$BG49)*(1+$BH49))*(1+$AL49)*$BM49*$P49*(1+IF(VLOOKUP($Q49,武学奇术!$A:$ZZ,30,FALSE)="蓄力技",#REF!,0))*(1+$BQ49)</f>
        <v>0</v>
      </c>
      <c r="N49" s="38">
        <f>((($AN49+$AO49)/2*$AH49+$AI49)*(1+$AP49)*(1+$AQ49)+(($AS49+$AT49)/2*IF($G$1="鸣金",$AJ49,$AH49)+IF($G$1="鸣金",$AK49*1.5,0))*(1+$AU49)*(1+$AV49)+(($AW49+$AX49)/2*IF($G$1="裂石",$AJ49,$AH49)+IF($G$1="裂石",$AK49*1.5,0))*(1+$AY49)*(1+$AZ49)+(($BA49+$BB49)/2*IF($G$1="牵丝",$AJ49,$AH49)+IF($G$1="牵丝",$AK49*1.5,0))*(1+$BC49)*(1+$BD49)+(($BE49+$BF49)/2*IF($G$1="破竹",$AJ49,$AH49)+IF($G$1="破竹",$AK49*1.5,0))*(1+$BG49)*(1+$BH49))*(1+$AL49)*$P49*(1+IF(VLOOKUP($Q49,武学奇术!$A:$ZZ,30,FALSE)="蓄力技",#REF!,0))*(1+$BQ49)</f>
        <v>0</v>
      </c>
      <c r="O49" s="38">
        <f>((($AN49*$AH49+$AI49)*(1+$AP49)*(1+$AQ49)+($AS49*IF($G$1="鸣金",$AJ49,$AH49)+IF($G$1="鸣金",$AK49*1.5,0))*(1+$AU49)*(1+$AV49)+($AW49*IF($G$1="裂石",$AJ49,$AH49)+IF($G$1="裂石",$AK49*1.5,0))*(1+$AY49)*(1+$AZ49)+($BA49*IF($G$1="牵丝",$AJ49,$AH49)+IF($G$1="牵丝",$AK49*1.5,0))*(1+$BC49)*(1+$BD49)+($BE49*IF($G$1="破竹",$AJ49,$AH49)+IF($G$1="破竹",$AK49*1.5,0))*(1+$BG49)*(1+$BH49))*(1+$AL49))*$P49*(1+IF(VLOOKUP($Q49,武学奇术!$A:$ZZ,30,FALSE)="蓄力技",#REF!,0))*(1+$BQ49)</f>
        <v>0</v>
      </c>
      <c r="P49" s="39">
        <v>1</v>
      </c>
      <c r="Q49" s="40" t="s">
        <v>76</v>
      </c>
      <c r="R49" s="40" t="s">
        <v>76</v>
      </c>
      <c r="S49" s="40" t="s">
        <v>76</v>
      </c>
      <c r="T49" s="40" t="s">
        <v>76</v>
      </c>
      <c r="U49" s="40" t="s">
        <v>76</v>
      </c>
      <c r="V49" s="40" t="s">
        <v>76</v>
      </c>
      <c r="W49" s="40" t="s">
        <v>76</v>
      </c>
      <c r="X49" s="40" t="s">
        <v>76</v>
      </c>
      <c r="Y49" s="40" t="s">
        <v>76</v>
      </c>
      <c r="Z49" s="40" t="s">
        <v>76</v>
      </c>
      <c r="AA49" s="40" t="s">
        <v>76</v>
      </c>
      <c r="AB49" s="40" t="s">
        <v>76</v>
      </c>
      <c r="AC49" s="40" t="s">
        <v>76</v>
      </c>
      <c r="AD49" s="40" t="s">
        <v>76</v>
      </c>
      <c r="AE49" s="40" t="s">
        <v>76</v>
      </c>
      <c r="AF49" s="40" t="s">
        <v>76</v>
      </c>
      <c r="AG49" t="str">
        <f>VLOOKUP($Q49,武学奇术!$A:$ZZ,25,FALSE)</f>
        <v>心法</v>
      </c>
      <c r="AH49" s="26">
        <f>VLOOKUP($Q49,武学奇术!$A:$ZZ,26,FALSE)</f>
        <v>0</v>
      </c>
      <c r="AI49" s="27">
        <f>VLOOKUP($Q49,武学奇术!$A:$ZZ,27,FALSE)*(1+IF(OR($AG49=$F$4,$AG49=$F$5),$B$21,0))</f>
        <v>0</v>
      </c>
      <c r="AJ49" s="26">
        <f>VLOOKUP($Q49,武学奇术!$A:$ZZ,28,FALSE)</f>
        <v>0</v>
      </c>
      <c r="AK49" s="27">
        <f>VLOOKUP($Q49,武学奇术!$A:$ZZ,29,FALSE)*(1+IF(OR($AG49=$F$4,$AG49=$F$5),$B$21,0))</f>
        <v>0</v>
      </c>
      <c r="AL49" s="26" cm="1">
        <f t="array" ref="AL49">$G$3+IFERROR(VLOOKUP($AG49,$F$4:$G$7,2,FALSE),0)+VLOOKUP($Q49,武学奇术!$A:$ZZ,2,FALSE)+SUM(_xlfn.XLOOKUP($R49:$AF49,增益!$A:$A,增益!$B:$B,0))</f>
        <v>0.1842</v>
      </c>
      <c r="AM49" s="26" cm="1">
        <f t="array" ref="AM49">VLOOKUP($Q49,武学奇术!$A:$ZZ,5,FALSE)+SUM(_xlfn.XLOOKUP($R49:$AF49,增益!$A:$A,增益!$E:$E,0))</f>
        <v>0</v>
      </c>
      <c r="AN49" cm="1">
        <f t="array" ref="AN49">$D$10*(1+$AM49)+VLOOKUP($Q49,武学奇术!$A:$ZZ,3,FALSE)+SUM(_xlfn.XLOOKUP($R49:$AF49,增益!$A:$A,增益!$C:$C,0))-$I$2</f>
        <v>3940</v>
      </c>
      <c r="AO49" cm="1">
        <f t="array" ref="AO49">$E$10*(1+$AM49)+VLOOKUP($Q49,武学奇术!$A:$ZZ,4,FALSE)+SUM(_xlfn.XLOOKUP($R49:$AF49,增益!$A:$A,增益!$D:$D,0))-$I$2</f>
        <v>3940</v>
      </c>
      <c r="AP49" s="32" cm="1">
        <f t="array" ref="AP49">IF($F$10-$I$3+VLOOKUP($Q49,武学奇术!$A:$ZZ,6,FALSE)+SUM(_xlfn.XLOOKUP(R49:AF49,增益!$A:$A,增益!$F:$F,0))&gt;0,($F$10-$I$3+VLOOKUP($Q49,武学奇术!$A:$ZZ,6,FALSE)+SUM(_xlfn.XLOOKUP(R49:AF49,增益!$A:$A,增益!$F:$F,0)))/200,($F$10-$I$3+VLOOKUP($Q49,武学奇术!$A:$ZZ,6,FALSE)+SUM(_xlfn.XLOOKUP(R49:AF49,增益!$A:$A,增益!$F:$F,0)))/100)</f>
        <v>0.194</v>
      </c>
      <c r="AQ49" s="32" cm="1">
        <f t="array" ref="AQ49">$G$10+VLOOKUP($Q49,武学奇术!$A:$ZZ,7,FALSE)+SUM(_xlfn.XLOOKUP(R49:AF49,增益!$A:$A,增益!$G:$G,0))</f>
        <v>0</v>
      </c>
      <c r="AR49" s="26" cm="1">
        <f t="array" ref="AR49">VLOOKUP($Q49,武学奇术!$A:$ZZ,8,FALSE)+SUM(_xlfn.XLOOKUP(R49:AF49,增益!$A:$A,增益!$H:$H,0))</f>
        <v>0</v>
      </c>
      <c r="AS49">
        <f t="shared" si="1"/>
        <v>0</v>
      </c>
      <c r="AT49">
        <f t="shared" si="2"/>
        <v>0</v>
      </c>
      <c r="AU49" s="32" cm="1">
        <f t="array" ref="AU49">IF($F$11-$I$4+VLOOKUP($Q49,武学奇术!$A:$ZZ,9,FALSE)+SUM(_xlfn.XLOOKUP(R49:AF49,增益!$A:$A,增益!$I:$I,0))&gt;0,($F$11-$I$4+VLOOKUP($Q49,武学奇术!$A:$ZZ,9,FALSE)+SUM(_xlfn.XLOOKUP(R49:AF49,增益!$A:$A,增益!$I:$I,0)))/200,($F$11-$I$4+VLOOKUP($Q49,武学奇术!$A:$ZZ,9,FALSE)+SUM(_xlfn.XLOOKUP(R49:AF49,增益!$A:$A,增益!$I:$I,0)))/100)</f>
        <v>-0.3</v>
      </c>
      <c r="AV49" s="32" cm="1">
        <f t="array" ref="AV49">$G$11+VLOOKUP($Q49,武学奇术!$A:$ZZ,10,FALSE)+SUM(_xlfn.XLOOKUP(R49:AF49,增益!$A:$A,增益!$J:$J,0))</f>
        <v>0</v>
      </c>
      <c r="AW49">
        <f t="shared" si="3"/>
        <v>0</v>
      </c>
      <c r="AX49">
        <f t="shared" si="4"/>
        <v>0</v>
      </c>
      <c r="AY49" s="32" cm="1">
        <f t="array" ref="AY49">IF($F$12-$I$4+VLOOKUP($Q49,武学奇术!$A:$ZZ,11,FALSE)+SUM(_xlfn.XLOOKUP(R49:AF49,增益!$A:$A,增益!$K:$K,0))&gt;0,($F$12-$I$4+VLOOKUP($Q49,武学奇术!$A:$ZZ,11,FALSE)+SUM(_xlfn.XLOOKUP(R49:AF49,增益!$A:$A,增益!$K:$K,0)))/200,($F$12-$I$4+VLOOKUP($Q49,武学奇术!$A:$ZZ,11,FALSE)+SUM(_xlfn.XLOOKUP(R49:AF49,增益!$A:$A,增益!$K:$K,0)))/100)</f>
        <v>-0.3</v>
      </c>
      <c r="AZ49" s="32" cm="1">
        <f t="array" ref="AZ49">$G$12+VLOOKUP($Q49,武学奇术!$A:$ZZ,12,FALSE)+SUM(_xlfn.XLOOKUP(R49:AF49,增益!$A:$A,增益!$L:$L,0))</f>
        <v>0</v>
      </c>
      <c r="BA49">
        <f t="shared" si="5"/>
        <v>697.4</v>
      </c>
      <c r="BB49">
        <f t="shared" si="6"/>
        <v>1805</v>
      </c>
      <c r="BC49" s="32" cm="1">
        <f t="array" ref="BC49">IF($F$13-$I$4+VLOOKUP($Q49,武学奇术!$A:$ZZ,13,FALSE)+SUM(_xlfn.XLOOKUP(R49:AF49,增益!$A:$A,增益!$M:$M,0))&gt;0,($F$13-$I$4+VLOOKUP($Q49,武学奇术!$A:$ZZ,13,FALSE)+SUM(_xlfn.XLOOKUP(R49:AF49,增益!$A:$A,增益!$K:$K,0)))/200,($F$13-$I$4+VLOOKUP($Q49,武学奇术!$A:$ZZ,13,FALSE)+SUM(_xlfn.XLOOKUP(R49:AF49,增益!$A:$A,增益!$M:$M,0)))/100)</f>
        <v>0</v>
      </c>
      <c r="BD49" s="32" cm="1">
        <f t="array" ref="BD49">$G$13+VLOOKUP($Q49,武学奇术!$A:$ZZ,14,FALSE)+SUM(_xlfn.XLOOKUP(R49:AF49,增益!$A:$A,增益!$N:$N,0))</f>
        <v>0.15</v>
      </c>
      <c r="BE49">
        <f t="shared" si="7"/>
        <v>0</v>
      </c>
      <c r="BF49">
        <f t="shared" si="8"/>
        <v>0</v>
      </c>
      <c r="BG49" s="32" cm="1">
        <f t="array" ref="BG49">IF($F$14-$I$4+VLOOKUP($Q49,武学奇术!$A:$ZZ,15,FALSE)+SUM(_xlfn.XLOOKUP(R49:AF49,增益!$A:$A,增益!$O:$O,0))&gt;0,($F$14-$I$4+VLOOKUP($Q49,武学奇术!$A:$ZZ,15,FALSE)+SUM(_xlfn.XLOOKUP(R49:AF49,增益!$A:$A,增益!$O:$O,0)))/200,($F$14-$I$4+VLOOKUP($Q49,武学奇术!$A:$ZZ,15,FALSE)+SUM(_xlfn.XLOOKUP(R49:AF49,增益!$A:$A,增益!$O:$O,0)))/100)</f>
        <v>-0.3</v>
      </c>
      <c r="BH49" s="32" cm="1">
        <f t="array" ref="BH49">$G$14+VLOOKUP($Q49,武学奇术!$A:$ZZ,16,FALSE)+SUM(_xlfn.XLOOKUP(R49:AF49,增益!$A:$A,增益!$P:$P,0))</f>
        <v>0</v>
      </c>
      <c r="BI49" s="26">
        <f>MIN(IF(VLOOKUP($Q49,武学奇术!$A:$ZZ,23,FALSE)=1,100%,$B$8),100%)</f>
        <v>1</v>
      </c>
      <c r="BJ49" s="26" cm="1">
        <f t="array" ref="BJ49">IF(VLOOKUP($Q49,武学奇术!$A:$ZZ,23,FALSE)=1,100%,MIN(80%,$B$9+VLOOKUP($Q49,武学奇术!$A:$ZZ,17,FALSE)+SUM(_xlfn.XLOOKUP(R49:AF49,增益!$A:$A,增益!$Q:$Q,0)))+$B$11+SUM(_xlfn.XLOOKUP(R49:AF49,增益!$A:$A,增益!$U:$U,0)))*IF(VLOOKUP($Q49,武学奇术!$A:$ZZ,24,FALSE)=1,0,1)</f>
        <v>0.8625</v>
      </c>
      <c r="BK49" s="26" cm="1">
        <f t="array" ref="BK49">1+$B$13+VLOOKUP($Q49,武学奇术!$A:$ZZ,18,FALSE)+SUM(_xlfn.XLOOKUP(R49:AF49,增益!$A:$A,增益!$R:$R,0))</f>
        <v>1.5</v>
      </c>
      <c r="BL49" s="26" cm="1">
        <f t="array" ref="BL49">IF(VLOOKUP($Q49,武学奇术!$A:$ZZ,24,FALSE)=1,100%,MIN(40%,$B$10+VLOOKUP($Q49,武学奇术!$A:$ZZ,19,FALSE)+SUM(_xlfn.XLOOKUP(R49:AF49,增益!$A:$A,增益!$S:$S,0)))+$B$12+SUM(_xlfn.XLOOKUP(R49:AF49,增益!$A:$A,增益!$V:$V,0)))*IF(VLOOKUP($Q49,武学奇术!$A:$ZZ,23,FALSE)=1,0,1)</f>
        <v>0.0913</v>
      </c>
      <c r="BM49" s="26" cm="1">
        <f t="array" ref="BM49">1+$B$14+VLOOKUP($Q49,武学奇术!$A:$ZZ,20,FALSE)+SUM(_xlfn.XLOOKUP(R49:AF49,增益!$A:$A,增益!$T:$T,0))</f>
        <v>1.35</v>
      </c>
      <c r="BN49" s="26">
        <f t="shared" si="9"/>
        <v>0.8625</v>
      </c>
      <c r="BO49" s="26">
        <f t="shared" si="10"/>
        <v>0.0462</v>
      </c>
      <c r="BP49" s="26">
        <f>IF(VLOOKUP($Q49,武学奇术!$A:$ZZ,22,FALSE)=1,0,(1-$BI49))*(1-$BL49)</f>
        <v>0</v>
      </c>
      <c r="BQ49" s="26" cm="1">
        <f t="array" ref="BQ49">SUM(_xlfn.XLOOKUP(R49:AF49,增益!$A:$A,增益!$W:$W,0))+$I$5</f>
        <v>0.06</v>
      </c>
    </row>
    <row r="50" spans="4:69">
      <c r="K50" s="38">
        <f t="shared" si="0"/>
        <v>0</v>
      </c>
      <c r="L50" s="38">
        <f>((($AN50+$AO50)/2*$AH50+$AI50)*(1+$AP50)*(1+$AQ50)+(($AS50+$AT50)/2*IF($G$1="鸣金",$AJ50,$AH50)+IF($G$1="鸣金",$AK50*1.5,0))*(1+$AU50)*(1+$AV50)+(($AW50+$AX50)/2*IF($G$1="裂石",$AJ50,$AH50)+IF($G$1="裂石",$AK50*1.5,0))*(1+$AY50)*(1+$AZ50)+(($BA50+$BB50)/2*IF($G$1="牵丝",$AJ50,$AH50)+IF($G$1="牵丝",$AK50*1.5,0))*(1+$BC50)*(1+$BD50)+(($BE50+$BF50)/2*IF($G$1="破竹",$AJ50,$AH50)+IF($G$1="破竹",$AK50*1.5,0))*(1+$BG50)*(1+$BH50))*(1+$AL50)*$BK50*$P50*(1+IF(VLOOKUP($Q50,武学奇术!$A:$ZZ,30,FALSE)="蓄力技",#REF!,0))*(1+$BQ50)</f>
        <v>0</v>
      </c>
      <c r="M50" s="38">
        <f>(($AO50*$AH50+$AI50)*(1+$AP50)*(1+$AQ50)+($AT50*IF($G$1="鸣金",$AJ50,$AH50)+IF($G$1="鸣金",$AK50*1.5,0))*(1+$AU50)*(1+$AV50)+($AX50*IF($G$1="裂石",$AJ50,$AH50)+IF($G$1="裂石",$AK50*1.5,0))*(1+$AY50)*(1+$AZ50)+($BB50*IF($G$1="牵丝",$AJ50,$AH50)+IF($G$1="牵丝",$AK50*1.5,0))*(1+$BC50)*(1+$BD50)+($BF50*IF($G$1="破竹",$AJ50,$AH50)+IF($G$1="破竹",$AK50*1.5,0))*(1+$BG50)*(1+$BH50))*(1+$AL50)*$BM50*$P50*(1+IF(VLOOKUP($Q50,武学奇术!$A:$ZZ,30,FALSE)="蓄力技",#REF!,0))*(1+$BQ50)</f>
        <v>0</v>
      </c>
      <c r="N50" s="38">
        <f>((($AN50+$AO50)/2*$AH50+$AI50)*(1+$AP50)*(1+$AQ50)+(($AS50+$AT50)/2*IF($G$1="鸣金",$AJ50,$AH50)+IF($G$1="鸣金",$AK50*1.5,0))*(1+$AU50)*(1+$AV50)+(($AW50+$AX50)/2*IF($G$1="裂石",$AJ50,$AH50)+IF($G$1="裂石",$AK50*1.5,0))*(1+$AY50)*(1+$AZ50)+(($BA50+$BB50)/2*IF($G$1="牵丝",$AJ50,$AH50)+IF($G$1="牵丝",$AK50*1.5,0))*(1+$BC50)*(1+$BD50)+(($BE50+$BF50)/2*IF($G$1="破竹",$AJ50,$AH50)+IF($G$1="破竹",$AK50*1.5,0))*(1+$BG50)*(1+$BH50))*(1+$AL50)*$P50*(1+IF(VLOOKUP($Q50,武学奇术!$A:$ZZ,30,FALSE)="蓄力技",#REF!,0))*(1+$BQ50)</f>
        <v>0</v>
      </c>
      <c r="O50" s="38">
        <f>((($AN50*$AH50+$AI50)*(1+$AP50)*(1+$AQ50)+($AS50*IF($G$1="鸣金",$AJ50,$AH50)+IF($G$1="鸣金",$AK50*1.5,0))*(1+$AU50)*(1+$AV50)+($AW50*IF($G$1="裂石",$AJ50,$AH50)+IF($G$1="裂石",$AK50*1.5,0))*(1+$AY50)*(1+$AZ50)+($BA50*IF($G$1="牵丝",$AJ50,$AH50)+IF($G$1="牵丝",$AK50*1.5,0))*(1+$BC50)*(1+$BD50)+($BE50*IF($G$1="破竹",$AJ50,$AH50)+IF($G$1="破竹",$AK50*1.5,0))*(1+$BG50)*(1+$BH50))*(1+$AL50))*$P50*(1+IF(VLOOKUP($Q50,武学奇术!$A:$ZZ,30,FALSE)="蓄力技",#REF!,0))*(1+$BQ50)</f>
        <v>0</v>
      </c>
      <c r="P50" s="39">
        <v>1</v>
      </c>
      <c r="Q50" s="40" t="s">
        <v>76</v>
      </c>
      <c r="R50" s="40" t="s">
        <v>76</v>
      </c>
      <c r="S50" s="40" t="s">
        <v>76</v>
      </c>
      <c r="T50" s="40" t="s">
        <v>76</v>
      </c>
      <c r="U50" s="40" t="s">
        <v>76</v>
      </c>
      <c r="V50" s="40" t="s">
        <v>76</v>
      </c>
      <c r="W50" s="40" t="s">
        <v>76</v>
      </c>
      <c r="X50" s="40" t="s">
        <v>76</v>
      </c>
      <c r="Y50" s="40" t="s">
        <v>76</v>
      </c>
      <c r="Z50" s="40" t="s">
        <v>76</v>
      </c>
      <c r="AA50" s="40" t="s">
        <v>76</v>
      </c>
      <c r="AB50" s="40" t="s">
        <v>76</v>
      </c>
      <c r="AC50" s="40" t="s">
        <v>76</v>
      </c>
      <c r="AD50" s="40" t="s">
        <v>76</v>
      </c>
      <c r="AE50" s="40" t="s">
        <v>76</v>
      </c>
      <c r="AF50" s="40" t="s">
        <v>76</v>
      </c>
      <c r="AG50" t="str">
        <f>VLOOKUP($Q50,武学奇术!$A:$ZZ,25,FALSE)</f>
        <v>心法</v>
      </c>
      <c r="AH50" s="26">
        <f>VLOOKUP($Q50,武学奇术!$A:$ZZ,26,FALSE)</f>
        <v>0</v>
      </c>
      <c r="AI50" s="27">
        <f>VLOOKUP($Q50,武学奇术!$A:$ZZ,27,FALSE)*(1+IF(OR($AG50=$F$4,$AG50=$F$5),$B$21,0))</f>
        <v>0</v>
      </c>
      <c r="AJ50" s="26">
        <f>VLOOKUP($Q50,武学奇术!$A:$ZZ,28,FALSE)</f>
        <v>0</v>
      </c>
      <c r="AK50" s="27">
        <f>VLOOKUP($Q50,武学奇术!$A:$ZZ,29,FALSE)*(1+IF(OR($AG50=$F$4,$AG50=$F$5),$B$21,0))</f>
        <v>0</v>
      </c>
      <c r="AL50" s="26" cm="1">
        <f t="array" ref="AL50">$G$3+IFERROR(VLOOKUP($AG50,$F$4:$G$7,2,FALSE),0)+VLOOKUP($Q50,武学奇术!$A:$ZZ,2,FALSE)+SUM(_xlfn.XLOOKUP($R50:$AF50,增益!$A:$A,增益!$B:$B,0))</f>
        <v>0.1842</v>
      </c>
      <c r="AM50" s="26" cm="1">
        <f t="array" ref="AM50">VLOOKUP($Q50,武学奇术!$A:$ZZ,5,FALSE)+SUM(_xlfn.XLOOKUP($R50:$AF50,增益!$A:$A,增益!$E:$E,0))</f>
        <v>0</v>
      </c>
      <c r="AN50" cm="1">
        <f t="array" ref="AN50">$D$10*(1+$AM50)+VLOOKUP($Q50,武学奇术!$A:$ZZ,3,FALSE)+SUM(_xlfn.XLOOKUP($R50:$AF50,增益!$A:$A,增益!$C:$C,0))-$I$2</f>
        <v>3940</v>
      </c>
      <c r="AO50" cm="1">
        <f t="array" ref="AO50">$E$10*(1+$AM50)+VLOOKUP($Q50,武学奇术!$A:$ZZ,4,FALSE)+SUM(_xlfn.XLOOKUP($R50:$AF50,增益!$A:$A,增益!$D:$D,0))-$I$2</f>
        <v>3940</v>
      </c>
      <c r="AP50" s="32" cm="1">
        <f t="array" ref="AP50">IF($F$10-$I$3+VLOOKUP($Q50,武学奇术!$A:$ZZ,6,FALSE)+SUM(_xlfn.XLOOKUP(R50:AF50,增益!$A:$A,增益!$F:$F,0))&gt;0,($F$10-$I$3+VLOOKUP($Q50,武学奇术!$A:$ZZ,6,FALSE)+SUM(_xlfn.XLOOKUP(R50:AF50,增益!$A:$A,增益!$F:$F,0)))/200,($F$10-$I$3+VLOOKUP($Q50,武学奇术!$A:$ZZ,6,FALSE)+SUM(_xlfn.XLOOKUP(R50:AF50,增益!$A:$A,增益!$F:$F,0)))/100)</f>
        <v>0.194</v>
      </c>
      <c r="AQ50" s="32" cm="1">
        <f t="array" ref="AQ50">$G$10+VLOOKUP($Q50,武学奇术!$A:$ZZ,7,FALSE)+SUM(_xlfn.XLOOKUP(R50:AF50,增益!$A:$A,增益!$G:$G,0))</f>
        <v>0</v>
      </c>
      <c r="AR50" s="26" cm="1">
        <f t="array" ref="AR50">VLOOKUP($Q50,武学奇术!$A:$ZZ,8,FALSE)+SUM(_xlfn.XLOOKUP(R50:AF50,增益!$A:$A,增益!$H:$H,0))</f>
        <v>0</v>
      </c>
      <c r="AS50">
        <f t="shared" si="1"/>
        <v>0</v>
      </c>
      <c r="AT50">
        <f t="shared" si="2"/>
        <v>0</v>
      </c>
      <c r="AU50" s="32" cm="1">
        <f t="array" ref="AU50">IF($F$11-$I$4+VLOOKUP($Q50,武学奇术!$A:$ZZ,9,FALSE)+SUM(_xlfn.XLOOKUP(R50:AF50,增益!$A:$A,增益!$I:$I,0))&gt;0,($F$11-$I$4+VLOOKUP($Q50,武学奇术!$A:$ZZ,9,FALSE)+SUM(_xlfn.XLOOKUP(R50:AF50,增益!$A:$A,增益!$I:$I,0)))/200,($F$11-$I$4+VLOOKUP($Q50,武学奇术!$A:$ZZ,9,FALSE)+SUM(_xlfn.XLOOKUP(R50:AF50,增益!$A:$A,增益!$I:$I,0)))/100)</f>
        <v>-0.3</v>
      </c>
      <c r="AV50" s="32" cm="1">
        <f t="array" ref="AV50">$G$11+VLOOKUP($Q50,武学奇术!$A:$ZZ,10,FALSE)+SUM(_xlfn.XLOOKUP(R50:AF50,增益!$A:$A,增益!$J:$J,0))</f>
        <v>0</v>
      </c>
      <c r="AW50">
        <f t="shared" si="3"/>
        <v>0</v>
      </c>
      <c r="AX50">
        <f t="shared" si="4"/>
        <v>0</v>
      </c>
      <c r="AY50" s="32" cm="1">
        <f t="array" ref="AY50">IF($F$12-$I$4+VLOOKUP($Q50,武学奇术!$A:$ZZ,11,FALSE)+SUM(_xlfn.XLOOKUP(R50:AF50,增益!$A:$A,增益!$K:$K,0))&gt;0,($F$12-$I$4+VLOOKUP($Q50,武学奇术!$A:$ZZ,11,FALSE)+SUM(_xlfn.XLOOKUP(R50:AF50,增益!$A:$A,增益!$K:$K,0)))/200,($F$12-$I$4+VLOOKUP($Q50,武学奇术!$A:$ZZ,11,FALSE)+SUM(_xlfn.XLOOKUP(R50:AF50,增益!$A:$A,增益!$K:$K,0)))/100)</f>
        <v>-0.3</v>
      </c>
      <c r="AZ50" s="32" cm="1">
        <f t="array" ref="AZ50">$G$12+VLOOKUP($Q50,武学奇术!$A:$ZZ,12,FALSE)+SUM(_xlfn.XLOOKUP(R50:AF50,增益!$A:$A,增益!$L:$L,0))</f>
        <v>0</v>
      </c>
      <c r="BA50">
        <f t="shared" si="5"/>
        <v>697.4</v>
      </c>
      <c r="BB50">
        <f t="shared" si="6"/>
        <v>1805</v>
      </c>
      <c r="BC50" s="32" cm="1">
        <f t="array" ref="BC50">IF($F$13-$I$4+VLOOKUP($Q50,武学奇术!$A:$ZZ,13,FALSE)+SUM(_xlfn.XLOOKUP(R50:AF50,增益!$A:$A,增益!$M:$M,0))&gt;0,($F$13-$I$4+VLOOKUP($Q50,武学奇术!$A:$ZZ,13,FALSE)+SUM(_xlfn.XLOOKUP(R50:AF50,增益!$A:$A,增益!$K:$K,0)))/200,($F$13-$I$4+VLOOKUP($Q50,武学奇术!$A:$ZZ,13,FALSE)+SUM(_xlfn.XLOOKUP(R50:AF50,增益!$A:$A,增益!$M:$M,0)))/100)</f>
        <v>0</v>
      </c>
      <c r="BD50" s="32" cm="1">
        <f t="array" ref="BD50">$G$13+VLOOKUP($Q50,武学奇术!$A:$ZZ,14,FALSE)+SUM(_xlfn.XLOOKUP(R50:AF50,增益!$A:$A,增益!$N:$N,0))</f>
        <v>0.15</v>
      </c>
      <c r="BE50">
        <f t="shared" si="7"/>
        <v>0</v>
      </c>
      <c r="BF50">
        <f t="shared" si="8"/>
        <v>0</v>
      </c>
      <c r="BG50" s="32" cm="1">
        <f t="array" ref="BG50">IF($F$14-$I$4+VLOOKUP($Q50,武学奇术!$A:$ZZ,15,FALSE)+SUM(_xlfn.XLOOKUP(R50:AF50,增益!$A:$A,增益!$O:$O,0))&gt;0,($F$14-$I$4+VLOOKUP($Q50,武学奇术!$A:$ZZ,15,FALSE)+SUM(_xlfn.XLOOKUP(R50:AF50,增益!$A:$A,增益!$O:$O,0)))/200,($F$14-$I$4+VLOOKUP($Q50,武学奇术!$A:$ZZ,15,FALSE)+SUM(_xlfn.XLOOKUP(R50:AF50,增益!$A:$A,增益!$O:$O,0)))/100)</f>
        <v>-0.3</v>
      </c>
      <c r="BH50" s="32" cm="1">
        <f t="array" ref="BH50">$G$14+VLOOKUP($Q50,武学奇术!$A:$ZZ,16,FALSE)+SUM(_xlfn.XLOOKUP(R50:AF50,增益!$A:$A,增益!$P:$P,0))</f>
        <v>0</v>
      </c>
      <c r="BI50" s="26">
        <f>MIN(IF(VLOOKUP($Q50,武学奇术!$A:$ZZ,23,FALSE)=1,100%,$B$8),100%)</f>
        <v>1</v>
      </c>
      <c r="BJ50" s="26" cm="1">
        <f t="array" ref="BJ50">IF(VLOOKUP($Q50,武学奇术!$A:$ZZ,23,FALSE)=1,100%,MIN(80%,$B$9+VLOOKUP($Q50,武学奇术!$A:$ZZ,17,FALSE)+SUM(_xlfn.XLOOKUP(R50:AF50,增益!$A:$A,增益!$Q:$Q,0)))+$B$11+SUM(_xlfn.XLOOKUP(R50:AF50,增益!$A:$A,增益!$U:$U,0)))*IF(VLOOKUP($Q50,武学奇术!$A:$ZZ,24,FALSE)=1,0,1)</f>
        <v>0.8625</v>
      </c>
      <c r="BK50" s="26" cm="1">
        <f t="array" ref="BK50">1+$B$13+VLOOKUP($Q50,武学奇术!$A:$ZZ,18,FALSE)+SUM(_xlfn.XLOOKUP(R50:AF50,增益!$A:$A,增益!$R:$R,0))</f>
        <v>1.5</v>
      </c>
      <c r="BL50" s="26" cm="1">
        <f t="array" ref="BL50">IF(VLOOKUP($Q50,武学奇术!$A:$ZZ,24,FALSE)=1,100%,MIN(40%,$B$10+VLOOKUP($Q50,武学奇术!$A:$ZZ,19,FALSE)+SUM(_xlfn.XLOOKUP(R50:AF50,增益!$A:$A,增益!$S:$S,0)))+$B$12+SUM(_xlfn.XLOOKUP(R50:AF50,增益!$A:$A,增益!$V:$V,0)))*IF(VLOOKUP($Q50,武学奇术!$A:$ZZ,23,FALSE)=1,0,1)</f>
        <v>0.0913</v>
      </c>
      <c r="BM50" s="26" cm="1">
        <f t="array" ref="BM50">1+$B$14+VLOOKUP($Q50,武学奇术!$A:$ZZ,20,FALSE)+SUM(_xlfn.XLOOKUP(R50:AF50,增益!$A:$A,增益!$T:$T,0))</f>
        <v>1.35</v>
      </c>
      <c r="BN50" s="26">
        <f t="shared" si="9"/>
        <v>0.8625</v>
      </c>
      <c r="BO50" s="26">
        <f t="shared" si="10"/>
        <v>0.0462</v>
      </c>
      <c r="BP50" s="26">
        <f>IF(VLOOKUP($Q50,武学奇术!$A:$ZZ,22,FALSE)=1,0,(1-$BI50))*(1-$BL50)</f>
        <v>0</v>
      </c>
      <c r="BQ50" s="26" cm="1">
        <f t="array" ref="BQ50">SUM(_xlfn.XLOOKUP(R50:AF50,增益!$A:$A,增益!$W:$W,0))+$I$5</f>
        <v>0.06</v>
      </c>
    </row>
    <row r="51" spans="4:69">
      <c r="K51" s="38">
        <f t="shared" si="0"/>
        <v>0</v>
      </c>
      <c r="L51" s="38">
        <f>((($AN51+$AO51)/2*$AH51+$AI51)*(1+$AP51)*(1+$AQ51)+(($AS51+$AT51)/2*IF($G$1="鸣金",$AJ51,$AH51)+IF($G$1="鸣金",$AK51*1.5,0))*(1+$AU51)*(1+$AV51)+(($AW51+$AX51)/2*IF($G$1="裂石",$AJ51,$AH51)+IF($G$1="裂石",$AK51*1.5,0))*(1+$AY51)*(1+$AZ51)+(($BA51+$BB51)/2*IF($G$1="牵丝",$AJ51,$AH51)+IF($G$1="牵丝",$AK51*1.5,0))*(1+$BC51)*(1+$BD51)+(($BE51+$BF51)/2*IF($G$1="破竹",$AJ51,$AH51)+IF($G$1="破竹",$AK51*1.5,0))*(1+$BG51)*(1+$BH51))*(1+$AL51)*$BK51*$P51*(1+IF(VLOOKUP($Q51,武学奇术!$A:$ZZ,30,FALSE)="蓄力技",#REF!,0))*(1+$BQ51)</f>
        <v>0</v>
      </c>
      <c r="M51" s="38">
        <f>(($AO51*$AH51+$AI51)*(1+$AP51)*(1+$AQ51)+($AT51*IF($G$1="鸣金",$AJ51,$AH51)+IF($G$1="鸣金",$AK51*1.5,0))*(1+$AU51)*(1+$AV51)+($AX51*IF($G$1="裂石",$AJ51,$AH51)+IF($G$1="裂石",$AK51*1.5,0))*(1+$AY51)*(1+$AZ51)+($BB51*IF($G$1="牵丝",$AJ51,$AH51)+IF($G$1="牵丝",$AK51*1.5,0))*(1+$BC51)*(1+$BD51)+($BF51*IF($G$1="破竹",$AJ51,$AH51)+IF($G$1="破竹",$AK51*1.5,0))*(1+$BG51)*(1+$BH51))*(1+$AL51)*$BM51*$P51*(1+IF(VLOOKUP($Q51,武学奇术!$A:$ZZ,30,FALSE)="蓄力技",#REF!,0))*(1+$BQ51)</f>
        <v>0</v>
      </c>
      <c r="N51" s="38">
        <f>((($AN51+$AO51)/2*$AH51+$AI51)*(1+$AP51)*(1+$AQ51)+(($AS51+$AT51)/2*IF($G$1="鸣金",$AJ51,$AH51)+IF($G$1="鸣金",$AK51*1.5,0))*(1+$AU51)*(1+$AV51)+(($AW51+$AX51)/2*IF($G$1="裂石",$AJ51,$AH51)+IF($G$1="裂石",$AK51*1.5,0))*(1+$AY51)*(1+$AZ51)+(($BA51+$BB51)/2*IF($G$1="牵丝",$AJ51,$AH51)+IF($G$1="牵丝",$AK51*1.5,0))*(1+$BC51)*(1+$BD51)+(($BE51+$BF51)/2*IF($G$1="破竹",$AJ51,$AH51)+IF($G$1="破竹",$AK51*1.5,0))*(1+$BG51)*(1+$BH51))*(1+$AL51)*$P51*(1+IF(VLOOKUP($Q51,武学奇术!$A:$ZZ,30,FALSE)="蓄力技",#REF!,0))*(1+$BQ51)</f>
        <v>0</v>
      </c>
      <c r="O51" s="38">
        <f>((($AN51*$AH51+$AI51)*(1+$AP51)*(1+$AQ51)+($AS51*IF($G$1="鸣金",$AJ51,$AH51)+IF($G$1="鸣金",$AK51*1.5,0))*(1+$AU51)*(1+$AV51)+($AW51*IF($G$1="裂石",$AJ51,$AH51)+IF($G$1="裂石",$AK51*1.5,0))*(1+$AY51)*(1+$AZ51)+($BA51*IF($G$1="牵丝",$AJ51,$AH51)+IF($G$1="牵丝",$AK51*1.5,0))*(1+$BC51)*(1+$BD51)+($BE51*IF($G$1="破竹",$AJ51,$AH51)+IF($G$1="破竹",$AK51*1.5,0))*(1+$BG51)*(1+$BH51))*(1+$AL51))*$P51*(1+IF(VLOOKUP($Q51,武学奇术!$A:$ZZ,30,FALSE)="蓄力技",#REF!,0))*(1+$BQ51)</f>
        <v>0</v>
      </c>
      <c r="P51" s="39">
        <v>1</v>
      </c>
      <c r="Q51" s="40" t="s">
        <v>76</v>
      </c>
      <c r="R51" s="40" t="s">
        <v>76</v>
      </c>
      <c r="S51" s="40" t="s">
        <v>76</v>
      </c>
      <c r="T51" s="40" t="s">
        <v>76</v>
      </c>
      <c r="U51" s="40" t="s">
        <v>76</v>
      </c>
      <c r="V51" s="40" t="s">
        <v>76</v>
      </c>
      <c r="W51" s="40" t="s">
        <v>76</v>
      </c>
      <c r="X51" s="40" t="s">
        <v>76</v>
      </c>
      <c r="Y51" s="40" t="s">
        <v>76</v>
      </c>
      <c r="Z51" s="40" t="s">
        <v>76</v>
      </c>
      <c r="AA51" s="40" t="s">
        <v>76</v>
      </c>
      <c r="AB51" s="40" t="s">
        <v>76</v>
      </c>
      <c r="AC51" s="40" t="s">
        <v>76</v>
      </c>
      <c r="AD51" s="40" t="s">
        <v>76</v>
      </c>
      <c r="AE51" s="40" t="s">
        <v>76</v>
      </c>
      <c r="AF51" s="40" t="s">
        <v>76</v>
      </c>
      <c r="AG51" t="str">
        <f>VLOOKUP($Q51,武学奇术!$A:$ZZ,25,FALSE)</f>
        <v>心法</v>
      </c>
      <c r="AH51" s="26">
        <f>VLOOKUP($Q51,武学奇术!$A:$ZZ,26,FALSE)</f>
        <v>0</v>
      </c>
      <c r="AI51" s="27">
        <f>VLOOKUP($Q51,武学奇术!$A:$ZZ,27,FALSE)*(1+IF(OR($AG51=$F$4,$AG51=$F$5),$B$21,0))</f>
        <v>0</v>
      </c>
      <c r="AJ51" s="26">
        <f>VLOOKUP($Q51,武学奇术!$A:$ZZ,28,FALSE)</f>
        <v>0</v>
      </c>
      <c r="AK51" s="27">
        <f>VLOOKUP($Q51,武学奇术!$A:$ZZ,29,FALSE)*(1+IF(OR($AG51=$F$4,$AG51=$F$5),$B$21,0))</f>
        <v>0</v>
      </c>
      <c r="AL51" s="26" cm="1">
        <f t="array" ref="AL51">$G$3+IFERROR(VLOOKUP($AG51,$F$4:$G$7,2,FALSE),0)+VLOOKUP($Q51,武学奇术!$A:$ZZ,2,FALSE)+SUM(_xlfn.XLOOKUP($R51:$AF51,增益!$A:$A,增益!$B:$B,0))</f>
        <v>0.1842</v>
      </c>
      <c r="AM51" s="26" cm="1">
        <f t="array" ref="AM51">VLOOKUP($Q51,武学奇术!$A:$ZZ,5,FALSE)+SUM(_xlfn.XLOOKUP($R51:$AF51,增益!$A:$A,增益!$E:$E,0))</f>
        <v>0</v>
      </c>
      <c r="AN51" cm="1">
        <f t="array" ref="AN51">$D$10*(1+$AM51)+VLOOKUP($Q51,武学奇术!$A:$ZZ,3,FALSE)+SUM(_xlfn.XLOOKUP($R51:$AF51,增益!$A:$A,增益!$C:$C,0))-$I$2</f>
        <v>3940</v>
      </c>
      <c r="AO51" cm="1">
        <f t="array" ref="AO51">$E$10*(1+$AM51)+VLOOKUP($Q51,武学奇术!$A:$ZZ,4,FALSE)+SUM(_xlfn.XLOOKUP($R51:$AF51,增益!$A:$A,增益!$D:$D,0))-$I$2</f>
        <v>3940</v>
      </c>
      <c r="AP51" s="32" cm="1">
        <f t="array" ref="AP51">IF($F$10-$I$3+VLOOKUP($Q51,武学奇术!$A:$ZZ,6,FALSE)+SUM(_xlfn.XLOOKUP(R51:AF51,增益!$A:$A,增益!$F:$F,0))&gt;0,($F$10-$I$3+VLOOKUP($Q51,武学奇术!$A:$ZZ,6,FALSE)+SUM(_xlfn.XLOOKUP(R51:AF51,增益!$A:$A,增益!$F:$F,0)))/200,($F$10-$I$3+VLOOKUP($Q51,武学奇术!$A:$ZZ,6,FALSE)+SUM(_xlfn.XLOOKUP(R51:AF51,增益!$A:$A,增益!$F:$F,0)))/100)</f>
        <v>0.194</v>
      </c>
      <c r="AQ51" s="32" cm="1">
        <f t="array" ref="AQ51">$G$10+VLOOKUP($Q51,武学奇术!$A:$ZZ,7,FALSE)+SUM(_xlfn.XLOOKUP(R51:AF51,增益!$A:$A,增益!$G:$G,0))</f>
        <v>0</v>
      </c>
      <c r="AR51" s="26" cm="1">
        <f t="array" ref="AR51">VLOOKUP($Q51,武学奇术!$A:$ZZ,8,FALSE)+SUM(_xlfn.XLOOKUP(R51:AF51,增益!$A:$A,增益!$H:$H,0))</f>
        <v>0</v>
      </c>
      <c r="AS51">
        <f t="shared" si="1"/>
        <v>0</v>
      </c>
      <c r="AT51">
        <f t="shared" si="2"/>
        <v>0</v>
      </c>
      <c r="AU51" s="32" cm="1">
        <f t="array" ref="AU51">IF($F$11-$I$4+VLOOKUP($Q51,武学奇术!$A:$ZZ,9,FALSE)+SUM(_xlfn.XLOOKUP(R51:AF51,增益!$A:$A,增益!$I:$I,0))&gt;0,($F$11-$I$4+VLOOKUP($Q51,武学奇术!$A:$ZZ,9,FALSE)+SUM(_xlfn.XLOOKUP(R51:AF51,增益!$A:$A,增益!$I:$I,0)))/200,($F$11-$I$4+VLOOKUP($Q51,武学奇术!$A:$ZZ,9,FALSE)+SUM(_xlfn.XLOOKUP(R51:AF51,增益!$A:$A,增益!$I:$I,0)))/100)</f>
        <v>-0.3</v>
      </c>
      <c r="AV51" s="32" cm="1">
        <f t="array" ref="AV51">$G$11+VLOOKUP($Q51,武学奇术!$A:$ZZ,10,FALSE)+SUM(_xlfn.XLOOKUP(R51:AF51,增益!$A:$A,增益!$J:$J,0))</f>
        <v>0</v>
      </c>
      <c r="AW51">
        <f t="shared" si="3"/>
        <v>0</v>
      </c>
      <c r="AX51">
        <f t="shared" si="4"/>
        <v>0</v>
      </c>
      <c r="AY51" s="32" cm="1">
        <f t="array" ref="AY51">IF($F$12-$I$4+VLOOKUP($Q51,武学奇术!$A:$ZZ,11,FALSE)+SUM(_xlfn.XLOOKUP(R51:AF51,增益!$A:$A,增益!$K:$K,0))&gt;0,($F$12-$I$4+VLOOKUP($Q51,武学奇术!$A:$ZZ,11,FALSE)+SUM(_xlfn.XLOOKUP(R51:AF51,增益!$A:$A,增益!$K:$K,0)))/200,($F$12-$I$4+VLOOKUP($Q51,武学奇术!$A:$ZZ,11,FALSE)+SUM(_xlfn.XLOOKUP(R51:AF51,增益!$A:$A,增益!$K:$K,0)))/100)</f>
        <v>-0.3</v>
      </c>
      <c r="AZ51" s="32" cm="1">
        <f t="array" ref="AZ51">$G$12+VLOOKUP($Q51,武学奇术!$A:$ZZ,12,FALSE)+SUM(_xlfn.XLOOKUP(R51:AF51,增益!$A:$A,增益!$L:$L,0))</f>
        <v>0</v>
      </c>
      <c r="BA51">
        <f t="shared" si="5"/>
        <v>697.4</v>
      </c>
      <c r="BB51">
        <f t="shared" si="6"/>
        <v>1805</v>
      </c>
      <c r="BC51" s="32" cm="1">
        <f t="array" ref="BC51">IF($F$13-$I$4+VLOOKUP($Q51,武学奇术!$A:$ZZ,13,FALSE)+SUM(_xlfn.XLOOKUP(R51:AF51,增益!$A:$A,增益!$M:$M,0))&gt;0,($F$13-$I$4+VLOOKUP($Q51,武学奇术!$A:$ZZ,13,FALSE)+SUM(_xlfn.XLOOKUP(R51:AF51,增益!$A:$A,增益!$K:$K,0)))/200,($F$13-$I$4+VLOOKUP($Q51,武学奇术!$A:$ZZ,13,FALSE)+SUM(_xlfn.XLOOKUP(R51:AF51,增益!$A:$A,增益!$M:$M,0)))/100)</f>
        <v>0</v>
      </c>
      <c r="BD51" s="32" cm="1">
        <f t="array" ref="BD51">$G$13+VLOOKUP($Q51,武学奇术!$A:$ZZ,14,FALSE)+SUM(_xlfn.XLOOKUP(R51:AF51,增益!$A:$A,增益!$N:$N,0))</f>
        <v>0.15</v>
      </c>
      <c r="BE51">
        <f t="shared" si="7"/>
        <v>0</v>
      </c>
      <c r="BF51">
        <f t="shared" si="8"/>
        <v>0</v>
      </c>
      <c r="BG51" s="32" cm="1">
        <f t="array" ref="BG51">IF($F$14-$I$4+VLOOKUP($Q51,武学奇术!$A:$ZZ,15,FALSE)+SUM(_xlfn.XLOOKUP(R51:AF51,增益!$A:$A,增益!$O:$O,0))&gt;0,($F$14-$I$4+VLOOKUP($Q51,武学奇术!$A:$ZZ,15,FALSE)+SUM(_xlfn.XLOOKUP(R51:AF51,增益!$A:$A,增益!$O:$O,0)))/200,($F$14-$I$4+VLOOKUP($Q51,武学奇术!$A:$ZZ,15,FALSE)+SUM(_xlfn.XLOOKUP(R51:AF51,增益!$A:$A,增益!$O:$O,0)))/100)</f>
        <v>-0.3</v>
      </c>
      <c r="BH51" s="32" cm="1">
        <f t="array" ref="BH51">$G$14+VLOOKUP($Q51,武学奇术!$A:$ZZ,16,FALSE)+SUM(_xlfn.XLOOKUP(R51:AF51,增益!$A:$A,增益!$P:$P,0))</f>
        <v>0</v>
      </c>
      <c r="BI51" s="26">
        <f>MIN(IF(VLOOKUP($Q51,武学奇术!$A:$ZZ,23,FALSE)=1,100%,$B$8),100%)</f>
        <v>1</v>
      </c>
      <c r="BJ51" s="26" cm="1">
        <f t="array" ref="BJ51">IF(VLOOKUP($Q51,武学奇术!$A:$ZZ,23,FALSE)=1,100%,MIN(80%,$B$9+VLOOKUP($Q51,武学奇术!$A:$ZZ,17,FALSE)+SUM(_xlfn.XLOOKUP(R51:AF51,增益!$A:$A,增益!$Q:$Q,0)))+$B$11+SUM(_xlfn.XLOOKUP(R51:AF51,增益!$A:$A,增益!$U:$U,0)))*IF(VLOOKUP($Q51,武学奇术!$A:$ZZ,24,FALSE)=1,0,1)</f>
        <v>0.8625</v>
      </c>
      <c r="BK51" s="26" cm="1">
        <f t="array" ref="BK51">1+$B$13+VLOOKUP($Q51,武学奇术!$A:$ZZ,18,FALSE)+SUM(_xlfn.XLOOKUP(R51:AF51,增益!$A:$A,增益!$R:$R,0))</f>
        <v>1.5</v>
      </c>
      <c r="BL51" s="26" cm="1">
        <f t="array" ref="BL51">IF(VLOOKUP($Q51,武学奇术!$A:$ZZ,24,FALSE)=1,100%,MIN(40%,$B$10+VLOOKUP($Q51,武学奇术!$A:$ZZ,19,FALSE)+SUM(_xlfn.XLOOKUP(R51:AF51,增益!$A:$A,增益!$S:$S,0)))+$B$12+SUM(_xlfn.XLOOKUP(R51:AF51,增益!$A:$A,增益!$V:$V,0)))*IF(VLOOKUP($Q51,武学奇术!$A:$ZZ,23,FALSE)=1,0,1)</f>
        <v>0.0913</v>
      </c>
      <c r="BM51" s="26" cm="1">
        <f t="array" ref="BM51">1+$B$14+VLOOKUP($Q51,武学奇术!$A:$ZZ,20,FALSE)+SUM(_xlfn.XLOOKUP(R51:AF51,增益!$A:$A,增益!$T:$T,0))</f>
        <v>1.35</v>
      </c>
      <c r="BN51" s="26">
        <f t="shared" si="9"/>
        <v>0.8625</v>
      </c>
      <c r="BO51" s="26">
        <f t="shared" si="10"/>
        <v>0.0462</v>
      </c>
      <c r="BP51" s="26">
        <f>IF(VLOOKUP($Q51,武学奇术!$A:$ZZ,22,FALSE)=1,0,(1-$BI51))*(1-$BL51)</f>
        <v>0</v>
      </c>
      <c r="BQ51" s="26" cm="1">
        <f t="array" ref="BQ51">SUM(_xlfn.XLOOKUP(R51:AF51,增益!$A:$A,增益!$W:$W,0))+$I$5</f>
        <v>0.06</v>
      </c>
    </row>
    <row r="52" spans="4:69">
      <c r="K52" s="38">
        <f t="shared" si="0"/>
        <v>0</v>
      </c>
      <c r="L52" s="38">
        <f>((($AN52+$AO52)/2*$AH52+$AI52)*(1+$AP52)*(1+$AQ52)+(($AS52+$AT52)/2*IF($G$1="鸣金",$AJ52,$AH52)+IF($G$1="鸣金",$AK52*1.5,0))*(1+$AU52)*(1+$AV52)+(($AW52+$AX52)/2*IF($G$1="裂石",$AJ52,$AH52)+IF($G$1="裂石",$AK52*1.5,0))*(1+$AY52)*(1+$AZ52)+(($BA52+$BB52)/2*IF($G$1="牵丝",$AJ52,$AH52)+IF($G$1="牵丝",$AK52*1.5,0))*(1+$BC52)*(1+$BD52)+(($BE52+$BF52)/2*IF($G$1="破竹",$AJ52,$AH52)+IF($G$1="破竹",$AK52*1.5,0))*(1+$BG52)*(1+$BH52))*(1+$AL52)*$BK52*$P52*(1+IF(VLOOKUP($Q52,武学奇术!$A:$ZZ,30,FALSE)="蓄力技",#REF!,0))*(1+$BQ52)</f>
        <v>0</v>
      </c>
      <c r="M52" s="38">
        <f>(($AO52*$AH52+$AI52)*(1+$AP52)*(1+$AQ52)+($AT52*IF($G$1="鸣金",$AJ52,$AH52)+IF($G$1="鸣金",$AK52*1.5,0))*(1+$AU52)*(1+$AV52)+($AX52*IF($G$1="裂石",$AJ52,$AH52)+IF($G$1="裂石",$AK52*1.5,0))*(1+$AY52)*(1+$AZ52)+($BB52*IF($G$1="牵丝",$AJ52,$AH52)+IF($G$1="牵丝",$AK52*1.5,0))*(1+$BC52)*(1+$BD52)+($BF52*IF($G$1="破竹",$AJ52,$AH52)+IF($G$1="破竹",$AK52*1.5,0))*(1+$BG52)*(1+$BH52))*(1+$AL52)*$BM52*$P52*(1+IF(VLOOKUP($Q52,武学奇术!$A:$ZZ,30,FALSE)="蓄力技",#REF!,0))*(1+$BQ52)</f>
        <v>0</v>
      </c>
      <c r="N52" s="38">
        <f>((($AN52+$AO52)/2*$AH52+$AI52)*(1+$AP52)*(1+$AQ52)+(($AS52+$AT52)/2*IF($G$1="鸣金",$AJ52,$AH52)+IF($G$1="鸣金",$AK52*1.5,0))*(1+$AU52)*(1+$AV52)+(($AW52+$AX52)/2*IF($G$1="裂石",$AJ52,$AH52)+IF($G$1="裂石",$AK52*1.5,0))*(1+$AY52)*(1+$AZ52)+(($BA52+$BB52)/2*IF($G$1="牵丝",$AJ52,$AH52)+IF($G$1="牵丝",$AK52*1.5,0))*(1+$BC52)*(1+$BD52)+(($BE52+$BF52)/2*IF($G$1="破竹",$AJ52,$AH52)+IF($G$1="破竹",$AK52*1.5,0))*(1+$BG52)*(1+$BH52))*(1+$AL52)*$P52*(1+IF(VLOOKUP($Q52,武学奇术!$A:$ZZ,30,FALSE)="蓄力技",#REF!,0))*(1+$BQ52)</f>
        <v>0</v>
      </c>
      <c r="O52" s="38">
        <f>((($AN52*$AH52+$AI52)*(1+$AP52)*(1+$AQ52)+($AS52*IF($G$1="鸣金",$AJ52,$AH52)+IF($G$1="鸣金",$AK52*1.5,0))*(1+$AU52)*(1+$AV52)+($AW52*IF($G$1="裂石",$AJ52,$AH52)+IF($G$1="裂石",$AK52*1.5,0))*(1+$AY52)*(1+$AZ52)+($BA52*IF($G$1="牵丝",$AJ52,$AH52)+IF($G$1="牵丝",$AK52*1.5,0))*(1+$BC52)*(1+$BD52)+($BE52*IF($G$1="破竹",$AJ52,$AH52)+IF($G$1="破竹",$AK52*1.5,0))*(1+$BG52)*(1+$BH52))*(1+$AL52))*$P52*(1+IF(VLOOKUP($Q52,武学奇术!$A:$ZZ,30,FALSE)="蓄力技",#REF!,0))*(1+$BQ52)</f>
        <v>0</v>
      </c>
      <c r="P52" s="39">
        <v>1</v>
      </c>
      <c r="Q52" s="40" t="s">
        <v>76</v>
      </c>
      <c r="R52" s="40" t="s">
        <v>76</v>
      </c>
      <c r="S52" s="40" t="s">
        <v>76</v>
      </c>
      <c r="T52" s="40" t="s">
        <v>76</v>
      </c>
      <c r="U52" s="40" t="s">
        <v>76</v>
      </c>
      <c r="V52" s="40" t="s">
        <v>76</v>
      </c>
      <c r="W52" s="40" t="s">
        <v>76</v>
      </c>
      <c r="X52" s="40" t="s">
        <v>76</v>
      </c>
      <c r="Y52" s="40" t="s">
        <v>76</v>
      </c>
      <c r="Z52" s="40" t="s">
        <v>76</v>
      </c>
      <c r="AA52" s="40" t="s">
        <v>76</v>
      </c>
      <c r="AB52" s="40" t="s">
        <v>76</v>
      </c>
      <c r="AC52" s="40" t="s">
        <v>76</v>
      </c>
      <c r="AD52" s="40" t="s">
        <v>76</v>
      </c>
      <c r="AE52" s="40" t="s">
        <v>76</v>
      </c>
      <c r="AF52" s="40" t="s">
        <v>76</v>
      </c>
      <c r="AG52" t="str">
        <f>VLOOKUP($Q52,武学奇术!$A:$ZZ,25,FALSE)</f>
        <v>心法</v>
      </c>
      <c r="AH52" s="26">
        <f>VLOOKUP($Q52,武学奇术!$A:$ZZ,26,FALSE)</f>
        <v>0</v>
      </c>
      <c r="AI52" s="27">
        <f>VLOOKUP($Q52,武学奇术!$A:$ZZ,27,FALSE)*(1+IF(OR($AG52=$F$4,$AG52=$F$5),$B$21,0))</f>
        <v>0</v>
      </c>
      <c r="AJ52" s="26">
        <f>VLOOKUP($Q52,武学奇术!$A:$ZZ,28,FALSE)</f>
        <v>0</v>
      </c>
      <c r="AK52" s="27">
        <f>VLOOKUP($Q52,武学奇术!$A:$ZZ,29,FALSE)*(1+IF(OR($AG52=$F$4,$AG52=$F$5),$B$21,0))</f>
        <v>0</v>
      </c>
      <c r="AL52" s="26" cm="1">
        <f t="array" ref="AL52">$G$3+IFERROR(VLOOKUP($AG52,$F$4:$G$7,2,FALSE),0)+VLOOKUP($Q52,武学奇术!$A:$ZZ,2,FALSE)+SUM(_xlfn.XLOOKUP($R52:$AF52,增益!$A:$A,增益!$B:$B,0))</f>
        <v>0.1842</v>
      </c>
      <c r="AM52" s="26" cm="1">
        <f t="array" ref="AM52">VLOOKUP($Q52,武学奇术!$A:$ZZ,5,FALSE)+SUM(_xlfn.XLOOKUP($R52:$AF52,增益!$A:$A,增益!$E:$E,0))</f>
        <v>0</v>
      </c>
      <c r="AN52" cm="1">
        <f t="array" ref="AN52">$D$10*(1+$AM52)+VLOOKUP($Q52,武学奇术!$A:$ZZ,3,FALSE)+SUM(_xlfn.XLOOKUP($R52:$AF52,增益!$A:$A,增益!$C:$C,0))-$I$2</f>
        <v>3940</v>
      </c>
      <c r="AO52" cm="1">
        <f t="array" ref="AO52">$E$10*(1+$AM52)+VLOOKUP($Q52,武学奇术!$A:$ZZ,4,FALSE)+SUM(_xlfn.XLOOKUP($R52:$AF52,增益!$A:$A,增益!$D:$D,0))-$I$2</f>
        <v>3940</v>
      </c>
      <c r="AP52" s="32" cm="1">
        <f t="array" ref="AP52">IF($F$10-$I$3+VLOOKUP($Q52,武学奇术!$A:$ZZ,6,FALSE)+SUM(_xlfn.XLOOKUP(R52:AF52,增益!$A:$A,增益!$F:$F,0))&gt;0,($F$10-$I$3+VLOOKUP($Q52,武学奇术!$A:$ZZ,6,FALSE)+SUM(_xlfn.XLOOKUP(R52:AF52,增益!$A:$A,增益!$F:$F,0)))/200,($F$10-$I$3+VLOOKUP($Q52,武学奇术!$A:$ZZ,6,FALSE)+SUM(_xlfn.XLOOKUP(R52:AF52,增益!$A:$A,增益!$F:$F,0)))/100)</f>
        <v>0.194</v>
      </c>
      <c r="AQ52" s="32" cm="1">
        <f t="array" ref="AQ52">$G$10+VLOOKUP($Q52,武学奇术!$A:$ZZ,7,FALSE)+SUM(_xlfn.XLOOKUP(R52:AF52,增益!$A:$A,增益!$G:$G,0))</f>
        <v>0</v>
      </c>
      <c r="AR52" s="26" cm="1">
        <f t="array" ref="AR52">VLOOKUP($Q52,武学奇术!$A:$ZZ,8,FALSE)+SUM(_xlfn.XLOOKUP(R52:AF52,增益!$A:$A,增益!$H:$H,0))</f>
        <v>0</v>
      </c>
      <c r="AS52">
        <f t="shared" si="1"/>
        <v>0</v>
      </c>
      <c r="AT52">
        <f t="shared" si="2"/>
        <v>0</v>
      </c>
      <c r="AU52" s="32" cm="1">
        <f t="array" ref="AU52">IF($F$11-$I$4+VLOOKUP($Q52,武学奇术!$A:$ZZ,9,FALSE)+SUM(_xlfn.XLOOKUP(R52:AF52,增益!$A:$A,增益!$I:$I,0))&gt;0,($F$11-$I$4+VLOOKUP($Q52,武学奇术!$A:$ZZ,9,FALSE)+SUM(_xlfn.XLOOKUP(R52:AF52,增益!$A:$A,增益!$I:$I,0)))/200,($F$11-$I$4+VLOOKUP($Q52,武学奇术!$A:$ZZ,9,FALSE)+SUM(_xlfn.XLOOKUP(R52:AF52,增益!$A:$A,增益!$I:$I,0)))/100)</f>
        <v>-0.3</v>
      </c>
      <c r="AV52" s="32" cm="1">
        <f t="array" ref="AV52">$G$11+VLOOKUP($Q52,武学奇术!$A:$ZZ,10,FALSE)+SUM(_xlfn.XLOOKUP(R52:AF52,增益!$A:$A,增益!$J:$J,0))</f>
        <v>0</v>
      </c>
      <c r="AW52">
        <f t="shared" si="3"/>
        <v>0</v>
      </c>
      <c r="AX52">
        <f t="shared" si="4"/>
        <v>0</v>
      </c>
      <c r="AY52" s="32" cm="1">
        <f t="array" ref="AY52">IF($F$12-$I$4+VLOOKUP($Q52,武学奇术!$A:$ZZ,11,FALSE)+SUM(_xlfn.XLOOKUP(R52:AF52,增益!$A:$A,增益!$K:$K,0))&gt;0,($F$12-$I$4+VLOOKUP($Q52,武学奇术!$A:$ZZ,11,FALSE)+SUM(_xlfn.XLOOKUP(R52:AF52,增益!$A:$A,增益!$K:$K,0)))/200,($F$12-$I$4+VLOOKUP($Q52,武学奇术!$A:$ZZ,11,FALSE)+SUM(_xlfn.XLOOKUP(R52:AF52,增益!$A:$A,增益!$K:$K,0)))/100)</f>
        <v>-0.3</v>
      </c>
      <c r="AZ52" s="32" cm="1">
        <f t="array" ref="AZ52">$G$12+VLOOKUP($Q52,武学奇术!$A:$ZZ,12,FALSE)+SUM(_xlfn.XLOOKUP(R52:AF52,增益!$A:$A,增益!$L:$L,0))</f>
        <v>0</v>
      </c>
      <c r="BA52">
        <f t="shared" si="5"/>
        <v>697.4</v>
      </c>
      <c r="BB52">
        <f t="shared" si="6"/>
        <v>1805</v>
      </c>
      <c r="BC52" s="32" cm="1">
        <f t="array" ref="BC52">IF($F$13-$I$4+VLOOKUP($Q52,武学奇术!$A:$ZZ,13,FALSE)+SUM(_xlfn.XLOOKUP(R52:AF52,增益!$A:$A,增益!$M:$M,0))&gt;0,($F$13-$I$4+VLOOKUP($Q52,武学奇术!$A:$ZZ,13,FALSE)+SUM(_xlfn.XLOOKUP(R52:AF52,增益!$A:$A,增益!$K:$K,0)))/200,($F$13-$I$4+VLOOKUP($Q52,武学奇术!$A:$ZZ,13,FALSE)+SUM(_xlfn.XLOOKUP(R52:AF52,增益!$A:$A,增益!$M:$M,0)))/100)</f>
        <v>0</v>
      </c>
      <c r="BD52" s="32" cm="1">
        <f t="array" ref="BD52">$G$13+VLOOKUP($Q52,武学奇术!$A:$ZZ,14,FALSE)+SUM(_xlfn.XLOOKUP(R52:AF52,增益!$A:$A,增益!$N:$N,0))</f>
        <v>0.15</v>
      </c>
      <c r="BE52">
        <f t="shared" si="7"/>
        <v>0</v>
      </c>
      <c r="BF52">
        <f t="shared" si="8"/>
        <v>0</v>
      </c>
      <c r="BG52" s="32" cm="1">
        <f t="array" ref="BG52">IF($F$14-$I$4+VLOOKUP($Q52,武学奇术!$A:$ZZ,15,FALSE)+SUM(_xlfn.XLOOKUP(R52:AF52,增益!$A:$A,增益!$O:$O,0))&gt;0,($F$14-$I$4+VLOOKUP($Q52,武学奇术!$A:$ZZ,15,FALSE)+SUM(_xlfn.XLOOKUP(R52:AF52,增益!$A:$A,增益!$O:$O,0)))/200,($F$14-$I$4+VLOOKUP($Q52,武学奇术!$A:$ZZ,15,FALSE)+SUM(_xlfn.XLOOKUP(R52:AF52,增益!$A:$A,增益!$O:$O,0)))/100)</f>
        <v>-0.3</v>
      </c>
      <c r="BH52" s="32" cm="1">
        <f t="array" ref="BH52">$G$14+VLOOKUP($Q52,武学奇术!$A:$ZZ,16,FALSE)+SUM(_xlfn.XLOOKUP(R52:AF52,增益!$A:$A,增益!$P:$P,0))</f>
        <v>0</v>
      </c>
      <c r="BI52" s="26">
        <f>MIN(IF(VLOOKUP($Q52,武学奇术!$A:$ZZ,23,FALSE)=1,100%,$B$8),100%)</f>
        <v>1</v>
      </c>
      <c r="BJ52" s="26" cm="1">
        <f t="array" ref="BJ52">IF(VLOOKUP($Q52,武学奇术!$A:$ZZ,23,FALSE)=1,100%,MIN(80%,$B$9+VLOOKUP($Q52,武学奇术!$A:$ZZ,17,FALSE)+SUM(_xlfn.XLOOKUP(R52:AF52,增益!$A:$A,增益!$Q:$Q,0)))+$B$11+SUM(_xlfn.XLOOKUP(R52:AF52,增益!$A:$A,增益!$U:$U,0)))*IF(VLOOKUP($Q52,武学奇术!$A:$ZZ,24,FALSE)=1,0,1)</f>
        <v>0.8625</v>
      </c>
      <c r="BK52" s="26" cm="1">
        <f t="array" ref="BK52">1+$B$13+VLOOKUP($Q52,武学奇术!$A:$ZZ,18,FALSE)+SUM(_xlfn.XLOOKUP(R52:AF52,增益!$A:$A,增益!$R:$R,0))</f>
        <v>1.5</v>
      </c>
      <c r="BL52" s="26" cm="1">
        <f t="array" ref="BL52">IF(VLOOKUP($Q52,武学奇术!$A:$ZZ,24,FALSE)=1,100%,MIN(40%,$B$10+VLOOKUP($Q52,武学奇术!$A:$ZZ,19,FALSE)+SUM(_xlfn.XLOOKUP(R52:AF52,增益!$A:$A,增益!$S:$S,0)))+$B$12+SUM(_xlfn.XLOOKUP(R52:AF52,增益!$A:$A,增益!$V:$V,0)))*IF(VLOOKUP($Q52,武学奇术!$A:$ZZ,23,FALSE)=1,0,1)</f>
        <v>0.0913</v>
      </c>
      <c r="BM52" s="26" cm="1">
        <f t="array" ref="BM52">1+$B$14+VLOOKUP($Q52,武学奇术!$A:$ZZ,20,FALSE)+SUM(_xlfn.XLOOKUP(R52:AF52,增益!$A:$A,增益!$T:$T,0))</f>
        <v>1.35</v>
      </c>
      <c r="BN52" s="26">
        <f t="shared" si="9"/>
        <v>0.8625</v>
      </c>
      <c r="BO52" s="26">
        <f t="shared" si="10"/>
        <v>0.0462</v>
      </c>
      <c r="BP52" s="26">
        <f>IF(VLOOKUP($Q52,武学奇术!$A:$ZZ,22,FALSE)=1,0,(1-$BI52))*(1-$BL52)</f>
        <v>0</v>
      </c>
      <c r="BQ52" s="26" cm="1">
        <f t="array" ref="BQ52">SUM(_xlfn.XLOOKUP(R52:AF52,增益!$A:$A,增益!$W:$W,0))+$I$5</f>
        <v>0.06</v>
      </c>
    </row>
    <row r="53" spans="4:69">
      <c r="K53" s="38">
        <f t="shared" si="0"/>
        <v>0</v>
      </c>
      <c r="L53" s="38">
        <f>((($AN53+$AO53)/2*$AH53+$AI53)*(1+$AP53)*(1+$AQ53)+(($AS53+$AT53)/2*IF($G$1="鸣金",$AJ53,$AH53)+IF($G$1="鸣金",$AK53*1.5,0))*(1+$AU53)*(1+$AV53)+(($AW53+$AX53)/2*IF($G$1="裂石",$AJ53,$AH53)+IF($G$1="裂石",$AK53*1.5,0))*(1+$AY53)*(1+$AZ53)+(($BA53+$BB53)/2*IF($G$1="牵丝",$AJ53,$AH53)+IF($G$1="牵丝",$AK53*1.5,0))*(1+$BC53)*(1+$BD53)+(($BE53+$BF53)/2*IF($G$1="破竹",$AJ53,$AH53)+IF($G$1="破竹",$AK53*1.5,0))*(1+$BG53)*(1+$BH53))*(1+$AL53)*$BK53*$P53*(1+IF(VLOOKUP($Q53,武学奇术!$A:$ZZ,30,FALSE)="蓄力技",#REF!,0))*(1+$BQ53)</f>
        <v>0</v>
      </c>
      <c r="M53" s="38">
        <f>(($AO53*$AH53+$AI53)*(1+$AP53)*(1+$AQ53)+($AT53*IF($G$1="鸣金",$AJ53,$AH53)+IF($G$1="鸣金",$AK53*1.5,0))*(1+$AU53)*(1+$AV53)+($AX53*IF($G$1="裂石",$AJ53,$AH53)+IF($G$1="裂石",$AK53*1.5,0))*(1+$AY53)*(1+$AZ53)+($BB53*IF($G$1="牵丝",$AJ53,$AH53)+IF($G$1="牵丝",$AK53*1.5,0))*(1+$BC53)*(1+$BD53)+($BF53*IF($G$1="破竹",$AJ53,$AH53)+IF($G$1="破竹",$AK53*1.5,0))*(1+$BG53)*(1+$BH53))*(1+$AL53)*$BM53*$P53*(1+IF(VLOOKUP($Q53,武学奇术!$A:$ZZ,30,FALSE)="蓄力技",#REF!,0))*(1+$BQ53)</f>
        <v>0</v>
      </c>
      <c r="N53" s="38">
        <f>((($AN53+$AO53)/2*$AH53+$AI53)*(1+$AP53)*(1+$AQ53)+(($AS53+$AT53)/2*IF($G$1="鸣金",$AJ53,$AH53)+IF($G$1="鸣金",$AK53*1.5,0))*(1+$AU53)*(1+$AV53)+(($AW53+$AX53)/2*IF($G$1="裂石",$AJ53,$AH53)+IF($G$1="裂石",$AK53*1.5,0))*(1+$AY53)*(1+$AZ53)+(($BA53+$BB53)/2*IF($G$1="牵丝",$AJ53,$AH53)+IF($G$1="牵丝",$AK53*1.5,0))*(1+$BC53)*(1+$BD53)+(($BE53+$BF53)/2*IF($G$1="破竹",$AJ53,$AH53)+IF($G$1="破竹",$AK53*1.5,0))*(1+$BG53)*(1+$BH53))*(1+$AL53)*$P53*(1+IF(VLOOKUP($Q53,武学奇术!$A:$ZZ,30,FALSE)="蓄力技",#REF!,0))*(1+$BQ53)</f>
        <v>0</v>
      </c>
      <c r="O53" s="38">
        <f>((($AN53*$AH53+$AI53)*(1+$AP53)*(1+$AQ53)+($AS53*IF($G$1="鸣金",$AJ53,$AH53)+IF($G$1="鸣金",$AK53*1.5,0))*(1+$AU53)*(1+$AV53)+($AW53*IF($G$1="裂石",$AJ53,$AH53)+IF($G$1="裂石",$AK53*1.5,0))*(1+$AY53)*(1+$AZ53)+($BA53*IF($G$1="牵丝",$AJ53,$AH53)+IF($G$1="牵丝",$AK53*1.5,0))*(1+$BC53)*(1+$BD53)+($BE53*IF($G$1="破竹",$AJ53,$AH53)+IF($G$1="破竹",$AK53*1.5,0))*(1+$BG53)*(1+$BH53))*(1+$AL53))*$P53*(1+IF(VLOOKUP($Q53,武学奇术!$A:$ZZ,30,FALSE)="蓄力技",#REF!,0))*(1+$BQ53)</f>
        <v>0</v>
      </c>
      <c r="P53" s="39">
        <v>1</v>
      </c>
      <c r="Q53" s="40" t="s">
        <v>76</v>
      </c>
      <c r="R53" s="40" t="s">
        <v>76</v>
      </c>
      <c r="S53" s="40" t="s">
        <v>76</v>
      </c>
      <c r="T53" s="40" t="s">
        <v>76</v>
      </c>
      <c r="U53" s="40" t="s">
        <v>76</v>
      </c>
      <c r="V53" s="40" t="s">
        <v>76</v>
      </c>
      <c r="W53" s="40" t="s">
        <v>76</v>
      </c>
      <c r="X53" s="40" t="s">
        <v>76</v>
      </c>
      <c r="Y53" s="40" t="s">
        <v>76</v>
      </c>
      <c r="Z53" s="40" t="s">
        <v>76</v>
      </c>
      <c r="AA53" s="40" t="s">
        <v>76</v>
      </c>
      <c r="AB53" s="40" t="s">
        <v>76</v>
      </c>
      <c r="AC53" s="40" t="s">
        <v>76</v>
      </c>
      <c r="AD53" s="40" t="s">
        <v>76</v>
      </c>
      <c r="AE53" s="40" t="s">
        <v>76</v>
      </c>
      <c r="AF53" s="40" t="s">
        <v>76</v>
      </c>
      <c r="AG53" t="str">
        <f>VLOOKUP($Q53,武学奇术!$A:$ZZ,25,FALSE)</f>
        <v>心法</v>
      </c>
      <c r="AH53" s="26">
        <f>VLOOKUP($Q53,武学奇术!$A:$ZZ,26,FALSE)</f>
        <v>0</v>
      </c>
      <c r="AI53" s="27">
        <f>VLOOKUP($Q53,武学奇术!$A:$ZZ,27,FALSE)*(1+IF(OR($AG53=$F$4,$AG53=$F$5),$B$21,0))</f>
        <v>0</v>
      </c>
      <c r="AJ53" s="26">
        <f>VLOOKUP($Q53,武学奇术!$A:$ZZ,28,FALSE)</f>
        <v>0</v>
      </c>
      <c r="AK53" s="27">
        <f>VLOOKUP($Q53,武学奇术!$A:$ZZ,29,FALSE)*(1+IF(OR($AG53=$F$4,$AG53=$F$5),$B$21,0))</f>
        <v>0</v>
      </c>
      <c r="AL53" s="26" cm="1">
        <f t="array" ref="AL53">$G$3+IFERROR(VLOOKUP($AG53,$F$4:$G$7,2,FALSE),0)+VLOOKUP($Q53,武学奇术!$A:$ZZ,2,FALSE)+SUM(_xlfn.XLOOKUP($R53:$AF53,增益!$A:$A,增益!$B:$B,0))</f>
        <v>0.1842</v>
      </c>
      <c r="AM53" s="26" cm="1">
        <f t="array" ref="AM53">VLOOKUP($Q53,武学奇术!$A:$ZZ,5,FALSE)+SUM(_xlfn.XLOOKUP($R53:$AF53,增益!$A:$A,增益!$E:$E,0))</f>
        <v>0</v>
      </c>
      <c r="AN53" cm="1">
        <f t="array" ref="AN53">$D$10*(1+$AM53)+VLOOKUP($Q53,武学奇术!$A:$ZZ,3,FALSE)+SUM(_xlfn.XLOOKUP($R53:$AF53,增益!$A:$A,增益!$C:$C,0))-$I$2</f>
        <v>3940</v>
      </c>
      <c r="AO53" cm="1">
        <f t="array" ref="AO53">$E$10*(1+$AM53)+VLOOKUP($Q53,武学奇术!$A:$ZZ,4,FALSE)+SUM(_xlfn.XLOOKUP($R53:$AF53,增益!$A:$A,增益!$D:$D,0))-$I$2</f>
        <v>3940</v>
      </c>
      <c r="AP53" s="32" cm="1">
        <f t="array" ref="AP53">IF($F$10-$I$3+VLOOKUP($Q53,武学奇术!$A:$ZZ,6,FALSE)+SUM(_xlfn.XLOOKUP(R53:AF53,增益!$A:$A,增益!$F:$F,0))&gt;0,($F$10-$I$3+VLOOKUP($Q53,武学奇术!$A:$ZZ,6,FALSE)+SUM(_xlfn.XLOOKUP(R53:AF53,增益!$A:$A,增益!$F:$F,0)))/200,($F$10-$I$3+VLOOKUP($Q53,武学奇术!$A:$ZZ,6,FALSE)+SUM(_xlfn.XLOOKUP(R53:AF53,增益!$A:$A,增益!$F:$F,0)))/100)</f>
        <v>0.194</v>
      </c>
      <c r="AQ53" s="32" cm="1">
        <f t="array" ref="AQ53">$G$10+VLOOKUP($Q53,武学奇术!$A:$ZZ,7,FALSE)+SUM(_xlfn.XLOOKUP(R53:AF53,增益!$A:$A,增益!$G:$G,0))</f>
        <v>0</v>
      </c>
      <c r="AR53" s="26" cm="1">
        <f t="array" ref="AR53">VLOOKUP($Q53,武学奇术!$A:$ZZ,8,FALSE)+SUM(_xlfn.XLOOKUP(R53:AF53,增益!$A:$A,增益!$H:$H,0))</f>
        <v>0</v>
      </c>
      <c r="AS53">
        <f t="shared" si="1"/>
        <v>0</v>
      </c>
      <c r="AT53">
        <f t="shared" si="2"/>
        <v>0</v>
      </c>
      <c r="AU53" s="32" cm="1">
        <f t="array" ref="AU53">IF($F$11-$I$4+VLOOKUP($Q53,武学奇术!$A:$ZZ,9,FALSE)+SUM(_xlfn.XLOOKUP(R53:AF53,增益!$A:$A,增益!$I:$I,0))&gt;0,($F$11-$I$4+VLOOKUP($Q53,武学奇术!$A:$ZZ,9,FALSE)+SUM(_xlfn.XLOOKUP(R53:AF53,增益!$A:$A,增益!$I:$I,0)))/200,($F$11-$I$4+VLOOKUP($Q53,武学奇术!$A:$ZZ,9,FALSE)+SUM(_xlfn.XLOOKUP(R53:AF53,增益!$A:$A,增益!$I:$I,0)))/100)</f>
        <v>-0.3</v>
      </c>
      <c r="AV53" s="32" cm="1">
        <f t="array" ref="AV53">$G$11+VLOOKUP($Q53,武学奇术!$A:$ZZ,10,FALSE)+SUM(_xlfn.XLOOKUP(R53:AF53,增益!$A:$A,增益!$J:$J,0))</f>
        <v>0</v>
      </c>
      <c r="AW53">
        <f t="shared" si="3"/>
        <v>0</v>
      </c>
      <c r="AX53">
        <f t="shared" si="4"/>
        <v>0</v>
      </c>
      <c r="AY53" s="32" cm="1">
        <f t="array" ref="AY53">IF($F$12-$I$4+VLOOKUP($Q53,武学奇术!$A:$ZZ,11,FALSE)+SUM(_xlfn.XLOOKUP(R53:AF53,增益!$A:$A,增益!$K:$K,0))&gt;0,($F$12-$I$4+VLOOKUP($Q53,武学奇术!$A:$ZZ,11,FALSE)+SUM(_xlfn.XLOOKUP(R53:AF53,增益!$A:$A,增益!$K:$K,0)))/200,($F$12-$I$4+VLOOKUP($Q53,武学奇术!$A:$ZZ,11,FALSE)+SUM(_xlfn.XLOOKUP(R53:AF53,增益!$A:$A,增益!$K:$K,0)))/100)</f>
        <v>-0.3</v>
      </c>
      <c r="AZ53" s="32" cm="1">
        <f t="array" ref="AZ53">$G$12+VLOOKUP($Q53,武学奇术!$A:$ZZ,12,FALSE)+SUM(_xlfn.XLOOKUP(R53:AF53,增益!$A:$A,增益!$L:$L,0))</f>
        <v>0</v>
      </c>
      <c r="BA53">
        <f t="shared" si="5"/>
        <v>697.4</v>
      </c>
      <c r="BB53">
        <f t="shared" si="6"/>
        <v>1805</v>
      </c>
      <c r="BC53" s="32" cm="1">
        <f t="array" ref="BC53">IF($F$13-$I$4+VLOOKUP($Q53,武学奇术!$A:$ZZ,13,FALSE)+SUM(_xlfn.XLOOKUP(R53:AF53,增益!$A:$A,增益!$M:$M,0))&gt;0,($F$13-$I$4+VLOOKUP($Q53,武学奇术!$A:$ZZ,13,FALSE)+SUM(_xlfn.XLOOKUP(R53:AF53,增益!$A:$A,增益!$K:$K,0)))/200,($F$13-$I$4+VLOOKUP($Q53,武学奇术!$A:$ZZ,13,FALSE)+SUM(_xlfn.XLOOKUP(R53:AF53,增益!$A:$A,增益!$M:$M,0)))/100)</f>
        <v>0</v>
      </c>
      <c r="BD53" s="32" cm="1">
        <f t="array" ref="BD53">$G$13+VLOOKUP($Q53,武学奇术!$A:$ZZ,14,FALSE)+SUM(_xlfn.XLOOKUP(R53:AF53,增益!$A:$A,增益!$N:$N,0))</f>
        <v>0.15</v>
      </c>
      <c r="BE53">
        <f t="shared" si="7"/>
        <v>0</v>
      </c>
      <c r="BF53">
        <f t="shared" si="8"/>
        <v>0</v>
      </c>
      <c r="BG53" s="32" cm="1">
        <f t="array" ref="BG53">IF($F$14-$I$4+VLOOKUP($Q53,武学奇术!$A:$ZZ,15,FALSE)+SUM(_xlfn.XLOOKUP(R53:AF53,增益!$A:$A,增益!$O:$O,0))&gt;0,($F$14-$I$4+VLOOKUP($Q53,武学奇术!$A:$ZZ,15,FALSE)+SUM(_xlfn.XLOOKUP(R53:AF53,增益!$A:$A,增益!$O:$O,0)))/200,($F$14-$I$4+VLOOKUP($Q53,武学奇术!$A:$ZZ,15,FALSE)+SUM(_xlfn.XLOOKUP(R53:AF53,增益!$A:$A,增益!$O:$O,0)))/100)</f>
        <v>-0.3</v>
      </c>
      <c r="BH53" s="32" cm="1">
        <f t="array" ref="BH53">$G$14+VLOOKUP($Q53,武学奇术!$A:$ZZ,16,FALSE)+SUM(_xlfn.XLOOKUP(R53:AF53,增益!$A:$A,增益!$P:$P,0))</f>
        <v>0</v>
      </c>
      <c r="BI53" s="26">
        <f>MIN(IF(VLOOKUP($Q53,武学奇术!$A:$ZZ,23,FALSE)=1,100%,$B$8),100%)</f>
        <v>1</v>
      </c>
      <c r="BJ53" s="26" cm="1">
        <f t="array" ref="BJ53">IF(VLOOKUP($Q53,武学奇术!$A:$ZZ,23,FALSE)=1,100%,MIN(80%,$B$9+VLOOKUP($Q53,武学奇术!$A:$ZZ,17,FALSE)+SUM(_xlfn.XLOOKUP(R53:AF53,增益!$A:$A,增益!$Q:$Q,0)))+$B$11+SUM(_xlfn.XLOOKUP(R53:AF53,增益!$A:$A,增益!$U:$U,0)))*IF(VLOOKUP($Q53,武学奇术!$A:$ZZ,24,FALSE)=1,0,1)</f>
        <v>0.8625</v>
      </c>
      <c r="BK53" s="26" cm="1">
        <f t="array" ref="BK53">1+$B$13+VLOOKUP($Q53,武学奇术!$A:$ZZ,18,FALSE)+SUM(_xlfn.XLOOKUP(R53:AF53,增益!$A:$A,增益!$R:$R,0))</f>
        <v>1.5</v>
      </c>
      <c r="BL53" s="26" cm="1">
        <f t="array" ref="BL53">IF(VLOOKUP($Q53,武学奇术!$A:$ZZ,24,FALSE)=1,100%,MIN(40%,$B$10+VLOOKUP($Q53,武学奇术!$A:$ZZ,19,FALSE)+SUM(_xlfn.XLOOKUP(R53:AF53,增益!$A:$A,增益!$S:$S,0)))+$B$12+SUM(_xlfn.XLOOKUP(R53:AF53,增益!$A:$A,增益!$V:$V,0)))*IF(VLOOKUP($Q53,武学奇术!$A:$ZZ,23,FALSE)=1,0,1)</f>
        <v>0.0913</v>
      </c>
      <c r="BM53" s="26" cm="1">
        <f t="array" ref="BM53">1+$B$14+VLOOKUP($Q53,武学奇术!$A:$ZZ,20,FALSE)+SUM(_xlfn.XLOOKUP(R53:AF53,增益!$A:$A,增益!$T:$T,0))</f>
        <v>1.35</v>
      </c>
      <c r="BN53" s="26">
        <f t="shared" si="9"/>
        <v>0.8625</v>
      </c>
      <c r="BO53" s="26">
        <f t="shared" si="10"/>
        <v>0.0462</v>
      </c>
      <c r="BP53" s="26">
        <f>IF(VLOOKUP($Q53,武学奇术!$A:$ZZ,22,FALSE)=1,0,(1-$BI53))*(1-$BL53)</f>
        <v>0</v>
      </c>
      <c r="BQ53" s="26" cm="1">
        <f t="array" ref="BQ53">SUM(_xlfn.XLOOKUP(R53:AF53,增益!$A:$A,增益!$W:$W,0))+$I$5</f>
        <v>0.06</v>
      </c>
    </row>
    <row r="54" spans="4:69">
      <c r="K54" s="38">
        <f t="shared" si="0"/>
        <v>0</v>
      </c>
      <c r="L54" s="38">
        <f>((($AN54+$AO54)/2*$AH54+$AI54)*(1+$AP54)*(1+$AQ54)+(($AS54+$AT54)/2*IF($G$1="鸣金",$AJ54,$AH54)+IF($G$1="鸣金",$AK54*1.5,0))*(1+$AU54)*(1+$AV54)+(($AW54+$AX54)/2*IF($G$1="裂石",$AJ54,$AH54)+IF($G$1="裂石",$AK54*1.5,0))*(1+$AY54)*(1+$AZ54)+(($BA54+$BB54)/2*IF($G$1="牵丝",$AJ54,$AH54)+IF($G$1="牵丝",$AK54*1.5,0))*(1+$BC54)*(1+$BD54)+(($BE54+$BF54)/2*IF($G$1="破竹",$AJ54,$AH54)+IF($G$1="破竹",$AK54*1.5,0))*(1+$BG54)*(1+$BH54))*(1+$AL54)*$BK54*$P54*(1+IF(VLOOKUP($Q54,武学奇术!$A:$ZZ,30,FALSE)="蓄力技",#REF!,0))*(1+$BQ54)</f>
        <v>0</v>
      </c>
      <c r="M54" s="38">
        <f>(($AO54*$AH54+$AI54)*(1+$AP54)*(1+$AQ54)+($AT54*IF($G$1="鸣金",$AJ54,$AH54)+IF($G$1="鸣金",$AK54*1.5,0))*(1+$AU54)*(1+$AV54)+($AX54*IF($G$1="裂石",$AJ54,$AH54)+IF($G$1="裂石",$AK54*1.5,0))*(1+$AY54)*(1+$AZ54)+($BB54*IF($G$1="牵丝",$AJ54,$AH54)+IF($G$1="牵丝",$AK54*1.5,0))*(1+$BC54)*(1+$BD54)+($BF54*IF($G$1="破竹",$AJ54,$AH54)+IF($G$1="破竹",$AK54*1.5,0))*(1+$BG54)*(1+$BH54))*(1+$AL54)*$BM54*$P54*(1+IF(VLOOKUP($Q54,武学奇术!$A:$ZZ,30,FALSE)="蓄力技",#REF!,0))*(1+$BQ54)</f>
        <v>0</v>
      </c>
      <c r="N54" s="38">
        <f>((($AN54+$AO54)/2*$AH54+$AI54)*(1+$AP54)*(1+$AQ54)+(($AS54+$AT54)/2*IF($G$1="鸣金",$AJ54,$AH54)+IF($G$1="鸣金",$AK54*1.5,0))*(1+$AU54)*(1+$AV54)+(($AW54+$AX54)/2*IF($G$1="裂石",$AJ54,$AH54)+IF($G$1="裂石",$AK54*1.5,0))*(1+$AY54)*(1+$AZ54)+(($BA54+$BB54)/2*IF($G$1="牵丝",$AJ54,$AH54)+IF($G$1="牵丝",$AK54*1.5,0))*(1+$BC54)*(1+$BD54)+(($BE54+$BF54)/2*IF($G$1="破竹",$AJ54,$AH54)+IF($G$1="破竹",$AK54*1.5,0))*(1+$BG54)*(1+$BH54))*(1+$AL54)*$P54*(1+IF(VLOOKUP($Q54,武学奇术!$A:$ZZ,30,FALSE)="蓄力技",#REF!,0))*(1+$BQ54)</f>
        <v>0</v>
      </c>
      <c r="O54" s="38">
        <f>((($AN54*$AH54+$AI54)*(1+$AP54)*(1+$AQ54)+($AS54*IF($G$1="鸣金",$AJ54,$AH54)+IF($G$1="鸣金",$AK54*1.5,0))*(1+$AU54)*(1+$AV54)+($AW54*IF($G$1="裂石",$AJ54,$AH54)+IF($G$1="裂石",$AK54*1.5,0))*(1+$AY54)*(1+$AZ54)+($BA54*IF($G$1="牵丝",$AJ54,$AH54)+IF($G$1="牵丝",$AK54*1.5,0))*(1+$BC54)*(1+$BD54)+($BE54*IF($G$1="破竹",$AJ54,$AH54)+IF($G$1="破竹",$AK54*1.5,0))*(1+$BG54)*(1+$BH54))*(1+$AL54))*$P54*(1+IF(VLOOKUP($Q54,武学奇术!$A:$ZZ,30,FALSE)="蓄力技",#REF!,0))*(1+$BQ54)</f>
        <v>0</v>
      </c>
      <c r="P54" s="39">
        <v>1</v>
      </c>
      <c r="Q54" s="40" t="s">
        <v>76</v>
      </c>
      <c r="R54" s="40" t="s">
        <v>76</v>
      </c>
      <c r="S54" s="40" t="s">
        <v>76</v>
      </c>
      <c r="T54" s="40" t="s">
        <v>76</v>
      </c>
      <c r="U54" s="40" t="s">
        <v>76</v>
      </c>
      <c r="V54" s="40" t="s">
        <v>76</v>
      </c>
      <c r="W54" s="40" t="s">
        <v>76</v>
      </c>
      <c r="X54" s="40" t="s">
        <v>76</v>
      </c>
      <c r="Y54" s="40" t="s">
        <v>76</v>
      </c>
      <c r="Z54" s="40" t="s">
        <v>76</v>
      </c>
      <c r="AA54" s="40" t="s">
        <v>76</v>
      </c>
      <c r="AB54" s="40" t="s">
        <v>76</v>
      </c>
      <c r="AC54" s="40" t="s">
        <v>76</v>
      </c>
      <c r="AD54" s="40" t="s">
        <v>76</v>
      </c>
      <c r="AE54" s="40" t="s">
        <v>76</v>
      </c>
      <c r="AF54" s="40" t="s">
        <v>76</v>
      </c>
      <c r="AG54" t="str">
        <f>VLOOKUP($Q54,武学奇术!$A:$ZZ,25,FALSE)</f>
        <v>心法</v>
      </c>
      <c r="AH54" s="26">
        <f>VLOOKUP($Q54,武学奇术!$A:$ZZ,26,FALSE)</f>
        <v>0</v>
      </c>
      <c r="AI54" s="27">
        <f>VLOOKUP($Q54,武学奇术!$A:$ZZ,27,FALSE)*(1+IF(OR($AG54=$F$4,$AG54=$F$5),$B$21,0))</f>
        <v>0</v>
      </c>
      <c r="AJ54" s="26">
        <f>VLOOKUP($Q54,武学奇术!$A:$ZZ,28,FALSE)</f>
        <v>0</v>
      </c>
      <c r="AK54" s="27">
        <f>VLOOKUP($Q54,武学奇术!$A:$ZZ,29,FALSE)*(1+IF(OR($AG54=$F$4,$AG54=$F$5),$B$21,0))</f>
        <v>0</v>
      </c>
      <c r="AL54" s="26" cm="1">
        <f t="array" ref="AL54">$G$3+IFERROR(VLOOKUP($AG54,$F$4:$G$7,2,FALSE),0)+VLOOKUP($Q54,武学奇术!$A:$ZZ,2,FALSE)+SUM(_xlfn.XLOOKUP($R54:$AF54,增益!$A:$A,增益!$B:$B,0))</f>
        <v>0.1842</v>
      </c>
      <c r="AM54" s="26" cm="1">
        <f t="array" ref="AM54">VLOOKUP($Q54,武学奇术!$A:$ZZ,5,FALSE)+SUM(_xlfn.XLOOKUP($R54:$AF54,增益!$A:$A,增益!$E:$E,0))</f>
        <v>0</v>
      </c>
      <c r="AN54" cm="1">
        <f t="array" ref="AN54">$D$10*(1+$AM54)+VLOOKUP($Q54,武学奇术!$A:$ZZ,3,FALSE)+SUM(_xlfn.XLOOKUP($R54:$AF54,增益!$A:$A,增益!$C:$C,0))-$I$2</f>
        <v>3940</v>
      </c>
      <c r="AO54" cm="1">
        <f t="array" ref="AO54">$E$10*(1+$AM54)+VLOOKUP($Q54,武学奇术!$A:$ZZ,4,FALSE)+SUM(_xlfn.XLOOKUP($R54:$AF54,增益!$A:$A,增益!$D:$D,0))-$I$2</f>
        <v>3940</v>
      </c>
      <c r="AP54" s="32" cm="1">
        <f t="array" ref="AP54">IF($F$10-$I$3+VLOOKUP($Q54,武学奇术!$A:$ZZ,6,FALSE)+SUM(_xlfn.XLOOKUP(R54:AF54,增益!$A:$A,增益!$F:$F,0))&gt;0,($F$10-$I$3+VLOOKUP($Q54,武学奇术!$A:$ZZ,6,FALSE)+SUM(_xlfn.XLOOKUP(R54:AF54,增益!$A:$A,增益!$F:$F,0)))/200,($F$10-$I$3+VLOOKUP($Q54,武学奇术!$A:$ZZ,6,FALSE)+SUM(_xlfn.XLOOKUP(R54:AF54,增益!$A:$A,增益!$F:$F,0)))/100)</f>
        <v>0.194</v>
      </c>
      <c r="AQ54" s="32" cm="1">
        <f t="array" ref="AQ54">$G$10+VLOOKUP($Q54,武学奇术!$A:$ZZ,7,FALSE)+SUM(_xlfn.XLOOKUP(R54:AF54,增益!$A:$A,增益!$G:$G,0))</f>
        <v>0</v>
      </c>
      <c r="AR54" s="26" cm="1">
        <f t="array" ref="AR54">VLOOKUP($Q54,武学奇术!$A:$ZZ,8,FALSE)+SUM(_xlfn.XLOOKUP(R54:AF54,增益!$A:$A,增益!$H:$H,0))</f>
        <v>0</v>
      </c>
      <c r="AS54">
        <f t="shared" si="1"/>
        <v>0</v>
      </c>
      <c r="AT54">
        <f t="shared" si="2"/>
        <v>0</v>
      </c>
      <c r="AU54" s="32" cm="1">
        <f t="array" ref="AU54">IF($F$11-$I$4+VLOOKUP($Q54,武学奇术!$A:$ZZ,9,FALSE)+SUM(_xlfn.XLOOKUP(R54:AF54,增益!$A:$A,增益!$I:$I,0))&gt;0,($F$11-$I$4+VLOOKUP($Q54,武学奇术!$A:$ZZ,9,FALSE)+SUM(_xlfn.XLOOKUP(R54:AF54,增益!$A:$A,增益!$I:$I,0)))/200,($F$11-$I$4+VLOOKUP($Q54,武学奇术!$A:$ZZ,9,FALSE)+SUM(_xlfn.XLOOKUP(R54:AF54,增益!$A:$A,增益!$I:$I,0)))/100)</f>
        <v>-0.3</v>
      </c>
      <c r="AV54" s="32" cm="1">
        <f t="array" ref="AV54">$G$11+VLOOKUP($Q54,武学奇术!$A:$ZZ,10,FALSE)+SUM(_xlfn.XLOOKUP(R54:AF54,增益!$A:$A,增益!$J:$J,0))</f>
        <v>0</v>
      </c>
      <c r="AW54">
        <f t="shared" si="3"/>
        <v>0</v>
      </c>
      <c r="AX54">
        <f t="shared" si="4"/>
        <v>0</v>
      </c>
      <c r="AY54" s="32" cm="1">
        <f t="array" ref="AY54">IF($F$12-$I$4+VLOOKUP($Q54,武学奇术!$A:$ZZ,11,FALSE)+SUM(_xlfn.XLOOKUP(R54:AF54,增益!$A:$A,增益!$K:$K,0))&gt;0,($F$12-$I$4+VLOOKUP($Q54,武学奇术!$A:$ZZ,11,FALSE)+SUM(_xlfn.XLOOKUP(R54:AF54,增益!$A:$A,增益!$K:$K,0)))/200,($F$12-$I$4+VLOOKUP($Q54,武学奇术!$A:$ZZ,11,FALSE)+SUM(_xlfn.XLOOKUP(R54:AF54,增益!$A:$A,增益!$K:$K,0)))/100)</f>
        <v>-0.3</v>
      </c>
      <c r="AZ54" s="32" cm="1">
        <f t="array" ref="AZ54">$G$12+VLOOKUP($Q54,武学奇术!$A:$ZZ,12,FALSE)+SUM(_xlfn.XLOOKUP(R54:AF54,增益!$A:$A,增益!$L:$L,0))</f>
        <v>0</v>
      </c>
      <c r="BA54">
        <f t="shared" si="5"/>
        <v>697.4</v>
      </c>
      <c r="BB54">
        <f t="shared" si="6"/>
        <v>1805</v>
      </c>
      <c r="BC54" s="32" cm="1">
        <f t="array" ref="BC54">IF($F$13-$I$4+VLOOKUP($Q54,武学奇术!$A:$ZZ,13,FALSE)+SUM(_xlfn.XLOOKUP(R54:AF54,增益!$A:$A,增益!$M:$M,0))&gt;0,($F$13-$I$4+VLOOKUP($Q54,武学奇术!$A:$ZZ,13,FALSE)+SUM(_xlfn.XLOOKUP(R54:AF54,增益!$A:$A,增益!$K:$K,0)))/200,($F$13-$I$4+VLOOKUP($Q54,武学奇术!$A:$ZZ,13,FALSE)+SUM(_xlfn.XLOOKUP(R54:AF54,增益!$A:$A,增益!$M:$M,0)))/100)</f>
        <v>0</v>
      </c>
      <c r="BD54" s="32" cm="1">
        <f t="array" ref="BD54">$G$13+VLOOKUP($Q54,武学奇术!$A:$ZZ,14,FALSE)+SUM(_xlfn.XLOOKUP(R54:AF54,增益!$A:$A,增益!$N:$N,0))</f>
        <v>0.15</v>
      </c>
      <c r="BE54">
        <f t="shared" si="7"/>
        <v>0</v>
      </c>
      <c r="BF54">
        <f t="shared" si="8"/>
        <v>0</v>
      </c>
      <c r="BG54" s="32" cm="1">
        <f t="array" ref="BG54">IF($F$14-$I$4+VLOOKUP($Q54,武学奇术!$A:$ZZ,15,FALSE)+SUM(_xlfn.XLOOKUP(R54:AF54,增益!$A:$A,增益!$O:$O,0))&gt;0,($F$14-$I$4+VLOOKUP($Q54,武学奇术!$A:$ZZ,15,FALSE)+SUM(_xlfn.XLOOKUP(R54:AF54,增益!$A:$A,增益!$O:$O,0)))/200,($F$14-$I$4+VLOOKUP($Q54,武学奇术!$A:$ZZ,15,FALSE)+SUM(_xlfn.XLOOKUP(R54:AF54,增益!$A:$A,增益!$O:$O,0)))/100)</f>
        <v>-0.3</v>
      </c>
      <c r="BH54" s="32" cm="1">
        <f t="array" ref="BH54">$G$14+VLOOKUP($Q54,武学奇术!$A:$ZZ,16,FALSE)+SUM(_xlfn.XLOOKUP(R54:AF54,增益!$A:$A,增益!$P:$P,0))</f>
        <v>0</v>
      </c>
      <c r="BI54" s="26">
        <f>MIN(IF(VLOOKUP($Q54,武学奇术!$A:$ZZ,23,FALSE)=1,100%,$B$8),100%)</f>
        <v>1</v>
      </c>
      <c r="BJ54" s="26" cm="1">
        <f t="array" ref="BJ54">IF(VLOOKUP($Q54,武学奇术!$A:$ZZ,23,FALSE)=1,100%,MIN(80%,$B$9+VLOOKUP($Q54,武学奇术!$A:$ZZ,17,FALSE)+SUM(_xlfn.XLOOKUP(R54:AF54,增益!$A:$A,增益!$Q:$Q,0)))+$B$11+SUM(_xlfn.XLOOKUP(R54:AF54,增益!$A:$A,增益!$U:$U,0)))*IF(VLOOKUP($Q54,武学奇术!$A:$ZZ,24,FALSE)=1,0,1)</f>
        <v>0.8625</v>
      </c>
      <c r="BK54" s="26" cm="1">
        <f t="array" ref="BK54">1+$B$13+VLOOKUP($Q54,武学奇术!$A:$ZZ,18,FALSE)+SUM(_xlfn.XLOOKUP(R54:AF54,增益!$A:$A,增益!$R:$R,0))</f>
        <v>1.5</v>
      </c>
      <c r="BL54" s="26" cm="1">
        <f t="array" ref="BL54">IF(VLOOKUP($Q54,武学奇术!$A:$ZZ,24,FALSE)=1,100%,MIN(40%,$B$10+VLOOKUP($Q54,武学奇术!$A:$ZZ,19,FALSE)+SUM(_xlfn.XLOOKUP(R54:AF54,增益!$A:$A,增益!$S:$S,0)))+$B$12+SUM(_xlfn.XLOOKUP(R54:AF54,增益!$A:$A,增益!$V:$V,0)))*IF(VLOOKUP($Q54,武学奇术!$A:$ZZ,23,FALSE)=1,0,1)</f>
        <v>0.0913</v>
      </c>
      <c r="BM54" s="26" cm="1">
        <f t="array" ref="BM54">1+$B$14+VLOOKUP($Q54,武学奇术!$A:$ZZ,20,FALSE)+SUM(_xlfn.XLOOKUP(R54:AF54,增益!$A:$A,增益!$T:$T,0))</f>
        <v>1.35</v>
      </c>
      <c r="BN54" s="26">
        <f t="shared" si="9"/>
        <v>0.8625</v>
      </c>
      <c r="BO54" s="26">
        <f t="shared" si="10"/>
        <v>0.0462</v>
      </c>
      <c r="BP54" s="26">
        <f>IF(VLOOKUP($Q54,武学奇术!$A:$ZZ,22,FALSE)=1,0,(1-$BI54))*(1-$BL54)</f>
        <v>0</v>
      </c>
      <c r="BQ54" s="26" cm="1">
        <f t="array" ref="BQ54">SUM(_xlfn.XLOOKUP(R54:AF54,增益!$A:$A,增益!$W:$W,0))+$I$5</f>
        <v>0.06</v>
      </c>
    </row>
    <row r="55" spans="4:69">
      <c r="K55" s="38">
        <f t="shared" si="0"/>
        <v>0</v>
      </c>
      <c r="L55" s="38">
        <f>((($AN55+$AO55)/2*$AH55+$AI55)*(1+$AP55)*(1+$AQ55)+(($AS55+$AT55)/2*IF($G$1="鸣金",$AJ55,$AH55)+IF($G$1="鸣金",$AK55*1.5,0))*(1+$AU55)*(1+$AV55)+(($AW55+$AX55)/2*IF($G$1="裂石",$AJ55,$AH55)+IF($G$1="裂石",$AK55*1.5,0))*(1+$AY55)*(1+$AZ55)+(($BA55+$BB55)/2*IF($G$1="牵丝",$AJ55,$AH55)+IF($G$1="牵丝",$AK55*1.5,0))*(1+$BC55)*(1+$BD55)+(($BE55+$BF55)/2*IF($G$1="破竹",$AJ55,$AH55)+IF($G$1="破竹",$AK55*1.5,0))*(1+$BG55)*(1+$BH55))*(1+$AL55)*$BK55*$P55*(1+IF(VLOOKUP($Q55,武学奇术!$A:$ZZ,30,FALSE)="蓄力技",#REF!,0))*(1+$BQ55)</f>
        <v>0</v>
      </c>
      <c r="M55" s="38">
        <f>(($AO55*$AH55+$AI55)*(1+$AP55)*(1+$AQ55)+($AT55*IF($G$1="鸣金",$AJ55,$AH55)+IF($G$1="鸣金",$AK55*1.5,0))*(1+$AU55)*(1+$AV55)+($AX55*IF($G$1="裂石",$AJ55,$AH55)+IF($G$1="裂石",$AK55*1.5,0))*(1+$AY55)*(1+$AZ55)+($BB55*IF($G$1="牵丝",$AJ55,$AH55)+IF($G$1="牵丝",$AK55*1.5,0))*(1+$BC55)*(1+$BD55)+($BF55*IF($G$1="破竹",$AJ55,$AH55)+IF($G$1="破竹",$AK55*1.5,0))*(1+$BG55)*(1+$BH55))*(1+$AL55)*$BM55*$P55*(1+IF(VLOOKUP($Q55,武学奇术!$A:$ZZ,30,FALSE)="蓄力技",#REF!,0))*(1+$BQ55)</f>
        <v>0</v>
      </c>
      <c r="N55" s="38">
        <f>((($AN55+$AO55)/2*$AH55+$AI55)*(1+$AP55)*(1+$AQ55)+(($AS55+$AT55)/2*IF($G$1="鸣金",$AJ55,$AH55)+IF($G$1="鸣金",$AK55*1.5,0))*(1+$AU55)*(1+$AV55)+(($AW55+$AX55)/2*IF($G$1="裂石",$AJ55,$AH55)+IF($G$1="裂石",$AK55*1.5,0))*(1+$AY55)*(1+$AZ55)+(($BA55+$BB55)/2*IF($G$1="牵丝",$AJ55,$AH55)+IF($G$1="牵丝",$AK55*1.5,0))*(1+$BC55)*(1+$BD55)+(($BE55+$BF55)/2*IF($G$1="破竹",$AJ55,$AH55)+IF($G$1="破竹",$AK55*1.5,0))*(1+$BG55)*(1+$BH55))*(1+$AL55)*$P55*(1+IF(VLOOKUP($Q55,武学奇术!$A:$ZZ,30,FALSE)="蓄力技",#REF!,0))*(1+$BQ55)</f>
        <v>0</v>
      </c>
      <c r="O55" s="38">
        <f>((($AN55*$AH55+$AI55)*(1+$AP55)*(1+$AQ55)+($AS55*IF($G$1="鸣金",$AJ55,$AH55)+IF($G$1="鸣金",$AK55*1.5,0))*(1+$AU55)*(1+$AV55)+($AW55*IF($G$1="裂石",$AJ55,$AH55)+IF($G$1="裂石",$AK55*1.5,0))*(1+$AY55)*(1+$AZ55)+($BA55*IF($G$1="牵丝",$AJ55,$AH55)+IF($G$1="牵丝",$AK55*1.5,0))*(1+$BC55)*(1+$BD55)+($BE55*IF($G$1="破竹",$AJ55,$AH55)+IF($G$1="破竹",$AK55*1.5,0))*(1+$BG55)*(1+$BH55))*(1+$AL55))*$P55*(1+IF(VLOOKUP($Q55,武学奇术!$A:$ZZ,30,FALSE)="蓄力技",#REF!,0))*(1+$BQ55)</f>
        <v>0</v>
      </c>
      <c r="P55" s="39">
        <v>1</v>
      </c>
      <c r="Q55" s="40" t="s">
        <v>76</v>
      </c>
      <c r="R55" s="40" t="s">
        <v>76</v>
      </c>
      <c r="S55" s="40" t="s">
        <v>76</v>
      </c>
      <c r="T55" s="40" t="s">
        <v>76</v>
      </c>
      <c r="U55" s="40" t="s">
        <v>76</v>
      </c>
      <c r="V55" s="40" t="s">
        <v>76</v>
      </c>
      <c r="W55" s="40" t="s">
        <v>76</v>
      </c>
      <c r="X55" s="40" t="s">
        <v>76</v>
      </c>
      <c r="Y55" s="40" t="s">
        <v>76</v>
      </c>
      <c r="Z55" s="40" t="s">
        <v>76</v>
      </c>
      <c r="AA55" s="40" t="s">
        <v>76</v>
      </c>
      <c r="AB55" s="40" t="s">
        <v>76</v>
      </c>
      <c r="AC55" s="40" t="s">
        <v>76</v>
      </c>
      <c r="AD55" s="40" t="s">
        <v>76</v>
      </c>
      <c r="AE55" s="40" t="s">
        <v>76</v>
      </c>
      <c r="AF55" s="40" t="s">
        <v>76</v>
      </c>
      <c r="AG55" t="str">
        <f>VLOOKUP($Q55,武学奇术!$A:$ZZ,25,FALSE)</f>
        <v>心法</v>
      </c>
      <c r="AH55" s="26">
        <f>VLOOKUP($Q55,武学奇术!$A:$ZZ,26,FALSE)</f>
        <v>0</v>
      </c>
      <c r="AI55" s="27">
        <f>VLOOKUP($Q55,武学奇术!$A:$ZZ,27,FALSE)*(1+IF(OR($AG55=$F$4,$AG55=$F$5),$B$21,0))</f>
        <v>0</v>
      </c>
      <c r="AJ55" s="26">
        <f>VLOOKUP($Q55,武学奇术!$A:$ZZ,28,FALSE)</f>
        <v>0</v>
      </c>
      <c r="AK55" s="27">
        <f>VLOOKUP($Q55,武学奇术!$A:$ZZ,29,FALSE)*(1+IF(OR($AG55=$F$4,$AG55=$F$5),$B$21,0))</f>
        <v>0</v>
      </c>
      <c r="AL55" s="26" cm="1">
        <f t="array" ref="AL55">$G$3+IFERROR(VLOOKUP($AG55,$F$4:$G$7,2,FALSE),0)+VLOOKUP($Q55,武学奇术!$A:$ZZ,2,FALSE)+SUM(_xlfn.XLOOKUP($R55:$AF55,增益!$A:$A,增益!$B:$B,0))</f>
        <v>0.1842</v>
      </c>
      <c r="AM55" s="26" cm="1">
        <f t="array" ref="AM55">VLOOKUP($Q55,武学奇术!$A:$ZZ,5,FALSE)+SUM(_xlfn.XLOOKUP($R55:$AF55,增益!$A:$A,增益!$E:$E,0))</f>
        <v>0</v>
      </c>
      <c r="AN55" cm="1">
        <f t="array" ref="AN55">$D$10*(1+$AM55)+VLOOKUP($Q55,武学奇术!$A:$ZZ,3,FALSE)+SUM(_xlfn.XLOOKUP($R55:$AF55,增益!$A:$A,增益!$C:$C,0))-$I$2</f>
        <v>3940</v>
      </c>
      <c r="AO55" cm="1">
        <f t="array" ref="AO55">$E$10*(1+$AM55)+VLOOKUP($Q55,武学奇术!$A:$ZZ,4,FALSE)+SUM(_xlfn.XLOOKUP($R55:$AF55,增益!$A:$A,增益!$D:$D,0))-$I$2</f>
        <v>3940</v>
      </c>
      <c r="AP55" s="32" cm="1">
        <f t="array" ref="AP55">IF($F$10-$I$3+VLOOKUP($Q55,武学奇术!$A:$ZZ,6,FALSE)+SUM(_xlfn.XLOOKUP(R55:AF55,增益!$A:$A,增益!$F:$F,0))&gt;0,($F$10-$I$3+VLOOKUP($Q55,武学奇术!$A:$ZZ,6,FALSE)+SUM(_xlfn.XLOOKUP(R55:AF55,增益!$A:$A,增益!$F:$F,0)))/200,($F$10-$I$3+VLOOKUP($Q55,武学奇术!$A:$ZZ,6,FALSE)+SUM(_xlfn.XLOOKUP(R55:AF55,增益!$A:$A,增益!$F:$F,0)))/100)</f>
        <v>0.194</v>
      </c>
      <c r="AQ55" s="32" cm="1">
        <f t="array" ref="AQ55">$G$10+VLOOKUP($Q55,武学奇术!$A:$ZZ,7,FALSE)+SUM(_xlfn.XLOOKUP(R55:AF55,增益!$A:$A,增益!$G:$G,0))</f>
        <v>0</v>
      </c>
      <c r="AR55" s="26" cm="1">
        <f t="array" ref="AR55">VLOOKUP($Q55,武学奇术!$A:$ZZ,8,FALSE)+SUM(_xlfn.XLOOKUP(R55:AF55,增益!$A:$A,增益!$H:$H,0))</f>
        <v>0</v>
      </c>
      <c r="AS55">
        <f t="shared" si="1"/>
        <v>0</v>
      </c>
      <c r="AT55">
        <f t="shared" si="2"/>
        <v>0</v>
      </c>
      <c r="AU55" s="32" cm="1">
        <f t="array" ref="AU55">IF($F$11-$I$4+VLOOKUP($Q55,武学奇术!$A:$ZZ,9,FALSE)+SUM(_xlfn.XLOOKUP(R55:AF55,增益!$A:$A,增益!$I:$I,0))&gt;0,($F$11-$I$4+VLOOKUP($Q55,武学奇术!$A:$ZZ,9,FALSE)+SUM(_xlfn.XLOOKUP(R55:AF55,增益!$A:$A,增益!$I:$I,0)))/200,($F$11-$I$4+VLOOKUP($Q55,武学奇术!$A:$ZZ,9,FALSE)+SUM(_xlfn.XLOOKUP(R55:AF55,增益!$A:$A,增益!$I:$I,0)))/100)</f>
        <v>-0.3</v>
      </c>
      <c r="AV55" s="32" cm="1">
        <f t="array" ref="AV55">$G$11+VLOOKUP($Q55,武学奇术!$A:$ZZ,10,FALSE)+SUM(_xlfn.XLOOKUP(R55:AF55,增益!$A:$A,增益!$J:$J,0))</f>
        <v>0</v>
      </c>
      <c r="AW55">
        <f t="shared" si="3"/>
        <v>0</v>
      </c>
      <c r="AX55">
        <f t="shared" si="4"/>
        <v>0</v>
      </c>
      <c r="AY55" s="32" cm="1">
        <f t="array" ref="AY55">IF($F$12-$I$4+VLOOKUP($Q55,武学奇术!$A:$ZZ,11,FALSE)+SUM(_xlfn.XLOOKUP(R55:AF55,增益!$A:$A,增益!$K:$K,0))&gt;0,($F$12-$I$4+VLOOKUP($Q55,武学奇术!$A:$ZZ,11,FALSE)+SUM(_xlfn.XLOOKUP(R55:AF55,增益!$A:$A,增益!$K:$K,0)))/200,($F$12-$I$4+VLOOKUP($Q55,武学奇术!$A:$ZZ,11,FALSE)+SUM(_xlfn.XLOOKUP(R55:AF55,增益!$A:$A,增益!$K:$K,0)))/100)</f>
        <v>-0.3</v>
      </c>
      <c r="AZ55" s="32" cm="1">
        <f t="array" ref="AZ55">$G$12+VLOOKUP($Q55,武学奇术!$A:$ZZ,12,FALSE)+SUM(_xlfn.XLOOKUP(R55:AF55,增益!$A:$A,增益!$L:$L,0))</f>
        <v>0</v>
      </c>
      <c r="BA55">
        <f t="shared" si="5"/>
        <v>697.4</v>
      </c>
      <c r="BB55">
        <f t="shared" si="6"/>
        <v>1805</v>
      </c>
      <c r="BC55" s="32" cm="1">
        <f t="array" ref="BC55">IF($F$13-$I$4+VLOOKUP($Q55,武学奇术!$A:$ZZ,13,FALSE)+SUM(_xlfn.XLOOKUP(R55:AF55,增益!$A:$A,增益!$M:$M,0))&gt;0,($F$13-$I$4+VLOOKUP($Q55,武学奇术!$A:$ZZ,13,FALSE)+SUM(_xlfn.XLOOKUP(R55:AF55,增益!$A:$A,增益!$K:$K,0)))/200,($F$13-$I$4+VLOOKUP($Q55,武学奇术!$A:$ZZ,13,FALSE)+SUM(_xlfn.XLOOKUP(R55:AF55,增益!$A:$A,增益!$M:$M,0)))/100)</f>
        <v>0</v>
      </c>
      <c r="BD55" s="32" cm="1">
        <f t="array" ref="BD55">$G$13+VLOOKUP($Q55,武学奇术!$A:$ZZ,14,FALSE)+SUM(_xlfn.XLOOKUP(R55:AF55,增益!$A:$A,增益!$N:$N,0))</f>
        <v>0.15</v>
      </c>
      <c r="BE55">
        <f t="shared" si="7"/>
        <v>0</v>
      </c>
      <c r="BF55">
        <f t="shared" si="8"/>
        <v>0</v>
      </c>
      <c r="BG55" s="32" cm="1">
        <f t="array" ref="BG55">IF($F$14-$I$4+VLOOKUP($Q55,武学奇术!$A:$ZZ,15,FALSE)+SUM(_xlfn.XLOOKUP(R55:AF55,增益!$A:$A,增益!$O:$O,0))&gt;0,($F$14-$I$4+VLOOKUP($Q55,武学奇术!$A:$ZZ,15,FALSE)+SUM(_xlfn.XLOOKUP(R55:AF55,增益!$A:$A,增益!$O:$O,0)))/200,($F$14-$I$4+VLOOKUP($Q55,武学奇术!$A:$ZZ,15,FALSE)+SUM(_xlfn.XLOOKUP(R55:AF55,增益!$A:$A,增益!$O:$O,0)))/100)</f>
        <v>-0.3</v>
      </c>
      <c r="BH55" s="32" cm="1">
        <f t="array" ref="BH55">$G$14+VLOOKUP($Q55,武学奇术!$A:$ZZ,16,FALSE)+SUM(_xlfn.XLOOKUP(R55:AF55,增益!$A:$A,增益!$P:$P,0))</f>
        <v>0</v>
      </c>
      <c r="BI55" s="26">
        <f>MIN(IF(VLOOKUP($Q55,武学奇术!$A:$ZZ,23,FALSE)=1,100%,$B$8),100%)</f>
        <v>1</v>
      </c>
      <c r="BJ55" s="26" cm="1">
        <f t="array" ref="BJ55">IF(VLOOKUP($Q55,武学奇术!$A:$ZZ,23,FALSE)=1,100%,MIN(80%,$B$9+VLOOKUP($Q55,武学奇术!$A:$ZZ,17,FALSE)+SUM(_xlfn.XLOOKUP(R55:AF55,增益!$A:$A,增益!$Q:$Q,0)))+$B$11+SUM(_xlfn.XLOOKUP(R55:AF55,增益!$A:$A,增益!$U:$U,0)))*IF(VLOOKUP($Q55,武学奇术!$A:$ZZ,24,FALSE)=1,0,1)</f>
        <v>0.8625</v>
      </c>
      <c r="BK55" s="26" cm="1">
        <f t="array" ref="BK55">1+$B$13+VLOOKUP($Q55,武学奇术!$A:$ZZ,18,FALSE)+SUM(_xlfn.XLOOKUP(R55:AF55,增益!$A:$A,增益!$R:$R,0))</f>
        <v>1.5</v>
      </c>
      <c r="BL55" s="26" cm="1">
        <f t="array" ref="BL55">IF(VLOOKUP($Q55,武学奇术!$A:$ZZ,24,FALSE)=1,100%,MIN(40%,$B$10+VLOOKUP($Q55,武学奇术!$A:$ZZ,19,FALSE)+SUM(_xlfn.XLOOKUP(R55:AF55,增益!$A:$A,增益!$S:$S,0)))+$B$12+SUM(_xlfn.XLOOKUP(R55:AF55,增益!$A:$A,增益!$V:$V,0)))*IF(VLOOKUP($Q55,武学奇术!$A:$ZZ,23,FALSE)=1,0,1)</f>
        <v>0.0913</v>
      </c>
      <c r="BM55" s="26" cm="1">
        <f t="array" ref="BM55">1+$B$14+VLOOKUP($Q55,武学奇术!$A:$ZZ,20,FALSE)+SUM(_xlfn.XLOOKUP(R55:AF55,增益!$A:$A,增益!$T:$T,0))</f>
        <v>1.35</v>
      </c>
      <c r="BN55" s="26">
        <f t="shared" si="9"/>
        <v>0.8625</v>
      </c>
      <c r="BO55" s="26">
        <f t="shared" si="10"/>
        <v>0.0462</v>
      </c>
      <c r="BP55" s="26">
        <f>IF(VLOOKUP($Q55,武学奇术!$A:$ZZ,22,FALSE)=1,0,(1-$BI55))*(1-$BL55)</f>
        <v>0</v>
      </c>
      <c r="BQ55" s="26" cm="1">
        <f t="array" ref="BQ55">SUM(_xlfn.XLOOKUP(R55:AF55,增益!$A:$A,增益!$W:$W,0))+$I$5</f>
        <v>0.06</v>
      </c>
    </row>
    <row r="56" spans="4:69">
      <c r="K56" s="38">
        <f t="shared" si="0"/>
        <v>0</v>
      </c>
      <c r="L56" s="38">
        <f>((($AN56+$AO56)/2*$AH56+$AI56)*(1+$AP56)*(1+$AQ56)+(($AS56+$AT56)/2*IF($G$1="鸣金",$AJ56,$AH56)+IF($G$1="鸣金",$AK56*1.5,0))*(1+$AU56)*(1+$AV56)+(($AW56+$AX56)/2*IF($G$1="裂石",$AJ56,$AH56)+IF($G$1="裂石",$AK56*1.5,0))*(1+$AY56)*(1+$AZ56)+(($BA56+$BB56)/2*IF($G$1="牵丝",$AJ56,$AH56)+IF($G$1="牵丝",$AK56*1.5,0))*(1+$BC56)*(1+$BD56)+(($BE56+$BF56)/2*IF($G$1="破竹",$AJ56,$AH56)+IF($G$1="破竹",$AK56*1.5,0))*(1+$BG56)*(1+$BH56))*(1+$AL56)*$BK56*$P56*(1+IF(VLOOKUP($Q56,武学奇术!$A:$ZZ,30,FALSE)="蓄力技",#REF!,0))*(1+$BQ56)</f>
        <v>0</v>
      </c>
      <c r="M56" s="38">
        <f>(($AO56*$AH56+$AI56)*(1+$AP56)*(1+$AQ56)+($AT56*IF($G$1="鸣金",$AJ56,$AH56)+IF($G$1="鸣金",$AK56*1.5,0))*(1+$AU56)*(1+$AV56)+($AX56*IF($G$1="裂石",$AJ56,$AH56)+IF($G$1="裂石",$AK56*1.5,0))*(1+$AY56)*(1+$AZ56)+($BB56*IF($G$1="牵丝",$AJ56,$AH56)+IF($G$1="牵丝",$AK56*1.5,0))*(1+$BC56)*(1+$BD56)+($BF56*IF($G$1="破竹",$AJ56,$AH56)+IF($G$1="破竹",$AK56*1.5,0))*(1+$BG56)*(1+$BH56))*(1+$AL56)*$BM56*$P56*(1+IF(VLOOKUP($Q56,武学奇术!$A:$ZZ,30,FALSE)="蓄力技",#REF!,0))*(1+$BQ56)</f>
        <v>0</v>
      </c>
      <c r="N56" s="38">
        <f>((($AN56+$AO56)/2*$AH56+$AI56)*(1+$AP56)*(1+$AQ56)+(($AS56+$AT56)/2*IF($G$1="鸣金",$AJ56,$AH56)+IF($G$1="鸣金",$AK56*1.5,0))*(1+$AU56)*(1+$AV56)+(($AW56+$AX56)/2*IF($G$1="裂石",$AJ56,$AH56)+IF($G$1="裂石",$AK56*1.5,0))*(1+$AY56)*(1+$AZ56)+(($BA56+$BB56)/2*IF($G$1="牵丝",$AJ56,$AH56)+IF($G$1="牵丝",$AK56*1.5,0))*(1+$BC56)*(1+$BD56)+(($BE56+$BF56)/2*IF($G$1="破竹",$AJ56,$AH56)+IF($G$1="破竹",$AK56*1.5,0))*(1+$BG56)*(1+$BH56))*(1+$AL56)*$P56*(1+IF(VLOOKUP($Q56,武学奇术!$A:$ZZ,30,FALSE)="蓄力技",#REF!,0))*(1+$BQ56)</f>
        <v>0</v>
      </c>
      <c r="O56" s="38">
        <f>((($AN56*$AH56+$AI56)*(1+$AP56)*(1+$AQ56)+($AS56*IF($G$1="鸣金",$AJ56,$AH56)+IF($G$1="鸣金",$AK56*1.5,0))*(1+$AU56)*(1+$AV56)+($AW56*IF($G$1="裂石",$AJ56,$AH56)+IF($G$1="裂石",$AK56*1.5,0))*(1+$AY56)*(1+$AZ56)+($BA56*IF($G$1="牵丝",$AJ56,$AH56)+IF($G$1="牵丝",$AK56*1.5,0))*(1+$BC56)*(1+$BD56)+($BE56*IF($G$1="破竹",$AJ56,$AH56)+IF($G$1="破竹",$AK56*1.5,0))*(1+$BG56)*(1+$BH56))*(1+$AL56))*$P56*(1+IF(VLOOKUP($Q56,武学奇术!$A:$ZZ,30,FALSE)="蓄力技",#REF!,0))*(1+$BQ56)</f>
        <v>0</v>
      </c>
      <c r="P56" s="39">
        <v>1</v>
      </c>
      <c r="Q56" s="40" t="s">
        <v>76</v>
      </c>
      <c r="R56" s="40" t="s">
        <v>76</v>
      </c>
      <c r="S56" s="40" t="s">
        <v>76</v>
      </c>
      <c r="T56" s="40" t="s">
        <v>76</v>
      </c>
      <c r="U56" s="40" t="s">
        <v>76</v>
      </c>
      <c r="V56" s="40" t="s">
        <v>76</v>
      </c>
      <c r="W56" s="40" t="s">
        <v>76</v>
      </c>
      <c r="X56" s="40" t="s">
        <v>76</v>
      </c>
      <c r="Y56" s="40" t="s">
        <v>76</v>
      </c>
      <c r="Z56" s="40" t="s">
        <v>76</v>
      </c>
      <c r="AA56" s="40" t="s">
        <v>76</v>
      </c>
      <c r="AB56" s="40" t="s">
        <v>76</v>
      </c>
      <c r="AC56" s="40" t="s">
        <v>76</v>
      </c>
      <c r="AD56" s="40" t="s">
        <v>76</v>
      </c>
      <c r="AE56" s="40" t="s">
        <v>76</v>
      </c>
      <c r="AF56" s="40" t="s">
        <v>76</v>
      </c>
      <c r="AG56" t="str">
        <f>VLOOKUP($Q56,武学奇术!$A:$ZZ,25,FALSE)</f>
        <v>心法</v>
      </c>
      <c r="AH56" s="26">
        <f>VLOOKUP($Q56,武学奇术!$A:$ZZ,26,FALSE)</f>
        <v>0</v>
      </c>
      <c r="AI56" s="27">
        <f>VLOOKUP($Q56,武学奇术!$A:$ZZ,27,FALSE)*(1+IF(OR($AG56=$F$4,$AG56=$F$5),$B$21,0))</f>
        <v>0</v>
      </c>
      <c r="AJ56" s="26">
        <f>VLOOKUP($Q56,武学奇术!$A:$ZZ,28,FALSE)</f>
        <v>0</v>
      </c>
      <c r="AK56" s="27">
        <f>VLOOKUP($Q56,武学奇术!$A:$ZZ,29,FALSE)*(1+IF(OR($AG56=$F$4,$AG56=$F$5),$B$21,0))</f>
        <v>0</v>
      </c>
      <c r="AL56" s="26" cm="1">
        <f t="array" ref="AL56">$G$3+IFERROR(VLOOKUP($AG56,$F$4:$G$7,2,FALSE),0)+VLOOKUP($Q56,武学奇术!$A:$ZZ,2,FALSE)+SUM(_xlfn.XLOOKUP($R56:$AF56,增益!$A:$A,增益!$B:$B,0))</f>
        <v>0.1842</v>
      </c>
      <c r="AM56" s="26" cm="1">
        <f t="array" ref="AM56">VLOOKUP($Q56,武学奇术!$A:$ZZ,5,FALSE)+SUM(_xlfn.XLOOKUP($R56:$AF56,增益!$A:$A,增益!$E:$E,0))</f>
        <v>0</v>
      </c>
      <c r="AN56" cm="1">
        <f t="array" ref="AN56">$D$10*(1+$AM56)+VLOOKUP($Q56,武学奇术!$A:$ZZ,3,FALSE)+SUM(_xlfn.XLOOKUP($R56:$AF56,增益!$A:$A,增益!$C:$C,0))-$I$2</f>
        <v>3940</v>
      </c>
      <c r="AO56" cm="1">
        <f t="array" ref="AO56">$E$10*(1+$AM56)+VLOOKUP($Q56,武学奇术!$A:$ZZ,4,FALSE)+SUM(_xlfn.XLOOKUP($R56:$AF56,增益!$A:$A,增益!$D:$D,0))-$I$2</f>
        <v>3940</v>
      </c>
      <c r="AP56" s="32" cm="1">
        <f t="array" ref="AP56">IF($F$10-$I$3+VLOOKUP($Q56,武学奇术!$A:$ZZ,6,FALSE)+SUM(_xlfn.XLOOKUP(R56:AF56,增益!$A:$A,增益!$F:$F,0))&gt;0,($F$10-$I$3+VLOOKUP($Q56,武学奇术!$A:$ZZ,6,FALSE)+SUM(_xlfn.XLOOKUP(R56:AF56,增益!$A:$A,增益!$F:$F,0)))/200,($F$10-$I$3+VLOOKUP($Q56,武学奇术!$A:$ZZ,6,FALSE)+SUM(_xlfn.XLOOKUP(R56:AF56,增益!$A:$A,增益!$F:$F,0)))/100)</f>
        <v>0.194</v>
      </c>
      <c r="AQ56" s="32" cm="1">
        <f t="array" ref="AQ56">$G$10+VLOOKUP($Q56,武学奇术!$A:$ZZ,7,FALSE)+SUM(_xlfn.XLOOKUP(R56:AF56,增益!$A:$A,增益!$G:$G,0))</f>
        <v>0</v>
      </c>
      <c r="AR56" s="26" cm="1">
        <f t="array" ref="AR56">VLOOKUP($Q56,武学奇术!$A:$ZZ,8,FALSE)+SUM(_xlfn.XLOOKUP(R56:AF56,增益!$A:$A,增益!$H:$H,0))</f>
        <v>0</v>
      </c>
      <c r="AS56">
        <f t="shared" si="1"/>
        <v>0</v>
      </c>
      <c r="AT56">
        <f t="shared" si="2"/>
        <v>0</v>
      </c>
      <c r="AU56" s="32" cm="1">
        <f t="array" ref="AU56">IF($F$11-$I$4+VLOOKUP($Q56,武学奇术!$A:$ZZ,9,FALSE)+SUM(_xlfn.XLOOKUP(R56:AF56,增益!$A:$A,增益!$I:$I,0))&gt;0,($F$11-$I$4+VLOOKUP($Q56,武学奇术!$A:$ZZ,9,FALSE)+SUM(_xlfn.XLOOKUP(R56:AF56,增益!$A:$A,增益!$I:$I,0)))/200,($F$11-$I$4+VLOOKUP($Q56,武学奇术!$A:$ZZ,9,FALSE)+SUM(_xlfn.XLOOKUP(R56:AF56,增益!$A:$A,增益!$I:$I,0)))/100)</f>
        <v>-0.3</v>
      </c>
      <c r="AV56" s="32" cm="1">
        <f t="array" ref="AV56">$G$11+VLOOKUP($Q56,武学奇术!$A:$ZZ,10,FALSE)+SUM(_xlfn.XLOOKUP(R56:AF56,增益!$A:$A,增益!$J:$J,0))</f>
        <v>0</v>
      </c>
      <c r="AW56">
        <f t="shared" si="3"/>
        <v>0</v>
      </c>
      <c r="AX56">
        <f t="shared" si="4"/>
        <v>0</v>
      </c>
      <c r="AY56" s="32" cm="1">
        <f t="array" ref="AY56">IF($F$12-$I$4+VLOOKUP($Q56,武学奇术!$A:$ZZ,11,FALSE)+SUM(_xlfn.XLOOKUP(R56:AF56,增益!$A:$A,增益!$K:$K,0))&gt;0,($F$12-$I$4+VLOOKUP($Q56,武学奇术!$A:$ZZ,11,FALSE)+SUM(_xlfn.XLOOKUP(R56:AF56,增益!$A:$A,增益!$K:$K,0)))/200,($F$12-$I$4+VLOOKUP($Q56,武学奇术!$A:$ZZ,11,FALSE)+SUM(_xlfn.XLOOKUP(R56:AF56,增益!$A:$A,增益!$K:$K,0)))/100)</f>
        <v>-0.3</v>
      </c>
      <c r="AZ56" s="32" cm="1">
        <f t="array" ref="AZ56">$G$12+VLOOKUP($Q56,武学奇术!$A:$ZZ,12,FALSE)+SUM(_xlfn.XLOOKUP(R56:AF56,增益!$A:$A,增益!$L:$L,0))</f>
        <v>0</v>
      </c>
      <c r="BA56">
        <f t="shared" si="5"/>
        <v>697.4</v>
      </c>
      <c r="BB56">
        <f t="shared" si="6"/>
        <v>1805</v>
      </c>
      <c r="BC56" s="32" cm="1">
        <f t="array" ref="BC56">IF($F$13-$I$4+VLOOKUP($Q56,武学奇术!$A:$ZZ,13,FALSE)+SUM(_xlfn.XLOOKUP(R56:AF56,增益!$A:$A,增益!$M:$M,0))&gt;0,($F$13-$I$4+VLOOKUP($Q56,武学奇术!$A:$ZZ,13,FALSE)+SUM(_xlfn.XLOOKUP(R56:AF56,增益!$A:$A,增益!$K:$K,0)))/200,($F$13-$I$4+VLOOKUP($Q56,武学奇术!$A:$ZZ,13,FALSE)+SUM(_xlfn.XLOOKUP(R56:AF56,增益!$A:$A,增益!$M:$M,0)))/100)</f>
        <v>0</v>
      </c>
      <c r="BD56" s="32" cm="1">
        <f t="array" ref="BD56">$G$13+VLOOKUP($Q56,武学奇术!$A:$ZZ,14,FALSE)+SUM(_xlfn.XLOOKUP(R56:AF56,增益!$A:$A,增益!$N:$N,0))</f>
        <v>0.15</v>
      </c>
      <c r="BE56">
        <f t="shared" si="7"/>
        <v>0</v>
      </c>
      <c r="BF56">
        <f t="shared" si="8"/>
        <v>0</v>
      </c>
      <c r="BG56" s="32" cm="1">
        <f t="array" ref="BG56">IF($F$14-$I$4+VLOOKUP($Q56,武学奇术!$A:$ZZ,15,FALSE)+SUM(_xlfn.XLOOKUP(R56:AF56,增益!$A:$A,增益!$O:$O,0))&gt;0,($F$14-$I$4+VLOOKUP($Q56,武学奇术!$A:$ZZ,15,FALSE)+SUM(_xlfn.XLOOKUP(R56:AF56,增益!$A:$A,增益!$O:$O,0)))/200,($F$14-$I$4+VLOOKUP($Q56,武学奇术!$A:$ZZ,15,FALSE)+SUM(_xlfn.XLOOKUP(R56:AF56,增益!$A:$A,增益!$O:$O,0)))/100)</f>
        <v>-0.3</v>
      </c>
      <c r="BH56" s="32" cm="1">
        <f t="array" ref="BH56">$G$14+VLOOKUP($Q56,武学奇术!$A:$ZZ,16,FALSE)+SUM(_xlfn.XLOOKUP(R56:AF56,增益!$A:$A,增益!$P:$P,0))</f>
        <v>0</v>
      </c>
      <c r="BI56" s="26">
        <f>MIN(IF(VLOOKUP($Q56,武学奇术!$A:$ZZ,23,FALSE)=1,100%,$B$8),100%)</f>
        <v>1</v>
      </c>
      <c r="BJ56" s="26" cm="1">
        <f t="array" ref="BJ56">IF(VLOOKUP($Q56,武学奇术!$A:$ZZ,23,FALSE)=1,100%,MIN(80%,$B$9+VLOOKUP($Q56,武学奇术!$A:$ZZ,17,FALSE)+SUM(_xlfn.XLOOKUP(R56:AF56,增益!$A:$A,增益!$Q:$Q,0)))+$B$11+SUM(_xlfn.XLOOKUP(R56:AF56,增益!$A:$A,增益!$U:$U,0)))*IF(VLOOKUP($Q56,武学奇术!$A:$ZZ,24,FALSE)=1,0,1)</f>
        <v>0.8625</v>
      </c>
      <c r="BK56" s="26" cm="1">
        <f t="array" ref="BK56">1+$B$13+VLOOKUP($Q56,武学奇术!$A:$ZZ,18,FALSE)+SUM(_xlfn.XLOOKUP(R56:AF56,增益!$A:$A,增益!$R:$R,0))</f>
        <v>1.5</v>
      </c>
      <c r="BL56" s="26" cm="1">
        <f t="array" ref="BL56">IF(VLOOKUP($Q56,武学奇术!$A:$ZZ,24,FALSE)=1,100%,MIN(40%,$B$10+VLOOKUP($Q56,武学奇术!$A:$ZZ,19,FALSE)+SUM(_xlfn.XLOOKUP(R56:AF56,增益!$A:$A,增益!$S:$S,0)))+$B$12+SUM(_xlfn.XLOOKUP(R56:AF56,增益!$A:$A,增益!$V:$V,0)))*IF(VLOOKUP($Q56,武学奇术!$A:$ZZ,23,FALSE)=1,0,1)</f>
        <v>0.0913</v>
      </c>
      <c r="BM56" s="26" cm="1">
        <f t="array" ref="BM56">1+$B$14+VLOOKUP($Q56,武学奇术!$A:$ZZ,20,FALSE)+SUM(_xlfn.XLOOKUP(R56:AF56,增益!$A:$A,增益!$T:$T,0))</f>
        <v>1.35</v>
      </c>
      <c r="BN56" s="26">
        <f t="shared" si="9"/>
        <v>0.8625</v>
      </c>
      <c r="BO56" s="26">
        <f t="shared" si="10"/>
        <v>0.0462</v>
      </c>
      <c r="BP56" s="26">
        <f>IF(VLOOKUP($Q56,武学奇术!$A:$ZZ,22,FALSE)=1,0,(1-$BI56))*(1-$BL56)</f>
        <v>0</v>
      </c>
      <c r="BQ56" s="26" cm="1">
        <f t="array" ref="BQ56">SUM(_xlfn.XLOOKUP(R56:AF56,增益!$A:$A,增益!$W:$W,0))+$I$5</f>
        <v>0.06</v>
      </c>
    </row>
    <row r="57" spans="4:69">
      <c r="D57" s="4"/>
      <c r="E57" s="4"/>
      <c r="K57" s="38">
        <f t="shared" si="0"/>
        <v>0</v>
      </c>
      <c r="L57" s="38">
        <f>((($AN57+$AO57)/2*$AH57+$AI57)*(1+$AP57)*(1+$AQ57)+(($AS57+$AT57)/2*IF($G$1="鸣金",$AJ57,$AH57)+IF($G$1="鸣金",$AK57*1.5,0))*(1+$AU57)*(1+$AV57)+(($AW57+$AX57)/2*IF($G$1="裂石",$AJ57,$AH57)+IF($G$1="裂石",$AK57*1.5,0))*(1+$AY57)*(1+$AZ57)+(($BA57+$BB57)/2*IF($G$1="牵丝",$AJ57,$AH57)+IF($G$1="牵丝",$AK57*1.5,0))*(1+$BC57)*(1+$BD57)+(($BE57+$BF57)/2*IF($G$1="破竹",$AJ57,$AH57)+IF($G$1="破竹",$AK57*1.5,0))*(1+$BG57)*(1+$BH57))*(1+$AL57)*$BK57*$P57*(1+IF(VLOOKUP($Q57,武学奇术!$A:$ZZ,30,FALSE)="蓄力技",#REF!,0))*(1+$BQ57)</f>
        <v>0</v>
      </c>
      <c r="M57" s="38">
        <f>(($AO57*$AH57+$AI57)*(1+$AP57)*(1+$AQ57)+($AT57*IF($G$1="鸣金",$AJ57,$AH57)+IF($G$1="鸣金",$AK57*1.5,0))*(1+$AU57)*(1+$AV57)+($AX57*IF($G$1="裂石",$AJ57,$AH57)+IF($G$1="裂石",$AK57*1.5,0))*(1+$AY57)*(1+$AZ57)+($BB57*IF($G$1="牵丝",$AJ57,$AH57)+IF($G$1="牵丝",$AK57*1.5,0))*(1+$BC57)*(1+$BD57)+($BF57*IF($G$1="破竹",$AJ57,$AH57)+IF($G$1="破竹",$AK57*1.5,0))*(1+$BG57)*(1+$BH57))*(1+$AL57)*$BM57*$P57*(1+IF(VLOOKUP($Q57,武学奇术!$A:$ZZ,30,FALSE)="蓄力技",#REF!,0))*(1+$BQ57)</f>
        <v>0</v>
      </c>
      <c r="N57" s="38">
        <f>((($AN57+$AO57)/2*$AH57+$AI57)*(1+$AP57)*(1+$AQ57)+(($AS57+$AT57)/2*IF($G$1="鸣金",$AJ57,$AH57)+IF($G$1="鸣金",$AK57*1.5,0))*(1+$AU57)*(1+$AV57)+(($AW57+$AX57)/2*IF($G$1="裂石",$AJ57,$AH57)+IF($G$1="裂石",$AK57*1.5,0))*(1+$AY57)*(1+$AZ57)+(($BA57+$BB57)/2*IF($G$1="牵丝",$AJ57,$AH57)+IF($G$1="牵丝",$AK57*1.5,0))*(1+$BC57)*(1+$BD57)+(($BE57+$BF57)/2*IF($G$1="破竹",$AJ57,$AH57)+IF($G$1="破竹",$AK57*1.5,0))*(1+$BG57)*(1+$BH57))*(1+$AL57)*$P57*(1+IF(VLOOKUP($Q57,武学奇术!$A:$ZZ,30,FALSE)="蓄力技",#REF!,0))*(1+$BQ57)</f>
        <v>0</v>
      </c>
      <c r="O57" s="38">
        <f>((($AN57*$AH57+$AI57)*(1+$AP57)*(1+$AQ57)+($AS57*IF($G$1="鸣金",$AJ57,$AH57)+IF($G$1="鸣金",$AK57*1.5,0))*(1+$AU57)*(1+$AV57)+($AW57*IF($G$1="裂石",$AJ57,$AH57)+IF($G$1="裂石",$AK57*1.5,0))*(1+$AY57)*(1+$AZ57)+($BA57*IF($G$1="牵丝",$AJ57,$AH57)+IF($G$1="牵丝",$AK57*1.5,0))*(1+$BC57)*(1+$BD57)+($BE57*IF($G$1="破竹",$AJ57,$AH57)+IF($G$1="破竹",$AK57*1.5,0))*(1+$BG57)*(1+$BH57))*(1+$AL57))*$P57*(1+IF(VLOOKUP($Q57,武学奇术!$A:$ZZ,30,FALSE)="蓄力技",#REF!,0))*(1+$BQ57)</f>
        <v>0</v>
      </c>
      <c r="P57" s="39">
        <v>1</v>
      </c>
      <c r="Q57" s="40" t="s">
        <v>76</v>
      </c>
      <c r="R57" s="40" t="s">
        <v>76</v>
      </c>
      <c r="S57" s="40" t="s">
        <v>76</v>
      </c>
      <c r="T57" s="40" t="s">
        <v>76</v>
      </c>
      <c r="U57" s="40" t="s">
        <v>76</v>
      </c>
      <c r="V57" s="40" t="s">
        <v>76</v>
      </c>
      <c r="W57" s="40" t="s">
        <v>76</v>
      </c>
      <c r="X57" s="40" t="s">
        <v>76</v>
      </c>
      <c r="Y57" s="40" t="s">
        <v>76</v>
      </c>
      <c r="Z57" s="40" t="s">
        <v>76</v>
      </c>
      <c r="AA57" s="40" t="s">
        <v>76</v>
      </c>
      <c r="AB57" s="40" t="s">
        <v>76</v>
      </c>
      <c r="AC57" s="40" t="s">
        <v>76</v>
      </c>
      <c r="AD57" s="40" t="s">
        <v>76</v>
      </c>
      <c r="AE57" s="40" t="s">
        <v>76</v>
      </c>
      <c r="AF57" s="40" t="s">
        <v>76</v>
      </c>
      <c r="AG57" t="str">
        <f>VLOOKUP($Q57,武学奇术!$A:$ZZ,25,FALSE)</f>
        <v>心法</v>
      </c>
      <c r="AH57" s="26">
        <f>VLOOKUP($Q57,武学奇术!$A:$ZZ,26,FALSE)</f>
        <v>0</v>
      </c>
      <c r="AI57" s="27">
        <f>VLOOKUP($Q57,武学奇术!$A:$ZZ,27,FALSE)*(1+IF(OR($AG57=$F$4,$AG57=$F$5),$B$21,0))</f>
        <v>0</v>
      </c>
      <c r="AJ57" s="26">
        <f>VLOOKUP($Q57,武学奇术!$A:$ZZ,28,FALSE)</f>
        <v>0</v>
      </c>
      <c r="AK57" s="27">
        <f>VLOOKUP($Q57,武学奇术!$A:$ZZ,29,FALSE)*(1+IF(OR($AG57=$F$4,$AG57=$F$5),$B$21,0))</f>
        <v>0</v>
      </c>
      <c r="AL57" s="26" cm="1">
        <f t="array" ref="AL57">$G$3+IFERROR(VLOOKUP($AG57,$F$4:$G$7,2,FALSE),0)+VLOOKUP($Q57,武学奇术!$A:$ZZ,2,FALSE)+SUM(_xlfn.XLOOKUP($R57:$AF57,增益!$A:$A,增益!$B:$B,0))</f>
        <v>0.1842</v>
      </c>
      <c r="AM57" s="26" cm="1">
        <f t="array" ref="AM57">VLOOKUP($Q57,武学奇术!$A:$ZZ,5,FALSE)+SUM(_xlfn.XLOOKUP($R57:$AF57,增益!$A:$A,增益!$E:$E,0))</f>
        <v>0</v>
      </c>
      <c r="AN57" cm="1">
        <f t="array" ref="AN57">$D$10*(1+$AM57)+VLOOKUP($Q57,武学奇术!$A:$ZZ,3,FALSE)+SUM(_xlfn.XLOOKUP($R57:$AF57,增益!$A:$A,增益!$C:$C,0))-$I$2</f>
        <v>3940</v>
      </c>
      <c r="AO57" cm="1">
        <f t="array" ref="AO57">$E$10*(1+$AM57)+VLOOKUP($Q57,武学奇术!$A:$ZZ,4,FALSE)+SUM(_xlfn.XLOOKUP($R57:$AF57,增益!$A:$A,增益!$D:$D,0))-$I$2</f>
        <v>3940</v>
      </c>
      <c r="AP57" s="32" cm="1">
        <f t="array" ref="AP57">IF($F$10-$I$3+VLOOKUP($Q57,武学奇术!$A:$ZZ,6,FALSE)+SUM(_xlfn.XLOOKUP(R57:AF57,增益!$A:$A,增益!$F:$F,0))&gt;0,($F$10-$I$3+VLOOKUP($Q57,武学奇术!$A:$ZZ,6,FALSE)+SUM(_xlfn.XLOOKUP(R57:AF57,增益!$A:$A,增益!$F:$F,0)))/200,($F$10-$I$3+VLOOKUP($Q57,武学奇术!$A:$ZZ,6,FALSE)+SUM(_xlfn.XLOOKUP(R57:AF57,增益!$A:$A,增益!$F:$F,0)))/100)</f>
        <v>0.194</v>
      </c>
      <c r="AQ57" s="32" cm="1">
        <f t="array" ref="AQ57">$G$10+VLOOKUP($Q57,武学奇术!$A:$ZZ,7,FALSE)+SUM(_xlfn.XLOOKUP(R57:AF57,增益!$A:$A,增益!$G:$G,0))</f>
        <v>0</v>
      </c>
      <c r="AR57" s="26" cm="1">
        <f t="array" ref="AR57">VLOOKUP($Q57,武学奇术!$A:$ZZ,8,FALSE)+SUM(_xlfn.XLOOKUP(R57:AF57,增益!$A:$A,增益!$H:$H,0))</f>
        <v>0</v>
      </c>
      <c r="AS57">
        <f t="shared" si="1"/>
        <v>0</v>
      </c>
      <c r="AT57">
        <f t="shared" si="2"/>
        <v>0</v>
      </c>
      <c r="AU57" s="32" cm="1">
        <f t="array" ref="AU57">IF($F$11-$I$4+VLOOKUP($Q57,武学奇术!$A:$ZZ,9,FALSE)+SUM(_xlfn.XLOOKUP(R57:AF57,增益!$A:$A,增益!$I:$I,0))&gt;0,($F$11-$I$4+VLOOKUP($Q57,武学奇术!$A:$ZZ,9,FALSE)+SUM(_xlfn.XLOOKUP(R57:AF57,增益!$A:$A,增益!$I:$I,0)))/200,($F$11-$I$4+VLOOKUP($Q57,武学奇术!$A:$ZZ,9,FALSE)+SUM(_xlfn.XLOOKUP(R57:AF57,增益!$A:$A,增益!$I:$I,0)))/100)</f>
        <v>-0.3</v>
      </c>
      <c r="AV57" s="32" cm="1">
        <f t="array" ref="AV57">$G$11+VLOOKUP($Q57,武学奇术!$A:$ZZ,10,FALSE)+SUM(_xlfn.XLOOKUP(R57:AF57,增益!$A:$A,增益!$J:$J,0))</f>
        <v>0</v>
      </c>
      <c r="AW57">
        <f t="shared" si="3"/>
        <v>0</v>
      </c>
      <c r="AX57">
        <f t="shared" si="4"/>
        <v>0</v>
      </c>
      <c r="AY57" s="32" cm="1">
        <f t="array" ref="AY57">IF($F$12-$I$4+VLOOKUP($Q57,武学奇术!$A:$ZZ,11,FALSE)+SUM(_xlfn.XLOOKUP(R57:AF57,增益!$A:$A,增益!$K:$K,0))&gt;0,($F$12-$I$4+VLOOKUP($Q57,武学奇术!$A:$ZZ,11,FALSE)+SUM(_xlfn.XLOOKUP(R57:AF57,增益!$A:$A,增益!$K:$K,0)))/200,($F$12-$I$4+VLOOKUP($Q57,武学奇术!$A:$ZZ,11,FALSE)+SUM(_xlfn.XLOOKUP(R57:AF57,增益!$A:$A,增益!$K:$K,0)))/100)</f>
        <v>-0.3</v>
      </c>
      <c r="AZ57" s="32" cm="1">
        <f t="array" ref="AZ57">$G$12+VLOOKUP($Q57,武学奇术!$A:$ZZ,12,FALSE)+SUM(_xlfn.XLOOKUP(R57:AF57,增益!$A:$A,增益!$L:$L,0))</f>
        <v>0</v>
      </c>
      <c r="BA57">
        <f t="shared" si="5"/>
        <v>697.4</v>
      </c>
      <c r="BB57">
        <f t="shared" si="6"/>
        <v>1805</v>
      </c>
      <c r="BC57" s="32" cm="1">
        <f t="array" ref="BC57">IF($F$13-$I$4+VLOOKUP($Q57,武学奇术!$A:$ZZ,13,FALSE)+SUM(_xlfn.XLOOKUP(R57:AF57,增益!$A:$A,增益!$M:$M,0))&gt;0,($F$13-$I$4+VLOOKUP($Q57,武学奇术!$A:$ZZ,13,FALSE)+SUM(_xlfn.XLOOKUP(R57:AF57,增益!$A:$A,增益!$K:$K,0)))/200,($F$13-$I$4+VLOOKUP($Q57,武学奇术!$A:$ZZ,13,FALSE)+SUM(_xlfn.XLOOKUP(R57:AF57,增益!$A:$A,增益!$M:$M,0)))/100)</f>
        <v>0</v>
      </c>
      <c r="BD57" s="32" cm="1">
        <f t="array" ref="BD57">$G$13+VLOOKUP($Q57,武学奇术!$A:$ZZ,14,FALSE)+SUM(_xlfn.XLOOKUP(R57:AF57,增益!$A:$A,增益!$N:$N,0))</f>
        <v>0.15</v>
      </c>
      <c r="BE57">
        <f t="shared" si="7"/>
        <v>0</v>
      </c>
      <c r="BF57">
        <f t="shared" si="8"/>
        <v>0</v>
      </c>
      <c r="BG57" s="32" cm="1">
        <f t="array" ref="BG57">IF($F$14-$I$4+VLOOKUP($Q57,武学奇术!$A:$ZZ,15,FALSE)+SUM(_xlfn.XLOOKUP(R57:AF57,增益!$A:$A,增益!$O:$O,0))&gt;0,($F$14-$I$4+VLOOKUP($Q57,武学奇术!$A:$ZZ,15,FALSE)+SUM(_xlfn.XLOOKUP(R57:AF57,增益!$A:$A,增益!$O:$O,0)))/200,($F$14-$I$4+VLOOKUP($Q57,武学奇术!$A:$ZZ,15,FALSE)+SUM(_xlfn.XLOOKUP(R57:AF57,增益!$A:$A,增益!$O:$O,0)))/100)</f>
        <v>-0.3</v>
      </c>
      <c r="BH57" s="32" cm="1">
        <f t="array" ref="BH57">$G$14+VLOOKUP($Q57,武学奇术!$A:$ZZ,16,FALSE)+SUM(_xlfn.XLOOKUP(R57:AF57,增益!$A:$A,增益!$P:$P,0))</f>
        <v>0</v>
      </c>
      <c r="BI57" s="26">
        <f>MIN(IF(VLOOKUP($Q57,武学奇术!$A:$ZZ,23,FALSE)=1,100%,$B$8),100%)</f>
        <v>1</v>
      </c>
      <c r="BJ57" s="26" cm="1">
        <f t="array" ref="BJ57">IF(VLOOKUP($Q57,武学奇术!$A:$ZZ,23,FALSE)=1,100%,MIN(80%,$B$9+VLOOKUP($Q57,武学奇术!$A:$ZZ,17,FALSE)+SUM(_xlfn.XLOOKUP(R57:AF57,增益!$A:$A,增益!$Q:$Q,0)))+$B$11+SUM(_xlfn.XLOOKUP(R57:AF57,增益!$A:$A,增益!$U:$U,0)))*IF(VLOOKUP($Q57,武学奇术!$A:$ZZ,24,FALSE)=1,0,1)</f>
        <v>0.8625</v>
      </c>
      <c r="BK57" s="26" cm="1">
        <f t="array" ref="BK57">1+$B$13+VLOOKUP($Q57,武学奇术!$A:$ZZ,18,FALSE)+SUM(_xlfn.XLOOKUP(R57:AF57,增益!$A:$A,增益!$R:$R,0))</f>
        <v>1.5</v>
      </c>
      <c r="BL57" s="26" cm="1">
        <f t="array" ref="BL57">IF(VLOOKUP($Q57,武学奇术!$A:$ZZ,24,FALSE)=1,100%,MIN(40%,$B$10+VLOOKUP($Q57,武学奇术!$A:$ZZ,19,FALSE)+SUM(_xlfn.XLOOKUP(R57:AF57,增益!$A:$A,增益!$S:$S,0)))+$B$12+SUM(_xlfn.XLOOKUP(R57:AF57,增益!$A:$A,增益!$V:$V,0)))*IF(VLOOKUP($Q57,武学奇术!$A:$ZZ,23,FALSE)=1,0,1)</f>
        <v>0.0913</v>
      </c>
      <c r="BM57" s="26" cm="1">
        <f t="array" ref="BM57">1+$B$14+VLOOKUP($Q57,武学奇术!$A:$ZZ,20,FALSE)+SUM(_xlfn.XLOOKUP(R57:AF57,增益!$A:$A,增益!$T:$T,0))</f>
        <v>1.35</v>
      </c>
      <c r="BN57" s="26">
        <f t="shared" si="9"/>
        <v>0.8625</v>
      </c>
      <c r="BO57" s="26">
        <f t="shared" si="10"/>
        <v>0.0462</v>
      </c>
      <c r="BP57" s="26">
        <f>IF(VLOOKUP($Q57,武学奇术!$A:$ZZ,22,FALSE)=1,0,(1-$BI57))*(1-$BL57)</f>
        <v>0</v>
      </c>
      <c r="BQ57" s="26" cm="1">
        <f t="array" ref="BQ57">SUM(_xlfn.XLOOKUP(R57:AF57,增益!$A:$A,增益!$W:$W,0))+$I$5</f>
        <v>0.06</v>
      </c>
    </row>
    <row r="58" spans="4:69">
      <c r="K58" s="38">
        <f t="shared" si="0"/>
        <v>0</v>
      </c>
      <c r="L58" s="38">
        <f>((($AN58+$AO58)/2*$AH58+$AI58)*(1+$AP58)*(1+$AQ58)+(($AS58+$AT58)/2*IF($G$1="鸣金",$AJ58,$AH58)+IF($G$1="鸣金",$AK58*1.5,0))*(1+$AU58)*(1+$AV58)+(($AW58+$AX58)/2*IF($G$1="裂石",$AJ58,$AH58)+IF($G$1="裂石",$AK58*1.5,0))*(1+$AY58)*(1+$AZ58)+(($BA58+$BB58)/2*IF($G$1="牵丝",$AJ58,$AH58)+IF($G$1="牵丝",$AK58*1.5,0))*(1+$BC58)*(1+$BD58)+(($BE58+$BF58)/2*IF($G$1="破竹",$AJ58,$AH58)+IF($G$1="破竹",$AK58*1.5,0))*(1+$BG58)*(1+$BH58))*(1+$AL58)*$BK58*$P58*(1+IF(VLOOKUP($Q58,武学奇术!$A:$ZZ,30,FALSE)="蓄力技",#REF!,0))*(1+$BQ58)</f>
        <v>0</v>
      </c>
      <c r="M58" s="38">
        <f>(($AO58*$AH58+$AI58)*(1+$AP58)*(1+$AQ58)+($AT58*IF($G$1="鸣金",$AJ58,$AH58)+IF($G$1="鸣金",$AK58*1.5,0))*(1+$AU58)*(1+$AV58)+($AX58*IF($G$1="裂石",$AJ58,$AH58)+IF($G$1="裂石",$AK58*1.5,0))*(1+$AY58)*(1+$AZ58)+($BB58*IF($G$1="牵丝",$AJ58,$AH58)+IF($G$1="牵丝",$AK58*1.5,0))*(1+$BC58)*(1+$BD58)+($BF58*IF($G$1="破竹",$AJ58,$AH58)+IF($G$1="破竹",$AK58*1.5,0))*(1+$BG58)*(1+$BH58))*(1+$AL58)*$BM58*$P58*(1+IF(VLOOKUP($Q58,武学奇术!$A:$ZZ,30,FALSE)="蓄力技",#REF!,0))*(1+$BQ58)</f>
        <v>0</v>
      </c>
      <c r="N58" s="38">
        <f>((($AN58+$AO58)/2*$AH58+$AI58)*(1+$AP58)*(1+$AQ58)+(($AS58+$AT58)/2*IF($G$1="鸣金",$AJ58,$AH58)+IF($G$1="鸣金",$AK58*1.5,0))*(1+$AU58)*(1+$AV58)+(($AW58+$AX58)/2*IF($G$1="裂石",$AJ58,$AH58)+IF($G$1="裂石",$AK58*1.5,0))*(1+$AY58)*(1+$AZ58)+(($BA58+$BB58)/2*IF($G$1="牵丝",$AJ58,$AH58)+IF($G$1="牵丝",$AK58*1.5,0))*(1+$BC58)*(1+$BD58)+(($BE58+$BF58)/2*IF($G$1="破竹",$AJ58,$AH58)+IF($G$1="破竹",$AK58*1.5,0))*(1+$BG58)*(1+$BH58))*(1+$AL58)*$P58*(1+IF(VLOOKUP($Q58,武学奇术!$A:$ZZ,30,FALSE)="蓄力技",#REF!,0))*(1+$BQ58)</f>
        <v>0</v>
      </c>
      <c r="O58" s="38">
        <f>((($AN58*$AH58+$AI58)*(1+$AP58)*(1+$AQ58)+($AS58*IF($G$1="鸣金",$AJ58,$AH58)+IF($G$1="鸣金",$AK58*1.5,0))*(1+$AU58)*(1+$AV58)+($AW58*IF($G$1="裂石",$AJ58,$AH58)+IF($G$1="裂石",$AK58*1.5,0))*(1+$AY58)*(1+$AZ58)+($BA58*IF($G$1="牵丝",$AJ58,$AH58)+IF($G$1="牵丝",$AK58*1.5,0))*(1+$BC58)*(1+$BD58)+($BE58*IF($G$1="破竹",$AJ58,$AH58)+IF($G$1="破竹",$AK58*1.5,0))*(1+$BG58)*(1+$BH58))*(1+$AL58))*$P58*(1+IF(VLOOKUP($Q58,武学奇术!$A:$ZZ,30,FALSE)="蓄力技",#REF!,0))*(1+$BQ58)</f>
        <v>0</v>
      </c>
      <c r="P58" s="39">
        <v>1</v>
      </c>
      <c r="Q58" s="40" t="s">
        <v>76</v>
      </c>
      <c r="R58" s="40" t="s">
        <v>76</v>
      </c>
      <c r="S58" s="40" t="s">
        <v>76</v>
      </c>
      <c r="T58" s="40" t="s">
        <v>76</v>
      </c>
      <c r="U58" s="40" t="s">
        <v>76</v>
      </c>
      <c r="V58" s="40" t="s">
        <v>76</v>
      </c>
      <c r="W58" s="40" t="s">
        <v>76</v>
      </c>
      <c r="X58" s="40" t="s">
        <v>76</v>
      </c>
      <c r="Y58" s="40" t="s">
        <v>76</v>
      </c>
      <c r="Z58" s="40" t="s">
        <v>76</v>
      </c>
      <c r="AA58" s="40" t="s">
        <v>76</v>
      </c>
      <c r="AB58" s="40" t="s">
        <v>76</v>
      </c>
      <c r="AC58" s="40" t="s">
        <v>76</v>
      </c>
      <c r="AD58" s="40" t="s">
        <v>76</v>
      </c>
      <c r="AE58" s="40" t="s">
        <v>76</v>
      </c>
      <c r="AF58" s="40" t="s">
        <v>76</v>
      </c>
      <c r="AG58" t="str">
        <f>VLOOKUP($Q58,武学奇术!$A:$ZZ,25,FALSE)</f>
        <v>心法</v>
      </c>
      <c r="AH58" s="26">
        <f>VLOOKUP($Q58,武学奇术!$A:$ZZ,26,FALSE)</f>
        <v>0</v>
      </c>
      <c r="AI58" s="27">
        <f>VLOOKUP($Q58,武学奇术!$A:$ZZ,27,FALSE)*(1+IF(OR($AG58=$F$4,$AG58=$F$5),$B$21,0))</f>
        <v>0</v>
      </c>
      <c r="AJ58" s="26">
        <f>VLOOKUP($Q58,武学奇术!$A:$ZZ,28,FALSE)</f>
        <v>0</v>
      </c>
      <c r="AK58" s="27">
        <f>VLOOKUP($Q58,武学奇术!$A:$ZZ,29,FALSE)*(1+IF(OR($AG58=$F$4,$AG58=$F$5),$B$21,0))</f>
        <v>0</v>
      </c>
      <c r="AL58" s="26" cm="1">
        <f t="array" ref="AL58">$G$3+IFERROR(VLOOKUP($AG58,$F$4:$G$7,2,FALSE),0)+VLOOKUP($Q58,武学奇术!$A:$ZZ,2,FALSE)+SUM(_xlfn.XLOOKUP($R58:$AF58,增益!$A:$A,增益!$B:$B,0))</f>
        <v>0.1842</v>
      </c>
      <c r="AM58" s="26" cm="1">
        <f t="array" ref="AM58">VLOOKUP($Q58,武学奇术!$A:$ZZ,5,FALSE)+SUM(_xlfn.XLOOKUP($R58:$AF58,增益!$A:$A,增益!$E:$E,0))</f>
        <v>0</v>
      </c>
      <c r="AN58" cm="1">
        <f t="array" ref="AN58">$D$10*(1+$AM58)+VLOOKUP($Q58,武学奇术!$A:$ZZ,3,FALSE)+SUM(_xlfn.XLOOKUP($R58:$AF58,增益!$A:$A,增益!$C:$C,0))-$I$2</f>
        <v>3940</v>
      </c>
      <c r="AO58" cm="1">
        <f t="array" ref="AO58">$E$10*(1+$AM58)+VLOOKUP($Q58,武学奇术!$A:$ZZ,4,FALSE)+SUM(_xlfn.XLOOKUP($R58:$AF58,增益!$A:$A,增益!$D:$D,0))-$I$2</f>
        <v>3940</v>
      </c>
      <c r="AP58" s="32" cm="1">
        <f t="array" ref="AP58">IF($F$10-$I$3+VLOOKUP($Q58,武学奇术!$A:$ZZ,6,FALSE)+SUM(_xlfn.XLOOKUP(R58:AF58,增益!$A:$A,增益!$F:$F,0))&gt;0,($F$10-$I$3+VLOOKUP($Q58,武学奇术!$A:$ZZ,6,FALSE)+SUM(_xlfn.XLOOKUP(R58:AF58,增益!$A:$A,增益!$F:$F,0)))/200,($F$10-$I$3+VLOOKUP($Q58,武学奇术!$A:$ZZ,6,FALSE)+SUM(_xlfn.XLOOKUP(R58:AF58,增益!$A:$A,增益!$F:$F,0)))/100)</f>
        <v>0.194</v>
      </c>
      <c r="AQ58" s="32" cm="1">
        <f t="array" ref="AQ58">$G$10+VLOOKUP($Q58,武学奇术!$A:$ZZ,7,FALSE)+SUM(_xlfn.XLOOKUP(R58:AF58,增益!$A:$A,增益!$G:$G,0))</f>
        <v>0</v>
      </c>
      <c r="AR58" s="26" cm="1">
        <f t="array" ref="AR58">VLOOKUP($Q58,武学奇术!$A:$ZZ,8,FALSE)+SUM(_xlfn.XLOOKUP(R58:AF58,增益!$A:$A,增益!$H:$H,0))</f>
        <v>0</v>
      </c>
      <c r="AS58">
        <f t="shared" si="1"/>
        <v>0</v>
      </c>
      <c r="AT58">
        <f t="shared" si="2"/>
        <v>0</v>
      </c>
      <c r="AU58" s="32" cm="1">
        <f t="array" ref="AU58">IF($F$11-$I$4+VLOOKUP($Q58,武学奇术!$A:$ZZ,9,FALSE)+SUM(_xlfn.XLOOKUP(R58:AF58,增益!$A:$A,增益!$I:$I,0))&gt;0,($F$11-$I$4+VLOOKUP($Q58,武学奇术!$A:$ZZ,9,FALSE)+SUM(_xlfn.XLOOKUP(R58:AF58,增益!$A:$A,增益!$I:$I,0)))/200,($F$11-$I$4+VLOOKUP($Q58,武学奇术!$A:$ZZ,9,FALSE)+SUM(_xlfn.XLOOKUP(R58:AF58,增益!$A:$A,增益!$I:$I,0)))/100)</f>
        <v>-0.3</v>
      </c>
      <c r="AV58" s="32" cm="1">
        <f t="array" ref="AV58">$G$11+VLOOKUP($Q58,武学奇术!$A:$ZZ,10,FALSE)+SUM(_xlfn.XLOOKUP(R58:AF58,增益!$A:$A,增益!$J:$J,0))</f>
        <v>0</v>
      </c>
      <c r="AW58">
        <f t="shared" si="3"/>
        <v>0</v>
      </c>
      <c r="AX58">
        <f t="shared" si="4"/>
        <v>0</v>
      </c>
      <c r="AY58" s="32" cm="1">
        <f t="array" ref="AY58">IF($F$12-$I$4+VLOOKUP($Q58,武学奇术!$A:$ZZ,11,FALSE)+SUM(_xlfn.XLOOKUP(R58:AF58,增益!$A:$A,增益!$K:$K,0))&gt;0,($F$12-$I$4+VLOOKUP($Q58,武学奇术!$A:$ZZ,11,FALSE)+SUM(_xlfn.XLOOKUP(R58:AF58,增益!$A:$A,增益!$K:$K,0)))/200,($F$12-$I$4+VLOOKUP($Q58,武学奇术!$A:$ZZ,11,FALSE)+SUM(_xlfn.XLOOKUP(R58:AF58,增益!$A:$A,增益!$K:$K,0)))/100)</f>
        <v>-0.3</v>
      </c>
      <c r="AZ58" s="32" cm="1">
        <f t="array" ref="AZ58">$G$12+VLOOKUP($Q58,武学奇术!$A:$ZZ,12,FALSE)+SUM(_xlfn.XLOOKUP(R58:AF58,增益!$A:$A,增益!$L:$L,0))</f>
        <v>0</v>
      </c>
      <c r="BA58">
        <f t="shared" si="5"/>
        <v>697.4</v>
      </c>
      <c r="BB58">
        <f t="shared" si="6"/>
        <v>1805</v>
      </c>
      <c r="BC58" s="32" cm="1">
        <f t="array" ref="BC58">IF($F$13-$I$4+VLOOKUP($Q58,武学奇术!$A:$ZZ,13,FALSE)+SUM(_xlfn.XLOOKUP(R58:AF58,增益!$A:$A,增益!$M:$M,0))&gt;0,($F$13-$I$4+VLOOKUP($Q58,武学奇术!$A:$ZZ,13,FALSE)+SUM(_xlfn.XLOOKUP(R58:AF58,增益!$A:$A,增益!$K:$K,0)))/200,($F$13-$I$4+VLOOKUP($Q58,武学奇术!$A:$ZZ,13,FALSE)+SUM(_xlfn.XLOOKUP(R58:AF58,增益!$A:$A,增益!$M:$M,0)))/100)</f>
        <v>0</v>
      </c>
      <c r="BD58" s="32" cm="1">
        <f t="array" ref="BD58">$G$13+VLOOKUP($Q58,武学奇术!$A:$ZZ,14,FALSE)+SUM(_xlfn.XLOOKUP(R58:AF58,增益!$A:$A,增益!$N:$N,0))</f>
        <v>0.15</v>
      </c>
      <c r="BE58">
        <f t="shared" si="7"/>
        <v>0</v>
      </c>
      <c r="BF58">
        <f t="shared" si="8"/>
        <v>0</v>
      </c>
      <c r="BG58" s="32" cm="1">
        <f t="array" ref="BG58">IF($F$14-$I$4+VLOOKUP($Q58,武学奇术!$A:$ZZ,15,FALSE)+SUM(_xlfn.XLOOKUP(R58:AF58,增益!$A:$A,增益!$O:$O,0))&gt;0,($F$14-$I$4+VLOOKUP($Q58,武学奇术!$A:$ZZ,15,FALSE)+SUM(_xlfn.XLOOKUP(R58:AF58,增益!$A:$A,增益!$O:$O,0)))/200,($F$14-$I$4+VLOOKUP($Q58,武学奇术!$A:$ZZ,15,FALSE)+SUM(_xlfn.XLOOKUP(R58:AF58,增益!$A:$A,增益!$O:$O,0)))/100)</f>
        <v>-0.3</v>
      </c>
      <c r="BH58" s="32" cm="1">
        <f t="array" ref="BH58">$G$14+VLOOKUP($Q58,武学奇术!$A:$ZZ,16,FALSE)+SUM(_xlfn.XLOOKUP(R58:AF58,增益!$A:$A,增益!$P:$P,0))</f>
        <v>0</v>
      </c>
      <c r="BI58" s="26">
        <f>MIN(IF(VLOOKUP($Q58,武学奇术!$A:$ZZ,23,FALSE)=1,100%,$B$8),100%)</f>
        <v>1</v>
      </c>
      <c r="BJ58" s="26" cm="1">
        <f t="array" ref="BJ58">IF(VLOOKUP($Q58,武学奇术!$A:$ZZ,23,FALSE)=1,100%,MIN(80%,$B$9+VLOOKUP($Q58,武学奇术!$A:$ZZ,17,FALSE)+SUM(_xlfn.XLOOKUP(R58:AF58,增益!$A:$A,增益!$Q:$Q,0)))+$B$11+SUM(_xlfn.XLOOKUP(R58:AF58,增益!$A:$A,增益!$U:$U,0)))*IF(VLOOKUP($Q58,武学奇术!$A:$ZZ,24,FALSE)=1,0,1)</f>
        <v>0.8625</v>
      </c>
      <c r="BK58" s="26" cm="1">
        <f t="array" ref="BK58">1+$B$13+VLOOKUP($Q58,武学奇术!$A:$ZZ,18,FALSE)+SUM(_xlfn.XLOOKUP(R58:AF58,增益!$A:$A,增益!$R:$R,0))</f>
        <v>1.5</v>
      </c>
      <c r="BL58" s="26" cm="1">
        <f t="array" ref="BL58">IF(VLOOKUP($Q58,武学奇术!$A:$ZZ,24,FALSE)=1,100%,MIN(40%,$B$10+VLOOKUP($Q58,武学奇术!$A:$ZZ,19,FALSE)+SUM(_xlfn.XLOOKUP(R58:AF58,增益!$A:$A,增益!$S:$S,0)))+$B$12+SUM(_xlfn.XLOOKUP(R58:AF58,增益!$A:$A,增益!$V:$V,0)))*IF(VLOOKUP($Q58,武学奇术!$A:$ZZ,23,FALSE)=1,0,1)</f>
        <v>0.0913</v>
      </c>
      <c r="BM58" s="26" cm="1">
        <f t="array" ref="BM58">1+$B$14+VLOOKUP($Q58,武学奇术!$A:$ZZ,20,FALSE)+SUM(_xlfn.XLOOKUP(R58:AF58,增益!$A:$A,增益!$T:$T,0))</f>
        <v>1.35</v>
      </c>
      <c r="BN58" s="26">
        <f t="shared" si="9"/>
        <v>0.8625</v>
      </c>
      <c r="BO58" s="26">
        <f t="shared" si="10"/>
        <v>0.0462</v>
      </c>
      <c r="BP58" s="26">
        <f>IF(VLOOKUP($Q58,武学奇术!$A:$ZZ,22,FALSE)=1,0,(1-$BI58))*(1-$BL58)</f>
        <v>0</v>
      </c>
      <c r="BQ58" s="26" cm="1">
        <f t="array" ref="BQ58">SUM(_xlfn.XLOOKUP(R58:AF58,增益!$A:$A,增益!$W:$W,0))+$I$5</f>
        <v>0.06</v>
      </c>
    </row>
    <row r="59" spans="4:69">
      <c r="K59" s="38">
        <f t="shared" si="0"/>
        <v>0</v>
      </c>
      <c r="L59" s="38">
        <f>((($AN59+$AO59)/2*$AH59+$AI59)*(1+$AP59)*(1+$AQ59)+(($AS59+$AT59)/2*IF($G$1="鸣金",$AJ59,$AH59)+IF($G$1="鸣金",$AK59*1.5,0))*(1+$AU59)*(1+$AV59)+(($AW59+$AX59)/2*IF($G$1="裂石",$AJ59,$AH59)+IF($G$1="裂石",$AK59*1.5,0))*(1+$AY59)*(1+$AZ59)+(($BA59+$BB59)/2*IF($G$1="牵丝",$AJ59,$AH59)+IF($G$1="牵丝",$AK59*1.5,0))*(1+$BC59)*(1+$BD59)+(($BE59+$BF59)/2*IF($G$1="破竹",$AJ59,$AH59)+IF($G$1="破竹",$AK59*1.5,0))*(1+$BG59)*(1+$BH59))*(1+$AL59)*$BK59*$P59*(1+IF(VLOOKUP($Q59,武学奇术!$A:$ZZ,30,FALSE)="蓄力技",#REF!,0))*(1+$BQ59)</f>
        <v>0</v>
      </c>
      <c r="M59" s="38">
        <f>(($AO59*$AH59+$AI59)*(1+$AP59)*(1+$AQ59)+($AT59*IF($G$1="鸣金",$AJ59,$AH59)+IF($G$1="鸣金",$AK59*1.5,0))*(1+$AU59)*(1+$AV59)+($AX59*IF($G$1="裂石",$AJ59,$AH59)+IF($G$1="裂石",$AK59*1.5,0))*(1+$AY59)*(1+$AZ59)+($BB59*IF($G$1="牵丝",$AJ59,$AH59)+IF($G$1="牵丝",$AK59*1.5,0))*(1+$BC59)*(1+$BD59)+($BF59*IF($G$1="破竹",$AJ59,$AH59)+IF($G$1="破竹",$AK59*1.5,0))*(1+$BG59)*(1+$BH59))*(1+$AL59)*$BM59*$P59*(1+IF(VLOOKUP($Q59,武学奇术!$A:$ZZ,30,FALSE)="蓄力技",#REF!,0))*(1+$BQ59)</f>
        <v>0</v>
      </c>
      <c r="N59" s="38">
        <f>((($AN59+$AO59)/2*$AH59+$AI59)*(1+$AP59)*(1+$AQ59)+(($AS59+$AT59)/2*IF($G$1="鸣金",$AJ59,$AH59)+IF($G$1="鸣金",$AK59*1.5,0))*(1+$AU59)*(1+$AV59)+(($AW59+$AX59)/2*IF($G$1="裂石",$AJ59,$AH59)+IF($G$1="裂石",$AK59*1.5,0))*(1+$AY59)*(1+$AZ59)+(($BA59+$BB59)/2*IF($G$1="牵丝",$AJ59,$AH59)+IF($G$1="牵丝",$AK59*1.5,0))*(1+$BC59)*(1+$BD59)+(($BE59+$BF59)/2*IF($G$1="破竹",$AJ59,$AH59)+IF($G$1="破竹",$AK59*1.5,0))*(1+$BG59)*(1+$BH59))*(1+$AL59)*$P59*(1+IF(VLOOKUP($Q59,武学奇术!$A:$ZZ,30,FALSE)="蓄力技",#REF!,0))*(1+$BQ59)</f>
        <v>0</v>
      </c>
      <c r="O59" s="38">
        <f>((($AN59*$AH59+$AI59)*(1+$AP59)*(1+$AQ59)+($AS59*IF($G$1="鸣金",$AJ59,$AH59)+IF($G$1="鸣金",$AK59*1.5,0))*(1+$AU59)*(1+$AV59)+($AW59*IF($G$1="裂石",$AJ59,$AH59)+IF($G$1="裂石",$AK59*1.5,0))*(1+$AY59)*(1+$AZ59)+($BA59*IF($G$1="牵丝",$AJ59,$AH59)+IF($G$1="牵丝",$AK59*1.5,0))*(1+$BC59)*(1+$BD59)+($BE59*IF($G$1="破竹",$AJ59,$AH59)+IF($G$1="破竹",$AK59*1.5,0))*(1+$BG59)*(1+$BH59))*(1+$AL59))*$P59*(1+IF(VLOOKUP($Q59,武学奇术!$A:$ZZ,30,FALSE)="蓄力技",#REF!,0))*(1+$BQ59)</f>
        <v>0</v>
      </c>
      <c r="P59" s="39">
        <v>1</v>
      </c>
      <c r="Q59" s="40" t="s">
        <v>76</v>
      </c>
      <c r="R59" s="40" t="s">
        <v>76</v>
      </c>
      <c r="S59" s="40" t="s">
        <v>76</v>
      </c>
      <c r="T59" s="40" t="s">
        <v>76</v>
      </c>
      <c r="U59" s="40" t="s">
        <v>76</v>
      </c>
      <c r="V59" s="40" t="s">
        <v>76</v>
      </c>
      <c r="W59" s="40" t="s">
        <v>76</v>
      </c>
      <c r="X59" s="40" t="s">
        <v>76</v>
      </c>
      <c r="Y59" s="40" t="s">
        <v>76</v>
      </c>
      <c r="Z59" s="40" t="s">
        <v>76</v>
      </c>
      <c r="AA59" s="40" t="s">
        <v>76</v>
      </c>
      <c r="AB59" s="40" t="s">
        <v>76</v>
      </c>
      <c r="AC59" s="40" t="s">
        <v>76</v>
      </c>
      <c r="AD59" s="40" t="s">
        <v>76</v>
      </c>
      <c r="AE59" s="40" t="s">
        <v>76</v>
      </c>
      <c r="AF59" s="40" t="s">
        <v>76</v>
      </c>
      <c r="AG59" t="str">
        <f>VLOOKUP($Q59,武学奇术!$A:$ZZ,25,FALSE)</f>
        <v>心法</v>
      </c>
      <c r="AH59" s="26">
        <f>VLOOKUP($Q59,武学奇术!$A:$ZZ,26,FALSE)</f>
        <v>0</v>
      </c>
      <c r="AI59" s="27">
        <f>VLOOKUP($Q59,武学奇术!$A:$ZZ,27,FALSE)*(1+IF(OR($AG59=$F$4,$AG59=$F$5),$B$21,0))</f>
        <v>0</v>
      </c>
      <c r="AJ59" s="26">
        <f>VLOOKUP($Q59,武学奇术!$A:$ZZ,28,FALSE)</f>
        <v>0</v>
      </c>
      <c r="AK59" s="27">
        <f>VLOOKUP($Q59,武学奇术!$A:$ZZ,29,FALSE)*(1+IF(OR($AG59=$F$4,$AG59=$F$5),$B$21,0))</f>
        <v>0</v>
      </c>
      <c r="AL59" s="26" cm="1">
        <f t="array" ref="AL59">$G$3+IFERROR(VLOOKUP($AG59,$F$4:$G$7,2,FALSE),0)+VLOOKUP($Q59,武学奇术!$A:$ZZ,2,FALSE)+SUM(_xlfn.XLOOKUP($R59:$AF59,增益!$A:$A,增益!$B:$B,0))</f>
        <v>0.1842</v>
      </c>
      <c r="AM59" s="26" cm="1">
        <f t="array" ref="AM59">VLOOKUP($Q59,武学奇术!$A:$ZZ,5,FALSE)+SUM(_xlfn.XLOOKUP($R59:$AF59,增益!$A:$A,增益!$E:$E,0))</f>
        <v>0</v>
      </c>
      <c r="AN59" cm="1">
        <f t="array" ref="AN59">$D$10*(1+$AM59)+VLOOKUP($Q59,武学奇术!$A:$ZZ,3,FALSE)+SUM(_xlfn.XLOOKUP($R59:$AF59,增益!$A:$A,增益!$C:$C,0))-$I$2</f>
        <v>3940</v>
      </c>
      <c r="AO59" cm="1">
        <f t="array" ref="AO59">$E$10*(1+$AM59)+VLOOKUP($Q59,武学奇术!$A:$ZZ,4,FALSE)+SUM(_xlfn.XLOOKUP($R59:$AF59,增益!$A:$A,增益!$D:$D,0))-$I$2</f>
        <v>3940</v>
      </c>
      <c r="AP59" s="32" cm="1">
        <f t="array" ref="AP59">IF($F$10-$I$3+VLOOKUP($Q59,武学奇术!$A:$ZZ,6,FALSE)+SUM(_xlfn.XLOOKUP(R59:AF59,增益!$A:$A,增益!$F:$F,0))&gt;0,($F$10-$I$3+VLOOKUP($Q59,武学奇术!$A:$ZZ,6,FALSE)+SUM(_xlfn.XLOOKUP(R59:AF59,增益!$A:$A,增益!$F:$F,0)))/200,($F$10-$I$3+VLOOKUP($Q59,武学奇术!$A:$ZZ,6,FALSE)+SUM(_xlfn.XLOOKUP(R59:AF59,增益!$A:$A,增益!$F:$F,0)))/100)</f>
        <v>0.194</v>
      </c>
      <c r="AQ59" s="32" cm="1">
        <f t="array" ref="AQ59">$G$10+VLOOKUP($Q59,武学奇术!$A:$ZZ,7,FALSE)+SUM(_xlfn.XLOOKUP(R59:AF59,增益!$A:$A,增益!$G:$G,0))</f>
        <v>0</v>
      </c>
      <c r="AR59" s="26" cm="1">
        <f t="array" ref="AR59">VLOOKUP($Q59,武学奇术!$A:$ZZ,8,FALSE)+SUM(_xlfn.XLOOKUP(R59:AF59,增益!$A:$A,增益!$H:$H,0))</f>
        <v>0</v>
      </c>
      <c r="AS59">
        <f t="shared" si="1"/>
        <v>0</v>
      </c>
      <c r="AT59">
        <f t="shared" si="2"/>
        <v>0</v>
      </c>
      <c r="AU59" s="32" cm="1">
        <f t="array" ref="AU59">IF($F$11-$I$4+VLOOKUP($Q59,武学奇术!$A:$ZZ,9,FALSE)+SUM(_xlfn.XLOOKUP(R59:AF59,增益!$A:$A,增益!$I:$I,0))&gt;0,($F$11-$I$4+VLOOKUP($Q59,武学奇术!$A:$ZZ,9,FALSE)+SUM(_xlfn.XLOOKUP(R59:AF59,增益!$A:$A,增益!$I:$I,0)))/200,($F$11-$I$4+VLOOKUP($Q59,武学奇术!$A:$ZZ,9,FALSE)+SUM(_xlfn.XLOOKUP(R59:AF59,增益!$A:$A,增益!$I:$I,0)))/100)</f>
        <v>-0.3</v>
      </c>
      <c r="AV59" s="32" cm="1">
        <f t="array" ref="AV59">$G$11+VLOOKUP($Q59,武学奇术!$A:$ZZ,10,FALSE)+SUM(_xlfn.XLOOKUP(R59:AF59,增益!$A:$A,增益!$J:$J,0))</f>
        <v>0</v>
      </c>
      <c r="AW59">
        <f t="shared" si="3"/>
        <v>0</v>
      </c>
      <c r="AX59">
        <f t="shared" si="4"/>
        <v>0</v>
      </c>
      <c r="AY59" s="32" cm="1">
        <f t="array" ref="AY59">IF($F$12-$I$4+VLOOKUP($Q59,武学奇术!$A:$ZZ,11,FALSE)+SUM(_xlfn.XLOOKUP(R59:AF59,增益!$A:$A,增益!$K:$K,0))&gt;0,($F$12-$I$4+VLOOKUP($Q59,武学奇术!$A:$ZZ,11,FALSE)+SUM(_xlfn.XLOOKUP(R59:AF59,增益!$A:$A,增益!$K:$K,0)))/200,($F$12-$I$4+VLOOKUP($Q59,武学奇术!$A:$ZZ,11,FALSE)+SUM(_xlfn.XLOOKUP(R59:AF59,增益!$A:$A,增益!$K:$K,0)))/100)</f>
        <v>-0.3</v>
      </c>
      <c r="AZ59" s="32" cm="1">
        <f t="array" ref="AZ59">$G$12+VLOOKUP($Q59,武学奇术!$A:$ZZ,12,FALSE)+SUM(_xlfn.XLOOKUP(R59:AF59,增益!$A:$A,增益!$L:$L,0))</f>
        <v>0</v>
      </c>
      <c r="BA59">
        <f t="shared" si="5"/>
        <v>697.4</v>
      </c>
      <c r="BB59">
        <f t="shared" si="6"/>
        <v>1805</v>
      </c>
      <c r="BC59" s="32" cm="1">
        <f t="array" ref="BC59">IF($F$13-$I$4+VLOOKUP($Q59,武学奇术!$A:$ZZ,13,FALSE)+SUM(_xlfn.XLOOKUP(R59:AF59,增益!$A:$A,增益!$M:$M,0))&gt;0,($F$13-$I$4+VLOOKUP($Q59,武学奇术!$A:$ZZ,13,FALSE)+SUM(_xlfn.XLOOKUP(R59:AF59,增益!$A:$A,增益!$K:$K,0)))/200,($F$13-$I$4+VLOOKUP($Q59,武学奇术!$A:$ZZ,13,FALSE)+SUM(_xlfn.XLOOKUP(R59:AF59,增益!$A:$A,增益!$M:$M,0)))/100)</f>
        <v>0</v>
      </c>
      <c r="BD59" s="32" cm="1">
        <f t="array" ref="BD59">$G$13+VLOOKUP($Q59,武学奇术!$A:$ZZ,14,FALSE)+SUM(_xlfn.XLOOKUP(R59:AF59,增益!$A:$A,增益!$N:$N,0))</f>
        <v>0.15</v>
      </c>
      <c r="BE59">
        <f t="shared" si="7"/>
        <v>0</v>
      </c>
      <c r="BF59">
        <f t="shared" si="8"/>
        <v>0</v>
      </c>
      <c r="BG59" s="32" cm="1">
        <f t="array" ref="BG59">IF($F$14-$I$4+VLOOKUP($Q59,武学奇术!$A:$ZZ,15,FALSE)+SUM(_xlfn.XLOOKUP(R59:AF59,增益!$A:$A,增益!$O:$O,0))&gt;0,($F$14-$I$4+VLOOKUP($Q59,武学奇术!$A:$ZZ,15,FALSE)+SUM(_xlfn.XLOOKUP(R59:AF59,增益!$A:$A,增益!$O:$O,0)))/200,($F$14-$I$4+VLOOKUP($Q59,武学奇术!$A:$ZZ,15,FALSE)+SUM(_xlfn.XLOOKUP(R59:AF59,增益!$A:$A,增益!$O:$O,0)))/100)</f>
        <v>-0.3</v>
      </c>
      <c r="BH59" s="32" cm="1">
        <f t="array" ref="BH59">$G$14+VLOOKUP($Q59,武学奇术!$A:$ZZ,16,FALSE)+SUM(_xlfn.XLOOKUP(R59:AF59,增益!$A:$A,增益!$P:$P,0))</f>
        <v>0</v>
      </c>
      <c r="BI59" s="26">
        <f>MIN(IF(VLOOKUP($Q59,武学奇术!$A:$ZZ,23,FALSE)=1,100%,$B$8),100%)</f>
        <v>1</v>
      </c>
      <c r="BJ59" s="26" cm="1">
        <f t="array" ref="BJ59">IF(VLOOKUP($Q59,武学奇术!$A:$ZZ,23,FALSE)=1,100%,MIN(80%,$B$9+VLOOKUP($Q59,武学奇术!$A:$ZZ,17,FALSE)+SUM(_xlfn.XLOOKUP(R59:AF59,增益!$A:$A,增益!$Q:$Q,0)))+$B$11+SUM(_xlfn.XLOOKUP(R59:AF59,增益!$A:$A,增益!$U:$U,0)))*IF(VLOOKUP($Q59,武学奇术!$A:$ZZ,24,FALSE)=1,0,1)</f>
        <v>0.8625</v>
      </c>
      <c r="BK59" s="26" cm="1">
        <f t="array" ref="BK59">1+$B$13+VLOOKUP($Q59,武学奇术!$A:$ZZ,18,FALSE)+SUM(_xlfn.XLOOKUP(R59:AF59,增益!$A:$A,增益!$R:$R,0))</f>
        <v>1.5</v>
      </c>
      <c r="BL59" s="26" cm="1">
        <f t="array" ref="BL59">IF(VLOOKUP($Q59,武学奇术!$A:$ZZ,24,FALSE)=1,100%,MIN(40%,$B$10+VLOOKUP($Q59,武学奇术!$A:$ZZ,19,FALSE)+SUM(_xlfn.XLOOKUP(R59:AF59,增益!$A:$A,增益!$S:$S,0)))+$B$12+SUM(_xlfn.XLOOKUP(R59:AF59,增益!$A:$A,增益!$V:$V,0)))*IF(VLOOKUP($Q59,武学奇术!$A:$ZZ,23,FALSE)=1,0,1)</f>
        <v>0.0913</v>
      </c>
      <c r="BM59" s="26" cm="1">
        <f t="array" ref="BM59">1+$B$14+VLOOKUP($Q59,武学奇术!$A:$ZZ,20,FALSE)+SUM(_xlfn.XLOOKUP(R59:AF59,增益!$A:$A,增益!$T:$T,0))</f>
        <v>1.35</v>
      </c>
      <c r="BN59" s="26">
        <f t="shared" si="9"/>
        <v>0.8625</v>
      </c>
      <c r="BO59" s="26">
        <f t="shared" si="10"/>
        <v>0.0462</v>
      </c>
      <c r="BP59" s="26">
        <f>IF(VLOOKUP($Q59,武学奇术!$A:$ZZ,22,FALSE)=1,0,(1-$BI59))*(1-$BL59)</f>
        <v>0</v>
      </c>
      <c r="BQ59" s="26" cm="1">
        <f t="array" ref="BQ59">SUM(_xlfn.XLOOKUP(R59:AF59,增益!$A:$A,增益!$W:$W,0))+$I$5</f>
        <v>0.06</v>
      </c>
    </row>
    <row r="60" spans="4:69">
      <c r="K60" s="38">
        <f t="shared" si="0"/>
        <v>0</v>
      </c>
      <c r="L60" s="38">
        <f>((($AN60+$AO60)/2*$AH60+$AI60)*(1+$AP60)*(1+$AQ60)+(($AS60+$AT60)/2*IF($G$1="鸣金",$AJ60,$AH60)+IF($G$1="鸣金",$AK60*1.5,0))*(1+$AU60)*(1+$AV60)+(($AW60+$AX60)/2*IF($G$1="裂石",$AJ60,$AH60)+IF($G$1="裂石",$AK60*1.5,0))*(1+$AY60)*(1+$AZ60)+(($BA60+$BB60)/2*IF($G$1="牵丝",$AJ60,$AH60)+IF($G$1="牵丝",$AK60*1.5,0))*(1+$BC60)*(1+$BD60)+(($BE60+$BF60)/2*IF($G$1="破竹",$AJ60,$AH60)+IF($G$1="破竹",$AK60*1.5,0))*(1+$BG60)*(1+$BH60))*(1+$AL60)*$BK60*$P60*(1+IF(VLOOKUP($Q60,武学奇术!$A:$ZZ,30,FALSE)="蓄力技",#REF!,0))*(1+$BQ60)</f>
        <v>0</v>
      </c>
      <c r="M60" s="38">
        <f>(($AO60*$AH60+$AI60)*(1+$AP60)*(1+$AQ60)+($AT60*IF($G$1="鸣金",$AJ60,$AH60)+IF($G$1="鸣金",$AK60*1.5,0))*(1+$AU60)*(1+$AV60)+($AX60*IF($G$1="裂石",$AJ60,$AH60)+IF($G$1="裂石",$AK60*1.5,0))*(1+$AY60)*(1+$AZ60)+($BB60*IF($G$1="牵丝",$AJ60,$AH60)+IF($G$1="牵丝",$AK60*1.5,0))*(1+$BC60)*(1+$BD60)+($BF60*IF($G$1="破竹",$AJ60,$AH60)+IF($G$1="破竹",$AK60*1.5,0))*(1+$BG60)*(1+$BH60))*(1+$AL60)*$BM60*$P60*(1+IF(VLOOKUP($Q60,武学奇术!$A:$ZZ,30,FALSE)="蓄力技",#REF!,0))*(1+$BQ60)</f>
        <v>0</v>
      </c>
      <c r="N60" s="38">
        <f>((($AN60+$AO60)/2*$AH60+$AI60)*(1+$AP60)*(1+$AQ60)+(($AS60+$AT60)/2*IF($G$1="鸣金",$AJ60,$AH60)+IF($G$1="鸣金",$AK60*1.5,0))*(1+$AU60)*(1+$AV60)+(($AW60+$AX60)/2*IF($G$1="裂石",$AJ60,$AH60)+IF($G$1="裂石",$AK60*1.5,0))*(1+$AY60)*(1+$AZ60)+(($BA60+$BB60)/2*IF($G$1="牵丝",$AJ60,$AH60)+IF($G$1="牵丝",$AK60*1.5,0))*(1+$BC60)*(1+$BD60)+(($BE60+$BF60)/2*IF($G$1="破竹",$AJ60,$AH60)+IF($G$1="破竹",$AK60*1.5,0))*(1+$BG60)*(1+$BH60))*(1+$AL60)*$P60*(1+IF(VLOOKUP($Q60,武学奇术!$A:$ZZ,30,FALSE)="蓄力技",#REF!,0))*(1+$BQ60)</f>
        <v>0</v>
      </c>
      <c r="O60" s="38">
        <f>((($AN60*$AH60+$AI60)*(1+$AP60)*(1+$AQ60)+($AS60*IF($G$1="鸣金",$AJ60,$AH60)+IF($G$1="鸣金",$AK60*1.5,0))*(1+$AU60)*(1+$AV60)+($AW60*IF($G$1="裂石",$AJ60,$AH60)+IF($G$1="裂石",$AK60*1.5,0))*(1+$AY60)*(1+$AZ60)+($BA60*IF($G$1="牵丝",$AJ60,$AH60)+IF($G$1="牵丝",$AK60*1.5,0))*(1+$BC60)*(1+$BD60)+($BE60*IF($G$1="破竹",$AJ60,$AH60)+IF($G$1="破竹",$AK60*1.5,0))*(1+$BG60)*(1+$BH60))*(1+$AL60))*$P60*(1+IF(VLOOKUP($Q60,武学奇术!$A:$ZZ,30,FALSE)="蓄力技",#REF!,0))*(1+$BQ60)</f>
        <v>0</v>
      </c>
      <c r="P60" s="39">
        <v>1</v>
      </c>
      <c r="Q60" s="40" t="s">
        <v>76</v>
      </c>
      <c r="R60" s="40" t="s">
        <v>76</v>
      </c>
      <c r="S60" s="40" t="s">
        <v>76</v>
      </c>
      <c r="T60" s="40" t="s">
        <v>76</v>
      </c>
      <c r="U60" s="40" t="s">
        <v>76</v>
      </c>
      <c r="V60" s="40" t="s">
        <v>76</v>
      </c>
      <c r="W60" s="40" t="s">
        <v>76</v>
      </c>
      <c r="X60" s="40" t="s">
        <v>76</v>
      </c>
      <c r="Y60" s="40" t="s">
        <v>76</v>
      </c>
      <c r="Z60" s="40" t="s">
        <v>76</v>
      </c>
      <c r="AA60" s="40" t="s">
        <v>76</v>
      </c>
      <c r="AB60" s="40" t="s">
        <v>76</v>
      </c>
      <c r="AC60" s="40" t="s">
        <v>76</v>
      </c>
      <c r="AD60" s="40" t="s">
        <v>76</v>
      </c>
      <c r="AE60" s="40" t="s">
        <v>76</v>
      </c>
      <c r="AF60" s="40" t="s">
        <v>76</v>
      </c>
      <c r="AG60" t="str">
        <f>VLOOKUP($Q60,武学奇术!$A:$ZZ,25,FALSE)</f>
        <v>心法</v>
      </c>
      <c r="AH60" s="26">
        <f>VLOOKUP($Q60,武学奇术!$A:$ZZ,26,FALSE)</f>
        <v>0</v>
      </c>
      <c r="AI60" s="27">
        <f>VLOOKUP($Q60,武学奇术!$A:$ZZ,27,FALSE)*(1+IF(OR($AG60=$F$4,$AG60=$F$5),$B$21,0))</f>
        <v>0</v>
      </c>
      <c r="AJ60" s="26">
        <f>VLOOKUP($Q60,武学奇术!$A:$ZZ,28,FALSE)</f>
        <v>0</v>
      </c>
      <c r="AK60" s="27">
        <f>VLOOKUP($Q60,武学奇术!$A:$ZZ,29,FALSE)*(1+IF(OR($AG60=$F$4,$AG60=$F$5),$B$21,0))</f>
        <v>0</v>
      </c>
      <c r="AL60" s="26" cm="1">
        <f t="array" ref="AL60">$G$3+IFERROR(VLOOKUP($AG60,$F$4:$G$7,2,FALSE),0)+VLOOKUP($Q60,武学奇术!$A:$ZZ,2,FALSE)+SUM(_xlfn.XLOOKUP($R60:$AF60,增益!$A:$A,增益!$B:$B,0))</f>
        <v>0.1842</v>
      </c>
      <c r="AM60" s="26" cm="1">
        <f t="array" ref="AM60">VLOOKUP($Q60,武学奇术!$A:$ZZ,5,FALSE)+SUM(_xlfn.XLOOKUP($R60:$AF60,增益!$A:$A,增益!$E:$E,0))</f>
        <v>0</v>
      </c>
      <c r="AN60" cm="1">
        <f t="array" ref="AN60">$D$10*(1+$AM60)+VLOOKUP($Q60,武学奇术!$A:$ZZ,3,FALSE)+SUM(_xlfn.XLOOKUP($R60:$AF60,增益!$A:$A,增益!$C:$C,0))-$I$2</f>
        <v>3940</v>
      </c>
      <c r="AO60" cm="1">
        <f t="array" ref="AO60">$E$10*(1+$AM60)+VLOOKUP($Q60,武学奇术!$A:$ZZ,4,FALSE)+SUM(_xlfn.XLOOKUP($R60:$AF60,增益!$A:$A,增益!$D:$D,0))-$I$2</f>
        <v>3940</v>
      </c>
      <c r="AP60" s="32" cm="1">
        <f t="array" ref="AP60">IF($F$10-$I$3+VLOOKUP($Q60,武学奇术!$A:$ZZ,6,FALSE)+SUM(_xlfn.XLOOKUP(R60:AF60,增益!$A:$A,增益!$F:$F,0))&gt;0,($F$10-$I$3+VLOOKUP($Q60,武学奇术!$A:$ZZ,6,FALSE)+SUM(_xlfn.XLOOKUP(R60:AF60,增益!$A:$A,增益!$F:$F,0)))/200,($F$10-$I$3+VLOOKUP($Q60,武学奇术!$A:$ZZ,6,FALSE)+SUM(_xlfn.XLOOKUP(R60:AF60,增益!$A:$A,增益!$F:$F,0)))/100)</f>
        <v>0.194</v>
      </c>
      <c r="AQ60" s="32" cm="1">
        <f t="array" ref="AQ60">$G$10+VLOOKUP($Q60,武学奇术!$A:$ZZ,7,FALSE)+SUM(_xlfn.XLOOKUP(R60:AF60,增益!$A:$A,增益!$G:$G,0))</f>
        <v>0</v>
      </c>
      <c r="AR60" s="26" cm="1">
        <f t="array" ref="AR60">VLOOKUP($Q60,武学奇术!$A:$ZZ,8,FALSE)+SUM(_xlfn.XLOOKUP(R60:AF60,增益!$A:$A,增益!$H:$H,0))</f>
        <v>0</v>
      </c>
      <c r="AS60">
        <f t="shared" si="1"/>
        <v>0</v>
      </c>
      <c r="AT60">
        <f t="shared" si="2"/>
        <v>0</v>
      </c>
      <c r="AU60" s="32" cm="1">
        <f t="array" ref="AU60">IF($F$11-$I$4+VLOOKUP($Q60,武学奇术!$A:$ZZ,9,FALSE)+SUM(_xlfn.XLOOKUP(R60:AF60,增益!$A:$A,增益!$I:$I,0))&gt;0,($F$11-$I$4+VLOOKUP($Q60,武学奇术!$A:$ZZ,9,FALSE)+SUM(_xlfn.XLOOKUP(R60:AF60,增益!$A:$A,增益!$I:$I,0)))/200,($F$11-$I$4+VLOOKUP($Q60,武学奇术!$A:$ZZ,9,FALSE)+SUM(_xlfn.XLOOKUP(R60:AF60,增益!$A:$A,增益!$I:$I,0)))/100)</f>
        <v>-0.3</v>
      </c>
      <c r="AV60" s="32" cm="1">
        <f t="array" ref="AV60">$G$11+VLOOKUP($Q60,武学奇术!$A:$ZZ,10,FALSE)+SUM(_xlfn.XLOOKUP(R60:AF60,增益!$A:$A,增益!$J:$J,0))</f>
        <v>0</v>
      </c>
      <c r="AW60">
        <f t="shared" si="3"/>
        <v>0</v>
      </c>
      <c r="AX60">
        <f t="shared" si="4"/>
        <v>0</v>
      </c>
      <c r="AY60" s="32" cm="1">
        <f t="array" ref="AY60">IF($F$12-$I$4+VLOOKUP($Q60,武学奇术!$A:$ZZ,11,FALSE)+SUM(_xlfn.XLOOKUP(R60:AF60,增益!$A:$A,增益!$K:$K,0))&gt;0,($F$12-$I$4+VLOOKUP($Q60,武学奇术!$A:$ZZ,11,FALSE)+SUM(_xlfn.XLOOKUP(R60:AF60,增益!$A:$A,增益!$K:$K,0)))/200,($F$12-$I$4+VLOOKUP($Q60,武学奇术!$A:$ZZ,11,FALSE)+SUM(_xlfn.XLOOKUP(R60:AF60,增益!$A:$A,增益!$K:$K,0)))/100)</f>
        <v>-0.3</v>
      </c>
      <c r="AZ60" s="32" cm="1">
        <f t="array" ref="AZ60">$G$12+VLOOKUP($Q60,武学奇术!$A:$ZZ,12,FALSE)+SUM(_xlfn.XLOOKUP(R60:AF60,增益!$A:$A,增益!$L:$L,0))</f>
        <v>0</v>
      </c>
      <c r="BA60">
        <f t="shared" si="5"/>
        <v>697.4</v>
      </c>
      <c r="BB60">
        <f t="shared" si="6"/>
        <v>1805</v>
      </c>
      <c r="BC60" s="32" cm="1">
        <f t="array" ref="BC60">IF($F$13-$I$4+VLOOKUP($Q60,武学奇术!$A:$ZZ,13,FALSE)+SUM(_xlfn.XLOOKUP(R60:AF60,增益!$A:$A,增益!$M:$M,0))&gt;0,($F$13-$I$4+VLOOKUP($Q60,武学奇术!$A:$ZZ,13,FALSE)+SUM(_xlfn.XLOOKUP(R60:AF60,增益!$A:$A,增益!$K:$K,0)))/200,($F$13-$I$4+VLOOKUP($Q60,武学奇术!$A:$ZZ,13,FALSE)+SUM(_xlfn.XLOOKUP(R60:AF60,增益!$A:$A,增益!$M:$M,0)))/100)</f>
        <v>0</v>
      </c>
      <c r="BD60" s="32" cm="1">
        <f t="array" ref="BD60">$G$13+VLOOKUP($Q60,武学奇术!$A:$ZZ,14,FALSE)+SUM(_xlfn.XLOOKUP(R60:AF60,增益!$A:$A,增益!$N:$N,0))</f>
        <v>0.15</v>
      </c>
      <c r="BE60">
        <f t="shared" si="7"/>
        <v>0</v>
      </c>
      <c r="BF60">
        <f t="shared" si="8"/>
        <v>0</v>
      </c>
      <c r="BG60" s="32" cm="1">
        <f t="array" ref="BG60">IF($F$14-$I$4+VLOOKUP($Q60,武学奇术!$A:$ZZ,15,FALSE)+SUM(_xlfn.XLOOKUP(R60:AF60,增益!$A:$A,增益!$O:$O,0))&gt;0,($F$14-$I$4+VLOOKUP($Q60,武学奇术!$A:$ZZ,15,FALSE)+SUM(_xlfn.XLOOKUP(R60:AF60,增益!$A:$A,增益!$O:$O,0)))/200,($F$14-$I$4+VLOOKUP($Q60,武学奇术!$A:$ZZ,15,FALSE)+SUM(_xlfn.XLOOKUP(R60:AF60,增益!$A:$A,增益!$O:$O,0)))/100)</f>
        <v>-0.3</v>
      </c>
      <c r="BH60" s="32" cm="1">
        <f t="array" ref="BH60">$G$14+VLOOKUP($Q60,武学奇术!$A:$ZZ,16,FALSE)+SUM(_xlfn.XLOOKUP(R60:AF60,增益!$A:$A,增益!$P:$P,0))</f>
        <v>0</v>
      </c>
      <c r="BI60" s="26">
        <f>MIN(IF(VLOOKUP($Q60,武学奇术!$A:$ZZ,23,FALSE)=1,100%,$B$8),100%)</f>
        <v>1</v>
      </c>
      <c r="BJ60" s="26" cm="1">
        <f t="array" ref="BJ60">IF(VLOOKUP($Q60,武学奇术!$A:$ZZ,23,FALSE)=1,100%,MIN(80%,$B$9+VLOOKUP($Q60,武学奇术!$A:$ZZ,17,FALSE)+SUM(_xlfn.XLOOKUP(R60:AF60,增益!$A:$A,增益!$Q:$Q,0)))+$B$11+SUM(_xlfn.XLOOKUP(R60:AF60,增益!$A:$A,增益!$U:$U,0)))*IF(VLOOKUP($Q60,武学奇术!$A:$ZZ,24,FALSE)=1,0,1)</f>
        <v>0.8625</v>
      </c>
      <c r="BK60" s="26" cm="1">
        <f t="array" ref="BK60">1+$B$13+VLOOKUP($Q60,武学奇术!$A:$ZZ,18,FALSE)+SUM(_xlfn.XLOOKUP(R60:AF60,增益!$A:$A,增益!$R:$R,0))</f>
        <v>1.5</v>
      </c>
      <c r="BL60" s="26" cm="1">
        <f t="array" ref="BL60">IF(VLOOKUP($Q60,武学奇术!$A:$ZZ,24,FALSE)=1,100%,MIN(40%,$B$10+VLOOKUP($Q60,武学奇术!$A:$ZZ,19,FALSE)+SUM(_xlfn.XLOOKUP(R60:AF60,增益!$A:$A,增益!$S:$S,0)))+$B$12+SUM(_xlfn.XLOOKUP(R60:AF60,增益!$A:$A,增益!$V:$V,0)))*IF(VLOOKUP($Q60,武学奇术!$A:$ZZ,23,FALSE)=1,0,1)</f>
        <v>0.0913</v>
      </c>
      <c r="BM60" s="26" cm="1">
        <f t="array" ref="BM60">1+$B$14+VLOOKUP($Q60,武学奇术!$A:$ZZ,20,FALSE)+SUM(_xlfn.XLOOKUP(R60:AF60,增益!$A:$A,增益!$T:$T,0))</f>
        <v>1.35</v>
      </c>
      <c r="BN60" s="26">
        <f t="shared" si="9"/>
        <v>0.8625</v>
      </c>
      <c r="BO60" s="26">
        <f t="shared" si="10"/>
        <v>0.0462</v>
      </c>
      <c r="BP60" s="26">
        <f>IF(VLOOKUP($Q60,武学奇术!$A:$ZZ,22,FALSE)=1,0,(1-$BI60))*(1-$BL60)</f>
        <v>0</v>
      </c>
      <c r="BQ60" s="26" cm="1">
        <f t="array" ref="BQ60">SUM(_xlfn.XLOOKUP(R60:AF60,增益!$A:$A,增益!$W:$W,0))+$I$5</f>
        <v>0.06</v>
      </c>
    </row>
    <row r="61" spans="4:69">
      <c r="K61" s="38">
        <f t="shared" si="0"/>
        <v>0</v>
      </c>
      <c r="L61" s="38">
        <f>((($AN61+$AO61)/2*$AH61+$AI61)*(1+$AP61)*(1+$AQ61)+(($AS61+$AT61)/2*IF($G$1="鸣金",$AJ61,$AH61)+IF($G$1="鸣金",$AK61*1.5,0))*(1+$AU61)*(1+$AV61)+(($AW61+$AX61)/2*IF($G$1="裂石",$AJ61,$AH61)+IF($G$1="裂石",$AK61*1.5,0))*(1+$AY61)*(1+$AZ61)+(($BA61+$BB61)/2*IF($G$1="牵丝",$AJ61,$AH61)+IF($G$1="牵丝",$AK61*1.5,0))*(1+$BC61)*(1+$BD61)+(($BE61+$BF61)/2*IF($G$1="破竹",$AJ61,$AH61)+IF($G$1="破竹",$AK61*1.5,0))*(1+$BG61)*(1+$BH61))*(1+$AL61)*$BK61*$P61*(1+IF(VLOOKUP($Q61,武学奇术!$A:$ZZ,30,FALSE)="蓄力技",#REF!,0))*(1+$BQ61)</f>
        <v>0</v>
      </c>
      <c r="M61" s="38">
        <f>(($AO61*$AH61+$AI61)*(1+$AP61)*(1+$AQ61)+($AT61*IF($G$1="鸣金",$AJ61,$AH61)+IF($G$1="鸣金",$AK61*1.5,0))*(1+$AU61)*(1+$AV61)+($AX61*IF($G$1="裂石",$AJ61,$AH61)+IF($G$1="裂石",$AK61*1.5,0))*(1+$AY61)*(1+$AZ61)+($BB61*IF($G$1="牵丝",$AJ61,$AH61)+IF($G$1="牵丝",$AK61*1.5,0))*(1+$BC61)*(1+$BD61)+($BF61*IF($G$1="破竹",$AJ61,$AH61)+IF($G$1="破竹",$AK61*1.5,0))*(1+$BG61)*(1+$BH61))*(1+$AL61)*$BM61*$P61*(1+IF(VLOOKUP($Q61,武学奇术!$A:$ZZ,30,FALSE)="蓄力技",#REF!,0))*(1+$BQ61)</f>
        <v>0</v>
      </c>
      <c r="N61" s="38">
        <f>((($AN61+$AO61)/2*$AH61+$AI61)*(1+$AP61)*(1+$AQ61)+(($AS61+$AT61)/2*IF($G$1="鸣金",$AJ61,$AH61)+IF($G$1="鸣金",$AK61*1.5,0))*(1+$AU61)*(1+$AV61)+(($AW61+$AX61)/2*IF($G$1="裂石",$AJ61,$AH61)+IF($G$1="裂石",$AK61*1.5,0))*(1+$AY61)*(1+$AZ61)+(($BA61+$BB61)/2*IF($G$1="牵丝",$AJ61,$AH61)+IF($G$1="牵丝",$AK61*1.5,0))*(1+$BC61)*(1+$BD61)+(($BE61+$BF61)/2*IF($G$1="破竹",$AJ61,$AH61)+IF($G$1="破竹",$AK61*1.5,0))*(1+$BG61)*(1+$BH61))*(1+$AL61)*$P61*(1+IF(VLOOKUP($Q61,武学奇术!$A:$ZZ,30,FALSE)="蓄力技",#REF!,0))*(1+$BQ61)</f>
        <v>0</v>
      </c>
      <c r="O61" s="38">
        <f>((($AN61*$AH61+$AI61)*(1+$AP61)*(1+$AQ61)+($AS61*IF($G$1="鸣金",$AJ61,$AH61)+IF($G$1="鸣金",$AK61*1.5,0))*(1+$AU61)*(1+$AV61)+($AW61*IF($G$1="裂石",$AJ61,$AH61)+IF($G$1="裂石",$AK61*1.5,0))*(1+$AY61)*(1+$AZ61)+($BA61*IF($G$1="牵丝",$AJ61,$AH61)+IF($G$1="牵丝",$AK61*1.5,0))*(1+$BC61)*(1+$BD61)+($BE61*IF($G$1="破竹",$AJ61,$AH61)+IF($G$1="破竹",$AK61*1.5,0))*(1+$BG61)*(1+$BH61))*(1+$AL61))*$P61*(1+IF(VLOOKUP($Q61,武学奇术!$A:$ZZ,30,FALSE)="蓄力技",#REF!,0))*(1+$BQ61)</f>
        <v>0</v>
      </c>
      <c r="P61" s="39">
        <v>1</v>
      </c>
      <c r="Q61" s="40" t="s">
        <v>76</v>
      </c>
      <c r="R61" s="40" t="s">
        <v>76</v>
      </c>
      <c r="S61" s="40" t="s">
        <v>76</v>
      </c>
      <c r="T61" s="40" t="s">
        <v>76</v>
      </c>
      <c r="U61" s="40" t="s">
        <v>76</v>
      </c>
      <c r="V61" s="40" t="s">
        <v>76</v>
      </c>
      <c r="W61" s="40" t="s">
        <v>76</v>
      </c>
      <c r="X61" s="40" t="s">
        <v>76</v>
      </c>
      <c r="Y61" s="40" t="s">
        <v>76</v>
      </c>
      <c r="Z61" s="40" t="s">
        <v>76</v>
      </c>
      <c r="AA61" s="40" t="s">
        <v>76</v>
      </c>
      <c r="AB61" s="40" t="s">
        <v>76</v>
      </c>
      <c r="AC61" s="40" t="s">
        <v>76</v>
      </c>
      <c r="AD61" s="40" t="s">
        <v>76</v>
      </c>
      <c r="AE61" s="40" t="s">
        <v>76</v>
      </c>
      <c r="AF61" s="40" t="s">
        <v>76</v>
      </c>
      <c r="AG61" t="str">
        <f>VLOOKUP($Q61,武学奇术!$A:$ZZ,25,FALSE)</f>
        <v>心法</v>
      </c>
      <c r="AH61" s="26">
        <f>VLOOKUP($Q61,武学奇术!$A:$ZZ,26,FALSE)</f>
        <v>0</v>
      </c>
      <c r="AI61" s="27">
        <f>VLOOKUP($Q61,武学奇术!$A:$ZZ,27,FALSE)*(1+IF(OR($AG61=$F$4,$AG61=$F$5),$B$21,0))</f>
        <v>0</v>
      </c>
      <c r="AJ61" s="26">
        <f>VLOOKUP($Q61,武学奇术!$A:$ZZ,28,FALSE)</f>
        <v>0</v>
      </c>
      <c r="AK61" s="27">
        <f>VLOOKUP($Q61,武学奇术!$A:$ZZ,29,FALSE)*(1+IF(OR($AG61=$F$4,$AG61=$F$5),$B$21,0))</f>
        <v>0</v>
      </c>
      <c r="AL61" s="26" cm="1">
        <f t="array" ref="AL61">$G$3+IFERROR(VLOOKUP($AG61,$F$4:$G$7,2,FALSE),0)+VLOOKUP($Q61,武学奇术!$A:$ZZ,2,FALSE)+SUM(_xlfn.XLOOKUP($R61:$AF61,增益!$A:$A,增益!$B:$B,0))</f>
        <v>0.1842</v>
      </c>
      <c r="AM61" s="26" cm="1">
        <f t="array" ref="AM61">VLOOKUP($Q61,武学奇术!$A:$ZZ,5,FALSE)+SUM(_xlfn.XLOOKUP($R61:$AF61,增益!$A:$A,增益!$E:$E,0))</f>
        <v>0</v>
      </c>
      <c r="AN61" cm="1">
        <f t="array" ref="AN61">$D$10*(1+$AM61)+VLOOKUP($Q61,武学奇术!$A:$ZZ,3,FALSE)+SUM(_xlfn.XLOOKUP($R61:$AF61,增益!$A:$A,增益!$C:$C,0))-$I$2</f>
        <v>3940</v>
      </c>
      <c r="AO61" cm="1">
        <f t="array" ref="AO61">$E$10*(1+$AM61)+VLOOKUP($Q61,武学奇术!$A:$ZZ,4,FALSE)+SUM(_xlfn.XLOOKUP($R61:$AF61,增益!$A:$A,增益!$D:$D,0))-$I$2</f>
        <v>3940</v>
      </c>
      <c r="AP61" s="32" cm="1">
        <f t="array" ref="AP61">IF($F$10-$I$3+VLOOKUP($Q61,武学奇术!$A:$ZZ,6,FALSE)+SUM(_xlfn.XLOOKUP(R61:AF61,增益!$A:$A,增益!$F:$F,0))&gt;0,($F$10-$I$3+VLOOKUP($Q61,武学奇术!$A:$ZZ,6,FALSE)+SUM(_xlfn.XLOOKUP(R61:AF61,增益!$A:$A,增益!$F:$F,0)))/200,($F$10-$I$3+VLOOKUP($Q61,武学奇术!$A:$ZZ,6,FALSE)+SUM(_xlfn.XLOOKUP(R61:AF61,增益!$A:$A,增益!$F:$F,0)))/100)</f>
        <v>0.194</v>
      </c>
      <c r="AQ61" s="32" cm="1">
        <f t="array" ref="AQ61">$G$10+VLOOKUP($Q61,武学奇术!$A:$ZZ,7,FALSE)+SUM(_xlfn.XLOOKUP(R61:AF61,增益!$A:$A,增益!$G:$G,0))</f>
        <v>0</v>
      </c>
      <c r="AR61" s="26" cm="1">
        <f t="array" ref="AR61">VLOOKUP($Q61,武学奇术!$A:$ZZ,8,FALSE)+SUM(_xlfn.XLOOKUP(R61:AF61,增益!$A:$A,增益!$H:$H,0))</f>
        <v>0</v>
      </c>
      <c r="AS61">
        <f t="shared" si="1"/>
        <v>0</v>
      </c>
      <c r="AT61">
        <f t="shared" si="2"/>
        <v>0</v>
      </c>
      <c r="AU61" s="32" cm="1">
        <f t="array" ref="AU61">IF($F$11-$I$4+VLOOKUP($Q61,武学奇术!$A:$ZZ,9,FALSE)+SUM(_xlfn.XLOOKUP(R61:AF61,增益!$A:$A,增益!$I:$I,0))&gt;0,($F$11-$I$4+VLOOKUP($Q61,武学奇术!$A:$ZZ,9,FALSE)+SUM(_xlfn.XLOOKUP(R61:AF61,增益!$A:$A,增益!$I:$I,0)))/200,($F$11-$I$4+VLOOKUP($Q61,武学奇术!$A:$ZZ,9,FALSE)+SUM(_xlfn.XLOOKUP(R61:AF61,增益!$A:$A,增益!$I:$I,0)))/100)</f>
        <v>-0.3</v>
      </c>
      <c r="AV61" s="32" cm="1">
        <f t="array" ref="AV61">$G$11+VLOOKUP($Q61,武学奇术!$A:$ZZ,10,FALSE)+SUM(_xlfn.XLOOKUP(R61:AF61,增益!$A:$A,增益!$J:$J,0))</f>
        <v>0</v>
      </c>
      <c r="AW61">
        <f t="shared" si="3"/>
        <v>0</v>
      </c>
      <c r="AX61">
        <f t="shared" si="4"/>
        <v>0</v>
      </c>
      <c r="AY61" s="32" cm="1">
        <f t="array" ref="AY61">IF($F$12-$I$4+VLOOKUP($Q61,武学奇术!$A:$ZZ,11,FALSE)+SUM(_xlfn.XLOOKUP(R61:AF61,增益!$A:$A,增益!$K:$K,0))&gt;0,($F$12-$I$4+VLOOKUP($Q61,武学奇术!$A:$ZZ,11,FALSE)+SUM(_xlfn.XLOOKUP(R61:AF61,增益!$A:$A,增益!$K:$K,0)))/200,($F$12-$I$4+VLOOKUP($Q61,武学奇术!$A:$ZZ,11,FALSE)+SUM(_xlfn.XLOOKUP(R61:AF61,增益!$A:$A,增益!$K:$K,0)))/100)</f>
        <v>-0.3</v>
      </c>
      <c r="AZ61" s="32" cm="1">
        <f t="array" ref="AZ61">$G$12+VLOOKUP($Q61,武学奇术!$A:$ZZ,12,FALSE)+SUM(_xlfn.XLOOKUP(R61:AF61,增益!$A:$A,增益!$L:$L,0))</f>
        <v>0</v>
      </c>
      <c r="BA61">
        <f t="shared" si="5"/>
        <v>697.4</v>
      </c>
      <c r="BB61">
        <f t="shared" si="6"/>
        <v>1805</v>
      </c>
      <c r="BC61" s="32" cm="1">
        <f t="array" ref="BC61">IF($F$13-$I$4+VLOOKUP($Q61,武学奇术!$A:$ZZ,13,FALSE)+SUM(_xlfn.XLOOKUP(R61:AF61,增益!$A:$A,增益!$M:$M,0))&gt;0,($F$13-$I$4+VLOOKUP($Q61,武学奇术!$A:$ZZ,13,FALSE)+SUM(_xlfn.XLOOKUP(R61:AF61,增益!$A:$A,增益!$K:$K,0)))/200,($F$13-$I$4+VLOOKUP($Q61,武学奇术!$A:$ZZ,13,FALSE)+SUM(_xlfn.XLOOKUP(R61:AF61,增益!$A:$A,增益!$M:$M,0)))/100)</f>
        <v>0</v>
      </c>
      <c r="BD61" s="32" cm="1">
        <f t="array" ref="BD61">$G$13+VLOOKUP($Q61,武学奇术!$A:$ZZ,14,FALSE)+SUM(_xlfn.XLOOKUP(R61:AF61,增益!$A:$A,增益!$N:$N,0))</f>
        <v>0.15</v>
      </c>
      <c r="BE61">
        <f t="shared" si="7"/>
        <v>0</v>
      </c>
      <c r="BF61">
        <f t="shared" si="8"/>
        <v>0</v>
      </c>
      <c r="BG61" s="32" cm="1">
        <f t="array" ref="BG61">IF($F$14-$I$4+VLOOKUP($Q61,武学奇术!$A:$ZZ,15,FALSE)+SUM(_xlfn.XLOOKUP(R61:AF61,增益!$A:$A,增益!$O:$O,0))&gt;0,($F$14-$I$4+VLOOKUP($Q61,武学奇术!$A:$ZZ,15,FALSE)+SUM(_xlfn.XLOOKUP(R61:AF61,增益!$A:$A,增益!$O:$O,0)))/200,($F$14-$I$4+VLOOKUP($Q61,武学奇术!$A:$ZZ,15,FALSE)+SUM(_xlfn.XLOOKUP(R61:AF61,增益!$A:$A,增益!$O:$O,0)))/100)</f>
        <v>-0.3</v>
      </c>
      <c r="BH61" s="32" cm="1">
        <f t="array" ref="BH61">$G$14+VLOOKUP($Q61,武学奇术!$A:$ZZ,16,FALSE)+SUM(_xlfn.XLOOKUP(R61:AF61,增益!$A:$A,增益!$P:$P,0))</f>
        <v>0</v>
      </c>
      <c r="BI61" s="26">
        <f>MIN(IF(VLOOKUP($Q61,武学奇术!$A:$ZZ,23,FALSE)=1,100%,$B$8),100%)</f>
        <v>1</v>
      </c>
      <c r="BJ61" s="26" cm="1">
        <f t="array" ref="BJ61">IF(VLOOKUP($Q61,武学奇术!$A:$ZZ,23,FALSE)=1,100%,MIN(80%,$B$9+VLOOKUP($Q61,武学奇术!$A:$ZZ,17,FALSE)+SUM(_xlfn.XLOOKUP(R61:AF61,增益!$A:$A,增益!$Q:$Q,0)))+$B$11+SUM(_xlfn.XLOOKUP(R61:AF61,增益!$A:$A,增益!$U:$U,0)))*IF(VLOOKUP($Q61,武学奇术!$A:$ZZ,24,FALSE)=1,0,1)</f>
        <v>0.8625</v>
      </c>
      <c r="BK61" s="26" cm="1">
        <f t="array" ref="BK61">1+$B$13+VLOOKUP($Q61,武学奇术!$A:$ZZ,18,FALSE)+SUM(_xlfn.XLOOKUP(R61:AF61,增益!$A:$A,增益!$R:$R,0))</f>
        <v>1.5</v>
      </c>
      <c r="BL61" s="26" cm="1">
        <f t="array" ref="BL61">IF(VLOOKUP($Q61,武学奇术!$A:$ZZ,24,FALSE)=1,100%,MIN(40%,$B$10+VLOOKUP($Q61,武学奇术!$A:$ZZ,19,FALSE)+SUM(_xlfn.XLOOKUP(R61:AF61,增益!$A:$A,增益!$S:$S,0)))+$B$12+SUM(_xlfn.XLOOKUP(R61:AF61,增益!$A:$A,增益!$V:$V,0)))*IF(VLOOKUP($Q61,武学奇术!$A:$ZZ,23,FALSE)=1,0,1)</f>
        <v>0.0913</v>
      </c>
      <c r="BM61" s="26" cm="1">
        <f t="array" ref="BM61">1+$B$14+VLOOKUP($Q61,武学奇术!$A:$ZZ,20,FALSE)+SUM(_xlfn.XLOOKUP(R61:AF61,增益!$A:$A,增益!$T:$T,0))</f>
        <v>1.35</v>
      </c>
      <c r="BN61" s="26">
        <f t="shared" si="9"/>
        <v>0.8625</v>
      </c>
      <c r="BO61" s="26">
        <f t="shared" si="10"/>
        <v>0.0462</v>
      </c>
      <c r="BP61" s="26">
        <f>IF(VLOOKUP($Q61,武学奇术!$A:$ZZ,22,FALSE)=1,0,(1-$BI61))*(1-$BL61)</f>
        <v>0</v>
      </c>
      <c r="BQ61" s="26" cm="1">
        <f t="array" ref="BQ61">SUM(_xlfn.XLOOKUP(R61:AF61,增益!$A:$A,增益!$W:$W,0))+$I$5</f>
        <v>0.06</v>
      </c>
    </row>
    <row r="62" spans="4:69">
      <c r="K62" s="38">
        <f t="shared" si="0"/>
        <v>0</v>
      </c>
      <c r="L62" s="38">
        <f>((($AN62+$AO62)/2*$AH62+$AI62)*(1+$AP62)*(1+$AQ62)+(($AS62+$AT62)/2*IF($G$1="鸣金",$AJ62,$AH62)+IF($G$1="鸣金",$AK62*1.5,0))*(1+$AU62)*(1+$AV62)+(($AW62+$AX62)/2*IF($G$1="裂石",$AJ62,$AH62)+IF($G$1="裂石",$AK62*1.5,0))*(1+$AY62)*(1+$AZ62)+(($BA62+$BB62)/2*IF($G$1="牵丝",$AJ62,$AH62)+IF($G$1="牵丝",$AK62*1.5,0))*(1+$BC62)*(1+$BD62)+(($BE62+$BF62)/2*IF($G$1="破竹",$AJ62,$AH62)+IF($G$1="破竹",$AK62*1.5,0))*(1+$BG62)*(1+$BH62))*(1+$AL62)*$BK62*$P62*(1+IF(VLOOKUP($Q62,武学奇术!$A:$ZZ,30,FALSE)="蓄力技",#REF!,0))*(1+$BQ62)</f>
        <v>0</v>
      </c>
      <c r="M62" s="38">
        <f>(($AO62*$AH62+$AI62)*(1+$AP62)*(1+$AQ62)+($AT62*IF($G$1="鸣金",$AJ62,$AH62)+IF($G$1="鸣金",$AK62*1.5,0))*(1+$AU62)*(1+$AV62)+($AX62*IF($G$1="裂石",$AJ62,$AH62)+IF($G$1="裂石",$AK62*1.5,0))*(1+$AY62)*(1+$AZ62)+($BB62*IF($G$1="牵丝",$AJ62,$AH62)+IF($G$1="牵丝",$AK62*1.5,0))*(1+$BC62)*(1+$BD62)+($BF62*IF($G$1="破竹",$AJ62,$AH62)+IF($G$1="破竹",$AK62*1.5,0))*(1+$BG62)*(1+$BH62))*(1+$AL62)*$BM62*$P62*(1+IF(VLOOKUP($Q62,武学奇术!$A:$ZZ,30,FALSE)="蓄力技",#REF!,0))*(1+$BQ62)</f>
        <v>0</v>
      </c>
      <c r="N62" s="38">
        <f>((($AN62+$AO62)/2*$AH62+$AI62)*(1+$AP62)*(1+$AQ62)+(($AS62+$AT62)/2*IF($G$1="鸣金",$AJ62,$AH62)+IF($G$1="鸣金",$AK62*1.5,0))*(1+$AU62)*(1+$AV62)+(($AW62+$AX62)/2*IF($G$1="裂石",$AJ62,$AH62)+IF($G$1="裂石",$AK62*1.5,0))*(1+$AY62)*(1+$AZ62)+(($BA62+$BB62)/2*IF($G$1="牵丝",$AJ62,$AH62)+IF($G$1="牵丝",$AK62*1.5,0))*(1+$BC62)*(1+$BD62)+(($BE62+$BF62)/2*IF($G$1="破竹",$AJ62,$AH62)+IF($G$1="破竹",$AK62*1.5,0))*(1+$BG62)*(1+$BH62))*(1+$AL62)*$P62*(1+IF(VLOOKUP($Q62,武学奇术!$A:$ZZ,30,FALSE)="蓄力技",#REF!,0))*(1+$BQ62)</f>
        <v>0</v>
      </c>
      <c r="O62" s="38">
        <f>((($AN62*$AH62+$AI62)*(1+$AP62)*(1+$AQ62)+($AS62*IF($G$1="鸣金",$AJ62,$AH62)+IF($G$1="鸣金",$AK62*1.5,0))*(1+$AU62)*(1+$AV62)+($AW62*IF($G$1="裂石",$AJ62,$AH62)+IF($G$1="裂石",$AK62*1.5,0))*(1+$AY62)*(1+$AZ62)+($BA62*IF($G$1="牵丝",$AJ62,$AH62)+IF($G$1="牵丝",$AK62*1.5,0))*(1+$BC62)*(1+$BD62)+($BE62*IF($G$1="破竹",$AJ62,$AH62)+IF($G$1="破竹",$AK62*1.5,0))*(1+$BG62)*(1+$BH62))*(1+$AL62))*$P62*(1+IF(VLOOKUP($Q62,武学奇术!$A:$ZZ,30,FALSE)="蓄力技",#REF!,0))*(1+$BQ62)</f>
        <v>0</v>
      </c>
      <c r="P62" s="39">
        <v>1</v>
      </c>
      <c r="Q62" s="40" t="s">
        <v>76</v>
      </c>
      <c r="R62" s="40" t="s">
        <v>76</v>
      </c>
      <c r="S62" s="40" t="s">
        <v>76</v>
      </c>
      <c r="T62" s="40" t="s">
        <v>76</v>
      </c>
      <c r="U62" s="40" t="s">
        <v>76</v>
      </c>
      <c r="V62" s="40" t="s">
        <v>76</v>
      </c>
      <c r="W62" s="40" t="s">
        <v>76</v>
      </c>
      <c r="X62" s="40" t="s">
        <v>76</v>
      </c>
      <c r="Y62" s="40" t="s">
        <v>76</v>
      </c>
      <c r="Z62" s="40" t="s">
        <v>76</v>
      </c>
      <c r="AA62" s="40" t="s">
        <v>76</v>
      </c>
      <c r="AB62" s="40" t="s">
        <v>76</v>
      </c>
      <c r="AC62" s="40" t="s">
        <v>76</v>
      </c>
      <c r="AD62" s="40" t="s">
        <v>76</v>
      </c>
      <c r="AE62" s="40" t="s">
        <v>76</v>
      </c>
      <c r="AF62" s="40" t="s">
        <v>76</v>
      </c>
      <c r="AG62" t="str">
        <f>VLOOKUP($Q62,武学奇术!$A:$ZZ,25,FALSE)</f>
        <v>心法</v>
      </c>
      <c r="AH62" s="26">
        <f>VLOOKUP($Q62,武学奇术!$A:$ZZ,26,FALSE)</f>
        <v>0</v>
      </c>
      <c r="AI62" s="27">
        <f>VLOOKUP($Q62,武学奇术!$A:$ZZ,27,FALSE)*(1+IF(OR($AG62=$F$4,$AG62=$F$5),$B$21,0))</f>
        <v>0</v>
      </c>
      <c r="AJ62" s="26">
        <f>VLOOKUP($Q62,武学奇术!$A:$ZZ,28,FALSE)</f>
        <v>0</v>
      </c>
      <c r="AK62" s="27">
        <f>VLOOKUP($Q62,武学奇术!$A:$ZZ,29,FALSE)*(1+IF(OR($AG62=$F$4,$AG62=$F$5),$B$21,0))</f>
        <v>0</v>
      </c>
      <c r="AL62" s="26" cm="1">
        <f t="array" ref="AL62">$G$3+IFERROR(VLOOKUP($AG62,$F$4:$G$7,2,FALSE),0)+VLOOKUP($Q62,武学奇术!$A:$ZZ,2,FALSE)+SUM(_xlfn.XLOOKUP($R62:$AF62,增益!$A:$A,增益!$B:$B,0))</f>
        <v>0.1842</v>
      </c>
      <c r="AM62" s="26" cm="1">
        <f t="array" ref="AM62">VLOOKUP($Q62,武学奇术!$A:$ZZ,5,FALSE)+SUM(_xlfn.XLOOKUP($R62:$AF62,增益!$A:$A,增益!$E:$E,0))</f>
        <v>0</v>
      </c>
      <c r="AN62" cm="1">
        <f t="array" ref="AN62">$D$10*(1+$AM62)+VLOOKUP($Q62,武学奇术!$A:$ZZ,3,FALSE)+SUM(_xlfn.XLOOKUP($R62:$AF62,增益!$A:$A,增益!$C:$C,0))-$I$2</f>
        <v>3940</v>
      </c>
      <c r="AO62" cm="1">
        <f t="array" ref="AO62">$E$10*(1+$AM62)+VLOOKUP($Q62,武学奇术!$A:$ZZ,4,FALSE)+SUM(_xlfn.XLOOKUP($R62:$AF62,增益!$A:$A,增益!$D:$D,0))-$I$2</f>
        <v>3940</v>
      </c>
      <c r="AP62" s="32" cm="1">
        <f t="array" ref="AP62">IF($F$10-$I$3+VLOOKUP($Q62,武学奇术!$A:$ZZ,6,FALSE)+SUM(_xlfn.XLOOKUP(R62:AF62,增益!$A:$A,增益!$F:$F,0))&gt;0,($F$10-$I$3+VLOOKUP($Q62,武学奇术!$A:$ZZ,6,FALSE)+SUM(_xlfn.XLOOKUP(R62:AF62,增益!$A:$A,增益!$F:$F,0)))/200,($F$10-$I$3+VLOOKUP($Q62,武学奇术!$A:$ZZ,6,FALSE)+SUM(_xlfn.XLOOKUP(R62:AF62,增益!$A:$A,增益!$F:$F,0)))/100)</f>
        <v>0.194</v>
      </c>
      <c r="AQ62" s="32" cm="1">
        <f t="array" ref="AQ62">$G$10+VLOOKUP($Q62,武学奇术!$A:$ZZ,7,FALSE)+SUM(_xlfn.XLOOKUP(R62:AF62,增益!$A:$A,增益!$G:$G,0))</f>
        <v>0</v>
      </c>
      <c r="AR62" s="26" cm="1">
        <f t="array" ref="AR62">VLOOKUP($Q62,武学奇术!$A:$ZZ,8,FALSE)+SUM(_xlfn.XLOOKUP(R62:AF62,增益!$A:$A,增益!$H:$H,0))</f>
        <v>0</v>
      </c>
      <c r="AS62">
        <f t="shared" si="1"/>
        <v>0</v>
      </c>
      <c r="AT62">
        <f t="shared" si="2"/>
        <v>0</v>
      </c>
      <c r="AU62" s="32" cm="1">
        <f t="array" ref="AU62">IF($F$11-$I$4+VLOOKUP($Q62,武学奇术!$A:$ZZ,9,FALSE)+SUM(_xlfn.XLOOKUP(R62:AF62,增益!$A:$A,增益!$I:$I,0))&gt;0,($F$11-$I$4+VLOOKUP($Q62,武学奇术!$A:$ZZ,9,FALSE)+SUM(_xlfn.XLOOKUP(R62:AF62,增益!$A:$A,增益!$I:$I,0)))/200,($F$11-$I$4+VLOOKUP($Q62,武学奇术!$A:$ZZ,9,FALSE)+SUM(_xlfn.XLOOKUP(R62:AF62,增益!$A:$A,增益!$I:$I,0)))/100)</f>
        <v>-0.3</v>
      </c>
      <c r="AV62" s="32" cm="1">
        <f t="array" ref="AV62">$G$11+VLOOKUP($Q62,武学奇术!$A:$ZZ,10,FALSE)+SUM(_xlfn.XLOOKUP(R62:AF62,增益!$A:$A,增益!$J:$J,0))</f>
        <v>0</v>
      </c>
      <c r="AW62">
        <f t="shared" si="3"/>
        <v>0</v>
      </c>
      <c r="AX62">
        <f t="shared" si="4"/>
        <v>0</v>
      </c>
      <c r="AY62" s="32" cm="1">
        <f t="array" ref="AY62">IF($F$12-$I$4+VLOOKUP($Q62,武学奇术!$A:$ZZ,11,FALSE)+SUM(_xlfn.XLOOKUP(R62:AF62,增益!$A:$A,增益!$K:$K,0))&gt;0,($F$12-$I$4+VLOOKUP($Q62,武学奇术!$A:$ZZ,11,FALSE)+SUM(_xlfn.XLOOKUP(R62:AF62,增益!$A:$A,增益!$K:$K,0)))/200,($F$12-$I$4+VLOOKUP($Q62,武学奇术!$A:$ZZ,11,FALSE)+SUM(_xlfn.XLOOKUP(R62:AF62,增益!$A:$A,增益!$K:$K,0)))/100)</f>
        <v>-0.3</v>
      </c>
      <c r="AZ62" s="32" cm="1">
        <f t="array" ref="AZ62">$G$12+VLOOKUP($Q62,武学奇术!$A:$ZZ,12,FALSE)+SUM(_xlfn.XLOOKUP(R62:AF62,增益!$A:$A,增益!$L:$L,0))</f>
        <v>0</v>
      </c>
      <c r="BA62">
        <f t="shared" si="5"/>
        <v>697.4</v>
      </c>
      <c r="BB62">
        <f t="shared" si="6"/>
        <v>1805</v>
      </c>
      <c r="BC62" s="32" cm="1">
        <f t="array" ref="BC62">IF($F$13-$I$4+VLOOKUP($Q62,武学奇术!$A:$ZZ,13,FALSE)+SUM(_xlfn.XLOOKUP(R62:AF62,增益!$A:$A,增益!$M:$M,0))&gt;0,($F$13-$I$4+VLOOKUP($Q62,武学奇术!$A:$ZZ,13,FALSE)+SUM(_xlfn.XLOOKUP(R62:AF62,增益!$A:$A,增益!$K:$K,0)))/200,($F$13-$I$4+VLOOKUP($Q62,武学奇术!$A:$ZZ,13,FALSE)+SUM(_xlfn.XLOOKUP(R62:AF62,增益!$A:$A,增益!$M:$M,0)))/100)</f>
        <v>0</v>
      </c>
      <c r="BD62" s="32" cm="1">
        <f t="array" ref="BD62">$G$13+VLOOKUP($Q62,武学奇术!$A:$ZZ,14,FALSE)+SUM(_xlfn.XLOOKUP(R62:AF62,增益!$A:$A,增益!$N:$N,0))</f>
        <v>0.15</v>
      </c>
      <c r="BE62">
        <f t="shared" si="7"/>
        <v>0</v>
      </c>
      <c r="BF62">
        <f t="shared" si="8"/>
        <v>0</v>
      </c>
      <c r="BG62" s="32" cm="1">
        <f t="array" ref="BG62">IF($F$14-$I$4+VLOOKUP($Q62,武学奇术!$A:$ZZ,15,FALSE)+SUM(_xlfn.XLOOKUP(R62:AF62,增益!$A:$A,增益!$O:$O,0))&gt;0,($F$14-$I$4+VLOOKUP($Q62,武学奇术!$A:$ZZ,15,FALSE)+SUM(_xlfn.XLOOKUP(R62:AF62,增益!$A:$A,增益!$O:$O,0)))/200,($F$14-$I$4+VLOOKUP($Q62,武学奇术!$A:$ZZ,15,FALSE)+SUM(_xlfn.XLOOKUP(R62:AF62,增益!$A:$A,增益!$O:$O,0)))/100)</f>
        <v>-0.3</v>
      </c>
      <c r="BH62" s="32" cm="1">
        <f t="array" ref="BH62">$G$14+VLOOKUP($Q62,武学奇术!$A:$ZZ,16,FALSE)+SUM(_xlfn.XLOOKUP(R62:AF62,增益!$A:$A,增益!$P:$P,0))</f>
        <v>0</v>
      </c>
      <c r="BI62" s="26">
        <f>MIN(IF(VLOOKUP($Q62,武学奇术!$A:$ZZ,23,FALSE)=1,100%,$B$8),100%)</f>
        <v>1</v>
      </c>
      <c r="BJ62" s="26" cm="1">
        <f t="array" ref="BJ62">IF(VLOOKUP($Q62,武学奇术!$A:$ZZ,23,FALSE)=1,100%,MIN(80%,$B$9+VLOOKUP($Q62,武学奇术!$A:$ZZ,17,FALSE)+SUM(_xlfn.XLOOKUP(R62:AF62,增益!$A:$A,增益!$Q:$Q,0)))+$B$11+SUM(_xlfn.XLOOKUP(R62:AF62,增益!$A:$A,增益!$U:$U,0)))*IF(VLOOKUP($Q62,武学奇术!$A:$ZZ,24,FALSE)=1,0,1)</f>
        <v>0.8625</v>
      </c>
      <c r="BK62" s="26" cm="1">
        <f t="array" ref="BK62">1+$B$13+VLOOKUP($Q62,武学奇术!$A:$ZZ,18,FALSE)+SUM(_xlfn.XLOOKUP(R62:AF62,增益!$A:$A,增益!$R:$R,0))</f>
        <v>1.5</v>
      </c>
      <c r="BL62" s="26" cm="1">
        <f t="array" ref="BL62">IF(VLOOKUP($Q62,武学奇术!$A:$ZZ,24,FALSE)=1,100%,MIN(40%,$B$10+VLOOKUP($Q62,武学奇术!$A:$ZZ,19,FALSE)+SUM(_xlfn.XLOOKUP(R62:AF62,增益!$A:$A,增益!$S:$S,0)))+$B$12+SUM(_xlfn.XLOOKUP(R62:AF62,增益!$A:$A,增益!$V:$V,0)))*IF(VLOOKUP($Q62,武学奇术!$A:$ZZ,23,FALSE)=1,0,1)</f>
        <v>0.0913</v>
      </c>
      <c r="BM62" s="26" cm="1">
        <f t="array" ref="BM62">1+$B$14+VLOOKUP($Q62,武学奇术!$A:$ZZ,20,FALSE)+SUM(_xlfn.XLOOKUP(R62:AF62,增益!$A:$A,增益!$T:$T,0))</f>
        <v>1.35</v>
      </c>
      <c r="BN62" s="26">
        <f t="shared" si="9"/>
        <v>0.8625</v>
      </c>
      <c r="BO62" s="26">
        <f t="shared" si="10"/>
        <v>0.0462</v>
      </c>
      <c r="BP62" s="26">
        <f>IF(VLOOKUP($Q62,武学奇术!$A:$ZZ,22,FALSE)=1,0,(1-$BI62))*(1-$BL62)</f>
        <v>0</v>
      </c>
      <c r="BQ62" s="26" cm="1">
        <f t="array" ref="BQ62">SUM(_xlfn.XLOOKUP(R62:AF62,增益!$A:$A,增益!$W:$W,0))+$I$5</f>
        <v>0.06</v>
      </c>
    </row>
    <row r="63" spans="4:69">
      <c r="K63" s="38">
        <f t="shared" si="0"/>
        <v>0</v>
      </c>
      <c r="L63" s="38">
        <f>((($AN63+$AO63)/2*$AH63+$AI63)*(1+$AP63)*(1+$AQ63)+(($AS63+$AT63)/2*IF($G$1="鸣金",$AJ63,$AH63)+IF($G$1="鸣金",$AK63*1.5,0))*(1+$AU63)*(1+$AV63)+(($AW63+$AX63)/2*IF($G$1="裂石",$AJ63,$AH63)+IF($G$1="裂石",$AK63*1.5,0))*(1+$AY63)*(1+$AZ63)+(($BA63+$BB63)/2*IF($G$1="牵丝",$AJ63,$AH63)+IF($G$1="牵丝",$AK63*1.5,0))*(1+$BC63)*(1+$BD63)+(($BE63+$BF63)/2*IF($G$1="破竹",$AJ63,$AH63)+IF($G$1="破竹",$AK63*1.5,0))*(1+$BG63)*(1+$BH63))*(1+$AL63)*$BK63*$P63*(1+IF(VLOOKUP($Q63,武学奇术!$A:$ZZ,30,FALSE)="蓄力技",#REF!,0))*(1+$BQ63)</f>
        <v>0</v>
      </c>
      <c r="M63" s="38">
        <f>(($AO63*$AH63+$AI63)*(1+$AP63)*(1+$AQ63)+($AT63*IF($G$1="鸣金",$AJ63,$AH63)+IF($G$1="鸣金",$AK63*1.5,0))*(1+$AU63)*(1+$AV63)+($AX63*IF($G$1="裂石",$AJ63,$AH63)+IF($G$1="裂石",$AK63*1.5,0))*(1+$AY63)*(1+$AZ63)+($BB63*IF($G$1="牵丝",$AJ63,$AH63)+IF($G$1="牵丝",$AK63*1.5,0))*(1+$BC63)*(1+$BD63)+($BF63*IF($G$1="破竹",$AJ63,$AH63)+IF($G$1="破竹",$AK63*1.5,0))*(1+$BG63)*(1+$BH63))*(1+$AL63)*$BM63*$P63*(1+IF(VLOOKUP($Q63,武学奇术!$A:$ZZ,30,FALSE)="蓄力技",#REF!,0))*(1+$BQ63)</f>
        <v>0</v>
      </c>
      <c r="N63" s="38">
        <f>((($AN63+$AO63)/2*$AH63+$AI63)*(1+$AP63)*(1+$AQ63)+(($AS63+$AT63)/2*IF($G$1="鸣金",$AJ63,$AH63)+IF($G$1="鸣金",$AK63*1.5,0))*(1+$AU63)*(1+$AV63)+(($AW63+$AX63)/2*IF($G$1="裂石",$AJ63,$AH63)+IF($G$1="裂石",$AK63*1.5,0))*(1+$AY63)*(1+$AZ63)+(($BA63+$BB63)/2*IF($G$1="牵丝",$AJ63,$AH63)+IF($G$1="牵丝",$AK63*1.5,0))*(1+$BC63)*(1+$BD63)+(($BE63+$BF63)/2*IF($G$1="破竹",$AJ63,$AH63)+IF($G$1="破竹",$AK63*1.5,0))*(1+$BG63)*(1+$BH63))*(1+$AL63)*$P63*(1+IF(VLOOKUP($Q63,武学奇术!$A:$ZZ,30,FALSE)="蓄力技",#REF!,0))*(1+$BQ63)</f>
        <v>0</v>
      </c>
      <c r="O63" s="38">
        <f>((($AN63*$AH63+$AI63)*(1+$AP63)*(1+$AQ63)+($AS63*IF($G$1="鸣金",$AJ63,$AH63)+IF($G$1="鸣金",$AK63*1.5,0))*(1+$AU63)*(1+$AV63)+($AW63*IF($G$1="裂石",$AJ63,$AH63)+IF($G$1="裂石",$AK63*1.5,0))*(1+$AY63)*(1+$AZ63)+($BA63*IF($G$1="牵丝",$AJ63,$AH63)+IF($G$1="牵丝",$AK63*1.5,0))*(1+$BC63)*(1+$BD63)+($BE63*IF($G$1="破竹",$AJ63,$AH63)+IF($G$1="破竹",$AK63*1.5,0))*(1+$BG63)*(1+$BH63))*(1+$AL63))*$P63*(1+IF(VLOOKUP($Q63,武学奇术!$A:$ZZ,30,FALSE)="蓄力技",#REF!,0))*(1+$BQ63)</f>
        <v>0</v>
      </c>
      <c r="P63" s="39">
        <v>1</v>
      </c>
      <c r="Q63" s="40" t="s">
        <v>76</v>
      </c>
      <c r="R63" s="40" t="s">
        <v>76</v>
      </c>
      <c r="S63" s="40" t="s">
        <v>76</v>
      </c>
      <c r="T63" s="40" t="s">
        <v>76</v>
      </c>
      <c r="U63" s="40" t="s">
        <v>76</v>
      </c>
      <c r="V63" s="40" t="s">
        <v>76</v>
      </c>
      <c r="W63" s="40" t="s">
        <v>76</v>
      </c>
      <c r="X63" s="40" t="s">
        <v>76</v>
      </c>
      <c r="Y63" s="40" t="s">
        <v>76</v>
      </c>
      <c r="Z63" s="40" t="s">
        <v>76</v>
      </c>
      <c r="AA63" s="40" t="s">
        <v>76</v>
      </c>
      <c r="AB63" s="40" t="s">
        <v>76</v>
      </c>
      <c r="AC63" s="40" t="s">
        <v>76</v>
      </c>
      <c r="AD63" s="40" t="s">
        <v>76</v>
      </c>
      <c r="AE63" s="40" t="s">
        <v>76</v>
      </c>
      <c r="AF63" s="40" t="s">
        <v>76</v>
      </c>
      <c r="AG63" t="str">
        <f>VLOOKUP($Q63,武学奇术!$A:$ZZ,25,FALSE)</f>
        <v>心法</v>
      </c>
      <c r="AH63" s="26">
        <f>VLOOKUP($Q63,武学奇术!$A:$ZZ,26,FALSE)</f>
        <v>0</v>
      </c>
      <c r="AI63" s="27">
        <f>VLOOKUP($Q63,武学奇术!$A:$ZZ,27,FALSE)*(1+IF(OR($AG63=$F$4,$AG63=$F$5),$B$21,0))</f>
        <v>0</v>
      </c>
      <c r="AJ63" s="26">
        <f>VLOOKUP($Q63,武学奇术!$A:$ZZ,28,FALSE)</f>
        <v>0</v>
      </c>
      <c r="AK63" s="27">
        <f>VLOOKUP($Q63,武学奇术!$A:$ZZ,29,FALSE)*(1+IF(OR($AG63=$F$4,$AG63=$F$5),$B$21,0))</f>
        <v>0</v>
      </c>
      <c r="AL63" s="26" cm="1">
        <f t="array" ref="AL63">$G$3+IFERROR(VLOOKUP($AG63,$F$4:$G$7,2,FALSE),0)+VLOOKUP($Q63,武学奇术!$A:$ZZ,2,FALSE)+SUM(_xlfn.XLOOKUP($R63:$AF63,增益!$A:$A,增益!$B:$B,0))</f>
        <v>0.1842</v>
      </c>
      <c r="AM63" s="26" cm="1">
        <f t="array" ref="AM63">VLOOKUP($Q63,武学奇术!$A:$ZZ,5,FALSE)+SUM(_xlfn.XLOOKUP($R63:$AF63,增益!$A:$A,增益!$E:$E,0))</f>
        <v>0</v>
      </c>
      <c r="AN63" cm="1">
        <f t="array" ref="AN63">$D$10*(1+$AM63)+VLOOKUP($Q63,武学奇术!$A:$ZZ,3,FALSE)+SUM(_xlfn.XLOOKUP($R63:$AF63,增益!$A:$A,增益!$C:$C,0))-$I$2</f>
        <v>3940</v>
      </c>
      <c r="AO63" cm="1">
        <f t="array" ref="AO63">$E$10*(1+$AM63)+VLOOKUP($Q63,武学奇术!$A:$ZZ,4,FALSE)+SUM(_xlfn.XLOOKUP($R63:$AF63,增益!$A:$A,增益!$D:$D,0))-$I$2</f>
        <v>3940</v>
      </c>
      <c r="AP63" s="32" cm="1">
        <f t="array" ref="AP63">IF($F$10-$I$3+VLOOKUP($Q63,武学奇术!$A:$ZZ,6,FALSE)+SUM(_xlfn.XLOOKUP(R63:AF63,增益!$A:$A,增益!$F:$F,0))&gt;0,($F$10-$I$3+VLOOKUP($Q63,武学奇术!$A:$ZZ,6,FALSE)+SUM(_xlfn.XLOOKUP(R63:AF63,增益!$A:$A,增益!$F:$F,0)))/200,($F$10-$I$3+VLOOKUP($Q63,武学奇术!$A:$ZZ,6,FALSE)+SUM(_xlfn.XLOOKUP(R63:AF63,增益!$A:$A,增益!$F:$F,0)))/100)</f>
        <v>0.194</v>
      </c>
      <c r="AQ63" s="32" cm="1">
        <f t="array" ref="AQ63">$G$10+VLOOKUP($Q63,武学奇术!$A:$ZZ,7,FALSE)+SUM(_xlfn.XLOOKUP(R63:AF63,增益!$A:$A,增益!$G:$G,0))</f>
        <v>0</v>
      </c>
      <c r="AR63" s="26" cm="1">
        <f t="array" ref="AR63">VLOOKUP($Q63,武学奇术!$A:$ZZ,8,FALSE)+SUM(_xlfn.XLOOKUP(R63:AF63,增益!$A:$A,增益!$H:$H,0))</f>
        <v>0</v>
      </c>
      <c r="AS63">
        <f t="shared" si="1"/>
        <v>0</v>
      </c>
      <c r="AT63">
        <f t="shared" si="2"/>
        <v>0</v>
      </c>
      <c r="AU63" s="32" cm="1">
        <f t="array" ref="AU63">IF($F$11-$I$4+VLOOKUP($Q63,武学奇术!$A:$ZZ,9,FALSE)+SUM(_xlfn.XLOOKUP(R63:AF63,增益!$A:$A,增益!$I:$I,0))&gt;0,($F$11-$I$4+VLOOKUP($Q63,武学奇术!$A:$ZZ,9,FALSE)+SUM(_xlfn.XLOOKUP(R63:AF63,增益!$A:$A,增益!$I:$I,0)))/200,($F$11-$I$4+VLOOKUP($Q63,武学奇术!$A:$ZZ,9,FALSE)+SUM(_xlfn.XLOOKUP(R63:AF63,增益!$A:$A,增益!$I:$I,0)))/100)</f>
        <v>-0.3</v>
      </c>
      <c r="AV63" s="32" cm="1">
        <f t="array" ref="AV63">$G$11+VLOOKUP($Q63,武学奇术!$A:$ZZ,10,FALSE)+SUM(_xlfn.XLOOKUP(R63:AF63,增益!$A:$A,增益!$J:$J,0))</f>
        <v>0</v>
      </c>
      <c r="AW63">
        <f t="shared" si="3"/>
        <v>0</v>
      </c>
      <c r="AX63">
        <f t="shared" si="4"/>
        <v>0</v>
      </c>
      <c r="AY63" s="32" cm="1">
        <f t="array" ref="AY63">IF($F$12-$I$4+VLOOKUP($Q63,武学奇术!$A:$ZZ,11,FALSE)+SUM(_xlfn.XLOOKUP(R63:AF63,增益!$A:$A,增益!$K:$K,0))&gt;0,($F$12-$I$4+VLOOKUP($Q63,武学奇术!$A:$ZZ,11,FALSE)+SUM(_xlfn.XLOOKUP(R63:AF63,增益!$A:$A,增益!$K:$K,0)))/200,($F$12-$I$4+VLOOKUP($Q63,武学奇术!$A:$ZZ,11,FALSE)+SUM(_xlfn.XLOOKUP(R63:AF63,增益!$A:$A,增益!$K:$K,0)))/100)</f>
        <v>-0.3</v>
      </c>
      <c r="AZ63" s="32" cm="1">
        <f t="array" ref="AZ63">$G$12+VLOOKUP($Q63,武学奇术!$A:$ZZ,12,FALSE)+SUM(_xlfn.XLOOKUP(R63:AF63,增益!$A:$A,增益!$L:$L,0))</f>
        <v>0</v>
      </c>
      <c r="BA63">
        <f t="shared" si="5"/>
        <v>697.4</v>
      </c>
      <c r="BB63">
        <f t="shared" si="6"/>
        <v>1805</v>
      </c>
      <c r="BC63" s="32" cm="1">
        <f t="array" ref="BC63">IF($F$13-$I$4+VLOOKUP($Q63,武学奇术!$A:$ZZ,13,FALSE)+SUM(_xlfn.XLOOKUP(R63:AF63,增益!$A:$A,增益!$M:$M,0))&gt;0,($F$13-$I$4+VLOOKUP($Q63,武学奇术!$A:$ZZ,13,FALSE)+SUM(_xlfn.XLOOKUP(R63:AF63,增益!$A:$A,增益!$K:$K,0)))/200,($F$13-$I$4+VLOOKUP($Q63,武学奇术!$A:$ZZ,13,FALSE)+SUM(_xlfn.XLOOKUP(R63:AF63,增益!$A:$A,增益!$M:$M,0)))/100)</f>
        <v>0</v>
      </c>
      <c r="BD63" s="32" cm="1">
        <f t="array" ref="BD63">$G$13+VLOOKUP($Q63,武学奇术!$A:$ZZ,14,FALSE)+SUM(_xlfn.XLOOKUP(R63:AF63,增益!$A:$A,增益!$N:$N,0))</f>
        <v>0.15</v>
      </c>
      <c r="BE63">
        <f t="shared" si="7"/>
        <v>0</v>
      </c>
      <c r="BF63">
        <f t="shared" si="8"/>
        <v>0</v>
      </c>
      <c r="BG63" s="32" cm="1">
        <f t="array" ref="BG63">IF($F$14-$I$4+VLOOKUP($Q63,武学奇术!$A:$ZZ,15,FALSE)+SUM(_xlfn.XLOOKUP(R63:AF63,增益!$A:$A,增益!$O:$O,0))&gt;0,($F$14-$I$4+VLOOKUP($Q63,武学奇术!$A:$ZZ,15,FALSE)+SUM(_xlfn.XLOOKUP(R63:AF63,增益!$A:$A,增益!$O:$O,0)))/200,($F$14-$I$4+VLOOKUP($Q63,武学奇术!$A:$ZZ,15,FALSE)+SUM(_xlfn.XLOOKUP(R63:AF63,增益!$A:$A,增益!$O:$O,0)))/100)</f>
        <v>-0.3</v>
      </c>
      <c r="BH63" s="32" cm="1">
        <f t="array" ref="BH63">$G$14+VLOOKUP($Q63,武学奇术!$A:$ZZ,16,FALSE)+SUM(_xlfn.XLOOKUP(R63:AF63,增益!$A:$A,增益!$P:$P,0))</f>
        <v>0</v>
      </c>
      <c r="BI63" s="26">
        <f>MIN(IF(VLOOKUP($Q63,武学奇术!$A:$ZZ,23,FALSE)=1,100%,$B$8),100%)</f>
        <v>1</v>
      </c>
      <c r="BJ63" s="26" cm="1">
        <f t="array" ref="BJ63">IF(VLOOKUP($Q63,武学奇术!$A:$ZZ,23,FALSE)=1,100%,MIN(80%,$B$9+VLOOKUP($Q63,武学奇术!$A:$ZZ,17,FALSE)+SUM(_xlfn.XLOOKUP(R63:AF63,增益!$A:$A,增益!$Q:$Q,0)))+$B$11+SUM(_xlfn.XLOOKUP(R63:AF63,增益!$A:$A,增益!$U:$U,0)))*IF(VLOOKUP($Q63,武学奇术!$A:$ZZ,24,FALSE)=1,0,1)</f>
        <v>0.8625</v>
      </c>
      <c r="BK63" s="26" cm="1">
        <f t="array" ref="BK63">1+$B$13+VLOOKUP($Q63,武学奇术!$A:$ZZ,18,FALSE)+SUM(_xlfn.XLOOKUP(R63:AF63,增益!$A:$A,增益!$R:$R,0))</f>
        <v>1.5</v>
      </c>
      <c r="BL63" s="26" cm="1">
        <f t="array" ref="BL63">IF(VLOOKUP($Q63,武学奇术!$A:$ZZ,24,FALSE)=1,100%,MIN(40%,$B$10+VLOOKUP($Q63,武学奇术!$A:$ZZ,19,FALSE)+SUM(_xlfn.XLOOKUP(R63:AF63,增益!$A:$A,增益!$S:$S,0)))+$B$12+SUM(_xlfn.XLOOKUP(R63:AF63,增益!$A:$A,增益!$V:$V,0)))*IF(VLOOKUP($Q63,武学奇术!$A:$ZZ,23,FALSE)=1,0,1)</f>
        <v>0.0913</v>
      </c>
      <c r="BM63" s="26" cm="1">
        <f t="array" ref="BM63">1+$B$14+VLOOKUP($Q63,武学奇术!$A:$ZZ,20,FALSE)+SUM(_xlfn.XLOOKUP(R63:AF63,增益!$A:$A,增益!$T:$T,0))</f>
        <v>1.35</v>
      </c>
      <c r="BN63" s="26">
        <f t="shared" si="9"/>
        <v>0.8625</v>
      </c>
      <c r="BO63" s="26">
        <f t="shared" si="10"/>
        <v>0.0462</v>
      </c>
      <c r="BP63" s="26">
        <f>IF(VLOOKUP($Q63,武学奇术!$A:$ZZ,22,FALSE)=1,0,(1-$BI63))*(1-$BL63)</f>
        <v>0</v>
      </c>
      <c r="BQ63" s="26" cm="1">
        <f t="array" ref="BQ63">SUM(_xlfn.XLOOKUP(R63:AF63,增益!$A:$A,增益!$W:$W,0))+$I$5</f>
        <v>0.06</v>
      </c>
    </row>
    <row r="64" spans="4:69">
      <c r="K64" s="38">
        <f t="shared" si="0"/>
        <v>0</v>
      </c>
      <c r="L64" s="38">
        <f>((($AN64+$AO64)/2*$AH64+$AI64)*(1+$AP64)*(1+$AQ64)+(($AS64+$AT64)/2*IF($G$1="鸣金",$AJ64,$AH64)+IF($G$1="鸣金",$AK64*1.5,0))*(1+$AU64)*(1+$AV64)+(($AW64+$AX64)/2*IF($G$1="裂石",$AJ64,$AH64)+IF($G$1="裂石",$AK64*1.5,0))*(1+$AY64)*(1+$AZ64)+(($BA64+$BB64)/2*IF($G$1="牵丝",$AJ64,$AH64)+IF($G$1="牵丝",$AK64*1.5,0))*(1+$BC64)*(1+$BD64)+(($BE64+$BF64)/2*IF($G$1="破竹",$AJ64,$AH64)+IF($G$1="破竹",$AK64*1.5,0))*(1+$BG64)*(1+$BH64))*(1+$AL64)*$BK64*$P64*(1+IF(VLOOKUP($Q64,武学奇术!$A:$ZZ,30,FALSE)="蓄力技",#REF!,0))*(1+$BQ64)</f>
        <v>0</v>
      </c>
      <c r="M64" s="38">
        <f>(($AO64*$AH64+$AI64)*(1+$AP64)*(1+$AQ64)+($AT64*IF($G$1="鸣金",$AJ64,$AH64)+IF($G$1="鸣金",$AK64*1.5,0))*(1+$AU64)*(1+$AV64)+($AX64*IF($G$1="裂石",$AJ64,$AH64)+IF($G$1="裂石",$AK64*1.5,0))*(1+$AY64)*(1+$AZ64)+($BB64*IF($G$1="牵丝",$AJ64,$AH64)+IF($G$1="牵丝",$AK64*1.5,0))*(1+$BC64)*(1+$BD64)+($BF64*IF($G$1="破竹",$AJ64,$AH64)+IF($G$1="破竹",$AK64*1.5,0))*(1+$BG64)*(1+$BH64))*(1+$AL64)*$BM64*$P64*(1+IF(VLOOKUP($Q64,武学奇术!$A:$ZZ,30,FALSE)="蓄力技",#REF!,0))*(1+$BQ64)</f>
        <v>0</v>
      </c>
      <c r="N64" s="38">
        <f>((($AN64+$AO64)/2*$AH64+$AI64)*(1+$AP64)*(1+$AQ64)+(($AS64+$AT64)/2*IF($G$1="鸣金",$AJ64,$AH64)+IF($G$1="鸣金",$AK64*1.5,0))*(1+$AU64)*(1+$AV64)+(($AW64+$AX64)/2*IF($G$1="裂石",$AJ64,$AH64)+IF($G$1="裂石",$AK64*1.5,0))*(1+$AY64)*(1+$AZ64)+(($BA64+$BB64)/2*IF($G$1="牵丝",$AJ64,$AH64)+IF($G$1="牵丝",$AK64*1.5,0))*(1+$BC64)*(1+$BD64)+(($BE64+$BF64)/2*IF($G$1="破竹",$AJ64,$AH64)+IF($G$1="破竹",$AK64*1.5,0))*(1+$BG64)*(1+$BH64))*(1+$AL64)*$P64*(1+IF(VLOOKUP($Q64,武学奇术!$A:$ZZ,30,FALSE)="蓄力技",#REF!,0))*(1+$BQ64)</f>
        <v>0</v>
      </c>
      <c r="O64" s="38">
        <f>((($AN64*$AH64+$AI64)*(1+$AP64)*(1+$AQ64)+($AS64*IF($G$1="鸣金",$AJ64,$AH64)+IF($G$1="鸣金",$AK64*1.5,0))*(1+$AU64)*(1+$AV64)+($AW64*IF($G$1="裂石",$AJ64,$AH64)+IF($G$1="裂石",$AK64*1.5,0))*(1+$AY64)*(1+$AZ64)+($BA64*IF($G$1="牵丝",$AJ64,$AH64)+IF($G$1="牵丝",$AK64*1.5,0))*(1+$BC64)*(1+$BD64)+($BE64*IF($G$1="破竹",$AJ64,$AH64)+IF($G$1="破竹",$AK64*1.5,0))*(1+$BG64)*(1+$BH64))*(1+$AL64))*$P64*(1+IF(VLOOKUP($Q64,武学奇术!$A:$ZZ,30,FALSE)="蓄力技",#REF!,0))*(1+$BQ64)</f>
        <v>0</v>
      </c>
      <c r="P64" s="39">
        <v>1</v>
      </c>
      <c r="Q64" s="40" t="s">
        <v>76</v>
      </c>
      <c r="R64" s="40" t="s">
        <v>76</v>
      </c>
      <c r="S64" s="40" t="s">
        <v>76</v>
      </c>
      <c r="T64" s="40" t="s">
        <v>76</v>
      </c>
      <c r="U64" s="40" t="s">
        <v>76</v>
      </c>
      <c r="V64" s="40" t="s">
        <v>76</v>
      </c>
      <c r="W64" s="40" t="s">
        <v>76</v>
      </c>
      <c r="X64" s="40" t="s">
        <v>76</v>
      </c>
      <c r="Y64" s="40" t="s">
        <v>76</v>
      </c>
      <c r="Z64" s="40" t="s">
        <v>76</v>
      </c>
      <c r="AA64" s="40" t="s">
        <v>76</v>
      </c>
      <c r="AB64" s="40" t="s">
        <v>76</v>
      </c>
      <c r="AC64" s="40" t="s">
        <v>76</v>
      </c>
      <c r="AD64" s="40" t="s">
        <v>76</v>
      </c>
      <c r="AE64" s="40" t="s">
        <v>76</v>
      </c>
      <c r="AF64" s="40" t="s">
        <v>76</v>
      </c>
      <c r="AG64" t="str">
        <f>VLOOKUP($Q64,武学奇术!$A:$ZZ,25,FALSE)</f>
        <v>心法</v>
      </c>
      <c r="AH64" s="26">
        <f>VLOOKUP($Q64,武学奇术!$A:$ZZ,26,FALSE)</f>
        <v>0</v>
      </c>
      <c r="AI64" s="27">
        <f>VLOOKUP($Q64,武学奇术!$A:$ZZ,27,FALSE)*(1+IF(OR($AG64=$F$4,$AG64=$F$5),$B$21,0))</f>
        <v>0</v>
      </c>
      <c r="AJ64" s="26">
        <f>VLOOKUP($Q64,武学奇术!$A:$ZZ,28,FALSE)</f>
        <v>0</v>
      </c>
      <c r="AK64" s="27">
        <f>VLOOKUP($Q64,武学奇术!$A:$ZZ,29,FALSE)*(1+IF(OR($AG64=$F$4,$AG64=$F$5),$B$21,0))</f>
        <v>0</v>
      </c>
      <c r="AL64" s="26" cm="1">
        <f t="array" ref="AL64">$G$3+IFERROR(VLOOKUP($AG64,$F$4:$G$7,2,FALSE),0)+VLOOKUP($Q64,武学奇术!$A:$ZZ,2,FALSE)+SUM(_xlfn.XLOOKUP($R64:$AF64,增益!$A:$A,增益!$B:$B,0))</f>
        <v>0.1842</v>
      </c>
      <c r="AM64" s="26" cm="1">
        <f t="array" ref="AM64">VLOOKUP($Q64,武学奇术!$A:$ZZ,5,FALSE)+SUM(_xlfn.XLOOKUP($R64:$AF64,增益!$A:$A,增益!$E:$E,0))</f>
        <v>0</v>
      </c>
      <c r="AN64" cm="1">
        <f t="array" ref="AN64">$D$10*(1+$AM64)+VLOOKUP($Q64,武学奇术!$A:$ZZ,3,FALSE)+SUM(_xlfn.XLOOKUP($R64:$AF64,增益!$A:$A,增益!$C:$C,0))-$I$2</f>
        <v>3940</v>
      </c>
      <c r="AO64" cm="1">
        <f t="array" ref="AO64">$E$10*(1+$AM64)+VLOOKUP($Q64,武学奇术!$A:$ZZ,4,FALSE)+SUM(_xlfn.XLOOKUP($R64:$AF64,增益!$A:$A,增益!$D:$D,0))-$I$2</f>
        <v>3940</v>
      </c>
      <c r="AP64" s="32" cm="1">
        <f t="array" ref="AP64">IF($F$10-$I$3+VLOOKUP($Q64,武学奇术!$A:$ZZ,6,FALSE)+SUM(_xlfn.XLOOKUP(R64:AF64,增益!$A:$A,增益!$F:$F,0))&gt;0,($F$10-$I$3+VLOOKUP($Q64,武学奇术!$A:$ZZ,6,FALSE)+SUM(_xlfn.XLOOKUP(R64:AF64,增益!$A:$A,增益!$F:$F,0)))/200,($F$10-$I$3+VLOOKUP($Q64,武学奇术!$A:$ZZ,6,FALSE)+SUM(_xlfn.XLOOKUP(R64:AF64,增益!$A:$A,增益!$F:$F,0)))/100)</f>
        <v>0.194</v>
      </c>
      <c r="AQ64" s="32" cm="1">
        <f t="array" ref="AQ64">$G$10+VLOOKUP($Q64,武学奇术!$A:$ZZ,7,FALSE)+SUM(_xlfn.XLOOKUP(R64:AF64,增益!$A:$A,增益!$G:$G,0))</f>
        <v>0</v>
      </c>
      <c r="AR64" s="26" cm="1">
        <f t="array" ref="AR64">VLOOKUP($Q64,武学奇术!$A:$ZZ,8,FALSE)+SUM(_xlfn.XLOOKUP(R64:AF64,增益!$A:$A,增益!$H:$H,0))</f>
        <v>0</v>
      </c>
      <c r="AS64">
        <f t="shared" si="1"/>
        <v>0</v>
      </c>
      <c r="AT64">
        <f t="shared" si="2"/>
        <v>0</v>
      </c>
      <c r="AU64" s="32" cm="1">
        <f t="array" ref="AU64">IF($F$11-$I$4+VLOOKUP($Q64,武学奇术!$A:$ZZ,9,FALSE)+SUM(_xlfn.XLOOKUP(R64:AF64,增益!$A:$A,增益!$I:$I,0))&gt;0,($F$11-$I$4+VLOOKUP($Q64,武学奇术!$A:$ZZ,9,FALSE)+SUM(_xlfn.XLOOKUP(R64:AF64,增益!$A:$A,增益!$I:$I,0)))/200,($F$11-$I$4+VLOOKUP($Q64,武学奇术!$A:$ZZ,9,FALSE)+SUM(_xlfn.XLOOKUP(R64:AF64,增益!$A:$A,增益!$I:$I,0)))/100)</f>
        <v>-0.3</v>
      </c>
      <c r="AV64" s="32" cm="1">
        <f t="array" ref="AV64">$G$11+VLOOKUP($Q64,武学奇术!$A:$ZZ,10,FALSE)+SUM(_xlfn.XLOOKUP(R64:AF64,增益!$A:$A,增益!$J:$J,0))</f>
        <v>0</v>
      </c>
      <c r="AW64">
        <f t="shared" si="3"/>
        <v>0</v>
      </c>
      <c r="AX64">
        <f t="shared" si="4"/>
        <v>0</v>
      </c>
      <c r="AY64" s="32" cm="1">
        <f t="array" ref="AY64">IF($F$12-$I$4+VLOOKUP($Q64,武学奇术!$A:$ZZ,11,FALSE)+SUM(_xlfn.XLOOKUP(R64:AF64,增益!$A:$A,增益!$K:$K,0))&gt;0,($F$12-$I$4+VLOOKUP($Q64,武学奇术!$A:$ZZ,11,FALSE)+SUM(_xlfn.XLOOKUP(R64:AF64,增益!$A:$A,增益!$K:$K,0)))/200,($F$12-$I$4+VLOOKUP($Q64,武学奇术!$A:$ZZ,11,FALSE)+SUM(_xlfn.XLOOKUP(R64:AF64,增益!$A:$A,增益!$K:$K,0)))/100)</f>
        <v>-0.3</v>
      </c>
      <c r="AZ64" s="32" cm="1">
        <f t="array" ref="AZ64">$G$12+VLOOKUP($Q64,武学奇术!$A:$ZZ,12,FALSE)+SUM(_xlfn.XLOOKUP(R64:AF64,增益!$A:$A,增益!$L:$L,0))</f>
        <v>0</v>
      </c>
      <c r="BA64">
        <f t="shared" si="5"/>
        <v>697.4</v>
      </c>
      <c r="BB64">
        <f t="shared" si="6"/>
        <v>1805</v>
      </c>
      <c r="BC64" s="32" cm="1">
        <f t="array" ref="BC64">IF($F$13-$I$4+VLOOKUP($Q64,武学奇术!$A:$ZZ,13,FALSE)+SUM(_xlfn.XLOOKUP(R64:AF64,增益!$A:$A,增益!$M:$M,0))&gt;0,($F$13-$I$4+VLOOKUP($Q64,武学奇术!$A:$ZZ,13,FALSE)+SUM(_xlfn.XLOOKUP(R64:AF64,增益!$A:$A,增益!$K:$K,0)))/200,($F$13-$I$4+VLOOKUP($Q64,武学奇术!$A:$ZZ,13,FALSE)+SUM(_xlfn.XLOOKUP(R64:AF64,增益!$A:$A,增益!$M:$M,0)))/100)</f>
        <v>0</v>
      </c>
      <c r="BD64" s="32" cm="1">
        <f t="array" ref="BD64">$G$13+VLOOKUP($Q64,武学奇术!$A:$ZZ,14,FALSE)+SUM(_xlfn.XLOOKUP(R64:AF64,增益!$A:$A,增益!$N:$N,0))</f>
        <v>0.15</v>
      </c>
      <c r="BE64">
        <f t="shared" si="7"/>
        <v>0</v>
      </c>
      <c r="BF64">
        <f t="shared" si="8"/>
        <v>0</v>
      </c>
      <c r="BG64" s="32" cm="1">
        <f t="array" ref="BG64">IF($F$14-$I$4+VLOOKUP($Q64,武学奇术!$A:$ZZ,15,FALSE)+SUM(_xlfn.XLOOKUP(R64:AF64,增益!$A:$A,增益!$O:$O,0))&gt;0,($F$14-$I$4+VLOOKUP($Q64,武学奇术!$A:$ZZ,15,FALSE)+SUM(_xlfn.XLOOKUP(R64:AF64,增益!$A:$A,增益!$O:$O,0)))/200,($F$14-$I$4+VLOOKUP($Q64,武学奇术!$A:$ZZ,15,FALSE)+SUM(_xlfn.XLOOKUP(R64:AF64,增益!$A:$A,增益!$O:$O,0)))/100)</f>
        <v>-0.3</v>
      </c>
      <c r="BH64" s="32" cm="1">
        <f t="array" ref="BH64">$G$14+VLOOKUP($Q64,武学奇术!$A:$ZZ,16,FALSE)+SUM(_xlfn.XLOOKUP(R64:AF64,增益!$A:$A,增益!$P:$P,0))</f>
        <v>0</v>
      </c>
      <c r="BI64" s="26">
        <f>MIN(IF(VLOOKUP($Q64,武学奇术!$A:$ZZ,23,FALSE)=1,100%,$B$8),100%)</f>
        <v>1</v>
      </c>
      <c r="BJ64" s="26" cm="1">
        <f t="array" ref="BJ64">IF(VLOOKUP($Q64,武学奇术!$A:$ZZ,23,FALSE)=1,100%,MIN(80%,$B$9+VLOOKUP($Q64,武学奇术!$A:$ZZ,17,FALSE)+SUM(_xlfn.XLOOKUP(R64:AF64,增益!$A:$A,增益!$Q:$Q,0)))+$B$11+SUM(_xlfn.XLOOKUP(R64:AF64,增益!$A:$A,增益!$U:$U,0)))*IF(VLOOKUP($Q64,武学奇术!$A:$ZZ,24,FALSE)=1,0,1)</f>
        <v>0.8625</v>
      </c>
      <c r="BK64" s="26" cm="1">
        <f t="array" ref="BK64">1+$B$13+VLOOKUP($Q64,武学奇术!$A:$ZZ,18,FALSE)+SUM(_xlfn.XLOOKUP(R64:AF64,增益!$A:$A,增益!$R:$R,0))</f>
        <v>1.5</v>
      </c>
      <c r="BL64" s="26" cm="1">
        <f t="array" ref="BL64">IF(VLOOKUP($Q64,武学奇术!$A:$ZZ,24,FALSE)=1,100%,MIN(40%,$B$10+VLOOKUP($Q64,武学奇术!$A:$ZZ,19,FALSE)+SUM(_xlfn.XLOOKUP(R64:AF64,增益!$A:$A,增益!$S:$S,0)))+$B$12+SUM(_xlfn.XLOOKUP(R64:AF64,增益!$A:$A,增益!$V:$V,0)))*IF(VLOOKUP($Q64,武学奇术!$A:$ZZ,23,FALSE)=1,0,1)</f>
        <v>0.0913</v>
      </c>
      <c r="BM64" s="26" cm="1">
        <f t="array" ref="BM64">1+$B$14+VLOOKUP($Q64,武学奇术!$A:$ZZ,20,FALSE)+SUM(_xlfn.XLOOKUP(R64:AF64,增益!$A:$A,增益!$T:$T,0))</f>
        <v>1.35</v>
      </c>
      <c r="BN64" s="26">
        <f t="shared" si="9"/>
        <v>0.8625</v>
      </c>
      <c r="BO64" s="26">
        <f t="shared" si="10"/>
        <v>0.0462</v>
      </c>
      <c r="BP64" s="26">
        <f>IF(VLOOKUP($Q64,武学奇术!$A:$ZZ,22,FALSE)=1,0,(1-$BI64))*(1-$BL64)</f>
        <v>0</v>
      </c>
      <c r="BQ64" s="26" cm="1">
        <f t="array" ref="BQ64">SUM(_xlfn.XLOOKUP(R64:AF64,增益!$A:$A,增益!$W:$W,0))+$I$5</f>
        <v>0.06</v>
      </c>
    </row>
    <row r="65" spans="1:69">
      <c r="K65" s="38">
        <f t="shared" si="0"/>
        <v>0</v>
      </c>
      <c r="L65" s="38">
        <f>((($AN65+$AO65)/2*$AH65+$AI65)*(1+$AP65)*(1+$AQ65)+(($AS65+$AT65)/2*IF($G$1="鸣金",$AJ65,$AH65)+IF($G$1="鸣金",$AK65*1.5,0))*(1+$AU65)*(1+$AV65)+(($AW65+$AX65)/2*IF($G$1="裂石",$AJ65,$AH65)+IF($G$1="裂石",$AK65*1.5,0))*(1+$AY65)*(1+$AZ65)+(($BA65+$BB65)/2*IF($G$1="牵丝",$AJ65,$AH65)+IF($G$1="牵丝",$AK65*1.5,0))*(1+$BC65)*(1+$BD65)+(($BE65+$BF65)/2*IF($G$1="破竹",$AJ65,$AH65)+IF($G$1="破竹",$AK65*1.5,0))*(1+$BG65)*(1+$BH65))*(1+$AL65)*$BK65*$P65*(1+IF(VLOOKUP($Q65,武学奇术!$A:$ZZ,30,FALSE)="蓄力技",#REF!,0))*(1+$BQ65)</f>
        <v>0</v>
      </c>
      <c r="M65" s="38">
        <f>(($AO65*$AH65+$AI65)*(1+$AP65)*(1+$AQ65)+($AT65*IF($G$1="鸣金",$AJ65,$AH65)+IF($G$1="鸣金",$AK65*1.5,0))*(1+$AU65)*(1+$AV65)+($AX65*IF($G$1="裂石",$AJ65,$AH65)+IF($G$1="裂石",$AK65*1.5,0))*(1+$AY65)*(1+$AZ65)+($BB65*IF($G$1="牵丝",$AJ65,$AH65)+IF($G$1="牵丝",$AK65*1.5,0))*(1+$BC65)*(1+$BD65)+($BF65*IF($G$1="破竹",$AJ65,$AH65)+IF($G$1="破竹",$AK65*1.5,0))*(1+$BG65)*(1+$BH65))*(1+$AL65)*$BM65*$P65*(1+IF(VLOOKUP($Q65,武学奇术!$A:$ZZ,30,FALSE)="蓄力技",#REF!,0))*(1+$BQ65)</f>
        <v>0</v>
      </c>
      <c r="N65" s="38">
        <f>((($AN65+$AO65)/2*$AH65+$AI65)*(1+$AP65)*(1+$AQ65)+(($AS65+$AT65)/2*IF($G$1="鸣金",$AJ65,$AH65)+IF($G$1="鸣金",$AK65*1.5,0))*(1+$AU65)*(1+$AV65)+(($AW65+$AX65)/2*IF($G$1="裂石",$AJ65,$AH65)+IF($G$1="裂石",$AK65*1.5,0))*(1+$AY65)*(1+$AZ65)+(($BA65+$BB65)/2*IF($G$1="牵丝",$AJ65,$AH65)+IF($G$1="牵丝",$AK65*1.5,0))*(1+$BC65)*(1+$BD65)+(($BE65+$BF65)/2*IF($G$1="破竹",$AJ65,$AH65)+IF($G$1="破竹",$AK65*1.5,0))*(1+$BG65)*(1+$BH65))*(1+$AL65)*$P65*(1+IF(VLOOKUP($Q65,武学奇术!$A:$ZZ,30,FALSE)="蓄力技",#REF!,0))*(1+$BQ65)</f>
        <v>0</v>
      </c>
      <c r="O65" s="38">
        <f>((($AN65*$AH65+$AI65)*(1+$AP65)*(1+$AQ65)+($AS65*IF($G$1="鸣金",$AJ65,$AH65)+IF($G$1="鸣金",$AK65*1.5,0))*(1+$AU65)*(1+$AV65)+($AW65*IF($G$1="裂石",$AJ65,$AH65)+IF($G$1="裂石",$AK65*1.5,0))*(1+$AY65)*(1+$AZ65)+($BA65*IF($G$1="牵丝",$AJ65,$AH65)+IF($G$1="牵丝",$AK65*1.5,0))*(1+$BC65)*(1+$BD65)+($BE65*IF($G$1="破竹",$AJ65,$AH65)+IF($G$1="破竹",$AK65*1.5,0))*(1+$BG65)*(1+$BH65))*(1+$AL65))*$P65*(1+IF(VLOOKUP($Q65,武学奇术!$A:$ZZ,30,FALSE)="蓄力技",#REF!,0))*(1+$BQ65)</f>
        <v>0</v>
      </c>
      <c r="P65" s="39">
        <v>1</v>
      </c>
      <c r="Q65" s="40" t="s">
        <v>76</v>
      </c>
      <c r="R65" s="40" t="s">
        <v>76</v>
      </c>
      <c r="S65" s="40" t="s">
        <v>76</v>
      </c>
      <c r="T65" s="40" t="s">
        <v>76</v>
      </c>
      <c r="U65" s="40" t="s">
        <v>76</v>
      </c>
      <c r="V65" s="40" t="s">
        <v>76</v>
      </c>
      <c r="W65" s="40" t="s">
        <v>76</v>
      </c>
      <c r="X65" s="40" t="s">
        <v>76</v>
      </c>
      <c r="Y65" s="40" t="s">
        <v>76</v>
      </c>
      <c r="Z65" s="40" t="s">
        <v>76</v>
      </c>
      <c r="AA65" s="40" t="s">
        <v>76</v>
      </c>
      <c r="AB65" s="40" t="s">
        <v>76</v>
      </c>
      <c r="AC65" s="40" t="s">
        <v>76</v>
      </c>
      <c r="AD65" s="40" t="s">
        <v>76</v>
      </c>
      <c r="AE65" s="40" t="s">
        <v>76</v>
      </c>
      <c r="AF65" s="40" t="s">
        <v>76</v>
      </c>
      <c r="AG65" t="str">
        <f>VLOOKUP($Q65,武学奇术!$A:$ZZ,25,FALSE)</f>
        <v>心法</v>
      </c>
      <c r="AH65" s="26">
        <f>VLOOKUP($Q65,武学奇术!$A:$ZZ,26,FALSE)</f>
        <v>0</v>
      </c>
      <c r="AI65" s="27">
        <f>VLOOKUP($Q65,武学奇术!$A:$ZZ,27,FALSE)*(1+IF(OR($AG65=$F$4,$AG65=$F$5),$B$21,0))</f>
        <v>0</v>
      </c>
      <c r="AJ65" s="26">
        <f>VLOOKUP($Q65,武学奇术!$A:$ZZ,28,FALSE)</f>
        <v>0</v>
      </c>
      <c r="AK65" s="27">
        <f>VLOOKUP($Q65,武学奇术!$A:$ZZ,29,FALSE)*(1+IF(OR($AG65=$F$4,$AG65=$F$5),$B$21,0))</f>
        <v>0</v>
      </c>
      <c r="AL65" s="26" cm="1">
        <f t="array" ref="AL65">$G$3+IFERROR(VLOOKUP($AG65,$F$4:$G$7,2,FALSE),0)+VLOOKUP($Q65,武学奇术!$A:$ZZ,2,FALSE)+SUM(_xlfn.XLOOKUP($R65:$AF65,增益!$A:$A,增益!$B:$B,0))</f>
        <v>0.1842</v>
      </c>
      <c r="AM65" s="26" cm="1">
        <f t="array" ref="AM65">VLOOKUP($Q65,武学奇术!$A:$ZZ,5,FALSE)+SUM(_xlfn.XLOOKUP($R65:$AF65,增益!$A:$A,增益!$E:$E,0))</f>
        <v>0</v>
      </c>
      <c r="AN65" cm="1">
        <f t="array" ref="AN65">$D$10*(1+$AM65)+VLOOKUP($Q65,武学奇术!$A:$ZZ,3,FALSE)+SUM(_xlfn.XLOOKUP($R65:$AF65,增益!$A:$A,增益!$C:$C,0))-$I$2</f>
        <v>3940</v>
      </c>
      <c r="AO65" cm="1">
        <f t="array" ref="AO65">$E$10*(1+$AM65)+VLOOKUP($Q65,武学奇术!$A:$ZZ,4,FALSE)+SUM(_xlfn.XLOOKUP($R65:$AF65,增益!$A:$A,增益!$D:$D,0))-$I$2</f>
        <v>3940</v>
      </c>
      <c r="AP65" s="32" cm="1">
        <f t="array" ref="AP65">IF($F$10-$I$3+VLOOKUP($Q65,武学奇术!$A:$ZZ,6,FALSE)+SUM(_xlfn.XLOOKUP(R65:AF65,增益!$A:$A,增益!$F:$F,0))&gt;0,($F$10-$I$3+VLOOKUP($Q65,武学奇术!$A:$ZZ,6,FALSE)+SUM(_xlfn.XLOOKUP(R65:AF65,增益!$A:$A,增益!$F:$F,0)))/200,($F$10-$I$3+VLOOKUP($Q65,武学奇术!$A:$ZZ,6,FALSE)+SUM(_xlfn.XLOOKUP(R65:AF65,增益!$A:$A,增益!$F:$F,0)))/100)</f>
        <v>0.194</v>
      </c>
      <c r="AQ65" s="32" cm="1">
        <f t="array" ref="AQ65">$G$10+VLOOKUP($Q65,武学奇术!$A:$ZZ,7,FALSE)+SUM(_xlfn.XLOOKUP(R65:AF65,增益!$A:$A,增益!$G:$G,0))</f>
        <v>0</v>
      </c>
      <c r="AR65" s="26" cm="1">
        <f t="array" ref="AR65">VLOOKUP($Q65,武学奇术!$A:$ZZ,8,FALSE)+SUM(_xlfn.XLOOKUP(R65:AF65,增益!$A:$A,增益!$H:$H,0))</f>
        <v>0</v>
      </c>
      <c r="AS65">
        <f t="shared" si="1"/>
        <v>0</v>
      </c>
      <c r="AT65">
        <f t="shared" si="2"/>
        <v>0</v>
      </c>
      <c r="AU65" s="32" cm="1">
        <f t="array" ref="AU65">IF($F$11-$I$4+VLOOKUP($Q65,武学奇术!$A:$ZZ,9,FALSE)+SUM(_xlfn.XLOOKUP(R65:AF65,增益!$A:$A,增益!$I:$I,0))&gt;0,($F$11-$I$4+VLOOKUP($Q65,武学奇术!$A:$ZZ,9,FALSE)+SUM(_xlfn.XLOOKUP(R65:AF65,增益!$A:$A,增益!$I:$I,0)))/200,($F$11-$I$4+VLOOKUP($Q65,武学奇术!$A:$ZZ,9,FALSE)+SUM(_xlfn.XLOOKUP(R65:AF65,增益!$A:$A,增益!$I:$I,0)))/100)</f>
        <v>-0.3</v>
      </c>
      <c r="AV65" s="32" cm="1">
        <f t="array" ref="AV65">$G$11+VLOOKUP($Q65,武学奇术!$A:$ZZ,10,FALSE)+SUM(_xlfn.XLOOKUP(R65:AF65,增益!$A:$A,增益!$J:$J,0))</f>
        <v>0</v>
      </c>
      <c r="AW65">
        <f t="shared" si="3"/>
        <v>0</v>
      </c>
      <c r="AX65">
        <f t="shared" si="4"/>
        <v>0</v>
      </c>
      <c r="AY65" s="32" cm="1">
        <f t="array" ref="AY65">IF($F$12-$I$4+VLOOKUP($Q65,武学奇术!$A:$ZZ,11,FALSE)+SUM(_xlfn.XLOOKUP(R65:AF65,增益!$A:$A,增益!$K:$K,0))&gt;0,($F$12-$I$4+VLOOKUP($Q65,武学奇术!$A:$ZZ,11,FALSE)+SUM(_xlfn.XLOOKUP(R65:AF65,增益!$A:$A,增益!$K:$K,0)))/200,($F$12-$I$4+VLOOKUP($Q65,武学奇术!$A:$ZZ,11,FALSE)+SUM(_xlfn.XLOOKUP(R65:AF65,增益!$A:$A,增益!$K:$K,0)))/100)</f>
        <v>-0.3</v>
      </c>
      <c r="AZ65" s="32" cm="1">
        <f t="array" ref="AZ65">$G$12+VLOOKUP($Q65,武学奇术!$A:$ZZ,12,FALSE)+SUM(_xlfn.XLOOKUP(R65:AF65,增益!$A:$A,增益!$L:$L,0))</f>
        <v>0</v>
      </c>
      <c r="BA65">
        <f t="shared" si="5"/>
        <v>697.4</v>
      </c>
      <c r="BB65">
        <f t="shared" si="6"/>
        <v>1805</v>
      </c>
      <c r="BC65" s="32" cm="1">
        <f t="array" ref="BC65">IF($F$13-$I$4+VLOOKUP($Q65,武学奇术!$A:$ZZ,13,FALSE)+SUM(_xlfn.XLOOKUP(R65:AF65,增益!$A:$A,增益!$M:$M,0))&gt;0,($F$13-$I$4+VLOOKUP($Q65,武学奇术!$A:$ZZ,13,FALSE)+SUM(_xlfn.XLOOKUP(R65:AF65,增益!$A:$A,增益!$K:$K,0)))/200,($F$13-$I$4+VLOOKUP($Q65,武学奇术!$A:$ZZ,13,FALSE)+SUM(_xlfn.XLOOKUP(R65:AF65,增益!$A:$A,增益!$M:$M,0)))/100)</f>
        <v>0</v>
      </c>
      <c r="BD65" s="32" cm="1">
        <f t="array" ref="BD65">$G$13+VLOOKUP($Q65,武学奇术!$A:$ZZ,14,FALSE)+SUM(_xlfn.XLOOKUP(R65:AF65,增益!$A:$A,增益!$N:$N,0))</f>
        <v>0.15</v>
      </c>
      <c r="BE65">
        <f t="shared" si="7"/>
        <v>0</v>
      </c>
      <c r="BF65">
        <f t="shared" si="8"/>
        <v>0</v>
      </c>
      <c r="BG65" s="32" cm="1">
        <f t="array" ref="BG65">IF($F$14-$I$4+VLOOKUP($Q65,武学奇术!$A:$ZZ,15,FALSE)+SUM(_xlfn.XLOOKUP(R65:AF65,增益!$A:$A,增益!$O:$O,0))&gt;0,($F$14-$I$4+VLOOKUP($Q65,武学奇术!$A:$ZZ,15,FALSE)+SUM(_xlfn.XLOOKUP(R65:AF65,增益!$A:$A,增益!$O:$O,0)))/200,($F$14-$I$4+VLOOKUP($Q65,武学奇术!$A:$ZZ,15,FALSE)+SUM(_xlfn.XLOOKUP(R65:AF65,增益!$A:$A,增益!$O:$O,0)))/100)</f>
        <v>-0.3</v>
      </c>
      <c r="BH65" s="32" cm="1">
        <f t="array" ref="BH65">$G$14+VLOOKUP($Q65,武学奇术!$A:$ZZ,16,FALSE)+SUM(_xlfn.XLOOKUP(R65:AF65,增益!$A:$A,增益!$P:$P,0))</f>
        <v>0</v>
      </c>
      <c r="BI65" s="26">
        <f>MIN(IF(VLOOKUP($Q65,武学奇术!$A:$ZZ,23,FALSE)=1,100%,$B$8),100%)</f>
        <v>1</v>
      </c>
      <c r="BJ65" s="26" cm="1">
        <f t="array" ref="BJ65">IF(VLOOKUP($Q65,武学奇术!$A:$ZZ,23,FALSE)=1,100%,MIN(80%,$B$9+VLOOKUP($Q65,武学奇术!$A:$ZZ,17,FALSE)+SUM(_xlfn.XLOOKUP(R65:AF65,增益!$A:$A,增益!$Q:$Q,0)))+$B$11+SUM(_xlfn.XLOOKUP(R65:AF65,增益!$A:$A,增益!$U:$U,0)))*IF(VLOOKUP($Q65,武学奇术!$A:$ZZ,24,FALSE)=1,0,1)</f>
        <v>0.8625</v>
      </c>
      <c r="BK65" s="26" cm="1">
        <f t="array" ref="BK65">1+$B$13+VLOOKUP($Q65,武学奇术!$A:$ZZ,18,FALSE)+SUM(_xlfn.XLOOKUP(R65:AF65,增益!$A:$A,增益!$R:$R,0))</f>
        <v>1.5</v>
      </c>
      <c r="BL65" s="26" cm="1">
        <f t="array" ref="BL65">IF(VLOOKUP($Q65,武学奇术!$A:$ZZ,24,FALSE)=1,100%,MIN(40%,$B$10+VLOOKUP($Q65,武学奇术!$A:$ZZ,19,FALSE)+SUM(_xlfn.XLOOKUP(R65:AF65,增益!$A:$A,增益!$S:$S,0)))+$B$12+SUM(_xlfn.XLOOKUP(R65:AF65,增益!$A:$A,增益!$V:$V,0)))*IF(VLOOKUP($Q65,武学奇术!$A:$ZZ,23,FALSE)=1,0,1)</f>
        <v>0.0913</v>
      </c>
      <c r="BM65" s="26" cm="1">
        <f t="array" ref="BM65">1+$B$14+VLOOKUP($Q65,武学奇术!$A:$ZZ,20,FALSE)+SUM(_xlfn.XLOOKUP(R65:AF65,增益!$A:$A,增益!$T:$T,0))</f>
        <v>1.35</v>
      </c>
      <c r="BN65" s="26">
        <f t="shared" si="9"/>
        <v>0.8625</v>
      </c>
      <c r="BO65" s="26">
        <f t="shared" si="10"/>
        <v>0.0462</v>
      </c>
      <c r="BP65" s="26">
        <f>IF(VLOOKUP($Q65,武学奇术!$A:$ZZ,22,FALSE)=1,0,(1-$BI65))*(1-$BL65)</f>
        <v>0</v>
      </c>
      <c r="BQ65" s="26" cm="1">
        <f t="array" ref="BQ65">SUM(_xlfn.XLOOKUP(R65:AF65,增益!$A:$A,增益!$W:$W,0))+$I$5</f>
        <v>0.06</v>
      </c>
    </row>
    <row r="66" spans="1:69">
      <c r="K66" s="38">
        <f t="shared" ref="K66:K101" si="11">($L66*$BN66+$M66*$BL66+$N66*$BO66+$O66*$BP66)</f>
        <v>0</v>
      </c>
      <c r="L66" s="38">
        <f>((($AN66+$AO66)/2*$AH66+$AI66)*(1+$AP66)*(1+$AQ66)+(($AS66+$AT66)/2*IF($G$1="鸣金",$AJ66,$AH66)+IF($G$1="鸣金",$AK66*1.5,0))*(1+$AU66)*(1+$AV66)+(($AW66+$AX66)/2*IF($G$1="裂石",$AJ66,$AH66)+IF($G$1="裂石",$AK66*1.5,0))*(1+$AY66)*(1+$AZ66)+(($BA66+$BB66)/2*IF($G$1="牵丝",$AJ66,$AH66)+IF($G$1="牵丝",$AK66*1.5,0))*(1+$BC66)*(1+$BD66)+(($BE66+$BF66)/2*IF($G$1="破竹",$AJ66,$AH66)+IF($G$1="破竹",$AK66*1.5,0))*(1+$BG66)*(1+$BH66))*(1+$AL66)*$BK66*$P66*(1+IF(VLOOKUP($Q66,武学奇术!$A:$ZZ,30,FALSE)="蓄力技",#REF!,0))*(1+$BQ66)</f>
        <v>0</v>
      </c>
      <c r="M66" s="38">
        <f>(($AO66*$AH66+$AI66)*(1+$AP66)*(1+$AQ66)+($AT66*IF($G$1="鸣金",$AJ66,$AH66)+IF($G$1="鸣金",$AK66*1.5,0))*(1+$AU66)*(1+$AV66)+($AX66*IF($G$1="裂石",$AJ66,$AH66)+IF($G$1="裂石",$AK66*1.5,0))*(1+$AY66)*(1+$AZ66)+($BB66*IF($G$1="牵丝",$AJ66,$AH66)+IF($G$1="牵丝",$AK66*1.5,0))*(1+$BC66)*(1+$BD66)+($BF66*IF($G$1="破竹",$AJ66,$AH66)+IF($G$1="破竹",$AK66*1.5,0))*(1+$BG66)*(1+$BH66))*(1+$AL66)*$BM66*$P66*(1+IF(VLOOKUP($Q66,武学奇术!$A:$ZZ,30,FALSE)="蓄力技",#REF!,0))*(1+$BQ66)</f>
        <v>0</v>
      </c>
      <c r="N66" s="38">
        <f>((($AN66+$AO66)/2*$AH66+$AI66)*(1+$AP66)*(1+$AQ66)+(($AS66+$AT66)/2*IF($G$1="鸣金",$AJ66,$AH66)+IF($G$1="鸣金",$AK66*1.5,0))*(1+$AU66)*(1+$AV66)+(($AW66+$AX66)/2*IF($G$1="裂石",$AJ66,$AH66)+IF($G$1="裂石",$AK66*1.5,0))*(1+$AY66)*(1+$AZ66)+(($BA66+$BB66)/2*IF($G$1="牵丝",$AJ66,$AH66)+IF($G$1="牵丝",$AK66*1.5,0))*(1+$BC66)*(1+$BD66)+(($BE66+$BF66)/2*IF($G$1="破竹",$AJ66,$AH66)+IF($G$1="破竹",$AK66*1.5,0))*(1+$BG66)*(1+$BH66))*(1+$AL66)*$P66*(1+IF(VLOOKUP($Q66,武学奇术!$A:$ZZ,30,FALSE)="蓄力技",#REF!,0))*(1+$BQ66)</f>
        <v>0</v>
      </c>
      <c r="O66" s="38">
        <f>((($AN66*$AH66+$AI66)*(1+$AP66)*(1+$AQ66)+($AS66*IF($G$1="鸣金",$AJ66,$AH66)+IF($G$1="鸣金",$AK66*1.5,0))*(1+$AU66)*(1+$AV66)+($AW66*IF($G$1="裂石",$AJ66,$AH66)+IF($G$1="裂石",$AK66*1.5,0))*(1+$AY66)*(1+$AZ66)+($BA66*IF($G$1="牵丝",$AJ66,$AH66)+IF($G$1="牵丝",$AK66*1.5,0))*(1+$BC66)*(1+$BD66)+($BE66*IF($G$1="破竹",$AJ66,$AH66)+IF($G$1="破竹",$AK66*1.5,0))*(1+$BG66)*(1+$BH66))*(1+$AL66))*$P66*(1+IF(VLOOKUP($Q66,武学奇术!$A:$ZZ,30,FALSE)="蓄力技",#REF!,0))*(1+$BQ66)</f>
        <v>0</v>
      </c>
      <c r="P66" s="39">
        <v>1</v>
      </c>
      <c r="Q66" s="40" t="s">
        <v>76</v>
      </c>
      <c r="R66" s="40" t="s">
        <v>76</v>
      </c>
      <c r="S66" s="40" t="s">
        <v>76</v>
      </c>
      <c r="T66" s="40" t="s">
        <v>76</v>
      </c>
      <c r="U66" s="40" t="s">
        <v>76</v>
      </c>
      <c r="V66" s="40" t="s">
        <v>76</v>
      </c>
      <c r="W66" s="40" t="s">
        <v>76</v>
      </c>
      <c r="X66" s="40" t="s">
        <v>76</v>
      </c>
      <c r="Y66" s="40" t="s">
        <v>76</v>
      </c>
      <c r="Z66" s="40" t="s">
        <v>76</v>
      </c>
      <c r="AA66" s="40" t="s">
        <v>76</v>
      </c>
      <c r="AB66" s="40" t="s">
        <v>76</v>
      </c>
      <c r="AC66" s="40" t="s">
        <v>76</v>
      </c>
      <c r="AD66" s="40" t="s">
        <v>76</v>
      </c>
      <c r="AE66" s="40" t="s">
        <v>76</v>
      </c>
      <c r="AF66" s="40" t="s">
        <v>76</v>
      </c>
      <c r="AG66" t="str">
        <f>VLOOKUP($Q66,武学奇术!$A:$ZZ,25,FALSE)</f>
        <v>心法</v>
      </c>
      <c r="AH66" s="26">
        <f>VLOOKUP($Q66,武学奇术!$A:$ZZ,26,FALSE)</f>
        <v>0</v>
      </c>
      <c r="AI66" s="27">
        <f>VLOOKUP($Q66,武学奇术!$A:$ZZ,27,FALSE)*(1+IF(OR($AG66=$F$4,$AG66=$F$5),$B$21,0))</f>
        <v>0</v>
      </c>
      <c r="AJ66" s="26">
        <f>VLOOKUP($Q66,武学奇术!$A:$ZZ,28,FALSE)</f>
        <v>0</v>
      </c>
      <c r="AK66" s="27">
        <f>VLOOKUP($Q66,武学奇术!$A:$ZZ,29,FALSE)*(1+IF(OR($AG66=$F$4,$AG66=$F$5),$B$21,0))</f>
        <v>0</v>
      </c>
      <c r="AL66" s="26" cm="1">
        <f t="array" ref="AL66">$G$3+IFERROR(VLOOKUP($AG66,$F$4:$G$7,2,FALSE),0)+VLOOKUP($Q66,武学奇术!$A:$ZZ,2,FALSE)+SUM(_xlfn.XLOOKUP($R66:$AF66,增益!$A:$A,增益!$B:$B,0))</f>
        <v>0.1842</v>
      </c>
      <c r="AM66" s="26" cm="1">
        <f t="array" ref="AM66">VLOOKUP($Q66,武学奇术!$A:$ZZ,5,FALSE)+SUM(_xlfn.XLOOKUP($R66:$AF66,增益!$A:$A,增益!$E:$E,0))</f>
        <v>0</v>
      </c>
      <c r="AN66" cm="1">
        <f t="array" ref="AN66">$D$10*(1+$AM66)+VLOOKUP($Q66,武学奇术!$A:$ZZ,3,FALSE)+SUM(_xlfn.XLOOKUP($R66:$AF66,增益!$A:$A,增益!$C:$C,0))-$I$2</f>
        <v>3940</v>
      </c>
      <c r="AO66" cm="1">
        <f t="array" ref="AO66">$E$10*(1+$AM66)+VLOOKUP($Q66,武学奇术!$A:$ZZ,4,FALSE)+SUM(_xlfn.XLOOKUP($R66:$AF66,增益!$A:$A,增益!$D:$D,0))-$I$2</f>
        <v>3940</v>
      </c>
      <c r="AP66" s="32" cm="1">
        <f t="array" ref="AP66">IF($F$10-$I$3+VLOOKUP($Q66,武学奇术!$A:$ZZ,6,FALSE)+SUM(_xlfn.XLOOKUP(R66:AF66,增益!$A:$A,增益!$F:$F,0))&gt;0,($F$10-$I$3+VLOOKUP($Q66,武学奇术!$A:$ZZ,6,FALSE)+SUM(_xlfn.XLOOKUP(R66:AF66,增益!$A:$A,增益!$F:$F,0)))/200,($F$10-$I$3+VLOOKUP($Q66,武学奇术!$A:$ZZ,6,FALSE)+SUM(_xlfn.XLOOKUP(R66:AF66,增益!$A:$A,增益!$F:$F,0)))/100)</f>
        <v>0.194</v>
      </c>
      <c r="AQ66" s="32" cm="1">
        <f t="array" ref="AQ66">$G$10+VLOOKUP($Q66,武学奇术!$A:$ZZ,7,FALSE)+SUM(_xlfn.XLOOKUP(R66:AF66,增益!$A:$A,增益!$G:$G,0))</f>
        <v>0</v>
      </c>
      <c r="AR66" s="26" cm="1">
        <f t="array" ref="AR66">VLOOKUP($Q66,武学奇术!$A:$ZZ,8,FALSE)+SUM(_xlfn.XLOOKUP(R66:AF66,增益!$A:$A,增益!$H:$H,0))</f>
        <v>0</v>
      </c>
      <c r="AS66">
        <f t="shared" ref="AS66:AS101" si="12">$D$11*(1+$AR66)</f>
        <v>0</v>
      </c>
      <c r="AT66">
        <f t="shared" ref="AT66:AT101" si="13">$E$11*(1+$AR66)</f>
        <v>0</v>
      </c>
      <c r="AU66" s="32" cm="1">
        <f t="array" ref="AU66">IF($F$11-$I$4+VLOOKUP($Q66,武学奇术!$A:$ZZ,9,FALSE)+SUM(_xlfn.XLOOKUP(R66:AF66,增益!$A:$A,增益!$I:$I,0))&gt;0,($F$11-$I$4+VLOOKUP($Q66,武学奇术!$A:$ZZ,9,FALSE)+SUM(_xlfn.XLOOKUP(R66:AF66,增益!$A:$A,增益!$I:$I,0)))/200,($F$11-$I$4+VLOOKUP($Q66,武学奇术!$A:$ZZ,9,FALSE)+SUM(_xlfn.XLOOKUP(R66:AF66,增益!$A:$A,增益!$I:$I,0)))/100)</f>
        <v>-0.3</v>
      </c>
      <c r="AV66" s="32" cm="1">
        <f t="array" ref="AV66">$G$11+VLOOKUP($Q66,武学奇术!$A:$ZZ,10,FALSE)+SUM(_xlfn.XLOOKUP(R66:AF66,增益!$A:$A,增益!$J:$J,0))</f>
        <v>0</v>
      </c>
      <c r="AW66">
        <f t="shared" ref="AW66:AW101" si="14">$D$12*(1+$AR66)</f>
        <v>0</v>
      </c>
      <c r="AX66">
        <f t="shared" ref="AX66:AX101" si="15">$E$12*(1+$AR66)</f>
        <v>0</v>
      </c>
      <c r="AY66" s="32" cm="1">
        <f t="array" ref="AY66">IF($F$12-$I$4+VLOOKUP($Q66,武学奇术!$A:$ZZ,11,FALSE)+SUM(_xlfn.XLOOKUP(R66:AF66,增益!$A:$A,增益!$K:$K,0))&gt;0,($F$12-$I$4+VLOOKUP($Q66,武学奇术!$A:$ZZ,11,FALSE)+SUM(_xlfn.XLOOKUP(R66:AF66,增益!$A:$A,增益!$K:$K,0)))/200,($F$12-$I$4+VLOOKUP($Q66,武学奇术!$A:$ZZ,11,FALSE)+SUM(_xlfn.XLOOKUP(R66:AF66,增益!$A:$A,增益!$K:$K,0)))/100)</f>
        <v>-0.3</v>
      </c>
      <c r="AZ66" s="32" cm="1">
        <f t="array" ref="AZ66">$G$12+VLOOKUP($Q66,武学奇术!$A:$ZZ,12,FALSE)+SUM(_xlfn.XLOOKUP(R66:AF66,增益!$A:$A,增益!$L:$L,0))</f>
        <v>0</v>
      </c>
      <c r="BA66">
        <f t="shared" ref="BA66:BA101" si="16">$D$13*(1+$AR66)</f>
        <v>697.4</v>
      </c>
      <c r="BB66">
        <f t="shared" ref="BB66:BB101" si="17">$E$13*(1+$AR66)</f>
        <v>1805</v>
      </c>
      <c r="BC66" s="32" cm="1">
        <f t="array" ref="BC66">IF($F$13-$I$4+VLOOKUP($Q66,武学奇术!$A:$ZZ,13,FALSE)+SUM(_xlfn.XLOOKUP(R66:AF66,增益!$A:$A,增益!$M:$M,0))&gt;0,($F$13-$I$4+VLOOKUP($Q66,武学奇术!$A:$ZZ,13,FALSE)+SUM(_xlfn.XLOOKUP(R66:AF66,增益!$A:$A,增益!$K:$K,0)))/200,($F$13-$I$4+VLOOKUP($Q66,武学奇术!$A:$ZZ,13,FALSE)+SUM(_xlfn.XLOOKUP(R66:AF66,增益!$A:$A,增益!$M:$M,0)))/100)</f>
        <v>0</v>
      </c>
      <c r="BD66" s="32" cm="1">
        <f t="array" ref="BD66">$G$13+VLOOKUP($Q66,武学奇术!$A:$ZZ,14,FALSE)+SUM(_xlfn.XLOOKUP(R66:AF66,增益!$A:$A,增益!$N:$N,0))</f>
        <v>0.15</v>
      </c>
      <c r="BE66">
        <f t="shared" ref="BE66:BE101" si="18">$D$14*(1+$AR66)</f>
        <v>0</v>
      </c>
      <c r="BF66">
        <f t="shared" ref="BF66:BF101" si="19">$E$14*(1+$AR66)</f>
        <v>0</v>
      </c>
      <c r="BG66" s="32" cm="1">
        <f t="array" ref="BG66">IF($F$14-$I$4+VLOOKUP($Q66,武学奇术!$A:$ZZ,15,FALSE)+SUM(_xlfn.XLOOKUP(R66:AF66,增益!$A:$A,增益!$O:$O,0))&gt;0,($F$14-$I$4+VLOOKUP($Q66,武学奇术!$A:$ZZ,15,FALSE)+SUM(_xlfn.XLOOKUP(R66:AF66,增益!$A:$A,增益!$O:$O,0)))/200,($F$14-$I$4+VLOOKUP($Q66,武学奇术!$A:$ZZ,15,FALSE)+SUM(_xlfn.XLOOKUP(R66:AF66,增益!$A:$A,增益!$O:$O,0)))/100)</f>
        <v>-0.3</v>
      </c>
      <c r="BH66" s="32" cm="1">
        <f t="array" ref="BH66">$G$14+VLOOKUP($Q66,武学奇术!$A:$ZZ,16,FALSE)+SUM(_xlfn.XLOOKUP(R66:AF66,增益!$A:$A,增益!$P:$P,0))</f>
        <v>0</v>
      </c>
      <c r="BI66" s="26">
        <f>MIN(IF(VLOOKUP($Q66,武学奇术!$A:$ZZ,23,FALSE)=1,100%,$B$8),100%)</f>
        <v>1</v>
      </c>
      <c r="BJ66" s="26" cm="1">
        <f t="array" ref="BJ66">IF(VLOOKUP($Q66,武学奇术!$A:$ZZ,23,FALSE)=1,100%,MIN(80%,$B$9+VLOOKUP($Q66,武学奇术!$A:$ZZ,17,FALSE)+SUM(_xlfn.XLOOKUP(R66:AF66,增益!$A:$A,增益!$Q:$Q,0)))+$B$11+SUM(_xlfn.XLOOKUP(R66:AF66,增益!$A:$A,增益!$U:$U,0)))*IF(VLOOKUP($Q66,武学奇术!$A:$ZZ,24,FALSE)=1,0,1)</f>
        <v>0.8625</v>
      </c>
      <c r="BK66" s="26" cm="1">
        <f t="array" ref="BK66">1+$B$13+VLOOKUP($Q66,武学奇术!$A:$ZZ,18,FALSE)+SUM(_xlfn.XLOOKUP(R66:AF66,增益!$A:$A,增益!$R:$R,0))</f>
        <v>1.5</v>
      </c>
      <c r="BL66" s="26" cm="1">
        <f t="array" ref="BL66">IF(VLOOKUP($Q66,武学奇术!$A:$ZZ,24,FALSE)=1,100%,MIN(40%,$B$10+VLOOKUP($Q66,武学奇术!$A:$ZZ,19,FALSE)+SUM(_xlfn.XLOOKUP(R66:AF66,增益!$A:$A,增益!$S:$S,0)))+$B$12+SUM(_xlfn.XLOOKUP(R66:AF66,增益!$A:$A,增益!$V:$V,0)))*IF(VLOOKUP($Q66,武学奇术!$A:$ZZ,23,FALSE)=1,0,1)</f>
        <v>0.0913</v>
      </c>
      <c r="BM66" s="26" cm="1">
        <f t="array" ref="BM66">1+$B$14+VLOOKUP($Q66,武学奇术!$A:$ZZ,20,FALSE)+SUM(_xlfn.XLOOKUP(R66:AF66,增益!$A:$A,增益!$T:$T,0))</f>
        <v>1.35</v>
      </c>
      <c r="BN66" s="26">
        <f t="shared" ref="BN66:BN101" si="20">MIN((1-BL66)*BI66,BI66*BJ66)</f>
        <v>0.8625</v>
      </c>
      <c r="BO66" s="26">
        <f t="shared" ref="BO66:BO101" si="21">1-BL66-BN66-BP66</f>
        <v>0.0462</v>
      </c>
      <c r="BP66" s="26">
        <f>IF(VLOOKUP($Q66,武学奇术!$A:$ZZ,22,FALSE)=1,0,(1-$BI66))*(1-$BL66)</f>
        <v>0</v>
      </c>
      <c r="BQ66" s="26" cm="1">
        <f t="array" ref="BQ66">SUM(_xlfn.XLOOKUP(R66:AF66,增益!$A:$A,增益!$W:$W,0))+$I$5</f>
        <v>0.06</v>
      </c>
    </row>
    <row r="67" spans="1:69">
      <c r="K67" s="38">
        <f t="shared" si="11"/>
        <v>0</v>
      </c>
      <c r="L67" s="38">
        <f>((($AN67+$AO67)/2*$AH67+$AI67)*(1+$AP67)*(1+$AQ67)+(($AS67+$AT67)/2*IF($G$1="鸣金",$AJ67,$AH67)+IF($G$1="鸣金",$AK67*1.5,0))*(1+$AU67)*(1+$AV67)+(($AW67+$AX67)/2*IF($G$1="裂石",$AJ67,$AH67)+IF($G$1="裂石",$AK67*1.5,0))*(1+$AY67)*(1+$AZ67)+(($BA67+$BB67)/2*IF($G$1="牵丝",$AJ67,$AH67)+IF($G$1="牵丝",$AK67*1.5,0))*(1+$BC67)*(1+$BD67)+(($BE67+$BF67)/2*IF($G$1="破竹",$AJ67,$AH67)+IF($G$1="破竹",$AK67*1.5,0))*(1+$BG67)*(1+$BH67))*(1+$AL67)*$BK67*$P67*(1+IF(VLOOKUP($Q67,武学奇术!$A:$ZZ,30,FALSE)="蓄力技",#REF!,0))*(1+$BQ67)</f>
        <v>0</v>
      </c>
      <c r="M67" s="38">
        <f>(($AO67*$AH67+$AI67)*(1+$AP67)*(1+$AQ67)+($AT67*IF($G$1="鸣金",$AJ67,$AH67)+IF($G$1="鸣金",$AK67*1.5,0))*(1+$AU67)*(1+$AV67)+($AX67*IF($G$1="裂石",$AJ67,$AH67)+IF($G$1="裂石",$AK67*1.5,0))*(1+$AY67)*(1+$AZ67)+($BB67*IF($G$1="牵丝",$AJ67,$AH67)+IF($G$1="牵丝",$AK67*1.5,0))*(1+$BC67)*(1+$BD67)+($BF67*IF($G$1="破竹",$AJ67,$AH67)+IF($G$1="破竹",$AK67*1.5,0))*(1+$BG67)*(1+$BH67))*(1+$AL67)*$BM67*$P67*(1+IF(VLOOKUP($Q67,武学奇术!$A:$ZZ,30,FALSE)="蓄力技",#REF!,0))*(1+$BQ67)</f>
        <v>0</v>
      </c>
      <c r="N67" s="38">
        <f>((($AN67+$AO67)/2*$AH67+$AI67)*(1+$AP67)*(1+$AQ67)+(($AS67+$AT67)/2*IF($G$1="鸣金",$AJ67,$AH67)+IF($G$1="鸣金",$AK67*1.5,0))*(1+$AU67)*(1+$AV67)+(($AW67+$AX67)/2*IF($G$1="裂石",$AJ67,$AH67)+IF($G$1="裂石",$AK67*1.5,0))*(1+$AY67)*(1+$AZ67)+(($BA67+$BB67)/2*IF($G$1="牵丝",$AJ67,$AH67)+IF($G$1="牵丝",$AK67*1.5,0))*(1+$BC67)*(1+$BD67)+(($BE67+$BF67)/2*IF($G$1="破竹",$AJ67,$AH67)+IF($G$1="破竹",$AK67*1.5,0))*(1+$BG67)*(1+$BH67))*(1+$AL67)*$P67*(1+IF(VLOOKUP($Q67,武学奇术!$A:$ZZ,30,FALSE)="蓄力技",#REF!,0))*(1+$BQ67)</f>
        <v>0</v>
      </c>
      <c r="O67" s="38">
        <f>((($AN67*$AH67+$AI67)*(1+$AP67)*(1+$AQ67)+($AS67*IF($G$1="鸣金",$AJ67,$AH67)+IF($G$1="鸣金",$AK67*1.5,0))*(1+$AU67)*(1+$AV67)+($AW67*IF($G$1="裂石",$AJ67,$AH67)+IF($G$1="裂石",$AK67*1.5,0))*(1+$AY67)*(1+$AZ67)+($BA67*IF($G$1="牵丝",$AJ67,$AH67)+IF($G$1="牵丝",$AK67*1.5,0))*(1+$BC67)*(1+$BD67)+($BE67*IF($G$1="破竹",$AJ67,$AH67)+IF($G$1="破竹",$AK67*1.5,0))*(1+$BG67)*(1+$BH67))*(1+$AL67))*$P67*(1+IF(VLOOKUP($Q67,武学奇术!$A:$ZZ,30,FALSE)="蓄力技",#REF!,0))*(1+$BQ67)</f>
        <v>0</v>
      </c>
      <c r="P67" s="39">
        <v>1</v>
      </c>
      <c r="Q67" s="40" t="s">
        <v>76</v>
      </c>
      <c r="R67" s="40" t="s">
        <v>76</v>
      </c>
      <c r="S67" s="40" t="s">
        <v>76</v>
      </c>
      <c r="T67" s="40" t="s">
        <v>76</v>
      </c>
      <c r="U67" s="40" t="s">
        <v>76</v>
      </c>
      <c r="V67" s="40" t="s">
        <v>76</v>
      </c>
      <c r="W67" s="40" t="s">
        <v>76</v>
      </c>
      <c r="X67" s="40" t="s">
        <v>76</v>
      </c>
      <c r="Y67" s="40" t="s">
        <v>76</v>
      </c>
      <c r="Z67" s="40" t="s">
        <v>76</v>
      </c>
      <c r="AA67" s="40" t="s">
        <v>76</v>
      </c>
      <c r="AB67" s="40" t="s">
        <v>76</v>
      </c>
      <c r="AC67" s="40" t="s">
        <v>76</v>
      </c>
      <c r="AD67" s="40" t="s">
        <v>76</v>
      </c>
      <c r="AE67" s="40" t="s">
        <v>76</v>
      </c>
      <c r="AF67" s="40" t="s">
        <v>76</v>
      </c>
      <c r="AG67" t="str">
        <f>VLOOKUP($Q67,武学奇术!$A:$ZZ,25,FALSE)</f>
        <v>心法</v>
      </c>
      <c r="AH67" s="26">
        <f>VLOOKUP($Q67,武学奇术!$A:$ZZ,26,FALSE)</f>
        <v>0</v>
      </c>
      <c r="AI67" s="27">
        <f>VLOOKUP($Q67,武学奇术!$A:$ZZ,27,FALSE)*(1+IF(OR($AG67=$F$4,$AG67=$F$5),$B$21,0))</f>
        <v>0</v>
      </c>
      <c r="AJ67" s="26">
        <f>VLOOKUP($Q67,武学奇术!$A:$ZZ,28,FALSE)</f>
        <v>0</v>
      </c>
      <c r="AK67" s="27">
        <f>VLOOKUP($Q67,武学奇术!$A:$ZZ,29,FALSE)*(1+IF(OR($AG67=$F$4,$AG67=$F$5),$B$21,0))</f>
        <v>0</v>
      </c>
      <c r="AL67" s="26" cm="1">
        <f t="array" ref="AL67">$G$3+IFERROR(VLOOKUP($AG67,$F$4:$G$7,2,FALSE),0)+VLOOKUP($Q67,武学奇术!$A:$ZZ,2,FALSE)+SUM(_xlfn.XLOOKUP($R67:$AF67,增益!$A:$A,增益!$B:$B,0))</f>
        <v>0.1842</v>
      </c>
      <c r="AM67" s="26" cm="1">
        <f t="array" ref="AM67">VLOOKUP($Q67,武学奇术!$A:$ZZ,5,FALSE)+SUM(_xlfn.XLOOKUP($R67:$AF67,增益!$A:$A,增益!$E:$E,0))</f>
        <v>0</v>
      </c>
      <c r="AN67" cm="1">
        <f t="array" ref="AN67">$D$10*(1+$AM67)+VLOOKUP($Q67,武学奇术!$A:$ZZ,3,FALSE)+SUM(_xlfn.XLOOKUP($R67:$AF67,增益!$A:$A,增益!$C:$C,0))-$I$2</f>
        <v>3940</v>
      </c>
      <c r="AO67" cm="1">
        <f t="array" ref="AO67">$E$10*(1+$AM67)+VLOOKUP($Q67,武学奇术!$A:$ZZ,4,FALSE)+SUM(_xlfn.XLOOKUP($R67:$AF67,增益!$A:$A,增益!$D:$D,0))-$I$2</f>
        <v>3940</v>
      </c>
      <c r="AP67" s="32" cm="1">
        <f t="array" ref="AP67">IF($F$10-$I$3+VLOOKUP($Q67,武学奇术!$A:$ZZ,6,FALSE)+SUM(_xlfn.XLOOKUP(R67:AF67,增益!$A:$A,增益!$F:$F,0))&gt;0,($F$10-$I$3+VLOOKUP($Q67,武学奇术!$A:$ZZ,6,FALSE)+SUM(_xlfn.XLOOKUP(R67:AF67,增益!$A:$A,增益!$F:$F,0)))/200,($F$10-$I$3+VLOOKUP($Q67,武学奇术!$A:$ZZ,6,FALSE)+SUM(_xlfn.XLOOKUP(R67:AF67,增益!$A:$A,增益!$F:$F,0)))/100)</f>
        <v>0.194</v>
      </c>
      <c r="AQ67" s="32" cm="1">
        <f t="array" ref="AQ67">$G$10+VLOOKUP($Q67,武学奇术!$A:$ZZ,7,FALSE)+SUM(_xlfn.XLOOKUP(R67:AF67,增益!$A:$A,增益!$G:$G,0))</f>
        <v>0</v>
      </c>
      <c r="AR67" s="26" cm="1">
        <f t="array" ref="AR67">VLOOKUP($Q67,武学奇术!$A:$ZZ,8,FALSE)+SUM(_xlfn.XLOOKUP(R67:AF67,增益!$A:$A,增益!$H:$H,0))</f>
        <v>0</v>
      </c>
      <c r="AS67">
        <f t="shared" si="12"/>
        <v>0</v>
      </c>
      <c r="AT67">
        <f t="shared" si="13"/>
        <v>0</v>
      </c>
      <c r="AU67" s="32" cm="1">
        <f t="array" ref="AU67">IF($F$11-$I$4+VLOOKUP($Q67,武学奇术!$A:$ZZ,9,FALSE)+SUM(_xlfn.XLOOKUP(R67:AF67,增益!$A:$A,增益!$I:$I,0))&gt;0,($F$11-$I$4+VLOOKUP($Q67,武学奇术!$A:$ZZ,9,FALSE)+SUM(_xlfn.XLOOKUP(R67:AF67,增益!$A:$A,增益!$I:$I,0)))/200,($F$11-$I$4+VLOOKUP($Q67,武学奇术!$A:$ZZ,9,FALSE)+SUM(_xlfn.XLOOKUP(R67:AF67,增益!$A:$A,增益!$I:$I,0)))/100)</f>
        <v>-0.3</v>
      </c>
      <c r="AV67" s="32" cm="1">
        <f t="array" ref="AV67">$G$11+VLOOKUP($Q67,武学奇术!$A:$ZZ,10,FALSE)+SUM(_xlfn.XLOOKUP(R67:AF67,增益!$A:$A,增益!$J:$J,0))</f>
        <v>0</v>
      </c>
      <c r="AW67">
        <f t="shared" si="14"/>
        <v>0</v>
      </c>
      <c r="AX67">
        <f t="shared" si="15"/>
        <v>0</v>
      </c>
      <c r="AY67" s="32" cm="1">
        <f t="array" ref="AY67">IF($F$12-$I$4+VLOOKUP($Q67,武学奇术!$A:$ZZ,11,FALSE)+SUM(_xlfn.XLOOKUP(R67:AF67,增益!$A:$A,增益!$K:$K,0))&gt;0,($F$12-$I$4+VLOOKUP($Q67,武学奇术!$A:$ZZ,11,FALSE)+SUM(_xlfn.XLOOKUP(R67:AF67,增益!$A:$A,增益!$K:$K,0)))/200,($F$12-$I$4+VLOOKUP($Q67,武学奇术!$A:$ZZ,11,FALSE)+SUM(_xlfn.XLOOKUP(R67:AF67,增益!$A:$A,增益!$K:$K,0)))/100)</f>
        <v>-0.3</v>
      </c>
      <c r="AZ67" s="32" cm="1">
        <f t="array" ref="AZ67">$G$12+VLOOKUP($Q67,武学奇术!$A:$ZZ,12,FALSE)+SUM(_xlfn.XLOOKUP(R67:AF67,增益!$A:$A,增益!$L:$L,0))</f>
        <v>0</v>
      </c>
      <c r="BA67">
        <f t="shared" si="16"/>
        <v>697.4</v>
      </c>
      <c r="BB67">
        <f t="shared" si="17"/>
        <v>1805</v>
      </c>
      <c r="BC67" s="32" cm="1">
        <f t="array" ref="BC67">IF($F$13-$I$4+VLOOKUP($Q67,武学奇术!$A:$ZZ,13,FALSE)+SUM(_xlfn.XLOOKUP(R67:AF67,增益!$A:$A,增益!$M:$M,0))&gt;0,($F$13-$I$4+VLOOKUP($Q67,武学奇术!$A:$ZZ,13,FALSE)+SUM(_xlfn.XLOOKUP(R67:AF67,增益!$A:$A,增益!$K:$K,0)))/200,($F$13-$I$4+VLOOKUP($Q67,武学奇术!$A:$ZZ,13,FALSE)+SUM(_xlfn.XLOOKUP(R67:AF67,增益!$A:$A,增益!$M:$M,0)))/100)</f>
        <v>0</v>
      </c>
      <c r="BD67" s="32" cm="1">
        <f t="array" ref="BD67">$G$13+VLOOKUP($Q67,武学奇术!$A:$ZZ,14,FALSE)+SUM(_xlfn.XLOOKUP(R67:AF67,增益!$A:$A,增益!$N:$N,0))</f>
        <v>0.15</v>
      </c>
      <c r="BE67">
        <f t="shared" si="18"/>
        <v>0</v>
      </c>
      <c r="BF67">
        <f t="shared" si="19"/>
        <v>0</v>
      </c>
      <c r="BG67" s="32" cm="1">
        <f t="array" ref="BG67">IF($F$14-$I$4+VLOOKUP($Q67,武学奇术!$A:$ZZ,15,FALSE)+SUM(_xlfn.XLOOKUP(R67:AF67,增益!$A:$A,增益!$O:$O,0))&gt;0,($F$14-$I$4+VLOOKUP($Q67,武学奇术!$A:$ZZ,15,FALSE)+SUM(_xlfn.XLOOKUP(R67:AF67,增益!$A:$A,增益!$O:$O,0)))/200,($F$14-$I$4+VLOOKUP($Q67,武学奇术!$A:$ZZ,15,FALSE)+SUM(_xlfn.XLOOKUP(R67:AF67,增益!$A:$A,增益!$O:$O,0)))/100)</f>
        <v>-0.3</v>
      </c>
      <c r="BH67" s="32" cm="1">
        <f t="array" ref="BH67">$G$14+VLOOKUP($Q67,武学奇术!$A:$ZZ,16,FALSE)+SUM(_xlfn.XLOOKUP(R67:AF67,增益!$A:$A,增益!$P:$P,0))</f>
        <v>0</v>
      </c>
      <c r="BI67" s="26">
        <f>MIN(IF(VLOOKUP($Q67,武学奇术!$A:$ZZ,23,FALSE)=1,100%,$B$8),100%)</f>
        <v>1</v>
      </c>
      <c r="BJ67" s="26" cm="1">
        <f t="array" ref="BJ67">IF(VLOOKUP($Q67,武学奇术!$A:$ZZ,23,FALSE)=1,100%,MIN(80%,$B$9+VLOOKUP($Q67,武学奇术!$A:$ZZ,17,FALSE)+SUM(_xlfn.XLOOKUP(R67:AF67,增益!$A:$A,增益!$Q:$Q,0)))+$B$11+SUM(_xlfn.XLOOKUP(R67:AF67,增益!$A:$A,增益!$U:$U,0)))*IF(VLOOKUP($Q67,武学奇术!$A:$ZZ,24,FALSE)=1,0,1)</f>
        <v>0.8625</v>
      </c>
      <c r="BK67" s="26" cm="1">
        <f t="array" ref="BK67">1+$B$13+VLOOKUP($Q67,武学奇术!$A:$ZZ,18,FALSE)+SUM(_xlfn.XLOOKUP(R67:AF67,增益!$A:$A,增益!$R:$R,0))</f>
        <v>1.5</v>
      </c>
      <c r="BL67" s="26" cm="1">
        <f t="array" ref="BL67">IF(VLOOKUP($Q67,武学奇术!$A:$ZZ,24,FALSE)=1,100%,MIN(40%,$B$10+VLOOKUP($Q67,武学奇术!$A:$ZZ,19,FALSE)+SUM(_xlfn.XLOOKUP(R67:AF67,增益!$A:$A,增益!$S:$S,0)))+$B$12+SUM(_xlfn.XLOOKUP(R67:AF67,增益!$A:$A,增益!$V:$V,0)))*IF(VLOOKUP($Q67,武学奇术!$A:$ZZ,23,FALSE)=1,0,1)</f>
        <v>0.0913</v>
      </c>
      <c r="BM67" s="26" cm="1">
        <f t="array" ref="BM67">1+$B$14+VLOOKUP($Q67,武学奇术!$A:$ZZ,20,FALSE)+SUM(_xlfn.XLOOKUP(R67:AF67,增益!$A:$A,增益!$T:$T,0))</f>
        <v>1.35</v>
      </c>
      <c r="BN67" s="26">
        <f t="shared" si="20"/>
        <v>0.8625</v>
      </c>
      <c r="BO67" s="26">
        <f t="shared" si="21"/>
        <v>0.0462</v>
      </c>
      <c r="BP67" s="26">
        <f>IF(VLOOKUP($Q67,武学奇术!$A:$ZZ,22,FALSE)=1,0,(1-$BI67))*(1-$BL67)</f>
        <v>0</v>
      </c>
      <c r="BQ67" s="26" cm="1">
        <f t="array" ref="BQ67">SUM(_xlfn.XLOOKUP(R67:AF67,增益!$A:$A,增益!$W:$W,0))+$I$5</f>
        <v>0.06</v>
      </c>
    </row>
    <row r="68" spans="1:69">
      <c r="K68" s="38">
        <f t="shared" si="11"/>
        <v>0</v>
      </c>
      <c r="L68" s="38">
        <f>((($AN68+$AO68)/2*$AH68+$AI68)*(1+$AP68)*(1+$AQ68)+(($AS68+$AT68)/2*IF($G$1="鸣金",$AJ68,$AH68)+IF($G$1="鸣金",$AK68*1.5,0))*(1+$AU68)*(1+$AV68)+(($AW68+$AX68)/2*IF($G$1="裂石",$AJ68,$AH68)+IF($G$1="裂石",$AK68*1.5,0))*(1+$AY68)*(1+$AZ68)+(($BA68+$BB68)/2*IF($G$1="牵丝",$AJ68,$AH68)+IF($G$1="牵丝",$AK68*1.5,0))*(1+$BC68)*(1+$BD68)+(($BE68+$BF68)/2*IF($G$1="破竹",$AJ68,$AH68)+IF($G$1="破竹",$AK68*1.5,0))*(1+$BG68)*(1+$BH68))*(1+$AL68)*$BK68*$P68*(1+IF(VLOOKUP($Q68,武学奇术!$A:$ZZ,30,FALSE)="蓄力技",#REF!,0))*(1+$BQ68)</f>
        <v>0</v>
      </c>
      <c r="M68" s="38">
        <f>(($AO68*$AH68+$AI68)*(1+$AP68)*(1+$AQ68)+($AT68*IF($G$1="鸣金",$AJ68,$AH68)+IF($G$1="鸣金",$AK68*1.5,0))*(1+$AU68)*(1+$AV68)+($AX68*IF($G$1="裂石",$AJ68,$AH68)+IF($G$1="裂石",$AK68*1.5,0))*(1+$AY68)*(1+$AZ68)+($BB68*IF($G$1="牵丝",$AJ68,$AH68)+IF($G$1="牵丝",$AK68*1.5,0))*(1+$BC68)*(1+$BD68)+($BF68*IF($G$1="破竹",$AJ68,$AH68)+IF($G$1="破竹",$AK68*1.5,0))*(1+$BG68)*(1+$BH68))*(1+$AL68)*$BM68*$P68*(1+IF(VLOOKUP($Q68,武学奇术!$A:$ZZ,30,FALSE)="蓄力技",#REF!,0))*(1+$BQ68)</f>
        <v>0</v>
      </c>
      <c r="N68" s="38">
        <f>((($AN68+$AO68)/2*$AH68+$AI68)*(1+$AP68)*(1+$AQ68)+(($AS68+$AT68)/2*IF($G$1="鸣金",$AJ68,$AH68)+IF($G$1="鸣金",$AK68*1.5,0))*(1+$AU68)*(1+$AV68)+(($AW68+$AX68)/2*IF($G$1="裂石",$AJ68,$AH68)+IF($G$1="裂石",$AK68*1.5,0))*(1+$AY68)*(1+$AZ68)+(($BA68+$BB68)/2*IF($G$1="牵丝",$AJ68,$AH68)+IF($G$1="牵丝",$AK68*1.5,0))*(1+$BC68)*(1+$BD68)+(($BE68+$BF68)/2*IF($G$1="破竹",$AJ68,$AH68)+IF($G$1="破竹",$AK68*1.5,0))*(1+$BG68)*(1+$BH68))*(1+$AL68)*$P68*(1+IF(VLOOKUP($Q68,武学奇术!$A:$ZZ,30,FALSE)="蓄力技",#REF!,0))*(1+$BQ68)</f>
        <v>0</v>
      </c>
      <c r="O68" s="38">
        <f>((($AN68*$AH68+$AI68)*(1+$AP68)*(1+$AQ68)+($AS68*IF($G$1="鸣金",$AJ68,$AH68)+IF($G$1="鸣金",$AK68*1.5,0))*(1+$AU68)*(1+$AV68)+($AW68*IF($G$1="裂石",$AJ68,$AH68)+IF($G$1="裂石",$AK68*1.5,0))*(1+$AY68)*(1+$AZ68)+($BA68*IF($G$1="牵丝",$AJ68,$AH68)+IF($G$1="牵丝",$AK68*1.5,0))*(1+$BC68)*(1+$BD68)+($BE68*IF($G$1="破竹",$AJ68,$AH68)+IF($G$1="破竹",$AK68*1.5,0))*(1+$BG68)*(1+$BH68))*(1+$AL68))*$P68*(1+IF(VLOOKUP($Q68,武学奇术!$A:$ZZ,30,FALSE)="蓄力技",#REF!,0))*(1+$BQ68)</f>
        <v>0</v>
      </c>
      <c r="P68" s="39">
        <v>1</v>
      </c>
      <c r="Q68" s="40" t="s">
        <v>76</v>
      </c>
      <c r="R68" s="40" t="s">
        <v>76</v>
      </c>
      <c r="S68" s="40" t="s">
        <v>76</v>
      </c>
      <c r="T68" s="40" t="s">
        <v>76</v>
      </c>
      <c r="U68" s="40" t="s">
        <v>76</v>
      </c>
      <c r="V68" s="40" t="s">
        <v>76</v>
      </c>
      <c r="W68" s="40" t="s">
        <v>76</v>
      </c>
      <c r="X68" s="40" t="s">
        <v>76</v>
      </c>
      <c r="Y68" s="40" t="s">
        <v>76</v>
      </c>
      <c r="Z68" s="40" t="s">
        <v>76</v>
      </c>
      <c r="AA68" s="40" t="s">
        <v>76</v>
      </c>
      <c r="AB68" s="40" t="s">
        <v>76</v>
      </c>
      <c r="AC68" s="40" t="s">
        <v>76</v>
      </c>
      <c r="AD68" s="40" t="s">
        <v>76</v>
      </c>
      <c r="AE68" s="40" t="s">
        <v>76</v>
      </c>
      <c r="AF68" s="40" t="s">
        <v>76</v>
      </c>
      <c r="AG68" t="str">
        <f>VLOOKUP($Q68,武学奇术!$A:$ZZ,25,FALSE)</f>
        <v>心法</v>
      </c>
      <c r="AH68" s="26">
        <f>VLOOKUP($Q68,武学奇术!$A:$ZZ,26,FALSE)</f>
        <v>0</v>
      </c>
      <c r="AI68" s="27">
        <f>VLOOKUP($Q68,武学奇术!$A:$ZZ,27,FALSE)*(1+IF(OR($AG68=$F$4,$AG68=$F$5),$B$21,0))</f>
        <v>0</v>
      </c>
      <c r="AJ68" s="26">
        <f>VLOOKUP($Q68,武学奇术!$A:$ZZ,28,FALSE)</f>
        <v>0</v>
      </c>
      <c r="AK68" s="27">
        <f>VLOOKUP($Q68,武学奇术!$A:$ZZ,29,FALSE)*(1+IF(OR($AG68=$F$4,$AG68=$F$5),$B$21,0))</f>
        <v>0</v>
      </c>
      <c r="AL68" s="26" cm="1">
        <f t="array" ref="AL68">$G$3+IFERROR(VLOOKUP($AG68,$F$4:$G$7,2,FALSE),0)+VLOOKUP($Q68,武学奇术!$A:$ZZ,2,FALSE)+SUM(_xlfn.XLOOKUP($R68:$AF68,增益!$A:$A,增益!$B:$B,0))</f>
        <v>0.1842</v>
      </c>
      <c r="AM68" s="26" cm="1">
        <f t="array" ref="AM68">VLOOKUP($Q68,武学奇术!$A:$ZZ,5,FALSE)+SUM(_xlfn.XLOOKUP($R68:$AF68,增益!$A:$A,增益!$E:$E,0))</f>
        <v>0</v>
      </c>
      <c r="AN68" cm="1">
        <f t="array" ref="AN68">$D$10*(1+$AM68)+VLOOKUP($Q68,武学奇术!$A:$ZZ,3,FALSE)+SUM(_xlfn.XLOOKUP($R68:$AF68,增益!$A:$A,增益!$C:$C,0))-$I$2</f>
        <v>3940</v>
      </c>
      <c r="AO68" cm="1">
        <f t="array" ref="AO68">$E$10*(1+$AM68)+VLOOKUP($Q68,武学奇术!$A:$ZZ,4,FALSE)+SUM(_xlfn.XLOOKUP($R68:$AF68,增益!$A:$A,增益!$D:$D,0))-$I$2</f>
        <v>3940</v>
      </c>
      <c r="AP68" s="32" cm="1">
        <f t="array" ref="AP68">IF($F$10-$I$3+VLOOKUP($Q68,武学奇术!$A:$ZZ,6,FALSE)+SUM(_xlfn.XLOOKUP(R68:AF68,增益!$A:$A,增益!$F:$F,0))&gt;0,($F$10-$I$3+VLOOKUP($Q68,武学奇术!$A:$ZZ,6,FALSE)+SUM(_xlfn.XLOOKUP(R68:AF68,增益!$A:$A,增益!$F:$F,0)))/200,($F$10-$I$3+VLOOKUP($Q68,武学奇术!$A:$ZZ,6,FALSE)+SUM(_xlfn.XLOOKUP(R68:AF68,增益!$A:$A,增益!$F:$F,0)))/100)</f>
        <v>0.194</v>
      </c>
      <c r="AQ68" s="32" cm="1">
        <f t="array" ref="AQ68">$G$10+VLOOKUP($Q68,武学奇术!$A:$ZZ,7,FALSE)+SUM(_xlfn.XLOOKUP(R68:AF68,增益!$A:$A,增益!$G:$G,0))</f>
        <v>0</v>
      </c>
      <c r="AR68" s="26" cm="1">
        <f t="array" ref="AR68">VLOOKUP($Q68,武学奇术!$A:$ZZ,8,FALSE)+SUM(_xlfn.XLOOKUP(R68:AF68,增益!$A:$A,增益!$H:$H,0))</f>
        <v>0</v>
      </c>
      <c r="AS68">
        <f t="shared" si="12"/>
        <v>0</v>
      </c>
      <c r="AT68">
        <f t="shared" si="13"/>
        <v>0</v>
      </c>
      <c r="AU68" s="32" cm="1">
        <f t="array" ref="AU68">IF($F$11-$I$4+VLOOKUP($Q68,武学奇术!$A:$ZZ,9,FALSE)+SUM(_xlfn.XLOOKUP(R68:AF68,增益!$A:$A,增益!$I:$I,0))&gt;0,($F$11-$I$4+VLOOKUP($Q68,武学奇术!$A:$ZZ,9,FALSE)+SUM(_xlfn.XLOOKUP(R68:AF68,增益!$A:$A,增益!$I:$I,0)))/200,($F$11-$I$4+VLOOKUP($Q68,武学奇术!$A:$ZZ,9,FALSE)+SUM(_xlfn.XLOOKUP(R68:AF68,增益!$A:$A,增益!$I:$I,0)))/100)</f>
        <v>-0.3</v>
      </c>
      <c r="AV68" s="32" cm="1">
        <f t="array" ref="AV68">$G$11+VLOOKUP($Q68,武学奇术!$A:$ZZ,10,FALSE)+SUM(_xlfn.XLOOKUP(R68:AF68,增益!$A:$A,增益!$J:$J,0))</f>
        <v>0</v>
      </c>
      <c r="AW68">
        <f t="shared" si="14"/>
        <v>0</v>
      </c>
      <c r="AX68">
        <f t="shared" si="15"/>
        <v>0</v>
      </c>
      <c r="AY68" s="32" cm="1">
        <f t="array" ref="AY68">IF($F$12-$I$4+VLOOKUP($Q68,武学奇术!$A:$ZZ,11,FALSE)+SUM(_xlfn.XLOOKUP(R68:AF68,增益!$A:$A,增益!$K:$K,0))&gt;0,($F$12-$I$4+VLOOKUP($Q68,武学奇术!$A:$ZZ,11,FALSE)+SUM(_xlfn.XLOOKUP(R68:AF68,增益!$A:$A,增益!$K:$K,0)))/200,($F$12-$I$4+VLOOKUP($Q68,武学奇术!$A:$ZZ,11,FALSE)+SUM(_xlfn.XLOOKUP(R68:AF68,增益!$A:$A,增益!$K:$K,0)))/100)</f>
        <v>-0.3</v>
      </c>
      <c r="AZ68" s="32" cm="1">
        <f t="array" ref="AZ68">$G$12+VLOOKUP($Q68,武学奇术!$A:$ZZ,12,FALSE)+SUM(_xlfn.XLOOKUP(R68:AF68,增益!$A:$A,增益!$L:$L,0))</f>
        <v>0</v>
      </c>
      <c r="BA68">
        <f t="shared" si="16"/>
        <v>697.4</v>
      </c>
      <c r="BB68">
        <f t="shared" si="17"/>
        <v>1805</v>
      </c>
      <c r="BC68" s="32" cm="1">
        <f t="array" ref="BC68">IF($F$13-$I$4+VLOOKUP($Q68,武学奇术!$A:$ZZ,13,FALSE)+SUM(_xlfn.XLOOKUP(R68:AF68,增益!$A:$A,增益!$M:$M,0))&gt;0,($F$13-$I$4+VLOOKUP($Q68,武学奇术!$A:$ZZ,13,FALSE)+SUM(_xlfn.XLOOKUP(R68:AF68,增益!$A:$A,增益!$K:$K,0)))/200,($F$13-$I$4+VLOOKUP($Q68,武学奇术!$A:$ZZ,13,FALSE)+SUM(_xlfn.XLOOKUP(R68:AF68,增益!$A:$A,增益!$M:$M,0)))/100)</f>
        <v>0</v>
      </c>
      <c r="BD68" s="32" cm="1">
        <f t="array" ref="BD68">$G$13+VLOOKUP($Q68,武学奇术!$A:$ZZ,14,FALSE)+SUM(_xlfn.XLOOKUP(R68:AF68,增益!$A:$A,增益!$N:$N,0))</f>
        <v>0.15</v>
      </c>
      <c r="BE68">
        <f t="shared" si="18"/>
        <v>0</v>
      </c>
      <c r="BF68">
        <f t="shared" si="19"/>
        <v>0</v>
      </c>
      <c r="BG68" s="32" cm="1">
        <f t="array" ref="BG68">IF($F$14-$I$4+VLOOKUP($Q68,武学奇术!$A:$ZZ,15,FALSE)+SUM(_xlfn.XLOOKUP(R68:AF68,增益!$A:$A,增益!$O:$O,0))&gt;0,($F$14-$I$4+VLOOKUP($Q68,武学奇术!$A:$ZZ,15,FALSE)+SUM(_xlfn.XLOOKUP(R68:AF68,增益!$A:$A,增益!$O:$O,0)))/200,($F$14-$I$4+VLOOKUP($Q68,武学奇术!$A:$ZZ,15,FALSE)+SUM(_xlfn.XLOOKUP(R68:AF68,增益!$A:$A,增益!$O:$O,0)))/100)</f>
        <v>-0.3</v>
      </c>
      <c r="BH68" s="32" cm="1">
        <f t="array" ref="BH68">$G$14+VLOOKUP($Q68,武学奇术!$A:$ZZ,16,FALSE)+SUM(_xlfn.XLOOKUP(R68:AF68,增益!$A:$A,增益!$P:$P,0))</f>
        <v>0</v>
      </c>
      <c r="BI68" s="26">
        <f>MIN(IF(VLOOKUP($Q68,武学奇术!$A:$ZZ,23,FALSE)=1,100%,$B$8),100%)</f>
        <v>1</v>
      </c>
      <c r="BJ68" s="26" cm="1">
        <f t="array" ref="BJ68">IF(VLOOKUP($Q68,武学奇术!$A:$ZZ,23,FALSE)=1,100%,MIN(80%,$B$9+VLOOKUP($Q68,武学奇术!$A:$ZZ,17,FALSE)+SUM(_xlfn.XLOOKUP(R68:AF68,增益!$A:$A,增益!$Q:$Q,0)))+$B$11+SUM(_xlfn.XLOOKUP(R68:AF68,增益!$A:$A,增益!$U:$U,0)))*IF(VLOOKUP($Q68,武学奇术!$A:$ZZ,24,FALSE)=1,0,1)</f>
        <v>0.8625</v>
      </c>
      <c r="BK68" s="26" cm="1">
        <f t="array" ref="BK68">1+$B$13+VLOOKUP($Q68,武学奇术!$A:$ZZ,18,FALSE)+SUM(_xlfn.XLOOKUP(R68:AF68,增益!$A:$A,增益!$R:$R,0))</f>
        <v>1.5</v>
      </c>
      <c r="BL68" s="26" cm="1">
        <f t="array" ref="BL68">IF(VLOOKUP($Q68,武学奇术!$A:$ZZ,24,FALSE)=1,100%,MIN(40%,$B$10+VLOOKUP($Q68,武学奇术!$A:$ZZ,19,FALSE)+SUM(_xlfn.XLOOKUP(R68:AF68,增益!$A:$A,增益!$S:$S,0)))+$B$12+SUM(_xlfn.XLOOKUP(R68:AF68,增益!$A:$A,增益!$V:$V,0)))*IF(VLOOKUP($Q68,武学奇术!$A:$ZZ,23,FALSE)=1,0,1)</f>
        <v>0.0913</v>
      </c>
      <c r="BM68" s="26" cm="1">
        <f t="array" ref="BM68">1+$B$14+VLOOKUP($Q68,武学奇术!$A:$ZZ,20,FALSE)+SUM(_xlfn.XLOOKUP(R68:AF68,增益!$A:$A,增益!$T:$T,0))</f>
        <v>1.35</v>
      </c>
      <c r="BN68" s="26">
        <f t="shared" si="20"/>
        <v>0.8625</v>
      </c>
      <c r="BO68" s="26">
        <f t="shared" si="21"/>
        <v>0.0462</v>
      </c>
      <c r="BP68" s="26">
        <f>IF(VLOOKUP($Q68,武学奇术!$A:$ZZ,22,FALSE)=1,0,(1-$BI68))*(1-$BL68)</f>
        <v>0</v>
      </c>
      <c r="BQ68" s="26" cm="1">
        <f t="array" ref="BQ68">SUM(_xlfn.XLOOKUP(R68:AF68,增益!$A:$A,增益!$W:$W,0))+$I$5</f>
        <v>0.06</v>
      </c>
    </row>
    <row r="69" spans="1:69">
      <c r="K69" s="38">
        <f t="shared" si="11"/>
        <v>0</v>
      </c>
      <c r="L69" s="38">
        <f>((($AN69+$AO69)/2*$AH69+$AI69)*(1+$AP69)*(1+$AQ69)+(($AS69+$AT69)/2*IF($G$1="鸣金",$AJ69,$AH69)+IF($G$1="鸣金",$AK69*1.5,0))*(1+$AU69)*(1+$AV69)+(($AW69+$AX69)/2*IF($G$1="裂石",$AJ69,$AH69)+IF($G$1="裂石",$AK69*1.5,0))*(1+$AY69)*(1+$AZ69)+(($BA69+$BB69)/2*IF($G$1="牵丝",$AJ69,$AH69)+IF($G$1="牵丝",$AK69*1.5,0))*(1+$BC69)*(1+$BD69)+(($BE69+$BF69)/2*IF($G$1="破竹",$AJ69,$AH69)+IF($G$1="破竹",$AK69*1.5,0))*(1+$BG69)*(1+$BH69))*(1+$AL69)*$BK69*$P69*(1+IF(VLOOKUP($Q69,武学奇术!$A:$ZZ,30,FALSE)="蓄力技",#REF!,0))*(1+$BQ69)</f>
        <v>0</v>
      </c>
      <c r="M69" s="38">
        <f>(($AO69*$AH69+$AI69)*(1+$AP69)*(1+$AQ69)+($AT69*IF($G$1="鸣金",$AJ69,$AH69)+IF($G$1="鸣金",$AK69*1.5,0))*(1+$AU69)*(1+$AV69)+($AX69*IF($G$1="裂石",$AJ69,$AH69)+IF($G$1="裂石",$AK69*1.5,0))*(1+$AY69)*(1+$AZ69)+($BB69*IF($G$1="牵丝",$AJ69,$AH69)+IF($G$1="牵丝",$AK69*1.5,0))*(1+$BC69)*(1+$BD69)+($BF69*IF($G$1="破竹",$AJ69,$AH69)+IF($G$1="破竹",$AK69*1.5,0))*(1+$BG69)*(1+$BH69))*(1+$AL69)*$BM69*$P69*(1+IF(VLOOKUP($Q69,武学奇术!$A:$ZZ,30,FALSE)="蓄力技",#REF!,0))*(1+$BQ69)</f>
        <v>0</v>
      </c>
      <c r="N69" s="38">
        <f>((($AN69+$AO69)/2*$AH69+$AI69)*(1+$AP69)*(1+$AQ69)+(($AS69+$AT69)/2*IF($G$1="鸣金",$AJ69,$AH69)+IF($G$1="鸣金",$AK69*1.5,0))*(1+$AU69)*(1+$AV69)+(($AW69+$AX69)/2*IF($G$1="裂石",$AJ69,$AH69)+IF($G$1="裂石",$AK69*1.5,0))*(1+$AY69)*(1+$AZ69)+(($BA69+$BB69)/2*IF($G$1="牵丝",$AJ69,$AH69)+IF($G$1="牵丝",$AK69*1.5,0))*(1+$BC69)*(1+$BD69)+(($BE69+$BF69)/2*IF($G$1="破竹",$AJ69,$AH69)+IF($G$1="破竹",$AK69*1.5,0))*(1+$BG69)*(1+$BH69))*(1+$AL69)*$P69*(1+IF(VLOOKUP($Q69,武学奇术!$A:$ZZ,30,FALSE)="蓄力技",#REF!,0))*(1+$BQ69)</f>
        <v>0</v>
      </c>
      <c r="O69" s="38">
        <f>((($AN69*$AH69+$AI69)*(1+$AP69)*(1+$AQ69)+($AS69*IF($G$1="鸣金",$AJ69,$AH69)+IF($G$1="鸣金",$AK69*1.5,0))*(1+$AU69)*(1+$AV69)+($AW69*IF($G$1="裂石",$AJ69,$AH69)+IF($G$1="裂石",$AK69*1.5,0))*(1+$AY69)*(1+$AZ69)+($BA69*IF($G$1="牵丝",$AJ69,$AH69)+IF($G$1="牵丝",$AK69*1.5,0))*(1+$BC69)*(1+$BD69)+($BE69*IF($G$1="破竹",$AJ69,$AH69)+IF($G$1="破竹",$AK69*1.5,0))*(1+$BG69)*(1+$BH69))*(1+$AL69))*$P69*(1+IF(VLOOKUP($Q69,武学奇术!$A:$ZZ,30,FALSE)="蓄力技",#REF!,0))*(1+$BQ69)</f>
        <v>0</v>
      </c>
      <c r="P69" s="39">
        <v>1</v>
      </c>
      <c r="Q69" s="40" t="s">
        <v>76</v>
      </c>
      <c r="R69" s="40" t="s">
        <v>76</v>
      </c>
      <c r="S69" s="40" t="s">
        <v>76</v>
      </c>
      <c r="T69" s="40" t="s">
        <v>76</v>
      </c>
      <c r="U69" s="40" t="s">
        <v>76</v>
      </c>
      <c r="V69" s="40" t="s">
        <v>76</v>
      </c>
      <c r="W69" s="40" t="s">
        <v>76</v>
      </c>
      <c r="X69" s="40" t="s">
        <v>76</v>
      </c>
      <c r="Y69" s="40" t="s">
        <v>76</v>
      </c>
      <c r="Z69" s="40" t="s">
        <v>76</v>
      </c>
      <c r="AA69" s="40" t="s">
        <v>76</v>
      </c>
      <c r="AB69" s="40" t="s">
        <v>76</v>
      </c>
      <c r="AC69" s="40" t="s">
        <v>76</v>
      </c>
      <c r="AD69" s="40" t="s">
        <v>76</v>
      </c>
      <c r="AE69" s="40" t="s">
        <v>76</v>
      </c>
      <c r="AF69" s="40" t="s">
        <v>76</v>
      </c>
      <c r="AG69" t="str">
        <f>VLOOKUP($Q69,武学奇术!$A:$ZZ,25,FALSE)</f>
        <v>心法</v>
      </c>
      <c r="AH69" s="26">
        <f>VLOOKUP($Q69,武学奇术!$A:$ZZ,26,FALSE)</f>
        <v>0</v>
      </c>
      <c r="AI69" s="27">
        <f>VLOOKUP($Q69,武学奇术!$A:$ZZ,27,FALSE)*(1+IF(OR($AG69=$F$4,$AG69=$F$5),$B$21,0))</f>
        <v>0</v>
      </c>
      <c r="AJ69" s="26">
        <f>VLOOKUP($Q69,武学奇术!$A:$ZZ,28,FALSE)</f>
        <v>0</v>
      </c>
      <c r="AK69" s="27">
        <f>VLOOKUP($Q69,武学奇术!$A:$ZZ,29,FALSE)*(1+IF(OR($AG69=$F$4,$AG69=$F$5),$B$21,0))</f>
        <v>0</v>
      </c>
      <c r="AL69" s="26" cm="1">
        <f t="array" ref="AL69">$G$3+IFERROR(VLOOKUP($AG69,$F$4:$G$7,2,FALSE),0)+VLOOKUP($Q69,武学奇术!$A:$ZZ,2,FALSE)+SUM(_xlfn.XLOOKUP($R69:$AF69,增益!$A:$A,增益!$B:$B,0))</f>
        <v>0.1842</v>
      </c>
      <c r="AM69" s="26" cm="1">
        <f t="array" ref="AM69">VLOOKUP($Q69,武学奇术!$A:$ZZ,5,FALSE)+SUM(_xlfn.XLOOKUP($R69:$AF69,增益!$A:$A,增益!$E:$E,0))</f>
        <v>0</v>
      </c>
      <c r="AN69" cm="1">
        <f t="array" ref="AN69">$D$10*(1+$AM69)+VLOOKUP($Q69,武学奇术!$A:$ZZ,3,FALSE)+SUM(_xlfn.XLOOKUP($R69:$AF69,增益!$A:$A,增益!$C:$C,0))-$I$2</f>
        <v>3940</v>
      </c>
      <c r="AO69" cm="1">
        <f t="array" ref="AO69">$E$10*(1+$AM69)+VLOOKUP($Q69,武学奇术!$A:$ZZ,4,FALSE)+SUM(_xlfn.XLOOKUP($R69:$AF69,增益!$A:$A,增益!$D:$D,0))-$I$2</f>
        <v>3940</v>
      </c>
      <c r="AP69" s="32" cm="1">
        <f t="array" ref="AP69">IF($F$10-$I$3+VLOOKUP($Q69,武学奇术!$A:$ZZ,6,FALSE)+SUM(_xlfn.XLOOKUP(R69:AF69,增益!$A:$A,增益!$F:$F,0))&gt;0,($F$10-$I$3+VLOOKUP($Q69,武学奇术!$A:$ZZ,6,FALSE)+SUM(_xlfn.XLOOKUP(R69:AF69,增益!$A:$A,增益!$F:$F,0)))/200,($F$10-$I$3+VLOOKUP($Q69,武学奇术!$A:$ZZ,6,FALSE)+SUM(_xlfn.XLOOKUP(R69:AF69,增益!$A:$A,增益!$F:$F,0)))/100)</f>
        <v>0.194</v>
      </c>
      <c r="AQ69" s="32" cm="1">
        <f t="array" ref="AQ69">$G$10+VLOOKUP($Q69,武学奇术!$A:$ZZ,7,FALSE)+SUM(_xlfn.XLOOKUP(R69:AF69,增益!$A:$A,增益!$G:$G,0))</f>
        <v>0</v>
      </c>
      <c r="AR69" s="26" cm="1">
        <f t="array" ref="AR69">VLOOKUP($Q69,武学奇术!$A:$ZZ,8,FALSE)+SUM(_xlfn.XLOOKUP(R69:AF69,增益!$A:$A,增益!$H:$H,0))</f>
        <v>0</v>
      </c>
      <c r="AS69">
        <f t="shared" si="12"/>
        <v>0</v>
      </c>
      <c r="AT69">
        <f t="shared" si="13"/>
        <v>0</v>
      </c>
      <c r="AU69" s="32" cm="1">
        <f t="array" ref="AU69">IF($F$11-$I$4+VLOOKUP($Q69,武学奇术!$A:$ZZ,9,FALSE)+SUM(_xlfn.XLOOKUP(R69:AF69,增益!$A:$A,增益!$I:$I,0))&gt;0,($F$11-$I$4+VLOOKUP($Q69,武学奇术!$A:$ZZ,9,FALSE)+SUM(_xlfn.XLOOKUP(R69:AF69,增益!$A:$A,增益!$I:$I,0)))/200,($F$11-$I$4+VLOOKUP($Q69,武学奇术!$A:$ZZ,9,FALSE)+SUM(_xlfn.XLOOKUP(R69:AF69,增益!$A:$A,增益!$I:$I,0)))/100)</f>
        <v>-0.3</v>
      </c>
      <c r="AV69" s="32" cm="1">
        <f t="array" ref="AV69">$G$11+VLOOKUP($Q69,武学奇术!$A:$ZZ,10,FALSE)+SUM(_xlfn.XLOOKUP(R69:AF69,增益!$A:$A,增益!$J:$J,0))</f>
        <v>0</v>
      </c>
      <c r="AW69">
        <f t="shared" si="14"/>
        <v>0</v>
      </c>
      <c r="AX69">
        <f t="shared" si="15"/>
        <v>0</v>
      </c>
      <c r="AY69" s="32" cm="1">
        <f t="array" ref="AY69">IF($F$12-$I$4+VLOOKUP($Q69,武学奇术!$A:$ZZ,11,FALSE)+SUM(_xlfn.XLOOKUP(R69:AF69,增益!$A:$A,增益!$K:$K,0))&gt;0,($F$12-$I$4+VLOOKUP($Q69,武学奇术!$A:$ZZ,11,FALSE)+SUM(_xlfn.XLOOKUP(R69:AF69,增益!$A:$A,增益!$K:$K,0)))/200,($F$12-$I$4+VLOOKUP($Q69,武学奇术!$A:$ZZ,11,FALSE)+SUM(_xlfn.XLOOKUP(R69:AF69,增益!$A:$A,增益!$K:$K,0)))/100)</f>
        <v>-0.3</v>
      </c>
      <c r="AZ69" s="32" cm="1">
        <f t="array" ref="AZ69">$G$12+VLOOKUP($Q69,武学奇术!$A:$ZZ,12,FALSE)+SUM(_xlfn.XLOOKUP(R69:AF69,增益!$A:$A,增益!$L:$L,0))</f>
        <v>0</v>
      </c>
      <c r="BA69">
        <f t="shared" si="16"/>
        <v>697.4</v>
      </c>
      <c r="BB69">
        <f t="shared" si="17"/>
        <v>1805</v>
      </c>
      <c r="BC69" s="32" cm="1">
        <f t="array" ref="BC69">IF($F$13-$I$4+VLOOKUP($Q69,武学奇术!$A:$ZZ,13,FALSE)+SUM(_xlfn.XLOOKUP(R69:AF69,增益!$A:$A,增益!$M:$M,0))&gt;0,($F$13-$I$4+VLOOKUP($Q69,武学奇术!$A:$ZZ,13,FALSE)+SUM(_xlfn.XLOOKUP(R69:AF69,增益!$A:$A,增益!$K:$K,0)))/200,($F$13-$I$4+VLOOKUP($Q69,武学奇术!$A:$ZZ,13,FALSE)+SUM(_xlfn.XLOOKUP(R69:AF69,增益!$A:$A,增益!$M:$M,0)))/100)</f>
        <v>0</v>
      </c>
      <c r="BD69" s="32" cm="1">
        <f t="array" ref="BD69">$G$13+VLOOKUP($Q69,武学奇术!$A:$ZZ,14,FALSE)+SUM(_xlfn.XLOOKUP(R69:AF69,增益!$A:$A,增益!$N:$N,0))</f>
        <v>0.15</v>
      </c>
      <c r="BE69">
        <f t="shared" si="18"/>
        <v>0</v>
      </c>
      <c r="BF69">
        <f t="shared" si="19"/>
        <v>0</v>
      </c>
      <c r="BG69" s="32" cm="1">
        <f t="array" ref="BG69">IF($F$14-$I$4+VLOOKUP($Q69,武学奇术!$A:$ZZ,15,FALSE)+SUM(_xlfn.XLOOKUP(R69:AF69,增益!$A:$A,增益!$O:$O,0))&gt;0,($F$14-$I$4+VLOOKUP($Q69,武学奇术!$A:$ZZ,15,FALSE)+SUM(_xlfn.XLOOKUP(R69:AF69,增益!$A:$A,增益!$O:$O,0)))/200,($F$14-$I$4+VLOOKUP($Q69,武学奇术!$A:$ZZ,15,FALSE)+SUM(_xlfn.XLOOKUP(R69:AF69,增益!$A:$A,增益!$O:$O,0)))/100)</f>
        <v>-0.3</v>
      </c>
      <c r="BH69" s="32" cm="1">
        <f t="array" ref="BH69">$G$14+VLOOKUP($Q69,武学奇术!$A:$ZZ,16,FALSE)+SUM(_xlfn.XLOOKUP(R69:AF69,增益!$A:$A,增益!$P:$P,0))</f>
        <v>0</v>
      </c>
      <c r="BI69" s="26">
        <f>MIN(IF(VLOOKUP($Q69,武学奇术!$A:$ZZ,23,FALSE)=1,100%,$B$8),100%)</f>
        <v>1</v>
      </c>
      <c r="BJ69" s="26" cm="1">
        <f t="array" ref="BJ69">IF(VLOOKUP($Q69,武学奇术!$A:$ZZ,23,FALSE)=1,100%,MIN(80%,$B$9+VLOOKUP($Q69,武学奇术!$A:$ZZ,17,FALSE)+SUM(_xlfn.XLOOKUP(R69:AF69,增益!$A:$A,增益!$Q:$Q,0)))+$B$11+SUM(_xlfn.XLOOKUP(R69:AF69,增益!$A:$A,增益!$U:$U,0)))*IF(VLOOKUP($Q69,武学奇术!$A:$ZZ,24,FALSE)=1,0,1)</f>
        <v>0.8625</v>
      </c>
      <c r="BK69" s="26" cm="1">
        <f t="array" ref="BK69">1+$B$13+VLOOKUP($Q69,武学奇术!$A:$ZZ,18,FALSE)+SUM(_xlfn.XLOOKUP(R69:AF69,增益!$A:$A,增益!$R:$R,0))</f>
        <v>1.5</v>
      </c>
      <c r="BL69" s="26" cm="1">
        <f t="array" ref="BL69">IF(VLOOKUP($Q69,武学奇术!$A:$ZZ,24,FALSE)=1,100%,MIN(40%,$B$10+VLOOKUP($Q69,武学奇术!$A:$ZZ,19,FALSE)+SUM(_xlfn.XLOOKUP(R69:AF69,增益!$A:$A,增益!$S:$S,0)))+$B$12+SUM(_xlfn.XLOOKUP(R69:AF69,增益!$A:$A,增益!$V:$V,0)))*IF(VLOOKUP($Q69,武学奇术!$A:$ZZ,23,FALSE)=1,0,1)</f>
        <v>0.0913</v>
      </c>
      <c r="BM69" s="26" cm="1">
        <f t="array" ref="BM69">1+$B$14+VLOOKUP($Q69,武学奇术!$A:$ZZ,20,FALSE)+SUM(_xlfn.XLOOKUP(R69:AF69,增益!$A:$A,增益!$T:$T,0))</f>
        <v>1.35</v>
      </c>
      <c r="BN69" s="26">
        <f t="shared" si="20"/>
        <v>0.8625</v>
      </c>
      <c r="BO69" s="26">
        <f t="shared" si="21"/>
        <v>0.0462</v>
      </c>
      <c r="BP69" s="26">
        <f>IF(VLOOKUP($Q69,武学奇术!$A:$ZZ,22,FALSE)=1,0,(1-$BI69))*(1-$BL69)</f>
        <v>0</v>
      </c>
      <c r="BQ69" s="26" cm="1">
        <f t="array" ref="BQ69">SUM(_xlfn.XLOOKUP(R69:AF69,增益!$A:$A,增益!$W:$W,0))+$I$5</f>
        <v>0.06</v>
      </c>
    </row>
    <row r="70" spans="1:69">
      <c r="K70" s="38">
        <f t="shared" si="11"/>
        <v>0</v>
      </c>
      <c r="L70" s="38">
        <f>((($AN70+$AO70)/2*$AH70+$AI70)*(1+$AP70)*(1+$AQ70)+(($AS70+$AT70)/2*IF($G$1="鸣金",$AJ70,$AH70)+IF($G$1="鸣金",$AK70*1.5,0))*(1+$AU70)*(1+$AV70)+(($AW70+$AX70)/2*IF($G$1="裂石",$AJ70,$AH70)+IF($G$1="裂石",$AK70*1.5,0))*(1+$AY70)*(1+$AZ70)+(($BA70+$BB70)/2*IF($G$1="牵丝",$AJ70,$AH70)+IF($G$1="牵丝",$AK70*1.5,0))*(1+$BC70)*(1+$BD70)+(($BE70+$BF70)/2*IF($G$1="破竹",$AJ70,$AH70)+IF($G$1="破竹",$AK70*1.5,0))*(1+$BG70)*(1+$BH70))*(1+$AL70)*$BK70*$P70*(1+IF(VLOOKUP($Q70,武学奇术!$A:$ZZ,30,FALSE)="蓄力技",#REF!,0))*(1+$BQ70)</f>
        <v>0</v>
      </c>
      <c r="M70" s="38">
        <f>(($AO70*$AH70+$AI70)*(1+$AP70)*(1+$AQ70)+($AT70*IF($G$1="鸣金",$AJ70,$AH70)+IF($G$1="鸣金",$AK70*1.5,0))*(1+$AU70)*(1+$AV70)+($AX70*IF($G$1="裂石",$AJ70,$AH70)+IF($G$1="裂石",$AK70*1.5,0))*(1+$AY70)*(1+$AZ70)+($BB70*IF($G$1="牵丝",$AJ70,$AH70)+IF($G$1="牵丝",$AK70*1.5,0))*(1+$BC70)*(1+$BD70)+($BF70*IF($G$1="破竹",$AJ70,$AH70)+IF($G$1="破竹",$AK70*1.5,0))*(1+$BG70)*(1+$BH70))*(1+$AL70)*$BM70*$P70*(1+IF(VLOOKUP($Q70,武学奇术!$A:$ZZ,30,FALSE)="蓄力技",#REF!,0))*(1+$BQ70)</f>
        <v>0</v>
      </c>
      <c r="N70" s="38">
        <f>((($AN70+$AO70)/2*$AH70+$AI70)*(1+$AP70)*(1+$AQ70)+(($AS70+$AT70)/2*IF($G$1="鸣金",$AJ70,$AH70)+IF($G$1="鸣金",$AK70*1.5,0))*(1+$AU70)*(1+$AV70)+(($AW70+$AX70)/2*IF($G$1="裂石",$AJ70,$AH70)+IF($G$1="裂石",$AK70*1.5,0))*(1+$AY70)*(1+$AZ70)+(($BA70+$BB70)/2*IF($G$1="牵丝",$AJ70,$AH70)+IF($G$1="牵丝",$AK70*1.5,0))*(1+$BC70)*(1+$BD70)+(($BE70+$BF70)/2*IF($G$1="破竹",$AJ70,$AH70)+IF($G$1="破竹",$AK70*1.5,0))*(1+$BG70)*(1+$BH70))*(1+$AL70)*$P70*(1+IF(VLOOKUP($Q70,武学奇术!$A:$ZZ,30,FALSE)="蓄力技",#REF!,0))*(1+$BQ70)</f>
        <v>0</v>
      </c>
      <c r="O70" s="38">
        <f>((($AN70*$AH70+$AI70)*(1+$AP70)*(1+$AQ70)+($AS70*IF($G$1="鸣金",$AJ70,$AH70)+IF($G$1="鸣金",$AK70*1.5,0))*(1+$AU70)*(1+$AV70)+($AW70*IF($G$1="裂石",$AJ70,$AH70)+IF($G$1="裂石",$AK70*1.5,0))*(1+$AY70)*(1+$AZ70)+($BA70*IF($G$1="牵丝",$AJ70,$AH70)+IF($G$1="牵丝",$AK70*1.5,0))*(1+$BC70)*(1+$BD70)+($BE70*IF($G$1="破竹",$AJ70,$AH70)+IF($G$1="破竹",$AK70*1.5,0))*(1+$BG70)*(1+$BH70))*(1+$AL70))*$P70*(1+IF(VLOOKUP($Q70,武学奇术!$A:$ZZ,30,FALSE)="蓄力技",#REF!,0))*(1+$BQ70)</f>
        <v>0</v>
      </c>
      <c r="P70" s="39">
        <v>1</v>
      </c>
      <c r="Q70" s="40" t="s">
        <v>76</v>
      </c>
      <c r="R70" s="40" t="s">
        <v>76</v>
      </c>
      <c r="S70" s="40" t="s">
        <v>76</v>
      </c>
      <c r="T70" s="40" t="s">
        <v>76</v>
      </c>
      <c r="U70" s="40" t="s">
        <v>76</v>
      </c>
      <c r="V70" s="40" t="s">
        <v>76</v>
      </c>
      <c r="W70" s="40" t="s">
        <v>76</v>
      </c>
      <c r="X70" s="40" t="s">
        <v>76</v>
      </c>
      <c r="Y70" s="40" t="s">
        <v>76</v>
      </c>
      <c r="Z70" s="40" t="s">
        <v>76</v>
      </c>
      <c r="AA70" s="40" t="s">
        <v>76</v>
      </c>
      <c r="AB70" s="40" t="s">
        <v>76</v>
      </c>
      <c r="AC70" s="40" t="s">
        <v>76</v>
      </c>
      <c r="AD70" s="40" t="s">
        <v>76</v>
      </c>
      <c r="AE70" s="40" t="s">
        <v>76</v>
      </c>
      <c r="AF70" s="40" t="s">
        <v>76</v>
      </c>
      <c r="AG70" t="str">
        <f>VLOOKUP($Q70,武学奇术!$A:$ZZ,25,FALSE)</f>
        <v>心法</v>
      </c>
      <c r="AH70" s="26">
        <f>VLOOKUP($Q70,武学奇术!$A:$ZZ,26,FALSE)</f>
        <v>0</v>
      </c>
      <c r="AI70" s="27">
        <f>VLOOKUP($Q70,武学奇术!$A:$ZZ,27,FALSE)*(1+IF(OR($AG70=$F$4,$AG70=$F$5),$B$21,0))</f>
        <v>0</v>
      </c>
      <c r="AJ70" s="26">
        <f>VLOOKUP($Q70,武学奇术!$A:$ZZ,28,FALSE)</f>
        <v>0</v>
      </c>
      <c r="AK70" s="27">
        <f>VLOOKUP($Q70,武学奇术!$A:$ZZ,29,FALSE)*(1+IF(OR($AG70=$F$4,$AG70=$F$5),$B$21,0))</f>
        <v>0</v>
      </c>
      <c r="AL70" s="26" cm="1">
        <f t="array" ref="AL70">$G$3+IFERROR(VLOOKUP($AG70,$F$4:$G$7,2,FALSE),0)+VLOOKUP($Q70,武学奇术!$A:$ZZ,2,FALSE)+SUM(_xlfn.XLOOKUP($R70:$AF70,增益!$A:$A,增益!$B:$B,0))</f>
        <v>0.1842</v>
      </c>
      <c r="AM70" s="26" cm="1">
        <f t="array" ref="AM70">VLOOKUP($Q70,武学奇术!$A:$ZZ,5,FALSE)+SUM(_xlfn.XLOOKUP($R70:$AF70,增益!$A:$A,增益!$E:$E,0))</f>
        <v>0</v>
      </c>
      <c r="AN70" cm="1">
        <f t="array" ref="AN70">$D$10*(1+$AM70)+VLOOKUP($Q70,武学奇术!$A:$ZZ,3,FALSE)+SUM(_xlfn.XLOOKUP($R70:$AF70,增益!$A:$A,增益!$C:$C,0))-$I$2</f>
        <v>3940</v>
      </c>
      <c r="AO70" cm="1">
        <f t="array" ref="AO70">$E$10*(1+$AM70)+VLOOKUP($Q70,武学奇术!$A:$ZZ,4,FALSE)+SUM(_xlfn.XLOOKUP($R70:$AF70,增益!$A:$A,增益!$D:$D,0))-$I$2</f>
        <v>3940</v>
      </c>
      <c r="AP70" s="32" cm="1">
        <f t="array" ref="AP70">IF($F$10-$I$3+VLOOKUP($Q70,武学奇术!$A:$ZZ,6,FALSE)+SUM(_xlfn.XLOOKUP(R70:AF70,增益!$A:$A,增益!$F:$F,0))&gt;0,($F$10-$I$3+VLOOKUP($Q70,武学奇术!$A:$ZZ,6,FALSE)+SUM(_xlfn.XLOOKUP(R70:AF70,增益!$A:$A,增益!$F:$F,0)))/200,($F$10-$I$3+VLOOKUP($Q70,武学奇术!$A:$ZZ,6,FALSE)+SUM(_xlfn.XLOOKUP(R70:AF70,增益!$A:$A,增益!$F:$F,0)))/100)</f>
        <v>0.194</v>
      </c>
      <c r="AQ70" s="32" cm="1">
        <f t="array" ref="AQ70">$G$10+VLOOKUP($Q70,武学奇术!$A:$ZZ,7,FALSE)+SUM(_xlfn.XLOOKUP(R70:AF70,增益!$A:$A,增益!$G:$G,0))</f>
        <v>0</v>
      </c>
      <c r="AR70" s="26" cm="1">
        <f t="array" ref="AR70">VLOOKUP($Q70,武学奇术!$A:$ZZ,8,FALSE)+SUM(_xlfn.XLOOKUP(R70:AF70,增益!$A:$A,增益!$H:$H,0))</f>
        <v>0</v>
      </c>
      <c r="AS70">
        <f t="shared" si="12"/>
        <v>0</v>
      </c>
      <c r="AT70">
        <f t="shared" si="13"/>
        <v>0</v>
      </c>
      <c r="AU70" s="32" cm="1">
        <f t="array" ref="AU70">IF($F$11-$I$4+VLOOKUP($Q70,武学奇术!$A:$ZZ,9,FALSE)+SUM(_xlfn.XLOOKUP(R70:AF70,增益!$A:$A,增益!$I:$I,0))&gt;0,($F$11-$I$4+VLOOKUP($Q70,武学奇术!$A:$ZZ,9,FALSE)+SUM(_xlfn.XLOOKUP(R70:AF70,增益!$A:$A,增益!$I:$I,0)))/200,($F$11-$I$4+VLOOKUP($Q70,武学奇术!$A:$ZZ,9,FALSE)+SUM(_xlfn.XLOOKUP(R70:AF70,增益!$A:$A,增益!$I:$I,0)))/100)</f>
        <v>-0.3</v>
      </c>
      <c r="AV70" s="32" cm="1">
        <f t="array" ref="AV70">$G$11+VLOOKUP($Q70,武学奇术!$A:$ZZ,10,FALSE)+SUM(_xlfn.XLOOKUP(R70:AF70,增益!$A:$A,增益!$J:$J,0))</f>
        <v>0</v>
      </c>
      <c r="AW70">
        <f t="shared" si="14"/>
        <v>0</v>
      </c>
      <c r="AX70">
        <f t="shared" si="15"/>
        <v>0</v>
      </c>
      <c r="AY70" s="32" cm="1">
        <f t="array" ref="AY70">IF($F$12-$I$4+VLOOKUP($Q70,武学奇术!$A:$ZZ,11,FALSE)+SUM(_xlfn.XLOOKUP(R70:AF70,增益!$A:$A,增益!$K:$K,0))&gt;0,($F$12-$I$4+VLOOKUP($Q70,武学奇术!$A:$ZZ,11,FALSE)+SUM(_xlfn.XLOOKUP(R70:AF70,增益!$A:$A,增益!$K:$K,0)))/200,($F$12-$I$4+VLOOKUP($Q70,武学奇术!$A:$ZZ,11,FALSE)+SUM(_xlfn.XLOOKUP(R70:AF70,增益!$A:$A,增益!$K:$K,0)))/100)</f>
        <v>-0.3</v>
      </c>
      <c r="AZ70" s="32" cm="1">
        <f t="array" ref="AZ70">$G$12+VLOOKUP($Q70,武学奇术!$A:$ZZ,12,FALSE)+SUM(_xlfn.XLOOKUP(R70:AF70,增益!$A:$A,增益!$L:$L,0))</f>
        <v>0</v>
      </c>
      <c r="BA70">
        <f t="shared" si="16"/>
        <v>697.4</v>
      </c>
      <c r="BB70">
        <f t="shared" si="17"/>
        <v>1805</v>
      </c>
      <c r="BC70" s="32" cm="1">
        <f t="array" ref="BC70">IF($F$13-$I$4+VLOOKUP($Q70,武学奇术!$A:$ZZ,13,FALSE)+SUM(_xlfn.XLOOKUP(R70:AF70,增益!$A:$A,增益!$M:$M,0))&gt;0,($F$13-$I$4+VLOOKUP($Q70,武学奇术!$A:$ZZ,13,FALSE)+SUM(_xlfn.XLOOKUP(R70:AF70,增益!$A:$A,增益!$K:$K,0)))/200,($F$13-$I$4+VLOOKUP($Q70,武学奇术!$A:$ZZ,13,FALSE)+SUM(_xlfn.XLOOKUP(R70:AF70,增益!$A:$A,增益!$M:$M,0)))/100)</f>
        <v>0</v>
      </c>
      <c r="BD70" s="32" cm="1">
        <f t="array" ref="BD70">$G$13+VLOOKUP($Q70,武学奇术!$A:$ZZ,14,FALSE)+SUM(_xlfn.XLOOKUP(R70:AF70,增益!$A:$A,增益!$N:$N,0))</f>
        <v>0.15</v>
      </c>
      <c r="BE70">
        <f t="shared" si="18"/>
        <v>0</v>
      </c>
      <c r="BF70">
        <f t="shared" si="19"/>
        <v>0</v>
      </c>
      <c r="BG70" s="32" cm="1">
        <f t="array" ref="BG70">IF($F$14-$I$4+VLOOKUP($Q70,武学奇术!$A:$ZZ,15,FALSE)+SUM(_xlfn.XLOOKUP(R70:AF70,增益!$A:$A,增益!$O:$O,0))&gt;0,($F$14-$I$4+VLOOKUP($Q70,武学奇术!$A:$ZZ,15,FALSE)+SUM(_xlfn.XLOOKUP(R70:AF70,增益!$A:$A,增益!$O:$O,0)))/200,($F$14-$I$4+VLOOKUP($Q70,武学奇术!$A:$ZZ,15,FALSE)+SUM(_xlfn.XLOOKUP(R70:AF70,增益!$A:$A,增益!$O:$O,0)))/100)</f>
        <v>-0.3</v>
      </c>
      <c r="BH70" s="32" cm="1">
        <f t="array" ref="BH70">$G$14+VLOOKUP($Q70,武学奇术!$A:$ZZ,16,FALSE)+SUM(_xlfn.XLOOKUP(R70:AF70,增益!$A:$A,增益!$P:$P,0))</f>
        <v>0</v>
      </c>
      <c r="BI70" s="26">
        <f>MIN(IF(VLOOKUP($Q70,武学奇术!$A:$ZZ,23,FALSE)=1,100%,$B$8),100%)</f>
        <v>1</v>
      </c>
      <c r="BJ70" s="26" cm="1">
        <f t="array" ref="BJ70">IF(VLOOKUP($Q70,武学奇术!$A:$ZZ,23,FALSE)=1,100%,MIN(80%,$B$9+VLOOKUP($Q70,武学奇术!$A:$ZZ,17,FALSE)+SUM(_xlfn.XLOOKUP(R70:AF70,增益!$A:$A,增益!$Q:$Q,0)))+$B$11+SUM(_xlfn.XLOOKUP(R70:AF70,增益!$A:$A,增益!$U:$U,0)))*IF(VLOOKUP($Q70,武学奇术!$A:$ZZ,24,FALSE)=1,0,1)</f>
        <v>0.8625</v>
      </c>
      <c r="BK70" s="26" cm="1">
        <f t="array" ref="BK70">1+$B$13+VLOOKUP($Q70,武学奇术!$A:$ZZ,18,FALSE)+SUM(_xlfn.XLOOKUP(R70:AF70,增益!$A:$A,增益!$R:$R,0))</f>
        <v>1.5</v>
      </c>
      <c r="BL70" s="26" cm="1">
        <f t="array" ref="BL70">IF(VLOOKUP($Q70,武学奇术!$A:$ZZ,24,FALSE)=1,100%,MIN(40%,$B$10+VLOOKUP($Q70,武学奇术!$A:$ZZ,19,FALSE)+SUM(_xlfn.XLOOKUP(R70:AF70,增益!$A:$A,增益!$S:$S,0)))+$B$12+SUM(_xlfn.XLOOKUP(R70:AF70,增益!$A:$A,增益!$V:$V,0)))*IF(VLOOKUP($Q70,武学奇术!$A:$ZZ,23,FALSE)=1,0,1)</f>
        <v>0.0913</v>
      </c>
      <c r="BM70" s="26" cm="1">
        <f t="array" ref="BM70">1+$B$14+VLOOKUP($Q70,武学奇术!$A:$ZZ,20,FALSE)+SUM(_xlfn.XLOOKUP(R70:AF70,增益!$A:$A,增益!$T:$T,0))</f>
        <v>1.35</v>
      </c>
      <c r="BN70" s="26">
        <f t="shared" si="20"/>
        <v>0.8625</v>
      </c>
      <c r="BO70" s="26">
        <f t="shared" si="21"/>
        <v>0.0462</v>
      </c>
      <c r="BP70" s="26">
        <f>IF(VLOOKUP($Q70,武学奇术!$A:$ZZ,22,FALSE)=1,0,(1-$BI70))*(1-$BL70)</f>
        <v>0</v>
      </c>
      <c r="BQ70" s="26" cm="1">
        <f t="array" ref="BQ70">SUM(_xlfn.XLOOKUP(R70:AF70,增益!$A:$A,增益!$W:$W,0))+$I$5</f>
        <v>0.06</v>
      </c>
    </row>
    <row r="71" spans="1:69">
      <c r="K71" s="38">
        <f t="shared" si="11"/>
        <v>0</v>
      </c>
      <c r="L71" s="38">
        <f>((($AN71+$AO71)/2*$AH71+$AI71)*(1+$AP71)*(1+$AQ71)+(($AS71+$AT71)/2*IF($G$1="鸣金",$AJ71,$AH71)+IF($G$1="鸣金",$AK71*1.5,0))*(1+$AU71)*(1+$AV71)+(($AW71+$AX71)/2*IF($G$1="裂石",$AJ71,$AH71)+IF($G$1="裂石",$AK71*1.5,0))*(1+$AY71)*(1+$AZ71)+(($BA71+$BB71)/2*IF($G$1="牵丝",$AJ71,$AH71)+IF($G$1="牵丝",$AK71*1.5,0))*(1+$BC71)*(1+$BD71)+(($BE71+$BF71)/2*IF($G$1="破竹",$AJ71,$AH71)+IF($G$1="破竹",$AK71*1.5,0))*(1+$BG71)*(1+$BH71))*(1+$AL71)*$BK71*$P71*(1+IF(VLOOKUP($Q71,武学奇术!$A:$ZZ,30,FALSE)="蓄力技",#REF!,0))*(1+$BQ71)</f>
        <v>0</v>
      </c>
      <c r="M71" s="38">
        <f>(($AO71*$AH71+$AI71)*(1+$AP71)*(1+$AQ71)+($AT71*IF($G$1="鸣金",$AJ71,$AH71)+IF($G$1="鸣金",$AK71*1.5,0))*(1+$AU71)*(1+$AV71)+($AX71*IF($G$1="裂石",$AJ71,$AH71)+IF($G$1="裂石",$AK71*1.5,0))*(1+$AY71)*(1+$AZ71)+($BB71*IF($G$1="牵丝",$AJ71,$AH71)+IF($G$1="牵丝",$AK71*1.5,0))*(1+$BC71)*(1+$BD71)+($BF71*IF($G$1="破竹",$AJ71,$AH71)+IF($G$1="破竹",$AK71*1.5,0))*(1+$BG71)*(1+$BH71))*(1+$AL71)*$BM71*$P71*(1+IF(VLOOKUP($Q71,武学奇术!$A:$ZZ,30,FALSE)="蓄力技",#REF!,0))*(1+$BQ71)</f>
        <v>0</v>
      </c>
      <c r="N71" s="38">
        <f>((($AN71+$AO71)/2*$AH71+$AI71)*(1+$AP71)*(1+$AQ71)+(($AS71+$AT71)/2*IF($G$1="鸣金",$AJ71,$AH71)+IF($G$1="鸣金",$AK71*1.5,0))*(1+$AU71)*(1+$AV71)+(($AW71+$AX71)/2*IF($G$1="裂石",$AJ71,$AH71)+IF($G$1="裂石",$AK71*1.5,0))*(1+$AY71)*(1+$AZ71)+(($BA71+$BB71)/2*IF($G$1="牵丝",$AJ71,$AH71)+IF($G$1="牵丝",$AK71*1.5,0))*(1+$BC71)*(1+$BD71)+(($BE71+$BF71)/2*IF($G$1="破竹",$AJ71,$AH71)+IF($G$1="破竹",$AK71*1.5,0))*(1+$BG71)*(1+$BH71))*(1+$AL71)*$P71*(1+IF(VLOOKUP($Q71,武学奇术!$A:$ZZ,30,FALSE)="蓄力技",#REF!,0))*(1+$BQ71)</f>
        <v>0</v>
      </c>
      <c r="O71" s="38">
        <f>((($AN71*$AH71+$AI71)*(1+$AP71)*(1+$AQ71)+($AS71*IF($G$1="鸣金",$AJ71,$AH71)+IF($G$1="鸣金",$AK71*1.5,0))*(1+$AU71)*(1+$AV71)+($AW71*IF($G$1="裂石",$AJ71,$AH71)+IF($G$1="裂石",$AK71*1.5,0))*(1+$AY71)*(1+$AZ71)+($BA71*IF($G$1="牵丝",$AJ71,$AH71)+IF($G$1="牵丝",$AK71*1.5,0))*(1+$BC71)*(1+$BD71)+($BE71*IF($G$1="破竹",$AJ71,$AH71)+IF($G$1="破竹",$AK71*1.5,0))*(1+$BG71)*(1+$BH71))*(1+$AL71))*$P71*(1+IF(VLOOKUP($Q71,武学奇术!$A:$ZZ,30,FALSE)="蓄力技",#REF!,0))*(1+$BQ71)</f>
        <v>0</v>
      </c>
      <c r="P71" s="39">
        <v>1</v>
      </c>
      <c r="Q71" s="40" t="s">
        <v>76</v>
      </c>
      <c r="R71" s="40" t="s">
        <v>76</v>
      </c>
      <c r="S71" s="40" t="s">
        <v>76</v>
      </c>
      <c r="T71" s="40" t="s">
        <v>76</v>
      </c>
      <c r="U71" s="40" t="s">
        <v>76</v>
      </c>
      <c r="V71" s="40" t="s">
        <v>76</v>
      </c>
      <c r="W71" s="40" t="s">
        <v>76</v>
      </c>
      <c r="X71" s="40" t="s">
        <v>76</v>
      </c>
      <c r="Y71" s="40" t="s">
        <v>76</v>
      </c>
      <c r="Z71" s="40" t="s">
        <v>76</v>
      </c>
      <c r="AA71" s="40" t="s">
        <v>76</v>
      </c>
      <c r="AB71" s="40" t="s">
        <v>76</v>
      </c>
      <c r="AC71" s="40" t="s">
        <v>76</v>
      </c>
      <c r="AD71" s="40" t="s">
        <v>76</v>
      </c>
      <c r="AE71" s="40" t="s">
        <v>76</v>
      </c>
      <c r="AF71" s="40" t="s">
        <v>76</v>
      </c>
      <c r="AG71" t="str">
        <f>VLOOKUP($Q71,武学奇术!$A:$ZZ,25,FALSE)</f>
        <v>心法</v>
      </c>
      <c r="AH71" s="26">
        <f>VLOOKUP($Q71,武学奇术!$A:$ZZ,26,FALSE)</f>
        <v>0</v>
      </c>
      <c r="AI71" s="27">
        <f>VLOOKUP($Q71,武学奇术!$A:$ZZ,27,FALSE)*(1+IF(OR($AG71=$F$4,$AG71=$F$5),$B$21,0))</f>
        <v>0</v>
      </c>
      <c r="AJ71" s="26">
        <f>VLOOKUP($Q71,武学奇术!$A:$ZZ,28,FALSE)</f>
        <v>0</v>
      </c>
      <c r="AK71" s="27">
        <f>VLOOKUP($Q71,武学奇术!$A:$ZZ,29,FALSE)*(1+IF(OR($AG71=$F$4,$AG71=$F$5),$B$21,0))</f>
        <v>0</v>
      </c>
      <c r="AL71" s="26" cm="1">
        <f t="array" ref="AL71">$G$3+IFERROR(VLOOKUP($AG71,$F$4:$G$7,2,FALSE),0)+VLOOKUP($Q71,武学奇术!$A:$ZZ,2,FALSE)+SUM(_xlfn.XLOOKUP($R71:$AF71,增益!$A:$A,增益!$B:$B,0))</f>
        <v>0.1842</v>
      </c>
      <c r="AM71" s="26" cm="1">
        <f t="array" ref="AM71">VLOOKUP($Q71,武学奇术!$A:$ZZ,5,FALSE)+SUM(_xlfn.XLOOKUP($R71:$AF71,增益!$A:$A,增益!$E:$E,0))</f>
        <v>0</v>
      </c>
      <c r="AN71" cm="1">
        <f t="array" ref="AN71">$D$10*(1+$AM71)+VLOOKUP($Q71,武学奇术!$A:$ZZ,3,FALSE)+SUM(_xlfn.XLOOKUP($R71:$AF71,增益!$A:$A,增益!$C:$C,0))-$I$2</f>
        <v>3940</v>
      </c>
      <c r="AO71" cm="1">
        <f t="array" ref="AO71">$E$10*(1+$AM71)+VLOOKUP($Q71,武学奇术!$A:$ZZ,4,FALSE)+SUM(_xlfn.XLOOKUP($R71:$AF71,增益!$A:$A,增益!$D:$D,0))-$I$2</f>
        <v>3940</v>
      </c>
      <c r="AP71" s="32" cm="1">
        <f t="array" ref="AP71">IF($F$10-$I$3+VLOOKUP($Q71,武学奇术!$A:$ZZ,6,FALSE)+SUM(_xlfn.XLOOKUP(R71:AF71,增益!$A:$A,增益!$F:$F,0))&gt;0,($F$10-$I$3+VLOOKUP($Q71,武学奇术!$A:$ZZ,6,FALSE)+SUM(_xlfn.XLOOKUP(R71:AF71,增益!$A:$A,增益!$F:$F,0)))/200,($F$10-$I$3+VLOOKUP($Q71,武学奇术!$A:$ZZ,6,FALSE)+SUM(_xlfn.XLOOKUP(R71:AF71,增益!$A:$A,增益!$F:$F,0)))/100)</f>
        <v>0.194</v>
      </c>
      <c r="AQ71" s="32" cm="1">
        <f t="array" ref="AQ71">$G$10+VLOOKUP($Q71,武学奇术!$A:$ZZ,7,FALSE)+SUM(_xlfn.XLOOKUP(R71:AF71,增益!$A:$A,增益!$G:$G,0))</f>
        <v>0</v>
      </c>
      <c r="AR71" s="26" cm="1">
        <f t="array" ref="AR71">VLOOKUP($Q71,武学奇术!$A:$ZZ,8,FALSE)+SUM(_xlfn.XLOOKUP(R71:AF71,增益!$A:$A,增益!$H:$H,0))</f>
        <v>0</v>
      </c>
      <c r="AS71">
        <f t="shared" si="12"/>
        <v>0</v>
      </c>
      <c r="AT71">
        <f t="shared" si="13"/>
        <v>0</v>
      </c>
      <c r="AU71" s="32" cm="1">
        <f t="array" ref="AU71">IF($F$11-$I$4+VLOOKUP($Q71,武学奇术!$A:$ZZ,9,FALSE)+SUM(_xlfn.XLOOKUP(R71:AF71,增益!$A:$A,增益!$I:$I,0))&gt;0,($F$11-$I$4+VLOOKUP($Q71,武学奇术!$A:$ZZ,9,FALSE)+SUM(_xlfn.XLOOKUP(R71:AF71,增益!$A:$A,增益!$I:$I,0)))/200,($F$11-$I$4+VLOOKUP($Q71,武学奇术!$A:$ZZ,9,FALSE)+SUM(_xlfn.XLOOKUP(R71:AF71,增益!$A:$A,增益!$I:$I,0)))/100)</f>
        <v>-0.3</v>
      </c>
      <c r="AV71" s="32" cm="1">
        <f t="array" ref="AV71">$G$11+VLOOKUP($Q71,武学奇术!$A:$ZZ,10,FALSE)+SUM(_xlfn.XLOOKUP(R71:AF71,增益!$A:$A,增益!$J:$J,0))</f>
        <v>0</v>
      </c>
      <c r="AW71">
        <f t="shared" si="14"/>
        <v>0</v>
      </c>
      <c r="AX71">
        <f t="shared" si="15"/>
        <v>0</v>
      </c>
      <c r="AY71" s="32" cm="1">
        <f t="array" ref="AY71">IF($F$12-$I$4+VLOOKUP($Q71,武学奇术!$A:$ZZ,11,FALSE)+SUM(_xlfn.XLOOKUP(R71:AF71,增益!$A:$A,增益!$K:$K,0))&gt;0,($F$12-$I$4+VLOOKUP($Q71,武学奇术!$A:$ZZ,11,FALSE)+SUM(_xlfn.XLOOKUP(R71:AF71,增益!$A:$A,增益!$K:$K,0)))/200,($F$12-$I$4+VLOOKUP($Q71,武学奇术!$A:$ZZ,11,FALSE)+SUM(_xlfn.XLOOKUP(R71:AF71,增益!$A:$A,增益!$K:$K,0)))/100)</f>
        <v>-0.3</v>
      </c>
      <c r="AZ71" s="32" cm="1">
        <f t="array" ref="AZ71">$G$12+VLOOKUP($Q71,武学奇术!$A:$ZZ,12,FALSE)+SUM(_xlfn.XLOOKUP(R71:AF71,增益!$A:$A,增益!$L:$L,0))</f>
        <v>0</v>
      </c>
      <c r="BA71">
        <f t="shared" si="16"/>
        <v>697.4</v>
      </c>
      <c r="BB71">
        <f t="shared" si="17"/>
        <v>1805</v>
      </c>
      <c r="BC71" s="32" cm="1">
        <f t="array" ref="BC71">IF($F$13-$I$4+VLOOKUP($Q71,武学奇术!$A:$ZZ,13,FALSE)+SUM(_xlfn.XLOOKUP(R71:AF71,增益!$A:$A,增益!$M:$M,0))&gt;0,($F$13-$I$4+VLOOKUP($Q71,武学奇术!$A:$ZZ,13,FALSE)+SUM(_xlfn.XLOOKUP(R71:AF71,增益!$A:$A,增益!$K:$K,0)))/200,($F$13-$I$4+VLOOKUP($Q71,武学奇术!$A:$ZZ,13,FALSE)+SUM(_xlfn.XLOOKUP(R71:AF71,增益!$A:$A,增益!$M:$M,0)))/100)</f>
        <v>0</v>
      </c>
      <c r="BD71" s="32" cm="1">
        <f t="array" ref="BD71">$G$13+VLOOKUP($Q71,武学奇术!$A:$ZZ,14,FALSE)+SUM(_xlfn.XLOOKUP(R71:AF71,增益!$A:$A,增益!$N:$N,0))</f>
        <v>0.15</v>
      </c>
      <c r="BE71">
        <f t="shared" si="18"/>
        <v>0</v>
      </c>
      <c r="BF71">
        <f t="shared" si="19"/>
        <v>0</v>
      </c>
      <c r="BG71" s="32" cm="1">
        <f t="array" ref="BG71">IF($F$14-$I$4+VLOOKUP($Q71,武学奇术!$A:$ZZ,15,FALSE)+SUM(_xlfn.XLOOKUP(R71:AF71,增益!$A:$A,增益!$O:$O,0))&gt;0,($F$14-$I$4+VLOOKUP($Q71,武学奇术!$A:$ZZ,15,FALSE)+SUM(_xlfn.XLOOKUP(R71:AF71,增益!$A:$A,增益!$O:$O,0)))/200,($F$14-$I$4+VLOOKUP($Q71,武学奇术!$A:$ZZ,15,FALSE)+SUM(_xlfn.XLOOKUP(R71:AF71,增益!$A:$A,增益!$O:$O,0)))/100)</f>
        <v>-0.3</v>
      </c>
      <c r="BH71" s="32" cm="1">
        <f t="array" ref="BH71">$G$14+VLOOKUP($Q71,武学奇术!$A:$ZZ,16,FALSE)+SUM(_xlfn.XLOOKUP(R71:AF71,增益!$A:$A,增益!$P:$P,0))</f>
        <v>0</v>
      </c>
      <c r="BI71" s="26">
        <f>MIN(IF(VLOOKUP($Q71,武学奇术!$A:$ZZ,23,FALSE)=1,100%,$B$8),100%)</f>
        <v>1</v>
      </c>
      <c r="BJ71" s="26" cm="1">
        <f t="array" ref="BJ71">IF(VLOOKUP($Q71,武学奇术!$A:$ZZ,23,FALSE)=1,100%,MIN(80%,$B$9+VLOOKUP($Q71,武学奇术!$A:$ZZ,17,FALSE)+SUM(_xlfn.XLOOKUP(R71:AF71,增益!$A:$A,增益!$Q:$Q,0)))+$B$11+SUM(_xlfn.XLOOKUP(R71:AF71,增益!$A:$A,增益!$U:$U,0)))*IF(VLOOKUP($Q71,武学奇术!$A:$ZZ,24,FALSE)=1,0,1)</f>
        <v>0.8625</v>
      </c>
      <c r="BK71" s="26" cm="1">
        <f t="array" ref="BK71">1+$B$13+VLOOKUP($Q71,武学奇术!$A:$ZZ,18,FALSE)+SUM(_xlfn.XLOOKUP(R71:AF71,增益!$A:$A,增益!$R:$R,0))</f>
        <v>1.5</v>
      </c>
      <c r="BL71" s="26" cm="1">
        <f t="array" ref="BL71">IF(VLOOKUP($Q71,武学奇术!$A:$ZZ,24,FALSE)=1,100%,MIN(40%,$B$10+VLOOKUP($Q71,武学奇术!$A:$ZZ,19,FALSE)+SUM(_xlfn.XLOOKUP(R71:AF71,增益!$A:$A,增益!$S:$S,0)))+$B$12+SUM(_xlfn.XLOOKUP(R71:AF71,增益!$A:$A,增益!$V:$V,0)))*IF(VLOOKUP($Q71,武学奇术!$A:$ZZ,23,FALSE)=1,0,1)</f>
        <v>0.0913</v>
      </c>
      <c r="BM71" s="26" cm="1">
        <f t="array" ref="BM71">1+$B$14+VLOOKUP($Q71,武学奇术!$A:$ZZ,20,FALSE)+SUM(_xlfn.XLOOKUP(R71:AF71,增益!$A:$A,增益!$T:$T,0))</f>
        <v>1.35</v>
      </c>
      <c r="BN71" s="26">
        <f t="shared" si="20"/>
        <v>0.8625</v>
      </c>
      <c r="BO71" s="26">
        <f t="shared" si="21"/>
        <v>0.0462</v>
      </c>
      <c r="BP71" s="26">
        <f>IF(VLOOKUP($Q71,武学奇术!$A:$ZZ,22,FALSE)=1,0,(1-$BI71))*(1-$BL71)</f>
        <v>0</v>
      </c>
      <c r="BQ71" s="26" cm="1">
        <f t="array" ref="BQ71">SUM(_xlfn.XLOOKUP(R71:AF71,增益!$A:$A,增益!$W:$W,0))+$I$5</f>
        <v>0.06</v>
      </c>
    </row>
    <row r="72" spans="1:69">
      <c r="K72" s="38">
        <f t="shared" si="11"/>
        <v>0</v>
      </c>
      <c r="L72" s="38">
        <f>((($AN72+$AO72)/2*$AH72+$AI72)*(1+$AP72)*(1+$AQ72)+(($AS72+$AT72)/2*IF($G$1="鸣金",$AJ72,$AH72)+IF($G$1="鸣金",$AK72*1.5,0))*(1+$AU72)*(1+$AV72)+(($AW72+$AX72)/2*IF($G$1="裂石",$AJ72,$AH72)+IF($G$1="裂石",$AK72*1.5,0))*(1+$AY72)*(1+$AZ72)+(($BA72+$BB72)/2*IF($G$1="牵丝",$AJ72,$AH72)+IF($G$1="牵丝",$AK72*1.5,0))*(1+$BC72)*(1+$BD72)+(($BE72+$BF72)/2*IF($G$1="破竹",$AJ72,$AH72)+IF($G$1="破竹",$AK72*1.5,0))*(1+$BG72)*(1+$BH72))*(1+$AL72)*$BK72*$P72*(1+IF(VLOOKUP($Q72,武学奇术!$A:$ZZ,30,FALSE)="蓄力技",#REF!,0))*(1+$BQ72)</f>
        <v>0</v>
      </c>
      <c r="M72" s="38">
        <f>(($AO72*$AH72+$AI72)*(1+$AP72)*(1+$AQ72)+($AT72*IF($G$1="鸣金",$AJ72,$AH72)+IF($G$1="鸣金",$AK72*1.5,0))*(1+$AU72)*(1+$AV72)+($AX72*IF($G$1="裂石",$AJ72,$AH72)+IF($G$1="裂石",$AK72*1.5,0))*(1+$AY72)*(1+$AZ72)+($BB72*IF($G$1="牵丝",$AJ72,$AH72)+IF($G$1="牵丝",$AK72*1.5,0))*(1+$BC72)*(1+$BD72)+($BF72*IF($G$1="破竹",$AJ72,$AH72)+IF($G$1="破竹",$AK72*1.5,0))*(1+$BG72)*(1+$BH72))*(1+$AL72)*$BM72*$P72*(1+IF(VLOOKUP($Q72,武学奇术!$A:$ZZ,30,FALSE)="蓄力技",#REF!,0))*(1+$BQ72)</f>
        <v>0</v>
      </c>
      <c r="N72" s="38">
        <f>((($AN72+$AO72)/2*$AH72+$AI72)*(1+$AP72)*(1+$AQ72)+(($AS72+$AT72)/2*IF($G$1="鸣金",$AJ72,$AH72)+IF($G$1="鸣金",$AK72*1.5,0))*(1+$AU72)*(1+$AV72)+(($AW72+$AX72)/2*IF($G$1="裂石",$AJ72,$AH72)+IF($G$1="裂石",$AK72*1.5,0))*(1+$AY72)*(1+$AZ72)+(($BA72+$BB72)/2*IF($G$1="牵丝",$AJ72,$AH72)+IF($G$1="牵丝",$AK72*1.5,0))*(1+$BC72)*(1+$BD72)+(($BE72+$BF72)/2*IF($G$1="破竹",$AJ72,$AH72)+IF($G$1="破竹",$AK72*1.5,0))*(1+$BG72)*(1+$BH72))*(1+$AL72)*$P72*(1+IF(VLOOKUP($Q72,武学奇术!$A:$ZZ,30,FALSE)="蓄力技",#REF!,0))*(1+$BQ72)</f>
        <v>0</v>
      </c>
      <c r="O72" s="38">
        <f>((($AN72*$AH72+$AI72)*(1+$AP72)*(1+$AQ72)+($AS72*IF($G$1="鸣金",$AJ72,$AH72)+IF($G$1="鸣金",$AK72*1.5,0))*(1+$AU72)*(1+$AV72)+($AW72*IF($G$1="裂石",$AJ72,$AH72)+IF($G$1="裂石",$AK72*1.5,0))*(1+$AY72)*(1+$AZ72)+($BA72*IF($G$1="牵丝",$AJ72,$AH72)+IF($G$1="牵丝",$AK72*1.5,0))*(1+$BC72)*(1+$BD72)+($BE72*IF($G$1="破竹",$AJ72,$AH72)+IF($G$1="破竹",$AK72*1.5,0))*(1+$BG72)*(1+$BH72))*(1+$AL72))*$P72*(1+IF(VLOOKUP($Q72,武学奇术!$A:$ZZ,30,FALSE)="蓄力技",#REF!,0))*(1+$BQ72)</f>
        <v>0</v>
      </c>
      <c r="P72" s="39">
        <v>1</v>
      </c>
      <c r="Q72" s="40" t="s">
        <v>76</v>
      </c>
      <c r="R72" s="40" t="s">
        <v>76</v>
      </c>
      <c r="S72" s="40" t="s">
        <v>76</v>
      </c>
      <c r="T72" s="40" t="s">
        <v>76</v>
      </c>
      <c r="U72" s="40" t="s">
        <v>76</v>
      </c>
      <c r="V72" s="40" t="s">
        <v>76</v>
      </c>
      <c r="W72" s="40" t="s">
        <v>76</v>
      </c>
      <c r="X72" s="40" t="s">
        <v>76</v>
      </c>
      <c r="Y72" s="40" t="s">
        <v>76</v>
      </c>
      <c r="Z72" s="40" t="s">
        <v>76</v>
      </c>
      <c r="AA72" s="40" t="s">
        <v>76</v>
      </c>
      <c r="AB72" s="40" t="s">
        <v>76</v>
      </c>
      <c r="AC72" s="40" t="s">
        <v>76</v>
      </c>
      <c r="AD72" s="40" t="s">
        <v>76</v>
      </c>
      <c r="AE72" s="40" t="s">
        <v>76</v>
      </c>
      <c r="AF72" s="40" t="s">
        <v>76</v>
      </c>
      <c r="AG72" t="str">
        <f>VLOOKUP($Q72,武学奇术!$A:$ZZ,25,FALSE)</f>
        <v>心法</v>
      </c>
      <c r="AH72" s="26">
        <f>VLOOKUP($Q72,武学奇术!$A:$ZZ,26,FALSE)</f>
        <v>0</v>
      </c>
      <c r="AI72" s="27">
        <f>VLOOKUP($Q72,武学奇术!$A:$ZZ,27,FALSE)*(1+IF(OR($AG72=$F$4,$AG72=$F$5),$B$21,0))</f>
        <v>0</v>
      </c>
      <c r="AJ72" s="26">
        <f>VLOOKUP($Q72,武学奇术!$A:$ZZ,28,FALSE)</f>
        <v>0</v>
      </c>
      <c r="AK72" s="27">
        <f>VLOOKUP($Q72,武学奇术!$A:$ZZ,29,FALSE)*(1+IF(OR($AG72=$F$4,$AG72=$F$5),$B$21,0))</f>
        <v>0</v>
      </c>
      <c r="AL72" s="26" cm="1">
        <f t="array" ref="AL72">$G$3+IFERROR(VLOOKUP($AG72,$F$4:$G$7,2,FALSE),0)+VLOOKUP($Q72,武学奇术!$A:$ZZ,2,FALSE)+SUM(_xlfn.XLOOKUP($R72:$AF72,增益!$A:$A,增益!$B:$B,0))</f>
        <v>0.1842</v>
      </c>
      <c r="AM72" s="26" cm="1">
        <f t="array" ref="AM72">VLOOKUP($Q72,武学奇术!$A:$ZZ,5,FALSE)+SUM(_xlfn.XLOOKUP($R72:$AF72,增益!$A:$A,增益!$E:$E,0))</f>
        <v>0</v>
      </c>
      <c r="AN72" cm="1">
        <f t="array" ref="AN72">$D$10*(1+$AM72)+VLOOKUP($Q72,武学奇术!$A:$ZZ,3,FALSE)+SUM(_xlfn.XLOOKUP($R72:$AF72,增益!$A:$A,增益!$C:$C,0))-$I$2</f>
        <v>3940</v>
      </c>
      <c r="AO72" cm="1">
        <f t="array" ref="AO72">$E$10*(1+$AM72)+VLOOKUP($Q72,武学奇术!$A:$ZZ,4,FALSE)+SUM(_xlfn.XLOOKUP($R72:$AF72,增益!$A:$A,增益!$D:$D,0))-$I$2</f>
        <v>3940</v>
      </c>
      <c r="AP72" s="32" cm="1">
        <f t="array" ref="AP72">IF($F$10-$I$3+VLOOKUP($Q72,武学奇术!$A:$ZZ,6,FALSE)+SUM(_xlfn.XLOOKUP(R72:AF72,增益!$A:$A,增益!$F:$F,0))&gt;0,($F$10-$I$3+VLOOKUP($Q72,武学奇术!$A:$ZZ,6,FALSE)+SUM(_xlfn.XLOOKUP(R72:AF72,增益!$A:$A,增益!$F:$F,0)))/200,($F$10-$I$3+VLOOKUP($Q72,武学奇术!$A:$ZZ,6,FALSE)+SUM(_xlfn.XLOOKUP(R72:AF72,增益!$A:$A,增益!$F:$F,0)))/100)</f>
        <v>0.194</v>
      </c>
      <c r="AQ72" s="32" cm="1">
        <f t="array" ref="AQ72">$G$10+VLOOKUP($Q72,武学奇术!$A:$ZZ,7,FALSE)+SUM(_xlfn.XLOOKUP(R72:AF72,增益!$A:$A,增益!$G:$G,0))</f>
        <v>0</v>
      </c>
      <c r="AR72" s="26" cm="1">
        <f t="array" ref="AR72">VLOOKUP($Q72,武学奇术!$A:$ZZ,8,FALSE)+SUM(_xlfn.XLOOKUP(R72:AF72,增益!$A:$A,增益!$H:$H,0))</f>
        <v>0</v>
      </c>
      <c r="AS72">
        <f t="shared" si="12"/>
        <v>0</v>
      </c>
      <c r="AT72">
        <f t="shared" si="13"/>
        <v>0</v>
      </c>
      <c r="AU72" s="32" cm="1">
        <f t="array" ref="AU72">IF($F$11-$I$4+VLOOKUP($Q72,武学奇术!$A:$ZZ,9,FALSE)+SUM(_xlfn.XLOOKUP(R72:AF72,增益!$A:$A,增益!$I:$I,0))&gt;0,($F$11-$I$4+VLOOKUP($Q72,武学奇术!$A:$ZZ,9,FALSE)+SUM(_xlfn.XLOOKUP(R72:AF72,增益!$A:$A,增益!$I:$I,0)))/200,($F$11-$I$4+VLOOKUP($Q72,武学奇术!$A:$ZZ,9,FALSE)+SUM(_xlfn.XLOOKUP(R72:AF72,增益!$A:$A,增益!$I:$I,0)))/100)</f>
        <v>-0.3</v>
      </c>
      <c r="AV72" s="32" cm="1">
        <f t="array" ref="AV72">$G$11+VLOOKUP($Q72,武学奇术!$A:$ZZ,10,FALSE)+SUM(_xlfn.XLOOKUP(R72:AF72,增益!$A:$A,增益!$J:$J,0))</f>
        <v>0</v>
      </c>
      <c r="AW72">
        <f t="shared" si="14"/>
        <v>0</v>
      </c>
      <c r="AX72">
        <f t="shared" si="15"/>
        <v>0</v>
      </c>
      <c r="AY72" s="32" cm="1">
        <f t="array" ref="AY72">IF($F$12-$I$4+VLOOKUP($Q72,武学奇术!$A:$ZZ,11,FALSE)+SUM(_xlfn.XLOOKUP(R72:AF72,增益!$A:$A,增益!$K:$K,0))&gt;0,($F$12-$I$4+VLOOKUP($Q72,武学奇术!$A:$ZZ,11,FALSE)+SUM(_xlfn.XLOOKUP(R72:AF72,增益!$A:$A,增益!$K:$K,0)))/200,($F$12-$I$4+VLOOKUP($Q72,武学奇术!$A:$ZZ,11,FALSE)+SUM(_xlfn.XLOOKUP(R72:AF72,增益!$A:$A,增益!$K:$K,0)))/100)</f>
        <v>-0.3</v>
      </c>
      <c r="AZ72" s="32" cm="1">
        <f t="array" ref="AZ72">$G$12+VLOOKUP($Q72,武学奇术!$A:$ZZ,12,FALSE)+SUM(_xlfn.XLOOKUP(R72:AF72,增益!$A:$A,增益!$L:$L,0))</f>
        <v>0</v>
      </c>
      <c r="BA72">
        <f t="shared" si="16"/>
        <v>697.4</v>
      </c>
      <c r="BB72">
        <f t="shared" si="17"/>
        <v>1805</v>
      </c>
      <c r="BC72" s="32" cm="1">
        <f t="array" ref="BC72">IF($F$13-$I$4+VLOOKUP($Q72,武学奇术!$A:$ZZ,13,FALSE)+SUM(_xlfn.XLOOKUP(R72:AF72,增益!$A:$A,增益!$M:$M,0))&gt;0,($F$13-$I$4+VLOOKUP($Q72,武学奇术!$A:$ZZ,13,FALSE)+SUM(_xlfn.XLOOKUP(R72:AF72,增益!$A:$A,增益!$K:$K,0)))/200,($F$13-$I$4+VLOOKUP($Q72,武学奇术!$A:$ZZ,13,FALSE)+SUM(_xlfn.XLOOKUP(R72:AF72,增益!$A:$A,增益!$M:$M,0)))/100)</f>
        <v>0</v>
      </c>
      <c r="BD72" s="32" cm="1">
        <f t="array" ref="BD72">$G$13+VLOOKUP($Q72,武学奇术!$A:$ZZ,14,FALSE)+SUM(_xlfn.XLOOKUP(R72:AF72,增益!$A:$A,增益!$N:$N,0))</f>
        <v>0.15</v>
      </c>
      <c r="BE72">
        <f t="shared" si="18"/>
        <v>0</v>
      </c>
      <c r="BF72">
        <f t="shared" si="19"/>
        <v>0</v>
      </c>
      <c r="BG72" s="32" cm="1">
        <f t="array" ref="BG72">IF($F$14-$I$4+VLOOKUP($Q72,武学奇术!$A:$ZZ,15,FALSE)+SUM(_xlfn.XLOOKUP(R72:AF72,增益!$A:$A,增益!$O:$O,0))&gt;0,($F$14-$I$4+VLOOKUP($Q72,武学奇术!$A:$ZZ,15,FALSE)+SUM(_xlfn.XLOOKUP(R72:AF72,增益!$A:$A,增益!$O:$O,0)))/200,($F$14-$I$4+VLOOKUP($Q72,武学奇术!$A:$ZZ,15,FALSE)+SUM(_xlfn.XLOOKUP(R72:AF72,增益!$A:$A,增益!$O:$O,0)))/100)</f>
        <v>-0.3</v>
      </c>
      <c r="BH72" s="32" cm="1">
        <f t="array" ref="BH72">$G$14+VLOOKUP($Q72,武学奇术!$A:$ZZ,16,FALSE)+SUM(_xlfn.XLOOKUP(R72:AF72,增益!$A:$A,增益!$P:$P,0))</f>
        <v>0</v>
      </c>
      <c r="BI72" s="26">
        <f>MIN(IF(VLOOKUP($Q72,武学奇术!$A:$ZZ,23,FALSE)=1,100%,$B$8),100%)</f>
        <v>1</v>
      </c>
      <c r="BJ72" s="26" cm="1">
        <f t="array" ref="BJ72">IF(VLOOKUP($Q72,武学奇术!$A:$ZZ,23,FALSE)=1,100%,MIN(80%,$B$9+VLOOKUP($Q72,武学奇术!$A:$ZZ,17,FALSE)+SUM(_xlfn.XLOOKUP(R72:AF72,增益!$A:$A,增益!$Q:$Q,0)))+$B$11+SUM(_xlfn.XLOOKUP(R72:AF72,增益!$A:$A,增益!$U:$U,0)))*IF(VLOOKUP($Q72,武学奇术!$A:$ZZ,24,FALSE)=1,0,1)</f>
        <v>0.8625</v>
      </c>
      <c r="BK72" s="26" cm="1">
        <f t="array" ref="BK72">1+$B$13+VLOOKUP($Q72,武学奇术!$A:$ZZ,18,FALSE)+SUM(_xlfn.XLOOKUP(R72:AF72,增益!$A:$A,增益!$R:$R,0))</f>
        <v>1.5</v>
      </c>
      <c r="BL72" s="26" cm="1">
        <f t="array" ref="BL72">IF(VLOOKUP($Q72,武学奇术!$A:$ZZ,24,FALSE)=1,100%,MIN(40%,$B$10+VLOOKUP($Q72,武学奇术!$A:$ZZ,19,FALSE)+SUM(_xlfn.XLOOKUP(R72:AF72,增益!$A:$A,增益!$S:$S,0)))+$B$12+SUM(_xlfn.XLOOKUP(R72:AF72,增益!$A:$A,增益!$V:$V,0)))*IF(VLOOKUP($Q72,武学奇术!$A:$ZZ,23,FALSE)=1,0,1)</f>
        <v>0.0913</v>
      </c>
      <c r="BM72" s="26" cm="1">
        <f t="array" ref="BM72">1+$B$14+VLOOKUP($Q72,武学奇术!$A:$ZZ,20,FALSE)+SUM(_xlfn.XLOOKUP(R72:AF72,增益!$A:$A,增益!$T:$T,0))</f>
        <v>1.35</v>
      </c>
      <c r="BN72" s="26">
        <f t="shared" si="20"/>
        <v>0.8625</v>
      </c>
      <c r="BO72" s="26">
        <f t="shared" si="21"/>
        <v>0.0462</v>
      </c>
      <c r="BP72" s="26">
        <f>IF(VLOOKUP($Q72,武学奇术!$A:$ZZ,22,FALSE)=1,0,(1-$BI72))*(1-$BL72)</f>
        <v>0</v>
      </c>
      <c r="BQ72" s="26" cm="1">
        <f t="array" ref="BQ72">SUM(_xlfn.XLOOKUP(R72:AF72,增益!$A:$A,增益!$W:$W,0))+$I$5</f>
        <v>0.06</v>
      </c>
    </row>
    <row r="73" spans="1:69">
      <c r="K73" s="38">
        <f t="shared" si="11"/>
        <v>0</v>
      </c>
      <c r="L73" s="38">
        <f>((($AN73+$AO73)/2*$AH73+$AI73)*(1+$AP73)*(1+$AQ73)+(($AS73+$AT73)/2*IF($G$1="鸣金",$AJ73,$AH73)+IF($G$1="鸣金",$AK73*1.5,0))*(1+$AU73)*(1+$AV73)+(($AW73+$AX73)/2*IF($G$1="裂石",$AJ73,$AH73)+IF($G$1="裂石",$AK73*1.5,0))*(1+$AY73)*(1+$AZ73)+(($BA73+$BB73)/2*IF($G$1="牵丝",$AJ73,$AH73)+IF($G$1="牵丝",$AK73*1.5,0))*(1+$BC73)*(1+$BD73)+(($BE73+$BF73)/2*IF($G$1="破竹",$AJ73,$AH73)+IF($G$1="破竹",$AK73*1.5,0))*(1+$BG73)*(1+$BH73))*(1+$AL73)*$BK73*$P73*(1+IF(VLOOKUP($Q73,武学奇术!$A:$ZZ,30,FALSE)="蓄力技",#REF!,0))*(1+$BQ73)</f>
        <v>0</v>
      </c>
      <c r="M73" s="38">
        <f>(($AO73*$AH73+$AI73)*(1+$AP73)*(1+$AQ73)+($AT73*IF($G$1="鸣金",$AJ73,$AH73)+IF($G$1="鸣金",$AK73*1.5,0))*(1+$AU73)*(1+$AV73)+($AX73*IF($G$1="裂石",$AJ73,$AH73)+IF($G$1="裂石",$AK73*1.5,0))*(1+$AY73)*(1+$AZ73)+($BB73*IF($G$1="牵丝",$AJ73,$AH73)+IF($G$1="牵丝",$AK73*1.5,0))*(1+$BC73)*(1+$BD73)+($BF73*IF($G$1="破竹",$AJ73,$AH73)+IF($G$1="破竹",$AK73*1.5,0))*(1+$BG73)*(1+$BH73))*(1+$AL73)*$BM73*$P73*(1+IF(VLOOKUP($Q73,武学奇术!$A:$ZZ,30,FALSE)="蓄力技",#REF!,0))*(1+$BQ73)</f>
        <v>0</v>
      </c>
      <c r="N73" s="38">
        <f>((($AN73+$AO73)/2*$AH73+$AI73)*(1+$AP73)*(1+$AQ73)+(($AS73+$AT73)/2*IF($G$1="鸣金",$AJ73,$AH73)+IF($G$1="鸣金",$AK73*1.5,0))*(1+$AU73)*(1+$AV73)+(($AW73+$AX73)/2*IF($G$1="裂石",$AJ73,$AH73)+IF($G$1="裂石",$AK73*1.5,0))*(1+$AY73)*(1+$AZ73)+(($BA73+$BB73)/2*IF($G$1="牵丝",$AJ73,$AH73)+IF($G$1="牵丝",$AK73*1.5,0))*(1+$BC73)*(1+$BD73)+(($BE73+$BF73)/2*IF($G$1="破竹",$AJ73,$AH73)+IF($G$1="破竹",$AK73*1.5,0))*(1+$BG73)*(1+$BH73))*(1+$AL73)*$P73*(1+IF(VLOOKUP($Q73,武学奇术!$A:$ZZ,30,FALSE)="蓄力技",#REF!,0))*(1+$BQ73)</f>
        <v>0</v>
      </c>
      <c r="O73" s="38">
        <f>((($AN73*$AH73+$AI73)*(1+$AP73)*(1+$AQ73)+($AS73*IF($G$1="鸣金",$AJ73,$AH73)+IF($G$1="鸣金",$AK73*1.5,0))*(1+$AU73)*(1+$AV73)+($AW73*IF($G$1="裂石",$AJ73,$AH73)+IF($G$1="裂石",$AK73*1.5,0))*(1+$AY73)*(1+$AZ73)+($BA73*IF($G$1="牵丝",$AJ73,$AH73)+IF($G$1="牵丝",$AK73*1.5,0))*(1+$BC73)*(1+$BD73)+($BE73*IF($G$1="破竹",$AJ73,$AH73)+IF($G$1="破竹",$AK73*1.5,0))*(1+$BG73)*(1+$BH73))*(1+$AL73))*$P73*(1+IF(VLOOKUP($Q73,武学奇术!$A:$ZZ,30,FALSE)="蓄力技",#REF!,0))*(1+$BQ73)</f>
        <v>0</v>
      </c>
      <c r="P73" s="39">
        <v>1</v>
      </c>
      <c r="Q73" s="40" t="s">
        <v>76</v>
      </c>
      <c r="R73" s="40" t="s">
        <v>76</v>
      </c>
      <c r="S73" s="40" t="s">
        <v>76</v>
      </c>
      <c r="T73" s="40" t="s">
        <v>76</v>
      </c>
      <c r="U73" s="40" t="s">
        <v>76</v>
      </c>
      <c r="V73" s="40" t="s">
        <v>76</v>
      </c>
      <c r="W73" s="40" t="s">
        <v>76</v>
      </c>
      <c r="X73" s="40" t="s">
        <v>76</v>
      </c>
      <c r="Y73" s="40" t="s">
        <v>76</v>
      </c>
      <c r="Z73" s="40" t="s">
        <v>76</v>
      </c>
      <c r="AA73" s="40" t="s">
        <v>76</v>
      </c>
      <c r="AB73" s="40" t="s">
        <v>76</v>
      </c>
      <c r="AC73" s="40" t="s">
        <v>76</v>
      </c>
      <c r="AD73" s="40" t="s">
        <v>76</v>
      </c>
      <c r="AE73" s="40" t="s">
        <v>76</v>
      </c>
      <c r="AF73" s="40" t="s">
        <v>76</v>
      </c>
      <c r="AG73" t="str">
        <f>VLOOKUP($Q73,武学奇术!$A:$ZZ,25,FALSE)</f>
        <v>心法</v>
      </c>
      <c r="AH73" s="26">
        <f>VLOOKUP($Q73,武学奇术!$A:$ZZ,26,FALSE)</f>
        <v>0</v>
      </c>
      <c r="AI73" s="27">
        <f>VLOOKUP($Q73,武学奇术!$A:$ZZ,27,FALSE)*(1+IF(OR($AG73=$F$4,$AG73=$F$5),$B$21,0))</f>
        <v>0</v>
      </c>
      <c r="AJ73" s="26">
        <f>VLOOKUP($Q73,武学奇术!$A:$ZZ,28,FALSE)</f>
        <v>0</v>
      </c>
      <c r="AK73" s="27">
        <f>VLOOKUP($Q73,武学奇术!$A:$ZZ,29,FALSE)*(1+IF(OR($AG73=$F$4,$AG73=$F$5),$B$21,0))</f>
        <v>0</v>
      </c>
      <c r="AL73" s="26" cm="1">
        <f t="array" ref="AL73">$G$3+IFERROR(VLOOKUP($AG73,$F$4:$G$7,2,FALSE),0)+VLOOKUP($Q73,武学奇术!$A:$ZZ,2,FALSE)+SUM(_xlfn.XLOOKUP($R73:$AF73,增益!$A:$A,增益!$B:$B,0))</f>
        <v>0.1842</v>
      </c>
      <c r="AM73" s="26" cm="1">
        <f t="array" ref="AM73">VLOOKUP($Q73,武学奇术!$A:$ZZ,5,FALSE)+SUM(_xlfn.XLOOKUP($R73:$AF73,增益!$A:$A,增益!$E:$E,0))</f>
        <v>0</v>
      </c>
      <c r="AN73" cm="1">
        <f t="array" ref="AN73">$D$10*(1+$AM73)+VLOOKUP($Q73,武学奇术!$A:$ZZ,3,FALSE)+SUM(_xlfn.XLOOKUP($R73:$AF73,增益!$A:$A,增益!$C:$C,0))-$I$2</f>
        <v>3940</v>
      </c>
      <c r="AO73" cm="1">
        <f t="array" ref="AO73">$E$10*(1+$AM73)+VLOOKUP($Q73,武学奇术!$A:$ZZ,4,FALSE)+SUM(_xlfn.XLOOKUP($R73:$AF73,增益!$A:$A,增益!$D:$D,0))-$I$2</f>
        <v>3940</v>
      </c>
      <c r="AP73" s="32" cm="1">
        <f t="array" ref="AP73">IF($F$10-$I$3+VLOOKUP($Q73,武学奇术!$A:$ZZ,6,FALSE)+SUM(_xlfn.XLOOKUP(R73:AF73,增益!$A:$A,增益!$F:$F,0))&gt;0,($F$10-$I$3+VLOOKUP($Q73,武学奇术!$A:$ZZ,6,FALSE)+SUM(_xlfn.XLOOKUP(R73:AF73,增益!$A:$A,增益!$F:$F,0)))/200,($F$10-$I$3+VLOOKUP($Q73,武学奇术!$A:$ZZ,6,FALSE)+SUM(_xlfn.XLOOKUP(R73:AF73,增益!$A:$A,增益!$F:$F,0)))/100)</f>
        <v>0.194</v>
      </c>
      <c r="AQ73" s="32" cm="1">
        <f t="array" ref="AQ73">$G$10+VLOOKUP($Q73,武学奇术!$A:$ZZ,7,FALSE)+SUM(_xlfn.XLOOKUP(R73:AF73,增益!$A:$A,增益!$G:$G,0))</f>
        <v>0</v>
      </c>
      <c r="AR73" s="26" cm="1">
        <f t="array" ref="AR73">VLOOKUP($Q73,武学奇术!$A:$ZZ,8,FALSE)+SUM(_xlfn.XLOOKUP(R73:AF73,增益!$A:$A,增益!$H:$H,0))</f>
        <v>0</v>
      </c>
      <c r="AS73">
        <f t="shared" si="12"/>
        <v>0</v>
      </c>
      <c r="AT73">
        <f t="shared" si="13"/>
        <v>0</v>
      </c>
      <c r="AU73" s="32" cm="1">
        <f t="array" ref="AU73">IF($F$11-$I$4+VLOOKUP($Q73,武学奇术!$A:$ZZ,9,FALSE)+SUM(_xlfn.XLOOKUP(R73:AF73,增益!$A:$A,增益!$I:$I,0))&gt;0,($F$11-$I$4+VLOOKUP($Q73,武学奇术!$A:$ZZ,9,FALSE)+SUM(_xlfn.XLOOKUP(R73:AF73,增益!$A:$A,增益!$I:$I,0)))/200,($F$11-$I$4+VLOOKUP($Q73,武学奇术!$A:$ZZ,9,FALSE)+SUM(_xlfn.XLOOKUP(R73:AF73,增益!$A:$A,增益!$I:$I,0)))/100)</f>
        <v>-0.3</v>
      </c>
      <c r="AV73" s="32" cm="1">
        <f t="array" ref="AV73">$G$11+VLOOKUP($Q73,武学奇术!$A:$ZZ,10,FALSE)+SUM(_xlfn.XLOOKUP(R73:AF73,增益!$A:$A,增益!$J:$J,0))</f>
        <v>0</v>
      </c>
      <c r="AW73">
        <f t="shared" si="14"/>
        <v>0</v>
      </c>
      <c r="AX73">
        <f t="shared" si="15"/>
        <v>0</v>
      </c>
      <c r="AY73" s="32" cm="1">
        <f t="array" ref="AY73">IF($F$12-$I$4+VLOOKUP($Q73,武学奇术!$A:$ZZ,11,FALSE)+SUM(_xlfn.XLOOKUP(R73:AF73,增益!$A:$A,增益!$K:$K,0))&gt;0,($F$12-$I$4+VLOOKUP($Q73,武学奇术!$A:$ZZ,11,FALSE)+SUM(_xlfn.XLOOKUP(R73:AF73,增益!$A:$A,增益!$K:$K,0)))/200,($F$12-$I$4+VLOOKUP($Q73,武学奇术!$A:$ZZ,11,FALSE)+SUM(_xlfn.XLOOKUP(R73:AF73,增益!$A:$A,增益!$K:$K,0)))/100)</f>
        <v>-0.3</v>
      </c>
      <c r="AZ73" s="32" cm="1">
        <f t="array" ref="AZ73">$G$12+VLOOKUP($Q73,武学奇术!$A:$ZZ,12,FALSE)+SUM(_xlfn.XLOOKUP(R73:AF73,增益!$A:$A,增益!$L:$L,0))</f>
        <v>0</v>
      </c>
      <c r="BA73">
        <f t="shared" si="16"/>
        <v>697.4</v>
      </c>
      <c r="BB73">
        <f t="shared" si="17"/>
        <v>1805</v>
      </c>
      <c r="BC73" s="32" cm="1">
        <f t="array" ref="BC73">IF($F$13-$I$4+VLOOKUP($Q73,武学奇术!$A:$ZZ,13,FALSE)+SUM(_xlfn.XLOOKUP(R73:AF73,增益!$A:$A,增益!$M:$M,0))&gt;0,($F$13-$I$4+VLOOKUP($Q73,武学奇术!$A:$ZZ,13,FALSE)+SUM(_xlfn.XLOOKUP(R73:AF73,增益!$A:$A,增益!$K:$K,0)))/200,($F$13-$I$4+VLOOKUP($Q73,武学奇术!$A:$ZZ,13,FALSE)+SUM(_xlfn.XLOOKUP(R73:AF73,增益!$A:$A,增益!$M:$M,0)))/100)</f>
        <v>0</v>
      </c>
      <c r="BD73" s="32" cm="1">
        <f t="array" ref="BD73">$G$13+VLOOKUP($Q73,武学奇术!$A:$ZZ,14,FALSE)+SUM(_xlfn.XLOOKUP(R73:AF73,增益!$A:$A,增益!$N:$N,0))</f>
        <v>0.15</v>
      </c>
      <c r="BE73">
        <f t="shared" si="18"/>
        <v>0</v>
      </c>
      <c r="BF73">
        <f t="shared" si="19"/>
        <v>0</v>
      </c>
      <c r="BG73" s="32" cm="1">
        <f t="array" ref="BG73">IF($F$14-$I$4+VLOOKUP($Q73,武学奇术!$A:$ZZ,15,FALSE)+SUM(_xlfn.XLOOKUP(R73:AF73,增益!$A:$A,增益!$O:$O,0))&gt;0,($F$14-$I$4+VLOOKUP($Q73,武学奇术!$A:$ZZ,15,FALSE)+SUM(_xlfn.XLOOKUP(R73:AF73,增益!$A:$A,增益!$O:$O,0)))/200,($F$14-$I$4+VLOOKUP($Q73,武学奇术!$A:$ZZ,15,FALSE)+SUM(_xlfn.XLOOKUP(R73:AF73,增益!$A:$A,增益!$O:$O,0)))/100)</f>
        <v>-0.3</v>
      </c>
      <c r="BH73" s="32" cm="1">
        <f t="array" ref="BH73">$G$14+VLOOKUP($Q73,武学奇术!$A:$ZZ,16,FALSE)+SUM(_xlfn.XLOOKUP(R73:AF73,增益!$A:$A,增益!$P:$P,0))</f>
        <v>0</v>
      </c>
      <c r="BI73" s="26">
        <f>MIN(IF(VLOOKUP($Q73,武学奇术!$A:$ZZ,23,FALSE)=1,100%,$B$8),100%)</f>
        <v>1</v>
      </c>
      <c r="BJ73" s="26" cm="1">
        <f t="array" ref="BJ73">IF(VLOOKUP($Q73,武学奇术!$A:$ZZ,23,FALSE)=1,100%,MIN(80%,$B$9+VLOOKUP($Q73,武学奇术!$A:$ZZ,17,FALSE)+SUM(_xlfn.XLOOKUP(R73:AF73,增益!$A:$A,增益!$Q:$Q,0)))+$B$11+SUM(_xlfn.XLOOKUP(R73:AF73,增益!$A:$A,增益!$U:$U,0)))*IF(VLOOKUP($Q73,武学奇术!$A:$ZZ,24,FALSE)=1,0,1)</f>
        <v>0.8625</v>
      </c>
      <c r="BK73" s="26" cm="1">
        <f t="array" ref="BK73">1+$B$13+VLOOKUP($Q73,武学奇术!$A:$ZZ,18,FALSE)+SUM(_xlfn.XLOOKUP(R73:AF73,增益!$A:$A,增益!$R:$R,0))</f>
        <v>1.5</v>
      </c>
      <c r="BL73" s="26" cm="1">
        <f t="array" ref="BL73">IF(VLOOKUP($Q73,武学奇术!$A:$ZZ,24,FALSE)=1,100%,MIN(40%,$B$10+VLOOKUP($Q73,武学奇术!$A:$ZZ,19,FALSE)+SUM(_xlfn.XLOOKUP(R73:AF73,增益!$A:$A,增益!$S:$S,0)))+$B$12+SUM(_xlfn.XLOOKUP(R73:AF73,增益!$A:$A,增益!$V:$V,0)))*IF(VLOOKUP($Q73,武学奇术!$A:$ZZ,23,FALSE)=1,0,1)</f>
        <v>0.0913</v>
      </c>
      <c r="BM73" s="26" cm="1">
        <f t="array" ref="BM73">1+$B$14+VLOOKUP($Q73,武学奇术!$A:$ZZ,20,FALSE)+SUM(_xlfn.XLOOKUP(R73:AF73,增益!$A:$A,增益!$T:$T,0))</f>
        <v>1.35</v>
      </c>
      <c r="BN73" s="26">
        <f t="shared" si="20"/>
        <v>0.8625</v>
      </c>
      <c r="BO73" s="26">
        <f t="shared" si="21"/>
        <v>0.0462</v>
      </c>
      <c r="BP73" s="26">
        <f>IF(VLOOKUP($Q73,武学奇术!$A:$ZZ,22,FALSE)=1,0,(1-$BI73))*(1-$BL73)</f>
        <v>0</v>
      </c>
      <c r="BQ73" s="26" cm="1">
        <f t="array" ref="BQ73">SUM(_xlfn.XLOOKUP(R73:AF73,增益!$A:$A,增益!$W:$W,0))+$I$5</f>
        <v>0.06</v>
      </c>
    </row>
    <row r="74" spans="1:69">
      <c r="K74" s="38">
        <f t="shared" si="11"/>
        <v>0</v>
      </c>
      <c r="L74" s="38">
        <f>((($AN74+$AO74)/2*$AH74+$AI74)*(1+$AP74)*(1+$AQ74)+(($AS74+$AT74)/2*IF($G$1="鸣金",$AJ74,$AH74)+IF($G$1="鸣金",$AK74*1.5,0))*(1+$AU74)*(1+$AV74)+(($AW74+$AX74)/2*IF($G$1="裂石",$AJ74,$AH74)+IF($G$1="裂石",$AK74*1.5,0))*(1+$AY74)*(1+$AZ74)+(($BA74+$BB74)/2*IF($G$1="牵丝",$AJ74,$AH74)+IF($G$1="牵丝",$AK74*1.5,0))*(1+$BC74)*(1+$BD74)+(($BE74+$BF74)/2*IF($G$1="破竹",$AJ74,$AH74)+IF($G$1="破竹",$AK74*1.5,0))*(1+$BG74)*(1+$BH74))*(1+$AL74)*$BK74*$P74*(1+IF(VLOOKUP($Q74,武学奇术!$A:$ZZ,30,FALSE)="蓄力技",#REF!,0))*(1+$BQ74)</f>
        <v>0</v>
      </c>
      <c r="M74" s="38">
        <f>(($AO74*$AH74+$AI74)*(1+$AP74)*(1+$AQ74)+($AT74*IF($G$1="鸣金",$AJ74,$AH74)+IF($G$1="鸣金",$AK74*1.5,0))*(1+$AU74)*(1+$AV74)+($AX74*IF($G$1="裂石",$AJ74,$AH74)+IF($G$1="裂石",$AK74*1.5,0))*(1+$AY74)*(1+$AZ74)+($BB74*IF($G$1="牵丝",$AJ74,$AH74)+IF($G$1="牵丝",$AK74*1.5,0))*(1+$BC74)*(1+$BD74)+($BF74*IF($G$1="破竹",$AJ74,$AH74)+IF($G$1="破竹",$AK74*1.5,0))*(1+$BG74)*(1+$BH74))*(1+$AL74)*$BM74*$P74*(1+IF(VLOOKUP($Q74,武学奇术!$A:$ZZ,30,FALSE)="蓄力技",#REF!,0))*(1+$BQ74)</f>
        <v>0</v>
      </c>
      <c r="N74" s="38">
        <f>((($AN74+$AO74)/2*$AH74+$AI74)*(1+$AP74)*(1+$AQ74)+(($AS74+$AT74)/2*IF($G$1="鸣金",$AJ74,$AH74)+IF($G$1="鸣金",$AK74*1.5,0))*(1+$AU74)*(1+$AV74)+(($AW74+$AX74)/2*IF($G$1="裂石",$AJ74,$AH74)+IF($G$1="裂石",$AK74*1.5,0))*(1+$AY74)*(1+$AZ74)+(($BA74+$BB74)/2*IF($G$1="牵丝",$AJ74,$AH74)+IF($G$1="牵丝",$AK74*1.5,0))*(1+$BC74)*(1+$BD74)+(($BE74+$BF74)/2*IF($G$1="破竹",$AJ74,$AH74)+IF($G$1="破竹",$AK74*1.5,0))*(1+$BG74)*(1+$BH74))*(1+$AL74)*$P74*(1+IF(VLOOKUP($Q74,武学奇术!$A:$ZZ,30,FALSE)="蓄力技",#REF!,0))*(1+$BQ74)</f>
        <v>0</v>
      </c>
      <c r="O74" s="38">
        <f>((($AN74*$AH74+$AI74)*(1+$AP74)*(1+$AQ74)+($AS74*IF($G$1="鸣金",$AJ74,$AH74)+IF($G$1="鸣金",$AK74*1.5,0))*(1+$AU74)*(1+$AV74)+($AW74*IF($G$1="裂石",$AJ74,$AH74)+IF($G$1="裂石",$AK74*1.5,0))*(1+$AY74)*(1+$AZ74)+($BA74*IF($G$1="牵丝",$AJ74,$AH74)+IF($G$1="牵丝",$AK74*1.5,0))*(1+$BC74)*(1+$BD74)+($BE74*IF($G$1="破竹",$AJ74,$AH74)+IF($G$1="破竹",$AK74*1.5,0))*(1+$BG74)*(1+$BH74))*(1+$AL74))*$P74*(1+IF(VLOOKUP($Q74,武学奇术!$A:$ZZ,30,FALSE)="蓄力技",#REF!,0))*(1+$BQ74)</f>
        <v>0</v>
      </c>
      <c r="P74" s="39">
        <v>1</v>
      </c>
      <c r="Q74" s="40" t="s">
        <v>76</v>
      </c>
      <c r="R74" s="40" t="s">
        <v>76</v>
      </c>
      <c r="S74" s="40" t="s">
        <v>76</v>
      </c>
      <c r="T74" s="40" t="s">
        <v>76</v>
      </c>
      <c r="U74" s="40" t="s">
        <v>76</v>
      </c>
      <c r="V74" s="40" t="s">
        <v>76</v>
      </c>
      <c r="W74" s="40" t="s">
        <v>76</v>
      </c>
      <c r="X74" s="40" t="s">
        <v>76</v>
      </c>
      <c r="Y74" s="40" t="s">
        <v>76</v>
      </c>
      <c r="Z74" s="40" t="s">
        <v>76</v>
      </c>
      <c r="AA74" s="40" t="s">
        <v>76</v>
      </c>
      <c r="AB74" s="40" t="s">
        <v>76</v>
      </c>
      <c r="AC74" s="40" t="s">
        <v>76</v>
      </c>
      <c r="AD74" s="40" t="s">
        <v>76</v>
      </c>
      <c r="AE74" s="40" t="s">
        <v>76</v>
      </c>
      <c r="AF74" s="40" t="s">
        <v>76</v>
      </c>
      <c r="AG74" t="str">
        <f>VLOOKUP($Q74,武学奇术!$A:$ZZ,25,FALSE)</f>
        <v>心法</v>
      </c>
      <c r="AH74" s="26">
        <f>VLOOKUP($Q74,武学奇术!$A:$ZZ,26,FALSE)</f>
        <v>0</v>
      </c>
      <c r="AI74" s="27">
        <f>VLOOKUP($Q74,武学奇术!$A:$ZZ,27,FALSE)*(1+IF(OR($AG74=$F$4,$AG74=$F$5),$B$21,0))</f>
        <v>0</v>
      </c>
      <c r="AJ74" s="26">
        <f>VLOOKUP($Q74,武学奇术!$A:$ZZ,28,FALSE)</f>
        <v>0</v>
      </c>
      <c r="AK74" s="27">
        <f>VLOOKUP($Q74,武学奇术!$A:$ZZ,29,FALSE)*(1+IF(OR($AG74=$F$4,$AG74=$F$5),$B$21,0))</f>
        <v>0</v>
      </c>
      <c r="AL74" s="26" cm="1">
        <f t="array" ref="AL74">$G$3+IFERROR(VLOOKUP($AG74,$F$4:$G$7,2,FALSE),0)+VLOOKUP($Q74,武学奇术!$A:$ZZ,2,FALSE)+SUM(_xlfn.XLOOKUP($R74:$AF74,增益!$A:$A,增益!$B:$B,0))</f>
        <v>0.1842</v>
      </c>
      <c r="AM74" s="26" cm="1">
        <f t="array" ref="AM74">VLOOKUP($Q74,武学奇术!$A:$ZZ,5,FALSE)+SUM(_xlfn.XLOOKUP($R74:$AF74,增益!$A:$A,增益!$E:$E,0))</f>
        <v>0</v>
      </c>
      <c r="AN74" cm="1">
        <f t="array" ref="AN74">$D$10*(1+$AM74)+VLOOKUP($Q74,武学奇术!$A:$ZZ,3,FALSE)+SUM(_xlfn.XLOOKUP($R74:$AF74,增益!$A:$A,增益!$C:$C,0))-$I$2</f>
        <v>3940</v>
      </c>
      <c r="AO74" cm="1">
        <f t="array" ref="AO74">$E$10*(1+$AM74)+VLOOKUP($Q74,武学奇术!$A:$ZZ,4,FALSE)+SUM(_xlfn.XLOOKUP($R74:$AF74,增益!$A:$A,增益!$D:$D,0))-$I$2</f>
        <v>3940</v>
      </c>
      <c r="AP74" s="32" cm="1">
        <f t="array" ref="AP74">IF($F$10-$I$3+VLOOKUP($Q74,武学奇术!$A:$ZZ,6,FALSE)+SUM(_xlfn.XLOOKUP(R74:AF74,增益!$A:$A,增益!$F:$F,0))&gt;0,($F$10-$I$3+VLOOKUP($Q74,武学奇术!$A:$ZZ,6,FALSE)+SUM(_xlfn.XLOOKUP(R74:AF74,增益!$A:$A,增益!$F:$F,0)))/200,($F$10-$I$3+VLOOKUP($Q74,武学奇术!$A:$ZZ,6,FALSE)+SUM(_xlfn.XLOOKUP(R74:AF74,增益!$A:$A,增益!$F:$F,0)))/100)</f>
        <v>0.194</v>
      </c>
      <c r="AQ74" s="32" cm="1">
        <f t="array" ref="AQ74">$G$10+VLOOKUP($Q74,武学奇术!$A:$ZZ,7,FALSE)+SUM(_xlfn.XLOOKUP(R74:AF74,增益!$A:$A,增益!$G:$G,0))</f>
        <v>0</v>
      </c>
      <c r="AR74" s="26" cm="1">
        <f t="array" ref="AR74">VLOOKUP($Q74,武学奇术!$A:$ZZ,8,FALSE)+SUM(_xlfn.XLOOKUP(R74:AF74,增益!$A:$A,增益!$H:$H,0))</f>
        <v>0</v>
      </c>
      <c r="AS74">
        <f t="shared" si="12"/>
        <v>0</v>
      </c>
      <c r="AT74">
        <f t="shared" si="13"/>
        <v>0</v>
      </c>
      <c r="AU74" s="32" cm="1">
        <f t="array" ref="AU74">IF($F$11-$I$4+VLOOKUP($Q74,武学奇术!$A:$ZZ,9,FALSE)+SUM(_xlfn.XLOOKUP(R74:AF74,增益!$A:$A,增益!$I:$I,0))&gt;0,($F$11-$I$4+VLOOKUP($Q74,武学奇术!$A:$ZZ,9,FALSE)+SUM(_xlfn.XLOOKUP(R74:AF74,增益!$A:$A,增益!$I:$I,0)))/200,($F$11-$I$4+VLOOKUP($Q74,武学奇术!$A:$ZZ,9,FALSE)+SUM(_xlfn.XLOOKUP(R74:AF74,增益!$A:$A,增益!$I:$I,0)))/100)</f>
        <v>-0.3</v>
      </c>
      <c r="AV74" s="32" cm="1">
        <f t="array" ref="AV74">$G$11+VLOOKUP($Q74,武学奇术!$A:$ZZ,10,FALSE)+SUM(_xlfn.XLOOKUP(R74:AF74,增益!$A:$A,增益!$J:$J,0))</f>
        <v>0</v>
      </c>
      <c r="AW74">
        <f t="shared" si="14"/>
        <v>0</v>
      </c>
      <c r="AX74">
        <f t="shared" si="15"/>
        <v>0</v>
      </c>
      <c r="AY74" s="32" cm="1">
        <f t="array" ref="AY74">IF($F$12-$I$4+VLOOKUP($Q74,武学奇术!$A:$ZZ,11,FALSE)+SUM(_xlfn.XLOOKUP(R74:AF74,增益!$A:$A,增益!$K:$K,0))&gt;0,($F$12-$I$4+VLOOKUP($Q74,武学奇术!$A:$ZZ,11,FALSE)+SUM(_xlfn.XLOOKUP(R74:AF74,增益!$A:$A,增益!$K:$K,0)))/200,($F$12-$I$4+VLOOKUP($Q74,武学奇术!$A:$ZZ,11,FALSE)+SUM(_xlfn.XLOOKUP(R74:AF74,增益!$A:$A,增益!$K:$K,0)))/100)</f>
        <v>-0.3</v>
      </c>
      <c r="AZ74" s="32" cm="1">
        <f t="array" ref="AZ74">$G$12+VLOOKUP($Q74,武学奇术!$A:$ZZ,12,FALSE)+SUM(_xlfn.XLOOKUP(R74:AF74,增益!$A:$A,增益!$L:$L,0))</f>
        <v>0</v>
      </c>
      <c r="BA74">
        <f t="shared" si="16"/>
        <v>697.4</v>
      </c>
      <c r="BB74">
        <f t="shared" si="17"/>
        <v>1805</v>
      </c>
      <c r="BC74" s="32" cm="1">
        <f t="array" ref="BC74">IF($F$13-$I$4+VLOOKUP($Q74,武学奇术!$A:$ZZ,13,FALSE)+SUM(_xlfn.XLOOKUP(R74:AF74,增益!$A:$A,增益!$M:$M,0))&gt;0,($F$13-$I$4+VLOOKUP($Q74,武学奇术!$A:$ZZ,13,FALSE)+SUM(_xlfn.XLOOKUP(R74:AF74,增益!$A:$A,增益!$K:$K,0)))/200,($F$13-$I$4+VLOOKUP($Q74,武学奇术!$A:$ZZ,13,FALSE)+SUM(_xlfn.XLOOKUP(R74:AF74,增益!$A:$A,增益!$M:$M,0)))/100)</f>
        <v>0</v>
      </c>
      <c r="BD74" s="32" cm="1">
        <f t="array" ref="BD74">$G$13+VLOOKUP($Q74,武学奇术!$A:$ZZ,14,FALSE)+SUM(_xlfn.XLOOKUP(R74:AF74,增益!$A:$A,增益!$N:$N,0))</f>
        <v>0.15</v>
      </c>
      <c r="BE74">
        <f t="shared" si="18"/>
        <v>0</v>
      </c>
      <c r="BF74">
        <f t="shared" si="19"/>
        <v>0</v>
      </c>
      <c r="BG74" s="32" cm="1">
        <f t="array" ref="BG74">IF($F$14-$I$4+VLOOKUP($Q74,武学奇术!$A:$ZZ,15,FALSE)+SUM(_xlfn.XLOOKUP(R74:AF74,增益!$A:$A,增益!$O:$O,0))&gt;0,($F$14-$I$4+VLOOKUP($Q74,武学奇术!$A:$ZZ,15,FALSE)+SUM(_xlfn.XLOOKUP(R74:AF74,增益!$A:$A,增益!$O:$O,0)))/200,($F$14-$I$4+VLOOKUP($Q74,武学奇术!$A:$ZZ,15,FALSE)+SUM(_xlfn.XLOOKUP(R74:AF74,增益!$A:$A,增益!$O:$O,0)))/100)</f>
        <v>-0.3</v>
      </c>
      <c r="BH74" s="32" cm="1">
        <f t="array" ref="BH74">$G$14+VLOOKUP($Q74,武学奇术!$A:$ZZ,16,FALSE)+SUM(_xlfn.XLOOKUP(R74:AF74,增益!$A:$A,增益!$P:$P,0))</f>
        <v>0</v>
      </c>
      <c r="BI74" s="26">
        <f>MIN(IF(VLOOKUP($Q74,武学奇术!$A:$ZZ,23,FALSE)=1,100%,$B$8),100%)</f>
        <v>1</v>
      </c>
      <c r="BJ74" s="26" cm="1">
        <f t="array" ref="BJ74">IF(VLOOKUP($Q74,武学奇术!$A:$ZZ,23,FALSE)=1,100%,MIN(80%,$B$9+VLOOKUP($Q74,武学奇术!$A:$ZZ,17,FALSE)+SUM(_xlfn.XLOOKUP(R74:AF74,增益!$A:$A,增益!$Q:$Q,0)))+$B$11+SUM(_xlfn.XLOOKUP(R74:AF74,增益!$A:$A,增益!$U:$U,0)))*IF(VLOOKUP($Q74,武学奇术!$A:$ZZ,24,FALSE)=1,0,1)</f>
        <v>0.8625</v>
      </c>
      <c r="BK74" s="26" cm="1">
        <f t="array" ref="BK74">1+$B$13+VLOOKUP($Q74,武学奇术!$A:$ZZ,18,FALSE)+SUM(_xlfn.XLOOKUP(R74:AF74,增益!$A:$A,增益!$R:$R,0))</f>
        <v>1.5</v>
      </c>
      <c r="BL74" s="26" cm="1">
        <f t="array" ref="BL74">IF(VLOOKUP($Q74,武学奇术!$A:$ZZ,24,FALSE)=1,100%,MIN(40%,$B$10+VLOOKUP($Q74,武学奇术!$A:$ZZ,19,FALSE)+SUM(_xlfn.XLOOKUP(R74:AF74,增益!$A:$A,增益!$S:$S,0)))+$B$12+SUM(_xlfn.XLOOKUP(R74:AF74,增益!$A:$A,增益!$V:$V,0)))*IF(VLOOKUP($Q74,武学奇术!$A:$ZZ,23,FALSE)=1,0,1)</f>
        <v>0.0913</v>
      </c>
      <c r="BM74" s="26" cm="1">
        <f t="array" ref="BM74">1+$B$14+VLOOKUP($Q74,武学奇术!$A:$ZZ,20,FALSE)+SUM(_xlfn.XLOOKUP(R74:AF74,增益!$A:$A,增益!$T:$T,0))</f>
        <v>1.35</v>
      </c>
      <c r="BN74" s="26">
        <f t="shared" si="20"/>
        <v>0.8625</v>
      </c>
      <c r="BO74" s="26">
        <f t="shared" si="21"/>
        <v>0.0462</v>
      </c>
      <c r="BP74" s="26">
        <f>IF(VLOOKUP($Q74,武学奇术!$A:$ZZ,22,FALSE)=1,0,(1-$BI74))*(1-$BL74)</f>
        <v>0</v>
      </c>
      <c r="BQ74" s="26" cm="1">
        <f t="array" ref="BQ74">SUM(_xlfn.XLOOKUP(R74:AF74,增益!$A:$A,增益!$W:$W,0))+$I$5</f>
        <v>0.06</v>
      </c>
    </row>
    <row r="75" spans="1:69">
      <c r="K75" s="38">
        <f t="shared" si="11"/>
        <v>0</v>
      </c>
      <c r="L75" s="38">
        <f>((($AN75+$AO75)/2*$AH75+$AI75)*(1+$AP75)*(1+$AQ75)+(($AS75+$AT75)/2*IF($G$1="鸣金",$AJ75,$AH75)+IF($G$1="鸣金",$AK75*1.5,0))*(1+$AU75)*(1+$AV75)+(($AW75+$AX75)/2*IF($G$1="裂石",$AJ75,$AH75)+IF($G$1="裂石",$AK75*1.5,0))*(1+$AY75)*(1+$AZ75)+(($BA75+$BB75)/2*IF($G$1="牵丝",$AJ75,$AH75)+IF($G$1="牵丝",$AK75*1.5,0))*(1+$BC75)*(1+$BD75)+(($BE75+$BF75)/2*IF($G$1="破竹",$AJ75,$AH75)+IF($G$1="破竹",$AK75*1.5,0))*(1+$BG75)*(1+$BH75))*(1+$AL75)*$BK75*$P75*(1+IF(VLOOKUP($Q75,武学奇术!$A:$ZZ,30,FALSE)="蓄力技",#REF!,0))*(1+$BQ75)</f>
        <v>0</v>
      </c>
      <c r="M75" s="38">
        <f>(($AO75*$AH75+$AI75)*(1+$AP75)*(1+$AQ75)+($AT75*IF($G$1="鸣金",$AJ75,$AH75)+IF($G$1="鸣金",$AK75*1.5,0))*(1+$AU75)*(1+$AV75)+($AX75*IF($G$1="裂石",$AJ75,$AH75)+IF($G$1="裂石",$AK75*1.5,0))*(1+$AY75)*(1+$AZ75)+($BB75*IF($G$1="牵丝",$AJ75,$AH75)+IF($G$1="牵丝",$AK75*1.5,0))*(1+$BC75)*(1+$BD75)+($BF75*IF($G$1="破竹",$AJ75,$AH75)+IF($G$1="破竹",$AK75*1.5,0))*(1+$BG75)*(1+$BH75))*(1+$AL75)*$BM75*$P75*(1+IF(VLOOKUP($Q75,武学奇术!$A:$ZZ,30,FALSE)="蓄力技",#REF!,0))*(1+$BQ75)</f>
        <v>0</v>
      </c>
      <c r="N75" s="38">
        <f>((($AN75+$AO75)/2*$AH75+$AI75)*(1+$AP75)*(1+$AQ75)+(($AS75+$AT75)/2*IF($G$1="鸣金",$AJ75,$AH75)+IF($G$1="鸣金",$AK75*1.5,0))*(1+$AU75)*(1+$AV75)+(($AW75+$AX75)/2*IF($G$1="裂石",$AJ75,$AH75)+IF($G$1="裂石",$AK75*1.5,0))*(1+$AY75)*(1+$AZ75)+(($BA75+$BB75)/2*IF($G$1="牵丝",$AJ75,$AH75)+IF($G$1="牵丝",$AK75*1.5,0))*(1+$BC75)*(1+$BD75)+(($BE75+$BF75)/2*IF($G$1="破竹",$AJ75,$AH75)+IF($G$1="破竹",$AK75*1.5,0))*(1+$BG75)*(1+$BH75))*(1+$AL75)*$P75*(1+IF(VLOOKUP($Q75,武学奇术!$A:$ZZ,30,FALSE)="蓄力技",#REF!,0))*(1+$BQ75)</f>
        <v>0</v>
      </c>
      <c r="O75" s="38">
        <f>((($AN75*$AH75+$AI75)*(1+$AP75)*(1+$AQ75)+($AS75*IF($G$1="鸣金",$AJ75,$AH75)+IF($G$1="鸣金",$AK75*1.5,0))*(1+$AU75)*(1+$AV75)+($AW75*IF($G$1="裂石",$AJ75,$AH75)+IF($G$1="裂石",$AK75*1.5,0))*(1+$AY75)*(1+$AZ75)+($BA75*IF($G$1="牵丝",$AJ75,$AH75)+IF($G$1="牵丝",$AK75*1.5,0))*(1+$BC75)*(1+$BD75)+($BE75*IF($G$1="破竹",$AJ75,$AH75)+IF($G$1="破竹",$AK75*1.5,0))*(1+$BG75)*(1+$BH75))*(1+$AL75))*$P75*(1+IF(VLOOKUP($Q75,武学奇术!$A:$ZZ,30,FALSE)="蓄力技",#REF!,0))*(1+$BQ75)</f>
        <v>0</v>
      </c>
      <c r="P75" s="39">
        <v>1</v>
      </c>
      <c r="Q75" s="40" t="s">
        <v>76</v>
      </c>
      <c r="R75" s="40" t="s">
        <v>76</v>
      </c>
      <c r="S75" s="40" t="s">
        <v>76</v>
      </c>
      <c r="T75" s="40" t="s">
        <v>76</v>
      </c>
      <c r="U75" s="40" t="s">
        <v>76</v>
      </c>
      <c r="V75" s="40" t="s">
        <v>76</v>
      </c>
      <c r="W75" s="40" t="s">
        <v>76</v>
      </c>
      <c r="X75" s="40" t="s">
        <v>76</v>
      </c>
      <c r="Y75" s="40" t="s">
        <v>76</v>
      </c>
      <c r="Z75" s="40" t="s">
        <v>76</v>
      </c>
      <c r="AA75" s="40" t="s">
        <v>76</v>
      </c>
      <c r="AB75" s="40" t="s">
        <v>76</v>
      </c>
      <c r="AC75" s="40" t="s">
        <v>76</v>
      </c>
      <c r="AD75" s="40" t="s">
        <v>76</v>
      </c>
      <c r="AE75" s="40" t="s">
        <v>76</v>
      </c>
      <c r="AF75" s="40" t="s">
        <v>76</v>
      </c>
      <c r="AG75" t="str">
        <f>VLOOKUP($Q75,武学奇术!$A:$ZZ,25,FALSE)</f>
        <v>心法</v>
      </c>
      <c r="AH75" s="26">
        <f>VLOOKUP($Q75,武学奇术!$A:$ZZ,26,FALSE)</f>
        <v>0</v>
      </c>
      <c r="AI75" s="27">
        <f>VLOOKUP($Q75,武学奇术!$A:$ZZ,27,FALSE)*(1+IF(OR($AG75=$F$4,$AG75=$F$5),$B$21,0))</f>
        <v>0</v>
      </c>
      <c r="AJ75" s="26">
        <f>VLOOKUP($Q75,武学奇术!$A:$ZZ,28,FALSE)</f>
        <v>0</v>
      </c>
      <c r="AK75" s="27">
        <f>VLOOKUP($Q75,武学奇术!$A:$ZZ,29,FALSE)*(1+IF(OR($AG75=$F$4,$AG75=$F$5),$B$21,0))</f>
        <v>0</v>
      </c>
      <c r="AL75" s="26" cm="1">
        <f t="array" ref="AL75">$G$3+IFERROR(VLOOKUP($AG75,$F$4:$G$7,2,FALSE),0)+VLOOKUP($Q75,武学奇术!$A:$ZZ,2,FALSE)+SUM(_xlfn.XLOOKUP($R75:$AF75,增益!$A:$A,增益!$B:$B,0))</f>
        <v>0.1842</v>
      </c>
      <c r="AM75" s="26" cm="1">
        <f t="array" ref="AM75">VLOOKUP($Q75,武学奇术!$A:$ZZ,5,FALSE)+SUM(_xlfn.XLOOKUP($R75:$AF75,增益!$A:$A,增益!$E:$E,0))</f>
        <v>0</v>
      </c>
      <c r="AN75" cm="1">
        <f t="array" ref="AN75">$D$10*(1+$AM75)+VLOOKUP($Q75,武学奇术!$A:$ZZ,3,FALSE)+SUM(_xlfn.XLOOKUP($R75:$AF75,增益!$A:$A,增益!$C:$C,0))-$I$2</f>
        <v>3940</v>
      </c>
      <c r="AO75" cm="1">
        <f t="array" ref="AO75">$E$10*(1+$AM75)+VLOOKUP($Q75,武学奇术!$A:$ZZ,4,FALSE)+SUM(_xlfn.XLOOKUP($R75:$AF75,增益!$A:$A,增益!$D:$D,0))-$I$2</f>
        <v>3940</v>
      </c>
      <c r="AP75" s="32" cm="1">
        <f t="array" ref="AP75">IF($F$10-$I$3+VLOOKUP($Q75,武学奇术!$A:$ZZ,6,FALSE)+SUM(_xlfn.XLOOKUP(R75:AF75,增益!$A:$A,增益!$F:$F,0))&gt;0,($F$10-$I$3+VLOOKUP($Q75,武学奇术!$A:$ZZ,6,FALSE)+SUM(_xlfn.XLOOKUP(R75:AF75,增益!$A:$A,增益!$F:$F,0)))/200,($F$10-$I$3+VLOOKUP($Q75,武学奇术!$A:$ZZ,6,FALSE)+SUM(_xlfn.XLOOKUP(R75:AF75,增益!$A:$A,增益!$F:$F,0)))/100)</f>
        <v>0.194</v>
      </c>
      <c r="AQ75" s="32" cm="1">
        <f t="array" ref="AQ75">$G$10+VLOOKUP($Q75,武学奇术!$A:$ZZ,7,FALSE)+SUM(_xlfn.XLOOKUP(R75:AF75,增益!$A:$A,增益!$G:$G,0))</f>
        <v>0</v>
      </c>
      <c r="AR75" s="26" cm="1">
        <f t="array" ref="AR75">VLOOKUP($Q75,武学奇术!$A:$ZZ,8,FALSE)+SUM(_xlfn.XLOOKUP(R75:AF75,增益!$A:$A,增益!$H:$H,0))</f>
        <v>0</v>
      </c>
      <c r="AS75">
        <f t="shared" si="12"/>
        <v>0</v>
      </c>
      <c r="AT75">
        <f t="shared" si="13"/>
        <v>0</v>
      </c>
      <c r="AU75" s="32" cm="1">
        <f t="array" ref="AU75">IF($F$11-$I$4+VLOOKUP($Q75,武学奇术!$A:$ZZ,9,FALSE)+SUM(_xlfn.XLOOKUP(R75:AF75,增益!$A:$A,增益!$I:$I,0))&gt;0,($F$11-$I$4+VLOOKUP($Q75,武学奇术!$A:$ZZ,9,FALSE)+SUM(_xlfn.XLOOKUP(R75:AF75,增益!$A:$A,增益!$I:$I,0)))/200,($F$11-$I$4+VLOOKUP($Q75,武学奇术!$A:$ZZ,9,FALSE)+SUM(_xlfn.XLOOKUP(R75:AF75,增益!$A:$A,增益!$I:$I,0)))/100)</f>
        <v>-0.3</v>
      </c>
      <c r="AV75" s="32" cm="1">
        <f t="array" ref="AV75">$G$11+VLOOKUP($Q75,武学奇术!$A:$ZZ,10,FALSE)+SUM(_xlfn.XLOOKUP(R75:AF75,增益!$A:$A,增益!$J:$J,0))</f>
        <v>0</v>
      </c>
      <c r="AW75">
        <f t="shared" si="14"/>
        <v>0</v>
      </c>
      <c r="AX75">
        <f t="shared" si="15"/>
        <v>0</v>
      </c>
      <c r="AY75" s="32" cm="1">
        <f t="array" ref="AY75">IF($F$12-$I$4+VLOOKUP($Q75,武学奇术!$A:$ZZ,11,FALSE)+SUM(_xlfn.XLOOKUP(R75:AF75,增益!$A:$A,增益!$K:$K,0))&gt;0,($F$12-$I$4+VLOOKUP($Q75,武学奇术!$A:$ZZ,11,FALSE)+SUM(_xlfn.XLOOKUP(R75:AF75,增益!$A:$A,增益!$K:$K,0)))/200,($F$12-$I$4+VLOOKUP($Q75,武学奇术!$A:$ZZ,11,FALSE)+SUM(_xlfn.XLOOKUP(R75:AF75,增益!$A:$A,增益!$K:$K,0)))/100)</f>
        <v>-0.3</v>
      </c>
      <c r="AZ75" s="32" cm="1">
        <f t="array" ref="AZ75">$G$12+VLOOKUP($Q75,武学奇术!$A:$ZZ,12,FALSE)+SUM(_xlfn.XLOOKUP(R75:AF75,增益!$A:$A,增益!$L:$L,0))</f>
        <v>0</v>
      </c>
      <c r="BA75">
        <f t="shared" si="16"/>
        <v>697.4</v>
      </c>
      <c r="BB75">
        <f t="shared" si="17"/>
        <v>1805</v>
      </c>
      <c r="BC75" s="32" cm="1">
        <f t="array" ref="BC75">IF($F$13-$I$4+VLOOKUP($Q75,武学奇术!$A:$ZZ,13,FALSE)+SUM(_xlfn.XLOOKUP(R75:AF75,增益!$A:$A,增益!$M:$M,0))&gt;0,($F$13-$I$4+VLOOKUP($Q75,武学奇术!$A:$ZZ,13,FALSE)+SUM(_xlfn.XLOOKUP(R75:AF75,增益!$A:$A,增益!$K:$K,0)))/200,($F$13-$I$4+VLOOKUP($Q75,武学奇术!$A:$ZZ,13,FALSE)+SUM(_xlfn.XLOOKUP(R75:AF75,增益!$A:$A,增益!$M:$M,0)))/100)</f>
        <v>0</v>
      </c>
      <c r="BD75" s="32" cm="1">
        <f t="array" ref="BD75">$G$13+VLOOKUP($Q75,武学奇术!$A:$ZZ,14,FALSE)+SUM(_xlfn.XLOOKUP(R75:AF75,增益!$A:$A,增益!$N:$N,0))</f>
        <v>0.15</v>
      </c>
      <c r="BE75">
        <f t="shared" si="18"/>
        <v>0</v>
      </c>
      <c r="BF75">
        <f t="shared" si="19"/>
        <v>0</v>
      </c>
      <c r="BG75" s="32" cm="1">
        <f t="array" ref="BG75">IF($F$14-$I$4+VLOOKUP($Q75,武学奇术!$A:$ZZ,15,FALSE)+SUM(_xlfn.XLOOKUP(R75:AF75,增益!$A:$A,增益!$O:$O,0))&gt;0,($F$14-$I$4+VLOOKUP($Q75,武学奇术!$A:$ZZ,15,FALSE)+SUM(_xlfn.XLOOKUP(R75:AF75,增益!$A:$A,增益!$O:$O,0)))/200,($F$14-$I$4+VLOOKUP($Q75,武学奇术!$A:$ZZ,15,FALSE)+SUM(_xlfn.XLOOKUP(R75:AF75,增益!$A:$A,增益!$O:$O,0)))/100)</f>
        <v>-0.3</v>
      </c>
      <c r="BH75" s="32" cm="1">
        <f t="array" ref="BH75">$G$14+VLOOKUP($Q75,武学奇术!$A:$ZZ,16,FALSE)+SUM(_xlfn.XLOOKUP(R75:AF75,增益!$A:$A,增益!$P:$P,0))</f>
        <v>0</v>
      </c>
      <c r="BI75" s="26">
        <f>MIN(IF(VLOOKUP($Q75,武学奇术!$A:$ZZ,23,FALSE)=1,100%,$B$8),100%)</f>
        <v>1</v>
      </c>
      <c r="BJ75" s="26" cm="1">
        <f t="array" ref="BJ75">IF(VLOOKUP($Q75,武学奇术!$A:$ZZ,23,FALSE)=1,100%,MIN(80%,$B$9+VLOOKUP($Q75,武学奇术!$A:$ZZ,17,FALSE)+SUM(_xlfn.XLOOKUP(R75:AF75,增益!$A:$A,增益!$Q:$Q,0)))+$B$11+SUM(_xlfn.XLOOKUP(R75:AF75,增益!$A:$A,增益!$U:$U,0)))*IF(VLOOKUP($Q75,武学奇术!$A:$ZZ,24,FALSE)=1,0,1)</f>
        <v>0.8625</v>
      </c>
      <c r="BK75" s="26" cm="1">
        <f t="array" ref="BK75">1+$B$13+VLOOKUP($Q75,武学奇术!$A:$ZZ,18,FALSE)+SUM(_xlfn.XLOOKUP(R75:AF75,增益!$A:$A,增益!$R:$R,0))</f>
        <v>1.5</v>
      </c>
      <c r="BL75" s="26" cm="1">
        <f t="array" ref="BL75">IF(VLOOKUP($Q75,武学奇术!$A:$ZZ,24,FALSE)=1,100%,MIN(40%,$B$10+VLOOKUP($Q75,武学奇术!$A:$ZZ,19,FALSE)+SUM(_xlfn.XLOOKUP(R75:AF75,增益!$A:$A,增益!$S:$S,0)))+$B$12+SUM(_xlfn.XLOOKUP(R75:AF75,增益!$A:$A,增益!$V:$V,0)))*IF(VLOOKUP($Q75,武学奇术!$A:$ZZ,23,FALSE)=1,0,1)</f>
        <v>0.0913</v>
      </c>
      <c r="BM75" s="26" cm="1">
        <f t="array" ref="BM75">1+$B$14+VLOOKUP($Q75,武学奇术!$A:$ZZ,20,FALSE)+SUM(_xlfn.XLOOKUP(R75:AF75,增益!$A:$A,增益!$T:$T,0))</f>
        <v>1.35</v>
      </c>
      <c r="BN75" s="26">
        <f t="shared" si="20"/>
        <v>0.8625</v>
      </c>
      <c r="BO75" s="26">
        <f t="shared" si="21"/>
        <v>0.0462</v>
      </c>
      <c r="BP75" s="26">
        <f>IF(VLOOKUP($Q75,武学奇术!$A:$ZZ,22,FALSE)=1,0,(1-$BI75))*(1-$BL75)</f>
        <v>0</v>
      </c>
      <c r="BQ75" s="26" cm="1">
        <f t="array" ref="BQ75">SUM(_xlfn.XLOOKUP(R75:AF75,增益!$A:$A,增益!$W:$W,0))+$I$5</f>
        <v>0.06</v>
      </c>
    </row>
    <row r="76" spans="1:69">
      <c r="K76" s="38">
        <f t="shared" si="11"/>
        <v>0</v>
      </c>
      <c r="L76" s="38">
        <f>((($AN76+$AO76)/2*$AH76+$AI76)*(1+$AP76)*(1+$AQ76)+(($AS76+$AT76)/2*IF($G$1="鸣金",$AJ76,$AH76)+IF($G$1="鸣金",$AK76*1.5,0))*(1+$AU76)*(1+$AV76)+(($AW76+$AX76)/2*IF($G$1="裂石",$AJ76,$AH76)+IF($G$1="裂石",$AK76*1.5,0))*(1+$AY76)*(1+$AZ76)+(($BA76+$BB76)/2*IF($G$1="牵丝",$AJ76,$AH76)+IF($G$1="牵丝",$AK76*1.5,0))*(1+$BC76)*(1+$BD76)+(($BE76+$BF76)/2*IF($G$1="破竹",$AJ76,$AH76)+IF($G$1="破竹",$AK76*1.5,0))*(1+$BG76)*(1+$BH76))*(1+$AL76)*$BK76*$P76*(1+IF(VLOOKUP($Q76,武学奇术!$A:$ZZ,30,FALSE)="蓄力技",#REF!,0))*(1+$BQ76)</f>
        <v>0</v>
      </c>
      <c r="M76" s="38">
        <f>(($AO76*$AH76+$AI76)*(1+$AP76)*(1+$AQ76)+($AT76*IF($G$1="鸣金",$AJ76,$AH76)+IF($G$1="鸣金",$AK76*1.5,0))*(1+$AU76)*(1+$AV76)+($AX76*IF($G$1="裂石",$AJ76,$AH76)+IF($G$1="裂石",$AK76*1.5,0))*(1+$AY76)*(1+$AZ76)+($BB76*IF($G$1="牵丝",$AJ76,$AH76)+IF($G$1="牵丝",$AK76*1.5,0))*(1+$BC76)*(1+$BD76)+($BF76*IF($G$1="破竹",$AJ76,$AH76)+IF($G$1="破竹",$AK76*1.5,0))*(1+$BG76)*(1+$BH76))*(1+$AL76)*$BM76*$P76*(1+IF(VLOOKUP($Q76,武学奇术!$A:$ZZ,30,FALSE)="蓄力技",#REF!,0))*(1+$BQ76)</f>
        <v>0</v>
      </c>
      <c r="N76" s="38">
        <f>((($AN76+$AO76)/2*$AH76+$AI76)*(1+$AP76)*(1+$AQ76)+(($AS76+$AT76)/2*IF($G$1="鸣金",$AJ76,$AH76)+IF($G$1="鸣金",$AK76*1.5,0))*(1+$AU76)*(1+$AV76)+(($AW76+$AX76)/2*IF($G$1="裂石",$AJ76,$AH76)+IF($G$1="裂石",$AK76*1.5,0))*(1+$AY76)*(1+$AZ76)+(($BA76+$BB76)/2*IF($G$1="牵丝",$AJ76,$AH76)+IF($G$1="牵丝",$AK76*1.5,0))*(1+$BC76)*(1+$BD76)+(($BE76+$BF76)/2*IF($G$1="破竹",$AJ76,$AH76)+IF($G$1="破竹",$AK76*1.5,0))*(1+$BG76)*(1+$BH76))*(1+$AL76)*$P76*(1+IF(VLOOKUP($Q76,武学奇术!$A:$ZZ,30,FALSE)="蓄力技",#REF!,0))*(1+$BQ76)</f>
        <v>0</v>
      </c>
      <c r="O76" s="38">
        <f>((($AN76*$AH76+$AI76)*(1+$AP76)*(1+$AQ76)+($AS76*IF($G$1="鸣金",$AJ76,$AH76)+IF($G$1="鸣金",$AK76*1.5,0))*(1+$AU76)*(1+$AV76)+($AW76*IF($G$1="裂石",$AJ76,$AH76)+IF($G$1="裂石",$AK76*1.5,0))*(1+$AY76)*(1+$AZ76)+($BA76*IF($G$1="牵丝",$AJ76,$AH76)+IF($G$1="牵丝",$AK76*1.5,0))*(1+$BC76)*(1+$BD76)+($BE76*IF($G$1="破竹",$AJ76,$AH76)+IF($G$1="破竹",$AK76*1.5,0))*(1+$BG76)*(1+$BH76))*(1+$AL76))*$P76*(1+IF(VLOOKUP($Q76,武学奇术!$A:$ZZ,30,FALSE)="蓄力技",#REF!,0))*(1+$BQ76)</f>
        <v>0</v>
      </c>
      <c r="P76" s="39">
        <v>1</v>
      </c>
      <c r="Q76" s="40" t="s">
        <v>76</v>
      </c>
      <c r="R76" s="40" t="s">
        <v>76</v>
      </c>
      <c r="S76" s="40" t="s">
        <v>76</v>
      </c>
      <c r="T76" s="40" t="s">
        <v>76</v>
      </c>
      <c r="U76" s="40" t="s">
        <v>76</v>
      </c>
      <c r="V76" s="40" t="s">
        <v>76</v>
      </c>
      <c r="W76" s="40" t="s">
        <v>76</v>
      </c>
      <c r="X76" s="40" t="s">
        <v>76</v>
      </c>
      <c r="Y76" s="40" t="s">
        <v>76</v>
      </c>
      <c r="Z76" s="40" t="s">
        <v>76</v>
      </c>
      <c r="AA76" s="40" t="s">
        <v>76</v>
      </c>
      <c r="AB76" s="40" t="s">
        <v>76</v>
      </c>
      <c r="AC76" s="40" t="s">
        <v>76</v>
      </c>
      <c r="AD76" s="40" t="s">
        <v>76</v>
      </c>
      <c r="AE76" s="40" t="s">
        <v>76</v>
      </c>
      <c r="AF76" s="40" t="s">
        <v>76</v>
      </c>
      <c r="AG76" t="str">
        <f>VLOOKUP($Q76,武学奇术!$A:$ZZ,25,FALSE)</f>
        <v>心法</v>
      </c>
      <c r="AH76" s="26">
        <f>VLOOKUP($Q76,武学奇术!$A:$ZZ,26,FALSE)</f>
        <v>0</v>
      </c>
      <c r="AI76" s="27">
        <f>VLOOKUP($Q76,武学奇术!$A:$ZZ,27,FALSE)*(1+IF(OR($AG76=$F$4,$AG76=$F$5),$B$21,0))</f>
        <v>0</v>
      </c>
      <c r="AJ76" s="26">
        <f>VLOOKUP($Q76,武学奇术!$A:$ZZ,28,FALSE)</f>
        <v>0</v>
      </c>
      <c r="AK76" s="27">
        <f>VLOOKUP($Q76,武学奇术!$A:$ZZ,29,FALSE)*(1+IF(OR($AG76=$F$4,$AG76=$F$5),$B$21,0))</f>
        <v>0</v>
      </c>
      <c r="AL76" s="26" cm="1">
        <f t="array" ref="AL76">$G$3+IFERROR(VLOOKUP($AG76,$F$4:$G$7,2,FALSE),0)+VLOOKUP($Q76,武学奇术!$A:$ZZ,2,FALSE)+SUM(_xlfn.XLOOKUP($R76:$AF76,增益!$A:$A,增益!$B:$B,0))</f>
        <v>0.1842</v>
      </c>
      <c r="AM76" s="26" cm="1">
        <f t="array" ref="AM76">VLOOKUP($Q76,武学奇术!$A:$ZZ,5,FALSE)+SUM(_xlfn.XLOOKUP($R76:$AF76,增益!$A:$A,增益!$E:$E,0))</f>
        <v>0</v>
      </c>
      <c r="AN76" cm="1">
        <f t="array" ref="AN76">$D$10*(1+$AM76)+VLOOKUP($Q76,武学奇术!$A:$ZZ,3,FALSE)+SUM(_xlfn.XLOOKUP($R76:$AF76,增益!$A:$A,增益!$C:$C,0))-$I$2</f>
        <v>3940</v>
      </c>
      <c r="AO76" cm="1">
        <f t="array" ref="AO76">$E$10*(1+$AM76)+VLOOKUP($Q76,武学奇术!$A:$ZZ,4,FALSE)+SUM(_xlfn.XLOOKUP($R76:$AF76,增益!$A:$A,增益!$D:$D,0))-$I$2</f>
        <v>3940</v>
      </c>
      <c r="AP76" s="32" cm="1">
        <f t="array" ref="AP76">IF($F$10-$I$3+VLOOKUP($Q76,武学奇术!$A:$ZZ,6,FALSE)+SUM(_xlfn.XLOOKUP(R76:AF76,增益!$A:$A,增益!$F:$F,0))&gt;0,($F$10-$I$3+VLOOKUP($Q76,武学奇术!$A:$ZZ,6,FALSE)+SUM(_xlfn.XLOOKUP(R76:AF76,增益!$A:$A,增益!$F:$F,0)))/200,($F$10-$I$3+VLOOKUP($Q76,武学奇术!$A:$ZZ,6,FALSE)+SUM(_xlfn.XLOOKUP(R76:AF76,增益!$A:$A,增益!$F:$F,0)))/100)</f>
        <v>0.194</v>
      </c>
      <c r="AQ76" s="32" cm="1">
        <f t="array" ref="AQ76">$G$10+VLOOKUP($Q76,武学奇术!$A:$ZZ,7,FALSE)+SUM(_xlfn.XLOOKUP(R76:AF76,增益!$A:$A,增益!$G:$G,0))</f>
        <v>0</v>
      </c>
      <c r="AR76" s="26" cm="1">
        <f t="array" ref="AR76">VLOOKUP($Q76,武学奇术!$A:$ZZ,8,FALSE)+SUM(_xlfn.XLOOKUP(R76:AF76,增益!$A:$A,增益!$H:$H,0))</f>
        <v>0</v>
      </c>
      <c r="AS76">
        <f t="shared" si="12"/>
        <v>0</v>
      </c>
      <c r="AT76">
        <f t="shared" si="13"/>
        <v>0</v>
      </c>
      <c r="AU76" s="32" cm="1">
        <f t="array" ref="AU76">IF($F$11-$I$4+VLOOKUP($Q76,武学奇术!$A:$ZZ,9,FALSE)+SUM(_xlfn.XLOOKUP(R76:AF76,增益!$A:$A,增益!$I:$I,0))&gt;0,($F$11-$I$4+VLOOKUP($Q76,武学奇术!$A:$ZZ,9,FALSE)+SUM(_xlfn.XLOOKUP(R76:AF76,增益!$A:$A,增益!$I:$I,0)))/200,($F$11-$I$4+VLOOKUP($Q76,武学奇术!$A:$ZZ,9,FALSE)+SUM(_xlfn.XLOOKUP(R76:AF76,增益!$A:$A,增益!$I:$I,0)))/100)</f>
        <v>-0.3</v>
      </c>
      <c r="AV76" s="32" cm="1">
        <f t="array" ref="AV76">$G$11+VLOOKUP($Q76,武学奇术!$A:$ZZ,10,FALSE)+SUM(_xlfn.XLOOKUP(R76:AF76,增益!$A:$A,增益!$J:$J,0))</f>
        <v>0</v>
      </c>
      <c r="AW76">
        <f t="shared" si="14"/>
        <v>0</v>
      </c>
      <c r="AX76">
        <f t="shared" si="15"/>
        <v>0</v>
      </c>
      <c r="AY76" s="32" cm="1">
        <f t="array" ref="AY76">IF($F$12-$I$4+VLOOKUP($Q76,武学奇术!$A:$ZZ,11,FALSE)+SUM(_xlfn.XLOOKUP(R76:AF76,增益!$A:$A,增益!$K:$K,0))&gt;0,($F$12-$I$4+VLOOKUP($Q76,武学奇术!$A:$ZZ,11,FALSE)+SUM(_xlfn.XLOOKUP(R76:AF76,增益!$A:$A,增益!$K:$K,0)))/200,($F$12-$I$4+VLOOKUP($Q76,武学奇术!$A:$ZZ,11,FALSE)+SUM(_xlfn.XLOOKUP(R76:AF76,增益!$A:$A,增益!$K:$K,0)))/100)</f>
        <v>-0.3</v>
      </c>
      <c r="AZ76" s="32" cm="1">
        <f t="array" ref="AZ76">$G$12+VLOOKUP($Q76,武学奇术!$A:$ZZ,12,FALSE)+SUM(_xlfn.XLOOKUP(R76:AF76,增益!$A:$A,增益!$L:$L,0))</f>
        <v>0</v>
      </c>
      <c r="BA76">
        <f t="shared" si="16"/>
        <v>697.4</v>
      </c>
      <c r="BB76">
        <f t="shared" si="17"/>
        <v>1805</v>
      </c>
      <c r="BC76" s="32" cm="1">
        <f t="array" ref="BC76">IF($F$13-$I$4+VLOOKUP($Q76,武学奇术!$A:$ZZ,13,FALSE)+SUM(_xlfn.XLOOKUP(R76:AF76,增益!$A:$A,增益!$M:$M,0))&gt;0,($F$13-$I$4+VLOOKUP($Q76,武学奇术!$A:$ZZ,13,FALSE)+SUM(_xlfn.XLOOKUP(R76:AF76,增益!$A:$A,增益!$K:$K,0)))/200,($F$13-$I$4+VLOOKUP($Q76,武学奇术!$A:$ZZ,13,FALSE)+SUM(_xlfn.XLOOKUP(R76:AF76,增益!$A:$A,增益!$M:$M,0)))/100)</f>
        <v>0</v>
      </c>
      <c r="BD76" s="32" cm="1">
        <f t="array" ref="BD76">$G$13+VLOOKUP($Q76,武学奇术!$A:$ZZ,14,FALSE)+SUM(_xlfn.XLOOKUP(R76:AF76,增益!$A:$A,增益!$N:$N,0))</f>
        <v>0.15</v>
      </c>
      <c r="BE76">
        <f t="shared" si="18"/>
        <v>0</v>
      </c>
      <c r="BF76">
        <f t="shared" si="19"/>
        <v>0</v>
      </c>
      <c r="BG76" s="32" cm="1">
        <f t="array" ref="BG76">IF($F$14-$I$4+VLOOKUP($Q76,武学奇术!$A:$ZZ,15,FALSE)+SUM(_xlfn.XLOOKUP(R76:AF76,增益!$A:$A,增益!$O:$O,0))&gt;0,($F$14-$I$4+VLOOKUP($Q76,武学奇术!$A:$ZZ,15,FALSE)+SUM(_xlfn.XLOOKUP(R76:AF76,增益!$A:$A,增益!$O:$O,0)))/200,($F$14-$I$4+VLOOKUP($Q76,武学奇术!$A:$ZZ,15,FALSE)+SUM(_xlfn.XLOOKUP(R76:AF76,增益!$A:$A,增益!$O:$O,0)))/100)</f>
        <v>-0.3</v>
      </c>
      <c r="BH76" s="32" cm="1">
        <f t="array" ref="BH76">$G$14+VLOOKUP($Q76,武学奇术!$A:$ZZ,16,FALSE)+SUM(_xlfn.XLOOKUP(R76:AF76,增益!$A:$A,增益!$P:$P,0))</f>
        <v>0</v>
      </c>
      <c r="BI76" s="26">
        <f>MIN(IF(VLOOKUP($Q76,武学奇术!$A:$ZZ,23,FALSE)=1,100%,$B$8),100%)</f>
        <v>1</v>
      </c>
      <c r="BJ76" s="26" cm="1">
        <f t="array" ref="BJ76">IF(VLOOKUP($Q76,武学奇术!$A:$ZZ,23,FALSE)=1,100%,MIN(80%,$B$9+VLOOKUP($Q76,武学奇术!$A:$ZZ,17,FALSE)+SUM(_xlfn.XLOOKUP(R76:AF76,增益!$A:$A,增益!$Q:$Q,0)))+$B$11+SUM(_xlfn.XLOOKUP(R76:AF76,增益!$A:$A,增益!$U:$U,0)))*IF(VLOOKUP($Q76,武学奇术!$A:$ZZ,24,FALSE)=1,0,1)</f>
        <v>0.8625</v>
      </c>
      <c r="BK76" s="26" cm="1">
        <f t="array" ref="BK76">1+$B$13+VLOOKUP($Q76,武学奇术!$A:$ZZ,18,FALSE)+SUM(_xlfn.XLOOKUP(R76:AF76,增益!$A:$A,增益!$R:$R,0))</f>
        <v>1.5</v>
      </c>
      <c r="BL76" s="26" cm="1">
        <f t="array" ref="BL76">IF(VLOOKUP($Q76,武学奇术!$A:$ZZ,24,FALSE)=1,100%,MIN(40%,$B$10+VLOOKUP($Q76,武学奇术!$A:$ZZ,19,FALSE)+SUM(_xlfn.XLOOKUP(R76:AF76,增益!$A:$A,增益!$S:$S,0)))+$B$12+SUM(_xlfn.XLOOKUP(R76:AF76,增益!$A:$A,增益!$V:$V,0)))*IF(VLOOKUP($Q76,武学奇术!$A:$ZZ,23,FALSE)=1,0,1)</f>
        <v>0.0913</v>
      </c>
      <c r="BM76" s="26" cm="1">
        <f t="array" ref="BM76">1+$B$14+VLOOKUP($Q76,武学奇术!$A:$ZZ,20,FALSE)+SUM(_xlfn.XLOOKUP(R76:AF76,增益!$A:$A,增益!$T:$T,0))</f>
        <v>1.35</v>
      </c>
      <c r="BN76" s="26">
        <f t="shared" si="20"/>
        <v>0.8625</v>
      </c>
      <c r="BO76" s="26">
        <f t="shared" si="21"/>
        <v>0.0462</v>
      </c>
      <c r="BP76" s="26">
        <f>IF(VLOOKUP($Q76,武学奇术!$A:$ZZ,22,FALSE)=1,0,(1-$BI76))*(1-$BL76)</f>
        <v>0</v>
      </c>
      <c r="BQ76" s="26" cm="1">
        <f t="array" ref="BQ76">SUM(_xlfn.XLOOKUP(R76:AF76,增益!$A:$A,增益!$W:$W,0))+$I$5</f>
        <v>0.06</v>
      </c>
    </row>
    <row r="77" spans="1:69">
      <c r="K77" s="38">
        <f t="shared" si="11"/>
        <v>0</v>
      </c>
      <c r="L77" s="38">
        <f>((($AN77+$AO77)/2*$AH77+$AI77)*(1+$AP77)*(1+$AQ77)+(($AS77+$AT77)/2*IF($G$1="鸣金",$AJ77,$AH77)+IF($G$1="鸣金",$AK77*1.5,0))*(1+$AU77)*(1+$AV77)+(($AW77+$AX77)/2*IF($G$1="裂石",$AJ77,$AH77)+IF($G$1="裂石",$AK77*1.5,0))*(1+$AY77)*(1+$AZ77)+(($BA77+$BB77)/2*IF($G$1="牵丝",$AJ77,$AH77)+IF($G$1="牵丝",$AK77*1.5,0))*(1+$BC77)*(1+$BD77)+(($BE77+$BF77)/2*IF($G$1="破竹",$AJ77,$AH77)+IF($G$1="破竹",$AK77*1.5,0))*(1+$BG77)*(1+$BH77))*(1+$AL77)*$BK77*$P77*(1+IF(VLOOKUP($Q77,武学奇术!$A:$ZZ,30,FALSE)="蓄力技",#REF!,0))*(1+$BQ77)</f>
        <v>0</v>
      </c>
      <c r="M77" s="38">
        <f>(($AO77*$AH77+$AI77)*(1+$AP77)*(1+$AQ77)+($AT77*IF($G$1="鸣金",$AJ77,$AH77)+IF($G$1="鸣金",$AK77*1.5,0))*(1+$AU77)*(1+$AV77)+($AX77*IF($G$1="裂石",$AJ77,$AH77)+IF($G$1="裂石",$AK77*1.5,0))*(1+$AY77)*(1+$AZ77)+($BB77*IF($G$1="牵丝",$AJ77,$AH77)+IF($G$1="牵丝",$AK77*1.5,0))*(1+$BC77)*(1+$BD77)+($BF77*IF($G$1="破竹",$AJ77,$AH77)+IF($G$1="破竹",$AK77*1.5,0))*(1+$BG77)*(1+$BH77))*(1+$AL77)*$BM77*$P77*(1+IF(VLOOKUP($Q77,武学奇术!$A:$ZZ,30,FALSE)="蓄力技",#REF!,0))*(1+$BQ77)</f>
        <v>0</v>
      </c>
      <c r="N77" s="38">
        <f>((($AN77+$AO77)/2*$AH77+$AI77)*(1+$AP77)*(1+$AQ77)+(($AS77+$AT77)/2*IF($G$1="鸣金",$AJ77,$AH77)+IF($G$1="鸣金",$AK77*1.5,0))*(1+$AU77)*(1+$AV77)+(($AW77+$AX77)/2*IF($G$1="裂石",$AJ77,$AH77)+IF($G$1="裂石",$AK77*1.5,0))*(1+$AY77)*(1+$AZ77)+(($BA77+$BB77)/2*IF($G$1="牵丝",$AJ77,$AH77)+IF($G$1="牵丝",$AK77*1.5,0))*(1+$BC77)*(1+$BD77)+(($BE77+$BF77)/2*IF($G$1="破竹",$AJ77,$AH77)+IF($G$1="破竹",$AK77*1.5,0))*(1+$BG77)*(1+$BH77))*(1+$AL77)*$P77*(1+IF(VLOOKUP($Q77,武学奇术!$A:$ZZ,30,FALSE)="蓄力技",#REF!,0))*(1+$BQ77)</f>
        <v>0</v>
      </c>
      <c r="O77" s="38">
        <f>((($AN77*$AH77+$AI77)*(1+$AP77)*(1+$AQ77)+($AS77*IF($G$1="鸣金",$AJ77,$AH77)+IF($G$1="鸣金",$AK77*1.5,0))*(1+$AU77)*(1+$AV77)+($AW77*IF($G$1="裂石",$AJ77,$AH77)+IF($G$1="裂石",$AK77*1.5,0))*(1+$AY77)*(1+$AZ77)+($BA77*IF($G$1="牵丝",$AJ77,$AH77)+IF($G$1="牵丝",$AK77*1.5,0))*(1+$BC77)*(1+$BD77)+($BE77*IF($G$1="破竹",$AJ77,$AH77)+IF($G$1="破竹",$AK77*1.5,0))*(1+$BG77)*(1+$BH77))*(1+$AL77))*$P77*(1+IF(VLOOKUP($Q77,武学奇术!$A:$ZZ,30,FALSE)="蓄力技",#REF!,0))*(1+$BQ77)</f>
        <v>0</v>
      </c>
      <c r="P77" s="39">
        <v>1</v>
      </c>
      <c r="Q77" s="40" t="s">
        <v>76</v>
      </c>
      <c r="R77" s="40" t="s">
        <v>76</v>
      </c>
      <c r="S77" s="40" t="s">
        <v>76</v>
      </c>
      <c r="T77" s="40" t="s">
        <v>76</v>
      </c>
      <c r="U77" s="40" t="s">
        <v>76</v>
      </c>
      <c r="V77" s="40" t="s">
        <v>76</v>
      </c>
      <c r="W77" s="40" t="s">
        <v>76</v>
      </c>
      <c r="X77" s="40" t="s">
        <v>76</v>
      </c>
      <c r="Y77" s="40" t="s">
        <v>76</v>
      </c>
      <c r="Z77" s="40" t="s">
        <v>76</v>
      </c>
      <c r="AA77" s="40" t="s">
        <v>76</v>
      </c>
      <c r="AB77" s="40" t="s">
        <v>76</v>
      </c>
      <c r="AC77" s="40" t="s">
        <v>76</v>
      </c>
      <c r="AD77" s="40" t="s">
        <v>76</v>
      </c>
      <c r="AE77" s="40" t="s">
        <v>76</v>
      </c>
      <c r="AF77" s="40" t="s">
        <v>76</v>
      </c>
      <c r="AG77" t="str">
        <f>VLOOKUP($Q77,武学奇术!$A:$ZZ,25,FALSE)</f>
        <v>心法</v>
      </c>
      <c r="AH77" s="26">
        <f>VLOOKUP($Q77,武学奇术!$A:$ZZ,26,FALSE)</f>
        <v>0</v>
      </c>
      <c r="AI77" s="27">
        <f>VLOOKUP($Q77,武学奇术!$A:$ZZ,27,FALSE)*(1+IF(OR($AG77=$F$4,$AG77=$F$5),$B$21,0))</f>
        <v>0</v>
      </c>
      <c r="AJ77" s="26">
        <f>VLOOKUP($Q77,武学奇术!$A:$ZZ,28,FALSE)</f>
        <v>0</v>
      </c>
      <c r="AK77" s="27">
        <f>VLOOKUP($Q77,武学奇术!$A:$ZZ,29,FALSE)*(1+IF(OR($AG77=$F$4,$AG77=$F$5),$B$21,0))</f>
        <v>0</v>
      </c>
      <c r="AL77" s="26" cm="1">
        <f t="array" ref="AL77">$G$3+IFERROR(VLOOKUP($AG77,$F$4:$G$7,2,FALSE),0)+VLOOKUP($Q77,武学奇术!$A:$ZZ,2,FALSE)+SUM(_xlfn.XLOOKUP($R77:$AF77,增益!$A:$A,增益!$B:$B,0))</f>
        <v>0.1842</v>
      </c>
      <c r="AM77" s="26" cm="1">
        <f t="array" ref="AM77">VLOOKUP($Q77,武学奇术!$A:$ZZ,5,FALSE)+SUM(_xlfn.XLOOKUP($R77:$AF77,增益!$A:$A,增益!$E:$E,0))</f>
        <v>0</v>
      </c>
      <c r="AN77" cm="1">
        <f t="array" ref="AN77">$D$10*(1+$AM77)+VLOOKUP($Q77,武学奇术!$A:$ZZ,3,FALSE)+SUM(_xlfn.XLOOKUP($R77:$AF77,增益!$A:$A,增益!$C:$C,0))-$I$2</f>
        <v>3940</v>
      </c>
      <c r="AO77" cm="1">
        <f t="array" ref="AO77">$E$10*(1+$AM77)+VLOOKUP($Q77,武学奇术!$A:$ZZ,4,FALSE)+SUM(_xlfn.XLOOKUP($R77:$AF77,增益!$A:$A,增益!$D:$D,0))-$I$2</f>
        <v>3940</v>
      </c>
      <c r="AP77" s="32" cm="1">
        <f t="array" ref="AP77">IF($F$10-$I$3+VLOOKUP($Q77,武学奇术!$A:$ZZ,6,FALSE)+SUM(_xlfn.XLOOKUP(R77:AF77,增益!$A:$A,增益!$F:$F,0))&gt;0,($F$10-$I$3+VLOOKUP($Q77,武学奇术!$A:$ZZ,6,FALSE)+SUM(_xlfn.XLOOKUP(R77:AF77,增益!$A:$A,增益!$F:$F,0)))/200,($F$10-$I$3+VLOOKUP($Q77,武学奇术!$A:$ZZ,6,FALSE)+SUM(_xlfn.XLOOKUP(R77:AF77,增益!$A:$A,增益!$F:$F,0)))/100)</f>
        <v>0.194</v>
      </c>
      <c r="AQ77" s="32" cm="1">
        <f t="array" ref="AQ77">$G$10+VLOOKUP($Q77,武学奇术!$A:$ZZ,7,FALSE)+SUM(_xlfn.XLOOKUP(R77:AF77,增益!$A:$A,增益!$G:$G,0))</f>
        <v>0</v>
      </c>
      <c r="AR77" s="26" cm="1">
        <f t="array" ref="AR77">VLOOKUP($Q77,武学奇术!$A:$ZZ,8,FALSE)+SUM(_xlfn.XLOOKUP(R77:AF77,增益!$A:$A,增益!$H:$H,0))</f>
        <v>0</v>
      </c>
      <c r="AS77">
        <f t="shared" si="12"/>
        <v>0</v>
      </c>
      <c r="AT77">
        <f t="shared" si="13"/>
        <v>0</v>
      </c>
      <c r="AU77" s="32" cm="1">
        <f t="array" ref="AU77">IF($F$11-$I$4+VLOOKUP($Q77,武学奇术!$A:$ZZ,9,FALSE)+SUM(_xlfn.XLOOKUP(R77:AF77,增益!$A:$A,增益!$I:$I,0))&gt;0,($F$11-$I$4+VLOOKUP($Q77,武学奇术!$A:$ZZ,9,FALSE)+SUM(_xlfn.XLOOKUP(R77:AF77,增益!$A:$A,增益!$I:$I,0)))/200,($F$11-$I$4+VLOOKUP($Q77,武学奇术!$A:$ZZ,9,FALSE)+SUM(_xlfn.XLOOKUP(R77:AF77,增益!$A:$A,增益!$I:$I,0)))/100)</f>
        <v>-0.3</v>
      </c>
      <c r="AV77" s="32" cm="1">
        <f t="array" ref="AV77">$G$11+VLOOKUP($Q77,武学奇术!$A:$ZZ,10,FALSE)+SUM(_xlfn.XLOOKUP(R77:AF77,增益!$A:$A,增益!$J:$J,0))</f>
        <v>0</v>
      </c>
      <c r="AW77">
        <f t="shared" si="14"/>
        <v>0</v>
      </c>
      <c r="AX77">
        <f t="shared" si="15"/>
        <v>0</v>
      </c>
      <c r="AY77" s="32" cm="1">
        <f t="array" ref="AY77">IF($F$12-$I$4+VLOOKUP($Q77,武学奇术!$A:$ZZ,11,FALSE)+SUM(_xlfn.XLOOKUP(R77:AF77,增益!$A:$A,增益!$K:$K,0))&gt;0,($F$12-$I$4+VLOOKUP($Q77,武学奇术!$A:$ZZ,11,FALSE)+SUM(_xlfn.XLOOKUP(R77:AF77,增益!$A:$A,增益!$K:$K,0)))/200,($F$12-$I$4+VLOOKUP($Q77,武学奇术!$A:$ZZ,11,FALSE)+SUM(_xlfn.XLOOKUP(R77:AF77,增益!$A:$A,增益!$K:$K,0)))/100)</f>
        <v>-0.3</v>
      </c>
      <c r="AZ77" s="32" cm="1">
        <f t="array" ref="AZ77">$G$12+VLOOKUP($Q77,武学奇术!$A:$ZZ,12,FALSE)+SUM(_xlfn.XLOOKUP(R77:AF77,增益!$A:$A,增益!$L:$L,0))</f>
        <v>0</v>
      </c>
      <c r="BA77">
        <f t="shared" si="16"/>
        <v>697.4</v>
      </c>
      <c r="BB77">
        <f t="shared" si="17"/>
        <v>1805</v>
      </c>
      <c r="BC77" s="32" cm="1">
        <f t="array" ref="BC77">IF($F$13-$I$4+VLOOKUP($Q77,武学奇术!$A:$ZZ,13,FALSE)+SUM(_xlfn.XLOOKUP(R77:AF77,增益!$A:$A,增益!$M:$M,0))&gt;0,($F$13-$I$4+VLOOKUP($Q77,武学奇术!$A:$ZZ,13,FALSE)+SUM(_xlfn.XLOOKUP(R77:AF77,增益!$A:$A,增益!$K:$K,0)))/200,($F$13-$I$4+VLOOKUP($Q77,武学奇术!$A:$ZZ,13,FALSE)+SUM(_xlfn.XLOOKUP(R77:AF77,增益!$A:$A,增益!$M:$M,0)))/100)</f>
        <v>0</v>
      </c>
      <c r="BD77" s="32" cm="1">
        <f t="array" ref="BD77">$G$13+VLOOKUP($Q77,武学奇术!$A:$ZZ,14,FALSE)+SUM(_xlfn.XLOOKUP(R77:AF77,增益!$A:$A,增益!$N:$N,0))</f>
        <v>0.15</v>
      </c>
      <c r="BE77">
        <f t="shared" si="18"/>
        <v>0</v>
      </c>
      <c r="BF77">
        <f t="shared" si="19"/>
        <v>0</v>
      </c>
      <c r="BG77" s="32" cm="1">
        <f t="array" ref="BG77">IF($F$14-$I$4+VLOOKUP($Q77,武学奇术!$A:$ZZ,15,FALSE)+SUM(_xlfn.XLOOKUP(R77:AF77,增益!$A:$A,增益!$O:$O,0))&gt;0,($F$14-$I$4+VLOOKUP($Q77,武学奇术!$A:$ZZ,15,FALSE)+SUM(_xlfn.XLOOKUP(R77:AF77,增益!$A:$A,增益!$O:$O,0)))/200,($F$14-$I$4+VLOOKUP($Q77,武学奇术!$A:$ZZ,15,FALSE)+SUM(_xlfn.XLOOKUP(R77:AF77,增益!$A:$A,增益!$O:$O,0)))/100)</f>
        <v>-0.3</v>
      </c>
      <c r="BH77" s="32" cm="1">
        <f t="array" ref="BH77">$G$14+VLOOKUP($Q77,武学奇术!$A:$ZZ,16,FALSE)+SUM(_xlfn.XLOOKUP(R77:AF77,增益!$A:$A,增益!$P:$P,0))</f>
        <v>0</v>
      </c>
      <c r="BI77" s="26">
        <f>MIN(IF(VLOOKUP($Q77,武学奇术!$A:$ZZ,23,FALSE)=1,100%,$B$8),100%)</f>
        <v>1</v>
      </c>
      <c r="BJ77" s="26" cm="1">
        <f t="array" ref="BJ77">IF(VLOOKUP($Q77,武学奇术!$A:$ZZ,23,FALSE)=1,100%,MIN(80%,$B$9+VLOOKUP($Q77,武学奇术!$A:$ZZ,17,FALSE)+SUM(_xlfn.XLOOKUP(R77:AF77,增益!$A:$A,增益!$Q:$Q,0)))+$B$11+SUM(_xlfn.XLOOKUP(R77:AF77,增益!$A:$A,增益!$U:$U,0)))*IF(VLOOKUP($Q77,武学奇术!$A:$ZZ,24,FALSE)=1,0,1)</f>
        <v>0.8625</v>
      </c>
      <c r="BK77" s="26" cm="1">
        <f t="array" ref="BK77">1+$B$13+VLOOKUP($Q77,武学奇术!$A:$ZZ,18,FALSE)+SUM(_xlfn.XLOOKUP(R77:AF77,增益!$A:$A,增益!$R:$R,0))</f>
        <v>1.5</v>
      </c>
      <c r="BL77" s="26" cm="1">
        <f t="array" ref="BL77">IF(VLOOKUP($Q77,武学奇术!$A:$ZZ,24,FALSE)=1,100%,MIN(40%,$B$10+VLOOKUP($Q77,武学奇术!$A:$ZZ,19,FALSE)+SUM(_xlfn.XLOOKUP(R77:AF77,增益!$A:$A,增益!$S:$S,0)))+$B$12+SUM(_xlfn.XLOOKUP(R77:AF77,增益!$A:$A,增益!$V:$V,0)))*IF(VLOOKUP($Q77,武学奇术!$A:$ZZ,23,FALSE)=1,0,1)</f>
        <v>0.0913</v>
      </c>
      <c r="BM77" s="26" cm="1">
        <f t="array" ref="BM77">1+$B$14+VLOOKUP($Q77,武学奇术!$A:$ZZ,20,FALSE)+SUM(_xlfn.XLOOKUP(R77:AF77,增益!$A:$A,增益!$T:$T,0))</f>
        <v>1.35</v>
      </c>
      <c r="BN77" s="26">
        <f t="shared" si="20"/>
        <v>0.8625</v>
      </c>
      <c r="BO77" s="26">
        <f t="shared" si="21"/>
        <v>0.0462</v>
      </c>
      <c r="BP77" s="26">
        <f>IF(VLOOKUP($Q77,武学奇术!$A:$ZZ,22,FALSE)=1,0,(1-$BI77))*(1-$BL77)</f>
        <v>0</v>
      </c>
      <c r="BQ77" s="26" cm="1">
        <f t="array" ref="BQ77">SUM(_xlfn.XLOOKUP(R77:AF77,增益!$A:$A,增益!$W:$W,0))+$I$5</f>
        <v>0.06</v>
      </c>
    </row>
    <row r="78" spans="1:69">
      <c r="A78" s="4"/>
      <c r="B78" s="4"/>
      <c r="K78" s="38">
        <f t="shared" si="11"/>
        <v>0</v>
      </c>
      <c r="L78" s="38">
        <f>((($AN78+$AO78)/2*$AH78+$AI78)*(1+$AP78)*(1+$AQ78)+(($AS78+$AT78)/2*IF($G$1="鸣金",$AJ78,$AH78)+IF($G$1="鸣金",$AK78*1.5,0))*(1+$AU78)*(1+$AV78)+(($AW78+$AX78)/2*IF($G$1="裂石",$AJ78,$AH78)+IF($G$1="裂石",$AK78*1.5,0))*(1+$AY78)*(1+$AZ78)+(($BA78+$BB78)/2*IF($G$1="牵丝",$AJ78,$AH78)+IF($G$1="牵丝",$AK78*1.5,0))*(1+$BC78)*(1+$BD78)+(($BE78+$BF78)/2*IF($G$1="破竹",$AJ78,$AH78)+IF($G$1="破竹",$AK78*1.5,0))*(1+$BG78)*(1+$BH78))*(1+$AL78)*$BK78*$P78*(1+IF(VLOOKUP($Q78,武学奇术!$A:$ZZ,30,FALSE)="蓄力技",#REF!,0))*(1+$BQ78)</f>
        <v>0</v>
      </c>
      <c r="M78" s="38">
        <f>(($AO78*$AH78+$AI78)*(1+$AP78)*(1+$AQ78)+($AT78*IF($G$1="鸣金",$AJ78,$AH78)+IF($G$1="鸣金",$AK78*1.5,0))*(1+$AU78)*(1+$AV78)+($AX78*IF($G$1="裂石",$AJ78,$AH78)+IF($G$1="裂石",$AK78*1.5,0))*(1+$AY78)*(1+$AZ78)+($BB78*IF($G$1="牵丝",$AJ78,$AH78)+IF($G$1="牵丝",$AK78*1.5,0))*(1+$BC78)*(1+$BD78)+($BF78*IF($G$1="破竹",$AJ78,$AH78)+IF($G$1="破竹",$AK78*1.5,0))*(1+$BG78)*(1+$BH78))*(1+$AL78)*$BM78*$P78*(1+IF(VLOOKUP($Q78,武学奇术!$A:$ZZ,30,FALSE)="蓄力技",#REF!,0))*(1+$BQ78)</f>
        <v>0</v>
      </c>
      <c r="N78" s="38">
        <f>((($AN78+$AO78)/2*$AH78+$AI78)*(1+$AP78)*(1+$AQ78)+(($AS78+$AT78)/2*IF($G$1="鸣金",$AJ78,$AH78)+IF($G$1="鸣金",$AK78*1.5,0))*(1+$AU78)*(1+$AV78)+(($AW78+$AX78)/2*IF($G$1="裂石",$AJ78,$AH78)+IF($G$1="裂石",$AK78*1.5,0))*(1+$AY78)*(1+$AZ78)+(($BA78+$BB78)/2*IF($G$1="牵丝",$AJ78,$AH78)+IF($G$1="牵丝",$AK78*1.5,0))*(1+$BC78)*(1+$BD78)+(($BE78+$BF78)/2*IF($G$1="破竹",$AJ78,$AH78)+IF($G$1="破竹",$AK78*1.5,0))*(1+$BG78)*(1+$BH78))*(1+$AL78)*$P78*(1+IF(VLOOKUP($Q78,武学奇术!$A:$ZZ,30,FALSE)="蓄力技",#REF!,0))*(1+$BQ78)</f>
        <v>0</v>
      </c>
      <c r="O78" s="38">
        <f>((($AN78*$AH78+$AI78)*(1+$AP78)*(1+$AQ78)+($AS78*IF($G$1="鸣金",$AJ78,$AH78)+IF($G$1="鸣金",$AK78*1.5,0))*(1+$AU78)*(1+$AV78)+($AW78*IF($G$1="裂石",$AJ78,$AH78)+IF($G$1="裂石",$AK78*1.5,0))*(1+$AY78)*(1+$AZ78)+($BA78*IF($G$1="牵丝",$AJ78,$AH78)+IF($G$1="牵丝",$AK78*1.5,0))*(1+$BC78)*(1+$BD78)+($BE78*IF($G$1="破竹",$AJ78,$AH78)+IF($G$1="破竹",$AK78*1.5,0))*(1+$BG78)*(1+$BH78))*(1+$AL78))*$P78*(1+IF(VLOOKUP($Q78,武学奇术!$A:$ZZ,30,FALSE)="蓄力技",#REF!,0))*(1+$BQ78)</f>
        <v>0</v>
      </c>
      <c r="P78" s="39">
        <v>1</v>
      </c>
      <c r="Q78" s="40" t="s">
        <v>76</v>
      </c>
      <c r="R78" s="40" t="s">
        <v>76</v>
      </c>
      <c r="S78" s="40" t="s">
        <v>76</v>
      </c>
      <c r="T78" s="40" t="s">
        <v>76</v>
      </c>
      <c r="U78" s="40" t="s">
        <v>76</v>
      </c>
      <c r="V78" s="40" t="s">
        <v>76</v>
      </c>
      <c r="W78" s="40" t="s">
        <v>76</v>
      </c>
      <c r="X78" s="40" t="s">
        <v>76</v>
      </c>
      <c r="Y78" s="40" t="s">
        <v>76</v>
      </c>
      <c r="Z78" s="40" t="s">
        <v>76</v>
      </c>
      <c r="AA78" s="40" t="s">
        <v>76</v>
      </c>
      <c r="AB78" s="40" t="s">
        <v>76</v>
      </c>
      <c r="AC78" s="40" t="s">
        <v>76</v>
      </c>
      <c r="AD78" s="40" t="s">
        <v>76</v>
      </c>
      <c r="AE78" s="40" t="s">
        <v>76</v>
      </c>
      <c r="AF78" s="40" t="s">
        <v>76</v>
      </c>
      <c r="AG78" t="str">
        <f>VLOOKUP($Q78,武学奇术!$A:$ZZ,25,FALSE)</f>
        <v>心法</v>
      </c>
      <c r="AH78" s="26">
        <f>VLOOKUP($Q78,武学奇术!$A:$ZZ,26,FALSE)</f>
        <v>0</v>
      </c>
      <c r="AI78" s="27">
        <f>VLOOKUP($Q78,武学奇术!$A:$ZZ,27,FALSE)*(1+IF(OR($AG78=$F$4,$AG78=$F$5),$B$21,0))</f>
        <v>0</v>
      </c>
      <c r="AJ78" s="26">
        <f>VLOOKUP($Q78,武学奇术!$A:$ZZ,28,FALSE)</f>
        <v>0</v>
      </c>
      <c r="AK78" s="27">
        <f>VLOOKUP($Q78,武学奇术!$A:$ZZ,29,FALSE)*(1+IF(OR($AG78=$F$4,$AG78=$F$5),$B$21,0))</f>
        <v>0</v>
      </c>
      <c r="AL78" s="26" cm="1">
        <f t="array" ref="AL78">$G$3+IFERROR(VLOOKUP($AG78,$F$4:$G$7,2,FALSE),0)+VLOOKUP($Q78,武学奇术!$A:$ZZ,2,FALSE)+SUM(_xlfn.XLOOKUP($R78:$AF78,增益!$A:$A,增益!$B:$B,0))</f>
        <v>0.1842</v>
      </c>
      <c r="AM78" s="26" cm="1">
        <f t="array" ref="AM78">VLOOKUP($Q78,武学奇术!$A:$ZZ,5,FALSE)+SUM(_xlfn.XLOOKUP($R78:$AF78,增益!$A:$A,增益!$E:$E,0))</f>
        <v>0</v>
      </c>
      <c r="AN78" cm="1">
        <f t="array" ref="AN78">$D$10*(1+$AM78)+VLOOKUP($Q78,武学奇术!$A:$ZZ,3,FALSE)+SUM(_xlfn.XLOOKUP($R78:$AF78,增益!$A:$A,增益!$C:$C,0))-$I$2</f>
        <v>3940</v>
      </c>
      <c r="AO78" cm="1">
        <f t="array" ref="AO78">$E$10*(1+$AM78)+VLOOKUP($Q78,武学奇术!$A:$ZZ,4,FALSE)+SUM(_xlfn.XLOOKUP($R78:$AF78,增益!$A:$A,增益!$D:$D,0))-$I$2</f>
        <v>3940</v>
      </c>
      <c r="AP78" s="32" cm="1">
        <f t="array" ref="AP78">IF($F$10-$I$3+VLOOKUP($Q78,武学奇术!$A:$ZZ,6,FALSE)+SUM(_xlfn.XLOOKUP(R78:AF78,增益!$A:$A,增益!$F:$F,0))&gt;0,($F$10-$I$3+VLOOKUP($Q78,武学奇术!$A:$ZZ,6,FALSE)+SUM(_xlfn.XLOOKUP(R78:AF78,增益!$A:$A,增益!$F:$F,0)))/200,($F$10-$I$3+VLOOKUP($Q78,武学奇术!$A:$ZZ,6,FALSE)+SUM(_xlfn.XLOOKUP(R78:AF78,增益!$A:$A,增益!$F:$F,0)))/100)</f>
        <v>0.194</v>
      </c>
      <c r="AQ78" s="32" cm="1">
        <f t="array" ref="AQ78">$G$10+VLOOKUP($Q78,武学奇术!$A:$ZZ,7,FALSE)+SUM(_xlfn.XLOOKUP(R78:AF78,增益!$A:$A,增益!$G:$G,0))</f>
        <v>0</v>
      </c>
      <c r="AR78" s="26" cm="1">
        <f t="array" ref="AR78">VLOOKUP($Q78,武学奇术!$A:$ZZ,8,FALSE)+SUM(_xlfn.XLOOKUP(R78:AF78,增益!$A:$A,增益!$H:$H,0))</f>
        <v>0</v>
      </c>
      <c r="AS78">
        <f t="shared" si="12"/>
        <v>0</v>
      </c>
      <c r="AT78">
        <f t="shared" si="13"/>
        <v>0</v>
      </c>
      <c r="AU78" s="32" cm="1">
        <f t="array" ref="AU78">IF($F$11-$I$4+VLOOKUP($Q78,武学奇术!$A:$ZZ,9,FALSE)+SUM(_xlfn.XLOOKUP(R78:AF78,增益!$A:$A,增益!$I:$I,0))&gt;0,($F$11-$I$4+VLOOKUP($Q78,武学奇术!$A:$ZZ,9,FALSE)+SUM(_xlfn.XLOOKUP(R78:AF78,增益!$A:$A,增益!$I:$I,0)))/200,($F$11-$I$4+VLOOKUP($Q78,武学奇术!$A:$ZZ,9,FALSE)+SUM(_xlfn.XLOOKUP(R78:AF78,增益!$A:$A,增益!$I:$I,0)))/100)</f>
        <v>-0.3</v>
      </c>
      <c r="AV78" s="32" cm="1">
        <f t="array" ref="AV78">$G$11+VLOOKUP($Q78,武学奇术!$A:$ZZ,10,FALSE)+SUM(_xlfn.XLOOKUP(R78:AF78,增益!$A:$A,增益!$J:$J,0))</f>
        <v>0</v>
      </c>
      <c r="AW78">
        <f t="shared" si="14"/>
        <v>0</v>
      </c>
      <c r="AX78">
        <f t="shared" si="15"/>
        <v>0</v>
      </c>
      <c r="AY78" s="32" cm="1">
        <f t="array" ref="AY78">IF($F$12-$I$4+VLOOKUP($Q78,武学奇术!$A:$ZZ,11,FALSE)+SUM(_xlfn.XLOOKUP(R78:AF78,增益!$A:$A,增益!$K:$K,0))&gt;0,($F$12-$I$4+VLOOKUP($Q78,武学奇术!$A:$ZZ,11,FALSE)+SUM(_xlfn.XLOOKUP(R78:AF78,增益!$A:$A,增益!$K:$K,0)))/200,($F$12-$I$4+VLOOKUP($Q78,武学奇术!$A:$ZZ,11,FALSE)+SUM(_xlfn.XLOOKUP(R78:AF78,增益!$A:$A,增益!$K:$K,0)))/100)</f>
        <v>-0.3</v>
      </c>
      <c r="AZ78" s="32" cm="1">
        <f t="array" ref="AZ78">$G$12+VLOOKUP($Q78,武学奇术!$A:$ZZ,12,FALSE)+SUM(_xlfn.XLOOKUP(R78:AF78,增益!$A:$A,增益!$L:$L,0))</f>
        <v>0</v>
      </c>
      <c r="BA78">
        <f t="shared" si="16"/>
        <v>697.4</v>
      </c>
      <c r="BB78">
        <f t="shared" si="17"/>
        <v>1805</v>
      </c>
      <c r="BC78" s="32" cm="1">
        <f t="array" ref="BC78">IF($F$13-$I$4+VLOOKUP($Q78,武学奇术!$A:$ZZ,13,FALSE)+SUM(_xlfn.XLOOKUP(R78:AF78,增益!$A:$A,增益!$M:$M,0))&gt;0,($F$13-$I$4+VLOOKUP($Q78,武学奇术!$A:$ZZ,13,FALSE)+SUM(_xlfn.XLOOKUP(R78:AF78,增益!$A:$A,增益!$K:$K,0)))/200,($F$13-$I$4+VLOOKUP($Q78,武学奇术!$A:$ZZ,13,FALSE)+SUM(_xlfn.XLOOKUP(R78:AF78,增益!$A:$A,增益!$M:$M,0)))/100)</f>
        <v>0</v>
      </c>
      <c r="BD78" s="32" cm="1">
        <f t="array" ref="BD78">$G$13+VLOOKUP($Q78,武学奇术!$A:$ZZ,14,FALSE)+SUM(_xlfn.XLOOKUP(R78:AF78,增益!$A:$A,增益!$N:$N,0))</f>
        <v>0.15</v>
      </c>
      <c r="BE78">
        <f t="shared" si="18"/>
        <v>0</v>
      </c>
      <c r="BF78">
        <f t="shared" si="19"/>
        <v>0</v>
      </c>
      <c r="BG78" s="32" cm="1">
        <f t="array" ref="BG78">IF($F$14-$I$4+VLOOKUP($Q78,武学奇术!$A:$ZZ,15,FALSE)+SUM(_xlfn.XLOOKUP(R78:AF78,增益!$A:$A,增益!$O:$O,0))&gt;0,($F$14-$I$4+VLOOKUP($Q78,武学奇术!$A:$ZZ,15,FALSE)+SUM(_xlfn.XLOOKUP(R78:AF78,增益!$A:$A,增益!$O:$O,0)))/200,($F$14-$I$4+VLOOKUP($Q78,武学奇术!$A:$ZZ,15,FALSE)+SUM(_xlfn.XLOOKUP(R78:AF78,增益!$A:$A,增益!$O:$O,0)))/100)</f>
        <v>-0.3</v>
      </c>
      <c r="BH78" s="32" cm="1">
        <f t="array" ref="BH78">$G$14+VLOOKUP($Q78,武学奇术!$A:$ZZ,16,FALSE)+SUM(_xlfn.XLOOKUP(R78:AF78,增益!$A:$A,增益!$P:$P,0))</f>
        <v>0</v>
      </c>
      <c r="BI78" s="26">
        <f>MIN(IF(VLOOKUP($Q78,武学奇术!$A:$ZZ,23,FALSE)=1,100%,$B$8),100%)</f>
        <v>1</v>
      </c>
      <c r="BJ78" s="26" cm="1">
        <f t="array" ref="BJ78">IF(VLOOKUP($Q78,武学奇术!$A:$ZZ,23,FALSE)=1,100%,MIN(80%,$B$9+VLOOKUP($Q78,武学奇术!$A:$ZZ,17,FALSE)+SUM(_xlfn.XLOOKUP(R78:AF78,增益!$A:$A,增益!$Q:$Q,0)))+$B$11+SUM(_xlfn.XLOOKUP(R78:AF78,增益!$A:$A,增益!$U:$U,0)))*IF(VLOOKUP($Q78,武学奇术!$A:$ZZ,24,FALSE)=1,0,1)</f>
        <v>0.8625</v>
      </c>
      <c r="BK78" s="26" cm="1">
        <f t="array" ref="BK78">1+$B$13+VLOOKUP($Q78,武学奇术!$A:$ZZ,18,FALSE)+SUM(_xlfn.XLOOKUP(R78:AF78,增益!$A:$A,增益!$R:$R,0))</f>
        <v>1.5</v>
      </c>
      <c r="BL78" s="26" cm="1">
        <f t="array" ref="BL78">IF(VLOOKUP($Q78,武学奇术!$A:$ZZ,24,FALSE)=1,100%,MIN(40%,$B$10+VLOOKUP($Q78,武学奇术!$A:$ZZ,19,FALSE)+SUM(_xlfn.XLOOKUP(R78:AF78,增益!$A:$A,增益!$S:$S,0)))+$B$12+SUM(_xlfn.XLOOKUP(R78:AF78,增益!$A:$A,增益!$V:$V,0)))*IF(VLOOKUP($Q78,武学奇术!$A:$ZZ,23,FALSE)=1,0,1)</f>
        <v>0.0913</v>
      </c>
      <c r="BM78" s="26" cm="1">
        <f t="array" ref="BM78">1+$B$14+VLOOKUP($Q78,武学奇术!$A:$ZZ,20,FALSE)+SUM(_xlfn.XLOOKUP(R78:AF78,增益!$A:$A,增益!$T:$T,0))</f>
        <v>1.35</v>
      </c>
      <c r="BN78" s="26">
        <f t="shared" si="20"/>
        <v>0.8625</v>
      </c>
      <c r="BO78" s="26">
        <f t="shared" si="21"/>
        <v>0.0462</v>
      </c>
      <c r="BP78" s="26">
        <f>IF(VLOOKUP($Q78,武学奇术!$A:$ZZ,22,FALSE)=1,0,(1-$BI78))*(1-$BL78)</f>
        <v>0</v>
      </c>
      <c r="BQ78" s="26" cm="1">
        <f t="array" ref="BQ78">SUM(_xlfn.XLOOKUP(R78:AF78,增益!$A:$A,增益!$W:$W,0))+$I$5</f>
        <v>0.06</v>
      </c>
    </row>
    <row r="79" spans="1:69">
      <c r="A79" s="4"/>
      <c r="B79" s="4"/>
      <c r="K79" s="38">
        <f t="shared" si="11"/>
        <v>0</v>
      </c>
      <c r="L79" s="38">
        <f>((($AN79+$AO79)/2*$AH79+$AI79)*(1+$AP79)*(1+$AQ79)+(($AS79+$AT79)/2*IF($G$1="鸣金",$AJ79,$AH79)+IF($G$1="鸣金",$AK79*1.5,0))*(1+$AU79)*(1+$AV79)+(($AW79+$AX79)/2*IF($G$1="裂石",$AJ79,$AH79)+IF($G$1="裂石",$AK79*1.5,0))*(1+$AY79)*(1+$AZ79)+(($BA79+$BB79)/2*IF($G$1="牵丝",$AJ79,$AH79)+IF($G$1="牵丝",$AK79*1.5,0))*(1+$BC79)*(1+$BD79)+(($BE79+$BF79)/2*IF($G$1="破竹",$AJ79,$AH79)+IF($G$1="破竹",$AK79*1.5,0))*(1+$BG79)*(1+$BH79))*(1+$AL79)*$BK79*$P79*(1+IF(VLOOKUP($Q79,武学奇术!$A:$ZZ,30,FALSE)="蓄力技",#REF!,0))*(1+$BQ79)</f>
        <v>0</v>
      </c>
      <c r="M79" s="38">
        <f>(($AO79*$AH79+$AI79)*(1+$AP79)*(1+$AQ79)+($AT79*IF($G$1="鸣金",$AJ79,$AH79)+IF($G$1="鸣金",$AK79*1.5,0))*(1+$AU79)*(1+$AV79)+($AX79*IF($G$1="裂石",$AJ79,$AH79)+IF($G$1="裂石",$AK79*1.5,0))*(1+$AY79)*(1+$AZ79)+($BB79*IF($G$1="牵丝",$AJ79,$AH79)+IF($G$1="牵丝",$AK79*1.5,0))*(1+$BC79)*(1+$BD79)+($BF79*IF($G$1="破竹",$AJ79,$AH79)+IF($G$1="破竹",$AK79*1.5,0))*(1+$BG79)*(1+$BH79))*(1+$AL79)*$BM79*$P79*(1+IF(VLOOKUP($Q79,武学奇术!$A:$ZZ,30,FALSE)="蓄力技",#REF!,0))*(1+$BQ79)</f>
        <v>0</v>
      </c>
      <c r="N79" s="38">
        <f>((($AN79+$AO79)/2*$AH79+$AI79)*(1+$AP79)*(1+$AQ79)+(($AS79+$AT79)/2*IF($G$1="鸣金",$AJ79,$AH79)+IF($G$1="鸣金",$AK79*1.5,0))*(1+$AU79)*(1+$AV79)+(($AW79+$AX79)/2*IF($G$1="裂石",$AJ79,$AH79)+IF($G$1="裂石",$AK79*1.5,0))*(1+$AY79)*(1+$AZ79)+(($BA79+$BB79)/2*IF($G$1="牵丝",$AJ79,$AH79)+IF($G$1="牵丝",$AK79*1.5,0))*(1+$BC79)*(1+$BD79)+(($BE79+$BF79)/2*IF($G$1="破竹",$AJ79,$AH79)+IF($G$1="破竹",$AK79*1.5,0))*(1+$BG79)*(1+$BH79))*(1+$AL79)*$P79*(1+IF(VLOOKUP($Q79,武学奇术!$A:$ZZ,30,FALSE)="蓄力技",#REF!,0))*(1+$BQ79)</f>
        <v>0</v>
      </c>
      <c r="O79" s="38">
        <f>((($AN79*$AH79+$AI79)*(1+$AP79)*(1+$AQ79)+($AS79*IF($G$1="鸣金",$AJ79,$AH79)+IF($G$1="鸣金",$AK79*1.5,0))*(1+$AU79)*(1+$AV79)+($AW79*IF($G$1="裂石",$AJ79,$AH79)+IF($G$1="裂石",$AK79*1.5,0))*(1+$AY79)*(1+$AZ79)+($BA79*IF($G$1="牵丝",$AJ79,$AH79)+IF($G$1="牵丝",$AK79*1.5,0))*(1+$BC79)*(1+$BD79)+($BE79*IF($G$1="破竹",$AJ79,$AH79)+IF($G$1="破竹",$AK79*1.5,0))*(1+$BG79)*(1+$BH79))*(1+$AL79))*$P79*(1+IF(VLOOKUP($Q79,武学奇术!$A:$ZZ,30,FALSE)="蓄力技",#REF!,0))*(1+$BQ79)</f>
        <v>0</v>
      </c>
      <c r="P79" s="39">
        <v>1</v>
      </c>
      <c r="Q79" s="40" t="s">
        <v>76</v>
      </c>
      <c r="R79" s="40" t="s">
        <v>76</v>
      </c>
      <c r="S79" s="40" t="s">
        <v>76</v>
      </c>
      <c r="T79" s="40" t="s">
        <v>76</v>
      </c>
      <c r="U79" s="40" t="s">
        <v>76</v>
      </c>
      <c r="V79" s="40" t="s">
        <v>76</v>
      </c>
      <c r="W79" s="40" t="s">
        <v>76</v>
      </c>
      <c r="X79" s="40" t="s">
        <v>76</v>
      </c>
      <c r="Y79" s="40" t="s">
        <v>76</v>
      </c>
      <c r="Z79" s="40" t="s">
        <v>76</v>
      </c>
      <c r="AA79" s="40" t="s">
        <v>76</v>
      </c>
      <c r="AB79" s="40" t="s">
        <v>76</v>
      </c>
      <c r="AC79" s="40" t="s">
        <v>76</v>
      </c>
      <c r="AD79" s="40" t="s">
        <v>76</v>
      </c>
      <c r="AE79" s="40" t="s">
        <v>76</v>
      </c>
      <c r="AF79" s="40" t="s">
        <v>76</v>
      </c>
      <c r="AG79" t="str">
        <f>VLOOKUP($Q79,武学奇术!$A:$ZZ,25,FALSE)</f>
        <v>心法</v>
      </c>
      <c r="AH79" s="26">
        <f>VLOOKUP($Q79,武学奇术!$A:$ZZ,26,FALSE)</f>
        <v>0</v>
      </c>
      <c r="AI79" s="27">
        <f>VLOOKUP($Q79,武学奇术!$A:$ZZ,27,FALSE)*(1+IF(OR($AG79=$F$4,$AG79=$F$5),$B$21,0))</f>
        <v>0</v>
      </c>
      <c r="AJ79" s="26">
        <f>VLOOKUP($Q79,武学奇术!$A:$ZZ,28,FALSE)</f>
        <v>0</v>
      </c>
      <c r="AK79" s="27">
        <f>VLOOKUP($Q79,武学奇术!$A:$ZZ,29,FALSE)*(1+IF(OR($AG79=$F$4,$AG79=$F$5),$B$21,0))</f>
        <v>0</v>
      </c>
      <c r="AL79" s="26" cm="1">
        <f t="array" ref="AL79">$G$3+IFERROR(VLOOKUP($AG79,$F$4:$G$7,2,FALSE),0)+VLOOKUP($Q79,武学奇术!$A:$ZZ,2,FALSE)+SUM(_xlfn.XLOOKUP($R79:$AF79,增益!$A:$A,增益!$B:$B,0))</f>
        <v>0.1842</v>
      </c>
      <c r="AM79" s="26" cm="1">
        <f t="array" ref="AM79">VLOOKUP($Q79,武学奇术!$A:$ZZ,5,FALSE)+SUM(_xlfn.XLOOKUP($R79:$AF79,增益!$A:$A,增益!$E:$E,0))</f>
        <v>0</v>
      </c>
      <c r="AN79" cm="1">
        <f t="array" ref="AN79">$D$10*(1+$AM79)+VLOOKUP($Q79,武学奇术!$A:$ZZ,3,FALSE)+SUM(_xlfn.XLOOKUP($R79:$AF79,增益!$A:$A,增益!$C:$C,0))-$I$2</f>
        <v>3940</v>
      </c>
      <c r="AO79" cm="1">
        <f t="array" ref="AO79">$E$10*(1+$AM79)+VLOOKUP($Q79,武学奇术!$A:$ZZ,4,FALSE)+SUM(_xlfn.XLOOKUP($R79:$AF79,增益!$A:$A,增益!$D:$D,0))-$I$2</f>
        <v>3940</v>
      </c>
      <c r="AP79" s="32" cm="1">
        <f t="array" ref="AP79">IF($F$10-$I$3+VLOOKUP($Q79,武学奇术!$A:$ZZ,6,FALSE)+SUM(_xlfn.XLOOKUP(R79:AF79,增益!$A:$A,增益!$F:$F,0))&gt;0,($F$10-$I$3+VLOOKUP($Q79,武学奇术!$A:$ZZ,6,FALSE)+SUM(_xlfn.XLOOKUP(R79:AF79,增益!$A:$A,增益!$F:$F,0)))/200,($F$10-$I$3+VLOOKUP($Q79,武学奇术!$A:$ZZ,6,FALSE)+SUM(_xlfn.XLOOKUP(R79:AF79,增益!$A:$A,增益!$F:$F,0)))/100)</f>
        <v>0.194</v>
      </c>
      <c r="AQ79" s="32" cm="1">
        <f t="array" ref="AQ79">$G$10+VLOOKUP($Q79,武学奇术!$A:$ZZ,7,FALSE)+SUM(_xlfn.XLOOKUP(R79:AF79,增益!$A:$A,增益!$G:$G,0))</f>
        <v>0</v>
      </c>
      <c r="AR79" s="26" cm="1">
        <f t="array" ref="AR79">VLOOKUP($Q79,武学奇术!$A:$ZZ,8,FALSE)+SUM(_xlfn.XLOOKUP(R79:AF79,增益!$A:$A,增益!$H:$H,0))</f>
        <v>0</v>
      </c>
      <c r="AS79">
        <f t="shared" si="12"/>
        <v>0</v>
      </c>
      <c r="AT79">
        <f t="shared" si="13"/>
        <v>0</v>
      </c>
      <c r="AU79" s="32" cm="1">
        <f t="array" ref="AU79">IF($F$11-$I$4+VLOOKUP($Q79,武学奇术!$A:$ZZ,9,FALSE)+SUM(_xlfn.XLOOKUP(R79:AF79,增益!$A:$A,增益!$I:$I,0))&gt;0,($F$11-$I$4+VLOOKUP($Q79,武学奇术!$A:$ZZ,9,FALSE)+SUM(_xlfn.XLOOKUP(R79:AF79,增益!$A:$A,增益!$I:$I,0)))/200,($F$11-$I$4+VLOOKUP($Q79,武学奇术!$A:$ZZ,9,FALSE)+SUM(_xlfn.XLOOKUP(R79:AF79,增益!$A:$A,增益!$I:$I,0)))/100)</f>
        <v>-0.3</v>
      </c>
      <c r="AV79" s="32" cm="1">
        <f t="array" ref="AV79">$G$11+VLOOKUP($Q79,武学奇术!$A:$ZZ,10,FALSE)+SUM(_xlfn.XLOOKUP(R79:AF79,增益!$A:$A,增益!$J:$J,0))</f>
        <v>0</v>
      </c>
      <c r="AW79">
        <f t="shared" si="14"/>
        <v>0</v>
      </c>
      <c r="AX79">
        <f t="shared" si="15"/>
        <v>0</v>
      </c>
      <c r="AY79" s="32" cm="1">
        <f t="array" ref="AY79">IF($F$12-$I$4+VLOOKUP($Q79,武学奇术!$A:$ZZ,11,FALSE)+SUM(_xlfn.XLOOKUP(R79:AF79,增益!$A:$A,增益!$K:$K,0))&gt;0,($F$12-$I$4+VLOOKUP($Q79,武学奇术!$A:$ZZ,11,FALSE)+SUM(_xlfn.XLOOKUP(R79:AF79,增益!$A:$A,增益!$K:$K,0)))/200,($F$12-$I$4+VLOOKUP($Q79,武学奇术!$A:$ZZ,11,FALSE)+SUM(_xlfn.XLOOKUP(R79:AF79,增益!$A:$A,增益!$K:$K,0)))/100)</f>
        <v>-0.3</v>
      </c>
      <c r="AZ79" s="32" cm="1">
        <f t="array" ref="AZ79">$G$12+VLOOKUP($Q79,武学奇术!$A:$ZZ,12,FALSE)+SUM(_xlfn.XLOOKUP(R79:AF79,增益!$A:$A,增益!$L:$L,0))</f>
        <v>0</v>
      </c>
      <c r="BA79">
        <f t="shared" si="16"/>
        <v>697.4</v>
      </c>
      <c r="BB79">
        <f t="shared" si="17"/>
        <v>1805</v>
      </c>
      <c r="BC79" s="32" cm="1">
        <f t="array" ref="BC79">IF($F$13-$I$4+VLOOKUP($Q79,武学奇术!$A:$ZZ,13,FALSE)+SUM(_xlfn.XLOOKUP(R79:AF79,增益!$A:$A,增益!$M:$M,0))&gt;0,($F$13-$I$4+VLOOKUP($Q79,武学奇术!$A:$ZZ,13,FALSE)+SUM(_xlfn.XLOOKUP(R79:AF79,增益!$A:$A,增益!$K:$K,0)))/200,($F$13-$I$4+VLOOKUP($Q79,武学奇术!$A:$ZZ,13,FALSE)+SUM(_xlfn.XLOOKUP(R79:AF79,增益!$A:$A,增益!$M:$M,0)))/100)</f>
        <v>0</v>
      </c>
      <c r="BD79" s="32" cm="1">
        <f t="array" ref="BD79">$G$13+VLOOKUP($Q79,武学奇术!$A:$ZZ,14,FALSE)+SUM(_xlfn.XLOOKUP(R79:AF79,增益!$A:$A,增益!$N:$N,0))</f>
        <v>0.15</v>
      </c>
      <c r="BE79">
        <f t="shared" si="18"/>
        <v>0</v>
      </c>
      <c r="BF79">
        <f t="shared" si="19"/>
        <v>0</v>
      </c>
      <c r="BG79" s="32" cm="1">
        <f t="array" ref="BG79">IF($F$14-$I$4+VLOOKUP($Q79,武学奇术!$A:$ZZ,15,FALSE)+SUM(_xlfn.XLOOKUP(R79:AF79,增益!$A:$A,增益!$O:$O,0))&gt;0,($F$14-$I$4+VLOOKUP($Q79,武学奇术!$A:$ZZ,15,FALSE)+SUM(_xlfn.XLOOKUP(R79:AF79,增益!$A:$A,增益!$O:$O,0)))/200,($F$14-$I$4+VLOOKUP($Q79,武学奇术!$A:$ZZ,15,FALSE)+SUM(_xlfn.XLOOKUP(R79:AF79,增益!$A:$A,增益!$O:$O,0)))/100)</f>
        <v>-0.3</v>
      </c>
      <c r="BH79" s="32" cm="1">
        <f t="array" ref="BH79">$G$14+VLOOKUP($Q79,武学奇术!$A:$ZZ,16,FALSE)+SUM(_xlfn.XLOOKUP(R79:AF79,增益!$A:$A,增益!$P:$P,0))</f>
        <v>0</v>
      </c>
      <c r="BI79" s="26">
        <f>MIN(IF(VLOOKUP($Q79,武学奇术!$A:$ZZ,23,FALSE)=1,100%,$B$8),100%)</f>
        <v>1</v>
      </c>
      <c r="BJ79" s="26" cm="1">
        <f t="array" ref="BJ79">IF(VLOOKUP($Q79,武学奇术!$A:$ZZ,23,FALSE)=1,100%,MIN(80%,$B$9+VLOOKUP($Q79,武学奇术!$A:$ZZ,17,FALSE)+SUM(_xlfn.XLOOKUP(R79:AF79,增益!$A:$A,增益!$Q:$Q,0)))+$B$11+SUM(_xlfn.XLOOKUP(R79:AF79,增益!$A:$A,增益!$U:$U,0)))*IF(VLOOKUP($Q79,武学奇术!$A:$ZZ,24,FALSE)=1,0,1)</f>
        <v>0.8625</v>
      </c>
      <c r="BK79" s="26" cm="1">
        <f t="array" ref="BK79">1+$B$13+VLOOKUP($Q79,武学奇术!$A:$ZZ,18,FALSE)+SUM(_xlfn.XLOOKUP(R79:AF79,增益!$A:$A,增益!$R:$R,0))</f>
        <v>1.5</v>
      </c>
      <c r="BL79" s="26" cm="1">
        <f t="array" ref="BL79">IF(VLOOKUP($Q79,武学奇术!$A:$ZZ,24,FALSE)=1,100%,MIN(40%,$B$10+VLOOKUP($Q79,武学奇术!$A:$ZZ,19,FALSE)+SUM(_xlfn.XLOOKUP(R79:AF79,增益!$A:$A,增益!$S:$S,0)))+$B$12+SUM(_xlfn.XLOOKUP(R79:AF79,增益!$A:$A,增益!$V:$V,0)))*IF(VLOOKUP($Q79,武学奇术!$A:$ZZ,23,FALSE)=1,0,1)</f>
        <v>0.0913</v>
      </c>
      <c r="BM79" s="26" cm="1">
        <f t="array" ref="BM79">1+$B$14+VLOOKUP($Q79,武学奇术!$A:$ZZ,20,FALSE)+SUM(_xlfn.XLOOKUP(R79:AF79,增益!$A:$A,增益!$T:$T,0))</f>
        <v>1.35</v>
      </c>
      <c r="BN79" s="26">
        <f t="shared" si="20"/>
        <v>0.8625</v>
      </c>
      <c r="BO79" s="26">
        <f t="shared" si="21"/>
        <v>0.0462</v>
      </c>
      <c r="BP79" s="26">
        <f>IF(VLOOKUP($Q79,武学奇术!$A:$ZZ,22,FALSE)=1,0,(1-$BI79))*(1-$BL79)</f>
        <v>0</v>
      </c>
      <c r="BQ79" s="26" cm="1">
        <f t="array" ref="BQ79">SUM(_xlfn.XLOOKUP(R79:AF79,增益!$A:$A,增益!$W:$W,0))+$I$5</f>
        <v>0.06</v>
      </c>
    </row>
    <row r="80" spans="1:69">
      <c r="A80" s="4"/>
      <c r="B80" s="4"/>
      <c r="C80" s="39"/>
      <c r="K80" s="38">
        <f t="shared" si="11"/>
        <v>0</v>
      </c>
      <c r="L80" s="38">
        <f>((($AN80+$AO80)/2*$AH80+$AI80)*(1+$AP80)*(1+$AQ80)+(($AS80+$AT80)/2*IF($G$1="鸣金",$AJ80,$AH80)+IF($G$1="鸣金",$AK80*1.5,0))*(1+$AU80)*(1+$AV80)+(($AW80+$AX80)/2*IF($G$1="裂石",$AJ80,$AH80)+IF($G$1="裂石",$AK80*1.5,0))*(1+$AY80)*(1+$AZ80)+(($BA80+$BB80)/2*IF($G$1="牵丝",$AJ80,$AH80)+IF($G$1="牵丝",$AK80*1.5,0))*(1+$BC80)*(1+$BD80)+(($BE80+$BF80)/2*IF($G$1="破竹",$AJ80,$AH80)+IF($G$1="破竹",$AK80*1.5,0))*(1+$BG80)*(1+$BH80))*(1+$AL80)*$BK80*$P80*(1+IF(VLOOKUP($Q80,武学奇术!$A:$ZZ,30,FALSE)="蓄力技",#REF!,0))*(1+$BQ80)</f>
        <v>0</v>
      </c>
      <c r="M80" s="38">
        <f>(($AO80*$AH80+$AI80)*(1+$AP80)*(1+$AQ80)+($AT80*IF($G$1="鸣金",$AJ80,$AH80)+IF($G$1="鸣金",$AK80*1.5,0))*(1+$AU80)*(1+$AV80)+($AX80*IF($G$1="裂石",$AJ80,$AH80)+IF($G$1="裂石",$AK80*1.5,0))*(1+$AY80)*(1+$AZ80)+($BB80*IF($G$1="牵丝",$AJ80,$AH80)+IF($G$1="牵丝",$AK80*1.5,0))*(1+$BC80)*(1+$BD80)+($BF80*IF($G$1="破竹",$AJ80,$AH80)+IF($G$1="破竹",$AK80*1.5,0))*(1+$BG80)*(1+$BH80))*(1+$AL80)*$BM80*$P80*(1+IF(VLOOKUP($Q80,武学奇术!$A:$ZZ,30,FALSE)="蓄力技",#REF!,0))*(1+$BQ80)</f>
        <v>0</v>
      </c>
      <c r="N80" s="38">
        <f>((($AN80+$AO80)/2*$AH80+$AI80)*(1+$AP80)*(1+$AQ80)+(($AS80+$AT80)/2*IF($G$1="鸣金",$AJ80,$AH80)+IF($G$1="鸣金",$AK80*1.5,0))*(1+$AU80)*(1+$AV80)+(($AW80+$AX80)/2*IF($G$1="裂石",$AJ80,$AH80)+IF($G$1="裂石",$AK80*1.5,0))*(1+$AY80)*(1+$AZ80)+(($BA80+$BB80)/2*IF($G$1="牵丝",$AJ80,$AH80)+IF($G$1="牵丝",$AK80*1.5,0))*(1+$BC80)*(1+$BD80)+(($BE80+$BF80)/2*IF($G$1="破竹",$AJ80,$AH80)+IF($G$1="破竹",$AK80*1.5,0))*(1+$BG80)*(1+$BH80))*(1+$AL80)*$P80*(1+IF(VLOOKUP($Q80,武学奇术!$A:$ZZ,30,FALSE)="蓄力技",#REF!,0))*(1+$BQ80)</f>
        <v>0</v>
      </c>
      <c r="O80" s="38">
        <f>((($AN80*$AH80+$AI80)*(1+$AP80)*(1+$AQ80)+($AS80*IF($G$1="鸣金",$AJ80,$AH80)+IF($G$1="鸣金",$AK80*1.5,0))*(1+$AU80)*(1+$AV80)+($AW80*IF($G$1="裂石",$AJ80,$AH80)+IF($G$1="裂石",$AK80*1.5,0))*(1+$AY80)*(1+$AZ80)+($BA80*IF($G$1="牵丝",$AJ80,$AH80)+IF($G$1="牵丝",$AK80*1.5,0))*(1+$BC80)*(1+$BD80)+($BE80*IF($G$1="破竹",$AJ80,$AH80)+IF($G$1="破竹",$AK80*1.5,0))*(1+$BG80)*(1+$BH80))*(1+$AL80))*$P80*(1+IF(VLOOKUP($Q80,武学奇术!$A:$ZZ,30,FALSE)="蓄力技",#REF!,0))*(1+$BQ80)</f>
        <v>0</v>
      </c>
      <c r="P80" s="39">
        <v>1</v>
      </c>
      <c r="Q80" s="40" t="s">
        <v>76</v>
      </c>
      <c r="R80" s="40" t="s">
        <v>76</v>
      </c>
      <c r="S80" s="40" t="s">
        <v>76</v>
      </c>
      <c r="T80" s="40" t="s">
        <v>76</v>
      </c>
      <c r="U80" s="40" t="s">
        <v>76</v>
      </c>
      <c r="V80" s="40" t="s">
        <v>76</v>
      </c>
      <c r="W80" s="40" t="s">
        <v>76</v>
      </c>
      <c r="X80" s="40" t="s">
        <v>76</v>
      </c>
      <c r="Y80" s="40" t="s">
        <v>76</v>
      </c>
      <c r="Z80" s="40" t="s">
        <v>76</v>
      </c>
      <c r="AA80" s="40" t="s">
        <v>76</v>
      </c>
      <c r="AB80" s="40" t="s">
        <v>76</v>
      </c>
      <c r="AC80" s="40" t="s">
        <v>76</v>
      </c>
      <c r="AD80" s="40" t="s">
        <v>76</v>
      </c>
      <c r="AE80" s="40" t="s">
        <v>76</v>
      </c>
      <c r="AF80" s="40" t="s">
        <v>76</v>
      </c>
      <c r="AG80" t="str">
        <f>VLOOKUP($Q80,武学奇术!$A:$ZZ,25,FALSE)</f>
        <v>心法</v>
      </c>
      <c r="AH80" s="26">
        <f>VLOOKUP($Q80,武学奇术!$A:$ZZ,26,FALSE)</f>
        <v>0</v>
      </c>
      <c r="AI80" s="27">
        <f>VLOOKUP($Q80,武学奇术!$A:$ZZ,27,FALSE)*(1+IF(OR($AG80=$F$4,$AG80=$F$5),$B$21,0))</f>
        <v>0</v>
      </c>
      <c r="AJ80" s="26">
        <f>VLOOKUP($Q80,武学奇术!$A:$ZZ,28,FALSE)</f>
        <v>0</v>
      </c>
      <c r="AK80" s="27">
        <f>VLOOKUP($Q80,武学奇术!$A:$ZZ,29,FALSE)*(1+IF(OR($AG80=$F$4,$AG80=$F$5),$B$21,0))</f>
        <v>0</v>
      </c>
      <c r="AL80" s="26" cm="1">
        <f t="array" ref="AL80">$G$3+IFERROR(VLOOKUP($AG80,$F$4:$G$7,2,FALSE),0)+VLOOKUP($Q80,武学奇术!$A:$ZZ,2,FALSE)+SUM(_xlfn.XLOOKUP($R80:$AF80,增益!$A:$A,增益!$B:$B,0))</f>
        <v>0.1842</v>
      </c>
      <c r="AM80" s="26" cm="1">
        <f t="array" ref="AM80">VLOOKUP($Q80,武学奇术!$A:$ZZ,5,FALSE)+SUM(_xlfn.XLOOKUP($R80:$AF80,增益!$A:$A,增益!$E:$E,0))</f>
        <v>0</v>
      </c>
      <c r="AN80" cm="1">
        <f t="array" ref="AN80">$D$10*(1+$AM80)+VLOOKUP($Q80,武学奇术!$A:$ZZ,3,FALSE)+SUM(_xlfn.XLOOKUP($R80:$AF80,增益!$A:$A,增益!$C:$C,0))-$I$2</f>
        <v>3940</v>
      </c>
      <c r="AO80" cm="1">
        <f t="array" ref="AO80">$E$10*(1+$AM80)+VLOOKUP($Q80,武学奇术!$A:$ZZ,4,FALSE)+SUM(_xlfn.XLOOKUP($R80:$AF80,增益!$A:$A,增益!$D:$D,0))-$I$2</f>
        <v>3940</v>
      </c>
      <c r="AP80" s="32" cm="1">
        <f t="array" ref="AP80">IF($F$10-$I$3+VLOOKUP($Q80,武学奇术!$A:$ZZ,6,FALSE)+SUM(_xlfn.XLOOKUP(R80:AF80,增益!$A:$A,增益!$F:$F,0))&gt;0,($F$10-$I$3+VLOOKUP($Q80,武学奇术!$A:$ZZ,6,FALSE)+SUM(_xlfn.XLOOKUP(R80:AF80,增益!$A:$A,增益!$F:$F,0)))/200,($F$10-$I$3+VLOOKUP($Q80,武学奇术!$A:$ZZ,6,FALSE)+SUM(_xlfn.XLOOKUP(R80:AF80,增益!$A:$A,增益!$F:$F,0)))/100)</f>
        <v>0.194</v>
      </c>
      <c r="AQ80" s="32" cm="1">
        <f t="array" ref="AQ80">$G$10+VLOOKUP($Q80,武学奇术!$A:$ZZ,7,FALSE)+SUM(_xlfn.XLOOKUP(R80:AF80,增益!$A:$A,增益!$G:$G,0))</f>
        <v>0</v>
      </c>
      <c r="AR80" s="26" cm="1">
        <f t="array" ref="AR80">VLOOKUP($Q80,武学奇术!$A:$ZZ,8,FALSE)+SUM(_xlfn.XLOOKUP(R80:AF80,增益!$A:$A,增益!$H:$H,0))</f>
        <v>0</v>
      </c>
      <c r="AS80">
        <f t="shared" si="12"/>
        <v>0</v>
      </c>
      <c r="AT80">
        <f t="shared" si="13"/>
        <v>0</v>
      </c>
      <c r="AU80" s="32" cm="1">
        <f t="array" ref="AU80">IF($F$11-$I$4+VLOOKUP($Q80,武学奇术!$A:$ZZ,9,FALSE)+SUM(_xlfn.XLOOKUP(R80:AF80,增益!$A:$A,增益!$I:$I,0))&gt;0,($F$11-$I$4+VLOOKUP($Q80,武学奇术!$A:$ZZ,9,FALSE)+SUM(_xlfn.XLOOKUP(R80:AF80,增益!$A:$A,增益!$I:$I,0)))/200,($F$11-$I$4+VLOOKUP($Q80,武学奇术!$A:$ZZ,9,FALSE)+SUM(_xlfn.XLOOKUP(R80:AF80,增益!$A:$A,增益!$I:$I,0)))/100)</f>
        <v>-0.3</v>
      </c>
      <c r="AV80" s="32" cm="1">
        <f t="array" ref="AV80">$G$11+VLOOKUP($Q80,武学奇术!$A:$ZZ,10,FALSE)+SUM(_xlfn.XLOOKUP(R80:AF80,增益!$A:$A,增益!$J:$J,0))</f>
        <v>0</v>
      </c>
      <c r="AW80">
        <f t="shared" si="14"/>
        <v>0</v>
      </c>
      <c r="AX80">
        <f t="shared" si="15"/>
        <v>0</v>
      </c>
      <c r="AY80" s="32" cm="1">
        <f t="array" ref="AY80">IF($F$12-$I$4+VLOOKUP($Q80,武学奇术!$A:$ZZ,11,FALSE)+SUM(_xlfn.XLOOKUP(R80:AF80,增益!$A:$A,增益!$K:$K,0))&gt;0,($F$12-$I$4+VLOOKUP($Q80,武学奇术!$A:$ZZ,11,FALSE)+SUM(_xlfn.XLOOKUP(R80:AF80,增益!$A:$A,增益!$K:$K,0)))/200,($F$12-$I$4+VLOOKUP($Q80,武学奇术!$A:$ZZ,11,FALSE)+SUM(_xlfn.XLOOKUP(R80:AF80,增益!$A:$A,增益!$K:$K,0)))/100)</f>
        <v>-0.3</v>
      </c>
      <c r="AZ80" s="32" cm="1">
        <f t="array" ref="AZ80">$G$12+VLOOKUP($Q80,武学奇术!$A:$ZZ,12,FALSE)+SUM(_xlfn.XLOOKUP(R80:AF80,增益!$A:$A,增益!$L:$L,0))</f>
        <v>0</v>
      </c>
      <c r="BA80">
        <f t="shared" si="16"/>
        <v>697.4</v>
      </c>
      <c r="BB80">
        <f t="shared" si="17"/>
        <v>1805</v>
      </c>
      <c r="BC80" s="32" cm="1">
        <f t="array" ref="BC80">IF($F$13-$I$4+VLOOKUP($Q80,武学奇术!$A:$ZZ,13,FALSE)+SUM(_xlfn.XLOOKUP(R80:AF80,增益!$A:$A,增益!$M:$M,0))&gt;0,($F$13-$I$4+VLOOKUP($Q80,武学奇术!$A:$ZZ,13,FALSE)+SUM(_xlfn.XLOOKUP(R80:AF80,增益!$A:$A,增益!$K:$K,0)))/200,($F$13-$I$4+VLOOKUP($Q80,武学奇术!$A:$ZZ,13,FALSE)+SUM(_xlfn.XLOOKUP(R80:AF80,增益!$A:$A,增益!$M:$M,0)))/100)</f>
        <v>0</v>
      </c>
      <c r="BD80" s="32" cm="1">
        <f t="array" ref="BD80">$G$13+VLOOKUP($Q80,武学奇术!$A:$ZZ,14,FALSE)+SUM(_xlfn.XLOOKUP(R80:AF80,增益!$A:$A,增益!$N:$N,0))</f>
        <v>0.15</v>
      </c>
      <c r="BE80">
        <f t="shared" si="18"/>
        <v>0</v>
      </c>
      <c r="BF80">
        <f t="shared" si="19"/>
        <v>0</v>
      </c>
      <c r="BG80" s="32" cm="1">
        <f t="array" ref="BG80">IF($F$14-$I$4+VLOOKUP($Q80,武学奇术!$A:$ZZ,15,FALSE)+SUM(_xlfn.XLOOKUP(R80:AF80,增益!$A:$A,增益!$O:$O,0))&gt;0,($F$14-$I$4+VLOOKUP($Q80,武学奇术!$A:$ZZ,15,FALSE)+SUM(_xlfn.XLOOKUP(R80:AF80,增益!$A:$A,增益!$O:$O,0)))/200,($F$14-$I$4+VLOOKUP($Q80,武学奇术!$A:$ZZ,15,FALSE)+SUM(_xlfn.XLOOKUP(R80:AF80,增益!$A:$A,增益!$O:$O,0)))/100)</f>
        <v>-0.3</v>
      </c>
      <c r="BH80" s="32" cm="1">
        <f t="array" ref="BH80">$G$14+VLOOKUP($Q80,武学奇术!$A:$ZZ,16,FALSE)+SUM(_xlfn.XLOOKUP(R80:AF80,增益!$A:$A,增益!$P:$P,0))</f>
        <v>0</v>
      </c>
      <c r="BI80" s="26">
        <f>MIN(IF(VLOOKUP($Q80,武学奇术!$A:$ZZ,23,FALSE)=1,100%,$B$8),100%)</f>
        <v>1</v>
      </c>
      <c r="BJ80" s="26" cm="1">
        <f t="array" ref="BJ80">IF(VLOOKUP($Q80,武学奇术!$A:$ZZ,23,FALSE)=1,100%,MIN(80%,$B$9+VLOOKUP($Q80,武学奇术!$A:$ZZ,17,FALSE)+SUM(_xlfn.XLOOKUP(R80:AF80,增益!$A:$A,增益!$Q:$Q,0)))+$B$11+SUM(_xlfn.XLOOKUP(R80:AF80,增益!$A:$A,增益!$U:$U,0)))*IF(VLOOKUP($Q80,武学奇术!$A:$ZZ,24,FALSE)=1,0,1)</f>
        <v>0.8625</v>
      </c>
      <c r="BK80" s="26" cm="1">
        <f t="array" ref="BK80">1+$B$13+VLOOKUP($Q80,武学奇术!$A:$ZZ,18,FALSE)+SUM(_xlfn.XLOOKUP(R80:AF80,增益!$A:$A,增益!$R:$R,0))</f>
        <v>1.5</v>
      </c>
      <c r="BL80" s="26" cm="1">
        <f t="array" ref="BL80">IF(VLOOKUP($Q80,武学奇术!$A:$ZZ,24,FALSE)=1,100%,MIN(40%,$B$10+VLOOKUP($Q80,武学奇术!$A:$ZZ,19,FALSE)+SUM(_xlfn.XLOOKUP(R80:AF80,增益!$A:$A,增益!$S:$S,0)))+$B$12+SUM(_xlfn.XLOOKUP(R80:AF80,增益!$A:$A,增益!$V:$V,0)))*IF(VLOOKUP($Q80,武学奇术!$A:$ZZ,23,FALSE)=1,0,1)</f>
        <v>0.0913</v>
      </c>
      <c r="BM80" s="26" cm="1">
        <f t="array" ref="BM80">1+$B$14+VLOOKUP($Q80,武学奇术!$A:$ZZ,20,FALSE)+SUM(_xlfn.XLOOKUP(R80:AF80,增益!$A:$A,增益!$T:$T,0))</f>
        <v>1.35</v>
      </c>
      <c r="BN80" s="26">
        <f t="shared" si="20"/>
        <v>0.8625</v>
      </c>
      <c r="BO80" s="26">
        <f t="shared" si="21"/>
        <v>0.0462</v>
      </c>
      <c r="BP80" s="26">
        <f>IF(VLOOKUP($Q80,武学奇术!$A:$ZZ,22,FALSE)=1,0,(1-$BI80))*(1-$BL80)</f>
        <v>0</v>
      </c>
      <c r="BQ80" s="26" cm="1">
        <f t="array" ref="BQ80">SUM(_xlfn.XLOOKUP(R80:AF80,增益!$A:$A,增益!$W:$W,0))+$I$5</f>
        <v>0.06</v>
      </c>
    </row>
    <row r="81" spans="1:69">
      <c r="K81" s="38">
        <f t="shared" si="11"/>
        <v>0</v>
      </c>
      <c r="L81" s="38">
        <f>((($AN81+$AO81)/2*$AH81+$AI81)*(1+$AP81)*(1+$AQ81)+(($AS81+$AT81)/2*IF($G$1="鸣金",$AJ81,$AH81)+IF($G$1="鸣金",$AK81*1.5,0))*(1+$AU81)*(1+$AV81)+(($AW81+$AX81)/2*IF($G$1="裂石",$AJ81,$AH81)+IF($G$1="裂石",$AK81*1.5,0))*(1+$AY81)*(1+$AZ81)+(($BA81+$BB81)/2*IF($G$1="牵丝",$AJ81,$AH81)+IF($G$1="牵丝",$AK81*1.5,0))*(1+$BC81)*(1+$BD81)+(($BE81+$BF81)/2*IF($G$1="破竹",$AJ81,$AH81)+IF($G$1="破竹",$AK81*1.5,0))*(1+$BG81)*(1+$BH81))*(1+$AL81)*$BK81*$P81*(1+IF(VLOOKUP($Q81,武学奇术!$A:$ZZ,30,FALSE)="蓄力技",#REF!,0))*(1+$BQ81)</f>
        <v>0</v>
      </c>
      <c r="M81" s="38">
        <f>(($AO81*$AH81+$AI81)*(1+$AP81)*(1+$AQ81)+($AT81*IF($G$1="鸣金",$AJ81,$AH81)+IF($G$1="鸣金",$AK81*1.5,0))*(1+$AU81)*(1+$AV81)+($AX81*IF($G$1="裂石",$AJ81,$AH81)+IF($G$1="裂石",$AK81*1.5,0))*(1+$AY81)*(1+$AZ81)+($BB81*IF($G$1="牵丝",$AJ81,$AH81)+IF($G$1="牵丝",$AK81*1.5,0))*(1+$BC81)*(1+$BD81)+($BF81*IF($G$1="破竹",$AJ81,$AH81)+IF($G$1="破竹",$AK81*1.5,0))*(1+$BG81)*(1+$BH81))*(1+$AL81)*$BM81*$P81*(1+IF(VLOOKUP($Q81,武学奇术!$A:$ZZ,30,FALSE)="蓄力技",#REF!,0))*(1+$BQ81)</f>
        <v>0</v>
      </c>
      <c r="N81" s="38">
        <f>((($AN81+$AO81)/2*$AH81+$AI81)*(1+$AP81)*(1+$AQ81)+(($AS81+$AT81)/2*IF($G$1="鸣金",$AJ81,$AH81)+IF($G$1="鸣金",$AK81*1.5,0))*(1+$AU81)*(1+$AV81)+(($AW81+$AX81)/2*IF($G$1="裂石",$AJ81,$AH81)+IF($G$1="裂石",$AK81*1.5,0))*(1+$AY81)*(1+$AZ81)+(($BA81+$BB81)/2*IF($G$1="牵丝",$AJ81,$AH81)+IF($G$1="牵丝",$AK81*1.5,0))*(1+$BC81)*(1+$BD81)+(($BE81+$BF81)/2*IF($G$1="破竹",$AJ81,$AH81)+IF($G$1="破竹",$AK81*1.5,0))*(1+$BG81)*(1+$BH81))*(1+$AL81)*$P81*(1+IF(VLOOKUP($Q81,武学奇术!$A:$ZZ,30,FALSE)="蓄力技",#REF!,0))*(1+$BQ81)</f>
        <v>0</v>
      </c>
      <c r="O81" s="38">
        <f>((($AN81*$AH81+$AI81)*(1+$AP81)*(1+$AQ81)+($AS81*IF($G$1="鸣金",$AJ81,$AH81)+IF($G$1="鸣金",$AK81*1.5,0))*(1+$AU81)*(1+$AV81)+($AW81*IF($G$1="裂石",$AJ81,$AH81)+IF($G$1="裂石",$AK81*1.5,0))*(1+$AY81)*(1+$AZ81)+($BA81*IF($G$1="牵丝",$AJ81,$AH81)+IF($G$1="牵丝",$AK81*1.5,0))*(1+$BC81)*(1+$BD81)+($BE81*IF($G$1="破竹",$AJ81,$AH81)+IF($G$1="破竹",$AK81*1.5,0))*(1+$BG81)*(1+$BH81))*(1+$AL81))*$P81*(1+IF(VLOOKUP($Q81,武学奇术!$A:$ZZ,30,FALSE)="蓄力技",#REF!,0))*(1+$BQ81)</f>
        <v>0</v>
      </c>
      <c r="P81" s="39">
        <v>1</v>
      </c>
      <c r="Q81" s="40" t="s">
        <v>76</v>
      </c>
      <c r="R81" s="40" t="s">
        <v>76</v>
      </c>
      <c r="S81" s="40" t="s">
        <v>76</v>
      </c>
      <c r="T81" s="40" t="s">
        <v>76</v>
      </c>
      <c r="U81" s="40" t="s">
        <v>76</v>
      </c>
      <c r="V81" s="40" t="s">
        <v>76</v>
      </c>
      <c r="W81" s="40" t="s">
        <v>76</v>
      </c>
      <c r="X81" s="40" t="s">
        <v>76</v>
      </c>
      <c r="Y81" s="40" t="s">
        <v>76</v>
      </c>
      <c r="Z81" s="40" t="s">
        <v>76</v>
      </c>
      <c r="AA81" s="40" t="s">
        <v>76</v>
      </c>
      <c r="AB81" s="40" t="s">
        <v>76</v>
      </c>
      <c r="AC81" s="40" t="s">
        <v>76</v>
      </c>
      <c r="AD81" s="40" t="s">
        <v>76</v>
      </c>
      <c r="AE81" s="40" t="s">
        <v>76</v>
      </c>
      <c r="AF81" s="40" t="s">
        <v>76</v>
      </c>
      <c r="AG81" t="str">
        <f>VLOOKUP($Q81,武学奇术!$A:$ZZ,25,FALSE)</f>
        <v>心法</v>
      </c>
      <c r="AH81" s="26">
        <f>VLOOKUP($Q81,武学奇术!$A:$ZZ,26,FALSE)</f>
        <v>0</v>
      </c>
      <c r="AI81" s="27">
        <f>VLOOKUP($Q81,武学奇术!$A:$ZZ,27,FALSE)*(1+IF(OR($AG81=$F$4,$AG81=$F$5),$B$21,0))</f>
        <v>0</v>
      </c>
      <c r="AJ81" s="26">
        <f>VLOOKUP($Q81,武学奇术!$A:$ZZ,28,FALSE)</f>
        <v>0</v>
      </c>
      <c r="AK81" s="27">
        <f>VLOOKUP($Q81,武学奇术!$A:$ZZ,29,FALSE)*(1+IF(OR($AG81=$F$4,$AG81=$F$5),$B$21,0))</f>
        <v>0</v>
      </c>
      <c r="AL81" s="26" cm="1">
        <f t="array" ref="AL81">$G$3+IFERROR(VLOOKUP($AG81,$F$4:$G$7,2,FALSE),0)+VLOOKUP($Q81,武学奇术!$A:$ZZ,2,FALSE)+SUM(_xlfn.XLOOKUP($R81:$AF81,增益!$A:$A,增益!$B:$B,0))</f>
        <v>0.1842</v>
      </c>
      <c r="AM81" s="26" cm="1">
        <f t="array" ref="AM81">VLOOKUP($Q81,武学奇术!$A:$ZZ,5,FALSE)+SUM(_xlfn.XLOOKUP($R81:$AF81,增益!$A:$A,增益!$E:$E,0))</f>
        <v>0</v>
      </c>
      <c r="AN81" cm="1">
        <f t="array" ref="AN81">$D$10*(1+$AM81)+VLOOKUP($Q81,武学奇术!$A:$ZZ,3,FALSE)+SUM(_xlfn.XLOOKUP($R81:$AF81,增益!$A:$A,增益!$C:$C,0))-$I$2</f>
        <v>3940</v>
      </c>
      <c r="AO81" cm="1">
        <f t="array" ref="AO81">$E$10*(1+$AM81)+VLOOKUP($Q81,武学奇术!$A:$ZZ,4,FALSE)+SUM(_xlfn.XLOOKUP($R81:$AF81,增益!$A:$A,增益!$D:$D,0))-$I$2</f>
        <v>3940</v>
      </c>
      <c r="AP81" s="32" cm="1">
        <f t="array" ref="AP81">IF($F$10-$I$3+VLOOKUP($Q81,武学奇术!$A:$ZZ,6,FALSE)+SUM(_xlfn.XLOOKUP(R81:AF81,增益!$A:$A,增益!$F:$F,0))&gt;0,($F$10-$I$3+VLOOKUP($Q81,武学奇术!$A:$ZZ,6,FALSE)+SUM(_xlfn.XLOOKUP(R81:AF81,增益!$A:$A,增益!$F:$F,0)))/200,($F$10-$I$3+VLOOKUP($Q81,武学奇术!$A:$ZZ,6,FALSE)+SUM(_xlfn.XLOOKUP(R81:AF81,增益!$A:$A,增益!$F:$F,0)))/100)</f>
        <v>0.194</v>
      </c>
      <c r="AQ81" s="32" cm="1">
        <f t="array" ref="AQ81">$G$10+VLOOKUP($Q81,武学奇术!$A:$ZZ,7,FALSE)+SUM(_xlfn.XLOOKUP(R81:AF81,增益!$A:$A,增益!$G:$G,0))</f>
        <v>0</v>
      </c>
      <c r="AR81" s="26" cm="1">
        <f t="array" ref="AR81">VLOOKUP($Q81,武学奇术!$A:$ZZ,8,FALSE)+SUM(_xlfn.XLOOKUP(R81:AF81,增益!$A:$A,增益!$H:$H,0))</f>
        <v>0</v>
      </c>
      <c r="AS81">
        <f t="shared" si="12"/>
        <v>0</v>
      </c>
      <c r="AT81">
        <f t="shared" si="13"/>
        <v>0</v>
      </c>
      <c r="AU81" s="32" cm="1">
        <f t="array" ref="AU81">IF($F$11-$I$4+VLOOKUP($Q81,武学奇术!$A:$ZZ,9,FALSE)+SUM(_xlfn.XLOOKUP(R81:AF81,增益!$A:$A,增益!$I:$I,0))&gt;0,($F$11-$I$4+VLOOKUP($Q81,武学奇术!$A:$ZZ,9,FALSE)+SUM(_xlfn.XLOOKUP(R81:AF81,增益!$A:$A,增益!$I:$I,0)))/200,($F$11-$I$4+VLOOKUP($Q81,武学奇术!$A:$ZZ,9,FALSE)+SUM(_xlfn.XLOOKUP(R81:AF81,增益!$A:$A,增益!$I:$I,0)))/100)</f>
        <v>-0.3</v>
      </c>
      <c r="AV81" s="32" cm="1">
        <f t="array" ref="AV81">$G$11+VLOOKUP($Q81,武学奇术!$A:$ZZ,10,FALSE)+SUM(_xlfn.XLOOKUP(R81:AF81,增益!$A:$A,增益!$J:$J,0))</f>
        <v>0</v>
      </c>
      <c r="AW81">
        <f t="shared" si="14"/>
        <v>0</v>
      </c>
      <c r="AX81">
        <f t="shared" si="15"/>
        <v>0</v>
      </c>
      <c r="AY81" s="32" cm="1">
        <f t="array" ref="AY81">IF($F$12-$I$4+VLOOKUP($Q81,武学奇术!$A:$ZZ,11,FALSE)+SUM(_xlfn.XLOOKUP(R81:AF81,增益!$A:$A,增益!$K:$K,0))&gt;0,($F$12-$I$4+VLOOKUP($Q81,武学奇术!$A:$ZZ,11,FALSE)+SUM(_xlfn.XLOOKUP(R81:AF81,增益!$A:$A,增益!$K:$K,0)))/200,($F$12-$I$4+VLOOKUP($Q81,武学奇术!$A:$ZZ,11,FALSE)+SUM(_xlfn.XLOOKUP(R81:AF81,增益!$A:$A,增益!$K:$K,0)))/100)</f>
        <v>-0.3</v>
      </c>
      <c r="AZ81" s="32" cm="1">
        <f t="array" ref="AZ81">$G$12+VLOOKUP($Q81,武学奇术!$A:$ZZ,12,FALSE)+SUM(_xlfn.XLOOKUP(R81:AF81,增益!$A:$A,增益!$L:$L,0))</f>
        <v>0</v>
      </c>
      <c r="BA81">
        <f t="shared" si="16"/>
        <v>697.4</v>
      </c>
      <c r="BB81">
        <f t="shared" si="17"/>
        <v>1805</v>
      </c>
      <c r="BC81" s="32" cm="1">
        <f t="array" ref="BC81">IF($F$13-$I$4+VLOOKUP($Q81,武学奇术!$A:$ZZ,13,FALSE)+SUM(_xlfn.XLOOKUP(R81:AF81,增益!$A:$A,增益!$M:$M,0))&gt;0,($F$13-$I$4+VLOOKUP($Q81,武学奇术!$A:$ZZ,13,FALSE)+SUM(_xlfn.XLOOKUP(R81:AF81,增益!$A:$A,增益!$K:$K,0)))/200,($F$13-$I$4+VLOOKUP($Q81,武学奇术!$A:$ZZ,13,FALSE)+SUM(_xlfn.XLOOKUP(R81:AF81,增益!$A:$A,增益!$M:$M,0)))/100)</f>
        <v>0</v>
      </c>
      <c r="BD81" s="32" cm="1">
        <f t="array" ref="BD81">$G$13+VLOOKUP($Q81,武学奇术!$A:$ZZ,14,FALSE)+SUM(_xlfn.XLOOKUP(R81:AF81,增益!$A:$A,增益!$N:$N,0))</f>
        <v>0.15</v>
      </c>
      <c r="BE81">
        <f t="shared" si="18"/>
        <v>0</v>
      </c>
      <c r="BF81">
        <f t="shared" si="19"/>
        <v>0</v>
      </c>
      <c r="BG81" s="32" cm="1">
        <f t="array" ref="BG81">IF($F$14-$I$4+VLOOKUP($Q81,武学奇术!$A:$ZZ,15,FALSE)+SUM(_xlfn.XLOOKUP(R81:AF81,增益!$A:$A,增益!$O:$O,0))&gt;0,($F$14-$I$4+VLOOKUP($Q81,武学奇术!$A:$ZZ,15,FALSE)+SUM(_xlfn.XLOOKUP(R81:AF81,增益!$A:$A,增益!$O:$O,0)))/200,($F$14-$I$4+VLOOKUP($Q81,武学奇术!$A:$ZZ,15,FALSE)+SUM(_xlfn.XLOOKUP(R81:AF81,增益!$A:$A,增益!$O:$O,0)))/100)</f>
        <v>-0.3</v>
      </c>
      <c r="BH81" s="32" cm="1">
        <f t="array" ref="BH81">$G$14+VLOOKUP($Q81,武学奇术!$A:$ZZ,16,FALSE)+SUM(_xlfn.XLOOKUP(R81:AF81,增益!$A:$A,增益!$P:$P,0))</f>
        <v>0</v>
      </c>
      <c r="BI81" s="26">
        <f>MIN(IF(VLOOKUP($Q81,武学奇术!$A:$ZZ,23,FALSE)=1,100%,$B$8),100%)</f>
        <v>1</v>
      </c>
      <c r="BJ81" s="26" cm="1">
        <f t="array" ref="BJ81">IF(VLOOKUP($Q81,武学奇术!$A:$ZZ,23,FALSE)=1,100%,MIN(80%,$B$9+VLOOKUP($Q81,武学奇术!$A:$ZZ,17,FALSE)+SUM(_xlfn.XLOOKUP(R81:AF81,增益!$A:$A,增益!$Q:$Q,0)))+$B$11+SUM(_xlfn.XLOOKUP(R81:AF81,增益!$A:$A,增益!$U:$U,0)))*IF(VLOOKUP($Q81,武学奇术!$A:$ZZ,24,FALSE)=1,0,1)</f>
        <v>0.8625</v>
      </c>
      <c r="BK81" s="26" cm="1">
        <f t="array" ref="BK81">1+$B$13+VLOOKUP($Q81,武学奇术!$A:$ZZ,18,FALSE)+SUM(_xlfn.XLOOKUP(R81:AF81,增益!$A:$A,增益!$R:$R,0))</f>
        <v>1.5</v>
      </c>
      <c r="BL81" s="26" cm="1">
        <f t="array" ref="BL81">IF(VLOOKUP($Q81,武学奇术!$A:$ZZ,24,FALSE)=1,100%,MIN(40%,$B$10+VLOOKUP($Q81,武学奇术!$A:$ZZ,19,FALSE)+SUM(_xlfn.XLOOKUP(R81:AF81,增益!$A:$A,增益!$S:$S,0)))+$B$12+SUM(_xlfn.XLOOKUP(R81:AF81,增益!$A:$A,增益!$V:$V,0)))*IF(VLOOKUP($Q81,武学奇术!$A:$ZZ,23,FALSE)=1,0,1)</f>
        <v>0.0913</v>
      </c>
      <c r="BM81" s="26" cm="1">
        <f t="array" ref="BM81">1+$B$14+VLOOKUP($Q81,武学奇术!$A:$ZZ,20,FALSE)+SUM(_xlfn.XLOOKUP(R81:AF81,增益!$A:$A,增益!$T:$T,0))</f>
        <v>1.35</v>
      </c>
      <c r="BN81" s="26">
        <f t="shared" si="20"/>
        <v>0.8625</v>
      </c>
      <c r="BO81" s="26">
        <f t="shared" si="21"/>
        <v>0.0462</v>
      </c>
      <c r="BP81" s="26">
        <f>IF(VLOOKUP($Q81,武学奇术!$A:$ZZ,22,FALSE)=1,0,(1-$BI81))*(1-$BL81)</f>
        <v>0</v>
      </c>
      <c r="BQ81" s="26" cm="1">
        <f t="array" ref="BQ81">SUM(_xlfn.XLOOKUP(R81:AF81,增益!$A:$A,增益!$W:$W,0))+$I$5</f>
        <v>0.06</v>
      </c>
    </row>
    <row r="82" spans="1:69">
      <c r="A82" s="4"/>
      <c r="B82" s="4"/>
      <c r="K82" s="38">
        <f t="shared" si="11"/>
        <v>0</v>
      </c>
      <c r="L82" s="38">
        <f>((($AN82+$AO82)/2*$AH82+$AI82)*(1+$AP82)*(1+$AQ82)+(($AS82+$AT82)/2*IF($G$1="鸣金",$AJ82,$AH82)+IF($G$1="鸣金",$AK82*1.5,0))*(1+$AU82)*(1+$AV82)+(($AW82+$AX82)/2*IF($G$1="裂石",$AJ82,$AH82)+IF($G$1="裂石",$AK82*1.5,0))*(1+$AY82)*(1+$AZ82)+(($BA82+$BB82)/2*IF($G$1="牵丝",$AJ82,$AH82)+IF($G$1="牵丝",$AK82*1.5,0))*(1+$BC82)*(1+$BD82)+(($BE82+$BF82)/2*IF($G$1="破竹",$AJ82,$AH82)+IF($G$1="破竹",$AK82*1.5,0))*(1+$BG82)*(1+$BH82))*(1+$AL82)*$BK82*$P82*(1+IF(VLOOKUP($Q82,武学奇术!$A:$ZZ,30,FALSE)="蓄力技",#REF!,0))*(1+$BQ82)</f>
        <v>0</v>
      </c>
      <c r="M82" s="38">
        <f>(($AO82*$AH82+$AI82)*(1+$AP82)*(1+$AQ82)+($AT82*IF($G$1="鸣金",$AJ82,$AH82)+IF($G$1="鸣金",$AK82*1.5,0))*(1+$AU82)*(1+$AV82)+($AX82*IF($G$1="裂石",$AJ82,$AH82)+IF($G$1="裂石",$AK82*1.5,0))*(1+$AY82)*(1+$AZ82)+($BB82*IF($G$1="牵丝",$AJ82,$AH82)+IF($G$1="牵丝",$AK82*1.5,0))*(1+$BC82)*(1+$BD82)+($BF82*IF($G$1="破竹",$AJ82,$AH82)+IF($G$1="破竹",$AK82*1.5,0))*(1+$BG82)*(1+$BH82))*(1+$AL82)*$BM82*$P82*(1+IF(VLOOKUP($Q82,武学奇术!$A:$ZZ,30,FALSE)="蓄力技",#REF!,0))*(1+$BQ82)</f>
        <v>0</v>
      </c>
      <c r="N82" s="38">
        <f>((($AN82+$AO82)/2*$AH82+$AI82)*(1+$AP82)*(1+$AQ82)+(($AS82+$AT82)/2*IF($G$1="鸣金",$AJ82,$AH82)+IF($G$1="鸣金",$AK82*1.5,0))*(1+$AU82)*(1+$AV82)+(($AW82+$AX82)/2*IF($G$1="裂石",$AJ82,$AH82)+IF($G$1="裂石",$AK82*1.5,0))*(1+$AY82)*(1+$AZ82)+(($BA82+$BB82)/2*IF($G$1="牵丝",$AJ82,$AH82)+IF($G$1="牵丝",$AK82*1.5,0))*(1+$BC82)*(1+$BD82)+(($BE82+$BF82)/2*IF($G$1="破竹",$AJ82,$AH82)+IF($G$1="破竹",$AK82*1.5,0))*(1+$BG82)*(1+$BH82))*(1+$AL82)*$P82*(1+IF(VLOOKUP($Q82,武学奇术!$A:$ZZ,30,FALSE)="蓄力技",#REF!,0))*(1+$BQ82)</f>
        <v>0</v>
      </c>
      <c r="O82" s="38">
        <f>((($AN82*$AH82+$AI82)*(1+$AP82)*(1+$AQ82)+($AS82*IF($G$1="鸣金",$AJ82,$AH82)+IF($G$1="鸣金",$AK82*1.5,0))*(1+$AU82)*(1+$AV82)+($AW82*IF($G$1="裂石",$AJ82,$AH82)+IF($G$1="裂石",$AK82*1.5,0))*(1+$AY82)*(1+$AZ82)+($BA82*IF($G$1="牵丝",$AJ82,$AH82)+IF($G$1="牵丝",$AK82*1.5,0))*(1+$BC82)*(1+$BD82)+($BE82*IF($G$1="破竹",$AJ82,$AH82)+IF($G$1="破竹",$AK82*1.5,0))*(1+$BG82)*(1+$BH82))*(1+$AL82))*$P82*(1+IF(VLOOKUP($Q82,武学奇术!$A:$ZZ,30,FALSE)="蓄力技",#REF!,0))*(1+$BQ82)</f>
        <v>0</v>
      </c>
      <c r="P82" s="39">
        <v>1</v>
      </c>
      <c r="Q82" s="40" t="s">
        <v>76</v>
      </c>
      <c r="R82" s="40" t="s">
        <v>76</v>
      </c>
      <c r="S82" s="40" t="s">
        <v>76</v>
      </c>
      <c r="T82" s="40" t="s">
        <v>76</v>
      </c>
      <c r="U82" s="40" t="s">
        <v>76</v>
      </c>
      <c r="V82" s="40" t="s">
        <v>76</v>
      </c>
      <c r="W82" s="40" t="s">
        <v>76</v>
      </c>
      <c r="X82" s="40" t="s">
        <v>76</v>
      </c>
      <c r="Y82" s="40" t="s">
        <v>76</v>
      </c>
      <c r="Z82" s="40" t="s">
        <v>76</v>
      </c>
      <c r="AA82" s="40" t="s">
        <v>76</v>
      </c>
      <c r="AB82" s="40" t="s">
        <v>76</v>
      </c>
      <c r="AC82" s="40" t="s">
        <v>76</v>
      </c>
      <c r="AD82" s="40" t="s">
        <v>76</v>
      </c>
      <c r="AE82" s="40" t="s">
        <v>76</v>
      </c>
      <c r="AF82" s="40" t="s">
        <v>76</v>
      </c>
      <c r="AG82" t="str">
        <f>VLOOKUP($Q82,武学奇术!$A:$ZZ,25,FALSE)</f>
        <v>心法</v>
      </c>
      <c r="AH82" s="26">
        <f>VLOOKUP($Q82,武学奇术!$A:$ZZ,26,FALSE)</f>
        <v>0</v>
      </c>
      <c r="AI82" s="27">
        <f>VLOOKUP($Q82,武学奇术!$A:$ZZ,27,FALSE)*(1+IF(OR($AG82=$F$4,$AG82=$F$5),$B$21,0))</f>
        <v>0</v>
      </c>
      <c r="AJ82" s="26">
        <f>VLOOKUP($Q82,武学奇术!$A:$ZZ,28,FALSE)</f>
        <v>0</v>
      </c>
      <c r="AK82" s="27">
        <f>VLOOKUP($Q82,武学奇术!$A:$ZZ,29,FALSE)*(1+IF(OR($AG82=$F$4,$AG82=$F$5),$B$21,0))</f>
        <v>0</v>
      </c>
      <c r="AL82" s="26" cm="1">
        <f t="array" ref="AL82">$G$3+IFERROR(VLOOKUP($AG82,$F$4:$G$7,2,FALSE),0)+VLOOKUP($Q82,武学奇术!$A:$ZZ,2,FALSE)+SUM(_xlfn.XLOOKUP($R82:$AF82,增益!$A:$A,增益!$B:$B,0))</f>
        <v>0.1842</v>
      </c>
      <c r="AM82" s="26" cm="1">
        <f t="array" ref="AM82">VLOOKUP($Q82,武学奇术!$A:$ZZ,5,FALSE)+SUM(_xlfn.XLOOKUP($R82:$AF82,增益!$A:$A,增益!$E:$E,0))</f>
        <v>0</v>
      </c>
      <c r="AN82" cm="1">
        <f t="array" ref="AN82">$D$10*(1+$AM82)+VLOOKUP($Q82,武学奇术!$A:$ZZ,3,FALSE)+SUM(_xlfn.XLOOKUP($R82:$AF82,增益!$A:$A,增益!$C:$C,0))-$I$2</f>
        <v>3940</v>
      </c>
      <c r="AO82" cm="1">
        <f t="array" ref="AO82">$E$10*(1+$AM82)+VLOOKUP($Q82,武学奇术!$A:$ZZ,4,FALSE)+SUM(_xlfn.XLOOKUP($R82:$AF82,增益!$A:$A,增益!$D:$D,0))-$I$2</f>
        <v>3940</v>
      </c>
      <c r="AP82" s="32" cm="1">
        <f t="array" ref="AP82">IF($F$10-$I$3+VLOOKUP($Q82,武学奇术!$A:$ZZ,6,FALSE)+SUM(_xlfn.XLOOKUP(R82:AF82,增益!$A:$A,增益!$F:$F,0))&gt;0,($F$10-$I$3+VLOOKUP($Q82,武学奇术!$A:$ZZ,6,FALSE)+SUM(_xlfn.XLOOKUP(R82:AF82,增益!$A:$A,增益!$F:$F,0)))/200,($F$10-$I$3+VLOOKUP($Q82,武学奇术!$A:$ZZ,6,FALSE)+SUM(_xlfn.XLOOKUP(R82:AF82,增益!$A:$A,增益!$F:$F,0)))/100)</f>
        <v>0.194</v>
      </c>
      <c r="AQ82" s="32" cm="1">
        <f t="array" ref="AQ82">$G$10+VLOOKUP($Q82,武学奇术!$A:$ZZ,7,FALSE)+SUM(_xlfn.XLOOKUP(R82:AF82,增益!$A:$A,增益!$G:$G,0))</f>
        <v>0</v>
      </c>
      <c r="AR82" s="26" cm="1">
        <f t="array" ref="AR82">VLOOKUP($Q82,武学奇术!$A:$ZZ,8,FALSE)+SUM(_xlfn.XLOOKUP(R82:AF82,增益!$A:$A,增益!$H:$H,0))</f>
        <v>0</v>
      </c>
      <c r="AS82">
        <f t="shared" si="12"/>
        <v>0</v>
      </c>
      <c r="AT82">
        <f t="shared" si="13"/>
        <v>0</v>
      </c>
      <c r="AU82" s="32" cm="1">
        <f t="array" ref="AU82">IF($F$11-$I$4+VLOOKUP($Q82,武学奇术!$A:$ZZ,9,FALSE)+SUM(_xlfn.XLOOKUP(R82:AF82,增益!$A:$A,增益!$I:$I,0))&gt;0,($F$11-$I$4+VLOOKUP($Q82,武学奇术!$A:$ZZ,9,FALSE)+SUM(_xlfn.XLOOKUP(R82:AF82,增益!$A:$A,增益!$I:$I,0)))/200,($F$11-$I$4+VLOOKUP($Q82,武学奇术!$A:$ZZ,9,FALSE)+SUM(_xlfn.XLOOKUP(R82:AF82,增益!$A:$A,增益!$I:$I,0)))/100)</f>
        <v>-0.3</v>
      </c>
      <c r="AV82" s="32" cm="1">
        <f t="array" ref="AV82">$G$11+VLOOKUP($Q82,武学奇术!$A:$ZZ,10,FALSE)+SUM(_xlfn.XLOOKUP(R82:AF82,增益!$A:$A,增益!$J:$J,0))</f>
        <v>0</v>
      </c>
      <c r="AW82">
        <f t="shared" si="14"/>
        <v>0</v>
      </c>
      <c r="AX82">
        <f t="shared" si="15"/>
        <v>0</v>
      </c>
      <c r="AY82" s="32" cm="1">
        <f t="array" ref="AY82">IF($F$12-$I$4+VLOOKUP($Q82,武学奇术!$A:$ZZ,11,FALSE)+SUM(_xlfn.XLOOKUP(R82:AF82,增益!$A:$A,增益!$K:$K,0))&gt;0,($F$12-$I$4+VLOOKUP($Q82,武学奇术!$A:$ZZ,11,FALSE)+SUM(_xlfn.XLOOKUP(R82:AF82,增益!$A:$A,增益!$K:$K,0)))/200,($F$12-$I$4+VLOOKUP($Q82,武学奇术!$A:$ZZ,11,FALSE)+SUM(_xlfn.XLOOKUP(R82:AF82,增益!$A:$A,增益!$K:$K,0)))/100)</f>
        <v>-0.3</v>
      </c>
      <c r="AZ82" s="32" cm="1">
        <f t="array" ref="AZ82">$G$12+VLOOKUP($Q82,武学奇术!$A:$ZZ,12,FALSE)+SUM(_xlfn.XLOOKUP(R82:AF82,增益!$A:$A,增益!$L:$L,0))</f>
        <v>0</v>
      </c>
      <c r="BA82">
        <f t="shared" si="16"/>
        <v>697.4</v>
      </c>
      <c r="BB82">
        <f t="shared" si="17"/>
        <v>1805</v>
      </c>
      <c r="BC82" s="32" cm="1">
        <f t="array" ref="BC82">IF($F$13-$I$4+VLOOKUP($Q82,武学奇术!$A:$ZZ,13,FALSE)+SUM(_xlfn.XLOOKUP(R82:AF82,增益!$A:$A,增益!$M:$M,0))&gt;0,($F$13-$I$4+VLOOKUP($Q82,武学奇术!$A:$ZZ,13,FALSE)+SUM(_xlfn.XLOOKUP(R82:AF82,增益!$A:$A,增益!$K:$K,0)))/200,($F$13-$I$4+VLOOKUP($Q82,武学奇术!$A:$ZZ,13,FALSE)+SUM(_xlfn.XLOOKUP(R82:AF82,增益!$A:$A,增益!$M:$M,0)))/100)</f>
        <v>0</v>
      </c>
      <c r="BD82" s="32" cm="1">
        <f t="array" ref="BD82">$G$13+VLOOKUP($Q82,武学奇术!$A:$ZZ,14,FALSE)+SUM(_xlfn.XLOOKUP(R82:AF82,增益!$A:$A,增益!$N:$N,0))</f>
        <v>0.15</v>
      </c>
      <c r="BE82">
        <f t="shared" si="18"/>
        <v>0</v>
      </c>
      <c r="BF82">
        <f t="shared" si="19"/>
        <v>0</v>
      </c>
      <c r="BG82" s="32" cm="1">
        <f t="array" ref="BG82">IF($F$14-$I$4+VLOOKUP($Q82,武学奇术!$A:$ZZ,15,FALSE)+SUM(_xlfn.XLOOKUP(R82:AF82,增益!$A:$A,增益!$O:$O,0))&gt;0,($F$14-$I$4+VLOOKUP($Q82,武学奇术!$A:$ZZ,15,FALSE)+SUM(_xlfn.XLOOKUP(R82:AF82,增益!$A:$A,增益!$O:$O,0)))/200,($F$14-$I$4+VLOOKUP($Q82,武学奇术!$A:$ZZ,15,FALSE)+SUM(_xlfn.XLOOKUP(R82:AF82,增益!$A:$A,增益!$O:$O,0)))/100)</f>
        <v>-0.3</v>
      </c>
      <c r="BH82" s="32" cm="1">
        <f t="array" ref="BH82">$G$14+VLOOKUP($Q82,武学奇术!$A:$ZZ,16,FALSE)+SUM(_xlfn.XLOOKUP(R82:AF82,增益!$A:$A,增益!$P:$P,0))</f>
        <v>0</v>
      </c>
      <c r="BI82" s="26">
        <f>MIN(IF(VLOOKUP($Q82,武学奇术!$A:$ZZ,23,FALSE)=1,100%,$B$8),100%)</f>
        <v>1</v>
      </c>
      <c r="BJ82" s="26" cm="1">
        <f t="array" ref="BJ82">IF(VLOOKUP($Q82,武学奇术!$A:$ZZ,23,FALSE)=1,100%,MIN(80%,$B$9+VLOOKUP($Q82,武学奇术!$A:$ZZ,17,FALSE)+SUM(_xlfn.XLOOKUP(R82:AF82,增益!$A:$A,增益!$Q:$Q,0)))+$B$11+SUM(_xlfn.XLOOKUP(R82:AF82,增益!$A:$A,增益!$U:$U,0)))*IF(VLOOKUP($Q82,武学奇术!$A:$ZZ,24,FALSE)=1,0,1)</f>
        <v>0.8625</v>
      </c>
      <c r="BK82" s="26" cm="1">
        <f t="array" ref="BK82">1+$B$13+VLOOKUP($Q82,武学奇术!$A:$ZZ,18,FALSE)+SUM(_xlfn.XLOOKUP(R82:AF82,增益!$A:$A,增益!$R:$R,0))</f>
        <v>1.5</v>
      </c>
      <c r="BL82" s="26" cm="1">
        <f t="array" ref="BL82">IF(VLOOKUP($Q82,武学奇术!$A:$ZZ,24,FALSE)=1,100%,MIN(40%,$B$10+VLOOKUP($Q82,武学奇术!$A:$ZZ,19,FALSE)+SUM(_xlfn.XLOOKUP(R82:AF82,增益!$A:$A,增益!$S:$S,0)))+$B$12+SUM(_xlfn.XLOOKUP(R82:AF82,增益!$A:$A,增益!$V:$V,0)))*IF(VLOOKUP($Q82,武学奇术!$A:$ZZ,23,FALSE)=1,0,1)</f>
        <v>0.0913</v>
      </c>
      <c r="BM82" s="26" cm="1">
        <f t="array" ref="BM82">1+$B$14+VLOOKUP($Q82,武学奇术!$A:$ZZ,20,FALSE)+SUM(_xlfn.XLOOKUP(R82:AF82,增益!$A:$A,增益!$T:$T,0))</f>
        <v>1.35</v>
      </c>
      <c r="BN82" s="26">
        <f t="shared" si="20"/>
        <v>0.8625</v>
      </c>
      <c r="BO82" s="26">
        <f t="shared" si="21"/>
        <v>0.0462</v>
      </c>
      <c r="BP82" s="26">
        <f>IF(VLOOKUP($Q82,武学奇术!$A:$ZZ,22,FALSE)=1,0,(1-$BI82))*(1-$BL82)</f>
        <v>0</v>
      </c>
      <c r="BQ82" s="26" cm="1">
        <f t="array" ref="BQ82">SUM(_xlfn.XLOOKUP(R82:AF82,增益!$A:$A,增益!$W:$W,0))+$I$5</f>
        <v>0.06</v>
      </c>
    </row>
    <row r="83" spans="1:69">
      <c r="A83" s="4"/>
      <c r="B83" s="4"/>
      <c r="K83" s="38">
        <f t="shared" si="11"/>
        <v>0</v>
      </c>
      <c r="L83" s="38">
        <f>((($AN83+$AO83)/2*$AH83+$AI83)*(1+$AP83)*(1+$AQ83)+(($AS83+$AT83)/2*IF($G$1="鸣金",$AJ83,$AH83)+IF($G$1="鸣金",$AK83*1.5,0))*(1+$AU83)*(1+$AV83)+(($AW83+$AX83)/2*IF($G$1="裂石",$AJ83,$AH83)+IF($G$1="裂石",$AK83*1.5,0))*(1+$AY83)*(1+$AZ83)+(($BA83+$BB83)/2*IF($G$1="牵丝",$AJ83,$AH83)+IF($G$1="牵丝",$AK83*1.5,0))*(1+$BC83)*(1+$BD83)+(($BE83+$BF83)/2*IF($G$1="破竹",$AJ83,$AH83)+IF($G$1="破竹",$AK83*1.5,0))*(1+$BG83)*(1+$BH83))*(1+$AL83)*$BK83*$P83*(1+IF(VLOOKUP($Q83,武学奇术!$A:$ZZ,30,FALSE)="蓄力技",#REF!,0))*(1+$BQ83)</f>
        <v>0</v>
      </c>
      <c r="M83" s="38">
        <f>(($AO83*$AH83+$AI83)*(1+$AP83)*(1+$AQ83)+($AT83*IF($G$1="鸣金",$AJ83,$AH83)+IF($G$1="鸣金",$AK83*1.5,0))*(1+$AU83)*(1+$AV83)+($AX83*IF($G$1="裂石",$AJ83,$AH83)+IF($G$1="裂石",$AK83*1.5,0))*(1+$AY83)*(1+$AZ83)+($BB83*IF($G$1="牵丝",$AJ83,$AH83)+IF($G$1="牵丝",$AK83*1.5,0))*(1+$BC83)*(1+$BD83)+($BF83*IF($G$1="破竹",$AJ83,$AH83)+IF($G$1="破竹",$AK83*1.5,0))*(1+$BG83)*(1+$BH83))*(1+$AL83)*$BM83*$P83*(1+IF(VLOOKUP($Q83,武学奇术!$A:$ZZ,30,FALSE)="蓄力技",#REF!,0))*(1+$BQ83)</f>
        <v>0</v>
      </c>
      <c r="N83" s="38">
        <f>((($AN83+$AO83)/2*$AH83+$AI83)*(1+$AP83)*(1+$AQ83)+(($AS83+$AT83)/2*IF($G$1="鸣金",$AJ83,$AH83)+IF($G$1="鸣金",$AK83*1.5,0))*(1+$AU83)*(1+$AV83)+(($AW83+$AX83)/2*IF($G$1="裂石",$AJ83,$AH83)+IF($G$1="裂石",$AK83*1.5,0))*(1+$AY83)*(1+$AZ83)+(($BA83+$BB83)/2*IF($G$1="牵丝",$AJ83,$AH83)+IF($G$1="牵丝",$AK83*1.5,0))*(1+$BC83)*(1+$BD83)+(($BE83+$BF83)/2*IF($G$1="破竹",$AJ83,$AH83)+IF($G$1="破竹",$AK83*1.5,0))*(1+$BG83)*(1+$BH83))*(1+$AL83)*$P83*(1+IF(VLOOKUP($Q83,武学奇术!$A:$ZZ,30,FALSE)="蓄力技",#REF!,0))*(1+$BQ83)</f>
        <v>0</v>
      </c>
      <c r="O83" s="38">
        <f>((($AN83*$AH83+$AI83)*(1+$AP83)*(1+$AQ83)+($AS83*IF($G$1="鸣金",$AJ83,$AH83)+IF($G$1="鸣金",$AK83*1.5,0))*(1+$AU83)*(1+$AV83)+($AW83*IF($G$1="裂石",$AJ83,$AH83)+IF($G$1="裂石",$AK83*1.5,0))*(1+$AY83)*(1+$AZ83)+($BA83*IF($G$1="牵丝",$AJ83,$AH83)+IF($G$1="牵丝",$AK83*1.5,0))*(1+$BC83)*(1+$BD83)+($BE83*IF($G$1="破竹",$AJ83,$AH83)+IF($G$1="破竹",$AK83*1.5,0))*(1+$BG83)*(1+$BH83))*(1+$AL83))*$P83*(1+IF(VLOOKUP($Q83,武学奇术!$A:$ZZ,30,FALSE)="蓄力技",#REF!,0))*(1+$BQ83)</f>
        <v>0</v>
      </c>
      <c r="P83" s="39">
        <v>1</v>
      </c>
      <c r="Q83" s="40" t="s">
        <v>76</v>
      </c>
      <c r="R83" s="40" t="s">
        <v>76</v>
      </c>
      <c r="S83" s="40" t="s">
        <v>76</v>
      </c>
      <c r="T83" s="40" t="s">
        <v>76</v>
      </c>
      <c r="U83" s="40" t="s">
        <v>76</v>
      </c>
      <c r="V83" s="40" t="s">
        <v>76</v>
      </c>
      <c r="W83" s="40" t="s">
        <v>76</v>
      </c>
      <c r="X83" s="40" t="s">
        <v>76</v>
      </c>
      <c r="Y83" s="40" t="s">
        <v>76</v>
      </c>
      <c r="Z83" s="40" t="s">
        <v>76</v>
      </c>
      <c r="AA83" s="40" t="s">
        <v>76</v>
      </c>
      <c r="AB83" s="40" t="s">
        <v>76</v>
      </c>
      <c r="AC83" s="40" t="s">
        <v>76</v>
      </c>
      <c r="AD83" s="40" t="s">
        <v>76</v>
      </c>
      <c r="AE83" s="40" t="s">
        <v>76</v>
      </c>
      <c r="AF83" s="40" t="s">
        <v>76</v>
      </c>
      <c r="AG83" t="str">
        <f>VLOOKUP($Q83,武学奇术!$A:$ZZ,25,FALSE)</f>
        <v>心法</v>
      </c>
      <c r="AH83" s="26">
        <f>VLOOKUP($Q83,武学奇术!$A:$ZZ,26,FALSE)</f>
        <v>0</v>
      </c>
      <c r="AI83" s="27">
        <f>VLOOKUP($Q83,武学奇术!$A:$ZZ,27,FALSE)*(1+IF(OR($AG83=$F$4,$AG83=$F$5),$B$21,0))</f>
        <v>0</v>
      </c>
      <c r="AJ83" s="26">
        <f>VLOOKUP($Q83,武学奇术!$A:$ZZ,28,FALSE)</f>
        <v>0</v>
      </c>
      <c r="AK83" s="27">
        <f>VLOOKUP($Q83,武学奇术!$A:$ZZ,29,FALSE)*(1+IF(OR($AG83=$F$4,$AG83=$F$5),$B$21,0))</f>
        <v>0</v>
      </c>
      <c r="AL83" s="26" cm="1">
        <f t="array" ref="AL83">$G$3+IFERROR(VLOOKUP($AG83,$F$4:$G$7,2,FALSE),0)+VLOOKUP($Q83,武学奇术!$A:$ZZ,2,FALSE)+SUM(_xlfn.XLOOKUP($R83:$AF83,增益!$A:$A,增益!$B:$B,0))</f>
        <v>0.1842</v>
      </c>
      <c r="AM83" s="26" cm="1">
        <f t="array" ref="AM83">VLOOKUP($Q83,武学奇术!$A:$ZZ,5,FALSE)+SUM(_xlfn.XLOOKUP($R83:$AF83,增益!$A:$A,增益!$E:$E,0))</f>
        <v>0</v>
      </c>
      <c r="AN83" cm="1">
        <f t="array" ref="AN83">$D$10*(1+$AM83)+VLOOKUP($Q83,武学奇术!$A:$ZZ,3,FALSE)+SUM(_xlfn.XLOOKUP($R83:$AF83,增益!$A:$A,增益!$C:$C,0))-$I$2</f>
        <v>3940</v>
      </c>
      <c r="AO83" cm="1">
        <f t="array" ref="AO83">$E$10*(1+$AM83)+VLOOKUP($Q83,武学奇术!$A:$ZZ,4,FALSE)+SUM(_xlfn.XLOOKUP($R83:$AF83,增益!$A:$A,增益!$D:$D,0))-$I$2</f>
        <v>3940</v>
      </c>
      <c r="AP83" s="32" cm="1">
        <f t="array" ref="AP83">IF($F$10-$I$3+VLOOKUP($Q83,武学奇术!$A:$ZZ,6,FALSE)+SUM(_xlfn.XLOOKUP(R83:AF83,增益!$A:$A,增益!$F:$F,0))&gt;0,($F$10-$I$3+VLOOKUP($Q83,武学奇术!$A:$ZZ,6,FALSE)+SUM(_xlfn.XLOOKUP(R83:AF83,增益!$A:$A,增益!$F:$F,0)))/200,($F$10-$I$3+VLOOKUP($Q83,武学奇术!$A:$ZZ,6,FALSE)+SUM(_xlfn.XLOOKUP(R83:AF83,增益!$A:$A,增益!$F:$F,0)))/100)</f>
        <v>0.194</v>
      </c>
      <c r="AQ83" s="32" cm="1">
        <f t="array" ref="AQ83">$G$10+VLOOKUP($Q83,武学奇术!$A:$ZZ,7,FALSE)+SUM(_xlfn.XLOOKUP(R83:AF83,增益!$A:$A,增益!$G:$G,0))</f>
        <v>0</v>
      </c>
      <c r="AR83" s="26" cm="1">
        <f t="array" ref="AR83">VLOOKUP($Q83,武学奇术!$A:$ZZ,8,FALSE)+SUM(_xlfn.XLOOKUP(R83:AF83,增益!$A:$A,增益!$H:$H,0))</f>
        <v>0</v>
      </c>
      <c r="AS83">
        <f t="shared" si="12"/>
        <v>0</v>
      </c>
      <c r="AT83">
        <f t="shared" si="13"/>
        <v>0</v>
      </c>
      <c r="AU83" s="32" cm="1">
        <f t="array" ref="AU83">IF($F$11-$I$4+VLOOKUP($Q83,武学奇术!$A:$ZZ,9,FALSE)+SUM(_xlfn.XLOOKUP(R83:AF83,增益!$A:$A,增益!$I:$I,0))&gt;0,($F$11-$I$4+VLOOKUP($Q83,武学奇术!$A:$ZZ,9,FALSE)+SUM(_xlfn.XLOOKUP(R83:AF83,增益!$A:$A,增益!$I:$I,0)))/200,($F$11-$I$4+VLOOKUP($Q83,武学奇术!$A:$ZZ,9,FALSE)+SUM(_xlfn.XLOOKUP(R83:AF83,增益!$A:$A,增益!$I:$I,0)))/100)</f>
        <v>-0.3</v>
      </c>
      <c r="AV83" s="32" cm="1">
        <f t="array" ref="AV83">$G$11+VLOOKUP($Q83,武学奇术!$A:$ZZ,10,FALSE)+SUM(_xlfn.XLOOKUP(R83:AF83,增益!$A:$A,增益!$J:$J,0))</f>
        <v>0</v>
      </c>
      <c r="AW83">
        <f t="shared" si="14"/>
        <v>0</v>
      </c>
      <c r="AX83">
        <f t="shared" si="15"/>
        <v>0</v>
      </c>
      <c r="AY83" s="32" cm="1">
        <f t="array" ref="AY83">IF($F$12-$I$4+VLOOKUP($Q83,武学奇术!$A:$ZZ,11,FALSE)+SUM(_xlfn.XLOOKUP(R83:AF83,增益!$A:$A,增益!$K:$K,0))&gt;0,($F$12-$I$4+VLOOKUP($Q83,武学奇术!$A:$ZZ,11,FALSE)+SUM(_xlfn.XLOOKUP(R83:AF83,增益!$A:$A,增益!$K:$K,0)))/200,($F$12-$I$4+VLOOKUP($Q83,武学奇术!$A:$ZZ,11,FALSE)+SUM(_xlfn.XLOOKUP(R83:AF83,增益!$A:$A,增益!$K:$K,0)))/100)</f>
        <v>-0.3</v>
      </c>
      <c r="AZ83" s="32" cm="1">
        <f t="array" ref="AZ83">$G$12+VLOOKUP($Q83,武学奇术!$A:$ZZ,12,FALSE)+SUM(_xlfn.XLOOKUP(R83:AF83,增益!$A:$A,增益!$L:$L,0))</f>
        <v>0</v>
      </c>
      <c r="BA83">
        <f t="shared" si="16"/>
        <v>697.4</v>
      </c>
      <c r="BB83">
        <f t="shared" si="17"/>
        <v>1805</v>
      </c>
      <c r="BC83" s="32" cm="1">
        <f t="array" ref="BC83">IF($F$13-$I$4+VLOOKUP($Q83,武学奇术!$A:$ZZ,13,FALSE)+SUM(_xlfn.XLOOKUP(R83:AF83,增益!$A:$A,增益!$M:$M,0))&gt;0,($F$13-$I$4+VLOOKUP($Q83,武学奇术!$A:$ZZ,13,FALSE)+SUM(_xlfn.XLOOKUP(R83:AF83,增益!$A:$A,增益!$K:$K,0)))/200,($F$13-$I$4+VLOOKUP($Q83,武学奇术!$A:$ZZ,13,FALSE)+SUM(_xlfn.XLOOKUP(R83:AF83,增益!$A:$A,增益!$M:$M,0)))/100)</f>
        <v>0</v>
      </c>
      <c r="BD83" s="32" cm="1">
        <f t="array" ref="BD83">$G$13+VLOOKUP($Q83,武学奇术!$A:$ZZ,14,FALSE)+SUM(_xlfn.XLOOKUP(R83:AF83,增益!$A:$A,增益!$N:$N,0))</f>
        <v>0.15</v>
      </c>
      <c r="BE83">
        <f t="shared" si="18"/>
        <v>0</v>
      </c>
      <c r="BF83">
        <f t="shared" si="19"/>
        <v>0</v>
      </c>
      <c r="BG83" s="32" cm="1">
        <f t="array" ref="BG83">IF($F$14-$I$4+VLOOKUP($Q83,武学奇术!$A:$ZZ,15,FALSE)+SUM(_xlfn.XLOOKUP(R83:AF83,增益!$A:$A,增益!$O:$O,0))&gt;0,($F$14-$I$4+VLOOKUP($Q83,武学奇术!$A:$ZZ,15,FALSE)+SUM(_xlfn.XLOOKUP(R83:AF83,增益!$A:$A,增益!$O:$O,0)))/200,($F$14-$I$4+VLOOKUP($Q83,武学奇术!$A:$ZZ,15,FALSE)+SUM(_xlfn.XLOOKUP(R83:AF83,增益!$A:$A,增益!$O:$O,0)))/100)</f>
        <v>-0.3</v>
      </c>
      <c r="BH83" s="32" cm="1">
        <f t="array" ref="BH83">$G$14+VLOOKUP($Q83,武学奇术!$A:$ZZ,16,FALSE)+SUM(_xlfn.XLOOKUP(R83:AF83,增益!$A:$A,增益!$P:$P,0))</f>
        <v>0</v>
      </c>
      <c r="BI83" s="26">
        <f>MIN(IF(VLOOKUP($Q83,武学奇术!$A:$ZZ,23,FALSE)=1,100%,$B$8),100%)</f>
        <v>1</v>
      </c>
      <c r="BJ83" s="26" cm="1">
        <f t="array" ref="BJ83">IF(VLOOKUP($Q83,武学奇术!$A:$ZZ,23,FALSE)=1,100%,MIN(80%,$B$9+VLOOKUP($Q83,武学奇术!$A:$ZZ,17,FALSE)+SUM(_xlfn.XLOOKUP(R83:AF83,增益!$A:$A,增益!$Q:$Q,0)))+$B$11+SUM(_xlfn.XLOOKUP(R83:AF83,增益!$A:$A,增益!$U:$U,0)))*IF(VLOOKUP($Q83,武学奇术!$A:$ZZ,24,FALSE)=1,0,1)</f>
        <v>0.8625</v>
      </c>
      <c r="BK83" s="26" cm="1">
        <f t="array" ref="BK83">1+$B$13+VLOOKUP($Q83,武学奇术!$A:$ZZ,18,FALSE)+SUM(_xlfn.XLOOKUP(R83:AF83,增益!$A:$A,增益!$R:$R,0))</f>
        <v>1.5</v>
      </c>
      <c r="BL83" s="26" cm="1">
        <f t="array" ref="BL83">IF(VLOOKUP($Q83,武学奇术!$A:$ZZ,24,FALSE)=1,100%,MIN(40%,$B$10+VLOOKUP($Q83,武学奇术!$A:$ZZ,19,FALSE)+SUM(_xlfn.XLOOKUP(R83:AF83,增益!$A:$A,增益!$S:$S,0)))+$B$12+SUM(_xlfn.XLOOKUP(R83:AF83,增益!$A:$A,增益!$V:$V,0)))*IF(VLOOKUP($Q83,武学奇术!$A:$ZZ,23,FALSE)=1,0,1)</f>
        <v>0.0913</v>
      </c>
      <c r="BM83" s="26" cm="1">
        <f t="array" ref="BM83">1+$B$14+VLOOKUP($Q83,武学奇术!$A:$ZZ,20,FALSE)+SUM(_xlfn.XLOOKUP(R83:AF83,增益!$A:$A,增益!$T:$T,0))</f>
        <v>1.35</v>
      </c>
      <c r="BN83" s="26">
        <f t="shared" si="20"/>
        <v>0.8625</v>
      </c>
      <c r="BO83" s="26">
        <f t="shared" si="21"/>
        <v>0.0462</v>
      </c>
      <c r="BP83" s="26">
        <f>IF(VLOOKUP($Q83,武学奇术!$A:$ZZ,22,FALSE)=1,0,(1-$BI83))*(1-$BL83)</f>
        <v>0</v>
      </c>
      <c r="BQ83" s="26" cm="1">
        <f t="array" ref="BQ83">SUM(_xlfn.XLOOKUP(R83:AF83,增益!$A:$A,增益!$W:$W,0))+$I$5</f>
        <v>0.06</v>
      </c>
    </row>
    <row r="84" spans="1:69">
      <c r="A84" s="4"/>
      <c r="B84" s="4"/>
      <c r="K84" s="38">
        <f t="shared" si="11"/>
        <v>0</v>
      </c>
      <c r="L84" s="38">
        <f>((($AN84+$AO84)/2*$AH84+$AI84)*(1+$AP84)*(1+$AQ84)+(($AS84+$AT84)/2*IF($G$1="鸣金",$AJ84,$AH84)+IF($G$1="鸣金",$AK84*1.5,0))*(1+$AU84)*(1+$AV84)+(($AW84+$AX84)/2*IF($G$1="裂石",$AJ84,$AH84)+IF($G$1="裂石",$AK84*1.5,0))*(1+$AY84)*(1+$AZ84)+(($BA84+$BB84)/2*IF($G$1="牵丝",$AJ84,$AH84)+IF($G$1="牵丝",$AK84*1.5,0))*(1+$BC84)*(1+$BD84)+(($BE84+$BF84)/2*IF($G$1="破竹",$AJ84,$AH84)+IF($G$1="破竹",$AK84*1.5,0))*(1+$BG84)*(1+$BH84))*(1+$AL84)*$BK84*$P84*(1+IF(VLOOKUP($Q84,武学奇术!$A:$ZZ,30,FALSE)="蓄力技",#REF!,0))*(1+$BQ84)</f>
        <v>0</v>
      </c>
      <c r="M84" s="38">
        <f>(($AO84*$AH84+$AI84)*(1+$AP84)*(1+$AQ84)+($AT84*IF($G$1="鸣金",$AJ84,$AH84)+IF($G$1="鸣金",$AK84*1.5,0))*(1+$AU84)*(1+$AV84)+($AX84*IF($G$1="裂石",$AJ84,$AH84)+IF($G$1="裂石",$AK84*1.5,0))*(1+$AY84)*(1+$AZ84)+($BB84*IF($G$1="牵丝",$AJ84,$AH84)+IF($G$1="牵丝",$AK84*1.5,0))*(1+$BC84)*(1+$BD84)+($BF84*IF($G$1="破竹",$AJ84,$AH84)+IF($G$1="破竹",$AK84*1.5,0))*(1+$BG84)*(1+$BH84))*(1+$AL84)*$BM84*$P84*(1+IF(VLOOKUP($Q84,武学奇术!$A:$ZZ,30,FALSE)="蓄力技",#REF!,0))*(1+$BQ84)</f>
        <v>0</v>
      </c>
      <c r="N84" s="38">
        <f>((($AN84+$AO84)/2*$AH84+$AI84)*(1+$AP84)*(1+$AQ84)+(($AS84+$AT84)/2*IF($G$1="鸣金",$AJ84,$AH84)+IF($G$1="鸣金",$AK84*1.5,0))*(1+$AU84)*(1+$AV84)+(($AW84+$AX84)/2*IF($G$1="裂石",$AJ84,$AH84)+IF($G$1="裂石",$AK84*1.5,0))*(1+$AY84)*(1+$AZ84)+(($BA84+$BB84)/2*IF($G$1="牵丝",$AJ84,$AH84)+IF($G$1="牵丝",$AK84*1.5,0))*(1+$BC84)*(1+$BD84)+(($BE84+$BF84)/2*IF($G$1="破竹",$AJ84,$AH84)+IF($G$1="破竹",$AK84*1.5,0))*(1+$BG84)*(1+$BH84))*(1+$AL84)*$P84*(1+IF(VLOOKUP($Q84,武学奇术!$A:$ZZ,30,FALSE)="蓄力技",#REF!,0))*(1+$BQ84)</f>
        <v>0</v>
      </c>
      <c r="O84" s="38">
        <f>((($AN84*$AH84+$AI84)*(1+$AP84)*(1+$AQ84)+($AS84*IF($G$1="鸣金",$AJ84,$AH84)+IF($G$1="鸣金",$AK84*1.5,0))*(1+$AU84)*(1+$AV84)+($AW84*IF($G$1="裂石",$AJ84,$AH84)+IF($G$1="裂石",$AK84*1.5,0))*(1+$AY84)*(1+$AZ84)+($BA84*IF($G$1="牵丝",$AJ84,$AH84)+IF($G$1="牵丝",$AK84*1.5,0))*(1+$BC84)*(1+$BD84)+($BE84*IF($G$1="破竹",$AJ84,$AH84)+IF($G$1="破竹",$AK84*1.5,0))*(1+$BG84)*(1+$BH84))*(1+$AL84))*$P84*(1+IF(VLOOKUP($Q84,武学奇术!$A:$ZZ,30,FALSE)="蓄力技",#REF!,0))*(1+$BQ84)</f>
        <v>0</v>
      </c>
      <c r="P84" s="39">
        <v>1</v>
      </c>
      <c r="Q84" s="40" t="s">
        <v>76</v>
      </c>
      <c r="R84" s="40" t="s">
        <v>76</v>
      </c>
      <c r="S84" s="40" t="s">
        <v>76</v>
      </c>
      <c r="T84" s="40" t="s">
        <v>76</v>
      </c>
      <c r="U84" s="40" t="s">
        <v>76</v>
      </c>
      <c r="V84" s="40" t="s">
        <v>76</v>
      </c>
      <c r="W84" s="40" t="s">
        <v>76</v>
      </c>
      <c r="X84" s="40" t="s">
        <v>76</v>
      </c>
      <c r="Y84" s="40" t="s">
        <v>76</v>
      </c>
      <c r="Z84" s="40" t="s">
        <v>76</v>
      </c>
      <c r="AA84" s="40" t="s">
        <v>76</v>
      </c>
      <c r="AB84" s="40" t="s">
        <v>76</v>
      </c>
      <c r="AC84" s="40" t="s">
        <v>76</v>
      </c>
      <c r="AD84" s="40" t="s">
        <v>76</v>
      </c>
      <c r="AE84" s="40" t="s">
        <v>76</v>
      </c>
      <c r="AF84" s="40" t="s">
        <v>76</v>
      </c>
      <c r="AG84" t="str">
        <f>VLOOKUP($Q84,武学奇术!$A:$ZZ,25,FALSE)</f>
        <v>心法</v>
      </c>
      <c r="AH84" s="26">
        <f>VLOOKUP($Q84,武学奇术!$A:$ZZ,26,FALSE)</f>
        <v>0</v>
      </c>
      <c r="AI84" s="27">
        <f>VLOOKUP($Q84,武学奇术!$A:$ZZ,27,FALSE)*(1+IF(OR($AG84=$F$4,$AG84=$F$5),$B$21,0))</f>
        <v>0</v>
      </c>
      <c r="AJ84" s="26">
        <f>VLOOKUP($Q84,武学奇术!$A:$ZZ,28,FALSE)</f>
        <v>0</v>
      </c>
      <c r="AK84" s="27">
        <f>VLOOKUP($Q84,武学奇术!$A:$ZZ,29,FALSE)*(1+IF(OR($AG84=$F$4,$AG84=$F$5),$B$21,0))</f>
        <v>0</v>
      </c>
      <c r="AL84" s="26" cm="1">
        <f t="array" ref="AL84">$G$3+IFERROR(VLOOKUP($AG84,$F$4:$G$7,2,FALSE),0)+VLOOKUP($Q84,武学奇术!$A:$ZZ,2,FALSE)+SUM(_xlfn.XLOOKUP($R84:$AF84,增益!$A:$A,增益!$B:$B,0))</f>
        <v>0.1842</v>
      </c>
      <c r="AM84" s="26" cm="1">
        <f t="array" ref="AM84">VLOOKUP($Q84,武学奇术!$A:$ZZ,5,FALSE)+SUM(_xlfn.XLOOKUP($R84:$AF84,增益!$A:$A,增益!$E:$E,0))</f>
        <v>0</v>
      </c>
      <c r="AN84" cm="1">
        <f t="array" ref="AN84">$D$10*(1+$AM84)+VLOOKUP($Q84,武学奇术!$A:$ZZ,3,FALSE)+SUM(_xlfn.XLOOKUP($R84:$AF84,增益!$A:$A,增益!$C:$C,0))-$I$2</f>
        <v>3940</v>
      </c>
      <c r="AO84" cm="1">
        <f t="array" ref="AO84">$E$10*(1+$AM84)+VLOOKUP($Q84,武学奇术!$A:$ZZ,4,FALSE)+SUM(_xlfn.XLOOKUP($R84:$AF84,增益!$A:$A,增益!$D:$D,0))-$I$2</f>
        <v>3940</v>
      </c>
      <c r="AP84" s="32" cm="1">
        <f t="array" ref="AP84">IF($F$10-$I$3+VLOOKUP($Q84,武学奇术!$A:$ZZ,6,FALSE)+SUM(_xlfn.XLOOKUP(R84:AF84,增益!$A:$A,增益!$F:$F,0))&gt;0,($F$10-$I$3+VLOOKUP($Q84,武学奇术!$A:$ZZ,6,FALSE)+SUM(_xlfn.XLOOKUP(R84:AF84,增益!$A:$A,增益!$F:$F,0)))/200,($F$10-$I$3+VLOOKUP($Q84,武学奇术!$A:$ZZ,6,FALSE)+SUM(_xlfn.XLOOKUP(R84:AF84,增益!$A:$A,增益!$F:$F,0)))/100)</f>
        <v>0.194</v>
      </c>
      <c r="AQ84" s="32" cm="1">
        <f t="array" ref="AQ84">$G$10+VLOOKUP($Q84,武学奇术!$A:$ZZ,7,FALSE)+SUM(_xlfn.XLOOKUP(R84:AF84,增益!$A:$A,增益!$G:$G,0))</f>
        <v>0</v>
      </c>
      <c r="AR84" s="26" cm="1">
        <f t="array" ref="AR84">VLOOKUP($Q84,武学奇术!$A:$ZZ,8,FALSE)+SUM(_xlfn.XLOOKUP(R84:AF84,增益!$A:$A,增益!$H:$H,0))</f>
        <v>0</v>
      </c>
      <c r="AS84">
        <f t="shared" si="12"/>
        <v>0</v>
      </c>
      <c r="AT84">
        <f t="shared" si="13"/>
        <v>0</v>
      </c>
      <c r="AU84" s="32" cm="1">
        <f t="array" ref="AU84">IF($F$11-$I$4+VLOOKUP($Q84,武学奇术!$A:$ZZ,9,FALSE)+SUM(_xlfn.XLOOKUP(R84:AF84,增益!$A:$A,增益!$I:$I,0))&gt;0,($F$11-$I$4+VLOOKUP($Q84,武学奇术!$A:$ZZ,9,FALSE)+SUM(_xlfn.XLOOKUP(R84:AF84,增益!$A:$A,增益!$I:$I,0)))/200,($F$11-$I$4+VLOOKUP($Q84,武学奇术!$A:$ZZ,9,FALSE)+SUM(_xlfn.XLOOKUP(R84:AF84,增益!$A:$A,增益!$I:$I,0)))/100)</f>
        <v>-0.3</v>
      </c>
      <c r="AV84" s="32" cm="1">
        <f t="array" ref="AV84">$G$11+VLOOKUP($Q84,武学奇术!$A:$ZZ,10,FALSE)+SUM(_xlfn.XLOOKUP(R84:AF84,增益!$A:$A,增益!$J:$J,0))</f>
        <v>0</v>
      </c>
      <c r="AW84">
        <f t="shared" si="14"/>
        <v>0</v>
      </c>
      <c r="AX84">
        <f t="shared" si="15"/>
        <v>0</v>
      </c>
      <c r="AY84" s="32" cm="1">
        <f t="array" ref="AY84">IF($F$12-$I$4+VLOOKUP($Q84,武学奇术!$A:$ZZ,11,FALSE)+SUM(_xlfn.XLOOKUP(R84:AF84,增益!$A:$A,增益!$K:$K,0))&gt;0,($F$12-$I$4+VLOOKUP($Q84,武学奇术!$A:$ZZ,11,FALSE)+SUM(_xlfn.XLOOKUP(R84:AF84,增益!$A:$A,增益!$K:$K,0)))/200,($F$12-$I$4+VLOOKUP($Q84,武学奇术!$A:$ZZ,11,FALSE)+SUM(_xlfn.XLOOKUP(R84:AF84,增益!$A:$A,增益!$K:$K,0)))/100)</f>
        <v>-0.3</v>
      </c>
      <c r="AZ84" s="32" cm="1">
        <f t="array" ref="AZ84">$G$12+VLOOKUP($Q84,武学奇术!$A:$ZZ,12,FALSE)+SUM(_xlfn.XLOOKUP(R84:AF84,增益!$A:$A,增益!$L:$L,0))</f>
        <v>0</v>
      </c>
      <c r="BA84">
        <f t="shared" si="16"/>
        <v>697.4</v>
      </c>
      <c r="BB84">
        <f t="shared" si="17"/>
        <v>1805</v>
      </c>
      <c r="BC84" s="32" cm="1">
        <f t="array" ref="BC84">IF($F$13-$I$4+VLOOKUP($Q84,武学奇术!$A:$ZZ,13,FALSE)+SUM(_xlfn.XLOOKUP(R84:AF84,增益!$A:$A,增益!$M:$M,0))&gt;0,($F$13-$I$4+VLOOKUP($Q84,武学奇术!$A:$ZZ,13,FALSE)+SUM(_xlfn.XLOOKUP(R84:AF84,增益!$A:$A,增益!$K:$K,0)))/200,($F$13-$I$4+VLOOKUP($Q84,武学奇术!$A:$ZZ,13,FALSE)+SUM(_xlfn.XLOOKUP(R84:AF84,增益!$A:$A,增益!$M:$M,0)))/100)</f>
        <v>0</v>
      </c>
      <c r="BD84" s="32" cm="1">
        <f t="array" ref="BD84">$G$13+VLOOKUP($Q84,武学奇术!$A:$ZZ,14,FALSE)+SUM(_xlfn.XLOOKUP(R84:AF84,增益!$A:$A,增益!$N:$N,0))</f>
        <v>0.15</v>
      </c>
      <c r="BE84">
        <f t="shared" si="18"/>
        <v>0</v>
      </c>
      <c r="BF84">
        <f t="shared" si="19"/>
        <v>0</v>
      </c>
      <c r="BG84" s="32" cm="1">
        <f t="array" ref="BG84">IF($F$14-$I$4+VLOOKUP($Q84,武学奇术!$A:$ZZ,15,FALSE)+SUM(_xlfn.XLOOKUP(R84:AF84,增益!$A:$A,增益!$O:$O,0))&gt;0,($F$14-$I$4+VLOOKUP($Q84,武学奇术!$A:$ZZ,15,FALSE)+SUM(_xlfn.XLOOKUP(R84:AF84,增益!$A:$A,增益!$O:$O,0)))/200,($F$14-$I$4+VLOOKUP($Q84,武学奇术!$A:$ZZ,15,FALSE)+SUM(_xlfn.XLOOKUP(R84:AF84,增益!$A:$A,增益!$O:$O,0)))/100)</f>
        <v>-0.3</v>
      </c>
      <c r="BH84" s="32" cm="1">
        <f t="array" ref="BH84">$G$14+VLOOKUP($Q84,武学奇术!$A:$ZZ,16,FALSE)+SUM(_xlfn.XLOOKUP(R84:AF84,增益!$A:$A,增益!$P:$P,0))</f>
        <v>0</v>
      </c>
      <c r="BI84" s="26">
        <f>MIN(IF(VLOOKUP($Q84,武学奇术!$A:$ZZ,23,FALSE)=1,100%,$B$8),100%)</f>
        <v>1</v>
      </c>
      <c r="BJ84" s="26" cm="1">
        <f t="array" ref="BJ84">IF(VLOOKUP($Q84,武学奇术!$A:$ZZ,23,FALSE)=1,100%,MIN(80%,$B$9+VLOOKUP($Q84,武学奇术!$A:$ZZ,17,FALSE)+SUM(_xlfn.XLOOKUP(R84:AF84,增益!$A:$A,增益!$Q:$Q,0)))+$B$11+SUM(_xlfn.XLOOKUP(R84:AF84,增益!$A:$A,增益!$U:$U,0)))*IF(VLOOKUP($Q84,武学奇术!$A:$ZZ,24,FALSE)=1,0,1)</f>
        <v>0.8625</v>
      </c>
      <c r="BK84" s="26" cm="1">
        <f t="array" ref="BK84">1+$B$13+VLOOKUP($Q84,武学奇术!$A:$ZZ,18,FALSE)+SUM(_xlfn.XLOOKUP(R84:AF84,增益!$A:$A,增益!$R:$R,0))</f>
        <v>1.5</v>
      </c>
      <c r="BL84" s="26" cm="1">
        <f t="array" ref="BL84">IF(VLOOKUP($Q84,武学奇术!$A:$ZZ,24,FALSE)=1,100%,MIN(40%,$B$10+VLOOKUP($Q84,武学奇术!$A:$ZZ,19,FALSE)+SUM(_xlfn.XLOOKUP(R84:AF84,增益!$A:$A,增益!$S:$S,0)))+$B$12+SUM(_xlfn.XLOOKUP(R84:AF84,增益!$A:$A,增益!$V:$V,0)))*IF(VLOOKUP($Q84,武学奇术!$A:$ZZ,23,FALSE)=1,0,1)</f>
        <v>0.0913</v>
      </c>
      <c r="BM84" s="26" cm="1">
        <f t="array" ref="BM84">1+$B$14+VLOOKUP($Q84,武学奇术!$A:$ZZ,20,FALSE)+SUM(_xlfn.XLOOKUP(R84:AF84,增益!$A:$A,增益!$T:$T,0))</f>
        <v>1.35</v>
      </c>
      <c r="BN84" s="26">
        <f t="shared" si="20"/>
        <v>0.8625</v>
      </c>
      <c r="BO84" s="26">
        <f t="shared" si="21"/>
        <v>0.0462</v>
      </c>
      <c r="BP84" s="26">
        <f>IF(VLOOKUP($Q84,武学奇术!$A:$ZZ,22,FALSE)=1,0,(1-$BI84))*(1-$BL84)</f>
        <v>0</v>
      </c>
      <c r="BQ84" s="26" cm="1">
        <f t="array" ref="BQ84">SUM(_xlfn.XLOOKUP(R84:AF84,增益!$A:$A,增益!$W:$W,0))+$I$5</f>
        <v>0.06</v>
      </c>
    </row>
    <row r="85" spans="1:69">
      <c r="A85" s="4"/>
      <c r="B85" s="4"/>
      <c r="K85" s="38">
        <f t="shared" si="11"/>
        <v>0</v>
      </c>
      <c r="L85" s="38">
        <f>((($AN85+$AO85)/2*$AH85+$AI85)*(1+$AP85)*(1+$AQ85)+(($AS85+$AT85)/2*IF($G$1="鸣金",$AJ85,$AH85)+IF($G$1="鸣金",$AK85*1.5,0))*(1+$AU85)*(1+$AV85)+(($AW85+$AX85)/2*IF($G$1="裂石",$AJ85,$AH85)+IF($G$1="裂石",$AK85*1.5,0))*(1+$AY85)*(1+$AZ85)+(($BA85+$BB85)/2*IF($G$1="牵丝",$AJ85,$AH85)+IF($G$1="牵丝",$AK85*1.5,0))*(1+$BC85)*(1+$BD85)+(($BE85+$BF85)/2*IF($G$1="破竹",$AJ85,$AH85)+IF($G$1="破竹",$AK85*1.5,0))*(1+$BG85)*(1+$BH85))*(1+$AL85)*$BK85*$P85*(1+IF(VLOOKUP($Q85,武学奇术!$A:$ZZ,30,FALSE)="蓄力技",#REF!,0))*(1+$BQ85)</f>
        <v>0</v>
      </c>
      <c r="M85" s="38">
        <f>(($AO85*$AH85+$AI85)*(1+$AP85)*(1+$AQ85)+($AT85*IF($G$1="鸣金",$AJ85,$AH85)+IF($G$1="鸣金",$AK85*1.5,0))*(1+$AU85)*(1+$AV85)+($AX85*IF($G$1="裂石",$AJ85,$AH85)+IF($G$1="裂石",$AK85*1.5,0))*(1+$AY85)*(1+$AZ85)+($BB85*IF($G$1="牵丝",$AJ85,$AH85)+IF($G$1="牵丝",$AK85*1.5,0))*(1+$BC85)*(1+$BD85)+($BF85*IF($G$1="破竹",$AJ85,$AH85)+IF($G$1="破竹",$AK85*1.5,0))*(1+$BG85)*(1+$BH85))*(1+$AL85)*$BM85*$P85*(1+IF(VLOOKUP($Q85,武学奇术!$A:$ZZ,30,FALSE)="蓄力技",#REF!,0))*(1+$BQ85)</f>
        <v>0</v>
      </c>
      <c r="N85" s="38">
        <f>((($AN85+$AO85)/2*$AH85+$AI85)*(1+$AP85)*(1+$AQ85)+(($AS85+$AT85)/2*IF($G$1="鸣金",$AJ85,$AH85)+IF($G$1="鸣金",$AK85*1.5,0))*(1+$AU85)*(1+$AV85)+(($AW85+$AX85)/2*IF($G$1="裂石",$AJ85,$AH85)+IF($G$1="裂石",$AK85*1.5,0))*(1+$AY85)*(1+$AZ85)+(($BA85+$BB85)/2*IF($G$1="牵丝",$AJ85,$AH85)+IF($G$1="牵丝",$AK85*1.5,0))*(1+$BC85)*(1+$BD85)+(($BE85+$BF85)/2*IF($G$1="破竹",$AJ85,$AH85)+IF($G$1="破竹",$AK85*1.5,0))*(1+$BG85)*(1+$BH85))*(1+$AL85)*$P85*(1+IF(VLOOKUP($Q85,武学奇术!$A:$ZZ,30,FALSE)="蓄力技",#REF!,0))*(1+$BQ85)</f>
        <v>0</v>
      </c>
      <c r="O85" s="38">
        <f>((($AN85*$AH85+$AI85)*(1+$AP85)*(1+$AQ85)+($AS85*IF($G$1="鸣金",$AJ85,$AH85)+IF($G$1="鸣金",$AK85*1.5,0))*(1+$AU85)*(1+$AV85)+($AW85*IF($G$1="裂石",$AJ85,$AH85)+IF($G$1="裂石",$AK85*1.5,0))*(1+$AY85)*(1+$AZ85)+($BA85*IF($G$1="牵丝",$AJ85,$AH85)+IF($G$1="牵丝",$AK85*1.5,0))*(1+$BC85)*(1+$BD85)+($BE85*IF($G$1="破竹",$AJ85,$AH85)+IF($G$1="破竹",$AK85*1.5,0))*(1+$BG85)*(1+$BH85))*(1+$AL85))*$P85*(1+IF(VLOOKUP($Q85,武学奇术!$A:$ZZ,30,FALSE)="蓄力技",#REF!,0))*(1+$BQ85)</f>
        <v>0</v>
      </c>
      <c r="P85" s="39">
        <v>1</v>
      </c>
      <c r="Q85" s="40" t="s">
        <v>76</v>
      </c>
      <c r="R85" s="40" t="s">
        <v>76</v>
      </c>
      <c r="S85" s="40" t="s">
        <v>76</v>
      </c>
      <c r="T85" s="40" t="s">
        <v>76</v>
      </c>
      <c r="U85" s="40" t="s">
        <v>76</v>
      </c>
      <c r="V85" s="40" t="s">
        <v>76</v>
      </c>
      <c r="W85" s="40" t="s">
        <v>76</v>
      </c>
      <c r="X85" s="40" t="s">
        <v>76</v>
      </c>
      <c r="Y85" s="40" t="s">
        <v>76</v>
      </c>
      <c r="Z85" s="40" t="s">
        <v>76</v>
      </c>
      <c r="AA85" s="40" t="s">
        <v>76</v>
      </c>
      <c r="AB85" s="40" t="s">
        <v>76</v>
      </c>
      <c r="AC85" s="40" t="s">
        <v>76</v>
      </c>
      <c r="AD85" s="40" t="s">
        <v>76</v>
      </c>
      <c r="AE85" s="40" t="s">
        <v>76</v>
      </c>
      <c r="AF85" s="40" t="s">
        <v>76</v>
      </c>
      <c r="AG85" t="str">
        <f>VLOOKUP($Q85,武学奇术!$A:$ZZ,25,FALSE)</f>
        <v>心法</v>
      </c>
      <c r="AH85" s="26">
        <f>VLOOKUP($Q85,武学奇术!$A:$ZZ,26,FALSE)</f>
        <v>0</v>
      </c>
      <c r="AI85" s="27">
        <f>VLOOKUP($Q85,武学奇术!$A:$ZZ,27,FALSE)*(1+IF(OR($AG85=$F$4,$AG85=$F$5),$B$21,0))</f>
        <v>0</v>
      </c>
      <c r="AJ85" s="26">
        <f>VLOOKUP($Q85,武学奇术!$A:$ZZ,28,FALSE)</f>
        <v>0</v>
      </c>
      <c r="AK85" s="27">
        <f>VLOOKUP($Q85,武学奇术!$A:$ZZ,29,FALSE)*(1+IF(OR($AG85=$F$4,$AG85=$F$5),$B$21,0))</f>
        <v>0</v>
      </c>
      <c r="AL85" s="26" cm="1">
        <f t="array" ref="AL85">$G$3+IFERROR(VLOOKUP($AG85,$F$4:$G$7,2,FALSE),0)+VLOOKUP($Q85,武学奇术!$A:$ZZ,2,FALSE)+SUM(_xlfn.XLOOKUP($R85:$AF85,增益!$A:$A,增益!$B:$B,0))</f>
        <v>0.1842</v>
      </c>
      <c r="AM85" s="26" cm="1">
        <f t="array" ref="AM85">VLOOKUP($Q85,武学奇术!$A:$ZZ,5,FALSE)+SUM(_xlfn.XLOOKUP($R85:$AF85,增益!$A:$A,增益!$E:$E,0))</f>
        <v>0</v>
      </c>
      <c r="AN85" cm="1">
        <f t="array" ref="AN85">$D$10*(1+$AM85)+VLOOKUP($Q85,武学奇术!$A:$ZZ,3,FALSE)+SUM(_xlfn.XLOOKUP($R85:$AF85,增益!$A:$A,增益!$C:$C,0))-$I$2</f>
        <v>3940</v>
      </c>
      <c r="AO85" cm="1">
        <f t="array" ref="AO85">$E$10*(1+$AM85)+VLOOKUP($Q85,武学奇术!$A:$ZZ,4,FALSE)+SUM(_xlfn.XLOOKUP($R85:$AF85,增益!$A:$A,增益!$D:$D,0))-$I$2</f>
        <v>3940</v>
      </c>
      <c r="AP85" s="32" cm="1">
        <f t="array" ref="AP85">IF($F$10-$I$3+VLOOKUP($Q85,武学奇术!$A:$ZZ,6,FALSE)+SUM(_xlfn.XLOOKUP(R85:AF85,增益!$A:$A,增益!$F:$F,0))&gt;0,($F$10-$I$3+VLOOKUP($Q85,武学奇术!$A:$ZZ,6,FALSE)+SUM(_xlfn.XLOOKUP(R85:AF85,增益!$A:$A,增益!$F:$F,0)))/200,($F$10-$I$3+VLOOKUP($Q85,武学奇术!$A:$ZZ,6,FALSE)+SUM(_xlfn.XLOOKUP(R85:AF85,增益!$A:$A,增益!$F:$F,0)))/100)</f>
        <v>0.194</v>
      </c>
      <c r="AQ85" s="32" cm="1">
        <f t="array" ref="AQ85">$G$10+VLOOKUP($Q85,武学奇术!$A:$ZZ,7,FALSE)+SUM(_xlfn.XLOOKUP(R85:AF85,增益!$A:$A,增益!$G:$G,0))</f>
        <v>0</v>
      </c>
      <c r="AR85" s="26" cm="1">
        <f t="array" ref="AR85">VLOOKUP($Q85,武学奇术!$A:$ZZ,8,FALSE)+SUM(_xlfn.XLOOKUP(R85:AF85,增益!$A:$A,增益!$H:$H,0))</f>
        <v>0</v>
      </c>
      <c r="AS85">
        <f t="shared" si="12"/>
        <v>0</v>
      </c>
      <c r="AT85">
        <f t="shared" si="13"/>
        <v>0</v>
      </c>
      <c r="AU85" s="32" cm="1">
        <f t="array" ref="AU85">IF($F$11-$I$4+VLOOKUP($Q85,武学奇术!$A:$ZZ,9,FALSE)+SUM(_xlfn.XLOOKUP(R85:AF85,增益!$A:$A,增益!$I:$I,0))&gt;0,($F$11-$I$4+VLOOKUP($Q85,武学奇术!$A:$ZZ,9,FALSE)+SUM(_xlfn.XLOOKUP(R85:AF85,增益!$A:$A,增益!$I:$I,0)))/200,($F$11-$I$4+VLOOKUP($Q85,武学奇术!$A:$ZZ,9,FALSE)+SUM(_xlfn.XLOOKUP(R85:AF85,增益!$A:$A,增益!$I:$I,0)))/100)</f>
        <v>-0.3</v>
      </c>
      <c r="AV85" s="32" cm="1">
        <f t="array" ref="AV85">$G$11+VLOOKUP($Q85,武学奇术!$A:$ZZ,10,FALSE)+SUM(_xlfn.XLOOKUP(R85:AF85,增益!$A:$A,增益!$J:$J,0))</f>
        <v>0</v>
      </c>
      <c r="AW85">
        <f t="shared" si="14"/>
        <v>0</v>
      </c>
      <c r="AX85">
        <f t="shared" si="15"/>
        <v>0</v>
      </c>
      <c r="AY85" s="32" cm="1">
        <f t="array" ref="AY85">IF($F$12-$I$4+VLOOKUP($Q85,武学奇术!$A:$ZZ,11,FALSE)+SUM(_xlfn.XLOOKUP(R85:AF85,增益!$A:$A,增益!$K:$K,0))&gt;0,($F$12-$I$4+VLOOKUP($Q85,武学奇术!$A:$ZZ,11,FALSE)+SUM(_xlfn.XLOOKUP(R85:AF85,增益!$A:$A,增益!$K:$K,0)))/200,($F$12-$I$4+VLOOKUP($Q85,武学奇术!$A:$ZZ,11,FALSE)+SUM(_xlfn.XLOOKUP(R85:AF85,增益!$A:$A,增益!$K:$K,0)))/100)</f>
        <v>-0.3</v>
      </c>
      <c r="AZ85" s="32" cm="1">
        <f t="array" ref="AZ85">$G$12+VLOOKUP($Q85,武学奇术!$A:$ZZ,12,FALSE)+SUM(_xlfn.XLOOKUP(R85:AF85,增益!$A:$A,增益!$L:$L,0))</f>
        <v>0</v>
      </c>
      <c r="BA85">
        <f t="shared" si="16"/>
        <v>697.4</v>
      </c>
      <c r="BB85">
        <f t="shared" si="17"/>
        <v>1805</v>
      </c>
      <c r="BC85" s="32" cm="1">
        <f t="array" ref="BC85">IF($F$13-$I$4+VLOOKUP($Q85,武学奇术!$A:$ZZ,13,FALSE)+SUM(_xlfn.XLOOKUP(R85:AF85,增益!$A:$A,增益!$M:$M,0))&gt;0,($F$13-$I$4+VLOOKUP($Q85,武学奇术!$A:$ZZ,13,FALSE)+SUM(_xlfn.XLOOKUP(R85:AF85,增益!$A:$A,增益!$K:$K,0)))/200,($F$13-$I$4+VLOOKUP($Q85,武学奇术!$A:$ZZ,13,FALSE)+SUM(_xlfn.XLOOKUP(R85:AF85,增益!$A:$A,增益!$M:$M,0)))/100)</f>
        <v>0</v>
      </c>
      <c r="BD85" s="32" cm="1">
        <f t="array" ref="BD85">$G$13+VLOOKUP($Q85,武学奇术!$A:$ZZ,14,FALSE)+SUM(_xlfn.XLOOKUP(R85:AF85,增益!$A:$A,增益!$N:$N,0))</f>
        <v>0.15</v>
      </c>
      <c r="BE85">
        <f t="shared" si="18"/>
        <v>0</v>
      </c>
      <c r="BF85">
        <f t="shared" si="19"/>
        <v>0</v>
      </c>
      <c r="BG85" s="32" cm="1">
        <f t="array" ref="BG85">IF($F$14-$I$4+VLOOKUP($Q85,武学奇术!$A:$ZZ,15,FALSE)+SUM(_xlfn.XLOOKUP(R85:AF85,增益!$A:$A,增益!$O:$O,0))&gt;0,($F$14-$I$4+VLOOKUP($Q85,武学奇术!$A:$ZZ,15,FALSE)+SUM(_xlfn.XLOOKUP(R85:AF85,增益!$A:$A,增益!$O:$O,0)))/200,($F$14-$I$4+VLOOKUP($Q85,武学奇术!$A:$ZZ,15,FALSE)+SUM(_xlfn.XLOOKUP(R85:AF85,增益!$A:$A,增益!$O:$O,0)))/100)</f>
        <v>-0.3</v>
      </c>
      <c r="BH85" s="32" cm="1">
        <f t="array" ref="BH85">$G$14+VLOOKUP($Q85,武学奇术!$A:$ZZ,16,FALSE)+SUM(_xlfn.XLOOKUP(R85:AF85,增益!$A:$A,增益!$P:$P,0))</f>
        <v>0</v>
      </c>
      <c r="BI85" s="26">
        <f>MIN(IF(VLOOKUP($Q85,武学奇术!$A:$ZZ,23,FALSE)=1,100%,$B$8),100%)</f>
        <v>1</v>
      </c>
      <c r="BJ85" s="26" cm="1">
        <f t="array" ref="BJ85">IF(VLOOKUP($Q85,武学奇术!$A:$ZZ,23,FALSE)=1,100%,MIN(80%,$B$9+VLOOKUP($Q85,武学奇术!$A:$ZZ,17,FALSE)+SUM(_xlfn.XLOOKUP(R85:AF85,增益!$A:$A,增益!$Q:$Q,0)))+$B$11+SUM(_xlfn.XLOOKUP(R85:AF85,增益!$A:$A,增益!$U:$U,0)))*IF(VLOOKUP($Q85,武学奇术!$A:$ZZ,24,FALSE)=1,0,1)</f>
        <v>0.8625</v>
      </c>
      <c r="BK85" s="26" cm="1">
        <f t="array" ref="BK85">1+$B$13+VLOOKUP($Q85,武学奇术!$A:$ZZ,18,FALSE)+SUM(_xlfn.XLOOKUP(R85:AF85,增益!$A:$A,增益!$R:$R,0))</f>
        <v>1.5</v>
      </c>
      <c r="BL85" s="26" cm="1">
        <f t="array" ref="BL85">IF(VLOOKUP($Q85,武学奇术!$A:$ZZ,24,FALSE)=1,100%,MIN(40%,$B$10+VLOOKUP($Q85,武学奇术!$A:$ZZ,19,FALSE)+SUM(_xlfn.XLOOKUP(R85:AF85,增益!$A:$A,增益!$S:$S,0)))+$B$12+SUM(_xlfn.XLOOKUP(R85:AF85,增益!$A:$A,增益!$V:$V,0)))*IF(VLOOKUP($Q85,武学奇术!$A:$ZZ,23,FALSE)=1,0,1)</f>
        <v>0.0913</v>
      </c>
      <c r="BM85" s="26" cm="1">
        <f t="array" ref="BM85">1+$B$14+VLOOKUP($Q85,武学奇术!$A:$ZZ,20,FALSE)+SUM(_xlfn.XLOOKUP(R85:AF85,增益!$A:$A,增益!$T:$T,0))</f>
        <v>1.35</v>
      </c>
      <c r="BN85" s="26">
        <f t="shared" si="20"/>
        <v>0.8625</v>
      </c>
      <c r="BO85" s="26">
        <f t="shared" si="21"/>
        <v>0.0462</v>
      </c>
      <c r="BP85" s="26">
        <f>IF(VLOOKUP($Q85,武学奇术!$A:$ZZ,22,FALSE)=1,0,(1-$BI85))*(1-$BL85)</f>
        <v>0</v>
      </c>
      <c r="BQ85" s="26" cm="1">
        <f t="array" ref="BQ85">SUM(_xlfn.XLOOKUP(R85:AF85,增益!$A:$A,增益!$W:$W,0))+$I$5</f>
        <v>0.06</v>
      </c>
    </row>
    <row r="86" spans="1:69">
      <c r="A86" s="4"/>
      <c r="B86" s="4"/>
      <c r="K86" s="38">
        <f t="shared" si="11"/>
        <v>0</v>
      </c>
      <c r="L86" s="38">
        <f>((($AN86+$AO86)/2*$AH86+$AI86)*(1+$AP86)*(1+$AQ86)+(($AS86+$AT86)/2*IF($G$1="鸣金",$AJ86,$AH86)+IF($G$1="鸣金",$AK86*1.5,0))*(1+$AU86)*(1+$AV86)+(($AW86+$AX86)/2*IF($G$1="裂石",$AJ86,$AH86)+IF($G$1="裂石",$AK86*1.5,0))*(1+$AY86)*(1+$AZ86)+(($BA86+$BB86)/2*IF($G$1="牵丝",$AJ86,$AH86)+IF($G$1="牵丝",$AK86*1.5,0))*(1+$BC86)*(1+$BD86)+(($BE86+$BF86)/2*IF($G$1="破竹",$AJ86,$AH86)+IF($G$1="破竹",$AK86*1.5,0))*(1+$BG86)*(1+$BH86))*(1+$AL86)*$BK86*$P86*(1+IF(VLOOKUP($Q86,武学奇术!$A:$ZZ,30,FALSE)="蓄力技",#REF!,0))*(1+$BQ86)</f>
        <v>0</v>
      </c>
      <c r="M86" s="38">
        <f>(($AO86*$AH86+$AI86)*(1+$AP86)*(1+$AQ86)+($AT86*IF($G$1="鸣金",$AJ86,$AH86)+IF($G$1="鸣金",$AK86*1.5,0))*(1+$AU86)*(1+$AV86)+($AX86*IF($G$1="裂石",$AJ86,$AH86)+IF($G$1="裂石",$AK86*1.5,0))*(1+$AY86)*(1+$AZ86)+($BB86*IF($G$1="牵丝",$AJ86,$AH86)+IF($G$1="牵丝",$AK86*1.5,0))*(1+$BC86)*(1+$BD86)+($BF86*IF($G$1="破竹",$AJ86,$AH86)+IF($G$1="破竹",$AK86*1.5,0))*(1+$BG86)*(1+$BH86))*(1+$AL86)*$BM86*$P86*(1+IF(VLOOKUP($Q86,武学奇术!$A:$ZZ,30,FALSE)="蓄力技",#REF!,0))*(1+$BQ86)</f>
        <v>0</v>
      </c>
      <c r="N86" s="38">
        <f>((($AN86+$AO86)/2*$AH86+$AI86)*(1+$AP86)*(1+$AQ86)+(($AS86+$AT86)/2*IF($G$1="鸣金",$AJ86,$AH86)+IF($G$1="鸣金",$AK86*1.5,0))*(1+$AU86)*(1+$AV86)+(($AW86+$AX86)/2*IF($G$1="裂石",$AJ86,$AH86)+IF($G$1="裂石",$AK86*1.5,0))*(1+$AY86)*(1+$AZ86)+(($BA86+$BB86)/2*IF($G$1="牵丝",$AJ86,$AH86)+IF($G$1="牵丝",$AK86*1.5,0))*(1+$BC86)*(1+$BD86)+(($BE86+$BF86)/2*IF($G$1="破竹",$AJ86,$AH86)+IF($G$1="破竹",$AK86*1.5,0))*(1+$BG86)*(1+$BH86))*(1+$AL86)*$P86*(1+IF(VLOOKUP($Q86,武学奇术!$A:$ZZ,30,FALSE)="蓄力技",#REF!,0))*(1+$BQ86)</f>
        <v>0</v>
      </c>
      <c r="O86" s="38">
        <f>((($AN86*$AH86+$AI86)*(1+$AP86)*(1+$AQ86)+($AS86*IF($G$1="鸣金",$AJ86,$AH86)+IF($G$1="鸣金",$AK86*1.5,0))*(1+$AU86)*(1+$AV86)+($AW86*IF($G$1="裂石",$AJ86,$AH86)+IF($G$1="裂石",$AK86*1.5,0))*(1+$AY86)*(1+$AZ86)+($BA86*IF($G$1="牵丝",$AJ86,$AH86)+IF($G$1="牵丝",$AK86*1.5,0))*(1+$BC86)*(1+$BD86)+($BE86*IF($G$1="破竹",$AJ86,$AH86)+IF($G$1="破竹",$AK86*1.5,0))*(1+$BG86)*(1+$BH86))*(1+$AL86))*$P86*(1+IF(VLOOKUP($Q86,武学奇术!$A:$ZZ,30,FALSE)="蓄力技",#REF!,0))*(1+$BQ86)</f>
        <v>0</v>
      </c>
      <c r="P86" s="39">
        <v>1</v>
      </c>
      <c r="Q86" s="40" t="s">
        <v>76</v>
      </c>
      <c r="R86" s="40" t="s">
        <v>76</v>
      </c>
      <c r="S86" s="40" t="s">
        <v>76</v>
      </c>
      <c r="T86" s="40" t="s">
        <v>76</v>
      </c>
      <c r="U86" s="40" t="s">
        <v>76</v>
      </c>
      <c r="V86" s="40" t="s">
        <v>76</v>
      </c>
      <c r="W86" s="40" t="s">
        <v>76</v>
      </c>
      <c r="X86" s="40" t="s">
        <v>76</v>
      </c>
      <c r="Y86" s="40" t="s">
        <v>76</v>
      </c>
      <c r="Z86" s="40" t="s">
        <v>76</v>
      </c>
      <c r="AA86" s="40" t="s">
        <v>76</v>
      </c>
      <c r="AB86" s="40" t="s">
        <v>76</v>
      </c>
      <c r="AC86" s="40" t="s">
        <v>76</v>
      </c>
      <c r="AD86" s="40" t="s">
        <v>76</v>
      </c>
      <c r="AE86" s="40" t="s">
        <v>76</v>
      </c>
      <c r="AF86" s="40" t="s">
        <v>76</v>
      </c>
      <c r="AG86" t="str">
        <f>VLOOKUP($Q86,武学奇术!$A:$ZZ,25,FALSE)</f>
        <v>心法</v>
      </c>
      <c r="AH86" s="26">
        <f>VLOOKUP($Q86,武学奇术!$A:$ZZ,26,FALSE)</f>
        <v>0</v>
      </c>
      <c r="AI86" s="27">
        <f>VLOOKUP($Q86,武学奇术!$A:$ZZ,27,FALSE)*(1+IF(OR($AG86=$F$4,$AG86=$F$5),$B$21,0))</f>
        <v>0</v>
      </c>
      <c r="AJ86" s="26">
        <f>VLOOKUP($Q86,武学奇术!$A:$ZZ,28,FALSE)</f>
        <v>0</v>
      </c>
      <c r="AK86" s="27">
        <f>VLOOKUP($Q86,武学奇术!$A:$ZZ,29,FALSE)*(1+IF(OR($AG86=$F$4,$AG86=$F$5),$B$21,0))</f>
        <v>0</v>
      </c>
      <c r="AL86" s="26" cm="1">
        <f t="array" ref="AL86">$G$3+IFERROR(VLOOKUP($AG86,$F$4:$G$7,2,FALSE),0)+VLOOKUP($Q86,武学奇术!$A:$ZZ,2,FALSE)+SUM(_xlfn.XLOOKUP($R86:$AF86,增益!$A:$A,增益!$B:$B,0))</f>
        <v>0.1842</v>
      </c>
      <c r="AM86" s="26" cm="1">
        <f t="array" ref="AM86">VLOOKUP($Q86,武学奇术!$A:$ZZ,5,FALSE)+SUM(_xlfn.XLOOKUP($R86:$AF86,增益!$A:$A,增益!$E:$E,0))</f>
        <v>0</v>
      </c>
      <c r="AN86" cm="1">
        <f t="array" ref="AN86">$D$10*(1+$AM86)+VLOOKUP($Q86,武学奇术!$A:$ZZ,3,FALSE)+SUM(_xlfn.XLOOKUP($R86:$AF86,增益!$A:$A,增益!$C:$C,0))-$I$2</f>
        <v>3940</v>
      </c>
      <c r="AO86" cm="1">
        <f t="array" ref="AO86">$E$10*(1+$AM86)+VLOOKUP($Q86,武学奇术!$A:$ZZ,4,FALSE)+SUM(_xlfn.XLOOKUP($R86:$AF86,增益!$A:$A,增益!$D:$D,0))-$I$2</f>
        <v>3940</v>
      </c>
      <c r="AP86" s="32" cm="1">
        <f t="array" ref="AP86">IF($F$10-$I$3+VLOOKUP($Q86,武学奇术!$A:$ZZ,6,FALSE)+SUM(_xlfn.XLOOKUP(R86:AF86,增益!$A:$A,增益!$F:$F,0))&gt;0,($F$10-$I$3+VLOOKUP($Q86,武学奇术!$A:$ZZ,6,FALSE)+SUM(_xlfn.XLOOKUP(R86:AF86,增益!$A:$A,增益!$F:$F,0)))/200,($F$10-$I$3+VLOOKUP($Q86,武学奇术!$A:$ZZ,6,FALSE)+SUM(_xlfn.XLOOKUP(R86:AF86,增益!$A:$A,增益!$F:$F,0)))/100)</f>
        <v>0.194</v>
      </c>
      <c r="AQ86" s="32" cm="1">
        <f t="array" ref="AQ86">$G$10+VLOOKUP($Q86,武学奇术!$A:$ZZ,7,FALSE)+SUM(_xlfn.XLOOKUP(R86:AF86,增益!$A:$A,增益!$G:$G,0))</f>
        <v>0</v>
      </c>
      <c r="AR86" s="26" cm="1">
        <f t="array" ref="AR86">VLOOKUP($Q86,武学奇术!$A:$ZZ,8,FALSE)+SUM(_xlfn.XLOOKUP(R86:AF86,增益!$A:$A,增益!$H:$H,0))</f>
        <v>0</v>
      </c>
      <c r="AS86">
        <f t="shared" si="12"/>
        <v>0</v>
      </c>
      <c r="AT86">
        <f t="shared" si="13"/>
        <v>0</v>
      </c>
      <c r="AU86" s="32" cm="1">
        <f t="array" ref="AU86">IF($F$11-$I$4+VLOOKUP($Q86,武学奇术!$A:$ZZ,9,FALSE)+SUM(_xlfn.XLOOKUP(R86:AF86,增益!$A:$A,增益!$I:$I,0))&gt;0,($F$11-$I$4+VLOOKUP($Q86,武学奇术!$A:$ZZ,9,FALSE)+SUM(_xlfn.XLOOKUP(R86:AF86,增益!$A:$A,增益!$I:$I,0)))/200,($F$11-$I$4+VLOOKUP($Q86,武学奇术!$A:$ZZ,9,FALSE)+SUM(_xlfn.XLOOKUP(R86:AF86,增益!$A:$A,增益!$I:$I,0)))/100)</f>
        <v>-0.3</v>
      </c>
      <c r="AV86" s="32" cm="1">
        <f t="array" ref="AV86">$G$11+VLOOKUP($Q86,武学奇术!$A:$ZZ,10,FALSE)+SUM(_xlfn.XLOOKUP(R86:AF86,增益!$A:$A,增益!$J:$J,0))</f>
        <v>0</v>
      </c>
      <c r="AW86">
        <f t="shared" si="14"/>
        <v>0</v>
      </c>
      <c r="AX86">
        <f t="shared" si="15"/>
        <v>0</v>
      </c>
      <c r="AY86" s="32" cm="1">
        <f t="array" ref="AY86">IF($F$12-$I$4+VLOOKUP($Q86,武学奇术!$A:$ZZ,11,FALSE)+SUM(_xlfn.XLOOKUP(R86:AF86,增益!$A:$A,增益!$K:$K,0))&gt;0,($F$12-$I$4+VLOOKUP($Q86,武学奇术!$A:$ZZ,11,FALSE)+SUM(_xlfn.XLOOKUP(R86:AF86,增益!$A:$A,增益!$K:$K,0)))/200,($F$12-$I$4+VLOOKUP($Q86,武学奇术!$A:$ZZ,11,FALSE)+SUM(_xlfn.XLOOKUP(R86:AF86,增益!$A:$A,增益!$K:$K,0)))/100)</f>
        <v>-0.3</v>
      </c>
      <c r="AZ86" s="32" cm="1">
        <f t="array" ref="AZ86">$G$12+VLOOKUP($Q86,武学奇术!$A:$ZZ,12,FALSE)+SUM(_xlfn.XLOOKUP(R86:AF86,增益!$A:$A,增益!$L:$L,0))</f>
        <v>0</v>
      </c>
      <c r="BA86">
        <f t="shared" si="16"/>
        <v>697.4</v>
      </c>
      <c r="BB86">
        <f t="shared" si="17"/>
        <v>1805</v>
      </c>
      <c r="BC86" s="32" cm="1">
        <f t="array" ref="BC86">IF($F$13-$I$4+VLOOKUP($Q86,武学奇术!$A:$ZZ,13,FALSE)+SUM(_xlfn.XLOOKUP(R86:AF86,增益!$A:$A,增益!$M:$M,0))&gt;0,($F$13-$I$4+VLOOKUP($Q86,武学奇术!$A:$ZZ,13,FALSE)+SUM(_xlfn.XLOOKUP(R86:AF86,增益!$A:$A,增益!$K:$K,0)))/200,($F$13-$I$4+VLOOKUP($Q86,武学奇术!$A:$ZZ,13,FALSE)+SUM(_xlfn.XLOOKUP(R86:AF86,增益!$A:$A,增益!$M:$M,0)))/100)</f>
        <v>0</v>
      </c>
      <c r="BD86" s="32" cm="1">
        <f t="array" ref="BD86">$G$13+VLOOKUP($Q86,武学奇术!$A:$ZZ,14,FALSE)+SUM(_xlfn.XLOOKUP(R86:AF86,增益!$A:$A,增益!$N:$N,0))</f>
        <v>0.15</v>
      </c>
      <c r="BE86">
        <f t="shared" si="18"/>
        <v>0</v>
      </c>
      <c r="BF86">
        <f t="shared" si="19"/>
        <v>0</v>
      </c>
      <c r="BG86" s="32" cm="1">
        <f t="array" ref="BG86">IF($F$14-$I$4+VLOOKUP($Q86,武学奇术!$A:$ZZ,15,FALSE)+SUM(_xlfn.XLOOKUP(R86:AF86,增益!$A:$A,增益!$O:$O,0))&gt;0,($F$14-$I$4+VLOOKUP($Q86,武学奇术!$A:$ZZ,15,FALSE)+SUM(_xlfn.XLOOKUP(R86:AF86,增益!$A:$A,增益!$O:$O,0)))/200,($F$14-$I$4+VLOOKUP($Q86,武学奇术!$A:$ZZ,15,FALSE)+SUM(_xlfn.XLOOKUP(R86:AF86,增益!$A:$A,增益!$O:$O,0)))/100)</f>
        <v>-0.3</v>
      </c>
      <c r="BH86" s="32" cm="1">
        <f t="array" ref="BH86">$G$14+VLOOKUP($Q86,武学奇术!$A:$ZZ,16,FALSE)+SUM(_xlfn.XLOOKUP(R86:AF86,增益!$A:$A,增益!$P:$P,0))</f>
        <v>0</v>
      </c>
      <c r="BI86" s="26">
        <f>MIN(IF(VLOOKUP($Q86,武学奇术!$A:$ZZ,23,FALSE)=1,100%,$B$8),100%)</f>
        <v>1</v>
      </c>
      <c r="BJ86" s="26" cm="1">
        <f t="array" ref="BJ86">IF(VLOOKUP($Q86,武学奇术!$A:$ZZ,23,FALSE)=1,100%,MIN(80%,$B$9+VLOOKUP($Q86,武学奇术!$A:$ZZ,17,FALSE)+SUM(_xlfn.XLOOKUP(R86:AF86,增益!$A:$A,增益!$Q:$Q,0)))+$B$11+SUM(_xlfn.XLOOKUP(R86:AF86,增益!$A:$A,增益!$U:$U,0)))*IF(VLOOKUP($Q86,武学奇术!$A:$ZZ,24,FALSE)=1,0,1)</f>
        <v>0.8625</v>
      </c>
      <c r="BK86" s="26" cm="1">
        <f t="array" ref="BK86">1+$B$13+VLOOKUP($Q86,武学奇术!$A:$ZZ,18,FALSE)+SUM(_xlfn.XLOOKUP(R86:AF86,增益!$A:$A,增益!$R:$R,0))</f>
        <v>1.5</v>
      </c>
      <c r="BL86" s="26" cm="1">
        <f t="array" ref="BL86">IF(VLOOKUP($Q86,武学奇术!$A:$ZZ,24,FALSE)=1,100%,MIN(40%,$B$10+VLOOKUP($Q86,武学奇术!$A:$ZZ,19,FALSE)+SUM(_xlfn.XLOOKUP(R86:AF86,增益!$A:$A,增益!$S:$S,0)))+$B$12+SUM(_xlfn.XLOOKUP(R86:AF86,增益!$A:$A,增益!$V:$V,0)))*IF(VLOOKUP($Q86,武学奇术!$A:$ZZ,23,FALSE)=1,0,1)</f>
        <v>0.0913</v>
      </c>
      <c r="BM86" s="26" cm="1">
        <f t="array" ref="BM86">1+$B$14+VLOOKUP($Q86,武学奇术!$A:$ZZ,20,FALSE)+SUM(_xlfn.XLOOKUP(R86:AF86,增益!$A:$A,增益!$T:$T,0))</f>
        <v>1.35</v>
      </c>
      <c r="BN86" s="26">
        <f t="shared" si="20"/>
        <v>0.8625</v>
      </c>
      <c r="BO86" s="26">
        <f t="shared" si="21"/>
        <v>0.0462</v>
      </c>
      <c r="BP86" s="26">
        <f>IF(VLOOKUP($Q86,武学奇术!$A:$ZZ,22,FALSE)=1,0,(1-$BI86))*(1-$BL86)</f>
        <v>0</v>
      </c>
      <c r="BQ86" s="26" cm="1">
        <f t="array" ref="BQ86">SUM(_xlfn.XLOOKUP(R86:AF86,增益!$A:$A,增益!$W:$W,0))+$I$5</f>
        <v>0.06</v>
      </c>
    </row>
    <row r="87" spans="1:69">
      <c r="K87" s="38">
        <f t="shared" si="11"/>
        <v>0</v>
      </c>
      <c r="L87" s="38">
        <f>((($AN87+$AO87)/2*$AH87+$AI87)*(1+$AP87)*(1+$AQ87)+(($AS87+$AT87)/2*IF($G$1="鸣金",$AJ87,$AH87)+IF($G$1="鸣金",$AK87*1.5,0))*(1+$AU87)*(1+$AV87)+(($AW87+$AX87)/2*IF($G$1="裂石",$AJ87,$AH87)+IF($G$1="裂石",$AK87*1.5,0))*(1+$AY87)*(1+$AZ87)+(($BA87+$BB87)/2*IF($G$1="牵丝",$AJ87,$AH87)+IF($G$1="牵丝",$AK87*1.5,0))*(1+$BC87)*(1+$BD87)+(($BE87+$BF87)/2*IF($G$1="破竹",$AJ87,$AH87)+IF($G$1="破竹",$AK87*1.5,0))*(1+$BG87)*(1+$BH87))*(1+$AL87)*$BK87*$P87*(1+IF(VLOOKUP($Q87,武学奇术!$A:$ZZ,30,FALSE)="蓄力技",#REF!,0))*(1+$BQ87)</f>
        <v>0</v>
      </c>
      <c r="M87" s="38">
        <f>(($AO87*$AH87+$AI87)*(1+$AP87)*(1+$AQ87)+($AT87*IF($G$1="鸣金",$AJ87,$AH87)+IF($G$1="鸣金",$AK87*1.5,0))*(1+$AU87)*(1+$AV87)+($AX87*IF($G$1="裂石",$AJ87,$AH87)+IF($G$1="裂石",$AK87*1.5,0))*(1+$AY87)*(1+$AZ87)+($BB87*IF($G$1="牵丝",$AJ87,$AH87)+IF($G$1="牵丝",$AK87*1.5,0))*(1+$BC87)*(1+$BD87)+($BF87*IF($G$1="破竹",$AJ87,$AH87)+IF($G$1="破竹",$AK87*1.5,0))*(1+$BG87)*(1+$BH87))*(1+$AL87)*$BM87*$P87*(1+IF(VLOOKUP($Q87,武学奇术!$A:$ZZ,30,FALSE)="蓄力技",#REF!,0))*(1+$BQ87)</f>
        <v>0</v>
      </c>
      <c r="N87" s="38">
        <f>((($AN87+$AO87)/2*$AH87+$AI87)*(1+$AP87)*(1+$AQ87)+(($AS87+$AT87)/2*IF($G$1="鸣金",$AJ87,$AH87)+IF($G$1="鸣金",$AK87*1.5,0))*(1+$AU87)*(1+$AV87)+(($AW87+$AX87)/2*IF($G$1="裂石",$AJ87,$AH87)+IF($G$1="裂石",$AK87*1.5,0))*(1+$AY87)*(1+$AZ87)+(($BA87+$BB87)/2*IF($G$1="牵丝",$AJ87,$AH87)+IF($G$1="牵丝",$AK87*1.5,0))*(1+$BC87)*(1+$BD87)+(($BE87+$BF87)/2*IF($G$1="破竹",$AJ87,$AH87)+IF($G$1="破竹",$AK87*1.5,0))*(1+$BG87)*(1+$BH87))*(1+$AL87)*$P87*(1+IF(VLOOKUP($Q87,武学奇术!$A:$ZZ,30,FALSE)="蓄力技",#REF!,0))*(1+$BQ87)</f>
        <v>0</v>
      </c>
      <c r="O87" s="38">
        <f>((($AN87*$AH87+$AI87)*(1+$AP87)*(1+$AQ87)+($AS87*IF($G$1="鸣金",$AJ87,$AH87)+IF($G$1="鸣金",$AK87*1.5,0))*(1+$AU87)*(1+$AV87)+($AW87*IF($G$1="裂石",$AJ87,$AH87)+IF($G$1="裂石",$AK87*1.5,0))*(1+$AY87)*(1+$AZ87)+($BA87*IF($G$1="牵丝",$AJ87,$AH87)+IF($G$1="牵丝",$AK87*1.5,0))*(1+$BC87)*(1+$BD87)+($BE87*IF($G$1="破竹",$AJ87,$AH87)+IF($G$1="破竹",$AK87*1.5,0))*(1+$BG87)*(1+$BH87))*(1+$AL87))*$P87*(1+IF(VLOOKUP($Q87,武学奇术!$A:$ZZ,30,FALSE)="蓄力技",#REF!,0))*(1+$BQ87)</f>
        <v>0</v>
      </c>
      <c r="P87" s="39">
        <v>1</v>
      </c>
      <c r="Q87" s="40" t="s">
        <v>76</v>
      </c>
      <c r="R87" s="40" t="s">
        <v>76</v>
      </c>
      <c r="S87" s="40" t="s">
        <v>76</v>
      </c>
      <c r="T87" s="40" t="s">
        <v>76</v>
      </c>
      <c r="U87" s="40" t="s">
        <v>76</v>
      </c>
      <c r="V87" s="40" t="s">
        <v>76</v>
      </c>
      <c r="W87" s="40" t="s">
        <v>76</v>
      </c>
      <c r="X87" s="40" t="s">
        <v>76</v>
      </c>
      <c r="Y87" s="40" t="s">
        <v>76</v>
      </c>
      <c r="Z87" s="40" t="s">
        <v>76</v>
      </c>
      <c r="AA87" s="40" t="s">
        <v>76</v>
      </c>
      <c r="AB87" s="40" t="s">
        <v>76</v>
      </c>
      <c r="AC87" s="40" t="s">
        <v>76</v>
      </c>
      <c r="AD87" s="40" t="s">
        <v>76</v>
      </c>
      <c r="AE87" s="40" t="s">
        <v>76</v>
      </c>
      <c r="AF87" s="40" t="s">
        <v>76</v>
      </c>
      <c r="AG87" t="str">
        <f>VLOOKUP($Q87,武学奇术!$A:$ZZ,25,FALSE)</f>
        <v>心法</v>
      </c>
      <c r="AH87" s="26">
        <f>VLOOKUP($Q87,武学奇术!$A:$ZZ,26,FALSE)</f>
        <v>0</v>
      </c>
      <c r="AI87" s="27">
        <f>VLOOKUP($Q87,武学奇术!$A:$ZZ,27,FALSE)*(1+IF(OR($AG87=$F$4,$AG87=$F$5),$B$21,0))</f>
        <v>0</v>
      </c>
      <c r="AJ87" s="26">
        <f>VLOOKUP($Q87,武学奇术!$A:$ZZ,28,FALSE)</f>
        <v>0</v>
      </c>
      <c r="AK87" s="27">
        <f>VLOOKUP($Q87,武学奇术!$A:$ZZ,29,FALSE)*(1+IF(OR($AG87=$F$4,$AG87=$F$5),$B$21,0))</f>
        <v>0</v>
      </c>
      <c r="AL87" s="26" cm="1">
        <f t="array" ref="AL87">$G$3+IFERROR(VLOOKUP($AG87,$F$4:$G$7,2,FALSE),0)+VLOOKUP($Q87,武学奇术!$A:$ZZ,2,FALSE)+SUM(_xlfn.XLOOKUP($R87:$AF87,增益!$A:$A,增益!$B:$B,0))</f>
        <v>0.1842</v>
      </c>
      <c r="AM87" s="26" cm="1">
        <f t="array" ref="AM87">VLOOKUP($Q87,武学奇术!$A:$ZZ,5,FALSE)+SUM(_xlfn.XLOOKUP($R87:$AF87,增益!$A:$A,增益!$E:$E,0))</f>
        <v>0</v>
      </c>
      <c r="AN87" cm="1">
        <f t="array" ref="AN87">$D$10*(1+$AM87)+VLOOKUP($Q87,武学奇术!$A:$ZZ,3,FALSE)+SUM(_xlfn.XLOOKUP($R87:$AF87,增益!$A:$A,增益!$C:$C,0))-$I$2</f>
        <v>3940</v>
      </c>
      <c r="AO87" cm="1">
        <f t="array" ref="AO87">$E$10*(1+$AM87)+VLOOKUP($Q87,武学奇术!$A:$ZZ,4,FALSE)+SUM(_xlfn.XLOOKUP($R87:$AF87,增益!$A:$A,增益!$D:$D,0))-$I$2</f>
        <v>3940</v>
      </c>
      <c r="AP87" s="32" cm="1">
        <f t="array" ref="AP87">IF($F$10-$I$3+VLOOKUP($Q87,武学奇术!$A:$ZZ,6,FALSE)+SUM(_xlfn.XLOOKUP(R87:AF87,增益!$A:$A,增益!$F:$F,0))&gt;0,($F$10-$I$3+VLOOKUP($Q87,武学奇术!$A:$ZZ,6,FALSE)+SUM(_xlfn.XLOOKUP(R87:AF87,增益!$A:$A,增益!$F:$F,0)))/200,($F$10-$I$3+VLOOKUP($Q87,武学奇术!$A:$ZZ,6,FALSE)+SUM(_xlfn.XLOOKUP(R87:AF87,增益!$A:$A,增益!$F:$F,0)))/100)</f>
        <v>0.194</v>
      </c>
      <c r="AQ87" s="32" cm="1">
        <f t="array" ref="AQ87">$G$10+VLOOKUP($Q87,武学奇术!$A:$ZZ,7,FALSE)+SUM(_xlfn.XLOOKUP(R87:AF87,增益!$A:$A,增益!$G:$G,0))</f>
        <v>0</v>
      </c>
      <c r="AR87" s="26" cm="1">
        <f t="array" ref="AR87">VLOOKUP($Q87,武学奇术!$A:$ZZ,8,FALSE)+SUM(_xlfn.XLOOKUP(R87:AF87,增益!$A:$A,增益!$H:$H,0))</f>
        <v>0</v>
      </c>
      <c r="AS87">
        <f t="shared" si="12"/>
        <v>0</v>
      </c>
      <c r="AT87">
        <f t="shared" si="13"/>
        <v>0</v>
      </c>
      <c r="AU87" s="32" cm="1">
        <f t="array" ref="AU87">IF($F$11-$I$4+VLOOKUP($Q87,武学奇术!$A:$ZZ,9,FALSE)+SUM(_xlfn.XLOOKUP(R87:AF87,增益!$A:$A,增益!$I:$I,0))&gt;0,($F$11-$I$4+VLOOKUP($Q87,武学奇术!$A:$ZZ,9,FALSE)+SUM(_xlfn.XLOOKUP(R87:AF87,增益!$A:$A,增益!$I:$I,0)))/200,($F$11-$I$4+VLOOKUP($Q87,武学奇术!$A:$ZZ,9,FALSE)+SUM(_xlfn.XLOOKUP(R87:AF87,增益!$A:$A,增益!$I:$I,0)))/100)</f>
        <v>-0.3</v>
      </c>
      <c r="AV87" s="32" cm="1">
        <f t="array" ref="AV87">$G$11+VLOOKUP($Q87,武学奇术!$A:$ZZ,10,FALSE)+SUM(_xlfn.XLOOKUP(R87:AF87,增益!$A:$A,增益!$J:$J,0))</f>
        <v>0</v>
      </c>
      <c r="AW87">
        <f t="shared" si="14"/>
        <v>0</v>
      </c>
      <c r="AX87">
        <f t="shared" si="15"/>
        <v>0</v>
      </c>
      <c r="AY87" s="32" cm="1">
        <f t="array" ref="AY87">IF($F$12-$I$4+VLOOKUP($Q87,武学奇术!$A:$ZZ,11,FALSE)+SUM(_xlfn.XLOOKUP(R87:AF87,增益!$A:$A,增益!$K:$K,0))&gt;0,($F$12-$I$4+VLOOKUP($Q87,武学奇术!$A:$ZZ,11,FALSE)+SUM(_xlfn.XLOOKUP(R87:AF87,增益!$A:$A,增益!$K:$K,0)))/200,($F$12-$I$4+VLOOKUP($Q87,武学奇术!$A:$ZZ,11,FALSE)+SUM(_xlfn.XLOOKUP(R87:AF87,增益!$A:$A,增益!$K:$K,0)))/100)</f>
        <v>-0.3</v>
      </c>
      <c r="AZ87" s="32" cm="1">
        <f t="array" ref="AZ87">$G$12+VLOOKUP($Q87,武学奇术!$A:$ZZ,12,FALSE)+SUM(_xlfn.XLOOKUP(R87:AF87,增益!$A:$A,增益!$L:$L,0))</f>
        <v>0</v>
      </c>
      <c r="BA87">
        <f t="shared" si="16"/>
        <v>697.4</v>
      </c>
      <c r="BB87">
        <f t="shared" si="17"/>
        <v>1805</v>
      </c>
      <c r="BC87" s="32" cm="1">
        <f t="array" ref="BC87">IF($F$13-$I$4+VLOOKUP($Q87,武学奇术!$A:$ZZ,13,FALSE)+SUM(_xlfn.XLOOKUP(R87:AF87,增益!$A:$A,增益!$M:$M,0))&gt;0,($F$13-$I$4+VLOOKUP($Q87,武学奇术!$A:$ZZ,13,FALSE)+SUM(_xlfn.XLOOKUP(R87:AF87,增益!$A:$A,增益!$K:$K,0)))/200,($F$13-$I$4+VLOOKUP($Q87,武学奇术!$A:$ZZ,13,FALSE)+SUM(_xlfn.XLOOKUP(R87:AF87,增益!$A:$A,增益!$M:$M,0)))/100)</f>
        <v>0</v>
      </c>
      <c r="BD87" s="32" cm="1">
        <f t="array" ref="BD87">$G$13+VLOOKUP($Q87,武学奇术!$A:$ZZ,14,FALSE)+SUM(_xlfn.XLOOKUP(R87:AF87,增益!$A:$A,增益!$N:$N,0))</f>
        <v>0.15</v>
      </c>
      <c r="BE87">
        <f t="shared" si="18"/>
        <v>0</v>
      </c>
      <c r="BF87">
        <f t="shared" si="19"/>
        <v>0</v>
      </c>
      <c r="BG87" s="32" cm="1">
        <f t="array" ref="BG87">IF($F$14-$I$4+VLOOKUP($Q87,武学奇术!$A:$ZZ,15,FALSE)+SUM(_xlfn.XLOOKUP(R87:AF87,增益!$A:$A,增益!$O:$O,0))&gt;0,($F$14-$I$4+VLOOKUP($Q87,武学奇术!$A:$ZZ,15,FALSE)+SUM(_xlfn.XLOOKUP(R87:AF87,增益!$A:$A,增益!$O:$O,0)))/200,($F$14-$I$4+VLOOKUP($Q87,武学奇术!$A:$ZZ,15,FALSE)+SUM(_xlfn.XLOOKUP(R87:AF87,增益!$A:$A,增益!$O:$O,0)))/100)</f>
        <v>-0.3</v>
      </c>
      <c r="BH87" s="32" cm="1">
        <f t="array" ref="BH87">$G$14+VLOOKUP($Q87,武学奇术!$A:$ZZ,16,FALSE)+SUM(_xlfn.XLOOKUP(R87:AF87,增益!$A:$A,增益!$P:$P,0))</f>
        <v>0</v>
      </c>
      <c r="BI87" s="26">
        <f>MIN(IF(VLOOKUP($Q87,武学奇术!$A:$ZZ,23,FALSE)=1,100%,$B$8),100%)</f>
        <v>1</v>
      </c>
      <c r="BJ87" s="26" cm="1">
        <f t="array" ref="BJ87">IF(VLOOKUP($Q87,武学奇术!$A:$ZZ,23,FALSE)=1,100%,MIN(80%,$B$9+VLOOKUP($Q87,武学奇术!$A:$ZZ,17,FALSE)+SUM(_xlfn.XLOOKUP(R87:AF87,增益!$A:$A,增益!$Q:$Q,0)))+$B$11+SUM(_xlfn.XLOOKUP(R87:AF87,增益!$A:$A,增益!$U:$U,0)))*IF(VLOOKUP($Q87,武学奇术!$A:$ZZ,24,FALSE)=1,0,1)</f>
        <v>0.8625</v>
      </c>
      <c r="BK87" s="26" cm="1">
        <f t="array" ref="BK87">1+$B$13+VLOOKUP($Q87,武学奇术!$A:$ZZ,18,FALSE)+SUM(_xlfn.XLOOKUP(R87:AF87,增益!$A:$A,增益!$R:$R,0))</f>
        <v>1.5</v>
      </c>
      <c r="BL87" s="26" cm="1">
        <f t="array" ref="BL87">IF(VLOOKUP($Q87,武学奇术!$A:$ZZ,24,FALSE)=1,100%,MIN(40%,$B$10+VLOOKUP($Q87,武学奇术!$A:$ZZ,19,FALSE)+SUM(_xlfn.XLOOKUP(R87:AF87,增益!$A:$A,增益!$S:$S,0)))+$B$12+SUM(_xlfn.XLOOKUP(R87:AF87,增益!$A:$A,增益!$V:$V,0)))*IF(VLOOKUP($Q87,武学奇术!$A:$ZZ,23,FALSE)=1,0,1)</f>
        <v>0.0913</v>
      </c>
      <c r="BM87" s="26" cm="1">
        <f t="array" ref="BM87">1+$B$14+VLOOKUP($Q87,武学奇术!$A:$ZZ,20,FALSE)+SUM(_xlfn.XLOOKUP(R87:AF87,增益!$A:$A,增益!$T:$T,0))</f>
        <v>1.35</v>
      </c>
      <c r="BN87" s="26">
        <f t="shared" si="20"/>
        <v>0.8625</v>
      </c>
      <c r="BO87" s="26">
        <f t="shared" si="21"/>
        <v>0.0462</v>
      </c>
      <c r="BP87" s="26">
        <f>IF(VLOOKUP($Q87,武学奇术!$A:$ZZ,22,FALSE)=1,0,(1-$BI87))*(1-$BL87)</f>
        <v>0</v>
      </c>
      <c r="BQ87" s="26" cm="1">
        <f t="array" ref="BQ87">SUM(_xlfn.XLOOKUP(R87:AF87,增益!$A:$A,增益!$W:$W,0))+$I$5</f>
        <v>0.06</v>
      </c>
    </row>
    <row r="88" spans="1:69">
      <c r="K88" s="38">
        <f t="shared" si="11"/>
        <v>0</v>
      </c>
      <c r="L88" s="38">
        <f>((($AN88+$AO88)/2*$AH88+$AI88)*(1+$AP88)*(1+$AQ88)+(($AS88+$AT88)/2*IF($G$1="鸣金",$AJ88,$AH88)+IF($G$1="鸣金",$AK88*1.5,0))*(1+$AU88)*(1+$AV88)+(($AW88+$AX88)/2*IF($G$1="裂石",$AJ88,$AH88)+IF($G$1="裂石",$AK88*1.5,0))*(1+$AY88)*(1+$AZ88)+(($BA88+$BB88)/2*IF($G$1="牵丝",$AJ88,$AH88)+IF($G$1="牵丝",$AK88*1.5,0))*(1+$BC88)*(1+$BD88)+(($BE88+$BF88)/2*IF($G$1="破竹",$AJ88,$AH88)+IF($G$1="破竹",$AK88*1.5,0))*(1+$BG88)*(1+$BH88))*(1+$AL88)*$BK88*$P88*(1+IF(VLOOKUP($Q88,武学奇术!$A:$ZZ,30,FALSE)="蓄力技",#REF!,0))*(1+$BQ88)</f>
        <v>0</v>
      </c>
      <c r="M88" s="38">
        <f>(($AO88*$AH88+$AI88)*(1+$AP88)*(1+$AQ88)+($AT88*IF($G$1="鸣金",$AJ88,$AH88)+IF($G$1="鸣金",$AK88*1.5,0))*(1+$AU88)*(1+$AV88)+($AX88*IF($G$1="裂石",$AJ88,$AH88)+IF($G$1="裂石",$AK88*1.5,0))*(1+$AY88)*(1+$AZ88)+($BB88*IF($G$1="牵丝",$AJ88,$AH88)+IF($G$1="牵丝",$AK88*1.5,0))*(1+$BC88)*(1+$BD88)+($BF88*IF($G$1="破竹",$AJ88,$AH88)+IF($G$1="破竹",$AK88*1.5,0))*(1+$BG88)*(1+$BH88))*(1+$AL88)*$BM88*$P88*(1+IF(VLOOKUP($Q88,武学奇术!$A:$ZZ,30,FALSE)="蓄力技",#REF!,0))*(1+$BQ88)</f>
        <v>0</v>
      </c>
      <c r="N88" s="38">
        <f>((($AN88+$AO88)/2*$AH88+$AI88)*(1+$AP88)*(1+$AQ88)+(($AS88+$AT88)/2*IF($G$1="鸣金",$AJ88,$AH88)+IF($G$1="鸣金",$AK88*1.5,0))*(1+$AU88)*(1+$AV88)+(($AW88+$AX88)/2*IF($G$1="裂石",$AJ88,$AH88)+IF($G$1="裂石",$AK88*1.5,0))*(1+$AY88)*(1+$AZ88)+(($BA88+$BB88)/2*IF($G$1="牵丝",$AJ88,$AH88)+IF($G$1="牵丝",$AK88*1.5,0))*(1+$BC88)*(1+$BD88)+(($BE88+$BF88)/2*IF($G$1="破竹",$AJ88,$AH88)+IF($G$1="破竹",$AK88*1.5,0))*(1+$BG88)*(1+$BH88))*(1+$AL88)*$P88*(1+IF(VLOOKUP($Q88,武学奇术!$A:$ZZ,30,FALSE)="蓄力技",#REF!,0))*(1+$BQ88)</f>
        <v>0</v>
      </c>
      <c r="O88" s="38">
        <f>((($AN88*$AH88+$AI88)*(1+$AP88)*(1+$AQ88)+($AS88*IF($G$1="鸣金",$AJ88,$AH88)+IF($G$1="鸣金",$AK88*1.5,0))*(1+$AU88)*(1+$AV88)+($AW88*IF($G$1="裂石",$AJ88,$AH88)+IF($G$1="裂石",$AK88*1.5,0))*(1+$AY88)*(1+$AZ88)+($BA88*IF($G$1="牵丝",$AJ88,$AH88)+IF($G$1="牵丝",$AK88*1.5,0))*(1+$BC88)*(1+$BD88)+($BE88*IF($G$1="破竹",$AJ88,$AH88)+IF($G$1="破竹",$AK88*1.5,0))*(1+$BG88)*(1+$BH88))*(1+$AL88))*$P88*(1+IF(VLOOKUP($Q88,武学奇术!$A:$ZZ,30,FALSE)="蓄力技",#REF!,0))*(1+$BQ88)</f>
        <v>0</v>
      </c>
      <c r="P88" s="39">
        <v>1</v>
      </c>
      <c r="Q88" s="40" t="s">
        <v>76</v>
      </c>
      <c r="R88" s="40" t="s">
        <v>76</v>
      </c>
      <c r="S88" s="40" t="s">
        <v>76</v>
      </c>
      <c r="T88" s="40" t="s">
        <v>76</v>
      </c>
      <c r="U88" s="40" t="s">
        <v>76</v>
      </c>
      <c r="V88" s="40" t="s">
        <v>76</v>
      </c>
      <c r="W88" s="40" t="s">
        <v>76</v>
      </c>
      <c r="X88" s="40" t="s">
        <v>76</v>
      </c>
      <c r="Y88" s="40" t="s">
        <v>76</v>
      </c>
      <c r="Z88" s="40" t="s">
        <v>76</v>
      </c>
      <c r="AA88" s="40" t="s">
        <v>76</v>
      </c>
      <c r="AB88" s="40" t="s">
        <v>76</v>
      </c>
      <c r="AC88" s="40" t="s">
        <v>76</v>
      </c>
      <c r="AD88" s="40" t="s">
        <v>76</v>
      </c>
      <c r="AE88" s="40" t="s">
        <v>76</v>
      </c>
      <c r="AF88" s="40" t="s">
        <v>76</v>
      </c>
      <c r="AG88" t="str">
        <f>VLOOKUP($Q88,武学奇术!$A:$ZZ,25,FALSE)</f>
        <v>心法</v>
      </c>
      <c r="AH88" s="26">
        <f>VLOOKUP($Q88,武学奇术!$A:$ZZ,26,FALSE)</f>
        <v>0</v>
      </c>
      <c r="AI88" s="27">
        <f>VLOOKUP($Q88,武学奇术!$A:$ZZ,27,FALSE)*(1+IF(OR($AG88=$F$4,$AG88=$F$5),$B$21,0))</f>
        <v>0</v>
      </c>
      <c r="AJ88" s="26">
        <f>VLOOKUP($Q88,武学奇术!$A:$ZZ,28,FALSE)</f>
        <v>0</v>
      </c>
      <c r="AK88" s="27">
        <f>VLOOKUP($Q88,武学奇术!$A:$ZZ,29,FALSE)*(1+IF(OR($AG88=$F$4,$AG88=$F$5),$B$21,0))</f>
        <v>0</v>
      </c>
      <c r="AL88" s="26" cm="1">
        <f t="array" ref="AL88">$G$3+IFERROR(VLOOKUP($AG88,$F$4:$G$7,2,FALSE),0)+VLOOKUP($Q88,武学奇术!$A:$ZZ,2,FALSE)+SUM(_xlfn.XLOOKUP($R88:$AF88,增益!$A:$A,增益!$B:$B,0))</f>
        <v>0.1842</v>
      </c>
      <c r="AM88" s="26" cm="1">
        <f t="array" ref="AM88">VLOOKUP($Q88,武学奇术!$A:$ZZ,5,FALSE)+SUM(_xlfn.XLOOKUP($R88:$AF88,增益!$A:$A,增益!$E:$E,0))</f>
        <v>0</v>
      </c>
      <c r="AN88" cm="1">
        <f t="array" ref="AN88">$D$10*(1+$AM88)+VLOOKUP($Q88,武学奇术!$A:$ZZ,3,FALSE)+SUM(_xlfn.XLOOKUP($R88:$AF88,增益!$A:$A,增益!$C:$C,0))-$I$2</f>
        <v>3940</v>
      </c>
      <c r="AO88" cm="1">
        <f t="array" ref="AO88">$E$10*(1+$AM88)+VLOOKUP($Q88,武学奇术!$A:$ZZ,4,FALSE)+SUM(_xlfn.XLOOKUP($R88:$AF88,增益!$A:$A,增益!$D:$D,0))-$I$2</f>
        <v>3940</v>
      </c>
      <c r="AP88" s="32" cm="1">
        <f t="array" ref="AP88">IF($F$10-$I$3+VLOOKUP($Q88,武学奇术!$A:$ZZ,6,FALSE)+SUM(_xlfn.XLOOKUP(R88:AF88,增益!$A:$A,增益!$F:$F,0))&gt;0,($F$10-$I$3+VLOOKUP($Q88,武学奇术!$A:$ZZ,6,FALSE)+SUM(_xlfn.XLOOKUP(R88:AF88,增益!$A:$A,增益!$F:$F,0)))/200,($F$10-$I$3+VLOOKUP($Q88,武学奇术!$A:$ZZ,6,FALSE)+SUM(_xlfn.XLOOKUP(R88:AF88,增益!$A:$A,增益!$F:$F,0)))/100)</f>
        <v>0.194</v>
      </c>
      <c r="AQ88" s="32" cm="1">
        <f t="array" ref="AQ88">$G$10+VLOOKUP($Q88,武学奇术!$A:$ZZ,7,FALSE)+SUM(_xlfn.XLOOKUP(R88:AF88,增益!$A:$A,增益!$G:$G,0))</f>
        <v>0</v>
      </c>
      <c r="AR88" s="26" cm="1">
        <f t="array" ref="AR88">VLOOKUP($Q88,武学奇术!$A:$ZZ,8,FALSE)+SUM(_xlfn.XLOOKUP(R88:AF88,增益!$A:$A,增益!$H:$H,0))</f>
        <v>0</v>
      </c>
      <c r="AS88">
        <f t="shared" si="12"/>
        <v>0</v>
      </c>
      <c r="AT88">
        <f t="shared" si="13"/>
        <v>0</v>
      </c>
      <c r="AU88" s="32" cm="1">
        <f t="array" ref="AU88">IF($F$11-$I$4+VLOOKUP($Q88,武学奇术!$A:$ZZ,9,FALSE)+SUM(_xlfn.XLOOKUP(R88:AF88,增益!$A:$A,增益!$I:$I,0))&gt;0,($F$11-$I$4+VLOOKUP($Q88,武学奇术!$A:$ZZ,9,FALSE)+SUM(_xlfn.XLOOKUP(R88:AF88,增益!$A:$A,增益!$I:$I,0)))/200,($F$11-$I$4+VLOOKUP($Q88,武学奇术!$A:$ZZ,9,FALSE)+SUM(_xlfn.XLOOKUP(R88:AF88,增益!$A:$A,增益!$I:$I,0)))/100)</f>
        <v>-0.3</v>
      </c>
      <c r="AV88" s="32" cm="1">
        <f t="array" ref="AV88">$G$11+VLOOKUP($Q88,武学奇术!$A:$ZZ,10,FALSE)+SUM(_xlfn.XLOOKUP(R88:AF88,增益!$A:$A,增益!$J:$J,0))</f>
        <v>0</v>
      </c>
      <c r="AW88">
        <f t="shared" si="14"/>
        <v>0</v>
      </c>
      <c r="AX88">
        <f t="shared" si="15"/>
        <v>0</v>
      </c>
      <c r="AY88" s="32" cm="1">
        <f t="array" ref="AY88">IF($F$12-$I$4+VLOOKUP($Q88,武学奇术!$A:$ZZ,11,FALSE)+SUM(_xlfn.XLOOKUP(R88:AF88,增益!$A:$A,增益!$K:$K,0))&gt;0,($F$12-$I$4+VLOOKUP($Q88,武学奇术!$A:$ZZ,11,FALSE)+SUM(_xlfn.XLOOKUP(R88:AF88,增益!$A:$A,增益!$K:$K,0)))/200,($F$12-$I$4+VLOOKUP($Q88,武学奇术!$A:$ZZ,11,FALSE)+SUM(_xlfn.XLOOKUP(R88:AF88,增益!$A:$A,增益!$K:$K,0)))/100)</f>
        <v>-0.3</v>
      </c>
      <c r="AZ88" s="32" cm="1">
        <f t="array" ref="AZ88">$G$12+VLOOKUP($Q88,武学奇术!$A:$ZZ,12,FALSE)+SUM(_xlfn.XLOOKUP(R88:AF88,增益!$A:$A,增益!$L:$L,0))</f>
        <v>0</v>
      </c>
      <c r="BA88">
        <f t="shared" si="16"/>
        <v>697.4</v>
      </c>
      <c r="BB88">
        <f t="shared" si="17"/>
        <v>1805</v>
      </c>
      <c r="BC88" s="32" cm="1">
        <f t="array" ref="BC88">IF($F$13-$I$4+VLOOKUP($Q88,武学奇术!$A:$ZZ,13,FALSE)+SUM(_xlfn.XLOOKUP(R88:AF88,增益!$A:$A,增益!$M:$M,0))&gt;0,($F$13-$I$4+VLOOKUP($Q88,武学奇术!$A:$ZZ,13,FALSE)+SUM(_xlfn.XLOOKUP(R88:AF88,增益!$A:$A,增益!$K:$K,0)))/200,($F$13-$I$4+VLOOKUP($Q88,武学奇术!$A:$ZZ,13,FALSE)+SUM(_xlfn.XLOOKUP(R88:AF88,增益!$A:$A,增益!$M:$M,0)))/100)</f>
        <v>0</v>
      </c>
      <c r="BD88" s="32" cm="1">
        <f t="array" ref="BD88">$G$13+VLOOKUP($Q88,武学奇术!$A:$ZZ,14,FALSE)+SUM(_xlfn.XLOOKUP(R88:AF88,增益!$A:$A,增益!$N:$N,0))</f>
        <v>0.15</v>
      </c>
      <c r="BE88">
        <f t="shared" si="18"/>
        <v>0</v>
      </c>
      <c r="BF88">
        <f t="shared" si="19"/>
        <v>0</v>
      </c>
      <c r="BG88" s="32" cm="1">
        <f t="array" ref="BG88">IF($F$14-$I$4+VLOOKUP($Q88,武学奇术!$A:$ZZ,15,FALSE)+SUM(_xlfn.XLOOKUP(R88:AF88,增益!$A:$A,增益!$O:$O,0))&gt;0,($F$14-$I$4+VLOOKUP($Q88,武学奇术!$A:$ZZ,15,FALSE)+SUM(_xlfn.XLOOKUP(R88:AF88,增益!$A:$A,增益!$O:$O,0)))/200,($F$14-$I$4+VLOOKUP($Q88,武学奇术!$A:$ZZ,15,FALSE)+SUM(_xlfn.XLOOKUP(R88:AF88,增益!$A:$A,增益!$O:$O,0)))/100)</f>
        <v>-0.3</v>
      </c>
      <c r="BH88" s="32" cm="1">
        <f t="array" ref="BH88">$G$14+VLOOKUP($Q88,武学奇术!$A:$ZZ,16,FALSE)+SUM(_xlfn.XLOOKUP(R88:AF88,增益!$A:$A,增益!$P:$P,0))</f>
        <v>0</v>
      </c>
      <c r="BI88" s="26">
        <f>MIN(IF(VLOOKUP($Q88,武学奇术!$A:$ZZ,23,FALSE)=1,100%,$B$8),100%)</f>
        <v>1</v>
      </c>
      <c r="BJ88" s="26" cm="1">
        <f t="array" ref="BJ88">IF(VLOOKUP($Q88,武学奇术!$A:$ZZ,23,FALSE)=1,100%,MIN(80%,$B$9+VLOOKUP($Q88,武学奇术!$A:$ZZ,17,FALSE)+SUM(_xlfn.XLOOKUP(R88:AF88,增益!$A:$A,增益!$Q:$Q,0)))+$B$11+SUM(_xlfn.XLOOKUP(R88:AF88,增益!$A:$A,增益!$U:$U,0)))*IF(VLOOKUP($Q88,武学奇术!$A:$ZZ,24,FALSE)=1,0,1)</f>
        <v>0.8625</v>
      </c>
      <c r="BK88" s="26" cm="1">
        <f t="array" ref="BK88">1+$B$13+VLOOKUP($Q88,武学奇术!$A:$ZZ,18,FALSE)+SUM(_xlfn.XLOOKUP(R88:AF88,增益!$A:$A,增益!$R:$R,0))</f>
        <v>1.5</v>
      </c>
      <c r="BL88" s="26" cm="1">
        <f t="array" ref="BL88">IF(VLOOKUP($Q88,武学奇术!$A:$ZZ,24,FALSE)=1,100%,MIN(40%,$B$10+VLOOKUP($Q88,武学奇术!$A:$ZZ,19,FALSE)+SUM(_xlfn.XLOOKUP(R88:AF88,增益!$A:$A,增益!$S:$S,0)))+$B$12+SUM(_xlfn.XLOOKUP(R88:AF88,增益!$A:$A,增益!$V:$V,0)))*IF(VLOOKUP($Q88,武学奇术!$A:$ZZ,23,FALSE)=1,0,1)</f>
        <v>0.0913</v>
      </c>
      <c r="BM88" s="26" cm="1">
        <f t="array" ref="BM88">1+$B$14+VLOOKUP($Q88,武学奇术!$A:$ZZ,20,FALSE)+SUM(_xlfn.XLOOKUP(R88:AF88,增益!$A:$A,增益!$T:$T,0))</f>
        <v>1.35</v>
      </c>
      <c r="BN88" s="26">
        <f t="shared" si="20"/>
        <v>0.8625</v>
      </c>
      <c r="BO88" s="26">
        <f t="shared" si="21"/>
        <v>0.0462</v>
      </c>
      <c r="BP88" s="26">
        <f>IF(VLOOKUP($Q88,武学奇术!$A:$ZZ,22,FALSE)=1,0,(1-$BI88))*(1-$BL88)</f>
        <v>0</v>
      </c>
      <c r="BQ88" s="26" cm="1">
        <f t="array" ref="BQ88">SUM(_xlfn.XLOOKUP(R88:AF88,增益!$A:$A,增益!$W:$W,0))+$I$5</f>
        <v>0.06</v>
      </c>
    </row>
    <row r="89" spans="1:69">
      <c r="K89" s="38">
        <f t="shared" si="11"/>
        <v>0</v>
      </c>
      <c r="L89" s="38">
        <f>((($AN89+$AO89)/2*$AH89+$AI89)*(1+$AP89)*(1+$AQ89)+(($AS89+$AT89)/2*IF($G$1="鸣金",$AJ89,$AH89)+IF($G$1="鸣金",$AK89*1.5,0))*(1+$AU89)*(1+$AV89)+(($AW89+$AX89)/2*IF($G$1="裂石",$AJ89,$AH89)+IF($G$1="裂石",$AK89*1.5,0))*(1+$AY89)*(1+$AZ89)+(($BA89+$BB89)/2*IF($G$1="牵丝",$AJ89,$AH89)+IF($G$1="牵丝",$AK89*1.5,0))*(1+$BC89)*(1+$BD89)+(($BE89+$BF89)/2*IF($G$1="破竹",$AJ89,$AH89)+IF($G$1="破竹",$AK89*1.5,0))*(1+$BG89)*(1+$BH89))*(1+$AL89)*$BK89*$P89*(1+IF(VLOOKUP($Q89,武学奇术!$A:$ZZ,30,FALSE)="蓄力技",#REF!,0))*(1+$BQ89)</f>
        <v>0</v>
      </c>
      <c r="M89" s="38">
        <f>(($AO89*$AH89+$AI89)*(1+$AP89)*(1+$AQ89)+($AT89*IF($G$1="鸣金",$AJ89,$AH89)+IF($G$1="鸣金",$AK89*1.5,0))*(1+$AU89)*(1+$AV89)+($AX89*IF($G$1="裂石",$AJ89,$AH89)+IF($G$1="裂石",$AK89*1.5,0))*(1+$AY89)*(1+$AZ89)+($BB89*IF($G$1="牵丝",$AJ89,$AH89)+IF($G$1="牵丝",$AK89*1.5,0))*(1+$BC89)*(1+$BD89)+($BF89*IF($G$1="破竹",$AJ89,$AH89)+IF($G$1="破竹",$AK89*1.5,0))*(1+$BG89)*(1+$BH89))*(1+$AL89)*$BM89*$P89*(1+IF(VLOOKUP($Q89,武学奇术!$A:$ZZ,30,FALSE)="蓄力技",#REF!,0))*(1+$BQ89)</f>
        <v>0</v>
      </c>
      <c r="N89" s="38">
        <f>((($AN89+$AO89)/2*$AH89+$AI89)*(1+$AP89)*(1+$AQ89)+(($AS89+$AT89)/2*IF($G$1="鸣金",$AJ89,$AH89)+IF($G$1="鸣金",$AK89*1.5,0))*(1+$AU89)*(1+$AV89)+(($AW89+$AX89)/2*IF($G$1="裂石",$AJ89,$AH89)+IF($G$1="裂石",$AK89*1.5,0))*(1+$AY89)*(1+$AZ89)+(($BA89+$BB89)/2*IF($G$1="牵丝",$AJ89,$AH89)+IF($G$1="牵丝",$AK89*1.5,0))*(1+$BC89)*(1+$BD89)+(($BE89+$BF89)/2*IF($G$1="破竹",$AJ89,$AH89)+IF($G$1="破竹",$AK89*1.5,0))*(1+$BG89)*(1+$BH89))*(1+$AL89)*$P89*(1+IF(VLOOKUP($Q89,武学奇术!$A:$ZZ,30,FALSE)="蓄力技",#REF!,0))*(1+$BQ89)</f>
        <v>0</v>
      </c>
      <c r="O89" s="38">
        <f>((($AN89*$AH89+$AI89)*(1+$AP89)*(1+$AQ89)+($AS89*IF($G$1="鸣金",$AJ89,$AH89)+IF($G$1="鸣金",$AK89*1.5,0))*(1+$AU89)*(1+$AV89)+($AW89*IF($G$1="裂石",$AJ89,$AH89)+IF($G$1="裂石",$AK89*1.5,0))*(1+$AY89)*(1+$AZ89)+($BA89*IF($G$1="牵丝",$AJ89,$AH89)+IF($G$1="牵丝",$AK89*1.5,0))*(1+$BC89)*(1+$BD89)+($BE89*IF($G$1="破竹",$AJ89,$AH89)+IF($G$1="破竹",$AK89*1.5,0))*(1+$BG89)*(1+$BH89))*(1+$AL89))*$P89*(1+IF(VLOOKUP($Q89,武学奇术!$A:$ZZ,30,FALSE)="蓄力技",#REF!,0))*(1+$BQ89)</f>
        <v>0</v>
      </c>
      <c r="P89" s="39">
        <v>1</v>
      </c>
      <c r="Q89" s="40" t="s">
        <v>76</v>
      </c>
      <c r="R89" s="40" t="s">
        <v>76</v>
      </c>
      <c r="S89" s="40" t="s">
        <v>76</v>
      </c>
      <c r="T89" s="40" t="s">
        <v>76</v>
      </c>
      <c r="U89" s="40" t="s">
        <v>76</v>
      </c>
      <c r="V89" s="40" t="s">
        <v>76</v>
      </c>
      <c r="W89" s="40" t="s">
        <v>76</v>
      </c>
      <c r="X89" s="40" t="s">
        <v>76</v>
      </c>
      <c r="Y89" s="40" t="s">
        <v>76</v>
      </c>
      <c r="Z89" s="40" t="s">
        <v>76</v>
      </c>
      <c r="AA89" s="40" t="s">
        <v>76</v>
      </c>
      <c r="AB89" s="40" t="s">
        <v>76</v>
      </c>
      <c r="AC89" s="40" t="s">
        <v>76</v>
      </c>
      <c r="AD89" s="40" t="s">
        <v>76</v>
      </c>
      <c r="AE89" s="40" t="s">
        <v>76</v>
      </c>
      <c r="AF89" s="40" t="s">
        <v>76</v>
      </c>
      <c r="AG89" t="str">
        <f>VLOOKUP($Q89,武学奇术!$A:$ZZ,25,FALSE)</f>
        <v>心法</v>
      </c>
      <c r="AH89" s="26">
        <f>VLOOKUP($Q89,武学奇术!$A:$ZZ,26,FALSE)</f>
        <v>0</v>
      </c>
      <c r="AI89" s="27">
        <f>VLOOKUP($Q89,武学奇术!$A:$ZZ,27,FALSE)*(1+IF(OR($AG89=$F$4,$AG89=$F$5),$B$21,0))</f>
        <v>0</v>
      </c>
      <c r="AJ89" s="26">
        <f>VLOOKUP($Q89,武学奇术!$A:$ZZ,28,FALSE)</f>
        <v>0</v>
      </c>
      <c r="AK89" s="27">
        <f>VLOOKUP($Q89,武学奇术!$A:$ZZ,29,FALSE)*(1+IF(OR($AG89=$F$4,$AG89=$F$5),$B$21,0))</f>
        <v>0</v>
      </c>
      <c r="AL89" s="26" cm="1">
        <f t="array" ref="AL89">$G$3+IFERROR(VLOOKUP($AG89,$F$4:$G$7,2,FALSE),0)+VLOOKUP($Q89,武学奇术!$A:$ZZ,2,FALSE)+SUM(_xlfn.XLOOKUP($R89:$AF89,增益!$A:$A,增益!$B:$B,0))</f>
        <v>0.1842</v>
      </c>
      <c r="AM89" s="26" cm="1">
        <f t="array" ref="AM89">VLOOKUP($Q89,武学奇术!$A:$ZZ,5,FALSE)+SUM(_xlfn.XLOOKUP($R89:$AF89,增益!$A:$A,增益!$E:$E,0))</f>
        <v>0</v>
      </c>
      <c r="AN89" cm="1">
        <f t="array" ref="AN89">$D$10*(1+$AM89)+VLOOKUP($Q89,武学奇术!$A:$ZZ,3,FALSE)+SUM(_xlfn.XLOOKUP($R89:$AF89,增益!$A:$A,增益!$C:$C,0))-$I$2</f>
        <v>3940</v>
      </c>
      <c r="AO89" cm="1">
        <f t="array" ref="AO89">$E$10*(1+$AM89)+VLOOKUP($Q89,武学奇术!$A:$ZZ,4,FALSE)+SUM(_xlfn.XLOOKUP($R89:$AF89,增益!$A:$A,增益!$D:$D,0))-$I$2</f>
        <v>3940</v>
      </c>
      <c r="AP89" s="32" cm="1">
        <f t="array" ref="AP89">IF($F$10-$I$3+VLOOKUP($Q89,武学奇术!$A:$ZZ,6,FALSE)+SUM(_xlfn.XLOOKUP(R89:AF89,增益!$A:$A,增益!$F:$F,0))&gt;0,($F$10-$I$3+VLOOKUP($Q89,武学奇术!$A:$ZZ,6,FALSE)+SUM(_xlfn.XLOOKUP(R89:AF89,增益!$A:$A,增益!$F:$F,0)))/200,($F$10-$I$3+VLOOKUP($Q89,武学奇术!$A:$ZZ,6,FALSE)+SUM(_xlfn.XLOOKUP(R89:AF89,增益!$A:$A,增益!$F:$F,0)))/100)</f>
        <v>0.194</v>
      </c>
      <c r="AQ89" s="32" cm="1">
        <f t="array" ref="AQ89">$G$10+VLOOKUP($Q89,武学奇术!$A:$ZZ,7,FALSE)+SUM(_xlfn.XLOOKUP(R89:AF89,增益!$A:$A,增益!$G:$G,0))</f>
        <v>0</v>
      </c>
      <c r="AR89" s="26" cm="1">
        <f t="array" ref="AR89">VLOOKUP($Q89,武学奇术!$A:$ZZ,8,FALSE)+SUM(_xlfn.XLOOKUP(R89:AF89,增益!$A:$A,增益!$H:$H,0))</f>
        <v>0</v>
      </c>
      <c r="AS89">
        <f t="shared" si="12"/>
        <v>0</v>
      </c>
      <c r="AT89">
        <f t="shared" si="13"/>
        <v>0</v>
      </c>
      <c r="AU89" s="32" cm="1">
        <f t="array" ref="AU89">IF($F$11-$I$4+VLOOKUP($Q89,武学奇术!$A:$ZZ,9,FALSE)+SUM(_xlfn.XLOOKUP(R89:AF89,增益!$A:$A,增益!$I:$I,0))&gt;0,($F$11-$I$4+VLOOKUP($Q89,武学奇术!$A:$ZZ,9,FALSE)+SUM(_xlfn.XLOOKUP(R89:AF89,增益!$A:$A,增益!$I:$I,0)))/200,($F$11-$I$4+VLOOKUP($Q89,武学奇术!$A:$ZZ,9,FALSE)+SUM(_xlfn.XLOOKUP(R89:AF89,增益!$A:$A,增益!$I:$I,0)))/100)</f>
        <v>-0.3</v>
      </c>
      <c r="AV89" s="32" cm="1">
        <f t="array" ref="AV89">$G$11+VLOOKUP($Q89,武学奇术!$A:$ZZ,10,FALSE)+SUM(_xlfn.XLOOKUP(R89:AF89,增益!$A:$A,增益!$J:$J,0))</f>
        <v>0</v>
      </c>
      <c r="AW89">
        <f t="shared" si="14"/>
        <v>0</v>
      </c>
      <c r="AX89">
        <f t="shared" si="15"/>
        <v>0</v>
      </c>
      <c r="AY89" s="32" cm="1">
        <f t="array" ref="AY89">IF($F$12-$I$4+VLOOKUP($Q89,武学奇术!$A:$ZZ,11,FALSE)+SUM(_xlfn.XLOOKUP(R89:AF89,增益!$A:$A,增益!$K:$K,0))&gt;0,($F$12-$I$4+VLOOKUP($Q89,武学奇术!$A:$ZZ,11,FALSE)+SUM(_xlfn.XLOOKUP(R89:AF89,增益!$A:$A,增益!$K:$K,0)))/200,($F$12-$I$4+VLOOKUP($Q89,武学奇术!$A:$ZZ,11,FALSE)+SUM(_xlfn.XLOOKUP(R89:AF89,增益!$A:$A,增益!$K:$K,0)))/100)</f>
        <v>-0.3</v>
      </c>
      <c r="AZ89" s="32" cm="1">
        <f t="array" ref="AZ89">$G$12+VLOOKUP($Q89,武学奇术!$A:$ZZ,12,FALSE)+SUM(_xlfn.XLOOKUP(R89:AF89,增益!$A:$A,增益!$L:$L,0))</f>
        <v>0</v>
      </c>
      <c r="BA89">
        <f t="shared" si="16"/>
        <v>697.4</v>
      </c>
      <c r="BB89">
        <f t="shared" si="17"/>
        <v>1805</v>
      </c>
      <c r="BC89" s="32" cm="1">
        <f t="array" ref="BC89">IF($F$13-$I$4+VLOOKUP($Q89,武学奇术!$A:$ZZ,13,FALSE)+SUM(_xlfn.XLOOKUP(R89:AF89,增益!$A:$A,增益!$M:$M,0))&gt;0,($F$13-$I$4+VLOOKUP($Q89,武学奇术!$A:$ZZ,13,FALSE)+SUM(_xlfn.XLOOKUP(R89:AF89,增益!$A:$A,增益!$K:$K,0)))/200,($F$13-$I$4+VLOOKUP($Q89,武学奇术!$A:$ZZ,13,FALSE)+SUM(_xlfn.XLOOKUP(R89:AF89,增益!$A:$A,增益!$M:$M,0)))/100)</f>
        <v>0</v>
      </c>
      <c r="BD89" s="32" cm="1">
        <f t="array" ref="BD89">$G$13+VLOOKUP($Q89,武学奇术!$A:$ZZ,14,FALSE)+SUM(_xlfn.XLOOKUP(R89:AF89,增益!$A:$A,增益!$N:$N,0))</f>
        <v>0.15</v>
      </c>
      <c r="BE89">
        <f t="shared" si="18"/>
        <v>0</v>
      </c>
      <c r="BF89">
        <f t="shared" si="19"/>
        <v>0</v>
      </c>
      <c r="BG89" s="32" cm="1">
        <f t="array" ref="BG89">IF($F$14-$I$4+VLOOKUP($Q89,武学奇术!$A:$ZZ,15,FALSE)+SUM(_xlfn.XLOOKUP(R89:AF89,增益!$A:$A,增益!$O:$O,0))&gt;0,($F$14-$I$4+VLOOKUP($Q89,武学奇术!$A:$ZZ,15,FALSE)+SUM(_xlfn.XLOOKUP(R89:AF89,增益!$A:$A,增益!$O:$O,0)))/200,($F$14-$I$4+VLOOKUP($Q89,武学奇术!$A:$ZZ,15,FALSE)+SUM(_xlfn.XLOOKUP(R89:AF89,增益!$A:$A,增益!$O:$O,0)))/100)</f>
        <v>-0.3</v>
      </c>
      <c r="BH89" s="32" cm="1">
        <f t="array" ref="BH89">$G$14+VLOOKUP($Q89,武学奇术!$A:$ZZ,16,FALSE)+SUM(_xlfn.XLOOKUP(R89:AF89,增益!$A:$A,增益!$P:$P,0))</f>
        <v>0</v>
      </c>
      <c r="BI89" s="26">
        <f>MIN(IF(VLOOKUP($Q89,武学奇术!$A:$ZZ,23,FALSE)=1,100%,$B$8),100%)</f>
        <v>1</v>
      </c>
      <c r="BJ89" s="26" cm="1">
        <f t="array" ref="BJ89">IF(VLOOKUP($Q89,武学奇术!$A:$ZZ,23,FALSE)=1,100%,MIN(80%,$B$9+VLOOKUP($Q89,武学奇术!$A:$ZZ,17,FALSE)+SUM(_xlfn.XLOOKUP(R89:AF89,增益!$A:$A,增益!$Q:$Q,0)))+$B$11+SUM(_xlfn.XLOOKUP(R89:AF89,增益!$A:$A,增益!$U:$U,0)))*IF(VLOOKUP($Q89,武学奇术!$A:$ZZ,24,FALSE)=1,0,1)</f>
        <v>0.8625</v>
      </c>
      <c r="BK89" s="26" cm="1">
        <f t="array" ref="BK89">1+$B$13+VLOOKUP($Q89,武学奇术!$A:$ZZ,18,FALSE)+SUM(_xlfn.XLOOKUP(R89:AF89,增益!$A:$A,增益!$R:$R,0))</f>
        <v>1.5</v>
      </c>
      <c r="BL89" s="26" cm="1">
        <f t="array" ref="BL89">IF(VLOOKUP($Q89,武学奇术!$A:$ZZ,24,FALSE)=1,100%,MIN(40%,$B$10+VLOOKUP($Q89,武学奇术!$A:$ZZ,19,FALSE)+SUM(_xlfn.XLOOKUP(R89:AF89,增益!$A:$A,增益!$S:$S,0)))+$B$12+SUM(_xlfn.XLOOKUP(R89:AF89,增益!$A:$A,增益!$V:$V,0)))*IF(VLOOKUP($Q89,武学奇术!$A:$ZZ,23,FALSE)=1,0,1)</f>
        <v>0.0913</v>
      </c>
      <c r="BM89" s="26" cm="1">
        <f t="array" ref="BM89">1+$B$14+VLOOKUP($Q89,武学奇术!$A:$ZZ,20,FALSE)+SUM(_xlfn.XLOOKUP(R89:AF89,增益!$A:$A,增益!$T:$T,0))</f>
        <v>1.35</v>
      </c>
      <c r="BN89" s="26">
        <f t="shared" si="20"/>
        <v>0.8625</v>
      </c>
      <c r="BO89" s="26">
        <f t="shared" si="21"/>
        <v>0.0462</v>
      </c>
      <c r="BP89" s="26">
        <f>IF(VLOOKUP($Q89,武学奇术!$A:$ZZ,22,FALSE)=1,0,(1-$BI89))*(1-$BL89)</f>
        <v>0</v>
      </c>
      <c r="BQ89" s="26" cm="1">
        <f t="array" ref="BQ89">SUM(_xlfn.XLOOKUP(R89:AF89,增益!$A:$A,增益!$W:$W,0))+$I$5</f>
        <v>0.06</v>
      </c>
    </row>
    <row r="90" spans="1:69">
      <c r="K90" s="38">
        <f t="shared" si="11"/>
        <v>0</v>
      </c>
      <c r="L90" s="38">
        <f>((($AN90+$AO90)/2*$AH90+$AI90)*(1+$AP90)*(1+$AQ90)+(($AS90+$AT90)/2*IF($G$1="鸣金",$AJ90,$AH90)+IF($G$1="鸣金",$AK90*1.5,0))*(1+$AU90)*(1+$AV90)+(($AW90+$AX90)/2*IF($G$1="裂石",$AJ90,$AH90)+IF($G$1="裂石",$AK90*1.5,0))*(1+$AY90)*(1+$AZ90)+(($BA90+$BB90)/2*IF($G$1="牵丝",$AJ90,$AH90)+IF($G$1="牵丝",$AK90*1.5,0))*(1+$BC90)*(1+$BD90)+(($BE90+$BF90)/2*IF($G$1="破竹",$AJ90,$AH90)+IF($G$1="破竹",$AK90*1.5,0))*(1+$BG90)*(1+$BH90))*(1+$AL90)*$BK90*$P90*(1+IF(VLOOKUP($Q90,武学奇术!$A:$ZZ,30,FALSE)="蓄力技",#REF!,0))*(1+$BQ90)</f>
        <v>0</v>
      </c>
      <c r="M90" s="38">
        <f>(($AO90*$AH90+$AI90)*(1+$AP90)*(1+$AQ90)+($AT90*IF($G$1="鸣金",$AJ90,$AH90)+IF($G$1="鸣金",$AK90*1.5,0))*(1+$AU90)*(1+$AV90)+($AX90*IF($G$1="裂石",$AJ90,$AH90)+IF($G$1="裂石",$AK90*1.5,0))*(1+$AY90)*(1+$AZ90)+($BB90*IF($G$1="牵丝",$AJ90,$AH90)+IF($G$1="牵丝",$AK90*1.5,0))*(1+$BC90)*(1+$BD90)+($BF90*IF($G$1="破竹",$AJ90,$AH90)+IF($G$1="破竹",$AK90*1.5,0))*(1+$BG90)*(1+$BH90))*(1+$AL90)*$BM90*$P90*(1+IF(VLOOKUP($Q90,武学奇术!$A:$ZZ,30,FALSE)="蓄力技",#REF!,0))*(1+$BQ90)</f>
        <v>0</v>
      </c>
      <c r="N90" s="38">
        <f>((($AN90+$AO90)/2*$AH90+$AI90)*(1+$AP90)*(1+$AQ90)+(($AS90+$AT90)/2*IF($G$1="鸣金",$AJ90,$AH90)+IF($G$1="鸣金",$AK90*1.5,0))*(1+$AU90)*(1+$AV90)+(($AW90+$AX90)/2*IF($G$1="裂石",$AJ90,$AH90)+IF($G$1="裂石",$AK90*1.5,0))*(1+$AY90)*(1+$AZ90)+(($BA90+$BB90)/2*IF($G$1="牵丝",$AJ90,$AH90)+IF($G$1="牵丝",$AK90*1.5,0))*(1+$BC90)*(1+$BD90)+(($BE90+$BF90)/2*IF($G$1="破竹",$AJ90,$AH90)+IF($G$1="破竹",$AK90*1.5,0))*(1+$BG90)*(1+$BH90))*(1+$AL90)*$P90*(1+IF(VLOOKUP($Q90,武学奇术!$A:$ZZ,30,FALSE)="蓄力技",#REF!,0))*(1+$BQ90)</f>
        <v>0</v>
      </c>
      <c r="O90" s="38">
        <f>((($AN90*$AH90+$AI90)*(1+$AP90)*(1+$AQ90)+($AS90*IF($G$1="鸣金",$AJ90,$AH90)+IF($G$1="鸣金",$AK90*1.5,0))*(1+$AU90)*(1+$AV90)+($AW90*IF($G$1="裂石",$AJ90,$AH90)+IF($G$1="裂石",$AK90*1.5,0))*(1+$AY90)*(1+$AZ90)+($BA90*IF($G$1="牵丝",$AJ90,$AH90)+IF($G$1="牵丝",$AK90*1.5,0))*(1+$BC90)*(1+$BD90)+($BE90*IF($G$1="破竹",$AJ90,$AH90)+IF($G$1="破竹",$AK90*1.5,0))*(1+$BG90)*(1+$BH90))*(1+$AL90))*$P90*(1+IF(VLOOKUP($Q90,武学奇术!$A:$ZZ,30,FALSE)="蓄力技",#REF!,0))*(1+$BQ90)</f>
        <v>0</v>
      </c>
      <c r="P90" s="39">
        <v>1</v>
      </c>
      <c r="Q90" s="40" t="s">
        <v>76</v>
      </c>
      <c r="R90" s="40" t="s">
        <v>76</v>
      </c>
      <c r="S90" s="40" t="s">
        <v>76</v>
      </c>
      <c r="T90" s="40" t="s">
        <v>76</v>
      </c>
      <c r="U90" s="40" t="s">
        <v>76</v>
      </c>
      <c r="V90" s="40" t="s">
        <v>76</v>
      </c>
      <c r="W90" s="40" t="s">
        <v>76</v>
      </c>
      <c r="X90" s="40" t="s">
        <v>76</v>
      </c>
      <c r="Y90" s="40" t="s">
        <v>76</v>
      </c>
      <c r="Z90" s="40" t="s">
        <v>76</v>
      </c>
      <c r="AA90" s="40" t="s">
        <v>76</v>
      </c>
      <c r="AB90" s="40" t="s">
        <v>76</v>
      </c>
      <c r="AC90" s="40" t="s">
        <v>76</v>
      </c>
      <c r="AD90" s="40" t="s">
        <v>76</v>
      </c>
      <c r="AE90" s="40" t="s">
        <v>76</v>
      </c>
      <c r="AF90" s="40" t="s">
        <v>76</v>
      </c>
      <c r="AG90" t="str">
        <f>VLOOKUP($Q90,武学奇术!$A:$ZZ,25,FALSE)</f>
        <v>心法</v>
      </c>
      <c r="AH90" s="26">
        <f>VLOOKUP($Q90,武学奇术!$A:$ZZ,26,FALSE)</f>
        <v>0</v>
      </c>
      <c r="AI90" s="27">
        <f>VLOOKUP($Q90,武学奇术!$A:$ZZ,27,FALSE)*(1+IF(OR($AG90=$F$4,$AG90=$F$5),$B$21,0))</f>
        <v>0</v>
      </c>
      <c r="AJ90" s="26">
        <f>VLOOKUP($Q90,武学奇术!$A:$ZZ,28,FALSE)</f>
        <v>0</v>
      </c>
      <c r="AK90" s="27">
        <f>VLOOKUP($Q90,武学奇术!$A:$ZZ,29,FALSE)*(1+IF(OR($AG90=$F$4,$AG90=$F$5),$B$21,0))</f>
        <v>0</v>
      </c>
      <c r="AL90" s="26" cm="1">
        <f t="array" ref="AL90">$G$3+IFERROR(VLOOKUP($AG90,$F$4:$G$7,2,FALSE),0)+VLOOKUP($Q90,武学奇术!$A:$ZZ,2,FALSE)+SUM(_xlfn.XLOOKUP($R90:$AF90,增益!$A:$A,增益!$B:$B,0))</f>
        <v>0.1842</v>
      </c>
      <c r="AM90" s="26" cm="1">
        <f t="array" ref="AM90">VLOOKUP($Q90,武学奇术!$A:$ZZ,5,FALSE)+SUM(_xlfn.XLOOKUP($R90:$AF90,增益!$A:$A,增益!$E:$E,0))</f>
        <v>0</v>
      </c>
      <c r="AN90" cm="1">
        <f t="array" ref="AN90">$D$10*(1+$AM90)+VLOOKUP($Q90,武学奇术!$A:$ZZ,3,FALSE)+SUM(_xlfn.XLOOKUP($R90:$AF90,增益!$A:$A,增益!$C:$C,0))-$I$2</f>
        <v>3940</v>
      </c>
      <c r="AO90" cm="1">
        <f t="array" ref="AO90">$E$10*(1+$AM90)+VLOOKUP($Q90,武学奇术!$A:$ZZ,4,FALSE)+SUM(_xlfn.XLOOKUP($R90:$AF90,增益!$A:$A,增益!$D:$D,0))-$I$2</f>
        <v>3940</v>
      </c>
      <c r="AP90" s="32" cm="1">
        <f t="array" ref="AP90">IF($F$10-$I$3+VLOOKUP($Q90,武学奇术!$A:$ZZ,6,FALSE)+SUM(_xlfn.XLOOKUP(R90:AF90,增益!$A:$A,增益!$F:$F,0))&gt;0,($F$10-$I$3+VLOOKUP($Q90,武学奇术!$A:$ZZ,6,FALSE)+SUM(_xlfn.XLOOKUP(R90:AF90,增益!$A:$A,增益!$F:$F,0)))/200,($F$10-$I$3+VLOOKUP($Q90,武学奇术!$A:$ZZ,6,FALSE)+SUM(_xlfn.XLOOKUP(R90:AF90,增益!$A:$A,增益!$F:$F,0)))/100)</f>
        <v>0.194</v>
      </c>
      <c r="AQ90" s="32" cm="1">
        <f t="array" ref="AQ90">$G$10+VLOOKUP($Q90,武学奇术!$A:$ZZ,7,FALSE)+SUM(_xlfn.XLOOKUP(R90:AF90,增益!$A:$A,增益!$G:$G,0))</f>
        <v>0</v>
      </c>
      <c r="AR90" s="26" cm="1">
        <f t="array" ref="AR90">VLOOKUP($Q90,武学奇术!$A:$ZZ,8,FALSE)+SUM(_xlfn.XLOOKUP(R90:AF90,增益!$A:$A,增益!$H:$H,0))</f>
        <v>0</v>
      </c>
      <c r="AS90">
        <f t="shared" si="12"/>
        <v>0</v>
      </c>
      <c r="AT90">
        <f t="shared" si="13"/>
        <v>0</v>
      </c>
      <c r="AU90" s="32" cm="1">
        <f t="array" ref="AU90">IF($F$11-$I$4+VLOOKUP($Q90,武学奇术!$A:$ZZ,9,FALSE)+SUM(_xlfn.XLOOKUP(R90:AF90,增益!$A:$A,增益!$I:$I,0))&gt;0,($F$11-$I$4+VLOOKUP($Q90,武学奇术!$A:$ZZ,9,FALSE)+SUM(_xlfn.XLOOKUP(R90:AF90,增益!$A:$A,增益!$I:$I,0)))/200,($F$11-$I$4+VLOOKUP($Q90,武学奇术!$A:$ZZ,9,FALSE)+SUM(_xlfn.XLOOKUP(R90:AF90,增益!$A:$A,增益!$I:$I,0)))/100)</f>
        <v>-0.3</v>
      </c>
      <c r="AV90" s="32" cm="1">
        <f t="array" ref="AV90">$G$11+VLOOKUP($Q90,武学奇术!$A:$ZZ,10,FALSE)+SUM(_xlfn.XLOOKUP(R90:AF90,增益!$A:$A,增益!$J:$J,0))</f>
        <v>0</v>
      </c>
      <c r="AW90">
        <f t="shared" si="14"/>
        <v>0</v>
      </c>
      <c r="AX90">
        <f t="shared" si="15"/>
        <v>0</v>
      </c>
      <c r="AY90" s="32" cm="1">
        <f t="array" ref="AY90">IF($F$12-$I$4+VLOOKUP($Q90,武学奇术!$A:$ZZ,11,FALSE)+SUM(_xlfn.XLOOKUP(R90:AF90,增益!$A:$A,增益!$K:$K,0))&gt;0,($F$12-$I$4+VLOOKUP($Q90,武学奇术!$A:$ZZ,11,FALSE)+SUM(_xlfn.XLOOKUP(R90:AF90,增益!$A:$A,增益!$K:$K,0)))/200,($F$12-$I$4+VLOOKUP($Q90,武学奇术!$A:$ZZ,11,FALSE)+SUM(_xlfn.XLOOKUP(R90:AF90,增益!$A:$A,增益!$K:$K,0)))/100)</f>
        <v>-0.3</v>
      </c>
      <c r="AZ90" s="32" cm="1">
        <f t="array" ref="AZ90">$G$12+VLOOKUP($Q90,武学奇术!$A:$ZZ,12,FALSE)+SUM(_xlfn.XLOOKUP(R90:AF90,增益!$A:$A,增益!$L:$L,0))</f>
        <v>0</v>
      </c>
      <c r="BA90">
        <f t="shared" si="16"/>
        <v>697.4</v>
      </c>
      <c r="BB90">
        <f t="shared" si="17"/>
        <v>1805</v>
      </c>
      <c r="BC90" s="32" cm="1">
        <f t="array" ref="BC90">IF($F$13-$I$4+VLOOKUP($Q90,武学奇术!$A:$ZZ,13,FALSE)+SUM(_xlfn.XLOOKUP(R90:AF90,增益!$A:$A,增益!$M:$M,0))&gt;0,($F$13-$I$4+VLOOKUP($Q90,武学奇术!$A:$ZZ,13,FALSE)+SUM(_xlfn.XLOOKUP(R90:AF90,增益!$A:$A,增益!$K:$K,0)))/200,($F$13-$I$4+VLOOKUP($Q90,武学奇术!$A:$ZZ,13,FALSE)+SUM(_xlfn.XLOOKUP(R90:AF90,增益!$A:$A,增益!$M:$M,0)))/100)</f>
        <v>0</v>
      </c>
      <c r="BD90" s="32" cm="1">
        <f t="array" ref="BD90">$G$13+VLOOKUP($Q90,武学奇术!$A:$ZZ,14,FALSE)+SUM(_xlfn.XLOOKUP(R90:AF90,增益!$A:$A,增益!$N:$N,0))</f>
        <v>0.15</v>
      </c>
      <c r="BE90">
        <f t="shared" si="18"/>
        <v>0</v>
      </c>
      <c r="BF90">
        <f t="shared" si="19"/>
        <v>0</v>
      </c>
      <c r="BG90" s="32" cm="1">
        <f t="array" ref="BG90">IF($F$14-$I$4+VLOOKUP($Q90,武学奇术!$A:$ZZ,15,FALSE)+SUM(_xlfn.XLOOKUP(R90:AF90,增益!$A:$A,增益!$O:$O,0))&gt;0,($F$14-$I$4+VLOOKUP($Q90,武学奇术!$A:$ZZ,15,FALSE)+SUM(_xlfn.XLOOKUP(R90:AF90,增益!$A:$A,增益!$O:$O,0)))/200,($F$14-$I$4+VLOOKUP($Q90,武学奇术!$A:$ZZ,15,FALSE)+SUM(_xlfn.XLOOKUP(R90:AF90,增益!$A:$A,增益!$O:$O,0)))/100)</f>
        <v>-0.3</v>
      </c>
      <c r="BH90" s="32" cm="1">
        <f t="array" ref="BH90">$G$14+VLOOKUP($Q90,武学奇术!$A:$ZZ,16,FALSE)+SUM(_xlfn.XLOOKUP(R90:AF90,增益!$A:$A,增益!$P:$P,0))</f>
        <v>0</v>
      </c>
      <c r="BI90" s="26">
        <f>MIN(IF(VLOOKUP($Q90,武学奇术!$A:$ZZ,23,FALSE)=1,100%,$B$8),100%)</f>
        <v>1</v>
      </c>
      <c r="BJ90" s="26" cm="1">
        <f t="array" ref="BJ90">IF(VLOOKUP($Q90,武学奇术!$A:$ZZ,23,FALSE)=1,100%,MIN(80%,$B$9+VLOOKUP($Q90,武学奇术!$A:$ZZ,17,FALSE)+SUM(_xlfn.XLOOKUP(R90:AF90,增益!$A:$A,增益!$Q:$Q,0)))+$B$11+SUM(_xlfn.XLOOKUP(R90:AF90,增益!$A:$A,增益!$U:$U,0)))*IF(VLOOKUP($Q90,武学奇术!$A:$ZZ,24,FALSE)=1,0,1)</f>
        <v>0.8625</v>
      </c>
      <c r="BK90" s="26" cm="1">
        <f t="array" ref="BK90">1+$B$13+VLOOKUP($Q90,武学奇术!$A:$ZZ,18,FALSE)+SUM(_xlfn.XLOOKUP(R90:AF90,增益!$A:$A,增益!$R:$R,0))</f>
        <v>1.5</v>
      </c>
      <c r="BL90" s="26" cm="1">
        <f t="array" ref="BL90">IF(VLOOKUP($Q90,武学奇术!$A:$ZZ,24,FALSE)=1,100%,MIN(40%,$B$10+VLOOKUP($Q90,武学奇术!$A:$ZZ,19,FALSE)+SUM(_xlfn.XLOOKUP(R90:AF90,增益!$A:$A,增益!$S:$S,0)))+$B$12+SUM(_xlfn.XLOOKUP(R90:AF90,增益!$A:$A,增益!$V:$V,0)))*IF(VLOOKUP($Q90,武学奇术!$A:$ZZ,23,FALSE)=1,0,1)</f>
        <v>0.0913</v>
      </c>
      <c r="BM90" s="26" cm="1">
        <f t="array" ref="BM90">1+$B$14+VLOOKUP($Q90,武学奇术!$A:$ZZ,20,FALSE)+SUM(_xlfn.XLOOKUP(R90:AF90,增益!$A:$A,增益!$T:$T,0))</f>
        <v>1.35</v>
      </c>
      <c r="BN90" s="26">
        <f t="shared" si="20"/>
        <v>0.8625</v>
      </c>
      <c r="BO90" s="26">
        <f t="shared" si="21"/>
        <v>0.0462</v>
      </c>
      <c r="BP90" s="26">
        <f>IF(VLOOKUP($Q90,武学奇术!$A:$ZZ,22,FALSE)=1,0,(1-$BI90))*(1-$BL90)</f>
        <v>0</v>
      </c>
      <c r="BQ90" s="26" cm="1">
        <f t="array" ref="BQ90">SUM(_xlfn.XLOOKUP(R90:AF90,增益!$A:$A,增益!$W:$W,0))+$I$5</f>
        <v>0.06</v>
      </c>
    </row>
    <row r="91" spans="1:69">
      <c r="K91" s="38">
        <f t="shared" si="11"/>
        <v>0</v>
      </c>
      <c r="L91" s="38">
        <f>((($AN91+$AO91)/2*$AH91+$AI91)*(1+$AP91)*(1+$AQ91)+(($AS91+$AT91)/2*IF($G$1="鸣金",$AJ91,$AH91)+IF($G$1="鸣金",$AK91*1.5,0))*(1+$AU91)*(1+$AV91)+(($AW91+$AX91)/2*IF($G$1="裂石",$AJ91,$AH91)+IF($G$1="裂石",$AK91*1.5,0))*(1+$AY91)*(1+$AZ91)+(($BA91+$BB91)/2*IF($G$1="牵丝",$AJ91,$AH91)+IF($G$1="牵丝",$AK91*1.5,0))*(1+$BC91)*(1+$BD91)+(($BE91+$BF91)/2*IF($G$1="破竹",$AJ91,$AH91)+IF($G$1="破竹",$AK91*1.5,0))*(1+$BG91)*(1+$BH91))*(1+$AL91)*$BK91*$P91*(1+IF(VLOOKUP($Q91,武学奇术!$A:$ZZ,30,FALSE)="蓄力技",#REF!,0))*(1+$BQ91)</f>
        <v>0</v>
      </c>
      <c r="M91" s="38">
        <f>(($AO91*$AH91+$AI91)*(1+$AP91)*(1+$AQ91)+($AT91*IF($G$1="鸣金",$AJ91,$AH91)+IF($G$1="鸣金",$AK91*1.5,0))*(1+$AU91)*(1+$AV91)+($AX91*IF($G$1="裂石",$AJ91,$AH91)+IF($G$1="裂石",$AK91*1.5,0))*(1+$AY91)*(1+$AZ91)+($BB91*IF($G$1="牵丝",$AJ91,$AH91)+IF($G$1="牵丝",$AK91*1.5,0))*(1+$BC91)*(1+$BD91)+($BF91*IF($G$1="破竹",$AJ91,$AH91)+IF($G$1="破竹",$AK91*1.5,0))*(1+$BG91)*(1+$BH91))*(1+$AL91)*$BM91*$P91*(1+IF(VLOOKUP($Q91,武学奇术!$A:$ZZ,30,FALSE)="蓄力技",#REF!,0))*(1+$BQ91)</f>
        <v>0</v>
      </c>
      <c r="N91" s="38">
        <f>((($AN91+$AO91)/2*$AH91+$AI91)*(1+$AP91)*(1+$AQ91)+(($AS91+$AT91)/2*IF($G$1="鸣金",$AJ91,$AH91)+IF($G$1="鸣金",$AK91*1.5,0))*(1+$AU91)*(1+$AV91)+(($AW91+$AX91)/2*IF($G$1="裂石",$AJ91,$AH91)+IF($G$1="裂石",$AK91*1.5,0))*(1+$AY91)*(1+$AZ91)+(($BA91+$BB91)/2*IF($G$1="牵丝",$AJ91,$AH91)+IF($G$1="牵丝",$AK91*1.5,0))*(1+$BC91)*(1+$BD91)+(($BE91+$BF91)/2*IF($G$1="破竹",$AJ91,$AH91)+IF($G$1="破竹",$AK91*1.5,0))*(1+$BG91)*(1+$BH91))*(1+$AL91)*$P91*(1+IF(VLOOKUP($Q91,武学奇术!$A:$ZZ,30,FALSE)="蓄力技",#REF!,0))*(1+$BQ91)</f>
        <v>0</v>
      </c>
      <c r="O91" s="38">
        <f>((($AN91*$AH91+$AI91)*(1+$AP91)*(1+$AQ91)+($AS91*IF($G$1="鸣金",$AJ91,$AH91)+IF($G$1="鸣金",$AK91*1.5,0))*(1+$AU91)*(1+$AV91)+($AW91*IF($G$1="裂石",$AJ91,$AH91)+IF($G$1="裂石",$AK91*1.5,0))*(1+$AY91)*(1+$AZ91)+($BA91*IF($G$1="牵丝",$AJ91,$AH91)+IF($G$1="牵丝",$AK91*1.5,0))*(1+$BC91)*(1+$BD91)+($BE91*IF($G$1="破竹",$AJ91,$AH91)+IF($G$1="破竹",$AK91*1.5,0))*(1+$BG91)*(1+$BH91))*(1+$AL91))*$P91*(1+IF(VLOOKUP($Q91,武学奇术!$A:$ZZ,30,FALSE)="蓄力技",#REF!,0))*(1+$BQ91)</f>
        <v>0</v>
      </c>
      <c r="P91" s="39">
        <v>1</v>
      </c>
      <c r="Q91" s="40" t="s">
        <v>76</v>
      </c>
      <c r="R91" s="40" t="s">
        <v>76</v>
      </c>
      <c r="S91" s="40" t="s">
        <v>76</v>
      </c>
      <c r="T91" s="40" t="s">
        <v>76</v>
      </c>
      <c r="U91" s="40" t="s">
        <v>76</v>
      </c>
      <c r="V91" s="40" t="s">
        <v>76</v>
      </c>
      <c r="W91" s="40" t="s">
        <v>76</v>
      </c>
      <c r="X91" s="40" t="s">
        <v>76</v>
      </c>
      <c r="Y91" s="40" t="s">
        <v>76</v>
      </c>
      <c r="Z91" s="40" t="s">
        <v>76</v>
      </c>
      <c r="AA91" s="40" t="s">
        <v>76</v>
      </c>
      <c r="AB91" s="40" t="s">
        <v>76</v>
      </c>
      <c r="AC91" s="40" t="s">
        <v>76</v>
      </c>
      <c r="AD91" s="40" t="s">
        <v>76</v>
      </c>
      <c r="AE91" s="40" t="s">
        <v>76</v>
      </c>
      <c r="AF91" s="40" t="s">
        <v>76</v>
      </c>
      <c r="AG91" t="str">
        <f>VLOOKUP($Q91,武学奇术!$A:$ZZ,25,FALSE)</f>
        <v>心法</v>
      </c>
      <c r="AH91" s="26">
        <f>VLOOKUP($Q91,武学奇术!$A:$ZZ,26,FALSE)</f>
        <v>0</v>
      </c>
      <c r="AI91" s="27">
        <f>VLOOKUP($Q91,武学奇术!$A:$ZZ,27,FALSE)*(1+IF(OR($AG91=$F$4,$AG91=$F$5),$B$21,0))</f>
        <v>0</v>
      </c>
      <c r="AJ91" s="26">
        <f>VLOOKUP($Q91,武学奇术!$A:$ZZ,28,FALSE)</f>
        <v>0</v>
      </c>
      <c r="AK91" s="27">
        <f>VLOOKUP($Q91,武学奇术!$A:$ZZ,29,FALSE)*(1+IF(OR($AG91=$F$4,$AG91=$F$5),$B$21,0))</f>
        <v>0</v>
      </c>
      <c r="AL91" s="26" cm="1">
        <f t="array" ref="AL91">$G$3+IFERROR(VLOOKUP($AG91,$F$4:$G$7,2,FALSE),0)+VLOOKUP($Q91,武学奇术!$A:$ZZ,2,FALSE)+SUM(_xlfn.XLOOKUP($R91:$AF91,增益!$A:$A,增益!$B:$B,0))</f>
        <v>0.1842</v>
      </c>
      <c r="AM91" s="26" cm="1">
        <f t="array" ref="AM91">VLOOKUP($Q91,武学奇术!$A:$ZZ,5,FALSE)+SUM(_xlfn.XLOOKUP($R91:$AF91,增益!$A:$A,增益!$E:$E,0))</f>
        <v>0</v>
      </c>
      <c r="AN91" cm="1">
        <f t="array" ref="AN91">$D$10*(1+$AM91)+VLOOKUP($Q91,武学奇术!$A:$ZZ,3,FALSE)+SUM(_xlfn.XLOOKUP($R91:$AF91,增益!$A:$A,增益!$C:$C,0))-$I$2</f>
        <v>3940</v>
      </c>
      <c r="AO91" cm="1">
        <f t="array" ref="AO91">$E$10*(1+$AM91)+VLOOKUP($Q91,武学奇术!$A:$ZZ,4,FALSE)+SUM(_xlfn.XLOOKUP($R91:$AF91,增益!$A:$A,增益!$D:$D,0))-$I$2</f>
        <v>3940</v>
      </c>
      <c r="AP91" s="32" cm="1">
        <f t="array" ref="AP91">IF($F$10-$I$3+VLOOKUP($Q91,武学奇术!$A:$ZZ,6,FALSE)+SUM(_xlfn.XLOOKUP(R91:AF91,增益!$A:$A,增益!$F:$F,0))&gt;0,($F$10-$I$3+VLOOKUP($Q91,武学奇术!$A:$ZZ,6,FALSE)+SUM(_xlfn.XLOOKUP(R91:AF91,增益!$A:$A,增益!$F:$F,0)))/200,($F$10-$I$3+VLOOKUP($Q91,武学奇术!$A:$ZZ,6,FALSE)+SUM(_xlfn.XLOOKUP(R91:AF91,增益!$A:$A,增益!$F:$F,0)))/100)</f>
        <v>0.194</v>
      </c>
      <c r="AQ91" s="32" cm="1">
        <f t="array" ref="AQ91">$G$10+VLOOKUP($Q91,武学奇术!$A:$ZZ,7,FALSE)+SUM(_xlfn.XLOOKUP(R91:AF91,增益!$A:$A,增益!$G:$G,0))</f>
        <v>0</v>
      </c>
      <c r="AR91" s="26" cm="1">
        <f t="array" ref="AR91">VLOOKUP($Q91,武学奇术!$A:$ZZ,8,FALSE)+SUM(_xlfn.XLOOKUP(R91:AF91,增益!$A:$A,增益!$H:$H,0))</f>
        <v>0</v>
      </c>
      <c r="AS91">
        <f t="shared" si="12"/>
        <v>0</v>
      </c>
      <c r="AT91">
        <f t="shared" si="13"/>
        <v>0</v>
      </c>
      <c r="AU91" s="32" cm="1">
        <f t="array" ref="AU91">IF($F$11-$I$4+VLOOKUP($Q91,武学奇术!$A:$ZZ,9,FALSE)+SUM(_xlfn.XLOOKUP(R91:AF91,增益!$A:$A,增益!$I:$I,0))&gt;0,($F$11-$I$4+VLOOKUP($Q91,武学奇术!$A:$ZZ,9,FALSE)+SUM(_xlfn.XLOOKUP(R91:AF91,增益!$A:$A,增益!$I:$I,0)))/200,($F$11-$I$4+VLOOKUP($Q91,武学奇术!$A:$ZZ,9,FALSE)+SUM(_xlfn.XLOOKUP(R91:AF91,增益!$A:$A,增益!$I:$I,0)))/100)</f>
        <v>-0.3</v>
      </c>
      <c r="AV91" s="32" cm="1">
        <f t="array" ref="AV91">$G$11+VLOOKUP($Q91,武学奇术!$A:$ZZ,10,FALSE)+SUM(_xlfn.XLOOKUP(R91:AF91,增益!$A:$A,增益!$J:$J,0))</f>
        <v>0</v>
      </c>
      <c r="AW91">
        <f t="shared" si="14"/>
        <v>0</v>
      </c>
      <c r="AX91">
        <f t="shared" si="15"/>
        <v>0</v>
      </c>
      <c r="AY91" s="32" cm="1">
        <f t="array" ref="AY91">IF($F$12-$I$4+VLOOKUP($Q91,武学奇术!$A:$ZZ,11,FALSE)+SUM(_xlfn.XLOOKUP(R91:AF91,增益!$A:$A,增益!$K:$K,0))&gt;0,($F$12-$I$4+VLOOKUP($Q91,武学奇术!$A:$ZZ,11,FALSE)+SUM(_xlfn.XLOOKUP(R91:AF91,增益!$A:$A,增益!$K:$K,0)))/200,($F$12-$I$4+VLOOKUP($Q91,武学奇术!$A:$ZZ,11,FALSE)+SUM(_xlfn.XLOOKUP(R91:AF91,增益!$A:$A,增益!$K:$K,0)))/100)</f>
        <v>-0.3</v>
      </c>
      <c r="AZ91" s="32" cm="1">
        <f t="array" ref="AZ91">$G$12+VLOOKUP($Q91,武学奇术!$A:$ZZ,12,FALSE)+SUM(_xlfn.XLOOKUP(R91:AF91,增益!$A:$A,增益!$L:$L,0))</f>
        <v>0</v>
      </c>
      <c r="BA91">
        <f t="shared" si="16"/>
        <v>697.4</v>
      </c>
      <c r="BB91">
        <f t="shared" si="17"/>
        <v>1805</v>
      </c>
      <c r="BC91" s="32" cm="1">
        <f t="array" ref="BC91">IF($F$13-$I$4+VLOOKUP($Q91,武学奇术!$A:$ZZ,13,FALSE)+SUM(_xlfn.XLOOKUP(R91:AF91,增益!$A:$A,增益!$M:$M,0))&gt;0,($F$13-$I$4+VLOOKUP($Q91,武学奇术!$A:$ZZ,13,FALSE)+SUM(_xlfn.XLOOKUP(R91:AF91,增益!$A:$A,增益!$K:$K,0)))/200,($F$13-$I$4+VLOOKUP($Q91,武学奇术!$A:$ZZ,13,FALSE)+SUM(_xlfn.XLOOKUP(R91:AF91,增益!$A:$A,增益!$M:$M,0)))/100)</f>
        <v>0</v>
      </c>
      <c r="BD91" s="32" cm="1">
        <f t="array" ref="BD91">$G$13+VLOOKUP($Q91,武学奇术!$A:$ZZ,14,FALSE)+SUM(_xlfn.XLOOKUP(R91:AF91,增益!$A:$A,增益!$N:$N,0))</f>
        <v>0.15</v>
      </c>
      <c r="BE91">
        <f t="shared" si="18"/>
        <v>0</v>
      </c>
      <c r="BF91">
        <f t="shared" si="19"/>
        <v>0</v>
      </c>
      <c r="BG91" s="32" cm="1">
        <f t="array" ref="BG91">IF($F$14-$I$4+VLOOKUP($Q91,武学奇术!$A:$ZZ,15,FALSE)+SUM(_xlfn.XLOOKUP(R91:AF91,增益!$A:$A,增益!$O:$O,0))&gt;0,($F$14-$I$4+VLOOKUP($Q91,武学奇术!$A:$ZZ,15,FALSE)+SUM(_xlfn.XLOOKUP(R91:AF91,增益!$A:$A,增益!$O:$O,0)))/200,($F$14-$I$4+VLOOKUP($Q91,武学奇术!$A:$ZZ,15,FALSE)+SUM(_xlfn.XLOOKUP(R91:AF91,增益!$A:$A,增益!$O:$O,0)))/100)</f>
        <v>-0.3</v>
      </c>
      <c r="BH91" s="32" cm="1">
        <f t="array" ref="BH91">$G$14+VLOOKUP($Q91,武学奇术!$A:$ZZ,16,FALSE)+SUM(_xlfn.XLOOKUP(R91:AF91,增益!$A:$A,增益!$P:$P,0))</f>
        <v>0</v>
      </c>
      <c r="BI91" s="26">
        <f>MIN(IF(VLOOKUP($Q91,武学奇术!$A:$ZZ,23,FALSE)=1,100%,$B$8),100%)</f>
        <v>1</v>
      </c>
      <c r="BJ91" s="26" cm="1">
        <f t="array" ref="BJ91">IF(VLOOKUP($Q91,武学奇术!$A:$ZZ,23,FALSE)=1,100%,MIN(80%,$B$9+VLOOKUP($Q91,武学奇术!$A:$ZZ,17,FALSE)+SUM(_xlfn.XLOOKUP(R91:AF91,增益!$A:$A,增益!$Q:$Q,0)))+$B$11+SUM(_xlfn.XLOOKUP(R91:AF91,增益!$A:$A,增益!$U:$U,0)))*IF(VLOOKUP($Q91,武学奇术!$A:$ZZ,24,FALSE)=1,0,1)</f>
        <v>0.8625</v>
      </c>
      <c r="BK91" s="26" cm="1">
        <f t="array" ref="BK91">1+$B$13+VLOOKUP($Q91,武学奇术!$A:$ZZ,18,FALSE)+SUM(_xlfn.XLOOKUP(R91:AF91,增益!$A:$A,增益!$R:$R,0))</f>
        <v>1.5</v>
      </c>
      <c r="BL91" s="26" cm="1">
        <f t="array" ref="BL91">IF(VLOOKUP($Q91,武学奇术!$A:$ZZ,24,FALSE)=1,100%,MIN(40%,$B$10+VLOOKUP($Q91,武学奇术!$A:$ZZ,19,FALSE)+SUM(_xlfn.XLOOKUP(R91:AF91,增益!$A:$A,增益!$S:$S,0)))+$B$12+SUM(_xlfn.XLOOKUP(R91:AF91,增益!$A:$A,增益!$V:$V,0)))*IF(VLOOKUP($Q91,武学奇术!$A:$ZZ,23,FALSE)=1,0,1)</f>
        <v>0.0913</v>
      </c>
      <c r="BM91" s="26" cm="1">
        <f t="array" ref="BM91">1+$B$14+VLOOKUP($Q91,武学奇术!$A:$ZZ,20,FALSE)+SUM(_xlfn.XLOOKUP(R91:AF91,增益!$A:$A,增益!$T:$T,0))</f>
        <v>1.35</v>
      </c>
      <c r="BN91" s="26">
        <f t="shared" si="20"/>
        <v>0.8625</v>
      </c>
      <c r="BO91" s="26">
        <f t="shared" si="21"/>
        <v>0.0462</v>
      </c>
      <c r="BP91" s="26">
        <f>IF(VLOOKUP($Q91,武学奇术!$A:$ZZ,22,FALSE)=1,0,(1-$BI91))*(1-$BL91)</f>
        <v>0</v>
      </c>
      <c r="BQ91" s="26" cm="1">
        <f t="array" ref="BQ91">SUM(_xlfn.XLOOKUP(R91:AF91,增益!$A:$A,增益!$W:$W,0))+$I$5</f>
        <v>0.06</v>
      </c>
    </row>
    <row r="92" spans="1:69">
      <c r="K92" s="38">
        <f t="shared" si="11"/>
        <v>0</v>
      </c>
      <c r="L92" s="38">
        <f>((($AN92+$AO92)/2*$AH92+$AI92)*(1+$AP92)*(1+$AQ92)+(($AS92+$AT92)/2*IF($G$1="鸣金",$AJ92,$AH92)+IF($G$1="鸣金",$AK92*1.5,0))*(1+$AU92)*(1+$AV92)+(($AW92+$AX92)/2*IF($G$1="裂石",$AJ92,$AH92)+IF($G$1="裂石",$AK92*1.5,0))*(1+$AY92)*(1+$AZ92)+(($BA92+$BB92)/2*IF($G$1="牵丝",$AJ92,$AH92)+IF($G$1="牵丝",$AK92*1.5,0))*(1+$BC92)*(1+$BD92)+(($BE92+$BF92)/2*IF($G$1="破竹",$AJ92,$AH92)+IF($G$1="破竹",$AK92*1.5,0))*(1+$BG92)*(1+$BH92))*(1+$AL92)*$BK92*$P92*(1+IF(VLOOKUP($Q92,武学奇术!$A:$ZZ,30,FALSE)="蓄力技",#REF!,0))*(1+$BQ92)</f>
        <v>0</v>
      </c>
      <c r="M92" s="38">
        <f>(($AO92*$AH92+$AI92)*(1+$AP92)*(1+$AQ92)+($AT92*IF($G$1="鸣金",$AJ92,$AH92)+IF($G$1="鸣金",$AK92*1.5,0))*(1+$AU92)*(1+$AV92)+($AX92*IF($G$1="裂石",$AJ92,$AH92)+IF($G$1="裂石",$AK92*1.5,0))*(1+$AY92)*(1+$AZ92)+($BB92*IF($G$1="牵丝",$AJ92,$AH92)+IF($G$1="牵丝",$AK92*1.5,0))*(1+$BC92)*(1+$BD92)+($BF92*IF($G$1="破竹",$AJ92,$AH92)+IF($G$1="破竹",$AK92*1.5,0))*(1+$BG92)*(1+$BH92))*(1+$AL92)*$BM92*$P92*(1+IF(VLOOKUP($Q92,武学奇术!$A:$ZZ,30,FALSE)="蓄力技",#REF!,0))*(1+$BQ92)</f>
        <v>0</v>
      </c>
      <c r="N92" s="38">
        <f>((($AN92+$AO92)/2*$AH92+$AI92)*(1+$AP92)*(1+$AQ92)+(($AS92+$AT92)/2*IF($G$1="鸣金",$AJ92,$AH92)+IF($G$1="鸣金",$AK92*1.5,0))*(1+$AU92)*(1+$AV92)+(($AW92+$AX92)/2*IF($G$1="裂石",$AJ92,$AH92)+IF($G$1="裂石",$AK92*1.5,0))*(1+$AY92)*(1+$AZ92)+(($BA92+$BB92)/2*IF($G$1="牵丝",$AJ92,$AH92)+IF($G$1="牵丝",$AK92*1.5,0))*(1+$BC92)*(1+$BD92)+(($BE92+$BF92)/2*IF($G$1="破竹",$AJ92,$AH92)+IF($G$1="破竹",$AK92*1.5,0))*(1+$BG92)*(1+$BH92))*(1+$AL92)*$P92*(1+IF(VLOOKUP($Q92,武学奇术!$A:$ZZ,30,FALSE)="蓄力技",#REF!,0))*(1+$BQ92)</f>
        <v>0</v>
      </c>
      <c r="O92" s="38">
        <f>((($AN92*$AH92+$AI92)*(1+$AP92)*(1+$AQ92)+($AS92*IF($G$1="鸣金",$AJ92,$AH92)+IF($G$1="鸣金",$AK92*1.5,0))*(1+$AU92)*(1+$AV92)+($AW92*IF($G$1="裂石",$AJ92,$AH92)+IF($G$1="裂石",$AK92*1.5,0))*(1+$AY92)*(1+$AZ92)+($BA92*IF($G$1="牵丝",$AJ92,$AH92)+IF($G$1="牵丝",$AK92*1.5,0))*(1+$BC92)*(1+$BD92)+($BE92*IF($G$1="破竹",$AJ92,$AH92)+IF($G$1="破竹",$AK92*1.5,0))*(1+$BG92)*(1+$BH92))*(1+$AL92))*$P92*(1+IF(VLOOKUP($Q92,武学奇术!$A:$ZZ,30,FALSE)="蓄力技",#REF!,0))*(1+$BQ92)</f>
        <v>0</v>
      </c>
      <c r="P92" s="39">
        <v>1</v>
      </c>
      <c r="Q92" s="40" t="s">
        <v>76</v>
      </c>
      <c r="R92" s="40" t="s">
        <v>76</v>
      </c>
      <c r="S92" s="40" t="s">
        <v>76</v>
      </c>
      <c r="T92" s="40" t="s">
        <v>76</v>
      </c>
      <c r="U92" s="40" t="s">
        <v>76</v>
      </c>
      <c r="V92" s="40" t="s">
        <v>76</v>
      </c>
      <c r="W92" s="40" t="s">
        <v>76</v>
      </c>
      <c r="X92" s="40" t="s">
        <v>76</v>
      </c>
      <c r="Y92" s="40" t="s">
        <v>76</v>
      </c>
      <c r="Z92" s="40" t="s">
        <v>76</v>
      </c>
      <c r="AA92" s="40" t="s">
        <v>76</v>
      </c>
      <c r="AB92" s="40" t="s">
        <v>76</v>
      </c>
      <c r="AC92" s="40" t="s">
        <v>76</v>
      </c>
      <c r="AD92" s="40" t="s">
        <v>76</v>
      </c>
      <c r="AE92" s="40" t="s">
        <v>76</v>
      </c>
      <c r="AF92" s="40" t="s">
        <v>76</v>
      </c>
      <c r="AG92" t="str">
        <f>VLOOKUP($Q92,武学奇术!$A:$ZZ,25,FALSE)</f>
        <v>心法</v>
      </c>
      <c r="AH92" s="26">
        <f>VLOOKUP($Q92,武学奇术!$A:$ZZ,26,FALSE)</f>
        <v>0</v>
      </c>
      <c r="AI92" s="27">
        <f>VLOOKUP($Q92,武学奇术!$A:$ZZ,27,FALSE)*(1+IF(OR($AG92=$F$4,$AG92=$F$5),$B$21,0))</f>
        <v>0</v>
      </c>
      <c r="AJ92" s="26">
        <f>VLOOKUP($Q92,武学奇术!$A:$ZZ,28,FALSE)</f>
        <v>0</v>
      </c>
      <c r="AK92" s="27">
        <f>VLOOKUP($Q92,武学奇术!$A:$ZZ,29,FALSE)*(1+IF(OR($AG92=$F$4,$AG92=$F$5),$B$21,0))</f>
        <v>0</v>
      </c>
      <c r="AL92" s="26" cm="1">
        <f t="array" ref="AL92">$G$3+IFERROR(VLOOKUP($AG92,$F$4:$G$7,2,FALSE),0)+VLOOKUP($Q92,武学奇术!$A:$ZZ,2,FALSE)+SUM(_xlfn.XLOOKUP($R92:$AF92,增益!$A:$A,增益!$B:$B,0))</f>
        <v>0.1842</v>
      </c>
      <c r="AM92" s="26" cm="1">
        <f t="array" ref="AM92">VLOOKUP($Q92,武学奇术!$A:$ZZ,5,FALSE)+SUM(_xlfn.XLOOKUP($R92:$AF92,增益!$A:$A,增益!$E:$E,0))</f>
        <v>0</v>
      </c>
      <c r="AN92" cm="1">
        <f t="array" ref="AN92">$D$10*(1+$AM92)+VLOOKUP($Q92,武学奇术!$A:$ZZ,3,FALSE)+SUM(_xlfn.XLOOKUP($R92:$AF92,增益!$A:$A,增益!$C:$C,0))-$I$2</f>
        <v>3940</v>
      </c>
      <c r="AO92" cm="1">
        <f t="array" ref="AO92">$E$10*(1+$AM92)+VLOOKUP($Q92,武学奇术!$A:$ZZ,4,FALSE)+SUM(_xlfn.XLOOKUP($R92:$AF92,增益!$A:$A,增益!$D:$D,0))-$I$2</f>
        <v>3940</v>
      </c>
      <c r="AP92" s="32" cm="1">
        <f t="array" ref="AP92">IF($F$10-$I$3+VLOOKUP($Q92,武学奇术!$A:$ZZ,6,FALSE)+SUM(_xlfn.XLOOKUP(R92:AF92,增益!$A:$A,增益!$F:$F,0))&gt;0,($F$10-$I$3+VLOOKUP($Q92,武学奇术!$A:$ZZ,6,FALSE)+SUM(_xlfn.XLOOKUP(R92:AF92,增益!$A:$A,增益!$F:$F,0)))/200,($F$10-$I$3+VLOOKUP($Q92,武学奇术!$A:$ZZ,6,FALSE)+SUM(_xlfn.XLOOKUP(R92:AF92,增益!$A:$A,增益!$F:$F,0)))/100)</f>
        <v>0.194</v>
      </c>
      <c r="AQ92" s="32" cm="1">
        <f t="array" ref="AQ92">$G$10+VLOOKUP($Q92,武学奇术!$A:$ZZ,7,FALSE)+SUM(_xlfn.XLOOKUP(R92:AF92,增益!$A:$A,增益!$G:$G,0))</f>
        <v>0</v>
      </c>
      <c r="AR92" s="26" cm="1">
        <f t="array" ref="AR92">VLOOKUP($Q92,武学奇术!$A:$ZZ,8,FALSE)+SUM(_xlfn.XLOOKUP(R92:AF92,增益!$A:$A,增益!$H:$H,0))</f>
        <v>0</v>
      </c>
      <c r="AS92">
        <f t="shared" si="12"/>
        <v>0</v>
      </c>
      <c r="AT92">
        <f t="shared" si="13"/>
        <v>0</v>
      </c>
      <c r="AU92" s="32" cm="1">
        <f t="array" ref="AU92">IF($F$11-$I$4+VLOOKUP($Q92,武学奇术!$A:$ZZ,9,FALSE)+SUM(_xlfn.XLOOKUP(R92:AF92,增益!$A:$A,增益!$I:$I,0))&gt;0,($F$11-$I$4+VLOOKUP($Q92,武学奇术!$A:$ZZ,9,FALSE)+SUM(_xlfn.XLOOKUP(R92:AF92,增益!$A:$A,增益!$I:$I,0)))/200,($F$11-$I$4+VLOOKUP($Q92,武学奇术!$A:$ZZ,9,FALSE)+SUM(_xlfn.XLOOKUP(R92:AF92,增益!$A:$A,增益!$I:$I,0)))/100)</f>
        <v>-0.3</v>
      </c>
      <c r="AV92" s="32" cm="1">
        <f t="array" ref="AV92">$G$11+VLOOKUP($Q92,武学奇术!$A:$ZZ,10,FALSE)+SUM(_xlfn.XLOOKUP(R92:AF92,增益!$A:$A,增益!$J:$J,0))</f>
        <v>0</v>
      </c>
      <c r="AW92">
        <f t="shared" si="14"/>
        <v>0</v>
      </c>
      <c r="AX92">
        <f t="shared" si="15"/>
        <v>0</v>
      </c>
      <c r="AY92" s="32" cm="1">
        <f t="array" ref="AY92">IF($F$12-$I$4+VLOOKUP($Q92,武学奇术!$A:$ZZ,11,FALSE)+SUM(_xlfn.XLOOKUP(R92:AF92,增益!$A:$A,增益!$K:$K,0))&gt;0,($F$12-$I$4+VLOOKUP($Q92,武学奇术!$A:$ZZ,11,FALSE)+SUM(_xlfn.XLOOKUP(R92:AF92,增益!$A:$A,增益!$K:$K,0)))/200,($F$12-$I$4+VLOOKUP($Q92,武学奇术!$A:$ZZ,11,FALSE)+SUM(_xlfn.XLOOKUP(R92:AF92,增益!$A:$A,增益!$K:$K,0)))/100)</f>
        <v>-0.3</v>
      </c>
      <c r="AZ92" s="32" cm="1">
        <f t="array" ref="AZ92">$G$12+VLOOKUP($Q92,武学奇术!$A:$ZZ,12,FALSE)+SUM(_xlfn.XLOOKUP(R92:AF92,增益!$A:$A,增益!$L:$L,0))</f>
        <v>0</v>
      </c>
      <c r="BA92">
        <f t="shared" si="16"/>
        <v>697.4</v>
      </c>
      <c r="BB92">
        <f t="shared" si="17"/>
        <v>1805</v>
      </c>
      <c r="BC92" s="32" cm="1">
        <f t="array" ref="BC92">IF($F$13-$I$4+VLOOKUP($Q92,武学奇术!$A:$ZZ,13,FALSE)+SUM(_xlfn.XLOOKUP(R92:AF92,增益!$A:$A,增益!$M:$M,0))&gt;0,($F$13-$I$4+VLOOKUP($Q92,武学奇术!$A:$ZZ,13,FALSE)+SUM(_xlfn.XLOOKUP(R92:AF92,增益!$A:$A,增益!$K:$K,0)))/200,($F$13-$I$4+VLOOKUP($Q92,武学奇术!$A:$ZZ,13,FALSE)+SUM(_xlfn.XLOOKUP(R92:AF92,增益!$A:$A,增益!$M:$M,0)))/100)</f>
        <v>0</v>
      </c>
      <c r="BD92" s="32" cm="1">
        <f t="array" ref="BD92">$G$13+VLOOKUP($Q92,武学奇术!$A:$ZZ,14,FALSE)+SUM(_xlfn.XLOOKUP(R92:AF92,增益!$A:$A,增益!$N:$N,0))</f>
        <v>0.15</v>
      </c>
      <c r="BE92">
        <f t="shared" si="18"/>
        <v>0</v>
      </c>
      <c r="BF92">
        <f t="shared" si="19"/>
        <v>0</v>
      </c>
      <c r="BG92" s="32" cm="1">
        <f t="array" ref="BG92">IF($F$14-$I$4+VLOOKUP($Q92,武学奇术!$A:$ZZ,15,FALSE)+SUM(_xlfn.XLOOKUP(R92:AF92,增益!$A:$A,增益!$O:$O,0))&gt;0,($F$14-$I$4+VLOOKUP($Q92,武学奇术!$A:$ZZ,15,FALSE)+SUM(_xlfn.XLOOKUP(R92:AF92,增益!$A:$A,增益!$O:$O,0)))/200,($F$14-$I$4+VLOOKUP($Q92,武学奇术!$A:$ZZ,15,FALSE)+SUM(_xlfn.XLOOKUP(R92:AF92,增益!$A:$A,增益!$O:$O,0)))/100)</f>
        <v>-0.3</v>
      </c>
      <c r="BH92" s="32" cm="1">
        <f t="array" ref="BH92">$G$14+VLOOKUP($Q92,武学奇术!$A:$ZZ,16,FALSE)+SUM(_xlfn.XLOOKUP(R92:AF92,增益!$A:$A,增益!$P:$P,0))</f>
        <v>0</v>
      </c>
      <c r="BI92" s="26">
        <f>MIN(IF(VLOOKUP($Q92,武学奇术!$A:$ZZ,23,FALSE)=1,100%,$B$8),100%)</f>
        <v>1</v>
      </c>
      <c r="BJ92" s="26" cm="1">
        <f t="array" ref="BJ92">IF(VLOOKUP($Q92,武学奇术!$A:$ZZ,23,FALSE)=1,100%,MIN(80%,$B$9+VLOOKUP($Q92,武学奇术!$A:$ZZ,17,FALSE)+SUM(_xlfn.XLOOKUP(R92:AF92,增益!$A:$A,增益!$Q:$Q,0)))+$B$11+SUM(_xlfn.XLOOKUP(R92:AF92,增益!$A:$A,增益!$U:$U,0)))*IF(VLOOKUP($Q92,武学奇术!$A:$ZZ,24,FALSE)=1,0,1)</f>
        <v>0.8625</v>
      </c>
      <c r="BK92" s="26" cm="1">
        <f t="array" ref="BK92">1+$B$13+VLOOKUP($Q92,武学奇术!$A:$ZZ,18,FALSE)+SUM(_xlfn.XLOOKUP(R92:AF92,增益!$A:$A,增益!$R:$R,0))</f>
        <v>1.5</v>
      </c>
      <c r="BL92" s="26" cm="1">
        <f t="array" ref="BL92">IF(VLOOKUP($Q92,武学奇术!$A:$ZZ,24,FALSE)=1,100%,MIN(40%,$B$10+VLOOKUP($Q92,武学奇术!$A:$ZZ,19,FALSE)+SUM(_xlfn.XLOOKUP(R92:AF92,增益!$A:$A,增益!$S:$S,0)))+$B$12+SUM(_xlfn.XLOOKUP(R92:AF92,增益!$A:$A,增益!$V:$V,0)))*IF(VLOOKUP($Q92,武学奇术!$A:$ZZ,23,FALSE)=1,0,1)</f>
        <v>0.0913</v>
      </c>
      <c r="BM92" s="26" cm="1">
        <f t="array" ref="BM92">1+$B$14+VLOOKUP($Q92,武学奇术!$A:$ZZ,20,FALSE)+SUM(_xlfn.XLOOKUP(R92:AF92,增益!$A:$A,增益!$T:$T,0))</f>
        <v>1.35</v>
      </c>
      <c r="BN92" s="26">
        <f t="shared" si="20"/>
        <v>0.8625</v>
      </c>
      <c r="BO92" s="26">
        <f t="shared" si="21"/>
        <v>0.0462</v>
      </c>
      <c r="BP92" s="26">
        <f>IF(VLOOKUP($Q92,武学奇术!$A:$ZZ,22,FALSE)=1,0,(1-$BI92))*(1-$BL92)</f>
        <v>0</v>
      </c>
      <c r="BQ92" s="26" cm="1">
        <f t="array" ref="BQ92">SUM(_xlfn.XLOOKUP(R92:AF92,增益!$A:$A,增益!$W:$W,0))+$I$5</f>
        <v>0.06</v>
      </c>
    </row>
    <row r="93" spans="1:69">
      <c r="K93" s="38">
        <f t="shared" si="11"/>
        <v>0</v>
      </c>
      <c r="L93" s="38">
        <f>((($AN93+$AO93)/2*$AH93+$AI93)*(1+$AP93)*(1+$AQ93)+(($AS93+$AT93)/2*IF($G$1="鸣金",$AJ93,$AH93)+IF($G$1="鸣金",$AK93*1.5,0))*(1+$AU93)*(1+$AV93)+(($AW93+$AX93)/2*IF($G$1="裂石",$AJ93,$AH93)+IF($G$1="裂石",$AK93*1.5,0))*(1+$AY93)*(1+$AZ93)+(($BA93+$BB93)/2*IF($G$1="牵丝",$AJ93,$AH93)+IF($G$1="牵丝",$AK93*1.5,0))*(1+$BC93)*(1+$BD93)+(($BE93+$BF93)/2*IF($G$1="破竹",$AJ93,$AH93)+IF($G$1="破竹",$AK93*1.5,0))*(1+$BG93)*(1+$BH93))*(1+$AL93)*$BK93*$P93*(1+IF(VLOOKUP($Q93,武学奇术!$A:$ZZ,30,FALSE)="蓄力技",#REF!,0))*(1+$BQ93)</f>
        <v>0</v>
      </c>
      <c r="M93" s="38">
        <f>(($AO93*$AH93+$AI93)*(1+$AP93)*(1+$AQ93)+($AT93*IF($G$1="鸣金",$AJ93,$AH93)+IF($G$1="鸣金",$AK93*1.5,0))*(1+$AU93)*(1+$AV93)+($AX93*IF($G$1="裂石",$AJ93,$AH93)+IF($G$1="裂石",$AK93*1.5,0))*(1+$AY93)*(1+$AZ93)+($BB93*IF($G$1="牵丝",$AJ93,$AH93)+IF($G$1="牵丝",$AK93*1.5,0))*(1+$BC93)*(1+$BD93)+($BF93*IF($G$1="破竹",$AJ93,$AH93)+IF($G$1="破竹",$AK93*1.5,0))*(1+$BG93)*(1+$BH93))*(1+$AL93)*$BM93*$P93*(1+IF(VLOOKUP($Q93,武学奇术!$A:$ZZ,30,FALSE)="蓄力技",#REF!,0))*(1+$BQ93)</f>
        <v>0</v>
      </c>
      <c r="N93" s="38">
        <f>((($AN93+$AO93)/2*$AH93+$AI93)*(1+$AP93)*(1+$AQ93)+(($AS93+$AT93)/2*IF($G$1="鸣金",$AJ93,$AH93)+IF($G$1="鸣金",$AK93*1.5,0))*(1+$AU93)*(1+$AV93)+(($AW93+$AX93)/2*IF($G$1="裂石",$AJ93,$AH93)+IF($G$1="裂石",$AK93*1.5,0))*(1+$AY93)*(1+$AZ93)+(($BA93+$BB93)/2*IF($G$1="牵丝",$AJ93,$AH93)+IF($G$1="牵丝",$AK93*1.5,0))*(1+$BC93)*(1+$BD93)+(($BE93+$BF93)/2*IF($G$1="破竹",$AJ93,$AH93)+IF($G$1="破竹",$AK93*1.5,0))*(1+$BG93)*(1+$BH93))*(1+$AL93)*$P93*(1+IF(VLOOKUP($Q93,武学奇术!$A:$ZZ,30,FALSE)="蓄力技",#REF!,0))*(1+$BQ93)</f>
        <v>0</v>
      </c>
      <c r="O93" s="38">
        <f>((($AN93*$AH93+$AI93)*(1+$AP93)*(1+$AQ93)+($AS93*IF($G$1="鸣金",$AJ93,$AH93)+IF($G$1="鸣金",$AK93*1.5,0))*(1+$AU93)*(1+$AV93)+($AW93*IF($G$1="裂石",$AJ93,$AH93)+IF($G$1="裂石",$AK93*1.5,0))*(1+$AY93)*(1+$AZ93)+($BA93*IF($G$1="牵丝",$AJ93,$AH93)+IF($G$1="牵丝",$AK93*1.5,0))*(1+$BC93)*(1+$BD93)+($BE93*IF($G$1="破竹",$AJ93,$AH93)+IF($G$1="破竹",$AK93*1.5,0))*(1+$BG93)*(1+$BH93))*(1+$AL93))*$P93*(1+IF(VLOOKUP($Q93,武学奇术!$A:$ZZ,30,FALSE)="蓄力技",#REF!,0))*(1+$BQ93)</f>
        <v>0</v>
      </c>
      <c r="P93" s="39">
        <v>1</v>
      </c>
      <c r="Q93" s="40" t="s">
        <v>76</v>
      </c>
      <c r="R93" s="40" t="s">
        <v>76</v>
      </c>
      <c r="S93" s="40" t="s">
        <v>76</v>
      </c>
      <c r="T93" s="40" t="s">
        <v>76</v>
      </c>
      <c r="U93" s="40" t="s">
        <v>76</v>
      </c>
      <c r="V93" s="40" t="s">
        <v>76</v>
      </c>
      <c r="W93" s="40" t="s">
        <v>76</v>
      </c>
      <c r="X93" s="40" t="s">
        <v>76</v>
      </c>
      <c r="Y93" s="40" t="s">
        <v>76</v>
      </c>
      <c r="Z93" s="40" t="s">
        <v>76</v>
      </c>
      <c r="AA93" s="40" t="s">
        <v>76</v>
      </c>
      <c r="AB93" s="40" t="s">
        <v>76</v>
      </c>
      <c r="AC93" s="40" t="s">
        <v>76</v>
      </c>
      <c r="AD93" s="40" t="s">
        <v>76</v>
      </c>
      <c r="AE93" s="40" t="s">
        <v>76</v>
      </c>
      <c r="AF93" s="40" t="s">
        <v>76</v>
      </c>
      <c r="AG93" t="str">
        <f>VLOOKUP($Q93,武学奇术!$A:$ZZ,25,FALSE)</f>
        <v>心法</v>
      </c>
      <c r="AH93" s="26">
        <f>VLOOKUP($Q93,武学奇术!$A:$ZZ,26,FALSE)</f>
        <v>0</v>
      </c>
      <c r="AI93" s="27">
        <f>VLOOKUP($Q93,武学奇术!$A:$ZZ,27,FALSE)*(1+IF(OR($AG93=$F$4,$AG93=$F$5),$B$21,0))</f>
        <v>0</v>
      </c>
      <c r="AJ93" s="26">
        <f>VLOOKUP($Q93,武学奇术!$A:$ZZ,28,FALSE)</f>
        <v>0</v>
      </c>
      <c r="AK93" s="27">
        <f>VLOOKUP($Q93,武学奇术!$A:$ZZ,29,FALSE)*(1+IF(OR($AG93=$F$4,$AG93=$F$5),$B$21,0))</f>
        <v>0</v>
      </c>
      <c r="AL93" s="26" cm="1">
        <f t="array" ref="AL93">$G$3+IFERROR(VLOOKUP($AG93,$F$4:$G$7,2,FALSE),0)+VLOOKUP($Q93,武学奇术!$A:$ZZ,2,FALSE)+SUM(_xlfn.XLOOKUP($R93:$AF93,增益!$A:$A,增益!$B:$B,0))</f>
        <v>0.1842</v>
      </c>
      <c r="AM93" s="26" cm="1">
        <f t="array" ref="AM93">VLOOKUP($Q93,武学奇术!$A:$ZZ,5,FALSE)+SUM(_xlfn.XLOOKUP($R93:$AF93,增益!$A:$A,增益!$E:$E,0))</f>
        <v>0</v>
      </c>
      <c r="AN93" cm="1">
        <f t="array" ref="AN93">$D$10*(1+$AM93)+VLOOKUP($Q93,武学奇术!$A:$ZZ,3,FALSE)+SUM(_xlfn.XLOOKUP($R93:$AF93,增益!$A:$A,增益!$C:$C,0))-$I$2</f>
        <v>3940</v>
      </c>
      <c r="AO93" cm="1">
        <f t="array" ref="AO93">$E$10*(1+$AM93)+VLOOKUP($Q93,武学奇术!$A:$ZZ,4,FALSE)+SUM(_xlfn.XLOOKUP($R93:$AF93,增益!$A:$A,增益!$D:$D,0))-$I$2</f>
        <v>3940</v>
      </c>
      <c r="AP93" s="32" cm="1">
        <f t="array" ref="AP93">IF($F$10-$I$3+VLOOKUP($Q93,武学奇术!$A:$ZZ,6,FALSE)+SUM(_xlfn.XLOOKUP(R93:AF93,增益!$A:$A,增益!$F:$F,0))&gt;0,($F$10-$I$3+VLOOKUP($Q93,武学奇术!$A:$ZZ,6,FALSE)+SUM(_xlfn.XLOOKUP(R93:AF93,增益!$A:$A,增益!$F:$F,0)))/200,($F$10-$I$3+VLOOKUP($Q93,武学奇术!$A:$ZZ,6,FALSE)+SUM(_xlfn.XLOOKUP(R93:AF93,增益!$A:$A,增益!$F:$F,0)))/100)</f>
        <v>0.194</v>
      </c>
      <c r="AQ93" s="32" cm="1">
        <f t="array" ref="AQ93">$G$10+VLOOKUP($Q93,武学奇术!$A:$ZZ,7,FALSE)+SUM(_xlfn.XLOOKUP(R93:AF93,增益!$A:$A,增益!$G:$G,0))</f>
        <v>0</v>
      </c>
      <c r="AR93" s="26" cm="1">
        <f t="array" ref="AR93">VLOOKUP($Q93,武学奇术!$A:$ZZ,8,FALSE)+SUM(_xlfn.XLOOKUP(R93:AF93,增益!$A:$A,增益!$H:$H,0))</f>
        <v>0</v>
      </c>
      <c r="AS93">
        <f t="shared" si="12"/>
        <v>0</v>
      </c>
      <c r="AT93">
        <f t="shared" si="13"/>
        <v>0</v>
      </c>
      <c r="AU93" s="32" cm="1">
        <f t="array" ref="AU93">IF($F$11-$I$4+VLOOKUP($Q93,武学奇术!$A:$ZZ,9,FALSE)+SUM(_xlfn.XLOOKUP(R93:AF93,增益!$A:$A,增益!$I:$I,0))&gt;0,($F$11-$I$4+VLOOKUP($Q93,武学奇术!$A:$ZZ,9,FALSE)+SUM(_xlfn.XLOOKUP(R93:AF93,增益!$A:$A,增益!$I:$I,0)))/200,($F$11-$I$4+VLOOKUP($Q93,武学奇术!$A:$ZZ,9,FALSE)+SUM(_xlfn.XLOOKUP(R93:AF93,增益!$A:$A,增益!$I:$I,0)))/100)</f>
        <v>-0.3</v>
      </c>
      <c r="AV93" s="32" cm="1">
        <f t="array" ref="AV93">$G$11+VLOOKUP($Q93,武学奇术!$A:$ZZ,10,FALSE)+SUM(_xlfn.XLOOKUP(R93:AF93,增益!$A:$A,增益!$J:$J,0))</f>
        <v>0</v>
      </c>
      <c r="AW93">
        <f t="shared" si="14"/>
        <v>0</v>
      </c>
      <c r="AX93">
        <f t="shared" si="15"/>
        <v>0</v>
      </c>
      <c r="AY93" s="32" cm="1">
        <f t="array" ref="AY93">IF($F$12-$I$4+VLOOKUP($Q93,武学奇术!$A:$ZZ,11,FALSE)+SUM(_xlfn.XLOOKUP(R93:AF93,增益!$A:$A,增益!$K:$K,0))&gt;0,($F$12-$I$4+VLOOKUP($Q93,武学奇术!$A:$ZZ,11,FALSE)+SUM(_xlfn.XLOOKUP(R93:AF93,增益!$A:$A,增益!$K:$K,0)))/200,($F$12-$I$4+VLOOKUP($Q93,武学奇术!$A:$ZZ,11,FALSE)+SUM(_xlfn.XLOOKUP(R93:AF93,增益!$A:$A,增益!$K:$K,0)))/100)</f>
        <v>-0.3</v>
      </c>
      <c r="AZ93" s="32" cm="1">
        <f t="array" ref="AZ93">$G$12+VLOOKUP($Q93,武学奇术!$A:$ZZ,12,FALSE)+SUM(_xlfn.XLOOKUP(R93:AF93,增益!$A:$A,增益!$L:$L,0))</f>
        <v>0</v>
      </c>
      <c r="BA93">
        <f t="shared" si="16"/>
        <v>697.4</v>
      </c>
      <c r="BB93">
        <f t="shared" si="17"/>
        <v>1805</v>
      </c>
      <c r="BC93" s="32" cm="1">
        <f t="array" ref="BC93">IF($F$13-$I$4+VLOOKUP($Q93,武学奇术!$A:$ZZ,13,FALSE)+SUM(_xlfn.XLOOKUP(R93:AF93,增益!$A:$A,增益!$M:$M,0))&gt;0,($F$13-$I$4+VLOOKUP($Q93,武学奇术!$A:$ZZ,13,FALSE)+SUM(_xlfn.XLOOKUP(R93:AF93,增益!$A:$A,增益!$K:$K,0)))/200,($F$13-$I$4+VLOOKUP($Q93,武学奇术!$A:$ZZ,13,FALSE)+SUM(_xlfn.XLOOKUP(R93:AF93,增益!$A:$A,增益!$M:$M,0)))/100)</f>
        <v>0</v>
      </c>
      <c r="BD93" s="32" cm="1">
        <f t="array" ref="BD93">$G$13+VLOOKUP($Q93,武学奇术!$A:$ZZ,14,FALSE)+SUM(_xlfn.XLOOKUP(R93:AF93,增益!$A:$A,增益!$N:$N,0))</f>
        <v>0.15</v>
      </c>
      <c r="BE93">
        <f t="shared" si="18"/>
        <v>0</v>
      </c>
      <c r="BF93">
        <f t="shared" si="19"/>
        <v>0</v>
      </c>
      <c r="BG93" s="32" cm="1">
        <f t="array" ref="BG93">IF($F$14-$I$4+VLOOKUP($Q93,武学奇术!$A:$ZZ,15,FALSE)+SUM(_xlfn.XLOOKUP(R93:AF93,增益!$A:$A,增益!$O:$O,0))&gt;0,($F$14-$I$4+VLOOKUP($Q93,武学奇术!$A:$ZZ,15,FALSE)+SUM(_xlfn.XLOOKUP(R93:AF93,增益!$A:$A,增益!$O:$O,0)))/200,($F$14-$I$4+VLOOKUP($Q93,武学奇术!$A:$ZZ,15,FALSE)+SUM(_xlfn.XLOOKUP(R93:AF93,增益!$A:$A,增益!$O:$O,0)))/100)</f>
        <v>-0.3</v>
      </c>
      <c r="BH93" s="32" cm="1">
        <f t="array" ref="BH93">$G$14+VLOOKUP($Q93,武学奇术!$A:$ZZ,16,FALSE)+SUM(_xlfn.XLOOKUP(R93:AF93,增益!$A:$A,增益!$P:$P,0))</f>
        <v>0</v>
      </c>
      <c r="BI93" s="26">
        <f>MIN(IF(VLOOKUP($Q93,武学奇术!$A:$ZZ,23,FALSE)=1,100%,$B$8),100%)</f>
        <v>1</v>
      </c>
      <c r="BJ93" s="26" cm="1">
        <f t="array" ref="BJ93">IF(VLOOKUP($Q93,武学奇术!$A:$ZZ,23,FALSE)=1,100%,MIN(80%,$B$9+VLOOKUP($Q93,武学奇术!$A:$ZZ,17,FALSE)+SUM(_xlfn.XLOOKUP(R93:AF93,增益!$A:$A,增益!$Q:$Q,0)))+$B$11+SUM(_xlfn.XLOOKUP(R93:AF93,增益!$A:$A,增益!$U:$U,0)))*IF(VLOOKUP($Q93,武学奇术!$A:$ZZ,24,FALSE)=1,0,1)</f>
        <v>0.8625</v>
      </c>
      <c r="BK93" s="26" cm="1">
        <f t="array" ref="BK93">1+$B$13+VLOOKUP($Q93,武学奇术!$A:$ZZ,18,FALSE)+SUM(_xlfn.XLOOKUP(R93:AF93,增益!$A:$A,增益!$R:$R,0))</f>
        <v>1.5</v>
      </c>
      <c r="BL93" s="26" cm="1">
        <f t="array" ref="BL93">IF(VLOOKUP($Q93,武学奇术!$A:$ZZ,24,FALSE)=1,100%,MIN(40%,$B$10+VLOOKUP($Q93,武学奇术!$A:$ZZ,19,FALSE)+SUM(_xlfn.XLOOKUP(R93:AF93,增益!$A:$A,增益!$S:$S,0)))+$B$12+SUM(_xlfn.XLOOKUP(R93:AF93,增益!$A:$A,增益!$V:$V,0)))*IF(VLOOKUP($Q93,武学奇术!$A:$ZZ,23,FALSE)=1,0,1)</f>
        <v>0.0913</v>
      </c>
      <c r="BM93" s="26" cm="1">
        <f t="array" ref="BM93">1+$B$14+VLOOKUP($Q93,武学奇术!$A:$ZZ,20,FALSE)+SUM(_xlfn.XLOOKUP(R93:AF93,增益!$A:$A,增益!$T:$T,0))</f>
        <v>1.35</v>
      </c>
      <c r="BN93" s="26">
        <f t="shared" si="20"/>
        <v>0.8625</v>
      </c>
      <c r="BO93" s="26">
        <f t="shared" si="21"/>
        <v>0.0462</v>
      </c>
      <c r="BP93" s="26">
        <f>IF(VLOOKUP($Q93,武学奇术!$A:$ZZ,22,FALSE)=1,0,(1-$BI93))*(1-$BL93)</f>
        <v>0</v>
      </c>
      <c r="BQ93" s="26" cm="1">
        <f t="array" ref="BQ93">SUM(_xlfn.XLOOKUP(R93:AF93,增益!$A:$A,增益!$W:$W,0))+$I$5</f>
        <v>0.06</v>
      </c>
    </row>
    <row r="94" spans="1:69">
      <c r="K94" s="38">
        <f t="shared" si="11"/>
        <v>0</v>
      </c>
      <c r="L94" s="38">
        <f>((($AN94+$AO94)/2*$AH94+$AI94)*(1+$AP94)*(1+$AQ94)+(($AS94+$AT94)/2*IF($G$1="鸣金",$AJ94,$AH94)+IF($G$1="鸣金",$AK94*1.5,0))*(1+$AU94)*(1+$AV94)+(($AW94+$AX94)/2*IF($G$1="裂石",$AJ94,$AH94)+IF($G$1="裂石",$AK94*1.5,0))*(1+$AY94)*(1+$AZ94)+(($BA94+$BB94)/2*IF($G$1="牵丝",$AJ94,$AH94)+IF($G$1="牵丝",$AK94*1.5,0))*(1+$BC94)*(1+$BD94)+(($BE94+$BF94)/2*IF($G$1="破竹",$AJ94,$AH94)+IF($G$1="破竹",$AK94*1.5,0))*(1+$BG94)*(1+$BH94))*(1+$AL94)*$BK94*$P94*(1+IF(VLOOKUP($Q94,武学奇术!$A:$ZZ,30,FALSE)="蓄力技",#REF!,0))*(1+$BQ94)</f>
        <v>0</v>
      </c>
      <c r="M94" s="38">
        <f>(($AO94*$AH94+$AI94)*(1+$AP94)*(1+$AQ94)+($AT94*IF($G$1="鸣金",$AJ94,$AH94)+IF($G$1="鸣金",$AK94*1.5,0))*(1+$AU94)*(1+$AV94)+($AX94*IF($G$1="裂石",$AJ94,$AH94)+IF($G$1="裂石",$AK94*1.5,0))*(1+$AY94)*(1+$AZ94)+($BB94*IF($G$1="牵丝",$AJ94,$AH94)+IF($G$1="牵丝",$AK94*1.5,0))*(1+$BC94)*(1+$BD94)+($BF94*IF($G$1="破竹",$AJ94,$AH94)+IF($G$1="破竹",$AK94*1.5,0))*(1+$BG94)*(1+$BH94))*(1+$AL94)*$BM94*$P94*(1+IF(VLOOKUP($Q94,武学奇术!$A:$ZZ,30,FALSE)="蓄力技",#REF!,0))*(1+$BQ94)</f>
        <v>0</v>
      </c>
      <c r="N94" s="38">
        <f>((($AN94+$AO94)/2*$AH94+$AI94)*(1+$AP94)*(1+$AQ94)+(($AS94+$AT94)/2*IF($G$1="鸣金",$AJ94,$AH94)+IF($G$1="鸣金",$AK94*1.5,0))*(1+$AU94)*(1+$AV94)+(($AW94+$AX94)/2*IF($G$1="裂石",$AJ94,$AH94)+IF($G$1="裂石",$AK94*1.5,0))*(1+$AY94)*(1+$AZ94)+(($BA94+$BB94)/2*IF($G$1="牵丝",$AJ94,$AH94)+IF($G$1="牵丝",$AK94*1.5,0))*(1+$BC94)*(1+$BD94)+(($BE94+$BF94)/2*IF($G$1="破竹",$AJ94,$AH94)+IF($G$1="破竹",$AK94*1.5,0))*(1+$BG94)*(1+$BH94))*(1+$AL94)*$P94*(1+IF(VLOOKUP($Q94,武学奇术!$A:$ZZ,30,FALSE)="蓄力技",#REF!,0))*(1+$BQ94)</f>
        <v>0</v>
      </c>
      <c r="O94" s="38">
        <f>((($AN94*$AH94+$AI94)*(1+$AP94)*(1+$AQ94)+($AS94*IF($G$1="鸣金",$AJ94,$AH94)+IF($G$1="鸣金",$AK94*1.5,0))*(1+$AU94)*(1+$AV94)+($AW94*IF($G$1="裂石",$AJ94,$AH94)+IF($G$1="裂石",$AK94*1.5,0))*(1+$AY94)*(1+$AZ94)+($BA94*IF($G$1="牵丝",$AJ94,$AH94)+IF($G$1="牵丝",$AK94*1.5,0))*(1+$BC94)*(1+$BD94)+($BE94*IF($G$1="破竹",$AJ94,$AH94)+IF($G$1="破竹",$AK94*1.5,0))*(1+$BG94)*(1+$BH94))*(1+$AL94))*$P94*(1+IF(VLOOKUP($Q94,武学奇术!$A:$ZZ,30,FALSE)="蓄力技",#REF!,0))*(1+$BQ94)</f>
        <v>0</v>
      </c>
      <c r="P94" s="39">
        <v>1</v>
      </c>
      <c r="Q94" s="40" t="s">
        <v>76</v>
      </c>
      <c r="R94" s="40" t="s">
        <v>76</v>
      </c>
      <c r="S94" s="40" t="s">
        <v>76</v>
      </c>
      <c r="T94" s="40" t="s">
        <v>76</v>
      </c>
      <c r="U94" s="40" t="s">
        <v>76</v>
      </c>
      <c r="V94" s="40" t="s">
        <v>76</v>
      </c>
      <c r="W94" s="40" t="s">
        <v>76</v>
      </c>
      <c r="X94" s="40" t="s">
        <v>76</v>
      </c>
      <c r="Y94" s="40" t="s">
        <v>76</v>
      </c>
      <c r="Z94" s="40" t="s">
        <v>76</v>
      </c>
      <c r="AA94" s="40" t="s">
        <v>76</v>
      </c>
      <c r="AB94" s="40" t="s">
        <v>76</v>
      </c>
      <c r="AC94" s="40" t="s">
        <v>76</v>
      </c>
      <c r="AD94" s="40" t="s">
        <v>76</v>
      </c>
      <c r="AE94" s="40" t="s">
        <v>76</v>
      </c>
      <c r="AF94" s="40" t="s">
        <v>76</v>
      </c>
      <c r="AG94" t="str">
        <f>VLOOKUP($Q94,武学奇术!$A:$ZZ,25,FALSE)</f>
        <v>心法</v>
      </c>
      <c r="AH94" s="26">
        <f>VLOOKUP($Q94,武学奇术!$A:$ZZ,26,FALSE)</f>
        <v>0</v>
      </c>
      <c r="AI94" s="27">
        <f>VLOOKUP($Q94,武学奇术!$A:$ZZ,27,FALSE)*(1+IF(OR($AG94=$F$4,$AG94=$F$5),$B$21,0))</f>
        <v>0</v>
      </c>
      <c r="AJ94" s="26">
        <f>VLOOKUP($Q94,武学奇术!$A:$ZZ,28,FALSE)</f>
        <v>0</v>
      </c>
      <c r="AK94" s="27">
        <f>VLOOKUP($Q94,武学奇术!$A:$ZZ,29,FALSE)*(1+IF(OR($AG94=$F$4,$AG94=$F$5),$B$21,0))</f>
        <v>0</v>
      </c>
      <c r="AL94" s="26" cm="1">
        <f t="array" ref="AL94">$G$3+IFERROR(VLOOKUP($AG94,$F$4:$G$7,2,FALSE),0)+VLOOKUP($Q94,武学奇术!$A:$ZZ,2,FALSE)+SUM(_xlfn.XLOOKUP($R94:$AF94,增益!$A:$A,增益!$B:$B,0))</f>
        <v>0.1842</v>
      </c>
      <c r="AM94" s="26" cm="1">
        <f t="array" ref="AM94">VLOOKUP($Q94,武学奇术!$A:$ZZ,5,FALSE)+SUM(_xlfn.XLOOKUP($R94:$AF94,增益!$A:$A,增益!$E:$E,0))</f>
        <v>0</v>
      </c>
      <c r="AN94" cm="1">
        <f t="array" ref="AN94">$D$10*(1+$AM94)+VLOOKUP($Q94,武学奇术!$A:$ZZ,3,FALSE)+SUM(_xlfn.XLOOKUP($R94:$AF94,增益!$A:$A,增益!$C:$C,0))-$I$2</f>
        <v>3940</v>
      </c>
      <c r="AO94" cm="1">
        <f t="array" ref="AO94">$E$10*(1+$AM94)+VLOOKUP($Q94,武学奇术!$A:$ZZ,4,FALSE)+SUM(_xlfn.XLOOKUP($R94:$AF94,增益!$A:$A,增益!$D:$D,0))-$I$2</f>
        <v>3940</v>
      </c>
      <c r="AP94" s="32" cm="1">
        <f t="array" ref="AP94">IF($F$10-$I$3+VLOOKUP($Q94,武学奇术!$A:$ZZ,6,FALSE)+SUM(_xlfn.XLOOKUP(R94:AF94,增益!$A:$A,增益!$F:$F,0))&gt;0,($F$10-$I$3+VLOOKUP($Q94,武学奇术!$A:$ZZ,6,FALSE)+SUM(_xlfn.XLOOKUP(R94:AF94,增益!$A:$A,增益!$F:$F,0)))/200,($F$10-$I$3+VLOOKUP($Q94,武学奇术!$A:$ZZ,6,FALSE)+SUM(_xlfn.XLOOKUP(R94:AF94,增益!$A:$A,增益!$F:$F,0)))/100)</f>
        <v>0.194</v>
      </c>
      <c r="AQ94" s="32" cm="1">
        <f t="array" ref="AQ94">$G$10+VLOOKUP($Q94,武学奇术!$A:$ZZ,7,FALSE)+SUM(_xlfn.XLOOKUP(R94:AF94,增益!$A:$A,增益!$G:$G,0))</f>
        <v>0</v>
      </c>
      <c r="AR94" s="26" cm="1">
        <f t="array" ref="AR94">VLOOKUP($Q94,武学奇术!$A:$ZZ,8,FALSE)+SUM(_xlfn.XLOOKUP(R94:AF94,增益!$A:$A,增益!$H:$H,0))</f>
        <v>0</v>
      </c>
      <c r="AS94">
        <f t="shared" si="12"/>
        <v>0</v>
      </c>
      <c r="AT94">
        <f t="shared" si="13"/>
        <v>0</v>
      </c>
      <c r="AU94" s="32" cm="1">
        <f t="array" ref="AU94">IF($F$11-$I$4+VLOOKUP($Q94,武学奇术!$A:$ZZ,9,FALSE)+SUM(_xlfn.XLOOKUP(R94:AF94,增益!$A:$A,增益!$I:$I,0))&gt;0,($F$11-$I$4+VLOOKUP($Q94,武学奇术!$A:$ZZ,9,FALSE)+SUM(_xlfn.XLOOKUP(R94:AF94,增益!$A:$A,增益!$I:$I,0)))/200,($F$11-$I$4+VLOOKUP($Q94,武学奇术!$A:$ZZ,9,FALSE)+SUM(_xlfn.XLOOKUP(R94:AF94,增益!$A:$A,增益!$I:$I,0)))/100)</f>
        <v>-0.3</v>
      </c>
      <c r="AV94" s="32" cm="1">
        <f t="array" ref="AV94">$G$11+VLOOKUP($Q94,武学奇术!$A:$ZZ,10,FALSE)+SUM(_xlfn.XLOOKUP(R94:AF94,增益!$A:$A,增益!$J:$J,0))</f>
        <v>0</v>
      </c>
      <c r="AW94">
        <f t="shared" si="14"/>
        <v>0</v>
      </c>
      <c r="AX94">
        <f t="shared" si="15"/>
        <v>0</v>
      </c>
      <c r="AY94" s="32" cm="1">
        <f t="array" ref="AY94">IF($F$12-$I$4+VLOOKUP($Q94,武学奇术!$A:$ZZ,11,FALSE)+SUM(_xlfn.XLOOKUP(R94:AF94,增益!$A:$A,增益!$K:$K,0))&gt;0,($F$12-$I$4+VLOOKUP($Q94,武学奇术!$A:$ZZ,11,FALSE)+SUM(_xlfn.XLOOKUP(R94:AF94,增益!$A:$A,增益!$K:$K,0)))/200,($F$12-$I$4+VLOOKUP($Q94,武学奇术!$A:$ZZ,11,FALSE)+SUM(_xlfn.XLOOKUP(R94:AF94,增益!$A:$A,增益!$K:$K,0)))/100)</f>
        <v>-0.3</v>
      </c>
      <c r="AZ94" s="32" cm="1">
        <f t="array" ref="AZ94">$G$12+VLOOKUP($Q94,武学奇术!$A:$ZZ,12,FALSE)+SUM(_xlfn.XLOOKUP(R94:AF94,增益!$A:$A,增益!$L:$L,0))</f>
        <v>0</v>
      </c>
      <c r="BA94">
        <f t="shared" si="16"/>
        <v>697.4</v>
      </c>
      <c r="BB94">
        <f t="shared" si="17"/>
        <v>1805</v>
      </c>
      <c r="BC94" s="32" cm="1">
        <f t="array" ref="BC94">IF($F$13-$I$4+VLOOKUP($Q94,武学奇术!$A:$ZZ,13,FALSE)+SUM(_xlfn.XLOOKUP(R94:AF94,增益!$A:$A,增益!$M:$M,0))&gt;0,($F$13-$I$4+VLOOKUP($Q94,武学奇术!$A:$ZZ,13,FALSE)+SUM(_xlfn.XLOOKUP(R94:AF94,增益!$A:$A,增益!$K:$K,0)))/200,($F$13-$I$4+VLOOKUP($Q94,武学奇术!$A:$ZZ,13,FALSE)+SUM(_xlfn.XLOOKUP(R94:AF94,增益!$A:$A,增益!$M:$M,0)))/100)</f>
        <v>0</v>
      </c>
      <c r="BD94" s="32" cm="1">
        <f t="array" ref="BD94">$G$13+VLOOKUP($Q94,武学奇术!$A:$ZZ,14,FALSE)+SUM(_xlfn.XLOOKUP(R94:AF94,增益!$A:$A,增益!$N:$N,0))</f>
        <v>0.15</v>
      </c>
      <c r="BE94">
        <f t="shared" si="18"/>
        <v>0</v>
      </c>
      <c r="BF94">
        <f t="shared" si="19"/>
        <v>0</v>
      </c>
      <c r="BG94" s="32" cm="1">
        <f t="array" ref="BG94">IF($F$14-$I$4+VLOOKUP($Q94,武学奇术!$A:$ZZ,15,FALSE)+SUM(_xlfn.XLOOKUP(R94:AF94,增益!$A:$A,增益!$O:$O,0))&gt;0,($F$14-$I$4+VLOOKUP($Q94,武学奇术!$A:$ZZ,15,FALSE)+SUM(_xlfn.XLOOKUP(R94:AF94,增益!$A:$A,增益!$O:$O,0)))/200,($F$14-$I$4+VLOOKUP($Q94,武学奇术!$A:$ZZ,15,FALSE)+SUM(_xlfn.XLOOKUP(R94:AF94,增益!$A:$A,增益!$O:$O,0)))/100)</f>
        <v>-0.3</v>
      </c>
      <c r="BH94" s="32" cm="1">
        <f t="array" ref="BH94">$G$14+VLOOKUP($Q94,武学奇术!$A:$ZZ,16,FALSE)+SUM(_xlfn.XLOOKUP(R94:AF94,增益!$A:$A,增益!$P:$P,0))</f>
        <v>0</v>
      </c>
      <c r="BI94" s="26">
        <f>MIN(IF(VLOOKUP($Q94,武学奇术!$A:$ZZ,23,FALSE)=1,100%,$B$8),100%)</f>
        <v>1</v>
      </c>
      <c r="BJ94" s="26" cm="1">
        <f t="array" ref="BJ94">IF(VLOOKUP($Q94,武学奇术!$A:$ZZ,23,FALSE)=1,100%,MIN(80%,$B$9+VLOOKUP($Q94,武学奇术!$A:$ZZ,17,FALSE)+SUM(_xlfn.XLOOKUP(R94:AF94,增益!$A:$A,增益!$Q:$Q,0)))+$B$11+SUM(_xlfn.XLOOKUP(R94:AF94,增益!$A:$A,增益!$U:$U,0)))*IF(VLOOKUP($Q94,武学奇术!$A:$ZZ,24,FALSE)=1,0,1)</f>
        <v>0.8625</v>
      </c>
      <c r="BK94" s="26" cm="1">
        <f t="array" ref="BK94">1+$B$13+VLOOKUP($Q94,武学奇术!$A:$ZZ,18,FALSE)+SUM(_xlfn.XLOOKUP(R94:AF94,增益!$A:$A,增益!$R:$R,0))</f>
        <v>1.5</v>
      </c>
      <c r="BL94" s="26" cm="1">
        <f t="array" ref="BL94">IF(VLOOKUP($Q94,武学奇术!$A:$ZZ,24,FALSE)=1,100%,MIN(40%,$B$10+VLOOKUP($Q94,武学奇术!$A:$ZZ,19,FALSE)+SUM(_xlfn.XLOOKUP(R94:AF94,增益!$A:$A,增益!$S:$S,0)))+$B$12+SUM(_xlfn.XLOOKUP(R94:AF94,增益!$A:$A,增益!$V:$V,0)))*IF(VLOOKUP($Q94,武学奇术!$A:$ZZ,23,FALSE)=1,0,1)</f>
        <v>0.0913</v>
      </c>
      <c r="BM94" s="26" cm="1">
        <f t="array" ref="BM94">1+$B$14+VLOOKUP($Q94,武学奇术!$A:$ZZ,20,FALSE)+SUM(_xlfn.XLOOKUP(R94:AF94,增益!$A:$A,增益!$T:$T,0))</f>
        <v>1.35</v>
      </c>
      <c r="BN94" s="26">
        <f t="shared" si="20"/>
        <v>0.8625</v>
      </c>
      <c r="BO94" s="26">
        <f t="shared" si="21"/>
        <v>0.0462</v>
      </c>
      <c r="BP94" s="26">
        <f>IF(VLOOKUP($Q94,武学奇术!$A:$ZZ,22,FALSE)=1,0,(1-$BI94))*(1-$BL94)</f>
        <v>0</v>
      </c>
      <c r="BQ94" s="26" cm="1">
        <f t="array" ref="BQ94">SUM(_xlfn.XLOOKUP(R94:AF94,增益!$A:$A,增益!$W:$W,0))+$I$5</f>
        <v>0.06</v>
      </c>
    </row>
    <row r="95" spans="1:69">
      <c r="K95" s="38">
        <f t="shared" si="11"/>
        <v>0</v>
      </c>
      <c r="L95" s="38">
        <f>((($AN95+$AO95)/2*$AH95+$AI95)*(1+$AP95)*(1+$AQ95)+(($AS95+$AT95)/2*IF($G$1="鸣金",$AJ95,$AH95)+IF($G$1="鸣金",$AK95*1.5,0))*(1+$AU95)*(1+$AV95)+(($AW95+$AX95)/2*IF($G$1="裂石",$AJ95,$AH95)+IF($G$1="裂石",$AK95*1.5,0))*(1+$AY95)*(1+$AZ95)+(($BA95+$BB95)/2*IF($G$1="牵丝",$AJ95,$AH95)+IF($G$1="牵丝",$AK95*1.5,0))*(1+$BC95)*(1+$BD95)+(($BE95+$BF95)/2*IF($G$1="破竹",$AJ95,$AH95)+IF($G$1="破竹",$AK95*1.5,0))*(1+$BG95)*(1+$BH95))*(1+$AL95)*$BK95*$P95*(1+IF(VLOOKUP($Q95,武学奇术!$A:$ZZ,30,FALSE)="蓄力技",#REF!,0))*(1+$BQ95)</f>
        <v>0</v>
      </c>
      <c r="M95" s="38">
        <f>(($AO95*$AH95+$AI95)*(1+$AP95)*(1+$AQ95)+($AT95*IF($G$1="鸣金",$AJ95,$AH95)+IF($G$1="鸣金",$AK95*1.5,0))*(1+$AU95)*(1+$AV95)+($AX95*IF($G$1="裂石",$AJ95,$AH95)+IF($G$1="裂石",$AK95*1.5,0))*(1+$AY95)*(1+$AZ95)+($BB95*IF($G$1="牵丝",$AJ95,$AH95)+IF($G$1="牵丝",$AK95*1.5,0))*(1+$BC95)*(1+$BD95)+($BF95*IF($G$1="破竹",$AJ95,$AH95)+IF($G$1="破竹",$AK95*1.5,0))*(1+$BG95)*(1+$BH95))*(1+$AL95)*$BM95*$P95*(1+IF(VLOOKUP($Q95,武学奇术!$A:$ZZ,30,FALSE)="蓄力技",#REF!,0))*(1+$BQ95)</f>
        <v>0</v>
      </c>
      <c r="N95" s="38">
        <f>((($AN95+$AO95)/2*$AH95+$AI95)*(1+$AP95)*(1+$AQ95)+(($AS95+$AT95)/2*IF($G$1="鸣金",$AJ95,$AH95)+IF($G$1="鸣金",$AK95*1.5,0))*(1+$AU95)*(1+$AV95)+(($AW95+$AX95)/2*IF($G$1="裂石",$AJ95,$AH95)+IF($G$1="裂石",$AK95*1.5,0))*(1+$AY95)*(1+$AZ95)+(($BA95+$BB95)/2*IF($G$1="牵丝",$AJ95,$AH95)+IF($G$1="牵丝",$AK95*1.5,0))*(1+$BC95)*(1+$BD95)+(($BE95+$BF95)/2*IF($G$1="破竹",$AJ95,$AH95)+IF($G$1="破竹",$AK95*1.5,0))*(1+$BG95)*(1+$BH95))*(1+$AL95)*$P95*(1+IF(VLOOKUP($Q95,武学奇术!$A:$ZZ,30,FALSE)="蓄力技",#REF!,0))*(1+$BQ95)</f>
        <v>0</v>
      </c>
      <c r="O95" s="38">
        <f>((($AN95*$AH95+$AI95)*(1+$AP95)*(1+$AQ95)+($AS95*IF($G$1="鸣金",$AJ95,$AH95)+IF($G$1="鸣金",$AK95*1.5,0))*(1+$AU95)*(1+$AV95)+($AW95*IF($G$1="裂石",$AJ95,$AH95)+IF($G$1="裂石",$AK95*1.5,0))*(1+$AY95)*(1+$AZ95)+($BA95*IF($G$1="牵丝",$AJ95,$AH95)+IF($G$1="牵丝",$AK95*1.5,0))*(1+$BC95)*(1+$BD95)+($BE95*IF($G$1="破竹",$AJ95,$AH95)+IF($G$1="破竹",$AK95*1.5,0))*(1+$BG95)*(1+$BH95))*(1+$AL95))*$P95*(1+IF(VLOOKUP($Q95,武学奇术!$A:$ZZ,30,FALSE)="蓄力技",#REF!,0))*(1+$BQ95)</f>
        <v>0</v>
      </c>
      <c r="P95" s="39">
        <v>1</v>
      </c>
      <c r="Q95" s="40" t="s">
        <v>76</v>
      </c>
      <c r="R95" s="40" t="s">
        <v>76</v>
      </c>
      <c r="S95" s="40" t="s">
        <v>76</v>
      </c>
      <c r="T95" s="40" t="s">
        <v>76</v>
      </c>
      <c r="U95" s="40" t="s">
        <v>76</v>
      </c>
      <c r="V95" s="40" t="s">
        <v>76</v>
      </c>
      <c r="W95" s="40" t="s">
        <v>76</v>
      </c>
      <c r="X95" s="40" t="s">
        <v>76</v>
      </c>
      <c r="Y95" s="40" t="s">
        <v>76</v>
      </c>
      <c r="Z95" s="40" t="s">
        <v>76</v>
      </c>
      <c r="AA95" s="40" t="s">
        <v>76</v>
      </c>
      <c r="AB95" s="40" t="s">
        <v>76</v>
      </c>
      <c r="AC95" s="40" t="s">
        <v>76</v>
      </c>
      <c r="AD95" s="40" t="s">
        <v>76</v>
      </c>
      <c r="AE95" s="40" t="s">
        <v>76</v>
      </c>
      <c r="AF95" s="40" t="s">
        <v>76</v>
      </c>
      <c r="AG95" t="str">
        <f>VLOOKUP($Q95,武学奇术!$A:$ZZ,25,FALSE)</f>
        <v>心法</v>
      </c>
      <c r="AH95" s="26">
        <f>VLOOKUP($Q95,武学奇术!$A:$ZZ,26,FALSE)</f>
        <v>0</v>
      </c>
      <c r="AI95" s="27">
        <f>VLOOKUP($Q95,武学奇术!$A:$ZZ,27,FALSE)*(1+IF(OR($AG95=$F$4,$AG95=$F$5),$B$21,0))</f>
        <v>0</v>
      </c>
      <c r="AJ95" s="26">
        <f>VLOOKUP($Q95,武学奇术!$A:$ZZ,28,FALSE)</f>
        <v>0</v>
      </c>
      <c r="AK95" s="27">
        <f>VLOOKUP($Q95,武学奇术!$A:$ZZ,29,FALSE)*(1+IF(OR($AG95=$F$4,$AG95=$F$5),$B$21,0))</f>
        <v>0</v>
      </c>
      <c r="AL95" s="26" cm="1">
        <f t="array" ref="AL95">$G$3+IFERROR(VLOOKUP($AG95,$F$4:$G$7,2,FALSE),0)+VLOOKUP($Q95,武学奇术!$A:$ZZ,2,FALSE)+SUM(_xlfn.XLOOKUP($R95:$AF95,增益!$A:$A,增益!$B:$B,0))</f>
        <v>0.1842</v>
      </c>
      <c r="AM95" s="26" cm="1">
        <f t="array" ref="AM95">VLOOKUP($Q95,武学奇术!$A:$ZZ,5,FALSE)+SUM(_xlfn.XLOOKUP($R95:$AF95,增益!$A:$A,增益!$E:$E,0))</f>
        <v>0</v>
      </c>
      <c r="AN95" cm="1">
        <f t="array" ref="AN95">$D$10*(1+$AM95)+VLOOKUP($Q95,武学奇术!$A:$ZZ,3,FALSE)+SUM(_xlfn.XLOOKUP($R95:$AF95,增益!$A:$A,增益!$C:$C,0))-$I$2</f>
        <v>3940</v>
      </c>
      <c r="AO95" cm="1">
        <f t="array" ref="AO95">$E$10*(1+$AM95)+VLOOKUP($Q95,武学奇术!$A:$ZZ,4,FALSE)+SUM(_xlfn.XLOOKUP($R95:$AF95,增益!$A:$A,增益!$D:$D,0))-$I$2</f>
        <v>3940</v>
      </c>
      <c r="AP95" s="32" cm="1">
        <f t="array" ref="AP95">IF($F$10-$I$3+VLOOKUP($Q95,武学奇术!$A:$ZZ,6,FALSE)+SUM(_xlfn.XLOOKUP(R95:AF95,增益!$A:$A,增益!$F:$F,0))&gt;0,($F$10-$I$3+VLOOKUP($Q95,武学奇术!$A:$ZZ,6,FALSE)+SUM(_xlfn.XLOOKUP(R95:AF95,增益!$A:$A,增益!$F:$F,0)))/200,($F$10-$I$3+VLOOKUP($Q95,武学奇术!$A:$ZZ,6,FALSE)+SUM(_xlfn.XLOOKUP(R95:AF95,增益!$A:$A,增益!$F:$F,0)))/100)</f>
        <v>0.194</v>
      </c>
      <c r="AQ95" s="32" cm="1">
        <f t="array" ref="AQ95">$G$10+VLOOKUP($Q95,武学奇术!$A:$ZZ,7,FALSE)+SUM(_xlfn.XLOOKUP(R95:AF95,增益!$A:$A,增益!$G:$G,0))</f>
        <v>0</v>
      </c>
      <c r="AR95" s="26" cm="1">
        <f t="array" ref="AR95">VLOOKUP($Q95,武学奇术!$A:$ZZ,8,FALSE)+SUM(_xlfn.XLOOKUP(R95:AF95,增益!$A:$A,增益!$H:$H,0))</f>
        <v>0</v>
      </c>
      <c r="AS95">
        <f t="shared" si="12"/>
        <v>0</v>
      </c>
      <c r="AT95">
        <f t="shared" si="13"/>
        <v>0</v>
      </c>
      <c r="AU95" s="32" cm="1">
        <f t="array" ref="AU95">IF($F$11-$I$4+VLOOKUP($Q95,武学奇术!$A:$ZZ,9,FALSE)+SUM(_xlfn.XLOOKUP(R95:AF95,增益!$A:$A,增益!$I:$I,0))&gt;0,($F$11-$I$4+VLOOKUP($Q95,武学奇术!$A:$ZZ,9,FALSE)+SUM(_xlfn.XLOOKUP(R95:AF95,增益!$A:$A,增益!$I:$I,0)))/200,($F$11-$I$4+VLOOKUP($Q95,武学奇术!$A:$ZZ,9,FALSE)+SUM(_xlfn.XLOOKUP(R95:AF95,增益!$A:$A,增益!$I:$I,0)))/100)</f>
        <v>-0.3</v>
      </c>
      <c r="AV95" s="32" cm="1">
        <f t="array" ref="AV95">$G$11+VLOOKUP($Q95,武学奇术!$A:$ZZ,10,FALSE)+SUM(_xlfn.XLOOKUP(R95:AF95,增益!$A:$A,增益!$J:$J,0))</f>
        <v>0</v>
      </c>
      <c r="AW95">
        <f t="shared" si="14"/>
        <v>0</v>
      </c>
      <c r="AX95">
        <f t="shared" si="15"/>
        <v>0</v>
      </c>
      <c r="AY95" s="32" cm="1">
        <f t="array" ref="AY95">IF($F$12-$I$4+VLOOKUP($Q95,武学奇术!$A:$ZZ,11,FALSE)+SUM(_xlfn.XLOOKUP(R95:AF95,增益!$A:$A,增益!$K:$K,0))&gt;0,($F$12-$I$4+VLOOKUP($Q95,武学奇术!$A:$ZZ,11,FALSE)+SUM(_xlfn.XLOOKUP(R95:AF95,增益!$A:$A,增益!$K:$K,0)))/200,($F$12-$I$4+VLOOKUP($Q95,武学奇术!$A:$ZZ,11,FALSE)+SUM(_xlfn.XLOOKUP(R95:AF95,增益!$A:$A,增益!$K:$K,0)))/100)</f>
        <v>-0.3</v>
      </c>
      <c r="AZ95" s="32" cm="1">
        <f t="array" ref="AZ95">$G$12+VLOOKUP($Q95,武学奇术!$A:$ZZ,12,FALSE)+SUM(_xlfn.XLOOKUP(R95:AF95,增益!$A:$A,增益!$L:$L,0))</f>
        <v>0</v>
      </c>
      <c r="BA95">
        <f t="shared" si="16"/>
        <v>697.4</v>
      </c>
      <c r="BB95">
        <f t="shared" si="17"/>
        <v>1805</v>
      </c>
      <c r="BC95" s="32" cm="1">
        <f t="array" ref="BC95">IF($F$13-$I$4+VLOOKUP($Q95,武学奇术!$A:$ZZ,13,FALSE)+SUM(_xlfn.XLOOKUP(R95:AF95,增益!$A:$A,增益!$M:$M,0))&gt;0,($F$13-$I$4+VLOOKUP($Q95,武学奇术!$A:$ZZ,13,FALSE)+SUM(_xlfn.XLOOKUP(R95:AF95,增益!$A:$A,增益!$K:$K,0)))/200,($F$13-$I$4+VLOOKUP($Q95,武学奇术!$A:$ZZ,13,FALSE)+SUM(_xlfn.XLOOKUP(R95:AF95,增益!$A:$A,增益!$M:$M,0)))/100)</f>
        <v>0</v>
      </c>
      <c r="BD95" s="32" cm="1">
        <f t="array" ref="BD95">$G$13+VLOOKUP($Q95,武学奇术!$A:$ZZ,14,FALSE)+SUM(_xlfn.XLOOKUP(R95:AF95,增益!$A:$A,增益!$N:$N,0))</f>
        <v>0.15</v>
      </c>
      <c r="BE95">
        <f t="shared" si="18"/>
        <v>0</v>
      </c>
      <c r="BF95">
        <f t="shared" si="19"/>
        <v>0</v>
      </c>
      <c r="BG95" s="32" cm="1">
        <f t="array" ref="BG95">IF($F$14-$I$4+VLOOKUP($Q95,武学奇术!$A:$ZZ,15,FALSE)+SUM(_xlfn.XLOOKUP(R95:AF95,增益!$A:$A,增益!$O:$O,0))&gt;0,($F$14-$I$4+VLOOKUP($Q95,武学奇术!$A:$ZZ,15,FALSE)+SUM(_xlfn.XLOOKUP(R95:AF95,增益!$A:$A,增益!$O:$O,0)))/200,($F$14-$I$4+VLOOKUP($Q95,武学奇术!$A:$ZZ,15,FALSE)+SUM(_xlfn.XLOOKUP(R95:AF95,增益!$A:$A,增益!$O:$O,0)))/100)</f>
        <v>-0.3</v>
      </c>
      <c r="BH95" s="32" cm="1">
        <f t="array" ref="BH95">$G$14+VLOOKUP($Q95,武学奇术!$A:$ZZ,16,FALSE)+SUM(_xlfn.XLOOKUP(R95:AF95,增益!$A:$A,增益!$P:$P,0))</f>
        <v>0</v>
      </c>
      <c r="BI95" s="26">
        <f>MIN(IF(VLOOKUP($Q95,武学奇术!$A:$ZZ,23,FALSE)=1,100%,$B$8),100%)</f>
        <v>1</v>
      </c>
      <c r="BJ95" s="26" cm="1">
        <f t="array" ref="BJ95">IF(VLOOKUP($Q95,武学奇术!$A:$ZZ,23,FALSE)=1,100%,MIN(80%,$B$9+VLOOKUP($Q95,武学奇术!$A:$ZZ,17,FALSE)+SUM(_xlfn.XLOOKUP(R95:AF95,增益!$A:$A,增益!$Q:$Q,0)))+$B$11+SUM(_xlfn.XLOOKUP(R95:AF95,增益!$A:$A,增益!$U:$U,0)))*IF(VLOOKUP($Q95,武学奇术!$A:$ZZ,24,FALSE)=1,0,1)</f>
        <v>0.8625</v>
      </c>
      <c r="BK95" s="26" cm="1">
        <f t="array" ref="BK95">1+$B$13+VLOOKUP($Q95,武学奇术!$A:$ZZ,18,FALSE)+SUM(_xlfn.XLOOKUP(R95:AF95,增益!$A:$A,增益!$R:$R,0))</f>
        <v>1.5</v>
      </c>
      <c r="BL95" s="26" cm="1">
        <f t="array" ref="BL95">IF(VLOOKUP($Q95,武学奇术!$A:$ZZ,24,FALSE)=1,100%,MIN(40%,$B$10+VLOOKUP($Q95,武学奇术!$A:$ZZ,19,FALSE)+SUM(_xlfn.XLOOKUP(R95:AF95,增益!$A:$A,增益!$S:$S,0)))+$B$12+SUM(_xlfn.XLOOKUP(R95:AF95,增益!$A:$A,增益!$V:$V,0)))*IF(VLOOKUP($Q95,武学奇术!$A:$ZZ,23,FALSE)=1,0,1)</f>
        <v>0.0913</v>
      </c>
      <c r="BM95" s="26" cm="1">
        <f t="array" ref="BM95">1+$B$14+VLOOKUP($Q95,武学奇术!$A:$ZZ,20,FALSE)+SUM(_xlfn.XLOOKUP(R95:AF95,增益!$A:$A,增益!$T:$T,0))</f>
        <v>1.35</v>
      </c>
      <c r="BN95" s="26">
        <f t="shared" si="20"/>
        <v>0.8625</v>
      </c>
      <c r="BO95" s="26">
        <f t="shared" si="21"/>
        <v>0.0462</v>
      </c>
      <c r="BP95" s="26">
        <f>IF(VLOOKUP($Q95,武学奇术!$A:$ZZ,22,FALSE)=1,0,(1-$BI95))*(1-$BL95)</f>
        <v>0</v>
      </c>
      <c r="BQ95" s="26" cm="1">
        <f t="array" ref="BQ95">SUM(_xlfn.XLOOKUP(R95:AF95,增益!$A:$A,增益!$W:$W,0))+$I$5</f>
        <v>0.06</v>
      </c>
    </row>
    <row r="96" spans="1:69">
      <c r="K96" s="38">
        <f t="shared" si="11"/>
        <v>0</v>
      </c>
      <c r="L96" s="38">
        <f>((($AN96+$AO96)/2*$AH96+$AI96)*(1+$AP96)*(1+$AQ96)+(($AS96+$AT96)/2*IF($G$1="鸣金",$AJ96,$AH96)+IF($G$1="鸣金",$AK96*1.5,0))*(1+$AU96)*(1+$AV96)+(($AW96+$AX96)/2*IF($G$1="裂石",$AJ96,$AH96)+IF($G$1="裂石",$AK96*1.5,0))*(1+$AY96)*(1+$AZ96)+(($BA96+$BB96)/2*IF($G$1="牵丝",$AJ96,$AH96)+IF($G$1="牵丝",$AK96*1.5,0))*(1+$BC96)*(1+$BD96)+(($BE96+$BF96)/2*IF($G$1="破竹",$AJ96,$AH96)+IF($G$1="破竹",$AK96*1.5,0))*(1+$BG96)*(1+$BH96))*(1+$AL96)*$BK96*$P96*(1+IF(VLOOKUP($Q96,武学奇术!$A:$ZZ,30,FALSE)="蓄力技",#REF!,0))*(1+$BQ96)</f>
        <v>0</v>
      </c>
      <c r="M96" s="38">
        <f>(($AO96*$AH96+$AI96)*(1+$AP96)*(1+$AQ96)+($AT96*IF($G$1="鸣金",$AJ96,$AH96)+IF($G$1="鸣金",$AK96*1.5,0))*(1+$AU96)*(1+$AV96)+($AX96*IF($G$1="裂石",$AJ96,$AH96)+IF($G$1="裂石",$AK96*1.5,0))*(1+$AY96)*(1+$AZ96)+($BB96*IF($G$1="牵丝",$AJ96,$AH96)+IF($G$1="牵丝",$AK96*1.5,0))*(1+$BC96)*(1+$BD96)+($BF96*IF($G$1="破竹",$AJ96,$AH96)+IF($G$1="破竹",$AK96*1.5,0))*(1+$BG96)*(1+$BH96))*(1+$AL96)*$BM96*$P96*(1+IF(VLOOKUP($Q96,武学奇术!$A:$ZZ,30,FALSE)="蓄力技",#REF!,0))*(1+$BQ96)</f>
        <v>0</v>
      </c>
      <c r="N96" s="38">
        <f>((($AN96+$AO96)/2*$AH96+$AI96)*(1+$AP96)*(1+$AQ96)+(($AS96+$AT96)/2*IF($G$1="鸣金",$AJ96,$AH96)+IF($G$1="鸣金",$AK96*1.5,0))*(1+$AU96)*(1+$AV96)+(($AW96+$AX96)/2*IF($G$1="裂石",$AJ96,$AH96)+IF($G$1="裂石",$AK96*1.5,0))*(1+$AY96)*(1+$AZ96)+(($BA96+$BB96)/2*IF($G$1="牵丝",$AJ96,$AH96)+IF($G$1="牵丝",$AK96*1.5,0))*(1+$BC96)*(1+$BD96)+(($BE96+$BF96)/2*IF($G$1="破竹",$AJ96,$AH96)+IF($G$1="破竹",$AK96*1.5,0))*(1+$BG96)*(1+$BH96))*(1+$AL96)*$P96*(1+IF(VLOOKUP($Q96,武学奇术!$A:$ZZ,30,FALSE)="蓄力技",#REF!,0))*(1+$BQ96)</f>
        <v>0</v>
      </c>
      <c r="O96" s="38">
        <f>((($AN96*$AH96+$AI96)*(1+$AP96)*(1+$AQ96)+($AS96*IF($G$1="鸣金",$AJ96,$AH96)+IF($G$1="鸣金",$AK96*1.5,0))*(1+$AU96)*(1+$AV96)+($AW96*IF($G$1="裂石",$AJ96,$AH96)+IF($G$1="裂石",$AK96*1.5,0))*(1+$AY96)*(1+$AZ96)+($BA96*IF($G$1="牵丝",$AJ96,$AH96)+IF($G$1="牵丝",$AK96*1.5,0))*(1+$BC96)*(1+$BD96)+($BE96*IF($G$1="破竹",$AJ96,$AH96)+IF($G$1="破竹",$AK96*1.5,0))*(1+$BG96)*(1+$BH96))*(1+$AL96))*$P96*(1+IF(VLOOKUP($Q96,武学奇术!$A:$ZZ,30,FALSE)="蓄力技",#REF!,0))*(1+$BQ96)</f>
        <v>0</v>
      </c>
      <c r="P96" s="39">
        <v>1</v>
      </c>
      <c r="Q96" s="40" t="s">
        <v>76</v>
      </c>
      <c r="R96" s="40" t="s">
        <v>76</v>
      </c>
      <c r="S96" s="40" t="s">
        <v>76</v>
      </c>
      <c r="T96" s="40" t="s">
        <v>76</v>
      </c>
      <c r="U96" s="40" t="s">
        <v>76</v>
      </c>
      <c r="V96" s="40" t="s">
        <v>76</v>
      </c>
      <c r="W96" s="40" t="s">
        <v>76</v>
      </c>
      <c r="X96" s="40" t="s">
        <v>76</v>
      </c>
      <c r="Y96" s="40" t="s">
        <v>76</v>
      </c>
      <c r="Z96" s="40" t="s">
        <v>76</v>
      </c>
      <c r="AA96" s="40" t="s">
        <v>76</v>
      </c>
      <c r="AB96" s="40" t="s">
        <v>76</v>
      </c>
      <c r="AC96" s="40" t="s">
        <v>76</v>
      </c>
      <c r="AD96" s="40" t="s">
        <v>76</v>
      </c>
      <c r="AE96" s="40" t="s">
        <v>76</v>
      </c>
      <c r="AF96" s="40" t="s">
        <v>76</v>
      </c>
      <c r="AG96" t="str">
        <f>VLOOKUP($Q96,武学奇术!$A:$ZZ,25,FALSE)</f>
        <v>心法</v>
      </c>
      <c r="AH96" s="26">
        <f>VLOOKUP($Q96,武学奇术!$A:$ZZ,26,FALSE)</f>
        <v>0</v>
      </c>
      <c r="AI96" s="27">
        <f>VLOOKUP($Q96,武学奇术!$A:$ZZ,27,FALSE)*(1+IF(OR($AG96=$F$4,$AG96=$F$5),$B$21,0))</f>
        <v>0</v>
      </c>
      <c r="AJ96" s="26">
        <f>VLOOKUP($Q96,武学奇术!$A:$ZZ,28,FALSE)</f>
        <v>0</v>
      </c>
      <c r="AK96" s="27">
        <f>VLOOKUP($Q96,武学奇术!$A:$ZZ,29,FALSE)*(1+IF(OR($AG96=$F$4,$AG96=$F$5),$B$21,0))</f>
        <v>0</v>
      </c>
      <c r="AL96" s="26" cm="1">
        <f t="array" ref="AL96">$G$3+IFERROR(VLOOKUP($AG96,$F$4:$G$7,2,FALSE),0)+VLOOKUP($Q96,武学奇术!$A:$ZZ,2,FALSE)+SUM(_xlfn.XLOOKUP($R96:$AF96,增益!$A:$A,增益!$B:$B,0))</f>
        <v>0.1842</v>
      </c>
      <c r="AM96" s="26" cm="1">
        <f t="array" ref="AM96">VLOOKUP($Q96,武学奇术!$A:$ZZ,5,FALSE)+SUM(_xlfn.XLOOKUP($R96:$AF96,增益!$A:$A,增益!$E:$E,0))</f>
        <v>0</v>
      </c>
      <c r="AN96" cm="1">
        <f t="array" ref="AN96">$D$10*(1+$AM96)+VLOOKUP($Q96,武学奇术!$A:$ZZ,3,FALSE)+SUM(_xlfn.XLOOKUP($R96:$AF96,增益!$A:$A,增益!$C:$C,0))-$I$2</f>
        <v>3940</v>
      </c>
      <c r="AO96" cm="1">
        <f t="array" ref="AO96">$E$10*(1+$AM96)+VLOOKUP($Q96,武学奇术!$A:$ZZ,4,FALSE)+SUM(_xlfn.XLOOKUP($R96:$AF96,增益!$A:$A,增益!$D:$D,0))-$I$2</f>
        <v>3940</v>
      </c>
      <c r="AP96" s="32" cm="1">
        <f t="array" ref="AP96">IF($F$10-$I$3+VLOOKUP($Q96,武学奇术!$A:$ZZ,6,FALSE)+SUM(_xlfn.XLOOKUP(R96:AF96,增益!$A:$A,增益!$F:$F,0))&gt;0,($F$10-$I$3+VLOOKUP($Q96,武学奇术!$A:$ZZ,6,FALSE)+SUM(_xlfn.XLOOKUP(R96:AF96,增益!$A:$A,增益!$F:$F,0)))/200,($F$10-$I$3+VLOOKUP($Q96,武学奇术!$A:$ZZ,6,FALSE)+SUM(_xlfn.XLOOKUP(R96:AF96,增益!$A:$A,增益!$F:$F,0)))/100)</f>
        <v>0.194</v>
      </c>
      <c r="AQ96" s="32" cm="1">
        <f t="array" ref="AQ96">$G$10+VLOOKUP($Q96,武学奇术!$A:$ZZ,7,FALSE)+SUM(_xlfn.XLOOKUP(R96:AF96,增益!$A:$A,增益!$G:$G,0))</f>
        <v>0</v>
      </c>
      <c r="AR96" s="26" cm="1">
        <f t="array" ref="AR96">VLOOKUP($Q96,武学奇术!$A:$ZZ,8,FALSE)+SUM(_xlfn.XLOOKUP(R96:AF96,增益!$A:$A,增益!$H:$H,0))</f>
        <v>0</v>
      </c>
      <c r="AS96">
        <f t="shared" si="12"/>
        <v>0</v>
      </c>
      <c r="AT96">
        <f t="shared" si="13"/>
        <v>0</v>
      </c>
      <c r="AU96" s="32" cm="1">
        <f t="array" ref="AU96">IF($F$11-$I$4+VLOOKUP($Q96,武学奇术!$A:$ZZ,9,FALSE)+SUM(_xlfn.XLOOKUP(R96:AF96,增益!$A:$A,增益!$I:$I,0))&gt;0,($F$11-$I$4+VLOOKUP($Q96,武学奇术!$A:$ZZ,9,FALSE)+SUM(_xlfn.XLOOKUP(R96:AF96,增益!$A:$A,增益!$I:$I,0)))/200,($F$11-$I$4+VLOOKUP($Q96,武学奇术!$A:$ZZ,9,FALSE)+SUM(_xlfn.XLOOKUP(R96:AF96,增益!$A:$A,增益!$I:$I,0)))/100)</f>
        <v>-0.3</v>
      </c>
      <c r="AV96" s="32" cm="1">
        <f t="array" ref="AV96">$G$11+VLOOKUP($Q96,武学奇术!$A:$ZZ,10,FALSE)+SUM(_xlfn.XLOOKUP(R96:AF96,增益!$A:$A,增益!$J:$J,0))</f>
        <v>0</v>
      </c>
      <c r="AW96">
        <f t="shared" si="14"/>
        <v>0</v>
      </c>
      <c r="AX96">
        <f t="shared" si="15"/>
        <v>0</v>
      </c>
      <c r="AY96" s="32" cm="1">
        <f t="array" ref="AY96">IF($F$12-$I$4+VLOOKUP($Q96,武学奇术!$A:$ZZ,11,FALSE)+SUM(_xlfn.XLOOKUP(R96:AF96,增益!$A:$A,增益!$K:$K,0))&gt;0,($F$12-$I$4+VLOOKUP($Q96,武学奇术!$A:$ZZ,11,FALSE)+SUM(_xlfn.XLOOKUP(R96:AF96,增益!$A:$A,增益!$K:$K,0)))/200,($F$12-$I$4+VLOOKUP($Q96,武学奇术!$A:$ZZ,11,FALSE)+SUM(_xlfn.XLOOKUP(R96:AF96,增益!$A:$A,增益!$K:$K,0)))/100)</f>
        <v>-0.3</v>
      </c>
      <c r="AZ96" s="32" cm="1">
        <f t="array" ref="AZ96">$G$12+VLOOKUP($Q96,武学奇术!$A:$ZZ,12,FALSE)+SUM(_xlfn.XLOOKUP(R96:AF96,增益!$A:$A,增益!$L:$L,0))</f>
        <v>0</v>
      </c>
      <c r="BA96">
        <f t="shared" si="16"/>
        <v>697.4</v>
      </c>
      <c r="BB96">
        <f t="shared" si="17"/>
        <v>1805</v>
      </c>
      <c r="BC96" s="32" cm="1">
        <f t="array" ref="BC96">IF($F$13-$I$4+VLOOKUP($Q96,武学奇术!$A:$ZZ,13,FALSE)+SUM(_xlfn.XLOOKUP(R96:AF96,增益!$A:$A,增益!$M:$M,0))&gt;0,($F$13-$I$4+VLOOKUP($Q96,武学奇术!$A:$ZZ,13,FALSE)+SUM(_xlfn.XLOOKUP(R96:AF96,增益!$A:$A,增益!$K:$K,0)))/200,($F$13-$I$4+VLOOKUP($Q96,武学奇术!$A:$ZZ,13,FALSE)+SUM(_xlfn.XLOOKUP(R96:AF96,增益!$A:$A,增益!$M:$M,0)))/100)</f>
        <v>0</v>
      </c>
      <c r="BD96" s="32" cm="1">
        <f t="array" ref="BD96">$G$13+VLOOKUP($Q96,武学奇术!$A:$ZZ,14,FALSE)+SUM(_xlfn.XLOOKUP(R96:AF96,增益!$A:$A,增益!$N:$N,0))</f>
        <v>0.15</v>
      </c>
      <c r="BE96">
        <f t="shared" si="18"/>
        <v>0</v>
      </c>
      <c r="BF96">
        <f t="shared" si="19"/>
        <v>0</v>
      </c>
      <c r="BG96" s="32" cm="1">
        <f t="array" ref="BG96">IF($F$14-$I$4+VLOOKUP($Q96,武学奇术!$A:$ZZ,15,FALSE)+SUM(_xlfn.XLOOKUP(R96:AF96,增益!$A:$A,增益!$O:$O,0))&gt;0,($F$14-$I$4+VLOOKUP($Q96,武学奇术!$A:$ZZ,15,FALSE)+SUM(_xlfn.XLOOKUP(R96:AF96,增益!$A:$A,增益!$O:$O,0)))/200,($F$14-$I$4+VLOOKUP($Q96,武学奇术!$A:$ZZ,15,FALSE)+SUM(_xlfn.XLOOKUP(R96:AF96,增益!$A:$A,增益!$O:$O,0)))/100)</f>
        <v>-0.3</v>
      </c>
      <c r="BH96" s="32" cm="1">
        <f t="array" ref="BH96">$G$14+VLOOKUP($Q96,武学奇术!$A:$ZZ,16,FALSE)+SUM(_xlfn.XLOOKUP(R96:AF96,增益!$A:$A,增益!$P:$P,0))</f>
        <v>0</v>
      </c>
      <c r="BI96" s="26">
        <f>MIN(IF(VLOOKUP($Q96,武学奇术!$A:$ZZ,23,FALSE)=1,100%,$B$8),100%)</f>
        <v>1</v>
      </c>
      <c r="BJ96" s="26" cm="1">
        <f t="array" ref="BJ96">IF(VLOOKUP($Q96,武学奇术!$A:$ZZ,23,FALSE)=1,100%,MIN(80%,$B$9+VLOOKUP($Q96,武学奇术!$A:$ZZ,17,FALSE)+SUM(_xlfn.XLOOKUP(R96:AF96,增益!$A:$A,增益!$Q:$Q,0)))+$B$11+SUM(_xlfn.XLOOKUP(R96:AF96,增益!$A:$A,增益!$U:$U,0)))*IF(VLOOKUP($Q96,武学奇术!$A:$ZZ,24,FALSE)=1,0,1)</f>
        <v>0.8625</v>
      </c>
      <c r="BK96" s="26" cm="1">
        <f t="array" ref="BK96">1+$B$13+VLOOKUP($Q96,武学奇术!$A:$ZZ,18,FALSE)+SUM(_xlfn.XLOOKUP(R96:AF96,增益!$A:$A,增益!$R:$R,0))</f>
        <v>1.5</v>
      </c>
      <c r="BL96" s="26" cm="1">
        <f t="array" ref="BL96">IF(VLOOKUP($Q96,武学奇术!$A:$ZZ,24,FALSE)=1,100%,MIN(40%,$B$10+VLOOKUP($Q96,武学奇术!$A:$ZZ,19,FALSE)+SUM(_xlfn.XLOOKUP(R96:AF96,增益!$A:$A,增益!$S:$S,0)))+$B$12+SUM(_xlfn.XLOOKUP(R96:AF96,增益!$A:$A,增益!$V:$V,0)))*IF(VLOOKUP($Q96,武学奇术!$A:$ZZ,23,FALSE)=1,0,1)</f>
        <v>0.0913</v>
      </c>
      <c r="BM96" s="26" cm="1">
        <f t="array" ref="BM96">1+$B$14+VLOOKUP($Q96,武学奇术!$A:$ZZ,20,FALSE)+SUM(_xlfn.XLOOKUP(R96:AF96,增益!$A:$A,增益!$T:$T,0))</f>
        <v>1.35</v>
      </c>
      <c r="BN96" s="26">
        <f t="shared" si="20"/>
        <v>0.8625</v>
      </c>
      <c r="BO96" s="26">
        <f t="shared" si="21"/>
        <v>0.0462</v>
      </c>
      <c r="BP96" s="26">
        <f>IF(VLOOKUP($Q96,武学奇术!$A:$ZZ,22,FALSE)=1,0,(1-$BI96))*(1-$BL96)</f>
        <v>0</v>
      </c>
      <c r="BQ96" s="26" cm="1">
        <f t="array" ref="BQ96">SUM(_xlfn.XLOOKUP(R96:AF96,增益!$A:$A,增益!$W:$W,0))+$I$5</f>
        <v>0.06</v>
      </c>
    </row>
    <row r="97" spans="11:69">
      <c r="K97" s="38">
        <f t="shared" si="11"/>
        <v>0</v>
      </c>
      <c r="L97" s="38">
        <f>((($AN97+$AO97)/2*$AH97+$AI97)*(1+$AP97)*(1+$AQ97)+(($AS97+$AT97)/2*IF($G$1="鸣金",$AJ97,$AH97)+IF($G$1="鸣金",$AK97*1.5,0))*(1+$AU97)*(1+$AV97)+(($AW97+$AX97)/2*IF($G$1="裂石",$AJ97,$AH97)+IF($G$1="裂石",$AK97*1.5,0))*(1+$AY97)*(1+$AZ97)+(($BA97+$BB97)/2*IF($G$1="牵丝",$AJ97,$AH97)+IF($G$1="牵丝",$AK97*1.5,0))*(1+$BC97)*(1+$BD97)+(($BE97+$BF97)/2*IF($G$1="破竹",$AJ97,$AH97)+IF($G$1="破竹",$AK97*1.5,0))*(1+$BG97)*(1+$BH97))*(1+$AL97)*$BK97*$P97*(1+IF(VLOOKUP($Q97,武学奇术!$A:$ZZ,30,FALSE)="蓄力技",#REF!,0))*(1+$BQ97)</f>
        <v>0</v>
      </c>
      <c r="M97" s="38">
        <f>(($AO97*$AH97+$AI97)*(1+$AP97)*(1+$AQ97)+($AT97*IF($G$1="鸣金",$AJ97,$AH97)+IF($G$1="鸣金",$AK97*1.5,0))*(1+$AU97)*(1+$AV97)+($AX97*IF($G$1="裂石",$AJ97,$AH97)+IF($G$1="裂石",$AK97*1.5,0))*(1+$AY97)*(1+$AZ97)+($BB97*IF($G$1="牵丝",$AJ97,$AH97)+IF($G$1="牵丝",$AK97*1.5,0))*(1+$BC97)*(1+$BD97)+($BF97*IF($G$1="破竹",$AJ97,$AH97)+IF($G$1="破竹",$AK97*1.5,0))*(1+$BG97)*(1+$BH97))*(1+$AL97)*$BM97*$P97*(1+IF(VLOOKUP($Q97,武学奇术!$A:$ZZ,30,FALSE)="蓄力技",#REF!,0))*(1+$BQ97)</f>
        <v>0</v>
      </c>
      <c r="N97" s="38">
        <f>((($AN97+$AO97)/2*$AH97+$AI97)*(1+$AP97)*(1+$AQ97)+(($AS97+$AT97)/2*IF($G$1="鸣金",$AJ97,$AH97)+IF($G$1="鸣金",$AK97*1.5,0))*(1+$AU97)*(1+$AV97)+(($AW97+$AX97)/2*IF($G$1="裂石",$AJ97,$AH97)+IF($G$1="裂石",$AK97*1.5,0))*(1+$AY97)*(1+$AZ97)+(($BA97+$BB97)/2*IF($G$1="牵丝",$AJ97,$AH97)+IF($G$1="牵丝",$AK97*1.5,0))*(1+$BC97)*(1+$BD97)+(($BE97+$BF97)/2*IF($G$1="破竹",$AJ97,$AH97)+IF($G$1="破竹",$AK97*1.5,0))*(1+$BG97)*(1+$BH97))*(1+$AL97)*$P97*(1+IF(VLOOKUP($Q97,武学奇术!$A:$ZZ,30,FALSE)="蓄力技",#REF!,0))*(1+$BQ97)</f>
        <v>0</v>
      </c>
      <c r="O97" s="38">
        <f>((($AN97*$AH97+$AI97)*(1+$AP97)*(1+$AQ97)+($AS97*IF($G$1="鸣金",$AJ97,$AH97)+IF($G$1="鸣金",$AK97*1.5,0))*(1+$AU97)*(1+$AV97)+($AW97*IF($G$1="裂石",$AJ97,$AH97)+IF($G$1="裂石",$AK97*1.5,0))*(1+$AY97)*(1+$AZ97)+($BA97*IF($G$1="牵丝",$AJ97,$AH97)+IF($G$1="牵丝",$AK97*1.5,0))*(1+$BC97)*(1+$BD97)+($BE97*IF($G$1="破竹",$AJ97,$AH97)+IF($G$1="破竹",$AK97*1.5,0))*(1+$BG97)*(1+$BH97))*(1+$AL97))*$P97*(1+IF(VLOOKUP($Q97,武学奇术!$A:$ZZ,30,FALSE)="蓄力技",#REF!,0))*(1+$BQ97)</f>
        <v>0</v>
      </c>
      <c r="P97" s="39">
        <v>1</v>
      </c>
      <c r="Q97" s="40" t="s">
        <v>76</v>
      </c>
      <c r="R97" s="40" t="s">
        <v>76</v>
      </c>
      <c r="S97" s="40" t="s">
        <v>76</v>
      </c>
      <c r="T97" s="40" t="s">
        <v>76</v>
      </c>
      <c r="U97" s="40" t="s">
        <v>76</v>
      </c>
      <c r="V97" s="40" t="s">
        <v>76</v>
      </c>
      <c r="W97" s="40" t="s">
        <v>76</v>
      </c>
      <c r="X97" s="40" t="s">
        <v>76</v>
      </c>
      <c r="Y97" s="40" t="s">
        <v>76</v>
      </c>
      <c r="Z97" s="40" t="s">
        <v>76</v>
      </c>
      <c r="AA97" s="40" t="s">
        <v>76</v>
      </c>
      <c r="AB97" s="40" t="s">
        <v>76</v>
      </c>
      <c r="AC97" s="40" t="s">
        <v>76</v>
      </c>
      <c r="AD97" s="40" t="s">
        <v>76</v>
      </c>
      <c r="AE97" s="40" t="s">
        <v>76</v>
      </c>
      <c r="AF97" s="40" t="s">
        <v>76</v>
      </c>
      <c r="AG97" t="str">
        <f>VLOOKUP($Q97,武学奇术!$A:$ZZ,25,FALSE)</f>
        <v>心法</v>
      </c>
      <c r="AH97" s="26">
        <f>VLOOKUP($Q97,武学奇术!$A:$ZZ,26,FALSE)</f>
        <v>0</v>
      </c>
      <c r="AI97" s="27">
        <f>VLOOKUP($Q97,武学奇术!$A:$ZZ,27,FALSE)*(1+IF(OR($AG97=$F$4,$AG97=$F$5),$B$21,0))</f>
        <v>0</v>
      </c>
      <c r="AJ97" s="26">
        <f>VLOOKUP($Q97,武学奇术!$A:$ZZ,28,FALSE)</f>
        <v>0</v>
      </c>
      <c r="AK97" s="27">
        <f>VLOOKUP($Q97,武学奇术!$A:$ZZ,29,FALSE)*(1+IF(OR($AG97=$F$4,$AG97=$F$5),$B$21,0))</f>
        <v>0</v>
      </c>
      <c r="AL97" s="26" cm="1">
        <f t="array" ref="AL97">$G$3+IFERROR(VLOOKUP($AG97,$F$4:$G$7,2,FALSE),0)+VLOOKUP($Q97,武学奇术!$A:$ZZ,2,FALSE)+SUM(_xlfn.XLOOKUP($R97:$AF97,增益!$A:$A,增益!$B:$B,0))</f>
        <v>0.1842</v>
      </c>
      <c r="AM97" s="26" cm="1">
        <f t="array" ref="AM97">VLOOKUP($Q97,武学奇术!$A:$ZZ,5,FALSE)+SUM(_xlfn.XLOOKUP($R97:$AF97,增益!$A:$A,增益!$E:$E,0))</f>
        <v>0</v>
      </c>
      <c r="AN97" cm="1">
        <f t="array" ref="AN97">$D$10*(1+$AM97)+VLOOKUP($Q97,武学奇术!$A:$ZZ,3,FALSE)+SUM(_xlfn.XLOOKUP($R97:$AF97,增益!$A:$A,增益!$C:$C,0))-$I$2</f>
        <v>3940</v>
      </c>
      <c r="AO97" cm="1">
        <f t="array" ref="AO97">$E$10*(1+$AM97)+VLOOKUP($Q97,武学奇术!$A:$ZZ,4,FALSE)+SUM(_xlfn.XLOOKUP($R97:$AF97,增益!$A:$A,增益!$D:$D,0))-$I$2</f>
        <v>3940</v>
      </c>
      <c r="AP97" s="32" cm="1">
        <f t="array" ref="AP97">IF($F$10-$I$3+VLOOKUP($Q97,武学奇术!$A:$ZZ,6,FALSE)+SUM(_xlfn.XLOOKUP(R97:AF97,增益!$A:$A,增益!$F:$F,0))&gt;0,($F$10-$I$3+VLOOKUP($Q97,武学奇术!$A:$ZZ,6,FALSE)+SUM(_xlfn.XLOOKUP(R97:AF97,增益!$A:$A,增益!$F:$F,0)))/200,($F$10-$I$3+VLOOKUP($Q97,武学奇术!$A:$ZZ,6,FALSE)+SUM(_xlfn.XLOOKUP(R97:AF97,增益!$A:$A,增益!$F:$F,0)))/100)</f>
        <v>0.194</v>
      </c>
      <c r="AQ97" s="32" cm="1">
        <f t="array" ref="AQ97">$G$10+VLOOKUP($Q97,武学奇术!$A:$ZZ,7,FALSE)+SUM(_xlfn.XLOOKUP(R97:AF97,增益!$A:$A,增益!$G:$G,0))</f>
        <v>0</v>
      </c>
      <c r="AR97" s="26" cm="1">
        <f t="array" ref="AR97">VLOOKUP($Q97,武学奇术!$A:$ZZ,8,FALSE)+SUM(_xlfn.XLOOKUP(R97:AF97,增益!$A:$A,增益!$H:$H,0))</f>
        <v>0</v>
      </c>
      <c r="AS97">
        <f t="shared" si="12"/>
        <v>0</v>
      </c>
      <c r="AT97">
        <f t="shared" si="13"/>
        <v>0</v>
      </c>
      <c r="AU97" s="32" cm="1">
        <f t="array" ref="AU97">IF($F$11-$I$4+VLOOKUP($Q97,武学奇术!$A:$ZZ,9,FALSE)+SUM(_xlfn.XLOOKUP(R97:AF97,增益!$A:$A,增益!$I:$I,0))&gt;0,($F$11-$I$4+VLOOKUP($Q97,武学奇术!$A:$ZZ,9,FALSE)+SUM(_xlfn.XLOOKUP(R97:AF97,增益!$A:$A,增益!$I:$I,0)))/200,($F$11-$I$4+VLOOKUP($Q97,武学奇术!$A:$ZZ,9,FALSE)+SUM(_xlfn.XLOOKUP(R97:AF97,增益!$A:$A,增益!$I:$I,0)))/100)</f>
        <v>-0.3</v>
      </c>
      <c r="AV97" s="32" cm="1">
        <f t="array" ref="AV97">$G$11+VLOOKUP($Q97,武学奇术!$A:$ZZ,10,FALSE)+SUM(_xlfn.XLOOKUP(R97:AF97,增益!$A:$A,增益!$J:$J,0))</f>
        <v>0</v>
      </c>
      <c r="AW97">
        <f t="shared" si="14"/>
        <v>0</v>
      </c>
      <c r="AX97">
        <f t="shared" si="15"/>
        <v>0</v>
      </c>
      <c r="AY97" s="32" cm="1">
        <f t="array" ref="AY97">IF($F$12-$I$4+VLOOKUP($Q97,武学奇术!$A:$ZZ,11,FALSE)+SUM(_xlfn.XLOOKUP(R97:AF97,增益!$A:$A,增益!$K:$K,0))&gt;0,($F$12-$I$4+VLOOKUP($Q97,武学奇术!$A:$ZZ,11,FALSE)+SUM(_xlfn.XLOOKUP(R97:AF97,增益!$A:$A,增益!$K:$K,0)))/200,($F$12-$I$4+VLOOKUP($Q97,武学奇术!$A:$ZZ,11,FALSE)+SUM(_xlfn.XLOOKUP(R97:AF97,增益!$A:$A,增益!$K:$K,0)))/100)</f>
        <v>-0.3</v>
      </c>
      <c r="AZ97" s="32" cm="1">
        <f t="array" ref="AZ97">$G$12+VLOOKUP($Q97,武学奇术!$A:$ZZ,12,FALSE)+SUM(_xlfn.XLOOKUP(R97:AF97,增益!$A:$A,增益!$L:$L,0))</f>
        <v>0</v>
      </c>
      <c r="BA97">
        <f t="shared" si="16"/>
        <v>697.4</v>
      </c>
      <c r="BB97">
        <f t="shared" si="17"/>
        <v>1805</v>
      </c>
      <c r="BC97" s="32" cm="1">
        <f t="array" ref="BC97">IF($F$13-$I$4+VLOOKUP($Q97,武学奇术!$A:$ZZ,13,FALSE)+SUM(_xlfn.XLOOKUP(R97:AF97,增益!$A:$A,增益!$M:$M,0))&gt;0,($F$13-$I$4+VLOOKUP($Q97,武学奇术!$A:$ZZ,13,FALSE)+SUM(_xlfn.XLOOKUP(R97:AF97,增益!$A:$A,增益!$K:$K,0)))/200,($F$13-$I$4+VLOOKUP($Q97,武学奇术!$A:$ZZ,13,FALSE)+SUM(_xlfn.XLOOKUP(R97:AF97,增益!$A:$A,增益!$M:$M,0)))/100)</f>
        <v>0</v>
      </c>
      <c r="BD97" s="32" cm="1">
        <f t="array" ref="BD97">$G$13+VLOOKUP($Q97,武学奇术!$A:$ZZ,14,FALSE)+SUM(_xlfn.XLOOKUP(R97:AF97,增益!$A:$A,增益!$N:$N,0))</f>
        <v>0.15</v>
      </c>
      <c r="BE97">
        <f t="shared" si="18"/>
        <v>0</v>
      </c>
      <c r="BF97">
        <f t="shared" si="19"/>
        <v>0</v>
      </c>
      <c r="BG97" s="32" cm="1">
        <f t="array" ref="BG97">IF($F$14-$I$4+VLOOKUP($Q97,武学奇术!$A:$ZZ,15,FALSE)+SUM(_xlfn.XLOOKUP(R97:AF97,增益!$A:$A,增益!$O:$O,0))&gt;0,($F$14-$I$4+VLOOKUP($Q97,武学奇术!$A:$ZZ,15,FALSE)+SUM(_xlfn.XLOOKUP(R97:AF97,增益!$A:$A,增益!$O:$O,0)))/200,($F$14-$I$4+VLOOKUP($Q97,武学奇术!$A:$ZZ,15,FALSE)+SUM(_xlfn.XLOOKUP(R97:AF97,增益!$A:$A,增益!$O:$O,0)))/100)</f>
        <v>-0.3</v>
      </c>
      <c r="BH97" s="32" cm="1">
        <f t="array" ref="BH97">$G$14+VLOOKUP($Q97,武学奇术!$A:$ZZ,16,FALSE)+SUM(_xlfn.XLOOKUP(R97:AF97,增益!$A:$A,增益!$P:$P,0))</f>
        <v>0</v>
      </c>
      <c r="BI97" s="26">
        <f>MIN(IF(VLOOKUP($Q97,武学奇术!$A:$ZZ,23,FALSE)=1,100%,$B$8),100%)</f>
        <v>1</v>
      </c>
      <c r="BJ97" s="26" cm="1">
        <f t="array" ref="BJ97">IF(VLOOKUP($Q97,武学奇术!$A:$ZZ,23,FALSE)=1,100%,MIN(80%,$B$9+VLOOKUP($Q97,武学奇术!$A:$ZZ,17,FALSE)+SUM(_xlfn.XLOOKUP(R97:AF97,增益!$A:$A,增益!$Q:$Q,0)))+$B$11+SUM(_xlfn.XLOOKUP(R97:AF97,增益!$A:$A,增益!$U:$U,0)))*IF(VLOOKUP($Q97,武学奇术!$A:$ZZ,24,FALSE)=1,0,1)</f>
        <v>0.8625</v>
      </c>
      <c r="BK97" s="26" cm="1">
        <f t="array" ref="BK97">1+$B$13+VLOOKUP($Q97,武学奇术!$A:$ZZ,18,FALSE)+SUM(_xlfn.XLOOKUP(R97:AF97,增益!$A:$A,增益!$R:$R,0))</f>
        <v>1.5</v>
      </c>
      <c r="BL97" s="26" cm="1">
        <f t="array" ref="BL97">IF(VLOOKUP($Q97,武学奇术!$A:$ZZ,24,FALSE)=1,100%,MIN(40%,$B$10+VLOOKUP($Q97,武学奇术!$A:$ZZ,19,FALSE)+SUM(_xlfn.XLOOKUP(R97:AF97,增益!$A:$A,增益!$S:$S,0)))+$B$12+SUM(_xlfn.XLOOKUP(R97:AF97,增益!$A:$A,增益!$V:$V,0)))*IF(VLOOKUP($Q97,武学奇术!$A:$ZZ,23,FALSE)=1,0,1)</f>
        <v>0.0913</v>
      </c>
      <c r="BM97" s="26" cm="1">
        <f t="array" ref="BM97">1+$B$14+VLOOKUP($Q97,武学奇术!$A:$ZZ,20,FALSE)+SUM(_xlfn.XLOOKUP(R97:AF97,增益!$A:$A,增益!$T:$T,0))</f>
        <v>1.35</v>
      </c>
      <c r="BN97" s="26">
        <f t="shared" si="20"/>
        <v>0.8625</v>
      </c>
      <c r="BO97" s="26">
        <f t="shared" si="21"/>
        <v>0.0462</v>
      </c>
      <c r="BP97" s="26">
        <f>IF(VLOOKUP($Q97,武学奇术!$A:$ZZ,22,FALSE)=1,0,(1-$BI97))*(1-$BL97)</f>
        <v>0</v>
      </c>
      <c r="BQ97" s="26" cm="1">
        <f t="array" ref="BQ97">SUM(_xlfn.XLOOKUP(R97:AF97,增益!$A:$A,增益!$W:$W,0))+$I$5</f>
        <v>0.06</v>
      </c>
    </row>
    <row r="98" spans="11:69">
      <c r="K98" s="38">
        <f t="shared" si="11"/>
        <v>0</v>
      </c>
      <c r="L98" s="38">
        <f>((($AN98+$AO98)/2*$AH98+$AI98)*(1+$AP98)*(1+$AQ98)+(($AS98+$AT98)/2*IF($G$1="鸣金",$AJ98,$AH98)+IF($G$1="鸣金",$AK98*1.5,0))*(1+$AU98)*(1+$AV98)+(($AW98+$AX98)/2*IF($G$1="裂石",$AJ98,$AH98)+IF($G$1="裂石",$AK98*1.5,0))*(1+$AY98)*(1+$AZ98)+(($BA98+$BB98)/2*IF($G$1="牵丝",$AJ98,$AH98)+IF($G$1="牵丝",$AK98*1.5,0))*(1+$BC98)*(1+$BD98)+(($BE98+$BF98)/2*IF($G$1="破竹",$AJ98,$AH98)+IF($G$1="破竹",$AK98*1.5,0))*(1+$BG98)*(1+$BH98))*(1+$AL98)*$BK98*$P98*(1+IF(VLOOKUP($Q98,武学奇术!$A:$ZZ,30,FALSE)="蓄力技",#REF!,0))*(1+$BQ98)</f>
        <v>0</v>
      </c>
      <c r="M98" s="38">
        <f>(($AO98*$AH98+$AI98)*(1+$AP98)*(1+$AQ98)+($AT98*IF($G$1="鸣金",$AJ98,$AH98)+IF($G$1="鸣金",$AK98*1.5,0))*(1+$AU98)*(1+$AV98)+($AX98*IF($G$1="裂石",$AJ98,$AH98)+IF($G$1="裂石",$AK98*1.5,0))*(1+$AY98)*(1+$AZ98)+($BB98*IF($G$1="牵丝",$AJ98,$AH98)+IF($G$1="牵丝",$AK98*1.5,0))*(1+$BC98)*(1+$BD98)+($BF98*IF($G$1="破竹",$AJ98,$AH98)+IF($G$1="破竹",$AK98*1.5,0))*(1+$BG98)*(1+$BH98))*(1+$AL98)*$BM98*$P98*(1+IF(VLOOKUP($Q98,武学奇术!$A:$ZZ,30,FALSE)="蓄力技",#REF!,0))*(1+$BQ98)</f>
        <v>0</v>
      </c>
      <c r="N98" s="38">
        <f>((($AN98+$AO98)/2*$AH98+$AI98)*(1+$AP98)*(1+$AQ98)+(($AS98+$AT98)/2*IF($G$1="鸣金",$AJ98,$AH98)+IF($G$1="鸣金",$AK98*1.5,0))*(1+$AU98)*(1+$AV98)+(($AW98+$AX98)/2*IF($G$1="裂石",$AJ98,$AH98)+IF($G$1="裂石",$AK98*1.5,0))*(1+$AY98)*(1+$AZ98)+(($BA98+$BB98)/2*IF($G$1="牵丝",$AJ98,$AH98)+IF($G$1="牵丝",$AK98*1.5,0))*(1+$BC98)*(1+$BD98)+(($BE98+$BF98)/2*IF($G$1="破竹",$AJ98,$AH98)+IF($G$1="破竹",$AK98*1.5,0))*(1+$BG98)*(1+$BH98))*(1+$AL98)*$P98*(1+IF(VLOOKUP($Q98,武学奇术!$A:$ZZ,30,FALSE)="蓄力技",#REF!,0))*(1+$BQ98)</f>
        <v>0</v>
      </c>
      <c r="O98" s="38">
        <f>((($AN98*$AH98+$AI98)*(1+$AP98)*(1+$AQ98)+($AS98*IF($G$1="鸣金",$AJ98,$AH98)+IF($G$1="鸣金",$AK98*1.5,0))*(1+$AU98)*(1+$AV98)+($AW98*IF($G$1="裂石",$AJ98,$AH98)+IF($G$1="裂石",$AK98*1.5,0))*(1+$AY98)*(1+$AZ98)+($BA98*IF($G$1="牵丝",$AJ98,$AH98)+IF($G$1="牵丝",$AK98*1.5,0))*(1+$BC98)*(1+$BD98)+($BE98*IF($G$1="破竹",$AJ98,$AH98)+IF($G$1="破竹",$AK98*1.5,0))*(1+$BG98)*(1+$BH98))*(1+$AL98))*$P98*(1+IF(VLOOKUP($Q98,武学奇术!$A:$ZZ,30,FALSE)="蓄力技",#REF!,0))*(1+$BQ98)</f>
        <v>0</v>
      </c>
      <c r="P98" s="39">
        <v>1</v>
      </c>
      <c r="Q98" s="40" t="s">
        <v>76</v>
      </c>
      <c r="R98" s="40" t="s">
        <v>76</v>
      </c>
      <c r="S98" s="40" t="s">
        <v>76</v>
      </c>
      <c r="T98" s="40" t="s">
        <v>76</v>
      </c>
      <c r="U98" s="40" t="s">
        <v>76</v>
      </c>
      <c r="V98" s="40" t="s">
        <v>76</v>
      </c>
      <c r="W98" s="40" t="s">
        <v>76</v>
      </c>
      <c r="X98" s="40" t="s">
        <v>76</v>
      </c>
      <c r="Y98" s="40" t="s">
        <v>76</v>
      </c>
      <c r="Z98" s="40" t="s">
        <v>76</v>
      </c>
      <c r="AA98" s="40" t="s">
        <v>76</v>
      </c>
      <c r="AB98" s="40" t="s">
        <v>76</v>
      </c>
      <c r="AC98" s="40" t="s">
        <v>76</v>
      </c>
      <c r="AD98" s="40" t="s">
        <v>76</v>
      </c>
      <c r="AE98" s="40" t="s">
        <v>76</v>
      </c>
      <c r="AF98" s="40" t="s">
        <v>76</v>
      </c>
      <c r="AG98" t="str">
        <f>VLOOKUP($Q98,武学奇术!$A:$ZZ,25,FALSE)</f>
        <v>心法</v>
      </c>
      <c r="AH98" s="26">
        <f>VLOOKUP($Q98,武学奇术!$A:$ZZ,26,FALSE)</f>
        <v>0</v>
      </c>
      <c r="AI98" s="27">
        <f>VLOOKUP($Q98,武学奇术!$A:$ZZ,27,FALSE)*(1+IF(OR($AG98=$F$4,$AG98=$F$5),$B$21,0))</f>
        <v>0</v>
      </c>
      <c r="AJ98" s="26">
        <f>VLOOKUP($Q98,武学奇术!$A:$ZZ,28,FALSE)</f>
        <v>0</v>
      </c>
      <c r="AK98" s="27">
        <f>VLOOKUP($Q98,武学奇术!$A:$ZZ,29,FALSE)*(1+IF(OR($AG98=$F$4,$AG98=$F$5),$B$21,0))</f>
        <v>0</v>
      </c>
      <c r="AL98" s="26" cm="1">
        <f t="array" ref="AL98">$G$3+IFERROR(VLOOKUP($AG98,$F$4:$G$7,2,FALSE),0)+VLOOKUP($Q98,武学奇术!$A:$ZZ,2,FALSE)+SUM(_xlfn.XLOOKUP($R98:$AF98,增益!$A:$A,增益!$B:$B,0))</f>
        <v>0.1842</v>
      </c>
      <c r="AM98" s="26" cm="1">
        <f t="array" ref="AM98">VLOOKUP($Q98,武学奇术!$A:$ZZ,5,FALSE)+SUM(_xlfn.XLOOKUP($R98:$AF98,增益!$A:$A,增益!$E:$E,0))</f>
        <v>0</v>
      </c>
      <c r="AN98" cm="1">
        <f t="array" ref="AN98">$D$10*(1+$AM98)+VLOOKUP($Q98,武学奇术!$A:$ZZ,3,FALSE)+SUM(_xlfn.XLOOKUP($R98:$AF98,增益!$A:$A,增益!$C:$C,0))-$I$2</f>
        <v>3940</v>
      </c>
      <c r="AO98" cm="1">
        <f t="array" ref="AO98">$E$10*(1+$AM98)+VLOOKUP($Q98,武学奇术!$A:$ZZ,4,FALSE)+SUM(_xlfn.XLOOKUP($R98:$AF98,增益!$A:$A,增益!$D:$D,0))-$I$2</f>
        <v>3940</v>
      </c>
      <c r="AP98" s="32" cm="1">
        <f t="array" ref="AP98">IF($F$10-$I$3+VLOOKUP($Q98,武学奇术!$A:$ZZ,6,FALSE)+SUM(_xlfn.XLOOKUP(R98:AF98,增益!$A:$A,增益!$F:$F,0))&gt;0,($F$10-$I$3+VLOOKUP($Q98,武学奇术!$A:$ZZ,6,FALSE)+SUM(_xlfn.XLOOKUP(R98:AF98,增益!$A:$A,增益!$F:$F,0)))/200,($F$10-$I$3+VLOOKUP($Q98,武学奇术!$A:$ZZ,6,FALSE)+SUM(_xlfn.XLOOKUP(R98:AF98,增益!$A:$A,增益!$F:$F,0)))/100)</f>
        <v>0.194</v>
      </c>
      <c r="AQ98" s="32" cm="1">
        <f t="array" ref="AQ98">$G$10+VLOOKUP($Q98,武学奇术!$A:$ZZ,7,FALSE)+SUM(_xlfn.XLOOKUP(R98:AF98,增益!$A:$A,增益!$G:$G,0))</f>
        <v>0</v>
      </c>
      <c r="AR98" s="26" cm="1">
        <f t="array" ref="AR98">VLOOKUP($Q98,武学奇术!$A:$ZZ,8,FALSE)+SUM(_xlfn.XLOOKUP(R98:AF98,增益!$A:$A,增益!$H:$H,0))</f>
        <v>0</v>
      </c>
      <c r="AS98">
        <f t="shared" si="12"/>
        <v>0</v>
      </c>
      <c r="AT98">
        <f t="shared" si="13"/>
        <v>0</v>
      </c>
      <c r="AU98" s="32" cm="1">
        <f t="array" ref="AU98">IF($F$11-$I$4+VLOOKUP($Q98,武学奇术!$A:$ZZ,9,FALSE)+SUM(_xlfn.XLOOKUP(R98:AF98,增益!$A:$A,增益!$I:$I,0))&gt;0,($F$11-$I$4+VLOOKUP($Q98,武学奇术!$A:$ZZ,9,FALSE)+SUM(_xlfn.XLOOKUP(R98:AF98,增益!$A:$A,增益!$I:$I,0)))/200,($F$11-$I$4+VLOOKUP($Q98,武学奇术!$A:$ZZ,9,FALSE)+SUM(_xlfn.XLOOKUP(R98:AF98,增益!$A:$A,增益!$I:$I,0)))/100)</f>
        <v>-0.3</v>
      </c>
      <c r="AV98" s="32" cm="1">
        <f t="array" ref="AV98">$G$11+VLOOKUP($Q98,武学奇术!$A:$ZZ,10,FALSE)+SUM(_xlfn.XLOOKUP(R98:AF98,增益!$A:$A,增益!$J:$J,0))</f>
        <v>0</v>
      </c>
      <c r="AW98">
        <f t="shared" si="14"/>
        <v>0</v>
      </c>
      <c r="AX98">
        <f t="shared" si="15"/>
        <v>0</v>
      </c>
      <c r="AY98" s="32" cm="1">
        <f t="array" ref="AY98">IF($F$12-$I$4+VLOOKUP($Q98,武学奇术!$A:$ZZ,11,FALSE)+SUM(_xlfn.XLOOKUP(R98:AF98,增益!$A:$A,增益!$K:$K,0))&gt;0,($F$12-$I$4+VLOOKUP($Q98,武学奇术!$A:$ZZ,11,FALSE)+SUM(_xlfn.XLOOKUP(R98:AF98,增益!$A:$A,增益!$K:$K,0)))/200,($F$12-$I$4+VLOOKUP($Q98,武学奇术!$A:$ZZ,11,FALSE)+SUM(_xlfn.XLOOKUP(R98:AF98,增益!$A:$A,增益!$K:$K,0)))/100)</f>
        <v>-0.3</v>
      </c>
      <c r="AZ98" s="32" cm="1">
        <f t="array" ref="AZ98">$G$12+VLOOKUP($Q98,武学奇术!$A:$ZZ,12,FALSE)+SUM(_xlfn.XLOOKUP(R98:AF98,增益!$A:$A,增益!$L:$L,0))</f>
        <v>0</v>
      </c>
      <c r="BA98">
        <f t="shared" si="16"/>
        <v>697.4</v>
      </c>
      <c r="BB98">
        <f t="shared" si="17"/>
        <v>1805</v>
      </c>
      <c r="BC98" s="32" cm="1">
        <f t="array" ref="BC98">IF($F$13-$I$4+VLOOKUP($Q98,武学奇术!$A:$ZZ,13,FALSE)+SUM(_xlfn.XLOOKUP(R98:AF98,增益!$A:$A,增益!$M:$M,0))&gt;0,($F$13-$I$4+VLOOKUP($Q98,武学奇术!$A:$ZZ,13,FALSE)+SUM(_xlfn.XLOOKUP(R98:AF98,增益!$A:$A,增益!$K:$K,0)))/200,($F$13-$I$4+VLOOKUP($Q98,武学奇术!$A:$ZZ,13,FALSE)+SUM(_xlfn.XLOOKUP(R98:AF98,增益!$A:$A,增益!$M:$M,0)))/100)</f>
        <v>0</v>
      </c>
      <c r="BD98" s="32" cm="1">
        <f t="array" ref="BD98">$G$13+VLOOKUP($Q98,武学奇术!$A:$ZZ,14,FALSE)+SUM(_xlfn.XLOOKUP(R98:AF98,增益!$A:$A,增益!$N:$N,0))</f>
        <v>0.15</v>
      </c>
      <c r="BE98">
        <f t="shared" si="18"/>
        <v>0</v>
      </c>
      <c r="BF98">
        <f t="shared" si="19"/>
        <v>0</v>
      </c>
      <c r="BG98" s="32" cm="1">
        <f t="array" ref="BG98">IF($F$14-$I$4+VLOOKUP($Q98,武学奇术!$A:$ZZ,15,FALSE)+SUM(_xlfn.XLOOKUP(R98:AF98,增益!$A:$A,增益!$O:$O,0))&gt;0,($F$14-$I$4+VLOOKUP($Q98,武学奇术!$A:$ZZ,15,FALSE)+SUM(_xlfn.XLOOKUP(R98:AF98,增益!$A:$A,增益!$O:$O,0)))/200,($F$14-$I$4+VLOOKUP($Q98,武学奇术!$A:$ZZ,15,FALSE)+SUM(_xlfn.XLOOKUP(R98:AF98,增益!$A:$A,增益!$O:$O,0)))/100)</f>
        <v>-0.3</v>
      </c>
      <c r="BH98" s="32" cm="1">
        <f t="array" ref="BH98">$G$14+VLOOKUP($Q98,武学奇术!$A:$ZZ,16,FALSE)+SUM(_xlfn.XLOOKUP(R98:AF98,增益!$A:$A,增益!$P:$P,0))</f>
        <v>0</v>
      </c>
      <c r="BI98" s="26">
        <f>MIN(IF(VLOOKUP($Q98,武学奇术!$A:$ZZ,23,FALSE)=1,100%,$B$8),100%)</f>
        <v>1</v>
      </c>
      <c r="BJ98" s="26" cm="1">
        <f t="array" ref="BJ98">IF(VLOOKUP($Q98,武学奇术!$A:$ZZ,23,FALSE)=1,100%,MIN(80%,$B$9+VLOOKUP($Q98,武学奇术!$A:$ZZ,17,FALSE)+SUM(_xlfn.XLOOKUP(R98:AF98,增益!$A:$A,增益!$Q:$Q,0)))+$B$11+SUM(_xlfn.XLOOKUP(R98:AF98,增益!$A:$A,增益!$U:$U,0)))*IF(VLOOKUP($Q98,武学奇术!$A:$ZZ,24,FALSE)=1,0,1)</f>
        <v>0.8625</v>
      </c>
      <c r="BK98" s="26" cm="1">
        <f t="array" ref="BK98">1+$B$13+VLOOKUP($Q98,武学奇术!$A:$ZZ,18,FALSE)+SUM(_xlfn.XLOOKUP(R98:AF98,增益!$A:$A,增益!$R:$R,0))</f>
        <v>1.5</v>
      </c>
      <c r="BL98" s="26" cm="1">
        <f t="array" ref="BL98">IF(VLOOKUP($Q98,武学奇术!$A:$ZZ,24,FALSE)=1,100%,MIN(40%,$B$10+VLOOKUP($Q98,武学奇术!$A:$ZZ,19,FALSE)+SUM(_xlfn.XLOOKUP(R98:AF98,增益!$A:$A,增益!$S:$S,0)))+$B$12+SUM(_xlfn.XLOOKUP(R98:AF98,增益!$A:$A,增益!$V:$V,0)))*IF(VLOOKUP($Q98,武学奇术!$A:$ZZ,23,FALSE)=1,0,1)</f>
        <v>0.0913</v>
      </c>
      <c r="BM98" s="26" cm="1">
        <f t="array" ref="BM98">1+$B$14+VLOOKUP($Q98,武学奇术!$A:$ZZ,20,FALSE)+SUM(_xlfn.XLOOKUP(R98:AF98,增益!$A:$A,增益!$T:$T,0))</f>
        <v>1.35</v>
      </c>
      <c r="BN98" s="26">
        <f t="shared" si="20"/>
        <v>0.8625</v>
      </c>
      <c r="BO98" s="26">
        <f t="shared" si="21"/>
        <v>0.0462</v>
      </c>
      <c r="BP98" s="26">
        <f>IF(VLOOKUP($Q98,武学奇术!$A:$ZZ,22,FALSE)=1,0,(1-$BI98))*(1-$BL98)</f>
        <v>0</v>
      </c>
      <c r="BQ98" s="26" cm="1">
        <f t="array" ref="BQ98">SUM(_xlfn.XLOOKUP(R98:AF98,增益!$A:$A,增益!$W:$W,0))+$I$5</f>
        <v>0.06</v>
      </c>
    </row>
    <row r="99" spans="11:69">
      <c r="K99" s="38">
        <f t="shared" si="11"/>
        <v>0</v>
      </c>
      <c r="L99" s="38">
        <f>((($AN99+$AO99)/2*$AH99+$AI99)*(1+$AP99)*(1+$AQ99)+(($AS99+$AT99)/2*IF($G$1="鸣金",$AJ99,$AH99)+IF($G$1="鸣金",$AK99*1.5,0))*(1+$AU99)*(1+$AV99)+(($AW99+$AX99)/2*IF($G$1="裂石",$AJ99,$AH99)+IF($G$1="裂石",$AK99*1.5,0))*(1+$AY99)*(1+$AZ99)+(($BA99+$BB99)/2*IF($G$1="牵丝",$AJ99,$AH99)+IF($G$1="牵丝",$AK99*1.5,0))*(1+$BC99)*(1+$BD99)+(($BE99+$BF99)/2*IF($G$1="破竹",$AJ99,$AH99)+IF($G$1="破竹",$AK99*1.5,0))*(1+$BG99)*(1+$BH99))*(1+$AL99)*$BK99*$P99*(1+IF(VLOOKUP($Q99,武学奇术!$A:$ZZ,30,FALSE)="蓄力技",#REF!,0))*(1+$BQ99)</f>
        <v>0</v>
      </c>
      <c r="M99" s="38">
        <f>(($AO99*$AH99+$AI99)*(1+$AP99)*(1+$AQ99)+($AT99*IF($G$1="鸣金",$AJ99,$AH99)+IF($G$1="鸣金",$AK99*1.5,0))*(1+$AU99)*(1+$AV99)+($AX99*IF($G$1="裂石",$AJ99,$AH99)+IF($G$1="裂石",$AK99*1.5,0))*(1+$AY99)*(1+$AZ99)+($BB99*IF($G$1="牵丝",$AJ99,$AH99)+IF($G$1="牵丝",$AK99*1.5,0))*(1+$BC99)*(1+$BD99)+($BF99*IF($G$1="破竹",$AJ99,$AH99)+IF($G$1="破竹",$AK99*1.5,0))*(1+$BG99)*(1+$BH99))*(1+$AL99)*$BM99*$P99*(1+IF(VLOOKUP($Q99,武学奇术!$A:$ZZ,30,FALSE)="蓄力技",#REF!,0))*(1+$BQ99)</f>
        <v>0</v>
      </c>
      <c r="N99" s="38">
        <f>((($AN99+$AO99)/2*$AH99+$AI99)*(1+$AP99)*(1+$AQ99)+(($AS99+$AT99)/2*IF($G$1="鸣金",$AJ99,$AH99)+IF($G$1="鸣金",$AK99*1.5,0))*(1+$AU99)*(1+$AV99)+(($AW99+$AX99)/2*IF($G$1="裂石",$AJ99,$AH99)+IF($G$1="裂石",$AK99*1.5,0))*(1+$AY99)*(1+$AZ99)+(($BA99+$BB99)/2*IF($G$1="牵丝",$AJ99,$AH99)+IF($G$1="牵丝",$AK99*1.5,0))*(1+$BC99)*(1+$BD99)+(($BE99+$BF99)/2*IF($G$1="破竹",$AJ99,$AH99)+IF($G$1="破竹",$AK99*1.5,0))*(1+$BG99)*(1+$BH99))*(1+$AL99)*$P99*(1+IF(VLOOKUP($Q99,武学奇术!$A:$ZZ,30,FALSE)="蓄力技",#REF!,0))*(1+$BQ99)</f>
        <v>0</v>
      </c>
      <c r="O99" s="38">
        <f>((($AN99*$AH99+$AI99)*(1+$AP99)*(1+$AQ99)+($AS99*IF($G$1="鸣金",$AJ99,$AH99)+IF($G$1="鸣金",$AK99*1.5,0))*(1+$AU99)*(1+$AV99)+($AW99*IF($G$1="裂石",$AJ99,$AH99)+IF($G$1="裂石",$AK99*1.5,0))*(1+$AY99)*(1+$AZ99)+($BA99*IF($G$1="牵丝",$AJ99,$AH99)+IF($G$1="牵丝",$AK99*1.5,0))*(1+$BC99)*(1+$BD99)+($BE99*IF($G$1="破竹",$AJ99,$AH99)+IF($G$1="破竹",$AK99*1.5,0))*(1+$BG99)*(1+$BH99))*(1+$AL99))*$P99*(1+IF(VLOOKUP($Q99,武学奇术!$A:$ZZ,30,FALSE)="蓄力技",#REF!,0))*(1+$BQ99)</f>
        <v>0</v>
      </c>
      <c r="P99" s="39">
        <v>1</v>
      </c>
      <c r="Q99" s="40" t="s">
        <v>76</v>
      </c>
      <c r="R99" s="40" t="s">
        <v>76</v>
      </c>
      <c r="S99" s="40" t="s">
        <v>76</v>
      </c>
      <c r="T99" s="40" t="s">
        <v>76</v>
      </c>
      <c r="U99" s="40" t="s">
        <v>76</v>
      </c>
      <c r="V99" s="40" t="s">
        <v>76</v>
      </c>
      <c r="W99" s="40" t="s">
        <v>76</v>
      </c>
      <c r="X99" s="40" t="s">
        <v>76</v>
      </c>
      <c r="Y99" s="40" t="s">
        <v>76</v>
      </c>
      <c r="Z99" s="40" t="s">
        <v>76</v>
      </c>
      <c r="AA99" s="40" t="s">
        <v>76</v>
      </c>
      <c r="AB99" s="40" t="s">
        <v>76</v>
      </c>
      <c r="AC99" s="40" t="s">
        <v>76</v>
      </c>
      <c r="AD99" s="40" t="s">
        <v>76</v>
      </c>
      <c r="AE99" s="40" t="s">
        <v>76</v>
      </c>
      <c r="AF99" s="40" t="s">
        <v>76</v>
      </c>
      <c r="AG99" t="str">
        <f>VLOOKUP($Q99,武学奇术!$A:$ZZ,25,FALSE)</f>
        <v>心法</v>
      </c>
      <c r="AH99" s="26">
        <f>VLOOKUP($Q99,武学奇术!$A:$ZZ,26,FALSE)</f>
        <v>0</v>
      </c>
      <c r="AI99" s="27">
        <f>VLOOKUP($Q99,武学奇术!$A:$ZZ,27,FALSE)*(1+IF(OR($AG99=$F$4,$AG99=$F$5),$B$21,0))</f>
        <v>0</v>
      </c>
      <c r="AJ99" s="26">
        <f>VLOOKUP($Q99,武学奇术!$A:$ZZ,28,FALSE)</f>
        <v>0</v>
      </c>
      <c r="AK99" s="27">
        <f>VLOOKUP($Q99,武学奇术!$A:$ZZ,29,FALSE)*(1+IF(OR($AG99=$F$4,$AG99=$F$5),$B$21,0))</f>
        <v>0</v>
      </c>
      <c r="AL99" s="26" cm="1">
        <f t="array" ref="AL99">$G$3+IFERROR(VLOOKUP($AG99,$F$4:$G$7,2,FALSE),0)+VLOOKUP($Q99,武学奇术!$A:$ZZ,2,FALSE)+SUM(_xlfn.XLOOKUP($R99:$AF99,增益!$A:$A,增益!$B:$B,0))</f>
        <v>0.1842</v>
      </c>
      <c r="AM99" s="26" cm="1">
        <f t="array" ref="AM99">VLOOKUP($Q99,武学奇术!$A:$ZZ,5,FALSE)+SUM(_xlfn.XLOOKUP($R99:$AF99,增益!$A:$A,增益!$E:$E,0))</f>
        <v>0</v>
      </c>
      <c r="AN99" cm="1">
        <f t="array" ref="AN99">$D$10*(1+$AM99)+VLOOKUP($Q99,武学奇术!$A:$ZZ,3,FALSE)+SUM(_xlfn.XLOOKUP($R99:$AF99,增益!$A:$A,增益!$C:$C,0))-$I$2</f>
        <v>3940</v>
      </c>
      <c r="AO99" cm="1">
        <f t="array" ref="AO99">$E$10*(1+$AM99)+VLOOKUP($Q99,武学奇术!$A:$ZZ,4,FALSE)+SUM(_xlfn.XLOOKUP($R99:$AF99,增益!$A:$A,增益!$D:$D,0))-$I$2</f>
        <v>3940</v>
      </c>
      <c r="AP99" s="32" cm="1">
        <f t="array" ref="AP99">IF($F$10-$I$3+VLOOKUP($Q99,武学奇术!$A:$ZZ,6,FALSE)+SUM(_xlfn.XLOOKUP(R99:AF99,增益!$A:$A,增益!$F:$F,0))&gt;0,($F$10-$I$3+VLOOKUP($Q99,武学奇术!$A:$ZZ,6,FALSE)+SUM(_xlfn.XLOOKUP(R99:AF99,增益!$A:$A,增益!$F:$F,0)))/200,($F$10-$I$3+VLOOKUP($Q99,武学奇术!$A:$ZZ,6,FALSE)+SUM(_xlfn.XLOOKUP(R99:AF99,增益!$A:$A,增益!$F:$F,0)))/100)</f>
        <v>0.194</v>
      </c>
      <c r="AQ99" s="32" cm="1">
        <f t="array" ref="AQ99">$G$10+VLOOKUP($Q99,武学奇术!$A:$ZZ,7,FALSE)+SUM(_xlfn.XLOOKUP(R99:AF99,增益!$A:$A,增益!$G:$G,0))</f>
        <v>0</v>
      </c>
      <c r="AR99" s="26" cm="1">
        <f t="array" ref="AR99">VLOOKUP($Q99,武学奇术!$A:$ZZ,8,FALSE)+SUM(_xlfn.XLOOKUP(R99:AF99,增益!$A:$A,增益!$H:$H,0))</f>
        <v>0</v>
      </c>
      <c r="AS99">
        <f t="shared" si="12"/>
        <v>0</v>
      </c>
      <c r="AT99">
        <f t="shared" si="13"/>
        <v>0</v>
      </c>
      <c r="AU99" s="32" cm="1">
        <f t="array" ref="AU99">IF($F$11-$I$4+VLOOKUP($Q99,武学奇术!$A:$ZZ,9,FALSE)+SUM(_xlfn.XLOOKUP(R99:AF99,增益!$A:$A,增益!$I:$I,0))&gt;0,($F$11-$I$4+VLOOKUP($Q99,武学奇术!$A:$ZZ,9,FALSE)+SUM(_xlfn.XLOOKUP(R99:AF99,增益!$A:$A,增益!$I:$I,0)))/200,($F$11-$I$4+VLOOKUP($Q99,武学奇术!$A:$ZZ,9,FALSE)+SUM(_xlfn.XLOOKUP(R99:AF99,增益!$A:$A,增益!$I:$I,0)))/100)</f>
        <v>-0.3</v>
      </c>
      <c r="AV99" s="32" cm="1">
        <f t="array" ref="AV99">$G$11+VLOOKUP($Q99,武学奇术!$A:$ZZ,10,FALSE)+SUM(_xlfn.XLOOKUP(R99:AF99,增益!$A:$A,增益!$J:$J,0))</f>
        <v>0</v>
      </c>
      <c r="AW99">
        <f t="shared" si="14"/>
        <v>0</v>
      </c>
      <c r="AX99">
        <f t="shared" si="15"/>
        <v>0</v>
      </c>
      <c r="AY99" s="32" cm="1">
        <f t="array" ref="AY99">IF($F$12-$I$4+VLOOKUP($Q99,武学奇术!$A:$ZZ,11,FALSE)+SUM(_xlfn.XLOOKUP(R99:AF99,增益!$A:$A,增益!$K:$K,0))&gt;0,($F$12-$I$4+VLOOKUP($Q99,武学奇术!$A:$ZZ,11,FALSE)+SUM(_xlfn.XLOOKUP(R99:AF99,增益!$A:$A,增益!$K:$K,0)))/200,($F$12-$I$4+VLOOKUP($Q99,武学奇术!$A:$ZZ,11,FALSE)+SUM(_xlfn.XLOOKUP(R99:AF99,增益!$A:$A,增益!$K:$K,0)))/100)</f>
        <v>-0.3</v>
      </c>
      <c r="AZ99" s="32" cm="1">
        <f t="array" ref="AZ99">$G$12+VLOOKUP($Q99,武学奇术!$A:$ZZ,12,FALSE)+SUM(_xlfn.XLOOKUP(R99:AF99,增益!$A:$A,增益!$L:$L,0))</f>
        <v>0</v>
      </c>
      <c r="BA99">
        <f t="shared" si="16"/>
        <v>697.4</v>
      </c>
      <c r="BB99">
        <f t="shared" si="17"/>
        <v>1805</v>
      </c>
      <c r="BC99" s="32" cm="1">
        <f t="array" ref="BC99">IF($F$13-$I$4+VLOOKUP($Q99,武学奇术!$A:$ZZ,13,FALSE)+SUM(_xlfn.XLOOKUP(R99:AF99,增益!$A:$A,增益!$M:$M,0))&gt;0,($F$13-$I$4+VLOOKUP($Q99,武学奇术!$A:$ZZ,13,FALSE)+SUM(_xlfn.XLOOKUP(R99:AF99,增益!$A:$A,增益!$K:$K,0)))/200,($F$13-$I$4+VLOOKUP($Q99,武学奇术!$A:$ZZ,13,FALSE)+SUM(_xlfn.XLOOKUP(R99:AF99,增益!$A:$A,增益!$M:$M,0)))/100)</f>
        <v>0</v>
      </c>
      <c r="BD99" s="32" cm="1">
        <f t="array" ref="BD99">$G$13+VLOOKUP($Q99,武学奇术!$A:$ZZ,14,FALSE)+SUM(_xlfn.XLOOKUP(R99:AF99,增益!$A:$A,增益!$N:$N,0))</f>
        <v>0.15</v>
      </c>
      <c r="BE99">
        <f t="shared" si="18"/>
        <v>0</v>
      </c>
      <c r="BF99">
        <f t="shared" si="19"/>
        <v>0</v>
      </c>
      <c r="BG99" s="32" cm="1">
        <f t="array" ref="BG99">IF($F$14-$I$4+VLOOKUP($Q99,武学奇术!$A:$ZZ,15,FALSE)+SUM(_xlfn.XLOOKUP(R99:AF99,增益!$A:$A,增益!$O:$O,0))&gt;0,($F$14-$I$4+VLOOKUP($Q99,武学奇术!$A:$ZZ,15,FALSE)+SUM(_xlfn.XLOOKUP(R99:AF99,增益!$A:$A,增益!$O:$O,0)))/200,($F$14-$I$4+VLOOKUP($Q99,武学奇术!$A:$ZZ,15,FALSE)+SUM(_xlfn.XLOOKUP(R99:AF99,增益!$A:$A,增益!$O:$O,0)))/100)</f>
        <v>-0.3</v>
      </c>
      <c r="BH99" s="32" cm="1">
        <f t="array" ref="BH99">$G$14+VLOOKUP($Q99,武学奇术!$A:$ZZ,16,FALSE)+SUM(_xlfn.XLOOKUP(R99:AF99,增益!$A:$A,增益!$P:$P,0))</f>
        <v>0</v>
      </c>
      <c r="BI99" s="26">
        <f>MIN(IF(VLOOKUP($Q99,武学奇术!$A:$ZZ,23,FALSE)=1,100%,$B$8),100%)</f>
        <v>1</v>
      </c>
      <c r="BJ99" s="26" cm="1">
        <f t="array" ref="BJ99">IF(VLOOKUP($Q99,武学奇术!$A:$ZZ,23,FALSE)=1,100%,MIN(80%,$B$9+VLOOKUP($Q99,武学奇术!$A:$ZZ,17,FALSE)+SUM(_xlfn.XLOOKUP(R99:AF99,增益!$A:$A,增益!$Q:$Q,0)))+$B$11+SUM(_xlfn.XLOOKUP(R99:AF99,增益!$A:$A,增益!$U:$U,0)))*IF(VLOOKUP($Q99,武学奇术!$A:$ZZ,24,FALSE)=1,0,1)</f>
        <v>0.8625</v>
      </c>
      <c r="BK99" s="26" cm="1">
        <f t="array" ref="BK99">1+$B$13+VLOOKUP($Q99,武学奇术!$A:$ZZ,18,FALSE)+SUM(_xlfn.XLOOKUP(R99:AF99,增益!$A:$A,增益!$R:$R,0))</f>
        <v>1.5</v>
      </c>
      <c r="BL99" s="26" cm="1">
        <f t="array" ref="BL99">IF(VLOOKUP($Q99,武学奇术!$A:$ZZ,24,FALSE)=1,100%,MIN(40%,$B$10+VLOOKUP($Q99,武学奇术!$A:$ZZ,19,FALSE)+SUM(_xlfn.XLOOKUP(R99:AF99,增益!$A:$A,增益!$S:$S,0)))+$B$12+SUM(_xlfn.XLOOKUP(R99:AF99,增益!$A:$A,增益!$V:$V,0)))*IF(VLOOKUP($Q99,武学奇术!$A:$ZZ,23,FALSE)=1,0,1)</f>
        <v>0.0913</v>
      </c>
      <c r="BM99" s="26" cm="1">
        <f t="array" ref="BM99">1+$B$14+VLOOKUP($Q99,武学奇术!$A:$ZZ,20,FALSE)+SUM(_xlfn.XLOOKUP(R99:AF99,增益!$A:$A,增益!$T:$T,0))</f>
        <v>1.35</v>
      </c>
      <c r="BN99" s="26">
        <f t="shared" si="20"/>
        <v>0.8625</v>
      </c>
      <c r="BO99" s="26">
        <f t="shared" si="21"/>
        <v>0.0462</v>
      </c>
      <c r="BP99" s="26">
        <f>IF(VLOOKUP($Q99,武学奇术!$A:$ZZ,22,FALSE)=1,0,(1-$BI99))*(1-$BL99)</f>
        <v>0</v>
      </c>
      <c r="BQ99" s="26" cm="1">
        <f t="array" ref="BQ99">SUM(_xlfn.XLOOKUP(R99:AF99,增益!$A:$A,增益!$W:$W,0))+$I$5</f>
        <v>0.06</v>
      </c>
    </row>
    <row r="100" spans="11:69">
      <c r="K100" s="38">
        <f t="shared" si="11"/>
        <v>0</v>
      </c>
      <c r="L100" s="38">
        <f>((($AN100+$AO100)/2*$AH100+$AI100)*(1+$AP100)*(1+$AQ100)+(($AS100+$AT100)/2*IF($G$1="鸣金",$AJ100,$AH100)+IF($G$1="鸣金",$AK100*1.5,0))*(1+$AU100)*(1+$AV100)+(($AW100+$AX100)/2*IF($G$1="裂石",$AJ100,$AH100)+IF($G$1="裂石",$AK100*1.5,0))*(1+$AY100)*(1+$AZ100)+(($BA100+$BB100)/2*IF($G$1="牵丝",$AJ100,$AH100)+IF($G$1="牵丝",$AK100*1.5,0))*(1+$BC100)*(1+$BD100)+(($BE100+$BF100)/2*IF($G$1="破竹",$AJ100,$AH100)+IF($G$1="破竹",$AK100*1.5,0))*(1+$BG100)*(1+$BH100))*(1+$AL100)*$BK100*$P100*(1+IF(VLOOKUP($Q100,武学奇术!$A:$ZZ,30,FALSE)="蓄力技",#REF!,0))*(1+$BQ100)</f>
        <v>0</v>
      </c>
      <c r="M100" s="38">
        <f>(($AO100*$AH100+$AI100)*(1+$AP100)*(1+$AQ100)+($AT100*IF($G$1="鸣金",$AJ100,$AH100)+IF($G$1="鸣金",$AK100*1.5,0))*(1+$AU100)*(1+$AV100)+($AX100*IF($G$1="裂石",$AJ100,$AH100)+IF($G$1="裂石",$AK100*1.5,0))*(1+$AY100)*(1+$AZ100)+($BB100*IF($G$1="牵丝",$AJ100,$AH100)+IF($G$1="牵丝",$AK100*1.5,0))*(1+$BC100)*(1+$BD100)+($BF100*IF($G$1="破竹",$AJ100,$AH100)+IF($G$1="破竹",$AK100*1.5,0))*(1+$BG100)*(1+$BH100))*(1+$AL100)*$BM100*$P100*(1+IF(VLOOKUP($Q100,武学奇术!$A:$ZZ,30,FALSE)="蓄力技",#REF!,0))*(1+$BQ100)</f>
        <v>0</v>
      </c>
      <c r="N100" s="38">
        <f>((($AN100+$AO100)/2*$AH100+$AI100)*(1+$AP100)*(1+$AQ100)+(($AS100+$AT100)/2*IF($G$1="鸣金",$AJ100,$AH100)+IF($G$1="鸣金",$AK100*1.5,0))*(1+$AU100)*(1+$AV100)+(($AW100+$AX100)/2*IF($G$1="裂石",$AJ100,$AH100)+IF($G$1="裂石",$AK100*1.5,0))*(1+$AY100)*(1+$AZ100)+(($BA100+$BB100)/2*IF($G$1="牵丝",$AJ100,$AH100)+IF($G$1="牵丝",$AK100*1.5,0))*(1+$BC100)*(1+$BD100)+(($BE100+$BF100)/2*IF($G$1="破竹",$AJ100,$AH100)+IF($G$1="破竹",$AK100*1.5,0))*(1+$BG100)*(1+$BH100))*(1+$AL100)*$P100*(1+IF(VLOOKUP($Q100,武学奇术!$A:$ZZ,30,FALSE)="蓄力技",#REF!,0))*(1+$BQ100)</f>
        <v>0</v>
      </c>
      <c r="O100" s="38">
        <f>((($AN100*$AH100+$AI100)*(1+$AP100)*(1+$AQ100)+($AS100*IF($G$1="鸣金",$AJ100,$AH100)+IF($G$1="鸣金",$AK100*1.5,0))*(1+$AU100)*(1+$AV100)+($AW100*IF($G$1="裂石",$AJ100,$AH100)+IF($G$1="裂石",$AK100*1.5,0))*(1+$AY100)*(1+$AZ100)+($BA100*IF($G$1="牵丝",$AJ100,$AH100)+IF($G$1="牵丝",$AK100*1.5,0))*(1+$BC100)*(1+$BD100)+($BE100*IF($G$1="破竹",$AJ100,$AH100)+IF($G$1="破竹",$AK100*1.5,0))*(1+$BG100)*(1+$BH100))*(1+$AL100))*$P100*(1+IF(VLOOKUP($Q100,武学奇术!$A:$ZZ,30,FALSE)="蓄力技",#REF!,0))*(1+$BQ100)</f>
        <v>0</v>
      </c>
      <c r="P100" s="39">
        <v>1</v>
      </c>
      <c r="Q100" s="40" t="s">
        <v>76</v>
      </c>
      <c r="R100" s="40" t="s">
        <v>76</v>
      </c>
      <c r="S100" s="40" t="s">
        <v>76</v>
      </c>
      <c r="T100" s="40" t="s">
        <v>76</v>
      </c>
      <c r="U100" s="40" t="s">
        <v>76</v>
      </c>
      <c r="V100" s="40" t="s">
        <v>76</v>
      </c>
      <c r="W100" s="40" t="s">
        <v>76</v>
      </c>
      <c r="X100" s="40" t="s">
        <v>76</v>
      </c>
      <c r="Y100" s="40" t="s">
        <v>76</v>
      </c>
      <c r="Z100" s="40" t="s">
        <v>76</v>
      </c>
      <c r="AA100" s="40" t="s">
        <v>76</v>
      </c>
      <c r="AB100" s="40" t="s">
        <v>76</v>
      </c>
      <c r="AC100" s="40" t="s">
        <v>76</v>
      </c>
      <c r="AD100" s="40" t="s">
        <v>76</v>
      </c>
      <c r="AE100" s="40" t="s">
        <v>76</v>
      </c>
      <c r="AF100" s="40" t="s">
        <v>76</v>
      </c>
      <c r="AG100" t="str">
        <f>VLOOKUP($Q100,武学奇术!$A:$ZZ,25,FALSE)</f>
        <v>心法</v>
      </c>
      <c r="AH100" s="26">
        <f>VLOOKUP($Q100,武学奇术!$A:$ZZ,26,FALSE)</f>
        <v>0</v>
      </c>
      <c r="AI100" s="27">
        <f>VLOOKUP($Q100,武学奇术!$A:$ZZ,27,FALSE)*(1+IF(OR($AG100=$F$4,$AG100=$F$5),$B$21,0))</f>
        <v>0</v>
      </c>
      <c r="AJ100" s="26">
        <f>VLOOKUP($Q100,武学奇术!$A:$ZZ,28,FALSE)</f>
        <v>0</v>
      </c>
      <c r="AK100" s="27">
        <f>VLOOKUP($Q100,武学奇术!$A:$ZZ,29,FALSE)*(1+IF(OR($AG100=$F$4,$AG100=$F$5),$B$21,0))</f>
        <v>0</v>
      </c>
      <c r="AL100" s="26" cm="1">
        <f t="array" ref="AL100">$G$3+IFERROR(VLOOKUP($AG100,$F$4:$G$7,2,FALSE),0)+VLOOKUP($Q100,武学奇术!$A:$ZZ,2,FALSE)+SUM(_xlfn.XLOOKUP($R100:$AF100,增益!$A:$A,增益!$B:$B,0))</f>
        <v>0.1842</v>
      </c>
      <c r="AM100" s="26" cm="1">
        <f t="array" ref="AM100">VLOOKUP($Q100,武学奇术!$A:$ZZ,5,FALSE)+SUM(_xlfn.XLOOKUP($R100:$AF100,增益!$A:$A,增益!$E:$E,0))</f>
        <v>0</v>
      </c>
      <c r="AN100" cm="1">
        <f t="array" ref="AN100">$D$10*(1+$AM100)+VLOOKUP($Q100,武学奇术!$A:$ZZ,3,FALSE)+SUM(_xlfn.XLOOKUP($R100:$AF100,增益!$A:$A,增益!$C:$C,0))-$I$2</f>
        <v>3940</v>
      </c>
      <c r="AO100" cm="1">
        <f t="array" ref="AO100">$E$10*(1+$AM100)+VLOOKUP($Q100,武学奇术!$A:$ZZ,4,FALSE)+SUM(_xlfn.XLOOKUP($R100:$AF100,增益!$A:$A,增益!$D:$D,0))-$I$2</f>
        <v>3940</v>
      </c>
      <c r="AP100" s="32" cm="1">
        <f t="array" ref="AP100">IF($F$10-$I$3+VLOOKUP($Q100,武学奇术!$A:$ZZ,6,FALSE)+SUM(_xlfn.XLOOKUP(R100:AF100,增益!$A:$A,增益!$F:$F,0))&gt;0,($F$10-$I$3+VLOOKUP($Q100,武学奇术!$A:$ZZ,6,FALSE)+SUM(_xlfn.XLOOKUP(R100:AF100,增益!$A:$A,增益!$F:$F,0)))/200,($F$10-$I$3+VLOOKUP($Q100,武学奇术!$A:$ZZ,6,FALSE)+SUM(_xlfn.XLOOKUP(R100:AF100,增益!$A:$A,增益!$F:$F,0)))/100)</f>
        <v>0.194</v>
      </c>
      <c r="AQ100" s="32" cm="1">
        <f t="array" ref="AQ100">$G$10+VLOOKUP($Q100,武学奇术!$A:$ZZ,7,FALSE)+SUM(_xlfn.XLOOKUP(R100:AF100,增益!$A:$A,增益!$G:$G,0))</f>
        <v>0</v>
      </c>
      <c r="AR100" s="26" cm="1">
        <f t="array" ref="AR100">VLOOKUP($Q100,武学奇术!$A:$ZZ,8,FALSE)+SUM(_xlfn.XLOOKUP(R100:AF100,增益!$A:$A,增益!$H:$H,0))</f>
        <v>0</v>
      </c>
      <c r="AS100">
        <f t="shared" si="12"/>
        <v>0</v>
      </c>
      <c r="AT100">
        <f t="shared" si="13"/>
        <v>0</v>
      </c>
      <c r="AU100" s="32" cm="1">
        <f t="array" ref="AU100">IF($F$11-$I$4+VLOOKUP($Q100,武学奇术!$A:$ZZ,9,FALSE)+SUM(_xlfn.XLOOKUP(R100:AF100,增益!$A:$A,增益!$I:$I,0))&gt;0,($F$11-$I$4+VLOOKUP($Q100,武学奇术!$A:$ZZ,9,FALSE)+SUM(_xlfn.XLOOKUP(R100:AF100,增益!$A:$A,增益!$I:$I,0)))/200,($F$11-$I$4+VLOOKUP($Q100,武学奇术!$A:$ZZ,9,FALSE)+SUM(_xlfn.XLOOKUP(R100:AF100,增益!$A:$A,增益!$I:$I,0)))/100)</f>
        <v>-0.3</v>
      </c>
      <c r="AV100" s="32" cm="1">
        <f t="array" ref="AV100">$G$11+VLOOKUP($Q100,武学奇术!$A:$ZZ,10,FALSE)+SUM(_xlfn.XLOOKUP(R100:AF100,增益!$A:$A,增益!$J:$J,0))</f>
        <v>0</v>
      </c>
      <c r="AW100">
        <f t="shared" si="14"/>
        <v>0</v>
      </c>
      <c r="AX100">
        <f t="shared" si="15"/>
        <v>0</v>
      </c>
      <c r="AY100" s="32" cm="1">
        <f t="array" ref="AY100">IF($F$12-$I$4+VLOOKUP($Q100,武学奇术!$A:$ZZ,11,FALSE)+SUM(_xlfn.XLOOKUP(R100:AF100,增益!$A:$A,增益!$K:$K,0))&gt;0,($F$12-$I$4+VLOOKUP($Q100,武学奇术!$A:$ZZ,11,FALSE)+SUM(_xlfn.XLOOKUP(R100:AF100,增益!$A:$A,增益!$K:$K,0)))/200,($F$12-$I$4+VLOOKUP($Q100,武学奇术!$A:$ZZ,11,FALSE)+SUM(_xlfn.XLOOKUP(R100:AF100,增益!$A:$A,增益!$K:$K,0)))/100)</f>
        <v>-0.3</v>
      </c>
      <c r="AZ100" s="32" cm="1">
        <f t="array" ref="AZ100">$G$12+VLOOKUP($Q100,武学奇术!$A:$ZZ,12,FALSE)+SUM(_xlfn.XLOOKUP(R100:AF100,增益!$A:$A,增益!$L:$L,0))</f>
        <v>0</v>
      </c>
      <c r="BA100">
        <f t="shared" si="16"/>
        <v>697.4</v>
      </c>
      <c r="BB100">
        <f t="shared" si="17"/>
        <v>1805</v>
      </c>
      <c r="BC100" s="32" cm="1">
        <f t="array" ref="BC100">IF($F$13-$I$4+VLOOKUP($Q100,武学奇术!$A:$ZZ,13,FALSE)+SUM(_xlfn.XLOOKUP(R100:AF100,增益!$A:$A,增益!$M:$M,0))&gt;0,($F$13-$I$4+VLOOKUP($Q100,武学奇术!$A:$ZZ,13,FALSE)+SUM(_xlfn.XLOOKUP(R100:AF100,增益!$A:$A,增益!$K:$K,0)))/200,($F$13-$I$4+VLOOKUP($Q100,武学奇术!$A:$ZZ,13,FALSE)+SUM(_xlfn.XLOOKUP(R100:AF100,增益!$A:$A,增益!$M:$M,0)))/100)</f>
        <v>0</v>
      </c>
      <c r="BD100" s="32" cm="1">
        <f t="array" ref="BD100">$G$13+VLOOKUP($Q100,武学奇术!$A:$ZZ,14,FALSE)+SUM(_xlfn.XLOOKUP(R100:AF100,增益!$A:$A,增益!$N:$N,0))</f>
        <v>0.15</v>
      </c>
      <c r="BE100">
        <f t="shared" si="18"/>
        <v>0</v>
      </c>
      <c r="BF100">
        <f t="shared" si="19"/>
        <v>0</v>
      </c>
      <c r="BG100" s="32" cm="1">
        <f t="array" ref="BG100">IF($F$14-$I$4+VLOOKUP($Q100,武学奇术!$A:$ZZ,15,FALSE)+SUM(_xlfn.XLOOKUP(R100:AF100,增益!$A:$A,增益!$O:$O,0))&gt;0,($F$14-$I$4+VLOOKUP($Q100,武学奇术!$A:$ZZ,15,FALSE)+SUM(_xlfn.XLOOKUP(R100:AF100,增益!$A:$A,增益!$O:$O,0)))/200,($F$14-$I$4+VLOOKUP($Q100,武学奇术!$A:$ZZ,15,FALSE)+SUM(_xlfn.XLOOKUP(R100:AF100,增益!$A:$A,增益!$O:$O,0)))/100)</f>
        <v>-0.3</v>
      </c>
      <c r="BH100" s="32" cm="1">
        <f t="array" ref="BH100">$G$14+VLOOKUP($Q100,武学奇术!$A:$ZZ,16,FALSE)+SUM(_xlfn.XLOOKUP(R100:AF100,增益!$A:$A,增益!$P:$P,0))</f>
        <v>0</v>
      </c>
      <c r="BI100" s="26">
        <f>MIN(IF(VLOOKUP($Q100,武学奇术!$A:$ZZ,23,FALSE)=1,100%,$B$8),100%)</f>
        <v>1</v>
      </c>
      <c r="BJ100" s="26" cm="1">
        <f t="array" ref="BJ100">IF(VLOOKUP($Q100,武学奇术!$A:$ZZ,23,FALSE)=1,100%,MIN(80%,$B$9+VLOOKUP($Q100,武学奇术!$A:$ZZ,17,FALSE)+SUM(_xlfn.XLOOKUP(R100:AF100,增益!$A:$A,增益!$Q:$Q,0)))+$B$11+SUM(_xlfn.XLOOKUP(R100:AF100,增益!$A:$A,增益!$U:$U,0)))*IF(VLOOKUP($Q100,武学奇术!$A:$ZZ,24,FALSE)=1,0,1)</f>
        <v>0.8625</v>
      </c>
      <c r="BK100" s="26" cm="1">
        <f t="array" ref="BK100">1+$B$13+VLOOKUP($Q100,武学奇术!$A:$ZZ,18,FALSE)+SUM(_xlfn.XLOOKUP(R100:AF100,增益!$A:$A,增益!$R:$R,0))</f>
        <v>1.5</v>
      </c>
      <c r="BL100" s="26" cm="1">
        <f t="array" ref="BL100">IF(VLOOKUP($Q100,武学奇术!$A:$ZZ,24,FALSE)=1,100%,MIN(40%,$B$10+VLOOKUP($Q100,武学奇术!$A:$ZZ,19,FALSE)+SUM(_xlfn.XLOOKUP(R100:AF100,增益!$A:$A,增益!$S:$S,0)))+$B$12+SUM(_xlfn.XLOOKUP(R100:AF100,增益!$A:$A,增益!$V:$V,0)))*IF(VLOOKUP($Q100,武学奇术!$A:$ZZ,23,FALSE)=1,0,1)</f>
        <v>0.0913</v>
      </c>
      <c r="BM100" s="26" cm="1">
        <f t="array" ref="BM100">1+$B$14+VLOOKUP($Q100,武学奇术!$A:$ZZ,20,FALSE)+SUM(_xlfn.XLOOKUP(R100:AF100,增益!$A:$A,增益!$T:$T,0))</f>
        <v>1.35</v>
      </c>
      <c r="BN100" s="26">
        <f t="shared" si="20"/>
        <v>0.8625</v>
      </c>
      <c r="BO100" s="26">
        <f t="shared" si="21"/>
        <v>0.0462</v>
      </c>
      <c r="BP100" s="26">
        <f>IF(VLOOKUP($Q100,武学奇术!$A:$ZZ,22,FALSE)=1,0,(1-$BI100))*(1-$BL100)</f>
        <v>0</v>
      </c>
      <c r="BQ100" s="26" cm="1">
        <f t="array" ref="BQ100">SUM(_xlfn.XLOOKUP(R100:AF100,增益!$A:$A,增益!$W:$W,0))+$I$5</f>
        <v>0.06</v>
      </c>
    </row>
    <row r="101" spans="11:69">
      <c r="K101" s="38">
        <f t="shared" si="11"/>
        <v>0</v>
      </c>
      <c r="L101" s="38">
        <f>((($AN101+$AO101)/2*$AH101+$AI101)*(1+$AP101)*(1+$AQ101)+(($AS101+$AT101)/2*IF($G$1="鸣金",$AJ101,$AH101)+IF($G$1="鸣金",$AK101*1.5,0))*(1+$AU101)*(1+$AV101)+(($AW101+$AX101)/2*IF($G$1="裂石",$AJ101,$AH101)+IF($G$1="裂石",$AK101*1.5,0))*(1+$AY101)*(1+$AZ101)+(($BA101+$BB101)/2*IF($G$1="牵丝",$AJ101,$AH101)+IF($G$1="牵丝",$AK101*1.5,0))*(1+$BC101)*(1+$BD101)+(($BE101+$BF101)/2*IF($G$1="破竹",$AJ101,$AH101)+IF($G$1="破竹",$AK101*1.5,0))*(1+$BG101)*(1+$BH101))*(1+$AL101)*$BK101*$P101*(1+IF(VLOOKUP($Q101,武学奇术!$A:$ZZ,30,FALSE)="蓄力技",#REF!,0))*(1+$BQ101)</f>
        <v>0</v>
      </c>
      <c r="M101" s="38">
        <f>(($AO101*$AH101+$AI101)*(1+$AP101)*(1+$AQ101)+($AT101*IF($G$1="鸣金",$AJ101,$AH101)+IF($G$1="鸣金",$AK101*1.5,0))*(1+$AU101)*(1+$AV101)+($AX101*IF($G$1="裂石",$AJ101,$AH101)+IF($G$1="裂石",$AK101*1.5,0))*(1+$AY101)*(1+$AZ101)+($BB101*IF($G$1="牵丝",$AJ101,$AH101)+IF($G$1="牵丝",$AK101*1.5,0))*(1+$BC101)*(1+$BD101)+($BF101*IF($G$1="破竹",$AJ101,$AH101)+IF($G$1="破竹",$AK101*1.5,0))*(1+$BG101)*(1+$BH101))*(1+$AL101)*$BM101*$P101*(1+IF(VLOOKUP($Q101,武学奇术!$A:$ZZ,30,FALSE)="蓄力技",#REF!,0))*(1+$BQ101)</f>
        <v>0</v>
      </c>
      <c r="N101" s="38">
        <f>((($AN101+$AO101)/2*$AH101+$AI101)*(1+$AP101)*(1+$AQ101)+(($AS101+$AT101)/2*IF($G$1="鸣金",$AJ101,$AH101)+IF($G$1="鸣金",$AK101*1.5,0))*(1+$AU101)*(1+$AV101)+(($AW101+$AX101)/2*IF($G$1="裂石",$AJ101,$AH101)+IF($G$1="裂石",$AK101*1.5,0))*(1+$AY101)*(1+$AZ101)+(($BA101+$BB101)/2*IF($G$1="牵丝",$AJ101,$AH101)+IF($G$1="牵丝",$AK101*1.5,0))*(1+$BC101)*(1+$BD101)+(($BE101+$BF101)/2*IF($G$1="破竹",$AJ101,$AH101)+IF($G$1="破竹",$AK101*1.5,0))*(1+$BG101)*(1+$BH101))*(1+$AL101)*$P101*(1+IF(VLOOKUP($Q101,武学奇术!$A:$ZZ,30,FALSE)="蓄力技",#REF!,0))*(1+$BQ101)</f>
        <v>0</v>
      </c>
      <c r="O101" s="38">
        <f>((($AN101*$AH101+$AI101)*(1+$AP101)*(1+$AQ101)+($AS101*IF($G$1="鸣金",$AJ101,$AH101)+IF($G$1="鸣金",$AK101*1.5,0))*(1+$AU101)*(1+$AV101)+($AW101*IF($G$1="裂石",$AJ101,$AH101)+IF($G$1="裂石",$AK101*1.5,0))*(1+$AY101)*(1+$AZ101)+($BA101*IF($G$1="牵丝",$AJ101,$AH101)+IF($G$1="牵丝",$AK101*1.5,0))*(1+$BC101)*(1+$BD101)+($BE101*IF($G$1="破竹",$AJ101,$AH101)+IF($G$1="破竹",$AK101*1.5,0))*(1+$BG101)*(1+$BH101))*(1+$AL101))*$P101*(1+IF(VLOOKUP($Q101,武学奇术!$A:$ZZ,30,FALSE)="蓄力技",#REF!,0))*(1+$BQ101)</f>
        <v>0</v>
      </c>
      <c r="P101" s="39">
        <v>1</v>
      </c>
      <c r="Q101" s="40" t="s">
        <v>76</v>
      </c>
      <c r="R101" s="40" t="s">
        <v>76</v>
      </c>
      <c r="S101" s="40" t="s">
        <v>76</v>
      </c>
      <c r="T101" s="40" t="s">
        <v>76</v>
      </c>
      <c r="U101" s="40" t="s">
        <v>76</v>
      </c>
      <c r="V101" s="40" t="s">
        <v>76</v>
      </c>
      <c r="W101" s="40" t="s">
        <v>76</v>
      </c>
      <c r="X101" s="40" t="s">
        <v>76</v>
      </c>
      <c r="Y101" s="40" t="s">
        <v>76</v>
      </c>
      <c r="Z101" s="40" t="s">
        <v>76</v>
      </c>
      <c r="AA101" s="40" t="s">
        <v>76</v>
      </c>
      <c r="AB101" s="40" t="s">
        <v>76</v>
      </c>
      <c r="AC101" s="40" t="s">
        <v>76</v>
      </c>
      <c r="AD101" s="40" t="s">
        <v>76</v>
      </c>
      <c r="AE101" s="40" t="s">
        <v>76</v>
      </c>
      <c r="AF101" s="40" t="s">
        <v>76</v>
      </c>
      <c r="AG101" t="str">
        <f>VLOOKUP($Q101,武学奇术!$A:$ZZ,25,FALSE)</f>
        <v>心法</v>
      </c>
      <c r="AH101" s="26">
        <f>VLOOKUP($Q101,武学奇术!$A:$ZZ,26,FALSE)</f>
        <v>0</v>
      </c>
      <c r="AI101" s="27">
        <f>VLOOKUP($Q101,武学奇术!$A:$ZZ,27,FALSE)*(1+IF(OR($AG101=$F$4,$AG101=$F$5),$B$21,0))</f>
        <v>0</v>
      </c>
      <c r="AJ101" s="26">
        <f>VLOOKUP($Q101,武学奇术!$A:$ZZ,28,FALSE)</f>
        <v>0</v>
      </c>
      <c r="AK101" s="27">
        <f>VLOOKUP($Q101,武学奇术!$A:$ZZ,29,FALSE)*(1+IF(OR($AG101=$F$4,$AG101=$F$5),$B$21,0))</f>
        <v>0</v>
      </c>
      <c r="AL101" s="26" cm="1">
        <f t="array" ref="AL101">$G$3+IFERROR(VLOOKUP($AG101,$F$4:$G$7,2,FALSE),0)+VLOOKUP($Q101,武学奇术!$A:$ZZ,2,FALSE)+SUM(_xlfn.XLOOKUP($R101:$AF101,增益!$A:$A,增益!$B:$B,0))</f>
        <v>0.1842</v>
      </c>
      <c r="AM101" s="26" cm="1">
        <f t="array" ref="AM101">VLOOKUP($Q101,武学奇术!$A:$ZZ,5,FALSE)+SUM(_xlfn.XLOOKUP($R101:$AF101,增益!$A:$A,增益!$E:$E,0))</f>
        <v>0</v>
      </c>
      <c r="AN101" cm="1">
        <f t="array" ref="AN101">$D$10*(1+$AM101)+VLOOKUP($Q101,武学奇术!$A:$ZZ,3,FALSE)+SUM(_xlfn.XLOOKUP($R101:$AF101,增益!$A:$A,增益!$C:$C,0))-$I$2</f>
        <v>3940</v>
      </c>
      <c r="AO101" cm="1">
        <f t="array" ref="AO101">$E$10*(1+$AM101)+VLOOKUP($Q101,武学奇术!$A:$ZZ,4,FALSE)+SUM(_xlfn.XLOOKUP($R101:$AF101,增益!$A:$A,增益!$D:$D,0))-$I$2</f>
        <v>3940</v>
      </c>
      <c r="AP101" s="32" cm="1">
        <f t="array" ref="AP101">IF($F$10-$I$3+VLOOKUP($Q101,武学奇术!$A:$ZZ,6,FALSE)+SUM(_xlfn.XLOOKUP(R101:AF101,增益!$A:$A,增益!$F:$F,0))&gt;0,($F$10-$I$3+VLOOKUP($Q101,武学奇术!$A:$ZZ,6,FALSE)+SUM(_xlfn.XLOOKUP(R101:AF101,增益!$A:$A,增益!$F:$F,0)))/200,($F$10-$I$3+VLOOKUP($Q101,武学奇术!$A:$ZZ,6,FALSE)+SUM(_xlfn.XLOOKUP(R101:AF101,增益!$A:$A,增益!$F:$F,0)))/100)</f>
        <v>0.194</v>
      </c>
      <c r="AQ101" s="32" cm="1">
        <f t="array" ref="AQ101">$G$10+VLOOKUP($Q101,武学奇术!$A:$ZZ,7,FALSE)+SUM(_xlfn.XLOOKUP(R101:AF101,增益!$A:$A,增益!$G:$G,0))</f>
        <v>0</v>
      </c>
      <c r="AR101" s="26" cm="1">
        <f t="array" ref="AR101">VLOOKUP($Q101,武学奇术!$A:$ZZ,8,FALSE)+SUM(_xlfn.XLOOKUP(R101:AF101,增益!$A:$A,增益!$H:$H,0))</f>
        <v>0</v>
      </c>
      <c r="AS101">
        <f t="shared" si="12"/>
        <v>0</v>
      </c>
      <c r="AT101">
        <f t="shared" si="13"/>
        <v>0</v>
      </c>
      <c r="AU101" s="32" cm="1">
        <f t="array" ref="AU101">IF($F$11-$I$4+VLOOKUP($Q101,武学奇术!$A:$ZZ,9,FALSE)+SUM(_xlfn.XLOOKUP(R101:AF101,增益!$A:$A,增益!$I:$I,0))&gt;0,($F$11-$I$4+VLOOKUP($Q101,武学奇术!$A:$ZZ,9,FALSE)+SUM(_xlfn.XLOOKUP(R101:AF101,增益!$A:$A,增益!$I:$I,0)))/200,($F$11-$I$4+VLOOKUP($Q101,武学奇术!$A:$ZZ,9,FALSE)+SUM(_xlfn.XLOOKUP(R101:AF101,增益!$A:$A,增益!$I:$I,0)))/100)</f>
        <v>-0.3</v>
      </c>
      <c r="AV101" s="32" cm="1">
        <f t="array" ref="AV101">$G$11+VLOOKUP($Q101,武学奇术!$A:$ZZ,10,FALSE)+SUM(_xlfn.XLOOKUP(R101:AF101,增益!$A:$A,增益!$J:$J,0))</f>
        <v>0</v>
      </c>
      <c r="AW101">
        <f t="shared" si="14"/>
        <v>0</v>
      </c>
      <c r="AX101">
        <f t="shared" si="15"/>
        <v>0</v>
      </c>
      <c r="AY101" s="32" cm="1">
        <f t="array" ref="AY101">IF($F$12-$I$4+VLOOKUP($Q101,武学奇术!$A:$ZZ,11,FALSE)+SUM(_xlfn.XLOOKUP(R101:AF101,增益!$A:$A,增益!$K:$K,0))&gt;0,($F$12-$I$4+VLOOKUP($Q101,武学奇术!$A:$ZZ,11,FALSE)+SUM(_xlfn.XLOOKUP(R101:AF101,增益!$A:$A,增益!$K:$K,0)))/200,($F$12-$I$4+VLOOKUP($Q101,武学奇术!$A:$ZZ,11,FALSE)+SUM(_xlfn.XLOOKUP(R101:AF101,增益!$A:$A,增益!$K:$K,0)))/100)</f>
        <v>-0.3</v>
      </c>
      <c r="AZ101" s="32" cm="1">
        <f t="array" ref="AZ101">$G$12+VLOOKUP($Q101,武学奇术!$A:$ZZ,12,FALSE)+SUM(_xlfn.XLOOKUP(R101:AF101,增益!$A:$A,增益!$L:$L,0))</f>
        <v>0</v>
      </c>
      <c r="BA101">
        <f t="shared" si="16"/>
        <v>697.4</v>
      </c>
      <c r="BB101">
        <f t="shared" si="17"/>
        <v>1805</v>
      </c>
      <c r="BC101" s="32" cm="1">
        <f t="array" ref="BC101">IF($F$13-$I$4+VLOOKUP($Q101,武学奇术!$A:$ZZ,13,FALSE)+SUM(_xlfn.XLOOKUP(R101:AF101,增益!$A:$A,增益!$M:$M,0))&gt;0,($F$13-$I$4+VLOOKUP($Q101,武学奇术!$A:$ZZ,13,FALSE)+SUM(_xlfn.XLOOKUP(R101:AF101,增益!$A:$A,增益!$K:$K,0)))/200,($F$13-$I$4+VLOOKUP($Q101,武学奇术!$A:$ZZ,13,FALSE)+SUM(_xlfn.XLOOKUP(R101:AF101,增益!$A:$A,增益!$M:$M,0)))/100)</f>
        <v>0</v>
      </c>
      <c r="BD101" s="32" cm="1">
        <f t="array" ref="BD101">$G$13+VLOOKUP($Q101,武学奇术!$A:$ZZ,14,FALSE)+SUM(_xlfn.XLOOKUP(R101:AF101,增益!$A:$A,增益!$N:$N,0))</f>
        <v>0.15</v>
      </c>
      <c r="BE101">
        <f t="shared" si="18"/>
        <v>0</v>
      </c>
      <c r="BF101">
        <f t="shared" si="19"/>
        <v>0</v>
      </c>
      <c r="BG101" s="32" cm="1">
        <f t="array" ref="BG101">IF($F$14-$I$4+VLOOKUP($Q101,武学奇术!$A:$ZZ,15,FALSE)+SUM(_xlfn.XLOOKUP(R101:AF101,增益!$A:$A,增益!$O:$O,0))&gt;0,($F$14-$I$4+VLOOKUP($Q101,武学奇术!$A:$ZZ,15,FALSE)+SUM(_xlfn.XLOOKUP(R101:AF101,增益!$A:$A,增益!$O:$O,0)))/200,($F$14-$I$4+VLOOKUP($Q101,武学奇术!$A:$ZZ,15,FALSE)+SUM(_xlfn.XLOOKUP(R101:AF101,增益!$A:$A,增益!$O:$O,0)))/100)</f>
        <v>-0.3</v>
      </c>
      <c r="BH101" s="32" cm="1">
        <f t="array" ref="BH101">$G$14+VLOOKUP($Q101,武学奇术!$A:$ZZ,16,FALSE)+SUM(_xlfn.XLOOKUP(R101:AF101,增益!$A:$A,增益!$P:$P,0))</f>
        <v>0</v>
      </c>
      <c r="BI101" s="26">
        <f>MIN(IF(VLOOKUP($Q101,武学奇术!$A:$ZZ,23,FALSE)=1,100%,$B$8),100%)</f>
        <v>1</v>
      </c>
      <c r="BJ101" s="26" cm="1">
        <f t="array" ref="BJ101">IF(VLOOKUP($Q101,武学奇术!$A:$ZZ,23,FALSE)=1,100%,MIN(80%,$B$9+VLOOKUP($Q101,武学奇术!$A:$ZZ,17,FALSE)+SUM(_xlfn.XLOOKUP(R101:AF101,增益!$A:$A,增益!$Q:$Q,0)))+$B$11+SUM(_xlfn.XLOOKUP(R101:AF101,增益!$A:$A,增益!$U:$U,0)))*IF(VLOOKUP($Q101,武学奇术!$A:$ZZ,24,FALSE)=1,0,1)</f>
        <v>0.8625</v>
      </c>
      <c r="BK101" s="26" cm="1">
        <f t="array" ref="BK101">1+$B$13+VLOOKUP($Q101,武学奇术!$A:$ZZ,18,FALSE)+SUM(_xlfn.XLOOKUP(R101:AF101,增益!$A:$A,增益!$R:$R,0))</f>
        <v>1.5</v>
      </c>
      <c r="BL101" s="26" cm="1">
        <f t="array" ref="BL101">IF(VLOOKUP($Q101,武学奇术!$A:$ZZ,24,FALSE)=1,100%,MIN(40%,$B$10+VLOOKUP($Q101,武学奇术!$A:$ZZ,19,FALSE)+SUM(_xlfn.XLOOKUP(R101:AF101,增益!$A:$A,增益!$S:$S,0)))+$B$12+SUM(_xlfn.XLOOKUP(R101:AF101,增益!$A:$A,增益!$V:$V,0)))*IF(VLOOKUP($Q101,武学奇术!$A:$ZZ,23,FALSE)=1,0,1)</f>
        <v>0.0913</v>
      </c>
      <c r="BM101" s="26" cm="1">
        <f t="array" ref="BM101">1+$B$14+VLOOKUP($Q101,武学奇术!$A:$ZZ,20,FALSE)+SUM(_xlfn.XLOOKUP(R101:AF101,增益!$A:$A,增益!$T:$T,0))</f>
        <v>1.35</v>
      </c>
      <c r="BN101" s="26">
        <f t="shared" si="20"/>
        <v>0.8625</v>
      </c>
      <c r="BO101" s="26">
        <f t="shared" si="21"/>
        <v>0.0462</v>
      </c>
      <c r="BP101" s="26">
        <f>IF(VLOOKUP($Q101,武学奇术!$A:$ZZ,22,FALSE)=1,0,(1-$BI101))*(1-$BL101)</f>
        <v>0</v>
      </c>
      <c r="BQ101" s="26" cm="1">
        <f t="array" ref="BQ101">SUM(_xlfn.XLOOKUP(R101:AF101,增益!$A:$A,增益!$W:$W,0))+$I$5</f>
        <v>0.06</v>
      </c>
    </row>
  </sheetData>
  <mergeCells count="17">
    <mergeCell ref="H1:I1"/>
    <mergeCell ref="C8:G8"/>
    <mergeCell ref="C15:D15"/>
    <mergeCell ref="E19:F19"/>
    <mergeCell ref="E20:F20"/>
    <mergeCell ref="E21:F21"/>
    <mergeCell ref="E22:F22"/>
    <mergeCell ref="H8:H9"/>
    <mergeCell ref="H10:H11"/>
    <mergeCell ref="H12:H13"/>
    <mergeCell ref="H14:H15"/>
    <mergeCell ref="H16:H17"/>
    <mergeCell ref="I8:J9"/>
    <mergeCell ref="I10:J11"/>
    <mergeCell ref="I12:J13"/>
    <mergeCell ref="I14:J15"/>
    <mergeCell ref="I16:J17"/>
  </mergeCells>
  <dataValidations count="6">
    <dataValidation type="list" allowBlank="1" showInputMessage="1" showErrorMessage="1" sqref="G1">
      <formula1>"鸣金,裂石,牵丝,破竹"</formula1>
    </dataValidation>
    <dataValidation type="list" allowBlank="1" showInputMessage="1" showErrorMessage="1" sqref="G2">
      <formula1>"撼天,时雨"</formula1>
    </dataValidation>
    <dataValidation type="list" allowBlank="1" showInputMessage="1" showErrorMessage="1" sqref="R2:Z2 AB2:AF2 AA2:AA11 R3:Z11 AB3:AF11 R12:AF101">
      <formula1>增益!$A:$A</formula1>
    </dataValidation>
    <dataValidation type="list" allowBlank="1" showInputMessage="1" showErrorMessage="1" sqref="E20:F20">
      <formula1>"易水歌,征人归"</formula1>
    </dataValidation>
    <dataValidation type="list" allowBlank="1" showInputMessage="1" showErrorMessage="1" sqref="D16:D22 F15:F17">
      <formula1>"√,×"</formula1>
    </dataValidation>
    <dataValidation type="list" allowBlank="1" showInputMessage="1" showErrorMessage="1" sqref="Q2:Q101">
      <formula1>武学奇术!$A:$A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21"/>
  <sheetViews>
    <sheetView workbookViewId="0">
      <selection activeCell="N34" sqref="N34"/>
    </sheetView>
  </sheetViews>
  <sheetFormatPr defaultColWidth="9" defaultRowHeight="13.5"/>
  <cols>
    <col min="1" max="1" width="21.5" customWidth="1"/>
    <col min="2" max="2" width="9.00833333333333" customWidth="1"/>
    <col min="17" max="17" width="9" style="26"/>
    <col min="26" max="26" width="9.375" style="26"/>
    <col min="27" max="27" width="9" style="27"/>
    <col min="28" max="28" width="9.375" style="26"/>
    <col min="29" max="29" width="9" style="27"/>
  </cols>
  <sheetData>
    <row r="1" spans="1:31">
      <c r="B1" t="s">
        <v>34</v>
      </c>
      <c r="C1" t="s">
        <v>137</v>
      </c>
      <c r="D1" t="s">
        <v>138</v>
      </c>
      <c r="E1" t="s">
        <v>139</v>
      </c>
      <c r="F1" t="s">
        <v>140</v>
      </c>
      <c r="G1" t="s">
        <v>141</v>
      </c>
      <c r="H1" t="s">
        <v>142</v>
      </c>
      <c r="I1" t="s">
        <v>43</v>
      </c>
      <c r="J1" t="s">
        <v>44</v>
      </c>
      <c r="K1" t="s">
        <v>47</v>
      </c>
      <c r="L1" t="s">
        <v>48</v>
      </c>
      <c r="M1" t="s">
        <v>51</v>
      </c>
      <c r="N1" t="s">
        <v>52</v>
      </c>
      <c r="O1" t="s">
        <v>55</v>
      </c>
      <c r="P1" t="s">
        <v>56</v>
      </c>
      <c r="Q1" s="26" t="s">
        <v>102</v>
      </c>
      <c r="R1" t="s">
        <v>143</v>
      </c>
      <c r="S1" t="s">
        <v>103</v>
      </c>
      <c r="T1" t="s">
        <v>144</v>
      </c>
      <c r="U1" t="s">
        <v>145</v>
      </c>
      <c r="V1" t="s">
        <v>146</v>
      </c>
      <c r="W1" t="s">
        <v>147</v>
      </c>
      <c r="X1" t="s">
        <v>148</v>
      </c>
      <c r="Y1" t="s">
        <v>29</v>
      </c>
      <c r="Z1" s="26" t="s">
        <v>30</v>
      </c>
      <c r="AA1" s="27" t="s">
        <v>31</v>
      </c>
      <c r="AB1" s="26" t="s">
        <v>32</v>
      </c>
      <c r="AC1" s="27" t="s">
        <v>33</v>
      </c>
      <c r="AD1" t="s">
        <v>149</v>
      </c>
    </row>
    <row r="2" customFormat="1" spans="1:31">
      <c r="A2" t="s">
        <v>150</v>
      </c>
      <c r="B2"/>
      <c r="Q2" s="26"/>
      <c r="R2" s="28"/>
      <c r="Y2" t="s">
        <v>97</v>
      </c>
      <c r="Z2" s="26">
        <f>198.74%*2</f>
        <v>3.9748</v>
      </c>
      <c r="AA2" s="27">
        <f>516*2</f>
        <v>1032</v>
      </c>
      <c r="AB2" s="26">
        <f t="shared" ref="AB2:AB17" si="0">Z2*1.5</f>
        <v>5.9622</v>
      </c>
      <c r="AC2" s="27"/>
      <c r="AE2">
        <v>1</v>
      </c>
    </row>
    <row r="3" customFormat="1" spans="1:31">
      <c r="A3" t="s">
        <v>151</v>
      </c>
      <c r="B3"/>
      <c r="Q3" s="26"/>
      <c r="R3" s="28"/>
      <c r="Y3" t="s">
        <v>97</v>
      </c>
      <c r="Z3" s="26">
        <f>74.53%*2</f>
        <v>1.4906</v>
      </c>
      <c r="AA3" s="27">
        <f>193*2</f>
        <v>386</v>
      </c>
      <c r="AB3" s="26">
        <f t="shared" si="0"/>
        <v>2.2359</v>
      </c>
      <c r="AC3" s="27"/>
      <c r="AE3">
        <v>1</v>
      </c>
    </row>
    <row r="4" customFormat="1" spans="1:31">
      <c r="A4" t="s">
        <v>152</v>
      </c>
      <c r="B4" s="28"/>
      <c r="E4" s="28"/>
      <c r="G4" s="28"/>
      <c r="N4" s="28"/>
      <c r="R4" s="28"/>
      <c r="Y4" t="s">
        <v>97</v>
      </c>
      <c r="Z4" s="26">
        <f>254.72%*2.7*1.5</f>
        <v>10.31616</v>
      </c>
      <c r="AA4" s="27">
        <f>511*2.7*1.5</f>
        <v>2069.55</v>
      </c>
      <c r="AB4" s="26">
        <f t="shared" si="0"/>
        <v>15.47424</v>
      </c>
      <c r="AC4" s="27"/>
      <c r="AE4">
        <v>1</v>
      </c>
    </row>
    <row r="5" customFormat="1" spans="1:31">
      <c r="A5" t="s">
        <v>153</v>
      </c>
      <c r="B5" s="28"/>
      <c r="Q5" s="26"/>
      <c r="R5" s="28"/>
      <c r="Y5" t="s">
        <v>94</v>
      </c>
      <c r="Z5" s="26">
        <f>319.92%+391.02%</f>
        <v>7.1094</v>
      </c>
      <c r="AA5" s="27">
        <f>639+781</f>
        <v>1420</v>
      </c>
      <c r="AB5" s="26">
        <f t="shared" si="0"/>
        <v>10.6641</v>
      </c>
      <c r="AC5" s="27"/>
      <c r="AE5">
        <v>1</v>
      </c>
    </row>
    <row r="6" customFormat="1" spans="1:31">
      <c r="A6" t="s">
        <v>154</v>
      </c>
      <c r="B6" s="28">
        <v>0.47</v>
      </c>
      <c r="Q6" s="26"/>
      <c r="R6" s="28"/>
      <c r="V6">
        <v>1</v>
      </c>
      <c r="Y6" t="s">
        <v>94</v>
      </c>
      <c r="Z6" s="26">
        <f>1636.57%*2.2*0.7</f>
        <v>25.203178</v>
      </c>
      <c r="AA6" s="27">
        <f>3275*2.2*0.7</f>
        <v>5043.5</v>
      </c>
      <c r="AB6" s="26">
        <f t="shared" si="0"/>
        <v>37.804767</v>
      </c>
      <c r="AC6" s="27"/>
      <c r="AE6">
        <v>1</v>
      </c>
    </row>
    <row r="7" customFormat="1" spans="1:31">
      <c r="A7" t="s">
        <v>155</v>
      </c>
      <c r="B7"/>
      <c r="Q7" s="26"/>
      <c r="R7" s="28"/>
      <c r="Y7" t="s">
        <v>97</v>
      </c>
      <c r="Z7" s="26">
        <f>(416.02%+772.61%)*2</f>
        <v>23.7726</v>
      </c>
      <c r="AA7" s="27">
        <f>(803+1493)*2</f>
        <v>4592</v>
      </c>
      <c r="AB7" s="26">
        <f t="shared" si="0"/>
        <v>35.6589</v>
      </c>
      <c r="AC7" s="27"/>
      <c r="AE7">
        <v>1</v>
      </c>
    </row>
    <row r="8" customFormat="1" spans="1:31">
      <c r="A8" t="s">
        <v>156</v>
      </c>
      <c r="B8" s="28"/>
      <c r="Q8" s="26"/>
      <c r="R8" s="28"/>
      <c r="Y8" t="s">
        <v>94</v>
      </c>
      <c r="Z8" s="26">
        <f>257.06%/2</f>
        <v>1.2853</v>
      </c>
      <c r="AA8" s="27">
        <f>520/2</f>
        <v>260</v>
      </c>
      <c r="AB8" s="26">
        <f t="shared" si="0"/>
        <v>1.92795</v>
      </c>
      <c r="AC8" s="27"/>
      <c r="AE8">
        <v>1</v>
      </c>
    </row>
    <row r="9" customFormat="1" spans="1:31">
      <c r="A9" t="s">
        <v>70</v>
      </c>
      <c r="B9"/>
      <c r="Q9" s="26"/>
      <c r="R9" s="28"/>
      <c r="Y9" t="s">
        <v>94</v>
      </c>
      <c r="Z9" s="26">
        <f>257.06%+141.64%</f>
        <v>3.987</v>
      </c>
      <c r="AA9" s="27">
        <f>520+287</f>
        <v>807</v>
      </c>
      <c r="AB9" s="26">
        <f t="shared" si="0"/>
        <v>5.9805</v>
      </c>
      <c r="AC9" s="27"/>
      <c r="AE9">
        <v>1</v>
      </c>
    </row>
    <row r="10" customFormat="1" spans="1:31">
      <c r="A10" t="s">
        <v>84</v>
      </c>
      <c r="B10" s="28"/>
      <c r="Q10" s="26"/>
      <c r="R10" s="28"/>
      <c r="T10" s="28"/>
      <c r="Y10" t="s">
        <v>94</v>
      </c>
      <c r="Z10" s="26">
        <v>0.2361</v>
      </c>
      <c r="AA10" s="27">
        <v>47</v>
      </c>
      <c r="AB10" s="26">
        <f t="shared" si="0"/>
        <v>0.35415</v>
      </c>
      <c r="AC10" s="27"/>
      <c r="AE10">
        <v>0.6</v>
      </c>
    </row>
    <row r="11" customFormat="1" spans="1:31">
      <c r="A11" t="s">
        <v>157</v>
      </c>
      <c r="B11" s="28"/>
      <c r="Q11" s="26"/>
      <c r="R11" s="28"/>
      <c r="Y11" t="s">
        <v>94</v>
      </c>
      <c r="Z11" s="26">
        <f>272.47%/2</f>
        <v>1.36235</v>
      </c>
      <c r="AA11" s="27">
        <f>548/2</f>
        <v>274</v>
      </c>
      <c r="AB11" s="26">
        <f t="shared" si="0"/>
        <v>2.043525</v>
      </c>
      <c r="AC11" s="27"/>
      <c r="AE11">
        <v>1</v>
      </c>
    </row>
    <row r="12" customFormat="1" spans="1:31">
      <c r="A12" t="s">
        <v>158</v>
      </c>
      <c r="B12"/>
      <c r="Q12" s="26"/>
      <c r="R12" s="28"/>
      <c r="Y12" t="s">
        <v>94</v>
      </c>
      <c r="Z12" s="26">
        <f>272.47%+150.14%</f>
        <v>4.2261</v>
      </c>
      <c r="AA12" s="27">
        <f>548+302</f>
        <v>850</v>
      </c>
      <c r="AB12" s="26">
        <f t="shared" si="0"/>
        <v>6.33915</v>
      </c>
      <c r="AC12" s="27"/>
      <c r="AE12">
        <v>1</v>
      </c>
    </row>
    <row r="13" customFormat="1" spans="1:31">
      <c r="A13" t="s">
        <v>159</v>
      </c>
      <c r="B13" s="28"/>
      <c r="Q13" s="26"/>
      <c r="R13" s="28"/>
      <c r="T13" s="28"/>
      <c r="Y13" t="s">
        <v>94</v>
      </c>
      <c r="Z13" s="26">
        <v>0.2958</v>
      </c>
      <c r="AA13" s="27">
        <v>59</v>
      </c>
      <c r="AB13" s="26">
        <f t="shared" si="0"/>
        <v>0.4437</v>
      </c>
      <c r="AC13" s="27"/>
      <c r="AE13">
        <v>0.6</v>
      </c>
    </row>
    <row r="14" customFormat="1" spans="1:31">
      <c r="A14" t="s">
        <v>89</v>
      </c>
      <c r="B14"/>
      <c r="Q14" s="26"/>
      <c r="R14" s="28"/>
      <c r="Y14" t="s">
        <v>94</v>
      </c>
      <c r="Z14" s="26">
        <v>1.024</v>
      </c>
      <c r="AA14" s="27">
        <v>203</v>
      </c>
      <c r="AB14" s="26">
        <f t="shared" si="0"/>
        <v>1.536</v>
      </c>
      <c r="AC14" s="27"/>
      <c r="AE14">
        <v>1</v>
      </c>
    </row>
    <row r="15" customFormat="1" spans="1:31">
      <c r="A15" t="s">
        <v>92</v>
      </c>
      <c r="B15" s="28">
        <v>0.8</v>
      </c>
      <c r="Q15" s="26"/>
      <c r="R15" s="28"/>
      <c r="Y15" t="s">
        <v>94</v>
      </c>
      <c r="Z15" s="26">
        <v>1.7066</v>
      </c>
      <c r="AA15" s="27">
        <v>339</v>
      </c>
      <c r="AB15" s="26">
        <f t="shared" si="0"/>
        <v>2.5599</v>
      </c>
      <c r="AC15" s="27"/>
      <c r="AE15">
        <v>1</v>
      </c>
    </row>
    <row r="16" customFormat="1" spans="1:31">
      <c r="A16" t="s">
        <v>160</v>
      </c>
      <c r="B16"/>
      <c r="Q16" s="26"/>
      <c r="R16" s="28"/>
      <c r="Y16" t="s">
        <v>94</v>
      </c>
      <c r="Z16" s="26">
        <v>0.7022</v>
      </c>
      <c r="AA16" s="27">
        <v>139</v>
      </c>
      <c r="AB16" s="26">
        <f t="shared" si="0"/>
        <v>1.0533</v>
      </c>
      <c r="AC16" s="27"/>
      <c r="AE16">
        <v>1</v>
      </c>
    </row>
    <row r="17" customFormat="1" spans="1:31">
      <c r="A17" t="s">
        <v>95</v>
      </c>
      <c r="B17"/>
      <c r="Q17" s="26"/>
      <c r="R17" s="28"/>
      <c r="Y17" t="s">
        <v>94</v>
      </c>
      <c r="Z17" s="26">
        <v>1.6091</v>
      </c>
      <c r="AA17" s="27">
        <v>319</v>
      </c>
      <c r="AB17" s="26">
        <f t="shared" si="0"/>
        <v>2.41365</v>
      </c>
      <c r="AC17" s="27"/>
      <c r="AE17">
        <v>1</v>
      </c>
    </row>
    <row r="18" customFormat="1" spans="1:31">
      <c r="A18" t="s">
        <v>106</v>
      </c>
      <c r="B18"/>
      <c r="Q18" s="26"/>
      <c r="R18" s="28"/>
      <c r="Y18" t="s">
        <v>161</v>
      </c>
      <c r="Z18" s="26">
        <v>1</v>
      </c>
      <c r="AA18" s="27"/>
      <c r="AB18" s="26">
        <v>1</v>
      </c>
      <c r="AC18" s="27"/>
      <c r="AE18">
        <v>1</v>
      </c>
    </row>
    <row r="19" customFormat="1" spans="1:31">
      <c r="A19" t="s">
        <v>162</v>
      </c>
      <c r="B19" s="28"/>
      <c r="E19" s="28"/>
      <c r="G19" s="28"/>
      <c r="N19" s="28"/>
      <c r="R19" s="28"/>
      <c r="Y19" t="s">
        <v>97</v>
      </c>
      <c r="Z19" s="26">
        <f>254.72%*2.7</f>
        <v>6.87744</v>
      </c>
      <c r="AA19" s="27">
        <f>511*2.7</f>
        <v>1379.7</v>
      </c>
      <c r="AB19" s="26">
        <f>Z19*1.5</f>
        <v>10.31616</v>
      </c>
      <c r="AC19" s="27"/>
      <c r="AE19">
        <v>1</v>
      </c>
    </row>
    <row r="20" customFormat="1" spans="1:31">
      <c r="A20" t="s">
        <v>163</v>
      </c>
      <c r="Q20" s="26"/>
      <c r="Y20" t="s">
        <v>97</v>
      </c>
      <c r="Z20" s="26">
        <f>118.87%*2</f>
        <v>2.3774</v>
      </c>
      <c r="AA20" s="27">
        <f>238*2</f>
        <v>476</v>
      </c>
      <c r="AB20" s="26">
        <f>Z20*1.5</f>
        <v>3.5661</v>
      </c>
      <c r="AC20" s="27"/>
      <c r="AE20">
        <v>1</v>
      </c>
    </row>
    <row r="21" customFormat="1" spans="1:31">
      <c r="A21" t="s">
        <v>76</v>
      </c>
      <c r="Q21" s="26"/>
      <c r="Y21" t="s">
        <v>161</v>
      </c>
      <c r="Z21" s="26">
        <v>0</v>
      </c>
      <c r="AA21" s="27"/>
      <c r="AB21" s="26">
        <v>0</v>
      </c>
      <c r="AC21" s="27"/>
      <c r="AE21">
        <v>1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3"/>
  <sheetViews>
    <sheetView workbookViewId="0">
      <selection activeCell="R17" sqref="R17"/>
    </sheetView>
  </sheetViews>
  <sheetFormatPr defaultColWidth="9" defaultRowHeight="13.5"/>
  <cols>
    <col min="1" max="1" width="15.875" customWidth="1"/>
    <col min="2" max="2" width="9.00833333333333" customWidth="1"/>
    <col min="23" max="23" width="9" style="26"/>
    <col min="24" max="24" width="9.375" style="26"/>
    <col min="25" max="25" width="9" style="27"/>
  </cols>
  <sheetData>
    <row r="1" spans="1:27">
      <c r="B1" t="s">
        <v>34</v>
      </c>
      <c r="C1" t="s">
        <v>137</v>
      </c>
      <c r="D1" t="s">
        <v>138</v>
      </c>
      <c r="E1" t="s">
        <v>139</v>
      </c>
      <c r="F1" t="s">
        <v>140</v>
      </c>
      <c r="G1" t="s">
        <v>141</v>
      </c>
      <c r="H1" t="s">
        <v>142</v>
      </c>
      <c r="I1" t="s">
        <v>43</v>
      </c>
      <c r="J1" t="s">
        <v>44</v>
      </c>
      <c r="K1" t="s">
        <v>47</v>
      </c>
      <c r="L1" t="s">
        <v>48</v>
      </c>
      <c r="M1" t="s">
        <v>51</v>
      </c>
      <c r="N1" t="s">
        <v>52</v>
      </c>
      <c r="O1" t="s">
        <v>55</v>
      </c>
      <c r="P1" t="s">
        <v>56</v>
      </c>
      <c r="Q1" t="s">
        <v>102</v>
      </c>
      <c r="R1" t="s">
        <v>143</v>
      </c>
      <c r="S1" t="s">
        <v>103</v>
      </c>
      <c r="T1" t="s">
        <v>144</v>
      </c>
      <c r="U1" s="26" t="s">
        <v>105</v>
      </c>
      <c r="V1" s="27" t="s">
        <v>107</v>
      </c>
      <c r="W1" s="26" t="s">
        <v>65</v>
      </c>
    </row>
    <row r="2" customFormat="1" spans="1:27">
      <c r="A2" t="s">
        <v>71</v>
      </c>
      <c r="B2" s="28"/>
      <c r="I2">
        <f>IF(期望!$D$19="√",16,0)</f>
        <v>16</v>
      </c>
      <c r="K2">
        <f>IF(期望!$D$19="√",16,0)</f>
        <v>16</v>
      </c>
      <c r="M2">
        <f>IF(期望!$D$19="√",16,0)</f>
        <v>16</v>
      </c>
      <c r="O2">
        <f>IF(期望!$D$19="√",16,0)</f>
        <v>16</v>
      </c>
      <c r="W2" s="29"/>
      <c r="X2" s="29"/>
      <c r="Y2" s="27"/>
    </row>
    <row r="3" customFormat="1" spans="1:27">
      <c r="A3" t="s">
        <v>98</v>
      </c>
      <c r="B3" s="28"/>
      <c r="E3" s="28">
        <f>IF(期望!$D$21="√",12%,0)</f>
        <v>0.12</v>
      </c>
      <c r="H3" s="28">
        <f>IF(期望!$D$21="√",12%,0)</f>
        <v>0.12</v>
      </c>
      <c r="I3" s="28"/>
      <c r="W3" s="29"/>
      <c r="X3" s="29"/>
      <c r="Y3" s="30"/>
      <c r="Z3" s="29"/>
      <c r="AA3" s="27"/>
    </row>
    <row r="4" customFormat="1" spans="1:27">
      <c r="A4" t="s">
        <v>79</v>
      </c>
      <c r="B4" s="28"/>
      <c r="H4" s="28">
        <f>IF(期望!$D$21="√",6%,0)</f>
        <v>0.06</v>
      </c>
      <c r="W4" s="29"/>
      <c r="X4" s="29"/>
      <c r="Y4" s="30"/>
      <c r="Z4" s="29"/>
      <c r="AA4" s="27"/>
    </row>
    <row r="5" customFormat="1" spans="1:27">
      <c r="A5" t="s">
        <v>77</v>
      </c>
      <c r="B5" s="28"/>
      <c r="G5" s="28">
        <f>IF(期望!$D$21="√",2%,0)</f>
        <v>0.02</v>
      </c>
      <c r="J5" s="28">
        <f>IF(期望!$D$21="√",2%,0)</f>
        <v>0.02</v>
      </c>
      <c r="L5" s="28">
        <f>IF(期望!$D$21="√",2%,0)</f>
        <v>0.02</v>
      </c>
      <c r="N5" s="28">
        <f>IF(期望!$D$21="√",2%,0)</f>
        <v>0.02</v>
      </c>
      <c r="P5" s="28">
        <f>IF(期望!$D$21="√",2%,0)</f>
        <v>0.02</v>
      </c>
      <c r="W5" s="29"/>
      <c r="X5" s="29"/>
      <c r="Y5" s="30"/>
      <c r="Z5" s="29"/>
      <c r="AA5" s="27"/>
    </row>
    <row r="6" customFormat="1" spans="1:27">
      <c r="A6" t="s">
        <v>78</v>
      </c>
      <c r="B6" s="28"/>
      <c r="G6" s="28">
        <f>IF(期望!$D$22="√",2%,0)</f>
        <v>0.02</v>
      </c>
      <c r="J6" s="28">
        <f>IF(期望!$D$22="√",2%,0)</f>
        <v>0.02</v>
      </c>
      <c r="L6" s="28">
        <f>IF(期望!$D$22="√",2%,0)</f>
        <v>0.02</v>
      </c>
      <c r="N6" s="28">
        <f>IF(期望!$D$22="√",2%,0)</f>
        <v>0.02</v>
      </c>
      <c r="P6" s="28">
        <f>IF(期望!$D$22="√",2%,0)</f>
        <v>0.02</v>
      </c>
      <c r="W6" s="29"/>
      <c r="X6" s="29"/>
      <c r="Y6" s="30"/>
      <c r="Z6" s="29"/>
      <c r="AA6" s="27"/>
    </row>
    <row r="7" spans="1:27">
      <c r="A7" t="s">
        <v>164</v>
      </c>
      <c r="B7" s="28">
        <v>0.02</v>
      </c>
      <c r="R7" s="28"/>
      <c r="W7" s="29"/>
    </row>
    <row r="8" spans="1:27">
      <c r="A8" t="s">
        <v>81</v>
      </c>
      <c r="B8" s="28"/>
      <c r="R8" s="28"/>
      <c r="W8" s="29">
        <v>0.05</v>
      </c>
    </row>
    <row r="9" spans="1:27">
      <c r="A9" t="s">
        <v>165</v>
      </c>
      <c r="B9" s="28"/>
      <c r="W9" s="26">
        <v>0.1</v>
      </c>
    </row>
    <row r="10" spans="1:27">
      <c r="A10" t="s">
        <v>166</v>
      </c>
      <c r="B10" s="28"/>
      <c r="J10" s="28">
        <f>IF(期望!$D$18="√",10%,0)</f>
        <v>0.1</v>
      </c>
      <c r="W10" s="26">
        <f>IF(期望!$D$18="√",10%,0)</f>
        <v>0.1</v>
      </c>
      <c r="X10" s="29"/>
    </row>
    <row r="11" spans="1:27">
      <c r="A11" t="s">
        <v>85</v>
      </c>
      <c r="B11" s="28">
        <f>IF(期望!$D$20="√",25%,0)</f>
        <v>0.25</v>
      </c>
      <c r="X11" s="29"/>
    </row>
    <row r="12" spans="1:27">
      <c r="A12" t="s">
        <v>167</v>
      </c>
      <c r="C12">
        <f>559*5%</f>
        <v>27.95</v>
      </c>
      <c r="D12">
        <f>559*5%</f>
        <v>27.95</v>
      </c>
      <c r="R12" s="28"/>
      <c r="X12" s="29"/>
    </row>
    <row r="13" spans="1:27">
      <c r="A13" t="s">
        <v>72</v>
      </c>
      <c r="B13" s="28">
        <v>0.24</v>
      </c>
      <c r="R13" s="28"/>
      <c r="S13" s="28"/>
      <c r="T13" s="28"/>
      <c r="X13" s="29"/>
    </row>
    <row r="14" spans="1:27">
      <c r="A14" t="s">
        <v>75</v>
      </c>
      <c r="B14" s="28">
        <f>IF(期望!$E$22="四时无常",7%,0)</f>
        <v>0</v>
      </c>
      <c r="R14" s="28"/>
      <c r="S14" s="28"/>
      <c r="T14" s="28"/>
      <c r="X14" s="29"/>
    </row>
    <row r="15" spans="1:27">
      <c r="A15" t="s">
        <v>80</v>
      </c>
      <c r="B15" s="28">
        <f>IF(期望!$E$22="大卷微身",10%,0)</f>
        <v>0</v>
      </c>
      <c r="R15" s="28"/>
      <c r="S15" s="28"/>
      <c r="T15" s="28"/>
      <c r="X15" s="29"/>
    </row>
    <row r="16" spans="1:27">
      <c r="A16" t="s">
        <v>68</v>
      </c>
      <c r="Q16" s="28">
        <f>IF(期望!$G$2="浣花",5%,0)</f>
        <v>0.05</v>
      </c>
      <c r="R16" s="28">
        <f>IF(期望!$G$2="浣花",15%,0)</f>
        <v>0.15</v>
      </c>
      <c r="S16" s="28"/>
      <c r="T16" s="28"/>
      <c r="X16" s="29"/>
    </row>
    <row r="17" spans="1:24">
      <c r="A17" t="s">
        <v>168</v>
      </c>
      <c r="R17" s="28">
        <f>IF(期望!$F$16="√",1%,0)</f>
        <v>0.01</v>
      </c>
      <c r="S17" s="28"/>
      <c r="T17" s="28"/>
      <c r="X17" s="29"/>
    </row>
    <row r="18" spans="1:24">
      <c r="A18" t="s">
        <v>169</v>
      </c>
      <c r="R18" s="28">
        <f>IF(期望!$F$16="√",2%,0)</f>
        <v>0.02</v>
      </c>
      <c r="S18" s="28"/>
      <c r="T18" s="28"/>
      <c r="X18" s="29"/>
    </row>
    <row r="19" spans="1:24">
      <c r="A19" t="s">
        <v>170</v>
      </c>
      <c r="R19" s="28">
        <f>IF(期望!$F$16="√",3%,0)</f>
        <v>0.03</v>
      </c>
      <c r="S19" s="28"/>
      <c r="T19" s="28"/>
      <c r="X19" s="29"/>
    </row>
    <row r="20" spans="1:24">
      <c r="A20" t="s">
        <v>171</v>
      </c>
      <c r="R20" s="28">
        <f>IF(期望!$F$16="√",4%,0)</f>
        <v>0.04</v>
      </c>
      <c r="S20" s="28"/>
      <c r="T20" s="28"/>
      <c r="X20" s="29"/>
    </row>
    <row r="21" spans="1:24">
      <c r="A21" t="s">
        <v>172</v>
      </c>
      <c r="R21" s="28">
        <f>IF(期望!$F$16="√",5%,0)</f>
        <v>0.05</v>
      </c>
      <c r="S21" s="28"/>
      <c r="T21" s="28"/>
      <c r="X21" s="29"/>
    </row>
    <row r="22" spans="1:24">
      <c r="A22" t="s">
        <v>173</v>
      </c>
      <c r="R22" s="28">
        <f>IF(期望!$F$16="√",6%,0)</f>
        <v>0.06</v>
      </c>
      <c r="S22" s="28"/>
      <c r="T22" s="28"/>
      <c r="X22" s="29"/>
    </row>
    <row r="23" spans="1:24">
      <c r="A23" t="s">
        <v>174</v>
      </c>
      <c r="R23" s="28">
        <f>IF(期望!$F$16="√",7%,0)</f>
        <v>0.07</v>
      </c>
      <c r="S23" s="28"/>
      <c r="T23" s="28"/>
      <c r="X23" s="29"/>
    </row>
    <row r="24" spans="1:24">
      <c r="A24" t="s">
        <v>175</v>
      </c>
      <c r="R24" s="28">
        <f>IF(期望!$F$16="√",8%,0)</f>
        <v>0.08</v>
      </c>
      <c r="S24" s="28"/>
      <c r="T24" s="28"/>
      <c r="X24" s="29"/>
    </row>
    <row r="25" spans="1:24">
      <c r="A25" t="s">
        <v>176</v>
      </c>
      <c r="R25" s="28">
        <f>IF(期望!$F$16="√",9%,0)</f>
        <v>0.09</v>
      </c>
      <c r="S25" s="28"/>
      <c r="T25" s="28"/>
      <c r="X25" s="29"/>
    </row>
    <row r="26" spans="1:24">
      <c r="A26" t="s">
        <v>73</v>
      </c>
      <c r="R26" s="28">
        <f>IF(期望!$F$16="√",10%,0)</f>
        <v>0.1</v>
      </c>
      <c r="S26" s="28"/>
      <c r="T26" s="28"/>
      <c r="X26" s="29"/>
    </row>
    <row r="27" spans="1:24">
      <c r="A27" t="s">
        <v>177</v>
      </c>
      <c r="B27" s="28">
        <f>1%*IF(期望!$E$20="易水歌",1,0)</f>
        <v>0.01</v>
      </c>
      <c r="F27">
        <f>2*IF(期望!$E$20="易水歌",1,0)</f>
        <v>2</v>
      </c>
      <c r="X27" s="29"/>
    </row>
    <row r="28" spans="1:24">
      <c r="A28" t="s">
        <v>178</v>
      </c>
      <c r="B28" s="28">
        <f>2%*IF(期望!$E$20="易水歌",1,0)</f>
        <v>0.02</v>
      </c>
      <c r="F28">
        <f>4*IF(期望!$E$20="易水歌",1,0)</f>
        <v>4</v>
      </c>
      <c r="X28" s="29"/>
    </row>
    <row r="29" spans="1:24">
      <c r="A29" t="s">
        <v>179</v>
      </c>
      <c r="B29" s="28">
        <f>3%*IF(期望!$E$20="易水歌",1,0)</f>
        <v>0.03</v>
      </c>
      <c r="F29">
        <f>6*IF(期望!$E$20="易水歌",1,0)</f>
        <v>6</v>
      </c>
      <c r="X29" s="29"/>
    </row>
    <row r="30" spans="1:24">
      <c r="A30" t="s">
        <v>180</v>
      </c>
      <c r="B30" s="28">
        <f>4%*IF(期望!$E$20="易水歌",1,0)</f>
        <v>0.04</v>
      </c>
      <c r="F30">
        <f>8*IF(期望!$E$20="易水歌",1,0)</f>
        <v>8</v>
      </c>
      <c r="X30" s="29"/>
    </row>
    <row r="31" spans="1:24">
      <c r="A31" t="s">
        <v>74</v>
      </c>
      <c r="B31" s="28">
        <f>5%*IF(期望!$E$20="易水歌",1,0)</f>
        <v>0.05</v>
      </c>
      <c r="F31">
        <f>10*IF(期望!$E$20="易水歌",1,0)</f>
        <v>10</v>
      </c>
      <c r="X31" s="29"/>
    </row>
    <row r="32" spans="1:24">
      <c r="A32" t="s">
        <v>76</v>
      </c>
      <c r="X32" s="29"/>
    </row>
    <row r="33" spans="24:24">
      <c r="X33" s="29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"/>
  <sheetViews>
    <sheetView tabSelected="1" workbookViewId="0">
      <selection activeCell="C33" sqref="C33"/>
    </sheetView>
  </sheetViews>
  <sheetFormatPr defaultColWidth="9" defaultRowHeight="13.5" outlineLevelCol="3"/>
  <cols>
    <col min="1" max="1" width="9" style="1"/>
    <col min="3" max="3" width="67.5" customWidth="1"/>
    <col min="4" max="4" width="13.75" customWidth="1"/>
  </cols>
  <sheetData>
    <row r="1" ht="14.25" spans="1:4">
      <c r="A1" s="2" t="s">
        <v>181</v>
      </c>
      <c r="B1" s="3" t="s">
        <v>182</v>
      </c>
      <c r="C1" s="4" t="s">
        <v>183</v>
      </c>
      <c r="D1" s="5" t="s">
        <v>184</v>
      </c>
    </row>
    <row r="2" spans="1:4">
      <c r="A2" s="6">
        <v>0.1</v>
      </c>
      <c r="B2" s="7">
        <v>1</v>
      </c>
      <c r="C2" s="8" t="s">
        <v>185</v>
      </c>
      <c r="D2" s="4" t="s">
        <v>186</v>
      </c>
    </row>
    <row r="3" spans="1:4">
      <c r="A3" s="9"/>
      <c r="B3" s="10">
        <v>2</v>
      </c>
      <c r="C3" s="11" t="s">
        <v>187</v>
      </c>
    </row>
    <row r="4" spans="1:4">
      <c r="A4" s="9"/>
      <c r="B4" s="10">
        <v>3</v>
      </c>
      <c r="C4" s="11" t="s">
        <v>188</v>
      </c>
    </row>
    <row r="5" spans="1:4">
      <c r="A5" s="9"/>
      <c r="B5" s="12">
        <v>4</v>
      </c>
      <c r="C5" s="11" t="s">
        <v>189</v>
      </c>
    </row>
    <row r="6" spans="1:4">
      <c r="A6" s="9"/>
      <c r="B6" s="12">
        <v>5</v>
      </c>
      <c r="C6" s="11" t="s">
        <v>190</v>
      </c>
    </row>
    <row r="7" ht="14.25" spans="1:4">
      <c r="A7" s="13"/>
      <c r="B7" s="14">
        <v>6</v>
      </c>
      <c r="C7" s="15" t="s">
        <v>191</v>
      </c>
    </row>
    <row r="8" ht="14.25" spans="1:4">
      <c r="A8" s="16">
        <v>0.2</v>
      </c>
      <c r="B8" s="17">
        <v>1</v>
      </c>
      <c r="C8" s="18" t="s">
        <v>192</v>
      </c>
    </row>
    <row r="9" ht="14.25" spans="1:4">
      <c r="A9" s="16">
        <v>0.3</v>
      </c>
      <c r="B9" s="17">
        <v>1</v>
      </c>
      <c r="C9" s="18" t="s">
        <v>193</v>
      </c>
    </row>
    <row r="10" ht="14.25" spans="1:4">
      <c r="A10" s="19">
        <v>0.4</v>
      </c>
      <c r="B10" s="17">
        <v>1</v>
      </c>
      <c r="C10" s="18" t="s">
        <v>194</v>
      </c>
    </row>
    <row r="11" ht="14.25" spans="1:4">
      <c r="A11" s="16">
        <v>0.5</v>
      </c>
      <c r="B11" s="17">
        <v>1</v>
      </c>
      <c r="C11" s="18" t="s">
        <v>195</v>
      </c>
    </row>
    <row r="12" ht="14.25" spans="1:4">
      <c r="A12" s="16">
        <v>0.6</v>
      </c>
      <c r="B12" s="17">
        <v>1</v>
      </c>
      <c r="C12" s="18" t="s">
        <v>196</v>
      </c>
    </row>
    <row r="13" ht="14.25" spans="1:4">
      <c r="A13" s="16">
        <v>0.7</v>
      </c>
      <c r="B13" s="17">
        <v>1</v>
      </c>
      <c r="C13" s="18" t="s">
        <v>197</v>
      </c>
    </row>
    <row r="14" ht="14.25" spans="1:4">
      <c r="A14" s="20">
        <v>1</v>
      </c>
      <c r="B14" s="21">
        <v>1</v>
      </c>
      <c r="C14" s="8" t="s">
        <v>198</v>
      </c>
    </row>
    <row r="15" spans="1:4">
      <c r="A15" s="20">
        <v>1.1</v>
      </c>
      <c r="B15" s="21">
        <v>1</v>
      </c>
      <c r="C15" s="8" t="s">
        <v>199</v>
      </c>
    </row>
    <row r="16" ht="14.25" spans="1:4">
      <c r="A16" s="22"/>
      <c r="B16" s="14">
        <v>2</v>
      </c>
      <c r="C16" s="15" t="s">
        <v>200</v>
      </c>
    </row>
    <row r="17" spans="1:3">
      <c r="A17" s="20">
        <v>2</v>
      </c>
      <c r="B17" s="21">
        <v>1</v>
      </c>
      <c r="C17" s="8" t="s">
        <v>201</v>
      </c>
    </row>
    <row r="18" spans="1:3">
      <c r="A18" s="23"/>
      <c r="B18" s="12">
        <v>2</v>
      </c>
      <c r="C18" s="11" t="s">
        <v>202</v>
      </c>
    </row>
    <row r="19" spans="1:3">
      <c r="A19" s="23"/>
      <c r="B19" s="12">
        <v>3</v>
      </c>
      <c r="C19" s="11" t="s">
        <v>203</v>
      </c>
    </row>
    <row r="20" ht="14.25" spans="1:3">
      <c r="A20" s="22"/>
      <c r="B20" s="14"/>
      <c r="C20" s="15" t="s">
        <v>204</v>
      </c>
    </row>
    <row r="21" spans="1:3">
      <c r="A21" s="20">
        <v>2.1</v>
      </c>
      <c r="B21" s="21">
        <v>1</v>
      </c>
      <c r="C21" s="8" t="s">
        <v>205</v>
      </c>
    </row>
    <row r="22" ht="14.25" spans="1:3">
      <c r="A22" s="22"/>
      <c r="B22" s="14">
        <v>2</v>
      </c>
      <c r="C22" s="15" t="s">
        <v>206</v>
      </c>
    </row>
    <row r="23" ht="14.25" spans="1:3">
      <c r="A23" s="16">
        <v>2.2</v>
      </c>
      <c r="B23" s="17">
        <v>1</v>
      </c>
      <c r="C23" s="18" t="s">
        <v>207</v>
      </c>
    </row>
    <row r="24" ht="14.25" spans="1:3">
      <c r="A24" s="24">
        <v>3</v>
      </c>
      <c r="B24" s="25">
        <v>1</v>
      </c>
      <c r="C24" s="18" t="s">
        <v>208</v>
      </c>
    </row>
  </sheetData>
  <mergeCells count="4">
    <mergeCell ref="A2:A7"/>
    <mergeCell ref="A15:A16"/>
    <mergeCell ref="A17:A20"/>
    <mergeCell ref="A21:A22"/>
  </mergeCells>
  <hyperlinks>
    <hyperlink ref="D1" r:id="rId1" display="BiliBili@片雲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期望</vt:lpstr>
      <vt:lpstr>RD</vt:lpstr>
      <vt:lpstr>武学奇术</vt:lpstr>
      <vt:lpstr>增益</vt:lpstr>
      <vt:lpstr>更新日志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haruhi</dc:creator>
  <cp:lastModifiedBy>Violetta</cp:lastModifiedBy>
  <dcterms:created xsi:type="dcterms:W3CDTF">2023-05-12T11:15:00Z</dcterms:created>
  <dcterms:modified xsi:type="dcterms:W3CDTF">2026-10-07T05:06:32Z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A9271B5BCF9E4E1496E8D008C2A94A9E_12</vt:lpwstr>
  </property>
  <property fmtid="{D5CDD505-2E9C-101B-9397-08002B2CF9AE}" pid="4" name="CalculationRule">
    <vt:i4>0</vt:i4>
  </property>
</Properties>
</file>