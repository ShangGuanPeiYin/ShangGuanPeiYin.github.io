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<sst xmlns="http://schemas.openxmlformats.org/spreadsheetml/2006/main" count="5550" uniqueCount="235">
  <si>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</si>
  <si>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</si>
  <si>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</si>
  <si>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</si>
  <si>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</si>
  <si>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</si>
  <si>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</si>
  <si>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</si>
  <si>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</si>
  <si>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</si>
  <si>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</si>
  <si>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</si>
  <si>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</si>
  <si>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</si>
  <si>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</si>
  <si>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</si>
  <si>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</si>
  <si>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</si>
  <si>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</si>
  <si>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</si>
  <si>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</si>
  <si>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</si>
  <si>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</si>
  <si>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</si>
  <si>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</si>
  <si>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</si>
  <si>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</si>
  <si>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</si>
  <si>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</si>
  <si>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</si>
  <si>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</si>
  <si>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</si>
  <si>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</si>
  <si>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</si>
  <si>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</si>
  <si>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</si>
  <si>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</si>
  <si>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</si>
  <si>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</si>
  <si>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</si>
  <si>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</si>
  <si>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</si>
  <si>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</si>
  <si>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</si>
  <si>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</si>
  <si>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</si>
  <si>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</si>
  <si>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</si>
  <si>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</si>
  <si>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</si>
  <si>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</si>
  <si>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</si>
  <si>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</si>
  <si>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</si>
  <si>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</si>
  <si>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</si>
  <si>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</si>
  <si>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</si>
  <si>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</si>
  <si>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</si>
  <si>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</si>
  <si>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</si>
  <si>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</si>
  <si>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</si>
  <si>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</si>
  <si>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</si>
  <si>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</si>
  <si>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</si>
  <si>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</si>
  <si>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</si>
  <si>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</si>
  <si>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</si>
  <si>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</si>
  <si>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</si>
  <si>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</si>
  <si>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</si>
  <si>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</si>
  <si>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</si>
  <si>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</si>
  <si>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</si>
  <si>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</si>
  <si>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</si>
  <si>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离猎(拐)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</si>
  <si>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</si>
  <si>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</si>
  <si>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</si>
  <si>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</si>
  <si>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</si>
  <si>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</si>
  <si>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</si>
  <si>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</si>
  <si>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</si>
  <si>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</si>
  <si>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</si>
  <si>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</si>
  <si>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</si>
  <si>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</si>
  <si>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</si>
  <si>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</si>
  <si>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</si>
  <si>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</si>
  <si>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</si>
  <si>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</si>
  <si>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</si>
  <si>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扇～</t>
  </si>
  <si>
    <t>精准率</t>
  </si>
  <si>
    <t>实际属性</t>
  </si>
  <si>
    <t>战斗时间</t>
  </si>
  <si>
    <t>扇Q</t>
  </si>
  <si>
    <t>会心率</t>
  </si>
  <si>
    <t>扇重击派生斩击</t>
  </si>
  <si>
    <t>近战笛</t>
  </si>
  <si>
    <t>会意率</t>
  </si>
  <si>
    <t>总伤</t>
  </si>
  <si>
    <t>扇重击派生终结</t>
  </si>
  <si>
    <t>墨韵</t>
  </si>
  <si>
    <t>直接会心率</t>
  </si>
  <si>
    <t>旋律一123</t>
  </si>
  <si>
    <t>直接会意率</t>
  </si>
  <si>
    <t>DPS</t>
  </si>
  <si>
    <t>会心伤害加成</t>
  </si>
  <si>
    <t>旋律一4</t>
  </si>
  <si>
    <t>会意伤害加成</t>
  </si>
  <si>
    <t>RDPS</t>
  </si>
  <si>
    <t>鼓Q一段</t>
  </si>
  <si>
    <t>全武增</t>
  </si>
  <si>
    <t>团队增益</t>
  </si>
  <si>
    <t>鼓Q二段</t>
  </si>
  <si>
    <t>首领增</t>
  </si>
  <si>
    <t>威</t>
  </si>
  <si>
    <t>√</t>
  </si>
  <si>
    <t>沧海帖</t>
  </si>
  <si>
    <t>毕业率</t>
  </si>
  <si>
    <t>鼓R12</t>
  </si>
  <si>
    <t>鼓增</t>
  </si>
  <si>
    <t>尘</t>
  </si>
  <si>
    <t>所恨年年</t>
  </si>
  <si>
    <t>鼓R3</t>
  </si>
  <si>
    <t>扇增</t>
  </si>
  <si>
    <t>虹</t>
  </si>
  <si>
    <t>鼓轻击派生</t>
  </si>
  <si>
    <t>沧海帖6层</t>
  </si>
  <si>
    <t>单体奇术增</t>
  </si>
  <si>
    <t>钧</t>
  </si>
  <si>
    <t>群体奇术增</t>
  </si>
  <si>
    <t>影</t>
  </si>
  <si>
    <t>特殊技定音</t>
  </si>
  <si>
    <t>第三心法</t>
  </si>
  <si>
    <t>沧海帖7层</t>
  </si>
  <si>
    <t>固伤加成</t>
  </si>
  <si>
    <t>樽</t>
  </si>
  <si>
    <t>×</t>
  </si>
  <si>
    <t>易水歌</t>
  </si>
  <si>
    <t>食物加成</t>
  </si>
  <si>
    <t>第四心法</t>
  </si>
  <si>
    <t>弦墨篇</t>
  </si>
  <si>
    <t>沧海帖8层</t>
  </si>
  <si>
    <t>沧海帖9层</t>
  </si>
  <si>
    <t>沧海帖10层</t>
  </si>
  <si>
    <t>笛</t>
  </si>
  <si>
    <t>惧</t>
  </si>
  <si>
    <t>扇R派生单目标</t>
  </si>
  <si>
    <t>切武器</t>
  </si>
  <si>
    <t>旋律</t>
  </si>
  <si>
    <t>鼓Q</t>
  </si>
  <si>
    <t>RRR</t>
  </si>
  <si>
    <t>卸2</t>
  </si>
  <si>
    <t>轻击派生卸</t>
  </si>
  <si>
    <t>衍九矢9hit</t>
  </si>
  <si>
    <t>气竭</t>
  </si>
  <si>
    <t>真气失衡</t>
  </si>
  <si>
    <t>断石5</t>
  </si>
  <si>
    <t>扇～卸Q连</t>
  </si>
  <si>
    <t>移动药叉卸</t>
  </si>
  <si>
    <t>笛子</t>
  </si>
  <si>
    <t>射箭</t>
  </si>
  <si>
    <t>气</t>
  </si>
  <si>
    <t>机制</t>
  </si>
  <si>
    <t>扇～卸</t>
  </si>
  <si>
    <t>旋律1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</si>
  <si>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</si>
  <si>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</si>
  <si>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</si>
  <si>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</si>
  <si>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</si>
  <si>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</si>
  <si>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</si>
  <si>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</si>
  <si>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</si>
  <si>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</si>
  <si>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</si>
  <si>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</si>
  <si>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</si>
  <si>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</si>
  <si>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</si>
  <si>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萧呤千浪AOE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</si>
  <si>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</si>
  <si>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</si>
  <si>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</si>
  <si>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</si>
  <si>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</si>
  <si>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</si>
  <si>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</si>
  <si>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</si>
  <si>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</si>
  <si>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</si>
  <si>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</si>
  <si>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</si>
  <si>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</si>
  <si>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</si>
  <si>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</si>
  <si>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</si>
  <si>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</si>
  <si>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</si>
  <si>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</si>
  <si>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</si>
  <si>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</si>
  <si>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</si>
  <si>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</si>
  <si>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</si>
  <si>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</si>
  <si>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</si>
  <si>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</si>
  <si>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</si>
  <si>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</si>
  <si>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</si>
  <si>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</si>
  <si>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</si>
  <si>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</si>
  <si>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</si>
  <si>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</si>
  <si>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</si>
  <si>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</si>
  <si>
    <t>扩充了增益区</t>
  </si>
  <si>
    <t>增加了樽的rd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</si>
</sst>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AI124" sqref="AI124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7" width="9" style="31"/>
    <col min="39" max="39" width="9.375" style="26"/>
    <col min="40" max="40" width="9" style="27"/>
    <col min="41" max="41" width="9.375" style="26"/>
    <col min="42" max="42" width="9" style="27"/>
    <col min="43" max="44" width="9" style="26"/>
    <col min="45" max="46" width="9.375"/>
    <col min="47" max="49" width="9" style="32"/>
    <col min="52" max="53" width="9" style="32"/>
    <col min="59" max="59" width="9.375"/>
    <col min="66" max="70" width="9" style="26"/>
    <col min="71" max="72" width="9.00833333333333" style="26" customWidth="1"/>
    <col min="73" max="74" width="9" style="26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6" t="s">
        <v>35</v>
      </c>
      <c r="AN1" s="27" t="s">
        <v>36</v>
      </c>
      <c r="AO1" s="26" t="s">
        <v>37</v>
      </c>
      <c r="AP1" s="27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</row>
    <row r="2" spans="1:74">
      <c r="A2" s="41" t="s">
        <v>71</v>
      </c>
      <c r="B2" s="31">
        <v>4031.1</v>
      </c>
      <c r="C2" s="31">
        <v>3144.7</v>
      </c>
      <c r="D2" s="31">
        <v>58.4</v>
      </c>
      <c r="E2" s="42">
        <v>0.025</v>
      </c>
      <c r="F2" s="43" t="s">
        <v>72</v>
      </c>
      <c r="G2" s="44" t="s">
        <v>73</v>
      </c>
      <c r="H2" s="45" t="s">
        <v>74</v>
      </c>
      <c r="I2" s="11">
        <f>620*(1-IF(F17="√",0.06,0)-IF(D20="√",0.04,0))</f>
        <v>558</v>
      </c>
      <c r="K2" s="38">
        <f>($L2*$BS2+$M2*$BQ2+$N2*$BT2+$O2*$BU2)</f>
        <v>33822.4718504266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34261.4418557055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33649.9042978391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22104.156035939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19282.4570364417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79</v>
      </c>
      <c r="V2" s="40" t="s">
        <v>73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81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82</v>
      </c>
      <c r="AL2" t="str">
        <f>VLOOKUP($Q2,武学奇术!$A:$ZZ,25,FALSE)</f>
        <v>群体奇术</v>
      </c>
      <c r="AM2" s="26">
        <f>VLOOKUP($Q2,武学奇术!$A:$ZZ,26,FALSE)</f>
        <v>1.4904</v>
      </c>
      <c r="AN2" s="27">
        <f>VLOOKUP($Q2,武学奇术!$A:$ZZ,27,FALSE)*(1+IF(OR($AL2=$F$4,$AL2=$F$5),$B$22,0))</f>
        <v>378</v>
      </c>
      <c r="AO2" s="26">
        <f>VLOOKUP($Q2,武学奇术!$A:$ZZ,28,FALSE)</f>
        <v>2.2356</v>
      </c>
      <c r="AP2" s="27">
        <f>VLOOKUP($Q2,武学奇术!$A:$ZZ,29,FALSE)*(1+IF(OR($AL2=$F$4,$AL2=$F$5),$B$22,0))</f>
        <v>0</v>
      </c>
      <c r="AQ2" s="26" cm="1">
        <f t="array" ref="AQ2">$G$3+IFERROR(VLOOKUP($AL2,$F$4:$G$7,2,FALSE),0)+VLOOKUP($Q2,武学奇术!$A:$ZZ,2,FALSE)+SUM(_xlfn.XLOOKUP($R2:$AK2,增益!$A:$A,增益!$B:$B,0))</f>
        <v>0.3187</v>
      </c>
      <c r="AR2" s="26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4434.698</v>
      </c>
      <c r="AT2" cm="1">
        <f t="array" ref="AT2">$E$10*(1+$AR2)+VLOOKUP($Q2,武学奇术!$A:$ZZ,4,FALSE)+SUM(_xlfn.XLOOKUP($R2:$AK2,增益!$A:$A,增益!$D:$D,0))-$I$2</f>
        <v>4434.698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0.317</v>
      </c>
      <c r="AV2" s="32" cm="1">
        <f t="array" ref="AV2">$G$10+VLOOKUP($Q2,武学奇术!$A:$ZZ,7,FALSE)+SUM(_xlfn.XLOOKUP($R2:$AK2,增益!$A:$A,增益!$G:$G,0))</f>
        <v>0.205</v>
      </c>
      <c r="AW2" s="26" cm="1">
        <f t="array" ref="AW2">VLOOKUP($Q2,武学奇术!$A:$ZZ,8,FALSE)+SUM(_xlfn.XLOOKUP($R2:$AK2,增益!$A:$A,增益!$H:$H,0))</f>
        <v>0.18</v>
      </c>
      <c r="AX2">
        <f>$D$11*(1+$AW2)</f>
        <v>0</v>
      </c>
      <c r="AY2">
        <f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2" cm="1">
        <f t="array" ref="BA2">$G$11+VLOOKUP($Q2,武学奇术!$A:$ZZ,10,FALSE)+SUM(_xlfn.XLOOKUP($R2:$AK2,增益!$A:$A,增益!$J:$J,0))</f>
        <v>0.06</v>
      </c>
      <c r="BB2">
        <f>$D$12*(1+$AW2)</f>
        <v>0</v>
      </c>
      <c r="BC2">
        <f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2" cm="1">
        <f t="array" ref="BE2">$G$12+VLOOKUP($Q2,武学奇术!$A:$ZZ,12,FALSE)+SUM(_xlfn.XLOOKUP($R2:$AK2,增益!$A:$A,增益!$L:$L,0))</f>
        <v>0.06</v>
      </c>
      <c r="BF2">
        <f>$D$13*(1+$AW2)</f>
        <v>674.016</v>
      </c>
      <c r="BG2">
        <f>$E$13*(1+$AW2)</f>
        <v>1920.804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2" cm="1">
        <f t="array" ref="BI2">$G$13+VLOOKUP($Q2,武学奇术!$A:$ZZ,14,FALSE)+SUM(_xlfn.XLOOKUP($R2:$AK2,增益!$A:$A,增益!$N:$N,0))</f>
        <v>0.33</v>
      </c>
      <c r="BJ2">
        <f>$D$14*(1+$AW2)</f>
        <v>0</v>
      </c>
      <c r="BK2">
        <f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2" cm="1">
        <f t="array" ref="BM2">$G$14+VLOOKUP($Q2,武学奇术!$A:$ZZ,16,FALSE)+SUM(_xlfn.XLOOKUP($R2:$AK2,增益!$A:$A,增益!$P:$P,0))</f>
        <v>0.06</v>
      </c>
      <c r="BN2" s="26">
        <f>MIN(IF(VLOOKUP($Q2,武学奇术!$A:$ZZ,23,FALSE)=1,100%,$B$8),100%)</f>
        <v>0.9859</v>
      </c>
      <c r="BO2" s="26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6" cm="1">
        <f t="array" ref="BP2">1+$B$13+VLOOKUP($Q2,武学奇术!$A:$ZZ,18,FALSE)+SUM(_xlfn.XLOOKUP($R2:$AK2,增益!$A:$A,增益!$R:$R,0))</f>
        <v>1.55</v>
      </c>
      <c r="BQ2" s="26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6" cm="1">
        <f t="array" ref="BR2">1+$B$14+VLOOKUP($Q2,武学奇术!$A:$ZZ,20,FALSE)+SUM(_xlfn.XLOOKUP($R2:$AK2,增益!$A:$A,增益!$T:$T,0))</f>
        <v>1.35</v>
      </c>
      <c r="BS2" s="26">
        <f>MIN((1-BQ2)*BN2,BN2*BO2)</f>
        <v>0.87863408</v>
      </c>
      <c r="BT2" s="26">
        <f>1-BQ2-BS2-BU2</f>
        <v>0.01567581</v>
      </c>
      <c r="BU2" s="26">
        <f>IF(VLOOKUP($Q2,武学奇术!$A:$ZZ,22,FALSE)=1,0,(1-$BN2))*(1-$BQ2)</f>
        <v>0.01279011</v>
      </c>
      <c r="BV2" s="26" cm="1">
        <f t="array" ref="BV2">SUM(_xlfn.XLOOKUP($R2:$AK2,增益!$A:$A,增益!$W:$W,0))+$I$5</f>
        <v>0.11</v>
      </c>
    </row>
    <row r="3" spans="1:74">
      <c r="A3" s="46" t="s">
        <v>83</v>
      </c>
      <c r="B3" s="47"/>
      <c r="C3" s="47"/>
      <c r="D3" s="47"/>
      <c r="E3" s="48"/>
      <c r="F3" s="45" t="s">
        <v>39</v>
      </c>
      <c r="G3" s="49">
        <f>B16+1.5%+IF($D$16="√",8%,0)+IF($E$24="征人归",8%,0)</f>
        <v>0.1837</v>
      </c>
      <c r="H3" s="45" t="s">
        <v>84</v>
      </c>
      <c r="I3" s="11">
        <f>25-IF(D17="√",10,0)-IF(F17="√",10,0)</f>
        <v>5</v>
      </c>
      <c r="K3" s="38">
        <f t="shared" ref="K3:K34" si="0">($L3*$BS3+$M3*$BQ3+$N3*$BT3+$O3*$BU3)</f>
        <v>35182.5070704676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35647.7427624015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34982.4331882629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22851.1171553856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19789.3208379838</v>
      </c>
      <c r="P3" s="39">
        <v>1</v>
      </c>
      <c r="Q3" s="40" t="s">
        <v>75</v>
      </c>
      <c r="R3" s="40" t="s">
        <v>85</v>
      </c>
      <c r="S3" s="40" t="s">
        <v>86</v>
      </c>
      <c r="T3" s="40" t="s">
        <v>78</v>
      </c>
      <c r="U3" s="40" t="s">
        <v>79</v>
      </c>
      <c r="V3" s="40" t="s">
        <v>73</v>
      </c>
      <c r="W3" s="40" t="s">
        <v>80</v>
      </c>
      <c r="X3" s="40" t="s">
        <v>87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81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82</v>
      </c>
      <c r="AL3" t="str">
        <f>VLOOKUP($Q3,武学奇术!$A:$ZZ,25,FALSE)</f>
        <v>群体奇术</v>
      </c>
      <c r="AM3" s="26">
        <f>VLOOKUP($Q3,武学奇术!$A:$ZZ,26,FALSE)</f>
        <v>1.4904</v>
      </c>
      <c r="AN3" s="27">
        <f>VLOOKUP($Q3,武学奇术!$A:$ZZ,27,FALSE)*(1+IF(OR($AL3=$F$4,$AL3=$F$5),$B$22,0))</f>
        <v>378</v>
      </c>
      <c r="AO3" s="26">
        <f>VLOOKUP($Q3,武学奇术!$A:$ZZ,28,FALSE)</f>
        <v>2.2356</v>
      </c>
      <c r="AP3" s="27">
        <f>VLOOKUP($Q3,武学奇术!$A:$ZZ,29,FALSE)*(1+IF(OR($AL3=$F$4,$AL3=$F$5),$B$22,0))</f>
        <v>0</v>
      </c>
      <c r="AQ3" s="26" cm="1">
        <f t="array" ref="AQ3">$G$3+IFERROR(VLOOKUP($AL3,$F$4:$G$7,2,FALSE),0)+VLOOKUP($Q3,武学奇术!$A:$ZZ,2,FALSE)+SUM(_xlfn.XLOOKUP($R3:$AK3,增益!$A:$A,增益!$B:$B,0))</f>
        <v>0.3287</v>
      </c>
      <c r="AR3" s="26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4434.698</v>
      </c>
      <c r="AT3" cm="1">
        <f t="array" ref="AT3">$E$10*(1+$AR3)+VLOOKUP($Q3,武学奇术!$A:$ZZ,4,FALSE)+SUM(_xlfn.XLOOKUP($R3:$AK3,增益!$A:$A,增益!$D:$D,0))-$I$2</f>
        <v>4434.698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0.327</v>
      </c>
      <c r="AV3" s="32" cm="1">
        <f t="array" ref="AV3">$G$10+VLOOKUP($Q3,武学奇术!$A:$ZZ,7,FALSE)+SUM(_xlfn.XLOOKUP($R3:$AK3,增益!$A:$A,增益!$G:$G,0))</f>
        <v>0.205</v>
      </c>
      <c r="AW3" s="26" cm="1">
        <f t="array" ref="AW3">VLOOKUP($Q3,武学奇术!$A:$ZZ,8,FALSE)+SUM(_xlfn.XLOOKUP($R3:$AK3,增益!$A:$A,增益!$H:$H,0))</f>
        <v>0.18</v>
      </c>
      <c r="AX3">
        <f t="shared" ref="AX3:AX34" si="1">$D$11*(1+$AW3)</f>
        <v>0</v>
      </c>
      <c r="AY3">
        <f t="shared" ref="AY3:AY34" si="2">$E$11*(1+$AW3)</f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2" cm="1">
        <f t="array" ref="BA3">$G$11+VLOOKUP($Q3,武学奇术!$A:$ZZ,10,FALSE)+SUM(_xlfn.XLOOKUP($R3:$AK3,增益!$A:$A,增益!$J:$J,0))</f>
        <v>0.06</v>
      </c>
      <c r="BB3">
        <f t="shared" ref="BB3:BB34" si="3">$D$12*(1+$AW3)</f>
        <v>0</v>
      </c>
      <c r="BC3">
        <f t="shared" ref="BC3:BC34" si="4">$E$12*(1+$AW3)</f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2" cm="1">
        <f t="array" ref="BE3">$G$12+VLOOKUP($Q3,武学奇术!$A:$ZZ,12,FALSE)+SUM(_xlfn.XLOOKUP($R3:$AK3,增益!$A:$A,增益!$L:$L,0))</f>
        <v>0.06</v>
      </c>
      <c r="BF3">
        <f t="shared" ref="BF3:BF34" si="5">$D$13*(1+$AW3)</f>
        <v>674.016</v>
      </c>
      <c r="BG3">
        <f t="shared" ref="BG3:BG34" si="6">$E$13*(1+$AW3)</f>
        <v>1920.804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2" cm="1">
        <f t="array" ref="BI3">$G$13+VLOOKUP($Q3,武学奇术!$A:$ZZ,14,FALSE)+SUM(_xlfn.XLOOKUP($R3:$AK3,增益!$A:$A,增益!$N:$N,0))</f>
        <v>0.33</v>
      </c>
      <c r="BJ3">
        <f t="shared" ref="BJ3:BJ34" si="7">$D$14*(1+$AW3)</f>
        <v>0</v>
      </c>
      <c r="BK3">
        <f t="shared" ref="BK3:BK34" si="8">$E$14*(1+$AW3)</f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2" cm="1">
        <f t="array" ref="BM3">$G$14+VLOOKUP($Q3,武学奇术!$A:$ZZ,16,FALSE)+SUM(_xlfn.XLOOKUP($R3:$AK3,增益!$A:$A,增益!$P:$P,0))</f>
        <v>0.06</v>
      </c>
      <c r="BN3" s="26">
        <f>MIN(IF(VLOOKUP($Q3,武学奇术!$A:$ZZ,23,FALSE)=1,100%,$B$8),100%)</f>
        <v>0.9859</v>
      </c>
      <c r="BO3" s="26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6" cm="1">
        <f t="array" ref="BP3">1+$B$13+VLOOKUP($Q3,武学奇术!$A:$ZZ,18,FALSE)+SUM(_xlfn.XLOOKUP($R3:$AK3,增益!$A:$A,增益!$R:$R,0))</f>
        <v>1.56</v>
      </c>
      <c r="BQ3" s="26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6" cm="1">
        <f t="array" ref="BR3">1+$B$14+VLOOKUP($Q3,武学奇术!$A:$ZZ,20,FALSE)+SUM(_xlfn.XLOOKUP($R3:$AK3,增益!$A:$A,增益!$T:$T,0))</f>
        <v>1.35</v>
      </c>
      <c r="BS3" s="26">
        <f t="shared" ref="BS3:BS34" si="9">MIN((1-BQ3)*BN3,BN3*BO3)</f>
        <v>0.87863408</v>
      </c>
      <c r="BT3" s="26">
        <f t="shared" ref="BT3:BT34" si="10">1-BQ3-BS3-BU3</f>
        <v>0.01567581</v>
      </c>
      <c r="BU3" s="26">
        <f>IF(VLOOKUP($Q3,武学奇术!$A:$ZZ,22,FALSE)=1,0,(1-$BN3))*(1-$BQ3)</f>
        <v>0.01279011</v>
      </c>
      <c r="BV3" s="26" cm="1">
        <f t="array" ref="BV3">SUM(_xlfn.XLOOKUP($R3:$AK3,增益!$A:$A,增益!$W:$W,0))+$I$5</f>
        <v>0.11</v>
      </c>
    </row>
    <row r="4" spans="1:74">
      <c r="A4" s="50" t="s">
        <v>88</v>
      </c>
      <c r="B4" s="51"/>
      <c r="C4" s="51"/>
      <c r="D4" s="51"/>
      <c r="E4" s="52"/>
      <c r="F4" s="45" t="s">
        <v>89</v>
      </c>
      <c r="G4" s="49">
        <f>B15+B17</f>
        <v>0.1704</v>
      </c>
      <c r="H4" s="53" t="s">
        <v>90</v>
      </c>
      <c r="I4" s="14">
        <f>30</f>
        <v>30</v>
      </c>
      <c r="K4" s="38">
        <f t="shared" si="0"/>
        <v>35841.4300031743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36342.696531685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35414.6231936328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23148.2143513917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20063.3744852777</v>
      </c>
      <c r="P4" s="39">
        <v>1</v>
      </c>
      <c r="Q4" s="40" t="s">
        <v>75</v>
      </c>
      <c r="R4" s="40" t="s">
        <v>91</v>
      </c>
      <c r="S4" s="40" t="s">
        <v>92</v>
      </c>
      <c r="T4" s="40" t="s">
        <v>78</v>
      </c>
      <c r="U4" s="40" t="s">
        <v>79</v>
      </c>
      <c r="V4" s="40" t="s">
        <v>73</v>
      </c>
      <c r="W4" s="40" t="s">
        <v>80</v>
      </c>
      <c r="X4" s="40" t="s">
        <v>87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81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82</v>
      </c>
      <c r="AL4" t="str">
        <f>VLOOKUP($Q4,武学奇术!$A:$ZZ,25,FALSE)</f>
        <v>群体奇术</v>
      </c>
      <c r="AM4" s="26">
        <f>VLOOKUP($Q4,武学奇术!$A:$ZZ,26,FALSE)</f>
        <v>1.4904</v>
      </c>
      <c r="AN4" s="27">
        <f>VLOOKUP($Q4,武学奇术!$A:$ZZ,27,FALSE)*(1+IF(OR($AL4=$F$4,$AL4=$F$5),$B$22,0))</f>
        <v>378</v>
      </c>
      <c r="AO4" s="26">
        <f>VLOOKUP($Q4,武学奇术!$A:$ZZ,28,FALSE)</f>
        <v>2.2356</v>
      </c>
      <c r="AP4" s="27">
        <f>VLOOKUP($Q4,武学奇术!$A:$ZZ,29,FALSE)*(1+IF(OR($AL4=$F$4,$AL4=$F$5),$B$22,0))</f>
        <v>0</v>
      </c>
      <c r="AQ4" s="26" cm="1">
        <f t="array" ref="AQ4">$G$3+IFERROR(VLOOKUP($AL4,$F$4:$G$7,2,FALSE),0)+VLOOKUP($Q4,武学奇术!$A:$ZZ,2,FALSE)+SUM(_xlfn.XLOOKUP($R4:$AK4,增益!$A:$A,增益!$B:$B,0))</f>
        <v>0.3387</v>
      </c>
      <c r="AR4" s="26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4434.698</v>
      </c>
      <c r="AT4" cm="1">
        <f t="array" ref="AT4">$E$10*(1+$AR4)+VLOOKUP($Q4,武学奇术!$A:$ZZ,4,FALSE)+SUM(_xlfn.XLOOKUP($R4:$AK4,增益!$A:$A,增益!$D:$D,0))-$I$2</f>
        <v>4434.698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0.337</v>
      </c>
      <c r="AV4" s="32" cm="1">
        <f t="array" ref="AV4">$G$10+VLOOKUP($Q4,武学奇术!$A:$ZZ,7,FALSE)+SUM(_xlfn.XLOOKUP($R4:$AK4,增益!$A:$A,增益!$G:$G,0))</f>
        <v>0.205</v>
      </c>
      <c r="AW4" s="26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2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2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1920.804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2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2" cm="1">
        <f t="array" ref="BM4">$G$14+VLOOKUP($Q4,武学奇术!$A:$ZZ,16,FALSE)+SUM(_xlfn.XLOOKUP($R4:$AK4,增益!$A:$A,增益!$P:$P,0))</f>
        <v>0.06</v>
      </c>
      <c r="BN4" s="26">
        <f>MIN(IF(VLOOKUP($Q4,武学奇术!$A:$ZZ,23,FALSE)=1,100%,$B$8),100%)</f>
        <v>0.9859</v>
      </c>
      <c r="BO4" s="26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6" cm="1">
        <f t="array" ref="BP4">1+$B$13+VLOOKUP($Q4,武学奇术!$A:$ZZ,18,FALSE)+SUM(_xlfn.XLOOKUP($R4:$AK4,增益!$A:$A,增益!$R:$R,0))</f>
        <v>1.57</v>
      </c>
      <c r="BQ4" s="26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6" cm="1">
        <f t="array" ref="BR4">1+$B$14+VLOOKUP($Q4,武学奇术!$A:$ZZ,20,FALSE)+SUM(_xlfn.XLOOKUP($R4:$AK4,增益!$A:$A,增益!$T:$T,0))</f>
        <v>1.35</v>
      </c>
      <c r="BS4" s="26">
        <f t="shared" si="9"/>
        <v>0.87863408</v>
      </c>
      <c r="BT4" s="26">
        <f t="shared" si="10"/>
        <v>0.01567581</v>
      </c>
      <c r="BU4" s="26">
        <f>IF(VLOOKUP($Q4,武学奇术!$A:$ZZ,22,FALSE)=1,0,(1-$BN4))*(1-$BQ4)</f>
        <v>0.01279011</v>
      </c>
      <c r="BV4" s="26" cm="1">
        <f t="array" ref="BV4">SUM(_xlfn.XLOOKUP($R4:$AK4,增益!$A:$A,增益!$W:$W,0))+$I$5</f>
        <v>0.11</v>
      </c>
    </row>
    <row r="5" spans="1:74">
      <c r="A5" s="54" t="s">
        <v>5</v>
      </c>
      <c r="B5" s="55">
        <v>492</v>
      </c>
      <c r="C5" s="55">
        <v>1397.8</v>
      </c>
      <c r="D5" s="55">
        <v>30</v>
      </c>
      <c r="E5" s="56">
        <v>0.15</v>
      </c>
      <c r="F5" s="45" t="s">
        <v>93</v>
      </c>
      <c r="G5" s="49">
        <f>B15+B18</f>
        <v>0.0852</v>
      </c>
      <c r="H5" t="s">
        <v>94</v>
      </c>
      <c r="I5" s="29">
        <v>0.06</v>
      </c>
      <c r="K5" s="38">
        <f t="shared" si="0"/>
        <v>31730.0296072224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32168.9874316428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31468.464997474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20360.118627622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17410.2631830411</v>
      </c>
      <c r="P5" s="39">
        <v>1</v>
      </c>
      <c r="Q5" s="40" t="s">
        <v>75</v>
      </c>
      <c r="R5" s="40" t="s">
        <v>95</v>
      </c>
      <c r="S5" s="40" t="s">
        <v>96</v>
      </c>
      <c r="T5" s="40" t="s">
        <v>97</v>
      </c>
      <c r="U5" s="40" t="s">
        <v>79</v>
      </c>
      <c r="V5" s="40" t="s">
        <v>73</v>
      </c>
      <c r="W5" s="40" t="s">
        <v>80</v>
      </c>
      <c r="X5" s="40" t="s">
        <v>87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81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82</v>
      </c>
      <c r="AL5" t="str">
        <f>VLOOKUP($Q5,武学奇术!$A:$ZZ,25,FALSE)</f>
        <v>群体奇术</v>
      </c>
      <c r="AM5" s="26">
        <f>VLOOKUP($Q5,武学奇术!$A:$ZZ,26,FALSE)</f>
        <v>1.4904</v>
      </c>
      <c r="AN5" s="27">
        <f>VLOOKUP($Q5,武学奇术!$A:$ZZ,27,FALSE)*(1+IF(OR($AL5=$F$4,$AL5=$F$5),$B$22,0))</f>
        <v>378</v>
      </c>
      <c r="AO5" s="26">
        <f>VLOOKUP($Q5,武学奇术!$A:$ZZ,28,FALSE)</f>
        <v>2.2356</v>
      </c>
      <c r="AP5" s="27">
        <f>VLOOKUP($Q5,武学奇术!$A:$ZZ,29,FALSE)*(1+IF(OR($AL5=$F$4,$AL5=$F$5),$B$22,0))</f>
        <v>0</v>
      </c>
      <c r="AQ5" s="26" cm="1">
        <f t="array" ref="AQ5">$G$3+IFERROR(VLOOKUP($AL5,$F$4:$G$7,2,FALSE),0)+VLOOKUP($Q5,武学奇术!$A:$ZZ,2,FALSE)+SUM(_xlfn.XLOOKUP($R5:$AK5,增益!$A:$A,增益!$B:$B,0))</f>
        <v>0.3487</v>
      </c>
      <c r="AR5" s="26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3673.1</v>
      </c>
      <c r="AT5" cm="1">
        <f t="array" ref="AT5">$E$10*(1+$AR5)+VLOOKUP($Q5,武学奇术!$A:$ZZ,4,FALSE)+SUM(_xlfn.XLOOKUP($R5:$AK5,增益!$A:$A,增益!$D:$D,0))-$I$2</f>
        <v>3673.1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0.347</v>
      </c>
      <c r="AV5" s="32" cm="1">
        <f t="array" ref="AV5">$G$10+VLOOKUP($Q5,武学奇术!$A:$ZZ,7,FALSE)+SUM(_xlfn.XLOOKUP($R5:$AK5,增益!$A:$A,增益!$G:$G,0))</f>
        <v>0.205</v>
      </c>
      <c r="AW5" s="26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2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2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1823.136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2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2" cm="1">
        <f t="array" ref="BM5">$G$14+VLOOKUP($Q5,武学奇术!$A:$ZZ,16,FALSE)+SUM(_xlfn.XLOOKUP($R5:$AK5,增益!$A:$A,增益!$P:$P,0))</f>
        <v>0.06</v>
      </c>
      <c r="BN5" s="26">
        <f>MIN(IF(VLOOKUP($Q5,武学奇术!$A:$ZZ,23,FALSE)=1,100%,$B$8),100%)</f>
        <v>0.9859</v>
      </c>
      <c r="BO5" s="26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6" cm="1">
        <f t="array" ref="BP5">1+$B$13+VLOOKUP($Q5,武学奇术!$A:$ZZ,18,FALSE)+SUM(_xlfn.XLOOKUP($R5:$AK5,增益!$A:$A,增益!$R:$R,0))</f>
        <v>1.58</v>
      </c>
      <c r="BQ5" s="26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6" cm="1">
        <f t="array" ref="BR5">1+$B$14+VLOOKUP($Q5,武学奇术!$A:$ZZ,20,FALSE)+SUM(_xlfn.XLOOKUP($R5:$AK5,增益!$A:$A,增益!$T:$T,0))</f>
        <v>1.35</v>
      </c>
      <c r="BS5" s="26">
        <f t="shared" si="9"/>
        <v>0.87863408</v>
      </c>
      <c r="BT5" s="26">
        <f t="shared" si="10"/>
        <v>0.01567581</v>
      </c>
      <c r="BU5" s="26">
        <f>IF(VLOOKUP($Q5,武学奇术!$A:$ZZ,22,FALSE)=1,0,(1-$BN5))*(1-$BQ5)</f>
        <v>0.01279011</v>
      </c>
      <c r="BV5" s="26" cm="1">
        <f t="array" ref="BV5">SUM(_xlfn.XLOOKUP($R5:$AK5,增益!$A:$A,增益!$W:$W,0))+$I$5</f>
        <v>0.11</v>
      </c>
    </row>
    <row r="6" spans="1:74">
      <c r="A6" s="57" t="s">
        <v>98</v>
      </c>
      <c r="B6" s="58"/>
      <c r="C6" s="58"/>
      <c r="D6" s="58"/>
      <c r="E6" s="59"/>
      <c r="F6" s="45" t="s">
        <v>99</v>
      </c>
      <c r="G6" s="49">
        <f>B19</f>
        <v>0</v>
      </c>
      <c r="K6" s="38">
        <f t="shared" si="0"/>
        <v>32310.4610375386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32781.7245924189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31845.371586306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20617.4368505779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17645.7095631514</v>
      </c>
      <c r="P6" s="39">
        <v>1</v>
      </c>
      <c r="Q6" s="40" t="s">
        <v>75</v>
      </c>
      <c r="R6" s="40" t="s">
        <v>100</v>
      </c>
      <c r="S6" s="40" t="s">
        <v>101</v>
      </c>
      <c r="T6" s="40" t="s">
        <v>97</v>
      </c>
      <c r="U6" s="40" t="s">
        <v>79</v>
      </c>
      <c r="V6" s="40" t="s">
        <v>73</v>
      </c>
      <c r="W6" s="40" t="s">
        <v>80</v>
      </c>
      <c r="X6" s="40" t="s">
        <v>87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81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82</v>
      </c>
      <c r="AL6" t="str">
        <f>VLOOKUP($Q6,武学奇术!$A:$ZZ,25,FALSE)</f>
        <v>群体奇术</v>
      </c>
      <c r="AM6" s="26">
        <f>VLOOKUP($Q6,武学奇术!$A:$ZZ,26,FALSE)</f>
        <v>1.4904</v>
      </c>
      <c r="AN6" s="27">
        <f>VLOOKUP($Q6,武学奇术!$A:$ZZ,27,FALSE)*(1+IF(OR($AL6=$F$4,$AL6=$F$5),$B$22,0))</f>
        <v>378</v>
      </c>
      <c r="AO6" s="26">
        <f>VLOOKUP($Q6,武学奇术!$A:$ZZ,28,FALSE)</f>
        <v>2.2356</v>
      </c>
      <c r="AP6" s="27">
        <f>VLOOKUP($Q6,武学奇术!$A:$ZZ,29,FALSE)*(1+IF(OR($AL6=$F$4,$AL6=$F$5),$B$22,0))</f>
        <v>0</v>
      </c>
      <c r="AQ6" s="26" cm="1">
        <f t="array" ref="AQ6">$G$3+IFERROR(VLOOKUP($AL6,$F$4:$G$7,2,FALSE),0)+VLOOKUP($Q6,武学奇术!$A:$ZZ,2,FALSE)+SUM(_xlfn.XLOOKUP($R6:$AK6,增益!$A:$A,增益!$B:$B,0))</f>
        <v>0.3587</v>
      </c>
      <c r="AR6" s="26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3673.1</v>
      </c>
      <c r="AT6" cm="1">
        <f t="array" ref="AT6">$E$10*(1+$AR6)+VLOOKUP($Q6,武学奇术!$A:$ZZ,4,FALSE)+SUM(_xlfn.XLOOKUP($R6:$AK6,增益!$A:$A,增益!$D:$D,0))-$I$2</f>
        <v>3673.1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0.357</v>
      </c>
      <c r="AV6" s="32" cm="1">
        <f t="array" ref="AV6">$G$10+VLOOKUP($Q6,武学奇术!$A:$ZZ,7,FALSE)+SUM(_xlfn.XLOOKUP($R6:$AK6,增益!$A:$A,增益!$G:$G,0))</f>
        <v>0.205</v>
      </c>
      <c r="AW6" s="26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2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2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1823.136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2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2" cm="1">
        <f t="array" ref="BM6">$G$14+VLOOKUP($Q6,武学奇术!$A:$ZZ,16,FALSE)+SUM(_xlfn.XLOOKUP($R6:$AK6,增益!$A:$A,增益!$P:$P,0))</f>
        <v>0.06</v>
      </c>
      <c r="BN6" s="26">
        <f>MIN(IF(VLOOKUP($Q6,武学奇术!$A:$ZZ,23,FALSE)=1,100%,$B$8),100%)</f>
        <v>0.9859</v>
      </c>
      <c r="BO6" s="26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6" cm="1">
        <f t="array" ref="BP6">1+$B$13+VLOOKUP($Q6,武学奇术!$A:$ZZ,18,FALSE)+SUM(_xlfn.XLOOKUP($R6:$AK6,增益!$A:$A,增益!$R:$R,0))</f>
        <v>1.59</v>
      </c>
      <c r="BQ6" s="26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6" cm="1">
        <f t="array" ref="BR6">1+$B$14+VLOOKUP($Q6,武学奇术!$A:$ZZ,20,FALSE)+SUM(_xlfn.XLOOKUP($R6:$AK6,增益!$A:$A,增益!$T:$T,0))</f>
        <v>1.35</v>
      </c>
      <c r="BS6" s="26">
        <f t="shared" si="9"/>
        <v>0.87863408</v>
      </c>
      <c r="BT6" s="26">
        <f t="shared" si="10"/>
        <v>0.01567581</v>
      </c>
      <c r="BU6" s="26">
        <f>IF(VLOOKUP($Q6,武学奇术!$A:$ZZ,22,FALSE)=1,0,(1-$BN6))*(1-$BQ6)</f>
        <v>0.01279011</v>
      </c>
      <c r="BV6" s="26" cm="1">
        <f t="array" ref="BV6">SUM(_xlfn.XLOOKUP($R6:$AK6,增益!$A:$A,增益!$W:$W,0))+$I$5</f>
        <v>0.11</v>
      </c>
    </row>
    <row r="7" spans="1:74">
      <c r="A7" s="85" t="s">
        <v>102</v>
      </c>
      <c r="B7" s="61">
        <v>79.2</v>
      </c>
      <c r="C7" s="61">
        <f>92.4+68.8*2</f>
        <v>230</v>
      </c>
      <c r="D7" s="62"/>
      <c r="E7" s="63"/>
      <c r="F7" s="53" t="s">
        <v>103</v>
      </c>
      <c r="G7" s="64">
        <f>B20</f>
        <v>0</v>
      </c>
      <c r="K7" s="38">
        <f t="shared" si="0"/>
        <v>19161.492232447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19408.2041415348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19085.1946410615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12521.4220267967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10905.6628379922</v>
      </c>
      <c r="P7" s="39">
        <v>1</v>
      </c>
      <c r="Q7" s="40" t="s">
        <v>104</v>
      </c>
      <c r="R7" s="40" t="s">
        <v>76</v>
      </c>
      <c r="S7" s="40" t="s">
        <v>77</v>
      </c>
      <c r="T7" s="40" t="s">
        <v>97</v>
      </c>
      <c r="U7" s="40" t="s">
        <v>80</v>
      </c>
      <c r="V7" s="40" t="s">
        <v>73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81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82</v>
      </c>
      <c r="AL7" t="str">
        <f>VLOOKUP($Q7,武学奇术!$A:$ZZ,25,FALSE)</f>
        <v>扇</v>
      </c>
      <c r="AM7" s="26">
        <f>VLOOKUP($Q7,武学奇术!$A:$ZZ,26,FALSE)</f>
        <v>0.9271</v>
      </c>
      <c r="AN7" s="27">
        <f>VLOOKUP($Q7,武学奇术!$A:$ZZ,27,FALSE)*(1+IF(OR($AL7=$F$4,$AL7=$F$5),$B$22,0))</f>
        <v>385.5</v>
      </c>
      <c r="AO7" s="26">
        <f>VLOOKUP($Q7,武学奇术!$A:$ZZ,28,FALSE)</f>
        <v>1.3907</v>
      </c>
      <c r="AP7" s="27">
        <f>VLOOKUP($Q7,武学奇术!$A:$ZZ,29,FALSE)*(1+IF(OR($AL7=$F$4,$AL7=$F$5),$B$22,0))</f>
        <v>210</v>
      </c>
      <c r="AQ7" s="26" cm="1">
        <f t="array" ref="AQ7">$G$3+IFERROR(VLOOKUP($AL7,$F$4:$G$7,2,FALSE),0)+VLOOKUP($Q7,武学奇术!$A:$ZZ,2,FALSE)+SUM(_xlfn.XLOOKUP($R7:$AK7,增益!$A:$A,增益!$B:$B,0))</f>
        <v>0.2789</v>
      </c>
      <c r="AR7" s="26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3673.1</v>
      </c>
      <c r="AT7" cm="1">
        <f t="array" ref="AT7">$E$10*(1+$AR7)+VLOOKUP($Q7,武学奇术!$A:$ZZ,4,FALSE)+SUM(_xlfn.XLOOKUP($R7:$AK7,增益!$A:$A,增益!$D:$D,0))-$I$2</f>
        <v>3673.1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0.317</v>
      </c>
      <c r="AV7" s="32" cm="1">
        <f t="array" ref="AV7">$G$10+VLOOKUP($Q7,武学奇术!$A:$ZZ,7,FALSE)+SUM(_xlfn.XLOOKUP($R7:$AK7,增益!$A:$A,增益!$G:$G,0))</f>
        <v>0.205</v>
      </c>
      <c r="AW7" s="26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2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2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1823.136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2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2" cm="1">
        <f t="array" ref="BM7">$G$14+VLOOKUP($Q7,武学奇术!$A:$ZZ,16,FALSE)+SUM(_xlfn.XLOOKUP($R7:$AK7,增益!$A:$A,增益!$P:$P,0))</f>
        <v>0.06</v>
      </c>
      <c r="BN7" s="26">
        <f>MIN(IF(VLOOKUP($Q7,武学奇术!$A:$ZZ,23,FALSE)=1,100%,$B$8),100%)</f>
        <v>0.9859</v>
      </c>
      <c r="BO7" s="26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6" cm="1">
        <f t="array" ref="BP7">1+$B$13+VLOOKUP($Q7,武学奇术!$A:$ZZ,18,FALSE)+SUM(_xlfn.XLOOKUP($R7:$AK7,增益!$A:$A,增益!$R:$R,0))</f>
        <v>1.55</v>
      </c>
      <c r="BQ7" s="26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6" cm="1">
        <f t="array" ref="BR7">1+$B$14+VLOOKUP($Q7,武学奇术!$A:$ZZ,20,FALSE)+SUM(_xlfn.XLOOKUP($R7:$AK7,增益!$A:$A,增益!$T:$T,0))</f>
        <v>1.35</v>
      </c>
      <c r="BS7" s="26">
        <f t="shared" si="9"/>
        <v>0.87863408</v>
      </c>
      <c r="BT7" s="26">
        <f t="shared" si="10"/>
        <v>0.01567581</v>
      </c>
      <c r="BU7" s="26">
        <f>IF(VLOOKUP($Q7,武学奇术!$A:$ZZ,22,FALSE)=1,0,(1-$BN7))*(1-$BQ7)</f>
        <v>0.01279011</v>
      </c>
      <c r="BV7" s="26" cm="1">
        <f t="array" ref="BV7">SUM(_xlfn.XLOOKUP($R7:$AK7,增益!$A:$A,增益!$W:$W,0))+$I$5</f>
        <v>0.11</v>
      </c>
    </row>
    <row r="8" spans="1:74">
      <c r="A8" s="65" t="s">
        <v>105</v>
      </c>
      <c r="B8" s="66">
        <v>0.9859</v>
      </c>
      <c r="C8" s="36" t="s">
        <v>106</v>
      </c>
      <c r="D8" s="67"/>
      <c r="E8" s="67"/>
      <c r="F8" s="67"/>
      <c r="G8" s="37"/>
      <c r="H8" s="68" t="s">
        <v>107</v>
      </c>
      <c r="I8" s="22">
        <v>100.8</v>
      </c>
      <c r="J8" s="69"/>
      <c r="K8" s="38">
        <f t="shared" si="0"/>
        <v>85667.572126802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86728.1149582534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85787.2083560886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55953.6225537119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48361.1648436544</v>
      </c>
      <c r="P8" s="39">
        <v>1</v>
      </c>
      <c r="Q8" s="40" t="s">
        <v>108</v>
      </c>
      <c r="R8" s="40" t="s">
        <v>76</v>
      </c>
      <c r="S8" s="40" t="s">
        <v>77</v>
      </c>
      <c r="T8" s="40" t="s">
        <v>97</v>
      </c>
      <c r="U8" s="40" t="s">
        <v>80</v>
      </c>
      <c r="V8" s="40" t="s">
        <v>73</v>
      </c>
      <c r="W8" s="40" t="s">
        <v>80</v>
      </c>
      <c r="X8" s="40" t="s">
        <v>87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81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82</v>
      </c>
      <c r="AL8" t="str">
        <f>VLOOKUP($Q8,武学奇术!$A:$ZZ,25,FALSE)</f>
        <v>扇</v>
      </c>
      <c r="AM8" s="26">
        <f>VLOOKUP($Q8,武学奇术!$A:$ZZ,26,FALSE)</f>
        <v>4.045375</v>
      </c>
      <c r="AN8" s="27">
        <f>VLOOKUP($Q8,武学奇术!$A:$ZZ,27,FALSE)*(1+IF(OR($AL8=$F$4,$AL8=$F$5),$B$22,0))</f>
        <v>1678.125</v>
      </c>
      <c r="AO8" s="26">
        <f>VLOOKUP($Q8,武学奇术!$A:$ZZ,28,FALSE)</f>
        <v>6.068125</v>
      </c>
      <c r="AP8" s="27">
        <f>VLOOKUP($Q8,武学奇术!$A:$ZZ,29,FALSE)*(1+IF(OR($AL8=$F$4,$AL8=$F$5),$B$22,0))</f>
        <v>913.125</v>
      </c>
      <c r="AQ8" s="26" cm="1">
        <f t="array" ref="AQ8">$G$3+IFERROR(VLOOKUP($AL8,$F$4:$G$7,2,FALSE),0)+VLOOKUP($Q8,武学奇术!$A:$ZZ,2,FALSE)+SUM(_xlfn.XLOOKUP($R8:$AK8,增益!$A:$A,增益!$B:$B,0))</f>
        <v>0.2789</v>
      </c>
      <c r="AR8" s="26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3673.1</v>
      </c>
      <c r="AT8" cm="1">
        <f t="array" ref="AT8">$E$10*(1+$AR8)+VLOOKUP($Q8,武学奇术!$A:$ZZ,4,FALSE)+SUM(_xlfn.XLOOKUP($R8:$AK8,增益!$A:$A,增益!$D:$D,0))-$I$2</f>
        <v>3673.1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0.317</v>
      </c>
      <c r="AV8" s="32" cm="1">
        <f t="array" ref="AV8">$G$10+VLOOKUP($Q8,武学奇术!$A:$ZZ,7,FALSE)+SUM(_xlfn.XLOOKUP($R8:$AK8,增益!$A:$A,增益!$G:$G,0))</f>
        <v>0.205</v>
      </c>
      <c r="AW8" s="26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2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2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1823.136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2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2" cm="1">
        <f t="array" ref="BM8">$G$14+VLOOKUP($Q8,武学奇术!$A:$ZZ,16,FALSE)+SUM(_xlfn.XLOOKUP($R8:$AK8,增益!$A:$A,增益!$P:$P,0))</f>
        <v>0.06</v>
      </c>
      <c r="BN8" s="26">
        <f>MIN(IF(VLOOKUP($Q8,武学奇术!$A:$ZZ,23,FALSE)=1,100%,$B$8),100%)</f>
        <v>0.9859</v>
      </c>
      <c r="BO8" s="26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6" cm="1">
        <f t="array" ref="BP8">1+$B$13+VLOOKUP($Q8,武学奇术!$A:$ZZ,18,FALSE)+SUM(_xlfn.XLOOKUP($R8:$AK8,增益!$A:$A,增益!$R:$R,0))</f>
        <v>1.55</v>
      </c>
      <c r="BQ8" s="26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6" cm="1">
        <f t="array" ref="BR8">1+$B$14+VLOOKUP($Q8,武学奇术!$A:$ZZ,20,FALSE)+SUM(_xlfn.XLOOKUP($R8:$AK8,增益!$A:$A,增益!$T:$T,0))</f>
        <v>1.35</v>
      </c>
      <c r="BS8" s="26">
        <f t="shared" si="9"/>
        <v>0.87863408</v>
      </c>
      <c r="BT8" s="26">
        <f t="shared" si="10"/>
        <v>0.01567581</v>
      </c>
      <c r="BU8" s="26">
        <f>IF(VLOOKUP($Q8,武学奇术!$A:$ZZ,22,FALSE)=1,0,(1-$BN8))*(1-$BQ8)</f>
        <v>0.01279011</v>
      </c>
      <c r="BV8" s="26" cm="1">
        <f t="array" ref="BV8">SUM(_xlfn.XLOOKUP($R8:$AK8,增益!$A:$A,增益!$W:$W,0))+$I$5</f>
        <v>0.11</v>
      </c>
    </row>
    <row r="9" spans="1:74">
      <c r="A9" s="41" t="s">
        <v>109</v>
      </c>
      <c r="B9" s="70">
        <v>0.7992</v>
      </c>
      <c r="C9" s="45"/>
      <c r="D9" t="s">
        <v>0</v>
      </c>
      <c r="E9" t="s">
        <v>1</v>
      </c>
      <c r="F9" s="39" t="s">
        <v>2</v>
      </c>
      <c r="G9" s="44" t="s">
        <v>3</v>
      </c>
      <c r="H9" s="71"/>
      <c r="I9" s="24"/>
      <c r="J9" s="72"/>
      <c r="K9" s="38">
        <f t="shared" si="0"/>
        <v>23063.9375450349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23350.6149821303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23083.6492863051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15064.912891697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13030.8263120568</v>
      </c>
      <c r="P9" s="39">
        <v>1</v>
      </c>
      <c r="Q9" s="40" t="s">
        <v>110</v>
      </c>
      <c r="R9" s="40" t="s">
        <v>85</v>
      </c>
      <c r="S9" s="40" t="s">
        <v>77</v>
      </c>
      <c r="T9" s="40" t="s">
        <v>97</v>
      </c>
      <c r="U9" s="40" t="s">
        <v>111</v>
      </c>
      <c r="V9" s="40" t="s">
        <v>73</v>
      </c>
      <c r="W9" s="40" t="s">
        <v>80</v>
      </c>
      <c r="X9" s="40" t="s">
        <v>87</v>
      </c>
      <c r="Y9" s="40" t="s">
        <v>80</v>
      </c>
      <c r="Z9" s="40" t="s">
        <v>80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81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82</v>
      </c>
      <c r="AL9" t="str">
        <f>VLOOKUP($Q9,武学奇术!$A:$ZZ,25,FALSE)</f>
        <v>扇</v>
      </c>
      <c r="AM9" s="26">
        <f>VLOOKUP($Q9,武学奇术!$A:$ZZ,26,FALSE)</f>
        <v>0.9186</v>
      </c>
      <c r="AN9" s="27">
        <f>VLOOKUP($Q9,武学奇术!$A:$ZZ,27,FALSE)*(1+IF(OR($AL9=$F$4,$AL9=$F$5),$B$22,0))</f>
        <v>381</v>
      </c>
      <c r="AO9" s="26">
        <f>VLOOKUP($Q9,武学奇术!$A:$ZZ,28,FALSE)</f>
        <v>1.3779</v>
      </c>
      <c r="AP9" s="27">
        <f>VLOOKUP($Q9,武学奇术!$A:$ZZ,29,FALSE)*(1+IF(OR($AL9=$F$4,$AL9=$F$5),$B$22,0))</f>
        <v>207</v>
      </c>
      <c r="AQ9" s="26" cm="1">
        <f t="array" ref="AQ9">$G$3+IFERROR(VLOOKUP($AL9,$F$4:$G$7,2,FALSE),0)+VLOOKUP($Q9,武学奇术!$A:$ZZ,2,FALSE)+SUM(_xlfn.XLOOKUP($R9:$AK9,增益!$A:$A,增益!$B:$B,0))</f>
        <v>0.5089</v>
      </c>
      <c r="AR9" s="26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3673.1</v>
      </c>
      <c r="AT9" cm="1">
        <f t="array" ref="AT9">$E$10*(1+$AR9)+VLOOKUP($Q9,武学奇术!$A:$ZZ,4,FALSE)+SUM(_xlfn.XLOOKUP($R9:$AK9,增益!$A:$A,增益!$D:$D,0))-$I$2</f>
        <v>3673.1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0.327</v>
      </c>
      <c r="AV9" s="32" cm="1">
        <f t="array" ref="AV9">$G$10+VLOOKUP($Q9,武学奇术!$A:$ZZ,7,FALSE)+SUM(_xlfn.XLOOKUP($R9:$AK9,增益!$A:$A,增益!$G:$G,0))</f>
        <v>0.205</v>
      </c>
      <c r="AW9" s="26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2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2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1823.136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2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2" cm="1">
        <f t="array" ref="BM9">$G$14+VLOOKUP($Q9,武学奇术!$A:$ZZ,16,FALSE)+SUM(_xlfn.XLOOKUP($R9:$AK9,增益!$A:$A,增益!$P:$P,0))</f>
        <v>0.06</v>
      </c>
      <c r="BN9" s="26">
        <f>MIN(IF(VLOOKUP($Q9,武学奇术!$A:$ZZ,23,FALSE)=1,100%,$B$8),100%)</f>
        <v>0.9859</v>
      </c>
      <c r="BO9" s="26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6" cm="1">
        <f t="array" ref="BP9">1+$B$13+VLOOKUP($Q9,武学奇术!$A:$ZZ,18,FALSE)+SUM(_xlfn.XLOOKUP($R9:$AK9,增益!$A:$A,增益!$R:$R,0))</f>
        <v>1.55</v>
      </c>
      <c r="BQ9" s="26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6" cm="1">
        <f t="array" ref="BR9">1+$B$14+VLOOKUP($Q9,武学奇术!$A:$ZZ,20,FALSE)+SUM(_xlfn.XLOOKUP($R9:$AK9,增益!$A:$A,增益!$T:$T,0))</f>
        <v>1.35</v>
      </c>
      <c r="BS9" s="26">
        <f t="shared" si="9"/>
        <v>0.87863408</v>
      </c>
      <c r="BT9" s="26">
        <f t="shared" si="10"/>
        <v>0.01567581</v>
      </c>
      <c r="BU9" s="26">
        <f>IF(VLOOKUP($Q9,武学奇术!$A:$ZZ,22,FALSE)=1,0,(1-$BN9))*(1-$BQ9)</f>
        <v>0.01279011</v>
      </c>
      <c r="BV9" s="26" cm="1">
        <f t="array" ref="BV9">SUM(_xlfn.XLOOKUP($R9:$AK9,增益!$A:$A,增益!$W:$W,0))+$I$5</f>
        <v>0.11</v>
      </c>
    </row>
    <row r="10" spans="1:74">
      <c r="A10" s="41" t="s">
        <v>112</v>
      </c>
      <c r="B10" s="70">
        <v>0.0929</v>
      </c>
      <c r="C10" s="45" t="s">
        <v>71</v>
      </c>
      <c r="D10">
        <f>(B2+B23)*IF($G$2="撼天",1.06,1)</f>
        <v>4231.1</v>
      </c>
      <c r="E10">
        <f>MAX(B2+B23,C2+B24)*IF($G$2="撼天",1.06,1)</f>
        <v>4231.1</v>
      </c>
      <c r="F10">
        <f>D2</f>
        <v>58.4</v>
      </c>
      <c r="G10" s="87">
        <f>E2</f>
        <v>0.025</v>
      </c>
      <c r="H10" s="68" t="s">
        <v>113</v>
      </c>
      <c r="I10" s="73">
        <f>SUM(K:K)</f>
        <v>10763814.2343509</v>
      </c>
      <c r="J10" s="74"/>
      <c r="K10" s="38">
        <f t="shared" si="0"/>
        <v>61485.4575044025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62293.8598161009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61186.2562602743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39931.9614205775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34540.7700557666</v>
      </c>
      <c r="P10" s="39">
        <v>1</v>
      </c>
      <c r="Q10" s="40" t="s">
        <v>114</v>
      </c>
      <c r="R10" s="40" t="s">
        <v>85</v>
      </c>
      <c r="S10" s="40" t="s">
        <v>86</v>
      </c>
      <c r="T10" s="40" t="s">
        <v>97</v>
      </c>
      <c r="U10" s="40" t="s">
        <v>79</v>
      </c>
      <c r="V10" s="40" t="s">
        <v>73</v>
      </c>
      <c r="W10" s="40" t="s">
        <v>115</v>
      </c>
      <c r="X10" s="40" t="s">
        <v>87</v>
      </c>
      <c r="Y10" s="40" t="s">
        <v>80</v>
      </c>
      <c r="Z10" s="40" t="s">
        <v>80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81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82</v>
      </c>
      <c r="AL10" t="str">
        <f>VLOOKUP($Q10,武学奇术!$A:$ZZ,25,FALSE)</f>
        <v>扇</v>
      </c>
      <c r="AM10" s="26">
        <f>VLOOKUP($Q10,武学奇术!$A:$ZZ,26,FALSE)</f>
        <v>2.1435</v>
      </c>
      <c r="AN10" s="27">
        <f>VLOOKUP($Q10,武学奇术!$A:$ZZ,27,FALSE)*(1+IF(OR($AL10=$F$4,$AL10=$F$5),$B$22,0))</f>
        <v>888</v>
      </c>
      <c r="AO10" s="26">
        <f>VLOOKUP($Q10,武学奇术!$A:$ZZ,28,FALSE)</f>
        <v>3.2152</v>
      </c>
      <c r="AP10" s="27">
        <f>VLOOKUP($Q10,武学奇术!$A:$ZZ,29,FALSE)*(1+IF(OR($AL10=$F$4,$AL10=$F$5),$B$22,0))</f>
        <v>484.5</v>
      </c>
      <c r="AQ10" s="26" cm="1">
        <f t="array" ref="AQ10">$G$3+IFERROR(VLOOKUP($AL10,$F$4:$G$7,2,FALSE),0)+VLOOKUP($Q10,武学奇术!$A:$ZZ,2,FALSE)+SUM(_xlfn.XLOOKUP($R10:$AK10,增益!$A:$A,增益!$B:$B,0))</f>
        <v>0.7139</v>
      </c>
      <c r="AR10" s="26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3673.1</v>
      </c>
      <c r="AT10" cm="1">
        <f t="array" ref="AT10">$E$10*(1+$AR10)+VLOOKUP($Q10,武学奇术!$A:$ZZ,4,FALSE)+SUM(_xlfn.XLOOKUP($R10:$AK10,增益!$A:$A,增益!$D:$D,0))-$I$2</f>
        <v>3673.1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0.327</v>
      </c>
      <c r="AV10" s="32" cm="1">
        <f t="array" ref="AV10">$G$10+VLOOKUP($Q10,武学奇术!$A:$ZZ,7,FALSE)+SUM(_xlfn.XLOOKUP($R10:$AK10,增益!$A:$A,增益!$G:$G,0))</f>
        <v>0.205</v>
      </c>
      <c r="AW10" s="26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2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2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1823.136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2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2" cm="1">
        <f t="array" ref="BM10">$G$14+VLOOKUP($Q10,武学奇术!$A:$ZZ,16,FALSE)+SUM(_xlfn.XLOOKUP($R10:$AK10,增益!$A:$A,增益!$P:$P,0))</f>
        <v>0.06</v>
      </c>
      <c r="BN10" s="26">
        <f>MIN(IF(VLOOKUP($Q10,武学奇术!$A:$ZZ,23,FALSE)=1,100%,$B$8),100%)</f>
        <v>0.9859</v>
      </c>
      <c r="BO10" s="26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6" cm="1">
        <f t="array" ref="BP10">1+$B$13+VLOOKUP($Q10,武学奇术!$A:$ZZ,18,FALSE)+SUM(_xlfn.XLOOKUP($R10:$AK10,增益!$A:$A,增益!$R:$R,0))</f>
        <v>1.56</v>
      </c>
      <c r="BQ10" s="26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6" cm="1">
        <f t="array" ref="BR10">1+$B$14+VLOOKUP($Q10,武学奇术!$A:$ZZ,20,FALSE)+SUM(_xlfn.XLOOKUP($R10:$AK10,增益!$A:$A,增益!$T:$T,0))</f>
        <v>1.35</v>
      </c>
      <c r="BS10" s="26">
        <f t="shared" si="9"/>
        <v>0.87863408</v>
      </c>
      <c r="BT10" s="26">
        <f t="shared" si="10"/>
        <v>0.01567581</v>
      </c>
      <c r="BU10" s="26">
        <f>IF(VLOOKUP($Q10,武学奇术!$A:$ZZ,22,FALSE)=1,0,(1-$BN10))*(1-$BQ10)</f>
        <v>0.01279011</v>
      </c>
      <c r="BV10" s="26" cm="1">
        <f t="array" ref="BV10">SUM(_xlfn.XLOOKUP($R10:$AK10,增益!$A:$A,增益!$W:$W,0))+$I$5</f>
        <v>0.11</v>
      </c>
    </row>
    <row r="11" spans="1:74">
      <c r="A11" s="41" t="s">
        <v>116</v>
      </c>
      <c r="B11" s="70">
        <f>9.2%+IF(E24="断石之构",4.1%,0)</f>
        <v>0.092</v>
      </c>
      <c r="C11" s="45" t="s">
        <v>83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7">
        <f>E3</f>
        <v>0</v>
      </c>
      <c r="H11" s="71"/>
      <c r="I11" s="75"/>
      <c r="J11" s="76"/>
      <c r="K11" s="38">
        <f t="shared" si="0"/>
        <v>163385.203361784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168624.559501057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137675.734613546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90658.3653231491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79334.7050066341</v>
      </c>
      <c r="P11" s="39">
        <v>1</v>
      </c>
      <c r="Q11" s="40" t="s">
        <v>117</v>
      </c>
      <c r="R11" s="40" t="s">
        <v>91</v>
      </c>
      <c r="S11" s="40" t="s">
        <v>86</v>
      </c>
      <c r="T11" s="40" t="s">
        <v>78</v>
      </c>
      <c r="U11" s="40" t="s">
        <v>79</v>
      </c>
      <c r="V11" s="40" t="s">
        <v>73</v>
      </c>
      <c r="W11" s="40" t="s">
        <v>115</v>
      </c>
      <c r="X11" s="40" t="s">
        <v>87</v>
      </c>
      <c r="Y11" s="40" t="s">
        <v>80</v>
      </c>
      <c r="Z11" s="40" t="s">
        <v>80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81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82</v>
      </c>
      <c r="AL11" t="str">
        <f>VLOOKUP($Q11,武学奇术!$A:$ZZ,25,FALSE)</f>
        <v>鼓</v>
      </c>
      <c r="AM11" s="26">
        <f>VLOOKUP($Q11,武学奇术!$A:$ZZ,26,FALSE)</f>
        <v>3.08125</v>
      </c>
      <c r="AN11" s="27">
        <f>VLOOKUP($Q11,武学奇术!$A:$ZZ,27,FALSE)*(1+IF(OR($AL11=$F$4,$AL11=$F$5),$B$22,0))</f>
        <v>1277.55</v>
      </c>
      <c r="AO11" s="26">
        <f>VLOOKUP($Q11,武学奇术!$A:$ZZ,28,FALSE)</f>
        <v>4.62196</v>
      </c>
      <c r="AP11" s="27">
        <f>VLOOKUP($Q11,武学奇术!$A:$ZZ,29,FALSE)*(1+IF(OR($AL11=$F$4,$AL11=$F$5),$B$22,0))</f>
        <v>696.15</v>
      </c>
      <c r="AQ11" s="26" cm="1">
        <f t="array" ref="AQ11">$G$3+IFERROR(VLOOKUP($AL11,$F$4:$G$7,2,FALSE),0)+VLOOKUP($Q11,武学奇术!$A:$ZZ,2,FALSE)+SUM(_xlfn.XLOOKUP($R11:$AK11,增益!$A:$A,增益!$B:$B,0))</f>
        <v>0.7091</v>
      </c>
      <c r="AR11" s="26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4434.698</v>
      </c>
      <c r="AT11" cm="1">
        <f t="array" ref="AT11">$E$10*(1+$AR11)+VLOOKUP($Q11,武学奇术!$A:$ZZ,4,FALSE)+SUM(_xlfn.XLOOKUP($R11:$AK11,增益!$A:$A,增益!$D:$D,0))-$I$2</f>
        <v>4434.698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0.397</v>
      </c>
      <c r="AV11" s="32" cm="1">
        <f t="array" ref="AV11">$G$10+VLOOKUP($Q11,武学奇术!$A:$ZZ,7,FALSE)+SUM(_xlfn.XLOOKUP($R11:$AK11,增益!$A:$A,增益!$G:$G,0))</f>
        <v>0.205</v>
      </c>
      <c r="AW11" s="26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2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2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1920.804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2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2" cm="1">
        <f t="array" ref="BM11">$G$14+VLOOKUP($Q11,武学奇术!$A:$ZZ,16,FALSE)+SUM(_xlfn.XLOOKUP($R11:$AK11,增益!$A:$A,增益!$P:$P,0))</f>
        <v>0.06</v>
      </c>
      <c r="BN11" s="26">
        <f>MIN(IF(VLOOKUP($Q11,武学奇术!$A:$ZZ,23,FALSE)=1,100%,$B$8),100%)</f>
        <v>0.9859</v>
      </c>
      <c r="BO11" s="26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6" cm="1">
        <f t="array" ref="BP11">1+$B$13+VLOOKUP($Q11,武学奇术!$A:$ZZ,18,FALSE)+SUM(_xlfn.XLOOKUP($R11:$AK11,增益!$A:$A,增益!$R:$R,0))</f>
        <v>1.86</v>
      </c>
      <c r="BQ11" s="26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6" cm="1">
        <f t="array" ref="BR11">1+$B$14+VLOOKUP($Q11,武学奇术!$A:$ZZ,20,FALSE)+SUM(_xlfn.XLOOKUP($R11:$AK11,增益!$A:$A,增益!$T:$T,0))</f>
        <v>1.35</v>
      </c>
      <c r="BS11" s="26">
        <f t="shared" si="9"/>
        <v>0.87863408</v>
      </c>
      <c r="BT11" s="26">
        <f t="shared" si="10"/>
        <v>0.01567581</v>
      </c>
      <c r="BU11" s="26">
        <f>IF(VLOOKUP($Q11,武学奇术!$A:$ZZ,22,FALSE)=1,0,(1-$BN11))*(1-$BQ11)</f>
        <v>0.01279011</v>
      </c>
      <c r="BV11" s="26" cm="1">
        <f t="array" ref="BV11">SUM(_xlfn.XLOOKUP($R11:$AK11,增益!$A:$A,增益!$W:$W,0))+$I$5</f>
        <v>0.11</v>
      </c>
    </row>
    <row r="12" spans="1:74">
      <c r="A12" s="41" t="s">
        <v>118</v>
      </c>
      <c r="B12" s="70">
        <v>0</v>
      </c>
      <c r="C12" s="45" t="s">
        <v>88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7">
        <f>E4</f>
        <v>0</v>
      </c>
      <c r="H12" s="68" t="s">
        <v>119</v>
      </c>
      <c r="I12" s="38">
        <f>I10/I8</f>
        <v>106783.871372529</v>
      </c>
      <c r="J12" s="77"/>
      <c r="K12" s="38">
        <f t="shared" si="0"/>
        <v>331914.653514153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342742.301247812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278187.053292651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183284.653073696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160504.82222691</v>
      </c>
      <c r="P12" s="39">
        <v>2</v>
      </c>
      <c r="Q12" s="40" t="s">
        <v>117</v>
      </c>
      <c r="R12" s="40" t="s">
        <v>95</v>
      </c>
      <c r="S12" s="40" t="s">
        <v>92</v>
      </c>
      <c r="T12" s="40" t="s">
        <v>78</v>
      </c>
      <c r="U12" s="40" t="s">
        <v>79</v>
      </c>
      <c r="V12" s="40" t="s">
        <v>73</v>
      </c>
      <c r="W12" s="40" t="s">
        <v>115</v>
      </c>
      <c r="X12" s="40" t="s">
        <v>87</v>
      </c>
      <c r="Y12" s="40" t="s">
        <v>80</v>
      </c>
      <c r="Z12" s="40" t="s">
        <v>80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81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82</v>
      </c>
      <c r="AL12" t="str">
        <f>VLOOKUP($Q12,武学奇术!$A:$ZZ,25,FALSE)</f>
        <v>鼓</v>
      </c>
      <c r="AM12" s="26">
        <f>VLOOKUP($Q12,武学奇术!$A:$ZZ,26,FALSE)</f>
        <v>3.08125</v>
      </c>
      <c r="AN12" s="27">
        <f>VLOOKUP($Q12,武学奇术!$A:$ZZ,27,FALSE)*(1+IF(OR($AL12=$F$4,$AL12=$F$5),$B$22,0))</f>
        <v>1277.55</v>
      </c>
      <c r="AO12" s="26">
        <f>VLOOKUP($Q12,武学奇术!$A:$ZZ,28,FALSE)</f>
        <v>4.62196</v>
      </c>
      <c r="AP12" s="27">
        <f>VLOOKUP($Q12,武学奇术!$A:$ZZ,29,FALSE)*(1+IF(OR($AL12=$F$4,$AL12=$F$5),$B$22,0))</f>
        <v>696.15</v>
      </c>
      <c r="AQ12" s="26" cm="1">
        <f t="array" ref="AQ12">$G$3+IFERROR(VLOOKUP($AL12,$F$4:$G$7,2,FALSE),0)+VLOOKUP($Q12,武学奇术!$A:$ZZ,2,FALSE)+SUM(_xlfn.XLOOKUP($R12:$AK12,增益!$A:$A,增益!$B:$B,0))</f>
        <v>0.7191</v>
      </c>
      <c r="AR12" s="26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4434.698</v>
      </c>
      <c r="AT12" cm="1">
        <f t="array" ref="AT12">$E$10*(1+$AR12)+VLOOKUP($Q12,武学奇术!$A:$ZZ,4,FALSE)+SUM(_xlfn.XLOOKUP($R12:$AK12,增益!$A:$A,增益!$D:$D,0))-$I$2</f>
        <v>4434.698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0.407</v>
      </c>
      <c r="AV12" s="32" cm="1">
        <f t="array" ref="AV12">$G$10+VLOOKUP($Q12,武学奇术!$A:$ZZ,7,FALSE)+SUM(_xlfn.XLOOKUP($R12:$AK12,增益!$A:$A,增益!$G:$G,0))</f>
        <v>0.205</v>
      </c>
      <c r="AW12" s="26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2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2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1920.804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2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2" cm="1">
        <f t="array" ref="BM12">$G$14+VLOOKUP($Q12,武学奇术!$A:$ZZ,16,FALSE)+SUM(_xlfn.XLOOKUP($R12:$AK12,增益!$A:$A,增益!$P:$P,0))</f>
        <v>0.06</v>
      </c>
      <c r="BN12" s="26">
        <f>MIN(IF(VLOOKUP($Q12,武学奇术!$A:$ZZ,23,FALSE)=1,100%,$B$8),100%)</f>
        <v>0.9859</v>
      </c>
      <c r="BO12" s="26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6" cm="1">
        <f t="array" ref="BP12">1+$B$13+VLOOKUP($Q12,武学奇术!$A:$ZZ,18,FALSE)+SUM(_xlfn.XLOOKUP($R12:$AK12,增益!$A:$A,增益!$R:$R,0))</f>
        <v>1.87</v>
      </c>
      <c r="BQ12" s="26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6" cm="1">
        <f t="array" ref="BR12">1+$B$14+VLOOKUP($Q12,武学奇术!$A:$ZZ,20,FALSE)+SUM(_xlfn.XLOOKUP($R12:$AK12,增益!$A:$A,增益!$T:$T,0))</f>
        <v>1.35</v>
      </c>
      <c r="BS12" s="26">
        <f t="shared" si="9"/>
        <v>0.87863408</v>
      </c>
      <c r="BT12" s="26">
        <f t="shared" si="10"/>
        <v>0.01567581</v>
      </c>
      <c r="BU12" s="26">
        <f>IF(VLOOKUP($Q12,武学奇术!$A:$ZZ,22,FALSE)=1,0,(1-$BN12))*(1-$BQ12)</f>
        <v>0.01279011</v>
      </c>
      <c r="BV12" s="26" cm="1">
        <f t="array" ref="BV12">SUM(_xlfn.XLOOKUP($R12:$AK12,增益!$A:$A,增益!$W:$W,0))+$I$5</f>
        <v>0.11</v>
      </c>
    </row>
    <row r="13" spans="1:74">
      <c r="A13" s="41" t="s">
        <v>120</v>
      </c>
      <c r="B13" s="70">
        <f>54%+IF(G2="时雨",10%,0)</f>
        <v>0.54</v>
      </c>
      <c r="C13" s="45" t="s">
        <v>5</v>
      </c>
      <c r="D13">
        <f>(B5+IF($G$1=$C13,$B$7,0))*IF($G$2="撼天",1.06,1)</f>
        <v>571.2</v>
      </c>
      <c r="E13">
        <f>(MAX(B5,C5)+IF($G$1=$C13,$C$7,0))*IF($G$2="撼天",1.06,1)</f>
        <v>1627.8</v>
      </c>
      <c r="F13">
        <f>D5</f>
        <v>30</v>
      </c>
      <c r="G13" s="87">
        <f>E5</f>
        <v>0.15</v>
      </c>
      <c r="H13" s="71"/>
      <c r="I13" s="78"/>
      <c r="J13" s="76"/>
      <c r="K13" s="38">
        <f t="shared" si="0"/>
        <v>443203.36643378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460047.567395273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352458.76287278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232347.256260239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203613.947429529</v>
      </c>
      <c r="P13" s="39">
        <v>2</v>
      </c>
      <c r="Q13" s="40" t="s">
        <v>121</v>
      </c>
      <c r="R13" s="40" t="s">
        <v>100</v>
      </c>
      <c r="S13" s="40" t="s">
        <v>96</v>
      </c>
      <c r="T13" s="40" t="s">
        <v>78</v>
      </c>
      <c r="U13" s="40" t="s">
        <v>79</v>
      </c>
      <c r="V13" s="40" t="s">
        <v>73</v>
      </c>
      <c r="W13" s="40" t="s">
        <v>115</v>
      </c>
      <c r="X13" s="40" t="s">
        <v>87</v>
      </c>
      <c r="Y13" s="40" t="s">
        <v>80</v>
      </c>
      <c r="Z13" s="40" t="s">
        <v>80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81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82</v>
      </c>
      <c r="AL13" t="str">
        <f>VLOOKUP($Q13,武学奇术!$A:$ZZ,25,FALSE)</f>
        <v>鼓</v>
      </c>
      <c r="AM13" s="26">
        <f>VLOOKUP($Q13,武学奇术!$A:$ZZ,26,FALSE)</f>
        <v>3.75547</v>
      </c>
      <c r="AN13" s="27">
        <f>VLOOKUP($Q13,武学奇术!$A:$ZZ,27,FALSE)*(1+IF(OR($AL13=$F$4,$AL13=$F$5),$B$22,0))</f>
        <v>1558.05</v>
      </c>
      <c r="AO13" s="26">
        <f>VLOOKUP($Q13,武学奇术!$A:$ZZ,28,FALSE)</f>
        <v>5.63329</v>
      </c>
      <c r="AP13" s="27">
        <f>VLOOKUP($Q13,武学奇术!$A:$ZZ,29,FALSE)*(1+IF(OR($AL13=$F$4,$AL13=$F$5),$B$22,0))</f>
        <v>849.15</v>
      </c>
      <c r="AQ13" s="26" cm="1">
        <f t="array" ref="AQ13">$G$3+IFERROR(VLOOKUP($AL13,$F$4:$G$7,2,FALSE),0)+VLOOKUP($Q13,武学奇术!$A:$ZZ,2,FALSE)+SUM(_xlfn.XLOOKUP($R13:$AK13,增益!$A:$A,增益!$B:$B,0))</f>
        <v>0.7791</v>
      </c>
      <c r="AR13" s="26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4434.698</v>
      </c>
      <c r="AT13" cm="1">
        <f t="array" ref="AT13">$E$10*(1+$AR13)+VLOOKUP($Q13,武学奇术!$A:$ZZ,4,FALSE)+SUM(_xlfn.XLOOKUP($R13:$AK13,增益!$A:$A,增益!$D:$D,0))-$I$2</f>
        <v>4434.698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0.417</v>
      </c>
      <c r="AV13" s="32" cm="1">
        <f t="array" ref="AV13">$G$10+VLOOKUP($Q13,武学奇术!$A:$ZZ,7,FALSE)+SUM(_xlfn.XLOOKUP($R13:$AK13,增益!$A:$A,增益!$G:$G,0))</f>
        <v>0.205</v>
      </c>
      <c r="AW13" s="26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2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2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1920.804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2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2" cm="1">
        <f t="array" ref="BM13">$G$14+VLOOKUP($Q13,武学奇术!$A:$ZZ,16,FALSE)+SUM(_xlfn.XLOOKUP($R13:$AK13,增益!$A:$A,增益!$P:$P,0))</f>
        <v>0.06</v>
      </c>
      <c r="BN13" s="26">
        <f>MIN(IF(VLOOKUP($Q13,武学奇术!$A:$ZZ,23,FALSE)=1,100%,$B$8),100%)</f>
        <v>0.9859</v>
      </c>
      <c r="BO13" s="26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6" cm="1">
        <f t="array" ref="BP13">1+$B$13+VLOOKUP($Q13,武学奇术!$A:$ZZ,18,FALSE)+SUM(_xlfn.XLOOKUP($R13:$AK13,增益!$A:$A,增益!$R:$R,0))</f>
        <v>1.98</v>
      </c>
      <c r="BQ13" s="26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6" cm="1">
        <f t="array" ref="BR13">1+$B$14+VLOOKUP($Q13,武学奇术!$A:$ZZ,20,FALSE)+SUM(_xlfn.XLOOKUP($R13:$AK13,增益!$A:$A,增益!$T:$T,0))</f>
        <v>1.35</v>
      </c>
      <c r="BS13" s="26">
        <f t="shared" si="9"/>
        <v>0.87863408</v>
      </c>
      <c r="BT13" s="26">
        <f t="shared" si="10"/>
        <v>0.01567581</v>
      </c>
      <c r="BU13" s="26">
        <f>IF(VLOOKUP($Q13,武学奇术!$A:$ZZ,22,FALSE)=1,0,(1-$BN13))*(1-$BQ13)</f>
        <v>0.01279011</v>
      </c>
      <c r="BV13" s="26" cm="1">
        <f t="array" ref="BV13">SUM(_xlfn.XLOOKUP($R13:$AK13,增益!$A:$A,增益!$W:$W,0))+$I$5</f>
        <v>0.11</v>
      </c>
    </row>
    <row r="14" spans="1:74">
      <c r="A14" s="41" t="s">
        <v>122</v>
      </c>
      <c r="B14" s="70">
        <v>0.35</v>
      </c>
      <c r="C14" s="53" t="s">
        <v>98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8">
        <f>E6</f>
        <v>0</v>
      </c>
      <c r="H14" s="36" t="s">
        <v>123</v>
      </c>
      <c r="I14" s="73">
        <f>RD!I14</f>
        <v>136299.310846696</v>
      </c>
      <c r="J14" s="74"/>
      <c r="K14" s="38">
        <f t="shared" si="0"/>
        <v>70347.5151704518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71381.8755220945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69104.3065023091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45178.4022291737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39168.4292714518</v>
      </c>
      <c r="P14" s="39">
        <v>1</v>
      </c>
      <c r="Q14" s="40" t="s">
        <v>124</v>
      </c>
      <c r="R14" s="40" t="s">
        <v>100</v>
      </c>
      <c r="S14" s="40" t="s">
        <v>96</v>
      </c>
      <c r="T14" s="40" t="s">
        <v>97</v>
      </c>
      <c r="U14" s="40" t="s">
        <v>79</v>
      </c>
      <c r="V14" s="40" t="s">
        <v>73</v>
      </c>
      <c r="W14" s="40" t="s">
        <v>115</v>
      </c>
      <c r="X14" s="40" t="s">
        <v>87</v>
      </c>
      <c r="Y14" s="40" t="s">
        <v>80</v>
      </c>
      <c r="Z14" s="40" t="s">
        <v>80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81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82</v>
      </c>
      <c r="AL14" t="str">
        <f>VLOOKUP($Q14,武学奇术!$A:$ZZ,25,FALSE)</f>
        <v>鼓</v>
      </c>
      <c r="AM14" s="26">
        <f>VLOOKUP($Q14,武学奇术!$A:$ZZ,26,FALSE)</f>
        <v>2.514</v>
      </c>
      <c r="AN14" s="27">
        <f>VLOOKUP($Q14,武学奇术!$A:$ZZ,27,FALSE)*(1+IF(OR($AL14=$F$4,$AL14=$F$5),$B$22,0))</f>
        <v>1044</v>
      </c>
      <c r="AO14" s="26">
        <f>VLOOKUP($Q14,武学奇术!$A:$ZZ,28,FALSE)</f>
        <v>3.7708</v>
      </c>
      <c r="AP14" s="27">
        <f>VLOOKUP($Q14,武学奇术!$A:$ZZ,29,FALSE)*(1+IF(OR($AL14=$F$4,$AL14=$F$5),$B$22,0))</f>
        <v>564</v>
      </c>
      <c r="AQ14" s="26" cm="1">
        <f t="array" ref="AQ14">$G$3+IFERROR(VLOOKUP($AL14,$F$4:$G$7,2,FALSE),0)+VLOOKUP($Q14,武学奇术!$A:$ZZ,2,FALSE)+SUM(_xlfn.XLOOKUP($R14:$AK14,增益!$A:$A,增益!$B:$B,0))</f>
        <v>0.6291</v>
      </c>
      <c r="AR14" s="26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3673.1</v>
      </c>
      <c r="AT14" cm="1">
        <f t="array" ref="AT14">$E$10*(1+$AR14)+VLOOKUP($Q14,武学奇术!$A:$ZZ,4,FALSE)+SUM(_xlfn.XLOOKUP($R14:$AK14,增益!$A:$A,增益!$D:$D,0))-$I$2</f>
        <v>3673.1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0.357</v>
      </c>
      <c r="AV14" s="32" cm="1">
        <f t="array" ref="AV14">$G$10+VLOOKUP($Q14,武学奇术!$A:$ZZ,7,FALSE)+SUM(_xlfn.XLOOKUP($R14:$AK14,增益!$A:$A,增益!$G:$G,0))</f>
        <v>0.205</v>
      </c>
      <c r="AW14" s="26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2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2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1823.136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2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2" cm="1">
        <f t="array" ref="BM14">$G$14+VLOOKUP($Q14,武学奇术!$A:$ZZ,16,FALSE)+SUM(_xlfn.XLOOKUP($R14:$AK14,增益!$A:$A,增益!$P:$P,0))</f>
        <v>0.06</v>
      </c>
      <c r="BN14" s="26">
        <f>MIN(IF(VLOOKUP($Q14,武学奇术!$A:$ZZ,23,FALSE)=1,100%,$B$8),100%)</f>
        <v>0.9859</v>
      </c>
      <c r="BO14" s="26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6" cm="1">
        <f t="array" ref="BP14">1+$B$13+VLOOKUP($Q14,武学奇术!$A:$ZZ,18,FALSE)+SUM(_xlfn.XLOOKUP($R14:$AK14,增益!$A:$A,增益!$R:$R,0))</f>
        <v>1.58</v>
      </c>
      <c r="BQ14" s="26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6" cm="1">
        <f t="array" ref="BR14">1+$B$14+VLOOKUP($Q14,武学奇术!$A:$ZZ,20,FALSE)+SUM(_xlfn.XLOOKUP($R14:$AK14,增益!$A:$A,增益!$T:$T,0))</f>
        <v>1.35</v>
      </c>
      <c r="BS14" s="26">
        <f t="shared" si="9"/>
        <v>0.87863408</v>
      </c>
      <c r="BT14" s="26">
        <f t="shared" si="10"/>
        <v>0.01567581</v>
      </c>
      <c r="BU14" s="26">
        <f>IF(VLOOKUP($Q14,武学奇术!$A:$ZZ,22,FALSE)=1,0,(1-$BN14))*(1-$BQ14)</f>
        <v>0.01279011</v>
      </c>
      <c r="BV14" s="26" cm="1">
        <f t="array" ref="BV14">SUM(_xlfn.XLOOKUP($R14:$AK14,增益!$A:$A,增益!$W:$W,0))+$I$5</f>
        <v>0.11</v>
      </c>
    </row>
    <row r="15" spans="1:74">
      <c r="A15" s="41" t="s">
        <v>125</v>
      </c>
      <c r="B15" s="70">
        <v>0.0852</v>
      </c>
      <c r="C15" s="39" t="s">
        <v>126</v>
      </c>
      <c r="D15" s="39"/>
      <c r="F15" s="79"/>
      <c r="H15" s="80"/>
      <c r="I15" s="75"/>
      <c r="J15" s="76"/>
      <c r="K15" s="38">
        <f t="shared" si="0"/>
        <v>135858.664491722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140277.411431445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114206.873833583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74615.6443784281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64633.6044356832</v>
      </c>
      <c r="P15" s="39">
        <v>1</v>
      </c>
      <c r="Q15" s="40" t="s">
        <v>127</v>
      </c>
      <c r="R15" s="40" t="s">
        <v>100</v>
      </c>
      <c r="S15" s="40" t="s">
        <v>96</v>
      </c>
      <c r="T15" s="40" t="s">
        <v>97</v>
      </c>
      <c r="U15" s="40" t="s">
        <v>79</v>
      </c>
      <c r="V15" s="40" t="s">
        <v>73</v>
      </c>
      <c r="W15" s="40" t="s">
        <v>115</v>
      </c>
      <c r="X15" s="40" t="s">
        <v>87</v>
      </c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81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82</v>
      </c>
      <c r="AL15" t="str">
        <f>VLOOKUP($Q15,武学奇术!$A:$ZZ,25,FALSE)</f>
        <v>鼓</v>
      </c>
      <c r="AM15" s="26">
        <f>VLOOKUP($Q15,武学奇术!$A:$ZZ,26,FALSE)</f>
        <v>3.52968</v>
      </c>
      <c r="AN15" s="27">
        <f>VLOOKUP($Q15,武学奇术!$A:$ZZ,27,FALSE)*(1+IF(OR($AL15=$F$4,$AL15=$F$5),$B$22,0))</f>
        <v>1465.8</v>
      </c>
      <c r="AO15" s="26">
        <f>VLOOKUP($Q15,武学奇术!$A:$ZZ,28,FALSE)</f>
        <v>5.29452</v>
      </c>
      <c r="AP15" s="27">
        <f>VLOOKUP($Q15,武学奇术!$A:$ZZ,29,FALSE)*(1+IF(OR($AL15=$F$4,$AL15=$F$5),$B$22,0))</f>
        <v>798</v>
      </c>
      <c r="AQ15" s="26" cm="1">
        <f t="array" ref="AQ15">$G$3+IFERROR(VLOOKUP($AL15,$F$4:$G$7,2,FALSE),0)+VLOOKUP($Q15,武学奇术!$A:$ZZ,2,FALSE)+SUM(_xlfn.XLOOKUP($R15:$AK15,增益!$A:$A,增益!$B:$B,0))</f>
        <v>0.8291</v>
      </c>
      <c r="AR15" s="26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3673.1</v>
      </c>
      <c r="AT15" cm="1">
        <f t="array" ref="AT15">$E$10*(1+$AR15)+VLOOKUP($Q15,武学奇术!$A:$ZZ,4,FALSE)+SUM(_xlfn.XLOOKUP($R15:$AK15,增益!$A:$A,增益!$D:$D,0))-$I$2</f>
        <v>3673.1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0.417</v>
      </c>
      <c r="AV15" s="32" cm="1">
        <f t="array" ref="AV15">$G$10+VLOOKUP($Q15,武学奇术!$A:$ZZ,7,FALSE)+SUM(_xlfn.XLOOKUP($R15:$AK15,增益!$A:$A,增益!$G:$G,0))</f>
        <v>0.205</v>
      </c>
      <c r="AW15" s="26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2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2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1823.136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2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2" cm="1">
        <f t="array" ref="BM15">$G$14+VLOOKUP($Q15,武学奇术!$A:$ZZ,16,FALSE)+SUM(_xlfn.XLOOKUP($R15:$AK15,增益!$A:$A,增益!$P:$P,0))</f>
        <v>0.06</v>
      </c>
      <c r="BN15" s="26">
        <f>MIN(IF(VLOOKUP($Q15,武学奇术!$A:$ZZ,23,FALSE)=1,100%,$B$8),100%)</f>
        <v>0.9859</v>
      </c>
      <c r="BO15" s="26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6" cm="1">
        <f t="array" ref="BP15">1+$B$13+VLOOKUP($Q15,武学奇术!$A:$ZZ,18,FALSE)+SUM(_xlfn.XLOOKUP($R15:$AK15,增益!$A:$A,增益!$R:$R,0))</f>
        <v>1.88</v>
      </c>
      <c r="BQ15" s="26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6" cm="1">
        <f t="array" ref="BR15">1+$B$14+VLOOKUP($Q15,武学奇术!$A:$ZZ,20,FALSE)+SUM(_xlfn.XLOOKUP($R15:$AK15,增益!$A:$A,增益!$T:$T,0))</f>
        <v>1.35</v>
      </c>
      <c r="BS15" s="26">
        <f t="shared" si="9"/>
        <v>0.87863408</v>
      </c>
      <c r="BT15" s="26">
        <f t="shared" si="10"/>
        <v>0.01567581</v>
      </c>
      <c r="BU15" s="26">
        <f>IF(VLOOKUP($Q15,武学奇术!$A:$ZZ,22,FALSE)=1,0,(1-$BN15))*(1-$BQ15)</f>
        <v>0.01279011</v>
      </c>
      <c r="BV15" s="26" cm="1">
        <f t="array" ref="BV15">SUM(_xlfn.XLOOKUP($R15:$AK15,增益!$A:$A,增益!$W:$W,0))+$I$5</f>
        <v>0.11</v>
      </c>
    </row>
    <row r="16" spans="1:74">
      <c r="A16" s="41" t="s">
        <v>128</v>
      </c>
      <c r="B16" s="70">
        <v>0.0887</v>
      </c>
      <c r="C16" s="39" t="s">
        <v>129</v>
      </c>
      <c r="D16" s="79" t="s">
        <v>130</v>
      </c>
      <c r="E16" s="39" t="s">
        <v>131</v>
      </c>
      <c r="F16" s="79" t="s">
        <v>130</v>
      </c>
      <c r="H16" s="68" t="s">
        <v>132</v>
      </c>
      <c r="I16" s="81">
        <f>I12/106783.87</f>
        <v>1.00000001285334</v>
      </c>
      <c r="J16" s="82"/>
      <c r="K16" s="38">
        <f t="shared" si="0"/>
        <v>21806.1953086165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22126.9952282532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21418.9757345891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14004.4273596539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12142.9467677604</v>
      </c>
      <c r="P16" s="39">
        <v>1</v>
      </c>
      <c r="Q16" s="40" t="s">
        <v>133</v>
      </c>
      <c r="R16" s="40" t="s">
        <v>100</v>
      </c>
      <c r="S16" s="40" t="s">
        <v>96</v>
      </c>
      <c r="T16" s="40" t="s">
        <v>97</v>
      </c>
      <c r="U16" s="40" t="s">
        <v>80</v>
      </c>
      <c r="V16" s="40" t="s">
        <v>73</v>
      </c>
      <c r="W16" s="40" t="s">
        <v>115</v>
      </c>
      <c r="X16" s="40" t="s">
        <v>87</v>
      </c>
      <c r="Y16" s="40" t="s">
        <v>80</v>
      </c>
      <c r="Z16" s="40" t="s">
        <v>80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81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82</v>
      </c>
      <c r="AL16" t="str">
        <f>VLOOKUP($Q16,武学奇术!$A:$ZZ,25,FALSE)</f>
        <v>鼓</v>
      </c>
      <c r="AM16" s="26">
        <f>VLOOKUP($Q16,武学奇术!$A:$ZZ,26,FALSE)</f>
        <v>0.8434</v>
      </c>
      <c r="AN16" s="27">
        <f>VLOOKUP($Q16,武学奇术!$A:$ZZ,27,FALSE)*(1+IF(OR($AL16=$F$4,$AL16=$F$5),$B$22,0))</f>
        <v>352.5</v>
      </c>
      <c r="AO16" s="26">
        <f>VLOOKUP($Q16,武学奇术!$A:$ZZ,28,FALSE)</f>
        <v>1.265</v>
      </c>
      <c r="AP16" s="27">
        <f>VLOOKUP($Q16,武学奇术!$A:$ZZ,29,FALSE)*(1+IF(OR($AL16=$F$4,$AL16=$F$5),$B$22,0))</f>
        <v>190.5</v>
      </c>
      <c r="AQ16" s="26" cm="1">
        <f t="array" ref="AQ16">$G$3+IFERROR(VLOOKUP($AL16,$F$4:$G$7,2,FALSE),0)+VLOOKUP($Q16,武学奇术!$A:$ZZ,2,FALSE)+SUM(_xlfn.XLOOKUP($R16:$AK16,增益!$A:$A,增益!$B:$B,0))</f>
        <v>0.5041</v>
      </c>
      <c r="AR16" s="26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3673.1</v>
      </c>
      <c r="AT16" cm="1">
        <f t="array" ref="AT16">$E$10*(1+$AR16)+VLOOKUP($Q16,武学奇术!$A:$ZZ,4,FALSE)+SUM(_xlfn.XLOOKUP($R16:$AK16,增益!$A:$A,增益!$D:$D,0))-$I$2</f>
        <v>3673.1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0.357</v>
      </c>
      <c r="AV16" s="32" cm="1">
        <f t="array" ref="AV16">$G$10+VLOOKUP($Q16,武学奇术!$A:$ZZ,7,FALSE)+SUM(_xlfn.XLOOKUP($R16:$AK16,增益!$A:$A,增益!$G:$G,0))</f>
        <v>0.205</v>
      </c>
      <c r="AW16" s="26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2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2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1823.136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2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2" cm="1">
        <f t="array" ref="BM16">$G$14+VLOOKUP($Q16,武学奇术!$A:$ZZ,16,FALSE)+SUM(_xlfn.XLOOKUP($R16:$AK16,增益!$A:$A,增益!$P:$P,0))</f>
        <v>0.06</v>
      </c>
      <c r="BN16" s="26">
        <f>MIN(IF(VLOOKUP($Q16,武学奇术!$A:$ZZ,23,FALSE)=1,100%,$B$8),100%)</f>
        <v>0.9859</v>
      </c>
      <c r="BO16" s="26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6" cm="1">
        <f t="array" ref="BP16">1+$B$13+VLOOKUP($Q16,武学奇术!$A:$ZZ,18,FALSE)+SUM(_xlfn.XLOOKUP($R16:$AK16,增益!$A:$A,增益!$R:$R,0))</f>
        <v>1.58</v>
      </c>
      <c r="BQ16" s="26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6" cm="1">
        <f t="array" ref="BR16">1+$B$14+VLOOKUP($Q16,武学奇术!$A:$ZZ,20,FALSE)+SUM(_xlfn.XLOOKUP($R16:$AK16,增益!$A:$A,增益!$T:$T,0))</f>
        <v>1.35</v>
      </c>
      <c r="BS16" s="26">
        <f t="shared" si="9"/>
        <v>0.87863408</v>
      </c>
      <c r="BT16" s="26">
        <f t="shared" si="10"/>
        <v>0.01567581</v>
      </c>
      <c r="BU16" s="26">
        <f>IF(VLOOKUP($Q16,武学奇术!$A:$ZZ,22,FALSE)=1,0,(1-$BN16))*(1-$BQ16)</f>
        <v>0.01279011</v>
      </c>
      <c r="BV16" s="26" cm="1">
        <f t="array" ref="BV16">SUM(_xlfn.XLOOKUP($R16:$AK16,增益!$A:$A,增益!$W:$W,0))+$I$5</f>
        <v>0.11</v>
      </c>
    </row>
    <row r="17" spans="1:74">
      <c r="A17" s="41" t="s">
        <v>134</v>
      </c>
      <c r="B17" s="70">
        <v>0.0852</v>
      </c>
      <c r="C17" s="39" t="s">
        <v>135</v>
      </c>
      <c r="D17" s="79" t="s">
        <v>130</v>
      </c>
      <c r="E17" s="39" t="s">
        <v>136</v>
      </c>
      <c r="F17" s="79" t="s">
        <v>130</v>
      </c>
      <c r="H17" s="71"/>
      <c r="I17" s="83"/>
      <c r="J17" s="84"/>
      <c r="K17" s="38">
        <f t="shared" si="0"/>
        <v>33063.273859616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34155.4500939343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27660.0875965037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18071.6667163674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15654.3796575468</v>
      </c>
      <c r="P17" s="39">
        <v>1</v>
      </c>
      <c r="Q17" s="40" t="s">
        <v>137</v>
      </c>
      <c r="R17" s="40" t="s">
        <v>100</v>
      </c>
      <c r="S17" s="40" t="s">
        <v>101</v>
      </c>
      <c r="T17" s="40" t="s">
        <v>97</v>
      </c>
      <c r="U17" s="40" t="s">
        <v>80</v>
      </c>
      <c r="V17" s="40" t="s">
        <v>73</v>
      </c>
      <c r="W17" s="40" t="s">
        <v>115</v>
      </c>
      <c r="X17" s="40" t="s">
        <v>87</v>
      </c>
      <c r="Y17" s="40" t="s">
        <v>80</v>
      </c>
      <c r="Z17" s="40" t="s">
        <v>80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81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82</v>
      </c>
      <c r="AL17" t="str">
        <f>VLOOKUP($Q17,武学奇术!$A:$ZZ,25,FALSE)</f>
        <v>鼓</v>
      </c>
      <c r="AM17" s="26">
        <f>VLOOKUP($Q17,武学奇术!$A:$ZZ,26,FALSE)</f>
        <v>1.03936</v>
      </c>
      <c r="AN17" s="27">
        <f>VLOOKUP($Q17,武学奇术!$A:$ZZ,27,FALSE)*(1+IF(OR($AL17=$F$4,$AL17=$F$5),$B$22,0))</f>
        <v>432.6</v>
      </c>
      <c r="AO17" s="26">
        <f>VLOOKUP($Q17,武学奇术!$A:$ZZ,28,FALSE)</f>
        <v>1.55918</v>
      </c>
      <c r="AP17" s="27">
        <f>VLOOKUP($Q17,武学奇术!$A:$ZZ,29,FALSE)*(1+IF(OR($AL17=$F$4,$AL17=$F$5),$B$22,0))</f>
        <v>235.2</v>
      </c>
      <c r="AQ17" s="26" cm="1">
        <f t="array" ref="AQ17">$G$3+IFERROR(VLOOKUP($AL17,$F$4:$G$7,2,FALSE),0)+VLOOKUP($Q17,武学奇术!$A:$ZZ,2,FALSE)+SUM(_xlfn.XLOOKUP($R17:$AK17,增益!$A:$A,增益!$B:$B,0))</f>
        <v>0.5041</v>
      </c>
      <c r="AR17" s="26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3673.1</v>
      </c>
      <c r="AT17" cm="1">
        <f t="array" ref="AT17">$E$10*(1+$AR17)+VLOOKUP($Q17,武学奇术!$A:$ZZ,4,FALSE)+SUM(_xlfn.XLOOKUP($R17:$AK17,增益!$A:$A,增益!$D:$D,0))-$I$2</f>
        <v>3673.1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0.417</v>
      </c>
      <c r="AV17" s="32" cm="1">
        <f t="array" ref="AV17">$G$10+VLOOKUP($Q17,武学奇术!$A:$ZZ,7,FALSE)+SUM(_xlfn.XLOOKUP($R17:$AK17,增益!$A:$A,增益!$G:$G,0))</f>
        <v>0.205</v>
      </c>
      <c r="AW17" s="26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2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2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1823.136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2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2" cm="1">
        <f t="array" ref="BM17">$G$14+VLOOKUP($Q17,武学奇术!$A:$ZZ,16,FALSE)+SUM(_xlfn.XLOOKUP($R17:$AK17,增益!$A:$A,增益!$P:$P,0))</f>
        <v>0.06</v>
      </c>
      <c r="BN17" s="26">
        <f>MIN(IF(VLOOKUP($Q17,武学奇术!$A:$ZZ,23,FALSE)=1,100%,$B$8),100%)</f>
        <v>0.9859</v>
      </c>
      <c r="BO17" s="26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6" cm="1">
        <f t="array" ref="BP17">1+$B$13+VLOOKUP($Q17,武学奇术!$A:$ZZ,18,FALSE)+SUM(_xlfn.XLOOKUP($R17:$AK17,增益!$A:$A,增益!$R:$R,0))</f>
        <v>1.89</v>
      </c>
      <c r="BQ17" s="26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6" cm="1">
        <f t="array" ref="BR17">1+$B$14+VLOOKUP($Q17,武学奇术!$A:$ZZ,20,FALSE)+SUM(_xlfn.XLOOKUP($R17:$AK17,增益!$A:$A,增益!$T:$T,0))</f>
        <v>1.35</v>
      </c>
      <c r="BS17" s="26">
        <f t="shared" si="9"/>
        <v>0.87863408</v>
      </c>
      <c r="BT17" s="26">
        <f t="shared" si="10"/>
        <v>0.01567581</v>
      </c>
      <c r="BU17" s="26">
        <f>IF(VLOOKUP($Q17,武学奇术!$A:$ZZ,22,FALSE)=1,0,(1-$BN17))*(1-$BQ17)</f>
        <v>0.01279011</v>
      </c>
      <c r="BV17" s="26" cm="1">
        <f t="array" ref="BV17">SUM(_xlfn.XLOOKUP($R17:$AK17,增益!$A:$A,增益!$W:$W,0))+$I$5</f>
        <v>0.11</v>
      </c>
    </row>
    <row r="18" spans="1:74">
      <c r="A18" s="41" t="s">
        <v>138</v>
      </c>
      <c r="B18" s="70">
        <v>0</v>
      </c>
      <c r="C18" s="39" t="s">
        <v>139</v>
      </c>
      <c r="D18" s="79" t="s">
        <v>130</v>
      </c>
      <c r="K18" s="38">
        <f t="shared" si="0"/>
        <v>104560.418422118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108067.657140531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87046.6852831981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56877.7142844898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49276.4024332773</v>
      </c>
      <c r="P18" s="39">
        <v>1</v>
      </c>
      <c r="Q18" s="40" t="s">
        <v>140</v>
      </c>
      <c r="R18" s="40" t="s">
        <v>100</v>
      </c>
      <c r="S18" s="40" t="s">
        <v>141</v>
      </c>
      <c r="T18" s="40" t="s">
        <v>97</v>
      </c>
      <c r="U18" s="40" t="s">
        <v>80</v>
      </c>
      <c r="V18" s="40" t="s">
        <v>73</v>
      </c>
      <c r="W18" s="40" t="s">
        <v>115</v>
      </c>
      <c r="X18" s="40" t="s">
        <v>87</v>
      </c>
      <c r="Y18" s="40" t="s">
        <v>80</v>
      </c>
      <c r="Z18" s="40" t="s">
        <v>80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81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82</v>
      </c>
      <c r="AL18" t="str">
        <f>VLOOKUP($Q18,武学奇术!$A:$ZZ,25,FALSE)</f>
        <v>鼓</v>
      </c>
      <c r="AM18" s="26">
        <f>VLOOKUP($Q18,武学奇术!$A:$ZZ,26,FALSE)</f>
        <v>3.26858</v>
      </c>
      <c r="AN18" s="27">
        <f>VLOOKUP($Q18,武学奇术!$A:$ZZ,27,FALSE)*(1+IF(OR($AL18=$F$4,$AL18=$F$5),$B$22,0))</f>
        <v>1377.6</v>
      </c>
      <c r="AO18" s="26">
        <f>VLOOKUP($Q18,武学奇术!$A:$ZZ,28,FALSE)</f>
        <v>4.90294</v>
      </c>
      <c r="AP18" s="27">
        <f>VLOOKUP($Q18,武学奇术!$A:$ZZ,29,FALSE)*(1+IF(OR($AL18=$F$4,$AL18=$F$5),$B$22,0))</f>
        <v>739.2</v>
      </c>
      <c r="AQ18" s="26" cm="1">
        <f t="array" ref="AQ18">$G$3+IFERROR(VLOOKUP($AL18,$F$4:$G$7,2,FALSE),0)+VLOOKUP($Q18,武学奇术!$A:$ZZ,2,FALSE)+SUM(_xlfn.XLOOKUP($R18:$AK18,增益!$A:$A,增益!$B:$B,0))</f>
        <v>0.5041</v>
      </c>
      <c r="AR18" s="26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3673.1</v>
      </c>
      <c r="AT18" cm="1">
        <f t="array" ref="AT18">$E$10*(1+$AR18)+VLOOKUP($Q18,武学奇术!$A:$ZZ,4,FALSE)+SUM(_xlfn.XLOOKUP($R18:$AK18,增益!$A:$A,增益!$D:$D,0))-$I$2</f>
        <v>3673.1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0.417</v>
      </c>
      <c r="AV18" s="32" cm="1">
        <f t="array" ref="AV18">$G$10+VLOOKUP($Q18,武学奇术!$A:$ZZ,7,FALSE)+SUM(_xlfn.XLOOKUP($R18:$AK18,增益!$A:$A,增益!$G:$G,0))</f>
        <v>0.205</v>
      </c>
      <c r="AW18" s="26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2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2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1823.136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2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2" cm="1">
        <f t="array" ref="BM18">$G$14+VLOOKUP($Q18,武学奇术!$A:$ZZ,16,FALSE)+SUM(_xlfn.XLOOKUP($R18:$AK18,增益!$A:$A,增益!$P:$P,0))</f>
        <v>0.06</v>
      </c>
      <c r="BN18" s="26">
        <f>MIN(IF(VLOOKUP($Q18,武学奇术!$A:$ZZ,23,FALSE)=1,100%,$B$8),100%)</f>
        <v>0.9859</v>
      </c>
      <c r="BO18" s="26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6" cm="1">
        <f t="array" ref="BP18">1+$B$13+VLOOKUP($Q18,武学奇术!$A:$ZZ,18,FALSE)+SUM(_xlfn.XLOOKUP($R18:$AK18,增益!$A:$A,增益!$R:$R,0))</f>
        <v>1.9</v>
      </c>
      <c r="BQ18" s="26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6" cm="1">
        <f t="array" ref="BR18">1+$B$14+VLOOKUP($Q18,武学奇术!$A:$ZZ,20,FALSE)+SUM(_xlfn.XLOOKUP($R18:$AK18,增益!$A:$A,增益!$T:$T,0))</f>
        <v>1.35</v>
      </c>
      <c r="BS18" s="26">
        <f t="shared" si="9"/>
        <v>0.87863408</v>
      </c>
      <c r="BT18" s="26">
        <f t="shared" si="10"/>
        <v>0.01567581</v>
      </c>
      <c r="BU18" s="26">
        <f>IF(VLOOKUP($Q18,武学奇术!$A:$ZZ,22,FALSE)=1,0,(1-$BN18))*(1-$BQ18)</f>
        <v>0.01279011</v>
      </c>
      <c r="BV18" s="26" cm="1">
        <f t="array" ref="BV18">SUM(_xlfn.XLOOKUP($R18:$AK18,增益!$A:$A,增益!$W:$W,0))+$I$5</f>
        <v>0.11</v>
      </c>
    </row>
    <row r="19" spans="1:74">
      <c r="A19" s="41" t="s">
        <v>142</v>
      </c>
      <c r="B19" s="70">
        <v>0</v>
      </c>
      <c r="C19" s="39" t="s">
        <v>143</v>
      </c>
      <c r="D19" s="79" t="s">
        <v>130</v>
      </c>
      <c r="I19" s="26"/>
      <c r="J19" s="26"/>
      <c r="K19" s="38">
        <f t="shared" si="0"/>
        <v>22052.2906515981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22407.0837754463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21418.9757345891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14004.4273596539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12142.9467677604</v>
      </c>
      <c r="P19" s="39">
        <v>1</v>
      </c>
      <c r="Q19" s="40" t="s">
        <v>133</v>
      </c>
      <c r="R19" s="40" t="s">
        <v>100</v>
      </c>
      <c r="S19" s="40" t="s">
        <v>141</v>
      </c>
      <c r="T19" s="40" t="s">
        <v>97</v>
      </c>
      <c r="U19" s="40" t="s">
        <v>80</v>
      </c>
      <c r="V19" s="40" t="s">
        <v>73</v>
      </c>
      <c r="W19" s="40" t="s">
        <v>115</v>
      </c>
      <c r="X19" s="40" t="s">
        <v>87</v>
      </c>
      <c r="Y19" s="40" t="s">
        <v>80</v>
      </c>
      <c r="Z19" s="40" t="s">
        <v>80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81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82</v>
      </c>
      <c r="AL19" t="str">
        <f>VLOOKUP($Q19,武学奇术!$A:$ZZ,25,FALSE)</f>
        <v>鼓</v>
      </c>
      <c r="AM19" s="26">
        <f>VLOOKUP($Q19,武学奇术!$A:$ZZ,26,FALSE)</f>
        <v>0.8434</v>
      </c>
      <c r="AN19" s="27">
        <f>VLOOKUP($Q19,武学奇术!$A:$ZZ,27,FALSE)*(1+IF(OR($AL19=$F$4,$AL19=$F$5),$B$22,0))</f>
        <v>352.5</v>
      </c>
      <c r="AO19" s="26">
        <f>VLOOKUP($Q19,武学奇术!$A:$ZZ,28,FALSE)</f>
        <v>1.265</v>
      </c>
      <c r="AP19" s="27">
        <f>VLOOKUP($Q19,武学奇术!$A:$ZZ,29,FALSE)*(1+IF(OR($AL19=$F$4,$AL19=$F$5),$B$22,0))</f>
        <v>190.5</v>
      </c>
      <c r="AQ19" s="26" cm="1">
        <f t="array" ref="AQ19">$G$3+IFERROR(VLOOKUP($AL19,$F$4:$G$7,2,FALSE),0)+VLOOKUP($Q19,武学奇术!$A:$ZZ,2,FALSE)+SUM(_xlfn.XLOOKUP($R19:$AK19,增益!$A:$A,增益!$B:$B,0))</f>
        <v>0.5041</v>
      </c>
      <c r="AR19" s="26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3673.1</v>
      </c>
      <c r="AT19" cm="1">
        <f t="array" ref="AT19">$E$10*(1+$AR19)+VLOOKUP($Q19,武学奇术!$A:$ZZ,4,FALSE)+SUM(_xlfn.XLOOKUP($R19:$AK19,增益!$A:$A,增益!$D:$D,0))-$I$2</f>
        <v>3673.1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0.357</v>
      </c>
      <c r="AV19" s="32" cm="1">
        <f t="array" ref="AV19">$G$10+VLOOKUP($Q19,武学奇术!$A:$ZZ,7,FALSE)+SUM(_xlfn.XLOOKUP($R19:$AK19,增益!$A:$A,增益!$G:$G,0))</f>
        <v>0.205</v>
      </c>
      <c r="AW19" s="26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2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2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1823.136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2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2" cm="1">
        <f t="array" ref="BM19">$G$14+VLOOKUP($Q19,武学奇术!$A:$ZZ,16,FALSE)+SUM(_xlfn.XLOOKUP($R19:$AK19,增益!$A:$A,增益!$P:$P,0))</f>
        <v>0.06</v>
      </c>
      <c r="BN19" s="26">
        <f>MIN(IF(VLOOKUP($Q19,武学奇术!$A:$ZZ,23,FALSE)=1,100%,$B$8),100%)</f>
        <v>0.9859</v>
      </c>
      <c r="BO19" s="26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6" cm="1">
        <f t="array" ref="BP19">1+$B$13+VLOOKUP($Q19,武学奇术!$A:$ZZ,18,FALSE)+SUM(_xlfn.XLOOKUP($R19:$AK19,增益!$A:$A,增益!$R:$R,0))</f>
        <v>1.6</v>
      </c>
      <c r="BQ19" s="26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6" cm="1">
        <f t="array" ref="BR19">1+$B$14+VLOOKUP($Q19,武学奇术!$A:$ZZ,20,FALSE)+SUM(_xlfn.XLOOKUP($R19:$AK19,增益!$A:$A,增益!$T:$T,0))</f>
        <v>1.35</v>
      </c>
      <c r="BS19" s="26">
        <f t="shared" si="9"/>
        <v>0.87863408</v>
      </c>
      <c r="BT19" s="26">
        <f t="shared" si="10"/>
        <v>0.01567581</v>
      </c>
      <c r="BU19" s="26">
        <f>IF(VLOOKUP($Q19,武学奇术!$A:$ZZ,22,FALSE)=1,0,(1-$BN19))*(1-$BQ19)</f>
        <v>0.01279011</v>
      </c>
      <c r="BV19" s="26" cm="1">
        <f t="array" ref="BV19">SUM(_xlfn.XLOOKUP($R19:$AK19,增益!$A:$A,增益!$W:$W,0))+$I$5</f>
        <v>0.11</v>
      </c>
    </row>
    <row r="20" spans="1:74">
      <c r="A20" s="41" t="s">
        <v>144</v>
      </c>
      <c r="B20" s="70">
        <v>0</v>
      </c>
      <c r="C20" s="39" t="s">
        <v>145</v>
      </c>
      <c r="D20" s="79" t="s">
        <v>130</v>
      </c>
      <c r="I20" s="26"/>
      <c r="K20" s="38">
        <f t="shared" si="0"/>
        <v>33222.05768221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34336.166761098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27660.0875965037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18071.6667163674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15654.3796575468</v>
      </c>
      <c r="P20" s="39">
        <v>1</v>
      </c>
      <c r="Q20" s="40" t="s">
        <v>137</v>
      </c>
      <c r="R20" s="40" t="s">
        <v>100</v>
      </c>
      <c r="S20" s="40" t="s">
        <v>141</v>
      </c>
      <c r="T20" s="40" t="s">
        <v>97</v>
      </c>
      <c r="U20" s="40" t="s">
        <v>80</v>
      </c>
      <c r="V20" s="40" t="s">
        <v>73</v>
      </c>
      <c r="W20" s="40" t="s">
        <v>115</v>
      </c>
      <c r="X20" s="40" t="s">
        <v>87</v>
      </c>
      <c r="Y20" s="40" t="s">
        <v>80</v>
      </c>
      <c r="Z20" s="40" t="s">
        <v>80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81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82</v>
      </c>
      <c r="AL20" t="str">
        <f>VLOOKUP($Q20,武学奇术!$A:$ZZ,25,FALSE)</f>
        <v>鼓</v>
      </c>
      <c r="AM20" s="26">
        <f>VLOOKUP($Q20,武学奇术!$A:$ZZ,26,FALSE)</f>
        <v>1.03936</v>
      </c>
      <c r="AN20" s="27">
        <f>VLOOKUP($Q20,武学奇术!$A:$ZZ,27,FALSE)*(1+IF(OR($AL20=$F$4,$AL20=$F$5),$B$22,0))</f>
        <v>432.6</v>
      </c>
      <c r="AO20" s="26">
        <f>VLOOKUP($Q20,武学奇术!$A:$ZZ,28,FALSE)</f>
        <v>1.55918</v>
      </c>
      <c r="AP20" s="27">
        <f>VLOOKUP($Q20,武学奇术!$A:$ZZ,29,FALSE)*(1+IF(OR($AL20=$F$4,$AL20=$F$5),$B$22,0))</f>
        <v>235.2</v>
      </c>
      <c r="AQ20" s="26" cm="1">
        <f t="array" ref="AQ20">$G$3+IFERROR(VLOOKUP($AL20,$F$4:$G$7,2,FALSE),0)+VLOOKUP($Q20,武学奇术!$A:$ZZ,2,FALSE)+SUM(_xlfn.XLOOKUP($R20:$AK20,增益!$A:$A,增益!$B:$B,0))</f>
        <v>0.5041</v>
      </c>
      <c r="AR20" s="26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3673.1</v>
      </c>
      <c r="AT20" cm="1">
        <f t="array" ref="AT20">$E$10*(1+$AR20)+VLOOKUP($Q20,武学奇术!$A:$ZZ,4,FALSE)+SUM(_xlfn.XLOOKUP($R20:$AK20,增益!$A:$A,增益!$D:$D,0))-$I$2</f>
        <v>3673.1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0.417</v>
      </c>
      <c r="AV20" s="32" cm="1">
        <f t="array" ref="AV20">$G$10+VLOOKUP($Q20,武学奇术!$A:$ZZ,7,FALSE)+SUM(_xlfn.XLOOKUP($R20:$AK20,增益!$A:$A,增益!$G:$G,0))</f>
        <v>0.205</v>
      </c>
      <c r="AW20" s="26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2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2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1823.136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2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2" cm="1">
        <f t="array" ref="BM20">$G$14+VLOOKUP($Q20,武学奇术!$A:$ZZ,16,FALSE)+SUM(_xlfn.XLOOKUP($R20:$AK20,增益!$A:$A,增益!$P:$P,0))</f>
        <v>0.06</v>
      </c>
      <c r="BN20" s="26">
        <f>MIN(IF(VLOOKUP($Q20,武学奇术!$A:$ZZ,23,FALSE)=1,100%,$B$8),100%)</f>
        <v>0.9859</v>
      </c>
      <c r="BO20" s="26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6" cm="1">
        <f t="array" ref="BP20">1+$B$13+VLOOKUP($Q20,武学奇术!$A:$ZZ,18,FALSE)+SUM(_xlfn.XLOOKUP($R20:$AK20,增益!$A:$A,增益!$R:$R,0))</f>
        <v>1.9</v>
      </c>
      <c r="BQ20" s="26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6" cm="1">
        <f t="array" ref="BR20">1+$B$14+VLOOKUP($Q20,武学奇术!$A:$ZZ,20,FALSE)+SUM(_xlfn.XLOOKUP($R20:$AK20,增益!$A:$A,增益!$T:$T,0))</f>
        <v>1.35</v>
      </c>
      <c r="BS20" s="26">
        <f t="shared" si="9"/>
        <v>0.87863408</v>
      </c>
      <c r="BT20" s="26">
        <f t="shared" si="10"/>
        <v>0.01567581</v>
      </c>
      <c r="BU20" s="26">
        <f>IF(VLOOKUP($Q20,武学奇术!$A:$ZZ,22,FALSE)=1,0,(1-$BN20))*(1-$BQ20)</f>
        <v>0.01279011</v>
      </c>
      <c r="BV20" s="26" cm="1">
        <f t="array" ref="BV20">SUM(_xlfn.XLOOKUP($R20:$AK20,增益!$A:$A,增益!$W:$W,0))+$I$5</f>
        <v>0.11</v>
      </c>
    </row>
    <row r="21" spans="1:74">
      <c r="A21" s="85" t="s">
        <v>146</v>
      </c>
      <c r="B21" s="89">
        <v>0.32</v>
      </c>
      <c r="E21" s="39" t="s">
        <v>147</v>
      </c>
      <c r="F21" s="39"/>
      <c r="K21" s="38">
        <f t="shared" si="0"/>
        <v>105060.165403747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108636.434283375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87046.6852831981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56877.7142844898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49276.4024332773</v>
      </c>
      <c r="P21" s="39">
        <v>1</v>
      </c>
      <c r="Q21" s="40" t="s">
        <v>140</v>
      </c>
      <c r="R21" s="40" t="s">
        <v>100</v>
      </c>
      <c r="S21" s="40" t="s">
        <v>148</v>
      </c>
      <c r="T21" s="40" t="s">
        <v>97</v>
      </c>
      <c r="U21" s="40" t="s">
        <v>80</v>
      </c>
      <c r="V21" s="40" t="s">
        <v>73</v>
      </c>
      <c r="W21" s="40" t="s">
        <v>115</v>
      </c>
      <c r="X21" s="40" t="s">
        <v>87</v>
      </c>
      <c r="Y21" s="40" t="s">
        <v>80</v>
      </c>
      <c r="Z21" s="40" t="s">
        <v>80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81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82</v>
      </c>
      <c r="AL21" t="str">
        <f>VLOOKUP($Q21,武学奇术!$A:$ZZ,25,FALSE)</f>
        <v>鼓</v>
      </c>
      <c r="AM21" s="26">
        <f>VLOOKUP($Q21,武学奇术!$A:$ZZ,26,FALSE)</f>
        <v>3.26858</v>
      </c>
      <c r="AN21" s="27">
        <f>VLOOKUP($Q21,武学奇术!$A:$ZZ,27,FALSE)*(1+IF(OR($AL21=$F$4,$AL21=$F$5),$B$22,0))</f>
        <v>1377.6</v>
      </c>
      <c r="AO21" s="26">
        <f>VLOOKUP($Q21,武学奇术!$A:$ZZ,28,FALSE)</f>
        <v>4.90294</v>
      </c>
      <c r="AP21" s="27">
        <f>VLOOKUP($Q21,武学奇术!$A:$ZZ,29,FALSE)*(1+IF(OR($AL21=$F$4,$AL21=$F$5),$B$22,0))</f>
        <v>739.2</v>
      </c>
      <c r="AQ21" s="26" cm="1">
        <f t="array" ref="AQ21">$G$3+IFERROR(VLOOKUP($AL21,$F$4:$G$7,2,FALSE),0)+VLOOKUP($Q21,武学奇术!$A:$ZZ,2,FALSE)+SUM(_xlfn.XLOOKUP($R21:$AK21,增益!$A:$A,增益!$B:$B,0))</f>
        <v>0.5041</v>
      </c>
      <c r="AR21" s="26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3673.1</v>
      </c>
      <c r="AT21" cm="1">
        <f t="array" ref="AT21">$E$10*(1+$AR21)+VLOOKUP($Q21,武学奇术!$A:$ZZ,4,FALSE)+SUM(_xlfn.XLOOKUP($R21:$AK21,增益!$A:$A,增益!$D:$D,0))-$I$2</f>
        <v>3673.1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0.417</v>
      </c>
      <c r="AV21" s="32" cm="1">
        <f t="array" ref="AV21">$G$10+VLOOKUP($Q21,武学奇术!$A:$ZZ,7,FALSE)+SUM(_xlfn.XLOOKUP($R21:$AK21,增益!$A:$A,增益!$G:$G,0))</f>
        <v>0.205</v>
      </c>
      <c r="AW21" s="26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2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2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1823.136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2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2" cm="1">
        <f t="array" ref="BM21">$G$14+VLOOKUP($Q21,武学奇术!$A:$ZZ,16,FALSE)+SUM(_xlfn.XLOOKUP($R21:$AK21,增益!$A:$A,增益!$P:$P,0))</f>
        <v>0.06</v>
      </c>
      <c r="BN21" s="26">
        <f>MIN(IF(VLOOKUP($Q21,武学奇术!$A:$ZZ,23,FALSE)=1,100%,$B$8),100%)</f>
        <v>0.9859</v>
      </c>
      <c r="BO21" s="26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6" cm="1">
        <f t="array" ref="BP21">1+$B$13+VLOOKUP($Q21,武学奇术!$A:$ZZ,18,FALSE)+SUM(_xlfn.XLOOKUP($R21:$AK21,增益!$A:$A,增益!$R:$R,0))</f>
        <v>1.91</v>
      </c>
      <c r="BQ21" s="26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6" cm="1">
        <f t="array" ref="BR21">1+$B$14+VLOOKUP($Q21,武学奇术!$A:$ZZ,20,FALSE)+SUM(_xlfn.XLOOKUP($R21:$AK21,增益!$A:$A,增益!$T:$T,0))</f>
        <v>1.35</v>
      </c>
      <c r="BS21" s="26">
        <f t="shared" si="9"/>
        <v>0.87863408</v>
      </c>
      <c r="BT21" s="26">
        <f t="shared" si="10"/>
        <v>0.01567581</v>
      </c>
      <c r="BU21" s="26">
        <f>IF(VLOOKUP($Q21,武学奇术!$A:$ZZ,22,FALSE)=1,0,(1-$BN21))*(1-$BQ21)</f>
        <v>0.01279011</v>
      </c>
      <c r="BV21" s="26" cm="1">
        <f t="array" ref="BV21">SUM(_xlfn.XLOOKUP($R21:$AK21,增益!$A:$A,增益!$W:$W,0))+$I$5</f>
        <v>0.11</v>
      </c>
    </row>
    <row r="22" spans="1:74">
      <c r="A22" t="s">
        <v>149</v>
      </c>
      <c r="B22" s="29">
        <v>0.5</v>
      </c>
      <c r="C22" s="39" t="s">
        <v>150</v>
      </c>
      <c r="D22" s="79" t="s">
        <v>151</v>
      </c>
      <c r="E22" s="39" t="s">
        <v>152</v>
      </c>
      <c r="F22" s="39"/>
      <c r="K22" s="38">
        <f t="shared" si="0"/>
        <v>93219.3150107155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94781.6726213803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90045.7157707324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58870.6041126586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51040.6780247747</v>
      </c>
      <c r="P22" s="39">
        <v>1</v>
      </c>
      <c r="Q22" s="40" t="s">
        <v>108</v>
      </c>
      <c r="R22" s="40" t="s">
        <v>100</v>
      </c>
      <c r="S22" s="40" t="s">
        <v>148</v>
      </c>
      <c r="T22" s="40" t="s">
        <v>97</v>
      </c>
      <c r="U22" s="40" t="s">
        <v>80</v>
      </c>
      <c r="V22" s="40" t="s">
        <v>73</v>
      </c>
      <c r="W22" s="40" t="s">
        <v>80</v>
      </c>
      <c r="X22" s="40" t="s">
        <v>87</v>
      </c>
      <c r="Y22" s="40" t="s">
        <v>80</v>
      </c>
      <c r="Z22" s="40" t="s">
        <v>80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81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82</v>
      </c>
      <c r="AL22" t="str">
        <f>VLOOKUP($Q22,武学奇术!$A:$ZZ,25,FALSE)</f>
        <v>扇</v>
      </c>
      <c r="AM22" s="26">
        <f>VLOOKUP($Q22,武学奇术!$A:$ZZ,26,FALSE)</f>
        <v>4.045375</v>
      </c>
      <c r="AN22" s="27">
        <f>VLOOKUP($Q22,武学奇术!$A:$ZZ,27,FALSE)*(1+IF(OR($AL22=$F$4,$AL22=$F$5),$B$22,0))</f>
        <v>1678.125</v>
      </c>
      <c r="AO22" s="26">
        <f>VLOOKUP($Q22,武学奇术!$A:$ZZ,28,FALSE)</f>
        <v>6.068125</v>
      </c>
      <c r="AP22" s="27">
        <f>VLOOKUP($Q22,武学奇术!$A:$ZZ,29,FALSE)*(1+IF(OR($AL22=$F$4,$AL22=$F$5),$B$22,0))</f>
        <v>913.125</v>
      </c>
      <c r="AQ22" s="26" cm="1">
        <f t="array" ref="AQ22">$G$3+IFERROR(VLOOKUP($AL22,$F$4:$G$7,2,FALSE),0)+VLOOKUP($Q22,武学奇术!$A:$ZZ,2,FALSE)+SUM(_xlfn.XLOOKUP($R22:$AK22,增益!$A:$A,增益!$B:$B,0))</f>
        <v>0.3189</v>
      </c>
      <c r="AR22" s="26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3673.1</v>
      </c>
      <c r="AT22" cm="1">
        <f t="array" ref="AT22">$E$10*(1+$AR22)+VLOOKUP($Q22,武学奇术!$A:$ZZ,4,FALSE)+SUM(_xlfn.XLOOKUP($R22:$AK22,增益!$A:$A,增益!$D:$D,0))-$I$2</f>
        <v>3673.1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0.357</v>
      </c>
      <c r="AV22" s="32" cm="1">
        <f t="array" ref="AV22">$G$10+VLOOKUP($Q22,武学奇术!$A:$ZZ,7,FALSE)+SUM(_xlfn.XLOOKUP($R22:$AK22,增益!$A:$A,增益!$G:$G,0))</f>
        <v>0.205</v>
      </c>
      <c r="AW22" s="26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2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2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1823.136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2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2" cm="1">
        <f t="array" ref="BM22">$G$14+VLOOKUP($Q22,武学奇术!$A:$ZZ,16,FALSE)+SUM(_xlfn.XLOOKUP($R22:$AK22,增益!$A:$A,增益!$P:$P,0))</f>
        <v>0.06</v>
      </c>
      <c r="BN22" s="26">
        <f>MIN(IF(VLOOKUP($Q22,武学奇术!$A:$ZZ,23,FALSE)=1,100%,$B$8),100%)</f>
        <v>0.9859</v>
      </c>
      <c r="BO22" s="26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6" cm="1">
        <f t="array" ref="BP22">1+$B$13+VLOOKUP($Q22,武学奇术!$A:$ZZ,18,FALSE)+SUM(_xlfn.XLOOKUP($R22:$AK22,增益!$A:$A,增益!$R:$R,0))</f>
        <v>1.61</v>
      </c>
      <c r="BQ22" s="26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6" cm="1">
        <f t="array" ref="BR22">1+$B$14+VLOOKUP($Q22,武学奇术!$A:$ZZ,20,FALSE)+SUM(_xlfn.XLOOKUP($R22:$AK22,增益!$A:$A,增益!$T:$T,0))</f>
        <v>1.35</v>
      </c>
      <c r="BS22" s="26">
        <f t="shared" si="9"/>
        <v>0.87863408</v>
      </c>
      <c r="BT22" s="26">
        <f t="shared" si="10"/>
        <v>0.01567581</v>
      </c>
      <c r="BU22" s="26">
        <f>IF(VLOOKUP($Q22,武学奇术!$A:$ZZ,22,FALSE)=1,0,(1-$BN22))*(1-$BQ22)</f>
        <v>0.01279011</v>
      </c>
      <c r="BV22" s="26" cm="1">
        <f t="array" ref="BV22">SUM(_xlfn.XLOOKUP($R22:$AK22,增益!$A:$A,增益!$W:$W,0))+$I$5</f>
        <v>0.11</v>
      </c>
    </row>
    <row r="23" spans="1:74">
      <c r="A23" s="39" t="s">
        <v>153</v>
      </c>
      <c r="B23">
        <v>200</v>
      </c>
      <c r="E23" s="39" t="s">
        <v>154</v>
      </c>
      <c r="F23" s="39"/>
      <c r="K23" s="38">
        <f t="shared" si="0"/>
        <v>24375.2199915411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24783.7285390643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23545.6029664949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15393.620210599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13346.0530386091</v>
      </c>
      <c r="P23" s="39">
        <v>1</v>
      </c>
      <c r="Q23" s="40" t="s">
        <v>110</v>
      </c>
      <c r="R23" s="40" t="s">
        <v>100</v>
      </c>
      <c r="S23" s="40" t="s">
        <v>148</v>
      </c>
      <c r="T23" s="40" t="s">
        <v>97</v>
      </c>
      <c r="U23" s="40" t="s">
        <v>80</v>
      </c>
      <c r="V23" s="40" t="s">
        <v>73</v>
      </c>
      <c r="W23" s="40" t="s">
        <v>80</v>
      </c>
      <c r="X23" s="40" t="s">
        <v>87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81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82</v>
      </c>
      <c r="AL23" t="str">
        <f>VLOOKUP($Q23,武学奇术!$A:$ZZ,25,FALSE)</f>
        <v>扇</v>
      </c>
      <c r="AM23" s="26">
        <f>VLOOKUP($Q23,武学奇术!$A:$ZZ,26,FALSE)</f>
        <v>0.9186</v>
      </c>
      <c r="AN23" s="27">
        <f>VLOOKUP($Q23,武学奇术!$A:$ZZ,27,FALSE)*(1+IF(OR($AL23=$F$4,$AL23=$F$5),$B$22,0))</f>
        <v>381</v>
      </c>
      <c r="AO23" s="26">
        <f>VLOOKUP($Q23,武学奇术!$A:$ZZ,28,FALSE)</f>
        <v>1.3779</v>
      </c>
      <c r="AP23" s="27">
        <f>VLOOKUP($Q23,武学奇术!$A:$ZZ,29,FALSE)*(1+IF(OR($AL23=$F$4,$AL23=$F$5),$B$22,0))</f>
        <v>207</v>
      </c>
      <c r="AQ23" s="26" cm="1">
        <f t="array" ref="AQ23">$G$3+IFERROR(VLOOKUP($AL23,$F$4:$G$7,2,FALSE),0)+VLOOKUP($Q23,武学奇术!$A:$ZZ,2,FALSE)+SUM(_xlfn.XLOOKUP($R23:$AK23,增益!$A:$A,增益!$B:$B,0))</f>
        <v>0.5189</v>
      </c>
      <c r="AR23" s="26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3673.1</v>
      </c>
      <c r="AT23" cm="1">
        <f t="array" ref="AT23">$E$10*(1+$AR23)+VLOOKUP($Q23,武学奇术!$A:$ZZ,4,FALSE)+SUM(_xlfn.XLOOKUP($R23:$AK23,增益!$A:$A,增益!$D:$D,0))-$I$2</f>
        <v>3673.1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0.357</v>
      </c>
      <c r="AV23" s="32" cm="1">
        <f t="array" ref="AV23">$G$10+VLOOKUP($Q23,武学奇术!$A:$ZZ,7,FALSE)+SUM(_xlfn.XLOOKUP($R23:$AK23,增益!$A:$A,增益!$G:$G,0))</f>
        <v>0.205</v>
      </c>
      <c r="AW23" s="26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2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2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1823.136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2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2" cm="1">
        <f t="array" ref="BM23">$G$14+VLOOKUP($Q23,武学奇术!$A:$ZZ,16,FALSE)+SUM(_xlfn.XLOOKUP($R23:$AK23,增益!$A:$A,增益!$P:$P,0))</f>
        <v>0.06</v>
      </c>
      <c r="BN23" s="26">
        <f>MIN(IF(VLOOKUP($Q23,武学奇术!$A:$ZZ,23,FALSE)=1,100%,$B$8),100%)</f>
        <v>0.9859</v>
      </c>
      <c r="BO23" s="26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6" cm="1">
        <f t="array" ref="BP23">1+$B$13+VLOOKUP($Q23,武学奇术!$A:$ZZ,18,FALSE)+SUM(_xlfn.XLOOKUP($R23:$AK23,增益!$A:$A,增益!$R:$R,0))</f>
        <v>1.61</v>
      </c>
      <c r="BQ23" s="26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6" cm="1">
        <f t="array" ref="BR23">1+$B$14+VLOOKUP($Q23,武学奇术!$A:$ZZ,20,FALSE)+SUM(_xlfn.XLOOKUP($R23:$AK23,增益!$A:$A,增益!$T:$T,0))</f>
        <v>1.35</v>
      </c>
      <c r="BS23" s="26">
        <f t="shared" si="9"/>
        <v>0.87863408</v>
      </c>
      <c r="BT23" s="26">
        <f t="shared" si="10"/>
        <v>0.01567581</v>
      </c>
      <c r="BU23" s="26">
        <f>IF(VLOOKUP($Q23,武学奇术!$A:$ZZ,22,FALSE)=1,0,(1-$BN23))*(1-$BQ23)</f>
        <v>0.01279011</v>
      </c>
      <c r="BV23" s="26" cm="1">
        <f t="array" ref="BV23">SUM(_xlfn.XLOOKUP($R23:$AK23,增益!$A:$A,增益!$W:$W,0))+$I$5</f>
        <v>0.11</v>
      </c>
    </row>
    <row r="24" spans="1:74">
      <c r="A24" s="39"/>
      <c r="B24">
        <v>400</v>
      </c>
      <c r="E24" s="40" t="s">
        <v>155</v>
      </c>
      <c r="F24" s="40"/>
      <c r="K24" s="38">
        <f t="shared" si="0"/>
        <v>60963.5075818461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62026.0861969997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58563.0942333448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38287.7075290122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33195.3452555468</v>
      </c>
      <c r="P24" s="39">
        <v>1</v>
      </c>
      <c r="Q24" s="40" t="s">
        <v>114</v>
      </c>
      <c r="R24" s="40" t="s">
        <v>100</v>
      </c>
      <c r="S24" s="40" t="s">
        <v>156</v>
      </c>
      <c r="T24" s="40" t="s">
        <v>97</v>
      </c>
      <c r="U24" s="40" t="s">
        <v>80</v>
      </c>
      <c r="V24" s="40" t="s">
        <v>73</v>
      </c>
      <c r="W24" s="40" t="s">
        <v>115</v>
      </c>
      <c r="X24" s="40" t="s">
        <v>87</v>
      </c>
      <c r="Y24" s="40" t="s">
        <v>80</v>
      </c>
      <c r="Z24" s="40" t="s">
        <v>80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81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82</v>
      </c>
      <c r="AL24" t="str">
        <f>VLOOKUP($Q24,武学奇术!$A:$ZZ,25,FALSE)</f>
        <v>扇</v>
      </c>
      <c r="AM24" s="26">
        <f>VLOOKUP($Q24,武学奇术!$A:$ZZ,26,FALSE)</f>
        <v>2.1435</v>
      </c>
      <c r="AN24" s="27">
        <f>VLOOKUP($Q24,武学奇术!$A:$ZZ,27,FALSE)*(1+IF(OR($AL24=$F$4,$AL24=$F$5),$B$22,0))</f>
        <v>888</v>
      </c>
      <c r="AO24" s="26">
        <f>VLOOKUP($Q24,武学奇术!$A:$ZZ,28,FALSE)</f>
        <v>3.2152</v>
      </c>
      <c r="AP24" s="27">
        <f>VLOOKUP($Q24,武学奇术!$A:$ZZ,29,FALSE)*(1+IF(OR($AL24=$F$4,$AL24=$F$5),$B$22,0))</f>
        <v>484.5</v>
      </c>
      <c r="AQ24" s="26" cm="1">
        <f t="array" ref="AQ24">$G$3+IFERROR(VLOOKUP($AL24,$F$4:$G$7,2,FALSE),0)+VLOOKUP($Q24,武学奇术!$A:$ZZ,2,FALSE)+SUM(_xlfn.XLOOKUP($R24:$AK24,增益!$A:$A,增益!$B:$B,0))</f>
        <v>0.6189</v>
      </c>
      <c r="AR24" s="26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3673.1</v>
      </c>
      <c r="AT24" cm="1">
        <f t="array" ref="AT24">$E$10*(1+$AR24)+VLOOKUP($Q24,武学奇术!$A:$ZZ,4,FALSE)+SUM(_xlfn.XLOOKUP($R24:$AK24,增益!$A:$A,增益!$D:$D,0))-$I$2</f>
        <v>3673.1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0.357</v>
      </c>
      <c r="AV24" s="32" cm="1">
        <f t="array" ref="AV24">$G$10+VLOOKUP($Q24,武学奇术!$A:$ZZ,7,FALSE)+SUM(_xlfn.XLOOKUP($R24:$AK24,增益!$A:$A,增益!$G:$G,0))</f>
        <v>0.205</v>
      </c>
      <c r="AW24" s="26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2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2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1823.136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2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2" cm="1">
        <f t="array" ref="BM24">$G$14+VLOOKUP($Q24,武学奇术!$A:$ZZ,16,FALSE)+SUM(_xlfn.XLOOKUP($R24:$AK24,增益!$A:$A,增益!$P:$P,0))</f>
        <v>0.06</v>
      </c>
      <c r="BN24" s="26">
        <f>MIN(IF(VLOOKUP($Q24,武学奇术!$A:$ZZ,23,FALSE)=1,100%,$B$8),100%)</f>
        <v>0.9859</v>
      </c>
      <c r="BO24" s="26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6" cm="1">
        <f t="array" ref="BP24">1+$B$13+VLOOKUP($Q24,武学奇术!$A:$ZZ,18,FALSE)+SUM(_xlfn.XLOOKUP($R24:$AK24,增益!$A:$A,增益!$R:$R,0))</f>
        <v>1.62</v>
      </c>
      <c r="BQ24" s="26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6" cm="1">
        <f t="array" ref="BR24">1+$B$14+VLOOKUP($Q24,武学奇术!$A:$ZZ,20,FALSE)+SUM(_xlfn.XLOOKUP($R24:$AK24,增益!$A:$A,增益!$T:$T,0))</f>
        <v>1.35</v>
      </c>
      <c r="BS24" s="26">
        <f t="shared" si="9"/>
        <v>0.87863408</v>
      </c>
      <c r="BT24" s="26">
        <f t="shared" si="10"/>
        <v>0.01567581</v>
      </c>
      <c r="BU24" s="26">
        <f>IF(VLOOKUP($Q24,武学奇术!$A:$ZZ,22,FALSE)=1,0,(1-$BN24))*(1-$BQ24)</f>
        <v>0.01279011</v>
      </c>
      <c r="BV24" s="26" cm="1">
        <f t="array" ref="BV24">SUM(_xlfn.XLOOKUP($R24:$AK24,增益!$A:$A,增益!$W:$W,0))+$I$5</f>
        <v>0.11</v>
      </c>
    </row>
    <row r="25" spans="1:74">
      <c r="K25" s="38">
        <f t="shared" si="0"/>
        <v>160146.281125822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165854.642911682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130360.090277336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85935.0481407678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75307.0664464716</v>
      </c>
      <c r="P25" s="39">
        <v>1</v>
      </c>
      <c r="Q25" s="40" t="s">
        <v>117</v>
      </c>
      <c r="R25" s="40" t="s">
        <v>100</v>
      </c>
      <c r="S25" s="40" t="s">
        <v>157</v>
      </c>
      <c r="T25" s="40" t="s">
        <v>78</v>
      </c>
      <c r="U25" s="40" t="s">
        <v>80</v>
      </c>
      <c r="V25" s="40" t="s">
        <v>73</v>
      </c>
      <c r="W25" s="40" t="s">
        <v>115</v>
      </c>
      <c r="X25" s="40" t="s">
        <v>87</v>
      </c>
      <c r="Y25" s="40" t="s">
        <v>80</v>
      </c>
      <c r="Z25" s="40" t="s">
        <v>80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81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82</v>
      </c>
      <c r="AL25" t="str">
        <f>VLOOKUP($Q25,武学奇术!$A:$ZZ,25,FALSE)</f>
        <v>鼓</v>
      </c>
      <c r="AM25" s="26">
        <f>VLOOKUP($Q25,武学奇术!$A:$ZZ,26,FALSE)</f>
        <v>3.08125</v>
      </c>
      <c r="AN25" s="27">
        <f>VLOOKUP($Q25,武学奇术!$A:$ZZ,27,FALSE)*(1+IF(OR($AL25=$F$4,$AL25=$F$5),$B$22,0))</f>
        <v>1277.55</v>
      </c>
      <c r="AO25" s="26">
        <f>VLOOKUP($Q25,武学奇术!$A:$ZZ,28,FALSE)</f>
        <v>4.62196</v>
      </c>
      <c r="AP25" s="27">
        <f>VLOOKUP($Q25,武学奇术!$A:$ZZ,29,FALSE)*(1+IF(OR($AL25=$F$4,$AL25=$F$5),$B$22,0))</f>
        <v>696.15</v>
      </c>
      <c r="AQ25" s="26" cm="1">
        <f t="array" ref="AQ25">$G$3+IFERROR(VLOOKUP($AL25,$F$4:$G$7,2,FALSE),0)+VLOOKUP($Q25,武学奇术!$A:$ZZ,2,FALSE)+SUM(_xlfn.XLOOKUP($R25:$AK25,增益!$A:$A,增益!$B:$B,0))</f>
        <v>0.6041</v>
      </c>
      <c r="AR25" s="26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4434.698</v>
      </c>
      <c r="AT25" cm="1">
        <f t="array" ref="AT25">$E$10*(1+$AR25)+VLOOKUP($Q25,武学奇术!$A:$ZZ,4,FALSE)+SUM(_xlfn.XLOOKUP($R25:$AK25,增益!$A:$A,增益!$D:$D,0))-$I$2</f>
        <v>4434.698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0.417</v>
      </c>
      <c r="AV25" s="32" cm="1">
        <f t="array" ref="AV25">$G$10+VLOOKUP($Q25,武学奇术!$A:$ZZ,7,FALSE)+SUM(_xlfn.XLOOKUP($R25:$AK25,增益!$A:$A,增益!$G:$G,0))</f>
        <v>0.205</v>
      </c>
      <c r="AW25" s="26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2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2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1920.804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2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2" cm="1">
        <f t="array" ref="BM25">$G$14+VLOOKUP($Q25,武学奇术!$A:$ZZ,16,FALSE)+SUM(_xlfn.XLOOKUP($R25:$AK25,增益!$A:$A,增益!$P:$P,0))</f>
        <v>0.06</v>
      </c>
      <c r="BN25" s="26">
        <f>MIN(IF(VLOOKUP($Q25,武学奇术!$A:$ZZ,23,FALSE)=1,100%,$B$8),100%)</f>
        <v>0.9859</v>
      </c>
      <c r="BO25" s="26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6" cm="1">
        <f t="array" ref="BP25">1+$B$13+VLOOKUP($Q25,武学奇术!$A:$ZZ,18,FALSE)+SUM(_xlfn.XLOOKUP($R25:$AK25,增益!$A:$A,增益!$R:$R,0))</f>
        <v>1.93</v>
      </c>
      <c r="BQ25" s="26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6" cm="1">
        <f t="array" ref="BR25">1+$B$14+VLOOKUP($Q25,武学奇术!$A:$ZZ,20,FALSE)+SUM(_xlfn.XLOOKUP($R25:$AK25,增益!$A:$A,增益!$T:$T,0))</f>
        <v>1.35</v>
      </c>
      <c r="BS25" s="26">
        <f t="shared" si="9"/>
        <v>0.87863408</v>
      </c>
      <c r="BT25" s="26">
        <f t="shared" si="10"/>
        <v>0.01567581</v>
      </c>
      <c r="BU25" s="26">
        <f>IF(VLOOKUP($Q25,武学奇术!$A:$ZZ,22,FALSE)=1,0,(1-$BN25))*(1-$BQ25)</f>
        <v>0.01279011</v>
      </c>
      <c r="BV25" s="26" cm="1">
        <f t="array" ref="BV25">SUM(_xlfn.XLOOKUP($R25:$AK25,增益!$A:$A,增益!$W:$W,0))+$I$5</f>
        <v>0.11</v>
      </c>
    </row>
    <row r="26" spans="1:74">
      <c r="K26" s="38">
        <f t="shared" si="0"/>
        <v>321802.671490902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333427.986786179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260720.180554673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171870.096281536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150614.132892943</v>
      </c>
      <c r="P26" s="39">
        <v>2</v>
      </c>
      <c r="Q26" s="40" t="s">
        <v>117</v>
      </c>
      <c r="R26" s="40" t="s">
        <v>100</v>
      </c>
      <c r="S26" s="40" t="s">
        <v>158</v>
      </c>
      <c r="T26" s="40" t="s">
        <v>78</v>
      </c>
      <c r="U26" s="40" t="s">
        <v>80</v>
      </c>
      <c r="V26" s="40" t="s">
        <v>73</v>
      </c>
      <c r="W26" s="40" t="s">
        <v>115</v>
      </c>
      <c r="X26" s="40" t="s">
        <v>87</v>
      </c>
      <c r="Y26" s="40" t="s">
        <v>80</v>
      </c>
      <c r="Z26" s="40" t="s">
        <v>80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81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82</v>
      </c>
      <c r="AL26" t="str">
        <f>VLOOKUP($Q26,武学奇术!$A:$ZZ,25,FALSE)</f>
        <v>鼓</v>
      </c>
      <c r="AM26" s="26">
        <f>VLOOKUP($Q26,武学奇术!$A:$ZZ,26,FALSE)</f>
        <v>3.08125</v>
      </c>
      <c r="AN26" s="27">
        <f>VLOOKUP($Q26,武学奇术!$A:$ZZ,27,FALSE)*(1+IF(OR($AL26=$F$4,$AL26=$F$5),$B$22,0))</f>
        <v>1277.55</v>
      </c>
      <c r="AO26" s="26">
        <f>VLOOKUP($Q26,武学奇术!$A:$ZZ,28,FALSE)</f>
        <v>4.62196</v>
      </c>
      <c r="AP26" s="27">
        <f>VLOOKUP($Q26,武学奇术!$A:$ZZ,29,FALSE)*(1+IF(OR($AL26=$F$4,$AL26=$F$5),$B$22,0))</f>
        <v>696.15</v>
      </c>
      <c r="AQ26" s="26" cm="1">
        <f t="array" ref="AQ26">$G$3+IFERROR(VLOOKUP($AL26,$F$4:$G$7,2,FALSE),0)+VLOOKUP($Q26,武学奇术!$A:$ZZ,2,FALSE)+SUM(_xlfn.XLOOKUP($R26:$AK26,增益!$A:$A,增益!$B:$B,0))</f>
        <v>0.6041</v>
      </c>
      <c r="AR26" s="26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4434.698</v>
      </c>
      <c r="AT26" cm="1">
        <f t="array" ref="AT26">$E$10*(1+$AR26)+VLOOKUP($Q26,武学奇术!$A:$ZZ,4,FALSE)+SUM(_xlfn.XLOOKUP($R26:$AK26,增益!$A:$A,增益!$D:$D,0))-$I$2</f>
        <v>4434.698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0.417</v>
      </c>
      <c r="AV26" s="32" cm="1">
        <f t="array" ref="AV26">$G$10+VLOOKUP($Q26,武学奇术!$A:$ZZ,7,FALSE)+SUM(_xlfn.XLOOKUP($R26:$AK26,增益!$A:$A,增益!$G:$G,0))</f>
        <v>0.205</v>
      </c>
      <c r="AW26" s="26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2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2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1920.804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2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2" cm="1">
        <f t="array" ref="BM26">$G$14+VLOOKUP($Q26,武学奇术!$A:$ZZ,16,FALSE)+SUM(_xlfn.XLOOKUP($R26:$AK26,增益!$A:$A,增益!$P:$P,0))</f>
        <v>0.06</v>
      </c>
      <c r="BN26" s="26">
        <f>MIN(IF(VLOOKUP($Q26,武学奇术!$A:$ZZ,23,FALSE)=1,100%,$B$8),100%)</f>
        <v>0.9859</v>
      </c>
      <c r="BO26" s="26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6" cm="1">
        <f t="array" ref="BP26">1+$B$13+VLOOKUP($Q26,武学奇术!$A:$ZZ,18,FALSE)+SUM(_xlfn.XLOOKUP($R26:$AK26,增益!$A:$A,增益!$R:$R,0))</f>
        <v>1.94</v>
      </c>
      <c r="BQ26" s="26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6" cm="1">
        <f t="array" ref="BR26">1+$B$14+VLOOKUP($Q26,武学奇术!$A:$ZZ,20,FALSE)+SUM(_xlfn.XLOOKUP($R26:$AK26,增益!$A:$A,增益!$T:$T,0))</f>
        <v>1.35</v>
      </c>
      <c r="BS26" s="26">
        <f t="shared" si="9"/>
        <v>0.87863408</v>
      </c>
      <c r="BT26" s="26">
        <f t="shared" si="10"/>
        <v>0.01567581</v>
      </c>
      <c r="BU26" s="26">
        <f>IF(VLOOKUP($Q26,武学奇术!$A:$ZZ,22,FALSE)=1,0,(1-$BN26))*(1-$BQ26)</f>
        <v>0.01279011</v>
      </c>
      <c r="BV26" s="26" cm="1">
        <f t="array" ref="BV26">SUM(_xlfn.XLOOKUP($R26:$AK26,增益!$A:$A,增益!$W:$W,0))+$I$5</f>
        <v>0.11</v>
      </c>
    </row>
    <row r="27" spans="1:74">
      <c r="K27" s="38">
        <f t="shared" si="0"/>
        <v>423452.072641453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440685.861965783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327694.924213291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216022.481355776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189307.981812818</v>
      </c>
      <c r="P27" s="39">
        <v>2</v>
      </c>
      <c r="Q27" s="40" t="s">
        <v>121</v>
      </c>
      <c r="R27" s="40" t="s">
        <v>100</v>
      </c>
      <c r="S27" s="40" t="s">
        <v>158</v>
      </c>
      <c r="T27" s="40" t="s">
        <v>78</v>
      </c>
      <c r="U27" s="40" t="s">
        <v>80</v>
      </c>
      <c r="V27" s="40" t="s">
        <v>73</v>
      </c>
      <c r="W27" s="40" t="s">
        <v>115</v>
      </c>
      <c r="X27" s="40" t="s">
        <v>87</v>
      </c>
      <c r="Y27" s="40" t="s">
        <v>80</v>
      </c>
      <c r="Z27" s="40" t="s">
        <v>80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81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82</v>
      </c>
      <c r="AL27" t="str">
        <f>VLOOKUP($Q27,武学奇术!$A:$ZZ,25,FALSE)</f>
        <v>鼓</v>
      </c>
      <c r="AM27" s="26">
        <f>VLOOKUP($Q27,武学奇术!$A:$ZZ,26,FALSE)</f>
        <v>3.75547</v>
      </c>
      <c r="AN27" s="27">
        <f>VLOOKUP($Q27,武学奇术!$A:$ZZ,27,FALSE)*(1+IF(OR($AL27=$F$4,$AL27=$F$5),$B$22,0))</f>
        <v>1558.05</v>
      </c>
      <c r="AO27" s="26">
        <f>VLOOKUP($Q27,武学奇术!$A:$ZZ,28,FALSE)</f>
        <v>5.63329</v>
      </c>
      <c r="AP27" s="27">
        <f>VLOOKUP($Q27,武学奇术!$A:$ZZ,29,FALSE)*(1+IF(OR($AL27=$F$4,$AL27=$F$5),$B$22,0))</f>
        <v>849.15</v>
      </c>
      <c r="AQ27" s="26" cm="1">
        <f t="array" ref="AQ27">$G$3+IFERROR(VLOOKUP($AL27,$F$4:$G$7,2,FALSE),0)+VLOOKUP($Q27,武学奇术!$A:$ZZ,2,FALSE)+SUM(_xlfn.XLOOKUP($R27:$AK27,增益!$A:$A,增益!$B:$B,0))</f>
        <v>0.6541</v>
      </c>
      <c r="AR27" s="26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4434.698</v>
      </c>
      <c r="AT27" cm="1">
        <f t="array" ref="AT27">$E$10*(1+$AR27)+VLOOKUP($Q27,武学奇术!$A:$ZZ,4,FALSE)+SUM(_xlfn.XLOOKUP($R27:$AK27,增益!$A:$A,增益!$D:$D,0))-$I$2</f>
        <v>4434.698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0.417</v>
      </c>
      <c r="AV27" s="32" cm="1">
        <f t="array" ref="AV27">$G$10+VLOOKUP($Q27,武学奇术!$A:$ZZ,7,FALSE)+SUM(_xlfn.XLOOKUP($R27:$AK27,增益!$A:$A,增益!$G:$G,0))</f>
        <v>0.205</v>
      </c>
      <c r="AW27" s="26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2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2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1920.804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2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2" cm="1">
        <f t="array" ref="BM27">$G$14+VLOOKUP($Q27,武学奇术!$A:$ZZ,16,FALSE)+SUM(_xlfn.XLOOKUP($R27:$AK27,增益!$A:$A,增益!$P:$P,0))</f>
        <v>0.06</v>
      </c>
      <c r="BN27" s="26">
        <f>MIN(IF(VLOOKUP($Q27,武学奇术!$A:$ZZ,23,FALSE)=1,100%,$B$8),100%)</f>
        <v>0.9859</v>
      </c>
      <c r="BO27" s="26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6" cm="1">
        <f t="array" ref="BP27">1+$B$13+VLOOKUP($Q27,武学奇术!$A:$ZZ,18,FALSE)+SUM(_xlfn.XLOOKUP($R27:$AK27,增益!$A:$A,增益!$R:$R,0))</f>
        <v>2.04</v>
      </c>
      <c r="BQ27" s="26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6" cm="1">
        <f t="array" ref="BR27">1+$B$14+VLOOKUP($Q27,武学奇术!$A:$ZZ,20,FALSE)+SUM(_xlfn.XLOOKUP($R27:$AK27,增益!$A:$A,增益!$T:$T,0))</f>
        <v>1.35</v>
      </c>
      <c r="BS27" s="26">
        <f t="shared" si="9"/>
        <v>0.87863408</v>
      </c>
      <c r="BT27" s="26">
        <f t="shared" si="10"/>
        <v>0.01567581</v>
      </c>
      <c r="BU27" s="26">
        <f>IF(VLOOKUP($Q27,武学奇术!$A:$ZZ,22,FALSE)=1,0,(1-$BN27))*(1-$BQ27)</f>
        <v>0.01279011</v>
      </c>
      <c r="BV27" s="26" cm="1">
        <f t="array" ref="BV27">SUM(_xlfn.XLOOKUP($R27:$AK27,增益!$A:$A,增益!$W:$W,0))+$I$5</f>
        <v>0.11</v>
      </c>
    </row>
    <row r="28" spans="1:74">
      <c r="A28" t="s">
        <v>159</v>
      </c>
      <c r="B28">
        <v>1.3</v>
      </c>
      <c r="H28">
        <v>1</v>
      </c>
      <c r="K28" s="38">
        <f t="shared" si="0"/>
        <v>67148.7558509457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68407.4943590672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63801.9688233523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41711.8868043093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36163.0559616909</v>
      </c>
      <c r="P28" s="39">
        <v>1</v>
      </c>
      <c r="Q28" s="40" t="s">
        <v>124</v>
      </c>
      <c r="R28" s="40" t="s">
        <v>100</v>
      </c>
      <c r="S28" s="40" t="s">
        <v>158</v>
      </c>
      <c r="T28" s="40" t="s">
        <v>97</v>
      </c>
      <c r="U28" s="40" t="s">
        <v>80</v>
      </c>
      <c r="V28" s="40" t="s">
        <v>73</v>
      </c>
      <c r="W28" s="40" t="s">
        <v>115</v>
      </c>
      <c r="X28" s="40" t="s">
        <v>87</v>
      </c>
      <c r="Y28" s="40" t="s">
        <v>80</v>
      </c>
      <c r="Z28" s="40" t="s">
        <v>80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81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82</v>
      </c>
      <c r="AL28" t="str">
        <f>VLOOKUP($Q28,武学奇术!$A:$ZZ,25,FALSE)</f>
        <v>鼓</v>
      </c>
      <c r="AM28" s="26">
        <f>VLOOKUP($Q28,武学奇术!$A:$ZZ,26,FALSE)</f>
        <v>2.514</v>
      </c>
      <c r="AN28" s="27">
        <f>VLOOKUP($Q28,武学奇术!$A:$ZZ,27,FALSE)*(1+IF(OR($AL28=$F$4,$AL28=$F$5),$B$22,0))</f>
        <v>1044</v>
      </c>
      <c r="AO28" s="26">
        <f>VLOOKUP($Q28,武学奇术!$A:$ZZ,28,FALSE)</f>
        <v>3.7708</v>
      </c>
      <c r="AP28" s="27">
        <f>VLOOKUP($Q28,武学奇术!$A:$ZZ,29,FALSE)*(1+IF(OR($AL28=$F$4,$AL28=$F$5),$B$22,0))</f>
        <v>564</v>
      </c>
      <c r="AQ28" s="26" cm="1">
        <f t="array" ref="AQ28">$G$3+IFERROR(VLOOKUP($AL28,$F$4:$G$7,2,FALSE),0)+VLOOKUP($Q28,武学奇术!$A:$ZZ,2,FALSE)+SUM(_xlfn.XLOOKUP($R28:$AK28,增益!$A:$A,增益!$B:$B,0))</f>
        <v>0.5041</v>
      </c>
      <c r="AR28" s="26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3673.1</v>
      </c>
      <c r="AT28" cm="1">
        <f t="array" ref="AT28">$E$10*(1+$AR28)+VLOOKUP($Q28,武学奇术!$A:$ZZ,4,FALSE)+SUM(_xlfn.XLOOKUP($R28:$AK28,增益!$A:$A,增益!$D:$D,0))-$I$2</f>
        <v>3673.1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0.357</v>
      </c>
      <c r="AV28" s="32" cm="1">
        <f t="array" ref="AV28">$G$10+VLOOKUP($Q28,武学奇术!$A:$ZZ,7,FALSE)+SUM(_xlfn.XLOOKUP($R28:$AK28,增益!$A:$A,增益!$G:$G,0))</f>
        <v>0.205</v>
      </c>
      <c r="AW28" s="26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2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2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1823.136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2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2" cm="1">
        <f t="array" ref="BM28">$G$14+VLOOKUP($Q28,武学奇术!$A:$ZZ,16,FALSE)+SUM(_xlfn.XLOOKUP($R28:$AK28,增益!$A:$A,增益!$P:$P,0))</f>
        <v>0.06</v>
      </c>
      <c r="BN28" s="26">
        <f>MIN(IF(VLOOKUP($Q28,武学奇术!$A:$ZZ,23,FALSE)=1,100%,$B$8),100%)</f>
        <v>0.9859</v>
      </c>
      <c r="BO28" s="26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6" cm="1">
        <f t="array" ref="BP28">1+$B$13+VLOOKUP($Q28,武学奇术!$A:$ZZ,18,FALSE)+SUM(_xlfn.XLOOKUP($R28:$AK28,增益!$A:$A,增益!$R:$R,0))</f>
        <v>1.64</v>
      </c>
      <c r="BQ28" s="26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6" cm="1">
        <f t="array" ref="BR28">1+$B$14+VLOOKUP($Q28,武学奇术!$A:$ZZ,20,FALSE)+SUM(_xlfn.XLOOKUP($R28:$AK28,增益!$A:$A,增益!$T:$T,0))</f>
        <v>1.35</v>
      </c>
      <c r="BS28" s="26">
        <f t="shared" si="9"/>
        <v>0.87863408</v>
      </c>
      <c r="BT28" s="26">
        <f t="shared" si="10"/>
        <v>0.01567581</v>
      </c>
      <c r="BU28" s="26">
        <f>IF(VLOOKUP($Q28,武学奇术!$A:$ZZ,22,FALSE)=1,0,(1-$BN28))*(1-$BQ28)</f>
        <v>0.01279011</v>
      </c>
      <c r="BV28" s="26" cm="1">
        <f t="array" ref="BV28">SUM(_xlfn.XLOOKUP($R28:$AK28,增益!$A:$A,增益!$W:$W,0))+$I$5</f>
        <v>0.11</v>
      </c>
    </row>
    <row r="29" spans="1:74">
      <c r="A29" t="s">
        <v>104</v>
      </c>
      <c r="B29">
        <v>0.93</v>
      </c>
      <c r="H29">
        <v>21</v>
      </c>
      <c r="K29" s="38">
        <f t="shared" si="0"/>
        <v>130238.905682725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134861.892731639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106402.019408348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69516.4395523915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60216.5684319325</v>
      </c>
      <c r="P29" s="39">
        <v>1</v>
      </c>
      <c r="Q29" s="40" t="s">
        <v>127</v>
      </c>
      <c r="R29" s="40" t="s">
        <v>100</v>
      </c>
      <c r="S29" s="40" t="s">
        <v>158</v>
      </c>
      <c r="T29" s="40" t="s">
        <v>97</v>
      </c>
      <c r="U29" s="40" t="s">
        <v>80</v>
      </c>
      <c r="V29" s="40" t="s">
        <v>73</v>
      </c>
      <c r="W29" s="40" t="s">
        <v>115</v>
      </c>
      <c r="X29" s="40" t="s">
        <v>87</v>
      </c>
      <c r="Y29" s="40" t="s">
        <v>80</v>
      </c>
      <c r="Z29" s="40" t="s">
        <v>80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81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82</v>
      </c>
      <c r="AL29" t="str">
        <f>VLOOKUP($Q29,武学奇术!$A:$ZZ,25,FALSE)</f>
        <v>鼓</v>
      </c>
      <c r="AM29" s="26">
        <f>VLOOKUP($Q29,武学奇术!$A:$ZZ,26,FALSE)</f>
        <v>3.52968</v>
      </c>
      <c r="AN29" s="27">
        <f>VLOOKUP($Q29,武学奇术!$A:$ZZ,27,FALSE)*(1+IF(OR($AL29=$F$4,$AL29=$F$5),$B$22,0))</f>
        <v>1465.8</v>
      </c>
      <c r="AO29" s="26">
        <f>VLOOKUP($Q29,武学奇术!$A:$ZZ,28,FALSE)</f>
        <v>5.29452</v>
      </c>
      <c r="AP29" s="27">
        <f>VLOOKUP($Q29,武学奇术!$A:$ZZ,29,FALSE)*(1+IF(OR($AL29=$F$4,$AL29=$F$5),$B$22,0))</f>
        <v>798</v>
      </c>
      <c r="AQ29" s="26" cm="1">
        <f t="array" ref="AQ29">$G$3+IFERROR(VLOOKUP($AL29,$F$4:$G$7,2,FALSE),0)+VLOOKUP($Q29,武学奇术!$A:$ZZ,2,FALSE)+SUM(_xlfn.XLOOKUP($R29:$AK29,增益!$A:$A,增益!$B:$B,0))</f>
        <v>0.7041</v>
      </c>
      <c r="AR29" s="26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3673.1</v>
      </c>
      <c r="AT29" cm="1">
        <f t="array" ref="AT29">$E$10*(1+$AR29)+VLOOKUP($Q29,武学奇术!$A:$ZZ,4,FALSE)+SUM(_xlfn.XLOOKUP($R29:$AK29,增益!$A:$A,增益!$D:$D,0))-$I$2</f>
        <v>3673.1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0.417</v>
      </c>
      <c r="AV29" s="32" cm="1">
        <f t="array" ref="AV29">$G$10+VLOOKUP($Q29,武学奇术!$A:$ZZ,7,FALSE)+SUM(_xlfn.XLOOKUP($R29:$AK29,增益!$A:$A,增益!$G:$G,0))</f>
        <v>0.205</v>
      </c>
      <c r="AW29" s="26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2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2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1823.136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2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2" cm="1">
        <f t="array" ref="BM29">$G$14+VLOOKUP($Q29,武学奇术!$A:$ZZ,16,FALSE)+SUM(_xlfn.XLOOKUP($R29:$AK29,增益!$A:$A,增益!$P:$P,0))</f>
        <v>0.06</v>
      </c>
      <c r="BN29" s="26">
        <f>MIN(IF(VLOOKUP($Q29,武学奇术!$A:$ZZ,23,FALSE)=1,100%,$B$8),100%)</f>
        <v>0.9859</v>
      </c>
      <c r="BO29" s="26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6" cm="1">
        <f t="array" ref="BP29">1+$B$13+VLOOKUP($Q29,武学奇术!$A:$ZZ,18,FALSE)+SUM(_xlfn.XLOOKUP($R29:$AK29,增益!$A:$A,增益!$R:$R,0))</f>
        <v>1.94</v>
      </c>
      <c r="BQ29" s="26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6" cm="1">
        <f t="array" ref="BR29">1+$B$14+VLOOKUP($Q29,武学奇术!$A:$ZZ,20,FALSE)+SUM(_xlfn.XLOOKUP($R29:$AK29,增益!$A:$A,增益!$T:$T,0))</f>
        <v>1.35</v>
      </c>
      <c r="BS29" s="26">
        <f t="shared" si="9"/>
        <v>0.87863408</v>
      </c>
      <c r="BT29" s="26">
        <f t="shared" si="10"/>
        <v>0.01567581</v>
      </c>
      <c r="BU29" s="26">
        <f>IF(VLOOKUP($Q29,武学奇术!$A:$ZZ,22,FALSE)=1,0,(1-$BN29))*(1-$BQ29)</f>
        <v>0.01279011</v>
      </c>
      <c r="BV29" s="26" cm="1">
        <f t="array" ref="BV29">SUM(_xlfn.XLOOKUP($R29:$AK29,增益!$A:$A,增益!$W:$W,0))+$I$5</f>
        <v>0.11</v>
      </c>
    </row>
    <row r="30" spans="1:74">
      <c r="A30" t="s">
        <v>108</v>
      </c>
      <c r="B30">
        <v>0.5</v>
      </c>
      <c r="E30" s="39" t="s">
        <v>160</v>
      </c>
      <c r="H30">
        <v>41</v>
      </c>
      <c r="K30" s="38">
        <f t="shared" si="0"/>
        <v>22544.4813375611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22967.2608698325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21418.9757345891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14004.4273596539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12142.9467677604</v>
      </c>
      <c r="P30" s="39">
        <v>1</v>
      </c>
      <c r="Q30" s="40" t="s">
        <v>133</v>
      </c>
      <c r="R30" s="40" t="s">
        <v>100</v>
      </c>
      <c r="S30" s="40" t="s">
        <v>158</v>
      </c>
      <c r="T30" s="40" t="s">
        <v>97</v>
      </c>
      <c r="U30" s="40" t="s">
        <v>80</v>
      </c>
      <c r="V30" s="40" t="s">
        <v>73</v>
      </c>
      <c r="W30" s="40" t="s">
        <v>115</v>
      </c>
      <c r="X30" s="40" t="s">
        <v>87</v>
      </c>
      <c r="Y30" s="40" t="s">
        <v>80</v>
      </c>
      <c r="Z30" s="40" t="s">
        <v>80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81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82</v>
      </c>
      <c r="AL30" t="str">
        <f>VLOOKUP($Q30,武学奇术!$A:$ZZ,25,FALSE)</f>
        <v>鼓</v>
      </c>
      <c r="AM30" s="26">
        <f>VLOOKUP($Q30,武学奇术!$A:$ZZ,26,FALSE)</f>
        <v>0.8434</v>
      </c>
      <c r="AN30" s="27">
        <f>VLOOKUP($Q30,武学奇术!$A:$ZZ,27,FALSE)*(1+IF(OR($AL30=$F$4,$AL30=$F$5),$B$22,0))</f>
        <v>352.5</v>
      </c>
      <c r="AO30" s="26">
        <f>VLOOKUP($Q30,武学奇术!$A:$ZZ,28,FALSE)</f>
        <v>1.265</v>
      </c>
      <c r="AP30" s="27">
        <f>VLOOKUP($Q30,武学奇术!$A:$ZZ,29,FALSE)*(1+IF(OR($AL30=$F$4,$AL30=$F$5),$B$22,0))</f>
        <v>190.5</v>
      </c>
      <c r="AQ30" s="26" cm="1">
        <f t="array" ref="AQ30">$G$3+IFERROR(VLOOKUP($AL30,$F$4:$G$7,2,FALSE),0)+VLOOKUP($Q30,武学奇术!$A:$ZZ,2,FALSE)+SUM(_xlfn.XLOOKUP($R30:$AK30,增益!$A:$A,增益!$B:$B,0))</f>
        <v>0.5041</v>
      </c>
      <c r="AR30" s="26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3673.1</v>
      </c>
      <c r="AT30" cm="1">
        <f t="array" ref="AT30">$E$10*(1+$AR30)+VLOOKUP($Q30,武学奇术!$A:$ZZ,4,FALSE)+SUM(_xlfn.XLOOKUP($R30:$AK30,增益!$A:$A,增益!$D:$D,0))-$I$2</f>
        <v>3673.1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0.357</v>
      </c>
      <c r="AV30" s="32" cm="1">
        <f t="array" ref="AV30">$G$10+VLOOKUP($Q30,武学奇术!$A:$ZZ,7,FALSE)+SUM(_xlfn.XLOOKUP($R30:$AK30,增益!$A:$A,增益!$G:$G,0))</f>
        <v>0.205</v>
      </c>
      <c r="AW30" s="26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2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2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1823.136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2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2" cm="1">
        <f t="array" ref="BM30">$G$14+VLOOKUP($Q30,武学奇术!$A:$ZZ,16,FALSE)+SUM(_xlfn.XLOOKUP($R30:$AK30,增益!$A:$A,增益!$P:$P,0))</f>
        <v>0.06</v>
      </c>
      <c r="BN30" s="26">
        <f>MIN(IF(VLOOKUP($Q30,武学奇术!$A:$ZZ,23,FALSE)=1,100%,$B$8),100%)</f>
        <v>0.9859</v>
      </c>
      <c r="BO30" s="26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6" cm="1">
        <f t="array" ref="BP30">1+$B$13+VLOOKUP($Q30,武学奇术!$A:$ZZ,18,FALSE)+SUM(_xlfn.XLOOKUP($R30:$AK30,增益!$A:$A,增益!$R:$R,0))</f>
        <v>1.64</v>
      </c>
      <c r="BQ30" s="26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6" cm="1">
        <f t="array" ref="BR30">1+$B$14+VLOOKUP($Q30,武学奇术!$A:$ZZ,20,FALSE)+SUM(_xlfn.XLOOKUP($R30:$AK30,增益!$A:$A,增益!$T:$T,0))</f>
        <v>1.35</v>
      </c>
      <c r="BS30" s="26">
        <f t="shared" si="9"/>
        <v>0.87863408</v>
      </c>
      <c r="BT30" s="26">
        <f t="shared" si="10"/>
        <v>0.01567581</v>
      </c>
      <c r="BU30" s="26">
        <f>IF(VLOOKUP($Q30,武学奇术!$A:$ZZ,22,FALSE)=1,0,(1-$BN30))*(1-$BQ30)</f>
        <v>0.01279011</v>
      </c>
      <c r="BV30" s="26" cm="1">
        <f t="array" ref="BV30">SUM(_xlfn.XLOOKUP($R30:$AK30,增益!$A:$A,增益!$W:$W,0))+$I$5</f>
        <v>0.11</v>
      </c>
    </row>
    <row r="31" spans="1:74">
      <c r="A31" t="s">
        <v>161</v>
      </c>
      <c r="B31">
        <v>2.1</v>
      </c>
      <c r="D31" s="39" t="s">
        <v>159</v>
      </c>
      <c r="E31" s="39"/>
      <c r="H31">
        <v>73</v>
      </c>
      <c r="K31" s="38">
        <f t="shared" si="0"/>
        <v>33857.1929725861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35059.0334297527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27660.0875965037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18071.6667163674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15654.3796575468</v>
      </c>
      <c r="P31" s="39">
        <v>1</v>
      </c>
      <c r="Q31" s="40" t="s">
        <v>137</v>
      </c>
      <c r="R31" s="40" t="s">
        <v>100</v>
      </c>
      <c r="S31" s="40" t="s">
        <v>158</v>
      </c>
      <c r="T31" s="40" t="s">
        <v>97</v>
      </c>
      <c r="U31" s="40" t="s">
        <v>80</v>
      </c>
      <c r="V31" s="40" t="s">
        <v>73</v>
      </c>
      <c r="W31" s="40" t="s">
        <v>115</v>
      </c>
      <c r="X31" s="40" t="s">
        <v>87</v>
      </c>
      <c r="Y31" s="40" t="s">
        <v>80</v>
      </c>
      <c r="Z31" s="40" t="s">
        <v>80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81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82</v>
      </c>
      <c r="AL31" t="str">
        <f>VLOOKUP($Q31,武学奇术!$A:$ZZ,25,FALSE)</f>
        <v>鼓</v>
      </c>
      <c r="AM31" s="26">
        <f>VLOOKUP($Q31,武学奇术!$A:$ZZ,26,FALSE)</f>
        <v>1.03936</v>
      </c>
      <c r="AN31" s="27">
        <f>VLOOKUP($Q31,武学奇术!$A:$ZZ,27,FALSE)*(1+IF(OR($AL31=$F$4,$AL31=$F$5),$B$22,0))</f>
        <v>432.6</v>
      </c>
      <c r="AO31" s="26">
        <f>VLOOKUP($Q31,武学奇术!$A:$ZZ,28,FALSE)</f>
        <v>1.55918</v>
      </c>
      <c r="AP31" s="27">
        <f>VLOOKUP($Q31,武学奇术!$A:$ZZ,29,FALSE)*(1+IF(OR($AL31=$F$4,$AL31=$F$5),$B$22,0))</f>
        <v>235.2</v>
      </c>
      <c r="AQ31" s="26" cm="1">
        <f t="array" ref="AQ31">$G$3+IFERROR(VLOOKUP($AL31,$F$4:$G$7,2,FALSE),0)+VLOOKUP($Q31,武学奇术!$A:$ZZ,2,FALSE)+SUM(_xlfn.XLOOKUP($R31:$AK31,增益!$A:$A,增益!$B:$B,0))</f>
        <v>0.5041</v>
      </c>
      <c r="AR31" s="26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3673.1</v>
      </c>
      <c r="AT31" cm="1">
        <f t="array" ref="AT31">$E$10*(1+$AR31)+VLOOKUP($Q31,武学奇术!$A:$ZZ,4,FALSE)+SUM(_xlfn.XLOOKUP($R31:$AK31,增益!$A:$A,增益!$D:$D,0))-$I$2</f>
        <v>3673.1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0.417</v>
      </c>
      <c r="AV31" s="32" cm="1">
        <f t="array" ref="AV31">$G$10+VLOOKUP($Q31,武学奇术!$A:$ZZ,7,FALSE)+SUM(_xlfn.XLOOKUP($R31:$AK31,增益!$A:$A,增益!$G:$G,0))</f>
        <v>0.205</v>
      </c>
      <c r="AW31" s="26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2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2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1823.136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2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2" cm="1">
        <f t="array" ref="BM31">$G$14+VLOOKUP($Q31,武学奇术!$A:$ZZ,16,FALSE)+SUM(_xlfn.XLOOKUP($R31:$AK31,增益!$A:$A,增益!$P:$P,0))</f>
        <v>0.06</v>
      </c>
      <c r="BN31" s="26">
        <f>MIN(IF(VLOOKUP($Q31,武学奇术!$A:$ZZ,23,FALSE)=1,100%,$B$8),100%)</f>
        <v>0.9859</v>
      </c>
      <c r="BO31" s="26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6" cm="1">
        <f t="array" ref="BP31">1+$B$13+VLOOKUP($Q31,武学奇术!$A:$ZZ,18,FALSE)+SUM(_xlfn.XLOOKUP($R31:$AK31,增益!$A:$A,增益!$R:$R,0))</f>
        <v>1.94</v>
      </c>
      <c r="BQ31" s="26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6" cm="1">
        <f t="array" ref="BR31">1+$B$14+VLOOKUP($Q31,武学奇术!$A:$ZZ,20,FALSE)+SUM(_xlfn.XLOOKUP($R31:$AK31,增益!$A:$A,增益!$T:$T,0))</f>
        <v>1.35</v>
      </c>
      <c r="BS31" s="26">
        <f t="shared" si="9"/>
        <v>0.87863408</v>
      </c>
      <c r="BT31" s="26">
        <f t="shared" si="10"/>
        <v>0.01567581</v>
      </c>
      <c r="BU31" s="26">
        <f>IF(VLOOKUP($Q31,武学奇术!$A:$ZZ,22,FALSE)=1,0,(1-$BN31))*(1-$BQ31)</f>
        <v>0.01279011</v>
      </c>
      <c r="BV31" s="26" cm="1">
        <f t="array" ref="BV31">SUM(_xlfn.XLOOKUP($R31:$AK31,增益!$A:$A,增益!$W:$W,0))+$I$5</f>
        <v>0.11</v>
      </c>
    </row>
    <row r="32" spans="1:74">
      <c r="A32" t="s">
        <v>162</v>
      </c>
      <c r="B32">
        <v>0.1</v>
      </c>
      <c r="D32" s="39"/>
      <c r="E32" s="39"/>
      <c r="H32">
        <v>121</v>
      </c>
      <c r="K32" s="38">
        <f t="shared" si="0"/>
        <v>106559.406348633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110342.76571191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87046.6852831981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56877.7142844898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49276.4024332773</v>
      </c>
      <c r="P32" s="39">
        <v>1</v>
      </c>
      <c r="Q32" s="40" t="s">
        <v>140</v>
      </c>
      <c r="R32" s="40" t="s">
        <v>100</v>
      </c>
      <c r="S32" s="40" t="s">
        <v>158</v>
      </c>
      <c r="T32" s="40" t="s">
        <v>97</v>
      </c>
      <c r="U32" s="40" t="s">
        <v>80</v>
      </c>
      <c r="V32" s="40" t="s">
        <v>73</v>
      </c>
      <c r="W32" s="40" t="s">
        <v>115</v>
      </c>
      <c r="X32" s="40" t="s">
        <v>87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81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82</v>
      </c>
      <c r="AL32" t="str">
        <f>VLOOKUP($Q32,武学奇术!$A:$ZZ,25,FALSE)</f>
        <v>鼓</v>
      </c>
      <c r="AM32" s="26">
        <f>VLOOKUP($Q32,武学奇术!$A:$ZZ,26,FALSE)</f>
        <v>3.26858</v>
      </c>
      <c r="AN32" s="27">
        <f>VLOOKUP($Q32,武学奇术!$A:$ZZ,27,FALSE)*(1+IF(OR($AL32=$F$4,$AL32=$F$5),$B$22,0))</f>
        <v>1377.6</v>
      </c>
      <c r="AO32" s="26">
        <f>VLOOKUP($Q32,武学奇术!$A:$ZZ,28,FALSE)</f>
        <v>4.90294</v>
      </c>
      <c r="AP32" s="27">
        <f>VLOOKUP($Q32,武学奇术!$A:$ZZ,29,FALSE)*(1+IF(OR($AL32=$F$4,$AL32=$F$5),$B$22,0))</f>
        <v>739.2</v>
      </c>
      <c r="AQ32" s="26" cm="1">
        <f t="array" ref="AQ32">$G$3+IFERROR(VLOOKUP($AL32,$F$4:$G$7,2,FALSE),0)+VLOOKUP($Q32,武学奇术!$A:$ZZ,2,FALSE)+SUM(_xlfn.XLOOKUP($R32:$AK32,增益!$A:$A,增益!$B:$B,0))</f>
        <v>0.5041</v>
      </c>
      <c r="AR32" s="26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3673.1</v>
      </c>
      <c r="AT32" cm="1">
        <f t="array" ref="AT32">$E$10*(1+$AR32)+VLOOKUP($Q32,武学奇术!$A:$ZZ,4,FALSE)+SUM(_xlfn.XLOOKUP($R32:$AK32,增益!$A:$A,增益!$D:$D,0))-$I$2</f>
        <v>3673.1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0.417</v>
      </c>
      <c r="AV32" s="32" cm="1">
        <f t="array" ref="AV32">$G$10+VLOOKUP($Q32,武学奇术!$A:$ZZ,7,FALSE)+SUM(_xlfn.XLOOKUP($R32:$AK32,增益!$A:$A,增益!$G:$G,0))</f>
        <v>0.205</v>
      </c>
      <c r="AW32" s="26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2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2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1823.136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2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2" cm="1">
        <f t="array" ref="BM32">$G$14+VLOOKUP($Q32,武学奇术!$A:$ZZ,16,FALSE)+SUM(_xlfn.XLOOKUP($R32:$AK32,增益!$A:$A,增益!$P:$P,0))</f>
        <v>0.06</v>
      </c>
      <c r="BN32" s="26">
        <f>MIN(IF(VLOOKUP($Q32,武学奇术!$A:$ZZ,23,FALSE)=1,100%,$B$8),100%)</f>
        <v>0.9859</v>
      </c>
      <c r="BO32" s="26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6" cm="1">
        <f t="array" ref="BP32">1+$B$13+VLOOKUP($Q32,武学奇术!$A:$ZZ,18,FALSE)+SUM(_xlfn.XLOOKUP($R32:$AK32,增益!$A:$A,增益!$R:$R,0))</f>
        <v>1.94</v>
      </c>
      <c r="BQ32" s="26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6" cm="1">
        <f t="array" ref="BR32">1+$B$14+VLOOKUP($Q32,武学奇术!$A:$ZZ,20,FALSE)+SUM(_xlfn.XLOOKUP($R32:$AK32,增益!$A:$A,增益!$T:$T,0))</f>
        <v>1.35</v>
      </c>
      <c r="BS32" s="26">
        <f t="shared" si="9"/>
        <v>0.87863408</v>
      </c>
      <c r="BT32" s="26">
        <f t="shared" si="10"/>
        <v>0.01567581</v>
      </c>
      <c r="BU32" s="26">
        <f>IF(VLOOKUP($Q32,武学奇术!$A:$ZZ,22,FALSE)=1,0,(1-$BN32))*(1-$BQ32)</f>
        <v>0.01279011</v>
      </c>
      <c r="BV32" s="26" cm="1">
        <f t="array" ref="BV32">SUM(_xlfn.XLOOKUP($R32:$AK32,增益!$A:$A,增益!$W:$W,0))+$I$5</f>
        <v>0.11</v>
      </c>
    </row>
    <row r="33" spans="1:74">
      <c r="A33" t="s">
        <v>163</v>
      </c>
      <c r="B33">
        <v>6.1</v>
      </c>
      <c r="D33" s="39"/>
      <c r="E33" s="39"/>
      <c r="H33">
        <v>141</v>
      </c>
      <c r="K33" s="38">
        <f t="shared" si="0"/>
        <v>22544.4813375611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22967.2608698325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21418.9757345891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14004.4273596539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12142.9467677604</v>
      </c>
      <c r="P33" s="39">
        <v>1</v>
      </c>
      <c r="Q33" s="40" t="s">
        <v>133</v>
      </c>
      <c r="R33" s="40" t="s">
        <v>100</v>
      </c>
      <c r="S33" s="40" t="s">
        <v>158</v>
      </c>
      <c r="T33" s="40" t="s">
        <v>97</v>
      </c>
      <c r="U33" s="40" t="s">
        <v>80</v>
      </c>
      <c r="V33" s="40" t="s">
        <v>73</v>
      </c>
      <c r="W33" s="40" t="s">
        <v>115</v>
      </c>
      <c r="X33" s="40" t="s">
        <v>87</v>
      </c>
      <c r="Y33" s="40" t="s">
        <v>80</v>
      </c>
      <c r="Z33" s="40" t="s">
        <v>80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81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82</v>
      </c>
      <c r="AL33" t="str">
        <f>VLOOKUP($Q33,武学奇术!$A:$ZZ,25,FALSE)</f>
        <v>鼓</v>
      </c>
      <c r="AM33" s="26">
        <f>VLOOKUP($Q33,武学奇术!$A:$ZZ,26,FALSE)</f>
        <v>0.8434</v>
      </c>
      <c r="AN33" s="27">
        <f>VLOOKUP($Q33,武学奇术!$A:$ZZ,27,FALSE)*(1+IF(OR($AL33=$F$4,$AL33=$F$5),$B$22,0))</f>
        <v>352.5</v>
      </c>
      <c r="AO33" s="26">
        <f>VLOOKUP($Q33,武学奇术!$A:$ZZ,28,FALSE)</f>
        <v>1.265</v>
      </c>
      <c r="AP33" s="27">
        <f>VLOOKUP($Q33,武学奇术!$A:$ZZ,29,FALSE)*(1+IF(OR($AL33=$F$4,$AL33=$F$5),$B$22,0))</f>
        <v>190.5</v>
      </c>
      <c r="AQ33" s="26" cm="1">
        <f t="array" ref="AQ33">$G$3+IFERROR(VLOOKUP($AL33,$F$4:$G$7,2,FALSE),0)+VLOOKUP($Q33,武学奇术!$A:$ZZ,2,FALSE)+SUM(_xlfn.XLOOKUP($R33:$AK33,增益!$A:$A,增益!$B:$B,0))</f>
        <v>0.5041</v>
      </c>
      <c r="AR33" s="26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3673.1</v>
      </c>
      <c r="AT33" cm="1">
        <f t="array" ref="AT33">$E$10*(1+$AR33)+VLOOKUP($Q33,武学奇术!$A:$ZZ,4,FALSE)+SUM(_xlfn.XLOOKUP($R33:$AK33,增益!$A:$A,增益!$D:$D,0))-$I$2</f>
        <v>3673.1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0.357</v>
      </c>
      <c r="AV33" s="32" cm="1">
        <f t="array" ref="AV33">$G$10+VLOOKUP($Q33,武学奇术!$A:$ZZ,7,FALSE)+SUM(_xlfn.XLOOKUP($R33:$AK33,增益!$A:$A,增益!$G:$G,0))</f>
        <v>0.205</v>
      </c>
      <c r="AW33" s="26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2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2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1823.136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2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2" cm="1">
        <f t="array" ref="BM33">$G$14+VLOOKUP($Q33,武学奇术!$A:$ZZ,16,FALSE)+SUM(_xlfn.XLOOKUP($R33:$AK33,增益!$A:$A,增益!$P:$P,0))</f>
        <v>0.06</v>
      </c>
      <c r="BN33" s="26">
        <f>MIN(IF(VLOOKUP($Q33,武学奇术!$A:$ZZ,23,FALSE)=1,100%,$B$8),100%)</f>
        <v>0.9859</v>
      </c>
      <c r="BO33" s="26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6" cm="1">
        <f t="array" ref="BP33">1+$B$13+VLOOKUP($Q33,武学奇术!$A:$ZZ,18,FALSE)+SUM(_xlfn.XLOOKUP($R33:$AK33,增益!$A:$A,增益!$R:$R,0))</f>
        <v>1.64</v>
      </c>
      <c r="BQ33" s="26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6" cm="1">
        <f t="array" ref="BR33">1+$B$14+VLOOKUP($Q33,武学奇术!$A:$ZZ,20,FALSE)+SUM(_xlfn.XLOOKUP($R33:$AK33,增益!$A:$A,增益!$T:$T,0))</f>
        <v>1.35</v>
      </c>
      <c r="BS33" s="26">
        <f t="shared" si="9"/>
        <v>0.87863408</v>
      </c>
      <c r="BT33" s="26">
        <f t="shared" si="10"/>
        <v>0.01567581</v>
      </c>
      <c r="BU33" s="26">
        <f>IF(VLOOKUP($Q33,武学奇术!$A:$ZZ,22,FALSE)=1,0,(1-$BN33))*(1-$BQ33)</f>
        <v>0.01279011</v>
      </c>
      <c r="BV33" s="26" cm="1">
        <f t="array" ref="BV33">SUM(_xlfn.XLOOKUP($R33:$AK33,增益!$A:$A,增益!$W:$W,0))+$I$5</f>
        <v>0.11</v>
      </c>
    </row>
    <row r="34" spans="1:74">
      <c r="A34" t="s">
        <v>164</v>
      </c>
      <c r="B34">
        <v>2</v>
      </c>
      <c r="D34" s="39"/>
      <c r="E34" s="39"/>
      <c r="K34" s="38">
        <f t="shared" si="0"/>
        <v>33857.1929725861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35059.0334297527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27660.0875965037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18071.6667163674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15654.3796575468</v>
      </c>
      <c r="P34" s="39">
        <v>1</v>
      </c>
      <c r="Q34" s="40" t="s">
        <v>137</v>
      </c>
      <c r="R34" s="40" t="s">
        <v>100</v>
      </c>
      <c r="S34" s="40" t="s">
        <v>158</v>
      </c>
      <c r="T34" s="40" t="s">
        <v>97</v>
      </c>
      <c r="U34" s="40" t="s">
        <v>80</v>
      </c>
      <c r="V34" s="40" t="s">
        <v>73</v>
      </c>
      <c r="W34" s="40" t="s">
        <v>115</v>
      </c>
      <c r="X34" s="40" t="s">
        <v>87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81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82</v>
      </c>
      <c r="AL34" t="str">
        <f>VLOOKUP($Q34,武学奇术!$A:$ZZ,25,FALSE)</f>
        <v>鼓</v>
      </c>
      <c r="AM34" s="26">
        <f>VLOOKUP($Q34,武学奇术!$A:$ZZ,26,FALSE)</f>
        <v>1.03936</v>
      </c>
      <c r="AN34" s="27">
        <f>VLOOKUP($Q34,武学奇术!$A:$ZZ,27,FALSE)*(1+IF(OR($AL34=$F$4,$AL34=$F$5),$B$22,0))</f>
        <v>432.6</v>
      </c>
      <c r="AO34" s="26">
        <f>VLOOKUP($Q34,武学奇术!$A:$ZZ,28,FALSE)</f>
        <v>1.55918</v>
      </c>
      <c r="AP34" s="27">
        <f>VLOOKUP($Q34,武学奇术!$A:$ZZ,29,FALSE)*(1+IF(OR($AL34=$F$4,$AL34=$F$5),$B$22,0))</f>
        <v>235.2</v>
      </c>
      <c r="AQ34" s="26" cm="1">
        <f t="array" ref="AQ34">$G$3+IFERROR(VLOOKUP($AL34,$F$4:$G$7,2,FALSE),0)+VLOOKUP($Q34,武学奇术!$A:$ZZ,2,FALSE)+SUM(_xlfn.XLOOKUP($R34:$AK34,增益!$A:$A,增益!$B:$B,0))</f>
        <v>0.5041</v>
      </c>
      <c r="AR34" s="26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3673.1</v>
      </c>
      <c r="AT34" cm="1">
        <f t="array" ref="AT34">$E$10*(1+$AR34)+VLOOKUP($Q34,武学奇术!$A:$ZZ,4,FALSE)+SUM(_xlfn.XLOOKUP($R34:$AK34,增益!$A:$A,增益!$D:$D,0))-$I$2</f>
        <v>3673.1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0.417</v>
      </c>
      <c r="AV34" s="32" cm="1">
        <f t="array" ref="AV34">$G$10+VLOOKUP($Q34,武学奇术!$A:$ZZ,7,FALSE)+SUM(_xlfn.XLOOKUP($R34:$AK34,增益!$A:$A,增益!$G:$G,0))</f>
        <v>0.205</v>
      </c>
      <c r="AW34" s="26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2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2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1823.136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2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2" cm="1">
        <f t="array" ref="BM34">$G$14+VLOOKUP($Q34,武学奇术!$A:$ZZ,16,FALSE)+SUM(_xlfn.XLOOKUP($R34:$AK34,增益!$A:$A,增益!$P:$P,0))</f>
        <v>0.06</v>
      </c>
      <c r="BN34" s="26">
        <f>MIN(IF(VLOOKUP($Q34,武学奇术!$A:$ZZ,23,FALSE)=1,100%,$B$8),100%)</f>
        <v>0.9859</v>
      </c>
      <c r="BO34" s="26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6" cm="1">
        <f t="array" ref="BP34">1+$B$13+VLOOKUP($Q34,武学奇术!$A:$ZZ,18,FALSE)+SUM(_xlfn.XLOOKUP($R34:$AK34,增益!$A:$A,增益!$R:$R,0))</f>
        <v>1.94</v>
      </c>
      <c r="BQ34" s="26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6" cm="1">
        <f t="array" ref="BR34">1+$B$14+VLOOKUP($Q34,武学奇术!$A:$ZZ,20,FALSE)+SUM(_xlfn.XLOOKUP($R34:$AK34,增益!$A:$A,增益!$T:$T,0))</f>
        <v>1.35</v>
      </c>
      <c r="BS34" s="26">
        <f t="shared" si="9"/>
        <v>0.87863408</v>
      </c>
      <c r="BT34" s="26">
        <f t="shared" si="10"/>
        <v>0.01567581</v>
      </c>
      <c r="BU34" s="26">
        <f>IF(VLOOKUP($Q34,武学奇术!$A:$ZZ,22,FALSE)=1,0,(1-$BN34))*(1-$BQ34)</f>
        <v>0.01279011</v>
      </c>
      <c r="BV34" s="26" cm="1">
        <f t="array" ref="BV34">SUM(_xlfn.XLOOKUP($R34:$AK34,增益!$A:$A,增益!$W:$W,0))+$I$5</f>
        <v>0.11</v>
      </c>
    </row>
    <row r="35" spans="1:74">
      <c r="A35" t="s">
        <v>165</v>
      </c>
      <c r="B35">
        <v>1.6</v>
      </c>
      <c r="D35" s="39"/>
      <c r="E35" s="39"/>
      <c r="K35" s="38">
        <f t="shared" ref="K35:K60" si="11">($L35*$BS35+$M35*$BQ35+$N35*$BT35+$O35*$BU35)</f>
        <v>106559.406348633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110342.76571191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87046.6852831981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56877.7142844898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49276.4024332773</v>
      </c>
      <c r="P35" s="39">
        <v>1</v>
      </c>
      <c r="Q35" s="40" t="s">
        <v>140</v>
      </c>
      <c r="R35" s="40" t="s">
        <v>100</v>
      </c>
      <c r="S35" s="40" t="s">
        <v>158</v>
      </c>
      <c r="T35" s="40" t="s">
        <v>97</v>
      </c>
      <c r="U35" s="40" t="s">
        <v>80</v>
      </c>
      <c r="V35" s="40" t="s">
        <v>73</v>
      </c>
      <c r="W35" s="40" t="s">
        <v>115</v>
      </c>
      <c r="X35" s="40" t="s">
        <v>87</v>
      </c>
      <c r="Y35" s="40" t="s">
        <v>80</v>
      </c>
      <c r="Z35" s="40" t="s">
        <v>80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81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82</v>
      </c>
      <c r="AL35" t="str">
        <f>VLOOKUP($Q35,武学奇术!$A:$ZZ,25,FALSE)</f>
        <v>鼓</v>
      </c>
      <c r="AM35" s="26">
        <f>VLOOKUP($Q35,武学奇术!$A:$ZZ,26,FALSE)</f>
        <v>3.26858</v>
      </c>
      <c r="AN35" s="27">
        <f>VLOOKUP($Q35,武学奇术!$A:$ZZ,27,FALSE)*(1+IF(OR($AL35=$F$4,$AL35=$F$5),$B$22,0))</f>
        <v>1377.6</v>
      </c>
      <c r="AO35" s="26">
        <f>VLOOKUP($Q35,武学奇术!$A:$ZZ,28,FALSE)</f>
        <v>4.90294</v>
      </c>
      <c r="AP35" s="27">
        <f>VLOOKUP($Q35,武学奇术!$A:$ZZ,29,FALSE)*(1+IF(OR($AL35=$F$4,$AL35=$F$5),$B$22,0))</f>
        <v>739.2</v>
      </c>
      <c r="AQ35" s="26" cm="1">
        <f t="array" ref="AQ35">$G$3+IFERROR(VLOOKUP($AL35,$F$4:$G$7,2,FALSE),0)+VLOOKUP($Q35,武学奇术!$A:$ZZ,2,FALSE)+SUM(_xlfn.XLOOKUP($R35:$AK35,增益!$A:$A,增益!$B:$B,0))</f>
        <v>0.5041</v>
      </c>
      <c r="AR35" s="26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3673.1</v>
      </c>
      <c r="AT35" cm="1">
        <f t="array" ref="AT35">$E$10*(1+$AR35)+VLOOKUP($Q35,武学奇术!$A:$ZZ,4,FALSE)+SUM(_xlfn.XLOOKUP($R35:$AK35,增益!$A:$A,增益!$D:$D,0))-$I$2</f>
        <v>3673.1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0.417</v>
      </c>
      <c r="AV35" s="32" cm="1">
        <f t="array" ref="AV35">$G$10+VLOOKUP($Q35,武学奇术!$A:$ZZ,7,FALSE)+SUM(_xlfn.XLOOKUP($R35:$AK35,增益!$A:$A,增益!$G:$G,0))</f>
        <v>0.205</v>
      </c>
      <c r="AW35" s="26" cm="1">
        <f t="array" ref="AW35">VLOOKUP($Q35,武学奇术!$A:$ZZ,8,FALSE)+SUM(_xlfn.XLOOKUP($R35:$AK35,增益!$A:$A,增益!$H:$H,0))</f>
        <v>0.12</v>
      </c>
      <c r="AX35">
        <f t="shared" ref="AX35:AX66" si="12">$D$11*(1+$AW35)</f>
        <v>0</v>
      </c>
      <c r="AY35">
        <f t="shared" ref="AY35:AY66" si="13">$E$11*(1+$AW35)</f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2" cm="1">
        <f t="array" ref="BA35">$G$11+VLOOKUP($Q35,武学奇术!$A:$ZZ,10,FALSE)+SUM(_xlfn.XLOOKUP($R35:$AK35,增益!$A:$A,增益!$J:$J,0))</f>
        <v>0.06</v>
      </c>
      <c r="BB35">
        <f t="shared" ref="BB35:BB66" si="14">$D$12*(1+$AW35)</f>
        <v>0</v>
      </c>
      <c r="BC35">
        <f t="shared" ref="BC35:BC66" si="15">$E$12*(1+$AW35)</f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2" cm="1">
        <f t="array" ref="BE35">$G$12+VLOOKUP($Q35,武学奇术!$A:$ZZ,12,FALSE)+SUM(_xlfn.XLOOKUP($R35:$AK35,增益!$A:$A,增益!$L:$L,0))</f>
        <v>0.06</v>
      </c>
      <c r="BF35">
        <f t="shared" ref="BF35:BF66" si="16">$D$13*(1+$AW35)</f>
        <v>639.744</v>
      </c>
      <c r="BG35">
        <f t="shared" ref="BG35:BG66" si="17">$E$13*(1+$AW35)</f>
        <v>1823.136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2" cm="1">
        <f t="array" ref="BI35">$G$13+VLOOKUP($Q35,武学奇术!$A:$ZZ,14,FALSE)+SUM(_xlfn.XLOOKUP($R35:$AK35,增益!$A:$A,增益!$N:$N,0))</f>
        <v>0.33</v>
      </c>
      <c r="BJ35">
        <f t="shared" ref="BJ35:BJ66" si="18">$D$14*(1+$AW35)</f>
        <v>0</v>
      </c>
      <c r="BK35">
        <f t="shared" ref="BK35:BK66" si="19">$E$14*(1+$AW35)</f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2" cm="1">
        <f t="array" ref="BM35">$G$14+VLOOKUP($Q35,武学奇术!$A:$ZZ,16,FALSE)+SUM(_xlfn.XLOOKUP($R35:$AK35,增益!$A:$A,增益!$P:$P,0))</f>
        <v>0.06</v>
      </c>
      <c r="BN35" s="26">
        <f>MIN(IF(VLOOKUP($Q35,武学奇术!$A:$ZZ,23,FALSE)=1,100%,$B$8),100%)</f>
        <v>0.9859</v>
      </c>
      <c r="BO35" s="26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6" cm="1">
        <f t="array" ref="BP35">1+$B$13+VLOOKUP($Q35,武学奇术!$A:$ZZ,18,FALSE)+SUM(_xlfn.XLOOKUP($R35:$AK35,增益!$A:$A,增益!$R:$R,0))</f>
        <v>1.94</v>
      </c>
      <c r="BQ35" s="26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6" cm="1">
        <f t="array" ref="BR35">1+$B$14+VLOOKUP($Q35,武学奇术!$A:$ZZ,20,FALSE)+SUM(_xlfn.XLOOKUP($R35:$AK35,增益!$A:$A,增益!$T:$T,0))</f>
        <v>1.35</v>
      </c>
      <c r="BS35" s="26">
        <f t="shared" ref="BS35:BS66" si="20">MIN((1-BQ35)*BN35,BN35*BO35)</f>
        <v>0.87863408</v>
      </c>
      <c r="BT35" s="26">
        <f t="shared" ref="BT35:BT66" si="21">1-BQ35-BS35-BU35</f>
        <v>0.01567581</v>
      </c>
      <c r="BU35" s="26">
        <f>IF(VLOOKUP($Q35,武学奇术!$A:$ZZ,22,FALSE)=1,0,(1-$BN35))*(1-$BQ35)</f>
        <v>0.01279011</v>
      </c>
      <c r="BV35" s="26" cm="1">
        <f t="array" ref="BV35">SUM(_xlfn.XLOOKUP($R35:$AK35,增益!$A:$A,增益!$W:$W,0))+$I$5</f>
        <v>0.11</v>
      </c>
    </row>
    <row r="36" spans="1:74">
      <c r="A36" t="s">
        <v>166</v>
      </c>
      <c r="B36">
        <v>1.3</v>
      </c>
      <c r="D36" s="39"/>
      <c r="E36" s="39"/>
      <c r="K36" s="38">
        <f t="shared" si="11"/>
        <v>99525.7673020333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101438.032235649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94060.3997840483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61852.4586802739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54030.5471501416</v>
      </c>
      <c r="P36" s="39">
        <v>1</v>
      </c>
      <c r="Q36" s="40" t="s">
        <v>108</v>
      </c>
      <c r="R36" s="40" t="s">
        <v>100</v>
      </c>
      <c r="S36" s="40" t="s">
        <v>158</v>
      </c>
      <c r="T36" s="40" t="s">
        <v>97</v>
      </c>
      <c r="U36" s="40" t="s">
        <v>80</v>
      </c>
      <c r="V36" s="40" t="s">
        <v>73</v>
      </c>
      <c r="W36" s="40" t="s">
        <v>115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81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82</v>
      </c>
      <c r="AL36" t="str">
        <f>VLOOKUP($Q36,武学奇术!$A:$ZZ,25,FALSE)</f>
        <v>扇</v>
      </c>
      <c r="AM36" s="26">
        <f>VLOOKUP($Q36,武学奇术!$A:$ZZ,26,FALSE)</f>
        <v>4.045375</v>
      </c>
      <c r="AN36" s="27">
        <f>VLOOKUP($Q36,武学奇术!$A:$ZZ,27,FALSE)*(1+IF(OR($AL36=$F$4,$AL36=$F$5),$B$22,0))</f>
        <v>1678.125</v>
      </c>
      <c r="AO36" s="26">
        <f>VLOOKUP($Q36,武学奇术!$A:$ZZ,28,FALSE)</f>
        <v>6.068125</v>
      </c>
      <c r="AP36" s="27">
        <f>VLOOKUP($Q36,武学奇术!$A:$ZZ,29,FALSE)*(1+IF(OR($AL36=$F$4,$AL36=$F$5),$B$22,0))</f>
        <v>913.125</v>
      </c>
      <c r="AQ36" s="26" cm="1">
        <f t="array" ref="AQ36">$G$3+IFERROR(VLOOKUP($AL36,$F$4:$G$7,2,FALSE),0)+VLOOKUP($Q36,武学奇术!$A:$ZZ,2,FALSE)+SUM(_xlfn.XLOOKUP($R36:$AK36,增益!$A:$A,增益!$B:$B,0))</f>
        <v>0.4189</v>
      </c>
      <c r="AR36" s="26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3673.1</v>
      </c>
      <c r="AT36" cm="1">
        <f t="array" ref="AT36">$E$10*(1+$AR36)+VLOOKUP($Q36,武学奇术!$A:$ZZ,4,FALSE)+SUM(_xlfn.XLOOKUP($R36:$AK36,增益!$A:$A,增益!$D:$D,0))-$I$2</f>
        <v>3673.1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0.357</v>
      </c>
      <c r="AV36" s="32" cm="1">
        <f t="array" ref="AV36">$G$10+VLOOKUP($Q36,武学奇术!$A:$ZZ,7,FALSE)+SUM(_xlfn.XLOOKUP($R36:$AK36,增益!$A:$A,增益!$G:$G,0))</f>
        <v>0.205</v>
      </c>
      <c r="AW36" s="26" cm="1">
        <f t="array" ref="AW36">VLOOKUP($Q36,武学奇术!$A:$ZZ,8,FALSE)+SUM(_xlfn.XLOOKUP($R36:$AK36,增益!$A:$A,增益!$H:$H,0))</f>
        <v>0.12</v>
      </c>
      <c r="AX36">
        <f t="shared" si="12"/>
        <v>0</v>
      </c>
      <c r="AY36">
        <f t="shared" si="13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2" cm="1">
        <f t="array" ref="BA36">$G$11+VLOOKUP($Q36,武学奇术!$A:$ZZ,10,FALSE)+SUM(_xlfn.XLOOKUP($R36:$AK36,增益!$A:$A,增益!$J:$J,0))</f>
        <v>0.06</v>
      </c>
      <c r="BB36">
        <f t="shared" si="14"/>
        <v>0</v>
      </c>
      <c r="BC36">
        <f t="shared" si="15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2" cm="1">
        <f t="array" ref="BE36">$G$12+VLOOKUP($Q36,武学奇术!$A:$ZZ,12,FALSE)+SUM(_xlfn.XLOOKUP($R36:$AK36,增益!$A:$A,增益!$L:$L,0))</f>
        <v>0.06</v>
      </c>
      <c r="BF36">
        <f t="shared" si="16"/>
        <v>639.744</v>
      </c>
      <c r="BG36">
        <f t="shared" si="17"/>
        <v>1823.136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2" cm="1">
        <f t="array" ref="BI36">$G$13+VLOOKUP($Q36,武学奇术!$A:$ZZ,14,FALSE)+SUM(_xlfn.XLOOKUP($R36:$AK36,增益!$A:$A,增益!$N:$N,0))</f>
        <v>0.33</v>
      </c>
      <c r="BJ36">
        <f t="shared" si="18"/>
        <v>0</v>
      </c>
      <c r="BK36">
        <f t="shared" si="19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2" cm="1">
        <f t="array" ref="BM36">$G$14+VLOOKUP($Q36,武学奇术!$A:$ZZ,16,FALSE)+SUM(_xlfn.XLOOKUP($R36:$AK36,增益!$A:$A,增益!$P:$P,0))</f>
        <v>0.06</v>
      </c>
      <c r="BN36" s="26">
        <f>MIN(IF(VLOOKUP($Q36,武学奇术!$A:$ZZ,23,FALSE)=1,100%,$B$8),100%)</f>
        <v>0.9859</v>
      </c>
      <c r="BO36" s="26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6" cm="1">
        <f t="array" ref="BP36">1+$B$13+VLOOKUP($Q36,武学奇术!$A:$ZZ,18,FALSE)+SUM(_xlfn.XLOOKUP($R36:$AK36,增益!$A:$A,增益!$R:$R,0))</f>
        <v>1.64</v>
      </c>
      <c r="BQ36" s="26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6" cm="1">
        <f t="array" ref="BR36">1+$B$14+VLOOKUP($Q36,武学奇术!$A:$ZZ,20,FALSE)+SUM(_xlfn.XLOOKUP($R36:$AK36,增益!$A:$A,增益!$T:$T,0))</f>
        <v>1.35</v>
      </c>
      <c r="BS36" s="26">
        <f t="shared" si="20"/>
        <v>0.87863408</v>
      </c>
      <c r="BT36" s="26">
        <f t="shared" si="21"/>
        <v>0.01567581</v>
      </c>
      <c r="BU36" s="26">
        <f>IF(VLOOKUP($Q36,武学奇术!$A:$ZZ,22,FALSE)=1,0,(1-$BN36))*(1-$BQ36)</f>
        <v>0.01279011</v>
      </c>
      <c r="BV36" s="26" cm="1">
        <f t="array" ref="BV36">SUM(_xlfn.XLOOKUP($R36:$AK36,增益!$A:$A,增益!$W:$W,0))+$I$5</f>
        <v>0.11</v>
      </c>
    </row>
    <row r="37" spans="1:74">
      <c r="A37" t="s">
        <v>167</v>
      </c>
      <c r="B37">
        <v>1.3</v>
      </c>
      <c r="E37" s="39"/>
      <c r="K37" s="38">
        <f t="shared" si="11"/>
        <v>24190.2288717708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24654.9959811205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22862.0427869072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15033.5341348296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13132.221760839</v>
      </c>
      <c r="P37" s="39">
        <v>1</v>
      </c>
      <c r="Q37" s="40" t="s">
        <v>110</v>
      </c>
      <c r="R37" s="40" t="s">
        <v>100</v>
      </c>
      <c r="S37" s="40" t="s">
        <v>158</v>
      </c>
      <c r="T37" s="40" t="s">
        <v>97</v>
      </c>
      <c r="U37" s="40" t="s">
        <v>80</v>
      </c>
      <c r="V37" s="40" t="s">
        <v>73</v>
      </c>
      <c r="W37" s="40" t="s">
        <v>80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81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82</v>
      </c>
      <c r="AL37" t="str">
        <f>VLOOKUP($Q37,武学奇术!$A:$ZZ,25,FALSE)</f>
        <v>扇</v>
      </c>
      <c r="AM37" s="26">
        <f>VLOOKUP($Q37,武学奇术!$A:$ZZ,26,FALSE)</f>
        <v>0.9186</v>
      </c>
      <c r="AN37" s="27">
        <f>VLOOKUP($Q37,武学奇术!$A:$ZZ,27,FALSE)*(1+IF(OR($AL37=$F$4,$AL37=$F$5),$B$22,0))</f>
        <v>381</v>
      </c>
      <c r="AO37" s="26">
        <f>VLOOKUP($Q37,武学奇术!$A:$ZZ,28,FALSE)</f>
        <v>1.3779</v>
      </c>
      <c r="AP37" s="27">
        <f>VLOOKUP($Q37,武学奇术!$A:$ZZ,29,FALSE)*(1+IF(OR($AL37=$F$4,$AL37=$F$5),$B$22,0))</f>
        <v>207</v>
      </c>
      <c r="AQ37" s="26" cm="1">
        <f t="array" ref="AQ37">$G$3+IFERROR(VLOOKUP($AL37,$F$4:$G$7,2,FALSE),0)+VLOOKUP($Q37,武学奇术!$A:$ZZ,2,FALSE)+SUM(_xlfn.XLOOKUP($R37:$AK37,增益!$A:$A,增益!$B:$B,0))</f>
        <v>0.5189</v>
      </c>
      <c r="AR37" s="26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3673.1</v>
      </c>
      <c r="AT37" cm="1">
        <f t="array" ref="AT37">$E$10*(1+$AR37)+VLOOKUP($Q37,武学奇术!$A:$ZZ,4,FALSE)+SUM(_xlfn.XLOOKUP($R37:$AK37,增益!$A:$A,增益!$D:$D,0))-$I$2</f>
        <v>3673.1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0.357</v>
      </c>
      <c r="AV37" s="32" cm="1">
        <f t="array" ref="AV37">$G$10+VLOOKUP($Q37,武学奇术!$A:$ZZ,7,FALSE)+SUM(_xlfn.XLOOKUP($R37:$AK37,增益!$A:$A,增益!$G:$G,0))</f>
        <v>0.205</v>
      </c>
      <c r="AW37" s="26" cm="1">
        <f t="array" ref="AW37">VLOOKUP($Q37,武学奇术!$A:$ZZ,8,FALSE)+SUM(_xlfn.XLOOKUP($R37:$AK37,增益!$A:$A,增益!$H:$H,0))</f>
        <v>0.12</v>
      </c>
      <c r="AX37">
        <f t="shared" si="12"/>
        <v>0</v>
      </c>
      <c r="AY37">
        <f t="shared" si="13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2" cm="1">
        <f t="array" ref="BA37">$G$11+VLOOKUP($Q37,武学奇术!$A:$ZZ,10,FALSE)+SUM(_xlfn.XLOOKUP($R37:$AK37,增益!$A:$A,增益!$J:$J,0))</f>
        <v>0.06</v>
      </c>
      <c r="BB37">
        <f t="shared" si="14"/>
        <v>0</v>
      </c>
      <c r="BC37">
        <f t="shared" si="15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2" cm="1">
        <f t="array" ref="BE37">$G$12+VLOOKUP($Q37,武学奇术!$A:$ZZ,12,FALSE)+SUM(_xlfn.XLOOKUP($R37:$AK37,增益!$A:$A,增益!$L:$L,0))</f>
        <v>0.06</v>
      </c>
      <c r="BF37">
        <f t="shared" si="16"/>
        <v>639.744</v>
      </c>
      <c r="BG37">
        <f t="shared" si="17"/>
        <v>1823.136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2" cm="1">
        <f t="array" ref="BI37">$G$13+VLOOKUP($Q37,武学奇术!$A:$ZZ,14,FALSE)+SUM(_xlfn.XLOOKUP($R37:$AK37,增益!$A:$A,增益!$N:$N,0))</f>
        <v>0.33</v>
      </c>
      <c r="BJ37">
        <f t="shared" si="18"/>
        <v>0</v>
      </c>
      <c r="BK37">
        <f t="shared" si="19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2" cm="1">
        <f t="array" ref="BM37">$G$14+VLOOKUP($Q37,武学奇术!$A:$ZZ,16,FALSE)+SUM(_xlfn.XLOOKUP($R37:$AK37,增益!$A:$A,增益!$P:$P,0))</f>
        <v>0.06</v>
      </c>
      <c r="BN37" s="26">
        <f>MIN(IF(VLOOKUP($Q37,武学奇术!$A:$ZZ,23,FALSE)=1,100%,$B$8),100%)</f>
        <v>0.9859</v>
      </c>
      <c r="BO37" s="26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6" cm="1">
        <f t="array" ref="BP37">1+$B$13+VLOOKUP($Q37,武学奇术!$A:$ZZ,18,FALSE)+SUM(_xlfn.XLOOKUP($R37:$AK37,增益!$A:$A,增益!$R:$R,0))</f>
        <v>1.64</v>
      </c>
      <c r="BQ37" s="26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6" cm="1">
        <f t="array" ref="BR37">1+$B$14+VLOOKUP($Q37,武学奇术!$A:$ZZ,20,FALSE)+SUM(_xlfn.XLOOKUP($R37:$AK37,增益!$A:$A,增益!$T:$T,0))</f>
        <v>1.35</v>
      </c>
      <c r="BS37" s="26">
        <f t="shared" si="20"/>
        <v>0.87863408</v>
      </c>
      <c r="BT37" s="26">
        <f t="shared" si="21"/>
        <v>0.01567581</v>
      </c>
      <c r="BU37" s="26">
        <f>IF(VLOOKUP($Q37,武学奇术!$A:$ZZ,22,FALSE)=1,0,(1-$BN37))*(1-$BQ37)</f>
        <v>0.01279011</v>
      </c>
      <c r="BV37" s="26" cm="1">
        <f t="array" ref="BV37">SUM(_xlfn.XLOOKUP($R37:$AK37,增益!$A:$A,增益!$W:$W,0))+$I$5</f>
        <v>0.11</v>
      </c>
    </row>
    <row r="38" spans="1:74">
      <c r="A38" t="s">
        <v>165</v>
      </c>
      <c r="B38">
        <v>1.6</v>
      </c>
      <c r="K38" s="38">
        <f t="shared" si="11"/>
        <v>61636.3252754473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62791.84034758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58563.0942333448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38287.7075290122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33195.3452555468</v>
      </c>
      <c r="P38" s="39">
        <v>1</v>
      </c>
      <c r="Q38" s="40" t="s">
        <v>114</v>
      </c>
      <c r="R38" s="40" t="s">
        <v>100</v>
      </c>
      <c r="S38" s="40" t="s">
        <v>158</v>
      </c>
      <c r="T38" s="40" t="s">
        <v>97</v>
      </c>
      <c r="U38" s="40" t="s">
        <v>80</v>
      </c>
      <c r="V38" s="40" t="s">
        <v>73</v>
      </c>
      <c r="W38" s="40" t="s">
        <v>115</v>
      </c>
      <c r="X38" s="40" t="s">
        <v>87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81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82</v>
      </c>
      <c r="AL38" t="str">
        <f>VLOOKUP($Q38,武学奇术!$A:$ZZ,25,FALSE)</f>
        <v>扇</v>
      </c>
      <c r="AM38" s="26">
        <f>VLOOKUP($Q38,武学奇术!$A:$ZZ,26,FALSE)</f>
        <v>2.1435</v>
      </c>
      <c r="AN38" s="27">
        <f>VLOOKUP($Q38,武学奇术!$A:$ZZ,27,FALSE)*(1+IF(OR($AL38=$F$4,$AL38=$F$5),$B$22,0))</f>
        <v>888</v>
      </c>
      <c r="AO38" s="26">
        <f>VLOOKUP($Q38,武学奇术!$A:$ZZ,28,FALSE)</f>
        <v>3.2152</v>
      </c>
      <c r="AP38" s="27">
        <f>VLOOKUP($Q38,武学奇术!$A:$ZZ,29,FALSE)*(1+IF(OR($AL38=$F$4,$AL38=$F$5),$B$22,0))</f>
        <v>484.5</v>
      </c>
      <c r="AQ38" s="26" cm="1">
        <f t="array" ref="AQ38">$G$3+IFERROR(VLOOKUP($AL38,$F$4:$G$7,2,FALSE),0)+VLOOKUP($Q38,武学奇术!$A:$ZZ,2,FALSE)+SUM(_xlfn.XLOOKUP($R38:$AK38,增益!$A:$A,增益!$B:$B,0))</f>
        <v>0.6189</v>
      </c>
      <c r="AR38" s="26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3673.1</v>
      </c>
      <c r="AT38" cm="1">
        <f t="array" ref="AT38">$E$10*(1+$AR38)+VLOOKUP($Q38,武学奇术!$A:$ZZ,4,FALSE)+SUM(_xlfn.XLOOKUP($R38:$AK38,增益!$A:$A,增益!$D:$D,0))-$I$2</f>
        <v>3673.1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0.357</v>
      </c>
      <c r="AV38" s="32" cm="1">
        <f t="array" ref="AV38">$G$10+VLOOKUP($Q38,武学奇术!$A:$ZZ,7,FALSE)+SUM(_xlfn.XLOOKUP($R38:$AK38,增益!$A:$A,增益!$G:$G,0))</f>
        <v>0.205</v>
      </c>
      <c r="AW38" s="26" cm="1">
        <f t="array" ref="AW38">VLOOKUP($Q38,武学奇术!$A:$ZZ,8,FALSE)+SUM(_xlfn.XLOOKUP($R38:$AK38,增益!$A:$A,增益!$H:$H,0))</f>
        <v>0.12</v>
      </c>
      <c r="AX38">
        <f t="shared" si="12"/>
        <v>0</v>
      </c>
      <c r="AY38">
        <f t="shared" si="13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2" cm="1">
        <f t="array" ref="BA38">$G$11+VLOOKUP($Q38,武学奇术!$A:$ZZ,10,FALSE)+SUM(_xlfn.XLOOKUP($R38:$AK38,增益!$A:$A,增益!$J:$J,0))</f>
        <v>0.06</v>
      </c>
      <c r="BB38">
        <f t="shared" si="14"/>
        <v>0</v>
      </c>
      <c r="BC38">
        <f t="shared" si="15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2" cm="1">
        <f t="array" ref="BE38">$G$12+VLOOKUP($Q38,武学奇术!$A:$ZZ,12,FALSE)+SUM(_xlfn.XLOOKUP($R38:$AK38,增益!$A:$A,增益!$L:$L,0))</f>
        <v>0.06</v>
      </c>
      <c r="BF38">
        <f t="shared" si="16"/>
        <v>639.744</v>
      </c>
      <c r="BG38">
        <f t="shared" si="17"/>
        <v>1823.136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2" cm="1">
        <f t="array" ref="BI38">$G$13+VLOOKUP($Q38,武学奇术!$A:$ZZ,14,FALSE)+SUM(_xlfn.XLOOKUP($R38:$AK38,增益!$A:$A,增益!$N:$N,0))</f>
        <v>0.33</v>
      </c>
      <c r="BJ38">
        <f t="shared" si="18"/>
        <v>0</v>
      </c>
      <c r="BK38">
        <f t="shared" si="19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2" cm="1">
        <f t="array" ref="BM38">$G$14+VLOOKUP($Q38,武学奇术!$A:$ZZ,16,FALSE)+SUM(_xlfn.XLOOKUP($R38:$AK38,增益!$A:$A,增益!$P:$P,0))</f>
        <v>0.06</v>
      </c>
      <c r="BN38" s="26">
        <f>MIN(IF(VLOOKUP($Q38,武学奇术!$A:$ZZ,23,FALSE)=1,100%,$B$8),100%)</f>
        <v>0.9859</v>
      </c>
      <c r="BO38" s="26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6" cm="1">
        <f t="array" ref="BP38">1+$B$13+VLOOKUP($Q38,武学奇术!$A:$ZZ,18,FALSE)+SUM(_xlfn.XLOOKUP($R38:$AK38,增益!$A:$A,增益!$R:$R,0))</f>
        <v>1.64</v>
      </c>
      <c r="BQ38" s="26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6" cm="1">
        <f t="array" ref="BR38">1+$B$14+VLOOKUP($Q38,武学奇术!$A:$ZZ,20,FALSE)+SUM(_xlfn.XLOOKUP($R38:$AK38,增益!$A:$A,增益!$T:$T,0))</f>
        <v>1.35</v>
      </c>
      <c r="BS38" s="26">
        <f t="shared" si="20"/>
        <v>0.87863408</v>
      </c>
      <c r="BT38" s="26">
        <f t="shared" si="21"/>
        <v>0.01567581</v>
      </c>
      <c r="BU38" s="26">
        <f>IF(VLOOKUP($Q38,武学奇术!$A:$ZZ,22,FALSE)=1,0,(1-$BN38))*(1-$BQ38)</f>
        <v>0.01279011</v>
      </c>
      <c r="BV38" s="26" cm="1">
        <f t="array" ref="BV38">SUM(_xlfn.XLOOKUP($R38:$AK38,增益!$A:$A,增益!$W:$W,0))+$I$5</f>
        <v>0.11</v>
      </c>
    </row>
    <row r="39" spans="1:74">
      <c r="A39" t="s">
        <v>167</v>
      </c>
      <c r="B39">
        <v>1.3</v>
      </c>
      <c r="F39" s="4"/>
      <c r="K39" s="38">
        <f t="shared" si="11"/>
        <v>243738.329325269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248087.259445432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233974.215691438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151272.719174044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129231.204502578</v>
      </c>
      <c r="P39" s="39">
        <v>1</v>
      </c>
      <c r="Q39" s="40" t="s">
        <v>168</v>
      </c>
      <c r="R39" s="40" t="s">
        <v>100</v>
      </c>
      <c r="S39" s="40" t="s">
        <v>158</v>
      </c>
      <c r="T39" s="40" t="s">
        <v>97</v>
      </c>
      <c r="U39" s="40" t="s">
        <v>80</v>
      </c>
      <c r="V39" s="40" t="s">
        <v>73</v>
      </c>
      <c r="W39" s="40" t="s">
        <v>80</v>
      </c>
      <c r="X39" s="40" t="s">
        <v>87</v>
      </c>
      <c r="Y39" s="40" t="s">
        <v>169</v>
      </c>
      <c r="Z39" s="40" t="s">
        <v>170</v>
      </c>
      <c r="AA39" s="40" t="s">
        <v>171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81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82</v>
      </c>
      <c r="AL39" t="str">
        <f>VLOOKUP($Q39,武学奇术!$A:$ZZ,25,FALSE)</f>
        <v>群体奇术</v>
      </c>
      <c r="AM39" s="26">
        <f>VLOOKUP($Q39,武学奇术!$A:$ZZ,26,FALSE)</f>
        <v>10.315755</v>
      </c>
      <c r="AN39" s="27">
        <f>VLOOKUP($Q39,武学奇术!$A:$ZZ,27,FALSE)*(1+IF(OR($AL39=$F$4,$AL39=$F$5),$B$22,0))</f>
        <v>1992.6</v>
      </c>
      <c r="AO39" s="26">
        <f>VLOOKUP($Q39,武学奇术!$A:$ZZ,28,FALSE)</f>
        <v>15.4736325</v>
      </c>
      <c r="AP39" s="27">
        <f>VLOOKUP($Q39,武学奇术!$A:$ZZ,29,FALSE)*(1+IF(OR($AL39=$F$4,$AL39=$F$5),$B$22,0))</f>
        <v>0</v>
      </c>
      <c r="AQ39" s="26" cm="1">
        <f t="array" ref="AQ39">$G$3+IFERROR(VLOOKUP($AL39,$F$4:$G$7,2,FALSE),0)+VLOOKUP($Q39,武学奇术!$A:$ZZ,2,FALSE)+SUM(_xlfn.XLOOKUP($R39:$AK39,增益!$A:$A,增益!$B:$B,0))</f>
        <v>0.2337</v>
      </c>
      <c r="AR39" s="26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3673.1</v>
      </c>
      <c r="AT39" cm="1">
        <f t="array" ref="AT39">$E$10*(1+$AR39)+VLOOKUP($Q39,武学奇术!$A:$ZZ,4,FALSE)+SUM(_xlfn.XLOOKUP($R39:$AK39,增益!$A:$A,增益!$D:$D,0))-$I$2</f>
        <v>3673.1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0.357</v>
      </c>
      <c r="AV39" s="32" cm="1">
        <f t="array" ref="AV39">$G$10+VLOOKUP($Q39,武学奇术!$A:$ZZ,7,FALSE)+SUM(_xlfn.XLOOKUP($R39:$AK39,增益!$A:$A,增益!$G:$G,0))</f>
        <v>0.205</v>
      </c>
      <c r="AW39" s="26" cm="1">
        <f t="array" ref="AW39">VLOOKUP($Q39,武学奇术!$A:$ZZ,8,FALSE)+SUM(_xlfn.XLOOKUP($R39:$AK39,增益!$A:$A,增益!$H:$H,0))</f>
        <v>0.12</v>
      </c>
      <c r="AX39">
        <f t="shared" si="12"/>
        <v>0</v>
      </c>
      <c r="AY39">
        <f t="shared" si="13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2" cm="1">
        <f t="array" ref="BA39">$G$11+VLOOKUP($Q39,武学奇术!$A:$ZZ,10,FALSE)+SUM(_xlfn.XLOOKUP($R39:$AK39,增益!$A:$A,增益!$J:$J,0))</f>
        <v>0.16</v>
      </c>
      <c r="BB39">
        <f t="shared" si="14"/>
        <v>0</v>
      </c>
      <c r="BC39">
        <f t="shared" si="15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2" cm="1">
        <f t="array" ref="BE39">$G$12+VLOOKUP($Q39,武学奇术!$A:$ZZ,12,FALSE)+SUM(_xlfn.XLOOKUP($R39:$AK39,增益!$A:$A,增益!$L:$L,0))</f>
        <v>0.06</v>
      </c>
      <c r="BF39">
        <f t="shared" si="16"/>
        <v>639.744</v>
      </c>
      <c r="BG39">
        <f t="shared" si="17"/>
        <v>1823.136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2" cm="1">
        <f t="array" ref="BI39">$G$13+VLOOKUP($Q39,武学奇术!$A:$ZZ,14,FALSE)+SUM(_xlfn.XLOOKUP($R39:$AK39,增益!$A:$A,增益!$N:$N,0))</f>
        <v>0.33</v>
      </c>
      <c r="BJ39">
        <f t="shared" si="18"/>
        <v>0</v>
      </c>
      <c r="BK39">
        <f t="shared" si="19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2" cm="1">
        <f t="array" ref="BM39">$G$14+VLOOKUP($Q39,武学奇术!$A:$ZZ,16,FALSE)+SUM(_xlfn.XLOOKUP($R39:$AK39,增益!$A:$A,增益!$P:$P,0))</f>
        <v>0.06</v>
      </c>
      <c r="BN39" s="26">
        <f>MIN(IF(VLOOKUP($Q39,武学奇术!$A:$ZZ,23,FALSE)=1,100%,$B$8),100%)</f>
        <v>0.9859</v>
      </c>
      <c r="BO39" s="26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6" cm="1">
        <f t="array" ref="BP39">1+$B$13+VLOOKUP($Q39,武学奇术!$A:$ZZ,18,FALSE)+SUM(_xlfn.XLOOKUP($R39:$AK39,增益!$A:$A,增益!$R:$R,0))</f>
        <v>1.64</v>
      </c>
      <c r="BQ39" s="26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6" cm="1">
        <f t="array" ref="BR39">1+$B$14+VLOOKUP($Q39,武学奇术!$A:$ZZ,20,FALSE)+SUM(_xlfn.XLOOKUP($R39:$AK39,增益!$A:$A,增益!$T:$T,0))</f>
        <v>1.35</v>
      </c>
      <c r="BS39" s="26">
        <f t="shared" si="20"/>
        <v>0.87863408</v>
      </c>
      <c r="BT39" s="26">
        <f t="shared" si="21"/>
        <v>0.01567581</v>
      </c>
      <c r="BU39" s="26">
        <f>IF(VLOOKUP($Q39,武学奇术!$A:$ZZ,22,FALSE)=1,0,(1-$BN39))*(1-$BQ39)</f>
        <v>0.01279011</v>
      </c>
      <c r="BV39" s="26" cm="1">
        <f t="array" ref="BV39">SUM(_xlfn.XLOOKUP($R39:$AK39,增益!$A:$A,增益!$W:$W,0))+$I$5</f>
        <v>0.31</v>
      </c>
    </row>
    <row r="40" spans="1:74">
      <c r="A40" t="s">
        <v>162</v>
      </c>
      <c r="B40">
        <v>0.1</v>
      </c>
      <c r="K40" s="38">
        <f t="shared" si="11"/>
        <v>189892.567411298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196752.550761214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153848.394831811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101418.840598564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88875.9072476376</v>
      </c>
      <c r="P40" s="39">
        <v>1</v>
      </c>
      <c r="Q40" s="40" t="s">
        <v>117</v>
      </c>
      <c r="R40" s="40" t="s">
        <v>100</v>
      </c>
      <c r="S40" s="40" t="s">
        <v>158</v>
      </c>
      <c r="T40" s="40" t="s">
        <v>78</v>
      </c>
      <c r="U40" s="40" t="s">
        <v>80</v>
      </c>
      <c r="V40" s="40" t="s">
        <v>73</v>
      </c>
      <c r="W40" s="40" t="s">
        <v>115</v>
      </c>
      <c r="X40" s="40" t="s">
        <v>87</v>
      </c>
      <c r="Y40" s="40" t="s">
        <v>169</v>
      </c>
      <c r="Z40" s="40" t="s">
        <v>170</v>
      </c>
      <c r="AA40" s="40" t="s">
        <v>171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81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82</v>
      </c>
      <c r="AL40" t="str">
        <f>VLOOKUP($Q40,武学奇术!$A:$ZZ,25,FALSE)</f>
        <v>鼓</v>
      </c>
      <c r="AM40" s="26">
        <f>VLOOKUP($Q40,武学奇术!$A:$ZZ,26,FALSE)</f>
        <v>3.08125</v>
      </c>
      <c r="AN40" s="27">
        <f>VLOOKUP($Q40,武学奇术!$A:$ZZ,27,FALSE)*(1+IF(OR($AL40=$F$4,$AL40=$F$5),$B$22,0))</f>
        <v>1277.55</v>
      </c>
      <c r="AO40" s="26">
        <f>VLOOKUP($Q40,武学奇术!$A:$ZZ,28,FALSE)</f>
        <v>4.62196</v>
      </c>
      <c r="AP40" s="27">
        <f>VLOOKUP($Q40,武学奇术!$A:$ZZ,29,FALSE)*(1+IF(OR($AL40=$F$4,$AL40=$F$5),$B$22,0))</f>
        <v>696.15</v>
      </c>
      <c r="AQ40" s="26" cm="1">
        <f t="array" ref="AQ40">$G$3+IFERROR(VLOOKUP($AL40,$F$4:$G$7,2,FALSE),0)+VLOOKUP($Q40,武学奇术!$A:$ZZ,2,FALSE)+SUM(_xlfn.XLOOKUP($R40:$AK40,增益!$A:$A,增益!$B:$B,0))</f>
        <v>0.6041</v>
      </c>
      <c r="AR40" s="26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4434.698</v>
      </c>
      <c r="AT40" cm="1">
        <f t="array" ref="AT40">$E$10*(1+$AR40)+VLOOKUP($Q40,武学奇术!$A:$ZZ,4,FALSE)+SUM(_xlfn.XLOOKUP($R40:$AK40,增益!$A:$A,增益!$D:$D,0))-$I$2</f>
        <v>4434.698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0.417</v>
      </c>
      <c r="AV40" s="32" cm="1">
        <f t="array" ref="AV40">$G$10+VLOOKUP($Q40,武学奇术!$A:$ZZ,7,FALSE)+SUM(_xlfn.XLOOKUP($R40:$AK40,增益!$A:$A,增益!$G:$G,0))</f>
        <v>0.205</v>
      </c>
      <c r="AW40" s="26" cm="1">
        <f t="array" ref="AW40">VLOOKUP($Q40,武学奇术!$A:$ZZ,8,FALSE)+SUM(_xlfn.XLOOKUP($R40:$AK40,增益!$A:$A,增益!$H:$H,0))</f>
        <v>0.18</v>
      </c>
      <c r="AX40">
        <f t="shared" si="12"/>
        <v>0</v>
      </c>
      <c r="AY40">
        <f t="shared" si="13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2" cm="1">
        <f t="array" ref="BA40">$G$11+VLOOKUP($Q40,武学奇术!$A:$ZZ,10,FALSE)+SUM(_xlfn.XLOOKUP($R40:$AK40,增益!$A:$A,增益!$J:$J,0))</f>
        <v>0.16</v>
      </c>
      <c r="BB40">
        <f t="shared" si="14"/>
        <v>0</v>
      </c>
      <c r="BC40">
        <f t="shared" si="15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2" cm="1">
        <f t="array" ref="BE40">$G$12+VLOOKUP($Q40,武学奇术!$A:$ZZ,12,FALSE)+SUM(_xlfn.XLOOKUP($R40:$AK40,增益!$A:$A,增益!$L:$L,0))</f>
        <v>0.06</v>
      </c>
      <c r="BF40">
        <f t="shared" si="16"/>
        <v>674.016</v>
      </c>
      <c r="BG40">
        <f t="shared" si="17"/>
        <v>1920.804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2" cm="1">
        <f t="array" ref="BI40">$G$13+VLOOKUP($Q40,武学奇术!$A:$ZZ,14,FALSE)+SUM(_xlfn.XLOOKUP($R40:$AK40,增益!$A:$A,增益!$N:$N,0))</f>
        <v>0.33</v>
      </c>
      <c r="BJ40">
        <f t="shared" si="18"/>
        <v>0</v>
      </c>
      <c r="BK40">
        <f t="shared" si="19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2" cm="1">
        <f t="array" ref="BM40">$G$14+VLOOKUP($Q40,武学奇术!$A:$ZZ,16,FALSE)+SUM(_xlfn.XLOOKUP($R40:$AK40,增益!$A:$A,增益!$P:$P,0))</f>
        <v>0.06</v>
      </c>
      <c r="BN40" s="26">
        <f>MIN(IF(VLOOKUP($Q40,武学奇术!$A:$ZZ,23,FALSE)=1,100%,$B$8),100%)</f>
        <v>0.9859</v>
      </c>
      <c r="BO40" s="26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6" cm="1">
        <f t="array" ref="BP40">1+$B$13+VLOOKUP($Q40,武学奇术!$A:$ZZ,18,FALSE)+SUM(_xlfn.XLOOKUP($R40:$AK40,增益!$A:$A,增益!$R:$R,0))</f>
        <v>1.94</v>
      </c>
      <c r="BQ40" s="26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6" cm="1">
        <f t="array" ref="BR40">1+$B$14+VLOOKUP($Q40,武学奇术!$A:$ZZ,20,FALSE)+SUM(_xlfn.XLOOKUP($R40:$AK40,增益!$A:$A,增益!$T:$T,0))</f>
        <v>1.35</v>
      </c>
      <c r="BS40" s="26">
        <f t="shared" si="20"/>
        <v>0.87863408</v>
      </c>
      <c r="BT40" s="26">
        <f t="shared" si="21"/>
        <v>0.01567581</v>
      </c>
      <c r="BU40" s="26">
        <f>IF(VLOOKUP($Q40,武学奇术!$A:$ZZ,22,FALSE)=1,0,(1-$BN40))*(1-$BQ40)</f>
        <v>0.01279011</v>
      </c>
      <c r="BV40" s="26" cm="1">
        <f t="array" ref="BV40">SUM(_xlfn.XLOOKUP($R40:$AK40,增益!$A:$A,增益!$W:$W,0))+$I$5</f>
        <v>0.31</v>
      </c>
    </row>
    <row r="41" spans="1:74">
      <c r="A41" t="s">
        <v>172</v>
      </c>
      <c r="B41">
        <v>0.8</v>
      </c>
      <c r="K41" s="38">
        <f t="shared" si="11"/>
        <v>379785.134822596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393505.101522427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307696.789663623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202837.681197128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177751.814495275</v>
      </c>
      <c r="P41" s="39">
        <v>2</v>
      </c>
      <c r="Q41" s="40" t="s">
        <v>117</v>
      </c>
      <c r="R41" s="40" t="s">
        <v>100</v>
      </c>
      <c r="S41" s="40" t="s">
        <v>158</v>
      </c>
      <c r="T41" s="40" t="s">
        <v>78</v>
      </c>
      <c r="U41" s="40" t="s">
        <v>80</v>
      </c>
      <c r="V41" s="40" t="s">
        <v>73</v>
      </c>
      <c r="W41" s="40" t="s">
        <v>115</v>
      </c>
      <c r="X41" s="40" t="s">
        <v>87</v>
      </c>
      <c r="Y41" s="40" t="s">
        <v>169</v>
      </c>
      <c r="Z41" s="40" t="s">
        <v>170</v>
      </c>
      <c r="AA41" s="40" t="s">
        <v>171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81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82</v>
      </c>
      <c r="AL41" t="str">
        <f>VLOOKUP($Q41,武学奇术!$A:$ZZ,25,FALSE)</f>
        <v>鼓</v>
      </c>
      <c r="AM41" s="26">
        <f>VLOOKUP($Q41,武学奇术!$A:$ZZ,26,FALSE)</f>
        <v>3.08125</v>
      </c>
      <c r="AN41" s="27">
        <f>VLOOKUP($Q41,武学奇术!$A:$ZZ,27,FALSE)*(1+IF(OR($AL41=$F$4,$AL41=$F$5),$B$22,0))</f>
        <v>1277.55</v>
      </c>
      <c r="AO41" s="26">
        <f>VLOOKUP($Q41,武学奇术!$A:$ZZ,28,FALSE)</f>
        <v>4.62196</v>
      </c>
      <c r="AP41" s="27">
        <f>VLOOKUP($Q41,武学奇术!$A:$ZZ,29,FALSE)*(1+IF(OR($AL41=$F$4,$AL41=$F$5),$B$22,0))</f>
        <v>696.15</v>
      </c>
      <c r="AQ41" s="26" cm="1">
        <f t="array" ref="AQ41">$G$3+IFERROR(VLOOKUP($AL41,$F$4:$G$7,2,FALSE),0)+VLOOKUP($Q41,武学奇术!$A:$ZZ,2,FALSE)+SUM(_xlfn.XLOOKUP($R41:$AK41,增益!$A:$A,增益!$B:$B,0))</f>
        <v>0.6041</v>
      </c>
      <c r="AR41" s="26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4434.698</v>
      </c>
      <c r="AT41" cm="1">
        <f t="array" ref="AT41">$E$10*(1+$AR41)+VLOOKUP($Q41,武学奇术!$A:$ZZ,4,FALSE)+SUM(_xlfn.XLOOKUP($R41:$AK41,增益!$A:$A,增益!$D:$D,0))-$I$2</f>
        <v>4434.698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0.417</v>
      </c>
      <c r="AV41" s="32" cm="1">
        <f t="array" ref="AV41">$G$10+VLOOKUP($Q41,武学奇术!$A:$ZZ,7,FALSE)+SUM(_xlfn.XLOOKUP($R41:$AK41,增益!$A:$A,增益!$G:$G,0))</f>
        <v>0.205</v>
      </c>
      <c r="AW41" s="26" cm="1">
        <f t="array" ref="AW41">VLOOKUP($Q41,武学奇术!$A:$ZZ,8,FALSE)+SUM(_xlfn.XLOOKUP($R41:$AK41,增益!$A:$A,增益!$H:$H,0))</f>
        <v>0.18</v>
      </c>
      <c r="AX41">
        <f t="shared" si="12"/>
        <v>0</v>
      </c>
      <c r="AY41">
        <f t="shared" si="13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2" cm="1">
        <f t="array" ref="BA41">$G$11+VLOOKUP($Q41,武学奇术!$A:$ZZ,10,FALSE)+SUM(_xlfn.XLOOKUP($R41:$AK41,增益!$A:$A,增益!$J:$J,0))</f>
        <v>0.16</v>
      </c>
      <c r="BB41">
        <f t="shared" si="14"/>
        <v>0</v>
      </c>
      <c r="BC41">
        <f t="shared" si="15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2" cm="1">
        <f t="array" ref="BE41">$G$12+VLOOKUP($Q41,武学奇术!$A:$ZZ,12,FALSE)+SUM(_xlfn.XLOOKUP($R41:$AK41,增益!$A:$A,增益!$L:$L,0))</f>
        <v>0.06</v>
      </c>
      <c r="BF41">
        <f t="shared" si="16"/>
        <v>674.016</v>
      </c>
      <c r="BG41">
        <f t="shared" si="17"/>
        <v>1920.804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2" cm="1">
        <f t="array" ref="BI41">$G$13+VLOOKUP($Q41,武学奇术!$A:$ZZ,14,FALSE)+SUM(_xlfn.XLOOKUP($R41:$AK41,增益!$A:$A,增益!$N:$N,0))</f>
        <v>0.33</v>
      </c>
      <c r="BJ41">
        <f t="shared" si="18"/>
        <v>0</v>
      </c>
      <c r="BK41">
        <f t="shared" si="19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2" cm="1">
        <f t="array" ref="BM41">$G$14+VLOOKUP($Q41,武学奇术!$A:$ZZ,16,FALSE)+SUM(_xlfn.XLOOKUP($R41:$AK41,增益!$A:$A,增益!$P:$P,0))</f>
        <v>0.06</v>
      </c>
      <c r="BN41" s="26">
        <f>MIN(IF(VLOOKUP($Q41,武学奇术!$A:$ZZ,23,FALSE)=1,100%,$B$8),100%)</f>
        <v>0.9859</v>
      </c>
      <c r="BO41" s="26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6" cm="1">
        <f t="array" ref="BP41">1+$B$13+VLOOKUP($Q41,武学奇术!$A:$ZZ,18,FALSE)+SUM(_xlfn.XLOOKUP($R41:$AK41,增益!$A:$A,增益!$R:$R,0))</f>
        <v>1.94</v>
      </c>
      <c r="BQ41" s="26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6" cm="1">
        <f t="array" ref="BR41">1+$B$14+VLOOKUP($Q41,武学奇术!$A:$ZZ,20,FALSE)+SUM(_xlfn.XLOOKUP($R41:$AK41,增益!$A:$A,增益!$T:$T,0))</f>
        <v>1.35</v>
      </c>
      <c r="BS41" s="26">
        <f t="shared" si="20"/>
        <v>0.87863408</v>
      </c>
      <c r="BT41" s="26">
        <f t="shared" si="21"/>
        <v>0.01567581</v>
      </c>
      <c r="BU41" s="26">
        <f>IF(VLOOKUP($Q41,武学奇术!$A:$ZZ,22,FALSE)=1,0,(1-$BN41))*(1-$BQ41)</f>
        <v>0.01279011</v>
      </c>
      <c r="BV41" s="26" cm="1">
        <f t="array" ref="BV41">SUM(_xlfn.XLOOKUP($R41:$AK41,增益!$A:$A,增益!$W:$W,0))+$I$5</f>
        <v>0.31</v>
      </c>
    </row>
    <row r="42" spans="1:74">
      <c r="A42" t="s">
        <v>161</v>
      </c>
      <c r="B42">
        <v>2.1</v>
      </c>
      <c r="K42" s="38">
        <f t="shared" si="11"/>
        <v>499749.743387661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520088.719977636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386739.054702172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254945.450969429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223417.528085398</v>
      </c>
      <c r="P42" s="39">
        <v>2</v>
      </c>
      <c r="Q42" s="40" t="s">
        <v>121</v>
      </c>
      <c r="R42" s="40" t="s">
        <v>100</v>
      </c>
      <c r="S42" s="40" t="s">
        <v>158</v>
      </c>
      <c r="T42" s="40" t="s">
        <v>78</v>
      </c>
      <c r="U42" s="40" t="s">
        <v>80</v>
      </c>
      <c r="V42" s="40" t="s">
        <v>73</v>
      </c>
      <c r="W42" s="40" t="s">
        <v>115</v>
      </c>
      <c r="X42" s="40" t="s">
        <v>87</v>
      </c>
      <c r="Y42" s="40" t="s">
        <v>169</v>
      </c>
      <c r="Z42" s="40" t="s">
        <v>170</v>
      </c>
      <c r="AA42" s="40" t="s">
        <v>171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81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82</v>
      </c>
      <c r="AL42" t="str">
        <f>VLOOKUP($Q42,武学奇术!$A:$ZZ,25,FALSE)</f>
        <v>鼓</v>
      </c>
      <c r="AM42" s="26">
        <f>VLOOKUP($Q42,武学奇术!$A:$ZZ,26,FALSE)</f>
        <v>3.75547</v>
      </c>
      <c r="AN42" s="27">
        <f>VLOOKUP($Q42,武学奇术!$A:$ZZ,27,FALSE)*(1+IF(OR($AL42=$F$4,$AL42=$F$5),$B$22,0))</f>
        <v>1558.05</v>
      </c>
      <c r="AO42" s="26">
        <f>VLOOKUP($Q42,武学奇术!$A:$ZZ,28,FALSE)</f>
        <v>5.63329</v>
      </c>
      <c r="AP42" s="27">
        <f>VLOOKUP($Q42,武学奇术!$A:$ZZ,29,FALSE)*(1+IF(OR($AL42=$F$4,$AL42=$F$5),$B$22,0))</f>
        <v>849.15</v>
      </c>
      <c r="AQ42" s="26" cm="1">
        <f t="array" ref="AQ42">$G$3+IFERROR(VLOOKUP($AL42,$F$4:$G$7,2,FALSE),0)+VLOOKUP($Q42,武学奇术!$A:$ZZ,2,FALSE)+SUM(_xlfn.XLOOKUP($R42:$AK42,增益!$A:$A,增益!$B:$B,0))</f>
        <v>0.6541</v>
      </c>
      <c r="AR42" s="26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4434.698</v>
      </c>
      <c r="AT42" cm="1">
        <f t="array" ref="AT42">$E$10*(1+$AR42)+VLOOKUP($Q42,武学奇术!$A:$ZZ,4,FALSE)+SUM(_xlfn.XLOOKUP($R42:$AK42,增益!$A:$A,增益!$D:$D,0))-$I$2</f>
        <v>4434.698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0.417</v>
      </c>
      <c r="AV42" s="32" cm="1">
        <f t="array" ref="AV42">$G$10+VLOOKUP($Q42,武学奇术!$A:$ZZ,7,FALSE)+SUM(_xlfn.XLOOKUP($R42:$AK42,增益!$A:$A,增益!$G:$G,0))</f>
        <v>0.205</v>
      </c>
      <c r="AW42" s="26" cm="1">
        <f t="array" ref="AW42">VLOOKUP($Q42,武学奇术!$A:$ZZ,8,FALSE)+SUM(_xlfn.XLOOKUP($R42:$AK42,增益!$A:$A,增益!$H:$H,0))</f>
        <v>0.18</v>
      </c>
      <c r="AX42">
        <f t="shared" si="12"/>
        <v>0</v>
      </c>
      <c r="AY42">
        <f t="shared" si="13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2" cm="1">
        <f t="array" ref="BA42">$G$11+VLOOKUP($Q42,武学奇术!$A:$ZZ,10,FALSE)+SUM(_xlfn.XLOOKUP($R42:$AK42,增益!$A:$A,增益!$J:$J,0))</f>
        <v>0.16</v>
      </c>
      <c r="BB42">
        <f t="shared" si="14"/>
        <v>0</v>
      </c>
      <c r="BC42">
        <f t="shared" si="15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2" cm="1">
        <f t="array" ref="BE42">$G$12+VLOOKUP($Q42,武学奇术!$A:$ZZ,12,FALSE)+SUM(_xlfn.XLOOKUP($R42:$AK42,增益!$A:$A,增益!$L:$L,0))</f>
        <v>0.06</v>
      </c>
      <c r="BF42">
        <f t="shared" si="16"/>
        <v>674.016</v>
      </c>
      <c r="BG42">
        <f t="shared" si="17"/>
        <v>1920.804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2" cm="1">
        <f t="array" ref="BI42">$G$13+VLOOKUP($Q42,武学奇术!$A:$ZZ,14,FALSE)+SUM(_xlfn.XLOOKUP($R42:$AK42,增益!$A:$A,增益!$N:$N,0))</f>
        <v>0.33</v>
      </c>
      <c r="BJ42">
        <f t="shared" si="18"/>
        <v>0</v>
      </c>
      <c r="BK42">
        <f t="shared" si="19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2" cm="1">
        <f t="array" ref="BM42">$G$14+VLOOKUP($Q42,武学奇术!$A:$ZZ,16,FALSE)+SUM(_xlfn.XLOOKUP($R42:$AK42,增益!$A:$A,增益!$P:$P,0))</f>
        <v>0.06</v>
      </c>
      <c r="BN42" s="26">
        <f>MIN(IF(VLOOKUP($Q42,武学奇术!$A:$ZZ,23,FALSE)=1,100%,$B$8),100%)</f>
        <v>0.9859</v>
      </c>
      <c r="BO42" s="26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6" cm="1">
        <f t="array" ref="BP42">1+$B$13+VLOOKUP($Q42,武学奇术!$A:$ZZ,18,FALSE)+SUM(_xlfn.XLOOKUP($R42:$AK42,增益!$A:$A,增益!$R:$R,0))</f>
        <v>2.04</v>
      </c>
      <c r="BQ42" s="26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6" cm="1">
        <f t="array" ref="BR42">1+$B$14+VLOOKUP($Q42,武学奇术!$A:$ZZ,20,FALSE)+SUM(_xlfn.XLOOKUP($R42:$AK42,增益!$A:$A,增益!$T:$T,0))</f>
        <v>1.35</v>
      </c>
      <c r="BS42" s="26">
        <f t="shared" si="20"/>
        <v>0.87863408</v>
      </c>
      <c r="BT42" s="26">
        <f t="shared" si="21"/>
        <v>0.01567581</v>
      </c>
      <c r="BU42" s="26">
        <f>IF(VLOOKUP($Q42,武学奇术!$A:$ZZ,22,FALSE)=1,0,(1-$BN42))*(1-$BQ42)</f>
        <v>0.01279011</v>
      </c>
      <c r="BV42" s="26" cm="1">
        <f t="array" ref="BV42">SUM(_xlfn.XLOOKUP($R42:$AK42,增益!$A:$A,增益!$W:$W,0))+$I$5</f>
        <v>0.31</v>
      </c>
    </row>
    <row r="43" spans="1:74">
      <c r="A43" t="s">
        <v>173</v>
      </c>
      <c r="B43">
        <v>1.8</v>
      </c>
      <c r="E43" s="39" t="s">
        <v>160</v>
      </c>
      <c r="K43" s="38">
        <f t="shared" si="11"/>
        <v>79247.630779044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80733.1690183586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75297.8190617941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49227.542084365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42678.9219007343</v>
      </c>
      <c r="P43" s="39">
        <v>1</v>
      </c>
      <c r="Q43" s="40" t="s">
        <v>124</v>
      </c>
      <c r="R43" s="40" t="s">
        <v>100</v>
      </c>
      <c r="S43" s="40" t="s">
        <v>158</v>
      </c>
      <c r="T43" s="40" t="s">
        <v>97</v>
      </c>
      <c r="U43" s="40" t="s">
        <v>80</v>
      </c>
      <c r="V43" s="40" t="s">
        <v>73</v>
      </c>
      <c r="W43" s="40" t="s">
        <v>115</v>
      </c>
      <c r="X43" s="40" t="s">
        <v>87</v>
      </c>
      <c r="Y43" s="40" t="s">
        <v>169</v>
      </c>
      <c r="Z43" s="40" t="s">
        <v>170</v>
      </c>
      <c r="AA43" s="40" t="s">
        <v>171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81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82</v>
      </c>
      <c r="AL43" t="str">
        <f>VLOOKUP($Q43,武学奇术!$A:$ZZ,25,FALSE)</f>
        <v>鼓</v>
      </c>
      <c r="AM43" s="26">
        <f>VLOOKUP($Q43,武学奇术!$A:$ZZ,26,FALSE)</f>
        <v>2.514</v>
      </c>
      <c r="AN43" s="27">
        <f>VLOOKUP($Q43,武学奇术!$A:$ZZ,27,FALSE)*(1+IF(OR($AL43=$F$4,$AL43=$F$5),$B$22,0))</f>
        <v>1044</v>
      </c>
      <c r="AO43" s="26">
        <f>VLOOKUP($Q43,武学奇术!$A:$ZZ,28,FALSE)</f>
        <v>3.7708</v>
      </c>
      <c r="AP43" s="27">
        <f>VLOOKUP($Q43,武学奇术!$A:$ZZ,29,FALSE)*(1+IF(OR($AL43=$F$4,$AL43=$F$5),$B$22,0))</f>
        <v>564</v>
      </c>
      <c r="AQ43" s="26" cm="1">
        <f t="array" ref="AQ43">$G$3+IFERROR(VLOOKUP($AL43,$F$4:$G$7,2,FALSE),0)+VLOOKUP($Q43,武学奇术!$A:$ZZ,2,FALSE)+SUM(_xlfn.XLOOKUP($R43:$AK43,增益!$A:$A,增益!$B:$B,0))</f>
        <v>0.5041</v>
      </c>
      <c r="AR43" s="26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3673.1</v>
      </c>
      <c r="AT43" cm="1">
        <f t="array" ref="AT43">$E$10*(1+$AR43)+VLOOKUP($Q43,武学奇术!$A:$ZZ,4,FALSE)+SUM(_xlfn.XLOOKUP($R43:$AK43,增益!$A:$A,增益!$D:$D,0))-$I$2</f>
        <v>3673.1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0.357</v>
      </c>
      <c r="AV43" s="32" cm="1">
        <f t="array" ref="AV43">$G$10+VLOOKUP($Q43,武学奇术!$A:$ZZ,7,FALSE)+SUM(_xlfn.XLOOKUP($R43:$AK43,增益!$A:$A,增益!$G:$G,0))</f>
        <v>0.205</v>
      </c>
      <c r="AW43" s="26" cm="1">
        <f t="array" ref="AW43">VLOOKUP($Q43,武学奇术!$A:$ZZ,8,FALSE)+SUM(_xlfn.XLOOKUP($R43:$AK43,增益!$A:$A,增益!$H:$H,0))</f>
        <v>0.12</v>
      </c>
      <c r="AX43">
        <f t="shared" si="12"/>
        <v>0</v>
      </c>
      <c r="AY43">
        <f t="shared" si="13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2" cm="1">
        <f t="array" ref="BA43">$G$11+VLOOKUP($Q43,武学奇术!$A:$ZZ,10,FALSE)+SUM(_xlfn.XLOOKUP($R43:$AK43,增益!$A:$A,增益!$J:$J,0))</f>
        <v>0.16</v>
      </c>
      <c r="BB43">
        <f t="shared" si="14"/>
        <v>0</v>
      </c>
      <c r="BC43">
        <f t="shared" si="15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2" cm="1">
        <f t="array" ref="BE43">$G$12+VLOOKUP($Q43,武学奇术!$A:$ZZ,12,FALSE)+SUM(_xlfn.XLOOKUP($R43:$AK43,增益!$A:$A,增益!$L:$L,0))</f>
        <v>0.06</v>
      </c>
      <c r="BF43">
        <f t="shared" si="16"/>
        <v>639.744</v>
      </c>
      <c r="BG43">
        <f t="shared" si="17"/>
        <v>1823.136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2" cm="1">
        <f t="array" ref="BI43">$G$13+VLOOKUP($Q43,武学奇术!$A:$ZZ,14,FALSE)+SUM(_xlfn.XLOOKUP($R43:$AK43,增益!$A:$A,增益!$N:$N,0))</f>
        <v>0.33</v>
      </c>
      <c r="BJ43">
        <f t="shared" si="18"/>
        <v>0</v>
      </c>
      <c r="BK43">
        <f t="shared" si="19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2" cm="1">
        <f t="array" ref="BM43">$G$14+VLOOKUP($Q43,武学奇术!$A:$ZZ,16,FALSE)+SUM(_xlfn.XLOOKUP($R43:$AK43,增益!$A:$A,增益!$P:$P,0))</f>
        <v>0.06</v>
      </c>
      <c r="BN43" s="26">
        <f>MIN(IF(VLOOKUP($Q43,武学奇术!$A:$ZZ,23,FALSE)=1,100%,$B$8),100%)</f>
        <v>0.9859</v>
      </c>
      <c r="BO43" s="26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6" cm="1">
        <f t="array" ref="BP43">1+$B$13+VLOOKUP($Q43,武学奇术!$A:$ZZ,18,FALSE)+SUM(_xlfn.XLOOKUP($R43:$AK43,增益!$A:$A,增益!$R:$R,0))</f>
        <v>1.64</v>
      </c>
      <c r="BQ43" s="26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6" cm="1">
        <f t="array" ref="BR43">1+$B$14+VLOOKUP($Q43,武学奇术!$A:$ZZ,20,FALSE)+SUM(_xlfn.XLOOKUP($R43:$AK43,增益!$A:$A,增益!$T:$T,0))</f>
        <v>1.35</v>
      </c>
      <c r="BS43" s="26">
        <f t="shared" si="20"/>
        <v>0.87863408</v>
      </c>
      <c r="BT43" s="26">
        <f t="shared" si="21"/>
        <v>0.01567581</v>
      </c>
      <c r="BU43" s="26">
        <f>IF(VLOOKUP($Q43,武学奇术!$A:$ZZ,22,FALSE)=1,0,(1-$BN43))*(1-$BQ43)</f>
        <v>0.01279011</v>
      </c>
      <c r="BV43" s="26" cm="1">
        <f t="array" ref="BV43">SUM(_xlfn.XLOOKUP($R43:$AK43,增益!$A:$A,增益!$W:$W,0))+$I$5</f>
        <v>0.31</v>
      </c>
    </row>
    <row r="44" spans="1:74">
      <c r="A44" t="s">
        <v>163</v>
      </c>
      <c r="B44">
        <v>6.1</v>
      </c>
      <c r="C44" s="4"/>
      <c r="E44" s="39"/>
      <c r="K44" s="38">
        <f t="shared" si="11"/>
        <v>153705.375175108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159161.332863466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125573.554436879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82041.924156426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71066.4005818303</v>
      </c>
      <c r="P44" s="39">
        <v>1</v>
      </c>
      <c r="Q44" s="40" t="s">
        <v>127</v>
      </c>
      <c r="R44" s="40" t="s">
        <v>100</v>
      </c>
      <c r="S44" s="40" t="s">
        <v>158</v>
      </c>
      <c r="T44" s="40" t="s">
        <v>97</v>
      </c>
      <c r="U44" s="40" t="s">
        <v>80</v>
      </c>
      <c r="V44" s="40" t="s">
        <v>73</v>
      </c>
      <c r="W44" s="40" t="s">
        <v>115</v>
      </c>
      <c r="X44" s="40" t="s">
        <v>87</v>
      </c>
      <c r="Y44" s="40" t="s">
        <v>169</v>
      </c>
      <c r="Z44" s="40" t="s">
        <v>170</v>
      </c>
      <c r="AA44" s="40" t="s">
        <v>171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81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82</v>
      </c>
      <c r="AL44" t="str">
        <f>VLOOKUP($Q44,武学奇术!$A:$ZZ,25,FALSE)</f>
        <v>鼓</v>
      </c>
      <c r="AM44" s="26">
        <f>VLOOKUP($Q44,武学奇术!$A:$ZZ,26,FALSE)</f>
        <v>3.52968</v>
      </c>
      <c r="AN44" s="27">
        <f>VLOOKUP($Q44,武学奇术!$A:$ZZ,27,FALSE)*(1+IF(OR($AL44=$F$4,$AL44=$F$5),$B$22,0))</f>
        <v>1465.8</v>
      </c>
      <c r="AO44" s="26">
        <f>VLOOKUP($Q44,武学奇术!$A:$ZZ,28,FALSE)</f>
        <v>5.29452</v>
      </c>
      <c r="AP44" s="27">
        <f>VLOOKUP($Q44,武学奇术!$A:$ZZ,29,FALSE)*(1+IF(OR($AL44=$F$4,$AL44=$F$5),$B$22,0))</f>
        <v>798</v>
      </c>
      <c r="AQ44" s="26" cm="1">
        <f t="array" ref="AQ44">$G$3+IFERROR(VLOOKUP($AL44,$F$4:$G$7,2,FALSE),0)+VLOOKUP($Q44,武学奇术!$A:$ZZ,2,FALSE)+SUM(_xlfn.XLOOKUP($R44:$AK44,增益!$A:$A,增益!$B:$B,0))</f>
        <v>0.7041</v>
      </c>
      <c r="AR44" s="26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3673.1</v>
      </c>
      <c r="AT44" cm="1">
        <f t="array" ref="AT44">$E$10*(1+$AR44)+VLOOKUP($Q44,武学奇术!$A:$ZZ,4,FALSE)+SUM(_xlfn.XLOOKUP($R44:$AK44,增益!$A:$A,增益!$D:$D,0))-$I$2</f>
        <v>3673.1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0.417</v>
      </c>
      <c r="AV44" s="32" cm="1">
        <f t="array" ref="AV44">$G$10+VLOOKUP($Q44,武学奇术!$A:$ZZ,7,FALSE)+SUM(_xlfn.XLOOKUP($R44:$AK44,增益!$A:$A,增益!$G:$G,0))</f>
        <v>0.205</v>
      </c>
      <c r="AW44" s="26" cm="1">
        <f t="array" ref="AW44">VLOOKUP($Q44,武学奇术!$A:$ZZ,8,FALSE)+SUM(_xlfn.XLOOKUP($R44:$AK44,增益!$A:$A,增益!$H:$H,0))</f>
        <v>0.12</v>
      </c>
      <c r="AX44">
        <f t="shared" si="12"/>
        <v>0</v>
      </c>
      <c r="AY44">
        <f t="shared" si="13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2" cm="1">
        <f t="array" ref="BA44">$G$11+VLOOKUP($Q44,武学奇术!$A:$ZZ,10,FALSE)+SUM(_xlfn.XLOOKUP($R44:$AK44,增益!$A:$A,增益!$J:$J,0))</f>
        <v>0.16</v>
      </c>
      <c r="BB44">
        <f t="shared" si="14"/>
        <v>0</v>
      </c>
      <c r="BC44">
        <f t="shared" si="15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2" cm="1">
        <f t="array" ref="BE44">$G$12+VLOOKUP($Q44,武学奇术!$A:$ZZ,12,FALSE)+SUM(_xlfn.XLOOKUP($R44:$AK44,增益!$A:$A,增益!$L:$L,0))</f>
        <v>0.06</v>
      </c>
      <c r="BF44">
        <f t="shared" si="16"/>
        <v>639.744</v>
      </c>
      <c r="BG44">
        <f t="shared" si="17"/>
        <v>1823.136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2" cm="1">
        <f t="array" ref="BI44">$G$13+VLOOKUP($Q44,武学奇术!$A:$ZZ,14,FALSE)+SUM(_xlfn.XLOOKUP($R44:$AK44,增益!$A:$A,增益!$N:$N,0))</f>
        <v>0.33</v>
      </c>
      <c r="BJ44">
        <f t="shared" si="18"/>
        <v>0</v>
      </c>
      <c r="BK44">
        <f t="shared" si="19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2" cm="1">
        <f t="array" ref="BM44">$G$14+VLOOKUP($Q44,武学奇术!$A:$ZZ,16,FALSE)+SUM(_xlfn.XLOOKUP($R44:$AK44,增益!$A:$A,增益!$P:$P,0))</f>
        <v>0.06</v>
      </c>
      <c r="BN44" s="26">
        <f>MIN(IF(VLOOKUP($Q44,武学奇术!$A:$ZZ,23,FALSE)=1,100%,$B$8),100%)</f>
        <v>0.9859</v>
      </c>
      <c r="BO44" s="26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6" cm="1">
        <f t="array" ref="BP44">1+$B$13+VLOOKUP($Q44,武学奇术!$A:$ZZ,18,FALSE)+SUM(_xlfn.XLOOKUP($R44:$AK44,增益!$A:$A,增益!$R:$R,0))</f>
        <v>1.94</v>
      </c>
      <c r="BQ44" s="26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6" cm="1">
        <f t="array" ref="BR44">1+$B$14+VLOOKUP($Q44,武学奇术!$A:$ZZ,20,FALSE)+SUM(_xlfn.XLOOKUP($R44:$AK44,增益!$A:$A,增益!$T:$T,0))</f>
        <v>1.35</v>
      </c>
      <c r="BS44" s="26">
        <f t="shared" si="20"/>
        <v>0.87863408</v>
      </c>
      <c r="BT44" s="26">
        <f t="shared" si="21"/>
        <v>0.01567581</v>
      </c>
      <c r="BU44" s="26">
        <f>IF(VLOOKUP($Q44,武学奇术!$A:$ZZ,22,FALSE)=1,0,(1-$BN44))*(1-$BQ44)</f>
        <v>0.01279011</v>
      </c>
      <c r="BV44" s="26" cm="1">
        <f t="array" ref="BV44">SUM(_xlfn.XLOOKUP($R44:$AK44,增益!$A:$A,增益!$W:$W,0))+$I$5</f>
        <v>0.31</v>
      </c>
    </row>
    <row r="45" spans="1:74">
      <c r="A45" t="s">
        <v>164</v>
      </c>
      <c r="B45">
        <v>2</v>
      </c>
      <c r="E45" s="39"/>
      <c r="K45" s="38">
        <f t="shared" si="11"/>
        <v>0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9">
        <v>1</v>
      </c>
      <c r="Q45" s="40" t="s">
        <v>80</v>
      </c>
      <c r="R45" s="40" t="s">
        <v>80</v>
      </c>
      <c r="S45" s="40" t="s">
        <v>80</v>
      </c>
      <c r="T45" s="40" t="s">
        <v>80</v>
      </c>
      <c r="U45" s="40" t="s">
        <v>80</v>
      </c>
      <c r="V45" s="40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40" t="s">
        <v>80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81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82</v>
      </c>
      <c r="AL45" t="str">
        <f>VLOOKUP($Q45,武学奇术!$A:$ZZ,25,FALSE)</f>
        <v>心法</v>
      </c>
      <c r="AM45" s="26">
        <f>VLOOKUP($Q45,武学奇术!$A:$ZZ,26,FALSE)</f>
        <v>0</v>
      </c>
      <c r="AN45" s="27">
        <f>VLOOKUP($Q45,武学奇术!$A:$ZZ,27,FALSE)*(1+IF(OR($AL45=$F$4,$AL45=$F$5),$B$22,0))</f>
        <v>0</v>
      </c>
      <c r="AO45" s="26">
        <f>VLOOKUP($Q45,武学奇术!$A:$ZZ,28,FALSE)</f>
        <v>0</v>
      </c>
      <c r="AP45" s="27">
        <f>VLOOKUP($Q45,武学奇术!$A:$ZZ,29,FALSE)*(1+IF(OR($AL45=$F$4,$AL45=$F$5),$B$22,0))</f>
        <v>0</v>
      </c>
      <c r="AQ45" s="26" cm="1">
        <f t="array" ref="AQ45">$G$3+IFERROR(VLOOKUP($AL45,$F$4:$G$7,2,FALSE),0)+VLOOKUP($Q45,武学奇术!$A:$ZZ,2,FALSE)+SUM(_xlfn.XLOOKUP($R45:$AK45,增益!$A:$A,增益!$B:$B,0))</f>
        <v>0.1837</v>
      </c>
      <c r="AR45" s="26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3673.1</v>
      </c>
      <c r="AT45" cm="1">
        <f t="array" ref="AT45">$E$10*(1+$AR45)+VLOOKUP($Q45,武学奇术!$A:$ZZ,4,FALSE)+SUM(_xlfn.XLOOKUP($R45:$AK45,增益!$A:$A,增益!$D:$D,0))-$I$2</f>
        <v>3673.1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0.267</v>
      </c>
      <c r="AV45" s="32" cm="1">
        <f t="array" ref="AV45">$G$10+VLOOKUP($Q45,武学奇术!$A:$ZZ,7,FALSE)+SUM(_xlfn.XLOOKUP($R45:$AK45,增益!$A:$A,增益!$G:$G,0))</f>
        <v>0.025</v>
      </c>
      <c r="AW45" s="26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14"/>
        <v>0</v>
      </c>
      <c r="BC45">
        <f t="shared" si="15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16"/>
        <v>571.2</v>
      </c>
      <c r="BG45">
        <f t="shared" si="17"/>
        <v>1627.8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18"/>
        <v>0</v>
      </c>
      <c r="BK45">
        <f t="shared" si="19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6">
        <f>MIN(IF(VLOOKUP($Q45,武学奇术!$A:$ZZ,23,FALSE)=1,100%,$B$8),100%)</f>
        <v>0.9859</v>
      </c>
      <c r="BO45" s="26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6" cm="1">
        <f t="array" ref="BP45">1+$B$13+VLOOKUP($Q45,武学奇术!$A:$ZZ,18,FALSE)+SUM(_xlfn.XLOOKUP($R45:$AK45,增益!$A:$A,增益!$R:$R,0))</f>
        <v>1.54</v>
      </c>
      <c r="BQ45" s="26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6" cm="1">
        <f t="array" ref="BR45">1+$B$14+VLOOKUP($Q45,武学奇术!$A:$ZZ,20,FALSE)+SUM(_xlfn.XLOOKUP($R45:$AK45,增益!$A:$A,增益!$T:$T,0))</f>
        <v>1.35</v>
      </c>
      <c r="BS45" s="26">
        <f t="shared" si="20"/>
        <v>0.87863408</v>
      </c>
      <c r="BT45" s="26">
        <f t="shared" si="21"/>
        <v>0.01567581</v>
      </c>
      <c r="BU45" s="26">
        <f>IF(VLOOKUP($Q45,武学奇术!$A:$ZZ,22,FALSE)=1,0,(1-$BN45))*(1-$BQ45)</f>
        <v>0.01279011</v>
      </c>
      <c r="BV45" s="26" cm="1">
        <f t="array" ref="BV45">SUM(_xlfn.XLOOKUP($R45:$AK45,增益!$A:$A,增益!$W:$W,0))+$I$5</f>
        <v>0.11</v>
      </c>
    </row>
    <row r="46" spans="1:74">
      <c r="A46" t="s">
        <v>165</v>
      </c>
      <c r="B46">
        <v>1.6</v>
      </c>
      <c r="E46" s="39"/>
      <c r="K46" s="38">
        <f t="shared" si="11"/>
        <v>92511.4768444935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94288.9708334609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87431.2927445072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57493.2748984518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50222.6292454167</v>
      </c>
      <c r="P46" s="39">
        <v>1</v>
      </c>
      <c r="Q46" s="40" t="s">
        <v>108</v>
      </c>
      <c r="R46" s="40" t="s">
        <v>100</v>
      </c>
      <c r="S46" s="40" t="s">
        <v>158</v>
      </c>
      <c r="T46" s="40" t="s">
        <v>97</v>
      </c>
      <c r="U46" s="40" t="s">
        <v>80</v>
      </c>
      <c r="V46" s="40" t="s">
        <v>73</v>
      </c>
      <c r="W46" s="40" t="s">
        <v>80</v>
      </c>
      <c r="X46" s="40" t="s">
        <v>80</v>
      </c>
      <c r="Y46" s="40" t="s">
        <v>80</v>
      </c>
      <c r="Z46" s="40" t="s">
        <v>80</v>
      </c>
      <c r="AA46" s="40" t="s">
        <v>80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81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82</v>
      </c>
      <c r="AL46" t="str">
        <f>VLOOKUP($Q46,武学奇术!$A:$ZZ,25,FALSE)</f>
        <v>扇</v>
      </c>
      <c r="AM46" s="26">
        <f>VLOOKUP($Q46,武学奇术!$A:$ZZ,26,FALSE)</f>
        <v>4.045375</v>
      </c>
      <c r="AN46" s="27">
        <f>VLOOKUP($Q46,武学奇术!$A:$ZZ,27,FALSE)*(1+IF(OR($AL46=$F$4,$AL46=$F$5),$B$22,0))</f>
        <v>1678.125</v>
      </c>
      <c r="AO46" s="26">
        <f>VLOOKUP($Q46,武学奇术!$A:$ZZ,28,FALSE)</f>
        <v>6.068125</v>
      </c>
      <c r="AP46" s="27">
        <f>VLOOKUP($Q46,武学奇术!$A:$ZZ,29,FALSE)*(1+IF(OR($AL46=$F$4,$AL46=$F$5),$B$22,0))</f>
        <v>913.125</v>
      </c>
      <c r="AQ46" s="26" cm="1">
        <f t="array" ref="AQ46">$G$3+IFERROR(VLOOKUP($AL46,$F$4:$G$7,2,FALSE),0)+VLOOKUP($Q46,武学奇术!$A:$ZZ,2,FALSE)+SUM(_xlfn.XLOOKUP($R46:$AK46,增益!$A:$A,增益!$B:$B,0))</f>
        <v>0.3189</v>
      </c>
      <c r="AR46" s="26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3673.1</v>
      </c>
      <c r="AT46" cm="1">
        <f t="array" ref="AT46">$E$10*(1+$AR46)+VLOOKUP($Q46,武学奇术!$A:$ZZ,4,FALSE)+SUM(_xlfn.XLOOKUP($R46:$AK46,增益!$A:$A,增益!$D:$D,0))-$I$2</f>
        <v>3673.1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0.357</v>
      </c>
      <c r="AV46" s="32" cm="1">
        <f t="array" ref="AV46">$G$10+VLOOKUP($Q46,武学奇术!$A:$ZZ,7,FALSE)+SUM(_xlfn.XLOOKUP($R46:$AK46,增益!$A:$A,增益!$G:$G,0))</f>
        <v>0.205</v>
      </c>
      <c r="AW46" s="26" cm="1">
        <f t="array" ref="AW46">VLOOKUP($Q46,武学奇术!$A:$ZZ,8,FALSE)+SUM(_xlfn.XLOOKUP($R46:$AK46,增益!$A:$A,增益!$H:$H,0))</f>
        <v>0.12</v>
      </c>
      <c r="AX46">
        <f t="shared" si="12"/>
        <v>0</v>
      </c>
      <c r="AY46">
        <f t="shared" si="13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2" cm="1">
        <f t="array" ref="BA46">$G$11+VLOOKUP($Q46,武学奇术!$A:$ZZ,10,FALSE)+SUM(_xlfn.XLOOKUP($R46:$AK46,增益!$A:$A,增益!$J:$J,0))</f>
        <v>0.06</v>
      </c>
      <c r="BB46">
        <f t="shared" si="14"/>
        <v>0</v>
      </c>
      <c r="BC46">
        <f t="shared" si="15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2" cm="1">
        <f t="array" ref="BE46">$G$12+VLOOKUP($Q46,武学奇术!$A:$ZZ,12,FALSE)+SUM(_xlfn.XLOOKUP($R46:$AK46,增益!$A:$A,增益!$L:$L,0))</f>
        <v>0.06</v>
      </c>
      <c r="BF46">
        <f t="shared" si="16"/>
        <v>639.744</v>
      </c>
      <c r="BG46">
        <f t="shared" si="17"/>
        <v>1823.136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2" cm="1">
        <f t="array" ref="BI46">$G$13+VLOOKUP($Q46,武学奇术!$A:$ZZ,14,FALSE)+SUM(_xlfn.XLOOKUP($R46:$AK46,增益!$A:$A,增益!$N:$N,0))</f>
        <v>0.33</v>
      </c>
      <c r="BJ46">
        <f t="shared" si="18"/>
        <v>0</v>
      </c>
      <c r="BK46">
        <f t="shared" si="19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2" cm="1">
        <f t="array" ref="BM46">$G$14+VLOOKUP($Q46,武学奇术!$A:$ZZ,16,FALSE)+SUM(_xlfn.XLOOKUP($R46:$AK46,增益!$A:$A,增益!$P:$P,0))</f>
        <v>0.06</v>
      </c>
      <c r="BN46" s="26">
        <f>MIN(IF(VLOOKUP($Q46,武学奇术!$A:$ZZ,23,FALSE)=1,100%,$B$8),100%)</f>
        <v>0.9859</v>
      </c>
      <c r="BO46" s="26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6" cm="1">
        <f t="array" ref="BP46">1+$B$13+VLOOKUP($Q46,武学奇术!$A:$ZZ,18,FALSE)+SUM(_xlfn.XLOOKUP($R46:$AK46,增益!$A:$A,增益!$R:$R,0))</f>
        <v>1.64</v>
      </c>
      <c r="BQ46" s="26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6" cm="1">
        <f t="array" ref="BR46">1+$B$14+VLOOKUP($Q46,武学奇术!$A:$ZZ,20,FALSE)+SUM(_xlfn.XLOOKUP($R46:$AK46,增益!$A:$A,增益!$T:$T,0))</f>
        <v>1.35</v>
      </c>
      <c r="BS46" s="26">
        <f t="shared" si="20"/>
        <v>0.87863408</v>
      </c>
      <c r="BT46" s="26">
        <f t="shared" si="21"/>
        <v>0.01567581</v>
      </c>
      <c r="BU46" s="26">
        <f>IF(VLOOKUP($Q46,武学奇术!$A:$ZZ,22,FALSE)=1,0,(1-$BN46))*(1-$BQ46)</f>
        <v>0.01279011</v>
      </c>
      <c r="BV46" s="26" cm="1">
        <f t="array" ref="BV46">SUM(_xlfn.XLOOKUP($R46:$AK46,增益!$A:$A,增益!$W:$W,0))+$I$5</f>
        <v>0.11</v>
      </c>
    </row>
    <row r="47" spans="1:74">
      <c r="A47" t="s">
        <v>167</v>
      </c>
      <c r="B47">
        <v>1.3</v>
      </c>
      <c r="E47" s="39"/>
      <c r="K47" s="38">
        <f t="shared" si="11"/>
        <v>26412.4891506775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26907.6305778257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25095.7776301656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16407.0918157473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14224.7187202609</v>
      </c>
      <c r="P47" s="39">
        <v>1</v>
      </c>
      <c r="Q47" s="40" t="s">
        <v>110</v>
      </c>
      <c r="R47" s="40" t="s">
        <v>100</v>
      </c>
      <c r="S47" s="40" t="s">
        <v>158</v>
      </c>
      <c r="T47" s="40" t="s">
        <v>97</v>
      </c>
      <c r="U47" s="40" t="s">
        <v>80</v>
      </c>
      <c r="V47" s="40" t="s">
        <v>73</v>
      </c>
      <c r="W47" s="40" t="s">
        <v>115</v>
      </c>
      <c r="X47" s="40" t="s">
        <v>87</v>
      </c>
      <c r="Y47" s="40" t="s">
        <v>80</v>
      </c>
      <c r="Z47" s="40" t="s">
        <v>80</v>
      </c>
      <c r="AA47" s="40" t="s">
        <v>80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81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82</v>
      </c>
      <c r="AL47" t="str">
        <f>VLOOKUP($Q47,武学奇术!$A:$ZZ,25,FALSE)</f>
        <v>扇</v>
      </c>
      <c r="AM47" s="26">
        <f>VLOOKUP($Q47,武学奇术!$A:$ZZ,26,FALSE)</f>
        <v>0.9186</v>
      </c>
      <c r="AN47" s="27">
        <f>VLOOKUP($Q47,武学奇术!$A:$ZZ,27,FALSE)*(1+IF(OR($AL47=$F$4,$AL47=$F$5),$B$22,0))</f>
        <v>381</v>
      </c>
      <c r="AO47" s="26">
        <f>VLOOKUP($Q47,武学奇术!$A:$ZZ,28,FALSE)</f>
        <v>1.3779</v>
      </c>
      <c r="AP47" s="27">
        <f>VLOOKUP($Q47,武学奇术!$A:$ZZ,29,FALSE)*(1+IF(OR($AL47=$F$4,$AL47=$F$5),$B$22,0))</f>
        <v>207</v>
      </c>
      <c r="AQ47" s="26" cm="1">
        <f t="array" ref="AQ47">$G$3+IFERROR(VLOOKUP($AL47,$F$4:$G$7,2,FALSE),0)+VLOOKUP($Q47,武学奇术!$A:$ZZ,2,FALSE)+SUM(_xlfn.XLOOKUP($R47:$AK47,增益!$A:$A,增益!$B:$B,0))</f>
        <v>0.6189</v>
      </c>
      <c r="AR47" s="26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3673.1</v>
      </c>
      <c r="AT47" cm="1">
        <f t="array" ref="AT47">$E$10*(1+$AR47)+VLOOKUP($Q47,武学奇术!$A:$ZZ,4,FALSE)+SUM(_xlfn.XLOOKUP($R47:$AK47,增益!$A:$A,增益!$D:$D,0))-$I$2</f>
        <v>3673.1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0.357</v>
      </c>
      <c r="AV47" s="32" cm="1">
        <f t="array" ref="AV47">$G$10+VLOOKUP($Q47,武学奇术!$A:$ZZ,7,FALSE)+SUM(_xlfn.XLOOKUP($R47:$AK47,增益!$A:$A,增益!$G:$G,0))</f>
        <v>0.205</v>
      </c>
      <c r="AW47" s="26" cm="1">
        <f t="array" ref="AW47">VLOOKUP($Q47,武学奇术!$A:$ZZ,8,FALSE)+SUM(_xlfn.XLOOKUP($R47:$AK47,增益!$A:$A,增益!$H:$H,0))</f>
        <v>0.12</v>
      </c>
      <c r="AX47">
        <f t="shared" si="12"/>
        <v>0</v>
      </c>
      <c r="AY47">
        <f t="shared" si="13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2" cm="1">
        <f t="array" ref="BA47">$G$11+VLOOKUP($Q47,武学奇术!$A:$ZZ,10,FALSE)+SUM(_xlfn.XLOOKUP($R47:$AK47,增益!$A:$A,增益!$J:$J,0))</f>
        <v>0.06</v>
      </c>
      <c r="BB47">
        <f t="shared" si="14"/>
        <v>0</v>
      </c>
      <c r="BC47">
        <f t="shared" si="15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2" cm="1">
        <f t="array" ref="BE47">$G$12+VLOOKUP($Q47,武学奇术!$A:$ZZ,12,FALSE)+SUM(_xlfn.XLOOKUP($R47:$AK47,增益!$A:$A,增益!$L:$L,0))</f>
        <v>0.06</v>
      </c>
      <c r="BF47">
        <f t="shared" si="16"/>
        <v>639.744</v>
      </c>
      <c r="BG47">
        <f t="shared" si="17"/>
        <v>1823.136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2" cm="1">
        <f t="array" ref="BI47">$G$13+VLOOKUP($Q47,武学奇术!$A:$ZZ,14,FALSE)+SUM(_xlfn.XLOOKUP($R47:$AK47,增益!$A:$A,增益!$N:$N,0))</f>
        <v>0.33</v>
      </c>
      <c r="BJ47">
        <f t="shared" si="18"/>
        <v>0</v>
      </c>
      <c r="BK47">
        <f t="shared" si="19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2" cm="1">
        <f t="array" ref="BM47">$G$14+VLOOKUP($Q47,武学奇术!$A:$ZZ,16,FALSE)+SUM(_xlfn.XLOOKUP($R47:$AK47,增益!$A:$A,增益!$P:$P,0))</f>
        <v>0.06</v>
      </c>
      <c r="BN47" s="26">
        <f>MIN(IF(VLOOKUP($Q47,武学奇术!$A:$ZZ,23,FALSE)=1,100%,$B$8),100%)</f>
        <v>0.9859</v>
      </c>
      <c r="BO47" s="26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6" cm="1">
        <f t="array" ref="BP47">1+$B$13+VLOOKUP($Q47,武学奇术!$A:$ZZ,18,FALSE)+SUM(_xlfn.XLOOKUP($R47:$AK47,增益!$A:$A,增益!$R:$R,0))</f>
        <v>1.64</v>
      </c>
      <c r="BQ47" s="26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6" cm="1">
        <f t="array" ref="BR47">1+$B$14+VLOOKUP($Q47,武学奇术!$A:$ZZ,20,FALSE)+SUM(_xlfn.XLOOKUP($R47:$AK47,增益!$A:$A,增益!$T:$T,0))</f>
        <v>1.35</v>
      </c>
      <c r="BS47" s="26">
        <f t="shared" si="20"/>
        <v>0.87863408</v>
      </c>
      <c r="BT47" s="26">
        <f t="shared" si="21"/>
        <v>0.01567581</v>
      </c>
      <c r="BU47" s="26">
        <f>IF(VLOOKUP($Q47,武学奇术!$A:$ZZ,22,FALSE)=1,0,(1-$BN47))*(1-$BQ47)</f>
        <v>0.01279011</v>
      </c>
      <c r="BV47" s="26" cm="1">
        <f t="array" ref="BV47">SUM(_xlfn.XLOOKUP($R47:$AK47,增益!$A:$A,增益!$W:$W,0))+$I$5</f>
        <v>0.11</v>
      </c>
    </row>
    <row r="48" spans="1:74">
      <c r="A48" t="s">
        <v>174</v>
      </c>
      <c r="B48">
        <v>1.3</v>
      </c>
      <c r="E48" s="39"/>
      <c r="K48" s="38">
        <f t="shared" si="11"/>
        <v>61636.3252754473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62791.84034758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58563.0942333448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38287.7075290122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33195.3452555468</v>
      </c>
      <c r="P48" s="39">
        <v>1</v>
      </c>
      <c r="Q48" s="40" t="s">
        <v>114</v>
      </c>
      <c r="R48" s="40" t="s">
        <v>100</v>
      </c>
      <c r="S48" s="40" t="s">
        <v>158</v>
      </c>
      <c r="T48" s="40" t="s">
        <v>97</v>
      </c>
      <c r="U48" s="40" t="s">
        <v>80</v>
      </c>
      <c r="V48" s="40" t="s">
        <v>73</v>
      </c>
      <c r="W48" s="40" t="s">
        <v>115</v>
      </c>
      <c r="X48" s="40" t="s">
        <v>87</v>
      </c>
      <c r="Y48" s="40" t="s">
        <v>80</v>
      </c>
      <c r="Z48" s="40" t="s">
        <v>80</v>
      </c>
      <c r="AA48" s="40" t="s">
        <v>80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81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82</v>
      </c>
      <c r="AL48" t="str">
        <f>VLOOKUP($Q48,武学奇术!$A:$ZZ,25,FALSE)</f>
        <v>扇</v>
      </c>
      <c r="AM48" s="26">
        <f>VLOOKUP($Q48,武学奇术!$A:$ZZ,26,FALSE)</f>
        <v>2.1435</v>
      </c>
      <c r="AN48" s="27">
        <f>VLOOKUP($Q48,武学奇术!$A:$ZZ,27,FALSE)*(1+IF(OR($AL48=$F$4,$AL48=$F$5),$B$22,0))</f>
        <v>888</v>
      </c>
      <c r="AO48" s="26">
        <f>VLOOKUP($Q48,武学奇术!$A:$ZZ,28,FALSE)</f>
        <v>3.2152</v>
      </c>
      <c r="AP48" s="27">
        <f>VLOOKUP($Q48,武学奇术!$A:$ZZ,29,FALSE)*(1+IF(OR($AL48=$F$4,$AL48=$F$5),$B$22,0))</f>
        <v>484.5</v>
      </c>
      <c r="AQ48" s="26" cm="1">
        <f t="array" ref="AQ48">$G$3+IFERROR(VLOOKUP($AL48,$F$4:$G$7,2,FALSE),0)+VLOOKUP($Q48,武学奇术!$A:$ZZ,2,FALSE)+SUM(_xlfn.XLOOKUP($R48:$AK48,增益!$A:$A,增益!$B:$B,0))</f>
        <v>0.6189</v>
      </c>
      <c r="AR48" s="26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3673.1</v>
      </c>
      <c r="AT48" cm="1">
        <f t="array" ref="AT48">$E$10*(1+$AR48)+VLOOKUP($Q48,武学奇术!$A:$ZZ,4,FALSE)+SUM(_xlfn.XLOOKUP($R48:$AK48,增益!$A:$A,增益!$D:$D,0))-$I$2</f>
        <v>3673.1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0.357</v>
      </c>
      <c r="AV48" s="32" cm="1">
        <f t="array" ref="AV48">$G$10+VLOOKUP($Q48,武学奇术!$A:$ZZ,7,FALSE)+SUM(_xlfn.XLOOKUP($R48:$AK48,增益!$A:$A,增益!$G:$G,0))</f>
        <v>0.205</v>
      </c>
      <c r="AW48" s="26" cm="1">
        <f t="array" ref="AW48">VLOOKUP($Q48,武学奇术!$A:$ZZ,8,FALSE)+SUM(_xlfn.XLOOKUP($R48:$AK48,增益!$A:$A,增益!$H:$H,0))</f>
        <v>0.12</v>
      </c>
      <c r="AX48">
        <f t="shared" si="12"/>
        <v>0</v>
      </c>
      <c r="AY48">
        <f t="shared" si="13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2" cm="1">
        <f t="array" ref="BA48">$G$11+VLOOKUP($Q48,武学奇术!$A:$ZZ,10,FALSE)+SUM(_xlfn.XLOOKUP($R48:$AK48,增益!$A:$A,增益!$J:$J,0))</f>
        <v>0.06</v>
      </c>
      <c r="BB48">
        <f t="shared" si="14"/>
        <v>0</v>
      </c>
      <c r="BC48">
        <f t="shared" si="15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2" cm="1">
        <f t="array" ref="BE48">$G$12+VLOOKUP($Q48,武学奇术!$A:$ZZ,12,FALSE)+SUM(_xlfn.XLOOKUP($R48:$AK48,增益!$A:$A,增益!$L:$L,0))</f>
        <v>0.06</v>
      </c>
      <c r="BF48">
        <f t="shared" si="16"/>
        <v>639.744</v>
      </c>
      <c r="BG48">
        <f t="shared" si="17"/>
        <v>1823.136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2" cm="1">
        <f t="array" ref="BI48">$G$13+VLOOKUP($Q48,武学奇术!$A:$ZZ,14,FALSE)+SUM(_xlfn.XLOOKUP($R48:$AK48,增益!$A:$A,增益!$N:$N,0))</f>
        <v>0.33</v>
      </c>
      <c r="BJ48">
        <f t="shared" si="18"/>
        <v>0</v>
      </c>
      <c r="BK48">
        <f t="shared" si="19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2" cm="1">
        <f t="array" ref="BM48">$G$14+VLOOKUP($Q48,武学奇术!$A:$ZZ,16,FALSE)+SUM(_xlfn.XLOOKUP($R48:$AK48,增益!$A:$A,增益!$P:$P,0))</f>
        <v>0.06</v>
      </c>
      <c r="BN48" s="26">
        <f>MIN(IF(VLOOKUP($Q48,武学奇术!$A:$ZZ,23,FALSE)=1,100%,$B$8),100%)</f>
        <v>0.9859</v>
      </c>
      <c r="BO48" s="26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6" cm="1">
        <f t="array" ref="BP48">1+$B$13+VLOOKUP($Q48,武学奇术!$A:$ZZ,18,FALSE)+SUM(_xlfn.XLOOKUP($R48:$AK48,增益!$A:$A,增益!$R:$R,0))</f>
        <v>1.64</v>
      </c>
      <c r="BQ48" s="26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6" cm="1">
        <f t="array" ref="BR48">1+$B$14+VLOOKUP($Q48,武学奇术!$A:$ZZ,20,FALSE)+SUM(_xlfn.XLOOKUP($R48:$AK48,增益!$A:$A,增益!$T:$T,0))</f>
        <v>1.35</v>
      </c>
      <c r="BS48" s="26">
        <f t="shared" si="20"/>
        <v>0.87863408</v>
      </c>
      <c r="BT48" s="26">
        <f t="shared" si="21"/>
        <v>0.01567581</v>
      </c>
      <c r="BU48" s="26">
        <f>IF(VLOOKUP($Q48,武学奇术!$A:$ZZ,22,FALSE)=1,0,(1-$BN48))*(1-$BQ48)</f>
        <v>0.01279011</v>
      </c>
      <c r="BV48" s="26" cm="1">
        <f t="array" ref="BV48">SUM(_xlfn.XLOOKUP($R48:$AK48,增益!$A:$A,增益!$W:$W,0))+$I$5</f>
        <v>0.11</v>
      </c>
    </row>
    <row r="49" spans="1:74">
      <c r="A49" t="s">
        <v>165</v>
      </c>
      <c r="B49">
        <v>1.6</v>
      </c>
      <c r="E49" s="39"/>
      <c r="K49" s="38">
        <f t="shared" si="11"/>
        <v>160901.335745451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166713.993393089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130360.090277336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85935.0481407678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75307.0664464716</v>
      </c>
      <c r="P49" s="39">
        <v>1</v>
      </c>
      <c r="Q49" s="40" t="s">
        <v>117</v>
      </c>
      <c r="R49" s="40" t="s">
        <v>100</v>
      </c>
      <c r="S49" s="40" t="s">
        <v>158</v>
      </c>
      <c r="T49" s="40" t="s">
        <v>78</v>
      </c>
      <c r="U49" s="40" t="s">
        <v>80</v>
      </c>
      <c r="V49" s="40" t="s">
        <v>73</v>
      </c>
      <c r="W49" s="40" t="s">
        <v>115</v>
      </c>
      <c r="X49" s="40" t="s">
        <v>87</v>
      </c>
      <c r="Y49" s="40" t="s">
        <v>80</v>
      </c>
      <c r="Z49" s="40" t="s">
        <v>80</v>
      </c>
      <c r="AA49" s="40" t="s">
        <v>80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81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82</v>
      </c>
      <c r="AL49" t="str">
        <f>VLOOKUP($Q49,武学奇术!$A:$ZZ,25,FALSE)</f>
        <v>鼓</v>
      </c>
      <c r="AM49" s="26">
        <f>VLOOKUP($Q49,武学奇术!$A:$ZZ,26,FALSE)</f>
        <v>3.08125</v>
      </c>
      <c r="AN49" s="27">
        <f>VLOOKUP($Q49,武学奇术!$A:$ZZ,27,FALSE)*(1+IF(OR($AL49=$F$4,$AL49=$F$5),$B$22,0))</f>
        <v>1277.55</v>
      </c>
      <c r="AO49" s="26">
        <f>VLOOKUP($Q49,武学奇术!$A:$ZZ,28,FALSE)</f>
        <v>4.62196</v>
      </c>
      <c r="AP49" s="27">
        <f>VLOOKUP($Q49,武学奇术!$A:$ZZ,29,FALSE)*(1+IF(OR($AL49=$F$4,$AL49=$F$5),$B$22,0))</f>
        <v>696.15</v>
      </c>
      <c r="AQ49" s="26" cm="1">
        <f t="array" ref="AQ49">$G$3+IFERROR(VLOOKUP($AL49,$F$4:$G$7,2,FALSE),0)+VLOOKUP($Q49,武学奇术!$A:$ZZ,2,FALSE)+SUM(_xlfn.XLOOKUP($R49:$AK49,增益!$A:$A,增益!$B:$B,0))</f>
        <v>0.6041</v>
      </c>
      <c r="AR49" s="26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4434.698</v>
      </c>
      <c r="AT49" cm="1">
        <f t="array" ref="AT49">$E$10*(1+$AR49)+VLOOKUP($Q49,武学奇术!$A:$ZZ,4,FALSE)+SUM(_xlfn.XLOOKUP($R49:$AK49,增益!$A:$A,增益!$D:$D,0))-$I$2</f>
        <v>4434.698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0.417</v>
      </c>
      <c r="AV49" s="32" cm="1">
        <f t="array" ref="AV49">$G$10+VLOOKUP($Q49,武学奇术!$A:$ZZ,7,FALSE)+SUM(_xlfn.XLOOKUP($R49:$AK49,增益!$A:$A,增益!$G:$G,0))</f>
        <v>0.205</v>
      </c>
      <c r="AW49" s="26" cm="1">
        <f t="array" ref="AW49">VLOOKUP($Q49,武学奇术!$A:$ZZ,8,FALSE)+SUM(_xlfn.XLOOKUP($R49:$AK49,增益!$A:$A,增益!$H:$H,0))</f>
        <v>0.18</v>
      </c>
      <c r="AX49">
        <f t="shared" si="12"/>
        <v>0</v>
      </c>
      <c r="AY49">
        <f t="shared" si="13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2" cm="1">
        <f t="array" ref="BA49">$G$11+VLOOKUP($Q49,武学奇术!$A:$ZZ,10,FALSE)+SUM(_xlfn.XLOOKUP($R49:$AK49,增益!$A:$A,增益!$J:$J,0))</f>
        <v>0.06</v>
      </c>
      <c r="BB49">
        <f t="shared" si="14"/>
        <v>0</v>
      </c>
      <c r="BC49">
        <f t="shared" si="15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2" cm="1">
        <f t="array" ref="BE49">$G$12+VLOOKUP($Q49,武学奇术!$A:$ZZ,12,FALSE)+SUM(_xlfn.XLOOKUP($R49:$AK49,增益!$A:$A,增益!$L:$L,0))</f>
        <v>0.06</v>
      </c>
      <c r="BF49">
        <f t="shared" si="16"/>
        <v>674.016</v>
      </c>
      <c r="BG49">
        <f t="shared" si="17"/>
        <v>1920.804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2" cm="1">
        <f t="array" ref="BI49">$G$13+VLOOKUP($Q49,武学奇术!$A:$ZZ,14,FALSE)+SUM(_xlfn.XLOOKUP($R49:$AK49,增益!$A:$A,增益!$N:$N,0))</f>
        <v>0.33</v>
      </c>
      <c r="BJ49">
        <f t="shared" si="18"/>
        <v>0</v>
      </c>
      <c r="BK49">
        <f t="shared" si="19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2" cm="1">
        <f t="array" ref="BM49">$G$14+VLOOKUP($Q49,武学奇术!$A:$ZZ,16,FALSE)+SUM(_xlfn.XLOOKUP($R49:$AK49,增益!$A:$A,增益!$P:$P,0))</f>
        <v>0.06</v>
      </c>
      <c r="BN49" s="26">
        <f>MIN(IF(VLOOKUP($Q49,武学奇术!$A:$ZZ,23,FALSE)=1,100%,$B$8),100%)</f>
        <v>0.9859</v>
      </c>
      <c r="BO49" s="26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6" cm="1">
        <f t="array" ref="BP49">1+$B$13+VLOOKUP($Q49,武学奇术!$A:$ZZ,18,FALSE)+SUM(_xlfn.XLOOKUP($R49:$AK49,增益!$A:$A,增益!$R:$R,0))</f>
        <v>1.94</v>
      </c>
      <c r="BQ49" s="26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6" cm="1">
        <f t="array" ref="BR49">1+$B$14+VLOOKUP($Q49,武学奇术!$A:$ZZ,20,FALSE)+SUM(_xlfn.XLOOKUP($R49:$AK49,增益!$A:$A,增益!$T:$T,0))</f>
        <v>1.35</v>
      </c>
      <c r="BS49" s="26">
        <f t="shared" si="20"/>
        <v>0.87863408</v>
      </c>
      <c r="BT49" s="26">
        <f t="shared" si="21"/>
        <v>0.01567581</v>
      </c>
      <c r="BU49" s="26">
        <f>IF(VLOOKUP($Q49,武学奇术!$A:$ZZ,22,FALSE)=1,0,(1-$BN49))*(1-$BQ49)</f>
        <v>0.01279011</v>
      </c>
      <c r="BV49" s="26" cm="1">
        <f t="array" ref="BV49">SUM(_xlfn.XLOOKUP($R49:$AK49,增益!$A:$A,增益!$W:$W,0))+$I$5</f>
        <v>0.11</v>
      </c>
    </row>
    <row r="50" spans="1:74">
      <c r="A50" t="s">
        <v>167</v>
      </c>
      <c r="B50">
        <v>1.3</v>
      </c>
      <c r="E50" s="39"/>
      <c r="K50" s="38">
        <f t="shared" si="11"/>
        <v>321802.671490902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333427.986786179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260720.180554673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171870.096281536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150614.132892943</v>
      </c>
      <c r="P50" s="39">
        <v>2</v>
      </c>
      <c r="Q50" s="40" t="s">
        <v>117</v>
      </c>
      <c r="R50" s="40" t="s">
        <v>100</v>
      </c>
      <c r="S50" s="40" t="s">
        <v>158</v>
      </c>
      <c r="T50" s="40" t="s">
        <v>78</v>
      </c>
      <c r="U50" s="40" t="s">
        <v>80</v>
      </c>
      <c r="V50" s="40" t="s">
        <v>73</v>
      </c>
      <c r="W50" s="40" t="s">
        <v>115</v>
      </c>
      <c r="X50" s="40" t="s">
        <v>87</v>
      </c>
      <c r="Y50" s="40" t="s">
        <v>80</v>
      </c>
      <c r="Z50" s="40" t="s">
        <v>80</v>
      </c>
      <c r="AA50" s="40" t="s">
        <v>80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81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82</v>
      </c>
      <c r="AL50" t="str">
        <f>VLOOKUP($Q50,武学奇术!$A:$ZZ,25,FALSE)</f>
        <v>鼓</v>
      </c>
      <c r="AM50" s="26">
        <f>VLOOKUP($Q50,武学奇术!$A:$ZZ,26,FALSE)</f>
        <v>3.08125</v>
      </c>
      <c r="AN50" s="27">
        <f>VLOOKUP($Q50,武学奇术!$A:$ZZ,27,FALSE)*(1+IF(OR($AL50=$F$4,$AL50=$F$5),$B$22,0))</f>
        <v>1277.55</v>
      </c>
      <c r="AO50" s="26">
        <f>VLOOKUP($Q50,武学奇术!$A:$ZZ,28,FALSE)</f>
        <v>4.62196</v>
      </c>
      <c r="AP50" s="27">
        <f>VLOOKUP($Q50,武学奇术!$A:$ZZ,29,FALSE)*(1+IF(OR($AL50=$F$4,$AL50=$F$5),$B$22,0))</f>
        <v>696.15</v>
      </c>
      <c r="AQ50" s="26" cm="1">
        <f t="array" ref="AQ50">$G$3+IFERROR(VLOOKUP($AL50,$F$4:$G$7,2,FALSE),0)+VLOOKUP($Q50,武学奇术!$A:$ZZ,2,FALSE)+SUM(_xlfn.XLOOKUP($R50:$AK50,增益!$A:$A,增益!$B:$B,0))</f>
        <v>0.6041</v>
      </c>
      <c r="AR50" s="26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4434.698</v>
      </c>
      <c r="AT50" cm="1">
        <f t="array" ref="AT50">$E$10*(1+$AR50)+VLOOKUP($Q50,武学奇术!$A:$ZZ,4,FALSE)+SUM(_xlfn.XLOOKUP($R50:$AK50,增益!$A:$A,增益!$D:$D,0))-$I$2</f>
        <v>4434.698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0.417</v>
      </c>
      <c r="AV50" s="32" cm="1">
        <f t="array" ref="AV50">$G$10+VLOOKUP($Q50,武学奇术!$A:$ZZ,7,FALSE)+SUM(_xlfn.XLOOKUP($R50:$AK50,增益!$A:$A,增益!$G:$G,0))</f>
        <v>0.205</v>
      </c>
      <c r="AW50" s="26" cm="1">
        <f t="array" ref="AW50">VLOOKUP($Q50,武学奇术!$A:$ZZ,8,FALSE)+SUM(_xlfn.XLOOKUP($R50:$AK50,增益!$A:$A,增益!$H:$H,0))</f>
        <v>0.18</v>
      </c>
      <c r="AX50">
        <f t="shared" si="12"/>
        <v>0</v>
      </c>
      <c r="AY50">
        <f t="shared" si="13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2" cm="1">
        <f t="array" ref="BA50">$G$11+VLOOKUP($Q50,武学奇术!$A:$ZZ,10,FALSE)+SUM(_xlfn.XLOOKUP($R50:$AK50,增益!$A:$A,增益!$J:$J,0))</f>
        <v>0.06</v>
      </c>
      <c r="BB50">
        <f t="shared" si="14"/>
        <v>0</v>
      </c>
      <c r="BC50">
        <f t="shared" si="15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2" cm="1">
        <f t="array" ref="BE50">$G$12+VLOOKUP($Q50,武学奇术!$A:$ZZ,12,FALSE)+SUM(_xlfn.XLOOKUP($R50:$AK50,增益!$A:$A,增益!$L:$L,0))</f>
        <v>0.06</v>
      </c>
      <c r="BF50">
        <f t="shared" si="16"/>
        <v>674.016</v>
      </c>
      <c r="BG50">
        <f t="shared" si="17"/>
        <v>1920.804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2" cm="1">
        <f t="array" ref="BI50">$G$13+VLOOKUP($Q50,武学奇术!$A:$ZZ,14,FALSE)+SUM(_xlfn.XLOOKUP($R50:$AK50,增益!$A:$A,增益!$N:$N,0))</f>
        <v>0.33</v>
      </c>
      <c r="BJ50">
        <f t="shared" si="18"/>
        <v>0</v>
      </c>
      <c r="BK50">
        <f t="shared" si="19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2" cm="1">
        <f t="array" ref="BM50">$G$14+VLOOKUP($Q50,武学奇术!$A:$ZZ,16,FALSE)+SUM(_xlfn.XLOOKUP($R50:$AK50,增益!$A:$A,增益!$P:$P,0))</f>
        <v>0.06</v>
      </c>
      <c r="BN50" s="26">
        <f>MIN(IF(VLOOKUP($Q50,武学奇术!$A:$ZZ,23,FALSE)=1,100%,$B$8),100%)</f>
        <v>0.9859</v>
      </c>
      <c r="BO50" s="26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6" cm="1">
        <f t="array" ref="BP50">1+$B$13+VLOOKUP($Q50,武学奇术!$A:$ZZ,18,FALSE)+SUM(_xlfn.XLOOKUP($R50:$AK50,增益!$A:$A,增益!$R:$R,0))</f>
        <v>1.94</v>
      </c>
      <c r="BQ50" s="26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6" cm="1">
        <f t="array" ref="BR50">1+$B$14+VLOOKUP($Q50,武学奇术!$A:$ZZ,20,FALSE)+SUM(_xlfn.XLOOKUP($R50:$AK50,增益!$A:$A,增益!$T:$T,0))</f>
        <v>1.35</v>
      </c>
      <c r="BS50" s="26">
        <f t="shared" si="20"/>
        <v>0.87863408</v>
      </c>
      <c r="BT50" s="26">
        <f t="shared" si="21"/>
        <v>0.01567581</v>
      </c>
      <c r="BU50" s="26">
        <f>IF(VLOOKUP($Q50,武学奇术!$A:$ZZ,22,FALSE)=1,0,(1-$BN50))*(1-$BQ50)</f>
        <v>0.01279011</v>
      </c>
      <c r="BV50" s="26" cm="1">
        <f t="array" ref="BV50">SUM(_xlfn.XLOOKUP($R50:$AK50,增益!$A:$A,增益!$W:$W,0))+$I$5</f>
        <v>0.11</v>
      </c>
    </row>
    <row r="51" spans="1:74">
      <c r="A51" t="s">
        <v>162</v>
      </c>
      <c r="B51">
        <v>0.1</v>
      </c>
      <c r="K51" s="38">
        <f t="shared" si="11"/>
        <v>423452.072641453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440685.861965783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327694.924213291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216022.481355776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189307.981812818</v>
      </c>
      <c r="P51" s="39">
        <v>2</v>
      </c>
      <c r="Q51" s="40" t="s">
        <v>121</v>
      </c>
      <c r="R51" s="40" t="s">
        <v>100</v>
      </c>
      <c r="S51" s="40" t="s">
        <v>158</v>
      </c>
      <c r="T51" s="40" t="s">
        <v>78</v>
      </c>
      <c r="U51" s="40" t="s">
        <v>80</v>
      </c>
      <c r="V51" s="40" t="s">
        <v>73</v>
      </c>
      <c r="W51" s="40" t="s">
        <v>115</v>
      </c>
      <c r="X51" s="40" t="s">
        <v>87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81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82</v>
      </c>
      <c r="AL51" t="str">
        <f>VLOOKUP($Q51,武学奇术!$A:$ZZ,25,FALSE)</f>
        <v>鼓</v>
      </c>
      <c r="AM51" s="26">
        <f>VLOOKUP($Q51,武学奇术!$A:$ZZ,26,FALSE)</f>
        <v>3.75547</v>
      </c>
      <c r="AN51" s="27">
        <f>VLOOKUP($Q51,武学奇术!$A:$ZZ,27,FALSE)*(1+IF(OR($AL51=$F$4,$AL51=$F$5),$B$22,0))</f>
        <v>1558.05</v>
      </c>
      <c r="AO51" s="26">
        <f>VLOOKUP($Q51,武学奇术!$A:$ZZ,28,FALSE)</f>
        <v>5.63329</v>
      </c>
      <c r="AP51" s="27">
        <f>VLOOKUP($Q51,武学奇术!$A:$ZZ,29,FALSE)*(1+IF(OR($AL51=$F$4,$AL51=$F$5),$B$22,0))</f>
        <v>849.15</v>
      </c>
      <c r="AQ51" s="26" cm="1">
        <f t="array" ref="AQ51">$G$3+IFERROR(VLOOKUP($AL51,$F$4:$G$7,2,FALSE),0)+VLOOKUP($Q51,武学奇术!$A:$ZZ,2,FALSE)+SUM(_xlfn.XLOOKUP($R51:$AK51,增益!$A:$A,增益!$B:$B,0))</f>
        <v>0.6541</v>
      </c>
      <c r="AR51" s="26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4434.698</v>
      </c>
      <c r="AT51" cm="1">
        <f t="array" ref="AT51">$E$10*(1+$AR51)+VLOOKUP($Q51,武学奇术!$A:$ZZ,4,FALSE)+SUM(_xlfn.XLOOKUP($R51:$AK51,增益!$A:$A,增益!$D:$D,0))-$I$2</f>
        <v>4434.698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0.417</v>
      </c>
      <c r="AV51" s="32" cm="1">
        <f t="array" ref="AV51">$G$10+VLOOKUP($Q51,武学奇术!$A:$ZZ,7,FALSE)+SUM(_xlfn.XLOOKUP($R51:$AK51,增益!$A:$A,增益!$G:$G,0))</f>
        <v>0.205</v>
      </c>
      <c r="AW51" s="26" cm="1">
        <f t="array" ref="AW51">VLOOKUP($Q51,武学奇术!$A:$ZZ,8,FALSE)+SUM(_xlfn.XLOOKUP($R51:$AK51,增益!$A:$A,增益!$H:$H,0))</f>
        <v>0.18</v>
      </c>
      <c r="AX51">
        <f t="shared" si="12"/>
        <v>0</v>
      </c>
      <c r="AY51">
        <f t="shared" si="13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2" cm="1">
        <f t="array" ref="BA51">$G$11+VLOOKUP($Q51,武学奇术!$A:$ZZ,10,FALSE)+SUM(_xlfn.XLOOKUP($R51:$AK51,增益!$A:$A,增益!$J:$J,0))</f>
        <v>0.06</v>
      </c>
      <c r="BB51">
        <f t="shared" si="14"/>
        <v>0</v>
      </c>
      <c r="BC51">
        <f t="shared" si="15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2" cm="1">
        <f t="array" ref="BE51">$G$12+VLOOKUP($Q51,武学奇术!$A:$ZZ,12,FALSE)+SUM(_xlfn.XLOOKUP($R51:$AK51,增益!$A:$A,增益!$L:$L,0))</f>
        <v>0.06</v>
      </c>
      <c r="BF51">
        <f t="shared" si="16"/>
        <v>674.016</v>
      </c>
      <c r="BG51">
        <f t="shared" si="17"/>
        <v>1920.804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2" cm="1">
        <f t="array" ref="BI51">$G$13+VLOOKUP($Q51,武学奇术!$A:$ZZ,14,FALSE)+SUM(_xlfn.XLOOKUP($R51:$AK51,增益!$A:$A,增益!$N:$N,0))</f>
        <v>0.33</v>
      </c>
      <c r="BJ51">
        <f t="shared" si="18"/>
        <v>0</v>
      </c>
      <c r="BK51">
        <f t="shared" si="19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2" cm="1">
        <f t="array" ref="BM51">$G$14+VLOOKUP($Q51,武学奇术!$A:$ZZ,16,FALSE)+SUM(_xlfn.XLOOKUP($R51:$AK51,增益!$A:$A,增益!$P:$P,0))</f>
        <v>0.06</v>
      </c>
      <c r="BN51" s="26">
        <f>MIN(IF(VLOOKUP($Q51,武学奇术!$A:$ZZ,23,FALSE)=1,100%,$B$8),100%)</f>
        <v>0.9859</v>
      </c>
      <c r="BO51" s="26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6" cm="1">
        <f t="array" ref="BP51">1+$B$13+VLOOKUP($Q51,武学奇术!$A:$ZZ,18,FALSE)+SUM(_xlfn.XLOOKUP($R51:$AK51,增益!$A:$A,增益!$R:$R,0))</f>
        <v>2.04</v>
      </c>
      <c r="BQ51" s="26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6" cm="1">
        <f t="array" ref="BR51">1+$B$14+VLOOKUP($Q51,武学奇术!$A:$ZZ,20,FALSE)+SUM(_xlfn.XLOOKUP($R51:$AK51,增益!$A:$A,增益!$T:$T,0))</f>
        <v>1.35</v>
      </c>
      <c r="BS51" s="26">
        <f t="shared" si="20"/>
        <v>0.87863408</v>
      </c>
      <c r="BT51" s="26">
        <f t="shared" si="21"/>
        <v>0.01567581</v>
      </c>
      <c r="BU51" s="26">
        <f>IF(VLOOKUP($Q51,武学奇术!$A:$ZZ,22,FALSE)=1,0,(1-$BN51))*(1-$BQ51)</f>
        <v>0.01279011</v>
      </c>
      <c r="BV51" s="26" cm="1">
        <f t="array" ref="BV51">SUM(_xlfn.XLOOKUP($R51:$AK51,增益!$A:$A,增益!$W:$W,0))+$I$5</f>
        <v>0.11</v>
      </c>
    </row>
    <row r="52" spans="1:74">
      <c r="A52" t="s">
        <v>172</v>
      </c>
      <c r="B52">
        <v>0.8</v>
      </c>
      <c r="K52" s="38">
        <f t="shared" si="11"/>
        <v>67148.7558509457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68407.4943590672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63801.9688233523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41711.8868043093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36163.0559616909</v>
      </c>
      <c r="P52" s="39">
        <v>1</v>
      </c>
      <c r="Q52" s="40" t="s">
        <v>124</v>
      </c>
      <c r="R52" s="40" t="s">
        <v>100</v>
      </c>
      <c r="S52" s="40" t="s">
        <v>158</v>
      </c>
      <c r="T52" s="40" t="s">
        <v>97</v>
      </c>
      <c r="U52" s="40" t="s">
        <v>80</v>
      </c>
      <c r="V52" s="40" t="s">
        <v>73</v>
      </c>
      <c r="W52" s="40" t="s">
        <v>115</v>
      </c>
      <c r="X52" s="40" t="s">
        <v>87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81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82</v>
      </c>
      <c r="AL52" t="str">
        <f>VLOOKUP($Q52,武学奇术!$A:$ZZ,25,FALSE)</f>
        <v>鼓</v>
      </c>
      <c r="AM52" s="26">
        <f>VLOOKUP($Q52,武学奇术!$A:$ZZ,26,FALSE)</f>
        <v>2.514</v>
      </c>
      <c r="AN52" s="27">
        <f>VLOOKUP($Q52,武学奇术!$A:$ZZ,27,FALSE)*(1+IF(OR($AL52=$F$4,$AL52=$F$5),$B$22,0))</f>
        <v>1044</v>
      </c>
      <c r="AO52" s="26">
        <f>VLOOKUP($Q52,武学奇术!$A:$ZZ,28,FALSE)</f>
        <v>3.7708</v>
      </c>
      <c r="AP52" s="27">
        <f>VLOOKUP($Q52,武学奇术!$A:$ZZ,29,FALSE)*(1+IF(OR($AL52=$F$4,$AL52=$F$5),$B$22,0))</f>
        <v>564</v>
      </c>
      <c r="AQ52" s="26" cm="1">
        <f t="array" ref="AQ52">$G$3+IFERROR(VLOOKUP($AL52,$F$4:$G$7,2,FALSE),0)+VLOOKUP($Q52,武学奇术!$A:$ZZ,2,FALSE)+SUM(_xlfn.XLOOKUP($R52:$AK52,增益!$A:$A,增益!$B:$B,0))</f>
        <v>0.5041</v>
      </c>
      <c r="AR52" s="26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3673.1</v>
      </c>
      <c r="AT52" cm="1">
        <f t="array" ref="AT52">$E$10*(1+$AR52)+VLOOKUP($Q52,武学奇术!$A:$ZZ,4,FALSE)+SUM(_xlfn.XLOOKUP($R52:$AK52,增益!$A:$A,增益!$D:$D,0))-$I$2</f>
        <v>3673.1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0.357</v>
      </c>
      <c r="AV52" s="32" cm="1">
        <f t="array" ref="AV52">$G$10+VLOOKUP($Q52,武学奇术!$A:$ZZ,7,FALSE)+SUM(_xlfn.XLOOKUP($R52:$AK52,增益!$A:$A,增益!$G:$G,0))</f>
        <v>0.205</v>
      </c>
      <c r="AW52" s="26" cm="1">
        <f t="array" ref="AW52">VLOOKUP($Q52,武学奇术!$A:$ZZ,8,FALSE)+SUM(_xlfn.XLOOKUP($R52:$AK52,增益!$A:$A,增益!$H:$H,0))</f>
        <v>0.12</v>
      </c>
      <c r="AX52">
        <f t="shared" si="12"/>
        <v>0</v>
      </c>
      <c r="AY52">
        <f t="shared" si="13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2" cm="1">
        <f t="array" ref="BA52">$G$11+VLOOKUP($Q52,武学奇术!$A:$ZZ,10,FALSE)+SUM(_xlfn.XLOOKUP($R52:$AK52,增益!$A:$A,增益!$J:$J,0))</f>
        <v>0.06</v>
      </c>
      <c r="BB52">
        <f t="shared" si="14"/>
        <v>0</v>
      </c>
      <c r="BC52">
        <f t="shared" si="15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2" cm="1">
        <f t="array" ref="BE52">$G$12+VLOOKUP($Q52,武学奇术!$A:$ZZ,12,FALSE)+SUM(_xlfn.XLOOKUP($R52:$AK52,增益!$A:$A,增益!$L:$L,0))</f>
        <v>0.06</v>
      </c>
      <c r="BF52">
        <f t="shared" si="16"/>
        <v>639.744</v>
      </c>
      <c r="BG52">
        <f t="shared" si="17"/>
        <v>1823.136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2" cm="1">
        <f t="array" ref="BI52">$G$13+VLOOKUP($Q52,武学奇术!$A:$ZZ,14,FALSE)+SUM(_xlfn.XLOOKUP($R52:$AK52,增益!$A:$A,增益!$N:$N,0))</f>
        <v>0.33</v>
      </c>
      <c r="BJ52">
        <f t="shared" si="18"/>
        <v>0</v>
      </c>
      <c r="BK52">
        <f t="shared" si="19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2" cm="1">
        <f t="array" ref="BM52">$G$14+VLOOKUP($Q52,武学奇术!$A:$ZZ,16,FALSE)+SUM(_xlfn.XLOOKUP($R52:$AK52,增益!$A:$A,增益!$P:$P,0))</f>
        <v>0.06</v>
      </c>
      <c r="BN52" s="26">
        <f>MIN(IF(VLOOKUP($Q52,武学奇术!$A:$ZZ,23,FALSE)=1,100%,$B$8),100%)</f>
        <v>0.9859</v>
      </c>
      <c r="BO52" s="26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6" cm="1">
        <f t="array" ref="BP52">1+$B$13+VLOOKUP($Q52,武学奇术!$A:$ZZ,18,FALSE)+SUM(_xlfn.XLOOKUP($R52:$AK52,增益!$A:$A,增益!$R:$R,0))</f>
        <v>1.64</v>
      </c>
      <c r="BQ52" s="26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6" cm="1">
        <f t="array" ref="BR52">1+$B$14+VLOOKUP($Q52,武学奇术!$A:$ZZ,20,FALSE)+SUM(_xlfn.XLOOKUP($R52:$AK52,增益!$A:$A,增益!$T:$T,0))</f>
        <v>1.35</v>
      </c>
      <c r="BS52" s="26">
        <f t="shared" si="20"/>
        <v>0.87863408</v>
      </c>
      <c r="BT52" s="26">
        <f t="shared" si="21"/>
        <v>0.01567581</v>
      </c>
      <c r="BU52" s="26">
        <f>IF(VLOOKUP($Q52,武学奇术!$A:$ZZ,22,FALSE)=1,0,(1-$BN52))*(1-$BQ52)</f>
        <v>0.01279011</v>
      </c>
      <c r="BV52" s="26" cm="1">
        <f t="array" ref="BV52">SUM(_xlfn.XLOOKUP($R52:$AK52,增益!$A:$A,增益!$W:$W,0))+$I$5</f>
        <v>0.11</v>
      </c>
    </row>
    <row r="53" spans="1:74">
      <c r="A53" t="s">
        <v>161</v>
      </c>
      <c r="B53">
        <v>2.1</v>
      </c>
      <c r="E53" s="39" t="s">
        <v>160</v>
      </c>
      <c r="K53" s="38">
        <f t="shared" si="11"/>
        <v>130238.905682725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134861.892731639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106402.019408348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69516.4395523915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60216.5684319325</v>
      </c>
      <c r="P53" s="39">
        <v>1</v>
      </c>
      <c r="Q53" s="40" t="s">
        <v>127</v>
      </c>
      <c r="R53" s="40" t="s">
        <v>100</v>
      </c>
      <c r="S53" s="40" t="s">
        <v>158</v>
      </c>
      <c r="T53" s="40" t="s">
        <v>97</v>
      </c>
      <c r="U53" s="40" t="s">
        <v>80</v>
      </c>
      <c r="V53" s="40" t="s">
        <v>73</v>
      </c>
      <c r="W53" s="40" t="s">
        <v>115</v>
      </c>
      <c r="X53" s="40" t="s">
        <v>87</v>
      </c>
      <c r="Y53" s="40" t="s">
        <v>80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81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82</v>
      </c>
      <c r="AL53" t="str">
        <f>VLOOKUP($Q53,武学奇术!$A:$ZZ,25,FALSE)</f>
        <v>鼓</v>
      </c>
      <c r="AM53" s="26">
        <f>VLOOKUP($Q53,武学奇术!$A:$ZZ,26,FALSE)</f>
        <v>3.52968</v>
      </c>
      <c r="AN53" s="27">
        <f>VLOOKUP($Q53,武学奇术!$A:$ZZ,27,FALSE)*(1+IF(OR($AL53=$F$4,$AL53=$F$5),$B$22,0))</f>
        <v>1465.8</v>
      </c>
      <c r="AO53" s="26">
        <f>VLOOKUP($Q53,武学奇术!$A:$ZZ,28,FALSE)</f>
        <v>5.29452</v>
      </c>
      <c r="AP53" s="27">
        <f>VLOOKUP($Q53,武学奇术!$A:$ZZ,29,FALSE)*(1+IF(OR($AL53=$F$4,$AL53=$F$5),$B$22,0))</f>
        <v>798</v>
      </c>
      <c r="AQ53" s="26" cm="1">
        <f t="array" ref="AQ53">$G$3+IFERROR(VLOOKUP($AL53,$F$4:$G$7,2,FALSE),0)+VLOOKUP($Q53,武学奇术!$A:$ZZ,2,FALSE)+SUM(_xlfn.XLOOKUP($R53:$AK53,增益!$A:$A,增益!$B:$B,0))</f>
        <v>0.7041</v>
      </c>
      <c r="AR53" s="26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3673.1</v>
      </c>
      <c r="AT53" cm="1">
        <f t="array" ref="AT53">$E$10*(1+$AR53)+VLOOKUP($Q53,武学奇术!$A:$ZZ,4,FALSE)+SUM(_xlfn.XLOOKUP($R53:$AK53,增益!$A:$A,增益!$D:$D,0))-$I$2</f>
        <v>3673.1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0.417</v>
      </c>
      <c r="AV53" s="32" cm="1">
        <f t="array" ref="AV53">$G$10+VLOOKUP($Q53,武学奇术!$A:$ZZ,7,FALSE)+SUM(_xlfn.XLOOKUP($R53:$AK53,增益!$A:$A,增益!$G:$G,0))</f>
        <v>0.205</v>
      </c>
      <c r="AW53" s="26" cm="1">
        <f t="array" ref="AW53">VLOOKUP($Q53,武学奇术!$A:$ZZ,8,FALSE)+SUM(_xlfn.XLOOKUP($R53:$AK53,增益!$A:$A,增益!$H:$H,0))</f>
        <v>0.12</v>
      </c>
      <c r="AX53">
        <f t="shared" si="12"/>
        <v>0</v>
      </c>
      <c r="AY53">
        <f t="shared" si="13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2" cm="1">
        <f t="array" ref="BA53">$G$11+VLOOKUP($Q53,武学奇术!$A:$ZZ,10,FALSE)+SUM(_xlfn.XLOOKUP($R53:$AK53,增益!$A:$A,增益!$J:$J,0))</f>
        <v>0.06</v>
      </c>
      <c r="BB53">
        <f t="shared" si="14"/>
        <v>0</v>
      </c>
      <c r="BC53">
        <f t="shared" si="15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2" cm="1">
        <f t="array" ref="BE53">$G$12+VLOOKUP($Q53,武学奇术!$A:$ZZ,12,FALSE)+SUM(_xlfn.XLOOKUP($R53:$AK53,增益!$A:$A,增益!$L:$L,0))</f>
        <v>0.06</v>
      </c>
      <c r="BF53">
        <f t="shared" si="16"/>
        <v>639.744</v>
      </c>
      <c r="BG53">
        <f t="shared" si="17"/>
        <v>1823.136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2" cm="1">
        <f t="array" ref="BI53">$G$13+VLOOKUP($Q53,武学奇术!$A:$ZZ,14,FALSE)+SUM(_xlfn.XLOOKUP($R53:$AK53,增益!$A:$A,增益!$N:$N,0))</f>
        <v>0.33</v>
      </c>
      <c r="BJ53">
        <f t="shared" si="18"/>
        <v>0</v>
      </c>
      <c r="BK53">
        <f t="shared" si="19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2" cm="1">
        <f t="array" ref="BM53">$G$14+VLOOKUP($Q53,武学奇术!$A:$ZZ,16,FALSE)+SUM(_xlfn.XLOOKUP($R53:$AK53,增益!$A:$A,增益!$P:$P,0))</f>
        <v>0.06</v>
      </c>
      <c r="BN53" s="26">
        <f>MIN(IF(VLOOKUP($Q53,武学奇术!$A:$ZZ,23,FALSE)=1,100%,$B$8),100%)</f>
        <v>0.9859</v>
      </c>
      <c r="BO53" s="26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6" cm="1">
        <f t="array" ref="BP53">1+$B$13+VLOOKUP($Q53,武学奇术!$A:$ZZ,18,FALSE)+SUM(_xlfn.XLOOKUP($R53:$AK53,增益!$A:$A,增益!$R:$R,0))</f>
        <v>1.94</v>
      </c>
      <c r="BQ53" s="26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6" cm="1">
        <f t="array" ref="BR53">1+$B$14+VLOOKUP($Q53,武学奇术!$A:$ZZ,20,FALSE)+SUM(_xlfn.XLOOKUP($R53:$AK53,增益!$A:$A,增益!$T:$T,0))</f>
        <v>1.35</v>
      </c>
      <c r="BS53" s="26">
        <f t="shared" si="20"/>
        <v>0.87863408</v>
      </c>
      <c r="BT53" s="26">
        <f t="shared" si="21"/>
        <v>0.01567581</v>
      </c>
      <c r="BU53" s="26">
        <f>IF(VLOOKUP($Q53,武学奇术!$A:$ZZ,22,FALSE)=1,0,(1-$BN53))*(1-$BQ53)</f>
        <v>0.01279011</v>
      </c>
      <c r="BV53" s="26" cm="1">
        <f t="array" ref="BV53">SUM(_xlfn.XLOOKUP($R53:$AK53,增益!$A:$A,增益!$W:$W,0))+$I$5</f>
        <v>0.11</v>
      </c>
    </row>
    <row r="54" spans="1:74">
      <c r="A54" t="s">
        <v>175</v>
      </c>
      <c r="B54">
        <v>1.7</v>
      </c>
      <c r="C54" s="39" t="s">
        <v>176</v>
      </c>
      <c r="E54" s="39"/>
      <c r="K54" s="38">
        <f t="shared" si="11"/>
        <v>22544.4813375611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22967.2608698325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21418.9757345891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14004.4273596539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12142.9467677604</v>
      </c>
      <c r="P54" s="39">
        <v>1</v>
      </c>
      <c r="Q54" s="40" t="s">
        <v>133</v>
      </c>
      <c r="R54" s="40" t="s">
        <v>100</v>
      </c>
      <c r="S54" s="40" t="s">
        <v>158</v>
      </c>
      <c r="T54" s="40" t="s">
        <v>97</v>
      </c>
      <c r="U54" s="40" t="s">
        <v>80</v>
      </c>
      <c r="V54" s="40" t="s">
        <v>73</v>
      </c>
      <c r="W54" s="40" t="s">
        <v>115</v>
      </c>
      <c r="X54" s="40" t="s">
        <v>87</v>
      </c>
      <c r="Y54" s="40" t="s">
        <v>80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81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82</v>
      </c>
      <c r="AL54" t="str">
        <f>VLOOKUP($Q54,武学奇术!$A:$ZZ,25,FALSE)</f>
        <v>鼓</v>
      </c>
      <c r="AM54" s="26">
        <f>VLOOKUP($Q54,武学奇术!$A:$ZZ,26,FALSE)</f>
        <v>0.8434</v>
      </c>
      <c r="AN54" s="27">
        <f>VLOOKUP($Q54,武学奇术!$A:$ZZ,27,FALSE)*(1+IF(OR($AL54=$F$4,$AL54=$F$5),$B$22,0))</f>
        <v>352.5</v>
      </c>
      <c r="AO54" s="26">
        <f>VLOOKUP($Q54,武学奇术!$A:$ZZ,28,FALSE)</f>
        <v>1.265</v>
      </c>
      <c r="AP54" s="27">
        <f>VLOOKUP($Q54,武学奇术!$A:$ZZ,29,FALSE)*(1+IF(OR($AL54=$F$4,$AL54=$F$5),$B$22,0))</f>
        <v>190.5</v>
      </c>
      <c r="AQ54" s="26" cm="1">
        <f t="array" ref="AQ54">$G$3+IFERROR(VLOOKUP($AL54,$F$4:$G$7,2,FALSE),0)+VLOOKUP($Q54,武学奇术!$A:$ZZ,2,FALSE)+SUM(_xlfn.XLOOKUP($R54:$AK54,增益!$A:$A,增益!$B:$B,0))</f>
        <v>0.5041</v>
      </c>
      <c r="AR54" s="26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3673.1</v>
      </c>
      <c r="AT54" cm="1">
        <f t="array" ref="AT54">$E$10*(1+$AR54)+VLOOKUP($Q54,武学奇术!$A:$ZZ,4,FALSE)+SUM(_xlfn.XLOOKUP($R54:$AK54,增益!$A:$A,增益!$D:$D,0))-$I$2</f>
        <v>3673.1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0.357</v>
      </c>
      <c r="AV54" s="32" cm="1">
        <f t="array" ref="AV54">$G$10+VLOOKUP($Q54,武学奇术!$A:$ZZ,7,FALSE)+SUM(_xlfn.XLOOKUP($R54:$AK54,增益!$A:$A,增益!$G:$G,0))</f>
        <v>0.205</v>
      </c>
      <c r="AW54" s="26" cm="1">
        <f t="array" ref="AW54">VLOOKUP($Q54,武学奇术!$A:$ZZ,8,FALSE)+SUM(_xlfn.XLOOKUP($R54:$AK54,增益!$A:$A,增益!$H:$H,0))</f>
        <v>0.12</v>
      </c>
      <c r="AX54">
        <f t="shared" si="12"/>
        <v>0</v>
      </c>
      <c r="AY54">
        <f t="shared" si="13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2" cm="1">
        <f t="array" ref="BA54">$G$11+VLOOKUP($Q54,武学奇术!$A:$ZZ,10,FALSE)+SUM(_xlfn.XLOOKUP($R54:$AK54,增益!$A:$A,增益!$J:$J,0))</f>
        <v>0.06</v>
      </c>
      <c r="BB54">
        <f t="shared" si="14"/>
        <v>0</v>
      </c>
      <c r="BC54">
        <f t="shared" si="15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2" cm="1">
        <f t="array" ref="BE54">$G$12+VLOOKUP($Q54,武学奇术!$A:$ZZ,12,FALSE)+SUM(_xlfn.XLOOKUP($R54:$AK54,增益!$A:$A,增益!$L:$L,0))</f>
        <v>0.06</v>
      </c>
      <c r="BF54">
        <f t="shared" si="16"/>
        <v>639.744</v>
      </c>
      <c r="BG54">
        <f t="shared" si="17"/>
        <v>1823.136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2" cm="1">
        <f t="array" ref="BI54">$G$13+VLOOKUP($Q54,武学奇术!$A:$ZZ,14,FALSE)+SUM(_xlfn.XLOOKUP($R54:$AK54,增益!$A:$A,增益!$N:$N,0))</f>
        <v>0.33</v>
      </c>
      <c r="BJ54">
        <f t="shared" si="18"/>
        <v>0</v>
      </c>
      <c r="BK54">
        <f t="shared" si="19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2" cm="1">
        <f t="array" ref="BM54">$G$14+VLOOKUP($Q54,武学奇术!$A:$ZZ,16,FALSE)+SUM(_xlfn.XLOOKUP($R54:$AK54,增益!$A:$A,增益!$P:$P,0))</f>
        <v>0.06</v>
      </c>
      <c r="BN54" s="26">
        <f>MIN(IF(VLOOKUP($Q54,武学奇术!$A:$ZZ,23,FALSE)=1,100%,$B$8),100%)</f>
        <v>0.9859</v>
      </c>
      <c r="BO54" s="26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6" cm="1">
        <f t="array" ref="BP54">1+$B$13+VLOOKUP($Q54,武学奇术!$A:$ZZ,18,FALSE)+SUM(_xlfn.XLOOKUP($R54:$AK54,增益!$A:$A,增益!$R:$R,0))</f>
        <v>1.64</v>
      </c>
      <c r="BQ54" s="26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6" cm="1">
        <f t="array" ref="BR54">1+$B$14+VLOOKUP($Q54,武学奇术!$A:$ZZ,20,FALSE)+SUM(_xlfn.XLOOKUP($R54:$AK54,增益!$A:$A,增益!$T:$T,0))</f>
        <v>1.35</v>
      </c>
      <c r="BS54" s="26">
        <f t="shared" si="20"/>
        <v>0.87863408</v>
      </c>
      <c r="BT54" s="26">
        <f t="shared" si="21"/>
        <v>0.01567581</v>
      </c>
      <c r="BU54" s="26">
        <f>IF(VLOOKUP($Q54,武学奇术!$A:$ZZ,22,FALSE)=1,0,(1-$BN54))*(1-$BQ54)</f>
        <v>0.01279011</v>
      </c>
      <c r="BV54" s="26" cm="1">
        <f t="array" ref="BV54">SUM(_xlfn.XLOOKUP($R54:$AK54,增益!$A:$A,增益!$W:$W,0))+$I$5</f>
        <v>0.11</v>
      </c>
    </row>
    <row r="55" spans="1:74">
      <c r="A55" t="s">
        <v>162</v>
      </c>
      <c r="B55">
        <v>0.1</v>
      </c>
      <c r="C55" s="39"/>
      <c r="E55" s="39"/>
      <c r="K55" s="38">
        <f t="shared" si="11"/>
        <v>33857.1929725861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35059.0334297527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27660.0875965037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18071.6667163674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15654.3796575468</v>
      </c>
      <c r="P55" s="39">
        <v>1</v>
      </c>
      <c r="Q55" s="40" t="s">
        <v>137</v>
      </c>
      <c r="R55" s="40" t="s">
        <v>100</v>
      </c>
      <c r="S55" s="40" t="s">
        <v>158</v>
      </c>
      <c r="T55" s="40" t="s">
        <v>97</v>
      </c>
      <c r="U55" s="40" t="s">
        <v>80</v>
      </c>
      <c r="V55" s="40" t="s">
        <v>73</v>
      </c>
      <c r="W55" s="40" t="s">
        <v>115</v>
      </c>
      <c r="X55" s="40" t="s">
        <v>87</v>
      </c>
      <c r="Y55" s="40" t="s">
        <v>80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81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82</v>
      </c>
      <c r="AL55" t="str">
        <f>VLOOKUP($Q55,武学奇术!$A:$ZZ,25,FALSE)</f>
        <v>鼓</v>
      </c>
      <c r="AM55" s="26">
        <f>VLOOKUP($Q55,武学奇术!$A:$ZZ,26,FALSE)</f>
        <v>1.03936</v>
      </c>
      <c r="AN55" s="27">
        <f>VLOOKUP($Q55,武学奇术!$A:$ZZ,27,FALSE)*(1+IF(OR($AL55=$F$4,$AL55=$F$5),$B$22,0))</f>
        <v>432.6</v>
      </c>
      <c r="AO55" s="26">
        <f>VLOOKUP($Q55,武学奇术!$A:$ZZ,28,FALSE)</f>
        <v>1.55918</v>
      </c>
      <c r="AP55" s="27">
        <f>VLOOKUP($Q55,武学奇术!$A:$ZZ,29,FALSE)*(1+IF(OR($AL55=$F$4,$AL55=$F$5),$B$22,0))</f>
        <v>235.2</v>
      </c>
      <c r="AQ55" s="26" cm="1">
        <f t="array" ref="AQ55">$G$3+IFERROR(VLOOKUP($AL55,$F$4:$G$7,2,FALSE),0)+VLOOKUP($Q55,武学奇术!$A:$ZZ,2,FALSE)+SUM(_xlfn.XLOOKUP($R55:$AK55,增益!$A:$A,增益!$B:$B,0))</f>
        <v>0.5041</v>
      </c>
      <c r="AR55" s="26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3673.1</v>
      </c>
      <c r="AT55" cm="1">
        <f t="array" ref="AT55">$E$10*(1+$AR55)+VLOOKUP($Q55,武学奇术!$A:$ZZ,4,FALSE)+SUM(_xlfn.XLOOKUP($R55:$AK55,增益!$A:$A,增益!$D:$D,0))-$I$2</f>
        <v>3673.1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0.417</v>
      </c>
      <c r="AV55" s="32" cm="1">
        <f t="array" ref="AV55">$G$10+VLOOKUP($Q55,武学奇术!$A:$ZZ,7,FALSE)+SUM(_xlfn.XLOOKUP($R55:$AK55,增益!$A:$A,增益!$G:$G,0))</f>
        <v>0.205</v>
      </c>
      <c r="AW55" s="26" cm="1">
        <f t="array" ref="AW55">VLOOKUP($Q55,武学奇术!$A:$ZZ,8,FALSE)+SUM(_xlfn.XLOOKUP($R55:$AK55,增益!$A:$A,增益!$H:$H,0))</f>
        <v>0.12</v>
      </c>
      <c r="AX55">
        <f t="shared" si="12"/>
        <v>0</v>
      </c>
      <c r="AY55">
        <f t="shared" si="13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2" cm="1">
        <f t="array" ref="BA55">$G$11+VLOOKUP($Q55,武学奇术!$A:$ZZ,10,FALSE)+SUM(_xlfn.XLOOKUP($R55:$AK55,增益!$A:$A,增益!$J:$J,0))</f>
        <v>0.06</v>
      </c>
      <c r="BB55">
        <f t="shared" si="14"/>
        <v>0</v>
      </c>
      <c r="BC55">
        <f t="shared" si="15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2" cm="1">
        <f t="array" ref="BE55">$G$12+VLOOKUP($Q55,武学奇术!$A:$ZZ,12,FALSE)+SUM(_xlfn.XLOOKUP($R55:$AK55,增益!$A:$A,增益!$L:$L,0))</f>
        <v>0.06</v>
      </c>
      <c r="BF55">
        <f t="shared" si="16"/>
        <v>639.744</v>
      </c>
      <c r="BG55">
        <f t="shared" si="17"/>
        <v>1823.136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2" cm="1">
        <f t="array" ref="BI55">$G$13+VLOOKUP($Q55,武学奇术!$A:$ZZ,14,FALSE)+SUM(_xlfn.XLOOKUP($R55:$AK55,增益!$A:$A,增益!$N:$N,0))</f>
        <v>0.33</v>
      </c>
      <c r="BJ55">
        <f t="shared" si="18"/>
        <v>0</v>
      </c>
      <c r="BK55">
        <f t="shared" si="19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2" cm="1">
        <f t="array" ref="BM55">$G$14+VLOOKUP($Q55,武学奇术!$A:$ZZ,16,FALSE)+SUM(_xlfn.XLOOKUP($R55:$AK55,增益!$A:$A,增益!$P:$P,0))</f>
        <v>0.06</v>
      </c>
      <c r="BN55" s="26">
        <f>MIN(IF(VLOOKUP($Q55,武学奇术!$A:$ZZ,23,FALSE)=1,100%,$B$8),100%)</f>
        <v>0.9859</v>
      </c>
      <c r="BO55" s="26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6" cm="1">
        <f t="array" ref="BP55">1+$B$13+VLOOKUP($Q55,武学奇术!$A:$ZZ,18,FALSE)+SUM(_xlfn.XLOOKUP($R55:$AK55,增益!$A:$A,增益!$R:$R,0))</f>
        <v>1.94</v>
      </c>
      <c r="BQ55" s="26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6" cm="1">
        <f t="array" ref="BR55">1+$B$14+VLOOKUP($Q55,武学奇术!$A:$ZZ,20,FALSE)+SUM(_xlfn.XLOOKUP($R55:$AK55,增益!$A:$A,增益!$T:$T,0))</f>
        <v>1.35</v>
      </c>
      <c r="BS55" s="26">
        <f t="shared" si="20"/>
        <v>0.87863408</v>
      </c>
      <c r="BT55" s="26">
        <f t="shared" si="21"/>
        <v>0.01567581</v>
      </c>
      <c r="BU55" s="26">
        <f>IF(VLOOKUP($Q55,武学奇术!$A:$ZZ,22,FALSE)=1,0,(1-$BN55))*(1-$BQ55)</f>
        <v>0.01279011</v>
      </c>
      <c r="BV55" s="26" cm="1">
        <f t="array" ref="BV55">SUM(_xlfn.XLOOKUP($R55:$AK55,增益!$A:$A,增益!$W:$W,0))+$I$5</f>
        <v>0.11</v>
      </c>
    </row>
    <row r="56" spans="1:74">
      <c r="A56" t="s">
        <v>163</v>
      </c>
      <c r="B56">
        <v>6.1</v>
      </c>
      <c r="C56" s="39"/>
      <c r="E56" s="39"/>
      <c r="K56" s="38">
        <f t="shared" si="11"/>
        <v>106559.406348633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110342.76571191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87046.6852831981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56877.7142844898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49276.4024332773</v>
      </c>
      <c r="P56" s="39">
        <v>1</v>
      </c>
      <c r="Q56" s="40" t="s">
        <v>140</v>
      </c>
      <c r="R56" s="40" t="s">
        <v>100</v>
      </c>
      <c r="S56" s="40" t="s">
        <v>158</v>
      </c>
      <c r="T56" s="40" t="s">
        <v>97</v>
      </c>
      <c r="U56" s="40" t="s">
        <v>80</v>
      </c>
      <c r="V56" s="40" t="s">
        <v>73</v>
      </c>
      <c r="W56" s="40" t="s">
        <v>115</v>
      </c>
      <c r="X56" s="40" t="s">
        <v>87</v>
      </c>
      <c r="Y56" s="40" t="s">
        <v>80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81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82</v>
      </c>
      <c r="AL56" t="str">
        <f>VLOOKUP($Q56,武学奇术!$A:$ZZ,25,FALSE)</f>
        <v>鼓</v>
      </c>
      <c r="AM56" s="26">
        <f>VLOOKUP($Q56,武学奇术!$A:$ZZ,26,FALSE)</f>
        <v>3.26858</v>
      </c>
      <c r="AN56" s="27">
        <f>VLOOKUP($Q56,武学奇术!$A:$ZZ,27,FALSE)*(1+IF(OR($AL56=$F$4,$AL56=$F$5),$B$22,0))</f>
        <v>1377.6</v>
      </c>
      <c r="AO56" s="26">
        <f>VLOOKUP($Q56,武学奇术!$A:$ZZ,28,FALSE)</f>
        <v>4.90294</v>
      </c>
      <c r="AP56" s="27">
        <f>VLOOKUP($Q56,武学奇术!$A:$ZZ,29,FALSE)*(1+IF(OR($AL56=$F$4,$AL56=$F$5),$B$22,0))</f>
        <v>739.2</v>
      </c>
      <c r="AQ56" s="26" cm="1">
        <f t="array" ref="AQ56">$G$3+IFERROR(VLOOKUP($AL56,$F$4:$G$7,2,FALSE),0)+VLOOKUP($Q56,武学奇术!$A:$ZZ,2,FALSE)+SUM(_xlfn.XLOOKUP($R56:$AK56,增益!$A:$A,增益!$B:$B,0))</f>
        <v>0.5041</v>
      </c>
      <c r="AR56" s="26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3673.1</v>
      </c>
      <c r="AT56" cm="1">
        <f t="array" ref="AT56">$E$10*(1+$AR56)+VLOOKUP($Q56,武学奇术!$A:$ZZ,4,FALSE)+SUM(_xlfn.XLOOKUP($R56:$AK56,增益!$A:$A,增益!$D:$D,0))-$I$2</f>
        <v>3673.1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0.417</v>
      </c>
      <c r="AV56" s="32" cm="1">
        <f t="array" ref="AV56">$G$10+VLOOKUP($Q56,武学奇术!$A:$ZZ,7,FALSE)+SUM(_xlfn.XLOOKUP($R56:$AK56,增益!$A:$A,增益!$G:$G,0))</f>
        <v>0.205</v>
      </c>
      <c r="AW56" s="26" cm="1">
        <f t="array" ref="AW56">VLOOKUP($Q56,武学奇术!$A:$ZZ,8,FALSE)+SUM(_xlfn.XLOOKUP($R56:$AK56,增益!$A:$A,增益!$H:$H,0))</f>
        <v>0.12</v>
      </c>
      <c r="AX56">
        <f t="shared" si="12"/>
        <v>0</v>
      </c>
      <c r="AY56">
        <f t="shared" si="13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2" cm="1">
        <f t="array" ref="BA56">$G$11+VLOOKUP($Q56,武学奇术!$A:$ZZ,10,FALSE)+SUM(_xlfn.XLOOKUP($R56:$AK56,增益!$A:$A,增益!$J:$J,0))</f>
        <v>0.06</v>
      </c>
      <c r="BB56">
        <f t="shared" si="14"/>
        <v>0</v>
      </c>
      <c r="BC56">
        <f t="shared" si="15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2" cm="1">
        <f t="array" ref="BE56">$G$12+VLOOKUP($Q56,武学奇术!$A:$ZZ,12,FALSE)+SUM(_xlfn.XLOOKUP($R56:$AK56,增益!$A:$A,增益!$L:$L,0))</f>
        <v>0.06</v>
      </c>
      <c r="BF56">
        <f t="shared" si="16"/>
        <v>639.744</v>
      </c>
      <c r="BG56">
        <f t="shared" si="17"/>
        <v>1823.136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2" cm="1">
        <f t="array" ref="BI56">$G$13+VLOOKUP($Q56,武学奇术!$A:$ZZ,14,FALSE)+SUM(_xlfn.XLOOKUP($R56:$AK56,增益!$A:$A,增益!$N:$N,0))</f>
        <v>0.33</v>
      </c>
      <c r="BJ56">
        <f t="shared" si="18"/>
        <v>0</v>
      </c>
      <c r="BK56">
        <f t="shared" si="19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2" cm="1">
        <f t="array" ref="BM56">$G$14+VLOOKUP($Q56,武学奇术!$A:$ZZ,16,FALSE)+SUM(_xlfn.XLOOKUP($R56:$AK56,增益!$A:$A,增益!$P:$P,0))</f>
        <v>0.06</v>
      </c>
      <c r="BN56" s="26">
        <f>MIN(IF(VLOOKUP($Q56,武学奇术!$A:$ZZ,23,FALSE)=1,100%,$B$8),100%)</f>
        <v>0.9859</v>
      </c>
      <c r="BO56" s="26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6" cm="1">
        <f t="array" ref="BP56">1+$B$13+VLOOKUP($Q56,武学奇术!$A:$ZZ,18,FALSE)+SUM(_xlfn.XLOOKUP($R56:$AK56,增益!$A:$A,增益!$R:$R,0))</f>
        <v>1.94</v>
      </c>
      <c r="BQ56" s="26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6" cm="1">
        <f t="array" ref="BR56">1+$B$14+VLOOKUP($Q56,武学奇术!$A:$ZZ,20,FALSE)+SUM(_xlfn.XLOOKUP($R56:$AK56,增益!$A:$A,增益!$T:$T,0))</f>
        <v>1.35</v>
      </c>
      <c r="BS56" s="26">
        <f t="shared" si="20"/>
        <v>0.87863408</v>
      </c>
      <c r="BT56" s="26">
        <f t="shared" si="21"/>
        <v>0.01567581</v>
      </c>
      <c r="BU56" s="26">
        <f>IF(VLOOKUP($Q56,武学奇术!$A:$ZZ,22,FALSE)=1,0,(1-$BN56))*(1-$BQ56)</f>
        <v>0.01279011</v>
      </c>
      <c r="BV56" s="26" cm="1">
        <f t="array" ref="BV56">SUM(_xlfn.XLOOKUP($R56:$AK56,增益!$A:$A,增益!$W:$W,0))+$I$5</f>
        <v>0.11</v>
      </c>
    </row>
    <row r="57" spans="1:74">
      <c r="A57" t="s">
        <v>164</v>
      </c>
      <c r="B57">
        <v>2</v>
      </c>
      <c r="C57" s="39"/>
      <c r="E57" s="39"/>
      <c r="K57" s="38">
        <f t="shared" si="11"/>
        <v>22544.4813375611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22967.2608698325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21418.9757345891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14004.4273596539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12142.9467677604</v>
      </c>
      <c r="P57" s="39">
        <v>1</v>
      </c>
      <c r="Q57" s="40" t="s">
        <v>133</v>
      </c>
      <c r="R57" s="40" t="s">
        <v>100</v>
      </c>
      <c r="S57" s="40" t="s">
        <v>158</v>
      </c>
      <c r="T57" s="40" t="s">
        <v>97</v>
      </c>
      <c r="U57" s="40" t="s">
        <v>80</v>
      </c>
      <c r="V57" s="40" t="s">
        <v>73</v>
      </c>
      <c r="W57" s="40" t="s">
        <v>115</v>
      </c>
      <c r="X57" s="40" t="s">
        <v>87</v>
      </c>
      <c r="Y57" s="40" t="s">
        <v>80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81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82</v>
      </c>
      <c r="AL57" t="str">
        <f>VLOOKUP($Q57,武学奇术!$A:$ZZ,25,FALSE)</f>
        <v>鼓</v>
      </c>
      <c r="AM57" s="26">
        <f>VLOOKUP($Q57,武学奇术!$A:$ZZ,26,FALSE)</f>
        <v>0.8434</v>
      </c>
      <c r="AN57" s="27">
        <f>VLOOKUP($Q57,武学奇术!$A:$ZZ,27,FALSE)*(1+IF(OR($AL57=$F$4,$AL57=$F$5),$B$22,0))</f>
        <v>352.5</v>
      </c>
      <c r="AO57" s="26">
        <f>VLOOKUP($Q57,武学奇术!$A:$ZZ,28,FALSE)</f>
        <v>1.265</v>
      </c>
      <c r="AP57" s="27">
        <f>VLOOKUP($Q57,武学奇术!$A:$ZZ,29,FALSE)*(1+IF(OR($AL57=$F$4,$AL57=$F$5),$B$22,0))</f>
        <v>190.5</v>
      </c>
      <c r="AQ57" s="26" cm="1">
        <f t="array" ref="AQ57">$G$3+IFERROR(VLOOKUP($AL57,$F$4:$G$7,2,FALSE),0)+VLOOKUP($Q57,武学奇术!$A:$ZZ,2,FALSE)+SUM(_xlfn.XLOOKUP($R57:$AK57,增益!$A:$A,增益!$B:$B,0))</f>
        <v>0.5041</v>
      </c>
      <c r="AR57" s="26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3673.1</v>
      </c>
      <c r="AT57" cm="1">
        <f t="array" ref="AT57">$E$10*(1+$AR57)+VLOOKUP($Q57,武学奇术!$A:$ZZ,4,FALSE)+SUM(_xlfn.XLOOKUP($R57:$AK57,增益!$A:$A,增益!$D:$D,0))-$I$2</f>
        <v>3673.1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0.357</v>
      </c>
      <c r="AV57" s="32" cm="1">
        <f t="array" ref="AV57">$G$10+VLOOKUP($Q57,武学奇术!$A:$ZZ,7,FALSE)+SUM(_xlfn.XLOOKUP($R57:$AK57,增益!$A:$A,增益!$G:$G,0))</f>
        <v>0.205</v>
      </c>
      <c r="AW57" s="26" cm="1">
        <f t="array" ref="AW57">VLOOKUP($Q57,武学奇术!$A:$ZZ,8,FALSE)+SUM(_xlfn.XLOOKUP($R57:$AK57,增益!$A:$A,增益!$H:$H,0))</f>
        <v>0.12</v>
      </c>
      <c r="AX57">
        <f t="shared" si="12"/>
        <v>0</v>
      </c>
      <c r="AY57">
        <f t="shared" si="13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2" cm="1">
        <f t="array" ref="BA57">$G$11+VLOOKUP($Q57,武学奇术!$A:$ZZ,10,FALSE)+SUM(_xlfn.XLOOKUP($R57:$AK57,增益!$A:$A,增益!$J:$J,0))</f>
        <v>0.06</v>
      </c>
      <c r="BB57">
        <f t="shared" si="14"/>
        <v>0</v>
      </c>
      <c r="BC57">
        <f t="shared" si="15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2" cm="1">
        <f t="array" ref="BE57">$G$12+VLOOKUP($Q57,武学奇术!$A:$ZZ,12,FALSE)+SUM(_xlfn.XLOOKUP($R57:$AK57,增益!$A:$A,增益!$L:$L,0))</f>
        <v>0.06</v>
      </c>
      <c r="BF57">
        <f t="shared" si="16"/>
        <v>639.744</v>
      </c>
      <c r="BG57">
        <f t="shared" si="17"/>
        <v>1823.136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2" cm="1">
        <f t="array" ref="BI57">$G$13+VLOOKUP($Q57,武学奇术!$A:$ZZ,14,FALSE)+SUM(_xlfn.XLOOKUP($R57:$AK57,增益!$A:$A,增益!$N:$N,0))</f>
        <v>0.33</v>
      </c>
      <c r="BJ57">
        <f t="shared" si="18"/>
        <v>0</v>
      </c>
      <c r="BK57">
        <f t="shared" si="19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2" cm="1">
        <f t="array" ref="BM57">$G$14+VLOOKUP($Q57,武学奇术!$A:$ZZ,16,FALSE)+SUM(_xlfn.XLOOKUP($R57:$AK57,增益!$A:$A,增益!$P:$P,0))</f>
        <v>0.06</v>
      </c>
      <c r="BN57" s="26">
        <f>MIN(IF(VLOOKUP($Q57,武学奇术!$A:$ZZ,23,FALSE)=1,100%,$B$8),100%)</f>
        <v>0.9859</v>
      </c>
      <c r="BO57" s="26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6" cm="1">
        <f t="array" ref="BP57">1+$B$13+VLOOKUP($Q57,武学奇术!$A:$ZZ,18,FALSE)+SUM(_xlfn.XLOOKUP($R57:$AK57,增益!$A:$A,增益!$R:$R,0))</f>
        <v>1.64</v>
      </c>
      <c r="BQ57" s="26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6" cm="1">
        <f t="array" ref="BR57">1+$B$14+VLOOKUP($Q57,武学奇术!$A:$ZZ,20,FALSE)+SUM(_xlfn.XLOOKUP($R57:$AK57,增益!$A:$A,增益!$T:$T,0))</f>
        <v>1.35</v>
      </c>
      <c r="BS57" s="26">
        <f t="shared" si="20"/>
        <v>0.87863408</v>
      </c>
      <c r="BT57" s="26">
        <f t="shared" si="21"/>
        <v>0.01567581</v>
      </c>
      <c r="BU57" s="26">
        <f>IF(VLOOKUP($Q57,武学奇术!$A:$ZZ,22,FALSE)=1,0,(1-$BN57))*(1-$BQ57)</f>
        <v>0.01279011</v>
      </c>
      <c r="BV57" s="26" cm="1">
        <f t="array" ref="BV57">SUM(_xlfn.XLOOKUP($R57:$AK57,增益!$A:$A,增益!$W:$W,0))+$I$5</f>
        <v>0.11</v>
      </c>
    </row>
    <row r="58" spans="1:74">
      <c r="A58" t="s">
        <v>177</v>
      </c>
      <c r="B58">
        <v>19.56</v>
      </c>
      <c r="K58" s="38">
        <f t="shared" si="11"/>
        <v>33857.1929725861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35059.0334297527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27660.0875965037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18071.6667163674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15654.3796575468</v>
      </c>
      <c r="P58" s="39">
        <v>1</v>
      </c>
      <c r="Q58" s="40" t="s">
        <v>137</v>
      </c>
      <c r="R58" s="40" t="s">
        <v>100</v>
      </c>
      <c r="S58" s="40" t="s">
        <v>158</v>
      </c>
      <c r="T58" s="40" t="s">
        <v>97</v>
      </c>
      <c r="U58" s="40" t="s">
        <v>80</v>
      </c>
      <c r="V58" s="40" t="s">
        <v>73</v>
      </c>
      <c r="W58" s="40" t="s">
        <v>115</v>
      </c>
      <c r="X58" s="40" t="s">
        <v>87</v>
      </c>
      <c r="Y58" s="40" t="s">
        <v>80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81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82</v>
      </c>
      <c r="AL58" t="str">
        <f>VLOOKUP($Q58,武学奇术!$A:$ZZ,25,FALSE)</f>
        <v>鼓</v>
      </c>
      <c r="AM58" s="26">
        <f>VLOOKUP($Q58,武学奇术!$A:$ZZ,26,FALSE)</f>
        <v>1.03936</v>
      </c>
      <c r="AN58" s="27">
        <f>VLOOKUP($Q58,武学奇术!$A:$ZZ,27,FALSE)*(1+IF(OR($AL58=$F$4,$AL58=$F$5),$B$22,0))</f>
        <v>432.6</v>
      </c>
      <c r="AO58" s="26">
        <f>VLOOKUP($Q58,武学奇术!$A:$ZZ,28,FALSE)</f>
        <v>1.55918</v>
      </c>
      <c r="AP58" s="27">
        <f>VLOOKUP($Q58,武学奇术!$A:$ZZ,29,FALSE)*(1+IF(OR($AL58=$F$4,$AL58=$F$5),$B$22,0))</f>
        <v>235.2</v>
      </c>
      <c r="AQ58" s="26" cm="1">
        <f t="array" ref="AQ58">$G$3+IFERROR(VLOOKUP($AL58,$F$4:$G$7,2,FALSE),0)+VLOOKUP($Q58,武学奇术!$A:$ZZ,2,FALSE)+SUM(_xlfn.XLOOKUP($R58:$AK58,增益!$A:$A,增益!$B:$B,0))</f>
        <v>0.5041</v>
      </c>
      <c r="AR58" s="26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3673.1</v>
      </c>
      <c r="AT58" cm="1">
        <f t="array" ref="AT58">$E$10*(1+$AR58)+VLOOKUP($Q58,武学奇术!$A:$ZZ,4,FALSE)+SUM(_xlfn.XLOOKUP($R58:$AK58,增益!$A:$A,增益!$D:$D,0))-$I$2</f>
        <v>3673.1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0.417</v>
      </c>
      <c r="AV58" s="32" cm="1">
        <f t="array" ref="AV58">$G$10+VLOOKUP($Q58,武学奇术!$A:$ZZ,7,FALSE)+SUM(_xlfn.XLOOKUP($R58:$AK58,增益!$A:$A,增益!$G:$G,0))</f>
        <v>0.205</v>
      </c>
      <c r="AW58" s="26" cm="1">
        <f t="array" ref="AW58">VLOOKUP($Q58,武学奇术!$A:$ZZ,8,FALSE)+SUM(_xlfn.XLOOKUP($R58:$AK58,增益!$A:$A,增益!$H:$H,0))</f>
        <v>0.12</v>
      </c>
      <c r="AX58">
        <f t="shared" si="12"/>
        <v>0</v>
      </c>
      <c r="AY58">
        <f t="shared" si="13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2" cm="1">
        <f t="array" ref="BA58">$G$11+VLOOKUP($Q58,武学奇术!$A:$ZZ,10,FALSE)+SUM(_xlfn.XLOOKUP($R58:$AK58,增益!$A:$A,增益!$J:$J,0))</f>
        <v>0.06</v>
      </c>
      <c r="BB58">
        <f t="shared" si="14"/>
        <v>0</v>
      </c>
      <c r="BC58">
        <f t="shared" si="15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2" cm="1">
        <f t="array" ref="BE58">$G$12+VLOOKUP($Q58,武学奇术!$A:$ZZ,12,FALSE)+SUM(_xlfn.XLOOKUP($R58:$AK58,增益!$A:$A,增益!$L:$L,0))</f>
        <v>0.06</v>
      </c>
      <c r="BF58">
        <f t="shared" si="16"/>
        <v>639.744</v>
      </c>
      <c r="BG58">
        <f t="shared" si="17"/>
        <v>1823.136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2" cm="1">
        <f t="array" ref="BI58">$G$13+VLOOKUP($Q58,武学奇术!$A:$ZZ,14,FALSE)+SUM(_xlfn.XLOOKUP($R58:$AK58,增益!$A:$A,增益!$N:$N,0))</f>
        <v>0.33</v>
      </c>
      <c r="BJ58">
        <f t="shared" si="18"/>
        <v>0</v>
      </c>
      <c r="BK58">
        <f t="shared" si="19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2" cm="1">
        <f t="array" ref="BM58">$G$14+VLOOKUP($Q58,武学奇术!$A:$ZZ,16,FALSE)+SUM(_xlfn.XLOOKUP($R58:$AK58,增益!$A:$A,增益!$P:$P,0))</f>
        <v>0.06</v>
      </c>
      <c r="BN58" s="26">
        <f>MIN(IF(VLOOKUP($Q58,武学奇术!$A:$ZZ,23,FALSE)=1,100%,$B$8),100%)</f>
        <v>0.9859</v>
      </c>
      <c r="BO58" s="26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6" cm="1">
        <f t="array" ref="BP58">1+$B$13+VLOOKUP($Q58,武学奇术!$A:$ZZ,18,FALSE)+SUM(_xlfn.XLOOKUP($R58:$AK58,增益!$A:$A,增益!$R:$R,0))</f>
        <v>1.94</v>
      </c>
      <c r="BQ58" s="26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6" cm="1">
        <f t="array" ref="BR58">1+$B$14+VLOOKUP($Q58,武学奇术!$A:$ZZ,20,FALSE)+SUM(_xlfn.XLOOKUP($R58:$AK58,增益!$A:$A,增益!$T:$T,0))</f>
        <v>1.35</v>
      </c>
      <c r="BS58" s="26">
        <f t="shared" si="20"/>
        <v>0.87863408</v>
      </c>
      <c r="BT58" s="26">
        <f t="shared" si="21"/>
        <v>0.01567581</v>
      </c>
      <c r="BU58" s="26">
        <f>IF(VLOOKUP($Q58,武学奇术!$A:$ZZ,22,FALSE)=1,0,(1-$BN58))*(1-$BQ58)</f>
        <v>0.01279011</v>
      </c>
      <c r="BV58" s="26" cm="1">
        <f t="array" ref="BV58">SUM(_xlfn.XLOOKUP($R58:$AK58,增益!$A:$A,增益!$W:$W,0))+$I$5</f>
        <v>0.11</v>
      </c>
    </row>
    <row r="59" spans="1:74">
      <c r="A59" t="s">
        <v>108</v>
      </c>
      <c r="B59">
        <v>0.5</v>
      </c>
      <c r="K59" s="38">
        <f t="shared" si="11"/>
        <v>104142.084537125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107879.932430154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84637.1447114246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55608.2125928628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48522.2439180037</v>
      </c>
      <c r="P59" s="39">
        <v>1</v>
      </c>
      <c r="Q59" s="40" t="s">
        <v>140</v>
      </c>
      <c r="R59" s="40" t="s">
        <v>100</v>
      </c>
      <c r="S59" s="40" t="s">
        <v>158</v>
      </c>
      <c r="T59" s="40" t="s">
        <v>97</v>
      </c>
      <c r="U59" s="40" t="s">
        <v>80</v>
      </c>
      <c r="V59" s="40" t="s">
        <v>73</v>
      </c>
      <c r="W59" s="40" t="s">
        <v>115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81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82</v>
      </c>
      <c r="AL59" t="str">
        <f>VLOOKUP($Q59,武学奇术!$A:$ZZ,25,FALSE)</f>
        <v>鼓</v>
      </c>
      <c r="AM59" s="26">
        <f>VLOOKUP($Q59,武学奇术!$A:$ZZ,26,FALSE)</f>
        <v>3.26858</v>
      </c>
      <c r="AN59" s="27">
        <f>VLOOKUP($Q59,武学奇术!$A:$ZZ,27,FALSE)*(1+IF(OR($AL59=$F$4,$AL59=$F$5),$B$22,0))</f>
        <v>1377.6</v>
      </c>
      <c r="AO59" s="26">
        <f>VLOOKUP($Q59,武学奇术!$A:$ZZ,28,FALSE)</f>
        <v>4.90294</v>
      </c>
      <c r="AP59" s="27">
        <f>VLOOKUP($Q59,武学奇术!$A:$ZZ,29,FALSE)*(1+IF(OR($AL59=$F$4,$AL59=$F$5),$B$22,0))</f>
        <v>739.2</v>
      </c>
      <c r="AQ59" s="26" cm="1">
        <f t="array" ref="AQ59">$G$3+IFERROR(VLOOKUP($AL59,$F$4:$G$7,2,FALSE),0)+VLOOKUP($Q59,武学奇术!$A:$ZZ,2,FALSE)+SUM(_xlfn.XLOOKUP($R59:$AK59,增益!$A:$A,增益!$B:$B,0))</f>
        <v>0.5041</v>
      </c>
      <c r="AR59" s="26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3673.1</v>
      </c>
      <c r="AT59" cm="1">
        <f t="array" ref="AT59">$E$10*(1+$AR59)+VLOOKUP($Q59,武学奇术!$A:$ZZ,4,FALSE)+SUM(_xlfn.XLOOKUP($R59:$AK59,增益!$A:$A,增益!$D:$D,0))-$I$2</f>
        <v>3673.1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0.417</v>
      </c>
      <c r="AV59" s="32" cm="1">
        <f t="array" ref="AV59">$G$10+VLOOKUP($Q59,武学奇术!$A:$ZZ,7,FALSE)+SUM(_xlfn.XLOOKUP($R59:$AK59,增益!$A:$A,增益!$G:$G,0))</f>
        <v>0.205</v>
      </c>
      <c r="AW59" s="26" cm="1">
        <f t="array" ref="AW59">VLOOKUP($Q59,武学奇术!$A:$ZZ,8,FALSE)+SUM(_xlfn.XLOOKUP($R59:$AK59,增益!$A:$A,增益!$H:$H,0))</f>
        <v>0.12</v>
      </c>
      <c r="AX59">
        <f t="shared" si="12"/>
        <v>0</v>
      </c>
      <c r="AY59">
        <f t="shared" si="13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2" cm="1">
        <f t="array" ref="BA59">$G$11+VLOOKUP($Q59,武学奇术!$A:$ZZ,10,FALSE)+SUM(_xlfn.XLOOKUP($R59:$AK59,增益!$A:$A,增益!$J:$J,0))</f>
        <v>0.06</v>
      </c>
      <c r="BB59">
        <f t="shared" si="14"/>
        <v>0</v>
      </c>
      <c r="BC59">
        <f t="shared" si="15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2" cm="1">
        <f t="array" ref="BE59">$G$12+VLOOKUP($Q59,武学奇术!$A:$ZZ,12,FALSE)+SUM(_xlfn.XLOOKUP($R59:$AK59,增益!$A:$A,增益!$L:$L,0))</f>
        <v>0.06</v>
      </c>
      <c r="BF59">
        <f t="shared" si="16"/>
        <v>639.744</v>
      </c>
      <c r="BG59">
        <f t="shared" si="17"/>
        <v>1823.136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2" cm="1">
        <f t="array" ref="BI59">$G$13+VLOOKUP($Q59,武学奇术!$A:$ZZ,14,FALSE)+SUM(_xlfn.XLOOKUP($R59:$AK59,增益!$A:$A,增益!$N:$N,0))</f>
        <v>0.33</v>
      </c>
      <c r="BJ59">
        <f t="shared" si="18"/>
        <v>0</v>
      </c>
      <c r="BK59">
        <f t="shared" si="19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2" cm="1">
        <f t="array" ref="BM59">$G$14+VLOOKUP($Q59,武学奇术!$A:$ZZ,16,FALSE)+SUM(_xlfn.XLOOKUP($R59:$AK59,增益!$A:$A,增益!$P:$P,0))</f>
        <v>0.06</v>
      </c>
      <c r="BN59" s="26">
        <f>MIN(IF(VLOOKUP($Q59,武学奇术!$A:$ZZ,23,FALSE)=1,100%,$B$8),100%)</f>
        <v>0.9859</v>
      </c>
      <c r="BO59" s="26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6" cm="1">
        <f t="array" ref="BP59">1+$B$13+VLOOKUP($Q59,武学奇术!$A:$ZZ,18,FALSE)+SUM(_xlfn.XLOOKUP($R59:$AK59,增益!$A:$A,增益!$R:$R,0))</f>
        <v>1.94</v>
      </c>
      <c r="BQ59" s="26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6" cm="1">
        <f t="array" ref="BR59">1+$B$14+VLOOKUP($Q59,武学奇术!$A:$ZZ,20,FALSE)+SUM(_xlfn.XLOOKUP($R59:$AK59,增益!$A:$A,增益!$T:$T,0))</f>
        <v>1.35</v>
      </c>
      <c r="BS59" s="26">
        <f t="shared" si="20"/>
        <v>0.87863408</v>
      </c>
      <c r="BT59" s="26">
        <f t="shared" si="21"/>
        <v>0.01567581</v>
      </c>
      <c r="BU59" s="26">
        <f>IF(VLOOKUP($Q59,武学奇术!$A:$ZZ,22,FALSE)=1,0,(1-$BN59))*(1-$BQ59)</f>
        <v>0.01279011</v>
      </c>
      <c r="BV59" s="26" cm="1">
        <f t="array" ref="BV59">SUM(_xlfn.XLOOKUP($R59:$AK59,增益!$A:$A,增益!$W:$W,0))+$I$5</f>
        <v>0.11</v>
      </c>
    </row>
    <row r="60" spans="1:74">
      <c r="A60" t="s">
        <v>161</v>
      </c>
      <c r="B60">
        <v>2.1</v>
      </c>
      <c r="E60" s="39" t="s">
        <v>160</v>
      </c>
      <c r="K60" s="38">
        <f t="shared" si="11"/>
        <v>0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9">
        <v>1</v>
      </c>
      <c r="Q60" s="40" t="s">
        <v>80</v>
      </c>
      <c r="R60" s="40" t="s">
        <v>80</v>
      </c>
      <c r="S60" s="40" t="s">
        <v>80</v>
      </c>
      <c r="T60" s="40" t="s">
        <v>80</v>
      </c>
      <c r="U60" s="40" t="s">
        <v>80</v>
      </c>
      <c r="V60" s="40" t="s">
        <v>80</v>
      </c>
      <c r="W60" s="40" t="s">
        <v>80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81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82</v>
      </c>
      <c r="AL60" t="str">
        <f>VLOOKUP($Q60,武学奇术!$A:$ZZ,25,FALSE)</f>
        <v>心法</v>
      </c>
      <c r="AM60" s="26">
        <f>VLOOKUP($Q60,武学奇术!$A:$ZZ,26,FALSE)</f>
        <v>0</v>
      </c>
      <c r="AN60" s="27">
        <f>VLOOKUP($Q60,武学奇术!$A:$ZZ,27,FALSE)*(1+IF(OR($AL60=$F$4,$AL60=$F$5),$B$22,0))</f>
        <v>0</v>
      </c>
      <c r="AO60" s="26">
        <f>VLOOKUP($Q60,武学奇术!$A:$ZZ,28,FALSE)</f>
        <v>0</v>
      </c>
      <c r="AP60" s="27">
        <f>VLOOKUP($Q60,武学奇术!$A:$ZZ,29,FALSE)*(1+IF(OR($AL60=$F$4,$AL60=$F$5),$B$22,0))</f>
        <v>0</v>
      </c>
      <c r="AQ60" s="26" cm="1">
        <f t="array" ref="AQ60">$G$3+IFERROR(VLOOKUP($AL60,$F$4:$G$7,2,FALSE),0)+VLOOKUP($Q60,武学奇术!$A:$ZZ,2,FALSE)+SUM(_xlfn.XLOOKUP($R60:$AK60,增益!$A:$A,增益!$B:$B,0))</f>
        <v>0.1837</v>
      </c>
      <c r="AR60" s="26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3673.1</v>
      </c>
      <c r="AT60" cm="1">
        <f t="array" ref="AT60">$E$10*(1+$AR60)+VLOOKUP($Q60,武学奇术!$A:$ZZ,4,FALSE)+SUM(_xlfn.XLOOKUP($R60:$AK60,增益!$A:$A,增益!$D:$D,0))-$I$2</f>
        <v>3673.1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0.267</v>
      </c>
      <c r="AV60" s="32" cm="1">
        <f t="array" ref="AV60">$G$10+VLOOKUP($Q60,武学奇术!$A:$ZZ,7,FALSE)+SUM(_xlfn.XLOOKUP($R60:$AK60,增益!$A:$A,增益!$G:$G,0))</f>
        <v>0.025</v>
      </c>
      <c r="AW60" s="26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14"/>
        <v>0</v>
      </c>
      <c r="BC60">
        <f t="shared" si="15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16"/>
        <v>571.2</v>
      </c>
      <c r="BG60">
        <f t="shared" si="17"/>
        <v>1627.8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18"/>
        <v>0</v>
      </c>
      <c r="BK60">
        <f t="shared" si="19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6">
        <f>MIN(IF(VLOOKUP($Q60,武学奇术!$A:$ZZ,23,FALSE)=1,100%,$B$8),100%)</f>
        <v>0.9859</v>
      </c>
      <c r="BO60" s="26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6" cm="1">
        <f t="array" ref="BP60">1+$B$13+VLOOKUP($Q60,武学奇术!$A:$ZZ,18,FALSE)+SUM(_xlfn.XLOOKUP($R60:$AK60,增益!$A:$A,增益!$R:$R,0))</f>
        <v>1.54</v>
      </c>
      <c r="BQ60" s="26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6" cm="1">
        <f t="array" ref="BR60">1+$B$14+VLOOKUP($Q60,武学奇术!$A:$ZZ,20,FALSE)+SUM(_xlfn.XLOOKUP($R60:$AK60,增益!$A:$A,增益!$T:$T,0))</f>
        <v>1.35</v>
      </c>
      <c r="BS60" s="26">
        <f t="shared" si="20"/>
        <v>0.87863408</v>
      </c>
      <c r="BT60" s="26">
        <f t="shared" si="21"/>
        <v>0.01567581</v>
      </c>
      <c r="BU60" s="26">
        <f>IF(VLOOKUP($Q60,武学奇术!$A:$ZZ,22,FALSE)=1,0,(1-$BN60))*(1-$BQ60)</f>
        <v>0.01279011</v>
      </c>
      <c r="BV60" s="26" cm="1">
        <f t="array" ref="BV60">SUM(_xlfn.XLOOKUP($R60:$AK60,增益!$A:$A,增益!$W:$W,0))+$I$5</f>
        <v>0.11</v>
      </c>
    </row>
    <row r="61" spans="1:74">
      <c r="A61" t="s">
        <v>163</v>
      </c>
      <c r="B61">
        <v>6.1</v>
      </c>
      <c r="E61" s="39"/>
      <c r="K61" s="38">
        <f t="shared" ref="K61:K73" si="22">($L61*$BS61+$M61*$BQ61+$N61*$BT61+$O61*$BU61)</f>
        <v>19178.8133730411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19543.191141601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18170.254477646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11916.5799643909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10373.7121675625</v>
      </c>
      <c r="P61" s="39">
        <v>1</v>
      </c>
      <c r="Q61" s="40" t="s">
        <v>104</v>
      </c>
      <c r="R61" s="40" t="s">
        <v>76</v>
      </c>
      <c r="S61" s="40" t="s">
        <v>158</v>
      </c>
      <c r="T61" s="40" t="s">
        <v>97</v>
      </c>
      <c r="U61" s="40" t="s">
        <v>80</v>
      </c>
      <c r="V61" s="40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81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82</v>
      </c>
      <c r="AL61" t="str">
        <f>VLOOKUP($Q61,武学奇术!$A:$ZZ,25,FALSE)</f>
        <v>扇</v>
      </c>
      <c r="AM61" s="26">
        <f>VLOOKUP($Q61,武学奇术!$A:$ZZ,26,FALSE)</f>
        <v>0.9271</v>
      </c>
      <c r="AN61" s="27">
        <f>VLOOKUP($Q61,武学奇术!$A:$ZZ,27,FALSE)*(1+IF(OR($AL61=$F$4,$AL61=$F$5),$B$22,0))</f>
        <v>385.5</v>
      </c>
      <c r="AO61" s="26">
        <f>VLOOKUP($Q61,武学奇术!$A:$ZZ,28,FALSE)</f>
        <v>1.3907</v>
      </c>
      <c r="AP61" s="27">
        <f>VLOOKUP($Q61,武学奇术!$A:$ZZ,29,FALSE)*(1+IF(OR($AL61=$F$4,$AL61=$F$5),$B$22,0))</f>
        <v>210</v>
      </c>
      <c r="AQ61" s="26" cm="1">
        <f t="array" ref="AQ61">$G$3+IFERROR(VLOOKUP($AL61,$F$4:$G$7,2,FALSE),0)+VLOOKUP($Q61,武学奇术!$A:$ZZ,2,FALSE)+SUM(_xlfn.XLOOKUP($R61:$AK61,增益!$A:$A,增益!$B:$B,0))</f>
        <v>0.2789</v>
      </c>
      <c r="AR61" s="26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3673.1</v>
      </c>
      <c r="AT61" cm="1">
        <f t="array" ref="AT61">$E$10*(1+$AR61)+VLOOKUP($Q61,武学奇术!$A:$ZZ,4,FALSE)+SUM(_xlfn.XLOOKUP($R61:$AK61,增益!$A:$A,增益!$D:$D,0))-$I$2</f>
        <v>3673.1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0.317</v>
      </c>
      <c r="AV61" s="32" cm="1">
        <f t="array" ref="AV61">$G$10+VLOOKUP($Q61,武学奇术!$A:$ZZ,7,FALSE)+SUM(_xlfn.XLOOKUP($R61:$AK61,增益!$A:$A,增益!$G:$G,0))</f>
        <v>0.145</v>
      </c>
      <c r="AW61" s="26" cm="1">
        <f t="array" ref="AW61">VLOOKUP($Q61,武学奇术!$A:$ZZ,8,FALSE)+SUM(_xlfn.XLOOKUP($R61:$AK61,增益!$A:$A,增益!$H:$H,0))</f>
        <v>0.12</v>
      </c>
      <c r="AX61">
        <f t="shared" si="12"/>
        <v>0</v>
      </c>
      <c r="AY61">
        <f t="shared" si="13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2" cm="1">
        <f t="array" ref="BA61">$G$11+VLOOKUP($Q61,武学奇术!$A:$ZZ,10,FALSE)+SUM(_xlfn.XLOOKUP($R61:$AK61,增益!$A:$A,增益!$J:$J,0))</f>
        <v>0</v>
      </c>
      <c r="BB61">
        <f t="shared" si="14"/>
        <v>0</v>
      </c>
      <c r="BC61">
        <f t="shared" si="15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2" cm="1">
        <f t="array" ref="BE61">$G$12+VLOOKUP($Q61,武学奇术!$A:$ZZ,12,FALSE)+SUM(_xlfn.XLOOKUP($R61:$AK61,增益!$A:$A,增益!$L:$L,0))</f>
        <v>0</v>
      </c>
      <c r="BF61">
        <f t="shared" si="16"/>
        <v>639.744</v>
      </c>
      <c r="BG61">
        <f t="shared" si="17"/>
        <v>1823.136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2" cm="1">
        <f t="array" ref="BI61">$G$13+VLOOKUP($Q61,武学奇术!$A:$ZZ,14,FALSE)+SUM(_xlfn.XLOOKUP($R61:$AK61,增益!$A:$A,增益!$N:$N,0))</f>
        <v>0.27</v>
      </c>
      <c r="BJ61">
        <f t="shared" si="18"/>
        <v>0</v>
      </c>
      <c r="BK61">
        <f t="shared" si="19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2" cm="1">
        <f t="array" ref="BM61">$G$14+VLOOKUP($Q61,武学奇术!$A:$ZZ,16,FALSE)+SUM(_xlfn.XLOOKUP($R61:$AK61,增益!$A:$A,增益!$P:$P,0))</f>
        <v>0</v>
      </c>
      <c r="BN61" s="26">
        <f>MIN(IF(VLOOKUP($Q61,武学奇术!$A:$ZZ,23,FALSE)=1,100%,$B$8),100%)</f>
        <v>0.9859</v>
      </c>
      <c r="BO61" s="26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6" cm="1">
        <f t="array" ref="BP61">1+$B$13+VLOOKUP($Q61,武学奇术!$A:$ZZ,18,FALSE)+SUM(_xlfn.XLOOKUP($R61:$AK61,增益!$A:$A,增益!$R:$R,0))</f>
        <v>1.64</v>
      </c>
      <c r="BQ61" s="26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6" cm="1">
        <f t="array" ref="BR61">1+$B$14+VLOOKUP($Q61,武学奇术!$A:$ZZ,20,FALSE)+SUM(_xlfn.XLOOKUP($R61:$AK61,增益!$A:$A,增益!$T:$T,0))</f>
        <v>1.35</v>
      </c>
      <c r="BS61" s="26">
        <f t="shared" si="20"/>
        <v>0.87863408</v>
      </c>
      <c r="BT61" s="26">
        <f t="shared" si="21"/>
        <v>0.01567581</v>
      </c>
      <c r="BU61" s="26">
        <f>IF(VLOOKUP($Q61,武学奇术!$A:$ZZ,22,FALSE)=1,0,(1-$BN61))*(1-$BQ61)</f>
        <v>0.01279011</v>
      </c>
      <c r="BV61" s="26" cm="1">
        <f t="array" ref="BV61">SUM(_xlfn.XLOOKUP($R61:$AK61,增益!$A:$A,增益!$W:$W,0))+$I$5</f>
        <v>0.11</v>
      </c>
    </row>
    <row r="62" spans="1:74">
      <c r="A62" t="s">
        <v>164</v>
      </c>
      <c r="B62">
        <v>2</v>
      </c>
      <c r="E62" s="39"/>
      <c r="K62" s="38">
        <f t="shared" si="22"/>
        <v>90092.2204975653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91763.9409880874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85787.2083560886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55953.6225537119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48361.1648436544</v>
      </c>
      <c r="P62" s="39">
        <v>1</v>
      </c>
      <c r="Q62" s="40" t="s">
        <v>108</v>
      </c>
      <c r="R62" s="40" t="s">
        <v>76</v>
      </c>
      <c r="S62" s="40" t="s">
        <v>158</v>
      </c>
      <c r="T62" s="40" t="s">
        <v>97</v>
      </c>
      <c r="U62" s="40" t="s">
        <v>80</v>
      </c>
      <c r="V62" s="40" t="s">
        <v>73</v>
      </c>
      <c r="W62" s="40" t="s">
        <v>80</v>
      </c>
      <c r="X62" s="40" t="s">
        <v>87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81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82</v>
      </c>
      <c r="AL62" t="str">
        <f>VLOOKUP($Q62,武学奇术!$A:$ZZ,25,FALSE)</f>
        <v>扇</v>
      </c>
      <c r="AM62" s="26">
        <f>VLOOKUP($Q62,武学奇术!$A:$ZZ,26,FALSE)</f>
        <v>4.045375</v>
      </c>
      <c r="AN62" s="27">
        <f>VLOOKUP($Q62,武学奇术!$A:$ZZ,27,FALSE)*(1+IF(OR($AL62=$F$4,$AL62=$F$5),$B$22,0))</f>
        <v>1678.125</v>
      </c>
      <c r="AO62" s="26">
        <f>VLOOKUP($Q62,武学奇术!$A:$ZZ,28,FALSE)</f>
        <v>6.068125</v>
      </c>
      <c r="AP62" s="27">
        <f>VLOOKUP($Q62,武学奇术!$A:$ZZ,29,FALSE)*(1+IF(OR($AL62=$F$4,$AL62=$F$5),$B$22,0))</f>
        <v>913.125</v>
      </c>
      <c r="AQ62" s="26" cm="1">
        <f t="array" ref="AQ62">$G$3+IFERROR(VLOOKUP($AL62,$F$4:$G$7,2,FALSE),0)+VLOOKUP($Q62,武学奇术!$A:$ZZ,2,FALSE)+SUM(_xlfn.XLOOKUP($R62:$AK62,增益!$A:$A,增益!$B:$B,0))</f>
        <v>0.2789</v>
      </c>
      <c r="AR62" s="26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3673.1</v>
      </c>
      <c r="AT62" cm="1">
        <f t="array" ref="AT62">$E$10*(1+$AR62)+VLOOKUP($Q62,武学奇术!$A:$ZZ,4,FALSE)+SUM(_xlfn.XLOOKUP($R62:$AK62,增益!$A:$A,增益!$D:$D,0))-$I$2</f>
        <v>3673.1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0.317</v>
      </c>
      <c r="AV62" s="32" cm="1">
        <f t="array" ref="AV62">$G$10+VLOOKUP($Q62,武学奇术!$A:$ZZ,7,FALSE)+SUM(_xlfn.XLOOKUP($R62:$AK62,增益!$A:$A,增益!$G:$G,0))</f>
        <v>0.205</v>
      </c>
      <c r="AW62" s="26" cm="1">
        <f t="array" ref="AW62">VLOOKUP($Q62,武学奇术!$A:$ZZ,8,FALSE)+SUM(_xlfn.XLOOKUP($R62:$AK62,增益!$A:$A,增益!$H:$H,0))</f>
        <v>0.12</v>
      </c>
      <c r="AX62">
        <f t="shared" si="12"/>
        <v>0</v>
      </c>
      <c r="AY62">
        <f t="shared" si="13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2" cm="1">
        <f t="array" ref="BA62">$G$11+VLOOKUP($Q62,武学奇术!$A:$ZZ,10,FALSE)+SUM(_xlfn.XLOOKUP($R62:$AK62,增益!$A:$A,增益!$J:$J,0))</f>
        <v>0.06</v>
      </c>
      <c r="BB62">
        <f t="shared" si="14"/>
        <v>0</v>
      </c>
      <c r="BC62">
        <f t="shared" si="15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2" cm="1">
        <f t="array" ref="BE62">$G$12+VLOOKUP($Q62,武学奇术!$A:$ZZ,12,FALSE)+SUM(_xlfn.XLOOKUP($R62:$AK62,增益!$A:$A,增益!$L:$L,0))</f>
        <v>0.06</v>
      </c>
      <c r="BF62">
        <f t="shared" si="16"/>
        <v>639.744</v>
      </c>
      <c r="BG62">
        <f t="shared" si="17"/>
        <v>1823.136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2" cm="1">
        <f t="array" ref="BI62">$G$13+VLOOKUP($Q62,武学奇术!$A:$ZZ,14,FALSE)+SUM(_xlfn.XLOOKUP($R62:$AK62,增益!$A:$A,增益!$N:$N,0))</f>
        <v>0.33</v>
      </c>
      <c r="BJ62">
        <f t="shared" si="18"/>
        <v>0</v>
      </c>
      <c r="BK62">
        <f t="shared" si="19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2" cm="1">
        <f t="array" ref="BM62">$G$14+VLOOKUP($Q62,武学奇术!$A:$ZZ,16,FALSE)+SUM(_xlfn.XLOOKUP($R62:$AK62,增益!$A:$A,增益!$P:$P,0))</f>
        <v>0.06</v>
      </c>
      <c r="BN62" s="26">
        <f>MIN(IF(VLOOKUP($Q62,武学奇术!$A:$ZZ,23,FALSE)=1,100%,$B$8),100%)</f>
        <v>0.9859</v>
      </c>
      <c r="BO62" s="26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6" cm="1">
        <f t="array" ref="BP62">1+$B$13+VLOOKUP($Q62,武学奇术!$A:$ZZ,18,FALSE)+SUM(_xlfn.XLOOKUP($R62:$AK62,增益!$A:$A,增益!$R:$R,0))</f>
        <v>1.64</v>
      </c>
      <c r="BQ62" s="26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6" cm="1">
        <f t="array" ref="BR62">1+$B$14+VLOOKUP($Q62,武学奇术!$A:$ZZ,20,FALSE)+SUM(_xlfn.XLOOKUP($R62:$AK62,增益!$A:$A,增益!$T:$T,0))</f>
        <v>1.35</v>
      </c>
      <c r="BS62" s="26">
        <f t="shared" si="20"/>
        <v>0.87863408</v>
      </c>
      <c r="BT62" s="26">
        <f t="shared" si="21"/>
        <v>0.01567581</v>
      </c>
      <c r="BU62" s="26">
        <f>IF(VLOOKUP($Q62,武学奇术!$A:$ZZ,22,FALSE)=1,0,(1-$BN62))*(1-$BQ62)</f>
        <v>0.01279011</v>
      </c>
      <c r="BV62" s="26" cm="1">
        <f t="array" ref="BV62">SUM(_xlfn.XLOOKUP($R62:$AK62,增益!$A:$A,增益!$W:$W,0))+$I$5</f>
        <v>0.11</v>
      </c>
    </row>
    <row r="63" spans="1:74">
      <c r="A63" t="s">
        <v>165</v>
      </c>
      <c r="B63">
        <v>1.6</v>
      </c>
      <c r="E63" s="39"/>
      <c r="K63" s="38">
        <f t="shared" si="22"/>
        <v>25541.2086039705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26016.362750038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24307.5156412024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15863.6358231939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13721.7045047565</v>
      </c>
      <c r="P63" s="39">
        <v>1</v>
      </c>
      <c r="Q63" s="40" t="s">
        <v>110</v>
      </c>
      <c r="R63" s="40" t="s">
        <v>85</v>
      </c>
      <c r="S63" s="40" t="s">
        <v>158</v>
      </c>
      <c r="T63" s="40" t="s">
        <v>97</v>
      </c>
      <c r="U63" s="40" t="s">
        <v>80</v>
      </c>
      <c r="V63" s="40" t="s">
        <v>73</v>
      </c>
      <c r="W63" s="40" t="s">
        <v>115</v>
      </c>
      <c r="X63" s="40" t="s">
        <v>87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81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82</v>
      </c>
      <c r="AL63" t="str">
        <f>VLOOKUP($Q63,武学奇术!$A:$ZZ,25,FALSE)</f>
        <v>扇</v>
      </c>
      <c r="AM63" s="26">
        <f>VLOOKUP($Q63,武学奇术!$A:$ZZ,26,FALSE)</f>
        <v>0.9186</v>
      </c>
      <c r="AN63" s="27">
        <f>VLOOKUP($Q63,武学奇术!$A:$ZZ,27,FALSE)*(1+IF(OR($AL63=$F$4,$AL63=$F$5),$B$22,0))</f>
        <v>381</v>
      </c>
      <c r="AO63" s="26">
        <f>VLOOKUP($Q63,武学奇术!$A:$ZZ,28,FALSE)</f>
        <v>1.3779</v>
      </c>
      <c r="AP63" s="27">
        <f>VLOOKUP($Q63,武学奇术!$A:$ZZ,29,FALSE)*(1+IF(OR($AL63=$F$4,$AL63=$F$5),$B$22,0))</f>
        <v>207</v>
      </c>
      <c r="AQ63" s="26" cm="1">
        <f t="array" ref="AQ63">$G$3+IFERROR(VLOOKUP($AL63,$F$4:$G$7,2,FALSE),0)+VLOOKUP($Q63,武学奇术!$A:$ZZ,2,FALSE)+SUM(_xlfn.XLOOKUP($R63:$AK63,增益!$A:$A,增益!$B:$B,0))</f>
        <v>0.5889</v>
      </c>
      <c r="AR63" s="26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3673.1</v>
      </c>
      <c r="AT63" cm="1">
        <f t="array" ref="AT63">$E$10*(1+$AR63)+VLOOKUP($Q63,武学奇术!$A:$ZZ,4,FALSE)+SUM(_xlfn.XLOOKUP($R63:$AK63,增益!$A:$A,增益!$D:$D,0))-$I$2</f>
        <v>3673.1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0.327</v>
      </c>
      <c r="AV63" s="32" cm="1">
        <f t="array" ref="AV63">$G$10+VLOOKUP($Q63,武学奇术!$A:$ZZ,7,FALSE)+SUM(_xlfn.XLOOKUP($R63:$AK63,增益!$A:$A,增益!$G:$G,0))</f>
        <v>0.205</v>
      </c>
      <c r="AW63" s="26" cm="1">
        <f t="array" ref="AW63">VLOOKUP($Q63,武学奇术!$A:$ZZ,8,FALSE)+SUM(_xlfn.XLOOKUP($R63:$AK63,增益!$A:$A,增益!$H:$H,0))</f>
        <v>0.12</v>
      </c>
      <c r="AX63">
        <f t="shared" si="12"/>
        <v>0</v>
      </c>
      <c r="AY63">
        <f t="shared" si="13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2" cm="1">
        <f t="array" ref="BA63">$G$11+VLOOKUP($Q63,武学奇术!$A:$ZZ,10,FALSE)+SUM(_xlfn.XLOOKUP($R63:$AK63,增益!$A:$A,增益!$J:$J,0))</f>
        <v>0.06</v>
      </c>
      <c r="BB63">
        <f t="shared" si="14"/>
        <v>0</v>
      </c>
      <c r="BC63">
        <f t="shared" si="15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2" cm="1">
        <f t="array" ref="BE63">$G$12+VLOOKUP($Q63,武学奇术!$A:$ZZ,12,FALSE)+SUM(_xlfn.XLOOKUP($R63:$AK63,增益!$A:$A,增益!$L:$L,0))</f>
        <v>0.06</v>
      </c>
      <c r="BF63">
        <f t="shared" si="16"/>
        <v>639.744</v>
      </c>
      <c r="BG63">
        <f t="shared" si="17"/>
        <v>1823.136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2" cm="1">
        <f t="array" ref="BI63">$G$13+VLOOKUP($Q63,武学奇术!$A:$ZZ,14,FALSE)+SUM(_xlfn.XLOOKUP($R63:$AK63,增益!$A:$A,增益!$N:$N,0))</f>
        <v>0.33</v>
      </c>
      <c r="BJ63">
        <f t="shared" si="18"/>
        <v>0</v>
      </c>
      <c r="BK63">
        <f t="shared" si="19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2" cm="1">
        <f t="array" ref="BM63">$G$14+VLOOKUP($Q63,武学奇术!$A:$ZZ,16,FALSE)+SUM(_xlfn.XLOOKUP($R63:$AK63,增益!$A:$A,增益!$P:$P,0))</f>
        <v>0.06</v>
      </c>
      <c r="BN63" s="26">
        <f>MIN(IF(VLOOKUP($Q63,武学奇术!$A:$ZZ,23,FALSE)=1,100%,$B$8),100%)</f>
        <v>0.9859</v>
      </c>
      <c r="BO63" s="26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6" cm="1">
        <f t="array" ref="BP63">1+$B$13+VLOOKUP($Q63,武学奇术!$A:$ZZ,18,FALSE)+SUM(_xlfn.XLOOKUP($R63:$AK63,增益!$A:$A,增益!$R:$R,0))</f>
        <v>1.64</v>
      </c>
      <c r="BQ63" s="26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6" cm="1">
        <f t="array" ref="BR63">1+$B$14+VLOOKUP($Q63,武学奇术!$A:$ZZ,20,FALSE)+SUM(_xlfn.XLOOKUP($R63:$AK63,增益!$A:$A,增益!$T:$T,0))</f>
        <v>1.35</v>
      </c>
      <c r="BS63" s="26">
        <f t="shared" si="20"/>
        <v>0.87863408</v>
      </c>
      <c r="BT63" s="26">
        <f t="shared" si="21"/>
        <v>0.01567581</v>
      </c>
      <c r="BU63" s="26">
        <f>IF(VLOOKUP($Q63,武学奇术!$A:$ZZ,22,FALSE)=1,0,(1-$BN63))*(1-$BQ63)</f>
        <v>0.01279011</v>
      </c>
      <c r="BV63" s="26" cm="1">
        <f t="array" ref="BV63">SUM(_xlfn.XLOOKUP($R63:$AK63,增益!$A:$A,增益!$W:$W,0))+$I$5</f>
        <v>0.11</v>
      </c>
    </row>
    <row r="64" spans="1:74">
      <c r="A64" t="s">
        <v>167</v>
      </c>
      <c r="B64">
        <v>1.3</v>
      </c>
      <c r="E64" s="39"/>
      <c r="K64" s="38">
        <f t="shared" si="22"/>
        <v>59603.2685404581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60712.1450154006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56723.7543450318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37019.6006191467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32021.6054271588</v>
      </c>
      <c r="P64" s="39">
        <v>1</v>
      </c>
      <c r="Q64" s="40" t="s">
        <v>114</v>
      </c>
      <c r="R64" s="40" t="s">
        <v>85</v>
      </c>
      <c r="S64" s="40" t="s">
        <v>158</v>
      </c>
      <c r="T64" s="40" t="s">
        <v>97</v>
      </c>
      <c r="U64" s="40" t="s">
        <v>80</v>
      </c>
      <c r="V64" s="40" t="s">
        <v>73</v>
      </c>
      <c r="W64" s="40" t="s">
        <v>115</v>
      </c>
      <c r="X64" s="40" t="s">
        <v>87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81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82</v>
      </c>
      <c r="AL64" t="str">
        <f>VLOOKUP($Q64,武学奇术!$A:$ZZ,25,FALSE)</f>
        <v>扇</v>
      </c>
      <c r="AM64" s="26">
        <f>VLOOKUP($Q64,武学奇术!$A:$ZZ,26,FALSE)</f>
        <v>2.1435</v>
      </c>
      <c r="AN64" s="27">
        <f>VLOOKUP($Q64,武学奇术!$A:$ZZ,27,FALSE)*(1+IF(OR($AL64=$F$4,$AL64=$F$5),$B$22,0))</f>
        <v>888</v>
      </c>
      <c r="AO64" s="26">
        <f>VLOOKUP($Q64,武学奇术!$A:$ZZ,28,FALSE)</f>
        <v>3.2152</v>
      </c>
      <c r="AP64" s="27">
        <f>VLOOKUP($Q64,武学奇术!$A:$ZZ,29,FALSE)*(1+IF(OR($AL64=$F$4,$AL64=$F$5),$B$22,0))</f>
        <v>484.5</v>
      </c>
      <c r="AQ64" s="26" cm="1">
        <f t="array" ref="AQ64">$G$3+IFERROR(VLOOKUP($AL64,$F$4:$G$7,2,FALSE),0)+VLOOKUP($Q64,武学奇术!$A:$ZZ,2,FALSE)+SUM(_xlfn.XLOOKUP($R64:$AK64,增益!$A:$A,增益!$B:$B,0))</f>
        <v>0.5889</v>
      </c>
      <c r="AR64" s="26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3673.1</v>
      </c>
      <c r="AT64" cm="1">
        <f t="array" ref="AT64">$E$10*(1+$AR64)+VLOOKUP($Q64,武学奇术!$A:$ZZ,4,FALSE)+SUM(_xlfn.XLOOKUP($R64:$AK64,增益!$A:$A,增益!$D:$D,0))-$I$2</f>
        <v>3673.1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0.327</v>
      </c>
      <c r="AV64" s="32" cm="1">
        <f t="array" ref="AV64">$G$10+VLOOKUP($Q64,武学奇术!$A:$ZZ,7,FALSE)+SUM(_xlfn.XLOOKUP($R64:$AK64,增益!$A:$A,增益!$G:$G,0))</f>
        <v>0.205</v>
      </c>
      <c r="AW64" s="26" cm="1">
        <f t="array" ref="AW64">VLOOKUP($Q64,武学奇术!$A:$ZZ,8,FALSE)+SUM(_xlfn.XLOOKUP($R64:$AK64,增益!$A:$A,增益!$H:$H,0))</f>
        <v>0.12</v>
      </c>
      <c r="AX64">
        <f t="shared" si="12"/>
        <v>0</v>
      </c>
      <c r="AY64">
        <f t="shared" si="13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2" cm="1">
        <f t="array" ref="BA64">$G$11+VLOOKUP($Q64,武学奇术!$A:$ZZ,10,FALSE)+SUM(_xlfn.XLOOKUP($R64:$AK64,增益!$A:$A,增益!$J:$J,0))</f>
        <v>0.06</v>
      </c>
      <c r="BB64">
        <f t="shared" si="14"/>
        <v>0</v>
      </c>
      <c r="BC64">
        <f t="shared" si="15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2" cm="1">
        <f t="array" ref="BE64">$G$12+VLOOKUP($Q64,武学奇术!$A:$ZZ,12,FALSE)+SUM(_xlfn.XLOOKUP($R64:$AK64,增益!$A:$A,增益!$L:$L,0))</f>
        <v>0.06</v>
      </c>
      <c r="BF64">
        <f t="shared" si="16"/>
        <v>639.744</v>
      </c>
      <c r="BG64">
        <f t="shared" si="17"/>
        <v>1823.136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2" cm="1">
        <f t="array" ref="BI64">$G$13+VLOOKUP($Q64,武学奇术!$A:$ZZ,14,FALSE)+SUM(_xlfn.XLOOKUP($R64:$AK64,增益!$A:$A,增益!$N:$N,0))</f>
        <v>0.33</v>
      </c>
      <c r="BJ64">
        <f t="shared" si="18"/>
        <v>0</v>
      </c>
      <c r="BK64">
        <f t="shared" si="19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2" cm="1">
        <f t="array" ref="BM64">$G$14+VLOOKUP($Q64,武学奇术!$A:$ZZ,16,FALSE)+SUM(_xlfn.XLOOKUP($R64:$AK64,增益!$A:$A,增益!$P:$P,0))</f>
        <v>0.06</v>
      </c>
      <c r="BN64" s="26">
        <f>MIN(IF(VLOOKUP($Q64,武学奇术!$A:$ZZ,23,FALSE)=1,100%,$B$8),100%)</f>
        <v>0.9859</v>
      </c>
      <c r="BO64" s="26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6" cm="1">
        <f t="array" ref="BP64">1+$B$13+VLOOKUP($Q64,武学奇术!$A:$ZZ,18,FALSE)+SUM(_xlfn.XLOOKUP($R64:$AK64,增益!$A:$A,增益!$R:$R,0))</f>
        <v>1.64</v>
      </c>
      <c r="BQ64" s="26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6" cm="1">
        <f t="array" ref="BR64">1+$B$14+VLOOKUP($Q64,武学奇术!$A:$ZZ,20,FALSE)+SUM(_xlfn.XLOOKUP($R64:$AK64,增益!$A:$A,增益!$T:$T,0))</f>
        <v>1.35</v>
      </c>
      <c r="BS64" s="26">
        <f t="shared" si="20"/>
        <v>0.87863408</v>
      </c>
      <c r="BT64" s="26">
        <f t="shared" si="21"/>
        <v>0.01567581</v>
      </c>
      <c r="BU64" s="26">
        <f>IF(VLOOKUP($Q64,武学奇术!$A:$ZZ,22,FALSE)=1,0,(1-$BN64))*(1-$BQ64)</f>
        <v>0.01279011</v>
      </c>
      <c r="BV64" s="26" cm="1">
        <f t="array" ref="BV64">SUM(_xlfn.XLOOKUP($R64:$AK64,增益!$A:$A,增益!$W:$W,0))+$I$5</f>
        <v>0.11</v>
      </c>
    </row>
    <row r="65" spans="1:74">
      <c r="A65" t="s">
        <v>165</v>
      </c>
      <c r="B65">
        <v>1.6</v>
      </c>
      <c r="E65" s="39"/>
      <c r="K65" s="38">
        <f t="shared" si="22"/>
        <v>157341.926497264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163013.936005089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127606.419285776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84027.8020644787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73532.3305839384</v>
      </c>
      <c r="P65" s="39">
        <v>1</v>
      </c>
      <c r="Q65" s="40" t="s">
        <v>117</v>
      </c>
      <c r="R65" s="40" t="s">
        <v>91</v>
      </c>
      <c r="S65" s="40" t="s">
        <v>158</v>
      </c>
      <c r="T65" s="40" t="s">
        <v>78</v>
      </c>
      <c r="U65" s="40" t="s">
        <v>80</v>
      </c>
      <c r="V65" s="40" t="s">
        <v>73</v>
      </c>
      <c r="W65" s="40" t="s">
        <v>115</v>
      </c>
      <c r="X65" s="40" t="s">
        <v>87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81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82</v>
      </c>
      <c r="AL65" t="str">
        <f>VLOOKUP($Q65,武学奇术!$A:$ZZ,25,FALSE)</f>
        <v>鼓</v>
      </c>
      <c r="AM65" s="26">
        <f>VLOOKUP($Q65,武学奇术!$A:$ZZ,26,FALSE)</f>
        <v>3.08125</v>
      </c>
      <c r="AN65" s="27">
        <f>VLOOKUP($Q65,武学奇术!$A:$ZZ,27,FALSE)*(1+IF(OR($AL65=$F$4,$AL65=$F$5),$B$22,0))</f>
        <v>1277.55</v>
      </c>
      <c r="AO65" s="26">
        <f>VLOOKUP($Q65,武学奇术!$A:$ZZ,28,FALSE)</f>
        <v>4.62196</v>
      </c>
      <c r="AP65" s="27">
        <f>VLOOKUP($Q65,武学奇术!$A:$ZZ,29,FALSE)*(1+IF(OR($AL65=$F$4,$AL65=$F$5),$B$22,0))</f>
        <v>696.15</v>
      </c>
      <c r="AQ65" s="26" cm="1">
        <f t="array" ref="AQ65">$G$3+IFERROR(VLOOKUP($AL65,$F$4:$G$7,2,FALSE),0)+VLOOKUP($Q65,武学奇术!$A:$ZZ,2,FALSE)+SUM(_xlfn.XLOOKUP($R65:$AK65,增益!$A:$A,增益!$B:$B,0))</f>
        <v>0.5841</v>
      </c>
      <c r="AR65" s="26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4434.698</v>
      </c>
      <c r="AT65" cm="1">
        <f t="array" ref="AT65">$E$10*(1+$AR65)+VLOOKUP($Q65,武学奇术!$A:$ZZ,4,FALSE)+SUM(_xlfn.XLOOKUP($R65:$AK65,增益!$A:$A,增益!$D:$D,0))-$I$2</f>
        <v>4434.698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0.397</v>
      </c>
      <c r="AV65" s="32" cm="1">
        <f t="array" ref="AV65">$G$10+VLOOKUP($Q65,武学奇术!$A:$ZZ,7,FALSE)+SUM(_xlfn.XLOOKUP($R65:$AK65,增益!$A:$A,增益!$G:$G,0))</f>
        <v>0.205</v>
      </c>
      <c r="AW65" s="26" cm="1">
        <f t="array" ref="AW65">VLOOKUP($Q65,武学奇术!$A:$ZZ,8,FALSE)+SUM(_xlfn.XLOOKUP($R65:$AK65,增益!$A:$A,增益!$H:$H,0))</f>
        <v>0.18</v>
      </c>
      <c r="AX65">
        <f t="shared" si="12"/>
        <v>0</v>
      </c>
      <c r="AY65">
        <f t="shared" si="13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2" cm="1">
        <f t="array" ref="BA65">$G$11+VLOOKUP($Q65,武学奇术!$A:$ZZ,10,FALSE)+SUM(_xlfn.XLOOKUP($R65:$AK65,增益!$A:$A,增益!$J:$J,0))</f>
        <v>0.06</v>
      </c>
      <c r="BB65">
        <f t="shared" si="14"/>
        <v>0</v>
      </c>
      <c r="BC65">
        <f t="shared" si="15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2" cm="1">
        <f t="array" ref="BE65">$G$12+VLOOKUP($Q65,武学奇术!$A:$ZZ,12,FALSE)+SUM(_xlfn.XLOOKUP($R65:$AK65,增益!$A:$A,增益!$L:$L,0))</f>
        <v>0.06</v>
      </c>
      <c r="BF65">
        <f t="shared" si="16"/>
        <v>674.016</v>
      </c>
      <c r="BG65">
        <f t="shared" si="17"/>
        <v>1920.804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2" cm="1">
        <f t="array" ref="BI65">$G$13+VLOOKUP($Q65,武学奇术!$A:$ZZ,14,FALSE)+SUM(_xlfn.XLOOKUP($R65:$AK65,增益!$A:$A,增益!$N:$N,0))</f>
        <v>0.33</v>
      </c>
      <c r="BJ65">
        <f t="shared" si="18"/>
        <v>0</v>
      </c>
      <c r="BK65">
        <f t="shared" si="19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2" cm="1">
        <f t="array" ref="BM65">$G$14+VLOOKUP($Q65,武学奇术!$A:$ZZ,16,FALSE)+SUM(_xlfn.XLOOKUP($R65:$AK65,增益!$A:$A,增益!$P:$P,0))</f>
        <v>0.06</v>
      </c>
      <c r="BN65" s="26">
        <f>MIN(IF(VLOOKUP($Q65,武学奇术!$A:$ZZ,23,FALSE)=1,100%,$B$8),100%)</f>
        <v>0.9859</v>
      </c>
      <c r="BO65" s="26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6" cm="1">
        <f t="array" ref="BP65">1+$B$13+VLOOKUP($Q65,武学奇术!$A:$ZZ,18,FALSE)+SUM(_xlfn.XLOOKUP($R65:$AK65,增益!$A:$A,增益!$R:$R,0))</f>
        <v>1.94</v>
      </c>
      <c r="BQ65" s="26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6" cm="1">
        <f t="array" ref="BR65">1+$B$14+VLOOKUP($Q65,武学奇术!$A:$ZZ,20,FALSE)+SUM(_xlfn.XLOOKUP($R65:$AK65,增益!$A:$A,增益!$T:$T,0))</f>
        <v>1.35</v>
      </c>
      <c r="BS65" s="26">
        <f t="shared" si="20"/>
        <v>0.87863408</v>
      </c>
      <c r="BT65" s="26">
        <f t="shared" si="21"/>
        <v>0.01567581</v>
      </c>
      <c r="BU65" s="26">
        <f>IF(VLOOKUP($Q65,武学奇术!$A:$ZZ,22,FALSE)=1,0,(1-$BN65))*(1-$BQ65)</f>
        <v>0.01279011</v>
      </c>
      <c r="BV65" s="26" cm="1">
        <f t="array" ref="BV65">SUM(_xlfn.XLOOKUP($R65:$AK65,增益!$A:$A,增益!$W:$W,0))+$I$5</f>
        <v>0.11</v>
      </c>
    </row>
    <row r="66" spans="1:74">
      <c r="A66" t="s">
        <v>167</v>
      </c>
      <c r="B66">
        <v>1.3</v>
      </c>
      <c r="K66" s="38">
        <f t="shared" si="22"/>
        <v>318233.456780628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329717.693561556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257959.386687112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169957.574000802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148834.120825966</v>
      </c>
      <c r="P66" s="39">
        <v>2</v>
      </c>
      <c r="Q66" s="40" t="s">
        <v>117</v>
      </c>
      <c r="R66" s="40" t="s">
        <v>95</v>
      </c>
      <c r="S66" s="40" t="s">
        <v>158</v>
      </c>
      <c r="T66" s="40" t="s">
        <v>78</v>
      </c>
      <c r="U66" s="40" t="s">
        <v>80</v>
      </c>
      <c r="V66" s="40" t="s">
        <v>73</v>
      </c>
      <c r="W66" s="40" t="s">
        <v>115</v>
      </c>
      <c r="X66" s="40" t="s">
        <v>87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81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82</v>
      </c>
      <c r="AL66" t="str">
        <f>VLOOKUP($Q66,武学奇术!$A:$ZZ,25,FALSE)</f>
        <v>鼓</v>
      </c>
      <c r="AM66" s="26">
        <f>VLOOKUP($Q66,武学奇术!$A:$ZZ,26,FALSE)</f>
        <v>3.08125</v>
      </c>
      <c r="AN66" s="27">
        <f>VLOOKUP($Q66,武学奇术!$A:$ZZ,27,FALSE)*(1+IF(OR($AL66=$F$4,$AL66=$F$5),$B$22,0))</f>
        <v>1277.55</v>
      </c>
      <c r="AO66" s="26">
        <f>VLOOKUP($Q66,武学奇术!$A:$ZZ,28,FALSE)</f>
        <v>4.62196</v>
      </c>
      <c r="AP66" s="27">
        <f>VLOOKUP($Q66,武学奇术!$A:$ZZ,29,FALSE)*(1+IF(OR($AL66=$F$4,$AL66=$F$5),$B$22,0))</f>
        <v>696.15</v>
      </c>
      <c r="AQ66" s="26" cm="1">
        <f t="array" ref="AQ66">$G$3+IFERROR(VLOOKUP($AL66,$F$4:$G$7,2,FALSE),0)+VLOOKUP($Q66,武学奇术!$A:$ZZ,2,FALSE)+SUM(_xlfn.XLOOKUP($R66:$AK66,增益!$A:$A,增益!$B:$B,0))</f>
        <v>0.5941</v>
      </c>
      <c r="AR66" s="26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4434.698</v>
      </c>
      <c r="AT66" cm="1">
        <f t="array" ref="AT66">$E$10*(1+$AR66)+VLOOKUP($Q66,武学奇术!$A:$ZZ,4,FALSE)+SUM(_xlfn.XLOOKUP($R66:$AK66,增益!$A:$A,增益!$D:$D,0))-$I$2</f>
        <v>4434.698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0.407</v>
      </c>
      <c r="AV66" s="32" cm="1">
        <f t="array" ref="AV66">$G$10+VLOOKUP($Q66,武学奇术!$A:$ZZ,7,FALSE)+SUM(_xlfn.XLOOKUP($R66:$AK66,增益!$A:$A,增益!$G:$G,0))</f>
        <v>0.205</v>
      </c>
      <c r="AW66" s="26" cm="1">
        <f t="array" ref="AW66">VLOOKUP($Q66,武学奇术!$A:$ZZ,8,FALSE)+SUM(_xlfn.XLOOKUP($R66:$AK66,增益!$A:$A,增益!$H:$H,0))</f>
        <v>0.18</v>
      </c>
      <c r="AX66">
        <f t="shared" si="12"/>
        <v>0</v>
      </c>
      <c r="AY66">
        <f t="shared" si="13"/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2" cm="1">
        <f t="array" ref="BA66">$G$11+VLOOKUP($Q66,武学奇术!$A:$ZZ,10,FALSE)+SUM(_xlfn.XLOOKUP($R66:$AK66,增益!$A:$A,增益!$J:$J,0))</f>
        <v>0.06</v>
      </c>
      <c r="BB66">
        <f t="shared" si="14"/>
        <v>0</v>
      </c>
      <c r="BC66">
        <f t="shared" si="15"/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2" cm="1">
        <f t="array" ref="BE66">$G$12+VLOOKUP($Q66,武学奇术!$A:$ZZ,12,FALSE)+SUM(_xlfn.XLOOKUP($R66:$AK66,增益!$A:$A,增益!$L:$L,0))</f>
        <v>0.06</v>
      </c>
      <c r="BF66">
        <f t="shared" si="16"/>
        <v>674.016</v>
      </c>
      <c r="BG66">
        <f t="shared" si="17"/>
        <v>1920.804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2" cm="1">
        <f t="array" ref="BI66">$G$13+VLOOKUP($Q66,武学奇术!$A:$ZZ,14,FALSE)+SUM(_xlfn.XLOOKUP($R66:$AK66,增益!$A:$A,增益!$N:$N,0))</f>
        <v>0.33</v>
      </c>
      <c r="BJ66">
        <f t="shared" si="18"/>
        <v>0</v>
      </c>
      <c r="BK66">
        <f t="shared" si="19"/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2" cm="1">
        <f t="array" ref="BM66">$G$14+VLOOKUP($Q66,武学奇术!$A:$ZZ,16,FALSE)+SUM(_xlfn.XLOOKUP($R66:$AK66,增益!$A:$A,增益!$P:$P,0))</f>
        <v>0.06</v>
      </c>
      <c r="BN66" s="26">
        <f>MIN(IF(VLOOKUP($Q66,武学奇术!$A:$ZZ,23,FALSE)=1,100%,$B$8),100%)</f>
        <v>0.9859</v>
      </c>
      <c r="BO66" s="26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6" cm="1">
        <f t="array" ref="BP66">1+$B$13+VLOOKUP($Q66,武学奇术!$A:$ZZ,18,FALSE)+SUM(_xlfn.XLOOKUP($R66:$AK66,增益!$A:$A,增益!$R:$R,0))</f>
        <v>1.94</v>
      </c>
      <c r="BQ66" s="26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6" cm="1">
        <f t="array" ref="BR66">1+$B$14+VLOOKUP($Q66,武学奇术!$A:$ZZ,20,FALSE)+SUM(_xlfn.XLOOKUP($R66:$AK66,增益!$A:$A,增益!$T:$T,0))</f>
        <v>1.35</v>
      </c>
      <c r="BS66" s="26">
        <f t="shared" si="20"/>
        <v>0.87863408</v>
      </c>
      <c r="BT66" s="26">
        <f t="shared" si="21"/>
        <v>0.01567581</v>
      </c>
      <c r="BU66" s="26">
        <f>IF(VLOOKUP($Q66,武学奇术!$A:$ZZ,22,FALSE)=1,0,(1-$BN66))*(1-$BQ66)</f>
        <v>0.01279011</v>
      </c>
      <c r="BV66" s="26" cm="1">
        <f t="array" ref="BV66">SUM(_xlfn.XLOOKUP($R66:$AK66,增益!$A:$A,增益!$W:$W,0))+$I$5</f>
        <v>0.11</v>
      </c>
    </row>
    <row r="67" spans="1:74">
      <c r="A67" t="s">
        <v>177</v>
      </c>
      <c r="B67">
        <v>30</v>
      </c>
      <c r="K67" s="38">
        <f t="shared" si="22"/>
        <v>423452.072641453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440685.861965783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327694.924213291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216022.481355776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189307.981812818</v>
      </c>
      <c r="P67" s="39">
        <v>2</v>
      </c>
      <c r="Q67" s="40" t="s">
        <v>121</v>
      </c>
      <c r="R67" s="40" t="s">
        <v>100</v>
      </c>
      <c r="S67" s="40" t="s">
        <v>158</v>
      </c>
      <c r="T67" s="40" t="s">
        <v>78</v>
      </c>
      <c r="U67" s="40" t="s">
        <v>80</v>
      </c>
      <c r="V67" s="40" t="s">
        <v>73</v>
      </c>
      <c r="W67" s="40" t="s">
        <v>115</v>
      </c>
      <c r="X67" s="40" t="s">
        <v>87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81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82</v>
      </c>
      <c r="AL67" t="str">
        <f>VLOOKUP($Q67,武学奇术!$A:$ZZ,25,FALSE)</f>
        <v>鼓</v>
      </c>
      <c r="AM67" s="26">
        <f>VLOOKUP($Q67,武学奇术!$A:$ZZ,26,FALSE)</f>
        <v>3.75547</v>
      </c>
      <c r="AN67" s="27">
        <f>VLOOKUP($Q67,武学奇术!$A:$ZZ,27,FALSE)*(1+IF(OR($AL67=$F$4,$AL67=$F$5),$B$22,0))</f>
        <v>1558.05</v>
      </c>
      <c r="AO67" s="26">
        <f>VLOOKUP($Q67,武学奇术!$A:$ZZ,28,FALSE)</f>
        <v>5.63329</v>
      </c>
      <c r="AP67" s="27">
        <f>VLOOKUP($Q67,武学奇术!$A:$ZZ,29,FALSE)*(1+IF(OR($AL67=$F$4,$AL67=$F$5),$B$22,0))</f>
        <v>849.15</v>
      </c>
      <c r="AQ67" s="26" cm="1">
        <f t="array" ref="AQ67">$G$3+IFERROR(VLOOKUP($AL67,$F$4:$G$7,2,FALSE),0)+VLOOKUP($Q67,武学奇术!$A:$ZZ,2,FALSE)+SUM(_xlfn.XLOOKUP($R67:$AK67,增益!$A:$A,增益!$B:$B,0))</f>
        <v>0.6541</v>
      </c>
      <c r="AR67" s="26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4434.698</v>
      </c>
      <c r="AT67" cm="1">
        <f t="array" ref="AT67">$E$10*(1+$AR67)+VLOOKUP($Q67,武学奇术!$A:$ZZ,4,FALSE)+SUM(_xlfn.XLOOKUP($R67:$AK67,增益!$A:$A,增益!$D:$D,0))-$I$2</f>
        <v>4434.698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0.417</v>
      </c>
      <c r="AV67" s="32" cm="1">
        <f t="array" ref="AV67">$G$10+VLOOKUP($Q67,武学奇术!$A:$ZZ,7,FALSE)+SUM(_xlfn.XLOOKUP($R67:$AK67,增益!$A:$A,增益!$G:$G,0))</f>
        <v>0.205</v>
      </c>
      <c r="AW67" s="26" cm="1">
        <f t="array" ref="AW67">VLOOKUP($Q67,武学奇术!$A:$ZZ,8,FALSE)+SUM(_xlfn.XLOOKUP($R67:$AK67,增益!$A:$A,增益!$H:$H,0))</f>
        <v>0.18</v>
      </c>
      <c r="AX67">
        <f t="shared" ref="AX67:AX98" si="23">$D$11*(1+$AW67)</f>
        <v>0</v>
      </c>
      <c r="AY67">
        <f t="shared" ref="AY67:AY98" si="24">$E$11*(1+$AW67)</f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2" cm="1">
        <f t="array" ref="BA67">$G$11+VLOOKUP($Q67,武学奇术!$A:$ZZ,10,FALSE)+SUM(_xlfn.XLOOKUP($R67:$AK67,增益!$A:$A,增益!$J:$J,0))</f>
        <v>0.06</v>
      </c>
      <c r="BB67">
        <f t="shared" ref="BB67:BB98" si="25">$D$12*(1+$AW67)</f>
        <v>0</v>
      </c>
      <c r="BC67">
        <f t="shared" ref="BC67:BC98" si="26">$E$12*(1+$AW67)</f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2" cm="1">
        <f t="array" ref="BE67">$G$12+VLOOKUP($Q67,武学奇术!$A:$ZZ,12,FALSE)+SUM(_xlfn.XLOOKUP($R67:$AK67,增益!$A:$A,增益!$L:$L,0))</f>
        <v>0.06</v>
      </c>
      <c r="BF67">
        <f t="shared" ref="BF67:BF98" si="27">$D$13*(1+$AW67)</f>
        <v>674.016</v>
      </c>
      <c r="BG67">
        <f t="shared" ref="BG67:BG98" si="28">$E$13*(1+$AW67)</f>
        <v>1920.804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2" cm="1">
        <f t="array" ref="BI67">$G$13+VLOOKUP($Q67,武学奇术!$A:$ZZ,14,FALSE)+SUM(_xlfn.XLOOKUP($R67:$AK67,增益!$A:$A,增益!$N:$N,0))</f>
        <v>0.33</v>
      </c>
      <c r="BJ67">
        <f t="shared" ref="BJ67:BJ98" si="29">$D$14*(1+$AW67)</f>
        <v>0</v>
      </c>
      <c r="BK67">
        <f t="shared" ref="BK67:BK98" si="30">$E$14*(1+$AW67)</f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2" cm="1">
        <f t="array" ref="BM67">$G$14+VLOOKUP($Q67,武学奇术!$A:$ZZ,16,FALSE)+SUM(_xlfn.XLOOKUP($R67:$AK67,增益!$A:$A,增益!$P:$P,0))</f>
        <v>0.06</v>
      </c>
      <c r="BN67" s="26">
        <f>MIN(IF(VLOOKUP($Q67,武学奇术!$A:$ZZ,23,FALSE)=1,100%,$B$8),100%)</f>
        <v>0.9859</v>
      </c>
      <c r="BO67" s="26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6" cm="1">
        <f t="array" ref="BP67">1+$B$13+VLOOKUP($Q67,武学奇术!$A:$ZZ,18,FALSE)+SUM(_xlfn.XLOOKUP($R67:$AK67,增益!$A:$A,增益!$R:$R,0))</f>
        <v>2.04</v>
      </c>
      <c r="BQ67" s="26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6" cm="1">
        <f t="array" ref="BR67">1+$B$14+VLOOKUP($Q67,武学奇术!$A:$ZZ,20,FALSE)+SUM(_xlfn.XLOOKUP($R67:$AK67,增益!$A:$A,增益!$T:$T,0))</f>
        <v>1.35</v>
      </c>
      <c r="BS67" s="26">
        <f t="shared" ref="BS67:BS98" si="31">MIN((1-BQ67)*BN67,BN67*BO67)</f>
        <v>0.87863408</v>
      </c>
      <c r="BT67" s="26">
        <f t="shared" ref="BT67:BT98" si="32">1-BQ67-BS67-BU67</f>
        <v>0.01567581</v>
      </c>
      <c r="BU67" s="26">
        <f>IF(VLOOKUP($Q67,武学奇术!$A:$ZZ,22,FALSE)=1,0,(1-$BN67))*(1-$BQ67)</f>
        <v>0.01279011</v>
      </c>
      <c r="BV67" s="26" cm="1">
        <f t="array" ref="BV67">SUM(_xlfn.XLOOKUP($R67:$AK67,增益!$A:$A,增益!$W:$W,0))+$I$5</f>
        <v>0.11</v>
      </c>
    </row>
    <row r="68" spans="1:74">
      <c r="A68" t="s">
        <v>104</v>
      </c>
      <c r="B68">
        <v>0.93</v>
      </c>
      <c r="K68" s="38">
        <f t="shared" si="22"/>
        <v>67148.7558509457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68407.4943590672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63801.9688233523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41711.8868043093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36163.0559616909</v>
      </c>
      <c r="P68" s="39">
        <v>1</v>
      </c>
      <c r="Q68" s="40" t="s">
        <v>124</v>
      </c>
      <c r="R68" s="40" t="s">
        <v>100</v>
      </c>
      <c r="S68" s="40" t="s">
        <v>158</v>
      </c>
      <c r="T68" s="40" t="s">
        <v>97</v>
      </c>
      <c r="U68" s="40" t="s">
        <v>80</v>
      </c>
      <c r="V68" s="40" t="s">
        <v>73</v>
      </c>
      <c r="W68" s="40" t="s">
        <v>115</v>
      </c>
      <c r="X68" s="40" t="s">
        <v>87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81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82</v>
      </c>
      <c r="AL68" t="str">
        <f>VLOOKUP($Q68,武学奇术!$A:$ZZ,25,FALSE)</f>
        <v>鼓</v>
      </c>
      <c r="AM68" s="26">
        <f>VLOOKUP($Q68,武学奇术!$A:$ZZ,26,FALSE)</f>
        <v>2.514</v>
      </c>
      <c r="AN68" s="27">
        <f>VLOOKUP($Q68,武学奇术!$A:$ZZ,27,FALSE)*(1+IF(OR($AL68=$F$4,$AL68=$F$5),$B$22,0))</f>
        <v>1044</v>
      </c>
      <c r="AO68" s="26">
        <f>VLOOKUP($Q68,武学奇术!$A:$ZZ,28,FALSE)</f>
        <v>3.7708</v>
      </c>
      <c r="AP68" s="27">
        <f>VLOOKUP($Q68,武学奇术!$A:$ZZ,29,FALSE)*(1+IF(OR($AL68=$F$4,$AL68=$F$5),$B$22,0))</f>
        <v>564</v>
      </c>
      <c r="AQ68" s="26" cm="1">
        <f t="array" ref="AQ68">$G$3+IFERROR(VLOOKUP($AL68,$F$4:$G$7,2,FALSE),0)+VLOOKUP($Q68,武学奇术!$A:$ZZ,2,FALSE)+SUM(_xlfn.XLOOKUP($R68:$AK68,增益!$A:$A,增益!$B:$B,0))</f>
        <v>0.5041</v>
      </c>
      <c r="AR68" s="26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3673.1</v>
      </c>
      <c r="AT68" cm="1">
        <f t="array" ref="AT68">$E$10*(1+$AR68)+VLOOKUP($Q68,武学奇术!$A:$ZZ,4,FALSE)+SUM(_xlfn.XLOOKUP($R68:$AK68,增益!$A:$A,增益!$D:$D,0))-$I$2</f>
        <v>3673.1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0.357</v>
      </c>
      <c r="AV68" s="32" cm="1">
        <f t="array" ref="AV68">$G$10+VLOOKUP($Q68,武学奇术!$A:$ZZ,7,FALSE)+SUM(_xlfn.XLOOKUP($R68:$AK68,增益!$A:$A,增益!$G:$G,0))</f>
        <v>0.205</v>
      </c>
      <c r="AW68" s="26" cm="1">
        <f t="array" ref="AW68">VLOOKUP($Q68,武学奇术!$A:$ZZ,8,FALSE)+SUM(_xlfn.XLOOKUP($R68:$AK68,增益!$A:$A,增益!$H:$H,0))</f>
        <v>0.12</v>
      </c>
      <c r="AX68">
        <f t="shared" si="23"/>
        <v>0</v>
      </c>
      <c r="AY68">
        <f t="shared" si="24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2" cm="1">
        <f t="array" ref="BA68">$G$11+VLOOKUP($Q68,武学奇术!$A:$ZZ,10,FALSE)+SUM(_xlfn.XLOOKUP($R68:$AK68,增益!$A:$A,增益!$J:$J,0))</f>
        <v>0.06</v>
      </c>
      <c r="BB68">
        <f t="shared" si="25"/>
        <v>0</v>
      </c>
      <c r="BC68">
        <f t="shared" si="26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2" cm="1">
        <f t="array" ref="BE68">$G$12+VLOOKUP($Q68,武学奇术!$A:$ZZ,12,FALSE)+SUM(_xlfn.XLOOKUP($R68:$AK68,增益!$A:$A,增益!$L:$L,0))</f>
        <v>0.06</v>
      </c>
      <c r="BF68">
        <f t="shared" si="27"/>
        <v>639.744</v>
      </c>
      <c r="BG68">
        <f t="shared" si="28"/>
        <v>1823.136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2" cm="1">
        <f t="array" ref="BI68">$G$13+VLOOKUP($Q68,武学奇术!$A:$ZZ,14,FALSE)+SUM(_xlfn.XLOOKUP($R68:$AK68,增益!$A:$A,增益!$N:$N,0))</f>
        <v>0.33</v>
      </c>
      <c r="BJ68">
        <f t="shared" si="29"/>
        <v>0</v>
      </c>
      <c r="BK68">
        <f t="shared" si="30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2" cm="1">
        <f t="array" ref="BM68">$G$14+VLOOKUP($Q68,武学奇术!$A:$ZZ,16,FALSE)+SUM(_xlfn.XLOOKUP($R68:$AK68,增益!$A:$A,增益!$P:$P,0))</f>
        <v>0.06</v>
      </c>
      <c r="BN68" s="26">
        <f>MIN(IF(VLOOKUP($Q68,武学奇术!$A:$ZZ,23,FALSE)=1,100%,$B$8),100%)</f>
        <v>0.9859</v>
      </c>
      <c r="BO68" s="26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6" cm="1">
        <f t="array" ref="BP68">1+$B$13+VLOOKUP($Q68,武学奇术!$A:$ZZ,18,FALSE)+SUM(_xlfn.XLOOKUP($R68:$AK68,增益!$A:$A,增益!$R:$R,0))</f>
        <v>1.64</v>
      </c>
      <c r="BQ68" s="26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6" cm="1">
        <f t="array" ref="BR68">1+$B$14+VLOOKUP($Q68,武学奇术!$A:$ZZ,20,FALSE)+SUM(_xlfn.XLOOKUP($R68:$AK68,增益!$A:$A,增益!$T:$T,0))</f>
        <v>1.35</v>
      </c>
      <c r="BS68" s="26">
        <f t="shared" si="31"/>
        <v>0.87863408</v>
      </c>
      <c r="BT68" s="26">
        <f t="shared" si="32"/>
        <v>0.01567581</v>
      </c>
      <c r="BU68" s="26">
        <f>IF(VLOOKUP($Q68,武学奇术!$A:$ZZ,22,FALSE)=1,0,(1-$BN68))*(1-$BQ68)</f>
        <v>0.01279011</v>
      </c>
      <c r="BV68" s="26" cm="1">
        <f t="array" ref="BV68">SUM(_xlfn.XLOOKUP($R68:$AK68,增益!$A:$A,增益!$W:$W,0))+$I$5</f>
        <v>0.11</v>
      </c>
    </row>
    <row r="69" spans="1:74">
      <c r="A69" t="s">
        <v>108</v>
      </c>
      <c r="B69">
        <v>0.5</v>
      </c>
      <c r="K69" s="38">
        <f t="shared" si="22"/>
        <v>130238.905682725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134861.892731639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106402.019408348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69516.4395523915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60216.5684319325</v>
      </c>
      <c r="P69" s="39">
        <v>1</v>
      </c>
      <c r="Q69" s="40" t="s">
        <v>127</v>
      </c>
      <c r="R69" s="40" t="s">
        <v>100</v>
      </c>
      <c r="S69" s="40" t="s">
        <v>158</v>
      </c>
      <c r="T69" s="40" t="s">
        <v>97</v>
      </c>
      <c r="U69" s="40" t="s">
        <v>80</v>
      </c>
      <c r="V69" s="40" t="s">
        <v>73</v>
      </c>
      <c r="W69" s="40" t="s">
        <v>115</v>
      </c>
      <c r="X69" s="40" t="s">
        <v>87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81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82</v>
      </c>
      <c r="AL69" t="str">
        <f>VLOOKUP($Q69,武学奇术!$A:$ZZ,25,FALSE)</f>
        <v>鼓</v>
      </c>
      <c r="AM69" s="26">
        <f>VLOOKUP($Q69,武学奇术!$A:$ZZ,26,FALSE)</f>
        <v>3.52968</v>
      </c>
      <c r="AN69" s="27">
        <f>VLOOKUP($Q69,武学奇术!$A:$ZZ,27,FALSE)*(1+IF(OR($AL69=$F$4,$AL69=$F$5),$B$22,0))</f>
        <v>1465.8</v>
      </c>
      <c r="AO69" s="26">
        <f>VLOOKUP($Q69,武学奇术!$A:$ZZ,28,FALSE)</f>
        <v>5.29452</v>
      </c>
      <c r="AP69" s="27">
        <f>VLOOKUP($Q69,武学奇术!$A:$ZZ,29,FALSE)*(1+IF(OR($AL69=$F$4,$AL69=$F$5),$B$22,0))</f>
        <v>798</v>
      </c>
      <c r="AQ69" s="26" cm="1">
        <f t="array" ref="AQ69">$G$3+IFERROR(VLOOKUP($AL69,$F$4:$G$7,2,FALSE),0)+VLOOKUP($Q69,武学奇术!$A:$ZZ,2,FALSE)+SUM(_xlfn.XLOOKUP($R69:$AK69,增益!$A:$A,增益!$B:$B,0))</f>
        <v>0.7041</v>
      </c>
      <c r="AR69" s="26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3673.1</v>
      </c>
      <c r="AT69" cm="1">
        <f t="array" ref="AT69">$E$10*(1+$AR69)+VLOOKUP($Q69,武学奇术!$A:$ZZ,4,FALSE)+SUM(_xlfn.XLOOKUP($R69:$AK69,增益!$A:$A,增益!$D:$D,0))-$I$2</f>
        <v>3673.1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0.417</v>
      </c>
      <c r="AV69" s="32" cm="1">
        <f t="array" ref="AV69">$G$10+VLOOKUP($Q69,武学奇术!$A:$ZZ,7,FALSE)+SUM(_xlfn.XLOOKUP($R69:$AK69,增益!$A:$A,增益!$G:$G,0))</f>
        <v>0.205</v>
      </c>
      <c r="AW69" s="26" cm="1">
        <f t="array" ref="AW69">VLOOKUP($Q69,武学奇术!$A:$ZZ,8,FALSE)+SUM(_xlfn.XLOOKUP($R69:$AK69,增益!$A:$A,增益!$H:$H,0))</f>
        <v>0.12</v>
      </c>
      <c r="AX69">
        <f t="shared" si="23"/>
        <v>0</v>
      </c>
      <c r="AY69">
        <f t="shared" si="24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2" cm="1">
        <f t="array" ref="BA69">$G$11+VLOOKUP($Q69,武学奇术!$A:$ZZ,10,FALSE)+SUM(_xlfn.XLOOKUP($R69:$AK69,增益!$A:$A,增益!$J:$J,0))</f>
        <v>0.06</v>
      </c>
      <c r="BB69">
        <f t="shared" si="25"/>
        <v>0</v>
      </c>
      <c r="BC69">
        <f t="shared" si="26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2" cm="1">
        <f t="array" ref="BE69">$G$12+VLOOKUP($Q69,武学奇术!$A:$ZZ,12,FALSE)+SUM(_xlfn.XLOOKUP($R69:$AK69,增益!$A:$A,增益!$L:$L,0))</f>
        <v>0.06</v>
      </c>
      <c r="BF69">
        <f t="shared" si="27"/>
        <v>639.744</v>
      </c>
      <c r="BG69">
        <f t="shared" si="28"/>
        <v>1823.136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2" cm="1">
        <f t="array" ref="BI69">$G$13+VLOOKUP($Q69,武学奇术!$A:$ZZ,14,FALSE)+SUM(_xlfn.XLOOKUP($R69:$AK69,增益!$A:$A,增益!$N:$N,0))</f>
        <v>0.33</v>
      </c>
      <c r="BJ69">
        <f t="shared" si="29"/>
        <v>0</v>
      </c>
      <c r="BK69">
        <f t="shared" si="30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2" cm="1">
        <f t="array" ref="BM69">$G$14+VLOOKUP($Q69,武学奇术!$A:$ZZ,16,FALSE)+SUM(_xlfn.XLOOKUP($R69:$AK69,增益!$A:$A,增益!$P:$P,0))</f>
        <v>0.06</v>
      </c>
      <c r="BN69" s="26">
        <f>MIN(IF(VLOOKUP($Q69,武学奇术!$A:$ZZ,23,FALSE)=1,100%,$B$8),100%)</f>
        <v>0.9859</v>
      </c>
      <c r="BO69" s="26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6" cm="1">
        <f t="array" ref="BP69">1+$B$13+VLOOKUP($Q69,武学奇术!$A:$ZZ,18,FALSE)+SUM(_xlfn.XLOOKUP($R69:$AK69,增益!$A:$A,增益!$R:$R,0))</f>
        <v>1.94</v>
      </c>
      <c r="BQ69" s="26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6" cm="1">
        <f t="array" ref="BR69">1+$B$14+VLOOKUP($Q69,武学奇术!$A:$ZZ,20,FALSE)+SUM(_xlfn.XLOOKUP($R69:$AK69,增益!$A:$A,增益!$T:$T,0))</f>
        <v>1.35</v>
      </c>
      <c r="BS69" s="26">
        <f t="shared" si="31"/>
        <v>0.87863408</v>
      </c>
      <c r="BT69" s="26">
        <f t="shared" si="32"/>
        <v>0.01567581</v>
      </c>
      <c r="BU69" s="26">
        <f>IF(VLOOKUP($Q69,武学奇术!$A:$ZZ,22,FALSE)=1,0,(1-$BN69))*(1-$BQ69)</f>
        <v>0.01279011</v>
      </c>
      <c r="BV69" s="26" cm="1">
        <f t="array" ref="BV69">SUM(_xlfn.XLOOKUP($R69:$AK69,增益!$A:$A,增益!$W:$W,0))+$I$5</f>
        <v>0.11</v>
      </c>
    </row>
    <row r="70" spans="1:74">
      <c r="A70" t="s">
        <v>161</v>
      </c>
      <c r="B70">
        <v>2.1</v>
      </c>
      <c r="K70" s="38">
        <f t="shared" si="22"/>
        <v>22544.4813375611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22967.2608698325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21418.9757345891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14004.4273596539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12142.9467677604</v>
      </c>
      <c r="P70" s="39">
        <v>1</v>
      </c>
      <c r="Q70" s="40" t="s">
        <v>133</v>
      </c>
      <c r="R70" s="40" t="s">
        <v>100</v>
      </c>
      <c r="S70" s="40" t="s">
        <v>158</v>
      </c>
      <c r="T70" s="40" t="s">
        <v>97</v>
      </c>
      <c r="U70" s="40" t="s">
        <v>80</v>
      </c>
      <c r="V70" s="40" t="s">
        <v>73</v>
      </c>
      <c r="W70" s="40" t="s">
        <v>115</v>
      </c>
      <c r="X70" s="40" t="s">
        <v>87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81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82</v>
      </c>
      <c r="AL70" t="str">
        <f>VLOOKUP($Q70,武学奇术!$A:$ZZ,25,FALSE)</f>
        <v>鼓</v>
      </c>
      <c r="AM70" s="26">
        <f>VLOOKUP($Q70,武学奇术!$A:$ZZ,26,FALSE)</f>
        <v>0.8434</v>
      </c>
      <c r="AN70" s="27">
        <f>VLOOKUP($Q70,武学奇术!$A:$ZZ,27,FALSE)*(1+IF(OR($AL70=$F$4,$AL70=$F$5),$B$22,0))</f>
        <v>352.5</v>
      </c>
      <c r="AO70" s="26">
        <f>VLOOKUP($Q70,武学奇术!$A:$ZZ,28,FALSE)</f>
        <v>1.265</v>
      </c>
      <c r="AP70" s="27">
        <f>VLOOKUP($Q70,武学奇术!$A:$ZZ,29,FALSE)*(1+IF(OR($AL70=$F$4,$AL70=$F$5),$B$22,0))</f>
        <v>190.5</v>
      </c>
      <c r="AQ70" s="26" cm="1">
        <f t="array" ref="AQ70">$G$3+IFERROR(VLOOKUP($AL70,$F$4:$G$7,2,FALSE),0)+VLOOKUP($Q70,武学奇术!$A:$ZZ,2,FALSE)+SUM(_xlfn.XLOOKUP($R70:$AK70,增益!$A:$A,增益!$B:$B,0))</f>
        <v>0.5041</v>
      </c>
      <c r="AR70" s="26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3673.1</v>
      </c>
      <c r="AT70" cm="1">
        <f t="array" ref="AT70">$E$10*(1+$AR70)+VLOOKUP($Q70,武学奇术!$A:$ZZ,4,FALSE)+SUM(_xlfn.XLOOKUP($R70:$AK70,增益!$A:$A,增益!$D:$D,0))-$I$2</f>
        <v>3673.1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0.357</v>
      </c>
      <c r="AV70" s="32" cm="1">
        <f t="array" ref="AV70">$G$10+VLOOKUP($Q70,武学奇术!$A:$ZZ,7,FALSE)+SUM(_xlfn.XLOOKUP($R70:$AK70,增益!$A:$A,增益!$G:$G,0))</f>
        <v>0.205</v>
      </c>
      <c r="AW70" s="26" cm="1">
        <f t="array" ref="AW70">VLOOKUP($Q70,武学奇术!$A:$ZZ,8,FALSE)+SUM(_xlfn.XLOOKUP($R70:$AK70,增益!$A:$A,增益!$H:$H,0))</f>
        <v>0.12</v>
      </c>
      <c r="AX70">
        <f t="shared" si="23"/>
        <v>0</v>
      </c>
      <c r="AY70">
        <f t="shared" si="24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2" cm="1">
        <f t="array" ref="BA70">$G$11+VLOOKUP($Q70,武学奇术!$A:$ZZ,10,FALSE)+SUM(_xlfn.XLOOKUP($R70:$AK70,增益!$A:$A,增益!$J:$J,0))</f>
        <v>0.06</v>
      </c>
      <c r="BB70">
        <f t="shared" si="25"/>
        <v>0</v>
      </c>
      <c r="BC70">
        <f t="shared" si="26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2" cm="1">
        <f t="array" ref="BE70">$G$12+VLOOKUP($Q70,武学奇术!$A:$ZZ,12,FALSE)+SUM(_xlfn.XLOOKUP($R70:$AK70,增益!$A:$A,增益!$L:$L,0))</f>
        <v>0.06</v>
      </c>
      <c r="BF70">
        <f t="shared" si="27"/>
        <v>639.744</v>
      </c>
      <c r="BG70">
        <f t="shared" si="28"/>
        <v>1823.136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2" cm="1">
        <f t="array" ref="BI70">$G$13+VLOOKUP($Q70,武学奇术!$A:$ZZ,14,FALSE)+SUM(_xlfn.XLOOKUP($R70:$AK70,增益!$A:$A,增益!$N:$N,0))</f>
        <v>0.33</v>
      </c>
      <c r="BJ70">
        <f t="shared" si="29"/>
        <v>0</v>
      </c>
      <c r="BK70">
        <f t="shared" si="30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2" cm="1">
        <f t="array" ref="BM70">$G$14+VLOOKUP($Q70,武学奇术!$A:$ZZ,16,FALSE)+SUM(_xlfn.XLOOKUP($R70:$AK70,增益!$A:$A,增益!$P:$P,0))</f>
        <v>0.06</v>
      </c>
      <c r="BN70" s="26">
        <f>MIN(IF(VLOOKUP($Q70,武学奇术!$A:$ZZ,23,FALSE)=1,100%,$B$8),100%)</f>
        <v>0.9859</v>
      </c>
      <c r="BO70" s="26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6" cm="1">
        <f t="array" ref="BP70">1+$B$13+VLOOKUP($Q70,武学奇术!$A:$ZZ,18,FALSE)+SUM(_xlfn.XLOOKUP($R70:$AK70,增益!$A:$A,增益!$R:$R,0))</f>
        <v>1.64</v>
      </c>
      <c r="BQ70" s="26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6" cm="1">
        <f t="array" ref="BR70">1+$B$14+VLOOKUP($Q70,武学奇术!$A:$ZZ,20,FALSE)+SUM(_xlfn.XLOOKUP($R70:$AK70,增益!$A:$A,增益!$T:$T,0))</f>
        <v>1.35</v>
      </c>
      <c r="BS70" s="26">
        <f t="shared" si="31"/>
        <v>0.87863408</v>
      </c>
      <c r="BT70" s="26">
        <f t="shared" si="32"/>
        <v>0.01567581</v>
      </c>
      <c r="BU70" s="26">
        <f>IF(VLOOKUP($Q70,武学奇术!$A:$ZZ,22,FALSE)=1,0,(1-$BN70))*(1-$BQ70)</f>
        <v>0.01279011</v>
      </c>
      <c r="BV70" s="26" cm="1">
        <f t="array" ref="BV70">SUM(_xlfn.XLOOKUP($R70:$AK70,增益!$A:$A,增益!$W:$W,0))+$I$5</f>
        <v>0.11</v>
      </c>
    </row>
    <row r="71" spans="1:74">
      <c r="A71" t="s">
        <v>163</v>
      </c>
      <c r="B71">
        <v>6.1</v>
      </c>
      <c r="E71" s="39" t="s">
        <v>160</v>
      </c>
      <c r="K71" s="38">
        <f t="shared" si="22"/>
        <v>33857.1929725861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35059.0334297527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27660.0875965037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18071.6667163674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15654.3796575468</v>
      </c>
      <c r="P71" s="39">
        <v>1</v>
      </c>
      <c r="Q71" s="40" t="s">
        <v>137</v>
      </c>
      <c r="R71" s="40" t="s">
        <v>100</v>
      </c>
      <c r="S71" s="40" t="s">
        <v>158</v>
      </c>
      <c r="T71" s="40" t="s">
        <v>97</v>
      </c>
      <c r="U71" s="40" t="s">
        <v>80</v>
      </c>
      <c r="V71" s="40" t="s">
        <v>73</v>
      </c>
      <c r="W71" s="40" t="s">
        <v>115</v>
      </c>
      <c r="X71" s="40" t="s">
        <v>87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80</v>
      </c>
      <c r="AE71" s="40" t="s">
        <v>80</v>
      </c>
      <c r="AF71" s="40" t="s">
        <v>81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82</v>
      </c>
      <c r="AL71" t="str">
        <f>VLOOKUP($Q71,武学奇术!$A:$ZZ,25,FALSE)</f>
        <v>鼓</v>
      </c>
      <c r="AM71" s="26">
        <f>VLOOKUP($Q71,武学奇术!$A:$ZZ,26,FALSE)</f>
        <v>1.03936</v>
      </c>
      <c r="AN71" s="27">
        <f>VLOOKUP($Q71,武学奇术!$A:$ZZ,27,FALSE)*(1+IF(OR($AL71=$F$4,$AL71=$F$5),$B$22,0))</f>
        <v>432.6</v>
      </c>
      <c r="AO71" s="26">
        <f>VLOOKUP($Q71,武学奇术!$A:$ZZ,28,FALSE)</f>
        <v>1.55918</v>
      </c>
      <c r="AP71" s="27">
        <f>VLOOKUP($Q71,武学奇术!$A:$ZZ,29,FALSE)*(1+IF(OR($AL71=$F$4,$AL71=$F$5),$B$22,0))</f>
        <v>235.2</v>
      </c>
      <c r="AQ71" s="26" cm="1">
        <f t="array" ref="AQ71">$G$3+IFERROR(VLOOKUP($AL71,$F$4:$G$7,2,FALSE),0)+VLOOKUP($Q71,武学奇术!$A:$ZZ,2,FALSE)+SUM(_xlfn.XLOOKUP($R71:$AK71,增益!$A:$A,增益!$B:$B,0))</f>
        <v>0.5041</v>
      </c>
      <c r="AR71" s="26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3673.1</v>
      </c>
      <c r="AT71" cm="1">
        <f t="array" ref="AT71">$E$10*(1+$AR71)+VLOOKUP($Q71,武学奇术!$A:$ZZ,4,FALSE)+SUM(_xlfn.XLOOKUP($R71:$AK71,增益!$A:$A,增益!$D:$D,0))-$I$2</f>
        <v>3673.1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0.417</v>
      </c>
      <c r="AV71" s="32" cm="1">
        <f t="array" ref="AV71">$G$10+VLOOKUP($Q71,武学奇术!$A:$ZZ,7,FALSE)+SUM(_xlfn.XLOOKUP($R71:$AK71,增益!$A:$A,增益!$G:$G,0))</f>
        <v>0.205</v>
      </c>
      <c r="AW71" s="26" cm="1">
        <f t="array" ref="AW71">VLOOKUP($Q71,武学奇术!$A:$ZZ,8,FALSE)+SUM(_xlfn.XLOOKUP($R71:$AK71,增益!$A:$A,增益!$H:$H,0))</f>
        <v>0.12</v>
      </c>
      <c r="AX71">
        <f t="shared" si="23"/>
        <v>0</v>
      </c>
      <c r="AY71">
        <f t="shared" si="24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2" cm="1">
        <f t="array" ref="BA71">$G$11+VLOOKUP($Q71,武学奇术!$A:$ZZ,10,FALSE)+SUM(_xlfn.XLOOKUP($R71:$AK71,增益!$A:$A,增益!$J:$J,0))</f>
        <v>0.06</v>
      </c>
      <c r="BB71">
        <f t="shared" si="25"/>
        <v>0</v>
      </c>
      <c r="BC71">
        <f t="shared" si="26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2" cm="1">
        <f t="array" ref="BE71">$G$12+VLOOKUP($Q71,武学奇术!$A:$ZZ,12,FALSE)+SUM(_xlfn.XLOOKUP($R71:$AK71,增益!$A:$A,增益!$L:$L,0))</f>
        <v>0.06</v>
      </c>
      <c r="BF71">
        <f t="shared" si="27"/>
        <v>639.744</v>
      </c>
      <c r="BG71">
        <f t="shared" si="28"/>
        <v>1823.136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2" cm="1">
        <f t="array" ref="BI71">$G$13+VLOOKUP($Q71,武学奇术!$A:$ZZ,14,FALSE)+SUM(_xlfn.XLOOKUP($R71:$AK71,增益!$A:$A,增益!$N:$N,0))</f>
        <v>0.33</v>
      </c>
      <c r="BJ71">
        <f t="shared" si="29"/>
        <v>0</v>
      </c>
      <c r="BK71">
        <f t="shared" si="30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2" cm="1">
        <f t="array" ref="BM71">$G$14+VLOOKUP($Q71,武学奇术!$A:$ZZ,16,FALSE)+SUM(_xlfn.XLOOKUP($R71:$AK71,增益!$A:$A,增益!$P:$P,0))</f>
        <v>0.06</v>
      </c>
      <c r="BN71" s="26">
        <f>MIN(IF(VLOOKUP($Q71,武学奇术!$A:$ZZ,23,FALSE)=1,100%,$B$8),100%)</f>
        <v>0.9859</v>
      </c>
      <c r="BO71" s="26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6" cm="1">
        <f t="array" ref="BP71">1+$B$13+VLOOKUP($Q71,武学奇术!$A:$ZZ,18,FALSE)+SUM(_xlfn.XLOOKUP($R71:$AK71,增益!$A:$A,增益!$R:$R,0))</f>
        <v>1.94</v>
      </c>
      <c r="BQ71" s="26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6" cm="1">
        <f t="array" ref="BR71">1+$B$14+VLOOKUP($Q71,武学奇术!$A:$ZZ,20,FALSE)+SUM(_xlfn.XLOOKUP($R71:$AK71,增益!$A:$A,增益!$T:$T,0))</f>
        <v>1.35</v>
      </c>
      <c r="BS71" s="26">
        <f t="shared" si="31"/>
        <v>0.87863408</v>
      </c>
      <c r="BT71" s="26">
        <f t="shared" si="32"/>
        <v>0.01567581</v>
      </c>
      <c r="BU71" s="26">
        <f>IF(VLOOKUP($Q71,武学奇术!$A:$ZZ,22,FALSE)=1,0,(1-$BN71))*(1-$BQ71)</f>
        <v>0.01279011</v>
      </c>
      <c r="BV71" s="26" cm="1">
        <f t="array" ref="BV71">SUM(_xlfn.XLOOKUP($R71:$AK71,增益!$A:$A,增益!$W:$W,0))+$I$5</f>
        <v>0.11</v>
      </c>
    </row>
    <row r="72" spans="1:74">
      <c r="A72" t="s">
        <v>164</v>
      </c>
      <c r="B72">
        <v>2</v>
      </c>
      <c r="E72" s="39"/>
      <c r="K72" s="38">
        <f t="shared" si="22"/>
        <v>106559.406348633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110342.76571191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87046.6852831981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56877.7142844898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49276.4024332773</v>
      </c>
      <c r="P72" s="39">
        <v>1</v>
      </c>
      <c r="Q72" s="40" t="s">
        <v>140</v>
      </c>
      <c r="R72" s="40" t="s">
        <v>100</v>
      </c>
      <c r="S72" s="40" t="s">
        <v>158</v>
      </c>
      <c r="T72" s="40" t="s">
        <v>97</v>
      </c>
      <c r="U72" s="40" t="s">
        <v>80</v>
      </c>
      <c r="V72" s="40" t="s">
        <v>73</v>
      </c>
      <c r="W72" s="40" t="s">
        <v>115</v>
      </c>
      <c r="X72" s="40" t="s">
        <v>87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81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82</v>
      </c>
      <c r="AL72" t="str">
        <f>VLOOKUP($Q72,武学奇术!$A:$ZZ,25,FALSE)</f>
        <v>鼓</v>
      </c>
      <c r="AM72" s="26">
        <f>VLOOKUP($Q72,武学奇术!$A:$ZZ,26,FALSE)</f>
        <v>3.26858</v>
      </c>
      <c r="AN72" s="27">
        <f>VLOOKUP($Q72,武学奇术!$A:$ZZ,27,FALSE)*(1+IF(OR($AL72=$F$4,$AL72=$F$5),$B$22,0))</f>
        <v>1377.6</v>
      </c>
      <c r="AO72" s="26">
        <f>VLOOKUP($Q72,武学奇术!$A:$ZZ,28,FALSE)</f>
        <v>4.90294</v>
      </c>
      <c r="AP72" s="27">
        <f>VLOOKUP($Q72,武学奇术!$A:$ZZ,29,FALSE)*(1+IF(OR($AL72=$F$4,$AL72=$F$5),$B$22,0))</f>
        <v>739.2</v>
      </c>
      <c r="AQ72" s="26" cm="1">
        <f t="array" ref="AQ72">$G$3+IFERROR(VLOOKUP($AL72,$F$4:$G$7,2,FALSE),0)+VLOOKUP($Q72,武学奇术!$A:$ZZ,2,FALSE)+SUM(_xlfn.XLOOKUP($R72:$AK72,增益!$A:$A,增益!$B:$B,0))</f>
        <v>0.5041</v>
      </c>
      <c r="AR72" s="26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3673.1</v>
      </c>
      <c r="AT72" cm="1">
        <f t="array" ref="AT72">$E$10*(1+$AR72)+VLOOKUP($Q72,武学奇术!$A:$ZZ,4,FALSE)+SUM(_xlfn.XLOOKUP($R72:$AK72,增益!$A:$A,增益!$D:$D,0))-$I$2</f>
        <v>3673.1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0.417</v>
      </c>
      <c r="AV72" s="32" cm="1">
        <f t="array" ref="AV72">$G$10+VLOOKUP($Q72,武学奇术!$A:$ZZ,7,FALSE)+SUM(_xlfn.XLOOKUP($R72:$AK72,增益!$A:$A,增益!$G:$G,0))</f>
        <v>0.205</v>
      </c>
      <c r="AW72" s="26" cm="1">
        <f t="array" ref="AW72">VLOOKUP($Q72,武学奇术!$A:$ZZ,8,FALSE)+SUM(_xlfn.XLOOKUP($R72:$AK72,增益!$A:$A,增益!$H:$H,0))</f>
        <v>0.12</v>
      </c>
      <c r="AX72">
        <f t="shared" si="23"/>
        <v>0</v>
      </c>
      <c r="AY72">
        <f t="shared" si="24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2" cm="1">
        <f t="array" ref="BA72">$G$11+VLOOKUP($Q72,武学奇术!$A:$ZZ,10,FALSE)+SUM(_xlfn.XLOOKUP($R72:$AK72,增益!$A:$A,增益!$J:$J,0))</f>
        <v>0.06</v>
      </c>
      <c r="BB72">
        <f t="shared" si="25"/>
        <v>0</v>
      </c>
      <c r="BC72">
        <f t="shared" si="26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2" cm="1">
        <f t="array" ref="BE72">$G$12+VLOOKUP($Q72,武学奇术!$A:$ZZ,12,FALSE)+SUM(_xlfn.XLOOKUP($R72:$AK72,增益!$A:$A,增益!$L:$L,0))</f>
        <v>0.06</v>
      </c>
      <c r="BF72">
        <f t="shared" si="27"/>
        <v>639.744</v>
      </c>
      <c r="BG72">
        <f t="shared" si="28"/>
        <v>1823.136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2" cm="1">
        <f t="array" ref="BI72">$G$13+VLOOKUP($Q72,武学奇术!$A:$ZZ,14,FALSE)+SUM(_xlfn.XLOOKUP($R72:$AK72,增益!$A:$A,增益!$N:$N,0))</f>
        <v>0.33</v>
      </c>
      <c r="BJ72">
        <f t="shared" si="29"/>
        <v>0</v>
      </c>
      <c r="BK72">
        <f t="shared" si="30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2" cm="1">
        <f t="array" ref="BM72">$G$14+VLOOKUP($Q72,武学奇术!$A:$ZZ,16,FALSE)+SUM(_xlfn.XLOOKUP($R72:$AK72,增益!$A:$A,增益!$P:$P,0))</f>
        <v>0.06</v>
      </c>
      <c r="BN72" s="26">
        <f>MIN(IF(VLOOKUP($Q72,武学奇术!$A:$ZZ,23,FALSE)=1,100%,$B$8),100%)</f>
        <v>0.9859</v>
      </c>
      <c r="BO72" s="26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6" cm="1">
        <f t="array" ref="BP72">1+$B$13+VLOOKUP($Q72,武学奇术!$A:$ZZ,18,FALSE)+SUM(_xlfn.XLOOKUP($R72:$AK72,增益!$A:$A,增益!$R:$R,0))</f>
        <v>1.94</v>
      </c>
      <c r="BQ72" s="26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6" cm="1">
        <f t="array" ref="BR72">1+$B$14+VLOOKUP($Q72,武学奇术!$A:$ZZ,20,FALSE)+SUM(_xlfn.XLOOKUP($R72:$AK72,增益!$A:$A,增益!$T:$T,0))</f>
        <v>1.35</v>
      </c>
      <c r="BS72" s="26">
        <f t="shared" si="31"/>
        <v>0.87863408</v>
      </c>
      <c r="BT72" s="26">
        <f t="shared" si="32"/>
        <v>0.01567581</v>
      </c>
      <c r="BU72" s="26">
        <f>IF(VLOOKUP($Q72,武学奇术!$A:$ZZ,22,FALSE)=1,0,(1-$BN72))*(1-$BQ72)</f>
        <v>0.01279011</v>
      </c>
      <c r="BV72" s="26" cm="1">
        <f t="array" ref="BV72">SUM(_xlfn.XLOOKUP($R72:$AK72,增益!$A:$A,增益!$W:$W,0))+$I$5</f>
        <v>0.11</v>
      </c>
    </row>
    <row r="73" spans="1:74">
      <c r="A73" t="s">
        <v>165</v>
      </c>
      <c r="B73">
        <v>1.6</v>
      </c>
      <c r="E73" s="39"/>
      <c r="K73" s="38">
        <f t="shared" si="22"/>
        <v>22544.4813375611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22967.2608698325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21418.9757345891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14004.4273596539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12142.9467677604</v>
      </c>
      <c r="P73" s="39">
        <v>1</v>
      </c>
      <c r="Q73" s="40" t="s">
        <v>133</v>
      </c>
      <c r="R73" s="40" t="s">
        <v>100</v>
      </c>
      <c r="S73" s="40" t="s">
        <v>158</v>
      </c>
      <c r="T73" s="40" t="s">
        <v>97</v>
      </c>
      <c r="U73" s="40" t="s">
        <v>80</v>
      </c>
      <c r="V73" s="40" t="s">
        <v>73</v>
      </c>
      <c r="W73" s="40" t="s">
        <v>115</v>
      </c>
      <c r="X73" s="40" t="s">
        <v>87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80</v>
      </c>
      <c r="AE73" s="40" t="s">
        <v>80</v>
      </c>
      <c r="AF73" s="40" t="s">
        <v>81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82</v>
      </c>
      <c r="AL73" t="str">
        <f>VLOOKUP($Q73,武学奇术!$A:$ZZ,25,FALSE)</f>
        <v>鼓</v>
      </c>
      <c r="AM73" s="26">
        <f>VLOOKUP($Q73,武学奇术!$A:$ZZ,26,FALSE)</f>
        <v>0.8434</v>
      </c>
      <c r="AN73" s="27">
        <f>VLOOKUP($Q73,武学奇术!$A:$ZZ,27,FALSE)*(1+IF(OR($AL73=$F$4,$AL73=$F$5),$B$22,0))</f>
        <v>352.5</v>
      </c>
      <c r="AO73" s="26">
        <f>VLOOKUP($Q73,武学奇术!$A:$ZZ,28,FALSE)</f>
        <v>1.265</v>
      </c>
      <c r="AP73" s="27">
        <f>VLOOKUP($Q73,武学奇术!$A:$ZZ,29,FALSE)*(1+IF(OR($AL73=$F$4,$AL73=$F$5),$B$22,0))</f>
        <v>190.5</v>
      </c>
      <c r="AQ73" s="26" cm="1">
        <f t="array" ref="AQ73">$G$3+IFERROR(VLOOKUP($AL73,$F$4:$G$7,2,FALSE),0)+VLOOKUP($Q73,武学奇术!$A:$ZZ,2,FALSE)+SUM(_xlfn.XLOOKUP($R73:$AK73,增益!$A:$A,增益!$B:$B,0))</f>
        <v>0.5041</v>
      </c>
      <c r="AR73" s="26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3673.1</v>
      </c>
      <c r="AT73" cm="1">
        <f t="array" ref="AT73">$E$10*(1+$AR73)+VLOOKUP($Q73,武学奇术!$A:$ZZ,4,FALSE)+SUM(_xlfn.XLOOKUP($R73:$AK73,增益!$A:$A,增益!$D:$D,0))-$I$2</f>
        <v>3673.1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0.357</v>
      </c>
      <c r="AV73" s="32" cm="1">
        <f t="array" ref="AV73">$G$10+VLOOKUP($Q73,武学奇术!$A:$ZZ,7,FALSE)+SUM(_xlfn.XLOOKUP($R73:$AK73,增益!$A:$A,增益!$G:$G,0))</f>
        <v>0.205</v>
      </c>
      <c r="AW73" s="26" cm="1">
        <f t="array" ref="AW73">VLOOKUP($Q73,武学奇术!$A:$ZZ,8,FALSE)+SUM(_xlfn.XLOOKUP($R73:$AK73,增益!$A:$A,增益!$H:$H,0))</f>
        <v>0.12</v>
      </c>
      <c r="AX73">
        <f t="shared" si="23"/>
        <v>0</v>
      </c>
      <c r="AY73">
        <f t="shared" si="24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2" cm="1">
        <f t="array" ref="BA73">$G$11+VLOOKUP($Q73,武学奇术!$A:$ZZ,10,FALSE)+SUM(_xlfn.XLOOKUP($R73:$AK73,增益!$A:$A,增益!$J:$J,0))</f>
        <v>0.06</v>
      </c>
      <c r="BB73">
        <f t="shared" si="25"/>
        <v>0</v>
      </c>
      <c r="BC73">
        <f t="shared" si="26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2" cm="1">
        <f t="array" ref="BE73">$G$12+VLOOKUP($Q73,武学奇术!$A:$ZZ,12,FALSE)+SUM(_xlfn.XLOOKUP($R73:$AK73,增益!$A:$A,增益!$L:$L,0))</f>
        <v>0.06</v>
      </c>
      <c r="BF73">
        <f t="shared" si="27"/>
        <v>639.744</v>
      </c>
      <c r="BG73">
        <f t="shared" si="28"/>
        <v>1823.136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2" cm="1">
        <f t="array" ref="BI73">$G$13+VLOOKUP($Q73,武学奇术!$A:$ZZ,14,FALSE)+SUM(_xlfn.XLOOKUP($R73:$AK73,增益!$A:$A,增益!$N:$N,0))</f>
        <v>0.33</v>
      </c>
      <c r="BJ73">
        <f t="shared" si="29"/>
        <v>0</v>
      </c>
      <c r="BK73">
        <f t="shared" si="30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2" cm="1">
        <f t="array" ref="BM73">$G$14+VLOOKUP($Q73,武学奇术!$A:$ZZ,16,FALSE)+SUM(_xlfn.XLOOKUP($R73:$AK73,增益!$A:$A,增益!$P:$P,0))</f>
        <v>0.06</v>
      </c>
      <c r="BN73" s="26">
        <f>MIN(IF(VLOOKUP($Q73,武学奇术!$A:$ZZ,23,FALSE)=1,100%,$B$8),100%)</f>
        <v>0.9859</v>
      </c>
      <c r="BO73" s="26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6" cm="1">
        <f t="array" ref="BP73">1+$B$13+VLOOKUP($Q73,武学奇术!$A:$ZZ,18,FALSE)+SUM(_xlfn.XLOOKUP($R73:$AK73,增益!$A:$A,增益!$R:$R,0))</f>
        <v>1.64</v>
      </c>
      <c r="BQ73" s="26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6" cm="1">
        <f t="array" ref="BR73">1+$B$14+VLOOKUP($Q73,武学奇术!$A:$ZZ,20,FALSE)+SUM(_xlfn.XLOOKUP($R73:$AK73,增益!$A:$A,增益!$T:$T,0))</f>
        <v>1.35</v>
      </c>
      <c r="BS73" s="26">
        <f t="shared" si="31"/>
        <v>0.87863408</v>
      </c>
      <c r="BT73" s="26">
        <f t="shared" si="32"/>
        <v>0.01567581</v>
      </c>
      <c r="BU73" s="26">
        <f>IF(VLOOKUP($Q73,武学奇术!$A:$ZZ,22,FALSE)=1,0,(1-$BN73))*(1-$BQ73)</f>
        <v>0.01279011</v>
      </c>
      <c r="BV73" s="26" cm="1">
        <f t="array" ref="BV73">SUM(_xlfn.XLOOKUP($R73:$AK73,增益!$A:$A,增益!$W:$W,0))+$I$5</f>
        <v>0.11</v>
      </c>
    </row>
    <row r="74" spans="1:74">
      <c r="A74" t="s">
        <v>167</v>
      </c>
      <c r="B74">
        <v>1.3</v>
      </c>
      <c r="E74" s="39"/>
      <c r="K74" s="38">
        <f t="shared" ref="K74:K92" si="33">($L74*$BS74+$M74*$BQ74+$N74*$BT74+$O74*$BU74)</f>
        <v>33857.1929725861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35059.0334297527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27660.0875965037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18071.6667163674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15654.3796575468</v>
      </c>
      <c r="P74" s="39">
        <v>1</v>
      </c>
      <c r="Q74" s="40" t="s">
        <v>137</v>
      </c>
      <c r="R74" s="40" t="s">
        <v>100</v>
      </c>
      <c r="S74" s="40" t="s">
        <v>158</v>
      </c>
      <c r="T74" s="40" t="s">
        <v>97</v>
      </c>
      <c r="U74" s="40" t="s">
        <v>80</v>
      </c>
      <c r="V74" s="40" t="s">
        <v>73</v>
      </c>
      <c r="W74" s="40" t="s">
        <v>115</v>
      </c>
      <c r="X74" s="40" t="s">
        <v>87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81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82</v>
      </c>
      <c r="AL74" t="str">
        <f>VLOOKUP($Q74,武学奇术!$A:$ZZ,25,FALSE)</f>
        <v>鼓</v>
      </c>
      <c r="AM74" s="26">
        <f>VLOOKUP($Q74,武学奇术!$A:$ZZ,26,FALSE)</f>
        <v>1.03936</v>
      </c>
      <c r="AN74" s="27">
        <f>VLOOKUP($Q74,武学奇术!$A:$ZZ,27,FALSE)*(1+IF(OR($AL74=$F$4,$AL74=$F$5),$B$22,0))</f>
        <v>432.6</v>
      </c>
      <c r="AO74" s="26">
        <f>VLOOKUP($Q74,武学奇术!$A:$ZZ,28,FALSE)</f>
        <v>1.55918</v>
      </c>
      <c r="AP74" s="27">
        <f>VLOOKUP($Q74,武学奇术!$A:$ZZ,29,FALSE)*(1+IF(OR($AL74=$F$4,$AL74=$F$5),$B$22,0))</f>
        <v>235.2</v>
      </c>
      <c r="AQ74" s="26" cm="1">
        <f t="array" ref="AQ74">$G$3+IFERROR(VLOOKUP($AL74,$F$4:$G$7,2,FALSE),0)+VLOOKUP($Q74,武学奇术!$A:$ZZ,2,FALSE)+SUM(_xlfn.XLOOKUP($R74:$AK74,增益!$A:$A,增益!$B:$B,0))</f>
        <v>0.5041</v>
      </c>
      <c r="AR74" s="26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3673.1</v>
      </c>
      <c r="AT74" cm="1">
        <f t="array" ref="AT74">$E$10*(1+$AR74)+VLOOKUP($Q74,武学奇术!$A:$ZZ,4,FALSE)+SUM(_xlfn.XLOOKUP($R74:$AK74,增益!$A:$A,增益!$D:$D,0))-$I$2</f>
        <v>3673.1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0.417</v>
      </c>
      <c r="AV74" s="32" cm="1">
        <f t="array" ref="AV74">$G$10+VLOOKUP($Q74,武学奇术!$A:$ZZ,7,FALSE)+SUM(_xlfn.XLOOKUP($R74:$AK74,增益!$A:$A,增益!$G:$G,0))</f>
        <v>0.205</v>
      </c>
      <c r="AW74" s="26" cm="1">
        <f t="array" ref="AW74">VLOOKUP($Q74,武学奇术!$A:$ZZ,8,FALSE)+SUM(_xlfn.XLOOKUP($R74:$AK74,增益!$A:$A,增益!$H:$H,0))</f>
        <v>0.12</v>
      </c>
      <c r="AX74">
        <f t="shared" si="23"/>
        <v>0</v>
      </c>
      <c r="AY74">
        <f t="shared" si="24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2" cm="1">
        <f t="array" ref="BA74">$G$11+VLOOKUP($Q74,武学奇术!$A:$ZZ,10,FALSE)+SUM(_xlfn.XLOOKUP($R74:$AK74,增益!$A:$A,增益!$J:$J,0))</f>
        <v>0.06</v>
      </c>
      <c r="BB74">
        <f t="shared" si="25"/>
        <v>0</v>
      </c>
      <c r="BC74">
        <f t="shared" si="26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2" cm="1">
        <f t="array" ref="BE74">$G$12+VLOOKUP($Q74,武学奇术!$A:$ZZ,12,FALSE)+SUM(_xlfn.XLOOKUP($R74:$AK74,增益!$A:$A,增益!$L:$L,0))</f>
        <v>0.06</v>
      </c>
      <c r="BF74">
        <f t="shared" si="27"/>
        <v>639.744</v>
      </c>
      <c r="BG74">
        <f t="shared" si="28"/>
        <v>1823.136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2" cm="1">
        <f t="array" ref="BI74">$G$13+VLOOKUP($Q74,武学奇术!$A:$ZZ,14,FALSE)+SUM(_xlfn.XLOOKUP($R74:$AK74,增益!$A:$A,增益!$N:$N,0))</f>
        <v>0.33</v>
      </c>
      <c r="BJ74">
        <f t="shared" si="29"/>
        <v>0</v>
      </c>
      <c r="BK74">
        <f t="shared" si="30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2" cm="1">
        <f t="array" ref="BM74">$G$14+VLOOKUP($Q74,武学奇术!$A:$ZZ,16,FALSE)+SUM(_xlfn.XLOOKUP($R74:$AK74,增益!$A:$A,增益!$P:$P,0))</f>
        <v>0.06</v>
      </c>
      <c r="BN74" s="26">
        <f>MIN(IF(VLOOKUP($Q74,武学奇术!$A:$ZZ,23,FALSE)=1,100%,$B$8),100%)</f>
        <v>0.9859</v>
      </c>
      <c r="BO74" s="26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6" cm="1">
        <f t="array" ref="BP74">1+$B$13+VLOOKUP($Q74,武学奇术!$A:$ZZ,18,FALSE)+SUM(_xlfn.XLOOKUP($R74:$AK74,增益!$A:$A,增益!$R:$R,0))</f>
        <v>1.94</v>
      </c>
      <c r="BQ74" s="26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6" cm="1">
        <f t="array" ref="BR74">1+$B$14+VLOOKUP($Q74,武学奇术!$A:$ZZ,20,FALSE)+SUM(_xlfn.XLOOKUP($R74:$AK74,增益!$A:$A,增益!$T:$T,0))</f>
        <v>1.35</v>
      </c>
      <c r="BS74" s="26">
        <f t="shared" si="31"/>
        <v>0.87863408</v>
      </c>
      <c r="BT74" s="26">
        <f t="shared" si="32"/>
        <v>0.01567581</v>
      </c>
      <c r="BU74" s="26">
        <f>IF(VLOOKUP($Q74,武学奇术!$A:$ZZ,22,FALSE)=1,0,(1-$BN74))*(1-$BQ74)</f>
        <v>0.01279011</v>
      </c>
      <c r="BV74" s="26" cm="1">
        <f t="array" ref="BV74">SUM(_xlfn.XLOOKUP($R74:$AK74,增益!$A:$A,增益!$W:$W,0))+$I$5</f>
        <v>0.11</v>
      </c>
    </row>
    <row r="75" spans="1:74">
      <c r="A75" t="s">
        <v>165</v>
      </c>
      <c r="B75">
        <v>1.6</v>
      </c>
      <c r="E75" s="39"/>
      <c r="K75" s="38">
        <f t="shared" si="33"/>
        <v>104142.084537125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107879.932430154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84637.1447114246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55608.2125928628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48522.2439180037</v>
      </c>
      <c r="P75" s="39">
        <v>1</v>
      </c>
      <c r="Q75" s="40" t="s">
        <v>140</v>
      </c>
      <c r="R75" s="40" t="s">
        <v>100</v>
      </c>
      <c r="S75" s="40" t="s">
        <v>158</v>
      </c>
      <c r="T75" s="40" t="s">
        <v>97</v>
      </c>
      <c r="U75" s="40" t="s">
        <v>80</v>
      </c>
      <c r="V75" s="40" t="s">
        <v>73</v>
      </c>
      <c r="W75" s="40" t="s">
        <v>115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81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82</v>
      </c>
      <c r="AL75" t="str">
        <f>VLOOKUP($Q75,武学奇术!$A:$ZZ,25,FALSE)</f>
        <v>鼓</v>
      </c>
      <c r="AM75" s="26">
        <f>VLOOKUP($Q75,武学奇术!$A:$ZZ,26,FALSE)</f>
        <v>3.26858</v>
      </c>
      <c r="AN75" s="27">
        <f>VLOOKUP($Q75,武学奇术!$A:$ZZ,27,FALSE)*(1+IF(OR($AL75=$F$4,$AL75=$F$5),$B$22,0))</f>
        <v>1377.6</v>
      </c>
      <c r="AO75" s="26">
        <f>VLOOKUP($Q75,武学奇术!$A:$ZZ,28,FALSE)</f>
        <v>4.90294</v>
      </c>
      <c r="AP75" s="27">
        <f>VLOOKUP($Q75,武学奇术!$A:$ZZ,29,FALSE)*(1+IF(OR($AL75=$F$4,$AL75=$F$5),$B$22,0))</f>
        <v>739.2</v>
      </c>
      <c r="AQ75" s="26" cm="1">
        <f t="array" ref="AQ75">$G$3+IFERROR(VLOOKUP($AL75,$F$4:$G$7,2,FALSE),0)+VLOOKUP($Q75,武学奇术!$A:$ZZ,2,FALSE)+SUM(_xlfn.XLOOKUP($R75:$AK75,增益!$A:$A,增益!$B:$B,0))</f>
        <v>0.5041</v>
      </c>
      <c r="AR75" s="26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3673.1</v>
      </c>
      <c r="AT75" cm="1">
        <f t="array" ref="AT75">$E$10*(1+$AR75)+VLOOKUP($Q75,武学奇术!$A:$ZZ,4,FALSE)+SUM(_xlfn.XLOOKUP($R75:$AK75,增益!$A:$A,增益!$D:$D,0))-$I$2</f>
        <v>3673.1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0.417</v>
      </c>
      <c r="AV75" s="32" cm="1">
        <f t="array" ref="AV75">$G$10+VLOOKUP($Q75,武学奇术!$A:$ZZ,7,FALSE)+SUM(_xlfn.XLOOKUP($R75:$AK75,增益!$A:$A,增益!$G:$G,0))</f>
        <v>0.205</v>
      </c>
      <c r="AW75" s="26" cm="1">
        <f t="array" ref="AW75">VLOOKUP($Q75,武学奇术!$A:$ZZ,8,FALSE)+SUM(_xlfn.XLOOKUP($R75:$AK75,增益!$A:$A,增益!$H:$H,0))</f>
        <v>0.12</v>
      </c>
      <c r="AX75">
        <f t="shared" si="23"/>
        <v>0</v>
      </c>
      <c r="AY75">
        <f t="shared" si="24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2" cm="1">
        <f t="array" ref="BA75">$G$11+VLOOKUP($Q75,武学奇术!$A:$ZZ,10,FALSE)+SUM(_xlfn.XLOOKUP($R75:$AK75,增益!$A:$A,增益!$J:$J,0))</f>
        <v>0.06</v>
      </c>
      <c r="BB75">
        <f t="shared" si="25"/>
        <v>0</v>
      </c>
      <c r="BC75">
        <f t="shared" si="26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2" cm="1">
        <f t="array" ref="BE75">$G$12+VLOOKUP($Q75,武学奇术!$A:$ZZ,12,FALSE)+SUM(_xlfn.XLOOKUP($R75:$AK75,增益!$A:$A,增益!$L:$L,0))</f>
        <v>0.06</v>
      </c>
      <c r="BF75">
        <f t="shared" si="27"/>
        <v>639.744</v>
      </c>
      <c r="BG75">
        <f t="shared" si="28"/>
        <v>1823.136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2" cm="1">
        <f t="array" ref="BI75">$G$13+VLOOKUP($Q75,武学奇术!$A:$ZZ,14,FALSE)+SUM(_xlfn.XLOOKUP($R75:$AK75,增益!$A:$A,增益!$N:$N,0))</f>
        <v>0.33</v>
      </c>
      <c r="BJ75">
        <f t="shared" si="29"/>
        <v>0</v>
      </c>
      <c r="BK75">
        <f t="shared" si="30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2" cm="1">
        <f t="array" ref="BM75">$G$14+VLOOKUP($Q75,武学奇术!$A:$ZZ,16,FALSE)+SUM(_xlfn.XLOOKUP($R75:$AK75,增益!$A:$A,增益!$P:$P,0))</f>
        <v>0.06</v>
      </c>
      <c r="BN75" s="26">
        <f>MIN(IF(VLOOKUP($Q75,武学奇术!$A:$ZZ,23,FALSE)=1,100%,$B$8),100%)</f>
        <v>0.9859</v>
      </c>
      <c r="BO75" s="26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6" cm="1">
        <f t="array" ref="BP75">1+$B$13+VLOOKUP($Q75,武学奇术!$A:$ZZ,18,FALSE)+SUM(_xlfn.XLOOKUP($R75:$AK75,增益!$A:$A,增益!$R:$R,0))</f>
        <v>1.94</v>
      </c>
      <c r="BQ75" s="26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6" cm="1">
        <f t="array" ref="BR75">1+$B$14+VLOOKUP($Q75,武学奇术!$A:$ZZ,20,FALSE)+SUM(_xlfn.XLOOKUP($R75:$AK75,增益!$A:$A,增益!$T:$T,0))</f>
        <v>1.35</v>
      </c>
      <c r="BS75" s="26">
        <f t="shared" si="31"/>
        <v>0.87863408</v>
      </c>
      <c r="BT75" s="26">
        <f t="shared" si="32"/>
        <v>0.01567581</v>
      </c>
      <c r="BU75" s="26">
        <f>IF(VLOOKUP($Q75,武学奇术!$A:$ZZ,22,FALSE)=1,0,(1-$BN75))*(1-$BQ75)</f>
        <v>0.01279011</v>
      </c>
      <c r="BV75" s="26" cm="1">
        <f t="array" ref="BV75">SUM(_xlfn.XLOOKUP($R75:$AK75,增益!$A:$A,增益!$W:$W,0))+$I$5</f>
        <v>0.11</v>
      </c>
    </row>
    <row r="76" spans="1:74">
      <c r="A76" t="s">
        <v>167</v>
      </c>
      <c r="B76">
        <v>1.3</v>
      </c>
      <c r="E76" s="39"/>
      <c r="K76" s="38">
        <f t="shared" si="33"/>
        <v>58997.7948995376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60087.9995855457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56227.7794956754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36639.0241375278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31627.841241222</v>
      </c>
      <c r="P76" s="39">
        <v>2</v>
      </c>
      <c r="Q76" s="40" t="s">
        <v>75</v>
      </c>
      <c r="R76" s="40" t="s">
        <v>100</v>
      </c>
      <c r="S76" s="40" t="s">
        <v>158</v>
      </c>
      <c r="T76" s="40" t="s">
        <v>97</v>
      </c>
      <c r="U76" s="40" t="s">
        <v>80</v>
      </c>
      <c r="V76" s="40" t="s">
        <v>73</v>
      </c>
      <c r="W76" s="40" t="s">
        <v>80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80</v>
      </c>
      <c r="AE76" s="40" t="s">
        <v>80</v>
      </c>
      <c r="AF76" s="40" t="s">
        <v>81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82</v>
      </c>
      <c r="AL76" t="str">
        <f>VLOOKUP($Q76,武学奇术!$A:$ZZ,25,FALSE)</f>
        <v>群体奇术</v>
      </c>
      <c r="AM76" s="26">
        <f>VLOOKUP($Q76,武学奇术!$A:$ZZ,26,FALSE)</f>
        <v>1.4904</v>
      </c>
      <c r="AN76" s="27">
        <f>VLOOKUP($Q76,武学奇术!$A:$ZZ,27,FALSE)*(1+IF(OR($AL76=$F$4,$AL76=$F$5),$B$22,0))</f>
        <v>378</v>
      </c>
      <c r="AO76" s="26">
        <f>VLOOKUP($Q76,武学奇术!$A:$ZZ,28,FALSE)</f>
        <v>2.2356</v>
      </c>
      <c r="AP76" s="27">
        <f>VLOOKUP($Q76,武学奇术!$A:$ZZ,29,FALSE)*(1+IF(OR($AL76=$F$4,$AL76=$F$5),$B$22,0))</f>
        <v>0</v>
      </c>
      <c r="AQ76" s="26" cm="1">
        <f t="array" ref="AQ76">$G$3+IFERROR(VLOOKUP($AL76,$F$4:$G$7,2,FALSE),0)+VLOOKUP($Q76,武学奇术!$A:$ZZ,2,FALSE)+SUM(_xlfn.XLOOKUP($R76:$AK76,增益!$A:$A,增益!$B:$B,0))</f>
        <v>0.2337</v>
      </c>
      <c r="AR76" s="26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3673.1</v>
      </c>
      <c r="AT76" cm="1">
        <f t="array" ref="AT76">$E$10*(1+$AR76)+VLOOKUP($Q76,武学奇术!$A:$ZZ,4,FALSE)+SUM(_xlfn.XLOOKUP($R76:$AK76,增益!$A:$A,增益!$D:$D,0))-$I$2</f>
        <v>3673.1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0.357</v>
      </c>
      <c r="AV76" s="32" cm="1">
        <f t="array" ref="AV76">$G$10+VLOOKUP($Q76,武学奇术!$A:$ZZ,7,FALSE)+SUM(_xlfn.XLOOKUP($R76:$AK76,增益!$A:$A,增益!$G:$G,0))</f>
        <v>0.205</v>
      </c>
      <c r="AW76" s="26" cm="1">
        <f t="array" ref="AW76">VLOOKUP($Q76,武学奇术!$A:$ZZ,8,FALSE)+SUM(_xlfn.XLOOKUP($R76:$AK76,增益!$A:$A,增益!$H:$H,0))</f>
        <v>0.12</v>
      </c>
      <c r="AX76">
        <f t="shared" si="23"/>
        <v>0</v>
      </c>
      <c r="AY76">
        <f t="shared" si="24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2" cm="1">
        <f t="array" ref="BA76">$G$11+VLOOKUP($Q76,武学奇术!$A:$ZZ,10,FALSE)+SUM(_xlfn.XLOOKUP($R76:$AK76,增益!$A:$A,增益!$J:$J,0))</f>
        <v>0.06</v>
      </c>
      <c r="BB76">
        <f t="shared" si="25"/>
        <v>0</v>
      </c>
      <c r="BC76">
        <f t="shared" si="26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2" cm="1">
        <f t="array" ref="BE76">$G$12+VLOOKUP($Q76,武学奇术!$A:$ZZ,12,FALSE)+SUM(_xlfn.XLOOKUP($R76:$AK76,增益!$A:$A,增益!$L:$L,0))</f>
        <v>0.06</v>
      </c>
      <c r="BF76">
        <f t="shared" si="27"/>
        <v>639.744</v>
      </c>
      <c r="BG76">
        <f t="shared" si="28"/>
        <v>1823.136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2" cm="1">
        <f t="array" ref="BI76">$G$13+VLOOKUP($Q76,武学奇术!$A:$ZZ,14,FALSE)+SUM(_xlfn.XLOOKUP($R76:$AK76,增益!$A:$A,增益!$N:$N,0))</f>
        <v>0.33</v>
      </c>
      <c r="BJ76">
        <f t="shared" si="29"/>
        <v>0</v>
      </c>
      <c r="BK76">
        <f t="shared" si="30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2" cm="1">
        <f t="array" ref="BM76">$G$14+VLOOKUP($Q76,武学奇术!$A:$ZZ,16,FALSE)+SUM(_xlfn.XLOOKUP($R76:$AK76,增益!$A:$A,增益!$P:$P,0))</f>
        <v>0.06</v>
      </c>
      <c r="BN76" s="26">
        <f>MIN(IF(VLOOKUP($Q76,武学奇术!$A:$ZZ,23,FALSE)=1,100%,$B$8),100%)</f>
        <v>0.9859</v>
      </c>
      <c r="BO76" s="26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6" cm="1">
        <f t="array" ref="BP76">1+$B$13+VLOOKUP($Q76,武学奇术!$A:$ZZ,18,FALSE)+SUM(_xlfn.XLOOKUP($R76:$AK76,增益!$A:$A,增益!$R:$R,0))</f>
        <v>1.64</v>
      </c>
      <c r="BQ76" s="26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6" cm="1">
        <f t="array" ref="BR76">1+$B$14+VLOOKUP($Q76,武学奇术!$A:$ZZ,20,FALSE)+SUM(_xlfn.XLOOKUP($R76:$AK76,增益!$A:$A,增益!$T:$T,0))</f>
        <v>1.35</v>
      </c>
      <c r="BS76" s="26">
        <f t="shared" si="31"/>
        <v>0.87863408</v>
      </c>
      <c r="BT76" s="26">
        <f t="shared" si="32"/>
        <v>0.01567581</v>
      </c>
      <c r="BU76" s="26">
        <f>IF(VLOOKUP($Q76,武学奇术!$A:$ZZ,22,FALSE)=1,0,(1-$BN76))*(1-$BQ76)</f>
        <v>0.01279011</v>
      </c>
      <c r="BV76" s="26" cm="1">
        <f t="array" ref="BV76">SUM(_xlfn.XLOOKUP($R76:$AK76,增益!$A:$A,增益!$W:$W,0))+$I$5</f>
        <v>0.11</v>
      </c>
    </row>
    <row r="77" spans="1:74">
      <c r="A77" t="s">
        <v>159</v>
      </c>
      <c r="B77">
        <v>1.3</v>
      </c>
      <c r="E77" s="39"/>
      <c r="K77" s="38">
        <f t="shared" si="33"/>
        <v>122892.374961761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125206.463566994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116654.506732433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76345.4046140207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66280.0635003129</v>
      </c>
      <c r="P77" s="39">
        <v>3</v>
      </c>
      <c r="Q77" s="40" t="s">
        <v>75</v>
      </c>
      <c r="R77" s="40" t="s">
        <v>100</v>
      </c>
      <c r="S77" s="40" t="s">
        <v>158</v>
      </c>
      <c r="T77" s="40" t="s">
        <v>78</v>
      </c>
      <c r="U77" s="40" t="s">
        <v>80</v>
      </c>
      <c r="V77" s="40" t="s">
        <v>73</v>
      </c>
      <c r="W77" s="40" t="s">
        <v>80</v>
      </c>
      <c r="X77" s="40" t="s">
        <v>87</v>
      </c>
      <c r="Y77" s="40" t="s">
        <v>169</v>
      </c>
      <c r="Z77" s="40" t="s">
        <v>170</v>
      </c>
      <c r="AA77" s="40" t="s">
        <v>171</v>
      </c>
      <c r="AB77" s="40" t="s">
        <v>80</v>
      </c>
      <c r="AC77" s="40" t="s">
        <v>80</v>
      </c>
      <c r="AD77" s="40" t="s">
        <v>80</v>
      </c>
      <c r="AE77" s="40" t="s">
        <v>80</v>
      </c>
      <c r="AF77" s="40" t="s">
        <v>81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82</v>
      </c>
      <c r="AL77" t="str">
        <f>VLOOKUP($Q77,武学奇术!$A:$ZZ,25,FALSE)</f>
        <v>群体奇术</v>
      </c>
      <c r="AM77" s="26">
        <f>VLOOKUP($Q77,武学奇术!$A:$ZZ,26,FALSE)</f>
        <v>1.4904</v>
      </c>
      <c r="AN77" s="27">
        <f>VLOOKUP($Q77,武学奇术!$A:$ZZ,27,FALSE)*(1+IF(OR($AL77=$F$4,$AL77=$F$5),$B$22,0))</f>
        <v>378</v>
      </c>
      <c r="AO77" s="26">
        <f>VLOOKUP($Q77,武学奇术!$A:$ZZ,28,FALSE)</f>
        <v>2.2356</v>
      </c>
      <c r="AP77" s="27">
        <f>VLOOKUP($Q77,武学奇术!$A:$ZZ,29,FALSE)*(1+IF(OR($AL77=$F$4,$AL77=$F$5),$B$22,0))</f>
        <v>0</v>
      </c>
      <c r="AQ77" s="26" cm="1">
        <f t="array" ref="AQ77">$G$3+IFERROR(VLOOKUP($AL77,$F$4:$G$7,2,FALSE),0)+VLOOKUP($Q77,武学奇术!$A:$ZZ,2,FALSE)+SUM(_xlfn.XLOOKUP($R77:$AK77,增益!$A:$A,增益!$B:$B,0))</f>
        <v>0.2337</v>
      </c>
      <c r="AR77" s="26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4434.698</v>
      </c>
      <c r="AT77" cm="1">
        <f t="array" ref="AT77">$E$10*(1+$AR77)+VLOOKUP($Q77,武学奇术!$A:$ZZ,4,FALSE)+SUM(_xlfn.XLOOKUP($R77:$AK77,增益!$A:$A,增益!$D:$D,0))-$I$2</f>
        <v>4434.698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0.357</v>
      </c>
      <c r="AV77" s="32" cm="1">
        <f t="array" ref="AV77">$G$10+VLOOKUP($Q77,武学奇术!$A:$ZZ,7,FALSE)+SUM(_xlfn.XLOOKUP($R77:$AK77,增益!$A:$A,增益!$G:$G,0))</f>
        <v>0.205</v>
      </c>
      <c r="AW77" s="26" cm="1">
        <f t="array" ref="AW77">VLOOKUP($Q77,武学奇术!$A:$ZZ,8,FALSE)+SUM(_xlfn.XLOOKUP($R77:$AK77,增益!$A:$A,增益!$H:$H,0))</f>
        <v>0.18</v>
      </c>
      <c r="AX77">
        <f t="shared" si="23"/>
        <v>0</v>
      </c>
      <c r="AY77">
        <f t="shared" si="24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2" cm="1">
        <f t="array" ref="BA77">$G$11+VLOOKUP($Q77,武学奇术!$A:$ZZ,10,FALSE)+SUM(_xlfn.XLOOKUP($R77:$AK77,增益!$A:$A,增益!$J:$J,0))</f>
        <v>0.16</v>
      </c>
      <c r="BB77">
        <f t="shared" si="25"/>
        <v>0</v>
      </c>
      <c r="BC77">
        <f t="shared" si="26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2" cm="1">
        <f t="array" ref="BE77">$G$12+VLOOKUP($Q77,武学奇术!$A:$ZZ,12,FALSE)+SUM(_xlfn.XLOOKUP($R77:$AK77,增益!$A:$A,增益!$L:$L,0))</f>
        <v>0.06</v>
      </c>
      <c r="BF77">
        <f t="shared" si="27"/>
        <v>674.016</v>
      </c>
      <c r="BG77">
        <f t="shared" si="28"/>
        <v>1920.804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2" cm="1">
        <f t="array" ref="BI77">$G$13+VLOOKUP($Q77,武学奇术!$A:$ZZ,14,FALSE)+SUM(_xlfn.XLOOKUP($R77:$AK77,增益!$A:$A,增益!$N:$N,0))</f>
        <v>0.33</v>
      </c>
      <c r="BJ77">
        <f t="shared" si="29"/>
        <v>0</v>
      </c>
      <c r="BK77">
        <f t="shared" si="30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2" cm="1">
        <f t="array" ref="BM77">$G$14+VLOOKUP($Q77,武学奇术!$A:$ZZ,16,FALSE)+SUM(_xlfn.XLOOKUP($R77:$AK77,增益!$A:$A,增益!$P:$P,0))</f>
        <v>0.06</v>
      </c>
      <c r="BN77" s="26">
        <f>MIN(IF(VLOOKUP($Q77,武学奇术!$A:$ZZ,23,FALSE)=1,100%,$B$8),100%)</f>
        <v>0.9859</v>
      </c>
      <c r="BO77" s="26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6" cm="1">
        <f t="array" ref="BP77">1+$B$13+VLOOKUP($Q77,武学奇术!$A:$ZZ,18,FALSE)+SUM(_xlfn.XLOOKUP($R77:$AK77,增益!$A:$A,增益!$R:$R,0))</f>
        <v>1.64</v>
      </c>
      <c r="BQ77" s="26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6" cm="1">
        <f t="array" ref="BR77">1+$B$14+VLOOKUP($Q77,武学奇术!$A:$ZZ,20,FALSE)+SUM(_xlfn.XLOOKUP($R77:$AK77,增益!$A:$A,增益!$T:$T,0))</f>
        <v>1.35</v>
      </c>
      <c r="BS77" s="26">
        <f t="shared" si="31"/>
        <v>0.87863408</v>
      </c>
      <c r="BT77" s="26">
        <f t="shared" si="32"/>
        <v>0.01567581</v>
      </c>
      <c r="BU77" s="26">
        <f>IF(VLOOKUP($Q77,武学奇术!$A:$ZZ,22,FALSE)=1,0,(1-$BN77))*(1-$BQ77)</f>
        <v>0.01279011</v>
      </c>
      <c r="BV77" s="26" cm="1">
        <f t="array" ref="BV77">SUM(_xlfn.XLOOKUP($R77:$AK77,增益!$A:$A,增益!$W:$W,0))+$I$5</f>
        <v>0.31</v>
      </c>
    </row>
    <row r="78" spans="1:74">
      <c r="A78" t="s">
        <v>178</v>
      </c>
      <c r="B78">
        <v>0.5</v>
      </c>
      <c r="K78" s="38">
        <f t="shared" si="33"/>
        <v>99525.7673020333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101438.032235649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94060.3997840483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61852.4586802739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54030.5471501416</v>
      </c>
      <c r="P78" s="39">
        <v>1</v>
      </c>
      <c r="Q78" s="40" t="s">
        <v>108</v>
      </c>
      <c r="R78" s="40" t="s">
        <v>100</v>
      </c>
      <c r="S78" s="40" t="s">
        <v>158</v>
      </c>
      <c r="T78" s="40" t="s">
        <v>97</v>
      </c>
      <c r="U78" s="40" t="s">
        <v>80</v>
      </c>
      <c r="V78" s="40" t="s">
        <v>73</v>
      </c>
      <c r="W78" s="40" t="s">
        <v>115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81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82</v>
      </c>
      <c r="AL78" t="str">
        <f>VLOOKUP($Q78,武学奇术!$A:$ZZ,25,FALSE)</f>
        <v>扇</v>
      </c>
      <c r="AM78" s="26">
        <f>VLOOKUP($Q78,武学奇术!$A:$ZZ,26,FALSE)</f>
        <v>4.045375</v>
      </c>
      <c r="AN78" s="27">
        <f>VLOOKUP($Q78,武学奇术!$A:$ZZ,27,FALSE)*(1+IF(OR($AL78=$F$4,$AL78=$F$5),$B$22,0))</f>
        <v>1678.125</v>
      </c>
      <c r="AO78" s="26">
        <f>VLOOKUP($Q78,武学奇术!$A:$ZZ,28,FALSE)</f>
        <v>6.068125</v>
      </c>
      <c r="AP78" s="27">
        <f>VLOOKUP($Q78,武学奇术!$A:$ZZ,29,FALSE)*(1+IF(OR($AL78=$F$4,$AL78=$F$5),$B$22,0))</f>
        <v>913.125</v>
      </c>
      <c r="AQ78" s="26" cm="1">
        <f t="array" ref="AQ78">$G$3+IFERROR(VLOOKUP($AL78,$F$4:$G$7,2,FALSE),0)+VLOOKUP($Q78,武学奇术!$A:$ZZ,2,FALSE)+SUM(_xlfn.XLOOKUP($R78:$AK78,增益!$A:$A,增益!$B:$B,0))</f>
        <v>0.4189</v>
      </c>
      <c r="AR78" s="26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3673.1</v>
      </c>
      <c r="AT78" cm="1">
        <f t="array" ref="AT78">$E$10*(1+$AR78)+VLOOKUP($Q78,武学奇术!$A:$ZZ,4,FALSE)+SUM(_xlfn.XLOOKUP($R78:$AK78,增益!$A:$A,增益!$D:$D,0))-$I$2</f>
        <v>3673.1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0.357</v>
      </c>
      <c r="AV78" s="32" cm="1">
        <f t="array" ref="AV78">$G$10+VLOOKUP($Q78,武学奇术!$A:$ZZ,7,FALSE)+SUM(_xlfn.XLOOKUP($R78:$AK78,增益!$A:$A,增益!$G:$G,0))</f>
        <v>0.205</v>
      </c>
      <c r="AW78" s="26" cm="1">
        <f t="array" ref="AW78">VLOOKUP($Q78,武学奇术!$A:$ZZ,8,FALSE)+SUM(_xlfn.XLOOKUP($R78:$AK78,增益!$A:$A,增益!$H:$H,0))</f>
        <v>0.12</v>
      </c>
      <c r="AX78">
        <f t="shared" si="23"/>
        <v>0</v>
      </c>
      <c r="AY78">
        <f t="shared" si="24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2" cm="1">
        <f t="array" ref="BA78">$G$11+VLOOKUP($Q78,武学奇术!$A:$ZZ,10,FALSE)+SUM(_xlfn.XLOOKUP($R78:$AK78,增益!$A:$A,增益!$J:$J,0))</f>
        <v>0.06</v>
      </c>
      <c r="BB78">
        <f t="shared" si="25"/>
        <v>0</v>
      </c>
      <c r="BC78">
        <f t="shared" si="26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2" cm="1">
        <f t="array" ref="BE78">$G$12+VLOOKUP($Q78,武学奇术!$A:$ZZ,12,FALSE)+SUM(_xlfn.XLOOKUP($R78:$AK78,增益!$A:$A,增益!$L:$L,0))</f>
        <v>0.06</v>
      </c>
      <c r="BF78">
        <f t="shared" si="27"/>
        <v>639.744</v>
      </c>
      <c r="BG78">
        <f t="shared" si="28"/>
        <v>1823.136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2" cm="1">
        <f t="array" ref="BI78">$G$13+VLOOKUP($Q78,武学奇术!$A:$ZZ,14,FALSE)+SUM(_xlfn.XLOOKUP($R78:$AK78,增益!$A:$A,增益!$N:$N,0))</f>
        <v>0.33</v>
      </c>
      <c r="BJ78">
        <f t="shared" si="29"/>
        <v>0</v>
      </c>
      <c r="BK78">
        <f t="shared" si="30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2" cm="1">
        <f t="array" ref="BM78">$G$14+VLOOKUP($Q78,武学奇术!$A:$ZZ,16,FALSE)+SUM(_xlfn.XLOOKUP($R78:$AK78,增益!$A:$A,增益!$P:$P,0))</f>
        <v>0.06</v>
      </c>
      <c r="BN78" s="26">
        <f>MIN(IF(VLOOKUP($Q78,武学奇术!$A:$ZZ,23,FALSE)=1,100%,$B$8),100%)</f>
        <v>0.9859</v>
      </c>
      <c r="BO78" s="26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6" cm="1">
        <f t="array" ref="BP78">1+$B$13+VLOOKUP($Q78,武学奇术!$A:$ZZ,18,FALSE)+SUM(_xlfn.XLOOKUP($R78:$AK78,增益!$A:$A,增益!$R:$R,0))</f>
        <v>1.64</v>
      </c>
      <c r="BQ78" s="26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6" cm="1">
        <f t="array" ref="BR78">1+$B$14+VLOOKUP($Q78,武学奇术!$A:$ZZ,20,FALSE)+SUM(_xlfn.XLOOKUP($R78:$AK78,增益!$A:$A,增益!$T:$T,0))</f>
        <v>1.35</v>
      </c>
      <c r="BS78" s="26">
        <f t="shared" si="31"/>
        <v>0.87863408</v>
      </c>
      <c r="BT78" s="26">
        <f t="shared" si="32"/>
        <v>0.01567581</v>
      </c>
      <c r="BU78" s="26">
        <f>IF(VLOOKUP($Q78,武学奇术!$A:$ZZ,22,FALSE)=1,0,(1-$BN78))*(1-$BQ78)</f>
        <v>0.01279011</v>
      </c>
      <c r="BV78" s="26" cm="1">
        <f t="array" ref="BV78">SUM(_xlfn.XLOOKUP($R78:$AK78,增益!$A:$A,增益!$W:$W,0))+$I$5</f>
        <v>0.11</v>
      </c>
    </row>
    <row r="79" spans="1:74">
      <c r="A79" t="s">
        <v>108</v>
      </c>
      <c r="B79">
        <v>0.5</v>
      </c>
      <c r="K79" s="38">
        <f t="shared" si="33"/>
        <v>25782.8438478569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26278.2098846771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24367.2138177129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16023.298710169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13996.8094072173</v>
      </c>
      <c r="P79" s="39">
        <v>1</v>
      </c>
      <c r="Q79" s="40" t="s">
        <v>110</v>
      </c>
      <c r="R79" s="40" t="s">
        <v>100</v>
      </c>
      <c r="S79" s="40" t="s">
        <v>158</v>
      </c>
      <c r="T79" s="40" t="s">
        <v>97</v>
      </c>
      <c r="U79" s="40" t="s">
        <v>80</v>
      </c>
      <c r="V79" s="40" t="s">
        <v>73</v>
      </c>
      <c r="W79" s="40" t="s">
        <v>115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81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82</v>
      </c>
      <c r="AL79" t="str">
        <f>VLOOKUP($Q79,武学奇术!$A:$ZZ,25,FALSE)</f>
        <v>扇</v>
      </c>
      <c r="AM79" s="26">
        <f>VLOOKUP($Q79,武学奇术!$A:$ZZ,26,FALSE)</f>
        <v>0.9186</v>
      </c>
      <c r="AN79" s="27">
        <f>VLOOKUP($Q79,武学奇术!$A:$ZZ,27,FALSE)*(1+IF(OR($AL79=$F$4,$AL79=$F$5),$B$22,0))</f>
        <v>381</v>
      </c>
      <c r="AO79" s="26">
        <f>VLOOKUP($Q79,武学奇术!$A:$ZZ,28,FALSE)</f>
        <v>1.3779</v>
      </c>
      <c r="AP79" s="27">
        <f>VLOOKUP($Q79,武学奇术!$A:$ZZ,29,FALSE)*(1+IF(OR($AL79=$F$4,$AL79=$F$5),$B$22,0))</f>
        <v>207</v>
      </c>
      <c r="AQ79" s="26" cm="1">
        <f t="array" ref="AQ79">$G$3+IFERROR(VLOOKUP($AL79,$F$4:$G$7,2,FALSE),0)+VLOOKUP($Q79,武学奇术!$A:$ZZ,2,FALSE)+SUM(_xlfn.XLOOKUP($R79:$AK79,增益!$A:$A,增益!$B:$B,0))</f>
        <v>0.6189</v>
      </c>
      <c r="AR79" s="26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3673.1</v>
      </c>
      <c r="AT79" cm="1">
        <f t="array" ref="AT79">$E$10*(1+$AR79)+VLOOKUP($Q79,武学奇术!$A:$ZZ,4,FALSE)+SUM(_xlfn.XLOOKUP($R79:$AK79,增益!$A:$A,增益!$D:$D,0))-$I$2</f>
        <v>3673.1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0.357</v>
      </c>
      <c r="AV79" s="32" cm="1">
        <f t="array" ref="AV79">$G$10+VLOOKUP($Q79,武学奇术!$A:$ZZ,7,FALSE)+SUM(_xlfn.XLOOKUP($R79:$AK79,增益!$A:$A,增益!$G:$G,0))</f>
        <v>0.205</v>
      </c>
      <c r="AW79" s="26" cm="1">
        <f t="array" ref="AW79">VLOOKUP($Q79,武学奇术!$A:$ZZ,8,FALSE)+SUM(_xlfn.XLOOKUP($R79:$AK79,增益!$A:$A,增益!$H:$H,0))</f>
        <v>0.12</v>
      </c>
      <c r="AX79">
        <f t="shared" si="23"/>
        <v>0</v>
      </c>
      <c r="AY79">
        <f t="shared" si="24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2" cm="1">
        <f t="array" ref="BA79">$G$11+VLOOKUP($Q79,武学奇术!$A:$ZZ,10,FALSE)+SUM(_xlfn.XLOOKUP($R79:$AK79,增益!$A:$A,增益!$J:$J,0))</f>
        <v>0.06</v>
      </c>
      <c r="BB79">
        <f t="shared" si="25"/>
        <v>0</v>
      </c>
      <c r="BC79">
        <f t="shared" si="26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2" cm="1">
        <f t="array" ref="BE79">$G$12+VLOOKUP($Q79,武学奇术!$A:$ZZ,12,FALSE)+SUM(_xlfn.XLOOKUP($R79:$AK79,增益!$A:$A,增益!$L:$L,0))</f>
        <v>0.06</v>
      </c>
      <c r="BF79">
        <f t="shared" si="27"/>
        <v>639.744</v>
      </c>
      <c r="BG79">
        <f t="shared" si="28"/>
        <v>1823.136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2" cm="1">
        <f t="array" ref="BI79">$G$13+VLOOKUP($Q79,武学奇术!$A:$ZZ,14,FALSE)+SUM(_xlfn.XLOOKUP($R79:$AK79,增益!$A:$A,增益!$N:$N,0))</f>
        <v>0.33</v>
      </c>
      <c r="BJ79">
        <f t="shared" si="29"/>
        <v>0</v>
      </c>
      <c r="BK79">
        <f t="shared" si="30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2" cm="1">
        <f t="array" ref="BM79">$G$14+VLOOKUP($Q79,武学奇术!$A:$ZZ,16,FALSE)+SUM(_xlfn.XLOOKUP($R79:$AK79,增益!$A:$A,增益!$P:$P,0))</f>
        <v>0.06</v>
      </c>
      <c r="BN79" s="26">
        <f>MIN(IF(VLOOKUP($Q79,武学奇术!$A:$ZZ,23,FALSE)=1,100%,$B$8),100%)</f>
        <v>0.9859</v>
      </c>
      <c r="BO79" s="26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6" cm="1">
        <f t="array" ref="BP79">1+$B$13+VLOOKUP($Q79,武学奇术!$A:$ZZ,18,FALSE)+SUM(_xlfn.XLOOKUP($R79:$AK79,增益!$A:$A,增益!$R:$R,0))</f>
        <v>1.64</v>
      </c>
      <c r="BQ79" s="26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6" cm="1">
        <f t="array" ref="BR79">1+$B$14+VLOOKUP($Q79,武学奇术!$A:$ZZ,20,FALSE)+SUM(_xlfn.XLOOKUP($R79:$AK79,增益!$A:$A,增益!$T:$T,0))</f>
        <v>1.35</v>
      </c>
      <c r="BS79" s="26">
        <f t="shared" si="31"/>
        <v>0.87863408</v>
      </c>
      <c r="BT79" s="26">
        <f t="shared" si="32"/>
        <v>0.01567581</v>
      </c>
      <c r="BU79" s="26">
        <f>IF(VLOOKUP($Q79,武学奇术!$A:$ZZ,22,FALSE)=1,0,(1-$BN79))*(1-$BQ79)</f>
        <v>0.01279011</v>
      </c>
      <c r="BV79" s="26" cm="1">
        <f t="array" ref="BV79">SUM(_xlfn.XLOOKUP($R79:$AK79,增益!$A:$A,增益!$W:$W,0))+$I$5</f>
        <v>0.11</v>
      </c>
    </row>
    <row r="80" spans="1:74">
      <c r="A80" t="s">
        <v>161</v>
      </c>
      <c r="B80">
        <v>2.1</v>
      </c>
      <c r="D80" s="39" t="s">
        <v>159</v>
      </c>
      <c r="K80" s="38">
        <f t="shared" si="33"/>
        <v>60909.7280993751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62080.029592795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57564.9671523562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37853.6765809725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33066.6367527924</v>
      </c>
      <c r="P80" s="39">
        <v>1</v>
      </c>
      <c r="Q80" s="40" t="s">
        <v>114</v>
      </c>
      <c r="R80" s="40" t="s">
        <v>100</v>
      </c>
      <c r="S80" s="40" t="s">
        <v>158</v>
      </c>
      <c r="T80" s="40" t="s">
        <v>97</v>
      </c>
      <c r="U80" s="40" t="s">
        <v>111</v>
      </c>
      <c r="V80" s="40" t="s">
        <v>73</v>
      </c>
      <c r="W80" s="40" t="s">
        <v>115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80</v>
      </c>
      <c r="AE80" s="40" t="s">
        <v>80</v>
      </c>
      <c r="AF80" s="40" t="s">
        <v>81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82</v>
      </c>
      <c r="AL80" t="str">
        <f>VLOOKUP($Q80,武学奇术!$A:$ZZ,25,FALSE)</f>
        <v>扇</v>
      </c>
      <c r="AM80" s="26">
        <f>VLOOKUP($Q80,武学奇术!$A:$ZZ,26,FALSE)</f>
        <v>2.1435</v>
      </c>
      <c r="AN80" s="27">
        <f>VLOOKUP($Q80,武学奇术!$A:$ZZ,27,FALSE)*(1+IF(OR($AL80=$F$4,$AL80=$F$5),$B$22,0))</f>
        <v>888</v>
      </c>
      <c r="AO80" s="26">
        <f>VLOOKUP($Q80,武学奇术!$A:$ZZ,28,FALSE)</f>
        <v>3.2152</v>
      </c>
      <c r="AP80" s="27">
        <f>VLOOKUP($Q80,武学奇术!$A:$ZZ,29,FALSE)*(1+IF(OR($AL80=$F$4,$AL80=$F$5),$B$22,0))</f>
        <v>484.5</v>
      </c>
      <c r="AQ80" s="26" cm="1">
        <f t="array" ref="AQ80">$G$3+IFERROR(VLOOKUP($AL80,$F$4:$G$7,2,FALSE),0)+VLOOKUP($Q80,武学奇术!$A:$ZZ,2,FALSE)+SUM(_xlfn.XLOOKUP($R80:$AK80,增益!$A:$A,增益!$B:$B,0))</f>
        <v>0.6389</v>
      </c>
      <c r="AR80" s="26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3673.1</v>
      </c>
      <c r="AT80" cm="1">
        <f t="array" ref="AT80">$E$10*(1+$AR80)+VLOOKUP($Q80,武学奇术!$A:$ZZ,4,FALSE)+SUM(_xlfn.XLOOKUP($R80:$AK80,增益!$A:$A,增益!$D:$D,0))-$I$2</f>
        <v>3673.1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0.357</v>
      </c>
      <c r="AV80" s="32" cm="1">
        <f t="array" ref="AV80">$G$10+VLOOKUP($Q80,武学奇术!$A:$ZZ,7,FALSE)+SUM(_xlfn.XLOOKUP($R80:$AK80,增益!$A:$A,增益!$G:$G,0))</f>
        <v>0.205</v>
      </c>
      <c r="AW80" s="26" cm="1">
        <f t="array" ref="AW80">VLOOKUP($Q80,武学奇术!$A:$ZZ,8,FALSE)+SUM(_xlfn.XLOOKUP($R80:$AK80,增益!$A:$A,增益!$H:$H,0))</f>
        <v>0.12</v>
      </c>
      <c r="AX80">
        <f t="shared" si="23"/>
        <v>0</v>
      </c>
      <c r="AY80">
        <f t="shared" si="24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2" cm="1">
        <f t="array" ref="BA80">$G$11+VLOOKUP($Q80,武学奇术!$A:$ZZ,10,FALSE)+SUM(_xlfn.XLOOKUP($R80:$AK80,增益!$A:$A,增益!$J:$J,0))</f>
        <v>0.06</v>
      </c>
      <c r="BB80">
        <f t="shared" si="25"/>
        <v>0</v>
      </c>
      <c r="BC80">
        <f t="shared" si="26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2" cm="1">
        <f t="array" ref="BE80">$G$12+VLOOKUP($Q80,武学奇术!$A:$ZZ,12,FALSE)+SUM(_xlfn.XLOOKUP($R80:$AK80,增益!$A:$A,增益!$L:$L,0))</f>
        <v>0.06</v>
      </c>
      <c r="BF80">
        <f t="shared" si="27"/>
        <v>639.744</v>
      </c>
      <c r="BG80">
        <f t="shared" si="28"/>
        <v>1823.136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2" cm="1">
        <f t="array" ref="BI80">$G$13+VLOOKUP($Q80,武学奇术!$A:$ZZ,14,FALSE)+SUM(_xlfn.XLOOKUP($R80:$AK80,增益!$A:$A,增益!$N:$N,0))</f>
        <v>0.33</v>
      </c>
      <c r="BJ80">
        <f t="shared" si="29"/>
        <v>0</v>
      </c>
      <c r="BK80">
        <f t="shared" si="30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2" cm="1">
        <f t="array" ref="BM80">$G$14+VLOOKUP($Q80,武学奇术!$A:$ZZ,16,FALSE)+SUM(_xlfn.XLOOKUP($R80:$AK80,增益!$A:$A,增益!$P:$P,0))</f>
        <v>0.06</v>
      </c>
      <c r="BN80" s="26">
        <f>MIN(IF(VLOOKUP($Q80,武学奇术!$A:$ZZ,23,FALSE)=1,100%,$B$8),100%)</f>
        <v>0.9859</v>
      </c>
      <c r="BO80" s="26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6" cm="1">
        <f t="array" ref="BP80">1+$B$13+VLOOKUP($Q80,武学奇术!$A:$ZZ,18,FALSE)+SUM(_xlfn.XLOOKUP($R80:$AK80,增益!$A:$A,增益!$R:$R,0))</f>
        <v>1.64</v>
      </c>
      <c r="BQ80" s="26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6" cm="1">
        <f t="array" ref="BR80">1+$B$14+VLOOKUP($Q80,武学奇术!$A:$ZZ,20,FALSE)+SUM(_xlfn.XLOOKUP($R80:$AK80,增益!$A:$A,增益!$T:$T,0))</f>
        <v>1.35</v>
      </c>
      <c r="BS80" s="26">
        <f t="shared" si="31"/>
        <v>0.87863408</v>
      </c>
      <c r="BT80" s="26">
        <f t="shared" si="32"/>
        <v>0.01567581</v>
      </c>
      <c r="BU80" s="26">
        <f>IF(VLOOKUP($Q80,武学奇术!$A:$ZZ,22,FALSE)=1,0,(1-$BN80))*(1-$BQ80)</f>
        <v>0.01279011</v>
      </c>
      <c r="BV80" s="26" cm="1">
        <f t="array" ref="BV80">SUM(_xlfn.XLOOKUP($R80:$AK80,增益!$A:$A,增益!$W:$W,0))+$I$5</f>
        <v>0.11</v>
      </c>
    </row>
    <row r="81" spans="1:74">
      <c r="A81" t="s">
        <v>175</v>
      </c>
      <c r="B81">
        <v>1.7</v>
      </c>
      <c r="D81" s="39"/>
      <c r="K81" s="38">
        <f t="shared" si="33"/>
        <v>205222.096479905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208992.074944544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195827.902524766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127434.192039356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109810.678504812</v>
      </c>
      <c r="P81" s="39">
        <v>1</v>
      </c>
      <c r="Q81" s="40" t="s">
        <v>168</v>
      </c>
      <c r="R81" s="40" t="s">
        <v>100</v>
      </c>
      <c r="S81" s="40" t="s">
        <v>158</v>
      </c>
      <c r="T81" s="40" t="s">
        <v>97</v>
      </c>
      <c r="U81" s="40" t="s">
        <v>111</v>
      </c>
      <c r="V81" s="40" t="s">
        <v>73</v>
      </c>
      <c r="W81" s="40" t="s">
        <v>80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81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82</v>
      </c>
      <c r="AL81" t="str">
        <f>VLOOKUP($Q81,武学奇术!$A:$ZZ,25,FALSE)</f>
        <v>群体奇术</v>
      </c>
      <c r="AM81" s="26">
        <f>VLOOKUP($Q81,武学奇术!$A:$ZZ,26,FALSE)</f>
        <v>10.315755</v>
      </c>
      <c r="AN81" s="27">
        <f>VLOOKUP($Q81,武学奇术!$A:$ZZ,27,FALSE)*(1+IF(OR($AL81=$F$4,$AL81=$F$5),$B$22,0))</f>
        <v>1992.6</v>
      </c>
      <c r="AO81" s="26">
        <f>VLOOKUP($Q81,武学奇术!$A:$ZZ,28,FALSE)</f>
        <v>15.4736325</v>
      </c>
      <c r="AP81" s="27">
        <f>VLOOKUP($Q81,武学奇术!$A:$ZZ,29,FALSE)*(1+IF(OR($AL81=$F$4,$AL81=$F$5),$B$22,0))</f>
        <v>0</v>
      </c>
      <c r="AQ81" s="26" cm="1">
        <f t="array" ref="AQ81">$G$3+IFERROR(VLOOKUP($AL81,$F$4:$G$7,2,FALSE),0)+VLOOKUP($Q81,武学奇术!$A:$ZZ,2,FALSE)+SUM(_xlfn.XLOOKUP($R81:$AK81,增益!$A:$A,增益!$B:$B,0))</f>
        <v>0.2537</v>
      </c>
      <c r="AR81" s="26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3673.1</v>
      </c>
      <c r="AT81" cm="1">
        <f t="array" ref="AT81">$E$10*(1+$AR81)+VLOOKUP($Q81,武学奇术!$A:$ZZ,4,FALSE)+SUM(_xlfn.XLOOKUP($R81:$AK81,增益!$A:$A,增益!$D:$D,0))-$I$2</f>
        <v>3673.1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0.357</v>
      </c>
      <c r="AV81" s="32" cm="1">
        <f t="array" ref="AV81">$G$10+VLOOKUP($Q81,武学奇术!$A:$ZZ,7,FALSE)+SUM(_xlfn.XLOOKUP($R81:$AK81,增益!$A:$A,增益!$G:$G,0))</f>
        <v>0.205</v>
      </c>
      <c r="AW81" s="26" cm="1">
        <f t="array" ref="AW81">VLOOKUP($Q81,武学奇术!$A:$ZZ,8,FALSE)+SUM(_xlfn.XLOOKUP($R81:$AK81,增益!$A:$A,增益!$H:$H,0))</f>
        <v>0.12</v>
      </c>
      <c r="AX81">
        <f t="shared" si="23"/>
        <v>0</v>
      </c>
      <c r="AY81">
        <f t="shared" si="24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2" cm="1">
        <f t="array" ref="BA81">$G$11+VLOOKUP($Q81,武学奇术!$A:$ZZ,10,FALSE)+SUM(_xlfn.XLOOKUP($R81:$AK81,增益!$A:$A,增益!$J:$J,0))</f>
        <v>0.06</v>
      </c>
      <c r="BB81">
        <f t="shared" si="25"/>
        <v>0</v>
      </c>
      <c r="BC81">
        <f t="shared" si="26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2" cm="1">
        <f t="array" ref="BE81">$G$12+VLOOKUP($Q81,武学奇术!$A:$ZZ,12,FALSE)+SUM(_xlfn.XLOOKUP($R81:$AK81,增益!$A:$A,增益!$L:$L,0))</f>
        <v>0.06</v>
      </c>
      <c r="BF81">
        <f t="shared" si="27"/>
        <v>639.744</v>
      </c>
      <c r="BG81">
        <f t="shared" si="28"/>
        <v>1823.136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2" cm="1">
        <f t="array" ref="BI81">$G$13+VLOOKUP($Q81,武学奇术!$A:$ZZ,14,FALSE)+SUM(_xlfn.XLOOKUP($R81:$AK81,增益!$A:$A,增益!$N:$N,0))</f>
        <v>0.33</v>
      </c>
      <c r="BJ81">
        <f t="shared" si="29"/>
        <v>0</v>
      </c>
      <c r="BK81">
        <f t="shared" si="30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2" cm="1">
        <f t="array" ref="BM81">$G$14+VLOOKUP($Q81,武学奇术!$A:$ZZ,16,FALSE)+SUM(_xlfn.XLOOKUP($R81:$AK81,增益!$A:$A,增益!$P:$P,0))</f>
        <v>0.06</v>
      </c>
      <c r="BN81" s="26">
        <f>MIN(IF(VLOOKUP($Q81,武学奇术!$A:$ZZ,23,FALSE)=1,100%,$B$8),100%)</f>
        <v>0.9859</v>
      </c>
      <c r="BO81" s="26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6" cm="1">
        <f t="array" ref="BP81">1+$B$13+VLOOKUP($Q81,武学奇术!$A:$ZZ,18,FALSE)+SUM(_xlfn.XLOOKUP($R81:$AK81,增益!$A:$A,增益!$R:$R,0))</f>
        <v>1.64</v>
      </c>
      <c r="BQ81" s="26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6" cm="1">
        <f t="array" ref="BR81">1+$B$14+VLOOKUP($Q81,武学奇术!$A:$ZZ,20,FALSE)+SUM(_xlfn.XLOOKUP($R81:$AK81,增益!$A:$A,增益!$T:$T,0))</f>
        <v>1.35</v>
      </c>
      <c r="BS81" s="26">
        <f t="shared" si="31"/>
        <v>0.87863408</v>
      </c>
      <c r="BT81" s="26">
        <f t="shared" si="32"/>
        <v>0.01567581</v>
      </c>
      <c r="BU81" s="26">
        <f>IF(VLOOKUP($Q81,武学奇术!$A:$ZZ,22,FALSE)=1,0,(1-$BN81))*(1-$BQ81)</f>
        <v>0.01279011</v>
      </c>
      <c r="BV81" s="26" cm="1">
        <f t="array" ref="BV81">SUM(_xlfn.XLOOKUP($R81:$AK81,增益!$A:$A,增益!$W:$W,0))+$I$5</f>
        <v>0.11</v>
      </c>
    </row>
    <row r="82" spans="1:74">
      <c r="A82" t="s">
        <v>163</v>
      </c>
      <c r="B82">
        <v>6.1</v>
      </c>
      <c r="C82" s="39" t="s">
        <v>176</v>
      </c>
      <c r="D82" s="39"/>
      <c r="E82" s="39" t="s">
        <v>160</v>
      </c>
      <c r="K82" s="38">
        <f t="shared" si="33"/>
        <v>204690.005804423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212084.555527221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165837.079673141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109321.935838774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95801.5904381835</v>
      </c>
      <c r="P82" s="39">
        <v>1</v>
      </c>
      <c r="Q82" s="40" t="s">
        <v>117</v>
      </c>
      <c r="R82" s="40" t="s">
        <v>100</v>
      </c>
      <c r="S82" s="40" t="s">
        <v>158</v>
      </c>
      <c r="T82" s="40" t="s">
        <v>78</v>
      </c>
      <c r="U82" s="40" t="s">
        <v>79</v>
      </c>
      <c r="V82" s="40" t="s">
        <v>73</v>
      </c>
      <c r="W82" s="40" t="s">
        <v>115</v>
      </c>
      <c r="X82" s="40" t="s">
        <v>87</v>
      </c>
      <c r="Y82" s="40" t="s">
        <v>169</v>
      </c>
      <c r="Z82" s="40" t="s">
        <v>170</v>
      </c>
      <c r="AA82" s="40" t="s">
        <v>171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81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82</v>
      </c>
      <c r="AL82" t="str">
        <f>VLOOKUP($Q82,武学奇术!$A:$ZZ,25,FALSE)</f>
        <v>鼓</v>
      </c>
      <c r="AM82" s="26">
        <f>VLOOKUP($Q82,武学奇术!$A:$ZZ,26,FALSE)</f>
        <v>3.08125</v>
      </c>
      <c r="AN82" s="27">
        <f>VLOOKUP($Q82,武学奇术!$A:$ZZ,27,FALSE)*(1+IF(OR($AL82=$F$4,$AL82=$F$5),$B$22,0))</f>
        <v>1277.55</v>
      </c>
      <c r="AO82" s="26">
        <f>VLOOKUP($Q82,武学奇术!$A:$ZZ,28,FALSE)</f>
        <v>4.62196</v>
      </c>
      <c r="AP82" s="27">
        <f>VLOOKUP($Q82,武学奇术!$A:$ZZ,29,FALSE)*(1+IF(OR($AL82=$F$4,$AL82=$F$5),$B$22,0))</f>
        <v>696.15</v>
      </c>
      <c r="AQ82" s="26" cm="1">
        <f t="array" ref="AQ82">$G$3+IFERROR(VLOOKUP($AL82,$F$4:$G$7,2,FALSE),0)+VLOOKUP($Q82,武学奇术!$A:$ZZ,2,FALSE)+SUM(_xlfn.XLOOKUP($R82:$AK82,增益!$A:$A,增益!$B:$B,0))</f>
        <v>0.7291</v>
      </c>
      <c r="AR82" s="26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4434.698</v>
      </c>
      <c r="AT82" cm="1">
        <f t="array" ref="AT82">$E$10*(1+$AR82)+VLOOKUP($Q82,武学奇术!$A:$ZZ,4,FALSE)+SUM(_xlfn.XLOOKUP($R82:$AK82,增益!$A:$A,增益!$D:$D,0))-$I$2</f>
        <v>4434.698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0.417</v>
      </c>
      <c r="AV82" s="32" cm="1">
        <f t="array" ref="AV82">$G$10+VLOOKUP($Q82,武学奇术!$A:$ZZ,7,FALSE)+SUM(_xlfn.XLOOKUP($R82:$AK82,增益!$A:$A,增益!$G:$G,0))</f>
        <v>0.205</v>
      </c>
      <c r="AW82" s="26" cm="1">
        <f t="array" ref="AW82">VLOOKUP($Q82,武学奇术!$A:$ZZ,8,FALSE)+SUM(_xlfn.XLOOKUP($R82:$AK82,增益!$A:$A,增益!$H:$H,0))</f>
        <v>0.18</v>
      </c>
      <c r="AX82">
        <f t="shared" si="23"/>
        <v>0</v>
      </c>
      <c r="AY82">
        <f t="shared" si="24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2" cm="1">
        <f t="array" ref="BA82">$G$11+VLOOKUP($Q82,武学奇术!$A:$ZZ,10,FALSE)+SUM(_xlfn.XLOOKUP($R82:$AK82,增益!$A:$A,增益!$J:$J,0))</f>
        <v>0.16</v>
      </c>
      <c r="BB82">
        <f t="shared" si="25"/>
        <v>0</v>
      </c>
      <c r="BC82">
        <f t="shared" si="26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2" cm="1">
        <f t="array" ref="BE82">$G$12+VLOOKUP($Q82,武学奇术!$A:$ZZ,12,FALSE)+SUM(_xlfn.XLOOKUP($R82:$AK82,增益!$A:$A,增益!$L:$L,0))</f>
        <v>0.06</v>
      </c>
      <c r="BF82">
        <f t="shared" si="27"/>
        <v>674.016</v>
      </c>
      <c r="BG82">
        <f t="shared" si="28"/>
        <v>1920.804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2" cm="1">
        <f t="array" ref="BI82">$G$13+VLOOKUP($Q82,武学奇术!$A:$ZZ,14,FALSE)+SUM(_xlfn.XLOOKUP($R82:$AK82,增益!$A:$A,增益!$N:$N,0))</f>
        <v>0.33</v>
      </c>
      <c r="BJ82">
        <f t="shared" si="29"/>
        <v>0</v>
      </c>
      <c r="BK82">
        <f t="shared" si="30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2" cm="1">
        <f t="array" ref="BM82">$G$14+VLOOKUP($Q82,武学奇术!$A:$ZZ,16,FALSE)+SUM(_xlfn.XLOOKUP($R82:$AK82,增益!$A:$A,增益!$P:$P,0))</f>
        <v>0.06</v>
      </c>
      <c r="BN82" s="26">
        <f>MIN(IF(VLOOKUP($Q82,武学奇术!$A:$ZZ,23,FALSE)=1,100%,$B$8),100%)</f>
        <v>0.9859</v>
      </c>
      <c r="BO82" s="26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6" cm="1">
        <f t="array" ref="BP82">1+$B$13+VLOOKUP($Q82,武学奇术!$A:$ZZ,18,FALSE)+SUM(_xlfn.XLOOKUP($R82:$AK82,增益!$A:$A,增益!$R:$R,0))</f>
        <v>1.94</v>
      </c>
      <c r="BQ82" s="26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6" cm="1">
        <f t="array" ref="BR82">1+$B$14+VLOOKUP($Q82,武学奇术!$A:$ZZ,20,FALSE)+SUM(_xlfn.XLOOKUP($R82:$AK82,增益!$A:$A,增益!$T:$T,0))</f>
        <v>1.35</v>
      </c>
      <c r="BS82" s="26">
        <f t="shared" si="31"/>
        <v>0.87863408</v>
      </c>
      <c r="BT82" s="26">
        <f t="shared" si="32"/>
        <v>0.01567581</v>
      </c>
      <c r="BU82" s="26">
        <f>IF(VLOOKUP($Q82,武学奇术!$A:$ZZ,22,FALSE)=1,0,(1-$BN82))*(1-$BQ82)</f>
        <v>0.01279011</v>
      </c>
      <c r="BV82" s="26" cm="1">
        <f t="array" ref="BV82">SUM(_xlfn.XLOOKUP($R82:$AK82,增益!$A:$A,增益!$W:$W,0))+$I$5</f>
        <v>0.31</v>
      </c>
    </row>
    <row r="83" spans="1:74">
      <c r="A83" t="s">
        <v>164</v>
      </c>
      <c r="B83">
        <v>2</v>
      </c>
      <c r="C83" s="39"/>
      <c r="D83" s="39"/>
      <c r="E83" s="39"/>
      <c r="K83" s="38">
        <f t="shared" si="33"/>
        <v>409380.011608847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424169.111054441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331674.159346281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218643.871677547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191603.180876367</v>
      </c>
      <c r="P83" s="39">
        <v>2</v>
      </c>
      <c r="Q83" s="40" t="s">
        <v>117</v>
      </c>
      <c r="R83" s="40" t="s">
        <v>100</v>
      </c>
      <c r="S83" s="40" t="s">
        <v>158</v>
      </c>
      <c r="T83" s="40" t="s">
        <v>78</v>
      </c>
      <c r="U83" s="40" t="s">
        <v>79</v>
      </c>
      <c r="V83" s="40" t="s">
        <v>73</v>
      </c>
      <c r="W83" s="40" t="s">
        <v>115</v>
      </c>
      <c r="X83" s="40" t="s">
        <v>87</v>
      </c>
      <c r="Y83" s="40" t="s">
        <v>169</v>
      </c>
      <c r="Z83" s="40" t="s">
        <v>170</v>
      </c>
      <c r="AA83" s="40" t="s">
        <v>171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81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82</v>
      </c>
      <c r="AL83" t="str">
        <f>VLOOKUP($Q83,武学奇术!$A:$ZZ,25,FALSE)</f>
        <v>鼓</v>
      </c>
      <c r="AM83" s="26">
        <f>VLOOKUP($Q83,武学奇术!$A:$ZZ,26,FALSE)</f>
        <v>3.08125</v>
      </c>
      <c r="AN83" s="27">
        <f>VLOOKUP($Q83,武学奇术!$A:$ZZ,27,FALSE)*(1+IF(OR($AL83=$F$4,$AL83=$F$5),$B$22,0))</f>
        <v>1277.55</v>
      </c>
      <c r="AO83" s="26">
        <f>VLOOKUP($Q83,武学奇术!$A:$ZZ,28,FALSE)</f>
        <v>4.62196</v>
      </c>
      <c r="AP83" s="27">
        <f>VLOOKUP($Q83,武学奇术!$A:$ZZ,29,FALSE)*(1+IF(OR($AL83=$F$4,$AL83=$F$5),$B$22,0))</f>
        <v>696.15</v>
      </c>
      <c r="AQ83" s="26" cm="1">
        <f t="array" ref="AQ83">$G$3+IFERROR(VLOOKUP($AL83,$F$4:$G$7,2,FALSE),0)+VLOOKUP($Q83,武学奇术!$A:$ZZ,2,FALSE)+SUM(_xlfn.XLOOKUP($R83:$AK83,增益!$A:$A,增益!$B:$B,0))</f>
        <v>0.7291</v>
      </c>
      <c r="AR83" s="26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4434.698</v>
      </c>
      <c r="AT83" cm="1">
        <f t="array" ref="AT83">$E$10*(1+$AR83)+VLOOKUP($Q83,武学奇术!$A:$ZZ,4,FALSE)+SUM(_xlfn.XLOOKUP($R83:$AK83,增益!$A:$A,增益!$D:$D,0))-$I$2</f>
        <v>4434.698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0.417</v>
      </c>
      <c r="AV83" s="32" cm="1">
        <f t="array" ref="AV83">$G$10+VLOOKUP($Q83,武学奇术!$A:$ZZ,7,FALSE)+SUM(_xlfn.XLOOKUP($R83:$AK83,增益!$A:$A,增益!$G:$G,0))</f>
        <v>0.205</v>
      </c>
      <c r="AW83" s="26" cm="1">
        <f t="array" ref="AW83">VLOOKUP($Q83,武学奇术!$A:$ZZ,8,FALSE)+SUM(_xlfn.XLOOKUP($R83:$AK83,增益!$A:$A,增益!$H:$H,0))</f>
        <v>0.18</v>
      </c>
      <c r="AX83">
        <f t="shared" si="23"/>
        <v>0</v>
      </c>
      <c r="AY83">
        <f t="shared" si="24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2" cm="1">
        <f t="array" ref="BA83">$G$11+VLOOKUP($Q83,武学奇术!$A:$ZZ,10,FALSE)+SUM(_xlfn.XLOOKUP($R83:$AK83,增益!$A:$A,增益!$J:$J,0))</f>
        <v>0.16</v>
      </c>
      <c r="BB83">
        <f t="shared" si="25"/>
        <v>0</v>
      </c>
      <c r="BC83">
        <f t="shared" si="26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2" cm="1">
        <f t="array" ref="BE83">$G$12+VLOOKUP($Q83,武学奇术!$A:$ZZ,12,FALSE)+SUM(_xlfn.XLOOKUP($R83:$AK83,增益!$A:$A,增益!$L:$L,0))</f>
        <v>0.06</v>
      </c>
      <c r="BF83">
        <f t="shared" si="27"/>
        <v>674.016</v>
      </c>
      <c r="BG83">
        <f t="shared" si="28"/>
        <v>1920.804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2" cm="1">
        <f t="array" ref="BI83">$G$13+VLOOKUP($Q83,武学奇术!$A:$ZZ,14,FALSE)+SUM(_xlfn.XLOOKUP($R83:$AK83,增益!$A:$A,增益!$N:$N,0))</f>
        <v>0.33</v>
      </c>
      <c r="BJ83">
        <f t="shared" si="29"/>
        <v>0</v>
      </c>
      <c r="BK83">
        <f t="shared" si="30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2" cm="1">
        <f t="array" ref="BM83">$G$14+VLOOKUP($Q83,武学奇术!$A:$ZZ,16,FALSE)+SUM(_xlfn.XLOOKUP($R83:$AK83,增益!$A:$A,增益!$P:$P,0))</f>
        <v>0.06</v>
      </c>
      <c r="BN83" s="26">
        <f>MIN(IF(VLOOKUP($Q83,武学奇术!$A:$ZZ,23,FALSE)=1,100%,$B$8),100%)</f>
        <v>0.9859</v>
      </c>
      <c r="BO83" s="26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6" cm="1">
        <f t="array" ref="BP83">1+$B$13+VLOOKUP($Q83,武学奇术!$A:$ZZ,18,FALSE)+SUM(_xlfn.XLOOKUP($R83:$AK83,增益!$A:$A,增益!$R:$R,0))</f>
        <v>1.94</v>
      </c>
      <c r="BQ83" s="26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6" cm="1">
        <f t="array" ref="BR83">1+$B$14+VLOOKUP($Q83,武学奇术!$A:$ZZ,20,FALSE)+SUM(_xlfn.XLOOKUP($R83:$AK83,增益!$A:$A,增益!$T:$T,0))</f>
        <v>1.35</v>
      </c>
      <c r="BS83" s="26">
        <f t="shared" si="31"/>
        <v>0.87863408</v>
      </c>
      <c r="BT83" s="26">
        <f t="shared" si="32"/>
        <v>0.01567581</v>
      </c>
      <c r="BU83" s="26">
        <f>IF(VLOOKUP($Q83,武学奇术!$A:$ZZ,22,FALSE)=1,0,(1-$BN83))*(1-$BQ83)</f>
        <v>0.01279011</v>
      </c>
      <c r="BV83" s="26" cm="1">
        <f t="array" ref="BV83">SUM(_xlfn.XLOOKUP($R83:$AK83,增益!$A:$A,增益!$W:$W,0))+$I$5</f>
        <v>0.31</v>
      </c>
    </row>
    <row r="84" spans="1:74">
      <c r="A84" t="s">
        <v>179</v>
      </c>
      <c r="B84">
        <v>1.4</v>
      </c>
      <c r="C84" s="39"/>
      <c r="D84" s="39"/>
      <c r="E84" s="39"/>
      <c r="K84" s="38">
        <f t="shared" si="33"/>
        <v>537515.729678367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559391.718585462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415964.846273281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274211.626757579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240301.14516458</v>
      </c>
      <c r="P84" s="39">
        <v>2</v>
      </c>
      <c r="Q84" s="40" t="s">
        <v>121</v>
      </c>
      <c r="R84" s="40" t="s">
        <v>100</v>
      </c>
      <c r="S84" s="40" t="s">
        <v>158</v>
      </c>
      <c r="T84" s="40" t="s">
        <v>78</v>
      </c>
      <c r="U84" s="40" t="s">
        <v>79</v>
      </c>
      <c r="V84" s="40" t="s">
        <v>73</v>
      </c>
      <c r="W84" s="40" t="s">
        <v>115</v>
      </c>
      <c r="X84" s="40" t="s">
        <v>87</v>
      </c>
      <c r="Y84" s="40" t="s">
        <v>169</v>
      </c>
      <c r="Z84" s="40" t="s">
        <v>170</v>
      </c>
      <c r="AA84" s="40" t="s">
        <v>171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81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82</v>
      </c>
      <c r="AL84" t="str">
        <f>VLOOKUP($Q84,武学奇术!$A:$ZZ,25,FALSE)</f>
        <v>鼓</v>
      </c>
      <c r="AM84" s="26">
        <f>VLOOKUP($Q84,武学奇术!$A:$ZZ,26,FALSE)</f>
        <v>3.75547</v>
      </c>
      <c r="AN84" s="27">
        <f>VLOOKUP($Q84,武学奇术!$A:$ZZ,27,FALSE)*(1+IF(OR($AL84=$F$4,$AL84=$F$5),$B$22,0))</f>
        <v>1558.05</v>
      </c>
      <c r="AO84" s="26">
        <f>VLOOKUP($Q84,武学奇术!$A:$ZZ,28,FALSE)</f>
        <v>5.63329</v>
      </c>
      <c r="AP84" s="27">
        <f>VLOOKUP($Q84,武学奇术!$A:$ZZ,29,FALSE)*(1+IF(OR($AL84=$F$4,$AL84=$F$5),$B$22,0))</f>
        <v>849.15</v>
      </c>
      <c r="AQ84" s="26" cm="1">
        <f t="array" ref="AQ84">$G$3+IFERROR(VLOOKUP($AL84,$F$4:$G$7,2,FALSE),0)+VLOOKUP($Q84,武学奇术!$A:$ZZ,2,FALSE)+SUM(_xlfn.XLOOKUP($R84:$AK84,增益!$A:$A,增益!$B:$B,0))</f>
        <v>0.7791</v>
      </c>
      <c r="AR84" s="26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4434.698</v>
      </c>
      <c r="AT84" cm="1">
        <f t="array" ref="AT84">$E$10*(1+$AR84)+VLOOKUP($Q84,武学奇术!$A:$ZZ,4,FALSE)+SUM(_xlfn.XLOOKUP($R84:$AK84,增益!$A:$A,增益!$D:$D,0))-$I$2</f>
        <v>4434.698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0.417</v>
      </c>
      <c r="AV84" s="32" cm="1">
        <f t="array" ref="AV84">$G$10+VLOOKUP($Q84,武学奇术!$A:$ZZ,7,FALSE)+SUM(_xlfn.XLOOKUP($R84:$AK84,增益!$A:$A,增益!$G:$G,0))</f>
        <v>0.205</v>
      </c>
      <c r="AW84" s="26" cm="1">
        <f t="array" ref="AW84">VLOOKUP($Q84,武学奇术!$A:$ZZ,8,FALSE)+SUM(_xlfn.XLOOKUP($R84:$AK84,增益!$A:$A,增益!$H:$H,0))</f>
        <v>0.18</v>
      </c>
      <c r="AX84">
        <f t="shared" si="23"/>
        <v>0</v>
      </c>
      <c r="AY84">
        <f t="shared" si="24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2" cm="1">
        <f t="array" ref="BA84">$G$11+VLOOKUP($Q84,武学奇术!$A:$ZZ,10,FALSE)+SUM(_xlfn.XLOOKUP($R84:$AK84,增益!$A:$A,增益!$J:$J,0))</f>
        <v>0.16</v>
      </c>
      <c r="BB84">
        <f t="shared" si="25"/>
        <v>0</v>
      </c>
      <c r="BC84">
        <f t="shared" si="26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2" cm="1">
        <f t="array" ref="BE84">$G$12+VLOOKUP($Q84,武学奇术!$A:$ZZ,12,FALSE)+SUM(_xlfn.XLOOKUP($R84:$AK84,增益!$A:$A,增益!$L:$L,0))</f>
        <v>0.06</v>
      </c>
      <c r="BF84">
        <f t="shared" si="27"/>
        <v>674.016</v>
      </c>
      <c r="BG84">
        <f t="shared" si="28"/>
        <v>1920.804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2" cm="1">
        <f t="array" ref="BI84">$G$13+VLOOKUP($Q84,武学奇术!$A:$ZZ,14,FALSE)+SUM(_xlfn.XLOOKUP($R84:$AK84,增益!$A:$A,增益!$N:$N,0))</f>
        <v>0.33</v>
      </c>
      <c r="BJ84">
        <f t="shared" si="29"/>
        <v>0</v>
      </c>
      <c r="BK84">
        <f t="shared" si="30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2" cm="1">
        <f t="array" ref="BM84">$G$14+VLOOKUP($Q84,武学奇术!$A:$ZZ,16,FALSE)+SUM(_xlfn.XLOOKUP($R84:$AK84,增益!$A:$A,增益!$P:$P,0))</f>
        <v>0.06</v>
      </c>
      <c r="BN84" s="26">
        <f>MIN(IF(VLOOKUP($Q84,武学奇术!$A:$ZZ,23,FALSE)=1,100%,$B$8),100%)</f>
        <v>0.9859</v>
      </c>
      <c r="BO84" s="26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6" cm="1">
        <f t="array" ref="BP84">1+$B$13+VLOOKUP($Q84,武学奇术!$A:$ZZ,18,FALSE)+SUM(_xlfn.XLOOKUP($R84:$AK84,增益!$A:$A,增益!$R:$R,0))</f>
        <v>2.04</v>
      </c>
      <c r="BQ84" s="26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6" cm="1">
        <f t="array" ref="BR84">1+$B$14+VLOOKUP($Q84,武学奇术!$A:$ZZ,20,FALSE)+SUM(_xlfn.XLOOKUP($R84:$AK84,增益!$A:$A,增益!$T:$T,0))</f>
        <v>1.35</v>
      </c>
      <c r="BS84" s="26">
        <f t="shared" si="31"/>
        <v>0.87863408</v>
      </c>
      <c r="BT84" s="26">
        <f t="shared" si="32"/>
        <v>0.01567581</v>
      </c>
      <c r="BU84" s="26">
        <f>IF(VLOOKUP($Q84,武学奇术!$A:$ZZ,22,FALSE)=1,0,(1-$BN84))*(1-$BQ84)</f>
        <v>0.01279011</v>
      </c>
      <c r="BV84" s="26" cm="1">
        <f t="array" ref="BV84">SUM(_xlfn.XLOOKUP($R84:$AK84,增益!$A:$A,增益!$W:$W,0))+$I$5</f>
        <v>0.31</v>
      </c>
    </row>
    <row r="85" spans="1:74">
      <c r="K85" s="38">
        <f t="shared" si="33"/>
        <v>85833.5983658936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87442.5940082494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81555.5328991216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53318.6548830789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46225.8039149567</v>
      </c>
      <c r="P85" s="39">
        <v>1</v>
      </c>
      <c r="Q85" s="40" t="s">
        <v>124</v>
      </c>
      <c r="R85" s="40" t="s">
        <v>100</v>
      </c>
      <c r="S85" s="40" t="s">
        <v>158</v>
      </c>
      <c r="T85" s="40" t="s">
        <v>97</v>
      </c>
      <c r="U85" s="40" t="s">
        <v>79</v>
      </c>
      <c r="V85" s="40" t="s">
        <v>73</v>
      </c>
      <c r="W85" s="40" t="s">
        <v>115</v>
      </c>
      <c r="X85" s="40" t="s">
        <v>87</v>
      </c>
      <c r="Y85" s="40" t="s">
        <v>169</v>
      </c>
      <c r="Z85" s="40" t="s">
        <v>170</v>
      </c>
      <c r="AA85" s="40" t="s">
        <v>171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81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82</v>
      </c>
      <c r="AL85" t="str">
        <f>VLOOKUP($Q85,武学奇术!$A:$ZZ,25,FALSE)</f>
        <v>鼓</v>
      </c>
      <c r="AM85" s="26">
        <f>VLOOKUP($Q85,武学奇术!$A:$ZZ,26,FALSE)</f>
        <v>2.514</v>
      </c>
      <c r="AN85" s="27">
        <f>VLOOKUP($Q85,武学奇术!$A:$ZZ,27,FALSE)*(1+IF(OR($AL85=$F$4,$AL85=$F$5),$B$22,0))</f>
        <v>1044</v>
      </c>
      <c r="AO85" s="26">
        <f>VLOOKUP($Q85,武学奇术!$A:$ZZ,28,FALSE)</f>
        <v>3.7708</v>
      </c>
      <c r="AP85" s="27">
        <f>VLOOKUP($Q85,武学奇术!$A:$ZZ,29,FALSE)*(1+IF(OR($AL85=$F$4,$AL85=$F$5),$B$22,0))</f>
        <v>564</v>
      </c>
      <c r="AQ85" s="26" cm="1">
        <f t="array" ref="AQ85">$G$3+IFERROR(VLOOKUP($AL85,$F$4:$G$7,2,FALSE),0)+VLOOKUP($Q85,武学奇术!$A:$ZZ,2,FALSE)+SUM(_xlfn.XLOOKUP($R85:$AK85,增益!$A:$A,增益!$B:$B,0))</f>
        <v>0.6291</v>
      </c>
      <c r="AR85" s="26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3673.1</v>
      </c>
      <c r="AT85" cm="1">
        <f t="array" ref="AT85">$E$10*(1+$AR85)+VLOOKUP($Q85,武学奇术!$A:$ZZ,4,FALSE)+SUM(_xlfn.XLOOKUP($R85:$AK85,增益!$A:$A,增益!$D:$D,0))-$I$2</f>
        <v>3673.1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0.357</v>
      </c>
      <c r="AV85" s="32" cm="1">
        <f t="array" ref="AV85">$G$10+VLOOKUP($Q85,武学奇术!$A:$ZZ,7,FALSE)+SUM(_xlfn.XLOOKUP($R85:$AK85,增益!$A:$A,增益!$G:$G,0))</f>
        <v>0.205</v>
      </c>
      <c r="AW85" s="26" cm="1">
        <f t="array" ref="AW85">VLOOKUP($Q85,武学奇术!$A:$ZZ,8,FALSE)+SUM(_xlfn.XLOOKUP($R85:$AK85,增益!$A:$A,增益!$H:$H,0))</f>
        <v>0.12</v>
      </c>
      <c r="AX85">
        <f t="shared" si="23"/>
        <v>0</v>
      </c>
      <c r="AY85">
        <f t="shared" si="24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2" cm="1">
        <f t="array" ref="BA85">$G$11+VLOOKUP($Q85,武学奇术!$A:$ZZ,10,FALSE)+SUM(_xlfn.XLOOKUP($R85:$AK85,增益!$A:$A,增益!$J:$J,0))</f>
        <v>0.16</v>
      </c>
      <c r="BB85">
        <f t="shared" si="25"/>
        <v>0</v>
      </c>
      <c r="BC85">
        <f t="shared" si="26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2" cm="1">
        <f t="array" ref="BE85">$G$12+VLOOKUP($Q85,武学奇术!$A:$ZZ,12,FALSE)+SUM(_xlfn.XLOOKUP($R85:$AK85,增益!$A:$A,增益!$L:$L,0))</f>
        <v>0.06</v>
      </c>
      <c r="BF85">
        <f t="shared" si="27"/>
        <v>639.744</v>
      </c>
      <c r="BG85">
        <f t="shared" si="28"/>
        <v>1823.136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2" cm="1">
        <f t="array" ref="BI85">$G$13+VLOOKUP($Q85,武学奇术!$A:$ZZ,14,FALSE)+SUM(_xlfn.XLOOKUP($R85:$AK85,增益!$A:$A,增益!$N:$N,0))</f>
        <v>0.33</v>
      </c>
      <c r="BJ85">
        <f t="shared" si="29"/>
        <v>0</v>
      </c>
      <c r="BK85">
        <f t="shared" si="30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2" cm="1">
        <f t="array" ref="BM85">$G$14+VLOOKUP($Q85,武学奇术!$A:$ZZ,16,FALSE)+SUM(_xlfn.XLOOKUP($R85:$AK85,增益!$A:$A,增益!$P:$P,0))</f>
        <v>0.06</v>
      </c>
      <c r="BN85" s="26">
        <f>MIN(IF(VLOOKUP($Q85,武学奇术!$A:$ZZ,23,FALSE)=1,100%,$B$8),100%)</f>
        <v>0.9859</v>
      </c>
      <c r="BO85" s="26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6" cm="1">
        <f t="array" ref="BP85">1+$B$13+VLOOKUP($Q85,武学奇术!$A:$ZZ,18,FALSE)+SUM(_xlfn.XLOOKUP($R85:$AK85,增益!$A:$A,增益!$R:$R,0))</f>
        <v>1.64</v>
      </c>
      <c r="BQ85" s="26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6" cm="1">
        <f t="array" ref="BR85">1+$B$14+VLOOKUP($Q85,武学奇术!$A:$ZZ,20,FALSE)+SUM(_xlfn.XLOOKUP($R85:$AK85,增益!$A:$A,增益!$T:$T,0))</f>
        <v>1.35</v>
      </c>
      <c r="BS85" s="26">
        <f t="shared" si="31"/>
        <v>0.87863408</v>
      </c>
      <c r="BT85" s="26">
        <f t="shared" si="32"/>
        <v>0.01567581</v>
      </c>
      <c r="BU85" s="26">
        <f>IF(VLOOKUP($Q85,武学奇术!$A:$ZZ,22,FALSE)=1,0,(1-$BN85))*(1-$BQ85)</f>
        <v>0.01279011</v>
      </c>
      <c r="BV85" s="26" cm="1">
        <f t="array" ref="BV85">SUM(_xlfn.XLOOKUP($R85:$AK85,增益!$A:$A,增益!$W:$W,0))+$I$5</f>
        <v>0.31</v>
      </c>
    </row>
    <row r="86" spans="1:74">
      <c r="K86" s="38">
        <f t="shared" si="33"/>
        <v>164980.049136078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170836.214975979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134784.688938734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88059.9046267935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76279.2989285991</v>
      </c>
      <c r="P86" s="39">
        <v>1</v>
      </c>
      <c r="Q86" s="40" t="s">
        <v>127</v>
      </c>
      <c r="R86" s="40" t="s">
        <v>100</v>
      </c>
      <c r="S86" s="40" t="s">
        <v>158</v>
      </c>
      <c r="T86" s="40" t="s">
        <v>97</v>
      </c>
      <c r="U86" s="40" t="s">
        <v>79</v>
      </c>
      <c r="V86" s="40" t="s">
        <v>73</v>
      </c>
      <c r="W86" s="40" t="s">
        <v>115</v>
      </c>
      <c r="X86" s="40" t="s">
        <v>87</v>
      </c>
      <c r="Y86" s="40" t="s">
        <v>169</v>
      </c>
      <c r="Z86" s="40" t="s">
        <v>170</v>
      </c>
      <c r="AA86" s="40" t="s">
        <v>171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81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82</v>
      </c>
      <c r="AL86" t="str">
        <f>VLOOKUP($Q86,武学奇术!$A:$ZZ,25,FALSE)</f>
        <v>鼓</v>
      </c>
      <c r="AM86" s="26">
        <f>VLOOKUP($Q86,武学奇术!$A:$ZZ,26,FALSE)</f>
        <v>3.52968</v>
      </c>
      <c r="AN86" s="27">
        <f>VLOOKUP($Q86,武学奇术!$A:$ZZ,27,FALSE)*(1+IF(OR($AL86=$F$4,$AL86=$F$5),$B$22,0))</f>
        <v>1465.8</v>
      </c>
      <c r="AO86" s="26">
        <f>VLOOKUP($Q86,武学奇术!$A:$ZZ,28,FALSE)</f>
        <v>5.29452</v>
      </c>
      <c r="AP86" s="27">
        <f>VLOOKUP($Q86,武学奇术!$A:$ZZ,29,FALSE)*(1+IF(OR($AL86=$F$4,$AL86=$F$5),$B$22,0))</f>
        <v>798</v>
      </c>
      <c r="AQ86" s="26" cm="1">
        <f t="array" ref="AQ86">$G$3+IFERROR(VLOOKUP($AL86,$F$4:$G$7,2,FALSE),0)+VLOOKUP($Q86,武学奇术!$A:$ZZ,2,FALSE)+SUM(_xlfn.XLOOKUP($R86:$AK86,增益!$A:$A,增益!$B:$B,0))</f>
        <v>0.8291</v>
      </c>
      <c r="AR86" s="26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3673.1</v>
      </c>
      <c r="AT86" cm="1">
        <f t="array" ref="AT86">$E$10*(1+$AR86)+VLOOKUP($Q86,武学奇术!$A:$ZZ,4,FALSE)+SUM(_xlfn.XLOOKUP($R86:$AK86,增益!$A:$A,增益!$D:$D,0))-$I$2</f>
        <v>3673.1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0.417</v>
      </c>
      <c r="AV86" s="32" cm="1">
        <f t="array" ref="AV86">$G$10+VLOOKUP($Q86,武学奇术!$A:$ZZ,7,FALSE)+SUM(_xlfn.XLOOKUP($R86:$AK86,增益!$A:$A,增益!$G:$G,0))</f>
        <v>0.205</v>
      </c>
      <c r="AW86" s="26" cm="1">
        <f t="array" ref="AW86">VLOOKUP($Q86,武学奇术!$A:$ZZ,8,FALSE)+SUM(_xlfn.XLOOKUP($R86:$AK86,增益!$A:$A,增益!$H:$H,0))</f>
        <v>0.12</v>
      </c>
      <c r="AX86">
        <f t="shared" si="23"/>
        <v>0</v>
      </c>
      <c r="AY86">
        <f t="shared" si="24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2" cm="1">
        <f t="array" ref="BA86">$G$11+VLOOKUP($Q86,武学奇术!$A:$ZZ,10,FALSE)+SUM(_xlfn.XLOOKUP($R86:$AK86,增益!$A:$A,增益!$J:$J,0))</f>
        <v>0.16</v>
      </c>
      <c r="BB86">
        <f t="shared" si="25"/>
        <v>0</v>
      </c>
      <c r="BC86">
        <f t="shared" si="26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2" cm="1">
        <f t="array" ref="BE86">$G$12+VLOOKUP($Q86,武学奇术!$A:$ZZ,12,FALSE)+SUM(_xlfn.XLOOKUP($R86:$AK86,增益!$A:$A,增益!$L:$L,0))</f>
        <v>0.06</v>
      </c>
      <c r="BF86">
        <f t="shared" si="27"/>
        <v>639.744</v>
      </c>
      <c r="BG86">
        <f t="shared" si="28"/>
        <v>1823.136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2" cm="1">
        <f t="array" ref="BI86">$G$13+VLOOKUP($Q86,武学奇术!$A:$ZZ,14,FALSE)+SUM(_xlfn.XLOOKUP($R86:$AK86,增益!$A:$A,增益!$N:$N,0))</f>
        <v>0.33</v>
      </c>
      <c r="BJ86">
        <f t="shared" si="29"/>
        <v>0</v>
      </c>
      <c r="BK86">
        <f t="shared" si="30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2" cm="1">
        <f t="array" ref="BM86">$G$14+VLOOKUP($Q86,武学奇术!$A:$ZZ,16,FALSE)+SUM(_xlfn.XLOOKUP($R86:$AK86,增益!$A:$A,增益!$P:$P,0))</f>
        <v>0.06</v>
      </c>
      <c r="BN86" s="26">
        <f>MIN(IF(VLOOKUP($Q86,武学奇术!$A:$ZZ,23,FALSE)=1,100%,$B$8),100%)</f>
        <v>0.9859</v>
      </c>
      <c r="BO86" s="26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6" cm="1">
        <f t="array" ref="BP86">1+$B$13+VLOOKUP($Q86,武学奇术!$A:$ZZ,18,FALSE)+SUM(_xlfn.XLOOKUP($R86:$AK86,增益!$A:$A,增益!$R:$R,0))</f>
        <v>1.94</v>
      </c>
      <c r="BQ86" s="26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6" cm="1">
        <f t="array" ref="BR86">1+$B$14+VLOOKUP($Q86,武学奇术!$A:$ZZ,20,FALSE)+SUM(_xlfn.XLOOKUP($R86:$AK86,增益!$A:$A,增益!$T:$T,0))</f>
        <v>1.35</v>
      </c>
      <c r="BS86" s="26">
        <f t="shared" si="31"/>
        <v>0.87863408</v>
      </c>
      <c r="BT86" s="26">
        <f t="shared" si="32"/>
        <v>0.01567581</v>
      </c>
      <c r="BU86" s="26">
        <f>IF(VLOOKUP($Q86,武学奇术!$A:$ZZ,22,FALSE)=1,0,(1-$BN86))*(1-$BQ86)</f>
        <v>0.01279011</v>
      </c>
      <c r="BV86" s="26" cm="1">
        <f t="array" ref="BV86">SUM(_xlfn.XLOOKUP($R86:$AK86,增益!$A:$A,增益!$W:$W,0))+$I$5</f>
        <v>0.31</v>
      </c>
    </row>
    <row r="87" spans="1:74">
      <c r="K87" s="38">
        <f t="shared" si="33"/>
        <v>204690.005804423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212084.555527221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165837.079673141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109321.935838774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95801.5904381835</v>
      </c>
      <c r="P87" s="39">
        <v>1</v>
      </c>
      <c r="Q87" s="40" t="s">
        <v>117</v>
      </c>
      <c r="R87" s="40" t="s">
        <v>100</v>
      </c>
      <c r="S87" s="40" t="s">
        <v>158</v>
      </c>
      <c r="T87" s="40" t="s">
        <v>78</v>
      </c>
      <c r="U87" s="40" t="s">
        <v>79</v>
      </c>
      <c r="V87" s="40" t="s">
        <v>73</v>
      </c>
      <c r="W87" s="40" t="s">
        <v>115</v>
      </c>
      <c r="X87" s="40" t="s">
        <v>87</v>
      </c>
      <c r="Y87" s="40" t="s">
        <v>169</v>
      </c>
      <c r="Z87" s="40" t="s">
        <v>170</v>
      </c>
      <c r="AA87" s="40" t="s">
        <v>171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81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82</v>
      </c>
      <c r="AL87" t="str">
        <f>VLOOKUP($Q87,武学奇术!$A:$ZZ,25,FALSE)</f>
        <v>鼓</v>
      </c>
      <c r="AM87" s="26">
        <f>VLOOKUP($Q87,武学奇术!$A:$ZZ,26,FALSE)</f>
        <v>3.08125</v>
      </c>
      <c r="AN87" s="27">
        <f>VLOOKUP($Q87,武学奇术!$A:$ZZ,27,FALSE)*(1+IF(OR($AL87=$F$4,$AL87=$F$5),$B$22,0))</f>
        <v>1277.55</v>
      </c>
      <c r="AO87" s="26">
        <f>VLOOKUP($Q87,武学奇术!$A:$ZZ,28,FALSE)</f>
        <v>4.62196</v>
      </c>
      <c r="AP87" s="27">
        <f>VLOOKUP($Q87,武学奇术!$A:$ZZ,29,FALSE)*(1+IF(OR($AL87=$F$4,$AL87=$F$5),$B$22,0))</f>
        <v>696.15</v>
      </c>
      <c r="AQ87" s="26" cm="1">
        <f t="array" ref="AQ87">$G$3+IFERROR(VLOOKUP($AL87,$F$4:$G$7,2,FALSE),0)+VLOOKUP($Q87,武学奇术!$A:$ZZ,2,FALSE)+SUM(_xlfn.XLOOKUP($R87:$AK87,增益!$A:$A,增益!$B:$B,0))</f>
        <v>0.7291</v>
      </c>
      <c r="AR87" s="26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4434.698</v>
      </c>
      <c r="AT87" cm="1">
        <f t="array" ref="AT87">$E$10*(1+$AR87)+VLOOKUP($Q87,武学奇术!$A:$ZZ,4,FALSE)+SUM(_xlfn.XLOOKUP($R87:$AK87,增益!$A:$A,增益!$D:$D,0))-$I$2</f>
        <v>4434.698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0.417</v>
      </c>
      <c r="AV87" s="32" cm="1">
        <f t="array" ref="AV87">$G$10+VLOOKUP($Q87,武学奇术!$A:$ZZ,7,FALSE)+SUM(_xlfn.XLOOKUP($R87:$AK87,增益!$A:$A,增益!$G:$G,0))</f>
        <v>0.205</v>
      </c>
      <c r="AW87" s="26" cm="1">
        <f t="array" ref="AW87">VLOOKUP($Q87,武学奇术!$A:$ZZ,8,FALSE)+SUM(_xlfn.XLOOKUP($R87:$AK87,增益!$A:$A,增益!$H:$H,0))</f>
        <v>0.18</v>
      </c>
      <c r="AX87">
        <f t="shared" si="23"/>
        <v>0</v>
      </c>
      <c r="AY87">
        <f t="shared" si="24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2" cm="1">
        <f t="array" ref="BA87">$G$11+VLOOKUP($Q87,武学奇术!$A:$ZZ,10,FALSE)+SUM(_xlfn.XLOOKUP($R87:$AK87,增益!$A:$A,增益!$J:$J,0))</f>
        <v>0.16</v>
      </c>
      <c r="BB87">
        <f t="shared" si="25"/>
        <v>0</v>
      </c>
      <c r="BC87">
        <f t="shared" si="26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2" cm="1">
        <f t="array" ref="BE87">$G$12+VLOOKUP($Q87,武学奇术!$A:$ZZ,12,FALSE)+SUM(_xlfn.XLOOKUP($R87:$AK87,增益!$A:$A,增益!$L:$L,0))</f>
        <v>0.06</v>
      </c>
      <c r="BF87">
        <f t="shared" si="27"/>
        <v>674.016</v>
      </c>
      <c r="BG87">
        <f t="shared" si="28"/>
        <v>1920.804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2" cm="1">
        <f t="array" ref="BI87">$G$13+VLOOKUP($Q87,武学奇术!$A:$ZZ,14,FALSE)+SUM(_xlfn.XLOOKUP($R87:$AK87,增益!$A:$A,增益!$N:$N,0))</f>
        <v>0.33</v>
      </c>
      <c r="BJ87">
        <f t="shared" si="29"/>
        <v>0</v>
      </c>
      <c r="BK87">
        <f t="shared" si="30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2" cm="1">
        <f t="array" ref="BM87">$G$14+VLOOKUP($Q87,武学奇术!$A:$ZZ,16,FALSE)+SUM(_xlfn.XLOOKUP($R87:$AK87,增益!$A:$A,增益!$P:$P,0))</f>
        <v>0.06</v>
      </c>
      <c r="BN87" s="26">
        <f>MIN(IF(VLOOKUP($Q87,武学奇术!$A:$ZZ,23,FALSE)=1,100%,$B$8),100%)</f>
        <v>0.9859</v>
      </c>
      <c r="BO87" s="26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6" cm="1">
        <f t="array" ref="BP87">1+$B$13+VLOOKUP($Q87,武学奇术!$A:$ZZ,18,FALSE)+SUM(_xlfn.XLOOKUP($R87:$AK87,增益!$A:$A,增益!$R:$R,0))</f>
        <v>1.94</v>
      </c>
      <c r="BQ87" s="26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6" cm="1">
        <f t="array" ref="BR87">1+$B$14+VLOOKUP($Q87,武学奇术!$A:$ZZ,20,FALSE)+SUM(_xlfn.XLOOKUP($R87:$AK87,增益!$A:$A,增益!$T:$T,0))</f>
        <v>1.35</v>
      </c>
      <c r="BS87" s="26">
        <f t="shared" si="31"/>
        <v>0.87863408</v>
      </c>
      <c r="BT87" s="26">
        <f t="shared" si="32"/>
        <v>0.01567581</v>
      </c>
      <c r="BU87" s="26">
        <f>IF(VLOOKUP($Q87,武学奇术!$A:$ZZ,22,FALSE)=1,0,(1-$BN87))*(1-$BQ87)</f>
        <v>0.01279011</v>
      </c>
      <c r="BV87" s="26" cm="1">
        <f t="array" ref="BV87">SUM(_xlfn.XLOOKUP($R87:$AK87,增益!$A:$A,增益!$W:$W,0))+$I$5</f>
        <v>0.31</v>
      </c>
    </row>
    <row r="88" spans="1:74">
      <c r="K88" s="38">
        <f t="shared" si="33"/>
        <v>0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9">
        <v>1</v>
      </c>
      <c r="Q88" s="40" t="s">
        <v>80</v>
      </c>
      <c r="R88" s="40" t="s">
        <v>80</v>
      </c>
      <c r="S88" s="40" t="s">
        <v>80</v>
      </c>
      <c r="T88" s="40" t="s">
        <v>80</v>
      </c>
      <c r="U88" s="40" t="s">
        <v>80</v>
      </c>
      <c r="V88" s="40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81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82</v>
      </c>
      <c r="AL88" t="str">
        <f>VLOOKUP($Q88,武学奇术!$A:$ZZ,25,FALSE)</f>
        <v>心法</v>
      </c>
      <c r="AM88" s="26">
        <f>VLOOKUP($Q88,武学奇术!$A:$ZZ,26,FALSE)</f>
        <v>0</v>
      </c>
      <c r="AN88" s="27">
        <f>VLOOKUP($Q88,武学奇术!$A:$ZZ,27,FALSE)*(1+IF(OR($AL88=$F$4,$AL88=$F$5),$B$22,0))</f>
        <v>0</v>
      </c>
      <c r="AO88" s="26">
        <f>VLOOKUP($Q88,武学奇术!$A:$ZZ,28,FALSE)</f>
        <v>0</v>
      </c>
      <c r="AP88" s="27">
        <f>VLOOKUP($Q88,武学奇术!$A:$ZZ,29,FALSE)*(1+IF(OR($AL88=$F$4,$AL88=$F$5),$B$22,0))</f>
        <v>0</v>
      </c>
      <c r="AQ88" s="26" cm="1">
        <f t="array" ref="AQ88">$G$3+IFERROR(VLOOKUP($AL88,$F$4:$G$7,2,FALSE),0)+VLOOKUP($Q88,武学奇术!$A:$ZZ,2,FALSE)+SUM(_xlfn.XLOOKUP($R88:$AK88,增益!$A:$A,增益!$B:$B,0))</f>
        <v>0.1837</v>
      </c>
      <c r="AR88" s="26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3673.1</v>
      </c>
      <c r="AT88" cm="1">
        <f t="array" ref="AT88">$E$10*(1+$AR88)+VLOOKUP($Q88,武学奇术!$A:$ZZ,4,FALSE)+SUM(_xlfn.XLOOKUP($R88:$AK88,增益!$A:$A,增益!$D:$D,0))-$I$2</f>
        <v>3673.1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0.267</v>
      </c>
      <c r="AV88" s="32" cm="1">
        <f t="array" ref="AV88">$G$10+VLOOKUP($Q88,武学奇术!$A:$ZZ,7,FALSE)+SUM(_xlfn.XLOOKUP($R88:$AK88,增益!$A:$A,增益!$G:$G,0))</f>
        <v>0.025</v>
      </c>
      <c r="AW88" s="26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25"/>
        <v>0</v>
      </c>
      <c r="BC88">
        <f t="shared" si="26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27"/>
        <v>571.2</v>
      </c>
      <c r="BG88">
        <f t="shared" si="28"/>
        <v>1627.8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29"/>
        <v>0</v>
      </c>
      <c r="BK88">
        <f t="shared" si="30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6">
        <f>MIN(IF(VLOOKUP($Q88,武学奇术!$A:$ZZ,23,FALSE)=1,100%,$B$8),100%)</f>
        <v>0.9859</v>
      </c>
      <c r="BO88" s="26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6" cm="1">
        <f t="array" ref="BP88">1+$B$13+VLOOKUP($Q88,武学奇术!$A:$ZZ,18,FALSE)+SUM(_xlfn.XLOOKUP($R88:$AK88,增益!$A:$A,增益!$R:$R,0))</f>
        <v>1.54</v>
      </c>
      <c r="BQ88" s="26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6" cm="1">
        <f t="array" ref="BR88">1+$B$14+VLOOKUP($Q88,武学奇术!$A:$ZZ,20,FALSE)+SUM(_xlfn.XLOOKUP($R88:$AK88,增益!$A:$A,增益!$T:$T,0))</f>
        <v>1.35</v>
      </c>
      <c r="BS88" s="26">
        <f t="shared" si="31"/>
        <v>0.87863408</v>
      </c>
      <c r="BT88" s="26">
        <f t="shared" si="32"/>
        <v>0.01567581</v>
      </c>
      <c r="BU88" s="26">
        <f>IF(VLOOKUP($Q88,武学奇术!$A:$ZZ,22,FALSE)=1,0,(1-$BN88))*(1-$BQ88)</f>
        <v>0.01279011</v>
      </c>
      <c r="BV88" s="26" cm="1">
        <f t="array" ref="BV88">SUM(_xlfn.XLOOKUP($R88:$AK88,增益!$A:$A,增益!$W:$W,0))+$I$5</f>
        <v>0.11</v>
      </c>
    </row>
    <row r="89" spans="1:74">
      <c r="K89" s="38">
        <f t="shared" si="33"/>
        <v>0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9">
        <v>1</v>
      </c>
      <c r="Q89" s="40" t="s">
        <v>80</v>
      </c>
      <c r="R89" s="40" t="s">
        <v>80</v>
      </c>
      <c r="S89" s="40" t="s">
        <v>80</v>
      </c>
      <c r="T89" s="40" t="s">
        <v>80</v>
      </c>
      <c r="U89" s="40" t="s">
        <v>80</v>
      </c>
      <c r="V89" s="40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81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82</v>
      </c>
      <c r="AL89" t="str">
        <f>VLOOKUP($Q89,武学奇术!$A:$ZZ,25,FALSE)</f>
        <v>心法</v>
      </c>
      <c r="AM89" s="26">
        <f>VLOOKUP($Q89,武学奇术!$A:$ZZ,26,FALSE)</f>
        <v>0</v>
      </c>
      <c r="AN89" s="27">
        <f>VLOOKUP($Q89,武学奇术!$A:$ZZ,27,FALSE)*(1+IF(OR($AL89=$F$4,$AL89=$F$5),$B$22,0))</f>
        <v>0</v>
      </c>
      <c r="AO89" s="26">
        <f>VLOOKUP($Q89,武学奇术!$A:$ZZ,28,FALSE)</f>
        <v>0</v>
      </c>
      <c r="AP89" s="27">
        <f>VLOOKUP($Q89,武学奇术!$A:$ZZ,29,FALSE)*(1+IF(OR($AL89=$F$4,$AL89=$F$5),$B$22,0))</f>
        <v>0</v>
      </c>
      <c r="AQ89" s="26" cm="1">
        <f t="array" ref="AQ89">$G$3+IFERROR(VLOOKUP($AL89,$F$4:$G$7,2,FALSE),0)+VLOOKUP($Q89,武学奇术!$A:$ZZ,2,FALSE)+SUM(_xlfn.XLOOKUP($R89:$AK89,增益!$A:$A,增益!$B:$B,0))</f>
        <v>0.1837</v>
      </c>
      <c r="AR89" s="26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3673.1</v>
      </c>
      <c r="AT89" cm="1">
        <f t="array" ref="AT89">$E$10*(1+$AR89)+VLOOKUP($Q89,武学奇术!$A:$ZZ,4,FALSE)+SUM(_xlfn.XLOOKUP($R89:$AK89,增益!$A:$A,增益!$D:$D,0))-$I$2</f>
        <v>3673.1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0.267</v>
      </c>
      <c r="AV89" s="32" cm="1">
        <f t="array" ref="AV89">$G$10+VLOOKUP($Q89,武学奇术!$A:$ZZ,7,FALSE)+SUM(_xlfn.XLOOKUP($R89:$AK89,增益!$A:$A,增益!$G:$G,0))</f>
        <v>0.025</v>
      </c>
      <c r="AW89" s="26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25"/>
        <v>0</v>
      </c>
      <c r="BC89">
        <f t="shared" si="26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27"/>
        <v>571.2</v>
      </c>
      <c r="BG89">
        <f t="shared" si="28"/>
        <v>1627.8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29"/>
        <v>0</v>
      </c>
      <c r="BK89">
        <f t="shared" si="30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6">
        <f>MIN(IF(VLOOKUP($Q89,武学奇术!$A:$ZZ,23,FALSE)=1,100%,$B$8),100%)</f>
        <v>0.9859</v>
      </c>
      <c r="BO89" s="26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6" cm="1">
        <f t="array" ref="BP89">1+$B$13+VLOOKUP($Q89,武学奇术!$A:$ZZ,18,FALSE)+SUM(_xlfn.XLOOKUP($R89:$AK89,增益!$A:$A,增益!$R:$R,0))</f>
        <v>1.54</v>
      </c>
      <c r="BQ89" s="26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6" cm="1">
        <f t="array" ref="BR89">1+$B$14+VLOOKUP($Q89,武学奇术!$A:$ZZ,20,FALSE)+SUM(_xlfn.XLOOKUP($R89:$AK89,增益!$A:$A,增益!$T:$T,0))</f>
        <v>1.35</v>
      </c>
      <c r="BS89" s="26">
        <f t="shared" si="31"/>
        <v>0.87863408</v>
      </c>
      <c r="BT89" s="26">
        <f t="shared" si="32"/>
        <v>0.01567581</v>
      </c>
      <c r="BU89" s="26">
        <f>IF(VLOOKUP($Q89,武学奇术!$A:$ZZ,22,FALSE)=1,0,(1-$BN89))*(1-$BQ89)</f>
        <v>0.01279011</v>
      </c>
      <c r="BV89" s="26" cm="1">
        <f t="array" ref="BV89">SUM(_xlfn.XLOOKUP($R89:$AK89,增益!$A:$A,增益!$W:$W,0))+$I$5</f>
        <v>0.11</v>
      </c>
    </row>
    <row r="90" spans="1:74">
      <c r="K90" s="38">
        <f t="shared" si="33"/>
        <v>0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9">
        <v>1</v>
      </c>
      <c r="Q90" s="40" t="s">
        <v>80</v>
      </c>
      <c r="R90" s="40" t="s">
        <v>80</v>
      </c>
      <c r="S90" s="40" t="s">
        <v>80</v>
      </c>
      <c r="T90" s="40" t="s">
        <v>80</v>
      </c>
      <c r="U90" s="40" t="s">
        <v>80</v>
      </c>
      <c r="V90" s="40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81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82</v>
      </c>
      <c r="AL90" t="str">
        <f>VLOOKUP($Q90,武学奇术!$A:$ZZ,25,FALSE)</f>
        <v>心法</v>
      </c>
      <c r="AM90" s="26">
        <f>VLOOKUP($Q90,武学奇术!$A:$ZZ,26,FALSE)</f>
        <v>0</v>
      </c>
      <c r="AN90" s="27">
        <f>VLOOKUP($Q90,武学奇术!$A:$ZZ,27,FALSE)*(1+IF(OR($AL90=$F$4,$AL90=$F$5),$B$22,0))</f>
        <v>0</v>
      </c>
      <c r="AO90" s="26">
        <f>VLOOKUP($Q90,武学奇术!$A:$ZZ,28,FALSE)</f>
        <v>0</v>
      </c>
      <c r="AP90" s="27">
        <f>VLOOKUP($Q90,武学奇术!$A:$ZZ,29,FALSE)*(1+IF(OR($AL90=$F$4,$AL90=$F$5),$B$22,0))</f>
        <v>0</v>
      </c>
      <c r="AQ90" s="26" cm="1">
        <f t="array" ref="AQ90">$G$3+IFERROR(VLOOKUP($AL90,$F$4:$G$7,2,FALSE),0)+VLOOKUP($Q90,武学奇术!$A:$ZZ,2,FALSE)+SUM(_xlfn.XLOOKUP($R90:$AK90,增益!$A:$A,增益!$B:$B,0))</f>
        <v>0.1837</v>
      </c>
      <c r="AR90" s="26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3673.1</v>
      </c>
      <c r="AT90" cm="1">
        <f t="array" ref="AT90">$E$10*(1+$AR90)+VLOOKUP($Q90,武学奇术!$A:$ZZ,4,FALSE)+SUM(_xlfn.XLOOKUP($R90:$AK90,增益!$A:$A,增益!$D:$D,0))-$I$2</f>
        <v>3673.1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0.267</v>
      </c>
      <c r="AV90" s="32" cm="1">
        <f t="array" ref="AV90">$G$10+VLOOKUP($Q90,武学奇术!$A:$ZZ,7,FALSE)+SUM(_xlfn.XLOOKUP($R90:$AK90,增益!$A:$A,增益!$G:$G,0))</f>
        <v>0.025</v>
      </c>
      <c r="AW90" s="26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25"/>
        <v>0</v>
      </c>
      <c r="BC90">
        <f t="shared" si="26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27"/>
        <v>571.2</v>
      </c>
      <c r="BG90">
        <f t="shared" si="28"/>
        <v>1627.8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29"/>
        <v>0</v>
      </c>
      <c r="BK90">
        <f t="shared" si="30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6">
        <f>MIN(IF(VLOOKUP($Q90,武学奇术!$A:$ZZ,23,FALSE)=1,100%,$B$8),100%)</f>
        <v>0.9859</v>
      </c>
      <c r="BO90" s="26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6" cm="1">
        <f t="array" ref="BP90">1+$B$13+VLOOKUP($Q90,武学奇术!$A:$ZZ,18,FALSE)+SUM(_xlfn.XLOOKUP($R90:$AK90,增益!$A:$A,增益!$R:$R,0))</f>
        <v>1.54</v>
      </c>
      <c r="BQ90" s="26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6" cm="1">
        <f t="array" ref="BR90">1+$B$14+VLOOKUP($Q90,武学奇术!$A:$ZZ,20,FALSE)+SUM(_xlfn.XLOOKUP($R90:$AK90,增益!$A:$A,增益!$T:$T,0))</f>
        <v>1.35</v>
      </c>
      <c r="BS90" s="26">
        <f t="shared" si="31"/>
        <v>0.87863408</v>
      </c>
      <c r="BT90" s="26">
        <f t="shared" si="32"/>
        <v>0.01567581</v>
      </c>
      <c r="BU90" s="26">
        <f>IF(VLOOKUP($Q90,武学奇术!$A:$ZZ,22,FALSE)=1,0,(1-$BN90))*(1-$BQ90)</f>
        <v>0.01279011</v>
      </c>
      <c r="BV90" s="26" cm="1">
        <f t="array" ref="BV90">SUM(_xlfn.XLOOKUP($R90:$AK90,增益!$A:$A,增益!$W:$W,0))+$I$5</f>
        <v>0.11</v>
      </c>
    </row>
    <row r="91" spans="1:74">
      <c r="K91" s="38">
        <f t="shared" si="33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9">
        <v>1</v>
      </c>
      <c r="Q91" s="40" t="s">
        <v>80</v>
      </c>
      <c r="R91" s="40" t="s">
        <v>80</v>
      </c>
      <c r="S91" s="40" t="s">
        <v>80</v>
      </c>
      <c r="T91" s="40" t="s">
        <v>80</v>
      </c>
      <c r="U91" s="40" t="s">
        <v>80</v>
      </c>
      <c r="V91" s="40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81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82</v>
      </c>
      <c r="AL91" t="str">
        <f>VLOOKUP($Q91,武学奇术!$A:$ZZ,25,FALSE)</f>
        <v>心法</v>
      </c>
      <c r="AM91" s="26">
        <f>VLOOKUP($Q91,武学奇术!$A:$ZZ,26,FALSE)</f>
        <v>0</v>
      </c>
      <c r="AN91" s="27">
        <f>VLOOKUP($Q91,武学奇术!$A:$ZZ,27,FALSE)*(1+IF(OR($AL91=$F$4,$AL91=$F$5),$B$22,0))</f>
        <v>0</v>
      </c>
      <c r="AO91" s="26">
        <f>VLOOKUP($Q91,武学奇术!$A:$ZZ,28,FALSE)</f>
        <v>0</v>
      </c>
      <c r="AP91" s="27">
        <f>VLOOKUP($Q91,武学奇术!$A:$ZZ,29,FALSE)*(1+IF(OR($AL91=$F$4,$AL91=$F$5),$B$22,0))</f>
        <v>0</v>
      </c>
      <c r="AQ91" s="26" cm="1">
        <f t="array" ref="AQ91">$G$3+IFERROR(VLOOKUP($AL91,$F$4:$G$7,2,FALSE),0)+VLOOKUP($Q91,武学奇术!$A:$ZZ,2,FALSE)+SUM(_xlfn.XLOOKUP($R91:$AK91,增益!$A:$A,增益!$B:$B,0))</f>
        <v>0.1837</v>
      </c>
      <c r="AR91" s="26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3673.1</v>
      </c>
      <c r="AT91" cm="1">
        <f t="array" ref="AT91">$E$10*(1+$AR91)+VLOOKUP($Q91,武学奇术!$A:$ZZ,4,FALSE)+SUM(_xlfn.XLOOKUP($R91:$AK91,增益!$A:$A,增益!$D:$D,0))-$I$2</f>
        <v>3673.1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0.267</v>
      </c>
      <c r="AV91" s="32" cm="1">
        <f t="array" ref="AV91">$G$10+VLOOKUP($Q91,武学奇术!$A:$ZZ,7,FALSE)+SUM(_xlfn.XLOOKUP($R91:$AK91,增益!$A:$A,增益!$G:$G,0))</f>
        <v>0.025</v>
      </c>
      <c r="AW91" s="26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25"/>
        <v>0</v>
      </c>
      <c r="BC91">
        <f t="shared" si="26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27"/>
        <v>571.2</v>
      </c>
      <c r="BG91">
        <f t="shared" si="28"/>
        <v>1627.8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29"/>
        <v>0</v>
      </c>
      <c r="BK91">
        <f t="shared" si="30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6">
        <f>MIN(IF(VLOOKUP($Q91,武学奇术!$A:$ZZ,23,FALSE)=1,100%,$B$8),100%)</f>
        <v>0.9859</v>
      </c>
      <c r="BO91" s="26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6" cm="1">
        <f t="array" ref="BP91">1+$B$13+VLOOKUP($Q91,武学奇术!$A:$ZZ,18,FALSE)+SUM(_xlfn.XLOOKUP($R91:$AK91,增益!$A:$A,增益!$R:$R,0))</f>
        <v>1.54</v>
      </c>
      <c r="BQ91" s="26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6" cm="1">
        <f t="array" ref="BR91">1+$B$14+VLOOKUP($Q91,武学奇术!$A:$ZZ,20,FALSE)+SUM(_xlfn.XLOOKUP($R91:$AK91,增益!$A:$A,增益!$T:$T,0))</f>
        <v>1.35</v>
      </c>
      <c r="BS91" s="26">
        <f t="shared" si="31"/>
        <v>0.87863408</v>
      </c>
      <c r="BT91" s="26">
        <f t="shared" si="32"/>
        <v>0.01567581</v>
      </c>
      <c r="BU91" s="26">
        <f>IF(VLOOKUP($Q91,武学奇术!$A:$ZZ,22,FALSE)=1,0,(1-$BN91))*(1-$BQ91)</f>
        <v>0.01279011</v>
      </c>
      <c r="BV91" s="26" cm="1">
        <f t="array" ref="BV91">SUM(_xlfn.XLOOKUP($R91:$AK91,增益!$A:$A,增益!$W:$W,0))+$I$5</f>
        <v>0.11</v>
      </c>
    </row>
    <row r="92" spans="1:74">
      <c r="K92" s="38">
        <f t="shared" si="33"/>
        <v>0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9">
        <v>1</v>
      </c>
      <c r="Q92" s="40" t="s">
        <v>80</v>
      </c>
      <c r="R92" s="40" t="s">
        <v>80</v>
      </c>
      <c r="S92" s="40" t="s">
        <v>80</v>
      </c>
      <c r="T92" s="40" t="s">
        <v>80</v>
      </c>
      <c r="U92" s="40" t="s">
        <v>80</v>
      </c>
      <c r="V92" s="40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81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82</v>
      </c>
      <c r="AL92" t="str">
        <f>VLOOKUP($Q92,武学奇术!$A:$ZZ,25,FALSE)</f>
        <v>心法</v>
      </c>
      <c r="AM92" s="26">
        <f>VLOOKUP($Q92,武学奇术!$A:$ZZ,26,FALSE)</f>
        <v>0</v>
      </c>
      <c r="AN92" s="27">
        <f>VLOOKUP($Q92,武学奇术!$A:$ZZ,27,FALSE)*(1+IF(OR($AL92=$F$4,$AL92=$F$5),$B$22,0))</f>
        <v>0</v>
      </c>
      <c r="AO92" s="26">
        <f>VLOOKUP($Q92,武学奇术!$A:$ZZ,28,FALSE)</f>
        <v>0</v>
      </c>
      <c r="AP92" s="27">
        <f>VLOOKUP($Q92,武学奇术!$A:$ZZ,29,FALSE)*(1+IF(OR($AL92=$F$4,$AL92=$F$5),$B$22,0))</f>
        <v>0</v>
      </c>
      <c r="AQ92" s="26" cm="1">
        <f t="array" ref="AQ92">$G$3+IFERROR(VLOOKUP($AL92,$F$4:$G$7,2,FALSE),0)+VLOOKUP($Q92,武学奇术!$A:$ZZ,2,FALSE)+SUM(_xlfn.XLOOKUP($R92:$AK92,增益!$A:$A,增益!$B:$B,0))</f>
        <v>0.1837</v>
      </c>
      <c r="AR92" s="26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3673.1</v>
      </c>
      <c r="AT92" cm="1">
        <f t="array" ref="AT92">$E$10*(1+$AR92)+VLOOKUP($Q92,武学奇术!$A:$ZZ,4,FALSE)+SUM(_xlfn.XLOOKUP($R92:$AK92,增益!$A:$A,增益!$D:$D,0))-$I$2</f>
        <v>3673.1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0.267</v>
      </c>
      <c r="AV92" s="32" cm="1">
        <f t="array" ref="AV92">$G$10+VLOOKUP($Q92,武学奇术!$A:$ZZ,7,FALSE)+SUM(_xlfn.XLOOKUP($R92:$AK92,增益!$A:$A,增益!$G:$G,0))</f>
        <v>0.025</v>
      </c>
      <c r="AW92" s="26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25"/>
        <v>0</v>
      </c>
      <c r="BC92">
        <f t="shared" si="26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27"/>
        <v>571.2</v>
      </c>
      <c r="BG92">
        <f t="shared" si="28"/>
        <v>1627.8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29"/>
        <v>0</v>
      </c>
      <c r="BK92">
        <f t="shared" si="30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6">
        <f>MIN(IF(VLOOKUP($Q92,武学奇术!$A:$ZZ,23,FALSE)=1,100%,$B$8),100%)</f>
        <v>0.9859</v>
      </c>
      <c r="BO92" s="26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6" cm="1">
        <f t="array" ref="BP92">1+$B$13+VLOOKUP($Q92,武学奇术!$A:$ZZ,18,FALSE)+SUM(_xlfn.XLOOKUP($R92:$AK92,增益!$A:$A,增益!$R:$R,0))</f>
        <v>1.54</v>
      </c>
      <c r="BQ92" s="26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6" cm="1">
        <f t="array" ref="BR92">1+$B$14+VLOOKUP($Q92,武学奇术!$A:$ZZ,20,FALSE)+SUM(_xlfn.XLOOKUP($R92:$AK92,增益!$A:$A,增益!$T:$T,0))</f>
        <v>1.35</v>
      </c>
      <c r="BS92" s="26">
        <f t="shared" si="31"/>
        <v>0.87863408</v>
      </c>
      <c r="BT92" s="26">
        <f t="shared" si="32"/>
        <v>0.01567581</v>
      </c>
      <c r="BU92" s="26">
        <f>IF(VLOOKUP($Q92,武学奇术!$A:$ZZ,22,FALSE)=1,0,(1-$BN92))*(1-$BQ92)</f>
        <v>0.01279011</v>
      </c>
      <c r="BV92" s="26" cm="1">
        <f t="array" ref="BV92">SUM(_xlfn.XLOOKUP($R92:$AK92,增益!$A:$A,增益!$W:$W,0))+$I$5</f>
        <v>0.11</v>
      </c>
    </row>
    <row r="93" spans="1:74">
      <c r="K93" s="38">
        <f t="shared" ref="K93:K112" si="34">($L93*$BS93+$M93*$BQ93+$N93*$BT93+$O93*$BU93)</f>
        <v>0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9">
        <v>1</v>
      </c>
      <c r="Q93" s="40" t="s">
        <v>80</v>
      </c>
      <c r="R93" s="40" t="s">
        <v>80</v>
      </c>
      <c r="S93" s="40" t="s">
        <v>80</v>
      </c>
      <c r="T93" s="40" t="s">
        <v>80</v>
      </c>
      <c r="U93" s="40" t="s">
        <v>80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80</v>
      </c>
      <c r="AA93" s="40" t="s">
        <v>80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81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82</v>
      </c>
      <c r="AL93" t="str">
        <f>VLOOKUP($Q93,武学奇术!$A:$ZZ,25,FALSE)</f>
        <v>心法</v>
      </c>
      <c r="AM93" s="26">
        <f>VLOOKUP($Q93,武学奇术!$A:$ZZ,26,FALSE)</f>
        <v>0</v>
      </c>
      <c r="AN93" s="27">
        <f>VLOOKUP($Q93,武学奇术!$A:$ZZ,27,FALSE)*(1+IF(OR($AL93=$F$4,$AL93=$F$5),$B$22,0))</f>
        <v>0</v>
      </c>
      <c r="AO93" s="26">
        <f>VLOOKUP($Q93,武学奇术!$A:$ZZ,28,FALSE)</f>
        <v>0</v>
      </c>
      <c r="AP93" s="27">
        <f>VLOOKUP($Q93,武学奇术!$A:$ZZ,29,FALSE)*(1+IF(OR($AL93=$F$4,$AL93=$F$5),$B$22,0))</f>
        <v>0</v>
      </c>
      <c r="AQ93" s="26" cm="1">
        <f t="array" ref="AQ93">$G$3+IFERROR(VLOOKUP($AL93,$F$4:$G$7,2,FALSE),0)+VLOOKUP($Q93,武学奇术!$A:$ZZ,2,FALSE)+SUM(_xlfn.XLOOKUP($R93:$AK93,增益!$A:$A,增益!$B:$B,0))</f>
        <v>0.1837</v>
      </c>
      <c r="AR93" s="26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3673.1</v>
      </c>
      <c r="AT93" cm="1">
        <f t="array" ref="AT93">$E$10*(1+$AR93)+VLOOKUP($Q93,武学奇术!$A:$ZZ,4,FALSE)+SUM(_xlfn.XLOOKUP($R93:$AK93,增益!$A:$A,增益!$D:$D,0))-$I$2</f>
        <v>3673.1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0.267</v>
      </c>
      <c r="AV93" s="32" cm="1">
        <f t="array" ref="AV93">$G$10+VLOOKUP($Q93,武学奇术!$A:$ZZ,7,FALSE)+SUM(_xlfn.XLOOKUP($R93:$AK93,增益!$A:$A,增益!$G:$G,0))</f>
        <v>0.025</v>
      </c>
      <c r="AW93" s="26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25"/>
        <v>0</v>
      </c>
      <c r="BC93">
        <f t="shared" si="26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27"/>
        <v>571.2</v>
      </c>
      <c r="BG93">
        <f t="shared" si="28"/>
        <v>1627.8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29"/>
        <v>0</v>
      </c>
      <c r="BK93">
        <f t="shared" si="30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6">
        <f>MIN(IF(VLOOKUP($Q93,武学奇术!$A:$ZZ,23,FALSE)=1,100%,$B$8),100%)</f>
        <v>0.9859</v>
      </c>
      <c r="BO93" s="26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6" cm="1">
        <f t="array" ref="BP93">1+$B$13+VLOOKUP($Q93,武学奇术!$A:$ZZ,18,FALSE)+SUM(_xlfn.XLOOKUP($R93:$AK93,增益!$A:$A,增益!$R:$R,0))</f>
        <v>1.54</v>
      </c>
      <c r="BQ93" s="26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6" cm="1">
        <f t="array" ref="BR93">1+$B$14+VLOOKUP($Q93,武学奇术!$A:$ZZ,20,FALSE)+SUM(_xlfn.XLOOKUP($R93:$AK93,增益!$A:$A,增益!$T:$T,0))</f>
        <v>1.35</v>
      </c>
      <c r="BS93" s="26">
        <f t="shared" si="31"/>
        <v>0.87863408</v>
      </c>
      <c r="BT93" s="26">
        <f t="shared" si="32"/>
        <v>0.01567581</v>
      </c>
      <c r="BU93" s="26">
        <f>IF(VLOOKUP($Q93,武学奇术!$A:$ZZ,22,FALSE)=1,0,(1-$BN93))*(1-$BQ93)</f>
        <v>0.01279011</v>
      </c>
      <c r="BV93" s="26" cm="1">
        <f t="array" ref="BV93">SUM(_xlfn.XLOOKUP($R93:$AK93,增益!$A:$A,增益!$W:$W,0))+$I$5</f>
        <v>0.11</v>
      </c>
    </row>
    <row r="94" spans="1:74">
      <c r="K94" s="38">
        <f t="shared" si="34"/>
        <v>0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9">
        <v>1</v>
      </c>
      <c r="Q94" s="40" t="s">
        <v>80</v>
      </c>
      <c r="R94" s="40" t="s">
        <v>80</v>
      </c>
      <c r="S94" s="40" t="s">
        <v>80</v>
      </c>
      <c r="T94" s="40" t="s">
        <v>80</v>
      </c>
      <c r="U94" s="40" t="s">
        <v>80</v>
      </c>
      <c r="V94" s="40" t="s">
        <v>80</v>
      </c>
      <c r="W94" s="40" t="s">
        <v>80</v>
      </c>
      <c r="X94" s="40" t="s">
        <v>80</v>
      </c>
      <c r="Y94" s="40" t="s">
        <v>80</v>
      </c>
      <c r="Z94" s="40" t="s">
        <v>80</v>
      </c>
      <c r="AA94" s="40" t="s">
        <v>80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81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82</v>
      </c>
      <c r="AL94" t="str">
        <f>VLOOKUP($Q94,武学奇术!$A:$ZZ,25,FALSE)</f>
        <v>心法</v>
      </c>
      <c r="AM94" s="26">
        <f>VLOOKUP($Q94,武学奇术!$A:$ZZ,26,FALSE)</f>
        <v>0</v>
      </c>
      <c r="AN94" s="27">
        <f>VLOOKUP($Q94,武学奇术!$A:$ZZ,27,FALSE)*(1+IF(OR($AL94=$F$4,$AL94=$F$5),$B$22,0))</f>
        <v>0</v>
      </c>
      <c r="AO94" s="26">
        <f>VLOOKUP($Q94,武学奇术!$A:$ZZ,28,FALSE)</f>
        <v>0</v>
      </c>
      <c r="AP94" s="27">
        <f>VLOOKUP($Q94,武学奇术!$A:$ZZ,29,FALSE)*(1+IF(OR($AL94=$F$4,$AL94=$F$5),$B$22,0))</f>
        <v>0</v>
      </c>
      <c r="AQ94" s="26" cm="1">
        <f t="array" ref="AQ94">$G$3+IFERROR(VLOOKUP($AL94,$F$4:$G$7,2,FALSE),0)+VLOOKUP($Q94,武学奇术!$A:$ZZ,2,FALSE)+SUM(_xlfn.XLOOKUP($R94:$AK94,增益!$A:$A,增益!$B:$B,0))</f>
        <v>0.1837</v>
      </c>
      <c r="AR94" s="26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3673.1</v>
      </c>
      <c r="AT94" cm="1">
        <f t="array" ref="AT94">$E$10*(1+$AR94)+VLOOKUP($Q94,武学奇术!$A:$ZZ,4,FALSE)+SUM(_xlfn.XLOOKUP($R94:$AK94,增益!$A:$A,增益!$D:$D,0))-$I$2</f>
        <v>3673.1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0.267</v>
      </c>
      <c r="AV94" s="32" cm="1">
        <f t="array" ref="AV94">$G$10+VLOOKUP($Q94,武学奇术!$A:$ZZ,7,FALSE)+SUM(_xlfn.XLOOKUP($R94:$AK94,增益!$A:$A,增益!$G:$G,0))</f>
        <v>0.025</v>
      </c>
      <c r="AW94" s="26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25"/>
        <v>0</v>
      </c>
      <c r="BC94">
        <f t="shared" si="26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27"/>
        <v>571.2</v>
      </c>
      <c r="BG94">
        <f t="shared" si="28"/>
        <v>1627.8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29"/>
        <v>0</v>
      </c>
      <c r="BK94">
        <f t="shared" si="30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6">
        <f>MIN(IF(VLOOKUP($Q94,武学奇术!$A:$ZZ,23,FALSE)=1,100%,$B$8),100%)</f>
        <v>0.9859</v>
      </c>
      <c r="BO94" s="26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6" cm="1">
        <f t="array" ref="BP94">1+$B$13+VLOOKUP($Q94,武学奇术!$A:$ZZ,18,FALSE)+SUM(_xlfn.XLOOKUP($R94:$AK94,增益!$A:$A,增益!$R:$R,0))</f>
        <v>1.54</v>
      </c>
      <c r="BQ94" s="26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6" cm="1">
        <f t="array" ref="BR94">1+$B$14+VLOOKUP($Q94,武学奇术!$A:$ZZ,20,FALSE)+SUM(_xlfn.XLOOKUP($R94:$AK94,增益!$A:$A,增益!$T:$T,0))</f>
        <v>1.35</v>
      </c>
      <c r="BS94" s="26">
        <f t="shared" si="31"/>
        <v>0.87863408</v>
      </c>
      <c r="BT94" s="26">
        <f t="shared" si="32"/>
        <v>0.01567581</v>
      </c>
      <c r="BU94" s="26">
        <f>IF(VLOOKUP($Q94,武学奇术!$A:$ZZ,22,FALSE)=1,0,(1-$BN94))*(1-$BQ94)</f>
        <v>0.01279011</v>
      </c>
      <c r="BV94" s="26" cm="1">
        <f t="array" ref="BV94">SUM(_xlfn.XLOOKUP($R94:$AK94,增益!$A:$A,增益!$W:$W,0))+$I$5</f>
        <v>0.11</v>
      </c>
    </row>
    <row r="95" spans="1:74">
      <c r="K95" s="38">
        <f t="shared" si="34"/>
        <v>0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9">
        <v>1</v>
      </c>
      <c r="Q95" s="40" t="s">
        <v>80</v>
      </c>
      <c r="R95" s="40" t="s">
        <v>80</v>
      </c>
      <c r="S95" s="40" t="s">
        <v>80</v>
      </c>
      <c r="T95" s="40" t="s">
        <v>80</v>
      </c>
      <c r="U95" s="40" t="s">
        <v>80</v>
      </c>
      <c r="V95" s="40" t="s">
        <v>80</v>
      </c>
      <c r="W95" s="40" t="s">
        <v>80</v>
      </c>
      <c r="X95" s="40" t="s">
        <v>80</v>
      </c>
      <c r="Y95" s="40" t="s">
        <v>80</v>
      </c>
      <c r="Z95" s="40" t="s">
        <v>80</v>
      </c>
      <c r="AA95" s="40" t="s">
        <v>80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81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82</v>
      </c>
      <c r="AL95" t="str">
        <f>VLOOKUP($Q95,武学奇术!$A:$ZZ,25,FALSE)</f>
        <v>心法</v>
      </c>
      <c r="AM95" s="26">
        <f>VLOOKUP($Q95,武学奇术!$A:$ZZ,26,FALSE)</f>
        <v>0</v>
      </c>
      <c r="AN95" s="27">
        <f>VLOOKUP($Q95,武学奇术!$A:$ZZ,27,FALSE)*(1+IF(OR($AL95=$F$4,$AL95=$F$5),$B$22,0))</f>
        <v>0</v>
      </c>
      <c r="AO95" s="26">
        <f>VLOOKUP($Q95,武学奇术!$A:$ZZ,28,FALSE)</f>
        <v>0</v>
      </c>
      <c r="AP95" s="27">
        <f>VLOOKUP($Q95,武学奇术!$A:$ZZ,29,FALSE)*(1+IF(OR($AL95=$F$4,$AL95=$F$5),$B$22,0))</f>
        <v>0</v>
      </c>
      <c r="AQ95" s="26" cm="1">
        <f t="array" ref="AQ95">$G$3+IFERROR(VLOOKUP($AL95,$F$4:$G$7,2,FALSE),0)+VLOOKUP($Q95,武学奇术!$A:$ZZ,2,FALSE)+SUM(_xlfn.XLOOKUP($R95:$AK95,增益!$A:$A,增益!$B:$B,0))</f>
        <v>0.1837</v>
      </c>
      <c r="AR95" s="26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3673.1</v>
      </c>
      <c r="AT95" cm="1">
        <f t="array" ref="AT95">$E$10*(1+$AR95)+VLOOKUP($Q95,武学奇术!$A:$ZZ,4,FALSE)+SUM(_xlfn.XLOOKUP($R95:$AK95,增益!$A:$A,增益!$D:$D,0))-$I$2</f>
        <v>3673.1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0.267</v>
      </c>
      <c r="AV95" s="32" cm="1">
        <f t="array" ref="AV95">$G$10+VLOOKUP($Q95,武学奇术!$A:$ZZ,7,FALSE)+SUM(_xlfn.XLOOKUP($R95:$AK95,增益!$A:$A,增益!$G:$G,0))</f>
        <v>0.025</v>
      </c>
      <c r="AW95" s="26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25"/>
        <v>0</v>
      </c>
      <c r="BC95">
        <f t="shared" si="26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27"/>
        <v>571.2</v>
      </c>
      <c r="BG95">
        <f t="shared" si="28"/>
        <v>1627.8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29"/>
        <v>0</v>
      </c>
      <c r="BK95">
        <f t="shared" si="30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6">
        <f>MIN(IF(VLOOKUP($Q95,武学奇术!$A:$ZZ,23,FALSE)=1,100%,$B$8),100%)</f>
        <v>0.9859</v>
      </c>
      <c r="BO95" s="26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6" cm="1">
        <f t="array" ref="BP95">1+$B$13+VLOOKUP($Q95,武学奇术!$A:$ZZ,18,FALSE)+SUM(_xlfn.XLOOKUP($R95:$AK95,增益!$A:$A,增益!$R:$R,0))</f>
        <v>1.54</v>
      </c>
      <c r="BQ95" s="26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6" cm="1">
        <f t="array" ref="BR95">1+$B$14+VLOOKUP($Q95,武学奇术!$A:$ZZ,20,FALSE)+SUM(_xlfn.XLOOKUP($R95:$AK95,增益!$A:$A,增益!$T:$T,0))</f>
        <v>1.35</v>
      </c>
      <c r="BS95" s="26">
        <f t="shared" si="31"/>
        <v>0.87863408</v>
      </c>
      <c r="BT95" s="26">
        <f t="shared" si="32"/>
        <v>0.01567581</v>
      </c>
      <c r="BU95" s="26">
        <f>IF(VLOOKUP($Q95,武学奇术!$A:$ZZ,22,FALSE)=1,0,(1-$BN95))*(1-$BQ95)</f>
        <v>0.01279011</v>
      </c>
      <c r="BV95" s="26" cm="1">
        <f t="array" ref="BV95">SUM(_xlfn.XLOOKUP($R95:$AK95,增益!$A:$A,增益!$W:$W,0))+$I$5</f>
        <v>0.11</v>
      </c>
    </row>
    <row r="96" spans="1:74">
      <c r="K96" s="38">
        <f t="shared" si="34"/>
        <v>0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9">
        <v>1</v>
      </c>
      <c r="Q96" s="40" t="s">
        <v>80</v>
      </c>
      <c r="R96" s="40" t="s">
        <v>80</v>
      </c>
      <c r="S96" s="40" t="s">
        <v>80</v>
      </c>
      <c r="T96" s="40" t="s">
        <v>80</v>
      </c>
      <c r="U96" s="40" t="s">
        <v>80</v>
      </c>
      <c r="V96" s="40" t="s">
        <v>80</v>
      </c>
      <c r="W96" s="40" t="s">
        <v>80</v>
      </c>
      <c r="X96" s="40" t="s">
        <v>80</v>
      </c>
      <c r="Y96" s="40" t="s">
        <v>80</v>
      </c>
      <c r="Z96" s="40" t="s">
        <v>80</v>
      </c>
      <c r="AA96" s="40" t="s">
        <v>80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81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82</v>
      </c>
      <c r="AL96" t="str">
        <f>VLOOKUP($Q96,武学奇术!$A:$ZZ,25,FALSE)</f>
        <v>心法</v>
      </c>
      <c r="AM96" s="26">
        <f>VLOOKUP($Q96,武学奇术!$A:$ZZ,26,FALSE)</f>
        <v>0</v>
      </c>
      <c r="AN96" s="27">
        <f>VLOOKUP($Q96,武学奇术!$A:$ZZ,27,FALSE)*(1+IF(OR($AL96=$F$4,$AL96=$F$5),$B$22,0))</f>
        <v>0</v>
      </c>
      <c r="AO96" s="26">
        <f>VLOOKUP($Q96,武学奇术!$A:$ZZ,28,FALSE)</f>
        <v>0</v>
      </c>
      <c r="AP96" s="27">
        <f>VLOOKUP($Q96,武学奇术!$A:$ZZ,29,FALSE)*(1+IF(OR($AL96=$F$4,$AL96=$F$5),$B$22,0))</f>
        <v>0</v>
      </c>
      <c r="AQ96" s="26" cm="1">
        <f t="array" ref="AQ96">$G$3+IFERROR(VLOOKUP($AL96,$F$4:$G$7,2,FALSE),0)+VLOOKUP($Q96,武学奇术!$A:$ZZ,2,FALSE)+SUM(_xlfn.XLOOKUP($R96:$AK96,增益!$A:$A,增益!$B:$B,0))</f>
        <v>0.1837</v>
      </c>
      <c r="AR96" s="26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3673.1</v>
      </c>
      <c r="AT96" cm="1">
        <f t="array" ref="AT96">$E$10*(1+$AR96)+VLOOKUP($Q96,武学奇术!$A:$ZZ,4,FALSE)+SUM(_xlfn.XLOOKUP($R96:$AK96,增益!$A:$A,增益!$D:$D,0))-$I$2</f>
        <v>3673.1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0.267</v>
      </c>
      <c r="AV96" s="32" cm="1">
        <f t="array" ref="AV96">$G$10+VLOOKUP($Q96,武学奇术!$A:$ZZ,7,FALSE)+SUM(_xlfn.XLOOKUP($R96:$AK96,增益!$A:$A,增益!$G:$G,0))</f>
        <v>0.025</v>
      </c>
      <c r="AW96" s="26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25"/>
        <v>0</v>
      </c>
      <c r="BC96">
        <f t="shared" si="26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27"/>
        <v>571.2</v>
      </c>
      <c r="BG96">
        <f t="shared" si="28"/>
        <v>1627.8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29"/>
        <v>0</v>
      </c>
      <c r="BK96">
        <f t="shared" si="30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6">
        <f>MIN(IF(VLOOKUP($Q96,武学奇术!$A:$ZZ,23,FALSE)=1,100%,$B$8),100%)</f>
        <v>0.9859</v>
      </c>
      <c r="BO96" s="26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6" cm="1">
        <f t="array" ref="BP96">1+$B$13+VLOOKUP($Q96,武学奇术!$A:$ZZ,18,FALSE)+SUM(_xlfn.XLOOKUP($R96:$AK96,增益!$A:$A,增益!$R:$R,0))</f>
        <v>1.54</v>
      </c>
      <c r="BQ96" s="26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6" cm="1">
        <f t="array" ref="BR96">1+$B$14+VLOOKUP($Q96,武学奇术!$A:$ZZ,20,FALSE)+SUM(_xlfn.XLOOKUP($R96:$AK96,增益!$A:$A,增益!$T:$T,0))</f>
        <v>1.35</v>
      </c>
      <c r="BS96" s="26">
        <f t="shared" si="31"/>
        <v>0.87863408</v>
      </c>
      <c r="BT96" s="26">
        <f t="shared" si="32"/>
        <v>0.01567581</v>
      </c>
      <c r="BU96" s="26">
        <f>IF(VLOOKUP($Q96,武学奇术!$A:$ZZ,22,FALSE)=1,0,(1-$BN96))*(1-$BQ96)</f>
        <v>0.01279011</v>
      </c>
      <c r="BV96" s="26" cm="1">
        <f t="array" ref="BV96">SUM(_xlfn.XLOOKUP($R96:$AK96,增益!$A:$A,增益!$W:$W,0))+$I$5</f>
        <v>0.11</v>
      </c>
    </row>
    <row r="97" spans="11:74">
      <c r="K97" s="38">
        <f t="shared" si="34"/>
        <v>0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9">
        <v>1</v>
      </c>
      <c r="Q97" s="40" t="s">
        <v>80</v>
      </c>
      <c r="R97" s="40" t="s">
        <v>80</v>
      </c>
      <c r="S97" s="40" t="s">
        <v>80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81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82</v>
      </c>
      <c r="AL97" t="str">
        <f>VLOOKUP($Q97,武学奇术!$A:$ZZ,25,FALSE)</f>
        <v>心法</v>
      </c>
      <c r="AM97" s="26">
        <f>VLOOKUP($Q97,武学奇术!$A:$ZZ,26,FALSE)</f>
        <v>0</v>
      </c>
      <c r="AN97" s="27">
        <f>VLOOKUP($Q97,武学奇术!$A:$ZZ,27,FALSE)*(1+IF(OR($AL97=$F$4,$AL97=$F$5),$B$22,0))</f>
        <v>0</v>
      </c>
      <c r="AO97" s="26">
        <f>VLOOKUP($Q97,武学奇术!$A:$ZZ,28,FALSE)</f>
        <v>0</v>
      </c>
      <c r="AP97" s="27">
        <f>VLOOKUP($Q97,武学奇术!$A:$ZZ,29,FALSE)*(1+IF(OR($AL97=$F$4,$AL97=$F$5),$B$22,0))</f>
        <v>0</v>
      </c>
      <c r="AQ97" s="26" cm="1">
        <f t="array" ref="AQ97">$G$3+IFERROR(VLOOKUP($AL97,$F$4:$G$7,2,FALSE),0)+VLOOKUP($Q97,武学奇术!$A:$ZZ,2,FALSE)+SUM(_xlfn.XLOOKUP($R97:$AK97,增益!$A:$A,增益!$B:$B,0))</f>
        <v>0.1837</v>
      </c>
      <c r="AR97" s="26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3673.1</v>
      </c>
      <c r="AT97" cm="1">
        <f t="array" ref="AT97">$E$10*(1+$AR97)+VLOOKUP($Q97,武学奇术!$A:$ZZ,4,FALSE)+SUM(_xlfn.XLOOKUP($R97:$AK97,增益!$A:$A,增益!$D:$D,0))-$I$2</f>
        <v>3673.1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0.267</v>
      </c>
      <c r="AV97" s="32" cm="1">
        <f t="array" ref="AV97">$G$10+VLOOKUP($Q97,武学奇术!$A:$ZZ,7,FALSE)+SUM(_xlfn.XLOOKUP($R97:$AK97,增益!$A:$A,增益!$G:$G,0))</f>
        <v>0.025</v>
      </c>
      <c r="AW97" s="26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25"/>
        <v>0</v>
      </c>
      <c r="BC97">
        <f t="shared" si="26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27"/>
        <v>571.2</v>
      </c>
      <c r="BG97">
        <f t="shared" si="28"/>
        <v>1627.8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29"/>
        <v>0</v>
      </c>
      <c r="BK97">
        <f t="shared" si="30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6">
        <f>MIN(IF(VLOOKUP($Q97,武学奇术!$A:$ZZ,23,FALSE)=1,100%,$B$8),100%)</f>
        <v>0.9859</v>
      </c>
      <c r="BO97" s="26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6" cm="1">
        <f t="array" ref="BP97">1+$B$13+VLOOKUP($Q97,武学奇术!$A:$ZZ,18,FALSE)+SUM(_xlfn.XLOOKUP($R97:$AK97,增益!$A:$A,增益!$R:$R,0))</f>
        <v>1.54</v>
      </c>
      <c r="BQ97" s="26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6" cm="1">
        <f t="array" ref="BR97">1+$B$14+VLOOKUP($Q97,武学奇术!$A:$ZZ,20,FALSE)+SUM(_xlfn.XLOOKUP($R97:$AK97,增益!$A:$A,增益!$T:$T,0))</f>
        <v>1.35</v>
      </c>
      <c r="BS97" s="26">
        <f t="shared" si="31"/>
        <v>0.87863408</v>
      </c>
      <c r="BT97" s="26">
        <f t="shared" si="32"/>
        <v>0.01567581</v>
      </c>
      <c r="BU97" s="26">
        <f>IF(VLOOKUP($Q97,武学奇术!$A:$ZZ,22,FALSE)=1,0,(1-$BN97))*(1-$BQ97)</f>
        <v>0.01279011</v>
      </c>
      <c r="BV97" s="26" cm="1">
        <f t="array" ref="BV97">SUM(_xlfn.XLOOKUP($R97:$AK97,增益!$A:$A,增益!$W:$W,0))+$I$5</f>
        <v>0.11</v>
      </c>
    </row>
    <row r="98" spans="11:74">
      <c r="K98" s="38">
        <f t="shared" si="34"/>
        <v>0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9">
        <v>1</v>
      </c>
      <c r="Q98" s="40" t="s">
        <v>80</v>
      </c>
      <c r="R98" s="40" t="s">
        <v>80</v>
      </c>
      <c r="S98" s="40" t="s">
        <v>80</v>
      </c>
      <c r="T98" s="40" t="s">
        <v>80</v>
      </c>
      <c r="U98" s="40" t="s">
        <v>80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40" t="s">
        <v>80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81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82</v>
      </c>
      <c r="AL98" t="str">
        <f>VLOOKUP($Q98,武学奇术!$A:$ZZ,25,FALSE)</f>
        <v>心法</v>
      </c>
      <c r="AM98" s="26">
        <f>VLOOKUP($Q98,武学奇术!$A:$ZZ,26,FALSE)</f>
        <v>0</v>
      </c>
      <c r="AN98" s="27">
        <f>VLOOKUP($Q98,武学奇术!$A:$ZZ,27,FALSE)*(1+IF(OR($AL98=$F$4,$AL98=$F$5),$B$22,0))</f>
        <v>0</v>
      </c>
      <c r="AO98" s="26">
        <f>VLOOKUP($Q98,武学奇术!$A:$ZZ,28,FALSE)</f>
        <v>0</v>
      </c>
      <c r="AP98" s="27">
        <f>VLOOKUP($Q98,武学奇术!$A:$ZZ,29,FALSE)*(1+IF(OR($AL98=$F$4,$AL98=$F$5),$B$22,0))</f>
        <v>0</v>
      </c>
      <c r="AQ98" s="26" cm="1">
        <f t="array" ref="AQ98">$G$3+IFERROR(VLOOKUP($AL98,$F$4:$G$7,2,FALSE),0)+VLOOKUP($Q98,武学奇术!$A:$ZZ,2,FALSE)+SUM(_xlfn.XLOOKUP($R98:$AK98,增益!$A:$A,增益!$B:$B,0))</f>
        <v>0.1837</v>
      </c>
      <c r="AR98" s="26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3673.1</v>
      </c>
      <c r="AT98" cm="1">
        <f t="array" ref="AT98">$E$10*(1+$AR98)+VLOOKUP($Q98,武学奇术!$A:$ZZ,4,FALSE)+SUM(_xlfn.XLOOKUP($R98:$AK98,增益!$A:$A,增益!$D:$D,0))-$I$2</f>
        <v>3673.1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0.267</v>
      </c>
      <c r="AV98" s="32" cm="1">
        <f t="array" ref="AV98">$G$10+VLOOKUP($Q98,武学奇术!$A:$ZZ,7,FALSE)+SUM(_xlfn.XLOOKUP($R98:$AK98,增益!$A:$A,增益!$G:$G,0))</f>
        <v>0.025</v>
      </c>
      <c r="AW98" s="26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25"/>
        <v>0</v>
      </c>
      <c r="BC98">
        <f t="shared" si="26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27"/>
        <v>571.2</v>
      </c>
      <c r="BG98">
        <f t="shared" si="28"/>
        <v>1627.8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29"/>
        <v>0</v>
      </c>
      <c r="BK98">
        <f t="shared" si="30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6">
        <f>MIN(IF(VLOOKUP($Q98,武学奇术!$A:$ZZ,23,FALSE)=1,100%,$B$8),100%)</f>
        <v>0.9859</v>
      </c>
      <c r="BO98" s="26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6" cm="1">
        <f t="array" ref="BP98">1+$B$13+VLOOKUP($Q98,武学奇术!$A:$ZZ,18,FALSE)+SUM(_xlfn.XLOOKUP($R98:$AK98,增益!$A:$A,增益!$R:$R,0))</f>
        <v>1.54</v>
      </c>
      <c r="BQ98" s="26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6" cm="1">
        <f t="array" ref="BR98">1+$B$14+VLOOKUP($Q98,武学奇术!$A:$ZZ,20,FALSE)+SUM(_xlfn.XLOOKUP($R98:$AK98,增益!$A:$A,增益!$T:$T,0))</f>
        <v>1.35</v>
      </c>
      <c r="BS98" s="26">
        <f t="shared" si="31"/>
        <v>0.87863408</v>
      </c>
      <c r="BT98" s="26">
        <f t="shared" si="32"/>
        <v>0.01567581</v>
      </c>
      <c r="BU98" s="26">
        <f>IF(VLOOKUP($Q98,武学奇术!$A:$ZZ,22,FALSE)=1,0,(1-$BN98))*(1-$BQ98)</f>
        <v>0.01279011</v>
      </c>
      <c r="BV98" s="26" cm="1">
        <f t="array" ref="BV98">SUM(_xlfn.XLOOKUP($R98:$AK98,增益!$A:$A,增益!$W:$W,0))+$I$5</f>
        <v>0.11</v>
      </c>
    </row>
    <row r="99" spans="11:74">
      <c r="K99" s="38">
        <f t="shared" si="34"/>
        <v>0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9">
        <v>1</v>
      </c>
      <c r="Q99" s="40" t="s">
        <v>80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81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82</v>
      </c>
      <c r="AL99" t="str">
        <f>VLOOKUP($Q99,武学奇术!$A:$ZZ,25,FALSE)</f>
        <v>心法</v>
      </c>
      <c r="AM99" s="26">
        <f>VLOOKUP($Q99,武学奇术!$A:$ZZ,26,FALSE)</f>
        <v>0</v>
      </c>
      <c r="AN99" s="27">
        <f>VLOOKUP($Q99,武学奇术!$A:$ZZ,27,FALSE)*(1+IF(OR($AL99=$F$4,$AL99=$F$5),$B$22,0))</f>
        <v>0</v>
      </c>
      <c r="AO99" s="26">
        <f>VLOOKUP($Q99,武学奇术!$A:$ZZ,28,FALSE)</f>
        <v>0</v>
      </c>
      <c r="AP99" s="27">
        <f>VLOOKUP($Q99,武学奇术!$A:$ZZ,29,FALSE)*(1+IF(OR($AL99=$F$4,$AL99=$F$5),$B$22,0))</f>
        <v>0</v>
      </c>
      <c r="AQ99" s="26" cm="1">
        <f t="array" ref="AQ99">$G$3+IFERROR(VLOOKUP($AL99,$F$4:$G$7,2,FALSE),0)+VLOOKUP($Q99,武学奇术!$A:$ZZ,2,FALSE)+SUM(_xlfn.XLOOKUP($R99:$AK99,增益!$A:$A,增益!$B:$B,0))</f>
        <v>0.1837</v>
      </c>
      <c r="AR99" s="26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3673.1</v>
      </c>
      <c r="AT99" cm="1">
        <f t="array" ref="AT99">$E$10*(1+$AR99)+VLOOKUP($Q99,武学奇术!$A:$ZZ,4,FALSE)+SUM(_xlfn.XLOOKUP($R99:$AK99,增益!$A:$A,增益!$D:$D,0))-$I$2</f>
        <v>3673.1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0.267</v>
      </c>
      <c r="AV99" s="32" cm="1">
        <f t="array" ref="AV99">$G$10+VLOOKUP($Q99,武学奇术!$A:$ZZ,7,FALSE)+SUM(_xlfn.XLOOKUP($R99:$AK99,增益!$A:$A,增益!$G:$G,0))</f>
        <v>0.025</v>
      </c>
      <c r="AW99" s="26" cm="1">
        <f t="array" ref="AW99">VLOOKUP($Q99,武学奇术!$A:$ZZ,8,FALSE)+SUM(_xlfn.XLOOKUP($R99:$AK99,增益!$A:$A,增益!$H:$H,0))</f>
        <v>0</v>
      </c>
      <c r="AX99">
        <f t="shared" ref="AX99:AX121" si="35">$D$11*(1+$AW99)</f>
        <v>0</v>
      </c>
      <c r="AY99">
        <f t="shared" ref="AY99:AY121" si="36">$E$11*(1+$AW99)</f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ref="BB99:BB121" si="37">$D$12*(1+$AW99)</f>
        <v>0</v>
      </c>
      <c r="BC99">
        <f t="shared" ref="BC99:BC121" si="38">$E$12*(1+$AW99)</f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ref="BF99:BF121" si="39">$D$13*(1+$AW99)</f>
        <v>571.2</v>
      </c>
      <c r="BG99">
        <f t="shared" ref="BG99:BG121" si="40">$E$13*(1+$AW99)</f>
        <v>1627.8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ref="BJ99:BJ121" si="41">$D$14*(1+$AW99)</f>
        <v>0</v>
      </c>
      <c r="BK99">
        <f t="shared" ref="BK99:BK121" si="42">$E$14*(1+$AW99)</f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6">
        <f>MIN(IF(VLOOKUP($Q99,武学奇术!$A:$ZZ,23,FALSE)=1,100%,$B$8),100%)</f>
        <v>0.9859</v>
      </c>
      <c r="BO99" s="26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6" cm="1">
        <f t="array" ref="BP99">1+$B$13+VLOOKUP($Q99,武学奇术!$A:$ZZ,18,FALSE)+SUM(_xlfn.XLOOKUP($R99:$AK99,增益!$A:$A,增益!$R:$R,0))</f>
        <v>1.54</v>
      </c>
      <c r="BQ99" s="26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6" cm="1">
        <f t="array" ref="BR99">1+$B$14+VLOOKUP($Q99,武学奇术!$A:$ZZ,20,FALSE)+SUM(_xlfn.XLOOKUP($R99:$AK99,增益!$A:$A,增益!$T:$T,0))</f>
        <v>1.35</v>
      </c>
      <c r="BS99" s="26">
        <f t="shared" ref="BS99:BS121" si="43">MIN((1-BQ99)*BN99,BN99*BO99)</f>
        <v>0.87863408</v>
      </c>
      <c r="BT99" s="26">
        <f t="shared" ref="BT99:BT121" si="44">1-BQ99-BS99-BU99</f>
        <v>0.01567581</v>
      </c>
      <c r="BU99" s="26">
        <f>IF(VLOOKUP($Q99,武学奇术!$A:$ZZ,22,FALSE)=1,0,(1-$BN99))*(1-$BQ99)</f>
        <v>0.01279011</v>
      </c>
      <c r="BV99" s="26" cm="1">
        <f t="array" ref="BV99">SUM(_xlfn.XLOOKUP($R99:$AK99,增益!$A:$A,增益!$W:$W,0))+$I$5</f>
        <v>0.11</v>
      </c>
    </row>
    <row r="100" spans="11:74">
      <c r="K100" s="38">
        <f t="shared" si="34"/>
        <v>0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9">
        <v>1</v>
      </c>
      <c r="Q100" s="40" t="s">
        <v>80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81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82</v>
      </c>
      <c r="AL100" t="str">
        <f>VLOOKUP($Q100,武学奇术!$A:$ZZ,25,FALSE)</f>
        <v>心法</v>
      </c>
      <c r="AM100" s="26">
        <f>VLOOKUP($Q100,武学奇术!$A:$ZZ,26,FALSE)</f>
        <v>0</v>
      </c>
      <c r="AN100" s="27">
        <f>VLOOKUP($Q100,武学奇术!$A:$ZZ,27,FALSE)*(1+IF(OR($AL100=$F$4,$AL100=$F$5),$B$22,0))</f>
        <v>0</v>
      </c>
      <c r="AO100" s="26">
        <f>VLOOKUP($Q100,武学奇术!$A:$ZZ,28,FALSE)</f>
        <v>0</v>
      </c>
      <c r="AP100" s="27">
        <f>VLOOKUP($Q100,武学奇术!$A:$ZZ,29,FALSE)*(1+IF(OR($AL100=$F$4,$AL100=$F$5),$B$22,0))</f>
        <v>0</v>
      </c>
      <c r="AQ100" s="26" cm="1">
        <f t="array" ref="AQ100">$G$3+IFERROR(VLOOKUP($AL100,$F$4:$G$7,2,FALSE),0)+VLOOKUP($Q100,武学奇术!$A:$ZZ,2,FALSE)+SUM(_xlfn.XLOOKUP($R100:$AK100,增益!$A:$A,增益!$B:$B,0))</f>
        <v>0.1837</v>
      </c>
      <c r="AR100" s="26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3673.1</v>
      </c>
      <c r="AT100" cm="1">
        <f t="array" ref="AT100">$E$10*(1+$AR100)+VLOOKUP($Q100,武学奇术!$A:$ZZ,4,FALSE)+SUM(_xlfn.XLOOKUP($R100:$AK100,增益!$A:$A,增益!$D:$D,0))-$I$2</f>
        <v>3673.1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0.267</v>
      </c>
      <c r="AV100" s="32" cm="1">
        <f t="array" ref="AV100">$G$10+VLOOKUP($Q100,武学奇术!$A:$ZZ,7,FALSE)+SUM(_xlfn.XLOOKUP($R100:$AK100,增益!$A:$A,增益!$G:$G,0))</f>
        <v>0.025</v>
      </c>
      <c r="AW100" s="26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37"/>
        <v>0</v>
      </c>
      <c r="BC100">
        <f t="shared" si="38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39"/>
        <v>571.2</v>
      </c>
      <c r="BG100">
        <f t="shared" si="40"/>
        <v>1627.8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41"/>
        <v>0</v>
      </c>
      <c r="BK100">
        <f t="shared" si="42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6">
        <f>MIN(IF(VLOOKUP($Q100,武学奇术!$A:$ZZ,23,FALSE)=1,100%,$B$8),100%)</f>
        <v>0.9859</v>
      </c>
      <c r="BO100" s="26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6" cm="1">
        <f t="array" ref="BP100">1+$B$13+VLOOKUP($Q100,武学奇术!$A:$ZZ,18,FALSE)+SUM(_xlfn.XLOOKUP($R100:$AK100,增益!$A:$A,增益!$R:$R,0))</f>
        <v>1.54</v>
      </c>
      <c r="BQ100" s="26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6" cm="1">
        <f t="array" ref="BR100">1+$B$14+VLOOKUP($Q100,武学奇术!$A:$ZZ,20,FALSE)+SUM(_xlfn.XLOOKUP($R100:$AK100,增益!$A:$A,增益!$T:$T,0))</f>
        <v>1.35</v>
      </c>
      <c r="BS100" s="26">
        <f t="shared" si="43"/>
        <v>0.87863408</v>
      </c>
      <c r="BT100" s="26">
        <f t="shared" si="44"/>
        <v>0.01567581</v>
      </c>
      <c r="BU100" s="26">
        <f>IF(VLOOKUP($Q100,武学奇术!$A:$ZZ,22,FALSE)=1,0,(1-$BN100))*(1-$BQ100)</f>
        <v>0.01279011</v>
      </c>
      <c r="BV100" s="26" cm="1">
        <f t="array" ref="BV100">SUM(_xlfn.XLOOKUP($R100:$AK100,增益!$A:$A,增益!$W:$W,0))+$I$5</f>
        <v>0.11</v>
      </c>
    </row>
    <row r="101" spans="11:74">
      <c r="K101" s="38">
        <f t="shared" si="34"/>
        <v>0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9">
        <v>1</v>
      </c>
      <c r="Q101" s="40" t="s">
        <v>80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81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82</v>
      </c>
      <c r="AL101" t="str">
        <f>VLOOKUP($Q101,武学奇术!$A:$ZZ,25,FALSE)</f>
        <v>心法</v>
      </c>
      <c r="AM101" s="26">
        <f>VLOOKUP($Q101,武学奇术!$A:$ZZ,26,FALSE)</f>
        <v>0</v>
      </c>
      <c r="AN101" s="27">
        <f>VLOOKUP($Q101,武学奇术!$A:$ZZ,27,FALSE)*(1+IF(OR($AL101=$F$4,$AL101=$F$5),$B$22,0))</f>
        <v>0</v>
      </c>
      <c r="AO101" s="26">
        <f>VLOOKUP($Q101,武学奇术!$A:$ZZ,28,FALSE)</f>
        <v>0</v>
      </c>
      <c r="AP101" s="27">
        <f>VLOOKUP($Q101,武学奇术!$A:$ZZ,29,FALSE)*(1+IF(OR($AL101=$F$4,$AL101=$F$5),$B$22,0))</f>
        <v>0</v>
      </c>
      <c r="AQ101" s="26" cm="1">
        <f t="array" ref="AQ101">$G$3+IFERROR(VLOOKUP($AL101,$F$4:$G$7,2,FALSE),0)+VLOOKUP($Q101,武学奇术!$A:$ZZ,2,FALSE)+SUM(_xlfn.XLOOKUP($R101:$AK101,增益!$A:$A,增益!$B:$B,0))</f>
        <v>0.1837</v>
      </c>
      <c r="AR101" s="26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3673.1</v>
      </c>
      <c r="AT101" cm="1">
        <f t="array" ref="AT101">$E$10*(1+$AR101)+VLOOKUP($Q101,武学奇术!$A:$ZZ,4,FALSE)+SUM(_xlfn.XLOOKUP($R101:$AK101,增益!$A:$A,增益!$D:$D,0))-$I$2</f>
        <v>3673.1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0.267</v>
      </c>
      <c r="AV101" s="32" cm="1">
        <f t="array" ref="AV101">$G$10+VLOOKUP($Q101,武学奇术!$A:$ZZ,7,FALSE)+SUM(_xlfn.XLOOKUP($R101:$AK101,增益!$A:$A,增益!$G:$G,0))</f>
        <v>0.025</v>
      </c>
      <c r="AW101" s="26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37"/>
        <v>0</v>
      </c>
      <c r="BC101">
        <f t="shared" si="38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39"/>
        <v>571.2</v>
      </c>
      <c r="BG101">
        <f t="shared" si="40"/>
        <v>1627.8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41"/>
        <v>0</v>
      </c>
      <c r="BK101">
        <f t="shared" si="42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6">
        <f>MIN(IF(VLOOKUP($Q101,武学奇术!$A:$ZZ,23,FALSE)=1,100%,$B$8),100%)</f>
        <v>0.9859</v>
      </c>
      <c r="BO101" s="26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6" cm="1">
        <f t="array" ref="BP101">1+$B$13+VLOOKUP($Q101,武学奇术!$A:$ZZ,18,FALSE)+SUM(_xlfn.XLOOKUP($R101:$AK101,增益!$A:$A,增益!$R:$R,0))</f>
        <v>1.54</v>
      </c>
      <c r="BQ101" s="26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6" cm="1">
        <f t="array" ref="BR101">1+$B$14+VLOOKUP($Q101,武学奇术!$A:$ZZ,20,FALSE)+SUM(_xlfn.XLOOKUP($R101:$AK101,增益!$A:$A,增益!$T:$T,0))</f>
        <v>1.35</v>
      </c>
      <c r="BS101" s="26">
        <f t="shared" si="43"/>
        <v>0.87863408</v>
      </c>
      <c r="BT101" s="26">
        <f t="shared" si="44"/>
        <v>0.01567581</v>
      </c>
      <c r="BU101" s="26">
        <f>IF(VLOOKUP($Q101,武学奇术!$A:$ZZ,22,FALSE)=1,0,(1-$BN101))*(1-$BQ101)</f>
        <v>0.01279011</v>
      </c>
      <c r="BV101" s="26" cm="1">
        <f t="array" ref="BV101">SUM(_xlfn.XLOOKUP($R101:$AK101,增益!$A:$A,增益!$W:$W,0))+$I$5</f>
        <v>0.11</v>
      </c>
    </row>
    <row r="102" spans="11:74">
      <c r="K102" s="38">
        <f t="shared" si="34"/>
        <v>0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9">
        <v>1</v>
      </c>
      <c r="Q102" s="40" t="s">
        <v>80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81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82</v>
      </c>
      <c r="AL102" t="str">
        <f>VLOOKUP($Q102,武学奇术!$A:$ZZ,25,FALSE)</f>
        <v>心法</v>
      </c>
      <c r="AM102" s="26">
        <f>VLOOKUP($Q102,武学奇术!$A:$ZZ,26,FALSE)</f>
        <v>0</v>
      </c>
      <c r="AN102" s="27">
        <f>VLOOKUP($Q102,武学奇术!$A:$ZZ,27,FALSE)*(1+IF(OR($AL102=$F$4,$AL102=$F$5),$B$22,0))</f>
        <v>0</v>
      </c>
      <c r="AO102" s="26">
        <f>VLOOKUP($Q102,武学奇术!$A:$ZZ,28,FALSE)</f>
        <v>0</v>
      </c>
      <c r="AP102" s="27">
        <f>VLOOKUP($Q102,武学奇术!$A:$ZZ,29,FALSE)*(1+IF(OR($AL102=$F$4,$AL102=$F$5),$B$22,0))</f>
        <v>0</v>
      </c>
      <c r="AQ102" s="26" cm="1">
        <f t="array" ref="AQ102">$G$3+IFERROR(VLOOKUP($AL102,$F$4:$G$7,2,FALSE),0)+VLOOKUP($Q102,武学奇术!$A:$ZZ,2,FALSE)+SUM(_xlfn.XLOOKUP($R102:$AK102,增益!$A:$A,增益!$B:$B,0))</f>
        <v>0.1837</v>
      </c>
      <c r="AR102" s="26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3673.1</v>
      </c>
      <c r="AT102" cm="1">
        <f t="array" ref="AT102">$E$10*(1+$AR102)+VLOOKUP($Q102,武学奇术!$A:$ZZ,4,FALSE)+SUM(_xlfn.XLOOKUP($R102:$AK102,增益!$A:$A,增益!$D:$D,0))-$I$2</f>
        <v>3673.1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0.267</v>
      </c>
      <c r="AV102" s="32" cm="1">
        <f t="array" ref="AV102">$G$10+VLOOKUP($Q102,武学奇术!$A:$ZZ,7,FALSE)+SUM(_xlfn.XLOOKUP($R102:$AK102,增益!$A:$A,增益!$G:$G,0))</f>
        <v>0.025</v>
      </c>
      <c r="AW102" s="26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37"/>
        <v>0</v>
      </c>
      <c r="BC102">
        <f t="shared" si="38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39"/>
        <v>571.2</v>
      </c>
      <c r="BG102">
        <f t="shared" si="40"/>
        <v>1627.8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41"/>
        <v>0</v>
      </c>
      <c r="BK102">
        <f t="shared" si="42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6">
        <f>MIN(IF(VLOOKUP($Q102,武学奇术!$A:$ZZ,23,FALSE)=1,100%,$B$8),100%)</f>
        <v>0.9859</v>
      </c>
      <c r="BO102" s="26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6" cm="1">
        <f t="array" ref="BP102">1+$B$13+VLOOKUP($Q102,武学奇术!$A:$ZZ,18,FALSE)+SUM(_xlfn.XLOOKUP($R102:$AK102,增益!$A:$A,增益!$R:$R,0))</f>
        <v>1.54</v>
      </c>
      <c r="BQ102" s="26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6" cm="1">
        <f t="array" ref="BR102">1+$B$14+VLOOKUP($Q102,武学奇术!$A:$ZZ,20,FALSE)+SUM(_xlfn.XLOOKUP($R102:$AK102,增益!$A:$A,增益!$T:$T,0))</f>
        <v>1.35</v>
      </c>
      <c r="BS102" s="26">
        <f t="shared" si="43"/>
        <v>0.87863408</v>
      </c>
      <c r="BT102" s="26">
        <f t="shared" si="44"/>
        <v>0.01567581</v>
      </c>
      <c r="BU102" s="26">
        <f>IF(VLOOKUP($Q102,武学奇术!$A:$ZZ,22,FALSE)=1,0,(1-$BN102))*(1-$BQ102)</f>
        <v>0.01279011</v>
      </c>
      <c r="BV102" s="26" cm="1">
        <f t="array" ref="BV102">SUM(_xlfn.XLOOKUP($R102:$AK102,增益!$A:$A,增益!$W:$W,0))+$I$5</f>
        <v>0.11</v>
      </c>
    </row>
    <row r="103" spans="11:74">
      <c r="K103" s="38">
        <f t="shared" si="34"/>
        <v>0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9">
        <v>1</v>
      </c>
      <c r="Q103" s="40" t="s">
        <v>80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81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82</v>
      </c>
      <c r="AL103" t="str">
        <f>VLOOKUP($Q103,武学奇术!$A:$ZZ,25,FALSE)</f>
        <v>心法</v>
      </c>
      <c r="AM103" s="26">
        <f>VLOOKUP($Q103,武学奇术!$A:$ZZ,26,FALSE)</f>
        <v>0</v>
      </c>
      <c r="AN103" s="27">
        <f>VLOOKUP($Q103,武学奇术!$A:$ZZ,27,FALSE)*(1+IF(OR($AL103=$F$4,$AL103=$F$5),$B$22,0))</f>
        <v>0</v>
      </c>
      <c r="AO103" s="26">
        <f>VLOOKUP($Q103,武学奇术!$A:$ZZ,28,FALSE)</f>
        <v>0</v>
      </c>
      <c r="AP103" s="27">
        <f>VLOOKUP($Q103,武学奇术!$A:$ZZ,29,FALSE)*(1+IF(OR($AL103=$F$4,$AL103=$F$5),$B$22,0))</f>
        <v>0</v>
      </c>
      <c r="AQ103" s="26" cm="1">
        <f t="array" ref="AQ103">$G$3+IFERROR(VLOOKUP($AL103,$F$4:$G$7,2,FALSE),0)+VLOOKUP($Q103,武学奇术!$A:$ZZ,2,FALSE)+SUM(_xlfn.XLOOKUP($R103:$AK103,增益!$A:$A,增益!$B:$B,0))</f>
        <v>0.1837</v>
      </c>
      <c r="AR103" s="26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3673.1</v>
      </c>
      <c r="AT103" cm="1">
        <f t="array" ref="AT103">$E$10*(1+$AR103)+VLOOKUP($Q103,武学奇术!$A:$ZZ,4,FALSE)+SUM(_xlfn.XLOOKUP($R103:$AK103,增益!$A:$A,增益!$D:$D,0))-$I$2</f>
        <v>3673.1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0.267</v>
      </c>
      <c r="AV103" s="32" cm="1">
        <f t="array" ref="AV103">$G$10+VLOOKUP($Q103,武学奇术!$A:$ZZ,7,FALSE)+SUM(_xlfn.XLOOKUP($R103:$AK103,增益!$A:$A,增益!$G:$G,0))</f>
        <v>0.025</v>
      </c>
      <c r="AW103" s="26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37"/>
        <v>0</v>
      </c>
      <c r="BC103">
        <f t="shared" si="38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39"/>
        <v>571.2</v>
      </c>
      <c r="BG103">
        <f t="shared" si="40"/>
        <v>1627.8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41"/>
        <v>0</v>
      </c>
      <c r="BK103">
        <f t="shared" si="42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6">
        <f>MIN(IF(VLOOKUP($Q103,武学奇术!$A:$ZZ,23,FALSE)=1,100%,$B$8),100%)</f>
        <v>0.9859</v>
      </c>
      <c r="BO103" s="26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6" cm="1">
        <f t="array" ref="BP103">1+$B$13+VLOOKUP($Q103,武学奇术!$A:$ZZ,18,FALSE)+SUM(_xlfn.XLOOKUP($R103:$AK103,增益!$A:$A,增益!$R:$R,0))</f>
        <v>1.54</v>
      </c>
      <c r="BQ103" s="26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6" cm="1">
        <f t="array" ref="BR103">1+$B$14+VLOOKUP($Q103,武学奇术!$A:$ZZ,20,FALSE)+SUM(_xlfn.XLOOKUP($R103:$AK103,增益!$A:$A,增益!$T:$T,0))</f>
        <v>1.35</v>
      </c>
      <c r="BS103" s="26">
        <f t="shared" si="43"/>
        <v>0.87863408</v>
      </c>
      <c r="BT103" s="26">
        <f t="shared" si="44"/>
        <v>0.01567581</v>
      </c>
      <c r="BU103" s="26">
        <f>IF(VLOOKUP($Q103,武学奇术!$A:$ZZ,22,FALSE)=1,0,(1-$BN103))*(1-$BQ103)</f>
        <v>0.01279011</v>
      </c>
      <c r="BV103" s="26" cm="1">
        <f t="array" ref="BV103">SUM(_xlfn.XLOOKUP($R103:$AK103,增益!$A:$A,增益!$W:$W,0))+$I$5</f>
        <v>0.11</v>
      </c>
    </row>
    <row r="104" spans="11:74">
      <c r="K104" s="38">
        <f t="shared" si="34"/>
        <v>0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9">
        <v>1</v>
      </c>
      <c r="Q104" s="40" t="s">
        <v>80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81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82</v>
      </c>
      <c r="AL104" t="str">
        <f>VLOOKUP($Q104,武学奇术!$A:$ZZ,25,FALSE)</f>
        <v>心法</v>
      </c>
      <c r="AM104" s="26">
        <f>VLOOKUP($Q104,武学奇术!$A:$ZZ,26,FALSE)</f>
        <v>0</v>
      </c>
      <c r="AN104" s="27">
        <f>VLOOKUP($Q104,武学奇术!$A:$ZZ,27,FALSE)*(1+IF(OR($AL104=$F$4,$AL104=$F$5),$B$22,0))</f>
        <v>0</v>
      </c>
      <c r="AO104" s="26">
        <f>VLOOKUP($Q104,武学奇术!$A:$ZZ,28,FALSE)</f>
        <v>0</v>
      </c>
      <c r="AP104" s="27">
        <f>VLOOKUP($Q104,武学奇术!$A:$ZZ,29,FALSE)*(1+IF(OR($AL104=$F$4,$AL104=$F$5),$B$22,0))</f>
        <v>0</v>
      </c>
      <c r="AQ104" s="26" cm="1">
        <f t="array" ref="AQ104">$G$3+IFERROR(VLOOKUP($AL104,$F$4:$G$7,2,FALSE),0)+VLOOKUP($Q104,武学奇术!$A:$ZZ,2,FALSE)+SUM(_xlfn.XLOOKUP($R104:$AK104,增益!$A:$A,增益!$B:$B,0))</f>
        <v>0.1837</v>
      </c>
      <c r="AR104" s="26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3673.1</v>
      </c>
      <c r="AT104" cm="1">
        <f t="array" ref="AT104">$E$10*(1+$AR104)+VLOOKUP($Q104,武学奇术!$A:$ZZ,4,FALSE)+SUM(_xlfn.XLOOKUP($R104:$AK104,增益!$A:$A,增益!$D:$D,0))-$I$2</f>
        <v>3673.1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0.267</v>
      </c>
      <c r="AV104" s="32" cm="1">
        <f t="array" ref="AV104">$G$10+VLOOKUP($Q104,武学奇术!$A:$ZZ,7,FALSE)+SUM(_xlfn.XLOOKUP($R104:$AK104,增益!$A:$A,增益!$G:$G,0))</f>
        <v>0.025</v>
      </c>
      <c r="AW104" s="26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37"/>
        <v>0</v>
      </c>
      <c r="BC104">
        <f t="shared" si="38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39"/>
        <v>571.2</v>
      </c>
      <c r="BG104">
        <f t="shared" si="40"/>
        <v>1627.8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41"/>
        <v>0</v>
      </c>
      <c r="BK104">
        <f t="shared" si="42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6">
        <f>MIN(IF(VLOOKUP($Q104,武学奇术!$A:$ZZ,23,FALSE)=1,100%,$B$8),100%)</f>
        <v>0.9859</v>
      </c>
      <c r="BO104" s="26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6" cm="1">
        <f t="array" ref="BP104">1+$B$13+VLOOKUP($Q104,武学奇术!$A:$ZZ,18,FALSE)+SUM(_xlfn.XLOOKUP($R104:$AK104,增益!$A:$A,增益!$R:$R,0))</f>
        <v>1.54</v>
      </c>
      <c r="BQ104" s="26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6" cm="1">
        <f t="array" ref="BR104">1+$B$14+VLOOKUP($Q104,武学奇术!$A:$ZZ,20,FALSE)+SUM(_xlfn.XLOOKUP($R104:$AK104,增益!$A:$A,增益!$T:$T,0))</f>
        <v>1.35</v>
      </c>
      <c r="BS104" s="26">
        <f t="shared" si="43"/>
        <v>0.87863408</v>
      </c>
      <c r="BT104" s="26">
        <f t="shared" si="44"/>
        <v>0.01567581</v>
      </c>
      <c r="BU104" s="26">
        <f>IF(VLOOKUP($Q104,武学奇术!$A:$ZZ,22,FALSE)=1,0,(1-$BN104))*(1-$BQ104)</f>
        <v>0.01279011</v>
      </c>
      <c r="BV104" s="26" cm="1">
        <f t="array" ref="BV104">SUM(_xlfn.XLOOKUP($R104:$AK104,增益!$A:$A,增益!$W:$W,0))+$I$5</f>
        <v>0.11</v>
      </c>
    </row>
    <row r="105" spans="11:74">
      <c r="K105" s="38">
        <f t="shared" si="34"/>
        <v>0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9">
        <v>1</v>
      </c>
      <c r="Q105" s="40" t="s">
        <v>80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81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82</v>
      </c>
      <c r="AL105" t="str">
        <f>VLOOKUP($Q105,武学奇术!$A:$ZZ,25,FALSE)</f>
        <v>心法</v>
      </c>
      <c r="AM105" s="26">
        <f>VLOOKUP($Q105,武学奇术!$A:$ZZ,26,FALSE)</f>
        <v>0</v>
      </c>
      <c r="AN105" s="27">
        <f>VLOOKUP($Q105,武学奇术!$A:$ZZ,27,FALSE)*(1+IF(OR($AL105=$F$4,$AL105=$F$5),$B$22,0))</f>
        <v>0</v>
      </c>
      <c r="AO105" s="26">
        <f>VLOOKUP($Q105,武学奇术!$A:$ZZ,28,FALSE)</f>
        <v>0</v>
      </c>
      <c r="AP105" s="27">
        <f>VLOOKUP($Q105,武学奇术!$A:$ZZ,29,FALSE)*(1+IF(OR($AL105=$F$4,$AL105=$F$5),$B$22,0))</f>
        <v>0</v>
      </c>
      <c r="AQ105" s="26" cm="1">
        <f t="array" ref="AQ105">$G$3+IFERROR(VLOOKUP($AL105,$F$4:$G$7,2,FALSE),0)+VLOOKUP($Q105,武学奇术!$A:$ZZ,2,FALSE)+SUM(_xlfn.XLOOKUP($R105:$AK105,增益!$A:$A,增益!$B:$B,0))</f>
        <v>0.1837</v>
      </c>
      <c r="AR105" s="26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3673.1</v>
      </c>
      <c r="AT105" cm="1">
        <f t="array" ref="AT105">$E$10*(1+$AR105)+VLOOKUP($Q105,武学奇术!$A:$ZZ,4,FALSE)+SUM(_xlfn.XLOOKUP($R105:$AK105,增益!$A:$A,增益!$D:$D,0))-$I$2</f>
        <v>3673.1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0.267</v>
      </c>
      <c r="AV105" s="32" cm="1">
        <f t="array" ref="AV105">$G$10+VLOOKUP($Q105,武学奇术!$A:$ZZ,7,FALSE)+SUM(_xlfn.XLOOKUP($R105:$AK105,增益!$A:$A,增益!$G:$G,0))</f>
        <v>0.025</v>
      </c>
      <c r="AW105" s="26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37"/>
        <v>0</v>
      </c>
      <c r="BC105">
        <f t="shared" si="38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39"/>
        <v>571.2</v>
      </c>
      <c r="BG105">
        <f t="shared" si="40"/>
        <v>1627.8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41"/>
        <v>0</v>
      </c>
      <c r="BK105">
        <f t="shared" si="42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6">
        <f>MIN(IF(VLOOKUP($Q105,武学奇术!$A:$ZZ,23,FALSE)=1,100%,$B$8),100%)</f>
        <v>0.9859</v>
      </c>
      <c r="BO105" s="26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6" cm="1">
        <f t="array" ref="BP105">1+$B$13+VLOOKUP($Q105,武学奇术!$A:$ZZ,18,FALSE)+SUM(_xlfn.XLOOKUP($R105:$AK105,增益!$A:$A,增益!$R:$R,0))</f>
        <v>1.54</v>
      </c>
      <c r="BQ105" s="26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6" cm="1">
        <f t="array" ref="BR105">1+$B$14+VLOOKUP($Q105,武学奇术!$A:$ZZ,20,FALSE)+SUM(_xlfn.XLOOKUP($R105:$AK105,增益!$A:$A,增益!$T:$T,0))</f>
        <v>1.35</v>
      </c>
      <c r="BS105" s="26">
        <f t="shared" si="43"/>
        <v>0.87863408</v>
      </c>
      <c r="BT105" s="26">
        <f t="shared" si="44"/>
        <v>0.01567581</v>
      </c>
      <c r="BU105" s="26">
        <f>IF(VLOOKUP($Q105,武学奇术!$A:$ZZ,22,FALSE)=1,0,(1-$BN105))*(1-$BQ105)</f>
        <v>0.01279011</v>
      </c>
      <c r="BV105" s="26" cm="1">
        <f t="array" ref="BV105">SUM(_xlfn.XLOOKUP($R105:$AK105,增益!$A:$A,增益!$W:$W,0))+$I$5</f>
        <v>0.11</v>
      </c>
    </row>
    <row r="106" spans="11:74">
      <c r="K106" s="38">
        <f t="shared" si="34"/>
        <v>0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9">
        <v>1</v>
      </c>
      <c r="Q106" s="40" t="s">
        <v>80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81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82</v>
      </c>
      <c r="AL106" t="str">
        <f>VLOOKUP($Q106,武学奇术!$A:$ZZ,25,FALSE)</f>
        <v>心法</v>
      </c>
      <c r="AM106" s="26">
        <f>VLOOKUP($Q106,武学奇术!$A:$ZZ,26,FALSE)</f>
        <v>0</v>
      </c>
      <c r="AN106" s="27">
        <f>VLOOKUP($Q106,武学奇术!$A:$ZZ,27,FALSE)*(1+IF(OR($AL106=$F$4,$AL106=$F$5),$B$22,0))</f>
        <v>0</v>
      </c>
      <c r="AO106" s="26">
        <f>VLOOKUP($Q106,武学奇术!$A:$ZZ,28,FALSE)</f>
        <v>0</v>
      </c>
      <c r="AP106" s="27">
        <f>VLOOKUP($Q106,武学奇术!$A:$ZZ,29,FALSE)*(1+IF(OR($AL106=$F$4,$AL106=$F$5),$B$22,0))</f>
        <v>0</v>
      </c>
      <c r="AQ106" s="26" cm="1">
        <f t="array" ref="AQ106">$G$3+IFERROR(VLOOKUP($AL106,$F$4:$G$7,2,FALSE),0)+VLOOKUP($Q106,武学奇术!$A:$ZZ,2,FALSE)+SUM(_xlfn.XLOOKUP($R106:$AK106,增益!$A:$A,增益!$B:$B,0))</f>
        <v>0.1837</v>
      </c>
      <c r="AR106" s="26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3673.1</v>
      </c>
      <c r="AT106" cm="1">
        <f t="array" ref="AT106">$E$10*(1+$AR106)+VLOOKUP($Q106,武学奇术!$A:$ZZ,4,FALSE)+SUM(_xlfn.XLOOKUP($R106:$AK106,增益!$A:$A,增益!$D:$D,0))-$I$2</f>
        <v>3673.1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0.267</v>
      </c>
      <c r="AV106" s="32" cm="1">
        <f t="array" ref="AV106">$G$10+VLOOKUP($Q106,武学奇术!$A:$ZZ,7,FALSE)+SUM(_xlfn.XLOOKUP($R106:$AK106,增益!$A:$A,增益!$G:$G,0))</f>
        <v>0.025</v>
      </c>
      <c r="AW106" s="26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37"/>
        <v>0</v>
      </c>
      <c r="BC106">
        <f t="shared" si="38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39"/>
        <v>571.2</v>
      </c>
      <c r="BG106">
        <f t="shared" si="40"/>
        <v>1627.8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41"/>
        <v>0</v>
      </c>
      <c r="BK106">
        <f t="shared" si="42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6">
        <f>MIN(IF(VLOOKUP($Q106,武学奇术!$A:$ZZ,23,FALSE)=1,100%,$B$8),100%)</f>
        <v>0.9859</v>
      </c>
      <c r="BO106" s="26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6" cm="1">
        <f t="array" ref="BP106">1+$B$13+VLOOKUP($Q106,武学奇术!$A:$ZZ,18,FALSE)+SUM(_xlfn.XLOOKUP($R106:$AK106,增益!$A:$A,增益!$R:$R,0))</f>
        <v>1.54</v>
      </c>
      <c r="BQ106" s="26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6" cm="1">
        <f t="array" ref="BR106">1+$B$14+VLOOKUP($Q106,武学奇术!$A:$ZZ,20,FALSE)+SUM(_xlfn.XLOOKUP($R106:$AK106,增益!$A:$A,增益!$T:$T,0))</f>
        <v>1.35</v>
      </c>
      <c r="BS106" s="26">
        <f t="shared" si="43"/>
        <v>0.87863408</v>
      </c>
      <c r="BT106" s="26">
        <f t="shared" si="44"/>
        <v>0.01567581</v>
      </c>
      <c r="BU106" s="26">
        <f>IF(VLOOKUP($Q106,武学奇术!$A:$ZZ,22,FALSE)=1,0,(1-$BN106))*(1-$BQ106)</f>
        <v>0.01279011</v>
      </c>
      <c r="BV106" s="26" cm="1">
        <f t="array" ref="BV106">SUM(_xlfn.XLOOKUP($R106:$AK106,增益!$A:$A,增益!$W:$W,0))+$I$5</f>
        <v>0.11</v>
      </c>
    </row>
    <row r="107" spans="11:74">
      <c r="K107" s="38">
        <f t="shared" si="34"/>
        <v>0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9">
        <v>1</v>
      </c>
      <c r="Q107" s="40" t="s">
        <v>80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81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82</v>
      </c>
      <c r="AL107" t="str">
        <f>VLOOKUP($Q107,武学奇术!$A:$ZZ,25,FALSE)</f>
        <v>心法</v>
      </c>
      <c r="AM107" s="26">
        <f>VLOOKUP($Q107,武学奇术!$A:$ZZ,26,FALSE)</f>
        <v>0</v>
      </c>
      <c r="AN107" s="27">
        <f>VLOOKUP($Q107,武学奇术!$A:$ZZ,27,FALSE)*(1+IF(OR($AL107=$F$4,$AL107=$F$5),$B$22,0))</f>
        <v>0</v>
      </c>
      <c r="AO107" s="26">
        <f>VLOOKUP($Q107,武学奇术!$A:$ZZ,28,FALSE)</f>
        <v>0</v>
      </c>
      <c r="AP107" s="27">
        <f>VLOOKUP($Q107,武学奇术!$A:$ZZ,29,FALSE)*(1+IF(OR($AL107=$F$4,$AL107=$F$5),$B$22,0))</f>
        <v>0</v>
      </c>
      <c r="AQ107" s="26" cm="1">
        <f t="array" ref="AQ107">$G$3+IFERROR(VLOOKUP($AL107,$F$4:$G$7,2,FALSE),0)+VLOOKUP($Q107,武学奇术!$A:$ZZ,2,FALSE)+SUM(_xlfn.XLOOKUP($R107:$AK107,增益!$A:$A,增益!$B:$B,0))</f>
        <v>0.1837</v>
      </c>
      <c r="AR107" s="26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3673.1</v>
      </c>
      <c r="AT107" cm="1">
        <f t="array" ref="AT107">$E$10*(1+$AR107)+VLOOKUP($Q107,武学奇术!$A:$ZZ,4,FALSE)+SUM(_xlfn.XLOOKUP($R107:$AK107,增益!$A:$A,增益!$D:$D,0))-$I$2</f>
        <v>3673.1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0.267</v>
      </c>
      <c r="AV107" s="32" cm="1">
        <f t="array" ref="AV107">$G$10+VLOOKUP($Q107,武学奇术!$A:$ZZ,7,FALSE)+SUM(_xlfn.XLOOKUP($R107:$AK107,增益!$A:$A,增益!$G:$G,0))</f>
        <v>0.025</v>
      </c>
      <c r="AW107" s="26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37"/>
        <v>0</v>
      </c>
      <c r="BC107">
        <f t="shared" si="38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39"/>
        <v>571.2</v>
      </c>
      <c r="BG107">
        <f t="shared" si="40"/>
        <v>1627.8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41"/>
        <v>0</v>
      </c>
      <c r="BK107">
        <f t="shared" si="42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6">
        <f>MIN(IF(VLOOKUP($Q107,武学奇术!$A:$ZZ,23,FALSE)=1,100%,$B$8),100%)</f>
        <v>0.9859</v>
      </c>
      <c r="BO107" s="26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6" cm="1">
        <f t="array" ref="BP107">1+$B$13+VLOOKUP($Q107,武学奇术!$A:$ZZ,18,FALSE)+SUM(_xlfn.XLOOKUP($R107:$AK107,增益!$A:$A,增益!$R:$R,0))</f>
        <v>1.54</v>
      </c>
      <c r="BQ107" s="26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6" cm="1">
        <f t="array" ref="BR107">1+$B$14+VLOOKUP($Q107,武学奇术!$A:$ZZ,20,FALSE)+SUM(_xlfn.XLOOKUP($R107:$AK107,增益!$A:$A,增益!$T:$T,0))</f>
        <v>1.35</v>
      </c>
      <c r="BS107" s="26">
        <f t="shared" si="43"/>
        <v>0.87863408</v>
      </c>
      <c r="BT107" s="26">
        <f t="shared" si="44"/>
        <v>0.01567581</v>
      </c>
      <c r="BU107" s="26">
        <f>IF(VLOOKUP($Q107,武学奇术!$A:$ZZ,22,FALSE)=1,0,(1-$BN107))*(1-$BQ107)</f>
        <v>0.01279011</v>
      </c>
      <c r="BV107" s="26" cm="1">
        <f t="array" ref="BV107">SUM(_xlfn.XLOOKUP($R107:$AK107,增益!$A:$A,增益!$W:$W,0))+$I$5</f>
        <v>0.11</v>
      </c>
    </row>
    <row r="108" spans="11:74">
      <c r="K108" s="38">
        <f t="shared" si="34"/>
        <v>0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9">
        <v>1</v>
      </c>
      <c r="Q108" s="40" t="s">
        <v>80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81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82</v>
      </c>
      <c r="AL108" t="str">
        <f>VLOOKUP($Q108,武学奇术!$A:$ZZ,25,FALSE)</f>
        <v>心法</v>
      </c>
      <c r="AM108" s="26">
        <f>VLOOKUP($Q108,武学奇术!$A:$ZZ,26,FALSE)</f>
        <v>0</v>
      </c>
      <c r="AN108" s="27">
        <f>VLOOKUP($Q108,武学奇术!$A:$ZZ,27,FALSE)*(1+IF(OR($AL108=$F$4,$AL108=$F$5),$B$22,0))</f>
        <v>0</v>
      </c>
      <c r="AO108" s="26">
        <f>VLOOKUP($Q108,武学奇术!$A:$ZZ,28,FALSE)</f>
        <v>0</v>
      </c>
      <c r="AP108" s="27">
        <f>VLOOKUP($Q108,武学奇术!$A:$ZZ,29,FALSE)*(1+IF(OR($AL108=$F$4,$AL108=$F$5),$B$22,0))</f>
        <v>0</v>
      </c>
      <c r="AQ108" s="26" cm="1">
        <f t="array" ref="AQ108">$G$3+IFERROR(VLOOKUP($AL108,$F$4:$G$7,2,FALSE),0)+VLOOKUP($Q108,武学奇术!$A:$ZZ,2,FALSE)+SUM(_xlfn.XLOOKUP($R108:$AK108,增益!$A:$A,增益!$B:$B,0))</f>
        <v>0.1837</v>
      </c>
      <c r="AR108" s="26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3673.1</v>
      </c>
      <c r="AT108" cm="1">
        <f t="array" ref="AT108">$E$10*(1+$AR108)+VLOOKUP($Q108,武学奇术!$A:$ZZ,4,FALSE)+SUM(_xlfn.XLOOKUP($R108:$AK108,增益!$A:$A,增益!$D:$D,0))-$I$2</f>
        <v>3673.1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0.267</v>
      </c>
      <c r="AV108" s="32" cm="1">
        <f t="array" ref="AV108">$G$10+VLOOKUP($Q108,武学奇术!$A:$ZZ,7,FALSE)+SUM(_xlfn.XLOOKUP($R108:$AK108,增益!$A:$A,增益!$G:$G,0))</f>
        <v>0.025</v>
      </c>
      <c r="AW108" s="26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37"/>
        <v>0</v>
      </c>
      <c r="BC108">
        <f t="shared" si="38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39"/>
        <v>571.2</v>
      </c>
      <c r="BG108">
        <f t="shared" si="40"/>
        <v>1627.8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41"/>
        <v>0</v>
      </c>
      <c r="BK108">
        <f t="shared" si="42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6">
        <f>MIN(IF(VLOOKUP($Q108,武学奇术!$A:$ZZ,23,FALSE)=1,100%,$B$8),100%)</f>
        <v>0.9859</v>
      </c>
      <c r="BO108" s="26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6" cm="1">
        <f t="array" ref="BP108">1+$B$13+VLOOKUP($Q108,武学奇术!$A:$ZZ,18,FALSE)+SUM(_xlfn.XLOOKUP($R108:$AK108,增益!$A:$A,增益!$R:$R,0))</f>
        <v>1.54</v>
      </c>
      <c r="BQ108" s="26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6" cm="1">
        <f t="array" ref="BR108">1+$B$14+VLOOKUP($Q108,武学奇术!$A:$ZZ,20,FALSE)+SUM(_xlfn.XLOOKUP($R108:$AK108,增益!$A:$A,增益!$T:$T,0))</f>
        <v>1.35</v>
      </c>
      <c r="BS108" s="26">
        <f t="shared" si="43"/>
        <v>0.87863408</v>
      </c>
      <c r="BT108" s="26">
        <f t="shared" si="44"/>
        <v>0.01567581</v>
      </c>
      <c r="BU108" s="26">
        <f>IF(VLOOKUP($Q108,武学奇术!$A:$ZZ,22,FALSE)=1,0,(1-$BN108))*(1-$BQ108)</f>
        <v>0.01279011</v>
      </c>
      <c r="BV108" s="26" cm="1">
        <f t="array" ref="BV108">SUM(_xlfn.XLOOKUP($R108:$AK108,增益!$A:$A,增益!$W:$W,0))+$I$5</f>
        <v>0.11</v>
      </c>
    </row>
    <row r="109" spans="11:74">
      <c r="K109" s="38">
        <f t="shared" si="34"/>
        <v>0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9">
        <v>1</v>
      </c>
      <c r="Q109" s="40" t="s">
        <v>80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81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82</v>
      </c>
      <c r="AL109" t="str">
        <f>VLOOKUP($Q109,武学奇术!$A:$ZZ,25,FALSE)</f>
        <v>心法</v>
      </c>
      <c r="AM109" s="26">
        <f>VLOOKUP($Q109,武学奇术!$A:$ZZ,26,FALSE)</f>
        <v>0</v>
      </c>
      <c r="AN109" s="27">
        <f>VLOOKUP($Q109,武学奇术!$A:$ZZ,27,FALSE)*(1+IF(OR($AL109=$F$4,$AL109=$F$5),$B$22,0))</f>
        <v>0</v>
      </c>
      <c r="AO109" s="26">
        <f>VLOOKUP($Q109,武学奇术!$A:$ZZ,28,FALSE)</f>
        <v>0</v>
      </c>
      <c r="AP109" s="27">
        <f>VLOOKUP($Q109,武学奇术!$A:$ZZ,29,FALSE)*(1+IF(OR($AL109=$F$4,$AL109=$F$5),$B$22,0))</f>
        <v>0</v>
      </c>
      <c r="AQ109" s="26" cm="1">
        <f t="array" ref="AQ109">$G$3+IFERROR(VLOOKUP($AL109,$F$4:$G$7,2,FALSE),0)+VLOOKUP($Q109,武学奇术!$A:$ZZ,2,FALSE)+SUM(_xlfn.XLOOKUP($R109:$AK109,增益!$A:$A,增益!$B:$B,0))</f>
        <v>0.1837</v>
      </c>
      <c r="AR109" s="26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3673.1</v>
      </c>
      <c r="AT109" cm="1">
        <f t="array" ref="AT109">$E$10*(1+$AR109)+VLOOKUP($Q109,武学奇术!$A:$ZZ,4,FALSE)+SUM(_xlfn.XLOOKUP($R109:$AK109,增益!$A:$A,增益!$D:$D,0))-$I$2</f>
        <v>3673.1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0.267</v>
      </c>
      <c r="AV109" s="32" cm="1">
        <f t="array" ref="AV109">$G$10+VLOOKUP($Q109,武学奇术!$A:$ZZ,7,FALSE)+SUM(_xlfn.XLOOKUP($R109:$AK109,增益!$A:$A,增益!$G:$G,0))</f>
        <v>0.025</v>
      </c>
      <c r="AW109" s="26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37"/>
        <v>0</v>
      </c>
      <c r="BC109">
        <f t="shared" si="38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39"/>
        <v>571.2</v>
      </c>
      <c r="BG109">
        <f t="shared" si="40"/>
        <v>1627.8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41"/>
        <v>0</v>
      </c>
      <c r="BK109">
        <f t="shared" si="42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6">
        <f>MIN(IF(VLOOKUP($Q109,武学奇术!$A:$ZZ,23,FALSE)=1,100%,$B$8),100%)</f>
        <v>0.9859</v>
      </c>
      <c r="BO109" s="26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6" cm="1">
        <f t="array" ref="BP109">1+$B$13+VLOOKUP($Q109,武学奇术!$A:$ZZ,18,FALSE)+SUM(_xlfn.XLOOKUP($R109:$AK109,增益!$A:$A,增益!$R:$R,0))</f>
        <v>1.54</v>
      </c>
      <c r="BQ109" s="26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6" cm="1">
        <f t="array" ref="BR109">1+$B$14+VLOOKUP($Q109,武学奇术!$A:$ZZ,20,FALSE)+SUM(_xlfn.XLOOKUP($R109:$AK109,增益!$A:$A,增益!$T:$T,0))</f>
        <v>1.35</v>
      </c>
      <c r="BS109" s="26">
        <f t="shared" si="43"/>
        <v>0.87863408</v>
      </c>
      <c r="BT109" s="26">
        <f t="shared" si="44"/>
        <v>0.01567581</v>
      </c>
      <c r="BU109" s="26">
        <f>IF(VLOOKUP($Q109,武学奇术!$A:$ZZ,22,FALSE)=1,0,(1-$BN109))*(1-$BQ109)</f>
        <v>0.01279011</v>
      </c>
      <c r="BV109" s="26" cm="1">
        <f t="array" ref="BV109">SUM(_xlfn.XLOOKUP($R109:$AK109,增益!$A:$A,增益!$W:$W,0))+$I$5</f>
        <v>0.11</v>
      </c>
    </row>
    <row r="110" spans="11:74">
      <c r="K110" s="38">
        <f t="shared" si="34"/>
        <v>0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9">
        <v>1</v>
      </c>
      <c r="Q110" s="40" t="s">
        <v>80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81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82</v>
      </c>
      <c r="AL110" t="str">
        <f>VLOOKUP($Q110,武学奇术!$A:$ZZ,25,FALSE)</f>
        <v>心法</v>
      </c>
      <c r="AM110" s="26">
        <f>VLOOKUP($Q110,武学奇术!$A:$ZZ,26,FALSE)</f>
        <v>0</v>
      </c>
      <c r="AN110" s="27">
        <f>VLOOKUP($Q110,武学奇术!$A:$ZZ,27,FALSE)*(1+IF(OR($AL110=$F$4,$AL110=$F$5),$B$22,0))</f>
        <v>0</v>
      </c>
      <c r="AO110" s="26">
        <f>VLOOKUP($Q110,武学奇术!$A:$ZZ,28,FALSE)</f>
        <v>0</v>
      </c>
      <c r="AP110" s="27">
        <f>VLOOKUP($Q110,武学奇术!$A:$ZZ,29,FALSE)*(1+IF(OR($AL110=$F$4,$AL110=$F$5),$B$22,0))</f>
        <v>0</v>
      </c>
      <c r="AQ110" s="26" cm="1">
        <f t="array" ref="AQ110">$G$3+IFERROR(VLOOKUP($AL110,$F$4:$G$7,2,FALSE),0)+VLOOKUP($Q110,武学奇术!$A:$ZZ,2,FALSE)+SUM(_xlfn.XLOOKUP($R110:$AK110,增益!$A:$A,增益!$B:$B,0))</f>
        <v>0.1837</v>
      </c>
      <c r="AR110" s="26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3673.1</v>
      </c>
      <c r="AT110" cm="1">
        <f t="array" ref="AT110">$E$10*(1+$AR110)+VLOOKUP($Q110,武学奇术!$A:$ZZ,4,FALSE)+SUM(_xlfn.XLOOKUP($R110:$AK110,增益!$A:$A,增益!$D:$D,0))-$I$2</f>
        <v>3673.1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0.267</v>
      </c>
      <c r="AV110" s="32" cm="1">
        <f t="array" ref="AV110">$G$10+VLOOKUP($Q110,武学奇术!$A:$ZZ,7,FALSE)+SUM(_xlfn.XLOOKUP($R110:$AK110,增益!$A:$A,增益!$G:$G,0))</f>
        <v>0.025</v>
      </c>
      <c r="AW110" s="26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37"/>
        <v>0</v>
      </c>
      <c r="BC110">
        <f t="shared" si="38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39"/>
        <v>571.2</v>
      </c>
      <c r="BG110">
        <f t="shared" si="40"/>
        <v>1627.8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41"/>
        <v>0</v>
      </c>
      <c r="BK110">
        <f t="shared" si="42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6">
        <f>MIN(IF(VLOOKUP($Q110,武学奇术!$A:$ZZ,23,FALSE)=1,100%,$B$8),100%)</f>
        <v>0.9859</v>
      </c>
      <c r="BO110" s="26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6" cm="1">
        <f t="array" ref="BP110">1+$B$13+VLOOKUP($Q110,武学奇术!$A:$ZZ,18,FALSE)+SUM(_xlfn.XLOOKUP($R110:$AK110,增益!$A:$A,增益!$R:$R,0))</f>
        <v>1.54</v>
      </c>
      <c r="BQ110" s="26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6" cm="1">
        <f t="array" ref="BR110">1+$B$14+VLOOKUP($Q110,武学奇术!$A:$ZZ,20,FALSE)+SUM(_xlfn.XLOOKUP($R110:$AK110,增益!$A:$A,增益!$T:$T,0))</f>
        <v>1.35</v>
      </c>
      <c r="BS110" s="26">
        <f t="shared" si="43"/>
        <v>0.87863408</v>
      </c>
      <c r="BT110" s="26">
        <f t="shared" si="44"/>
        <v>0.01567581</v>
      </c>
      <c r="BU110" s="26">
        <f>IF(VLOOKUP($Q110,武学奇术!$A:$ZZ,22,FALSE)=1,0,(1-$BN110))*(1-$BQ110)</f>
        <v>0.01279011</v>
      </c>
      <c r="BV110" s="26" cm="1">
        <f t="array" ref="BV110">SUM(_xlfn.XLOOKUP($R110:$AK110,增益!$A:$A,增益!$W:$W,0))+$I$5</f>
        <v>0.11</v>
      </c>
    </row>
    <row r="111" spans="11:74">
      <c r="K111" s="38">
        <f t="shared" si="34"/>
        <v>21396.2418149946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21746.3458201574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20589.7435491475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13851.1756816289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12450.6894750004</v>
      </c>
      <c r="P111" s="39">
        <f>IF($E$22="易水歌",1,0)</f>
        <v>1</v>
      </c>
      <c r="Q111" s="40" t="s">
        <v>180</v>
      </c>
      <c r="R111" s="40" t="s">
        <v>100</v>
      </c>
      <c r="S111" s="40" t="s">
        <v>92</v>
      </c>
      <c r="T111" s="40" t="s">
        <v>78</v>
      </c>
      <c r="U111" s="40" t="s">
        <v>79</v>
      </c>
      <c r="V111" s="40" t="s">
        <v>73</v>
      </c>
      <c r="W111" s="40" t="s">
        <v>80</v>
      </c>
      <c r="X111" s="40" t="s">
        <v>87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81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82</v>
      </c>
      <c r="AL111" t="str">
        <f>VLOOKUP($Q111,武学奇术!$A:$ZZ,25,FALSE)</f>
        <v>心法</v>
      </c>
      <c r="AM111" s="26">
        <f>VLOOKUP($Q111,武学奇术!$A:$ZZ,26,FALSE)</f>
        <v>1</v>
      </c>
      <c r="AN111" s="27">
        <f>VLOOKUP($Q111,武学奇术!$A:$ZZ,27,FALSE)*(1+IF(OR($AL111=$F$4,$AL111=$F$5),$B$22,0))</f>
        <v>0</v>
      </c>
      <c r="AO111" s="26">
        <f>VLOOKUP($Q111,武学奇术!$A:$ZZ,28,FALSE)</f>
        <v>1</v>
      </c>
      <c r="AP111" s="27">
        <f>VLOOKUP($Q111,武学奇术!$A:$ZZ,29,FALSE)*(1+IF(OR($AL111=$F$4,$AL111=$F$5),$B$22,0))</f>
        <v>0</v>
      </c>
      <c r="AQ111" s="26" cm="1">
        <f t="array" ref="AQ111">$G$3+IFERROR(VLOOKUP($AL111,$F$4:$G$7,2,FALSE),0)+VLOOKUP($Q111,武学奇术!$A:$ZZ,2,FALSE)+SUM(_xlfn.XLOOKUP($R111:$AK111,增益!$A:$A,增益!$B:$B,0))</f>
        <v>0.3587</v>
      </c>
      <c r="AR111" s="26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4434.698</v>
      </c>
      <c r="AT111" cm="1">
        <f t="array" ref="AT111">$E$10*(1+$AR111)+VLOOKUP($Q111,武学奇术!$A:$ZZ,4,FALSE)+SUM(_xlfn.XLOOKUP($R111:$AK111,增益!$A:$A,增益!$D:$D,0))-$I$2</f>
        <v>4434.698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0.357</v>
      </c>
      <c r="AV111" s="32" cm="1">
        <f t="array" ref="AV111">$G$10+VLOOKUP($Q111,武学奇术!$A:$ZZ,7,FALSE)+SUM(_xlfn.XLOOKUP($R111:$AK111,增益!$A:$A,增益!$G:$G,0))</f>
        <v>0.205</v>
      </c>
      <c r="AW111" s="26" cm="1">
        <f t="array" ref="AW111">VLOOKUP($Q111,武学奇术!$A:$ZZ,8,FALSE)+SUM(_xlfn.XLOOKUP($R111:$AK111,增益!$A:$A,增益!$H:$H,0))</f>
        <v>0.18</v>
      </c>
      <c r="AX111">
        <f t="shared" si="35"/>
        <v>0</v>
      </c>
      <c r="AY111">
        <f t="shared" si="36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2" cm="1">
        <f t="array" ref="BA111">$G$11+VLOOKUP($Q111,武学奇术!$A:$ZZ,10,FALSE)+SUM(_xlfn.XLOOKUP($R111:$AK111,增益!$A:$A,增益!$J:$J,0))</f>
        <v>0.06</v>
      </c>
      <c r="BB111">
        <f t="shared" si="37"/>
        <v>0</v>
      </c>
      <c r="BC111">
        <f t="shared" si="38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2" cm="1">
        <f t="array" ref="BE111">$G$12+VLOOKUP($Q111,武学奇术!$A:$ZZ,12,FALSE)+SUM(_xlfn.XLOOKUP($R111:$AK111,增益!$A:$A,增益!$L:$L,0))</f>
        <v>0.06</v>
      </c>
      <c r="BF111">
        <f t="shared" si="39"/>
        <v>674.016</v>
      </c>
      <c r="BG111">
        <f t="shared" si="40"/>
        <v>1920.804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2" cm="1">
        <f t="array" ref="BI111">$G$13+VLOOKUP($Q111,武学奇术!$A:$ZZ,14,FALSE)+SUM(_xlfn.XLOOKUP($R111:$AK111,增益!$A:$A,增益!$N:$N,0))</f>
        <v>0.33</v>
      </c>
      <c r="BJ111">
        <f t="shared" si="41"/>
        <v>0</v>
      </c>
      <c r="BK111">
        <f t="shared" si="42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2" cm="1">
        <f t="array" ref="BM111">$G$14+VLOOKUP($Q111,武学奇术!$A:$ZZ,16,FALSE)+SUM(_xlfn.XLOOKUP($R111:$AK111,增益!$A:$A,增益!$P:$P,0))</f>
        <v>0.06</v>
      </c>
      <c r="BN111" s="26">
        <f>MIN(IF(VLOOKUP($Q111,武学奇术!$A:$ZZ,23,FALSE)=1,100%,$B$8),100%)</f>
        <v>0.9859</v>
      </c>
      <c r="BO111" s="26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6" cm="1">
        <f t="array" ref="BP111">1+$B$13+VLOOKUP($Q111,武学奇术!$A:$ZZ,18,FALSE)+SUM(_xlfn.XLOOKUP($R111:$AK111,增益!$A:$A,增益!$R:$R,0))</f>
        <v>1.57</v>
      </c>
      <c r="BQ111" s="26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6" cm="1">
        <f t="array" ref="BR111">1+$B$14+VLOOKUP($Q111,武学奇术!$A:$ZZ,20,FALSE)+SUM(_xlfn.XLOOKUP($R111:$AK111,增益!$A:$A,增益!$T:$T,0))</f>
        <v>1.35</v>
      </c>
      <c r="BS111" s="26">
        <f t="shared" si="43"/>
        <v>0.87863408</v>
      </c>
      <c r="BT111" s="26">
        <f t="shared" si="44"/>
        <v>0.01567581</v>
      </c>
      <c r="BU111" s="26">
        <f>IF(VLOOKUP($Q111,武学奇术!$A:$ZZ,22,FALSE)=1,0,(1-$BN111))*(1-$BQ111)</f>
        <v>0.01279011</v>
      </c>
      <c r="BV111" s="26" cm="1">
        <f t="array" ref="BV111">SUM(_xlfn.XLOOKUP($R111:$AK111,增益!$A:$A,增益!$W:$W,0))+$I$5</f>
        <v>0.11</v>
      </c>
    </row>
    <row r="112" spans="11:74">
      <c r="K112" s="38">
        <f t="shared" si="34"/>
        <v>16685.4394820442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16997.5406109424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15765.6344785568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10557.4786403369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9436.70951877989</v>
      </c>
      <c r="P112" s="39">
        <f t="shared" ref="P112:P121" si="45">IF($E$22="易水歌",1,0)</f>
        <v>1</v>
      </c>
      <c r="Q112" s="40" t="s">
        <v>180</v>
      </c>
      <c r="R112" s="40" t="s">
        <v>100</v>
      </c>
      <c r="S112" s="40" t="s">
        <v>148</v>
      </c>
      <c r="T112" s="40" t="s">
        <v>97</v>
      </c>
      <c r="U112" s="40" t="s">
        <v>80</v>
      </c>
      <c r="V112" s="40" t="s">
        <v>73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81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82</v>
      </c>
      <c r="AL112" t="str">
        <f>VLOOKUP($Q112,武学奇术!$A:$ZZ,25,FALSE)</f>
        <v>心法</v>
      </c>
      <c r="AM112" s="26">
        <f>VLOOKUP($Q112,武学奇术!$A:$ZZ,26,FALSE)</f>
        <v>1</v>
      </c>
      <c r="AN112" s="27">
        <f>VLOOKUP($Q112,武学奇术!$A:$ZZ,27,FALSE)*(1+IF(OR($AL112=$F$4,$AL112=$F$5),$B$22,0))</f>
        <v>0</v>
      </c>
      <c r="AO112" s="26">
        <f>VLOOKUP($Q112,武学奇术!$A:$ZZ,28,FALSE)</f>
        <v>1</v>
      </c>
      <c r="AP112" s="27">
        <f>VLOOKUP($Q112,武学奇术!$A:$ZZ,29,FALSE)*(1+IF(OR($AL112=$F$4,$AL112=$F$5),$B$22,0))</f>
        <v>0</v>
      </c>
      <c r="AQ112" s="26" cm="1">
        <f t="array" ref="AQ112">$G$3+IFERROR(VLOOKUP($AL112,$F$4:$G$7,2,FALSE),0)+VLOOKUP($Q112,武学奇术!$A:$ZZ,2,FALSE)+SUM(_xlfn.XLOOKUP($R112:$AK112,增益!$A:$A,增益!$B:$B,0))</f>
        <v>0.2337</v>
      </c>
      <c r="AR112" s="26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3673.1</v>
      </c>
      <c r="AT112" cm="1">
        <f t="array" ref="AT112">$E$10*(1+$AR112)+VLOOKUP($Q112,武学奇术!$A:$ZZ,4,FALSE)+SUM(_xlfn.XLOOKUP($R112:$AK112,增益!$A:$A,增益!$D:$D,0))-$I$2</f>
        <v>3673.1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0.357</v>
      </c>
      <c r="AV112" s="32" cm="1">
        <f t="array" ref="AV112">$G$10+VLOOKUP($Q112,武学奇术!$A:$ZZ,7,FALSE)+SUM(_xlfn.XLOOKUP($R112:$AK112,增益!$A:$A,增益!$G:$G,0))</f>
        <v>0.205</v>
      </c>
      <c r="AW112" s="26" cm="1">
        <f t="array" ref="AW112">VLOOKUP($Q112,武学奇术!$A:$ZZ,8,FALSE)+SUM(_xlfn.XLOOKUP($R112:$AK112,增益!$A:$A,增益!$H:$H,0))</f>
        <v>0.12</v>
      </c>
      <c r="AX112">
        <f t="shared" si="35"/>
        <v>0</v>
      </c>
      <c r="AY112">
        <f t="shared" si="36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2" cm="1">
        <f t="array" ref="BA112">$G$11+VLOOKUP($Q112,武学奇术!$A:$ZZ,10,FALSE)+SUM(_xlfn.XLOOKUP($R112:$AK112,增益!$A:$A,增益!$J:$J,0))</f>
        <v>0.06</v>
      </c>
      <c r="BB112">
        <f t="shared" si="37"/>
        <v>0</v>
      </c>
      <c r="BC112">
        <f t="shared" si="38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2" cm="1">
        <f t="array" ref="BE112">$G$12+VLOOKUP($Q112,武学奇术!$A:$ZZ,12,FALSE)+SUM(_xlfn.XLOOKUP($R112:$AK112,增益!$A:$A,增益!$L:$L,0))</f>
        <v>0.06</v>
      </c>
      <c r="BF112">
        <f t="shared" si="39"/>
        <v>639.744</v>
      </c>
      <c r="BG112">
        <f t="shared" si="40"/>
        <v>1823.136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2" cm="1">
        <f t="array" ref="BI112">$G$13+VLOOKUP($Q112,武学奇术!$A:$ZZ,14,FALSE)+SUM(_xlfn.XLOOKUP($R112:$AK112,增益!$A:$A,增益!$N:$N,0))</f>
        <v>0.33</v>
      </c>
      <c r="BJ112">
        <f t="shared" si="41"/>
        <v>0</v>
      </c>
      <c r="BK112">
        <f t="shared" si="42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2" cm="1">
        <f t="array" ref="BM112">$G$14+VLOOKUP($Q112,武学奇术!$A:$ZZ,16,FALSE)+SUM(_xlfn.XLOOKUP($R112:$AK112,增益!$A:$A,增益!$P:$P,0))</f>
        <v>0.06</v>
      </c>
      <c r="BN112" s="26">
        <f>MIN(IF(VLOOKUP($Q112,武学奇术!$A:$ZZ,23,FALSE)=1,100%,$B$8),100%)</f>
        <v>0.9859</v>
      </c>
      <c r="BO112" s="26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6" cm="1">
        <f t="array" ref="BP112">1+$B$13+VLOOKUP($Q112,武学奇术!$A:$ZZ,18,FALSE)+SUM(_xlfn.XLOOKUP($R112:$AK112,增益!$A:$A,增益!$R:$R,0))</f>
        <v>1.61</v>
      </c>
      <c r="BQ112" s="26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6" cm="1">
        <f t="array" ref="BR112">1+$B$14+VLOOKUP($Q112,武学奇术!$A:$ZZ,20,FALSE)+SUM(_xlfn.XLOOKUP($R112:$AK112,增益!$A:$A,增益!$T:$T,0))</f>
        <v>1.35</v>
      </c>
      <c r="BS112" s="26">
        <f t="shared" si="43"/>
        <v>0.87863408</v>
      </c>
      <c r="BT112" s="26">
        <f t="shared" si="44"/>
        <v>0.01567581</v>
      </c>
      <c r="BU112" s="26">
        <f>IF(VLOOKUP($Q112,武学奇术!$A:$ZZ,22,FALSE)=1,0,(1-$BN112))*(1-$BQ112)</f>
        <v>0.01279011</v>
      </c>
      <c r="BV112" s="26" cm="1">
        <f t="array" ref="BV112">SUM(_xlfn.XLOOKUP($R112:$AK112,增益!$A:$A,增益!$W:$W,0))+$I$5</f>
        <v>0.11</v>
      </c>
    </row>
    <row r="113" spans="11:74">
      <c r="K113" s="38">
        <f t="shared" ref="K113:K121" si="46">($L113*$BS113+$M113*$BQ113+$N113*$BT113+$O113*$BU113)</f>
        <v>20201.3266273731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20626.0694185751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18695.493204227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12576.8715966921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11305.2297087716</v>
      </c>
      <c r="P113" s="39">
        <f t="shared" si="45"/>
        <v>1</v>
      </c>
      <c r="Q113" s="40" t="s">
        <v>180</v>
      </c>
      <c r="R113" s="40" t="s">
        <v>100</v>
      </c>
      <c r="S113" s="40" t="s">
        <v>158</v>
      </c>
      <c r="T113" s="40" t="s">
        <v>78</v>
      </c>
      <c r="U113" s="40" t="s">
        <v>80</v>
      </c>
      <c r="V113" s="40" t="s">
        <v>73</v>
      </c>
      <c r="W113" s="40" t="s">
        <v>80</v>
      </c>
      <c r="X113" s="40" t="s">
        <v>87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81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82</v>
      </c>
      <c r="AL113" t="str">
        <f>VLOOKUP($Q113,武学奇术!$A:$ZZ,25,FALSE)</f>
        <v>心法</v>
      </c>
      <c r="AM113" s="26">
        <f>VLOOKUP($Q113,武学奇术!$A:$ZZ,26,FALSE)</f>
        <v>1</v>
      </c>
      <c r="AN113" s="27">
        <f>VLOOKUP($Q113,武学奇术!$A:$ZZ,27,FALSE)*(1+IF(OR($AL113=$F$4,$AL113=$F$5),$B$22,0))</f>
        <v>0</v>
      </c>
      <c r="AO113" s="26">
        <f>VLOOKUP($Q113,武学奇术!$A:$ZZ,28,FALSE)</f>
        <v>1</v>
      </c>
      <c r="AP113" s="27">
        <f>VLOOKUP($Q113,武学奇术!$A:$ZZ,29,FALSE)*(1+IF(OR($AL113=$F$4,$AL113=$F$5),$B$22,0))</f>
        <v>0</v>
      </c>
      <c r="AQ113" s="26" cm="1">
        <f t="array" ref="AQ113">$G$3+IFERROR(VLOOKUP($AL113,$F$4:$G$7,2,FALSE),0)+VLOOKUP($Q113,武学奇术!$A:$ZZ,2,FALSE)+SUM(_xlfn.XLOOKUP($R113:$AK113,增益!$A:$A,增益!$B:$B,0))</f>
        <v>0.2337</v>
      </c>
      <c r="AR113" s="26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4434.698</v>
      </c>
      <c r="AT113" cm="1">
        <f t="array" ref="AT113">$E$10*(1+$AR113)+VLOOKUP($Q113,武学奇术!$A:$ZZ,4,FALSE)+SUM(_xlfn.XLOOKUP($R113:$AK113,增益!$A:$A,增益!$D:$D,0))-$I$2</f>
        <v>4434.698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0.357</v>
      </c>
      <c r="AV113" s="32" cm="1">
        <f t="array" ref="AV113">$G$10+VLOOKUP($Q113,武学奇术!$A:$ZZ,7,FALSE)+SUM(_xlfn.XLOOKUP($R113:$AK113,增益!$A:$A,增益!$G:$G,0))</f>
        <v>0.205</v>
      </c>
      <c r="AW113" s="26" cm="1">
        <f t="array" ref="AW113">VLOOKUP($Q113,武学奇术!$A:$ZZ,8,FALSE)+SUM(_xlfn.XLOOKUP($R113:$AK113,增益!$A:$A,增益!$H:$H,0))</f>
        <v>0.18</v>
      </c>
      <c r="AX113">
        <f t="shared" si="35"/>
        <v>0</v>
      </c>
      <c r="AY113">
        <f t="shared" si="36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2" cm="1">
        <f t="array" ref="BA113">$G$11+VLOOKUP($Q113,武学奇术!$A:$ZZ,10,FALSE)+SUM(_xlfn.XLOOKUP($R113:$AK113,增益!$A:$A,增益!$J:$J,0))</f>
        <v>0.06</v>
      </c>
      <c r="BB113">
        <f t="shared" si="37"/>
        <v>0</v>
      </c>
      <c r="BC113">
        <f t="shared" si="38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2" cm="1">
        <f t="array" ref="BE113">$G$12+VLOOKUP($Q113,武学奇术!$A:$ZZ,12,FALSE)+SUM(_xlfn.XLOOKUP($R113:$AK113,增益!$A:$A,增益!$L:$L,0))</f>
        <v>0.06</v>
      </c>
      <c r="BF113">
        <f t="shared" si="39"/>
        <v>674.016</v>
      </c>
      <c r="BG113">
        <f t="shared" si="40"/>
        <v>1920.804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2" cm="1">
        <f t="array" ref="BI113">$G$13+VLOOKUP($Q113,武学奇术!$A:$ZZ,14,FALSE)+SUM(_xlfn.XLOOKUP($R113:$AK113,增益!$A:$A,增益!$N:$N,0))</f>
        <v>0.33</v>
      </c>
      <c r="BJ113">
        <f t="shared" si="41"/>
        <v>0</v>
      </c>
      <c r="BK113">
        <f t="shared" si="42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2" cm="1">
        <f t="array" ref="BM113">$G$14+VLOOKUP($Q113,武学奇术!$A:$ZZ,16,FALSE)+SUM(_xlfn.XLOOKUP($R113:$AK113,增益!$A:$A,增益!$P:$P,0))</f>
        <v>0.06</v>
      </c>
      <c r="BN113" s="26">
        <f>MIN(IF(VLOOKUP($Q113,武学奇术!$A:$ZZ,23,FALSE)=1,100%,$B$8),100%)</f>
        <v>0.9859</v>
      </c>
      <c r="BO113" s="26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6" cm="1">
        <f t="array" ref="BP113">1+$B$13+VLOOKUP($Q113,武学奇术!$A:$ZZ,18,FALSE)+SUM(_xlfn.XLOOKUP($R113:$AK113,增益!$A:$A,增益!$R:$R,0))</f>
        <v>1.64</v>
      </c>
      <c r="BQ113" s="26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6" cm="1">
        <f t="array" ref="BR113">1+$B$14+VLOOKUP($Q113,武学奇术!$A:$ZZ,20,FALSE)+SUM(_xlfn.XLOOKUP($R113:$AK113,增益!$A:$A,增益!$T:$T,0))</f>
        <v>1.35</v>
      </c>
      <c r="BS113" s="26">
        <f t="shared" si="43"/>
        <v>0.87863408</v>
      </c>
      <c r="BT113" s="26">
        <f t="shared" si="44"/>
        <v>0.01567581</v>
      </c>
      <c r="BU113" s="26">
        <f>IF(VLOOKUP($Q113,武学奇术!$A:$ZZ,22,FALSE)=1,0,(1-$BN113))*(1-$BQ113)</f>
        <v>0.01279011</v>
      </c>
      <c r="BV113" s="26" cm="1">
        <f t="array" ref="BV113">SUM(_xlfn.XLOOKUP($R113:$AK113,增益!$A:$A,增益!$W:$W,0))+$I$5</f>
        <v>0.11</v>
      </c>
    </row>
    <row r="114" spans="11:74">
      <c r="K114" s="38">
        <f t="shared" si="46"/>
        <v>16963.7242980124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17314.2649701526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15765.6344785568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10557.4786403369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9436.70951877989</v>
      </c>
      <c r="P114" s="39">
        <f t="shared" si="45"/>
        <v>1</v>
      </c>
      <c r="Q114" s="40" t="s">
        <v>180</v>
      </c>
      <c r="R114" s="40" t="s">
        <v>100</v>
      </c>
      <c r="S114" s="40" t="s">
        <v>158</v>
      </c>
      <c r="T114" s="40" t="s">
        <v>97</v>
      </c>
      <c r="U114" s="40" t="s">
        <v>80</v>
      </c>
      <c r="V114" s="40" t="s">
        <v>73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81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82</v>
      </c>
      <c r="AL114" t="str">
        <f>VLOOKUP($Q114,武学奇术!$A:$ZZ,25,FALSE)</f>
        <v>心法</v>
      </c>
      <c r="AM114" s="26">
        <f>VLOOKUP($Q114,武学奇术!$A:$ZZ,26,FALSE)</f>
        <v>1</v>
      </c>
      <c r="AN114" s="27">
        <f>VLOOKUP($Q114,武学奇术!$A:$ZZ,27,FALSE)*(1+IF(OR($AL114=$F$4,$AL114=$F$5),$B$22,0))</f>
        <v>0</v>
      </c>
      <c r="AO114" s="26">
        <f>VLOOKUP($Q114,武学奇术!$A:$ZZ,28,FALSE)</f>
        <v>1</v>
      </c>
      <c r="AP114" s="27">
        <f>VLOOKUP($Q114,武学奇术!$A:$ZZ,29,FALSE)*(1+IF(OR($AL114=$F$4,$AL114=$F$5),$B$22,0))</f>
        <v>0</v>
      </c>
      <c r="AQ114" s="26" cm="1">
        <f t="array" ref="AQ114">$G$3+IFERROR(VLOOKUP($AL114,$F$4:$G$7,2,FALSE),0)+VLOOKUP($Q114,武学奇术!$A:$ZZ,2,FALSE)+SUM(_xlfn.XLOOKUP($R114:$AK114,增益!$A:$A,增益!$B:$B,0))</f>
        <v>0.2337</v>
      </c>
      <c r="AR114" s="26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3673.1</v>
      </c>
      <c r="AT114" cm="1">
        <f t="array" ref="AT114">$E$10*(1+$AR114)+VLOOKUP($Q114,武学奇术!$A:$ZZ,4,FALSE)+SUM(_xlfn.XLOOKUP($R114:$AK114,增益!$A:$A,增益!$D:$D,0))-$I$2</f>
        <v>3673.1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0.357</v>
      </c>
      <c r="AV114" s="32" cm="1">
        <f t="array" ref="AV114">$G$10+VLOOKUP($Q114,武学奇术!$A:$ZZ,7,FALSE)+SUM(_xlfn.XLOOKUP($R114:$AK114,增益!$A:$A,增益!$G:$G,0))</f>
        <v>0.205</v>
      </c>
      <c r="AW114" s="26" cm="1">
        <f t="array" ref="AW114">VLOOKUP($Q114,武学奇术!$A:$ZZ,8,FALSE)+SUM(_xlfn.XLOOKUP($R114:$AK114,增益!$A:$A,增益!$H:$H,0))</f>
        <v>0.12</v>
      </c>
      <c r="AX114">
        <f t="shared" si="35"/>
        <v>0</v>
      </c>
      <c r="AY114">
        <f t="shared" si="36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2" cm="1">
        <f t="array" ref="BA114">$G$11+VLOOKUP($Q114,武学奇术!$A:$ZZ,10,FALSE)+SUM(_xlfn.XLOOKUP($R114:$AK114,增益!$A:$A,增益!$J:$J,0))</f>
        <v>0.06</v>
      </c>
      <c r="BB114">
        <f t="shared" si="37"/>
        <v>0</v>
      </c>
      <c r="BC114">
        <f t="shared" si="38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2" cm="1">
        <f t="array" ref="BE114">$G$12+VLOOKUP($Q114,武学奇术!$A:$ZZ,12,FALSE)+SUM(_xlfn.XLOOKUP($R114:$AK114,增益!$A:$A,增益!$L:$L,0))</f>
        <v>0.06</v>
      </c>
      <c r="BF114">
        <f t="shared" si="39"/>
        <v>639.744</v>
      </c>
      <c r="BG114">
        <f t="shared" si="40"/>
        <v>1823.136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2" cm="1">
        <f t="array" ref="BI114">$G$13+VLOOKUP($Q114,武学奇术!$A:$ZZ,14,FALSE)+SUM(_xlfn.XLOOKUP($R114:$AK114,增益!$A:$A,增益!$N:$N,0))</f>
        <v>0.33</v>
      </c>
      <c r="BJ114">
        <f t="shared" si="41"/>
        <v>0</v>
      </c>
      <c r="BK114">
        <f t="shared" si="42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2" cm="1">
        <f t="array" ref="BM114">$G$14+VLOOKUP($Q114,武学奇术!$A:$ZZ,16,FALSE)+SUM(_xlfn.XLOOKUP($R114:$AK114,增益!$A:$A,增益!$P:$P,0))</f>
        <v>0.06</v>
      </c>
      <c r="BN114" s="26">
        <f>MIN(IF(VLOOKUP($Q114,武学奇术!$A:$ZZ,23,FALSE)=1,100%,$B$8),100%)</f>
        <v>0.9859</v>
      </c>
      <c r="BO114" s="26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6" cm="1">
        <f t="array" ref="BP114">1+$B$13+VLOOKUP($Q114,武学奇术!$A:$ZZ,18,FALSE)+SUM(_xlfn.XLOOKUP($R114:$AK114,增益!$A:$A,增益!$R:$R,0))</f>
        <v>1.64</v>
      </c>
      <c r="BQ114" s="26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6" cm="1">
        <f t="array" ref="BR114">1+$B$14+VLOOKUP($Q114,武学奇术!$A:$ZZ,20,FALSE)+SUM(_xlfn.XLOOKUP($R114:$AK114,增益!$A:$A,增益!$T:$T,0))</f>
        <v>1.35</v>
      </c>
      <c r="BS114" s="26">
        <f t="shared" si="43"/>
        <v>0.87863408</v>
      </c>
      <c r="BT114" s="26">
        <f t="shared" si="44"/>
        <v>0.01567581</v>
      </c>
      <c r="BU114" s="26">
        <f>IF(VLOOKUP($Q114,武学奇术!$A:$ZZ,22,FALSE)=1,0,(1-$BN114))*(1-$BQ114)</f>
        <v>0.01279011</v>
      </c>
      <c r="BV114" s="26" cm="1">
        <f t="array" ref="BV114">SUM(_xlfn.XLOOKUP($R114:$AK114,增益!$A:$A,增益!$W:$W,0))+$I$5</f>
        <v>0.11</v>
      </c>
    </row>
    <row r="115" spans="11:74">
      <c r="K115" s="38">
        <f t="shared" si="46"/>
        <v>23841.2052989719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24342.4783228228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22064.050538322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14842.9745870871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13342.2080346764</v>
      </c>
      <c r="P115" s="39">
        <f t="shared" si="45"/>
        <v>1</v>
      </c>
      <c r="Q115" s="40" t="s">
        <v>180</v>
      </c>
      <c r="R115" s="40" t="s">
        <v>100</v>
      </c>
      <c r="S115" s="40" t="s">
        <v>158</v>
      </c>
      <c r="T115" s="40" t="s">
        <v>78</v>
      </c>
      <c r="U115" s="40" t="s">
        <v>80</v>
      </c>
      <c r="V115" s="40" t="s">
        <v>73</v>
      </c>
      <c r="W115" s="40" t="s">
        <v>80</v>
      </c>
      <c r="X115" s="40" t="s">
        <v>87</v>
      </c>
      <c r="Y115" s="40" t="s">
        <v>169</v>
      </c>
      <c r="Z115" s="40" t="s">
        <v>170</v>
      </c>
      <c r="AA115" s="40" t="s">
        <v>171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81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82</v>
      </c>
      <c r="AL115" t="str">
        <f>VLOOKUP($Q115,武学奇术!$A:$ZZ,25,FALSE)</f>
        <v>心法</v>
      </c>
      <c r="AM115" s="26">
        <f>VLOOKUP($Q115,武学奇术!$A:$ZZ,26,FALSE)</f>
        <v>1</v>
      </c>
      <c r="AN115" s="27">
        <f>VLOOKUP($Q115,武学奇术!$A:$ZZ,27,FALSE)*(1+IF(OR($AL115=$F$4,$AL115=$F$5),$B$22,0))</f>
        <v>0</v>
      </c>
      <c r="AO115" s="26">
        <f>VLOOKUP($Q115,武学奇术!$A:$ZZ,28,FALSE)</f>
        <v>1</v>
      </c>
      <c r="AP115" s="27">
        <f>VLOOKUP($Q115,武学奇术!$A:$ZZ,29,FALSE)*(1+IF(OR($AL115=$F$4,$AL115=$F$5),$B$22,0))</f>
        <v>0</v>
      </c>
      <c r="AQ115" s="26" cm="1">
        <f t="array" ref="AQ115">$G$3+IFERROR(VLOOKUP($AL115,$F$4:$G$7,2,FALSE),0)+VLOOKUP($Q115,武学奇术!$A:$ZZ,2,FALSE)+SUM(_xlfn.XLOOKUP($R115:$AK115,增益!$A:$A,增益!$B:$B,0))</f>
        <v>0.2337</v>
      </c>
      <c r="AR115" s="26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4434.698</v>
      </c>
      <c r="AT115" cm="1">
        <f t="array" ref="AT115">$E$10*(1+$AR115)+VLOOKUP($Q115,武学奇术!$A:$ZZ,4,FALSE)+SUM(_xlfn.XLOOKUP($R115:$AK115,增益!$A:$A,增益!$D:$D,0))-$I$2</f>
        <v>4434.698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0.357</v>
      </c>
      <c r="AV115" s="32" cm="1">
        <f t="array" ref="AV115">$G$10+VLOOKUP($Q115,武学奇术!$A:$ZZ,7,FALSE)+SUM(_xlfn.XLOOKUP($R115:$AK115,增益!$A:$A,增益!$G:$G,0))</f>
        <v>0.205</v>
      </c>
      <c r="AW115" s="26" cm="1">
        <f t="array" ref="AW115">VLOOKUP($Q115,武学奇术!$A:$ZZ,8,FALSE)+SUM(_xlfn.XLOOKUP($R115:$AK115,增益!$A:$A,增益!$H:$H,0))</f>
        <v>0.18</v>
      </c>
      <c r="AX115">
        <f t="shared" si="35"/>
        <v>0</v>
      </c>
      <c r="AY115">
        <f t="shared" si="36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2" cm="1">
        <f t="array" ref="BA115">$G$11+VLOOKUP($Q115,武学奇术!$A:$ZZ,10,FALSE)+SUM(_xlfn.XLOOKUP($R115:$AK115,增益!$A:$A,增益!$J:$J,0))</f>
        <v>0.16</v>
      </c>
      <c r="BB115">
        <f t="shared" si="37"/>
        <v>0</v>
      </c>
      <c r="BC115">
        <f t="shared" si="38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2" cm="1">
        <f t="array" ref="BE115">$G$12+VLOOKUP($Q115,武学奇术!$A:$ZZ,12,FALSE)+SUM(_xlfn.XLOOKUP($R115:$AK115,增益!$A:$A,增益!$L:$L,0))</f>
        <v>0.06</v>
      </c>
      <c r="BF115">
        <f t="shared" si="39"/>
        <v>674.016</v>
      </c>
      <c r="BG115">
        <f t="shared" si="40"/>
        <v>1920.804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2" cm="1">
        <f t="array" ref="BI115">$G$13+VLOOKUP($Q115,武学奇术!$A:$ZZ,14,FALSE)+SUM(_xlfn.XLOOKUP($R115:$AK115,增益!$A:$A,增益!$N:$N,0))</f>
        <v>0.33</v>
      </c>
      <c r="BJ115">
        <f t="shared" si="41"/>
        <v>0</v>
      </c>
      <c r="BK115">
        <f t="shared" si="42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2" cm="1">
        <f t="array" ref="BM115">$G$14+VLOOKUP($Q115,武学奇术!$A:$ZZ,16,FALSE)+SUM(_xlfn.XLOOKUP($R115:$AK115,增益!$A:$A,增益!$P:$P,0))</f>
        <v>0.06</v>
      </c>
      <c r="BN115" s="26">
        <f>MIN(IF(VLOOKUP($Q115,武学奇术!$A:$ZZ,23,FALSE)=1,100%,$B$8),100%)</f>
        <v>0.9859</v>
      </c>
      <c r="BO115" s="26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6" cm="1">
        <f t="array" ref="BP115">1+$B$13+VLOOKUP($Q115,武学奇术!$A:$ZZ,18,FALSE)+SUM(_xlfn.XLOOKUP($R115:$AK115,增益!$A:$A,增益!$R:$R,0))</f>
        <v>1.64</v>
      </c>
      <c r="BQ115" s="26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6" cm="1">
        <f t="array" ref="BR115">1+$B$14+VLOOKUP($Q115,武学奇术!$A:$ZZ,20,FALSE)+SUM(_xlfn.XLOOKUP($R115:$AK115,增益!$A:$A,增益!$T:$T,0))</f>
        <v>1.35</v>
      </c>
      <c r="BS115" s="26">
        <f t="shared" si="43"/>
        <v>0.87863408</v>
      </c>
      <c r="BT115" s="26">
        <f t="shared" si="44"/>
        <v>0.01567581</v>
      </c>
      <c r="BU115" s="26">
        <f>IF(VLOOKUP($Q115,武学奇术!$A:$ZZ,22,FALSE)=1,0,(1-$BN115))*(1-$BQ115)</f>
        <v>0.01279011</v>
      </c>
      <c r="BV115" s="26" cm="1">
        <f t="array" ref="BV115">SUM(_xlfn.XLOOKUP($R115:$AK115,增益!$A:$A,增益!$W:$W,0))+$I$5</f>
        <v>0.31</v>
      </c>
    </row>
    <row r="116" spans="11:74">
      <c r="K116" s="38">
        <f t="shared" si="46"/>
        <v>17259.5912884697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17608.5250008183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16124.2482859354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10736.9054883038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9529.92335739626</v>
      </c>
      <c r="P116" s="39">
        <f t="shared" si="45"/>
        <v>1</v>
      </c>
      <c r="Q116" s="40" t="s">
        <v>180</v>
      </c>
      <c r="R116" s="40" t="s">
        <v>100</v>
      </c>
      <c r="S116" s="40" t="s">
        <v>158</v>
      </c>
      <c r="T116" s="40" t="s">
        <v>97</v>
      </c>
      <c r="U116" s="40" t="s">
        <v>80</v>
      </c>
      <c r="V116" s="40" t="s">
        <v>73</v>
      </c>
      <c r="W116" s="40" t="s">
        <v>80</v>
      </c>
      <c r="X116" s="40" t="s">
        <v>87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81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82</v>
      </c>
      <c r="AL116" t="str">
        <f>VLOOKUP($Q116,武学奇术!$A:$ZZ,25,FALSE)</f>
        <v>心法</v>
      </c>
      <c r="AM116" s="26">
        <f>VLOOKUP($Q116,武学奇术!$A:$ZZ,26,FALSE)</f>
        <v>1</v>
      </c>
      <c r="AN116" s="27">
        <f>VLOOKUP($Q116,武学奇术!$A:$ZZ,27,FALSE)*(1+IF(OR($AL116=$F$4,$AL116=$F$5),$B$22,0))</f>
        <v>0</v>
      </c>
      <c r="AO116" s="26">
        <f>VLOOKUP($Q116,武学奇术!$A:$ZZ,28,FALSE)</f>
        <v>1</v>
      </c>
      <c r="AP116" s="27">
        <f>VLOOKUP($Q116,武学奇术!$A:$ZZ,29,FALSE)*(1+IF(OR($AL116=$F$4,$AL116=$F$5),$B$22,0))</f>
        <v>0</v>
      </c>
      <c r="AQ116" s="26" cm="1">
        <f t="array" ref="AQ116">$G$3+IFERROR(VLOOKUP($AL116,$F$4:$G$7,2,FALSE),0)+VLOOKUP($Q116,武学奇术!$A:$ZZ,2,FALSE)+SUM(_xlfn.XLOOKUP($R116:$AK116,增益!$A:$A,增益!$B:$B,0))</f>
        <v>0.2337</v>
      </c>
      <c r="AR116" s="26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3673.1</v>
      </c>
      <c r="AT116" cm="1">
        <f t="array" ref="AT116">$E$10*(1+$AR116)+VLOOKUP($Q116,武学奇术!$A:$ZZ,4,FALSE)+SUM(_xlfn.XLOOKUP($R116:$AK116,增益!$A:$A,增益!$D:$D,0))-$I$2</f>
        <v>3673.1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0.357</v>
      </c>
      <c r="AV116" s="32" cm="1">
        <f t="array" ref="AV116">$G$10+VLOOKUP($Q116,武学奇术!$A:$ZZ,7,FALSE)+SUM(_xlfn.XLOOKUP($R116:$AK116,增益!$A:$A,增益!$G:$G,0))</f>
        <v>0.205</v>
      </c>
      <c r="AW116" s="26" cm="1">
        <f t="array" ref="AW116">VLOOKUP($Q116,武学奇术!$A:$ZZ,8,FALSE)+SUM(_xlfn.XLOOKUP($R116:$AK116,增益!$A:$A,增益!$H:$H,0))</f>
        <v>0.12</v>
      </c>
      <c r="AX116">
        <f t="shared" si="35"/>
        <v>0</v>
      </c>
      <c r="AY116">
        <f t="shared" si="36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2" cm="1">
        <f t="array" ref="BA116">$G$11+VLOOKUP($Q116,武学奇术!$A:$ZZ,10,FALSE)+SUM(_xlfn.XLOOKUP($R116:$AK116,增益!$A:$A,增益!$J:$J,0))</f>
        <v>0.06</v>
      </c>
      <c r="BB116">
        <f t="shared" si="37"/>
        <v>0</v>
      </c>
      <c r="BC116">
        <f t="shared" si="38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2" cm="1">
        <f t="array" ref="BE116">$G$12+VLOOKUP($Q116,武学奇术!$A:$ZZ,12,FALSE)+SUM(_xlfn.XLOOKUP($R116:$AK116,增益!$A:$A,增益!$L:$L,0))</f>
        <v>0.06</v>
      </c>
      <c r="BF116">
        <f t="shared" si="39"/>
        <v>639.744</v>
      </c>
      <c r="BG116">
        <f t="shared" si="40"/>
        <v>1823.136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2" cm="1">
        <f t="array" ref="BI116">$G$13+VLOOKUP($Q116,武学奇术!$A:$ZZ,14,FALSE)+SUM(_xlfn.XLOOKUP($R116:$AK116,增益!$A:$A,增益!$N:$N,0))</f>
        <v>0.33</v>
      </c>
      <c r="BJ116">
        <f t="shared" si="41"/>
        <v>0</v>
      </c>
      <c r="BK116">
        <f t="shared" si="42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2" cm="1">
        <f t="array" ref="BM116">$G$14+VLOOKUP($Q116,武学奇术!$A:$ZZ,16,FALSE)+SUM(_xlfn.XLOOKUP($R116:$AK116,增益!$A:$A,增益!$P:$P,0))</f>
        <v>0.06</v>
      </c>
      <c r="BN116" s="26">
        <f>MIN(IF(VLOOKUP($Q116,武学奇术!$A:$ZZ,23,FALSE)=1,100%,$B$8),100%)</f>
        <v>0.9859</v>
      </c>
      <c r="BO116" s="26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6" cm="1">
        <f t="array" ref="BP116">1+$B$13+VLOOKUP($Q116,武学奇术!$A:$ZZ,18,FALSE)+SUM(_xlfn.XLOOKUP($R116:$AK116,增益!$A:$A,增益!$R:$R,0))</f>
        <v>1.64</v>
      </c>
      <c r="BQ116" s="26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6" cm="1">
        <f t="array" ref="BR116">1+$B$14+VLOOKUP($Q116,武学奇术!$A:$ZZ,20,FALSE)+SUM(_xlfn.XLOOKUP($R116:$AK116,增益!$A:$A,增益!$T:$T,0))</f>
        <v>1.35</v>
      </c>
      <c r="BS116" s="26">
        <f t="shared" si="43"/>
        <v>0.87863408</v>
      </c>
      <c r="BT116" s="26">
        <f t="shared" si="44"/>
        <v>0.01567581</v>
      </c>
      <c r="BU116" s="26">
        <f>IF(VLOOKUP($Q116,武学奇术!$A:$ZZ,22,FALSE)=1,0,(1-$BN116))*(1-$BQ116)</f>
        <v>0.01279011</v>
      </c>
      <c r="BV116" s="26" cm="1">
        <f t="array" ref="BV116">SUM(_xlfn.XLOOKUP($R116:$AK116,增益!$A:$A,增益!$W:$W,0))+$I$5</f>
        <v>0.11</v>
      </c>
    </row>
    <row r="117" spans="11:74">
      <c r="K117" s="38">
        <f t="shared" si="46"/>
        <v>20201.3266273731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20626.0694185751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18695.493204227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12576.8715966921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11305.2297087716</v>
      </c>
      <c r="P117" s="39">
        <f t="shared" si="45"/>
        <v>1</v>
      </c>
      <c r="Q117" s="40" t="s">
        <v>180</v>
      </c>
      <c r="R117" s="40" t="s">
        <v>100</v>
      </c>
      <c r="S117" s="40" t="s">
        <v>158</v>
      </c>
      <c r="T117" s="40" t="s">
        <v>78</v>
      </c>
      <c r="U117" s="40" t="s">
        <v>80</v>
      </c>
      <c r="V117" s="40" t="s">
        <v>73</v>
      </c>
      <c r="W117" s="40" t="s">
        <v>80</v>
      </c>
      <c r="X117" s="40" t="s">
        <v>87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81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82</v>
      </c>
      <c r="AL117" t="str">
        <f>VLOOKUP($Q117,武学奇术!$A:$ZZ,25,FALSE)</f>
        <v>心法</v>
      </c>
      <c r="AM117" s="26">
        <f>VLOOKUP($Q117,武学奇术!$A:$ZZ,26,FALSE)</f>
        <v>1</v>
      </c>
      <c r="AN117" s="27">
        <f>VLOOKUP($Q117,武学奇术!$A:$ZZ,27,FALSE)*(1+IF(OR($AL117=$F$4,$AL117=$F$5),$B$22,0))</f>
        <v>0</v>
      </c>
      <c r="AO117" s="26">
        <f>VLOOKUP($Q117,武学奇术!$A:$ZZ,28,FALSE)</f>
        <v>1</v>
      </c>
      <c r="AP117" s="27">
        <f>VLOOKUP($Q117,武学奇术!$A:$ZZ,29,FALSE)*(1+IF(OR($AL117=$F$4,$AL117=$F$5),$B$22,0))</f>
        <v>0</v>
      </c>
      <c r="AQ117" s="26" cm="1">
        <f t="array" ref="AQ117">$G$3+IFERROR(VLOOKUP($AL117,$F$4:$G$7,2,FALSE),0)+VLOOKUP($Q117,武学奇术!$A:$ZZ,2,FALSE)+SUM(_xlfn.XLOOKUP($R117:$AK117,增益!$A:$A,增益!$B:$B,0))</f>
        <v>0.2337</v>
      </c>
      <c r="AR117" s="26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4434.698</v>
      </c>
      <c r="AT117" cm="1">
        <f t="array" ref="AT117">$E$10*(1+$AR117)+VLOOKUP($Q117,武学奇术!$A:$ZZ,4,FALSE)+SUM(_xlfn.XLOOKUP($R117:$AK117,增益!$A:$A,增益!$D:$D,0))-$I$2</f>
        <v>4434.698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0.357</v>
      </c>
      <c r="AV117" s="32" cm="1">
        <f t="array" ref="AV117">$G$10+VLOOKUP($Q117,武学奇术!$A:$ZZ,7,FALSE)+SUM(_xlfn.XLOOKUP($R117:$AK117,增益!$A:$A,增益!$G:$G,0))</f>
        <v>0.205</v>
      </c>
      <c r="AW117" s="26" cm="1">
        <f t="array" ref="AW117">VLOOKUP($Q117,武学奇术!$A:$ZZ,8,FALSE)+SUM(_xlfn.XLOOKUP($R117:$AK117,增益!$A:$A,增益!$H:$H,0))</f>
        <v>0.18</v>
      </c>
      <c r="AX117">
        <f t="shared" si="35"/>
        <v>0</v>
      </c>
      <c r="AY117">
        <f t="shared" si="36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2" cm="1">
        <f t="array" ref="BA117">$G$11+VLOOKUP($Q117,武学奇术!$A:$ZZ,10,FALSE)+SUM(_xlfn.XLOOKUP($R117:$AK117,增益!$A:$A,增益!$J:$J,0))</f>
        <v>0.06</v>
      </c>
      <c r="BB117">
        <f t="shared" si="37"/>
        <v>0</v>
      </c>
      <c r="BC117">
        <f t="shared" si="38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2" cm="1">
        <f t="array" ref="BE117">$G$12+VLOOKUP($Q117,武学奇术!$A:$ZZ,12,FALSE)+SUM(_xlfn.XLOOKUP($R117:$AK117,增益!$A:$A,增益!$L:$L,0))</f>
        <v>0.06</v>
      </c>
      <c r="BF117">
        <f t="shared" si="39"/>
        <v>674.016</v>
      </c>
      <c r="BG117">
        <f t="shared" si="40"/>
        <v>1920.804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2" cm="1">
        <f t="array" ref="BI117">$G$13+VLOOKUP($Q117,武学奇术!$A:$ZZ,14,FALSE)+SUM(_xlfn.XLOOKUP($R117:$AK117,增益!$A:$A,增益!$N:$N,0))</f>
        <v>0.33</v>
      </c>
      <c r="BJ117">
        <f t="shared" si="41"/>
        <v>0</v>
      </c>
      <c r="BK117">
        <f t="shared" si="42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2" cm="1">
        <f t="array" ref="BM117">$G$14+VLOOKUP($Q117,武学奇术!$A:$ZZ,16,FALSE)+SUM(_xlfn.XLOOKUP($R117:$AK117,增益!$A:$A,增益!$P:$P,0))</f>
        <v>0.06</v>
      </c>
      <c r="BN117" s="26">
        <f>MIN(IF(VLOOKUP($Q117,武学奇术!$A:$ZZ,23,FALSE)=1,100%,$B$8),100%)</f>
        <v>0.9859</v>
      </c>
      <c r="BO117" s="26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6" cm="1">
        <f t="array" ref="BP117">1+$B$13+VLOOKUP($Q117,武学奇术!$A:$ZZ,18,FALSE)+SUM(_xlfn.XLOOKUP($R117:$AK117,增益!$A:$A,增益!$R:$R,0))</f>
        <v>1.64</v>
      </c>
      <c r="BQ117" s="26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6" cm="1">
        <f t="array" ref="BR117">1+$B$14+VLOOKUP($Q117,武学奇术!$A:$ZZ,20,FALSE)+SUM(_xlfn.XLOOKUP($R117:$AK117,增益!$A:$A,增益!$T:$T,0))</f>
        <v>1.35</v>
      </c>
      <c r="BS117" s="26">
        <f t="shared" si="43"/>
        <v>0.87863408</v>
      </c>
      <c r="BT117" s="26">
        <f t="shared" si="44"/>
        <v>0.01567581</v>
      </c>
      <c r="BU117" s="26">
        <f>IF(VLOOKUP($Q117,武学奇术!$A:$ZZ,22,FALSE)=1,0,(1-$BN117))*(1-$BQ117)</f>
        <v>0.01279011</v>
      </c>
      <c r="BV117" s="26" cm="1">
        <f t="array" ref="BV117">SUM(_xlfn.XLOOKUP($R117:$AK117,增益!$A:$A,增益!$W:$W,0))+$I$5</f>
        <v>0.11</v>
      </c>
    </row>
    <row r="118" spans="11:74">
      <c r="K118" s="38">
        <f t="shared" si="46"/>
        <v>20201.3266273731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20626.0694185751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18695.493204227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12576.8715966921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11305.2297087716</v>
      </c>
      <c r="P118" s="39">
        <f t="shared" si="45"/>
        <v>1</v>
      </c>
      <c r="Q118" s="40" t="s">
        <v>180</v>
      </c>
      <c r="R118" s="40" t="s">
        <v>100</v>
      </c>
      <c r="S118" s="40" t="s">
        <v>158</v>
      </c>
      <c r="T118" s="40" t="s">
        <v>78</v>
      </c>
      <c r="U118" s="40" t="s">
        <v>80</v>
      </c>
      <c r="V118" s="40" t="s">
        <v>73</v>
      </c>
      <c r="W118" s="40" t="s">
        <v>80</v>
      </c>
      <c r="X118" s="40" t="s">
        <v>87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81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82</v>
      </c>
      <c r="AL118" t="str">
        <f>VLOOKUP($Q118,武学奇术!$A:$ZZ,25,FALSE)</f>
        <v>心法</v>
      </c>
      <c r="AM118" s="26">
        <f>VLOOKUP($Q118,武学奇术!$A:$ZZ,26,FALSE)</f>
        <v>1</v>
      </c>
      <c r="AN118" s="27">
        <f>VLOOKUP($Q118,武学奇术!$A:$ZZ,27,FALSE)*(1+IF(OR($AL118=$F$4,$AL118=$F$5),$B$22,0))</f>
        <v>0</v>
      </c>
      <c r="AO118" s="26">
        <f>VLOOKUP($Q118,武学奇术!$A:$ZZ,28,FALSE)</f>
        <v>1</v>
      </c>
      <c r="AP118" s="27">
        <f>VLOOKUP($Q118,武学奇术!$A:$ZZ,29,FALSE)*(1+IF(OR($AL118=$F$4,$AL118=$F$5),$B$22,0))</f>
        <v>0</v>
      </c>
      <c r="AQ118" s="26" cm="1">
        <f t="array" ref="AQ118">$G$3+IFERROR(VLOOKUP($AL118,$F$4:$G$7,2,FALSE),0)+VLOOKUP($Q118,武学奇术!$A:$ZZ,2,FALSE)+SUM(_xlfn.XLOOKUP($R118:$AK118,增益!$A:$A,增益!$B:$B,0))</f>
        <v>0.2337</v>
      </c>
      <c r="AR118" s="26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4434.698</v>
      </c>
      <c r="AT118" cm="1">
        <f t="array" ref="AT118">$E$10*(1+$AR118)+VLOOKUP($Q118,武学奇术!$A:$ZZ,4,FALSE)+SUM(_xlfn.XLOOKUP($R118:$AK118,增益!$A:$A,增益!$D:$D,0))-$I$2</f>
        <v>4434.698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0.357</v>
      </c>
      <c r="AV118" s="32" cm="1">
        <f t="array" ref="AV118">$G$10+VLOOKUP($Q118,武学奇术!$A:$ZZ,7,FALSE)+SUM(_xlfn.XLOOKUP($R118:$AK118,增益!$A:$A,增益!$G:$G,0))</f>
        <v>0.205</v>
      </c>
      <c r="AW118" s="26" cm="1">
        <f t="array" ref="AW118">VLOOKUP($Q118,武学奇术!$A:$ZZ,8,FALSE)+SUM(_xlfn.XLOOKUP($R118:$AK118,增益!$A:$A,增益!$H:$H,0))</f>
        <v>0.18</v>
      </c>
      <c r="AX118">
        <f t="shared" si="35"/>
        <v>0</v>
      </c>
      <c r="AY118">
        <f t="shared" si="36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2" cm="1">
        <f t="array" ref="BA118">$G$11+VLOOKUP($Q118,武学奇术!$A:$ZZ,10,FALSE)+SUM(_xlfn.XLOOKUP($R118:$AK118,增益!$A:$A,增益!$J:$J,0))</f>
        <v>0.06</v>
      </c>
      <c r="BB118">
        <f t="shared" si="37"/>
        <v>0</v>
      </c>
      <c r="BC118">
        <f t="shared" si="38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2" cm="1">
        <f t="array" ref="BE118">$G$12+VLOOKUP($Q118,武学奇术!$A:$ZZ,12,FALSE)+SUM(_xlfn.XLOOKUP($R118:$AK118,增益!$A:$A,增益!$L:$L,0))</f>
        <v>0.06</v>
      </c>
      <c r="BF118">
        <f t="shared" si="39"/>
        <v>674.016</v>
      </c>
      <c r="BG118">
        <f t="shared" si="40"/>
        <v>1920.804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2" cm="1">
        <f t="array" ref="BI118">$G$13+VLOOKUP($Q118,武学奇术!$A:$ZZ,14,FALSE)+SUM(_xlfn.XLOOKUP($R118:$AK118,增益!$A:$A,增益!$N:$N,0))</f>
        <v>0.33</v>
      </c>
      <c r="BJ118">
        <f t="shared" si="41"/>
        <v>0</v>
      </c>
      <c r="BK118">
        <f t="shared" si="42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2" cm="1">
        <f t="array" ref="BM118">$G$14+VLOOKUP($Q118,武学奇术!$A:$ZZ,16,FALSE)+SUM(_xlfn.XLOOKUP($R118:$AK118,增益!$A:$A,增益!$P:$P,0))</f>
        <v>0.06</v>
      </c>
      <c r="BN118" s="26">
        <f>MIN(IF(VLOOKUP($Q118,武学奇术!$A:$ZZ,23,FALSE)=1,100%,$B$8),100%)</f>
        <v>0.9859</v>
      </c>
      <c r="BO118" s="26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6" cm="1">
        <f t="array" ref="BP118">1+$B$13+VLOOKUP($Q118,武学奇术!$A:$ZZ,18,FALSE)+SUM(_xlfn.XLOOKUP($R118:$AK118,增益!$A:$A,增益!$R:$R,0))</f>
        <v>1.64</v>
      </c>
      <c r="BQ118" s="26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6" cm="1">
        <f t="array" ref="BR118">1+$B$14+VLOOKUP($Q118,武学奇术!$A:$ZZ,20,FALSE)+SUM(_xlfn.XLOOKUP($R118:$AK118,增益!$A:$A,增益!$T:$T,0))</f>
        <v>1.35</v>
      </c>
      <c r="BS118" s="26">
        <f t="shared" si="43"/>
        <v>0.87863408</v>
      </c>
      <c r="BT118" s="26">
        <f t="shared" si="44"/>
        <v>0.01567581</v>
      </c>
      <c r="BU118" s="26">
        <f>IF(VLOOKUP($Q118,武学奇术!$A:$ZZ,22,FALSE)=1,0,(1-$BN118))*(1-$BQ118)</f>
        <v>0.01279011</v>
      </c>
      <c r="BV118" s="26" cm="1">
        <f t="array" ref="BV118">SUM(_xlfn.XLOOKUP($R118:$AK118,增益!$A:$A,增益!$W:$W,0))+$I$5</f>
        <v>0.11</v>
      </c>
    </row>
    <row r="119" spans="11:74">
      <c r="K119" s="38">
        <f t="shared" si="46"/>
        <v>16963.7242980124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17314.2649701526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15765.6344785568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10557.4786403369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9436.70951877989</v>
      </c>
      <c r="P119" s="39">
        <f t="shared" si="45"/>
        <v>1</v>
      </c>
      <c r="Q119" s="40" t="s">
        <v>180</v>
      </c>
      <c r="R119" s="40" t="s">
        <v>100</v>
      </c>
      <c r="S119" s="40" t="s">
        <v>158</v>
      </c>
      <c r="T119" s="40" t="s">
        <v>97</v>
      </c>
      <c r="U119" s="40" t="s">
        <v>80</v>
      </c>
      <c r="V119" s="40" t="s">
        <v>73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81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82</v>
      </c>
      <c r="AL119" t="str">
        <f>VLOOKUP($Q119,武学奇术!$A:$ZZ,25,FALSE)</f>
        <v>心法</v>
      </c>
      <c r="AM119" s="26">
        <f>VLOOKUP($Q119,武学奇术!$A:$ZZ,26,FALSE)</f>
        <v>1</v>
      </c>
      <c r="AN119" s="27">
        <f>VLOOKUP($Q119,武学奇术!$A:$ZZ,27,FALSE)*(1+IF(OR($AL119=$F$4,$AL119=$F$5),$B$22,0))</f>
        <v>0</v>
      </c>
      <c r="AO119" s="26">
        <f>VLOOKUP($Q119,武学奇术!$A:$ZZ,28,FALSE)</f>
        <v>1</v>
      </c>
      <c r="AP119" s="27">
        <f>VLOOKUP($Q119,武学奇术!$A:$ZZ,29,FALSE)*(1+IF(OR($AL119=$F$4,$AL119=$F$5),$B$22,0))</f>
        <v>0</v>
      </c>
      <c r="AQ119" s="26" cm="1">
        <f t="array" ref="AQ119">$G$3+IFERROR(VLOOKUP($AL119,$F$4:$G$7,2,FALSE),0)+VLOOKUP($Q119,武学奇术!$A:$ZZ,2,FALSE)+SUM(_xlfn.XLOOKUP($R119:$AK119,增益!$A:$A,增益!$B:$B,0))</f>
        <v>0.2337</v>
      </c>
      <c r="AR119" s="26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3673.1</v>
      </c>
      <c r="AT119" cm="1">
        <f t="array" ref="AT119">$E$10*(1+$AR119)+VLOOKUP($Q119,武学奇术!$A:$ZZ,4,FALSE)+SUM(_xlfn.XLOOKUP($R119:$AK119,增益!$A:$A,增益!$D:$D,0))-$I$2</f>
        <v>3673.1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0.357</v>
      </c>
      <c r="AV119" s="32" cm="1">
        <f t="array" ref="AV119">$G$10+VLOOKUP($Q119,武学奇术!$A:$ZZ,7,FALSE)+SUM(_xlfn.XLOOKUP($R119:$AK119,增益!$A:$A,增益!$G:$G,0))</f>
        <v>0.205</v>
      </c>
      <c r="AW119" s="26" cm="1">
        <f t="array" ref="AW119">VLOOKUP($Q119,武学奇术!$A:$ZZ,8,FALSE)+SUM(_xlfn.XLOOKUP($R119:$AK119,增益!$A:$A,增益!$H:$H,0))</f>
        <v>0.12</v>
      </c>
      <c r="AX119">
        <f t="shared" si="35"/>
        <v>0</v>
      </c>
      <c r="AY119">
        <f t="shared" si="36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2" cm="1">
        <f t="array" ref="BA119">$G$11+VLOOKUP($Q119,武学奇术!$A:$ZZ,10,FALSE)+SUM(_xlfn.XLOOKUP($R119:$AK119,增益!$A:$A,增益!$J:$J,0))</f>
        <v>0.06</v>
      </c>
      <c r="BB119">
        <f t="shared" si="37"/>
        <v>0</v>
      </c>
      <c r="BC119">
        <f t="shared" si="38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2" cm="1">
        <f t="array" ref="BE119">$G$12+VLOOKUP($Q119,武学奇术!$A:$ZZ,12,FALSE)+SUM(_xlfn.XLOOKUP($R119:$AK119,增益!$A:$A,增益!$L:$L,0))</f>
        <v>0.06</v>
      </c>
      <c r="BF119">
        <f t="shared" si="39"/>
        <v>639.744</v>
      </c>
      <c r="BG119">
        <f t="shared" si="40"/>
        <v>1823.136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2" cm="1">
        <f t="array" ref="BI119">$G$13+VLOOKUP($Q119,武学奇术!$A:$ZZ,14,FALSE)+SUM(_xlfn.XLOOKUP($R119:$AK119,增益!$A:$A,增益!$N:$N,0))</f>
        <v>0.33</v>
      </c>
      <c r="BJ119">
        <f t="shared" si="41"/>
        <v>0</v>
      </c>
      <c r="BK119">
        <f t="shared" si="42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2" cm="1">
        <f t="array" ref="BM119">$G$14+VLOOKUP($Q119,武学奇术!$A:$ZZ,16,FALSE)+SUM(_xlfn.XLOOKUP($R119:$AK119,增益!$A:$A,增益!$P:$P,0))</f>
        <v>0.06</v>
      </c>
      <c r="BN119" s="26">
        <f>MIN(IF(VLOOKUP($Q119,武学奇术!$A:$ZZ,23,FALSE)=1,100%,$B$8),100%)</f>
        <v>0.9859</v>
      </c>
      <c r="BO119" s="26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6" cm="1">
        <f t="array" ref="BP119">1+$B$13+VLOOKUP($Q119,武学奇术!$A:$ZZ,18,FALSE)+SUM(_xlfn.XLOOKUP($R119:$AK119,增益!$A:$A,增益!$R:$R,0))</f>
        <v>1.64</v>
      </c>
      <c r="BQ119" s="26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6" cm="1">
        <f t="array" ref="BR119">1+$B$14+VLOOKUP($Q119,武学奇术!$A:$ZZ,20,FALSE)+SUM(_xlfn.XLOOKUP($R119:$AK119,增益!$A:$A,增益!$T:$T,0))</f>
        <v>1.35</v>
      </c>
      <c r="BS119" s="26">
        <f t="shared" si="43"/>
        <v>0.87863408</v>
      </c>
      <c r="BT119" s="26">
        <f t="shared" si="44"/>
        <v>0.01567581</v>
      </c>
      <c r="BU119" s="26">
        <f>IF(VLOOKUP($Q119,武学奇术!$A:$ZZ,22,FALSE)=1,0,(1-$BN119))*(1-$BQ119)</f>
        <v>0.01279011</v>
      </c>
      <c r="BV119" s="26" cm="1">
        <f t="array" ref="BV119">SUM(_xlfn.XLOOKUP($R119:$AK119,增益!$A:$A,增益!$W:$W,0))+$I$5</f>
        <v>0.11</v>
      </c>
    </row>
    <row r="120" spans="11:74">
      <c r="K120" s="38">
        <f t="shared" si="46"/>
        <v>26256.8255165057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26808.8881391095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24299.6072516966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16346.8830116521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14694.0569479735</v>
      </c>
      <c r="P120" s="39">
        <f t="shared" si="45"/>
        <v>1</v>
      </c>
      <c r="Q120" s="40" t="s">
        <v>180</v>
      </c>
      <c r="R120" s="40" t="s">
        <v>100</v>
      </c>
      <c r="S120" s="40" t="s">
        <v>158</v>
      </c>
      <c r="T120" s="40" t="s">
        <v>78</v>
      </c>
      <c r="U120" s="40" t="s">
        <v>79</v>
      </c>
      <c r="V120" s="40" t="s">
        <v>73</v>
      </c>
      <c r="W120" s="40" t="s">
        <v>80</v>
      </c>
      <c r="X120" s="40" t="s">
        <v>87</v>
      </c>
      <c r="Y120" s="40" t="s">
        <v>169</v>
      </c>
      <c r="Z120" s="40" t="s">
        <v>170</v>
      </c>
      <c r="AA120" s="40" t="s">
        <v>171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81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82</v>
      </c>
      <c r="AL120" t="str">
        <f>VLOOKUP($Q120,武学奇术!$A:$ZZ,25,FALSE)</f>
        <v>心法</v>
      </c>
      <c r="AM120" s="26">
        <f>VLOOKUP($Q120,武学奇术!$A:$ZZ,26,FALSE)</f>
        <v>1</v>
      </c>
      <c r="AN120" s="27">
        <f>VLOOKUP($Q120,武学奇术!$A:$ZZ,27,FALSE)*(1+IF(OR($AL120=$F$4,$AL120=$F$5),$B$22,0))</f>
        <v>0</v>
      </c>
      <c r="AO120" s="26">
        <f>VLOOKUP($Q120,武学奇术!$A:$ZZ,28,FALSE)</f>
        <v>1</v>
      </c>
      <c r="AP120" s="27">
        <f>VLOOKUP($Q120,武学奇术!$A:$ZZ,29,FALSE)*(1+IF(OR($AL120=$F$4,$AL120=$F$5),$B$22,0))</f>
        <v>0</v>
      </c>
      <c r="AQ120" s="26" cm="1">
        <f t="array" ref="AQ120">$G$3+IFERROR(VLOOKUP($AL120,$F$4:$G$7,2,FALSE),0)+VLOOKUP($Q120,武学奇术!$A:$ZZ,2,FALSE)+SUM(_xlfn.XLOOKUP($R120:$AK120,增益!$A:$A,增益!$B:$B,0))</f>
        <v>0.3587</v>
      </c>
      <c r="AR120" s="26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4434.698</v>
      </c>
      <c r="AT120" cm="1">
        <f t="array" ref="AT120">$E$10*(1+$AR120)+VLOOKUP($Q120,武学奇术!$A:$ZZ,4,FALSE)+SUM(_xlfn.XLOOKUP($R120:$AK120,增益!$A:$A,增益!$D:$D,0))-$I$2</f>
        <v>4434.698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0.357</v>
      </c>
      <c r="AV120" s="32" cm="1">
        <f t="array" ref="AV120">$G$10+VLOOKUP($Q120,武学奇术!$A:$ZZ,7,FALSE)+SUM(_xlfn.XLOOKUP($R120:$AK120,增益!$A:$A,增益!$G:$G,0))</f>
        <v>0.205</v>
      </c>
      <c r="AW120" s="26" cm="1">
        <f t="array" ref="AW120">VLOOKUP($Q120,武学奇术!$A:$ZZ,8,FALSE)+SUM(_xlfn.XLOOKUP($R120:$AK120,增益!$A:$A,增益!$H:$H,0))</f>
        <v>0.18</v>
      </c>
      <c r="AX120">
        <f t="shared" si="35"/>
        <v>0</v>
      </c>
      <c r="AY120">
        <f t="shared" si="36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2" cm="1">
        <f t="array" ref="BA120">$G$11+VLOOKUP($Q120,武学奇术!$A:$ZZ,10,FALSE)+SUM(_xlfn.XLOOKUP($R120:$AK120,增益!$A:$A,增益!$J:$J,0))</f>
        <v>0.16</v>
      </c>
      <c r="BB120">
        <f t="shared" si="37"/>
        <v>0</v>
      </c>
      <c r="BC120">
        <f t="shared" si="38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2" cm="1">
        <f t="array" ref="BE120">$G$12+VLOOKUP($Q120,武学奇术!$A:$ZZ,12,FALSE)+SUM(_xlfn.XLOOKUP($R120:$AK120,增益!$A:$A,增益!$L:$L,0))</f>
        <v>0.06</v>
      </c>
      <c r="BF120">
        <f t="shared" si="39"/>
        <v>674.016</v>
      </c>
      <c r="BG120">
        <f t="shared" si="40"/>
        <v>1920.804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2" cm="1">
        <f t="array" ref="BI120">$G$13+VLOOKUP($Q120,武学奇术!$A:$ZZ,14,FALSE)+SUM(_xlfn.XLOOKUP($R120:$AK120,增益!$A:$A,增益!$N:$N,0))</f>
        <v>0.33</v>
      </c>
      <c r="BJ120">
        <f t="shared" si="41"/>
        <v>0</v>
      </c>
      <c r="BK120">
        <f t="shared" si="42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2" cm="1">
        <f t="array" ref="BM120">$G$14+VLOOKUP($Q120,武学奇术!$A:$ZZ,16,FALSE)+SUM(_xlfn.XLOOKUP($R120:$AK120,增益!$A:$A,增益!$P:$P,0))</f>
        <v>0.06</v>
      </c>
      <c r="BN120" s="26">
        <f>MIN(IF(VLOOKUP($Q120,武学奇术!$A:$ZZ,23,FALSE)=1,100%,$B$8),100%)</f>
        <v>0.9859</v>
      </c>
      <c r="BO120" s="26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6" cm="1">
        <f t="array" ref="BP120">1+$B$13+VLOOKUP($Q120,武学奇术!$A:$ZZ,18,FALSE)+SUM(_xlfn.XLOOKUP($R120:$AK120,增益!$A:$A,增益!$R:$R,0))</f>
        <v>1.64</v>
      </c>
      <c r="BQ120" s="26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6" cm="1">
        <f t="array" ref="BR120">1+$B$14+VLOOKUP($Q120,武学奇术!$A:$ZZ,20,FALSE)+SUM(_xlfn.XLOOKUP($R120:$AK120,增益!$A:$A,增益!$T:$T,0))</f>
        <v>1.35</v>
      </c>
      <c r="BS120" s="26">
        <f t="shared" si="43"/>
        <v>0.87863408</v>
      </c>
      <c r="BT120" s="26">
        <f t="shared" si="44"/>
        <v>0.01567581</v>
      </c>
      <c r="BU120" s="26">
        <f>IF(VLOOKUP($Q120,武学奇术!$A:$ZZ,22,FALSE)=1,0,(1-$BN120))*(1-$BQ120)</f>
        <v>0.01279011</v>
      </c>
      <c r="BV120" s="26" cm="1">
        <f t="array" ref="BV120">SUM(_xlfn.XLOOKUP($R120:$AK120,增益!$A:$A,增益!$W:$W,0))+$I$5</f>
        <v>0.31</v>
      </c>
    </row>
    <row r="121" spans="11:74">
      <c r="K121" s="38">
        <f t="shared" si="46"/>
        <v>0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9">
        <f t="shared" si="45"/>
        <v>1</v>
      </c>
      <c r="Q121" s="40" t="s">
        <v>80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81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82</v>
      </c>
      <c r="AL121" t="str">
        <f>VLOOKUP($Q121,武学奇术!$A:$ZZ,25,FALSE)</f>
        <v>心法</v>
      </c>
      <c r="AM121" s="26">
        <f>VLOOKUP($Q121,武学奇术!$A:$ZZ,26,FALSE)</f>
        <v>0</v>
      </c>
      <c r="AN121" s="27">
        <f>VLOOKUP($Q121,武学奇术!$A:$ZZ,27,FALSE)*(1+IF(OR($AL121=$F$4,$AL121=$F$5),$B$22,0))</f>
        <v>0</v>
      </c>
      <c r="AO121" s="26">
        <f>VLOOKUP($Q121,武学奇术!$A:$ZZ,28,FALSE)</f>
        <v>0</v>
      </c>
      <c r="AP121" s="27">
        <f>VLOOKUP($Q121,武学奇术!$A:$ZZ,29,FALSE)*(1+IF(OR($AL121=$F$4,$AL121=$F$5),$B$22,0))</f>
        <v>0</v>
      </c>
      <c r="AQ121" s="26" cm="1">
        <f t="array" ref="AQ121">$G$3+IFERROR(VLOOKUP($AL121,$F$4:$G$7,2,FALSE),0)+VLOOKUP($Q121,武学奇术!$A:$ZZ,2,FALSE)+SUM(_xlfn.XLOOKUP($R121:$AK121,增益!$A:$A,增益!$B:$B,0))</f>
        <v>0.1837</v>
      </c>
      <c r="AR121" s="26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3673.1</v>
      </c>
      <c r="AT121" cm="1">
        <f t="array" ref="AT121">$E$10*(1+$AR121)+VLOOKUP($Q121,武学奇术!$A:$ZZ,4,FALSE)+SUM(_xlfn.XLOOKUP($R121:$AK121,增益!$A:$A,增益!$D:$D,0))-$I$2</f>
        <v>3673.1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0.267</v>
      </c>
      <c r="AV121" s="32" cm="1">
        <f t="array" ref="AV121">$G$10+VLOOKUP($Q121,武学奇术!$A:$ZZ,7,FALSE)+SUM(_xlfn.XLOOKUP($R121:$AK121,增益!$A:$A,增益!$G:$G,0))</f>
        <v>0.025</v>
      </c>
      <c r="AW121" s="26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37"/>
        <v>0</v>
      </c>
      <c r="BC121">
        <f t="shared" si="38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39"/>
        <v>571.2</v>
      </c>
      <c r="BG121">
        <f t="shared" si="40"/>
        <v>1627.8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41"/>
        <v>0</v>
      </c>
      <c r="BK121">
        <f t="shared" si="42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6">
        <f>MIN(IF(VLOOKUP($Q121,武学奇术!$A:$ZZ,23,FALSE)=1,100%,$B$8),100%)</f>
        <v>0.9859</v>
      </c>
      <c r="BO121" s="26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6" cm="1">
        <f t="array" ref="BP121">1+$B$13+VLOOKUP($Q121,武学奇术!$A:$ZZ,18,FALSE)+SUM(_xlfn.XLOOKUP($R121:$AK121,增益!$A:$A,增益!$R:$R,0))</f>
        <v>1.54</v>
      </c>
      <c r="BQ121" s="26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6" cm="1">
        <f t="array" ref="BR121">1+$B$14+VLOOKUP($Q121,武学奇术!$A:$ZZ,20,FALSE)+SUM(_xlfn.XLOOKUP($R121:$AK121,增益!$A:$A,增益!$T:$T,0))</f>
        <v>1.35</v>
      </c>
      <c r="BS121" s="26">
        <f t="shared" si="43"/>
        <v>0.87863408</v>
      </c>
      <c r="BT121" s="26">
        <f t="shared" si="44"/>
        <v>0.01567581</v>
      </c>
      <c r="BU121" s="26">
        <f>IF(VLOOKUP($Q121,武学奇术!$A:$ZZ,22,FALSE)=1,0,(1-$BN121))*(1-$BQ121)</f>
        <v>0.01279011</v>
      </c>
      <c r="BV121" s="26" cm="1">
        <f t="array" ref="BV121">SUM(_xlfn.XLOOKUP($R121:$AK121,增益!$A:$A,增益!$W:$W,0))+$I$5</f>
        <v>0.11</v>
      </c>
    </row>
  </sheetData>
  <mergeCells count="28">
    <mergeCell ref="H1:I1"/>
    <mergeCell ref="C8:G8"/>
    <mergeCell ref="C15:D15"/>
    <mergeCell ref="E21:F21"/>
    <mergeCell ref="E22:F22"/>
    <mergeCell ref="E23:F23"/>
    <mergeCell ref="E24:F24"/>
    <mergeCell ref="A23:A24"/>
    <mergeCell ref="C54:C57"/>
    <mergeCell ref="C82:C84"/>
    <mergeCell ref="D31:D36"/>
    <mergeCell ref="D80:D84"/>
    <mergeCell ref="E30:E37"/>
    <mergeCell ref="E43:E50"/>
    <mergeCell ref="E53:E57"/>
    <mergeCell ref="E60:E65"/>
    <mergeCell ref="E71:E77"/>
    <mergeCell ref="E82:E8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R2:AJ2 AK2:AK121 R3:AJ121">
      <formula1>增益!$A:$A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E24:F24">
      <formula1>"弦墨篇,断石之构"</formula1>
    </dataValidation>
    <dataValidation type="list" allowBlank="1" showInputMessage="1" showErrorMessage="1" sqref="Q2:Q12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D36" sqref="D36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7" width="9" style="31"/>
    <col min="39" max="39" width="9" style="26"/>
    <col min="40" max="40" width="9" style="27"/>
    <col min="41" max="41" width="9" style="26"/>
    <col min="42" max="42" width="9" style="27"/>
    <col min="43" max="44" width="9" style="26"/>
    <col min="47" max="49" width="9" style="32"/>
    <col min="52" max="53" width="9" style="32"/>
    <col min="66" max="70" width="9" style="26"/>
    <col min="71" max="72" width="9.00833333333333" style="26" customWidth="1"/>
    <col min="73" max="74" width="9" style="26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6" t="s">
        <v>35</v>
      </c>
      <c r="AN1" s="27" t="s">
        <v>36</v>
      </c>
      <c r="AO1" s="26" t="s">
        <v>37</v>
      </c>
      <c r="AP1" s="27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</row>
    <row r="2" spans="1:74">
      <c r="A2" s="41" t="s">
        <v>71</v>
      </c>
      <c r="B2" s="31"/>
      <c r="C2" s="31"/>
      <c r="D2" s="31"/>
      <c r="E2" s="42"/>
      <c r="F2" s="43" t="s">
        <v>72</v>
      </c>
      <c r="G2" s="44" t="s">
        <v>73</v>
      </c>
      <c r="H2" s="45" t="s">
        <v>74</v>
      </c>
      <c r="I2" s="11">
        <f>620*(1-IF(F17="√",0.06,0)-IF(F23="√",0.04,0))</f>
        <v>620</v>
      </c>
      <c r="K2" s="38">
        <f t="shared" ref="K2:K65" si="0">($L2*$BS2+$M2*$BQ2+$N2*$BT2+$O2*$BU2)</f>
        <v>29733.3850089994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30099.7102753736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29794.076466547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19419.1679195959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16768.6495676755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79</v>
      </c>
      <c r="V2" s="40" t="s">
        <v>73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81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80</v>
      </c>
      <c r="AL2" t="str">
        <f>VLOOKUP($Q2,武学奇术!$A:$ZZ,25,FALSE)</f>
        <v>群体奇术</v>
      </c>
      <c r="AM2" s="26">
        <f>VLOOKUP($Q2,武学奇术!$A:$ZZ,26,FALSE)</f>
        <v>1.4904</v>
      </c>
      <c r="AN2" s="27">
        <f>VLOOKUP($Q2,武学奇术!$A:$ZZ,27,FALSE)*(1+IF(OR($AL2=$F$4,$AL2=$F$5),$B$22,0))</f>
        <v>378</v>
      </c>
      <c r="AO2" s="26">
        <f>VLOOKUP($Q2,武学奇术!$A:$ZZ,28,FALSE)</f>
        <v>2.2356</v>
      </c>
      <c r="AP2" s="27">
        <f>VLOOKUP($Q2,武学奇术!$A:$ZZ,29,FALSE)*(1+IF(OR($AL2=$F$4,$AL2=$F$5),$B$22,0))</f>
        <v>0</v>
      </c>
      <c r="AQ2" s="26" cm="1">
        <f t="array" ref="AQ2">$G$3+IFERROR(VLOOKUP($AL2,$F$4:$G$7,2,FALSE),0)+VLOOKUP($Q2,武学奇术!$A:$ZZ,2,FALSE)+SUM(_xlfn.XLOOKUP($R2:$AK2,增益!$A:$A,增益!$B:$B,0))</f>
        <v>0.2387</v>
      </c>
      <c r="AR2" s="26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4372.698</v>
      </c>
      <c r="AT2" cm="1">
        <f t="array" ref="AT2">$E$10*(1+$AR2)+VLOOKUP($Q2,武学奇术!$A:$ZZ,4,FALSE)+SUM(_xlfn.XLOOKUP($R2:$AK2,增益!$A:$A,增益!$D:$D,0))-$I$2</f>
        <v>4372.698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0.217</v>
      </c>
      <c r="AV2" s="32" cm="1">
        <f t="array" ref="AV2">$G$10+VLOOKUP($Q2,武学奇术!$A:$ZZ,7,FALSE)+SUM(_xlfn.XLOOKUP($R2:$AK2,增益!$A:$A,增益!$G:$G,0))</f>
        <v>0.205</v>
      </c>
      <c r="AW2" s="26" cm="1">
        <f t="array" ref="AW2">VLOOKUP($Q2,武学奇术!$A:$ZZ,8,FALSE)+SUM(_xlfn.XLOOKUP($R2:$AK2,增益!$A:$A,增益!$H:$H,0))</f>
        <v>0.18</v>
      </c>
      <c r="AX2">
        <f t="shared" ref="AX2:AX65" si="1">$D$11*(1+$AW2)</f>
        <v>0</v>
      </c>
      <c r="AY2">
        <f t="shared" ref="AY2:AY65" si="2"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2" cm="1">
        <f t="array" ref="BA2">$G$11+VLOOKUP($Q2,武学奇术!$A:$ZZ,10,FALSE)+SUM(_xlfn.XLOOKUP($R2:$AK2,增益!$A:$A,增益!$J:$J,0))</f>
        <v>0.06</v>
      </c>
      <c r="BB2">
        <f t="shared" ref="BB2:BB65" si="3">$D$12*(1+$AW2)</f>
        <v>0</v>
      </c>
      <c r="BC2">
        <f t="shared" ref="BC2:BC65" si="4"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2" cm="1">
        <f t="array" ref="BE2">$G$12+VLOOKUP($Q2,武学奇术!$A:$ZZ,12,FALSE)+SUM(_xlfn.XLOOKUP($R2:$AK2,增益!$A:$A,增益!$L:$L,0))</f>
        <v>0.06</v>
      </c>
      <c r="BF2">
        <f t="shared" ref="BF2:BF65" si="5">$D$13*(1+$AW2)</f>
        <v>674.016</v>
      </c>
      <c r="BG2">
        <f t="shared" ref="BG2:BG65" si="6">$E$13*(1+$AW2)</f>
        <v>1920.804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2" cm="1">
        <f t="array" ref="BI2">$G$13+VLOOKUP($Q2,武学奇术!$A:$ZZ,14,FALSE)+SUM(_xlfn.XLOOKUP($R2:$AK2,增益!$A:$A,增益!$N:$N,0))</f>
        <v>0.33</v>
      </c>
      <c r="BJ2">
        <f t="shared" ref="BJ2:BJ65" si="7">$D$14*(1+$AW2)</f>
        <v>0</v>
      </c>
      <c r="BK2">
        <f t="shared" ref="BK2:BK65" si="8"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2" cm="1">
        <f t="array" ref="BM2">$G$14+VLOOKUP($Q2,武学奇术!$A:$ZZ,16,FALSE)+SUM(_xlfn.XLOOKUP($R2:$AK2,增益!$A:$A,增益!$P:$P,0))</f>
        <v>0.06</v>
      </c>
      <c r="BN2" s="26">
        <f>MIN(IF(VLOOKUP($Q2,武学奇术!$A:$ZZ,23,FALSE)=1,100%,$B$8),100%)</f>
        <v>0.9859</v>
      </c>
      <c r="BO2" s="26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6" cm="1">
        <f t="array" ref="BP2">1+$B$13+VLOOKUP($Q2,武学奇术!$A:$ZZ,18,FALSE)+SUM(_xlfn.XLOOKUP($R2:$AK2,增益!$A:$A,增益!$R:$R,0))</f>
        <v>1.55</v>
      </c>
      <c r="BQ2" s="26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6" cm="1">
        <f t="array" ref="BR2">1+$B$14+VLOOKUP($Q2,武学奇术!$A:$ZZ,20,FALSE)+SUM(_xlfn.XLOOKUP($R2:$AK2,增益!$A:$A,增益!$T:$T,0))</f>
        <v>1.35</v>
      </c>
      <c r="BS2" s="26">
        <f t="shared" ref="BS2:BS65" si="9">MIN((1-BQ2)*BN2,BN2*BO2)</f>
        <v>0.87863408</v>
      </c>
      <c r="BT2" s="26">
        <f t="shared" ref="BT2:BT65" si="10">1-BQ2-BS2-BU2</f>
        <v>0.01567581</v>
      </c>
      <c r="BU2" s="26">
        <f>IF(VLOOKUP($Q2,武学奇术!$A:$ZZ,22,FALSE)=1,0,(1-$BN2))*(1-$BQ2)</f>
        <v>0.01279011</v>
      </c>
      <c r="BV2" s="26" cm="1">
        <f t="array" ref="BV2">SUM(_xlfn.XLOOKUP($R2:$AK2,增益!$A:$A,增益!$W:$W,0))+$I$5</f>
        <v>0.11</v>
      </c>
    </row>
    <row r="3" spans="1:74">
      <c r="A3" s="46" t="s">
        <v>83</v>
      </c>
      <c r="B3" s="47"/>
      <c r="C3" s="47"/>
      <c r="D3" s="47"/>
      <c r="E3" s="48"/>
      <c r="F3" s="45" t="s">
        <v>39</v>
      </c>
      <c r="G3" s="49">
        <f>B16+1.5%+IF($D$16="√",8%,0)+IF($E$24="征人归",8%,0)</f>
        <v>0.1037</v>
      </c>
      <c r="H3" s="45" t="s">
        <v>84</v>
      </c>
      <c r="I3" s="11">
        <f>25-IF(D17="√",10,0)-IF(F17="√",10,0)</f>
        <v>25</v>
      </c>
      <c r="K3" s="38">
        <f t="shared" si="0"/>
        <v>30996.2725284576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31385.4119333726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31045.007337049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20118.853803444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17241.4058757405</v>
      </c>
      <c r="P3" s="39">
        <v>1</v>
      </c>
      <c r="Q3" s="40" t="s">
        <v>75</v>
      </c>
      <c r="R3" s="40" t="s">
        <v>85</v>
      </c>
      <c r="S3" s="40" t="s">
        <v>86</v>
      </c>
      <c r="T3" s="40" t="s">
        <v>78</v>
      </c>
      <c r="U3" s="40" t="s">
        <v>79</v>
      </c>
      <c r="V3" s="40" t="s">
        <v>73</v>
      </c>
      <c r="W3" s="40" t="s">
        <v>80</v>
      </c>
      <c r="X3" s="40" t="s">
        <v>87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81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80</v>
      </c>
      <c r="AL3" t="str">
        <f>VLOOKUP($Q3,武学奇术!$A:$ZZ,25,FALSE)</f>
        <v>群体奇术</v>
      </c>
      <c r="AM3" s="26">
        <f>VLOOKUP($Q3,武学奇术!$A:$ZZ,26,FALSE)</f>
        <v>1.4904</v>
      </c>
      <c r="AN3" s="27">
        <f>VLOOKUP($Q3,武学奇术!$A:$ZZ,27,FALSE)*(1+IF(OR($AL3=$F$4,$AL3=$F$5),$B$22,0))</f>
        <v>378</v>
      </c>
      <c r="AO3" s="26">
        <f>VLOOKUP($Q3,武学奇术!$A:$ZZ,28,FALSE)</f>
        <v>2.2356</v>
      </c>
      <c r="AP3" s="27">
        <f>VLOOKUP($Q3,武学奇术!$A:$ZZ,29,FALSE)*(1+IF(OR($AL3=$F$4,$AL3=$F$5),$B$22,0))</f>
        <v>0</v>
      </c>
      <c r="AQ3" s="26" cm="1">
        <f t="array" ref="AQ3">$G$3+IFERROR(VLOOKUP($AL3,$F$4:$G$7,2,FALSE),0)+VLOOKUP($Q3,武学奇术!$A:$ZZ,2,FALSE)+SUM(_xlfn.XLOOKUP($R3:$AK3,增益!$A:$A,增益!$B:$B,0))</f>
        <v>0.2487</v>
      </c>
      <c r="AR3" s="26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4372.698</v>
      </c>
      <c r="AT3" cm="1">
        <f t="array" ref="AT3">$E$10*(1+$AR3)+VLOOKUP($Q3,武学奇术!$A:$ZZ,4,FALSE)+SUM(_xlfn.XLOOKUP($R3:$AK3,增益!$A:$A,增益!$D:$D,0))-$I$2</f>
        <v>4372.698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0.227</v>
      </c>
      <c r="AV3" s="32" cm="1">
        <f t="array" ref="AV3">$G$10+VLOOKUP($Q3,武学奇术!$A:$ZZ,7,FALSE)+SUM(_xlfn.XLOOKUP($R3:$AK3,增益!$A:$A,增益!$G:$G,0))</f>
        <v>0.205</v>
      </c>
      <c r="AW3" s="26" cm="1">
        <f t="array" ref="AW3">VLOOKUP($Q3,武学奇术!$A:$ZZ,8,FALSE)+SUM(_xlfn.XLOOKUP($R3:$AK3,增益!$A:$A,增益!$H:$H,0))</f>
        <v>0.18</v>
      </c>
      <c r="AX3">
        <f t="shared" si="1"/>
        <v>0</v>
      </c>
      <c r="AY3">
        <f t="shared" si="2"/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2" cm="1">
        <f t="array" ref="BA3">$G$11+VLOOKUP($Q3,武学奇术!$A:$ZZ,10,FALSE)+SUM(_xlfn.XLOOKUP($R3:$AK3,增益!$A:$A,增益!$J:$J,0))</f>
        <v>0.06</v>
      </c>
      <c r="BB3">
        <f t="shared" si="3"/>
        <v>0</v>
      </c>
      <c r="BC3">
        <f t="shared" si="4"/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2" cm="1">
        <f t="array" ref="BE3">$G$12+VLOOKUP($Q3,武学奇术!$A:$ZZ,12,FALSE)+SUM(_xlfn.XLOOKUP($R3:$AK3,增益!$A:$A,增益!$L:$L,0))</f>
        <v>0.06</v>
      </c>
      <c r="BF3">
        <f t="shared" si="5"/>
        <v>674.016</v>
      </c>
      <c r="BG3">
        <f t="shared" si="6"/>
        <v>1920.804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2" cm="1">
        <f t="array" ref="BI3">$G$13+VLOOKUP($Q3,武学奇术!$A:$ZZ,14,FALSE)+SUM(_xlfn.XLOOKUP($R3:$AK3,增益!$A:$A,增益!$N:$N,0))</f>
        <v>0.33</v>
      </c>
      <c r="BJ3">
        <f t="shared" si="7"/>
        <v>0</v>
      </c>
      <c r="BK3">
        <f t="shared" si="8"/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2" cm="1">
        <f t="array" ref="BM3">$G$14+VLOOKUP($Q3,武学奇术!$A:$ZZ,16,FALSE)+SUM(_xlfn.XLOOKUP($R3:$AK3,增益!$A:$A,增益!$P:$P,0))</f>
        <v>0.06</v>
      </c>
      <c r="BN3" s="26">
        <f>MIN(IF(VLOOKUP($Q3,武学奇术!$A:$ZZ,23,FALSE)=1,100%,$B$8),100%)</f>
        <v>0.9859</v>
      </c>
      <c r="BO3" s="26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6" cm="1">
        <f t="array" ref="BP3">1+$B$13+VLOOKUP($Q3,武学奇术!$A:$ZZ,18,FALSE)+SUM(_xlfn.XLOOKUP($R3:$AK3,增益!$A:$A,增益!$R:$R,0))</f>
        <v>1.56</v>
      </c>
      <c r="BQ3" s="26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6" cm="1">
        <f t="array" ref="BR3">1+$B$14+VLOOKUP($Q3,武学奇术!$A:$ZZ,20,FALSE)+SUM(_xlfn.XLOOKUP($R3:$AK3,增益!$A:$A,增益!$T:$T,0))</f>
        <v>1.35</v>
      </c>
      <c r="BS3" s="26">
        <f t="shared" si="9"/>
        <v>0.87863408</v>
      </c>
      <c r="BT3" s="26">
        <f t="shared" si="10"/>
        <v>0.01567581</v>
      </c>
      <c r="BU3" s="26">
        <f>IF(VLOOKUP($Q3,武学奇术!$A:$ZZ,22,FALSE)=1,0,(1-$BN3))*(1-$BQ3)</f>
        <v>0.01279011</v>
      </c>
      <c r="BV3" s="26" cm="1">
        <f t="array" ref="BV3">SUM(_xlfn.XLOOKUP($R3:$AK3,增益!$A:$A,增益!$W:$W,0))+$I$5</f>
        <v>0.11</v>
      </c>
    </row>
    <row r="4" ht="14.25" spans="1:74">
      <c r="A4" s="50" t="s">
        <v>88</v>
      </c>
      <c r="B4" s="51"/>
      <c r="C4" s="51"/>
      <c r="D4" s="51"/>
      <c r="E4" s="52"/>
      <c r="F4" s="45" t="s">
        <v>89</v>
      </c>
      <c r="G4" s="49">
        <f>B15+B17</f>
        <v>0.1704</v>
      </c>
      <c r="H4" s="53" t="s">
        <v>90</v>
      </c>
      <c r="I4" s="14">
        <f>30</f>
        <v>30</v>
      </c>
      <c r="K4" s="38">
        <f t="shared" si="0"/>
        <v>31600.6828307898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32021.8076066168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31450.3388236916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20396.0558003928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17495.5643239771</v>
      </c>
      <c r="P4" s="39">
        <v>1</v>
      </c>
      <c r="Q4" s="40" t="s">
        <v>75</v>
      </c>
      <c r="R4" s="40" t="s">
        <v>91</v>
      </c>
      <c r="S4" s="40" t="s">
        <v>92</v>
      </c>
      <c r="T4" s="40" t="s">
        <v>78</v>
      </c>
      <c r="U4" s="40" t="s">
        <v>79</v>
      </c>
      <c r="V4" s="40" t="s">
        <v>73</v>
      </c>
      <c r="W4" s="40" t="s">
        <v>80</v>
      </c>
      <c r="X4" s="40" t="s">
        <v>87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81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80</v>
      </c>
      <c r="AL4" t="str">
        <f>VLOOKUP($Q4,武学奇术!$A:$ZZ,25,FALSE)</f>
        <v>群体奇术</v>
      </c>
      <c r="AM4" s="26">
        <f>VLOOKUP($Q4,武学奇术!$A:$ZZ,26,FALSE)</f>
        <v>1.4904</v>
      </c>
      <c r="AN4" s="27">
        <f>VLOOKUP($Q4,武学奇术!$A:$ZZ,27,FALSE)*(1+IF(OR($AL4=$F$4,$AL4=$F$5),$B$22,0))</f>
        <v>378</v>
      </c>
      <c r="AO4" s="26">
        <f>VLOOKUP($Q4,武学奇术!$A:$ZZ,28,FALSE)</f>
        <v>2.2356</v>
      </c>
      <c r="AP4" s="27">
        <f>VLOOKUP($Q4,武学奇术!$A:$ZZ,29,FALSE)*(1+IF(OR($AL4=$F$4,$AL4=$F$5),$B$22,0))</f>
        <v>0</v>
      </c>
      <c r="AQ4" s="26" cm="1">
        <f t="array" ref="AQ4">$G$3+IFERROR(VLOOKUP($AL4,$F$4:$G$7,2,FALSE),0)+VLOOKUP($Q4,武学奇术!$A:$ZZ,2,FALSE)+SUM(_xlfn.XLOOKUP($R4:$AK4,增益!$A:$A,增益!$B:$B,0))</f>
        <v>0.2587</v>
      </c>
      <c r="AR4" s="26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4372.698</v>
      </c>
      <c r="AT4" cm="1">
        <f t="array" ref="AT4">$E$10*(1+$AR4)+VLOOKUP($Q4,武学奇术!$A:$ZZ,4,FALSE)+SUM(_xlfn.XLOOKUP($R4:$AK4,增益!$A:$A,增益!$D:$D,0))-$I$2</f>
        <v>4372.698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0.237</v>
      </c>
      <c r="AV4" s="32" cm="1">
        <f t="array" ref="AV4">$G$10+VLOOKUP($Q4,武学奇术!$A:$ZZ,7,FALSE)+SUM(_xlfn.XLOOKUP($R4:$AK4,增益!$A:$A,增益!$G:$G,0))</f>
        <v>0.205</v>
      </c>
      <c r="AW4" s="26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2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2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1920.804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2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2" cm="1">
        <f t="array" ref="BM4">$G$14+VLOOKUP($Q4,武学奇术!$A:$ZZ,16,FALSE)+SUM(_xlfn.XLOOKUP($R4:$AK4,增益!$A:$A,增益!$P:$P,0))</f>
        <v>0.06</v>
      </c>
      <c r="BN4" s="26">
        <f>MIN(IF(VLOOKUP($Q4,武学奇术!$A:$ZZ,23,FALSE)=1,100%,$B$8),100%)</f>
        <v>0.9859</v>
      </c>
      <c r="BO4" s="26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6" cm="1">
        <f t="array" ref="BP4">1+$B$13+VLOOKUP($Q4,武学奇术!$A:$ZZ,18,FALSE)+SUM(_xlfn.XLOOKUP($R4:$AK4,增益!$A:$A,增益!$R:$R,0))</f>
        <v>1.57</v>
      </c>
      <c r="BQ4" s="26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6" cm="1">
        <f t="array" ref="BR4">1+$B$14+VLOOKUP($Q4,武学奇术!$A:$ZZ,20,FALSE)+SUM(_xlfn.XLOOKUP($R4:$AK4,增益!$A:$A,增益!$T:$T,0))</f>
        <v>1.35</v>
      </c>
      <c r="BS4" s="26">
        <f t="shared" si="9"/>
        <v>0.87863408</v>
      </c>
      <c r="BT4" s="26">
        <f t="shared" si="10"/>
        <v>0.01567581</v>
      </c>
      <c r="BU4" s="26">
        <f>IF(VLOOKUP($Q4,武学奇术!$A:$ZZ,22,FALSE)=1,0,(1-$BN4))*(1-$BQ4)</f>
        <v>0.01279011</v>
      </c>
      <c r="BV4" s="26" cm="1">
        <f t="array" ref="BV4">SUM(_xlfn.XLOOKUP($R4:$AK4,增益!$A:$A,增益!$W:$W,0))+$I$5</f>
        <v>0.11</v>
      </c>
    </row>
    <row r="5" spans="1:74">
      <c r="A5" s="54" t="s">
        <v>5</v>
      </c>
      <c r="B5" s="55"/>
      <c r="C5" s="55"/>
      <c r="D5" s="55"/>
      <c r="E5" s="56"/>
      <c r="F5" s="45" t="s">
        <v>93</v>
      </c>
      <c r="G5" s="49">
        <f>B15+B18</f>
        <v>0.0852</v>
      </c>
      <c r="H5" t="s">
        <v>94</v>
      </c>
      <c r="I5" s="29">
        <v>0.06</v>
      </c>
      <c r="K5" s="38">
        <f t="shared" si="0"/>
        <v>28014.8621441136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28382.7594922713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27997.1809186966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17963.7718305514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15188.891128735</v>
      </c>
      <c r="P5" s="39">
        <v>1</v>
      </c>
      <c r="Q5" s="40" t="s">
        <v>75</v>
      </c>
      <c r="R5" s="40" t="s">
        <v>95</v>
      </c>
      <c r="S5" s="40" t="s">
        <v>96</v>
      </c>
      <c r="T5" s="40" t="s">
        <v>97</v>
      </c>
      <c r="U5" s="40" t="s">
        <v>79</v>
      </c>
      <c r="V5" s="40" t="s">
        <v>73</v>
      </c>
      <c r="W5" s="40" t="s">
        <v>80</v>
      </c>
      <c r="X5" s="40" t="s">
        <v>87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81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80</v>
      </c>
      <c r="AL5" t="str">
        <f>VLOOKUP($Q5,武学奇术!$A:$ZZ,25,FALSE)</f>
        <v>群体奇术</v>
      </c>
      <c r="AM5" s="26">
        <f>VLOOKUP($Q5,武学奇术!$A:$ZZ,26,FALSE)</f>
        <v>1.4904</v>
      </c>
      <c r="AN5" s="27">
        <f>VLOOKUP($Q5,武学奇术!$A:$ZZ,27,FALSE)*(1+IF(OR($AL5=$F$4,$AL5=$F$5),$B$22,0))</f>
        <v>378</v>
      </c>
      <c r="AO5" s="26">
        <f>VLOOKUP($Q5,武学奇术!$A:$ZZ,28,FALSE)</f>
        <v>2.2356</v>
      </c>
      <c r="AP5" s="27">
        <f>VLOOKUP($Q5,武学奇术!$A:$ZZ,29,FALSE)*(1+IF(OR($AL5=$F$4,$AL5=$F$5),$B$22,0))</f>
        <v>0</v>
      </c>
      <c r="AQ5" s="26" cm="1">
        <f t="array" ref="AQ5">$G$3+IFERROR(VLOOKUP($AL5,$F$4:$G$7,2,FALSE),0)+VLOOKUP($Q5,武学奇术!$A:$ZZ,2,FALSE)+SUM(_xlfn.XLOOKUP($R5:$AK5,增益!$A:$A,增益!$B:$B,0))</f>
        <v>0.2687</v>
      </c>
      <c r="AR5" s="26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3611.1</v>
      </c>
      <c r="AT5" cm="1">
        <f t="array" ref="AT5">$E$10*(1+$AR5)+VLOOKUP($Q5,武学奇术!$A:$ZZ,4,FALSE)+SUM(_xlfn.XLOOKUP($R5:$AK5,增益!$A:$A,增益!$D:$D,0))-$I$2</f>
        <v>3611.1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0.247</v>
      </c>
      <c r="AV5" s="32" cm="1">
        <f t="array" ref="AV5">$G$10+VLOOKUP($Q5,武学奇术!$A:$ZZ,7,FALSE)+SUM(_xlfn.XLOOKUP($R5:$AK5,增益!$A:$A,增益!$G:$G,0))</f>
        <v>0.205</v>
      </c>
      <c r="AW5" s="26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2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2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1823.136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2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2" cm="1">
        <f t="array" ref="BM5">$G$14+VLOOKUP($Q5,武学奇术!$A:$ZZ,16,FALSE)+SUM(_xlfn.XLOOKUP($R5:$AK5,增益!$A:$A,增益!$P:$P,0))</f>
        <v>0.06</v>
      </c>
      <c r="BN5" s="26">
        <f>MIN(IF(VLOOKUP($Q5,武学奇术!$A:$ZZ,23,FALSE)=1,100%,$B$8),100%)</f>
        <v>0.9859</v>
      </c>
      <c r="BO5" s="26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6" cm="1">
        <f t="array" ref="BP5">1+$B$13+VLOOKUP($Q5,武学奇术!$A:$ZZ,18,FALSE)+SUM(_xlfn.XLOOKUP($R5:$AK5,增益!$A:$A,增益!$R:$R,0))</f>
        <v>1.58</v>
      </c>
      <c r="BQ5" s="26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6" cm="1">
        <f t="array" ref="BR5">1+$B$14+VLOOKUP($Q5,武学奇术!$A:$ZZ,20,FALSE)+SUM(_xlfn.XLOOKUP($R5:$AK5,增益!$A:$A,增益!$T:$T,0))</f>
        <v>1.35</v>
      </c>
      <c r="BS5" s="26">
        <f t="shared" si="9"/>
        <v>0.87863408</v>
      </c>
      <c r="BT5" s="26">
        <f t="shared" si="10"/>
        <v>0.01567581</v>
      </c>
      <c r="BU5" s="26">
        <f>IF(VLOOKUP($Q5,武学奇术!$A:$ZZ,22,FALSE)=1,0,(1-$BN5))*(1-$BQ5)</f>
        <v>0.01279011</v>
      </c>
      <c r="BV5" s="26" cm="1">
        <f t="array" ref="BV5">SUM(_xlfn.XLOOKUP($R5:$AK5,增益!$A:$A,增益!$W:$W,0))+$I$5</f>
        <v>0.11</v>
      </c>
    </row>
    <row r="6" spans="1:74">
      <c r="A6" s="57" t="s">
        <v>98</v>
      </c>
      <c r="B6" s="58"/>
      <c r="C6" s="58"/>
      <c r="D6" s="58"/>
      <c r="E6" s="59"/>
      <c r="F6" s="45" t="s">
        <v>99</v>
      </c>
      <c r="G6" s="49">
        <f>B19</f>
        <v>0</v>
      </c>
      <c r="K6" s="38">
        <f t="shared" si="0"/>
        <v>28547.5444916931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28944.1663966969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28350.8515551307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18203.8782369163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15407.1256922543</v>
      </c>
      <c r="P6" s="39">
        <v>1</v>
      </c>
      <c r="Q6" s="40" t="s">
        <v>75</v>
      </c>
      <c r="R6" s="40" t="s">
        <v>100</v>
      </c>
      <c r="S6" s="40" t="s">
        <v>101</v>
      </c>
      <c r="T6" s="40" t="s">
        <v>97</v>
      </c>
      <c r="U6" s="40" t="s">
        <v>79</v>
      </c>
      <c r="V6" s="40" t="s">
        <v>73</v>
      </c>
      <c r="W6" s="40" t="s">
        <v>80</v>
      </c>
      <c r="X6" s="40" t="s">
        <v>87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81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80</v>
      </c>
      <c r="AL6" t="str">
        <f>VLOOKUP($Q6,武学奇术!$A:$ZZ,25,FALSE)</f>
        <v>群体奇术</v>
      </c>
      <c r="AM6" s="26">
        <f>VLOOKUP($Q6,武学奇术!$A:$ZZ,26,FALSE)</f>
        <v>1.4904</v>
      </c>
      <c r="AN6" s="27">
        <f>VLOOKUP($Q6,武学奇术!$A:$ZZ,27,FALSE)*(1+IF(OR($AL6=$F$4,$AL6=$F$5),$B$22,0))</f>
        <v>378</v>
      </c>
      <c r="AO6" s="26">
        <f>VLOOKUP($Q6,武学奇术!$A:$ZZ,28,FALSE)</f>
        <v>2.2356</v>
      </c>
      <c r="AP6" s="27">
        <f>VLOOKUP($Q6,武学奇术!$A:$ZZ,29,FALSE)*(1+IF(OR($AL6=$F$4,$AL6=$F$5),$B$22,0))</f>
        <v>0</v>
      </c>
      <c r="AQ6" s="26" cm="1">
        <f t="array" ref="AQ6">$G$3+IFERROR(VLOOKUP($AL6,$F$4:$G$7,2,FALSE),0)+VLOOKUP($Q6,武学奇术!$A:$ZZ,2,FALSE)+SUM(_xlfn.XLOOKUP($R6:$AK6,增益!$A:$A,增益!$B:$B,0))</f>
        <v>0.2787</v>
      </c>
      <c r="AR6" s="26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3611.1</v>
      </c>
      <c r="AT6" cm="1">
        <f t="array" ref="AT6">$E$10*(1+$AR6)+VLOOKUP($Q6,武学奇术!$A:$ZZ,4,FALSE)+SUM(_xlfn.XLOOKUP($R6:$AK6,增益!$A:$A,增益!$D:$D,0))-$I$2</f>
        <v>3611.1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2" cm="1">
        <f t="array" ref="AV6">$G$10+VLOOKUP($Q6,武学奇术!$A:$ZZ,7,FALSE)+SUM(_xlfn.XLOOKUP($R6:$AK6,增益!$A:$A,增益!$G:$G,0))</f>
        <v>0.205</v>
      </c>
      <c r="AW6" s="26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2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2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1823.136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2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2" cm="1">
        <f t="array" ref="BM6">$G$14+VLOOKUP($Q6,武学奇术!$A:$ZZ,16,FALSE)+SUM(_xlfn.XLOOKUP($R6:$AK6,增益!$A:$A,增益!$P:$P,0))</f>
        <v>0.06</v>
      </c>
      <c r="BN6" s="26">
        <f>MIN(IF(VLOOKUP($Q6,武学奇术!$A:$ZZ,23,FALSE)=1,100%,$B$8),100%)</f>
        <v>0.9859</v>
      </c>
      <c r="BO6" s="26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6" cm="1">
        <f t="array" ref="BP6">1+$B$13+VLOOKUP($Q6,武学奇术!$A:$ZZ,18,FALSE)+SUM(_xlfn.XLOOKUP($R6:$AK6,增益!$A:$A,增益!$R:$R,0))</f>
        <v>1.59</v>
      </c>
      <c r="BQ6" s="26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6" cm="1">
        <f t="array" ref="BR6">1+$B$14+VLOOKUP($Q6,武学奇术!$A:$ZZ,20,FALSE)+SUM(_xlfn.XLOOKUP($R6:$AK6,增益!$A:$A,增益!$T:$T,0))</f>
        <v>1.35</v>
      </c>
      <c r="BS6" s="26">
        <f t="shared" si="9"/>
        <v>0.87863408</v>
      </c>
      <c r="BT6" s="26">
        <f t="shared" si="10"/>
        <v>0.01567581</v>
      </c>
      <c r="BU6" s="26">
        <f>IF(VLOOKUP($Q6,武学奇术!$A:$ZZ,22,FALSE)=1,0,(1-$BN6))*(1-$BQ6)</f>
        <v>0.01279011</v>
      </c>
      <c r="BV6" s="26" cm="1">
        <f t="array" ref="BV6">SUM(_xlfn.XLOOKUP($R6:$AK6,增益!$A:$A,增益!$W:$W,0))+$I$5</f>
        <v>0.11</v>
      </c>
    </row>
    <row r="7" ht="14.25" spans="1:74">
      <c r="A7" s="41" t="s">
        <v>102</v>
      </c>
      <c r="B7" s="60"/>
      <c r="C7" s="61"/>
      <c r="D7" s="62"/>
      <c r="E7" s="63"/>
      <c r="F7" s="53" t="s">
        <v>103</v>
      </c>
      <c r="G7" s="64">
        <f>B20</f>
        <v>0</v>
      </c>
      <c r="K7" s="38">
        <f t="shared" si="0"/>
        <v>16871.4131108781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17078.0397669859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16919.2496967771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11018.0901722489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9503.40279132964</v>
      </c>
      <c r="P7" s="39">
        <v>1</v>
      </c>
      <c r="Q7" s="40" t="s">
        <v>104</v>
      </c>
      <c r="R7" s="40" t="s">
        <v>76</v>
      </c>
      <c r="S7" s="40" t="s">
        <v>77</v>
      </c>
      <c r="T7" s="40" t="s">
        <v>97</v>
      </c>
      <c r="U7" s="40" t="s">
        <v>80</v>
      </c>
      <c r="V7" s="40" t="s">
        <v>73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81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80</v>
      </c>
      <c r="AL7" t="str">
        <f>VLOOKUP($Q7,武学奇术!$A:$ZZ,25,FALSE)</f>
        <v>扇</v>
      </c>
      <c r="AM7" s="26">
        <f>VLOOKUP($Q7,武学奇术!$A:$ZZ,26,FALSE)</f>
        <v>0.9271</v>
      </c>
      <c r="AN7" s="27">
        <f>VLOOKUP($Q7,武学奇术!$A:$ZZ,27,FALSE)*(1+IF(OR($AL7=$F$4,$AL7=$F$5),$B$22,0))</f>
        <v>385.5</v>
      </c>
      <c r="AO7" s="26">
        <f>VLOOKUP($Q7,武学奇术!$A:$ZZ,28,FALSE)</f>
        <v>1.3907</v>
      </c>
      <c r="AP7" s="27">
        <f>VLOOKUP($Q7,武学奇术!$A:$ZZ,29,FALSE)*(1+IF(OR($AL7=$F$4,$AL7=$F$5),$B$22,0))</f>
        <v>210</v>
      </c>
      <c r="AQ7" s="26" cm="1">
        <f t="array" ref="AQ7">$G$3+IFERROR(VLOOKUP($AL7,$F$4:$G$7,2,FALSE),0)+VLOOKUP($Q7,武学奇术!$A:$ZZ,2,FALSE)+SUM(_xlfn.XLOOKUP($R7:$AK7,增益!$A:$A,增益!$B:$B,0))</f>
        <v>0.1989</v>
      </c>
      <c r="AR7" s="26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3611.1</v>
      </c>
      <c r="AT7" cm="1">
        <f t="array" ref="AT7">$E$10*(1+$AR7)+VLOOKUP($Q7,武学奇术!$A:$ZZ,4,FALSE)+SUM(_xlfn.XLOOKUP($R7:$AK7,增益!$A:$A,增益!$D:$D,0))-$I$2</f>
        <v>3611.1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0.217</v>
      </c>
      <c r="AV7" s="32" cm="1">
        <f t="array" ref="AV7">$G$10+VLOOKUP($Q7,武学奇术!$A:$ZZ,7,FALSE)+SUM(_xlfn.XLOOKUP($R7:$AK7,增益!$A:$A,增益!$G:$G,0))</f>
        <v>0.205</v>
      </c>
      <c r="AW7" s="26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2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2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1823.136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2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2" cm="1">
        <f t="array" ref="BM7">$G$14+VLOOKUP($Q7,武学奇术!$A:$ZZ,16,FALSE)+SUM(_xlfn.XLOOKUP($R7:$AK7,增益!$A:$A,增益!$P:$P,0))</f>
        <v>0.06</v>
      </c>
      <c r="BN7" s="26">
        <f>MIN(IF(VLOOKUP($Q7,武学奇术!$A:$ZZ,23,FALSE)=1,100%,$B$8),100%)</f>
        <v>0.9859</v>
      </c>
      <c r="BO7" s="26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6" cm="1">
        <f t="array" ref="BP7">1+$B$13+VLOOKUP($Q7,武学奇术!$A:$ZZ,18,FALSE)+SUM(_xlfn.XLOOKUP($R7:$AK7,增益!$A:$A,增益!$R:$R,0))</f>
        <v>1.55</v>
      </c>
      <c r="BQ7" s="26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6" cm="1">
        <f t="array" ref="BR7">1+$B$14+VLOOKUP($Q7,武学奇术!$A:$ZZ,20,FALSE)+SUM(_xlfn.XLOOKUP($R7:$AK7,增益!$A:$A,增益!$T:$T,0))</f>
        <v>1.35</v>
      </c>
      <c r="BS7" s="26">
        <f t="shared" si="9"/>
        <v>0.87863408</v>
      </c>
      <c r="BT7" s="26">
        <f t="shared" si="10"/>
        <v>0.01567581</v>
      </c>
      <c r="BU7" s="26">
        <f>IF(VLOOKUP($Q7,武学奇术!$A:$ZZ,22,FALSE)=1,0,(1-$BN7))*(1-$BQ7)</f>
        <v>0.01279011</v>
      </c>
      <c r="BV7" s="26" cm="1">
        <f t="array" ref="BV7">SUM(_xlfn.XLOOKUP($R7:$AK7,增益!$A:$A,增益!$W:$W,0))+$I$5</f>
        <v>0.11</v>
      </c>
    </row>
    <row r="8" spans="1:74">
      <c r="A8" s="65" t="s">
        <v>105</v>
      </c>
      <c r="B8" s="66">
        <f>期望!B8</f>
        <v>0.9859</v>
      </c>
      <c r="C8" s="67" t="s">
        <v>106</v>
      </c>
      <c r="D8" s="67"/>
      <c r="E8" s="67"/>
      <c r="F8" s="67"/>
      <c r="G8" s="37"/>
      <c r="H8" s="68" t="s">
        <v>107</v>
      </c>
      <c r="I8" s="22">
        <f>期望!I8</f>
        <v>100.8</v>
      </c>
      <c r="J8" s="69"/>
      <c r="K8" s="38">
        <f t="shared" si="0"/>
        <v>75547.1774031521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76433.8307410484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76180.0542564559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49312.1488651925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42194.6279107881</v>
      </c>
      <c r="P8" s="39">
        <v>1</v>
      </c>
      <c r="Q8" s="40" t="s">
        <v>108</v>
      </c>
      <c r="R8" s="40" t="s">
        <v>76</v>
      </c>
      <c r="S8" s="40" t="s">
        <v>77</v>
      </c>
      <c r="T8" s="40" t="s">
        <v>97</v>
      </c>
      <c r="U8" s="40" t="s">
        <v>80</v>
      </c>
      <c r="V8" s="40" t="s">
        <v>73</v>
      </c>
      <c r="W8" s="40" t="s">
        <v>80</v>
      </c>
      <c r="X8" s="40" t="s">
        <v>87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81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80</v>
      </c>
      <c r="AL8" t="str">
        <f>VLOOKUP($Q8,武学奇术!$A:$ZZ,25,FALSE)</f>
        <v>扇</v>
      </c>
      <c r="AM8" s="26">
        <f>VLOOKUP($Q8,武学奇术!$A:$ZZ,26,FALSE)</f>
        <v>4.045375</v>
      </c>
      <c r="AN8" s="27">
        <f>VLOOKUP($Q8,武学奇术!$A:$ZZ,27,FALSE)*(1+IF(OR($AL8=$F$4,$AL8=$F$5),$B$22,0))</f>
        <v>1678.125</v>
      </c>
      <c r="AO8" s="26">
        <f>VLOOKUP($Q8,武学奇术!$A:$ZZ,28,FALSE)</f>
        <v>6.068125</v>
      </c>
      <c r="AP8" s="27">
        <f>VLOOKUP($Q8,武学奇术!$A:$ZZ,29,FALSE)*(1+IF(OR($AL8=$F$4,$AL8=$F$5),$B$22,0))</f>
        <v>913.125</v>
      </c>
      <c r="AQ8" s="26" cm="1">
        <f t="array" ref="AQ8">$G$3+IFERROR(VLOOKUP($AL8,$F$4:$G$7,2,FALSE),0)+VLOOKUP($Q8,武学奇术!$A:$ZZ,2,FALSE)+SUM(_xlfn.XLOOKUP($R8:$AK8,增益!$A:$A,增益!$B:$B,0))</f>
        <v>0.1989</v>
      </c>
      <c r="AR8" s="26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3611.1</v>
      </c>
      <c r="AT8" cm="1">
        <f t="array" ref="AT8">$E$10*(1+$AR8)+VLOOKUP($Q8,武学奇术!$A:$ZZ,4,FALSE)+SUM(_xlfn.XLOOKUP($R8:$AK8,增益!$A:$A,增益!$D:$D,0))-$I$2</f>
        <v>3611.1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0.217</v>
      </c>
      <c r="AV8" s="32" cm="1">
        <f t="array" ref="AV8">$G$10+VLOOKUP($Q8,武学奇术!$A:$ZZ,7,FALSE)+SUM(_xlfn.XLOOKUP($R8:$AK8,增益!$A:$A,增益!$G:$G,0))</f>
        <v>0.205</v>
      </c>
      <c r="AW8" s="26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2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2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1823.136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2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2" cm="1">
        <f t="array" ref="BM8">$G$14+VLOOKUP($Q8,武学奇术!$A:$ZZ,16,FALSE)+SUM(_xlfn.XLOOKUP($R8:$AK8,增益!$A:$A,增益!$P:$P,0))</f>
        <v>0.06</v>
      </c>
      <c r="BN8" s="26">
        <f>MIN(IF(VLOOKUP($Q8,武学奇术!$A:$ZZ,23,FALSE)=1,100%,$B$8),100%)</f>
        <v>0.9859</v>
      </c>
      <c r="BO8" s="26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6" cm="1">
        <f t="array" ref="BP8">1+$B$13+VLOOKUP($Q8,武学奇术!$A:$ZZ,18,FALSE)+SUM(_xlfn.XLOOKUP($R8:$AK8,增益!$A:$A,增益!$R:$R,0))</f>
        <v>1.55</v>
      </c>
      <c r="BQ8" s="26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6" cm="1">
        <f t="array" ref="BR8">1+$B$14+VLOOKUP($Q8,武学奇术!$A:$ZZ,20,FALSE)+SUM(_xlfn.XLOOKUP($R8:$AK8,增益!$A:$A,增益!$T:$T,0))</f>
        <v>1.35</v>
      </c>
      <c r="BS8" s="26">
        <f t="shared" si="9"/>
        <v>0.87863408</v>
      </c>
      <c r="BT8" s="26">
        <f t="shared" si="10"/>
        <v>0.01567581</v>
      </c>
      <c r="BU8" s="26">
        <f>IF(VLOOKUP($Q8,武学奇术!$A:$ZZ,22,FALSE)=1,0,(1-$BN8))*(1-$BQ8)</f>
        <v>0.01279011</v>
      </c>
      <c r="BV8" s="26" cm="1">
        <f t="array" ref="BV8">SUM(_xlfn.XLOOKUP($R8:$AK8,增益!$A:$A,增益!$W:$W,0))+$I$5</f>
        <v>0.11</v>
      </c>
    </row>
    <row r="9" ht="14.25" spans="1:74">
      <c r="A9" s="41" t="s">
        <v>109</v>
      </c>
      <c r="B9" s="70">
        <f>期望!B9</f>
        <v>0.7992</v>
      </c>
      <c r="C9" s="20"/>
      <c r="D9" t="s">
        <v>0</v>
      </c>
      <c r="E9" t="s">
        <v>1</v>
      </c>
      <c r="F9" s="39" t="s">
        <v>2</v>
      </c>
      <c r="G9" s="44" t="s">
        <v>3</v>
      </c>
      <c r="H9" s="71"/>
      <c r="I9" s="24"/>
      <c r="J9" s="72"/>
      <c r="K9" s="38">
        <f t="shared" si="0"/>
        <v>20550.8292937418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20793.163992825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20710.6015756629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13414.9445115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11488.7026706571</v>
      </c>
      <c r="P9" s="39">
        <v>1</v>
      </c>
      <c r="Q9" s="40" t="s">
        <v>110</v>
      </c>
      <c r="R9" s="40" t="s">
        <v>85</v>
      </c>
      <c r="S9" s="40" t="s">
        <v>77</v>
      </c>
      <c r="T9" s="40" t="s">
        <v>97</v>
      </c>
      <c r="U9" s="40" t="s">
        <v>111</v>
      </c>
      <c r="V9" s="40" t="s">
        <v>73</v>
      </c>
      <c r="W9" s="40" t="s">
        <v>80</v>
      </c>
      <c r="X9" s="40" t="s">
        <v>87</v>
      </c>
      <c r="Y9" s="40" t="s">
        <v>80</v>
      </c>
      <c r="Z9" s="40" t="s">
        <v>80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81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80</v>
      </c>
      <c r="AL9" t="str">
        <f>VLOOKUP($Q9,武学奇术!$A:$ZZ,25,FALSE)</f>
        <v>扇</v>
      </c>
      <c r="AM9" s="26">
        <f>VLOOKUP($Q9,武学奇术!$A:$ZZ,26,FALSE)</f>
        <v>0.9186</v>
      </c>
      <c r="AN9" s="27">
        <f>VLOOKUP($Q9,武学奇术!$A:$ZZ,27,FALSE)*(1+IF(OR($AL9=$F$4,$AL9=$F$5),$B$22,0))</f>
        <v>381</v>
      </c>
      <c r="AO9" s="26">
        <f>VLOOKUP($Q9,武学奇术!$A:$ZZ,28,FALSE)</f>
        <v>1.3779</v>
      </c>
      <c r="AP9" s="27">
        <f>VLOOKUP($Q9,武学奇术!$A:$ZZ,29,FALSE)*(1+IF(OR($AL9=$F$4,$AL9=$F$5),$B$22,0))</f>
        <v>207</v>
      </c>
      <c r="AQ9" s="26" cm="1">
        <f t="array" ref="AQ9">$G$3+IFERROR(VLOOKUP($AL9,$F$4:$G$7,2,FALSE),0)+VLOOKUP($Q9,武学奇术!$A:$ZZ,2,FALSE)+SUM(_xlfn.XLOOKUP($R9:$AK9,增益!$A:$A,增益!$B:$B,0))</f>
        <v>0.4289</v>
      </c>
      <c r="AR9" s="26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3611.1</v>
      </c>
      <c r="AT9" cm="1">
        <f t="array" ref="AT9">$E$10*(1+$AR9)+VLOOKUP($Q9,武学奇术!$A:$ZZ,4,FALSE)+SUM(_xlfn.XLOOKUP($R9:$AK9,增益!$A:$A,增益!$D:$D,0))-$I$2</f>
        <v>3611.1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0.227</v>
      </c>
      <c r="AV9" s="32" cm="1">
        <f t="array" ref="AV9">$G$10+VLOOKUP($Q9,武学奇术!$A:$ZZ,7,FALSE)+SUM(_xlfn.XLOOKUP($R9:$AK9,增益!$A:$A,增益!$G:$G,0))</f>
        <v>0.205</v>
      </c>
      <c r="AW9" s="26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2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2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1823.136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2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2" cm="1">
        <f t="array" ref="BM9">$G$14+VLOOKUP($Q9,武学奇术!$A:$ZZ,16,FALSE)+SUM(_xlfn.XLOOKUP($R9:$AK9,增益!$A:$A,增益!$P:$P,0))</f>
        <v>0.06</v>
      </c>
      <c r="BN9" s="26">
        <f>MIN(IF(VLOOKUP($Q9,武学奇术!$A:$ZZ,23,FALSE)=1,100%,$B$8),100%)</f>
        <v>0.9859</v>
      </c>
      <c r="BO9" s="26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6" cm="1">
        <f t="array" ref="BP9">1+$B$13+VLOOKUP($Q9,武学奇术!$A:$ZZ,18,FALSE)+SUM(_xlfn.XLOOKUP($R9:$AK9,增益!$A:$A,增益!$R:$R,0))</f>
        <v>1.55</v>
      </c>
      <c r="BQ9" s="26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6" cm="1">
        <f t="array" ref="BR9">1+$B$14+VLOOKUP($Q9,武学奇术!$A:$ZZ,20,FALSE)+SUM(_xlfn.XLOOKUP($R9:$AK9,增益!$A:$A,增益!$T:$T,0))</f>
        <v>1.35</v>
      </c>
      <c r="BS9" s="26">
        <f t="shared" si="9"/>
        <v>0.87863408</v>
      </c>
      <c r="BT9" s="26">
        <f t="shared" si="10"/>
        <v>0.01567581</v>
      </c>
      <c r="BU9" s="26">
        <f>IF(VLOOKUP($Q9,武学奇术!$A:$ZZ,22,FALSE)=1,0,(1-$BN9))*(1-$BQ9)</f>
        <v>0.01279011</v>
      </c>
      <c r="BV9" s="26" cm="1">
        <f t="array" ref="BV9">SUM(_xlfn.XLOOKUP($R9:$AK9,增益!$A:$A,增益!$W:$W,0))+$I$5</f>
        <v>0.11</v>
      </c>
    </row>
    <row r="10" spans="1:74">
      <c r="A10" s="41" t="s">
        <v>112</v>
      </c>
      <c r="B10" s="70">
        <f>期望!B10</f>
        <v>0.0929</v>
      </c>
      <c r="C10" s="20" t="s">
        <v>71</v>
      </c>
      <c r="D10">
        <f>期望!D10</f>
        <v>4231.1</v>
      </c>
      <c r="E10">
        <f>期望!E10</f>
        <v>4231.1</v>
      </c>
      <c r="F10">
        <f>期望!F10</f>
        <v>58.4</v>
      </c>
      <c r="G10" s="49">
        <f>期望!G10</f>
        <v>0.025</v>
      </c>
      <c r="H10" s="68" t="s">
        <v>113</v>
      </c>
      <c r="I10" s="73">
        <f>SUM(K:K)</f>
        <v>9626330.533347</v>
      </c>
      <c r="J10" s="74"/>
      <c r="K10" s="38">
        <f t="shared" si="0"/>
        <v>55153.1189455295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55843.2778194454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55264.3003467726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35796.9729611829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30657.4271469788</v>
      </c>
      <c r="P10" s="39">
        <v>1</v>
      </c>
      <c r="Q10" s="40" t="s">
        <v>114</v>
      </c>
      <c r="R10" s="40" t="s">
        <v>85</v>
      </c>
      <c r="S10" s="40" t="s">
        <v>86</v>
      </c>
      <c r="T10" s="40" t="s">
        <v>97</v>
      </c>
      <c r="U10" s="40" t="s">
        <v>79</v>
      </c>
      <c r="V10" s="40" t="s">
        <v>73</v>
      </c>
      <c r="W10" s="40" t="s">
        <v>115</v>
      </c>
      <c r="X10" s="40" t="s">
        <v>87</v>
      </c>
      <c r="Y10" s="40" t="s">
        <v>80</v>
      </c>
      <c r="Z10" s="40" t="s">
        <v>80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81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80</v>
      </c>
      <c r="AL10" t="str">
        <f>VLOOKUP($Q10,武学奇术!$A:$ZZ,25,FALSE)</f>
        <v>扇</v>
      </c>
      <c r="AM10" s="26">
        <f>VLOOKUP($Q10,武学奇术!$A:$ZZ,26,FALSE)</f>
        <v>2.1435</v>
      </c>
      <c r="AN10" s="27">
        <f>VLOOKUP($Q10,武学奇术!$A:$ZZ,27,FALSE)*(1+IF(OR($AL10=$F$4,$AL10=$F$5),$B$22,0))</f>
        <v>888</v>
      </c>
      <c r="AO10" s="26">
        <f>VLOOKUP($Q10,武学奇术!$A:$ZZ,28,FALSE)</f>
        <v>3.2152</v>
      </c>
      <c r="AP10" s="27">
        <f>VLOOKUP($Q10,武学奇术!$A:$ZZ,29,FALSE)*(1+IF(OR($AL10=$F$4,$AL10=$F$5),$B$22,0))</f>
        <v>484.5</v>
      </c>
      <c r="AQ10" s="26" cm="1">
        <f t="array" ref="AQ10">$G$3+IFERROR(VLOOKUP($AL10,$F$4:$G$7,2,FALSE),0)+VLOOKUP($Q10,武学奇术!$A:$ZZ,2,FALSE)+SUM(_xlfn.XLOOKUP($R10:$AK10,增益!$A:$A,增益!$B:$B,0))</f>
        <v>0.6339</v>
      </c>
      <c r="AR10" s="26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3611.1</v>
      </c>
      <c r="AT10" cm="1">
        <f t="array" ref="AT10">$E$10*(1+$AR10)+VLOOKUP($Q10,武学奇术!$A:$ZZ,4,FALSE)+SUM(_xlfn.XLOOKUP($R10:$AK10,增益!$A:$A,增益!$D:$D,0))-$I$2</f>
        <v>3611.1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0.227</v>
      </c>
      <c r="AV10" s="32" cm="1">
        <f t="array" ref="AV10">$G$10+VLOOKUP($Q10,武学奇术!$A:$ZZ,7,FALSE)+SUM(_xlfn.XLOOKUP($R10:$AK10,增益!$A:$A,增益!$G:$G,0))</f>
        <v>0.205</v>
      </c>
      <c r="AW10" s="26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2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2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1823.136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2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2" cm="1">
        <f t="array" ref="BM10">$G$14+VLOOKUP($Q10,武学奇术!$A:$ZZ,16,FALSE)+SUM(_xlfn.XLOOKUP($R10:$AK10,增益!$A:$A,增益!$P:$P,0))</f>
        <v>0.06</v>
      </c>
      <c r="BN10" s="26">
        <f>MIN(IF(VLOOKUP($Q10,武学奇术!$A:$ZZ,23,FALSE)=1,100%,$B$8),100%)</f>
        <v>0.9859</v>
      </c>
      <c r="BO10" s="26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6" cm="1">
        <f t="array" ref="BP10">1+$B$13+VLOOKUP($Q10,武学奇术!$A:$ZZ,18,FALSE)+SUM(_xlfn.XLOOKUP($R10:$AK10,增益!$A:$A,增益!$R:$R,0))</f>
        <v>1.56</v>
      </c>
      <c r="BQ10" s="26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6" cm="1">
        <f t="array" ref="BR10">1+$B$14+VLOOKUP($Q10,武学奇术!$A:$ZZ,20,FALSE)+SUM(_xlfn.XLOOKUP($R10:$AK10,增益!$A:$A,增益!$T:$T,0))</f>
        <v>1.35</v>
      </c>
      <c r="BS10" s="26">
        <f t="shared" si="9"/>
        <v>0.87863408</v>
      </c>
      <c r="BT10" s="26">
        <f t="shared" si="10"/>
        <v>0.01567581</v>
      </c>
      <c r="BU10" s="26">
        <f>IF(VLOOKUP($Q10,武学奇术!$A:$ZZ,22,FALSE)=1,0,(1-$BN10))*(1-$BQ10)</f>
        <v>0.01279011</v>
      </c>
      <c r="BV10" s="26" cm="1">
        <f t="array" ref="BV10">SUM(_xlfn.XLOOKUP($R10:$AK10,增益!$A:$A,增益!$W:$W,0))+$I$5</f>
        <v>0.11</v>
      </c>
    </row>
    <row r="11" ht="14.25" spans="1:74">
      <c r="A11" s="41" t="s">
        <v>116</v>
      </c>
      <c r="B11" s="70">
        <f>期望!B11</f>
        <v>0.092</v>
      </c>
      <c r="C11" s="20" t="s">
        <v>83</v>
      </c>
      <c r="D11">
        <f>期望!D11</f>
        <v>0</v>
      </c>
      <c r="E11">
        <f>期望!E11</f>
        <v>0</v>
      </c>
      <c r="F11">
        <f>期望!F11</f>
        <v>0</v>
      </c>
      <c r="G11" s="49">
        <f>期望!G11</f>
        <v>0</v>
      </c>
      <c r="H11" s="71"/>
      <c r="I11" s="75"/>
      <c r="J11" s="76"/>
      <c r="K11" s="38">
        <f t="shared" si="0"/>
        <v>146778.118285979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151412.183092695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124467.325614485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81404.3995122015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70610.7800507104</v>
      </c>
      <c r="P11" s="39">
        <v>1</v>
      </c>
      <c r="Q11" s="40" t="s">
        <v>117</v>
      </c>
      <c r="R11" s="40" t="s">
        <v>91</v>
      </c>
      <c r="S11" s="40" t="s">
        <v>86</v>
      </c>
      <c r="T11" s="40" t="s">
        <v>78</v>
      </c>
      <c r="U11" s="40" t="s">
        <v>79</v>
      </c>
      <c r="V11" s="40" t="s">
        <v>73</v>
      </c>
      <c r="W11" s="40" t="s">
        <v>115</v>
      </c>
      <c r="X11" s="40" t="s">
        <v>87</v>
      </c>
      <c r="Y11" s="40" t="s">
        <v>80</v>
      </c>
      <c r="Z11" s="40" t="s">
        <v>80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81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80</v>
      </c>
      <c r="AL11" t="str">
        <f>VLOOKUP($Q11,武学奇术!$A:$ZZ,25,FALSE)</f>
        <v>鼓</v>
      </c>
      <c r="AM11" s="26">
        <f>VLOOKUP($Q11,武学奇术!$A:$ZZ,26,FALSE)</f>
        <v>3.08125</v>
      </c>
      <c r="AN11" s="27">
        <f>VLOOKUP($Q11,武学奇术!$A:$ZZ,27,FALSE)*(1+IF(OR($AL11=$F$4,$AL11=$F$5),$B$22,0))</f>
        <v>1277.55</v>
      </c>
      <c r="AO11" s="26">
        <f>VLOOKUP($Q11,武学奇术!$A:$ZZ,28,FALSE)</f>
        <v>4.62196</v>
      </c>
      <c r="AP11" s="27">
        <f>VLOOKUP($Q11,武学奇术!$A:$ZZ,29,FALSE)*(1+IF(OR($AL11=$F$4,$AL11=$F$5),$B$22,0))</f>
        <v>696.15</v>
      </c>
      <c r="AQ11" s="26" cm="1">
        <f t="array" ref="AQ11">$G$3+IFERROR(VLOOKUP($AL11,$F$4:$G$7,2,FALSE),0)+VLOOKUP($Q11,武学奇术!$A:$ZZ,2,FALSE)+SUM(_xlfn.XLOOKUP($R11:$AK11,增益!$A:$A,增益!$B:$B,0))</f>
        <v>0.6291</v>
      </c>
      <c r="AR11" s="26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4372.698</v>
      </c>
      <c r="AT11" cm="1">
        <f t="array" ref="AT11">$E$10*(1+$AR11)+VLOOKUP($Q11,武学奇术!$A:$ZZ,4,FALSE)+SUM(_xlfn.XLOOKUP($R11:$AK11,增益!$A:$A,增益!$D:$D,0))-$I$2</f>
        <v>4372.698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0.297</v>
      </c>
      <c r="AV11" s="32" cm="1">
        <f t="array" ref="AV11">$G$10+VLOOKUP($Q11,武学奇术!$A:$ZZ,7,FALSE)+SUM(_xlfn.XLOOKUP($R11:$AK11,增益!$A:$A,增益!$G:$G,0))</f>
        <v>0.205</v>
      </c>
      <c r="AW11" s="26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2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2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1920.804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2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2" cm="1">
        <f t="array" ref="BM11">$G$14+VLOOKUP($Q11,武学奇术!$A:$ZZ,16,FALSE)+SUM(_xlfn.XLOOKUP($R11:$AK11,增益!$A:$A,增益!$P:$P,0))</f>
        <v>0.06</v>
      </c>
      <c r="BN11" s="26">
        <f>MIN(IF(VLOOKUP($Q11,武学奇术!$A:$ZZ,23,FALSE)=1,100%,$B$8),100%)</f>
        <v>0.9859</v>
      </c>
      <c r="BO11" s="26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6" cm="1">
        <f t="array" ref="BP11">1+$B$13+VLOOKUP($Q11,武学奇术!$A:$ZZ,18,FALSE)+SUM(_xlfn.XLOOKUP($R11:$AK11,增益!$A:$A,增益!$R:$R,0))</f>
        <v>1.86</v>
      </c>
      <c r="BQ11" s="26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6" cm="1">
        <f t="array" ref="BR11">1+$B$14+VLOOKUP($Q11,武学奇术!$A:$ZZ,20,FALSE)+SUM(_xlfn.XLOOKUP($R11:$AK11,增益!$A:$A,增益!$T:$T,0))</f>
        <v>1.35</v>
      </c>
      <c r="BS11" s="26">
        <f t="shared" si="9"/>
        <v>0.87863408</v>
      </c>
      <c r="BT11" s="26">
        <f t="shared" si="10"/>
        <v>0.01567581</v>
      </c>
      <c r="BU11" s="26">
        <f>IF(VLOOKUP($Q11,武学奇术!$A:$ZZ,22,FALSE)=1,0,(1-$BN11))*(1-$BQ11)</f>
        <v>0.01279011</v>
      </c>
      <c r="BV11" s="26" cm="1">
        <f t="array" ref="BV11">SUM(_xlfn.XLOOKUP($R11:$AK11,增益!$A:$A,增益!$W:$W,0))+$I$5</f>
        <v>0.11</v>
      </c>
    </row>
    <row r="12" spans="1:74">
      <c r="A12" s="41" t="s">
        <v>118</v>
      </c>
      <c r="B12" s="70">
        <f>期望!B12</f>
        <v>0</v>
      </c>
      <c r="C12" s="20" t="s">
        <v>88</v>
      </c>
      <c r="D12">
        <f>期望!D12</f>
        <v>0</v>
      </c>
      <c r="E12">
        <f>期望!E12</f>
        <v>0</v>
      </c>
      <c r="F12">
        <f>期望!F12</f>
        <v>0</v>
      </c>
      <c r="G12" s="49">
        <f>期望!G12</f>
        <v>0</v>
      </c>
      <c r="H12" s="68" t="s">
        <v>119</v>
      </c>
      <c r="I12" s="38">
        <f>I10/I8</f>
        <v>95499.3108466964</v>
      </c>
      <c r="J12" s="77"/>
      <c r="K12" s="38">
        <f t="shared" si="0"/>
        <v>298331.618751126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307917.834286404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251615.285017295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164661.943468665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142942.194331927</v>
      </c>
      <c r="P12" s="39">
        <v>2</v>
      </c>
      <c r="Q12" s="40" t="s">
        <v>117</v>
      </c>
      <c r="R12" s="40" t="s">
        <v>95</v>
      </c>
      <c r="S12" s="40" t="s">
        <v>92</v>
      </c>
      <c r="T12" s="40" t="s">
        <v>78</v>
      </c>
      <c r="U12" s="40" t="s">
        <v>79</v>
      </c>
      <c r="V12" s="40" t="s">
        <v>73</v>
      </c>
      <c r="W12" s="40" t="s">
        <v>115</v>
      </c>
      <c r="X12" s="40" t="s">
        <v>87</v>
      </c>
      <c r="Y12" s="40" t="s">
        <v>80</v>
      </c>
      <c r="Z12" s="40" t="s">
        <v>80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81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80</v>
      </c>
      <c r="AL12" t="str">
        <f>VLOOKUP($Q12,武学奇术!$A:$ZZ,25,FALSE)</f>
        <v>鼓</v>
      </c>
      <c r="AM12" s="26">
        <f>VLOOKUP($Q12,武学奇术!$A:$ZZ,26,FALSE)</f>
        <v>3.08125</v>
      </c>
      <c r="AN12" s="27">
        <f>VLOOKUP($Q12,武学奇术!$A:$ZZ,27,FALSE)*(1+IF(OR($AL12=$F$4,$AL12=$F$5),$B$22,0))</f>
        <v>1277.55</v>
      </c>
      <c r="AO12" s="26">
        <f>VLOOKUP($Q12,武学奇术!$A:$ZZ,28,FALSE)</f>
        <v>4.62196</v>
      </c>
      <c r="AP12" s="27">
        <f>VLOOKUP($Q12,武学奇术!$A:$ZZ,29,FALSE)*(1+IF(OR($AL12=$F$4,$AL12=$F$5),$B$22,0))</f>
        <v>696.15</v>
      </c>
      <c r="AQ12" s="26" cm="1">
        <f t="array" ref="AQ12">$G$3+IFERROR(VLOOKUP($AL12,$F$4:$G$7,2,FALSE),0)+VLOOKUP($Q12,武学奇术!$A:$ZZ,2,FALSE)+SUM(_xlfn.XLOOKUP($R12:$AK12,增益!$A:$A,增益!$B:$B,0))</f>
        <v>0.6391</v>
      </c>
      <c r="AR12" s="26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4372.698</v>
      </c>
      <c r="AT12" cm="1">
        <f t="array" ref="AT12">$E$10*(1+$AR12)+VLOOKUP($Q12,武学奇术!$A:$ZZ,4,FALSE)+SUM(_xlfn.XLOOKUP($R12:$AK12,增益!$A:$A,增益!$D:$D,0))-$I$2</f>
        <v>4372.698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0.307</v>
      </c>
      <c r="AV12" s="32" cm="1">
        <f t="array" ref="AV12">$G$10+VLOOKUP($Q12,武学奇术!$A:$ZZ,7,FALSE)+SUM(_xlfn.XLOOKUP($R12:$AK12,增益!$A:$A,增益!$G:$G,0))</f>
        <v>0.205</v>
      </c>
      <c r="AW12" s="26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2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2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1920.804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2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2" cm="1">
        <f t="array" ref="BM12">$G$14+VLOOKUP($Q12,武学奇术!$A:$ZZ,16,FALSE)+SUM(_xlfn.XLOOKUP($R12:$AK12,增益!$A:$A,增益!$P:$P,0))</f>
        <v>0.06</v>
      </c>
      <c r="BN12" s="26">
        <f>MIN(IF(VLOOKUP($Q12,武学奇术!$A:$ZZ,23,FALSE)=1,100%,$B$8),100%)</f>
        <v>0.9859</v>
      </c>
      <c r="BO12" s="26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6" cm="1">
        <f t="array" ref="BP12">1+$B$13+VLOOKUP($Q12,武学奇术!$A:$ZZ,18,FALSE)+SUM(_xlfn.XLOOKUP($R12:$AK12,增益!$A:$A,增益!$R:$R,0))</f>
        <v>1.87</v>
      </c>
      <c r="BQ12" s="26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6" cm="1">
        <f t="array" ref="BR12">1+$B$14+VLOOKUP($Q12,武学奇术!$A:$ZZ,20,FALSE)+SUM(_xlfn.XLOOKUP($R12:$AK12,增益!$A:$A,增益!$T:$T,0))</f>
        <v>1.35</v>
      </c>
      <c r="BS12" s="26">
        <f t="shared" si="9"/>
        <v>0.87863408</v>
      </c>
      <c r="BT12" s="26">
        <f t="shared" si="10"/>
        <v>0.01567581</v>
      </c>
      <c r="BU12" s="26">
        <f>IF(VLOOKUP($Q12,武学奇术!$A:$ZZ,22,FALSE)=1,0,(1-$BN12))*(1-$BQ12)</f>
        <v>0.01279011</v>
      </c>
      <c r="BV12" s="26" cm="1">
        <f t="array" ref="BV12">SUM(_xlfn.XLOOKUP($R12:$AK12,增益!$A:$A,增益!$W:$W,0))+$I$5</f>
        <v>0.11</v>
      </c>
    </row>
    <row r="13" ht="14.25" spans="1:74">
      <c r="A13" s="41" t="s">
        <v>120</v>
      </c>
      <c r="B13" s="70">
        <f>期望!B13</f>
        <v>0.54</v>
      </c>
      <c r="C13" s="20" t="s">
        <v>5</v>
      </c>
      <c r="D13">
        <f>期望!D13</f>
        <v>571.2</v>
      </c>
      <c r="E13">
        <f>期望!E13</f>
        <v>1627.8</v>
      </c>
      <c r="F13">
        <f>期望!F13</f>
        <v>30</v>
      </c>
      <c r="G13" s="49">
        <f>期望!G13</f>
        <v>0.15</v>
      </c>
      <c r="H13" s="71"/>
      <c r="I13" s="78"/>
      <c r="J13" s="76"/>
      <c r="K13" s="38">
        <f t="shared" si="0"/>
        <v>399099.106545802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414082.528064569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319374.712104501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209132.5899316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181691.319045052</v>
      </c>
      <c r="P13" s="39">
        <v>2</v>
      </c>
      <c r="Q13" s="40" t="s">
        <v>121</v>
      </c>
      <c r="R13" s="40" t="s">
        <v>100</v>
      </c>
      <c r="S13" s="40" t="s">
        <v>96</v>
      </c>
      <c r="T13" s="40" t="s">
        <v>78</v>
      </c>
      <c r="U13" s="40" t="s">
        <v>79</v>
      </c>
      <c r="V13" s="40" t="s">
        <v>73</v>
      </c>
      <c r="W13" s="40" t="s">
        <v>115</v>
      </c>
      <c r="X13" s="40" t="s">
        <v>87</v>
      </c>
      <c r="Y13" s="40" t="s">
        <v>80</v>
      </c>
      <c r="Z13" s="40" t="s">
        <v>80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81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80</v>
      </c>
      <c r="AL13" t="str">
        <f>VLOOKUP($Q13,武学奇术!$A:$ZZ,25,FALSE)</f>
        <v>鼓</v>
      </c>
      <c r="AM13" s="26">
        <f>VLOOKUP($Q13,武学奇术!$A:$ZZ,26,FALSE)</f>
        <v>3.75547</v>
      </c>
      <c r="AN13" s="27">
        <f>VLOOKUP($Q13,武学奇术!$A:$ZZ,27,FALSE)*(1+IF(OR($AL13=$F$4,$AL13=$F$5),$B$22,0))</f>
        <v>1558.05</v>
      </c>
      <c r="AO13" s="26">
        <f>VLOOKUP($Q13,武学奇术!$A:$ZZ,28,FALSE)</f>
        <v>5.63329</v>
      </c>
      <c r="AP13" s="27">
        <f>VLOOKUP($Q13,武学奇术!$A:$ZZ,29,FALSE)*(1+IF(OR($AL13=$F$4,$AL13=$F$5),$B$22,0))</f>
        <v>849.15</v>
      </c>
      <c r="AQ13" s="26" cm="1">
        <f t="array" ref="AQ13">$G$3+IFERROR(VLOOKUP($AL13,$F$4:$G$7,2,FALSE),0)+VLOOKUP($Q13,武学奇术!$A:$ZZ,2,FALSE)+SUM(_xlfn.XLOOKUP($R13:$AK13,增益!$A:$A,增益!$B:$B,0))</f>
        <v>0.6991</v>
      </c>
      <c r="AR13" s="26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4372.698</v>
      </c>
      <c r="AT13" cm="1">
        <f t="array" ref="AT13">$E$10*(1+$AR13)+VLOOKUP($Q13,武学奇术!$A:$ZZ,4,FALSE)+SUM(_xlfn.XLOOKUP($R13:$AK13,增益!$A:$A,增益!$D:$D,0))-$I$2</f>
        <v>4372.698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0.317</v>
      </c>
      <c r="AV13" s="32" cm="1">
        <f t="array" ref="AV13">$G$10+VLOOKUP($Q13,武学奇术!$A:$ZZ,7,FALSE)+SUM(_xlfn.XLOOKUP($R13:$AK13,增益!$A:$A,增益!$G:$G,0))</f>
        <v>0.205</v>
      </c>
      <c r="AW13" s="26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2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2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1920.804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2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2" cm="1">
        <f t="array" ref="BM13">$G$14+VLOOKUP($Q13,武学奇术!$A:$ZZ,16,FALSE)+SUM(_xlfn.XLOOKUP($R13:$AK13,增益!$A:$A,增益!$P:$P,0))</f>
        <v>0.06</v>
      </c>
      <c r="BN13" s="26">
        <f>MIN(IF(VLOOKUP($Q13,武学奇术!$A:$ZZ,23,FALSE)=1,100%,$B$8),100%)</f>
        <v>0.9859</v>
      </c>
      <c r="BO13" s="26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6" cm="1">
        <f t="array" ref="BP13">1+$B$13+VLOOKUP($Q13,武学奇术!$A:$ZZ,18,FALSE)+SUM(_xlfn.XLOOKUP($R13:$AK13,增益!$A:$A,增益!$R:$R,0))</f>
        <v>1.98</v>
      </c>
      <c r="BQ13" s="26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6" cm="1">
        <f t="array" ref="BR13">1+$B$14+VLOOKUP($Q13,武学奇术!$A:$ZZ,20,FALSE)+SUM(_xlfn.XLOOKUP($R13:$AK13,增益!$A:$A,增益!$T:$T,0))</f>
        <v>1.35</v>
      </c>
      <c r="BS13" s="26">
        <f t="shared" si="9"/>
        <v>0.87863408</v>
      </c>
      <c r="BT13" s="26">
        <f t="shared" si="10"/>
        <v>0.01567581</v>
      </c>
      <c r="BU13" s="26">
        <f>IF(VLOOKUP($Q13,武学奇术!$A:$ZZ,22,FALSE)=1,0,(1-$BN13))*(1-$BQ13)</f>
        <v>0.01279011</v>
      </c>
      <c r="BV13" s="26" cm="1">
        <f t="array" ref="BV13">SUM(_xlfn.XLOOKUP($R13:$AK13,增益!$A:$A,增益!$W:$W,0))+$I$5</f>
        <v>0.11</v>
      </c>
    </row>
    <row r="14" ht="14.25" spans="1:74">
      <c r="A14" s="41" t="s">
        <v>122</v>
      </c>
      <c r="B14" s="70">
        <f>期望!B14</f>
        <v>0.35</v>
      </c>
      <c r="C14" s="21" t="s">
        <v>98</v>
      </c>
      <c r="D14" s="21">
        <f>期望!D14</f>
        <v>0</v>
      </c>
      <c r="E14" s="21">
        <f>期望!E14</f>
        <v>0</v>
      </c>
      <c r="F14" s="21">
        <f>期望!F14</f>
        <v>0</v>
      </c>
      <c r="G14" s="64">
        <f>期望!G14</f>
        <v>0</v>
      </c>
      <c r="H14" s="36" t="s">
        <v>123</v>
      </c>
      <c r="I14" s="73">
        <f>I12+120000*34%</f>
        <v>136299.310846696</v>
      </c>
      <c r="J14" s="74"/>
      <c r="K14" s="38">
        <f t="shared" si="0"/>
        <v>62982.7705448097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63870.2953828088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62287.757443951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40424.2375840562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34709.3955800006</v>
      </c>
      <c r="P14" s="39">
        <v>1</v>
      </c>
      <c r="Q14" s="40" t="s">
        <v>124</v>
      </c>
      <c r="R14" s="40" t="s">
        <v>100</v>
      </c>
      <c r="S14" s="40" t="s">
        <v>96</v>
      </c>
      <c r="T14" s="40" t="s">
        <v>97</v>
      </c>
      <c r="U14" s="40" t="s">
        <v>79</v>
      </c>
      <c r="V14" s="40" t="s">
        <v>73</v>
      </c>
      <c r="W14" s="40" t="s">
        <v>115</v>
      </c>
      <c r="X14" s="40" t="s">
        <v>87</v>
      </c>
      <c r="Y14" s="40" t="s">
        <v>80</v>
      </c>
      <c r="Z14" s="40" t="s">
        <v>80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81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80</v>
      </c>
      <c r="AL14" t="str">
        <f>VLOOKUP($Q14,武学奇术!$A:$ZZ,25,FALSE)</f>
        <v>鼓</v>
      </c>
      <c r="AM14" s="26">
        <f>VLOOKUP($Q14,武学奇术!$A:$ZZ,26,FALSE)</f>
        <v>2.514</v>
      </c>
      <c r="AN14" s="27">
        <f>VLOOKUP($Q14,武学奇术!$A:$ZZ,27,FALSE)*(1+IF(OR($AL14=$F$4,$AL14=$F$5),$B$22,0))</f>
        <v>1044</v>
      </c>
      <c r="AO14" s="26">
        <f>VLOOKUP($Q14,武学奇术!$A:$ZZ,28,FALSE)</f>
        <v>3.7708</v>
      </c>
      <c r="AP14" s="27">
        <f>VLOOKUP($Q14,武学奇术!$A:$ZZ,29,FALSE)*(1+IF(OR($AL14=$F$4,$AL14=$F$5),$B$22,0))</f>
        <v>564</v>
      </c>
      <c r="AQ14" s="26" cm="1">
        <f t="array" ref="AQ14">$G$3+IFERROR(VLOOKUP($AL14,$F$4:$G$7,2,FALSE),0)+VLOOKUP($Q14,武学奇术!$A:$ZZ,2,FALSE)+SUM(_xlfn.XLOOKUP($R14:$AK14,增益!$A:$A,增益!$B:$B,0))</f>
        <v>0.5491</v>
      </c>
      <c r="AR14" s="26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3611.1</v>
      </c>
      <c r="AT14" cm="1">
        <f t="array" ref="AT14">$E$10*(1+$AR14)+VLOOKUP($Q14,武学奇术!$A:$ZZ,4,FALSE)+SUM(_xlfn.XLOOKUP($R14:$AK14,增益!$A:$A,增益!$D:$D,0))-$I$2</f>
        <v>3611.1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0.257</v>
      </c>
      <c r="AV14" s="32" cm="1">
        <f t="array" ref="AV14">$G$10+VLOOKUP($Q14,武学奇术!$A:$ZZ,7,FALSE)+SUM(_xlfn.XLOOKUP($R14:$AK14,增益!$A:$A,增益!$G:$G,0))</f>
        <v>0.205</v>
      </c>
      <c r="AW14" s="26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2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2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1823.136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2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2" cm="1">
        <f t="array" ref="BM14">$G$14+VLOOKUP($Q14,武学奇术!$A:$ZZ,16,FALSE)+SUM(_xlfn.XLOOKUP($R14:$AK14,增益!$A:$A,增益!$P:$P,0))</f>
        <v>0.06</v>
      </c>
      <c r="BN14" s="26">
        <f>MIN(IF(VLOOKUP($Q14,武学奇术!$A:$ZZ,23,FALSE)=1,100%,$B$8),100%)</f>
        <v>0.9859</v>
      </c>
      <c r="BO14" s="26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6" cm="1">
        <f t="array" ref="BP14">1+$B$13+VLOOKUP($Q14,武学奇术!$A:$ZZ,18,FALSE)+SUM(_xlfn.XLOOKUP($R14:$AK14,增益!$A:$A,增益!$R:$R,0))</f>
        <v>1.58</v>
      </c>
      <c r="BQ14" s="26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6" cm="1">
        <f t="array" ref="BR14">1+$B$14+VLOOKUP($Q14,武学奇术!$A:$ZZ,20,FALSE)+SUM(_xlfn.XLOOKUP($R14:$AK14,增益!$A:$A,增益!$T:$T,0))</f>
        <v>1.35</v>
      </c>
      <c r="BS14" s="26">
        <f t="shared" si="9"/>
        <v>0.87863408</v>
      </c>
      <c r="BT14" s="26">
        <f t="shared" si="10"/>
        <v>0.01567581</v>
      </c>
      <c r="BU14" s="26">
        <f>IF(VLOOKUP($Q14,武学奇术!$A:$ZZ,22,FALSE)=1,0,(1-$BN14))*(1-$BQ14)</f>
        <v>0.01279011</v>
      </c>
      <c r="BV14" s="26" cm="1">
        <f t="array" ref="BV14">SUM(_xlfn.XLOOKUP($R14:$AK14,增益!$A:$A,增益!$W:$W,0))+$I$5</f>
        <v>0.11</v>
      </c>
    </row>
    <row r="15" ht="14.25" spans="1:74">
      <c r="A15" s="41" t="s">
        <v>125</v>
      </c>
      <c r="B15" s="70">
        <f>期望!B15</f>
        <v>0.0852</v>
      </c>
      <c r="C15" s="39" t="s">
        <v>126</v>
      </c>
      <c r="D15" s="39"/>
      <c r="F15" s="79"/>
      <c r="H15" s="80"/>
      <c r="I15" s="75"/>
      <c r="J15" s="76"/>
      <c r="K15" s="38">
        <f t="shared" si="0"/>
        <v>122602.808804703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126527.40357089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103743.804113815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67301.8104100477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57756.3585135658</v>
      </c>
      <c r="P15" s="39">
        <v>1</v>
      </c>
      <c r="Q15" s="40" t="s">
        <v>127</v>
      </c>
      <c r="R15" s="40" t="s">
        <v>100</v>
      </c>
      <c r="S15" s="40" t="s">
        <v>96</v>
      </c>
      <c r="T15" s="40" t="s">
        <v>97</v>
      </c>
      <c r="U15" s="40" t="s">
        <v>79</v>
      </c>
      <c r="V15" s="40" t="s">
        <v>73</v>
      </c>
      <c r="W15" s="40" t="s">
        <v>115</v>
      </c>
      <c r="X15" s="40" t="s">
        <v>87</v>
      </c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81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80</v>
      </c>
      <c r="AL15" t="str">
        <f>VLOOKUP($Q15,武学奇术!$A:$ZZ,25,FALSE)</f>
        <v>鼓</v>
      </c>
      <c r="AM15" s="26">
        <f>VLOOKUP($Q15,武学奇术!$A:$ZZ,26,FALSE)</f>
        <v>3.52968</v>
      </c>
      <c r="AN15" s="27">
        <f>VLOOKUP($Q15,武学奇术!$A:$ZZ,27,FALSE)*(1+IF(OR($AL15=$F$4,$AL15=$F$5),$B$22,0))</f>
        <v>1465.8</v>
      </c>
      <c r="AO15" s="26">
        <f>VLOOKUP($Q15,武学奇术!$A:$ZZ,28,FALSE)</f>
        <v>5.29452</v>
      </c>
      <c r="AP15" s="27">
        <f>VLOOKUP($Q15,武学奇术!$A:$ZZ,29,FALSE)*(1+IF(OR($AL15=$F$4,$AL15=$F$5),$B$22,0))</f>
        <v>798</v>
      </c>
      <c r="AQ15" s="26" cm="1">
        <f t="array" ref="AQ15">$G$3+IFERROR(VLOOKUP($AL15,$F$4:$G$7,2,FALSE),0)+VLOOKUP($Q15,武学奇术!$A:$ZZ,2,FALSE)+SUM(_xlfn.XLOOKUP($R15:$AK15,增益!$A:$A,增益!$B:$B,0))</f>
        <v>0.7491</v>
      </c>
      <c r="AR15" s="26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3611.1</v>
      </c>
      <c r="AT15" cm="1">
        <f t="array" ref="AT15">$E$10*(1+$AR15)+VLOOKUP($Q15,武学奇术!$A:$ZZ,4,FALSE)+SUM(_xlfn.XLOOKUP($R15:$AK15,增益!$A:$A,增益!$D:$D,0))-$I$2</f>
        <v>3611.1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0.317</v>
      </c>
      <c r="AV15" s="32" cm="1">
        <f t="array" ref="AV15">$G$10+VLOOKUP($Q15,武学奇术!$A:$ZZ,7,FALSE)+SUM(_xlfn.XLOOKUP($R15:$AK15,增益!$A:$A,增益!$G:$G,0))</f>
        <v>0.205</v>
      </c>
      <c r="AW15" s="26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2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2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1823.136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2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2" cm="1">
        <f t="array" ref="BM15">$G$14+VLOOKUP($Q15,武学奇术!$A:$ZZ,16,FALSE)+SUM(_xlfn.XLOOKUP($R15:$AK15,增益!$A:$A,增益!$P:$P,0))</f>
        <v>0.06</v>
      </c>
      <c r="BN15" s="26">
        <f>MIN(IF(VLOOKUP($Q15,武学奇术!$A:$ZZ,23,FALSE)=1,100%,$B$8),100%)</f>
        <v>0.9859</v>
      </c>
      <c r="BO15" s="26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6" cm="1">
        <f t="array" ref="BP15">1+$B$13+VLOOKUP($Q15,武学奇术!$A:$ZZ,18,FALSE)+SUM(_xlfn.XLOOKUP($R15:$AK15,增益!$A:$A,增益!$R:$R,0))</f>
        <v>1.88</v>
      </c>
      <c r="BQ15" s="26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6" cm="1">
        <f t="array" ref="BR15">1+$B$14+VLOOKUP($Q15,武学奇术!$A:$ZZ,20,FALSE)+SUM(_xlfn.XLOOKUP($R15:$AK15,增益!$A:$A,增益!$T:$T,0))</f>
        <v>1.35</v>
      </c>
      <c r="BS15" s="26">
        <f t="shared" si="9"/>
        <v>0.87863408</v>
      </c>
      <c r="BT15" s="26">
        <f t="shared" si="10"/>
        <v>0.01567581</v>
      </c>
      <c r="BU15" s="26">
        <f>IF(VLOOKUP($Q15,武学奇术!$A:$ZZ,22,FALSE)=1,0,(1-$BN15))*(1-$BQ15)</f>
        <v>0.01279011</v>
      </c>
      <c r="BV15" s="26" cm="1">
        <f t="array" ref="BV15">SUM(_xlfn.XLOOKUP($R15:$AK15,增益!$A:$A,增益!$W:$W,0))+$I$5</f>
        <v>0.11</v>
      </c>
    </row>
    <row r="16" spans="1:74">
      <c r="A16" s="41" t="s">
        <v>128</v>
      </c>
      <c r="B16" s="70">
        <f>期望!B16</f>
        <v>0.0887</v>
      </c>
      <c r="C16" s="39" t="s">
        <v>129</v>
      </c>
      <c r="D16" s="79" t="s">
        <v>151</v>
      </c>
      <c r="E16" s="39" t="s">
        <v>131</v>
      </c>
      <c r="F16" s="79" t="s">
        <v>130</v>
      </c>
      <c r="H16" s="68" t="s">
        <v>132</v>
      </c>
      <c r="I16" s="81"/>
      <c r="J16" s="82"/>
      <c r="K16" s="38">
        <f t="shared" si="0"/>
        <v>19439.7584777636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19713.8592548529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19223.4577866219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12477.1261106664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10714.6538608721</v>
      </c>
      <c r="P16" s="39">
        <v>1</v>
      </c>
      <c r="Q16" s="40" t="s">
        <v>133</v>
      </c>
      <c r="R16" s="40" t="s">
        <v>100</v>
      </c>
      <c r="S16" s="40" t="s">
        <v>96</v>
      </c>
      <c r="T16" s="40" t="s">
        <v>97</v>
      </c>
      <c r="U16" s="40" t="s">
        <v>80</v>
      </c>
      <c r="V16" s="40" t="s">
        <v>73</v>
      </c>
      <c r="W16" s="40" t="s">
        <v>115</v>
      </c>
      <c r="X16" s="40" t="s">
        <v>87</v>
      </c>
      <c r="Y16" s="40" t="s">
        <v>80</v>
      </c>
      <c r="Z16" s="40" t="s">
        <v>80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81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80</v>
      </c>
      <c r="AL16" t="str">
        <f>VLOOKUP($Q16,武学奇术!$A:$ZZ,25,FALSE)</f>
        <v>鼓</v>
      </c>
      <c r="AM16" s="26">
        <f>VLOOKUP($Q16,武学奇术!$A:$ZZ,26,FALSE)</f>
        <v>0.8434</v>
      </c>
      <c r="AN16" s="27">
        <f>VLOOKUP($Q16,武学奇术!$A:$ZZ,27,FALSE)*(1+IF(OR($AL16=$F$4,$AL16=$F$5),$B$22,0))</f>
        <v>352.5</v>
      </c>
      <c r="AO16" s="26">
        <f>VLOOKUP($Q16,武学奇术!$A:$ZZ,28,FALSE)</f>
        <v>1.265</v>
      </c>
      <c r="AP16" s="27">
        <f>VLOOKUP($Q16,武学奇术!$A:$ZZ,29,FALSE)*(1+IF(OR($AL16=$F$4,$AL16=$F$5),$B$22,0))</f>
        <v>190.5</v>
      </c>
      <c r="AQ16" s="26" cm="1">
        <f t="array" ref="AQ16">$G$3+IFERROR(VLOOKUP($AL16,$F$4:$G$7,2,FALSE),0)+VLOOKUP($Q16,武学奇术!$A:$ZZ,2,FALSE)+SUM(_xlfn.XLOOKUP($R16:$AK16,增益!$A:$A,增益!$B:$B,0))</f>
        <v>0.4241</v>
      </c>
      <c r="AR16" s="26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3611.1</v>
      </c>
      <c r="AT16" cm="1">
        <f t="array" ref="AT16">$E$10*(1+$AR16)+VLOOKUP($Q16,武学奇术!$A:$ZZ,4,FALSE)+SUM(_xlfn.XLOOKUP($R16:$AK16,增益!$A:$A,增益!$D:$D,0))-$I$2</f>
        <v>3611.1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0.257</v>
      </c>
      <c r="AV16" s="32" cm="1">
        <f t="array" ref="AV16">$G$10+VLOOKUP($Q16,武学奇术!$A:$ZZ,7,FALSE)+SUM(_xlfn.XLOOKUP($R16:$AK16,增益!$A:$A,增益!$G:$G,0))</f>
        <v>0.205</v>
      </c>
      <c r="AW16" s="26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2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2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1823.136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2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2" cm="1">
        <f t="array" ref="BM16">$G$14+VLOOKUP($Q16,武学奇术!$A:$ZZ,16,FALSE)+SUM(_xlfn.XLOOKUP($R16:$AK16,增益!$A:$A,增益!$P:$P,0))</f>
        <v>0.06</v>
      </c>
      <c r="BN16" s="26">
        <f>MIN(IF(VLOOKUP($Q16,武学奇术!$A:$ZZ,23,FALSE)=1,100%,$B$8),100%)</f>
        <v>0.9859</v>
      </c>
      <c r="BO16" s="26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6" cm="1">
        <f t="array" ref="BP16">1+$B$13+VLOOKUP($Q16,武学奇术!$A:$ZZ,18,FALSE)+SUM(_xlfn.XLOOKUP($R16:$AK16,增益!$A:$A,增益!$R:$R,0))</f>
        <v>1.58</v>
      </c>
      <c r="BQ16" s="26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6" cm="1">
        <f t="array" ref="BR16">1+$B$14+VLOOKUP($Q16,武学奇术!$A:$ZZ,20,FALSE)+SUM(_xlfn.XLOOKUP($R16:$AK16,增益!$A:$A,增益!$T:$T,0))</f>
        <v>1.35</v>
      </c>
      <c r="BS16" s="26">
        <f t="shared" si="9"/>
        <v>0.87863408</v>
      </c>
      <c r="BT16" s="26">
        <f t="shared" si="10"/>
        <v>0.01567581</v>
      </c>
      <c r="BU16" s="26">
        <f>IF(VLOOKUP($Q16,武学奇术!$A:$ZZ,22,FALSE)=1,0,(1-$BN16))*(1-$BQ16)</f>
        <v>0.01279011</v>
      </c>
      <c r="BV16" s="26" cm="1">
        <f t="array" ref="BV16">SUM(_xlfn.XLOOKUP($R16:$AK16,增益!$A:$A,增益!$W:$W,0))+$I$5</f>
        <v>0.11</v>
      </c>
    </row>
    <row r="17" ht="14.25" spans="1:74">
      <c r="A17" s="41" t="s">
        <v>134</v>
      </c>
      <c r="B17" s="70">
        <f>期望!B17</f>
        <v>0.0852</v>
      </c>
      <c r="C17" s="39" t="s">
        <v>135</v>
      </c>
      <c r="D17" s="79" t="s">
        <v>151</v>
      </c>
      <c r="E17" s="39" t="s">
        <v>136</v>
      </c>
      <c r="F17" s="79" t="s">
        <v>151</v>
      </c>
      <c r="H17" s="71"/>
      <c r="I17" s="83"/>
      <c r="J17" s="84"/>
      <c r="K17" s="38">
        <f t="shared" si="0"/>
        <v>29542.3718114595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30503.1273315375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24877.7153804586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16139.2208103373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13850.5043018164</v>
      </c>
      <c r="P17" s="39">
        <v>1</v>
      </c>
      <c r="Q17" s="40" t="s">
        <v>137</v>
      </c>
      <c r="R17" s="40" t="s">
        <v>100</v>
      </c>
      <c r="S17" s="40" t="s">
        <v>101</v>
      </c>
      <c r="T17" s="40" t="s">
        <v>97</v>
      </c>
      <c r="U17" s="40" t="s">
        <v>80</v>
      </c>
      <c r="V17" s="40" t="s">
        <v>73</v>
      </c>
      <c r="W17" s="40" t="s">
        <v>115</v>
      </c>
      <c r="X17" s="40" t="s">
        <v>87</v>
      </c>
      <c r="Y17" s="40" t="s">
        <v>80</v>
      </c>
      <c r="Z17" s="40" t="s">
        <v>80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81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80</v>
      </c>
      <c r="AL17" t="str">
        <f>VLOOKUP($Q17,武学奇术!$A:$ZZ,25,FALSE)</f>
        <v>鼓</v>
      </c>
      <c r="AM17" s="26">
        <f>VLOOKUP($Q17,武学奇术!$A:$ZZ,26,FALSE)</f>
        <v>1.03936</v>
      </c>
      <c r="AN17" s="27">
        <f>VLOOKUP($Q17,武学奇术!$A:$ZZ,27,FALSE)*(1+IF(OR($AL17=$F$4,$AL17=$F$5),$B$22,0))</f>
        <v>432.6</v>
      </c>
      <c r="AO17" s="26">
        <f>VLOOKUP($Q17,武学奇术!$A:$ZZ,28,FALSE)</f>
        <v>1.55918</v>
      </c>
      <c r="AP17" s="27">
        <f>VLOOKUP($Q17,武学奇术!$A:$ZZ,29,FALSE)*(1+IF(OR($AL17=$F$4,$AL17=$F$5),$B$22,0))</f>
        <v>235.2</v>
      </c>
      <c r="AQ17" s="26" cm="1">
        <f t="array" ref="AQ17">$G$3+IFERROR(VLOOKUP($AL17,$F$4:$G$7,2,FALSE),0)+VLOOKUP($Q17,武学奇术!$A:$ZZ,2,FALSE)+SUM(_xlfn.XLOOKUP($R17:$AK17,增益!$A:$A,增益!$B:$B,0))</f>
        <v>0.4241</v>
      </c>
      <c r="AR17" s="26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3611.1</v>
      </c>
      <c r="AT17" cm="1">
        <f t="array" ref="AT17">$E$10*(1+$AR17)+VLOOKUP($Q17,武学奇术!$A:$ZZ,4,FALSE)+SUM(_xlfn.XLOOKUP($R17:$AK17,增益!$A:$A,增益!$D:$D,0))-$I$2</f>
        <v>3611.1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0.317</v>
      </c>
      <c r="AV17" s="32" cm="1">
        <f t="array" ref="AV17">$G$10+VLOOKUP($Q17,武学奇术!$A:$ZZ,7,FALSE)+SUM(_xlfn.XLOOKUP($R17:$AK17,增益!$A:$A,增益!$G:$G,0))</f>
        <v>0.205</v>
      </c>
      <c r="AW17" s="26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2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2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1823.136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2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2" cm="1">
        <f t="array" ref="BM17">$G$14+VLOOKUP($Q17,武学奇术!$A:$ZZ,16,FALSE)+SUM(_xlfn.XLOOKUP($R17:$AK17,增益!$A:$A,增益!$P:$P,0))</f>
        <v>0.06</v>
      </c>
      <c r="BN17" s="26">
        <f>MIN(IF(VLOOKUP($Q17,武学奇术!$A:$ZZ,23,FALSE)=1,100%,$B$8),100%)</f>
        <v>0.9859</v>
      </c>
      <c r="BO17" s="26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6" cm="1">
        <f t="array" ref="BP17">1+$B$13+VLOOKUP($Q17,武学奇术!$A:$ZZ,18,FALSE)+SUM(_xlfn.XLOOKUP($R17:$AK17,增益!$A:$A,增益!$R:$R,0))</f>
        <v>1.89</v>
      </c>
      <c r="BQ17" s="26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6" cm="1">
        <f t="array" ref="BR17">1+$B$14+VLOOKUP($Q17,武学奇术!$A:$ZZ,20,FALSE)+SUM(_xlfn.XLOOKUP($R17:$AK17,增益!$A:$A,增益!$T:$T,0))</f>
        <v>1.35</v>
      </c>
      <c r="BS17" s="26">
        <f t="shared" si="9"/>
        <v>0.87863408</v>
      </c>
      <c r="BT17" s="26">
        <f t="shared" si="10"/>
        <v>0.01567581</v>
      </c>
      <c r="BU17" s="26">
        <f>IF(VLOOKUP($Q17,武学奇术!$A:$ZZ,22,FALSE)=1,0,(1-$BN17))*(1-$BQ17)</f>
        <v>0.01279011</v>
      </c>
      <c r="BV17" s="26" cm="1">
        <f t="array" ref="BV17">SUM(_xlfn.XLOOKUP($R17:$AK17,增益!$A:$A,增益!$W:$W,0))+$I$5</f>
        <v>0.11</v>
      </c>
    </row>
    <row r="18" spans="1:74">
      <c r="A18" s="41" t="s">
        <v>138</v>
      </c>
      <c r="B18" s="70">
        <f>期望!B18</f>
        <v>0</v>
      </c>
      <c r="C18" s="39" t="s">
        <v>139</v>
      </c>
      <c r="D18" s="79" t="s">
        <v>151</v>
      </c>
      <c r="K18" s="38">
        <f t="shared" si="0"/>
        <v>93424.0777676391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96510.2073744733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78289.0104881327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50794.8459865649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43597.8323522907</v>
      </c>
      <c r="P18" s="39">
        <v>1</v>
      </c>
      <c r="Q18" s="40" t="s">
        <v>140</v>
      </c>
      <c r="R18" s="40" t="s">
        <v>100</v>
      </c>
      <c r="S18" s="40" t="s">
        <v>141</v>
      </c>
      <c r="T18" s="40" t="s">
        <v>97</v>
      </c>
      <c r="U18" s="40" t="s">
        <v>80</v>
      </c>
      <c r="V18" s="40" t="s">
        <v>73</v>
      </c>
      <c r="W18" s="40" t="s">
        <v>115</v>
      </c>
      <c r="X18" s="40" t="s">
        <v>87</v>
      </c>
      <c r="Y18" s="40" t="s">
        <v>80</v>
      </c>
      <c r="Z18" s="40" t="s">
        <v>80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81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80</v>
      </c>
      <c r="AL18" t="str">
        <f>VLOOKUP($Q18,武学奇术!$A:$ZZ,25,FALSE)</f>
        <v>鼓</v>
      </c>
      <c r="AM18" s="26">
        <f>VLOOKUP($Q18,武学奇术!$A:$ZZ,26,FALSE)</f>
        <v>3.26858</v>
      </c>
      <c r="AN18" s="27">
        <f>VLOOKUP($Q18,武学奇术!$A:$ZZ,27,FALSE)*(1+IF(OR($AL18=$F$4,$AL18=$F$5),$B$22,0))</f>
        <v>1377.6</v>
      </c>
      <c r="AO18" s="26">
        <f>VLOOKUP($Q18,武学奇术!$A:$ZZ,28,FALSE)</f>
        <v>4.90294</v>
      </c>
      <c r="AP18" s="27">
        <f>VLOOKUP($Q18,武学奇术!$A:$ZZ,29,FALSE)*(1+IF(OR($AL18=$F$4,$AL18=$F$5),$B$22,0))</f>
        <v>739.2</v>
      </c>
      <c r="AQ18" s="26" cm="1">
        <f t="array" ref="AQ18">$G$3+IFERROR(VLOOKUP($AL18,$F$4:$G$7,2,FALSE),0)+VLOOKUP($Q18,武学奇术!$A:$ZZ,2,FALSE)+SUM(_xlfn.XLOOKUP($R18:$AK18,增益!$A:$A,增益!$B:$B,0))</f>
        <v>0.4241</v>
      </c>
      <c r="AR18" s="26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3611.1</v>
      </c>
      <c r="AT18" cm="1">
        <f t="array" ref="AT18">$E$10*(1+$AR18)+VLOOKUP($Q18,武学奇术!$A:$ZZ,4,FALSE)+SUM(_xlfn.XLOOKUP($R18:$AK18,增益!$A:$A,增益!$D:$D,0))-$I$2</f>
        <v>3611.1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0.317</v>
      </c>
      <c r="AV18" s="32" cm="1">
        <f t="array" ref="AV18">$G$10+VLOOKUP($Q18,武学奇术!$A:$ZZ,7,FALSE)+SUM(_xlfn.XLOOKUP($R18:$AK18,增益!$A:$A,增益!$G:$G,0))</f>
        <v>0.205</v>
      </c>
      <c r="AW18" s="26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2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2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1823.136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2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2" cm="1">
        <f t="array" ref="BM18">$G$14+VLOOKUP($Q18,武学奇术!$A:$ZZ,16,FALSE)+SUM(_xlfn.XLOOKUP($R18:$AK18,增益!$A:$A,增益!$P:$P,0))</f>
        <v>0.06</v>
      </c>
      <c r="BN18" s="26">
        <f>MIN(IF(VLOOKUP($Q18,武学奇术!$A:$ZZ,23,FALSE)=1,100%,$B$8),100%)</f>
        <v>0.9859</v>
      </c>
      <c r="BO18" s="26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6" cm="1">
        <f t="array" ref="BP18">1+$B$13+VLOOKUP($Q18,武学奇术!$A:$ZZ,18,FALSE)+SUM(_xlfn.XLOOKUP($R18:$AK18,增益!$A:$A,增益!$R:$R,0))</f>
        <v>1.9</v>
      </c>
      <c r="BQ18" s="26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6" cm="1">
        <f t="array" ref="BR18">1+$B$14+VLOOKUP($Q18,武学奇术!$A:$ZZ,20,FALSE)+SUM(_xlfn.XLOOKUP($R18:$AK18,增益!$A:$A,增益!$T:$T,0))</f>
        <v>1.35</v>
      </c>
      <c r="BS18" s="26">
        <f t="shared" si="9"/>
        <v>0.87863408</v>
      </c>
      <c r="BT18" s="26">
        <f t="shared" si="10"/>
        <v>0.01567581</v>
      </c>
      <c r="BU18" s="26">
        <f>IF(VLOOKUP($Q18,武学奇术!$A:$ZZ,22,FALSE)=1,0,(1-$BN18))*(1-$BQ18)</f>
        <v>0.01279011</v>
      </c>
      <c r="BV18" s="26" cm="1">
        <f t="array" ref="BV18">SUM(_xlfn.XLOOKUP($R18:$AK18,增益!$A:$A,增益!$W:$W,0))+$I$5</f>
        <v>0.11</v>
      </c>
    </row>
    <row r="19" spans="1:74">
      <c r="A19" s="41" t="s">
        <v>142</v>
      </c>
      <c r="B19" s="70">
        <f>期望!B19</f>
        <v>0</v>
      </c>
      <c r="C19" s="39" t="s">
        <v>143</v>
      </c>
      <c r="D19" s="79" t="s">
        <v>151</v>
      </c>
      <c r="K19" s="38">
        <f t="shared" si="0"/>
        <v>19659.0150421894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19963.4017770662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19223.4577866219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12477.1261106664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10714.6538608721</v>
      </c>
      <c r="P19" s="39">
        <v>1</v>
      </c>
      <c r="Q19" s="40" t="s">
        <v>133</v>
      </c>
      <c r="R19" s="40" t="s">
        <v>100</v>
      </c>
      <c r="S19" s="40" t="s">
        <v>141</v>
      </c>
      <c r="T19" s="40" t="s">
        <v>97</v>
      </c>
      <c r="U19" s="40" t="s">
        <v>80</v>
      </c>
      <c r="V19" s="40" t="s">
        <v>73</v>
      </c>
      <c r="W19" s="40" t="s">
        <v>115</v>
      </c>
      <c r="X19" s="40" t="s">
        <v>87</v>
      </c>
      <c r="Y19" s="40" t="s">
        <v>80</v>
      </c>
      <c r="Z19" s="40" t="s">
        <v>80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81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80</v>
      </c>
      <c r="AL19" t="str">
        <f>VLOOKUP($Q19,武学奇术!$A:$ZZ,25,FALSE)</f>
        <v>鼓</v>
      </c>
      <c r="AM19" s="26">
        <f>VLOOKUP($Q19,武学奇术!$A:$ZZ,26,FALSE)</f>
        <v>0.8434</v>
      </c>
      <c r="AN19" s="27">
        <f>VLOOKUP($Q19,武学奇术!$A:$ZZ,27,FALSE)*(1+IF(OR($AL19=$F$4,$AL19=$F$5),$B$22,0))</f>
        <v>352.5</v>
      </c>
      <c r="AO19" s="26">
        <f>VLOOKUP($Q19,武学奇术!$A:$ZZ,28,FALSE)</f>
        <v>1.265</v>
      </c>
      <c r="AP19" s="27">
        <f>VLOOKUP($Q19,武学奇术!$A:$ZZ,29,FALSE)*(1+IF(OR($AL19=$F$4,$AL19=$F$5),$B$22,0))</f>
        <v>190.5</v>
      </c>
      <c r="AQ19" s="26" cm="1">
        <f t="array" ref="AQ19">$G$3+IFERROR(VLOOKUP($AL19,$F$4:$G$7,2,FALSE),0)+VLOOKUP($Q19,武学奇术!$A:$ZZ,2,FALSE)+SUM(_xlfn.XLOOKUP($R19:$AK19,增益!$A:$A,增益!$B:$B,0))</f>
        <v>0.4241</v>
      </c>
      <c r="AR19" s="26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3611.1</v>
      </c>
      <c r="AT19" cm="1">
        <f t="array" ref="AT19">$E$10*(1+$AR19)+VLOOKUP($Q19,武学奇术!$A:$ZZ,4,FALSE)+SUM(_xlfn.XLOOKUP($R19:$AK19,增益!$A:$A,增益!$D:$D,0))-$I$2</f>
        <v>3611.1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0.257</v>
      </c>
      <c r="AV19" s="32" cm="1">
        <f t="array" ref="AV19">$G$10+VLOOKUP($Q19,武学奇术!$A:$ZZ,7,FALSE)+SUM(_xlfn.XLOOKUP($R19:$AK19,增益!$A:$A,增益!$G:$G,0))</f>
        <v>0.205</v>
      </c>
      <c r="AW19" s="26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2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2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1823.136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2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2" cm="1">
        <f t="array" ref="BM19">$G$14+VLOOKUP($Q19,武学奇术!$A:$ZZ,16,FALSE)+SUM(_xlfn.XLOOKUP($R19:$AK19,增益!$A:$A,增益!$P:$P,0))</f>
        <v>0.06</v>
      </c>
      <c r="BN19" s="26">
        <f>MIN(IF(VLOOKUP($Q19,武学奇术!$A:$ZZ,23,FALSE)=1,100%,$B$8),100%)</f>
        <v>0.9859</v>
      </c>
      <c r="BO19" s="26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6" cm="1">
        <f t="array" ref="BP19">1+$B$13+VLOOKUP($Q19,武学奇术!$A:$ZZ,18,FALSE)+SUM(_xlfn.XLOOKUP($R19:$AK19,增益!$A:$A,增益!$R:$R,0))</f>
        <v>1.6</v>
      </c>
      <c r="BQ19" s="26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6" cm="1">
        <f t="array" ref="BR19">1+$B$14+VLOOKUP($Q19,武学奇术!$A:$ZZ,20,FALSE)+SUM(_xlfn.XLOOKUP($R19:$AK19,增益!$A:$A,增益!$T:$T,0))</f>
        <v>1.35</v>
      </c>
      <c r="BS19" s="26">
        <f t="shared" si="9"/>
        <v>0.87863408</v>
      </c>
      <c r="BT19" s="26">
        <f t="shared" si="10"/>
        <v>0.01567581</v>
      </c>
      <c r="BU19" s="26">
        <f>IF(VLOOKUP($Q19,武学奇术!$A:$ZZ,22,FALSE)=1,0,(1-$BN19))*(1-$BQ19)</f>
        <v>0.01279011</v>
      </c>
      <c r="BV19" s="26" cm="1">
        <f t="array" ref="BV19">SUM(_xlfn.XLOOKUP($R19:$AK19,增益!$A:$A,增益!$W:$W,0))+$I$5</f>
        <v>0.11</v>
      </c>
    </row>
    <row r="20" spans="1:74">
      <c r="A20" s="41" t="s">
        <v>144</v>
      </c>
      <c r="B20" s="70">
        <f>期望!B20</f>
        <v>0</v>
      </c>
      <c r="C20" s="39" t="s">
        <v>145</v>
      </c>
      <c r="D20" s="79" t="s">
        <v>151</v>
      </c>
      <c r="K20" s="38">
        <f t="shared" si="0"/>
        <v>29684.1765057456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30664.5195396409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24877.7153804586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16139.2208103373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13850.5043018164</v>
      </c>
      <c r="P20" s="39">
        <v>1</v>
      </c>
      <c r="Q20" s="40" t="s">
        <v>137</v>
      </c>
      <c r="R20" s="40" t="s">
        <v>100</v>
      </c>
      <c r="S20" s="40" t="s">
        <v>141</v>
      </c>
      <c r="T20" s="40" t="s">
        <v>97</v>
      </c>
      <c r="U20" s="40" t="s">
        <v>80</v>
      </c>
      <c r="V20" s="40" t="s">
        <v>73</v>
      </c>
      <c r="W20" s="40" t="s">
        <v>115</v>
      </c>
      <c r="X20" s="40" t="s">
        <v>87</v>
      </c>
      <c r="Y20" s="40" t="s">
        <v>80</v>
      </c>
      <c r="Z20" s="40" t="s">
        <v>80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81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80</v>
      </c>
      <c r="AL20" t="str">
        <f>VLOOKUP($Q20,武学奇术!$A:$ZZ,25,FALSE)</f>
        <v>鼓</v>
      </c>
      <c r="AM20" s="26">
        <f>VLOOKUP($Q20,武学奇术!$A:$ZZ,26,FALSE)</f>
        <v>1.03936</v>
      </c>
      <c r="AN20" s="27">
        <f>VLOOKUP($Q20,武学奇术!$A:$ZZ,27,FALSE)*(1+IF(OR($AL20=$F$4,$AL20=$F$5),$B$22,0))</f>
        <v>432.6</v>
      </c>
      <c r="AO20" s="26">
        <f>VLOOKUP($Q20,武学奇术!$A:$ZZ,28,FALSE)</f>
        <v>1.55918</v>
      </c>
      <c r="AP20" s="27">
        <f>VLOOKUP($Q20,武学奇术!$A:$ZZ,29,FALSE)*(1+IF(OR($AL20=$F$4,$AL20=$F$5),$B$22,0))</f>
        <v>235.2</v>
      </c>
      <c r="AQ20" s="26" cm="1">
        <f t="array" ref="AQ20">$G$3+IFERROR(VLOOKUP($AL20,$F$4:$G$7,2,FALSE),0)+VLOOKUP($Q20,武学奇术!$A:$ZZ,2,FALSE)+SUM(_xlfn.XLOOKUP($R20:$AK20,增益!$A:$A,增益!$B:$B,0))</f>
        <v>0.4241</v>
      </c>
      <c r="AR20" s="26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3611.1</v>
      </c>
      <c r="AT20" cm="1">
        <f t="array" ref="AT20">$E$10*(1+$AR20)+VLOOKUP($Q20,武学奇术!$A:$ZZ,4,FALSE)+SUM(_xlfn.XLOOKUP($R20:$AK20,增益!$A:$A,增益!$D:$D,0))-$I$2</f>
        <v>3611.1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0.317</v>
      </c>
      <c r="AV20" s="32" cm="1">
        <f t="array" ref="AV20">$G$10+VLOOKUP($Q20,武学奇术!$A:$ZZ,7,FALSE)+SUM(_xlfn.XLOOKUP($R20:$AK20,增益!$A:$A,增益!$G:$G,0))</f>
        <v>0.205</v>
      </c>
      <c r="AW20" s="26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2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2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1823.136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2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2" cm="1">
        <f t="array" ref="BM20">$G$14+VLOOKUP($Q20,武学奇术!$A:$ZZ,16,FALSE)+SUM(_xlfn.XLOOKUP($R20:$AK20,增益!$A:$A,增益!$P:$P,0))</f>
        <v>0.06</v>
      </c>
      <c r="BN20" s="26">
        <f>MIN(IF(VLOOKUP($Q20,武学奇术!$A:$ZZ,23,FALSE)=1,100%,$B$8),100%)</f>
        <v>0.9859</v>
      </c>
      <c r="BO20" s="26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6" cm="1">
        <f t="array" ref="BP20">1+$B$13+VLOOKUP($Q20,武学奇术!$A:$ZZ,18,FALSE)+SUM(_xlfn.XLOOKUP($R20:$AK20,增益!$A:$A,增益!$R:$R,0))</f>
        <v>1.9</v>
      </c>
      <c r="BQ20" s="26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6" cm="1">
        <f t="array" ref="BR20">1+$B$14+VLOOKUP($Q20,武学奇术!$A:$ZZ,20,FALSE)+SUM(_xlfn.XLOOKUP($R20:$AK20,增益!$A:$A,增益!$T:$T,0))</f>
        <v>1.35</v>
      </c>
      <c r="BS20" s="26">
        <f t="shared" si="9"/>
        <v>0.87863408</v>
      </c>
      <c r="BT20" s="26">
        <f t="shared" si="10"/>
        <v>0.01567581</v>
      </c>
      <c r="BU20" s="26">
        <f>IF(VLOOKUP($Q20,武学奇术!$A:$ZZ,22,FALSE)=1,0,(1-$BN20))*(1-$BQ20)</f>
        <v>0.01279011</v>
      </c>
      <c r="BV20" s="26" cm="1">
        <f t="array" ref="BV20">SUM(_xlfn.XLOOKUP($R20:$AK20,增益!$A:$A,增益!$W:$W,0))+$I$5</f>
        <v>0.11</v>
      </c>
    </row>
    <row r="21" ht="14.25" spans="1:74">
      <c r="A21" s="85" t="s">
        <v>146</v>
      </c>
      <c r="B21" s="86">
        <f>期望!B21</f>
        <v>0.32</v>
      </c>
      <c r="E21" s="39" t="s">
        <v>147</v>
      </c>
      <c r="F21" s="39"/>
      <c r="K21" s="38">
        <f t="shared" si="0"/>
        <v>93870.3785953605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97018.1558343389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78289.0104881327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50794.8459865649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43597.8323522907</v>
      </c>
      <c r="P21" s="39">
        <v>1</v>
      </c>
      <c r="Q21" s="40" t="s">
        <v>140</v>
      </c>
      <c r="R21" s="40" t="s">
        <v>100</v>
      </c>
      <c r="S21" s="40" t="s">
        <v>148</v>
      </c>
      <c r="T21" s="40" t="s">
        <v>97</v>
      </c>
      <c r="U21" s="40" t="s">
        <v>80</v>
      </c>
      <c r="V21" s="40" t="s">
        <v>73</v>
      </c>
      <c r="W21" s="40" t="s">
        <v>115</v>
      </c>
      <c r="X21" s="40" t="s">
        <v>87</v>
      </c>
      <c r="Y21" s="40" t="s">
        <v>80</v>
      </c>
      <c r="Z21" s="40" t="s">
        <v>80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81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80</v>
      </c>
      <c r="AL21" t="str">
        <f>VLOOKUP($Q21,武学奇术!$A:$ZZ,25,FALSE)</f>
        <v>鼓</v>
      </c>
      <c r="AM21" s="26">
        <f>VLOOKUP($Q21,武学奇术!$A:$ZZ,26,FALSE)</f>
        <v>3.26858</v>
      </c>
      <c r="AN21" s="27">
        <f>VLOOKUP($Q21,武学奇术!$A:$ZZ,27,FALSE)*(1+IF(OR($AL21=$F$4,$AL21=$F$5),$B$22,0))</f>
        <v>1377.6</v>
      </c>
      <c r="AO21" s="26">
        <f>VLOOKUP($Q21,武学奇术!$A:$ZZ,28,FALSE)</f>
        <v>4.90294</v>
      </c>
      <c r="AP21" s="27">
        <f>VLOOKUP($Q21,武学奇术!$A:$ZZ,29,FALSE)*(1+IF(OR($AL21=$F$4,$AL21=$F$5),$B$22,0))</f>
        <v>739.2</v>
      </c>
      <c r="AQ21" s="26" cm="1">
        <f t="array" ref="AQ21">$G$3+IFERROR(VLOOKUP($AL21,$F$4:$G$7,2,FALSE),0)+VLOOKUP($Q21,武学奇术!$A:$ZZ,2,FALSE)+SUM(_xlfn.XLOOKUP($R21:$AK21,增益!$A:$A,增益!$B:$B,0))</f>
        <v>0.4241</v>
      </c>
      <c r="AR21" s="26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3611.1</v>
      </c>
      <c r="AT21" cm="1">
        <f t="array" ref="AT21">$E$10*(1+$AR21)+VLOOKUP($Q21,武学奇术!$A:$ZZ,4,FALSE)+SUM(_xlfn.XLOOKUP($R21:$AK21,增益!$A:$A,增益!$D:$D,0))-$I$2</f>
        <v>3611.1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0.317</v>
      </c>
      <c r="AV21" s="32" cm="1">
        <f t="array" ref="AV21">$G$10+VLOOKUP($Q21,武学奇术!$A:$ZZ,7,FALSE)+SUM(_xlfn.XLOOKUP($R21:$AK21,增益!$A:$A,增益!$G:$G,0))</f>
        <v>0.205</v>
      </c>
      <c r="AW21" s="26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2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2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1823.136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2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2" cm="1">
        <f t="array" ref="BM21">$G$14+VLOOKUP($Q21,武学奇术!$A:$ZZ,16,FALSE)+SUM(_xlfn.XLOOKUP($R21:$AK21,增益!$A:$A,增益!$P:$P,0))</f>
        <v>0.06</v>
      </c>
      <c r="BN21" s="26">
        <f>MIN(IF(VLOOKUP($Q21,武学奇术!$A:$ZZ,23,FALSE)=1,100%,$B$8),100%)</f>
        <v>0.9859</v>
      </c>
      <c r="BO21" s="26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6" cm="1">
        <f t="array" ref="BP21">1+$B$13+VLOOKUP($Q21,武学奇术!$A:$ZZ,18,FALSE)+SUM(_xlfn.XLOOKUP($R21:$AK21,增益!$A:$A,增益!$R:$R,0))</f>
        <v>1.91</v>
      </c>
      <c r="BQ21" s="26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6" cm="1">
        <f t="array" ref="BR21">1+$B$14+VLOOKUP($Q21,武学奇术!$A:$ZZ,20,FALSE)+SUM(_xlfn.XLOOKUP($R21:$AK21,增益!$A:$A,增益!$T:$T,0))</f>
        <v>1.35</v>
      </c>
      <c r="BS21" s="26">
        <f t="shared" si="9"/>
        <v>0.87863408</v>
      </c>
      <c r="BT21" s="26">
        <f t="shared" si="10"/>
        <v>0.01567581</v>
      </c>
      <c r="BU21" s="26">
        <f>IF(VLOOKUP($Q21,武学奇术!$A:$ZZ,22,FALSE)=1,0,(1-$BN21))*(1-$BQ21)</f>
        <v>0.01279011</v>
      </c>
      <c r="BV21" s="26" cm="1">
        <f t="array" ref="BV21">SUM(_xlfn.XLOOKUP($R21:$AK21,增益!$A:$A,增益!$W:$W,0))+$I$5</f>
        <v>0.11</v>
      </c>
    </row>
    <row r="22" spans="1:74">
      <c r="A22" t="s">
        <v>149</v>
      </c>
      <c r="B22" s="29">
        <f>期望!B22</f>
        <v>0.5</v>
      </c>
      <c r="C22" s="39" t="s">
        <v>150</v>
      </c>
      <c r="D22" s="79" t="s">
        <v>151</v>
      </c>
      <c r="E22" s="39" t="str">
        <f>期望!E22</f>
        <v>易水歌</v>
      </c>
      <c r="F22" s="39"/>
      <c r="K22" s="38">
        <f t="shared" si="0"/>
        <v>82447.3092731151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83779.4340592349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80179.0716109138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52036.9155647422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44681.9262325113</v>
      </c>
      <c r="P22" s="39">
        <v>1</v>
      </c>
      <c r="Q22" s="40" t="s">
        <v>108</v>
      </c>
      <c r="R22" s="40" t="s">
        <v>100</v>
      </c>
      <c r="S22" s="40" t="s">
        <v>148</v>
      </c>
      <c r="T22" s="40" t="s">
        <v>97</v>
      </c>
      <c r="U22" s="40" t="s">
        <v>80</v>
      </c>
      <c r="V22" s="40" t="s">
        <v>73</v>
      </c>
      <c r="W22" s="40" t="s">
        <v>80</v>
      </c>
      <c r="X22" s="40" t="s">
        <v>87</v>
      </c>
      <c r="Y22" s="40" t="s">
        <v>80</v>
      </c>
      <c r="Z22" s="40" t="s">
        <v>80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81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t="str">
        <f>VLOOKUP($Q22,武学奇术!$A:$ZZ,25,FALSE)</f>
        <v>扇</v>
      </c>
      <c r="AM22" s="26">
        <f>VLOOKUP($Q22,武学奇术!$A:$ZZ,26,FALSE)</f>
        <v>4.045375</v>
      </c>
      <c r="AN22" s="27">
        <f>VLOOKUP($Q22,武学奇术!$A:$ZZ,27,FALSE)*(1+IF(OR($AL22=$F$4,$AL22=$F$5),$B$22,0))</f>
        <v>1678.125</v>
      </c>
      <c r="AO22" s="26">
        <f>VLOOKUP($Q22,武学奇术!$A:$ZZ,28,FALSE)</f>
        <v>6.068125</v>
      </c>
      <c r="AP22" s="27">
        <f>VLOOKUP($Q22,武学奇术!$A:$ZZ,29,FALSE)*(1+IF(OR($AL22=$F$4,$AL22=$F$5),$B$22,0))</f>
        <v>913.125</v>
      </c>
      <c r="AQ22" s="26" cm="1">
        <f t="array" ref="AQ22">$G$3+IFERROR(VLOOKUP($AL22,$F$4:$G$7,2,FALSE),0)+VLOOKUP($Q22,武学奇术!$A:$ZZ,2,FALSE)+SUM(_xlfn.XLOOKUP($R22:$AK22,增益!$A:$A,增益!$B:$B,0))</f>
        <v>0.2389</v>
      </c>
      <c r="AR22" s="26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3611.1</v>
      </c>
      <c r="AT22" cm="1">
        <f t="array" ref="AT22">$E$10*(1+$AR22)+VLOOKUP($Q22,武学奇术!$A:$ZZ,4,FALSE)+SUM(_xlfn.XLOOKUP($R22:$AK22,增益!$A:$A,增益!$D:$D,0))-$I$2</f>
        <v>3611.1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0.257</v>
      </c>
      <c r="AV22" s="32" cm="1">
        <f t="array" ref="AV22">$G$10+VLOOKUP($Q22,武学奇术!$A:$ZZ,7,FALSE)+SUM(_xlfn.XLOOKUP($R22:$AK22,增益!$A:$A,增益!$G:$G,0))</f>
        <v>0.205</v>
      </c>
      <c r="AW22" s="26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2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2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1823.136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2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2" cm="1">
        <f t="array" ref="BM22">$G$14+VLOOKUP($Q22,武学奇术!$A:$ZZ,16,FALSE)+SUM(_xlfn.XLOOKUP($R22:$AK22,增益!$A:$A,增益!$P:$P,0))</f>
        <v>0.06</v>
      </c>
      <c r="BN22" s="26">
        <f>MIN(IF(VLOOKUP($Q22,武学奇术!$A:$ZZ,23,FALSE)=1,100%,$B$8),100%)</f>
        <v>0.9859</v>
      </c>
      <c r="BO22" s="26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6" cm="1">
        <f t="array" ref="BP22">1+$B$13+VLOOKUP($Q22,武学奇术!$A:$ZZ,18,FALSE)+SUM(_xlfn.XLOOKUP($R22:$AK22,增益!$A:$A,增益!$R:$R,0))</f>
        <v>1.61</v>
      </c>
      <c r="BQ22" s="26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6" cm="1">
        <f t="array" ref="BR22">1+$B$14+VLOOKUP($Q22,武学奇术!$A:$ZZ,20,FALSE)+SUM(_xlfn.XLOOKUP($R22:$AK22,增益!$A:$A,增益!$T:$T,0))</f>
        <v>1.35</v>
      </c>
      <c r="BS22" s="26">
        <f t="shared" si="9"/>
        <v>0.87863408</v>
      </c>
      <c r="BT22" s="26">
        <f t="shared" si="10"/>
        <v>0.01567581</v>
      </c>
      <c r="BU22" s="26">
        <f>IF(VLOOKUP($Q22,武学奇术!$A:$ZZ,22,FALSE)=1,0,(1-$BN22))*(1-$BQ22)</f>
        <v>0.01279011</v>
      </c>
      <c r="BV22" s="26" cm="1">
        <f t="array" ref="BV22">SUM(_xlfn.XLOOKUP($R22:$AK22,增益!$A:$A,增益!$W:$W,0))+$I$5</f>
        <v>0.11</v>
      </c>
    </row>
    <row r="23" spans="1:74">
      <c r="A23" s="39" t="s">
        <v>153</v>
      </c>
      <c r="B23">
        <f>期望!B23</f>
        <v>200</v>
      </c>
      <c r="E23" s="39" t="s">
        <v>154</v>
      </c>
      <c r="F23" s="39"/>
      <c r="K23" s="38">
        <f t="shared" si="0"/>
        <v>21741.7198682343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22092.9863412963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21143.8001672634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13722.3517647803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11782.6293315877</v>
      </c>
      <c r="P23" s="39">
        <v>1</v>
      </c>
      <c r="Q23" s="40" t="s">
        <v>110</v>
      </c>
      <c r="R23" s="40" t="s">
        <v>100</v>
      </c>
      <c r="S23" s="40" t="s">
        <v>148</v>
      </c>
      <c r="T23" s="40" t="s">
        <v>97</v>
      </c>
      <c r="U23" s="40" t="s">
        <v>80</v>
      </c>
      <c r="V23" s="40" t="s">
        <v>73</v>
      </c>
      <c r="W23" s="40" t="s">
        <v>80</v>
      </c>
      <c r="X23" s="40" t="s">
        <v>87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81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t="str">
        <f>VLOOKUP($Q23,武学奇术!$A:$ZZ,25,FALSE)</f>
        <v>扇</v>
      </c>
      <c r="AM23" s="26">
        <f>VLOOKUP($Q23,武学奇术!$A:$ZZ,26,FALSE)</f>
        <v>0.9186</v>
      </c>
      <c r="AN23" s="27">
        <f>VLOOKUP($Q23,武学奇术!$A:$ZZ,27,FALSE)*(1+IF(OR($AL23=$F$4,$AL23=$F$5),$B$22,0))</f>
        <v>381</v>
      </c>
      <c r="AO23" s="26">
        <f>VLOOKUP($Q23,武学奇术!$A:$ZZ,28,FALSE)</f>
        <v>1.3779</v>
      </c>
      <c r="AP23" s="27">
        <f>VLOOKUP($Q23,武学奇术!$A:$ZZ,29,FALSE)*(1+IF(OR($AL23=$F$4,$AL23=$F$5),$B$22,0))</f>
        <v>207</v>
      </c>
      <c r="AQ23" s="26" cm="1">
        <f t="array" ref="AQ23">$G$3+IFERROR(VLOOKUP($AL23,$F$4:$G$7,2,FALSE),0)+VLOOKUP($Q23,武学奇术!$A:$ZZ,2,FALSE)+SUM(_xlfn.XLOOKUP($R23:$AK23,增益!$A:$A,增益!$B:$B,0))</f>
        <v>0.4389</v>
      </c>
      <c r="AR23" s="26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3611.1</v>
      </c>
      <c r="AT23" cm="1">
        <f t="array" ref="AT23">$E$10*(1+$AR23)+VLOOKUP($Q23,武学奇术!$A:$ZZ,4,FALSE)+SUM(_xlfn.XLOOKUP($R23:$AK23,增益!$A:$A,增益!$D:$D,0))-$I$2</f>
        <v>3611.1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0.257</v>
      </c>
      <c r="AV23" s="32" cm="1">
        <f t="array" ref="AV23">$G$10+VLOOKUP($Q23,武学奇术!$A:$ZZ,7,FALSE)+SUM(_xlfn.XLOOKUP($R23:$AK23,增益!$A:$A,增益!$G:$G,0))</f>
        <v>0.205</v>
      </c>
      <c r="AW23" s="26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2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2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1823.136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2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2" cm="1">
        <f t="array" ref="BM23">$G$14+VLOOKUP($Q23,武学奇术!$A:$ZZ,16,FALSE)+SUM(_xlfn.XLOOKUP($R23:$AK23,增益!$A:$A,增益!$P:$P,0))</f>
        <v>0.06</v>
      </c>
      <c r="BN23" s="26">
        <f>MIN(IF(VLOOKUP($Q23,武学奇术!$A:$ZZ,23,FALSE)=1,100%,$B$8),100%)</f>
        <v>0.9859</v>
      </c>
      <c r="BO23" s="26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6" cm="1">
        <f t="array" ref="BP23">1+$B$13+VLOOKUP($Q23,武学奇术!$A:$ZZ,18,FALSE)+SUM(_xlfn.XLOOKUP($R23:$AK23,增益!$A:$A,增益!$R:$R,0))</f>
        <v>1.61</v>
      </c>
      <c r="BQ23" s="26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6" cm="1">
        <f t="array" ref="BR23">1+$B$14+VLOOKUP($Q23,武学奇术!$A:$ZZ,20,FALSE)+SUM(_xlfn.XLOOKUP($R23:$AK23,增益!$A:$A,增益!$T:$T,0))</f>
        <v>1.35</v>
      </c>
      <c r="BS23" s="26">
        <f t="shared" si="9"/>
        <v>0.87863408</v>
      </c>
      <c r="BT23" s="26">
        <f t="shared" si="10"/>
        <v>0.01567581</v>
      </c>
      <c r="BU23" s="26">
        <f>IF(VLOOKUP($Q23,武学奇术!$A:$ZZ,22,FALSE)=1,0,(1-$BN23))*(1-$BQ23)</f>
        <v>0.01279011</v>
      </c>
      <c r="BV23" s="26" cm="1">
        <f t="array" ref="BV23">SUM(_xlfn.XLOOKUP($R23:$AK23,增益!$A:$A,增益!$W:$W,0))+$I$5</f>
        <v>0.11</v>
      </c>
    </row>
    <row r="24" spans="1:74">
      <c r="A24" s="39"/>
      <c r="B24">
        <f>期望!B24</f>
        <v>400</v>
      </c>
      <c r="E24" s="39" t="str">
        <f>期望!E24</f>
        <v>弦墨篇</v>
      </c>
      <c r="F24" s="39"/>
      <c r="K24" s="38">
        <f t="shared" si="0"/>
        <v>54564.150632287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55482.4651413176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52770.3551936239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34248.4352724183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29407.7185495596</v>
      </c>
      <c r="P24" s="39">
        <v>1</v>
      </c>
      <c r="Q24" s="40" t="s">
        <v>114</v>
      </c>
      <c r="R24" s="40" t="s">
        <v>100</v>
      </c>
      <c r="S24" s="40" t="s">
        <v>156</v>
      </c>
      <c r="T24" s="40" t="s">
        <v>97</v>
      </c>
      <c r="U24" s="40" t="s">
        <v>80</v>
      </c>
      <c r="V24" s="40" t="s">
        <v>73</v>
      </c>
      <c r="W24" s="40" t="s">
        <v>115</v>
      </c>
      <c r="X24" s="40" t="s">
        <v>87</v>
      </c>
      <c r="Y24" s="40" t="s">
        <v>80</v>
      </c>
      <c r="Z24" s="40" t="s">
        <v>80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81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t="str">
        <f>VLOOKUP($Q24,武学奇术!$A:$ZZ,25,FALSE)</f>
        <v>扇</v>
      </c>
      <c r="AM24" s="26">
        <f>VLOOKUP($Q24,武学奇术!$A:$ZZ,26,FALSE)</f>
        <v>2.1435</v>
      </c>
      <c r="AN24" s="27">
        <f>VLOOKUP($Q24,武学奇术!$A:$ZZ,27,FALSE)*(1+IF(OR($AL24=$F$4,$AL24=$F$5),$B$22,0))</f>
        <v>888</v>
      </c>
      <c r="AO24" s="26">
        <f>VLOOKUP($Q24,武学奇术!$A:$ZZ,28,FALSE)</f>
        <v>3.2152</v>
      </c>
      <c r="AP24" s="27">
        <f>VLOOKUP($Q24,武学奇术!$A:$ZZ,29,FALSE)*(1+IF(OR($AL24=$F$4,$AL24=$F$5),$B$22,0))</f>
        <v>484.5</v>
      </c>
      <c r="AQ24" s="26" cm="1">
        <f t="array" ref="AQ24">$G$3+IFERROR(VLOOKUP($AL24,$F$4:$G$7,2,FALSE),0)+VLOOKUP($Q24,武学奇术!$A:$ZZ,2,FALSE)+SUM(_xlfn.XLOOKUP($R24:$AK24,增益!$A:$A,增益!$B:$B,0))</f>
        <v>0.5389</v>
      </c>
      <c r="AR24" s="26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3611.1</v>
      </c>
      <c r="AT24" cm="1">
        <f t="array" ref="AT24">$E$10*(1+$AR24)+VLOOKUP($Q24,武学奇术!$A:$ZZ,4,FALSE)+SUM(_xlfn.XLOOKUP($R24:$AK24,增益!$A:$A,增益!$D:$D,0))-$I$2</f>
        <v>3611.1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0.257</v>
      </c>
      <c r="AV24" s="32" cm="1">
        <f t="array" ref="AV24">$G$10+VLOOKUP($Q24,武学奇术!$A:$ZZ,7,FALSE)+SUM(_xlfn.XLOOKUP($R24:$AK24,增益!$A:$A,增益!$G:$G,0))</f>
        <v>0.205</v>
      </c>
      <c r="AW24" s="26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2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2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1823.136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2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2" cm="1">
        <f t="array" ref="BM24">$G$14+VLOOKUP($Q24,武学奇术!$A:$ZZ,16,FALSE)+SUM(_xlfn.XLOOKUP($R24:$AK24,增益!$A:$A,增益!$P:$P,0))</f>
        <v>0.06</v>
      </c>
      <c r="BN24" s="26">
        <f>MIN(IF(VLOOKUP($Q24,武学奇术!$A:$ZZ,23,FALSE)=1,100%,$B$8),100%)</f>
        <v>0.9859</v>
      </c>
      <c r="BO24" s="26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6" cm="1">
        <f t="array" ref="BP24">1+$B$13+VLOOKUP($Q24,武学奇术!$A:$ZZ,18,FALSE)+SUM(_xlfn.XLOOKUP($R24:$AK24,增益!$A:$A,增益!$R:$R,0))</f>
        <v>1.62</v>
      </c>
      <c r="BQ24" s="26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6" cm="1">
        <f t="array" ref="BR24">1+$B$14+VLOOKUP($Q24,武学奇术!$A:$ZZ,20,FALSE)+SUM(_xlfn.XLOOKUP($R24:$AK24,增益!$A:$A,增益!$T:$T,0))</f>
        <v>1.35</v>
      </c>
      <c r="BS24" s="26">
        <f t="shared" si="9"/>
        <v>0.87863408</v>
      </c>
      <c r="BT24" s="26">
        <f t="shared" si="10"/>
        <v>0.01567581</v>
      </c>
      <c r="BU24" s="26">
        <f>IF(VLOOKUP($Q24,武学奇术!$A:$ZZ,22,FALSE)=1,0,(1-$BN24))*(1-$BQ24)</f>
        <v>0.01279011</v>
      </c>
      <c r="BV24" s="26" cm="1">
        <f t="array" ref="BV24">SUM(_xlfn.XLOOKUP($R24:$AK24,增益!$A:$A,增益!$W:$W,0))+$I$5</f>
        <v>0.11</v>
      </c>
    </row>
    <row r="25" spans="1:74">
      <c r="K25" s="38">
        <f t="shared" si="0"/>
        <v>143470.261120205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148516.445025646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117516.78012505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76951.5259200236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66853.5850807512</v>
      </c>
      <c r="P25" s="39">
        <v>1</v>
      </c>
      <c r="Q25" s="40" t="s">
        <v>117</v>
      </c>
      <c r="R25" s="40" t="s">
        <v>100</v>
      </c>
      <c r="S25" s="40" t="s">
        <v>157</v>
      </c>
      <c r="T25" s="40" t="s">
        <v>78</v>
      </c>
      <c r="U25" s="40" t="s">
        <v>80</v>
      </c>
      <c r="V25" s="40" t="s">
        <v>73</v>
      </c>
      <c r="W25" s="40" t="s">
        <v>115</v>
      </c>
      <c r="X25" s="40" t="s">
        <v>87</v>
      </c>
      <c r="Y25" s="40" t="s">
        <v>80</v>
      </c>
      <c r="Z25" s="40" t="s">
        <v>80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81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t="str">
        <f>VLOOKUP($Q25,武学奇术!$A:$ZZ,25,FALSE)</f>
        <v>鼓</v>
      </c>
      <c r="AM25" s="26">
        <f>VLOOKUP($Q25,武学奇术!$A:$ZZ,26,FALSE)</f>
        <v>3.08125</v>
      </c>
      <c r="AN25" s="27">
        <f>VLOOKUP($Q25,武学奇术!$A:$ZZ,27,FALSE)*(1+IF(OR($AL25=$F$4,$AL25=$F$5),$B$22,0))</f>
        <v>1277.55</v>
      </c>
      <c r="AO25" s="26">
        <f>VLOOKUP($Q25,武学奇术!$A:$ZZ,28,FALSE)</f>
        <v>4.62196</v>
      </c>
      <c r="AP25" s="27">
        <f>VLOOKUP($Q25,武学奇术!$A:$ZZ,29,FALSE)*(1+IF(OR($AL25=$F$4,$AL25=$F$5),$B$22,0))</f>
        <v>696.15</v>
      </c>
      <c r="AQ25" s="26" cm="1">
        <f t="array" ref="AQ25">$G$3+IFERROR(VLOOKUP($AL25,$F$4:$G$7,2,FALSE),0)+VLOOKUP($Q25,武学奇术!$A:$ZZ,2,FALSE)+SUM(_xlfn.XLOOKUP($R25:$AK25,增益!$A:$A,增益!$B:$B,0))</f>
        <v>0.5241</v>
      </c>
      <c r="AR25" s="26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4372.698</v>
      </c>
      <c r="AT25" cm="1">
        <f t="array" ref="AT25">$E$10*(1+$AR25)+VLOOKUP($Q25,武学奇术!$A:$ZZ,4,FALSE)+SUM(_xlfn.XLOOKUP($R25:$AK25,增益!$A:$A,增益!$D:$D,0))-$I$2</f>
        <v>4372.698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0.317</v>
      </c>
      <c r="AV25" s="32" cm="1">
        <f t="array" ref="AV25">$G$10+VLOOKUP($Q25,武学奇术!$A:$ZZ,7,FALSE)+SUM(_xlfn.XLOOKUP($R25:$AK25,增益!$A:$A,增益!$G:$G,0))</f>
        <v>0.205</v>
      </c>
      <c r="AW25" s="26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2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2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1920.804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2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2" cm="1">
        <f t="array" ref="BM25">$G$14+VLOOKUP($Q25,武学奇术!$A:$ZZ,16,FALSE)+SUM(_xlfn.XLOOKUP($R25:$AK25,增益!$A:$A,增益!$P:$P,0))</f>
        <v>0.06</v>
      </c>
      <c r="BN25" s="26">
        <f>MIN(IF(VLOOKUP($Q25,武学奇术!$A:$ZZ,23,FALSE)=1,100%,$B$8),100%)</f>
        <v>0.9859</v>
      </c>
      <c r="BO25" s="26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6" cm="1">
        <f t="array" ref="BP25">1+$B$13+VLOOKUP($Q25,武学奇术!$A:$ZZ,18,FALSE)+SUM(_xlfn.XLOOKUP($R25:$AK25,增益!$A:$A,增益!$R:$R,0))</f>
        <v>1.93</v>
      </c>
      <c r="BQ25" s="26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6" cm="1">
        <f t="array" ref="BR25">1+$B$14+VLOOKUP($Q25,武学奇术!$A:$ZZ,20,FALSE)+SUM(_xlfn.XLOOKUP($R25:$AK25,增益!$A:$A,增益!$T:$T,0))</f>
        <v>1.35</v>
      </c>
      <c r="BS25" s="26">
        <f t="shared" si="9"/>
        <v>0.87863408</v>
      </c>
      <c r="BT25" s="26">
        <f t="shared" si="10"/>
        <v>0.01567581</v>
      </c>
      <c r="BU25" s="26">
        <f>IF(VLOOKUP($Q25,武学奇术!$A:$ZZ,22,FALSE)=1,0,(1-$BN25))*(1-$BQ25)</f>
        <v>0.01279011</v>
      </c>
      <c r="BV25" s="26" cm="1">
        <f t="array" ref="BV25">SUM(_xlfn.XLOOKUP($R25:$AK25,增益!$A:$A,增益!$W:$W,0))+$I$5</f>
        <v>0.11</v>
      </c>
    </row>
    <row r="26" spans="1:74">
      <c r="K26" s="38">
        <f t="shared" si="0"/>
        <v>288292.766904037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298571.920569692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235033.560250099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153903.051840047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133707.170161502</v>
      </c>
      <c r="P26" s="39">
        <v>2</v>
      </c>
      <c r="Q26" s="40" t="s">
        <v>117</v>
      </c>
      <c r="R26" s="40" t="s">
        <v>100</v>
      </c>
      <c r="S26" s="40" t="s">
        <v>158</v>
      </c>
      <c r="T26" s="40" t="s">
        <v>78</v>
      </c>
      <c r="U26" s="40" t="s">
        <v>80</v>
      </c>
      <c r="V26" s="40" t="s">
        <v>73</v>
      </c>
      <c r="W26" s="40" t="s">
        <v>115</v>
      </c>
      <c r="X26" s="40" t="s">
        <v>87</v>
      </c>
      <c r="Y26" s="40" t="s">
        <v>80</v>
      </c>
      <c r="Z26" s="40" t="s">
        <v>80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81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t="str">
        <f>VLOOKUP($Q26,武学奇术!$A:$ZZ,25,FALSE)</f>
        <v>鼓</v>
      </c>
      <c r="AM26" s="26">
        <f>VLOOKUP($Q26,武学奇术!$A:$ZZ,26,FALSE)</f>
        <v>3.08125</v>
      </c>
      <c r="AN26" s="27">
        <f>VLOOKUP($Q26,武学奇术!$A:$ZZ,27,FALSE)*(1+IF(OR($AL26=$F$4,$AL26=$F$5),$B$22,0))</f>
        <v>1277.55</v>
      </c>
      <c r="AO26" s="26">
        <f>VLOOKUP($Q26,武学奇术!$A:$ZZ,28,FALSE)</f>
        <v>4.62196</v>
      </c>
      <c r="AP26" s="27">
        <f>VLOOKUP($Q26,武学奇术!$A:$ZZ,29,FALSE)*(1+IF(OR($AL26=$F$4,$AL26=$F$5),$B$22,0))</f>
        <v>696.15</v>
      </c>
      <c r="AQ26" s="26" cm="1">
        <f t="array" ref="AQ26">$G$3+IFERROR(VLOOKUP($AL26,$F$4:$G$7,2,FALSE),0)+VLOOKUP($Q26,武学奇术!$A:$ZZ,2,FALSE)+SUM(_xlfn.XLOOKUP($R26:$AK26,增益!$A:$A,增益!$B:$B,0))</f>
        <v>0.5241</v>
      </c>
      <c r="AR26" s="26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4372.698</v>
      </c>
      <c r="AT26" cm="1">
        <f t="array" ref="AT26">$E$10*(1+$AR26)+VLOOKUP($Q26,武学奇术!$A:$ZZ,4,FALSE)+SUM(_xlfn.XLOOKUP($R26:$AK26,增益!$A:$A,增益!$D:$D,0))-$I$2</f>
        <v>4372.698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0.317</v>
      </c>
      <c r="AV26" s="32" cm="1">
        <f t="array" ref="AV26">$G$10+VLOOKUP($Q26,武学奇术!$A:$ZZ,7,FALSE)+SUM(_xlfn.XLOOKUP($R26:$AK26,增益!$A:$A,增益!$G:$G,0))</f>
        <v>0.205</v>
      </c>
      <c r="AW26" s="26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2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2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1920.804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2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2" cm="1">
        <f t="array" ref="BM26">$G$14+VLOOKUP($Q26,武学奇术!$A:$ZZ,16,FALSE)+SUM(_xlfn.XLOOKUP($R26:$AK26,增益!$A:$A,增益!$P:$P,0))</f>
        <v>0.06</v>
      </c>
      <c r="BN26" s="26">
        <f>MIN(IF(VLOOKUP($Q26,武学奇术!$A:$ZZ,23,FALSE)=1,100%,$B$8),100%)</f>
        <v>0.9859</v>
      </c>
      <c r="BO26" s="26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6" cm="1">
        <f t="array" ref="BP26">1+$B$13+VLOOKUP($Q26,武学奇术!$A:$ZZ,18,FALSE)+SUM(_xlfn.XLOOKUP($R26:$AK26,增益!$A:$A,增益!$R:$R,0))</f>
        <v>1.94</v>
      </c>
      <c r="BQ26" s="26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6" cm="1">
        <f t="array" ref="BR26">1+$B$14+VLOOKUP($Q26,武学奇术!$A:$ZZ,20,FALSE)+SUM(_xlfn.XLOOKUP($R26:$AK26,增益!$A:$A,增益!$T:$T,0))</f>
        <v>1.35</v>
      </c>
      <c r="BS26" s="26">
        <f t="shared" si="9"/>
        <v>0.87863408</v>
      </c>
      <c r="BT26" s="26">
        <f t="shared" si="10"/>
        <v>0.01567581</v>
      </c>
      <c r="BU26" s="26">
        <f>IF(VLOOKUP($Q26,武学奇术!$A:$ZZ,22,FALSE)=1,0,(1-$BN26))*(1-$BQ26)</f>
        <v>0.01279011</v>
      </c>
      <c r="BV26" s="26" cm="1">
        <f t="array" ref="BV26">SUM(_xlfn.XLOOKUP($R26:$AK26,增益!$A:$A,增益!$W:$W,0))+$I$5</f>
        <v>0.11</v>
      </c>
    </row>
    <row r="27" spans="1:74">
      <c r="K27" s="38">
        <f t="shared" si="0"/>
        <v>379952.005485106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395243.978585791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295878.838398973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193747.048326368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168324.586727571</v>
      </c>
      <c r="P27" s="39">
        <v>2</v>
      </c>
      <c r="Q27" s="40" t="s">
        <v>121</v>
      </c>
      <c r="R27" s="40" t="s">
        <v>100</v>
      </c>
      <c r="S27" s="40" t="s">
        <v>158</v>
      </c>
      <c r="T27" s="40" t="s">
        <v>78</v>
      </c>
      <c r="U27" s="40" t="s">
        <v>80</v>
      </c>
      <c r="V27" s="40" t="s">
        <v>73</v>
      </c>
      <c r="W27" s="40" t="s">
        <v>115</v>
      </c>
      <c r="X27" s="40" t="s">
        <v>87</v>
      </c>
      <c r="Y27" s="40" t="s">
        <v>80</v>
      </c>
      <c r="Z27" s="40" t="s">
        <v>80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81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80</v>
      </c>
      <c r="AL27" t="str">
        <f>VLOOKUP($Q27,武学奇术!$A:$ZZ,25,FALSE)</f>
        <v>鼓</v>
      </c>
      <c r="AM27" s="26">
        <f>VLOOKUP($Q27,武学奇术!$A:$ZZ,26,FALSE)</f>
        <v>3.75547</v>
      </c>
      <c r="AN27" s="27">
        <f>VLOOKUP($Q27,武学奇术!$A:$ZZ,27,FALSE)*(1+IF(OR($AL27=$F$4,$AL27=$F$5),$B$22,0))</f>
        <v>1558.05</v>
      </c>
      <c r="AO27" s="26">
        <f>VLOOKUP($Q27,武学奇术!$A:$ZZ,28,FALSE)</f>
        <v>5.63329</v>
      </c>
      <c r="AP27" s="27">
        <f>VLOOKUP($Q27,武学奇术!$A:$ZZ,29,FALSE)*(1+IF(OR($AL27=$F$4,$AL27=$F$5),$B$22,0))</f>
        <v>849.15</v>
      </c>
      <c r="AQ27" s="26" cm="1">
        <f t="array" ref="AQ27">$G$3+IFERROR(VLOOKUP($AL27,$F$4:$G$7,2,FALSE),0)+VLOOKUP($Q27,武学奇术!$A:$ZZ,2,FALSE)+SUM(_xlfn.XLOOKUP($R27:$AK27,增益!$A:$A,增益!$B:$B,0))</f>
        <v>0.5741</v>
      </c>
      <c r="AR27" s="26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4372.698</v>
      </c>
      <c r="AT27" cm="1">
        <f t="array" ref="AT27">$E$10*(1+$AR27)+VLOOKUP($Q27,武学奇术!$A:$ZZ,4,FALSE)+SUM(_xlfn.XLOOKUP($R27:$AK27,增益!$A:$A,增益!$D:$D,0))-$I$2</f>
        <v>4372.698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0.317</v>
      </c>
      <c r="AV27" s="32" cm="1">
        <f t="array" ref="AV27">$G$10+VLOOKUP($Q27,武学奇术!$A:$ZZ,7,FALSE)+SUM(_xlfn.XLOOKUP($R27:$AK27,增益!$A:$A,增益!$G:$G,0))</f>
        <v>0.205</v>
      </c>
      <c r="AW27" s="26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2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2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1920.804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2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2" cm="1">
        <f t="array" ref="BM27">$G$14+VLOOKUP($Q27,武学奇术!$A:$ZZ,16,FALSE)+SUM(_xlfn.XLOOKUP($R27:$AK27,增益!$A:$A,增益!$P:$P,0))</f>
        <v>0.06</v>
      </c>
      <c r="BN27" s="26">
        <f>MIN(IF(VLOOKUP($Q27,武学奇术!$A:$ZZ,23,FALSE)=1,100%,$B$8),100%)</f>
        <v>0.9859</v>
      </c>
      <c r="BO27" s="26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6" cm="1">
        <f t="array" ref="BP27">1+$B$13+VLOOKUP($Q27,武学奇术!$A:$ZZ,18,FALSE)+SUM(_xlfn.XLOOKUP($R27:$AK27,增益!$A:$A,增益!$R:$R,0))</f>
        <v>2.04</v>
      </c>
      <c r="BQ27" s="26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6" cm="1">
        <f t="array" ref="BR27">1+$B$14+VLOOKUP($Q27,武学奇术!$A:$ZZ,20,FALSE)+SUM(_xlfn.XLOOKUP($R27:$AK27,增益!$A:$A,增益!$T:$T,0))</f>
        <v>1.35</v>
      </c>
      <c r="BS27" s="26">
        <f t="shared" si="9"/>
        <v>0.87863408</v>
      </c>
      <c r="BT27" s="26">
        <f t="shared" si="10"/>
        <v>0.01567581</v>
      </c>
      <c r="BU27" s="26">
        <f>IF(VLOOKUP($Q27,武学奇术!$A:$ZZ,22,FALSE)=1,0,(1-$BN27))*(1-$BQ27)</f>
        <v>0.01279011</v>
      </c>
      <c r="BV27" s="26" cm="1">
        <f t="array" ref="BV27">SUM(_xlfn.XLOOKUP($R27:$AK27,增益!$A:$A,增益!$W:$W,0))+$I$5</f>
        <v>0.11</v>
      </c>
    </row>
    <row r="28" spans="1:74">
      <c r="K28" s="38">
        <f t="shared" si="0"/>
        <v>59859.6889801294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60946.2120323189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57261.6328035185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37162.3244099506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31908.6245209985</v>
      </c>
      <c r="P28" s="39">
        <v>1</v>
      </c>
      <c r="Q28" s="40" t="s">
        <v>124</v>
      </c>
      <c r="R28" s="40" t="s">
        <v>100</v>
      </c>
      <c r="S28" s="40" t="s">
        <v>158</v>
      </c>
      <c r="T28" s="40" t="s">
        <v>97</v>
      </c>
      <c r="U28" s="40" t="s">
        <v>80</v>
      </c>
      <c r="V28" s="40" t="s">
        <v>73</v>
      </c>
      <c r="W28" s="40" t="s">
        <v>115</v>
      </c>
      <c r="X28" s="40" t="s">
        <v>87</v>
      </c>
      <c r="Y28" s="40" t="s">
        <v>80</v>
      </c>
      <c r="Z28" s="40" t="s">
        <v>80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81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t="str">
        <f>VLOOKUP($Q28,武学奇术!$A:$ZZ,25,FALSE)</f>
        <v>鼓</v>
      </c>
      <c r="AM28" s="26">
        <f>VLOOKUP($Q28,武学奇术!$A:$ZZ,26,FALSE)</f>
        <v>2.514</v>
      </c>
      <c r="AN28" s="27">
        <f>VLOOKUP($Q28,武学奇术!$A:$ZZ,27,FALSE)*(1+IF(OR($AL28=$F$4,$AL28=$F$5),$B$22,0))</f>
        <v>1044</v>
      </c>
      <c r="AO28" s="26">
        <f>VLOOKUP($Q28,武学奇术!$A:$ZZ,28,FALSE)</f>
        <v>3.7708</v>
      </c>
      <c r="AP28" s="27">
        <f>VLOOKUP($Q28,武学奇术!$A:$ZZ,29,FALSE)*(1+IF(OR($AL28=$F$4,$AL28=$F$5),$B$22,0))</f>
        <v>564</v>
      </c>
      <c r="AQ28" s="26" cm="1">
        <f t="array" ref="AQ28">$G$3+IFERROR(VLOOKUP($AL28,$F$4:$G$7,2,FALSE),0)+VLOOKUP($Q28,武学奇术!$A:$ZZ,2,FALSE)+SUM(_xlfn.XLOOKUP($R28:$AK28,增益!$A:$A,增益!$B:$B,0))</f>
        <v>0.4241</v>
      </c>
      <c r="AR28" s="26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3611.1</v>
      </c>
      <c r="AT28" cm="1">
        <f t="array" ref="AT28">$E$10*(1+$AR28)+VLOOKUP($Q28,武学奇术!$A:$ZZ,4,FALSE)+SUM(_xlfn.XLOOKUP($R28:$AK28,增益!$A:$A,增益!$D:$D,0))-$I$2</f>
        <v>3611.1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0.257</v>
      </c>
      <c r="AV28" s="32" cm="1">
        <f t="array" ref="AV28">$G$10+VLOOKUP($Q28,武学奇术!$A:$ZZ,7,FALSE)+SUM(_xlfn.XLOOKUP($R28:$AK28,增益!$A:$A,增益!$G:$G,0))</f>
        <v>0.205</v>
      </c>
      <c r="AW28" s="26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2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2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1823.136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2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2" cm="1">
        <f t="array" ref="BM28">$G$14+VLOOKUP($Q28,武学奇术!$A:$ZZ,16,FALSE)+SUM(_xlfn.XLOOKUP($R28:$AK28,增益!$A:$A,增益!$P:$P,0))</f>
        <v>0.06</v>
      </c>
      <c r="BN28" s="26">
        <f>MIN(IF(VLOOKUP($Q28,武学奇术!$A:$ZZ,23,FALSE)=1,100%,$B$8),100%)</f>
        <v>0.9859</v>
      </c>
      <c r="BO28" s="26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6" cm="1">
        <f t="array" ref="BP28">1+$B$13+VLOOKUP($Q28,武学奇术!$A:$ZZ,18,FALSE)+SUM(_xlfn.XLOOKUP($R28:$AK28,增益!$A:$A,增益!$R:$R,0))</f>
        <v>1.64</v>
      </c>
      <c r="BQ28" s="26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6" cm="1">
        <f t="array" ref="BR28">1+$B$14+VLOOKUP($Q28,武学奇术!$A:$ZZ,20,FALSE)+SUM(_xlfn.XLOOKUP($R28:$AK28,增益!$A:$A,增益!$T:$T,0))</f>
        <v>1.35</v>
      </c>
      <c r="BS28" s="26">
        <f t="shared" si="9"/>
        <v>0.87863408</v>
      </c>
      <c r="BT28" s="26">
        <f t="shared" si="10"/>
        <v>0.01567581</v>
      </c>
      <c r="BU28" s="26">
        <f>IF(VLOOKUP($Q28,武学奇术!$A:$ZZ,22,FALSE)=1,0,(1-$BN28))*(1-$BQ28)</f>
        <v>0.01279011</v>
      </c>
      <c r="BV28" s="26" cm="1">
        <f t="array" ref="BV28">SUM(_xlfn.XLOOKUP($R28:$AK28,增益!$A:$A,增益!$W:$W,0))+$I$5</f>
        <v>0.11</v>
      </c>
    </row>
    <row r="29" spans="1:74">
      <c r="K29" s="38">
        <f t="shared" si="0"/>
        <v>117135.418688676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121234.605429478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96329.719433564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62492.0646543699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53628.781580174</v>
      </c>
      <c r="P29" s="39">
        <v>1</v>
      </c>
      <c r="Q29" s="40" t="s">
        <v>127</v>
      </c>
      <c r="R29" s="40" t="s">
        <v>100</v>
      </c>
      <c r="S29" s="40" t="s">
        <v>158</v>
      </c>
      <c r="T29" s="40" t="s">
        <v>97</v>
      </c>
      <c r="U29" s="40" t="s">
        <v>80</v>
      </c>
      <c r="V29" s="40" t="s">
        <v>73</v>
      </c>
      <c r="W29" s="40" t="s">
        <v>115</v>
      </c>
      <c r="X29" s="40" t="s">
        <v>87</v>
      </c>
      <c r="Y29" s="40" t="s">
        <v>80</v>
      </c>
      <c r="Z29" s="40" t="s">
        <v>80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81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80</v>
      </c>
      <c r="AL29" t="str">
        <f>VLOOKUP($Q29,武学奇术!$A:$ZZ,25,FALSE)</f>
        <v>鼓</v>
      </c>
      <c r="AM29" s="26">
        <f>VLOOKUP($Q29,武学奇术!$A:$ZZ,26,FALSE)</f>
        <v>3.52968</v>
      </c>
      <c r="AN29" s="27">
        <f>VLOOKUP($Q29,武学奇术!$A:$ZZ,27,FALSE)*(1+IF(OR($AL29=$F$4,$AL29=$F$5),$B$22,0))</f>
        <v>1465.8</v>
      </c>
      <c r="AO29" s="26">
        <f>VLOOKUP($Q29,武学奇术!$A:$ZZ,28,FALSE)</f>
        <v>5.29452</v>
      </c>
      <c r="AP29" s="27">
        <f>VLOOKUP($Q29,武学奇术!$A:$ZZ,29,FALSE)*(1+IF(OR($AL29=$F$4,$AL29=$F$5),$B$22,0))</f>
        <v>798</v>
      </c>
      <c r="AQ29" s="26" cm="1">
        <f t="array" ref="AQ29">$G$3+IFERROR(VLOOKUP($AL29,$F$4:$G$7,2,FALSE),0)+VLOOKUP($Q29,武学奇术!$A:$ZZ,2,FALSE)+SUM(_xlfn.XLOOKUP($R29:$AK29,增益!$A:$A,增益!$B:$B,0))</f>
        <v>0.6241</v>
      </c>
      <c r="AR29" s="26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3611.1</v>
      </c>
      <c r="AT29" cm="1">
        <f t="array" ref="AT29">$E$10*(1+$AR29)+VLOOKUP($Q29,武学奇术!$A:$ZZ,4,FALSE)+SUM(_xlfn.XLOOKUP($R29:$AK29,增益!$A:$A,增益!$D:$D,0))-$I$2</f>
        <v>3611.1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0.317</v>
      </c>
      <c r="AV29" s="32" cm="1">
        <f t="array" ref="AV29">$G$10+VLOOKUP($Q29,武学奇术!$A:$ZZ,7,FALSE)+SUM(_xlfn.XLOOKUP($R29:$AK29,增益!$A:$A,增益!$G:$G,0))</f>
        <v>0.205</v>
      </c>
      <c r="AW29" s="26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2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2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1823.136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2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2" cm="1">
        <f t="array" ref="BM29">$G$14+VLOOKUP($Q29,武学奇术!$A:$ZZ,16,FALSE)+SUM(_xlfn.XLOOKUP($R29:$AK29,增益!$A:$A,增益!$P:$P,0))</f>
        <v>0.06</v>
      </c>
      <c r="BN29" s="26">
        <f>MIN(IF(VLOOKUP($Q29,武学奇术!$A:$ZZ,23,FALSE)=1,100%,$B$8),100%)</f>
        <v>0.9859</v>
      </c>
      <c r="BO29" s="26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6" cm="1">
        <f t="array" ref="BP29">1+$B$13+VLOOKUP($Q29,武学奇术!$A:$ZZ,18,FALSE)+SUM(_xlfn.XLOOKUP($R29:$AK29,增益!$A:$A,增益!$R:$R,0))</f>
        <v>1.94</v>
      </c>
      <c r="BQ29" s="26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6" cm="1">
        <f t="array" ref="BR29">1+$B$14+VLOOKUP($Q29,武学奇术!$A:$ZZ,20,FALSE)+SUM(_xlfn.XLOOKUP($R29:$AK29,增益!$A:$A,增益!$T:$T,0))</f>
        <v>1.35</v>
      </c>
      <c r="BS29" s="26">
        <f t="shared" si="9"/>
        <v>0.87863408</v>
      </c>
      <c r="BT29" s="26">
        <f t="shared" si="10"/>
        <v>0.01567581</v>
      </c>
      <c r="BU29" s="26">
        <f>IF(VLOOKUP($Q29,武学奇术!$A:$ZZ,22,FALSE)=1,0,(1-$BN29))*(1-$BQ29)</f>
        <v>0.01279011</v>
      </c>
      <c r="BV29" s="26" cm="1">
        <f t="array" ref="BV29">SUM(_xlfn.XLOOKUP($R29:$AK29,增益!$A:$A,增益!$W:$W,0))+$I$5</f>
        <v>0.11</v>
      </c>
    </row>
    <row r="30" spans="1:74">
      <c r="K30" s="38">
        <f t="shared" si="0"/>
        <v>20097.528171041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20462.4868214928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19223.4577866219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12477.1261106664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10714.6538608721</v>
      </c>
      <c r="P30" s="39">
        <v>1</v>
      </c>
      <c r="Q30" s="40" t="s">
        <v>133</v>
      </c>
      <c r="R30" s="40" t="s">
        <v>100</v>
      </c>
      <c r="S30" s="40" t="s">
        <v>158</v>
      </c>
      <c r="T30" s="40" t="s">
        <v>97</v>
      </c>
      <c r="U30" s="40" t="s">
        <v>80</v>
      </c>
      <c r="V30" s="40" t="s">
        <v>73</v>
      </c>
      <c r="W30" s="40" t="s">
        <v>115</v>
      </c>
      <c r="X30" s="40" t="s">
        <v>87</v>
      </c>
      <c r="Y30" s="40" t="s">
        <v>80</v>
      </c>
      <c r="Z30" s="40" t="s">
        <v>80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81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80</v>
      </c>
      <c r="AL30" t="str">
        <f>VLOOKUP($Q30,武学奇术!$A:$ZZ,25,FALSE)</f>
        <v>鼓</v>
      </c>
      <c r="AM30" s="26">
        <f>VLOOKUP($Q30,武学奇术!$A:$ZZ,26,FALSE)</f>
        <v>0.8434</v>
      </c>
      <c r="AN30" s="27">
        <f>VLOOKUP($Q30,武学奇术!$A:$ZZ,27,FALSE)*(1+IF(OR($AL30=$F$4,$AL30=$F$5),$B$22,0))</f>
        <v>352.5</v>
      </c>
      <c r="AO30" s="26">
        <f>VLOOKUP($Q30,武学奇术!$A:$ZZ,28,FALSE)</f>
        <v>1.265</v>
      </c>
      <c r="AP30" s="27">
        <f>VLOOKUP($Q30,武学奇术!$A:$ZZ,29,FALSE)*(1+IF(OR($AL30=$F$4,$AL30=$F$5),$B$22,0))</f>
        <v>190.5</v>
      </c>
      <c r="AQ30" s="26" cm="1">
        <f t="array" ref="AQ30">$G$3+IFERROR(VLOOKUP($AL30,$F$4:$G$7,2,FALSE),0)+VLOOKUP($Q30,武学奇术!$A:$ZZ,2,FALSE)+SUM(_xlfn.XLOOKUP($R30:$AK30,增益!$A:$A,增益!$B:$B,0))</f>
        <v>0.4241</v>
      </c>
      <c r="AR30" s="26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3611.1</v>
      </c>
      <c r="AT30" cm="1">
        <f t="array" ref="AT30">$E$10*(1+$AR30)+VLOOKUP($Q30,武学奇术!$A:$ZZ,4,FALSE)+SUM(_xlfn.XLOOKUP($R30:$AK30,增益!$A:$A,增益!$D:$D,0))-$I$2</f>
        <v>3611.1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0.257</v>
      </c>
      <c r="AV30" s="32" cm="1">
        <f t="array" ref="AV30">$G$10+VLOOKUP($Q30,武学奇术!$A:$ZZ,7,FALSE)+SUM(_xlfn.XLOOKUP($R30:$AK30,增益!$A:$A,增益!$G:$G,0))</f>
        <v>0.205</v>
      </c>
      <c r="AW30" s="26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2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2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1823.136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2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2" cm="1">
        <f t="array" ref="BM30">$G$14+VLOOKUP($Q30,武学奇术!$A:$ZZ,16,FALSE)+SUM(_xlfn.XLOOKUP($R30:$AK30,增益!$A:$A,增益!$P:$P,0))</f>
        <v>0.06</v>
      </c>
      <c r="BN30" s="26">
        <f>MIN(IF(VLOOKUP($Q30,武学奇术!$A:$ZZ,23,FALSE)=1,100%,$B$8),100%)</f>
        <v>0.9859</v>
      </c>
      <c r="BO30" s="26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6" cm="1">
        <f t="array" ref="BP30">1+$B$13+VLOOKUP($Q30,武学奇术!$A:$ZZ,18,FALSE)+SUM(_xlfn.XLOOKUP($R30:$AK30,增益!$A:$A,增益!$R:$R,0))</f>
        <v>1.64</v>
      </c>
      <c r="BQ30" s="26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6" cm="1">
        <f t="array" ref="BR30">1+$B$14+VLOOKUP($Q30,武学奇术!$A:$ZZ,20,FALSE)+SUM(_xlfn.XLOOKUP($R30:$AK30,增益!$A:$A,增益!$T:$T,0))</f>
        <v>1.35</v>
      </c>
      <c r="BS30" s="26">
        <f t="shared" si="9"/>
        <v>0.87863408</v>
      </c>
      <c r="BT30" s="26">
        <f t="shared" si="10"/>
        <v>0.01567581</v>
      </c>
      <c r="BU30" s="26">
        <f>IF(VLOOKUP($Q30,武学奇术!$A:$ZZ,22,FALSE)=1,0,(1-$BN30))*(1-$BQ30)</f>
        <v>0.01279011</v>
      </c>
      <c r="BV30" s="26" cm="1">
        <f t="array" ref="BV30">SUM(_xlfn.XLOOKUP($R30:$AK30,增益!$A:$A,增益!$W:$W,0))+$I$5</f>
        <v>0.11</v>
      </c>
    </row>
    <row r="31" spans="1:74">
      <c r="K31" s="38">
        <f t="shared" si="0"/>
        <v>30251.3952828899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31310.0883720544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24877.7153804586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16139.2208103373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13850.5043018164</v>
      </c>
      <c r="P31" s="39">
        <v>1</v>
      </c>
      <c r="Q31" s="40" t="s">
        <v>137</v>
      </c>
      <c r="R31" s="40" t="s">
        <v>100</v>
      </c>
      <c r="S31" s="40" t="s">
        <v>158</v>
      </c>
      <c r="T31" s="40" t="s">
        <v>97</v>
      </c>
      <c r="U31" s="40" t="s">
        <v>80</v>
      </c>
      <c r="V31" s="40" t="s">
        <v>73</v>
      </c>
      <c r="W31" s="40" t="s">
        <v>115</v>
      </c>
      <c r="X31" s="40" t="s">
        <v>87</v>
      </c>
      <c r="Y31" s="40" t="s">
        <v>80</v>
      </c>
      <c r="Z31" s="40" t="s">
        <v>80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81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t="str">
        <f>VLOOKUP($Q31,武学奇术!$A:$ZZ,25,FALSE)</f>
        <v>鼓</v>
      </c>
      <c r="AM31" s="26">
        <f>VLOOKUP($Q31,武学奇术!$A:$ZZ,26,FALSE)</f>
        <v>1.03936</v>
      </c>
      <c r="AN31" s="27">
        <f>VLOOKUP($Q31,武学奇术!$A:$ZZ,27,FALSE)*(1+IF(OR($AL31=$F$4,$AL31=$F$5),$B$22,0))</f>
        <v>432.6</v>
      </c>
      <c r="AO31" s="26">
        <f>VLOOKUP($Q31,武学奇术!$A:$ZZ,28,FALSE)</f>
        <v>1.55918</v>
      </c>
      <c r="AP31" s="27">
        <f>VLOOKUP($Q31,武学奇术!$A:$ZZ,29,FALSE)*(1+IF(OR($AL31=$F$4,$AL31=$F$5),$B$22,0))</f>
        <v>235.2</v>
      </c>
      <c r="AQ31" s="26" cm="1">
        <f t="array" ref="AQ31">$G$3+IFERROR(VLOOKUP($AL31,$F$4:$G$7,2,FALSE),0)+VLOOKUP($Q31,武学奇术!$A:$ZZ,2,FALSE)+SUM(_xlfn.XLOOKUP($R31:$AK31,增益!$A:$A,增益!$B:$B,0))</f>
        <v>0.4241</v>
      </c>
      <c r="AR31" s="26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3611.1</v>
      </c>
      <c r="AT31" cm="1">
        <f t="array" ref="AT31">$E$10*(1+$AR31)+VLOOKUP($Q31,武学奇术!$A:$ZZ,4,FALSE)+SUM(_xlfn.XLOOKUP($R31:$AK31,增益!$A:$A,增益!$D:$D,0))-$I$2</f>
        <v>3611.1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0.317</v>
      </c>
      <c r="AV31" s="32" cm="1">
        <f t="array" ref="AV31">$G$10+VLOOKUP($Q31,武学奇术!$A:$ZZ,7,FALSE)+SUM(_xlfn.XLOOKUP($R31:$AK31,增益!$A:$A,增益!$G:$G,0))</f>
        <v>0.205</v>
      </c>
      <c r="AW31" s="26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2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2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1823.136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2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2" cm="1">
        <f t="array" ref="BM31">$G$14+VLOOKUP($Q31,武学奇术!$A:$ZZ,16,FALSE)+SUM(_xlfn.XLOOKUP($R31:$AK31,增益!$A:$A,增益!$P:$P,0))</f>
        <v>0.06</v>
      </c>
      <c r="BN31" s="26">
        <f>MIN(IF(VLOOKUP($Q31,武学奇术!$A:$ZZ,23,FALSE)=1,100%,$B$8),100%)</f>
        <v>0.9859</v>
      </c>
      <c r="BO31" s="26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6" cm="1">
        <f t="array" ref="BP31">1+$B$13+VLOOKUP($Q31,武学奇术!$A:$ZZ,18,FALSE)+SUM(_xlfn.XLOOKUP($R31:$AK31,增益!$A:$A,增益!$R:$R,0))</f>
        <v>1.94</v>
      </c>
      <c r="BQ31" s="26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6" cm="1">
        <f t="array" ref="BR31">1+$B$14+VLOOKUP($Q31,武学奇术!$A:$ZZ,20,FALSE)+SUM(_xlfn.XLOOKUP($R31:$AK31,增益!$A:$A,增益!$T:$T,0))</f>
        <v>1.35</v>
      </c>
      <c r="BS31" s="26">
        <f t="shared" si="9"/>
        <v>0.87863408</v>
      </c>
      <c r="BT31" s="26">
        <f t="shared" si="10"/>
        <v>0.01567581</v>
      </c>
      <c r="BU31" s="26">
        <f>IF(VLOOKUP($Q31,武学奇术!$A:$ZZ,22,FALSE)=1,0,(1-$BN31))*(1-$BQ31)</f>
        <v>0.01279011</v>
      </c>
      <c r="BV31" s="26" cm="1">
        <f t="array" ref="BV31">SUM(_xlfn.XLOOKUP($R31:$AK31,增益!$A:$A,增益!$W:$W,0))+$I$5</f>
        <v>0.11</v>
      </c>
    </row>
    <row r="32" spans="1:74">
      <c r="K32" s="38">
        <f t="shared" si="0"/>
        <v>95209.281078525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98542.0012139359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78289.0104881327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50794.8459865649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43597.8323522907</v>
      </c>
      <c r="P32" s="39">
        <v>1</v>
      </c>
      <c r="Q32" s="40" t="s">
        <v>140</v>
      </c>
      <c r="R32" s="40" t="s">
        <v>100</v>
      </c>
      <c r="S32" s="40" t="s">
        <v>158</v>
      </c>
      <c r="T32" s="40" t="s">
        <v>97</v>
      </c>
      <c r="U32" s="40" t="s">
        <v>80</v>
      </c>
      <c r="V32" s="40" t="s">
        <v>73</v>
      </c>
      <c r="W32" s="40" t="s">
        <v>115</v>
      </c>
      <c r="X32" s="40" t="s">
        <v>87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81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t="str">
        <f>VLOOKUP($Q32,武学奇术!$A:$ZZ,25,FALSE)</f>
        <v>鼓</v>
      </c>
      <c r="AM32" s="26">
        <f>VLOOKUP($Q32,武学奇术!$A:$ZZ,26,FALSE)</f>
        <v>3.26858</v>
      </c>
      <c r="AN32" s="27">
        <f>VLOOKUP($Q32,武学奇术!$A:$ZZ,27,FALSE)*(1+IF(OR($AL32=$F$4,$AL32=$F$5),$B$22,0))</f>
        <v>1377.6</v>
      </c>
      <c r="AO32" s="26">
        <f>VLOOKUP($Q32,武学奇术!$A:$ZZ,28,FALSE)</f>
        <v>4.90294</v>
      </c>
      <c r="AP32" s="27">
        <f>VLOOKUP($Q32,武学奇术!$A:$ZZ,29,FALSE)*(1+IF(OR($AL32=$F$4,$AL32=$F$5),$B$22,0))</f>
        <v>739.2</v>
      </c>
      <c r="AQ32" s="26" cm="1">
        <f t="array" ref="AQ32">$G$3+IFERROR(VLOOKUP($AL32,$F$4:$G$7,2,FALSE),0)+VLOOKUP($Q32,武学奇术!$A:$ZZ,2,FALSE)+SUM(_xlfn.XLOOKUP($R32:$AK32,增益!$A:$A,增益!$B:$B,0))</f>
        <v>0.4241</v>
      </c>
      <c r="AR32" s="26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3611.1</v>
      </c>
      <c r="AT32" cm="1">
        <f t="array" ref="AT32">$E$10*(1+$AR32)+VLOOKUP($Q32,武学奇术!$A:$ZZ,4,FALSE)+SUM(_xlfn.XLOOKUP($R32:$AK32,增益!$A:$A,增益!$D:$D,0))-$I$2</f>
        <v>3611.1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0.317</v>
      </c>
      <c r="AV32" s="32" cm="1">
        <f t="array" ref="AV32">$G$10+VLOOKUP($Q32,武学奇术!$A:$ZZ,7,FALSE)+SUM(_xlfn.XLOOKUP($R32:$AK32,增益!$A:$A,增益!$G:$G,0))</f>
        <v>0.205</v>
      </c>
      <c r="AW32" s="26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2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2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1823.136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2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2" cm="1">
        <f t="array" ref="BM32">$G$14+VLOOKUP($Q32,武学奇术!$A:$ZZ,16,FALSE)+SUM(_xlfn.XLOOKUP($R32:$AK32,增益!$A:$A,增益!$P:$P,0))</f>
        <v>0.06</v>
      </c>
      <c r="BN32" s="26">
        <f>MIN(IF(VLOOKUP($Q32,武学奇术!$A:$ZZ,23,FALSE)=1,100%,$B$8),100%)</f>
        <v>0.9859</v>
      </c>
      <c r="BO32" s="26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6" cm="1">
        <f t="array" ref="BP32">1+$B$13+VLOOKUP($Q32,武学奇术!$A:$ZZ,18,FALSE)+SUM(_xlfn.XLOOKUP($R32:$AK32,增益!$A:$A,增益!$R:$R,0))</f>
        <v>1.94</v>
      </c>
      <c r="BQ32" s="26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6" cm="1">
        <f t="array" ref="BR32">1+$B$14+VLOOKUP($Q32,武学奇术!$A:$ZZ,20,FALSE)+SUM(_xlfn.XLOOKUP($R32:$AK32,增益!$A:$A,增益!$T:$T,0))</f>
        <v>1.35</v>
      </c>
      <c r="BS32" s="26">
        <f t="shared" si="9"/>
        <v>0.87863408</v>
      </c>
      <c r="BT32" s="26">
        <f t="shared" si="10"/>
        <v>0.01567581</v>
      </c>
      <c r="BU32" s="26">
        <f>IF(VLOOKUP($Q32,武学奇术!$A:$ZZ,22,FALSE)=1,0,(1-$BN32))*(1-$BQ32)</f>
        <v>0.01279011</v>
      </c>
      <c r="BV32" s="26" cm="1">
        <f t="array" ref="BV32">SUM(_xlfn.XLOOKUP($R32:$AK32,增益!$A:$A,增益!$W:$W,0))+$I$5</f>
        <v>0.11</v>
      </c>
    </row>
    <row r="33" spans="3:74">
      <c r="K33" s="38">
        <f t="shared" si="0"/>
        <v>20097.528171041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20462.4868214928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19223.4577866219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12477.1261106664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10714.6538608721</v>
      </c>
      <c r="P33" s="39">
        <v>1</v>
      </c>
      <c r="Q33" s="40" t="s">
        <v>133</v>
      </c>
      <c r="R33" s="40" t="s">
        <v>100</v>
      </c>
      <c r="S33" s="40" t="s">
        <v>158</v>
      </c>
      <c r="T33" s="40" t="s">
        <v>97</v>
      </c>
      <c r="U33" s="40" t="s">
        <v>80</v>
      </c>
      <c r="V33" s="40" t="s">
        <v>73</v>
      </c>
      <c r="W33" s="40" t="s">
        <v>115</v>
      </c>
      <c r="X33" s="40" t="s">
        <v>87</v>
      </c>
      <c r="Y33" s="40" t="s">
        <v>80</v>
      </c>
      <c r="Z33" s="40" t="s">
        <v>80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81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t="str">
        <f>VLOOKUP($Q33,武学奇术!$A:$ZZ,25,FALSE)</f>
        <v>鼓</v>
      </c>
      <c r="AM33" s="26">
        <f>VLOOKUP($Q33,武学奇术!$A:$ZZ,26,FALSE)</f>
        <v>0.8434</v>
      </c>
      <c r="AN33" s="27">
        <f>VLOOKUP($Q33,武学奇术!$A:$ZZ,27,FALSE)*(1+IF(OR($AL33=$F$4,$AL33=$F$5),$B$22,0))</f>
        <v>352.5</v>
      </c>
      <c r="AO33" s="26">
        <f>VLOOKUP($Q33,武学奇术!$A:$ZZ,28,FALSE)</f>
        <v>1.265</v>
      </c>
      <c r="AP33" s="27">
        <f>VLOOKUP($Q33,武学奇术!$A:$ZZ,29,FALSE)*(1+IF(OR($AL33=$F$4,$AL33=$F$5),$B$22,0))</f>
        <v>190.5</v>
      </c>
      <c r="AQ33" s="26" cm="1">
        <f t="array" ref="AQ33">$G$3+IFERROR(VLOOKUP($AL33,$F$4:$G$7,2,FALSE),0)+VLOOKUP($Q33,武学奇术!$A:$ZZ,2,FALSE)+SUM(_xlfn.XLOOKUP($R33:$AK33,增益!$A:$A,增益!$B:$B,0))</f>
        <v>0.4241</v>
      </c>
      <c r="AR33" s="26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3611.1</v>
      </c>
      <c r="AT33" cm="1">
        <f t="array" ref="AT33">$E$10*(1+$AR33)+VLOOKUP($Q33,武学奇术!$A:$ZZ,4,FALSE)+SUM(_xlfn.XLOOKUP($R33:$AK33,增益!$A:$A,增益!$D:$D,0))-$I$2</f>
        <v>3611.1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0.257</v>
      </c>
      <c r="AV33" s="32" cm="1">
        <f t="array" ref="AV33">$G$10+VLOOKUP($Q33,武学奇术!$A:$ZZ,7,FALSE)+SUM(_xlfn.XLOOKUP($R33:$AK33,增益!$A:$A,增益!$G:$G,0))</f>
        <v>0.205</v>
      </c>
      <c r="AW33" s="26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2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2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1823.136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2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2" cm="1">
        <f t="array" ref="BM33">$G$14+VLOOKUP($Q33,武学奇术!$A:$ZZ,16,FALSE)+SUM(_xlfn.XLOOKUP($R33:$AK33,增益!$A:$A,增益!$P:$P,0))</f>
        <v>0.06</v>
      </c>
      <c r="BN33" s="26">
        <f>MIN(IF(VLOOKUP($Q33,武学奇术!$A:$ZZ,23,FALSE)=1,100%,$B$8),100%)</f>
        <v>0.9859</v>
      </c>
      <c r="BO33" s="26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6" cm="1">
        <f t="array" ref="BP33">1+$B$13+VLOOKUP($Q33,武学奇术!$A:$ZZ,18,FALSE)+SUM(_xlfn.XLOOKUP($R33:$AK33,增益!$A:$A,增益!$R:$R,0))</f>
        <v>1.64</v>
      </c>
      <c r="BQ33" s="26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6" cm="1">
        <f t="array" ref="BR33">1+$B$14+VLOOKUP($Q33,武学奇术!$A:$ZZ,20,FALSE)+SUM(_xlfn.XLOOKUP($R33:$AK33,增益!$A:$A,增益!$T:$T,0))</f>
        <v>1.35</v>
      </c>
      <c r="BS33" s="26">
        <f t="shared" si="9"/>
        <v>0.87863408</v>
      </c>
      <c r="BT33" s="26">
        <f t="shared" si="10"/>
        <v>0.01567581</v>
      </c>
      <c r="BU33" s="26">
        <f>IF(VLOOKUP($Q33,武学奇术!$A:$ZZ,22,FALSE)=1,0,(1-$BN33))*(1-$BQ33)</f>
        <v>0.01279011</v>
      </c>
      <c r="BV33" s="26" cm="1">
        <f t="array" ref="BV33">SUM(_xlfn.XLOOKUP($R33:$AK33,增益!$A:$A,增益!$W:$W,0))+$I$5</f>
        <v>0.11</v>
      </c>
    </row>
    <row r="34" spans="3:74">
      <c r="K34" s="38">
        <f t="shared" si="0"/>
        <v>30251.3952828899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31310.0883720544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24877.7153804586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16139.2208103373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13850.5043018164</v>
      </c>
      <c r="P34" s="39">
        <v>1</v>
      </c>
      <c r="Q34" s="40" t="s">
        <v>137</v>
      </c>
      <c r="R34" s="40" t="s">
        <v>100</v>
      </c>
      <c r="S34" s="40" t="s">
        <v>158</v>
      </c>
      <c r="T34" s="40" t="s">
        <v>97</v>
      </c>
      <c r="U34" s="40" t="s">
        <v>80</v>
      </c>
      <c r="V34" s="40" t="s">
        <v>73</v>
      </c>
      <c r="W34" s="40" t="s">
        <v>115</v>
      </c>
      <c r="X34" s="40" t="s">
        <v>87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81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t="str">
        <f>VLOOKUP($Q34,武学奇术!$A:$ZZ,25,FALSE)</f>
        <v>鼓</v>
      </c>
      <c r="AM34" s="26">
        <f>VLOOKUP($Q34,武学奇术!$A:$ZZ,26,FALSE)</f>
        <v>1.03936</v>
      </c>
      <c r="AN34" s="27">
        <f>VLOOKUP($Q34,武学奇术!$A:$ZZ,27,FALSE)*(1+IF(OR($AL34=$F$4,$AL34=$F$5),$B$22,0))</f>
        <v>432.6</v>
      </c>
      <c r="AO34" s="26">
        <f>VLOOKUP($Q34,武学奇术!$A:$ZZ,28,FALSE)</f>
        <v>1.55918</v>
      </c>
      <c r="AP34" s="27">
        <f>VLOOKUP($Q34,武学奇术!$A:$ZZ,29,FALSE)*(1+IF(OR($AL34=$F$4,$AL34=$F$5),$B$22,0))</f>
        <v>235.2</v>
      </c>
      <c r="AQ34" s="26" cm="1">
        <f t="array" ref="AQ34">$G$3+IFERROR(VLOOKUP($AL34,$F$4:$G$7,2,FALSE),0)+VLOOKUP($Q34,武学奇术!$A:$ZZ,2,FALSE)+SUM(_xlfn.XLOOKUP($R34:$AK34,增益!$A:$A,增益!$B:$B,0))</f>
        <v>0.4241</v>
      </c>
      <c r="AR34" s="26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3611.1</v>
      </c>
      <c r="AT34" cm="1">
        <f t="array" ref="AT34">$E$10*(1+$AR34)+VLOOKUP($Q34,武学奇术!$A:$ZZ,4,FALSE)+SUM(_xlfn.XLOOKUP($R34:$AK34,增益!$A:$A,增益!$D:$D,0))-$I$2</f>
        <v>3611.1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0.317</v>
      </c>
      <c r="AV34" s="32" cm="1">
        <f t="array" ref="AV34">$G$10+VLOOKUP($Q34,武学奇术!$A:$ZZ,7,FALSE)+SUM(_xlfn.XLOOKUP($R34:$AK34,增益!$A:$A,增益!$G:$G,0))</f>
        <v>0.205</v>
      </c>
      <c r="AW34" s="26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2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2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1823.136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2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2" cm="1">
        <f t="array" ref="BM34">$G$14+VLOOKUP($Q34,武学奇术!$A:$ZZ,16,FALSE)+SUM(_xlfn.XLOOKUP($R34:$AK34,增益!$A:$A,增益!$P:$P,0))</f>
        <v>0.06</v>
      </c>
      <c r="BN34" s="26">
        <f>MIN(IF(VLOOKUP($Q34,武学奇术!$A:$ZZ,23,FALSE)=1,100%,$B$8),100%)</f>
        <v>0.9859</v>
      </c>
      <c r="BO34" s="26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6" cm="1">
        <f t="array" ref="BP34">1+$B$13+VLOOKUP($Q34,武学奇术!$A:$ZZ,18,FALSE)+SUM(_xlfn.XLOOKUP($R34:$AK34,增益!$A:$A,增益!$R:$R,0))</f>
        <v>1.94</v>
      </c>
      <c r="BQ34" s="26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6" cm="1">
        <f t="array" ref="BR34">1+$B$14+VLOOKUP($Q34,武学奇术!$A:$ZZ,20,FALSE)+SUM(_xlfn.XLOOKUP($R34:$AK34,增益!$A:$A,增益!$T:$T,0))</f>
        <v>1.35</v>
      </c>
      <c r="BS34" s="26">
        <f t="shared" si="9"/>
        <v>0.87863408</v>
      </c>
      <c r="BT34" s="26">
        <f t="shared" si="10"/>
        <v>0.01567581</v>
      </c>
      <c r="BU34" s="26">
        <f>IF(VLOOKUP($Q34,武学奇术!$A:$ZZ,22,FALSE)=1,0,(1-$BN34))*(1-$BQ34)</f>
        <v>0.01279011</v>
      </c>
      <c r="BV34" s="26" cm="1">
        <f t="array" ref="BV34">SUM(_xlfn.XLOOKUP($R34:$AK34,增益!$A:$A,增益!$W:$W,0))+$I$5</f>
        <v>0.11</v>
      </c>
    </row>
    <row r="35" spans="3:74">
      <c r="K35" s="38">
        <f t="shared" si="0"/>
        <v>95209.281078525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98542.0012139359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78289.0104881327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50794.8459865649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43597.8323522907</v>
      </c>
      <c r="P35" s="39">
        <v>1</v>
      </c>
      <c r="Q35" s="40" t="s">
        <v>140</v>
      </c>
      <c r="R35" s="40" t="s">
        <v>100</v>
      </c>
      <c r="S35" s="40" t="s">
        <v>158</v>
      </c>
      <c r="T35" s="40" t="s">
        <v>97</v>
      </c>
      <c r="U35" s="40" t="s">
        <v>80</v>
      </c>
      <c r="V35" s="40" t="s">
        <v>73</v>
      </c>
      <c r="W35" s="40" t="s">
        <v>115</v>
      </c>
      <c r="X35" s="40" t="s">
        <v>87</v>
      </c>
      <c r="Y35" s="40" t="s">
        <v>80</v>
      </c>
      <c r="Z35" s="40" t="s">
        <v>80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81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80</v>
      </c>
      <c r="AL35" t="str">
        <f>VLOOKUP($Q35,武学奇术!$A:$ZZ,25,FALSE)</f>
        <v>鼓</v>
      </c>
      <c r="AM35" s="26">
        <f>VLOOKUP($Q35,武学奇术!$A:$ZZ,26,FALSE)</f>
        <v>3.26858</v>
      </c>
      <c r="AN35" s="27">
        <f>VLOOKUP($Q35,武学奇术!$A:$ZZ,27,FALSE)*(1+IF(OR($AL35=$F$4,$AL35=$F$5),$B$22,0))</f>
        <v>1377.6</v>
      </c>
      <c r="AO35" s="26">
        <f>VLOOKUP($Q35,武学奇术!$A:$ZZ,28,FALSE)</f>
        <v>4.90294</v>
      </c>
      <c r="AP35" s="27">
        <f>VLOOKUP($Q35,武学奇术!$A:$ZZ,29,FALSE)*(1+IF(OR($AL35=$F$4,$AL35=$F$5),$B$22,0))</f>
        <v>739.2</v>
      </c>
      <c r="AQ35" s="26" cm="1">
        <f t="array" ref="AQ35">$G$3+IFERROR(VLOOKUP($AL35,$F$4:$G$7,2,FALSE),0)+VLOOKUP($Q35,武学奇术!$A:$ZZ,2,FALSE)+SUM(_xlfn.XLOOKUP($R35:$AK35,增益!$A:$A,增益!$B:$B,0))</f>
        <v>0.4241</v>
      </c>
      <c r="AR35" s="26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3611.1</v>
      </c>
      <c r="AT35" cm="1">
        <f t="array" ref="AT35">$E$10*(1+$AR35)+VLOOKUP($Q35,武学奇术!$A:$ZZ,4,FALSE)+SUM(_xlfn.XLOOKUP($R35:$AK35,增益!$A:$A,增益!$D:$D,0))-$I$2</f>
        <v>3611.1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0.317</v>
      </c>
      <c r="AV35" s="32" cm="1">
        <f t="array" ref="AV35">$G$10+VLOOKUP($Q35,武学奇术!$A:$ZZ,7,FALSE)+SUM(_xlfn.XLOOKUP($R35:$AK35,增益!$A:$A,增益!$G:$G,0))</f>
        <v>0.205</v>
      </c>
      <c r="AW35" s="26" cm="1">
        <f t="array" ref="AW35">VLOOKUP($Q35,武学奇术!$A:$ZZ,8,FALSE)+SUM(_xlfn.XLOOKUP($R35:$AK35,增益!$A:$A,增益!$H:$H,0))</f>
        <v>0.12</v>
      </c>
      <c r="AX35">
        <f t="shared" si="1"/>
        <v>0</v>
      </c>
      <c r="AY35">
        <f t="shared" si="2"/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2" cm="1">
        <f t="array" ref="BA35">$G$11+VLOOKUP($Q35,武学奇术!$A:$ZZ,10,FALSE)+SUM(_xlfn.XLOOKUP($R35:$AK35,增益!$A:$A,增益!$J:$J,0))</f>
        <v>0.06</v>
      </c>
      <c r="BB35">
        <f t="shared" si="3"/>
        <v>0</v>
      </c>
      <c r="BC35">
        <f t="shared" si="4"/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2" cm="1">
        <f t="array" ref="BE35">$G$12+VLOOKUP($Q35,武学奇术!$A:$ZZ,12,FALSE)+SUM(_xlfn.XLOOKUP($R35:$AK35,增益!$A:$A,增益!$L:$L,0))</f>
        <v>0.06</v>
      </c>
      <c r="BF35">
        <f t="shared" si="5"/>
        <v>639.744</v>
      </c>
      <c r="BG35">
        <f t="shared" si="6"/>
        <v>1823.136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2" cm="1">
        <f t="array" ref="BI35">$G$13+VLOOKUP($Q35,武学奇术!$A:$ZZ,14,FALSE)+SUM(_xlfn.XLOOKUP($R35:$AK35,增益!$A:$A,增益!$N:$N,0))</f>
        <v>0.33</v>
      </c>
      <c r="BJ35">
        <f t="shared" si="7"/>
        <v>0</v>
      </c>
      <c r="BK35">
        <f t="shared" si="8"/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2" cm="1">
        <f t="array" ref="BM35">$G$14+VLOOKUP($Q35,武学奇术!$A:$ZZ,16,FALSE)+SUM(_xlfn.XLOOKUP($R35:$AK35,增益!$A:$A,增益!$P:$P,0))</f>
        <v>0.06</v>
      </c>
      <c r="BN35" s="26">
        <f>MIN(IF(VLOOKUP($Q35,武学奇术!$A:$ZZ,23,FALSE)=1,100%,$B$8),100%)</f>
        <v>0.9859</v>
      </c>
      <c r="BO35" s="26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6" cm="1">
        <f t="array" ref="BP35">1+$B$13+VLOOKUP($Q35,武学奇术!$A:$ZZ,18,FALSE)+SUM(_xlfn.XLOOKUP($R35:$AK35,增益!$A:$A,增益!$R:$R,0))</f>
        <v>1.94</v>
      </c>
      <c r="BQ35" s="26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6" cm="1">
        <f t="array" ref="BR35">1+$B$14+VLOOKUP($Q35,武学奇术!$A:$ZZ,20,FALSE)+SUM(_xlfn.XLOOKUP($R35:$AK35,增益!$A:$A,增益!$T:$T,0))</f>
        <v>1.35</v>
      </c>
      <c r="BS35" s="26">
        <f t="shared" si="9"/>
        <v>0.87863408</v>
      </c>
      <c r="BT35" s="26">
        <f t="shared" si="10"/>
        <v>0.01567581</v>
      </c>
      <c r="BU35" s="26">
        <f>IF(VLOOKUP($Q35,武学奇术!$A:$ZZ,22,FALSE)=1,0,(1-$BN35))*(1-$BQ35)</f>
        <v>0.01279011</v>
      </c>
      <c r="BV35" s="26" cm="1">
        <f t="array" ref="BV35">SUM(_xlfn.XLOOKUP($R35:$AK35,增益!$A:$A,增益!$W:$W,0))+$I$5</f>
        <v>0.11</v>
      </c>
    </row>
    <row r="36" spans="3:74">
      <c r="K36" s="38">
        <f t="shared" si="0"/>
        <v>88290.6712917046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89935.8809509501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83996.7983475494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54838.9517993598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47458.0529709053</v>
      </c>
      <c r="P36" s="39">
        <v>1</v>
      </c>
      <c r="Q36" s="40" t="s">
        <v>108</v>
      </c>
      <c r="R36" s="40" t="s">
        <v>100</v>
      </c>
      <c r="S36" s="40" t="s">
        <v>158</v>
      </c>
      <c r="T36" s="40" t="s">
        <v>97</v>
      </c>
      <c r="U36" s="40" t="s">
        <v>80</v>
      </c>
      <c r="V36" s="40" t="s">
        <v>73</v>
      </c>
      <c r="W36" s="40" t="s">
        <v>115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81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80</v>
      </c>
      <c r="AL36" t="str">
        <f>VLOOKUP($Q36,武学奇术!$A:$ZZ,25,FALSE)</f>
        <v>扇</v>
      </c>
      <c r="AM36" s="26">
        <f>VLOOKUP($Q36,武学奇术!$A:$ZZ,26,FALSE)</f>
        <v>4.045375</v>
      </c>
      <c r="AN36" s="27">
        <f>VLOOKUP($Q36,武学奇术!$A:$ZZ,27,FALSE)*(1+IF(OR($AL36=$F$4,$AL36=$F$5),$B$22,0))</f>
        <v>1678.125</v>
      </c>
      <c r="AO36" s="26">
        <f>VLOOKUP($Q36,武学奇术!$A:$ZZ,28,FALSE)</f>
        <v>6.068125</v>
      </c>
      <c r="AP36" s="27">
        <f>VLOOKUP($Q36,武学奇术!$A:$ZZ,29,FALSE)*(1+IF(OR($AL36=$F$4,$AL36=$F$5),$B$22,0))</f>
        <v>913.125</v>
      </c>
      <c r="AQ36" s="26" cm="1">
        <f t="array" ref="AQ36">$G$3+IFERROR(VLOOKUP($AL36,$F$4:$G$7,2,FALSE),0)+VLOOKUP($Q36,武学奇术!$A:$ZZ,2,FALSE)+SUM(_xlfn.XLOOKUP($R36:$AK36,增益!$A:$A,增益!$B:$B,0))</f>
        <v>0.3389</v>
      </c>
      <c r="AR36" s="26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3611.1</v>
      </c>
      <c r="AT36" cm="1">
        <f t="array" ref="AT36">$E$10*(1+$AR36)+VLOOKUP($Q36,武学奇术!$A:$ZZ,4,FALSE)+SUM(_xlfn.XLOOKUP($R36:$AK36,增益!$A:$A,增益!$D:$D,0))-$I$2</f>
        <v>3611.1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0.257</v>
      </c>
      <c r="AV36" s="32" cm="1">
        <f t="array" ref="AV36">$G$10+VLOOKUP($Q36,武学奇术!$A:$ZZ,7,FALSE)+SUM(_xlfn.XLOOKUP($R36:$AK36,增益!$A:$A,增益!$G:$G,0))</f>
        <v>0.205</v>
      </c>
      <c r="AW36" s="26" cm="1">
        <f t="array" ref="AW36">VLOOKUP($Q36,武学奇术!$A:$ZZ,8,FALSE)+SUM(_xlfn.XLOOKUP($R36:$AK36,增益!$A:$A,增益!$H:$H,0))</f>
        <v>0.12</v>
      </c>
      <c r="AX36">
        <f t="shared" si="1"/>
        <v>0</v>
      </c>
      <c r="AY36">
        <f t="shared" si="2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2" cm="1">
        <f t="array" ref="BA36">$G$11+VLOOKUP($Q36,武学奇术!$A:$ZZ,10,FALSE)+SUM(_xlfn.XLOOKUP($R36:$AK36,增益!$A:$A,增益!$J:$J,0))</f>
        <v>0.06</v>
      </c>
      <c r="BB36">
        <f t="shared" si="3"/>
        <v>0</v>
      </c>
      <c r="BC36">
        <f t="shared" si="4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2" cm="1">
        <f t="array" ref="BE36">$G$12+VLOOKUP($Q36,武学奇术!$A:$ZZ,12,FALSE)+SUM(_xlfn.XLOOKUP($R36:$AK36,增益!$A:$A,增益!$L:$L,0))</f>
        <v>0.06</v>
      </c>
      <c r="BF36">
        <f t="shared" si="5"/>
        <v>639.744</v>
      </c>
      <c r="BG36">
        <f t="shared" si="6"/>
        <v>1823.136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2" cm="1">
        <f t="array" ref="BI36">$G$13+VLOOKUP($Q36,武学奇术!$A:$ZZ,14,FALSE)+SUM(_xlfn.XLOOKUP($R36:$AK36,增益!$A:$A,增益!$N:$N,0))</f>
        <v>0.33</v>
      </c>
      <c r="BJ36">
        <f t="shared" si="7"/>
        <v>0</v>
      </c>
      <c r="BK36">
        <f t="shared" si="8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2" cm="1">
        <f t="array" ref="BM36">$G$14+VLOOKUP($Q36,武学奇术!$A:$ZZ,16,FALSE)+SUM(_xlfn.XLOOKUP($R36:$AK36,增益!$A:$A,增益!$P:$P,0))</f>
        <v>0.06</v>
      </c>
      <c r="BN36" s="26">
        <f>MIN(IF(VLOOKUP($Q36,武学奇术!$A:$ZZ,23,FALSE)=1,100%,$B$8),100%)</f>
        <v>0.9859</v>
      </c>
      <c r="BO36" s="26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6" cm="1">
        <f t="array" ref="BP36">1+$B$13+VLOOKUP($Q36,武学奇术!$A:$ZZ,18,FALSE)+SUM(_xlfn.XLOOKUP($R36:$AK36,增益!$A:$A,增益!$R:$R,0))</f>
        <v>1.64</v>
      </c>
      <c r="BQ36" s="26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6" cm="1">
        <f t="array" ref="BR36">1+$B$14+VLOOKUP($Q36,武学奇术!$A:$ZZ,20,FALSE)+SUM(_xlfn.XLOOKUP($R36:$AK36,增益!$A:$A,增益!$T:$T,0))</f>
        <v>1.35</v>
      </c>
      <c r="BS36" s="26">
        <f t="shared" si="9"/>
        <v>0.87863408</v>
      </c>
      <c r="BT36" s="26">
        <f t="shared" si="10"/>
        <v>0.01567581</v>
      </c>
      <c r="BU36" s="26">
        <f>IF(VLOOKUP($Q36,武学奇术!$A:$ZZ,22,FALSE)=1,0,(1-$BN36))*(1-$BQ36)</f>
        <v>0.01279011</v>
      </c>
      <c r="BV36" s="26" cm="1">
        <f t="array" ref="BV36">SUM(_xlfn.XLOOKUP($R36:$AK36,增益!$A:$A,增益!$W:$W,0))+$I$5</f>
        <v>0.11</v>
      </c>
    </row>
    <row r="37" spans="3:74">
      <c r="C37" s="39"/>
      <c r="K37" s="38">
        <f t="shared" si="0"/>
        <v>21543.7904685461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21945.2193530874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20496.2428939678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13381.2313128582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11580.0604820365</v>
      </c>
      <c r="P37" s="39">
        <v>1</v>
      </c>
      <c r="Q37" s="40" t="s">
        <v>110</v>
      </c>
      <c r="R37" s="40" t="s">
        <v>100</v>
      </c>
      <c r="S37" s="40" t="s">
        <v>158</v>
      </c>
      <c r="T37" s="40" t="s">
        <v>97</v>
      </c>
      <c r="U37" s="40" t="s">
        <v>80</v>
      </c>
      <c r="V37" s="40" t="s">
        <v>73</v>
      </c>
      <c r="W37" s="40" t="s">
        <v>80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81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80</v>
      </c>
      <c r="AL37" t="str">
        <f>VLOOKUP($Q37,武学奇术!$A:$ZZ,25,FALSE)</f>
        <v>扇</v>
      </c>
      <c r="AM37" s="26">
        <f>VLOOKUP($Q37,武学奇术!$A:$ZZ,26,FALSE)</f>
        <v>0.9186</v>
      </c>
      <c r="AN37" s="27">
        <f>VLOOKUP($Q37,武学奇术!$A:$ZZ,27,FALSE)*(1+IF(OR($AL37=$F$4,$AL37=$F$5),$B$22,0))</f>
        <v>381</v>
      </c>
      <c r="AO37" s="26">
        <f>VLOOKUP($Q37,武学奇术!$A:$ZZ,28,FALSE)</f>
        <v>1.3779</v>
      </c>
      <c r="AP37" s="27">
        <f>VLOOKUP($Q37,武学奇术!$A:$ZZ,29,FALSE)*(1+IF(OR($AL37=$F$4,$AL37=$F$5),$B$22,0))</f>
        <v>207</v>
      </c>
      <c r="AQ37" s="26" cm="1">
        <f t="array" ref="AQ37">$G$3+IFERROR(VLOOKUP($AL37,$F$4:$G$7,2,FALSE),0)+VLOOKUP($Q37,武学奇术!$A:$ZZ,2,FALSE)+SUM(_xlfn.XLOOKUP($R37:$AK37,增益!$A:$A,增益!$B:$B,0))</f>
        <v>0.4389</v>
      </c>
      <c r="AR37" s="26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3611.1</v>
      </c>
      <c r="AT37" cm="1">
        <f t="array" ref="AT37">$E$10*(1+$AR37)+VLOOKUP($Q37,武学奇术!$A:$ZZ,4,FALSE)+SUM(_xlfn.XLOOKUP($R37:$AK37,增益!$A:$A,增益!$D:$D,0))-$I$2</f>
        <v>3611.1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0.257</v>
      </c>
      <c r="AV37" s="32" cm="1">
        <f t="array" ref="AV37">$G$10+VLOOKUP($Q37,武学奇术!$A:$ZZ,7,FALSE)+SUM(_xlfn.XLOOKUP($R37:$AK37,增益!$A:$A,增益!$G:$G,0))</f>
        <v>0.205</v>
      </c>
      <c r="AW37" s="26" cm="1">
        <f t="array" ref="AW37">VLOOKUP($Q37,武学奇术!$A:$ZZ,8,FALSE)+SUM(_xlfn.XLOOKUP($R37:$AK37,增益!$A:$A,增益!$H:$H,0))</f>
        <v>0.12</v>
      </c>
      <c r="AX37">
        <f t="shared" si="1"/>
        <v>0</v>
      </c>
      <c r="AY37">
        <f t="shared" si="2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2" cm="1">
        <f t="array" ref="BA37">$G$11+VLOOKUP($Q37,武学奇术!$A:$ZZ,10,FALSE)+SUM(_xlfn.XLOOKUP($R37:$AK37,增益!$A:$A,增益!$J:$J,0))</f>
        <v>0.06</v>
      </c>
      <c r="BB37">
        <f t="shared" si="3"/>
        <v>0</v>
      </c>
      <c r="BC37">
        <f t="shared" si="4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2" cm="1">
        <f t="array" ref="BE37">$G$12+VLOOKUP($Q37,武学奇术!$A:$ZZ,12,FALSE)+SUM(_xlfn.XLOOKUP($R37:$AK37,增益!$A:$A,增益!$L:$L,0))</f>
        <v>0.06</v>
      </c>
      <c r="BF37">
        <f t="shared" si="5"/>
        <v>639.744</v>
      </c>
      <c r="BG37">
        <f t="shared" si="6"/>
        <v>1823.136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2" cm="1">
        <f t="array" ref="BI37">$G$13+VLOOKUP($Q37,武学奇术!$A:$ZZ,14,FALSE)+SUM(_xlfn.XLOOKUP($R37:$AK37,增益!$A:$A,增益!$N:$N,0))</f>
        <v>0.33</v>
      </c>
      <c r="BJ37">
        <f t="shared" si="7"/>
        <v>0</v>
      </c>
      <c r="BK37">
        <f t="shared" si="8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2" cm="1">
        <f t="array" ref="BM37">$G$14+VLOOKUP($Q37,武学奇术!$A:$ZZ,16,FALSE)+SUM(_xlfn.XLOOKUP($R37:$AK37,增益!$A:$A,增益!$P:$P,0))</f>
        <v>0.06</v>
      </c>
      <c r="BN37" s="26">
        <f>MIN(IF(VLOOKUP($Q37,武学奇术!$A:$ZZ,23,FALSE)=1,100%,$B$8),100%)</f>
        <v>0.9859</v>
      </c>
      <c r="BO37" s="26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6" cm="1">
        <f t="array" ref="BP37">1+$B$13+VLOOKUP($Q37,武学奇术!$A:$ZZ,18,FALSE)+SUM(_xlfn.XLOOKUP($R37:$AK37,增益!$A:$A,增益!$R:$R,0))</f>
        <v>1.64</v>
      </c>
      <c r="BQ37" s="26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6" cm="1">
        <f t="array" ref="BR37">1+$B$14+VLOOKUP($Q37,武学奇术!$A:$ZZ,20,FALSE)+SUM(_xlfn.XLOOKUP($R37:$AK37,增益!$A:$A,增益!$T:$T,0))</f>
        <v>1.35</v>
      </c>
      <c r="BS37" s="26">
        <f t="shared" si="9"/>
        <v>0.87863408</v>
      </c>
      <c r="BT37" s="26">
        <f t="shared" si="10"/>
        <v>0.01567581</v>
      </c>
      <c r="BU37" s="26">
        <f>IF(VLOOKUP($Q37,武学奇术!$A:$ZZ,22,FALSE)=1,0,(1-$BN37))*(1-$BQ37)</f>
        <v>0.01279011</v>
      </c>
      <c r="BV37" s="26" cm="1">
        <f t="array" ref="BV37">SUM(_xlfn.XLOOKUP($R37:$AK37,增益!$A:$A,增益!$W:$W,0))+$I$5</f>
        <v>0.11</v>
      </c>
    </row>
    <row r="38" spans="3:74">
      <c r="C38" s="39"/>
      <c r="K38" s="38">
        <f t="shared" si="0"/>
        <v>55165.9874806274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56167.433846766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52770.3551936239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34248.4352724183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29407.7185495596</v>
      </c>
      <c r="P38" s="39">
        <v>1</v>
      </c>
      <c r="Q38" s="40" t="s">
        <v>114</v>
      </c>
      <c r="R38" s="40" t="s">
        <v>100</v>
      </c>
      <c r="S38" s="40" t="s">
        <v>158</v>
      </c>
      <c r="T38" s="40" t="s">
        <v>97</v>
      </c>
      <c r="U38" s="40" t="s">
        <v>80</v>
      </c>
      <c r="V38" s="40" t="s">
        <v>73</v>
      </c>
      <c r="W38" s="40" t="s">
        <v>115</v>
      </c>
      <c r="X38" s="40" t="s">
        <v>87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81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80</v>
      </c>
      <c r="AL38" t="str">
        <f>VLOOKUP($Q38,武学奇术!$A:$ZZ,25,FALSE)</f>
        <v>扇</v>
      </c>
      <c r="AM38" s="26">
        <f>VLOOKUP($Q38,武学奇术!$A:$ZZ,26,FALSE)</f>
        <v>2.1435</v>
      </c>
      <c r="AN38" s="27">
        <f>VLOOKUP($Q38,武学奇术!$A:$ZZ,27,FALSE)*(1+IF(OR($AL38=$F$4,$AL38=$F$5),$B$22,0))</f>
        <v>888</v>
      </c>
      <c r="AO38" s="26">
        <f>VLOOKUP($Q38,武学奇术!$A:$ZZ,28,FALSE)</f>
        <v>3.2152</v>
      </c>
      <c r="AP38" s="27">
        <f>VLOOKUP($Q38,武学奇术!$A:$ZZ,29,FALSE)*(1+IF(OR($AL38=$F$4,$AL38=$F$5),$B$22,0))</f>
        <v>484.5</v>
      </c>
      <c r="AQ38" s="26" cm="1">
        <f t="array" ref="AQ38">$G$3+IFERROR(VLOOKUP($AL38,$F$4:$G$7,2,FALSE),0)+VLOOKUP($Q38,武学奇术!$A:$ZZ,2,FALSE)+SUM(_xlfn.XLOOKUP($R38:$AK38,增益!$A:$A,增益!$B:$B,0))</f>
        <v>0.5389</v>
      </c>
      <c r="AR38" s="26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3611.1</v>
      </c>
      <c r="AT38" cm="1">
        <f t="array" ref="AT38">$E$10*(1+$AR38)+VLOOKUP($Q38,武学奇术!$A:$ZZ,4,FALSE)+SUM(_xlfn.XLOOKUP($R38:$AK38,增益!$A:$A,增益!$D:$D,0))-$I$2</f>
        <v>3611.1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0.257</v>
      </c>
      <c r="AV38" s="32" cm="1">
        <f t="array" ref="AV38">$G$10+VLOOKUP($Q38,武学奇术!$A:$ZZ,7,FALSE)+SUM(_xlfn.XLOOKUP($R38:$AK38,增益!$A:$A,增益!$G:$G,0))</f>
        <v>0.205</v>
      </c>
      <c r="AW38" s="26" cm="1">
        <f t="array" ref="AW38">VLOOKUP($Q38,武学奇术!$A:$ZZ,8,FALSE)+SUM(_xlfn.XLOOKUP($R38:$AK38,增益!$A:$A,增益!$H:$H,0))</f>
        <v>0.12</v>
      </c>
      <c r="AX38">
        <f t="shared" si="1"/>
        <v>0</v>
      </c>
      <c r="AY38">
        <f t="shared" si="2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2" cm="1">
        <f t="array" ref="BA38">$G$11+VLOOKUP($Q38,武学奇术!$A:$ZZ,10,FALSE)+SUM(_xlfn.XLOOKUP($R38:$AK38,增益!$A:$A,增益!$J:$J,0))</f>
        <v>0.06</v>
      </c>
      <c r="BB38">
        <f t="shared" si="3"/>
        <v>0</v>
      </c>
      <c r="BC38">
        <f t="shared" si="4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2" cm="1">
        <f t="array" ref="BE38">$G$12+VLOOKUP($Q38,武学奇术!$A:$ZZ,12,FALSE)+SUM(_xlfn.XLOOKUP($R38:$AK38,增益!$A:$A,增益!$L:$L,0))</f>
        <v>0.06</v>
      </c>
      <c r="BF38">
        <f t="shared" si="5"/>
        <v>639.744</v>
      </c>
      <c r="BG38">
        <f t="shared" si="6"/>
        <v>1823.136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2" cm="1">
        <f t="array" ref="BI38">$G$13+VLOOKUP($Q38,武学奇术!$A:$ZZ,14,FALSE)+SUM(_xlfn.XLOOKUP($R38:$AK38,增益!$A:$A,增益!$N:$N,0))</f>
        <v>0.33</v>
      </c>
      <c r="BJ38">
        <f t="shared" si="7"/>
        <v>0</v>
      </c>
      <c r="BK38">
        <f t="shared" si="8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2" cm="1">
        <f t="array" ref="BM38">$G$14+VLOOKUP($Q38,武学奇术!$A:$ZZ,16,FALSE)+SUM(_xlfn.XLOOKUP($R38:$AK38,增益!$A:$A,增益!$P:$P,0))</f>
        <v>0.06</v>
      </c>
      <c r="BN38" s="26">
        <f>MIN(IF(VLOOKUP($Q38,武学奇术!$A:$ZZ,23,FALSE)=1,100%,$B$8),100%)</f>
        <v>0.9859</v>
      </c>
      <c r="BO38" s="26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6" cm="1">
        <f t="array" ref="BP38">1+$B$13+VLOOKUP($Q38,武学奇术!$A:$ZZ,18,FALSE)+SUM(_xlfn.XLOOKUP($R38:$AK38,增益!$A:$A,增益!$R:$R,0))</f>
        <v>1.64</v>
      </c>
      <c r="BQ38" s="26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6" cm="1">
        <f t="array" ref="BR38">1+$B$14+VLOOKUP($Q38,武学奇术!$A:$ZZ,20,FALSE)+SUM(_xlfn.XLOOKUP($R38:$AK38,增益!$A:$A,增益!$T:$T,0))</f>
        <v>1.35</v>
      </c>
      <c r="BS38" s="26">
        <f t="shared" si="9"/>
        <v>0.87863408</v>
      </c>
      <c r="BT38" s="26">
        <f t="shared" si="10"/>
        <v>0.01567581</v>
      </c>
      <c r="BU38" s="26">
        <f>IF(VLOOKUP($Q38,武学奇术!$A:$ZZ,22,FALSE)=1,0,(1-$BN38))*(1-$BQ38)</f>
        <v>0.01279011</v>
      </c>
      <c r="BV38" s="26" cm="1">
        <f t="array" ref="BV38">SUM(_xlfn.XLOOKUP($R38:$AK38,增益!$A:$A,增益!$W:$W,0))+$I$5</f>
        <v>0.11</v>
      </c>
    </row>
    <row r="39" spans="3:74">
      <c r="C39" s="39"/>
      <c r="E39" s="4"/>
      <c r="F39" s="4"/>
      <c r="K39" s="38">
        <f t="shared" si="0"/>
        <v>214013.863772189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217686.654255508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207019.779097076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132735.764789944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112123.545063535</v>
      </c>
      <c r="P39" s="39">
        <v>1</v>
      </c>
      <c r="Q39" s="40" t="s">
        <v>168</v>
      </c>
      <c r="R39" s="40" t="s">
        <v>100</v>
      </c>
      <c r="S39" s="40" t="s">
        <v>158</v>
      </c>
      <c r="T39" s="40" t="s">
        <v>97</v>
      </c>
      <c r="U39" s="40" t="s">
        <v>80</v>
      </c>
      <c r="V39" s="40" t="s">
        <v>73</v>
      </c>
      <c r="W39" s="40" t="s">
        <v>80</v>
      </c>
      <c r="X39" s="40" t="s">
        <v>87</v>
      </c>
      <c r="Y39" s="40" t="s">
        <v>169</v>
      </c>
      <c r="Z39" s="40" t="s">
        <v>170</v>
      </c>
      <c r="AA39" s="40" t="s">
        <v>80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81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80</v>
      </c>
      <c r="AL39" t="str">
        <f>VLOOKUP($Q39,武学奇术!$A:$ZZ,25,FALSE)</f>
        <v>群体奇术</v>
      </c>
      <c r="AM39" s="26">
        <f>VLOOKUP($Q39,武学奇术!$A:$ZZ,26,FALSE)</f>
        <v>10.315755</v>
      </c>
      <c r="AN39" s="27">
        <f>VLOOKUP($Q39,武学奇术!$A:$ZZ,27,FALSE)*(1+IF(OR($AL39=$F$4,$AL39=$F$5),$B$22,0))</f>
        <v>1992.6</v>
      </c>
      <c r="AO39" s="26">
        <f>VLOOKUP($Q39,武学奇术!$A:$ZZ,28,FALSE)</f>
        <v>15.4736325</v>
      </c>
      <c r="AP39" s="27">
        <f>VLOOKUP($Q39,武学奇术!$A:$ZZ,29,FALSE)*(1+IF(OR($AL39=$F$4,$AL39=$F$5),$B$22,0))</f>
        <v>0</v>
      </c>
      <c r="AQ39" s="26" cm="1">
        <f t="array" ref="AQ39">$G$3+IFERROR(VLOOKUP($AL39,$F$4:$G$7,2,FALSE),0)+VLOOKUP($Q39,武学奇术!$A:$ZZ,2,FALSE)+SUM(_xlfn.XLOOKUP($R39:$AK39,增益!$A:$A,增益!$B:$B,0))</f>
        <v>0.1537</v>
      </c>
      <c r="AR39" s="26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3611.1</v>
      </c>
      <c r="AT39" cm="1">
        <f t="array" ref="AT39">$E$10*(1+$AR39)+VLOOKUP($Q39,武学奇术!$A:$ZZ,4,FALSE)+SUM(_xlfn.XLOOKUP($R39:$AK39,增益!$A:$A,增益!$D:$D,0))-$I$2</f>
        <v>3611.1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0.257</v>
      </c>
      <c r="AV39" s="32" cm="1">
        <f t="array" ref="AV39">$G$10+VLOOKUP($Q39,武学奇术!$A:$ZZ,7,FALSE)+SUM(_xlfn.XLOOKUP($R39:$AK39,增益!$A:$A,增益!$G:$G,0))</f>
        <v>0.205</v>
      </c>
      <c r="AW39" s="26" cm="1">
        <f t="array" ref="AW39">VLOOKUP($Q39,武学奇术!$A:$ZZ,8,FALSE)+SUM(_xlfn.XLOOKUP($R39:$AK39,增益!$A:$A,增益!$H:$H,0))</f>
        <v>0.12</v>
      </c>
      <c r="AX39">
        <f t="shared" si="1"/>
        <v>0</v>
      </c>
      <c r="AY39">
        <f t="shared" si="2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2" cm="1">
        <f t="array" ref="BA39">$G$11+VLOOKUP($Q39,武学奇术!$A:$ZZ,10,FALSE)+SUM(_xlfn.XLOOKUP($R39:$AK39,增益!$A:$A,增益!$J:$J,0))</f>
        <v>0.16</v>
      </c>
      <c r="BB39">
        <f t="shared" si="3"/>
        <v>0</v>
      </c>
      <c r="BC39">
        <f t="shared" si="4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2" cm="1">
        <f t="array" ref="BE39">$G$12+VLOOKUP($Q39,武学奇术!$A:$ZZ,12,FALSE)+SUM(_xlfn.XLOOKUP($R39:$AK39,增益!$A:$A,增益!$L:$L,0))</f>
        <v>0.06</v>
      </c>
      <c r="BF39">
        <f t="shared" si="5"/>
        <v>639.744</v>
      </c>
      <c r="BG39">
        <f t="shared" si="6"/>
        <v>1823.136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2" cm="1">
        <f t="array" ref="BI39">$G$13+VLOOKUP($Q39,武学奇术!$A:$ZZ,14,FALSE)+SUM(_xlfn.XLOOKUP($R39:$AK39,增益!$A:$A,增益!$N:$N,0))</f>
        <v>0.33</v>
      </c>
      <c r="BJ39">
        <f t="shared" si="7"/>
        <v>0</v>
      </c>
      <c r="BK39">
        <f t="shared" si="8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2" cm="1">
        <f t="array" ref="BM39">$G$14+VLOOKUP($Q39,武学奇术!$A:$ZZ,16,FALSE)+SUM(_xlfn.XLOOKUP($R39:$AK39,增益!$A:$A,增益!$P:$P,0))</f>
        <v>0.06</v>
      </c>
      <c r="BN39" s="26">
        <f>MIN(IF(VLOOKUP($Q39,武学奇术!$A:$ZZ,23,FALSE)=1,100%,$B$8),100%)</f>
        <v>0.9859</v>
      </c>
      <c r="BO39" s="26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6" cm="1">
        <f t="array" ref="BP39">1+$B$13+VLOOKUP($Q39,武学奇术!$A:$ZZ,18,FALSE)+SUM(_xlfn.XLOOKUP($R39:$AK39,增益!$A:$A,增益!$R:$R,0))</f>
        <v>1.64</v>
      </c>
      <c r="BQ39" s="26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6" cm="1">
        <f t="array" ref="BR39">1+$B$14+VLOOKUP($Q39,武学奇术!$A:$ZZ,20,FALSE)+SUM(_xlfn.XLOOKUP($R39:$AK39,增益!$A:$A,增益!$T:$T,0))</f>
        <v>1.35</v>
      </c>
      <c r="BS39" s="26">
        <f t="shared" si="9"/>
        <v>0.87863408</v>
      </c>
      <c r="BT39" s="26">
        <f t="shared" si="10"/>
        <v>0.01567581</v>
      </c>
      <c r="BU39" s="26">
        <f>IF(VLOOKUP($Q39,武学奇术!$A:$ZZ,22,FALSE)=1,0,(1-$BN39))*(1-$BQ39)</f>
        <v>0.01279011</v>
      </c>
      <c r="BV39" s="26" cm="1">
        <f t="array" ref="BV39">SUM(_xlfn.XLOOKUP($R39:$AK39,增益!$A:$A,增益!$W:$W,0))+$I$5</f>
        <v>0.31</v>
      </c>
    </row>
    <row r="40" spans="3:74">
      <c r="C40" s="39"/>
      <c r="K40" s="38">
        <f t="shared" si="0"/>
        <v>170118.704794725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176184.331507341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138690.974742176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90816.6657254333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78899.276086292</v>
      </c>
      <c r="P40" s="39">
        <v>1</v>
      </c>
      <c r="Q40" s="40" t="s">
        <v>117</v>
      </c>
      <c r="R40" s="40" t="s">
        <v>100</v>
      </c>
      <c r="S40" s="40" t="s">
        <v>158</v>
      </c>
      <c r="T40" s="40" t="s">
        <v>78</v>
      </c>
      <c r="U40" s="40" t="s">
        <v>80</v>
      </c>
      <c r="V40" s="40" t="s">
        <v>73</v>
      </c>
      <c r="W40" s="40" t="s">
        <v>115</v>
      </c>
      <c r="X40" s="40" t="s">
        <v>87</v>
      </c>
      <c r="Y40" s="40" t="s">
        <v>169</v>
      </c>
      <c r="Z40" s="40" t="s">
        <v>170</v>
      </c>
      <c r="AA40" s="40" t="s">
        <v>80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81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80</v>
      </c>
      <c r="AL40" t="str">
        <f>VLOOKUP($Q40,武学奇术!$A:$ZZ,25,FALSE)</f>
        <v>鼓</v>
      </c>
      <c r="AM40" s="26">
        <f>VLOOKUP($Q40,武学奇术!$A:$ZZ,26,FALSE)</f>
        <v>3.08125</v>
      </c>
      <c r="AN40" s="27">
        <f>VLOOKUP($Q40,武学奇术!$A:$ZZ,27,FALSE)*(1+IF(OR($AL40=$F$4,$AL40=$F$5),$B$22,0))</f>
        <v>1277.55</v>
      </c>
      <c r="AO40" s="26">
        <f>VLOOKUP($Q40,武学奇术!$A:$ZZ,28,FALSE)</f>
        <v>4.62196</v>
      </c>
      <c r="AP40" s="27">
        <f>VLOOKUP($Q40,武学奇术!$A:$ZZ,29,FALSE)*(1+IF(OR($AL40=$F$4,$AL40=$F$5),$B$22,0))</f>
        <v>696.15</v>
      </c>
      <c r="AQ40" s="26" cm="1">
        <f t="array" ref="AQ40">$G$3+IFERROR(VLOOKUP($AL40,$F$4:$G$7,2,FALSE),0)+VLOOKUP($Q40,武学奇术!$A:$ZZ,2,FALSE)+SUM(_xlfn.XLOOKUP($R40:$AK40,增益!$A:$A,增益!$B:$B,0))</f>
        <v>0.5241</v>
      </c>
      <c r="AR40" s="26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4372.698</v>
      </c>
      <c r="AT40" cm="1">
        <f t="array" ref="AT40">$E$10*(1+$AR40)+VLOOKUP($Q40,武学奇术!$A:$ZZ,4,FALSE)+SUM(_xlfn.XLOOKUP($R40:$AK40,增益!$A:$A,增益!$D:$D,0))-$I$2</f>
        <v>4372.698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0.317</v>
      </c>
      <c r="AV40" s="32" cm="1">
        <f t="array" ref="AV40">$G$10+VLOOKUP($Q40,武学奇术!$A:$ZZ,7,FALSE)+SUM(_xlfn.XLOOKUP($R40:$AK40,增益!$A:$A,增益!$G:$G,0))</f>
        <v>0.205</v>
      </c>
      <c r="AW40" s="26" cm="1">
        <f t="array" ref="AW40">VLOOKUP($Q40,武学奇术!$A:$ZZ,8,FALSE)+SUM(_xlfn.XLOOKUP($R40:$AK40,增益!$A:$A,增益!$H:$H,0))</f>
        <v>0.18</v>
      </c>
      <c r="AX40">
        <f t="shared" si="1"/>
        <v>0</v>
      </c>
      <c r="AY40">
        <f t="shared" si="2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2" cm="1">
        <f t="array" ref="BA40">$G$11+VLOOKUP($Q40,武学奇术!$A:$ZZ,10,FALSE)+SUM(_xlfn.XLOOKUP($R40:$AK40,增益!$A:$A,增益!$J:$J,0))</f>
        <v>0.16</v>
      </c>
      <c r="BB40">
        <f t="shared" si="3"/>
        <v>0</v>
      </c>
      <c r="BC40">
        <f t="shared" si="4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2" cm="1">
        <f t="array" ref="BE40">$G$12+VLOOKUP($Q40,武学奇术!$A:$ZZ,12,FALSE)+SUM(_xlfn.XLOOKUP($R40:$AK40,增益!$A:$A,增益!$L:$L,0))</f>
        <v>0.06</v>
      </c>
      <c r="BF40">
        <f t="shared" si="5"/>
        <v>674.016</v>
      </c>
      <c r="BG40">
        <f t="shared" si="6"/>
        <v>1920.804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2" cm="1">
        <f t="array" ref="BI40">$G$13+VLOOKUP($Q40,武学奇术!$A:$ZZ,14,FALSE)+SUM(_xlfn.XLOOKUP($R40:$AK40,增益!$A:$A,增益!$N:$N,0))</f>
        <v>0.33</v>
      </c>
      <c r="BJ40">
        <f t="shared" si="7"/>
        <v>0</v>
      </c>
      <c r="BK40">
        <f t="shared" si="8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2" cm="1">
        <f t="array" ref="BM40">$G$14+VLOOKUP($Q40,武学奇术!$A:$ZZ,16,FALSE)+SUM(_xlfn.XLOOKUP($R40:$AK40,增益!$A:$A,增益!$P:$P,0))</f>
        <v>0.06</v>
      </c>
      <c r="BN40" s="26">
        <f>MIN(IF(VLOOKUP($Q40,武学奇术!$A:$ZZ,23,FALSE)=1,100%,$B$8),100%)</f>
        <v>0.9859</v>
      </c>
      <c r="BO40" s="26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6" cm="1">
        <f t="array" ref="BP40">1+$B$13+VLOOKUP($Q40,武学奇术!$A:$ZZ,18,FALSE)+SUM(_xlfn.XLOOKUP($R40:$AK40,增益!$A:$A,增益!$R:$R,0))</f>
        <v>1.94</v>
      </c>
      <c r="BQ40" s="26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6" cm="1">
        <f t="array" ref="BR40">1+$B$14+VLOOKUP($Q40,武学奇术!$A:$ZZ,20,FALSE)+SUM(_xlfn.XLOOKUP($R40:$AK40,增益!$A:$A,增益!$T:$T,0))</f>
        <v>1.35</v>
      </c>
      <c r="BS40" s="26">
        <f t="shared" si="9"/>
        <v>0.87863408</v>
      </c>
      <c r="BT40" s="26">
        <f t="shared" si="10"/>
        <v>0.01567581</v>
      </c>
      <c r="BU40" s="26">
        <f>IF(VLOOKUP($Q40,武学奇术!$A:$ZZ,22,FALSE)=1,0,(1-$BN40))*(1-$BQ40)</f>
        <v>0.01279011</v>
      </c>
      <c r="BV40" s="26" cm="1">
        <f t="array" ref="BV40">SUM(_xlfn.XLOOKUP($R40:$AK40,增益!$A:$A,增益!$W:$W,0))+$I$5</f>
        <v>0.31</v>
      </c>
    </row>
    <row r="41" spans="3:74">
      <c r="K41" s="38">
        <f t="shared" si="0"/>
        <v>340237.409589449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352368.663014681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277381.949484351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181633.331450867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157798.552172584</v>
      </c>
      <c r="P41" s="39">
        <v>2</v>
      </c>
      <c r="Q41" s="40" t="s">
        <v>117</v>
      </c>
      <c r="R41" s="40" t="s">
        <v>100</v>
      </c>
      <c r="S41" s="40" t="s">
        <v>158</v>
      </c>
      <c r="T41" s="40" t="s">
        <v>78</v>
      </c>
      <c r="U41" s="40" t="s">
        <v>80</v>
      </c>
      <c r="V41" s="40" t="s">
        <v>73</v>
      </c>
      <c r="W41" s="40" t="s">
        <v>115</v>
      </c>
      <c r="X41" s="40" t="s">
        <v>87</v>
      </c>
      <c r="Y41" s="40" t="s">
        <v>169</v>
      </c>
      <c r="Z41" s="40" t="s">
        <v>170</v>
      </c>
      <c r="AA41" s="40" t="s">
        <v>80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81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80</v>
      </c>
      <c r="AL41" t="str">
        <f>VLOOKUP($Q41,武学奇术!$A:$ZZ,25,FALSE)</f>
        <v>鼓</v>
      </c>
      <c r="AM41" s="26">
        <f>VLOOKUP($Q41,武学奇术!$A:$ZZ,26,FALSE)</f>
        <v>3.08125</v>
      </c>
      <c r="AN41" s="27">
        <f>VLOOKUP($Q41,武学奇术!$A:$ZZ,27,FALSE)*(1+IF(OR($AL41=$F$4,$AL41=$F$5),$B$22,0))</f>
        <v>1277.55</v>
      </c>
      <c r="AO41" s="26">
        <f>VLOOKUP($Q41,武学奇术!$A:$ZZ,28,FALSE)</f>
        <v>4.62196</v>
      </c>
      <c r="AP41" s="27">
        <f>VLOOKUP($Q41,武学奇术!$A:$ZZ,29,FALSE)*(1+IF(OR($AL41=$F$4,$AL41=$F$5),$B$22,0))</f>
        <v>696.15</v>
      </c>
      <c r="AQ41" s="26" cm="1">
        <f t="array" ref="AQ41">$G$3+IFERROR(VLOOKUP($AL41,$F$4:$G$7,2,FALSE),0)+VLOOKUP($Q41,武学奇术!$A:$ZZ,2,FALSE)+SUM(_xlfn.XLOOKUP($R41:$AK41,增益!$A:$A,增益!$B:$B,0))</f>
        <v>0.5241</v>
      </c>
      <c r="AR41" s="26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4372.698</v>
      </c>
      <c r="AT41" cm="1">
        <f t="array" ref="AT41">$E$10*(1+$AR41)+VLOOKUP($Q41,武学奇术!$A:$ZZ,4,FALSE)+SUM(_xlfn.XLOOKUP($R41:$AK41,增益!$A:$A,增益!$D:$D,0))-$I$2</f>
        <v>4372.698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0.317</v>
      </c>
      <c r="AV41" s="32" cm="1">
        <f t="array" ref="AV41">$G$10+VLOOKUP($Q41,武学奇术!$A:$ZZ,7,FALSE)+SUM(_xlfn.XLOOKUP($R41:$AK41,增益!$A:$A,增益!$G:$G,0))</f>
        <v>0.205</v>
      </c>
      <c r="AW41" s="26" cm="1">
        <f t="array" ref="AW41">VLOOKUP($Q41,武学奇术!$A:$ZZ,8,FALSE)+SUM(_xlfn.XLOOKUP($R41:$AK41,增益!$A:$A,增益!$H:$H,0))</f>
        <v>0.18</v>
      </c>
      <c r="AX41">
        <f t="shared" si="1"/>
        <v>0</v>
      </c>
      <c r="AY41">
        <f t="shared" si="2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2" cm="1">
        <f t="array" ref="BA41">$G$11+VLOOKUP($Q41,武学奇术!$A:$ZZ,10,FALSE)+SUM(_xlfn.XLOOKUP($R41:$AK41,增益!$A:$A,增益!$J:$J,0))</f>
        <v>0.16</v>
      </c>
      <c r="BB41">
        <f t="shared" si="3"/>
        <v>0</v>
      </c>
      <c r="BC41">
        <f t="shared" si="4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2" cm="1">
        <f t="array" ref="BE41">$G$12+VLOOKUP($Q41,武学奇术!$A:$ZZ,12,FALSE)+SUM(_xlfn.XLOOKUP($R41:$AK41,增益!$A:$A,增益!$L:$L,0))</f>
        <v>0.06</v>
      </c>
      <c r="BF41">
        <f t="shared" si="5"/>
        <v>674.016</v>
      </c>
      <c r="BG41">
        <f t="shared" si="6"/>
        <v>1920.804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2" cm="1">
        <f t="array" ref="BI41">$G$13+VLOOKUP($Q41,武学奇术!$A:$ZZ,14,FALSE)+SUM(_xlfn.XLOOKUP($R41:$AK41,增益!$A:$A,增益!$N:$N,0))</f>
        <v>0.33</v>
      </c>
      <c r="BJ41">
        <f t="shared" si="7"/>
        <v>0</v>
      </c>
      <c r="BK41">
        <f t="shared" si="8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2" cm="1">
        <f t="array" ref="BM41">$G$14+VLOOKUP($Q41,武学奇术!$A:$ZZ,16,FALSE)+SUM(_xlfn.XLOOKUP($R41:$AK41,增益!$A:$A,增益!$P:$P,0))</f>
        <v>0.06</v>
      </c>
      <c r="BN41" s="26">
        <f>MIN(IF(VLOOKUP($Q41,武学奇术!$A:$ZZ,23,FALSE)=1,100%,$B$8),100%)</f>
        <v>0.9859</v>
      </c>
      <c r="BO41" s="26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6" cm="1">
        <f t="array" ref="BP41">1+$B$13+VLOOKUP($Q41,武学奇术!$A:$ZZ,18,FALSE)+SUM(_xlfn.XLOOKUP($R41:$AK41,增益!$A:$A,增益!$R:$R,0))</f>
        <v>1.94</v>
      </c>
      <c r="BQ41" s="26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6" cm="1">
        <f t="array" ref="BR41">1+$B$14+VLOOKUP($Q41,武学奇术!$A:$ZZ,20,FALSE)+SUM(_xlfn.XLOOKUP($R41:$AK41,增益!$A:$A,增益!$T:$T,0))</f>
        <v>1.35</v>
      </c>
      <c r="BS41" s="26">
        <f t="shared" si="9"/>
        <v>0.87863408</v>
      </c>
      <c r="BT41" s="26">
        <f t="shared" si="10"/>
        <v>0.01567581</v>
      </c>
      <c r="BU41" s="26">
        <f>IF(VLOOKUP($Q41,武学奇术!$A:$ZZ,22,FALSE)=1,0,(1-$BN41))*(1-$BQ41)</f>
        <v>0.01279011</v>
      </c>
      <c r="BV41" s="26" cm="1">
        <f t="array" ref="BV41">SUM(_xlfn.XLOOKUP($R41:$AK41,增益!$A:$A,增益!$W:$W,0))+$I$5</f>
        <v>0.31</v>
      </c>
    </row>
    <row r="42" spans="3:74">
      <c r="K42" s="38">
        <f t="shared" si="0"/>
        <v>448411.826293233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466459.10986251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349190.340813202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228656.426403191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198653.341092899</v>
      </c>
      <c r="P42" s="39">
        <v>2</v>
      </c>
      <c r="Q42" s="40" t="s">
        <v>121</v>
      </c>
      <c r="R42" s="40" t="s">
        <v>100</v>
      </c>
      <c r="S42" s="40" t="s">
        <v>158</v>
      </c>
      <c r="T42" s="40" t="s">
        <v>78</v>
      </c>
      <c r="U42" s="40" t="s">
        <v>80</v>
      </c>
      <c r="V42" s="40" t="s">
        <v>73</v>
      </c>
      <c r="W42" s="40" t="s">
        <v>115</v>
      </c>
      <c r="X42" s="40" t="s">
        <v>87</v>
      </c>
      <c r="Y42" s="40" t="s">
        <v>169</v>
      </c>
      <c r="Z42" s="40" t="s">
        <v>170</v>
      </c>
      <c r="AA42" s="40" t="s">
        <v>80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81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80</v>
      </c>
      <c r="AL42" t="str">
        <f>VLOOKUP($Q42,武学奇术!$A:$ZZ,25,FALSE)</f>
        <v>鼓</v>
      </c>
      <c r="AM42" s="26">
        <f>VLOOKUP($Q42,武学奇术!$A:$ZZ,26,FALSE)</f>
        <v>3.75547</v>
      </c>
      <c r="AN42" s="27">
        <f>VLOOKUP($Q42,武学奇术!$A:$ZZ,27,FALSE)*(1+IF(OR($AL42=$F$4,$AL42=$F$5),$B$22,0))</f>
        <v>1558.05</v>
      </c>
      <c r="AO42" s="26">
        <f>VLOOKUP($Q42,武学奇术!$A:$ZZ,28,FALSE)</f>
        <v>5.63329</v>
      </c>
      <c r="AP42" s="27">
        <f>VLOOKUP($Q42,武学奇术!$A:$ZZ,29,FALSE)*(1+IF(OR($AL42=$F$4,$AL42=$F$5),$B$22,0))</f>
        <v>849.15</v>
      </c>
      <c r="AQ42" s="26" cm="1">
        <f t="array" ref="AQ42">$G$3+IFERROR(VLOOKUP($AL42,$F$4:$G$7,2,FALSE),0)+VLOOKUP($Q42,武学奇术!$A:$ZZ,2,FALSE)+SUM(_xlfn.XLOOKUP($R42:$AK42,增益!$A:$A,增益!$B:$B,0))</f>
        <v>0.5741</v>
      </c>
      <c r="AR42" s="26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4372.698</v>
      </c>
      <c r="AT42" cm="1">
        <f t="array" ref="AT42">$E$10*(1+$AR42)+VLOOKUP($Q42,武学奇术!$A:$ZZ,4,FALSE)+SUM(_xlfn.XLOOKUP($R42:$AK42,增益!$A:$A,增益!$D:$D,0))-$I$2</f>
        <v>4372.698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0.317</v>
      </c>
      <c r="AV42" s="32" cm="1">
        <f t="array" ref="AV42">$G$10+VLOOKUP($Q42,武学奇术!$A:$ZZ,7,FALSE)+SUM(_xlfn.XLOOKUP($R42:$AK42,增益!$A:$A,增益!$G:$G,0))</f>
        <v>0.205</v>
      </c>
      <c r="AW42" s="26" cm="1">
        <f t="array" ref="AW42">VLOOKUP($Q42,武学奇术!$A:$ZZ,8,FALSE)+SUM(_xlfn.XLOOKUP($R42:$AK42,增益!$A:$A,增益!$H:$H,0))</f>
        <v>0.18</v>
      </c>
      <c r="AX42">
        <f t="shared" si="1"/>
        <v>0</v>
      </c>
      <c r="AY42">
        <f t="shared" si="2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2" cm="1">
        <f t="array" ref="BA42">$G$11+VLOOKUP($Q42,武学奇术!$A:$ZZ,10,FALSE)+SUM(_xlfn.XLOOKUP($R42:$AK42,增益!$A:$A,增益!$J:$J,0))</f>
        <v>0.16</v>
      </c>
      <c r="BB42">
        <f t="shared" si="3"/>
        <v>0</v>
      </c>
      <c r="BC42">
        <f t="shared" si="4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2" cm="1">
        <f t="array" ref="BE42">$G$12+VLOOKUP($Q42,武学奇术!$A:$ZZ,12,FALSE)+SUM(_xlfn.XLOOKUP($R42:$AK42,增益!$A:$A,增益!$L:$L,0))</f>
        <v>0.06</v>
      </c>
      <c r="BF42">
        <f t="shared" si="5"/>
        <v>674.016</v>
      </c>
      <c r="BG42">
        <f t="shared" si="6"/>
        <v>1920.804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2" cm="1">
        <f t="array" ref="BI42">$G$13+VLOOKUP($Q42,武学奇术!$A:$ZZ,14,FALSE)+SUM(_xlfn.XLOOKUP($R42:$AK42,增益!$A:$A,增益!$N:$N,0))</f>
        <v>0.33</v>
      </c>
      <c r="BJ42">
        <f t="shared" si="7"/>
        <v>0</v>
      </c>
      <c r="BK42">
        <f t="shared" si="8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2" cm="1">
        <f t="array" ref="BM42">$G$14+VLOOKUP($Q42,武学奇术!$A:$ZZ,16,FALSE)+SUM(_xlfn.XLOOKUP($R42:$AK42,增益!$A:$A,增益!$P:$P,0))</f>
        <v>0.06</v>
      </c>
      <c r="BN42" s="26">
        <f>MIN(IF(VLOOKUP($Q42,武学奇术!$A:$ZZ,23,FALSE)=1,100%,$B$8),100%)</f>
        <v>0.9859</v>
      </c>
      <c r="BO42" s="26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6" cm="1">
        <f t="array" ref="BP42">1+$B$13+VLOOKUP($Q42,武学奇术!$A:$ZZ,18,FALSE)+SUM(_xlfn.XLOOKUP($R42:$AK42,增益!$A:$A,增益!$R:$R,0))</f>
        <v>2.04</v>
      </c>
      <c r="BQ42" s="26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6" cm="1">
        <f t="array" ref="BR42">1+$B$14+VLOOKUP($Q42,武学奇术!$A:$ZZ,20,FALSE)+SUM(_xlfn.XLOOKUP($R42:$AK42,增益!$A:$A,增益!$T:$T,0))</f>
        <v>1.35</v>
      </c>
      <c r="BS42" s="26">
        <f t="shared" si="9"/>
        <v>0.87863408</v>
      </c>
      <c r="BT42" s="26">
        <f t="shared" si="10"/>
        <v>0.01567581</v>
      </c>
      <c r="BU42" s="26">
        <f>IF(VLOOKUP($Q42,武学奇术!$A:$ZZ,22,FALSE)=1,0,(1-$BN42))*(1-$BQ42)</f>
        <v>0.01279011</v>
      </c>
      <c r="BV42" s="26" cm="1">
        <f t="array" ref="BV42">SUM(_xlfn.XLOOKUP($R42:$AK42,增益!$A:$A,增益!$W:$W,0))+$I$5</f>
        <v>0.31</v>
      </c>
    </row>
    <row r="43" spans="3:74">
      <c r="K43" s="38">
        <f t="shared" si="0"/>
        <v>70645.2185260986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71927.5114976016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67579.0441194678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43858.2387180498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37657.9262364938</v>
      </c>
      <c r="P43" s="39">
        <v>1</v>
      </c>
      <c r="Q43" s="40" t="s">
        <v>124</v>
      </c>
      <c r="R43" s="40" t="s">
        <v>100</v>
      </c>
      <c r="S43" s="40" t="s">
        <v>158</v>
      </c>
      <c r="T43" s="40" t="s">
        <v>97</v>
      </c>
      <c r="U43" s="40" t="s">
        <v>80</v>
      </c>
      <c r="V43" s="40" t="s">
        <v>73</v>
      </c>
      <c r="W43" s="40" t="s">
        <v>115</v>
      </c>
      <c r="X43" s="40" t="s">
        <v>87</v>
      </c>
      <c r="Y43" s="40" t="s">
        <v>169</v>
      </c>
      <c r="Z43" s="40" t="s">
        <v>170</v>
      </c>
      <c r="AA43" s="40" t="s">
        <v>80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81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80</v>
      </c>
      <c r="AL43" t="str">
        <f>VLOOKUP($Q43,武学奇术!$A:$ZZ,25,FALSE)</f>
        <v>鼓</v>
      </c>
      <c r="AM43" s="26">
        <f>VLOOKUP($Q43,武学奇术!$A:$ZZ,26,FALSE)</f>
        <v>2.514</v>
      </c>
      <c r="AN43" s="27">
        <f>VLOOKUP($Q43,武学奇术!$A:$ZZ,27,FALSE)*(1+IF(OR($AL43=$F$4,$AL43=$F$5),$B$22,0))</f>
        <v>1044</v>
      </c>
      <c r="AO43" s="26">
        <f>VLOOKUP($Q43,武学奇术!$A:$ZZ,28,FALSE)</f>
        <v>3.7708</v>
      </c>
      <c r="AP43" s="27">
        <f>VLOOKUP($Q43,武学奇术!$A:$ZZ,29,FALSE)*(1+IF(OR($AL43=$F$4,$AL43=$F$5),$B$22,0))</f>
        <v>564</v>
      </c>
      <c r="AQ43" s="26" cm="1">
        <f t="array" ref="AQ43">$G$3+IFERROR(VLOOKUP($AL43,$F$4:$G$7,2,FALSE),0)+VLOOKUP($Q43,武学奇术!$A:$ZZ,2,FALSE)+SUM(_xlfn.XLOOKUP($R43:$AK43,增益!$A:$A,增益!$B:$B,0))</f>
        <v>0.4241</v>
      </c>
      <c r="AR43" s="26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3611.1</v>
      </c>
      <c r="AT43" cm="1">
        <f t="array" ref="AT43">$E$10*(1+$AR43)+VLOOKUP($Q43,武学奇术!$A:$ZZ,4,FALSE)+SUM(_xlfn.XLOOKUP($R43:$AK43,增益!$A:$A,增益!$D:$D,0))-$I$2</f>
        <v>3611.1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0.257</v>
      </c>
      <c r="AV43" s="32" cm="1">
        <f t="array" ref="AV43">$G$10+VLOOKUP($Q43,武学奇术!$A:$ZZ,7,FALSE)+SUM(_xlfn.XLOOKUP($R43:$AK43,增益!$A:$A,增益!$G:$G,0))</f>
        <v>0.205</v>
      </c>
      <c r="AW43" s="26" cm="1">
        <f t="array" ref="AW43">VLOOKUP($Q43,武学奇术!$A:$ZZ,8,FALSE)+SUM(_xlfn.XLOOKUP($R43:$AK43,增益!$A:$A,增益!$H:$H,0))</f>
        <v>0.12</v>
      </c>
      <c r="AX43">
        <f t="shared" si="1"/>
        <v>0</v>
      </c>
      <c r="AY43">
        <f t="shared" si="2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2" cm="1">
        <f t="array" ref="BA43">$G$11+VLOOKUP($Q43,武学奇术!$A:$ZZ,10,FALSE)+SUM(_xlfn.XLOOKUP($R43:$AK43,增益!$A:$A,增益!$J:$J,0))</f>
        <v>0.16</v>
      </c>
      <c r="BB43">
        <f t="shared" si="3"/>
        <v>0</v>
      </c>
      <c r="BC43">
        <f t="shared" si="4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2" cm="1">
        <f t="array" ref="BE43">$G$12+VLOOKUP($Q43,武学奇术!$A:$ZZ,12,FALSE)+SUM(_xlfn.XLOOKUP($R43:$AK43,增益!$A:$A,增益!$L:$L,0))</f>
        <v>0.06</v>
      </c>
      <c r="BF43">
        <f t="shared" si="5"/>
        <v>639.744</v>
      </c>
      <c r="BG43">
        <f t="shared" si="6"/>
        <v>1823.136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2" cm="1">
        <f t="array" ref="BI43">$G$13+VLOOKUP($Q43,武学奇术!$A:$ZZ,14,FALSE)+SUM(_xlfn.XLOOKUP($R43:$AK43,增益!$A:$A,增益!$N:$N,0))</f>
        <v>0.33</v>
      </c>
      <c r="BJ43">
        <f t="shared" si="7"/>
        <v>0</v>
      </c>
      <c r="BK43">
        <f t="shared" si="8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2" cm="1">
        <f t="array" ref="BM43">$G$14+VLOOKUP($Q43,武学奇术!$A:$ZZ,16,FALSE)+SUM(_xlfn.XLOOKUP($R43:$AK43,增益!$A:$A,增益!$P:$P,0))</f>
        <v>0.06</v>
      </c>
      <c r="BN43" s="26">
        <f>MIN(IF(VLOOKUP($Q43,武学奇术!$A:$ZZ,23,FALSE)=1,100%,$B$8),100%)</f>
        <v>0.9859</v>
      </c>
      <c r="BO43" s="26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6" cm="1">
        <f t="array" ref="BP43">1+$B$13+VLOOKUP($Q43,武学奇术!$A:$ZZ,18,FALSE)+SUM(_xlfn.XLOOKUP($R43:$AK43,增益!$A:$A,增益!$R:$R,0))</f>
        <v>1.64</v>
      </c>
      <c r="BQ43" s="26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6" cm="1">
        <f t="array" ref="BR43">1+$B$14+VLOOKUP($Q43,武学奇术!$A:$ZZ,20,FALSE)+SUM(_xlfn.XLOOKUP($R43:$AK43,增益!$A:$A,增益!$T:$T,0))</f>
        <v>1.35</v>
      </c>
      <c r="BS43" s="26">
        <f t="shared" si="9"/>
        <v>0.87863408</v>
      </c>
      <c r="BT43" s="26">
        <f t="shared" si="10"/>
        <v>0.01567581</v>
      </c>
      <c r="BU43" s="26">
        <f>IF(VLOOKUP($Q43,武学奇术!$A:$ZZ,22,FALSE)=1,0,(1-$BN43))*(1-$BQ43)</f>
        <v>0.01279011</v>
      </c>
      <c r="BV43" s="26" cm="1">
        <f t="array" ref="BV43">SUM(_xlfn.XLOOKUP($R43:$AK43,增益!$A:$A,增益!$W:$W,0))+$I$5</f>
        <v>0.31</v>
      </c>
    </row>
    <row r="44" spans="3:74">
      <c r="C44" s="4"/>
      <c r="K44" s="38">
        <f t="shared" si="0"/>
        <v>138240.899533483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143078.678479834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113686.42563781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73751.8961236258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63291.6251081332</v>
      </c>
      <c r="P44" s="39">
        <v>1</v>
      </c>
      <c r="Q44" s="40" t="s">
        <v>127</v>
      </c>
      <c r="R44" s="40" t="s">
        <v>100</v>
      </c>
      <c r="S44" s="40" t="s">
        <v>158</v>
      </c>
      <c r="T44" s="40" t="s">
        <v>97</v>
      </c>
      <c r="U44" s="40" t="s">
        <v>80</v>
      </c>
      <c r="V44" s="40" t="s">
        <v>73</v>
      </c>
      <c r="W44" s="40" t="s">
        <v>115</v>
      </c>
      <c r="X44" s="40" t="s">
        <v>87</v>
      </c>
      <c r="Y44" s="40" t="s">
        <v>169</v>
      </c>
      <c r="Z44" s="40" t="s">
        <v>170</v>
      </c>
      <c r="AA44" s="40" t="s">
        <v>80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81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80</v>
      </c>
      <c r="AL44" t="str">
        <f>VLOOKUP($Q44,武学奇术!$A:$ZZ,25,FALSE)</f>
        <v>鼓</v>
      </c>
      <c r="AM44" s="26">
        <f>VLOOKUP($Q44,武学奇术!$A:$ZZ,26,FALSE)</f>
        <v>3.52968</v>
      </c>
      <c r="AN44" s="27">
        <f>VLOOKUP($Q44,武学奇术!$A:$ZZ,27,FALSE)*(1+IF(OR($AL44=$F$4,$AL44=$F$5),$B$22,0))</f>
        <v>1465.8</v>
      </c>
      <c r="AO44" s="26">
        <f>VLOOKUP($Q44,武学奇术!$A:$ZZ,28,FALSE)</f>
        <v>5.29452</v>
      </c>
      <c r="AP44" s="27">
        <f>VLOOKUP($Q44,武学奇术!$A:$ZZ,29,FALSE)*(1+IF(OR($AL44=$F$4,$AL44=$F$5),$B$22,0))</f>
        <v>798</v>
      </c>
      <c r="AQ44" s="26" cm="1">
        <f t="array" ref="AQ44">$G$3+IFERROR(VLOOKUP($AL44,$F$4:$G$7,2,FALSE),0)+VLOOKUP($Q44,武学奇术!$A:$ZZ,2,FALSE)+SUM(_xlfn.XLOOKUP($R44:$AK44,增益!$A:$A,增益!$B:$B,0))</f>
        <v>0.6241</v>
      </c>
      <c r="AR44" s="26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3611.1</v>
      </c>
      <c r="AT44" cm="1">
        <f t="array" ref="AT44">$E$10*(1+$AR44)+VLOOKUP($Q44,武学奇术!$A:$ZZ,4,FALSE)+SUM(_xlfn.XLOOKUP($R44:$AK44,增益!$A:$A,增益!$D:$D,0))-$I$2</f>
        <v>3611.1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0.317</v>
      </c>
      <c r="AV44" s="32" cm="1">
        <f t="array" ref="AV44">$G$10+VLOOKUP($Q44,武学奇术!$A:$ZZ,7,FALSE)+SUM(_xlfn.XLOOKUP($R44:$AK44,增益!$A:$A,增益!$G:$G,0))</f>
        <v>0.205</v>
      </c>
      <c r="AW44" s="26" cm="1">
        <f t="array" ref="AW44">VLOOKUP($Q44,武学奇术!$A:$ZZ,8,FALSE)+SUM(_xlfn.XLOOKUP($R44:$AK44,增益!$A:$A,增益!$H:$H,0))</f>
        <v>0.12</v>
      </c>
      <c r="AX44">
        <f t="shared" si="1"/>
        <v>0</v>
      </c>
      <c r="AY44">
        <f t="shared" si="2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2" cm="1">
        <f t="array" ref="BA44">$G$11+VLOOKUP($Q44,武学奇术!$A:$ZZ,10,FALSE)+SUM(_xlfn.XLOOKUP($R44:$AK44,增益!$A:$A,增益!$J:$J,0))</f>
        <v>0.16</v>
      </c>
      <c r="BB44">
        <f t="shared" si="3"/>
        <v>0</v>
      </c>
      <c r="BC44">
        <f t="shared" si="4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2" cm="1">
        <f t="array" ref="BE44">$G$12+VLOOKUP($Q44,武学奇术!$A:$ZZ,12,FALSE)+SUM(_xlfn.XLOOKUP($R44:$AK44,增益!$A:$A,增益!$L:$L,0))</f>
        <v>0.06</v>
      </c>
      <c r="BF44">
        <f t="shared" si="5"/>
        <v>639.744</v>
      </c>
      <c r="BG44">
        <f t="shared" si="6"/>
        <v>1823.136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2" cm="1">
        <f t="array" ref="BI44">$G$13+VLOOKUP($Q44,武学奇术!$A:$ZZ,14,FALSE)+SUM(_xlfn.XLOOKUP($R44:$AK44,增益!$A:$A,增益!$N:$N,0))</f>
        <v>0.33</v>
      </c>
      <c r="BJ44">
        <f t="shared" si="7"/>
        <v>0</v>
      </c>
      <c r="BK44">
        <f t="shared" si="8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2" cm="1">
        <f t="array" ref="BM44">$G$14+VLOOKUP($Q44,武学奇术!$A:$ZZ,16,FALSE)+SUM(_xlfn.XLOOKUP($R44:$AK44,增益!$A:$A,增益!$P:$P,0))</f>
        <v>0.06</v>
      </c>
      <c r="BN44" s="26">
        <f>MIN(IF(VLOOKUP($Q44,武学奇术!$A:$ZZ,23,FALSE)=1,100%,$B$8),100%)</f>
        <v>0.9859</v>
      </c>
      <c r="BO44" s="26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6" cm="1">
        <f t="array" ref="BP44">1+$B$13+VLOOKUP($Q44,武学奇术!$A:$ZZ,18,FALSE)+SUM(_xlfn.XLOOKUP($R44:$AK44,增益!$A:$A,增益!$R:$R,0))</f>
        <v>1.94</v>
      </c>
      <c r="BQ44" s="26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6" cm="1">
        <f t="array" ref="BR44">1+$B$14+VLOOKUP($Q44,武学奇术!$A:$ZZ,20,FALSE)+SUM(_xlfn.XLOOKUP($R44:$AK44,增益!$A:$A,增益!$T:$T,0))</f>
        <v>1.35</v>
      </c>
      <c r="BS44" s="26">
        <f t="shared" si="9"/>
        <v>0.87863408</v>
      </c>
      <c r="BT44" s="26">
        <f t="shared" si="10"/>
        <v>0.01567581</v>
      </c>
      <c r="BU44" s="26">
        <f>IF(VLOOKUP($Q44,武学奇术!$A:$ZZ,22,FALSE)=1,0,(1-$BN44))*(1-$BQ44)</f>
        <v>0.01279011</v>
      </c>
      <c r="BV44" s="26" cm="1">
        <f t="array" ref="BV44">SUM(_xlfn.XLOOKUP($R44:$AK44,增益!$A:$A,增益!$W:$W,0))+$I$5</f>
        <v>0.31</v>
      </c>
    </row>
    <row r="45" spans="3:74">
      <c r="K45" s="38">
        <f t="shared" si="0"/>
        <v>0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9">
        <v>1</v>
      </c>
      <c r="Q45" s="40" t="s">
        <v>80</v>
      </c>
      <c r="R45" s="40" t="s">
        <v>80</v>
      </c>
      <c r="S45" s="40" t="s">
        <v>80</v>
      </c>
      <c r="T45" s="40" t="s">
        <v>80</v>
      </c>
      <c r="U45" s="40" t="s">
        <v>80</v>
      </c>
      <c r="V45" s="40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40" t="s">
        <v>80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81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80</v>
      </c>
      <c r="AL45" t="str">
        <f>VLOOKUP($Q45,武学奇术!$A:$ZZ,25,FALSE)</f>
        <v>心法</v>
      </c>
      <c r="AM45" s="26">
        <f>VLOOKUP($Q45,武学奇术!$A:$ZZ,26,FALSE)</f>
        <v>0</v>
      </c>
      <c r="AN45" s="27">
        <f>VLOOKUP($Q45,武学奇术!$A:$ZZ,27,FALSE)*(1+IF(OR($AL45=$F$4,$AL45=$F$5),$B$22,0))</f>
        <v>0</v>
      </c>
      <c r="AO45" s="26">
        <f>VLOOKUP($Q45,武学奇术!$A:$ZZ,28,FALSE)</f>
        <v>0</v>
      </c>
      <c r="AP45" s="27">
        <f>VLOOKUP($Q45,武学奇术!$A:$ZZ,29,FALSE)*(1+IF(OR($AL45=$F$4,$AL45=$F$5),$B$22,0))</f>
        <v>0</v>
      </c>
      <c r="AQ45" s="26" cm="1">
        <f t="array" ref="AQ45">$G$3+IFERROR(VLOOKUP($AL45,$F$4:$G$7,2,FALSE),0)+VLOOKUP($Q45,武学奇术!$A:$ZZ,2,FALSE)+SUM(_xlfn.XLOOKUP($R45:$AK45,增益!$A:$A,增益!$B:$B,0))</f>
        <v>0.1037</v>
      </c>
      <c r="AR45" s="26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3611.1</v>
      </c>
      <c r="AT45" cm="1">
        <f t="array" ref="AT45">$E$10*(1+$AR45)+VLOOKUP($Q45,武学奇术!$A:$ZZ,4,FALSE)+SUM(_xlfn.XLOOKUP($R45:$AK45,增益!$A:$A,增益!$D:$D,0))-$I$2</f>
        <v>3611.1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0.167</v>
      </c>
      <c r="AV45" s="32" cm="1">
        <f t="array" ref="AV45">$G$10+VLOOKUP($Q45,武学奇术!$A:$ZZ,7,FALSE)+SUM(_xlfn.XLOOKUP($R45:$AK45,增益!$A:$A,增益!$G:$G,0))</f>
        <v>0.025</v>
      </c>
      <c r="AW45" s="26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3"/>
        <v>0</v>
      </c>
      <c r="BC45">
        <f t="shared" si="4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5"/>
        <v>571.2</v>
      </c>
      <c r="BG45">
        <f t="shared" si="6"/>
        <v>1627.8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7"/>
        <v>0</v>
      </c>
      <c r="BK45">
        <f t="shared" si="8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6">
        <f>MIN(IF(VLOOKUP($Q45,武学奇术!$A:$ZZ,23,FALSE)=1,100%,$B$8),100%)</f>
        <v>0.9859</v>
      </c>
      <c r="BO45" s="26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6" cm="1">
        <f t="array" ref="BP45">1+$B$13+VLOOKUP($Q45,武学奇术!$A:$ZZ,18,FALSE)+SUM(_xlfn.XLOOKUP($R45:$AK45,增益!$A:$A,增益!$R:$R,0))</f>
        <v>1.54</v>
      </c>
      <c r="BQ45" s="26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6" cm="1">
        <f t="array" ref="BR45">1+$B$14+VLOOKUP($Q45,武学奇术!$A:$ZZ,20,FALSE)+SUM(_xlfn.XLOOKUP($R45:$AK45,增益!$A:$A,增益!$T:$T,0))</f>
        <v>1.35</v>
      </c>
      <c r="BS45" s="26">
        <f t="shared" si="9"/>
        <v>0.87863408</v>
      </c>
      <c r="BT45" s="26">
        <f t="shared" si="10"/>
        <v>0.01567581</v>
      </c>
      <c r="BU45" s="26">
        <f>IF(VLOOKUP($Q45,武学奇术!$A:$ZZ,22,FALSE)=1,0,(1-$BN45))*(1-$BQ45)</f>
        <v>0.01279011</v>
      </c>
      <c r="BV45" s="26" cm="1">
        <f t="array" ref="BV45">SUM(_xlfn.XLOOKUP($R45:$AK45,增益!$A:$A,增益!$W:$W,0))+$I$5</f>
        <v>0.11</v>
      </c>
    </row>
    <row r="46" spans="3:74">
      <c r="K46" s="38">
        <f t="shared" si="0"/>
        <v>81696.4020190401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83218.7339682815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77723.2306167592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50743.1304684643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43913.497517107</v>
      </c>
      <c r="P46" s="39">
        <v>1</v>
      </c>
      <c r="Q46" s="40" t="s">
        <v>108</v>
      </c>
      <c r="R46" s="40" t="s">
        <v>100</v>
      </c>
      <c r="S46" s="40" t="s">
        <v>158</v>
      </c>
      <c r="T46" s="40" t="s">
        <v>97</v>
      </c>
      <c r="U46" s="40" t="s">
        <v>80</v>
      </c>
      <c r="V46" s="40" t="s">
        <v>73</v>
      </c>
      <c r="W46" s="40" t="s">
        <v>80</v>
      </c>
      <c r="X46" s="40" t="s">
        <v>80</v>
      </c>
      <c r="Y46" s="40" t="s">
        <v>80</v>
      </c>
      <c r="Z46" s="40" t="s">
        <v>80</v>
      </c>
      <c r="AA46" s="40" t="s">
        <v>80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81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80</v>
      </c>
      <c r="AL46" t="str">
        <f>VLOOKUP($Q46,武学奇术!$A:$ZZ,25,FALSE)</f>
        <v>扇</v>
      </c>
      <c r="AM46" s="26">
        <f>VLOOKUP($Q46,武学奇术!$A:$ZZ,26,FALSE)</f>
        <v>4.045375</v>
      </c>
      <c r="AN46" s="27">
        <f>VLOOKUP($Q46,武学奇术!$A:$ZZ,27,FALSE)*(1+IF(OR($AL46=$F$4,$AL46=$F$5),$B$22,0))</f>
        <v>1678.125</v>
      </c>
      <c r="AO46" s="26">
        <f>VLOOKUP($Q46,武学奇术!$A:$ZZ,28,FALSE)</f>
        <v>6.068125</v>
      </c>
      <c r="AP46" s="27">
        <f>VLOOKUP($Q46,武学奇术!$A:$ZZ,29,FALSE)*(1+IF(OR($AL46=$F$4,$AL46=$F$5),$B$22,0))</f>
        <v>913.125</v>
      </c>
      <c r="AQ46" s="26" cm="1">
        <f t="array" ref="AQ46">$G$3+IFERROR(VLOOKUP($AL46,$F$4:$G$7,2,FALSE),0)+VLOOKUP($Q46,武学奇术!$A:$ZZ,2,FALSE)+SUM(_xlfn.XLOOKUP($R46:$AK46,增益!$A:$A,增益!$B:$B,0))</f>
        <v>0.2389</v>
      </c>
      <c r="AR46" s="26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3611.1</v>
      </c>
      <c r="AT46" cm="1">
        <f t="array" ref="AT46">$E$10*(1+$AR46)+VLOOKUP($Q46,武学奇术!$A:$ZZ,4,FALSE)+SUM(_xlfn.XLOOKUP($R46:$AK46,增益!$A:$A,增益!$D:$D,0))-$I$2</f>
        <v>3611.1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0.257</v>
      </c>
      <c r="AV46" s="32" cm="1">
        <f t="array" ref="AV46">$G$10+VLOOKUP($Q46,武学奇术!$A:$ZZ,7,FALSE)+SUM(_xlfn.XLOOKUP($R46:$AK46,增益!$A:$A,增益!$G:$G,0))</f>
        <v>0.205</v>
      </c>
      <c r="AW46" s="26" cm="1">
        <f t="array" ref="AW46">VLOOKUP($Q46,武学奇术!$A:$ZZ,8,FALSE)+SUM(_xlfn.XLOOKUP($R46:$AK46,增益!$A:$A,增益!$H:$H,0))</f>
        <v>0.12</v>
      </c>
      <c r="AX46">
        <f t="shared" si="1"/>
        <v>0</v>
      </c>
      <c r="AY46">
        <f t="shared" si="2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2" cm="1">
        <f t="array" ref="BA46">$G$11+VLOOKUP($Q46,武学奇术!$A:$ZZ,10,FALSE)+SUM(_xlfn.XLOOKUP($R46:$AK46,增益!$A:$A,增益!$J:$J,0))</f>
        <v>0.06</v>
      </c>
      <c r="BB46">
        <f t="shared" si="3"/>
        <v>0</v>
      </c>
      <c r="BC46">
        <f t="shared" si="4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2" cm="1">
        <f t="array" ref="BE46">$G$12+VLOOKUP($Q46,武学奇术!$A:$ZZ,12,FALSE)+SUM(_xlfn.XLOOKUP($R46:$AK46,增益!$A:$A,增益!$L:$L,0))</f>
        <v>0.06</v>
      </c>
      <c r="BF46">
        <f t="shared" si="5"/>
        <v>639.744</v>
      </c>
      <c r="BG46">
        <f t="shared" si="6"/>
        <v>1823.136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2" cm="1">
        <f t="array" ref="BI46">$G$13+VLOOKUP($Q46,武学奇术!$A:$ZZ,14,FALSE)+SUM(_xlfn.XLOOKUP($R46:$AK46,增益!$A:$A,增益!$N:$N,0))</f>
        <v>0.33</v>
      </c>
      <c r="BJ46">
        <f t="shared" si="7"/>
        <v>0</v>
      </c>
      <c r="BK46">
        <f t="shared" si="8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2" cm="1">
        <f t="array" ref="BM46">$G$14+VLOOKUP($Q46,武学奇术!$A:$ZZ,16,FALSE)+SUM(_xlfn.XLOOKUP($R46:$AK46,增益!$A:$A,增益!$P:$P,0))</f>
        <v>0.06</v>
      </c>
      <c r="BN46" s="26">
        <f>MIN(IF(VLOOKUP($Q46,武学奇术!$A:$ZZ,23,FALSE)=1,100%,$B$8),100%)</f>
        <v>0.9859</v>
      </c>
      <c r="BO46" s="26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6" cm="1">
        <f t="array" ref="BP46">1+$B$13+VLOOKUP($Q46,武学奇术!$A:$ZZ,18,FALSE)+SUM(_xlfn.XLOOKUP($R46:$AK46,增益!$A:$A,增益!$R:$R,0))</f>
        <v>1.64</v>
      </c>
      <c r="BQ46" s="26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6" cm="1">
        <f t="array" ref="BR46">1+$B$14+VLOOKUP($Q46,武学奇术!$A:$ZZ,20,FALSE)+SUM(_xlfn.XLOOKUP($R46:$AK46,增益!$A:$A,增益!$T:$T,0))</f>
        <v>1.35</v>
      </c>
      <c r="BS46" s="26">
        <f t="shared" si="9"/>
        <v>0.87863408</v>
      </c>
      <c r="BT46" s="26">
        <f t="shared" si="10"/>
        <v>0.01567581</v>
      </c>
      <c r="BU46" s="26">
        <f>IF(VLOOKUP($Q46,武学奇术!$A:$ZZ,22,FALSE)=1,0,(1-$BN46))*(1-$BQ46)</f>
        <v>0.01279011</v>
      </c>
      <c r="BV46" s="26" cm="1">
        <f t="array" ref="BV46">SUM(_xlfn.XLOOKUP($R46:$AK46,增益!$A:$A,增益!$W:$W,0))+$I$5</f>
        <v>0.11</v>
      </c>
    </row>
    <row r="47" spans="3:74">
      <c r="K47" s="38">
        <f t="shared" si="0"/>
        <v>23639.5613344188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24068.6750257457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22613.2421136991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14676.021357162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12601.4930004728</v>
      </c>
      <c r="P47" s="39">
        <v>1</v>
      </c>
      <c r="Q47" s="40" t="s">
        <v>110</v>
      </c>
      <c r="R47" s="40" t="s">
        <v>100</v>
      </c>
      <c r="S47" s="40" t="s">
        <v>158</v>
      </c>
      <c r="T47" s="40" t="s">
        <v>97</v>
      </c>
      <c r="U47" s="40" t="s">
        <v>80</v>
      </c>
      <c r="V47" s="40" t="s">
        <v>73</v>
      </c>
      <c r="W47" s="40" t="s">
        <v>115</v>
      </c>
      <c r="X47" s="40" t="s">
        <v>87</v>
      </c>
      <c r="Y47" s="40" t="s">
        <v>80</v>
      </c>
      <c r="Z47" s="40" t="s">
        <v>80</v>
      </c>
      <c r="AA47" s="40" t="s">
        <v>80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81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80</v>
      </c>
      <c r="AL47" t="str">
        <f>VLOOKUP($Q47,武学奇术!$A:$ZZ,25,FALSE)</f>
        <v>扇</v>
      </c>
      <c r="AM47" s="26">
        <f>VLOOKUP($Q47,武学奇术!$A:$ZZ,26,FALSE)</f>
        <v>0.9186</v>
      </c>
      <c r="AN47" s="27">
        <f>VLOOKUP($Q47,武学奇术!$A:$ZZ,27,FALSE)*(1+IF(OR($AL47=$F$4,$AL47=$F$5),$B$22,0))</f>
        <v>381</v>
      </c>
      <c r="AO47" s="26">
        <f>VLOOKUP($Q47,武学奇术!$A:$ZZ,28,FALSE)</f>
        <v>1.3779</v>
      </c>
      <c r="AP47" s="27">
        <f>VLOOKUP($Q47,武学奇术!$A:$ZZ,29,FALSE)*(1+IF(OR($AL47=$F$4,$AL47=$F$5),$B$22,0))</f>
        <v>207</v>
      </c>
      <c r="AQ47" s="26" cm="1">
        <f t="array" ref="AQ47">$G$3+IFERROR(VLOOKUP($AL47,$F$4:$G$7,2,FALSE),0)+VLOOKUP($Q47,武学奇术!$A:$ZZ,2,FALSE)+SUM(_xlfn.XLOOKUP($R47:$AK47,增益!$A:$A,增益!$B:$B,0))</f>
        <v>0.5389</v>
      </c>
      <c r="AR47" s="26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3611.1</v>
      </c>
      <c r="AT47" cm="1">
        <f t="array" ref="AT47">$E$10*(1+$AR47)+VLOOKUP($Q47,武学奇术!$A:$ZZ,4,FALSE)+SUM(_xlfn.XLOOKUP($R47:$AK47,增益!$A:$A,增益!$D:$D,0))-$I$2</f>
        <v>3611.1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0.257</v>
      </c>
      <c r="AV47" s="32" cm="1">
        <f t="array" ref="AV47">$G$10+VLOOKUP($Q47,武学奇术!$A:$ZZ,7,FALSE)+SUM(_xlfn.XLOOKUP($R47:$AK47,增益!$A:$A,增益!$G:$G,0))</f>
        <v>0.205</v>
      </c>
      <c r="AW47" s="26" cm="1">
        <f t="array" ref="AW47">VLOOKUP($Q47,武学奇术!$A:$ZZ,8,FALSE)+SUM(_xlfn.XLOOKUP($R47:$AK47,增益!$A:$A,增益!$H:$H,0))</f>
        <v>0.12</v>
      </c>
      <c r="AX47">
        <f t="shared" si="1"/>
        <v>0</v>
      </c>
      <c r="AY47">
        <f t="shared" si="2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2" cm="1">
        <f t="array" ref="BA47">$G$11+VLOOKUP($Q47,武学奇术!$A:$ZZ,10,FALSE)+SUM(_xlfn.XLOOKUP($R47:$AK47,增益!$A:$A,增益!$J:$J,0))</f>
        <v>0.06</v>
      </c>
      <c r="BB47">
        <f t="shared" si="3"/>
        <v>0</v>
      </c>
      <c r="BC47">
        <f t="shared" si="4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2" cm="1">
        <f t="array" ref="BE47">$G$12+VLOOKUP($Q47,武学奇术!$A:$ZZ,12,FALSE)+SUM(_xlfn.XLOOKUP($R47:$AK47,增益!$A:$A,增益!$L:$L,0))</f>
        <v>0.06</v>
      </c>
      <c r="BF47">
        <f t="shared" si="5"/>
        <v>639.744</v>
      </c>
      <c r="BG47">
        <f t="shared" si="6"/>
        <v>1823.136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2" cm="1">
        <f t="array" ref="BI47">$G$13+VLOOKUP($Q47,武学奇术!$A:$ZZ,14,FALSE)+SUM(_xlfn.XLOOKUP($R47:$AK47,增益!$A:$A,增益!$N:$N,0))</f>
        <v>0.33</v>
      </c>
      <c r="BJ47">
        <f t="shared" si="7"/>
        <v>0</v>
      </c>
      <c r="BK47">
        <f t="shared" si="8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2" cm="1">
        <f t="array" ref="BM47">$G$14+VLOOKUP($Q47,武学奇术!$A:$ZZ,16,FALSE)+SUM(_xlfn.XLOOKUP($R47:$AK47,增益!$A:$A,增益!$P:$P,0))</f>
        <v>0.06</v>
      </c>
      <c r="BN47" s="26">
        <f>MIN(IF(VLOOKUP($Q47,武学奇术!$A:$ZZ,23,FALSE)=1,100%,$B$8),100%)</f>
        <v>0.9859</v>
      </c>
      <c r="BO47" s="26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6" cm="1">
        <f t="array" ref="BP47">1+$B$13+VLOOKUP($Q47,武学奇术!$A:$ZZ,18,FALSE)+SUM(_xlfn.XLOOKUP($R47:$AK47,增益!$A:$A,增益!$R:$R,0))</f>
        <v>1.64</v>
      </c>
      <c r="BQ47" s="26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6" cm="1">
        <f t="array" ref="BR47">1+$B$14+VLOOKUP($Q47,武学奇术!$A:$ZZ,20,FALSE)+SUM(_xlfn.XLOOKUP($R47:$AK47,增益!$A:$A,增益!$T:$T,0))</f>
        <v>1.35</v>
      </c>
      <c r="BS47" s="26">
        <f t="shared" si="9"/>
        <v>0.87863408</v>
      </c>
      <c r="BT47" s="26">
        <f t="shared" si="10"/>
        <v>0.01567581</v>
      </c>
      <c r="BU47" s="26">
        <f>IF(VLOOKUP($Q47,武学奇术!$A:$ZZ,22,FALSE)=1,0,(1-$BN47))*(1-$BQ47)</f>
        <v>0.01279011</v>
      </c>
      <c r="BV47" s="26" cm="1">
        <f t="array" ref="BV47">SUM(_xlfn.XLOOKUP($R47:$AK47,增益!$A:$A,增益!$W:$W,0))+$I$5</f>
        <v>0.11</v>
      </c>
    </row>
    <row r="48" spans="3:74">
      <c r="K48" s="38">
        <f t="shared" si="0"/>
        <v>55165.9874806274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56167.433846766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52770.3551936239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34248.4352724183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29407.7185495596</v>
      </c>
      <c r="P48" s="39">
        <v>1</v>
      </c>
      <c r="Q48" s="40" t="s">
        <v>114</v>
      </c>
      <c r="R48" s="40" t="s">
        <v>100</v>
      </c>
      <c r="S48" s="40" t="s">
        <v>158</v>
      </c>
      <c r="T48" s="40" t="s">
        <v>97</v>
      </c>
      <c r="U48" s="40" t="s">
        <v>80</v>
      </c>
      <c r="V48" s="40" t="s">
        <v>73</v>
      </c>
      <c r="W48" s="40" t="s">
        <v>115</v>
      </c>
      <c r="X48" s="40" t="s">
        <v>87</v>
      </c>
      <c r="Y48" s="40" t="s">
        <v>80</v>
      </c>
      <c r="Z48" s="40" t="s">
        <v>80</v>
      </c>
      <c r="AA48" s="40" t="s">
        <v>80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81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80</v>
      </c>
      <c r="AL48" t="str">
        <f>VLOOKUP($Q48,武学奇术!$A:$ZZ,25,FALSE)</f>
        <v>扇</v>
      </c>
      <c r="AM48" s="26">
        <f>VLOOKUP($Q48,武学奇术!$A:$ZZ,26,FALSE)</f>
        <v>2.1435</v>
      </c>
      <c r="AN48" s="27">
        <f>VLOOKUP($Q48,武学奇术!$A:$ZZ,27,FALSE)*(1+IF(OR($AL48=$F$4,$AL48=$F$5),$B$22,0))</f>
        <v>888</v>
      </c>
      <c r="AO48" s="26">
        <f>VLOOKUP($Q48,武学奇术!$A:$ZZ,28,FALSE)</f>
        <v>3.2152</v>
      </c>
      <c r="AP48" s="27">
        <f>VLOOKUP($Q48,武学奇术!$A:$ZZ,29,FALSE)*(1+IF(OR($AL48=$F$4,$AL48=$F$5),$B$22,0))</f>
        <v>484.5</v>
      </c>
      <c r="AQ48" s="26" cm="1">
        <f t="array" ref="AQ48">$G$3+IFERROR(VLOOKUP($AL48,$F$4:$G$7,2,FALSE),0)+VLOOKUP($Q48,武学奇术!$A:$ZZ,2,FALSE)+SUM(_xlfn.XLOOKUP($R48:$AK48,增益!$A:$A,增益!$B:$B,0))</f>
        <v>0.5389</v>
      </c>
      <c r="AR48" s="26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3611.1</v>
      </c>
      <c r="AT48" cm="1">
        <f t="array" ref="AT48">$E$10*(1+$AR48)+VLOOKUP($Q48,武学奇术!$A:$ZZ,4,FALSE)+SUM(_xlfn.XLOOKUP($R48:$AK48,增益!$A:$A,增益!$D:$D,0))-$I$2</f>
        <v>3611.1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0.257</v>
      </c>
      <c r="AV48" s="32" cm="1">
        <f t="array" ref="AV48">$G$10+VLOOKUP($Q48,武学奇术!$A:$ZZ,7,FALSE)+SUM(_xlfn.XLOOKUP($R48:$AK48,增益!$A:$A,增益!$G:$G,0))</f>
        <v>0.205</v>
      </c>
      <c r="AW48" s="26" cm="1">
        <f t="array" ref="AW48">VLOOKUP($Q48,武学奇术!$A:$ZZ,8,FALSE)+SUM(_xlfn.XLOOKUP($R48:$AK48,增益!$A:$A,增益!$H:$H,0))</f>
        <v>0.12</v>
      </c>
      <c r="AX48">
        <f t="shared" si="1"/>
        <v>0</v>
      </c>
      <c r="AY48">
        <f t="shared" si="2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2" cm="1">
        <f t="array" ref="BA48">$G$11+VLOOKUP($Q48,武学奇术!$A:$ZZ,10,FALSE)+SUM(_xlfn.XLOOKUP($R48:$AK48,增益!$A:$A,增益!$J:$J,0))</f>
        <v>0.06</v>
      </c>
      <c r="BB48">
        <f t="shared" si="3"/>
        <v>0</v>
      </c>
      <c r="BC48">
        <f t="shared" si="4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2" cm="1">
        <f t="array" ref="BE48">$G$12+VLOOKUP($Q48,武学奇术!$A:$ZZ,12,FALSE)+SUM(_xlfn.XLOOKUP($R48:$AK48,增益!$A:$A,增益!$L:$L,0))</f>
        <v>0.06</v>
      </c>
      <c r="BF48">
        <f t="shared" si="5"/>
        <v>639.744</v>
      </c>
      <c r="BG48">
        <f t="shared" si="6"/>
        <v>1823.136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2" cm="1">
        <f t="array" ref="BI48">$G$13+VLOOKUP($Q48,武学奇术!$A:$ZZ,14,FALSE)+SUM(_xlfn.XLOOKUP($R48:$AK48,增益!$A:$A,增益!$N:$N,0))</f>
        <v>0.33</v>
      </c>
      <c r="BJ48">
        <f t="shared" si="7"/>
        <v>0</v>
      </c>
      <c r="BK48">
        <f t="shared" si="8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2" cm="1">
        <f t="array" ref="BM48">$G$14+VLOOKUP($Q48,武学奇术!$A:$ZZ,16,FALSE)+SUM(_xlfn.XLOOKUP($R48:$AK48,增益!$A:$A,增益!$P:$P,0))</f>
        <v>0.06</v>
      </c>
      <c r="BN48" s="26">
        <f>MIN(IF(VLOOKUP($Q48,武学奇术!$A:$ZZ,23,FALSE)=1,100%,$B$8),100%)</f>
        <v>0.9859</v>
      </c>
      <c r="BO48" s="26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6" cm="1">
        <f t="array" ref="BP48">1+$B$13+VLOOKUP($Q48,武学奇术!$A:$ZZ,18,FALSE)+SUM(_xlfn.XLOOKUP($R48:$AK48,增益!$A:$A,增益!$R:$R,0))</f>
        <v>1.64</v>
      </c>
      <c r="BQ48" s="26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6" cm="1">
        <f t="array" ref="BR48">1+$B$14+VLOOKUP($Q48,武学奇术!$A:$ZZ,20,FALSE)+SUM(_xlfn.XLOOKUP($R48:$AK48,增益!$A:$A,增益!$T:$T,0))</f>
        <v>1.35</v>
      </c>
      <c r="BS48" s="26">
        <f t="shared" si="9"/>
        <v>0.87863408</v>
      </c>
      <c r="BT48" s="26">
        <f t="shared" si="10"/>
        <v>0.01567581</v>
      </c>
      <c r="BU48" s="26">
        <f>IF(VLOOKUP($Q48,武学奇术!$A:$ZZ,22,FALSE)=1,0,(1-$BN48))*(1-$BQ48)</f>
        <v>0.01279011</v>
      </c>
      <c r="BV48" s="26" cm="1">
        <f t="array" ref="BV48">SUM(_xlfn.XLOOKUP($R48:$AK48,增益!$A:$A,增益!$W:$W,0))+$I$5</f>
        <v>0.11</v>
      </c>
    </row>
    <row r="49" spans="1:74">
      <c r="K49" s="38">
        <f t="shared" si="0"/>
        <v>144146.383452019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149285.960284846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117516.78012505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76951.5259200236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66853.5850807512</v>
      </c>
      <c r="P49" s="39">
        <v>1</v>
      </c>
      <c r="Q49" s="40" t="s">
        <v>117</v>
      </c>
      <c r="R49" s="40" t="s">
        <v>100</v>
      </c>
      <c r="S49" s="40" t="s">
        <v>158</v>
      </c>
      <c r="T49" s="40" t="s">
        <v>78</v>
      </c>
      <c r="U49" s="40" t="s">
        <v>80</v>
      </c>
      <c r="V49" s="40" t="s">
        <v>73</v>
      </c>
      <c r="W49" s="40" t="s">
        <v>115</v>
      </c>
      <c r="X49" s="40" t="s">
        <v>87</v>
      </c>
      <c r="Y49" s="40" t="s">
        <v>80</v>
      </c>
      <c r="Z49" s="40" t="s">
        <v>80</v>
      </c>
      <c r="AA49" s="40" t="s">
        <v>80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81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80</v>
      </c>
      <c r="AL49" t="str">
        <f>VLOOKUP($Q49,武学奇术!$A:$ZZ,25,FALSE)</f>
        <v>鼓</v>
      </c>
      <c r="AM49" s="26">
        <f>VLOOKUP($Q49,武学奇术!$A:$ZZ,26,FALSE)</f>
        <v>3.08125</v>
      </c>
      <c r="AN49" s="27">
        <f>VLOOKUP($Q49,武学奇术!$A:$ZZ,27,FALSE)*(1+IF(OR($AL49=$F$4,$AL49=$F$5),$B$22,0))</f>
        <v>1277.55</v>
      </c>
      <c r="AO49" s="26">
        <f>VLOOKUP($Q49,武学奇术!$A:$ZZ,28,FALSE)</f>
        <v>4.62196</v>
      </c>
      <c r="AP49" s="27">
        <f>VLOOKUP($Q49,武学奇术!$A:$ZZ,29,FALSE)*(1+IF(OR($AL49=$F$4,$AL49=$F$5),$B$22,0))</f>
        <v>696.15</v>
      </c>
      <c r="AQ49" s="26" cm="1">
        <f t="array" ref="AQ49">$G$3+IFERROR(VLOOKUP($AL49,$F$4:$G$7,2,FALSE),0)+VLOOKUP($Q49,武学奇术!$A:$ZZ,2,FALSE)+SUM(_xlfn.XLOOKUP($R49:$AK49,增益!$A:$A,增益!$B:$B,0))</f>
        <v>0.5241</v>
      </c>
      <c r="AR49" s="26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4372.698</v>
      </c>
      <c r="AT49" cm="1">
        <f t="array" ref="AT49">$E$10*(1+$AR49)+VLOOKUP($Q49,武学奇术!$A:$ZZ,4,FALSE)+SUM(_xlfn.XLOOKUP($R49:$AK49,增益!$A:$A,增益!$D:$D,0))-$I$2</f>
        <v>4372.698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0.317</v>
      </c>
      <c r="AV49" s="32" cm="1">
        <f t="array" ref="AV49">$G$10+VLOOKUP($Q49,武学奇术!$A:$ZZ,7,FALSE)+SUM(_xlfn.XLOOKUP($R49:$AK49,增益!$A:$A,增益!$G:$G,0))</f>
        <v>0.205</v>
      </c>
      <c r="AW49" s="26" cm="1">
        <f t="array" ref="AW49">VLOOKUP($Q49,武学奇术!$A:$ZZ,8,FALSE)+SUM(_xlfn.XLOOKUP($R49:$AK49,增益!$A:$A,增益!$H:$H,0))</f>
        <v>0.18</v>
      </c>
      <c r="AX49">
        <f t="shared" si="1"/>
        <v>0</v>
      </c>
      <c r="AY49">
        <f t="shared" si="2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2" cm="1">
        <f t="array" ref="BA49">$G$11+VLOOKUP($Q49,武学奇术!$A:$ZZ,10,FALSE)+SUM(_xlfn.XLOOKUP($R49:$AK49,增益!$A:$A,增益!$J:$J,0))</f>
        <v>0.06</v>
      </c>
      <c r="BB49">
        <f t="shared" si="3"/>
        <v>0</v>
      </c>
      <c r="BC49">
        <f t="shared" si="4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2" cm="1">
        <f t="array" ref="BE49">$G$12+VLOOKUP($Q49,武学奇术!$A:$ZZ,12,FALSE)+SUM(_xlfn.XLOOKUP($R49:$AK49,增益!$A:$A,增益!$L:$L,0))</f>
        <v>0.06</v>
      </c>
      <c r="BF49">
        <f t="shared" si="5"/>
        <v>674.016</v>
      </c>
      <c r="BG49">
        <f t="shared" si="6"/>
        <v>1920.804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2" cm="1">
        <f t="array" ref="BI49">$G$13+VLOOKUP($Q49,武学奇术!$A:$ZZ,14,FALSE)+SUM(_xlfn.XLOOKUP($R49:$AK49,增益!$A:$A,增益!$N:$N,0))</f>
        <v>0.33</v>
      </c>
      <c r="BJ49">
        <f t="shared" si="7"/>
        <v>0</v>
      </c>
      <c r="BK49">
        <f t="shared" si="8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2" cm="1">
        <f t="array" ref="BM49">$G$14+VLOOKUP($Q49,武学奇术!$A:$ZZ,16,FALSE)+SUM(_xlfn.XLOOKUP($R49:$AK49,增益!$A:$A,增益!$P:$P,0))</f>
        <v>0.06</v>
      </c>
      <c r="BN49" s="26">
        <f>MIN(IF(VLOOKUP($Q49,武学奇术!$A:$ZZ,23,FALSE)=1,100%,$B$8),100%)</f>
        <v>0.9859</v>
      </c>
      <c r="BO49" s="26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6" cm="1">
        <f t="array" ref="BP49">1+$B$13+VLOOKUP($Q49,武学奇术!$A:$ZZ,18,FALSE)+SUM(_xlfn.XLOOKUP($R49:$AK49,增益!$A:$A,增益!$R:$R,0))</f>
        <v>1.94</v>
      </c>
      <c r="BQ49" s="26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6" cm="1">
        <f t="array" ref="BR49">1+$B$14+VLOOKUP($Q49,武学奇术!$A:$ZZ,20,FALSE)+SUM(_xlfn.XLOOKUP($R49:$AK49,增益!$A:$A,增益!$T:$T,0))</f>
        <v>1.35</v>
      </c>
      <c r="BS49" s="26">
        <f t="shared" si="9"/>
        <v>0.87863408</v>
      </c>
      <c r="BT49" s="26">
        <f t="shared" si="10"/>
        <v>0.01567581</v>
      </c>
      <c r="BU49" s="26">
        <f>IF(VLOOKUP($Q49,武学奇术!$A:$ZZ,22,FALSE)=1,0,(1-$BN49))*(1-$BQ49)</f>
        <v>0.01279011</v>
      </c>
      <c r="BV49" s="26" cm="1">
        <f t="array" ref="BV49">SUM(_xlfn.XLOOKUP($R49:$AK49,增益!$A:$A,增益!$W:$W,0))+$I$5</f>
        <v>0.11</v>
      </c>
    </row>
    <row r="50" spans="1:74">
      <c r="K50" s="38">
        <f t="shared" si="0"/>
        <v>288292.766904037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298571.920569692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235033.560250099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153903.051840047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133707.170161502</v>
      </c>
      <c r="P50" s="39">
        <v>2</v>
      </c>
      <c r="Q50" s="40" t="s">
        <v>117</v>
      </c>
      <c r="R50" s="40" t="s">
        <v>100</v>
      </c>
      <c r="S50" s="40" t="s">
        <v>158</v>
      </c>
      <c r="T50" s="40" t="s">
        <v>78</v>
      </c>
      <c r="U50" s="40" t="s">
        <v>80</v>
      </c>
      <c r="V50" s="40" t="s">
        <v>73</v>
      </c>
      <c r="W50" s="40" t="s">
        <v>115</v>
      </c>
      <c r="X50" s="40" t="s">
        <v>87</v>
      </c>
      <c r="Y50" s="40" t="s">
        <v>80</v>
      </c>
      <c r="Z50" s="40" t="s">
        <v>80</v>
      </c>
      <c r="AA50" s="40" t="s">
        <v>80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81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80</v>
      </c>
      <c r="AL50" t="str">
        <f>VLOOKUP($Q50,武学奇术!$A:$ZZ,25,FALSE)</f>
        <v>鼓</v>
      </c>
      <c r="AM50" s="26">
        <f>VLOOKUP($Q50,武学奇术!$A:$ZZ,26,FALSE)</f>
        <v>3.08125</v>
      </c>
      <c r="AN50" s="27">
        <f>VLOOKUP($Q50,武学奇术!$A:$ZZ,27,FALSE)*(1+IF(OR($AL50=$F$4,$AL50=$F$5),$B$22,0))</f>
        <v>1277.55</v>
      </c>
      <c r="AO50" s="26">
        <f>VLOOKUP($Q50,武学奇术!$A:$ZZ,28,FALSE)</f>
        <v>4.62196</v>
      </c>
      <c r="AP50" s="27">
        <f>VLOOKUP($Q50,武学奇术!$A:$ZZ,29,FALSE)*(1+IF(OR($AL50=$F$4,$AL50=$F$5),$B$22,0))</f>
        <v>696.15</v>
      </c>
      <c r="AQ50" s="26" cm="1">
        <f t="array" ref="AQ50">$G$3+IFERROR(VLOOKUP($AL50,$F$4:$G$7,2,FALSE),0)+VLOOKUP($Q50,武学奇术!$A:$ZZ,2,FALSE)+SUM(_xlfn.XLOOKUP($R50:$AK50,增益!$A:$A,增益!$B:$B,0))</f>
        <v>0.5241</v>
      </c>
      <c r="AR50" s="26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4372.698</v>
      </c>
      <c r="AT50" cm="1">
        <f t="array" ref="AT50">$E$10*(1+$AR50)+VLOOKUP($Q50,武学奇术!$A:$ZZ,4,FALSE)+SUM(_xlfn.XLOOKUP($R50:$AK50,增益!$A:$A,增益!$D:$D,0))-$I$2</f>
        <v>4372.698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0.317</v>
      </c>
      <c r="AV50" s="32" cm="1">
        <f t="array" ref="AV50">$G$10+VLOOKUP($Q50,武学奇术!$A:$ZZ,7,FALSE)+SUM(_xlfn.XLOOKUP($R50:$AK50,增益!$A:$A,增益!$G:$G,0))</f>
        <v>0.205</v>
      </c>
      <c r="AW50" s="26" cm="1">
        <f t="array" ref="AW50">VLOOKUP($Q50,武学奇术!$A:$ZZ,8,FALSE)+SUM(_xlfn.XLOOKUP($R50:$AK50,增益!$A:$A,增益!$H:$H,0))</f>
        <v>0.18</v>
      </c>
      <c r="AX50">
        <f t="shared" si="1"/>
        <v>0</v>
      </c>
      <c r="AY50">
        <f t="shared" si="2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2" cm="1">
        <f t="array" ref="BA50">$G$11+VLOOKUP($Q50,武学奇术!$A:$ZZ,10,FALSE)+SUM(_xlfn.XLOOKUP($R50:$AK50,增益!$A:$A,增益!$J:$J,0))</f>
        <v>0.06</v>
      </c>
      <c r="BB50">
        <f t="shared" si="3"/>
        <v>0</v>
      </c>
      <c r="BC50">
        <f t="shared" si="4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2" cm="1">
        <f t="array" ref="BE50">$G$12+VLOOKUP($Q50,武学奇术!$A:$ZZ,12,FALSE)+SUM(_xlfn.XLOOKUP($R50:$AK50,增益!$A:$A,增益!$L:$L,0))</f>
        <v>0.06</v>
      </c>
      <c r="BF50">
        <f t="shared" si="5"/>
        <v>674.016</v>
      </c>
      <c r="BG50">
        <f t="shared" si="6"/>
        <v>1920.804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2" cm="1">
        <f t="array" ref="BI50">$G$13+VLOOKUP($Q50,武学奇术!$A:$ZZ,14,FALSE)+SUM(_xlfn.XLOOKUP($R50:$AK50,增益!$A:$A,增益!$N:$N,0))</f>
        <v>0.33</v>
      </c>
      <c r="BJ50">
        <f t="shared" si="7"/>
        <v>0</v>
      </c>
      <c r="BK50">
        <f t="shared" si="8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2" cm="1">
        <f t="array" ref="BM50">$G$14+VLOOKUP($Q50,武学奇术!$A:$ZZ,16,FALSE)+SUM(_xlfn.XLOOKUP($R50:$AK50,增益!$A:$A,增益!$P:$P,0))</f>
        <v>0.06</v>
      </c>
      <c r="BN50" s="26">
        <f>MIN(IF(VLOOKUP($Q50,武学奇术!$A:$ZZ,23,FALSE)=1,100%,$B$8),100%)</f>
        <v>0.9859</v>
      </c>
      <c r="BO50" s="26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6" cm="1">
        <f t="array" ref="BP50">1+$B$13+VLOOKUP($Q50,武学奇术!$A:$ZZ,18,FALSE)+SUM(_xlfn.XLOOKUP($R50:$AK50,增益!$A:$A,增益!$R:$R,0))</f>
        <v>1.94</v>
      </c>
      <c r="BQ50" s="26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6" cm="1">
        <f t="array" ref="BR50">1+$B$14+VLOOKUP($Q50,武学奇术!$A:$ZZ,20,FALSE)+SUM(_xlfn.XLOOKUP($R50:$AK50,增益!$A:$A,增益!$T:$T,0))</f>
        <v>1.35</v>
      </c>
      <c r="BS50" s="26">
        <f t="shared" si="9"/>
        <v>0.87863408</v>
      </c>
      <c r="BT50" s="26">
        <f t="shared" si="10"/>
        <v>0.01567581</v>
      </c>
      <c r="BU50" s="26">
        <f>IF(VLOOKUP($Q50,武学奇术!$A:$ZZ,22,FALSE)=1,0,(1-$BN50))*(1-$BQ50)</f>
        <v>0.01279011</v>
      </c>
      <c r="BV50" s="26" cm="1">
        <f t="array" ref="BV50">SUM(_xlfn.XLOOKUP($R50:$AK50,增益!$A:$A,增益!$W:$W,0))+$I$5</f>
        <v>0.11</v>
      </c>
    </row>
    <row r="51" spans="1:74">
      <c r="K51" s="38">
        <f t="shared" si="0"/>
        <v>379952.005485106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395243.978585791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295878.838398973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193747.048326368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168324.586727571</v>
      </c>
      <c r="P51" s="39">
        <v>2</v>
      </c>
      <c r="Q51" s="40" t="s">
        <v>121</v>
      </c>
      <c r="R51" s="40" t="s">
        <v>100</v>
      </c>
      <c r="S51" s="40" t="s">
        <v>158</v>
      </c>
      <c r="T51" s="40" t="s">
        <v>78</v>
      </c>
      <c r="U51" s="40" t="s">
        <v>80</v>
      </c>
      <c r="V51" s="40" t="s">
        <v>73</v>
      </c>
      <c r="W51" s="40" t="s">
        <v>115</v>
      </c>
      <c r="X51" s="40" t="s">
        <v>87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81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80</v>
      </c>
      <c r="AL51" t="str">
        <f>VLOOKUP($Q51,武学奇术!$A:$ZZ,25,FALSE)</f>
        <v>鼓</v>
      </c>
      <c r="AM51" s="26">
        <f>VLOOKUP($Q51,武学奇术!$A:$ZZ,26,FALSE)</f>
        <v>3.75547</v>
      </c>
      <c r="AN51" s="27">
        <f>VLOOKUP($Q51,武学奇术!$A:$ZZ,27,FALSE)*(1+IF(OR($AL51=$F$4,$AL51=$F$5),$B$22,0))</f>
        <v>1558.05</v>
      </c>
      <c r="AO51" s="26">
        <f>VLOOKUP($Q51,武学奇术!$A:$ZZ,28,FALSE)</f>
        <v>5.63329</v>
      </c>
      <c r="AP51" s="27">
        <f>VLOOKUP($Q51,武学奇术!$A:$ZZ,29,FALSE)*(1+IF(OR($AL51=$F$4,$AL51=$F$5),$B$22,0))</f>
        <v>849.15</v>
      </c>
      <c r="AQ51" s="26" cm="1">
        <f t="array" ref="AQ51">$G$3+IFERROR(VLOOKUP($AL51,$F$4:$G$7,2,FALSE),0)+VLOOKUP($Q51,武学奇术!$A:$ZZ,2,FALSE)+SUM(_xlfn.XLOOKUP($R51:$AK51,增益!$A:$A,增益!$B:$B,0))</f>
        <v>0.5741</v>
      </c>
      <c r="AR51" s="26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4372.698</v>
      </c>
      <c r="AT51" cm="1">
        <f t="array" ref="AT51">$E$10*(1+$AR51)+VLOOKUP($Q51,武学奇术!$A:$ZZ,4,FALSE)+SUM(_xlfn.XLOOKUP($R51:$AK51,增益!$A:$A,增益!$D:$D,0))-$I$2</f>
        <v>4372.698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0.317</v>
      </c>
      <c r="AV51" s="32" cm="1">
        <f t="array" ref="AV51">$G$10+VLOOKUP($Q51,武学奇术!$A:$ZZ,7,FALSE)+SUM(_xlfn.XLOOKUP($R51:$AK51,增益!$A:$A,增益!$G:$G,0))</f>
        <v>0.205</v>
      </c>
      <c r="AW51" s="26" cm="1">
        <f t="array" ref="AW51">VLOOKUP($Q51,武学奇术!$A:$ZZ,8,FALSE)+SUM(_xlfn.XLOOKUP($R51:$AK51,增益!$A:$A,增益!$H:$H,0))</f>
        <v>0.18</v>
      </c>
      <c r="AX51">
        <f t="shared" si="1"/>
        <v>0</v>
      </c>
      <c r="AY51">
        <f t="shared" si="2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2" cm="1">
        <f t="array" ref="BA51">$G$11+VLOOKUP($Q51,武学奇术!$A:$ZZ,10,FALSE)+SUM(_xlfn.XLOOKUP($R51:$AK51,增益!$A:$A,增益!$J:$J,0))</f>
        <v>0.06</v>
      </c>
      <c r="BB51">
        <f t="shared" si="3"/>
        <v>0</v>
      </c>
      <c r="BC51">
        <f t="shared" si="4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2" cm="1">
        <f t="array" ref="BE51">$G$12+VLOOKUP($Q51,武学奇术!$A:$ZZ,12,FALSE)+SUM(_xlfn.XLOOKUP($R51:$AK51,增益!$A:$A,增益!$L:$L,0))</f>
        <v>0.06</v>
      </c>
      <c r="BF51">
        <f t="shared" si="5"/>
        <v>674.016</v>
      </c>
      <c r="BG51">
        <f t="shared" si="6"/>
        <v>1920.804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2" cm="1">
        <f t="array" ref="BI51">$G$13+VLOOKUP($Q51,武学奇术!$A:$ZZ,14,FALSE)+SUM(_xlfn.XLOOKUP($R51:$AK51,增益!$A:$A,增益!$N:$N,0))</f>
        <v>0.33</v>
      </c>
      <c r="BJ51">
        <f t="shared" si="7"/>
        <v>0</v>
      </c>
      <c r="BK51">
        <f t="shared" si="8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2" cm="1">
        <f t="array" ref="BM51">$G$14+VLOOKUP($Q51,武学奇术!$A:$ZZ,16,FALSE)+SUM(_xlfn.XLOOKUP($R51:$AK51,增益!$A:$A,增益!$P:$P,0))</f>
        <v>0.06</v>
      </c>
      <c r="BN51" s="26">
        <f>MIN(IF(VLOOKUP($Q51,武学奇术!$A:$ZZ,23,FALSE)=1,100%,$B$8),100%)</f>
        <v>0.9859</v>
      </c>
      <c r="BO51" s="26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6" cm="1">
        <f t="array" ref="BP51">1+$B$13+VLOOKUP($Q51,武学奇术!$A:$ZZ,18,FALSE)+SUM(_xlfn.XLOOKUP($R51:$AK51,增益!$A:$A,增益!$R:$R,0))</f>
        <v>2.04</v>
      </c>
      <c r="BQ51" s="26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6" cm="1">
        <f t="array" ref="BR51">1+$B$14+VLOOKUP($Q51,武学奇术!$A:$ZZ,20,FALSE)+SUM(_xlfn.XLOOKUP($R51:$AK51,增益!$A:$A,增益!$T:$T,0))</f>
        <v>1.35</v>
      </c>
      <c r="BS51" s="26">
        <f t="shared" si="9"/>
        <v>0.87863408</v>
      </c>
      <c r="BT51" s="26">
        <f t="shared" si="10"/>
        <v>0.01567581</v>
      </c>
      <c r="BU51" s="26">
        <f>IF(VLOOKUP($Q51,武学奇术!$A:$ZZ,22,FALSE)=1,0,(1-$BN51))*(1-$BQ51)</f>
        <v>0.01279011</v>
      </c>
      <c r="BV51" s="26" cm="1">
        <f t="array" ref="BV51">SUM(_xlfn.XLOOKUP($R51:$AK51,增益!$A:$A,增益!$W:$W,0))+$I$5</f>
        <v>0.11</v>
      </c>
    </row>
    <row r="52" spans="1:74">
      <c r="K52" s="38">
        <f t="shared" si="0"/>
        <v>59859.6889801294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60946.2120323189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57261.6328035185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37162.3244099506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31908.6245209985</v>
      </c>
      <c r="P52" s="39">
        <v>1</v>
      </c>
      <c r="Q52" s="40" t="s">
        <v>124</v>
      </c>
      <c r="R52" s="40" t="s">
        <v>100</v>
      </c>
      <c r="S52" s="40" t="s">
        <v>158</v>
      </c>
      <c r="T52" s="40" t="s">
        <v>97</v>
      </c>
      <c r="U52" s="40" t="s">
        <v>80</v>
      </c>
      <c r="V52" s="40" t="s">
        <v>73</v>
      </c>
      <c r="W52" s="40" t="s">
        <v>115</v>
      </c>
      <c r="X52" s="40" t="s">
        <v>87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81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80</v>
      </c>
      <c r="AL52" t="str">
        <f>VLOOKUP($Q52,武学奇术!$A:$ZZ,25,FALSE)</f>
        <v>鼓</v>
      </c>
      <c r="AM52" s="26">
        <f>VLOOKUP($Q52,武学奇术!$A:$ZZ,26,FALSE)</f>
        <v>2.514</v>
      </c>
      <c r="AN52" s="27">
        <f>VLOOKUP($Q52,武学奇术!$A:$ZZ,27,FALSE)*(1+IF(OR($AL52=$F$4,$AL52=$F$5),$B$22,0))</f>
        <v>1044</v>
      </c>
      <c r="AO52" s="26">
        <f>VLOOKUP($Q52,武学奇术!$A:$ZZ,28,FALSE)</f>
        <v>3.7708</v>
      </c>
      <c r="AP52" s="27">
        <f>VLOOKUP($Q52,武学奇术!$A:$ZZ,29,FALSE)*(1+IF(OR($AL52=$F$4,$AL52=$F$5),$B$22,0))</f>
        <v>564</v>
      </c>
      <c r="AQ52" s="26" cm="1">
        <f t="array" ref="AQ52">$G$3+IFERROR(VLOOKUP($AL52,$F$4:$G$7,2,FALSE),0)+VLOOKUP($Q52,武学奇术!$A:$ZZ,2,FALSE)+SUM(_xlfn.XLOOKUP($R52:$AK52,增益!$A:$A,增益!$B:$B,0))</f>
        <v>0.4241</v>
      </c>
      <c r="AR52" s="26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3611.1</v>
      </c>
      <c r="AT52" cm="1">
        <f t="array" ref="AT52">$E$10*(1+$AR52)+VLOOKUP($Q52,武学奇术!$A:$ZZ,4,FALSE)+SUM(_xlfn.XLOOKUP($R52:$AK52,增益!$A:$A,增益!$D:$D,0))-$I$2</f>
        <v>3611.1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0.257</v>
      </c>
      <c r="AV52" s="32" cm="1">
        <f t="array" ref="AV52">$G$10+VLOOKUP($Q52,武学奇术!$A:$ZZ,7,FALSE)+SUM(_xlfn.XLOOKUP($R52:$AK52,增益!$A:$A,增益!$G:$G,0))</f>
        <v>0.205</v>
      </c>
      <c r="AW52" s="26" cm="1">
        <f t="array" ref="AW52">VLOOKUP($Q52,武学奇术!$A:$ZZ,8,FALSE)+SUM(_xlfn.XLOOKUP($R52:$AK52,增益!$A:$A,增益!$H:$H,0))</f>
        <v>0.12</v>
      </c>
      <c r="AX52">
        <f t="shared" si="1"/>
        <v>0</v>
      </c>
      <c r="AY52">
        <f t="shared" si="2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2" cm="1">
        <f t="array" ref="BA52">$G$11+VLOOKUP($Q52,武学奇术!$A:$ZZ,10,FALSE)+SUM(_xlfn.XLOOKUP($R52:$AK52,增益!$A:$A,增益!$J:$J,0))</f>
        <v>0.06</v>
      </c>
      <c r="BB52">
        <f t="shared" si="3"/>
        <v>0</v>
      </c>
      <c r="BC52">
        <f t="shared" si="4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2" cm="1">
        <f t="array" ref="BE52">$G$12+VLOOKUP($Q52,武学奇术!$A:$ZZ,12,FALSE)+SUM(_xlfn.XLOOKUP($R52:$AK52,增益!$A:$A,增益!$L:$L,0))</f>
        <v>0.06</v>
      </c>
      <c r="BF52">
        <f t="shared" si="5"/>
        <v>639.744</v>
      </c>
      <c r="BG52">
        <f t="shared" si="6"/>
        <v>1823.136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2" cm="1">
        <f t="array" ref="BI52">$G$13+VLOOKUP($Q52,武学奇术!$A:$ZZ,14,FALSE)+SUM(_xlfn.XLOOKUP($R52:$AK52,增益!$A:$A,增益!$N:$N,0))</f>
        <v>0.33</v>
      </c>
      <c r="BJ52">
        <f t="shared" si="7"/>
        <v>0</v>
      </c>
      <c r="BK52">
        <f t="shared" si="8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2" cm="1">
        <f t="array" ref="BM52">$G$14+VLOOKUP($Q52,武学奇术!$A:$ZZ,16,FALSE)+SUM(_xlfn.XLOOKUP($R52:$AK52,增益!$A:$A,增益!$P:$P,0))</f>
        <v>0.06</v>
      </c>
      <c r="BN52" s="26">
        <f>MIN(IF(VLOOKUP($Q52,武学奇术!$A:$ZZ,23,FALSE)=1,100%,$B$8),100%)</f>
        <v>0.9859</v>
      </c>
      <c r="BO52" s="26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6" cm="1">
        <f t="array" ref="BP52">1+$B$13+VLOOKUP($Q52,武学奇术!$A:$ZZ,18,FALSE)+SUM(_xlfn.XLOOKUP($R52:$AK52,增益!$A:$A,增益!$R:$R,0))</f>
        <v>1.64</v>
      </c>
      <c r="BQ52" s="26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6" cm="1">
        <f t="array" ref="BR52">1+$B$14+VLOOKUP($Q52,武学奇术!$A:$ZZ,20,FALSE)+SUM(_xlfn.XLOOKUP($R52:$AK52,增益!$A:$A,增益!$T:$T,0))</f>
        <v>1.35</v>
      </c>
      <c r="BS52" s="26">
        <f t="shared" si="9"/>
        <v>0.87863408</v>
      </c>
      <c r="BT52" s="26">
        <f t="shared" si="10"/>
        <v>0.01567581</v>
      </c>
      <c r="BU52" s="26">
        <f>IF(VLOOKUP($Q52,武学奇术!$A:$ZZ,22,FALSE)=1,0,(1-$BN52))*(1-$BQ52)</f>
        <v>0.01279011</v>
      </c>
      <c r="BV52" s="26" cm="1">
        <f t="array" ref="BV52">SUM(_xlfn.XLOOKUP($R52:$AK52,增益!$A:$A,增益!$W:$W,0))+$I$5</f>
        <v>0.11</v>
      </c>
    </row>
    <row r="53" spans="1:74">
      <c r="K53" s="38">
        <f t="shared" si="0"/>
        <v>117135.418688676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121234.605429478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96329.719433564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62492.0646543699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53628.781580174</v>
      </c>
      <c r="P53" s="39">
        <v>1</v>
      </c>
      <c r="Q53" s="40" t="s">
        <v>127</v>
      </c>
      <c r="R53" s="40" t="s">
        <v>100</v>
      </c>
      <c r="S53" s="40" t="s">
        <v>158</v>
      </c>
      <c r="T53" s="40" t="s">
        <v>97</v>
      </c>
      <c r="U53" s="40" t="s">
        <v>80</v>
      </c>
      <c r="V53" s="40" t="s">
        <v>73</v>
      </c>
      <c r="W53" s="40" t="s">
        <v>115</v>
      </c>
      <c r="X53" s="40" t="s">
        <v>87</v>
      </c>
      <c r="Y53" s="40" t="s">
        <v>80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81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80</v>
      </c>
      <c r="AL53" t="str">
        <f>VLOOKUP($Q53,武学奇术!$A:$ZZ,25,FALSE)</f>
        <v>鼓</v>
      </c>
      <c r="AM53" s="26">
        <f>VLOOKUP($Q53,武学奇术!$A:$ZZ,26,FALSE)</f>
        <v>3.52968</v>
      </c>
      <c r="AN53" s="27">
        <f>VLOOKUP($Q53,武学奇术!$A:$ZZ,27,FALSE)*(1+IF(OR($AL53=$F$4,$AL53=$F$5),$B$22,0))</f>
        <v>1465.8</v>
      </c>
      <c r="AO53" s="26">
        <f>VLOOKUP($Q53,武学奇术!$A:$ZZ,28,FALSE)</f>
        <v>5.29452</v>
      </c>
      <c r="AP53" s="27">
        <f>VLOOKUP($Q53,武学奇术!$A:$ZZ,29,FALSE)*(1+IF(OR($AL53=$F$4,$AL53=$F$5),$B$22,0))</f>
        <v>798</v>
      </c>
      <c r="AQ53" s="26" cm="1">
        <f t="array" ref="AQ53">$G$3+IFERROR(VLOOKUP($AL53,$F$4:$G$7,2,FALSE),0)+VLOOKUP($Q53,武学奇术!$A:$ZZ,2,FALSE)+SUM(_xlfn.XLOOKUP($R53:$AK53,增益!$A:$A,增益!$B:$B,0))</f>
        <v>0.6241</v>
      </c>
      <c r="AR53" s="26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3611.1</v>
      </c>
      <c r="AT53" cm="1">
        <f t="array" ref="AT53">$E$10*(1+$AR53)+VLOOKUP($Q53,武学奇术!$A:$ZZ,4,FALSE)+SUM(_xlfn.XLOOKUP($R53:$AK53,增益!$A:$A,增益!$D:$D,0))-$I$2</f>
        <v>3611.1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0.317</v>
      </c>
      <c r="AV53" s="32" cm="1">
        <f t="array" ref="AV53">$G$10+VLOOKUP($Q53,武学奇术!$A:$ZZ,7,FALSE)+SUM(_xlfn.XLOOKUP($R53:$AK53,增益!$A:$A,增益!$G:$G,0))</f>
        <v>0.205</v>
      </c>
      <c r="AW53" s="26" cm="1">
        <f t="array" ref="AW53">VLOOKUP($Q53,武学奇术!$A:$ZZ,8,FALSE)+SUM(_xlfn.XLOOKUP($R53:$AK53,增益!$A:$A,增益!$H:$H,0))</f>
        <v>0.12</v>
      </c>
      <c r="AX53">
        <f t="shared" si="1"/>
        <v>0</v>
      </c>
      <c r="AY53">
        <f t="shared" si="2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2" cm="1">
        <f t="array" ref="BA53">$G$11+VLOOKUP($Q53,武学奇术!$A:$ZZ,10,FALSE)+SUM(_xlfn.XLOOKUP($R53:$AK53,增益!$A:$A,增益!$J:$J,0))</f>
        <v>0.06</v>
      </c>
      <c r="BB53">
        <f t="shared" si="3"/>
        <v>0</v>
      </c>
      <c r="BC53">
        <f t="shared" si="4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2" cm="1">
        <f t="array" ref="BE53">$G$12+VLOOKUP($Q53,武学奇术!$A:$ZZ,12,FALSE)+SUM(_xlfn.XLOOKUP($R53:$AK53,增益!$A:$A,增益!$L:$L,0))</f>
        <v>0.06</v>
      </c>
      <c r="BF53">
        <f t="shared" si="5"/>
        <v>639.744</v>
      </c>
      <c r="BG53">
        <f t="shared" si="6"/>
        <v>1823.136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2" cm="1">
        <f t="array" ref="BI53">$G$13+VLOOKUP($Q53,武学奇术!$A:$ZZ,14,FALSE)+SUM(_xlfn.XLOOKUP($R53:$AK53,增益!$A:$A,增益!$N:$N,0))</f>
        <v>0.33</v>
      </c>
      <c r="BJ53">
        <f t="shared" si="7"/>
        <v>0</v>
      </c>
      <c r="BK53">
        <f t="shared" si="8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2" cm="1">
        <f t="array" ref="BM53">$G$14+VLOOKUP($Q53,武学奇术!$A:$ZZ,16,FALSE)+SUM(_xlfn.XLOOKUP($R53:$AK53,增益!$A:$A,增益!$P:$P,0))</f>
        <v>0.06</v>
      </c>
      <c r="BN53" s="26">
        <f>MIN(IF(VLOOKUP($Q53,武学奇术!$A:$ZZ,23,FALSE)=1,100%,$B$8),100%)</f>
        <v>0.9859</v>
      </c>
      <c r="BO53" s="26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6" cm="1">
        <f t="array" ref="BP53">1+$B$13+VLOOKUP($Q53,武学奇术!$A:$ZZ,18,FALSE)+SUM(_xlfn.XLOOKUP($R53:$AK53,增益!$A:$A,增益!$R:$R,0))</f>
        <v>1.94</v>
      </c>
      <c r="BQ53" s="26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6" cm="1">
        <f t="array" ref="BR53">1+$B$14+VLOOKUP($Q53,武学奇术!$A:$ZZ,20,FALSE)+SUM(_xlfn.XLOOKUP($R53:$AK53,增益!$A:$A,增益!$T:$T,0))</f>
        <v>1.35</v>
      </c>
      <c r="BS53" s="26">
        <f t="shared" si="9"/>
        <v>0.87863408</v>
      </c>
      <c r="BT53" s="26">
        <f t="shared" si="10"/>
        <v>0.01567581</v>
      </c>
      <c r="BU53" s="26">
        <f>IF(VLOOKUP($Q53,武学奇术!$A:$ZZ,22,FALSE)=1,0,(1-$BN53))*(1-$BQ53)</f>
        <v>0.01279011</v>
      </c>
      <c r="BV53" s="26" cm="1">
        <f t="array" ref="BV53">SUM(_xlfn.XLOOKUP($R53:$AK53,增益!$A:$A,增益!$W:$W,0))+$I$5</f>
        <v>0.11</v>
      </c>
    </row>
    <row r="54" spans="1:74">
      <c r="K54" s="38">
        <f t="shared" si="0"/>
        <v>20097.528171041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20462.4868214928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19223.4577866219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12477.1261106664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10714.6538608721</v>
      </c>
      <c r="P54" s="39">
        <v>1</v>
      </c>
      <c r="Q54" s="40" t="s">
        <v>133</v>
      </c>
      <c r="R54" s="40" t="s">
        <v>100</v>
      </c>
      <c r="S54" s="40" t="s">
        <v>158</v>
      </c>
      <c r="T54" s="40" t="s">
        <v>97</v>
      </c>
      <c r="U54" s="40" t="s">
        <v>80</v>
      </c>
      <c r="V54" s="40" t="s">
        <v>73</v>
      </c>
      <c r="W54" s="40" t="s">
        <v>115</v>
      </c>
      <c r="X54" s="40" t="s">
        <v>87</v>
      </c>
      <c r="Y54" s="40" t="s">
        <v>80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81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80</v>
      </c>
      <c r="AL54" t="str">
        <f>VLOOKUP($Q54,武学奇术!$A:$ZZ,25,FALSE)</f>
        <v>鼓</v>
      </c>
      <c r="AM54" s="26">
        <f>VLOOKUP($Q54,武学奇术!$A:$ZZ,26,FALSE)</f>
        <v>0.8434</v>
      </c>
      <c r="AN54" s="27">
        <f>VLOOKUP($Q54,武学奇术!$A:$ZZ,27,FALSE)*(1+IF(OR($AL54=$F$4,$AL54=$F$5),$B$22,0))</f>
        <v>352.5</v>
      </c>
      <c r="AO54" s="26">
        <f>VLOOKUP($Q54,武学奇术!$A:$ZZ,28,FALSE)</f>
        <v>1.265</v>
      </c>
      <c r="AP54" s="27">
        <f>VLOOKUP($Q54,武学奇术!$A:$ZZ,29,FALSE)*(1+IF(OR($AL54=$F$4,$AL54=$F$5),$B$22,0))</f>
        <v>190.5</v>
      </c>
      <c r="AQ54" s="26" cm="1">
        <f t="array" ref="AQ54">$G$3+IFERROR(VLOOKUP($AL54,$F$4:$G$7,2,FALSE),0)+VLOOKUP($Q54,武学奇术!$A:$ZZ,2,FALSE)+SUM(_xlfn.XLOOKUP($R54:$AK54,增益!$A:$A,增益!$B:$B,0))</f>
        <v>0.4241</v>
      </c>
      <c r="AR54" s="26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3611.1</v>
      </c>
      <c r="AT54" cm="1">
        <f t="array" ref="AT54">$E$10*(1+$AR54)+VLOOKUP($Q54,武学奇术!$A:$ZZ,4,FALSE)+SUM(_xlfn.XLOOKUP($R54:$AK54,增益!$A:$A,增益!$D:$D,0))-$I$2</f>
        <v>3611.1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0.257</v>
      </c>
      <c r="AV54" s="32" cm="1">
        <f t="array" ref="AV54">$G$10+VLOOKUP($Q54,武学奇术!$A:$ZZ,7,FALSE)+SUM(_xlfn.XLOOKUP($R54:$AK54,增益!$A:$A,增益!$G:$G,0))</f>
        <v>0.205</v>
      </c>
      <c r="AW54" s="26" cm="1">
        <f t="array" ref="AW54">VLOOKUP($Q54,武学奇术!$A:$ZZ,8,FALSE)+SUM(_xlfn.XLOOKUP($R54:$AK54,增益!$A:$A,增益!$H:$H,0))</f>
        <v>0.12</v>
      </c>
      <c r="AX54">
        <f t="shared" si="1"/>
        <v>0</v>
      </c>
      <c r="AY54">
        <f t="shared" si="2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2" cm="1">
        <f t="array" ref="BA54">$G$11+VLOOKUP($Q54,武学奇术!$A:$ZZ,10,FALSE)+SUM(_xlfn.XLOOKUP($R54:$AK54,增益!$A:$A,增益!$J:$J,0))</f>
        <v>0.06</v>
      </c>
      <c r="BB54">
        <f t="shared" si="3"/>
        <v>0</v>
      </c>
      <c r="BC54">
        <f t="shared" si="4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2" cm="1">
        <f t="array" ref="BE54">$G$12+VLOOKUP($Q54,武学奇术!$A:$ZZ,12,FALSE)+SUM(_xlfn.XLOOKUP($R54:$AK54,增益!$A:$A,增益!$L:$L,0))</f>
        <v>0.06</v>
      </c>
      <c r="BF54">
        <f t="shared" si="5"/>
        <v>639.744</v>
      </c>
      <c r="BG54">
        <f t="shared" si="6"/>
        <v>1823.136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2" cm="1">
        <f t="array" ref="BI54">$G$13+VLOOKUP($Q54,武学奇术!$A:$ZZ,14,FALSE)+SUM(_xlfn.XLOOKUP($R54:$AK54,增益!$A:$A,增益!$N:$N,0))</f>
        <v>0.33</v>
      </c>
      <c r="BJ54">
        <f t="shared" si="7"/>
        <v>0</v>
      </c>
      <c r="BK54">
        <f t="shared" si="8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2" cm="1">
        <f t="array" ref="BM54">$G$14+VLOOKUP($Q54,武学奇术!$A:$ZZ,16,FALSE)+SUM(_xlfn.XLOOKUP($R54:$AK54,增益!$A:$A,增益!$P:$P,0))</f>
        <v>0.06</v>
      </c>
      <c r="BN54" s="26">
        <f>MIN(IF(VLOOKUP($Q54,武学奇术!$A:$ZZ,23,FALSE)=1,100%,$B$8),100%)</f>
        <v>0.9859</v>
      </c>
      <c r="BO54" s="26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6" cm="1">
        <f t="array" ref="BP54">1+$B$13+VLOOKUP($Q54,武学奇术!$A:$ZZ,18,FALSE)+SUM(_xlfn.XLOOKUP($R54:$AK54,增益!$A:$A,增益!$R:$R,0))</f>
        <v>1.64</v>
      </c>
      <c r="BQ54" s="26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6" cm="1">
        <f t="array" ref="BR54">1+$B$14+VLOOKUP($Q54,武学奇术!$A:$ZZ,20,FALSE)+SUM(_xlfn.XLOOKUP($R54:$AK54,增益!$A:$A,增益!$T:$T,0))</f>
        <v>1.35</v>
      </c>
      <c r="BS54" s="26">
        <f t="shared" si="9"/>
        <v>0.87863408</v>
      </c>
      <c r="BT54" s="26">
        <f t="shared" si="10"/>
        <v>0.01567581</v>
      </c>
      <c r="BU54" s="26">
        <f>IF(VLOOKUP($Q54,武学奇术!$A:$ZZ,22,FALSE)=1,0,(1-$BN54))*(1-$BQ54)</f>
        <v>0.01279011</v>
      </c>
      <c r="BV54" s="26" cm="1">
        <f t="array" ref="BV54">SUM(_xlfn.XLOOKUP($R54:$AK54,增益!$A:$A,增益!$W:$W,0))+$I$5</f>
        <v>0.11</v>
      </c>
    </row>
    <row r="55" spans="1:74">
      <c r="K55" s="38">
        <f t="shared" si="0"/>
        <v>30251.3952828899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31310.0883720544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24877.7153804586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16139.2208103373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13850.5043018164</v>
      </c>
      <c r="P55" s="39">
        <v>1</v>
      </c>
      <c r="Q55" s="40" t="s">
        <v>137</v>
      </c>
      <c r="R55" s="40" t="s">
        <v>100</v>
      </c>
      <c r="S55" s="40" t="s">
        <v>158</v>
      </c>
      <c r="T55" s="40" t="s">
        <v>97</v>
      </c>
      <c r="U55" s="40" t="s">
        <v>80</v>
      </c>
      <c r="V55" s="40" t="s">
        <v>73</v>
      </c>
      <c r="W55" s="40" t="s">
        <v>115</v>
      </c>
      <c r="X55" s="40" t="s">
        <v>87</v>
      </c>
      <c r="Y55" s="40" t="s">
        <v>80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81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80</v>
      </c>
      <c r="AL55" t="str">
        <f>VLOOKUP($Q55,武学奇术!$A:$ZZ,25,FALSE)</f>
        <v>鼓</v>
      </c>
      <c r="AM55" s="26">
        <f>VLOOKUP($Q55,武学奇术!$A:$ZZ,26,FALSE)</f>
        <v>1.03936</v>
      </c>
      <c r="AN55" s="27">
        <f>VLOOKUP($Q55,武学奇术!$A:$ZZ,27,FALSE)*(1+IF(OR($AL55=$F$4,$AL55=$F$5),$B$22,0))</f>
        <v>432.6</v>
      </c>
      <c r="AO55" s="26">
        <f>VLOOKUP($Q55,武学奇术!$A:$ZZ,28,FALSE)</f>
        <v>1.55918</v>
      </c>
      <c r="AP55" s="27">
        <f>VLOOKUP($Q55,武学奇术!$A:$ZZ,29,FALSE)*(1+IF(OR($AL55=$F$4,$AL55=$F$5),$B$22,0))</f>
        <v>235.2</v>
      </c>
      <c r="AQ55" s="26" cm="1">
        <f t="array" ref="AQ55">$G$3+IFERROR(VLOOKUP($AL55,$F$4:$G$7,2,FALSE),0)+VLOOKUP($Q55,武学奇术!$A:$ZZ,2,FALSE)+SUM(_xlfn.XLOOKUP($R55:$AK55,增益!$A:$A,增益!$B:$B,0))</f>
        <v>0.4241</v>
      </c>
      <c r="AR55" s="26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3611.1</v>
      </c>
      <c r="AT55" cm="1">
        <f t="array" ref="AT55">$E$10*(1+$AR55)+VLOOKUP($Q55,武学奇术!$A:$ZZ,4,FALSE)+SUM(_xlfn.XLOOKUP($R55:$AK55,增益!$A:$A,增益!$D:$D,0))-$I$2</f>
        <v>3611.1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0.317</v>
      </c>
      <c r="AV55" s="32" cm="1">
        <f t="array" ref="AV55">$G$10+VLOOKUP($Q55,武学奇术!$A:$ZZ,7,FALSE)+SUM(_xlfn.XLOOKUP($R55:$AK55,增益!$A:$A,增益!$G:$G,0))</f>
        <v>0.205</v>
      </c>
      <c r="AW55" s="26" cm="1">
        <f t="array" ref="AW55">VLOOKUP($Q55,武学奇术!$A:$ZZ,8,FALSE)+SUM(_xlfn.XLOOKUP($R55:$AK55,增益!$A:$A,增益!$H:$H,0))</f>
        <v>0.12</v>
      </c>
      <c r="AX55">
        <f t="shared" si="1"/>
        <v>0</v>
      </c>
      <c r="AY55">
        <f t="shared" si="2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2" cm="1">
        <f t="array" ref="BA55">$G$11+VLOOKUP($Q55,武学奇术!$A:$ZZ,10,FALSE)+SUM(_xlfn.XLOOKUP($R55:$AK55,增益!$A:$A,增益!$J:$J,0))</f>
        <v>0.06</v>
      </c>
      <c r="BB55">
        <f t="shared" si="3"/>
        <v>0</v>
      </c>
      <c r="BC55">
        <f t="shared" si="4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2" cm="1">
        <f t="array" ref="BE55">$G$12+VLOOKUP($Q55,武学奇术!$A:$ZZ,12,FALSE)+SUM(_xlfn.XLOOKUP($R55:$AK55,增益!$A:$A,增益!$L:$L,0))</f>
        <v>0.06</v>
      </c>
      <c r="BF55">
        <f t="shared" si="5"/>
        <v>639.744</v>
      </c>
      <c r="BG55">
        <f t="shared" si="6"/>
        <v>1823.136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2" cm="1">
        <f t="array" ref="BI55">$G$13+VLOOKUP($Q55,武学奇术!$A:$ZZ,14,FALSE)+SUM(_xlfn.XLOOKUP($R55:$AK55,增益!$A:$A,增益!$N:$N,0))</f>
        <v>0.33</v>
      </c>
      <c r="BJ55">
        <f t="shared" si="7"/>
        <v>0</v>
      </c>
      <c r="BK55">
        <f t="shared" si="8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2" cm="1">
        <f t="array" ref="BM55">$G$14+VLOOKUP($Q55,武学奇术!$A:$ZZ,16,FALSE)+SUM(_xlfn.XLOOKUP($R55:$AK55,增益!$A:$A,增益!$P:$P,0))</f>
        <v>0.06</v>
      </c>
      <c r="BN55" s="26">
        <f>MIN(IF(VLOOKUP($Q55,武学奇术!$A:$ZZ,23,FALSE)=1,100%,$B$8),100%)</f>
        <v>0.9859</v>
      </c>
      <c r="BO55" s="26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6" cm="1">
        <f t="array" ref="BP55">1+$B$13+VLOOKUP($Q55,武学奇术!$A:$ZZ,18,FALSE)+SUM(_xlfn.XLOOKUP($R55:$AK55,增益!$A:$A,增益!$R:$R,0))</f>
        <v>1.94</v>
      </c>
      <c r="BQ55" s="26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6" cm="1">
        <f t="array" ref="BR55">1+$B$14+VLOOKUP($Q55,武学奇术!$A:$ZZ,20,FALSE)+SUM(_xlfn.XLOOKUP($R55:$AK55,增益!$A:$A,增益!$T:$T,0))</f>
        <v>1.35</v>
      </c>
      <c r="BS55" s="26">
        <f t="shared" si="9"/>
        <v>0.87863408</v>
      </c>
      <c r="BT55" s="26">
        <f t="shared" si="10"/>
        <v>0.01567581</v>
      </c>
      <c r="BU55" s="26">
        <f>IF(VLOOKUP($Q55,武学奇术!$A:$ZZ,22,FALSE)=1,0,(1-$BN55))*(1-$BQ55)</f>
        <v>0.01279011</v>
      </c>
      <c r="BV55" s="26" cm="1">
        <f t="array" ref="BV55">SUM(_xlfn.XLOOKUP($R55:$AK55,增益!$A:$A,增益!$W:$W,0))+$I$5</f>
        <v>0.11</v>
      </c>
    </row>
    <row r="56" spans="1:74">
      <c r="K56" s="38">
        <f t="shared" si="0"/>
        <v>95209.281078525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98542.0012139359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78289.0104881327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50794.8459865649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43597.8323522907</v>
      </c>
      <c r="P56" s="39">
        <v>1</v>
      </c>
      <c r="Q56" s="40" t="s">
        <v>140</v>
      </c>
      <c r="R56" s="40" t="s">
        <v>100</v>
      </c>
      <c r="S56" s="40" t="s">
        <v>158</v>
      </c>
      <c r="T56" s="40" t="s">
        <v>97</v>
      </c>
      <c r="U56" s="40" t="s">
        <v>80</v>
      </c>
      <c r="V56" s="40" t="s">
        <v>73</v>
      </c>
      <c r="W56" s="40" t="s">
        <v>115</v>
      </c>
      <c r="X56" s="40" t="s">
        <v>87</v>
      </c>
      <c r="Y56" s="40" t="s">
        <v>80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81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80</v>
      </c>
      <c r="AL56" t="str">
        <f>VLOOKUP($Q56,武学奇术!$A:$ZZ,25,FALSE)</f>
        <v>鼓</v>
      </c>
      <c r="AM56" s="26">
        <f>VLOOKUP($Q56,武学奇术!$A:$ZZ,26,FALSE)</f>
        <v>3.26858</v>
      </c>
      <c r="AN56" s="27">
        <f>VLOOKUP($Q56,武学奇术!$A:$ZZ,27,FALSE)*(1+IF(OR($AL56=$F$4,$AL56=$F$5),$B$22,0))</f>
        <v>1377.6</v>
      </c>
      <c r="AO56" s="26">
        <f>VLOOKUP($Q56,武学奇术!$A:$ZZ,28,FALSE)</f>
        <v>4.90294</v>
      </c>
      <c r="AP56" s="27">
        <f>VLOOKUP($Q56,武学奇术!$A:$ZZ,29,FALSE)*(1+IF(OR($AL56=$F$4,$AL56=$F$5),$B$22,0))</f>
        <v>739.2</v>
      </c>
      <c r="AQ56" s="26" cm="1">
        <f t="array" ref="AQ56">$G$3+IFERROR(VLOOKUP($AL56,$F$4:$G$7,2,FALSE),0)+VLOOKUP($Q56,武学奇术!$A:$ZZ,2,FALSE)+SUM(_xlfn.XLOOKUP($R56:$AK56,增益!$A:$A,增益!$B:$B,0))</f>
        <v>0.4241</v>
      </c>
      <c r="AR56" s="26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3611.1</v>
      </c>
      <c r="AT56" cm="1">
        <f t="array" ref="AT56">$E$10*(1+$AR56)+VLOOKUP($Q56,武学奇术!$A:$ZZ,4,FALSE)+SUM(_xlfn.XLOOKUP($R56:$AK56,增益!$A:$A,增益!$D:$D,0))-$I$2</f>
        <v>3611.1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0.317</v>
      </c>
      <c r="AV56" s="32" cm="1">
        <f t="array" ref="AV56">$G$10+VLOOKUP($Q56,武学奇术!$A:$ZZ,7,FALSE)+SUM(_xlfn.XLOOKUP($R56:$AK56,增益!$A:$A,增益!$G:$G,0))</f>
        <v>0.205</v>
      </c>
      <c r="AW56" s="26" cm="1">
        <f t="array" ref="AW56">VLOOKUP($Q56,武学奇术!$A:$ZZ,8,FALSE)+SUM(_xlfn.XLOOKUP($R56:$AK56,增益!$A:$A,增益!$H:$H,0))</f>
        <v>0.12</v>
      </c>
      <c r="AX56">
        <f t="shared" si="1"/>
        <v>0</v>
      </c>
      <c r="AY56">
        <f t="shared" si="2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2" cm="1">
        <f t="array" ref="BA56">$G$11+VLOOKUP($Q56,武学奇术!$A:$ZZ,10,FALSE)+SUM(_xlfn.XLOOKUP($R56:$AK56,增益!$A:$A,增益!$J:$J,0))</f>
        <v>0.06</v>
      </c>
      <c r="BB56">
        <f t="shared" si="3"/>
        <v>0</v>
      </c>
      <c r="BC56">
        <f t="shared" si="4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2" cm="1">
        <f t="array" ref="BE56">$G$12+VLOOKUP($Q56,武学奇术!$A:$ZZ,12,FALSE)+SUM(_xlfn.XLOOKUP($R56:$AK56,增益!$A:$A,增益!$L:$L,0))</f>
        <v>0.06</v>
      </c>
      <c r="BF56">
        <f t="shared" si="5"/>
        <v>639.744</v>
      </c>
      <c r="BG56">
        <f t="shared" si="6"/>
        <v>1823.136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2" cm="1">
        <f t="array" ref="BI56">$G$13+VLOOKUP($Q56,武学奇术!$A:$ZZ,14,FALSE)+SUM(_xlfn.XLOOKUP($R56:$AK56,增益!$A:$A,增益!$N:$N,0))</f>
        <v>0.33</v>
      </c>
      <c r="BJ56">
        <f t="shared" si="7"/>
        <v>0</v>
      </c>
      <c r="BK56">
        <f t="shared" si="8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2" cm="1">
        <f t="array" ref="BM56">$G$14+VLOOKUP($Q56,武学奇术!$A:$ZZ,16,FALSE)+SUM(_xlfn.XLOOKUP($R56:$AK56,增益!$A:$A,增益!$P:$P,0))</f>
        <v>0.06</v>
      </c>
      <c r="BN56" s="26">
        <f>MIN(IF(VLOOKUP($Q56,武学奇术!$A:$ZZ,23,FALSE)=1,100%,$B$8),100%)</f>
        <v>0.9859</v>
      </c>
      <c r="BO56" s="26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6" cm="1">
        <f t="array" ref="BP56">1+$B$13+VLOOKUP($Q56,武学奇术!$A:$ZZ,18,FALSE)+SUM(_xlfn.XLOOKUP($R56:$AK56,增益!$A:$A,增益!$R:$R,0))</f>
        <v>1.94</v>
      </c>
      <c r="BQ56" s="26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6" cm="1">
        <f t="array" ref="BR56">1+$B$14+VLOOKUP($Q56,武学奇术!$A:$ZZ,20,FALSE)+SUM(_xlfn.XLOOKUP($R56:$AK56,增益!$A:$A,增益!$T:$T,0))</f>
        <v>1.35</v>
      </c>
      <c r="BS56" s="26">
        <f t="shared" si="9"/>
        <v>0.87863408</v>
      </c>
      <c r="BT56" s="26">
        <f t="shared" si="10"/>
        <v>0.01567581</v>
      </c>
      <c r="BU56" s="26">
        <f>IF(VLOOKUP($Q56,武学奇术!$A:$ZZ,22,FALSE)=1,0,(1-$BN56))*(1-$BQ56)</f>
        <v>0.01279011</v>
      </c>
      <c r="BV56" s="26" cm="1">
        <f t="array" ref="BV56">SUM(_xlfn.XLOOKUP($R56:$AK56,增益!$A:$A,增益!$W:$W,0))+$I$5</f>
        <v>0.11</v>
      </c>
    </row>
    <row r="57" spans="1:74">
      <c r="A57" s="4"/>
      <c r="B57" s="4"/>
      <c r="D57" s="4"/>
      <c r="E57" s="4"/>
      <c r="K57" s="38">
        <f t="shared" si="0"/>
        <v>20097.528171041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20462.4868214928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19223.4577866219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12477.1261106664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10714.6538608721</v>
      </c>
      <c r="P57" s="39">
        <v>1</v>
      </c>
      <c r="Q57" s="40" t="s">
        <v>133</v>
      </c>
      <c r="R57" s="40" t="s">
        <v>100</v>
      </c>
      <c r="S57" s="40" t="s">
        <v>158</v>
      </c>
      <c r="T57" s="40" t="s">
        <v>97</v>
      </c>
      <c r="U57" s="40" t="s">
        <v>80</v>
      </c>
      <c r="V57" s="40" t="s">
        <v>73</v>
      </c>
      <c r="W57" s="40" t="s">
        <v>115</v>
      </c>
      <c r="X57" s="40" t="s">
        <v>87</v>
      </c>
      <c r="Y57" s="40" t="s">
        <v>80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81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80</v>
      </c>
      <c r="AL57" t="str">
        <f>VLOOKUP($Q57,武学奇术!$A:$ZZ,25,FALSE)</f>
        <v>鼓</v>
      </c>
      <c r="AM57" s="26">
        <f>VLOOKUP($Q57,武学奇术!$A:$ZZ,26,FALSE)</f>
        <v>0.8434</v>
      </c>
      <c r="AN57" s="27">
        <f>VLOOKUP($Q57,武学奇术!$A:$ZZ,27,FALSE)*(1+IF(OR($AL57=$F$4,$AL57=$F$5),$B$22,0))</f>
        <v>352.5</v>
      </c>
      <c r="AO57" s="26">
        <f>VLOOKUP($Q57,武学奇术!$A:$ZZ,28,FALSE)</f>
        <v>1.265</v>
      </c>
      <c r="AP57" s="27">
        <f>VLOOKUP($Q57,武学奇术!$A:$ZZ,29,FALSE)*(1+IF(OR($AL57=$F$4,$AL57=$F$5),$B$22,0))</f>
        <v>190.5</v>
      </c>
      <c r="AQ57" s="26" cm="1">
        <f t="array" ref="AQ57">$G$3+IFERROR(VLOOKUP($AL57,$F$4:$G$7,2,FALSE),0)+VLOOKUP($Q57,武学奇术!$A:$ZZ,2,FALSE)+SUM(_xlfn.XLOOKUP($R57:$AK57,增益!$A:$A,增益!$B:$B,0))</f>
        <v>0.4241</v>
      </c>
      <c r="AR57" s="26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3611.1</v>
      </c>
      <c r="AT57" cm="1">
        <f t="array" ref="AT57">$E$10*(1+$AR57)+VLOOKUP($Q57,武学奇术!$A:$ZZ,4,FALSE)+SUM(_xlfn.XLOOKUP($R57:$AK57,增益!$A:$A,增益!$D:$D,0))-$I$2</f>
        <v>3611.1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0.257</v>
      </c>
      <c r="AV57" s="32" cm="1">
        <f t="array" ref="AV57">$G$10+VLOOKUP($Q57,武学奇术!$A:$ZZ,7,FALSE)+SUM(_xlfn.XLOOKUP($R57:$AK57,增益!$A:$A,增益!$G:$G,0))</f>
        <v>0.205</v>
      </c>
      <c r="AW57" s="26" cm="1">
        <f t="array" ref="AW57">VLOOKUP($Q57,武学奇术!$A:$ZZ,8,FALSE)+SUM(_xlfn.XLOOKUP($R57:$AK57,增益!$A:$A,增益!$H:$H,0))</f>
        <v>0.12</v>
      </c>
      <c r="AX57">
        <f t="shared" si="1"/>
        <v>0</v>
      </c>
      <c r="AY57">
        <f t="shared" si="2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2" cm="1">
        <f t="array" ref="BA57">$G$11+VLOOKUP($Q57,武学奇术!$A:$ZZ,10,FALSE)+SUM(_xlfn.XLOOKUP($R57:$AK57,增益!$A:$A,增益!$J:$J,0))</f>
        <v>0.06</v>
      </c>
      <c r="BB57">
        <f t="shared" si="3"/>
        <v>0</v>
      </c>
      <c r="BC57">
        <f t="shared" si="4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2" cm="1">
        <f t="array" ref="BE57">$G$12+VLOOKUP($Q57,武学奇术!$A:$ZZ,12,FALSE)+SUM(_xlfn.XLOOKUP($R57:$AK57,增益!$A:$A,增益!$L:$L,0))</f>
        <v>0.06</v>
      </c>
      <c r="BF57">
        <f t="shared" si="5"/>
        <v>639.744</v>
      </c>
      <c r="BG57">
        <f t="shared" si="6"/>
        <v>1823.136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2" cm="1">
        <f t="array" ref="BI57">$G$13+VLOOKUP($Q57,武学奇术!$A:$ZZ,14,FALSE)+SUM(_xlfn.XLOOKUP($R57:$AK57,增益!$A:$A,增益!$N:$N,0))</f>
        <v>0.33</v>
      </c>
      <c r="BJ57">
        <f t="shared" si="7"/>
        <v>0</v>
      </c>
      <c r="BK57">
        <f t="shared" si="8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2" cm="1">
        <f t="array" ref="BM57">$G$14+VLOOKUP($Q57,武学奇术!$A:$ZZ,16,FALSE)+SUM(_xlfn.XLOOKUP($R57:$AK57,增益!$A:$A,增益!$P:$P,0))</f>
        <v>0.06</v>
      </c>
      <c r="BN57" s="26">
        <f>MIN(IF(VLOOKUP($Q57,武学奇术!$A:$ZZ,23,FALSE)=1,100%,$B$8),100%)</f>
        <v>0.9859</v>
      </c>
      <c r="BO57" s="26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6" cm="1">
        <f t="array" ref="BP57">1+$B$13+VLOOKUP($Q57,武学奇术!$A:$ZZ,18,FALSE)+SUM(_xlfn.XLOOKUP($R57:$AK57,增益!$A:$A,增益!$R:$R,0))</f>
        <v>1.64</v>
      </c>
      <c r="BQ57" s="26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6" cm="1">
        <f t="array" ref="BR57">1+$B$14+VLOOKUP($Q57,武学奇术!$A:$ZZ,20,FALSE)+SUM(_xlfn.XLOOKUP($R57:$AK57,增益!$A:$A,增益!$T:$T,0))</f>
        <v>1.35</v>
      </c>
      <c r="BS57" s="26">
        <f t="shared" si="9"/>
        <v>0.87863408</v>
      </c>
      <c r="BT57" s="26">
        <f t="shared" si="10"/>
        <v>0.01567581</v>
      </c>
      <c r="BU57" s="26">
        <f>IF(VLOOKUP($Q57,武学奇术!$A:$ZZ,22,FALSE)=1,0,(1-$BN57))*(1-$BQ57)</f>
        <v>0.01279011</v>
      </c>
      <c r="BV57" s="26" cm="1">
        <f t="array" ref="BV57">SUM(_xlfn.XLOOKUP($R57:$AK57,增益!$A:$A,增益!$W:$W,0))+$I$5</f>
        <v>0.11</v>
      </c>
    </row>
    <row r="58" spans="1:74">
      <c r="K58" s="38">
        <f t="shared" si="0"/>
        <v>30251.3952828899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31310.0883720544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24877.7153804586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16139.2208103373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13850.5043018164</v>
      </c>
      <c r="P58" s="39">
        <v>1</v>
      </c>
      <c r="Q58" s="40" t="s">
        <v>137</v>
      </c>
      <c r="R58" s="40" t="s">
        <v>100</v>
      </c>
      <c r="S58" s="40" t="s">
        <v>158</v>
      </c>
      <c r="T58" s="40" t="s">
        <v>97</v>
      </c>
      <c r="U58" s="40" t="s">
        <v>80</v>
      </c>
      <c r="V58" s="40" t="s">
        <v>73</v>
      </c>
      <c r="W58" s="40" t="s">
        <v>115</v>
      </c>
      <c r="X58" s="40" t="s">
        <v>87</v>
      </c>
      <c r="Y58" s="40" t="s">
        <v>80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81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80</v>
      </c>
      <c r="AL58" t="str">
        <f>VLOOKUP($Q58,武学奇术!$A:$ZZ,25,FALSE)</f>
        <v>鼓</v>
      </c>
      <c r="AM58" s="26">
        <f>VLOOKUP($Q58,武学奇术!$A:$ZZ,26,FALSE)</f>
        <v>1.03936</v>
      </c>
      <c r="AN58" s="27">
        <f>VLOOKUP($Q58,武学奇术!$A:$ZZ,27,FALSE)*(1+IF(OR($AL58=$F$4,$AL58=$F$5),$B$22,0))</f>
        <v>432.6</v>
      </c>
      <c r="AO58" s="26">
        <f>VLOOKUP($Q58,武学奇术!$A:$ZZ,28,FALSE)</f>
        <v>1.55918</v>
      </c>
      <c r="AP58" s="27">
        <f>VLOOKUP($Q58,武学奇术!$A:$ZZ,29,FALSE)*(1+IF(OR($AL58=$F$4,$AL58=$F$5),$B$22,0))</f>
        <v>235.2</v>
      </c>
      <c r="AQ58" s="26" cm="1">
        <f t="array" ref="AQ58">$G$3+IFERROR(VLOOKUP($AL58,$F$4:$G$7,2,FALSE),0)+VLOOKUP($Q58,武学奇术!$A:$ZZ,2,FALSE)+SUM(_xlfn.XLOOKUP($R58:$AK58,增益!$A:$A,增益!$B:$B,0))</f>
        <v>0.4241</v>
      </c>
      <c r="AR58" s="26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3611.1</v>
      </c>
      <c r="AT58" cm="1">
        <f t="array" ref="AT58">$E$10*(1+$AR58)+VLOOKUP($Q58,武学奇术!$A:$ZZ,4,FALSE)+SUM(_xlfn.XLOOKUP($R58:$AK58,增益!$A:$A,增益!$D:$D,0))-$I$2</f>
        <v>3611.1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0.317</v>
      </c>
      <c r="AV58" s="32" cm="1">
        <f t="array" ref="AV58">$G$10+VLOOKUP($Q58,武学奇术!$A:$ZZ,7,FALSE)+SUM(_xlfn.XLOOKUP($R58:$AK58,增益!$A:$A,增益!$G:$G,0))</f>
        <v>0.205</v>
      </c>
      <c r="AW58" s="26" cm="1">
        <f t="array" ref="AW58">VLOOKUP($Q58,武学奇术!$A:$ZZ,8,FALSE)+SUM(_xlfn.XLOOKUP($R58:$AK58,增益!$A:$A,增益!$H:$H,0))</f>
        <v>0.12</v>
      </c>
      <c r="AX58">
        <f t="shared" si="1"/>
        <v>0</v>
      </c>
      <c r="AY58">
        <f t="shared" si="2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2" cm="1">
        <f t="array" ref="BA58">$G$11+VLOOKUP($Q58,武学奇术!$A:$ZZ,10,FALSE)+SUM(_xlfn.XLOOKUP($R58:$AK58,增益!$A:$A,增益!$J:$J,0))</f>
        <v>0.06</v>
      </c>
      <c r="BB58">
        <f t="shared" si="3"/>
        <v>0</v>
      </c>
      <c r="BC58">
        <f t="shared" si="4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2" cm="1">
        <f t="array" ref="BE58">$G$12+VLOOKUP($Q58,武学奇术!$A:$ZZ,12,FALSE)+SUM(_xlfn.XLOOKUP($R58:$AK58,增益!$A:$A,增益!$L:$L,0))</f>
        <v>0.06</v>
      </c>
      <c r="BF58">
        <f t="shared" si="5"/>
        <v>639.744</v>
      </c>
      <c r="BG58">
        <f t="shared" si="6"/>
        <v>1823.136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2" cm="1">
        <f t="array" ref="BI58">$G$13+VLOOKUP($Q58,武学奇术!$A:$ZZ,14,FALSE)+SUM(_xlfn.XLOOKUP($R58:$AK58,增益!$A:$A,增益!$N:$N,0))</f>
        <v>0.33</v>
      </c>
      <c r="BJ58">
        <f t="shared" si="7"/>
        <v>0</v>
      </c>
      <c r="BK58">
        <f t="shared" si="8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2" cm="1">
        <f t="array" ref="BM58">$G$14+VLOOKUP($Q58,武学奇术!$A:$ZZ,16,FALSE)+SUM(_xlfn.XLOOKUP($R58:$AK58,增益!$A:$A,增益!$P:$P,0))</f>
        <v>0.06</v>
      </c>
      <c r="BN58" s="26">
        <f>MIN(IF(VLOOKUP($Q58,武学奇术!$A:$ZZ,23,FALSE)=1,100%,$B$8),100%)</f>
        <v>0.9859</v>
      </c>
      <c r="BO58" s="26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6" cm="1">
        <f t="array" ref="BP58">1+$B$13+VLOOKUP($Q58,武学奇术!$A:$ZZ,18,FALSE)+SUM(_xlfn.XLOOKUP($R58:$AK58,增益!$A:$A,增益!$R:$R,0))</f>
        <v>1.94</v>
      </c>
      <c r="BQ58" s="26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6" cm="1">
        <f t="array" ref="BR58">1+$B$14+VLOOKUP($Q58,武学奇术!$A:$ZZ,20,FALSE)+SUM(_xlfn.XLOOKUP($R58:$AK58,增益!$A:$A,增益!$T:$T,0))</f>
        <v>1.35</v>
      </c>
      <c r="BS58" s="26">
        <f t="shared" si="9"/>
        <v>0.87863408</v>
      </c>
      <c r="BT58" s="26">
        <f t="shared" si="10"/>
        <v>0.01567581</v>
      </c>
      <c r="BU58" s="26">
        <f>IF(VLOOKUP($Q58,武学奇术!$A:$ZZ,22,FALSE)=1,0,(1-$BN58))*(1-$BQ58)</f>
        <v>0.01279011</v>
      </c>
      <c r="BV58" s="26" cm="1">
        <f t="array" ref="BV58">SUM(_xlfn.XLOOKUP($R58:$AK58,增益!$A:$A,增益!$W:$W,0))+$I$5</f>
        <v>0.11</v>
      </c>
    </row>
    <row r="59" spans="1:74">
      <c r="K59" s="38">
        <f t="shared" si="0"/>
        <v>92920.5316657413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96210.1609928408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76007.6284468704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49592.866491155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42883.7859846283</v>
      </c>
      <c r="P59" s="39">
        <v>1</v>
      </c>
      <c r="Q59" s="40" t="s">
        <v>140</v>
      </c>
      <c r="R59" s="40" t="s">
        <v>100</v>
      </c>
      <c r="S59" s="40" t="s">
        <v>158</v>
      </c>
      <c r="T59" s="40" t="s">
        <v>97</v>
      </c>
      <c r="U59" s="40" t="s">
        <v>80</v>
      </c>
      <c r="V59" s="40" t="s">
        <v>73</v>
      </c>
      <c r="W59" s="40" t="s">
        <v>115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81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80</v>
      </c>
      <c r="AL59" t="str">
        <f>VLOOKUP($Q59,武学奇术!$A:$ZZ,25,FALSE)</f>
        <v>鼓</v>
      </c>
      <c r="AM59" s="26">
        <f>VLOOKUP($Q59,武学奇术!$A:$ZZ,26,FALSE)</f>
        <v>3.26858</v>
      </c>
      <c r="AN59" s="27">
        <f>VLOOKUP($Q59,武学奇术!$A:$ZZ,27,FALSE)*(1+IF(OR($AL59=$F$4,$AL59=$F$5),$B$22,0))</f>
        <v>1377.6</v>
      </c>
      <c r="AO59" s="26">
        <f>VLOOKUP($Q59,武学奇术!$A:$ZZ,28,FALSE)</f>
        <v>4.90294</v>
      </c>
      <c r="AP59" s="27">
        <f>VLOOKUP($Q59,武学奇术!$A:$ZZ,29,FALSE)*(1+IF(OR($AL59=$F$4,$AL59=$F$5),$B$22,0))</f>
        <v>739.2</v>
      </c>
      <c r="AQ59" s="26" cm="1">
        <f t="array" ref="AQ59">$G$3+IFERROR(VLOOKUP($AL59,$F$4:$G$7,2,FALSE),0)+VLOOKUP($Q59,武学奇术!$A:$ZZ,2,FALSE)+SUM(_xlfn.XLOOKUP($R59:$AK59,增益!$A:$A,增益!$B:$B,0))</f>
        <v>0.4241</v>
      </c>
      <c r="AR59" s="26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3611.1</v>
      </c>
      <c r="AT59" cm="1">
        <f t="array" ref="AT59">$E$10*(1+$AR59)+VLOOKUP($Q59,武学奇术!$A:$ZZ,4,FALSE)+SUM(_xlfn.XLOOKUP($R59:$AK59,增益!$A:$A,增益!$D:$D,0))-$I$2</f>
        <v>3611.1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0.317</v>
      </c>
      <c r="AV59" s="32" cm="1">
        <f t="array" ref="AV59">$G$10+VLOOKUP($Q59,武学奇术!$A:$ZZ,7,FALSE)+SUM(_xlfn.XLOOKUP($R59:$AK59,增益!$A:$A,增益!$G:$G,0))</f>
        <v>0.205</v>
      </c>
      <c r="AW59" s="26" cm="1">
        <f t="array" ref="AW59">VLOOKUP($Q59,武学奇术!$A:$ZZ,8,FALSE)+SUM(_xlfn.XLOOKUP($R59:$AK59,增益!$A:$A,增益!$H:$H,0))</f>
        <v>0.12</v>
      </c>
      <c r="AX59">
        <f t="shared" si="1"/>
        <v>0</v>
      </c>
      <c r="AY59">
        <f t="shared" si="2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2" cm="1">
        <f t="array" ref="BA59">$G$11+VLOOKUP($Q59,武学奇术!$A:$ZZ,10,FALSE)+SUM(_xlfn.XLOOKUP($R59:$AK59,增益!$A:$A,增益!$J:$J,0))</f>
        <v>0.06</v>
      </c>
      <c r="BB59">
        <f t="shared" si="3"/>
        <v>0</v>
      </c>
      <c r="BC59">
        <f t="shared" si="4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2" cm="1">
        <f t="array" ref="BE59">$G$12+VLOOKUP($Q59,武学奇术!$A:$ZZ,12,FALSE)+SUM(_xlfn.XLOOKUP($R59:$AK59,增益!$A:$A,增益!$L:$L,0))</f>
        <v>0.06</v>
      </c>
      <c r="BF59">
        <f t="shared" si="5"/>
        <v>639.744</v>
      </c>
      <c r="BG59">
        <f t="shared" si="6"/>
        <v>1823.136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2" cm="1">
        <f t="array" ref="BI59">$G$13+VLOOKUP($Q59,武学奇术!$A:$ZZ,14,FALSE)+SUM(_xlfn.XLOOKUP($R59:$AK59,增益!$A:$A,增益!$N:$N,0))</f>
        <v>0.33</v>
      </c>
      <c r="BJ59">
        <f t="shared" si="7"/>
        <v>0</v>
      </c>
      <c r="BK59">
        <f t="shared" si="8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2" cm="1">
        <f t="array" ref="BM59">$G$14+VLOOKUP($Q59,武学奇术!$A:$ZZ,16,FALSE)+SUM(_xlfn.XLOOKUP($R59:$AK59,增益!$A:$A,增益!$P:$P,0))</f>
        <v>0.06</v>
      </c>
      <c r="BN59" s="26">
        <f>MIN(IF(VLOOKUP($Q59,武学奇术!$A:$ZZ,23,FALSE)=1,100%,$B$8),100%)</f>
        <v>0.9859</v>
      </c>
      <c r="BO59" s="26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6" cm="1">
        <f t="array" ref="BP59">1+$B$13+VLOOKUP($Q59,武学奇术!$A:$ZZ,18,FALSE)+SUM(_xlfn.XLOOKUP($R59:$AK59,增益!$A:$A,增益!$R:$R,0))</f>
        <v>1.94</v>
      </c>
      <c r="BQ59" s="26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6" cm="1">
        <f t="array" ref="BR59">1+$B$14+VLOOKUP($Q59,武学奇术!$A:$ZZ,20,FALSE)+SUM(_xlfn.XLOOKUP($R59:$AK59,增益!$A:$A,增益!$T:$T,0))</f>
        <v>1.35</v>
      </c>
      <c r="BS59" s="26">
        <f t="shared" si="9"/>
        <v>0.87863408</v>
      </c>
      <c r="BT59" s="26">
        <f t="shared" si="10"/>
        <v>0.01567581</v>
      </c>
      <c r="BU59" s="26">
        <f>IF(VLOOKUP($Q59,武学奇术!$A:$ZZ,22,FALSE)=1,0,(1-$BN59))*(1-$BQ59)</f>
        <v>0.01279011</v>
      </c>
      <c r="BV59" s="26" cm="1">
        <f t="array" ref="BV59">SUM(_xlfn.XLOOKUP($R59:$AK59,增益!$A:$A,增益!$W:$W,0))+$I$5</f>
        <v>0.11</v>
      </c>
    </row>
    <row r="60" spans="1:74">
      <c r="K60" s="38">
        <f t="shared" si="0"/>
        <v>0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9">
        <v>1</v>
      </c>
      <c r="Q60" s="40" t="s">
        <v>80</v>
      </c>
      <c r="R60" s="40" t="s">
        <v>80</v>
      </c>
      <c r="S60" s="40" t="s">
        <v>80</v>
      </c>
      <c r="T60" s="40" t="s">
        <v>80</v>
      </c>
      <c r="U60" s="40" t="s">
        <v>80</v>
      </c>
      <c r="V60" s="40" t="s">
        <v>80</v>
      </c>
      <c r="W60" s="40" t="s">
        <v>80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81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80</v>
      </c>
      <c r="AL60" t="str">
        <f>VLOOKUP($Q60,武学奇术!$A:$ZZ,25,FALSE)</f>
        <v>心法</v>
      </c>
      <c r="AM60" s="26">
        <f>VLOOKUP($Q60,武学奇术!$A:$ZZ,26,FALSE)</f>
        <v>0</v>
      </c>
      <c r="AN60" s="27">
        <f>VLOOKUP($Q60,武学奇术!$A:$ZZ,27,FALSE)*(1+IF(OR($AL60=$F$4,$AL60=$F$5),$B$22,0))</f>
        <v>0</v>
      </c>
      <c r="AO60" s="26">
        <f>VLOOKUP($Q60,武学奇术!$A:$ZZ,28,FALSE)</f>
        <v>0</v>
      </c>
      <c r="AP60" s="27">
        <f>VLOOKUP($Q60,武学奇术!$A:$ZZ,29,FALSE)*(1+IF(OR($AL60=$F$4,$AL60=$F$5),$B$22,0))</f>
        <v>0</v>
      </c>
      <c r="AQ60" s="26" cm="1">
        <f t="array" ref="AQ60">$G$3+IFERROR(VLOOKUP($AL60,$F$4:$G$7,2,FALSE),0)+VLOOKUP($Q60,武学奇术!$A:$ZZ,2,FALSE)+SUM(_xlfn.XLOOKUP($R60:$AK60,增益!$A:$A,增益!$B:$B,0))</f>
        <v>0.1037</v>
      </c>
      <c r="AR60" s="26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3611.1</v>
      </c>
      <c r="AT60" cm="1">
        <f t="array" ref="AT60">$E$10*(1+$AR60)+VLOOKUP($Q60,武学奇术!$A:$ZZ,4,FALSE)+SUM(_xlfn.XLOOKUP($R60:$AK60,增益!$A:$A,增益!$D:$D,0))-$I$2</f>
        <v>3611.1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0.167</v>
      </c>
      <c r="AV60" s="32" cm="1">
        <f t="array" ref="AV60">$G$10+VLOOKUP($Q60,武学奇术!$A:$ZZ,7,FALSE)+SUM(_xlfn.XLOOKUP($R60:$AK60,增益!$A:$A,增益!$G:$G,0))</f>
        <v>0.025</v>
      </c>
      <c r="AW60" s="26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3"/>
        <v>0</v>
      </c>
      <c r="BC60">
        <f t="shared" si="4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5"/>
        <v>571.2</v>
      </c>
      <c r="BG60">
        <f t="shared" si="6"/>
        <v>1627.8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7"/>
        <v>0</v>
      </c>
      <c r="BK60">
        <f t="shared" si="8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6">
        <f>MIN(IF(VLOOKUP($Q60,武学奇术!$A:$ZZ,23,FALSE)=1,100%,$B$8),100%)</f>
        <v>0.9859</v>
      </c>
      <c r="BO60" s="26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6" cm="1">
        <f t="array" ref="BP60">1+$B$13+VLOOKUP($Q60,武学奇术!$A:$ZZ,18,FALSE)+SUM(_xlfn.XLOOKUP($R60:$AK60,增益!$A:$A,增益!$R:$R,0))</f>
        <v>1.54</v>
      </c>
      <c r="BQ60" s="26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6" cm="1">
        <f t="array" ref="BR60">1+$B$14+VLOOKUP($Q60,武学奇术!$A:$ZZ,20,FALSE)+SUM(_xlfn.XLOOKUP($R60:$AK60,增益!$A:$A,增益!$T:$T,0))</f>
        <v>1.35</v>
      </c>
      <c r="BS60" s="26">
        <f t="shared" si="9"/>
        <v>0.87863408</v>
      </c>
      <c r="BT60" s="26">
        <f t="shared" si="10"/>
        <v>0.01567581</v>
      </c>
      <c r="BU60" s="26">
        <f>IF(VLOOKUP($Q60,武学奇术!$A:$ZZ,22,FALSE)=1,0,(1-$BN60))*(1-$BQ60)</f>
        <v>0.01279011</v>
      </c>
      <c r="BV60" s="26" cm="1">
        <f t="array" ref="BV60">SUM(_xlfn.XLOOKUP($R60:$AK60,增益!$A:$A,增益!$W:$W,0))+$I$5</f>
        <v>0.11</v>
      </c>
    </row>
    <row r="61" spans="1:74">
      <c r="A61" s="4"/>
      <c r="B61" s="4"/>
      <c r="K61" s="38">
        <f t="shared" si="0"/>
        <v>16887.8913197277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17198.5772611131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16109.9455145103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10486.9373543373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9040.58173496321</v>
      </c>
      <c r="P61" s="39">
        <v>1</v>
      </c>
      <c r="Q61" s="40" t="s">
        <v>104</v>
      </c>
      <c r="R61" s="40" t="s">
        <v>76</v>
      </c>
      <c r="S61" s="40" t="s">
        <v>158</v>
      </c>
      <c r="T61" s="40" t="s">
        <v>97</v>
      </c>
      <c r="U61" s="40" t="s">
        <v>80</v>
      </c>
      <c r="V61" s="40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81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80</v>
      </c>
      <c r="AL61" t="str">
        <f>VLOOKUP($Q61,武学奇术!$A:$ZZ,25,FALSE)</f>
        <v>扇</v>
      </c>
      <c r="AM61" s="26">
        <f>VLOOKUP($Q61,武学奇术!$A:$ZZ,26,FALSE)</f>
        <v>0.9271</v>
      </c>
      <c r="AN61" s="27">
        <f>VLOOKUP($Q61,武学奇术!$A:$ZZ,27,FALSE)*(1+IF(OR($AL61=$F$4,$AL61=$F$5),$B$22,0))</f>
        <v>385.5</v>
      </c>
      <c r="AO61" s="26">
        <f>VLOOKUP($Q61,武学奇术!$A:$ZZ,28,FALSE)</f>
        <v>1.3907</v>
      </c>
      <c r="AP61" s="27">
        <f>VLOOKUP($Q61,武学奇术!$A:$ZZ,29,FALSE)*(1+IF(OR($AL61=$F$4,$AL61=$F$5),$B$22,0))</f>
        <v>210</v>
      </c>
      <c r="AQ61" s="26" cm="1">
        <f t="array" ref="AQ61">$G$3+IFERROR(VLOOKUP($AL61,$F$4:$G$7,2,FALSE),0)+VLOOKUP($Q61,武学奇术!$A:$ZZ,2,FALSE)+SUM(_xlfn.XLOOKUP($R61:$AK61,增益!$A:$A,增益!$B:$B,0))</f>
        <v>0.1989</v>
      </c>
      <c r="AR61" s="26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3611.1</v>
      </c>
      <c r="AT61" cm="1">
        <f t="array" ref="AT61">$E$10*(1+$AR61)+VLOOKUP($Q61,武学奇术!$A:$ZZ,4,FALSE)+SUM(_xlfn.XLOOKUP($R61:$AK61,增益!$A:$A,增益!$D:$D,0))-$I$2</f>
        <v>3611.1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0.217</v>
      </c>
      <c r="AV61" s="32" cm="1">
        <f t="array" ref="AV61">$G$10+VLOOKUP($Q61,武学奇术!$A:$ZZ,7,FALSE)+SUM(_xlfn.XLOOKUP($R61:$AK61,增益!$A:$A,增益!$G:$G,0))</f>
        <v>0.145</v>
      </c>
      <c r="AW61" s="26" cm="1">
        <f t="array" ref="AW61">VLOOKUP($Q61,武学奇术!$A:$ZZ,8,FALSE)+SUM(_xlfn.XLOOKUP($R61:$AK61,增益!$A:$A,增益!$H:$H,0))</f>
        <v>0.12</v>
      </c>
      <c r="AX61">
        <f t="shared" si="1"/>
        <v>0</v>
      </c>
      <c r="AY61">
        <f t="shared" si="2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2" cm="1">
        <f t="array" ref="BA61">$G$11+VLOOKUP($Q61,武学奇术!$A:$ZZ,10,FALSE)+SUM(_xlfn.XLOOKUP($R61:$AK61,增益!$A:$A,增益!$J:$J,0))</f>
        <v>0</v>
      </c>
      <c r="BB61">
        <f t="shared" si="3"/>
        <v>0</v>
      </c>
      <c r="BC61">
        <f t="shared" si="4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2" cm="1">
        <f t="array" ref="BE61">$G$12+VLOOKUP($Q61,武学奇术!$A:$ZZ,12,FALSE)+SUM(_xlfn.XLOOKUP($R61:$AK61,增益!$A:$A,增益!$L:$L,0))</f>
        <v>0</v>
      </c>
      <c r="BF61">
        <f t="shared" si="5"/>
        <v>639.744</v>
      </c>
      <c r="BG61">
        <f t="shared" si="6"/>
        <v>1823.136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2" cm="1">
        <f t="array" ref="BI61">$G$13+VLOOKUP($Q61,武学奇术!$A:$ZZ,14,FALSE)+SUM(_xlfn.XLOOKUP($R61:$AK61,增益!$A:$A,增益!$N:$N,0))</f>
        <v>0.27</v>
      </c>
      <c r="BJ61">
        <f t="shared" si="7"/>
        <v>0</v>
      </c>
      <c r="BK61">
        <f t="shared" si="8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2" cm="1">
        <f t="array" ref="BM61">$G$14+VLOOKUP($Q61,武学奇术!$A:$ZZ,16,FALSE)+SUM(_xlfn.XLOOKUP($R61:$AK61,增益!$A:$A,增益!$P:$P,0))</f>
        <v>0</v>
      </c>
      <c r="BN61" s="26">
        <f>MIN(IF(VLOOKUP($Q61,武学奇术!$A:$ZZ,23,FALSE)=1,100%,$B$8),100%)</f>
        <v>0.9859</v>
      </c>
      <c r="BO61" s="26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6" cm="1">
        <f t="array" ref="BP61">1+$B$13+VLOOKUP($Q61,武学奇术!$A:$ZZ,18,FALSE)+SUM(_xlfn.XLOOKUP($R61:$AK61,增益!$A:$A,增益!$R:$R,0))</f>
        <v>1.64</v>
      </c>
      <c r="BQ61" s="26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6" cm="1">
        <f t="array" ref="BR61">1+$B$14+VLOOKUP($Q61,武学奇术!$A:$ZZ,20,FALSE)+SUM(_xlfn.XLOOKUP($R61:$AK61,增益!$A:$A,增益!$T:$T,0))</f>
        <v>1.35</v>
      </c>
      <c r="BS61" s="26">
        <f t="shared" si="9"/>
        <v>0.87863408</v>
      </c>
      <c r="BT61" s="26">
        <f t="shared" si="10"/>
        <v>0.01567581</v>
      </c>
      <c r="BU61" s="26">
        <f>IF(VLOOKUP($Q61,武学奇术!$A:$ZZ,22,FALSE)=1,0,(1-$BN61))*(1-$BQ61)</f>
        <v>0.01279011</v>
      </c>
      <c r="BV61" s="26" cm="1">
        <f t="array" ref="BV61">SUM(_xlfn.XLOOKUP($R61:$AK61,增益!$A:$A,增益!$W:$W,0))+$I$5</f>
        <v>0.11</v>
      </c>
    </row>
    <row r="62" spans="1:74">
      <c r="K62" s="38">
        <f t="shared" si="0"/>
        <v>79446.6375127413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80871.9241389157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76180.0542564559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49312.1488651925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42194.6279107881</v>
      </c>
      <c r="P62" s="39">
        <v>1</v>
      </c>
      <c r="Q62" s="40" t="s">
        <v>108</v>
      </c>
      <c r="R62" s="40" t="s">
        <v>76</v>
      </c>
      <c r="S62" s="40" t="s">
        <v>158</v>
      </c>
      <c r="T62" s="40" t="s">
        <v>97</v>
      </c>
      <c r="U62" s="40" t="s">
        <v>80</v>
      </c>
      <c r="V62" s="40" t="s">
        <v>73</v>
      </c>
      <c r="W62" s="40" t="s">
        <v>80</v>
      </c>
      <c r="X62" s="40" t="s">
        <v>87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81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80</v>
      </c>
      <c r="AL62" t="str">
        <f>VLOOKUP($Q62,武学奇术!$A:$ZZ,25,FALSE)</f>
        <v>扇</v>
      </c>
      <c r="AM62" s="26">
        <f>VLOOKUP($Q62,武学奇术!$A:$ZZ,26,FALSE)</f>
        <v>4.045375</v>
      </c>
      <c r="AN62" s="27">
        <f>VLOOKUP($Q62,武学奇术!$A:$ZZ,27,FALSE)*(1+IF(OR($AL62=$F$4,$AL62=$F$5),$B$22,0))</f>
        <v>1678.125</v>
      </c>
      <c r="AO62" s="26">
        <f>VLOOKUP($Q62,武学奇术!$A:$ZZ,28,FALSE)</f>
        <v>6.068125</v>
      </c>
      <c r="AP62" s="27">
        <f>VLOOKUP($Q62,武学奇术!$A:$ZZ,29,FALSE)*(1+IF(OR($AL62=$F$4,$AL62=$F$5),$B$22,0))</f>
        <v>913.125</v>
      </c>
      <c r="AQ62" s="26" cm="1">
        <f t="array" ref="AQ62">$G$3+IFERROR(VLOOKUP($AL62,$F$4:$G$7,2,FALSE),0)+VLOOKUP($Q62,武学奇术!$A:$ZZ,2,FALSE)+SUM(_xlfn.XLOOKUP($R62:$AK62,增益!$A:$A,增益!$B:$B,0))</f>
        <v>0.1989</v>
      </c>
      <c r="AR62" s="26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3611.1</v>
      </c>
      <c r="AT62" cm="1">
        <f t="array" ref="AT62">$E$10*(1+$AR62)+VLOOKUP($Q62,武学奇术!$A:$ZZ,4,FALSE)+SUM(_xlfn.XLOOKUP($R62:$AK62,增益!$A:$A,增益!$D:$D,0))-$I$2</f>
        <v>3611.1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0.217</v>
      </c>
      <c r="AV62" s="32" cm="1">
        <f t="array" ref="AV62">$G$10+VLOOKUP($Q62,武学奇术!$A:$ZZ,7,FALSE)+SUM(_xlfn.XLOOKUP($R62:$AK62,增益!$A:$A,增益!$G:$G,0))</f>
        <v>0.205</v>
      </c>
      <c r="AW62" s="26" cm="1">
        <f t="array" ref="AW62">VLOOKUP($Q62,武学奇术!$A:$ZZ,8,FALSE)+SUM(_xlfn.XLOOKUP($R62:$AK62,增益!$A:$A,增益!$H:$H,0))</f>
        <v>0.12</v>
      </c>
      <c r="AX62">
        <f t="shared" si="1"/>
        <v>0</v>
      </c>
      <c r="AY62">
        <f t="shared" si="2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2" cm="1">
        <f t="array" ref="BA62">$G$11+VLOOKUP($Q62,武学奇术!$A:$ZZ,10,FALSE)+SUM(_xlfn.XLOOKUP($R62:$AK62,增益!$A:$A,增益!$J:$J,0))</f>
        <v>0.06</v>
      </c>
      <c r="BB62">
        <f t="shared" si="3"/>
        <v>0</v>
      </c>
      <c r="BC62">
        <f t="shared" si="4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2" cm="1">
        <f t="array" ref="BE62">$G$12+VLOOKUP($Q62,武学奇术!$A:$ZZ,12,FALSE)+SUM(_xlfn.XLOOKUP($R62:$AK62,增益!$A:$A,增益!$L:$L,0))</f>
        <v>0.06</v>
      </c>
      <c r="BF62">
        <f t="shared" si="5"/>
        <v>639.744</v>
      </c>
      <c r="BG62">
        <f t="shared" si="6"/>
        <v>1823.136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2" cm="1">
        <f t="array" ref="BI62">$G$13+VLOOKUP($Q62,武学奇术!$A:$ZZ,14,FALSE)+SUM(_xlfn.XLOOKUP($R62:$AK62,增益!$A:$A,增益!$N:$N,0))</f>
        <v>0.33</v>
      </c>
      <c r="BJ62">
        <f t="shared" si="7"/>
        <v>0</v>
      </c>
      <c r="BK62">
        <f t="shared" si="8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2" cm="1">
        <f t="array" ref="BM62">$G$14+VLOOKUP($Q62,武学奇术!$A:$ZZ,16,FALSE)+SUM(_xlfn.XLOOKUP($R62:$AK62,增益!$A:$A,增益!$P:$P,0))</f>
        <v>0.06</v>
      </c>
      <c r="BN62" s="26">
        <f>MIN(IF(VLOOKUP($Q62,武学奇术!$A:$ZZ,23,FALSE)=1,100%,$B$8),100%)</f>
        <v>0.9859</v>
      </c>
      <c r="BO62" s="26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6" cm="1">
        <f t="array" ref="BP62">1+$B$13+VLOOKUP($Q62,武学奇术!$A:$ZZ,18,FALSE)+SUM(_xlfn.XLOOKUP($R62:$AK62,增益!$A:$A,增益!$R:$R,0))</f>
        <v>1.64</v>
      </c>
      <c r="BQ62" s="26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6" cm="1">
        <f t="array" ref="BR62">1+$B$14+VLOOKUP($Q62,武学奇术!$A:$ZZ,20,FALSE)+SUM(_xlfn.XLOOKUP($R62:$AK62,增益!$A:$A,增益!$T:$T,0))</f>
        <v>1.35</v>
      </c>
      <c r="BS62" s="26">
        <f t="shared" si="9"/>
        <v>0.87863408</v>
      </c>
      <c r="BT62" s="26">
        <f t="shared" si="10"/>
        <v>0.01567581</v>
      </c>
      <c r="BU62" s="26">
        <f>IF(VLOOKUP($Q62,武学奇术!$A:$ZZ,22,FALSE)=1,0,(1-$BN62))*(1-$BQ62)</f>
        <v>0.01279011</v>
      </c>
      <c r="BV62" s="26" cm="1">
        <f t="array" ref="BV62">SUM(_xlfn.XLOOKUP($R62:$AK62,增益!$A:$A,增益!$W:$W,0))+$I$5</f>
        <v>0.11</v>
      </c>
    </row>
    <row r="63" spans="1:74">
      <c r="K63" s="38">
        <f t="shared" si="0"/>
        <v>22821.6175190902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23232.2542013996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21870.1285726908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14166.00865939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12131.9220797498</v>
      </c>
      <c r="P63" s="39">
        <v>1</v>
      </c>
      <c r="Q63" s="40" t="s">
        <v>110</v>
      </c>
      <c r="R63" s="40" t="s">
        <v>85</v>
      </c>
      <c r="S63" s="40" t="s">
        <v>158</v>
      </c>
      <c r="T63" s="40" t="s">
        <v>97</v>
      </c>
      <c r="U63" s="40" t="s">
        <v>80</v>
      </c>
      <c r="V63" s="40" t="s">
        <v>73</v>
      </c>
      <c r="W63" s="40" t="s">
        <v>115</v>
      </c>
      <c r="X63" s="40" t="s">
        <v>87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81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80</v>
      </c>
      <c r="AL63" t="str">
        <f>VLOOKUP($Q63,武学奇术!$A:$ZZ,25,FALSE)</f>
        <v>扇</v>
      </c>
      <c r="AM63" s="26">
        <f>VLOOKUP($Q63,武学奇术!$A:$ZZ,26,FALSE)</f>
        <v>0.9186</v>
      </c>
      <c r="AN63" s="27">
        <f>VLOOKUP($Q63,武学奇术!$A:$ZZ,27,FALSE)*(1+IF(OR($AL63=$F$4,$AL63=$F$5),$B$22,0))</f>
        <v>381</v>
      </c>
      <c r="AO63" s="26">
        <f>VLOOKUP($Q63,武学奇术!$A:$ZZ,28,FALSE)</f>
        <v>1.3779</v>
      </c>
      <c r="AP63" s="27">
        <f>VLOOKUP($Q63,武学奇术!$A:$ZZ,29,FALSE)*(1+IF(OR($AL63=$F$4,$AL63=$F$5),$B$22,0))</f>
        <v>207</v>
      </c>
      <c r="AQ63" s="26" cm="1">
        <f t="array" ref="AQ63">$G$3+IFERROR(VLOOKUP($AL63,$F$4:$G$7,2,FALSE),0)+VLOOKUP($Q63,武学奇术!$A:$ZZ,2,FALSE)+SUM(_xlfn.XLOOKUP($R63:$AK63,增益!$A:$A,增益!$B:$B,0))</f>
        <v>0.5089</v>
      </c>
      <c r="AR63" s="26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3611.1</v>
      </c>
      <c r="AT63" cm="1">
        <f t="array" ref="AT63">$E$10*(1+$AR63)+VLOOKUP($Q63,武学奇术!$A:$ZZ,4,FALSE)+SUM(_xlfn.XLOOKUP($R63:$AK63,增益!$A:$A,增益!$D:$D,0))-$I$2</f>
        <v>3611.1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0.227</v>
      </c>
      <c r="AV63" s="32" cm="1">
        <f t="array" ref="AV63">$G$10+VLOOKUP($Q63,武学奇术!$A:$ZZ,7,FALSE)+SUM(_xlfn.XLOOKUP($R63:$AK63,增益!$A:$A,增益!$G:$G,0))</f>
        <v>0.205</v>
      </c>
      <c r="AW63" s="26" cm="1">
        <f t="array" ref="AW63">VLOOKUP($Q63,武学奇术!$A:$ZZ,8,FALSE)+SUM(_xlfn.XLOOKUP($R63:$AK63,增益!$A:$A,增益!$H:$H,0))</f>
        <v>0.12</v>
      </c>
      <c r="AX63">
        <f t="shared" si="1"/>
        <v>0</v>
      </c>
      <c r="AY63">
        <f t="shared" si="2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2" cm="1">
        <f t="array" ref="BA63">$G$11+VLOOKUP($Q63,武学奇术!$A:$ZZ,10,FALSE)+SUM(_xlfn.XLOOKUP($R63:$AK63,增益!$A:$A,增益!$J:$J,0))</f>
        <v>0.06</v>
      </c>
      <c r="BB63">
        <f t="shared" si="3"/>
        <v>0</v>
      </c>
      <c r="BC63">
        <f t="shared" si="4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2" cm="1">
        <f t="array" ref="BE63">$G$12+VLOOKUP($Q63,武学奇术!$A:$ZZ,12,FALSE)+SUM(_xlfn.XLOOKUP($R63:$AK63,增益!$A:$A,增益!$L:$L,0))</f>
        <v>0.06</v>
      </c>
      <c r="BF63">
        <f t="shared" si="5"/>
        <v>639.744</v>
      </c>
      <c r="BG63">
        <f t="shared" si="6"/>
        <v>1823.136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2" cm="1">
        <f t="array" ref="BI63">$G$13+VLOOKUP($Q63,武学奇术!$A:$ZZ,14,FALSE)+SUM(_xlfn.XLOOKUP($R63:$AK63,增益!$A:$A,增益!$N:$N,0))</f>
        <v>0.33</v>
      </c>
      <c r="BJ63">
        <f t="shared" si="7"/>
        <v>0</v>
      </c>
      <c r="BK63">
        <f t="shared" si="8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2" cm="1">
        <f t="array" ref="BM63">$G$14+VLOOKUP($Q63,武学奇术!$A:$ZZ,16,FALSE)+SUM(_xlfn.XLOOKUP($R63:$AK63,增益!$A:$A,增益!$P:$P,0))</f>
        <v>0.06</v>
      </c>
      <c r="BN63" s="26">
        <f>MIN(IF(VLOOKUP($Q63,武学奇术!$A:$ZZ,23,FALSE)=1,100%,$B$8),100%)</f>
        <v>0.9859</v>
      </c>
      <c r="BO63" s="26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6" cm="1">
        <f t="array" ref="BP63">1+$B$13+VLOOKUP($Q63,武学奇术!$A:$ZZ,18,FALSE)+SUM(_xlfn.XLOOKUP($R63:$AK63,增益!$A:$A,增益!$R:$R,0))</f>
        <v>1.64</v>
      </c>
      <c r="BQ63" s="26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6" cm="1">
        <f t="array" ref="BR63">1+$B$14+VLOOKUP($Q63,武学奇术!$A:$ZZ,20,FALSE)+SUM(_xlfn.XLOOKUP($R63:$AK63,增益!$A:$A,增益!$T:$T,0))</f>
        <v>1.35</v>
      </c>
      <c r="BS63" s="26">
        <f t="shared" si="9"/>
        <v>0.87863408</v>
      </c>
      <c r="BT63" s="26">
        <f t="shared" si="10"/>
        <v>0.01567581</v>
      </c>
      <c r="BU63" s="26">
        <f>IF(VLOOKUP($Q63,武学奇术!$A:$ZZ,22,FALSE)=1,0,(1-$BN63))*(1-$BQ63)</f>
        <v>0.01279011</v>
      </c>
      <c r="BV63" s="26" cm="1">
        <f t="array" ref="BV63">SUM(_xlfn.XLOOKUP($R63:$AK63,增益!$A:$A,增益!$W:$W,0))+$I$5</f>
        <v>0.11</v>
      </c>
    </row>
    <row r="64" spans="1:74">
      <c r="K64" s="38">
        <f t="shared" si="0"/>
        <v>53257.3769282218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54215.7084900248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51036.3564436289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33058.358835381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28312.0091939998</v>
      </c>
      <c r="P64" s="39">
        <v>1</v>
      </c>
      <c r="Q64" s="40" t="s">
        <v>114</v>
      </c>
      <c r="R64" s="40" t="s">
        <v>85</v>
      </c>
      <c r="S64" s="40" t="s">
        <v>158</v>
      </c>
      <c r="T64" s="40" t="s">
        <v>97</v>
      </c>
      <c r="U64" s="40" t="s">
        <v>80</v>
      </c>
      <c r="V64" s="40" t="s">
        <v>73</v>
      </c>
      <c r="W64" s="40" t="s">
        <v>115</v>
      </c>
      <c r="X64" s="40" t="s">
        <v>87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81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80</v>
      </c>
      <c r="AL64" t="str">
        <f>VLOOKUP($Q64,武学奇术!$A:$ZZ,25,FALSE)</f>
        <v>扇</v>
      </c>
      <c r="AM64" s="26">
        <f>VLOOKUP($Q64,武学奇术!$A:$ZZ,26,FALSE)</f>
        <v>2.1435</v>
      </c>
      <c r="AN64" s="27">
        <f>VLOOKUP($Q64,武学奇术!$A:$ZZ,27,FALSE)*(1+IF(OR($AL64=$F$4,$AL64=$F$5),$B$22,0))</f>
        <v>888</v>
      </c>
      <c r="AO64" s="26">
        <f>VLOOKUP($Q64,武学奇术!$A:$ZZ,28,FALSE)</f>
        <v>3.2152</v>
      </c>
      <c r="AP64" s="27">
        <f>VLOOKUP($Q64,武学奇术!$A:$ZZ,29,FALSE)*(1+IF(OR($AL64=$F$4,$AL64=$F$5),$B$22,0))</f>
        <v>484.5</v>
      </c>
      <c r="AQ64" s="26" cm="1">
        <f t="array" ref="AQ64">$G$3+IFERROR(VLOOKUP($AL64,$F$4:$G$7,2,FALSE),0)+VLOOKUP($Q64,武学奇术!$A:$ZZ,2,FALSE)+SUM(_xlfn.XLOOKUP($R64:$AK64,增益!$A:$A,增益!$B:$B,0))</f>
        <v>0.5089</v>
      </c>
      <c r="AR64" s="26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3611.1</v>
      </c>
      <c r="AT64" cm="1">
        <f t="array" ref="AT64">$E$10*(1+$AR64)+VLOOKUP($Q64,武学奇术!$A:$ZZ,4,FALSE)+SUM(_xlfn.XLOOKUP($R64:$AK64,增益!$A:$A,增益!$D:$D,0))-$I$2</f>
        <v>3611.1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0.227</v>
      </c>
      <c r="AV64" s="32" cm="1">
        <f t="array" ref="AV64">$G$10+VLOOKUP($Q64,武学奇术!$A:$ZZ,7,FALSE)+SUM(_xlfn.XLOOKUP($R64:$AK64,增益!$A:$A,增益!$G:$G,0))</f>
        <v>0.205</v>
      </c>
      <c r="AW64" s="26" cm="1">
        <f t="array" ref="AW64">VLOOKUP($Q64,武学奇术!$A:$ZZ,8,FALSE)+SUM(_xlfn.XLOOKUP($R64:$AK64,增益!$A:$A,增益!$H:$H,0))</f>
        <v>0.12</v>
      </c>
      <c r="AX64">
        <f t="shared" si="1"/>
        <v>0</v>
      </c>
      <c r="AY64">
        <f t="shared" si="2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2" cm="1">
        <f t="array" ref="BA64">$G$11+VLOOKUP($Q64,武学奇术!$A:$ZZ,10,FALSE)+SUM(_xlfn.XLOOKUP($R64:$AK64,增益!$A:$A,增益!$J:$J,0))</f>
        <v>0.06</v>
      </c>
      <c r="BB64">
        <f t="shared" si="3"/>
        <v>0</v>
      </c>
      <c r="BC64">
        <f t="shared" si="4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2" cm="1">
        <f t="array" ref="BE64">$G$12+VLOOKUP($Q64,武学奇术!$A:$ZZ,12,FALSE)+SUM(_xlfn.XLOOKUP($R64:$AK64,增益!$A:$A,增益!$L:$L,0))</f>
        <v>0.06</v>
      </c>
      <c r="BF64">
        <f t="shared" si="5"/>
        <v>639.744</v>
      </c>
      <c r="BG64">
        <f t="shared" si="6"/>
        <v>1823.136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2" cm="1">
        <f t="array" ref="BI64">$G$13+VLOOKUP($Q64,武学奇术!$A:$ZZ,14,FALSE)+SUM(_xlfn.XLOOKUP($R64:$AK64,增益!$A:$A,增益!$N:$N,0))</f>
        <v>0.33</v>
      </c>
      <c r="BJ64">
        <f t="shared" si="7"/>
        <v>0</v>
      </c>
      <c r="BK64">
        <f t="shared" si="8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2" cm="1">
        <f t="array" ref="BM64">$G$14+VLOOKUP($Q64,武学奇术!$A:$ZZ,16,FALSE)+SUM(_xlfn.XLOOKUP($R64:$AK64,增益!$A:$A,增益!$P:$P,0))</f>
        <v>0.06</v>
      </c>
      <c r="BN64" s="26">
        <f>MIN(IF(VLOOKUP($Q64,武学奇术!$A:$ZZ,23,FALSE)=1,100%,$B$8),100%)</f>
        <v>0.9859</v>
      </c>
      <c r="BO64" s="26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6" cm="1">
        <f t="array" ref="BP64">1+$B$13+VLOOKUP($Q64,武学奇术!$A:$ZZ,18,FALSE)+SUM(_xlfn.XLOOKUP($R64:$AK64,增益!$A:$A,增益!$R:$R,0))</f>
        <v>1.64</v>
      </c>
      <c r="BQ64" s="26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6" cm="1">
        <f t="array" ref="BR64">1+$B$14+VLOOKUP($Q64,武学奇术!$A:$ZZ,20,FALSE)+SUM(_xlfn.XLOOKUP($R64:$AK64,增益!$A:$A,增益!$T:$T,0))</f>
        <v>1.35</v>
      </c>
      <c r="BS64" s="26">
        <f t="shared" si="9"/>
        <v>0.87863408</v>
      </c>
      <c r="BT64" s="26">
        <f t="shared" si="10"/>
        <v>0.01567581</v>
      </c>
      <c r="BU64" s="26">
        <f>IF(VLOOKUP($Q64,武学奇术!$A:$ZZ,22,FALSE)=1,0,(1-$BN64))*(1-$BQ64)</f>
        <v>0.01279011</v>
      </c>
      <c r="BV64" s="26" cm="1">
        <f t="array" ref="BV64">SUM(_xlfn.XLOOKUP($R64:$AK64,增益!$A:$A,增益!$W:$W,0))+$I$5</f>
        <v>0.11</v>
      </c>
    </row>
    <row r="65" spans="1:74">
      <c r="K65" s="38">
        <f t="shared" si="0"/>
        <v>140798.839463309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145807.067199206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114917.0121274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75158.2820614464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65192.8514359299</v>
      </c>
      <c r="P65" s="39">
        <v>1</v>
      </c>
      <c r="Q65" s="40" t="s">
        <v>117</v>
      </c>
      <c r="R65" s="40" t="s">
        <v>91</v>
      </c>
      <c r="S65" s="40" t="s">
        <v>158</v>
      </c>
      <c r="T65" s="40" t="s">
        <v>78</v>
      </c>
      <c r="U65" s="40" t="s">
        <v>80</v>
      </c>
      <c r="V65" s="40" t="s">
        <v>73</v>
      </c>
      <c r="W65" s="40" t="s">
        <v>115</v>
      </c>
      <c r="X65" s="40" t="s">
        <v>87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81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80</v>
      </c>
      <c r="AL65" t="str">
        <f>VLOOKUP($Q65,武学奇术!$A:$ZZ,25,FALSE)</f>
        <v>鼓</v>
      </c>
      <c r="AM65" s="26">
        <f>VLOOKUP($Q65,武学奇术!$A:$ZZ,26,FALSE)</f>
        <v>3.08125</v>
      </c>
      <c r="AN65" s="27">
        <f>VLOOKUP($Q65,武学奇术!$A:$ZZ,27,FALSE)*(1+IF(OR($AL65=$F$4,$AL65=$F$5),$B$22,0))</f>
        <v>1277.55</v>
      </c>
      <c r="AO65" s="26">
        <f>VLOOKUP($Q65,武学奇术!$A:$ZZ,28,FALSE)</f>
        <v>4.62196</v>
      </c>
      <c r="AP65" s="27">
        <f>VLOOKUP($Q65,武学奇术!$A:$ZZ,29,FALSE)*(1+IF(OR($AL65=$F$4,$AL65=$F$5),$B$22,0))</f>
        <v>696.15</v>
      </c>
      <c r="AQ65" s="26" cm="1">
        <f t="array" ref="AQ65">$G$3+IFERROR(VLOOKUP($AL65,$F$4:$G$7,2,FALSE),0)+VLOOKUP($Q65,武学奇术!$A:$ZZ,2,FALSE)+SUM(_xlfn.XLOOKUP($R65:$AK65,增益!$A:$A,增益!$B:$B,0))</f>
        <v>0.5041</v>
      </c>
      <c r="AR65" s="26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4372.698</v>
      </c>
      <c r="AT65" cm="1">
        <f t="array" ref="AT65">$E$10*(1+$AR65)+VLOOKUP($Q65,武学奇术!$A:$ZZ,4,FALSE)+SUM(_xlfn.XLOOKUP($R65:$AK65,增益!$A:$A,增益!$D:$D,0))-$I$2</f>
        <v>4372.698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0.297</v>
      </c>
      <c r="AV65" s="32" cm="1">
        <f t="array" ref="AV65">$G$10+VLOOKUP($Q65,武学奇术!$A:$ZZ,7,FALSE)+SUM(_xlfn.XLOOKUP($R65:$AK65,增益!$A:$A,增益!$G:$G,0))</f>
        <v>0.205</v>
      </c>
      <c r="AW65" s="26" cm="1">
        <f t="array" ref="AW65">VLOOKUP($Q65,武学奇术!$A:$ZZ,8,FALSE)+SUM(_xlfn.XLOOKUP($R65:$AK65,增益!$A:$A,增益!$H:$H,0))</f>
        <v>0.18</v>
      </c>
      <c r="AX65">
        <f t="shared" si="1"/>
        <v>0</v>
      </c>
      <c r="AY65">
        <f t="shared" si="2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2" cm="1">
        <f t="array" ref="BA65">$G$11+VLOOKUP($Q65,武学奇术!$A:$ZZ,10,FALSE)+SUM(_xlfn.XLOOKUP($R65:$AK65,增益!$A:$A,增益!$J:$J,0))</f>
        <v>0.06</v>
      </c>
      <c r="BB65">
        <f t="shared" si="3"/>
        <v>0</v>
      </c>
      <c r="BC65">
        <f t="shared" si="4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2" cm="1">
        <f t="array" ref="BE65">$G$12+VLOOKUP($Q65,武学奇术!$A:$ZZ,12,FALSE)+SUM(_xlfn.XLOOKUP($R65:$AK65,增益!$A:$A,增益!$L:$L,0))</f>
        <v>0.06</v>
      </c>
      <c r="BF65">
        <f t="shared" si="5"/>
        <v>674.016</v>
      </c>
      <c r="BG65">
        <f t="shared" si="6"/>
        <v>1920.804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2" cm="1">
        <f t="array" ref="BI65">$G$13+VLOOKUP($Q65,武学奇术!$A:$ZZ,14,FALSE)+SUM(_xlfn.XLOOKUP($R65:$AK65,增益!$A:$A,增益!$N:$N,0))</f>
        <v>0.33</v>
      </c>
      <c r="BJ65">
        <f t="shared" si="7"/>
        <v>0</v>
      </c>
      <c r="BK65">
        <f t="shared" si="8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2" cm="1">
        <f t="array" ref="BM65">$G$14+VLOOKUP($Q65,武学奇术!$A:$ZZ,16,FALSE)+SUM(_xlfn.XLOOKUP($R65:$AK65,增益!$A:$A,增益!$P:$P,0))</f>
        <v>0.06</v>
      </c>
      <c r="BN65" s="26">
        <f>MIN(IF(VLOOKUP($Q65,武学奇术!$A:$ZZ,23,FALSE)=1,100%,$B$8),100%)</f>
        <v>0.9859</v>
      </c>
      <c r="BO65" s="26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6" cm="1">
        <f t="array" ref="BP65">1+$B$13+VLOOKUP($Q65,武学奇术!$A:$ZZ,18,FALSE)+SUM(_xlfn.XLOOKUP($R65:$AK65,增益!$A:$A,增益!$R:$R,0))</f>
        <v>1.94</v>
      </c>
      <c r="BQ65" s="26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6" cm="1">
        <f t="array" ref="BR65">1+$B$14+VLOOKUP($Q65,武学奇术!$A:$ZZ,20,FALSE)+SUM(_xlfn.XLOOKUP($R65:$AK65,增益!$A:$A,增益!$T:$T,0))</f>
        <v>1.35</v>
      </c>
      <c r="BS65" s="26">
        <f t="shared" si="9"/>
        <v>0.87863408</v>
      </c>
      <c r="BT65" s="26">
        <f t="shared" si="10"/>
        <v>0.01567581</v>
      </c>
      <c r="BU65" s="26">
        <f>IF(VLOOKUP($Q65,武学奇术!$A:$ZZ,22,FALSE)=1,0,(1-$BN65))*(1-$BQ65)</f>
        <v>0.01279011</v>
      </c>
      <c r="BV65" s="26" cm="1">
        <f t="array" ref="BV65">SUM(_xlfn.XLOOKUP($R65:$AK65,增益!$A:$A,增益!$W:$W,0))+$I$5</f>
        <v>0.11</v>
      </c>
    </row>
    <row r="66" spans="1:74">
      <c r="K66" s="38">
        <f t="shared" ref="K66:K121" si="11">($L66*$BS66+$M66*$BQ66+$N66*$BT66+$O66*$BU66)</f>
        <v>284935.542819026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295082.922515684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232426.760444565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152104.599234889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132041.2277701</v>
      </c>
      <c r="P66" s="39">
        <v>2</v>
      </c>
      <c r="Q66" s="40" t="s">
        <v>117</v>
      </c>
      <c r="R66" s="40" t="s">
        <v>95</v>
      </c>
      <c r="S66" s="40" t="s">
        <v>158</v>
      </c>
      <c r="T66" s="40" t="s">
        <v>78</v>
      </c>
      <c r="U66" s="40" t="s">
        <v>80</v>
      </c>
      <c r="V66" s="40" t="s">
        <v>73</v>
      </c>
      <c r="W66" s="40" t="s">
        <v>115</v>
      </c>
      <c r="X66" s="40" t="s">
        <v>87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81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80</v>
      </c>
      <c r="AL66" t="str">
        <f>VLOOKUP($Q66,武学奇术!$A:$ZZ,25,FALSE)</f>
        <v>鼓</v>
      </c>
      <c r="AM66" s="26">
        <f>VLOOKUP($Q66,武学奇术!$A:$ZZ,26,FALSE)</f>
        <v>3.08125</v>
      </c>
      <c r="AN66" s="27">
        <f>VLOOKUP($Q66,武学奇术!$A:$ZZ,27,FALSE)*(1+IF(OR($AL66=$F$4,$AL66=$F$5),$B$22,0))</f>
        <v>1277.55</v>
      </c>
      <c r="AO66" s="26">
        <f>VLOOKUP($Q66,武学奇术!$A:$ZZ,28,FALSE)</f>
        <v>4.62196</v>
      </c>
      <c r="AP66" s="27">
        <f>VLOOKUP($Q66,武学奇术!$A:$ZZ,29,FALSE)*(1+IF(OR($AL66=$F$4,$AL66=$F$5),$B$22,0))</f>
        <v>696.15</v>
      </c>
      <c r="AQ66" s="26" cm="1">
        <f t="array" ref="AQ66">$G$3+IFERROR(VLOOKUP($AL66,$F$4:$G$7,2,FALSE),0)+VLOOKUP($Q66,武学奇术!$A:$ZZ,2,FALSE)+SUM(_xlfn.XLOOKUP($R66:$AK66,增益!$A:$A,增益!$B:$B,0))</f>
        <v>0.5141</v>
      </c>
      <c r="AR66" s="26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4372.698</v>
      </c>
      <c r="AT66" cm="1">
        <f t="array" ref="AT66">$E$10*(1+$AR66)+VLOOKUP($Q66,武学奇术!$A:$ZZ,4,FALSE)+SUM(_xlfn.XLOOKUP($R66:$AK66,增益!$A:$A,增益!$D:$D,0))-$I$2</f>
        <v>4372.698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0.307</v>
      </c>
      <c r="AV66" s="32" cm="1">
        <f t="array" ref="AV66">$G$10+VLOOKUP($Q66,武学奇术!$A:$ZZ,7,FALSE)+SUM(_xlfn.XLOOKUP($R66:$AK66,增益!$A:$A,增益!$G:$G,0))</f>
        <v>0.205</v>
      </c>
      <c r="AW66" s="26" cm="1">
        <f t="array" ref="AW66">VLOOKUP($Q66,武学奇术!$A:$ZZ,8,FALSE)+SUM(_xlfn.XLOOKUP($R66:$AK66,增益!$A:$A,增益!$H:$H,0))</f>
        <v>0.18</v>
      </c>
      <c r="AX66">
        <f t="shared" ref="AX66:AX121" si="12">$D$11*(1+$AW66)</f>
        <v>0</v>
      </c>
      <c r="AY66">
        <f t="shared" ref="AY66:AY121" si="13">$E$11*(1+$AW66)</f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2" cm="1">
        <f t="array" ref="BA66">$G$11+VLOOKUP($Q66,武学奇术!$A:$ZZ,10,FALSE)+SUM(_xlfn.XLOOKUP($R66:$AK66,增益!$A:$A,增益!$J:$J,0))</f>
        <v>0.06</v>
      </c>
      <c r="BB66">
        <f t="shared" ref="BB66:BB121" si="14">$D$12*(1+$AW66)</f>
        <v>0</v>
      </c>
      <c r="BC66">
        <f t="shared" ref="BC66:BC121" si="15">$E$12*(1+$AW66)</f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2" cm="1">
        <f t="array" ref="BE66">$G$12+VLOOKUP($Q66,武学奇术!$A:$ZZ,12,FALSE)+SUM(_xlfn.XLOOKUP($R66:$AK66,增益!$A:$A,增益!$L:$L,0))</f>
        <v>0.06</v>
      </c>
      <c r="BF66">
        <f t="shared" ref="BF66:BF121" si="16">$D$13*(1+$AW66)</f>
        <v>674.016</v>
      </c>
      <c r="BG66">
        <f t="shared" ref="BG66:BG121" si="17">$E$13*(1+$AW66)</f>
        <v>1920.804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2" cm="1">
        <f t="array" ref="BI66">$G$13+VLOOKUP($Q66,武学奇术!$A:$ZZ,14,FALSE)+SUM(_xlfn.XLOOKUP($R66:$AK66,增益!$A:$A,增益!$N:$N,0))</f>
        <v>0.33</v>
      </c>
      <c r="BJ66">
        <f t="shared" ref="BJ66:BJ121" si="18">$D$14*(1+$AW66)</f>
        <v>0</v>
      </c>
      <c r="BK66">
        <f t="shared" ref="BK66:BK121" si="19">$E$14*(1+$AW66)</f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2" cm="1">
        <f t="array" ref="BM66">$G$14+VLOOKUP($Q66,武学奇术!$A:$ZZ,16,FALSE)+SUM(_xlfn.XLOOKUP($R66:$AK66,增益!$A:$A,增益!$P:$P,0))</f>
        <v>0.06</v>
      </c>
      <c r="BN66" s="26">
        <f>MIN(IF(VLOOKUP($Q66,武学奇术!$A:$ZZ,23,FALSE)=1,100%,$B$8),100%)</f>
        <v>0.9859</v>
      </c>
      <c r="BO66" s="26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6" cm="1">
        <f t="array" ref="BP66">1+$B$13+VLOOKUP($Q66,武学奇术!$A:$ZZ,18,FALSE)+SUM(_xlfn.XLOOKUP($R66:$AK66,增益!$A:$A,增益!$R:$R,0))</f>
        <v>1.94</v>
      </c>
      <c r="BQ66" s="26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6" cm="1">
        <f t="array" ref="BR66">1+$B$14+VLOOKUP($Q66,武学奇术!$A:$ZZ,20,FALSE)+SUM(_xlfn.XLOOKUP($R66:$AK66,增益!$A:$A,增益!$T:$T,0))</f>
        <v>1.35</v>
      </c>
      <c r="BS66" s="26">
        <f t="shared" ref="BS66:BS121" si="20">MIN((1-BQ66)*BN66,BN66*BO66)</f>
        <v>0.87863408</v>
      </c>
      <c r="BT66" s="26">
        <f t="shared" ref="BT66:BT121" si="21">1-BQ66-BS66-BU66</f>
        <v>0.01567581</v>
      </c>
      <c r="BU66" s="26">
        <f>IF(VLOOKUP($Q66,武学奇术!$A:$ZZ,22,FALSE)=1,0,(1-$BN66))*(1-$BQ66)</f>
        <v>0.01279011</v>
      </c>
      <c r="BV66" s="26" cm="1">
        <f t="array" ref="BV66">SUM(_xlfn.XLOOKUP($R66:$AK66,增益!$A:$A,增益!$W:$W,0))+$I$5</f>
        <v>0.11</v>
      </c>
    </row>
    <row r="67" spans="1:74">
      <c r="K67" s="38">
        <f t="shared" si="11"/>
        <v>379952.005485106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395243.978585791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295878.838398973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193747.048326368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168324.586727571</v>
      </c>
      <c r="P67" s="39">
        <v>2</v>
      </c>
      <c r="Q67" s="40" t="s">
        <v>121</v>
      </c>
      <c r="R67" s="40" t="s">
        <v>100</v>
      </c>
      <c r="S67" s="40" t="s">
        <v>158</v>
      </c>
      <c r="T67" s="40" t="s">
        <v>78</v>
      </c>
      <c r="U67" s="40" t="s">
        <v>80</v>
      </c>
      <c r="V67" s="40" t="s">
        <v>73</v>
      </c>
      <c r="W67" s="40" t="s">
        <v>115</v>
      </c>
      <c r="X67" s="40" t="s">
        <v>87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81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80</v>
      </c>
      <c r="AL67" t="str">
        <f>VLOOKUP($Q67,武学奇术!$A:$ZZ,25,FALSE)</f>
        <v>鼓</v>
      </c>
      <c r="AM67" s="26">
        <f>VLOOKUP($Q67,武学奇术!$A:$ZZ,26,FALSE)</f>
        <v>3.75547</v>
      </c>
      <c r="AN67" s="27">
        <f>VLOOKUP($Q67,武学奇术!$A:$ZZ,27,FALSE)*(1+IF(OR($AL67=$F$4,$AL67=$F$5),$B$22,0))</f>
        <v>1558.05</v>
      </c>
      <c r="AO67" s="26">
        <f>VLOOKUP($Q67,武学奇术!$A:$ZZ,28,FALSE)</f>
        <v>5.63329</v>
      </c>
      <c r="AP67" s="27">
        <f>VLOOKUP($Q67,武学奇术!$A:$ZZ,29,FALSE)*(1+IF(OR($AL67=$F$4,$AL67=$F$5),$B$22,0))</f>
        <v>849.15</v>
      </c>
      <c r="AQ67" s="26" cm="1">
        <f t="array" ref="AQ67">$G$3+IFERROR(VLOOKUP($AL67,$F$4:$G$7,2,FALSE),0)+VLOOKUP($Q67,武学奇术!$A:$ZZ,2,FALSE)+SUM(_xlfn.XLOOKUP($R67:$AK67,增益!$A:$A,增益!$B:$B,0))</f>
        <v>0.5741</v>
      </c>
      <c r="AR67" s="26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4372.698</v>
      </c>
      <c r="AT67" cm="1">
        <f t="array" ref="AT67">$E$10*(1+$AR67)+VLOOKUP($Q67,武学奇术!$A:$ZZ,4,FALSE)+SUM(_xlfn.XLOOKUP($R67:$AK67,增益!$A:$A,增益!$D:$D,0))-$I$2</f>
        <v>4372.698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0.317</v>
      </c>
      <c r="AV67" s="32" cm="1">
        <f t="array" ref="AV67">$G$10+VLOOKUP($Q67,武学奇术!$A:$ZZ,7,FALSE)+SUM(_xlfn.XLOOKUP($R67:$AK67,增益!$A:$A,增益!$G:$G,0))</f>
        <v>0.205</v>
      </c>
      <c r="AW67" s="26" cm="1">
        <f t="array" ref="AW67">VLOOKUP($Q67,武学奇术!$A:$ZZ,8,FALSE)+SUM(_xlfn.XLOOKUP($R67:$AK67,增益!$A:$A,增益!$H:$H,0))</f>
        <v>0.18</v>
      </c>
      <c r="AX67">
        <f t="shared" si="12"/>
        <v>0</v>
      </c>
      <c r="AY67">
        <f t="shared" si="13"/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2" cm="1">
        <f t="array" ref="BA67">$G$11+VLOOKUP($Q67,武学奇术!$A:$ZZ,10,FALSE)+SUM(_xlfn.XLOOKUP($R67:$AK67,增益!$A:$A,增益!$J:$J,0))</f>
        <v>0.06</v>
      </c>
      <c r="BB67">
        <f t="shared" si="14"/>
        <v>0</v>
      </c>
      <c r="BC67">
        <f t="shared" si="15"/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2" cm="1">
        <f t="array" ref="BE67">$G$12+VLOOKUP($Q67,武学奇术!$A:$ZZ,12,FALSE)+SUM(_xlfn.XLOOKUP($R67:$AK67,增益!$A:$A,增益!$L:$L,0))</f>
        <v>0.06</v>
      </c>
      <c r="BF67">
        <f t="shared" si="16"/>
        <v>674.016</v>
      </c>
      <c r="BG67">
        <f t="shared" si="17"/>
        <v>1920.804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2" cm="1">
        <f t="array" ref="BI67">$G$13+VLOOKUP($Q67,武学奇术!$A:$ZZ,14,FALSE)+SUM(_xlfn.XLOOKUP($R67:$AK67,增益!$A:$A,增益!$N:$N,0))</f>
        <v>0.33</v>
      </c>
      <c r="BJ67">
        <f t="shared" si="18"/>
        <v>0</v>
      </c>
      <c r="BK67">
        <f t="shared" si="19"/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2" cm="1">
        <f t="array" ref="BM67">$G$14+VLOOKUP($Q67,武学奇术!$A:$ZZ,16,FALSE)+SUM(_xlfn.XLOOKUP($R67:$AK67,增益!$A:$A,增益!$P:$P,0))</f>
        <v>0.06</v>
      </c>
      <c r="BN67" s="26">
        <f>MIN(IF(VLOOKUP($Q67,武学奇术!$A:$ZZ,23,FALSE)=1,100%,$B$8),100%)</f>
        <v>0.9859</v>
      </c>
      <c r="BO67" s="26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6" cm="1">
        <f t="array" ref="BP67">1+$B$13+VLOOKUP($Q67,武学奇术!$A:$ZZ,18,FALSE)+SUM(_xlfn.XLOOKUP($R67:$AK67,增益!$A:$A,增益!$R:$R,0))</f>
        <v>2.04</v>
      </c>
      <c r="BQ67" s="26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6" cm="1">
        <f t="array" ref="BR67">1+$B$14+VLOOKUP($Q67,武学奇术!$A:$ZZ,20,FALSE)+SUM(_xlfn.XLOOKUP($R67:$AK67,增益!$A:$A,增益!$T:$T,0))</f>
        <v>1.35</v>
      </c>
      <c r="BS67" s="26">
        <f t="shared" si="20"/>
        <v>0.87863408</v>
      </c>
      <c r="BT67" s="26">
        <f t="shared" si="21"/>
        <v>0.01567581</v>
      </c>
      <c r="BU67" s="26">
        <f>IF(VLOOKUP($Q67,武学奇术!$A:$ZZ,22,FALSE)=1,0,(1-$BN67))*(1-$BQ67)</f>
        <v>0.01279011</v>
      </c>
      <c r="BV67" s="26" cm="1">
        <f t="array" ref="BV67">SUM(_xlfn.XLOOKUP($R67:$AK67,增益!$A:$A,增益!$W:$W,0))+$I$5</f>
        <v>0.11</v>
      </c>
    </row>
    <row r="68" spans="1:74">
      <c r="K68" s="38">
        <f t="shared" si="11"/>
        <v>59859.6889801294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60946.2120323189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57261.6328035185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37162.3244099506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31908.6245209985</v>
      </c>
      <c r="P68" s="39">
        <v>1</v>
      </c>
      <c r="Q68" s="40" t="s">
        <v>124</v>
      </c>
      <c r="R68" s="40" t="s">
        <v>100</v>
      </c>
      <c r="S68" s="40" t="s">
        <v>158</v>
      </c>
      <c r="T68" s="40" t="s">
        <v>97</v>
      </c>
      <c r="U68" s="40" t="s">
        <v>80</v>
      </c>
      <c r="V68" s="40" t="s">
        <v>73</v>
      </c>
      <c r="W68" s="40" t="s">
        <v>115</v>
      </c>
      <c r="X68" s="40" t="s">
        <v>87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81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80</v>
      </c>
      <c r="AL68" t="str">
        <f>VLOOKUP($Q68,武学奇术!$A:$ZZ,25,FALSE)</f>
        <v>鼓</v>
      </c>
      <c r="AM68" s="26">
        <f>VLOOKUP($Q68,武学奇术!$A:$ZZ,26,FALSE)</f>
        <v>2.514</v>
      </c>
      <c r="AN68" s="27">
        <f>VLOOKUP($Q68,武学奇术!$A:$ZZ,27,FALSE)*(1+IF(OR($AL68=$F$4,$AL68=$F$5),$B$22,0))</f>
        <v>1044</v>
      </c>
      <c r="AO68" s="26">
        <f>VLOOKUP($Q68,武学奇术!$A:$ZZ,28,FALSE)</f>
        <v>3.7708</v>
      </c>
      <c r="AP68" s="27">
        <f>VLOOKUP($Q68,武学奇术!$A:$ZZ,29,FALSE)*(1+IF(OR($AL68=$F$4,$AL68=$F$5),$B$22,0))</f>
        <v>564</v>
      </c>
      <c r="AQ68" s="26" cm="1">
        <f t="array" ref="AQ68">$G$3+IFERROR(VLOOKUP($AL68,$F$4:$G$7,2,FALSE),0)+VLOOKUP($Q68,武学奇术!$A:$ZZ,2,FALSE)+SUM(_xlfn.XLOOKUP($R68:$AK68,增益!$A:$A,增益!$B:$B,0))</f>
        <v>0.4241</v>
      </c>
      <c r="AR68" s="26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3611.1</v>
      </c>
      <c r="AT68" cm="1">
        <f t="array" ref="AT68">$E$10*(1+$AR68)+VLOOKUP($Q68,武学奇术!$A:$ZZ,4,FALSE)+SUM(_xlfn.XLOOKUP($R68:$AK68,增益!$A:$A,增益!$D:$D,0))-$I$2</f>
        <v>3611.1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0.257</v>
      </c>
      <c r="AV68" s="32" cm="1">
        <f t="array" ref="AV68">$G$10+VLOOKUP($Q68,武学奇术!$A:$ZZ,7,FALSE)+SUM(_xlfn.XLOOKUP($R68:$AK68,增益!$A:$A,增益!$G:$G,0))</f>
        <v>0.205</v>
      </c>
      <c r="AW68" s="26" cm="1">
        <f t="array" ref="AW68">VLOOKUP($Q68,武学奇术!$A:$ZZ,8,FALSE)+SUM(_xlfn.XLOOKUP($R68:$AK68,增益!$A:$A,增益!$H:$H,0))</f>
        <v>0.12</v>
      </c>
      <c r="AX68">
        <f t="shared" si="12"/>
        <v>0</v>
      </c>
      <c r="AY68">
        <f t="shared" si="13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2" cm="1">
        <f t="array" ref="BA68">$G$11+VLOOKUP($Q68,武学奇术!$A:$ZZ,10,FALSE)+SUM(_xlfn.XLOOKUP($R68:$AK68,增益!$A:$A,增益!$J:$J,0))</f>
        <v>0.06</v>
      </c>
      <c r="BB68">
        <f t="shared" si="14"/>
        <v>0</v>
      </c>
      <c r="BC68">
        <f t="shared" si="15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2" cm="1">
        <f t="array" ref="BE68">$G$12+VLOOKUP($Q68,武学奇术!$A:$ZZ,12,FALSE)+SUM(_xlfn.XLOOKUP($R68:$AK68,增益!$A:$A,增益!$L:$L,0))</f>
        <v>0.06</v>
      </c>
      <c r="BF68">
        <f t="shared" si="16"/>
        <v>639.744</v>
      </c>
      <c r="BG68">
        <f t="shared" si="17"/>
        <v>1823.136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2" cm="1">
        <f t="array" ref="BI68">$G$13+VLOOKUP($Q68,武学奇术!$A:$ZZ,14,FALSE)+SUM(_xlfn.XLOOKUP($R68:$AK68,增益!$A:$A,增益!$N:$N,0))</f>
        <v>0.33</v>
      </c>
      <c r="BJ68">
        <f t="shared" si="18"/>
        <v>0</v>
      </c>
      <c r="BK68">
        <f t="shared" si="19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2" cm="1">
        <f t="array" ref="BM68">$G$14+VLOOKUP($Q68,武学奇术!$A:$ZZ,16,FALSE)+SUM(_xlfn.XLOOKUP($R68:$AK68,增益!$A:$A,增益!$P:$P,0))</f>
        <v>0.06</v>
      </c>
      <c r="BN68" s="26">
        <f>MIN(IF(VLOOKUP($Q68,武学奇术!$A:$ZZ,23,FALSE)=1,100%,$B$8),100%)</f>
        <v>0.9859</v>
      </c>
      <c r="BO68" s="26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6" cm="1">
        <f t="array" ref="BP68">1+$B$13+VLOOKUP($Q68,武学奇术!$A:$ZZ,18,FALSE)+SUM(_xlfn.XLOOKUP($R68:$AK68,增益!$A:$A,增益!$R:$R,0))</f>
        <v>1.64</v>
      </c>
      <c r="BQ68" s="26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6" cm="1">
        <f t="array" ref="BR68">1+$B$14+VLOOKUP($Q68,武学奇术!$A:$ZZ,20,FALSE)+SUM(_xlfn.XLOOKUP($R68:$AK68,增益!$A:$A,增益!$T:$T,0))</f>
        <v>1.35</v>
      </c>
      <c r="BS68" s="26">
        <f t="shared" si="20"/>
        <v>0.87863408</v>
      </c>
      <c r="BT68" s="26">
        <f t="shared" si="21"/>
        <v>0.01567581</v>
      </c>
      <c r="BU68" s="26">
        <f>IF(VLOOKUP($Q68,武学奇术!$A:$ZZ,22,FALSE)=1,0,(1-$BN68))*(1-$BQ68)</f>
        <v>0.01279011</v>
      </c>
      <c r="BV68" s="26" cm="1">
        <f t="array" ref="BV68">SUM(_xlfn.XLOOKUP($R68:$AK68,增益!$A:$A,增益!$W:$W,0))+$I$5</f>
        <v>0.11</v>
      </c>
    </row>
    <row r="69" spans="1:74">
      <c r="K69" s="38">
        <f t="shared" si="11"/>
        <v>117135.418688676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121234.605429478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96329.719433564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62492.0646543699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53628.781580174</v>
      </c>
      <c r="P69" s="39">
        <v>1</v>
      </c>
      <c r="Q69" s="40" t="s">
        <v>127</v>
      </c>
      <c r="R69" s="40" t="s">
        <v>100</v>
      </c>
      <c r="S69" s="40" t="s">
        <v>158</v>
      </c>
      <c r="T69" s="40" t="s">
        <v>97</v>
      </c>
      <c r="U69" s="40" t="s">
        <v>80</v>
      </c>
      <c r="V69" s="40" t="s">
        <v>73</v>
      </c>
      <c r="W69" s="40" t="s">
        <v>115</v>
      </c>
      <c r="X69" s="40" t="s">
        <v>87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81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80</v>
      </c>
      <c r="AL69" t="str">
        <f>VLOOKUP($Q69,武学奇术!$A:$ZZ,25,FALSE)</f>
        <v>鼓</v>
      </c>
      <c r="AM69" s="26">
        <f>VLOOKUP($Q69,武学奇术!$A:$ZZ,26,FALSE)</f>
        <v>3.52968</v>
      </c>
      <c r="AN69" s="27">
        <f>VLOOKUP($Q69,武学奇术!$A:$ZZ,27,FALSE)*(1+IF(OR($AL69=$F$4,$AL69=$F$5),$B$22,0))</f>
        <v>1465.8</v>
      </c>
      <c r="AO69" s="26">
        <f>VLOOKUP($Q69,武学奇术!$A:$ZZ,28,FALSE)</f>
        <v>5.29452</v>
      </c>
      <c r="AP69" s="27">
        <f>VLOOKUP($Q69,武学奇术!$A:$ZZ,29,FALSE)*(1+IF(OR($AL69=$F$4,$AL69=$F$5),$B$22,0))</f>
        <v>798</v>
      </c>
      <c r="AQ69" s="26" cm="1">
        <f t="array" ref="AQ69">$G$3+IFERROR(VLOOKUP($AL69,$F$4:$G$7,2,FALSE),0)+VLOOKUP($Q69,武学奇术!$A:$ZZ,2,FALSE)+SUM(_xlfn.XLOOKUP($R69:$AK69,增益!$A:$A,增益!$B:$B,0))</f>
        <v>0.6241</v>
      </c>
      <c r="AR69" s="26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3611.1</v>
      </c>
      <c r="AT69" cm="1">
        <f t="array" ref="AT69">$E$10*(1+$AR69)+VLOOKUP($Q69,武学奇术!$A:$ZZ,4,FALSE)+SUM(_xlfn.XLOOKUP($R69:$AK69,增益!$A:$A,增益!$D:$D,0))-$I$2</f>
        <v>3611.1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0.317</v>
      </c>
      <c r="AV69" s="32" cm="1">
        <f t="array" ref="AV69">$G$10+VLOOKUP($Q69,武学奇术!$A:$ZZ,7,FALSE)+SUM(_xlfn.XLOOKUP($R69:$AK69,增益!$A:$A,增益!$G:$G,0))</f>
        <v>0.205</v>
      </c>
      <c r="AW69" s="26" cm="1">
        <f t="array" ref="AW69">VLOOKUP($Q69,武学奇术!$A:$ZZ,8,FALSE)+SUM(_xlfn.XLOOKUP($R69:$AK69,增益!$A:$A,增益!$H:$H,0))</f>
        <v>0.12</v>
      </c>
      <c r="AX69">
        <f t="shared" si="12"/>
        <v>0</v>
      </c>
      <c r="AY69">
        <f t="shared" si="13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2" cm="1">
        <f t="array" ref="BA69">$G$11+VLOOKUP($Q69,武学奇术!$A:$ZZ,10,FALSE)+SUM(_xlfn.XLOOKUP($R69:$AK69,增益!$A:$A,增益!$J:$J,0))</f>
        <v>0.06</v>
      </c>
      <c r="BB69">
        <f t="shared" si="14"/>
        <v>0</v>
      </c>
      <c r="BC69">
        <f t="shared" si="15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2" cm="1">
        <f t="array" ref="BE69">$G$12+VLOOKUP($Q69,武学奇术!$A:$ZZ,12,FALSE)+SUM(_xlfn.XLOOKUP($R69:$AK69,增益!$A:$A,增益!$L:$L,0))</f>
        <v>0.06</v>
      </c>
      <c r="BF69">
        <f t="shared" si="16"/>
        <v>639.744</v>
      </c>
      <c r="BG69">
        <f t="shared" si="17"/>
        <v>1823.136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2" cm="1">
        <f t="array" ref="BI69">$G$13+VLOOKUP($Q69,武学奇术!$A:$ZZ,14,FALSE)+SUM(_xlfn.XLOOKUP($R69:$AK69,增益!$A:$A,增益!$N:$N,0))</f>
        <v>0.33</v>
      </c>
      <c r="BJ69">
        <f t="shared" si="18"/>
        <v>0</v>
      </c>
      <c r="BK69">
        <f t="shared" si="19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2" cm="1">
        <f t="array" ref="BM69">$G$14+VLOOKUP($Q69,武学奇术!$A:$ZZ,16,FALSE)+SUM(_xlfn.XLOOKUP($R69:$AK69,增益!$A:$A,增益!$P:$P,0))</f>
        <v>0.06</v>
      </c>
      <c r="BN69" s="26">
        <f>MIN(IF(VLOOKUP($Q69,武学奇术!$A:$ZZ,23,FALSE)=1,100%,$B$8),100%)</f>
        <v>0.9859</v>
      </c>
      <c r="BO69" s="26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6" cm="1">
        <f t="array" ref="BP69">1+$B$13+VLOOKUP($Q69,武学奇术!$A:$ZZ,18,FALSE)+SUM(_xlfn.XLOOKUP($R69:$AK69,增益!$A:$A,增益!$R:$R,0))</f>
        <v>1.94</v>
      </c>
      <c r="BQ69" s="26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6" cm="1">
        <f t="array" ref="BR69">1+$B$14+VLOOKUP($Q69,武学奇术!$A:$ZZ,20,FALSE)+SUM(_xlfn.XLOOKUP($R69:$AK69,增益!$A:$A,增益!$T:$T,0))</f>
        <v>1.35</v>
      </c>
      <c r="BS69" s="26">
        <f t="shared" si="20"/>
        <v>0.87863408</v>
      </c>
      <c r="BT69" s="26">
        <f t="shared" si="21"/>
        <v>0.01567581</v>
      </c>
      <c r="BU69" s="26">
        <f>IF(VLOOKUP($Q69,武学奇术!$A:$ZZ,22,FALSE)=1,0,(1-$BN69))*(1-$BQ69)</f>
        <v>0.01279011</v>
      </c>
      <c r="BV69" s="26" cm="1">
        <f t="array" ref="BV69">SUM(_xlfn.XLOOKUP($R69:$AK69,增益!$A:$A,增益!$W:$W,0))+$I$5</f>
        <v>0.11</v>
      </c>
    </row>
    <row r="70" spans="1:74">
      <c r="K70" s="38">
        <f t="shared" si="11"/>
        <v>20097.528171041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20462.4868214928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19223.4577866219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12477.1261106664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10714.6538608721</v>
      </c>
      <c r="P70" s="39">
        <v>1</v>
      </c>
      <c r="Q70" s="40" t="s">
        <v>133</v>
      </c>
      <c r="R70" s="40" t="s">
        <v>100</v>
      </c>
      <c r="S70" s="40" t="s">
        <v>158</v>
      </c>
      <c r="T70" s="40" t="s">
        <v>97</v>
      </c>
      <c r="U70" s="40" t="s">
        <v>80</v>
      </c>
      <c r="V70" s="40" t="s">
        <v>73</v>
      </c>
      <c r="W70" s="40" t="s">
        <v>115</v>
      </c>
      <c r="X70" s="40" t="s">
        <v>87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81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80</v>
      </c>
      <c r="AL70" t="str">
        <f>VLOOKUP($Q70,武学奇术!$A:$ZZ,25,FALSE)</f>
        <v>鼓</v>
      </c>
      <c r="AM70" s="26">
        <f>VLOOKUP($Q70,武学奇术!$A:$ZZ,26,FALSE)</f>
        <v>0.8434</v>
      </c>
      <c r="AN70" s="27">
        <f>VLOOKUP($Q70,武学奇术!$A:$ZZ,27,FALSE)*(1+IF(OR($AL70=$F$4,$AL70=$F$5),$B$22,0))</f>
        <v>352.5</v>
      </c>
      <c r="AO70" s="26">
        <f>VLOOKUP($Q70,武学奇术!$A:$ZZ,28,FALSE)</f>
        <v>1.265</v>
      </c>
      <c r="AP70" s="27">
        <f>VLOOKUP($Q70,武学奇术!$A:$ZZ,29,FALSE)*(1+IF(OR($AL70=$F$4,$AL70=$F$5),$B$22,0))</f>
        <v>190.5</v>
      </c>
      <c r="AQ70" s="26" cm="1">
        <f t="array" ref="AQ70">$G$3+IFERROR(VLOOKUP($AL70,$F$4:$G$7,2,FALSE),0)+VLOOKUP($Q70,武学奇术!$A:$ZZ,2,FALSE)+SUM(_xlfn.XLOOKUP($R70:$AK70,增益!$A:$A,增益!$B:$B,0))</f>
        <v>0.4241</v>
      </c>
      <c r="AR70" s="26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3611.1</v>
      </c>
      <c r="AT70" cm="1">
        <f t="array" ref="AT70">$E$10*(1+$AR70)+VLOOKUP($Q70,武学奇术!$A:$ZZ,4,FALSE)+SUM(_xlfn.XLOOKUP($R70:$AK70,增益!$A:$A,增益!$D:$D,0))-$I$2</f>
        <v>3611.1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0.257</v>
      </c>
      <c r="AV70" s="32" cm="1">
        <f t="array" ref="AV70">$G$10+VLOOKUP($Q70,武学奇术!$A:$ZZ,7,FALSE)+SUM(_xlfn.XLOOKUP($R70:$AK70,增益!$A:$A,增益!$G:$G,0))</f>
        <v>0.205</v>
      </c>
      <c r="AW70" s="26" cm="1">
        <f t="array" ref="AW70">VLOOKUP($Q70,武学奇术!$A:$ZZ,8,FALSE)+SUM(_xlfn.XLOOKUP($R70:$AK70,增益!$A:$A,增益!$H:$H,0))</f>
        <v>0.12</v>
      </c>
      <c r="AX70">
        <f t="shared" si="12"/>
        <v>0</v>
      </c>
      <c r="AY70">
        <f t="shared" si="13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2" cm="1">
        <f t="array" ref="BA70">$G$11+VLOOKUP($Q70,武学奇术!$A:$ZZ,10,FALSE)+SUM(_xlfn.XLOOKUP($R70:$AK70,增益!$A:$A,增益!$J:$J,0))</f>
        <v>0.06</v>
      </c>
      <c r="BB70">
        <f t="shared" si="14"/>
        <v>0</v>
      </c>
      <c r="BC70">
        <f t="shared" si="15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2" cm="1">
        <f t="array" ref="BE70">$G$12+VLOOKUP($Q70,武学奇术!$A:$ZZ,12,FALSE)+SUM(_xlfn.XLOOKUP($R70:$AK70,增益!$A:$A,增益!$L:$L,0))</f>
        <v>0.06</v>
      </c>
      <c r="BF70">
        <f t="shared" si="16"/>
        <v>639.744</v>
      </c>
      <c r="BG70">
        <f t="shared" si="17"/>
        <v>1823.136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2" cm="1">
        <f t="array" ref="BI70">$G$13+VLOOKUP($Q70,武学奇术!$A:$ZZ,14,FALSE)+SUM(_xlfn.XLOOKUP($R70:$AK70,增益!$A:$A,增益!$N:$N,0))</f>
        <v>0.33</v>
      </c>
      <c r="BJ70">
        <f t="shared" si="18"/>
        <v>0</v>
      </c>
      <c r="BK70">
        <f t="shared" si="19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2" cm="1">
        <f t="array" ref="BM70">$G$14+VLOOKUP($Q70,武学奇术!$A:$ZZ,16,FALSE)+SUM(_xlfn.XLOOKUP($R70:$AK70,增益!$A:$A,增益!$P:$P,0))</f>
        <v>0.06</v>
      </c>
      <c r="BN70" s="26">
        <f>MIN(IF(VLOOKUP($Q70,武学奇术!$A:$ZZ,23,FALSE)=1,100%,$B$8),100%)</f>
        <v>0.9859</v>
      </c>
      <c r="BO70" s="26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6" cm="1">
        <f t="array" ref="BP70">1+$B$13+VLOOKUP($Q70,武学奇术!$A:$ZZ,18,FALSE)+SUM(_xlfn.XLOOKUP($R70:$AK70,增益!$A:$A,增益!$R:$R,0))</f>
        <v>1.64</v>
      </c>
      <c r="BQ70" s="26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6" cm="1">
        <f t="array" ref="BR70">1+$B$14+VLOOKUP($Q70,武学奇术!$A:$ZZ,20,FALSE)+SUM(_xlfn.XLOOKUP($R70:$AK70,增益!$A:$A,增益!$T:$T,0))</f>
        <v>1.35</v>
      </c>
      <c r="BS70" s="26">
        <f t="shared" si="20"/>
        <v>0.87863408</v>
      </c>
      <c r="BT70" s="26">
        <f t="shared" si="21"/>
        <v>0.01567581</v>
      </c>
      <c r="BU70" s="26">
        <f>IF(VLOOKUP($Q70,武学奇术!$A:$ZZ,22,FALSE)=1,0,(1-$BN70))*(1-$BQ70)</f>
        <v>0.01279011</v>
      </c>
      <c r="BV70" s="26" cm="1">
        <f t="array" ref="BV70">SUM(_xlfn.XLOOKUP($R70:$AK70,增益!$A:$A,增益!$W:$W,0))+$I$5</f>
        <v>0.11</v>
      </c>
    </row>
    <row r="71" spans="1:74">
      <c r="C71" s="4"/>
      <c r="K71" s="38">
        <f t="shared" si="11"/>
        <v>30251.3952828899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31310.0883720544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24877.7153804586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16139.2208103373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13850.5043018164</v>
      </c>
      <c r="P71" s="39">
        <v>1</v>
      </c>
      <c r="Q71" s="40" t="s">
        <v>137</v>
      </c>
      <c r="R71" s="40" t="s">
        <v>100</v>
      </c>
      <c r="S71" s="40" t="s">
        <v>158</v>
      </c>
      <c r="T71" s="40" t="s">
        <v>97</v>
      </c>
      <c r="U71" s="40" t="s">
        <v>80</v>
      </c>
      <c r="V71" s="40" t="s">
        <v>73</v>
      </c>
      <c r="W71" s="40" t="s">
        <v>115</v>
      </c>
      <c r="X71" s="40" t="s">
        <v>87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80</v>
      </c>
      <c r="AE71" s="40" t="s">
        <v>80</v>
      </c>
      <c r="AF71" s="40" t="s">
        <v>81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80</v>
      </c>
      <c r="AL71" t="str">
        <f>VLOOKUP($Q71,武学奇术!$A:$ZZ,25,FALSE)</f>
        <v>鼓</v>
      </c>
      <c r="AM71" s="26">
        <f>VLOOKUP($Q71,武学奇术!$A:$ZZ,26,FALSE)</f>
        <v>1.03936</v>
      </c>
      <c r="AN71" s="27">
        <f>VLOOKUP($Q71,武学奇术!$A:$ZZ,27,FALSE)*(1+IF(OR($AL71=$F$4,$AL71=$F$5),$B$22,0))</f>
        <v>432.6</v>
      </c>
      <c r="AO71" s="26">
        <f>VLOOKUP($Q71,武学奇术!$A:$ZZ,28,FALSE)</f>
        <v>1.55918</v>
      </c>
      <c r="AP71" s="27">
        <f>VLOOKUP($Q71,武学奇术!$A:$ZZ,29,FALSE)*(1+IF(OR($AL71=$F$4,$AL71=$F$5),$B$22,0))</f>
        <v>235.2</v>
      </c>
      <c r="AQ71" s="26" cm="1">
        <f t="array" ref="AQ71">$G$3+IFERROR(VLOOKUP($AL71,$F$4:$G$7,2,FALSE),0)+VLOOKUP($Q71,武学奇术!$A:$ZZ,2,FALSE)+SUM(_xlfn.XLOOKUP($R71:$AK71,增益!$A:$A,增益!$B:$B,0))</f>
        <v>0.4241</v>
      </c>
      <c r="AR71" s="26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3611.1</v>
      </c>
      <c r="AT71" cm="1">
        <f t="array" ref="AT71">$E$10*(1+$AR71)+VLOOKUP($Q71,武学奇术!$A:$ZZ,4,FALSE)+SUM(_xlfn.XLOOKUP($R71:$AK71,增益!$A:$A,增益!$D:$D,0))-$I$2</f>
        <v>3611.1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0.317</v>
      </c>
      <c r="AV71" s="32" cm="1">
        <f t="array" ref="AV71">$G$10+VLOOKUP($Q71,武学奇术!$A:$ZZ,7,FALSE)+SUM(_xlfn.XLOOKUP($R71:$AK71,增益!$A:$A,增益!$G:$G,0))</f>
        <v>0.205</v>
      </c>
      <c r="AW71" s="26" cm="1">
        <f t="array" ref="AW71">VLOOKUP($Q71,武学奇术!$A:$ZZ,8,FALSE)+SUM(_xlfn.XLOOKUP($R71:$AK71,增益!$A:$A,增益!$H:$H,0))</f>
        <v>0.12</v>
      </c>
      <c r="AX71">
        <f t="shared" si="12"/>
        <v>0</v>
      </c>
      <c r="AY71">
        <f t="shared" si="13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2" cm="1">
        <f t="array" ref="BA71">$G$11+VLOOKUP($Q71,武学奇术!$A:$ZZ,10,FALSE)+SUM(_xlfn.XLOOKUP($R71:$AK71,增益!$A:$A,增益!$J:$J,0))</f>
        <v>0.06</v>
      </c>
      <c r="BB71">
        <f t="shared" si="14"/>
        <v>0</v>
      </c>
      <c r="BC71">
        <f t="shared" si="15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2" cm="1">
        <f t="array" ref="BE71">$G$12+VLOOKUP($Q71,武学奇术!$A:$ZZ,12,FALSE)+SUM(_xlfn.XLOOKUP($R71:$AK71,增益!$A:$A,增益!$L:$L,0))</f>
        <v>0.06</v>
      </c>
      <c r="BF71">
        <f t="shared" si="16"/>
        <v>639.744</v>
      </c>
      <c r="BG71">
        <f t="shared" si="17"/>
        <v>1823.136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2" cm="1">
        <f t="array" ref="BI71">$G$13+VLOOKUP($Q71,武学奇术!$A:$ZZ,14,FALSE)+SUM(_xlfn.XLOOKUP($R71:$AK71,增益!$A:$A,增益!$N:$N,0))</f>
        <v>0.33</v>
      </c>
      <c r="BJ71">
        <f t="shared" si="18"/>
        <v>0</v>
      </c>
      <c r="BK71">
        <f t="shared" si="19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2" cm="1">
        <f t="array" ref="BM71">$G$14+VLOOKUP($Q71,武学奇术!$A:$ZZ,16,FALSE)+SUM(_xlfn.XLOOKUP($R71:$AK71,增益!$A:$A,增益!$P:$P,0))</f>
        <v>0.06</v>
      </c>
      <c r="BN71" s="26">
        <f>MIN(IF(VLOOKUP($Q71,武学奇术!$A:$ZZ,23,FALSE)=1,100%,$B$8),100%)</f>
        <v>0.9859</v>
      </c>
      <c r="BO71" s="26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6" cm="1">
        <f t="array" ref="BP71">1+$B$13+VLOOKUP($Q71,武学奇术!$A:$ZZ,18,FALSE)+SUM(_xlfn.XLOOKUP($R71:$AK71,增益!$A:$A,增益!$R:$R,0))</f>
        <v>1.94</v>
      </c>
      <c r="BQ71" s="26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6" cm="1">
        <f t="array" ref="BR71">1+$B$14+VLOOKUP($Q71,武学奇术!$A:$ZZ,20,FALSE)+SUM(_xlfn.XLOOKUP($R71:$AK71,增益!$A:$A,增益!$T:$T,0))</f>
        <v>1.35</v>
      </c>
      <c r="BS71" s="26">
        <f t="shared" si="20"/>
        <v>0.87863408</v>
      </c>
      <c r="BT71" s="26">
        <f t="shared" si="21"/>
        <v>0.01567581</v>
      </c>
      <c r="BU71" s="26">
        <f>IF(VLOOKUP($Q71,武学奇术!$A:$ZZ,22,FALSE)=1,0,(1-$BN71))*(1-$BQ71)</f>
        <v>0.01279011</v>
      </c>
      <c r="BV71" s="26" cm="1">
        <f t="array" ref="BV71">SUM(_xlfn.XLOOKUP($R71:$AK71,增益!$A:$A,增益!$W:$W,0))+$I$5</f>
        <v>0.11</v>
      </c>
    </row>
    <row r="72" spans="1:74">
      <c r="A72" s="4"/>
      <c r="B72" s="4"/>
      <c r="K72" s="38">
        <f t="shared" si="11"/>
        <v>95209.281078525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98542.0012139359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78289.0104881327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50794.8459865649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43597.8323522907</v>
      </c>
      <c r="P72" s="39">
        <v>1</v>
      </c>
      <c r="Q72" s="40" t="s">
        <v>140</v>
      </c>
      <c r="R72" s="40" t="s">
        <v>100</v>
      </c>
      <c r="S72" s="40" t="s">
        <v>158</v>
      </c>
      <c r="T72" s="40" t="s">
        <v>97</v>
      </c>
      <c r="U72" s="40" t="s">
        <v>80</v>
      </c>
      <c r="V72" s="40" t="s">
        <v>73</v>
      </c>
      <c r="W72" s="40" t="s">
        <v>115</v>
      </c>
      <c r="X72" s="40" t="s">
        <v>87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81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80</v>
      </c>
      <c r="AL72" t="str">
        <f>VLOOKUP($Q72,武学奇术!$A:$ZZ,25,FALSE)</f>
        <v>鼓</v>
      </c>
      <c r="AM72" s="26">
        <f>VLOOKUP($Q72,武学奇术!$A:$ZZ,26,FALSE)</f>
        <v>3.26858</v>
      </c>
      <c r="AN72" s="27">
        <f>VLOOKUP($Q72,武学奇术!$A:$ZZ,27,FALSE)*(1+IF(OR($AL72=$F$4,$AL72=$F$5),$B$22,0))</f>
        <v>1377.6</v>
      </c>
      <c r="AO72" s="26">
        <f>VLOOKUP($Q72,武学奇术!$A:$ZZ,28,FALSE)</f>
        <v>4.90294</v>
      </c>
      <c r="AP72" s="27">
        <f>VLOOKUP($Q72,武学奇术!$A:$ZZ,29,FALSE)*(1+IF(OR($AL72=$F$4,$AL72=$F$5),$B$22,0))</f>
        <v>739.2</v>
      </c>
      <c r="AQ72" s="26" cm="1">
        <f t="array" ref="AQ72">$G$3+IFERROR(VLOOKUP($AL72,$F$4:$G$7,2,FALSE),0)+VLOOKUP($Q72,武学奇术!$A:$ZZ,2,FALSE)+SUM(_xlfn.XLOOKUP($R72:$AK72,增益!$A:$A,增益!$B:$B,0))</f>
        <v>0.4241</v>
      </c>
      <c r="AR72" s="26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3611.1</v>
      </c>
      <c r="AT72" cm="1">
        <f t="array" ref="AT72">$E$10*(1+$AR72)+VLOOKUP($Q72,武学奇术!$A:$ZZ,4,FALSE)+SUM(_xlfn.XLOOKUP($R72:$AK72,增益!$A:$A,增益!$D:$D,0))-$I$2</f>
        <v>3611.1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0.317</v>
      </c>
      <c r="AV72" s="32" cm="1">
        <f t="array" ref="AV72">$G$10+VLOOKUP($Q72,武学奇术!$A:$ZZ,7,FALSE)+SUM(_xlfn.XLOOKUP($R72:$AK72,增益!$A:$A,增益!$G:$G,0))</f>
        <v>0.205</v>
      </c>
      <c r="AW72" s="26" cm="1">
        <f t="array" ref="AW72">VLOOKUP($Q72,武学奇术!$A:$ZZ,8,FALSE)+SUM(_xlfn.XLOOKUP($R72:$AK72,增益!$A:$A,增益!$H:$H,0))</f>
        <v>0.12</v>
      </c>
      <c r="AX72">
        <f t="shared" si="12"/>
        <v>0</v>
      </c>
      <c r="AY72">
        <f t="shared" si="13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2" cm="1">
        <f t="array" ref="BA72">$G$11+VLOOKUP($Q72,武学奇术!$A:$ZZ,10,FALSE)+SUM(_xlfn.XLOOKUP($R72:$AK72,增益!$A:$A,增益!$J:$J,0))</f>
        <v>0.06</v>
      </c>
      <c r="BB72">
        <f t="shared" si="14"/>
        <v>0</v>
      </c>
      <c r="BC72">
        <f t="shared" si="15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2" cm="1">
        <f t="array" ref="BE72">$G$12+VLOOKUP($Q72,武学奇术!$A:$ZZ,12,FALSE)+SUM(_xlfn.XLOOKUP($R72:$AK72,增益!$A:$A,增益!$L:$L,0))</f>
        <v>0.06</v>
      </c>
      <c r="BF72">
        <f t="shared" si="16"/>
        <v>639.744</v>
      </c>
      <c r="BG72">
        <f t="shared" si="17"/>
        <v>1823.136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2" cm="1">
        <f t="array" ref="BI72">$G$13+VLOOKUP($Q72,武学奇术!$A:$ZZ,14,FALSE)+SUM(_xlfn.XLOOKUP($R72:$AK72,增益!$A:$A,增益!$N:$N,0))</f>
        <v>0.33</v>
      </c>
      <c r="BJ72">
        <f t="shared" si="18"/>
        <v>0</v>
      </c>
      <c r="BK72">
        <f t="shared" si="19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2" cm="1">
        <f t="array" ref="BM72">$G$14+VLOOKUP($Q72,武学奇术!$A:$ZZ,16,FALSE)+SUM(_xlfn.XLOOKUP($R72:$AK72,增益!$A:$A,增益!$P:$P,0))</f>
        <v>0.06</v>
      </c>
      <c r="BN72" s="26">
        <f>MIN(IF(VLOOKUP($Q72,武学奇术!$A:$ZZ,23,FALSE)=1,100%,$B$8),100%)</f>
        <v>0.9859</v>
      </c>
      <c r="BO72" s="26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6" cm="1">
        <f t="array" ref="BP72">1+$B$13+VLOOKUP($Q72,武学奇术!$A:$ZZ,18,FALSE)+SUM(_xlfn.XLOOKUP($R72:$AK72,增益!$A:$A,增益!$R:$R,0))</f>
        <v>1.94</v>
      </c>
      <c r="BQ72" s="26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6" cm="1">
        <f t="array" ref="BR72">1+$B$14+VLOOKUP($Q72,武学奇术!$A:$ZZ,20,FALSE)+SUM(_xlfn.XLOOKUP($R72:$AK72,增益!$A:$A,增益!$T:$T,0))</f>
        <v>1.35</v>
      </c>
      <c r="BS72" s="26">
        <f t="shared" si="20"/>
        <v>0.87863408</v>
      </c>
      <c r="BT72" s="26">
        <f t="shared" si="21"/>
        <v>0.01567581</v>
      </c>
      <c r="BU72" s="26">
        <f>IF(VLOOKUP($Q72,武学奇术!$A:$ZZ,22,FALSE)=1,0,(1-$BN72))*(1-$BQ72)</f>
        <v>0.01279011</v>
      </c>
      <c r="BV72" s="26" cm="1">
        <f t="array" ref="BV72">SUM(_xlfn.XLOOKUP($R72:$AK72,增益!$A:$A,增益!$W:$W,0))+$I$5</f>
        <v>0.11</v>
      </c>
    </row>
    <row r="73" spans="1:74">
      <c r="C73" s="4"/>
      <c r="K73" s="38">
        <f t="shared" si="11"/>
        <v>20097.528171041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20462.4868214928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19223.4577866219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12477.1261106664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10714.6538608721</v>
      </c>
      <c r="P73" s="39">
        <v>1</v>
      </c>
      <c r="Q73" s="40" t="s">
        <v>133</v>
      </c>
      <c r="R73" s="40" t="s">
        <v>100</v>
      </c>
      <c r="S73" s="40" t="s">
        <v>158</v>
      </c>
      <c r="T73" s="40" t="s">
        <v>97</v>
      </c>
      <c r="U73" s="40" t="s">
        <v>80</v>
      </c>
      <c r="V73" s="40" t="s">
        <v>73</v>
      </c>
      <c r="W73" s="40" t="s">
        <v>115</v>
      </c>
      <c r="X73" s="40" t="s">
        <v>87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80</v>
      </c>
      <c r="AE73" s="40" t="s">
        <v>80</v>
      </c>
      <c r="AF73" s="40" t="s">
        <v>81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80</v>
      </c>
      <c r="AL73" t="str">
        <f>VLOOKUP($Q73,武学奇术!$A:$ZZ,25,FALSE)</f>
        <v>鼓</v>
      </c>
      <c r="AM73" s="26">
        <f>VLOOKUP($Q73,武学奇术!$A:$ZZ,26,FALSE)</f>
        <v>0.8434</v>
      </c>
      <c r="AN73" s="27">
        <f>VLOOKUP($Q73,武学奇术!$A:$ZZ,27,FALSE)*(1+IF(OR($AL73=$F$4,$AL73=$F$5),$B$22,0))</f>
        <v>352.5</v>
      </c>
      <c r="AO73" s="26">
        <f>VLOOKUP($Q73,武学奇术!$A:$ZZ,28,FALSE)</f>
        <v>1.265</v>
      </c>
      <c r="AP73" s="27">
        <f>VLOOKUP($Q73,武学奇术!$A:$ZZ,29,FALSE)*(1+IF(OR($AL73=$F$4,$AL73=$F$5),$B$22,0))</f>
        <v>190.5</v>
      </c>
      <c r="AQ73" s="26" cm="1">
        <f t="array" ref="AQ73">$G$3+IFERROR(VLOOKUP($AL73,$F$4:$G$7,2,FALSE),0)+VLOOKUP($Q73,武学奇术!$A:$ZZ,2,FALSE)+SUM(_xlfn.XLOOKUP($R73:$AK73,增益!$A:$A,增益!$B:$B,0))</f>
        <v>0.4241</v>
      </c>
      <c r="AR73" s="26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3611.1</v>
      </c>
      <c r="AT73" cm="1">
        <f t="array" ref="AT73">$E$10*(1+$AR73)+VLOOKUP($Q73,武学奇术!$A:$ZZ,4,FALSE)+SUM(_xlfn.XLOOKUP($R73:$AK73,增益!$A:$A,增益!$D:$D,0))-$I$2</f>
        <v>3611.1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0.257</v>
      </c>
      <c r="AV73" s="32" cm="1">
        <f t="array" ref="AV73">$G$10+VLOOKUP($Q73,武学奇术!$A:$ZZ,7,FALSE)+SUM(_xlfn.XLOOKUP($R73:$AK73,增益!$A:$A,增益!$G:$G,0))</f>
        <v>0.205</v>
      </c>
      <c r="AW73" s="26" cm="1">
        <f t="array" ref="AW73">VLOOKUP($Q73,武学奇术!$A:$ZZ,8,FALSE)+SUM(_xlfn.XLOOKUP($R73:$AK73,增益!$A:$A,增益!$H:$H,0))</f>
        <v>0.12</v>
      </c>
      <c r="AX73">
        <f t="shared" si="12"/>
        <v>0</v>
      </c>
      <c r="AY73">
        <f t="shared" si="13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2" cm="1">
        <f t="array" ref="BA73">$G$11+VLOOKUP($Q73,武学奇术!$A:$ZZ,10,FALSE)+SUM(_xlfn.XLOOKUP($R73:$AK73,增益!$A:$A,增益!$J:$J,0))</f>
        <v>0.06</v>
      </c>
      <c r="BB73">
        <f t="shared" si="14"/>
        <v>0</v>
      </c>
      <c r="BC73">
        <f t="shared" si="15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2" cm="1">
        <f t="array" ref="BE73">$G$12+VLOOKUP($Q73,武学奇术!$A:$ZZ,12,FALSE)+SUM(_xlfn.XLOOKUP($R73:$AK73,增益!$A:$A,增益!$L:$L,0))</f>
        <v>0.06</v>
      </c>
      <c r="BF73">
        <f t="shared" si="16"/>
        <v>639.744</v>
      </c>
      <c r="BG73">
        <f t="shared" si="17"/>
        <v>1823.136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2" cm="1">
        <f t="array" ref="BI73">$G$13+VLOOKUP($Q73,武学奇术!$A:$ZZ,14,FALSE)+SUM(_xlfn.XLOOKUP($R73:$AK73,增益!$A:$A,增益!$N:$N,0))</f>
        <v>0.33</v>
      </c>
      <c r="BJ73">
        <f t="shared" si="18"/>
        <v>0</v>
      </c>
      <c r="BK73">
        <f t="shared" si="19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2" cm="1">
        <f t="array" ref="BM73">$G$14+VLOOKUP($Q73,武学奇术!$A:$ZZ,16,FALSE)+SUM(_xlfn.XLOOKUP($R73:$AK73,增益!$A:$A,增益!$P:$P,0))</f>
        <v>0.06</v>
      </c>
      <c r="BN73" s="26">
        <f>MIN(IF(VLOOKUP($Q73,武学奇术!$A:$ZZ,23,FALSE)=1,100%,$B$8),100%)</f>
        <v>0.9859</v>
      </c>
      <c r="BO73" s="26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6" cm="1">
        <f t="array" ref="BP73">1+$B$13+VLOOKUP($Q73,武学奇术!$A:$ZZ,18,FALSE)+SUM(_xlfn.XLOOKUP($R73:$AK73,增益!$A:$A,增益!$R:$R,0))</f>
        <v>1.64</v>
      </c>
      <c r="BQ73" s="26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6" cm="1">
        <f t="array" ref="BR73">1+$B$14+VLOOKUP($Q73,武学奇术!$A:$ZZ,20,FALSE)+SUM(_xlfn.XLOOKUP($R73:$AK73,增益!$A:$A,增益!$T:$T,0))</f>
        <v>1.35</v>
      </c>
      <c r="BS73" s="26">
        <f t="shared" si="20"/>
        <v>0.87863408</v>
      </c>
      <c r="BT73" s="26">
        <f t="shared" si="21"/>
        <v>0.01567581</v>
      </c>
      <c r="BU73" s="26">
        <f>IF(VLOOKUP($Q73,武学奇术!$A:$ZZ,22,FALSE)=1,0,(1-$BN73))*(1-$BQ73)</f>
        <v>0.01279011</v>
      </c>
      <c r="BV73" s="26" cm="1">
        <f t="array" ref="BV73">SUM(_xlfn.XLOOKUP($R73:$AK73,增益!$A:$A,增益!$W:$W,0))+$I$5</f>
        <v>0.11</v>
      </c>
    </row>
    <row r="74" spans="1:74">
      <c r="C74" s="4"/>
      <c r="K74" s="38">
        <f t="shared" si="11"/>
        <v>30251.3952828899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31310.0883720544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24877.7153804586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16139.2208103373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13850.5043018164</v>
      </c>
      <c r="P74" s="39">
        <v>1</v>
      </c>
      <c r="Q74" s="40" t="s">
        <v>137</v>
      </c>
      <c r="R74" s="40" t="s">
        <v>100</v>
      </c>
      <c r="S74" s="40" t="s">
        <v>158</v>
      </c>
      <c r="T74" s="40" t="s">
        <v>97</v>
      </c>
      <c r="U74" s="40" t="s">
        <v>80</v>
      </c>
      <c r="V74" s="40" t="s">
        <v>73</v>
      </c>
      <c r="W74" s="40" t="s">
        <v>115</v>
      </c>
      <c r="X74" s="40" t="s">
        <v>87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81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80</v>
      </c>
      <c r="AL74" t="str">
        <f>VLOOKUP($Q74,武学奇术!$A:$ZZ,25,FALSE)</f>
        <v>鼓</v>
      </c>
      <c r="AM74" s="26">
        <f>VLOOKUP($Q74,武学奇术!$A:$ZZ,26,FALSE)</f>
        <v>1.03936</v>
      </c>
      <c r="AN74" s="27">
        <f>VLOOKUP($Q74,武学奇术!$A:$ZZ,27,FALSE)*(1+IF(OR($AL74=$F$4,$AL74=$F$5),$B$22,0))</f>
        <v>432.6</v>
      </c>
      <c r="AO74" s="26">
        <f>VLOOKUP($Q74,武学奇术!$A:$ZZ,28,FALSE)</f>
        <v>1.55918</v>
      </c>
      <c r="AP74" s="27">
        <f>VLOOKUP($Q74,武学奇术!$A:$ZZ,29,FALSE)*(1+IF(OR($AL74=$F$4,$AL74=$F$5),$B$22,0))</f>
        <v>235.2</v>
      </c>
      <c r="AQ74" s="26" cm="1">
        <f t="array" ref="AQ74">$G$3+IFERROR(VLOOKUP($AL74,$F$4:$G$7,2,FALSE),0)+VLOOKUP($Q74,武学奇术!$A:$ZZ,2,FALSE)+SUM(_xlfn.XLOOKUP($R74:$AK74,增益!$A:$A,增益!$B:$B,0))</f>
        <v>0.4241</v>
      </c>
      <c r="AR74" s="26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3611.1</v>
      </c>
      <c r="AT74" cm="1">
        <f t="array" ref="AT74">$E$10*(1+$AR74)+VLOOKUP($Q74,武学奇术!$A:$ZZ,4,FALSE)+SUM(_xlfn.XLOOKUP($R74:$AK74,增益!$A:$A,增益!$D:$D,0))-$I$2</f>
        <v>3611.1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0.317</v>
      </c>
      <c r="AV74" s="32" cm="1">
        <f t="array" ref="AV74">$G$10+VLOOKUP($Q74,武学奇术!$A:$ZZ,7,FALSE)+SUM(_xlfn.XLOOKUP($R74:$AK74,增益!$A:$A,增益!$G:$G,0))</f>
        <v>0.205</v>
      </c>
      <c r="AW74" s="26" cm="1">
        <f t="array" ref="AW74">VLOOKUP($Q74,武学奇术!$A:$ZZ,8,FALSE)+SUM(_xlfn.XLOOKUP($R74:$AK74,增益!$A:$A,增益!$H:$H,0))</f>
        <v>0.12</v>
      </c>
      <c r="AX74">
        <f t="shared" si="12"/>
        <v>0</v>
      </c>
      <c r="AY74">
        <f t="shared" si="13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2" cm="1">
        <f t="array" ref="BA74">$G$11+VLOOKUP($Q74,武学奇术!$A:$ZZ,10,FALSE)+SUM(_xlfn.XLOOKUP($R74:$AK74,增益!$A:$A,增益!$J:$J,0))</f>
        <v>0.06</v>
      </c>
      <c r="BB74">
        <f t="shared" si="14"/>
        <v>0</v>
      </c>
      <c r="BC74">
        <f t="shared" si="15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2" cm="1">
        <f t="array" ref="BE74">$G$12+VLOOKUP($Q74,武学奇术!$A:$ZZ,12,FALSE)+SUM(_xlfn.XLOOKUP($R74:$AK74,增益!$A:$A,增益!$L:$L,0))</f>
        <v>0.06</v>
      </c>
      <c r="BF74">
        <f t="shared" si="16"/>
        <v>639.744</v>
      </c>
      <c r="BG74">
        <f t="shared" si="17"/>
        <v>1823.136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2" cm="1">
        <f t="array" ref="BI74">$G$13+VLOOKUP($Q74,武学奇术!$A:$ZZ,14,FALSE)+SUM(_xlfn.XLOOKUP($R74:$AK74,增益!$A:$A,增益!$N:$N,0))</f>
        <v>0.33</v>
      </c>
      <c r="BJ74">
        <f t="shared" si="18"/>
        <v>0</v>
      </c>
      <c r="BK74">
        <f t="shared" si="19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2" cm="1">
        <f t="array" ref="BM74">$G$14+VLOOKUP($Q74,武学奇术!$A:$ZZ,16,FALSE)+SUM(_xlfn.XLOOKUP($R74:$AK74,增益!$A:$A,增益!$P:$P,0))</f>
        <v>0.06</v>
      </c>
      <c r="BN74" s="26">
        <f>MIN(IF(VLOOKUP($Q74,武学奇术!$A:$ZZ,23,FALSE)=1,100%,$B$8),100%)</f>
        <v>0.9859</v>
      </c>
      <c r="BO74" s="26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6" cm="1">
        <f t="array" ref="BP74">1+$B$13+VLOOKUP($Q74,武学奇术!$A:$ZZ,18,FALSE)+SUM(_xlfn.XLOOKUP($R74:$AK74,增益!$A:$A,增益!$R:$R,0))</f>
        <v>1.94</v>
      </c>
      <c r="BQ74" s="26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6" cm="1">
        <f t="array" ref="BR74">1+$B$14+VLOOKUP($Q74,武学奇术!$A:$ZZ,20,FALSE)+SUM(_xlfn.XLOOKUP($R74:$AK74,增益!$A:$A,增益!$T:$T,0))</f>
        <v>1.35</v>
      </c>
      <c r="BS74" s="26">
        <f t="shared" si="20"/>
        <v>0.87863408</v>
      </c>
      <c r="BT74" s="26">
        <f t="shared" si="21"/>
        <v>0.01567581</v>
      </c>
      <c r="BU74" s="26">
        <f>IF(VLOOKUP($Q74,武学奇术!$A:$ZZ,22,FALSE)=1,0,(1-$BN74))*(1-$BQ74)</f>
        <v>0.01279011</v>
      </c>
      <c r="BV74" s="26" cm="1">
        <f t="array" ref="BV74">SUM(_xlfn.XLOOKUP($R74:$AK74,增益!$A:$A,增益!$W:$W,0))+$I$5</f>
        <v>0.11</v>
      </c>
    </row>
    <row r="75" spans="1:74">
      <c r="A75" s="4"/>
      <c r="B75" s="4"/>
      <c r="K75" s="38">
        <f t="shared" si="11"/>
        <v>92920.5316657413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96210.1609928408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76007.6284468704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49592.866491155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42883.7859846283</v>
      </c>
      <c r="P75" s="39">
        <v>1</v>
      </c>
      <c r="Q75" s="40" t="s">
        <v>140</v>
      </c>
      <c r="R75" s="40" t="s">
        <v>100</v>
      </c>
      <c r="S75" s="40" t="s">
        <v>158</v>
      </c>
      <c r="T75" s="40" t="s">
        <v>97</v>
      </c>
      <c r="U75" s="40" t="s">
        <v>80</v>
      </c>
      <c r="V75" s="40" t="s">
        <v>73</v>
      </c>
      <c r="W75" s="40" t="s">
        <v>115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81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80</v>
      </c>
      <c r="AL75" t="str">
        <f>VLOOKUP($Q75,武学奇术!$A:$ZZ,25,FALSE)</f>
        <v>鼓</v>
      </c>
      <c r="AM75" s="26">
        <f>VLOOKUP($Q75,武学奇术!$A:$ZZ,26,FALSE)</f>
        <v>3.26858</v>
      </c>
      <c r="AN75" s="27">
        <f>VLOOKUP($Q75,武学奇术!$A:$ZZ,27,FALSE)*(1+IF(OR($AL75=$F$4,$AL75=$F$5),$B$22,0))</f>
        <v>1377.6</v>
      </c>
      <c r="AO75" s="26">
        <f>VLOOKUP($Q75,武学奇术!$A:$ZZ,28,FALSE)</f>
        <v>4.90294</v>
      </c>
      <c r="AP75" s="27">
        <f>VLOOKUP($Q75,武学奇术!$A:$ZZ,29,FALSE)*(1+IF(OR($AL75=$F$4,$AL75=$F$5),$B$22,0))</f>
        <v>739.2</v>
      </c>
      <c r="AQ75" s="26" cm="1">
        <f t="array" ref="AQ75">$G$3+IFERROR(VLOOKUP($AL75,$F$4:$G$7,2,FALSE),0)+VLOOKUP($Q75,武学奇术!$A:$ZZ,2,FALSE)+SUM(_xlfn.XLOOKUP($R75:$AK75,增益!$A:$A,增益!$B:$B,0))</f>
        <v>0.4241</v>
      </c>
      <c r="AR75" s="26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3611.1</v>
      </c>
      <c r="AT75" cm="1">
        <f t="array" ref="AT75">$E$10*(1+$AR75)+VLOOKUP($Q75,武学奇术!$A:$ZZ,4,FALSE)+SUM(_xlfn.XLOOKUP($R75:$AK75,增益!$A:$A,增益!$D:$D,0))-$I$2</f>
        <v>3611.1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0.317</v>
      </c>
      <c r="AV75" s="32" cm="1">
        <f t="array" ref="AV75">$G$10+VLOOKUP($Q75,武学奇术!$A:$ZZ,7,FALSE)+SUM(_xlfn.XLOOKUP($R75:$AK75,增益!$A:$A,增益!$G:$G,0))</f>
        <v>0.205</v>
      </c>
      <c r="AW75" s="26" cm="1">
        <f t="array" ref="AW75">VLOOKUP($Q75,武学奇术!$A:$ZZ,8,FALSE)+SUM(_xlfn.XLOOKUP($R75:$AK75,增益!$A:$A,增益!$H:$H,0))</f>
        <v>0.12</v>
      </c>
      <c r="AX75">
        <f t="shared" si="12"/>
        <v>0</v>
      </c>
      <c r="AY75">
        <f t="shared" si="13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2" cm="1">
        <f t="array" ref="BA75">$G$11+VLOOKUP($Q75,武学奇术!$A:$ZZ,10,FALSE)+SUM(_xlfn.XLOOKUP($R75:$AK75,增益!$A:$A,增益!$J:$J,0))</f>
        <v>0.06</v>
      </c>
      <c r="BB75">
        <f t="shared" si="14"/>
        <v>0</v>
      </c>
      <c r="BC75">
        <f t="shared" si="15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2" cm="1">
        <f t="array" ref="BE75">$G$12+VLOOKUP($Q75,武学奇术!$A:$ZZ,12,FALSE)+SUM(_xlfn.XLOOKUP($R75:$AK75,增益!$A:$A,增益!$L:$L,0))</f>
        <v>0.06</v>
      </c>
      <c r="BF75">
        <f t="shared" si="16"/>
        <v>639.744</v>
      </c>
      <c r="BG75">
        <f t="shared" si="17"/>
        <v>1823.136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2" cm="1">
        <f t="array" ref="BI75">$G$13+VLOOKUP($Q75,武学奇术!$A:$ZZ,14,FALSE)+SUM(_xlfn.XLOOKUP($R75:$AK75,增益!$A:$A,增益!$N:$N,0))</f>
        <v>0.33</v>
      </c>
      <c r="BJ75">
        <f t="shared" si="18"/>
        <v>0</v>
      </c>
      <c r="BK75">
        <f t="shared" si="19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2" cm="1">
        <f t="array" ref="BM75">$G$14+VLOOKUP($Q75,武学奇术!$A:$ZZ,16,FALSE)+SUM(_xlfn.XLOOKUP($R75:$AK75,增益!$A:$A,增益!$P:$P,0))</f>
        <v>0.06</v>
      </c>
      <c r="BN75" s="26">
        <f>MIN(IF(VLOOKUP($Q75,武学奇术!$A:$ZZ,23,FALSE)=1,100%,$B$8),100%)</f>
        <v>0.9859</v>
      </c>
      <c r="BO75" s="26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6" cm="1">
        <f t="array" ref="BP75">1+$B$13+VLOOKUP($Q75,武学奇术!$A:$ZZ,18,FALSE)+SUM(_xlfn.XLOOKUP($R75:$AK75,增益!$A:$A,增益!$R:$R,0))</f>
        <v>1.94</v>
      </c>
      <c r="BQ75" s="26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6" cm="1">
        <f t="array" ref="BR75">1+$B$14+VLOOKUP($Q75,武学奇术!$A:$ZZ,20,FALSE)+SUM(_xlfn.XLOOKUP($R75:$AK75,增益!$A:$A,增益!$T:$T,0))</f>
        <v>1.35</v>
      </c>
      <c r="BS75" s="26">
        <f t="shared" si="20"/>
        <v>0.87863408</v>
      </c>
      <c r="BT75" s="26">
        <f t="shared" si="21"/>
        <v>0.01567581</v>
      </c>
      <c r="BU75" s="26">
        <f>IF(VLOOKUP($Q75,武学奇术!$A:$ZZ,22,FALSE)=1,0,(1-$BN75))*(1-$BQ75)</f>
        <v>0.01279011</v>
      </c>
      <c r="BV75" s="26" cm="1">
        <f t="array" ref="BV75">SUM(_xlfn.XLOOKUP($R75:$AK75,增益!$A:$A,增益!$W:$W,0))+$I$5</f>
        <v>0.11</v>
      </c>
    </row>
    <row r="76" spans="1:74">
      <c r="A76" s="4"/>
      <c r="B76" s="4"/>
      <c r="K76" s="38">
        <f t="shared" si="11"/>
        <v>51719.7298297034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52641.4844044845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49659.3394689093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32098.4661002954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27412.2362976951</v>
      </c>
      <c r="P76" s="39">
        <v>2</v>
      </c>
      <c r="Q76" s="40" t="s">
        <v>75</v>
      </c>
      <c r="R76" s="40" t="s">
        <v>100</v>
      </c>
      <c r="S76" s="40" t="s">
        <v>158</v>
      </c>
      <c r="T76" s="40" t="s">
        <v>97</v>
      </c>
      <c r="U76" s="40" t="s">
        <v>80</v>
      </c>
      <c r="V76" s="40" t="s">
        <v>73</v>
      </c>
      <c r="W76" s="40" t="s">
        <v>80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80</v>
      </c>
      <c r="AE76" s="40" t="s">
        <v>80</v>
      </c>
      <c r="AF76" s="40" t="s">
        <v>81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80</v>
      </c>
      <c r="AL76" t="str">
        <f>VLOOKUP($Q76,武学奇术!$A:$ZZ,25,FALSE)</f>
        <v>群体奇术</v>
      </c>
      <c r="AM76" s="26">
        <f>VLOOKUP($Q76,武学奇术!$A:$ZZ,26,FALSE)</f>
        <v>1.4904</v>
      </c>
      <c r="AN76" s="27">
        <f>VLOOKUP($Q76,武学奇术!$A:$ZZ,27,FALSE)*(1+IF(OR($AL76=$F$4,$AL76=$F$5),$B$22,0))</f>
        <v>378</v>
      </c>
      <c r="AO76" s="26">
        <f>VLOOKUP($Q76,武学奇术!$A:$ZZ,28,FALSE)</f>
        <v>2.2356</v>
      </c>
      <c r="AP76" s="27">
        <f>VLOOKUP($Q76,武学奇术!$A:$ZZ,29,FALSE)*(1+IF(OR($AL76=$F$4,$AL76=$F$5),$B$22,0))</f>
        <v>0</v>
      </c>
      <c r="AQ76" s="26" cm="1">
        <f t="array" ref="AQ76">$G$3+IFERROR(VLOOKUP($AL76,$F$4:$G$7,2,FALSE),0)+VLOOKUP($Q76,武学奇术!$A:$ZZ,2,FALSE)+SUM(_xlfn.XLOOKUP($R76:$AK76,增益!$A:$A,增益!$B:$B,0))</f>
        <v>0.1537</v>
      </c>
      <c r="AR76" s="26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3611.1</v>
      </c>
      <c r="AT76" cm="1">
        <f t="array" ref="AT76">$E$10*(1+$AR76)+VLOOKUP($Q76,武学奇术!$A:$ZZ,4,FALSE)+SUM(_xlfn.XLOOKUP($R76:$AK76,增益!$A:$A,增益!$D:$D,0))-$I$2</f>
        <v>3611.1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0.257</v>
      </c>
      <c r="AV76" s="32" cm="1">
        <f t="array" ref="AV76">$G$10+VLOOKUP($Q76,武学奇术!$A:$ZZ,7,FALSE)+SUM(_xlfn.XLOOKUP($R76:$AK76,增益!$A:$A,增益!$G:$G,0))</f>
        <v>0.205</v>
      </c>
      <c r="AW76" s="26" cm="1">
        <f t="array" ref="AW76">VLOOKUP($Q76,武学奇术!$A:$ZZ,8,FALSE)+SUM(_xlfn.XLOOKUP($R76:$AK76,增益!$A:$A,增益!$H:$H,0))</f>
        <v>0.12</v>
      </c>
      <c r="AX76">
        <f t="shared" si="12"/>
        <v>0</v>
      </c>
      <c r="AY76">
        <f t="shared" si="13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2" cm="1">
        <f t="array" ref="BA76">$G$11+VLOOKUP($Q76,武学奇术!$A:$ZZ,10,FALSE)+SUM(_xlfn.XLOOKUP($R76:$AK76,增益!$A:$A,增益!$J:$J,0))</f>
        <v>0.06</v>
      </c>
      <c r="BB76">
        <f t="shared" si="14"/>
        <v>0</v>
      </c>
      <c r="BC76">
        <f t="shared" si="15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2" cm="1">
        <f t="array" ref="BE76">$G$12+VLOOKUP($Q76,武学奇术!$A:$ZZ,12,FALSE)+SUM(_xlfn.XLOOKUP($R76:$AK76,增益!$A:$A,增益!$L:$L,0))</f>
        <v>0.06</v>
      </c>
      <c r="BF76">
        <f t="shared" si="16"/>
        <v>639.744</v>
      </c>
      <c r="BG76">
        <f t="shared" si="17"/>
        <v>1823.136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2" cm="1">
        <f t="array" ref="BI76">$G$13+VLOOKUP($Q76,武学奇术!$A:$ZZ,14,FALSE)+SUM(_xlfn.XLOOKUP($R76:$AK76,增益!$A:$A,增益!$N:$N,0))</f>
        <v>0.33</v>
      </c>
      <c r="BJ76">
        <f t="shared" si="18"/>
        <v>0</v>
      </c>
      <c r="BK76">
        <f t="shared" si="19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2" cm="1">
        <f t="array" ref="BM76">$G$14+VLOOKUP($Q76,武学奇术!$A:$ZZ,16,FALSE)+SUM(_xlfn.XLOOKUP($R76:$AK76,增益!$A:$A,增益!$P:$P,0))</f>
        <v>0.06</v>
      </c>
      <c r="BN76" s="26">
        <f>MIN(IF(VLOOKUP($Q76,武学奇术!$A:$ZZ,23,FALSE)=1,100%,$B$8),100%)</f>
        <v>0.9859</v>
      </c>
      <c r="BO76" s="26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6" cm="1">
        <f t="array" ref="BP76">1+$B$13+VLOOKUP($Q76,武学奇术!$A:$ZZ,18,FALSE)+SUM(_xlfn.XLOOKUP($R76:$AK76,增益!$A:$A,增益!$R:$R,0))</f>
        <v>1.64</v>
      </c>
      <c r="BQ76" s="26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6" cm="1">
        <f t="array" ref="BR76">1+$B$14+VLOOKUP($Q76,武学奇术!$A:$ZZ,20,FALSE)+SUM(_xlfn.XLOOKUP($R76:$AK76,增益!$A:$A,增益!$T:$T,0))</f>
        <v>1.35</v>
      </c>
      <c r="BS76" s="26">
        <f t="shared" si="20"/>
        <v>0.87863408</v>
      </c>
      <c r="BT76" s="26">
        <f t="shared" si="21"/>
        <v>0.01567581</v>
      </c>
      <c r="BU76" s="26">
        <f>IF(VLOOKUP($Q76,武学奇术!$A:$ZZ,22,FALSE)=1,0,(1-$BN76))*(1-$BQ76)</f>
        <v>0.01279011</v>
      </c>
      <c r="BV76" s="26" cm="1">
        <f t="array" ref="BV76">SUM(_xlfn.XLOOKUP($R76:$AK76,增益!$A:$A,增益!$W:$W,0))+$I$5</f>
        <v>0.11</v>
      </c>
    </row>
    <row r="77" spans="1:74">
      <c r="A77" s="4"/>
      <c r="B77" s="4"/>
      <c r="K77" s="38">
        <f t="shared" si="11"/>
        <v>107822.75960251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109785.730987685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103079.475532792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66942.5188949298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57529.8707285323</v>
      </c>
      <c r="P77" s="39">
        <v>3</v>
      </c>
      <c r="Q77" s="40" t="s">
        <v>75</v>
      </c>
      <c r="R77" s="40" t="s">
        <v>100</v>
      </c>
      <c r="S77" s="40" t="s">
        <v>158</v>
      </c>
      <c r="T77" s="40" t="s">
        <v>78</v>
      </c>
      <c r="U77" s="40" t="s">
        <v>80</v>
      </c>
      <c r="V77" s="40" t="s">
        <v>73</v>
      </c>
      <c r="W77" s="40" t="s">
        <v>80</v>
      </c>
      <c r="X77" s="40" t="s">
        <v>87</v>
      </c>
      <c r="Y77" s="40" t="s">
        <v>169</v>
      </c>
      <c r="Z77" s="40" t="s">
        <v>170</v>
      </c>
      <c r="AA77" s="40" t="s">
        <v>80</v>
      </c>
      <c r="AB77" s="40" t="s">
        <v>80</v>
      </c>
      <c r="AC77" s="40" t="s">
        <v>80</v>
      </c>
      <c r="AD77" s="40" t="s">
        <v>80</v>
      </c>
      <c r="AE77" s="40" t="s">
        <v>80</v>
      </c>
      <c r="AF77" s="40" t="s">
        <v>81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80</v>
      </c>
      <c r="AL77" t="str">
        <f>VLOOKUP($Q77,武学奇术!$A:$ZZ,25,FALSE)</f>
        <v>群体奇术</v>
      </c>
      <c r="AM77" s="26">
        <f>VLOOKUP($Q77,武学奇术!$A:$ZZ,26,FALSE)</f>
        <v>1.4904</v>
      </c>
      <c r="AN77" s="27">
        <f>VLOOKUP($Q77,武学奇术!$A:$ZZ,27,FALSE)*(1+IF(OR($AL77=$F$4,$AL77=$F$5),$B$22,0))</f>
        <v>378</v>
      </c>
      <c r="AO77" s="26">
        <f>VLOOKUP($Q77,武学奇术!$A:$ZZ,28,FALSE)</f>
        <v>2.2356</v>
      </c>
      <c r="AP77" s="27">
        <f>VLOOKUP($Q77,武学奇术!$A:$ZZ,29,FALSE)*(1+IF(OR($AL77=$F$4,$AL77=$F$5),$B$22,0))</f>
        <v>0</v>
      </c>
      <c r="AQ77" s="26" cm="1">
        <f t="array" ref="AQ77">$G$3+IFERROR(VLOOKUP($AL77,$F$4:$G$7,2,FALSE),0)+VLOOKUP($Q77,武学奇术!$A:$ZZ,2,FALSE)+SUM(_xlfn.XLOOKUP($R77:$AK77,增益!$A:$A,增益!$B:$B,0))</f>
        <v>0.1537</v>
      </c>
      <c r="AR77" s="26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4372.698</v>
      </c>
      <c r="AT77" cm="1">
        <f t="array" ref="AT77">$E$10*(1+$AR77)+VLOOKUP($Q77,武学奇术!$A:$ZZ,4,FALSE)+SUM(_xlfn.XLOOKUP($R77:$AK77,增益!$A:$A,增益!$D:$D,0))-$I$2</f>
        <v>4372.698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0.257</v>
      </c>
      <c r="AV77" s="32" cm="1">
        <f t="array" ref="AV77">$G$10+VLOOKUP($Q77,武学奇术!$A:$ZZ,7,FALSE)+SUM(_xlfn.XLOOKUP($R77:$AK77,增益!$A:$A,增益!$G:$G,0))</f>
        <v>0.205</v>
      </c>
      <c r="AW77" s="26" cm="1">
        <f t="array" ref="AW77">VLOOKUP($Q77,武学奇术!$A:$ZZ,8,FALSE)+SUM(_xlfn.XLOOKUP($R77:$AK77,增益!$A:$A,增益!$H:$H,0))</f>
        <v>0.18</v>
      </c>
      <c r="AX77">
        <f t="shared" si="12"/>
        <v>0</v>
      </c>
      <c r="AY77">
        <f t="shared" si="13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2" cm="1">
        <f t="array" ref="BA77">$G$11+VLOOKUP($Q77,武学奇术!$A:$ZZ,10,FALSE)+SUM(_xlfn.XLOOKUP($R77:$AK77,增益!$A:$A,增益!$J:$J,0))</f>
        <v>0.16</v>
      </c>
      <c r="BB77">
        <f t="shared" si="14"/>
        <v>0</v>
      </c>
      <c r="BC77">
        <f t="shared" si="15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2" cm="1">
        <f t="array" ref="BE77">$G$12+VLOOKUP($Q77,武学奇术!$A:$ZZ,12,FALSE)+SUM(_xlfn.XLOOKUP($R77:$AK77,增益!$A:$A,增益!$L:$L,0))</f>
        <v>0.06</v>
      </c>
      <c r="BF77">
        <f t="shared" si="16"/>
        <v>674.016</v>
      </c>
      <c r="BG77">
        <f t="shared" si="17"/>
        <v>1920.804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2" cm="1">
        <f t="array" ref="BI77">$G$13+VLOOKUP($Q77,武学奇术!$A:$ZZ,14,FALSE)+SUM(_xlfn.XLOOKUP($R77:$AK77,增益!$A:$A,增益!$N:$N,0))</f>
        <v>0.33</v>
      </c>
      <c r="BJ77">
        <f t="shared" si="18"/>
        <v>0</v>
      </c>
      <c r="BK77">
        <f t="shared" si="19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2" cm="1">
        <f t="array" ref="BM77">$G$14+VLOOKUP($Q77,武学奇术!$A:$ZZ,16,FALSE)+SUM(_xlfn.XLOOKUP($R77:$AK77,增益!$A:$A,增益!$P:$P,0))</f>
        <v>0.06</v>
      </c>
      <c r="BN77" s="26">
        <f>MIN(IF(VLOOKUP($Q77,武学奇术!$A:$ZZ,23,FALSE)=1,100%,$B$8),100%)</f>
        <v>0.9859</v>
      </c>
      <c r="BO77" s="26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6" cm="1">
        <f t="array" ref="BP77">1+$B$13+VLOOKUP($Q77,武学奇术!$A:$ZZ,18,FALSE)+SUM(_xlfn.XLOOKUP($R77:$AK77,增益!$A:$A,增益!$R:$R,0))</f>
        <v>1.64</v>
      </c>
      <c r="BQ77" s="26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6" cm="1">
        <f t="array" ref="BR77">1+$B$14+VLOOKUP($Q77,武学奇术!$A:$ZZ,20,FALSE)+SUM(_xlfn.XLOOKUP($R77:$AK77,增益!$A:$A,增益!$T:$T,0))</f>
        <v>1.35</v>
      </c>
      <c r="BS77" s="26">
        <f t="shared" si="20"/>
        <v>0.87863408</v>
      </c>
      <c r="BT77" s="26">
        <f t="shared" si="21"/>
        <v>0.01567581</v>
      </c>
      <c r="BU77" s="26">
        <f>IF(VLOOKUP($Q77,武学奇术!$A:$ZZ,22,FALSE)=1,0,(1-$BN77))*(1-$BQ77)</f>
        <v>0.01279011</v>
      </c>
      <c r="BV77" s="26" cm="1">
        <f t="array" ref="BV77">SUM(_xlfn.XLOOKUP($R77:$AK77,增益!$A:$A,增益!$W:$W,0))+$I$5</f>
        <v>0.31</v>
      </c>
    </row>
    <row r="78" spans="1:74">
      <c r="A78" s="4"/>
      <c r="B78" s="4"/>
      <c r="K78" s="38">
        <f t="shared" si="11"/>
        <v>88290.6712917046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89935.8809509501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83996.7983475494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54838.9517993598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47458.0529709053</v>
      </c>
      <c r="P78" s="39">
        <v>1</v>
      </c>
      <c r="Q78" s="40" t="s">
        <v>108</v>
      </c>
      <c r="R78" s="40" t="s">
        <v>100</v>
      </c>
      <c r="S78" s="40" t="s">
        <v>158</v>
      </c>
      <c r="T78" s="40" t="s">
        <v>97</v>
      </c>
      <c r="U78" s="40" t="s">
        <v>80</v>
      </c>
      <c r="V78" s="40" t="s">
        <v>73</v>
      </c>
      <c r="W78" s="40" t="s">
        <v>115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81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80</v>
      </c>
      <c r="AL78" t="str">
        <f>VLOOKUP($Q78,武学奇术!$A:$ZZ,25,FALSE)</f>
        <v>扇</v>
      </c>
      <c r="AM78" s="26">
        <f>VLOOKUP($Q78,武学奇术!$A:$ZZ,26,FALSE)</f>
        <v>4.045375</v>
      </c>
      <c r="AN78" s="27">
        <f>VLOOKUP($Q78,武学奇术!$A:$ZZ,27,FALSE)*(1+IF(OR($AL78=$F$4,$AL78=$F$5),$B$22,0))</f>
        <v>1678.125</v>
      </c>
      <c r="AO78" s="26">
        <f>VLOOKUP($Q78,武学奇术!$A:$ZZ,28,FALSE)</f>
        <v>6.068125</v>
      </c>
      <c r="AP78" s="27">
        <f>VLOOKUP($Q78,武学奇术!$A:$ZZ,29,FALSE)*(1+IF(OR($AL78=$F$4,$AL78=$F$5),$B$22,0))</f>
        <v>913.125</v>
      </c>
      <c r="AQ78" s="26" cm="1">
        <f t="array" ref="AQ78">$G$3+IFERROR(VLOOKUP($AL78,$F$4:$G$7,2,FALSE),0)+VLOOKUP($Q78,武学奇术!$A:$ZZ,2,FALSE)+SUM(_xlfn.XLOOKUP($R78:$AK78,增益!$A:$A,增益!$B:$B,0))</f>
        <v>0.3389</v>
      </c>
      <c r="AR78" s="26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3611.1</v>
      </c>
      <c r="AT78" cm="1">
        <f t="array" ref="AT78">$E$10*(1+$AR78)+VLOOKUP($Q78,武学奇术!$A:$ZZ,4,FALSE)+SUM(_xlfn.XLOOKUP($R78:$AK78,增益!$A:$A,增益!$D:$D,0))-$I$2</f>
        <v>3611.1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0.257</v>
      </c>
      <c r="AV78" s="32" cm="1">
        <f t="array" ref="AV78">$G$10+VLOOKUP($Q78,武学奇术!$A:$ZZ,7,FALSE)+SUM(_xlfn.XLOOKUP($R78:$AK78,增益!$A:$A,增益!$G:$G,0))</f>
        <v>0.205</v>
      </c>
      <c r="AW78" s="26" cm="1">
        <f t="array" ref="AW78">VLOOKUP($Q78,武学奇术!$A:$ZZ,8,FALSE)+SUM(_xlfn.XLOOKUP($R78:$AK78,增益!$A:$A,增益!$H:$H,0))</f>
        <v>0.12</v>
      </c>
      <c r="AX78">
        <f t="shared" si="12"/>
        <v>0</v>
      </c>
      <c r="AY78">
        <f t="shared" si="13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2" cm="1">
        <f t="array" ref="BA78">$G$11+VLOOKUP($Q78,武学奇术!$A:$ZZ,10,FALSE)+SUM(_xlfn.XLOOKUP($R78:$AK78,增益!$A:$A,增益!$J:$J,0))</f>
        <v>0.06</v>
      </c>
      <c r="BB78">
        <f t="shared" si="14"/>
        <v>0</v>
      </c>
      <c r="BC78">
        <f t="shared" si="15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2" cm="1">
        <f t="array" ref="BE78">$G$12+VLOOKUP($Q78,武学奇术!$A:$ZZ,12,FALSE)+SUM(_xlfn.XLOOKUP($R78:$AK78,增益!$A:$A,增益!$L:$L,0))</f>
        <v>0.06</v>
      </c>
      <c r="BF78">
        <f t="shared" si="16"/>
        <v>639.744</v>
      </c>
      <c r="BG78">
        <f t="shared" si="17"/>
        <v>1823.136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2" cm="1">
        <f t="array" ref="BI78">$G$13+VLOOKUP($Q78,武学奇术!$A:$ZZ,14,FALSE)+SUM(_xlfn.XLOOKUP($R78:$AK78,增益!$A:$A,增益!$N:$N,0))</f>
        <v>0.33</v>
      </c>
      <c r="BJ78">
        <f t="shared" si="18"/>
        <v>0</v>
      </c>
      <c r="BK78">
        <f t="shared" si="19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2" cm="1">
        <f t="array" ref="BM78">$G$14+VLOOKUP($Q78,武学奇术!$A:$ZZ,16,FALSE)+SUM(_xlfn.XLOOKUP($R78:$AK78,增益!$A:$A,增益!$P:$P,0))</f>
        <v>0.06</v>
      </c>
      <c r="BN78" s="26">
        <f>MIN(IF(VLOOKUP($Q78,武学奇术!$A:$ZZ,23,FALSE)=1,100%,$B$8),100%)</f>
        <v>0.9859</v>
      </c>
      <c r="BO78" s="26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6" cm="1">
        <f t="array" ref="BP78">1+$B$13+VLOOKUP($Q78,武学奇术!$A:$ZZ,18,FALSE)+SUM(_xlfn.XLOOKUP($R78:$AK78,增益!$A:$A,增益!$R:$R,0))</f>
        <v>1.64</v>
      </c>
      <c r="BQ78" s="26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6" cm="1">
        <f t="array" ref="BR78">1+$B$14+VLOOKUP($Q78,武学奇术!$A:$ZZ,20,FALSE)+SUM(_xlfn.XLOOKUP($R78:$AK78,增益!$A:$A,增益!$T:$T,0))</f>
        <v>1.35</v>
      </c>
      <c r="BS78" s="26">
        <f t="shared" si="20"/>
        <v>0.87863408</v>
      </c>
      <c r="BT78" s="26">
        <f t="shared" si="21"/>
        <v>0.01567581</v>
      </c>
      <c r="BU78" s="26">
        <f>IF(VLOOKUP($Q78,武学奇术!$A:$ZZ,22,FALSE)=1,0,(1-$BN78))*(1-$BQ78)</f>
        <v>0.01279011</v>
      </c>
      <c r="BV78" s="26" cm="1">
        <f t="array" ref="BV78">SUM(_xlfn.XLOOKUP($R78:$AK78,增益!$A:$A,增益!$W:$W,0))+$I$5</f>
        <v>0.11</v>
      </c>
    </row>
    <row r="79" spans="1:74">
      <c r="K79" s="38">
        <f t="shared" si="11"/>
        <v>23041.0307540799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23470.3579557066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21920.6812075384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14311.1938754308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12384.846115648</v>
      </c>
      <c r="P79" s="39">
        <v>1</v>
      </c>
      <c r="Q79" s="40" t="s">
        <v>110</v>
      </c>
      <c r="R79" s="40" t="s">
        <v>100</v>
      </c>
      <c r="S79" s="40" t="s">
        <v>158</v>
      </c>
      <c r="T79" s="40" t="s">
        <v>97</v>
      </c>
      <c r="U79" s="40" t="s">
        <v>80</v>
      </c>
      <c r="V79" s="40" t="s">
        <v>73</v>
      </c>
      <c r="W79" s="40" t="s">
        <v>115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81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80</v>
      </c>
      <c r="AL79" t="str">
        <f>VLOOKUP($Q79,武学奇术!$A:$ZZ,25,FALSE)</f>
        <v>扇</v>
      </c>
      <c r="AM79" s="26">
        <f>VLOOKUP($Q79,武学奇术!$A:$ZZ,26,FALSE)</f>
        <v>0.9186</v>
      </c>
      <c r="AN79" s="27">
        <f>VLOOKUP($Q79,武学奇术!$A:$ZZ,27,FALSE)*(1+IF(OR($AL79=$F$4,$AL79=$F$5),$B$22,0))</f>
        <v>381</v>
      </c>
      <c r="AO79" s="26">
        <f>VLOOKUP($Q79,武学奇术!$A:$ZZ,28,FALSE)</f>
        <v>1.3779</v>
      </c>
      <c r="AP79" s="27">
        <f>VLOOKUP($Q79,武学奇术!$A:$ZZ,29,FALSE)*(1+IF(OR($AL79=$F$4,$AL79=$F$5),$B$22,0))</f>
        <v>207</v>
      </c>
      <c r="AQ79" s="26" cm="1">
        <f t="array" ref="AQ79">$G$3+IFERROR(VLOOKUP($AL79,$F$4:$G$7,2,FALSE),0)+VLOOKUP($Q79,武学奇术!$A:$ZZ,2,FALSE)+SUM(_xlfn.XLOOKUP($R79:$AK79,增益!$A:$A,增益!$B:$B,0))</f>
        <v>0.5389</v>
      </c>
      <c r="AR79" s="26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3611.1</v>
      </c>
      <c r="AT79" cm="1">
        <f t="array" ref="AT79">$E$10*(1+$AR79)+VLOOKUP($Q79,武学奇术!$A:$ZZ,4,FALSE)+SUM(_xlfn.XLOOKUP($R79:$AK79,增益!$A:$A,增益!$D:$D,0))-$I$2</f>
        <v>3611.1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0.257</v>
      </c>
      <c r="AV79" s="32" cm="1">
        <f t="array" ref="AV79">$G$10+VLOOKUP($Q79,武学奇术!$A:$ZZ,7,FALSE)+SUM(_xlfn.XLOOKUP($R79:$AK79,增益!$A:$A,增益!$G:$G,0))</f>
        <v>0.205</v>
      </c>
      <c r="AW79" s="26" cm="1">
        <f t="array" ref="AW79">VLOOKUP($Q79,武学奇术!$A:$ZZ,8,FALSE)+SUM(_xlfn.XLOOKUP($R79:$AK79,增益!$A:$A,增益!$H:$H,0))</f>
        <v>0.12</v>
      </c>
      <c r="AX79">
        <f t="shared" si="12"/>
        <v>0</v>
      </c>
      <c r="AY79">
        <f t="shared" si="13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2" cm="1">
        <f t="array" ref="BA79">$G$11+VLOOKUP($Q79,武学奇术!$A:$ZZ,10,FALSE)+SUM(_xlfn.XLOOKUP($R79:$AK79,增益!$A:$A,增益!$J:$J,0))</f>
        <v>0.06</v>
      </c>
      <c r="BB79">
        <f t="shared" si="14"/>
        <v>0</v>
      </c>
      <c r="BC79">
        <f t="shared" si="15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2" cm="1">
        <f t="array" ref="BE79">$G$12+VLOOKUP($Q79,武学奇术!$A:$ZZ,12,FALSE)+SUM(_xlfn.XLOOKUP($R79:$AK79,增益!$A:$A,增益!$L:$L,0))</f>
        <v>0.06</v>
      </c>
      <c r="BF79">
        <f t="shared" si="16"/>
        <v>639.744</v>
      </c>
      <c r="BG79">
        <f t="shared" si="17"/>
        <v>1823.136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2" cm="1">
        <f t="array" ref="BI79">$G$13+VLOOKUP($Q79,武学奇术!$A:$ZZ,14,FALSE)+SUM(_xlfn.XLOOKUP($R79:$AK79,增益!$A:$A,增益!$N:$N,0))</f>
        <v>0.33</v>
      </c>
      <c r="BJ79">
        <f t="shared" si="18"/>
        <v>0</v>
      </c>
      <c r="BK79">
        <f t="shared" si="19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2" cm="1">
        <f t="array" ref="BM79">$G$14+VLOOKUP($Q79,武学奇术!$A:$ZZ,16,FALSE)+SUM(_xlfn.XLOOKUP($R79:$AK79,增益!$A:$A,增益!$P:$P,0))</f>
        <v>0.06</v>
      </c>
      <c r="BN79" s="26">
        <f>MIN(IF(VLOOKUP($Q79,武学奇术!$A:$ZZ,23,FALSE)=1,100%,$B$8),100%)</f>
        <v>0.9859</v>
      </c>
      <c r="BO79" s="26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6" cm="1">
        <f t="array" ref="BP79">1+$B$13+VLOOKUP($Q79,武学奇术!$A:$ZZ,18,FALSE)+SUM(_xlfn.XLOOKUP($R79:$AK79,增益!$A:$A,增益!$R:$R,0))</f>
        <v>1.64</v>
      </c>
      <c r="BQ79" s="26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6" cm="1">
        <f t="array" ref="BR79">1+$B$14+VLOOKUP($Q79,武学奇术!$A:$ZZ,20,FALSE)+SUM(_xlfn.XLOOKUP($R79:$AK79,增益!$A:$A,增益!$T:$T,0))</f>
        <v>1.35</v>
      </c>
      <c r="BS79" s="26">
        <f t="shared" si="20"/>
        <v>0.87863408</v>
      </c>
      <c r="BT79" s="26">
        <f t="shared" si="21"/>
        <v>0.01567581</v>
      </c>
      <c r="BU79" s="26">
        <f>IF(VLOOKUP($Q79,武学奇术!$A:$ZZ,22,FALSE)=1,0,(1-$BN79))*(1-$BQ79)</f>
        <v>0.01279011</v>
      </c>
      <c r="BV79" s="26" cm="1">
        <f t="array" ref="BV79">SUM(_xlfn.XLOOKUP($R79:$AK79,增益!$A:$A,增益!$W:$W,0))+$I$5</f>
        <v>0.11</v>
      </c>
    </row>
    <row r="80" spans="1:74">
      <c r="K80" s="38">
        <f t="shared" si="11"/>
        <v>54467.521324384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55482.4689450517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51818.5926541022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33830.7737469827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29277.4047872231</v>
      </c>
      <c r="P80" s="39">
        <v>1</v>
      </c>
      <c r="Q80" s="40" t="s">
        <v>114</v>
      </c>
      <c r="R80" s="40" t="s">
        <v>100</v>
      </c>
      <c r="S80" s="40" t="s">
        <v>158</v>
      </c>
      <c r="T80" s="40" t="s">
        <v>97</v>
      </c>
      <c r="U80" s="40" t="s">
        <v>111</v>
      </c>
      <c r="V80" s="40" t="s">
        <v>73</v>
      </c>
      <c r="W80" s="40" t="s">
        <v>115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80</v>
      </c>
      <c r="AE80" s="40" t="s">
        <v>80</v>
      </c>
      <c r="AF80" s="40" t="s">
        <v>81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80</v>
      </c>
      <c r="AL80" t="str">
        <f>VLOOKUP($Q80,武学奇术!$A:$ZZ,25,FALSE)</f>
        <v>扇</v>
      </c>
      <c r="AM80" s="26">
        <f>VLOOKUP($Q80,武学奇术!$A:$ZZ,26,FALSE)</f>
        <v>2.1435</v>
      </c>
      <c r="AN80" s="27">
        <f>VLOOKUP($Q80,武学奇术!$A:$ZZ,27,FALSE)*(1+IF(OR($AL80=$F$4,$AL80=$F$5),$B$22,0))</f>
        <v>888</v>
      </c>
      <c r="AO80" s="26">
        <f>VLOOKUP($Q80,武学奇术!$A:$ZZ,28,FALSE)</f>
        <v>3.2152</v>
      </c>
      <c r="AP80" s="27">
        <f>VLOOKUP($Q80,武学奇术!$A:$ZZ,29,FALSE)*(1+IF(OR($AL80=$F$4,$AL80=$F$5),$B$22,0))</f>
        <v>484.5</v>
      </c>
      <c r="AQ80" s="26" cm="1">
        <f t="array" ref="AQ80">$G$3+IFERROR(VLOOKUP($AL80,$F$4:$G$7,2,FALSE),0)+VLOOKUP($Q80,武学奇术!$A:$ZZ,2,FALSE)+SUM(_xlfn.XLOOKUP($R80:$AK80,增益!$A:$A,增益!$B:$B,0))</f>
        <v>0.5589</v>
      </c>
      <c r="AR80" s="26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3611.1</v>
      </c>
      <c r="AT80" cm="1">
        <f t="array" ref="AT80">$E$10*(1+$AR80)+VLOOKUP($Q80,武学奇术!$A:$ZZ,4,FALSE)+SUM(_xlfn.XLOOKUP($R80:$AK80,增益!$A:$A,增益!$D:$D,0))-$I$2</f>
        <v>3611.1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0.257</v>
      </c>
      <c r="AV80" s="32" cm="1">
        <f t="array" ref="AV80">$G$10+VLOOKUP($Q80,武学奇术!$A:$ZZ,7,FALSE)+SUM(_xlfn.XLOOKUP($R80:$AK80,增益!$A:$A,增益!$G:$G,0))</f>
        <v>0.205</v>
      </c>
      <c r="AW80" s="26" cm="1">
        <f t="array" ref="AW80">VLOOKUP($Q80,武学奇术!$A:$ZZ,8,FALSE)+SUM(_xlfn.XLOOKUP($R80:$AK80,增益!$A:$A,增益!$H:$H,0))</f>
        <v>0.12</v>
      </c>
      <c r="AX80">
        <f t="shared" si="12"/>
        <v>0</v>
      </c>
      <c r="AY80">
        <f t="shared" si="13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2" cm="1">
        <f t="array" ref="BA80">$G$11+VLOOKUP($Q80,武学奇术!$A:$ZZ,10,FALSE)+SUM(_xlfn.XLOOKUP($R80:$AK80,增益!$A:$A,增益!$J:$J,0))</f>
        <v>0.06</v>
      </c>
      <c r="BB80">
        <f t="shared" si="14"/>
        <v>0</v>
      </c>
      <c r="BC80">
        <f t="shared" si="15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2" cm="1">
        <f t="array" ref="BE80">$G$12+VLOOKUP($Q80,武学奇术!$A:$ZZ,12,FALSE)+SUM(_xlfn.XLOOKUP($R80:$AK80,增益!$A:$A,增益!$L:$L,0))</f>
        <v>0.06</v>
      </c>
      <c r="BF80">
        <f t="shared" si="16"/>
        <v>639.744</v>
      </c>
      <c r="BG80">
        <f t="shared" si="17"/>
        <v>1823.136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2" cm="1">
        <f t="array" ref="BI80">$G$13+VLOOKUP($Q80,武学奇术!$A:$ZZ,14,FALSE)+SUM(_xlfn.XLOOKUP($R80:$AK80,增益!$A:$A,增益!$N:$N,0))</f>
        <v>0.33</v>
      </c>
      <c r="BJ80">
        <f t="shared" si="18"/>
        <v>0</v>
      </c>
      <c r="BK80">
        <f t="shared" si="19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2" cm="1">
        <f t="array" ref="BM80">$G$14+VLOOKUP($Q80,武学奇术!$A:$ZZ,16,FALSE)+SUM(_xlfn.XLOOKUP($R80:$AK80,增益!$A:$A,增益!$P:$P,0))</f>
        <v>0.06</v>
      </c>
      <c r="BN80" s="26">
        <f>MIN(IF(VLOOKUP($Q80,武学奇术!$A:$ZZ,23,FALSE)=1,100%,$B$8),100%)</f>
        <v>0.9859</v>
      </c>
      <c r="BO80" s="26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6" cm="1">
        <f t="array" ref="BP80">1+$B$13+VLOOKUP($Q80,武学奇术!$A:$ZZ,18,FALSE)+SUM(_xlfn.XLOOKUP($R80:$AK80,增益!$A:$A,增益!$R:$R,0))</f>
        <v>1.64</v>
      </c>
      <c r="BQ80" s="26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6" cm="1">
        <f t="array" ref="BR80">1+$B$14+VLOOKUP($Q80,武学奇术!$A:$ZZ,20,FALSE)+SUM(_xlfn.XLOOKUP($R80:$AK80,增益!$A:$A,增益!$T:$T,0))</f>
        <v>1.35</v>
      </c>
      <c r="BS80" s="26">
        <f t="shared" si="20"/>
        <v>0.87863408</v>
      </c>
      <c r="BT80" s="26">
        <f t="shared" si="21"/>
        <v>0.01567581</v>
      </c>
      <c r="BU80" s="26">
        <f>IF(VLOOKUP($Q80,武学奇术!$A:$ZZ,22,FALSE)=1,0,(1-$BN80))*(1-$BQ80)</f>
        <v>0.01279011</v>
      </c>
      <c r="BV80" s="26" cm="1">
        <f t="array" ref="BV80">SUM(_xlfn.XLOOKUP($R80:$AK80,增益!$A:$A,增益!$W:$W,0))+$I$5</f>
        <v>0.11</v>
      </c>
    </row>
    <row r="81" spans="1:74">
      <c r="K81" s="38">
        <f t="shared" si="11"/>
        <v>180128.13305991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183317.797554786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173175.411056576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111779.144850479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95280.2074368274</v>
      </c>
      <c r="P81" s="39">
        <v>1</v>
      </c>
      <c r="Q81" s="40" t="s">
        <v>168</v>
      </c>
      <c r="R81" s="40" t="s">
        <v>100</v>
      </c>
      <c r="S81" s="40" t="s">
        <v>158</v>
      </c>
      <c r="T81" s="40" t="s">
        <v>97</v>
      </c>
      <c r="U81" s="40" t="s">
        <v>111</v>
      </c>
      <c r="V81" s="40" t="s">
        <v>73</v>
      </c>
      <c r="W81" s="40" t="s">
        <v>80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81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80</v>
      </c>
      <c r="AL81" t="str">
        <f>VLOOKUP($Q81,武学奇术!$A:$ZZ,25,FALSE)</f>
        <v>群体奇术</v>
      </c>
      <c r="AM81" s="26">
        <f>VLOOKUP($Q81,武学奇术!$A:$ZZ,26,FALSE)</f>
        <v>10.315755</v>
      </c>
      <c r="AN81" s="27">
        <f>VLOOKUP($Q81,武学奇术!$A:$ZZ,27,FALSE)*(1+IF(OR($AL81=$F$4,$AL81=$F$5),$B$22,0))</f>
        <v>1992.6</v>
      </c>
      <c r="AO81" s="26">
        <f>VLOOKUP($Q81,武学奇术!$A:$ZZ,28,FALSE)</f>
        <v>15.4736325</v>
      </c>
      <c r="AP81" s="27">
        <f>VLOOKUP($Q81,武学奇术!$A:$ZZ,29,FALSE)*(1+IF(OR($AL81=$F$4,$AL81=$F$5),$B$22,0))</f>
        <v>0</v>
      </c>
      <c r="AQ81" s="26" cm="1">
        <f t="array" ref="AQ81">$G$3+IFERROR(VLOOKUP($AL81,$F$4:$G$7,2,FALSE),0)+VLOOKUP($Q81,武学奇术!$A:$ZZ,2,FALSE)+SUM(_xlfn.XLOOKUP($R81:$AK81,增益!$A:$A,增益!$B:$B,0))</f>
        <v>0.1737</v>
      </c>
      <c r="AR81" s="26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3611.1</v>
      </c>
      <c r="AT81" cm="1">
        <f t="array" ref="AT81">$E$10*(1+$AR81)+VLOOKUP($Q81,武学奇术!$A:$ZZ,4,FALSE)+SUM(_xlfn.XLOOKUP($R81:$AK81,增益!$A:$A,增益!$D:$D,0))-$I$2</f>
        <v>3611.1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0.257</v>
      </c>
      <c r="AV81" s="32" cm="1">
        <f t="array" ref="AV81">$G$10+VLOOKUP($Q81,武学奇术!$A:$ZZ,7,FALSE)+SUM(_xlfn.XLOOKUP($R81:$AK81,增益!$A:$A,增益!$G:$G,0))</f>
        <v>0.205</v>
      </c>
      <c r="AW81" s="26" cm="1">
        <f t="array" ref="AW81">VLOOKUP($Q81,武学奇术!$A:$ZZ,8,FALSE)+SUM(_xlfn.XLOOKUP($R81:$AK81,增益!$A:$A,增益!$H:$H,0))</f>
        <v>0.12</v>
      </c>
      <c r="AX81">
        <f t="shared" si="12"/>
        <v>0</v>
      </c>
      <c r="AY81">
        <f t="shared" si="13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2" cm="1">
        <f t="array" ref="BA81">$G$11+VLOOKUP($Q81,武学奇术!$A:$ZZ,10,FALSE)+SUM(_xlfn.XLOOKUP($R81:$AK81,增益!$A:$A,增益!$J:$J,0))</f>
        <v>0.06</v>
      </c>
      <c r="BB81">
        <f t="shared" si="14"/>
        <v>0</v>
      </c>
      <c r="BC81">
        <f t="shared" si="15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2" cm="1">
        <f t="array" ref="BE81">$G$12+VLOOKUP($Q81,武学奇术!$A:$ZZ,12,FALSE)+SUM(_xlfn.XLOOKUP($R81:$AK81,增益!$A:$A,增益!$L:$L,0))</f>
        <v>0.06</v>
      </c>
      <c r="BF81">
        <f t="shared" si="16"/>
        <v>639.744</v>
      </c>
      <c r="BG81">
        <f t="shared" si="17"/>
        <v>1823.136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2" cm="1">
        <f t="array" ref="BI81">$G$13+VLOOKUP($Q81,武学奇术!$A:$ZZ,14,FALSE)+SUM(_xlfn.XLOOKUP($R81:$AK81,增益!$A:$A,增益!$N:$N,0))</f>
        <v>0.33</v>
      </c>
      <c r="BJ81">
        <f t="shared" si="18"/>
        <v>0</v>
      </c>
      <c r="BK81">
        <f t="shared" si="19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2" cm="1">
        <f t="array" ref="BM81">$G$14+VLOOKUP($Q81,武学奇术!$A:$ZZ,16,FALSE)+SUM(_xlfn.XLOOKUP($R81:$AK81,增益!$A:$A,增益!$P:$P,0))</f>
        <v>0.06</v>
      </c>
      <c r="BN81" s="26">
        <f>MIN(IF(VLOOKUP($Q81,武学奇术!$A:$ZZ,23,FALSE)=1,100%,$B$8),100%)</f>
        <v>0.9859</v>
      </c>
      <c r="BO81" s="26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6" cm="1">
        <f t="array" ref="BP81">1+$B$13+VLOOKUP($Q81,武学奇术!$A:$ZZ,18,FALSE)+SUM(_xlfn.XLOOKUP($R81:$AK81,增益!$A:$A,增益!$R:$R,0))</f>
        <v>1.64</v>
      </c>
      <c r="BQ81" s="26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6" cm="1">
        <f t="array" ref="BR81">1+$B$14+VLOOKUP($Q81,武学奇术!$A:$ZZ,20,FALSE)+SUM(_xlfn.XLOOKUP($R81:$AK81,增益!$A:$A,增益!$T:$T,0))</f>
        <v>1.35</v>
      </c>
      <c r="BS81" s="26">
        <f t="shared" si="20"/>
        <v>0.87863408</v>
      </c>
      <c r="BT81" s="26">
        <f t="shared" si="21"/>
        <v>0.01567581</v>
      </c>
      <c r="BU81" s="26">
        <f>IF(VLOOKUP($Q81,武学奇术!$A:$ZZ,22,FALSE)=1,0,(1-$BN81))*(1-$BQ81)</f>
        <v>0.01279011</v>
      </c>
      <c r="BV81" s="26" cm="1">
        <f t="array" ref="BV81">SUM(_xlfn.XLOOKUP($R81:$AK81,增益!$A:$A,增益!$W:$W,0))+$I$5</f>
        <v>0.11</v>
      </c>
    </row>
    <row r="82" spans="1:74">
      <c r="A82" s="4"/>
      <c r="B82" s="4"/>
      <c r="K82" s="38">
        <f t="shared" si="11"/>
        <v>184071.095123011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190634.197945512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150065.800437846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98265.0504873775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85370.2487985723</v>
      </c>
      <c r="P82" s="39">
        <v>1</v>
      </c>
      <c r="Q82" s="40" t="s">
        <v>117</v>
      </c>
      <c r="R82" s="40" t="s">
        <v>100</v>
      </c>
      <c r="S82" s="40" t="s">
        <v>158</v>
      </c>
      <c r="T82" s="40" t="s">
        <v>78</v>
      </c>
      <c r="U82" s="40" t="s">
        <v>79</v>
      </c>
      <c r="V82" s="40" t="s">
        <v>73</v>
      </c>
      <c r="W82" s="40" t="s">
        <v>115</v>
      </c>
      <c r="X82" s="40" t="s">
        <v>87</v>
      </c>
      <c r="Y82" s="40" t="s">
        <v>169</v>
      </c>
      <c r="Z82" s="40" t="s">
        <v>170</v>
      </c>
      <c r="AA82" s="40" t="s">
        <v>80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81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80</v>
      </c>
      <c r="AL82" t="str">
        <f>VLOOKUP($Q82,武学奇术!$A:$ZZ,25,FALSE)</f>
        <v>鼓</v>
      </c>
      <c r="AM82" s="26">
        <f>VLOOKUP($Q82,武学奇术!$A:$ZZ,26,FALSE)</f>
        <v>3.08125</v>
      </c>
      <c r="AN82" s="27">
        <f>VLOOKUP($Q82,武学奇术!$A:$ZZ,27,FALSE)*(1+IF(OR($AL82=$F$4,$AL82=$F$5),$B$22,0))</f>
        <v>1277.55</v>
      </c>
      <c r="AO82" s="26">
        <f>VLOOKUP($Q82,武学奇术!$A:$ZZ,28,FALSE)</f>
        <v>4.62196</v>
      </c>
      <c r="AP82" s="27">
        <f>VLOOKUP($Q82,武学奇术!$A:$ZZ,29,FALSE)*(1+IF(OR($AL82=$F$4,$AL82=$F$5),$B$22,0))</f>
        <v>696.15</v>
      </c>
      <c r="AQ82" s="26" cm="1">
        <f t="array" ref="AQ82">$G$3+IFERROR(VLOOKUP($AL82,$F$4:$G$7,2,FALSE),0)+VLOOKUP($Q82,武学奇术!$A:$ZZ,2,FALSE)+SUM(_xlfn.XLOOKUP($R82:$AK82,增益!$A:$A,增益!$B:$B,0))</f>
        <v>0.6491</v>
      </c>
      <c r="AR82" s="26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4372.698</v>
      </c>
      <c r="AT82" cm="1">
        <f t="array" ref="AT82">$E$10*(1+$AR82)+VLOOKUP($Q82,武学奇术!$A:$ZZ,4,FALSE)+SUM(_xlfn.XLOOKUP($R82:$AK82,增益!$A:$A,增益!$D:$D,0))-$I$2</f>
        <v>4372.698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0.317</v>
      </c>
      <c r="AV82" s="32" cm="1">
        <f t="array" ref="AV82">$G$10+VLOOKUP($Q82,武学奇术!$A:$ZZ,7,FALSE)+SUM(_xlfn.XLOOKUP($R82:$AK82,增益!$A:$A,增益!$G:$G,0))</f>
        <v>0.205</v>
      </c>
      <c r="AW82" s="26" cm="1">
        <f t="array" ref="AW82">VLOOKUP($Q82,武学奇术!$A:$ZZ,8,FALSE)+SUM(_xlfn.XLOOKUP($R82:$AK82,增益!$A:$A,增益!$H:$H,0))</f>
        <v>0.18</v>
      </c>
      <c r="AX82">
        <f t="shared" si="12"/>
        <v>0</v>
      </c>
      <c r="AY82">
        <f t="shared" si="13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2" cm="1">
        <f t="array" ref="BA82">$G$11+VLOOKUP($Q82,武学奇术!$A:$ZZ,10,FALSE)+SUM(_xlfn.XLOOKUP($R82:$AK82,增益!$A:$A,增益!$J:$J,0))</f>
        <v>0.16</v>
      </c>
      <c r="BB82">
        <f t="shared" si="14"/>
        <v>0</v>
      </c>
      <c r="BC82">
        <f t="shared" si="15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2" cm="1">
        <f t="array" ref="BE82">$G$12+VLOOKUP($Q82,武学奇术!$A:$ZZ,12,FALSE)+SUM(_xlfn.XLOOKUP($R82:$AK82,增益!$A:$A,增益!$L:$L,0))</f>
        <v>0.06</v>
      </c>
      <c r="BF82">
        <f t="shared" si="16"/>
        <v>674.016</v>
      </c>
      <c r="BG82">
        <f t="shared" si="17"/>
        <v>1920.804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2" cm="1">
        <f t="array" ref="BI82">$G$13+VLOOKUP($Q82,武学奇术!$A:$ZZ,14,FALSE)+SUM(_xlfn.XLOOKUP($R82:$AK82,增益!$A:$A,增益!$N:$N,0))</f>
        <v>0.33</v>
      </c>
      <c r="BJ82">
        <f t="shared" si="18"/>
        <v>0</v>
      </c>
      <c r="BK82">
        <f t="shared" si="19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2" cm="1">
        <f t="array" ref="BM82">$G$14+VLOOKUP($Q82,武学奇术!$A:$ZZ,16,FALSE)+SUM(_xlfn.XLOOKUP($R82:$AK82,增益!$A:$A,增益!$P:$P,0))</f>
        <v>0.06</v>
      </c>
      <c r="BN82" s="26">
        <f>MIN(IF(VLOOKUP($Q82,武学奇术!$A:$ZZ,23,FALSE)=1,100%,$B$8),100%)</f>
        <v>0.9859</v>
      </c>
      <c r="BO82" s="26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6" cm="1">
        <f t="array" ref="BP82">1+$B$13+VLOOKUP($Q82,武学奇术!$A:$ZZ,18,FALSE)+SUM(_xlfn.XLOOKUP($R82:$AK82,增益!$A:$A,增益!$R:$R,0))</f>
        <v>1.94</v>
      </c>
      <c r="BQ82" s="26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6" cm="1">
        <f t="array" ref="BR82">1+$B$14+VLOOKUP($Q82,武学奇术!$A:$ZZ,20,FALSE)+SUM(_xlfn.XLOOKUP($R82:$AK82,增益!$A:$A,增益!$T:$T,0))</f>
        <v>1.35</v>
      </c>
      <c r="BS82" s="26">
        <f t="shared" si="20"/>
        <v>0.87863408</v>
      </c>
      <c r="BT82" s="26">
        <f t="shared" si="21"/>
        <v>0.01567581</v>
      </c>
      <c r="BU82" s="26">
        <f>IF(VLOOKUP($Q82,武学奇术!$A:$ZZ,22,FALSE)=1,0,(1-$BN82))*(1-$BQ82)</f>
        <v>0.01279011</v>
      </c>
      <c r="BV82" s="26" cm="1">
        <f t="array" ref="BV82">SUM(_xlfn.XLOOKUP($R82:$AK82,增益!$A:$A,增益!$W:$W,0))+$I$5</f>
        <v>0.31</v>
      </c>
    </row>
    <row r="83" spans="1:74">
      <c r="A83" s="4"/>
      <c r="B83" s="4"/>
      <c r="K83" s="38">
        <f t="shared" si="11"/>
        <v>368142.190246021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381268.395891024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300131.600875693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196530.100974755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170740.497597145</v>
      </c>
      <c r="P83" s="39">
        <v>2</v>
      </c>
      <c r="Q83" s="40" t="s">
        <v>117</v>
      </c>
      <c r="R83" s="40" t="s">
        <v>100</v>
      </c>
      <c r="S83" s="40" t="s">
        <v>158</v>
      </c>
      <c r="T83" s="40" t="s">
        <v>78</v>
      </c>
      <c r="U83" s="40" t="s">
        <v>79</v>
      </c>
      <c r="V83" s="40" t="s">
        <v>73</v>
      </c>
      <c r="W83" s="40" t="s">
        <v>115</v>
      </c>
      <c r="X83" s="40" t="s">
        <v>87</v>
      </c>
      <c r="Y83" s="40" t="s">
        <v>169</v>
      </c>
      <c r="Z83" s="40" t="s">
        <v>170</v>
      </c>
      <c r="AA83" s="40" t="s">
        <v>80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81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80</v>
      </c>
      <c r="AL83" t="str">
        <f>VLOOKUP($Q83,武学奇术!$A:$ZZ,25,FALSE)</f>
        <v>鼓</v>
      </c>
      <c r="AM83" s="26">
        <f>VLOOKUP($Q83,武学奇术!$A:$ZZ,26,FALSE)</f>
        <v>3.08125</v>
      </c>
      <c r="AN83" s="27">
        <f>VLOOKUP($Q83,武学奇术!$A:$ZZ,27,FALSE)*(1+IF(OR($AL83=$F$4,$AL83=$F$5),$B$22,0))</f>
        <v>1277.55</v>
      </c>
      <c r="AO83" s="26">
        <f>VLOOKUP($Q83,武学奇术!$A:$ZZ,28,FALSE)</f>
        <v>4.62196</v>
      </c>
      <c r="AP83" s="27">
        <f>VLOOKUP($Q83,武学奇术!$A:$ZZ,29,FALSE)*(1+IF(OR($AL83=$F$4,$AL83=$F$5),$B$22,0))</f>
        <v>696.15</v>
      </c>
      <c r="AQ83" s="26" cm="1">
        <f t="array" ref="AQ83">$G$3+IFERROR(VLOOKUP($AL83,$F$4:$G$7,2,FALSE),0)+VLOOKUP($Q83,武学奇术!$A:$ZZ,2,FALSE)+SUM(_xlfn.XLOOKUP($R83:$AK83,增益!$A:$A,增益!$B:$B,0))</f>
        <v>0.6491</v>
      </c>
      <c r="AR83" s="26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4372.698</v>
      </c>
      <c r="AT83" cm="1">
        <f t="array" ref="AT83">$E$10*(1+$AR83)+VLOOKUP($Q83,武学奇术!$A:$ZZ,4,FALSE)+SUM(_xlfn.XLOOKUP($R83:$AK83,增益!$A:$A,增益!$D:$D,0))-$I$2</f>
        <v>4372.698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0.317</v>
      </c>
      <c r="AV83" s="32" cm="1">
        <f t="array" ref="AV83">$G$10+VLOOKUP($Q83,武学奇术!$A:$ZZ,7,FALSE)+SUM(_xlfn.XLOOKUP($R83:$AK83,增益!$A:$A,增益!$G:$G,0))</f>
        <v>0.205</v>
      </c>
      <c r="AW83" s="26" cm="1">
        <f t="array" ref="AW83">VLOOKUP($Q83,武学奇术!$A:$ZZ,8,FALSE)+SUM(_xlfn.XLOOKUP($R83:$AK83,增益!$A:$A,增益!$H:$H,0))</f>
        <v>0.18</v>
      </c>
      <c r="AX83">
        <f t="shared" si="12"/>
        <v>0</v>
      </c>
      <c r="AY83">
        <f t="shared" si="13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2" cm="1">
        <f t="array" ref="BA83">$G$11+VLOOKUP($Q83,武学奇术!$A:$ZZ,10,FALSE)+SUM(_xlfn.XLOOKUP($R83:$AK83,增益!$A:$A,增益!$J:$J,0))</f>
        <v>0.16</v>
      </c>
      <c r="BB83">
        <f t="shared" si="14"/>
        <v>0</v>
      </c>
      <c r="BC83">
        <f t="shared" si="15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2" cm="1">
        <f t="array" ref="BE83">$G$12+VLOOKUP($Q83,武学奇术!$A:$ZZ,12,FALSE)+SUM(_xlfn.XLOOKUP($R83:$AK83,增益!$A:$A,增益!$L:$L,0))</f>
        <v>0.06</v>
      </c>
      <c r="BF83">
        <f t="shared" si="16"/>
        <v>674.016</v>
      </c>
      <c r="BG83">
        <f t="shared" si="17"/>
        <v>1920.804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2" cm="1">
        <f t="array" ref="BI83">$G$13+VLOOKUP($Q83,武学奇术!$A:$ZZ,14,FALSE)+SUM(_xlfn.XLOOKUP($R83:$AK83,增益!$A:$A,增益!$N:$N,0))</f>
        <v>0.33</v>
      </c>
      <c r="BJ83">
        <f t="shared" si="18"/>
        <v>0</v>
      </c>
      <c r="BK83">
        <f t="shared" si="19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2" cm="1">
        <f t="array" ref="BM83">$G$14+VLOOKUP($Q83,武学奇术!$A:$ZZ,16,FALSE)+SUM(_xlfn.XLOOKUP($R83:$AK83,增益!$A:$A,增益!$P:$P,0))</f>
        <v>0.06</v>
      </c>
      <c r="BN83" s="26">
        <f>MIN(IF(VLOOKUP($Q83,武学奇术!$A:$ZZ,23,FALSE)=1,100%,$B$8),100%)</f>
        <v>0.9859</v>
      </c>
      <c r="BO83" s="26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6" cm="1">
        <f t="array" ref="BP83">1+$B$13+VLOOKUP($Q83,武学奇术!$A:$ZZ,18,FALSE)+SUM(_xlfn.XLOOKUP($R83:$AK83,增益!$A:$A,增益!$R:$R,0))</f>
        <v>1.94</v>
      </c>
      <c r="BQ83" s="26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6" cm="1">
        <f t="array" ref="BR83">1+$B$14+VLOOKUP($Q83,武学奇术!$A:$ZZ,20,FALSE)+SUM(_xlfn.XLOOKUP($R83:$AK83,增益!$A:$A,增益!$T:$T,0))</f>
        <v>1.35</v>
      </c>
      <c r="BS83" s="26">
        <f t="shared" si="20"/>
        <v>0.87863408</v>
      </c>
      <c r="BT83" s="26">
        <f t="shared" si="21"/>
        <v>0.01567581</v>
      </c>
      <c r="BU83" s="26">
        <f>IF(VLOOKUP($Q83,武学奇术!$A:$ZZ,22,FALSE)=1,0,(1-$BN83))*(1-$BQ83)</f>
        <v>0.01279011</v>
      </c>
      <c r="BV83" s="26" cm="1">
        <f t="array" ref="BV83">SUM(_xlfn.XLOOKUP($R83:$AK83,增益!$A:$A,增益!$W:$W,0))+$I$5</f>
        <v>0.31</v>
      </c>
    </row>
    <row r="84" spans="1:74">
      <c r="A84" s="4"/>
      <c r="B84" s="4"/>
      <c r="K84" s="38">
        <f t="shared" si="11"/>
        <v>484020.414239777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503500.840840729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376919.705276483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246814.137667024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214428.493647764</v>
      </c>
      <c r="P84" s="39">
        <v>2</v>
      </c>
      <c r="Q84" s="40" t="s">
        <v>121</v>
      </c>
      <c r="R84" s="40" t="s">
        <v>100</v>
      </c>
      <c r="S84" s="40" t="s">
        <v>158</v>
      </c>
      <c r="T84" s="40" t="s">
        <v>78</v>
      </c>
      <c r="U84" s="40" t="s">
        <v>79</v>
      </c>
      <c r="V84" s="40" t="s">
        <v>73</v>
      </c>
      <c r="W84" s="40" t="s">
        <v>115</v>
      </c>
      <c r="X84" s="40" t="s">
        <v>87</v>
      </c>
      <c r="Y84" s="40" t="s">
        <v>169</v>
      </c>
      <c r="Z84" s="40" t="s">
        <v>170</v>
      </c>
      <c r="AA84" s="40" t="s">
        <v>80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81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80</v>
      </c>
      <c r="AL84" t="str">
        <f>VLOOKUP($Q84,武学奇术!$A:$ZZ,25,FALSE)</f>
        <v>鼓</v>
      </c>
      <c r="AM84" s="26">
        <f>VLOOKUP($Q84,武学奇术!$A:$ZZ,26,FALSE)</f>
        <v>3.75547</v>
      </c>
      <c r="AN84" s="27">
        <f>VLOOKUP($Q84,武学奇术!$A:$ZZ,27,FALSE)*(1+IF(OR($AL84=$F$4,$AL84=$F$5),$B$22,0))</f>
        <v>1558.05</v>
      </c>
      <c r="AO84" s="26">
        <f>VLOOKUP($Q84,武学奇术!$A:$ZZ,28,FALSE)</f>
        <v>5.63329</v>
      </c>
      <c r="AP84" s="27">
        <f>VLOOKUP($Q84,武学奇术!$A:$ZZ,29,FALSE)*(1+IF(OR($AL84=$F$4,$AL84=$F$5),$B$22,0))</f>
        <v>849.15</v>
      </c>
      <c r="AQ84" s="26" cm="1">
        <f t="array" ref="AQ84">$G$3+IFERROR(VLOOKUP($AL84,$F$4:$G$7,2,FALSE),0)+VLOOKUP($Q84,武学奇术!$A:$ZZ,2,FALSE)+SUM(_xlfn.XLOOKUP($R84:$AK84,增益!$A:$A,增益!$B:$B,0))</f>
        <v>0.6991</v>
      </c>
      <c r="AR84" s="26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4372.698</v>
      </c>
      <c r="AT84" cm="1">
        <f t="array" ref="AT84">$E$10*(1+$AR84)+VLOOKUP($Q84,武学奇术!$A:$ZZ,4,FALSE)+SUM(_xlfn.XLOOKUP($R84:$AK84,增益!$A:$A,增益!$D:$D,0))-$I$2</f>
        <v>4372.698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0.317</v>
      </c>
      <c r="AV84" s="32" cm="1">
        <f t="array" ref="AV84">$G$10+VLOOKUP($Q84,武学奇术!$A:$ZZ,7,FALSE)+SUM(_xlfn.XLOOKUP($R84:$AK84,增益!$A:$A,增益!$G:$G,0))</f>
        <v>0.205</v>
      </c>
      <c r="AW84" s="26" cm="1">
        <f t="array" ref="AW84">VLOOKUP($Q84,武学奇术!$A:$ZZ,8,FALSE)+SUM(_xlfn.XLOOKUP($R84:$AK84,增益!$A:$A,增益!$H:$H,0))</f>
        <v>0.18</v>
      </c>
      <c r="AX84">
        <f t="shared" si="12"/>
        <v>0</v>
      </c>
      <c r="AY84">
        <f t="shared" si="13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2" cm="1">
        <f t="array" ref="BA84">$G$11+VLOOKUP($Q84,武学奇术!$A:$ZZ,10,FALSE)+SUM(_xlfn.XLOOKUP($R84:$AK84,增益!$A:$A,增益!$J:$J,0))</f>
        <v>0.16</v>
      </c>
      <c r="BB84">
        <f t="shared" si="14"/>
        <v>0</v>
      </c>
      <c r="BC84">
        <f t="shared" si="15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2" cm="1">
        <f t="array" ref="BE84">$G$12+VLOOKUP($Q84,武学奇术!$A:$ZZ,12,FALSE)+SUM(_xlfn.XLOOKUP($R84:$AK84,增益!$A:$A,增益!$L:$L,0))</f>
        <v>0.06</v>
      </c>
      <c r="BF84">
        <f t="shared" si="16"/>
        <v>674.016</v>
      </c>
      <c r="BG84">
        <f t="shared" si="17"/>
        <v>1920.804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2" cm="1">
        <f t="array" ref="BI84">$G$13+VLOOKUP($Q84,武学奇术!$A:$ZZ,14,FALSE)+SUM(_xlfn.XLOOKUP($R84:$AK84,增益!$A:$A,增益!$N:$N,0))</f>
        <v>0.33</v>
      </c>
      <c r="BJ84">
        <f t="shared" si="18"/>
        <v>0</v>
      </c>
      <c r="BK84">
        <f t="shared" si="19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2" cm="1">
        <f t="array" ref="BM84">$G$14+VLOOKUP($Q84,武学奇术!$A:$ZZ,16,FALSE)+SUM(_xlfn.XLOOKUP($R84:$AK84,增益!$A:$A,增益!$P:$P,0))</f>
        <v>0.06</v>
      </c>
      <c r="BN84" s="26">
        <f>MIN(IF(VLOOKUP($Q84,武学奇术!$A:$ZZ,23,FALSE)=1,100%,$B$8),100%)</f>
        <v>0.9859</v>
      </c>
      <c r="BO84" s="26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6" cm="1">
        <f t="array" ref="BP84">1+$B$13+VLOOKUP($Q84,武学奇术!$A:$ZZ,18,FALSE)+SUM(_xlfn.XLOOKUP($R84:$AK84,增益!$A:$A,增益!$R:$R,0))</f>
        <v>2.04</v>
      </c>
      <c r="BQ84" s="26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6" cm="1">
        <f t="array" ref="BR84">1+$B$14+VLOOKUP($Q84,武学奇术!$A:$ZZ,20,FALSE)+SUM(_xlfn.XLOOKUP($R84:$AK84,增益!$A:$A,增益!$T:$T,0))</f>
        <v>1.35</v>
      </c>
      <c r="BS84" s="26">
        <f t="shared" si="20"/>
        <v>0.87863408</v>
      </c>
      <c r="BT84" s="26">
        <f t="shared" si="21"/>
        <v>0.01567581</v>
      </c>
      <c r="BU84" s="26">
        <f>IF(VLOOKUP($Q84,武学奇术!$A:$ZZ,22,FALSE)=1,0,(1-$BN84))*(1-$BQ84)</f>
        <v>0.01279011</v>
      </c>
      <c r="BV84" s="26" cm="1">
        <f t="array" ref="BV84">SUM(_xlfn.XLOOKUP($R84:$AK84,增益!$A:$A,增益!$W:$W,0))+$I$5</f>
        <v>0.31</v>
      </c>
    </row>
    <row r="85" spans="1:74">
      <c r="A85" s="4"/>
      <c r="B85" s="4"/>
      <c r="K85" s="38">
        <f t="shared" si="11"/>
        <v>76846.0838556136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78240.9297527805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73510.7768032214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47707.8839955979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40963.3407295502</v>
      </c>
      <c r="P85" s="39">
        <v>1</v>
      </c>
      <c r="Q85" s="40" t="s">
        <v>124</v>
      </c>
      <c r="R85" s="40" t="s">
        <v>100</v>
      </c>
      <c r="S85" s="40" t="s">
        <v>158</v>
      </c>
      <c r="T85" s="40" t="s">
        <v>97</v>
      </c>
      <c r="U85" s="40" t="s">
        <v>79</v>
      </c>
      <c r="V85" s="40" t="s">
        <v>73</v>
      </c>
      <c r="W85" s="40" t="s">
        <v>115</v>
      </c>
      <c r="X85" s="40" t="s">
        <v>87</v>
      </c>
      <c r="Y85" s="40" t="s">
        <v>169</v>
      </c>
      <c r="Z85" s="40" t="s">
        <v>170</v>
      </c>
      <c r="AA85" s="40" t="s">
        <v>80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81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80</v>
      </c>
      <c r="AL85" t="str">
        <f>VLOOKUP($Q85,武学奇术!$A:$ZZ,25,FALSE)</f>
        <v>鼓</v>
      </c>
      <c r="AM85" s="26">
        <f>VLOOKUP($Q85,武学奇术!$A:$ZZ,26,FALSE)</f>
        <v>2.514</v>
      </c>
      <c r="AN85" s="27">
        <f>VLOOKUP($Q85,武学奇术!$A:$ZZ,27,FALSE)*(1+IF(OR($AL85=$F$4,$AL85=$F$5),$B$22,0))</f>
        <v>1044</v>
      </c>
      <c r="AO85" s="26">
        <f>VLOOKUP($Q85,武学奇术!$A:$ZZ,28,FALSE)</f>
        <v>3.7708</v>
      </c>
      <c r="AP85" s="27">
        <f>VLOOKUP($Q85,武学奇术!$A:$ZZ,29,FALSE)*(1+IF(OR($AL85=$F$4,$AL85=$F$5),$B$22,0))</f>
        <v>564</v>
      </c>
      <c r="AQ85" s="26" cm="1">
        <f t="array" ref="AQ85">$G$3+IFERROR(VLOOKUP($AL85,$F$4:$G$7,2,FALSE),0)+VLOOKUP($Q85,武学奇术!$A:$ZZ,2,FALSE)+SUM(_xlfn.XLOOKUP($R85:$AK85,增益!$A:$A,增益!$B:$B,0))</f>
        <v>0.5491</v>
      </c>
      <c r="AR85" s="26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3611.1</v>
      </c>
      <c r="AT85" cm="1">
        <f t="array" ref="AT85">$E$10*(1+$AR85)+VLOOKUP($Q85,武学奇术!$A:$ZZ,4,FALSE)+SUM(_xlfn.XLOOKUP($R85:$AK85,增益!$A:$A,增益!$D:$D,0))-$I$2</f>
        <v>3611.1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0.257</v>
      </c>
      <c r="AV85" s="32" cm="1">
        <f t="array" ref="AV85">$G$10+VLOOKUP($Q85,武学奇术!$A:$ZZ,7,FALSE)+SUM(_xlfn.XLOOKUP($R85:$AK85,增益!$A:$A,增益!$G:$G,0))</f>
        <v>0.205</v>
      </c>
      <c r="AW85" s="26" cm="1">
        <f t="array" ref="AW85">VLOOKUP($Q85,武学奇术!$A:$ZZ,8,FALSE)+SUM(_xlfn.XLOOKUP($R85:$AK85,增益!$A:$A,增益!$H:$H,0))</f>
        <v>0.12</v>
      </c>
      <c r="AX85">
        <f t="shared" si="12"/>
        <v>0</v>
      </c>
      <c r="AY85">
        <f t="shared" si="13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2" cm="1">
        <f t="array" ref="BA85">$G$11+VLOOKUP($Q85,武学奇术!$A:$ZZ,10,FALSE)+SUM(_xlfn.XLOOKUP($R85:$AK85,增益!$A:$A,增益!$J:$J,0))</f>
        <v>0.16</v>
      </c>
      <c r="BB85">
        <f t="shared" si="14"/>
        <v>0</v>
      </c>
      <c r="BC85">
        <f t="shared" si="15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2" cm="1">
        <f t="array" ref="BE85">$G$12+VLOOKUP($Q85,武学奇术!$A:$ZZ,12,FALSE)+SUM(_xlfn.XLOOKUP($R85:$AK85,增益!$A:$A,增益!$L:$L,0))</f>
        <v>0.06</v>
      </c>
      <c r="BF85">
        <f t="shared" si="16"/>
        <v>639.744</v>
      </c>
      <c r="BG85">
        <f t="shared" si="17"/>
        <v>1823.136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2" cm="1">
        <f t="array" ref="BI85">$G$13+VLOOKUP($Q85,武学奇术!$A:$ZZ,14,FALSE)+SUM(_xlfn.XLOOKUP($R85:$AK85,增益!$A:$A,增益!$N:$N,0))</f>
        <v>0.33</v>
      </c>
      <c r="BJ85">
        <f t="shared" si="18"/>
        <v>0</v>
      </c>
      <c r="BK85">
        <f t="shared" si="19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2" cm="1">
        <f t="array" ref="BM85">$G$14+VLOOKUP($Q85,武学奇术!$A:$ZZ,16,FALSE)+SUM(_xlfn.XLOOKUP($R85:$AK85,增益!$A:$A,增益!$P:$P,0))</f>
        <v>0.06</v>
      </c>
      <c r="BN85" s="26">
        <f>MIN(IF(VLOOKUP($Q85,武学奇术!$A:$ZZ,23,FALSE)=1,100%,$B$8),100%)</f>
        <v>0.9859</v>
      </c>
      <c r="BO85" s="26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6" cm="1">
        <f t="array" ref="BP85">1+$B$13+VLOOKUP($Q85,武学奇术!$A:$ZZ,18,FALSE)+SUM(_xlfn.XLOOKUP($R85:$AK85,增益!$A:$A,增益!$R:$R,0))</f>
        <v>1.64</v>
      </c>
      <c r="BQ85" s="26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6" cm="1">
        <f t="array" ref="BR85">1+$B$14+VLOOKUP($Q85,武学奇术!$A:$ZZ,20,FALSE)+SUM(_xlfn.XLOOKUP($R85:$AK85,增益!$A:$A,增益!$T:$T,0))</f>
        <v>1.35</v>
      </c>
      <c r="BS85" s="26">
        <f t="shared" si="20"/>
        <v>0.87863408</v>
      </c>
      <c r="BT85" s="26">
        <f t="shared" si="21"/>
        <v>0.01567581</v>
      </c>
      <c r="BU85" s="26">
        <f>IF(VLOOKUP($Q85,武学奇术!$A:$ZZ,22,FALSE)=1,0,(1-$BN85))*(1-$BQ85)</f>
        <v>0.01279011</v>
      </c>
      <c r="BV85" s="26" cm="1">
        <f t="array" ref="BV85">SUM(_xlfn.XLOOKUP($R85:$AK85,增益!$A:$A,增益!$W:$W,0))+$I$5</f>
        <v>0.31</v>
      </c>
    </row>
    <row r="86" spans="1:74">
      <c r="A86" s="4"/>
      <c r="B86" s="4"/>
      <c r="K86" s="38">
        <f t="shared" si="11"/>
        <v>148880.707699042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154090.829708194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122436.381431619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79428.2627361824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68162.9095970912</v>
      </c>
      <c r="P86" s="39">
        <v>1</v>
      </c>
      <c r="Q86" s="40" t="s">
        <v>127</v>
      </c>
      <c r="R86" s="40" t="s">
        <v>100</v>
      </c>
      <c r="S86" s="40" t="s">
        <v>158</v>
      </c>
      <c r="T86" s="40" t="s">
        <v>97</v>
      </c>
      <c r="U86" s="40" t="s">
        <v>79</v>
      </c>
      <c r="V86" s="40" t="s">
        <v>73</v>
      </c>
      <c r="W86" s="40" t="s">
        <v>115</v>
      </c>
      <c r="X86" s="40" t="s">
        <v>87</v>
      </c>
      <c r="Y86" s="40" t="s">
        <v>169</v>
      </c>
      <c r="Z86" s="40" t="s">
        <v>170</v>
      </c>
      <c r="AA86" s="40" t="s">
        <v>80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81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80</v>
      </c>
      <c r="AL86" t="str">
        <f>VLOOKUP($Q86,武学奇术!$A:$ZZ,25,FALSE)</f>
        <v>鼓</v>
      </c>
      <c r="AM86" s="26">
        <f>VLOOKUP($Q86,武学奇术!$A:$ZZ,26,FALSE)</f>
        <v>3.52968</v>
      </c>
      <c r="AN86" s="27">
        <f>VLOOKUP($Q86,武学奇术!$A:$ZZ,27,FALSE)*(1+IF(OR($AL86=$F$4,$AL86=$F$5),$B$22,0))</f>
        <v>1465.8</v>
      </c>
      <c r="AO86" s="26">
        <f>VLOOKUP($Q86,武学奇术!$A:$ZZ,28,FALSE)</f>
        <v>5.29452</v>
      </c>
      <c r="AP86" s="27">
        <f>VLOOKUP($Q86,武学奇术!$A:$ZZ,29,FALSE)*(1+IF(OR($AL86=$F$4,$AL86=$F$5),$B$22,0))</f>
        <v>798</v>
      </c>
      <c r="AQ86" s="26" cm="1">
        <f t="array" ref="AQ86">$G$3+IFERROR(VLOOKUP($AL86,$F$4:$G$7,2,FALSE),0)+VLOOKUP($Q86,武学奇术!$A:$ZZ,2,FALSE)+SUM(_xlfn.XLOOKUP($R86:$AK86,增益!$A:$A,增益!$B:$B,0))</f>
        <v>0.7491</v>
      </c>
      <c r="AR86" s="26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3611.1</v>
      </c>
      <c r="AT86" cm="1">
        <f t="array" ref="AT86">$E$10*(1+$AR86)+VLOOKUP($Q86,武学奇术!$A:$ZZ,4,FALSE)+SUM(_xlfn.XLOOKUP($R86:$AK86,增益!$A:$A,增益!$D:$D,0))-$I$2</f>
        <v>3611.1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0.317</v>
      </c>
      <c r="AV86" s="32" cm="1">
        <f t="array" ref="AV86">$G$10+VLOOKUP($Q86,武学奇术!$A:$ZZ,7,FALSE)+SUM(_xlfn.XLOOKUP($R86:$AK86,增益!$A:$A,增益!$G:$G,0))</f>
        <v>0.205</v>
      </c>
      <c r="AW86" s="26" cm="1">
        <f t="array" ref="AW86">VLOOKUP($Q86,武学奇术!$A:$ZZ,8,FALSE)+SUM(_xlfn.XLOOKUP($R86:$AK86,增益!$A:$A,增益!$H:$H,0))</f>
        <v>0.12</v>
      </c>
      <c r="AX86">
        <f t="shared" si="12"/>
        <v>0</v>
      </c>
      <c r="AY86">
        <f t="shared" si="13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2" cm="1">
        <f t="array" ref="BA86">$G$11+VLOOKUP($Q86,武学奇术!$A:$ZZ,10,FALSE)+SUM(_xlfn.XLOOKUP($R86:$AK86,增益!$A:$A,增益!$J:$J,0))</f>
        <v>0.16</v>
      </c>
      <c r="BB86">
        <f t="shared" si="14"/>
        <v>0</v>
      </c>
      <c r="BC86">
        <f t="shared" si="15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2" cm="1">
        <f t="array" ref="BE86">$G$12+VLOOKUP($Q86,武学奇术!$A:$ZZ,12,FALSE)+SUM(_xlfn.XLOOKUP($R86:$AK86,增益!$A:$A,增益!$L:$L,0))</f>
        <v>0.06</v>
      </c>
      <c r="BF86">
        <f t="shared" si="16"/>
        <v>639.744</v>
      </c>
      <c r="BG86">
        <f t="shared" si="17"/>
        <v>1823.136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2" cm="1">
        <f t="array" ref="BI86">$G$13+VLOOKUP($Q86,武学奇术!$A:$ZZ,14,FALSE)+SUM(_xlfn.XLOOKUP($R86:$AK86,增益!$A:$A,增益!$N:$N,0))</f>
        <v>0.33</v>
      </c>
      <c r="BJ86">
        <f t="shared" si="18"/>
        <v>0</v>
      </c>
      <c r="BK86">
        <f t="shared" si="19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2" cm="1">
        <f t="array" ref="BM86">$G$14+VLOOKUP($Q86,武学奇术!$A:$ZZ,16,FALSE)+SUM(_xlfn.XLOOKUP($R86:$AK86,增益!$A:$A,增益!$P:$P,0))</f>
        <v>0.06</v>
      </c>
      <c r="BN86" s="26">
        <f>MIN(IF(VLOOKUP($Q86,武学奇术!$A:$ZZ,23,FALSE)=1,100%,$B$8),100%)</f>
        <v>0.9859</v>
      </c>
      <c r="BO86" s="26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6" cm="1">
        <f t="array" ref="BP86">1+$B$13+VLOOKUP($Q86,武学奇术!$A:$ZZ,18,FALSE)+SUM(_xlfn.XLOOKUP($R86:$AK86,增益!$A:$A,增益!$R:$R,0))</f>
        <v>1.94</v>
      </c>
      <c r="BQ86" s="26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6" cm="1">
        <f t="array" ref="BR86">1+$B$14+VLOOKUP($Q86,武学奇术!$A:$ZZ,20,FALSE)+SUM(_xlfn.XLOOKUP($R86:$AK86,增益!$A:$A,增益!$T:$T,0))</f>
        <v>1.35</v>
      </c>
      <c r="BS86" s="26">
        <f t="shared" si="20"/>
        <v>0.87863408</v>
      </c>
      <c r="BT86" s="26">
        <f t="shared" si="21"/>
        <v>0.01567581</v>
      </c>
      <c r="BU86" s="26">
        <f>IF(VLOOKUP($Q86,武学奇术!$A:$ZZ,22,FALSE)=1,0,(1-$BN86))*(1-$BQ86)</f>
        <v>0.01279011</v>
      </c>
      <c r="BV86" s="26" cm="1">
        <f t="array" ref="BV86">SUM(_xlfn.XLOOKUP($R86:$AK86,增益!$A:$A,增益!$W:$W,0))+$I$5</f>
        <v>0.31</v>
      </c>
    </row>
    <row r="87" spans="1:74">
      <c r="K87" s="38">
        <f t="shared" si="11"/>
        <v>184071.095123011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190634.197945512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150065.800437846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98265.0504873775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85370.2487985723</v>
      </c>
      <c r="P87" s="39">
        <v>1</v>
      </c>
      <c r="Q87" s="40" t="s">
        <v>117</v>
      </c>
      <c r="R87" s="40" t="s">
        <v>100</v>
      </c>
      <c r="S87" s="40" t="s">
        <v>158</v>
      </c>
      <c r="T87" s="40" t="s">
        <v>78</v>
      </c>
      <c r="U87" s="40" t="s">
        <v>79</v>
      </c>
      <c r="V87" s="40" t="s">
        <v>73</v>
      </c>
      <c r="W87" s="40" t="s">
        <v>115</v>
      </c>
      <c r="X87" s="40" t="s">
        <v>87</v>
      </c>
      <c r="Y87" s="40" t="s">
        <v>169</v>
      </c>
      <c r="Z87" s="40" t="s">
        <v>170</v>
      </c>
      <c r="AA87" s="40" t="s">
        <v>80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81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80</v>
      </c>
      <c r="AL87" t="str">
        <f>VLOOKUP($Q87,武学奇术!$A:$ZZ,25,FALSE)</f>
        <v>鼓</v>
      </c>
      <c r="AM87" s="26">
        <f>VLOOKUP($Q87,武学奇术!$A:$ZZ,26,FALSE)</f>
        <v>3.08125</v>
      </c>
      <c r="AN87" s="27">
        <f>VLOOKUP($Q87,武学奇术!$A:$ZZ,27,FALSE)*(1+IF(OR($AL87=$F$4,$AL87=$F$5),$B$22,0))</f>
        <v>1277.55</v>
      </c>
      <c r="AO87" s="26">
        <f>VLOOKUP($Q87,武学奇术!$A:$ZZ,28,FALSE)</f>
        <v>4.62196</v>
      </c>
      <c r="AP87" s="27">
        <f>VLOOKUP($Q87,武学奇术!$A:$ZZ,29,FALSE)*(1+IF(OR($AL87=$F$4,$AL87=$F$5),$B$22,0))</f>
        <v>696.15</v>
      </c>
      <c r="AQ87" s="26" cm="1">
        <f t="array" ref="AQ87">$G$3+IFERROR(VLOOKUP($AL87,$F$4:$G$7,2,FALSE),0)+VLOOKUP($Q87,武学奇术!$A:$ZZ,2,FALSE)+SUM(_xlfn.XLOOKUP($R87:$AK87,增益!$A:$A,增益!$B:$B,0))</f>
        <v>0.6491</v>
      </c>
      <c r="AR87" s="26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4372.698</v>
      </c>
      <c r="AT87" cm="1">
        <f t="array" ref="AT87">$E$10*(1+$AR87)+VLOOKUP($Q87,武学奇术!$A:$ZZ,4,FALSE)+SUM(_xlfn.XLOOKUP($R87:$AK87,增益!$A:$A,增益!$D:$D,0))-$I$2</f>
        <v>4372.698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0.317</v>
      </c>
      <c r="AV87" s="32" cm="1">
        <f t="array" ref="AV87">$G$10+VLOOKUP($Q87,武学奇术!$A:$ZZ,7,FALSE)+SUM(_xlfn.XLOOKUP($R87:$AK87,增益!$A:$A,增益!$G:$G,0))</f>
        <v>0.205</v>
      </c>
      <c r="AW87" s="26" cm="1">
        <f t="array" ref="AW87">VLOOKUP($Q87,武学奇术!$A:$ZZ,8,FALSE)+SUM(_xlfn.XLOOKUP($R87:$AK87,增益!$A:$A,增益!$H:$H,0))</f>
        <v>0.18</v>
      </c>
      <c r="AX87">
        <f t="shared" si="12"/>
        <v>0</v>
      </c>
      <c r="AY87">
        <f t="shared" si="13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2" cm="1">
        <f t="array" ref="BA87">$G$11+VLOOKUP($Q87,武学奇术!$A:$ZZ,10,FALSE)+SUM(_xlfn.XLOOKUP($R87:$AK87,增益!$A:$A,增益!$J:$J,0))</f>
        <v>0.16</v>
      </c>
      <c r="BB87">
        <f t="shared" si="14"/>
        <v>0</v>
      </c>
      <c r="BC87">
        <f t="shared" si="15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2" cm="1">
        <f t="array" ref="BE87">$G$12+VLOOKUP($Q87,武学奇术!$A:$ZZ,12,FALSE)+SUM(_xlfn.XLOOKUP($R87:$AK87,增益!$A:$A,增益!$L:$L,0))</f>
        <v>0.06</v>
      </c>
      <c r="BF87">
        <f t="shared" si="16"/>
        <v>674.016</v>
      </c>
      <c r="BG87">
        <f t="shared" si="17"/>
        <v>1920.804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2" cm="1">
        <f t="array" ref="BI87">$G$13+VLOOKUP($Q87,武学奇术!$A:$ZZ,14,FALSE)+SUM(_xlfn.XLOOKUP($R87:$AK87,增益!$A:$A,增益!$N:$N,0))</f>
        <v>0.33</v>
      </c>
      <c r="BJ87">
        <f t="shared" si="18"/>
        <v>0</v>
      </c>
      <c r="BK87">
        <f t="shared" si="19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2" cm="1">
        <f t="array" ref="BM87">$G$14+VLOOKUP($Q87,武学奇术!$A:$ZZ,16,FALSE)+SUM(_xlfn.XLOOKUP($R87:$AK87,增益!$A:$A,增益!$P:$P,0))</f>
        <v>0.06</v>
      </c>
      <c r="BN87" s="26">
        <f>MIN(IF(VLOOKUP($Q87,武学奇术!$A:$ZZ,23,FALSE)=1,100%,$B$8),100%)</f>
        <v>0.9859</v>
      </c>
      <c r="BO87" s="26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6" cm="1">
        <f t="array" ref="BP87">1+$B$13+VLOOKUP($Q87,武学奇术!$A:$ZZ,18,FALSE)+SUM(_xlfn.XLOOKUP($R87:$AK87,增益!$A:$A,增益!$R:$R,0))</f>
        <v>1.94</v>
      </c>
      <c r="BQ87" s="26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6" cm="1">
        <f t="array" ref="BR87">1+$B$14+VLOOKUP($Q87,武学奇术!$A:$ZZ,20,FALSE)+SUM(_xlfn.XLOOKUP($R87:$AK87,增益!$A:$A,增益!$T:$T,0))</f>
        <v>1.35</v>
      </c>
      <c r="BS87" s="26">
        <f t="shared" si="20"/>
        <v>0.87863408</v>
      </c>
      <c r="BT87" s="26">
        <f t="shared" si="21"/>
        <v>0.01567581</v>
      </c>
      <c r="BU87" s="26">
        <f>IF(VLOOKUP($Q87,武学奇术!$A:$ZZ,22,FALSE)=1,0,(1-$BN87))*(1-$BQ87)</f>
        <v>0.01279011</v>
      </c>
      <c r="BV87" s="26" cm="1">
        <f t="array" ref="BV87">SUM(_xlfn.XLOOKUP($R87:$AK87,增益!$A:$A,增益!$W:$W,0))+$I$5</f>
        <v>0.31</v>
      </c>
    </row>
    <row r="88" spans="1:74">
      <c r="K88" s="38">
        <f t="shared" si="11"/>
        <v>0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9">
        <v>1</v>
      </c>
      <c r="Q88" s="40" t="s">
        <v>80</v>
      </c>
      <c r="R88" s="40" t="s">
        <v>80</v>
      </c>
      <c r="S88" s="40" t="s">
        <v>80</v>
      </c>
      <c r="T88" s="40" t="s">
        <v>80</v>
      </c>
      <c r="U88" s="40" t="s">
        <v>80</v>
      </c>
      <c r="V88" s="40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81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80</v>
      </c>
      <c r="AL88" t="str">
        <f>VLOOKUP($Q88,武学奇术!$A:$ZZ,25,FALSE)</f>
        <v>心法</v>
      </c>
      <c r="AM88" s="26">
        <f>VLOOKUP($Q88,武学奇术!$A:$ZZ,26,FALSE)</f>
        <v>0</v>
      </c>
      <c r="AN88" s="27">
        <f>VLOOKUP($Q88,武学奇术!$A:$ZZ,27,FALSE)*(1+IF(OR($AL88=$F$4,$AL88=$F$5),$B$22,0))</f>
        <v>0</v>
      </c>
      <c r="AO88" s="26">
        <f>VLOOKUP($Q88,武学奇术!$A:$ZZ,28,FALSE)</f>
        <v>0</v>
      </c>
      <c r="AP88" s="27">
        <f>VLOOKUP($Q88,武学奇术!$A:$ZZ,29,FALSE)*(1+IF(OR($AL88=$F$4,$AL88=$F$5),$B$22,0))</f>
        <v>0</v>
      </c>
      <c r="AQ88" s="26" cm="1">
        <f t="array" ref="AQ88">$G$3+IFERROR(VLOOKUP($AL88,$F$4:$G$7,2,FALSE),0)+VLOOKUP($Q88,武学奇术!$A:$ZZ,2,FALSE)+SUM(_xlfn.XLOOKUP($R88:$AK88,增益!$A:$A,增益!$B:$B,0))</f>
        <v>0.1037</v>
      </c>
      <c r="AR88" s="26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3611.1</v>
      </c>
      <c r="AT88" cm="1">
        <f t="array" ref="AT88">$E$10*(1+$AR88)+VLOOKUP($Q88,武学奇术!$A:$ZZ,4,FALSE)+SUM(_xlfn.XLOOKUP($R88:$AK88,增益!$A:$A,增益!$D:$D,0))-$I$2</f>
        <v>3611.1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2" cm="1">
        <f t="array" ref="AV88">$G$10+VLOOKUP($Q88,武学奇术!$A:$ZZ,7,FALSE)+SUM(_xlfn.XLOOKUP($R88:$AK88,增益!$A:$A,增益!$G:$G,0))</f>
        <v>0.025</v>
      </c>
      <c r="AW88" s="26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14"/>
        <v>0</v>
      </c>
      <c r="BC88">
        <f t="shared" si="15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16"/>
        <v>571.2</v>
      </c>
      <c r="BG88">
        <f t="shared" si="17"/>
        <v>1627.8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18"/>
        <v>0</v>
      </c>
      <c r="BK88">
        <f t="shared" si="19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6">
        <f>MIN(IF(VLOOKUP($Q88,武学奇术!$A:$ZZ,23,FALSE)=1,100%,$B$8),100%)</f>
        <v>0.9859</v>
      </c>
      <c r="BO88" s="26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6" cm="1">
        <f t="array" ref="BP88">1+$B$13+VLOOKUP($Q88,武学奇术!$A:$ZZ,18,FALSE)+SUM(_xlfn.XLOOKUP($R88:$AK88,增益!$A:$A,增益!$R:$R,0))</f>
        <v>1.54</v>
      </c>
      <c r="BQ88" s="26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6" cm="1">
        <f t="array" ref="BR88">1+$B$14+VLOOKUP($Q88,武学奇术!$A:$ZZ,20,FALSE)+SUM(_xlfn.XLOOKUP($R88:$AK88,增益!$A:$A,增益!$T:$T,0))</f>
        <v>1.35</v>
      </c>
      <c r="BS88" s="26">
        <f t="shared" si="20"/>
        <v>0.87863408</v>
      </c>
      <c r="BT88" s="26">
        <f t="shared" si="21"/>
        <v>0.01567581</v>
      </c>
      <c r="BU88" s="26">
        <f>IF(VLOOKUP($Q88,武学奇术!$A:$ZZ,22,FALSE)=1,0,(1-$BN88))*(1-$BQ88)</f>
        <v>0.01279011</v>
      </c>
      <c r="BV88" s="26" cm="1">
        <f t="array" ref="BV88">SUM(_xlfn.XLOOKUP($R88:$AK88,增益!$A:$A,增益!$W:$W,0))+$I$5</f>
        <v>0.11</v>
      </c>
    </row>
    <row r="89" spans="1:74">
      <c r="K89" s="38">
        <f t="shared" si="11"/>
        <v>0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9">
        <v>1</v>
      </c>
      <c r="Q89" s="40" t="s">
        <v>80</v>
      </c>
      <c r="R89" s="40" t="s">
        <v>80</v>
      </c>
      <c r="S89" s="40" t="s">
        <v>80</v>
      </c>
      <c r="T89" s="40" t="s">
        <v>80</v>
      </c>
      <c r="U89" s="40" t="s">
        <v>80</v>
      </c>
      <c r="V89" s="40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81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80</v>
      </c>
      <c r="AL89" t="str">
        <f>VLOOKUP($Q89,武学奇术!$A:$ZZ,25,FALSE)</f>
        <v>心法</v>
      </c>
      <c r="AM89" s="26">
        <f>VLOOKUP($Q89,武学奇术!$A:$ZZ,26,FALSE)</f>
        <v>0</v>
      </c>
      <c r="AN89" s="27">
        <f>VLOOKUP($Q89,武学奇术!$A:$ZZ,27,FALSE)*(1+IF(OR($AL89=$F$4,$AL89=$F$5),$B$22,0))</f>
        <v>0</v>
      </c>
      <c r="AO89" s="26">
        <f>VLOOKUP($Q89,武学奇术!$A:$ZZ,28,FALSE)</f>
        <v>0</v>
      </c>
      <c r="AP89" s="27">
        <f>VLOOKUP($Q89,武学奇术!$A:$ZZ,29,FALSE)*(1+IF(OR($AL89=$F$4,$AL89=$F$5),$B$22,0))</f>
        <v>0</v>
      </c>
      <c r="AQ89" s="26" cm="1">
        <f t="array" ref="AQ89">$G$3+IFERROR(VLOOKUP($AL89,$F$4:$G$7,2,FALSE),0)+VLOOKUP($Q89,武学奇术!$A:$ZZ,2,FALSE)+SUM(_xlfn.XLOOKUP($R89:$AK89,增益!$A:$A,增益!$B:$B,0))</f>
        <v>0.1037</v>
      </c>
      <c r="AR89" s="26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3611.1</v>
      </c>
      <c r="AT89" cm="1">
        <f t="array" ref="AT89">$E$10*(1+$AR89)+VLOOKUP($Q89,武学奇术!$A:$ZZ,4,FALSE)+SUM(_xlfn.XLOOKUP($R89:$AK89,增益!$A:$A,增益!$D:$D,0))-$I$2</f>
        <v>3611.1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2" cm="1">
        <f t="array" ref="AV89">$G$10+VLOOKUP($Q89,武学奇术!$A:$ZZ,7,FALSE)+SUM(_xlfn.XLOOKUP($R89:$AK89,增益!$A:$A,增益!$G:$G,0))</f>
        <v>0.025</v>
      </c>
      <c r="AW89" s="26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16"/>
        <v>571.2</v>
      </c>
      <c r="BG89">
        <f t="shared" si="17"/>
        <v>1627.8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6">
        <f>MIN(IF(VLOOKUP($Q89,武学奇术!$A:$ZZ,23,FALSE)=1,100%,$B$8),100%)</f>
        <v>0.9859</v>
      </c>
      <c r="BO89" s="26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6" cm="1">
        <f t="array" ref="BP89">1+$B$13+VLOOKUP($Q89,武学奇术!$A:$ZZ,18,FALSE)+SUM(_xlfn.XLOOKUP($R89:$AK89,增益!$A:$A,增益!$R:$R,0))</f>
        <v>1.54</v>
      </c>
      <c r="BQ89" s="26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6" cm="1">
        <f t="array" ref="BR89">1+$B$14+VLOOKUP($Q89,武学奇术!$A:$ZZ,20,FALSE)+SUM(_xlfn.XLOOKUP($R89:$AK89,增益!$A:$A,增益!$T:$T,0))</f>
        <v>1.35</v>
      </c>
      <c r="BS89" s="26">
        <f t="shared" si="20"/>
        <v>0.87863408</v>
      </c>
      <c r="BT89" s="26">
        <f t="shared" si="21"/>
        <v>0.01567581</v>
      </c>
      <c r="BU89" s="26">
        <f>IF(VLOOKUP($Q89,武学奇术!$A:$ZZ,22,FALSE)=1,0,(1-$BN89))*(1-$BQ89)</f>
        <v>0.01279011</v>
      </c>
      <c r="BV89" s="26" cm="1">
        <f t="array" ref="BV89">SUM(_xlfn.XLOOKUP($R89:$AK89,增益!$A:$A,增益!$W:$W,0))+$I$5</f>
        <v>0.11</v>
      </c>
    </row>
    <row r="90" spans="1:74">
      <c r="K90" s="38">
        <f t="shared" si="11"/>
        <v>0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9">
        <v>1</v>
      </c>
      <c r="Q90" s="40" t="s">
        <v>80</v>
      </c>
      <c r="R90" s="40" t="s">
        <v>80</v>
      </c>
      <c r="S90" s="40" t="s">
        <v>80</v>
      </c>
      <c r="T90" s="40" t="s">
        <v>80</v>
      </c>
      <c r="U90" s="40" t="s">
        <v>80</v>
      </c>
      <c r="V90" s="40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81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80</v>
      </c>
      <c r="AL90" t="str">
        <f>VLOOKUP($Q90,武学奇术!$A:$ZZ,25,FALSE)</f>
        <v>心法</v>
      </c>
      <c r="AM90" s="26">
        <f>VLOOKUP($Q90,武学奇术!$A:$ZZ,26,FALSE)</f>
        <v>0</v>
      </c>
      <c r="AN90" s="27">
        <f>VLOOKUP($Q90,武学奇术!$A:$ZZ,27,FALSE)*(1+IF(OR($AL90=$F$4,$AL90=$F$5),$B$22,0))</f>
        <v>0</v>
      </c>
      <c r="AO90" s="26">
        <f>VLOOKUP($Q90,武学奇术!$A:$ZZ,28,FALSE)</f>
        <v>0</v>
      </c>
      <c r="AP90" s="27">
        <f>VLOOKUP($Q90,武学奇术!$A:$ZZ,29,FALSE)*(1+IF(OR($AL90=$F$4,$AL90=$F$5),$B$22,0))</f>
        <v>0</v>
      </c>
      <c r="AQ90" s="26" cm="1">
        <f t="array" ref="AQ90">$G$3+IFERROR(VLOOKUP($AL90,$F$4:$G$7,2,FALSE),0)+VLOOKUP($Q90,武学奇术!$A:$ZZ,2,FALSE)+SUM(_xlfn.XLOOKUP($R90:$AK90,增益!$A:$A,增益!$B:$B,0))</f>
        <v>0.1037</v>
      </c>
      <c r="AR90" s="26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3611.1</v>
      </c>
      <c r="AT90" cm="1">
        <f t="array" ref="AT90">$E$10*(1+$AR90)+VLOOKUP($Q90,武学奇术!$A:$ZZ,4,FALSE)+SUM(_xlfn.XLOOKUP($R90:$AK90,增益!$A:$A,增益!$D:$D,0))-$I$2</f>
        <v>3611.1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2" cm="1">
        <f t="array" ref="AV90">$G$10+VLOOKUP($Q90,武学奇术!$A:$ZZ,7,FALSE)+SUM(_xlfn.XLOOKUP($R90:$AK90,增益!$A:$A,增益!$G:$G,0))</f>
        <v>0.025</v>
      </c>
      <c r="AW90" s="26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16"/>
        <v>571.2</v>
      </c>
      <c r="BG90">
        <f t="shared" si="17"/>
        <v>1627.8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6">
        <f>MIN(IF(VLOOKUP($Q90,武学奇术!$A:$ZZ,23,FALSE)=1,100%,$B$8),100%)</f>
        <v>0.9859</v>
      </c>
      <c r="BO90" s="26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6" cm="1">
        <f t="array" ref="BP90">1+$B$13+VLOOKUP($Q90,武学奇术!$A:$ZZ,18,FALSE)+SUM(_xlfn.XLOOKUP($R90:$AK90,增益!$A:$A,增益!$R:$R,0))</f>
        <v>1.54</v>
      </c>
      <c r="BQ90" s="26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6" cm="1">
        <f t="array" ref="BR90">1+$B$14+VLOOKUP($Q90,武学奇术!$A:$ZZ,20,FALSE)+SUM(_xlfn.XLOOKUP($R90:$AK90,增益!$A:$A,增益!$T:$T,0))</f>
        <v>1.35</v>
      </c>
      <c r="BS90" s="26">
        <f t="shared" si="20"/>
        <v>0.87863408</v>
      </c>
      <c r="BT90" s="26">
        <f t="shared" si="21"/>
        <v>0.01567581</v>
      </c>
      <c r="BU90" s="26">
        <f>IF(VLOOKUP($Q90,武学奇术!$A:$ZZ,22,FALSE)=1,0,(1-$BN90))*(1-$BQ90)</f>
        <v>0.01279011</v>
      </c>
      <c r="BV90" s="26" cm="1">
        <f t="array" ref="BV90">SUM(_xlfn.XLOOKUP($R90:$AK90,增益!$A:$A,增益!$W:$W,0))+$I$5</f>
        <v>0.11</v>
      </c>
    </row>
    <row r="91" spans="1:74">
      <c r="K91" s="38">
        <f t="shared" si="11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9">
        <v>1</v>
      </c>
      <c r="Q91" s="40" t="s">
        <v>80</v>
      </c>
      <c r="R91" s="40" t="s">
        <v>80</v>
      </c>
      <c r="S91" s="40" t="s">
        <v>80</v>
      </c>
      <c r="T91" s="40" t="s">
        <v>80</v>
      </c>
      <c r="U91" s="40" t="s">
        <v>80</v>
      </c>
      <c r="V91" s="40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81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80</v>
      </c>
      <c r="AL91" t="str">
        <f>VLOOKUP($Q91,武学奇术!$A:$ZZ,25,FALSE)</f>
        <v>心法</v>
      </c>
      <c r="AM91" s="26">
        <f>VLOOKUP($Q91,武学奇术!$A:$ZZ,26,FALSE)</f>
        <v>0</v>
      </c>
      <c r="AN91" s="27">
        <f>VLOOKUP($Q91,武学奇术!$A:$ZZ,27,FALSE)*(1+IF(OR($AL91=$F$4,$AL91=$F$5),$B$22,0))</f>
        <v>0</v>
      </c>
      <c r="AO91" s="26">
        <f>VLOOKUP($Q91,武学奇术!$A:$ZZ,28,FALSE)</f>
        <v>0</v>
      </c>
      <c r="AP91" s="27">
        <f>VLOOKUP($Q91,武学奇术!$A:$ZZ,29,FALSE)*(1+IF(OR($AL91=$F$4,$AL91=$F$5),$B$22,0))</f>
        <v>0</v>
      </c>
      <c r="AQ91" s="26" cm="1">
        <f t="array" ref="AQ91">$G$3+IFERROR(VLOOKUP($AL91,$F$4:$G$7,2,FALSE),0)+VLOOKUP($Q91,武学奇术!$A:$ZZ,2,FALSE)+SUM(_xlfn.XLOOKUP($R91:$AK91,增益!$A:$A,增益!$B:$B,0))</f>
        <v>0.1037</v>
      </c>
      <c r="AR91" s="26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3611.1</v>
      </c>
      <c r="AT91" cm="1">
        <f t="array" ref="AT91">$E$10*(1+$AR91)+VLOOKUP($Q91,武学奇术!$A:$ZZ,4,FALSE)+SUM(_xlfn.XLOOKUP($R91:$AK91,增益!$A:$A,增益!$D:$D,0))-$I$2</f>
        <v>3611.1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2" cm="1">
        <f t="array" ref="AV91">$G$10+VLOOKUP($Q91,武学奇术!$A:$ZZ,7,FALSE)+SUM(_xlfn.XLOOKUP($R91:$AK91,增益!$A:$A,增益!$G:$G,0))</f>
        <v>0.025</v>
      </c>
      <c r="AW91" s="26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16"/>
        <v>571.2</v>
      </c>
      <c r="BG91">
        <f t="shared" si="17"/>
        <v>1627.8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6">
        <f>MIN(IF(VLOOKUP($Q91,武学奇术!$A:$ZZ,23,FALSE)=1,100%,$B$8),100%)</f>
        <v>0.9859</v>
      </c>
      <c r="BO91" s="26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6" cm="1">
        <f t="array" ref="BP91">1+$B$13+VLOOKUP($Q91,武学奇术!$A:$ZZ,18,FALSE)+SUM(_xlfn.XLOOKUP($R91:$AK91,增益!$A:$A,增益!$R:$R,0))</f>
        <v>1.54</v>
      </c>
      <c r="BQ91" s="26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6" cm="1">
        <f t="array" ref="BR91">1+$B$14+VLOOKUP($Q91,武学奇术!$A:$ZZ,20,FALSE)+SUM(_xlfn.XLOOKUP($R91:$AK91,增益!$A:$A,增益!$T:$T,0))</f>
        <v>1.35</v>
      </c>
      <c r="BS91" s="26">
        <f t="shared" si="20"/>
        <v>0.87863408</v>
      </c>
      <c r="BT91" s="26">
        <f t="shared" si="21"/>
        <v>0.01567581</v>
      </c>
      <c r="BU91" s="26">
        <f>IF(VLOOKUP($Q91,武学奇术!$A:$ZZ,22,FALSE)=1,0,(1-$BN91))*(1-$BQ91)</f>
        <v>0.01279011</v>
      </c>
      <c r="BV91" s="26" cm="1">
        <f t="array" ref="BV91">SUM(_xlfn.XLOOKUP($R91:$AK91,增益!$A:$A,增益!$W:$W,0))+$I$5</f>
        <v>0.11</v>
      </c>
    </row>
    <row r="92" spans="1:74">
      <c r="K92" s="38">
        <f t="shared" si="11"/>
        <v>0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9">
        <v>1</v>
      </c>
      <c r="Q92" s="40" t="s">
        <v>80</v>
      </c>
      <c r="R92" s="40" t="s">
        <v>80</v>
      </c>
      <c r="S92" s="40" t="s">
        <v>80</v>
      </c>
      <c r="T92" s="40" t="s">
        <v>80</v>
      </c>
      <c r="U92" s="40" t="s">
        <v>80</v>
      </c>
      <c r="V92" s="40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81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80</v>
      </c>
      <c r="AL92" t="str">
        <f>VLOOKUP($Q92,武学奇术!$A:$ZZ,25,FALSE)</f>
        <v>心法</v>
      </c>
      <c r="AM92" s="26">
        <f>VLOOKUP($Q92,武学奇术!$A:$ZZ,26,FALSE)</f>
        <v>0</v>
      </c>
      <c r="AN92" s="27">
        <f>VLOOKUP($Q92,武学奇术!$A:$ZZ,27,FALSE)*(1+IF(OR($AL92=$F$4,$AL92=$F$5),$B$22,0))</f>
        <v>0</v>
      </c>
      <c r="AO92" s="26">
        <f>VLOOKUP($Q92,武学奇术!$A:$ZZ,28,FALSE)</f>
        <v>0</v>
      </c>
      <c r="AP92" s="27">
        <f>VLOOKUP($Q92,武学奇术!$A:$ZZ,29,FALSE)*(1+IF(OR($AL92=$F$4,$AL92=$F$5),$B$22,0))</f>
        <v>0</v>
      </c>
      <c r="AQ92" s="26" cm="1">
        <f t="array" ref="AQ92">$G$3+IFERROR(VLOOKUP($AL92,$F$4:$G$7,2,FALSE),0)+VLOOKUP($Q92,武学奇术!$A:$ZZ,2,FALSE)+SUM(_xlfn.XLOOKUP($R92:$AK92,增益!$A:$A,增益!$B:$B,0))</f>
        <v>0.1037</v>
      </c>
      <c r="AR92" s="26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3611.1</v>
      </c>
      <c r="AT92" cm="1">
        <f t="array" ref="AT92">$E$10*(1+$AR92)+VLOOKUP($Q92,武学奇术!$A:$ZZ,4,FALSE)+SUM(_xlfn.XLOOKUP($R92:$AK92,增益!$A:$A,增益!$D:$D,0))-$I$2</f>
        <v>3611.1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0.167</v>
      </c>
      <c r="AV92" s="32" cm="1">
        <f t="array" ref="AV92">$G$10+VLOOKUP($Q92,武学奇术!$A:$ZZ,7,FALSE)+SUM(_xlfn.XLOOKUP($R92:$AK92,增益!$A:$A,增益!$G:$G,0))</f>
        <v>0.025</v>
      </c>
      <c r="AW92" s="26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16"/>
        <v>571.2</v>
      </c>
      <c r="BG92">
        <f t="shared" si="17"/>
        <v>1627.8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6">
        <f>MIN(IF(VLOOKUP($Q92,武学奇术!$A:$ZZ,23,FALSE)=1,100%,$B$8),100%)</f>
        <v>0.9859</v>
      </c>
      <c r="BO92" s="26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6" cm="1">
        <f t="array" ref="BP92">1+$B$13+VLOOKUP($Q92,武学奇术!$A:$ZZ,18,FALSE)+SUM(_xlfn.XLOOKUP($R92:$AK92,增益!$A:$A,增益!$R:$R,0))</f>
        <v>1.54</v>
      </c>
      <c r="BQ92" s="26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6" cm="1">
        <f t="array" ref="BR92">1+$B$14+VLOOKUP($Q92,武学奇术!$A:$ZZ,20,FALSE)+SUM(_xlfn.XLOOKUP($R92:$AK92,增益!$A:$A,增益!$T:$T,0))</f>
        <v>1.35</v>
      </c>
      <c r="BS92" s="26">
        <f t="shared" si="20"/>
        <v>0.87863408</v>
      </c>
      <c r="BT92" s="26">
        <f t="shared" si="21"/>
        <v>0.01567581</v>
      </c>
      <c r="BU92" s="26">
        <f>IF(VLOOKUP($Q92,武学奇术!$A:$ZZ,22,FALSE)=1,0,(1-$BN92))*(1-$BQ92)</f>
        <v>0.01279011</v>
      </c>
      <c r="BV92" s="26" cm="1">
        <f t="array" ref="BV92">SUM(_xlfn.XLOOKUP($R92:$AK92,增益!$A:$A,增益!$W:$W,0))+$I$5</f>
        <v>0.11</v>
      </c>
    </row>
    <row r="93" spans="1:74">
      <c r="K93" s="38">
        <f t="shared" si="11"/>
        <v>0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9">
        <v>1</v>
      </c>
      <c r="Q93" s="40" t="s">
        <v>80</v>
      </c>
      <c r="R93" s="40" t="s">
        <v>80</v>
      </c>
      <c r="S93" s="40" t="s">
        <v>80</v>
      </c>
      <c r="T93" s="40" t="s">
        <v>80</v>
      </c>
      <c r="U93" s="40" t="s">
        <v>80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80</v>
      </c>
      <c r="AA93" s="40" t="s">
        <v>80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81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80</v>
      </c>
      <c r="AL93" t="str">
        <f>VLOOKUP($Q93,武学奇术!$A:$ZZ,25,FALSE)</f>
        <v>心法</v>
      </c>
      <c r="AM93" s="26">
        <f>VLOOKUP($Q93,武学奇术!$A:$ZZ,26,FALSE)</f>
        <v>0</v>
      </c>
      <c r="AN93" s="27">
        <f>VLOOKUP($Q93,武学奇术!$A:$ZZ,27,FALSE)*(1+IF(OR($AL93=$F$4,$AL93=$F$5),$B$22,0))</f>
        <v>0</v>
      </c>
      <c r="AO93" s="26">
        <f>VLOOKUP($Q93,武学奇术!$A:$ZZ,28,FALSE)</f>
        <v>0</v>
      </c>
      <c r="AP93" s="27">
        <f>VLOOKUP($Q93,武学奇术!$A:$ZZ,29,FALSE)*(1+IF(OR($AL93=$F$4,$AL93=$F$5),$B$22,0))</f>
        <v>0</v>
      </c>
      <c r="AQ93" s="26" cm="1">
        <f t="array" ref="AQ93">$G$3+IFERROR(VLOOKUP($AL93,$F$4:$G$7,2,FALSE),0)+VLOOKUP($Q93,武学奇术!$A:$ZZ,2,FALSE)+SUM(_xlfn.XLOOKUP($R93:$AK93,增益!$A:$A,增益!$B:$B,0))</f>
        <v>0.1037</v>
      </c>
      <c r="AR93" s="26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3611.1</v>
      </c>
      <c r="AT93" cm="1">
        <f t="array" ref="AT93">$E$10*(1+$AR93)+VLOOKUP($Q93,武学奇术!$A:$ZZ,4,FALSE)+SUM(_xlfn.XLOOKUP($R93:$AK93,增益!$A:$A,增益!$D:$D,0))-$I$2</f>
        <v>3611.1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0.167</v>
      </c>
      <c r="AV93" s="32" cm="1">
        <f t="array" ref="AV93">$G$10+VLOOKUP($Q93,武学奇术!$A:$ZZ,7,FALSE)+SUM(_xlfn.XLOOKUP($R93:$AK93,增益!$A:$A,增益!$G:$G,0))</f>
        <v>0.025</v>
      </c>
      <c r="AW93" s="26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16"/>
        <v>571.2</v>
      </c>
      <c r="BG93">
        <f t="shared" si="17"/>
        <v>1627.8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6">
        <f>MIN(IF(VLOOKUP($Q93,武学奇术!$A:$ZZ,23,FALSE)=1,100%,$B$8),100%)</f>
        <v>0.9859</v>
      </c>
      <c r="BO93" s="26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6" cm="1">
        <f t="array" ref="BP93">1+$B$13+VLOOKUP($Q93,武学奇术!$A:$ZZ,18,FALSE)+SUM(_xlfn.XLOOKUP($R93:$AK93,增益!$A:$A,增益!$R:$R,0))</f>
        <v>1.54</v>
      </c>
      <c r="BQ93" s="26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6" cm="1">
        <f t="array" ref="BR93">1+$B$14+VLOOKUP($Q93,武学奇术!$A:$ZZ,20,FALSE)+SUM(_xlfn.XLOOKUP($R93:$AK93,增益!$A:$A,增益!$T:$T,0))</f>
        <v>1.35</v>
      </c>
      <c r="BS93" s="26">
        <f t="shared" si="20"/>
        <v>0.87863408</v>
      </c>
      <c r="BT93" s="26">
        <f t="shared" si="21"/>
        <v>0.01567581</v>
      </c>
      <c r="BU93" s="26">
        <f>IF(VLOOKUP($Q93,武学奇术!$A:$ZZ,22,FALSE)=1,0,(1-$BN93))*(1-$BQ93)</f>
        <v>0.01279011</v>
      </c>
      <c r="BV93" s="26" cm="1">
        <f t="array" ref="BV93">SUM(_xlfn.XLOOKUP($R93:$AK93,增益!$A:$A,增益!$W:$W,0))+$I$5</f>
        <v>0.11</v>
      </c>
    </row>
    <row r="94" spans="1:74">
      <c r="K94" s="38">
        <f t="shared" si="11"/>
        <v>0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9">
        <v>1</v>
      </c>
      <c r="Q94" s="40" t="s">
        <v>80</v>
      </c>
      <c r="R94" s="40" t="s">
        <v>80</v>
      </c>
      <c r="S94" s="40" t="s">
        <v>80</v>
      </c>
      <c r="T94" s="40" t="s">
        <v>80</v>
      </c>
      <c r="U94" s="40" t="s">
        <v>80</v>
      </c>
      <c r="V94" s="40" t="s">
        <v>80</v>
      </c>
      <c r="W94" s="40" t="s">
        <v>80</v>
      </c>
      <c r="X94" s="40" t="s">
        <v>80</v>
      </c>
      <c r="Y94" s="40" t="s">
        <v>80</v>
      </c>
      <c r="Z94" s="40" t="s">
        <v>80</v>
      </c>
      <c r="AA94" s="40" t="s">
        <v>80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81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80</v>
      </c>
      <c r="AL94" t="str">
        <f>VLOOKUP($Q94,武学奇术!$A:$ZZ,25,FALSE)</f>
        <v>心法</v>
      </c>
      <c r="AM94" s="26">
        <f>VLOOKUP($Q94,武学奇术!$A:$ZZ,26,FALSE)</f>
        <v>0</v>
      </c>
      <c r="AN94" s="27">
        <f>VLOOKUP($Q94,武学奇术!$A:$ZZ,27,FALSE)*(1+IF(OR($AL94=$F$4,$AL94=$F$5),$B$22,0))</f>
        <v>0</v>
      </c>
      <c r="AO94" s="26">
        <f>VLOOKUP($Q94,武学奇术!$A:$ZZ,28,FALSE)</f>
        <v>0</v>
      </c>
      <c r="AP94" s="27">
        <f>VLOOKUP($Q94,武学奇术!$A:$ZZ,29,FALSE)*(1+IF(OR($AL94=$F$4,$AL94=$F$5),$B$22,0))</f>
        <v>0</v>
      </c>
      <c r="AQ94" s="26" cm="1">
        <f t="array" ref="AQ94">$G$3+IFERROR(VLOOKUP($AL94,$F$4:$G$7,2,FALSE),0)+VLOOKUP($Q94,武学奇术!$A:$ZZ,2,FALSE)+SUM(_xlfn.XLOOKUP($R94:$AK94,增益!$A:$A,增益!$B:$B,0))</f>
        <v>0.1037</v>
      </c>
      <c r="AR94" s="26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3611.1</v>
      </c>
      <c r="AT94" cm="1">
        <f t="array" ref="AT94">$E$10*(1+$AR94)+VLOOKUP($Q94,武学奇术!$A:$ZZ,4,FALSE)+SUM(_xlfn.XLOOKUP($R94:$AK94,增益!$A:$A,增益!$D:$D,0))-$I$2</f>
        <v>3611.1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0.167</v>
      </c>
      <c r="AV94" s="32" cm="1">
        <f t="array" ref="AV94">$G$10+VLOOKUP($Q94,武学奇术!$A:$ZZ,7,FALSE)+SUM(_xlfn.XLOOKUP($R94:$AK94,增益!$A:$A,增益!$G:$G,0))</f>
        <v>0.025</v>
      </c>
      <c r="AW94" s="26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16"/>
        <v>571.2</v>
      </c>
      <c r="BG94">
        <f t="shared" si="17"/>
        <v>1627.8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6">
        <f>MIN(IF(VLOOKUP($Q94,武学奇术!$A:$ZZ,23,FALSE)=1,100%,$B$8),100%)</f>
        <v>0.9859</v>
      </c>
      <c r="BO94" s="26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6" cm="1">
        <f t="array" ref="BP94">1+$B$13+VLOOKUP($Q94,武学奇术!$A:$ZZ,18,FALSE)+SUM(_xlfn.XLOOKUP($R94:$AK94,增益!$A:$A,增益!$R:$R,0))</f>
        <v>1.54</v>
      </c>
      <c r="BQ94" s="26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6" cm="1">
        <f t="array" ref="BR94">1+$B$14+VLOOKUP($Q94,武学奇术!$A:$ZZ,20,FALSE)+SUM(_xlfn.XLOOKUP($R94:$AK94,增益!$A:$A,增益!$T:$T,0))</f>
        <v>1.35</v>
      </c>
      <c r="BS94" s="26">
        <f t="shared" si="20"/>
        <v>0.87863408</v>
      </c>
      <c r="BT94" s="26">
        <f t="shared" si="21"/>
        <v>0.01567581</v>
      </c>
      <c r="BU94" s="26">
        <f>IF(VLOOKUP($Q94,武学奇术!$A:$ZZ,22,FALSE)=1,0,(1-$BN94))*(1-$BQ94)</f>
        <v>0.01279011</v>
      </c>
      <c r="BV94" s="26" cm="1">
        <f t="array" ref="BV94">SUM(_xlfn.XLOOKUP($R94:$AK94,增益!$A:$A,增益!$W:$W,0))+$I$5</f>
        <v>0.11</v>
      </c>
    </row>
    <row r="95" spans="1:74">
      <c r="K95" s="38">
        <f t="shared" si="11"/>
        <v>0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9">
        <v>1</v>
      </c>
      <c r="Q95" s="40" t="s">
        <v>80</v>
      </c>
      <c r="R95" s="40" t="s">
        <v>80</v>
      </c>
      <c r="S95" s="40" t="s">
        <v>80</v>
      </c>
      <c r="T95" s="40" t="s">
        <v>80</v>
      </c>
      <c r="U95" s="40" t="s">
        <v>80</v>
      </c>
      <c r="V95" s="40" t="s">
        <v>80</v>
      </c>
      <c r="W95" s="40" t="s">
        <v>80</v>
      </c>
      <c r="X95" s="40" t="s">
        <v>80</v>
      </c>
      <c r="Y95" s="40" t="s">
        <v>80</v>
      </c>
      <c r="Z95" s="40" t="s">
        <v>80</v>
      </c>
      <c r="AA95" s="40" t="s">
        <v>80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81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80</v>
      </c>
      <c r="AL95" t="str">
        <f>VLOOKUP($Q95,武学奇术!$A:$ZZ,25,FALSE)</f>
        <v>心法</v>
      </c>
      <c r="AM95" s="26">
        <f>VLOOKUP($Q95,武学奇术!$A:$ZZ,26,FALSE)</f>
        <v>0</v>
      </c>
      <c r="AN95" s="27">
        <f>VLOOKUP($Q95,武学奇术!$A:$ZZ,27,FALSE)*(1+IF(OR($AL95=$F$4,$AL95=$F$5),$B$22,0))</f>
        <v>0</v>
      </c>
      <c r="AO95" s="26">
        <f>VLOOKUP($Q95,武学奇术!$A:$ZZ,28,FALSE)</f>
        <v>0</v>
      </c>
      <c r="AP95" s="27">
        <f>VLOOKUP($Q95,武学奇术!$A:$ZZ,29,FALSE)*(1+IF(OR($AL95=$F$4,$AL95=$F$5),$B$22,0))</f>
        <v>0</v>
      </c>
      <c r="AQ95" s="26" cm="1">
        <f t="array" ref="AQ95">$G$3+IFERROR(VLOOKUP($AL95,$F$4:$G$7,2,FALSE),0)+VLOOKUP($Q95,武学奇术!$A:$ZZ,2,FALSE)+SUM(_xlfn.XLOOKUP($R95:$AK95,增益!$A:$A,增益!$B:$B,0))</f>
        <v>0.1037</v>
      </c>
      <c r="AR95" s="26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3611.1</v>
      </c>
      <c r="AT95" cm="1">
        <f t="array" ref="AT95">$E$10*(1+$AR95)+VLOOKUP($Q95,武学奇术!$A:$ZZ,4,FALSE)+SUM(_xlfn.XLOOKUP($R95:$AK95,增益!$A:$A,增益!$D:$D,0))-$I$2</f>
        <v>3611.1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0.167</v>
      </c>
      <c r="AV95" s="32" cm="1">
        <f t="array" ref="AV95">$G$10+VLOOKUP($Q95,武学奇术!$A:$ZZ,7,FALSE)+SUM(_xlfn.XLOOKUP($R95:$AK95,增益!$A:$A,增益!$G:$G,0))</f>
        <v>0.025</v>
      </c>
      <c r="AW95" s="26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16"/>
        <v>571.2</v>
      </c>
      <c r="BG95">
        <f t="shared" si="17"/>
        <v>1627.8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6">
        <f>MIN(IF(VLOOKUP($Q95,武学奇术!$A:$ZZ,23,FALSE)=1,100%,$B$8),100%)</f>
        <v>0.9859</v>
      </c>
      <c r="BO95" s="26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6" cm="1">
        <f t="array" ref="BP95">1+$B$13+VLOOKUP($Q95,武学奇术!$A:$ZZ,18,FALSE)+SUM(_xlfn.XLOOKUP($R95:$AK95,增益!$A:$A,增益!$R:$R,0))</f>
        <v>1.54</v>
      </c>
      <c r="BQ95" s="26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6" cm="1">
        <f t="array" ref="BR95">1+$B$14+VLOOKUP($Q95,武学奇术!$A:$ZZ,20,FALSE)+SUM(_xlfn.XLOOKUP($R95:$AK95,增益!$A:$A,增益!$T:$T,0))</f>
        <v>1.35</v>
      </c>
      <c r="BS95" s="26">
        <f t="shared" si="20"/>
        <v>0.87863408</v>
      </c>
      <c r="BT95" s="26">
        <f t="shared" si="21"/>
        <v>0.01567581</v>
      </c>
      <c r="BU95" s="26">
        <f>IF(VLOOKUP($Q95,武学奇术!$A:$ZZ,22,FALSE)=1,0,(1-$BN95))*(1-$BQ95)</f>
        <v>0.01279011</v>
      </c>
      <c r="BV95" s="26" cm="1">
        <f t="array" ref="BV95">SUM(_xlfn.XLOOKUP($R95:$AK95,增益!$A:$A,增益!$W:$W,0))+$I$5</f>
        <v>0.11</v>
      </c>
    </row>
    <row r="96" spans="1:74">
      <c r="K96" s="38">
        <f t="shared" si="11"/>
        <v>0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9">
        <v>1</v>
      </c>
      <c r="Q96" s="40" t="s">
        <v>80</v>
      </c>
      <c r="R96" s="40" t="s">
        <v>80</v>
      </c>
      <c r="S96" s="40" t="s">
        <v>80</v>
      </c>
      <c r="T96" s="40" t="s">
        <v>80</v>
      </c>
      <c r="U96" s="40" t="s">
        <v>80</v>
      </c>
      <c r="V96" s="40" t="s">
        <v>80</v>
      </c>
      <c r="W96" s="40" t="s">
        <v>80</v>
      </c>
      <c r="X96" s="40" t="s">
        <v>80</v>
      </c>
      <c r="Y96" s="40" t="s">
        <v>80</v>
      </c>
      <c r="Z96" s="40" t="s">
        <v>80</v>
      </c>
      <c r="AA96" s="40" t="s">
        <v>80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81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80</v>
      </c>
      <c r="AL96" t="str">
        <f>VLOOKUP($Q96,武学奇术!$A:$ZZ,25,FALSE)</f>
        <v>心法</v>
      </c>
      <c r="AM96" s="26">
        <f>VLOOKUP($Q96,武学奇术!$A:$ZZ,26,FALSE)</f>
        <v>0</v>
      </c>
      <c r="AN96" s="27">
        <f>VLOOKUP($Q96,武学奇术!$A:$ZZ,27,FALSE)*(1+IF(OR($AL96=$F$4,$AL96=$F$5),$B$22,0))</f>
        <v>0</v>
      </c>
      <c r="AO96" s="26">
        <f>VLOOKUP($Q96,武学奇术!$A:$ZZ,28,FALSE)</f>
        <v>0</v>
      </c>
      <c r="AP96" s="27">
        <f>VLOOKUP($Q96,武学奇术!$A:$ZZ,29,FALSE)*(1+IF(OR($AL96=$F$4,$AL96=$F$5),$B$22,0))</f>
        <v>0</v>
      </c>
      <c r="AQ96" s="26" cm="1">
        <f t="array" ref="AQ96">$G$3+IFERROR(VLOOKUP($AL96,$F$4:$G$7,2,FALSE),0)+VLOOKUP($Q96,武学奇术!$A:$ZZ,2,FALSE)+SUM(_xlfn.XLOOKUP($R96:$AK96,增益!$A:$A,增益!$B:$B,0))</f>
        <v>0.1037</v>
      </c>
      <c r="AR96" s="26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3611.1</v>
      </c>
      <c r="AT96" cm="1">
        <f t="array" ref="AT96">$E$10*(1+$AR96)+VLOOKUP($Q96,武学奇术!$A:$ZZ,4,FALSE)+SUM(_xlfn.XLOOKUP($R96:$AK96,增益!$A:$A,增益!$D:$D,0))-$I$2</f>
        <v>3611.1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0.167</v>
      </c>
      <c r="AV96" s="32" cm="1">
        <f t="array" ref="AV96">$G$10+VLOOKUP($Q96,武学奇术!$A:$ZZ,7,FALSE)+SUM(_xlfn.XLOOKUP($R96:$AK96,增益!$A:$A,增益!$G:$G,0))</f>
        <v>0.025</v>
      </c>
      <c r="AW96" s="26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16"/>
        <v>571.2</v>
      </c>
      <c r="BG96">
        <f t="shared" si="17"/>
        <v>1627.8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6">
        <f>MIN(IF(VLOOKUP($Q96,武学奇术!$A:$ZZ,23,FALSE)=1,100%,$B$8),100%)</f>
        <v>0.9859</v>
      </c>
      <c r="BO96" s="26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6" cm="1">
        <f t="array" ref="BP96">1+$B$13+VLOOKUP($Q96,武学奇术!$A:$ZZ,18,FALSE)+SUM(_xlfn.XLOOKUP($R96:$AK96,增益!$A:$A,增益!$R:$R,0))</f>
        <v>1.54</v>
      </c>
      <c r="BQ96" s="26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6" cm="1">
        <f t="array" ref="BR96">1+$B$14+VLOOKUP($Q96,武学奇术!$A:$ZZ,20,FALSE)+SUM(_xlfn.XLOOKUP($R96:$AK96,增益!$A:$A,增益!$T:$T,0))</f>
        <v>1.35</v>
      </c>
      <c r="BS96" s="26">
        <f t="shared" si="20"/>
        <v>0.87863408</v>
      </c>
      <c r="BT96" s="26">
        <f t="shared" si="21"/>
        <v>0.01567581</v>
      </c>
      <c r="BU96" s="26">
        <f>IF(VLOOKUP($Q96,武学奇术!$A:$ZZ,22,FALSE)=1,0,(1-$BN96))*(1-$BQ96)</f>
        <v>0.01279011</v>
      </c>
      <c r="BV96" s="26" cm="1">
        <f t="array" ref="BV96">SUM(_xlfn.XLOOKUP($R96:$AK96,增益!$A:$A,增益!$W:$W,0))+$I$5</f>
        <v>0.11</v>
      </c>
    </row>
    <row r="97" spans="11:74">
      <c r="K97" s="38">
        <f t="shared" si="11"/>
        <v>0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9">
        <v>1</v>
      </c>
      <c r="Q97" s="40" t="s">
        <v>80</v>
      </c>
      <c r="R97" s="40" t="s">
        <v>80</v>
      </c>
      <c r="S97" s="40" t="s">
        <v>80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81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80</v>
      </c>
      <c r="AL97" t="str">
        <f>VLOOKUP($Q97,武学奇术!$A:$ZZ,25,FALSE)</f>
        <v>心法</v>
      </c>
      <c r="AM97" s="26">
        <f>VLOOKUP($Q97,武学奇术!$A:$ZZ,26,FALSE)</f>
        <v>0</v>
      </c>
      <c r="AN97" s="27">
        <f>VLOOKUP($Q97,武学奇术!$A:$ZZ,27,FALSE)*(1+IF(OR($AL97=$F$4,$AL97=$F$5),$B$22,0))</f>
        <v>0</v>
      </c>
      <c r="AO97" s="26">
        <f>VLOOKUP($Q97,武学奇术!$A:$ZZ,28,FALSE)</f>
        <v>0</v>
      </c>
      <c r="AP97" s="27">
        <f>VLOOKUP($Q97,武学奇术!$A:$ZZ,29,FALSE)*(1+IF(OR($AL97=$F$4,$AL97=$F$5),$B$22,0))</f>
        <v>0</v>
      </c>
      <c r="AQ97" s="26" cm="1">
        <f t="array" ref="AQ97">$G$3+IFERROR(VLOOKUP($AL97,$F$4:$G$7,2,FALSE),0)+VLOOKUP($Q97,武学奇术!$A:$ZZ,2,FALSE)+SUM(_xlfn.XLOOKUP($R97:$AK97,增益!$A:$A,增益!$B:$B,0))</f>
        <v>0.1037</v>
      </c>
      <c r="AR97" s="26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3611.1</v>
      </c>
      <c r="AT97" cm="1">
        <f t="array" ref="AT97">$E$10*(1+$AR97)+VLOOKUP($Q97,武学奇术!$A:$ZZ,4,FALSE)+SUM(_xlfn.XLOOKUP($R97:$AK97,增益!$A:$A,增益!$D:$D,0))-$I$2</f>
        <v>3611.1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0.167</v>
      </c>
      <c r="AV97" s="32" cm="1">
        <f t="array" ref="AV97">$G$10+VLOOKUP($Q97,武学奇术!$A:$ZZ,7,FALSE)+SUM(_xlfn.XLOOKUP($R97:$AK97,增益!$A:$A,增益!$G:$G,0))</f>
        <v>0.025</v>
      </c>
      <c r="AW97" s="26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16"/>
        <v>571.2</v>
      </c>
      <c r="BG97">
        <f t="shared" si="17"/>
        <v>1627.8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6">
        <f>MIN(IF(VLOOKUP($Q97,武学奇术!$A:$ZZ,23,FALSE)=1,100%,$B$8),100%)</f>
        <v>0.9859</v>
      </c>
      <c r="BO97" s="26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6" cm="1">
        <f t="array" ref="BP97">1+$B$13+VLOOKUP($Q97,武学奇术!$A:$ZZ,18,FALSE)+SUM(_xlfn.XLOOKUP($R97:$AK97,增益!$A:$A,增益!$R:$R,0))</f>
        <v>1.54</v>
      </c>
      <c r="BQ97" s="26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6" cm="1">
        <f t="array" ref="BR97">1+$B$14+VLOOKUP($Q97,武学奇术!$A:$ZZ,20,FALSE)+SUM(_xlfn.XLOOKUP($R97:$AK97,增益!$A:$A,增益!$T:$T,0))</f>
        <v>1.35</v>
      </c>
      <c r="BS97" s="26">
        <f t="shared" si="20"/>
        <v>0.87863408</v>
      </c>
      <c r="BT97" s="26">
        <f t="shared" si="21"/>
        <v>0.01567581</v>
      </c>
      <c r="BU97" s="26">
        <f>IF(VLOOKUP($Q97,武学奇术!$A:$ZZ,22,FALSE)=1,0,(1-$BN97))*(1-$BQ97)</f>
        <v>0.01279011</v>
      </c>
      <c r="BV97" s="26" cm="1">
        <f t="array" ref="BV97">SUM(_xlfn.XLOOKUP($R97:$AK97,增益!$A:$A,增益!$W:$W,0))+$I$5</f>
        <v>0.11</v>
      </c>
    </row>
    <row r="98" spans="11:74">
      <c r="K98" s="38">
        <f t="shared" si="11"/>
        <v>0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9">
        <v>1</v>
      </c>
      <c r="Q98" s="40" t="s">
        <v>80</v>
      </c>
      <c r="R98" s="40" t="s">
        <v>80</v>
      </c>
      <c r="S98" s="40" t="s">
        <v>80</v>
      </c>
      <c r="T98" s="40" t="s">
        <v>80</v>
      </c>
      <c r="U98" s="40" t="s">
        <v>80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40" t="s">
        <v>80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81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80</v>
      </c>
      <c r="AL98" t="str">
        <f>VLOOKUP($Q98,武学奇术!$A:$ZZ,25,FALSE)</f>
        <v>心法</v>
      </c>
      <c r="AM98" s="26">
        <f>VLOOKUP($Q98,武学奇术!$A:$ZZ,26,FALSE)</f>
        <v>0</v>
      </c>
      <c r="AN98" s="27">
        <f>VLOOKUP($Q98,武学奇术!$A:$ZZ,27,FALSE)*(1+IF(OR($AL98=$F$4,$AL98=$F$5),$B$22,0))</f>
        <v>0</v>
      </c>
      <c r="AO98" s="26">
        <f>VLOOKUP($Q98,武学奇术!$A:$ZZ,28,FALSE)</f>
        <v>0</v>
      </c>
      <c r="AP98" s="27">
        <f>VLOOKUP($Q98,武学奇术!$A:$ZZ,29,FALSE)*(1+IF(OR($AL98=$F$4,$AL98=$F$5),$B$22,0))</f>
        <v>0</v>
      </c>
      <c r="AQ98" s="26" cm="1">
        <f t="array" ref="AQ98">$G$3+IFERROR(VLOOKUP($AL98,$F$4:$G$7,2,FALSE),0)+VLOOKUP($Q98,武学奇术!$A:$ZZ,2,FALSE)+SUM(_xlfn.XLOOKUP($R98:$AK98,增益!$A:$A,增益!$B:$B,0))</f>
        <v>0.1037</v>
      </c>
      <c r="AR98" s="26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3611.1</v>
      </c>
      <c r="AT98" cm="1">
        <f t="array" ref="AT98">$E$10*(1+$AR98)+VLOOKUP($Q98,武学奇术!$A:$ZZ,4,FALSE)+SUM(_xlfn.XLOOKUP($R98:$AK98,增益!$A:$A,增益!$D:$D,0))-$I$2</f>
        <v>3611.1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0.167</v>
      </c>
      <c r="AV98" s="32" cm="1">
        <f t="array" ref="AV98">$G$10+VLOOKUP($Q98,武学奇术!$A:$ZZ,7,FALSE)+SUM(_xlfn.XLOOKUP($R98:$AK98,增益!$A:$A,增益!$G:$G,0))</f>
        <v>0.025</v>
      </c>
      <c r="AW98" s="26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16"/>
        <v>571.2</v>
      </c>
      <c r="BG98">
        <f t="shared" si="17"/>
        <v>1627.8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6">
        <f>MIN(IF(VLOOKUP($Q98,武学奇术!$A:$ZZ,23,FALSE)=1,100%,$B$8),100%)</f>
        <v>0.9859</v>
      </c>
      <c r="BO98" s="26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6" cm="1">
        <f t="array" ref="BP98">1+$B$13+VLOOKUP($Q98,武学奇术!$A:$ZZ,18,FALSE)+SUM(_xlfn.XLOOKUP($R98:$AK98,增益!$A:$A,增益!$R:$R,0))</f>
        <v>1.54</v>
      </c>
      <c r="BQ98" s="26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6" cm="1">
        <f t="array" ref="BR98">1+$B$14+VLOOKUP($Q98,武学奇术!$A:$ZZ,20,FALSE)+SUM(_xlfn.XLOOKUP($R98:$AK98,增益!$A:$A,增益!$T:$T,0))</f>
        <v>1.35</v>
      </c>
      <c r="BS98" s="26">
        <f t="shared" si="20"/>
        <v>0.87863408</v>
      </c>
      <c r="BT98" s="26">
        <f t="shared" si="21"/>
        <v>0.01567581</v>
      </c>
      <c r="BU98" s="26">
        <f>IF(VLOOKUP($Q98,武学奇术!$A:$ZZ,22,FALSE)=1,0,(1-$BN98))*(1-$BQ98)</f>
        <v>0.01279011</v>
      </c>
      <c r="BV98" s="26" cm="1">
        <f t="array" ref="BV98">SUM(_xlfn.XLOOKUP($R98:$AK98,增益!$A:$A,增益!$W:$W,0))+$I$5</f>
        <v>0.11</v>
      </c>
    </row>
    <row r="99" spans="11:74">
      <c r="K99" s="38">
        <f t="shared" si="11"/>
        <v>0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9">
        <v>1</v>
      </c>
      <c r="Q99" s="40" t="s">
        <v>80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81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80</v>
      </c>
      <c r="AL99" t="str">
        <f>VLOOKUP($Q99,武学奇术!$A:$ZZ,25,FALSE)</f>
        <v>心法</v>
      </c>
      <c r="AM99" s="26">
        <f>VLOOKUP($Q99,武学奇术!$A:$ZZ,26,FALSE)</f>
        <v>0</v>
      </c>
      <c r="AN99" s="27">
        <f>VLOOKUP($Q99,武学奇术!$A:$ZZ,27,FALSE)*(1+IF(OR($AL99=$F$4,$AL99=$F$5),$B$22,0))</f>
        <v>0</v>
      </c>
      <c r="AO99" s="26">
        <f>VLOOKUP($Q99,武学奇术!$A:$ZZ,28,FALSE)</f>
        <v>0</v>
      </c>
      <c r="AP99" s="27">
        <f>VLOOKUP($Q99,武学奇术!$A:$ZZ,29,FALSE)*(1+IF(OR($AL99=$F$4,$AL99=$F$5),$B$22,0))</f>
        <v>0</v>
      </c>
      <c r="AQ99" s="26" cm="1">
        <f t="array" ref="AQ99">$G$3+IFERROR(VLOOKUP($AL99,$F$4:$G$7,2,FALSE),0)+VLOOKUP($Q99,武学奇术!$A:$ZZ,2,FALSE)+SUM(_xlfn.XLOOKUP($R99:$AK99,增益!$A:$A,增益!$B:$B,0))</f>
        <v>0.1037</v>
      </c>
      <c r="AR99" s="26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3611.1</v>
      </c>
      <c r="AT99" cm="1">
        <f t="array" ref="AT99">$E$10*(1+$AR99)+VLOOKUP($Q99,武学奇术!$A:$ZZ,4,FALSE)+SUM(_xlfn.XLOOKUP($R99:$AK99,增益!$A:$A,增益!$D:$D,0))-$I$2</f>
        <v>3611.1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0.167</v>
      </c>
      <c r="AV99" s="32" cm="1">
        <f t="array" ref="AV99">$G$10+VLOOKUP($Q99,武学奇术!$A:$ZZ,7,FALSE)+SUM(_xlfn.XLOOKUP($R99:$AK99,增益!$A:$A,增益!$G:$G,0))</f>
        <v>0.025</v>
      </c>
      <c r="AW99" s="26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si="16"/>
        <v>571.2</v>
      </c>
      <c r="BG99">
        <f t="shared" si="17"/>
        <v>1627.8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6">
        <f>MIN(IF(VLOOKUP($Q99,武学奇术!$A:$ZZ,23,FALSE)=1,100%,$B$8),100%)</f>
        <v>0.9859</v>
      </c>
      <c r="BO99" s="26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6" cm="1">
        <f t="array" ref="BP99">1+$B$13+VLOOKUP($Q99,武学奇术!$A:$ZZ,18,FALSE)+SUM(_xlfn.XLOOKUP($R99:$AK99,增益!$A:$A,增益!$R:$R,0))</f>
        <v>1.54</v>
      </c>
      <c r="BQ99" s="26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6" cm="1">
        <f t="array" ref="BR99">1+$B$14+VLOOKUP($Q99,武学奇术!$A:$ZZ,20,FALSE)+SUM(_xlfn.XLOOKUP($R99:$AK99,增益!$A:$A,增益!$T:$T,0))</f>
        <v>1.35</v>
      </c>
      <c r="BS99" s="26">
        <f t="shared" si="20"/>
        <v>0.87863408</v>
      </c>
      <c r="BT99" s="26">
        <f t="shared" si="21"/>
        <v>0.01567581</v>
      </c>
      <c r="BU99" s="26">
        <f>IF(VLOOKUP($Q99,武学奇术!$A:$ZZ,22,FALSE)=1,0,(1-$BN99))*(1-$BQ99)</f>
        <v>0.01279011</v>
      </c>
      <c r="BV99" s="26" cm="1">
        <f t="array" ref="BV99">SUM(_xlfn.XLOOKUP($R99:$AK99,增益!$A:$A,增益!$W:$W,0))+$I$5</f>
        <v>0.11</v>
      </c>
    </row>
    <row r="100" spans="11:74">
      <c r="K100" s="38">
        <f t="shared" si="11"/>
        <v>0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9">
        <v>1</v>
      </c>
      <c r="Q100" s="40" t="s">
        <v>80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81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80</v>
      </c>
      <c r="AL100" t="str">
        <f>VLOOKUP($Q100,武学奇术!$A:$ZZ,25,FALSE)</f>
        <v>心法</v>
      </c>
      <c r="AM100" s="26">
        <f>VLOOKUP($Q100,武学奇术!$A:$ZZ,26,FALSE)</f>
        <v>0</v>
      </c>
      <c r="AN100" s="27">
        <f>VLOOKUP($Q100,武学奇术!$A:$ZZ,27,FALSE)*(1+IF(OR($AL100=$F$4,$AL100=$F$5),$B$22,0))</f>
        <v>0</v>
      </c>
      <c r="AO100" s="26">
        <f>VLOOKUP($Q100,武学奇术!$A:$ZZ,28,FALSE)</f>
        <v>0</v>
      </c>
      <c r="AP100" s="27">
        <f>VLOOKUP($Q100,武学奇术!$A:$ZZ,29,FALSE)*(1+IF(OR($AL100=$F$4,$AL100=$F$5),$B$22,0))</f>
        <v>0</v>
      </c>
      <c r="AQ100" s="26" cm="1">
        <f t="array" ref="AQ100">$G$3+IFERROR(VLOOKUP($AL100,$F$4:$G$7,2,FALSE),0)+VLOOKUP($Q100,武学奇术!$A:$ZZ,2,FALSE)+SUM(_xlfn.XLOOKUP($R100:$AK100,增益!$A:$A,增益!$B:$B,0))</f>
        <v>0.1037</v>
      </c>
      <c r="AR100" s="26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3611.1</v>
      </c>
      <c r="AT100" cm="1">
        <f t="array" ref="AT100">$E$10*(1+$AR100)+VLOOKUP($Q100,武学奇术!$A:$ZZ,4,FALSE)+SUM(_xlfn.XLOOKUP($R100:$AK100,增益!$A:$A,增益!$D:$D,0))-$I$2</f>
        <v>3611.1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0.167</v>
      </c>
      <c r="AV100" s="32" cm="1">
        <f t="array" ref="AV100">$G$10+VLOOKUP($Q100,武学奇术!$A:$ZZ,7,FALSE)+SUM(_xlfn.XLOOKUP($R100:$AK100,增益!$A:$A,增益!$G:$G,0))</f>
        <v>0.025</v>
      </c>
      <c r="AW100" s="26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16"/>
        <v>571.2</v>
      </c>
      <c r="BG100">
        <f t="shared" si="17"/>
        <v>1627.8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6">
        <f>MIN(IF(VLOOKUP($Q100,武学奇术!$A:$ZZ,23,FALSE)=1,100%,$B$8),100%)</f>
        <v>0.9859</v>
      </c>
      <c r="BO100" s="26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6" cm="1">
        <f t="array" ref="BP100">1+$B$13+VLOOKUP($Q100,武学奇术!$A:$ZZ,18,FALSE)+SUM(_xlfn.XLOOKUP($R100:$AK100,增益!$A:$A,增益!$R:$R,0))</f>
        <v>1.54</v>
      </c>
      <c r="BQ100" s="26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6" cm="1">
        <f t="array" ref="BR100">1+$B$14+VLOOKUP($Q100,武学奇术!$A:$ZZ,20,FALSE)+SUM(_xlfn.XLOOKUP($R100:$AK100,增益!$A:$A,增益!$T:$T,0))</f>
        <v>1.35</v>
      </c>
      <c r="BS100" s="26">
        <f t="shared" si="20"/>
        <v>0.87863408</v>
      </c>
      <c r="BT100" s="26">
        <f t="shared" si="21"/>
        <v>0.01567581</v>
      </c>
      <c r="BU100" s="26">
        <f>IF(VLOOKUP($Q100,武学奇术!$A:$ZZ,22,FALSE)=1,0,(1-$BN100))*(1-$BQ100)</f>
        <v>0.01279011</v>
      </c>
      <c r="BV100" s="26" cm="1">
        <f t="array" ref="BV100">SUM(_xlfn.XLOOKUP($R100:$AK100,增益!$A:$A,增益!$W:$W,0))+$I$5</f>
        <v>0.11</v>
      </c>
    </row>
    <row r="101" spans="11:74">
      <c r="K101" s="38">
        <f t="shared" si="11"/>
        <v>0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9">
        <v>1</v>
      </c>
      <c r="Q101" s="40" t="s">
        <v>80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81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80</v>
      </c>
      <c r="AL101" t="str">
        <f>VLOOKUP($Q101,武学奇术!$A:$ZZ,25,FALSE)</f>
        <v>心法</v>
      </c>
      <c r="AM101" s="26">
        <f>VLOOKUP($Q101,武学奇术!$A:$ZZ,26,FALSE)</f>
        <v>0</v>
      </c>
      <c r="AN101" s="27">
        <f>VLOOKUP($Q101,武学奇术!$A:$ZZ,27,FALSE)*(1+IF(OR($AL101=$F$4,$AL101=$F$5),$B$22,0))</f>
        <v>0</v>
      </c>
      <c r="AO101" s="26">
        <f>VLOOKUP($Q101,武学奇术!$A:$ZZ,28,FALSE)</f>
        <v>0</v>
      </c>
      <c r="AP101" s="27">
        <f>VLOOKUP($Q101,武学奇术!$A:$ZZ,29,FALSE)*(1+IF(OR($AL101=$F$4,$AL101=$F$5),$B$22,0))</f>
        <v>0</v>
      </c>
      <c r="AQ101" s="26" cm="1">
        <f t="array" ref="AQ101">$G$3+IFERROR(VLOOKUP($AL101,$F$4:$G$7,2,FALSE),0)+VLOOKUP($Q101,武学奇术!$A:$ZZ,2,FALSE)+SUM(_xlfn.XLOOKUP($R101:$AK101,增益!$A:$A,增益!$B:$B,0))</f>
        <v>0.1037</v>
      </c>
      <c r="AR101" s="26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3611.1</v>
      </c>
      <c r="AT101" cm="1">
        <f t="array" ref="AT101">$E$10*(1+$AR101)+VLOOKUP($Q101,武学奇术!$A:$ZZ,4,FALSE)+SUM(_xlfn.XLOOKUP($R101:$AK101,增益!$A:$A,增益!$D:$D,0))-$I$2</f>
        <v>3611.1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0.167</v>
      </c>
      <c r="AV101" s="32" cm="1">
        <f t="array" ref="AV101">$G$10+VLOOKUP($Q101,武学奇术!$A:$ZZ,7,FALSE)+SUM(_xlfn.XLOOKUP($R101:$AK101,增益!$A:$A,增益!$G:$G,0))</f>
        <v>0.025</v>
      </c>
      <c r="AW101" s="26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16"/>
        <v>571.2</v>
      </c>
      <c r="BG101">
        <f t="shared" si="17"/>
        <v>1627.8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6">
        <f>MIN(IF(VLOOKUP($Q101,武学奇术!$A:$ZZ,23,FALSE)=1,100%,$B$8),100%)</f>
        <v>0.9859</v>
      </c>
      <c r="BO101" s="26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6" cm="1">
        <f t="array" ref="BP101">1+$B$13+VLOOKUP($Q101,武学奇术!$A:$ZZ,18,FALSE)+SUM(_xlfn.XLOOKUP($R101:$AK101,增益!$A:$A,增益!$R:$R,0))</f>
        <v>1.54</v>
      </c>
      <c r="BQ101" s="26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6" cm="1">
        <f t="array" ref="BR101">1+$B$14+VLOOKUP($Q101,武学奇术!$A:$ZZ,20,FALSE)+SUM(_xlfn.XLOOKUP($R101:$AK101,增益!$A:$A,增益!$T:$T,0))</f>
        <v>1.35</v>
      </c>
      <c r="BS101" s="26">
        <f t="shared" si="20"/>
        <v>0.87863408</v>
      </c>
      <c r="BT101" s="26">
        <f t="shared" si="21"/>
        <v>0.01567581</v>
      </c>
      <c r="BU101" s="26">
        <f>IF(VLOOKUP($Q101,武学奇术!$A:$ZZ,22,FALSE)=1,0,(1-$BN101))*(1-$BQ101)</f>
        <v>0.01279011</v>
      </c>
      <c r="BV101" s="26" cm="1">
        <f t="array" ref="BV101">SUM(_xlfn.XLOOKUP($R101:$AK101,增益!$A:$A,增益!$W:$W,0))+$I$5</f>
        <v>0.11</v>
      </c>
    </row>
    <row r="102" spans="11:74">
      <c r="K102" s="38">
        <f t="shared" si="11"/>
        <v>0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9">
        <v>1</v>
      </c>
      <c r="Q102" s="40" t="s">
        <v>80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81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80</v>
      </c>
      <c r="AL102" t="str">
        <f>VLOOKUP($Q102,武学奇术!$A:$ZZ,25,FALSE)</f>
        <v>心法</v>
      </c>
      <c r="AM102" s="26">
        <f>VLOOKUP($Q102,武学奇术!$A:$ZZ,26,FALSE)</f>
        <v>0</v>
      </c>
      <c r="AN102" s="27">
        <f>VLOOKUP($Q102,武学奇术!$A:$ZZ,27,FALSE)*(1+IF(OR($AL102=$F$4,$AL102=$F$5),$B$22,0))</f>
        <v>0</v>
      </c>
      <c r="AO102" s="26">
        <f>VLOOKUP($Q102,武学奇术!$A:$ZZ,28,FALSE)</f>
        <v>0</v>
      </c>
      <c r="AP102" s="27">
        <f>VLOOKUP($Q102,武学奇术!$A:$ZZ,29,FALSE)*(1+IF(OR($AL102=$F$4,$AL102=$F$5),$B$22,0))</f>
        <v>0</v>
      </c>
      <c r="AQ102" s="26" cm="1">
        <f t="array" ref="AQ102">$G$3+IFERROR(VLOOKUP($AL102,$F$4:$G$7,2,FALSE),0)+VLOOKUP($Q102,武学奇术!$A:$ZZ,2,FALSE)+SUM(_xlfn.XLOOKUP($R102:$AK102,增益!$A:$A,增益!$B:$B,0))</f>
        <v>0.1037</v>
      </c>
      <c r="AR102" s="26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3611.1</v>
      </c>
      <c r="AT102" cm="1">
        <f t="array" ref="AT102">$E$10*(1+$AR102)+VLOOKUP($Q102,武学奇术!$A:$ZZ,4,FALSE)+SUM(_xlfn.XLOOKUP($R102:$AK102,增益!$A:$A,增益!$D:$D,0))-$I$2</f>
        <v>3611.1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2" cm="1">
        <f t="array" ref="AV102">$G$10+VLOOKUP($Q102,武学奇术!$A:$ZZ,7,FALSE)+SUM(_xlfn.XLOOKUP($R102:$AK102,增益!$A:$A,增益!$G:$G,0))</f>
        <v>0.025</v>
      </c>
      <c r="AW102" s="26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16"/>
        <v>571.2</v>
      </c>
      <c r="BG102">
        <f t="shared" si="17"/>
        <v>1627.8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6">
        <f>MIN(IF(VLOOKUP($Q102,武学奇术!$A:$ZZ,23,FALSE)=1,100%,$B$8),100%)</f>
        <v>0.9859</v>
      </c>
      <c r="BO102" s="26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6" cm="1">
        <f t="array" ref="BP102">1+$B$13+VLOOKUP($Q102,武学奇术!$A:$ZZ,18,FALSE)+SUM(_xlfn.XLOOKUP($R102:$AK102,增益!$A:$A,增益!$R:$R,0))</f>
        <v>1.54</v>
      </c>
      <c r="BQ102" s="26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6" cm="1">
        <f t="array" ref="BR102">1+$B$14+VLOOKUP($Q102,武学奇术!$A:$ZZ,20,FALSE)+SUM(_xlfn.XLOOKUP($R102:$AK102,增益!$A:$A,增益!$T:$T,0))</f>
        <v>1.35</v>
      </c>
      <c r="BS102" s="26">
        <f t="shared" si="20"/>
        <v>0.87863408</v>
      </c>
      <c r="BT102" s="26">
        <f t="shared" si="21"/>
        <v>0.01567581</v>
      </c>
      <c r="BU102" s="26">
        <f>IF(VLOOKUP($Q102,武学奇术!$A:$ZZ,22,FALSE)=1,0,(1-$BN102))*(1-$BQ102)</f>
        <v>0.01279011</v>
      </c>
      <c r="BV102" s="26" cm="1">
        <f t="array" ref="BV102">SUM(_xlfn.XLOOKUP($R102:$AK102,增益!$A:$A,增益!$W:$W,0))+$I$5</f>
        <v>0.11</v>
      </c>
    </row>
    <row r="103" spans="11:74">
      <c r="K103" s="38">
        <f t="shared" si="11"/>
        <v>0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9">
        <v>1</v>
      </c>
      <c r="Q103" s="40" t="s">
        <v>80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81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80</v>
      </c>
      <c r="AL103" t="str">
        <f>VLOOKUP($Q103,武学奇术!$A:$ZZ,25,FALSE)</f>
        <v>心法</v>
      </c>
      <c r="AM103" s="26">
        <f>VLOOKUP($Q103,武学奇术!$A:$ZZ,26,FALSE)</f>
        <v>0</v>
      </c>
      <c r="AN103" s="27">
        <f>VLOOKUP($Q103,武学奇术!$A:$ZZ,27,FALSE)*(1+IF(OR($AL103=$F$4,$AL103=$F$5),$B$22,0))</f>
        <v>0</v>
      </c>
      <c r="AO103" s="26">
        <f>VLOOKUP($Q103,武学奇术!$A:$ZZ,28,FALSE)</f>
        <v>0</v>
      </c>
      <c r="AP103" s="27">
        <f>VLOOKUP($Q103,武学奇术!$A:$ZZ,29,FALSE)*(1+IF(OR($AL103=$F$4,$AL103=$F$5),$B$22,0))</f>
        <v>0</v>
      </c>
      <c r="AQ103" s="26" cm="1">
        <f t="array" ref="AQ103">$G$3+IFERROR(VLOOKUP($AL103,$F$4:$G$7,2,FALSE),0)+VLOOKUP($Q103,武学奇术!$A:$ZZ,2,FALSE)+SUM(_xlfn.XLOOKUP($R103:$AK103,增益!$A:$A,增益!$B:$B,0))</f>
        <v>0.1037</v>
      </c>
      <c r="AR103" s="26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3611.1</v>
      </c>
      <c r="AT103" cm="1">
        <f t="array" ref="AT103">$E$10*(1+$AR103)+VLOOKUP($Q103,武学奇术!$A:$ZZ,4,FALSE)+SUM(_xlfn.XLOOKUP($R103:$AK103,增益!$A:$A,增益!$D:$D,0))-$I$2</f>
        <v>3611.1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0.167</v>
      </c>
      <c r="AV103" s="32" cm="1">
        <f t="array" ref="AV103">$G$10+VLOOKUP($Q103,武学奇术!$A:$ZZ,7,FALSE)+SUM(_xlfn.XLOOKUP($R103:$AK103,增益!$A:$A,增益!$G:$G,0))</f>
        <v>0.025</v>
      </c>
      <c r="AW103" s="26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16"/>
        <v>571.2</v>
      </c>
      <c r="BG103">
        <f t="shared" si="17"/>
        <v>1627.8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6">
        <f>MIN(IF(VLOOKUP($Q103,武学奇术!$A:$ZZ,23,FALSE)=1,100%,$B$8),100%)</f>
        <v>0.9859</v>
      </c>
      <c r="BO103" s="26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6" cm="1">
        <f t="array" ref="BP103">1+$B$13+VLOOKUP($Q103,武学奇术!$A:$ZZ,18,FALSE)+SUM(_xlfn.XLOOKUP($R103:$AK103,增益!$A:$A,增益!$R:$R,0))</f>
        <v>1.54</v>
      </c>
      <c r="BQ103" s="26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6" cm="1">
        <f t="array" ref="BR103">1+$B$14+VLOOKUP($Q103,武学奇术!$A:$ZZ,20,FALSE)+SUM(_xlfn.XLOOKUP($R103:$AK103,增益!$A:$A,增益!$T:$T,0))</f>
        <v>1.35</v>
      </c>
      <c r="BS103" s="26">
        <f t="shared" si="20"/>
        <v>0.87863408</v>
      </c>
      <c r="BT103" s="26">
        <f t="shared" si="21"/>
        <v>0.01567581</v>
      </c>
      <c r="BU103" s="26">
        <f>IF(VLOOKUP($Q103,武学奇术!$A:$ZZ,22,FALSE)=1,0,(1-$BN103))*(1-$BQ103)</f>
        <v>0.01279011</v>
      </c>
      <c r="BV103" s="26" cm="1">
        <f t="array" ref="BV103">SUM(_xlfn.XLOOKUP($R103:$AK103,增益!$A:$A,增益!$W:$W,0))+$I$5</f>
        <v>0.11</v>
      </c>
    </row>
    <row r="104" spans="11:74">
      <c r="K104" s="38">
        <f t="shared" si="11"/>
        <v>0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9">
        <v>1</v>
      </c>
      <c r="Q104" s="40" t="s">
        <v>80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81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80</v>
      </c>
      <c r="AL104" t="str">
        <f>VLOOKUP($Q104,武学奇术!$A:$ZZ,25,FALSE)</f>
        <v>心法</v>
      </c>
      <c r="AM104" s="26">
        <f>VLOOKUP($Q104,武学奇术!$A:$ZZ,26,FALSE)</f>
        <v>0</v>
      </c>
      <c r="AN104" s="27">
        <f>VLOOKUP($Q104,武学奇术!$A:$ZZ,27,FALSE)*(1+IF(OR($AL104=$F$4,$AL104=$F$5),$B$22,0))</f>
        <v>0</v>
      </c>
      <c r="AO104" s="26">
        <f>VLOOKUP($Q104,武学奇术!$A:$ZZ,28,FALSE)</f>
        <v>0</v>
      </c>
      <c r="AP104" s="27">
        <f>VLOOKUP($Q104,武学奇术!$A:$ZZ,29,FALSE)*(1+IF(OR($AL104=$F$4,$AL104=$F$5),$B$22,0))</f>
        <v>0</v>
      </c>
      <c r="AQ104" s="26" cm="1">
        <f t="array" ref="AQ104">$G$3+IFERROR(VLOOKUP($AL104,$F$4:$G$7,2,FALSE),0)+VLOOKUP($Q104,武学奇术!$A:$ZZ,2,FALSE)+SUM(_xlfn.XLOOKUP($R104:$AK104,增益!$A:$A,增益!$B:$B,0))</f>
        <v>0.1037</v>
      </c>
      <c r="AR104" s="26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3611.1</v>
      </c>
      <c r="AT104" cm="1">
        <f t="array" ref="AT104">$E$10*(1+$AR104)+VLOOKUP($Q104,武学奇术!$A:$ZZ,4,FALSE)+SUM(_xlfn.XLOOKUP($R104:$AK104,增益!$A:$A,增益!$D:$D,0))-$I$2</f>
        <v>3611.1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0.167</v>
      </c>
      <c r="AV104" s="32" cm="1">
        <f t="array" ref="AV104">$G$10+VLOOKUP($Q104,武学奇术!$A:$ZZ,7,FALSE)+SUM(_xlfn.XLOOKUP($R104:$AK104,增益!$A:$A,增益!$G:$G,0))</f>
        <v>0.025</v>
      </c>
      <c r="AW104" s="26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16"/>
        <v>571.2</v>
      </c>
      <c r="BG104">
        <f t="shared" si="17"/>
        <v>1627.8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6">
        <f>MIN(IF(VLOOKUP($Q104,武学奇术!$A:$ZZ,23,FALSE)=1,100%,$B$8),100%)</f>
        <v>0.9859</v>
      </c>
      <c r="BO104" s="26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6" cm="1">
        <f t="array" ref="BP104">1+$B$13+VLOOKUP($Q104,武学奇术!$A:$ZZ,18,FALSE)+SUM(_xlfn.XLOOKUP($R104:$AK104,增益!$A:$A,增益!$R:$R,0))</f>
        <v>1.54</v>
      </c>
      <c r="BQ104" s="26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6" cm="1">
        <f t="array" ref="BR104">1+$B$14+VLOOKUP($Q104,武学奇术!$A:$ZZ,20,FALSE)+SUM(_xlfn.XLOOKUP($R104:$AK104,增益!$A:$A,增益!$T:$T,0))</f>
        <v>1.35</v>
      </c>
      <c r="BS104" s="26">
        <f t="shared" si="20"/>
        <v>0.87863408</v>
      </c>
      <c r="BT104" s="26">
        <f t="shared" si="21"/>
        <v>0.01567581</v>
      </c>
      <c r="BU104" s="26">
        <f>IF(VLOOKUP($Q104,武学奇术!$A:$ZZ,22,FALSE)=1,0,(1-$BN104))*(1-$BQ104)</f>
        <v>0.01279011</v>
      </c>
      <c r="BV104" s="26" cm="1">
        <f t="array" ref="BV104">SUM(_xlfn.XLOOKUP($R104:$AK104,增益!$A:$A,增益!$W:$W,0))+$I$5</f>
        <v>0.11</v>
      </c>
    </row>
    <row r="105" spans="11:74">
      <c r="K105" s="38">
        <f t="shared" si="11"/>
        <v>0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9">
        <v>1</v>
      </c>
      <c r="Q105" s="40" t="s">
        <v>80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81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80</v>
      </c>
      <c r="AL105" t="str">
        <f>VLOOKUP($Q105,武学奇术!$A:$ZZ,25,FALSE)</f>
        <v>心法</v>
      </c>
      <c r="AM105" s="26">
        <f>VLOOKUP($Q105,武学奇术!$A:$ZZ,26,FALSE)</f>
        <v>0</v>
      </c>
      <c r="AN105" s="27">
        <f>VLOOKUP($Q105,武学奇术!$A:$ZZ,27,FALSE)*(1+IF(OR($AL105=$F$4,$AL105=$F$5),$B$22,0))</f>
        <v>0</v>
      </c>
      <c r="AO105" s="26">
        <f>VLOOKUP($Q105,武学奇术!$A:$ZZ,28,FALSE)</f>
        <v>0</v>
      </c>
      <c r="AP105" s="27">
        <f>VLOOKUP($Q105,武学奇术!$A:$ZZ,29,FALSE)*(1+IF(OR($AL105=$F$4,$AL105=$F$5),$B$22,0))</f>
        <v>0</v>
      </c>
      <c r="AQ105" s="26" cm="1">
        <f t="array" ref="AQ105">$G$3+IFERROR(VLOOKUP($AL105,$F$4:$G$7,2,FALSE),0)+VLOOKUP($Q105,武学奇术!$A:$ZZ,2,FALSE)+SUM(_xlfn.XLOOKUP($R105:$AK105,增益!$A:$A,增益!$B:$B,0))</f>
        <v>0.1037</v>
      </c>
      <c r="AR105" s="26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3611.1</v>
      </c>
      <c r="AT105" cm="1">
        <f t="array" ref="AT105">$E$10*(1+$AR105)+VLOOKUP($Q105,武学奇术!$A:$ZZ,4,FALSE)+SUM(_xlfn.XLOOKUP($R105:$AK105,增益!$A:$A,增益!$D:$D,0))-$I$2</f>
        <v>3611.1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0.167</v>
      </c>
      <c r="AV105" s="32" cm="1">
        <f t="array" ref="AV105">$G$10+VLOOKUP($Q105,武学奇术!$A:$ZZ,7,FALSE)+SUM(_xlfn.XLOOKUP($R105:$AK105,增益!$A:$A,增益!$G:$G,0))</f>
        <v>0.025</v>
      </c>
      <c r="AW105" s="26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16"/>
        <v>571.2</v>
      </c>
      <c r="BG105">
        <f t="shared" si="17"/>
        <v>1627.8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6">
        <f>MIN(IF(VLOOKUP($Q105,武学奇术!$A:$ZZ,23,FALSE)=1,100%,$B$8),100%)</f>
        <v>0.9859</v>
      </c>
      <c r="BO105" s="26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6" cm="1">
        <f t="array" ref="BP105">1+$B$13+VLOOKUP($Q105,武学奇术!$A:$ZZ,18,FALSE)+SUM(_xlfn.XLOOKUP($R105:$AK105,增益!$A:$A,增益!$R:$R,0))</f>
        <v>1.54</v>
      </c>
      <c r="BQ105" s="26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6" cm="1">
        <f t="array" ref="BR105">1+$B$14+VLOOKUP($Q105,武学奇术!$A:$ZZ,20,FALSE)+SUM(_xlfn.XLOOKUP($R105:$AK105,增益!$A:$A,增益!$T:$T,0))</f>
        <v>1.35</v>
      </c>
      <c r="BS105" s="26">
        <f t="shared" si="20"/>
        <v>0.87863408</v>
      </c>
      <c r="BT105" s="26">
        <f t="shared" si="21"/>
        <v>0.01567581</v>
      </c>
      <c r="BU105" s="26">
        <f>IF(VLOOKUP($Q105,武学奇术!$A:$ZZ,22,FALSE)=1,0,(1-$BN105))*(1-$BQ105)</f>
        <v>0.01279011</v>
      </c>
      <c r="BV105" s="26" cm="1">
        <f t="array" ref="BV105">SUM(_xlfn.XLOOKUP($R105:$AK105,增益!$A:$A,增益!$W:$W,0))+$I$5</f>
        <v>0.11</v>
      </c>
    </row>
    <row r="106" spans="11:74">
      <c r="K106" s="38">
        <f t="shared" si="11"/>
        <v>0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9">
        <v>1</v>
      </c>
      <c r="Q106" s="40" t="s">
        <v>80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81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80</v>
      </c>
      <c r="AL106" t="str">
        <f>VLOOKUP($Q106,武学奇术!$A:$ZZ,25,FALSE)</f>
        <v>心法</v>
      </c>
      <c r="AM106" s="26">
        <f>VLOOKUP($Q106,武学奇术!$A:$ZZ,26,FALSE)</f>
        <v>0</v>
      </c>
      <c r="AN106" s="27">
        <f>VLOOKUP($Q106,武学奇术!$A:$ZZ,27,FALSE)*(1+IF(OR($AL106=$F$4,$AL106=$F$5),$B$22,0))</f>
        <v>0</v>
      </c>
      <c r="AO106" s="26">
        <f>VLOOKUP($Q106,武学奇术!$A:$ZZ,28,FALSE)</f>
        <v>0</v>
      </c>
      <c r="AP106" s="27">
        <f>VLOOKUP($Q106,武学奇术!$A:$ZZ,29,FALSE)*(1+IF(OR($AL106=$F$4,$AL106=$F$5),$B$22,0))</f>
        <v>0</v>
      </c>
      <c r="AQ106" s="26" cm="1">
        <f t="array" ref="AQ106">$G$3+IFERROR(VLOOKUP($AL106,$F$4:$G$7,2,FALSE),0)+VLOOKUP($Q106,武学奇术!$A:$ZZ,2,FALSE)+SUM(_xlfn.XLOOKUP($R106:$AK106,增益!$A:$A,增益!$B:$B,0))</f>
        <v>0.1037</v>
      </c>
      <c r="AR106" s="26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3611.1</v>
      </c>
      <c r="AT106" cm="1">
        <f t="array" ref="AT106">$E$10*(1+$AR106)+VLOOKUP($Q106,武学奇术!$A:$ZZ,4,FALSE)+SUM(_xlfn.XLOOKUP($R106:$AK106,增益!$A:$A,增益!$D:$D,0))-$I$2</f>
        <v>3611.1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0.167</v>
      </c>
      <c r="AV106" s="32" cm="1">
        <f t="array" ref="AV106">$G$10+VLOOKUP($Q106,武学奇术!$A:$ZZ,7,FALSE)+SUM(_xlfn.XLOOKUP($R106:$AK106,增益!$A:$A,增益!$G:$G,0))</f>
        <v>0.025</v>
      </c>
      <c r="AW106" s="26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16"/>
        <v>571.2</v>
      </c>
      <c r="BG106">
        <f t="shared" si="17"/>
        <v>1627.8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6">
        <f>MIN(IF(VLOOKUP($Q106,武学奇术!$A:$ZZ,23,FALSE)=1,100%,$B$8),100%)</f>
        <v>0.9859</v>
      </c>
      <c r="BO106" s="26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6" cm="1">
        <f t="array" ref="BP106">1+$B$13+VLOOKUP($Q106,武学奇术!$A:$ZZ,18,FALSE)+SUM(_xlfn.XLOOKUP($R106:$AK106,增益!$A:$A,增益!$R:$R,0))</f>
        <v>1.54</v>
      </c>
      <c r="BQ106" s="26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6" cm="1">
        <f t="array" ref="BR106">1+$B$14+VLOOKUP($Q106,武学奇术!$A:$ZZ,20,FALSE)+SUM(_xlfn.XLOOKUP($R106:$AK106,增益!$A:$A,增益!$T:$T,0))</f>
        <v>1.35</v>
      </c>
      <c r="BS106" s="26">
        <f t="shared" si="20"/>
        <v>0.87863408</v>
      </c>
      <c r="BT106" s="26">
        <f t="shared" si="21"/>
        <v>0.01567581</v>
      </c>
      <c r="BU106" s="26">
        <f>IF(VLOOKUP($Q106,武学奇术!$A:$ZZ,22,FALSE)=1,0,(1-$BN106))*(1-$BQ106)</f>
        <v>0.01279011</v>
      </c>
      <c r="BV106" s="26" cm="1">
        <f t="array" ref="BV106">SUM(_xlfn.XLOOKUP($R106:$AK106,增益!$A:$A,增益!$W:$W,0))+$I$5</f>
        <v>0.11</v>
      </c>
    </row>
    <row r="107" spans="11:74">
      <c r="K107" s="38">
        <f t="shared" si="11"/>
        <v>0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9">
        <v>1</v>
      </c>
      <c r="Q107" s="40" t="s">
        <v>80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81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80</v>
      </c>
      <c r="AL107" t="str">
        <f>VLOOKUP($Q107,武学奇术!$A:$ZZ,25,FALSE)</f>
        <v>心法</v>
      </c>
      <c r="AM107" s="26">
        <f>VLOOKUP($Q107,武学奇术!$A:$ZZ,26,FALSE)</f>
        <v>0</v>
      </c>
      <c r="AN107" s="27">
        <f>VLOOKUP($Q107,武学奇术!$A:$ZZ,27,FALSE)*(1+IF(OR($AL107=$F$4,$AL107=$F$5),$B$22,0))</f>
        <v>0</v>
      </c>
      <c r="AO107" s="26">
        <f>VLOOKUP($Q107,武学奇术!$A:$ZZ,28,FALSE)</f>
        <v>0</v>
      </c>
      <c r="AP107" s="27">
        <f>VLOOKUP($Q107,武学奇术!$A:$ZZ,29,FALSE)*(1+IF(OR($AL107=$F$4,$AL107=$F$5),$B$22,0))</f>
        <v>0</v>
      </c>
      <c r="AQ107" s="26" cm="1">
        <f t="array" ref="AQ107">$G$3+IFERROR(VLOOKUP($AL107,$F$4:$G$7,2,FALSE),0)+VLOOKUP($Q107,武学奇术!$A:$ZZ,2,FALSE)+SUM(_xlfn.XLOOKUP($R107:$AK107,增益!$A:$A,增益!$B:$B,0))</f>
        <v>0.1037</v>
      </c>
      <c r="AR107" s="26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3611.1</v>
      </c>
      <c r="AT107" cm="1">
        <f t="array" ref="AT107">$E$10*(1+$AR107)+VLOOKUP($Q107,武学奇术!$A:$ZZ,4,FALSE)+SUM(_xlfn.XLOOKUP($R107:$AK107,增益!$A:$A,增益!$D:$D,0))-$I$2</f>
        <v>3611.1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0.167</v>
      </c>
      <c r="AV107" s="32" cm="1">
        <f t="array" ref="AV107">$G$10+VLOOKUP($Q107,武学奇术!$A:$ZZ,7,FALSE)+SUM(_xlfn.XLOOKUP($R107:$AK107,增益!$A:$A,增益!$G:$G,0))</f>
        <v>0.025</v>
      </c>
      <c r="AW107" s="26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16"/>
        <v>571.2</v>
      </c>
      <c r="BG107">
        <f t="shared" si="17"/>
        <v>1627.8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6">
        <f>MIN(IF(VLOOKUP($Q107,武学奇术!$A:$ZZ,23,FALSE)=1,100%,$B$8),100%)</f>
        <v>0.9859</v>
      </c>
      <c r="BO107" s="26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6" cm="1">
        <f t="array" ref="BP107">1+$B$13+VLOOKUP($Q107,武学奇术!$A:$ZZ,18,FALSE)+SUM(_xlfn.XLOOKUP($R107:$AK107,增益!$A:$A,增益!$R:$R,0))</f>
        <v>1.54</v>
      </c>
      <c r="BQ107" s="26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6" cm="1">
        <f t="array" ref="BR107">1+$B$14+VLOOKUP($Q107,武学奇术!$A:$ZZ,20,FALSE)+SUM(_xlfn.XLOOKUP($R107:$AK107,增益!$A:$A,增益!$T:$T,0))</f>
        <v>1.35</v>
      </c>
      <c r="BS107" s="26">
        <f t="shared" si="20"/>
        <v>0.87863408</v>
      </c>
      <c r="BT107" s="26">
        <f t="shared" si="21"/>
        <v>0.01567581</v>
      </c>
      <c r="BU107" s="26">
        <f>IF(VLOOKUP($Q107,武学奇术!$A:$ZZ,22,FALSE)=1,0,(1-$BN107))*(1-$BQ107)</f>
        <v>0.01279011</v>
      </c>
      <c r="BV107" s="26" cm="1">
        <f t="array" ref="BV107">SUM(_xlfn.XLOOKUP($R107:$AK107,增益!$A:$A,增益!$W:$W,0))+$I$5</f>
        <v>0.11</v>
      </c>
    </row>
    <row r="108" spans="11:74">
      <c r="K108" s="38">
        <f t="shared" si="11"/>
        <v>0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9">
        <v>1</v>
      </c>
      <c r="Q108" s="40" t="s">
        <v>80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81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80</v>
      </c>
      <c r="AL108" t="str">
        <f>VLOOKUP($Q108,武学奇术!$A:$ZZ,25,FALSE)</f>
        <v>心法</v>
      </c>
      <c r="AM108" s="26">
        <f>VLOOKUP($Q108,武学奇术!$A:$ZZ,26,FALSE)</f>
        <v>0</v>
      </c>
      <c r="AN108" s="27">
        <f>VLOOKUP($Q108,武学奇术!$A:$ZZ,27,FALSE)*(1+IF(OR($AL108=$F$4,$AL108=$F$5),$B$22,0))</f>
        <v>0</v>
      </c>
      <c r="AO108" s="26">
        <f>VLOOKUP($Q108,武学奇术!$A:$ZZ,28,FALSE)</f>
        <v>0</v>
      </c>
      <c r="AP108" s="27">
        <f>VLOOKUP($Q108,武学奇术!$A:$ZZ,29,FALSE)*(1+IF(OR($AL108=$F$4,$AL108=$F$5),$B$22,0))</f>
        <v>0</v>
      </c>
      <c r="AQ108" s="26" cm="1">
        <f t="array" ref="AQ108">$G$3+IFERROR(VLOOKUP($AL108,$F$4:$G$7,2,FALSE),0)+VLOOKUP($Q108,武学奇术!$A:$ZZ,2,FALSE)+SUM(_xlfn.XLOOKUP($R108:$AK108,增益!$A:$A,增益!$B:$B,0))</f>
        <v>0.1037</v>
      </c>
      <c r="AR108" s="26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3611.1</v>
      </c>
      <c r="AT108" cm="1">
        <f t="array" ref="AT108">$E$10*(1+$AR108)+VLOOKUP($Q108,武学奇术!$A:$ZZ,4,FALSE)+SUM(_xlfn.XLOOKUP($R108:$AK108,增益!$A:$A,增益!$D:$D,0))-$I$2</f>
        <v>3611.1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0.167</v>
      </c>
      <c r="AV108" s="32" cm="1">
        <f t="array" ref="AV108">$G$10+VLOOKUP($Q108,武学奇术!$A:$ZZ,7,FALSE)+SUM(_xlfn.XLOOKUP($R108:$AK108,增益!$A:$A,增益!$G:$G,0))</f>
        <v>0.025</v>
      </c>
      <c r="AW108" s="26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16"/>
        <v>571.2</v>
      </c>
      <c r="BG108">
        <f t="shared" si="17"/>
        <v>1627.8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6">
        <f>MIN(IF(VLOOKUP($Q108,武学奇术!$A:$ZZ,23,FALSE)=1,100%,$B$8),100%)</f>
        <v>0.9859</v>
      </c>
      <c r="BO108" s="26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6" cm="1">
        <f t="array" ref="BP108">1+$B$13+VLOOKUP($Q108,武学奇术!$A:$ZZ,18,FALSE)+SUM(_xlfn.XLOOKUP($R108:$AK108,增益!$A:$A,增益!$R:$R,0))</f>
        <v>1.54</v>
      </c>
      <c r="BQ108" s="26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6" cm="1">
        <f t="array" ref="BR108">1+$B$14+VLOOKUP($Q108,武学奇术!$A:$ZZ,20,FALSE)+SUM(_xlfn.XLOOKUP($R108:$AK108,增益!$A:$A,增益!$T:$T,0))</f>
        <v>1.35</v>
      </c>
      <c r="BS108" s="26">
        <f t="shared" si="20"/>
        <v>0.87863408</v>
      </c>
      <c r="BT108" s="26">
        <f t="shared" si="21"/>
        <v>0.01567581</v>
      </c>
      <c r="BU108" s="26">
        <f>IF(VLOOKUP($Q108,武学奇术!$A:$ZZ,22,FALSE)=1,0,(1-$BN108))*(1-$BQ108)</f>
        <v>0.01279011</v>
      </c>
      <c r="BV108" s="26" cm="1">
        <f t="array" ref="BV108">SUM(_xlfn.XLOOKUP($R108:$AK108,增益!$A:$A,增益!$W:$W,0))+$I$5</f>
        <v>0.11</v>
      </c>
    </row>
    <row r="109" spans="11:74">
      <c r="K109" s="38">
        <f t="shared" si="11"/>
        <v>0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9">
        <v>1</v>
      </c>
      <c r="Q109" s="40" t="s">
        <v>80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81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80</v>
      </c>
      <c r="AL109" t="str">
        <f>VLOOKUP($Q109,武学奇术!$A:$ZZ,25,FALSE)</f>
        <v>心法</v>
      </c>
      <c r="AM109" s="26">
        <f>VLOOKUP($Q109,武学奇术!$A:$ZZ,26,FALSE)</f>
        <v>0</v>
      </c>
      <c r="AN109" s="27">
        <f>VLOOKUP($Q109,武学奇术!$A:$ZZ,27,FALSE)*(1+IF(OR($AL109=$F$4,$AL109=$F$5),$B$22,0))</f>
        <v>0</v>
      </c>
      <c r="AO109" s="26">
        <f>VLOOKUP($Q109,武学奇术!$A:$ZZ,28,FALSE)</f>
        <v>0</v>
      </c>
      <c r="AP109" s="27">
        <f>VLOOKUP($Q109,武学奇术!$A:$ZZ,29,FALSE)*(1+IF(OR($AL109=$F$4,$AL109=$F$5),$B$22,0))</f>
        <v>0</v>
      </c>
      <c r="AQ109" s="26" cm="1">
        <f t="array" ref="AQ109">$G$3+IFERROR(VLOOKUP($AL109,$F$4:$G$7,2,FALSE),0)+VLOOKUP($Q109,武学奇术!$A:$ZZ,2,FALSE)+SUM(_xlfn.XLOOKUP($R109:$AK109,增益!$A:$A,增益!$B:$B,0))</f>
        <v>0.1037</v>
      </c>
      <c r="AR109" s="26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3611.1</v>
      </c>
      <c r="AT109" cm="1">
        <f t="array" ref="AT109">$E$10*(1+$AR109)+VLOOKUP($Q109,武学奇术!$A:$ZZ,4,FALSE)+SUM(_xlfn.XLOOKUP($R109:$AK109,增益!$A:$A,增益!$D:$D,0))-$I$2</f>
        <v>3611.1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0.167</v>
      </c>
      <c r="AV109" s="32" cm="1">
        <f t="array" ref="AV109">$G$10+VLOOKUP($Q109,武学奇术!$A:$ZZ,7,FALSE)+SUM(_xlfn.XLOOKUP($R109:$AK109,增益!$A:$A,增益!$G:$G,0))</f>
        <v>0.025</v>
      </c>
      <c r="AW109" s="26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16"/>
        <v>571.2</v>
      </c>
      <c r="BG109">
        <f t="shared" si="17"/>
        <v>1627.8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6">
        <f>MIN(IF(VLOOKUP($Q109,武学奇术!$A:$ZZ,23,FALSE)=1,100%,$B$8),100%)</f>
        <v>0.9859</v>
      </c>
      <c r="BO109" s="26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6" cm="1">
        <f t="array" ref="BP109">1+$B$13+VLOOKUP($Q109,武学奇术!$A:$ZZ,18,FALSE)+SUM(_xlfn.XLOOKUP($R109:$AK109,增益!$A:$A,增益!$R:$R,0))</f>
        <v>1.54</v>
      </c>
      <c r="BQ109" s="26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6" cm="1">
        <f t="array" ref="BR109">1+$B$14+VLOOKUP($Q109,武学奇术!$A:$ZZ,20,FALSE)+SUM(_xlfn.XLOOKUP($R109:$AK109,增益!$A:$A,增益!$T:$T,0))</f>
        <v>1.35</v>
      </c>
      <c r="BS109" s="26">
        <f t="shared" si="20"/>
        <v>0.87863408</v>
      </c>
      <c r="BT109" s="26">
        <f t="shared" si="21"/>
        <v>0.01567581</v>
      </c>
      <c r="BU109" s="26">
        <f>IF(VLOOKUP($Q109,武学奇术!$A:$ZZ,22,FALSE)=1,0,(1-$BN109))*(1-$BQ109)</f>
        <v>0.01279011</v>
      </c>
      <c r="BV109" s="26" cm="1">
        <f t="array" ref="BV109">SUM(_xlfn.XLOOKUP($R109:$AK109,增益!$A:$A,增益!$W:$W,0))+$I$5</f>
        <v>0.11</v>
      </c>
    </row>
    <row r="110" spans="11:74">
      <c r="K110" s="38">
        <f t="shared" si="11"/>
        <v>0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9">
        <v>1</v>
      </c>
      <c r="Q110" s="40" t="s">
        <v>80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81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80</v>
      </c>
      <c r="AL110" t="str">
        <f>VLOOKUP($Q110,武学奇术!$A:$ZZ,25,FALSE)</f>
        <v>心法</v>
      </c>
      <c r="AM110" s="26">
        <f>VLOOKUP($Q110,武学奇术!$A:$ZZ,26,FALSE)</f>
        <v>0</v>
      </c>
      <c r="AN110" s="27">
        <f>VLOOKUP($Q110,武学奇术!$A:$ZZ,27,FALSE)*(1+IF(OR($AL110=$F$4,$AL110=$F$5),$B$22,0))</f>
        <v>0</v>
      </c>
      <c r="AO110" s="26">
        <f>VLOOKUP($Q110,武学奇术!$A:$ZZ,28,FALSE)</f>
        <v>0</v>
      </c>
      <c r="AP110" s="27">
        <f>VLOOKUP($Q110,武学奇术!$A:$ZZ,29,FALSE)*(1+IF(OR($AL110=$F$4,$AL110=$F$5),$B$22,0))</f>
        <v>0</v>
      </c>
      <c r="AQ110" s="26" cm="1">
        <f t="array" ref="AQ110">$G$3+IFERROR(VLOOKUP($AL110,$F$4:$G$7,2,FALSE),0)+VLOOKUP($Q110,武学奇术!$A:$ZZ,2,FALSE)+SUM(_xlfn.XLOOKUP($R110:$AK110,增益!$A:$A,增益!$B:$B,0))</f>
        <v>0.1037</v>
      </c>
      <c r="AR110" s="26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3611.1</v>
      </c>
      <c r="AT110" cm="1">
        <f t="array" ref="AT110">$E$10*(1+$AR110)+VLOOKUP($Q110,武学奇术!$A:$ZZ,4,FALSE)+SUM(_xlfn.XLOOKUP($R110:$AK110,增益!$A:$A,增益!$D:$D,0))-$I$2</f>
        <v>3611.1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0.167</v>
      </c>
      <c r="AV110" s="32" cm="1">
        <f t="array" ref="AV110">$G$10+VLOOKUP($Q110,武学奇术!$A:$ZZ,7,FALSE)+SUM(_xlfn.XLOOKUP($R110:$AK110,增益!$A:$A,增益!$G:$G,0))</f>
        <v>0.025</v>
      </c>
      <c r="AW110" s="26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16"/>
        <v>571.2</v>
      </c>
      <c r="BG110">
        <f t="shared" si="17"/>
        <v>1627.8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6">
        <f>MIN(IF(VLOOKUP($Q110,武学奇术!$A:$ZZ,23,FALSE)=1,100%,$B$8),100%)</f>
        <v>0.9859</v>
      </c>
      <c r="BO110" s="26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6" cm="1">
        <f t="array" ref="BP110">1+$B$13+VLOOKUP($Q110,武学奇术!$A:$ZZ,18,FALSE)+SUM(_xlfn.XLOOKUP($R110:$AK110,增益!$A:$A,增益!$R:$R,0))</f>
        <v>1.54</v>
      </c>
      <c r="BQ110" s="26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6" cm="1">
        <f t="array" ref="BR110">1+$B$14+VLOOKUP($Q110,武学奇术!$A:$ZZ,20,FALSE)+SUM(_xlfn.XLOOKUP($R110:$AK110,增益!$A:$A,增益!$T:$T,0))</f>
        <v>1.35</v>
      </c>
      <c r="BS110" s="26">
        <f t="shared" si="20"/>
        <v>0.87863408</v>
      </c>
      <c r="BT110" s="26">
        <f t="shared" si="21"/>
        <v>0.01567581</v>
      </c>
      <c r="BU110" s="26">
        <f>IF(VLOOKUP($Q110,武学奇术!$A:$ZZ,22,FALSE)=1,0,(1-$BN110))*(1-$BQ110)</f>
        <v>0.01279011</v>
      </c>
      <c r="BV110" s="26" cm="1">
        <f t="array" ref="BV110">SUM(_xlfn.XLOOKUP($R110:$AK110,增益!$A:$A,增益!$W:$W,0))+$I$5</f>
        <v>0.11</v>
      </c>
    </row>
    <row r="111" spans="11:74">
      <c r="K111" s="38">
        <f t="shared" si="11"/>
        <v>18769.0516263197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19065.8460960222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18173.5337599605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12143.8510165747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10825.8251739193</v>
      </c>
      <c r="P111" s="39">
        <f t="shared" ref="P111:P121" si="22">IF($E$22="易水歌",1,0)</f>
        <v>1</v>
      </c>
      <c r="Q111" s="40" t="s">
        <v>180</v>
      </c>
      <c r="R111" s="40" t="s">
        <v>100</v>
      </c>
      <c r="S111" s="40" t="s">
        <v>92</v>
      </c>
      <c r="T111" s="40" t="s">
        <v>78</v>
      </c>
      <c r="U111" s="40" t="s">
        <v>79</v>
      </c>
      <c r="V111" s="40" t="s">
        <v>73</v>
      </c>
      <c r="W111" s="40" t="s">
        <v>80</v>
      </c>
      <c r="X111" s="40" t="s">
        <v>87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81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80</v>
      </c>
      <c r="AL111" t="str">
        <f>VLOOKUP($Q111,武学奇术!$A:$ZZ,25,FALSE)</f>
        <v>心法</v>
      </c>
      <c r="AM111" s="26">
        <f>VLOOKUP($Q111,武学奇术!$A:$ZZ,26,FALSE)</f>
        <v>1</v>
      </c>
      <c r="AN111" s="27">
        <f>VLOOKUP($Q111,武学奇术!$A:$ZZ,27,FALSE)*(1+IF(OR($AL111=$F$4,$AL111=$F$5),$B$22,0))</f>
        <v>0</v>
      </c>
      <c r="AO111" s="26">
        <f>VLOOKUP($Q111,武学奇术!$A:$ZZ,28,FALSE)</f>
        <v>1</v>
      </c>
      <c r="AP111" s="27">
        <f>VLOOKUP($Q111,武学奇术!$A:$ZZ,29,FALSE)*(1+IF(OR($AL111=$F$4,$AL111=$F$5),$B$22,0))</f>
        <v>0</v>
      </c>
      <c r="AQ111" s="26" cm="1">
        <f t="array" ref="AQ111">$G$3+IFERROR(VLOOKUP($AL111,$F$4:$G$7,2,FALSE),0)+VLOOKUP($Q111,武学奇术!$A:$ZZ,2,FALSE)+SUM(_xlfn.XLOOKUP($R111:$AK111,增益!$A:$A,增益!$B:$B,0))</f>
        <v>0.2787</v>
      </c>
      <c r="AR111" s="26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4372.698</v>
      </c>
      <c r="AT111" cm="1">
        <f t="array" ref="AT111">$E$10*(1+$AR111)+VLOOKUP($Q111,武学奇术!$A:$ZZ,4,FALSE)+SUM(_xlfn.XLOOKUP($R111:$AK111,增益!$A:$A,增益!$D:$D,0))-$I$2</f>
        <v>4372.698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0.257</v>
      </c>
      <c r="AV111" s="32" cm="1">
        <f t="array" ref="AV111">$G$10+VLOOKUP($Q111,武学奇术!$A:$ZZ,7,FALSE)+SUM(_xlfn.XLOOKUP($R111:$AK111,增益!$A:$A,增益!$G:$G,0))</f>
        <v>0.205</v>
      </c>
      <c r="AW111" s="26" cm="1">
        <f t="array" ref="AW111">VLOOKUP($Q111,武学奇术!$A:$ZZ,8,FALSE)+SUM(_xlfn.XLOOKUP($R111:$AK111,增益!$A:$A,增益!$H:$H,0))</f>
        <v>0.18</v>
      </c>
      <c r="AX111">
        <f t="shared" si="12"/>
        <v>0</v>
      </c>
      <c r="AY111">
        <f t="shared" si="13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2" cm="1">
        <f t="array" ref="BA111">$G$11+VLOOKUP($Q111,武学奇术!$A:$ZZ,10,FALSE)+SUM(_xlfn.XLOOKUP($R111:$AK111,增益!$A:$A,增益!$J:$J,0))</f>
        <v>0.06</v>
      </c>
      <c r="BB111">
        <f t="shared" si="14"/>
        <v>0</v>
      </c>
      <c r="BC111">
        <f t="shared" si="15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2" cm="1">
        <f t="array" ref="BE111">$G$12+VLOOKUP($Q111,武学奇术!$A:$ZZ,12,FALSE)+SUM(_xlfn.XLOOKUP($R111:$AK111,增益!$A:$A,增益!$L:$L,0))</f>
        <v>0.06</v>
      </c>
      <c r="BF111">
        <f t="shared" si="16"/>
        <v>674.016</v>
      </c>
      <c r="BG111">
        <f t="shared" si="17"/>
        <v>1920.804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2" cm="1">
        <f t="array" ref="BI111">$G$13+VLOOKUP($Q111,武学奇术!$A:$ZZ,14,FALSE)+SUM(_xlfn.XLOOKUP($R111:$AK111,增益!$A:$A,增益!$N:$N,0))</f>
        <v>0.33</v>
      </c>
      <c r="BJ111">
        <f t="shared" si="18"/>
        <v>0</v>
      </c>
      <c r="BK111">
        <f t="shared" si="19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2" cm="1">
        <f t="array" ref="BM111">$G$14+VLOOKUP($Q111,武学奇术!$A:$ZZ,16,FALSE)+SUM(_xlfn.XLOOKUP($R111:$AK111,增益!$A:$A,增益!$P:$P,0))</f>
        <v>0.06</v>
      </c>
      <c r="BN111" s="26">
        <f>MIN(IF(VLOOKUP($Q111,武学奇术!$A:$ZZ,23,FALSE)=1,100%,$B$8),100%)</f>
        <v>0.9859</v>
      </c>
      <c r="BO111" s="26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6" cm="1">
        <f t="array" ref="BP111">1+$B$13+VLOOKUP($Q111,武学奇术!$A:$ZZ,18,FALSE)+SUM(_xlfn.XLOOKUP($R111:$AK111,增益!$A:$A,增益!$R:$R,0))</f>
        <v>1.57</v>
      </c>
      <c r="BQ111" s="26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6" cm="1">
        <f t="array" ref="BR111">1+$B$14+VLOOKUP($Q111,武学奇术!$A:$ZZ,20,FALSE)+SUM(_xlfn.XLOOKUP($R111:$AK111,增益!$A:$A,增益!$T:$T,0))</f>
        <v>1.35</v>
      </c>
      <c r="BS111" s="26">
        <f t="shared" si="20"/>
        <v>0.87863408</v>
      </c>
      <c r="BT111" s="26">
        <f t="shared" si="21"/>
        <v>0.01567581</v>
      </c>
      <c r="BU111" s="26">
        <f>IF(VLOOKUP($Q111,武学奇术!$A:$ZZ,22,FALSE)=1,0,(1-$BN111))*(1-$BQ111)</f>
        <v>0.01279011</v>
      </c>
      <c r="BV111" s="26" cm="1">
        <f t="array" ref="BV111">SUM(_xlfn.XLOOKUP($R111:$AK111,增益!$A:$A,增益!$W:$W,0))+$I$5</f>
        <v>0.11</v>
      </c>
    </row>
    <row r="112" spans="11:74">
      <c r="K112" s="38">
        <f t="shared" si="11"/>
        <v>14525.8055712361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14789.1424015059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13815.7581480105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9185.80273385458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8137.71054325691</v>
      </c>
      <c r="P112" s="39">
        <f t="shared" si="22"/>
        <v>1</v>
      </c>
      <c r="Q112" s="40" t="s">
        <v>180</v>
      </c>
      <c r="R112" s="40" t="s">
        <v>100</v>
      </c>
      <c r="S112" s="40" t="s">
        <v>148</v>
      </c>
      <c r="T112" s="40" t="s">
        <v>97</v>
      </c>
      <c r="U112" s="40" t="s">
        <v>80</v>
      </c>
      <c r="V112" s="40" t="s">
        <v>73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81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80</v>
      </c>
      <c r="AL112" t="str">
        <f>VLOOKUP($Q112,武学奇术!$A:$ZZ,25,FALSE)</f>
        <v>心法</v>
      </c>
      <c r="AM112" s="26">
        <f>VLOOKUP($Q112,武学奇术!$A:$ZZ,26,FALSE)</f>
        <v>1</v>
      </c>
      <c r="AN112" s="27">
        <f>VLOOKUP($Q112,武学奇术!$A:$ZZ,27,FALSE)*(1+IF(OR($AL112=$F$4,$AL112=$F$5),$B$22,0))</f>
        <v>0</v>
      </c>
      <c r="AO112" s="26">
        <f>VLOOKUP($Q112,武学奇术!$A:$ZZ,28,FALSE)</f>
        <v>1</v>
      </c>
      <c r="AP112" s="27">
        <f>VLOOKUP($Q112,武学奇术!$A:$ZZ,29,FALSE)*(1+IF(OR($AL112=$F$4,$AL112=$F$5),$B$22,0))</f>
        <v>0</v>
      </c>
      <c r="AQ112" s="26" cm="1">
        <f t="array" ref="AQ112">$G$3+IFERROR(VLOOKUP($AL112,$F$4:$G$7,2,FALSE),0)+VLOOKUP($Q112,武学奇术!$A:$ZZ,2,FALSE)+SUM(_xlfn.XLOOKUP($R112:$AK112,增益!$A:$A,增益!$B:$B,0))</f>
        <v>0.1537</v>
      </c>
      <c r="AR112" s="26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3611.1</v>
      </c>
      <c r="AT112" cm="1">
        <f t="array" ref="AT112">$E$10*(1+$AR112)+VLOOKUP($Q112,武学奇术!$A:$ZZ,4,FALSE)+SUM(_xlfn.XLOOKUP($R112:$AK112,增益!$A:$A,增益!$D:$D,0))-$I$2</f>
        <v>3611.1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0.257</v>
      </c>
      <c r="AV112" s="32" cm="1">
        <f t="array" ref="AV112">$G$10+VLOOKUP($Q112,武学奇术!$A:$ZZ,7,FALSE)+SUM(_xlfn.XLOOKUP($R112:$AK112,增益!$A:$A,增益!$G:$G,0))</f>
        <v>0.205</v>
      </c>
      <c r="AW112" s="26" cm="1">
        <f t="array" ref="AW112">VLOOKUP($Q112,武学奇术!$A:$ZZ,8,FALSE)+SUM(_xlfn.XLOOKUP($R112:$AK112,增益!$A:$A,增益!$H:$H,0))</f>
        <v>0.12</v>
      </c>
      <c r="AX112">
        <f t="shared" si="12"/>
        <v>0</v>
      </c>
      <c r="AY112">
        <f t="shared" si="13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2" cm="1">
        <f t="array" ref="BA112">$G$11+VLOOKUP($Q112,武学奇术!$A:$ZZ,10,FALSE)+SUM(_xlfn.XLOOKUP($R112:$AK112,增益!$A:$A,增益!$J:$J,0))</f>
        <v>0.06</v>
      </c>
      <c r="BB112">
        <f t="shared" si="14"/>
        <v>0</v>
      </c>
      <c r="BC112">
        <f t="shared" si="15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2" cm="1">
        <f t="array" ref="BE112">$G$12+VLOOKUP($Q112,武学奇术!$A:$ZZ,12,FALSE)+SUM(_xlfn.XLOOKUP($R112:$AK112,增益!$A:$A,增益!$L:$L,0))</f>
        <v>0.06</v>
      </c>
      <c r="BF112">
        <f t="shared" si="16"/>
        <v>639.744</v>
      </c>
      <c r="BG112">
        <f t="shared" si="17"/>
        <v>1823.136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2" cm="1">
        <f t="array" ref="BI112">$G$13+VLOOKUP($Q112,武学奇术!$A:$ZZ,14,FALSE)+SUM(_xlfn.XLOOKUP($R112:$AK112,增益!$A:$A,增益!$N:$N,0))</f>
        <v>0.33</v>
      </c>
      <c r="BJ112">
        <f t="shared" si="18"/>
        <v>0</v>
      </c>
      <c r="BK112">
        <f t="shared" si="19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2" cm="1">
        <f t="array" ref="BM112">$G$14+VLOOKUP($Q112,武学奇术!$A:$ZZ,16,FALSE)+SUM(_xlfn.XLOOKUP($R112:$AK112,增益!$A:$A,增益!$P:$P,0))</f>
        <v>0.06</v>
      </c>
      <c r="BN112" s="26">
        <f>MIN(IF(VLOOKUP($Q112,武学奇术!$A:$ZZ,23,FALSE)=1,100%,$B$8),100%)</f>
        <v>0.9859</v>
      </c>
      <c r="BO112" s="26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6" cm="1">
        <f t="array" ref="BP112">1+$B$13+VLOOKUP($Q112,武学奇术!$A:$ZZ,18,FALSE)+SUM(_xlfn.XLOOKUP($R112:$AK112,增益!$A:$A,增益!$R:$R,0))</f>
        <v>1.61</v>
      </c>
      <c r="BQ112" s="26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6" cm="1">
        <f t="array" ref="BR112">1+$B$14+VLOOKUP($Q112,武学奇术!$A:$ZZ,20,FALSE)+SUM(_xlfn.XLOOKUP($R112:$AK112,增益!$A:$A,增益!$T:$T,0))</f>
        <v>1.35</v>
      </c>
      <c r="BS112" s="26">
        <f t="shared" si="20"/>
        <v>0.87863408</v>
      </c>
      <c r="BT112" s="26">
        <f t="shared" si="21"/>
        <v>0.01567581</v>
      </c>
      <c r="BU112" s="26">
        <f>IF(VLOOKUP($Q112,武学奇术!$A:$ZZ,22,FALSE)=1,0,(1-$BN112))*(1-$BQ112)</f>
        <v>0.01279011</v>
      </c>
      <c r="BV112" s="26" cm="1">
        <f t="array" ref="BV112">SUM(_xlfn.XLOOKUP($R112:$AK112,增益!$A:$A,增益!$W:$W,0))+$I$5</f>
        <v>0.11</v>
      </c>
    </row>
    <row r="113" spans="11:74">
      <c r="K113" s="38">
        <f t="shared" si="11"/>
        <v>17608.1594600532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17969.0247166876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16396.9702814315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10956.7223882241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9767.54086427677</v>
      </c>
      <c r="P113" s="39">
        <f t="shared" si="22"/>
        <v>1</v>
      </c>
      <c r="Q113" s="40" t="s">
        <v>180</v>
      </c>
      <c r="R113" s="40" t="s">
        <v>100</v>
      </c>
      <c r="S113" s="40" t="s">
        <v>158</v>
      </c>
      <c r="T113" s="40" t="s">
        <v>78</v>
      </c>
      <c r="U113" s="40" t="s">
        <v>80</v>
      </c>
      <c r="V113" s="40" t="s">
        <v>73</v>
      </c>
      <c r="W113" s="40" t="s">
        <v>80</v>
      </c>
      <c r="X113" s="40" t="s">
        <v>87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81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80</v>
      </c>
      <c r="AL113" t="str">
        <f>VLOOKUP($Q113,武学奇术!$A:$ZZ,25,FALSE)</f>
        <v>心法</v>
      </c>
      <c r="AM113" s="26">
        <f>VLOOKUP($Q113,武学奇术!$A:$ZZ,26,FALSE)</f>
        <v>1</v>
      </c>
      <c r="AN113" s="27">
        <f>VLOOKUP($Q113,武学奇术!$A:$ZZ,27,FALSE)*(1+IF(OR($AL113=$F$4,$AL113=$F$5),$B$22,0))</f>
        <v>0</v>
      </c>
      <c r="AO113" s="26">
        <f>VLOOKUP($Q113,武学奇术!$A:$ZZ,28,FALSE)</f>
        <v>1</v>
      </c>
      <c r="AP113" s="27">
        <f>VLOOKUP($Q113,武学奇术!$A:$ZZ,29,FALSE)*(1+IF(OR($AL113=$F$4,$AL113=$F$5),$B$22,0))</f>
        <v>0</v>
      </c>
      <c r="AQ113" s="26" cm="1">
        <f t="array" ref="AQ113">$G$3+IFERROR(VLOOKUP($AL113,$F$4:$G$7,2,FALSE),0)+VLOOKUP($Q113,武学奇术!$A:$ZZ,2,FALSE)+SUM(_xlfn.XLOOKUP($R113:$AK113,增益!$A:$A,增益!$B:$B,0))</f>
        <v>0.1537</v>
      </c>
      <c r="AR113" s="26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4372.698</v>
      </c>
      <c r="AT113" cm="1">
        <f t="array" ref="AT113">$E$10*(1+$AR113)+VLOOKUP($Q113,武学奇术!$A:$ZZ,4,FALSE)+SUM(_xlfn.XLOOKUP($R113:$AK113,增益!$A:$A,增益!$D:$D,0))-$I$2</f>
        <v>4372.698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0.257</v>
      </c>
      <c r="AV113" s="32" cm="1">
        <f t="array" ref="AV113">$G$10+VLOOKUP($Q113,武学奇术!$A:$ZZ,7,FALSE)+SUM(_xlfn.XLOOKUP($R113:$AK113,增益!$A:$A,增益!$G:$G,0))</f>
        <v>0.205</v>
      </c>
      <c r="AW113" s="26" cm="1">
        <f t="array" ref="AW113">VLOOKUP($Q113,武学奇术!$A:$ZZ,8,FALSE)+SUM(_xlfn.XLOOKUP($R113:$AK113,增益!$A:$A,增益!$H:$H,0))</f>
        <v>0.18</v>
      </c>
      <c r="AX113">
        <f t="shared" si="12"/>
        <v>0</v>
      </c>
      <c r="AY113">
        <f t="shared" si="13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2" cm="1">
        <f t="array" ref="BA113">$G$11+VLOOKUP($Q113,武学奇术!$A:$ZZ,10,FALSE)+SUM(_xlfn.XLOOKUP($R113:$AK113,增益!$A:$A,增益!$J:$J,0))</f>
        <v>0.06</v>
      </c>
      <c r="BB113">
        <f t="shared" si="14"/>
        <v>0</v>
      </c>
      <c r="BC113">
        <f t="shared" si="15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2" cm="1">
        <f t="array" ref="BE113">$G$12+VLOOKUP($Q113,武学奇术!$A:$ZZ,12,FALSE)+SUM(_xlfn.XLOOKUP($R113:$AK113,增益!$A:$A,增益!$L:$L,0))</f>
        <v>0.06</v>
      </c>
      <c r="BF113">
        <f t="shared" si="16"/>
        <v>674.016</v>
      </c>
      <c r="BG113">
        <f t="shared" si="17"/>
        <v>1920.804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2" cm="1">
        <f t="array" ref="BI113">$G$13+VLOOKUP($Q113,武学奇术!$A:$ZZ,14,FALSE)+SUM(_xlfn.XLOOKUP($R113:$AK113,增益!$A:$A,增益!$N:$N,0))</f>
        <v>0.33</v>
      </c>
      <c r="BJ113">
        <f t="shared" si="18"/>
        <v>0</v>
      </c>
      <c r="BK113">
        <f t="shared" si="19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2" cm="1">
        <f t="array" ref="BM113">$G$14+VLOOKUP($Q113,武学奇术!$A:$ZZ,16,FALSE)+SUM(_xlfn.XLOOKUP($R113:$AK113,增益!$A:$A,增益!$P:$P,0))</f>
        <v>0.06</v>
      </c>
      <c r="BN113" s="26">
        <f>MIN(IF(VLOOKUP($Q113,武学奇术!$A:$ZZ,23,FALSE)=1,100%,$B$8),100%)</f>
        <v>0.9859</v>
      </c>
      <c r="BO113" s="26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6" cm="1">
        <f t="array" ref="BP113">1+$B$13+VLOOKUP($Q113,武学奇术!$A:$ZZ,18,FALSE)+SUM(_xlfn.XLOOKUP($R113:$AK113,增益!$A:$A,增益!$R:$R,0))</f>
        <v>1.64</v>
      </c>
      <c r="BQ113" s="26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6" cm="1">
        <f t="array" ref="BR113">1+$B$14+VLOOKUP($Q113,武学奇术!$A:$ZZ,20,FALSE)+SUM(_xlfn.XLOOKUP($R113:$AK113,增益!$A:$A,增益!$T:$T,0))</f>
        <v>1.35</v>
      </c>
      <c r="BS113" s="26">
        <f t="shared" si="20"/>
        <v>0.87863408</v>
      </c>
      <c r="BT113" s="26">
        <f t="shared" si="21"/>
        <v>0.01567581</v>
      </c>
      <c r="BU113" s="26">
        <f>IF(VLOOKUP($Q113,武学奇术!$A:$ZZ,22,FALSE)=1,0,(1-$BN113))*(1-$BQ113)</f>
        <v>0.01279011</v>
      </c>
      <c r="BV113" s="26" cm="1">
        <f t="array" ref="BV113">SUM(_xlfn.XLOOKUP($R113:$AK113,增益!$A:$A,增益!$W:$W,0))+$I$5</f>
        <v>0.11</v>
      </c>
    </row>
    <row r="114" spans="11:74">
      <c r="K114" s="38">
        <f t="shared" si="11"/>
        <v>14767.9343512597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15064.7164835215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13815.7581480105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9185.80273385458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8137.71054325691</v>
      </c>
      <c r="P114" s="39">
        <f t="shared" si="22"/>
        <v>1</v>
      </c>
      <c r="Q114" s="40" t="s">
        <v>180</v>
      </c>
      <c r="R114" s="40" t="s">
        <v>100</v>
      </c>
      <c r="S114" s="40" t="s">
        <v>158</v>
      </c>
      <c r="T114" s="40" t="s">
        <v>97</v>
      </c>
      <c r="U114" s="40" t="s">
        <v>80</v>
      </c>
      <c r="V114" s="40" t="s">
        <v>73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81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80</v>
      </c>
      <c r="AL114" t="str">
        <f>VLOOKUP($Q114,武学奇术!$A:$ZZ,25,FALSE)</f>
        <v>心法</v>
      </c>
      <c r="AM114" s="26">
        <f>VLOOKUP($Q114,武学奇术!$A:$ZZ,26,FALSE)</f>
        <v>1</v>
      </c>
      <c r="AN114" s="27">
        <f>VLOOKUP($Q114,武学奇术!$A:$ZZ,27,FALSE)*(1+IF(OR($AL114=$F$4,$AL114=$F$5),$B$22,0))</f>
        <v>0</v>
      </c>
      <c r="AO114" s="26">
        <f>VLOOKUP($Q114,武学奇术!$A:$ZZ,28,FALSE)</f>
        <v>1</v>
      </c>
      <c r="AP114" s="27">
        <f>VLOOKUP($Q114,武学奇术!$A:$ZZ,29,FALSE)*(1+IF(OR($AL114=$F$4,$AL114=$F$5),$B$22,0))</f>
        <v>0</v>
      </c>
      <c r="AQ114" s="26" cm="1">
        <f t="array" ref="AQ114">$G$3+IFERROR(VLOOKUP($AL114,$F$4:$G$7,2,FALSE),0)+VLOOKUP($Q114,武学奇术!$A:$ZZ,2,FALSE)+SUM(_xlfn.XLOOKUP($R114:$AK114,增益!$A:$A,增益!$B:$B,0))</f>
        <v>0.1537</v>
      </c>
      <c r="AR114" s="26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3611.1</v>
      </c>
      <c r="AT114" cm="1">
        <f t="array" ref="AT114">$E$10*(1+$AR114)+VLOOKUP($Q114,武学奇术!$A:$ZZ,4,FALSE)+SUM(_xlfn.XLOOKUP($R114:$AK114,增益!$A:$A,增益!$D:$D,0))-$I$2</f>
        <v>3611.1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0.257</v>
      </c>
      <c r="AV114" s="32" cm="1">
        <f t="array" ref="AV114">$G$10+VLOOKUP($Q114,武学奇术!$A:$ZZ,7,FALSE)+SUM(_xlfn.XLOOKUP($R114:$AK114,增益!$A:$A,增益!$G:$G,0))</f>
        <v>0.205</v>
      </c>
      <c r="AW114" s="26" cm="1">
        <f t="array" ref="AW114">VLOOKUP($Q114,武学奇术!$A:$ZZ,8,FALSE)+SUM(_xlfn.XLOOKUP($R114:$AK114,增益!$A:$A,增益!$H:$H,0))</f>
        <v>0.12</v>
      </c>
      <c r="AX114">
        <f t="shared" si="12"/>
        <v>0</v>
      </c>
      <c r="AY114">
        <f t="shared" si="13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2" cm="1">
        <f t="array" ref="BA114">$G$11+VLOOKUP($Q114,武学奇术!$A:$ZZ,10,FALSE)+SUM(_xlfn.XLOOKUP($R114:$AK114,增益!$A:$A,增益!$J:$J,0))</f>
        <v>0.06</v>
      </c>
      <c r="BB114">
        <f t="shared" si="14"/>
        <v>0</v>
      </c>
      <c r="BC114">
        <f t="shared" si="15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2" cm="1">
        <f t="array" ref="BE114">$G$12+VLOOKUP($Q114,武学奇术!$A:$ZZ,12,FALSE)+SUM(_xlfn.XLOOKUP($R114:$AK114,增益!$A:$A,增益!$L:$L,0))</f>
        <v>0.06</v>
      </c>
      <c r="BF114">
        <f t="shared" si="16"/>
        <v>639.744</v>
      </c>
      <c r="BG114">
        <f t="shared" si="17"/>
        <v>1823.136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2" cm="1">
        <f t="array" ref="BI114">$G$13+VLOOKUP($Q114,武学奇术!$A:$ZZ,14,FALSE)+SUM(_xlfn.XLOOKUP($R114:$AK114,增益!$A:$A,增益!$N:$N,0))</f>
        <v>0.33</v>
      </c>
      <c r="BJ114">
        <f t="shared" si="18"/>
        <v>0</v>
      </c>
      <c r="BK114">
        <f t="shared" si="19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2" cm="1">
        <f t="array" ref="BM114">$G$14+VLOOKUP($Q114,武学奇术!$A:$ZZ,16,FALSE)+SUM(_xlfn.XLOOKUP($R114:$AK114,增益!$A:$A,增益!$P:$P,0))</f>
        <v>0.06</v>
      </c>
      <c r="BN114" s="26">
        <f>MIN(IF(VLOOKUP($Q114,武学奇术!$A:$ZZ,23,FALSE)=1,100%,$B$8),100%)</f>
        <v>0.9859</v>
      </c>
      <c r="BO114" s="26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6" cm="1">
        <f t="array" ref="BP114">1+$B$13+VLOOKUP($Q114,武学奇术!$A:$ZZ,18,FALSE)+SUM(_xlfn.XLOOKUP($R114:$AK114,增益!$A:$A,增益!$R:$R,0))</f>
        <v>1.64</v>
      </c>
      <c r="BQ114" s="26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6" cm="1">
        <f t="array" ref="BR114">1+$B$14+VLOOKUP($Q114,武学奇术!$A:$ZZ,20,FALSE)+SUM(_xlfn.XLOOKUP($R114:$AK114,增益!$A:$A,增益!$T:$T,0))</f>
        <v>1.35</v>
      </c>
      <c r="BS114" s="26">
        <f t="shared" si="20"/>
        <v>0.87863408</v>
      </c>
      <c r="BT114" s="26">
        <f t="shared" si="21"/>
        <v>0.01567581</v>
      </c>
      <c r="BU114" s="26">
        <f>IF(VLOOKUP($Q114,武学奇术!$A:$ZZ,22,FALSE)=1,0,(1-$BN114))*(1-$BQ114)</f>
        <v>0.01279011</v>
      </c>
      <c r="BV114" s="26" cm="1">
        <f t="array" ref="BV114">SUM(_xlfn.XLOOKUP($R114:$AK114,增益!$A:$A,增益!$W:$W,0))+$I$5</f>
        <v>0.11</v>
      </c>
    </row>
    <row r="115" spans="11:74">
      <c r="K115" s="38">
        <f t="shared" si="11"/>
        <v>20780.8008042069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21206.6868278024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19351.3793411489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12930.9066023186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11527.4581371194</v>
      </c>
      <c r="P115" s="39">
        <f t="shared" si="22"/>
        <v>1</v>
      </c>
      <c r="Q115" s="40" t="s">
        <v>180</v>
      </c>
      <c r="R115" s="40" t="s">
        <v>100</v>
      </c>
      <c r="S115" s="40" t="s">
        <v>158</v>
      </c>
      <c r="T115" s="40" t="s">
        <v>78</v>
      </c>
      <c r="U115" s="40" t="s">
        <v>80</v>
      </c>
      <c r="V115" s="40" t="s">
        <v>73</v>
      </c>
      <c r="W115" s="40" t="s">
        <v>80</v>
      </c>
      <c r="X115" s="40" t="s">
        <v>87</v>
      </c>
      <c r="Y115" s="40" t="s">
        <v>169</v>
      </c>
      <c r="Z115" s="40" t="s">
        <v>170</v>
      </c>
      <c r="AA115" s="40" t="s">
        <v>80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81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80</v>
      </c>
      <c r="AL115" t="str">
        <f>VLOOKUP($Q115,武学奇术!$A:$ZZ,25,FALSE)</f>
        <v>心法</v>
      </c>
      <c r="AM115" s="26">
        <f>VLOOKUP($Q115,武学奇术!$A:$ZZ,26,FALSE)</f>
        <v>1</v>
      </c>
      <c r="AN115" s="27">
        <f>VLOOKUP($Q115,武学奇术!$A:$ZZ,27,FALSE)*(1+IF(OR($AL115=$F$4,$AL115=$F$5),$B$22,0))</f>
        <v>0</v>
      </c>
      <c r="AO115" s="26">
        <f>VLOOKUP($Q115,武学奇术!$A:$ZZ,28,FALSE)</f>
        <v>1</v>
      </c>
      <c r="AP115" s="27">
        <f>VLOOKUP($Q115,武学奇术!$A:$ZZ,29,FALSE)*(1+IF(OR($AL115=$F$4,$AL115=$F$5),$B$22,0))</f>
        <v>0</v>
      </c>
      <c r="AQ115" s="26" cm="1">
        <f t="array" ref="AQ115">$G$3+IFERROR(VLOOKUP($AL115,$F$4:$G$7,2,FALSE),0)+VLOOKUP($Q115,武学奇术!$A:$ZZ,2,FALSE)+SUM(_xlfn.XLOOKUP($R115:$AK115,增益!$A:$A,增益!$B:$B,0))</f>
        <v>0.1537</v>
      </c>
      <c r="AR115" s="26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4372.698</v>
      </c>
      <c r="AT115" cm="1">
        <f t="array" ref="AT115">$E$10*(1+$AR115)+VLOOKUP($Q115,武学奇术!$A:$ZZ,4,FALSE)+SUM(_xlfn.XLOOKUP($R115:$AK115,增益!$A:$A,增益!$D:$D,0))-$I$2</f>
        <v>4372.698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0.257</v>
      </c>
      <c r="AV115" s="32" cm="1">
        <f t="array" ref="AV115">$G$10+VLOOKUP($Q115,武学奇术!$A:$ZZ,7,FALSE)+SUM(_xlfn.XLOOKUP($R115:$AK115,增益!$A:$A,增益!$G:$G,0))</f>
        <v>0.205</v>
      </c>
      <c r="AW115" s="26" cm="1">
        <f t="array" ref="AW115">VLOOKUP($Q115,武学奇术!$A:$ZZ,8,FALSE)+SUM(_xlfn.XLOOKUP($R115:$AK115,增益!$A:$A,增益!$H:$H,0))</f>
        <v>0.18</v>
      </c>
      <c r="AX115">
        <f t="shared" si="12"/>
        <v>0</v>
      </c>
      <c r="AY115">
        <f t="shared" si="13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2" cm="1">
        <f t="array" ref="BA115">$G$11+VLOOKUP($Q115,武学奇术!$A:$ZZ,10,FALSE)+SUM(_xlfn.XLOOKUP($R115:$AK115,增益!$A:$A,增益!$J:$J,0))</f>
        <v>0.16</v>
      </c>
      <c r="BB115">
        <f t="shared" si="14"/>
        <v>0</v>
      </c>
      <c r="BC115">
        <f t="shared" si="15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2" cm="1">
        <f t="array" ref="BE115">$G$12+VLOOKUP($Q115,武学奇术!$A:$ZZ,12,FALSE)+SUM(_xlfn.XLOOKUP($R115:$AK115,增益!$A:$A,增益!$L:$L,0))</f>
        <v>0.06</v>
      </c>
      <c r="BF115">
        <f t="shared" si="16"/>
        <v>674.016</v>
      </c>
      <c r="BG115">
        <f t="shared" si="17"/>
        <v>1920.804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2" cm="1">
        <f t="array" ref="BI115">$G$13+VLOOKUP($Q115,武学奇术!$A:$ZZ,14,FALSE)+SUM(_xlfn.XLOOKUP($R115:$AK115,增益!$A:$A,增益!$N:$N,0))</f>
        <v>0.33</v>
      </c>
      <c r="BJ115">
        <f t="shared" si="18"/>
        <v>0</v>
      </c>
      <c r="BK115">
        <f t="shared" si="19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2" cm="1">
        <f t="array" ref="BM115">$G$14+VLOOKUP($Q115,武学奇术!$A:$ZZ,16,FALSE)+SUM(_xlfn.XLOOKUP($R115:$AK115,增益!$A:$A,增益!$P:$P,0))</f>
        <v>0.06</v>
      </c>
      <c r="BN115" s="26">
        <f>MIN(IF(VLOOKUP($Q115,武学奇术!$A:$ZZ,23,FALSE)=1,100%,$B$8),100%)</f>
        <v>0.9859</v>
      </c>
      <c r="BO115" s="26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6" cm="1">
        <f t="array" ref="BP115">1+$B$13+VLOOKUP($Q115,武学奇术!$A:$ZZ,18,FALSE)+SUM(_xlfn.XLOOKUP($R115:$AK115,增益!$A:$A,增益!$R:$R,0))</f>
        <v>1.64</v>
      </c>
      <c r="BQ115" s="26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6" cm="1">
        <f t="array" ref="BR115">1+$B$14+VLOOKUP($Q115,武学奇术!$A:$ZZ,20,FALSE)+SUM(_xlfn.XLOOKUP($R115:$AK115,增益!$A:$A,增益!$T:$T,0))</f>
        <v>1.35</v>
      </c>
      <c r="BS115" s="26">
        <f t="shared" si="20"/>
        <v>0.87863408</v>
      </c>
      <c r="BT115" s="26">
        <f t="shared" si="21"/>
        <v>0.01567581</v>
      </c>
      <c r="BU115" s="26">
        <f>IF(VLOOKUP($Q115,武学奇术!$A:$ZZ,22,FALSE)=1,0,(1-$BN115))*(1-$BQ115)</f>
        <v>0.01279011</v>
      </c>
      <c r="BV115" s="26" cm="1">
        <f t="array" ref="BV115">SUM(_xlfn.XLOOKUP($R115:$AK115,增益!$A:$A,增益!$W:$W,0))+$I$5</f>
        <v>0.31</v>
      </c>
    </row>
    <row r="116" spans="11:74">
      <c r="K116" s="38">
        <f t="shared" si="11"/>
        <v>15044.6156732104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15339.8950499307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14151.1174327416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9353.5945426407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8224.8798758432</v>
      </c>
      <c r="P116" s="39">
        <f t="shared" si="22"/>
        <v>1</v>
      </c>
      <c r="Q116" s="40" t="s">
        <v>180</v>
      </c>
      <c r="R116" s="40" t="s">
        <v>100</v>
      </c>
      <c r="S116" s="40" t="s">
        <v>158</v>
      </c>
      <c r="T116" s="40" t="s">
        <v>97</v>
      </c>
      <c r="U116" s="40" t="s">
        <v>80</v>
      </c>
      <c r="V116" s="40" t="s">
        <v>73</v>
      </c>
      <c r="W116" s="40" t="s">
        <v>80</v>
      </c>
      <c r="X116" s="40" t="s">
        <v>87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81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80</v>
      </c>
      <c r="AL116" t="str">
        <f>VLOOKUP($Q116,武学奇术!$A:$ZZ,25,FALSE)</f>
        <v>心法</v>
      </c>
      <c r="AM116" s="26">
        <f>VLOOKUP($Q116,武学奇术!$A:$ZZ,26,FALSE)</f>
        <v>1</v>
      </c>
      <c r="AN116" s="27">
        <f>VLOOKUP($Q116,武学奇术!$A:$ZZ,27,FALSE)*(1+IF(OR($AL116=$F$4,$AL116=$F$5),$B$22,0))</f>
        <v>0</v>
      </c>
      <c r="AO116" s="26">
        <f>VLOOKUP($Q116,武学奇术!$A:$ZZ,28,FALSE)</f>
        <v>1</v>
      </c>
      <c r="AP116" s="27">
        <f>VLOOKUP($Q116,武学奇术!$A:$ZZ,29,FALSE)*(1+IF(OR($AL116=$F$4,$AL116=$F$5),$B$22,0))</f>
        <v>0</v>
      </c>
      <c r="AQ116" s="26" cm="1">
        <f t="array" ref="AQ116">$G$3+IFERROR(VLOOKUP($AL116,$F$4:$G$7,2,FALSE),0)+VLOOKUP($Q116,武学奇术!$A:$ZZ,2,FALSE)+SUM(_xlfn.XLOOKUP($R116:$AK116,增益!$A:$A,增益!$B:$B,0))</f>
        <v>0.1537</v>
      </c>
      <c r="AR116" s="26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3611.1</v>
      </c>
      <c r="AT116" cm="1">
        <f t="array" ref="AT116">$E$10*(1+$AR116)+VLOOKUP($Q116,武学奇术!$A:$ZZ,4,FALSE)+SUM(_xlfn.XLOOKUP($R116:$AK116,增益!$A:$A,增益!$D:$D,0))-$I$2</f>
        <v>3611.1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0.257</v>
      </c>
      <c r="AV116" s="32" cm="1">
        <f t="array" ref="AV116">$G$10+VLOOKUP($Q116,武学奇术!$A:$ZZ,7,FALSE)+SUM(_xlfn.XLOOKUP($R116:$AK116,增益!$A:$A,增益!$G:$G,0))</f>
        <v>0.205</v>
      </c>
      <c r="AW116" s="26" cm="1">
        <f t="array" ref="AW116">VLOOKUP($Q116,武学奇术!$A:$ZZ,8,FALSE)+SUM(_xlfn.XLOOKUP($R116:$AK116,增益!$A:$A,增益!$H:$H,0))</f>
        <v>0.12</v>
      </c>
      <c r="AX116">
        <f t="shared" si="12"/>
        <v>0</v>
      </c>
      <c r="AY116">
        <f t="shared" si="13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2" cm="1">
        <f t="array" ref="BA116">$G$11+VLOOKUP($Q116,武学奇术!$A:$ZZ,10,FALSE)+SUM(_xlfn.XLOOKUP($R116:$AK116,增益!$A:$A,增益!$J:$J,0))</f>
        <v>0.06</v>
      </c>
      <c r="BB116">
        <f t="shared" si="14"/>
        <v>0</v>
      </c>
      <c r="BC116">
        <f t="shared" si="15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2" cm="1">
        <f t="array" ref="BE116">$G$12+VLOOKUP($Q116,武学奇术!$A:$ZZ,12,FALSE)+SUM(_xlfn.XLOOKUP($R116:$AK116,增益!$A:$A,增益!$L:$L,0))</f>
        <v>0.06</v>
      </c>
      <c r="BF116">
        <f t="shared" si="16"/>
        <v>639.744</v>
      </c>
      <c r="BG116">
        <f t="shared" si="17"/>
        <v>1823.136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2" cm="1">
        <f t="array" ref="BI116">$G$13+VLOOKUP($Q116,武学奇术!$A:$ZZ,14,FALSE)+SUM(_xlfn.XLOOKUP($R116:$AK116,增益!$A:$A,增益!$N:$N,0))</f>
        <v>0.33</v>
      </c>
      <c r="BJ116">
        <f t="shared" si="18"/>
        <v>0</v>
      </c>
      <c r="BK116">
        <f t="shared" si="19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2" cm="1">
        <f t="array" ref="BM116">$G$14+VLOOKUP($Q116,武学奇术!$A:$ZZ,16,FALSE)+SUM(_xlfn.XLOOKUP($R116:$AK116,增益!$A:$A,增益!$P:$P,0))</f>
        <v>0.06</v>
      </c>
      <c r="BN116" s="26">
        <f>MIN(IF(VLOOKUP($Q116,武学奇术!$A:$ZZ,23,FALSE)=1,100%,$B$8),100%)</f>
        <v>0.9859</v>
      </c>
      <c r="BO116" s="26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6" cm="1">
        <f t="array" ref="BP116">1+$B$13+VLOOKUP($Q116,武学奇术!$A:$ZZ,18,FALSE)+SUM(_xlfn.XLOOKUP($R116:$AK116,增益!$A:$A,增益!$R:$R,0))</f>
        <v>1.64</v>
      </c>
      <c r="BQ116" s="26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6" cm="1">
        <f t="array" ref="BR116">1+$B$14+VLOOKUP($Q116,武学奇术!$A:$ZZ,20,FALSE)+SUM(_xlfn.XLOOKUP($R116:$AK116,增益!$A:$A,增益!$T:$T,0))</f>
        <v>1.35</v>
      </c>
      <c r="BS116" s="26">
        <f t="shared" si="20"/>
        <v>0.87863408</v>
      </c>
      <c r="BT116" s="26">
        <f t="shared" si="21"/>
        <v>0.01567581</v>
      </c>
      <c r="BU116" s="26">
        <f>IF(VLOOKUP($Q116,武学奇术!$A:$ZZ,22,FALSE)=1,0,(1-$BN116))*(1-$BQ116)</f>
        <v>0.01279011</v>
      </c>
      <c r="BV116" s="26" cm="1">
        <f t="array" ref="BV116">SUM(_xlfn.XLOOKUP($R116:$AK116,增益!$A:$A,增益!$W:$W,0))+$I$5</f>
        <v>0.11</v>
      </c>
    </row>
    <row r="117" spans="11:74">
      <c r="K117" s="38">
        <f t="shared" si="11"/>
        <v>17608.1594600532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17969.0247166876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16396.9702814315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10956.7223882241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9767.54086427677</v>
      </c>
      <c r="P117" s="39">
        <f t="shared" si="22"/>
        <v>1</v>
      </c>
      <c r="Q117" s="40" t="s">
        <v>180</v>
      </c>
      <c r="R117" s="40" t="s">
        <v>100</v>
      </c>
      <c r="S117" s="40" t="s">
        <v>158</v>
      </c>
      <c r="T117" s="40" t="s">
        <v>78</v>
      </c>
      <c r="U117" s="40" t="s">
        <v>80</v>
      </c>
      <c r="V117" s="40" t="s">
        <v>73</v>
      </c>
      <c r="W117" s="40" t="s">
        <v>80</v>
      </c>
      <c r="X117" s="40" t="s">
        <v>87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81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80</v>
      </c>
      <c r="AL117" t="str">
        <f>VLOOKUP($Q117,武学奇术!$A:$ZZ,25,FALSE)</f>
        <v>心法</v>
      </c>
      <c r="AM117" s="26">
        <f>VLOOKUP($Q117,武学奇术!$A:$ZZ,26,FALSE)</f>
        <v>1</v>
      </c>
      <c r="AN117" s="27">
        <f>VLOOKUP($Q117,武学奇术!$A:$ZZ,27,FALSE)*(1+IF(OR($AL117=$F$4,$AL117=$F$5),$B$22,0))</f>
        <v>0</v>
      </c>
      <c r="AO117" s="26">
        <f>VLOOKUP($Q117,武学奇术!$A:$ZZ,28,FALSE)</f>
        <v>1</v>
      </c>
      <c r="AP117" s="27">
        <f>VLOOKUP($Q117,武学奇术!$A:$ZZ,29,FALSE)*(1+IF(OR($AL117=$F$4,$AL117=$F$5),$B$22,0))</f>
        <v>0</v>
      </c>
      <c r="AQ117" s="26" cm="1">
        <f t="array" ref="AQ117">$G$3+IFERROR(VLOOKUP($AL117,$F$4:$G$7,2,FALSE),0)+VLOOKUP($Q117,武学奇术!$A:$ZZ,2,FALSE)+SUM(_xlfn.XLOOKUP($R117:$AK117,增益!$A:$A,增益!$B:$B,0))</f>
        <v>0.1537</v>
      </c>
      <c r="AR117" s="26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4372.698</v>
      </c>
      <c r="AT117" cm="1">
        <f t="array" ref="AT117">$E$10*(1+$AR117)+VLOOKUP($Q117,武学奇术!$A:$ZZ,4,FALSE)+SUM(_xlfn.XLOOKUP($R117:$AK117,增益!$A:$A,增益!$D:$D,0))-$I$2</f>
        <v>4372.698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0.257</v>
      </c>
      <c r="AV117" s="32" cm="1">
        <f t="array" ref="AV117">$G$10+VLOOKUP($Q117,武学奇术!$A:$ZZ,7,FALSE)+SUM(_xlfn.XLOOKUP($R117:$AK117,增益!$A:$A,增益!$G:$G,0))</f>
        <v>0.205</v>
      </c>
      <c r="AW117" s="26" cm="1">
        <f t="array" ref="AW117">VLOOKUP($Q117,武学奇术!$A:$ZZ,8,FALSE)+SUM(_xlfn.XLOOKUP($R117:$AK117,增益!$A:$A,增益!$H:$H,0))</f>
        <v>0.18</v>
      </c>
      <c r="AX117">
        <f t="shared" si="12"/>
        <v>0</v>
      </c>
      <c r="AY117">
        <f t="shared" si="13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2" cm="1">
        <f t="array" ref="BA117">$G$11+VLOOKUP($Q117,武学奇术!$A:$ZZ,10,FALSE)+SUM(_xlfn.XLOOKUP($R117:$AK117,增益!$A:$A,增益!$J:$J,0))</f>
        <v>0.06</v>
      </c>
      <c r="BB117">
        <f t="shared" si="14"/>
        <v>0</v>
      </c>
      <c r="BC117">
        <f t="shared" si="15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2" cm="1">
        <f t="array" ref="BE117">$G$12+VLOOKUP($Q117,武学奇术!$A:$ZZ,12,FALSE)+SUM(_xlfn.XLOOKUP($R117:$AK117,增益!$A:$A,增益!$L:$L,0))</f>
        <v>0.06</v>
      </c>
      <c r="BF117">
        <f t="shared" si="16"/>
        <v>674.016</v>
      </c>
      <c r="BG117">
        <f t="shared" si="17"/>
        <v>1920.804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2" cm="1">
        <f t="array" ref="BI117">$G$13+VLOOKUP($Q117,武学奇术!$A:$ZZ,14,FALSE)+SUM(_xlfn.XLOOKUP($R117:$AK117,增益!$A:$A,增益!$N:$N,0))</f>
        <v>0.33</v>
      </c>
      <c r="BJ117">
        <f t="shared" si="18"/>
        <v>0</v>
      </c>
      <c r="BK117">
        <f t="shared" si="19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2" cm="1">
        <f t="array" ref="BM117">$G$14+VLOOKUP($Q117,武学奇术!$A:$ZZ,16,FALSE)+SUM(_xlfn.XLOOKUP($R117:$AK117,增益!$A:$A,增益!$P:$P,0))</f>
        <v>0.06</v>
      </c>
      <c r="BN117" s="26">
        <f>MIN(IF(VLOOKUP($Q117,武学奇术!$A:$ZZ,23,FALSE)=1,100%,$B$8),100%)</f>
        <v>0.9859</v>
      </c>
      <c r="BO117" s="26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6" cm="1">
        <f t="array" ref="BP117">1+$B$13+VLOOKUP($Q117,武学奇术!$A:$ZZ,18,FALSE)+SUM(_xlfn.XLOOKUP($R117:$AK117,增益!$A:$A,增益!$R:$R,0))</f>
        <v>1.64</v>
      </c>
      <c r="BQ117" s="26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6" cm="1">
        <f t="array" ref="BR117">1+$B$14+VLOOKUP($Q117,武学奇术!$A:$ZZ,20,FALSE)+SUM(_xlfn.XLOOKUP($R117:$AK117,增益!$A:$A,增益!$T:$T,0))</f>
        <v>1.35</v>
      </c>
      <c r="BS117" s="26">
        <f t="shared" si="20"/>
        <v>0.87863408</v>
      </c>
      <c r="BT117" s="26">
        <f t="shared" si="21"/>
        <v>0.01567581</v>
      </c>
      <c r="BU117" s="26">
        <f>IF(VLOOKUP($Q117,武学奇术!$A:$ZZ,22,FALSE)=1,0,(1-$BN117))*(1-$BQ117)</f>
        <v>0.01279011</v>
      </c>
      <c r="BV117" s="26" cm="1">
        <f t="array" ref="BV117">SUM(_xlfn.XLOOKUP($R117:$AK117,增益!$A:$A,增益!$W:$W,0))+$I$5</f>
        <v>0.11</v>
      </c>
    </row>
    <row r="118" spans="11:74">
      <c r="K118" s="38">
        <f t="shared" si="11"/>
        <v>17608.1594600532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17969.0247166876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16396.9702814315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10956.7223882241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9767.54086427677</v>
      </c>
      <c r="P118" s="39">
        <f t="shared" si="22"/>
        <v>1</v>
      </c>
      <c r="Q118" s="40" t="s">
        <v>180</v>
      </c>
      <c r="R118" s="40" t="s">
        <v>100</v>
      </c>
      <c r="S118" s="40" t="s">
        <v>158</v>
      </c>
      <c r="T118" s="40" t="s">
        <v>78</v>
      </c>
      <c r="U118" s="40" t="s">
        <v>80</v>
      </c>
      <c r="V118" s="40" t="s">
        <v>73</v>
      </c>
      <c r="W118" s="40" t="s">
        <v>80</v>
      </c>
      <c r="X118" s="40" t="s">
        <v>87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81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80</v>
      </c>
      <c r="AL118" t="str">
        <f>VLOOKUP($Q118,武学奇术!$A:$ZZ,25,FALSE)</f>
        <v>心法</v>
      </c>
      <c r="AM118" s="26">
        <f>VLOOKUP($Q118,武学奇术!$A:$ZZ,26,FALSE)</f>
        <v>1</v>
      </c>
      <c r="AN118" s="27">
        <f>VLOOKUP($Q118,武学奇术!$A:$ZZ,27,FALSE)*(1+IF(OR($AL118=$F$4,$AL118=$F$5),$B$22,0))</f>
        <v>0</v>
      </c>
      <c r="AO118" s="26">
        <f>VLOOKUP($Q118,武学奇术!$A:$ZZ,28,FALSE)</f>
        <v>1</v>
      </c>
      <c r="AP118" s="27">
        <f>VLOOKUP($Q118,武学奇术!$A:$ZZ,29,FALSE)*(1+IF(OR($AL118=$F$4,$AL118=$F$5),$B$22,0))</f>
        <v>0</v>
      </c>
      <c r="AQ118" s="26" cm="1">
        <f t="array" ref="AQ118">$G$3+IFERROR(VLOOKUP($AL118,$F$4:$G$7,2,FALSE),0)+VLOOKUP($Q118,武学奇术!$A:$ZZ,2,FALSE)+SUM(_xlfn.XLOOKUP($R118:$AK118,增益!$A:$A,增益!$B:$B,0))</f>
        <v>0.1537</v>
      </c>
      <c r="AR118" s="26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4372.698</v>
      </c>
      <c r="AT118" cm="1">
        <f t="array" ref="AT118">$E$10*(1+$AR118)+VLOOKUP($Q118,武学奇术!$A:$ZZ,4,FALSE)+SUM(_xlfn.XLOOKUP($R118:$AK118,增益!$A:$A,增益!$D:$D,0))-$I$2</f>
        <v>4372.698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0.257</v>
      </c>
      <c r="AV118" s="32" cm="1">
        <f t="array" ref="AV118">$G$10+VLOOKUP($Q118,武学奇术!$A:$ZZ,7,FALSE)+SUM(_xlfn.XLOOKUP($R118:$AK118,增益!$A:$A,增益!$G:$G,0))</f>
        <v>0.205</v>
      </c>
      <c r="AW118" s="26" cm="1">
        <f t="array" ref="AW118">VLOOKUP($Q118,武学奇术!$A:$ZZ,8,FALSE)+SUM(_xlfn.XLOOKUP($R118:$AK118,增益!$A:$A,增益!$H:$H,0))</f>
        <v>0.18</v>
      </c>
      <c r="AX118">
        <f t="shared" si="12"/>
        <v>0</v>
      </c>
      <c r="AY118">
        <f t="shared" si="13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2" cm="1">
        <f t="array" ref="BA118">$G$11+VLOOKUP($Q118,武学奇术!$A:$ZZ,10,FALSE)+SUM(_xlfn.XLOOKUP($R118:$AK118,增益!$A:$A,增益!$J:$J,0))</f>
        <v>0.06</v>
      </c>
      <c r="BB118">
        <f t="shared" si="14"/>
        <v>0</v>
      </c>
      <c r="BC118">
        <f t="shared" si="15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2" cm="1">
        <f t="array" ref="BE118">$G$12+VLOOKUP($Q118,武学奇术!$A:$ZZ,12,FALSE)+SUM(_xlfn.XLOOKUP($R118:$AK118,增益!$A:$A,增益!$L:$L,0))</f>
        <v>0.06</v>
      </c>
      <c r="BF118">
        <f t="shared" si="16"/>
        <v>674.016</v>
      </c>
      <c r="BG118">
        <f t="shared" si="17"/>
        <v>1920.804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2" cm="1">
        <f t="array" ref="BI118">$G$13+VLOOKUP($Q118,武学奇术!$A:$ZZ,14,FALSE)+SUM(_xlfn.XLOOKUP($R118:$AK118,增益!$A:$A,增益!$N:$N,0))</f>
        <v>0.33</v>
      </c>
      <c r="BJ118">
        <f t="shared" si="18"/>
        <v>0</v>
      </c>
      <c r="BK118">
        <f t="shared" si="19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2" cm="1">
        <f t="array" ref="BM118">$G$14+VLOOKUP($Q118,武学奇术!$A:$ZZ,16,FALSE)+SUM(_xlfn.XLOOKUP($R118:$AK118,增益!$A:$A,增益!$P:$P,0))</f>
        <v>0.06</v>
      </c>
      <c r="BN118" s="26">
        <f>MIN(IF(VLOOKUP($Q118,武学奇术!$A:$ZZ,23,FALSE)=1,100%,$B$8),100%)</f>
        <v>0.9859</v>
      </c>
      <c r="BO118" s="26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6" cm="1">
        <f t="array" ref="BP118">1+$B$13+VLOOKUP($Q118,武学奇术!$A:$ZZ,18,FALSE)+SUM(_xlfn.XLOOKUP($R118:$AK118,增益!$A:$A,增益!$R:$R,0))</f>
        <v>1.64</v>
      </c>
      <c r="BQ118" s="26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6" cm="1">
        <f t="array" ref="BR118">1+$B$14+VLOOKUP($Q118,武学奇术!$A:$ZZ,20,FALSE)+SUM(_xlfn.XLOOKUP($R118:$AK118,增益!$A:$A,增益!$T:$T,0))</f>
        <v>1.35</v>
      </c>
      <c r="BS118" s="26">
        <f t="shared" si="20"/>
        <v>0.87863408</v>
      </c>
      <c r="BT118" s="26">
        <f t="shared" si="21"/>
        <v>0.01567581</v>
      </c>
      <c r="BU118" s="26">
        <f>IF(VLOOKUP($Q118,武学奇术!$A:$ZZ,22,FALSE)=1,0,(1-$BN118))*(1-$BQ118)</f>
        <v>0.01279011</v>
      </c>
      <c r="BV118" s="26" cm="1">
        <f t="array" ref="BV118">SUM(_xlfn.XLOOKUP($R118:$AK118,增益!$A:$A,增益!$W:$W,0))+$I$5</f>
        <v>0.11</v>
      </c>
    </row>
    <row r="119" spans="11:74">
      <c r="K119" s="38">
        <f t="shared" si="11"/>
        <v>14767.9343512597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15064.7164835215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13815.7581480105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9185.80273385458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8137.71054325691</v>
      </c>
      <c r="P119" s="39">
        <f t="shared" si="22"/>
        <v>1</v>
      </c>
      <c r="Q119" s="40" t="s">
        <v>180</v>
      </c>
      <c r="R119" s="40" t="s">
        <v>100</v>
      </c>
      <c r="S119" s="40" t="s">
        <v>158</v>
      </c>
      <c r="T119" s="40" t="s">
        <v>97</v>
      </c>
      <c r="U119" s="40" t="s">
        <v>80</v>
      </c>
      <c r="V119" s="40" t="s">
        <v>73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81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80</v>
      </c>
      <c r="AL119" t="str">
        <f>VLOOKUP($Q119,武学奇术!$A:$ZZ,25,FALSE)</f>
        <v>心法</v>
      </c>
      <c r="AM119" s="26">
        <f>VLOOKUP($Q119,武学奇术!$A:$ZZ,26,FALSE)</f>
        <v>1</v>
      </c>
      <c r="AN119" s="27">
        <f>VLOOKUP($Q119,武学奇术!$A:$ZZ,27,FALSE)*(1+IF(OR($AL119=$F$4,$AL119=$F$5),$B$22,0))</f>
        <v>0</v>
      </c>
      <c r="AO119" s="26">
        <f>VLOOKUP($Q119,武学奇术!$A:$ZZ,28,FALSE)</f>
        <v>1</v>
      </c>
      <c r="AP119" s="27">
        <f>VLOOKUP($Q119,武学奇术!$A:$ZZ,29,FALSE)*(1+IF(OR($AL119=$F$4,$AL119=$F$5),$B$22,0))</f>
        <v>0</v>
      </c>
      <c r="AQ119" s="26" cm="1">
        <f t="array" ref="AQ119">$G$3+IFERROR(VLOOKUP($AL119,$F$4:$G$7,2,FALSE),0)+VLOOKUP($Q119,武学奇术!$A:$ZZ,2,FALSE)+SUM(_xlfn.XLOOKUP($R119:$AK119,增益!$A:$A,增益!$B:$B,0))</f>
        <v>0.1537</v>
      </c>
      <c r="AR119" s="26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3611.1</v>
      </c>
      <c r="AT119" cm="1">
        <f t="array" ref="AT119">$E$10*(1+$AR119)+VLOOKUP($Q119,武学奇术!$A:$ZZ,4,FALSE)+SUM(_xlfn.XLOOKUP($R119:$AK119,增益!$A:$A,增益!$D:$D,0))-$I$2</f>
        <v>3611.1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0.257</v>
      </c>
      <c r="AV119" s="32" cm="1">
        <f t="array" ref="AV119">$G$10+VLOOKUP($Q119,武学奇术!$A:$ZZ,7,FALSE)+SUM(_xlfn.XLOOKUP($R119:$AK119,增益!$A:$A,增益!$G:$G,0))</f>
        <v>0.205</v>
      </c>
      <c r="AW119" s="26" cm="1">
        <f t="array" ref="AW119">VLOOKUP($Q119,武学奇术!$A:$ZZ,8,FALSE)+SUM(_xlfn.XLOOKUP($R119:$AK119,增益!$A:$A,增益!$H:$H,0))</f>
        <v>0.12</v>
      </c>
      <c r="AX119">
        <f t="shared" si="12"/>
        <v>0</v>
      </c>
      <c r="AY119">
        <f t="shared" si="13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2" cm="1">
        <f t="array" ref="BA119">$G$11+VLOOKUP($Q119,武学奇术!$A:$ZZ,10,FALSE)+SUM(_xlfn.XLOOKUP($R119:$AK119,增益!$A:$A,增益!$J:$J,0))</f>
        <v>0.06</v>
      </c>
      <c r="BB119">
        <f t="shared" si="14"/>
        <v>0</v>
      </c>
      <c r="BC119">
        <f t="shared" si="15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2" cm="1">
        <f t="array" ref="BE119">$G$12+VLOOKUP($Q119,武学奇术!$A:$ZZ,12,FALSE)+SUM(_xlfn.XLOOKUP($R119:$AK119,增益!$A:$A,增益!$L:$L,0))</f>
        <v>0.06</v>
      </c>
      <c r="BF119">
        <f t="shared" si="16"/>
        <v>639.744</v>
      </c>
      <c r="BG119">
        <f t="shared" si="17"/>
        <v>1823.136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2" cm="1">
        <f t="array" ref="BI119">$G$13+VLOOKUP($Q119,武学奇术!$A:$ZZ,14,FALSE)+SUM(_xlfn.XLOOKUP($R119:$AK119,增益!$A:$A,增益!$N:$N,0))</f>
        <v>0.33</v>
      </c>
      <c r="BJ119">
        <f t="shared" si="18"/>
        <v>0</v>
      </c>
      <c r="BK119">
        <f t="shared" si="19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2" cm="1">
        <f t="array" ref="BM119">$G$14+VLOOKUP($Q119,武学奇术!$A:$ZZ,16,FALSE)+SUM(_xlfn.XLOOKUP($R119:$AK119,增益!$A:$A,增益!$P:$P,0))</f>
        <v>0.06</v>
      </c>
      <c r="BN119" s="26">
        <f>MIN(IF(VLOOKUP($Q119,武学奇术!$A:$ZZ,23,FALSE)=1,100%,$B$8),100%)</f>
        <v>0.9859</v>
      </c>
      <c r="BO119" s="26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6" cm="1">
        <f t="array" ref="BP119">1+$B$13+VLOOKUP($Q119,武学奇术!$A:$ZZ,18,FALSE)+SUM(_xlfn.XLOOKUP($R119:$AK119,增益!$A:$A,增益!$R:$R,0))</f>
        <v>1.64</v>
      </c>
      <c r="BQ119" s="26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6" cm="1">
        <f t="array" ref="BR119">1+$B$14+VLOOKUP($Q119,武学奇术!$A:$ZZ,20,FALSE)+SUM(_xlfn.XLOOKUP($R119:$AK119,增益!$A:$A,增益!$T:$T,0))</f>
        <v>1.35</v>
      </c>
      <c r="BS119" s="26">
        <f t="shared" si="20"/>
        <v>0.87863408</v>
      </c>
      <c r="BT119" s="26">
        <f t="shared" si="21"/>
        <v>0.01567581</v>
      </c>
      <c r="BU119" s="26">
        <f>IF(VLOOKUP($Q119,武学奇术!$A:$ZZ,22,FALSE)=1,0,(1-$BN119))*(1-$BQ119)</f>
        <v>0.01279011</v>
      </c>
      <c r="BV119" s="26" cm="1">
        <f t="array" ref="BV119">SUM(_xlfn.XLOOKUP($R119:$AK119,增益!$A:$A,增益!$W:$W,0))+$I$5</f>
        <v>0.11</v>
      </c>
    </row>
    <row r="120" spans="11:74">
      <c r="K120" s="38">
        <f t="shared" si="11"/>
        <v>23032.3394195539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23504.3689405487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21448.0443473408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14331.9322808223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12776.4243043552</v>
      </c>
      <c r="P120" s="39">
        <f t="shared" si="22"/>
        <v>1</v>
      </c>
      <c r="Q120" s="40" t="s">
        <v>180</v>
      </c>
      <c r="R120" s="40" t="s">
        <v>100</v>
      </c>
      <c r="S120" s="40" t="s">
        <v>158</v>
      </c>
      <c r="T120" s="40" t="s">
        <v>78</v>
      </c>
      <c r="U120" s="40" t="s">
        <v>79</v>
      </c>
      <c r="V120" s="40" t="s">
        <v>73</v>
      </c>
      <c r="W120" s="40" t="s">
        <v>80</v>
      </c>
      <c r="X120" s="40" t="s">
        <v>87</v>
      </c>
      <c r="Y120" s="40" t="s">
        <v>169</v>
      </c>
      <c r="Z120" s="40" t="s">
        <v>170</v>
      </c>
      <c r="AA120" s="40" t="s">
        <v>80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81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80</v>
      </c>
      <c r="AL120" t="str">
        <f>VLOOKUP($Q120,武学奇术!$A:$ZZ,25,FALSE)</f>
        <v>心法</v>
      </c>
      <c r="AM120" s="26">
        <f>VLOOKUP($Q120,武学奇术!$A:$ZZ,26,FALSE)</f>
        <v>1</v>
      </c>
      <c r="AN120" s="27">
        <f>VLOOKUP($Q120,武学奇术!$A:$ZZ,27,FALSE)*(1+IF(OR($AL120=$F$4,$AL120=$F$5),$B$22,0))</f>
        <v>0</v>
      </c>
      <c r="AO120" s="26">
        <f>VLOOKUP($Q120,武学奇术!$A:$ZZ,28,FALSE)</f>
        <v>1</v>
      </c>
      <c r="AP120" s="27">
        <f>VLOOKUP($Q120,武学奇术!$A:$ZZ,29,FALSE)*(1+IF(OR($AL120=$F$4,$AL120=$F$5),$B$22,0))</f>
        <v>0</v>
      </c>
      <c r="AQ120" s="26" cm="1">
        <f t="array" ref="AQ120">$G$3+IFERROR(VLOOKUP($AL120,$F$4:$G$7,2,FALSE),0)+VLOOKUP($Q120,武学奇术!$A:$ZZ,2,FALSE)+SUM(_xlfn.XLOOKUP($R120:$AK120,增益!$A:$A,增益!$B:$B,0))</f>
        <v>0.2787</v>
      </c>
      <c r="AR120" s="26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4372.698</v>
      </c>
      <c r="AT120" cm="1">
        <f t="array" ref="AT120">$E$10*(1+$AR120)+VLOOKUP($Q120,武学奇术!$A:$ZZ,4,FALSE)+SUM(_xlfn.XLOOKUP($R120:$AK120,增益!$A:$A,增益!$D:$D,0))-$I$2</f>
        <v>4372.698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0.257</v>
      </c>
      <c r="AV120" s="32" cm="1">
        <f t="array" ref="AV120">$G$10+VLOOKUP($Q120,武学奇术!$A:$ZZ,7,FALSE)+SUM(_xlfn.XLOOKUP($R120:$AK120,增益!$A:$A,增益!$G:$G,0))</f>
        <v>0.205</v>
      </c>
      <c r="AW120" s="26" cm="1">
        <f t="array" ref="AW120">VLOOKUP($Q120,武学奇术!$A:$ZZ,8,FALSE)+SUM(_xlfn.XLOOKUP($R120:$AK120,增益!$A:$A,增益!$H:$H,0))</f>
        <v>0.18</v>
      </c>
      <c r="AX120">
        <f t="shared" si="12"/>
        <v>0</v>
      </c>
      <c r="AY120">
        <f t="shared" si="13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2" cm="1">
        <f t="array" ref="BA120">$G$11+VLOOKUP($Q120,武学奇术!$A:$ZZ,10,FALSE)+SUM(_xlfn.XLOOKUP($R120:$AK120,增益!$A:$A,增益!$J:$J,0))</f>
        <v>0.16</v>
      </c>
      <c r="BB120">
        <f t="shared" si="14"/>
        <v>0</v>
      </c>
      <c r="BC120">
        <f t="shared" si="15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2" cm="1">
        <f t="array" ref="BE120">$G$12+VLOOKUP($Q120,武学奇术!$A:$ZZ,12,FALSE)+SUM(_xlfn.XLOOKUP($R120:$AK120,增益!$A:$A,增益!$L:$L,0))</f>
        <v>0.06</v>
      </c>
      <c r="BF120">
        <f t="shared" si="16"/>
        <v>674.016</v>
      </c>
      <c r="BG120">
        <f t="shared" si="17"/>
        <v>1920.804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2" cm="1">
        <f t="array" ref="BI120">$G$13+VLOOKUP($Q120,武学奇术!$A:$ZZ,14,FALSE)+SUM(_xlfn.XLOOKUP($R120:$AK120,增益!$A:$A,增益!$N:$N,0))</f>
        <v>0.33</v>
      </c>
      <c r="BJ120">
        <f t="shared" si="18"/>
        <v>0</v>
      </c>
      <c r="BK120">
        <f t="shared" si="19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2" cm="1">
        <f t="array" ref="BM120">$G$14+VLOOKUP($Q120,武学奇术!$A:$ZZ,16,FALSE)+SUM(_xlfn.XLOOKUP($R120:$AK120,增益!$A:$A,增益!$P:$P,0))</f>
        <v>0.06</v>
      </c>
      <c r="BN120" s="26">
        <f>MIN(IF(VLOOKUP($Q120,武学奇术!$A:$ZZ,23,FALSE)=1,100%,$B$8),100%)</f>
        <v>0.9859</v>
      </c>
      <c r="BO120" s="26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6" cm="1">
        <f t="array" ref="BP120">1+$B$13+VLOOKUP($Q120,武学奇术!$A:$ZZ,18,FALSE)+SUM(_xlfn.XLOOKUP($R120:$AK120,增益!$A:$A,增益!$R:$R,0))</f>
        <v>1.64</v>
      </c>
      <c r="BQ120" s="26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6" cm="1">
        <f t="array" ref="BR120">1+$B$14+VLOOKUP($Q120,武学奇术!$A:$ZZ,20,FALSE)+SUM(_xlfn.XLOOKUP($R120:$AK120,增益!$A:$A,增益!$T:$T,0))</f>
        <v>1.35</v>
      </c>
      <c r="BS120" s="26">
        <f t="shared" si="20"/>
        <v>0.87863408</v>
      </c>
      <c r="BT120" s="26">
        <f t="shared" si="21"/>
        <v>0.01567581</v>
      </c>
      <c r="BU120" s="26">
        <f>IF(VLOOKUP($Q120,武学奇术!$A:$ZZ,22,FALSE)=1,0,(1-$BN120))*(1-$BQ120)</f>
        <v>0.01279011</v>
      </c>
      <c r="BV120" s="26" cm="1">
        <f t="array" ref="BV120">SUM(_xlfn.XLOOKUP($R120:$AK120,增益!$A:$A,增益!$W:$W,0))+$I$5</f>
        <v>0.31</v>
      </c>
    </row>
    <row r="121" spans="11:74">
      <c r="K121" s="38">
        <f t="shared" si="11"/>
        <v>0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9">
        <f t="shared" si="22"/>
        <v>1</v>
      </c>
      <c r="Q121" s="40" t="s">
        <v>80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81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80</v>
      </c>
      <c r="AL121" t="str">
        <f>VLOOKUP($Q121,武学奇术!$A:$ZZ,25,FALSE)</f>
        <v>心法</v>
      </c>
      <c r="AM121" s="26">
        <f>VLOOKUP($Q121,武学奇术!$A:$ZZ,26,FALSE)</f>
        <v>0</v>
      </c>
      <c r="AN121" s="27">
        <f>VLOOKUP($Q121,武学奇术!$A:$ZZ,27,FALSE)*(1+IF(OR($AL121=$F$4,$AL121=$F$5),$B$22,0))</f>
        <v>0</v>
      </c>
      <c r="AO121" s="26">
        <f>VLOOKUP($Q121,武学奇术!$A:$ZZ,28,FALSE)</f>
        <v>0</v>
      </c>
      <c r="AP121" s="27">
        <f>VLOOKUP($Q121,武学奇术!$A:$ZZ,29,FALSE)*(1+IF(OR($AL121=$F$4,$AL121=$F$5),$B$22,0))</f>
        <v>0</v>
      </c>
      <c r="AQ121" s="26" cm="1">
        <f t="array" ref="AQ121">$G$3+IFERROR(VLOOKUP($AL121,$F$4:$G$7,2,FALSE),0)+VLOOKUP($Q121,武学奇术!$A:$ZZ,2,FALSE)+SUM(_xlfn.XLOOKUP($R121:$AK121,增益!$A:$A,增益!$B:$B,0))</f>
        <v>0.1037</v>
      </c>
      <c r="AR121" s="26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3611.1</v>
      </c>
      <c r="AT121" cm="1">
        <f t="array" ref="AT121">$E$10*(1+$AR121)+VLOOKUP($Q121,武学奇术!$A:$ZZ,4,FALSE)+SUM(_xlfn.XLOOKUP($R121:$AK121,增益!$A:$A,增益!$D:$D,0))-$I$2</f>
        <v>3611.1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0.167</v>
      </c>
      <c r="AV121" s="32" cm="1">
        <f t="array" ref="AV121">$G$10+VLOOKUP($Q121,武学奇术!$A:$ZZ,7,FALSE)+SUM(_xlfn.XLOOKUP($R121:$AK121,增益!$A:$A,增益!$G:$G,0))</f>
        <v>0.025</v>
      </c>
      <c r="AW121" s="26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16"/>
        <v>571.2</v>
      </c>
      <c r="BG121">
        <f t="shared" si="17"/>
        <v>1627.8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6">
        <f>MIN(IF(VLOOKUP($Q121,武学奇术!$A:$ZZ,23,FALSE)=1,100%,$B$8),100%)</f>
        <v>0.9859</v>
      </c>
      <c r="BO121" s="26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6" cm="1">
        <f t="array" ref="BP121">1+$B$13+VLOOKUP($Q121,武学奇术!$A:$ZZ,18,FALSE)+SUM(_xlfn.XLOOKUP($R121:$AK121,增益!$A:$A,增益!$R:$R,0))</f>
        <v>1.54</v>
      </c>
      <c r="BQ121" s="26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6" cm="1">
        <f t="array" ref="BR121">1+$B$14+VLOOKUP($Q121,武学奇术!$A:$ZZ,20,FALSE)+SUM(_xlfn.XLOOKUP($R121:$AK121,增益!$A:$A,增益!$T:$T,0))</f>
        <v>1.35</v>
      </c>
      <c r="BS121" s="26">
        <f t="shared" si="20"/>
        <v>0.87863408</v>
      </c>
      <c r="BT121" s="26">
        <f t="shared" si="21"/>
        <v>0.01567581</v>
      </c>
      <c r="BU121" s="26">
        <f>IF(VLOOKUP($Q121,武学奇术!$A:$ZZ,22,FALSE)=1,0,(1-$BN121))*(1-$BQ121)</f>
        <v>0.01279011</v>
      </c>
      <c r="BV121" s="26" cm="1">
        <f t="array" ref="BV121">SUM(_xlfn.XLOOKUP($R121:$AK121,增益!$A:$A,增益!$W:$W,0))+$I$5</f>
        <v>0.11</v>
      </c>
    </row>
  </sheetData>
  <mergeCells count="19">
    <mergeCell ref="H1:I1"/>
    <mergeCell ref="C8:G8"/>
    <mergeCell ref="C15:D15"/>
    <mergeCell ref="E21:F21"/>
    <mergeCell ref="E22:F22"/>
    <mergeCell ref="E23:F23"/>
    <mergeCell ref="E24:F24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K38" sqref="K37:K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1">
      <c r="B1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6" t="s">
        <v>109</v>
      </c>
      <c r="R1" t="s">
        <v>187</v>
      </c>
      <c r="S1" t="s">
        <v>112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34</v>
      </c>
      <c r="Z1" s="26" t="s">
        <v>35</v>
      </c>
      <c r="AA1" s="27" t="s">
        <v>36</v>
      </c>
      <c r="AB1" s="26" t="s">
        <v>37</v>
      </c>
      <c r="AC1" s="27" t="s">
        <v>38</v>
      </c>
      <c r="AD1" t="s">
        <v>193</v>
      </c>
    </row>
    <row r="2" spans="1:31">
      <c r="A2" t="s">
        <v>124</v>
      </c>
      <c r="E2" s="29"/>
      <c r="F2">
        <f>IF(期望!$E$24="弦墨篇",8,0)</f>
        <v>8</v>
      </c>
      <c r="G2" s="29">
        <v>0.12</v>
      </c>
      <c r="I2">
        <f>IF(期望!$E$24="弦墨篇",8,0)</f>
        <v>8</v>
      </c>
      <c r="K2">
        <f>IF(期望!$E$24="弦墨篇",8,0)</f>
        <v>8</v>
      </c>
      <c r="M2">
        <f>IF(期望!$E$24="弦墨篇",8,0)</f>
        <v>8</v>
      </c>
      <c r="N2" s="29">
        <v>0.12</v>
      </c>
      <c r="O2">
        <f>IF(期望!$E$24="弦墨篇",8,0)</f>
        <v>8</v>
      </c>
      <c r="Y2" t="s">
        <v>89</v>
      </c>
      <c r="Z2" s="26">
        <f>62.85%*4</f>
        <v>2.514</v>
      </c>
      <c r="AA2" s="27">
        <f>174*4</f>
        <v>696</v>
      </c>
      <c r="AB2" s="26">
        <f>94.27%*4</f>
        <v>3.7708</v>
      </c>
      <c r="AC2" s="27">
        <f>94*4</f>
        <v>376</v>
      </c>
    </row>
    <row r="3" spans="1:31">
      <c r="A3" t="s">
        <v>127</v>
      </c>
      <c r="B3" s="29">
        <v>0.2</v>
      </c>
      <c r="E3" s="29"/>
      <c r="F3">
        <f>IF(期望!$E$24="弦墨篇",20,0)</f>
        <v>20</v>
      </c>
      <c r="G3" s="29">
        <v>0.12</v>
      </c>
      <c r="I3">
        <f>IF(期望!$E$24="弦墨篇",20,0)</f>
        <v>20</v>
      </c>
      <c r="K3">
        <f>IF(期望!$E$24="弦墨篇",20,0)</f>
        <v>20</v>
      </c>
      <c r="M3">
        <f>IF(期望!$E$24="弦墨篇",20,0)</f>
        <v>20</v>
      </c>
      <c r="N3" s="29">
        <v>0.12</v>
      </c>
      <c r="O3">
        <f>IF(期望!$E$24="弦墨篇",20,0)</f>
        <v>20</v>
      </c>
      <c r="R3" s="29">
        <v>0.3</v>
      </c>
      <c r="Y3" t="s">
        <v>89</v>
      </c>
      <c r="Z3" s="26">
        <f>252.12%*1.4</f>
        <v>3.52968</v>
      </c>
      <c r="AA3" s="27">
        <f>698*1.4</f>
        <v>977.2</v>
      </c>
      <c r="AB3" s="26">
        <f>378.18%*1.4</f>
        <v>5.29452</v>
      </c>
      <c r="AC3" s="27">
        <f>380*1.4</f>
        <v>532</v>
      </c>
    </row>
    <row r="4" spans="1:31">
      <c r="A4" t="s">
        <v>117</v>
      </c>
      <c r="B4" s="29">
        <v>0.1</v>
      </c>
      <c r="E4" s="29"/>
      <c r="F4">
        <f>IF(期望!$E$24="弦墨篇",20,0)</f>
        <v>20</v>
      </c>
      <c r="G4" s="29">
        <v>0.12</v>
      </c>
      <c r="I4">
        <f>IF(期望!$E$24="弦墨篇",20,0)</f>
        <v>20</v>
      </c>
      <c r="K4">
        <f>IF(期望!$E$24="弦墨篇",20,0)</f>
        <v>20</v>
      </c>
      <c r="M4">
        <f>IF(期望!$E$24="弦墨篇",20,0)</f>
        <v>20</v>
      </c>
      <c r="N4" s="29">
        <v>0.12</v>
      </c>
      <c r="O4">
        <f>IF(期望!$E$24="弦墨篇",20,0)</f>
        <v>20</v>
      </c>
      <c r="R4" s="29">
        <v>0.3</v>
      </c>
      <c r="Y4" t="s">
        <v>89</v>
      </c>
      <c r="Z4" s="26">
        <f>181.25%*1.7</f>
        <v>3.08125</v>
      </c>
      <c r="AA4" s="27">
        <f>501*1.7</f>
        <v>851.7</v>
      </c>
      <c r="AB4" s="26">
        <f>271.88%*1.7</f>
        <v>4.62196</v>
      </c>
      <c r="AC4" s="27">
        <f>273*1.7</f>
        <v>464.1</v>
      </c>
      <c r="AD4" t="s">
        <v>194</v>
      </c>
    </row>
    <row r="5" spans="1:31">
      <c r="A5" t="s">
        <v>121</v>
      </c>
      <c r="B5" s="29">
        <v>0.15</v>
      </c>
      <c r="E5" s="29"/>
      <c r="F5">
        <f>IF(期望!$E$24="弦墨篇",20,0)</f>
        <v>20</v>
      </c>
      <c r="G5" s="29">
        <v>0.12</v>
      </c>
      <c r="I5">
        <f>IF(期望!$E$24="弦墨篇",20,0)</f>
        <v>20</v>
      </c>
      <c r="K5">
        <f>IF(期望!$E$24="弦墨篇",20,0)</f>
        <v>20</v>
      </c>
      <c r="M5">
        <f>IF(期望!$E$24="弦墨篇",20,0)</f>
        <v>20</v>
      </c>
      <c r="N5" s="29">
        <v>0.12</v>
      </c>
      <c r="O5">
        <f>IF(期望!$E$24="弦墨篇",20,0)</f>
        <v>20</v>
      </c>
      <c r="R5" s="29">
        <v>0.4</v>
      </c>
      <c r="Y5" t="s">
        <v>89</v>
      </c>
      <c r="Z5" s="26">
        <f>220.91%*1.7</f>
        <v>3.75547</v>
      </c>
      <c r="AA5" s="27">
        <f>611*1.7</f>
        <v>1038.7</v>
      </c>
      <c r="AB5" s="26">
        <f>331.37%*1.7</f>
        <v>5.63329</v>
      </c>
      <c r="AC5" s="27">
        <f>333*1.7</f>
        <v>566.1</v>
      </c>
      <c r="AD5" t="s">
        <v>194</v>
      </c>
    </row>
    <row r="6" spans="1:31">
      <c r="A6" t="s">
        <v>133</v>
      </c>
      <c r="E6" s="29"/>
      <c r="F6">
        <f>IF(期望!$E$24="弦墨篇",8,0)</f>
        <v>8</v>
      </c>
      <c r="G6" s="29">
        <v>0.12</v>
      </c>
      <c r="I6">
        <f>IF(期望!$E$24="弦墨篇",8,0)</f>
        <v>8</v>
      </c>
      <c r="K6">
        <f>IF(期望!$E$24="弦墨篇",8,0)</f>
        <v>8</v>
      </c>
      <c r="M6">
        <f>IF(期望!$E$24="弦墨篇",8,0)</f>
        <v>8</v>
      </c>
      <c r="N6" s="29">
        <v>0.12</v>
      </c>
      <c r="O6">
        <f>IF(期望!$E$24="弦墨篇",8,0)</f>
        <v>8</v>
      </c>
      <c r="Y6" t="s">
        <v>89</v>
      </c>
      <c r="Z6" s="26">
        <f>49.17%+35.17%</f>
        <v>0.8434</v>
      </c>
      <c r="AA6" s="27">
        <f>137+98</f>
        <v>235</v>
      </c>
      <c r="AB6" s="26">
        <f>73.75%+52.75%</f>
        <v>1.265</v>
      </c>
      <c r="AC6" s="27">
        <f>74+53</f>
        <v>127</v>
      </c>
    </row>
    <row r="7" spans="1:31">
      <c r="A7" t="s">
        <v>137</v>
      </c>
      <c r="B7" s="29"/>
      <c r="E7" s="29"/>
      <c r="F7">
        <f>IF(期望!$E$24="弦墨篇",20,0)</f>
        <v>20</v>
      </c>
      <c r="G7" s="29">
        <v>0.12</v>
      </c>
      <c r="I7">
        <f>IF(期望!$E$24="弦墨篇",20,0)</f>
        <v>20</v>
      </c>
      <c r="K7">
        <f>IF(期望!$E$24="弦墨篇",20,0)</f>
        <v>20</v>
      </c>
      <c r="M7">
        <f>IF(期望!$E$24="弦墨篇",20,0)</f>
        <v>20</v>
      </c>
      <c r="N7" s="29">
        <v>0.12</v>
      </c>
      <c r="O7">
        <f>IF(期望!$E$24="弦墨篇",20,0)</f>
        <v>20</v>
      </c>
      <c r="R7" s="29">
        <v>0.3</v>
      </c>
      <c r="Y7" t="s">
        <v>89</v>
      </c>
      <c r="Z7" s="26">
        <f>74.24%*1.4</f>
        <v>1.03936</v>
      </c>
      <c r="AA7" s="27">
        <f>206*1.4</f>
        <v>288.4</v>
      </c>
      <c r="AB7" s="26">
        <f>111.37%*1.4</f>
        <v>1.55918</v>
      </c>
      <c r="AC7" s="27">
        <f>112*1.4</f>
        <v>156.8</v>
      </c>
    </row>
    <row r="8" spans="1:31">
      <c r="A8" t="s">
        <v>140</v>
      </c>
      <c r="B8" s="29"/>
      <c r="E8" s="29"/>
      <c r="F8">
        <f>IF(期望!$E$24="弦墨篇",20,0)</f>
        <v>20</v>
      </c>
      <c r="G8" s="29">
        <v>0.12</v>
      </c>
      <c r="I8">
        <f>IF(期望!$E$24="弦墨篇",20,0)</f>
        <v>20</v>
      </c>
      <c r="K8">
        <f>IF(期望!$E$24="弦墨篇",20,0)</f>
        <v>20</v>
      </c>
      <c r="M8">
        <f>IF(期望!$E$24="弦墨篇",20,0)</f>
        <v>20</v>
      </c>
      <c r="N8" s="29">
        <v>0.12</v>
      </c>
      <c r="O8">
        <f>IF(期望!$E$24="弦墨篇",20,0)</f>
        <v>20</v>
      </c>
      <c r="R8" s="29">
        <v>0.3</v>
      </c>
      <c r="Y8" t="s">
        <v>89</v>
      </c>
      <c r="Z8" s="26">
        <f>233.47%*1.4</f>
        <v>3.26858</v>
      </c>
      <c r="AA8" s="27">
        <f>656*1.4</f>
        <v>918.4</v>
      </c>
      <c r="AB8" s="26">
        <f>350.21%*1.4</f>
        <v>4.90294</v>
      </c>
      <c r="AC8" s="27">
        <f>352*1.4</f>
        <v>492.8</v>
      </c>
    </row>
    <row r="9" spans="1:31">
      <c r="A9" t="s">
        <v>104</v>
      </c>
      <c r="B9" s="29"/>
      <c r="E9" s="29"/>
      <c r="F9">
        <f>IF(期望!$E$24="弦墨篇",8,0)</f>
        <v>8</v>
      </c>
      <c r="G9" s="29">
        <v>0.12</v>
      </c>
      <c r="I9">
        <f>IF(期望!$E$24="弦墨篇",8,0)</f>
        <v>8</v>
      </c>
      <c r="K9">
        <f>IF(期望!$E$24="弦墨篇",8,0)</f>
        <v>8</v>
      </c>
      <c r="M9">
        <f>IF(期望!$E$24="弦墨篇",8,0)</f>
        <v>8</v>
      </c>
      <c r="N9" s="29">
        <v>0.12</v>
      </c>
      <c r="O9">
        <f>IF(期望!$E$24="弦墨篇",8,0)</f>
        <v>8</v>
      </c>
      <c r="R9" s="29"/>
      <c r="Y9" t="s">
        <v>93</v>
      </c>
      <c r="Z9" s="26">
        <v>0.9271</v>
      </c>
      <c r="AA9" s="27">
        <v>257</v>
      </c>
      <c r="AB9" s="26">
        <v>1.3907</v>
      </c>
      <c r="AC9" s="27">
        <v>140</v>
      </c>
    </row>
    <row r="10" spans="1:31">
      <c r="A10" t="s">
        <v>108</v>
      </c>
      <c r="B10" s="29"/>
      <c r="E10" s="29"/>
      <c r="F10">
        <f>IF(期望!$E$24="弦墨篇",8,0)</f>
        <v>8</v>
      </c>
      <c r="G10" s="29">
        <v>0.12</v>
      </c>
      <c r="I10">
        <f>IF(期望!$E$24="弦墨篇",8,0)</f>
        <v>8</v>
      </c>
      <c r="K10">
        <f>IF(期望!$E$24="弦墨篇",8,0)</f>
        <v>8</v>
      </c>
      <c r="M10">
        <f>IF(期望!$E$24="弦墨篇",8,0)</f>
        <v>8</v>
      </c>
      <c r="N10" s="29">
        <v>0.12</v>
      </c>
      <c r="O10">
        <f>IF(期望!$E$24="弦墨篇",8,0)</f>
        <v>8</v>
      </c>
      <c r="R10" s="29"/>
      <c r="Y10" t="s">
        <v>93</v>
      </c>
      <c r="Z10" s="26">
        <f>(101.69%+221.94%)*1.25</f>
        <v>4.045375</v>
      </c>
      <c r="AA10" s="27">
        <f>(281+614)*1.25</f>
        <v>1118.75</v>
      </c>
      <c r="AB10" s="26">
        <f>(152.54%+332.91%)*1.25</f>
        <v>6.068125</v>
      </c>
      <c r="AC10" s="27">
        <f>(153+334)*1.25</f>
        <v>608.75</v>
      </c>
    </row>
    <row r="11" spans="1:31">
      <c r="A11" t="s">
        <v>110</v>
      </c>
      <c r="B11" s="29">
        <v>0.2</v>
      </c>
      <c r="E11" s="29"/>
      <c r="F11">
        <f>IF(期望!$E$24="弦墨篇",8,0)</f>
        <v>8</v>
      </c>
      <c r="G11" s="29">
        <v>0.12</v>
      </c>
      <c r="I11">
        <f>IF(期望!$E$24="弦墨篇",8,0)</f>
        <v>8</v>
      </c>
      <c r="K11">
        <f>IF(期望!$E$24="弦墨篇",8,0)</f>
        <v>8</v>
      </c>
      <c r="M11">
        <f>IF(期望!$E$24="弦墨篇",8,0)</f>
        <v>8</v>
      </c>
      <c r="N11" s="29">
        <v>0.12</v>
      </c>
      <c r="O11">
        <f>IF(期望!$E$24="弦墨篇",8,0)</f>
        <v>8</v>
      </c>
      <c r="R11" s="29"/>
      <c r="Y11" t="s">
        <v>93</v>
      </c>
      <c r="Z11" s="26">
        <v>0.9186</v>
      </c>
      <c r="AA11" s="27">
        <v>254</v>
      </c>
      <c r="AB11" s="26">
        <v>1.3779</v>
      </c>
      <c r="AC11" s="27">
        <v>138</v>
      </c>
    </row>
    <row r="12" customFormat="1" spans="1:31">
      <c r="A12" t="s">
        <v>114</v>
      </c>
      <c r="B12" s="29">
        <v>0.2</v>
      </c>
      <c r="E12" s="29"/>
      <c r="F12">
        <f>IF(期望!$E$24="弦墨篇",8,0)</f>
        <v>8</v>
      </c>
      <c r="G12" s="29">
        <v>0.12</v>
      </c>
      <c r="I12">
        <f>IF(期望!$E$24="弦墨篇",8,0)</f>
        <v>8</v>
      </c>
      <c r="K12">
        <f>IF(期望!$E$24="弦墨篇",8,0)</f>
        <v>8</v>
      </c>
      <c r="M12">
        <f>IF(期望!$E$24="弦墨篇",8,0)</f>
        <v>8</v>
      </c>
      <c r="N12" s="29">
        <v>0.12</v>
      </c>
      <c r="O12">
        <f>IF(期望!$E$24="弦墨篇",8,0)</f>
        <v>8</v>
      </c>
      <c r="Q12" s="26"/>
      <c r="R12" s="29"/>
      <c r="Y12" t="s">
        <v>93</v>
      </c>
      <c r="Z12" s="26">
        <v>2.1435</v>
      </c>
      <c r="AA12" s="27">
        <v>592</v>
      </c>
      <c r="AB12" s="26">
        <v>3.2152</v>
      </c>
      <c r="AC12" s="27">
        <v>323</v>
      </c>
    </row>
    <row r="13" customFormat="1" spans="1:31">
      <c r="A13" t="s">
        <v>195</v>
      </c>
      <c r="B13"/>
      <c r="F13">
        <f>IF(期望!$E$24="弦墨篇",8,0)</f>
        <v>8</v>
      </c>
      <c r="G13" s="29">
        <v>0.12</v>
      </c>
      <c r="I13">
        <f>IF(期望!$E$24="弦墨篇",8,0)</f>
        <v>8</v>
      </c>
      <c r="K13">
        <f>IF(期望!$E$24="弦墨篇",8,0)</f>
        <v>8</v>
      </c>
      <c r="M13">
        <f>IF(期望!$E$24="弦墨篇",8,0)</f>
        <v>8</v>
      </c>
      <c r="N13" s="29">
        <v>0.12</v>
      </c>
      <c r="O13">
        <f>IF(期望!$E$24="弦墨篇",8,0)</f>
        <v>8</v>
      </c>
      <c r="Q13" s="26"/>
      <c r="R13" s="29"/>
      <c r="Y13" t="s">
        <v>103</v>
      </c>
      <c r="Z13" s="26">
        <v>3.9746</v>
      </c>
      <c r="AA13" s="27">
        <v>1008</v>
      </c>
      <c r="AB13" s="26">
        <v>5.9619</v>
      </c>
      <c r="AC13" s="27"/>
      <c r="AE13">
        <v>1</v>
      </c>
    </row>
    <row r="14" customFormat="1" spans="1:31">
      <c r="A14" t="s">
        <v>75</v>
      </c>
      <c r="B14"/>
      <c r="F14">
        <f>IF(期望!$E$24="弦墨篇",8,0)</f>
        <v>8</v>
      </c>
      <c r="G14" s="29">
        <v>0.12</v>
      </c>
      <c r="I14">
        <f>IF(期望!$E$24="弦墨篇",8,0)</f>
        <v>8</v>
      </c>
      <c r="K14">
        <f>IF(期望!$E$24="弦墨篇",8,0)</f>
        <v>8</v>
      </c>
      <c r="M14">
        <f>IF(期望!$E$24="弦墨篇",8,0)</f>
        <v>8</v>
      </c>
      <c r="N14" s="29">
        <v>0.12</v>
      </c>
      <c r="O14">
        <f>IF(期望!$E$24="弦墨篇",8,0)</f>
        <v>8</v>
      </c>
      <c r="Q14" s="26"/>
      <c r="R14" s="29"/>
      <c r="Y14" t="s">
        <v>103</v>
      </c>
      <c r="Z14" s="26">
        <v>1.4904</v>
      </c>
      <c r="AA14" s="27">
        <v>378</v>
      </c>
      <c r="AB14" s="26">
        <v>2.2356</v>
      </c>
      <c r="AC14" s="27"/>
      <c r="AE14">
        <v>1</v>
      </c>
    </row>
    <row r="15" customFormat="1" spans="1:31">
      <c r="A15" t="s">
        <v>168</v>
      </c>
      <c r="B15" s="29"/>
      <c r="F15">
        <f>IF(期望!$E$24="弦墨篇",8,0)</f>
        <v>8</v>
      </c>
      <c r="G15" s="29">
        <v>0.12</v>
      </c>
      <c r="I15">
        <f>IF(期望!$E$24="弦墨篇",8,0)</f>
        <v>8</v>
      </c>
      <c r="K15">
        <f>IF(期望!$E$24="弦墨篇",8,0)</f>
        <v>8</v>
      </c>
      <c r="M15">
        <f>IF(期望!$E$24="弦墨篇",8,0)</f>
        <v>8</v>
      </c>
      <c r="N15" s="29">
        <v>0.12</v>
      </c>
      <c r="O15">
        <f>IF(期望!$E$24="弦墨篇",8,0)</f>
        <v>8</v>
      </c>
      <c r="R15" s="29"/>
      <c r="Y15" t="s">
        <v>103</v>
      </c>
      <c r="Z15" s="26">
        <v>10.315755</v>
      </c>
      <c r="AA15" s="27">
        <v>1992.6</v>
      </c>
      <c r="AB15" s="26">
        <v>15.4736325</v>
      </c>
      <c r="AC15" s="27"/>
      <c r="AE15">
        <v>1</v>
      </c>
    </row>
    <row r="16" customFormat="1" spans="1:31">
      <c r="A16" t="s">
        <v>196</v>
      </c>
      <c r="B16" s="29"/>
      <c r="F16">
        <f>IF(期望!$E$24="弦墨篇",8,0)</f>
        <v>8</v>
      </c>
      <c r="G16" s="29">
        <v>0.12</v>
      </c>
      <c r="I16">
        <f>IF(期望!$E$24="弦墨篇",8,0)</f>
        <v>8</v>
      </c>
      <c r="K16">
        <f>IF(期望!$E$24="弦墨篇",8,0)</f>
        <v>8</v>
      </c>
      <c r="M16">
        <f>IF(期望!$E$24="弦墨篇",8,0)</f>
        <v>8</v>
      </c>
      <c r="N16" s="29">
        <v>0.12</v>
      </c>
      <c r="O16">
        <f>IF(期望!$E$24="弦墨篇",8,0)</f>
        <v>8</v>
      </c>
      <c r="Q16" s="26"/>
      <c r="R16" s="29"/>
      <c r="Y16" t="s">
        <v>99</v>
      </c>
      <c r="Z16" s="26">
        <v>7.1084</v>
      </c>
      <c r="AA16" s="27">
        <v>1369</v>
      </c>
      <c r="AB16" s="26">
        <v>10.6626</v>
      </c>
      <c r="AC16" s="27"/>
      <c r="AE16">
        <v>1</v>
      </c>
    </row>
    <row r="17" customFormat="1" spans="1:31">
      <c r="A17" t="s">
        <v>197</v>
      </c>
      <c r="B17" s="29">
        <v>0.47</v>
      </c>
      <c r="F17">
        <f>IF(期望!$E$24="弦墨篇",8,0)</f>
        <v>8</v>
      </c>
      <c r="G17" s="29">
        <v>0.12</v>
      </c>
      <c r="I17">
        <f>IF(期望!$E$24="弦墨篇",8,0)</f>
        <v>8</v>
      </c>
      <c r="K17">
        <f>IF(期望!$E$24="弦墨篇",8,0)</f>
        <v>8</v>
      </c>
      <c r="M17">
        <f>IF(期望!$E$24="弦墨篇",8,0)</f>
        <v>8</v>
      </c>
      <c r="N17" s="29">
        <v>0.12</v>
      </c>
      <c r="O17">
        <f>IF(期望!$E$24="弦墨篇",8,0)</f>
        <v>8</v>
      </c>
      <c r="Q17" s="26"/>
      <c r="R17" s="29"/>
      <c r="V17">
        <v>1</v>
      </c>
      <c r="Y17" t="s">
        <v>99</v>
      </c>
      <c r="Z17" s="26">
        <v>25.201792</v>
      </c>
      <c r="AA17" s="27">
        <v>4869.48</v>
      </c>
      <c r="AB17" s="26">
        <v>37.802688</v>
      </c>
      <c r="AC17" s="27"/>
      <c r="AE17">
        <v>1</v>
      </c>
    </row>
    <row r="18" customFormat="1" spans="1:31">
      <c r="A18" t="s">
        <v>198</v>
      </c>
      <c r="B18"/>
      <c r="F18">
        <f>IF(期望!$E$24="弦墨篇",8,0)</f>
        <v>8</v>
      </c>
      <c r="G18" s="29">
        <v>0.12</v>
      </c>
      <c r="I18">
        <f>IF(期望!$E$24="弦墨篇",8,0)</f>
        <v>8</v>
      </c>
      <c r="K18">
        <f>IF(期望!$E$24="弦墨篇",8,0)</f>
        <v>8</v>
      </c>
      <c r="M18">
        <f>IF(期望!$E$24="弦墨篇",8,0)</f>
        <v>8</v>
      </c>
      <c r="N18" s="29">
        <v>0.12</v>
      </c>
      <c r="O18">
        <f>IF(期望!$E$24="弦墨篇",8,0)</f>
        <v>8</v>
      </c>
      <c r="Q18" s="26"/>
      <c r="R18" s="29"/>
      <c r="Y18" t="s">
        <v>103</v>
      </c>
      <c r="Z18" s="26">
        <v>23.7726</v>
      </c>
      <c r="AA18" s="27">
        <v>4592</v>
      </c>
      <c r="AB18" s="26">
        <v>35.6589</v>
      </c>
      <c r="AC18" s="27"/>
      <c r="AE18">
        <v>1</v>
      </c>
    </row>
    <row r="19" customFormat="1" spans="1:31">
      <c r="A19" t="s">
        <v>199</v>
      </c>
      <c r="B19" s="29"/>
      <c r="F19">
        <f>IF(期望!$E$24="弦墨篇",8,0)</f>
        <v>8</v>
      </c>
      <c r="G19" s="29">
        <v>0.12</v>
      </c>
      <c r="I19">
        <f>IF(期望!$E$24="弦墨篇",8,0)</f>
        <v>8</v>
      </c>
      <c r="K19">
        <f>IF(期望!$E$24="弦墨篇",8,0)</f>
        <v>8</v>
      </c>
      <c r="M19">
        <f>IF(期望!$E$24="弦墨篇",8,0)</f>
        <v>8</v>
      </c>
      <c r="N19" s="29">
        <v>0.12</v>
      </c>
      <c r="O19">
        <f>IF(期望!$E$24="弦墨篇",8,0)</f>
        <v>8</v>
      </c>
      <c r="Q19" s="26"/>
      <c r="R19" s="29"/>
      <c r="Y19" t="s">
        <v>99</v>
      </c>
      <c r="Z19" s="26">
        <v>1.28505</v>
      </c>
      <c r="AA19" s="27">
        <v>251</v>
      </c>
      <c r="AB19" s="26">
        <v>1.927575</v>
      </c>
      <c r="AC19" s="27"/>
      <c r="AE19">
        <v>1</v>
      </c>
    </row>
    <row r="20" customFormat="1" spans="1:31">
      <c r="A20" t="s">
        <v>200</v>
      </c>
      <c r="B20"/>
      <c r="F20">
        <f>IF(期望!$E$24="弦墨篇",8,0)</f>
        <v>8</v>
      </c>
      <c r="G20" s="29">
        <v>0.12</v>
      </c>
      <c r="I20">
        <f>IF(期望!$E$24="弦墨篇",8,0)</f>
        <v>8</v>
      </c>
      <c r="K20">
        <f>IF(期望!$E$24="弦墨篇",8,0)</f>
        <v>8</v>
      </c>
      <c r="M20">
        <f>IF(期望!$E$24="弦墨篇",8,0)</f>
        <v>8</v>
      </c>
      <c r="N20" s="29">
        <v>0.12</v>
      </c>
      <c r="O20">
        <f>IF(期望!$E$24="弦墨篇",8,0)</f>
        <v>8</v>
      </c>
      <c r="Q20" s="26"/>
      <c r="R20" s="29"/>
      <c r="Y20" t="s">
        <v>99</v>
      </c>
      <c r="Z20" s="26">
        <v>3.9863</v>
      </c>
      <c r="AA20" s="27">
        <v>778</v>
      </c>
      <c r="AB20" s="26">
        <v>5.97945</v>
      </c>
      <c r="AC20" s="27"/>
      <c r="AE20">
        <v>1</v>
      </c>
    </row>
    <row r="21" customFormat="1" spans="1:31">
      <c r="A21" t="s">
        <v>201</v>
      </c>
      <c r="B21"/>
      <c r="F21">
        <f>IF(期望!$E$24="弦墨篇",8,0)</f>
        <v>8</v>
      </c>
      <c r="G21" s="29">
        <v>0.12</v>
      </c>
      <c r="I21">
        <f>IF(期望!$E$24="弦墨篇",8,0)</f>
        <v>8</v>
      </c>
      <c r="K21">
        <f>IF(期望!$E$24="弦墨篇",8,0)</f>
        <v>8</v>
      </c>
      <c r="M21">
        <f>IF(期望!$E$24="弦墨篇",8,0)</f>
        <v>8</v>
      </c>
      <c r="N21" s="29">
        <v>0.12</v>
      </c>
      <c r="O21">
        <f>IF(期望!$E$24="弦墨篇",8,0)</f>
        <v>8</v>
      </c>
      <c r="Q21" s="26"/>
      <c r="R21" s="29"/>
      <c r="T21" s="29"/>
      <c r="Y21" t="s">
        <v>99</v>
      </c>
      <c r="Z21" s="26">
        <v>0.236</v>
      </c>
      <c r="AA21" s="27">
        <v>46</v>
      </c>
      <c r="AB21" s="26">
        <v>0.354</v>
      </c>
      <c r="AC21" s="27"/>
      <c r="AE21">
        <v>0.5</v>
      </c>
    </row>
    <row r="22" customFormat="1" spans="1:31">
      <c r="A22" t="s">
        <v>202</v>
      </c>
      <c r="B22" s="29"/>
      <c r="F22">
        <f>IF(期望!$E$24="弦墨篇",8,0)</f>
        <v>8</v>
      </c>
      <c r="G22" s="29">
        <v>0.12</v>
      </c>
      <c r="I22">
        <f>IF(期望!$E$24="弦墨篇",8,0)</f>
        <v>8</v>
      </c>
      <c r="K22">
        <f>IF(期望!$E$24="弦墨篇",8,0)</f>
        <v>8</v>
      </c>
      <c r="M22">
        <f>IF(期望!$E$24="弦墨篇",8,0)</f>
        <v>8</v>
      </c>
      <c r="N22" s="29">
        <v>0.12</v>
      </c>
      <c r="O22">
        <f>IF(期望!$E$24="弦墨篇",8,0)</f>
        <v>8</v>
      </c>
      <c r="Q22" s="26"/>
      <c r="R22" s="29"/>
      <c r="Y22" t="s">
        <v>99</v>
      </c>
      <c r="Z22" s="26">
        <v>1.3621</v>
      </c>
      <c r="AA22" s="27">
        <v>264</v>
      </c>
      <c r="AB22" s="26">
        <v>2.04315</v>
      </c>
      <c r="AC22" s="27"/>
      <c r="AE22">
        <v>1</v>
      </c>
    </row>
    <row r="23" customFormat="1" spans="1:31">
      <c r="A23" t="s">
        <v>203</v>
      </c>
      <c r="B23"/>
      <c r="F23">
        <f>IF(期望!$E$24="弦墨篇",8,0)</f>
        <v>8</v>
      </c>
      <c r="G23" s="29">
        <v>0.12</v>
      </c>
      <c r="I23">
        <f>IF(期望!$E$24="弦墨篇",8,0)</f>
        <v>8</v>
      </c>
      <c r="K23">
        <f>IF(期望!$E$24="弦墨篇",8,0)</f>
        <v>8</v>
      </c>
      <c r="M23">
        <f>IF(期望!$E$24="弦墨篇",8,0)</f>
        <v>8</v>
      </c>
      <c r="N23" s="29">
        <v>0.12</v>
      </c>
      <c r="O23">
        <f>IF(期望!$E$24="弦墨篇",8,0)</f>
        <v>8</v>
      </c>
      <c r="Q23" s="26"/>
      <c r="R23" s="29"/>
      <c r="Y23" t="s">
        <v>99</v>
      </c>
      <c r="Z23" s="26">
        <v>4.2253</v>
      </c>
      <c r="AA23" s="27">
        <v>819</v>
      </c>
      <c r="AB23" s="26">
        <v>6.33795</v>
      </c>
      <c r="AC23" s="27"/>
      <c r="AE23">
        <v>1</v>
      </c>
    </row>
    <row r="24" customFormat="1" spans="1:31">
      <c r="A24" t="s">
        <v>204</v>
      </c>
      <c r="B24"/>
      <c r="F24">
        <f>IF(期望!$E$24="弦墨篇",8,0)</f>
        <v>8</v>
      </c>
      <c r="G24" s="29">
        <v>0.12</v>
      </c>
      <c r="I24">
        <f>IF(期望!$E$24="弦墨篇",8,0)</f>
        <v>8</v>
      </c>
      <c r="K24">
        <f>IF(期望!$E$24="弦墨篇",8,0)</f>
        <v>8</v>
      </c>
      <c r="M24">
        <f>IF(期望!$E$24="弦墨篇",8,0)</f>
        <v>8</v>
      </c>
      <c r="N24" s="29">
        <v>0.12</v>
      </c>
      <c r="O24">
        <f>IF(期望!$E$24="弦墨篇",8,0)</f>
        <v>8</v>
      </c>
      <c r="Q24" s="26"/>
      <c r="R24" s="29"/>
      <c r="T24" s="29"/>
      <c r="Y24" t="s">
        <v>99</v>
      </c>
      <c r="Z24" s="26">
        <v>0.2958</v>
      </c>
      <c r="AA24" s="27">
        <v>57</v>
      </c>
      <c r="AB24" s="26">
        <v>0.4437</v>
      </c>
      <c r="AC24" s="27"/>
      <c r="AE24">
        <v>0.5</v>
      </c>
    </row>
    <row r="25" customFormat="1" spans="1:31">
      <c r="A25" t="s">
        <v>205</v>
      </c>
      <c r="B25"/>
      <c r="F25">
        <f>IF(期望!$E$24="弦墨篇",8,0)</f>
        <v>8</v>
      </c>
      <c r="G25" s="29">
        <v>0.12</v>
      </c>
      <c r="I25">
        <f>IF(期望!$E$24="弦墨篇",8,0)</f>
        <v>8</v>
      </c>
      <c r="K25">
        <f>IF(期望!$E$24="弦墨篇",8,0)</f>
        <v>8</v>
      </c>
      <c r="M25">
        <f>IF(期望!$E$24="弦墨篇",8,0)</f>
        <v>8</v>
      </c>
      <c r="N25" s="29">
        <v>0.12</v>
      </c>
      <c r="O25">
        <f>IF(期望!$E$24="弦墨篇",8,0)</f>
        <v>8</v>
      </c>
      <c r="Q25" s="26"/>
      <c r="R25" s="29"/>
      <c r="Y25" t="s">
        <v>99</v>
      </c>
      <c r="Z25" s="26">
        <v>1.0239</v>
      </c>
      <c r="AA25" s="27">
        <v>196</v>
      </c>
      <c r="AB25" s="26">
        <v>1.53585</v>
      </c>
      <c r="AC25" s="27"/>
      <c r="AE25">
        <v>1</v>
      </c>
    </row>
    <row r="26" customFormat="1" spans="1:31">
      <c r="A26" t="s">
        <v>206</v>
      </c>
      <c r="B26" s="29">
        <v>0.8</v>
      </c>
      <c r="F26">
        <f>IF(期望!$E$24="弦墨篇",8,0)</f>
        <v>8</v>
      </c>
      <c r="G26" s="29">
        <v>0.12</v>
      </c>
      <c r="I26">
        <f>IF(期望!$E$24="弦墨篇",8,0)</f>
        <v>8</v>
      </c>
      <c r="K26">
        <f>IF(期望!$E$24="弦墨篇",8,0)</f>
        <v>8</v>
      </c>
      <c r="M26">
        <f>IF(期望!$E$24="弦墨篇",8,0)</f>
        <v>8</v>
      </c>
      <c r="N26" s="29">
        <v>0.12</v>
      </c>
      <c r="O26">
        <f>IF(期望!$E$24="弦墨篇",8,0)</f>
        <v>8</v>
      </c>
      <c r="Q26" s="26"/>
      <c r="R26" s="29"/>
      <c r="Y26" t="s">
        <v>99</v>
      </c>
      <c r="Z26" s="26">
        <v>1.7065</v>
      </c>
      <c r="AA26" s="27">
        <v>327</v>
      </c>
      <c r="AB26" s="26">
        <v>2.55975</v>
      </c>
      <c r="AC26" s="27"/>
      <c r="AE26">
        <v>1</v>
      </c>
    </row>
    <row r="27" customFormat="1" spans="1:31">
      <c r="A27" t="s">
        <v>207</v>
      </c>
      <c r="B27"/>
      <c r="F27">
        <f>IF(期望!$E$24="弦墨篇",8,0)</f>
        <v>8</v>
      </c>
      <c r="G27" s="29">
        <v>0.12</v>
      </c>
      <c r="I27">
        <f>IF(期望!$E$24="弦墨篇",8,0)</f>
        <v>8</v>
      </c>
      <c r="K27">
        <f>IF(期望!$E$24="弦墨篇",8,0)</f>
        <v>8</v>
      </c>
      <c r="M27">
        <f>IF(期望!$E$24="弦墨篇",8,0)</f>
        <v>8</v>
      </c>
      <c r="N27" s="29">
        <v>0.12</v>
      </c>
      <c r="O27">
        <f>IF(期望!$E$24="弦墨篇",8,0)</f>
        <v>8</v>
      </c>
      <c r="Q27" s="26"/>
      <c r="R27" s="29"/>
      <c r="Y27" t="s">
        <v>99</v>
      </c>
      <c r="Z27" s="26">
        <v>0.7021</v>
      </c>
      <c r="AA27" s="27">
        <v>134</v>
      </c>
      <c r="AB27" s="26">
        <v>1.05315</v>
      </c>
      <c r="AC27" s="27"/>
      <c r="AE27">
        <v>1</v>
      </c>
    </row>
    <row r="28" customFormat="1" spans="1:31">
      <c r="A28" t="s">
        <v>208</v>
      </c>
      <c r="B28"/>
      <c r="F28">
        <f>IF(期望!$E$24="弦墨篇",8,0)</f>
        <v>8</v>
      </c>
      <c r="G28" s="29">
        <v>0.12</v>
      </c>
      <c r="I28">
        <f>IF(期望!$E$24="弦墨篇",8,0)</f>
        <v>8</v>
      </c>
      <c r="K28">
        <f>IF(期望!$E$24="弦墨篇",8,0)</f>
        <v>8</v>
      </c>
      <c r="M28">
        <f>IF(期望!$E$24="弦墨篇",8,0)</f>
        <v>8</v>
      </c>
      <c r="N28" s="29">
        <v>0.12</v>
      </c>
      <c r="O28">
        <f>IF(期望!$E$24="弦墨篇",8,0)</f>
        <v>8</v>
      </c>
      <c r="Q28" s="26"/>
      <c r="R28" s="29"/>
      <c r="Y28" t="s">
        <v>99</v>
      </c>
      <c r="Z28" s="26">
        <v>1.609</v>
      </c>
      <c r="AA28" s="27">
        <v>308</v>
      </c>
      <c r="AB28" s="26">
        <v>2.4135</v>
      </c>
      <c r="AC28" s="27"/>
      <c r="AE28">
        <v>1</v>
      </c>
    </row>
    <row r="29" customFormat="1" spans="1:31">
      <c r="A29" t="s">
        <v>180</v>
      </c>
      <c r="F29">
        <f>IF(期望!$E$24="弦墨篇",8,0)</f>
        <v>8</v>
      </c>
      <c r="G29" s="29">
        <v>0.12</v>
      </c>
      <c r="I29">
        <f>IF(期望!$E$24="弦墨篇",8,0)</f>
        <v>8</v>
      </c>
      <c r="K29">
        <f>IF(期望!$E$24="弦墨篇",8,0)</f>
        <v>8</v>
      </c>
      <c r="M29">
        <f>IF(期望!$E$24="弦墨篇",8,0)</f>
        <v>8</v>
      </c>
      <c r="N29" s="29">
        <v>0.12</v>
      </c>
      <c r="O29">
        <f>IF(期望!$E$24="弦墨篇",8,0)</f>
        <v>8</v>
      </c>
      <c r="Q29" s="26"/>
      <c r="R29" s="29"/>
      <c r="Y29" t="s">
        <v>209</v>
      </c>
      <c r="Z29" s="26">
        <v>1</v>
      </c>
      <c r="AA29" s="27"/>
      <c r="AB29" s="26">
        <v>1</v>
      </c>
      <c r="AC29" s="27"/>
      <c r="AE29">
        <v>1</v>
      </c>
    </row>
    <row r="30" customFormat="1" spans="1:31">
      <c r="A30" t="s">
        <v>210</v>
      </c>
      <c r="Q30" s="26"/>
      <c r="Y30" t="s">
        <v>103</v>
      </c>
      <c r="Z30" s="26">
        <v>6.87717</v>
      </c>
      <c r="AA30" s="27">
        <v>1328.4</v>
      </c>
      <c r="AB30" s="26">
        <v>10.315755</v>
      </c>
      <c r="AC30" s="27"/>
      <c r="AE30">
        <v>1</v>
      </c>
    </row>
    <row r="31" spans="1:31">
      <c r="A31" t="s">
        <v>80</v>
      </c>
      <c r="Y31" t="s">
        <v>209</v>
      </c>
      <c r="Z31" s="26">
        <v>0</v>
      </c>
      <c r="AB31" s="26">
        <v>0</v>
      </c>
      <c r="AE3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K27" sqref="K27"/>
    </sheetView>
  </sheetViews>
  <sheetFormatPr defaultColWidth="9" defaultRowHeight="13.5"/>
  <cols>
    <col min="1" max="1" width="15.875" customWidth="1"/>
    <col min="2" max="2" width="9.00833333333333" style="26" customWidth="1"/>
    <col min="23" max="23" width="9" style="26"/>
    <col min="24" max="24" width="9.375" style="26"/>
    <col min="25" max="25" width="9" style="27"/>
  </cols>
  <sheetData>
    <row r="1" spans="1:27">
      <c r="B1" s="26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109</v>
      </c>
      <c r="R1" t="s">
        <v>187</v>
      </c>
      <c r="S1" t="s">
        <v>112</v>
      </c>
      <c r="T1" t="s">
        <v>188</v>
      </c>
      <c r="U1" s="26" t="s">
        <v>116</v>
      </c>
      <c r="V1" s="27" t="s">
        <v>118</v>
      </c>
      <c r="W1" s="26" t="s">
        <v>70</v>
      </c>
    </row>
    <row r="2" customFormat="1" spans="1:27">
      <c r="A2" t="s">
        <v>87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7"/>
    </row>
    <row r="3" customFormat="1" spans="1:27">
      <c r="A3" t="s">
        <v>211</v>
      </c>
      <c r="B3" s="26">
        <f>IF(期望!$D$20="√",25%,0)</f>
        <v>0.25</v>
      </c>
      <c r="R3" s="29"/>
      <c r="W3" s="28"/>
      <c r="X3" s="26"/>
      <c r="Y3" s="27"/>
    </row>
    <row r="4" customFormat="1" spans="1:27">
      <c r="A4" t="s">
        <v>82</v>
      </c>
      <c r="B4" s="29"/>
      <c r="G4" s="29">
        <f>IF(期望!$D$22="√",3%,0)</f>
        <v>0</v>
      </c>
      <c r="J4" s="29">
        <f>IF(期望!$D$22="√",3%,0)</f>
        <v>0</v>
      </c>
      <c r="L4" s="29">
        <f>IF(期望!$D$22="√",3%,0)</f>
        <v>0</v>
      </c>
      <c r="N4" s="29">
        <f>IF(期望!$D$22="√",3%,0)</f>
        <v>0</v>
      </c>
      <c r="P4" s="29">
        <f>IF(期望!$D$22="√",3%,0)</f>
        <v>0</v>
      </c>
      <c r="W4" s="28"/>
      <c r="X4" s="28"/>
      <c r="Y4" s="30"/>
      <c r="Z4" s="28"/>
      <c r="AA4" s="27"/>
    </row>
    <row r="5" spans="1:27">
      <c r="A5" t="s">
        <v>111</v>
      </c>
      <c r="B5" s="26">
        <v>0.02</v>
      </c>
      <c r="R5" s="29"/>
      <c r="W5" s="28"/>
    </row>
    <row r="6" customFormat="1" spans="1:27">
      <c r="A6" t="s">
        <v>79</v>
      </c>
      <c r="B6" s="26">
        <v>0.125</v>
      </c>
      <c r="R6" s="29"/>
      <c r="W6" s="28"/>
      <c r="X6" s="26"/>
      <c r="Y6" s="27"/>
    </row>
    <row r="7" customFormat="1" spans="1:27">
      <c r="A7" t="s">
        <v>212</v>
      </c>
      <c r="B7" s="26">
        <v>0.2</v>
      </c>
      <c r="R7" s="29"/>
      <c r="W7" s="28"/>
      <c r="X7" s="26"/>
      <c r="Y7" s="27"/>
    </row>
    <row r="8" spans="1:27">
      <c r="A8" t="s">
        <v>81</v>
      </c>
      <c r="R8" s="29"/>
      <c r="W8" s="28">
        <v>0.05</v>
      </c>
    </row>
    <row r="9" spans="1:27">
      <c r="A9" t="s">
        <v>169</v>
      </c>
      <c r="W9" s="26">
        <v>0.1</v>
      </c>
    </row>
    <row r="10" spans="1:27">
      <c r="A10" t="s">
        <v>170</v>
      </c>
      <c r="J10" s="29">
        <f>IF(期望!$D$18="√",10%,0)</f>
        <v>0.1</v>
      </c>
      <c r="W10" s="26">
        <f>IF(期望!$D$18="√",10%,0)</f>
        <v>0.1</v>
      </c>
      <c r="X10" s="28"/>
    </row>
    <row r="11" spans="1:27">
      <c r="A11" t="s">
        <v>115</v>
      </c>
      <c r="B11" s="26">
        <v>0.1</v>
      </c>
      <c r="X11" s="28"/>
    </row>
    <row r="12" spans="1:27">
      <c r="A12" t="s">
        <v>73</v>
      </c>
      <c r="G12" s="29">
        <v>0.06</v>
      </c>
      <c r="J12" s="29">
        <v>0.06</v>
      </c>
      <c r="L12" s="29">
        <v>0.06</v>
      </c>
      <c r="M12" s="29"/>
      <c r="N12" s="29">
        <v>0.06</v>
      </c>
      <c r="P12" s="29">
        <v>0.06</v>
      </c>
      <c r="R12" s="29"/>
      <c r="X12" s="28"/>
    </row>
    <row r="13" spans="1:27">
      <c r="A13" t="s">
        <v>97</v>
      </c>
      <c r="H13" s="29">
        <v>0.12</v>
      </c>
      <c r="R13" s="29"/>
      <c r="S13" s="29"/>
      <c r="T13" s="29"/>
      <c r="X13" s="28"/>
    </row>
    <row r="14" spans="1:27">
      <c r="A14" t="s">
        <v>78</v>
      </c>
      <c r="E14" s="29">
        <v>0.18</v>
      </c>
      <c r="H14" s="29">
        <v>0.18</v>
      </c>
      <c r="R14" s="29"/>
      <c r="S14" s="29"/>
      <c r="T14" s="29"/>
      <c r="X14" s="28"/>
    </row>
    <row r="15" customFormat="1" spans="1:27">
      <c r="A15" t="s">
        <v>171</v>
      </c>
      <c r="B15" s="26"/>
      <c r="F15">
        <f>IF(期望!$E$24="断石之构",25,0)</f>
        <v>0</v>
      </c>
      <c r="R15">
        <f>IF(期望!$E$24="断石之构",25%,0)</f>
        <v>0</v>
      </c>
      <c r="S15" s="29"/>
      <c r="T15" s="29"/>
      <c r="W15" s="26"/>
      <c r="X15" s="28"/>
      <c r="Y15" s="27"/>
    </row>
    <row r="16" spans="1:27">
      <c r="A16" t="s">
        <v>77</v>
      </c>
      <c r="R16" s="29">
        <f>IF(期望!$F$16="√",1%,0)</f>
        <v>0.01</v>
      </c>
      <c r="S16" s="29"/>
      <c r="T16" s="29"/>
      <c r="X16" s="28"/>
    </row>
    <row r="17" spans="1:24">
      <c r="A17" t="s">
        <v>86</v>
      </c>
      <c r="R17" s="29">
        <f>IF(期望!$F$16="√",2%,0)</f>
        <v>0.02</v>
      </c>
      <c r="S17" s="29"/>
      <c r="T17" s="29"/>
      <c r="X17" s="28"/>
    </row>
    <row r="18" spans="1:24">
      <c r="A18" t="s">
        <v>92</v>
      </c>
      <c r="R18" s="29">
        <f>IF(期望!$F$16="√",3%,0)</f>
        <v>0.03</v>
      </c>
      <c r="S18" s="29"/>
      <c r="T18" s="29"/>
      <c r="X18" s="28"/>
    </row>
    <row r="19" spans="1:24">
      <c r="A19" t="s">
        <v>96</v>
      </c>
      <c r="R19" s="29">
        <f>IF(期望!$F$16="√",4%,0)</f>
        <v>0.04</v>
      </c>
      <c r="S19" s="29"/>
      <c r="T19" s="29"/>
      <c r="X19" s="28"/>
    </row>
    <row r="20" spans="1:24">
      <c r="A20" t="s">
        <v>101</v>
      </c>
      <c r="R20" s="29">
        <f>IF(期望!$F$16="√",5%,0)</f>
        <v>0.05</v>
      </c>
      <c r="S20" s="29"/>
      <c r="T20" s="29"/>
      <c r="X20" s="28"/>
    </row>
    <row r="21" spans="1:24">
      <c r="A21" t="s">
        <v>141</v>
      </c>
      <c r="R21" s="29">
        <f>IF(期望!$F$16="√",6%,0)</f>
        <v>0.06</v>
      </c>
      <c r="S21" s="29"/>
      <c r="T21" s="29"/>
      <c r="X21" s="28"/>
    </row>
    <row r="22" spans="1:24">
      <c r="A22" t="s">
        <v>148</v>
      </c>
      <c r="R22" s="29">
        <f>IF(期望!$F$16="√",7%,0)</f>
        <v>0.07</v>
      </c>
      <c r="S22" s="29"/>
      <c r="T22" s="29"/>
      <c r="X22" s="28"/>
    </row>
    <row r="23" spans="1:24">
      <c r="A23" t="s">
        <v>156</v>
      </c>
      <c r="R23" s="29">
        <f>IF(期望!$F$16="√",8%,0)</f>
        <v>0.08</v>
      </c>
      <c r="S23" s="29"/>
      <c r="T23" s="29"/>
      <c r="X23" s="28"/>
    </row>
    <row r="24" spans="1:24">
      <c r="A24" t="s">
        <v>157</v>
      </c>
      <c r="R24" s="29">
        <f>IF(期望!$F$16="√",9%,0)</f>
        <v>0.09</v>
      </c>
      <c r="S24" s="29"/>
      <c r="T24" s="29"/>
      <c r="X24" s="28"/>
    </row>
    <row r="25" spans="1:24">
      <c r="A25" t="s">
        <v>158</v>
      </c>
      <c r="R25" s="29">
        <f>IF(期望!$F$16="√",10%,0)</f>
        <v>0.1</v>
      </c>
      <c r="S25" s="29"/>
      <c r="T25" s="29"/>
      <c r="X25" s="28"/>
    </row>
    <row r="26" spans="1:24">
      <c r="A26" t="s">
        <v>76</v>
      </c>
      <c r="B26" s="26">
        <f>1%*IF(期望!$E$22="易水歌",1,0)</f>
        <v>0.01</v>
      </c>
      <c r="F26">
        <f>2*IF(期望!$E$22="易水歌",1,0)</f>
        <v>2</v>
      </c>
      <c r="X26" s="28"/>
    </row>
    <row r="27" spans="1:24">
      <c r="A27" t="s">
        <v>85</v>
      </c>
      <c r="B27" s="26">
        <f>2%*IF(期望!$E$22="易水歌",1,0)</f>
        <v>0.02</v>
      </c>
      <c r="F27">
        <f>4*IF(期望!$E$22="易水歌",1,0)</f>
        <v>4</v>
      </c>
      <c r="X27" s="28"/>
    </row>
    <row r="28" spans="1:24">
      <c r="A28" t="s">
        <v>91</v>
      </c>
      <c r="B28" s="26">
        <f>3%*IF(期望!$E$22="易水歌",1,0)</f>
        <v>0.03</v>
      </c>
      <c r="F28">
        <f>6*IF(期望!$E$22="易水歌",1,0)</f>
        <v>6</v>
      </c>
      <c r="X28" s="28"/>
    </row>
    <row r="29" spans="1:24">
      <c r="A29" t="s">
        <v>95</v>
      </c>
      <c r="B29" s="26">
        <f>4%*IF(期望!$E$22="易水歌",1,0)</f>
        <v>0.04</v>
      </c>
      <c r="F29">
        <f>8*IF(期望!$E$22="易水歌",1,0)</f>
        <v>8</v>
      </c>
      <c r="X29" s="28"/>
    </row>
    <row r="30" spans="1:24">
      <c r="A30" t="s">
        <v>100</v>
      </c>
      <c r="B30" s="26">
        <f>5%*IF(期望!$E$22="易水歌",1,0)</f>
        <v>0.05</v>
      </c>
      <c r="F30">
        <f>10*IF(期望!$E$22="易水歌",1,0)</f>
        <v>10</v>
      </c>
      <c r="X30" s="28"/>
    </row>
    <row r="31" spans="1:24">
      <c r="A31" t="s">
        <v>80</v>
      </c>
      <c r="X31" s="28"/>
    </row>
    <row r="32" spans="1:24">
      <c r="X32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7" sqref="C3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213</v>
      </c>
      <c r="B1" s="3" t="s">
        <v>214</v>
      </c>
      <c r="C1" s="4" t="s">
        <v>215</v>
      </c>
      <c r="D1" s="5" t="s">
        <v>216</v>
      </c>
    </row>
    <row r="2" spans="1:4">
      <c r="A2" s="6">
        <v>0.1</v>
      </c>
      <c r="B2" s="7">
        <v>1</v>
      </c>
      <c r="C2" s="8" t="s">
        <v>217</v>
      </c>
      <c r="D2" s="4" t="s">
        <v>218</v>
      </c>
    </row>
    <row r="3" spans="1:4">
      <c r="A3" s="9"/>
      <c r="B3" s="10">
        <v>2</v>
      </c>
      <c r="C3" s="11" t="s">
        <v>219</v>
      </c>
    </row>
    <row r="4" ht="14.25" spans="1:4">
      <c r="A4" s="12"/>
      <c r="B4" s="13">
        <v>3</v>
      </c>
      <c r="C4" s="14" t="s">
        <v>220</v>
      </c>
    </row>
    <row r="5" ht="14.25" spans="1:4">
      <c r="A5" s="15">
        <v>0.2</v>
      </c>
      <c r="B5" s="16">
        <v>1</v>
      </c>
      <c r="C5" s="17" t="s">
        <v>221</v>
      </c>
    </row>
    <row r="6" ht="14.25" spans="1:4">
      <c r="A6" s="15">
        <v>0.3</v>
      </c>
      <c r="B6" s="16">
        <v>1</v>
      </c>
      <c r="C6" s="17" t="s">
        <v>222</v>
      </c>
    </row>
    <row r="7" ht="14.25" spans="1:4">
      <c r="A7" s="15">
        <v>0.4</v>
      </c>
      <c r="B7" s="16">
        <v>7</v>
      </c>
      <c r="C7" s="17" t="s">
        <v>223</v>
      </c>
    </row>
    <row r="8" ht="14.25" spans="1:4">
      <c r="A8" s="18">
        <v>0.5</v>
      </c>
      <c r="B8" s="16">
        <v>1</v>
      </c>
      <c r="C8" s="17" t="s">
        <v>224</v>
      </c>
    </row>
    <row r="9" ht="14.25" spans="1:4">
      <c r="A9" s="18">
        <v>1</v>
      </c>
      <c r="B9" s="16">
        <v>1</v>
      </c>
      <c r="C9" s="17" t="s">
        <v>225</v>
      </c>
    </row>
    <row r="10" spans="1:4">
      <c r="A10" s="6">
        <v>1.1</v>
      </c>
      <c r="B10" s="19">
        <v>1</v>
      </c>
      <c r="C10" s="8" t="s">
        <v>226</v>
      </c>
    </row>
    <row r="11" spans="1:4">
      <c r="A11" s="9"/>
      <c r="B11" s="20">
        <v>2</v>
      </c>
      <c r="C11" s="11" t="s">
        <v>227</v>
      </c>
    </row>
    <row r="12" ht="14.25" spans="1:4">
      <c r="A12" s="12"/>
      <c r="B12" s="21">
        <v>3</v>
      </c>
      <c r="C12" s="14" t="s">
        <v>228</v>
      </c>
    </row>
    <row r="13" spans="1:4">
      <c r="A13" s="22">
        <v>1.2</v>
      </c>
      <c r="B13" s="19">
        <v>1</v>
      </c>
      <c r="C13" s="8" t="s">
        <v>229</v>
      </c>
    </row>
    <row r="14" ht="14.25" spans="1:4">
      <c r="A14" s="23"/>
      <c r="B14" s="20">
        <v>2</v>
      </c>
      <c r="C14" s="11" t="s">
        <v>230</v>
      </c>
    </row>
    <row r="15" spans="1:4">
      <c r="A15" s="22">
        <v>2</v>
      </c>
      <c r="B15" s="19">
        <v>1</v>
      </c>
      <c r="C15" s="8" t="s">
        <v>231</v>
      </c>
    </row>
    <row r="16" ht="14.25" spans="1:4">
      <c r="A16" s="24"/>
      <c r="B16" s="21">
        <v>2</v>
      </c>
      <c r="C16" s="14" t="s">
        <v>232</v>
      </c>
    </row>
    <row r="17" spans="1:3">
      <c r="A17" s="22">
        <v>2.1</v>
      </c>
      <c r="B17" s="19">
        <v>1</v>
      </c>
      <c r="C17" s="8" t="s">
        <v>233</v>
      </c>
    </row>
    <row r="18" ht="14.25" spans="1:3">
      <c r="A18" s="24"/>
      <c r="B18" s="21">
        <v>2</v>
      </c>
      <c r="C18" s="14" t="s">
        <v>234</v>
      </c>
    </row>
    <row r="19" spans="1:3">
      <c r="A19" s="25"/>
      <c r="B19" s="20"/>
      <c r="C19" s="20"/>
    </row>
    <row r="20" spans="1:3">
      <c r="A20" s="25"/>
      <c r="B20" s="20"/>
      <c r="C20" s="20"/>
    </row>
    <row r="21" spans="1:3">
      <c r="A21" s="25"/>
      <c r="B21" s="20"/>
      <c r="C21" s="20"/>
    </row>
    <row r="22" spans="1:3">
      <c r="A22" s="25"/>
      <c r="B22" s="20"/>
      <c r="C22" s="20"/>
    </row>
    <row r="23" spans="1:3">
      <c r="A23" s="25"/>
      <c r="B23" s="20"/>
      <c r="C23" s="20"/>
    </row>
  </sheetData>
  <mergeCells count="5">
    <mergeCell ref="A2:A4"/>
    <mergeCell ref="A10:A12"/>
    <mergeCell ref="A13:A14"/>
    <mergeCell ref="A15:A16"/>
    <mergeCell ref="A17:A1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2026-08-12T06:41:09Z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