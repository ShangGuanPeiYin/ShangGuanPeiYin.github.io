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<sst xmlns="http://schemas.openxmlformats.org/spreadsheetml/2006/main" count="7448" uniqueCount="262">
  <si>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</si>
  <si>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</si>
  <si>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</si>
  <si>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</si>
  <si>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</si>
  <si>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</si>
  <si>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</si>
  <si>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</si>
  <si>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</si>
  <si>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</si>
  <si>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</si>
  <si>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</si>
  <si>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</si>
  <si>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</si>
  <si>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</si>
  <si>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</si>
  <si>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</si>
  <si>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</si>
  <si>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</si>
  <si>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</si>
  <si>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</si>
  <si>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</si>
  <si>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</si>
  <si>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</si>
  <si>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</si>
  <si>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</si>
  <si>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</si>
  <si>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</si>
  <si>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</si>
  <si>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</si>
  <si>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</si>
  <si>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</si>
  <si>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</si>
  <si>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</si>
  <si>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</si>
  <si>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</si>
  <si>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</si>
  <si>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</si>
  <si>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</si>
  <si>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</si>
  <si>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</si>
  <si>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</si>
  <si>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</si>
  <si>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</si>
  <si>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</si>
  <si>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</si>
  <si>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</si>
  <si>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</si>
  <si>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</si>
  <si>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</si>
  <si>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</si>
  <si>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</si>
  <si>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</si>
  <si>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</si>
  <si>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</si>
  <si>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</si>
  <si>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</si>
  <si>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</si>
  <si>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</si>
  <si>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</si>
  <si>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</si>
  <si>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</si>
  <si>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</si>
  <si>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</si>
  <si>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</si>
  <si>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</si>
  <si>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</si>
  <si>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</si>
  <si>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</si>
  <si>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</si>
  <si>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</si>
  <si>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</si>
  <si>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</si>
  <si>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</si>
  <si>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</si>
  <si>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</si>
  <si>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</si>
  <si>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</si>
  <si>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</si>
  <si>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</si>
  <si>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</si>
  <si>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</si>
  <si>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</si>
  <si>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离猎(拐)</t>
  </si>
  <si>
    <t>裁云(拐)</t>
  </si>
  <si>
    <t>无惧</t>
  </si>
  <si>
    <t>鸣金</t>
  </si>
  <si>
    <t>外抗</t>
  </si>
  <si>
    <t>远程笛</t>
  </si>
  <si>
    <t>沧海帖2层</t>
  </si>
  <si>
    <t>易水歌2层</t>
  </si>
  <si>
    <t>惧刃(拐)</t>
  </si>
  <si>
    <t>扶风(拐)</t>
  </si>
  <si>
    <t>裂石</t>
  </si>
  <si>
    <t>伞</t>
  </si>
  <si>
    <t>属抗</t>
  </si>
  <si>
    <t>沧海帖3层</t>
  </si>
  <si>
    <t>易水歌3层</t>
  </si>
  <si>
    <t>烁鼓(拐)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</si>
  <si>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</si>
  <si>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</si>
  <si>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</si>
  <si>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</si>
  <si>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</si>
  <si>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</si>
  <si>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</si>
  <si>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</si>
  <si>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</si>
  <si>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</si>
  <si>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</si>
  <si>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</si>
  <si>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</si>
  <si>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</si>
  <si>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</si>
  <si>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</si>
  <si>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完美伞</t>
  </si>
  <si>
    <t>连星(8+)</t>
  </si>
  <si>
    <t>会意率</t>
  </si>
  <si>
    <t>总伤</t>
  </si>
  <si>
    <t>共鸣</t>
  </si>
  <si>
    <t>直接会心率</t>
  </si>
  <si>
    <t>幻鸣2层</t>
  </si>
  <si>
    <t>唐歌2层</t>
  </si>
  <si>
    <t>直接会意率</t>
  </si>
  <si>
    <t>ADPS</t>
  </si>
  <si>
    <t>会心伤害加成</t>
  </si>
  <si>
    <t>幻鸣4层</t>
  </si>
  <si>
    <t>唐歌4层</t>
  </si>
  <si>
    <t>会意伤害加成</t>
  </si>
  <si>
    <t>RDPS</t>
  </si>
  <si>
    <t>全武增</t>
  </si>
  <si>
    <t>团队增益</t>
  </si>
  <si>
    <t>完美伞(芳歌)</t>
  </si>
  <si>
    <t>唐歌5层</t>
  </si>
  <si>
    <t>首领增</t>
  </si>
  <si>
    <t>威</t>
  </si>
  <si>
    <t>√</t>
  </si>
  <si>
    <t>沧海帖</t>
  </si>
  <si>
    <t>毕业率</t>
  </si>
  <si>
    <t>共鸣(芳歌)</t>
  </si>
  <si>
    <t>伞增</t>
  </si>
  <si>
    <t>所恨年年</t>
  </si>
  <si>
    <t>绳镖增</t>
  </si>
  <si>
    <t>虹</t>
  </si>
  <si>
    <t>机制时间</t>
  </si>
  <si>
    <t>单体奇术增</t>
  </si>
  <si>
    <t>钧</t>
  </si>
  <si>
    <t>群体奇术增</t>
  </si>
  <si>
    <t>影</t>
  </si>
  <si>
    <t>真气比例</t>
  </si>
  <si>
    <t>回旋伞定音</t>
  </si>
  <si>
    <t>翊</t>
  </si>
  <si>
    <t>×</t>
  </si>
  <si>
    <t>第三心法</t>
  </si>
  <si>
    <t>固伤加成</t>
  </si>
  <si>
    <t>樽</t>
  </si>
  <si>
    <t>大唐歌</t>
  </si>
  <si>
    <t>食物加成</t>
  </si>
  <si>
    <t>第四心法</t>
  </si>
  <si>
    <t>易水歌</t>
  </si>
  <si>
    <t>沧海帖5层</t>
  </si>
  <si>
    <t>笛</t>
  </si>
  <si>
    <t>前置</t>
  </si>
  <si>
    <t>蓄力</t>
  </si>
  <si>
    <t>rr5</t>
  </si>
  <si>
    <t>惧</t>
  </si>
  <si>
    <t>闪避切武</t>
  </si>
  <si>
    <t>伞R蓄</t>
  </si>
  <si>
    <t>沧海帖6层</t>
  </si>
  <si>
    <t>Q</t>
  </si>
  <si>
    <t>共鸣(R蓄)</t>
  </si>
  <si>
    <t>鼓</t>
  </si>
  <si>
    <t>加速Q</t>
  </si>
  <si>
    <t>沧海帖7层</t>
  </si>
  <si>
    <t>指响</t>
  </si>
  <si>
    <t>结算</t>
  </si>
  <si>
    <t>步乱(拐)</t>
  </si>
  <si>
    <t>沧海帖8层</t>
  </si>
  <si>
    <t>沧海帖9层</t>
  </si>
  <si>
    <t>R</t>
  </si>
  <si>
    <t>切武器</t>
  </si>
  <si>
    <t>沧海帖10层</t>
  </si>
  <si>
    <t>等待</t>
  </si>
  <si>
    <t>机制</t>
  </si>
  <si>
    <t>萧呤千浪AOE</t>
  </si>
  <si>
    <t>气竭</t>
  </si>
  <si>
    <t>真气失衡</t>
  </si>
  <si>
    <t>断石5层</t>
  </si>
  <si>
    <t>气</t>
  </si>
  <si>
    <t>药叉</t>
  </si>
  <si>
    <t>Q2</t>
  </si>
  <si>
    <t>骑龙回马</t>
  </si>
  <si>
    <t>骑龙</t>
  </si>
  <si>
    <t>射箭</t>
  </si>
  <si>
    <t>衍九矢9hit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</si>
  <si>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</si>
  <si>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</si>
  <si>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</si>
  <si>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</si>
  <si>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</si>
  <si>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</si>
  <si>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</si>
  <si>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</si>
  <si>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</si>
  <si>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</si>
  <si>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</si>
  <si>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</si>
  <si>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</si>
  <si>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</si>
  <si>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</si>
  <si>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绳Q</t>
  </si>
  <si>
    <t>R蓄67</t>
  </si>
  <si>
    <t>心法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</si>
  <si>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</si>
  <si>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</si>
  <si>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</si>
  <si>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</si>
  <si>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</si>
  <si>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</si>
  <si>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</si>
  <si>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</si>
  <si>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</si>
  <si>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</si>
  <si>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</si>
  <si>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</si>
  <si>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</si>
  <si>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惊神(拐)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</si>
  <si>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</si>
  <si>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</si>
  <si>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</si>
  <si>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</si>
  <si>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</si>
  <si>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</si>
  <si>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</si>
  <si>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</si>
  <si>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</si>
  <si>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</si>
  <si>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</si>
  <si>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</si>
  <si>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</si>
  <si>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</si>
  <si>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</si>
  <si>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</si>
  <si>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</si>
  <si>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</si>
  <si>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</si>
  <si>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</si>
  <si>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</si>
  <si>
    <r>
      <rPr>
        <sz val="11"/>
        <color theme="1"/>
        <rFont val="宋体"/>
        <charset val="134"/>
        <scheme val="minor"/>
      </rPr>
      <t>轴变更为拏云蛇慢气轴,心法变更为断石之构(</t>
    </r>
    <r>
      <rPr>
        <strike/>
        <sz val="11"/>
        <color theme="1"/>
        <rFont val="宋体"/>
        <charset val="134"/>
        <scheme val="minor"/>
      </rPr>
      <t>大唐歌最严厉的父亲</t>
    </r>
    <r>
      <rPr>
        <sz val="11"/>
        <color theme="1"/>
        <rFont val="宋体"/>
        <charset val="134"/>
        <scheme val="minor"/>
      </rPr>
      <t>),+1.5%</t>
    </r>
  </si>
  <si>
    <t>保证在第三轮的第三或第四伞进气竭,这样后面才能无损</t>
  </si>
  <si>
    <t>气竭太慢就增加第一轮伞数量至多延后8秒(45秒气竭)</t>
  </si>
  <si>
    <t>二气不要强对气竭,这样会压不掉机制</t>
  </si>
  <si>
    <t>前期装备差对不上气竭的情况,伤害会掉3%左右,表可以理解为上限</t>
  </si>
  <si>
    <t>只要带了断石,打气能力只比鸣金影高10%,打不进气选择大唐歌</t>
  </si>
  <si>
    <t>增加了影的rd计算,队友dps统一调整为11万</t>
  </si>
  <si>
    <t>更新8/2先琢测试内容,+1.8%,真气比例从91%增加到99%.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</si>
  <si>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</si>
  <si>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</si>
  <si>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</si>
  <si>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</si>
  <si>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</si>
  <si>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更新杭州西版本蹊跷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</si>
</sst>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64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4" max="4" width="9.375"/>
    <col min="11" max="11" width="12.625"/>
    <col min="12" max="16" width="12.625" style="27" customWidth="1"/>
    <col min="18" max="18" width="24.625" style="31" customWidth="1"/>
    <col min="19" max="38" width="9" style="31"/>
    <col min="40" max="40" width="9.375" style="26"/>
    <col min="41" max="41" width="9" style="27"/>
    <col min="42" max="42" width="9.375" style="26"/>
    <col min="43" max="43" width="9" style="27"/>
    <col min="44" max="45" width="9" style="26"/>
    <col min="48" max="50" width="9" style="32"/>
    <col min="53" max="54" width="9" style="32"/>
    <col min="67" max="71" width="9" style="26"/>
    <col min="72" max="73" width="9.00833333333333" style="26" customWidth="1"/>
    <col min="74" max="75" width="9" style="26"/>
  </cols>
  <sheetData>
    <row r="1" spans="1:76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</row>
    <row r="2" spans="1:76">
      <c r="A2" s="42" t="s">
        <v>73</v>
      </c>
      <c r="B2" s="31">
        <v>3994.6</v>
      </c>
      <c r="C2" s="31">
        <v>3083.9</v>
      </c>
      <c r="D2" s="31">
        <v>63.5</v>
      </c>
      <c r="E2" s="43">
        <f>2.8%+IF(E24="所恨年年",2.5%,0)</f>
        <v>0.028</v>
      </c>
      <c r="F2" s="44" t="s">
        <v>74</v>
      </c>
      <c r="G2" s="45" t="s">
        <v>75</v>
      </c>
      <c r="H2" s="46" t="s">
        <v>76</v>
      </c>
      <c r="I2" s="11">
        <f>620*(1-IF(F17="√",0.06,0)-IF(D20="√",0.04,0))</f>
        <v>558</v>
      </c>
      <c r="K2">
        <f>$L2*VLOOKUP($R2,武学奇术!$A:$ZZ,31,FALSE)</f>
        <v>26183.8955547005</v>
      </c>
      <c r="L2" s="38">
        <f t="shared" ref="L2:L37" si="0">($M2*$BT2+$N2*$BR2+$O2*$BU2+$P2*$BV2)</f>
        <v>24937.043385429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</f>
        <v>26274.8873437973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</f>
        <v>22061.6279811711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</f>
        <v>14436.7512878007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</f>
        <v>12531.5559228821</v>
      </c>
      <c r="Q2" s="39">
        <v>1</v>
      </c>
      <c r="R2" s="40" t="s">
        <v>77</v>
      </c>
      <c r="S2" s="40" t="s">
        <v>78</v>
      </c>
      <c r="T2" s="40" t="s">
        <v>78</v>
      </c>
      <c r="U2" s="40" t="s">
        <v>79</v>
      </c>
      <c r="V2" s="40" t="s">
        <v>80</v>
      </c>
      <c r="W2" s="40" t="s">
        <v>81</v>
      </c>
      <c r="X2" s="40" t="s">
        <v>82</v>
      </c>
      <c r="Y2" s="40" t="s">
        <v>78</v>
      </c>
      <c r="Z2" s="40" t="s">
        <v>78</v>
      </c>
      <c r="AA2" s="40" t="s">
        <v>78</v>
      </c>
      <c r="AB2" s="40" t="s">
        <v>78</v>
      </c>
      <c r="AC2" s="40" t="s">
        <v>78</v>
      </c>
      <c r="AD2" s="40" t="s">
        <v>78</v>
      </c>
      <c r="AE2" s="40" t="s">
        <v>83</v>
      </c>
      <c r="AF2" s="40" t="s">
        <v>84</v>
      </c>
      <c r="AG2" s="40" t="s">
        <v>85</v>
      </c>
      <c r="AH2" s="40" t="s">
        <v>78</v>
      </c>
      <c r="AI2" s="40" t="s">
        <v>78</v>
      </c>
      <c r="AJ2" s="40" t="s">
        <v>78</v>
      </c>
      <c r="AK2" s="40" t="s">
        <v>78</v>
      </c>
      <c r="AL2" s="40" t="s">
        <v>78</v>
      </c>
      <c r="AM2" t="str">
        <f>VLOOKUP($R2,武学奇术!$A:$ZZ,25,FALSE)</f>
        <v>群体奇术</v>
      </c>
      <c r="AN2" s="26">
        <f>VLOOKUP($R2,武学奇术!$A:$ZZ,26,FALSE)</f>
        <v>1.4904</v>
      </c>
      <c r="AO2" s="27">
        <f>VLOOKUP($R2,武学奇术!$A:$ZZ,27,FALSE)*(1+IF(OR($AM2=$F$4,$AM2=$F$5),$B$22,0))</f>
        <v>378</v>
      </c>
      <c r="AP2" s="26">
        <f>VLOOKUP($R2,武学奇术!$A:$ZZ,28,FALSE)</f>
        <v>2.2356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0.2637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3636.6</v>
      </c>
      <c r="AU2" cm="1">
        <f t="array" ref="AU2">$E$10*(1+$AS2)+VLOOKUP($R2,武学奇术!$A:$ZZ,4,FALSE)+SUM(_xlfn.XLOOKUP($S2:$AL2,增益!$A:$A,增益!$D:$D,0))-$I$2</f>
        <v>3636.6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0.2525</v>
      </c>
      <c r="AW2" s="32" cm="1">
        <f t="array" ref="AW2">$G$10+VLOOKUP($R2,武学奇术!$A:$ZZ,7,FALSE)+SUM(_xlfn.XLOOKUP($S2:$AL2,增益!$A:$A,增益!$G:$G,0))</f>
        <v>0.028</v>
      </c>
      <c r="AX2" s="26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</v>
      </c>
      <c r="BK2">
        <f>$D$14*(1+$AX2)</f>
        <v>571.2</v>
      </c>
      <c r="BL2">
        <f>$E$14*(1+$AX2)</f>
        <v>1627.8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0.15</v>
      </c>
      <c r="BO2" s="26">
        <f>MIN(IF(VLOOKUP($R2,武学奇术!$A:$ZZ,23,FALSE)=1,100%,$B$8),100%)</f>
        <v>0.981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26" cm="1">
        <f t="array" ref="BQ2">1+$B$13+VLOOKUP($R2,武学奇术!$A:$ZZ,18,FALSE)+SUM(_xlfn.XLOOKUP($S2:$AL2,增益!$A:$A,增益!$R:$R,0))</f>
        <v>1.82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6" cm="1">
        <f t="array" ref="BS2">1+$B$14+VLOOKUP($R2,武学奇术!$A:$ZZ,20,FALSE)+SUM(_xlfn.XLOOKUP($S2:$AL2,增益!$A:$A,增益!$T:$T,0))</f>
        <v>1.35</v>
      </c>
      <c r="BT2" s="26">
        <f>MIN((1-BR2)*BO2,BO2*BP2)</f>
        <v>0.829926</v>
      </c>
      <c r="BU2" s="26">
        <f>1-BR2-BT2-BV2</f>
        <v>0.0599391</v>
      </c>
      <c r="BV2" s="26">
        <f>IF(VLOOKUP($R2,武学奇术!$A:$ZZ,22,FALSE)=1,0,(1-$BO2))*(1-$BR2)</f>
        <v>0.0172349</v>
      </c>
      <c r="BW2" s="26" cm="1">
        <f t="array" ref="BW2">SUM(_xlfn.XLOOKUP($S2:$AL2,增益!$A:$A,增益!$W:$W,0))+$I$5</f>
        <v>0.11</v>
      </c>
      <c r="BX2" s="26" cm="1">
        <f t="array" ref="BX2">SUM(_xlfn.XLOOKUP($S2:$AL2,增益!$A:$A,增益!$X:$X,0))</f>
        <v>0</v>
      </c>
    </row>
    <row r="3" spans="1:76">
      <c r="A3" s="47" t="s">
        <v>86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0.1837</v>
      </c>
      <c r="H3" s="46" t="s">
        <v>87</v>
      </c>
      <c r="I3" s="11">
        <f>25-IF(F17="√",10,0)</f>
        <v>15</v>
      </c>
      <c r="K3">
        <f>$L3*VLOOKUP($R3,武学奇术!$A:$ZZ,31,FALSE)</f>
        <v>31118.6969951992</v>
      </c>
      <c r="L3" s="38">
        <f t="shared" si="0"/>
        <v>29636.8542811421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</f>
        <v>31235.2177191648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</f>
        <v>26237.7929627438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</f>
        <v>17068.4249831502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</f>
        <v>14701.4477716753</v>
      </c>
      <c r="Q3" s="39">
        <v>1</v>
      </c>
      <c r="R3" s="40" t="s">
        <v>77</v>
      </c>
      <c r="S3" s="40" t="s">
        <v>78</v>
      </c>
      <c r="T3" s="40" t="s">
        <v>78</v>
      </c>
      <c r="U3" s="40" t="s">
        <v>79</v>
      </c>
      <c r="V3" s="40" t="s">
        <v>88</v>
      </c>
      <c r="W3" s="40" t="s">
        <v>89</v>
      </c>
      <c r="X3" s="40" t="s">
        <v>90</v>
      </c>
      <c r="Y3" s="40" t="s">
        <v>91</v>
      </c>
      <c r="Z3" s="40" t="s">
        <v>78</v>
      </c>
      <c r="AA3" s="40" t="s">
        <v>78</v>
      </c>
      <c r="AB3" s="40" t="s">
        <v>78</v>
      </c>
      <c r="AC3" s="40" t="s">
        <v>92</v>
      </c>
      <c r="AD3" s="40" t="s">
        <v>78</v>
      </c>
      <c r="AE3" s="40" t="s">
        <v>83</v>
      </c>
      <c r="AF3" s="40" t="s">
        <v>84</v>
      </c>
      <c r="AG3" s="40" t="s">
        <v>85</v>
      </c>
      <c r="AH3" s="40" t="s">
        <v>78</v>
      </c>
      <c r="AI3" s="40" t="s">
        <v>78</v>
      </c>
      <c r="AJ3" s="40" t="s">
        <v>78</v>
      </c>
      <c r="AK3" s="40" t="s">
        <v>78</v>
      </c>
      <c r="AL3" s="40" t="s">
        <v>78</v>
      </c>
      <c r="AM3" t="str">
        <f>VLOOKUP($R3,武学奇术!$A:$ZZ,25,FALSE)</f>
        <v>群体奇术</v>
      </c>
      <c r="AN3" s="26">
        <f>VLOOKUP($R3,武学奇术!$A:$ZZ,26,FALSE)</f>
        <v>1.4904</v>
      </c>
      <c r="AO3" s="27">
        <f>VLOOKUP($R3,武学奇术!$A:$ZZ,27,FALSE)*(1+IF(OR($AM3=$F$4,$AM3=$F$5),$B$22,0))</f>
        <v>378</v>
      </c>
      <c r="AP3" s="26">
        <f>VLOOKUP($R3,武学奇术!$A:$ZZ,28,FALSE)</f>
        <v>2.2356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0.4537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3636.6</v>
      </c>
      <c r="AU3" cm="1">
        <f t="array" ref="AU3">$E$10*(1+$AS3)+VLOOKUP($R3,武学奇术!$A:$ZZ,4,FALSE)+SUM(_xlfn.XLOOKUP($S3:$AL3,增益!$A:$A,增益!$D:$D,0))-$I$2</f>
        <v>3636.6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0.2625</v>
      </c>
      <c r="AW3" s="32" cm="1">
        <f t="array" ref="AW3">$G$10+VLOOKUP($R3,武学奇术!$A:$ZZ,7,FALSE)+SUM(_xlfn.XLOOKUP($S3:$AL3,增益!$A:$A,增益!$G:$G,0))</f>
        <v>0.028</v>
      </c>
      <c r="AX3" s="26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2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2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2" cm="1">
        <f t="array" ref="BJ3">$G$13+VLOOKUP($R3,武学奇术!$A:$ZZ,14,FALSE)+SUM(_xlfn.XLOOKUP($S3:$AL3,增益!$A:$A,增益!$N:$N,0))</f>
        <v>0</v>
      </c>
      <c r="BK3">
        <f t="shared" ref="BK3:BK34" si="7">$D$14*(1+$AX3)</f>
        <v>571.2</v>
      </c>
      <c r="BL3">
        <f t="shared" ref="BL3:BL34" si="8">$E$14*(1+$AX3)</f>
        <v>1627.8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2" cm="1">
        <f t="array" ref="BN3">$G$14+VLOOKUP($R3,武学奇术!$A:$ZZ,16,FALSE)+SUM(_xlfn.XLOOKUP($S3:$AL3,增益!$A:$A,增益!$P:$P,0))</f>
        <v>0.15</v>
      </c>
      <c r="BO3" s="26">
        <f>MIN(IF(VLOOKUP($R3,武学奇术!$A:$ZZ,23,FALSE)=1,100%,$B$8),100%)</f>
        <v>0.981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26" cm="1">
        <f t="array" ref="BQ3">1+$B$13+VLOOKUP($R3,武学奇术!$A:$ZZ,18,FALSE)+SUM(_xlfn.XLOOKUP($S3:$AL3,增益!$A:$A,增益!$R:$R,0))</f>
        <v>1.83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6" cm="1">
        <f t="array" ref="BS3">1+$B$14+VLOOKUP($R3,武学奇术!$A:$ZZ,20,FALSE)+SUM(_xlfn.XLOOKUP($S3:$AL3,增益!$A:$A,增益!$T:$T,0))</f>
        <v>1.35</v>
      </c>
      <c r="BT3" s="26">
        <f t="shared" ref="BT3:BT34" si="9">MIN((1-BR3)*BO3,BO3*BP3)</f>
        <v>0.829926</v>
      </c>
      <c r="BU3" s="26">
        <f t="shared" ref="BU3:BU34" si="10">1-BR3-BT3-BV3</f>
        <v>0.0599391</v>
      </c>
      <c r="BV3" s="26">
        <f>IF(VLOOKUP($R3,武学奇术!$A:$ZZ,22,FALSE)=1,0,(1-$BO3))*(1-$BR3)</f>
        <v>0.0172349</v>
      </c>
      <c r="BW3" s="26" cm="1">
        <f t="array" ref="BW3">SUM(_xlfn.XLOOKUP($S3:$AL3,增益!$A:$A,增益!$W:$W,0))+$I$5</f>
        <v>0.11</v>
      </c>
      <c r="BX3" s="26" cm="1">
        <f t="array" ref="BX3">SUM(_xlfn.XLOOKUP($S3:$AL3,增益!$A:$A,增益!$X:$X,0))</f>
        <v>0</v>
      </c>
    </row>
    <row r="4" ht="14.25" spans="1:76">
      <c r="A4" s="51" t="s">
        <v>93</v>
      </c>
      <c r="B4" s="52"/>
      <c r="C4" s="52"/>
      <c r="D4" s="52"/>
      <c r="E4" s="53"/>
      <c r="F4" s="46" t="s">
        <v>94</v>
      </c>
      <c r="G4" s="50">
        <f>B15+B17</f>
        <v>0.1704</v>
      </c>
      <c r="H4" s="54" t="s">
        <v>95</v>
      </c>
      <c r="I4" s="14">
        <f>30</f>
        <v>30</v>
      </c>
      <c r="K4">
        <f>$L4*VLOOKUP($R4,武学奇术!$A:$ZZ,31,FALSE)</f>
        <v>31658.3945054503</v>
      </c>
      <c r="L4" s="38">
        <f t="shared" si="0"/>
        <v>30150.8519099527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</f>
        <v>31800.1249220334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</f>
        <v>26549.0139132395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</f>
        <v>17282.6765880616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</f>
        <v>14899.416944094</v>
      </c>
      <c r="Q4" s="39">
        <v>1</v>
      </c>
      <c r="R4" s="40" t="s">
        <v>77</v>
      </c>
      <c r="S4" s="40" t="s">
        <v>78</v>
      </c>
      <c r="T4" s="40" t="s">
        <v>78</v>
      </c>
      <c r="U4" s="40" t="s">
        <v>79</v>
      </c>
      <c r="V4" s="40" t="s">
        <v>88</v>
      </c>
      <c r="W4" s="40" t="s">
        <v>96</v>
      </c>
      <c r="X4" s="40" t="s">
        <v>97</v>
      </c>
      <c r="Y4" s="40" t="s">
        <v>91</v>
      </c>
      <c r="Z4" s="40" t="s">
        <v>78</v>
      </c>
      <c r="AA4" s="40" t="s">
        <v>78</v>
      </c>
      <c r="AB4" s="40" t="s">
        <v>78</v>
      </c>
      <c r="AC4" s="40" t="s">
        <v>98</v>
      </c>
      <c r="AD4" s="40" t="s">
        <v>78</v>
      </c>
      <c r="AE4" s="40" t="s">
        <v>83</v>
      </c>
      <c r="AF4" s="40" t="s">
        <v>84</v>
      </c>
      <c r="AG4" s="40" t="s">
        <v>85</v>
      </c>
      <c r="AH4" s="40" t="s">
        <v>78</v>
      </c>
      <c r="AI4" s="40" t="s">
        <v>78</v>
      </c>
      <c r="AJ4" s="40" t="s">
        <v>78</v>
      </c>
      <c r="AK4" s="40" t="s">
        <v>78</v>
      </c>
      <c r="AL4" s="40" t="s">
        <v>78</v>
      </c>
      <c r="AM4" t="str">
        <f>VLOOKUP($R4,武学奇术!$A:$ZZ,25,FALSE)</f>
        <v>群体奇术</v>
      </c>
      <c r="AN4" s="26">
        <f>VLOOKUP($R4,武学奇术!$A:$ZZ,26,FALSE)</f>
        <v>1.4904</v>
      </c>
      <c r="AO4" s="27">
        <f>VLOOKUP($R4,武学奇术!$A:$ZZ,27,FALSE)*(1+IF(OR($AM4=$F$4,$AM4=$F$5),$B$22,0))</f>
        <v>378</v>
      </c>
      <c r="AP4" s="26">
        <f>VLOOKUP($R4,武学奇术!$A:$ZZ,28,FALSE)</f>
        <v>2.2356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0.4637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3636.6</v>
      </c>
      <c r="AU4" cm="1">
        <f t="array" ref="AU4">$E$10*(1+$AS4)+VLOOKUP($R4,武学奇术!$A:$ZZ,4,FALSE)+SUM(_xlfn.XLOOKUP($S4:$AL4,增益!$A:$A,增益!$D:$D,0))-$I$2</f>
        <v>3636.6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0.2725</v>
      </c>
      <c r="AW4" s="32" cm="1">
        <f t="array" ref="AW4">$G$10+VLOOKUP($R4,武学奇术!$A:$ZZ,7,FALSE)+SUM(_xlfn.XLOOKUP($S4:$AL4,增益!$A:$A,增益!$G:$G,0))</f>
        <v>0.028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2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2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2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2" cm="1">
        <f t="array" ref="BN4">$G$14+VLOOKUP($R4,武学奇术!$A:$ZZ,16,FALSE)+SUM(_xlfn.XLOOKUP($S4:$AL4,增益!$A:$A,增益!$P:$P,0))</f>
        <v>0.15</v>
      </c>
      <c r="BO4" s="26">
        <f>MIN(IF(VLOOKUP($R4,武学奇术!$A:$ZZ,23,FALSE)=1,100%,$B$8),100%)</f>
        <v>0.981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26" cm="1">
        <f t="array" ref="BQ4">1+$B$13+VLOOKUP($R4,武学奇术!$A:$ZZ,18,FALSE)+SUM(_xlfn.XLOOKUP($S4:$AL4,增益!$A:$A,增益!$R:$R,0))</f>
        <v>1.84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0.829926</v>
      </c>
      <c r="BU4" s="26">
        <f t="shared" si="10"/>
        <v>0.0599391</v>
      </c>
      <c r="BV4" s="26">
        <f>IF(VLOOKUP($R4,武学奇术!$A:$ZZ,22,FALSE)=1,0,(1-$BO4))*(1-$BR4)</f>
        <v>0.0172349</v>
      </c>
      <c r="BW4" s="26" cm="1">
        <f t="array" ref="BW4">SUM(_xlfn.XLOOKUP($S4:$AL4,增益!$A:$A,增益!$W:$W,0))+$I$5</f>
        <v>0.11</v>
      </c>
      <c r="BX4" s="26" cm="1">
        <f t="array" ref="BX4">SUM(_xlfn.XLOOKUP($S4:$AL4,增益!$A:$A,增益!$X:$X,0))</f>
        <v>0</v>
      </c>
    </row>
    <row r="5" spans="1:76">
      <c r="A5" s="55" t="s">
        <v>99</v>
      </c>
      <c r="B5" s="56"/>
      <c r="C5" s="56"/>
      <c r="D5" s="56"/>
      <c r="E5" s="57"/>
      <c r="F5" s="46" t="s">
        <v>100</v>
      </c>
      <c r="G5" s="50">
        <f>B15+B18</f>
        <v>0.0852</v>
      </c>
      <c r="H5" t="s">
        <v>101</v>
      </c>
      <c r="I5" s="28">
        <v>0.06</v>
      </c>
      <c r="K5">
        <f>$L5*VLOOKUP($R5,武学奇术!$A:$ZZ,31,FALSE)</f>
        <v>33093.8506913123</v>
      </c>
      <c r="L5" s="38">
        <f t="shared" si="0"/>
        <v>31517.9530393451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</f>
        <v>33273.6357489282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</f>
        <v>27520.1430254124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</f>
        <v>17985.7490534747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</f>
        <v>15586.2069770143</v>
      </c>
      <c r="Q5" s="39">
        <v>1</v>
      </c>
      <c r="R5" s="40" t="s">
        <v>77</v>
      </c>
      <c r="S5" s="40" t="s">
        <v>78</v>
      </c>
      <c r="T5" s="40" t="s">
        <v>102</v>
      </c>
      <c r="U5" s="40" t="s">
        <v>79</v>
      </c>
      <c r="V5" s="40" t="s">
        <v>88</v>
      </c>
      <c r="W5" s="40" t="s">
        <v>103</v>
      </c>
      <c r="X5" s="40" t="s">
        <v>104</v>
      </c>
      <c r="Y5" s="40" t="s">
        <v>91</v>
      </c>
      <c r="Z5" s="40" t="s">
        <v>78</v>
      </c>
      <c r="AA5" s="40" t="s">
        <v>78</v>
      </c>
      <c r="AB5" s="40" t="s">
        <v>78</v>
      </c>
      <c r="AC5" s="40" t="s">
        <v>98</v>
      </c>
      <c r="AD5" s="40" t="s">
        <v>78</v>
      </c>
      <c r="AE5" s="40" t="s">
        <v>83</v>
      </c>
      <c r="AF5" s="40" t="s">
        <v>84</v>
      </c>
      <c r="AG5" s="40" t="s">
        <v>85</v>
      </c>
      <c r="AH5" s="40" t="s">
        <v>78</v>
      </c>
      <c r="AI5" s="40" t="s">
        <v>78</v>
      </c>
      <c r="AJ5" s="40" t="s">
        <v>78</v>
      </c>
      <c r="AK5" s="40" t="s">
        <v>78</v>
      </c>
      <c r="AL5" s="40" t="s">
        <v>78</v>
      </c>
      <c r="AM5" t="str">
        <f>VLOOKUP($R5,武学奇术!$A:$ZZ,25,FALSE)</f>
        <v>群体奇术</v>
      </c>
      <c r="AN5" s="26">
        <f>VLOOKUP($R5,武学奇术!$A:$ZZ,26,FALSE)</f>
        <v>1.4904</v>
      </c>
      <c r="AO5" s="27">
        <f>VLOOKUP($R5,武学奇术!$A:$ZZ,27,FALSE)*(1+IF(OR($AM5=$F$4,$AM5=$F$5),$B$22,0))</f>
        <v>378</v>
      </c>
      <c r="AP5" s="26">
        <f>VLOOKUP($R5,武学奇术!$A:$ZZ,28,FALSE)</f>
        <v>2.2356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0.4737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3636.6</v>
      </c>
      <c r="AU5" cm="1">
        <f t="array" ref="AU5">$E$10*(1+$AS5)+VLOOKUP($R5,武学奇术!$A:$ZZ,4,FALSE)+SUM(_xlfn.XLOOKUP($S5:$AL5,增益!$A:$A,增益!$D:$D,0))-$I$2</f>
        <v>3636.6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0.3325</v>
      </c>
      <c r="AW5" s="32" cm="1">
        <f t="array" ref="AW5">$G$10+VLOOKUP($R5,武学奇术!$A:$ZZ,7,FALSE)+SUM(_xlfn.XLOOKUP($S5:$AL5,增益!$A:$A,增益!$G:$G,0))</f>
        <v>0.028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2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2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2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2" cm="1">
        <f t="array" ref="BN5">$G$14+VLOOKUP($R5,武学奇术!$A:$ZZ,16,FALSE)+SUM(_xlfn.XLOOKUP($S5:$AL5,增益!$A:$A,增益!$P:$P,0))</f>
        <v>0.15</v>
      </c>
      <c r="BO5" s="26">
        <f>MIN(IF(VLOOKUP($R5,武学奇术!$A:$ZZ,23,FALSE)=1,100%,$B$8),100%)</f>
        <v>0.981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26" cm="1">
        <f t="array" ref="BQ5">1+$B$13+VLOOKUP($R5,武学奇术!$A:$ZZ,18,FALSE)+SUM(_xlfn.XLOOKUP($S5:$AL5,增益!$A:$A,增益!$R:$R,0))</f>
        <v>1.85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0.829926</v>
      </c>
      <c r="BU5" s="26">
        <f t="shared" si="10"/>
        <v>0.0599391</v>
      </c>
      <c r="BV5" s="26">
        <f>IF(VLOOKUP($R5,武学奇术!$A:$ZZ,22,FALSE)=1,0,(1-$BO5))*(1-$BR5)</f>
        <v>0.0172349</v>
      </c>
      <c r="BW5" s="26" cm="1">
        <f t="array" ref="BW5">SUM(_xlfn.XLOOKUP($S5:$AL5,增益!$A:$A,增益!$W:$W,0))+$I$5</f>
        <v>0.11</v>
      </c>
      <c r="BX5" s="26" cm="1">
        <f t="array" ref="BX5">SUM(_xlfn.XLOOKUP($S5:$AL5,增益!$A:$A,增益!$X:$X,0))</f>
        <v>0</v>
      </c>
    </row>
    <row r="6" spans="1:76">
      <c r="A6" s="58" t="s">
        <v>5</v>
      </c>
      <c r="B6" s="59">
        <v>492</v>
      </c>
      <c r="C6" s="59">
        <v>1397.8</v>
      </c>
      <c r="D6" s="59">
        <v>30</v>
      </c>
      <c r="E6" s="60">
        <v>0.15</v>
      </c>
      <c r="F6" s="46" t="s">
        <v>105</v>
      </c>
      <c r="G6" s="50">
        <f>B19</f>
        <v>0</v>
      </c>
      <c r="K6">
        <f>$L6*VLOOKUP($R6,武学奇术!$A:$ZZ,31,FALSE)</f>
        <v>33497.5430102335</v>
      </c>
      <c r="L6" s="38">
        <f t="shared" si="0"/>
        <v>31902.4219145081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</f>
        <v>33681.0168061951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</f>
        <v>27839.402378094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</f>
        <v>18205.9550303757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</f>
        <v>15790.1305214226</v>
      </c>
      <c r="Q6" s="39">
        <v>1</v>
      </c>
      <c r="R6" s="40" t="s">
        <v>77</v>
      </c>
      <c r="S6" s="40" t="s">
        <v>78</v>
      </c>
      <c r="T6" s="40" t="s">
        <v>102</v>
      </c>
      <c r="U6" s="40" t="s">
        <v>79</v>
      </c>
      <c r="V6" s="40" t="s">
        <v>88</v>
      </c>
      <c r="W6" s="40" t="s">
        <v>103</v>
      </c>
      <c r="X6" s="40" t="s">
        <v>106</v>
      </c>
      <c r="Y6" s="40" t="s">
        <v>91</v>
      </c>
      <c r="Z6" s="40" t="s">
        <v>78</v>
      </c>
      <c r="AA6" s="40" t="s">
        <v>78</v>
      </c>
      <c r="AB6" s="40" t="s">
        <v>78</v>
      </c>
      <c r="AC6" s="40" t="s">
        <v>92</v>
      </c>
      <c r="AD6" s="40" t="s">
        <v>78</v>
      </c>
      <c r="AE6" s="40" t="s">
        <v>83</v>
      </c>
      <c r="AF6" s="40" t="s">
        <v>84</v>
      </c>
      <c r="AG6" s="40" t="s">
        <v>85</v>
      </c>
      <c r="AH6" s="40" t="s">
        <v>78</v>
      </c>
      <c r="AI6" s="40" t="s">
        <v>78</v>
      </c>
      <c r="AJ6" s="40" t="s">
        <v>78</v>
      </c>
      <c r="AK6" s="40" t="s">
        <v>78</v>
      </c>
      <c r="AL6" s="40" t="s">
        <v>78</v>
      </c>
      <c r="AM6" t="str">
        <f>VLOOKUP($R6,武学奇术!$A:$ZZ,25,FALSE)</f>
        <v>群体奇术</v>
      </c>
      <c r="AN6" s="26">
        <f>VLOOKUP($R6,武学奇术!$A:$ZZ,26,FALSE)</f>
        <v>1.4904</v>
      </c>
      <c r="AO6" s="27">
        <f>VLOOKUP($R6,武学奇术!$A:$ZZ,27,FALSE)*(1+IF(OR($AM6=$F$4,$AM6=$F$5),$B$22,0))</f>
        <v>378</v>
      </c>
      <c r="AP6" s="26">
        <f>VLOOKUP($R6,武学奇术!$A:$ZZ,28,FALSE)</f>
        <v>2.2356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0.4837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3636.6</v>
      </c>
      <c r="AU6" cm="1">
        <f t="array" ref="AU6">$E$10*(1+$AS6)+VLOOKUP($R6,武学奇术!$A:$ZZ,4,FALSE)+SUM(_xlfn.XLOOKUP($S6:$AL6,增益!$A:$A,增益!$D:$D,0))-$I$2</f>
        <v>3636.6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0.3425</v>
      </c>
      <c r="AW6" s="32" cm="1">
        <f t="array" ref="AW6">$G$10+VLOOKUP($R6,武学奇术!$A:$ZZ,7,FALSE)+SUM(_xlfn.XLOOKUP($S6:$AL6,增益!$A:$A,增益!$G:$G,0))</f>
        <v>0.028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2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2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2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2" cm="1">
        <f t="array" ref="BN6">$G$14+VLOOKUP($R6,武学奇术!$A:$ZZ,16,FALSE)+SUM(_xlfn.XLOOKUP($S6:$AL6,增益!$A:$A,增益!$P:$P,0))</f>
        <v>0.15</v>
      </c>
      <c r="BO6" s="26">
        <f>MIN(IF(VLOOKUP($R6,武学奇术!$A:$ZZ,23,FALSE)=1,100%,$B$8),100%)</f>
        <v>0.981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26" cm="1">
        <f t="array" ref="BQ6">1+$B$13+VLOOKUP($R6,武学奇术!$A:$ZZ,18,FALSE)+SUM(_xlfn.XLOOKUP($S6:$AL6,增益!$A:$A,增益!$R:$R,0))</f>
        <v>1.85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0.829926</v>
      </c>
      <c r="BU6" s="26">
        <f t="shared" si="10"/>
        <v>0.0599391</v>
      </c>
      <c r="BV6" s="26">
        <f>IF(VLOOKUP($R6,武学奇术!$A:$ZZ,22,FALSE)=1,0,(1-$BO6))*(1-$BR6)</f>
        <v>0.0172349</v>
      </c>
      <c r="BW6" s="26" cm="1">
        <f t="array" ref="BW6">SUM(_xlfn.XLOOKUP($S6:$AL6,增益!$A:$A,增益!$W:$W,0))+$I$5</f>
        <v>0.11</v>
      </c>
      <c r="BX6" s="26" cm="1">
        <f t="array" ref="BX6">SUM(_xlfn.XLOOKUP($S6:$AL6,增益!$A:$A,增益!$X:$X,0))</f>
        <v>0</v>
      </c>
    </row>
    <row r="7" ht="14.25" spans="1:76">
      <c r="A7" s="85" t="s">
        <v>107</v>
      </c>
      <c r="B7" s="61">
        <v>79.2</v>
      </c>
      <c r="C7" s="61">
        <f>92.4+68.8*2</f>
        <v>230</v>
      </c>
      <c r="D7" s="62"/>
      <c r="E7" s="63"/>
      <c r="F7" s="54" t="s">
        <v>108</v>
      </c>
      <c r="G7" s="64">
        <f>B20</f>
        <v>0</v>
      </c>
      <c r="K7">
        <f>$L7*VLOOKUP($R7,武学奇术!$A:$ZZ,31,FALSE)</f>
        <v>19446.4343828769</v>
      </c>
      <c r="L7" s="38">
        <f t="shared" si="0"/>
        <v>18520.413697978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</f>
        <v>19110.87375274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</f>
        <v>18666.1112178971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</f>
        <v>12329.5959695096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</f>
        <v>10832.4428887252</v>
      </c>
      <c r="Q7" s="39">
        <v>1</v>
      </c>
      <c r="R7" s="40" t="s">
        <v>109</v>
      </c>
      <c r="S7" s="40" t="s">
        <v>78</v>
      </c>
      <c r="T7" s="40" t="s">
        <v>78</v>
      </c>
      <c r="U7" s="40" t="s">
        <v>78</v>
      </c>
      <c r="V7" s="40" t="s">
        <v>78</v>
      </c>
      <c r="W7" s="40" t="s">
        <v>81</v>
      </c>
      <c r="X7" s="40" t="s">
        <v>82</v>
      </c>
      <c r="Y7" s="40" t="s">
        <v>78</v>
      </c>
      <c r="Z7" s="40" t="s">
        <v>78</v>
      </c>
      <c r="AA7" s="40" t="s">
        <v>78</v>
      </c>
      <c r="AB7" s="40" t="s">
        <v>78</v>
      </c>
      <c r="AC7" s="40" t="s">
        <v>78</v>
      </c>
      <c r="AD7" s="40" t="s">
        <v>78</v>
      </c>
      <c r="AE7" s="40" t="s">
        <v>83</v>
      </c>
      <c r="AF7" s="40" t="s">
        <v>84</v>
      </c>
      <c r="AG7" s="40" t="s">
        <v>85</v>
      </c>
      <c r="AH7" s="40" t="s">
        <v>78</v>
      </c>
      <c r="AI7" s="40" t="s">
        <v>78</v>
      </c>
      <c r="AJ7" s="40" t="s">
        <v>78</v>
      </c>
      <c r="AK7" s="40" t="s">
        <v>78</v>
      </c>
      <c r="AL7" s="40" t="s">
        <v>78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463.5</v>
      </c>
      <c r="AP7" s="26">
        <f>VLOOKUP($R7,武学奇术!$A:$ZZ,28,FALSE)</f>
        <v>1.6706</v>
      </c>
      <c r="AQ7" s="27">
        <f>VLOOKUP($R7,武学奇术!$A:$ZZ,29,FALSE)*(1+IF(OR($AM7=$F$4,$AM7=$F$5),$B$22,0))</f>
        <v>252</v>
      </c>
      <c r="AR7" s="26" cm="1">
        <f t="array" ref="AR7">$G$3+IFERROR(VLOOKUP($AM7,$F$4:$G$7,2,FALSE),0)+VLOOKUP($R7,武学奇术!$A:$ZZ,2,FALSE)+SUM(_xlfn.XLOOKUP($S7:$AL7,增益!$A:$A,增益!$B:$B,0))</f>
        <v>0.3289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3636.6</v>
      </c>
      <c r="AU7" cm="1">
        <f t="array" ref="AU7">$E$10*(1+$AS7)+VLOOKUP($R7,武学奇术!$A:$ZZ,4,FALSE)+SUM(_xlfn.XLOOKUP($S7:$AL7,增益!$A:$A,增益!$D:$D,0))-$I$2</f>
        <v>3636.6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0.2525</v>
      </c>
      <c r="AW7" s="32" cm="1">
        <f t="array" ref="AW7">$G$10+VLOOKUP($R7,武学奇术!$A:$ZZ,7,FALSE)+SUM(_xlfn.XLOOKUP($S7:$AL7,增益!$A:$A,增益!$G:$G,0))</f>
        <v>0.028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0.15</v>
      </c>
      <c r="BO7" s="26">
        <f>MIN(IF(VLOOKUP($R7,武学奇术!$A:$ZZ,23,FALSE)=1,100%,$B$8),100%)</f>
        <v>0.981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26" cm="1">
        <f t="array" ref="BQ7">1+$B$13+VLOOKUP($R7,武学奇术!$A:$ZZ,18,FALSE)+SUM(_xlfn.XLOOKUP($S7:$AL7,增益!$A:$A,增益!$R:$R,0))</f>
        <v>1.55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0.829926</v>
      </c>
      <c r="BU7" s="26">
        <f t="shared" si="10"/>
        <v>0.0599391</v>
      </c>
      <c r="BV7" s="26">
        <f>IF(VLOOKUP($R7,武学奇术!$A:$ZZ,22,FALSE)=1,0,(1-$BO7))*(1-$BR7)</f>
        <v>0.0172349</v>
      </c>
      <c r="BW7" s="26" cm="1">
        <f t="array" ref="BW7">SUM(_xlfn.XLOOKUP($S7:$AL7,增益!$A:$A,增益!$W:$W,0))+$I$5</f>
        <v>0.11</v>
      </c>
      <c r="BX7" s="26" cm="1">
        <f t="array" ref="BX7">SUM(_xlfn.XLOOKUP($S7:$AL7,增益!$A:$A,增益!$X:$X,0))</f>
        <v>0</v>
      </c>
    </row>
    <row r="8" spans="1:76">
      <c r="A8" s="65" t="s">
        <v>110</v>
      </c>
      <c r="B8" s="66">
        <v>0.981</v>
      </c>
      <c r="C8" s="36" t="s">
        <v>111</v>
      </c>
      <c r="D8" s="67"/>
      <c r="E8" s="67"/>
      <c r="F8" s="67"/>
      <c r="G8" s="37"/>
      <c r="H8" s="68" t="s">
        <v>112</v>
      </c>
      <c r="I8" s="18">
        <v>101</v>
      </c>
      <c r="J8" s="69"/>
      <c r="K8">
        <f>$L8*VLOOKUP($R8,武学奇术!$A:$ZZ,31,FALSE)</f>
        <v>14563.2992773838</v>
      </c>
      <c r="L8" s="38">
        <f t="shared" si="0"/>
        <v>13869.8088356036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</f>
        <v>14305.2733948347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</f>
        <v>14053.7025544271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</f>
        <v>9229.20864182884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</f>
        <v>8048.26724334131</v>
      </c>
      <c r="Q8" s="39">
        <v>1</v>
      </c>
      <c r="R8" s="40" t="s">
        <v>113</v>
      </c>
      <c r="S8" s="40" t="s">
        <v>78</v>
      </c>
      <c r="T8" s="40" t="s">
        <v>78</v>
      </c>
      <c r="U8" s="40" t="s">
        <v>78</v>
      </c>
      <c r="V8" s="40" t="s">
        <v>78</v>
      </c>
      <c r="W8" s="40" t="s">
        <v>81</v>
      </c>
      <c r="X8" s="40" t="s">
        <v>82</v>
      </c>
      <c r="Y8" s="40" t="s">
        <v>91</v>
      </c>
      <c r="Z8" s="40" t="s">
        <v>78</v>
      </c>
      <c r="AA8" s="40" t="s">
        <v>78</v>
      </c>
      <c r="AB8" s="40" t="s">
        <v>78</v>
      </c>
      <c r="AC8" s="40" t="s">
        <v>92</v>
      </c>
      <c r="AD8" s="40" t="s">
        <v>78</v>
      </c>
      <c r="AE8" s="40" t="s">
        <v>83</v>
      </c>
      <c r="AF8" s="40" t="s">
        <v>84</v>
      </c>
      <c r="AG8" s="40" t="s">
        <v>85</v>
      </c>
      <c r="AH8" s="40" t="s">
        <v>78</v>
      </c>
      <c r="AI8" s="40" t="s">
        <v>78</v>
      </c>
      <c r="AJ8" s="40" t="s">
        <v>78</v>
      </c>
      <c r="AK8" s="40" t="s">
        <v>78</v>
      </c>
      <c r="AL8" s="40" t="s">
        <v>78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327</v>
      </c>
      <c r="AP8" s="26">
        <f>VLOOKUP($R8,武学奇术!$A:$ZZ,28,FALSE)</f>
        <v>1.1759</v>
      </c>
      <c r="AQ8" s="27">
        <f>VLOOKUP($R8,武学奇术!$A:$ZZ,29,FALSE)*(1+IF(OR($AM8=$F$4,$AM8=$F$5),$B$22,0))</f>
        <v>178.5</v>
      </c>
      <c r="AR8" s="26" cm="1">
        <f t="array" ref="AR8">$G$3+IFERROR(VLOOKUP($AM8,$F$4:$G$7,2,FALSE),0)+VLOOKUP($R8,武学奇术!$A:$ZZ,2,FALSE)+SUM(_xlfn.XLOOKUP($S8:$AL8,增益!$A:$A,增益!$B:$B,0))</f>
        <v>0.3789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3636.6</v>
      </c>
      <c r="AU8" cm="1">
        <f t="array" ref="AU8">$E$10*(1+$AS8)+VLOOKUP($R8,武学奇术!$A:$ZZ,4,FALSE)+SUM(_xlfn.XLOOKUP($S8:$AL8,增益!$A:$A,增益!$D:$D,0))-$I$2</f>
        <v>3636.6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0.2525</v>
      </c>
      <c r="AW8" s="32" cm="1">
        <f t="array" ref="AW8">$G$10+VLOOKUP($R8,武学奇术!$A:$ZZ,7,FALSE)+SUM(_xlfn.XLOOKUP($S8:$AL8,增益!$A:$A,增益!$G:$G,0))</f>
        <v>0.028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-0.14</v>
      </c>
      <c r="BB8" s="32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-0.14</v>
      </c>
      <c r="BF8" s="32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-0.14</v>
      </c>
      <c r="BJ8" s="32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0.08</v>
      </c>
      <c r="BN8" s="32" cm="1">
        <f t="array" ref="BN8">$G$14+VLOOKUP($R8,武学奇术!$A:$ZZ,16,FALSE)+SUM(_xlfn.XLOOKUP($S8:$AL8,增益!$A:$A,增益!$P:$P,0))</f>
        <v>0.15</v>
      </c>
      <c r="BO8" s="26">
        <f>MIN(IF(VLOOKUP($R8,武学奇术!$A:$ZZ,23,FALSE)=1,100%,$B$8),100%)</f>
        <v>0.981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26" cm="1">
        <f t="array" ref="BQ8">1+$B$13+VLOOKUP($R8,武学奇术!$A:$ZZ,18,FALSE)+SUM(_xlfn.XLOOKUP($S8:$AL8,增益!$A:$A,增益!$R:$R,0))</f>
        <v>1.55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0.829926</v>
      </c>
      <c r="BU8" s="26">
        <f t="shared" si="10"/>
        <v>0.0599391</v>
      </c>
      <c r="BV8" s="26">
        <f>IF(VLOOKUP($R8,武学奇术!$A:$ZZ,22,FALSE)=1,0,(1-$BO8))*(1-$BR8)</f>
        <v>0.0172349</v>
      </c>
      <c r="BW8" s="26" cm="1">
        <f t="array" ref="BW8">SUM(_xlfn.XLOOKUP($S8:$AL8,增益!$A:$A,增益!$W:$W,0))+$I$5</f>
        <v>0.11</v>
      </c>
      <c r="BX8" s="26" cm="1">
        <f t="array" ref="BX8">SUM(_xlfn.XLOOKUP($S8:$AL8,增益!$A:$A,增益!$X:$X,0))</f>
        <v>0</v>
      </c>
    </row>
    <row r="9" ht="14.25" spans="1:76">
      <c r="A9" s="42" t="s">
        <v>114</v>
      </c>
      <c r="B9" s="70">
        <v>0.8049</v>
      </c>
      <c r="C9" s="46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75345.191813847</v>
      </c>
      <c r="L9" s="38">
        <f t="shared" si="0"/>
        <v>71757.3255369972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</f>
        <v>75633.3312046778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</f>
        <v>63193.7192690048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</f>
        <v>41556.7753871856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</f>
        <v>36303.3883528862</v>
      </c>
      <c r="Q9" s="39">
        <v>1</v>
      </c>
      <c r="R9" s="40" t="s">
        <v>115</v>
      </c>
      <c r="S9" s="40" t="s">
        <v>116</v>
      </c>
      <c r="T9" s="40" t="s">
        <v>78</v>
      </c>
      <c r="U9" s="40" t="s">
        <v>79</v>
      </c>
      <c r="V9" s="40" t="s">
        <v>88</v>
      </c>
      <c r="W9" s="40" t="s">
        <v>81</v>
      </c>
      <c r="X9" s="40" t="s">
        <v>90</v>
      </c>
      <c r="Y9" s="40" t="s">
        <v>91</v>
      </c>
      <c r="Z9" s="40" t="s">
        <v>78</v>
      </c>
      <c r="AA9" s="40" t="s">
        <v>78</v>
      </c>
      <c r="AB9" s="40" t="s">
        <v>78</v>
      </c>
      <c r="AC9" s="40" t="s">
        <v>92</v>
      </c>
      <c r="AD9" s="40" t="s">
        <v>78</v>
      </c>
      <c r="AE9" s="40" t="s">
        <v>83</v>
      </c>
      <c r="AF9" s="40" t="s">
        <v>84</v>
      </c>
      <c r="AG9" s="40" t="s">
        <v>85</v>
      </c>
      <c r="AH9" s="40" t="s">
        <v>78</v>
      </c>
      <c r="AI9" s="40" t="s">
        <v>78</v>
      </c>
      <c r="AJ9" s="40" t="s">
        <v>78</v>
      </c>
      <c r="AK9" s="40" t="s">
        <v>78</v>
      </c>
      <c r="AL9" s="40" t="s">
        <v>78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750</v>
      </c>
      <c r="AP9" s="26">
        <f>VLOOKUP($R9,武学奇术!$A:$ZZ,28,FALSE)</f>
        <v>2.7126</v>
      </c>
      <c r="AQ9" s="27">
        <f>VLOOKUP($R9,武学奇术!$A:$ZZ,29,FALSE)*(1+IF(OR($AM9=$F$4,$AM9=$F$5),$B$22,0))</f>
        <v>408</v>
      </c>
      <c r="AR9" s="26" cm="1">
        <f t="array" ref="AR9">$G$3+IFERROR(VLOOKUP($AM9,$F$4:$G$7,2,FALSE),0)+VLOOKUP($R9,武学奇术!$A:$ZZ,2,FALSE)+SUM(_xlfn.XLOOKUP($S9:$AL9,增益!$A:$A,增益!$B:$B,0))</f>
        <v>0.8241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3636.6</v>
      </c>
      <c r="AU9" cm="1">
        <f t="array" ref="AU9">$E$10*(1+$AS9)+VLOOKUP($R9,武学奇术!$A:$ZZ,4,FALSE)+SUM(_xlfn.XLOOKUP($S9:$AL9,增益!$A:$A,增益!$D:$D,0))-$I$2</f>
        <v>3636.6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0.2625</v>
      </c>
      <c r="AW9" s="32" cm="1">
        <f t="array" ref="AW9">$G$10+VLOOKUP($R9,武学奇术!$A:$ZZ,7,FALSE)+SUM(_xlfn.XLOOKUP($S9:$AL9,增益!$A:$A,增益!$G:$G,0))</f>
        <v>0.148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2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2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2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2" cm="1">
        <f t="array" ref="BN9">$G$14+VLOOKUP($R9,武学奇术!$A:$ZZ,16,FALSE)+SUM(_xlfn.XLOOKUP($S9:$AL9,增益!$A:$A,增益!$P:$P,0))</f>
        <v>0.27</v>
      </c>
      <c r="BO9" s="26">
        <f>MIN(IF(VLOOKUP($R9,武学奇术!$A:$ZZ,23,FALSE)=1,100%,$B$8),100%)</f>
        <v>0.981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26" cm="1">
        <f t="array" ref="BQ9">1+$B$13+VLOOKUP($R9,武学奇术!$A:$ZZ,18,FALSE)+SUM(_xlfn.XLOOKUP($S9:$AL9,增益!$A:$A,增益!$R:$R,0))</f>
        <v>1.82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0.829926</v>
      </c>
      <c r="BU9" s="26">
        <f t="shared" si="10"/>
        <v>0.0599391</v>
      </c>
      <c r="BV9" s="26">
        <f>IF(VLOOKUP($R9,武学奇术!$A:$ZZ,22,FALSE)=1,0,(1-$BO9))*(1-$BR9)</f>
        <v>0.0172349</v>
      </c>
      <c r="BW9" s="26" cm="1">
        <f t="array" ref="BW9">SUM(_xlfn.XLOOKUP($S9:$AL9,增益!$A:$A,增益!$W:$W,0))+$I$5</f>
        <v>0.11</v>
      </c>
      <c r="BX9" s="26" cm="1">
        <f t="array" ref="BX9">SUM(_xlfn.XLOOKUP($S9:$AL9,增益!$A:$A,增益!$X:$X,0))</f>
        <v>0</v>
      </c>
    </row>
    <row r="10" spans="1:76">
      <c r="A10" s="42" t="s">
        <v>117</v>
      </c>
      <c r="B10" s="70">
        <v>0.0929</v>
      </c>
      <c r="C10" s="46" t="s">
        <v>73</v>
      </c>
      <c r="D10">
        <f>(B2+B23)*IF($G$2="撼天",1.06,1)</f>
        <v>4194.6</v>
      </c>
      <c r="E10">
        <f>MAX(B2+B23,C2+B24)*IF($G$2="撼天",1.06,1)</f>
        <v>4194.6</v>
      </c>
      <c r="F10">
        <f>D2</f>
        <v>63.5</v>
      </c>
      <c r="G10" s="90">
        <f>E2</f>
        <v>0.028</v>
      </c>
      <c r="H10" s="68" t="s">
        <v>118</v>
      </c>
      <c r="I10" s="73">
        <f>SUM(L:L)</f>
        <v>13423779.2889862</v>
      </c>
      <c r="J10" s="74"/>
      <c r="K10">
        <f>$L10*VLOOKUP($R10,武学奇术!$A:$ZZ,31,FALSE)</f>
        <v>43793.5267493156</v>
      </c>
      <c r="L10" s="38">
        <f t="shared" si="0"/>
        <v>41708.1207136339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</f>
        <v>43911.8227434674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</f>
        <v>37271.8253447937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</f>
        <v>24127.3751337733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</f>
        <v>20645.9907528846</v>
      </c>
      <c r="Q10" s="39">
        <v>2</v>
      </c>
      <c r="R10" s="40" t="s">
        <v>119</v>
      </c>
      <c r="S10" s="40" t="s">
        <v>116</v>
      </c>
      <c r="T10" s="40" t="s">
        <v>78</v>
      </c>
      <c r="U10" s="40" t="s">
        <v>79</v>
      </c>
      <c r="V10" s="40" t="s">
        <v>88</v>
      </c>
      <c r="W10" s="40" t="s">
        <v>81</v>
      </c>
      <c r="X10" s="40" t="s">
        <v>90</v>
      </c>
      <c r="Y10" s="40" t="s">
        <v>91</v>
      </c>
      <c r="Z10" s="40" t="s">
        <v>78</v>
      </c>
      <c r="AA10" s="40" t="s">
        <v>78</v>
      </c>
      <c r="AB10" s="40" t="s">
        <v>78</v>
      </c>
      <c r="AC10" s="40" t="s">
        <v>92</v>
      </c>
      <c r="AD10" s="40" t="s">
        <v>78</v>
      </c>
      <c r="AE10" s="40" t="s">
        <v>83</v>
      </c>
      <c r="AF10" s="40" t="s">
        <v>84</v>
      </c>
      <c r="AG10" s="40" t="s">
        <v>85</v>
      </c>
      <c r="AH10" s="40" t="s">
        <v>78</v>
      </c>
      <c r="AI10" s="40" t="s">
        <v>78</v>
      </c>
      <c r="AJ10" s="40" t="s">
        <v>78</v>
      </c>
      <c r="AK10" s="40" t="s">
        <v>78</v>
      </c>
      <c r="AL10" s="40" t="s">
        <v>78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1.0241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3636.6</v>
      </c>
      <c r="AU10" cm="1">
        <f t="array" ref="AU10">$E$10*(1+$AS10)+VLOOKUP($R10,武学奇术!$A:$ZZ,4,FALSE)+SUM(_xlfn.XLOOKUP($S10:$AL10,增益!$A:$A,增益!$D:$D,0))-$I$2</f>
        <v>3636.6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0.2625</v>
      </c>
      <c r="AW10" s="32" cm="1">
        <f t="array" ref="AW10">$G$10+VLOOKUP($R10,武学奇术!$A:$ZZ,7,FALSE)+SUM(_xlfn.XLOOKUP($S10:$AL10,增益!$A:$A,增益!$G:$G,0))</f>
        <v>0.148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2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2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-0.14</v>
      </c>
      <c r="BJ10" s="32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0.08</v>
      </c>
      <c r="BN10" s="32" cm="1">
        <f t="array" ref="BN10">$G$14+VLOOKUP($R10,武学奇术!$A:$ZZ,16,FALSE)+SUM(_xlfn.XLOOKUP($S10:$AL10,增益!$A:$A,增益!$P:$P,0))</f>
        <v>0.27</v>
      </c>
      <c r="BO10" s="26">
        <f>MIN(IF(VLOOKUP($R10,武学奇术!$A:$ZZ,23,FALSE)=1,100%,$B$8),100%)</f>
        <v>0.981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26" cm="1">
        <f t="array" ref="BQ10">1+$B$13+VLOOKUP($R10,武学奇术!$A:$ZZ,18,FALSE)+SUM(_xlfn.XLOOKUP($S10:$AL10,增益!$A:$A,增益!$R:$R,0))</f>
        <v>1.82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0.829926</v>
      </c>
      <c r="BU10" s="26">
        <f t="shared" si="10"/>
        <v>0.0599391</v>
      </c>
      <c r="BV10" s="26">
        <f>IF(VLOOKUP($R10,武学奇术!$A:$ZZ,22,FALSE)=1,0,(1-$BO10))*(1-$BR10)</f>
        <v>0.0172349</v>
      </c>
      <c r="BW10" s="26" cm="1">
        <f t="array" ref="BW10">SUM(_xlfn.XLOOKUP($S10:$AL10,增益!$A:$A,增益!$W:$W,0))+$I$5</f>
        <v>0.11</v>
      </c>
      <c r="BX10" s="26" cm="1">
        <f t="array" ref="BX10">SUM(_xlfn.XLOOKUP($S10:$AL10,增益!$A:$A,增益!$X:$X,0))</f>
        <v>0</v>
      </c>
    </row>
    <row r="11" ht="14.25" spans="1:76">
      <c r="A11" s="42" t="s">
        <v>120</v>
      </c>
      <c r="B11" s="70">
        <f>IF($E$24="易水歌",4.6%,0)+IF($E$22="断石之构",4.1%,0)</f>
        <v>0.046</v>
      </c>
      <c r="C11" s="46" t="s">
        <v>86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0">
        <f>E3</f>
        <v>0</v>
      </c>
      <c r="H11" s="71"/>
      <c r="I11" s="75"/>
      <c r="J11" s="76"/>
      <c r="K11">
        <f>$L11*VLOOKUP($R11,武学奇术!$A:$ZZ,31,FALSE)</f>
        <v>78716.2289720598</v>
      </c>
      <c r="L11" s="38">
        <f t="shared" si="0"/>
        <v>74967.8371162474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</f>
        <v>79392.0169778064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</f>
        <v>63800.6560518802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</f>
        <v>42006.3581893155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</f>
        <v>36752.9711550161</v>
      </c>
      <c r="Q11" s="39">
        <v>1</v>
      </c>
      <c r="R11" s="40" t="s">
        <v>115</v>
      </c>
      <c r="S11" s="40" t="s">
        <v>116</v>
      </c>
      <c r="T11" s="40" t="s">
        <v>121</v>
      </c>
      <c r="U11" s="40" t="s">
        <v>79</v>
      </c>
      <c r="V11" s="40" t="s">
        <v>88</v>
      </c>
      <c r="W11" s="40" t="s">
        <v>89</v>
      </c>
      <c r="X11" s="40" t="s">
        <v>90</v>
      </c>
      <c r="Y11" s="40" t="s">
        <v>91</v>
      </c>
      <c r="Z11" s="40" t="s">
        <v>78</v>
      </c>
      <c r="AA11" s="40" t="s">
        <v>78</v>
      </c>
      <c r="AB11" s="40" t="s">
        <v>122</v>
      </c>
      <c r="AC11" s="40" t="s">
        <v>98</v>
      </c>
      <c r="AD11" s="40" t="s">
        <v>78</v>
      </c>
      <c r="AE11" s="40" t="s">
        <v>83</v>
      </c>
      <c r="AF11" s="40" t="s">
        <v>84</v>
      </c>
      <c r="AG11" s="40" t="s">
        <v>85</v>
      </c>
      <c r="AH11" s="40" t="s">
        <v>78</v>
      </c>
      <c r="AI11" s="40" t="s">
        <v>78</v>
      </c>
      <c r="AJ11" s="40" t="s">
        <v>78</v>
      </c>
      <c r="AK11" s="40" t="s">
        <v>78</v>
      </c>
      <c r="AL11" s="40" t="s">
        <v>78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750</v>
      </c>
      <c r="AP11" s="26">
        <f>VLOOKUP($R11,武学奇术!$A:$ZZ,28,FALSE)</f>
        <v>2.7126</v>
      </c>
      <c r="AQ11" s="27">
        <f>VLOOKUP($R11,武学奇术!$A:$ZZ,29,FALSE)*(1+IF(OR($AM11=$F$4,$AM11=$F$5),$B$22,0))</f>
        <v>408</v>
      </c>
      <c r="AR11" s="26" cm="1">
        <f t="array" ref="AR11">$G$3+IFERROR(VLOOKUP($AM11,$F$4:$G$7,2,FALSE),0)+VLOOKUP($R11,武学奇术!$A:$ZZ,2,FALSE)+SUM(_xlfn.XLOOKUP($S11:$AL11,增益!$A:$A,增益!$B:$B,0))</f>
        <v>0.8241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3636.6</v>
      </c>
      <c r="AU11" cm="1">
        <f t="array" ref="AU11">$E$10*(1+$AS11)+VLOOKUP($R11,武学奇术!$A:$ZZ,4,FALSE)+SUM(_xlfn.XLOOKUP($S11:$AL11,增益!$A:$A,增益!$D:$D,0))-$I$2</f>
        <v>3636.6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0.2825</v>
      </c>
      <c r="AW11" s="32" cm="1">
        <f t="array" ref="AW11">$G$10+VLOOKUP($R11,武学奇术!$A:$ZZ,7,FALSE)+SUM(_xlfn.XLOOKUP($S11:$AL11,增益!$A:$A,增益!$G:$G,0))</f>
        <v>0.148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2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2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2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2" cm="1">
        <f t="array" ref="BN11">$G$14+VLOOKUP($R11,武学奇术!$A:$ZZ,16,FALSE)+SUM(_xlfn.XLOOKUP($S11:$AL11,增益!$A:$A,增益!$P:$P,0))</f>
        <v>0.27</v>
      </c>
      <c r="BO11" s="26">
        <f>MIN(IF(VLOOKUP($R11,武学奇术!$A:$ZZ,23,FALSE)=1,100%,$B$8),100%)</f>
        <v>0.981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26" cm="1">
        <f t="array" ref="BQ11">1+$B$13+VLOOKUP($R11,武学奇术!$A:$ZZ,18,FALSE)+SUM(_xlfn.XLOOKUP($S11:$AL11,增益!$A:$A,增益!$R:$R,0))</f>
        <v>1.89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0.829926</v>
      </c>
      <c r="BU11" s="26">
        <f t="shared" si="10"/>
        <v>0.0599391</v>
      </c>
      <c r="BV11" s="26">
        <f>IF(VLOOKUP($R11,武学奇术!$A:$ZZ,22,FALSE)=1,0,(1-$BO11))*(1-$BR11)</f>
        <v>0.0172349</v>
      </c>
      <c r="BW11" s="26" cm="1">
        <f t="array" ref="BW11">SUM(_xlfn.XLOOKUP($S11:$AL11,增益!$A:$A,增益!$W:$W,0))+$I$5</f>
        <v>0.11</v>
      </c>
      <c r="BX11" s="26" cm="1">
        <f t="array" ref="BX11">SUM(_xlfn.XLOOKUP($S11:$AL11,增益!$A:$A,增益!$X:$X,0))</f>
        <v>0</v>
      </c>
    </row>
    <row r="12" spans="1:76">
      <c r="A12" s="42" t="s">
        <v>123</v>
      </c>
      <c r="B12" s="70">
        <v>0</v>
      </c>
      <c r="C12" s="46" t="s">
        <v>93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0">
        <f>E4</f>
        <v>0</v>
      </c>
      <c r="H12" s="68" t="s">
        <v>124</v>
      </c>
      <c r="I12" s="38">
        <f>I10/I8</f>
        <v>132908.705831547</v>
      </c>
      <c r="J12" s="77"/>
      <c r="K12">
        <f>$L12*VLOOKUP($R12,武学奇术!$A:$ZZ,31,FALSE)</f>
        <v>45762.6387407621</v>
      </c>
      <c r="L12" s="38">
        <f t="shared" si="0"/>
        <v>43583.4654673925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</f>
        <v>46106.1932529278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</f>
        <v>37632.8640948625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</f>
        <v>24394.8112449353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</f>
        <v>20913.4268640466</v>
      </c>
      <c r="Q12" s="39">
        <v>2</v>
      </c>
      <c r="R12" s="40" t="s">
        <v>119</v>
      </c>
      <c r="S12" s="40" t="s">
        <v>116</v>
      </c>
      <c r="T12" s="40" t="s">
        <v>121</v>
      </c>
      <c r="U12" s="40" t="s">
        <v>79</v>
      </c>
      <c r="V12" s="40" t="s">
        <v>88</v>
      </c>
      <c r="W12" s="40" t="s">
        <v>89</v>
      </c>
      <c r="X12" s="40" t="s">
        <v>90</v>
      </c>
      <c r="Y12" s="40" t="s">
        <v>91</v>
      </c>
      <c r="Z12" s="40" t="s">
        <v>78</v>
      </c>
      <c r="AA12" s="40" t="s">
        <v>78</v>
      </c>
      <c r="AB12" s="40" t="s">
        <v>122</v>
      </c>
      <c r="AC12" s="40" t="s">
        <v>98</v>
      </c>
      <c r="AD12" s="40" t="s">
        <v>78</v>
      </c>
      <c r="AE12" s="40" t="s">
        <v>83</v>
      </c>
      <c r="AF12" s="40" t="s">
        <v>84</v>
      </c>
      <c r="AG12" s="40" t="s">
        <v>85</v>
      </c>
      <c r="AH12" s="40" t="s">
        <v>78</v>
      </c>
      <c r="AI12" s="40" t="s">
        <v>78</v>
      </c>
      <c r="AJ12" s="40" t="s">
        <v>78</v>
      </c>
      <c r="AK12" s="40" t="s">
        <v>78</v>
      </c>
      <c r="AL12" s="40" t="s">
        <v>78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1.0241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3636.6</v>
      </c>
      <c r="AU12" cm="1">
        <f t="array" ref="AU12">$E$10*(1+$AS12)+VLOOKUP($R12,武学奇术!$A:$ZZ,4,FALSE)+SUM(_xlfn.XLOOKUP($S12:$AL12,增益!$A:$A,增益!$D:$D,0))-$I$2</f>
        <v>3636.6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0.2825</v>
      </c>
      <c r="AW12" s="32" cm="1">
        <f t="array" ref="AW12">$G$10+VLOOKUP($R12,武学奇术!$A:$ZZ,7,FALSE)+SUM(_xlfn.XLOOKUP($S12:$AL12,增益!$A:$A,增益!$G:$G,0))</f>
        <v>0.148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2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2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2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2" cm="1">
        <f t="array" ref="BN12">$G$14+VLOOKUP($R12,武学奇术!$A:$ZZ,16,FALSE)+SUM(_xlfn.XLOOKUP($S12:$AL12,增益!$A:$A,增益!$P:$P,0))</f>
        <v>0.27</v>
      </c>
      <c r="BO12" s="26">
        <f>MIN(IF(VLOOKUP($R12,武学奇术!$A:$ZZ,23,FALSE)=1,100%,$B$8),100%)</f>
        <v>0.981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26" cm="1">
        <f t="array" ref="BQ12">1+$B$13+VLOOKUP($R12,武学奇术!$A:$ZZ,18,FALSE)+SUM(_xlfn.XLOOKUP($S12:$AL12,增益!$A:$A,增益!$R:$R,0))</f>
        <v>1.89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0.829926</v>
      </c>
      <c r="BU12" s="26">
        <f t="shared" si="10"/>
        <v>0.0599391</v>
      </c>
      <c r="BV12" s="26">
        <f>IF(VLOOKUP($R12,武学奇术!$A:$ZZ,22,FALSE)=1,0,(1-$BO12))*(1-$BR12)</f>
        <v>0.0172349</v>
      </c>
      <c r="BW12" s="26" cm="1">
        <f t="array" ref="BW12">SUM(_xlfn.XLOOKUP($S12:$AL12,增益!$A:$A,增益!$W:$W,0))+$I$5</f>
        <v>0.11</v>
      </c>
      <c r="BX12" s="26" cm="1">
        <f t="array" ref="BX12">SUM(_xlfn.XLOOKUP($S12:$AL12,增益!$A:$A,增益!$X:$X,0))</f>
        <v>0</v>
      </c>
    </row>
    <row r="13" ht="14.25" spans="1:76">
      <c r="A13" s="42" t="s">
        <v>125</v>
      </c>
      <c r="B13" s="70">
        <f>50%+IF($E$22="大唐歌",4%,0)</f>
        <v>0.54</v>
      </c>
      <c r="C13" s="46" t="s">
        <v>99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0">
        <f>E5</f>
        <v>0</v>
      </c>
      <c r="H13" s="71"/>
      <c r="I13" s="78"/>
      <c r="J13" s="76"/>
      <c r="K13">
        <f>$L13*VLOOKUP($R13,武学奇术!$A:$ZZ,31,FALSE)</f>
        <v>82652.5874901566</v>
      </c>
      <c r="L13" s="38">
        <f t="shared" si="0"/>
        <v>78716.7499906254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</f>
        <v>83683.693875419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</f>
        <v>65065.8173318136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</f>
        <v>42914.7148079072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</f>
        <v>37632.527888545</v>
      </c>
      <c r="Q13" s="39">
        <v>1</v>
      </c>
      <c r="R13" s="40" t="s">
        <v>115</v>
      </c>
      <c r="S13" s="40" t="s">
        <v>116</v>
      </c>
      <c r="T13" s="40" t="s">
        <v>126</v>
      </c>
      <c r="U13" s="40" t="s">
        <v>79</v>
      </c>
      <c r="V13" s="40" t="s">
        <v>88</v>
      </c>
      <c r="W13" s="40" t="s">
        <v>89</v>
      </c>
      <c r="X13" s="40" t="s">
        <v>97</v>
      </c>
      <c r="Y13" s="40" t="s">
        <v>91</v>
      </c>
      <c r="Z13" s="40" t="s">
        <v>78</v>
      </c>
      <c r="AA13" s="40" t="s">
        <v>78</v>
      </c>
      <c r="AB13" s="40" t="s">
        <v>127</v>
      </c>
      <c r="AC13" s="40" t="s">
        <v>98</v>
      </c>
      <c r="AD13" s="40" t="s">
        <v>78</v>
      </c>
      <c r="AE13" s="40" t="s">
        <v>83</v>
      </c>
      <c r="AF13" s="40" t="s">
        <v>84</v>
      </c>
      <c r="AG13" s="40" t="s">
        <v>85</v>
      </c>
      <c r="AH13" s="40" t="s">
        <v>78</v>
      </c>
      <c r="AI13" s="40" t="s">
        <v>78</v>
      </c>
      <c r="AJ13" s="40" t="s">
        <v>78</v>
      </c>
      <c r="AK13" s="40" t="s">
        <v>78</v>
      </c>
      <c r="AL13" s="40" t="s">
        <v>78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750</v>
      </c>
      <c r="AP13" s="26">
        <f>VLOOKUP($R13,武学奇术!$A:$ZZ,28,FALSE)</f>
        <v>2.7126</v>
      </c>
      <c r="AQ13" s="27">
        <f>VLOOKUP($R13,武学奇术!$A:$ZZ,29,FALSE)*(1+IF(OR($AM13=$F$4,$AM13=$F$5),$B$22,0))</f>
        <v>408</v>
      </c>
      <c r="AR13" s="26" cm="1">
        <f t="array" ref="AR13">$G$3+IFERROR(VLOOKUP($AM13,$F$4:$G$7,2,FALSE),0)+VLOOKUP($R13,武学奇术!$A:$ZZ,2,FALSE)+SUM(_xlfn.XLOOKUP($S13:$AL13,增益!$A:$A,增益!$B:$B,0))</f>
        <v>0.8341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3636.6</v>
      </c>
      <c r="AU13" cm="1">
        <f t="array" ref="AU13">$E$10*(1+$AS13)+VLOOKUP($R13,武学奇术!$A:$ZZ,4,FALSE)+SUM(_xlfn.XLOOKUP($S13:$AL13,增益!$A:$A,增益!$D:$D,0))-$I$2</f>
        <v>3636.6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0.3125</v>
      </c>
      <c r="AW13" s="32" cm="1">
        <f t="array" ref="AW13">$G$10+VLOOKUP($R13,武学奇术!$A:$ZZ,7,FALSE)+SUM(_xlfn.XLOOKUP($S13:$AL13,增益!$A:$A,增益!$G:$G,0))</f>
        <v>0.148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2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2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2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2" cm="1">
        <f t="array" ref="BN13">$G$14+VLOOKUP($R13,武学奇术!$A:$ZZ,16,FALSE)+SUM(_xlfn.XLOOKUP($S13:$AL13,增益!$A:$A,增益!$P:$P,0))</f>
        <v>0.27</v>
      </c>
      <c r="BO13" s="26">
        <f>MIN(IF(VLOOKUP($R13,武学奇术!$A:$ZZ,23,FALSE)=1,100%,$B$8),100%)</f>
        <v>0.981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26" cm="1">
        <f t="array" ref="BQ13">1+$B$13+VLOOKUP($R13,武学奇术!$A:$ZZ,18,FALSE)+SUM(_xlfn.XLOOKUP($S13:$AL13,增益!$A:$A,增益!$R:$R,0))</f>
        <v>1.95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0.829926</v>
      </c>
      <c r="BU13" s="26">
        <f t="shared" si="10"/>
        <v>0.0599391</v>
      </c>
      <c r="BV13" s="26">
        <f>IF(VLOOKUP($R13,武学奇术!$A:$ZZ,22,FALSE)=1,0,(1-$BO13))*(1-$BR13)</f>
        <v>0.0172349</v>
      </c>
      <c r="BW13" s="26" cm="1">
        <f t="array" ref="BW13">SUM(_xlfn.XLOOKUP($S13:$AL13,增益!$A:$A,增益!$W:$W,0))+$I$5</f>
        <v>0.11</v>
      </c>
      <c r="BX13" s="26" cm="1">
        <f t="array" ref="BX13">SUM(_xlfn.XLOOKUP($S13:$AL13,增益!$A:$A,增益!$X:$X,0))</f>
        <v>0</v>
      </c>
    </row>
    <row r="14" ht="14.25" spans="1:76">
      <c r="A14" s="42" t="s">
        <v>128</v>
      </c>
      <c r="B14" s="70">
        <v>0.35</v>
      </c>
      <c r="C14" s="54" t="s">
        <v>5</v>
      </c>
      <c r="D14" s="23">
        <f>(B6+IF($G$1=$C14,B7,0))*IF($G$2="撼天",1.06,1)</f>
        <v>571.2</v>
      </c>
      <c r="E14" s="23">
        <f>(MAX(B6,C6)+IF($G$1=$C14,$C$7,0))*IF($G$2="撼天",1.06,1)</f>
        <v>1627.8</v>
      </c>
      <c r="F14" s="23">
        <f>D6</f>
        <v>30</v>
      </c>
      <c r="G14" s="91">
        <f>E6</f>
        <v>0.15</v>
      </c>
      <c r="H14" s="36" t="s">
        <v>129</v>
      </c>
      <c r="I14" s="73">
        <f>RD!I14</f>
        <v>129567.626908642</v>
      </c>
      <c r="J14" s="74"/>
      <c r="K14">
        <f>$L14*VLOOKUP($R14,武学奇术!$A:$ZZ,31,FALSE)</f>
        <v>48041.3129243787</v>
      </c>
      <c r="L14" s="38">
        <f t="shared" si="0"/>
        <v>45753.6313565511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</f>
        <v>48591.0146858333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</f>
        <v>38363.0217072437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</f>
        <v>24918.4690696581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</f>
        <v>21419.8850228394</v>
      </c>
      <c r="Q14" s="39">
        <v>2</v>
      </c>
      <c r="R14" s="40" t="s">
        <v>119</v>
      </c>
      <c r="S14" s="40" t="s">
        <v>116</v>
      </c>
      <c r="T14" s="40" t="s">
        <v>126</v>
      </c>
      <c r="U14" s="40" t="s">
        <v>79</v>
      </c>
      <c r="V14" s="40" t="s">
        <v>88</v>
      </c>
      <c r="W14" s="40" t="s">
        <v>89</v>
      </c>
      <c r="X14" s="40" t="s">
        <v>97</v>
      </c>
      <c r="Y14" s="40" t="s">
        <v>91</v>
      </c>
      <c r="Z14" s="40" t="s">
        <v>78</v>
      </c>
      <c r="AA14" s="40" t="s">
        <v>78</v>
      </c>
      <c r="AB14" s="40" t="s">
        <v>127</v>
      </c>
      <c r="AC14" s="40" t="s">
        <v>98</v>
      </c>
      <c r="AD14" s="40" t="s">
        <v>78</v>
      </c>
      <c r="AE14" s="40" t="s">
        <v>83</v>
      </c>
      <c r="AF14" s="40" t="s">
        <v>84</v>
      </c>
      <c r="AG14" s="40" t="s">
        <v>85</v>
      </c>
      <c r="AH14" s="40" t="s">
        <v>78</v>
      </c>
      <c r="AI14" s="40" t="s">
        <v>78</v>
      </c>
      <c r="AJ14" s="40" t="s">
        <v>78</v>
      </c>
      <c r="AK14" s="40" t="s">
        <v>78</v>
      </c>
      <c r="AL14" s="40" t="s">
        <v>78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1.0341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3636.6</v>
      </c>
      <c r="AU14" cm="1">
        <f t="array" ref="AU14">$E$10*(1+$AS14)+VLOOKUP($R14,武学奇术!$A:$ZZ,4,FALSE)+SUM(_xlfn.XLOOKUP($S14:$AL14,增益!$A:$A,增益!$D:$D,0))-$I$2</f>
        <v>3636.6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0.3125</v>
      </c>
      <c r="AW14" s="32" cm="1">
        <f t="array" ref="AW14">$G$10+VLOOKUP($R14,武学奇术!$A:$ZZ,7,FALSE)+SUM(_xlfn.XLOOKUP($S14:$AL14,增益!$A:$A,增益!$G:$G,0))</f>
        <v>0.148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2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2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2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2" cm="1">
        <f t="array" ref="BN14">$G$14+VLOOKUP($R14,武学奇术!$A:$ZZ,16,FALSE)+SUM(_xlfn.XLOOKUP($S14:$AL14,增益!$A:$A,增益!$P:$P,0))</f>
        <v>0.27</v>
      </c>
      <c r="BO14" s="26">
        <f>MIN(IF(VLOOKUP($R14,武学奇术!$A:$ZZ,23,FALSE)=1,100%,$B$8),100%)</f>
        <v>0.981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26" cm="1">
        <f t="array" ref="BQ14">1+$B$13+VLOOKUP($R14,武学奇术!$A:$ZZ,18,FALSE)+SUM(_xlfn.XLOOKUP($S14:$AL14,增益!$A:$A,增益!$R:$R,0))</f>
        <v>1.95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0.829926</v>
      </c>
      <c r="BU14" s="26">
        <f t="shared" si="10"/>
        <v>0.0599391</v>
      </c>
      <c r="BV14" s="26">
        <f>IF(VLOOKUP($R14,武学奇术!$A:$ZZ,22,FALSE)=1,0,(1-$BO14))*(1-$BR14)</f>
        <v>0.0172349</v>
      </c>
      <c r="BW14" s="26" cm="1">
        <f t="array" ref="BW14">SUM(_xlfn.XLOOKUP($S14:$AL14,增益!$A:$A,增益!$W:$W,0))+$I$5</f>
        <v>0.11</v>
      </c>
      <c r="BX14" s="26" cm="1">
        <f t="array" ref="BX14">SUM(_xlfn.XLOOKUP($S14:$AL14,增益!$A:$A,增益!$X:$X,0))</f>
        <v>0</v>
      </c>
    </row>
    <row r="15" spans="1:76">
      <c r="A15" s="42" t="s">
        <v>130</v>
      </c>
      <c r="B15" s="70">
        <v>0.0852</v>
      </c>
      <c r="C15" s="39" t="s">
        <v>131</v>
      </c>
      <c r="D15" s="39"/>
      <c r="F15" s="79"/>
      <c r="H15" s="80"/>
      <c r="I15" s="75"/>
      <c r="J15" s="76"/>
      <c r="K15">
        <f>$L15*VLOOKUP($R15,武学奇术!$A:$ZZ,31,FALSE)</f>
        <v>99469.8250353358</v>
      </c>
      <c r="L15" s="38">
        <f t="shared" si="0"/>
        <v>94733.1667003198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</f>
        <v>94733.1667003198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</f>
        <v>72499.3447153244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</f>
        <v>47845.0336870302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</f>
        <v>41986.8490664127</v>
      </c>
      <c r="Q15" s="39">
        <v>1</v>
      </c>
      <c r="R15" s="40" t="s">
        <v>132</v>
      </c>
      <c r="S15" s="40" t="s">
        <v>116</v>
      </c>
      <c r="T15" s="40" t="s">
        <v>102</v>
      </c>
      <c r="U15" s="40" t="s">
        <v>79</v>
      </c>
      <c r="V15" s="40" t="s">
        <v>88</v>
      </c>
      <c r="W15" s="40" t="s">
        <v>89</v>
      </c>
      <c r="X15" s="40" t="s">
        <v>97</v>
      </c>
      <c r="Y15" s="40" t="s">
        <v>91</v>
      </c>
      <c r="Z15" s="40" t="s">
        <v>78</v>
      </c>
      <c r="AA15" s="40" t="s">
        <v>78</v>
      </c>
      <c r="AB15" s="40" t="s">
        <v>133</v>
      </c>
      <c r="AC15" s="40" t="s">
        <v>98</v>
      </c>
      <c r="AD15" s="40" t="s">
        <v>78</v>
      </c>
      <c r="AE15" s="40" t="s">
        <v>83</v>
      </c>
      <c r="AF15" s="40" t="s">
        <v>84</v>
      </c>
      <c r="AG15" s="40" t="s">
        <v>85</v>
      </c>
      <c r="AH15" s="40" t="s">
        <v>78</v>
      </c>
      <c r="AI15" s="40" t="s">
        <v>78</v>
      </c>
      <c r="AJ15" s="40" t="s">
        <v>78</v>
      </c>
      <c r="AK15" s="40" t="s">
        <v>78</v>
      </c>
      <c r="AL15" s="40" t="s">
        <v>78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750</v>
      </c>
      <c r="AP15" s="26">
        <f>VLOOKUP($R15,武学奇术!$A:$ZZ,28,FALSE)</f>
        <v>2.7126</v>
      </c>
      <c r="AQ15" s="27">
        <f>VLOOKUP($R15,武学奇术!$A:$ZZ,29,FALSE)*(1+IF(OR($AM15=$F$4,$AM15=$F$5),$B$22,0))</f>
        <v>408</v>
      </c>
      <c r="AR15" s="26" cm="1">
        <f t="array" ref="AR15">$G$3+IFERROR(VLOOKUP($AM15,$F$4:$G$7,2,FALSE),0)+VLOOKUP($R15,武学奇术!$A:$ZZ,2,FALSE)+SUM(_xlfn.XLOOKUP($S15:$AL15,增益!$A:$A,增益!$B:$B,0))</f>
        <v>1.0341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3636.6</v>
      </c>
      <c r="AU15" cm="1">
        <f t="array" ref="AU15">$E$10*(1+$AS15)+VLOOKUP($R15,武学奇术!$A:$ZZ,4,FALSE)+SUM(_xlfn.XLOOKUP($S15:$AL15,增益!$A:$A,增益!$D:$D,0))-$I$2</f>
        <v>3636.6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0.3225</v>
      </c>
      <c r="AW15" s="32" cm="1">
        <f t="array" ref="AW15">$G$10+VLOOKUP($R15,武学奇术!$A:$ZZ,7,FALSE)+SUM(_xlfn.XLOOKUP($S15:$AL15,增益!$A:$A,增益!$G:$G,0))</f>
        <v>0.148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2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2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2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2" cm="1">
        <f t="array" ref="BN15">$G$14+VLOOKUP($R15,武学奇术!$A:$ZZ,16,FALSE)+SUM(_xlfn.XLOOKUP($S15:$AL15,增益!$A:$A,增益!$P:$P,0))</f>
        <v>0.27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1.98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 cm="1">
        <f t="array" ref="BX15">SUM(_xlfn.XLOOKUP($S15:$AL15,增益!$A:$A,增益!$X:$X,0))</f>
        <v>0</v>
      </c>
    </row>
    <row r="16" spans="1:76">
      <c r="A16" s="42" t="s">
        <v>134</v>
      </c>
      <c r="B16" s="70">
        <v>0.0887</v>
      </c>
      <c r="C16" s="39" t="s">
        <v>135</v>
      </c>
      <c r="D16" s="79" t="s">
        <v>136</v>
      </c>
      <c r="E16" s="39" t="s">
        <v>137</v>
      </c>
      <c r="F16" s="79" t="s">
        <v>136</v>
      </c>
      <c r="H16" s="68" t="s">
        <v>138</v>
      </c>
      <c r="I16" s="81">
        <f>I12/132908.71</f>
        <v>0.999999968636718</v>
      </c>
      <c r="J16" s="82"/>
      <c r="K16">
        <f>$L16*VLOOKUP($R16,武学奇术!$A:$ZZ,31,FALSE)</f>
        <v>57206.0415638113</v>
      </c>
      <c r="L16" s="38">
        <f t="shared" si="0"/>
        <v>54481.944346487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</f>
        <v>54481.944346487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</f>
        <v>42334.259679556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</f>
        <v>27516.1335083267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</f>
        <v>23673.5561429083</v>
      </c>
      <c r="Q16" s="39">
        <v>2</v>
      </c>
      <c r="R16" s="40" t="s">
        <v>139</v>
      </c>
      <c r="S16" s="40" t="s">
        <v>116</v>
      </c>
      <c r="T16" s="40" t="s">
        <v>102</v>
      </c>
      <c r="U16" s="40" t="s">
        <v>79</v>
      </c>
      <c r="V16" s="40" t="s">
        <v>88</v>
      </c>
      <c r="W16" s="40" t="s">
        <v>89</v>
      </c>
      <c r="X16" s="40" t="s">
        <v>97</v>
      </c>
      <c r="Y16" s="40" t="s">
        <v>91</v>
      </c>
      <c r="Z16" s="40" t="s">
        <v>78</v>
      </c>
      <c r="AA16" s="40" t="s">
        <v>78</v>
      </c>
      <c r="AB16" s="40" t="s">
        <v>133</v>
      </c>
      <c r="AC16" s="40" t="s">
        <v>98</v>
      </c>
      <c r="AD16" s="40" t="s">
        <v>78</v>
      </c>
      <c r="AE16" s="40" t="s">
        <v>83</v>
      </c>
      <c r="AF16" s="40" t="s">
        <v>84</v>
      </c>
      <c r="AG16" s="40" t="s">
        <v>85</v>
      </c>
      <c r="AH16" s="40" t="s">
        <v>78</v>
      </c>
      <c r="AI16" s="40" t="s">
        <v>78</v>
      </c>
      <c r="AJ16" s="40" t="s">
        <v>78</v>
      </c>
      <c r="AK16" s="40" t="s">
        <v>78</v>
      </c>
      <c r="AL16" s="40" t="s">
        <v>78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1.2341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3636.6</v>
      </c>
      <c r="AU16" cm="1">
        <f t="array" ref="AU16">$E$10*(1+$AS16)+VLOOKUP($R16,武学奇术!$A:$ZZ,4,FALSE)+SUM(_xlfn.XLOOKUP($S16:$AL16,增益!$A:$A,增益!$D:$D,0))-$I$2</f>
        <v>3636.6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0.3225</v>
      </c>
      <c r="AW16" s="32" cm="1">
        <f t="array" ref="AW16">$G$10+VLOOKUP($R16,武学奇术!$A:$ZZ,7,FALSE)+SUM(_xlfn.XLOOKUP($S16:$AL16,增益!$A:$A,增益!$G:$G,0))</f>
        <v>0.148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2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2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2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2" cm="1">
        <f t="array" ref="BN16">$G$14+VLOOKUP($R16,武学奇术!$A:$ZZ,16,FALSE)+SUM(_xlfn.XLOOKUP($S16:$AL16,增益!$A:$A,增益!$P:$P,0))</f>
        <v>0.27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1.98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 cm="1">
        <f t="array" ref="BX16">SUM(_xlfn.XLOOKUP($S16:$AL16,增益!$A:$A,增益!$X:$X,0))</f>
        <v>0</v>
      </c>
    </row>
    <row r="17" spans="1:76">
      <c r="A17" s="42" t="s">
        <v>140</v>
      </c>
      <c r="B17" s="70">
        <v>0.0852</v>
      </c>
      <c r="C17" s="39"/>
      <c r="D17" s="79"/>
      <c r="E17" s="39" t="s">
        <v>141</v>
      </c>
      <c r="F17" s="79" t="s">
        <v>136</v>
      </c>
      <c r="H17" s="71"/>
      <c r="I17" s="83"/>
      <c r="J17" s="84"/>
      <c r="K17">
        <f>$L17*VLOOKUP($R17,武学奇术!$A:$ZZ,31,FALSE)</f>
        <v>170984.254588839</v>
      </c>
      <c r="L17" s="38">
        <f t="shared" si="0"/>
        <v>162842.147227466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</f>
        <v>173540.773376864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</f>
        <v>132068.329728111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</f>
        <v>87206.4187823435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</f>
        <v>76584.4451734936</v>
      </c>
      <c r="Q17" s="39">
        <v>2</v>
      </c>
      <c r="R17" s="40" t="s">
        <v>115</v>
      </c>
      <c r="S17" s="40" t="s">
        <v>116</v>
      </c>
      <c r="T17" s="40" t="s">
        <v>102</v>
      </c>
      <c r="U17" s="40" t="s">
        <v>79</v>
      </c>
      <c r="V17" s="40" t="s">
        <v>88</v>
      </c>
      <c r="W17" s="40" t="s">
        <v>96</v>
      </c>
      <c r="X17" s="40" t="s">
        <v>104</v>
      </c>
      <c r="Y17" s="40" t="s">
        <v>91</v>
      </c>
      <c r="Z17" s="40" t="s">
        <v>78</v>
      </c>
      <c r="AA17" s="40" t="s">
        <v>78</v>
      </c>
      <c r="AB17" s="40" t="s">
        <v>133</v>
      </c>
      <c r="AC17" s="40" t="s">
        <v>98</v>
      </c>
      <c r="AD17" s="40" t="s">
        <v>78</v>
      </c>
      <c r="AE17" s="40" t="s">
        <v>83</v>
      </c>
      <c r="AF17" s="40" t="s">
        <v>84</v>
      </c>
      <c r="AG17" s="40" t="s">
        <v>85</v>
      </c>
      <c r="AH17" s="40" t="s">
        <v>78</v>
      </c>
      <c r="AI17" s="40" t="s">
        <v>78</v>
      </c>
      <c r="AJ17" s="40" t="s">
        <v>78</v>
      </c>
      <c r="AK17" s="40" t="s">
        <v>78</v>
      </c>
      <c r="AL17" s="40" t="s">
        <v>78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750</v>
      </c>
      <c r="AP17" s="26">
        <f>VLOOKUP($R17,武学奇术!$A:$ZZ,28,FALSE)</f>
        <v>2.7126</v>
      </c>
      <c r="AQ17" s="27">
        <f>VLOOKUP($R17,武学奇术!$A:$ZZ,29,FALSE)*(1+IF(OR($AM17=$F$4,$AM17=$F$5),$B$22,0))</f>
        <v>408</v>
      </c>
      <c r="AR17" s="26" cm="1">
        <f t="array" ref="AR17">$G$3+IFERROR(VLOOKUP($AM17,$F$4:$G$7,2,FALSE),0)+VLOOKUP($R17,武学奇术!$A:$ZZ,2,FALSE)+SUM(_xlfn.XLOOKUP($S17:$AL17,增益!$A:$A,增益!$B:$B,0))</f>
        <v>0.8441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3636.6</v>
      </c>
      <c r="AU17" cm="1">
        <f t="array" ref="AU17">$E$10*(1+$AS17)+VLOOKUP($R17,武学奇术!$A:$ZZ,4,FALSE)+SUM(_xlfn.XLOOKUP($S17:$AL17,增益!$A:$A,增益!$D:$D,0))-$I$2</f>
        <v>3636.6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0.3325</v>
      </c>
      <c r="AW17" s="32" cm="1">
        <f t="array" ref="AW17">$G$10+VLOOKUP($R17,武学奇术!$A:$ZZ,7,FALSE)+SUM(_xlfn.XLOOKUP($S17:$AL17,增益!$A:$A,增益!$G:$G,0))</f>
        <v>0.148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2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2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2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2" cm="1">
        <f t="array" ref="BN17">$G$14+VLOOKUP($R17,武学奇术!$A:$ZZ,16,FALSE)+SUM(_xlfn.XLOOKUP($S17:$AL17,增益!$A:$A,增益!$P:$P,0))</f>
        <v>0.27</v>
      </c>
      <c r="BO17" s="26">
        <f>MIN(IF(VLOOKUP($R17,武学奇术!$A:$ZZ,23,FALSE)=1,100%,$B$8),100%)</f>
        <v>0.981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26" cm="1">
        <f t="array" ref="BQ17">1+$B$13+VLOOKUP($R17,武学奇术!$A:$ZZ,18,FALSE)+SUM(_xlfn.XLOOKUP($S17:$AL17,增益!$A:$A,增益!$R:$R,0))</f>
        <v>1.99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0.829926</v>
      </c>
      <c r="BU17" s="26">
        <f t="shared" si="10"/>
        <v>0.0599391</v>
      </c>
      <c r="BV17" s="26">
        <f>IF(VLOOKUP($R17,武学奇术!$A:$ZZ,22,FALSE)=1,0,(1-$BO17))*(1-$BR17)</f>
        <v>0.0172349</v>
      </c>
      <c r="BW17" s="26" cm="1">
        <f t="array" ref="BW17">SUM(_xlfn.XLOOKUP($S17:$AL17,增益!$A:$A,增益!$W:$W,0))+$I$5</f>
        <v>0.11</v>
      </c>
      <c r="BX17" s="26" cm="1">
        <f t="array" ref="BX17">SUM(_xlfn.XLOOKUP($S17:$AL17,增益!$A:$A,增益!$X:$X,0))</f>
        <v>0</v>
      </c>
    </row>
    <row r="18" spans="1:76">
      <c r="A18" s="42" t="s">
        <v>142</v>
      </c>
      <c r="B18" s="70">
        <v>0</v>
      </c>
      <c r="C18" s="39" t="s">
        <v>143</v>
      </c>
      <c r="D18" s="79" t="s">
        <v>136</v>
      </c>
      <c r="H18" s="68" t="s">
        <v>144</v>
      </c>
      <c r="I18" s="36"/>
      <c r="J18" s="37"/>
      <c r="K18">
        <f>$L18*VLOOKUP($R18,武学奇术!$A:$ZZ,31,FALSE)</f>
        <v>99352.2907418159</v>
      </c>
      <c r="L18" s="38">
        <f t="shared" si="0"/>
        <v>94621.2292779199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</f>
        <v>100737.98440309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</f>
        <v>77832.4546898346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</f>
        <v>50622.1027151208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</f>
        <v>43590.5352896235</v>
      </c>
      <c r="Q18" s="39">
        <v>4</v>
      </c>
      <c r="R18" s="40" t="s">
        <v>119</v>
      </c>
      <c r="S18" s="40" t="s">
        <v>116</v>
      </c>
      <c r="T18" s="40" t="s">
        <v>102</v>
      </c>
      <c r="U18" s="40" t="s">
        <v>79</v>
      </c>
      <c r="V18" s="40" t="s">
        <v>88</v>
      </c>
      <c r="W18" s="40" t="s">
        <v>96</v>
      </c>
      <c r="X18" s="40" t="s">
        <v>104</v>
      </c>
      <c r="Y18" s="40" t="s">
        <v>91</v>
      </c>
      <c r="Z18" s="40" t="s">
        <v>78</v>
      </c>
      <c r="AA18" s="40" t="s">
        <v>78</v>
      </c>
      <c r="AB18" s="40" t="s">
        <v>133</v>
      </c>
      <c r="AC18" s="40" t="s">
        <v>98</v>
      </c>
      <c r="AD18" s="40" t="s">
        <v>78</v>
      </c>
      <c r="AE18" s="40" t="s">
        <v>83</v>
      </c>
      <c r="AF18" s="40" t="s">
        <v>84</v>
      </c>
      <c r="AG18" s="40" t="s">
        <v>85</v>
      </c>
      <c r="AH18" s="40" t="s">
        <v>78</v>
      </c>
      <c r="AI18" s="40" t="s">
        <v>78</v>
      </c>
      <c r="AJ18" s="40" t="s">
        <v>78</v>
      </c>
      <c r="AK18" s="40" t="s">
        <v>78</v>
      </c>
      <c r="AL18" s="40" t="s">
        <v>78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1.0441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3636.6</v>
      </c>
      <c r="AU18" cm="1">
        <f t="array" ref="AU18">$E$10*(1+$AS18)+VLOOKUP($R18,武学奇术!$A:$ZZ,4,FALSE)+SUM(_xlfn.XLOOKUP($S18:$AL18,增益!$A:$A,增益!$D:$D,0))-$I$2</f>
        <v>3636.6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0.3325</v>
      </c>
      <c r="AW18" s="32" cm="1">
        <f t="array" ref="AW18">$G$10+VLOOKUP($R18,武学奇术!$A:$ZZ,7,FALSE)+SUM(_xlfn.XLOOKUP($S18:$AL18,增益!$A:$A,增益!$G:$G,0))</f>
        <v>0.148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2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2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2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2" cm="1">
        <f t="array" ref="BN18">$G$14+VLOOKUP($R18,武学奇术!$A:$ZZ,16,FALSE)+SUM(_xlfn.XLOOKUP($S18:$AL18,增益!$A:$A,增益!$P:$P,0))</f>
        <v>0.27</v>
      </c>
      <c r="BO18" s="26">
        <f>MIN(IF(VLOOKUP($R18,武学奇术!$A:$ZZ,23,FALSE)=1,100%,$B$8),100%)</f>
        <v>0.981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26" cm="1">
        <f t="array" ref="BQ18">1+$B$13+VLOOKUP($R18,武学奇术!$A:$ZZ,18,FALSE)+SUM(_xlfn.XLOOKUP($S18:$AL18,增益!$A:$A,增益!$R:$R,0))</f>
        <v>1.99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0.829926</v>
      </c>
      <c r="BU18" s="26">
        <f t="shared" si="10"/>
        <v>0.0599391</v>
      </c>
      <c r="BV18" s="26">
        <f>IF(VLOOKUP($R18,武学奇术!$A:$ZZ,22,FALSE)=1,0,(1-$BO18))*(1-$BR18)</f>
        <v>0.0172349</v>
      </c>
      <c r="BW18" s="26" cm="1">
        <f t="array" ref="BW18">SUM(_xlfn.XLOOKUP($S18:$AL18,增益!$A:$A,增益!$W:$W,0))+$I$5</f>
        <v>0.11</v>
      </c>
      <c r="BX18" s="26" cm="1">
        <f t="array" ref="BX18">SUM(_xlfn.XLOOKUP($S18:$AL18,增益!$A:$A,增益!$X:$X,0))</f>
        <v>0</v>
      </c>
    </row>
    <row r="19" ht="14.25" spans="1:76">
      <c r="A19" s="42" t="s">
        <v>145</v>
      </c>
      <c r="B19" s="70">
        <v>0</v>
      </c>
      <c r="C19" s="39" t="s">
        <v>146</v>
      </c>
      <c r="D19" s="79" t="s">
        <v>136</v>
      </c>
      <c r="H19" s="71"/>
      <c r="I19" s="80"/>
      <c r="J19" s="92"/>
      <c r="K19">
        <f>$L19*VLOOKUP($R19,武学奇术!$A:$ZZ,31,FALSE)</f>
        <v>102013.012584556</v>
      </c>
      <c r="L19" s="38">
        <f t="shared" si="0"/>
        <v>97155.2500805298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</f>
        <v>97155.2500805298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</f>
        <v>73895.6494343953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</f>
        <v>48821.733708809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</f>
        <v>42905.9493180659</v>
      </c>
      <c r="Q19" s="39">
        <v>1</v>
      </c>
      <c r="R19" s="40" t="s">
        <v>132</v>
      </c>
      <c r="S19" s="40" t="s">
        <v>116</v>
      </c>
      <c r="T19" s="40" t="s">
        <v>102</v>
      </c>
      <c r="U19" s="40" t="s">
        <v>79</v>
      </c>
      <c r="V19" s="40" t="s">
        <v>88</v>
      </c>
      <c r="W19" s="40" t="s">
        <v>96</v>
      </c>
      <c r="X19" s="40" t="s">
        <v>106</v>
      </c>
      <c r="Y19" s="40" t="s">
        <v>91</v>
      </c>
      <c r="Z19" s="40" t="s">
        <v>78</v>
      </c>
      <c r="AA19" s="40" t="s">
        <v>78</v>
      </c>
      <c r="AB19" s="40" t="s">
        <v>133</v>
      </c>
      <c r="AC19" s="40" t="s">
        <v>98</v>
      </c>
      <c r="AD19" s="40" t="s">
        <v>78</v>
      </c>
      <c r="AE19" s="40" t="s">
        <v>83</v>
      </c>
      <c r="AF19" s="40" t="s">
        <v>84</v>
      </c>
      <c r="AG19" s="40" t="s">
        <v>85</v>
      </c>
      <c r="AH19" s="40" t="s">
        <v>78</v>
      </c>
      <c r="AI19" s="40" t="s">
        <v>78</v>
      </c>
      <c r="AJ19" s="40" t="s">
        <v>78</v>
      </c>
      <c r="AK19" s="40" t="s">
        <v>78</v>
      </c>
      <c r="AL19" s="40" t="s">
        <v>78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750</v>
      </c>
      <c r="AP19" s="26">
        <f>VLOOKUP($R19,武学奇术!$A:$ZZ,28,FALSE)</f>
        <v>2.7126</v>
      </c>
      <c r="AQ19" s="27">
        <f>VLOOKUP($R19,武学奇术!$A:$ZZ,29,FALSE)*(1+IF(OR($AM19=$F$4,$AM19=$F$5),$B$22,0))</f>
        <v>408</v>
      </c>
      <c r="AR19" s="26" cm="1">
        <f t="array" ref="AR19">$G$3+IFERROR(VLOOKUP($AM19,$F$4:$G$7,2,FALSE),0)+VLOOKUP($R19,武学奇术!$A:$ZZ,2,FALSE)+SUM(_xlfn.XLOOKUP($S19:$AL19,增益!$A:$A,增益!$B:$B,0))</f>
        <v>1.0541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3636.6</v>
      </c>
      <c r="AU19" cm="1">
        <f t="array" ref="AU19">$E$10*(1+$AS19)+VLOOKUP($R19,武学奇术!$A:$ZZ,4,FALSE)+SUM(_xlfn.XLOOKUP($S19:$AL19,增益!$A:$A,增益!$D:$D,0))-$I$2</f>
        <v>3636.6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0.3425</v>
      </c>
      <c r="AW19" s="32" cm="1">
        <f t="array" ref="AW19">$G$10+VLOOKUP($R19,武学奇术!$A:$ZZ,7,FALSE)+SUM(_xlfn.XLOOKUP($S19:$AL19,增益!$A:$A,增益!$G:$G,0))</f>
        <v>0.148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2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2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2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2" cm="1">
        <f t="array" ref="BN19">$G$14+VLOOKUP($R19,武学奇术!$A:$ZZ,16,FALSE)+SUM(_xlfn.XLOOKUP($S19:$AL19,增益!$A:$A,增益!$P:$P,0))</f>
        <v>0.27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1.99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 cm="1">
        <f t="array" ref="BX19">SUM(_xlfn.XLOOKUP($S19:$AL19,增益!$A:$A,增益!$X:$X,0))</f>
        <v>0</v>
      </c>
    </row>
    <row r="20" spans="1:76">
      <c r="A20" s="42" t="s">
        <v>147</v>
      </c>
      <c r="B20" s="70">
        <v>0</v>
      </c>
      <c r="C20" s="39" t="s">
        <v>148</v>
      </c>
      <c r="D20" s="79" t="s">
        <v>136</v>
      </c>
      <c r="H20" s="68" t="s">
        <v>149</v>
      </c>
      <c r="I20" s="81">
        <f>SUM(K:K)/SUM(L:L)</f>
        <v>0.993990219884321</v>
      </c>
      <c r="J20" s="82"/>
      <c r="K20">
        <f>$L20*VLOOKUP($R20,武学奇术!$A:$ZZ,31,FALSE)</f>
        <v>58631.9700220213</v>
      </c>
      <c r="L20" s="38">
        <f t="shared" si="0"/>
        <v>55839.9714495441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</f>
        <v>55839.9714495441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</f>
        <v>43115.306208102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</f>
        <v>28060.2871605749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</f>
        <v>24183.3104632965</v>
      </c>
      <c r="Q20" s="39">
        <v>2</v>
      </c>
      <c r="R20" s="40" t="s">
        <v>139</v>
      </c>
      <c r="S20" s="40" t="s">
        <v>116</v>
      </c>
      <c r="T20" s="40" t="s">
        <v>102</v>
      </c>
      <c r="U20" s="40" t="s">
        <v>79</v>
      </c>
      <c r="V20" s="40" t="s">
        <v>88</v>
      </c>
      <c r="W20" s="40" t="s">
        <v>96</v>
      </c>
      <c r="X20" s="40" t="s">
        <v>106</v>
      </c>
      <c r="Y20" s="40" t="s">
        <v>91</v>
      </c>
      <c r="Z20" s="40" t="s">
        <v>78</v>
      </c>
      <c r="AA20" s="40" t="s">
        <v>78</v>
      </c>
      <c r="AB20" s="40" t="s">
        <v>133</v>
      </c>
      <c r="AC20" s="40" t="s">
        <v>98</v>
      </c>
      <c r="AD20" s="40" t="s">
        <v>78</v>
      </c>
      <c r="AE20" s="40" t="s">
        <v>83</v>
      </c>
      <c r="AF20" s="40" t="s">
        <v>84</v>
      </c>
      <c r="AG20" s="40" t="s">
        <v>85</v>
      </c>
      <c r="AH20" s="40" t="s">
        <v>78</v>
      </c>
      <c r="AI20" s="40" t="s">
        <v>78</v>
      </c>
      <c r="AJ20" s="40" t="s">
        <v>78</v>
      </c>
      <c r="AK20" s="40" t="s">
        <v>78</v>
      </c>
      <c r="AL20" s="40" t="s">
        <v>78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1.2541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3636.6</v>
      </c>
      <c r="AU20" cm="1">
        <f t="array" ref="AU20">$E$10*(1+$AS20)+VLOOKUP($R20,武学奇术!$A:$ZZ,4,FALSE)+SUM(_xlfn.XLOOKUP($S20:$AL20,增益!$A:$A,增益!$D:$D,0))-$I$2</f>
        <v>3636.6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0.3425</v>
      </c>
      <c r="AW20" s="32" cm="1">
        <f t="array" ref="AW20">$G$10+VLOOKUP($R20,武学奇术!$A:$ZZ,7,FALSE)+SUM(_xlfn.XLOOKUP($S20:$AL20,增益!$A:$A,增益!$G:$G,0))</f>
        <v>0.148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2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2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2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2" cm="1">
        <f t="array" ref="BN20">$G$14+VLOOKUP($R20,武学奇术!$A:$ZZ,16,FALSE)+SUM(_xlfn.XLOOKUP($S20:$AL20,增益!$A:$A,增益!$P:$P,0))</f>
        <v>0.27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1.99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 cm="1">
        <f t="array" ref="BX20">SUM(_xlfn.XLOOKUP($S20:$AL20,增益!$A:$A,增益!$X:$X,0))</f>
        <v>0</v>
      </c>
    </row>
    <row r="21" ht="14.25" spans="1:76">
      <c r="A21" s="85" t="s">
        <v>150</v>
      </c>
      <c r="B21" s="93">
        <v>0.32</v>
      </c>
      <c r="C21" s="39" t="s">
        <v>151</v>
      </c>
      <c r="D21" s="79" t="s">
        <v>152</v>
      </c>
      <c r="E21" s="39" t="s">
        <v>153</v>
      </c>
      <c r="F21" s="39"/>
      <c r="H21" s="71"/>
      <c r="I21" s="83"/>
      <c r="J21" s="84"/>
      <c r="K21">
        <f>$L21*VLOOKUP($R21,武学奇术!$A:$ZZ,31,FALSE)</f>
        <v>86784.5774683895</v>
      </c>
      <c r="L21" s="38">
        <f t="shared" si="0"/>
        <v>82651.9785413234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</f>
        <v>88136.2898296117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</f>
        <v>66700.7076657963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</f>
        <v>44068.1449148059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</f>
        <v>38728.3582253181</v>
      </c>
      <c r="Q21" s="39">
        <v>1</v>
      </c>
      <c r="R21" s="40" t="s">
        <v>115</v>
      </c>
      <c r="S21" s="40" t="s">
        <v>116</v>
      </c>
      <c r="T21" s="40" t="s">
        <v>102</v>
      </c>
      <c r="U21" s="40" t="s">
        <v>79</v>
      </c>
      <c r="V21" s="40" t="s">
        <v>88</v>
      </c>
      <c r="W21" s="40" t="s">
        <v>103</v>
      </c>
      <c r="X21" s="40" t="s">
        <v>106</v>
      </c>
      <c r="Y21" s="40" t="s">
        <v>91</v>
      </c>
      <c r="Z21" s="40" t="s">
        <v>78</v>
      </c>
      <c r="AA21" s="40" t="s">
        <v>78</v>
      </c>
      <c r="AB21" s="40" t="s">
        <v>133</v>
      </c>
      <c r="AC21" s="40" t="s">
        <v>98</v>
      </c>
      <c r="AD21" s="40" t="s">
        <v>78</v>
      </c>
      <c r="AE21" s="40" t="s">
        <v>83</v>
      </c>
      <c r="AF21" s="40" t="s">
        <v>84</v>
      </c>
      <c r="AG21" s="40" t="s">
        <v>85</v>
      </c>
      <c r="AH21" s="40" t="s">
        <v>78</v>
      </c>
      <c r="AI21" s="40" t="s">
        <v>78</v>
      </c>
      <c r="AJ21" s="40" t="s">
        <v>78</v>
      </c>
      <c r="AK21" s="40" t="s">
        <v>78</v>
      </c>
      <c r="AL21" s="40" t="s">
        <v>78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750</v>
      </c>
      <c r="AP21" s="26">
        <f>VLOOKUP($R21,武学奇术!$A:$ZZ,28,FALSE)</f>
        <v>2.7126</v>
      </c>
      <c r="AQ21" s="27">
        <f>VLOOKUP($R21,武学奇术!$A:$ZZ,29,FALSE)*(1+IF(OR($AM21=$F$4,$AM21=$F$5),$B$22,0))</f>
        <v>408</v>
      </c>
      <c r="AR21" s="26" cm="1">
        <f t="array" ref="AR21">$G$3+IFERROR(VLOOKUP($AM21,$F$4:$G$7,2,FALSE),0)+VLOOKUP($R21,武学奇术!$A:$ZZ,2,FALSE)+SUM(_xlfn.XLOOKUP($S21:$AL21,增益!$A:$A,增益!$B:$B,0))</f>
        <v>0.8541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3636.6</v>
      </c>
      <c r="AU21" cm="1">
        <f t="array" ref="AU21">$E$10*(1+$AS21)+VLOOKUP($R21,武学奇术!$A:$ZZ,4,FALSE)+SUM(_xlfn.XLOOKUP($S21:$AL21,增益!$A:$A,增益!$D:$D,0))-$I$2</f>
        <v>3636.6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0.3425</v>
      </c>
      <c r="AW21" s="32" cm="1">
        <f t="array" ref="AW21">$G$10+VLOOKUP($R21,武学奇术!$A:$ZZ,7,FALSE)+SUM(_xlfn.XLOOKUP($S21:$AL21,增益!$A:$A,增益!$G:$G,0))</f>
        <v>0.148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2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2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2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2" cm="1">
        <f t="array" ref="BN21">$G$14+VLOOKUP($R21,武学奇术!$A:$ZZ,16,FALSE)+SUM(_xlfn.XLOOKUP($S21:$AL21,增益!$A:$A,增益!$P:$P,0))</f>
        <v>0.27</v>
      </c>
      <c r="BO21" s="26">
        <f>MIN(IF(VLOOKUP($R21,武学奇术!$A:$ZZ,23,FALSE)=1,100%,$B$8),100%)</f>
        <v>0.981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26" cm="1">
        <f t="array" ref="BQ21">1+$B$13+VLOOKUP($R21,武学奇术!$A:$ZZ,18,FALSE)+SUM(_xlfn.XLOOKUP($S21:$AL21,增益!$A:$A,增益!$R:$R,0))</f>
        <v>2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0.829926</v>
      </c>
      <c r="BU21" s="26">
        <f t="shared" si="10"/>
        <v>0.0599391</v>
      </c>
      <c r="BV21" s="26">
        <f>IF(VLOOKUP($R21,武学奇术!$A:$ZZ,22,FALSE)=1,0,(1-$BO21))*(1-$BR21)</f>
        <v>0.0172349</v>
      </c>
      <c r="BW21" s="26" cm="1">
        <f t="array" ref="BW21">SUM(_xlfn.XLOOKUP($S21:$AL21,增益!$A:$A,增益!$W:$W,0))+$I$5</f>
        <v>0.11</v>
      </c>
      <c r="BX21" s="26" cm="1">
        <f t="array" ref="BX21">SUM(_xlfn.XLOOKUP($S21:$AL21,增益!$A:$A,增益!$X:$X,0))</f>
        <v>0</v>
      </c>
    </row>
    <row r="22" spans="1:76">
      <c r="A22" t="s">
        <v>154</v>
      </c>
      <c r="B22" s="28">
        <v>0.5</v>
      </c>
      <c r="C22" s="39" t="s">
        <v>155</v>
      </c>
      <c r="D22" s="79" t="s">
        <v>152</v>
      </c>
      <c r="E22" s="40" t="s">
        <v>156</v>
      </c>
      <c r="F22" s="40"/>
      <c r="K22">
        <f>$L22*VLOOKUP($R22,武学奇术!$A:$ZZ,31,FALSE)</f>
        <v>50406.1824421674</v>
      </c>
      <c r="L22" s="38">
        <f t="shared" si="0"/>
        <v>48005.8880401594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</f>
        <v>51141.1524391437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</f>
        <v>39289.8054576382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</f>
        <v>25570.5762195719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</f>
        <v>22037.5928408932</v>
      </c>
      <c r="Q22" s="39">
        <v>2</v>
      </c>
      <c r="R22" s="40" t="s">
        <v>119</v>
      </c>
      <c r="S22" s="40" t="s">
        <v>116</v>
      </c>
      <c r="T22" s="40" t="s">
        <v>102</v>
      </c>
      <c r="U22" s="40" t="s">
        <v>79</v>
      </c>
      <c r="V22" s="40" t="s">
        <v>88</v>
      </c>
      <c r="W22" s="40" t="s">
        <v>103</v>
      </c>
      <c r="X22" s="40" t="s">
        <v>106</v>
      </c>
      <c r="Y22" s="40" t="s">
        <v>91</v>
      </c>
      <c r="Z22" s="40" t="s">
        <v>78</v>
      </c>
      <c r="AA22" s="40" t="s">
        <v>78</v>
      </c>
      <c r="AB22" s="40" t="s">
        <v>133</v>
      </c>
      <c r="AC22" s="40" t="s">
        <v>98</v>
      </c>
      <c r="AD22" s="40" t="s">
        <v>78</v>
      </c>
      <c r="AE22" s="40" t="s">
        <v>83</v>
      </c>
      <c r="AF22" s="40" t="s">
        <v>84</v>
      </c>
      <c r="AG22" s="40" t="s">
        <v>85</v>
      </c>
      <c r="AH22" s="40" t="s">
        <v>78</v>
      </c>
      <c r="AI22" s="40" t="s">
        <v>78</v>
      </c>
      <c r="AJ22" s="40" t="s">
        <v>78</v>
      </c>
      <c r="AK22" s="40" t="s">
        <v>78</v>
      </c>
      <c r="AL22" s="40" t="s">
        <v>78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1.0541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3636.6</v>
      </c>
      <c r="AU22" cm="1">
        <f t="array" ref="AU22">$E$10*(1+$AS22)+VLOOKUP($R22,武学奇术!$A:$ZZ,4,FALSE)+SUM(_xlfn.XLOOKUP($S22:$AL22,增益!$A:$A,增益!$D:$D,0))-$I$2</f>
        <v>3636.6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0.3425</v>
      </c>
      <c r="AW22" s="32" cm="1">
        <f t="array" ref="AW22">$G$10+VLOOKUP($R22,武学奇术!$A:$ZZ,7,FALSE)+SUM(_xlfn.XLOOKUP($S22:$AL22,增益!$A:$A,增益!$G:$G,0))</f>
        <v>0.148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2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2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2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2" cm="1">
        <f t="array" ref="BN22">$G$14+VLOOKUP($R22,武学奇术!$A:$ZZ,16,FALSE)+SUM(_xlfn.XLOOKUP($S22:$AL22,增益!$A:$A,增益!$P:$P,0))</f>
        <v>0.27</v>
      </c>
      <c r="BO22" s="26">
        <f>MIN(IF(VLOOKUP($R22,武学奇术!$A:$ZZ,23,FALSE)=1,100%,$B$8),100%)</f>
        <v>0.981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26" cm="1">
        <f t="array" ref="BQ22">1+$B$13+VLOOKUP($R22,武学奇术!$A:$ZZ,18,FALSE)+SUM(_xlfn.XLOOKUP($S22:$AL22,增益!$A:$A,增益!$R:$R,0))</f>
        <v>2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0.829926</v>
      </c>
      <c r="BU22" s="26">
        <f t="shared" si="10"/>
        <v>0.0599391</v>
      </c>
      <c r="BV22" s="26">
        <f>IF(VLOOKUP($R22,武学奇术!$A:$ZZ,22,FALSE)=1,0,(1-$BO22))*(1-$BR22)</f>
        <v>0.0172349</v>
      </c>
      <c r="BW22" s="26" cm="1">
        <f t="array" ref="BW22">SUM(_xlfn.XLOOKUP($S22:$AL22,增益!$A:$A,增益!$W:$W,0))+$I$5</f>
        <v>0.11</v>
      </c>
      <c r="BX22" s="26" cm="1">
        <f t="array" ref="BX22">SUM(_xlfn.XLOOKUP($S22:$AL22,增益!$A:$A,增益!$X:$X,0))</f>
        <v>0</v>
      </c>
    </row>
    <row r="23" spans="1:76">
      <c r="A23" s="39" t="s">
        <v>157</v>
      </c>
      <c r="B23">
        <v>200</v>
      </c>
      <c r="E23" s="39" t="s">
        <v>158</v>
      </c>
      <c r="F23" s="39"/>
      <c r="K23">
        <f>$L23*VLOOKUP($R23,武学奇术!$A:$ZZ,31,FALSE)</f>
        <v>86784.5774683895</v>
      </c>
      <c r="L23" s="38">
        <f t="shared" si="0"/>
        <v>82651.9785413234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</f>
        <v>88136.2898296117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</f>
        <v>66700.7076657963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</f>
        <v>44068.1449148059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</f>
        <v>38728.3582253181</v>
      </c>
      <c r="Q23" s="39">
        <v>1</v>
      </c>
      <c r="R23" s="40" t="s">
        <v>115</v>
      </c>
      <c r="S23" s="40" t="s">
        <v>116</v>
      </c>
      <c r="T23" s="40" t="s">
        <v>102</v>
      </c>
      <c r="U23" s="40" t="s">
        <v>79</v>
      </c>
      <c r="V23" s="40" t="s">
        <v>88</v>
      </c>
      <c r="W23" s="40" t="s">
        <v>103</v>
      </c>
      <c r="X23" s="40" t="s">
        <v>106</v>
      </c>
      <c r="Y23" s="40" t="s">
        <v>91</v>
      </c>
      <c r="Z23" s="40" t="s">
        <v>78</v>
      </c>
      <c r="AA23" s="40" t="s">
        <v>78</v>
      </c>
      <c r="AB23" s="40" t="s">
        <v>133</v>
      </c>
      <c r="AC23" s="40" t="s">
        <v>92</v>
      </c>
      <c r="AD23" s="40" t="s">
        <v>78</v>
      </c>
      <c r="AE23" s="40" t="s">
        <v>83</v>
      </c>
      <c r="AF23" s="40" t="s">
        <v>84</v>
      </c>
      <c r="AG23" s="40" t="s">
        <v>85</v>
      </c>
      <c r="AH23" s="40" t="s">
        <v>78</v>
      </c>
      <c r="AI23" s="40" t="s">
        <v>78</v>
      </c>
      <c r="AJ23" s="40" t="s">
        <v>78</v>
      </c>
      <c r="AK23" s="40" t="s">
        <v>78</v>
      </c>
      <c r="AL23" s="40" t="s">
        <v>78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750</v>
      </c>
      <c r="AP23" s="26">
        <f>VLOOKUP($R23,武学奇术!$A:$ZZ,28,FALSE)</f>
        <v>2.7126</v>
      </c>
      <c r="AQ23" s="27">
        <f>VLOOKUP($R23,武学奇术!$A:$ZZ,29,FALSE)*(1+IF(OR($AM23=$F$4,$AM23=$F$5),$B$22,0))</f>
        <v>408</v>
      </c>
      <c r="AR23" s="26" cm="1">
        <f t="array" ref="AR23">$G$3+IFERROR(VLOOKUP($AM23,$F$4:$G$7,2,FALSE),0)+VLOOKUP($R23,武学奇术!$A:$ZZ,2,FALSE)+SUM(_xlfn.XLOOKUP($S23:$AL23,增益!$A:$A,增益!$B:$B,0))</f>
        <v>0.8541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3636.6</v>
      </c>
      <c r="AU23" cm="1">
        <f t="array" ref="AU23">$E$10*(1+$AS23)+VLOOKUP($R23,武学奇术!$A:$ZZ,4,FALSE)+SUM(_xlfn.XLOOKUP($S23:$AL23,增益!$A:$A,增益!$D:$D,0))-$I$2</f>
        <v>3636.6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0.3425</v>
      </c>
      <c r="AW23" s="32" cm="1">
        <f t="array" ref="AW23">$G$10+VLOOKUP($R23,武学奇术!$A:$ZZ,7,FALSE)+SUM(_xlfn.XLOOKUP($S23:$AL23,增益!$A:$A,增益!$G:$G,0))</f>
        <v>0.148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2" cm="1">
        <f t="array" ref="BN23">$G$14+VLOOKUP($R23,武学奇术!$A:$ZZ,16,FALSE)+SUM(_xlfn.XLOOKUP($S23:$AL23,增益!$A:$A,增益!$P:$P,0))</f>
        <v>0.27</v>
      </c>
      <c r="BO23" s="26">
        <f>MIN(IF(VLOOKUP($R23,武学奇术!$A:$ZZ,23,FALSE)=1,100%,$B$8),100%)</f>
        <v>0.981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26" cm="1">
        <f t="array" ref="BQ23">1+$B$13+VLOOKUP($R23,武学奇术!$A:$ZZ,18,FALSE)+SUM(_xlfn.XLOOKUP($S23:$AL23,增益!$A:$A,增益!$R:$R,0))</f>
        <v>2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0.829926</v>
      </c>
      <c r="BU23" s="26">
        <f t="shared" si="10"/>
        <v>0.0599391</v>
      </c>
      <c r="BV23" s="26">
        <f>IF(VLOOKUP($R23,武学奇术!$A:$ZZ,22,FALSE)=1,0,(1-$BO23))*(1-$BR23)</f>
        <v>0.0172349</v>
      </c>
      <c r="BW23" s="26" cm="1">
        <f t="array" ref="BW23">SUM(_xlfn.XLOOKUP($S23:$AL23,增益!$A:$A,增益!$W:$W,0))+$I$5</f>
        <v>0.11</v>
      </c>
      <c r="BX23" s="26" cm="1">
        <f t="array" ref="BX23">SUM(_xlfn.XLOOKUP($S23:$AL23,增益!$A:$A,增益!$X:$X,0))</f>
        <v>0</v>
      </c>
    </row>
    <row r="24" spans="1:76">
      <c r="A24" s="39"/>
      <c r="B24">
        <v>400</v>
      </c>
      <c r="E24" s="40" t="s">
        <v>159</v>
      </c>
      <c r="F24" s="40"/>
      <c r="K24">
        <f>$L24*VLOOKUP($R24,武学奇术!$A:$ZZ,31,FALSE)</f>
        <v>50406.1824421674</v>
      </c>
      <c r="L24" s="38">
        <f t="shared" si="0"/>
        <v>48005.8880401594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</f>
        <v>51141.1524391437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</f>
        <v>39289.8054576382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</f>
        <v>25570.5762195719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</f>
        <v>22037.5928408932</v>
      </c>
      <c r="Q24" s="39">
        <v>2</v>
      </c>
      <c r="R24" s="40" t="s">
        <v>119</v>
      </c>
      <c r="S24" s="40" t="s">
        <v>116</v>
      </c>
      <c r="T24" s="40" t="s">
        <v>102</v>
      </c>
      <c r="U24" s="40" t="s">
        <v>79</v>
      </c>
      <c r="V24" s="40" t="s">
        <v>88</v>
      </c>
      <c r="W24" s="40" t="s">
        <v>103</v>
      </c>
      <c r="X24" s="40" t="s">
        <v>106</v>
      </c>
      <c r="Y24" s="40" t="s">
        <v>91</v>
      </c>
      <c r="Z24" s="40" t="s">
        <v>78</v>
      </c>
      <c r="AA24" s="40" t="s">
        <v>78</v>
      </c>
      <c r="AB24" s="40" t="s">
        <v>133</v>
      </c>
      <c r="AC24" s="40" t="s">
        <v>92</v>
      </c>
      <c r="AD24" s="40" t="s">
        <v>78</v>
      </c>
      <c r="AE24" s="40" t="s">
        <v>83</v>
      </c>
      <c r="AF24" s="40" t="s">
        <v>84</v>
      </c>
      <c r="AG24" s="40" t="s">
        <v>85</v>
      </c>
      <c r="AH24" s="40" t="s">
        <v>78</v>
      </c>
      <c r="AI24" s="40" t="s">
        <v>78</v>
      </c>
      <c r="AJ24" s="40" t="s">
        <v>78</v>
      </c>
      <c r="AK24" s="40" t="s">
        <v>78</v>
      </c>
      <c r="AL24" s="40" t="s">
        <v>78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1.0541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3636.6</v>
      </c>
      <c r="AU24" cm="1">
        <f t="array" ref="AU24">$E$10*(1+$AS24)+VLOOKUP($R24,武学奇术!$A:$ZZ,4,FALSE)+SUM(_xlfn.XLOOKUP($S24:$AL24,增益!$A:$A,增益!$D:$D,0))-$I$2</f>
        <v>3636.6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0.3425</v>
      </c>
      <c r="AW24" s="32" cm="1">
        <f t="array" ref="AW24">$G$10+VLOOKUP($R24,武学奇术!$A:$ZZ,7,FALSE)+SUM(_xlfn.XLOOKUP($S24:$AL24,增益!$A:$A,增益!$G:$G,0))</f>
        <v>0.148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2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2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2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2" cm="1">
        <f t="array" ref="BN24">$G$14+VLOOKUP($R24,武学奇术!$A:$ZZ,16,FALSE)+SUM(_xlfn.XLOOKUP($S24:$AL24,增益!$A:$A,增益!$P:$P,0))</f>
        <v>0.27</v>
      </c>
      <c r="BO24" s="26">
        <f>MIN(IF(VLOOKUP($R24,武学奇术!$A:$ZZ,23,FALSE)=1,100%,$B$8),100%)</f>
        <v>0.981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26" cm="1">
        <f t="array" ref="BQ24">1+$B$13+VLOOKUP($R24,武学奇术!$A:$ZZ,18,FALSE)+SUM(_xlfn.XLOOKUP($S24:$AL24,增益!$A:$A,增益!$R:$R,0))</f>
        <v>2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0.829926</v>
      </c>
      <c r="BU24" s="26">
        <f t="shared" si="10"/>
        <v>0.0599391</v>
      </c>
      <c r="BV24" s="26">
        <f>IF(VLOOKUP($R24,武学奇术!$A:$ZZ,22,FALSE)=1,0,(1-$BO24))*(1-$BR24)</f>
        <v>0.0172349</v>
      </c>
      <c r="BW24" s="26" cm="1">
        <f t="array" ref="BW24">SUM(_xlfn.XLOOKUP($S24:$AL24,增益!$A:$A,增益!$W:$W,0))+$I$5</f>
        <v>0.11</v>
      </c>
      <c r="BX24" s="26" cm="1">
        <f t="array" ref="BX24">SUM(_xlfn.XLOOKUP($S24:$AL24,增益!$A:$A,增益!$X:$X,0))</f>
        <v>0</v>
      </c>
    </row>
    <row r="25" spans="1:76">
      <c r="K25">
        <f>$L25*VLOOKUP($R25,武学奇术!$A:$ZZ,31,FALSE)</f>
        <v>102525.640788499</v>
      </c>
      <c r="L25" s="38">
        <f t="shared" si="0"/>
        <v>97643.4674176179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</f>
        <v>97643.4674176179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</f>
        <v>73895.6494343953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</f>
        <v>48821.733708809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</f>
        <v>42905.9493180659</v>
      </c>
      <c r="Q25" s="39">
        <v>1</v>
      </c>
      <c r="R25" s="40" t="s">
        <v>132</v>
      </c>
      <c r="S25" s="40" t="s">
        <v>116</v>
      </c>
      <c r="T25" s="40" t="s">
        <v>102</v>
      </c>
      <c r="U25" s="40" t="s">
        <v>79</v>
      </c>
      <c r="V25" s="40" t="s">
        <v>88</v>
      </c>
      <c r="W25" s="40" t="s">
        <v>103</v>
      </c>
      <c r="X25" s="40" t="s">
        <v>106</v>
      </c>
      <c r="Y25" s="40" t="s">
        <v>91</v>
      </c>
      <c r="Z25" s="40" t="s">
        <v>78</v>
      </c>
      <c r="AA25" s="40" t="s">
        <v>78</v>
      </c>
      <c r="AB25" s="40" t="s">
        <v>133</v>
      </c>
      <c r="AC25" s="40" t="s">
        <v>92</v>
      </c>
      <c r="AD25" s="40" t="s">
        <v>78</v>
      </c>
      <c r="AE25" s="40" t="s">
        <v>83</v>
      </c>
      <c r="AF25" s="40" t="s">
        <v>84</v>
      </c>
      <c r="AG25" s="40" t="s">
        <v>85</v>
      </c>
      <c r="AH25" s="40" t="s">
        <v>78</v>
      </c>
      <c r="AI25" s="40" t="s">
        <v>78</v>
      </c>
      <c r="AJ25" s="40" t="s">
        <v>78</v>
      </c>
      <c r="AK25" s="40" t="s">
        <v>78</v>
      </c>
      <c r="AL25" s="40" t="s">
        <v>78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750</v>
      </c>
      <c r="AP25" s="26">
        <f>VLOOKUP($R25,武学奇术!$A:$ZZ,28,FALSE)</f>
        <v>2.7126</v>
      </c>
      <c r="AQ25" s="27">
        <f>VLOOKUP($R25,武学奇术!$A:$ZZ,29,FALSE)*(1+IF(OR($AM25=$F$4,$AM25=$F$5),$B$22,0))</f>
        <v>408</v>
      </c>
      <c r="AR25" s="26" cm="1">
        <f t="array" ref="AR25">$G$3+IFERROR(VLOOKUP($AM25,$F$4:$G$7,2,FALSE),0)+VLOOKUP($R25,武学奇术!$A:$ZZ,2,FALSE)+SUM(_xlfn.XLOOKUP($S25:$AL25,增益!$A:$A,增益!$B:$B,0))</f>
        <v>1.0541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3636.6</v>
      </c>
      <c r="AU25" cm="1">
        <f t="array" ref="AU25">$E$10*(1+$AS25)+VLOOKUP($R25,武学奇术!$A:$ZZ,4,FALSE)+SUM(_xlfn.XLOOKUP($S25:$AL25,增益!$A:$A,增益!$D:$D,0))-$I$2</f>
        <v>3636.6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0.3425</v>
      </c>
      <c r="AW25" s="32" cm="1">
        <f t="array" ref="AW25">$G$10+VLOOKUP($R25,武学奇术!$A:$ZZ,7,FALSE)+SUM(_xlfn.XLOOKUP($S25:$AL25,增益!$A:$A,增益!$G:$G,0))</f>
        <v>0.148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2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2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2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0.08</v>
      </c>
      <c r="BN25" s="32" cm="1">
        <f t="array" ref="BN25">$G$14+VLOOKUP($R25,武学奇术!$A:$ZZ,16,FALSE)+SUM(_xlfn.XLOOKUP($S25:$AL25,增益!$A:$A,增益!$P:$P,0))</f>
        <v>0.27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2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 cm="1">
        <f t="array" ref="BX25">SUM(_xlfn.XLOOKUP($S25:$AL25,增益!$A:$A,增益!$X:$X,0))</f>
        <v>0</v>
      </c>
    </row>
    <row r="26" spans="1:76">
      <c r="K26">
        <f>$L26*VLOOKUP($R26,武学奇术!$A:$ZZ,31,FALSE)</f>
        <v>58926.6030372073</v>
      </c>
      <c r="L26" s="38">
        <f t="shared" si="0"/>
        <v>56120.5743211498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</f>
        <v>56120.5743211498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</f>
        <v>43115.306208102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</f>
        <v>28060.2871605749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</f>
        <v>24183.3104632965</v>
      </c>
      <c r="Q26" s="39">
        <v>2</v>
      </c>
      <c r="R26" s="40" t="s">
        <v>139</v>
      </c>
      <c r="S26" s="40" t="s">
        <v>116</v>
      </c>
      <c r="T26" s="40" t="s">
        <v>102</v>
      </c>
      <c r="U26" s="40" t="s">
        <v>79</v>
      </c>
      <c r="V26" s="40" t="s">
        <v>88</v>
      </c>
      <c r="W26" s="40" t="s">
        <v>103</v>
      </c>
      <c r="X26" s="40" t="s">
        <v>106</v>
      </c>
      <c r="Y26" s="40" t="s">
        <v>91</v>
      </c>
      <c r="Z26" s="40" t="s">
        <v>78</v>
      </c>
      <c r="AA26" s="40" t="s">
        <v>78</v>
      </c>
      <c r="AB26" s="40" t="s">
        <v>133</v>
      </c>
      <c r="AC26" s="40" t="s">
        <v>92</v>
      </c>
      <c r="AD26" s="40" t="s">
        <v>78</v>
      </c>
      <c r="AE26" s="40" t="s">
        <v>83</v>
      </c>
      <c r="AF26" s="40" t="s">
        <v>84</v>
      </c>
      <c r="AG26" s="40" t="s">
        <v>85</v>
      </c>
      <c r="AH26" s="40" t="s">
        <v>78</v>
      </c>
      <c r="AI26" s="40" t="s">
        <v>78</v>
      </c>
      <c r="AJ26" s="40" t="s">
        <v>78</v>
      </c>
      <c r="AK26" s="40" t="s">
        <v>78</v>
      </c>
      <c r="AL26" s="40" t="s">
        <v>78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1.2541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3636.6</v>
      </c>
      <c r="AU26" cm="1">
        <f t="array" ref="AU26">$E$10*(1+$AS26)+VLOOKUP($R26,武学奇术!$A:$ZZ,4,FALSE)+SUM(_xlfn.XLOOKUP($S26:$AL26,增益!$A:$A,增益!$D:$D,0))-$I$2</f>
        <v>3636.6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0.3425</v>
      </c>
      <c r="AW26" s="32" cm="1">
        <f t="array" ref="AW26">$G$10+VLOOKUP($R26,武学奇术!$A:$ZZ,7,FALSE)+SUM(_xlfn.XLOOKUP($S26:$AL26,增益!$A:$A,增益!$G:$G,0))</f>
        <v>0.148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2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2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2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2" cm="1">
        <f t="array" ref="BN26">$G$14+VLOOKUP($R26,武学奇术!$A:$ZZ,16,FALSE)+SUM(_xlfn.XLOOKUP($S26:$AL26,增益!$A:$A,增益!$P:$P,0))</f>
        <v>0.27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2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 cm="1">
        <f t="array" ref="BX26">SUM(_xlfn.XLOOKUP($S26:$AL26,增益!$A:$A,增益!$X:$X,0))</f>
        <v>0</v>
      </c>
    </row>
    <row r="27" spans="1:76">
      <c r="K27">
        <f>$L27*VLOOKUP($R27,武学奇术!$A:$ZZ,31,FALSE)</f>
        <v>174337.194220747</v>
      </c>
      <c r="L27" s="38">
        <f t="shared" si="0"/>
        <v>166035.423067378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</f>
        <v>177153.94255752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</f>
        <v>133401.415331593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</f>
        <v>88136.2898296117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</f>
        <v>77456.7164506363</v>
      </c>
      <c r="Q27" s="39">
        <v>2</v>
      </c>
      <c r="R27" s="40" t="s">
        <v>115</v>
      </c>
      <c r="S27" s="40" t="s">
        <v>116</v>
      </c>
      <c r="T27" s="40" t="s">
        <v>102</v>
      </c>
      <c r="U27" s="40" t="s">
        <v>79</v>
      </c>
      <c r="V27" s="40" t="s">
        <v>88</v>
      </c>
      <c r="W27" s="40" t="s">
        <v>160</v>
      </c>
      <c r="X27" s="40" t="s">
        <v>106</v>
      </c>
      <c r="Y27" s="40" t="s">
        <v>91</v>
      </c>
      <c r="Z27" s="40" t="s">
        <v>78</v>
      </c>
      <c r="AA27" s="40" t="s">
        <v>78</v>
      </c>
      <c r="AB27" s="40" t="s">
        <v>133</v>
      </c>
      <c r="AC27" s="40" t="s">
        <v>92</v>
      </c>
      <c r="AD27" s="40" t="s">
        <v>78</v>
      </c>
      <c r="AE27" s="40" t="s">
        <v>83</v>
      </c>
      <c r="AF27" s="40" t="s">
        <v>84</v>
      </c>
      <c r="AG27" s="40" t="s">
        <v>85</v>
      </c>
      <c r="AH27" s="40" t="s">
        <v>78</v>
      </c>
      <c r="AI27" s="40" t="s">
        <v>78</v>
      </c>
      <c r="AJ27" s="40" t="s">
        <v>78</v>
      </c>
      <c r="AK27" s="40" t="s">
        <v>78</v>
      </c>
      <c r="AL27" s="40" t="s">
        <v>78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750</v>
      </c>
      <c r="AP27" s="26">
        <f>VLOOKUP($R27,武学奇术!$A:$ZZ,28,FALSE)</f>
        <v>2.7126</v>
      </c>
      <c r="AQ27" s="27">
        <f>VLOOKUP($R27,武学奇术!$A:$ZZ,29,FALSE)*(1+IF(OR($AM27=$F$4,$AM27=$F$5),$B$22,0))</f>
        <v>408</v>
      </c>
      <c r="AR27" s="26" cm="1">
        <f t="array" ref="AR27">$G$3+IFERROR(VLOOKUP($AM27,$F$4:$G$7,2,FALSE),0)+VLOOKUP($R27,武学奇术!$A:$ZZ,2,FALSE)+SUM(_xlfn.XLOOKUP($S27:$AL27,增益!$A:$A,增益!$B:$B,0))</f>
        <v>0.8541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3636.6</v>
      </c>
      <c r="AU27" cm="1">
        <f t="array" ref="AU27">$E$10*(1+$AS27)+VLOOKUP($R27,武学奇术!$A:$ZZ,4,FALSE)+SUM(_xlfn.XLOOKUP($S27:$AL27,增益!$A:$A,增益!$D:$D,0))-$I$2</f>
        <v>3636.6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0.3425</v>
      </c>
      <c r="AW27" s="32" cm="1">
        <f t="array" ref="AW27">$G$10+VLOOKUP($R27,武学奇术!$A:$ZZ,7,FALSE)+SUM(_xlfn.XLOOKUP($S27:$AL27,增益!$A:$A,增益!$G:$G,0))</f>
        <v>0.148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2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2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2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32" cm="1">
        <f t="array" ref="BN27">$G$14+VLOOKUP($R27,武学奇术!$A:$ZZ,16,FALSE)+SUM(_xlfn.XLOOKUP($S27:$AL27,增益!$A:$A,增益!$P:$P,0))</f>
        <v>0.27</v>
      </c>
      <c r="BO27" s="26">
        <f>MIN(IF(VLOOKUP($R27,武学奇术!$A:$ZZ,23,FALSE)=1,100%,$B$8),100%)</f>
        <v>0.981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26" cm="1">
        <f t="array" ref="BQ27">1+$B$13+VLOOKUP($R27,武学奇术!$A:$ZZ,18,FALSE)+SUM(_xlfn.XLOOKUP($S27:$AL27,增益!$A:$A,增益!$R:$R,0))</f>
        <v>2.01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0.829926</v>
      </c>
      <c r="BU27" s="26">
        <f t="shared" si="10"/>
        <v>0.0599391</v>
      </c>
      <c r="BV27" s="26">
        <f>IF(VLOOKUP($R27,武学奇术!$A:$ZZ,22,FALSE)=1,0,(1-$BO27))*(1-$BR27)</f>
        <v>0.0172349</v>
      </c>
      <c r="BW27" s="26" cm="1">
        <f t="array" ref="BW27">SUM(_xlfn.XLOOKUP($S27:$AL27,增益!$A:$A,增益!$W:$W,0))+$I$5</f>
        <v>0.11</v>
      </c>
      <c r="BX27" s="26" cm="1">
        <f t="array" ref="BX27">SUM(_xlfn.XLOOKUP($S27:$AL27,增益!$A:$A,增益!$X:$X,0))</f>
        <v>0</v>
      </c>
    </row>
    <row r="28" spans="1:76">
      <c r="A28" s="4" t="s">
        <v>161</v>
      </c>
      <c r="B28" s="88">
        <v>1.3</v>
      </c>
      <c r="C28" s="39" t="s">
        <v>162</v>
      </c>
      <c r="H28">
        <v>1</v>
      </c>
      <c r="K28">
        <f>$L28*VLOOKUP($R28,武学奇术!$A:$ZZ,31,FALSE)</f>
        <v>101258.020291166</v>
      </c>
      <c r="L28" s="38">
        <f t="shared" si="0"/>
        <v>96436.2098011109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</f>
        <v>102793.716402679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</f>
        <v>78579.6109152764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</f>
        <v>51141.1524391437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</f>
        <v>44075.1856817864</v>
      </c>
      <c r="Q28" s="39">
        <v>4</v>
      </c>
      <c r="R28" s="40" t="s">
        <v>119</v>
      </c>
      <c r="S28" s="40" t="s">
        <v>116</v>
      </c>
      <c r="T28" s="40" t="s">
        <v>102</v>
      </c>
      <c r="U28" s="40" t="s">
        <v>79</v>
      </c>
      <c r="V28" s="40" t="s">
        <v>88</v>
      </c>
      <c r="W28" s="40" t="s">
        <v>160</v>
      </c>
      <c r="X28" s="40" t="s">
        <v>106</v>
      </c>
      <c r="Y28" s="40" t="s">
        <v>91</v>
      </c>
      <c r="Z28" s="40" t="s">
        <v>78</v>
      </c>
      <c r="AA28" s="40" t="s">
        <v>78</v>
      </c>
      <c r="AB28" s="40" t="s">
        <v>133</v>
      </c>
      <c r="AC28" s="40" t="s">
        <v>92</v>
      </c>
      <c r="AD28" s="40" t="s">
        <v>78</v>
      </c>
      <c r="AE28" s="40" t="s">
        <v>83</v>
      </c>
      <c r="AF28" s="40" t="s">
        <v>84</v>
      </c>
      <c r="AG28" s="40" t="s">
        <v>85</v>
      </c>
      <c r="AH28" s="40" t="s">
        <v>78</v>
      </c>
      <c r="AI28" s="40" t="s">
        <v>78</v>
      </c>
      <c r="AJ28" s="40" t="s">
        <v>78</v>
      </c>
      <c r="AK28" s="40" t="s">
        <v>78</v>
      </c>
      <c r="AL28" s="40" t="s">
        <v>78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1.0541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3636.6</v>
      </c>
      <c r="AU28" cm="1">
        <f t="array" ref="AU28">$E$10*(1+$AS28)+VLOOKUP($R28,武学奇术!$A:$ZZ,4,FALSE)+SUM(_xlfn.XLOOKUP($S28:$AL28,增益!$A:$A,增益!$D:$D,0))-$I$2</f>
        <v>3636.6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0.3425</v>
      </c>
      <c r="AW28" s="32" cm="1">
        <f t="array" ref="AW28">$G$10+VLOOKUP($R28,武学奇术!$A:$ZZ,7,FALSE)+SUM(_xlfn.XLOOKUP($S28:$AL28,增益!$A:$A,增益!$G:$G,0))</f>
        <v>0.148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2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2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2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32" cm="1">
        <f t="array" ref="BN28">$G$14+VLOOKUP($R28,武学奇术!$A:$ZZ,16,FALSE)+SUM(_xlfn.XLOOKUP($S28:$AL28,增益!$A:$A,增益!$P:$P,0))</f>
        <v>0.27</v>
      </c>
      <c r="BO28" s="26">
        <f>MIN(IF(VLOOKUP($R28,武学奇术!$A:$ZZ,23,FALSE)=1,100%,$B$8),100%)</f>
        <v>0.981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26" cm="1">
        <f t="array" ref="BQ28">1+$B$13+VLOOKUP($R28,武学奇术!$A:$ZZ,18,FALSE)+SUM(_xlfn.XLOOKUP($S28:$AL28,增益!$A:$A,增益!$R:$R,0))</f>
        <v>2.01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0.829926</v>
      </c>
      <c r="BU28" s="26">
        <f t="shared" si="10"/>
        <v>0.0599391</v>
      </c>
      <c r="BV28" s="26">
        <f>IF(VLOOKUP($R28,武学奇术!$A:$ZZ,22,FALSE)=1,0,(1-$BO28))*(1-$BR28)</f>
        <v>0.0172349</v>
      </c>
      <c r="BW28" s="26" cm="1">
        <f t="array" ref="BW28">SUM(_xlfn.XLOOKUP($S28:$AL28,增益!$A:$A,增益!$W:$W,0))+$I$5</f>
        <v>0.11</v>
      </c>
      <c r="BX28" s="26" cm="1">
        <f t="array" ref="BX28">SUM(_xlfn.XLOOKUP($S28:$AL28,增益!$A:$A,增益!$X:$X,0))</f>
        <v>0</v>
      </c>
    </row>
    <row r="29" spans="1:76">
      <c r="A29" s="4" t="s">
        <v>163</v>
      </c>
      <c r="B29" s="88">
        <v>0.5</v>
      </c>
      <c r="C29" s="39"/>
      <c r="H29">
        <v>21</v>
      </c>
      <c r="K29">
        <f>$L29*VLOOKUP($R29,武学奇术!$A:$ZZ,31,FALSE)</f>
        <v>103038.268992441</v>
      </c>
      <c r="L29" s="38">
        <f t="shared" si="0"/>
        <v>98131.684754706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</f>
        <v>98131.684754706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</f>
        <v>73895.6494343953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</f>
        <v>48821.733708809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</f>
        <v>42905.9493180659</v>
      </c>
      <c r="Q29" s="39">
        <v>1</v>
      </c>
      <c r="R29" s="40" t="s">
        <v>132</v>
      </c>
      <c r="S29" s="40" t="s">
        <v>116</v>
      </c>
      <c r="T29" s="40" t="s">
        <v>102</v>
      </c>
      <c r="U29" s="40" t="s">
        <v>79</v>
      </c>
      <c r="V29" s="40" t="s">
        <v>88</v>
      </c>
      <c r="W29" s="40" t="s">
        <v>160</v>
      </c>
      <c r="X29" s="40" t="s">
        <v>106</v>
      </c>
      <c r="Y29" s="40" t="s">
        <v>91</v>
      </c>
      <c r="Z29" s="40" t="s">
        <v>78</v>
      </c>
      <c r="AA29" s="40" t="s">
        <v>78</v>
      </c>
      <c r="AB29" s="40" t="s">
        <v>133</v>
      </c>
      <c r="AC29" s="40" t="s">
        <v>92</v>
      </c>
      <c r="AD29" s="40" t="s">
        <v>78</v>
      </c>
      <c r="AE29" s="40" t="s">
        <v>83</v>
      </c>
      <c r="AF29" s="40" t="s">
        <v>84</v>
      </c>
      <c r="AG29" s="40" t="s">
        <v>85</v>
      </c>
      <c r="AH29" s="40" t="s">
        <v>78</v>
      </c>
      <c r="AI29" s="40" t="s">
        <v>78</v>
      </c>
      <c r="AJ29" s="40" t="s">
        <v>78</v>
      </c>
      <c r="AK29" s="40" t="s">
        <v>78</v>
      </c>
      <c r="AL29" s="40" t="s">
        <v>78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750</v>
      </c>
      <c r="AP29" s="26">
        <f>VLOOKUP($R29,武学奇术!$A:$ZZ,28,FALSE)</f>
        <v>2.7126</v>
      </c>
      <c r="AQ29" s="27">
        <f>VLOOKUP($R29,武学奇术!$A:$ZZ,29,FALSE)*(1+IF(OR($AM29=$F$4,$AM29=$F$5),$B$22,0))</f>
        <v>408</v>
      </c>
      <c r="AR29" s="26" cm="1">
        <f t="array" ref="AR29">$G$3+IFERROR(VLOOKUP($AM29,$F$4:$G$7,2,FALSE),0)+VLOOKUP($R29,武学奇术!$A:$ZZ,2,FALSE)+SUM(_xlfn.XLOOKUP($S29:$AL29,增益!$A:$A,增益!$B:$B,0))</f>
        <v>1.0541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3636.6</v>
      </c>
      <c r="AU29" cm="1">
        <f t="array" ref="AU29">$E$10*(1+$AS29)+VLOOKUP($R29,武学奇术!$A:$ZZ,4,FALSE)+SUM(_xlfn.XLOOKUP($S29:$AL29,增益!$A:$A,增益!$D:$D,0))-$I$2</f>
        <v>3636.6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0.3425</v>
      </c>
      <c r="AW29" s="32" cm="1">
        <f t="array" ref="AW29">$G$10+VLOOKUP($R29,武学奇术!$A:$ZZ,7,FALSE)+SUM(_xlfn.XLOOKUP($S29:$AL29,增益!$A:$A,增益!$G:$G,0))</f>
        <v>0.148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2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32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2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32" cm="1">
        <f t="array" ref="BN29">$G$14+VLOOKUP($R29,武学奇术!$A:$ZZ,16,FALSE)+SUM(_xlfn.XLOOKUP($S29:$AL29,增益!$A:$A,增益!$P:$P,0))</f>
        <v>0.27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2.01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 cm="1">
        <f t="array" ref="BX29">SUM(_xlfn.XLOOKUP($S29:$AL29,增益!$A:$A,增益!$X:$X,0))</f>
        <v>0</v>
      </c>
    </row>
    <row r="30" spans="1:76">
      <c r="A30" s="4" t="s">
        <v>164</v>
      </c>
      <c r="B30" s="88">
        <v>1.5</v>
      </c>
      <c r="F30" s="39" t="s">
        <v>165</v>
      </c>
      <c r="H30">
        <v>41</v>
      </c>
      <c r="K30">
        <f>$L30*VLOOKUP($R30,武学奇术!$A:$ZZ,31,FALSE)</f>
        <v>29610.6180261967</v>
      </c>
      <c r="L30" s="38">
        <f t="shared" si="0"/>
        <v>28200.5885963778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</f>
        <v>28200.5885963778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</f>
        <v>21557.653104051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</f>
        <v>14030.1435802875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</f>
        <v>12091.6552316482</v>
      </c>
      <c r="Q30" s="39">
        <v>1</v>
      </c>
      <c r="R30" s="40" t="s">
        <v>139</v>
      </c>
      <c r="S30" s="40" t="s">
        <v>116</v>
      </c>
      <c r="T30" s="40" t="s">
        <v>102</v>
      </c>
      <c r="U30" s="40" t="s">
        <v>79</v>
      </c>
      <c r="V30" s="40" t="s">
        <v>88</v>
      </c>
      <c r="W30" s="40" t="s">
        <v>160</v>
      </c>
      <c r="X30" s="40" t="s">
        <v>106</v>
      </c>
      <c r="Y30" s="40" t="s">
        <v>91</v>
      </c>
      <c r="Z30" s="40" t="s">
        <v>78</v>
      </c>
      <c r="AA30" s="40" t="s">
        <v>78</v>
      </c>
      <c r="AB30" s="40" t="s">
        <v>133</v>
      </c>
      <c r="AC30" s="40" t="s">
        <v>92</v>
      </c>
      <c r="AD30" s="40" t="s">
        <v>78</v>
      </c>
      <c r="AE30" s="40" t="s">
        <v>83</v>
      </c>
      <c r="AF30" s="40" t="s">
        <v>84</v>
      </c>
      <c r="AG30" s="40" t="s">
        <v>85</v>
      </c>
      <c r="AH30" s="40" t="s">
        <v>78</v>
      </c>
      <c r="AI30" s="40" t="s">
        <v>78</v>
      </c>
      <c r="AJ30" s="40" t="s">
        <v>78</v>
      </c>
      <c r="AK30" s="40" t="s">
        <v>78</v>
      </c>
      <c r="AL30" s="40" t="s">
        <v>78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1.2541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3636.6</v>
      </c>
      <c r="AU30" cm="1">
        <f t="array" ref="AU30">$E$10*(1+$AS30)+VLOOKUP($R30,武学奇术!$A:$ZZ,4,FALSE)+SUM(_xlfn.XLOOKUP($S30:$AL30,增益!$A:$A,增益!$D:$D,0))-$I$2</f>
        <v>3636.6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0.3425</v>
      </c>
      <c r="AW30" s="32" cm="1">
        <f t="array" ref="AW30">$G$10+VLOOKUP($R30,武学奇术!$A:$ZZ,7,FALSE)+SUM(_xlfn.XLOOKUP($S30:$AL30,增益!$A:$A,增益!$G:$G,0))</f>
        <v>0.148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2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2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2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2" cm="1">
        <f t="array" ref="BN30">$G$14+VLOOKUP($R30,武学奇术!$A:$ZZ,16,FALSE)+SUM(_xlfn.XLOOKUP($S30:$AL30,增益!$A:$A,增益!$P:$P,0))</f>
        <v>0.27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2.01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 cm="1">
        <f t="array" ref="BX30">SUM(_xlfn.XLOOKUP($S30:$AL30,增益!$A:$A,增益!$X:$X,0))</f>
        <v>0</v>
      </c>
    </row>
    <row r="31" spans="1:76">
      <c r="A31" s="4" t="s">
        <v>166</v>
      </c>
      <c r="B31" s="4">
        <v>0.5</v>
      </c>
      <c r="F31" s="39"/>
      <c r="H31">
        <v>73</v>
      </c>
      <c r="K31">
        <f>$L31*VLOOKUP($R31,武学奇术!$A:$ZZ,31,FALSE)</f>
        <v>48646.2219289462</v>
      </c>
      <c r="L31" s="38">
        <f t="shared" si="0"/>
        <v>46329.7351704249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</f>
        <v>49009.240903297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</f>
        <v>39701.4101178141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</f>
        <v>26208.1502156669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</f>
        <v>23007.8484922122</v>
      </c>
      <c r="Q31" s="39">
        <v>1</v>
      </c>
      <c r="R31" s="40" t="s">
        <v>167</v>
      </c>
      <c r="S31" s="40" t="s">
        <v>78</v>
      </c>
      <c r="T31" s="40" t="s">
        <v>102</v>
      </c>
      <c r="U31" s="40" t="s">
        <v>79</v>
      </c>
      <c r="V31" s="40" t="s">
        <v>78</v>
      </c>
      <c r="W31" s="40" t="s">
        <v>168</v>
      </c>
      <c r="X31" s="40" t="s">
        <v>106</v>
      </c>
      <c r="Y31" s="40" t="s">
        <v>91</v>
      </c>
      <c r="Z31" s="40" t="s">
        <v>78</v>
      </c>
      <c r="AA31" s="40" t="s">
        <v>78</v>
      </c>
      <c r="AB31" s="40" t="s">
        <v>78</v>
      </c>
      <c r="AC31" s="40" t="s">
        <v>92</v>
      </c>
      <c r="AD31" s="40" t="s">
        <v>78</v>
      </c>
      <c r="AE31" s="40" t="s">
        <v>83</v>
      </c>
      <c r="AF31" s="40" t="s">
        <v>84</v>
      </c>
      <c r="AG31" s="40" t="s">
        <v>85</v>
      </c>
      <c r="AH31" s="40" t="s">
        <v>78</v>
      </c>
      <c r="AI31" s="40" t="s">
        <v>78</v>
      </c>
      <c r="AJ31" s="40" t="s">
        <v>78</v>
      </c>
      <c r="AK31" s="40" t="s">
        <v>78</v>
      </c>
      <c r="AL31" s="40" t="s">
        <v>78</v>
      </c>
      <c r="AM31" t="str">
        <f>VLOOKUP($R31,武学奇术!$A:$ZZ,25,FALSE)</f>
        <v>伞</v>
      </c>
      <c r="AN31" s="26">
        <f>VLOOKUP($R31,武学奇术!$A:$ZZ,26,FALSE)</f>
        <v>2.01456</v>
      </c>
      <c r="AO31" s="27">
        <f>VLOOKUP($R31,武学奇术!$A:$ZZ,27,FALSE)*(1+IF(OR($AM31=$F$4,$AM31=$F$5),$B$22,0))</f>
        <v>837</v>
      </c>
      <c r="AP31" s="26">
        <f>VLOOKUP($R31,武学奇术!$A:$ZZ,28,FALSE)</f>
        <v>3.02184</v>
      </c>
      <c r="AQ31" s="27">
        <f>VLOOKUP($R31,武学奇术!$A:$ZZ,29,FALSE)*(1+IF(OR($AM31=$F$4,$AM31=$F$5),$B$22,0))</f>
        <v>453.6</v>
      </c>
      <c r="AR31" s="26" cm="1">
        <f t="array" ref="AR31">$G$3+IFERROR(VLOOKUP($AM31,$F$4:$G$7,2,FALSE),0)+VLOOKUP($R31,武学奇术!$A:$ZZ,2,FALSE)+SUM(_xlfn.XLOOKUP($S31:$AL31,增益!$A:$A,增益!$B:$B,0))</f>
        <v>0.4541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3636.6</v>
      </c>
      <c r="AU31" cm="1">
        <f t="array" ref="AU31">$E$10*(1+$AS31)+VLOOKUP($R31,武学奇术!$A:$ZZ,4,FALSE)+SUM(_xlfn.XLOOKUP($S31:$AL31,增益!$A:$A,增益!$D:$D,0))-$I$2</f>
        <v>3636.6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0.3425</v>
      </c>
      <c r="AW31" s="32" cm="1">
        <f t="array" ref="AW31">$G$10+VLOOKUP($R31,武学奇术!$A:$ZZ,7,FALSE)+SUM(_xlfn.XLOOKUP($S31:$AL31,增益!$A:$A,增益!$G:$G,0))</f>
        <v>0.028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2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2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2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2" cm="1">
        <f t="array" ref="BN31">$G$14+VLOOKUP($R31,武学奇术!$A:$ZZ,16,FALSE)+SUM(_xlfn.XLOOKUP($S31:$AL31,增益!$A:$A,增益!$P:$P,0))</f>
        <v>0.15</v>
      </c>
      <c r="BO31" s="26">
        <f>MIN(IF(VLOOKUP($R31,武学奇术!$A:$ZZ,23,FALSE)=1,100%,$B$8),100%)</f>
        <v>0.981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26" cm="1">
        <f t="array" ref="BQ31">1+$B$13+VLOOKUP($R31,武学奇术!$A:$ZZ,18,FALSE)+SUM(_xlfn.XLOOKUP($S31:$AL31,增益!$A:$A,增益!$R:$R,0))</f>
        <v>1.87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0.829926</v>
      </c>
      <c r="BU31" s="26">
        <f t="shared" si="10"/>
        <v>0.0599391</v>
      </c>
      <c r="BV31" s="26">
        <f>IF(VLOOKUP($R31,武学奇术!$A:$ZZ,22,FALSE)=1,0,(1-$BO31))*(1-$BR31)</f>
        <v>0.0172349</v>
      </c>
      <c r="BW31" s="26" cm="1">
        <f t="array" ref="BW31">SUM(_xlfn.XLOOKUP($S31:$AL31,增益!$A:$A,增益!$W:$W,0))+$I$5</f>
        <v>0.11</v>
      </c>
      <c r="BX31" s="26" cm="1">
        <f t="array" ref="BX31">SUM(_xlfn.XLOOKUP($S31:$AL31,增益!$A:$A,增益!$X:$X,0))</f>
        <v>0</v>
      </c>
    </row>
    <row r="32" spans="1:76">
      <c r="A32" s="4" t="s">
        <v>169</v>
      </c>
      <c r="B32" s="88">
        <v>1</v>
      </c>
      <c r="D32" s="39" t="s">
        <v>161</v>
      </c>
      <c r="F32" s="39"/>
      <c r="H32">
        <v>121</v>
      </c>
      <c r="K32">
        <f>$L32*VLOOKUP($R32,武学奇术!$A:$ZZ,31,FALSE)</f>
        <v>13019.5076933379</v>
      </c>
      <c r="L32" s="38">
        <f t="shared" si="0"/>
        <v>12399.5311365123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</f>
        <v>13102.9089097906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</f>
        <v>10776.6830940172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</f>
        <v>7006.90316031585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</f>
        <v>6031.07810284118</v>
      </c>
      <c r="Q32" s="39">
        <v>1</v>
      </c>
      <c r="R32" s="40" t="s">
        <v>170</v>
      </c>
      <c r="S32" s="40" t="s">
        <v>78</v>
      </c>
      <c r="T32" s="40" t="s">
        <v>102</v>
      </c>
      <c r="U32" s="40" t="s">
        <v>79</v>
      </c>
      <c r="V32" s="40" t="s">
        <v>78</v>
      </c>
      <c r="W32" s="40" t="s">
        <v>168</v>
      </c>
      <c r="X32" s="40" t="s">
        <v>106</v>
      </c>
      <c r="Y32" s="40" t="s">
        <v>91</v>
      </c>
      <c r="Z32" s="40" t="s">
        <v>78</v>
      </c>
      <c r="AA32" s="40" t="s">
        <v>78</v>
      </c>
      <c r="AB32" s="40" t="s">
        <v>78</v>
      </c>
      <c r="AC32" s="40" t="s">
        <v>92</v>
      </c>
      <c r="AD32" s="40" t="s">
        <v>78</v>
      </c>
      <c r="AE32" s="40" t="s">
        <v>83</v>
      </c>
      <c r="AF32" s="40" t="s">
        <v>84</v>
      </c>
      <c r="AG32" s="40" t="s">
        <v>85</v>
      </c>
      <c r="AH32" s="40" t="s">
        <v>78</v>
      </c>
      <c r="AI32" s="40" t="s">
        <v>78</v>
      </c>
      <c r="AJ32" s="40" t="s">
        <v>78</v>
      </c>
      <c r="AK32" s="40" t="s">
        <v>78</v>
      </c>
      <c r="AL32" s="40" t="s">
        <v>78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0.6541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3636.6</v>
      </c>
      <c r="AU32" cm="1">
        <f t="array" ref="AU32">$E$10*(1+$AS32)+VLOOKUP($R32,武学奇术!$A:$ZZ,4,FALSE)+SUM(_xlfn.XLOOKUP($S32:$AL32,增益!$A:$A,增益!$D:$D,0))-$I$2</f>
        <v>3636.6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0.3425</v>
      </c>
      <c r="AW32" s="32" cm="1">
        <f t="array" ref="AW32">$G$10+VLOOKUP($R32,武学奇术!$A:$ZZ,7,FALSE)+SUM(_xlfn.XLOOKUP($S32:$AL32,增益!$A:$A,增益!$G:$G,0))</f>
        <v>0.028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2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2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2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2" cm="1">
        <f t="array" ref="BN32">$G$14+VLOOKUP($R32,武学奇术!$A:$ZZ,16,FALSE)+SUM(_xlfn.XLOOKUP($S32:$AL32,增益!$A:$A,增益!$P:$P,0))</f>
        <v>0.15</v>
      </c>
      <c r="BO32" s="26">
        <f>MIN(IF(VLOOKUP($R32,武学奇术!$A:$ZZ,23,FALSE)=1,100%,$B$8),100%)</f>
        <v>0.981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26" cm="1">
        <f t="array" ref="BQ32">1+$B$13+VLOOKUP($R32,武学奇术!$A:$ZZ,18,FALSE)+SUM(_xlfn.XLOOKUP($S32:$AL32,增益!$A:$A,增益!$R:$R,0))</f>
        <v>1.87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0.829926</v>
      </c>
      <c r="BU32" s="26">
        <f t="shared" si="10"/>
        <v>0.0599391</v>
      </c>
      <c r="BV32" s="26">
        <f>IF(VLOOKUP($R32,武学奇术!$A:$ZZ,22,FALSE)=1,0,(1-$BO32))*(1-$BR32)</f>
        <v>0.0172349</v>
      </c>
      <c r="BW32" s="26" cm="1">
        <f t="array" ref="BW32">SUM(_xlfn.XLOOKUP($S32:$AL32,增益!$A:$A,增益!$W:$W,0))+$I$5</f>
        <v>0.11</v>
      </c>
      <c r="BX32" s="26" cm="1">
        <f t="array" ref="BX32">SUM(_xlfn.XLOOKUP($S32:$AL32,增益!$A:$A,增益!$X:$X,0))</f>
        <v>0</v>
      </c>
    </row>
    <row r="33" spans="1:76">
      <c r="A33" s="4" t="s">
        <v>169</v>
      </c>
      <c r="B33" s="4">
        <v>1</v>
      </c>
      <c r="D33" s="39"/>
      <c r="E33" s="39" t="s">
        <v>171</v>
      </c>
      <c r="F33" s="39"/>
      <c r="H33">
        <v>141</v>
      </c>
      <c r="K33">
        <f>$L33*VLOOKUP($R33,武学奇术!$A:$ZZ,31,FALSE)</f>
        <v>95048.4765617292</v>
      </c>
      <c r="L33" s="38">
        <f t="shared" si="0"/>
        <v>90522.3586302183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</f>
        <v>95795.413318393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</f>
        <v>77157.870875391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</f>
        <v>51227.4937531513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</f>
        <v>45301.0090800871</v>
      </c>
      <c r="Q33" s="39">
        <v>2</v>
      </c>
      <c r="R33" s="40" t="s">
        <v>167</v>
      </c>
      <c r="S33" s="40" t="s">
        <v>78</v>
      </c>
      <c r="T33" s="40" t="s">
        <v>102</v>
      </c>
      <c r="U33" s="40" t="s">
        <v>79</v>
      </c>
      <c r="V33" s="40" t="s">
        <v>78</v>
      </c>
      <c r="W33" s="40" t="s">
        <v>168</v>
      </c>
      <c r="X33" s="40" t="s">
        <v>106</v>
      </c>
      <c r="Y33" s="40" t="s">
        <v>78</v>
      </c>
      <c r="Z33" s="40" t="s">
        <v>78</v>
      </c>
      <c r="AA33" s="40" t="s">
        <v>78</v>
      </c>
      <c r="AB33" s="40" t="s">
        <v>78</v>
      </c>
      <c r="AC33" s="40" t="s">
        <v>92</v>
      </c>
      <c r="AD33" s="40" t="s">
        <v>78</v>
      </c>
      <c r="AE33" s="40" t="s">
        <v>83</v>
      </c>
      <c r="AF33" s="40" t="s">
        <v>84</v>
      </c>
      <c r="AG33" s="40" t="s">
        <v>85</v>
      </c>
      <c r="AH33" s="40" t="s">
        <v>78</v>
      </c>
      <c r="AI33" s="40" t="s">
        <v>78</v>
      </c>
      <c r="AJ33" s="40" t="s">
        <v>78</v>
      </c>
      <c r="AK33" s="40" t="s">
        <v>78</v>
      </c>
      <c r="AL33" s="40" t="s">
        <v>78</v>
      </c>
      <c r="AM33" t="str">
        <f>VLOOKUP($R33,武学奇术!$A:$ZZ,25,FALSE)</f>
        <v>伞</v>
      </c>
      <c r="AN33" s="26">
        <f>VLOOKUP($R33,武学奇术!$A:$ZZ,26,FALSE)</f>
        <v>2.01456</v>
      </c>
      <c r="AO33" s="27">
        <f>VLOOKUP($R33,武学奇术!$A:$ZZ,27,FALSE)*(1+IF(OR($AM33=$F$4,$AM33=$F$5),$B$22,0))</f>
        <v>837</v>
      </c>
      <c r="AP33" s="26">
        <f>VLOOKUP($R33,武学奇术!$A:$ZZ,28,FALSE)</f>
        <v>3.02184</v>
      </c>
      <c r="AQ33" s="27">
        <f>VLOOKUP($R33,武学奇术!$A:$ZZ,29,FALSE)*(1+IF(OR($AM33=$F$4,$AM33=$F$5),$B$22,0))</f>
        <v>453.6</v>
      </c>
      <c r="AR33" s="26" cm="1">
        <f t="array" ref="AR33">$G$3+IFERROR(VLOOKUP($AM33,$F$4:$G$7,2,FALSE),0)+VLOOKUP($R33,武学奇术!$A:$ZZ,2,FALSE)+SUM(_xlfn.XLOOKUP($S33:$AL33,增益!$A:$A,增益!$B:$B,0))</f>
        <v>0.4541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3636.6</v>
      </c>
      <c r="AU33" cm="1">
        <f t="array" ref="AU33">$E$10*(1+$AS33)+VLOOKUP($R33,武学奇术!$A:$ZZ,4,FALSE)+SUM(_xlfn.XLOOKUP($S33:$AL33,增益!$A:$A,增益!$D:$D,0))-$I$2</f>
        <v>3636.6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0.3425</v>
      </c>
      <c r="AW33" s="32" cm="1">
        <f t="array" ref="AW33">$G$10+VLOOKUP($R33,武学奇术!$A:$ZZ,7,FALSE)+SUM(_xlfn.XLOOKUP($S33:$AL33,增益!$A:$A,增益!$G:$G,0))</f>
        <v>0.028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2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2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2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2" cm="1">
        <f t="array" ref="BN33">$G$14+VLOOKUP($R33,武学奇术!$A:$ZZ,16,FALSE)+SUM(_xlfn.XLOOKUP($S33:$AL33,增益!$A:$A,增益!$P:$P,0))</f>
        <v>0.15</v>
      </c>
      <c r="BO33" s="26">
        <f>MIN(IF(VLOOKUP($R33,武学奇术!$A:$ZZ,23,FALSE)=1,100%,$B$8),100%)</f>
        <v>0.981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26" cm="1">
        <f t="array" ref="BQ33">1+$B$13+VLOOKUP($R33,武学奇术!$A:$ZZ,18,FALSE)+SUM(_xlfn.XLOOKUP($S33:$AL33,增益!$A:$A,增益!$R:$R,0))</f>
        <v>1.87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0.829926</v>
      </c>
      <c r="BU33" s="26">
        <f t="shared" si="10"/>
        <v>0.0599391</v>
      </c>
      <c r="BV33" s="26">
        <f>IF(VLOOKUP($R33,武学奇术!$A:$ZZ,22,FALSE)=1,0,(1-$BO33))*(1-$BR33)</f>
        <v>0.0172349</v>
      </c>
      <c r="BW33" s="26" cm="1">
        <f t="array" ref="BW33">SUM(_xlfn.XLOOKUP($S33:$AL33,增益!$A:$A,增益!$W:$W,0))+$I$5</f>
        <v>0.11</v>
      </c>
      <c r="BX33" s="26" cm="1">
        <f t="array" ref="BX33">SUM(_xlfn.XLOOKUP($S33:$AL33,增益!$A:$A,增益!$X:$X,0))</f>
        <v>0</v>
      </c>
    </row>
    <row r="34" spans="1:76">
      <c r="A34" s="4" t="s">
        <v>169</v>
      </c>
      <c r="B34" s="4">
        <v>1</v>
      </c>
      <c r="D34" s="39"/>
      <c r="E34" s="39"/>
      <c r="F34" s="39"/>
      <c r="K34">
        <f>$L34*VLOOKUP($R34,武学奇术!$A:$ZZ,31,FALSE)</f>
        <v>25468.3029443079</v>
      </c>
      <c r="L34" s="38">
        <f t="shared" si="0"/>
        <v>24255.5266136266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</f>
        <v>25643.1858282754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</f>
        <v>20952.0230009978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</f>
        <v>13712.9335980082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</f>
        <v>11905.8501582403</v>
      </c>
      <c r="Q34" s="39">
        <v>2</v>
      </c>
      <c r="R34" s="40" t="s">
        <v>170</v>
      </c>
      <c r="S34" s="40" t="s">
        <v>78</v>
      </c>
      <c r="T34" s="40" t="s">
        <v>102</v>
      </c>
      <c r="U34" s="40" t="s">
        <v>79</v>
      </c>
      <c r="V34" s="40" t="s">
        <v>78</v>
      </c>
      <c r="W34" s="40" t="s">
        <v>168</v>
      </c>
      <c r="X34" s="40" t="s">
        <v>106</v>
      </c>
      <c r="Y34" s="40" t="s">
        <v>78</v>
      </c>
      <c r="Z34" s="40" t="s">
        <v>78</v>
      </c>
      <c r="AA34" s="40" t="s">
        <v>78</v>
      </c>
      <c r="AB34" s="40" t="s">
        <v>78</v>
      </c>
      <c r="AC34" s="40" t="s">
        <v>92</v>
      </c>
      <c r="AD34" s="40" t="s">
        <v>78</v>
      </c>
      <c r="AE34" s="40" t="s">
        <v>83</v>
      </c>
      <c r="AF34" s="40" t="s">
        <v>84</v>
      </c>
      <c r="AG34" s="40" t="s">
        <v>85</v>
      </c>
      <c r="AH34" s="40" t="s">
        <v>78</v>
      </c>
      <c r="AI34" s="40" t="s">
        <v>78</v>
      </c>
      <c r="AJ34" s="40" t="s">
        <v>78</v>
      </c>
      <c r="AK34" s="40" t="s">
        <v>78</v>
      </c>
      <c r="AL34" s="40" t="s">
        <v>78</v>
      </c>
      <c r="AM34" t="str">
        <f>VLOOKUP($R34,武学奇术!$A:$ZZ,25,FALSE)</f>
        <v>伞</v>
      </c>
      <c r="AN34" s="26">
        <f>VLOOKUP($R34,武学奇术!$A:$ZZ,26,FALSE)</f>
        <v>0.54</v>
      </c>
      <c r="AO34" s="27">
        <f>VLOOKUP($R34,武学奇术!$A:$ZZ,27,FALSE)*(1+IF(OR($AM34=$F$4,$AM34=$F$5),$B$22,0))</f>
        <v>0</v>
      </c>
      <c r="AP34" s="26">
        <f>VLOOKUP($R34,武学奇术!$A:$ZZ,28,FALSE)</f>
        <v>0.81</v>
      </c>
      <c r="AQ34" s="27">
        <f>VLOOKUP($R34,武学奇术!$A:$ZZ,29,FALSE)*(1+IF(OR($AM34=$F$4,$AM34=$F$5),$B$22,0))</f>
        <v>0</v>
      </c>
      <c r="AR34" s="26" cm="1">
        <f t="array" ref="AR34">$G$3+IFERROR(VLOOKUP($AM34,$F$4:$G$7,2,FALSE),0)+VLOOKUP($R34,武学奇术!$A:$ZZ,2,FALSE)+SUM(_xlfn.XLOOKUP($S34:$AL34,增益!$A:$A,增益!$B:$B,0))</f>
        <v>0.6541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3636.6</v>
      </c>
      <c r="AU34" cm="1">
        <f t="array" ref="AU34">$E$10*(1+$AS34)+VLOOKUP($R34,武学奇术!$A:$ZZ,4,FALSE)+SUM(_xlfn.XLOOKUP($S34:$AL34,增益!$A:$A,增益!$D:$D,0))-$I$2</f>
        <v>3636.6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0.3425</v>
      </c>
      <c r="AW34" s="32" cm="1">
        <f t="array" ref="AW34">$G$10+VLOOKUP($R34,武学奇术!$A:$ZZ,7,FALSE)+SUM(_xlfn.XLOOKUP($S34:$AL34,增益!$A:$A,增益!$G:$G,0))</f>
        <v>0.028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2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2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2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2" cm="1">
        <f t="array" ref="BN34">$G$14+VLOOKUP($R34,武学奇术!$A:$ZZ,16,FALSE)+SUM(_xlfn.XLOOKUP($S34:$AL34,增益!$A:$A,增益!$P:$P,0))</f>
        <v>0.15</v>
      </c>
      <c r="BO34" s="26">
        <f>MIN(IF(VLOOKUP($R34,武学奇术!$A:$ZZ,23,FALSE)=1,100%,$B$8),100%)</f>
        <v>0.981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26" cm="1">
        <f t="array" ref="BQ34">1+$B$13+VLOOKUP($R34,武学奇术!$A:$ZZ,18,FALSE)+SUM(_xlfn.XLOOKUP($S34:$AL34,增益!$A:$A,增益!$R:$R,0))</f>
        <v>1.87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0.829926</v>
      </c>
      <c r="BU34" s="26">
        <f t="shared" si="10"/>
        <v>0.0599391</v>
      </c>
      <c r="BV34" s="26">
        <f>IF(VLOOKUP($R34,武学奇术!$A:$ZZ,22,FALSE)=1,0,(1-$BO34))*(1-$BR34)</f>
        <v>0.0172349</v>
      </c>
      <c r="BW34" s="26" cm="1">
        <f t="array" ref="BW34">SUM(_xlfn.XLOOKUP($S34:$AL34,增益!$A:$A,增益!$W:$W,0))+$I$5</f>
        <v>0.11</v>
      </c>
      <c r="BX34" s="26" cm="1">
        <f t="array" ref="BX34">SUM(_xlfn.XLOOKUP($S34:$AL34,增益!$A:$A,增益!$X:$X,0))</f>
        <v>0</v>
      </c>
    </row>
    <row r="35" spans="1:76">
      <c r="A35" s="4" t="s">
        <v>172</v>
      </c>
      <c r="B35" s="4">
        <v>0.85</v>
      </c>
      <c r="D35" s="39"/>
      <c r="E35" s="39"/>
      <c r="F35" s="39"/>
      <c r="K35">
        <f>$L35*VLOOKUP($R35,武学奇术!$A:$ZZ,31,FALSE)</f>
        <v>47747.4421830126</v>
      </c>
      <c r="L35" s="38">
        <f t="shared" si="0"/>
        <v>45473.754460012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</f>
        <v>48153.8441279622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</f>
        <v>38578.9354376955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</f>
        <v>25613.7468765757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</f>
        <v>22650.5045400435</v>
      </c>
      <c r="Q35" s="39">
        <v>1</v>
      </c>
      <c r="R35" s="40" t="s">
        <v>167</v>
      </c>
      <c r="S35" s="40" t="s">
        <v>78</v>
      </c>
      <c r="T35" s="40" t="s">
        <v>102</v>
      </c>
      <c r="U35" s="40" t="s">
        <v>79</v>
      </c>
      <c r="V35" s="40" t="s">
        <v>78</v>
      </c>
      <c r="W35" s="40" t="s">
        <v>173</v>
      </c>
      <c r="X35" s="40" t="s">
        <v>106</v>
      </c>
      <c r="Y35" s="40" t="s">
        <v>78</v>
      </c>
      <c r="Z35" s="40" t="s">
        <v>78</v>
      </c>
      <c r="AA35" s="40" t="s">
        <v>78</v>
      </c>
      <c r="AB35" s="40" t="s">
        <v>78</v>
      </c>
      <c r="AC35" s="40" t="s">
        <v>92</v>
      </c>
      <c r="AD35" s="40" t="s">
        <v>78</v>
      </c>
      <c r="AE35" s="40" t="s">
        <v>83</v>
      </c>
      <c r="AF35" s="40" t="s">
        <v>84</v>
      </c>
      <c r="AG35" s="40" t="s">
        <v>85</v>
      </c>
      <c r="AH35" s="40" t="s">
        <v>78</v>
      </c>
      <c r="AI35" s="40" t="s">
        <v>78</v>
      </c>
      <c r="AJ35" s="40" t="s">
        <v>78</v>
      </c>
      <c r="AK35" s="40" t="s">
        <v>78</v>
      </c>
      <c r="AL35" s="40" t="s">
        <v>78</v>
      </c>
      <c r="AM35" t="str">
        <f>VLOOKUP($R35,武学奇术!$A:$ZZ,25,FALSE)</f>
        <v>伞</v>
      </c>
      <c r="AN35" s="26">
        <f>VLOOKUP($R35,武学奇术!$A:$ZZ,26,FALSE)</f>
        <v>2.01456</v>
      </c>
      <c r="AO35" s="27">
        <f>VLOOKUP($R35,武学奇术!$A:$ZZ,27,FALSE)*(1+IF(OR($AM35=$F$4,$AM35=$F$5),$B$22,0))</f>
        <v>837</v>
      </c>
      <c r="AP35" s="26">
        <f>VLOOKUP($R35,武学奇术!$A:$ZZ,28,FALSE)</f>
        <v>3.02184</v>
      </c>
      <c r="AQ35" s="27">
        <f>VLOOKUP($R35,武学奇术!$A:$ZZ,29,FALSE)*(1+IF(OR($AM35=$F$4,$AM35=$F$5),$B$22,0))</f>
        <v>453.6</v>
      </c>
      <c r="AR35" s="26" cm="1">
        <f t="array" ref="AR35">$G$3+IFERROR(VLOOKUP($AM35,$F$4:$G$7,2,FALSE),0)+VLOOKUP($R35,武学奇术!$A:$ZZ,2,FALSE)+SUM(_xlfn.XLOOKUP($S35:$AL35,增益!$A:$A,增益!$B:$B,0))</f>
        <v>0.4541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3636.6</v>
      </c>
      <c r="AU35" cm="1">
        <f t="array" ref="AU35">$E$10*(1+$AS35)+VLOOKUP($R35,武学奇术!$A:$ZZ,4,FALSE)+SUM(_xlfn.XLOOKUP($S35:$AL35,增益!$A:$A,增益!$D:$D,0))-$I$2</f>
        <v>3636.6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0.3425</v>
      </c>
      <c r="AW35" s="32" cm="1">
        <f t="array" ref="AW35">$G$10+VLOOKUP($R35,武学奇术!$A:$ZZ,7,FALSE)+SUM(_xlfn.XLOOKUP($S35:$AL35,增益!$A:$A,增益!$G:$G,0))</f>
        <v>0.028</v>
      </c>
      <c r="AX35" s="26" cm="1">
        <f t="array" ref="AX35">VLOOKUP($R35,武学奇术!$A:$ZZ,8,FALSE)+SUM(_xlfn.XLOOKUP($S35:$AL35,增益!$A:$A,增益!$H:$H,0))</f>
        <v>0</v>
      </c>
      <c r="AY35">
        <f t="shared" ref="AY35:AY66" si="11">$D$11*(1+$AX35)</f>
        <v>0</v>
      </c>
      <c r="AZ35">
        <f t="shared" ref="AZ35:AZ66" si="12">$E$11*(1+$AX35)</f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</v>
      </c>
      <c r="BC35">
        <f t="shared" ref="BC35:BC66" si="13">$D$12*(1+$AX35)</f>
        <v>0</v>
      </c>
      <c r="BD35">
        <f t="shared" ref="BD35:BD66" si="14">$E$12*(1+$AX35)</f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</v>
      </c>
      <c r="BG35">
        <f t="shared" ref="BG35:BG66" si="15">$D$13*(1+$AX35)</f>
        <v>0</v>
      </c>
      <c r="BH35">
        <f t="shared" ref="BH35:BH66" si="16">$E$13*(1+$AX35)</f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</v>
      </c>
      <c r="BK35">
        <f t="shared" ref="BK35:BK66" si="17">$D$14*(1+$AX35)</f>
        <v>571.2</v>
      </c>
      <c r="BL35">
        <f t="shared" ref="BL35:BL66" si="18">$E$14*(1+$AX35)</f>
        <v>1627.8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0.15</v>
      </c>
      <c r="BO35" s="26">
        <f>MIN(IF(VLOOKUP($R35,武学奇术!$A:$ZZ,23,FALSE)=1,100%,$B$8),100%)</f>
        <v>0.981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26" cm="1">
        <f t="array" ref="BQ35">1+$B$13+VLOOKUP($R35,武学奇术!$A:$ZZ,18,FALSE)+SUM(_xlfn.XLOOKUP($S35:$AL35,增益!$A:$A,增益!$R:$R,0))</f>
        <v>1.88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6" cm="1">
        <f t="array" ref="BS35">1+$B$14+VLOOKUP($R35,武学奇术!$A:$ZZ,20,FALSE)+SUM(_xlfn.XLOOKUP($S35:$AL35,增益!$A:$A,增益!$T:$T,0))</f>
        <v>1.35</v>
      </c>
      <c r="BT35" s="26">
        <f t="shared" ref="BT35:BT66" si="19">MIN((1-BR35)*BO35,BO35*BP35)</f>
        <v>0.829926</v>
      </c>
      <c r="BU35" s="26">
        <f t="shared" ref="BU35:BU66" si="20">1-BR35-BT35-BV35</f>
        <v>0.0599391</v>
      </c>
      <c r="BV35" s="26">
        <f>IF(VLOOKUP($R35,武学奇术!$A:$ZZ,22,FALSE)=1,0,(1-$BO35))*(1-$BR35)</f>
        <v>0.0172349</v>
      </c>
      <c r="BW35" s="26" cm="1">
        <f t="array" ref="BW35">SUM(_xlfn.XLOOKUP($S35:$AL35,增益!$A:$A,增益!$W:$W,0))+$I$5</f>
        <v>0.11</v>
      </c>
      <c r="BX35" s="26" cm="1">
        <f t="array" ref="BX35">SUM(_xlfn.XLOOKUP($S35:$AL35,增益!$A:$A,增益!$X:$X,0))</f>
        <v>0</v>
      </c>
    </row>
    <row r="36" spans="1:76">
      <c r="A36" s="4" t="s">
        <v>169</v>
      </c>
      <c r="B36" s="88">
        <v>1</v>
      </c>
      <c r="D36" s="39"/>
      <c r="E36" s="39"/>
      <c r="F36" s="39"/>
      <c r="K36">
        <f>$L36*VLOOKUP($R36,武学奇术!$A:$ZZ,31,FALSE)</f>
        <v>12793.9002528326</v>
      </c>
      <c r="L36" s="38">
        <f t="shared" si="0"/>
        <v>12184.6669074596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</f>
        <v>12890.1575821277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</f>
        <v>10476.0115004989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</f>
        <v>6856.46679900411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</f>
        <v>5952.92507912016</v>
      </c>
      <c r="Q36" s="39">
        <v>1</v>
      </c>
      <c r="R36" s="40" t="s">
        <v>170</v>
      </c>
      <c r="S36" s="40" t="s">
        <v>78</v>
      </c>
      <c r="T36" s="40" t="s">
        <v>102</v>
      </c>
      <c r="U36" s="40" t="s">
        <v>79</v>
      </c>
      <c r="V36" s="40" t="s">
        <v>78</v>
      </c>
      <c r="W36" s="40" t="s">
        <v>173</v>
      </c>
      <c r="X36" s="40" t="s">
        <v>106</v>
      </c>
      <c r="Y36" s="40" t="s">
        <v>78</v>
      </c>
      <c r="Z36" s="40" t="s">
        <v>78</v>
      </c>
      <c r="AA36" s="40" t="s">
        <v>78</v>
      </c>
      <c r="AB36" s="40" t="s">
        <v>78</v>
      </c>
      <c r="AC36" s="40" t="s">
        <v>92</v>
      </c>
      <c r="AD36" s="40" t="s">
        <v>78</v>
      </c>
      <c r="AE36" s="40" t="s">
        <v>83</v>
      </c>
      <c r="AF36" s="40" t="s">
        <v>84</v>
      </c>
      <c r="AG36" s="40" t="s">
        <v>85</v>
      </c>
      <c r="AH36" s="40" t="s">
        <v>78</v>
      </c>
      <c r="AI36" s="40" t="s">
        <v>78</v>
      </c>
      <c r="AJ36" s="40" t="s">
        <v>78</v>
      </c>
      <c r="AK36" s="40" t="s">
        <v>78</v>
      </c>
      <c r="AL36" s="40" t="s">
        <v>78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0.6541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3636.6</v>
      </c>
      <c r="AU36" cm="1">
        <f t="array" ref="AU36">$E$10*(1+$AS36)+VLOOKUP($R36,武学奇术!$A:$ZZ,4,FALSE)+SUM(_xlfn.XLOOKUP($S36:$AL36,增益!$A:$A,增益!$D:$D,0))-$I$2</f>
        <v>3636.6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0.3425</v>
      </c>
      <c r="AW36" s="32" cm="1">
        <f t="array" ref="AW36">$G$10+VLOOKUP($R36,武学奇术!$A:$ZZ,7,FALSE)+SUM(_xlfn.XLOOKUP($S36:$AL36,增益!$A:$A,增益!$G:$G,0))</f>
        <v>0.028</v>
      </c>
      <c r="AX36" s="26" cm="1">
        <f t="array" ref="AX36">VLOOKUP($R36,武学奇术!$A:$ZZ,8,FALSE)+SUM(_xlfn.XLOOKUP($S36:$AL36,增益!$A:$A,增益!$H:$H,0))</f>
        <v>0</v>
      </c>
      <c r="AY36">
        <f t="shared" si="11"/>
        <v>0</v>
      </c>
      <c r="AZ36">
        <f t="shared" si="1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</v>
      </c>
      <c r="BC36">
        <f t="shared" si="13"/>
        <v>0</v>
      </c>
      <c r="BD36">
        <f t="shared" si="1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</v>
      </c>
      <c r="BG36">
        <f t="shared" si="15"/>
        <v>0</v>
      </c>
      <c r="BH36">
        <f t="shared" si="1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</v>
      </c>
      <c r="BK36">
        <f t="shared" si="17"/>
        <v>571.2</v>
      </c>
      <c r="BL36">
        <f t="shared" si="18"/>
        <v>1627.8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0.15</v>
      </c>
      <c r="BO36" s="26">
        <f>MIN(IF(VLOOKUP($R36,武学奇术!$A:$ZZ,23,FALSE)=1,100%,$B$8),100%)</f>
        <v>0.981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26" cm="1">
        <f t="array" ref="BQ36">1+$B$13+VLOOKUP($R36,武学奇术!$A:$ZZ,18,FALSE)+SUM(_xlfn.XLOOKUP($S36:$AL36,增益!$A:$A,增益!$R:$R,0))</f>
        <v>1.88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6" cm="1">
        <f t="array" ref="BS36">1+$B$14+VLOOKUP($R36,武学奇术!$A:$ZZ,20,FALSE)+SUM(_xlfn.XLOOKUP($S36:$AL36,增益!$A:$A,增益!$T:$T,0))</f>
        <v>1.35</v>
      </c>
      <c r="BT36" s="26">
        <f t="shared" si="19"/>
        <v>0.829926</v>
      </c>
      <c r="BU36" s="26">
        <f t="shared" si="20"/>
        <v>0.0599391</v>
      </c>
      <c r="BV36" s="26">
        <f>IF(VLOOKUP($R36,武学奇术!$A:$ZZ,22,FALSE)=1,0,(1-$BO36))*(1-$BR36)</f>
        <v>0.0172349</v>
      </c>
      <c r="BW36" s="26" cm="1">
        <f t="array" ref="BW36">SUM(_xlfn.XLOOKUP($S36:$AL36,增益!$A:$A,增益!$W:$W,0))+$I$5</f>
        <v>0.11</v>
      </c>
      <c r="BX36" s="26" cm="1">
        <f t="array" ref="BX36">SUM(_xlfn.XLOOKUP($S36:$AL36,增益!$A:$A,增益!$X:$X,0))</f>
        <v>0</v>
      </c>
    </row>
    <row r="37" spans="1:76">
      <c r="A37" s="4" t="s">
        <v>169</v>
      </c>
      <c r="B37" s="4">
        <v>1</v>
      </c>
      <c r="D37" s="39"/>
      <c r="E37" s="39"/>
      <c r="F37" s="39"/>
      <c r="K37">
        <f>$L37*VLOOKUP($R37,武学奇术!$A:$ZZ,31,FALSE)</f>
        <v>60282.5252485307</v>
      </c>
      <c r="L37" s="38">
        <f t="shared" si="0"/>
        <v>57411.9288081245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</f>
        <v>57411.9288081245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</f>
        <v>45994.6004035003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</f>
        <v>30538.2600043215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</f>
        <v>27006.4456356799</v>
      </c>
      <c r="Q37" s="39">
        <v>1</v>
      </c>
      <c r="R37" s="40" t="s">
        <v>174</v>
      </c>
      <c r="S37" s="40" t="s">
        <v>78</v>
      </c>
      <c r="T37" s="40" t="s">
        <v>102</v>
      </c>
      <c r="U37" s="40" t="s">
        <v>79</v>
      </c>
      <c r="V37" s="40" t="s">
        <v>78</v>
      </c>
      <c r="W37" s="40" t="s">
        <v>173</v>
      </c>
      <c r="X37" s="40" t="s">
        <v>106</v>
      </c>
      <c r="Y37" s="40" t="s">
        <v>78</v>
      </c>
      <c r="Z37" s="40" t="s">
        <v>78</v>
      </c>
      <c r="AA37" s="40" t="s">
        <v>78</v>
      </c>
      <c r="AB37" s="40" t="s">
        <v>78</v>
      </c>
      <c r="AC37" s="40" t="s">
        <v>92</v>
      </c>
      <c r="AD37" s="40" t="s">
        <v>78</v>
      </c>
      <c r="AE37" s="40" t="s">
        <v>83</v>
      </c>
      <c r="AF37" s="40" t="s">
        <v>84</v>
      </c>
      <c r="AG37" s="40" t="s">
        <v>85</v>
      </c>
      <c r="AH37" s="40" t="s">
        <v>78</v>
      </c>
      <c r="AI37" s="40" t="s">
        <v>78</v>
      </c>
      <c r="AJ37" s="40" t="s">
        <v>78</v>
      </c>
      <c r="AK37" s="40" t="s">
        <v>78</v>
      </c>
      <c r="AL37" s="40" t="s">
        <v>78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955.5</v>
      </c>
      <c r="AP37" s="26">
        <f>VLOOKUP($R37,武学奇术!$A:$ZZ,28,FALSE)</f>
        <v>3.448</v>
      </c>
      <c r="AQ37" s="27">
        <f>VLOOKUP($R37,武学奇术!$A:$ZZ,29,FALSE)*(1+IF(OR($AM37=$F$4,$AM37=$F$5),$B$22,0))</f>
        <v>520.5</v>
      </c>
      <c r="AR37" s="26" cm="1">
        <f t="array" ref="AR37">$G$3+IFERROR(VLOOKUP($AM37,$F$4:$G$7,2,FALSE),0)+VLOOKUP($R37,武学奇术!$A:$ZZ,2,FALSE)+SUM(_xlfn.XLOOKUP($S37:$AL37,增益!$A:$A,增益!$B:$B,0))</f>
        <v>0.5189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3636.6</v>
      </c>
      <c r="AU37" cm="1">
        <f t="array" ref="AU37">$E$10*(1+$AS37)+VLOOKUP($R37,武学奇术!$A:$ZZ,4,FALSE)+SUM(_xlfn.XLOOKUP($S37:$AL37,增益!$A:$A,增益!$D:$D,0))-$I$2</f>
        <v>3636.6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0.3425</v>
      </c>
      <c r="AW37" s="32" cm="1">
        <f t="array" ref="AW37">$G$10+VLOOKUP($R37,武学奇术!$A:$ZZ,7,FALSE)+SUM(_xlfn.XLOOKUP($S37:$AL37,增益!$A:$A,增益!$G:$G,0))</f>
        <v>0.028</v>
      </c>
      <c r="AX37" s="26" cm="1">
        <f t="array" ref="AX37">VLOOKUP($R37,武学奇术!$A:$ZZ,8,FALSE)+SUM(_xlfn.XLOOKUP($S37:$AL37,增益!$A:$A,增益!$H:$H,0))</f>
        <v>0</v>
      </c>
      <c r="AY37">
        <f t="shared" si="11"/>
        <v>0</v>
      </c>
      <c r="AZ37">
        <f t="shared" si="1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</v>
      </c>
      <c r="BC37">
        <f t="shared" si="13"/>
        <v>0</v>
      </c>
      <c r="BD37">
        <f t="shared" si="1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</v>
      </c>
      <c r="BG37">
        <f t="shared" si="15"/>
        <v>0</v>
      </c>
      <c r="BH37">
        <f t="shared" si="1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</v>
      </c>
      <c r="BK37">
        <f t="shared" si="17"/>
        <v>571.2</v>
      </c>
      <c r="BL37">
        <f t="shared" si="18"/>
        <v>1627.8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0.15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1.88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19"/>
        <v>1</v>
      </c>
      <c r="BU37" s="26">
        <f t="shared" si="2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 cm="1">
        <f t="array" ref="BX37">SUM(_xlfn.XLOOKUP($S37:$AL37,增益!$A:$A,增益!$X:$X,0))</f>
        <v>0</v>
      </c>
    </row>
    <row r="38" spans="1:76">
      <c r="A38" s="4" t="s">
        <v>172</v>
      </c>
      <c r="B38" s="4">
        <v>0.85</v>
      </c>
      <c r="D38" s="39"/>
      <c r="E38" s="39"/>
      <c r="F38" s="39"/>
      <c r="K38">
        <f>$L38*VLOOKUP($R38,武学奇术!$A:$ZZ,31,FALSE)</f>
        <v>136458.633588467</v>
      </c>
      <c r="L38" s="89">
        <f>(SUM(L9:L37)+SUM(L3:L6)+L154+L155)*12%*(1+BX38)</f>
        <v>259921.206835175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</f>
        <v>0</v>
      </c>
      <c r="Q38" s="39">
        <v>1</v>
      </c>
      <c r="R38" s="40" t="s">
        <v>175</v>
      </c>
      <c r="S38" s="40" t="s">
        <v>176</v>
      </c>
      <c r="T38" s="40" t="s">
        <v>78</v>
      </c>
      <c r="U38" s="40" t="s">
        <v>78</v>
      </c>
      <c r="V38" s="40" t="s">
        <v>78</v>
      </c>
      <c r="W38" s="40" t="s">
        <v>78</v>
      </c>
      <c r="X38" s="40" t="s">
        <v>78</v>
      </c>
      <c r="Y38" s="40" t="s">
        <v>78</v>
      </c>
      <c r="Z38" s="40" t="s">
        <v>78</v>
      </c>
      <c r="AA38" s="40" t="s">
        <v>78</v>
      </c>
      <c r="AB38" s="40" t="s">
        <v>78</v>
      </c>
      <c r="AC38" s="40" t="s">
        <v>78</v>
      </c>
      <c r="AD38" s="40" t="s">
        <v>78</v>
      </c>
      <c r="AE38" s="40" t="s">
        <v>83</v>
      </c>
      <c r="AF38" s="40" t="s">
        <v>84</v>
      </c>
      <c r="AG38" s="40" t="s">
        <v>85</v>
      </c>
      <c r="AH38" s="40" t="s">
        <v>78</v>
      </c>
      <c r="AI38" s="40" t="s">
        <v>78</v>
      </c>
      <c r="AJ38" s="40" t="s">
        <v>78</v>
      </c>
      <c r="AK38" s="40" t="s">
        <v>78</v>
      </c>
      <c r="AL38" s="40" t="s">
        <v>78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0.1837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3636.6</v>
      </c>
      <c r="AU38" cm="1">
        <f t="array" ref="AU38">$E$10*(1+$AS38)+VLOOKUP($R38,武学奇术!$A:$ZZ,4,FALSE)+SUM(_xlfn.XLOOKUP($S38:$AL38,增益!$A:$A,增益!$D:$D,0))-$I$2</f>
        <v>3636.6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0.2425</v>
      </c>
      <c r="AW38" s="32" cm="1">
        <f t="array" ref="AW38">$G$10+VLOOKUP($R38,武学奇术!$A:$ZZ,7,FALSE)+SUM(_xlfn.XLOOKUP($S38:$AL38,增益!$A:$A,增益!$G:$G,0))</f>
        <v>0.028</v>
      </c>
      <c r="AX38" s="26" cm="1">
        <f t="array" ref="AX38">VLOOKUP($R38,武学奇术!$A:$ZZ,8,FALSE)+SUM(_xlfn.XLOOKUP($S38:$AL38,增益!$A:$A,增益!$H:$H,0))</f>
        <v>0</v>
      </c>
      <c r="AY38">
        <f t="shared" si="11"/>
        <v>0</v>
      </c>
      <c r="AZ38">
        <f t="shared" si="1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13"/>
        <v>0</v>
      </c>
      <c r="BD38">
        <f t="shared" si="1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15"/>
        <v>0</v>
      </c>
      <c r="BH38">
        <f t="shared" si="1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17"/>
        <v>571.2</v>
      </c>
      <c r="BL38">
        <f t="shared" si="18"/>
        <v>1627.8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6">
        <f>MIN(IF(VLOOKUP($R38,武学奇术!$A:$ZZ,23,FALSE)=1,100%,$B$8),100%)</f>
        <v>0.981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26" cm="1">
        <f t="array" ref="BQ38">1+$B$13+VLOOKUP($R38,武学奇术!$A:$ZZ,18,FALSE)+SUM(_xlfn.XLOOKUP($S38:$AL38,增益!$A:$A,增益!$R:$R,0))</f>
        <v>1.54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6" cm="1">
        <f t="array" ref="BS38">1+$B$14+VLOOKUP($R38,武学奇术!$A:$ZZ,20,FALSE)+SUM(_xlfn.XLOOKUP($S38:$AL38,增益!$A:$A,增益!$T:$T,0))</f>
        <v>1.35</v>
      </c>
      <c r="BT38" s="26">
        <f t="shared" si="19"/>
        <v>0.829926</v>
      </c>
      <c r="BU38" s="26">
        <f t="shared" si="20"/>
        <v>0.0599391</v>
      </c>
      <c r="BV38" s="26">
        <f>IF(VLOOKUP($R38,武学奇术!$A:$ZZ,22,FALSE)=1,0,(1-$BO38))*(1-$BR38)</f>
        <v>0.0172349</v>
      </c>
      <c r="BW38" s="26" cm="1">
        <f t="array" ref="BW38">SUM(_xlfn.XLOOKUP($S38:$AL38,增益!$A:$A,增益!$W:$W,0))+$I$5</f>
        <v>0.11</v>
      </c>
      <c r="BX38" s="26" cm="1">
        <f t="array" ref="BX38">SUM(_xlfn.XLOOKUP($S38:$AL38,增益!$A:$A,增益!$X:$X,0))</f>
        <v>0</v>
      </c>
    </row>
    <row r="39" spans="1:76">
      <c r="A39" s="4" t="s">
        <v>169</v>
      </c>
      <c r="B39" s="88">
        <v>1</v>
      </c>
      <c r="D39" s="39"/>
      <c r="E39" s="39"/>
      <c r="F39" s="39"/>
      <c r="K39">
        <f>$L39*VLOOKUP($R39,武学奇术!$A:$ZZ,31,FALSE)</f>
        <v>73654.6539035658</v>
      </c>
      <c r="L39" s="38">
        <f t="shared" ref="L39:L63" si="21">($M39*$BT39+$N39*$BR39+$O39*$BU39+$P39*$BV39)</f>
        <v>70147.2894319674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</f>
        <v>74304.5110683172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</f>
        <v>59505.7658971974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</f>
        <v>39314.5561208027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</f>
        <v>34550.7671325704</v>
      </c>
      <c r="Q39" s="39">
        <v>1</v>
      </c>
      <c r="R39" s="40" t="s">
        <v>115</v>
      </c>
      <c r="S39" s="40" t="s">
        <v>116</v>
      </c>
      <c r="T39" s="40" t="s">
        <v>102</v>
      </c>
      <c r="U39" s="40" t="s">
        <v>79</v>
      </c>
      <c r="V39" s="40" t="s">
        <v>78</v>
      </c>
      <c r="W39" s="40" t="s">
        <v>177</v>
      </c>
      <c r="X39" s="40" t="s">
        <v>106</v>
      </c>
      <c r="Y39" s="40" t="s">
        <v>91</v>
      </c>
      <c r="Z39" s="40" t="s">
        <v>78</v>
      </c>
      <c r="AA39" s="40" t="s">
        <v>78</v>
      </c>
      <c r="AB39" s="40" t="s">
        <v>78</v>
      </c>
      <c r="AC39" s="40" t="s">
        <v>92</v>
      </c>
      <c r="AD39" s="40" t="s">
        <v>78</v>
      </c>
      <c r="AE39" s="40" t="s">
        <v>83</v>
      </c>
      <c r="AF39" s="40" t="s">
        <v>84</v>
      </c>
      <c r="AG39" s="40" t="s">
        <v>85</v>
      </c>
      <c r="AH39" s="40" t="s">
        <v>78</v>
      </c>
      <c r="AI39" s="40" t="s">
        <v>78</v>
      </c>
      <c r="AJ39" s="40" t="s">
        <v>78</v>
      </c>
      <c r="AK39" s="40" t="s">
        <v>78</v>
      </c>
      <c r="AL39" s="40" t="s">
        <v>78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750</v>
      </c>
      <c r="AP39" s="26">
        <f>VLOOKUP($R39,武学奇术!$A:$ZZ,28,FALSE)</f>
        <v>2.7126</v>
      </c>
      <c r="AQ39" s="27">
        <f>VLOOKUP($R39,武学奇术!$A:$ZZ,29,FALSE)*(1+IF(OR($AM39=$F$4,$AM39=$F$5),$B$22,0))</f>
        <v>408</v>
      </c>
      <c r="AR39" s="26" cm="1">
        <f t="array" ref="AR39">$G$3+IFERROR(VLOOKUP($AM39,$F$4:$G$7,2,FALSE),0)+VLOOKUP($R39,武学奇术!$A:$ZZ,2,FALSE)+SUM(_xlfn.XLOOKUP($S39:$AL39,增益!$A:$A,增益!$B:$B,0))</f>
        <v>0.6541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3636.6</v>
      </c>
      <c r="AU39" cm="1">
        <f t="array" ref="AU39">$E$10*(1+$AS39)+VLOOKUP($R39,武学奇术!$A:$ZZ,4,FALSE)+SUM(_xlfn.XLOOKUP($S39:$AL39,增益!$A:$A,增益!$D:$D,0))-$I$2</f>
        <v>3636.6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0.3425</v>
      </c>
      <c r="AW39" s="32" cm="1">
        <f t="array" ref="AW39">$G$10+VLOOKUP($R39,武学奇术!$A:$ZZ,7,FALSE)+SUM(_xlfn.XLOOKUP($S39:$AL39,增益!$A:$A,增益!$G:$G,0))</f>
        <v>0.148</v>
      </c>
      <c r="AX39" s="26" cm="1">
        <f t="array" ref="AX39">VLOOKUP($R39,武学奇术!$A:$ZZ,8,FALSE)+SUM(_xlfn.XLOOKUP($S39:$AL39,增益!$A:$A,增益!$H:$H,0))</f>
        <v>0</v>
      </c>
      <c r="AY39">
        <f t="shared" si="11"/>
        <v>0</v>
      </c>
      <c r="AZ39">
        <f t="shared" si="1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2" cm="1">
        <f t="array" ref="BB39">$G$11+VLOOKUP($R39,武学奇术!$A:$ZZ,10,FALSE)+SUM(_xlfn.XLOOKUP($S39:$AL39,增益!$A:$A,增益!$J:$J,0))</f>
        <v>0</v>
      </c>
      <c r="BC39">
        <f t="shared" si="13"/>
        <v>0</v>
      </c>
      <c r="BD39">
        <f t="shared" si="1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2" cm="1">
        <f t="array" ref="BF39">$G$12+VLOOKUP($R39,武学奇术!$A:$ZZ,12,FALSE)+SUM(_xlfn.XLOOKUP($S39:$AL39,增益!$A:$A,增益!$L:$L,0))</f>
        <v>0</v>
      </c>
      <c r="BG39">
        <f t="shared" si="15"/>
        <v>0</v>
      </c>
      <c r="BH39">
        <f t="shared" si="1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-0.14</v>
      </c>
      <c r="BJ39" s="32" cm="1">
        <f t="array" ref="BJ39">$G$13+VLOOKUP($R39,武学奇术!$A:$ZZ,14,FALSE)+SUM(_xlfn.XLOOKUP($S39:$AL39,增益!$A:$A,增益!$N:$N,0))</f>
        <v>0</v>
      </c>
      <c r="BK39">
        <f t="shared" si="17"/>
        <v>571.2</v>
      </c>
      <c r="BL39">
        <f t="shared" si="18"/>
        <v>1627.8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0.08</v>
      </c>
      <c r="BN39" s="32" cm="1">
        <f t="array" ref="BN39">$G$14+VLOOKUP($R39,武学奇术!$A:$ZZ,16,FALSE)+SUM(_xlfn.XLOOKUP($S39:$AL39,增益!$A:$A,增益!$P:$P,0))</f>
        <v>0.27</v>
      </c>
      <c r="BO39" s="26">
        <f>MIN(IF(VLOOKUP($R39,武学奇术!$A:$ZZ,23,FALSE)=1,100%,$B$8),100%)</f>
        <v>0.981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26" cm="1">
        <f t="array" ref="BQ39">1+$B$13+VLOOKUP($R39,武学奇术!$A:$ZZ,18,FALSE)+SUM(_xlfn.XLOOKUP($S39:$AL39,增益!$A:$A,增益!$R:$R,0))</f>
        <v>1.89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6" cm="1">
        <f t="array" ref="BS39">1+$B$14+VLOOKUP($R39,武学奇术!$A:$ZZ,20,FALSE)+SUM(_xlfn.XLOOKUP($S39:$AL39,增益!$A:$A,增益!$T:$T,0))</f>
        <v>1.35</v>
      </c>
      <c r="BT39" s="26">
        <f t="shared" si="19"/>
        <v>0.829926</v>
      </c>
      <c r="BU39" s="26">
        <f t="shared" si="20"/>
        <v>0.0599391</v>
      </c>
      <c r="BV39" s="26">
        <f>IF(VLOOKUP($R39,武学奇术!$A:$ZZ,22,FALSE)=1,0,(1-$BO39))*(1-$BR39)</f>
        <v>0.0172349</v>
      </c>
      <c r="BW39" s="26" cm="1">
        <f t="array" ref="BW39">SUM(_xlfn.XLOOKUP($S39:$AL39,增益!$A:$A,增益!$W:$W,0))+$I$5</f>
        <v>0.11</v>
      </c>
      <c r="BX39" s="26" cm="1">
        <f t="array" ref="BX39">SUM(_xlfn.XLOOKUP($S39:$AL39,增益!$A:$A,增益!$X:$X,0))</f>
        <v>0</v>
      </c>
    </row>
    <row r="40" spans="1:76">
      <c r="A40" s="4" t="s">
        <v>169</v>
      </c>
      <c r="B40" s="4">
        <v>1</v>
      </c>
      <c r="D40" s="39"/>
      <c r="F40" s="39"/>
      <c r="K40">
        <f>$L40*VLOOKUP($R40,武学奇术!$A:$ZZ,31,FALSE)</f>
        <v>43285.8719498009</v>
      </c>
      <c r="L40" s="38">
        <f t="shared" si="21"/>
        <v>41224.6399521913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</f>
        <v>43622.835376495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</f>
        <v>35464.3047071744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</f>
        <v>23080.8652785688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</f>
        <v>19891.8752184899</v>
      </c>
      <c r="Q40" s="39">
        <v>2</v>
      </c>
      <c r="R40" s="40" t="s">
        <v>119</v>
      </c>
      <c r="S40" s="40" t="s">
        <v>116</v>
      </c>
      <c r="T40" s="40" t="s">
        <v>102</v>
      </c>
      <c r="U40" s="40" t="s">
        <v>79</v>
      </c>
      <c r="V40" s="40" t="s">
        <v>78</v>
      </c>
      <c r="W40" s="40" t="s">
        <v>177</v>
      </c>
      <c r="X40" s="40" t="s">
        <v>106</v>
      </c>
      <c r="Y40" s="40" t="s">
        <v>91</v>
      </c>
      <c r="Z40" s="40" t="s">
        <v>78</v>
      </c>
      <c r="AA40" s="40" t="s">
        <v>78</v>
      </c>
      <c r="AB40" s="40" t="s">
        <v>78</v>
      </c>
      <c r="AC40" s="40" t="s">
        <v>92</v>
      </c>
      <c r="AD40" s="40" t="s">
        <v>78</v>
      </c>
      <c r="AE40" s="40" t="s">
        <v>83</v>
      </c>
      <c r="AF40" s="40" t="s">
        <v>84</v>
      </c>
      <c r="AG40" s="40" t="s">
        <v>85</v>
      </c>
      <c r="AH40" s="40" t="s">
        <v>78</v>
      </c>
      <c r="AI40" s="40" t="s">
        <v>78</v>
      </c>
      <c r="AJ40" s="40" t="s">
        <v>78</v>
      </c>
      <c r="AK40" s="40" t="s">
        <v>78</v>
      </c>
      <c r="AL40" s="40" t="s">
        <v>78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0.8541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3636.6</v>
      </c>
      <c r="AU40" cm="1">
        <f t="array" ref="AU40">$E$10*(1+$AS40)+VLOOKUP($R40,武学奇术!$A:$ZZ,4,FALSE)+SUM(_xlfn.XLOOKUP($S40:$AL40,增益!$A:$A,增益!$D:$D,0))-$I$2</f>
        <v>3636.6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0.3425</v>
      </c>
      <c r="AW40" s="32" cm="1">
        <f t="array" ref="AW40">$G$10+VLOOKUP($R40,武学奇术!$A:$ZZ,7,FALSE)+SUM(_xlfn.XLOOKUP($S40:$AL40,增益!$A:$A,增益!$G:$G,0))</f>
        <v>0.148</v>
      </c>
      <c r="AX40" s="26" cm="1">
        <f t="array" ref="AX40">VLOOKUP($R40,武学奇术!$A:$ZZ,8,FALSE)+SUM(_xlfn.XLOOKUP($S40:$AL40,增益!$A:$A,增益!$H:$H,0))</f>
        <v>0</v>
      </c>
      <c r="AY40">
        <f t="shared" si="11"/>
        <v>0</v>
      </c>
      <c r="AZ40">
        <f t="shared" si="1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2" cm="1">
        <f t="array" ref="BB40">$G$11+VLOOKUP($R40,武学奇术!$A:$ZZ,10,FALSE)+SUM(_xlfn.XLOOKUP($S40:$AL40,增益!$A:$A,增益!$J:$J,0))</f>
        <v>0</v>
      </c>
      <c r="BC40">
        <f t="shared" si="13"/>
        <v>0</v>
      </c>
      <c r="BD40">
        <f t="shared" si="1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2" cm="1">
        <f t="array" ref="BF40">$G$12+VLOOKUP($R40,武学奇术!$A:$ZZ,12,FALSE)+SUM(_xlfn.XLOOKUP($S40:$AL40,增益!$A:$A,增益!$L:$L,0))</f>
        <v>0</v>
      </c>
      <c r="BG40">
        <f t="shared" si="15"/>
        <v>0</v>
      </c>
      <c r="BH40">
        <f t="shared" si="1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2" cm="1">
        <f t="array" ref="BJ40">$G$13+VLOOKUP($R40,武学奇术!$A:$ZZ,14,FALSE)+SUM(_xlfn.XLOOKUP($S40:$AL40,增益!$A:$A,增益!$N:$N,0))</f>
        <v>0</v>
      </c>
      <c r="BK40">
        <f t="shared" si="17"/>
        <v>571.2</v>
      </c>
      <c r="BL40">
        <f t="shared" si="18"/>
        <v>1627.8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2" cm="1">
        <f t="array" ref="BN40">$G$14+VLOOKUP($R40,武学奇术!$A:$ZZ,16,FALSE)+SUM(_xlfn.XLOOKUP($S40:$AL40,增益!$A:$A,增益!$P:$P,0))</f>
        <v>0.27</v>
      </c>
      <c r="BO40" s="26">
        <f>MIN(IF(VLOOKUP($R40,武学奇术!$A:$ZZ,23,FALSE)=1,100%,$B$8),100%)</f>
        <v>0.981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26" cm="1">
        <f t="array" ref="BQ40">1+$B$13+VLOOKUP($R40,武学奇术!$A:$ZZ,18,FALSE)+SUM(_xlfn.XLOOKUP($S40:$AL40,增益!$A:$A,增益!$R:$R,0))</f>
        <v>1.89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6" cm="1">
        <f t="array" ref="BS40">1+$B$14+VLOOKUP($R40,武学奇术!$A:$ZZ,20,FALSE)+SUM(_xlfn.XLOOKUP($S40:$AL40,增益!$A:$A,增益!$T:$T,0))</f>
        <v>1.35</v>
      </c>
      <c r="BT40" s="26">
        <f t="shared" si="19"/>
        <v>0.829926</v>
      </c>
      <c r="BU40" s="26">
        <f t="shared" si="20"/>
        <v>0.0599391</v>
      </c>
      <c r="BV40" s="26">
        <f>IF(VLOOKUP($R40,武学奇术!$A:$ZZ,22,FALSE)=1,0,(1-$BO40))*(1-$BR40)</f>
        <v>0.0172349</v>
      </c>
      <c r="BW40" s="26" cm="1">
        <f t="array" ref="BW40">SUM(_xlfn.XLOOKUP($S40:$AL40,增益!$A:$A,增益!$W:$W,0))+$I$5</f>
        <v>0.11</v>
      </c>
      <c r="BX40" s="26" cm="1">
        <f t="array" ref="BX40">SUM(_xlfn.XLOOKUP($S40:$AL40,增益!$A:$A,增益!$X:$X,0))</f>
        <v>0</v>
      </c>
    </row>
    <row r="41" spans="1:76">
      <c r="A41" s="4" t="s">
        <v>172</v>
      </c>
      <c r="B41" s="4">
        <v>0.85</v>
      </c>
      <c r="D41" s="39"/>
      <c r="F41" s="39"/>
      <c r="K41">
        <f>$L41*VLOOKUP($R41,武学奇术!$A:$ZZ,31,FALSE)</f>
        <v>75710.2287586619</v>
      </c>
      <c r="L41" s="38">
        <f t="shared" si="21"/>
        <v>72104.9797701542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</f>
        <v>76663.3844355654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</f>
        <v>59505.7658971974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</f>
        <v>39314.5561208027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</f>
        <v>34550.7671325704</v>
      </c>
      <c r="Q41" s="39">
        <v>1</v>
      </c>
      <c r="R41" s="40" t="s">
        <v>115</v>
      </c>
      <c r="S41" s="40" t="s">
        <v>116</v>
      </c>
      <c r="T41" s="40" t="s">
        <v>102</v>
      </c>
      <c r="U41" s="40" t="s">
        <v>79</v>
      </c>
      <c r="V41" s="40" t="s">
        <v>78</v>
      </c>
      <c r="W41" s="40" t="s">
        <v>177</v>
      </c>
      <c r="X41" s="40" t="s">
        <v>106</v>
      </c>
      <c r="Y41" s="40" t="s">
        <v>91</v>
      </c>
      <c r="Z41" s="40" t="s">
        <v>78</v>
      </c>
      <c r="AA41" s="40" t="s">
        <v>78</v>
      </c>
      <c r="AB41" s="40" t="s">
        <v>122</v>
      </c>
      <c r="AC41" s="40" t="s">
        <v>98</v>
      </c>
      <c r="AD41" s="40" t="s">
        <v>78</v>
      </c>
      <c r="AE41" s="40" t="s">
        <v>83</v>
      </c>
      <c r="AF41" s="40" t="s">
        <v>84</v>
      </c>
      <c r="AG41" s="40" t="s">
        <v>85</v>
      </c>
      <c r="AH41" s="40" t="s">
        <v>78</v>
      </c>
      <c r="AI41" s="40" t="s">
        <v>78</v>
      </c>
      <c r="AJ41" s="40" t="s">
        <v>78</v>
      </c>
      <c r="AK41" s="40" t="s">
        <v>78</v>
      </c>
      <c r="AL41" s="40" t="s">
        <v>78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750</v>
      </c>
      <c r="AP41" s="26">
        <f>VLOOKUP($R41,武学奇术!$A:$ZZ,28,FALSE)</f>
        <v>2.7126</v>
      </c>
      <c r="AQ41" s="27">
        <f>VLOOKUP($R41,武学奇术!$A:$ZZ,29,FALSE)*(1+IF(OR($AM41=$F$4,$AM41=$F$5),$B$22,0))</f>
        <v>408</v>
      </c>
      <c r="AR41" s="26" cm="1">
        <f t="array" ref="AR41">$G$3+IFERROR(VLOOKUP($AM41,$F$4:$G$7,2,FALSE),0)+VLOOKUP($R41,武学奇术!$A:$ZZ,2,FALSE)+SUM(_xlfn.XLOOKUP($S41:$AL41,增益!$A:$A,增益!$B:$B,0))</f>
        <v>0.6541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3636.6</v>
      </c>
      <c r="AU41" cm="1">
        <f t="array" ref="AU41">$E$10*(1+$AS41)+VLOOKUP($R41,武学奇术!$A:$ZZ,4,FALSE)+SUM(_xlfn.XLOOKUP($S41:$AL41,增益!$A:$A,增益!$D:$D,0))-$I$2</f>
        <v>3636.6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0.3425</v>
      </c>
      <c r="AW41" s="32" cm="1">
        <f t="array" ref="AW41">$G$10+VLOOKUP($R41,武学奇术!$A:$ZZ,7,FALSE)+SUM(_xlfn.XLOOKUP($S41:$AL41,增益!$A:$A,增益!$G:$G,0))</f>
        <v>0.148</v>
      </c>
      <c r="AX41" s="26" cm="1">
        <f t="array" ref="AX41">VLOOKUP($R41,武学奇术!$A:$ZZ,8,FALSE)+SUM(_xlfn.XLOOKUP($S41:$AL41,增益!$A:$A,增益!$H:$H,0))</f>
        <v>0</v>
      </c>
      <c r="AY41">
        <f t="shared" si="11"/>
        <v>0</v>
      </c>
      <c r="AZ41">
        <f t="shared" si="1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2" cm="1">
        <f t="array" ref="BB41">$G$11+VLOOKUP($R41,武学奇术!$A:$ZZ,10,FALSE)+SUM(_xlfn.XLOOKUP($S41:$AL41,增益!$A:$A,增益!$J:$J,0))</f>
        <v>0</v>
      </c>
      <c r="BC41">
        <f t="shared" si="13"/>
        <v>0</v>
      </c>
      <c r="BD41">
        <f t="shared" si="1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2" cm="1">
        <f t="array" ref="BF41">$G$12+VLOOKUP($R41,武学奇术!$A:$ZZ,12,FALSE)+SUM(_xlfn.XLOOKUP($S41:$AL41,增益!$A:$A,增益!$L:$L,0))</f>
        <v>0</v>
      </c>
      <c r="BG41">
        <f t="shared" si="15"/>
        <v>0</v>
      </c>
      <c r="BH41">
        <f t="shared" si="1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2" cm="1">
        <f t="array" ref="BJ41">$G$13+VLOOKUP($R41,武学奇术!$A:$ZZ,14,FALSE)+SUM(_xlfn.XLOOKUP($S41:$AL41,增益!$A:$A,增益!$N:$N,0))</f>
        <v>0</v>
      </c>
      <c r="BK41">
        <f t="shared" si="17"/>
        <v>571.2</v>
      </c>
      <c r="BL41">
        <f t="shared" si="18"/>
        <v>1627.8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2" cm="1">
        <f t="array" ref="BN41">$G$14+VLOOKUP($R41,武学奇术!$A:$ZZ,16,FALSE)+SUM(_xlfn.XLOOKUP($S41:$AL41,增益!$A:$A,增益!$P:$P,0))</f>
        <v>0.27</v>
      </c>
      <c r="BO41" s="26">
        <f>MIN(IF(VLOOKUP($R41,武学奇术!$A:$ZZ,23,FALSE)=1,100%,$B$8),100%)</f>
        <v>0.981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26" cm="1">
        <f t="array" ref="BQ41">1+$B$13+VLOOKUP($R41,武学奇术!$A:$ZZ,18,FALSE)+SUM(_xlfn.XLOOKUP($S41:$AL41,增益!$A:$A,增益!$R:$R,0))</f>
        <v>1.95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6" cm="1">
        <f t="array" ref="BS41">1+$B$14+VLOOKUP($R41,武学奇术!$A:$ZZ,20,FALSE)+SUM(_xlfn.XLOOKUP($S41:$AL41,增益!$A:$A,增益!$T:$T,0))</f>
        <v>1.35</v>
      </c>
      <c r="BT41" s="26">
        <f t="shared" si="19"/>
        <v>0.829926</v>
      </c>
      <c r="BU41" s="26">
        <f t="shared" si="20"/>
        <v>0.0599391</v>
      </c>
      <c r="BV41" s="26">
        <f>IF(VLOOKUP($R41,武学奇术!$A:$ZZ,22,FALSE)=1,0,(1-$BO41))*(1-$BR41)</f>
        <v>0.0172349</v>
      </c>
      <c r="BW41" s="26" cm="1">
        <f t="array" ref="BW41">SUM(_xlfn.XLOOKUP($S41:$AL41,增益!$A:$A,增益!$W:$W,0))+$I$5</f>
        <v>0.11</v>
      </c>
      <c r="BX41" s="26" cm="1">
        <f t="array" ref="BX41">SUM(_xlfn.XLOOKUP($S41:$AL41,增益!$A:$A,增益!$X:$X,0))</f>
        <v>0</v>
      </c>
    </row>
    <row r="42" spans="1:76">
      <c r="A42" s="4" t="s">
        <v>169</v>
      </c>
      <c r="B42" s="88">
        <v>1</v>
      </c>
      <c r="D42" s="39"/>
      <c r="F42" s="39"/>
      <c r="K42">
        <f>$L42*VLOOKUP($R42,武学奇术!$A:$ZZ,31,FALSE)</f>
        <v>44492.6627922233</v>
      </c>
      <c r="L42" s="38">
        <f t="shared" si="21"/>
        <v>42373.9645640222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</f>
        <v>45007.6872932092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</f>
        <v>35464.3047071744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</f>
        <v>23080.8652785688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</f>
        <v>19891.8752184899</v>
      </c>
      <c r="Q42" s="39">
        <v>2</v>
      </c>
      <c r="R42" s="40" t="s">
        <v>119</v>
      </c>
      <c r="S42" s="40" t="s">
        <v>116</v>
      </c>
      <c r="T42" s="40" t="s">
        <v>102</v>
      </c>
      <c r="U42" s="40" t="s">
        <v>79</v>
      </c>
      <c r="V42" s="40" t="s">
        <v>78</v>
      </c>
      <c r="W42" s="40" t="s">
        <v>177</v>
      </c>
      <c r="X42" s="40" t="s">
        <v>106</v>
      </c>
      <c r="Y42" s="40" t="s">
        <v>91</v>
      </c>
      <c r="Z42" s="40" t="s">
        <v>78</v>
      </c>
      <c r="AA42" s="40" t="s">
        <v>78</v>
      </c>
      <c r="AB42" s="40" t="s">
        <v>122</v>
      </c>
      <c r="AC42" s="40" t="s">
        <v>98</v>
      </c>
      <c r="AD42" s="40" t="s">
        <v>78</v>
      </c>
      <c r="AE42" s="40" t="s">
        <v>83</v>
      </c>
      <c r="AF42" s="40" t="s">
        <v>84</v>
      </c>
      <c r="AG42" s="40" t="s">
        <v>85</v>
      </c>
      <c r="AH42" s="40" t="s">
        <v>78</v>
      </c>
      <c r="AI42" s="40" t="s">
        <v>78</v>
      </c>
      <c r="AJ42" s="40" t="s">
        <v>78</v>
      </c>
      <c r="AK42" s="40" t="s">
        <v>78</v>
      </c>
      <c r="AL42" s="40" t="s">
        <v>78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0.8541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3636.6</v>
      </c>
      <c r="AU42" cm="1">
        <f t="array" ref="AU42">$E$10*(1+$AS42)+VLOOKUP($R42,武学奇术!$A:$ZZ,4,FALSE)+SUM(_xlfn.XLOOKUP($S42:$AL42,增益!$A:$A,增益!$D:$D,0))-$I$2</f>
        <v>3636.6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0.3425</v>
      </c>
      <c r="AW42" s="32" cm="1">
        <f t="array" ref="AW42">$G$10+VLOOKUP($R42,武学奇术!$A:$ZZ,7,FALSE)+SUM(_xlfn.XLOOKUP($S42:$AL42,增益!$A:$A,增益!$G:$G,0))</f>
        <v>0.148</v>
      </c>
      <c r="AX42" s="26" cm="1">
        <f t="array" ref="AX42">VLOOKUP($R42,武学奇术!$A:$ZZ,8,FALSE)+SUM(_xlfn.XLOOKUP($S42:$AL42,增益!$A:$A,增益!$H:$H,0))</f>
        <v>0</v>
      </c>
      <c r="AY42">
        <f t="shared" si="11"/>
        <v>0</v>
      </c>
      <c r="AZ42">
        <f t="shared" si="1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2" cm="1">
        <f t="array" ref="BB42">$G$11+VLOOKUP($R42,武学奇术!$A:$ZZ,10,FALSE)+SUM(_xlfn.XLOOKUP($S42:$AL42,增益!$A:$A,增益!$J:$J,0))</f>
        <v>0</v>
      </c>
      <c r="BC42">
        <f t="shared" si="13"/>
        <v>0</v>
      </c>
      <c r="BD42">
        <f t="shared" si="1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2" cm="1">
        <f t="array" ref="BF42">$G$12+VLOOKUP($R42,武学奇术!$A:$ZZ,12,FALSE)+SUM(_xlfn.XLOOKUP($S42:$AL42,增益!$A:$A,增益!$L:$L,0))</f>
        <v>0</v>
      </c>
      <c r="BG42">
        <f t="shared" si="15"/>
        <v>0</v>
      </c>
      <c r="BH42">
        <f t="shared" si="1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2" cm="1">
        <f t="array" ref="BJ42">$G$13+VLOOKUP($R42,武学奇术!$A:$ZZ,14,FALSE)+SUM(_xlfn.XLOOKUP($S42:$AL42,增益!$A:$A,增益!$N:$N,0))</f>
        <v>0</v>
      </c>
      <c r="BK42">
        <f t="shared" si="17"/>
        <v>571.2</v>
      </c>
      <c r="BL42">
        <f t="shared" si="18"/>
        <v>1627.8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2" cm="1">
        <f t="array" ref="BN42">$G$14+VLOOKUP($R42,武学奇术!$A:$ZZ,16,FALSE)+SUM(_xlfn.XLOOKUP($S42:$AL42,增益!$A:$A,增益!$P:$P,0))</f>
        <v>0.27</v>
      </c>
      <c r="BO42" s="26">
        <f>MIN(IF(VLOOKUP($R42,武学奇术!$A:$ZZ,23,FALSE)=1,100%,$B$8),100%)</f>
        <v>0.981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26" cm="1">
        <f t="array" ref="BQ42">1+$B$13+VLOOKUP($R42,武学奇术!$A:$ZZ,18,FALSE)+SUM(_xlfn.XLOOKUP($S42:$AL42,增益!$A:$A,增益!$R:$R,0))</f>
        <v>1.95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6" cm="1">
        <f t="array" ref="BS42">1+$B$14+VLOOKUP($R42,武学奇术!$A:$ZZ,20,FALSE)+SUM(_xlfn.XLOOKUP($S42:$AL42,增益!$A:$A,增益!$T:$T,0))</f>
        <v>1.35</v>
      </c>
      <c r="BT42" s="26">
        <f t="shared" si="19"/>
        <v>0.829926</v>
      </c>
      <c r="BU42" s="26">
        <f t="shared" si="20"/>
        <v>0.0599391</v>
      </c>
      <c r="BV42" s="26">
        <f>IF(VLOOKUP($R42,武学奇术!$A:$ZZ,22,FALSE)=1,0,(1-$BO42))*(1-$BR42)</f>
        <v>0.0172349</v>
      </c>
      <c r="BW42" s="26" cm="1">
        <f t="array" ref="BW42">SUM(_xlfn.XLOOKUP($S42:$AL42,增益!$A:$A,增益!$W:$W,0))+$I$5</f>
        <v>0.11</v>
      </c>
      <c r="BX42" s="26" cm="1">
        <f t="array" ref="BX42">SUM(_xlfn.XLOOKUP($S42:$AL42,增益!$A:$A,增益!$X:$X,0))</f>
        <v>0</v>
      </c>
    </row>
    <row r="43" spans="1:76">
      <c r="A43" s="4" t="s">
        <v>169</v>
      </c>
      <c r="B43" s="4">
        <v>1</v>
      </c>
      <c r="D43" s="39"/>
      <c r="F43" s="39"/>
      <c r="K43">
        <f>$L43*VLOOKUP($R43,武学奇术!$A:$ZZ,31,FALSE)</f>
        <v>78108.3994229408</v>
      </c>
      <c r="L43" s="38">
        <f t="shared" si="21"/>
        <v>74388.9518313721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</f>
        <v>79415.4033640215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</f>
        <v>59505.7658971974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</f>
        <v>39314.5561208027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</f>
        <v>34550.7671325704</v>
      </c>
      <c r="Q43" s="39">
        <v>1</v>
      </c>
      <c r="R43" s="40" t="s">
        <v>115</v>
      </c>
      <c r="S43" s="40" t="s">
        <v>116</v>
      </c>
      <c r="T43" s="40" t="s">
        <v>102</v>
      </c>
      <c r="U43" s="40" t="s">
        <v>79</v>
      </c>
      <c r="V43" s="40" t="s">
        <v>78</v>
      </c>
      <c r="W43" s="40" t="s">
        <v>178</v>
      </c>
      <c r="X43" s="40" t="s">
        <v>106</v>
      </c>
      <c r="Y43" s="40" t="s">
        <v>91</v>
      </c>
      <c r="Z43" s="40" t="s">
        <v>78</v>
      </c>
      <c r="AA43" s="40" t="s">
        <v>78</v>
      </c>
      <c r="AB43" s="40" t="s">
        <v>127</v>
      </c>
      <c r="AC43" s="40" t="s">
        <v>98</v>
      </c>
      <c r="AD43" s="40" t="s">
        <v>78</v>
      </c>
      <c r="AE43" s="40" t="s">
        <v>83</v>
      </c>
      <c r="AF43" s="40" t="s">
        <v>84</v>
      </c>
      <c r="AG43" s="40" t="s">
        <v>85</v>
      </c>
      <c r="AH43" s="40" t="s">
        <v>78</v>
      </c>
      <c r="AI43" s="40" t="s">
        <v>78</v>
      </c>
      <c r="AJ43" s="40" t="s">
        <v>78</v>
      </c>
      <c r="AK43" s="40" t="s">
        <v>78</v>
      </c>
      <c r="AL43" s="40" t="s">
        <v>78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750</v>
      </c>
      <c r="AP43" s="26">
        <f>VLOOKUP($R43,武学奇术!$A:$ZZ,28,FALSE)</f>
        <v>2.7126</v>
      </c>
      <c r="AQ43" s="27">
        <f>VLOOKUP($R43,武学奇术!$A:$ZZ,29,FALSE)*(1+IF(OR($AM43=$F$4,$AM43=$F$5),$B$22,0))</f>
        <v>408</v>
      </c>
      <c r="AR43" s="26" cm="1">
        <f t="array" ref="AR43">$G$3+IFERROR(VLOOKUP($AM43,$F$4:$G$7,2,FALSE),0)+VLOOKUP($R43,武学奇术!$A:$ZZ,2,FALSE)+SUM(_xlfn.XLOOKUP($S43:$AL43,增益!$A:$A,增益!$B:$B,0))</f>
        <v>0.6541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3636.6</v>
      </c>
      <c r="AU43" cm="1">
        <f t="array" ref="AU43">$E$10*(1+$AS43)+VLOOKUP($R43,武学奇术!$A:$ZZ,4,FALSE)+SUM(_xlfn.XLOOKUP($S43:$AL43,增益!$A:$A,增益!$D:$D,0))-$I$2</f>
        <v>3636.6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0.3425</v>
      </c>
      <c r="AW43" s="32" cm="1">
        <f t="array" ref="AW43">$G$10+VLOOKUP($R43,武学奇术!$A:$ZZ,7,FALSE)+SUM(_xlfn.XLOOKUP($S43:$AL43,增益!$A:$A,增益!$G:$G,0))</f>
        <v>0.148</v>
      </c>
      <c r="AX43" s="26" cm="1">
        <f t="array" ref="AX43">VLOOKUP($R43,武学奇术!$A:$ZZ,8,FALSE)+SUM(_xlfn.XLOOKUP($S43:$AL43,增益!$A:$A,增益!$H:$H,0))</f>
        <v>0</v>
      </c>
      <c r="AY43">
        <f t="shared" si="11"/>
        <v>0</v>
      </c>
      <c r="AZ43">
        <f t="shared" si="1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2" cm="1">
        <f t="array" ref="BB43">$G$11+VLOOKUP($R43,武学奇术!$A:$ZZ,10,FALSE)+SUM(_xlfn.XLOOKUP($S43:$AL43,增益!$A:$A,增益!$J:$J,0))</f>
        <v>0</v>
      </c>
      <c r="BC43">
        <f t="shared" si="13"/>
        <v>0</v>
      </c>
      <c r="BD43">
        <f t="shared" si="1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2" cm="1">
        <f t="array" ref="BF43">$G$12+VLOOKUP($R43,武学奇术!$A:$ZZ,12,FALSE)+SUM(_xlfn.XLOOKUP($S43:$AL43,增益!$A:$A,增益!$L:$L,0))</f>
        <v>0</v>
      </c>
      <c r="BG43">
        <f t="shared" si="15"/>
        <v>0</v>
      </c>
      <c r="BH43">
        <f t="shared" si="1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2" cm="1">
        <f t="array" ref="BJ43">$G$13+VLOOKUP($R43,武学奇术!$A:$ZZ,14,FALSE)+SUM(_xlfn.XLOOKUP($S43:$AL43,增益!$A:$A,增益!$N:$N,0))</f>
        <v>0</v>
      </c>
      <c r="BK43">
        <f t="shared" si="17"/>
        <v>571.2</v>
      </c>
      <c r="BL43">
        <f t="shared" si="18"/>
        <v>1627.8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2" cm="1">
        <f t="array" ref="BN43">$G$14+VLOOKUP($R43,武学奇术!$A:$ZZ,16,FALSE)+SUM(_xlfn.XLOOKUP($S43:$AL43,增益!$A:$A,增益!$P:$P,0))</f>
        <v>0.27</v>
      </c>
      <c r="BO43" s="26">
        <f>MIN(IF(VLOOKUP($R43,武学奇术!$A:$ZZ,23,FALSE)=1,100%,$B$8),100%)</f>
        <v>0.981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26" cm="1">
        <f t="array" ref="BQ43">1+$B$13+VLOOKUP($R43,武学奇术!$A:$ZZ,18,FALSE)+SUM(_xlfn.XLOOKUP($S43:$AL43,增益!$A:$A,增益!$R:$R,0))</f>
        <v>2.02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6" cm="1">
        <f t="array" ref="BS43">1+$B$14+VLOOKUP($R43,武学奇术!$A:$ZZ,20,FALSE)+SUM(_xlfn.XLOOKUP($S43:$AL43,增益!$A:$A,增益!$T:$T,0))</f>
        <v>1.35</v>
      </c>
      <c r="BT43" s="26">
        <f t="shared" si="19"/>
        <v>0.829926</v>
      </c>
      <c r="BU43" s="26">
        <f t="shared" si="20"/>
        <v>0.0599391</v>
      </c>
      <c r="BV43" s="26">
        <f>IF(VLOOKUP($R43,武学奇术!$A:$ZZ,22,FALSE)=1,0,(1-$BO43))*(1-$BR43)</f>
        <v>0.0172349</v>
      </c>
      <c r="BW43" s="26" cm="1">
        <f t="array" ref="BW43">SUM(_xlfn.XLOOKUP($S43:$AL43,增益!$A:$A,增益!$W:$W,0))+$I$5</f>
        <v>0.11</v>
      </c>
      <c r="BX43" s="26" cm="1">
        <f t="array" ref="BX43">SUM(_xlfn.XLOOKUP($S43:$AL43,增益!$A:$A,增益!$X:$X,0))</f>
        <v>0</v>
      </c>
    </row>
    <row r="44" spans="1:76">
      <c r="A44" s="4" t="s">
        <v>172</v>
      </c>
      <c r="B44" s="4">
        <v>0.85</v>
      </c>
      <c r="D44" s="39"/>
      <c r="F44" s="39"/>
      <c r="K44">
        <f>$L44*VLOOKUP($R44,武学奇术!$A:$ZZ,31,FALSE)</f>
        <v>45900.5854417162</v>
      </c>
      <c r="L44" s="38">
        <f t="shared" si="21"/>
        <v>43714.8432778249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</f>
        <v>46623.347862709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</f>
        <v>35464.3047071744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</f>
        <v>23080.8652785688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</f>
        <v>19891.8752184899</v>
      </c>
      <c r="Q44" s="39">
        <v>2</v>
      </c>
      <c r="R44" s="40" t="s">
        <v>119</v>
      </c>
      <c r="S44" s="40" t="s">
        <v>116</v>
      </c>
      <c r="T44" s="40" t="s">
        <v>102</v>
      </c>
      <c r="U44" s="40" t="s">
        <v>79</v>
      </c>
      <c r="V44" s="40" t="s">
        <v>78</v>
      </c>
      <c r="W44" s="40" t="s">
        <v>178</v>
      </c>
      <c r="X44" s="40" t="s">
        <v>106</v>
      </c>
      <c r="Y44" s="40" t="s">
        <v>91</v>
      </c>
      <c r="Z44" s="40" t="s">
        <v>78</v>
      </c>
      <c r="AA44" s="40" t="s">
        <v>78</v>
      </c>
      <c r="AB44" s="40" t="s">
        <v>127</v>
      </c>
      <c r="AC44" s="40" t="s">
        <v>98</v>
      </c>
      <c r="AD44" s="40" t="s">
        <v>78</v>
      </c>
      <c r="AE44" s="40" t="s">
        <v>83</v>
      </c>
      <c r="AF44" s="40" t="s">
        <v>84</v>
      </c>
      <c r="AG44" s="40" t="s">
        <v>85</v>
      </c>
      <c r="AH44" s="40" t="s">
        <v>78</v>
      </c>
      <c r="AI44" s="40" t="s">
        <v>78</v>
      </c>
      <c r="AJ44" s="40" t="s">
        <v>78</v>
      </c>
      <c r="AK44" s="40" t="s">
        <v>78</v>
      </c>
      <c r="AL44" s="40" t="s">
        <v>78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0.8541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3636.6</v>
      </c>
      <c r="AU44" cm="1">
        <f t="array" ref="AU44">$E$10*(1+$AS44)+VLOOKUP($R44,武学奇术!$A:$ZZ,4,FALSE)+SUM(_xlfn.XLOOKUP($S44:$AL44,增益!$A:$A,增益!$D:$D,0))-$I$2</f>
        <v>3636.6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0.3425</v>
      </c>
      <c r="AW44" s="32" cm="1">
        <f t="array" ref="AW44">$G$10+VLOOKUP($R44,武学奇术!$A:$ZZ,7,FALSE)+SUM(_xlfn.XLOOKUP($S44:$AL44,增益!$A:$A,增益!$G:$G,0))</f>
        <v>0.148</v>
      </c>
      <c r="AX44" s="26" cm="1">
        <f t="array" ref="AX44">VLOOKUP($R44,武学奇术!$A:$ZZ,8,FALSE)+SUM(_xlfn.XLOOKUP($S44:$AL44,增益!$A:$A,增益!$H:$H,0))</f>
        <v>0</v>
      </c>
      <c r="AY44">
        <f t="shared" si="11"/>
        <v>0</v>
      </c>
      <c r="AZ44">
        <f t="shared" si="1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2" cm="1">
        <f t="array" ref="BB44">$G$11+VLOOKUP($R44,武学奇术!$A:$ZZ,10,FALSE)+SUM(_xlfn.XLOOKUP($S44:$AL44,增益!$A:$A,增益!$J:$J,0))</f>
        <v>0</v>
      </c>
      <c r="BC44">
        <f t="shared" si="13"/>
        <v>0</v>
      </c>
      <c r="BD44">
        <f t="shared" si="1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2" cm="1">
        <f t="array" ref="BF44">$G$12+VLOOKUP($R44,武学奇术!$A:$ZZ,12,FALSE)+SUM(_xlfn.XLOOKUP($S44:$AL44,增益!$A:$A,增益!$L:$L,0))</f>
        <v>0</v>
      </c>
      <c r="BG44">
        <f t="shared" si="15"/>
        <v>0</v>
      </c>
      <c r="BH44">
        <f t="shared" si="1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2" cm="1">
        <f t="array" ref="BJ44">$G$13+VLOOKUP($R44,武学奇术!$A:$ZZ,14,FALSE)+SUM(_xlfn.XLOOKUP($S44:$AL44,增益!$A:$A,增益!$N:$N,0))</f>
        <v>0</v>
      </c>
      <c r="BK44">
        <f t="shared" si="17"/>
        <v>571.2</v>
      </c>
      <c r="BL44">
        <f t="shared" si="18"/>
        <v>1627.8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2" cm="1">
        <f t="array" ref="BN44">$G$14+VLOOKUP($R44,武学奇术!$A:$ZZ,16,FALSE)+SUM(_xlfn.XLOOKUP($S44:$AL44,增益!$A:$A,增益!$P:$P,0))</f>
        <v>0.27</v>
      </c>
      <c r="BO44" s="26">
        <f>MIN(IF(VLOOKUP($R44,武学奇术!$A:$ZZ,23,FALSE)=1,100%,$B$8),100%)</f>
        <v>0.981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26" cm="1">
        <f t="array" ref="BQ44">1+$B$13+VLOOKUP($R44,武学奇术!$A:$ZZ,18,FALSE)+SUM(_xlfn.XLOOKUP($S44:$AL44,增益!$A:$A,增益!$R:$R,0))</f>
        <v>2.02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6" cm="1">
        <f t="array" ref="BS44">1+$B$14+VLOOKUP($R44,武学奇术!$A:$ZZ,20,FALSE)+SUM(_xlfn.XLOOKUP($S44:$AL44,增益!$A:$A,增益!$T:$T,0))</f>
        <v>1.35</v>
      </c>
      <c r="BT44" s="26">
        <f t="shared" si="19"/>
        <v>0.829926</v>
      </c>
      <c r="BU44" s="26">
        <f t="shared" si="20"/>
        <v>0.0599391</v>
      </c>
      <c r="BV44" s="26">
        <f>IF(VLOOKUP($R44,武学奇术!$A:$ZZ,22,FALSE)=1,0,(1-$BO44))*(1-$BR44)</f>
        <v>0.0172349</v>
      </c>
      <c r="BW44" s="26" cm="1">
        <f t="array" ref="BW44">SUM(_xlfn.XLOOKUP($S44:$AL44,增益!$A:$A,增益!$W:$W,0))+$I$5</f>
        <v>0.11</v>
      </c>
      <c r="BX44" s="26" cm="1">
        <f t="array" ref="BX44">SUM(_xlfn.XLOOKUP($S44:$AL44,增益!$A:$A,增益!$X:$X,0))</f>
        <v>0</v>
      </c>
    </row>
    <row r="45" spans="1:76">
      <c r="A45" s="4" t="s">
        <v>179</v>
      </c>
      <c r="B45" s="4">
        <v>1.3</v>
      </c>
      <c r="F45" s="39"/>
      <c r="K45">
        <f>$L45*VLOOKUP($R45,武学奇术!$A:$ZZ,31,FALSE)</f>
        <v>94856.6819291196</v>
      </c>
      <c r="L45" s="38">
        <f t="shared" si="21"/>
        <v>90339.697075352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</f>
        <v>90339.697075352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</f>
        <v>66700.7076657963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</f>
        <v>44068.1449148059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</f>
        <v>38728.3582253181</v>
      </c>
      <c r="Q45" s="39">
        <v>1</v>
      </c>
      <c r="R45" s="40" t="s">
        <v>132</v>
      </c>
      <c r="S45" s="40" t="s">
        <v>116</v>
      </c>
      <c r="T45" s="40" t="s">
        <v>102</v>
      </c>
      <c r="U45" s="40" t="s">
        <v>79</v>
      </c>
      <c r="V45" s="40" t="s">
        <v>78</v>
      </c>
      <c r="W45" s="40" t="s">
        <v>178</v>
      </c>
      <c r="X45" s="40" t="s">
        <v>106</v>
      </c>
      <c r="Y45" s="40" t="s">
        <v>91</v>
      </c>
      <c r="Z45" s="40" t="s">
        <v>78</v>
      </c>
      <c r="AA45" s="40" t="s">
        <v>78</v>
      </c>
      <c r="AB45" s="40" t="s">
        <v>133</v>
      </c>
      <c r="AC45" s="40" t="s">
        <v>98</v>
      </c>
      <c r="AD45" s="40" t="s">
        <v>78</v>
      </c>
      <c r="AE45" s="40" t="s">
        <v>83</v>
      </c>
      <c r="AF45" s="40" t="s">
        <v>84</v>
      </c>
      <c r="AG45" s="40" t="s">
        <v>85</v>
      </c>
      <c r="AH45" s="40" t="s">
        <v>78</v>
      </c>
      <c r="AI45" s="40" t="s">
        <v>78</v>
      </c>
      <c r="AJ45" s="40" t="s">
        <v>78</v>
      </c>
      <c r="AK45" s="40" t="s">
        <v>78</v>
      </c>
      <c r="AL45" s="40" t="s">
        <v>78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750</v>
      </c>
      <c r="AP45" s="26">
        <f>VLOOKUP($R45,武学奇术!$A:$ZZ,28,FALSE)</f>
        <v>2.7126</v>
      </c>
      <c r="AQ45" s="27">
        <f>VLOOKUP($R45,武学奇术!$A:$ZZ,29,FALSE)*(1+IF(OR($AM45=$F$4,$AM45=$F$5),$B$22,0))</f>
        <v>408</v>
      </c>
      <c r="AR45" s="26" cm="1">
        <f t="array" ref="AR45">$G$3+IFERROR(VLOOKUP($AM45,$F$4:$G$7,2,FALSE),0)+VLOOKUP($R45,武学奇术!$A:$ZZ,2,FALSE)+SUM(_xlfn.XLOOKUP($S45:$AL45,增益!$A:$A,增益!$B:$B,0))</f>
        <v>0.8541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3636.6</v>
      </c>
      <c r="AU45" cm="1">
        <f t="array" ref="AU45">$E$10*(1+$AS45)+VLOOKUP($R45,武学奇术!$A:$ZZ,4,FALSE)+SUM(_xlfn.XLOOKUP($S45:$AL45,增益!$A:$A,增益!$D:$D,0))-$I$2</f>
        <v>3636.6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0.3425</v>
      </c>
      <c r="AW45" s="32" cm="1">
        <f t="array" ref="AW45">$G$10+VLOOKUP($R45,武学奇术!$A:$ZZ,7,FALSE)+SUM(_xlfn.XLOOKUP($S45:$AL45,增益!$A:$A,增益!$G:$G,0))</f>
        <v>0.148</v>
      </c>
      <c r="AX45" s="26" cm="1">
        <f t="array" ref="AX45">VLOOKUP($R45,武学奇术!$A:$ZZ,8,FALSE)+SUM(_xlfn.XLOOKUP($S45:$AL45,增益!$A:$A,增益!$H:$H,0))</f>
        <v>0</v>
      </c>
      <c r="AY45">
        <f t="shared" si="11"/>
        <v>0</v>
      </c>
      <c r="AZ45">
        <f t="shared" si="1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2" cm="1">
        <f t="array" ref="BB45">$G$11+VLOOKUP($R45,武学奇术!$A:$ZZ,10,FALSE)+SUM(_xlfn.XLOOKUP($S45:$AL45,增益!$A:$A,增益!$J:$J,0))</f>
        <v>0</v>
      </c>
      <c r="BC45">
        <f t="shared" si="13"/>
        <v>0</v>
      </c>
      <c r="BD45">
        <f t="shared" si="1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2" cm="1">
        <f t="array" ref="BF45">$G$12+VLOOKUP($R45,武学奇术!$A:$ZZ,12,FALSE)+SUM(_xlfn.XLOOKUP($S45:$AL45,增益!$A:$A,增益!$L:$L,0))</f>
        <v>0</v>
      </c>
      <c r="BG45">
        <f t="shared" si="15"/>
        <v>0</v>
      </c>
      <c r="BH45">
        <f t="shared" si="1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2" cm="1">
        <f t="array" ref="BJ45">$G$13+VLOOKUP($R45,武学奇术!$A:$ZZ,14,FALSE)+SUM(_xlfn.XLOOKUP($S45:$AL45,增益!$A:$A,增益!$N:$N,0))</f>
        <v>0</v>
      </c>
      <c r="BK45">
        <f t="shared" si="17"/>
        <v>571.2</v>
      </c>
      <c r="BL45">
        <f t="shared" si="18"/>
        <v>1627.8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2" cm="1">
        <f t="array" ref="BN45">$G$14+VLOOKUP($R45,武学奇术!$A:$ZZ,16,FALSE)+SUM(_xlfn.XLOOKUP($S45:$AL45,增益!$A:$A,增益!$P:$P,0))</f>
        <v>0.27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2.05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19"/>
        <v>1</v>
      </c>
      <c r="BU45" s="26">
        <f t="shared" si="2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 cm="1">
        <f t="array" ref="BX45">SUM(_xlfn.XLOOKUP($S45:$AL45,增益!$A:$A,增益!$X:$X,0))</f>
        <v>0</v>
      </c>
    </row>
    <row r="46" spans="1:76">
      <c r="A46" s="4" t="s">
        <v>179</v>
      </c>
      <c r="B46" s="4">
        <v>1.3</v>
      </c>
      <c r="K46">
        <f>$L46*VLOOKUP($R46,武学奇术!$A:$ZZ,31,FALSE)</f>
        <v>55040.6653126284</v>
      </c>
      <c r="L46" s="38">
        <f t="shared" si="21"/>
        <v>52419.6812501223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</f>
        <v>52419.6812501223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</f>
        <v>39289.8054576382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</f>
        <v>25570.5762195719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</f>
        <v>22037.5928408932</v>
      </c>
      <c r="Q46" s="39">
        <v>2</v>
      </c>
      <c r="R46" s="40" t="s">
        <v>139</v>
      </c>
      <c r="S46" s="40" t="s">
        <v>116</v>
      </c>
      <c r="T46" s="40" t="s">
        <v>102</v>
      </c>
      <c r="U46" s="40" t="s">
        <v>79</v>
      </c>
      <c r="V46" s="40" t="s">
        <v>78</v>
      </c>
      <c r="W46" s="40" t="s">
        <v>178</v>
      </c>
      <c r="X46" s="40" t="s">
        <v>106</v>
      </c>
      <c r="Y46" s="40" t="s">
        <v>91</v>
      </c>
      <c r="Z46" s="40" t="s">
        <v>78</v>
      </c>
      <c r="AA46" s="40" t="s">
        <v>78</v>
      </c>
      <c r="AB46" s="40" t="s">
        <v>133</v>
      </c>
      <c r="AC46" s="40" t="s">
        <v>98</v>
      </c>
      <c r="AD46" s="40" t="s">
        <v>78</v>
      </c>
      <c r="AE46" s="40" t="s">
        <v>83</v>
      </c>
      <c r="AF46" s="40" t="s">
        <v>84</v>
      </c>
      <c r="AG46" s="40" t="s">
        <v>85</v>
      </c>
      <c r="AH46" s="40" t="s">
        <v>78</v>
      </c>
      <c r="AI46" s="40" t="s">
        <v>78</v>
      </c>
      <c r="AJ46" s="40" t="s">
        <v>78</v>
      </c>
      <c r="AK46" s="40" t="s">
        <v>78</v>
      </c>
      <c r="AL46" s="40" t="s">
        <v>78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1.0541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3636.6</v>
      </c>
      <c r="AU46" cm="1">
        <f t="array" ref="AU46">$E$10*(1+$AS46)+VLOOKUP($R46,武学奇术!$A:$ZZ,4,FALSE)+SUM(_xlfn.XLOOKUP($S46:$AL46,增益!$A:$A,增益!$D:$D,0))-$I$2</f>
        <v>3636.6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0.3425</v>
      </c>
      <c r="AW46" s="32" cm="1">
        <f t="array" ref="AW46">$G$10+VLOOKUP($R46,武学奇术!$A:$ZZ,7,FALSE)+SUM(_xlfn.XLOOKUP($S46:$AL46,增益!$A:$A,增益!$G:$G,0))</f>
        <v>0.148</v>
      </c>
      <c r="AX46" s="26" cm="1">
        <f t="array" ref="AX46">VLOOKUP($R46,武学奇术!$A:$ZZ,8,FALSE)+SUM(_xlfn.XLOOKUP($S46:$AL46,增益!$A:$A,增益!$H:$H,0))</f>
        <v>0</v>
      </c>
      <c r="AY46">
        <f t="shared" si="11"/>
        <v>0</v>
      </c>
      <c r="AZ46">
        <f t="shared" si="1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2" cm="1">
        <f t="array" ref="BB46">$G$11+VLOOKUP($R46,武学奇术!$A:$ZZ,10,FALSE)+SUM(_xlfn.XLOOKUP($S46:$AL46,增益!$A:$A,增益!$J:$J,0))</f>
        <v>0</v>
      </c>
      <c r="BC46">
        <f t="shared" si="13"/>
        <v>0</v>
      </c>
      <c r="BD46">
        <f t="shared" si="1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2" cm="1">
        <f t="array" ref="BF46">$G$12+VLOOKUP($R46,武学奇术!$A:$ZZ,12,FALSE)+SUM(_xlfn.XLOOKUP($S46:$AL46,增益!$A:$A,增益!$L:$L,0))</f>
        <v>0</v>
      </c>
      <c r="BG46">
        <f t="shared" si="15"/>
        <v>0</v>
      </c>
      <c r="BH46">
        <f t="shared" si="1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2" cm="1">
        <f t="array" ref="BJ46">$G$13+VLOOKUP($R46,武学奇术!$A:$ZZ,14,FALSE)+SUM(_xlfn.XLOOKUP($S46:$AL46,增益!$A:$A,增益!$N:$N,0))</f>
        <v>0</v>
      </c>
      <c r="BK46">
        <f t="shared" si="17"/>
        <v>571.2</v>
      </c>
      <c r="BL46">
        <f t="shared" si="18"/>
        <v>1627.8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0.08</v>
      </c>
      <c r="BN46" s="32" cm="1">
        <f t="array" ref="BN46">$G$14+VLOOKUP($R46,武学奇术!$A:$ZZ,16,FALSE)+SUM(_xlfn.XLOOKUP($S46:$AL46,增益!$A:$A,增益!$P:$P,0))</f>
        <v>0.27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2.05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19"/>
        <v>1</v>
      </c>
      <c r="BU46" s="26">
        <f t="shared" si="2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 cm="1">
        <f t="array" ref="BX46">SUM(_xlfn.XLOOKUP($S46:$AL46,增益!$A:$A,增益!$X:$X,0))</f>
        <v>0</v>
      </c>
    </row>
    <row r="47" spans="1:76">
      <c r="A47" s="4" t="s">
        <v>179</v>
      </c>
      <c r="B47" s="4">
        <v>1.3</v>
      </c>
      <c r="K47">
        <f>$L47*VLOOKUP($R47,武学奇术!$A:$ZZ,31,FALSE)</f>
        <v>79136.1868504888</v>
      </c>
      <c r="L47" s="38">
        <f t="shared" si="21"/>
        <v>75367.7970004655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</f>
        <v>80594.8400476456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</f>
        <v>59505.7658971974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</f>
        <v>39314.5561208027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</f>
        <v>34550.7671325704</v>
      </c>
      <c r="Q47" s="39">
        <v>1</v>
      </c>
      <c r="R47" s="40" t="s">
        <v>115</v>
      </c>
      <c r="S47" s="40" t="s">
        <v>116</v>
      </c>
      <c r="T47" s="40" t="s">
        <v>102</v>
      </c>
      <c r="U47" s="40" t="s">
        <v>79</v>
      </c>
      <c r="V47" s="40" t="s">
        <v>78</v>
      </c>
      <c r="W47" s="40" t="s">
        <v>178</v>
      </c>
      <c r="X47" s="40" t="s">
        <v>106</v>
      </c>
      <c r="Y47" s="40" t="s">
        <v>91</v>
      </c>
      <c r="Z47" s="40" t="s">
        <v>78</v>
      </c>
      <c r="AA47" s="40" t="s">
        <v>78</v>
      </c>
      <c r="AB47" s="40" t="s">
        <v>133</v>
      </c>
      <c r="AC47" s="40" t="s">
        <v>98</v>
      </c>
      <c r="AD47" s="40" t="s">
        <v>78</v>
      </c>
      <c r="AE47" s="40" t="s">
        <v>83</v>
      </c>
      <c r="AF47" s="40" t="s">
        <v>84</v>
      </c>
      <c r="AG47" s="40" t="s">
        <v>85</v>
      </c>
      <c r="AH47" s="40" t="s">
        <v>78</v>
      </c>
      <c r="AI47" s="40" t="s">
        <v>78</v>
      </c>
      <c r="AJ47" s="40" t="s">
        <v>78</v>
      </c>
      <c r="AK47" s="40" t="s">
        <v>78</v>
      </c>
      <c r="AL47" s="40" t="s">
        <v>78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750</v>
      </c>
      <c r="AP47" s="26">
        <f>VLOOKUP($R47,武学奇术!$A:$ZZ,28,FALSE)</f>
        <v>2.7126</v>
      </c>
      <c r="AQ47" s="27">
        <f>VLOOKUP($R47,武学奇术!$A:$ZZ,29,FALSE)*(1+IF(OR($AM47=$F$4,$AM47=$F$5),$B$22,0))</f>
        <v>408</v>
      </c>
      <c r="AR47" s="26" cm="1">
        <f t="array" ref="AR47">$G$3+IFERROR(VLOOKUP($AM47,$F$4:$G$7,2,FALSE),0)+VLOOKUP($R47,武学奇术!$A:$ZZ,2,FALSE)+SUM(_xlfn.XLOOKUP($S47:$AL47,增益!$A:$A,增益!$B:$B,0))</f>
        <v>0.6541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3636.6</v>
      </c>
      <c r="AU47" cm="1">
        <f t="array" ref="AU47">$E$10*(1+$AS47)+VLOOKUP($R47,武学奇术!$A:$ZZ,4,FALSE)+SUM(_xlfn.XLOOKUP($S47:$AL47,增益!$A:$A,增益!$D:$D,0))-$I$2</f>
        <v>3636.6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0.3425</v>
      </c>
      <c r="AW47" s="32" cm="1">
        <f t="array" ref="AW47">$G$10+VLOOKUP($R47,武学奇术!$A:$ZZ,7,FALSE)+SUM(_xlfn.XLOOKUP($S47:$AL47,增益!$A:$A,增益!$G:$G,0))</f>
        <v>0.148</v>
      </c>
      <c r="AX47" s="26" cm="1">
        <f t="array" ref="AX47">VLOOKUP($R47,武学奇术!$A:$ZZ,8,FALSE)+SUM(_xlfn.XLOOKUP($S47:$AL47,增益!$A:$A,增益!$H:$H,0))</f>
        <v>0</v>
      </c>
      <c r="AY47">
        <f t="shared" si="11"/>
        <v>0</v>
      </c>
      <c r="AZ47">
        <f t="shared" si="1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2" cm="1">
        <f t="array" ref="BB47">$G$11+VLOOKUP($R47,武学奇术!$A:$ZZ,10,FALSE)+SUM(_xlfn.XLOOKUP($S47:$AL47,增益!$A:$A,增益!$J:$J,0))</f>
        <v>0</v>
      </c>
      <c r="BC47">
        <f t="shared" si="13"/>
        <v>0</v>
      </c>
      <c r="BD47">
        <f t="shared" si="1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2" cm="1">
        <f t="array" ref="BF47">$G$12+VLOOKUP($R47,武学奇术!$A:$ZZ,12,FALSE)+SUM(_xlfn.XLOOKUP($S47:$AL47,增益!$A:$A,增益!$L:$L,0))</f>
        <v>0</v>
      </c>
      <c r="BG47">
        <f t="shared" si="15"/>
        <v>0</v>
      </c>
      <c r="BH47">
        <f t="shared" si="1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2" cm="1">
        <f t="array" ref="BJ47">$G$13+VLOOKUP($R47,武学奇术!$A:$ZZ,14,FALSE)+SUM(_xlfn.XLOOKUP($S47:$AL47,增益!$A:$A,增益!$N:$N,0))</f>
        <v>0</v>
      </c>
      <c r="BK47">
        <f t="shared" si="17"/>
        <v>571.2</v>
      </c>
      <c r="BL47">
        <f t="shared" si="18"/>
        <v>1627.8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2" cm="1">
        <f t="array" ref="BN47">$G$14+VLOOKUP($R47,武学奇术!$A:$ZZ,16,FALSE)+SUM(_xlfn.XLOOKUP($S47:$AL47,增益!$A:$A,增益!$P:$P,0))</f>
        <v>0.27</v>
      </c>
      <c r="BO47" s="26">
        <f>MIN(IF(VLOOKUP($R47,武学奇术!$A:$ZZ,23,FALSE)=1,100%,$B$8),100%)</f>
        <v>0.981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26" cm="1">
        <f t="array" ref="BQ47">1+$B$13+VLOOKUP($R47,武学奇术!$A:$ZZ,18,FALSE)+SUM(_xlfn.XLOOKUP($S47:$AL47,增益!$A:$A,增益!$R:$R,0))</f>
        <v>2.05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6" cm="1">
        <f t="array" ref="BS47">1+$B$14+VLOOKUP($R47,武学奇术!$A:$ZZ,20,FALSE)+SUM(_xlfn.XLOOKUP($S47:$AL47,增益!$A:$A,增益!$T:$T,0))</f>
        <v>1.35</v>
      </c>
      <c r="BT47" s="26">
        <f t="shared" si="19"/>
        <v>0.829926</v>
      </c>
      <c r="BU47" s="26">
        <f t="shared" si="20"/>
        <v>0.0599391</v>
      </c>
      <c r="BV47" s="26">
        <f>IF(VLOOKUP($R47,武学奇术!$A:$ZZ,22,FALSE)=1,0,(1-$BO47))*(1-$BR47)</f>
        <v>0.0172349</v>
      </c>
      <c r="BW47" s="26" cm="1">
        <f t="array" ref="BW47">SUM(_xlfn.XLOOKUP($S47:$AL47,增益!$A:$A,增益!$W:$W,0))+$I$5</f>
        <v>0.11</v>
      </c>
      <c r="BX47" s="26" cm="1">
        <f t="array" ref="BX47">SUM(_xlfn.XLOOKUP($S47:$AL47,增益!$A:$A,增益!$X:$X,0))</f>
        <v>0</v>
      </c>
    </row>
    <row r="48" spans="1:76">
      <c r="A48" s="4" t="s">
        <v>179</v>
      </c>
      <c r="B48" s="4">
        <v>1.3</v>
      </c>
      <c r="C48" s="39"/>
      <c r="K48">
        <f>$L48*VLOOKUP($R48,武学奇术!$A:$ZZ,31,FALSE)</f>
        <v>46503.9808629274</v>
      </c>
      <c r="L48" s="38">
        <f t="shared" si="21"/>
        <v>44289.5055837404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</f>
        <v>47315.773821066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</f>
        <v>35464.3047071744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</f>
        <v>23080.8652785688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</f>
        <v>19891.8752184899</v>
      </c>
      <c r="Q48" s="39">
        <v>2</v>
      </c>
      <c r="R48" s="40" t="s">
        <v>119</v>
      </c>
      <c r="S48" s="40" t="s">
        <v>116</v>
      </c>
      <c r="T48" s="40" t="s">
        <v>102</v>
      </c>
      <c r="U48" s="40" t="s">
        <v>79</v>
      </c>
      <c r="V48" s="40" t="s">
        <v>78</v>
      </c>
      <c r="W48" s="40" t="s">
        <v>178</v>
      </c>
      <c r="X48" s="40" t="s">
        <v>106</v>
      </c>
      <c r="Y48" s="40" t="s">
        <v>91</v>
      </c>
      <c r="Z48" s="40" t="s">
        <v>78</v>
      </c>
      <c r="AA48" s="40" t="s">
        <v>78</v>
      </c>
      <c r="AB48" s="40" t="s">
        <v>133</v>
      </c>
      <c r="AC48" s="40" t="s">
        <v>98</v>
      </c>
      <c r="AD48" s="40" t="s">
        <v>78</v>
      </c>
      <c r="AE48" s="40" t="s">
        <v>83</v>
      </c>
      <c r="AF48" s="40" t="s">
        <v>84</v>
      </c>
      <c r="AG48" s="40" t="s">
        <v>85</v>
      </c>
      <c r="AH48" s="40" t="s">
        <v>78</v>
      </c>
      <c r="AI48" s="40" t="s">
        <v>78</v>
      </c>
      <c r="AJ48" s="40" t="s">
        <v>78</v>
      </c>
      <c r="AK48" s="40" t="s">
        <v>78</v>
      </c>
      <c r="AL48" s="40" t="s">
        <v>78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0.8541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3636.6</v>
      </c>
      <c r="AU48" cm="1">
        <f t="array" ref="AU48">$E$10*(1+$AS48)+VLOOKUP($R48,武学奇术!$A:$ZZ,4,FALSE)+SUM(_xlfn.XLOOKUP($S48:$AL48,增益!$A:$A,增益!$D:$D,0))-$I$2</f>
        <v>3636.6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0.3425</v>
      </c>
      <c r="AW48" s="32" cm="1">
        <f t="array" ref="AW48">$G$10+VLOOKUP($R48,武学奇术!$A:$ZZ,7,FALSE)+SUM(_xlfn.XLOOKUP($S48:$AL48,增益!$A:$A,增益!$G:$G,0))</f>
        <v>0.148</v>
      </c>
      <c r="AX48" s="26" cm="1">
        <f t="array" ref="AX48">VLOOKUP($R48,武学奇术!$A:$ZZ,8,FALSE)+SUM(_xlfn.XLOOKUP($S48:$AL48,增益!$A:$A,增益!$H:$H,0))</f>
        <v>0</v>
      </c>
      <c r="AY48">
        <f t="shared" si="11"/>
        <v>0</v>
      </c>
      <c r="AZ48">
        <f t="shared" si="1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2" cm="1">
        <f t="array" ref="BB48">$G$11+VLOOKUP($R48,武学奇术!$A:$ZZ,10,FALSE)+SUM(_xlfn.XLOOKUP($S48:$AL48,增益!$A:$A,增益!$J:$J,0))</f>
        <v>0</v>
      </c>
      <c r="BC48">
        <f t="shared" si="13"/>
        <v>0</v>
      </c>
      <c r="BD48">
        <f t="shared" si="1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2" cm="1">
        <f t="array" ref="BF48">$G$12+VLOOKUP($R48,武学奇术!$A:$ZZ,12,FALSE)+SUM(_xlfn.XLOOKUP($S48:$AL48,增益!$A:$A,增益!$L:$L,0))</f>
        <v>0</v>
      </c>
      <c r="BG48">
        <f t="shared" si="15"/>
        <v>0</v>
      </c>
      <c r="BH48">
        <f t="shared" si="1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2" cm="1">
        <f t="array" ref="BJ48">$G$13+VLOOKUP($R48,武学奇术!$A:$ZZ,14,FALSE)+SUM(_xlfn.XLOOKUP($S48:$AL48,增益!$A:$A,增益!$N:$N,0))</f>
        <v>0</v>
      </c>
      <c r="BK48">
        <f t="shared" si="17"/>
        <v>571.2</v>
      </c>
      <c r="BL48">
        <f t="shared" si="18"/>
        <v>1627.8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0.08</v>
      </c>
      <c r="BN48" s="32" cm="1">
        <f t="array" ref="BN48">$G$14+VLOOKUP($R48,武学奇术!$A:$ZZ,16,FALSE)+SUM(_xlfn.XLOOKUP($S48:$AL48,增益!$A:$A,增益!$P:$P,0))</f>
        <v>0.27</v>
      </c>
      <c r="BO48" s="26">
        <f>MIN(IF(VLOOKUP($R48,武学奇术!$A:$ZZ,23,FALSE)=1,100%,$B$8),100%)</f>
        <v>0.981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26" cm="1">
        <f t="array" ref="BQ48">1+$B$13+VLOOKUP($R48,武学奇术!$A:$ZZ,18,FALSE)+SUM(_xlfn.XLOOKUP($S48:$AL48,增益!$A:$A,增益!$R:$R,0))</f>
        <v>2.05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6" cm="1">
        <f t="array" ref="BS48">1+$B$14+VLOOKUP($R48,武学奇术!$A:$ZZ,20,FALSE)+SUM(_xlfn.XLOOKUP($S48:$AL48,增益!$A:$A,增益!$T:$T,0))</f>
        <v>1.35</v>
      </c>
      <c r="BT48" s="26">
        <f t="shared" si="19"/>
        <v>0.829926</v>
      </c>
      <c r="BU48" s="26">
        <f t="shared" si="20"/>
        <v>0.0599391</v>
      </c>
      <c r="BV48" s="26">
        <f>IF(VLOOKUP($R48,武学奇术!$A:$ZZ,22,FALSE)=1,0,(1-$BO48))*(1-$BR48)</f>
        <v>0.0172349</v>
      </c>
      <c r="BW48" s="26" cm="1">
        <f t="array" ref="BW48">SUM(_xlfn.XLOOKUP($S48:$AL48,增益!$A:$A,增益!$W:$W,0))+$I$5</f>
        <v>0.11</v>
      </c>
      <c r="BX48" s="26" cm="1">
        <f t="array" ref="BX48">SUM(_xlfn.XLOOKUP($S48:$AL48,增益!$A:$A,增益!$X:$X,0))</f>
        <v>0</v>
      </c>
    </row>
    <row r="49" spans="1:76">
      <c r="A49" s="4" t="s">
        <v>180</v>
      </c>
      <c r="B49" s="88">
        <v>0.1</v>
      </c>
      <c r="F49" s="4"/>
      <c r="G49" s="88"/>
      <c r="K49">
        <f>$L49*VLOOKUP($R49,武学奇术!$A:$ZZ,31,FALSE)</f>
        <v>79478.7826596715</v>
      </c>
      <c r="L49" s="38">
        <f t="shared" si="21"/>
        <v>75694.0787234967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</f>
        <v>80987.9856088536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</f>
        <v>59505.7658971974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</f>
        <v>39314.5561208027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</f>
        <v>34550.7671325704</v>
      </c>
      <c r="Q49" s="39">
        <v>1</v>
      </c>
      <c r="R49" s="40" t="s">
        <v>115</v>
      </c>
      <c r="S49" s="40" t="s">
        <v>116</v>
      </c>
      <c r="T49" s="40" t="s">
        <v>102</v>
      </c>
      <c r="U49" s="40" t="s">
        <v>79</v>
      </c>
      <c r="V49" s="40" t="s">
        <v>78</v>
      </c>
      <c r="W49" s="40" t="s">
        <v>181</v>
      </c>
      <c r="X49" s="40" t="s">
        <v>106</v>
      </c>
      <c r="Y49" s="40" t="s">
        <v>91</v>
      </c>
      <c r="Z49" s="40" t="s">
        <v>78</v>
      </c>
      <c r="AA49" s="40" t="s">
        <v>78</v>
      </c>
      <c r="AB49" s="40" t="s">
        <v>133</v>
      </c>
      <c r="AC49" s="40" t="s">
        <v>98</v>
      </c>
      <c r="AD49" s="40" t="s">
        <v>78</v>
      </c>
      <c r="AE49" s="40" t="s">
        <v>83</v>
      </c>
      <c r="AF49" s="40" t="s">
        <v>84</v>
      </c>
      <c r="AG49" s="40" t="s">
        <v>85</v>
      </c>
      <c r="AH49" s="40" t="s">
        <v>78</v>
      </c>
      <c r="AI49" s="40" t="s">
        <v>78</v>
      </c>
      <c r="AJ49" s="40" t="s">
        <v>78</v>
      </c>
      <c r="AK49" s="40" t="s">
        <v>78</v>
      </c>
      <c r="AL49" s="40" t="s">
        <v>78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750</v>
      </c>
      <c r="AP49" s="26">
        <f>VLOOKUP($R49,武学奇术!$A:$ZZ,28,FALSE)</f>
        <v>2.7126</v>
      </c>
      <c r="AQ49" s="27">
        <f>VLOOKUP($R49,武学奇术!$A:$ZZ,29,FALSE)*(1+IF(OR($AM49=$F$4,$AM49=$F$5),$B$22,0))</f>
        <v>408</v>
      </c>
      <c r="AR49" s="26" cm="1">
        <f t="array" ref="AR49">$G$3+IFERROR(VLOOKUP($AM49,$F$4:$G$7,2,FALSE),0)+VLOOKUP($R49,武学奇术!$A:$ZZ,2,FALSE)+SUM(_xlfn.XLOOKUP($S49:$AL49,增益!$A:$A,增益!$B:$B,0))</f>
        <v>0.6541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3636.6</v>
      </c>
      <c r="AU49" cm="1">
        <f t="array" ref="AU49">$E$10*(1+$AS49)+VLOOKUP($R49,武学奇术!$A:$ZZ,4,FALSE)+SUM(_xlfn.XLOOKUP($S49:$AL49,增益!$A:$A,增益!$D:$D,0))-$I$2</f>
        <v>3636.6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0.3425</v>
      </c>
      <c r="AW49" s="32" cm="1">
        <f t="array" ref="AW49">$G$10+VLOOKUP($R49,武学奇术!$A:$ZZ,7,FALSE)+SUM(_xlfn.XLOOKUP($S49:$AL49,增益!$A:$A,增益!$G:$G,0))</f>
        <v>0.148</v>
      </c>
      <c r="AX49" s="26" cm="1">
        <f t="array" ref="AX49">VLOOKUP($R49,武学奇术!$A:$ZZ,8,FALSE)+SUM(_xlfn.XLOOKUP($S49:$AL49,增益!$A:$A,增益!$H:$H,0))</f>
        <v>0</v>
      </c>
      <c r="AY49">
        <f t="shared" si="11"/>
        <v>0</v>
      </c>
      <c r="AZ49">
        <f t="shared" si="1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2" cm="1">
        <f t="array" ref="BB49">$G$11+VLOOKUP($R49,武学奇术!$A:$ZZ,10,FALSE)+SUM(_xlfn.XLOOKUP($S49:$AL49,增益!$A:$A,增益!$J:$J,0))</f>
        <v>0</v>
      </c>
      <c r="BC49">
        <f t="shared" si="13"/>
        <v>0</v>
      </c>
      <c r="BD49">
        <f t="shared" si="1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2" cm="1">
        <f t="array" ref="BF49">$G$12+VLOOKUP($R49,武学奇术!$A:$ZZ,12,FALSE)+SUM(_xlfn.XLOOKUP($S49:$AL49,增益!$A:$A,增益!$L:$L,0))</f>
        <v>0</v>
      </c>
      <c r="BG49">
        <f t="shared" si="15"/>
        <v>0</v>
      </c>
      <c r="BH49">
        <f t="shared" si="1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2" cm="1">
        <f t="array" ref="BJ49">$G$13+VLOOKUP($R49,武学奇术!$A:$ZZ,14,FALSE)+SUM(_xlfn.XLOOKUP($S49:$AL49,增益!$A:$A,增益!$N:$N,0))</f>
        <v>0</v>
      </c>
      <c r="BK49">
        <f t="shared" si="17"/>
        <v>571.2</v>
      </c>
      <c r="BL49">
        <f t="shared" si="18"/>
        <v>1627.8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2" cm="1">
        <f t="array" ref="BN49">$G$14+VLOOKUP($R49,武学奇术!$A:$ZZ,16,FALSE)+SUM(_xlfn.XLOOKUP($S49:$AL49,增益!$A:$A,增益!$P:$P,0))</f>
        <v>0.27</v>
      </c>
      <c r="BO49" s="26">
        <f>MIN(IF(VLOOKUP($R49,武学奇术!$A:$ZZ,23,FALSE)=1,100%,$B$8),100%)</f>
        <v>0.981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26" cm="1">
        <f t="array" ref="BQ49">1+$B$13+VLOOKUP($R49,武学奇术!$A:$ZZ,18,FALSE)+SUM(_xlfn.XLOOKUP($S49:$AL49,增益!$A:$A,增益!$R:$R,0))</f>
        <v>2.06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6" cm="1">
        <f t="array" ref="BS49">1+$B$14+VLOOKUP($R49,武学奇术!$A:$ZZ,20,FALSE)+SUM(_xlfn.XLOOKUP($S49:$AL49,增益!$A:$A,增益!$T:$T,0))</f>
        <v>1.35</v>
      </c>
      <c r="BT49" s="26">
        <f t="shared" si="19"/>
        <v>0.829926</v>
      </c>
      <c r="BU49" s="26">
        <f t="shared" si="20"/>
        <v>0.0599391</v>
      </c>
      <c r="BV49" s="26">
        <f>IF(VLOOKUP($R49,武学奇术!$A:$ZZ,22,FALSE)=1,0,(1-$BO49))*(1-$BR49)</f>
        <v>0.0172349</v>
      </c>
      <c r="BW49" s="26" cm="1">
        <f t="array" ref="BW49">SUM(_xlfn.XLOOKUP($S49:$AL49,增益!$A:$A,增益!$W:$W,0))+$I$5</f>
        <v>0.11</v>
      </c>
      <c r="BX49" s="26" cm="1">
        <f t="array" ref="BX49">SUM(_xlfn.XLOOKUP($S49:$AL49,增益!$A:$A,增益!$X:$X,0))</f>
        <v>0</v>
      </c>
    </row>
    <row r="50" spans="1:76">
      <c r="A50" s="4" t="s">
        <v>174</v>
      </c>
      <c r="B50" s="4">
        <v>1</v>
      </c>
      <c r="G50" s="4"/>
      <c r="K50">
        <f>$L50*VLOOKUP($R50,武学奇术!$A:$ZZ,31,FALSE)</f>
        <v>46705.1126699978</v>
      </c>
      <c r="L50" s="38">
        <f t="shared" si="21"/>
        <v>44481.0596857122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</f>
        <v>47546.5824738517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</f>
        <v>35464.3047071744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</f>
        <v>23080.8652785688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</f>
        <v>19891.8752184899</v>
      </c>
      <c r="Q50" s="39">
        <v>2</v>
      </c>
      <c r="R50" s="40" t="s">
        <v>119</v>
      </c>
      <c r="S50" s="40" t="s">
        <v>116</v>
      </c>
      <c r="T50" s="40" t="s">
        <v>102</v>
      </c>
      <c r="U50" s="40" t="s">
        <v>79</v>
      </c>
      <c r="V50" s="40" t="s">
        <v>78</v>
      </c>
      <c r="W50" s="40" t="s">
        <v>181</v>
      </c>
      <c r="X50" s="40" t="s">
        <v>106</v>
      </c>
      <c r="Y50" s="40" t="s">
        <v>91</v>
      </c>
      <c r="Z50" s="40" t="s">
        <v>78</v>
      </c>
      <c r="AA50" s="40" t="s">
        <v>78</v>
      </c>
      <c r="AB50" s="40" t="s">
        <v>133</v>
      </c>
      <c r="AC50" s="40" t="s">
        <v>98</v>
      </c>
      <c r="AD50" s="40" t="s">
        <v>78</v>
      </c>
      <c r="AE50" s="40" t="s">
        <v>83</v>
      </c>
      <c r="AF50" s="40" t="s">
        <v>84</v>
      </c>
      <c r="AG50" s="40" t="s">
        <v>85</v>
      </c>
      <c r="AH50" s="40" t="s">
        <v>78</v>
      </c>
      <c r="AI50" s="40" t="s">
        <v>78</v>
      </c>
      <c r="AJ50" s="40" t="s">
        <v>78</v>
      </c>
      <c r="AK50" s="40" t="s">
        <v>78</v>
      </c>
      <c r="AL50" s="40" t="s">
        <v>78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0.8541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3636.6</v>
      </c>
      <c r="AU50" cm="1">
        <f t="array" ref="AU50">$E$10*(1+$AS50)+VLOOKUP($R50,武学奇术!$A:$ZZ,4,FALSE)+SUM(_xlfn.XLOOKUP($S50:$AL50,增益!$A:$A,增益!$D:$D,0))-$I$2</f>
        <v>3636.6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0.3425</v>
      </c>
      <c r="AW50" s="32" cm="1">
        <f t="array" ref="AW50">$G$10+VLOOKUP($R50,武学奇术!$A:$ZZ,7,FALSE)+SUM(_xlfn.XLOOKUP($S50:$AL50,增益!$A:$A,增益!$G:$G,0))</f>
        <v>0.148</v>
      </c>
      <c r="AX50" s="26" cm="1">
        <f t="array" ref="AX50">VLOOKUP($R50,武学奇术!$A:$ZZ,8,FALSE)+SUM(_xlfn.XLOOKUP($S50:$AL50,增益!$A:$A,增益!$H:$H,0))</f>
        <v>0</v>
      </c>
      <c r="AY50">
        <f t="shared" si="11"/>
        <v>0</v>
      </c>
      <c r="AZ50">
        <f t="shared" si="1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2" cm="1">
        <f t="array" ref="BB50">$G$11+VLOOKUP($R50,武学奇术!$A:$ZZ,10,FALSE)+SUM(_xlfn.XLOOKUP($S50:$AL50,增益!$A:$A,增益!$J:$J,0))</f>
        <v>0</v>
      </c>
      <c r="BC50">
        <f t="shared" si="13"/>
        <v>0</v>
      </c>
      <c r="BD50">
        <f t="shared" si="1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2" cm="1">
        <f t="array" ref="BF50">$G$12+VLOOKUP($R50,武学奇术!$A:$ZZ,12,FALSE)+SUM(_xlfn.XLOOKUP($S50:$AL50,增益!$A:$A,增益!$L:$L,0))</f>
        <v>0</v>
      </c>
      <c r="BG50">
        <f t="shared" si="15"/>
        <v>0</v>
      </c>
      <c r="BH50">
        <f t="shared" si="1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2" cm="1">
        <f t="array" ref="BJ50">$G$13+VLOOKUP($R50,武学奇术!$A:$ZZ,14,FALSE)+SUM(_xlfn.XLOOKUP($S50:$AL50,增益!$A:$A,增益!$N:$N,0))</f>
        <v>0</v>
      </c>
      <c r="BK50">
        <f t="shared" si="17"/>
        <v>571.2</v>
      </c>
      <c r="BL50">
        <f t="shared" si="18"/>
        <v>1627.8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2" cm="1">
        <f t="array" ref="BN50">$G$14+VLOOKUP($R50,武学奇术!$A:$ZZ,16,FALSE)+SUM(_xlfn.XLOOKUP($S50:$AL50,增益!$A:$A,增益!$P:$P,0))</f>
        <v>0.27</v>
      </c>
      <c r="BO50" s="26">
        <f>MIN(IF(VLOOKUP($R50,武学奇术!$A:$ZZ,23,FALSE)=1,100%,$B$8),100%)</f>
        <v>0.981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26" cm="1">
        <f t="array" ref="BQ50">1+$B$13+VLOOKUP($R50,武学奇术!$A:$ZZ,18,FALSE)+SUM(_xlfn.XLOOKUP($S50:$AL50,增益!$A:$A,增益!$R:$R,0))</f>
        <v>2.06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6" cm="1">
        <f t="array" ref="BS50">1+$B$14+VLOOKUP($R50,武学奇术!$A:$ZZ,20,FALSE)+SUM(_xlfn.XLOOKUP($S50:$AL50,增益!$A:$A,增益!$T:$T,0))</f>
        <v>1.35</v>
      </c>
      <c r="BT50" s="26">
        <f t="shared" si="19"/>
        <v>0.829926</v>
      </c>
      <c r="BU50" s="26">
        <f t="shared" si="20"/>
        <v>0.0599391</v>
      </c>
      <c r="BV50" s="26">
        <f>IF(VLOOKUP($R50,武学奇术!$A:$ZZ,22,FALSE)=1,0,(1-$BO50))*(1-$BR50)</f>
        <v>0.0172349</v>
      </c>
      <c r="BW50" s="26" cm="1">
        <f t="array" ref="BW50">SUM(_xlfn.XLOOKUP($S50:$AL50,增益!$A:$A,增益!$W:$W,0))+$I$5</f>
        <v>0.11</v>
      </c>
      <c r="BX50" s="26" cm="1">
        <f t="array" ref="BX50">SUM(_xlfn.XLOOKUP($S50:$AL50,增益!$A:$A,增益!$X:$X,0))</f>
        <v>0</v>
      </c>
    </row>
    <row r="51" spans="1:76">
      <c r="A51" s="4" t="s">
        <v>180</v>
      </c>
      <c r="B51" s="88">
        <v>0.1</v>
      </c>
      <c r="F51" s="4"/>
      <c r="G51" s="88"/>
      <c r="K51">
        <f>$L51*VLOOKUP($R51,武学奇术!$A:$ZZ,31,FALSE)</f>
        <v>95319.3974507251</v>
      </c>
      <c r="L51" s="38">
        <f t="shared" si="21"/>
        <v>90780.3785245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</f>
        <v>90780.3785245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</f>
        <v>66700.7076657963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</f>
        <v>44068.1449148059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</f>
        <v>38728.3582253181</v>
      </c>
      <c r="Q51" s="39">
        <v>1</v>
      </c>
      <c r="R51" s="40" t="s">
        <v>132</v>
      </c>
      <c r="S51" s="40" t="s">
        <v>116</v>
      </c>
      <c r="T51" s="40" t="s">
        <v>102</v>
      </c>
      <c r="U51" s="40" t="s">
        <v>79</v>
      </c>
      <c r="V51" s="40" t="s">
        <v>78</v>
      </c>
      <c r="W51" s="40" t="s">
        <v>181</v>
      </c>
      <c r="X51" s="40" t="s">
        <v>106</v>
      </c>
      <c r="Y51" s="40" t="s">
        <v>91</v>
      </c>
      <c r="Z51" s="40" t="s">
        <v>78</v>
      </c>
      <c r="AA51" s="40" t="s">
        <v>78</v>
      </c>
      <c r="AB51" s="40" t="s">
        <v>133</v>
      </c>
      <c r="AC51" s="40" t="s">
        <v>98</v>
      </c>
      <c r="AD51" s="40" t="s">
        <v>78</v>
      </c>
      <c r="AE51" s="40" t="s">
        <v>83</v>
      </c>
      <c r="AF51" s="40" t="s">
        <v>84</v>
      </c>
      <c r="AG51" s="40" t="s">
        <v>85</v>
      </c>
      <c r="AH51" s="40" t="s">
        <v>78</v>
      </c>
      <c r="AI51" s="40" t="s">
        <v>78</v>
      </c>
      <c r="AJ51" s="40" t="s">
        <v>78</v>
      </c>
      <c r="AK51" s="40" t="s">
        <v>78</v>
      </c>
      <c r="AL51" s="40" t="s">
        <v>78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750</v>
      </c>
      <c r="AP51" s="26">
        <f>VLOOKUP($R51,武学奇术!$A:$ZZ,28,FALSE)</f>
        <v>2.7126</v>
      </c>
      <c r="AQ51" s="27">
        <f>VLOOKUP($R51,武学奇术!$A:$ZZ,29,FALSE)*(1+IF(OR($AM51=$F$4,$AM51=$F$5),$B$22,0))</f>
        <v>408</v>
      </c>
      <c r="AR51" s="26" cm="1">
        <f t="array" ref="AR51">$G$3+IFERROR(VLOOKUP($AM51,$F$4:$G$7,2,FALSE),0)+VLOOKUP($R51,武学奇术!$A:$ZZ,2,FALSE)+SUM(_xlfn.XLOOKUP($S51:$AL51,增益!$A:$A,增益!$B:$B,0))</f>
        <v>0.8541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3636.6</v>
      </c>
      <c r="AU51" cm="1">
        <f t="array" ref="AU51">$E$10*(1+$AS51)+VLOOKUP($R51,武学奇术!$A:$ZZ,4,FALSE)+SUM(_xlfn.XLOOKUP($S51:$AL51,增益!$A:$A,增益!$D:$D,0))-$I$2</f>
        <v>3636.6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0.3425</v>
      </c>
      <c r="AW51" s="32" cm="1">
        <f t="array" ref="AW51">$G$10+VLOOKUP($R51,武学奇术!$A:$ZZ,7,FALSE)+SUM(_xlfn.XLOOKUP($S51:$AL51,增益!$A:$A,增益!$G:$G,0))</f>
        <v>0.148</v>
      </c>
      <c r="AX51" s="26" cm="1">
        <f t="array" ref="AX51">VLOOKUP($R51,武学奇术!$A:$ZZ,8,FALSE)+SUM(_xlfn.XLOOKUP($S51:$AL51,增益!$A:$A,增益!$H:$H,0))</f>
        <v>0</v>
      </c>
      <c r="AY51">
        <f t="shared" si="11"/>
        <v>0</v>
      </c>
      <c r="AZ51">
        <f t="shared" si="1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2" cm="1">
        <f t="array" ref="BB51">$G$11+VLOOKUP($R51,武学奇术!$A:$ZZ,10,FALSE)+SUM(_xlfn.XLOOKUP($S51:$AL51,增益!$A:$A,增益!$J:$J,0))</f>
        <v>0</v>
      </c>
      <c r="BC51">
        <f t="shared" si="13"/>
        <v>0</v>
      </c>
      <c r="BD51">
        <f t="shared" si="1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2" cm="1">
        <f t="array" ref="BF51">$G$12+VLOOKUP($R51,武学奇术!$A:$ZZ,12,FALSE)+SUM(_xlfn.XLOOKUP($S51:$AL51,增益!$A:$A,增益!$L:$L,0))</f>
        <v>0</v>
      </c>
      <c r="BG51">
        <f t="shared" si="15"/>
        <v>0</v>
      </c>
      <c r="BH51">
        <f t="shared" si="1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2" cm="1">
        <f t="array" ref="BJ51">$G$13+VLOOKUP($R51,武学奇术!$A:$ZZ,14,FALSE)+SUM(_xlfn.XLOOKUP($S51:$AL51,增益!$A:$A,增益!$N:$N,0))</f>
        <v>0</v>
      </c>
      <c r="BK51">
        <f t="shared" si="17"/>
        <v>571.2</v>
      </c>
      <c r="BL51">
        <f t="shared" si="18"/>
        <v>1627.8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2" cm="1">
        <f t="array" ref="BN51">$G$14+VLOOKUP($R51,武学奇术!$A:$ZZ,16,FALSE)+SUM(_xlfn.XLOOKUP($S51:$AL51,增益!$A:$A,增益!$P:$P,0))</f>
        <v>0.27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2.06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19"/>
        <v>1</v>
      </c>
      <c r="BU51" s="26">
        <f t="shared" si="2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 cm="1">
        <f t="array" ref="BX51">SUM(_xlfn.XLOOKUP($S51:$AL51,增益!$A:$A,增益!$X:$X,0))</f>
        <v>0</v>
      </c>
    </row>
    <row r="52" spans="1:76">
      <c r="A52" s="4" t="s">
        <v>182</v>
      </c>
      <c r="B52" s="4">
        <v>1.2</v>
      </c>
      <c r="C52" s="39" t="s">
        <v>183</v>
      </c>
      <c r="F52" s="39" t="s">
        <v>165</v>
      </c>
      <c r="K52">
        <f>$L52*VLOOKUP($R52,武学奇术!$A:$ZZ,31,FALSE)</f>
        <v>55309.1563629339</v>
      </c>
      <c r="L52" s="38">
        <f t="shared" si="21"/>
        <v>52675.387012318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</f>
        <v>52675.387012318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</f>
        <v>39289.8054576382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</f>
        <v>25570.5762195719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</f>
        <v>22037.5928408932</v>
      </c>
      <c r="Q52" s="39">
        <v>2</v>
      </c>
      <c r="R52" s="40" t="s">
        <v>139</v>
      </c>
      <c r="S52" s="40" t="s">
        <v>116</v>
      </c>
      <c r="T52" s="40" t="s">
        <v>102</v>
      </c>
      <c r="U52" s="40" t="s">
        <v>79</v>
      </c>
      <c r="V52" s="40" t="s">
        <v>78</v>
      </c>
      <c r="W52" s="40" t="s">
        <v>181</v>
      </c>
      <c r="X52" s="40" t="s">
        <v>106</v>
      </c>
      <c r="Y52" s="40" t="s">
        <v>91</v>
      </c>
      <c r="Z52" s="40" t="s">
        <v>78</v>
      </c>
      <c r="AA52" s="40" t="s">
        <v>78</v>
      </c>
      <c r="AB52" s="40" t="s">
        <v>133</v>
      </c>
      <c r="AC52" s="40" t="s">
        <v>98</v>
      </c>
      <c r="AD52" s="40" t="s">
        <v>78</v>
      </c>
      <c r="AE52" s="40" t="s">
        <v>83</v>
      </c>
      <c r="AF52" s="40" t="s">
        <v>84</v>
      </c>
      <c r="AG52" s="40" t="s">
        <v>85</v>
      </c>
      <c r="AH52" s="40" t="s">
        <v>78</v>
      </c>
      <c r="AI52" s="40" t="s">
        <v>78</v>
      </c>
      <c r="AJ52" s="40" t="s">
        <v>78</v>
      </c>
      <c r="AK52" s="40" t="s">
        <v>78</v>
      </c>
      <c r="AL52" s="40" t="s">
        <v>78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1.0541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3636.6</v>
      </c>
      <c r="AU52" cm="1">
        <f t="array" ref="AU52">$E$10*(1+$AS52)+VLOOKUP($R52,武学奇术!$A:$ZZ,4,FALSE)+SUM(_xlfn.XLOOKUP($S52:$AL52,增益!$A:$A,增益!$D:$D,0))-$I$2</f>
        <v>3636.6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0.3425</v>
      </c>
      <c r="AW52" s="32" cm="1">
        <f t="array" ref="AW52">$G$10+VLOOKUP($R52,武学奇术!$A:$ZZ,7,FALSE)+SUM(_xlfn.XLOOKUP($S52:$AL52,增益!$A:$A,增益!$G:$G,0))</f>
        <v>0.148</v>
      </c>
      <c r="AX52" s="26" cm="1">
        <f t="array" ref="AX52">VLOOKUP($R52,武学奇术!$A:$ZZ,8,FALSE)+SUM(_xlfn.XLOOKUP($S52:$AL52,增益!$A:$A,增益!$H:$H,0))</f>
        <v>0</v>
      </c>
      <c r="AY52">
        <f t="shared" si="11"/>
        <v>0</v>
      </c>
      <c r="AZ52">
        <f t="shared" si="1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2" cm="1">
        <f t="array" ref="BB52">$G$11+VLOOKUP($R52,武学奇术!$A:$ZZ,10,FALSE)+SUM(_xlfn.XLOOKUP($S52:$AL52,增益!$A:$A,增益!$J:$J,0))</f>
        <v>0</v>
      </c>
      <c r="BC52">
        <f t="shared" si="13"/>
        <v>0</v>
      </c>
      <c r="BD52">
        <f t="shared" si="1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2" cm="1">
        <f t="array" ref="BF52">$G$12+VLOOKUP($R52,武学奇术!$A:$ZZ,12,FALSE)+SUM(_xlfn.XLOOKUP($S52:$AL52,增益!$A:$A,增益!$L:$L,0))</f>
        <v>0</v>
      </c>
      <c r="BG52">
        <f t="shared" si="15"/>
        <v>0</v>
      </c>
      <c r="BH52">
        <f t="shared" si="1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2" cm="1">
        <f t="array" ref="BJ52">$G$13+VLOOKUP($R52,武学奇术!$A:$ZZ,14,FALSE)+SUM(_xlfn.XLOOKUP($S52:$AL52,增益!$A:$A,增益!$N:$N,0))</f>
        <v>0</v>
      </c>
      <c r="BK52">
        <f t="shared" si="17"/>
        <v>571.2</v>
      </c>
      <c r="BL52">
        <f t="shared" si="18"/>
        <v>1627.8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0.08</v>
      </c>
      <c r="BN52" s="32" cm="1">
        <f t="array" ref="BN52">$G$14+VLOOKUP($R52,武学奇术!$A:$ZZ,16,FALSE)+SUM(_xlfn.XLOOKUP($S52:$AL52,增益!$A:$A,增益!$P:$P,0))</f>
        <v>0.27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2.06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19"/>
        <v>1</v>
      </c>
      <c r="BU52" s="26">
        <f t="shared" si="2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 cm="1">
        <f t="array" ref="BX52">SUM(_xlfn.XLOOKUP($S52:$AL52,增益!$A:$A,增益!$X:$X,0))</f>
        <v>0</v>
      </c>
    </row>
    <row r="53" spans="1:76">
      <c r="A53" s="4" t="s">
        <v>169</v>
      </c>
      <c r="B53" s="88">
        <v>1</v>
      </c>
      <c r="C53" s="39"/>
      <c r="F53" s="39"/>
      <c r="K53">
        <f>$L53*VLOOKUP($R53,武学奇术!$A:$ZZ,31,FALSE)</f>
        <v>79478.7826596715</v>
      </c>
      <c r="L53" s="38">
        <f t="shared" si="21"/>
        <v>75694.0787234967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</f>
        <v>80987.9856088536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</f>
        <v>59505.7658971974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</f>
        <v>39314.5561208027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</f>
        <v>34550.7671325704</v>
      </c>
      <c r="Q53" s="39">
        <v>1</v>
      </c>
      <c r="R53" s="40" t="s">
        <v>115</v>
      </c>
      <c r="S53" s="40" t="s">
        <v>116</v>
      </c>
      <c r="T53" s="40" t="s">
        <v>102</v>
      </c>
      <c r="U53" s="40" t="s">
        <v>79</v>
      </c>
      <c r="V53" s="40" t="s">
        <v>78</v>
      </c>
      <c r="W53" s="40" t="s">
        <v>181</v>
      </c>
      <c r="X53" s="40" t="s">
        <v>106</v>
      </c>
      <c r="Y53" s="40" t="s">
        <v>91</v>
      </c>
      <c r="Z53" s="40" t="s">
        <v>78</v>
      </c>
      <c r="AA53" s="40" t="s">
        <v>78</v>
      </c>
      <c r="AB53" s="40" t="s">
        <v>133</v>
      </c>
      <c r="AC53" s="40" t="s">
        <v>98</v>
      </c>
      <c r="AD53" s="40" t="s">
        <v>78</v>
      </c>
      <c r="AE53" s="40" t="s">
        <v>83</v>
      </c>
      <c r="AF53" s="40" t="s">
        <v>84</v>
      </c>
      <c r="AG53" s="40" t="s">
        <v>85</v>
      </c>
      <c r="AH53" s="40" t="s">
        <v>78</v>
      </c>
      <c r="AI53" s="40" t="s">
        <v>78</v>
      </c>
      <c r="AJ53" s="40" t="s">
        <v>78</v>
      </c>
      <c r="AK53" s="40" t="s">
        <v>78</v>
      </c>
      <c r="AL53" s="40" t="s">
        <v>78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750</v>
      </c>
      <c r="AP53" s="26">
        <f>VLOOKUP($R53,武学奇术!$A:$ZZ,28,FALSE)</f>
        <v>2.7126</v>
      </c>
      <c r="AQ53" s="27">
        <f>VLOOKUP($R53,武学奇术!$A:$ZZ,29,FALSE)*(1+IF(OR($AM53=$F$4,$AM53=$F$5),$B$22,0))</f>
        <v>408</v>
      </c>
      <c r="AR53" s="26" cm="1">
        <f t="array" ref="AR53">$G$3+IFERROR(VLOOKUP($AM53,$F$4:$G$7,2,FALSE),0)+VLOOKUP($R53,武学奇术!$A:$ZZ,2,FALSE)+SUM(_xlfn.XLOOKUP($S53:$AL53,增益!$A:$A,增益!$B:$B,0))</f>
        <v>0.6541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3636.6</v>
      </c>
      <c r="AU53" cm="1">
        <f t="array" ref="AU53">$E$10*(1+$AS53)+VLOOKUP($R53,武学奇术!$A:$ZZ,4,FALSE)+SUM(_xlfn.XLOOKUP($S53:$AL53,增益!$A:$A,增益!$D:$D,0))-$I$2</f>
        <v>3636.6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0.3425</v>
      </c>
      <c r="AW53" s="32" cm="1">
        <f t="array" ref="AW53">$G$10+VLOOKUP($R53,武学奇术!$A:$ZZ,7,FALSE)+SUM(_xlfn.XLOOKUP($S53:$AL53,增益!$A:$A,增益!$G:$G,0))</f>
        <v>0.148</v>
      </c>
      <c r="AX53" s="26" cm="1">
        <f t="array" ref="AX53">VLOOKUP($R53,武学奇术!$A:$ZZ,8,FALSE)+SUM(_xlfn.XLOOKUP($S53:$AL53,增益!$A:$A,增益!$H:$H,0))</f>
        <v>0</v>
      </c>
      <c r="AY53">
        <f t="shared" si="11"/>
        <v>0</v>
      </c>
      <c r="AZ53">
        <f t="shared" si="1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2" cm="1">
        <f t="array" ref="BB53">$G$11+VLOOKUP($R53,武学奇术!$A:$ZZ,10,FALSE)+SUM(_xlfn.XLOOKUP($S53:$AL53,增益!$A:$A,增益!$J:$J,0))</f>
        <v>0</v>
      </c>
      <c r="BC53">
        <f t="shared" si="13"/>
        <v>0</v>
      </c>
      <c r="BD53">
        <f t="shared" si="1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2" cm="1">
        <f t="array" ref="BF53">$G$12+VLOOKUP($R53,武学奇术!$A:$ZZ,12,FALSE)+SUM(_xlfn.XLOOKUP($S53:$AL53,增益!$A:$A,增益!$L:$L,0))</f>
        <v>0</v>
      </c>
      <c r="BG53">
        <f t="shared" si="15"/>
        <v>0</v>
      </c>
      <c r="BH53">
        <f t="shared" si="1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2" cm="1">
        <f t="array" ref="BJ53">$G$13+VLOOKUP($R53,武学奇术!$A:$ZZ,14,FALSE)+SUM(_xlfn.XLOOKUP($S53:$AL53,增益!$A:$A,增益!$N:$N,0))</f>
        <v>0</v>
      </c>
      <c r="BK53">
        <f t="shared" si="17"/>
        <v>571.2</v>
      </c>
      <c r="BL53">
        <f t="shared" si="18"/>
        <v>1627.8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2" cm="1">
        <f t="array" ref="BN53">$G$14+VLOOKUP($R53,武学奇术!$A:$ZZ,16,FALSE)+SUM(_xlfn.XLOOKUP($S53:$AL53,增益!$A:$A,增益!$P:$P,0))</f>
        <v>0.27</v>
      </c>
      <c r="BO53" s="26">
        <f>MIN(IF(VLOOKUP($R53,武学奇术!$A:$ZZ,23,FALSE)=1,100%,$B$8),100%)</f>
        <v>0.981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26" cm="1">
        <f t="array" ref="BQ53">1+$B$13+VLOOKUP($R53,武学奇术!$A:$ZZ,18,FALSE)+SUM(_xlfn.XLOOKUP($S53:$AL53,增益!$A:$A,增益!$R:$R,0))</f>
        <v>2.06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6" cm="1">
        <f t="array" ref="BS53">1+$B$14+VLOOKUP($R53,武学奇术!$A:$ZZ,20,FALSE)+SUM(_xlfn.XLOOKUP($S53:$AL53,增益!$A:$A,增益!$T:$T,0))</f>
        <v>1.35</v>
      </c>
      <c r="BT53" s="26">
        <f t="shared" si="19"/>
        <v>0.829926</v>
      </c>
      <c r="BU53" s="26">
        <f t="shared" si="20"/>
        <v>0.0599391</v>
      </c>
      <c r="BV53" s="26">
        <f>IF(VLOOKUP($R53,武学奇术!$A:$ZZ,22,FALSE)=1,0,(1-$BO53))*(1-$BR53)</f>
        <v>0.0172349</v>
      </c>
      <c r="BW53" s="26" cm="1">
        <f t="array" ref="BW53">SUM(_xlfn.XLOOKUP($S53:$AL53,增益!$A:$A,增益!$W:$W,0))+$I$5</f>
        <v>0.11</v>
      </c>
      <c r="BX53" s="26" cm="1">
        <f t="array" ref="BX53">SUM(_xlfn.XLOOKUP($S53:$AL53,增益!$A:$A,增益!$X:$X,0))</f>
        <v>0</v>
      </c>
    </row>
    <row r="54" spans="1:76">
      <c r="A54" s="4" t="s">
        <v>169</v>
      </c>
      <c r="B54" s="4">
        <v>1</v>
      </c>
      <c r="E54" s="39" t="s">
        <v>171</v>
      </c>
      <c r="F54" s="39"/>
      <c r="K54">
        <f>$L54*VLOOKUP($R54,武学奇术!$A:$ZZ,31,FALSE)</f>
        <v>46705.1126699978</v>
      </c>
      <c r="L54" s="38">
        <f t="shared" si="21"/>
        <v>44481.0596857122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</f>
        <v>47546.5824738517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</f>
        <v>35464.3047071744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</f>
        <v>23080.8652785688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</f>
        <v>19891.8752184899</v>
      </c>
      <c r="Q54" s="39">
        <v>2</v>
      </c>
      <c r="R54" s="40" t="s">
        <v>119</v>
      </c>
      <c r="S54" s="40" t="s">
        <v>116</v>
      </c>
      <c r="T54" s="40" t="s">
        <v>102</v>
      </c>
      <c r="U54" s="40" t="s">
        <v>79</v>
      </c>
      <c r="V54" s="40" t="s">
        <v>78</v>
      </c>
      <c r="W54" s="40" t="s">
        <v>181</v>
      </c>
      <c r="X54" s="40" t="s">
        <v>106</v>
      </c>
      <c r="Y54" s="40" t="s">
        <v>91</v>
      </c>
      <c r="Z54" s="40" t="s">
        <v>78</v>
      </c>
      <c r="AA54" s="40" t="s">
        <v>78</v>
      </c>
      <c r="AB54" s="40" t="s">
        <v>133</v>
      </c>
      <c r="AC54" s="40" t="s">
        <v>98</v>
      </c>
      <c r="AD54" s="40" t="s">
        <v>78</v>
      </c>
      <c r="AE54" s="40" t="s">
        <v>83</v>
      </c>
      <c r="AF54" s="40" t="s">
        <v>84</v>
      </c>
      <c r="AG54" s="40" t="s">
        <v>85</v>
      </c>
      <c r="AH54" s="40" t="s">
        <v>78</v>
      </c>
      <c r="AI54" s="40" t="s">
        <v>78</v>
      </c>
      <c r="AJ54" s="40" t="s">
        <v>78</v>
      </c>
      <c r="AK54" s="40" t="s">
        <v>78</v>
      </c>
      <c r="AL54" s="40" t="s">
        <v>78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0.8541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3636.6</v>
      </c>
      <c r="AU54" cm="1">
        <f t="array" ref="AU54">$E$10*(1+$AS54)+VLOOKUP($R54,武学奇术!$A:$ZZ,4,FALSE)+SUM(_xlfn.XLOOKUP($S54:$AL54,增益!$A:$A,增益!$D:$D,0))-$I$2</f>
        <v>3636.6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0.3425</v>
      </c>
      <c r="AW54" s="32" cm="1">
        <f t="array" ref="AW54">$G$10+VLOOKUP($R54,武学奇术!$A:$ZZ,7,FALSE)+SUM(_xlfn.XLOOKUP($S54:$AL54,增益!$A:$A,增益!$G:$G,0))</f>
        <v>0.148</v>
      </c>
      <c r="AX54" s="26" cm="1">
        <f t="array" ref="AX54">VLOOKUP($R54,武学奇术!$A:$ZZ,8,FALSE)+SUM(_xlfn.XLOOKUP($S54:$AL54,增益!$A:$A,增益!$H:$H,0))</f>
        <v>0</v>
      </c>
      <c r="AY54">
        <f t="shared" si="11"/>
        <v>0</v>
      </c>
      <c r="AZ54">
        <f t="shared" si="1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2" cm="1">
        <f t="array" ref="BB54">$G$11+VLOOKUP($R54,武学奇术!$A:$ZZ,10,FALSE)+SUM(_xlfn.XLOOKUP($S54:$AL54,增益!$A:$A,增益!$J:$J,0))</f>
        <v>0</v>
      </c>
      <c r="BC54">
        <f t="shared" si="13"/>
        <v>0</v>
      </c>
      <c r="BD54">
        <f t="shared" si="1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2" cm="1">
        <f t="array" ref="BF54">$G$12+VLOOKUP($R54,武学奇术!$A:$ZZ,12,FALSE)+SUM(_xlfn.XLOOKUP($S54:$AL54,增益!$A:$A,增益!$L:$L,0))</f>
        <v>0</v>
      </c>
      <c r="BG54">
        <f t="shared" si="15"/>
        <v>0</v>
      </c>
      <c r="BH54">
        <f t="shared" si="1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2" cm="1">
        <f t="array" ref="BJ54">$G$13+VLOOKUP($R54,武学奇术!$A:$ZZ,14,FALSE)+SUM(_xlfn.XLOOKUP($S54:$AL54,增益!$A:$A,增益!$N:$N,0))</f>
        <v>0</v>
      </c>
      <c r="BK54">
        <f t="shared" si="17"/>
        <v>571.2</v>
      </c>
      <c r="BL54">
        <f t="shared" si="18"/>
        <v>1627.8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2" cm="1">
        <f t="array" ref="BN54">$G$14+VLOOKUP($R54,武学奇术!$A:$ZZ,16,FALSE)+SUM(_xlfn.XLOOKUP($S54:$AL54,增益!$A:$A,增益!$P:$P,0))</f>
        <v>0.27</v>
      </c>
      <c r="BO54" s="26">
        <f>MIN(IF(VLOOKUP($R54,武学奇术!$A:$ZZ,23,FALSE)=1,100%,$B$8),100%)</f>
        <v>0.981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26" cm="1">
        <f t="array" ref="BQ54">1+$B$13+VLOOKUP($R54,武学奇术!$A:$ZZ,18,FALSE)+SUM(_xlfn.XLOOKUP($S54:$AL54,增益!$A:$A,增益!$R:$R,0))</f>
        <v>2.06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6" cm="1">
        <f t="array" ref="BS54">1+$B$14+VLOOKUP($R54,武学奇术!$A:$ZZ,20,FALSE)+SUM(_xlfn.XLOOKUP($S54:$AL54,增益!$A:$A,增益!$T:$T,0))</f>
        <v>1.35</v>
      </c>
      <c r="BT54" s="26">
        <f t="shared" si="19"/>
        <v>0.829926</v>
      </c>
      <c r="BU54" s="26">
        <f t="shared" si="20"/>
        <v>0.0599391</v>
      </c>
      <c r="BV54" s="26">
        <f>IF(VLOOKUP($R54,武学奇术!$A:$ZZ,22,FALSE)=1,0,(1-$BO54))*(1-$BR54)</f>
        <v>0.0172349</v>
      </c>
      <c r="BW54" s="26" cm="1">
        <f t="array" ref="BW54">SUM(_xlfn.XLOOKUP($S54:$AL54,增益!$A:$A,增益!$W:$W,0))+$I$5</f>
        <v>0.11</v>
      </c>
      <c r="BX54" s="26" cm="1">
        <f t="array" ref="BX54">SUM(_xlfn.XLOOKUP($S54:$AL54,增益!$A:$A,增益!$X:$X,0))</f>
        <v>0</v>
      </c>
    </row>
    <row r="55" spans="1:76">
      <c r="A55" s="4" t="s">
        <v>169</v>
      </c>
      <c r="B55" s="4">
        <v>1</v>
      </c>
      <c r="E55" s="39"/>
      <c r="F55" s="39"/>
      <c r="K55">
        <f>$L55*VLOOKUP($R55,武学奇术!$A:$ZZ,31,FALSE)</f>
        <v>238436.347979014</v>
      </c>
      <c r="L55" s="38">
        <f t="shared" si="21"/>
        <v>227082.23617049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</f>
        <v>242963.956826561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</f>
        <v>178517.297691592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</f>
        <v>117943.668362408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</f>
        <v>103652.301397711</v>
      </c>
      <c r="Q55" s="39">
        <v>3</v>
      </c>
      <c r="R55" s="40" t="s">
        <v>115</v>
      </c>
      <c r="S55" s="40" t="s">
        <v>116</v>
      </c>
      <c r="T55" s="40" t="s">
        <v>102</v>
      </c>
      <c r="U55" s="40" t="s">
        <v>79</v>
      </c>
      <c r="V55" s="40" t="s">
        <v>78</v>
      </c>
      <c r="W55" s="40" t="s">
        <v>181</v>
      </c>
      <c r="X55" s="40" t="s">
        <v>106</v>
      </c>
      <c r="Y55" s="40" t="s">
        <v>91</v>
      </c>
      <c r="Z55" s="40" t="s">
        <v>78</v>
      </c>
      <c r="AA55" s="40" t="s">
        <v>78</v>
      </c>
      <c r="AB55" s="40" t="s">
        <v>133</v>
      </c>
      <c r="AC55" s="40" t="s">
        <v>92</v>
      </c>
      <c r="AD55" s="40" t="s">
        <v>78</v>
      </c>
      <c r="AE55" s="40" t="s">
        <v>83</v>
      </c>
      <c r="AF55" s="40" t="s">
        <v>84</v>
      </c>
      <c r="AG55" s="40" t="s">
        <v>85</v>
      </c>
      <c r="AH55" s="40" t="s">
        <v>78</v>
      </c>
      <c r="AI55" s="40" t="s">
        <v>78</v>
      </c>
      <c r="AJ55" s="40" t="s">
        <v>78</v>
      </c>
      <c r="AK55" s="40" t="s">
        <v>78</v>
      </c>
      <c r="AL55" s="40" t="s">
        <v>78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750</v>
      </c>
      <c r="AP55" s="26">
        <f>VLOOKUP($R55,武学奇术!$A:$ZZ,28,FALSE)</f>
        <v>2.7126</v>
      </c>
      <c r="AQ55" s="27">
        <f>VLOOKUP($R55,武学奇术!$A:$ZZ,29,FALSE)*(1+IF(OR($AM55=$F$4,$AM55=$F$5),$B$22,0))</f>
        <v>408</v>
      </c>
      <c r="AR55" s="26" cm="1">
        <f t="array" ref="AR55">$G$3+IFERROR(VLOOKUP($AM55,$F$4:$G$7,2,FALSE),0)+VLOOKUP($R55,武学奇术!$A:$ZZ,2,FALSE)+SUM(_xlfn.XLOOKUP($S55:$AL55,增益!$A:$A,增益!$B:$B,0))</f>
        <v>0.6541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3636.6</v>
      </c>
      <c r="AU55" cm="1">
        <f t="array" ref="AU55">$E$10*(1+$AS55)+VLOOKUP($R55,武学奇术!$A:$ZZ,4,FALSE)+SUM(_xlfn.XLOOKUP($S55:$AL55,增益!$A:$A,增益!$D:$D,0))-$I$2</f>
        <v>3636.6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0.3425</v>
      </c>
      <c r="AW55" s="32" cm="1">
        <f t="array" ref="AW55">$G$10+VLOOKUP($R55,武学奇术!$A:$ZZ,7,FALSE)+SUM(_xlfn.XLOOKUP($S55:$AL55,增益!$A:$A,增益!$G:$G,0))</f>
        <v>0.148</v>
      </c>
      <c r="AX55" s="26" cm="1">
        <f t="array" ref="AX55">VLOOKUP($R55,武学奇术!$A:$ZZ,8,FALSE)+SUM(_xlfn.XLOOKUP($S55:$AL55,增益!$A:$A,增益!$H:$H,0))</f>
        <v>0</v>
      </c>
      <c r="AY55">
        <f t="shared" si="11"/>
        <v>0</v>
      </c>
      <c r="AZ55">
        <f t="shared" si="1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2" cm="1">
        <f t="array" ref="BB55">$G$11+VLOOKUP($R55,武学奇术!$A:$ZZ,10,FALSE)+SUM(_xlfn.XLOOKUP($S55:$AL55,增益!$A:$A,增益!$J:$J,0))</f>
        <v>0</v>
      </c>
      <c r="BC55">
        <f t="shared" si="13"/>
        <v>0</v>
      </c>
      <c r="BD55">
        <f t="shared" si="1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2" cm="1">
        <f t="array" ref="BF55">$G$12+VLOOKUP($R55,武学奇术!$A:$ZZ,12,FALSE)+SUM(_xlfn.XLOOKUP($S55:$AL55,增益!$A:$A,增益!$L:$L,0))</f>
        <v>0</v>
      </c>
      <c r="BG55">
        <f t="shared" si="15"/>
        <v>0</v>
      </c>
      <c r="BH55">
        <f t="shared" si="1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2" cm="1">
        <f t="array" ref="BJ55">$G$13+VLOOKUP($R55,武学奇术!$A:$ZZ,14,FALSE)+SUM(_xlfn.XLOOKUP($S55:$AL55,增益!$A:$A,增益!$N:$N,0))</f>
        <v>0</v>
      </c>
      <c r="BK55">
        <f t="shared" si="17"/>
        <v>571.2</v>
      </c>
      <c r="BL55">
        <f t="shared" si="18"/>
        <v>1627.8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2" cm="1">
        <f t="array" ref="BN55">$G$14+VLOOKUP($R55,武学奇术!$A:$ZZ,16,FALSE)+SUM(_xlfn.XLOOKUP($S55:$AL55,增益!$A:$A,增益!$P:$P,0))</f>
        <v>0.27</v>
      </c>
      <c r="BO55" s="26">
        <f>MIN(IF(VLOOKUP($R55,武学奇术!$A:$ZZ,23,FALSE)=1,100%,$B$8),100%)</f>
        <v>0.981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26" cm="1">
        <f t="array" ref="BQ55">1+$B$13+VLOOKUP($R55,武学奇术!$A:$ZZ,18,FALSE)+SUM(_xlfn.XLOOKUP($S55:$AL55,增益!$A:$A,增益!$R:$R,0))</f>
        <v>2.06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6" cm="1">
        <f t="array" ref="BS55">1+$B$14+VLOOKUP($R55,武学奇术!$A:$ZZ,20,FALSE)+SUM(_xlfn.XLOOKUP($S55:$AL55,增益!$A:$A,增益!$T:$T,0))</f>
        <v>1.35</v>
      </c>
      <c r="BT55" s="26">
        <f t="shared" si="19"/>
        <v>0.829926</v>
      </c>
      <c r="BU55" s="26">
        <f t="shared" si="20"/>
        <v>0.0599391</v>
      </c>
      <c r="BV55" s="26">
        <f>IF(VLOOKUP($R55,武学奇术!$A:$ZZ,22,FALSE)=1,0,(1-$BO55))*(1-$BR55)</f>
        <v>0.0172349</v>
      </c>
      <c r="BW55" s="26" cm="1">
        <f t="array" ref="BW55">SUM(_xlfn.XLOOKUP($S55:$AL55,增益!$A:$A,增益!$W:$W,0))+$I$5</f>
        <v>0.11</v>
      </c>
      <c r="BX55" s="26" cm="1">
        <f t="array" ref="BX55">SUM(_xlfn.XLOOKUP($S55:$AL55,增益!$A:$A,增益!$X:$X,0))</f>
        <v>0</v>
      </c>
    </row>
    <row r="56" spans="1:76">
      <c r="A56" s="4" t="s">
        <v>172</v>
      </c>
      <c r="B56" s="4">
        <v>0.85</v>
      </c>
      <c r="E56" s="39"/>
      <c r="F56" s="39"/>
      <c r="K56">
        <f>$L56*VLOOKUP($R56,武学奇术!$A:$ZZ,31,FALSE)</f>
        <v>140115.338009993</v>
      </c>
      <c r="L56" s="38">
        <f t="shared" si="21"/>
        <v>133443.179057137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</f>
        <v>142639.747421555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</f>
        <v>106392.914121523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</f>
        <v>69242.5958357064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</f>
        <v>59675.6256554696</v>
      </c>
      <c r="Q56" s="39">
        <v>6</v>
      </c>
      <c r="R56" s="40" t="s">
        <v>119</v>
      </c>
      <c r="S56" s="40" t="s">
        <v>116</v>
      </c>
      <c r="T56" s="40" t="s">
        <v>102</v>
      </c>
      <c r="U56" s="40" t="s">
        <v>79</v>
      </c>
      <c r="V56" s="40" t="s">
        <v>78</v>
      </c>
      <c r="W56" s="40" t="s">
        <v>181</v>
      </c>
      <c r="X56" s="40" t="s">
        <v>106</v>
      </c>
      <c r="Y56" s="40" t="s">
        <v>91</v>
      </c>
      <c r="Z56" s="40" t="s">
        <v>78</v>
      </c>
      <c r="AA56" s="40" t="s">
        <v>78</v>
      </c>
      <c r="AB56" s="40" t="s">
        <v>133</v>
      </c>
      <c r="AC56" s="40" t="s">
        <v>92</v>
      </c>
      <c r="AD56" s="40" t="s">
        <v>78</v>
      </c>
      <c r="AE56" s="40" t="s">
        <v>83</v>
      </c>
      <c r="AF56" s="40" t="s">
        <v>84</v>
      </c>
      <c r="AG56" s="40" t="s">
        <v>85</v>
      </c>
      <c r="AH56" s="40" t="s">
        <v>78</v>
      </c>
      <c r="AI56" s="40" t="s">
        <v>78</v>
      </c>
      <c r="AJ56" s="40" t="s">
        <v>78</v>
      </c>
      <c r="AK56" s="40" t="s">
        <v>78</v>
      </c>
      <c r="AL56" s="40" t="s">
        <v>78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0.8541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3636.6</v>
      </c>
      <c r="AU56" cm="1">
        <f t="array" ref="AU56">$E$10*(1+$AS56)+VLOOKUP($R56,武学奇术!$A:$ZZ,4,FALSE)+SUM(_xlfn.XLOOKUP($S56:$AL56,增益!$A:$A,增益!$D:$D,0))-$I$2</f>
        <v>3636.6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0.3425</v>
      </c>
      <c r="AW56" s="32" cm="1">
        <f t="array" ref="AW56">$G$10+VLOOKUP($R56,武学奇术!$A:$ZZ,7,FALSE)+SUM(_xlfn.XLOOKUP($S56:$AL56,增益!$A:$A,增益!$G:$G,0))</f>
        <v>0.148</v>
      </c>
      <c r="AX56" s="26" cm="1">
        <f t="array" ref="AX56">VLOOKUP($R56,武学奇术!$A:$ZZ,8,FALSE)+SUM(_xlfn.XLOOKUP($S56:$AL56,增益!$A:$A,增益!$H:$H,0))</f>
        <v>0</v>
      </c>
      <c r="AY56">
        <f t="shared" si="11"/>
        <v>0</v>
      </c>
      <c r="AZ56">
        <f t="shared" si="1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2" cm="1">
        <f t="array" ref="BB56">$G$11+VLOOKUP($R56,武学奇术!$A:$ZZ,10,FALSE)+SUM(_xlfn.XLOOKUP($S56:$AL56,增益!$A:$A,增益!$J:$J,0))</f>
        <v>0</v>
      </c>
      <c r="BC56">
        <f t="shared" si="13"/>
        <v>0</v>
      </c>
      <c r="BD56">
        <f t="shared" si="1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2" cm="1">
        <f t="array" ref="BF56">$G$12+VLOOKUP($R56,武学奇术!$A:$ZZ,12,FALSE)+SUM(_xlfn.XLOOKUP($S56:$AL56,增益!$A:$A,增益!$L:$L,0))</f>
        <v>0</v>
      </c>
      <c r="BG56">
        <f t="shared" si="15"/>
        <v>0</v>
      </c>
      <c r="BH56">
        <f t="shared" si="1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2" cm="1">
        <f t="array" ref="BJ56">$G$13+VLOOKUP($R56,武学奇术!$A:$ZZ,14,FALSE)+SUM(_xlfn.XLOOKUP($S56:$AL56,增益!$A:$A,增益!$N:$N,0))</f>
        <v>0</v>
      </c>
      <c r="BK56">
        <f t="shared" si="17"/>
        <v>571.2</v>
      </c>
      <c r="BL56">
        <f t="shared" si="18"/>
        <v>1627.8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2" cm="1">
        <f t="array" ref="BN56">$G$14+VLOOKUP($R56,武学奇术!$A:$ZZ,16,FALSE)+SUM(_xlfn.XLOOKUP($S56:$AL56,增益!$A:$A,增益!$P:$P,0))</f>
        <v>0.27</v>
      </c>
      <c r="BO56" s="26">
        <f>MIN(IF(VLOOKUP($R56,武学奇术!$A:$ZZ,23,FALSE)=1,100%,$B$8),100%)</f>
        <v>0.981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26" cm="1">
        <f t="array" ref="BQ56">1+$B$13+VLOOKUP($R56,武学奇术!$A:$ZZ,18,FALSE)+SUM(_xlfn.XLOOKUP($S56:$AL56,增益!$A:$A,增益!$R:$R,0))</f>
        <v>2.06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6" cm="1">
        <f t="array" ref="BS56">1+$B$14+VLOOKUP($R56,武学奇术!$A:$ZZ,20,FALSE)+SUM(_xlfn.XLOOKUP($S56:$AL56,增益!$A:$A,增益!$T:$T,0))</f>
        <v>1.35</v>
      </c>
      <c r="BT56" s="26">
        <f t="shared" si="19"/>
        <v>0.829926</v>
      </c>
      <c r="BU56" s="26">
        <f t="shared" si="20"/>
        <v>0.0599391</v>
      </c>
      <c r="BV56" s="26">
        <f>IF(VLOOKUP($R56,武学奇术!$A:$ZZ,22,FALSE)=1,0,(1-$BO56))*(1-$BR56)</f>
        <v>0.0172349</v>
      </c>
      <c r="BW56" s="26" cm="1">
        <f t="array" ref="BW56">SUM(_xlfn.XLOOKUP($S56:$AL56,增益!$A:$A,增益!$W:$W,0))+$I$5</f>
        <v>0.11</v>
      </c>
      <c r="BX56" s="26" cm="1">
        <f t="array" ref="BX56">SUM(_xlfn.XLOOKUP($S56:$AL56,增益!$A:$A,增益!$X:$X,0))</f>
        <v>0</v>
      </c>
    </row>
    <row r="57" spans="1:76">
      <c r="A57" s="4" t="s">
        <v>169</v>
      </c>
      <c r="B57" s="88">
        <v>1</v>
      </c>
      <c r="D57" s="4"/>
      <c r="E57" s="39"/>
      <c r="F57" s="39"/>
      <c r="K57">
        <f>$L57*VLOOKUP($R57,武学奇术!$A:$ZZ,31,FALSE)</f>
        <v>190638.79490145</v>
      </c>
      <c r="L57" s="38">
        <f t="shared" si="21"/>
        <v>181560.757049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</f>
        <v>181560.757049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</f>
        <v>133401.415331593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</f>
        <v>88136.2898296117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</f>
        <v>77456.7164506363</v>
      </c>
      <c r="Q57" s="39">
        <v>2</v>
      </c>
      <c r="R57" s="40" t="s">
        <v>132</v>
      </c>
      <c r="S57" s="40" t="s">
        <v>116</v>
      </c>
      <c r="T57" s="40" t="s">
        <v>102</v>
      </c>
      <c r="U57" s="40" t="s">
        <v>79</v>
      </c>
      <c r="V57" s="40" t="s">
        <v>78</v>
      </c>
      <c r="W57" s="40" t="s">
        <v>181</v>
      </c>
      <c r="X57" s="40" t="s">
        <v>106</v>
      </c>
      <c r="Y57" s="40" t="s">
        <v>91</v>
      </c>
      <c r="Z57" s="40" t="s">
        <v>78</v>
      </c>
      <c r="AA57" s="40" t="s">
        <v>78</v>
      </c>
      <c r="AB57" s="40" t="s">
        <v>133</v>
      </c>
      <c r="AC57" s="40" t="s">
        <v>92</v>
      </c>
      <c r="AD57" s="40" t="s">
        <v>78</v>
      </c>
      <c r="AE57" s="40" t="s">
        <v>83</v>
      </c>
      <c r="AF57" s="40" t="s">
        <v>84</v>
      </c>
      <c r="AG57" s="40" t="s">
        <v>85</v>
      </c>
      <c r="AH57" s="40" t="s">
        <v>78</v>
      </c>
      <c r="AI57" s="40" t="s">
        <v>78</v>
      </c>
      <c r="AJ57" s="40" t="s">
        <v>78</v>
      </c>
      <c r="AK57" s="40" t="s">
        <v>78</v>
      </c>
      <c r="AL57" s="40" t="s">
        <v>78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750</v>
      </c>
      <c r="AP57" s="26">
        <f>VLOOKUP($R57,武学奇术!$A:$ZZ,28,FALSE)</f>
        <v>2.7126</v>
      </c>
      <c r="AQ57" s="27">
        <f>VLOOKUP($R57,武学奇术!$A:$ZZ,29,FALSE)*(1+IF(OR($AM57=$F$4,$AM57=$F$5),$B$22,0))</f>
        <v>408</v>
      </c>
      <c r="AR57" s="26" cm="1">
        <f t="array" ref="AR57">$G$3+IFERROR(VLOOKUP($AM57,$F$4:$G$7,2,FALSE),0)+VLOOKUP($R57,武学奇术!$A:$ZZ,2,FALSE)+SUM(_xlfn.XLOOKUP($S57:$AL57,增益!$A:$A,增益!$B:$B,0))</f>
        <v>0.8541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3636.6</v>
      </c>
      <c r="AU57" cm="1">
        <f t="array" ref="AU57">$E$10*(1+$AS57)+VLOOKUP($R57,武学奇术!$A:$ZZ,4,FALSE)+SUM(_xlfn.XLOOKUP($S57:$AL57,增益!$A:$A,增益!$D:$D,0))-$I$2</f>
        <v>3636.6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0.3425</v>
      </c>
      <c r="AW57" s="32" cm="1">
        <f t="array" ref="AW57">$G$10+VLOOKUP($R57,武学奇术!$A:$ZZ,7,FALSE)+SUM(_xlfn.XLOOKUP($S57:$AL57,增益!$A:$A,增益!$G:$G,0))</f>
        <v>0.148</v>
      </c>
      <c r="AX57" s="26" cm="1">
        <f t="array" ref="AX57">VLOOKUP($R57,武学奇术!$A:$ZZ,8,FALSE)+SUM(_xlfn.XLOOKUP($S57:$AL57,增益!$A:$A,增益!$H:$H,0))</f>
        <v>0</v>
      </c>
      <c r="AY57">
        <f t="shared" si="11"/>
        <v>0</v>
      </c>
      <c r="AZ57">
        <f t="shared" si="1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2" cm="1">
        <f t="array" ref="BB57">$G$11+VLOOKUP($R57,武学奇术!$A:$ZZ,10,FALSE)+SUM(_xlfn.XLOOKUP($S57:$AL57,增益!$A:$A,增益!$J:$J,0))</f>
        <v>0</v>
      </c>
      <c r="BC57">
        <f t="shared" si="13"/>
        <v>0</v>
      </c>
      <c r="BD57">
        <f t="shared" si="1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2" cm="1">
        <f t="array" ref="BF57">$G$12+VLOOKUP($R57,武学奇术!$A:$ZZ,12,FALSE)+SUM(_xlfn.XLOOKUP($S57:$AL57,增益!$A:$A,增益!$L:$L,0))</f>
        <v>0</v>
      </c>
      <c r="BG57">
        <f t="shared" si="15"/>
        <v>0</v>
      </c>
      <c r="BH57">
        <f t="shared" si="1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2" cm="1">
        <f t="array" ref="BJ57">$G$13+VLOOKUP($R57,武学奇术!$A:$ZZ,14,FALSE)+SUM(_xlfn.XLOOKUP($S57:$AL57,增益!$A:$A,增益!$N:$N,0))</f>
        <v>0</v>
      </c>
      <c r="BK57">
        <f t="shared" si="17"/>
        <v>571.2</v>
      </c>
      <c r="BL57">
        <f t="shared" si="18"/>
        <v>1627.8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2" cm="1">
        <f t="array" ref="BN57">$G$14+VLOOKUP($R57,武学奇术!$A:$ZZ,16,FALSE)+SUM(_xlfn.XLOOKUP($S57:$AL57,增益!$A:$A,增益!$P:$P,0))</f>
        <v>0.27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2.06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19"/>
        <v>1</v>
      </c>
      <c r="BU57" s="26">
        <f t="shared" si="2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0.11</v>
      </c>
      <c r="BX57" s="26" cm="1">
        <f t="array" ref="BX57">SUM(_xlfn.XLOOKUP($S57:$AL57,增益!$A:$A,增益!$X:$X,0))</f>
        <v>0</v>
      </c>
    </row>
    <row r="58" spans="1:76">
      <c r="A58" s="4" t="s">
        <v>169</v>
      </c>
      <c r="B58" s="4">
        <v>1</v>
      </c>
      <c r="E58" s="39"/>
      <c r="F58" s="39"/>
      <c r="K58">
        <f>$L58*VLOOKUP($R58,武学奇术!$A:$ZZ,31,FALSE)</f>
        <v>82963.7345444009</v>
      </c>
      <c r="L58" s="38">
        <f t="shared" si="21"/>
        <v>79013.080518477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</f>
        <v>79013.080518477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</f>
        <v>58934.7081864573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</f>
        <v>38355.8643293578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</f>
        <v>33056.3892613398</v>
      </c>
      <c r="Q58" s="39">
        <v>3</v>
      </c>
      <c r="R58" s="40" t="s">
        <v>139</v>
      </c>
      <c r="S58" s="40" t="s">
        <v>116</v>
      </c>
      <c r="T58" s="40" t="s">
        <v>102</v>
      </c>
      <c r="U58" s="40" t="s">
        <v>79</v>
      </c>
      <c r="V58" s="40" t="s">
        <v>78</v>
      </c>
      <c r="W58" s="40" t="s">
        <v>181</v>
      </c>
      <c r="X58" s="40" t="s">
        <v>106</v>
      </c>
      <c r="Y58" s="40" t="s">
        <v>91</v>
      </c>
      <c r="Z58" s="40" t="s">
        <v>78</v>
      </c>
      <c r="AA58" s="40" t="s">
        <v>78</v>
      </c>
      <c r="AB58" s="40" t="s">
        <v>133</v>
      </c>
      <c r="AC58" s="40" t="s">
        <v>92</v>
      </c>
      <c r="AD58" s="40" t="s">
        <v>78</v>
      </c>
      <c r="AE58" s="40" t="s">
        <v>83</v>
      </c>
      <c r="AF58" s="40" t="s">
        <v>84</v>
      </c>
      <c r="AG58" s="40" t="s">
        <v>85</v>
      </c>
      <c r="AH58" s="40" t="s">
        <v>78</v>
      </c>
      <c r="AI58" s="40" t="s">
        <v>78</v>
      </c>
      <c r="AJ58" s="40" t="s">
        <v>78</v>
      </c>
      <c r="AK58" s="40" t="s">
        <v>78</v>
      </c>
      <c r="AL58" s="40" t="s">
        <v>78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1.0541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3636.6</v>
      </c>
      <c r="AU58" cm="1">
        <f t="array" ref="AU58">$E$10*(1+$AS58)+VLOOKUP($R58,武学奇术!$A:$ZZ,4,FALSE)+SUM(_xlfn.XLOOKUP($S58:$AL58,增益!$A:$A,增益!$D:$D,0))-$I$2</f>
        <v>3636.6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0.3425</v>
      </c>
      <c r="AW58" s="32" cm="1">
        <f t="array" ref="AW58">$G$10+VLOOKUP($R58,武学奇术!$A:$ZZ,7,FALSE)+SUM(_xlfn.XLOOKUP($S58:$AL58,增益!$A:$A,增益!$G:$G,0))</f>
        <v>0.148</v>
      </c>
      <c r="AX58" s="26" cm="1">
        <f t="array" ref="AX58">VLOOKUP($R58,武学奇术!$A:$ZZ,8,FALSE)+SUM(_xlfn.XLOOKUP($S58:$AL58,增益!$A:$A,增益!$H:$H,0))</f>
        <v>0</v>
      </c>
      <c r="AY58">
        <f t="shared" si="11"/>
        <v>0</v>
      </c>
      <c r="AZ58">
        <f t="shared" si="1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2" cm="1">
        <f t="array" ref="BB58">$G$11+VLOOKUP($R58,武学奇术!$A:$ZZ,10,FALSE)+SUM(_xlfn.XLOOKUP($S58:$AL58,增益!$A:$A,增益!$J:$J,0))</f>
        <v>0</v>
      </c>
      <c r="BC58">
        <f t="shared" si="13"/>
        <v>0</v>
      </c>
      <c r="BD58">
        <f t="shared" si="1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2" cm="1">
        <f t="array" ref="BF58">$G$12+VLOOKUP($R58,武学奇术!$A:$ZZ,12,FALSE)+SUM(_xlfn.XLOOKUP($S58:$AL58,增益!$A:$A,增益!$L:$L,0))</f>
        <v>0</v>
      </c>
      <c r="BG58">
        <f t="shared" si="15"/>
        <v>0</v>
      </c>
      <c r="BH58">
        <f t="shared" si="1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2" cm="1">
        <f t="array" ref="BJ58">$G$13+VLOOKUP($R58,武学奇术!$A:$ZZ,14,FALSE)+SUM(_xlfn.XLOOKUP($S58:$AL58,增益!$A:$A,增益!$N:$N,0))</f>
        <v>0</v>
      </c>
      <c r="BK58">
        <f t="shared" si="17"/>
        <v>571.2</v>
      </c>
      <c r="BL58">
        <f t="shared" si="18"/>
        <v>1627.8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2" cm="1">
        <f t="array" ref="BN58">$G$14+VLOOKUP($R58,武学奇术!$A:$ZZ,16,FALSE)+SUM(_xlfn.XLOOKUP($S58:$AL58,增益!$A:$A,增益!$P:$P,0))</f>
        <v>0.27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2.06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19"/>
        <v>1</v>
      </c>
      <c r="BU58" s="26">
        <f t="shared" si="2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0.11</v>
      </c>
      <c r="BX58" s="26" cm="1">
        <f t="array" ref="BX58">SUM(_xlfn.XLOOKUP($S58:$AL58,增益!$A:$A,增益!$X:$X,0))</f>
        <v>0</v>
      </c>
    </row>
    <row r="59" spans="1:76">
      <c r="A59" s="4" t="s">
        <v>172</v>
      </c>
      <c r="B59" s="4">
        <v>0.85</v>
      </c>
      <c r="E59" s="39"/>
      <c r="F59" s="39"/>
      <c r="K59">
        <f>$L59*VLOOKUP($R59,武学奇术!$A:$ZZ,31,FALSE)</f>
        <v>49559.7565905335</v>
      </c>
      <c r="L59" s="38">
        <f t="shared" si="21"/>
        <v>47199.7681814605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</f>
        <v>50057.5669119237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</f>
        <v>39701.4101178141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</f>
        <v>26208.1502156669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</f>
        <v>23007.8484922122</v>
      </c>
      <c r="Q59" s="39">
        <v>1</v>
      </c>
      <c r="R59" s="40" t="s">
        <v>167</v>
      </c>
      <c r="S59" s="40" t="s">
        <v>78</v>
      </c>
      <c r="T59" s="40" t="s">
        <v>102</v>
      </c>
      <c r="U59" s="40" t="s">
        <v>79</v>
      </c>
      <c r="V59" s="40" t="s">
        <v>78</v>
      </c>
      <c r="W59" s="40" t="s">
        <v>181</v>
      </c>
      <c r="X59" s="40" t="s">
        <v>106</v>
      </c>
      <c r="Y59" s="40" t="s">
        <v>91</v>
      </c>
      <c r="Z59" s="40" t="s">
        <v>78</v>
      </c>
      <c r="AA59" s="40" t="s">
        <v>78</v>
      </c>
      <c r="AB59" s="40" t="s">
        <v>78</v>
      </c>
      <c r="AC59" s="40" t="s">
        <v>92</v>
      </c>
      <c r="AD59" s="40" t="s">
        <v>78</v>
      </c>
      <c r="AE59" s="40" t="s">
        <v>83</v>
      </c>
      <c r="AF59" s="40" t="s">
        <v>84</v>
      </c>
      <c r="AG59" s="40" t="s">
        <v>85</v>
      </c>
      <c r="AH59" s="40" t="s">
        <v>78</v>
      </c>
      <c r="AI59" s="40" t="s">
        <v>78</v>
      </c>
      <c r="AJ59" s="40" t="s">
        <v>78</v>
      </c>
      <c r="AK59" s="40" t="s">
        <v>78</v>
      </c>
      <c r="AL59" s="40" t="s">
        <v>78</v>
      </c>
      <c r="AM59" t="str">
        <f>VLOOKUP($R59,武学奇术!$A:$ZZ,25,FALSE)</f>
        <v>伞</v>
      </c>
      <c r="AN59" s="26">
        <f>VLOOKUP($R59,武学奇术!$A:$ZZ,26,FALSE)</f>
        <v>2.01456</v>
      </c>
      <c r="AO59" s="27">
        <f>VLOOKUP($R59,武学奇术!$A:$ZZ,27,FALSE)*(1+IF(OR($AM59=$F$4,$AM59=$F$5),$B$22,0))</f>
        <v>837</v>
      </c>
      <c r="AP59" s="26">
        <f>VLOOKUP($R59,武学奇术!$A:$ZZ,28,FALSE)</f>
        <v>3.02184</v>
      </c>
      <c r="AQ59" s="27">
        <f>VLOOKUP($R59,武学奇术!$A:$ZZ,29,FALSE)*(1+IF(OR($AM59=$F$4,$AM59=$F$5),$B$22,0))</f>
        <v>453.6</v>
      </c>
      <c r="AR59" s="26" cm="1">
        <f t="array" ref="AR59">$G$3+IFERROR(VLOOKUP($AM59,$F$4:$G$7,2,FALSE),0)+VLOOKUP($R59,武学奇术!$A:$ZZ,2,FALSE)+SUM(_xlfn.XLOOKUP($S59:$AL59,增益!$A:$A,增益!$B:$B,0))</f>
        <v>0.4541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3636.6</v>
      </c>
      <c r="AU59" cm="1">
        <f t="array" ref="AU59">$E$10*(1+$AS59)+VLOOKUP($R59,武学奇术!$A:$ZZ,4,FALSE)+SUM(_xlfn.XLOOKUP($S59:$AL59,增益!$A:$A,增益!$D:$D,0))-$I$2</f>
        <v>3636.6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0.3425</v>
      </c>
      <c r="AW59" s="32" cm="1">
        <f t="array" ref="AW59">$G$10+VLOOKUP($R59,武学奇术!$A:$ZZ,7,FALSE)+SUM(_xlfn.XLOOKUP($S59:$AL59,增益!$A:$A,增益!$G:$G,0))</f>
        <v>0.028</v>
      </c>
      <c r="AX59" s="26" cm="1">
        <f t="array" ref="AX59">VLOOKUP($R59,武学奇术!$A:$ZZ,8,FALSE)+SUM(_xlfn.XLOOKUP($S59:$AL59,增益!$A:$A,增益!$H:$H,0))</f>
        <v>0</v>
      </c>
      <c r="AY59">
        <f t="shared" si="11"/>
        <v>0</v>
      </c>
      <c r="AZ59">
        <f t="shared" si="1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2" cm="1">
        <f t="array" ref="BB59">$G$11+VLOOKUP($R59,武学奇术!$A:$ZZ,10,FALSE)+SUM(_xlfn.XLOOKUP($S59:$AL59,增益!$A:$A,增益!$J:$J,0))</f>
        <v>0</v>
      </c>
      <c r="BC59">
        <f t="shared" si="13"/>
        <v>0</v>
      </c>
      <c r="BD59">
        <f t="shared" si="1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2" cm="1">
        <f t="array" ref="BF59">$G$12+VLOOKUP($R59,武学奇术!$A:$ZZ,12,FALSE)+SUM(_xlfn.XLOOKUP($S59:$AL59,增益!$A:$A,增益!$L:$L,0))</f>
        <v>0</v>
      </c>
      <c r="BG59">
        <f t="shared" si="15"/>
        <v>0</v>
      </c>
      <c r="BH59">
        <f t="shared" si="1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2" cm="1">
        <f t="array" ref="BJ59">$G$13+VLOOKUP($R59,武学奇术!$A:$ZZ,14,FALSE)+SUM(_xlfn.XLOOKUP($S59:$AL59,增益!$A:$A,增益!$N:$N,0))</f>
        <v>0</v>
      </c>
      <c r="BK59">
        <f t="shared" si="17"/>
        <v>571.2</v>
      </c>
      <c r="BL59">
        <f t="shared" si="18"/>
        <v>1627.8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2" cm="1">
        <f t="array" ref="BN59">$G$14+VLOOKUP($R59,武学奇术!$A:$ZZ,16,FALSE)+SUM(_xlfn.XLOOKUP($S59:$AL59,增益!$A:$A,增益!$P:$P,0))</f>
        <v>0.15</v>
      </c>
      <c r="BO59" s="26">
        <f>MIN(IF(VLOOKUP($R59,武学奇术!$A:$ZZ,23,FALSE)=1,100%,$B$8),100%)</f>
        <v>0.981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26" cm="1">
        <f t="array" ref="BQ59">1+$B$13+VLOOKUP($R59,武学奇术!$A:$ZZ,18,FALSE)+SUM(_xlfn.XLOOKUP($S59:$AL59,增益!$A:$A,增益!$R:$R,0))</f>
        <v>1.91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6" cm="1">
        <f t="array" ref="BS59">1+$B$14+VLOOKUP($R59,武学奇术!$A:$ZZ,20,FALSE)+SUM(_xlfn.XLOOKUP($S59:$AL59,增益!$A:$A,增益!$T:$T,0))</f>
        <v>1.35</v>
      </c>
      <c r="BT59" s="26">
        <f t="shared" si="19"/>
        <v>0.829926</v>
      </c>
      <c r="BU59" s="26">
        <f t="shared" si="20"/>
        <v>0.0599391</v>
      </c>
      <c r="BV59" s="26">
        <f>IF(VLOOKUP($R59,武学奇术!$A:$ZZ,22,FALSE)=1,0,(1-$BO59))*(1-$BR59)</f>
        <v>0.0172349</v>
      </c>
      <c r="BW59" s="26" cm="1">
        <f t="array" ref="BW59">SUM(_xlfn.XLOOKUP($S59:$AL59,增益!$A:$A,增益!$W:$W,0))+$I$5</f>
        <v>0.11</v>
      </c>
      <c r="BX59" s="26" cm="1">
        <f t="array" ref="BX59">SUM(_xlfn.XLOOKUP($S59:$AL59,增益!$A:$A,增益!$X:$X,0))</f>
        <v>0</v>
      </c>
    </row>
    <row r="60" spans="1:76">
      <c r="A60" s="4" t="s">
        <v>169</v>
      </c>
      <c r="B60" s="88">
        <v>1</v>
      </c>
      <c r="E60" s="39"/>
      <c r="F60" s="39"/>
      <c r="K60">
        <f>$L60*VLOOKUP($R60,武学奇术!$A:$ZZ,31,FALSE)</f>
        <v>13263.7465600515</v>
      </c>
      <c r="L60" s="38">
        <f t="shared" si="21"/>
        <v>12632.1395810014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</f>
        <v>13383.1850362033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</f>
        <v>10776.6830940172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</f>
        <v>7006.90316031585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</f>
        <v>6031.07810284118</v>
      </c>
      <c r="Q60" s="39">
        <v>1</v>
      </c>
      <c r="R60" s="40" t="s">
        <v>170</v>
      </c>
      <c r="S60" s="40" t="s">
        <v>78</v>
      </c>
      <c r="T60" s="40" t="s">
        <v>102</v>
      </c>
      <c r="U60" s="40" t="s">
        <v>79</v>
      </c>
      <c r="V60" s="40" t="s">
        <v>78</v>
      </c>
      <c r="W60" s="40" t="s">
        <v>181</v>
      </c>
      <c r="X60" s="40" t="s">
        <v>106</v>
      </c>
      <c r="Y60" s="40" t="s">
        <v>91</v>
      </c>
      <c r="Z60" s="40" t="s">
        <v>78</v>
      </c>
      <c r="AA60" s="40" t="s">
        <v>78</v>
      </c>
      <c r="AB60" s="40" t="s">
        <v>78</v>
      </c>
      <c r="AC60" s="40" t="s">
        <v>92</v>
      </c>
      <c r="AD60" s="40" t="s">
        <v>78</v>
      </c>
      <c r="AE60" s="40" t="s">
        <v>83</v>
      </c>
      <c r="AF60" s="40" t="s">
        <v>84</v>
      </c>
      <c r="AG60" s="40" t="s">
        <v>85</v>
      </c>
      <c r="AH60" s="40" t="s">
        <v>78</v>
      </c>
      <c r="AI60" s="40" t="s">
        <v>78</v>
      </c>
      <c r="AJ60" s="40" t="s">
        <v>78</v>
      </c>
      <c r="AK60" s="40" t="s">
        <v>78</v>
      </c>
      <c r="AL60" s="40" t="s">
        <v>78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0.6541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3636.6</v>
      </c>
      <c r="AU60" cm="1">
        <f t="array" ref="AU60">$E$10*(1+$AS60)+VLOOKUP($R60,武学奇术!$A:$ZZ,4,FALSE)+SUM(_xlfn.XLOOKUP($S60:$AL60,增益!$A:$A,增益!$D:$D,0))-$I$2</f>
        <v>3636.6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0.3425</v>
      </c>
      <c r="AW60" s="32" cm="1">
        <f t="array" ref="AW60">$G$10+VLOOKUP($R60,武学奇术!$A:$ZZ,7,FALSE)+SUM(_xlfn.XLOOKUP($S60:$AL60,增益!$A:$A,增益!$G:$G,0))</f>
        <v>0.028</v>
      </c>
      <c r="AX60" s="26" cm="1">
        <f t="array" ref="AX60">VLOOKUP($R60,武学奇术!$A:$ZZ,8,FALSE)+SUM(_xlfn.XLOOKUP($S60:$AL60,增益!$A:$A,增益!$H:$H,0))</f>
        <v>0</v>
      </c>
      <c r="AY60">
        <f t="shared" si="11"/>
        <v>0</v>
      </c>
      <c r="AZ60">
        <f t="shared" si="1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2" cm="1">
        <f t="array" ref="BB60">$G$11+VLOOKUP($R60,武学奇术!$A:$ZZ,10,FALSE)+SUM(_xlfn.XLOOKUP($S60:$AL60,增益!$A:$A,增益!$J:$J,0))</f>
        <v>0</v>
      </c>
      <c r="BC60">
        <f t="shared" si="13"/>
        <v>0</v>
      </c>
      <c r="BD60">
        <f t="shared" si="1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2" cm="1">
        <f t="array" ref="BF60">$G$12+VLOOKUP($R60,武学奇术!$A:$ZZ,12,FALSE)+SUM(_xlfn.XLOOKUP($S60:$AL60,增益!$A:$A,增益!$L:$L,0))</f>
        <v>0</v>
      </c>
      <c r="BG60">
        <f t="shared" si="15"/>
        <v>0</v>
      </c>
      <c r="BH60">
        <f t="shared" si="1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2" cm="1">
        <f t="array" ref="BJ60">$G$13+VLOOKUP($R60,武学奇术!$A:$ZZ,14,FALSE)+SUM(_xlfn.XLOOKUP($S60:$AL60,增益!$A:$A,增益!$N:$N,0))</f>
        <v>0</v>
      </c>
      <c r="BK60">
        <f t="shared" si="17"/>
        <v>571.2</v>
      </c>
      <c r="BL60">
        <f t="shared" si="18"/>
        <v>1627.8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2" cm="1">
        <f t="array" ref="BN60">$G$14+VLOOKUP($R60,武学奇术!$A:$ZZ,16,FALSE)+SUM(_xlfn.XLOOKUP($S60:$AL60,增益!$A:$A,增益!$P:$P,0))</f>
        <v>0.15</v>
      </c>
      <c r="BO60" s="26">
        <f>MIN(IF(VLOOKUP($R60,武学奇术!$A:$ZZ,23,FALSE)=1,100%,$B$8),100%)</f>
        <v>0.981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26" cm="1">
        <f t="array" ref="BQ60">1+$B$13+VLOOKUP($R60,武学奇术!$A:$ZZ,18,FALSE)+SUM(_xlfn.XLOOKUP($S60:$AL60,增益!$A:$A,增益!$R:$R,0))</f>
        <v>1.91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6" cm="1">
        <f t="array" ref="BS60">1+$B$14+VLOOKUP($R60,武学奇术!$A:$ZZ,20,FALSE)+SUM(_xlfn.XLOOKUP($S60:$AL60,增益!$A:$A,增益!$T:$T,0))</f>
        <v>1.35</v>
      </c>
      <c r="BT60" s="26">
        <f t="shared" si="19"/>
        <v>0.829926</v>
      </c>
      <c r="BU60" s="26">
        <f t="shared" si="20"/>
        <v>0.0599391</v>
      </c>
      <c r="BV60" s="26">
        <f>IF(VLOOKUP($R60,武学奇术!$A:$ZZ,22,FALSE)=1,0,(1-$BO60))*(1-$BR60)</f>
        <v>0.0172349</v>
      </c>
      <c r="BW60" s="26" cm="1">
        <f t="array" ref="BW60">SUM(_xlfn.XLOOKUP($S60:$AL60,增益!$A:$A,增益!$W:$W,0))+$I$5</f>
        <v>0.11</v>
      </c>
      <c r="BX60" s="26" cm="1">
        <f t="array" ref="BX60">SUM(_xlfn.XLOOKUP($S60:$AL60,增益!$A:$A,增益!$X:$X,0))</f>
        <v>0</v>
      </c>
    </row>
    <row r="61" spans="1:76">
      <c r="A61" s="4" t="s">
        <v>169</v>
      </c>
      <c r="B61" s="4">
        <v>1</v>
      </c>
      <c r="F61" s="39"/>
      <c r="K61">
        <f>$L61*VLOOKUP($R61,武学奇术!$A:$ZZ,31,FALSE)</f>
        <v>89951.0213757908</v>
      </c>
      <c r="L61" s="38">
        <f t="shared" si="21"/>
        <v>85667.639405515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</f>
        <v>90836.4312367245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</f>
        <v>72256.9138922816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</f>
        <v>47558.3409616359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</f>
        <v>41593.0420030632</v>
      </c>
      <c r="Q61" s="39">
        <v>1</v>
      </c>
      <c r="R61" s="40" t="s">
        <v>184</v>
      </c>
      <c r="S61" s="40" t="s">
        <v>78</v>
      </c>
      <c r="T61" s="40" t="s">
        <v>102</v>
      </c>
      <c r="U61" s="40" t="s">
        <v>79</v>
      </c>
      <c r="V61" s="40" t="s">
        <v>88</v>
      </c>
      <c r="W61" s="40" t="s">
        <v>181</v>
      </c>
      <c r="X61" s="40" t="s">
        <v>106</v>
      </c>
      <c r="Y61" s="40" t="s">
        <v>78</v>
      </c>
      <c r="Z61" s="40" t="s">
        <v>78</v>
      </c>
      <c r="AA61" s="40" t="s">
        <v>78</v>
      </c>
      <c r="AB61" s="40" t="s">
        <v>78</v>
      </c>
      <c r="AC61" s="40" t="s">
        <v>92</v>
      </c>
      <c r="AD61" s="40" t="s">
        <v>78</v>
      </c>
      <c r="AE61" s="40" t="s">
        <v>83</v>
      </c>
      <c r="AF61" s="40" t="s">
        <v>84</v>
      </c>
      <c r="AG61" s="40" t="s">
        <v>85</v>
      </c>
      <c r="AH61" s="40" t="s">
        <v>78</v>
      </c>
      <c r="AI61" s="40" t="s">
        <v>78</v>
      </c>
      <c r="AJ61" s="40" t="s">
        <v>78</v>
      </c>
      <c r="AK61" s="40" t="s">
        <v>78</v>
      </c>
      <c r="AL61" s="40" t="s">
        <v>78</v>
      </c>
      <c r="AM61" t="str">
        <f>VLOOKUP($R61,武学奇术!$A:$ZZ,25,FALSE)</f>
        <v>群体奇术</v>
      </c>
      <c r="AN61" s="26">
        <f>VLOOKUP($R61,武学奇术!$A:$ZZ,26,FALSE)</f>
        <v>3.9746</v>
      </c>
      <c r="AO61" s="27">
        <f>VLOOKUP($R61,武学奇术!$A:$ZZ,27,FALSE)*(1+IF(OR($AM61=$F$4,$AM61=$F$5),$B$22,0))</f>
        <v>1008</v>
      </c>
      <c r="AP61" s="26">
        <f>VLOOKUP($R61,武学奇术!$A:$ZZ,28,FALSE)</f>
        <v>5.9619</v>
      </c>
      <c r="AQ61" s="27">
        <f>VLOOKUP($R61,武学奇术!$A:$ZZ,29,FALSE)*(1+IF(OR($AM61=$F$4,$AM61=$F$5),$B$22,0))</f>
        <v>0</v>
      </c>
      <c r="AR61" s="26" cm="1">
        <f t="array" ref="AR61">$G$3+IFERROR(VLOOKUP($AM61,$F$4:$G$7,2,FALSE),0)+VLOOKUP($R61,武学奇术!$A:$ZZ,2,FALSE)+SUM(_xlfn.XLOOKUP($S61:$AL61,增益!$A:$A,增益!$B:$B,0))</f>
        <v>0.4837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3636.6</v>
      </c>
      <c r="AU61" cm="1">
        <f t="array" ref="AU61">$E$10*(1+$AS61)+VLOOKUP($R61,武学奇术!$A:$ZZ,4,FALSE)+SUM(_xlfn.XLOOKUP($S61:$AL61,增益!$A:$A,增益!$D:$D,0))-$I$2</f>
        <v>3636.6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0.3425</v>
      </c>
      <c r="AW61" s="32" cm="1">
        <f t="array" ref="AW61">$G$10+VLOOKUP($R61,武学奇术!$A:$ZZ,7,FALSE)+SUM(_xlfn.XLOOKUP($S61:$AL61,增益!$A:$A,增益!$G:$G,0))</f>
        <v>0.028</v>
      </c>
      <c r="AX61" s="26" cm="1">
        <f t="array" ref="AX61">VLOOKUP($R61,武学奇术!$A:$ZZ,8,FALSE)+SUM(_xlfn.XLOOKUP($S61:$AL61,增益!$A:$A,增益!$H:$H,0))</f>
        <v>0</v>
      </c>
      <c r="AY61">
        <f t="shared" si="11"/>
        <v>0</v>
      </c>
      <c r="AZ61">
        <f t="shared" si="1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2" cm="1">
        <f t="array" ref="BB61">$G$11+VLOOKUP($R61,武学奇术!$A:$ZZ,10,FALSE)+SUM(_xlfn.XLOOKUP($S61:$AL61,增益!$A:$A,增益!$J:$J,0))</f>
        <v>0</v>
      </c>
      <c r="BC61">
        <f t="shared" si="13"/>
        <v>0</v>
      </c>
      <c r="BD61">
        <f t="shared" si="1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2" cm="1">
        <f t="array" ref="BF61">$G$12+VLOOKUP($R61,武学奇术!$A:$ZZ,12,FALSE)+SUM(_xlfn.XLOOKUP($S61:$AL61,增益!$A:$A,增益!$L:$L,0))</f>
        <v>0</v>
      </c>
      <c r="BG61">
        <f t="shared" si="15"/>
        <v>0</v>
      </c>
      <c r="BH61">
        <f t="shared" si="1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2" cm="1">
        <f t="array" ref="BJ61">$G$13+VLOOKUP($R61,武学奇术!$A:$ZZ,14,FALSE)+SUM(_xlfn.XLOOKUP($S61:$AL61,增益!$A:$A,增益!$N:$N,0))</f>
        <v>0</v>
      </c>
      <c r="BK61">
        <f t="shared" si="17"/>
        <v>571.2</v>
      </c>
      <c r="BL61">
        <f t="shared" si="18"/>
        <v>1627.8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2" cm="1">
        <f t="array" ref="BN61">$G$14+VLOOKUP($R61,武学奇术!$A:$ZZ,16,FALSE)+SUM(_xlfn.XLOOKUP($S61:$AL61,增益!$A:$A,增益!$P:$P,0))</f>
        <v>0.15</v>
      </c>
      <c r="BO61" s="26">
        <f>MIN(IF(VLOOKUP($R61,武学奇术!$A:$ZZ,23,FALSE)=1,100%,$B$8),100%)</f>
        <v>0.981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26" cm="1">
        <f t="array" ref="BQ61">1+$B$13+VLOOKUP($R61,武学奇术!$A:$ZZ,18,FALSE)+SUM(_xlfn.XLOOKUP($S61:$AL61,增益!$A:$A,增益!$R:$R,0))</f>
        <v>1.91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6" cm="1">
        <f t="array" ref="BS61">1+$B$14+VLOOKUP($R61,武学奇术!$A:$ZZ,20,FALSE)+SUM(_xlfn.XLOOKUP($S61:$AL61,增益!$A:$A,增益!$T:$T,0))</f>
        <v>1.35</v>
      </c>
      <c r="BT61" s="26">
        <f t="shared" si="19"/>
        <v>0.829926</v>
      </c>
      <c r="BU61" s="26">
        <f t="shared" si="20"/>
        <v>0.0599391</v>
      </c>
      <c r="BV61" s="26">
        <f>IF(VLOOKUP($R61,武学奇术!$A:$ZZ,22,FALSE)=1,0,(1-$BO61))*(1-$BR61)</f>
        <v>0.0172349</v>
      </c>
      <c r="BW61" s="26" cm="1">
        <f t="array" ref="BW61">SUM(_xlfn.XLOOKUP($S61:$AL61,增益!$A:$A,增益!$W:$W,0))+$I$5</f>
        <v>0.11</v>
      </c>
      <c r="BX61" s="26" cm="1">
        <f t="array" ref="BX61">SUM(_xlfn.XLOOKUP($S61:$AL61,增益!$A:$A,增益!$X:$X,0))</f>
        <v>0</v>
      </c>
    </row>
    <row r="62" spans="1:76">
      <c r="A62" s="4" t="s">
        <v>172</v>
      </c>
      <c r="B62" s="4">
        <v>0.85</v>
      </c>
      <c r="F62" s="39"/>
      <c r="K62">
        <f>$L62*VLOOKUP($R62,武学奇术!$A:$ZZ,31,FALSE)</f>
        <v>29183.2732875574</v>
      </c>
      <c r="L62" s="38">
        <f t="shared" si="21"/>
        <v>27793.5936071975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</f>
        <v>29470.5319084908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</f>
        <v>23442.6769319676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</f>
        <v>15429.5978578486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</f>
        <v>13494.2498401656</v>
      </c>
      <c r="Q62" s="39">
        <v>1</v>
      </c>
      <c r="R62" s="40" t="s">
        <v>77</v>
      </c>
      <c r="S62" s="40" t="s">
        <v>78</v>
      </c>
      <c r="T62" s="40" t="s">
        <v>102</v>
      </c>
      <c r="U62" s="40" t="s">
        <v>79</v>
      </c>
      <c r="V62" s="40" t="s">
        <v>78</v>
      </c>
      <c r="W62" s="40" t="s">
        <v>181</v>
      </c>
      <c r="X62" s="40" t="s">
        <v>106</v>
      </c>
      <c r="Y62" s="40" t="s">
        <v>78</v>
      </c>
      <c r="Z62" s="40" t="s">
        <v>78</v>
      </c>
      <c r="AA62" s="40" t="s">
        <v>78</v>
      </c>
      <c r="AB62" s="40" t="s">
        <v>78</v>
      </c>
      <c r="AC62" s="40" t="s">
        <v>92</v>
      </c>
      <c r="AD62" s="40" t="s">
        <v>78</v>
      </c>
      <c r="AE62" s="40" t="s">
        <v>83</v>
      </c>
      <c r="AF62" s="40" t="s">
        <v>84</v>
      </c>
      <c r="AG62" s="40" t="s">
        <v>85</v>
      </c>
      <c r="AH62" s="40" t="s">
        <v>78</v>
      </c>
      <c r="AI62" s="40" t="s">
        <v>78</v>
      </c>
      <c r="AJ62" s="40" t="s">
        <v>78</v>
      </c>
      <c r="AK62" s="40" t="s">
        <v>78</v>
      </c>
      <c r="AL62" s="40" t="s">
        <v>78</v>
      </c>
      <c r="AM62" t="str">
        <f>VLOOKUP($R62,武学奇术!$A:$ZZ,25,FALSE)</f>
        <v>群体奇术</v>
      </c>
      <c r="AN62" s="26">
        <f>VLOOKUP($R62,武学奇术!$A:$ZZ,26,FALSE)</f>
        <v>1.4904</v>
      </c>
      <c r="AO62" s="27">
        <f>VLOOKUP($R62,武学奇术!$A:$ZZ,27,FALSE)*(1+IF(OR($AM62=$F$4,$AM62=$F$5),$B$22,0))</f>
        <v>378</v>
      </c>
      <c r="AP62" s="26">
        <f>VLOOKUP($R62,武学奇术!$A:$ZZ,28,FALSE)</f>
        <v>2.2356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0.2837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3636.6</v>
      </c>
      <c r="AU62" cm="1">
        <f t="array" ref="AU62">$E$10*(1+$AS62)+VLOOKUP($R62,武学奇术!$A:$ZZ,4,FALSE)+SUM(_xlfn.XLOOKUP($S62:$AL62,增益!$A:$A,增益!$D:$D,0))-$I$2</f>
        <v>3636.6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0.3425</v>
      </c>
      <c r="AW62" s="32" cm="1">
        <f t="array" ref="AW62">$G$10+VLOOKUP($R62,武学奇术!$A:$ZZ,7,FALSE)+SUM(_xlfn.XLOOKUP($S62:$AL62,增益!$A:$A,增益!$G:$G,0))</f>
        <v>0.028</v>
      </c>
      <c r="AX62" s="26" cm="1">
        <f t="array" ref="AX62">VLOOKUP($R62,武学奇术!$A:$ZZ,8,FALSE)+SUM(_xlfn.XLOOKUP($S62:$AL62,增益!$A:$A,增益!$H:$H,0))</f>
        <v>0</v>
      </c>
      <c r="AY62">
        <f t="shared" si="11"/>
        <v>0</v>
      </c>
      <c r="AZ62">
        <f t="shared" si="1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2" cm="1">
        <f t="array" ref="BB62">$G$11+VLOOKUP($R62,武学奇术!$A:$ZZ,10,FALSE)+SUM(_xlfn.XLOOKUP($S62:$AL62,增益!$A:$A,增益!$J:$J,0))</f>
        <v>0</v>
      </c>
      <c r="BC62">
        <f t="shared" si="13"/>
        <v>0</v>
      </c>
      <c r="BD62">
        <f t="shared" si="1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2" cm="1">
        <f t="array" ref="BF62">$G$12+VLOOKUP($R62,武学奇术!$A:$ZZ,12,FALSE)+SUM(_xlfn.XLOOKUP($S62:$AL62,增益!$A:$A,增益!$L:$L,0))</f>
        <v>0</v>
      </c>
      <c r="BG62">
        <f t="shared" si="15"/>
        <v>0</v>
      </c>
      <c r="BH62">
        <f t="shared" si="1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2" cm="1">
        <f t="array" ref="BJ62">$G$13+VLOOKUP($R62,武学奇术!$A:$ZZ,14,FALSE)+SUM(_xlfn.XLOOKUP($S62:$AL62,增益!$A:$A,增益!$N:$N,0))</f>
        <v>0</v>
      </c>
      <c r="BK62">
        <f t="shared" si="17"/>
        <v>571.2</v>
      </c>
      <c r="BL62">
        <f t="shared" si="18"/>
        <v>1627.8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2" cm="1">
        <f t="array" ref="BN62">$G$14+VLOOKUP($R62,武学奇术!$A:$ZZ,16,FALSE)+SUM(_xlfn.XLOOKUP($S62:$AL62,增益!$A:$A,增益!$P:$P,0))</f>
        <v>0.15</v>
      </c>
      <c r="BO62" s="26">
        <f>MIN(IF(VLOOKUP($R62,武学奇术!$A:$ZZ,23,FALSE)=1,100%,$B$8),100%)</f>
        <v>0.981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26" cm="1">
        <f t="array" ref="BQ62">1+$B$13+VLOOKUP($R62,武学奇术!$A:$ZZ,18,FALSE)+SUM(_xlfn.XLOOKUP($S62:$AL62,增益!$A:$A,增益!$R:$R,0))</f>
        <v>1.91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6" cm="1">
        <f t="array" ref="BS62">1+$B$14+VLOOKUP($R62,武学奇术!$A:$ZZ,20,FALSE)+SUM(_xlfn.XLOOKUP($S62:$AL62,增益!$A:$A,增益!$T:$T,0))</f>
        <v>1.35</v>
      </c>
      <c r="BT62" s="26">
        <f t="shared" si="19"/>
        <v>0.829926</v>
      </c>
      <c r="BU62" s="26">
        <f t="shared" si="20"/>
        <v>0.0599391</v>
      </c>
      <c r="BV62" s="26">
        <f>IF(VLOOKUP($R62,武学奇术!$A:$ZZ,22,FALSE)=1,0,(1-$BO62))*(1-$BR62)</f>
        <v>0.0172349</v>
      </c>
      <c r="BW62" s="26" cm="1">
        <f t="array" ref="BW62">SUM(_xlfn.XLOOKUP($S62:$AL62,增益!$A:$A,增益!$W:$W,0))+$I$5</f>
        <v>0.11</v>
      </c>
      <c r="BX62" s="26" cm="1">
        <f t="array" ref="BX62">SUM(_xlfn.XLOOKUP($S62:$AL62,增益!$A:$A,增益!$X:$X,0))</f>
        <v>0</v>
      </c>
    </row>
    <row r="63" spans="1:76">
      <c r="A63" s="4" t="s">
        <v>169</v>
      </c>
      <c r="B63" s="88">
        <v>1</v>
      </c>
      <c r="F63" s="39"/>
      <c r="K63">
        <f>$L63*VLOOKUP($R63,武学奇术!$A:$ZZ,31,FALSE)</f>
        <v>61244.4804386668</v>
      </c>
      <c r="L63" s="38">
        <f t="shared" si="21"/>
        <v>58328.0766082541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</f>
        <v>58328.0766082541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</f>
        <v>45994.6004035003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</f>
        <v>30538.2600043215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</f>
        <v>27006.4456356799</v>
      </c>
      <c r="Q63" s="39">
        <v>1</v>
      </c>
      <c r="R63" s="40" t="s">
        <v>174</v>
      </c>
      <c r="S63" s="40" t="s">
        <v>78</v>
      </c>
      <c r="T63" s="40" t="s">
        <v>102</v>
      </c>
      <c r="U63" s="40" t="s">
        <v>79</v>
      </c>
      <c r="V63" s="40" t="s">
        <v>78</v>
      </c>
      <c r="W63" s="40" t="s">
        <v>181</v>
      </c>
      <c r="X63" s="40" t="s">
        <v>106</v>
      </c>
      <c r="Y63" s="40" t="s">
        <v>78</v>
      </c>
      <c r="Z63" s="40" t="s">
        <v>78</v>
      </c>
      <c r="AA63" s="40" t="s">
        <v>78</v>
      </c>
      <c r="AB63" s="40" t="s">
        <v>78</v>
      </c>
      <c r="AC63" s="40" t="s">
        <v>92</v>
      </c>
      <c r="AD63" s="40" t="s">
        <v>78</v>
      </c>
      <c r="AE63" s="40" t="s">
        <v>83</v>
      </c>
      <c r="AF63" s="40" t="s">
        <v>84</v>
      </c>
      <c r="AG63" s="40" t="s">
        <v>85</v>
      </c>
      <c r="AH63" s="40" t="s">
        <v>78</v>
      </c>
      <c r="AI63" s="40" t="s">
        <v>78</v>
      </c>
      <c r="AJ63" s="40" t="s">
        <v>78</v>
      </c>
      <c r="AK63" s="40" t="s">
        <v>78</v>
      </c>
      <c r="AL63" s="40" t="s">
        <v>78</v>
      </c>
      <c r="AM63" t="str">
        <f>VLOOKUP($R63,武学奇术!$A:$ZZ,25,FALSE)</f>
        <v>绳镖</v>
      </c>
      <c r="AN63" s="26">
        <f>VLOOKUP($R63,武学奇术!$A:$ZZ,26,FALSE)</f>
        <v>2.2987</v>
      </c>
      <c r="AO63" s="27">
        <f>VLOOKUP($R63,武学奇术!$A:$ZZ,27,FALSE)*(1+IF(OR($AM63=$F$4,$AM63=$F$5),$B$22,0))</f>
        <v>955.5</v>
      </c>
      <c r="AP63" s="26">
        <f>VLOOKUP($R63,武学奇术!$A:$ZZ,28,FALSE)</f>
        <v>3.448</v>
      </c>
      <c r="AQ63" s="27">
        <f>VLOOKUP($R63,武学奇术!$A:$ZZ,29,FALSE)*(1+IF(OR($AM63=$F$4,$AM63=$F$5),$B$22,0))</f>
        <v>520.5</v>
      </c>
      <c r="AR63" s="26" cm="1">
        <f t="array" ref="AR63">$G$3+IFERROR(VLOOKUP($AM63,$F$4:$G$7,2,FALSE),0)+VLOOKUP($R63,武学奇术!$A:$ZZ,2,FALSE)+SUM(_xlfn.XLOOKUP($S63:$AL63,增益!$A:$A,增益!$B:$B,0))</f>
        <v>0.5189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3636.6</v>
      </c>
      <c r="AU63" cm="1">
        <f t="array" ref="AU63">$E$10*(1+$AS63)+VLOOKUP($R63,武学奇术!$A:$ZZ,4,FALSE)+SUM(_xlfn.XLOOKUP($S63:$AL63,增益!$A:$A,增益!$D:$D,0))-$I$2</f>
        <v>3636.6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0.3425</v>
      </c>
      <c r="AW63" s="32" cm="1">
        <f t="array" ref="AW63">$G$10+VLOOKUP($R63,武学奇术!$A:$ZZ,7,FALSE)+SUM(_xlfn.XLOOKUP($S63:$AL63,增益!$A:$A,增益!$G:$G,0))</f>
        <v>0.028</v>
      </c>
      <c r="AX63" s="26" cm="1">
        <f t="array" ref="AX63">VLOOKUP($R63,武学奇术!$A:$ZZ,8,FALSE)+SUM(_xlfn.XLOOKUP($S63:$AL63,增益!$A:$A,增益!$H:$H,0))</f>
        <v>0</v>
      </c>
      <c r="AY63">
        <f t="shared" si="11"/>
        <v>0</v>
      </c>
      <c r="AZ63">
        <f t="shared" si="1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2" cm="1">
        <f t="array" ref="BB63">$G$11+VLOOKUP($R63,武学奇术!$A:$ZZ,10,FALSE)+SUM(_xlfn.XLOOKUP($S63:$AL63,增益!$A:$A,增益!$J:$J,0))</f>
        <v>0</v>
      </c>
      <c r="BC63">
        <f t="shared" si="13"/>
        <v>0</v>
      </c>
      <c r="BD63">
        <f t="shared" si="1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2" cm="1">
        <f t="array" ref="BF63">$G$12+VLOOKUP($R63,武学奇术!$A:$ZZ,12,FALSE)+SUM(_xlfn.XLOOKUP($S63:$AL63,增益!$A:$A,增益!$L:$L,0))</f>
        <v>0</v>
      </c>
      <c r="BG63">
        <f t="shared" si="15"/>
        <v>0</v>
      </c>
      <c r="BH63">
        <f t="shared" si="1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2" cm="1">
        <f t="array" ref="BJ63">$G$13+VLOOKUP($R63,武学奇术!$A:$ZZ,14,FALSE)+SUM(_xlfn.XLOOKUP($S63:$AL63,增益!$A:$A,增益!$N:$N,0))</f>
        <v>0</v>
      </c>
      <c r="BK63">
        <f t="shared" si="17"/>
        <v>571.2</v>
      </c>
      <c r="BL63">
        <f t="shared" si="18"/>
        <v>1627.8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2" cm="1">
        <f t="array" ref="BN63">$G$14+VLOOKUP($R63,武学奇术!$A:$ZZ,16,FALSE)+SUM(_xlfn.XLOOKUP($S63:$AL63,增益!$A:$A,增益!$P:$P,0))</f>
        <v>0.15</v>
      </c>
      <c r="BO63" s="26">
        <f>MIN(IF(VLOOKUP($R63,武学奇术!$A:$ZZ,23,FALSE)=1,100%,$B$8),100%)</f>
        <v>1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1</v>
      </c>
      <c r="BQ63" s="26" cm="1">
        <f t="array" ref="BQ63">1+$B$13+VLOOKUP($R63,武学奇术!$A:$ZZ,18,FALSE)+SUM(_xlfn.XLOOKUP($S63:$AL63,增益!$A:$A,增益!$R:$R,0))</f>
        <v>1.91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</v>
      </c>
      <c r="BS63" s="26" cm="1">
        <f t="array" ref="BS63">1+$B$14+VLOOKUP($R63,武学奇术!$A:$ZZ,20,FALSE)+SUM(_xlfn.XLOOKUP($S63:$AL63,增益!$A:$A,增益!$T:$T,0))</f>
        <v>1.35</v>
      </c>
      <c r="BT63" s="26">
        <f t="shared" si="19"/>
        <v>1</v>
      </c>
      <c r="BU63" s="26">
        <f t="shared" si="20"/>
        <v>0</v>
      </c>
      <c r="BV63" s="26">
        <f>IF(VLOOKUP($R63,武学奇术!$A:$ZZ,22,FALSE)=1,0,(1-$BO63))*(1-$BR63)</f>
        <v>0</v>
      </c>
      <c r="BW63" s="26" cm="1">
        <f t="array" ref="BW63">SUM(_xlfn.XLOOKUP($S63:$AL63,增益!$A:$A,增益!$W:$W,0))+$I$5</f>
        <v>0.11</v>
      </c>
      <c r="BX63" s="26" cm="1">
        <f t="array" ref="BX63">SUM(_xlfn.XLOOKUP($S63:$AL63,增益!$A:$A,增益!$X:$X,0))</f>
        <v>0</v>
      </c>
    </row>
    <row r="64" spans="1:76">
      <c r="A64" s="4" t="s">
        <v>169</v>
      </c>
      <c r="B64" s="4">
        <v>1</v>
      </c>
      <c r="F64" s="39"/>
      <c r="K64">
        <f>$L64*VLOOKUP($R64,武学奇术!$A:$ZZ,31,FALSE)</f>
        <v>118305.826013454</v>
      </c>
      <c r="L64" s="89">
        <f>(SUM(L39:L63)+L156+L157)*12%*(1+BX64)</f>
        <v>225344.430501816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</f>
        <v>0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</f>
        <v>0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</f>
        <v>0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</f>
        <v>0</v>
      </c>
      <c r="Q64" s="39">
        <v>1</v>
      </c>
      <c r="R64" s="40" t="s">
        <v>175</v>
      </c>
      <c r="S64" s="40" t="s">
        <v>176</v>
      </c>
      <c r="T64" s="40" t="s">
        <v>78</v>
      </c>
      <c r="U64" s="40" t="s">
        <v>78</v>
      </c>
      <c r="V64" s="40" t="s">
        <v>78</v>
      </c>
      <c r="W64" s="40" t="s">
        <v>78</v>
      </c>
      <c r="X64" s="40" t="s">
        <v>78</v>
      </c>
      <c r="Y64" s="40" t="s">
        <v>78</v>
      </c>
      <c r="Z64" s="40" t="s">
        <v>78</v>
      </c>
      <c r="AA64" s="40" t="s">
        <v>78</v>
      </c>
      <c r="AB64" s="40" t="s">
        <v>78</v>
      </c>
      <c r="AC64" s="40" t="s">
        <v>78</v>
      </c>
      <c r="AD64" s="40" t="s">
        <v>78</v>
      </c>
      <c r="AE64" s="40" t="s">
        <v>83</v>
      </c>
      <c r="AF64" s="40" t="s">
        <v>84</v>
      </c>
      <c r="AG64" s="40" t="s">
        <v>85</v>
      </c>
      <c r="AH64" s="40" t="s">
        <v>78</v>
      </c>
      <c r="AI64" s="40" t="s">
        <v>78</v>
      </c>
      <c r="AJ64" s="40" t="s">
        <v>78</v>
      </c>
      <c r="AK64" s="40" t="s">
        <v>78</v>
      </c>
      <c r="AL64" s="40" t="s">
        <v>78</v>
      </c>
      <c r="AM64" t="str">
        <f>VLOOKUP($R64,武学奇术!$A:$ZZ,25,FALSE)</f>
        <v>心法</v>
      </c>
      <c r="AN64" s="26">
        <f>VLOOKUP($R64,武学奇术!$A:$ZZ,26,FALSE)</f>
        <v>0</v>
      </c>
      <c r="AO64" s="27">
        <f>VLOOKUP($R64,武学奇术!$A:$ZZ,27,FALSE)*(1+IF(OR($AM64=$F$4,$AM64=$F$5),$B$22,0))</f>
        <v>0</v>
      </c>
      <c r="AP64" s="26">
        <f>VLOOKUP($R64,武学奇术!$A:$ZZ,28,FALSE)</f>
        <v>0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0.1837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3636.6</v>
      </c>
      <c r="AU64" cm="1">
        <f t="array" ref="AU64">$E$10*(1+$AS64)+VLOOKUP($R64,武学奇术!$A:$ZZ,4,FALSE)+SUM(_xlfn.XLOOKUP($S64:$AL64,增益!$A:$A,增益!$D:$D,0))-$I$2</f>
        <v>3636.6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0.2425</v>
      </c>
      <c r="AW64" s="32" cm="1">
        <f t="array" ref="AW64">$G$10+VLOOKUP($R64,武学奇术!$A:$ZZ,7,FALSE)+SUM(_xlfn.XLOOKUP($S64:$AL64,增益!$A:$A,增益!$G:$G,0))</f>
        <v>0.028</v>
      </c>
      <c r="AX64" s="26" cm="1">
        <f t="array" ref="AX64">VLOOKUP($R64,武学奇术!$A:$ZZ,8,FALSE)+SUM(_xlfn.XLOOKUP($S64:$AL64,增益!$A:$A,增益!$H:$H,0))</f>
        <v>0</v>
      </c>
      <c r="AY64">
        <f t="shared" si="11"/>
        <v>0</v>
      </c>
      <c r="AZ64">
        <f t="shared" si="1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2" cm="1">
        <f t="array" ref="BB64">$G$11+VLOOKUP($R64,武学奇术!$A:$ZZ,10,FALSE)+SUM(_xlfn.XLOOKUP($S64:$AL64,增益!$A:$A,增益!$J:$J,0))</f>
        <v>0</v>
      </c>
      <c r="BC64">
        <f t="shared" si="13"/>
        <v>0</v>
      </c>
      <c r="BD64">
        <f t="shared" si="1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2" cm="1">
        <f t="array" ref="BF64">$G$12+VLOOKUP($R64,武学奇术!$A:$ZZ,12,FALSE)+SUM(_xlfn.XLOOKUP($S64:$AL64,增益!$A:$A,增益!$L:$L,0))</f>
        <v>0</v>
      </c>
      <c r="BG64">
        <f t="shared" si="15"/>
        <v>0</v>
      </c>
      <c r="BH64">
        <f t="shared" si="1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2" cm="1">
        <f t="array" ref="BJ64">$G$13+VLOOKUP($R64,武学奇术!$A:$ZZ,14,FALSE)+SUM(_xlfn.XLOOKUP($S64:$AL64,增益!$A:$A,增益!$N:$N,0))</f>
        <v>0</v>
      </c>
      <c r="BK64">
        <f t="shared" si="17"/>
        <v>571.2</v>
      </c>
      <c r="BL64">
        <f t="shared" si="18"/>
        <v>1627.8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2" cm="1">
        <f t="array" ref="BN64">$G$14+VLOOKUP($R64,武学奇术!$A:$ZZ,16,FALSE)+SUM(_xlfn.XLOOKUP($S64:$AL64,增益!$A:$A,增益!$P:$P,0))</f>
        <v>0.15</v>
      </c>
      <c r="BO64" s="26">
        <f>MIN(IF(VLOOKUP($R64,武学奇术!$A:$ZZ,23,FALSE)=1,100%,$B$8),100%)</f>
        <v>0.981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26" cm="1">
        <f t="array" ref="BQ64">1+$B$13+VLOOKUP($R64,武学奇术!$A:$ZZ,18,FALSE)+SUM(_xlfn.XLOOKUP($S64:$AL64,增益!$A:$A,增益!$R:$R,0))</f>
        <v>1.54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6" cm="1">
        <f t="array" ref="BS64">1+$B$14+VLOOKUP($R64,武学奇术!$A:$ZZ,20,FALSE)+SUM(_xlfn.XLOOKUP($S64:$AL64,增益!$A:$A,增益!$T:$T,0))</f>
        <v>1.35</v>
      </c>
      <c r="BT64" s="26">
        <f t="shared" si="19"/>
        <v>0.829926</v>
      </c>
      <c r="BU64" s="26">
        <f t="shared" si="20"/>
        <v>0.0599391</v>
      </c>
      <c r="BV64" s="26">
        <f>IF(VLOOKUP($R64,武学奇术!$A:$ZZ,22,FALSE)=1,0,(1-$BO64))*(1-$BR64)</f>
        <v>0.0172349</v>
      </c>
      <c r="BW64" s="26" cm="1">
        <f t="array" ref="BW64">SUM(_xlfn.XLOOKUP($S64:$AL64,增益!$A:$A,增益!$W:$W,0))+$I$5</f>
        <v>0.11</v>
      </c>
      <c r="BX64" s="26" cm="1">
        <f t="array" ref="BX64">SUM(_xlfn.XLOOKUP($S64:$AL64,增益!$A:$A,增益!$X:$X,0))</f>
        <v>0</v>
      </c>
    </row>
    <row r="65" spans="1:76">
      <c r="A65" s="4" t="s">
        <v>172</v>
      </c>
      <c r="B65" s="4">
        <v>0.85</v>
      </c>
      <c r="F65" s="39"/>
      <c r="K65">
        <f>$L65*VLOOKUP($R65,武学奇术!$A:$ZZ,31,FALSE)</f>
        <v>66534.2045097</v>
      </c>
      <c r="L65" s="38">
        <f t="shared" ref="L65:L83" si="22">($M65*$BT65+$N65*$BR65+$O65*$BU65+$P65*$BV65)</f>
        <v>63365.9090568572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</f>
        <v>67202.5171893621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</f>
        <v>53299.3283628572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</f>
        <v>35184.563973488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</f>
        <v>30888.1439744892</v>
      </c>
      <c r="Q65" s="39">
        <v>1</v>
      </c>
      <c r="R65" s="40" t="s">
        <v>167</v>
      </c>
      <c r="S65" s="40" t="s">
        <v>78</v>
      </c>
      <c r="T65" s="40" t="s">
        <v>102</v>
      </c>
      <c r="U65" s="40" t="s">
        <v>79</v>
      </c>
      <c r="V65" s="40" t="s">
        <v>88</v>
      </c>
      <c r="W65" s="40" t="s">
        <v>181</v>
      </c>
      <c r="X65" s="40" t="s">
        <v>106</v>
      </c>
      <c r="Y65" s="40" t="s">
        <v>91</v>
      </c>
      <c r="Z65" s="40" t="s">
        <v>185</v>
      </c>
      <c r="AA65" s="40" t="s">
        <v>186</v>
      </c>
      <c r="AB65" s="40" t="s">
        <v>78</v>
      </c>
      <c r="AC65" s="40" t="s">
        <v>92</v>
      </c>
      <c r="AD65" s="40" t="s">
        <v>78</v>
      </c>
      <c r="AE65" s="40" t="s">
        <v>83</v>
      </c>
      <c r="AF65" s="40" t="s">
        <v>84</v>
      </c>
      <c r="AG65" s="40" t="s">
        <v>85</v>
      </c>
      <c r="AH65" s="40" t="s">
        <v>78</v>
      </c>
      <c r="AI65" s="40" t="s">
        <v>78</v>
      </c>
      <c r="AJ65" s="40" t="s">
        <v>78</v>
      </c>
      <c r="AK65" s="40" t="s">
        <v>78</v>
      </c>
      <c r="AL65" s="40" t="s">
        <v>78</v>
      </c>
      <c r="AM65" t="str">
        <f>VLOOKUP($R65,武学奇术!$A:$ZZ,25,FALSE)</f>
        <v>伞</v>
      </c>
      <c r="AN65" s="26">
        <f>VLOOKUP($R65,武学奇术!$A:$ZZ,26,FALSE)</f>
        <v>2.01456</v>
      </c>
      <c r="AO65" s="27">
        <f>VLOOKUP($R65,武学奇术!$A:$ZZ,27,FALSE)*(1+IF(OR($AM65=$F$4,$AM65=$F$5),$B$22,0))</f>
        <v>837</v>
      </c>
      <c r="AP65" s="26">
        <f>VLOOKUP($R65,武学奇术!$A:$ZZ,28,FALSE)</f>
        <v>3.02184</v>
      </c>
      <c r="AQ65" s="27">
        <f>VLOOKUP($R65,武学奇术!$A:$ZZ,29,FALSE)*(1+IF(OR($AM65=$F$4,$AM65=$F$5),$B$22,0))</f>
        <v>453.6</v>
      </c>
      <c r="AR65" s="26" cm="1">
        <f t="array" ref="AR65">$G$3+IFERROR(VLOOKUP($AM65,$F$4:$G$7,2,FALSE),0)+VLOOKUP($R65,武学奇术!$A:$ZZ,2,FALSE)+SUM(_xlfn.XLOOKUP($S65:$AL65,增益!$A:$A,增益!$B:$B,0))</f>
        <v>0.6541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3636.6</v>
      </c>
      <c r="AU65" cm="1">
        <f t="array" ref="AU65">$E$10*(1+$AS65)+VLOOKUP($R65,武学奇术!$A:$ZZ,4,FALSE)+SUM(_xlfn.XLOOKUP($S65:$AL65,增益!$A:$A,增益!$D:$D,0))-$I$2</f>
        <v>3636.6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0.3425</v>
      </c>
      <c r="AW65" s="32" cm="1">
        <f t="array" ref="AW65">$G$10+VLOOKUP($R65,武学奇术!$A:$ZZ,7,FALSE)+SUM(_xlfn.XLOOKUP($S65:$AL65,增益!$A:$A,增益!$G:$G,0))</f>
        <v>0.028</v>
      </c>
      <c r="AX65" s="26" cm="1">
        <f t="array" ref="AX65">VLOOKUP($R65,武学奇术!$A:$ZZ,8,FALSE)+SUM(_xlfn.XLOOKUP($S65:$AL65,增益!$A:$A,增益!$H:$H,0))</f>
        <v>0</v>
      </c>
      <c r="AY65">
        <f t="shared" si="11"/>
        <v>0</v>
      </c>
      <c r="AZ65">
        <f t="shared" si="1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2" cm="1">
        <f t="array" ref="BB65">$G$11+VLOOKUP($R65,武学奇术!$A:$ZZ,10,FALSE)+SUM(_xlfn.XLOOKUP($S65:$AL65,增益!$A:$A,增益!$J:$J,0))</f>
        <v>0.1</v>
      </c>
      <c r="BC65">
        <f t="shared" si="13"/>
        <v>0</v>
      </c>
      <c r="BD65">
        <f t="shared" si="1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2" cm="1">
        <f t="array" ref="BF65">$G$12+VLOOKUP($R65,武学奇术!$A:$ZZ,12,FALSE)+SUM(_xlfn.XLOOKUP($S65:$AL65,增益!$A:$A,增益!$L:$L,0))</f>
        <v>0</v>
      </c>
      <c r="BG65">
        <f t="shared" si="15"/>
        <v>0</v>
      </c>
      <c r="BH65">
        <f t="shared" si="1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2" cm="1">
        <f t="array" ref="BJ65">$G$13+VLOOKUP($R65,武学奇术!$A:$ZZ,14,FALSE)+SUM(_xlfn.XLOOKUP($S65:$AL65,增益!$A:$A,增益!$N:$N,0))</f>
        <v>0</v>
      </c>
      <c r="BK65">
        <f t="shared" si="17"/>
        <v>571.2</v>
      </c>
      <c r="BL65">
        <f t="shared" si="18"/>
        <v>1627.8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2" cm="1">
        <f t="array" ref="BN65">$G$14+VLOOKUP($R65,武学奇术!$A:$ZZ,16,FALSE)+SUM(_xlfn.XLOOKUP($S65:$AL65,增益!$A:$A,增益!$P:$P,0))</f>
        <v>0.15</v>
      </c>
      <c r="BO65" s="26">
        <f>MIN(IF(VLOOKUP($R65,武学奇术!$A:$ZZ,23,FALSE)=1,100%,$B$8),100%)</f>
        <v>0.981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0.846</v>
      </c>
      <c r="BQ65" s="26" cm="1">
        <f t="array" ref="BQ65">1+$B$13+VLOOKUP($R65,武学奇术!$A:$ZZ,18,FALSE)+SUM(_xlfn.XLOOKUP($S65:$AL65,增益!$A:$A,增益!$R:$R,0))</f>
        <v>1.91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26" cm="1">
        <f t="array" ref="BS65">1+$B$14+VLOOKUP($R65,武学奇术!$A:$ZZ,20,FALSE)+SUM(_xlfn.XLOOKUP($S65:$AL65,增益!$A:$A,增益!$T:$T,0))</f>
        <v>1.35</v>
      </c>
      <c r="BT65" s="26">
        <f t="shared" si="19"/>
        <v>0.829926</v>
      </c>
      <c r="BU65" s="26">
        <f t="shared" si="20"/>
        <v>0.0599391</v>
      </c>
      <c r="BV65" s="26">
        <f>IF(VLOOKUP($R65,武学奇术!$A:$ZZ,22,FALSE)=1,0,(1-$BO65))*(1-$BR65)</f>
        <v>0.0172349</v>
      </c>
      <c r="BW65" s="26" cm="1">
        <f t="array" ref="BW65">SUM(_xlfn.XLOOKUP($S65:$AL65,增益!$A:$A,增益!$W:$W,0))+$I$5</f>
        <v>0.31</v>
      </c>
      <c r="BX65" s="26" cm="1">
        <f t="array" ref="BX65">SUM(_xlfn.XLOOKUP($S65:$AL65,增益!$A:$A,增益!$X:$X,0))</f>
        <v>0</v>
      </c>
    </row>
    <row r="66" spans="1:76">
      <c r="A66" s="4" t="s">
        <v>179</v>
      </c>
      <c r="B66" s="4">
        <v>1.3</v>
      </c>
      <c r="F66" s="39"/>
      <c r="K66">
        <f>$L66*VLOOKUP($R66,武学奇术!$A:$ZZ,31,FALSE)</f>
        <v>162626.220737364</v>
      </c>
      <c r="L66" s="38">
        <f t="shared" si="22"/>
        <v>154882.114987965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</f>
        <v>164155.387681092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</f>
        <v>131422.04365875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</f>
        <v>85945.2291524044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</f>
        <v>74540.7963353642</v>
      </c>
      <c r="Q66" s="39">
        <v>4</v>
      </c>
      <c r="R66" s="40" t="s">
        <v>77</v>
      </c>
      <c r="S66" s="40" t="s">
        <v>78</v>
      </c>
      <c r="T66" s="40" t="s">
        <v>102</v>
      </c>
      <c r="U66" s="40" t="s">
        <v>79</v>
      </c>
      <c r="V66" s="40" t="s">
        <v>88</v>
      </c>
      <c r="W66" s="40" t="s">
        <v>181</v>
      </c>
      <c r="X66" s="40" t="s">
        <v>106</v>
      </c>
      <c r="Y66" s="40" t="s">
        <v>91</v>
      </c>
      <c r="Z66" s="40" t="s">
        <v>185</v>
      </c>
      <c r="AA66" s="40" t="s">
        <v>186</v>
      </c>
      <c r="AB66" s="40" t="s">
        <v>78</v>
      </c>
      <c r="AC66" s="40" t="s">
        <v>92</v>
      </c>
      <c r="AD66" s="40" t="s">
        <v>78</v>
      </c>
      <c r="AE66" s="40" t="s">
        <v>83</v>
      </c>
      <c r="AF66" s="40" t="s">
        <v>84</v>
      </c>
      <c r="AG66" s="40" t="s">
        <v>85</v>
      </c>
      <c r="AH66" s="40" t="s">
        <v>78</v>
      </c>
      <c r="AI66" s="40" t="s">
        <v>78</v>
      </c>
      <c r="AJ66" s="40" t="s">
        <v>78</v>
      </c>
      <c r="AK66" s="40" t="s">
        <v>78</v>
      </c>
      <c r="AL66" s="40" t="s">
        <v>78</v>
      </c>
      <c r="AM66" t="str">
        <f>VLOOKUP($R66,武学奇术!$A:$ZZ,25,FALSE)</f>
        <v>群体奇术</v>
      </c>
      <c r="AN66" s="26">
        <f>VLOOKUP($R66,武学奇术!$A:$ZZ,26,FALSE)</f>
        <v>1.4904</v>
      </c>
      <c r="AO66" s="27">
        <f>VLOOKUP($R66,武学奇术!$A:$ZZ,27,FALSE)*(1+IF(OR($AM66=$F$4,$AM66=$F$5),$B$22,0))</f>
        <v>378</v>
      </c>
      <c r="AP66" s="26">
        <f>VLOOKUP($R66,武学奇术!$A:$ZZ,28,FALSE)</f>
        <v>2.2356</v>
      </c>
      <c r="AQ66" s="27">
        <f>VLOOKUP($R66,武学奇术!$A:$ZZ,29,FALSE)*(1+IF(OR($AM66=$F$4,$AM66=$F$5),$B$22,0))</f>
        <v>0</v>
      </c>
      <c r="AR66" s="26" cm="1">
        <f t="array" ref="AR66">$G$3+IFERROR(VLOOKUP($AM66,$F$4:$G$7,2,FALSE),0)+VLOOKUP($R66,武学奇术!$A:$ZZ,2,FALSE)+SUM(_xlfn.XLOOKUP($S66:$AL66,增益!$A:$A,增益!$B:$B,0))</f>
        <v>0.4837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3636.6</v>
      </c>
      <c r="AU66" cm="1">
        <f t="array" ref="AU66">$E$10*(1+$AS66)+VLOOKUP($R66,武学奇术!$A:$ZZ,4,FALSE)+SUM(_xlfn.XLOOKUP($S66:$AL66,增益!$A:$A,增益!$D:$D,0))-$I$2</f>
        <v>3636.6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0.3425</v>
      </c>
      <c r="AW66" s="32" cm="1">
        <f t="array" ref="AW66">$G$10+VLOOKUP($R66,武学奇术!$A:$ZZ,7,FALSE)+SUM(_xlfn.XLOOKUP($S66:$AL66,增益!$A:$A,增益!$G:$G,0))</f>
        <v>0.028</v>
      </c>
      <c r="AX66" s="26" cm="1">
        <f t="array" ref="AX66">VLOOKUP($R66,武学奇术!$A:$ZZ,8,FALSE)+SUM(_xlfn.XLOOKUP($S66:$AL66,增益!$A:$A,增益!$H:$H,0))</f>
        <v>0</v>
      </c>
      <c r="AY66">
        <f t="shared" si="11"/>
        <v>0</v>
      </c>
      <c r="AZ66">
        <f t="shared" si="12"/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2" cm="1">
        <f t="array" ref="BB66">$G$11+VLOOKUP($R66,武学奇术!$A:$ZZ,10,FALSE)+SUM(_xlfn.XLOOKUP($S66:$AL66,增益!$A:$A,增益!$J:$J,0))</f>
        <v>0.1</v>
      </c>
      <c r="BC66">
        <f t="shared" si="13"/>
        <v>0</v>
      </c>
      <c r="BD66">
        <f t="shared" si="14"/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2" cm="1">
        <f t="array" ref="BF66">$G$12+VLOOKUP($R66,武学奇术!$A:$ZZ,12,FALSE)+SUM(_xlfn.XLOOKUP($S66:$AL66,增益!$A:$A,增益!$L:$L,0))</f>
        <v>0</v>
      </c>
      <c r="BG66">
        <f t="shared" si="15"/>
        <v>0</v>
      </c>
      <c r="BH66">
        <f t="shared" si="16"/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2" cm="1">
        <f t="array" ref="BJ66">$G$13+VLOOKUP($R66,武学奇术!$A:$ZZ,14,FALSE)+SUM(_xlfn.XLOOKUP($S66:$AL66,增益!$A:$A,增益!$N:$N,0))</f>
        <v>0</v>
      </c>
      <c r="BK66">
        <f t="shared" si="17"/>
        <v>571.2</v>
      </c>
      <c r="BL66">
        <f t="shared" si="18"/>
        <v>1627.8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2" cm="1">
        <f t="array" ref="BN66">$G$14+VLOOKUP($R66,武学奇术!$A:$ZZ,16,FALSE)+SUM(_xlfn.XLOOKUP($S66:$AL66,增益!$A:$A,增益!$P:$P,0))</f>
        <v>0.15</v>
      </c>
      <c r="BO66" s="26">
        <f>MIN(IF(VLOOKUP($R66,武学奇术!$A:$ZZ,23,FALSE)=1,100%,$B$8),100%)</f>
        <v>0.981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26" cm="1">
        <f t="array" ref="BQ66">1+$B$13+VLOOKUP($R66,武学奇术!$A:$ZZ,18,FALSE)+SUM(_xlfn.XLOOKUP($S66:$AL66,增益!$A:$A,增益!$R:$R,0))</f>
        <v>1.91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6" cm="1">
        <f t="array" ref="BS66">1+$B$14+VLOOKUP($R66,武学奇术!$A:$ZZ,20,FALSE)+SUM(_xlfn.XLOOKUP($S66:$AL66,增益!$A:$A,增益!$T:$T,0))</f>
        <v>1.35</v>
      </c>
      <c r="BT66" s="26">
        <f t="shared" si="19"/>
        <v>0.829926</v>
      </c>
      <c r="BU66" s="26">
        <f t="shared" si="20"/>
        <v>0.0599391</v>
      </c>
      <c r="BV66" s="26">
        <f>IF(VLOOKUP($R66,武学奇术!$A:$ZZ,22,FALSE)=1,0,(1-$BO66))*(1-$BR66)</f>
        <v>0.0172349</v>
      </c>
      <c r="BW66" s="26" cm="1">
        <f t="array" ref="BW66">SUM(_xlfn.XLOOKUP($S66:$AL66,增益!$A:$A,增益!$W:$W,0))+$I$5</f>
        <v>0.31</v>
      </c>
      <c r="BX66" s="26" cm="1">
        <f t="array" ref="BX66">SUM(_xlfn.XLOOKUP($S66:$AL66,增益!$A:$A,增益!$X:$X,0))</f>
        <v>0</v>
      </c>
    </row>
    <row r="67" spans="1:76">
      <c r="A67" s="4" t="s">
        <v>161</v>
      </c>
      <c r="B67" s="4">
        <v>3.5</v>
      </c>
      <c r="K67">
        <f>$L67*VLOOKUP($R67,武学奇术!$A:$ZZ,31,FALSE)</f>
        <v>66534.2045097</v>
      </c>
      <c r="L67" s="38">
        <f t="shared" si="22"/>
        <v>63365.9090568572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</f>
        <v>67202.5171893621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</f>
        <v>53299.3283628572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</f>
        <v>35184.563973488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</f>
        <v>30888.1439744892</v>
      </c>
      <c r="Q67" s="39">
        <v>1</v>
      </c>
      <c r="R67" s="40" t="s">
        <v>167</v>
      </c>
      <c r="S67" s="40" t="s">
        <v>78</v>
      </c>
      <c r="T67" s="40" t="s">
        <v>102</v>
      </c>
      <c r="U67" s="40" t="s">
        <v>79</v>
      </c>
      <c r="V67" s="40" t="s">
        <v>88</v>
      </c>
      <c r="W67" s="40" t="s">
        <v>181</v>
      </c>
      <c r="X67" s="40" t="s">
        <v>106</v>
      </c>
      <c r="Y67" s="40" t="s">
        <v>91</v>
      </c>
      <c r="Z67" s="40" t="s">
        <v>185</v>
      </c>
      <c r="AA67" s="40" t="s">
        <v>186</v>
      </c>
      <c r="AB67" s="40" t="s">
        <v>78</v>
      </c>
      <c r="AC67" s="40" t="s">
        <v>92</v>
      </c>
      <c r="AD67" s="40" t="s">
        <v>187</v>
      </c>
      <c r="AE67" s="40" t="s">
        <v>83</v>
      </c>
      <c r="AF67" s="40" t="s">
        <v>84</v>
      </c>
      <c r="AG67" s="40" t="s">
        <v>85</v>
      </c>
      <c r="AH67" s="40" t="s">
        <v>78</v>
      </c>
      <c r="AI67" s="40" t="s">
        <v>78</v>
      </c>
      <c r="AJ67" s="40" t="s">
        <v>78</v>
      </c>
      <c r="AK67" s="40" t="s">
        <v>78</v>
      </c>
      <c r="AL67" s="40" t="s">
        <v>78</v>
      </c>
      <c r="AM67" t="str">
        <f>VLOOKUP($R67,武学奇术!$A:$ZZ,25,FALSE)</f>
        <v>伞</v>
      </c>
      <c r="AN67" s="26">
        <f>VLOOKUP($R67,武学奇术!$A:$ZZ,26,FALSE)</f>
        <v>2.01456</v>
      </c>
      <c r="AO67" s="27">
        <f>VLOOKUP($R67,武学奇术!$A:$ZZ,27,FALSE)*(1+IF(OR($AM67=$F$4,$AM67=$F$5),$B$22,0))</f>
        <v>837</v>
      </c>
      <c r="AP67" s="26">
        <f>VLOOKUP($R67,武学奇术!$A:$ZZ,28,FALSE)</f>
        <v>3.02184</v>
      </c>
      <c r="AQ67" s="27">
        <f>VLOOKUP($R67,武学奇术!$A:$ZZ,29,FALSE)*(1+IF(OR($AM67=$F$4,$AM67=$F$5),$B$22,0))</f>
        <v>453.6</v>
      </c>
      <c r="AR67" s="26" cm="1">
        <f t="array" ref="AR67">$G$3+IFERROR(VLOOKUP($AM67,$F$4:$G$7,2,FALSE),0)+VLOOKUP($R67,武学奇术!$A:$ZZ,2,FALSE)+SUM(_xlfn.XLOOKUP($S67:$AL67,增益!$A:$A,增益!$B:$B,0))</f>
        <v>0.6541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3636.6</v>
      </c>
      <c r="AU67" cm="1">
        <f t="array" ref="AU67">$E$10*(1+$AS67)+VLOOKUP($R67,武学奇术!$A:$ZZ,4,FALSE)+SUM(_xlfn.XLOOKUP($S67:$AL67,增益!$A:$A,增益!$D:$D,0))-$I$2</f>
        <v>3636.6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0.3425</v>
      </c>
      <c r="AW67" s="32" cm="1">
        <f t="array" ref="AW67">$G$10+VLOOKUP($R67,武学奇术!$A:$ZZ,7,FALSE)+SUM(_xlfn.XLOOKUP($S67:$AL67,增益!$A:$A,增益!$G:$G,0))</f>
        <v>0.028</v>
      </c>
      <c r="AX67" s="26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2" cm="1">
        <f t="array" ref="BB67">$G$11+VLOOKUP($R67,武学奇术!$A:$ZZ,10,FALSE)+SUM(_xlfn.XLOOKUP($S67:$AL67,增益!$A:$A,增益!$J:$J,0))</f>
        <v>0.1</v>
      </c>
      <c r="BC67">
        <f t="shared" ref="BC67:BC98" si="25">$D$12*(1+$AX67)</f>
        <v>0</v>
      </c>
      <c r="BD67">
        <f t="shared" ref="BD67:BD98" si="26">$E$12*(1+$AX67)</f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2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2" cm="1">
        <f t="array" ref="BJ67">$G$13+VLOOKUP($R67,武学奇术!$A:$ZZ,14,FALSE)+SUM(_xlfn.XLOOKUP($S67:$AL67,增益!$A:$A,增益!$N:$N,0))</f>
        <v>0</v>
      </c>
      <c r="BK67">
        <f t="shared" ref="BK67:BK98" si="29">$D$14*(1+$AX67)</f>
        <v>571.2</v>
      </c>
      <c r="BL67">
        <f t="shared" ref="BL67:BL98" si="30">$E$14*(1+$AX67)</f>
        <v>1627.8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2" cm="1">
        <f t="array" ref="BN67">$G$14+VLOOKUP($R67,武学奇术!$A:$ZZ,16,FALSE)+SUM(_xlfn.XLOOKUP($S67:$AL67,增益!$A:$A,增益!$P:$P,0))</f>
        <v>0.15</v>
      </c>
      <c r="BO67" s="26">
        <f>MIN(IF(VLOOKUP($R67,武学奇术!$A:$ZZ,23,FALSE)=1,100%,$B$8),100%)</f>
        <v>0.981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26" cm="1">
        <f t="array" ref="BQ67">1+$B$13+VLOOKUP($R67,武学奇术!$A:$ZZ,18,FALSE)+SUM(_xlfn.XLOOKUP($S67:$AL67,增益!$A:$A,增益!$R:$R,0))</f>
        <v>1.91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6" cm="1">
        <f t="array" ref="BS67">1+$B$14+VLOOKUP($R67,武学奇术!$A:$ZZ,20,FALSE)+SUM(_xlfn.XLOOKUP($S67:$AL67,增益!$A:$A,增益!$T:$T,0))</f>
        <v>1.35</v>
      </c>
      <c r="BT67" s="26">
        <f t="shared" ref="BT67:BT98" si="31">MIN((1-BR67)*BO67,BO67*BP67)</f>
        <v>0.829926</v>
      </c>
      <c r="BU67" s="26">
        <f t="shared" ref="BU67:BU98" si="32">1-BR67-BT67-BV67</f>
        <v>0.0599391</v>
      </c>
      <c r="BV67" s="26">
        <f>IF(VLOOKUP($R67,武学奇术!$A:$ZZ,22,FALSE)=1,0,(1-$BO67))*(1-$BR67)</f>
        <v>0.0172349</v>
      </c>
      <c r="BW67" s="26" cm="1">
        <f t="array" ref="BW67">SUM(_xlfn.XLOOKUP($S67:$AL67,增益!$A:$A,增益!$W:$W,0))+$I$5</f>
        <v>0.31</v>
      </c>
      <c r="BX67" s="26" cm="1">
        <f t="array" ref="BX67">SUM(_xlfn.XLOOKUP($S67:$AL67,增益!$A:$A,增益!$X:$X,0))</f>
        <v>0</v>
      </c>
    </row>
    <row r="68" spans="1:76">
      <c r="A68" s="4" t="s">
        <v>180</v>
      </c>
      <c r="B68" s="88">
        <v>0.1</v>
      </c>
      <c r="D68" s="39" t="s">
        <v>161</v>
      </c>
      <c r="K68">
        <f>$L68*VLOOKUP($R68,武学奇术!$A:$ZZ,31,FALSE)</f>
        <v>17546.3150920419</v>
      </c>
      <c r="L68" s="38">
        <f t="shared" si="22"/>
        <v>16710.7762781352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</f>
        <v>17704.3175936115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</f>
        <v>14256.2341913425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</f>
        <v>9269.27622702175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</f>
        <v>7978.37897897497</v>
      </c>
      <c r="Q68" s="39">
        <v>1</v>
      </c>
      <c r="R68" s="40" t="s">
        <v>170</v>
      </c>
      <c r="S68" s="40" t="s">
        <v>78</v>
      </c>
      <c r="T68" s="40" t="s">
        <v>102</v>
      </c>
      <c r="U68" s="40" t="s">
        <v>79</v>
      </c>
      <c r="V68" s="40" t="s">
        <v>88</v>
      </c>
      <c r="W68" s="40" t="s">
        <v>181</v>
      </c>
      <c r="X68" s="40" t="s">
        <v>106</v>
      </c>
      <c r="Y68" s="40" t="s">
        <v>91</v>
      </c>
      <c r="Z68" s="40" t="s">
        <v>185</v>
      </c>
      <c r="AA68" s="40" t="s">
        <v>186</v>
      </c>
      <c r="AB68" s="40" t="s">
        <v>78</v>
      </c>
      <c r="AC68" s="40" t="s">
        <v>92</v>
      </c>
      <c r="AD68" s="40" t="s">
        <v>187</v>
      </c>
      <c r="AE68" s="40" t="s">
        <v>83</v>
      </c>
      <c r="AF68" s="40" t="s">
        <v>84</v>
      </c>
      <c r="AG68" s="40" t="s">
        <v>85</v>
      </c>
      <c r="AH68" s="40" t="s">
        <v>78</v>
      </c>
      <c r="AI68" s="40" t="s">
        <v>78</v>
      </c>
      <c r="AJ68" s="40" t="s">
        <v>78</v>
      </c>
      <c r="AK68" s="40" t="s">
        <v>78</v>
      </c>
      <c r="AL68" s="40" t="s">
        <v>78</v>
      </c>
      <c r="AM68" t="str">
        <f>VLOOKUP($R68,武学奇术!$A:$ZZ,25,FALSE)</f>
        <v>伞</v>
      </c>
      <c r="AN68" s="26">
        <f>VLOOKUP($R68,武学奇术!$A:$ZZ,26,FALSE)</f>
        <v>0.54</v>
      </c>
      <c r="AO68" s="27">
        <f>VLOOKUP($R68,武学奇术!$A:$ZZ,27,FALSE)*(1+IF(OR($AM68=$F$4,$AM68=$F$5),$B$22,0))</f>
        <v>0</v>
      </c>
      <c r="AP68" s="26">
        <f>VLOOKUP($R68,武学奇术!$A:$ZZ,28,FALSE)</f>
        <v>0.81</v>
      </c>
      <c r="AQ68" s="27">
        <f>VLOOKUP($R68,武学奇术!$A:$ZZ,29,FALSE)*(1+IF(OR($AM68=$F$4,$AM68=$F$5),$B$22,0))</f>
        <v>0</v>
      </c>
      <c r="AR68" s="26" cm="1">
        <f t="array" ref="AR68">$G$3+IFERROR(VLOOKUP($AM68,$F$4:$G$7,2,FALSE),0)+VLOOKUP($R68,武学奇术!$A:$ZZ,2,FALSE)+SUM(_xlfn.XLOOKUP($S68:$AL68,增益!$A:$A,增益!$B:$B,0))</f>
        <v>0.8541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3636.6</v>
      </c>
      <c r="AU68" cm="1">
        <f t="array" ref="AU68">$E$10*(1+$AS68)+VLOOKUP($R68,武学奇术!$A:$ZZ,4,FALSE)+SUM(_xlfn.XLOOKUP($S68:$AL68,增益!$A:$A,增益!$D:$D,0))-$I$2</f>
        <v>3636.6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0.3425</v>
      </c>
      <c r="AW68" s="32" cm="1">
        <f t="array" ref="AW68">$G$10+VLOOKUP($R68,武学奇术!$A:$ZZ,7,FALSE)+SUM(_xlfn.XLOOKUP($S68:$AL68,增益!$A:$A,增益!$G:$G,0))</f>
        <v>0.028</v>
      </c>
      <c r="AX68" s="26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2" cm="1">
        <f t="array" ref="BB68">$G$11+VLOOKUP($R68,武学奇术!$A:$ZZ,10,FALSE)+SUM(_xlfn.XLOOKUP($S68:$AL68,增益!$A:$A,增益!$J:$J,0))</f>
        <v>0.1</v>
      </c>
      <c r="BC68">
        <f t="shared" si="25"/>
        <v>0</v>
      </c>
      <c r="BD68">
        <f t="shared" si="26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2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-0.14</v>
      </c>
      <c r="BJ68" s="32" cm="1">
        <f t="array" ref="BJ68">$G$13+VLOOKUP($R68,武学奇术!$A:$ZZ,14,FALSE)+SUM(_xlfn.XLOOKUP($S68:$AL68,增益!$A:$A,增益!$N:$N,0))</f>
        <v>0</v>
      </c>
      <c r="BK68">
        <f t="shared" si="29"/>
        <v>571.2</v>
      </c>
      <c r="BL68">
        <f t="shared" si="30"/>
        <v>1627.8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0.08</v>
      </c>
      <c r="BN68" s="32" cm="1">
        <f t="array" ref="BN68">$G$14+VLOOKUP($R68,武学奇术!$A:$ZZ,16,FALSE)+SUM(_xlfn.XLOOKUP($S68:$AL68,增益!$A:$A,增益!$P:$P,0))</f>
        <v>0.15</v>
      </c>
      <c r="BO68" s="26">
        <f>MIN(IF(VLOOKUP($R68,武学奇术!$A:$ZZ,23,FALSE)=1,100%,$B$8),100%)</f>
        <v>0.981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26" cm="1">
        <f t="array" ref="BQ68">1+$B$13+VLOOKUP($R68,武学奇术!$A:$ZZ,18,FALSE)+SUM(_xlfn.XLOOKUP($S68:$AL68,增益!$A:$A,增益!$R:$R,0))</f>
        <v>1.91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6" cm="1">
        <f t="array" ref="BS68">1+$B$14+VLOOKUP($R68,武学奇术!$A:$ZZ,20,FALSE)+SUM(_xlfn.XLOOKUP($S68:$AL68,增益!$A:$A,增益!$T:$T,0))</f>
        <v>1.35</v>
      </c>
      <c r="BT68" s="26">
        <f t="shared" si="31"/>
        <v>0.829926</v>
      </c>
      <c r="BU68" s="26">
        <f t="shared" si="32"/>
        <v>0.0599391</v>
      </c>
      <c r="BV68" s="26">
        <f>IF(VLOOKUP($R68,武学奇术!$A:$ZZ,22,FALSE)=1,0,(1-$BO68))*(1-$BR68)</f>
        <v>0.0172349</v>
      </c>
      <c r="BW68" s="26" cm="1">
        <f t="array" ref="BW68">SUM(_xlfn.XLOOKUP($S68:$AL68,增益!$A:$A,增益!$W:$W,0))+$I$5</f>
        <v>0.31</v>
      </c>
      <c r="BX68" s="26" cm="1">
        <f t="array" ref="BX68">SUM(_xlfn.XLOOKUP($S68:$AL68,增益!$A:$A,增益!$X:$X,0))</f>
        <v>0</v>
      </c>
    </row>
    <row r="69" spans="1:76">
      <c r="A69" s="4" t="s">
        <v>174</v>
      </c>
      <c r="B69" s="4">
        <v>1</v>
      </c>
      <c r="D69" s="39"/>
      <c r="K69">
        <f>$L69*VLOOKUP($R69,武学奇术!$A:$ZZ,31,FALSE)</f>
        <v>98342.5269410808</v>
      </c>
      <c r="L69" s="38">
        <f t="shared" si="22"/>
        <v>93659.549467696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</f>
        <v>99335.9508030052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</f>
        <v>78718.853191165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</f>
        <v>52008.3512057619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</f>
        <v>45706.4407884385</v>
      </c>
      <c r="Q69" s="39">
        <v>1</v>
      </c>
      <c r="R69" s="40" t="s">
        <v>115</v>
      </c>
      <c r="S69" s="40" t="s">
        <v>116</v>
      </c>
      <c r="T69" s="40" t="s">
        <v>102</v>
      </c>
      <c r="U69" s="40" t="s">
        <v>79</v>
      </c>
      <c r="V69" s="40" t="s">
        <v>88</v>
      </c>
      <c r="W69" s="40" t="s">
        <v>181</v>
      </c>
      <c r="X69" s="40" t="s">
        <v>106</v>
      </c>
      <c r="Y69" s="40" t="s">
        <v>91</v>
      </c>
      <c r="Z69" s="40" t="s">
        <v>185</v>
      </c>
      <c r="AA69" s="40" t="s">
        <v>186</v>
      </c>
      <c r="AB69" s="40" t="s">
        <v>78</v>
      </c>
      <c r="AC69" s="40" t="s">
        <v>92</v>
      </c>
      <c r="AD69" s="40" t="s">
        <v>187</v>
      </c>
      <c r="AE69" s="40" t="s">
        <v>83</v>
      </c>
      <c r="AF69" s="40" t="s">
        <v>84</v>
      </c>
      <c r="AG69" s="40" t="s">
        <v>85</v>
      </c>
      <c r="AH69" s="40" t="s">
        <v>78</v>
      </c>
      <c r="AI69" s="40" t="s">
        <v>78</v>
      </c>
      <c r="AJ69" s="40" t="s">
        <v>78</v>
      </c>
      <c r="AK69" s="40" t="s">
        <v>78</v>
      </c>
      <c r="AL69" s="40" t="s">
        <v>78</v>
      </c>
      <c r="AM69" t="str">
        <f>VLOOKUP($R69,武学奇术!$A:$ZZ,25,FALSE)</f>
        <v>伞</v>
      </c>
      <c r="AN69" s="26">
        <f>VLOOKUP($R69,武学奇术!$A:$ZZ,26,FALSE)</f>
        <v>1.8084</v>
      </c>
      <c r="AO69" s="27">
        <f>VLOOKUP($R69,武学奇术!$A:$ZZ,27,FALSE)*(1+IF(OR($AM69=$F$4,$AM69=$F$5),$B$22,0))</f>
        <v>750</v>
      </c>
      <c r="AP69" s="26">
        <f>VLOOKUP($R69,武学奇术!$A:$ZZ,28,FALSE)</f>
        <v>2.7126</v>
      </c>
      <c r="AQ69" s="27">
        <f>VLOOKUP($R69,武学奇术!$A:$ZZ,29,FALSE)*(1+IF(OR($AM69=$F$4,$AM69=$F$5),$B$22,0))</f>
        <v>408</v>
      </c>
      <c r="AR69" s="26" cm="1">
        <f t="array" ref="AR69">$G$3+IFERROR(VLOOKUP($AM69,$F$4:$G$7,2,FALSE),0)+VLOOKUP($R69,武学奇术!$A:$ZZ,2,FALSE)+SUM(_xlfn.XLOOKUP($S69:$AL69,增益!$A:$A,增益!$B:$B,0))</f>
        <v>0.8541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3636.6</v>
      </c>
      <c r="AU69" cm="1">
        <f t="array" ref="AU69">$E$10*(1+$AS69)+VLOOKUP($R69,武学奇术!$A:$ZZ,4,FALSE)+SUM(_xlfn.XLOOKUP($S69:$AL69,增益!$A:$A,增益!$D:$D,0))-$I$2</f>
        <v>3636.6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0.3425</v>
      </c>
      <c r="AW69" s="32" cm="1">
        <f t="array" ref="AW69">$G$10+VLOOKUP($R69,武学奇术!$A:$ZZ,7,FALSE)+SUM(_xlfn.XLOOKUP($S69:$AL69,增益!$A:$A,增益!$G:$G,0))</f>
        <v>0.148</v>
      </c>
      <c r="AX69" s="26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2" cm="1">
        <f t="array" ref="BB69">$G$11+VLOOKUP($R69,武学奇术!$A:$ZZ,10,FALSE)+SUM(_xlfn.XLOOKUP($S69:$AL69,增益!$A:$A,增益!$J:$J,0))</f>
        <v>0.1</v>
      </c>
      <c r="BC69">
        <f t="shared" si="25"/>
        <v>0</v>
      </c>
      <c r="BD69">
        <f t="shared" si="26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2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-0.14</v>
      </c>
      <c r="BJ69" s="32" cm="1">
        <f t="array" ref="BJ69">$G$13+VLOOKUP($R69,武学奇术!$A:$ZZ,14,FALSE)+SUM(_xlfn.XLOOKUP($S69:$AL69,增益!$A:$A,增益!$N:$N,0))</f>
        <v>0</v>
      </c>
      <c r="BK69">
        <f t="shared" si="29"/>
        <v>571.2</v>
      </c>
      <c r="BL69">
        <f t="shared" si="30"/>
        <v>1627.8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0.08</v>
      </c>
      <c r="BN69" s="32" cm="1">
        <f t="array" ref="BN69">$G$14+VLOOKUP($R69,武学奇术!$A:$ZZ,16,FALSE)+SUM(_xlfn.XLOOKUP($S69:$AL69,增益!$A:$A,增益!$P:$P,0))</f>
        <v>0.27</v>
      </c>
      <c r="BO69" s="26">
        <f>MIN(IF(VLOOKUP($R69,武学奇术!$A:$ZZ,23,FALSE)=1,100%,$B$8),100%)</f>
        <v>0.981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26" cm="1">
        <f t="array" ref="BQ69">1+$B$13+VLOOKUP($R69,武学奇术!$A:$ZZ,18,FALSE)+SUM(_xlfn.XLOOKUP($S69:$AL69,增益!$A:$A,增益!$R:$R,0))</f>
        <v>1.91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6" cm="1">
        <f t="array" ref="BS69">1+$B$14+VLOOKUP($R69,武学奇术!$A:$ZZ,20,FALSE)+SUM(_xlfn.XLOOKUP($S69:$AL69,增益!$A:$A,增益!$T:$T,0))</f>
        <v>1.35</v>
      </c>
      <c r="BT69" s="26">
        <f t="shared" si="31"/>
        <v>0.829926</v>
      </c>
      <c r="BU69" s="26">
        <f t="shared" si="32"/>
        <v>0.0599391</v>
      </c>
      <c r="BV69" s="26">
        <f>IF(VLOOKUP($R69,武学奇术!$A:$ZZ,22,FALSE)=1,0,(1-$BO69))*(1-$BR69)</f>
        <v>0.0172349</v>
      </c>
      <c r="BW69" s="26" cm="1">
        <f t="array" ref="BW69">SUM(_xlfn.XLOOKUP($S69:$AL69,增益!$A:$A,增益!$W:$W,0))+$I$5</f>
        <v>0.31</v>
      </c>
      <c r="BX69" s="26" cm="1">
        <f t="array" ref="BX69">SUM(_xlfn.XLOOKUP($S69:$AL69,增益!$A:$A,增益!$X:$X,0))</f>
        <v>0</v>
      </c>
    </row>
    <row r="70" spans="1:76">
      <c r="A70" s="4" t="s">
        <v>180</v>
      </c>
      <c r="B70" s="88">
        <v>0.1</v>
      </c>
      <c r="D70" s="39"/>
      <c r="K70">
        <f>$L70*VLOOKUP($R70,武学奇术!$A:$ZZ,31,FALSE)</f>
        <v>57121.5859242941</v>
      </c>
      <c r="L70" s="38">
        <f t="shared" si="22"/>
        <v>54401.5104040896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</f>
        <v>57639.7646477394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</f>
        <v>46369.0496842397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</f>
        <v>30177.8872501253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</f>
        <v>26008.3302897028</v>
      </c>
      <c r="Q70" s="39">
        <v>2</v>
      </c>
      <c r="R70" s="40" t="s">
        <v>119</v>
      </c>
      <c r="S70" s="40" t="s">
        <v>116</v>
      </c>
      <c r="T70" s="40" t="s">
        <v>102</v>
      </c>
      <c r="U70" s="40" t="s">
        <v>79</v>
      </c>
      <c r="V70" s="40" t="s">
        <v>88</v>
      </c>
      <c r="W70" s="40" t="s">
        <v>181</v>
      </c>
      <c r="X70" s="40" t="s">
        <v>106</v>
      </c>
      <c r="Y70" s="40" t="s">
        <v>91</v>
      </c>
      <c r="Z70" s="40" t="s">
        <v>185</v>
      </c>
      <c r="AA70" s="40" t="s">
        <v>186</v>
      </c>
      <c r="AB70" s="40" t="s">
        <v>78</v>
      </c>
      <c r="AC70" s="40" t="s">
        <v>92</v>
      </c>
      <c r="AD70" s="40" t="s">
        <v>187</v>
      </c>
      <c r="AE70" s="40" t="s">
        <v>83</v>
      </c>
      <c r="AF70" s="40" t="s">
        <v>84</v>
      </c>
      <c r="AG70" s="40" t="s">
        <v>85</v>
      </c>
      <c r="AH70" s="40" t="s">
        <v>78</v>
      </c>
      <c r="AI70" s="40" t="s">
        <v>78</v>
      </c>
      <c r="AJ70" s="40" t="s">
        <v>78</v>
      </c>
      <c r="AK70" s="40" t="s">
        <v>78</v>
      </c>
      <c r="AL70" s="40" t="s">
        <v>78</v>
      </c>
      <c r="AM70" t="str">
        <f>VLOOKUP($R70,武学奇术!$A:$ZZ,25,FALSE)</f>
        <v>伞</v>
      </c>
      <c r="AN70" s="26">
        <f>VLOOKUP($R70,武学奇术!$A:$ZZ,26,FALSE)</f>
        <v>0.54</v>
      </c>
      <c r="AO70" s="27">
        <f>VLOOKUP($R70,武学奇术!$A:$ZZ,27,FALSE)*(1+IF(OR($AM70=$F$4,$AM70=$F$5),$B$22,0))</f>
        <v>0</v>
      </c>
      <c r="AP70" s="26">
        <f>VLOOKUP($R70,武学奇术!$A:$ZZ,28,FALSE)</f>
        <v>0.81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1.0541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3636.6</v>
      </c>
      <c r="AU70" cm="1">
        <f t="array" ref="AU70">$E$10*(1+$AS70)+VLOOKUP($R70,武学奇术!$A:$ZZ,4,FALSE)+SUM(_xlfn.XLOOKUP($S70:$AL70,增益!$A:$A,增益!$D:$D,0))-$I$2</f>
        <v>3636.6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0.3425</v>
      </c>
      <c r="AW70" s="32" cm="1">
        <f t="array" ref="AW70">$G$10+VLOOKUP($R70,武学奇术!$A:$ZZ,7,FALSE)+SUM(_xlfn.XLOOKUP($S70:$AL70,增益!$A:$A,增益!$G:$G,0))</f>
        <v>0.148</v>
      </c>
      <c r="AX70" s="26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2" cm="1">
        <f t="array" ref="BB70">$G$11+VLOOKUP($R70,武学奇术!$A:$ZZ,10,FALSE)+SUM(_xlfn.XLOOKUP($S70:$AL70,增益!$A:$A,增益!$J:$J,0))</f>
        <v>0.1</v>
      </c>
      <c r="BC70">
        <f t="shared" si="25"/>
        <v>0</v>
      </c>
      <c r="BD70">
        <f t="shared" si="26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2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2" cm="1">
        <f t="array" ref="BJ70">$G$13+VLOOKUP($R70,武学奇术!$A:$ZZ,14,FALSE)+SUM(_xlfn.XLOOKUP($S70:$AL70,增益!$A:$A,增益!$N:$N,0))</f>
        <v>0</v>
      </c>
      <c r="BK70">
        <f t="shared" si="29"/>
        <v>571.2</v>
      </c>
      <c r="BL70">
        <f t="shared" si="30"/>
        <v>1627.8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2" cm="1">
        <f t="array" ref="BN70">$G$14+VLOOKUP($R70,武学奇术!$A:$ZZ,16,FALSE)+SUM(_xlfn.XLOOKUP($S70:$AL70,增益!$A:$A,增益!$P:$P,0))</f>
        <v>0.27</v>
      </c>
      <c r="BO70" s="26">
        <f>MIN(IF(VLOOKUP($R70,武学奇术!$A:$ZZ,23,FALSE)=1,100%,$B$8),100%)</f>
        <v>0.981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26" cm="1">
        <f t="array" ref="BQ70">1+$B$13+VLOOKUP($R70,武学奇术!$A:$ZZ,18,FALSE)+SUM(_xlfn.XLOOKUP($S70:$AL70,增益!$A:$A,增益!$R:$R,0))</f>
        <v>1.91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6" cm="1">
        <f t="array" ref="BS70">1+$B$14+VLOOKUP($R70,武学奇术!$A:$ZZ,20,FALSE)+SUM(_xlfn.XLOOKUP($S70:$AL70,增益!$A:$A,增益!$T:$T,0))</f>
        <v>1.35</v>
      </c>
      <c r="BT70" s="26">
        <f t="shared" si="31"/>
        <v>0.829926</v>
      </c>
      <c r="BU70" s="26">
        <f t="shared" si="32"/>
        <v>0.0599391</v>
      </c>
      <c r="BV70" s="26">
        <f>IF(VLOOKUP($R70,武学奇术!$A:$ZZ,22,FALSE)=1,0,(1-$BO70))*(1-$BR70)</f>
        <v>0.0172349</v>
      </c>
      <c r="BW70" s="26" cm="1">
        <f t="array" ref="BW70">SUM(_xlfn.XLOOKUP($S70:$AL70,增益!$A:$A,增益!$W:$W,0))+$I$5</f>
        <v>0.31</v>
      </c>
      <c r="BX70" s="26" cm="1">
        <f t="array" ref="BX70">SUM(_xlfn.XLOOKUP($S70:$AL70,增益!$A:$A,增益!$X:$X,0))</f>
        <v>0</v>
      </c>
    </row>
    <row r="71" spans="1:76">
      <c r="A71" s="4" t="s">
        <v>179</v>
      </c>
      <c r="B71" s="4">
        <v>1.3</v>
      </c>
      <c r="C71" s="39" t="s">
        <v>188</v>
      </c>
      <c r="D71" s="39"/>
      <c r="F71" s="39" t="s">
        <v>165</v>
      </c>
      <c r="K71">
        <f>$L71*VLOOKUP($R71,武学奇术!$A:$ZZ,31,FALSE)</f>
        <v>101061.801162697</v>
      </c>
      <c r="L71" s="38">
        <f t="shared" si="22"/>
        <v>96249.3344406636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</f>
        <v>102456.451875351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</f>
        <v>78718.853191165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</f>
        <v>52008.3512057619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</f>
        <v>45706.4407884385</v>
      </c>
      <c r="Q71" s="39">
        <v>1</v>
      </c>
      <c r="R71" s="40" t="s">
        <v>115</v>
      </c>
      <c r="S71" s="40" t="s">
        <v>116</v>
      </c>
      <c r="T71" s="40" t="s">
        <v>102</v>
      </c>
      <c r="U71" s="40" t="s">
        <v>79</v>
      </c>
      <c r="V71" s="40" t="s">
        <v>88</v>
      </c>
      <c r="W71" s="40" t="s">
        <v>181</v>
      </c>
      <c r="X71" s="40" t="s">
        <v>106</v>
      </c>
      <c r="Y71" s="40" t="s">
        <v>91</v>
      </c>
      <c r="Z71" s="40" t="s">
        <v>185</v>
      </c>
      <c r="AA71" s="40" t="s">
        <v>186</v>
      </c>
      <c r="AB71" s="40" t="s">
        <v>122</v>
      </c>
      <c r="AC71" s="40" t="s">
        <v>98</v>
      </c>
      <c r="AD71" s="40" t="s">
        <v>187</v>
      </c>
      <c r="AE71" s="40" t="s">
        <v>83</v>
      </c>
      <c r="AF71" s="40" t="s">
        <v>84</v>
      </c>
      <c r="AG71" s="40" t="s">
        <v>85</v>
      </c>
      <c r="AH71" s="40" t="s">
        <v>78</v>
      </c>
      <c r="AI71" s="40" t="s">
        <v>78</v>
      </c>
      <c r="AJ71" s="40" t="s">
        <v>78</v>
      </c>
      <c r="AK71" s="40" t="s">
        <v>78</v>
      </c>
      <c r="AL71" s="40" t="s">
        <v>78</v>
      </c>
      <c r="AM71" t="str">
        <f>VLOOKUP($R71,武学奇术!$A:$ZZ,25,FALSE)</f>
        <v>伞</v>
      </c>
      <c r="AN71" s="26">
        <f>VLOOKUP($R71,武学奇术!$A:$ZZ,26,FALSE)</f>
        <v>1.8084</v>
      </c>
      <c r="AO71" s="27">
        <f>VLOOKUP($R71,武学奇术!$A:$ZZ,27,FALSE)*(1+IF(OR($AM71=$F$4,$AM71=$F$5),$B$22,0))</f>
        <v>750</v>
      </c>
      <c r="AP71" s="26">
        <f>VLOOKUP($R71,武学奇术!$A:$ZZ,28,FALSE)</f>
        <v>2.7126</v>
      </c>
      <c r="AQ71" s="27">
        <f>VLOOKUP($R71,武学奇术!$A:$ZZ,29,FALSE)*(1+IF(OR($AM71=$F$4,$AM71=$F$5),$B$22,0))</f>
        <v>408</v>
      </c>
      <c r="AR71" s="26" cm="1">
        <f t="array" ref="AR71">$G$3+IFERROR(VLOOKUP($AM71,$F$4:$G$7,2,FALSE),0)+VLOOKUP($R71,武学奇术!$A:$ZZ,2,FALSE)+SUM(_xlfn.XLOOKUP($S71:$AL71,增益!$A:$A,增益!$B:$B,0))</f>
        <v>0.8541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3636.6</v>
      </c>
      <c r="AU71" cm="1">
        <f t="array" ref="AU71">$E$10*(1+$AS71)+VLOOKUP($R71,武学奇术!$A:$ZZ,4,FALSE)+SUM(_xlfn.XLOOKUP($S71:$AL71,增益!$A:$A,增益!$D:$D,0))-$I$2</f>
        <v>3636.6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0.3425</v>
      </c>
      <c r="AW71" s="32" cm="1">
        <f t="array" ref="AW71">$G$10+VLOOKUP($R71,武学奇术!$A:$ZZ,7,FALSE)+SUM(_xlfn.XLOOKUP($S71:$AL71,增益!$A:$A,增益!$G:$G,0))</f>
        <v>0.148</v>
      </c>
      <c r="AX71" s="26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2" cm="1">
        <f t="array" ref="BB71">$G$11+VLOOKUP($R71,武学奇术!$A:$ZZ,10,FALSE)+SUM(_xlfn.XLOOKUP($S71:$AL71,增益!$A:$A,增益!$J:$J,0))</f>
        <v>0.1</v>
      </c>
      <c r="BC71">
        <f t="shared" si="25"/>
        <v>0</v>
      </c>
      <c r="BD71">
        <f t="shared" si="26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2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2" cm="1">
        <f t="array" ref="BJ71">$G$13+VLOOKUP($R71,武学奇术!$A:$ZZ,14,FALSE)+SUM(_xlfn.XLOOKUP($S71:$AL71,增益!$A:$A,增益!$N:$N,0))</f>
        <v>0</v>
      </c>
      <c r="BK71">
        <f t="shared" si="29"/>
        <v>571.2</v>
      </c>
      <c r="BL71">
        <f t="shared" si="30"/>
        <v>1627.8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2" cm="1">
        <f t="array" ref="BN71">$G$14+VLOOKUP($R71,武学奇术!$A:$ZZ,16,FALSE)+SUM(_xlfn.XLOOKUP($S71:$AL71,增益!$A:$A,增益!$P:$P,0))</f>
        <v>0.27</v>
      </c>
      <c r="BO71" s="26">
        <f>MIN(IF(VLOOKUP($R71,武学奇术!$A:$ZZ,23,FALSE)=1,100%,$B$8),100%)</f>
        <v>0.981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26" cm="1">
        <f t="array" ref="BQ71">1+$B$13+VLOOKUP($R71,武学奇术!$A:$ZZ,18,FALSE)+SUM(_xlfn.XLOOKUP($S71:$AL71,增益!$A:$A,增益!$R:$R,0))</f>
        <v>1.97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6" cm="1">
        <f t="array" ref="BS71">1+$B$14+VLOOKUP($R71,武学奇术!$A:$ZZ,20,FALSE)+SUM(_xlfn.XLOOKUP($S71:$AL71,增益!$A:$A,增益!$T:$T,0))</f>
        <v>1.35</v>
      </c>
      <c r="BT71" s="26">
        <f t="shared" si="31"/>
        <v>0.829926</v>
      </c>
      <c r="BU71" s="26">
        <f t="shared" si="32"/>
        <v>0.0599391</v>
      </c>
      <c r="BV71" s="26">
        <f>IF(VLOOKUP($R71,武学奇术!$A:$ZZ,22,FALSE)=1,0,(1-$BO71))*(1-$BR71)</f>
        <v>0.0172349</v>
      </c>
      <c r="BW71" s="26" cm="1">
        <f t="array" ref="BW71">SUM(_xlfn.XLOOKUP($S71:$AL71,增益!$A:$A,增益!$W:$W,0))+$I$5</f>
        <v>0.31</v>
      </c>
      <c r="BX71" s="26" cm="1">
        <f t="array" ref="BX71">SUM(_xlfn.XLOOKUP($S71:$AL71,增益!$A:$A,增益!$X:$X,0))</f>
        <v>0</v>
      </c>
    </row>
    <row r="72" spans="1:76">
      <c r="A72" s="4" t="s">
        <v>182</v>
      </c>
      <c r="B72" s="4">
        <v>0.3</v>
      </c>
      <c r="C72" s="39"/>
      <c r="D72" s="39"/>
      <c r="F72" s="39"/>
      <c r="K72">
        <f>$L72*VLOOKUP($R72,武学奇术!$A:$ZZ,31,FALSE)</f>
        <v>58699.4469592928</v>
      </c>
      <c r="L72" s="38">
        <f t="shared" si="22"/>
        <v>55904.2351993265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</f>
        <v>59450.4378827469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</f>
        <v>46369.0496842397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</f>
        <v>30177.8872501253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</f>
        <v>26008.3302897028</v>
      </c>
      <c r="Q72" s="39">
        <v>2</v>
      </c>
      <c r="R72" s="40" t="s">
        <v>119</v>
      </c>
      <c r="S72" s="40" t="s">
        <v>116</v>
      </c>
      <c r="T72" s="40" t="s">
        <v>102</v>
      </c>
      <c r="U72" s="40" t="s">
        <v>79</v>
      </c>
      <c r="V72" s="40" t="s">
        <v>88</v>
      </c>
      <c r="W72" s="40" t="s">
        <v>181</v>
      </c>
      <c r="X72" s="40" t="s">
        <v>106</v>
      </c>
      <c r="Y72" s="40" t="s">
        <v>91</v>
      </c>
      <c r="Z72" s="40" t="s">
        <v>185</v>
      </c>
      <c r="AA72" s="40" t="s">
        <v>186</v>
      </c>
      <c r="AB72" s="40" t="s">
        <v>122</v>
      </c>
      <c r="AC72" s="40" t="s">
        <v>98</v>
      </c>
      <c r="AD72" s="40" t="s">
        <v>187</v>
      </c>
      <c r="AE72" s="40" t="s">
        <v>83</v>
      </c>
      <c r="AF72" s="40" t="s">
        <v>84</v>
      </c>
      <c r="AG72" s="40" t="s">
        <v>85</v>
      </c>
      <c r="AH72" s="40" t="s">
        <v>78</v>
      </c>
      <c r="AI72" s="40" t="s">
        <v>78</v>
      </c>
      <c r="AJ72" s="40" t="s">
        <v>78</v>
      </c>
      <c r="AK72" s="40" t="s">
        <v>78</v>
      </c>
      <c r="AL72" s="40" t="s">
        <v>78</v>
      </c>
      <c r="AM72" t="str">
        <f>VLOOKUP($R72,武学奇术!$A:$ZZ,25,FALSE)</f>
        <v>伞</v>
      </c>
      <c r="AN72" s="26">
        <f>VLOOKUP($R72,武学奇术!$A:$ZZ,26,FALSE)</f>
        <v>0.54</v>
      </c>
      <c r="AO72" s="27">
        <f>VLOOKUP($R72,武学奇术!$A:$ZZ,27,FALSE)*(1+IF(OR($AM72=$F$4,$AM72=$F$5),$B$22,0))</f>
        <v>0</v>
      </c>
      <c r="AP72" s="26">
        <f>VLOOKUP($R72,武学奇术!$A:$ZZ,28,FALSE)</f>
        <v>0.81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1.0541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3636.6</v>
      </c>
      <c r="AU72" cm="1">
        <f t="array" ref="AU72">$E$10*(1+$AS72)+VLOOKUP($R72,武学奇术!$A:$ZZ,4,FALSE)+SUM(_xlfn.XLOOKUP($S72:$AL72,增益!$A:$A,增益!$D:$D,0))-$I$2</f>
        <v>3636.6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0.3425</v>
      </c>
      <c r="AW72" s="32" cm="1">
        <f t="array" ref="AW72">$G$10+VLOOKUP($R72,武学奇术!$A:$ZZ,7,FALSE)+SUM(_xlfn.XLOOKUP($S72:$AL72,增益!$A:$A,增益!$G:$G,0))</f>
        <v>0.148</v>
      </c>
      <c r="AX72" s="26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2" cm="1">
        <f t="array" ref="BB72">$G$11+VLOOKUP($R72,武学奇术!$A:$ZZ,10,FALSE)+SUM(_xlfn.XLOOKUP($S72:$AL72,增益!$A:$A,增益!$J:$J,0))</f>
        <v>0.1</v>
      </c>
      <c r="BC72">
        <f t="shared" si="25"/>
        <v>0</v>
      </c>
      <c r="BD72">
        <f t="shared" si="26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2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2" cm="1">
        <f t="array" ref="BJ72">$G$13+VLOOKUP($R72,武学奇术!$A:$ZZ,14,FALSE)+SUM(_xlfn.XLOOKUP($S72:$AL72,增益!$A:$A,增益!$N:$N,0))</f>
        <v>0</v>
      </c>
      <c r="BK72">
        <f t="shared" si="29"/>
        <v>571.2</v>
      </c>
      <c r="BL72">
        <f t="shared" si="30"/>
        <v>1627.8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2" cm="1">
        <f t="array" ref="BN72">$G$14+VLOOKUP($R72,武学奇术!$A:$ZZ,16,FALSE)+SUM(_xlfn.XLOOKUP($S72:$AL72,增益!$A:$A,增益!$P:$P,0))</f>
        <v>0.27</v>
      </c>
      <c r="BO72" s="26">
        <f>MIN(IF(VLOOKUP($R72,武学奇术!$A:$ZZ,23,FALSE)=1,100%,$B$8),100%)</f>
        <v>0.981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26" cm="1">
        <f t="array" ref="BQ72">1+$B$13+VLOOKUP($R72,武学奇术!$A:$ZZ,18,FALSE)+SUM(_xlfn.XLOOKUP($S72:$AL72,增益!$A:$A,增益!$R:$R,0))</f>
        <v>1.97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6" cm="1">
        <f t="array" ref="BS72">1+$B$14+VLOOKUP($R72,武学奇术!$A:$ZZ,20,FALSE)+SUM(_xlfn.XLOOKUP($S72:$AL72,增益!$A:$A,增益!$T:$T,0))</f>
        <v>1.35</v>
      </c>
      <c r="BT72" s="26">
        <f t="shared" si="31"/>
        <v>0.829926</v>
      </c>
      <c r="BU72" s="26">
        <f t="shared" si="32"/>
        <v>0.0599391</v>
      </c>
      <c r="BV72" s="26">
        <f>IF(VLOOKUP($R72,武学奇术!$A:$ZZ,22,FALSE)=1,0,(1-$BO72))*(1-$BR72)</f>
        <v>0.0172349</v>
      </c>
      <c r="BW72" s="26" cm="1">
        <f t="array" ref="BW72">SUM(_xlfn.XLOOKUP($S72:$AL72,增益!$A:$A,增益!$W:$W,0))+$I$5</f>
        <v>0.31</v>
      </c>
      <c r="BX72" s="26" cm="1">
        <f t="array" ref="BX72">SUM(_xlfn.XLOOKUP($S72:$AL72,增益!$A:$A,增益!$X:$X,0))</f>
        <v>0</v>
      </c>
    </row>
    <row r="73" spans="1:76">
      <c r="A73" s="4" t="s">
        <v>169</v>
      </c>
      <c r="B73" s="88">
        <v>1</v>
      </c>
      <c r="C73" s="39"/>
      <c r="D73" s="39"/>
      <c r="F73" s="39"/>
      <c r="K73">
        <f>$L73*VLOOKUP($R73,武学奇术!$A:$ZZ,31,FALSE)</f>
        <v>103781.075384313</v>
      </c>
      <c r="L73" s="38">
        <f t="shared" si="22"/>
        <v>98839.1194136312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</f>
        <v>105576.952947697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</f>
        <v>78718.853191165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</f>
        <v>52008.3512057619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</f>
        <v>45706.4407884385</v>
      </c>
      <c r="Q73" s="39">
        <v>1</v>
      </c>
      <c r="R73" s="40" t="s">
        <v>115</v>
      </c>
      <c r="S73" s="40" t="s">
        <v>116</v>
      </c>
      <c r="T73" s="40" t="s">
        <v>102</v>
      </c>
      <c r="U73" s="40" t="s">
        <v>79</v>
      </c>
      <c r="V73" s="40" t="s">
        <v>88</v>
      </c>
      <c r="W73" s="40" t="s">
        <v>181</v>
      </c>
      <c r="X73" s="40" t="s">
        <v>106</v>
      </c>
      <c r="Y73" s="40" t="s">
        <v>91</v>
      </c>
      <c r="Z73" s="40" t="s">
        <v>185</v>
      </c>
      <c r="AA73" s="40" t="s">
        <v>186</v>
      </c>
      <c r="AB73" s="40" t="s">
        <v>127</v>
      </c>
      <c r="AC73" s="40" t="s">
        <v>98</v>
      </c>
      <c r="AD73" s="40" t="s">
        <v>187</v>
      </c>
      <c r="AE73" s="40" t="s">
        <v>83</v>
      </c>
      <c r="AF73" s="40" t="s">
        <v>84</v>
      </c>
      <c r="AG73" s="40" t="s">
        <v>85</v>
      </c>
      <c r="AH73" s="40" t="s">
        <v>78</v>
      </c>
      <c r="AI73" s="40" t="s">
        <v>78</v>
      </c>
      <c r="AJ73" s="40" t="s">
        <v>78</v>
      </c>
      <c r="AK73" s="40" t="s">
        <v>78</v>
      </c>
      <c r="AL73" s="40" t="s">
        <v>78</v>
      </c>
      <c r="AM73" t="str">
        <f>VLOOKUP($R73,武学奇术!$A:$ZZ,25,FALSE)</f>
        <v>伞</v>
      </c>
      <c r="AN73" s="26">
        <f>VLOOKUP($R73,武学奇术!$A:$ZZ,26,FALSE)</f>
        <v>1.8084</v>
      </c>
      <c r="AO73" s="27">
        <f>VLOOKUP($R73,武学奇术!$A:$ZZ,27,FALSE)*(1+IF(OR($AM73=$F$4,$AM73=$F$5),$B$22,0))</f>
        <v>750</v>
      </c>
      <c r="AP73" s="26">
        <f>VLOOKUP($R73,武学奇术!$A:$ZZ,28,FALSE)</f>
        <v>2.7126</v>
      </c>
      <c r="AQ73" s="27">
        <f>VLOOKUP($R73,武学奇术!$A:$ZZ,29,FALSE)*(1+IF(OR($AM73=$F$4,$AM73=$F$5),$B$22,0))</f>
        <v>408</v>
      </c>
      <c r="AR73" s="26" cm="1">
        <f t="array" ref="AR73">$G$3+IFERROR(VLOOKUP($AM73,$F$4:$G$7,2,FALSE),0)+VLOOKUP($R73,武学奇术!$A:$ZZ,2,FALSE)+SUM(_xlfn.XLOOKUP($S73:$AL73,增益!$A:$A,增益!$B:$B,0))</f>
        <v>0.8541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3636.6</v>
      </c>
      <c r="AU73" cm="1">
        <f t="array" ref="AU73">$E$10*(1+$AS73)+VLOOKUP($R73,武学奇术!$A:$ZZ,4,FALSE)+SUM(_xlfn.XLOOKUP($S73:$AL73,增益!$A:$A,增益!$D:$D,0))-$I$2</f>
        <v>3636.6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0.3425</v>
      </c>
      <c r="AW73" s="32" cm="1">
        <f t="array" ref="AW73">$G$10+VLOOKUP($R73,武学奇术!$A:$ZZ,7,FALSE)+SUM(_xlfn.XLOOKUP($S73:$AL73,增益!$A:$A,增益!$G:$G,0))</f>
        <v>0.148</v>
      </c>
      <c r="AX73" s="26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2" cm="1">
        <f t="array" ref="BB73">$G$11+VLOOKUP($R73,武学奇术!$A:$ZZ,10,FALSE)+SUM(_xlfn.XLOOKUP($S73:$AL73,增益!$A:$A,增益!$J:$J,0))</f>
        <v>0.1</v>
      </c>
      <c r="BC73">
        <f t="shared" si="25"/>
        <v>0</v>
      </c>
      <c r="BD73">
        <f t="shared" si="26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2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2" cm="1">
        <f t="array" ref="BJ73">$G$13+VLOOKUP($R73,武学奇术!$A:$ZZ,14,FALSE)+SUM(_xlfn.XLOOKUP($S73:$AL73,增益!$A:$A,增益!$N:$N,0))</f>
        <v>0</v>
      </c>
      <c r="BK73">
        <f t="shared" si="29"/>
        <v>571.2</v>
      </c>
      <c r="BL73">
        <f t="shared" si="30"/>
        <v>1627.8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2" cm="1">
        <f t="array" ref="BN73">$G$14+VLOOKUP($R73,武学奇术!$A:$ZZ,16,FALSE)+SUM(_xlfn.XLOOKUP($S73:$AL73,增益!$A:$A,增益!$P:$P,0))</f>
        <v>0.27</v>
      </c>
      <c r="BO73" s="26">
        <f>MIN(IF(VLOOKUP($R73,武学奇术!$A:$ZZ,23,FALSE)=1,100%,$B$8),100%)</f>
        <v>0.981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26" cm="1">
        <f t="array" ref="BQ73">1+$B$13+VLOOKUP($R73,武学奇术!$A:$ZZ,18,FALSE)+SUM(_xlfn.XLOOKUP($S73:$AL73,增益!$A:$A,增益!$R:$R,0))</f>
        <v>2.03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6" cm="1">
        <f t="array" ref="BS73">1+$B$14+VLOOKUP($R73,武学奇术!$A:$ZZ,20,FALSE)+SUM(_xlfn.XLOOKUP($S73:$AL73,增益!$A:$A,增益!$T:$T,0))</f>
        <v>1.35</v>
      </c>
      <c r="BT73" s="26">
        <f t="shared" si="31"/>
        <v>0.829926</v>
      </c>
      <c r="BU73" s="26">
        <f t="shared" si="32"/>
        <v>0.0599391</v>
      </c>
      <c r="BV73" s="26">
        <f>IF(VLOOKUP($R73,武学奇术!$A:$ZZ,22,FALSE)=1,0,(1-$BO73))*(1-$BR73)</f>
        <v>0.0172349</v>
      </c>
      <c r="BW73" s="26" cm="1">
        <f t="array" ref="BW73">SUM(_xlfn.XLOOKUP($S73:$AL73,增益!$A:$A,增益!$W:$W,0))+$I$5</f>
        <v>0.31</v>
      </c>
      <c r="BX73" s="26" cm="1">
        <f t="array" ref="BX73">SUM(_xlfn.XLOOKUP($S73:$AL73,增益!$A:$A,增益!$X:$X,0))</f>
        <v>0</v>
      </c>
    </row>
    <row r="74" spans="1:76">
      <c r="A74" s="4" t="s">
        <v>169</v>
      </c>
      <c r="B74" s="4">
        <v>1</v>
      </c>
      <c r="C74" s="39"/>
      <c r="D74" s="39"/>
      <c r="E74" s="39" t="s">
        <v>171</v>
      </c>
      <c r="F74" s="39"/>
      <c r="K74">
        <f>$L74*VLOOKUP($R74,武学奇术!$A:$ZZ,31,FALSE)</f>
        <v>60277.3079942915</v>
      </c>
      <c r="L74" s="38">
        <f t="shared" si="22"/>
        <v>57406.9599945633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</f>
        <v>61261.1111177544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</f>
        <v>46369.0496842397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</f>
        <v>30177.8872501253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</f>
        <v>26008.3302897028</v>
      </c>
      <c r="Q74" s="39">
        <v>2</v>
      </c>
      <c r="R74" s="40" t="s">
        <v>119</v>
      </c>
      <c r="S74" s="40" t="s">
        <v>116</v>
      </c>
      <c r="T74" s="40" t="s">
        <v>102</v>
      </c>
      <c r="U74" s="40" t="s">
        <v>79</v>
      </c>
      <c r="V74" s="40" t="s">
        <v>88</v>
      </c>
      <c r="W74" s="40" t="s">
        <v>181</v>
      </c>
      <c r="X74" s="40" t="s">
        <v>106</v>
      </c>
      <c r="Y74" s="40" t="s">
        <v>91</v>
      </c>
      <c r="Z74" s="40" t="s">
        <v>185</v>
      </c>
      <c r="AA74" s="40" t="s">
        <v>186</v>
      </c>
      <c r="AB74" s="40" t="s">
        <v>127</v>
      </c>
      <c r="AC74" s="40" t="s">
        <v>98</v>
      </c>
      <c r="AD74" s="40" t="s">
        <v>187</v>
      </c>
      <c r="AE74" s="40" t="s">
        <v>83</v>
      </c>
      <c r="AF74" s="40" t="s">
        <v>84</v>
      </c>
      <c r="AG74" s="40" t="s">
        <v>85</v>
      </c>
      <c r="AH74" s="40" t="s">
        <v>78</v>
      </c>
      <c r="AI74" s="40" t="s">
        <v>78</v>
      </c>
      <c r="AJ74" s="40" t="s">
        <v>78</v>
      </c>
      <c r="AK74" s="40" t="s">
        <v>78</v>
      </c>
      <c r="AL74" s="40" t="s">
        <v>78</v>
      </c>
      <c r="AM74" t="str">
        <f>VLOOKUP($R74,武学奇术!$A:$ZZ,25,FALSE)</f>
        <v>伞</v>
      </c>
      <c r="AN74" s="26">
        <f>VLOOKUP($R74,武学奇术!$A:$ZZ,26,FALSE)</f>
        <v>0.54</v>
      </c>
      <c r="AO74" s="27">
        <f>VLOOKUP($R74,武学奇术!$A:$ZZ,27,FALSE)*(1+IF(OR($AM74=$F$4,$AM74=$F$5),$B$22,0))</f>
        <v>0</v>
      </c>
      <c r="AP74" s="26">
        <f>VLOOKUP($R74,武学奇术!$A:$ZZ,28,FALSE)</f>
        <v>0.81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1.0541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3636.6</v>
      </c>
      <c r="AU74" cm="1">
        <f t="array" ref="AU74">$E$10*(1+$AS74)+VLOOKUP($R74,武学奇术!$A:$ZZ,4,FALSE)+SUM(_xlfn.XLOOKUP($S74:$AL74,增益!$A:$A,增益!$D:$D,0))-$I$2</f>
        <v>3636.6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0.3425</v>
      </c>
      <c r="AW74" s="32" cm="1">
        <f t="array" ref="AW74">$G$10+VLOOKUP($R74,武学奇术!$A:$ZZ,7,FALSE)+SUM(_xlfn.XLOOKUP($S74:$AL74,增益!$A:$A,增益!$G:$G,0))</f>
        <v>0.148</v>
      </c>
      <c r="AX74" s="26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2" cm="1">
        <f t="array" ref="BB74">$G$11+VLOOKUP($R74,武学奇术!$A:$ZZ,10,FALSE)+SUM(_xlfn.XLOOKUP($S74:$AL74,增益!$A:$A,增益!$J:$J,0))</f>
        <v>0.1</v>
      </c>
      <c r="BC74">
        <f t="shared" si="25"/>
        <v>0</v>
      </c>
      <c r="BD74">
        <f t="shared" si="26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2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2" cm="1">
        <f t="array" ref="BJ74">$G$13+VLOOKUP($R74,武学奇术!$A:$ZZ,14,FALSE)+SUM(_xlfn.XLOOKUP($S74:$AL74,增益!$A:$A,增益!$N:$N,0))</f>
        <v>0</v>
      </c>
      <c r="BK74">
        <f t="shared" si="29"/>
        <v>571.2</v>
      </c>
      <c r="BL74">
        <f t="shared" si="30"/>
        <v>1627.8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2" cm="1">
        <f t="array" ref="BN74">$G$14+VLOOKUP($R74,武学奇术!$A:$ZZ,16,FALSE)+SUM(_xlfn.XLOOKUP($S74:$AL74,增益!$A:$A,增益!$P:$P,0))</f>
        <v>0.27</v>
      </c>
      <c r="BO74" s="26">
        <f>MIN(IF(VLOOKUP($R74,武学奇术!$A:$ZZ,23,FALSE)=1,100%,$B$8),100%)</f>
        <v>0.981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26" cm="1">
        <f t="array" ref="BQ74">1+$B$13+VLOOKUP($R74,武学奇术!$A:$ZZ,18,FALSE)+SUM(_xlfn.XLOOKUP($S74:$AL74,增益!$A:$A,增益!$R:$R,0))</f>
        <v>2.03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6" cm="1">
        <f t="array" ref="BS74">1+$B$14+VLOOKUP($R74,武学奇术!$A:$ZZ,20,FALSE)+SUM(_xlfn.XLOOKUP($S74:$AL74,增益!$A:$A,增益!$T:$T,0))</f>
        <v>1.35</v>
      </c>
      <c r="BT74" s="26">
        <f t="shared" si="31"/>
        <v>0.829926</v>
      </c>
      <c r="BU74" s="26">
        <f t="shared" si="32"/>
        <v>0.0599391</v>
      </c>
      <c r="BV74" s="26">
        <f>IF(VLOOKUP($R74,武学奇术!$A:$ZZ,22,FALSE)=1,0,(1-$BO74))*(1-$BR74)</f>
        <v>0.0172349</v>
      </c>
      <c r="BW74" s="26" cm="1">
        <f t="array" ref="BW74">SUM(_xlfn.XLOOKUP($S74:$AL74,增益!$A:$A,增益!$W:$W,0))+$I$5</f>
        <v>0.31</v>
      </c>
      <c r="BX74" s="26" cm="1">
        <f t="array" ref="BX74">SUM(_xlfn.XLOOKUP($S74:$AL74,增益!$A:$A,增益!$X:$X,0))</f>
        <v>0</v>
      </c>
    </row>
    <row r="75" spans="1:76">
      <c r="A75" s="4" t="s">
        <v>169</v>
      </c>
      <c r="B75" s="4">
        <v>1</v>
      </c>
      <c r="C75" s="39"/>
      <c r="D75" s="39"/>
      <c r="E75" s="39"/>
      <c r="F75" s="39"/>
      <c r="K75">
        <f>$L75*VLOOKUP($R75,武学奇术!$A:$ZZ,31,FALSE)</f>
        <v>249257.382190849</v>
      </c>
      <c r="L75" s="38">
        <f t="shared" si="22"/>
        <v>237387.983038904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</f>
        <v>237387.983038904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</f>
        <v>174420.361728032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</f>
        <v>115236.884970342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</f>
        <v>101273.501993993</v>
      </c>
      <c r="Q75" s="39">
        <v>2</v>
      </c>
      <c r="R75" s="40" t="s">
        <v>132</v>
      </c>
      <c r="S75" s="40" t="s">
        <v>116</v>
      </c>
      <c r="T75" s="40" t="s">
        <v>102</v>
      </c>
      <c r="U75" s="40" t="s">
        <v>79</v>
      </c>
      <c r="V75" s="40" t="s">
        <v>88</v>
      </c>
      <c r="W75" s="40" t="s">
        <v>181</v>
      </c>
      <c r="X75" s="40" t="s">
        <v>106</v>
      </c>
      <c r="Y75" s="40" t="s">
        <v>91</v>
      </c>
      <c r="Z75" s="40" t="s">
        <v>185</v>
      </c>
      <c r="AA75" s="40" t="s">
        <v>186</v>
      </c>
      <c r="AB75" s="40" t="s">
        <v>133</v>
      </c>
      <c r="AC75" s="40" t="s">
        <v>98</v>
      </c>
      <c r="AD75" s="40" t="s">
        <v>187</v>
      </c>
      <c r="AE75" s="40" t="s">
        <v>83</v>
      </c>
      <c r="AF75" s="40" t="s">
        <v>84</v>
      </c>
      <c r="AG75" s="40" t="s">
        <v>85</v>
      </c>
      <c r="AH75" s="40" t="s">
        <v>78</v>
      </c>
      <c r="AI75" s="40" t="s">
        <v>78</v>
      </c>
      <c r="AJ75" s="40" t="s">
        <v>78</v>
      </c>
      <c r="AK75" s="40" t="s">
        <v>78</v>
      </c>
      <c r="AL75" s="40" t="s">
        <v>78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750</v>
      </c>
      <c r="AP75" s="26">
        <f>VLOOKUP($R75,武学奇术!$A:$ZZ,28,FALSE)</f>
        <v>2.7126</v>
      </c>
      <c r="AQ75" s="27">
        <f>VLOOKUP($R75,武学奇术!$A:$ZZ,29,FALSE)*(1+IF(OR($AM75=$F$4,$AM75=$F$5),$B$22,0))</f>
        <v>408</v>
      </c>
      <c r="AR75" s="26" cm="1">
        <f t="array" ref="AR75">$G$3+IFERROR(VLOOKUP($AM75,$F$4:$G$7,2,FALSE),0)+VLOOKUP($R75,武学奇术!$A:$ZZ,2,FALSE)+SUM(_xlfn.XLOOKUP($S75:$AL75,增益!$A:$A,增益!$B:$B,0))</f>
        <v>1.0541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3636.6</v>
      </c>
      <c r="AU75" cm="1">
        <f t="array" ref="AU75">$E$10*(1+$AS75)+VLOOKUP($R75,武学奇术!$A:$ZZ,4,FALSE)+SUM(_xlfn.XLOOKUP($S75:$AL75,增益!$A:$A,增益!$D:$D,0))-$I$2</f>
        <v>3636.6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0.3425</v>
      </c>
      <c r="AW75" s="32" cm="1">
        <f t="array" ref="AW75">$G$10+VLOOKUP($R75,武学奇术!$A:$ZZ,7,FALSE)+SUM(_xlfn.XLOOKUP($S75:$AL75,增益!$A:$A,增益!$G:$G,0))</f>
        <v>0.148</v>
      </c>
      <c r="AX75" s="26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2" cm="1">
        <f t="array" ref="BB75">$G$11+VLOOKUP($R75,武学奇术!$A:$ZZ,10,FALSE)+SUM(_xlfn.XLOOKUP($S75:$AL75,增益!$A:$A,增益!$J:$J,0))</f>
        <v>0.1</v>
      </c>
      <c r="BC75">
        <f t="shared" si="25"/>
        <v>0</v>
      </c>
      <c r="BD75">
        <f t="shared" si="26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2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2" cm="1">
        <f t="array" ref="BJ75">$G$13+VLOOKUP($R75,武学奇术!$A:$ZZ,14,FALSE)+SUM(_xlfn.XLOOKUP($S75:$AL75,增益!$A:$A,增益!$N:$N,0))</f>
        <v>0</v>
      </c>
      <c r="BK75">
        <f t="shared" si="29"/>
        <v>571.2</v>
      </c>
      <c r="BL75">
        <f t="shared" si="30"/>
        <v>1627.8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2" cm="1">
        <f t="array" ref="BN75">$G$14+VLOOKUP($R75,武学奇术!$A:$ZZ,16,FALSE)+SUM(_xlfn.XLOOKUP($S75:$AL75,增益!$A:$A,增益!$P:$P,0))</f>
        <v>0.27</v>
      </c>
      <c r="BO75" s="26">
        <f>MIN(IF(VLOOKUP($R75,武学奇术!$A:$ZZ,23,FALSE)=1,100%,$B$8),100%)</f>
        <v>1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26" cm="1">
        <f t="array" ref="BQ75">1+$B$13+VLOOKUP($R75,武学奇术!$A:$ZZ,18,FALSE)+SUM(_xlfn.XLOOKUP($S75:$AL75,增益!$A:$A,增益!$R:$R,0))</f>
        <v>2.06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26" cm="1">
        <f t="array" ref="BS75">1+$B$14+VLOOKUP($R75,武学奇术!$A:$ZZ,20,FALSE)+SUM(_xlfn.XLOOKUP($S75:$AL75,增益!$A:$A,增益!$T:$T,0))</f>
        <v>1.35</v>
      </c>
      <c r="BT75" s="26">
        <f t="shared" si="31"/>
        <v>1</v>
      </c>
      <c r="BU75" s="26">
        <f t="shared" si="32"/>
        <v>0</v>
      </c>
      <c r="BV75" s="26">
        <f>IF(VLOOKUP($R75,武学奇术!$A:$ZZ,22,FALSE)=1,0,(1-$BO75))*(1-$BR75)</f>
        <v>0</v>
      </c>
      <c r="BW75" s="26" cm="1">
        <f t="array" ref="BW75">SUM(_xlfn.XLOOKUP($S75:$AL75,增益!$A:$A,增益!$W:$W,0))+$I$5</f>
        <v>0.31</v>
      </c>
      <c r="BX75" s="26" cm="1">
        <f t="array" ref="BX75">SUM(_xlfn.XLOOKUP($S75:$AL75,增益!$A:$A,增益!$X:$X,0))</f>
        <v>0</v>
      </c>
    </row>
    <row r="76" spans="1:76">
      <c r="A76" s="4" t="s">
        <v>172</v>
      </c>
      <c r="B76" s="4">
        <v>0.85</v>
      </c>
      <c r="C76" s="39"/>
      <c r="D76" s="39"/>
      <c r="E76" s="39"/>
      <c r="F76" s="39"/>
      <c r="K76">
        <f>$L76*VLOOKUP($R76,武学奇术!$A:$ZZ,31,FALSE)</f>
        <v>143260.658519106</v>
      </c>
      <c r="L76" s="38">
        <f t="shared" si="22"/>
        <v>136438.722399149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</f>
        <v>136438.722399149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</f>
        <v>101767.659698403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</f>
        <v>66232.3895141498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</f>
        <v>57081.327399853</v>
      </c>
      <c r="Q76" s="39">
        <v>4</v>
      </c>
      <c r="R76" s="40" t="s">
        <v>139</v>
      </c>
      <c r="S76" s="40" t="s">
        <v>116</v>
      </c>
      <c r="T76" s="40" t="s">
        <v>102</v>
      </c>
      <c r="U76" s="40" t="s">
        <v>79</v>
      </c>
      <c r="V76" s="40" t="s">
        <v>88</v>
      </c>
      <c r="W76" s="40" t="s">
        <v>181</v>
      </c>
      <c r="X76" s="40" t="s">
        <v>106</v>
      </c>
      <c r="Y76" s="40" t="s">
        <v>91</v>
      </c>
      <c r="Z76" s="40" t="s">
        <v>185</v>
      </c>
      <c r="AA76" s="40" t="s">
        <v>186</v>
      </c>
      <c r="AB76" s="40" t="s">
        <v>133</v>
      </c>
      <c r="AC76" s="40" t="s">
        <v>98</v>
      </c>
      <c r="AD76" s="40" t="s">
        <v>187</v>
      </c>
      <c r="AE76" s="40" t="s">
        <v>83</v>
      </c>
      <c r="AF76" s="40" t="s">
        <v>84</v>
      </c>
      <c r="AG76" s="40" t="s">
        <v>85</v>
      </c>
      <c r="AH76" s="40" t="s">
        <v>78</v>
      </c>
      <c r="AI76" s="40" t="s">
        <v>78</v>
      </c>
      <c r="AJ76" s="40" t="s">
        <v>78</v>
      </c>
      <c r="AK76" s="40" t="s">
        <v>78</v>
      </c>
      <c r="AL76" s="40" t="s">
        <v>78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1.2541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3636.6</v>
      </c>
      <c r="AU76" cm="1">
        <f t="array" ref="AU76">$E$10*(1+$AS76)+VLOOKUP($R76,武学奇术!$A:$ZZ,4,FALSE)+SUM(_xlfn.XLOOKUP($S76:$AL76,增益!$A:$A,增益!$D:$D,0))-$I$2</f>
        <v>3636.6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0.3425</v>
      </c>
      <c r="AW76" s="32" cm="1">
        <f t="array" ref="AW76">$G$10+VLOOKUP($R76,武学奇术!$A:$ZZ,7,FALSE)+SUM(_xlfn.XLOOKUP($S76:$AL76,增益!$A:$A,增益!$G:$G,0))</f>
        <v>0.148</v>
      </c>
      <c r="AX76" s="26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2" cm="1">
        <f t="array" ref="BB76">$G$11+VLOOKUP($R76,武学奇术!$A:$ZZ,10,FALSE)+SUM(_xlfn.XLOOKUP($S76:$AL76,增益!$A:$A,增益!$J:$J,0))</f>
        <v>0.1</v>
      </c>
      <c r="BC76">
        <f t="shared" si="25"/>
        <v>0</v>
      </c>
      <c r="BD76">
        <f t="shared" si="26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2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-0.14</v>
      </c>
      <c r="BJ76" s="32" cm="1">
        <f t="array" ref="BJ76">$G$13+VLOOKUP($R76,武学奇术!$A:$ZZ,14,FALSE)+SUM(_xlfn.XLOOKUP($S76:$AL76,增益!$A:$A,增益!$N:$N,0))</f>
        <v>0</v>
      </c>
      <c r="BK76">
        <f t="shared" si="29"/>
        <v>571.2</v>
      </c>
      <c r="BL76">
        <f t="shared" si="30"/>
        <v>1627.8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0.08</v>
      </c>
      <c r="BN76" s="32" cm="1">
        <f t="array" ref="BN76">$G$14+VLOOKUP($R76,武学奇术!$A:$ZZ,16,FALSE)+SUM(_xlfn.XLOOKUP($S76:$AL76,增益!$A:$A,增益!$P:$P,0))</f>
        <v>0.27</v>
      </c>
      <c r="BO76" s="26">
        <f>MIN(IF(VLOOKUP($R76,武学奇术!$A:$ZZ,23,FALSE)=1,100%,$B$8),100%)</f>
        <v>1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26" cm="1">
        <f t="array" ref="BQ76">1+$B$13+VLOOKUP($R76,武学奇术!$A:$ZZ,18,FALSE)+SUM(_xlfn.XLOOKUP($S76:$AL76,增益!$A:$A,增益!$R:$R,0))</f>
        <v>2.06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26" cm="1">
        <f t="array" ref="BS76">1+$B$14+VLOOKUP($R76,武学奇术!$A:$ZZ,20,FALSE)+SUM(_xlfn.XLOOKUP($S76:$AL76,增益!$A:$A,增益!$T:$T,0))</f>
        <v>1.35</v>
      </c>
      <c r="BT76" s="26">
        <f t="shared" si="31"/>
        <v>1</v>
      </c>
      <c r="BU76" s="26">
        <f t="shared" si="32"/>
        <v>0</v>
      </c>
      <c r="BV76" s="26">
        <f>IF(VLOOKUP($R76,武学奇术!$A:$ZZ,22,FALSE)=1,0,(1-$BO76))*(1-$BR76)</f>
        <v>0</v>
      </c>
      <c r="BW76" s="26" cm="1">
        <f t="array" ref="BW76">SUM(_xlfn.XLOOKUP($S76:$AL76,增益!$A:$A,增益!$W:$W,0))+$I$5</f>
        <v>0.31</v>
      </c>
      <c r="BX76" s="26" cm="1">
        <f t="array" ref="BX76">SUM(_xlfn.XLOOKUP($S76:$AL76,增益!$A:$A,增益!$X:$X,0))</f>
        <v>0</v>
      </c>
    </row>
    <row r="77" spans="1:76">
      <c r="A77" s="4" t="s">
        <v>169</v>
      </c>
      <c r="B77" s="88">
        <v>1</v>
      </c>
      <c r="C77" s="39"/>
      <c r="D77" s="39"/>
      <c r="E77" s="39"/>
      <c r="F77" s="39"/>
      <c r="K77">
        <f>$L77*VLOOKUP($R77,武学奇术!$A:$ZZ,31,FALSE)</f>
        <v>315422.137485362</v>
      </c>
      <c r="L77" s="38">
        <f t="shared" si="22"/>
        <v>300402.035700345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</f>
        <v>321411.610451608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</f>
        <v>236156.559573495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</f>
        <v>156025.053617286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</f>
        <v>137119.322365316</v>
      </c>
      <c r="Q77" s="39">
        <v>3</v>
      </c>
      <c r="R77" s="40" t="s">
        <v>115</v>
      </c>
      <c r="S77" s="40" t="s">
        <v>116</v>
      </c>
      <c r="T77" s="40" t="s">
        <v>102</v>
      </c>
      <c r="U77" s="40" t="s">
        <v>79</v>
      </c>
      <c r="V77" s="40" t="s">
        <v>88</v>
      </c>
      <c r="W77" s="40" t="s">
        <v>181</v>
      </c>
      <c r="X77" s="40" t="s">
        <v>106</v>
      </c>
      <c r="Y77" s="40" t="s">
        <v>91</v>
      </c>
      <c r="Z77" s="40" t="s">
        <v>185</v>
      </c>
      <c r="AA77" s="40" t="s">
        <v>186</v>
      </c>
      <c r="AB77" s="40" t="s">
        <v>133</v>
      </c>
      <c r="AC77" s="40" t="s">
        <v>98</v>
      </c>
      <c r="AD77" s="40" t="s">
        <v>187</v>
      </c>
      <c r="AE77" s="40" t="s">
        <v>83</v>
      </c>
      <c r="AF77" s="40" t="s">
        <v>84</v>
      </c>
      <c r="AG77" s="40" t="s">
        <v>85</v>
      </c>
      <c r="AH77" s="40" t="s">
        <v>78</v>
      </c>
      <c r="AI77" s="40" t="s">
        <v>78</v>
      </c>
      <c r="AJ77" s="40" t="s">
        <v>78</v>
      </c>
      <c r="AK77" s="40" t="s">
        <v>78</v>
      </c>
      <c r="AL77" s="40" t="s">
        <v>78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750</v>
      </c>
      <c r="AP77" s="26">
        <f>VLOOKUP($R77,武学奇术!$A:$ZZ,28,FALSE)</f>
        <v>2.7126</v>
      </c>
      <c r="AQ77" s="27">
        <f>VLOOKUP($R77,武学奇术!$A:$ZZ,29,FALSE)*(1+IF(OR($AM77=$F$4,$AM77=$F$5),$B$22,0))</f>
        <v>408</v>
      </c>
      <c r="AR77" s="26" cm="1">
        <f t="array" ref="AR77">$G$3+IFERROR(VLOOKUP($AM77,$F$4:$G$7,2,FALSE),0)+VLOOKUP($R77,武学奇术!$A:$ZZ,2,FALSE)+SUM(_xlfn.XLOOKUP($S77:$AL77,增益!$A:$A,增益!$B:$B,0))</f>
        <v>0.8541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3636.6</v>
      </c>
      <c r="AU77" cm="1">
        <f t="array" ref="AU77">$E$10*(1+$AS77)+VLOOKUP($R77,武学奇术!$A:$ZZ,4,FALSE)+SUM(_xlfn.XLOOKUP($S77:$AL77,增益!$A:$A,增益!$D:$D,0))-$I$2</f>
        <v>3636.6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0.3425</v>
      </c>
      <c r="AW77" s="32" cm="1">
        <f t="array" ref="AW77">$G$10+VLOOKUP($R77,武学奇术!$A:$ZZ,7,FALSE)+SUM(_xlfn.XLOOKUP($S77:$AL77,增益!$A:$A,增益!$G:$G,0))</f>
        <v>0.148</v>
      </c>
      <c r="AX77" s="26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2" cm="1">
        <f t="array" ref="BB77">$G$11+VLOOKUP($R77,武学奇术!$A:$ZZ,10,FALSE)+SUM(_xlfn.XLOOKUP($S77:$AL77,增益!$A:$A,增益!$J:$J,0))</f>
        <v>0.1</v>
      </c>
      <c r="BC77">
        <f t="shared" si="25"/>
        <v>0</v>
      </c>
      <c r="BD77">
        <f t="shared" si="26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2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2" cm="1">
        <f t="array" ref="BJ77">$G$13+VLOOKUP($R77,武学奇术!$A:$ZZ,14,FALSE)+SUM(_xlfn.XLOOKUP($S77:$AL77,增益!$A:$A,增益!$N:$N,0))</f>
        <v>0</v>
      </c>
      <c r="BK77">
        <f t="shared" si="29"/>
        <v>571.2</v>
      </c>
      <c r="BL77">
        <f t="shared" si="30"/>
        <v>1627.8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2" cm="1">
        <f t="array" ref="BN77">$G$14+VLOOKUP($R77,武学奇术!$A:$ZZ,16,FALSE)+SUM(_xlfn.XLOOKUP($S77:$AL77,增益!$A:$A,增益!$P:$P,0))</f>
        <v>0.27</v>
      </c>
      <c r="BO77" s="26">
        <f>MIN(IF(VLOOKUP($R77,武学奇术!$A:$ZZ,23,FALSE)=1,100%,$B$8),100%)</f>
        <v>0.981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26" cm="1">
        <f t="array" ref="BQ77">1+$B$13+VLOOKUP($R77,武学奇术!$A:$ZZ,18,FALSE)+SUM(_xlfn.XLOOKUP($S77:$AL77,增益!$A:$A,增益!$R:$R,0))</f>
        <v>2.06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6" cm="1">
        <f t="array" ref="BS77">1+$B$14+VLOOKUP($R77,武学奇术!$A:$ZZ,20,FALSE)+SUM(_xlfn.XLOOKUP($S77:$AL77,增益!$A:$A,增益!$T:$T,0))</f>
        <v>1.35</v>
      </c>
      <c r="BT77" s="26">
        <f t="shared" si="31"/>
        <v>0.829926</v>
      </c>
      <c r="BU77" s="26">
        <f t="shared" si="32"/>
        <v>0.0599391</v>
      </c>
      <c r="BV77" s="26">
        <f>IF(VLOOKUP($R77,武学奇术!$A:$ZZ,22,FALSE)=1,0,(1-$BO77))*(1-$BR77)</f>
        <v>0.0172349</v>
      </c>
      <c r="BW77" s="26" cm="1">
        <f t="array" ref="BW77">SUM(_xlfn.XLOOKUP($S77:$AL77,增益!$A:$A,增益!$W:$W,0))+$I$5</f>
        <v>0.31</v>
      </c>
      <c r="BX77" s="26" cm="1">
        <f t="array" ref="BX77">SUM(_xlfn.XLOOKUP($S77:$AL77,增益!$A:$A,增益!$X:$X,0))</f>
        <v>0</v>
      </c>
    </row>
    <row r="78" spans="1:76">
      <c r="A78" s="4" t="s">
        <v>169</v>
      </c>
      <c r="B78" s="4">
        <v>1</v>
      </c>
      <c r="C78" s="39"/>
      <c r="D78" s="39"/>
      <c r="E78" s="39"/>
      <c r="F78" s="39"/>
      <c r="K78">
        <f>$L78*VLOOKUP($R78,武学奇术!$A:$ZZ,31,FALSE)</f>
        <v>183198.715535373</v>
      </c>
      <c r="L78" s="38">
        <f t="shared" si="22"/>
        <v>174474.967176545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</f>
        <v>186499.343205775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</f>
        <v>139107.149052719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</f>
        <v>90533.661750376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</f>
        <v>78024.9908691083</v>
      </c>
      <c r="Q78" s="39">
        <v>6</v>
      </c>
      <c r="R78" s="40" t="s">
        <v>119</v>
      </c>
      <c r="S78" s="40" t="s">
        <v>116</v>
      </c>
      <c r="T78" s="40" t="s">
        <v>102</v>
      </c>
      <c r="U78" s="40" t="s">
        <v>79</v>
      </c>
      <c r="V78" s="40" t="s">
        <v>88</v>
      </c>
      <c r="W78" s="40" t="s">
        <v>181</v>
      </c>
      <c r="X78" s="40" t="s">
        <v>106</v>
      </c>
      <c r="Y78" s="40" t="s">
        <v>91</v>
      </c>
      <c r="Z78" s="40" t="s">
        <v>185</v>
      </c>
      <c r="AA78" s="40" t="s">
        <v>186</v>
      </c>
      <c r="AB78" s="40" t="s">
        <v>133</v>
      </c>
      <c r="AC78" s="40" t="s">
        <v>98</v>
      </c>
      <c r="AD78" s="40" t="s">
        <v>187</v>
      </c>
      <c r="AE78" s="40" t="s">
        <v>83</v>
      </c>
      <c r="AF78" s="40" t="s">
        <v>84</v>
      </c>
      <c r="AG78" s="40" t="s">
        <v>85</v>
      </c>
      <c r="AH78" s="40" t="s">
        <v>78</v>
      </c>
      <c r="AI78" s="40" t="s">
        <v>78</v>
      </c>
      <c r="AJ78" s="40" t="s">
        <v>78</v>
      </c>
      <c r="AK78" s="40" t="s">
        <v>78</v>
      </c>
      <c r="AL78" s="40" t="s">
        <v>78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1.0541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3636.6</v>
      </c>
      <c r="AU78" cm="1">
        <f t="array" ref="AU78">$E$10*(1+$AS78)+VLOOKUP($R78,武学奇术!$A:$ZZ,4,FALSE)+SUM(_xlfn.XLOOKUP($S78:$AL78,增益!$A:$A,增益!$D:$D,0))-$I$2</f>
        <v>3636.6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0.3425</v>
      </c>
      <c r="AW78" s="32" cm="1">
        <f t="array" ref="AW78">$G$10+VLOOKUP($R78,武学奇术!$A:$ZZ,7,FALSE)+SUM(_xlfn.XLOOKUP($S78:$AL78,增益!$A:$A,增益!$G:$G,0))</f>
        <v>0.148</v>
      </c>
      <c r="AX78" s="26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2" cm="1">
        <f t="array" ref="BB78">$G$11+VLOOKUP($R78,武学奇术!$A:$ZZ,10,FALSE)+SUM(_xlfn.XLOOKUP($S78:$AL78,增益!$A:$A,增益!$J:$J,0))</f>
        <v>0.1</v>
      </c>
      <c r="BC78">
        <f t="shared" si="25"/>
        <v>0</v>
      </c>
      <c r="BD78">
        <f t="shared" si="26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2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2" cm="1">
        <f t="array" ref="BJ78">$G$13+VLOOKUP($R78,武学奇术!$A:$ZZ,14,FALSE)+SUM(_xlfn.XLOOKUP($S78:$AL78,增益!$A:$A,增益!$N:$N,0))</f>
        <v>0</v>
      </c>
      <c r="BK78">
        <f t="shared" si="29"/>
        <v>571.2</v>
      </c>
      <c r="BL78">
        <f t="shared" si="30"/>
        <v>1627.8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2" cm="1">
        <f t="array" ref="BN78">$G$14+VLOOKUP($R78,武学奇术!$A:$ZZ,16,FALSE)+SUM(_xlfn.XLOOKUP($S78:$AL78,增益!$A:$A,增益!$P:$P,0))</f>
        <v>0.27</v>
      </c>
      <c r="BO78" s="26">
        <f>MIN(IF(VLOOKUP($R78,武学奇术!$A:$ZZ,23,FALSE)=1,100%,$B$8),100%)</f>
        <v>0.981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26" cm="1">
        <f t="array" ref="BQ78">1+$B$13+VLOOKUP($R78,武学奇术!$A:$ZZ,18,FALSE)+SUM(_xlfn.XLOOKUP($S78:$AL78,增益!$A:$A,增益!$R:$R,0))</f>
        <v>2.06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6" cm="1">
        <f t="array" ref="BS78">1+$B$14+VLOOKUP($R78,武学奇术!$A:$ZZ,20,FALSE)+SUM(_xlfn.XLOOKUP($S78:$AL78,增益!$A:$A,增益!$T:$T,0))</f>
        <v>1.35</v>
      </c>
      <c r="BT78" s="26">
        <f t="shared" si="31"/>
        <v>0.829926</v>
      </c>
      <c r="BU78" s="26">
        <f t="shared" si="32"/>
        <v>0.0599391</v>
      </c>
      <c r="BV78" s="26">
        <f>IF(VLOOKUP($R78,武学奇术!$A:$ZZ,22,FALSE)=1,0,(1-$BO78))*(1-$BR78)</f>
        <v>0.0172349</v>
      </c>
      <c r="BW78" s="26" cm="1">
        <f t="array" ref="BW78">SUM(_xlfn.XLOOKUP($S78:$AL78,增益!$A:$A,增益!$W:$W,0))+$I$5</f>
        <v>0.31</v>
      </c>
      <c r="BX78" s="26" cm="1">
        <f t="array" ref="BX78">SUM(_xlfn.XLOOKUP($S78:$AL78,增益!$A:$A,增益!$X:$X,0))</f>
        <v>0</v>
      </c>
    </row>
    <row r="79" spans="1:76">
      <c r="A79" s="4" t="s">
        <v>172</v>
      </c>
      <c r="B79" s="4">
        <v>0.85</v>
      </c>
      <c r="C79" s="39"/>
      <c r="D79" s="39"/>
      <c r="E79" s="39"/>
      <c r="F79" s="39"/>
      <c r="K79">
        <f>$L79*VLOOKUP($R79,武学奇术!$A:$ZZ,31,FALSE)</f>
        <v>124628.691095425</v>
      </c>
      <c r="L79" s="38">
        <f t="shared" si="22"/>
        <v>118693.991519452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</f>
        <v>118693.991519452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</f>
        <v>87210.180864016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</f>
        <v>57618.4424851709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</f>
        <v>50636.7509969967</v>
      </c>
      <c r="Q79" s="39">
        <v>1</v>
      </c>
      <c r="R79" s="40" t="s">
        <v>132</v>
      </c>
      <c r="S79" s="40" t="s">
        <v>116</v>
      </c>
      <c r="T79" s="40" t="s">
        <v>102</v>
      </c>
      <c r="U79" s="40" t="s">
        <v>79</v>
      </c>
      <c r="V79" s="40" t="s">
        <v>88</v>
      </c>
      <c r="W79" s="40" t="s">
        <v>181</v>
      </c>
      <c r="X79" s="40" t="s">
        <v>106</v>
      </c>
      <c r="Y79" s="40" t="s">
        <v>91</v>
      </c>
      <c r="Z79" s="40" t="s">
        <v>185</v>
      </c>
      <c r="AA79" s="40" t="s">
        <v>186</v>
      </c>
      <c r="AB79" s="40" t="s">
        <v>133</v>
      </c>
      <c r="AC79" s="40" t="s">
        <v>92</v>
      </c>
      <c r="AD79" s="40" t="s">
        <v>187</v>
      </c>
      <c r="AE79" s="40" t="s">
        <v>83</v>
      </c>
      <c r="AF79" s="40" t="s">
        <v>84</v>
      </c>
      <c r="AG79" s="40" t="s">
        <v>85</v>
      </c>
      <c r="AH79" s="40" t="s">
        <v>78</v>
      </c>
      <c r="AI79" s="40" t="s">
        <v>78</v>
      </c>
      <c r="AJ79" s="40" t="s">
        <v>78</v>
      </c>
      <c r="AK79" s="40" t="s">
        <v>78</v>
      </c>
      <c r="AL79" s="40" t="s">
        <v>78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750</v>
      </c>
      <c r="AP79" s="26">
        <f>VLOOKUP($R79,武学奇术!$A:$ZZ,28,FALSE)</f>
        <v>2.7126</v>
      </c>
      <c r="AQ79" s="27">
        <f>VLOOKUP($R79,武学奇术!$A:$ZZ,29,FALSE)*(1+IF(OR($AM79=$F$4,$AM79=$F$5),$B$22,0))</f>
        <v>408</v>
      </c>
      <c r="AR79" s="26" cm="1">
        <f t="array" ref="AR79">$G$3+IFERROR(VLOOKUP($AM79,$F$4:$G$7,2,FALSE),0)+VLOOKUP($R79,武学奇术!$A:$ZZ,2,FALSE)+SUM(_xlfn.XLOOKUP($S79:$AL79,增益!$A:$A,增益!$B:$B,0))</f>
        <v>1.0541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3636.6</v>
      </c>
      <c r="AU79" cm="1">
        <f t="array" ref="AU79">$E$10*(1+$AS79)+VLOOKUP($R79,武学奇术!$A:$ZZ,4,FALSE)+SUM(_xlfn.XLOOKUP($S79:$AL79,增益!$A:$A,增益!$D:$D,0))-$I$2</f>
        <v>3636.6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0.3425</v>
      </c>
      <c r="AW79" s="32" cm="1">
        <f t="array" ref="AW79">$G$10+VLOOKUP($R79,武学奇术!$A:$ZZ,7,FALSE)+SUM(_xlfn.XLOOKUP($S79:$AL79,增益!$A:$A,增益!$G:$G,0))</f>
        <v>0.148</v>
      </c>
      <c r="AX79" s="26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2" cm="1">
        <f t="array" ref="BB79">$G$11+VLOOKUP($R79,武学奇术!$A:$ZZ,10,FALSE)+SUM(_xlfn.XLOOKUP($S79:$AL79,增益!$A:$A,增益!$J:$J,0))</f>
        <v>0.1</v>
      </c>
      <c r="BC79">
        <f t="shared" si="25"/>
        <v>0</v>
      </c>
      <c r="BD79">
        <f t="shared" si="26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2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2" cm="1">
        <f t="array" ref="BJ79">$G$13+VLOOKUP($R79,武学奇术!$A:$ZZ,14,FALSE)+SUM(_xlfn.XLOOKUP($S79:$AL79,增益!$A:$A,增益!$N:$N,0))</f>
        <v>0</v>
      </c>
      <c r="BK79">
        <f t="shared" si="29"/>
        <v>571.2</v>
      </c>
      <c r="BL79">
        <f t="shared" si="30"/>
        <v>1627.8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2" cm="1">
        <f t="array" ref="BN79">$G$14+VLOOKUP($R79,武学奇术!$A:$ZZ,16,FALSE)+SUM(_xlfn.XLOOKUP($S79:$AL79,增益!$A:$A,增益!$P:$P,0))</f>
        <v>0.27</v>
      </c>
      <c r="BO79" s="26">
        <f>MIN(IF(VLOOKUP($R79,武学奇术!$A:$ZZ,23,FALSE)=1,100%,$B$8),100%)</f>
        <v>1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26" cm="1">
        <f t="array" ref="BQ79">1+$B$13+VLOOKUP($R79,武学奇术!$A:$ZZ,18,FALSE)+SUM(_xlfn.XLOOKUP($S79:$AL79,增益!$A:$A,增益!$R:$R,0))</f>
        <v>2.06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26" cm="1">
        <f t="array" ref="BS79">1+$B$14+VLOOKUP($R79,武学奇术!$A:$ZZ,20,FALSE)+SUM(_xlfn.XLOOKUP($S79:$AL79,增益!$A:$A,增益!$T:$T,0))</f>
        <v>1.35</v>
      </c>
      <c r="BT79" s="26">
        <f t="shared" si="31"/>
        <v>1</v>
      </c>
      <c r="BU79" s="26">
        <f t="shared" si="32"/>
        <v>0</v>
      </c>
      <c r="BV79" s="26">
        <f>IF(VLOOKUP($R79,武学奇术!$A:$ZZ,22,FALSE)=1,0,(1-$BO79))*(1-$BR79)</f>
        <v>0</v>
      </c>
      <c r="BW79" s="26" cm="1">
        <f t="array" ref="BW79">SUM(_xlfn.XLOOKUP($S79:$AL79,增益!$A:$A,增益!$W:$W,0))+$I$5</f>
        <v>0.31</v>
      </c>
      <c r="BX79" s="26" cm="1">
        <f t="array" ref="BX79">SUM(_xlfn.XLOOKUP($S79:$AL79,增益!$A:$A,增益!$X:$X,0))</f>
        <v>0</v>
      </c>
    </row>
    <row r="80" spans="1:76">
      <c r="A80" s="4" t="s">
        <v>169</v>
      </c>
      <c r="B80" s="88">
        <v>1</v>
      </c>
      <c r="C80" s="39"/>
      <c r="D80" s="39"/>
      <c r="E80" s="39"/>
      <c r="F80" s="39"/>
      <c r="K80">
        <f>$L80*VLOOKUP($R80,武学奇术!$A:$ZZ,31,FALSE)</f>
        <v>71630.329259553</v>
      </c>
      <c r="L80" s="38">
        <f t="shared" si="22"/>
        <v>68219.3611995743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</f>
        <v>68219.3611995743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</f>
        <v>50883.8298492015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</f>
        <v>33116.1947570749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</f>
        <v>28540.6636999265</v>
      </c>
      <c r="Q80" s="39">
        <v>2</v>
      </c>
      <c r="R80" s="40" t="s">
        <v>139</v>
      </c>
      <c r="S80" s="40" t="s">
        <v>116</v>
      </c>
      <c r="T80" s="40" t="s">
        <v>102</v>
      </c>
      <c r="U80" s="40" t="s">
        <v>79</v>
      </c>
      <c r="V80" s="40" t="s">
        <v>88</v>
      </c>
      <c r="W80" s="40" t="s">
        <v>181</v>
      </c>
      <c r="X80" s="40" t="s">
        <v>106</v>
      </c>
      <c r="Y80" s="40" t="s">
        <v>91</v>
      </c>
      <c r="Z80" s="40" t="s">
        <v>185</v>
      </c>
      <c r="AA80" s="40" t="s">
        <v>186</v>
      </c>
      <c r="AB80" s="40" t="s">
        <v>133</v>
      </c>
      <c r="AC80" s="40" t="s">
        <v>92</v>
      </c>
      <c r="AD80" s="40" t="s">
        <v>187</v>
      </c>
      <c r="AE80" s="40" t="s">
        <v>83</v>
      </c>
      <c r="AF80" s="40" t="s">
        <v>84</v>
      </c>
      <c r="AG80" s="40" t="s">
        <v>85</v>
      </c>
      <c r="AH80" s="40" t="s">
        <v>78</v>
      </c>
      <c r="AI80" s="40" t="s">
        <v>78</v>
      </c>
      <c r="AJ80" s="40" t="s">
        <v>78</v>
      </c>
      <c r="AK80" s="40" t="s">
        <v>78</v>
      </c>
      <c r="AL80" s="40" t="s">
        <v>78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1.2541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3636.6</v>
      </c>
      <c r="AU80" cm="1">
        <f t="array" ref="AU80">$E$10*(1+$AS80)+VLOOKUP($R80,武学奇术!$A:$ZZ,4,FALSE)+SUM(_xlfn.XLOOKUP($S80:$AL80,增益!$A:$A,增益!$D:$D,0))-$I$2</f>
        <v>3636.6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0.3425</v>
      </c>
      <c r="AW80" s="32" cm="1">
        <f t="array" ref="AW80">$G$10+VLOOKUP($R80,武学奇术!$A:$ZZ,7,FALSE)+SUM(_xlfn.XLOOKUP($S80:$AL80,增益!$A:$A,增益!$G:$G,0))</f>
        <v>0.148</v>
      </c>
      <c r="AX80" s="26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2" cm="1">
        <f t="array" ref="BB80">$G$11+VLOOKUP($R80,武学奇术!$A:$ZZ,10,FALSE)+SUM(_xlfn.XLOOKUP($S80:$AL80,增益!$A:$A,增益!$J:$J,0))</f>
        <v>0.1</v>
      </c>
      <c r="BC80">
        <f t="shared" si="25"/>
        <v>0</v>
      </c>
      <c r="BD80">
        <f t="shared" si="26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2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2" cm="1">
        <f t="array" ref="BJ80">$G$13+VLOOKUP($R80,武学奇术!$A:$ZZ,14,FALSE)+SUM(_xlfn.XLOOKUP($S80:$AL80,增益!$A:$A,增益!$N:$N,0))</f>
        <v>0</v>
      </c>
      <c r="BK80">
        <f t="shared" si="29"/>
        <v>571.2</v>
      </c>
      <c r="BL80">
        <f t="shared" si="30"/>
        <v>1627.8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2" cm="1">
        <f t="array" ref="BN80">$G$14+VLOOKUP($R80,武学奇术!$A:$ZZ,16,FALSE)+SUM(_xlfn.XLOOKUP($S80:$AL80,增益!$A:$A,增益!$P:$P,0))</f>
        <v>0.27</v>
      </c>
      <c r="BO80" s="26">
        <f>MIN(IF(VLOOKUP($R80,武学奇术!$A:$ZZ,23,FALSE)=1,100%,$B$8),100%)</f>
        <v>1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26" cm="1">
        <f t="array" ref="BQ80">1+$B$13+VLOOKUP($R80,武学奇术!$A:$ZZ,18,FALSE)+SUM(_xlfn.XLOOKUP($S80:$AL80,增益!$A:$A,增益!$R:$R,0))</f>
        <v>2.06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26" cm="1">
        <f t="array" ref="BS80">1+$B$14+VLOOKUP($R80,武学奇术!$A:$ZZ,20,FALSE)+SUM(_xlfn.XLOOKUP($S80:$AL80,增益!$A:$A,增益!$T:$T,0))</f>
        <v>1.35</v>
      </c>
      <c r="BT80" s="26">
        <f t="shared" si="31"/>
        <v>1</v>
      </c>
      <c r="BU80" s="26">
        <f t="shared" si="32"/>
        <v>0</v>
      </c>
      <c r="BV80" s="26">
        <f>IF(VLOOKUP($R80,武学奇术!$A:$ZZ,22,FALSE)=1,0,(1-$BO80))*(1-$BR80)</f>
        <v>0</v>
      </c>
      <c r="BW80" s="26" cm="1">
        <f t="array" ref="BW80">SUM(_xlfn.XLOOKUP($S80:$AL80,增益!$A:$A,增益!$W:$W,0))+$I$5</f>
        <v>0.31</v>
      </c>
      <c r="BX80" s="26" cm="1">
        <f t="array" ref="BX80">SUM(_xlfn.XLOOKUP($S80:$AL80,增益!$A:$A,增益!$X:$X,0))</f>
        <v>0</v>
      </c>
    </row>
    <row r="81" spans="1:76">
      <c r="A81" s="4" t="s">
        <v>169</v>
      </c>
      <c r="B81" s="4">
        <v>1</v>
      </c>
      <c r="C81" s="39"/>
      <c r="D81" s="39"/>
      <c r="F81" s="39"/>
      <c r="K81">
        <f>$L81*VLOOKUP($R81,武学奇术!$A:$ZZ,31,FALSE)</f>
        <v>105140.712495121</v>
      </c>
      <c r="L81" s="38">
        <f t="shared" si="22"/>
        <v>100134.011900115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</f>
        <v>107137.203483869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</f>
        <v>78718.853191165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</f>
        <v>52008.3512057619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</f>
        <v>45706.4407884385</v>
      </c>
      <c r="Q81" s="39">
        <v>1</v>
      </c>
      <c r="R81" s="40" t="s">
        <v>115</v>
      </c>
      <c r="S81" s="40" t="s">
        <v>116</v>
      </c>
      <c r="T81" s="40" t="s">
        <v>102</v>
      </c>
      <c r="U81" s="40" t="s">
        <v>79</v>
      </c>
      <c r="V81" s="40" t="s">
        <v>88</v>
      </c>
      <c r="W81" s="40" t="s">
        <v>181</v>
      </c>
      <c r="X81" s="40" t="s">
        <v>106</v>
      </c>
      <c r="Y81" s="40" t="s">
        <v>91</v>
      </c>
      <c r="Z81" s="40" t="s">
        <v>185</v>
      </c>
      <c r="AA81" s="40" t="s">
        <v>186</v>
      </c>
      <c r="AB81" s="40" t="s">
        <v>133</v>
      </c>
      <c r="AC81" s="40" t="s">
        <v>92</v>
      </c>
      <c r="AD81" s="40" t="s">
        <v>187</v>
      </c>
      <c r="AE81" s="40" t="s">
        <v>83</v>
      </c>
      <c r="AF81" s="40" t="s">
        <v>84</v>
      </c>
      <c r="AG81" s="40" t="s">
        <v>85</v>
      </c>
      <c r="AH81" s="40" t="s">
        <v>78</v>
      </c>
      <c r="AI81" s="40" t="s">
        <v>78</v>
      </c>
      <c r="AJ81" s="40" t="s">
        <v>78</v>
      </c>
      <c r="AK81" s="40" t="s">
        <v>78</v>
      </c>
      <c r="AL81" s="40" t="s">
        <v>78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750</v>
      </c>
      <c r="AP81" s="26">
        <f>VLOOKUP($R81,武学奇术!$A:$ZZ,28,FALSE)</f>
        <v>2.7126</v>
      </c>
      <c r="AQ81" s="27">
        <f>VLOOKUP($R81,武学奇术!$A:$ZZ,29,FALSE)*(1+IF(OR($AM81=$F$4,$AM81=$F$5),$B$22,0))</f>
        <v>408</v>
      </c>
      <c r="AR81" s="26" cm="1">
        <f t="array" ref="AR81">$G$3+IFERROR(VLOOKUP($AM81,$F$4:$G$7,2,FALSE),0)+VLOOKUP($R81,武学奇术!$A:$ZZ,2,FALSE)+SUM(_xlfn.XLOOKUP($S81:$AL81,增益!$A:$A,增益!$B:$B,0))</f>
        <v>0.8541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3636.6</v>
      </c>
      <c r="AU81" cm="1">
        <f t="array" ref="AU81">$E$10*(1+$AS81)+VLOOKUP($R81,武学奇术!$A:$ZZ,4,FALSE)+SUM(_xlfn.XLOOKUP($S81:$AL81,增益!$A:$A,增益!$D:$D,0))-$I$2</f>
        <v>3636.6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0.3425</v>
      </c>
      <c r="AW81" s="32" cm="1">
        <f t="array" ref="AW81">$G$10+VLOOKUP($R81,武学奇术!$A:$ZZ,7,FALSE)+SUM(_xlfn.XLOOKUP($S81:$AL81,增益!$A:$A,增益!$G:$G,0))</f>
        <v>0.148</v>
      </c>
      <c r="AX81" s="26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2" cm="1">
        <f t="array" ref="BB81">$G$11+VLOOKUP($R81,武学奇术!$A:$ZZ,10,FALSE)+SUM(_xlfn.XLOOKUP($S81:$AL81,增益!$A:$A,增益!$J:$J,0))</f>
        <v>0.1</v>
      </c>
      <c r="BC81">
        <f t="shared" si="25"/>
        <v>0</v>
      </c>
      <c r="BD81">
        <f t="shared" si="26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2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2" cm="1">
        <f t="array" ref="BJ81">$G$13+VLOOKUP($R81,武学奇术!$A:$ZZ,14,FALSE)+SUM(_xlfn.XLOOKUP($S81:$AL81,增益!$A:$A,增益!$N:$N,0))</f>
        <v>0</v>
      </c>
      <c r="BK81">
        <f t="shared" si="29"/>
        <v>571.2</v>
      </c>
      <c r="BL81">
        <f t="shared" si="30"/>
        <v>1627.8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2" cm="1">
        <f t="array" ref="BN81">$G$14+VLOOKUP($R81,武学奇术!$A:$ZZ,16,FALSE)+SUM(_xlfn.XLOOKUP($S81:$AL81,增益!$A:$A,增益!$P:$P,0))</f>
        <v>0.27</v>
      </c>
      <c r="BO81" s="26">
        <f>MIN(IF(VLOOKUP($R81,武学奇术!$A:$ZZ,23,FALSE)=1,100%,$B$8),100%)</f>
        <v>0.981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26" cm="1">
        <f t="array" ref="BQ81">1+$B$13+VLOOKUP($R81,武学奇术!$A:$ZZ,18,FALSE)+SUM(_xlfn.XLOOKUP($S81:$AL81,增益!$A:$A,增益!$R:$R,0))</f>
        <v>2.06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6" cm="1">
        <f t="array" ref="BS81">1+$B$14+VLOOKUP($R81,武学奇术!$A:$ZZ,20,FALSE)+SUM(_xlfn.XLOOKUP($S81:$AL81,增益!$A:$A,增益!$T:$T,0))</f>
        <v>1.35</v>
      </c>
      <c r="BT81" s="26">
        <f t="shared" si="31"/>
        <v>0.829926</v>
      </c>
      <c r="BU81" s="26">
        <f t="shared" si="32"/>
        <v>0.0599391</v>
      </c>
      <c r="BV81" s="26">
        <f>IF(VLOOKUP($R81,武学奇术!$A:$ZZ,22,FALSE)=1,0,(1-$BO81))*(1-$BR81)</f>
        <v>0.0172349</v>
      </c>
      <c r="BW81" s="26" cm="1">
        <f t="array" ref="BW81">SUM(_xlfn.XLOOKUP($S81:$AL81,增益!$A:$A,增益!$W:$W,0))+$I$5</f>
        <v>0.31</v>
      </c>
      <c r="BX81" s="26" cm="1">
        <f t="array" ref="BX81">SUM(_xlfn.XLOOKUP($S81:$AL81,增益!$A:$A,增益!$X:$X,0))</f>
        <v>0</v>
      </c>
    </row>
    <row r="82" spans="1:76">
      <c r="A82" s="4" t="s">
        <v>172</v>
      </c>
      <c r="B82" s="4">
        <v>0.85</v>
      </c>
      <c r="C82" s="39"/>
      <c r="D82" s="39"/>
      <c r="F82" s="39"/>
      <c r="K82">
        <f>$L82*VLOOKUP($R82,武学奇术!$A:$ZZ,31,FALSE)</f>
        <v>61066.2385117909</v>
      </c>
      <c r="L82" s="38">
        <f t="shared" si="22"/>
        <v>58158.3223921818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</f>
        <v>62166.4477352582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</f>
        <v>46369.0496842397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</f>
        <v>30177.8872501253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</f>
        <v>26008.3302897028</v>
      </c>
      <c r="Q82" s="39">
        <v>2</v>
      </c>
      <c r="R82" s="40" t="s">
        <v>119</v>
      </c>
      <c r="S82" s="40" t="s">
        <v>116</v>
      </c>
      <c r="T82" s="40" t="s">
        <v>102</v>
      </c>
      <c r="U82" s="40" t="s">
        <v>79</v>
      </c>
      <c r="V82" s="40" t="s">
        <v>88</v>
      </c>
      <c r="W82" s="40" t="s">
        <v>181</v>
      </c>
      <c r="X82" s="40" t="s">
        <v>106</v>
      </c>
      <c r="Y82" s="40" t="s">
        <v>91</v>
      </c>
      <c r="Z82" s="40" t="s">
        <v>185</v>
      </c>
      <c r="AA82" s="40" t="s">
        <v>186</v>
      </c>
      <c r="AB82" s="40" t="s">
        <v>133</v>
      </c>
      <c r="AC82" s="40" t="s">
        <v>92</v>
      </c>
      <c r="AD82" s="40" t="s">
        <v>187</v>
      </c>
      <c r="AE82" s="40" t="s">
        <v>83</v>
      </c>
      <c r="AF82" s="40" t="s">
        <v>84</v>
      </c>
      <c r="AG82" s="40" t="s">
        <v>85</v>
      </c>
      <c r="AH82" s="40" t="s">
        <v>78</v>
      </c>
      <c r="AI82" s="40" t="s">
        <v>78</v>
      </c>
      <c r="AJ82" s="40" t="s">
        <v>78</v>
      </c>
      <c r="AK82" s="40" t="s">
        <v>78</v>
      </c>
      <c r="AL82" s="40" t="s">
        <v>78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1.0541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3636.6</v>
      </c>
      <c r="AU82" cm="1">
        <f t="array" ref="AU82">$E$10*(1+$AS82)+VLOOKUP($R82,武学奇术!$A:$ZZ,4,FALSE)+SUM(_xlfn.XLOOKUP($S82:$AL82,增益!$A:$A,增益!$D:$D,0))-$I$2</f>
        <v>3636.6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0.3425</v>
      </c>
      <c r="AW82" s="32" cm="1">
        <f t="array" ref="AW82">$G$10+VLOOKUP($R82,武学奇术!$A:$ZZ,7,FALSE)+SUM(_xlfn.XLOOKUP($S82:$AL82,增益!$A:$A,增益!$G:$G,0))</f>
        <v>0.148</v>
      </c>
      <c r="AX82" s="26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2" cm="1">
        <f t="array" ref="BB82">$G$11+VLOOKUP($R82,武学奇术!$A:$ZZ,10,FALSE)+SUM(_xlfn.XLOOKUP($S82:$AL82,增益!$A:$A,增益!$J:$J,0))</f>
        <v>0.1</v>
      </c>
      <c r="BC82">
        <f t="shared" si="25"/>
        <v>0</v>
      </c>
      <c r="BD82">
        <f t="shared" si="26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2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2" cm="1">
        <f t="array" ref="BJ82">$G$13+VLOOKUP($R82,武学奇术!$A:$ZZ,14,FALSE)+SUM(_xlfn.XLOOKUP($S82:$AL82,增益!$A:$A,增益!$N:$N,0))</f>
        <v>0</v>
      </c>
      <c r="BK82">
        <f t="shared" si="29"/>
        <v>571.2</v>
      </c>
      <c r="BL82">
        <f t="shared" si="30"/>
        <v>1627.8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2" cm="1">
        <f t="array" ref="BN82">$G$14+VLOOKUP($R82,武学奇术!$A:$ZZ,16,FALSE)+SUM(_xlfn.XLOOKUP($S82:$AL82,增益!$A:$A,增益!$P:$P,0))</f>
        <v>0.27</v>
      </c>
      <c r="BO82" s="26">
        <f>MIN(IF(VLOOKUP($R82,武学奇术!$A:$ZZ,23,FALSE)=1,100%,$B$8),100%)</f>
        <v>0.981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26" cm="1">
        <f t="array" ref="BQ82">1+$B$13+VLOOKUP($R82,武学奇术!$A:$ZZ,18,FALSE)+SUM(_xlfn.XLOOKUP($S82:$AL82,增益!$A:$A,增益!$R:$R,0))</f>
        <v>2.06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6" cm="1">
        <f t="array" ref="BS82">1+$B$14+VLOOKUP($R82,武学奇术!$A:$ZZ,20,FALSE)+SUM(_xlfn.XLOOKUP($S82:$AL82,增益!$A:$A,增益!$T:$T,0))</f>
        <v>1.35</v>
      </c>
      <c r="BT82" s="26">
        <f t="shared" si="31"/>
        <v>0.829926</v>
      </c>
      <c r="BU82" s="26">
        <f t="shared" si="32"/>
        <v>0.0599391</v>
      </c>
      <c r="BV82" s="26">
        <f>IF(VLOOKUP($R82,武学奇术!$A:$ZZ,22,FALSE)=1,0,(1-$BO82))*(1-$BR82)</f>
        <v>0.0172349</v>
      </c>
      <c r="BW82" s="26" cm="1">
        <f t="array" ref="BW82">SUM(_xlfn.XLOOKUP($S82:$AL82,增益!$A:$A,增益!$W:$W,0))+$I$5</f>
        <v>0.31</v>
      </c>
      <c r="BX82" s="26" cm="1">
        <f t="array" ref="BX82">SUM(_xlfn.XLOOKUP($S82:$AL82,增益!$A:$A,增益!$X:$X,0))</f>
        <v>0</v>
      </c>
    </row>
    <row r="83" spans="1:76">
      <c r="A83" s="4" t="s">
        <v>183</v>
      </c>
      <c r="B83" s="4">
        <v>20.05</v>
      </c>
      <c r="K83">
        <f>$L83*VLOOKUP($R83,武学奇术!$A:$ZZ,31,FALSE)</f>
        <v>61244.4804386668</v>
      </c>
      <c r="L83" s="38">
        <f t="shared" si="22"/>
        <v>58328.0766082541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</f>
        <v>58328.0766082541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</f>
        <v>45994.6004035003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</f>
        <v>30538.2600043215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</f>
        <v>27006.4456356799</v>
      </c>
      <c r="Q83" s="39">
        <v>1</v>
      </c>
      <c r="R83" s="40" t="s">
        <v>174</v>
      </c>
      <c r="S83" s="40" t="s">
        <v>78</v>
      </c>
      <c r="T83" s="40" t="s">
        <v>102</v>
      </c>
      <c r="U83" s="40" t="s">
        <v>79</v>
      </c>
      <c r="V83" s="40" t="s">
        <v>78</v>
      </c>
      <c r="W83" s="40" t="s">
        <v>181</v>
      </c>
      <c r="X83" s="40" t="s">
        <v>106</v>
      </c>
      <c r="Y83" s="40" t="s">
        <v>78</v>
      </c>
      <c r="Z83" s="40" t="s">
        <v>78</v>
      </c>
      <c r="AA83" s="40" t="s">
        <v>78</v>
      </c>
      <c r="AB83" s="40" t="s">
        <v>78</v>
      </c>
      <c r="AC83" s="40" t="s">
        <v>92</v>
      </c>
      <c r="AD83" s="40" t="s">
        <v>78</v>
      </c>
      <c r="AE83" s="40" t="s">
        <v>83</v>
      </c>
      <c r="AF83" s="40" t="s">
        <v>84</v>
      </c>
      <c r="AG83" s="40" t="s">
        <v>85</v>
      </c>
      <c r="AH83" s="40" t="s">
        <v>78</v>
      </c>
      <c r="AI83" s="40" t="s">
        <v>78</v>
      </c>
      <c r="AJ83" s="40" t="s">
        <v>78</v>
      </c>
      <c r="AK83" s="40" t="s">
        <v>78</v>
      </c>
      <c r="AL83" s="40" t="s">
        <v>78</v>
      </c>
      <c r="AM83" t="str">
        <f>VLOOKUP($R83,武学奇术!$A:$ZZ,25,FALSE)</f>
        <v>绳镖</v>
      </c>
      <c r="AN83" s="26">
        <f>VLOOKUP($R83,武学奇术!$A:$ZZ,26,FALSE)</f>
        <v>2.2987</v>
      </c>
      <c r="AO83" s="27">
        <f>VLOOKUP($R83,武学奇术!$A:$ZZ,27,FALSE)*(1+IF(OR($AM83=$F$4,$AM83=$F$5),$B$22,0))</f>
        <v>955.5</v>
      </c>
      <c r="AP83" s="26">
        <f>VLOOKUP($R83,武学奇术!$A:$ZZ,28,FALSE)</f>
        <v>3.448</v>
      </c>
      <c r="AQ83" s="27">
        <f>VLOOKUP($R83,武学奇术!$A:$ZZ,29,FALSE)*(1+IF(OR($AM83=$F$4,$AM83=$F$5),$B$22,0))</f>
        <v>520.5</v>
      </c>
      <c r="AR83" s="26" cm="1">
        <f t="array" ref="AR83">$G$3+IFERROR(VLOOKUP($AM83,$F$4:$G$7,2,FALSE),0)+VLOOKUP($R83,武学奇术!$A:$ZZ,2,FALSE)+SUM(_xlfn.XLOOKUP($S83:$AL83,增益!$A:$A,增益!$B:$B,0))</f>
        <v>0.5189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3636.6</v>
      </c>
      <c r="AU83" cm="1">
        <f t="array" ref="AU83">$E$10*(1+$AS83)+VLOOKUP($R83,武学奇术!$A:$ZZ,4,FALSE)+SUM(_xlfn.XLOOKUP($S83:$AL83,增益!$A:$A,增益!$D:$D,0))-$I$2</f>
        <v>3636.6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0.3425</v>
      </c>
      <c r="AW83" s="32" cm="1">
        <f t="array" ref="AW83">$G$10+VLOOKUP($R83,武学奇术!$A:$ZZ,7,FALSE)+SUM(_xlfn.XLOOKUP($S83:$AL83,增益!$A:$A,增益!$G:$G,0))</f>
        <v>0.028</v>
      </c>
      <c r="AX83" s="26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2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2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2" cm="1">
        <f t="array" ref="BJ83">$G$13+VLOOKUP($R83,武学奇术!$A:$ZZ,14,FALSE)+SUM(_xlfn.XLOOKUP($S83:$AL83,增益!$A:$A,增益!$N:$N,0))</f>
        <v>0</v>
      </c>
      <c r="BK83">
        <f t="shared" si="29"/>
        <v>571.2</v>
      </c>
      <c r="BL83">
        <f t="shared" si="30"/>
        <v>1627.8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2" cm="1">
        <f t="array" ref="BN83">$G$14+VLOOKUP($R83,武学奇术!$A:$ZZ,16,FALSE)+SUM(_xlfn.XLOOKUP($S83:$AL83,增益!$A:$A,增益!$P:$P,0))</f>
        <v>0.15</v>
      </c>
      <c r="BO83" s="26">
        <f>MIN(IF(VLOOKUP($R83,武学奇术!$A:$ZZ,23,FALSE)=1,100%,$B$8),100%)</f>
        <v>1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26" cm="1">
        <f t="array" ref="BQ83">1+$B$13+VLOOKUP($R83,武学奇术!$A:$ZZ,18,FALSE)+SUM(_xlfn.XLOOKUP($S83:$AL83,增益!$A:$A,增益!$R:$R,0))</f>
        <v>1.91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26" cm="1">
        <f t="array" ref="BS83">1+$B$14+VLOOKUP($R83,武学奇术!$A:$ZZ,20,FALSE)+SUM(_xlfn.XLOOKUP($S83:$AL83,增益!$A:$A,增益!$T:$T,0))</f>
        <v>1.35</v>
      </c>
      <c r="BT83" s="26">
        <f t="shared" si="31"/>
        <v>1</v>
      </c>
      <c r="BU83" s="26">
        <f t="shared" si="32"/>
        <v>0</v>
      </c>
      <c r="BV83" s="26">
        <f>IF(VLOOKUP($R83,武学奇术!$A:$ZZ,22,FALSE)=1,0,(1-$BO83))*(1-$BR83)</f>
        <v>0</v>
      </c>
      <c r="BW83" s="26" cm="1">
        <f t="array" ref="BW83">SUM(_xlfn.XLOOKUP($S83:$AL83,增益!$A:$A,增益!$W:$W,0))+$I$5</f>
        <v>0.11</v>
      </c>
      <c r="BX83" s="26" cm="1">
        <f t="array" ref="BX83">SUM(_xlfn.XLOOKUP($S83:$AL83,增益!$A:$A,增益!$X:$X,0))</f>
        <v>0</v>
      </c>
    </row>
    <row r="84" spans="1:76">
      <c r="A84" s="4" t="s">
        <v>161</v>
      </c>
      <c r="B84" s="4"/>
      <c r="K84">
        <f>$L84*VLOOKUP($R84,武学奇术!$A:$ZZ,31,FALSE)</f>
        <v>129040.338413043</v>
      </c>
      <c r="L84" s="89">
        <f>(SUM(L65:L83)+L158+L159)*12%*(1+BX84)</f>
        <v>245791.120786748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</f>
        <v>0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</f>
        <v>0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</f>
        <v>0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</f>
        <v>0</v>
      </c>
      <c r="Q84" s="39">
        <v>1</v>
      </c>
      <c r="R84" s="40" t="s">
        <v>175</v>
      </c>
      <c r="S84" s="40" t="s">
        <v>176</v>
      </c>
      <c r="T84" s="40" t="s">
        <v>78</v>
      </c>
      <c r="U84" s="40" t="s">
        <v>78</v>
      </c>
      <c r="V84" s="40" t="s">
        <v>78</v>
      </c>
      <c r="W84" s="40" t="s">
        <v>78</v>
      </c>
      <c r="X84" s="40" t="s">
        <v>78</v>
      </c>
      <c r="Y84" s="40" t="s">
        <v>78</v>
      </c>
      <c r="Z84" s="40" t="s">
        <v>78</v>
      </c>
      <c r="AA84" s="40" t="s">
        <v>78</v>
      </c>
      <c r="AB84" s="40" t="s">
        <v>78</v>
      </c>
      <c r="AC84" s="40" t="s">
        <v>78</v>
      </c>
      <c r="AD84" s="40" t="s">
        <v>78</v>
      </c>
      <c r="AE84" s="40" t="s">
        <v>83</v>
      </c>
      <c r="AF84" s="40" t="s">
        <v>84</v>
      </c>
      <c r="AG84" s="40" t="s">
        <v>85</v>
      </c>
      <c r="AH84" s="40" t="s">
        <v>78</v>
      </c>
      <c r="AI84" s="40" t="s">
        <v>78</v>
      </c>
      <c r="AJ84" s="40" t="s">
        <v>78</v>
      </c>
      <c r="AK84" s="40" t="s">
        <v>78</v>
      </c>
      <c r="AL84" s="40" t="s">
        <v>78</v>
      </c>
      <c r="AM84" t="str">
        <f>VLOOKUP($R84,武学奇术!$A:$ZZ,25,FALSE)</f>
        <v>心法</v>
      </c>
      <c r="AN84" s="26">
        <f>VLOOKUP($R84,武学奇术!$A:$ZZ,26,FALSE)</f>
        <v>0</v>
      </c>
      <c r="AO84" s="27">
        <f>VLOOKUP($R84,武学奇术!$A:$ZZ,27,FALSE)*(1+IF(OR($AM84=$F$4,$AM84=$F$5),$B$22,0))</f>
        <v>0</v>
      </c>
      <c r="AP84" s="26">
        <f>VLOOKUP($R84,武学奇术!$A:$ZZ,28,FALSE)</f>
        <v>0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0.1837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3636.6</v>
      </c>
      <c r="AU84" cm="1">
        <f t="array" ref="AU84">$E$10*(1+$AS84)+VLOOKUP($R84,武学奇术!$A:$ZZ,4,FALSE)+SUM(_xlfn.XLOOKUP($S84:$AL84,增益!$A:$A,增益!$D:$D,0))-$I$2</f>
        <v>3636.6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0.2425</v>
      </c>
      <c r="AW84" s="32" cm="1">
        <f t="array" ref="AW84">$G$10+VLOOKUP($R84,武学奇术!$A:$ZZ,7,FALSE)+SUM(_xlfn.XLOOKUP($S84:$AL84,增益!$A:$A,增益!$G:$G,0))</f>
        <v>0.028</v>
      </c>
      <c r="AX84" s="26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2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2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2" cm="1">
        <f t="array" ref="BJ84">$G$13+VLOOKUP($R84,武学奇术!$A:$ZZ,14,FALSE)+SUM(_xlfn.XLOOKUP($S84:$AL84,增益!$A:$A,增益!$N:$N,0))</f>
        <v>0</v>
      </c>
      <c r="BK84">
        <f t="shared" si="29"/>
        <v>571.2</v>
      </c>
      <c r="BL84">
        <f t="shared" si="30"/>
        <v>1627.8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2" cm="1">
        <f t="array" ref="BN84">$G$14+VLOOKUP($R84,武学奇术!$A:$ZZ,16,FALSE)+SUM(_xlfn.XLOOKUP($S84:$AL84,增益!$A:$A,增益!$P:$P,0))</f>
        <v>0.15</v>
      </c>
      <c r="BO84" s="26">
        <f>MIN(IF(VLOOKUP($R84,武学奇术!$A:$ZZ,23,FALSE)=1,100%,$B$8),100%)</f>
        <v>0.981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26" cm="1">
        <f t="array" ref="BQ84">1+$B$13+VLOOKUP($R84,武学奇术!$A:$ZZ,18,FALSE)+SUM(_xlfn.XLOOKUP($S84:$AL84,增益!$A:$A,增益!$R:$R,0))</f>
        <v>1.54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6" cm="1">
        <f t="array" ref="BS84">1+$B$14+VLOOKUP($R84,武学奇术!$A:$ZZ,20,FALSE)+SUM(_xlfn.XLOOKUP($S84:$AL84,增益!$A:$A,增益!$T:$T,0))</f>
        <v>1.35</v>
      </c>
      <c r="BT84" s="26">
        <f t="shared" si="31"/>
        <v>0.829926</v>
      </c>
      <c r="BU84" s="26">
        <f t="shared" si="32"/>
        <v>0.0599391</v>
      </c>
      <c r="BV84" s="26">
        <f>IF(VLOOKUP($R84,武学奇术!$A:$ZZ,22,FALSE)=1,0,(1-$BO84))*(1-$BR84)</f>
        <v>0.0172349</v>
      </c>
      <c r="BW84" s="26" cm="1">
        <f t="array" ref="BW84">SUM(_xlfn.XLOOKUP($S84:$AL84,增益!$A:$A,增益!$W:$W,0))+$I$5</f>
        <v>0.11</v>
      </c>
      <c r="BX84" s="26" cm="1">
        <f t="array" ref="BX84">SUM(_xlfn.XLOOKUP($S84:$AL84,增益!$A:$A,增益!$X:$X,0))</f>
        <v>0</v>
      </c>
    </row>
    <row r="85" spans="1:76">
      <c r="A85" s="4" t="s">
        <v>189</v>
      </c>
      <c r="B85" s="4"/>
      <c r="K85">
        <f>$L85*VLOOKUP($R85,武学奇术!$A:$ZZ,31,FALSE)</f>
        <v>83328.4006905341</v>
      </c>
      <c r="L85" s="38">
        <f t="shared" ref="L85:L100" si="33">($M85*$BT85+$N85*$BR85+$O85*$BU85+$P85*$BV85)</f>
        <v>79360.3816100325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</f>
        <v>84170.1567872792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</f>
        <v>66700.7076657963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</f>
        <v>44068.1449148059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</f>
        <v>38728.3582253181</v>
      </c>
      <c r="Q85" s="39">
        <v>1</v>
      </c>
      <c r="R85" s="40" t="s">
        <v>115</v>
      </c>
      <c r="S85" s="40" t="s">
        <v>116</v>
      </c>
      <c r="T85" s="40" t="s">
        <v>102</v>
      </c>
      <c r="U85" s="40" t="s">
        <v>79</v>
      </c>
      <c r="V85" s="40" t="s">
        <v>88</v>
      </c>
      <c r="W85" s="40" t="s">
        <v>181</v>
      </c>
      <c r="X85" s="40" t="s">
        <v>106</v>
      </c>
      <c r="Y85" s="40" t="s">
        <v>91</v>
      </c>
      <c r="Z85" s="40" t="s">
        <v>78</v>
      </c>
      <c r="AA85" s="40" t="s">
        <v>78</v>
      </c>
      <c r="AB85" s="40" t="s">
        <v>78</v>
      </c>
      <c r="AC85" s="40" t="s">
        <v>92</v>
      </c>
      <c r="AD85" s="40" t="s">
        <v>78</v>
      </c>
      <c r="AE85" s="40" t="s">
        <v>83</v>
      </c>
      <c r="AF85" s="40" t="s">
        <v>84</v>
      </c>
      <c r="AG85" s="40" t="s">
        <v>85</v>
      </c>
      <c r="AH85" s="40" t="s">
        <v>78</v>
      </c>
      <c r="AI85" s="40" t="s">
        <v>78</v>
      </c>
      <c r="AJ85" s="40" t="s">
        <v>78</v>
      </c>
      <c r="AK85" s="40" t="s">
        <v>78</v>
      </c>
      <c r="AL85" s="40" t="s">
        <v>78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750</v>
      </c>
      <c r="AP85" s="26">
        <f>VLOOKUP($R85,武学奇术!$A:$ZZ,28,FALSE)</f>
        <v>2.7126</v>
      </c>
      <c r="AQ85" s="27">
        <f>VLOOKUP($R85,武学奇术!$A:$ZZ,29,FALSE)*(1+IF(OR($AM85=$F$4,$AM85=$F$5),$B$22,0))</f>
        <v>408</v>
      </c>
      <c r="AR85" s="26" cm="1">
        <f t="array" ref="AR85">$G$3+IFERROR(VLOOKUP($AM85,$F$4:$G$7,2,FALSE),0)+VLOOKUP($R85,武学奇术!$A:$ZZ,2,FALSE)+SUM(_xlfn.XLOOKUP($S85:$AL85,增益!$A:$A,增益!$B:$B,0))</f>
        <v>0.8541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3636.6</v>
      </c>
      <c r="AU85" cm="1">
        <f t="array" ref="AU85">$E$10*(1+$AS85)+VLOOKUP($R85,武学奇术!$A:$ZZ,4,FALSE)+SUM(_xlfn.XLOOKUP($S85:$AL85,增益!$A:$A,增益!$D:$D,0))-$I$2</f>
        <v>3636.6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0.3425</v>
      </c>
      <c r="AW85" s="32" cm="1">
        <f t="array" ref="AW85">$G$10+VLOOKUP($R85,武学奇术!$A:$ZZ,7,FALSE)+SUM(_xlfn.XLOOKUP($S85:$AL85,增益!$A:$A,增益!$G:$G,0))</f>
        <v>0.148</v>
      </c>
      <c r="AX85" s="26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2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2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2" cm="1">
        <f t="array" ref="BJ85">$G$13+VLOOKUP($R85,武学奇术!$A:$ZZ,14,FALSE)+SUM(_xlfn.XLOOKUP($S85:$AL85,增益!$A:$A,增益!$N:$N,0))</f>
        <v>0</v>
      </c>
      <c r="BK85">
        <f t="shared" si="29"/>
        <v>571.2</v>
      </c>
      <c r="BL85">
        <f t="shared" si="30"/>
        <v>1627.8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2" cm="1">
        <f t="array" ref="BN85">$G$14+VLOOKUP($R85,武学奇术!$A:$ZZ,16,FALSE)+SUM(_xlfn.XLOOKUP($S85:$AL85,增益!$A:$A,增益!$P:$P,0))</f>
        <v>0.27</v>
      </c>
      <c r="BO85" s="26">
        <f>MIN(IF(VLOOKUP($R85,武学奇术!$A:$ZZ,23,FALSE)=1,100%,$B$8),100%)</f>
        <v>0.981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26" cm="1">
        <f t="array" ref="BQ85">1+$B$13+VLOOKUP($R85,武学奇术!$A:$ZZ,18,FALSE)+SUM(_xlfn.XLOOKUP($S85:$AL85,增益!$A:$A,增益!$R:$R,0))</f>
        <v>1.91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6" cm="1">
        <f t="array" ref="BS85">1+$B$14+VLOOKUP($R85,武学奇术!$A:$ZZ,20,FALSE)+SUM(_xlfn.XLOOKUP($S85:$AL85,增益!$A:$A,增益!$T:$T,0))</f>
        <v>1.35</v>
      </c>
      <c r="BT85" s="26">
        <f t="shared" si="31"/>
        <v>0.829926</v>
      </c>
      <c r="BU85" s="26">
        <f t="shared" si="32"/>
        <v>0.0599391</v>
      </c>
      <c r="BV85" s="26">
        <f>IF(VLOOKUP($R85,武学奇术!$A:$ZZ,22,FALSE)=1,0,(1-$BO85))*(1-$BR85)</f>
        <v>0.0172349</v>
      </c>
      <c r="BW85" s="26" cm="1">
        <f t="array" ref="BW85">SUM(_xlfn.XLOOKUP($S85:$AL85,增益!$A:$A,增益!$W:$W,0))+$I$5</f>
        <v>0.11</v>
      </c>
      <c r="BX85" s="26" cm="1">
        <f t="array" ref="BX85">SUM(_xlfn.XLOOKUP($S85:$AL85,增益!$A:$A,增益!$X:$X,0))</f>
        <v>0</v>
      </c>
    </row>
    <row r="86" spans="1:76">
      <c r="A86" s="4" t="s">
        <v>174</v>
      </c>
      <c r="B86" s="88">
        <v>1</v>
      </c>
      <c r="K86">
        <f>$L86*VLOOKUP($R86,武学奇术!$A:$ZZ,31,FALSE)</f>
        <v>48400.7331114248</v>
      </c>
      <c r="L86" s="38">
        <f t="shared" si="33"/>
        <v>46095.936296595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</f>
        <v>48839.8005793822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</f>
        <v>39289.8054576382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</f>
        <v>25570.5762195719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</f>
        <v>22037.5928408932</v>
      </c>
      <c r="Q86" s="39">
        <v>2</v>
      </c>
      <c r="R86" s="40" t="s">
        <v>119</v>
      </c>
      <c r="S86" s="40" t="s">
        <v>116</v>
      </c>
      <c r="T86" s="40" t="s">
        <v>102</v>
      </c>
      <c r="U86" s="40" t="s">
        <v>79</v>
      </c>
      <c r="V86" s="40" t="s">
        <v>88</v>
      </c>
      <c r="W86" s="40" t="s">
        <v>181</v>
      </c>
      <c r="X86" s="40" t="s">
        <v>106</v>
      </c>
      <c r="Y86" s="40" t="s">
        <v>91</v>
      </c>
      <c r="Z86" s="40" t="s">
        <v>78</v>
      </c>
      <c r="AA86" s="40" t="s">
        <v>78</v>
      </c>
      <c r="AB86" s="40" t="s">
        <v>78</v>
      </c>
      <c r="AC86" s="40" t="s">
        <v>92</v>
      </c>
      <c r="AD86" s="40" t="s">
        <v>78</v>
      </c>
      <c r="AE86" s="40" t="s">
        <v>83</v>
      </c>
      <c r="AF86" s="40" t="s">
        <v>84</v>
      </c>
      <c r="AG86" s="40" t="s">
        <v>85</v>
      </c>
      <c r="AH86" s="40" t="s">
        <v>78</v>
      </c>
      <c r="AI86" s="40" t="s">
        <v>78</v>
      </c>
      <c r="AJ86" s="40" t="s">
        <v>78</v>
      </c>
      <c r="AK86" s="40" t="s">
        <v>78</v>
      </c>
      <c r="AL86" s="40" t="s">
        <v>78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1.0541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3636.6</v>
      </c>
      <c r="AU86" cm="1">
        <f t="array" ref="AU86">$E$10*(1+$AS86)+VLOOKUP($R86,武学奇术!$A:$ZZ,4,FALSE)+SUM(_xlfn.XLOOKUP($S86:$AL86,增益!$A:$A,增益!$D:$D,0))-$I$2</f>
        <v>3636.6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0.3425</v>
      </c>
      <c r="AW86" s="32" cm="1">
        <f t="array" ref="AW86">$G$10+VLOOKUP($R86,武学奇术!$A:$ZZ,7,FALSE)+SUM(_xlfn.XLOOKUP($S86:$AL86,增益!$A:$A,增益!$G:$G,0))</f>
        <v>0.148</v>
      </c>
      <c r="AX86" s="26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2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2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2" cm="1">
        <f t="array" ref="BJ86">$G$13+VLOOKUP($R86,武学奇术!$A:$ZZ,14,FALSE)+SUM(_xlfn.XLOOKUP($S86:$AL86,增益!$A:$A,增益!$N:$N,0))</f>
        <v>0</v>
      </c>
      <c r="BK86">
        <f t="shared" si="29"/>
        <v>571.2</v>
      </c>
      <c r="BL86">
        <f t="shared" si="30"/>
        <v>1627.8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2" cm="1">
        <f t="array" ref="BN86">$G$14+VLOOKUP($R86,武学奇术!$A:$ZZ,16,FALSE)+SUM(_xlfn.XLOOKUP($S86:$AL86,增益!$A:$A,增益!$P:$P,0))</f>
        <v>0.27</v>
      </c>
      <c r="BO86" s="26">
        <f>MIN(IF(VLOOKUP($R86,武学奇术!$A:$ZZ,23,FALSE)=1,100%,$B$8),100%)</f>
        <v>0.981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26" cm="1">
        <f t="array" ref="BQ86">1+$B$13+VLOOKUP($R86,武学奇术!$A:$ZZ,18,FALSE)+SUM(_xlfn.XLOOKUP($S86:$AL86,增益!$A:$A,增益!$R:$R,0))</f>
        <v>1.91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6" cm="1">
        <f t="array" ref="BS86">1+$B$14+VLOOKUP($R86,武学奇术!$A:$ZZ,20,FALSE)+SUM(_xlfn.XLOOKUP($S86:$AL86,增益!$A:$A,增益!$T:$T,0))</f>
        <v>1.35</v>
      </c>
      <c r="BT86" s="26">
        <f t="shared" si="31"/>
        <v>0.829926</v>
      </c>
      <c r="BU86" s="26">
        <f t="shared" si="32"/>
        <v>0.0599391</v>
      </c>
      <c r="BV86" s="26">
        <f>IF(VLOOKUP($R86,武学奇术!$A:$ZZ,22,FALSE)=1,0,(1-$BO86))*(1-$BR86)</f>
        <v>0.0172349</v>
      </c>
      <c r="BW86" s="26" cm="1">
        <f t="array" ref="BW86">SUM(_xlfn.XLOOKUP($S86:$AL86,增益!$A:$A,增益!$W:$W,0))+$I$5</f>
        <v>0.11</v>
      </c>
      <c r="BX86" s="26" cm="1">
        <f t="array" ref="BX86">SUM(_xlfn.XLOOKUP($S86:$AL86,增益!$A:$A,增益!$X:$X,0))</f>
        <v>0</v>
      </c>
    </row>
    <row r="87" spans="1:76">
      <c r="A87" s="4" t="s">
        <v>180</v>
      </c>
      <c r="B87" s="88">
        <v>0.1</v>
      </c>
      <c r="K87">
        <f>$L87*VLOOKUP($R87,武学奇术!$A:$ZZ,31,FALSE)</f>
        <v>85632.5185424377</v>
      </c>
      <c r="L87" s="38">
        <f t="shared" si="33"/>
        <v>81554.7795642264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</f>
        <v>86814.2454821675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</f>
        <v>66700.7076657963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</f>
        <v>44068.1449148059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</f>
        <v>38728.3582253181</v>
      </c>
      <c r="Q87" s="39">
        <v>1</v>
      </c>
      <c r="R87" s="40" t="s">
        <v>115</v>
      </c>
      <c r="S87" s="40" t="s">
        <v>116</v>
      </c>
      <c r="T87" s="40" t="s">
        <v>102</v>
      </c>
      <c r="U87" s="40" t="s">
        <v>79</v>
      </c>
      <c r="V87" s="40" t="s">
        <v>88</v>
      </c>
      <c r="W87" s="40" t="s">
        <v>181</v>
      </c>
      <c r="X87" s="40" t="s">
        <v>106</v>
      </c>
      <c r="Y87" s="40" t="s">
        <v>91</v>
      </c>
      <c r="Z87" s="40" t="s">
        <v>78</v>
      </c>
      <c r="AA87" s="40" t="s">
        <v>78</v>
      </c>
      <c r="AB87" s="40" t="s">
        <v>122</v>
      </c>
      <c r="AC87" s="40" t="s">
        <v>98</v>
      </c>
      <c r="AD87" s="40" t="s">
        <v>78</v>
      </c>
      <c r="AE87" s="40" t="s">
        <v>83</v>
      </c>
      <c r="AF87" s="40" t="s">
        <v>84</v>
      </c>
      <c r="AG87" s="40" t="s">
        <v>85</v>
      </c>
      <c r="AH87" s="40" t="s">
        <v>78</v>
      </c>
      <c r="AI87" s="40" t="s">
        <v>78</v>
      </c>
      <c r="AJ87" s="40" t="s">
        <v>78</v>
      </c>
      <c r="AK87" s="40" t="s">
        <v>78</v>
      </c>
      <c r="AL87" s="40" t="s">
        <v>78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750</v>
      </c>
      <c r="AP87" s="26">
        <f>VLOOKUP($R87,武学奇术!$A:$ZZ,28,FALSE)</f>
        <v>2.7126</v>
      </c>
      <c r="AQ87" s="27">
        <f>VLOOKUP($R87,武学奇术!$A:$ZZ,29,FALSE)*(1+IF(OR($AM87=$F$4,$AM87=$F$5),$B$22,0))</f>
        <v>408</v>
      </c>
      <c r="AR87" s="26" cm="1">
        <f t="array" ref="AR87">$G$3+IFERROR(VLOOKUP($AM87,$F$4:$G$7,2,FALSE),0)+VLOOKUP($R87,武学奇术!$A:$ZZ,2,FALSE)+SUM(_xlfn.XLOOKUP($S87:$AL87,增益!$A:$A,增益!$B:$B,0))</f>
        <v>0.8541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3636.6</v>
      </c>
      <c r="AU87" cm="1">
        <f t="array" ref="AU87">$E$10*(1+$AS87)+VLOOKUP($R87,武学奇术!$A:$ZZ,4,FALSE)+SUM(_xlfn.XLOOKUP($S87:$AL87,增益!$A:$A,增益!$D:$D,0))-$I$2</f>
        <v>3636.6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0.3425</v>
      </c>
      <c r="AW87" s="32" cm="1">
        <f t="array" ref="AW87">$G$10+VLOOKUP($R87,武学奇术!$A:$ZZ,7,FALSE)+SUM(_xlfn.XLOOKUP($S87:$AL87,增益!$A:$A,增益!$G:$G,0))</f>
        <v>0.148</v>
      </c>
      <c r="AX87" s="26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2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2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2" cm="1">
        <f t="array" ref="BJ87">$G$13+VLOOKUP($R87,武学奇术!$A:$ZZ,14,FALSE)+SUM(_xlfn.XLOOKUP($S87:$AL87,增益!$A:$A,增益!$N:$N,0))</f>
        <v>0</v>
      </c>
      <c r="BK87">
        <f t="shared" si="29"/>
        <v>571.2</v>
      </c>
      <c r="BL87">
        <f t="shared" si="30"/>
        <v>1627.8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2" cm="1">
        <f t="array" ref="BN87">$G$14+VLOOKUP($R87,武学奇术!$A:$ZZ,16,FALSE)+SUM(_xlfn.XLOOKUP($S87:$AL87,增益!$A:$A,增益!$P:$P,0))</f>
        <v>0.27</v>
      </c>
      <c r="BO87" s="26">
        <f>MIN(IF(VLOOKUP($R87,武学奇术!$A:$ZZ,23,FALSE)=1,100%,$B$8),100%)</f>
        <v>0.981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26" cm="1">
        <f t="array" ref="BQ87">1+$B$13+VLOOKUP($R87,武学奇术!$A:$ZZ,18,FALSE)+SUM(_xlfn.XLOOKUP($S87:$AL87,增益!$A:$A,增益!$R:$R,0))</f>
        <v>1.97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6" cm="1">
        <f t="array" ref="BS87">1+$B$14+VLOOKUP($R87,武学奇术!$A:$ZZ,20,FALSE)+SUM(_xlfn.XLOOKUP($S87:$AL87,增益!$A:$A,增益!$T:$T,0))</f>
        <v>1.35</v>
      </c>
      <c r="BT87" s="26">
        <f t="shared" si="31"/>
        <v>0.829926</v>
      </c>
      <c r="BU87" s="26">
        <f t="shared" si="32"/>
        <v>0.0599391</v>
      </c>
      <c r="BV87" s="26">
        <f>IF(VLOOKUP($R87,武学奇术!$A:$ZZ,22,FALSE)=1,0,(1-$BO87))*(1-$BR87)</f>
        <v>0.0172349</v>
      </c>
      <c r="BW87" s="26" cm="1">
        <f t="array" ref="BW87">SUM(_xlfn.XLOOKUP($S87:$AL87,增益!$A:$A,增益!$W:$W,0))+$I$5</f>
        <v>0.11</v>
      </c>
      <c r="BX87" s="26" cm="1">
        <f t="array" ref="BX87">SUM(_xlfn.XLOOKUP($S87:$AL87,增益!$A:$A,增益!$X:$X,0))</f>
        <v>0</v>
      </c>
    </row>
    <row r="88" spans="1:76">
      <c r="A88" s="4" t="s">
        <v>190</v>
      </c>
      <c r="B88" s="4">
        <v>2</v>
      </c>
      <c r="D88" s="39" t="s">
        <v>161</v>
      </c>
      <c r="F88" s="39" t="s">
        <v>165</v>
      </c>
      <c r="K88">
        <f>$L88*VLOOKUP($R88,武学奇术!$A:$ZZ,31,FALSE)</f>
        <v>49737.6993319199</v>
      </c>
      <c r="L88" s="38">
        <f t="shared" si="33"/>
        <v>47369.2374589713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</f>
        <v>50374.0351525566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</f>
        <v>39289.8054576382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</f>
        <v>25570.5762195719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</f>
        <v>22037.5928408932</v>
      </c>
      <c r="Q88" s="39">
        <v>2</v>
      </c>
      <c r="R88" s="40" t="s">
        <v>119</v>
      </c>
      <c r="S88" s="40" t="s">
        <v>116</v>
      </c>
      <c r="T88" s="40" t="s">
        <v>102</v>
      </c>
      <c r="U88" s="40" t="s">
        <v>79</v>
      </c>
      <c r="V88" s="40" t="s">
        <v>88</v>
      </c>
      <c r="W88" s="40" t="s">
        <v>181</v>
      </c>
      <c r="X88" s="40" t="s">
        <v>106</v>
      </c>
      <c r="Y88" s="40" t="s">
        <v>91</v>
      </c>
      <c r="Z88" s="40" t="s">
        <v>78</v>
      </c>
      <c r="AA88" s="40" t="s">
        <v>78</v>
      </c>
      <c r="AB88" s="40" t="s">
        <v>122</v>
      </c>
      <c r="AC88" s="40" t="s">
        <v>98</v>
      </c>
      <c r="AD88" s="40" t="s">
        <v>78</v>
      </c>
      <c r="AE88" s="40" t="s">
        <v>83</v>
      </c>
      <c r="AF88" s="40" t="s">
        <v>84</v>
      </c>
      <c r="AG88" s="40" t="s">
        <v>85</v>
      </c>
      <c r="AH88" s="40" t="s">
        <v>78</v>
      </c>
      <c r="AI88" s="40" t="s">
        <v>78</v>
      </c>
      <c r="AJ88" s="40" t="s">
        <v>78</v>
      </c>
      <c r="AK88" s="40" t="s">
        <v>78</v>
      </c>
      <c r="AL88" s="40" t="s">
        <v>78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1.0541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3636.6</v>
      </c>
      <c r="AU88" cm="1">
        <f t="array" ref="AU88">$E$10*(1+$AS88)+VLOOKUP($R88,武学奇术!$A:$ZZ,4,FALSE)+SUM(_xlfn.XLOOKUP($S88:$AL88,增益!$A:$A,增益!$D:$D,0))-$I$2</f>
        <v>3636.6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0.3425</v>
      </c>
      <c r="AW88" s="32" cm="1">
        <f t="array" ref="AW88">$G$10+VLOOKUP($R88,武学奇术!$A:$ZZ,7,FALSE)+SUM(_xlfn.XLOOKUP($S88:$AL88,增益!$A:$A,增益!$G:$G,0))</f>
        <v>0.148</v>
      </c>
      <c r="AX88" s="26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2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2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2" cm="1">
        <f t="array" ref="BJ88">$G$13+VLOOKUP($R88,武学奇术!$A:$ZZ,14,FALSE)+SUM(_xlfn.XLOOKUP($S88:$AL88,增益!$A:$A,增益!$N:$N,0))</f>
        <v>0</v>
      </c>
      <c r="BK88">
        <f t="shared" si="29"/>
        <v>571.2</v>
      </c>
      <c r="BL88">
        <f t="shared" si="30"/>
        <v>1627.8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2" cm="1">
        <f t="array" ref="BN88">$G$14+VLOOKUP($R88,武学奇术!$A:$ZZ,16,FALSE)+SUM(_xlfn.XLOOKUP($S88:$AL88,增益!$A:$A,增益!$P:$P,0))</f>
        <v>0.27</v>
      </c>
      <c r="BO88" s="26">
        <f>MIN(IF(VLOOKUP($R88,武学奇术!$A:$ZZ,23,FALSE)=1,100%,$B$8),100%)</f>
        <v>0.981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26" cm="1">
        <f t="array" ref="BQ88">1+$B$13+VLOOKUP($R88,武学奇术!$A:$ZZ,18,FALSE)+SUM(_xlfn.XLOOKUP($S88:$AL88,增益!$A:$A,增益!$R:$R,0))</f>
        <v>1.97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6" cm="1">
        <f t="array" ref="BS88">1+$B$14+VLOOKUP($R88,武学奇术!$A:$ZZ,20,FALSE)+SUM(_xlfn.XLOOKUP($S88:$AL88,增益!$A:$A,增益!$T:$T,0))</f>
        <v>1.35</v>
      </c>
      <c r="BT88" s="26">
        <f t="shared" si="31"/>
        <v>0.829926</v>
      </c>
      <c r="BU88" s="26">
        <f t="shared" si="32"/>
        <v>0.0599391</v>
      </c>
      <c r="BV88" s="26">
        <f>IF(VLOOKUP($R88,武学奇术!$A:$ZZ,22,FALSE)=1,0,(1-$BO88))*(1-$BR88)</f>
        <v>0.0172349</v>
      </c>
      <c r="BW88" s="26" cm="1">
        <f t="array" ref="BW88">SUM(_xlfn.XLOOKUP($S88:$AL88,增益!$A:$A,增益!$W:$W,0))+$I$5</f>
        <v>0.11</v>
      </c>
      <c r="BX88" s="26" cm="1">
        <f t="array" ref="BX88">SUM(_xlfn.XLOOKUP($S88:$AL88,增益!$A:$A,增益!$X:$X,0))</f>
        <v>0</v>
      </c>
    </row>
    <row r="89" spans="1:76">
      <c r="A89" s="4" t="s">
        <v>169</v>
      </c>
      <c r="B89" s="4">
        <v>1</v>
      </c>
      <c r="D89" s="39"/>
      <c r="E89" s="94" t="s">
        <v>171</v>
      </c>
      <c r="F89" s="39"/>
      <c r="G89" s="4"/>
      <c r="K89">
        <f>$L89*VLOOKUP($R89,武学奇术!$A:$ZZ,31,FALSE)</f>
        <v>87936.6363943413</v>
      </c>
      <c r="L89" s="38">
        <f t="shared" si="33"/>
        <v>83749.1775184203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</f>
        <v>89458.3341770559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</f>
        <v>66700.7076657963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</f>
        <v>44068.1449148059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</f>
        <v>38728.3582253181</v>
      </c>
      <c r="Q89" s="39">
        <v>1</v>
      </c>
      <c r="R89" s="40" t="s">
        <v>115</v>
      </c>
      <c r="S89" s="40" t="s">
        <v>116</v>
      </c>
      <c r="T89" s="40" t="s">
        <v>102</v>
      </c>
      <c r="U89" s="40" t="s">
        <v>79</v>
      </c>
      <c r="V89" s="40" t="s">
        <v>88</v>
      </c>
      <c r="W89" s="40" t="s">
        <v>181</v>
      </c>
      <c r="X89" s="40" t="s">
        <v>106</v>
      </c>
      <c r="Y89" s="40" t="s">
        <v>91</v>
      </c>
      <c r="Z89" s="40" t="s">
        <v>78</v>
      </c>
      <c r="AA89" s="40" t="s">
        <v>78</v>
      </c>
      <c r="AB89" s="40" t="s">
        <v>127</v>
      </c>
      <c r="AC89" s="40" t="s">
        <v>98</v>
      </c>
      <c r="AD89" s="40" t="s">
        <v>78</v>
      </c>
      <c r="AE89" s="40" t="s">
        <v>83</v>
      </c>
      <c r="AF89" s="40" t="s">
        <v>84</v>
      </c>
      <c r="AG89" s="40" t="s">
        <v>85</v>
      </c>
      <c r="AH89" s="40" t="s">
        <v>78</v>
      </c>
      <c r="AI89" s="40" t="s">
        <v>78</v>
      </c>
      <c r="AJ89" s="40" t="s">
        <v>78</v>
      </c>
      <c r="AK89" s="40" t="s">
        <v>78</v>
      </c>
      <c r="AL89" s="40" t="s">
        <v>78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750</v>
      </c>
      <c r="AP89" s="26">
        <f>VLOOKUP($R89,武学奇术!$A:$ZZ,28,FALSE)</f>
        <v>2.7126</v>
      </c>
      <c r="AQ89" s="27">
        <f>VLOOKUP($R89,武学奇术!$A:$ZZ,29,FALSE)*(1+IF(OR($AM89=$F$4,$AM89=$F$5),$B$22,0))</f>
        <v>408</v>
      </c>
      <c r="AR89" s="26" cm="1">
        <f t="array" ref="AR89">$G$3+IFERROR(VLOOKUP($AM89,$F$4:$G$7,2,FALSE),0)+VLOOKUP($R89,武学奇术!$A:$ZZ,2,FALSE)+SUM(_xlfn.XLOOKUP($S89:$AL89,增益!$A:$A,增益!$B:$B,0))</f>
        <v>0.8541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3636.6</v>
      </c>
      <c r="AU89" cm="1">
        <f t="array" ref="AU89">$E$10*(1+$AS89)+VLOOKUP($R89,武学奇术!$A:$ZZ,4,FALSE)+SUM(_xlfn.XLOOKUP($S89:$AL89,增益!$A:$A,增益!$D:$D,0))-$I$2</f>
        <v>3636.6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0.3425</v>
      </c>
      <c r="AW89" s="32" cm="1">
        <f t="array" ref="AW89">$G$10+VLOOKUP($R89,武学奇术!$A:$ZZ,7,FALSE)+SUM(_xlfn.XLOOKUP($S89:$AL89,增益!$A:$A,增益!$G:$G,0))</f>
        <v>0.148</v>
      </c>
      <c r="AX89" s="26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2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2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2" cm="1">
        <f t="array" ref="BJ89">$G$13+VLOOKUP($R89,武学奇术!$A:$ZZ,14,FALSE)+SUM(_xlfn.XLOOKUP($S89:$AL89,增益!$A:$A,增益!$N:$N,0))</f>
        <v>0</v>
      </c>
      <c r="BK89">
        <f t="shared" si="29"/>
        <v>571.2</v>
      </c>
      <c r="BL89">
        <f t="shared" si="30"/>
        <v>1627.8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2" cm="1">
        <f t="array" ref="BN89">$G$14+VLOOKUP($R89,武学奇术!$A:$ZZ,16,FALSE)+SUM(_xlfn.XLOOKUP($S89:$AL89,增益!$A:$A,增益!$P:$P,0))</f>
        <v>0.27</v>
      </c>
      <c r="BO89" s="26">
        <f>MIN(IF(VLOOKUP($R89,武学奇术!$A:$ZZ,23,FALSE)=1,100%,$B$8),100%)</f>
        <v>0.981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26" cm="1">
        <f t="array" ref="BQ89">1+$B$13+VLOOKUP($R89,武学奇术!$A:$ZZ,18,FALSE)+SUM(_xlfn.XLOOKUP($S89:$AL89,增益!$A:$A,增益!$R:$R,0))</f>
        <v>2.03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6" cm="1">
        <f t="array" ref="BS89">1+$B$14+VLOOKUP($R89,武学奇术!$A:$ZZ,20,FALSE)+SUM(_xlfn.XLOOKUP($S89:$AL89,增益!$A:$A,增益!$T:$T,0))</f>
        <v>1.35</v>
      </c>
      <c r="BT89" s="26">
        <f t="shared" si="31"/>
        <v>0.829926</v>
      </c>
      <c r="BU89" s="26">
        <f t="shared" si="32"/>
        <v>0.0599391</v>
      </c>
      <c r="BV89" s="26">
        <f>IF(VLOOKUP($R89,武学奇术!$A:$ZZ,22,FALSE)=1,0,(1-$BO89))*(1-$BR89)</f>
        <v>0.0172349</v>
      </c>
      <c r="BW89" s="26" cm="1">
        <f t="array" ref="BW89">SUM(_xlfn.XLOOKUP($S89:$AL89,增益!$A:$A,增益!$W:$W,0))+$I$5</f>
        <v>0.11</v>
      </c>
      <c r="BX89" s="26" cm="1">
        <f t="array" ref="BX89">SUM(_xlfn.XLOOKUP($S89:$AL89,增益!$A:$A,增益!$X:$X,0))</f>
        <v>0</v>
      </c>
    </row>
    <row r="90" spans="1:76">
      <c r="A90" s="4" t="s">
        <v>172</v>
      </c>
      <c r="B90" s="4">
        <v>0.85</v>
      </c>
      <c r="D90" s="39"/>
      <c r="E90" s="94"/>
      <c r="F90" s="39"/>
      <c r="K90">
        <f>$L90*VLOOKUP($R90,武学奇术!$A:$ZZ,31,FALSE)</f>
        <v>51074.6655524149</v>
      </c>
      <c r="L90" s="38">
        <f t="shared" si="33"/>
        <v>48642.5386213476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</f>
        <v>51908.2697257309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</f>
        <v>39289.8054576382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</f>
        <v>25570.5762195719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</f>
        <v>22037.5928408932</v>
      </c>
      <c r="Q90" s="39">
        <v>2</v>
      </c>
      <c r="R90" s="40" t="s">
        <v>119</v>
      </c>
      <c r="S90" s="40" t="s">
        <v>116</v>
      </c>
      <c r="T90" s="40" t="s">
        <v>102</v>
      </c>
      <c r="U90" s="40" t="s">
        <v>79</v>
      </c>
      <c r="V90" s="40" t="s">
        <v>88</v>
      </c>
      <c r="W90" s="40" t="s">
        <v>181</v>
      </c>
      <c r="X90" s="40" t="s">
        <v>106</v>
      </c>
      <c r="Y90" s="40" t="s">
        <v>91</v>
      </c>
      <c r="Z90" s="40" t="s">
        <v>78</v>
      </c>
      <c r="AA90" s="40" t="s">
        <v>78</v>
      </c>
      <c r="AB90" s="40" t="s">
        <v>127</v>
      </c>
      <c r="AC90" s="40" t="s">
        <v>98</v>
      </c>
      <c r="AD90" s="40" t="s">
        <v>78</v>
      </c>
      <c r="AE90" s="40" t="s">
        <v>83</v>
      </c>
      <c r="AF90" s="40" t="s">
        <v>84</v>
      </c>
      <c r="AG90" s="40" t="s">
        <v>85</v>
      </c>
      <c r="AH90" s="40" t="s">
        <v>78</v>
      </c>
      <c r="AI90" s="40" t="s">
        <v>78</v>
      </c>
      <c r="AJ90" s="40" t="s">
        <v>78</v>
      </c>
      <c r="AK90" s="40" t="s">
        <v>78</v>
      </c>
      <c r="AL90" s="40" t="s">
        <v>78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1.0541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3636.6</v>
      </c>
      <c r="AU90" cm="1">
        <f t="array" ref="AU90">$E$10*(1+$AS90)+VLOOKUP($R90,武学奇术!$A:$ZZ,4,FALSE)+SUM(_xlfn.XLOOKUP($S90:$AL90,增益!$A:$A,增益!$D:$D,0))-$I$2</f>
        <v>3636.6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0.3425</v>
      </c>
      <c r="AW90" s="32" cm="1">
        <f t="array" ref="AW90">$G$10+VLOOKUP($R90,武学奇术!$A:$ZZ,7,FALSE)+SUM(_xlfn.XLOOKUP($S90:$AL90,增益!$A:$A,增益!$G:$G,0))</f>
        <v>0.148</v>
      </c>
      <c r="AX90" s="26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2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2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2" cm="1">
        <f t="array" ref="BJ90">$G$13+VLOOKUP($R90,武学奇术!$A:$ZZ,14,FALSE)+SUM(_xlfn.XLOOKUP($S90:$AL90,增益!$A:$A,增益!$N:$N,0))</f>
        <v>0</v>
      </c>
      <c r="BK90">
        <f t="shared" si="29"/>
        <v>571.2</v>
      </c>
      <c r="BL90">
        <f t="shared" si="30"/>
        <v>1627.8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2" cm="1">
        <f t="array" ref="BN90">$G$14+VLOOKUP($R90,武学奇术!$A:$ZZ,16,FALSE)+SUM(_xlfn.XLOOKUP($S90:$AL90,增益!$A:$A,增益!$P:$P,0))</f>
        <v>0.27</v>
      </c>
      <c r="BO90" s="26">
        <f>MIN(IF(VLOOKUP($R90,武学奇术!$A:$ZZ,23,FALSE)=1,100%,$B$8),100%)</f>
        <v>0.981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26" cm="1">
        <f t="array" ref="BQ90">1+$B$13+VLOOKUP($R90,武学奇术!$A:$ZZ,18,FALSE)+SUM(_xlfn.XLOOKUP($S90:$AL90,增益!$A:$A,增益!$R:$R,0))</f>
        <v>2.03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6" cm="1">
        <f t="array" ref="BS90">1+$B$14+VLOOKUP($R90,武学奇术!$A:$ZZ,20,FALSE)+SUM(_xlfn.XLOOKUP($S90:$AL90,增益!$A:$A,增益!$T:$T,0))</f>
        <v>1.35</v>
      </c>
      <c r="BT90" s="26">
        <f t="shared" si="31"/>
        <v>0.829926</v>
      </c>
      <c r="BU90" s="26">
        <f t="shared" si="32"/>
        <v>0.0599391</v>
      </c>
      <c r="BV90" s="26">
        <f>IF(VLOOKUP($R90,武学奇术!$A:$ZZ,22,FALSE)=1,0,(1-$BO90))*(1-$BR90)</f>
        <v>0.0172349</v>
      </c>
      <c r="BW90" s="26" cm="1">
        <f t="array" ref="BW90">SUM(_xlfn.XLOOKUP($S90:$AL90,增益!$A:$A,增益!$W:$W,0))+$I$5</f>
        <v>0.11</v>
      </c>
      <c r="BX90" s="26" cm="1">
        <f t="array" ref="BX90">SUM(_xlfn.XLOOKUP($S90:$AL90,增益!$A:$A,增益!$X:$X,0))</f>
        <v>0</v>
      </c>
    </row>
    <row r="91" spans="1:76">
      <c r="A91" s="4" t="s">
        <v>169</v>
      </c>
      <c r="B91" s="88">
        <v>1</v>
      </c>
      <c r="D91" s="39"/>
      <c r="E91" s="94"/>
      <c r="F91" s="39"/>
      <c r="K91">
        <f>$L91*VLOOKUP($R91,武学奇术!$A:$ZZ,31,FALSE)</f>
        <v>211202.820024308</v>
      </c>
      <c r="L91" s="38">
        <f t="shared" si="33"/>
        <v>201145.542880293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</f>
        <v>201145.542880293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</f>
        <v>147791.298868791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</f>
        <v>97643.4674176179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</f>
        <v>85811.8986361318</v>
      </c>
      <c r="Q91" s="39">
        <v>2</v>
      </c>
      <c r="R91" s="40" t="s">
        <v>132</v>
      </c>
      <c r="S91" s="40" t="s">
        <v>116</v>
      </c>
      <c r="T91" s="40" t="s">
        <v>102</v>
      </c>
      <c r="U91" s="40" t="s">
        <v>79</v>
      </c>
      <c r="V91" s="40" t="s">
        <v>88</v>
      </c>
      <c r="W91" s="40" t="s">
        <v>181</v>
      </c>
      <c r="X91" s="40" t="s">
        <v>106</v>
      </c>
      <c r="Y91" s="40" t="s">
        <v>91</v>
      </c>
      <c r="Z91" s="40" t="s">
        <v>78</v>
      </c>
      <c r="AA91" s="40" t="s">
        <v>78</v>
      </c>
      <c r="AB91" s="40" t="s">
        <v>133</v>
      </c>
      <c r="AC91" s="40" t="s">
        <v>98</v>
      </c>
      <c r="AD91" s="40" t="s">
        <v>78</v>
      </c>
      <c r="AE91" s="40" t="s">
        <v>83</v>
      </c>
      <c r="AF91" s="40" t="s">
        <v>84</v>
      </c>
      <c r="AG91" s="40" t="s">
        <v>85</v>
      </c>
      <c r="AH91" s="40" t="s">
        <v>78</v>
      </c>
      <c r="AI91" s="40" t="s">
        <v>78</v>
      </c>
      <c r="AJ91" s="40" t="s">
        <v>78</v>
      </c>
      <c r="AK91" s="40" t="s">
        <v>78</v>
      </c>
      <c r="AL91" s="40" t="s">
        <v>78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750</v>
      </c>
      <c r="AP91" s="26">
        <f>VLOOKUP($R91,武学奇术!$A:$ZZ,28,FALSE)</f>
        <v>2.7126</v>
      </c>
      <c r="AQ91" s="27">
        <f>VLOOKUP($R91,武学奇术!$A:$ZZ,29,FALSE)*(1+IF(OR($AM91=$F$4,$AM91=$F$5),$B$22,0))</f>
        <v>408</v>
      </c>
      <c r="AR91" s="26" cm="1">
        <f t="array" ref="AR91">$G$3+IFERROR(VLOOKUP($AM91,$F$4:$G$7,2,FALSE),0)+VLOOKUP($R91,武学奇术!$A:$ZZ,2,FALSE)+SUM(_xlfn.XLOOKUP($S91:$AL91,增益!$A:$A,增益!$B:$B,0))</f>
        <v>1.0541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3636.6</v>
      </c>
      <c r="AU91" cm="1">
        <f t="array" ref="AU91">$E$10*(1+$AS91)+VLOOKUP($R91,武学奇术!$A:$ZZ,4,FALSE)+SUM(_xlfn.XLOOKUP($S91:$AL91,增益!$A:$A,增益!$D:$D,0))-$I$2</f>
        <v>3636.6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0.3425</v>
      </c>
      <c r="AW91" s="32" cm="1">
        <f t="array" ref="AW91">$G$10+VLOOKUP($R91,武学奇术!$A:$ZZ,7,FALSE)+SUM(_xlfn.XLOOKUP($S91:$AL91,增益!$A:$A,增益!$G:$G,0))</f>
        <v>0.148</v>
      </c>
      <c r="AX91" s="26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2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2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2" cm="1">
        <f t="array" ref="BJ91">$G$13+VLOOKUP($R91,武学奇术!$A:$ZZ,14,FALSE)+SUM(_xlfn.XLOOKUP($S91:$AL91,增益!$A:$A,增益!$N:$N,0))</f>
        <v>0</v>
      </c>
      <c r="BK91">
        <f t="shared" si="29"/>
        <v>571.2</v>
      </c>
      <c r="BL91">
        <f t="shared" si="30"/>
        <v>1627.8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2" cm="1">
        <f t="array" ref="BN91">$G$14+VLOOKUP($R91,武学奇术!$A:$ZZ,16,FALSE)+SUM(_xlfn.XLOOKUP($S91:$AL91,增益!$A:$A,增益!$P:$P,0))</f>
        <v>0.27</v>
      </c>
      <c r="BO91" s="26">
        <f>MIN(IF(VLOOKUP($R91,武学奇术!$A:$ZZ,23,FALSE)=1,100%,$B$8),100%)</f>
        <v>1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6" cm="1">
        <f t="array" ref="BQ91">1+$B$13+VLOOKUP($R91,武学奇术!$A:$ZZ,18,FALSE)+SUM(_xlfn.XLOOKUP($S91:$AL91,增益!$A:$A,增益!$R:$R,0))</f>
        <v>2.06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6" cm="1">
        <f t="array" ref="BS91">1+$B$14+VLOOKUP($R91,武学奇术!$A:$ZZ,20,FALSE)+SUM(_xlfn.XLOOKUP($S91:$AL91,增益!$A:$A,增益!$T:$T,0))</f>
        <v>1.35</v>
      </c>
      <c r="BT91" s="26">
        <f t="shared" si="31"/>
        <v>1</v>
      </c>
      <c r="BU91" s="26">
        <f t="shared" si="32"/>
        <v>0</v>
      </c>
      <c r="BV91" s="26">
        <f>IF(VLOOKUP($R91,武学奇术!$A:$ZZ,22,FALSE)=1,0,(1-$BO91))*(1-$BR91)</f>
        <v>0</v>
      </c>
      <c r="BW91" s="26" cm="1">
        <f t="array" ref="BW91">SUM(_xlfn.XLOOKUP($S91:$AL91,增益!$A:$A,增益!$W:$W,0))+$I$5</f>
        <v>0.11</v>
      </c>
      <c r="BX91" s="26" cm="1">
        <f t="array" ref="BX91">SUM(_xlfn.XLOOKUP($S91:$AL91,增益!$A:$A,增益!$X:$X,0))</f>
        <v>0</v>
      </c>
    </row>
    <row r="92" spans="1:76">
      <c r="A92" s="4" t="s">
        <v>169</v>
      </c>
      <c r="B92" s="4">
        <v>1</v>
      </c>
      <c r="D92" s="39"/>
      <c r="E92" s="94"/>
      <c r="F92" s="39"/>
      <c r="K92">
        <f>$L92*VLOOKUP($R92,武学奇术!$A:$ZZ,31,FALSE)</f>
        <v>121388.802256647</v>
      </c>
      <c r="L92" s="38">
        <f t="shared" si="33"/>
        <v>115608.383101569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</f>
        <v>115608.383101569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</f>
        <v>86230.612416204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</f>
        <v>56120.5743211498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</f>
        <v>48366.620926593</v>
      </c>
      <c r="Q92" s="39">
        <v>4</v>
      </c>
      <c r="R92" s="40" t="s">
        <v>139</v>
      </c>
      <c r="S92" s="40" t="s">
        <v>116</v>
      </c>
      <c r="T92" s="40" t="s">
        <v>102</v>
      </c>
      <c r="U92" s="40" t="s">
        <v>79</v>
      </c>
      <c r="V92" s="40" t="s">
        <v>88</v>
      </c>
      <c r="W92" s="40" t="s">
        <v>181</v>
      </c>
      <c r="X92" s="40" t="s">
        <v>106</v>
      </c>
      <c r="Y92" s="40" t="s">
        <v>91</v>
      </c>
      <c r="Z92" s="40" t="s">
        <v>78</v>
      </c>
      <c r="AA92" s="40" t="s">
        <v>78</v>
      </c>
      <c r="AB92" s="40" t="s">
        <v>133</v>
      </c>
      <c r="AC92" s="40" t="s">
        <v>98</v>
      </c>
      <c r="AD92" s="40" t="s">
        <v>78</v>
      </c>
      <c r="AE92" s="40" t="s">
        <v>83</v>
      </c>
      <c r="AF92" s="40" t="s">
        <v>84</v>
      </c>
      <c r="AG92" s="40" t="s">
        <v>85</v>
      </c>
      <c r="AH92" s="40" t="s">
        <v>78</v>
      </c>
      <c r="AI92" s="40" t="s">
        <v>78</v>
      </c>
      <c r="AJ92" s="40" t="s">
        <v>78</v>
      </c>
      <c r="AK92" s="40" t="s">
        <v>78</v>
      </c>
      <c r="AL92" s="40" t="s">
        <v>78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1.2541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3636.6</v>
      </c>
      <c r="AU92" cm="1">
        <f t="array" ref="AU92">$E$10*(1+$AS92)+VLOOKUP($R92,武学奇术!$A:$ZZ,4,FALSE)+SUM(_xlfn.XLOOKUP($S92:$AL92,增益!$A:$A,增益!$D:$D,0))-$I$2</f>
        <v>3636.6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0.3425</v>
      </c>
      <c r="AW92" s="32" cm="1">
        <f t="array" ref="AW92">$G$10+VLOOKUP($R92,武学奇术!$A:$ZZ,7,FALSE)+SUM(_xlfn.XLOOKUP($S92:$AL92,增益!$A:$A,增益!$G:$G,0))</f>
        <v>0.148</v>
      </c>
      <c r="AX92" s="26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2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2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2" cm="1">
        <f t="array" ref="BJ92">$G$13+VLOOKUP($R92,武学奇术!$A:$ZZ,14,FALSE)+SUM(_xlfn.XLOOKUP($S92:$AL92,增益!$A:$A,增益!$N:$N,0))</f>
        <v>0</v>
      </c>
      <c r="BK92">
        <f t="shared" si="29"/>
        <v>571.2</v>
      </c>
      <c r="BL92">
        <f t="shared" si="30"/>
        <v>1627.8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2" cm="1">
        <f t="array" ref="BN92">$G$14+VLOOKUP($R92,武学奇术!$A:$ZZ,16,FALSE)+SUM(_xlfn.XLOOKUP($S92:$AL92,增益!$A:$A,增益!$P:$P,0))</f>
        <v>0.27</v>
      </c>
      <c r="BO92" s="26">
        <f>MIN(IF(VLOOKUP($R92,武学奇术!$A:$ZZ,23,FALSE)=1,100%,$B$8),100%)</f>
        <v>1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6" cm="1">
        <f t="array" ref="BQ92">1+$B$13+VLOOKUP($R92,武学奇术!$A:$ZZ,18,FALSE)+SUM(_xlfn.XLOOKUP($S92:$AL92,增益!$A:$A,增益!$R:$R,0))</f>
        <v>2.06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6" cm="1">
        <f t="array" ref="BS92">1+$B$14+VLOOKUP($R92,武学奇术!$A:$ZZ,20,FALSE)+SUM(_xlfn.XLOOKUP($S92:$AL92,增益!$A:$A,增益!$T:$T,0))</f>
        <v>1.35</v>
      </c>
      <c r="BT92" s="26">
        <f t="shared" si="31"/>
        <v>1</v>
      </c>
      <c r="BU92" s="26">
        <f t="shared" si="32"/>
        <v>0</v>
      </c>
      <c r="BV92" s="26">
        <f>IF(VLOOKUP($R92,武学奇术!$A:$ZZ,22,FALSE)=1,0,(1-$BO92))*(1-$BR92)</f>
        <v>0</v>
      </c>
      <c r="BW92" s="26" cm="1">
        <f t="array" ref="BW92">SUM(_xlfn.XLOOKUP($S92:$AL92,增益!$A:$A,增益!$W:$W,0))+$I$5</f>
        <v>0.11</v>
      </c>
      <c r="BX92" s="26" cm="1">
        <f t="array" ref="BX92">SUM(_xlfn.XLOOKUP($S92:$AL92,增益!$A:$A,增益!$X:$X,0))</f>
        <v>0</v>
      </c>
    </row>
    <row r="93" spans="1:76">
      <c r="A93" s="4" t="s">
        <v>172</v>
      </c>
      <c r="B93" s="4">
        <v>0.85</v>
      </c>
      <c r="D93" s="39"/>
      <c r="E93" s="94"/>
      <c r="F93" s="39"/>
      <c r="K93">
        <f>$L93*VLOOKUP($R93,武学奇术!$A:$ZZ,31,FALSE)</f>
        <v>356354.781281173</v>
      </c>
      <c r="L93" s="38">
        <f t="shared" si="33"/>
        <v>339385.505982069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</f>
        <v>363121.514098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</f>
        <v>266802.830663185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</f>
        <v>176272.579659223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</f>
        <v>154913.432901273</v>
      </c>
      <c r="Q93" s="39">
        <v>4</v>
      </c>
      <c r="R93" s="40" t="s">
        <v>115</v>
      </c>
      <c r="S93" s="40" t="s">
        <v>116</v>
      </c>
      <c r="T93" s="40" t="s">
        <v>102</v>
      </c>
      <c r="U93" s="40" t="s">
        <v>79</v>
      </c>
      <c r="V93" s="40" t="s">
        <v>88</v>
      </c>
      <c r="W93" s="40" t="s">
        <v>181</v>
      </c>
      <c r="X93" s="40" t="s">
        <v>106</v>
      </c>
      <c r="Y93" s="40" t="s">
        <v>91</v>
      </c>
      <c r="Z93" s="40" t="s">
        <v>78</v>
      </c>
      <c r="AA93" s="40" t="s">
        <v>78</v>
      </c>
      <c r="AB93" s="40" t="s">
        <v>133</v>
      </c>
      <c r="AC93" s="40" t="s">
        <v>98</v>
      </c>
      <c r="AD93" s="40" t="s">
        <v>78</v>
      </c>
      <c r="AE93" s="40" t="s">
        <v>83</v>
      </c>
      <c r="AF93" s="40" t="s">
        <v>84</v>
      </c>
      <c r="AG93" s="40" t="s">
        <v>85</v>
      </c>
      <c r="AH93" s="40" t="s">
        <v>78</v>
      </c>
      <c r="AI93" s="40" t="s">
        <v>78</v>
      </c>
      <c r="AJ93" s="40" t="s">
        <v>78</v>
      </c>
      <c r="AK93" s="40" t="s">
        <v>78</v>
      </c>
      <c r="AL93" s="40" t="s">
        <v>78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750</v>
      </c>
      <c r="AP93" s="26">
        <f>VLOOKUP($R93,武学奇术!$A:$ZZ,28,FALSE)</f>
        <v>2.7126</v>
      </c>
      <c r="AQ93" s="27">
        <f>VLOOKUP($R93,武学奇术!$A:$ZZ,29,FALSE)*(1+IF(OR($AM93=$F$4,$AM93=$F$5),$B$22,0))</f>
        <v>408</v>
      </c>
      <c r="AR93" s="26" cm="1">
        <f t="array" ref="AR93">$G$3+IFERROR(VLOOKUP($AM93,$F$4:$G$7,2,FALSE),0)+VLOOKUP($R93,武学奇术!$A:$ZZ,2,FALSE)+SUM(_xlfn.XLOOKUP($S93:$AL93,增益!$A:$A,增益!$B:$B,0))</f>
        <v>0.8541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3636.6</v>
      </c>
      <c r="AU93" cm="1">
        <f t="array" ref="AU93">$E$10*(1+$AS93)+VLOOKUP($R93,武学奇术!$A:$ZZ,4,FALSE)+SUM(_xlfn.XLOOKUP($S93:$AL93,增益!$A:$A,增益!$D:$D,0))-$I$2</f>
        <v>3636.6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0.3425</v>
      </c>
      <c r="AW93" s="32" cm="1">
        <f t="array" ref="AW93">$G$10+VLOOKUP($R93,武学奇术!$A:$ZZ,7,FALSE)+SUM(_xlfn.XLOOKUP($S93:$AL93,增益!$A:$A,增益!$G:$G,0))</f>
        <v>0.148</v>
      </c>
      <c r="AX93" s="26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2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2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2" cm="1">
        <f t="array" ref="BJ93">$G$13+VLOOKUP($R93,武学奇术!$A:$ZZ,14,FALSE)+SUM(_xlfn.XLOOKUP($S93:$AL93,增益!$A:$A,增益!$N:$N,0))</f>
        <v>0</v>
      </c>
      <c r="BK93">
        <f t="shared" si="29"/>
        <v>571.2</v>
      </c>
      <c r="BL93">
        <f t="shared" si="30"/>
        <v>1627.8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2" cm="1">
        <f t="array" ref="BN93">$G$14+VLOOKUP($R93,武学奇术!$A:$ZZ,16,FALSE)+SUM(_xlfn.XLOOKUP($S93:$AL93,增益!$A:$A,增益!$P:$P,0))</f>
        <v>0.27</v>
      </c>
      <c r="BO93" s="26">
        <f>MIN(IF(VLOOKUP($R93,武学奇术!$A:$ZZ,23,FALSE)=1,100%,$B$8),100%)</f>
        <v>0.981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26" cm="1">
        <f t="array" ref="BQ93">1+$B$13+VLOOKUP($R93,武学奇术!$A:$ZZ,18,FALSE)+SUM(_xlfn.XLOOKUP($S93:$AL93,增益!$A:$A,增益!$R:$R,0))</f>
        <v>2.06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6" cm="1">
        <f t="array" ref="BS93">1+$B$14+VLOOKUP($R93,武学奇术!$A:$ZZ,20,FALSE)+SUM(_xlfn.XLOOKUP($S93:$AL93,增益!$A:$A,增益!$T:$T,0))</f>
        <v>1.35</v>
      </c>
      <c r="BT93" s="26">
        <f t="shared" si="31"/>
        <v>0.829926</v>
      </c>
      <c r="BU93" s="26">
        <f t="shared" si="32"/>
        <v>0.0599391</v>
      </c>
      <c r="BV93" s="26">
        <f>IF(VLOOKUP($R93,武学奇术!$A:$ZZ,22,FALSE)=1,0,(1-$BO93))*(1-$BR93)</f>
        <v>0.0172349</v>
      </c>
      <c r="BW93" s="26" cm="1">
        <f t="array" ref="BW93">SUM(_xlfn.XLOOKUP($S93:$AL93,增益!$A:$A,增益!$W:$W,0))+$I$5</f>
        <v>0.11</v>
      </c>
      <c r="BX93" s="26" cm="1">
        <f t="array" ref="BX93">SUM(_xlfn.XLOOKUP($S93:$AL93,增益!$A:$A,增益!$X:$X,0))</f>
        <v>0</v>
      </c>
    </row>
    <row r="94" spans="1:76">
      <c r="A94" s="4" t="s">
        <v>169</v>
      </c>
      <c r="B94" s="88">
        <v>1</v>
      </c>
      <c r="D94" s="39"/>
      <c r="E94" s="94"/>
      <c r="F94" s="39"/>
      <c r="K94">
        <f>$L94*VLOOKUP($R94,武学奇术!$A:$ZZ,31,FALSE)</f>
        <v>206972.59465065</v>
      </c>
      <c r="L94" s="38">
        <f t="shared" si="33"/>
        <v>197116.756810143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</f>
        <v>210701.548049272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</f>
        <v>157159.221830553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</f>
        <v>102282.304878287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</f>
        <v>88150.3713635727</v>
      </c>
      <c r="Q94" s="39">
        <v>8</v>
      </c>
      <c r="R94" s="40" t="s">
        <v>119</v>
      </c>
      <c r="S94" s="40" t="s">
        <v>116</v>
      </c>
      <c r="T94" s="40" t="s">
        <v>102</v>
      </c>
      <c r="U94" s="40" t="s">
        <v>79</v>
      </c>
      <c r="V94" s="40" t="s">
        <v>88</v>
      </c>
      <c r="W94" s="40" t="s">
        <v>181</v>
      </c>
      <c r="X94" s="40" t="s">
        <v>106</v>
      </c>
      <c r="Y94" s="40" t="s">
        <v>91</v>
      </c>
      <c r="Z94" s="40" t="s">
        <v>78</v>
      </c>
      <c r="AA94" s="40" t="s">
        <v>78</v>
      </c>
      <c r="AB94" s="40" t="s">
        <v>133</v>
      </c>
      <c r="AC94" s="40" t="s">
        <v>98</v>
      </c>
      <c r="AD94" s="40" t="s">
        <v>78</v>
      </c>
      <c r="AE94" s="40" t="s">
        <v>83</v>
      </c>
      <c r="AF94" s="40" t="s">
        <v>84</v>
      </c>
      <c r="AG94" s="40" t="s">
        <v>85</v>
      </c>
      <c r="AH94" s="40" t="s">
        <v>78</v>
      </c>
      <c r="AI94" s="40" t="s">
        <v>78</v>
      </c>
      <c r="AJ94" s="40" t="s">
        <v>78</v>
      </c>
      <c r="AK94" s="40" t="s">
        <v>78</v>
      </c>
      <c r="AL94" s="40" t="s">
        <v>78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1.0541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3636.6</v>
      </c>
      <c r="AU94" cm="1">
        <f t="array" ref="AU94">$E$10*(1+$AS94)+VLOOKUP($R94,武学奇术!$A:$ZZ,4,FALSE)+SUM(_xlfn.XLOOKUP($S94:$AL94,增益!$A:$A,增益!$D:$D,0))-$I$2</f>
        <v>3636.6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0.3425</v>
      </c>
      <c r="AW94" s="32" cm="1">
        <f t="array" ref="AW94">$G$10+VLOOKUP($R94,武学奇术!$A:$ZZ,7,FALSE)+SUM(_xlfn.XLOOKUP($S94:$AL94,增益!$A:$A,增益!$G:$G,0))</f>
        <v>0.148</v>
      </c>
      <c r="AX94" s="26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2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2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2" cm="1">
        <f t="array" ref="BJ94">$G$13+VLOOKUP($R94,武学奇术!$A:$ZZ,14,FALSE)+SUM(_xlfn.XLOOKUP($S94:$AL94,增益!$A:$A,增益!$N:$N,0))</f>
        <v>0</v>
      </c>
      <c r="BK94">
        <f t="shared" si="29"/>
        <v>571.2</v>
      </c>
      <c r="BL94">
        <f t="shared" si="30"/>
        <v>1627.8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0.08</v>
      </c>
      <c r="BN94" s="32" cm="1">
        <f t="array" ref="BN94">$G$14+VLOOKUP($R94,武学奇术!$A:$ZZ,16,FALSE)+SUM(_xlfn.XLOOKUP($S94:$AL94,增益!$A:$A,增益!$P:$P,0))</f>
        <v>0.27</v>
      </c>
      <c r="BO94" s="26">
        <f>MIN(IF(VLOOKUP($R94,武学奇术!$A:$ZZ,23,FALSE)=1,100%,$B$8),100%)</f>
        <v>0.981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26" cm="1">
        <f t="array" ref="BQ94">1+$B$13+VLOOKUP($R94,武学奇术!$A:$ZZ,18,FALSE)+SUM(_xlfn.XLOOKUP($S94:$AL94,增益!$A:$A,增益!$R:$R,0))</f>
        <v>2.06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6" cm="1">
        <f t="array" ref="BS94">1+$B$14+VLOOKUP($R94,武学奇术!$A:$ZZ,20,FALSE)+SUM(_xlfn.XLOOKUP($S94:$AL94,增益!$A:$A,增益!$T:$T,0))</f>
        <v>1.35</v>
      </c>
      <c r="BT94" s="26">
        <f t="shared" si="31"/>
        <v>0.829926</v>
      </c>
      <c r="BU94" s="26">
        <f t="shared" si="32"/>
        <v>0.0599391</v>
      </c>
      <c r="BV94" s="26">
        <f>IF(VLOOKUP($R94,武学奇术!$A:$ZZ,22,FALSE)=1,0,(1-$BO94))*(1-$BR94)</f>
        <v>0.0172349</v>
      </c>
      <c r="BW94" s="26" cm="1">
        <f t="array" ref="BW94">SUM(_xlfn.XLOOKUP($S94:$AL94,增益!$A:$A,增益!$W:$W,0))+$I$5</f>
        <v>0.11</v>
      </c>
      <c r="BX94" s="26" cm="1">
        <f t="array" ref="BX94">SUM(_xlfn.XLOOKUP($S94:$AL94,增益!$A:$A,增益!$X:$X,0))</f>
        <v>0</v>
      </c>
    </row>
    <row r="95" spans="1:76">
      <c r="A95" s="4" t="s">
        <v>169</v>
      </c>
      <c r="B95" s="4">
        <v>1</v>
      </c>
      <c r="D95" s="39"/>
      <c r="E95" s="94"/>
      <c r="F95" s="39"/>
      <c r="K95">
        <f>$L95*VLOOKUP($R95,武学奇术!$A:$ZZ,31,FALSE)</f>
        <v>211202.820024308</v>
      </c>
      <c r="L95" s="38">
        <f t="shared" si="33"/>
        <v>201145.542880293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</f>
        <v>201145.542880293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</f>
        <v>147791.298868791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</f>
        <v>97643.4674176179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</f>
        <v>85811.8986361318</v>
      </c>
      <c r="Q95" s="39">
        <v>2</v>
      </c>
      <c r="R95" s="40" t="s">
        <v>132</v>
      </c>
      <c r="S95" s="40" t="s">
        <v>116</v>
      </c>
      <c r="T95" s="40" t="s">
        <v>102</v>
      </c>
      <c r="U95" s="40" t="s">
        <v>79</v>
      </c>
      <c r="V95" s="40" t="s">
        <v>88</v>
      </c>
      <c r="W95" s="40" t="s">
        <v>181</v>
      </c>
      <c r="X95" s="40" t="s">
        <v>106</v>
      </c>
      <c r="Y95" s="40" t="s">
        <v>91</v>
      </c>
      <c r="Z95" s="40" t="s">
        <v>78</v>
      </c>
      <c r="AA95" s="40" t="s">
        <v>78</v>
      </c>
      <c r="AB95" s="40" t="s">
        <v>133</v>
      </c>
      <c r="AC95" s="40" t="s">
        <v>92</v>
      </c>
      <c r="AD95" s="40" t="s">
        <v>78</v>
      </c>
      <c r="AE95" s="40" t="s">
        <v>83</v>
      </c>
      <c r="AF95" s="40" t="s">
        <v>84</v>
      </c>
      <c r="AG95" s="40" t="s">
        <v>85</v>
      </c>
      <c r="AH95" s="40" t="s">
        <v>78</v>
      </c>
      <c r="AI95" s="40" t="s">
        <v>78</v>
      </c>
      <c r="AJ95" s="40" t="s">
        <v>78</v>
      </c>
      <c r="AK95" s="40" t="s">
        <v>78</v>
      </c>
      <c r="AL95" s="40" t="s">
        <v>78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750</v>
      </c>
      <c r="AP95" s="26">
        <f>VLOOKUP($R95,武学奇术!$A:$ZZ,28,FALSE)</f>
        <v>2.7126</v>
      </c>
      <c r="AQ95" s="27">
        <f>VLOOKUP($R95,武学奇术!$A:$ZZ,29,FALSE)*(1+IF(OR($AM95=$F$4,$AM95=$F$5),$B$22,0))</f>
        <v>408</v>
      </c>
      <c r="AR95" s="26" cm="1">
        <f t="array" ref="AR95">$G$3+IFERROR(VLOOKUP($AM95,$F$4:$G$7,2,FALSE),0)+VLOOKUP($R95,武学奇术!$A:$ZZ,2,FALSE)+SUM(_xlfn.XLOOKUP($S95:$AL95,增益!$A:$A,增益!$B:$B,0))</f>
        <v>1.0541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3636.6</v>
      </c>
      <c r="AU95" cm="1">
        <f t="array" ref="AU95">$E$10*(1+$AS95)+VLOOKUP($R95,武学奇术!$A:$ZZ,4,FALSE)+SUM(_xlfn.XLOOKUP($S95:$AL95,增益!$A:$A,增益!$D:$D,0))-$I$2</f>
        <v>3636.6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0.3425</v>
      </c>
      <c r="AW95" s="32" cm="1">
        <f t="array" ref="AW95">$G$10+VLOOKUP($R95,武学奇术!$A:$ZZ,7,FALSE)+SUM(_xlfn.XLOOKUP($S95:$AL95,增益!$A:$A,增益!$G:$G,0))</f>
        <v>0.148</v>
      </c>
      <c r="AX95" s="26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2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2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2" cm="1">
        <f t="array" ref="BJ95">$G$13+VLOOKUP($R95,武学奇术!$A:$ZZ,14,FALSE)+SUM(_xlfn.XLOOKUP($S95:$AL95,增益!$A:$A,增益!$N:$N,0))</f>
        <v>0</v>
      </c>
      <c r="BK95">
        <f t="shared" si="29"/>
        <v>571.2</v>
      </c>
      <c r="BL95">
        <f t="shared" si="30"/>
        <v>1627.8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0.08</v>
      </c>
      <c r="BN95" s="32" cm="1">
        <f t="array" ref="BN95">$G$14+VLOOKUP($R95,武学奇术!$A:$ZZ,16,FALSE)+SUM(_xlfn.XLOOKUP($S95:$AL95,增益!$A:$A,增益!$P:$P,0))</f>
        <v>0.27</v>
      </c>
      <c r="BO95" s="26">
        <f>MIN(IF(VLOOKUP($R95,武学奇术!$A:$ZZ,23,FALSE)=1,100%,$B$8),100%)</f>
        <v>1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26" cm="1">
        <f t="array" ref="BQ95">1+$B$13+VLOOKUP($R95,武学奇术!$A:$ZZ,18,FALSE)+SUM(_xlfn.XLOOKUP($S95:$AL95,增益!$A:$A,增益!$R:$R,0))</f>
        <v>2.06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26" cm="1">
        <f t="array" ref="BS95">1+$B$14+VLOOKUP($R95,武学奇术!$A:$ZZ,20,FALSE)+SUM(_xlfn.XLOOKUP($S95:$AL95,增益!$A:$A,增益!$T:$T,0))</f>
        <v>1.35</v>
      </c>
      <c r="BT95" s="26">
        <f t="shared" si="31"/>
        <v>1</v>
      </c>
      <c r="BU95" s="26">
        <f t="shared" si="32"/>
        <v>0</v>
      </c>
      <c r="BV95" s="26">
        <f>IF(VLOOKUP($R95,武学奇术!$A:$ZZ,22,FALSE)=1,0,(1-$BO95))*(1-$BR95)</f>
        <v>0</v>
      </c>
      <c r="BW95" s="26" cm="1">
        <f t="array" ref="BW95">SUM(_xlfn.XLOOKUP($S95:$AL95,增益!$A:$A,增益!$W:$W,0))+$I$5</f>
        <v>0.11</v>
      </c>
      <c r="BX95" s="26" cm="1">
        <f t="array" ref="BX95">SUM(_xlfn.XLOOKUP($S95:$AL95,增益!$A:$A,增益!$X:$X,0))</f>
        <v>0</v>
      </c>
    </row>
    <row r="96" spans="1:76">
      <c r="A96" s="4" t="s">
        <v>172</v>
      </c>
      <c r="B96" s="4">
        <v>0.85</v>
      </c>
      <c r="D96" s="39"/>
      <c r="F96" s="39"/>
      <c r="K96">
        <f>$L96*VLOOKUP($R96,武学奇术!$A:$ZZ,31,FALSE)</f>
        <v>91041.6016924853</v>
      </c>
      <c r="L96" s="38">
        <f t="shared" si="33"/>
        <v>86706.2873261765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</f>
        <v>86706.2873261765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</f>
        <v>64672.959312153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</f>
        <v>42090.4307408624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</f>
        <v>36274.9656949447</v>
      </c>
      <c r="Q96" s="39">
        <v>3</v>
      </c>
      <c r="R96" s="40" t="s">
        <v>139</v>
      </c>
      <c r="S96" s="40" t="s">
        <v>116</v>
      </c>
      <c r="T96" s="40" t="s">
        <v>102</v>
      </c>
      <c r="U96" s="40" t="s">
        <v>79</v>
      </c>
      <c r="V96" s="40" t="s">
        <v>88</v>
      </c>
      <c r="W96" s="40" t="s">
        <v>181</v>
      </c>
      <c r="X96" s="40" t="s">
        <v>106</v>
      </c>
      <c r="Y96" s="40" t="s">
        <v>91</v>
      </c>
      <c r="Z96" s="40" t="s">
        <v>78</v>
      </c>
      <c r="AA96" s="40" t="s">
        <v>78</v>
      </c>
      <c r="AB96" s="40" t="s">
        <v>133</v>
      </c>
      <c r="AC96" s="40" t="s">
        <v>92</v>
      </c>
      <c r="AD96" s="40" t="s">
        <v>78</v>
      </c>
      <c r="AE96" s="40" t="s">
        <v>83</v>
      </c>
      <c r="AF96" s="40" t="s">
        <v>84</v>
      </c>
      <c r="AG96" s="40" t="s">
        <v>85</v>
      </c>
      <c r="AH96" s="40" t="s">
        <v>78</v>
      </c>
      <c r="AI96" s="40" t="s">
        <v>78</v>
      </c>
      <c r="AJ96" s="40" t="s">
        <v>78</v>
      </c>
      <c r="AK96" s="40" t="s">
        <v>78</v>
      </c>
      <c r="AL96" s="40" t="s">
        <v>78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1.2541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3636.6</v>
      </c>
      <c r="AU96" cm="1">
        <f t="array" ref="AU96">$E$10*(1+$AS96)+VLOOKUP($R96,武学奇术!$A:$ZZ,4,FALSE)+SUM(_xlfn.XLOOKUP($S96:$AL96,增益!$A:$A,增益!$D:$D,0))-$I$2</f>
        <v>3636.6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0.3425</v>
      </c>
      <c r="AW96" s="32" cm="1">
        <f t="array" ref="AW96">$G$10+VLOOKUP($R96,武学奇术!$A:$ZZ,7,FALSE)+SUM(_xlfn.XLOOKUP($S96:$AL96,增益!$A:$A,增益!$G:$G,0))</f>
        <v>0.148</v>
      </c>
      <c r="AX96" s="26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2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2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2" cm="1">
        <f t="array" ref="BJ96">$G$13+VLOOKUP($R96,武学奇术!$A:$ZZ,14,FALSE)+SUM(_xlfn.XLOOKUP($S96:$AL96,增益!$A:$A,增益!$N:$N,0))</f>
        <v>0</v>
      </c>
      <c r="BK96">
        <f t="shared" si="29"/>
        <v>571.2</v>
      </c>
      <c r="BL96">
        <f t="shared" si="30"/>
        <v>1627.8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0.08</v>
      </c>
      <c r="BN96" s="32" cm="1">
        <f t="array" ref="BN96">$G$14+VLOOKUP($R96,武学奇术!$A:$ZZ,16,FALSE)+SUM(_xlfn.XLOOKUP($S96:$AL96,增益!$A:$A,增益!$P:$P,0))</f>
        <v>0.27</v>
      </c>
      <c r="BO96" s="26">
        <f>MIN(IF(VLOOKUP($R96,武学奇术!$A:$ZZ,23,FALSE)=1,100%,$B$8),100%)</f>
        <v>1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26" cm="1">
        <f t="array" ref="BQ96">1+$B$13+VLOOKUP($R96,武学奇术!$A:$ZZ,18,FALSE)+SUM(_xlfn.XLOOKUP($S96:$AL96,增益!$A:$A,增益!$R:$R,0))</f>
        <v>2.06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26" cm="1">
        <f t="array" ref="BS96">1+$B$14+VLOOKUP($R96,武学奇术!$A:$ZZ,20,FALSE)+SUM(_xlfn.XLOOKUP($S96:$AL96,增益!$A:$A,增益!$T:$T,0))</f>
        <v>1.35</v>
      </c>
      <c r="BT96" s="26">
        <f t="shared" si="31"/>
        <v>1</v>
      </c>
      <c r="BU96" s="26">
        <f t="shared" si="32"/>
        <v>0</v>
      </c>
      <c r="BV96" s="26">
        <f>IF(VLOOKUP($R96,武学奇术!$A:$ZZ,22,FALSE)=1,0,(1-$BO96))*(1-$BR96)</f>
        <v>0</v>
      </c>
      <c r="BW96" s="26" cm="1">
        <f t="array" ref="BW96">SUM(_xlfn.XLOOKUP($S96:$AL96,增益!$A:$A,增益!$W:$W,0))+$I$5</f>
        <v>0.11</v>
      </c>
      <c r="BX96" s="26" cm="1">
        <f t="array" ref="BX96">SUM(_xlfn.XLOOKUP($S96:$AL96,增益!$A:$A,增益!$X:$X,0))</f>
        <v>0</v>
      </c>
    </row>
    <row r="97" spans="1:76">
      <c r="A97" s="4" t="s">
        <v>169</v>
      </c>
      <c r="B97" s="88">
        <v>1</v>
      </c>
      <c r="D97" s="39"/>
      <c r="F97" s="39"/>
      <c r="K97">
        <f>$L97*VLOOKUP($R97,武学奇术!$A:$ZZ,31,FALSE)</f>
        <v>178177.390640586</v>
      </c>
      <c r="L97" s="38">
        <f t="shared" si="33"/>
        <v>169692.752991035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</f>
        <v>181560.757049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</f>
        <v>133401.415331593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</f>
        <v>88136.2898296117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</f>
        <v>77456.7164506363</v>
      </c>
      <c r="Q97" s="39">
        <v>2</v>
      </c>
      <c r="R97" s="40" t="s">
        <v>115</v>
      </c>
      <c r="S97" s="40" t="s">
        <v>116</v>
      </c>
      <c r="T97" s="40" t="s">
        <v>102</v>
      </c>
      <c r="U97" s="40" t="s">
        <v>79</v>
      </c>
      <c r="V97" s="40" t="s">
        <v>88</v>
      </c>
      <c r="W97" s="40" t="s">
        <v>181</v>
      </c>
      <c r="X97" s="40" t="s">
        <v>106</v>
      </c>
      <c r="Y97" s="40" t="s">
        <v>91</v>
      </c>
      <c r="Z97" s="40" t="s">
        <v>78</v>
      </c>
      <c r="AA97" s="40" t="s">
        <v>78</v>
      </c>
      <c r="AB97" s="40" t="s">
        <v>133</v>
      </c>
      <c r="AC97" s="40" t="s">
        <v>92</v>
      </c>
      <c r="AD97" s="40" t="s">
        <v>78</v>
      </c>
      <c r="AE97" s="40" t="s">
        <v>83</v>
      </c>
      <c r="AF97" s="40" t="s">
        <v>84</v>
      </c>
      <c r="AG97" s="40" t="s">
        <v>85</v>
      </c>
      <c r="AH97" s="40" t="s">
        <v>78</v>
      </c>
      <c r="AI97" s="40" t="s">
        <v>78</v>
      </c>
      <c r="AJ97" s="40" t="s">
        <v>78</v>
      </c>
      <c r="AK97" s="40" t="s">
        <v>78</v>
      </c>
      <c r="AL97" s="40" t="s">
        <v>78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750</v>
      </c>
      <c r="AP97" s="26">
        <f>VLOOKUP($R97,武学奇术!$A:$ZZ,28,FALSE)</f>
        <v>2.7126</v>
      </c>
      <c r="AQ97" s="27">
        <f>VLOOKUP($R97,武学奇术!$A:$ZZ,29,FALSE)*(1+IF(OR($AM97=$F$4,$AM97=$F$5),$B$22,0))</f>
        <v>408</v>
      </c>
      <c r="AR97" s="26" cm="1">
        <f t="array" ref="AR97">$G$3+IFERROR(VLOOKUP($AM97,$F$4:$G$7,2,FALSE),0)+VLOOKUP($R97,武学奇术!$A:$ZZ,2,FALSE)+SUM(_xlfn.XLOOKUP($S97:$AL97,增益!$A:$A,增益!$B:$B,0))</f>
        <v>0.8541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3636.6</v>
      </c>
      <c r="AU97" cm="1">
        <f t="array" ref="AU97">$E$10*(1+$AS97)+VLOOKUP($R97,武学奇术!$A:$ZZ,4,FALSE)+SUM(_xlfn.XLOOKUP($S97:$AL97,增益!$A:$A,增益!$D:$D,0))-$I$2</f>
        <v>3636.6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0.3425</v>
      </c>
      <c r="AW97" s="32" cm="1">
        <f t="array" ref="AW97">$G$10+VLOOKUP($R97,武学奇术!$A:$ZZ,7,FALSE)+SUM(_xlfn.XLOOKUP($S97:$AL97,增益!$A:$A,增益!$G:$G,0))</f>
        <v>0.148</v>
      </c>
      <c r="AX97" s="26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2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2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2" cm="1">
        <f t="array" ref="BJ97">$G$13+VLOOKUP($R97,武学奇术!$A:$ZZ,14,FALSE)+SUM(_xlfn.XLOOKUP($S97:$AL97,增益!$A:$A,增益!$N:$N,0))</f>
        <v>0</v>
      </c>
      <c r="BK97">
        <f t="shared" si="29"/>
        <v>571.2</v>
      </c>
      <c r="BL97">
        <f t="shared" si="30"/>
        <v>1627.8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2" cm="1">
        <f t="array" ref="BN97">$G$14+VLOOKUP($R97,武学奇术!$A:$ZZ,16,FALSE)+SUM(_xlfn.XLOOKUP($S97:$AL97,增益!$A:$A,增益!$P:$P,0))</f>
        <v>0.27</v>
      </c>
      <c r="BO97" s="26">
        <f>MIN(IF(VLOOKUP($R97,武学奇术!$A:$ZZ,23,FALSE)=1,100%,$B$8),100%)</f>
        <v>0.981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26" cm="1">
        <f t="array" ref="BQ97">1+$B$13+VLOOKUP($R97,武学奇术!$A:$ZZ,18,FALSE)+SUM(_xlfn.XLOOKUP($S97:$AL97,增益!$A:$A,增益!$R:$R,0))</f>
        <v>2.06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6" cm="1">
        <f t="array" ref="BS97">1+$B$14+VLOOKUP($R97,武学奇术!$A:$ZZ,20,FALSE)+SUM(_xlfn.XLOOKUP($S97:$AL97,增益!$A:$A,增益!$T:$T,0))</f>
        <v>1.35</v>
      </c>
      <c r="BT97" s="26">
        <f t="shared" si="31"/>
        <v>0.829926</v>
      </c>
      <c r="BU97" s="26">
        <f t="shared" si="32"/>
        <v>0.0599391</v>
      </c>
      <c r="BV97" s="26">
        <f>IF(VLOOKUP($R97,武学奇术!$A:$ZZ,22,FALSE)=1,0,(1-$BO97))*(1-$BR97)</f>
        <v>0.0172349</v>
      </c>
      <c r="BW97" s="26" cm="1">
        <f t="array" ref="BW97">SUM(_xlfn.XLOOKUP($S97:$AL97,增益!$A:$A,增益!$W:$W,0))+$I$5</f>
        <v>0.11</v>
      </c>
      <c r="BX97" s="26" cm="1">
        <f t="array" ref="BX97">SUM(_xlfn.XLOOKUP($S97:$AL97,增益!$A:$A,增益!$X:$X,0))</f>
        <v>0</v>
      </c>
    </row>
    <row r="98" spans="1:76">
      <c r="A98" s="4" t="s">
        <v>169</v>
      </c>
      <c r="B98" s="4">
        <v>1</v>
      </c>
      <c r="D98" s="39"/>
      <c r="F98" s="39"/>
      <c r="K98">
        <f>$L98*VLOOKUP($R98,武学奇术!$A:$ZZ,31,FALSE)</f>
        <v>103486.297325325</v>
      </c>
      <c r="L98" s="38">
        <f t="shared" si="33"/>
        <v>98558.3784050714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</f>
        <v>105350.774024636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</f>
        <v>78579.6109152764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</f>
        <v>51141.1524391437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</f>
        <v>44075.1856817864</v>
      </c>
      <c r="Q98" s="39">
        <v>4</v>
      </c>
      <c r="R98" s="40" t="s">
        <v>119</v>
      </c>
      <c r="S98" s="40" t="s">
        <v>116</v>
      </c>
      <c r="T98" s="40" t="s">
        <v>102</v>
      </c>
      <c r="U98" s="40" t="s">
        <v>79</v>
      </c>
      <c r="V98" s="40" t="s">
        <v>88</v>
      </c>
      <c r="W98" s="40" t="s">
        <v>181</v>
      </c>
      <c r="X98" s="40" t="s">
        <v>106</v>
      </c>
      <c r="Y98" s="40" t="s">
        <v>91</v>
      </c>
      <c r="Z98" s="40" t="s">
        <v>78</v>
      </c>
      <c r="AA98" s="40" t="s">
        <v>78</v>
      </c>
      <c r="AB98" s="40" t="s">
        <v>133</v>
      </c>
      <c r="AC98" s="40" t="s">
        <v>92</v>
      </c>
      <c r="AD98" s="40" t="s">
        <v>78</v>
      </c>
      <c r="AE98" s="40" t="s">
        <v>83</v>
      </c>
      <c r="AF98" s="40" t="s">
        <v>84</v>
      </c>
      <c r="AG98" s="40" t="s">
        <v>85</v>
      </c>
      <c r="AH98" s="40" t="s">
        <v>78</v>
      </c>
      <c r="AI98" s="40" t="s">
        <v>78</v>
      </c>
      <c r="AJ98" s="40" t="s">
        <v>78</v>
      </c>
      <c r="AK98" s="40" t="s">
        <v>78</v>
      </c>
      <c r="AL98" s="40" t="s">
        <v>78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1.0541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3636.6</v>
      </c>
      <c r="AU98" cm="1">
        <f t="array" ref="AU98">$E$10*(1+$AS98)+VLOOKUP($R98,武学奇术!$A:$ZZ,4,FALSE)+SUM(_xlfn.XLOOKUP($S98:$AL98,增益!$A:$A,增益!$D:$D,0))-$I$2</f>
        <v>3636.6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0.3425</v>
      </c>
      <c r="AW98" s="32" cm="1">
        <f t="array" ref="AW98">$G$10+VLOOKUP($R98,武学奇术!$A:$ZZ,7,FALSE)+SUM(_xlfn.XLOOKUP($S98:$AL98,增益!$A:$A,增益!$G:$G,0))</f>
        <v>0.148</v>
      </c>
      <c r="AX98" s="26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2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2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2" cm="1">
        <f t="array" ref="BJ98">$G$13+VLOOKUP($R98,武学奇术!$A:$ZZ,14,FALSE)+SUM(_xlfn.XLOOKUP($S98:$AL98,增益!$A:$A,增益!$N:$N,0))</f>
        <v>0</v>
      </c>
      <c r="BK98">
        <f t="shared" si="29"/>
        <v>571.2</v>
      </c>
      <c r="BL98">
        <f t="shared" si="30"/>
        <v>1627.8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2" cm="1">
        <f t="array" ref="BN98">$G$14+VLOOKUP($R98,武学奇术!$A:$ZZ,16,FALSE)+SUM(_xlfn.XLOOKUP($S98:$AL98,增益!$A:$A,增益!$P:$P,0))</f>
        <v>0.27</v>
      </c>
      <c r="BO98" s="26">
        <f>MIN(IF(VLOOKUP($R98,武学奇术!$A:$ZZ,23,FALSE)=1,100%,$B$8),100%)</f>
        <v>0.981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26" cm="1">
        <f t="array" ref="BQ98">1+$B$13+VLOOKUP($R98,武学奇术!$A:$ZZ,18,FALSE)+SUM(_xlfn.XLOOKUP($S98:$AL98,增益!$A:$A,增益!$R:$R,0))</f>
        <v>2.06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6" cm="1">
        <f t="array" ref="BS98">1+$B$14+VLOOKUP($R98,武学奇术!$A:$ZZ,20,FALSE)+SUM(_xlfn.XLOOKUP($S98:$AL98,增益!$A:$A,增益!$T:$T,0))</f>
        <v>1.35</v>
      </c>
      <c r="BT98" s="26">
        <f t="shared" si="31"/>
        <v>0.829926</v>
      </c>
      <c r="BU98" s="26">
        <f t="shared" si="32"/>
        <v>0.0599391</v>
      </c>
      <c r="BV98" s="26">
        <f>IF(VLOOKUP($R98,武学奇术!$A:$ZZ,22,FALSE)=1,0,(1-$BO98))*(1-$BR98)</f>
        <v>0.0172349</v>
      </c>
      <c r="BW98" s="26" cm="1">
        <f t="array" ref="BW98">SUM(_xlfn.XLOOKUP($S98:$AL98,增益!$A:$A,增益!$W:$W,0))+$I$5</f>
        <v>0.11</v>
      </c>
      <c r="BX98" s="26" cm="1">
        <f t="array" ref="BX98">SUM(_xlfn.XLOOKUP($S98:$AL98,增益!$A:$A,增益!$X:$X,0))</f>
        <v>0</v>
      </c>
    </row>
    <row r="99" spans="1:76">
      <c r="A99" s="4" t="s">
        <v>172</v>
      </c>
      <c r="B99" s="4">
        <v>0.85</v>
      </c>
      <c r="D99" s="39"/>
      <c r="F99" s="39"/>
      <c r="K99">
        <f>$L99*VLOOKUP($R99,武学奇术!$A:$ZZ,31,FALSE)</f>
        <v>140555.628146648</v>
      </c>
      <c r="L99" s="38">
        <f t="shared" si="33"/>
        <v>133862.502996808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</f>
        <v>141864.285803304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</f>
        <v>113728.726177987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</f>
        <v>74274.4951849759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</f>
        <v>64305.4894973687</v>
      </c>
      <c r="Q99" s="39">
        <v>1</v>
      </c>
      <c r="R99" s="40" t="s">
        <v>191</v>
      </c>
      <c r="S99" s="40" t="s">
        <v>78</v>
      </c>
      <c r="T99" s="40" t="s">
        <v>102</v>
      </c>
      <c r="U99" s="40" t="s">
        <v>79</v>
      </c>
      <c r="V99" s="40" t="s">
        <v>78</v>
      </c>
      <c r="W99" s="40" t="s">
        <v>181</v>
      </c>
      <c r="X99" s="40" t="s">
        <v>106</v>
      </c>
      <c r="Y99" s="40" t="s">
        <v>91</v>
      </c>
      <c r="Z99" s="40" t="s">
        <v>78</v>
      </c>
      <c r="AA99" s="40" t="s">
        <v>78</v>
      </c>
      <c r="AB99" s="40" t="s">
        <v>78</v>
      </c>
      <c r="AC99" s="40" t="s">
        <v>92</v>
      </c>
      <c r="AD99" s="40" t="s">
        <v>78</v>
      </c>
      <c r="AE99" s="40" t="s">
        <v>83</v>
      </c>
      <c r="AF99" s="40" t="s">
        <v>84</v>
      </c>
      <c r="AG99" s="40" t="s">
        <v>85</v>
      </c>
      <c r="AH99" s="40" t="s">
        <v>78</v>
      </c>
      <c r="AI99" s="40" t="s">
        <v>78</v>
      </c>
      <c r="AJ99" s="40" t="s">
        <v>78</v>
      </c>
      <c r="AK99" s="40" t="s">
        <v>78</v>
      </c>
      <c r="AL99" s="40" t="s">
        <v>78</v>
      </c>
      <c r="AM99" t="str">
        <f>VLOOKUP($R99,武学奇术!$A:$ZZ,25,FALSE)</f>
        <v>单体奇术</v>
      </c>
      <c r="AN99" s="26">
        <f>VLOOKUP($R99,武学奇术!$A:$ZZ,26,FALSE)</f>
        <v>7.1084</v>
      </c>
      <c r="AO99" s="27">
        <f>VLOOKUP($R99,武学奇术!$A:$ZZ,27,FALSE)*(1+IF(OR($AM99=$F$4,$AM99=$F$5),$B$22,0))</f>
        <v>1369</v>
      </c>
      <c r="AP99" s="26">
        <f>VLOOKUP($R99,武学奇术!$A:$ZZ,28,FALSE)</f>
        <v>10.6626</v>
      </c>
      <c r="AQ99" s="27">
        <f>VLOOKUP($R99,武学奇术!$A:$ZZ,29,FALSE)*(1+IF(OR($AM99=$F$4,$AM99=$F$5),$B$22,0))</f>
        <v>0</v>
      </c>
      <c r="AR99" s="26" cm="1">
        <f t="array" ref="AR99">$G$3+IFERROR(VLOOKUP($AM99,$F$4:$G$7,2,FALSE),0)+VLOOKUP($R99,武学奇术!$A:$ZZ,2,FALSE)+SUM(_xlfn.XLOOKUP($S99:$AL99,增益!$A:$A,增益!$B:$B,0))</f>
        <v>0.2837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3636.6</v>
      </c>
      <c r="AU99" cm="1">
        <f t="array" ref="AU99">$E$10*(1+$AS99)+VLOOKUP($R99,武学奇术!$A:$ZZ,4,FALSE)+SUM(_xlfn.XLOOKUP($S99:$AL99,增益!$A:$A,增益!$D:$D,0))-$I$2</f>
        <v>3636.6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0.3425</v>
      </c>
      <c r="AW99" s="32" cm="1">
        <f t="array" ref="AW99">$G$10+VLOOKUP($R99,武学奇术!$A:$ZZ,7,FALSE)+SUM(_xlfn.XLOOKUP($S99:$AL99,增益!$A:$A,增益!$G:$G,0))</f>
        <v>0.028</v>
      </c>
      <c r="AX99" s="26" cm="1">
        <f t="array" ref="AX99">VLOOKUP($R99,武学奇术!$A:$ZZ,8,FALSE)+SUM(_xlfn.XLOOKUP($S99:$AL99,增益!$A:$A,增益!$H:$H,0))</f>
        <v>0</v>
      </c>
      <c r="AY99">
        <f t="shared" ref="AY99:AY130" si="34">$D$11*(1+$AX99)</f>
        <v>0</v>
      </c>
      <c r="AZ99">
        <f t="shared" ref="AZ99:AZ130" si="35">$E$11*(1+$AX99)</f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2" cm="1">
        <f t="array" ref="BB99">$G$11+VLOOKUP($R99,武学奇术!$A:$ZZ,10,FALSE)+SUM(_xlfn.XLOOKUP($S99:$AL99,增益!$A:$A,增益!$J:$J,0))</f>
        <v>0</v>
      </c>
      <c r="BC99">
        <f t="shared" ref="BC99:BC130" si="36">$D$12*(1+$AX99)</f>
        <v>0</v>
      </c>
      <c r="BD99">
        <f t="shared" ref="BD99:BD130" si="37">$E$12*(1+$AX99)</f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2" cm="1">
        <f t="array" ref="BF99">$G$12+VLOOKUP($R99,武学奇术!$A:$ZZ,12,FALSE)+SUM(_xlfn.XLOOKUP($S99:$AL99,增益!$A:$A,增益!$L:$L,0))</f>
        <v>0</v>
      </c>
      <c r="BG99">
        <f t="shared" ref="BG99:BG130" si="38">$D$13*(1+$AX99)</f>
        <v>0</v>
      </c>
      <c r="BH99">
        <f t="shared" ref="BH99:BH130" si="39">$E$13*(1+$AX99)</f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2" cm="1">
        <f t="array" ref="BJ99">$G$13+VLOOKUP($R99,武学奇术!$A:$ZZ,14,FALSE)+SUM(_xlfn.XLOOKUP($S99:$AL99,增益!$A:$A,增益!$N:$N,0))</f>
        <v>0</v>
      </c>
      <c r="BK99">
        <f t="shared" ref="BK99:BK130" si="40">$D$14*(1+$AX99)</f>
        <v>571.2</v>
      </c>
      <c r="BL99">
        <f t="shared" ref="BL99:BL130" si="41">$E$14*(1+$AX99)</f>
        <v>1627.8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2" cm="1">
        <f t="array" ref="BN99">$G$14+VLOOKUP($R99,武学奇术!$A:$ZZ,16,FALSE)+SUM(_xlfn.XLOOKUP($S99:$AL99,增益!$A:$A,增益!$P:$P,0))</f>
        <v>0.15</v>
      </c>
      <c r="BO99" s="26">
        <f>MIN(IF(VLOOKUP($R99,武学奇术!$A:$ZZ,23,FALSE)=1,100%,$B$8),100%)</f>
        <v>0.981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26" cm="1">
        <f t="array" ref="BQ99">1+$B$13+VLOOKUP($R99,武学奇术!$A:$ZZ,18,FALSE)+SUM(_xlfn.XLOOKUP($S99:$AL99,增益!$A:$A,增益!$R:$R,0))</f>
        <v>1.91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6" cm="1">
        <f t="array" ref="BS99">1+$B$14+VLOOKUP($R99,武学奇术!$A:$ZZ,20,FALSE)+SUM(_xlfn.XLOOKUP($S99:$AL99,增益!$A:$A,增益!$T:$T,0))</f>
        <v>1.35</v>
      </c>
      <c r="BT99" s="26">
        <f t="shared" ref="BT99:BT130" si="42">MIN((1-BR99)*BO99,BO99*BP99)</f>
        <v>0.829926</v>
      </c>
      <c r="BU99" s="26">
        <f t="shared" ref="BU99:BU130" si="43">1-BR99-BT99-BV99</f>
        <v>0.0599391</v>
      </c>
      <c r="BV99" s="26">
        <f>IF(VLOOKUP($R99,武学奇术!$A:$ZZ,22,FALSE)=1,0,(1-$BO99))*(1-$BR99)</f>
        <v>0.0172349</v>
      </c>
      <c r="BW99" s="26" cm="1">
        <f t="array" ref="BW99">SUM(_xlfn.XLOOKUP($S99:$AL99,增益!$A:$A,增益!$W:$W,0))+$I$5</f>
        <v>0.11</v>
      </c>
      <c r="BX99" s="26" cm="1">
        <f t="array" ref="BX99">SUM(_xlfn.XLOOKUP($S99:$AL99,增益!$A:$A,增益!$X:$X,0))</f>
        <v>0</v>
      </c>
    </row>
    <row r="100" spans="1:76">
      <c r="A100" s="4" t="s">
        <v>192</v>
      </c>
      <c r="B100" s="88">
        <v>2</v>
      </c>
      <c r="F100" s="39"/>
      <c r="K100">
        <f>$L100*VLOOKUP($R100,武学奇术!$A:$ZZ,31,FALSE)</f>
        <v>61244.4804386668</v>
      </c>
      <c r="L100" s="38">
        <f t="shared" si="33"/>
        <v>58328.0766082541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</f>
        <v>58328.0766082541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</f>
        <v>45994.6004035003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</f>
        <v>30538.2600043215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</f>
        <v>27006.4456356799</v>
      </c>
      <c r="Q100" s="39">
        <v>1</v>
      </c>
      <c r="R100" s="40" t="s">
        <v>174</v>
      </c>
      <c r="S100" s="40" t="s">
        <v>78</v>
      </c>
      <c r="T100" s="40" t="s">
        <v>102</v>
      </c>
      <c r="U100" s="40" t="s">
        <v>79</v>
      </c>
      <c r="V100" s="40" t="s">
        <v>78</v>
      </c>
      <c r="W100" s="40" t="s">
        <v>181</v>
      </c>
      <c r="X100" s="40" t="s">
        <v>106</v>
      </c>
      <c r="Y100" s="40" t="s">
        <v>78</v>
      </c>
      <c r="Z100" s="40" t="s">
        <v>78</v>
      </c>
      <c r="AA100" s="40" t="s">
        <v>78</v>
      </c>
      <c r="AB100" s="40" t="s">
        <v>78</v>
      </c>
      <c r="AC100" s="40" t="s">
        <v>92</v>
      </c>
      <c r="AD100" s="40" t="s">
        <v>78</v>
      </c>
      <c r="AE100" s="40" t="s">
        <v>83</v>
      </c>
      <c r="AF100" s="40" t="s">
        <v>84</v>
      </c>
      <c r="AG100" s="40" t="s">
        <v>85</v>
      </c>
      <c r="AH100" s="40" t="s">
        <v>78</v>
      </c>
      <c r="AI100" s="40" t="s">
        <v>78</v>
      </c>
      <c r="AJ100" s="40" t="s">
        <v>78</v>
      </c>
      <c r="AK100" s="40" t="s">
        <v>78</v>
      </c>
      <c r="AL100" s="40" t="s">
        <v>78</v>
      </c>
      <c r="AM100" t="str">
        <f>VLOOKUP($R100,武学奇术!$A:$ZZ,25,FALSE)</f>
        <v>绳镖</v>
      </c>
      <c r="AN100" s="26">
        <f>VLOOKUP($R100,武学奇术!$A:$ZZ,26,FALSE)</f>
        <v>2.2987</v>
      </c>
      <c r="AO100" s="27">
        <f>VLOOKUP($R100,武学奇术!$A:$ZZ,27,FALSE)*(1+IF(OR($AM100=$F$4,$AM100=$F$5),$B$22,0))</f>
        <v>955.5</v>
      </c>
      <c r="AP100" s="26">
        <f>VLOOKUP($R100,武学奇术!$A:$ZZ,28,FALSE)</f>
        <v>3.448</v>
      </c>
      <c r="AQ100" s="27">
        <f>VLOOKUP($R100,武学奇术!$A:$ZZ,29,FALSE)*(1+IF(OR($AM100=$F$4,$AM100=$F$5),$B$22,0))</f>
        <v>520.5</v>
      </c>
      <c r="AR100" s="26" cm="1">
        <f t="array" ref="AR100">$G$3+IFERROR(VLOOKUP($AM100,$F$4:$G$7,2,FALSE),0)+VLOOKUP($R100,武学奇术!$A:$ZZ,2,FALSE)+SUM(_xlfn.XLOOKUP($S100:$AL100,增益!$A:$A,增益!$B:$B,0))</f>
        <v>0.5189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3636.6</v>
      </c>
      <c r="AU100" cm="1">
        <f t="array" ref="AU100">$E$10*(1+$AS100)+VLOOKUP($R100,武学奇术!$A:$ZZ,4,FALSE)+SUM(_xlfn.XLOOKUP($S100:$AL100,增益!$A:$A,增益!$D:$D,0))-$I$2</f>
        <v>3636.6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0.3425</v>
      </c>
      <c r="AW100" s="32" cm="1">
        <f t="array" ref="AW100">$G$10+VLOOKUP($R100,武学奇术!$A:$ZZ,7,FALSE)+SUM(_xlfn.XLOOKUP($S100:$AL100,增益!$A:$A,增益!$G:$G,0))</f>
        <v>0.028</v>
      </c>
      <c r="AX100" s="26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40"/>
        <v>571.2</v>
      </c>
      <c r="BL100">
        <f t="shared" si="41"/>
        <v>1627.8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0.15</v>
      </c>
      <c r="BO100" s="26">
        <f>MIN(IF(VLOOKUP($R100,武学奇术!$A:$ZZ,23,FALSE)=1,100%,$B$8),100%)</f>
        <v>1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26" cm="1">
        <f t="array" ref="BQ100">1+$B$13+VLOOKUP($R100,武学奇术!$A:$ZZ,18,FALSE)+SUM(_xlfn.XLOOKUP($S100:$AL100,增益!$A:$A,增益!$R:$R,0))</f>
        <v>1.91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42"/>
        <v>1</v>
      </c>
      <c r="BU100" s="26">
        <f t="shared" si="43"/>
        <v>0</v>
      </c>
      <c r="BV100" s="26">
        <f>IF(VLOOKUP($R100,武学奇术!$A:$ZZ,22,FALSE)=1,0,(1-$BO100))*(1-$BR100)</f>
        <v>0</v>
      </c>
      <c r="BW100" s="26" cm="1">
        <f t="array" ref="BW100">SUM(_xlfn.XLOOKUP($S100:$AL100,增益!$A:$A,增益!$W:$W,0))+$I$5</f>
        <v>0.11</v>
      </c>
      <c r="BX100" s="26" cm="1">
        <f t="array" ref="BX100">SUM(_xlfn.XLOOKUP($S100:$AL100,增益!$A:$A,增益!$X:$X,0))</f>
        <v>0</v>
      </c>
    </row>
    <row r="101" spans="1:76">
      <c r="A101" s="4" t="s">
        <v>174</v>
      </c>
      <c r="B101" s="88">
        <v>1</v>
      </c>
      <c r="K101">
        <f>$L101*VLOOKUP($R101,武学奇术!$A:$ZZ,31,FALSE)</f>
        <v>126455.869282427</v>
      </c>
      <c r="L101" s="89">
        <f>(SUM(L85:L100)+L160)*12%*(1+BX101)</f>
        <v>240868.322442719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</f>
        <v>0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</f>
        <v>0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</f>
        <v>0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</f>
        <v>0</v>
      </c>
      <c r="Q101" s="39">
        <v>1</v>
      </c>
      <c r="R101" s="40" t="s">
        <v>175</v>
      </c>
      <c r="S101" s="40" t="s">
        <v>176</v>
      </c>
      <c r="T101" s="40" t="s">
        <v>78</v>
      </c>
      <c r="U101" s="40" t="s">
        <v>78</v>
      </c>
      <c r="V101" s="40" t="s">
        <v>78</v>
      </c>
      <c r="W101" s="40" t="s">
        <v>78</v>
      </c>
      <c r="X101" s="40" t="s">
        <v>78</v>
      </c>
      <c r="Y101" s="40" t="s">
        <v>78</v>
      </c>
      <c r="Z101" s="40" t="s">
        <v>78</v>
      </c>
      <c r="AA101" s="40" t="s">
        <v>78</v>
      </c>
      <c r="AB101" s="40" t="s">
        <v>78</v>
      </c>
      <c r="AC101" s="40" t="s">
        <v>78</v>
      </c>
      <c r="AD101" s="40" t="s">
        <v>78</v>
      </c>
      <c r="AE101" s="40" t="s">
        <v>83</v>
      </c>
      <c r="AF101" s="40" t="s">
        <v>84</v>
      </c>
      <c r="AG101" s="40" t="s">
        <v>85</v>
      </c>
      <c r="AH101" s="40" t="s">
        <v>78</v>
      </c>
      <c r="AI101" s="40" t="s">
        <v>78</v>
      </c>
      <c r="AJ101" s="40" t="s">
        <v>78</v>
      </c>
      <c r="AK101" s="40" t="s">
        <v>78</v>
      </c>
      <c r="AL101" s="40" t="s">
        <v>78</v>
      </c>
      <c r="AM101" t="str">
        <f>VLOOKUP($R101,武学奇术!$A:$ZZ,25,FALSE)</f>
        <v>心法</v>
      </c>
      <c r="AN101" s="26">
        <f>VLOOKUP($R101,武学奇术!$A:$ZZ,26,FALSE)</f>
        <v>0</v>
      </c>
      <c r="AO101" s="27">
        <f>VLOOKUP($R101,武学奇术!$A:$ZZ,27,FALSE)*(1+IF(OR($AM101=$F$4,$AM101=$F$5),$B$22,0))</f>
        <v>0</v>
      </c>
      <c r="AP101" s="26">
        <f>VLOOKUP($R101,武学奇术!$A:$ZZ,28,FALSE)</f>
        <v>0</v>
      </c>
      <c r="AQ101" s="27">
        <f>VLOOKUP($R101,武学奇术!$A:$ZZ,29,FALSE)*(1+IF(OR($AM101=$F$4,$AM101=$F$5),$B$22,0))</f>
        <v>0</v>
      </c>
      <c r="AR101" s="26" cm="1">
        <f t="array" ref="AR101">$G$3+IFERROR(VLOOKUP($AM101,$F$4:$G$7,2,FALSE),0)+VLOOKUP($R101,武学奇术!$A:$ZZ,2,FALSE)+SUM(_xlfn.XLOOKUP($S101:$AL101,增益!$A:$A,增益!$B:$B,0))</f>
        <v>0.1837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3636.6</v>
      </c>
      <c r="AU101" cm="1">
        <f t="array" ref="AU101">$E$10*(1+$AS101)+VLOOKUP($R101,武学奇术!$A:$ZZ,4,FALSE)+SUM(_xlfn.XLOOKUP($S101:$AL101,增益!$A:$A,增益!$D:$D,0))-$I$2</f>
        <v>3636.6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0.2425</v>
      </c>
      <c r="AW101" s="32" cm="1">
        <f t="array" ref="AW101">$G$10+VLOOKUP($R101,武学奇术!$A:$ZZ,7,FALSE)+SUM(_xlfn.XLOOKUP($S101:$AL101,增益!$A:$A,增益!$G:$G,0))</f>
        <v>0.028</v>
      </c>
      <c r="AX101" s="26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40"/>
        <v>571.2</v>
      </c>
      <c r="BL101">
        <f t="shared" si="41"/>
        <v>1627.8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6">
        <f>MIN(IF(VLOOKUP($R101,武学奇术!$A:$ZZ,23,FALSE)=1,100%,$B$8),100%)</f>
        <v>0.981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26" cm="1">
        <f t="array" ref="BQ101">1+$B$13+VLOOKUP($R101,武学奇术!$A:$ZZ,18,FALSE)+SUM(_xlfn.XLOOKUP($S101:$AL101,增益!$A:$A,增益!$R:$R,0))</f>
        <v>1.54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42"/>
        <v>0.829926</v>
      </c>
      <c r="BU101" s="26">
        <f t="shared" si="43"/>
        <v>0.0599391</v>
      </c>
      <c r="BV101" s="26">
        <f>IF(VLOOKUP($R101,武学奇术!$A:$ZZ,22,FALSE)=1,0,(1-$BO101))*(1-$BR101)</f>
        <v>0.0172349</v>
      </c>
      <c r="BW101" s="26" cm="1">
        <f t="array" ref="BW101">SUM(_xlfn.XLOOKUP($S101:$AL101,增益!$A:$A,增益!$W:$W,0))+$I$5</f>
        <v>0.11</v>
      </c>
      <c r="BX101" s="26" cm="1">
        <f t="array" ref="BX101">SUM(_xlfn.XLOOKUP($S101:$AL101,增益!$A:$A,增益!$X:$X,0))</f>
        <v>0</v>
      </c>
    </row>
    <row r="102" spans="1:76">
      <c r="A102" s="4" t="s">
        <v>183</v>
      </c>
      <c r="B102" s="4">
        <v>30</v>
      </c>
      <c r="K102">
        <f>$L102*VLOOKUP($R102,武学奇术!$A:$ZZ,31,FALSE)</f>
        <v>0</v>
      </c>
      <c r="L102" s="38">
        <f t="shared" ref="L102:L127" si="44">($M102*$BT102+$N102*$BR102+$O102*$BU102+$P102*$BV102)</f>
        <v>0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</f>
        <v>0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</f>
        <v>0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</f>
        <v>0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</f>
        <v>0</v>
      </c>
      <c r="Q102" s="39">
        <v>1</v>
      </c>
      <c r="R102" s="40" t="s">
        <v>78</v>
      </c>
      <c r="S102" s="40" t="s">
        <v>78</v>
      </c>
      <c r="T102" s="40" t="s">
        <v>78</v>
      </c>
      <c r="U102" s="40" t="s">
        <v>78</v>
      </c>
      <c r="V102" s="40" t="s">
        <v>78</v>
      </c>
      <c r="W102" s="40" t="s">
        <v>78</v>
      </c>
      <c r="X102" s="40" t="s">
        <v>78</v>
      </c>
      <c r="Y102" s="40" t="s">
        <v>78</v>
      </c>
      <c r="Z102" s="40" t="s">
        <v>78</v>
      </c>
      <c r="AA102" s="40" t="s">
        <v>78</v>
      </c>
      <c r="AB102" s="40" t="s">
        <v>78</v>
      </c>
      <c r="AC102" s="40" t="s">
        <v>78</v>
      </c>
      <c r="AD102" s="40" t="s">
        <v>78</v>
      </c>
      <c r="AE102" s="40" t="s">
        <v>83</v>
      </c>
      <c r="AF102" s="40" t="s">
        <v>84</v>
      </c>
      <c r="AG102" s="40" t="s">
        <v>85</v>
      </c>
      <c r="AH102" s="40" t="s">
        <v>78</v>
      </c>
      <c r="AI102" s="40" t="s">
        <v>78</v>
      </c>
      <c r="AJ102" s="40" t="s">
        <v>78</v>
      </c>
      <c r="AK102" s="40" t="s">
        <v>78</v>
      </c>
      <c r="AL102" s="40" t="s">
        <v>78</v>
      </c>
      <c r="AM102" t="str">
        <f>VLOOKUP($R102,武学奇术!$A:$ZZ,25,FALSE)</f>
        <v>心法</v>
      </c>
      <c r="AN102" s="26">
        <f>VLOOKUP($R102,武学奇术!$A:$ZZ,26,FALSE)</f>
        <v>0</v>
      </c>
      <c r="AO102" s="27">
        <f>VLOOKUP($R102,武学奇术!$A:$ZZ,27,FALSE)*(1+IF(OR($AM102=$F$4,$AM102=$F$5),$B$22,0))</f>
        <v>0</v>
      </c>
      <c r="AP102" s="26">
        <f>VLOOKUP($R102,武学奇术!$A:$ZZ,28,FALSE)</f>
        <v>0</v>
      </c>
      <c r="AQ102" s="27">
        <f>VLOOKUP($R102,武学奇术!$A:$ZZ,29,FALSE)*(1+IF(OR($AM102=$F$4,$AM102=$F$5),$B$22,0))</f>
        <v>0</v>
      </c>
      <c r="AR102" s="26" cm="1">
        <f t="array" ref="AR102">$G$3+IFERROR(VLOOKUP($AM102,$F$4:$G$7,2,FALSE),0)+VLOOKUP($R102,武学奇术!$A:$ZZ,2,FALSE)+SUM(_xlfn.XLOOKUP($S102:$AL102,增益!$A:$A,增益!$B:$B,0))</f>
        <v>0.1837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3636.6</v>
      </c>
      <c r="AU102" cm="1">
        <f t="array" ref="AU102">$E$10*(1+$AS102)+VLOOKUP($R102,武学奇术!$A:$ZZ,4,FALSE)+SUM(_xlfn.XLOOKUP($S102:$AL102,增益!$A:$A,增益!$D:$D,0))-$I$2</f>
        <v>3636.6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0.2425</v>
      </c>
      <c r="AW102" s="32" cm="1">
        <f t="array" ref="AW102">$G$10+VLOOKUP($R102,武学奇术!$A:$ZZ,7,FALSE)+SUM(_xlfn.XLOOKUP($S102:$AL102,增益!$A:$A,增益!$G:$G,0))</f>
        <v>0.028</v>
      </c>
      <c r="AX102" s="26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40"/>
        <v>571.2</v>
      </c>
      <c r="BL102">
        <f t="shared" si="41"/>
        <v>1627.8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6">
        <f>MIN(IF(VLOOKUP($R102,武学奇术!$A:$ZZ,23,FALSE)=1,100%,$B$8),100%)</f>
        <v>0.981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26" cm="1">
        <f t="array" ref="BQ102">1+$B$13+VLOOKUP($R102,武学奇术!$A:$ZZ,18,FALSE)+SUM(_xlfn.XLOOKUP($S102:$AL102,增益!$A:$A,增益!$R:$R,0))</f>
        <v>1.54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42"/>
        <v>0.829926</v>
      </c>
      <c r="BU102" s="26">
        <f t="shared" si="43"/>
        <v>0.0599391</v>
      </c>
      <c r="BV102" s="26">
        <f>IF(VLOOKUP($R102,武学奇术!$A:$ZZ,22,FALSE)=1,0,(1-$BO102))*(1-$BR102)</f>
        <v>0.0172349</v>
      </c>
      <c r="BW102" s="26" cm="1">
        <f t="array" ref="BW102">SUM(_xlfn.XLOOKUP($S102:$AL102,增益!$A:$A,增益!$W:$W,0))+$I$5</f>
        <v>0.11</v>
      </c>
      <c r="BX102" s="26" cm="1">
        <f t="array" ref="BX102">SUM(_xlfn.XLOOKUP($S102:$AL102,增益!$A:$A,增益!$X:$X,0))</f>
        <v>0</v>
      </c>
    </row>
    <row r="103" spans="1:76">
      <c r="A103" s="4" t="s">
        <v>164</v>
      </c>
      <c r="B103" s="88">
        <v>1.5</v>
      </c>
      <c r="K103">
        <f>$L103*VLOOKUP($R103,武学奇术!$A:$ZZ,31,FALSE)</f>
        <v>20148.2808510185</v>
      </c>
      <c r="L103" s="38">
        <f t="shared" si="44"/>
        <v>19188.8389057319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</f>
        <v>19956.9754012725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</f>
        <v>18433.9454571046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</f>
        <v>12168.8874398003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</f>
        <v>10683.0004669305</v>
      </c>
      <c r="Q103" s="39">
        <v>1</v>
      </c>
      <c r="R103" s="40" t="s">
        <v>109</v>
      </c>
      <c r="S103" s="40" t="s">
        <v>78</v>
      </c>
      <c r="T103" s="40" t="s">
        <v>78</v>
      </c>
      <c r="U103" s="40" t="s">
        <v>78</v>
      </c>
      <c r="V103" s="40" t="s">
        <v>78</v>
      </c>
      <c r="W103" s="40" t="s">
        <v>181</v>
      </c>
      <c r="X103" s="40" t="s">
        <v>78</v>
      </c>
      <c r="Y103" s="40" t="s">
        <v>78</v>
      </c>
      <c r="Z103" s="40" t="s">
        <v>78</v>
      </c>
      <c r="AA103" s="40" t="s">
        <v>78</v>
      </c>
      <c r="AB103" s="40" t="s">
        <v>78</v>
      </c>
      <c r="AC103" s="40" t="s">
        <v>78</v>
      </c>
      <c r="AD103" s="40" t="s">
        <v>78</v>
      </c>
      <c r="AE103" s="40" t="s">
        <v>83</v>
      </c>
      <c r="AF103" s="40" t="s">
        <v>84</v>
      </c>
      <c r="AG103" s="40" t="s">
        <v>85</v>
      </c>
      <c r="AH103" s="40" t="s">
        <v>78</v>
      </c>
      <c r="AI103" s="40" t="s">
        <v>78</v>
      </c>
      <c r="AJ103" s="40" t="s">
        <v>78</v>
      </c>
      <c r="AK103" s="40" t="s">
        <v>78</v>
      </c>
      <c r="AL103" s="40" t="s">
        <v>78</v>
      </c>
      <c r="AM103" t="str">
        <f>VLOOKUP($R103,武学奇术!$A:$ZZ,25,FALSE)</f>
        <v>绳镖</v>
      </c>
      <c r="AN103" s="26">
        <f>VLOOKUP($R103,武学奇术!$A:$ZZ,26,FALSE)</f>
        <v>1.1137</v>
      </c>
      <c r="AO103" s="27">
        <f>VLOOKUP($R103,武学奇术!$A:$ZZ,27,FALSE)*(1+IF(OR($AM103=$F$4,$AM103=$F$5),$B$22,0))</f>
        <v>463.5</v>
      </c>
      <c r="AP103" s="26">
        <f>VLOOKUP($R103,武学奇术!$A:$ZZ,28,FALSE)</f>
        <v>1.6706</v>
      </c>
      <c r="AQ103" s="27">
        <f>VLOOKUP($R103,武学奇术!$A:$ZZ,29,FALSE)*(1+IF(OR($AM103=$F$4,$AM103=$F$5),$B$22,0))</f>
        <v>252</v>
      </c>
      <c r="AR103" s="26" cm="1">
        <f t="array" ref="AR103">$G$3+IFERROR(VLOOKUP($AM103,$F$4:$G$7,2,FALSE),0)+VLOOKUP($R103,武学奇术!$A:$ZZ,2,FALSE)+SUM(_xlfn.XLOOKUP($S103:$AL103,增益!$A:$A,增益!$B:$B,0))</f>
        <v>0.3189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3636.6</v>
      </c>
      <c r="AU103" cm="1">
        <f t="array" ref="AU103">$E$10*(1+$AS103)+VLOOKUP($R103,武学奇术!$A:$ZZ,4,FALSE)+SUM(_xlfn.XLOOKUP($S103:$AL103,增益!$A:$A,增益!$D:$D,0))-$I$2</f>
        <v>3636.6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0.2425</v>
      </c>
      <c r="AW103" s="32" cm="1">
        <f t="array" ref="AW103">$G$10+VLOOKUP($R103,武学奇术!$A:$ZZ,7,FALSE)+SUM(_xlfn.XLOOKUP($S103:$AL103,增益!$A:$A,增益!$G:$G,0))</f>
        <v>0.028</v>
      </c>
      <c r="AX103" s="26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40"/>
        <v>571.2</v>
      </c>
      <c r="BL103">
        <f t="shared" si="41"/>
        <v>1627.8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6">
        <f>MIN(IF(VLOOKUP($R103,武学奇术!$A:$ZZ,23,FALSE)=1,100%,$B$8),100%)</f>
        <v>0.981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26" cm="1">
        <f t="array" ref="BQ103">1+$B$13+VLOOKUP($R103,武学奇术!$A:$ZZ,18,FALSE)+SUM(_xlfn.XLOOKUP($S103:$AL103,增益!$A:$A,增益!$R:$R,0))</f>
        <v>1.64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42"/>
        <v>0.829926</v>
      </c>
      <c r="BU103" s="26">
        <f t="shared" si="43"/>
        <v>0.0599391</v>
      </c>
      <c r="BV103" s="26">
        <f>IF(VLOOKUP($R103,武学奇术!$A:$ZZ,22,FALSE)=1,0,(1-$BO103))*(1-$BR103)</f>
        <v>0.0172349</v>
      </c>
      <c r="BW103" s="26" cm="1">
        <f t="array" ref="BW103">SUM(_xlfn.XLOOKUP($S103:$AL103,增益!$A:$A,增益!$W:$W,0))+$I$5</f>
        <v>0.11</v>
      </c>
      <c r="BX103" s="26" cm="1">
        <f t="array" ref="BX103">SUM(_xlfn.XLOOKUP($S103:$AL103,增益!$A:$A,增益!$X:$X,0))</f>
        <v>0</v>
      </c>
    </row>
    <row r="104" spans="1:76">
      <c r="A104" s="4" t="s">
        <v>166</v>
      </c>
      <c r="B104" s="4">
        <v>0.5</v>
      </c>
      <c r="K104">
        <f>$L104*VLOOKUP($R104,武学奇术!$A:$ZZ,31,FALSE)</f>
        <v>14726.7048790551</v>
      </c>
      <c r="L104" s="38">
        <f t="shared" si="44"/>
        <v>14025.4332181477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</f>
        <v>14586.9361457406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</f>
        <v>13473.0101822666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</f>
        <v>8894.47325959795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</f>
        <v>7808.93897677618</v>
      </c>
      <c r="Q104" s="39">
        <v>1</v>
      </c>
      <c r="R104" s="40" t="s">
        <v>113</v>
      </c>
      <c r="S104" s="40" t="s">
        <v>78</v>
      </c>
      <c r="T104" s="40" t="s">
        <v>78</v>
      </c>
      <c r="U104" s="40" t="s">
        <v>78</v>
      </c>
      <c r="V104" s="40" t="s">
        <v>78</v>
      </c>
      <c r="W104" s="40" t="s">
        <v>181</v>
      </c>
      <c r="X104" s="40" t="s">
        <v>78</v>
      </c>
      <c r="Y104" s="40" t="s">
        <v>78</v>
      </c>
      <c r="Z104" s="40" t="s">
        <v>78</v>
      </c>
      <c r="AA104" s="40" t="s">
        <v>78</v>
      </c>
      <c r="AB104" s="40" t="s">
        <v>78</v>
      </c>
      <c r="AC104" s="40" t="s">
        <v>78</v>
      </c>
      <c r="AD104" s="40" t="s">
        <v>78</v>
      </c>
      <c r="AE104" s="40" t="s">
        <v>83</v>
      </c>
      <c r="AF104" s="40" t="s">
        <v>84</v>
      </c>
      <c r="AG104" s="40" t="s">
        <v>85</v>
      </c>
      <c r="AH104" s="40" t="s">
        <v>78</v>
      </c>
      <c r="AI104" s="40" t="s">
        <v>78</v>
      </c>
      <c r="AJ104" s="40" t="s">
        <v>78</v>
      </c>
      <c r="AK104" s="40" t="s">
        <v>78</v>
      </c>
      <c r="AL104" s="40" t="s">
        <v>78</v>
      </c>
      <c r="AM104" t="str">
        <f>VLOOKUP($R104,武学奇术!$A:$ZZ,25,FALSE)</f>
        <v>绳镖</v>
      </c>
      <c r="AN104" s="26">
        <f>VLOOKUP($R104,武学奇术!$A:$ZZ,26,FALSE)</f>
        <v>0.7839</v>
      </c>
      <c r="AO104" s="27">
        <f>VLOOKUP($R104,武学奇术!$A:$ZZ,27,FALSE)*(1+IF(OR($AM104=$F$4,$AM104=$F$5),$B$22,0))</f>
        <v>327</v>
      </c>
      <c r="AP104" s="26">
        <f>VLOOKUP($R104,武学奇术!$A:$ZZ,28,FALSE)</f>
        <v>1.1759</v>
      </c>
      <c r="AQ104" s="27">
        <f>VLOOKUP($R104,武学奇术!$A:$ZZ,29,FALSE)*(1+IF(OR($AM104=$F$4,$AM104=$F$5),$B$22,0))</f>
        <v>178.5</v>
      </c>
      <c r="AR104" s="26" cm="1">
        <f t="array" ref="AR104">$G$3+IFERROR(VLOOKUP($AM104,$F$4:$G$7,2,FALSE),0)+VLOOKUP($R104,武学奇术!$A:$ZZ,2,FALSE)+SUM(_xlfn.XLOOKUP($S104:$AL104,增益!$A:$A,增益!$B:$B,0))</f>
        <v>0.3689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3636.6</v>
      </c>
      <c r="AU104" cm="1">
        <f t="array" ref="AU104">$E$10*(1+$AS104)+VLOOKUP($R104,武学奇术!$A:$ZZ,4,FALSE)+SUM(_xlfn.XLOOKUP($S104:$AL104,增益!$A:$A,增益!$D:$D,0))-$I$2</f>
        <v>3636.6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0.2425</v>
      </c>
      <c r="AW104" s="32" cm="1">
        <f t="array" ref="AW104">$G$10+VLOOKUP($R104,武学奇术!$A:$ZZ,7,FALSE)+SUM(_xlfn.XLOOKUP($S104:$AL104,增益!$A:$A,增益!$G:$G,0))</f>
        <v>0.028</v>
      </c>
      <c r="AX104" s="26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36"/>
        <v>0</v>
      </c>
      <c r="BD104">
        <f t="shared" si="37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40"/>
        <v>571.2</v>
      </c>
      <c r="BL104">
        <f t="shared" si="41"/>
        <v>1627.8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6">
        <f>MIN(IF(VLOOKUP($R104,武学奇术!$A:$ZZ,23,FALSE)=1,100%,$B$8),100%)</f>
        <v>0.981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26" cm="1">
        <f t="array" ref="BQ104">1+$B$13+VLOOKUP($R104,武学奇术!$A:$ZZ,18,FALSE)+SUM(_xlfn.XLOOKUP($S104:$AL104,增益!$A:$A,增益!$R:$R,0))</f>
        <v>1.64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42"/>
        <v>0.829926</v>
      </c>
      <c r="BU104" s="26">
        <f t="shared" si="43"/>
        <v>0.0599391</v>
      </c>
      <c r="BV104" s="26">
        <f>IF(VLOOKUP($R104,武学奇术!$A:$ZZ,22,FALSE)=1,0,(1-$BO104))*(1-$BR104)</f>
        <v>0.0172349</v>
      </c>
      <c r="BW104" s="26" cm="1">
        <f t="array" ref="BW104">SUM(_xlfn.XLOOKUP($S104:$AL104,增益!$A:$A,增益!$W:$W,0))+$I$5</f>
        <v>0.11</v>
      </c>
      <c r="BX104" s="26" cm="1">
        <f t="array" ref="BX104">SUM(_xlfn.XLOOKUP($S104:$AL104,增益!$A:$A,增益!$X:$X,0))</f>
        <v>0</v>
      </c>
    </row>
    <row r="105" spans="1:76">
      <c r="A105" s="4" t="s">
        <v>169</v>
      </c>
      <c r="B105" s="88">
        <v>1</v>
      </c>
      <c r="K105">
        <f>$L105*VLOOKUP($R105,武学奇术!$A:$ZZ,31,FALSE)</f>
        <v>68315.3045061402</v>
      </c>
      <c r="L105" s="38">
        <f t="shared" si="44"/>
        <v>65062.1947677525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</f>
        <v>69010.8137787484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</f>
        <v>54624.0134209178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</f>
        <v>36131.316114528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</f>
        <v>31800.4000654131</v>
      </c>
      <c r="Q105" s="39">
        <v>1</v>
      </c>
      <c r="R105" s="40" t="s">
        <v>115</v>
      </c>
      <c r="S105" s="40" t="s">
        <v>116</v>
      </c>
      <c r="T105" s="40" t="s">
        <v>78</v>
      </c>
      <c r="U105" s="40" t="s">
        <v>79</v>
      </c>
      <c r="V105" s="40" t="s">
        <v>78</v>
      </c>
      <c r="W105" s="40" t="s">
        <v>181</v>
      </c>
      <c r="X105" s="40" t="s">
        <v>90</v>
      </c>
      <c r="Y105" s="40" t="s">
        <v>78</v>
      </c>
      <c r="Z105" s="40" t="s">
        <v>78</v>
      </c>
      <c r="AA105" s="40" t="s">
        <v>78</v>
      </c>
      <c r="AB105" s="40" t="s">
        <v>78</v>
      </c>
      <c r="AC105" s="40" t="s">
        <v>92</v>
      </c>
      <c r="AD105" s="40" t="s">
        <v>78</v>
      </c>
      <c r="AE105" s="40" t="s">
        <v>83</v>
      </c>
      <c r="AF105" s="40" t="s">
        <v>84</v>
      </c>
      <c r="AG105" s="40" t="s">
        <v>85</v>
      </c>
      <c r="AH105" s="40" t="s">
        <v>78</v>
      </c>
      <c r="AI105" s="40" t="s">
        <v>78</v>
      </c>
      <c r="AJ105" s="40" t="s">
        <v>78</v>
      </c>
      <c r="AK105" s="40" t="s">
        <v>78</v>
      </c>
      <c r="AL105" s="40" t="s">
        <v>78</v>
      </c>
      <c r="AM105" t="str">
        <f>VLOOKUP($R105,武学奇术!$A:$ZZ,25,FALSE)</f>
        <v>伞</v>
      </c>
      <c r="AN105" s="26">
        <f>VLOOKUP($R105,武学奇术!$A:$ZZ,26,FALSE)</f>
        <v>1.8084</v>
      </c>
      <c r="AO105" s="27">
        <f>VLOOKUP($R105,武学奇术!$A:$ZZ,27,FALSE)*(1+IF(OR($AM105=$F$4,$AM105=$F$5),$B$22,0))</f>
        <v>750</v>
      </c>
      <c r="AP105" s="26">
        <f>VLOOKUP($R105,武学奇术!$A:$ZZ,28,FALSE)</f>
        <v>2.7126</v>
      </c>
      <c r="AQ105" s="27">
        <f>VLOOKUP($R105,武学奇术!$A:$ZZ,29,FALSE)*(1+IF(OR($AM105=$F$4,$AM105=$F$5),$B$22,0))</f>
        <v>408</v>
      </c>
      <c r="AR105" s="26" cm="1">
        <f t="array" ref="AR105">$G$3+IFERROR(VLOOKUP($AM105,$F$4:$G$7,2,FALSE),0)+VLOOKUP($R105,武学奇术!$A:$ZZ,2,FALSE)+SUM(_xlfn.XLOOKUP($S105:$AL105,增益!$A:$A,增益!$B:$B,0))</f>
        <v>0.6241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3636.6</v>
      </c>
      <c r="AU105" cm="1">
        <f t="array" ref="AU105">$E$10*(1+$AS105)+VLOOKUP($R105,武学奇术!$A:$ZZ,4,FALSE)+SUM(_xlfn.XLOOKUP($S105:$AL105,增益!$A:$A,增益!$D:$D,0))-$I$2</f>
        <v>3636.6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0.2625</v>
      </c>
      <c r="AW105" s="32" cm="1">
        <f t="array" ref="AW105">$G$10+VLOOKUP($R105,武学奇术!$A:$ZZ,7,FALSE)+SUM(_xlfn.XLOOKUP($S105:$AL105,增益!$A:$A,增益!$G:$G,0))</f>
        <v>0.148</v>
      </c>
      <c r="AX105" s="26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40"/>
        <v>571.2</v>
      </c>
      <c r="BL105">
        <f t="shared" si="41"/>
        <v>1627.8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0.27</v>
      </c>
      <c r="BO105" s="26">
        <f>MIN(IF(VLOOKUP($R105,武学奇术!$A:$ZZ,23,FALSE)=1,100%,$B$8),100%)</f>
        <v>0.981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26" cm="1">
        <f t="array" ref="BQ105">1+$B$13+VLOOKUP($R105,武学奇术!$A:$ZZ,18,FALSE)+SUM(_xlfn.XLOOKUP($S105:$AL105,增益!$A:$A,增益!$R:$R,0))</f>
        <v>1.91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42"/>
        <v>0.829926</v>
      </c>
      <c r="BU105" s="26">
        <f t="shared" si="43"/>
        <v>0.0599391</v>
      </c>
      <c r="BV105" s="26">
        <f>IF(VLOOKUP($R105,武学奇术!$A:$ZZ,22,FALSE)=1,0,(1-$BO105))*(1-$BR105)</f>
        <v>0.0172349</v>
      </c>
      <c r="BW105" s="26" cm="1">
        <f t="array" ref="BW105">SUM(_xlfn.XLOOKUP($S105:$AL105,增益!$A:$A,增益!$W:$W,0))+$I$5</f>
        <v>0.11</v>
      </c>
      <c r="BX105" s="26" cm="1">
        <f t="array" ref="BX105">SUM(_xlfn.XLOOKUP($S105:$AL105,增益!$A:$A,增益!$X:$X,0))</f>
        <v>0</v>
      </c>
    </row>
    <row r="106" spans="1:76">
      <c r="A106" s="4" t="s">
        <v>169</v>
      </c>
      <c r="B106" s="88">
        <v>1</v>
      </c>
      <c r="F106" s="39" t="s">
        <v>165</v>
      </c>
      <c r="K106">
        <f>$L106*VLOOKUP($R106,武学奇术!$A:$ZZ,31,FALSE)</f>
        <v>40237.2930413802</v>
      </c>
      <c r="L106" s="38">
        <f t="shared" si="44"/>
        <v>38321.2314679811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</f>
        <v>40606.0165783903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</f>
        <v>32622.326461802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</f>
        <v>21259.6945436599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</f>
        <v>18354.7028193182</v>
      </c>
      <c r="Q106" s="39">
        <v>2</v>
      </c>
      <c r="R106" s="40" t="s">
        <v>119</v>
      </c>
      <c r="S106" s="40" t="s">
        <v>116</v>
      </c>
      <c r="T106" s="40" t="s">
        <v>78</v>
      </c>
      <c r="U106" s="40" t="s">
        <v>79</v>
      </c>
      <c r="V106" s="40" t="s">
        <v>78</v>
      </c>
      <c r="W106" s="40" t="s">
        <v>181</v>
      </c>
      <c r="X106" s="40" t="s">
        <v>90</v>
      </c>
      <c r="Y106" s="40" t="s">
        <v>78</v>
      </c>
      <c r="Z106" s="40" t="s">
        <v>78</v>
      </c>
      <c r="AA106" s="40" t="s">
        <v>78</v>
      </c>
      <c r="AB106" s="40" t="s">
        <v>78</v>
      </c>
      <c r="AC106" s="40" t="s">
        <v>92</v>
      </c>
      <c r="AD106" s="40" t="s">
        <v>78</v>
      </c>
      <c r="AE106" s="40" t="s">
        <v>83</v>
      </c>
      <c r="AF106" s="40" t="s">
        <v>84</v>
      </c>
      <c r="AG106" s="40" t="s">
        <v>85</v>
      </c>
      <c r="AH106" s="40" t="s">
        <v>78</v>
      </c>
      <c r="AI106" s="40" t="s">
        <v>78</v>
      </c>
      <c r="AJ106" s="40" t="s">
        <v>78</v>
      </c>
      <c r="AK106" s="40" t="s">
        <v>78</v>
      </c>
      <c r="AL106" s="40" t="s">
        <v>78</v>
      </c>
      <c r="AM106" t="str">
        <f>VLOOKUP($R106,武学奇术!$A:$ZZ,25,FALSE)</f>
        <v>伞</v>
      </c>
      <c r="AN106" s="26">
        <f>VLOOKUP($R106,武学奇术!$A:$ZZ,26,FALSE)</f>
        <v>0.54</v>
      </c>
      <c r="AO106" s="27">
        <f>VLOOKUP($R106,武学奇术!$A:$ZZ,27,FALSE)*(1+IF(OR($AM106=$F$4,$AM106=$F$5),$B$22,0))</f>
        <v>0</v>
      </c>
      <c r="AP106" s="26">
        <f>VLOOKUP($R106,武学奇术!$A:$ZZ,28,FALSE)</f>
        <v>0.81</v>
      </c>
      <c r="AQ106" s="27">
        <f>VLOOKUP($R106,武学奇术!$A:$ZZ,29,FALSE)*(1+IF(OR($AM106=$F$4,$AM106=$F$5),$B$22,0))</f>
        <v>0</v>
      </c>
      <c r="AR106" s="26" cm="1">
        <f t="array" ref="AR106">$G$3+IFERROR(VLOOKUP($AM106,$F$4:$G$7,2,FALSE),0)+VLOOKUP($R106,武学奇术!$A:$ZZ,2,FALSE)+SUM(_xlfn.XLOOKUP($S106:$AL106,增益!$A:$A,增益!$B:$B,0))</f>
        <v>0.8241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3636.6</v>
      </c>
      <c r="AU106" cm="1">
        <f t="array" ref="AU106">$E$10*(1+$AS106)+VLOOKUP($R106,武学奇术!$A:$ZZ,4,FALSE)+SUM(_xlfn.XLOOKUP($S106:$AL106,增益!$A:$A,增益!$D:$D,0))-$I$2</f>
        <v>3636.6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0.2625</v>
      </c>
      <c r="AW106" s="32" cm="1">
        <f t="array" ref="AW106">$G$10+VLOOKUP($R106,武学奇术!$A:$ZZ,7,FALSE)+SUM(_xlfn.XLOOKUP($S106:$AL106,增益!$A:$A,增益!$G:$G,0))</f>
        <v>0.148</v>
      </c>
      <c r="AX106" s="26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40"/>
        <v>571.2</v>
      </c>
      <c r="BL106">
        <f t="shared" si="41"/>
        <v>1627.8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0.27</v>
      </c>
      <c r="BO106" s="26">
        <f>MIN(IF(VLOOKUP($R106,武学奇术!$A:$ZZ,23,FALSE)=1,100%,$B$8),100%)</f>
        <v>0.981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26" cm="1">
        <f t="array" ref="BQ106">1+$B$13+VLOOKUP($R106,武学奇术!$A:$ZZ,18,FALSE)+SUM(_xlfn.XLOOKUP($S106:$AL106,增益!$A:$A,增益!$R:$R,0))</f>
        <v>1.91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42"/>
        <v>0.829926</v>
      </c>
      <c r="BU106" s="26">
        <f t="shared" si="43"/>
        <v>0.0599391</v>
      </c>
      <c r="BV106" s="26">
        <f>IF(VLOOKUP($R106,武学奇术!$A:$ZZ,22,FALSE)=1,0,(1-$BO106))*(1-$BR106)</f>
        <v>0.0172349</v>
      </c>
      <c r="BW106" s="26" cm="1">
        <f t="array" ref="BW106">SUM(_xlfn.XLOOKUP($S106:$AL106,增益!$A:$A,增益!$W:$W,0))+$I$5</f>
        <v>0.11</v>
      </c>
      <c r="BX106" s="26" cm="1">
        <f t="array" ref="BX106">SUM(_xlfn.XLOOKUP($S106:$AL106,增益!$A:$A,增益!$X:$X,0))</f>
        <v>0</v>
      </c>
    </row>
    <row r="107" spans="1:76">
      <c r="A107" s="4" t="s">
        <v>169</v>
      </c>
      <c r="B107" s="4">
        <v>1</v>
      </c>
      <c r="E107" s="39" t="s">
        <v>171</v>
      </c>
      <c r="F107" s="39"/>
      <c r="K107">
        <f>$L107*VLOOKUP($R107,武学奇术!$A:$ZZ,31,FALSE)</f>
        <v>72692.8775496921</v>
      </c>
      <c r="L107" s="38">
        <f t="shared" si="44"/>
        <v>69231.3119520877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</f>
        <v>73679.2812238785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</f>
        <v>56805.3535956683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</f>
        <v>37400.650367451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</f>
        <v>32723.2610344069</v>
      </c>
      <c r="Q107" s="39">
        <v>1</v>
      </c>
      <c r="R107" s="40" t="s">
        <v>115</v>
      </c>
      <c r="S107" s="40" t="s">
        <v>116</v>
      </c>
      <c r="T107" s="40" t="s">
        <v>121</v>
      </c>
      <c r="U107" s="40" t="s">
        <v>79</v>
      </c>
      <c r="V107" s="40" t="s">
        <v>78</v>
      </c>
      <c r="W107" s="40" t="s">
        <v>181</v>
      </c>
      <c r="X107" s="40" t="s">
        <v>90</v>
      </c>
      <c r="Y107" s="40" t="s">
        <v>91</v>
      </c>
      <c r="Z107" s="40" t="s">
        <v>78</v>
      </c>
      <c r="AA107" s="40" t="s">
        <v>78</v>
      </c>
      <c r="AB107" s="40" t="s">
        <v>122</v>
      </c>
      <c r="AC107" s="40" t="s">
        <v>92</v>
      </c>
      <c r="AD107" s="40" t="s">
        <v>78</v>
      </c>
      <c r="AE107" s="40" t="s">
        <v>83</v>
      </c>
      <c r="AF107" s="40" t="s">
        <v>84</v>
      </c>
      <c r="AG107" s="40" t="s">
        <v>85</v>
      </c>
      <c r="AH107" s="40" t="s">
        <v>78</v>
      </c>
      <c r="AI107" s="40" t="s">
        <v>78</v>
      </c>
      <c r="AJ107" s="40" t="s">
        <v>78</v>
      </c>
      <c r="AK107" s="40" t="s">
        <v>78</v>
      </c>
      <c r="AL107" s="40" t="s">
        <v>78</v>
      </c>
      <c r="AM107" t="str">
        <f>VLOOKUP($R107,武学奇术!$A:$ZZ,25,FALSE)</f>
        <v>伞</v>
      </c>
      <c r="AN107" s="26">
        <f>VLOOKUP($R107,武学奇术!$A:$ZZ,26,FALSE)</f>
        <v>1.8084</v>
      </c>
      <c r="AO107" s="27">
        <f>VLOOKUP($R107,武学奇术!$A:$ZZ,27,FALSE)*(1+IF(OR($AM107=$F$4,$AM107=$F$5),$B$22,0))</f>
        <v>750</v>
      </c>
      <c r="AP107" s="26">
        <f>VLOOKUP($R107,武学奇术!$A:$ZZ,28,FALSE)</f>
        <v>2.7126</v>
      </c>
      <c r="AQ107" s="27">
        <f>VLOOKUP($R107,武学奇术!$A:$ZZ,29,FALSE)*(1+IF(OR($AM107=$F$4,$AM107=$F$5),$B$22,0))</f>
        <v>408</v>
      </c>
      <c r="AR107" s="26" cm="1">
        <f t="array" ref="AR107">$G$3+IFERROR(VLOOKUP($AM107,$F$4:$G$7,2,FALSE),0)+VLOOKUP($R107,武学奇术!$A:$ZZ,2,FALSE)+SUM(_xlfn.XLOOKUP($S107:$AL107,增益!$A:$A,增益!$B:$B,0))</f>
        <v>0.6241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3636.6</v>
      </c>
      <c r="AU107" cm="1">
        <f t="array" ref="AU107">$E$10*(1+$AS107)+VLOOKUP($R107,武学奇术!$A:$ZZ,4,FALSE)+SUM(_xlfn.XLOOKUP($S107:$AL107,增益!$A:$A,增益!$D:$D,0))-$I$2</f>
        <v>3636.6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0.2825</v>
      </c>
      <c r="AW107" s="32" cm="1">
        <f t="array" ref="AW107">$G$10+VLOOKUP($R107,武学奇术!$A:$ZZ,7,FALSE)+SUM(_xlfn.XLOOKUP($S107:$AL107,增益!$A:$A,增益!$G:$G,0))</f>
        <v>0.148</v>
      </c>
      <c r="AX107" s="26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2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2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-0.14</v>
      </c>
      <c r="BJ107" s="32" cm="1">
        <f t="array" ref="BJ107">$G$13+VLOOKUP($R107,武学奇术!$A:$ZZ,14,FALSE)+SUM(_xlfn.XLOOKUP($S107:$AL107,增益!$A:$A,增益!$N:$N,0))</f>
        <v>0</v>
      </c>
      <c r="BK107">
        <f t="shared" si="40"/>
        <v>571.2</v>
      </c>
      <c r="BL107">
        <f t="shared" si="41"/>
        <v>1627.8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0.08</v>
      </c>
      <c r="BN107" s="32" cm="1">
        <f t="array" ref="BN107">$G$14+VLOOKUP($R107,武学奇术!$A:$ZZ,16,FALSE)+SUM(_xlfn.XLOOKUP($S107:$AL107,增益!$A:$A,增益!$P:$P,0))</f>
        <v>0.27</v>
      </c>
      <c r="BO107" s="26">
        <f>MIN(IF(VLOOKUP($R107,武学奇术!$A:$ZZ,23,FALSE)=1,100%,$B$8),100%)</f>
        <v>0.981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26" cm="1">
        <f t="array" ref="BQ107">1+$B$13+VLOOKUP($R107,武学奇术!$A:$ZZ,18,FALSE)+SUM(_xlfn.XLOOKUP($S107:$AL107,增益!$A:$A,增益!$R:$R,0))</f>
        <v>1.97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42"/>
        <v>0.829926</v>
      </c>
      <c r="BU107" s="26">
        <f t="shared" si="43"/>
        <v>0.0599391</v>
      </c>
      <c r="BV107" s="26">
        <f>IF(VLOOKUP($R107,武学奇术!$A:$ZZ,22,FALSE)=1,0,(1-$BO107))*(1-$BR107)</f>
        <v>0.0172349</v>
      </c>
      <c r="BW107" s="26" cm="1">
        <f t="array" ref="BW107">SUM(_xlfn.XLOOKUP($S107:$AL107,增益!$A:$A,增益!$W:$W,0))+$I$5</f>
        <v>0.11</v>
      </c>
      <c r="BX107" s="26" cm="1">
        <f t="array" ref="BX107">SUM(_xlfn.XLOOKUP($S107:$AL107,增益!$A:$A,增益!$X:$X,0))</f>
        <v>0</v>
      </c>
    </row>
    <row r="108" spans="1:76">
      <c r="A108" s="4" t="s">
        <v>172</v>
      </c>
      <c r="B108" s="4">
        <v>0.85</v>
      </c>
      <c r="E108" s="39"/>
      <c r="F108" s="39"/>
      <c r="K108">
        <f>$L108*VLOOKUP($R108,武学奇术!$A:$ZZ,31,FALSE)</f>
        <v>42773.4763036704</v>
      </c>
      <c r="L108" s="38">
        <f t="shared" si="44"/>
        <v>40736.6440987337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</f>
        <v>43309.2204574954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</f>
        <v>33914.3853542012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</f>
        <v>21984.3758667489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</f>
        <v>18846.98480446</v>
      </c>
      <c r="Q108" s="39">
        <v>2</v>
      </c>
      <c r="R108" s="40" t="s">
        <v>119</v>
      </c>
      <c r="S108" s="40" t="s">
        <v>116</v>
      </c>
      <c r="T108" s="40" t="s">
        <v>121</v>
      </c>
      <c r="U108" s="40" t="s">
        <v>79</v>
      </c>
      <c r="V108" s="40" t="s">
        <v>78</v>
      </c>
      <c r="W108" s="40" t="s">
        <v>181</v>
      </c>
      <c r="X108" s="40" t="s">
        <v>90</v>
      </c>
      <c r="Y108" s="40" t="s">
        <v>91</v>
      </c>
      <c r="Z108" s="40" t="s">
        <v>78</v>
      </c>
      <c r="AA108" s="40" t="s">
        <v>78</v>
      </c>
      <c r="AB108" s="40" t="s">
        <v>122</v>
      </c>
      <c r="AC108" s="40" t="s">
        <v>92</v>
      </c>
      <c r="AD108" s="40" t="s">
        <v>78</v>
      </c>
      <c r="AE108" s="40" t="s">
        <v>83</v>
      </c>
      <c r="AF108" s="40" t="s">
        <v>84</v>
      </c>
      <c r="AG108" s="40" t="s">
        <v>85</v>
      </c>
      <c r="AH108" s="40" t="s">
        <v>78</v>
      </c>
      <c r="AI108" s="40" t="s">
        <v>78</v>
      </c>
      <c r="AJ108" s="40" t="s">
        <v>78</v>
      </c>
      <c r="AK108" s="40" t="s">
        <v>78</v>
      </c>
      <c r="AL108" s="40" t="s">
        <v>78</v>
      </c>
      <c r="AM108" t="str">
        <f>VLOOKUP($R108,武学奇术!$A:$ZZ,25,FALSE)</f>
        <v>伞</v>
      </c>
      <c r="AN108" s="26">
        <f>VLOOKUP($R108,武学奇术!$A:$ZZ,26,FALSE)</f>
        <v>0.54</v>
      </c>
      <c r="AO108" s="27">
        <f>VLOOKUP($R108,武学奇术!$A:$ZZ,27,FALSE)*(1+IF(OR($AM108=$F$4,$AM108=$F$5),$B$22,0))</f>
        <v>0</v>
      </c>
      <c r="AP108" s="26">
        <f>VLOOKUP($R108,武学奇术!$A:$ZZ,28,FALSE)</f>
        <v>0.81</v>
      </c>
      <c r="AQ108" s="27">
        <f>VLOOKUP($R108,武学奇术!$A:$ZZ,29,FALSE)*(1+IF(OR($AM108=$F$4,$AM108=$F$5),$B$22,0))</f>
        <v>0</v>
      </c>
      <c r="AR108" s="26" cm="1">
        <f t="array" ref="AR108">$G$3+IFERROR(VLOOKUP($AM108,$F$4:$G$7,2,FALSE),0)+VLOOKUP($R108,武学奇术!$A:$ZZ,2,FALSE)+SUM(_xlfn.XLOOKUP($S108:$AL108,增益!$A:$A,增益!$B:$B,0))</f>
        <v>0.8241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3636.6</v>
      </c>
      <c r="AU108" cm="1">
        <f t="array" ref="AU108">$E$10*(1+$AS108)+VLOOKUP($R108,武学奇术!$A:$ZZ,4,FALSE)+SUM(_xlfn.XLOOKUP($S108:$AL108,增益!$A:$A,增益!$D:$D,0))-$I$2</f>
        <v>3636.6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0.2825</v>
      </c>
      <c r="AW108" s="32" cm="1">
        <f t="array" ref="AW108">$G$10+VLOOKUP($R108,武学奇术!$A:$ZZ,7,FALSE)+SUM(_xlfn.XLOOKUP($S108:$AL108,增益!$A:$A,增益!$G:$G,0))</f>
        <v>0.148</v>
      </c>
      <c r="AX108" s="26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2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-0.14</v>
      </c>
      <c r="BF108" s="32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-0.14</v>
      </c>
      <c r="BJ108" s="32" cm="1">
        <f t="array" ref="BJ108">$G$13+VLOOKUP($R108,武学奇术!$A:$ZZ,14,FALSE)+SUM(_xlfn.XLOOKUP($S108:$AL108,增益!$A:$A,增益!$N:$N,0))</f>
        <v>0</v>
      </c>
      <c r="BK108">
        <f t="shared" si="40"/>
        <v>571.2</v>
      </c>
      <c r="BL108">
        <f t="shared" si="41"/>
        <v>1627.8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0.08</v>
      </c>
      <c r="BN108" s="32" cm="1">
        <f t="array" ref="BN108">$G$14+VLOOKUP($R108,武学奇术!$A:$ZZ,16,FALSE)+SUM(_xlfn.XLOOKUP($S108:$AL108,增益!$A:$A,增益!$P:$P,0))</f>
        <v>0.27</v>
      </c>
      <c r="BO108" s="26">
        <f>MIN(IF(VLOOKUP($R108,武学奇术!$A:$ZZ,23,FALSE)=1,100%,$B$8),100%)</f>
        <v>0.981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26" cm="1">
        <f t="array" ref="BQ108">1+$B$13+VLOOKUP($R108,武学奇术!$A:$ZZ,18,FALSE)+SUM(_xlfn.XLOOKUP($S108:$AL108,增益!$A:$A,增益!$R:$R,0))</f>
        <v>1.97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42"/>
        <v>0.829926</v>
      </c>
      <c r="BU108" s="26">
        <f t="shared" si="43"/>
        <v>0.0599391</v>
      </c>
      <c r="BV108" s="26">
        <f>IF(VLOOKUP($R108,武学奇术!$A:$ZZ,22,FALSE)=1,0,(1-$BO108))*(1-$BR108)</f>
        <v>0.0172349</v>
      </c>
      <c r="BW108" s="26" cm="1">
        <f t="array" ref="BW108">SUM(_xlfn.XLOOKUP($S108:$AL108,增益!$A:$A,增益!$W:$W,0))+$I$5</f>
        <v>0.11</v>
      </c>
      <c r="BX108" s="26" cm="1">
        <f t="array" ref="BX108">SUM(_xlfn.XLOOKUP($S108:$AL108,增益!$A:$A,增益!$X:$X,0))</f>
        <v>0</v>
      </c>
    </row>
    <row r="109" spans="1:76">
      <c r="A109" s="4" t="s">
        <v>169</v>
      </c>
      <c r="B109" s="88">
        <v>1</v>
      </c>
      <c r="E109" s="39"/>
      <c r="F109" s="39"/>
      <c r="K109">
        <f>$L109*VLOOKUP($R109,武学奇术!$A:$ZZ,31,FALSE)</f>
        <v>76305.2217705879</v>
      </c>
      <c r="L109" s="38">
        <f t="shared" si="44"/>
        <v>72671.6397815123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</f>
        <v>77617.1849949459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</f>
        <v>57970.6952194082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</f>
        <v>38235.0664999733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</f>
        <v>33528.8772818665</v>
      </c>
      <c r="Q109" s="39">
        <v>1</v>
      </c>
      <c r="R109" s="40" t="s">
        <v>115</v>
      </c>
      <c r="S109" s="40" t="s">
        <v>116</v>
      </c>
      <c r="T109" s="40" t="s">
        <v>126</v>
      </c>
      <c r="U109" s="40" t="s">
        <v>79</v>
      </c>
      <c r="V109" s="40" t="s">
        <v>78</v>
      </c>
      <c r="W109" s="40" t="s">
        <v>181</v>
      </c>
      <c r="X109" s="40" t="s">
        <v>97</v>
      </c>
      <c r="Y109" s="40" t="s">
        <v>91</v>
      </c>
      <c r="Z109" s="40" t="s">
        <v>78</v>
      </c>
      <c r="AA109" s="40" t="s">
        <v>78</v>
      </c>
      <c r="AB109" s="40" t="s">
        <v>127</v>
      </c>
      <c r="AC109" s="40" t="s">
        <v>98</v>
      </c>
      <c r="AD109" s="40" t="s">
        <v>78</v>
      </c>
      <c r="AE109" s="40" t="s">
        <v>83</v>
      </c>
      <c r="AF109" s="40" t="s">
        <v>84</v>
      </c>
      <c r="AG109" s="40" t="s">
        <v>85</v>
      </c>
      <c r="AH109" s="40" t="s">
        <v>78</v>
      </c>
      <c r="AI109" s="40" t="s">
        <v>78</v>
      </c>
      <c r="AJ109" s="40" t="s">
        <v>78</v>
      </c>
      <c r="AK109" s="40" t="s">
        <v>78</v>
      </c>
      <c r="AL109" s="40" t="s">
        <v>78</v>
      </c>
      <c r="AM109" t="str">
        <f>VLOOKUP($R109,武学奇术!$A:$ZZ,25,FALSE)</f>
        <v>伞</v>
      </c>
      <c r="AN109" s="26">
        <f>VLOOKUP($R109,武学奇术!$A:$ZZ,26,FALSE)</f>
        <v>1.8084</v>
      </c>
      <c r="AO109" s="27">
        <f>VLOOKUP($R109,武学奇术!$A:$ZZ,27,FALSE)*(1+IF(OR($AM109=$F$4,$AM109=$F$5),$B$22,0))</f>
        <v>750</v>
      </c>
      <c r="AP109" s="26">
        <f>VLOOKUP($R109,武学奇术!$A:$ZZ,28,FALSE)</f>
        <v>2.7126</v>
      </c>
      <c r="AQ109" s="27">
        <f>VLOOKUP($R109,武学奇术!$A:$ZZ,29,FALSE)*(1+IF(OR($AM109=$F$4,$AM109=$F$5),$B$22,0))</f>
        <v>408</v>
      </c>
      <c r="AR109" s="26" cm="1">
        <f t="array" ref="AR109">$G$3+IFERROR(VLOOKUP($AM109,$F$4:$G$7,2,FALSE),0)+VLOOKUP($R109,武学奇术!$A:$ZZ,2,FALSE)+SUM(_xlfn.XLOOKUP($S109:$AL109,增益!$A:$A,增益!$B:$B,0))</f>
        <v>0.6341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3636.6</v>
      </c>
      <c r="AU109" cm="1">
        <f t="array" ref="AU109">$E$10*(1+$AS109)+VLOOKUP($R109,武学奇术!$A:$ZZ,4,FALSE)+SUM(_xlfn.XLOOKUP($S109:$AL109,增益!$A:$A,增益!$D:$D,0))-$I$2</f>
        <v>3636.6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0.3125</v>
      </c>
      <c r="AW109" s="32" cm="1">
        <f t="array" ref="AW109">$G$10+VLOOKUP($R109,武学奇术!$A:$ZZ,7,FALSE)+SUM(_xlfn.XLOOKUP($S109:$AL109,增益!$A:$A,增益!$G:$G,0))</f>
        <v>0.148</v>
      </c>
      <c r="AX109" s="26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2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-0.14</v>
      </c>
      <c r="BF109" s="32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-0.14</v>
      </c>
      <c r="BJ109" s="32" cm="1">
        <f t="array" ref="BJ109">$G$13+VLOOKUP($R109,武学奇术!$A:$ZZ,14,FALSE)+SUM(_xlfn.XLOOKUP($S109:$AL109,增益!$A:$A,增益!$N:$N,0))</f>
        <v>0</v>
      </c>
      <c r="BK109">
        <f t="shared" si="40"/>
        <v>571.2</v>
      </c>
      <c r="BL109">
        <f t="shared" si="41"/>
        <v>1627.8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0.08</v>
      </c>
      <c r="BN109" s="32" cm="1">
        <f t="array" ref="BN109">$G$14+VLOOKUP($R109,武学奇术!$A:$ZZ,16,FALSE)+SUM(_xlfn.XLOOKUP($S109:$AL109,增益!$A:$A,增益!$P:$P,0))</f>
        <v>0.27</v>
      </c>
      <c r="BO109" s="26">
        <f>MIN(IF(VLOOKUP($R109,武学奇术!$A:$ZZ,23,FALSE)=1,100%,$B$8),100%)</f>
        <v>0.981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26" cm="1">
        <f t="array" ref="BQ109">1+$B$13+VLOOKUP($R109,武学奇术!$A:$ZZ,18,FALSE)+SUM(_xlfn.XLOOKUP($S109:$AL109,增益!$A:$A,增益!$R:$R,0))</f>
        <v>2.03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42"/>
        <v>0.829926</v>
      </c>
      <c r="BU109" s="26">
        <f t="shared" si="43"/>
        <v>0.0599391</v>
      </c>
      <c r="BV109" s="26">
        <f>IF(VLOOKUP($R109,武学奇术!$A:$ZZ,22,FALSE)=1,0,(1-$BO109))*(1-$BR109)</f>
        <v>0.0172349</v>
      </c>
      <c r="BW109" s="26" cm="1">
        <f t="array" ref="BW109">SUM(_xlfn.XLOOKUP($S109:$AL109,增益!$A:$A,增益!$W:$W,0))+$I$5</f>
        <v>0.11</v>
      </c>
      <c r="BX109" s="26" cm="1">
        <f t="array" ref="BX109">SUM(_xlfn.XLOOKUP($S109:$AL109,增益!$A:$A,增益!$X:$X,0))</f>
        <v>0</v>
      </c>
    </row>
    <row r="110" spans="1:76">
      <c r="A110" s="4" t="s">
        <v>169</v>
      </c>
      <c r="B110" s="4">
        <v>1</v>
      </c>
      <c r="E110" s="39"/>
      <c r="F110" s="39"/>
      <c r="K110">
        <f>$L110*VLOOKUP($R110,武学奇术!$A:$ZZ,31,FALSE)</f>
        <v>44884.0758091885</v>
      </c>
      <c r="L110" s="38">
        <f t="shared" si="44"/>
        <v>42746.7388658938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</f>
        <v>45610.8436974287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</f>
        <v>34591.0319616812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</f>
        <v>22468.3959100634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</f>
        <v>19313.8051818444</v>
      </c>
      <c r="Q110" s="39">
        <v>2</v>
      </c>
      <c r="R110" s="40" t="s">
        <v>119</v>
      </c>
      <c r="S110" s="40" t="s">
        <v>116</v>
      </c>
      <c r="T110" s="40" t="s">
        <v>126</v>
      </c>
      <c r="U110" s="40" t="s">
        <v>79</v>
      </c>
      <c r="V110" s="40" t="s">
        <v>78</v>
      </c>
      <c r="W110" s="40" t="s">
        <v>181</v>
      </c>
      <c r="X110" s="40" t="s">
        <v>97</v>
      </c>
      <c r="Y110" s="40" t="s">
        <v>91</v>
      </c>
      <c r="Z110" s="40" t="s">
        <v>78</v>
      </c>
      <c r="AA110" s="40" t="s">
        <v>78</v>
      </c>
      <c r="AB110" s="40" t="s">
        <v>127</v>
      </c>
      <c r="AC110" s="40" t="s">
        <v>98</v>
      </c>
      <c r="AD110" s="40" t="s">
        <v>78</v>
      </c>
      <c r="AE110" s="40" t="s">
        <v>83</v>
      </c>
      <c r="AF110" s="40" t="s">
        <v>84</v>
      </c>
      <c r="AG110" s="40" t="s">
        <v>85</v>
      </c>
      <c r="AH110" s="40" t="s">
        <v>78</v>
      </c>
      <c r="AI110" s="40" t="s">
        <v>78</v>
      </c>
      <c r="AJ110" s="40" t="s">
        <v>78</v>
      </c>
      <c r="AK110" s="40" t="s">
        <v>78</v>
      </c>
      <c r="AL110" s="40" t="s">
        <v>78</v>
      </c>
      <c r="AM110" t="str">
        <f>VLOOKUP($R110,武学奇术!$A:$ZZ,25,FALSE)</f>
        <v>伞</v>
      </c>
      <c r="AN110" s="26">
        <f>VLOOKUP($R110,武学奇术!$A:$ZZ,26,FALSE)</f>
        <v>0.54</v>
      </c>
      <c r="AO110" s="27">
        <f>VLOOKUP($R110,武学奇术!$A:$ZZ,27,FALSE)*(1+IF(OR($AM110=$F$4,$AM110=$F$5),$B$22,0))</f>
        <v>0</v>
      </c>
      <c r="AP110" s="26">
        <f>VLOOKUP($R110,武学奇术!$A:$ZZ,28,FALSE)</f>
        <v>0.81</v>
      </c>
      <c r="AQ110" s="27">
        <f>VLOOKUP($R110,武学奇术!$A:$ZZ,29,FALSE)*(1+IF(OR($AM110=$F$4,$AM110=$F$5),$B$22,0))</f>
        <v>0</v>
      </c>
      <c r="AR110" s="26" cm="1">
        <f t="array" ref="AR110">$G$3+IFERROR(VLOOKUP($AM110,$F$4:$G$7,2,FALSE),0)+VLOOKUP($R110,武学奇术!$A:$ZZ,2,FALSE)+SUM(_xlfn.XLOOKUP($S110:$AL110,增益!$A:$A,增益!$B:$B,0))</f>
        <v>0.8341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3636.6</v>
      </c>
      <c r="AU110" cm="1">
        <f t="array" ref="AU110">$E$10*(1+$AS110)+VLOOKUP($R110,武学奇术!$A:$ZZ,4,FALSE)+SUM(_xlfn.XLOOKUP($S110:$AL110,增益!$A:$A,增益!$D:$D,0))-$I$2</f>
        <v>3636.6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0.3125</v>
      </c>
      <c r="AW110" s="32" cm="1">
        <f t="array" ref="AW110">$G$10+VLOOKUP($R110,武学奇术!$A:$ZZ,7,FALSE)+SUM(_xlfn.XLOOKUP($S110:$AL110,增益!$A:$A,增益!$G:$G,0))</f>
        <v>0.148</v>
      </c>
      <c r="AX110" s="26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2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2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2" cm="1">
        <f t="array" ref="BJ110">$G$13+VLOOKUP($R110,武学奇术!$A:$ZZ,14,FALSE)+SUM(_xlfn.XLOOKUP($S110:$AL110,增益!$A:$A,增益!$N:$N,0))</f>
        <v>0</v>
      </c>
      <c r="BK110">
        <f t="shared" si="40"/>
        <v>571.2</v>
      </c>
      <c r="BL110">
        <f t="shared" si="41"/>
        <v>1627.8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0.08</v>
      </c>
      <c r="BN110" s="32" cm="1">
        <f t="array" ref="BN110">$G$14+VLOOKUP($R110,武学奇术!$A:$ZZ,16,FALSE)+SUM(_xlfn.XLOOKUP($S110:$AL110,增益!$A:$A,增益!$P:$P,0))</f>
        <v>0.27</v>
      </c>
      <c r="BO110" s="26">
        <f>MIN(IF(VLOOKUP($R110,武学奇术!$A:$ZZ,23,FALSE)=1,100%,$B$8),100%)</f>
        <v>0.981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26" cm="1">
        <f t="array" ref="BQ110">1+$B$13+VLOOKUP($R110,武学奇术!$A:$ZZ,18,FALSE)+SUM(_xlfn.XLOOKUP($S110:$AL110,增益!$A:$A,增益!$R:$R,0))</f>
        <v>2.03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42"/>
        <v>0.829926</v>
      </c>
      <c r="BU110" s="26">
        <f t="shared" si="43"/>
        <v>0.0599391</v>
      </c>
      <c r="BV110" s="26">
        <f>IF(VLOOKUP($R110,武学奇术!$A:$ZZ,22,FALSE)=1,0,(1-$BO110))*(1-$BR110)</f>
        <v>0.0172349</v>
      </c>
      <c r="BW110" s="26" cm="1">
        <f t="array" ref="BW110">SUM(_xlfn.XLOOKUP($S110:$AL110,增益!$A:$A,增益!$W:$W,0))+$I$5</f>
        <v>0.11</v>
      </c>
      <c r="BX110" s="26" cm="1">
        <f t="array" ref="BX110">SUM(_xlfn.XLOOKUP($S110:$AL110,增益!$A:$A,增益!$X:$X,0))</f>
        <v>0</v>
      </c>
    </row>
    <row r="111" spans="1:76">
      <c r="A111" s="4" t="s">
        <v>172</v>
      </c>
      <c r="B111" s="4">
        <v>0.85</v>
      </c>
      <c r="E111" s="39"/>
      <c r="F111" s="39"/>
      <c r="K111">
        <f>$L111*VLOOKUP($R111,武学奇术!$A:$ZZ,31,FALSE)</f>
        <v>93313.4174845295</v>
      </c>
      <c r="L111" s="38">
        <f t="shared" si="44"/>
        <v>88869.9214138376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</f>
        <v>88869.9214138376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</f>
        <v>65370.9493841879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</f>
        <v>43140.7385504066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</f>
        <v>37858.5516310444</v>
      </c>
      <c r="Q111" s="39">
        <v>1</v>
      </c>
      <c r="R111" s="40" t="s">
        <v>132</v>
      </c>
      <c r="S111" s="40" t="s">
        <v>116</v>
      </c>
      <c r="T111" s="40" t="s">
        <v>102</v>
      </c>
      <c r="U111" s="40" t="s">
        <v>79</v>
      </c>
      <c r="V111" s="40" t="s">
        <v>78</v>
      </c>
      <c r="W111" s="40" t="s">
        <v>181</v>
      </c>
      <c r="X111" s="40" t="s">
        <v>97</v>
      </c>
      <c r="Y111" s="40" t="s">
        <v>91</v>
      </c>
      <c r="Z111" s="40" t="s">
        <v>78</v>
      </c>
      <c r="AA111" s="40" t="s">
        <v>78</v>
      </c>
      <c r="AB111" s="40" t="s">
        <v>133</v>
      </c>
      <c r="AC111" s="40" t="s">
        <v>98</v>
      </c>
      <c r="AD111" s="40" t="s">
        <v>78</v>
      </c>
      <c r="AE111" s="40" t="s">
        <v>83</v>
      </c>
      <c r="AF111" s="40" t="s">
        <v>84</v>
      </c>
      <c r="AG111" s="40" t="s">
        <v>85</v>
      </c>
      <c r="AH111" s="40" t="s">
        <v>78</v>
      </c>
      <c r="AI111" s="40" t="s">
        <v>78</v>
      </c>
      <c r="AJ111" s="40" t="s">
        <v>78</v>
      </c>
      <c r="AK111" s="40" t="s">
        <v>78</v>
      </c>
      <c r="AL111" s="40" t="s">
        <v>78</v>
      </c>
      <c r="AM111" t="str">
        <f>VLOOKUP($R111,武学奇术!$A:$ZZ,25,FALSE)</f>
        <v>伞</v>
      </c>
      <c r="AN111" s="26">
        <f>VLOOKUP($R111,武学奇术!$A:$ZZ,26,FALSE)</f>
        <v>1.8084</v>
      </c>
      <c r="AO111" s="27">
        <f>VLOOKUP($R111,武学奇术!$A:$ZZ,27,FALSE)*(1+IF(OR($AM111=$F$4,$AM111=$F$5),$B$22,0))</f>
        <v>750</v>
      </c>
      <c r="AP111" s="26">
        <f>VLOOKUP($R111,武学奇术!$A:$ZZ,28,FALSE)</f>
        <v>2.7126</v>
      </c>
      <c r="AQ111" s="27">
        <f>VLOOKUP($R111,武学奇术!$A:$ZZ,29,FALSE)*(1+IF(OR($AM111=$F$4,$AM111=$F$5),$B$22,0))</f>
        <v>408</v>
      </c>
      <c r="AR111" s="26" cm="1">
        <f t="array" ref="AR111">$G$3+IFERROR(VLOOKUP($AM111,$F$4:$G$7,2,FALSE),0)+VLOOKUP($R111,武学奇术!$A:$ZZ,2,FALSE)+SUM(_xlfn.XLOOKUP($S111:$AL111,增益!$A:$A,增益!$B:$B,0))</f>
        <v>0.8341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3636.6</v>
      </c>
      <c r="AU111" cm="1">
        <f t="array" ref="AU111">$E$10*(1+$AS111)+VLOOKUP($R111,武学奇术!$A:$ZZ,4,FALSE)+SUM(_xlfn.XLOOKUP($S111:$AL111,增益!$A:$A,增益!$D:$D,0))-$I$2</f>
        <v>3636.6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0.3225</v>
      </c>
      <c r="AW111" s="32" cm="1">
        <f t="array" ref="AW111">$G$10+VLOOKUP($R111,武学奇术!$A:$ZZ,7,FALSE)+SUM(_xlfn.XLOOKUP($S111:$AL111,增益!$A:$A,增益!$G:$G,0))</f>
        <v>0.148</v>
      </c>
      <c r="AX111" s="26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2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2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2" cm="1">
        <f t="array" ref="BJ111">$G$13+VLOOKUP($R111,武学奇术!$A:$ZZ,14,FALSE)+SUM(_xlfn.XLOOKUP($S111:$AL111,增益!$A:$A,增益!$N:$N,0))</f>
        <v>0</v>
      </c>
      <c r="BK111">
        <f t="shared" si="40"/>
        <v>571.2</v>
      </c>
      <c r="BL111">
        <f t="shared" si="41"/>
        <v>1627.8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0.08</v>
      </c>
      <c r="BN111" s="32" cm="1">
        <f t="array" ref="BN111">$G$14+VLOOKUP($R111,武学奇术!$A:$ZZ,16,FALSE)+SUM(_xlfn.XLOOKUP($S111:$AL111,增益!$A:$A,增益!$P:$P,0))</f>
        <v>0.27</v>
      </c>
      <c r="BO111" s="26">
        <f>MIN(IF(VLOOKUP($R111,武学奇术!$A:$ZZ,23,FALSE)=1,100%,$B$8),100%)</f>
        <v>1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26" cm="1">
        <f t="array" ref="BQ111">1+$B$13+VLOOKUP($R111,武学奇术!$A:$ZZ,18,FALSE)+SUM(_xlfn.XLOOKUP($S111:$AL111,增益!$A:$A,增益!$R:$R,0))</f>
        <v>2.06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42"/>
        <v>1</v>
      </c>
      <c r="BU111" s="26">
        <f t="shared" si="43"/>
        <v>0</v>
      </c>
      <c r="BV111" s="26">
        <f>IF(VLOOKUP($R111,武学奇术!$A:$ZZ,22,FALSE)=1,0,(1-$BO111))*(1-$BR111)</f>
        <v>0</v>
      </c>
      <c r="BW111" s="26" cm="1">
        <f t="array" ref="BW111">SUM(_xlfn.XLOOKUP($S111:$AL111,增益!$A:$A,增益!$W:$W,0))+$I$5</f>
        <v>0.11</v>
      </c>
      <c r="BX111" s="26" cm="1">
        <f t="array" ref="BX111">SUM(_xlfn.XLOOKUP($S111:$AL111,增益!$A:$A,增益!$X:$X,0))</f>
        <v>0</v>
      </c>
    </row>
    <row r="112" spans="1:76">
      <c r="A112" s="4" t="s">
        <v>169</v>
      </c>
      <c r="B112" s="88">
        <v>1</v>
      </c>
      <c r="E112" s="39"/>
      <c r="F112" s="39"/>
      <c r="K112">
        <f>$L112*VLOOKUP($R112,武学奇术!$A:$ZZ,31,FALSE)</f>
        <v>54189.309693912</v>
      </c>
      <c r="L112" s="38">
        <f t="shared" si="44"/>
        <v>51608.8663751543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</f>
        <v>51608.8663751543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</f>
        <v>38544.4329323597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</f>
        <v>25052.8477549293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</f>
        <v>21554.2637081106</v>
      </c>
      <c r="Q112" s="39">
        <v>2</v>
      </c>
      <c r="R112" s="40" t="s">
        <v>139</v>
      </c>
      <c r="S112" s="40" t="s">
        <v>116</v>
      </c>
      <c r="T112" s="40" t="s">
        <v>102</v>
      </c>
      <c r="U112" s="40" t="s">
        <v>79</v>
      </c>
      <c r="V112" s="40" t="s">
        <v>78</v>
      </c>
      <c r="W112" s="40" t="s">
        <v>181</v>
      </c>
      <c r="X112" s="40" t="s">
        <v>97</v>
      </c>
      <c r="Y112" s="40" t="s">
        <v>91</v>
      </c>
      <c r="Z112" s="40" t="s">
        <v>78</v>
      </c>
      <c r="AA112" s="40" t="s">
        <v>78</v>
      </c>
      <c r="AB112" s="40" t="s">
        <v>133</v>
      </c>
      <c r="AC112" s="40" t="s">
        <v>98</v>
      </c>
      <c r="AD112" s="40" t="s">
        <v>78</v>
      </c>
      <c r="AE112" s="40" t="s">
        <v>83</v>
      </c>
      <c r="AF112" s="40" t="s">
        <v>84</v>
      </c>
      <c r="AG112" s="40" t="s">
        <v>85</v>
      </c>
      <c r="AH112" s="40" t="s">
        <v>78</v>
      </c>
      <c r="AI112" s="40" t="s">
        <v>78</v>
      </c>
      <c r="AJ112" s="40" t="s">
        <v>78</v>
      </c>
      <c r="AK112" s="40" t="s">
        <v>78</v>
      </c>
      <c r="AL112" s="40" t="s">
        <v>78</v>
      </c>
      <c r="AM112" t="str">
        <f>VLOOKUP($R112,武学奇术!$A:$ZZ,25,FALSE)</f>
        <v>伞</v>
      </c>
      <c r="AN112" s="26">
        <f>VLOOKUP($R112,武学奇术!$A:$ZZ,26,FALSE)</f>
        <v>0.54</v>
      </c>
      <c r="AO112" s="27">
        <f>VLOOKUP($R112,武学奇术!$A:$ZZ,27,FALSE)*(1+IF(OR($AM112=$F$4,$AM112=$F$5),$B$22,0))</f>
        <v>0</v>
      </c>
      <c r="AP112" s="26">
        <f>VLOOKUP($R112,武学奇术!$A:$ZZ,28,FALSE)</f>
        <v>0.81</v>
      </c>
      <c r="AQ112" s="27">
        <f>VLOOKUP($R112,武学奇术!$A:$ZZ,29,FALSE)*(1+IF(OR($AM112=$F$4,$AM112=$F$5),$B$22,0))</f>
        <v>0</v>
      </c>
      <c r="AR112" s="26" cm="1">
        <f t="array" ref="AR112">$G$3+IFERROR(VLOOKUP($AM112,$F$4:$G$7,2,FALSE),0)+VLOOKUP($R112,武学奇术!$A:$ZZ,2,FALSE)+SUM(_xlfn.XLOOKUP($S112:$AL112,增益!$A:$A,增益!$B:$B,0))</f>
        <v>1.0341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3636.6</v>
      </c>
      <c r="AU112" cm="1">
        <f t="array" ref="AU112">$E$10*(1+$AS112)+VLOOKUP($R112,武学奇术!$A:$ZZ,4,FALSE)+SUM(_xlfn.XLOOKUP($S112:$AL112,增益!$A:$A,增益!$D:$D,0))-$I$2</f>
        <v>3636.6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0.3225</v>
      </c>
      <c r="AW112" s="32" cm="1">
        <f t="array" ref="AW112">$G$10+VLOOKUP($R112,武学奇术!$A:$ZZ,7,FALSE)+SUM(_xlfn.XLOOKUP($S112:$AL112,增益!$A:$A,增益!$G:$G,0))</f>
        <v>0.148</v>
      </c>
      <c r="AX112" s="26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2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2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-0.14</v>
      </c>
      <c r="BJ112" s="32" cm="1">
        <f t="array" ref="BJ112">$G$13+VLOOKUP($R112,武学奇术!$A:$ZZ,14,FALSE)+SUM(_xlfn.XLOOKUP($S112:$AL112,增益!$A:$A,增益!$N:$N,0))</f>
        <v>0</v>
      </c>
      <c r="BK112">
        <f t="shared" si="40"/>
        <v>571.2</v>
      </c>
      <c r="BL112">
        <f t="shared" si="41"/>
        <v>1627.8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0.08</v>
      </c>
      <c r="BN112" s="32" cm="1">
        <f t="array" ref="BN112">$G$14+VLOOKUP($R112,武学奇术!$A:$ZZ,16,FALSE)+SUM(_xlfn.XLOOKUP($S112:$AL112,增益!$A:$A,增益!$P:$P,0))</f>
        <v>0.27</v>
      </c>
      <c r="BO112" s="26">
        <f>MIN(IF(VLOOKUP($R112,武学奇术!$A:$ZZ,23,FALSE)=1,100%,$B$8),100%)</f>
        <v>1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26" cm="1">
        <f t="array" ref="BQ112">1+$B$13+VLOOKUP($R112,武学奇术!$A:$ZZ,18,FALSE)+SUM(_xlfn.XLOOKUP($S112:$AL112,增益!$A:$A,增益!$R:$R,0))</f>
        <v>2.06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42"/>
        <v>1</v>
      </c>
      <c r="BU112" s="26">
        <f t="shared" si="43"/>
        <v>0</v>
      </c>
      <c r="BV112" s="26">
        <f>IF(VLOOKUP($R112,武学奇术!$A:$ZZ,22,FALSE)=1,0,(1-$BO112))*(1-$BR112)</f>
        <v>0</v>
      </c>
      <c r="BW112" s="26" cm="1">
        <f t="array" ref="BW112">SUM(_xlfn.XLOOKUP($S112:$AL112,增益!$A:$A,增益!$W:$W,0))+$I$5</f>
        <v>0.11</v>
      </c>
      <c r="BX112" s="26" cm="1">
        <f t="array" ref="BX112">SUM(_xlfn.XLOOKUP($S112:$AL112,增益!$A:$A,增益!$X:$X,0))</f>
        <v>0</v>
      </c>
    </row>
    <row r="113" spans="1:76">
      <c r="A113" s="4" t="s">
        <v>169</v>
      </c>
      <c r="B113" s="4">
        <v>1</v>
      </c>
      <c r="E113" s="39"/>
      <c r="F113" s="39"/>
      <c r="K113">
        <f>$L113*VLOOKUP($R113,武学奇术!$A:$ZZ,31,FALSE)</f>
        <v>157182.956720209</v>
      </c>
      <c r="L113" s="38">
        <f t="shared" si="44"/>
        <v>149698.054019247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</f>
        <v>160161.981794537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</f>
        <v>117744.992628376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</f>
        <v>77748.5348517168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</f>
        <v>68278.5566453776</v>
      </c>
      <c r="Q113" s="39">
        <v>2</v>
      </c>
      <c r="R113" s="40" t="s">
        <v>115</v>
      </c>
      <c r="S113" s="40" t="s">
        <v>116</v>
      </c>
      <c r="T113" s="40" t="s">
        <v>102</v>
      </c>
      <c r="U113" s="40" t="s">
        <v>79</v>
      </c>
      <c r="V113" s="40" t="s">
        <v>78</v>
      </c>
      <c r="W113" s="40" t="s">
        <v>181</v>
      </c>
      <c r="X113" s="40" t="s">
        <v>104</v>
      </c>
      <c r="Y113" s="40" t="s">
        <v>91</v>
      </c>
      <c r="Z113" s="40" t="s">
        <v>78</v>
      </c>
      <c r="AA113" s="40" t="s">
        <v>78</v>
      </c>
      <c r="AB113" s="40" t="s">
        <v>133</v>
      </c>
      <c r="AC113" s="40" t="s">
        <v>98</v>
      </c>
      <c r="AD113" s="40" t="s">
        <v>78</v>
      </c>
      <c r="AE113" s="40" t="s">
        <v>83</v>
      </c>
      <c r="AF113" s="40" t="s">
        <v>84</v>
      </c>
      <c r="AG113" s="40" t="s">
        <v>85</v>
      </c>
      <c r="AH113" s="40" t="s">
        <v>78</v>
      </c>
      <c r="AI113" s="40" t="s">
        <v>78</v>
      </c>
      <c r="AJ113" s="40" t="s">
        <v>78</v>
      </c>
      <c r="AK113" s="40" t="s">
        <v>78</v>
      </c>
      <c r="AL113" s="40" t="s">
        <v>78</v>
      </c>
      <c r="AM113" t="str">
        <f>VLOOKUP($R113,武学奇术!$A:$ZZ,25,FALSE)</f>
        <v>伞</v>
      </c>
      <c r="AN113" s="26">
        <f>VLOOKUP($R113,武学奇术!$A:$ZZ,26,FALSE)</f>
        <v>1.8084</v>
      </c>
      <c r="AO113" s="27">
        <f>VLOOKUP($R113,武学奇术!$A:$ZZ,27,FALSE)*(1+IF(OR($AM113=$F$4,$AM113=$F$5),$B$22,0))</f>
        <v>750</v>
      </c>
      <c r="AP113" s="26">
        <f>VLOOKUP($R113,武学奇术!$A:$ZZ,28,FALSE)</f>
        <v>2.7126</v>
      </c>
      <c r="AQ113" s="27">
        <f>VLOOKUP($R113,武学奇术!$A:$ZZ,29,FALSE)*(1+IF(OR($AM113=$F$4,$AM113=$F$5),$B$22,0))</f>
        <v>408</v>
      </c>
      <c r="AR113" s="26" cm="1">
        <f t="array" ref="AR113">$G$3+IFERROR(VLOOKUP($AM113,$F$4:$G$7,2,FALSE),0)+VLOOKUP($R113,武学奇术!$A:$ZZ,2,FALSE)+SUM(_xlfn.XLOOKUP($S113:$AL113,增益!$A:$A,增益!$B:$B,0))</f>
        <v>0.6441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3636.6</v>
      </c>
      <c r="AU113" cm="1">
        <f t="array" ref="AU113">$E$10*(1+$AS113)+VLOOKUP($R113,武学奇术!$A:$ZZ,4,FALSE)+SUM(_xlfn.XLOOKUP($S113:$AL113,增益!$A:$A,增益!$D:$D,0))-$I$2</f>
        <v>3636.6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0.3325</v>
      </c>
      <c r="AW113" s="32" cm="1">
        <f t="array" ref="AW113">$G$10+VLOOKUP($R113,武学奇术!$A:$ZZ,7,FALSE)+SUM(_xlfn.XLOOKUP($S113:$AL113,增益!$A:$A,增益!$G:$G,0))</f>
        <v>0.148</v>
      </c>
      <c r="AX113" s="26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2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2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2" cm="1">
        <f t="array" ref="BJ113">$G$13+VLOOKUP($R113,武学奇术!$A:$ZZ,14,FALSE)+SUM(_xlfn.XLOOKUP($S113:$AL113,增益!$A:$A,增益!$N:$N,0))</f>
        <v>0</v>
      </c>
      <c r="BK113">
        <f t="shared" si="40"/>
        <v>571.2</v>
      </c>
      <c r="BL113">
        <f t="shared" si="41"/>
        <v>1627.8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0.08</v>
      </c>
      <c r="BN113" s="32" cm="1">
        <f t="array" ref="BN113">$G$14+VLOOKUP($R113,武学奇术!$A:$ZZ,16,FALSE)+SUM(_xlfn.XLOOKUP($S113:$AL113,增益!$A:$A,增益!$P:$P,0))</f>
        <v>0.27</v>
      </c>
      <c r="BO113" s="26">
        <f>MIN(IF(VLOOKUP($R113,武学奇术!$A:$ZZ,23,FALSE)=1,100%,$B$8),100%)</f>
        <v>0.981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26" cm="1">
        <f t="array" ref="BQ113">1+$B$13+VLOOKUP($R113,武学奇术!$A:$ZZ,18,FALSE)+SUM(_xlfn.XLOOKUP($S113:$AL113,增益!$A:$A,增益!$R:$R,0))</f>
        <v>2.06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42"/>
        <v>0.829926</v>
      </c>
      <c r="BU113" s="26">
        <f t="shared" si="43"/>
        <v>0.0599391</v>
      </c>
      <c r="BV113" s="26">
        <f>IF(VLOOKUP($R113,武学奇术!$A:$ZZ,22,FALSE)=1,0,(1-$BO113))*(1-$BR113)</f>
        <v>0.0172349</v>
      </c>
      <c r="BW113" s="26" cm="1">
        <f t="array" ref="BW113">SUM(_xlfn.XLOOKUP($S113:$AL113,增益!$A:$A,增益!$W:$W,0))+$I$5</f>
        <v>0.11</v>
      </c>
      <c r="BX113" s="26" cm="1">
        <f t="array" ref="BX113">SUM(_xlfn.XLOOKUP($S113:$AL113,增益!$A:$A,增益!$X:$X,0))</f>
        <v>0</v>
      </c>
    </row>
    <row r="114" spans="1:76">
      <c r="A114" s="4" t="s">
        <v>172</v>
      </c>
      <c r="B114" s="4">
        <v>0.85</v>
      </c>
      <c r="F114" s="39"/>
      <c r="K114">
        <f>$L114*VLOOKUP($R114,武学奇术!$A:$ZZ,31,FALSE)</f>
        <v>92417.2025693423</v>
      </c>
      <c r="L114" s="38">
        <f t="shared" si="44"/>
        <v>88016.3833993736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</f>
        <v>94078.3584026838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</f>
        <v>70217.1271921746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</f>
        <v>45669.1060207203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</f>
        <v>39325.5252324224</v>
      </c>
      <c r="Q114" s="39">
        <v>4</v>
      </c>
      <c r="R114" s="40" t="s">
        <v>119</v>
      </c>
      <c r="S114" s="40" t="s">
        <v>116</v>
      </c>
      <c r="T114" s="40" t="s">
        <v>102</v>
      </c>
      <c r="U114" s="40" t="s">
        <v>79</v>
      </c>
      <c r="V114" s="40" t="s">
        <v>78</v>
      </c>
      <c r="W114" s="40" t="s">
        <v>181</v>
      </c>
      <c r="X114" s="40" t="s">
        <v>104</v>
      </c>
      <c r="Y114" s="40" t="s">
        <v>91</v>
      </c>
      <c r="Z114" s="40" t="s">
        <v>78</v>
      </c>
      <c r="AA114" s="40" t="s">
        <v>78</v>
      </c>
      <c r="AB114" s="40" t="s">
        <v>133</v>
      </c>
      <c r="AC114" s="40" t="s">
        <v>98</v>
      </c>
      <c r="AD114" s="40" t="s">
        <v>78</v>
      </c>
      <c r="AE114" s="40" t="s">
        <v>83</v>
      </c>
      <c r="AF114" s="40" t="s">
        <v>84</v>
      </c>
      <c r="AG114" s="40" t="s">
        <v>85</v>
      </c>
      <c r="AH114" s="40" t="s">
        <v>78</v>
      </c>
      <c r="AI114" s="40" t="s">
        <v>78</v>
      </c>
      <c r="AJ114" s="40" t="s">
        <v>78</v>
      </c>
      <c r="AK114" s="40" t="s">
        <v>78</v>
      </c>
      <c r="AL114" s="40" t="s">
        <v>78</v>
      </c>
      <c r="AM114" t="str">
        <f>VLOOKUP($R114,武学奇术!$A:$ZZ,25,FALSE)</f>
        <v>伞</v>
      </c>
      <c r="AN114" s="26">
        <f>VLOOKUP($R114,武学奇术!$A:$ZZ,26,FALSE)</f>
        <v>0.54</v>
      </c>
      <c r="AO114" s="27">
        <f>VLOOKUP($R114,武学奇术!$A:$ZZ,27,FALSE)*(1+IF(OR($AM114=$F$4,$AM114=$F$5),$B$22,0))</f>
        <v>0</v>
      </c>
      <c r="AP114" s="26">
        <f>VLOOKUP($R114,武学奇术!$A:$ZZ,28,FALSE)</f>
        <v>0.81</v>
      </c>
      <c r="AQ114" s="27">
        <f>VLOOKUP($R114,武学奇术!$A:$ZZ,29,FALSE)*(1+IF(OR($AM114=$F$4,$AM114=$F$5),$B$22,0))</f>
        <v>0</v>
      </c>
      <c r="AR114" s="26" cm="1">
        <f t="array" ref="AR114">$G$3+IFERROR(VLOOKUP($AM114,$F$4:$G$7,2,FALSE),0)+VLOOKUP($R114,武学奇术!$A:$ZZ,2,FALSE)+SUM(_xlfn.XLOOKUP($S114:$AL114,增益!$A:$A,增益!$B:$B,0))</f>
        <v>0.8441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3636.6</v>
      </c>
      <c r="AU114" cm="1">
        <f t="array" ref="AU114">$E$10*(1+$AS114)+VLOOKUP($R114,武学奇术!$A:$ZZ,4,FALSE)+SUM(_xlfn.XLOOKUP($S114:$AL114,增益!$A:$A,增益!$D:$D,0))-$I$2</f>
        <v>3636.6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0.3325</v>
      </c>
      <c r="AW114" s="32" cm="1">
        <f t="array" ref="AW114">$G$10+VLOOKUP($R114,武学奇术!$A:$ZZ,7,FALSE)+SUM(_xlfn.XLOOKUP($S114:$AL114,增益!$A:$A,增益!$G:$G,0))</f>
        <v>0.148</v>
      </c>
      <c r="AX114" s="26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2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2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2" cm="1">
        <f t="array" ref="BJ114">$G$13+VLOOKUP($R114,武学奇术!$A:$ZZ,14,FALSE)+SUM(_xlfn.XLOOKUP($S114:$AL114,增益!$A:$A,增益!$N:$N,0))</f>
        <v>0</v>
      </c>
      <c r="BK114">
        <f t="shared" si="40"/>
        <v>571.2</v>
      </c>
      <c r="BL114">
        <f t="shared" si="41"/>
        <v>1627.8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0.08</v>
      </c>
      <c r="BN114" s="32" cm="1">
        <f t="array" ref="BN114">$G$14+VLOOKUP($R114,武学奇术!$A:$ZZ,16,FALSE)+SUM(_xlfn.XLOOKUP($S114:$AL114,增益!$A:$A,增益!$P:$P,0))</f>
        <v>0.27</v>
      </c>
      <c r="BO114" s="26">
        <f>MIN(IF(VLOOKUP($R114,武学奇术!$A:$ZZ,23,FALSE)=1,100%,$B$8),100%)</f>
        <v>0.981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26" cm="1">
        <f t="array" ref="BQ114">1+$B$13+VLOOKUP($R114,武学奇术!$A:$ZZ,18,FALSE)+SUM(_xlfn.XLOOKUP($S114:$AL114,增益!$A:$A,增益!$R:$R,0))</f>
        <v>2.06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42"/>
        <v>0.829926</v>
      </c>
      <c r="BU114" s="26">
        <f t="shared" si="43"/>
        <v>0.0599391</v>
      </c>
      <c r="BV114" s="26">
        <f>IF(VLOOKUP($R114,武学奇术!$A:$ZZ,22,FALSE)=1,0,(1-$BO114))*(1-$BR114)</f>
        <v>0.0172349</v>
      </c>
      <c r="BW114" s="26" cm="1">
        <f t="array" ref="BW114">SUM(_xlfn.XLOOKUP($S114:$AL114,增益!$A:$A,增益!$W:$W,0))+$I$5</f>
        <v>0.11</v>
      </c>
      <c r="BX114" s="26" cm="1">
        <f t="array" ref="BX114">SUM(_xlfn.XLOOKUP($S114:$AL114,增益!$A:$A,增益!$X:$X,0))</f>
        <v>0</v>
      </c>
    </row>
    <row r="115" spans="1:76">
      <c r="A115" s="4" t="s">
        <v>169</v>
      </c>
      <c r="B115" s="88">
        <v>1</v>
      </c>
      <c r="F115" s="39"/>
      <c r="K115">
        <f>$L115*VLOOKUP($R115,武学奇术!$A:$ZZ,31,FALSE)</f>
        <v>95319.3974507251</v>
      </c>
      <c r="L115" s="38">
        <f t="shared" si="44"/>
        <v>90780.3785245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</f>
        <v>90780.3785245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</f>
        <v>66700.7076657963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</f>
        <v>44068.1449148059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</f>
        <v>38728.3582253181</v>
      </c>
      <c r="Q115" s="39">
        <v>1</v>
      </c>
      <c r="R115" s="40" t="s">
        <v>132</v>
      </c>
      <c r="S115" s="40" t="s">
        <v>116</v>
      </c>
      <c r="T115" s="40" t="s">
        <v>102</v>
      </c>
      <c r="U115" s="40" t="s">
        <v>79</v>
      </c>
      <c r="V115" s="40" t="s">
        <v>78</v>
      </c>
      <c r="W115" s="40" t="s">
        <v>181</v>
      </c>
      <c r="X115" s="40" t="s">
        <v>106</v>
      </c>
      <c r="Y115" s="40" t="s">
        <v>91</v>
      </c>
      <c r="Z115" s="40" t="s">
        <v>78</v>
      </c>
      <c r="AA115" s="40" t="s">
        <v>78</v>
      </c>
      <c r="AB115" s="40" t="s">
        <v>133</v>
      </c>
      <c r="AC115" s="40" t="s">
        <v>98</v>
      </c>
      <c r="AD115" s="40" t="s">
        <v>78</v>
      </c>
      <c r="AE115" s="40" t="s">
        <v>83</v>
      </c>
      <c r="AF115" s="40" t="s">
        <v>84</v>
      </c>
      <c r="AG115" s="40" t="s">
        <v>85</v>
      </c>
      <c r="AH115" s="40" t="s">
        <v>78</v>
      </c>
      <c r="AI115" s="40" t="s">
        <v>78</v>
      </c>
      <c r="AJ115" s="40" t="s">
        <v>78</v>
      </c>
      <c r="AK115" s="40" t="s">
        <v>78</v>
      </c>
      <c r="AL115" s="40" t="s">
        <v>78</v>
      </c>
      <c r="AM115" t="str">
        <f>VLOOKUP($R115,武学奇术!$A:$ZZ,25,FALSE)</f>
        <v>伞</v>
      </c>
      <c r="AN115" s="26">
        <f>VLOOKUP($R115,武学奇术!$A:$ZZ,26,FALSE)</f>
        <v>1.8084</v>
      </c>
      <c r="AO115" s="27">
        <f>VLOOKUP($R115,武学奇术!$A:$ZZ,27,FALSE)*(1+IF(OR($AM115=$F$4,$AM115=$F$5),$B$22,0))</f>
        <v>750</v>
      </c>
      <c r="AP115" s="26">
        <f>VLOOKUP($R115,武学奇术!$A:$ZZ,28,FALSE)</f>
        <v>2.7126</v>
      </c>
      <c r="AQ115" s="27">
        <f>VLOOKUP($R115,武学奇术!$A:$ZZ,29,FALSE)*(1+IF(OR($AM115=$F$4,$AM115=$F$5),$B$22,0))</f>
        <v>408</v>
      </c>
      <c r="AR115" s="26" cm="1">
        <f t="array" ref="AR115">$G$3+IFERROR(VLOOKUP($AM115,$F$4:$G$7,2,FALSE),0)+VLOOKUP($R115,武学奇术!$A:$ZZ,2,FALSE)+SUM(_xlfn.XLOOKUP($S115:$AL115,增益!$A:$A,增益!$B:$B,0))</f>
        <v>0.8541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3636.6</v>
      </c>
      <c r="AU115" cm="1">
        <f t="array" ref="AU115">$E$10*(1+$AS115)+VLOOKUP($R115,武学奇术!$A:$ZZ,4,FALSE)+SUM(_xlfn.XLOOKUP($S115:$AL115,增益!$A:$A,增益!$D:$D,0))-$I$2</f>
        <v>3636.6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0.3425</v>
      </c>
      <c r="AW115" s="32" cm="1">
        <f t="array" ref="AW115">$G$10+VLOOKUP($R115,武学奇术!$A:$ZZ,7,FALSE)+SUM(_xlfn.XLOOKUP($S115:$AL115,增益!$A:$A,增益!$G:$G,0))</f>
        <v>0.148</v>
      </c>
      <c r="AX115" s="26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2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2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-0.14</v>
      </c>
      <c r="BJ115" s="32" cm="1">
        <f t="array" ref="BJ115">$G$13+VLOOKUP($R115,武学奇术!$A:$ZZ,14,FALSE)+SUM(_xlfn.XLOOKUP($S115:$AL115,增益!$A:$A,增益!$N:$N,0))</f>
        <v>0</v>
      </c>
      <c r="BK115">
        <f t="shared" si="40"/>
        <v>571.2</v>
      </c>
      <c r="BL115">
        <f t="shared" si="41"/>
        <v>1627.8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0.08</v>
      </c>
      <c r="BN115" s="32" cm="1">
        <f t="array" ref="BN115">$G$14+VLOOKUP($R115,武学奇术!$A:$ZZ,16,FALSE)+SUM(_xlfn.XLOOKUP($S115:$AL115,增益!$A:$A,增益!$P:$P,0))</f>
        <v>0.27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2.06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42"/>
        <v>1</v>
      </c>
      <c r="BU115" s="26">
        <f t="shared" si="43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 cm="1">
        <f t="array" ref="BX115">SUM(_xlfn.XLOOKUP($S115:$AL115,增益!$A:$A,增益!$X:$X,0))</f>
        <v>0</v>
      </c>
    </row>
    <row r="116" spans="1:76">
      <c r="A116" s="4" t="s">
        <v>169</v>
      </c>
      <c r="B116" s="4">
        <v>1</v>
      </c>
      <c r="F116" s="39"/>
      <c r="K116">
        <f>$L116*VLOOKUP($R116,武学奇术!$A:$ZZ,31,FALSE)</f>
        <v>55309.1563629339</v>
      </c>
      <c r="L116" s="38">
        <f t="shared" si="44"/>
        <v>52675.387012318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</f>
        <v>52675.387012318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</f>
        <v>39289.8054576382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</f>
        <v>25570.5762195719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</f>
        <v>22037.5928408932</v>
      </c>
      <c r="Q116" s="39">
        <v>2</v>
      </c>
      <c r="R116" s="40" t="s">
        <v>139</v>
      </c>
      <c r="S116" s="40" t="s">
        <v>116</v>
      </c>
      <c r="T116" s="40" t="s">
        <v>102</v>
      </c>
      <c r="U116" s="40" t="s">
        <v>79</v>
      </c>
      <c r="V116" s="40" t="s">
        <v>78</v>
      </c>
      <c r="W116" s="40" t="s">
        <v>181</v>
      </c>
      <c r="X116" s="40" t="s">
        <v>106</v>
      </c>
      <c r="Y116" s="40" t="s">
        <v>91</v>
      </c>
      <c r="Z116" s="40" t="s">
        <v>78</v>
      </c>
      <c r="AA116" s="40" t="s">
        <v>78</v>
      </c>
      <c r="AB116" s="40" t="s">
        <v>133</v>
      </c>
      <c r="AC116" s="40" t="s">
        <v>98</v>
      </c>
      <c r="AD116" s="40" t="s">
        <v>78</v>
      </c>
      <c r="AE116" s="40" t="s">
        <v>83</v>
      </c>
      <c r="AF116" s="40" t="s">
        <v>84</v>
      </c>
      <c r="AG116" s="40" t="s">
        <v>85</v>
      </c>
      <c r="AH116" s="40" t="s">
        <v>78</v>
      </c>
      <c r="AI116" s="40" t="s">
        <v>78</v>
      </c>
      <c r="AJ116" s="40" t="s">
        <v>78</v>
      </c>
      <c r="AK116" s="40" t="s">
        <v>78</v>
      </c>
      <c r="AL116" s="40" t="s">
        <v>78</v>
      </c>
      <c r="AM116" t="str">
        <f>VLOOKUP($R116,武学奇术!$A:$ZZ,25,FALSE)</f>
        <v>伞</v>
      </c>
      <c r="AN116" s="26">
        <f>VLOOKUP($R116,武学奇术!$A:$ZZ,26,FALSE)</f>
        <v>0.54</v>
      </c>
      <c r="AO116" s="27">
        <f>VLOOKUP($R116,武学奇术!$A:$ZZ,27,FALSE)*(1+IF(OR($AM116=$F$4,$AM116=$F$5),$B$22,0))</f>
        <v>0</v>
      </c>
      <c r="AP116" s="26">
        <f>VLOOKUP($R116,武学奇术!$A:$ZZ,28,FALSE)</f>
        <v>0.81</v>
      </c>
      <c r="AQ116" s="27">
        <f>VLOOKUP($R116,武学奇术!$A:$ZZ,29,FALSE)*(1+IF(OR($AM116=$F$4,$AM116=$F$5),$B$22,0))</f>
        <v>0</v>
      </c>
      <c r="AR116" s="26" cm="1">
        <f t="array" ref="AR116">$G$3+IFERROR(VLOOKUP($AM116,$F$4:$G$7,2,FALSE),0)+VLOOKUP($R116,武学奇术!$A:$ZZ,2,FALSE)+SUM(_xlfn.XLOOKUP($S116:$AL116,增益!$A:$A,增益!$B:$B,0))</f>
        <v>1.0541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3636.6</v>
      </c>
      <c r="AU116" cm="1">
        <f t="array" ref="AU116">$E$10*(1+$AS116)+VLOOKUP($R116,武学奇术!$A:$ZZ,4,FALSE)+SUM(_xlfn.XLOOKUP($S116:$AL116,增益!$A:$A,增益!$D:$D,0))-$I$2</f>
        <v>3636.6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0.3425</v>
      </c>
      <c r="AW116" s="32" cm="1">
        <f t="array" ref="AW116">$G$10+VLOOKUP($R116,武学奇术!$A:$ZZ,7,FALSE)+SUM(_xlfn.XLOOKUP($S116:$AL116,增益!$A:$A,增益!$G:$G,0))</f>
        <v>0.148</v>
      </c>
      <c r="AX116" s="26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2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2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-0.14</v>
      </c>
      <c r="BJ116" s="32" cm="1">
        <f t="array" ref="BJ116">$G$13+VLOOKUP($R116,武学奇术!$A:$ZZ,14,FALSE)+SUM(_xlfn.XLOOKUP($S116:$AL116,增益!$A:$A,增益!$N:$N,0))</f>
        <v>0</v>
      </c>
      <c r="BK116">
        <f t="shared" si="40"/>
        <v>571.2</v>
      </c>
      <c r="BL116">
        <f t="shared" si="41"/>
        <v>1627.8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0.08</v>
      </c>
      <c r="BN116" s="32" cm="1">
        <f t="array" ref="BN116">$G$14+VLOOKUP($R116,武学奇术!$A:$ZZ,16,FALSE)+SUM(_xlfn.XLOOKUP($S116:$AL116,增益!$A:$A,增益!$P:$P,0))</f>
        <v>0.27</v>
      </c>
      <c r="BO116" s="26">
        <f>MIN(IF(VLOOKUP($R116,武学奇术!$A:$ZZ,23,FALSE)=1,100%,$B$8),100%)</f>
        <v>1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26" cm="1">
        <f t="array" ref="BQ116">1+$B$13+VLOOKUP($R116,武学奇术!$A:$ZZ,18,FALSE)+SUM(_xlfn.XLOOKUP($S116:$AL116,增益!$A:$A,增益!$R:$R,0))</f>
        <v>2.06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42"/>
        <v>1</v>
      </c>
      <c r="BU116" s="26">
        <f t="shared" si="43"/>
        <v>0</v>
      </c>
      <c r="BV116" s="26">
        <f>IF(VLOOKUP($R116,武学奇术!$A:$ZZ,22,FALSE)=1,0,(1-$BO116))*(1-$BR116)</f>
        <v>0</v>
      </c>
      <c r="BW116" s="26" cm="1">
        <f t="array" ref="BW116">SUM(_xlfn.XLOOKUP($S116:$AL116,增益!$A:$A,增益!$W:$W,0))+$I$5</f>
        <v>0.11</v>
      </c>
      <c r="BX116" s="26" cm="1">
        <f t="array" ref="BX116">SUM(_xlfn.XLOOKUP($S116:$AL116,增益!$A:$A,增益!$X:$X,0))</f>
        <v>0</v>
      </c>
    </row>
    <row r="117" spans="1:76">
      <c r="A117" s="4" t="s">
        <v>172</v>
      </c>
      <c r="B117" s="4">
        <v>0.85</v>
      </c>
      <c r="F117" s="39"/>
      <c r="K117">
        <f>$L117*VLOOKUP($R117,武学奇术!$A:$ZZ,31,FALSE)</f>
        <v>158957.565319343</v>
      </c>
      <c r="L117" s="38">
        <f t="shared" si="44"/>
        <v>151388.157446993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</f>
        <v>161975.971217707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</f>
        <v>119011.531794395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</f>
        <v>78629.1122416055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</f>
        <v>69101.5342651408</v>
      </c>
      <c r="Q117" s="39">
        <v>2</v>
      </c>
      <c r="R117" s="40" t="s">
        <v>115</v>
      </c>
      <c r="S117" s="40" t="s">
        <v>116</v>
      </c>
      <c r="T117" s="40" t="s">
        <v>102</v>
      </c>
      <c r="U117" s="40" t="s">
        <v>79</v>
      </c>
      <c r="V117" s="40" t="s">
        <v>78</v>
      </c>
      <c r="W117" s="40" t="s">
        <v>181</v>
      </c>
      <c r="X117" s="40" t="s">
        <v>106</v>
      </c>
      <c r="Y117" s="40" t="s">
        <v>91</v>
      </c>
      <c r="Z117" s="40" t="s">
        <v>78</v>
      </c>
      <c r="AA117" s="40" t="s">
        <v>78</v>
      </c>
      <c r="AB117" s="40" t="s">
        <v>133</v>
      </c>
      <c r="AC117" s="40" t="s">
        <v>98</v>
      </c>
      <c r="AD117" s="40" t="s">
        <v>78</v>
      </c>
      <c r="AE117" s="40" t="s">
        <v>83</v>
      </c>
      <c r="AF117" s="40" t="s">
        <v>84</v>
      </c>
      <c r="AG117" s="40" t="s">
        <v>85</v>
      </c>
      <c r="AH117" s="40" t="s">
        <v>78</v>
      </c>
      <c r="AI117" s="40" t="s">
        <v>78</v>
      </c>
      <c r="AJ117" s="40" t="s">
        <v>78</v>
      </c>
      <c r="AK117" s="40" t="s">
        <v>78</v>
      </c>
      <c r="AL117" s="40" t="s">
        <v>78</v>
      </c>
      <c r="AM117" t="str">
        <f>VLOOKUP($R117,武学奇术!$A:$ZZ,25,FALSE)</f>
        <v>伞</v>
      </c>
      <c r="AN117" s="26">
        <f>VLOOKUP($R117,武学奇术!$A:$ZZ,26,FALSE)</f>
        <v>1.8084</v>
      </c>
      <c r="AO117" s="27">
        <f>VLOOKUP($R117,武学奇术!$A:$ZZ,27,FALSE)*(1+IF(OR($AM117=$F$4,$AM117=$F$5),$B$22,0))</f>
        <v>750</v>
      </c>
      <c r="AP117" s="26">
        <f>VLOOKUP($R117,武学奇术!$A:$ZZ,28,FALSE)</f>
        <v>2.7126</v>
      </c>
      <c r="AQ117" s="27">
        <f>VLOOKUP($R117,武学奇术!$A:$ZZ,29,FALSE)*(1+IF(OR($AM117=$F$4,$AM117=$F$5),$B$22,0))</f>
        <v>408</v>
      </c>
      <c r="AR117" s="26" cm="1">
        <f t="array" ref="AR117">$G$3+IFERROR(VLOOKUP($AM117,$F$4:$G$7,2,FALSE),0)+VLOOKUP($R117,武学奇术!$A:$ZZ,2,FALSE)+SUM(_xlfn.XLOOKUP($S117:$AL117,增益!$A:$A,增益!$B:$B,0))</f>
        <v>0.6541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3636.6</v>
      </c>
      <c r="AU117" cm="1">
        <f t="array" ref="AU117">$E$10*(1+$AS117)+VLOOKUP($R117,武学奇术!$A:$ZZ,4,FALSE)+SUM(_xlfn.XLOOKUP($S117:$AL117,增益!$A:$A,增益!$D:$D,0))-$I$2</f>
        <v>3636.6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0.3425</v>
      </c>
      <c r="AW117" s="32" cm="1">
        <f t="array" ref="AW117">$G$10+VLOOKUP($R117,武学奇术!$A:$ZZ,7,FALSE)+SUM(_xlfn.XLOOKUP($S117:$AL117,增益!$A:$A,增益!$G:$G,0))</f>
        <v>0.148</v>
      </c>
      <c r="AX117" s="26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2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2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-0.14</v>
      </c>
      <c r="BJ117" s="32" cm="1">
        <f t="array" ref="BJ117">$G$13+VLOOKUP($R117,武学奇术!$A:$ZZ,14,FALSE)+SUM(_xlfn.XLOOKUP($S117:$AL117,增益!$A:$A,增益!$N:$N,0))</f>
        <v>0</v>
      </c>
      <c r="BK117">
        <f t="shared" si="40"/>
        <v>571.2</v>
      </c>
      <c r="BL117">
        <f t="shared" si="41"/>
        <v>1627.8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0.08</v>
      </c>
      <c r="BN117" s="32" cm="1">
        <f t="array" ref="BN117">$G$14+VLOOKUP($R117,武学奇术!$A:$ZZ,16,FALSE)+SUM(_xlfn.XLOOKUP($S117:$AL117,增益!$A:$A,增益!$P:$P,0))</f>
        <v>0.27</v>
      </c>
      <c r="BO117" s="26">
        <f>MIN(IF(VLOOKUP($R117,武学奇术!$A:$ZZ,23,FALSE)=1,100%,$B$8),100%)</f>
        <v>0.981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26" cm="1">
        <f t="array" ref="BQ117">1+$B$13+VLOOKUP($R117,武学奇术!$A:$ZZ,18,FALSE)+SUM(_xlfn.XLOOKUP($S117:$AL117,增益!$A:$A,增益!$R:$R,0))</f>
        <v>2.06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42"/>
        <v>0.829926</v>
      </c>
      <c r="BU117" s="26">
        <f t="shared" si="43"/>
        <v>0.0599391</v>
      </c>
      <c r="BV117" s="26">
        <f>IF(VLOOKUP($R117,武学奇术!$A:$ZZ,22,FALSE)=1,0,(1-$BO117))*(1-$BR117)</f>
        <v>0.0172349</v>
      </c>
      <c r="BW117" s="26" cm="1">
        <f t="array" ref="BW117">SUM(_xlfn.XLOOKUP($S117:$AL117,增益!$A:$A,增益!$W:$W,0))+$I$5</f>
        <v>0.11</v>
      </c>
      <c r="BX117" s="26" cm="1">
        <f t="array" ref="BX117">SUM(_xlfn.XLOOKUP($S117:$AL117,增益!$A:$A,增益!$X:$X,0))</f>
        <v>0</v>
      </c>
    </row>
    <row r="118" spans="1:76">
      <c r="A118" s="4" t="s">
        <v>192</v>
      </c>
      <c r="B118" s="88">
        <v>2</v>
      </c>
      <c r="F118" s="39"/>
      <c r="K118">
        <f>$L118*VLOOKUP($R118,武学奇术!$A:$ZZ,31,FALSE)</f>
        <v>93410.2253399956</v>
      </c>
      <c r="L118" s="38">
        <f t="shared" si="44"/>
        <v>88962.1193714244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</f>
        <v>95093.1649477035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</f>
        <v>70928.6094143489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</f>
        <v>46161.7305571376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</f>
        <v>39783.7504369798</v>
      </c>
      <c r="Q118" s="39">
        <v>4</v>
      </c>
      <c r="R118" s="40" t="s">
        <v>119</v>
      </c>
      <c r="S118" s="40" t="s">
        <v>116</v>
      </c>
      <c r="T118" s="40" t="s">
        <v>102</v>
      </c>
      <c r="U118" s="40" t="s">
        <v>79</v>
      </c>
      <c r="V118" s="40" t="s">
        <v>78</v>
      </c>
      <c r="W118" s="40" t="s">
        <v>181</v>
      </c>
      <c r="X118" s="40" t="s">
        <v>106</v>
      </c>
      <c r="Y118" s="40" t="s">
        <v>91</v>
      </c>
      <c r="Z118" s="40" t="s">
        <v>78</v>
      </c>
      <c r="AA118" s="40" t="s">
        <v>78</v>
      </c>
      <c r="AB118" s="40" t="s">
        <v>133</v>
      </c>
      <c r="AC118" s="40" t="s">
        <v>98</v>
      </c>
      <c r="AD118" s="40" t="s">
        <v>78</v>
      </c>
      <c r="AE118" s="40" t="s">
        <v>83</v>
      </c>
      <c r="AF118" s="40" t="s">
        <v>84</v>
      </c>
      <c r="AG118" s="40" t="s">
        <v>85</v>
      </c>
      <c r="AH118" s="40" t="s">
        <v>78</v>
      </c>
      <c r="AI118" s="40" t="s">
        <v>78</v>
      </c>
      <c r="AJ118" s="40" t="s">
        <v>78</v>
      </c>
      <c r="AK118" s="40" t="s">
        <v>78</v>
      </c>
      <c r="AL118" s="40" t="s">
        <v>78</v>
      </c>
      <c r="AM118" t="str">
        <f>VLOOKUP($R118,武学奇术!$A:$ZZ,25,FALSE)</f>
        <v>伞</v>
      </c>
      <c r="AN118" s="26">
        <f>VLOOKUP($R118,武学奇术!$A:$ZZ,26,FALSE)</f>
        <v>0.54</v>
      </c>
      <c r="AO118" s="27">
        <f>VLOOKUP($R118,武学奇术!$A:$ZZ,27,FALSE)*(1+IF(OR($AM118=$F$4,$AM118=$F$5),$B$22,0))</f>
        <v>0</v>
      </c>
      <c r="AP118" s="26">
        <f>VLOOKUP($R118,武学奇术!$A:$ZZ,28,FALSE)</f>
        <v>0.81</v>
      </c>
      <c r="AQ118" s="27">
        <f>VLOOKUP($R118,武学奇术!$A:$ZZ,29,FALSE)*(1+IF(OR($AM118=$F$4,$AM118=$F$5),$B$22,0))</f>
        <v>0</v>
      </c>
      <c r="AR118" s="26" cm="1">
        <f t="array" ref="AR118">$G$3+IFERROR(VLOOKUP($AM118,$F$4:$G$7,2,FALSE),0)+VLOOKUP($R118,武学奇术!$A:$ZZ,2,FALSE)+SUM(_xlfn.XLOOKUP($S118:$AL118,增益!$A:$A,增益!$B:$B,0))</f>
        <v>0.8541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3636.6</v>
      </c>
      <c r="AU118" cm="1">
        <f t="array" ref="AU118">$E$10*(1+$AS118)+VLOOKUP($R118,武学奇术!$A:$ZZ,4,FALSE)+SUM(_xlfn.XLOOKUP($S118:$AL118,增益!$A:$A,增益!$D:$D,0))-$I$2</f>
        <v>3636.6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0.3425</v>
      </c>
      <c r="AW118" s="32" cm="1">
        <f t="array" ref="AW118">$G$10+VLOOKUP($R118,武学奇术!$A:$ZZ,7,FALSE)+SUM(_xlfn.XLOOKUP($S118:$AL118,增益!$A:$A,增益!$G:$G,0))</f>
        <v>0.148</v>
      </c>
      <c r="AX118" s="26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2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2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2" cm="1">
        <f t="array" ref="BJ118">$G$13+VLOOKUP($R118,武学奇术!$A:$ZZ,14,FALSE)+SUM(_xlfn.XLOOKUP($S118:$AL118,增益!$A:$A,增益!$N:$N,0))</f>
        <v>0</v>
      </c>
      <c r="BK118">
        <f t="shared" si="40"/>
        <v>571.2</v>
      </c>
      <c r="BL118">
        <f t="shared" si="41"/>
        <v>1627.8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0.08</v>
      </c>
      <c r="BN118" s="32" cm="1">
        <f t="array" ref="BN118">$G$14+VLOOKUP($R118,武学奇术!$A:$ZZ,16,FALSE)+SUM(_xlfn.XLOOKUP($S118:$AL118,增益!$A:$A,增益!$P:$P,0))</f>
        <v>0.27</v>
      </c>
      <c r="BO118" s="26">
        <f>MIN(IF(VLOOKUP($R118,武学奇术!$A:$ZZ,23,FALSE)=1,100%,$B$8),100%)</f>
        <v>0.981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26" cm="1">
        <f t="array" ref="BQ118">1+$B$13+VLOOKUP($R118,武学奇术!$A:$ZZ,18,FALSE)+SUM(_xlfn.XLOOKUP($S118:$AL118,增益!$A:$A,增益!$R:$R,0))</f>
        <v>2.06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42"/>
        <v>0.829926</v>
      </c>
      <c r="BU118" s="26">
        <f t="shared" si="43"/>
        <v>0.0599391</v>
      </c>
      <c r="BV118" s="26">
        <f>IF(VLOOKUP($R118,武学奇术!$A:$ZZ,22,FALSE)=1,0,(1-$BO118))*(1-$BR118)</f>
        <v>0.0172349</v>
      </c>
      <c r="BW118" s="26" cm="1">
        <f t="array" ref="BW118">SUM(_xlfn.XLOOKUP($S118:$AL118,增益!$A:$A,增益!$W:$W,0))+$I$5</f>
        <v>0.11</v>
      </c>
      <c r="BX118" s="26" cm="1">
        <f t="array" ref="BX118">SUM(_xlfn.XLOOKUP($S118:$AL118,增益!$A:$A,增益!$X:$X,0))</f>
        <v>0</v>
      </c>
    </row>
    <row r="119" spans="1:76">
      <c r="A119" s="4" t="s">
        <v>193</v>
      </c>
      <c r="B119" s="88">
        <v>1.7</v>
      </c>
      <c r="F119" s="39"/>
      <c r="K119">
        <f>$L119*VLOOKUP($R119,武学奇术!$A:$ZZ,31,FALSE)</f>
        <v>190638.79490145</v>
      </c>
      <c r="L119" s="38">
        <f t="shared" si="44"/>
        <v>181560.757049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</f>
        <v>181560.757049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</f>
        <v>133401.415331593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</f>
        <v>88136.2898296117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</f>
        <v>77456.7164506363</v>
      </c>
      <c r="Q119" s="39">
        <v>2</v>
      </c>
      <c r="R119" s="40" t="s">
        <v>132</v>
      </c>
      <c r="S119" s="40" t="s">
        <v>116</v>
      </c>
      <c r="T119" s="40" t="s">
        <v>102</v>
      </c>
      <c r="U119" s="40" t="s">
        <v>79</v>
      </c>
      <c r="V119" s="40" t="s">
        <v>78</v>
      </c>
      <c r="W119" s="40" t="s">
        <v>181</v>
      </c>
      <c r="X119" s="40" t="s">
        <v>106</v>
      </c>
      <c r="Y119" s="40" t="s">
        <v>91</v>
      </c>
      <c r="Z119" s="40" t="s">
        <v>78</v>
      </c>
      <c r="AA119" s="40" t="s">
        <v>78</v>
      </c>
      <c r="AB119" s="40" t="s">
        <v>133</v>
      </c>
      <c r="AC119" s="40" t="s">
        <v>92</v>
      </c>
      <c r="AD119" s="40" t="s">
        <v>78</v>
      </c>
      <c r="AE119" s="40" t="s">
        <v>83</v>
      </c>
      <c r="AF119" s="40" t="s">
        <v>84</v>
      </c>
      <c r="AG119" s="40" t="s">
        <v>85</v>
      </c>
      <c r="AH119" s="40" t="s">
        <v>78</v>
      </c>
      <c r="AI119" s="40" t="s">
        <v>78</v>
      </c>
      <c r="AJ119" s="40" t="s">
        <v>78</v>
      </c>
      <c r="AK119" s="40" t="s">
        <v>78</v>
      </c>
      <c r="AL119" s="40" t="s">
        <v>78</v>
      </c>
      <c r="AM119" t="str">
        <f>VLOOKUP($R119,武学奇术!$A:$ZZ,25,FALSE)</f>
        <v>伞</v>
      </c>
      <c r="AN119" s="26">
        <f>VLOOKUP($R119,武学奇术!$A:$ZZ,26,FALSE)</f>
        <v>1.8084</v>
      </c>
      <c r="AO119" s="27">
        <f>VLOOKUP($R119,武学奇术!$A:$ZZ,27,FALSE)*(1+IF(OR($AM119=$F$4,$AM119=$F$5),$B$22,0))</f>
        <v>750</v>
      </c>
      <c r="AP119" s="26">
        <f>VLOOKUP($R119,武学奇术!$A:$ZZ,28,FALSE)</f>
        <v>2.7126</v>
      </c>
      <c r="AQ119" s="27">
        <f>VLOOKUP($R119,武学奇术!$A:$ZZ,29,FALSE)*(1+IF(OR($AM119=$F$4,$AM119=$F$5),$B$22,0))</f>
        <v>408</v>
      </c>
      <c r="AR119" s="26" cm="1">
        <f t="array" ref="AR119">$G$3+IFERROR(VLOOKUP($AM119,$F$4:$G$7,2,FALSE),0)+VLOOKUP($R119,武学奇术!$A:$ZZ,2,FALSE)+SUM(_xlfn.XLOOKUP($S119:$AL119,增益!$A:$A,增益!$B:$B,0))</f>
        <v>0.8541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3636.6</v>
      </c>
      <c r="AU119" cm="1">
        <f t="array" ref="AU119">$E$10*(1+$AS119)+VLOOKUP($R119,武学奇术!$A:$ZZ,4,FALSE)+SUM(_xlfn.XLOOKUP($S119:$AL119,增益!$A:$A,增益!$D:$D,0))-$I$2</f>
        <v>3636.6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0.3425</v>
      </c>
      <c r="AW119" s="32" cm="1">
        <f t="array" ref="AW119">$G$10+VLOOKUP($R119,武学奇术!$A:$ZZ,7,FALSE)+SUM(_xlfn.XLOOKUP($S119:$AL119,增益!$A:$A,增益!$G:$G,0))</f>
        <v>0.148</v>
      </c>
      <c r="AX119" s="26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-0.14</v>
      </c>
      <c r="BB119" s="32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-0.14</v>
      </c>
      <c r="BF119" s="32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-0.14</v>
      </c>
      <c r="BJ119" s="32" cm="1">
        <f t="array" ref="BJ119">$G$13+VLOOKUP($R119,武学奇术!$A:$ZZ,14,FALSE)+SUM(_xlfn.XLOOKUP($S119:$AL119,增益!$A:$A,增益!$N:$N,0))</f>
        <v>0</v>
      </c>
      <c r="BK119">
        <f t="shared" si="40"/>
        <v>571.2</v>
      </c>
      <c r="BL119">
        <f t="shared" si="41"/>
        <v>1627.8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0.08</v>
      </c>
      <c r="BN119" s="32" cm="1">
        <f t="array" ref="BN119">$G$14+VLOOKUP($R119,武学奇术!$A:$ZZ,16,FALSE)+SUM(_xlfn.XLOOKUP($S119:$AL119,增益!$A:$A,增益!$P:$P,0))</f>
        <v>0.27</v>
      </c>
      <c r="BO119" s="26">
        <f>MIN(IF(VLOOKUP($R119,武学奇术!$A:$ZZ,23,FALSE)=1,100%,$B$8),100%)</f>
        <v>1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26" cm="1">
        <f t="array" ref="BQ119">1+$B$13+VLOOKUP($R119,武学奇术!$A:$ZZ,18,FALSE)+SUM(_xlfn.XLOOKUP($S119:$AL119,增益!$A:$A,增益!$R:$R,0))</f>
        <v>2.06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42"/>
        <v>1</v>
      </c>
      <c r="BU119" s="26">
        <f t="shared" si="43"/>
        <v>0</v>
      </c>
      <c r="BV119" s="26">
        <f>IF(VLOOKUP($R119,武学奇术!$A:$ZZ,22,FALSE)=1,0,(1-$BO119))*(1-$BR119)</f>
        <v>0</v>
      </c>
      <c r="BW119" s="26" cm="1">
        <f t="array" ref="BW119">SUM(_xlfn.XLOOKUP($S119:$AL119,增益!$A:$A,增益!$W:$W,0))+$I$5</f>
        <v>0.11</v>
      </c>
      <c r="BX119" s="26" cm="1">
        <f t="array" ref="BX119">SUM(_xlfn.XLOOKUP($S119:$AL119,增益!$A:$A,增益!$X:$X,0))</f>
        <v>0</v>
      </c>
    </row>
    <row r="120" spans="1:76">
      <c r="A120" s="4"/>
      <c r="B120" s="88"/>
      <c r="K120">
        <f>$L120*VLOOKUP($R120,武学奇术!$A:$ZZ,31,FALSE)</f>
        <v>82963.7345444009</v>
      </c>
      <c r="L120" s="38">
        <f t="shared" si="44"/>
        <v>79013.080518477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</f>
        <v>79013.080518477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</f>
        <v>58934.7081864573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</f>
        <v>38355.8643293578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</f>
        <v>33056.3892613398</v>
      </c>
      <c r="Q120" s="39">
        <v>3</v>
      </c>
      <c r="R120" s="40" t="s">
        <v>139</v>
      </c>
      <c r="S120" s="40" t="s">
        <v>116</v>
      </c>
      <c r="T120" s="40" t="s">
        <v>102</v>
      </c>
      <c r="U120" s="40" t="s">
        <v>79</v>
      </c>
      <c r="V120" s="40" t="s">
        <v>78</v>
      </c>
      <c r="W120" s="40" t="s">
        <v>181</v>
      </c>
      <c r="X120" s="40" t="s">
        <v>106</v>
      </c>
      <c r="Y120" s="40" t="s">
        <v>91</v>
      </c>
      <c r="Z120" s="40" t="s">
        <v>78</v>
      </c>
      <c r="AA120" s="40" t="s">
        <v>78</v>
      </c>
      <c r="AB120" s="40" t="s">
        <v>133</v>
      </c>
      <c r="AC120" s="40" t="s">
        <v>92</v>
      </c>
      <c r="AD120" s="40" t="s">
        <v>78</v>
      </c>
      <c r="AE120" s="40" t="s">
        <v>83</v>
      </c>
      <c r="AF120" s="40" t="s">
        <v>84</v>
      </c>
      <c r="AG120" s="40" t="s">
        <v>85</v>
      </c>
      <c r="AH120" s="40" t="s">
        <v>78</v>
      </c>
      <c r="AI120" s="40" t="s">
        <v>78</v>
      </c>
      <c r="AJ120" s="40" t="s">
        <v>78</v>
      </c>
      <c r="AK120" s="40" t="s">
        <v>78</v>
      </c>
      <c r="AL120" s="40" t="s">
        <v>78</v>
      </c>
      <c r="AM120" t="str">
        <f>VLOOKUP($R120,武学奇术!$A:$ZZ,25,FALSE)</f>
        <v>伞</v>
      </c>
      <c r="AN120" s="26">
        <f>VLOOKUP($R120,武学奇术!$A:$ZZ,26,FALSE)</f>
        <v>0.54</v>
      </c>
      <c r="AO120" s="27">
        <f>VLOOKUP($R120,武学奇术!$A:$ZZ,27,FALSE)*(1+IF(OR($AM120=$F$4,$AM120=$F$5),$B$22,0))</f>
        <v>0</v>
      </c>
      <c r="AP120" s="26">
        <f>VLOOKUP($R120,武学奇术!$A:$ZZ,28,FALSE)</f>
        <v>0.81</v>
      </c>
      <c r="AQ120" s="27">
        <f>VLOOKUP($R120,武学奇术!$A:$ZZ,29,FALSE)*(1+IF(OR($AM120=$F$4,$AM120=$F$5),$B$22,0))</f>
        <v>0</v>
      </c>
      <c r="AR120" s="26" cm="1">
        <f t="array" ref="AR120">$G$3+IFERROR(VLOOKUP($AM120,$F$4:$G$7,2,FALSE),0)+VLOOKUP($R120,武学奇术!$A:$ZZ,2,FALSE)+SUM(_xlfn.XLOOKUP($S120:$AL120,增益!$A:$A,增益!$B:$B,0))</f>
        <v>1.0541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3636.6</v>
      </c>
      <c r="AU120" cm="1">
        <f t="array" ref="AU120">$E$10*(1+$AS120)+VLOOKUP($R120,武学奇术!$A:$ZZ,4,FALSE)+SUM(_xlfn.XLOOKUP($S120:$AL120,增益!$A:$A,增益!$D:$D,0))-$I$2</f>
        <v>3636.6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0.3425</v>
      </c>
      <c r="AW120" s="32" cm="1">
        <f t="array" ref="AW120">$G$10+VLOOKUP($R120,武学奇术!$A:$ZZ,7,FALSE)+SUM(_xlfn.XLOOKUP($S120:$AL120,增益!$A:$A,增益!$G:$G,0))</f>
        <v>0.148</v>
      </c>
      <c r="AX120" s="26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2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2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2" cm="1">
        <f t="array" ref="BJ120">$G$13+VLOOKUP($R120,武学奇术!$A:$ZZ,14,FALSE)+SUM(_xlfn.XLOOKUP($S120:$AL120,增益!$A:$A,增益!$N:$N,0))</f>
        <v>0</v>
      </c>
      <c r="BK120">
        <f t="shared" si="40"/>
        <v>571.2</v>
      </c>
      <c r="BL120">
        <f t="shared" si="41"/>
        <v>1627.8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0.08</v>
      </c>
      <c r="BN120" s="32" cm="1">
        <f t="array" ref="BN120">$G$14+VLOOKUP($R120,武学奇术!$A:$ZZ,16,FALSE)+SUM(_xlfn.XLOOKUP($S120:$AL120,增益!$A:$A,增益!$P:$P,0))</f>
        <v>0.27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2.06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42"/>
        <v>1</v>
      </c>
      <c r="BU120" s="26">
        <f t="shared" si="43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 cm="1">
        <f t="array" ref="BX120">SUM(_xlfn.XLOOKUP($S120:$AL120,增益!$A:$A,增益!$X:$X,0))</f>
        <v>0</v>
      </c>
    </row>
    <row r="121" spans="1:76">
      <c r="A121" s="4" t="s">
        <v>179</v>
      </c>
      <c r="B121" s="88">
        <v>1.3</v>
      </c>
      <c r="K121">
        <f>$L121*VLOOKUP($R121,武学奇术!$A:$ZZ,31,FALSE)</f>
        <v>158957.565319343</v>
      </c>
      <c r="L121" s="38">
        <f t="shared" si="44"/>
        <v>151388.157446993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</f>
        <v>161975.971217707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</f>
        <v>119011.531794395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</f>
        <v>78629.1122416055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</f>
        <v>69101.5342651408</v>
      </c>
      <c r="Q121" s="39">
        <v>2</v>
      </c>
      <c r="R121" s="40" t="s">
        <v>115</v>
      </c>
      <c r="S121" s="40" t="s">
        <v>116</v>
      </c>
      <c r="T121" s="40" t="s">
        <v>102</v>
      </c>
      <c r="U121" s="40" t="s">
        <v>79</v>
      </c>
      <c r="V121" s="40" t="s">
        <v>78</v>
      </c>
      <c r="W121" s="40" t="s">
        <v>181</v>
      </c>
      <c r="X121" s="40" t="s">
        <v>106</v>
      </c>
      <c r="Y121" s="40" t="s">
        <v>91</v>
      </c>
      <c r="Z121" s="40" t="s">
        <v>78</v>
      </c>
      <c r="AA121" s="40" t="s">
        <v>78</v>
      </c>
      <c r="AB121" s="40" t="s">
        <v>133</v>
      </c>
      <c r="AC121" s="40" t="s">
        <v>92</v>
      </c>
      <c r="AD121" s="40" t="s">
        <v>78</v>
      </c>
      <c r="AE121" s="40" t="s">
        <v>83</v>
      </c>
      <c r="AF121" s="40" t="s">
        <v>84</v>
      </c>
      <c r="AG121" s="40" t="s">
        <v>85</v>
      </c>
      <c r="AH121" s="40" t="s">
        <v>78</v>
      </c>
      <c r="AI121" s="40" t="s">
        <v>78</v>
      </c>
      <c r="AJ121" s="40" t="s">
        <v>78</v>
      </c>
      <c r="AK121" s="40" t="s">
        <v>78</v>
      </c>
      <c r="AL121" s="40" t="s">
        <v>78</v>
      </c>
      <c r="AM121" t="str">
        <f>VLOOKUP($R121,武学奇术!$A:$ZZ,25,FALSE)</f>
        <v>伞</v>
      </c>
      <c r="AN121" s="26">
        <f>VLOOKUP($R121,武学奇术!$A:$ZZ,26,FALSE)</f>
        <v>1.8084</v>
      </c>
      <c r="AO121" s="27">
        <f>VLOOKUP($R121,武学奇术!$A:$ZZ,27,FALSE)*(1+IF(OR($AM121=$F$4,$AM121=$F$5),$B$22,0))</f>
        <v>750</v>
      </c>
      <c r="AP121" s="26">
        <f>VLOOKUP($R121,武学奇术!$A:$ZZ,28,FALSE)</f>
        <v>2.7126</v>
      </c>
      <c r="AQ121" s="27">
        <f>VLOOKUP($R121,武学奇术!$A:$ZZ,29,FALSE)*(1+IF(OR($AM121=$F$4,$AM121=$F$5),$B$22,0))</f>
        <v>408</v>
      </c>
      <c r="AR121" s="26" cm="1">
        <f t="array" ref="AR121">$G$3+IFERROR(VLOOKUP($AM121,$F$4:$G$7,2,FALSE),0)+VLOOKUP($R121,武学奇术!$A:$ZZ,2,FALSE)+SUM(_xlfn.XLOOKUP($S121:$AL121,增益!$A:$A,增益!$B:$B,0))</f>
        <v>0.6541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3636.6</v>
      </c>
      <c r="AU121" cm="1">
        <f t="array" ref="AU121">$E$10*(1+$AS121)+VLOOKUP($R121,武学奇术!$A:$ZZ,4,FALSE)+SUM(_xlfn.XLOOKUP($S121:$AL121,增益!$A:$A,增益!$D:$D,0))-$I$2</f>
        <v>3636.6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0.3425</v>
      </c>
      <c r="AW121" s="32" cm="1">
        <f t="array" ref="AW121">$G$10+VLOOKUP($R121,武学奇术!$A:$ZZ,7,FALSE)+SUM(_xlfn.XLOOKUP($S121:$AL121,增益!$A:$A,增益!$G:$G,0))</f>
        <v>0.148</v>
      </c>
      <c r="AX121" s="26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-0.14</v>
      </c>
      <c r="BB121" s="32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-0.14</v>
      </c>
      <c r="BF121" s="32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-0.14</v>
      </c>
      <c r="BJ121" s="32" cm="1">
        <f t="array" ref="BJ121">$G$13+VLOOKUP($R121,武学奇术!$A:$ZZ,14,FALSE)+SUM(_xlfn.XLOOKUP($S121:$AL121,增益!$A:$A,增益!$N:$N,0))</f>
        <v>0</v>
      </c>
      <c r="BK121">
        <f t="shared" si="40"/>
        <v>571.2</v>
      </c>
      <c r="BL121">
        <f t="shared" si="41"/>
        <v>1627.8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0.08</v>
      </c>
      <c r="BN121" s="32" cm="1">
        <f t="array" ref="BN121">$G$14+VLOOKUP($R121,武学奇术!$A:$ZZ,16,FALSE)+SUM(_xlfn.XLOOKUP($S121:$AL121,增益!$A:$A,增益!$P:$P,0))</f>
        <v>0.27</v>
      </c>
      <c r="BO121" s="26">
        <f>MIN(IF(VLOOKUP($R121,武学奇术!$A:$ZZ,23,FALSE)=1,100%,$B$8),100%)</f>
        <v>0.981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26" cm="1">
        <f t="array" ref="BQ121">1+$B$13+VLOOKUP($R121,武学奇术!$A:$ZZ,18,FALSE)+SUM(_xlfn.XLOOKUP($S121:$AL121,增益!$A:$A,增益!$R:$R,0))</f>
        <v>2.06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42"/>
        <v>0.829926</v>
      </c>
      <c r="BU121" s="26">
        <f t="shared" si="43"/>
        <v>0.0599391</v>
      </c>
      <c r="BV121" s="26">
        <f>IF(VLOOKUP($R121,武学奇术!$A:$ZZ,22,FALSE)=1,0,(1-$BO121))*(1-$BR121)</f>
        <v>0.0172349</v>
      </c>
      <c r="BW121" s="26" cm="1">
        <f t="array" ref="BW121">SUM(_xlfn.XLOOKUP($S121:$AL121,增益!$A:$A,增益!$W:$W,0))+$I$5</f>
        <v>0.11</v>
      </c>
      <c r="BX121" s="26" cm="1">
        <f t="array" ref="BX121">SUM(_xlfn.XLOOKUP($S121:$AL121,增益!$A:$A,增益!$X:$X,0))</f>
        <v>0</v>
      </c>
    </row>
    <row r="122" spans="1:76">
      <c r="A122" s="4" t="s">
        <v>161</v>
      </c>
      <c r="B122" s="88">
        <v>1.3</v>
      </c>
      <c r="K122">
        <f>$L122*VLOOKUP($R122,武学奇术!$A:$ZZ,31,FALSE)</f>
        <v>93410.2253399956</v>
      </c>
      <c r="L122" s="38">
        <f t="shared" si="44"/>
        <v>88962.1193714244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</f>
        <v>95093.1649477035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</f>
        <v>70928.6094143489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</f>
        <v>46161.7305571376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</f>
        <v>39783.7504369798</v>
      </c>
      <c r="Q122" s="39">
        <v>4</v>
      </c>
      <c r="R122" s="40" t="s">
        <v>119</v>
      </c>
      <c r="S122" s="40" t="s">
        <v>116</v>
      </c>
      <c r="T122" s="40" t="s">
        <v>102</v>
      </c>
      <c r="U122" s="40" t="s">
        <v>79</v>
      </c>
      <c r="V122" s="40" t="s">
        <v>78</v>
      </c>
      <c r="W122" s="40" t="s">
        <v>181</v>
      </c>
      <c r="X122" s="40" t="s">
        <v>106</v>
      </c>
      <c r="Y122" s="40" t="s">
        <v>91</v>
      </c>
      <c r="Z122" s="40" t="s">
        <v>78</v>
      </c>
      <c r="AA122" s="40" t="s">
        <v>78</v>
      </c>
      <c r="AB122" s="40" t="s">
        <v>133</v>
      </c>
      <c r="AC122" s="40" t="s">
        <v>92</v>
      </c>
      <c r="AD122" s="40" t="s">
        <v>78</v>
      </c>
      <c r="AE122" s="40" t="s">
        <v>83</v>
      </c>
      <c r="AF122" s="40" t="s">
        <v>84</v>
      </c>
      <c r="AG122" s="40" t="s">
        <v>85</v>
      </c>
      <c r="AH122" s="40" t="s">
        <v>78</v>
      </c>
      <c r="AI122" s="40" t="s">
        <v>78</v>
      </c>
      <c r="AJ122" s="40" t="s">
        <v>78</v>
      </c>
      <c r="AK122" s="40" t="s">
        <v>78</v>
      </c>
      <c r="AL122" s="40" t="s">
        <v>78</v>
      </c>
      <c r="AM122" t="str">
        <f>VLOOKUP($R122,武学奇术!$A:$ZZ,25,FALSE)</f>
        <v>伞</v>
      </c>
      <c r="AN122" s="26">
        <f>VLOOKUP($R122,武学奇术!$A:$ZZ,26,FALSE)</f>
        <v>0.54</v>
      </c>
      <c r="AO122" s="27">
        <f>VLOOKUP($R122,武学奇术!$A:$ZZ,27,FALSE)*(1+IF(OR($AM122=$F$4,$AM122=$F$5),$B$22,0))</f>
        <v>0</v>
      </c>
      <c r="AP122" s="26">
        <f>VLOOKUP($R122,武学奇术!$A:$ZZ,28,FALSE)</f>
        <v>0.81</v>
      </c>
      <c r="AQ122" s="27">
        <f>VLOOKUP($R122,武学奇术!$A:$ZZ,29,FALSE)*(1+IF(OR($AM122=$F$4,$AM122=$F$5),$B$22,0))</f>
        <v>0</v>
      </c>
      <c r="AR122" s="26" cm="1">
        <f t="array" ref="AR122">$G$3+IFERROR(VLOOKUP($AM122,$F$4:$G$7,2,FALSE),0)+VLOOKUP($R122,武学奇术!$A:$ZZ,2,FALSE)+SUM(_xlfn.XLOOKUP($S122:$AL122,增益!$A:$A,增益!$B:$B,0))</f>
        <v>0.8541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3636.6</v>
      </c>
      <c r="AU122" cm="1">
        <f t="array" ref="AU122">$E$10*(1+$AS122)+VLOOKUP($R122,武学奇术!$A:$ZZ,4,FALSE)+SUM(_xlfn.XLOOKUP($S122:$AL122,增益!$A:$A,增益!$D:$D,0))-$I$2</f>
        <v>3636.6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0.3425</v>
      </c>
      <c r="AW122" s="32" cm="1">
        <f t="array" ref="AW122">$G$10+VLOOKUP($R122,武学奇术!$A:$ZZ,7,FALSE)+SUM(_xlfn.XLOOKUP($S122:$AL122,增益!$A:$A,增益!$G:$G,0))</f>
        <v>0.148</v>
      </c>
      <c r="AX122" s="26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2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-0.14</v>
      </c>
      <c r="BF122" s="32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2" cm="1">
        <f t="array" ref="BJ122">$G$13+VLOOKUP($R122,武学奇术!$A:$ZZ,14,FALSE)+SUM(_xlfn.XLOOKUP($S122:$AL122,增益!$A:$A,增益!$N:$N,0))</f>
        <v>0</v>
      </c>
      <c r="BK122">
        <f t="shared" si="40"/>
        <v>571.2</v>
      </c>
      <c r="BL122">
        <f t="shared" si="41"/>
        <v>1627.8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0.08</v>
      </c>
      <c r="BN122" s="32" cm="1">
        <f t="array" ref="BN122">$G$14+VLOOKUP($R122,武学奇术!$A:$ZZ,16,FALSE)+SUM(_xlfn.XLOOKUP($S122:$AL122,增益!$A:$A,增益!$P:$P,0))</f>
        <v>0.27</v>
      </c>
      <c r="BO122" s="26">
        <f>MIN(IF(VLOOKUP($R122,武学奇术!$A:$ZZ,23,FALSE)=1,100%,$B$8),100%)</f>
        <v>0.981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26" cm="1">
        <f t="array" ref="BQ122">1+$B$13+VLOOKUP($R122,武学奇术!$A:$ZZ,18,FALSE)+SUM(_xlfn.XLOOKUP($S122:$AL122,增益!$A:$A,增益!$R:$R,0))</f>
        <v>2.06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42"/>
        <v>0.829926</v>
      </c>
      <c r="BU122" s="26">
        <f t="shared" si="43"/>
        <v>0.0599391</v>
      </c>
      <c r="BV122" s="26">
        <f>IF(VLOOKUP($R122,武学奇术!$A:$ZZ,22,FALSE)=1,0,(1-$BO122))*(1-$BR122)</f>
        <v>0.0172349</v>
      </c>
      <c r="BW122" s="26" cm="1">
        <f t="array" ref="BW122">SUM(_xlfn.XLOOKUP($S122:$AL122,增益!$A:$A,增益!$W:$W,0))+$I$5</f>
        <v>0.11</v>
      </c>
      <c r="BX122" s="26" cm="1">
        <f t="array" ref="BX122">SUM(_xlfn.XLOOKUP($S122:$AL122,增益!$A:$A,增益!$X:$X,0))</f>
        <v>0</v>
      </c>
    </row>
    <row r="123" spans="1:76">
      <c r="A123" s="4" t="s">
        <v>180</v>
      </c>
      <c r="B123" s="88">
        <v>0.1</v>
      </c>
      <c r="K123">
        <f>$L123*VLOOKUP($R123,武学奇术!$A:$ZZ,31,FALSE)</f>
        <v>203996.989597486</v>
      </c>
      <c r="L123" s="38">
        <f t="shared" si="44"/>
        <v>194282.847235701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</f>
        <v>205896.503075536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</f>
        <v>165059.505433013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</f>
        <v>107799.216269914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</f>
        <v>93332.1322190783</v>
      </c>
      <c r="Q123" s="39">
        <v>1</v>
      </c>
      <c r="R123" s="40" t="s">
        <v>194</v>
      </c>
      <c r="S123" s="40" t="s">
        <v>78</v>
      </c>
      <c r="T123" s="40" t="s">
        <v>102</v>
      </c>
      <c r="U123" s="40" t="s">
        <v>79</v>
      </c>
      <c r="V123" s="40" t="s">
        <v>78</v>
      </c>
      <c r="W123" s="40" t="s">
        <v>181</v>
      </c>
      <c r="X123" s="40" t="s">
        <v>106</v>
      </c>
      <c r="Y123" s="40" t="s">
        <v>91</v>
      </c>
      <c r="Z123" s="40" t="s">
        <v>78</v>
      </c>
      <c r="AA123" s="40" t="s">
        <v>78</v>
      </c>
      <c r="AB123" s="40" t="s">
        <v>78</v>
      </c>
      <c r="AC123" s="40" t="s">
        <v>92</v>
      </c>
      <c r="AD123" s="40" t="s">
        <v>78</v>
      </c>
      <c r="AE123" s="40" t="s">
        <v>83</v>
      </c>
      <c r="AF123" s="40" t="s">
        <v>84</v>
      </c>
      <c r="AG123" s="40" t="s">
        <v>85</v>
      </c>
      <c r="AH123" s="40" t="s">
        <v>78</v>
      </c>
      <c r="AI123" s="40" t="s">
        <v>78</v>
      </c>
      <c r="AJ123" s="40" t="s">
        <v>78</v>
      </c>
      <c r="AK123" s="40" t="s">
        <v>78</v>
      </c>
      <c r="AL123" s="40" t="s">
        <v>78</v>
      </c>
      <c r="AM123" t="str">
        <f>VLOOKUP($R123,武学奇术!$A:$ZZ,25,FALSE)</f>
        <v>群体奇术</v>
      </c>
      <c r="AN123" s="26">
        <f>VLOOKUP($R123,武学奇术!$A:$ZZ,26,FALSE)</f>
        <v>10.315755</v>
      </c>
      <c r="AO123" s="27">
        <f>VLOOKUP($R123,武学奇术!$A:$ZZ,27,FALSE)*(1+IF(OR($AM123=$F$4,$AM123=$F$5),$B$22,0))</f>
        <v>1992.6</v>
      </c>
      <c r="AP123" s="26">
        <f>VLOOKUP($R123,武学奇术!$A:$ZZ,28,FALSE)</f>
        <v>15.4736325</v>
      </c>
      <c r="AQ123" s="27">
        <f>VLOOKUP($R123,武学奇术!$A:$ZZ,29,FALSE)*(1+IF(OR($AM123=$F$4,$AM123=$F$5),$B$22,0))</f>
        <v>0</v>
      </c>
      <c r="AR123" s="26" cm="1">
        <f t="array" ref="AR123">$G$3+IFERROR(VLOOKUP($AM123,$F$4:$G$7,2,FALSE),0)+VLOOKUP($R123,武学奇术!$A:$ZZ,2,FALSE)+SUM(_xlfn.XLOOKUP($S123:$AL123,增益!$A:$A,增益!$B:$B,0))</f>
        <v>0.2837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3636.6</v>
      </c>
      <c r="AU123" cm="1">
        <f t="array" ref="AU123">$E$10*(1+$AS123)+VLOOKUP($R123,武学奇术!$A:$ZZ,4,FALSE)+SUM(_xlfn.XLOOKUP($S123:$AL123,增益!$A:$A,增益!$D:$D,0))-$I$2</f>
        <v>3636.6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0.3425</v>
      </c>
      <c r="AW123" s="32" cm="1">
        <f t="array" ref="AW123">$G$10+VLOOKUP($R123,武学奇术!$A:$ZZ,7,FALSE)+SUM(_xlfn.XLOOKUP($S123:$AL123,增益!$A:$A,增益!$G:$G,0))</f>
        <v>0.028</v>
      </c>
      <c r="AX123" s="26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2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-0.14</v>
      </c>
      <c r="BF123" s="32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2" cm="1">
        <f t="array" ref="BJ123">$G$13+VLOOKUP($R123,武学奇术!$A:$ZZ,14,FALSE)+SUM(_xlfn.XLOOKUP($S123:$AL123,增益!$A:$A,增益!$N:$N,0))</f>
        <v>0</v>
      </c>
      <c r="BK123">
        <f t="shared" si="40"/>
        <v>571.2</v>
      </c>
      <c r="BL123">
        <f t="shared" si="41"/>
        <v>1627.8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0.08</v>
      </c>
      <c r="BN123" s="32" cm="1">
        <f t="array" ref="BN123">$G$14+VLOOKUP($R123,武学奇术!$A:$ZZ,16,FALSE)+SUM(_xlfn.XLOOKUP($S123:$AL123,增益!$A:$A,增益!$P:$P,0))</f>
        <v>0.15</v>
      </c>
      <c r="BO123" s="26">
        <f>MIN(IF(VLOOKUP($R123,武学奇术!$A:$ZZ,23,FALSE)=1,100%,$B$8),100%)</f>
        <v>0.981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26" cm="1">
        <f t="array" ref="BQ123">1+$B$13+VLOOKUP($R123,武学奇术!$A:$ZZ,18,FALSE)+SUM(_xlfn.XLOOKUP($S123:$AL123,增益!$A:$A,增益!$R:$R,0))</f>
        <v>1.91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42"/>
        <v>0.829926</v>
      </c>
      <c r="BU123" s="26">
        <f t="shared" si="43"/>
        <v>0.0599391</v>
      </c>
      <c r="BV123" s="26">
        <f>IF(VLOOKUP($R123,武学奇术!$A:$ZZ,22,FALSE)=1,0,(1-$BO123))*(1-$BR123)</f>
        <v>0.0172349</v>
      </c>
      <c r="BW123" s="26" cm="1">
        <f t="array" ref="BW123">SUM(_xlfn.XLOOKUP($S123:$AL123,增益!$A:$A,增益!$W:$W,0))+$I$5</f>
        <v>0.11</v>
      </c>
      <c r="BX123" s="26" cm="1">
        <f t="array" ref="BX123">SUM(_xlfn.XLOOKUP($S123:$AL123,增益!$A:$A,增益!$X:$X,0))</f>
        <v>0</v>
      </c>
    </row>
    <row r="124" spans="1:76">
      <c r="A124" s="4" t="s">
        <v>174</v>
      </c>
      <c r="B124" s="88">
        <v>1</v>
      </c>
      <c r="K124">
        <f>$L124*VLOOKUP($R124,武学奇术!$A:$ZZ,31,FALSE)</f>
        <v>140555.628146648</v>
      </c>
      <c r="L124" s="38">
        <f t="shared" si="44"/>
        <v>133862.502996808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</f>
        <v>141864.285803304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</f>
        <v>113728.726177987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</f>
        <v>74274.4951849759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</f>
        <v>64305.4894973687</v>
      </c>
      <c r="Q124" s="39">
        <v>1</v>
      </c>
      <c r="R124" s="40" t="s">
        <v>191</v>
      </c>
      <c r="S124" s="40" t="s">
        <v>78</v>
      </c>
      <c r="T124" s="40" t="s">
        <v>102</v>
      </c>
      <c r="U124" s="40" t="s">
        <v>79</v>
      </c>
      <c r="V124" s="40" t="s">
        <v>78</v>
      </c>
      <c r="W124" s="40" t="s">
        <v>181</v>
      </c>
      <c r="X124" s="40" t="s">
        <v>106</v>
      </c>
      <c r="Y124" s="40" t="s">
        <v>91</v>
      </c>
      <c r="Z124" s="40" t="s">
        <v>78</v>
      </c>
      <c r="AA124" s="40" t="s">
        <v>78</v>
      </c>
      <c r="AB124" s="40" t="s">
        <v>78</v>
      </c>
      <c r="AC124" s="40" t="s">
        <v>92</v>
      </c>
      <c r="AD124" s="40" t="s">
        <v>78</v>
      </c>
      <c r="AE124" s="40" t="s">
        <v>83</v>
      </c>
      <c r="AF124" s="40" t="s">
        <v>84</v>
      </c>
      <c r="AG124" s="40" t="s">
        <v>85</v>
      </c>
      <c r="AH124" s="40" t="s">
        <v>78</v>
      </c>
      <c r="AI124" s="40" t="s">
        <v>78</v>
      </c>
      <c r="AJ124" s="40" t="s">
        <v>78</v>
      </c>
      <c r="AK124" s="40" t="s">
        <v>78</v>
      </c>
      <c r="AL124" s="40" t="s">
        <v>78</v>
      </c>
      <c r="AM124" t="str">
        <f>VLOOKUP($R124,武学奇术!$A:$ZZ,25,FALSE)</f>
        <v>单体奇术</v>
      </c>
      <c r="AN124" s="26">
        <f>VLOOKUP($R124,武学奇术!$A:$ZZ,26,FALSE)</f>
        <v>7.1084</v>
      </c>
      <c r="AO124" s="27">
        <f>VLOOKUP($R124,武学奇术!$A:$ZZ,27,FALSE)*(1+IF(OR($AM124=$F$4,$AM124=$F$5),$B$22,0))</f>
        <v>1369</v>
      </c>
      <c r="AP124" s="26">
        <f>VLOOKUP($R124,武学奇术!$A:$ZZ,28,FALSE)</f>
        <v>10.6626</v>
      </c>
      <c r="AQ124" s="27">
        <f>VLOOKUP($R124,武学奇术!$A:$ZZ,29,FALSE)*(1+IF(OR($AM124=$F$4,$AM124=$F$5),$B$22,0))</f>
        <v>0</v>
      </c>
      <c r="AR124" s="26" cm="1">
        <f t="array" ref="AR124">$G$3+IFERROR(VLOOKUP($AM124,$F$4:$G$7,2,FALSE),0)+VLOOKUP($R124,武学奇术!$A:$ZZ,2,FALSE)+SUM(_xlfn.XLOOKUP($S124:$AL124,增益!$A:$A,增益!$B:$B,0))</f>
        <v>0.2837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3636.6</v>
      </c>
      <c r="AU124" cm="1">
        <f t="array" ref="AU124">$E$10*(1+$AS124)+VLOOKUP($R124,武学奇术!$A:$ZZ,4,FALSE)+SUM(_xlfn.XLOOKUP($S124:$AL124,增益!$A:$A,增益!$D:$D,0))-$I$2</f>
        <v>3636.6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0.3425</v>
      </c>
      <c r="AW124" s="32" cm="1">
        <f t="array" ref="AW124">$G$10+VLOOKUP($R124,武学奇术!$A:$ZZ,7,FALSE)+SUM(_xlfn.XLOOKUP($S124:$AL124,增益!$A:$A,增益!$G:$G,0))</f>
        <v>0.028</v>
      </c>
      <c r="AX124" s="26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2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-0.14</v>
      </c>
      <c r="BF124" s="32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2" cm="1">
        <f t="array" ref="BJ124">$G$13+VLOOKUP($R124,武学奇术!$A:$ZZ,14,FALSE)+SUM(_xlfn.XLOOKUP($S124:$AL124,增益!$A:$A,增益!$N:$N,0))</f>
        <v>0</v>
      </c>
      <c r="BK124">
        <f t="shared" si="40"/>
        <v>571.2</v>
      </c>
      <c r="BL124">
        <f t="shared" si="41"/>
        <v>1627.8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0.08</v>
      </c>
      <c r="BN124" s="32" cm="1">
        <f t="array" ref="BN124">$G$14+VLOOKUP($R124,武学奇术!$A:$ZZ,16,FALSE)+SUM(_xlfn.XLOOKUP($S124:$AL124,增益!$A:$A,增益!$P:$P,0))</f>
        <v>0.15</v>
      </c>
      <c r="BO124" s="26">
        <f>MIN(IF(VLOOKUP($R124,武学奇术!$A:$ZZ,23,FALSE)=1,100%,$B$8),100%)</f>
        <v>0.981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26" cm="1">
        <f t="array" ref="BQ124">1+$B$13+VLOOKUP($R124,武学奇术!$A:$ZZ,18,FALSE)+SUM(_xlfn.XLOOKUP($S124:$AL124,增益!$A:$A,增益!$R:$R,0))</f>
        <v>1.91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42"/>
        <v>0.829926</v>
      </c>
      <c r="BU124" s="26">
        <f t="shared" si="43"/>
        <v>0.0599391</v>
      </c>
      <c r="BV124" s="26">
        <f>IF(VLOOKUP($R124,武学奇术!$A:$ZZ,22,FALSE)=1,0,(1-$BO124))*(1-$BR124)</f>
        <v>0.0172349</v>
      </c>
      <c r="BW124" s="26" cm="1">
        <f t="array" ref="BW124">SUM(_xlfn.XLOOKUP($S124:$AL124,增益!$A:$A,增益!$W:$W,0))+$I$5</f>
        <v>0.11</v>
      </c>
      <c r="BX124" s="26" cm="1">
        <f t="array" ref="BX124">SUM(_xlfn.XLOOKUP($S124:$AL124,增益!$A:$A,增益!$X:$X,0))</f>
        <v>0</v>
      </c>
    </row>
    <row r="125" spans="1:76">
      <c r="A125" s="4" t="s">
        <v>180</v>
      </c>
      <c r="B125" s="88">
        <v>0.1</v>
      </c>
      <c r="K125">
        <f>$L125*VLOOKUP($R125,武学奇术!$A:$ZZ,31,FALSE)</f>
        <v>48417.0538894567</v>
      </c>
      <c r="L125" s="38">
        <f t="shared" si="44"/>
        <v>46111.4798947207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</f>
        <v>48922.2565342595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</f>
        <v>38578.9354376955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</f>
        <v>25613.7468765757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</f>
        <v>22650.5045400435</v>
      </c>
      <c r="Q125" s="39">
        <v>1</v>
      </c>
      <c r="R125" s="40" t="s">
        <v>167</v>
      </c>
      <c r="S125" s="40" t="s">
        <v>78</v>
      </c>
      <c r="T125" s="40" t="s">
        <v>102</v>
      </c>
      <c r="U125" s="40" t="s">
        <v>79</v>
      </c>
      <c r="V125" s="40" t="s">
        <v>78</v>
      </c>
      <c r="W125" s="40" t="s">
        <v>181</v>
      </c>
      <c r="X125" s="40" t="s">
        <v>106</v>
      </c>
      <c r="Y125" s="40" t="s">
        <v>78</v>
      </c>
      <c r="Z125" s="40" t="s">
        <v>78</v>
      </c>
      <c r="AA125" s="40" t="s">
        <v>78</v>
      </c>
      <c r="AB125" s="40" t="s">
        <v>78</v>
      </c>
      <c r="AC125" s="40" t="s">
        <v>92</v>
      </c>
      <c r="AD125" s="40" t="s">
        <v>78</v>
      </c>
      <c r="AE125" s="40" t="s">
        <v>83</v>
      </c>
      <c r="AF125" s="40" t="s">
        <v>84</v>
      </c>
      <c r="AG125" s="40" t="s">
        <v>85</v>
      </c>
      <c r="AH125" s="40" t="s">
        <v>78</v>
      </c>
      <c r="AI125" s="40" t="s">
        <v>78</v>
      </c>
      <c r="AJ125" s="40" t="s">
        <v>78</v>
      </c>
      <c r="AK125" s="40" t="s">
        <v>78</v>
      </c>
      <c r="AL125" s="40" t="s">
        <v>78</v>
      </c>
      <c r="AM125" t="str">
        <f>VLOOKUP($R125,武学奇术!$A:$ZZ,25,FALSE)</f>
        <v>伞</v>
      </c>
      <c r="AN125" s="26">
        <f>VLOOKUP($R125,武学奇术!$A:$ZZ,26,FALSE)</f>
        <v>2.01456</v>
      </c>
      <c r="AO125" s="27">
        <f>VLOOKUP($R125,武学奇术!$A:$ZZ,27,FALSE)*(1+IF(OR($AM125=$F$4,$AM125=$F$5),$B$22,0))</f>
        <v>837</v>
      </c>
      <c r="AP125" s="26">
        <f>VLOOKUP($R125,武学奇术!$A:$ZZ,28,FALSE)</f>
        <v>3.02184</v>
      </c>
      <c r="AQ125" s="27">
        <f>VLOOKUP($R125,武学奇术!$A:$ZZ,29,FALSE)*(1+IF(OR($AM125=$F$4,$AM125=$F$5),$B$22,0))</f>
        <v>453.6</v>
      </c>
      <c r="AR125" s="26" cm="1">
        <f t="array" ref="AR125">$G$3+IFERROR(VLOOKUP($AM125,$F$4:$G$7,2,FALSE),0)+VLOOKUP($R125,武学奇术!$A:$ZZ,2,FALSE)+SUM(_xlfn.XLOOKUP($S125:$AL125,增益!$A:$A,增益!$B:$B,0))</f>
        <v>0.4541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3636.6</v>
      </c>
      <c r="AU125" cm="1">
        <f t="array" ref="AU125">$E$10*(1+$AS125)+VLOOKUP($R125,武学奇术!$A:$ZZ,4,FALSE)+SUM(_xlfn.XLOOKUP($S125:$AL125,增益!$A:$A,增益!$D:$D,0))-$I$2</f>
        <v>3636.6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0.3425</v>
      </c>
      <c r="AW125" s="32" cm="1">
        <f t="array" ref="AW125">$G$10+VLOOKUP($R125,武学奇术!$A:$ZZ,7,FALSE)+SUM(_xlfn.XLOOKUP($S125:$AL125,增益!$A:$A,增益!$G:$G,0))</f>
        <v>0.028</v>
      </c>
      <c r="AX125" s="26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40"/>
        <v>571.2</v>
      </c>
      <c r="BL125">
        <f t="shared" si="41"/>
        <v>1627.8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0.15</v>
      </c>
      <c r="BO125" s="26">
        <f>MIN(IF(VLOOKUP($R125,武学奇术!$A:$ZZ,23,FALSE)=1,100%,$B$8),100%)</f>
        <v>0.981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26" cm="1">
        <f t="array" ref="BQ125">1+$B$13+VLOOKUP($R125,武学奇术!$A:$ZZ,18,FALSE)+SUM(_xlfn.XLOOKUP($S125:$AL125,增益!$A:$A,增益!$R:$R,0))</f>
        <v>1.91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42"/>
        <v>0.829926</v>
      </c>
      <c r="BU125" s="26">
        <f t="shared" si="43"/>
        <v>0.0599391</v>
      </c>
      <c r="BV125" s="26">
        <f>IF(VLOOKUP($R125,武学奇术!$A:$ZZ,22,FALSE)=1,0,(1-$BO125))*(1-$BR125)</f>
        <v>0.0172349</v>
      </c>
      <c r="BW125" s="26" cm="1">
        <f t="array" ref="BW125">SUM(_xlfn.XLOOKUP($S125:$AL125,增益!$A:$A,增益!$W:$W,0))+$I$5</f>
        <v>0.11</v>
      </c>
      <c r="BX125" s="26" cm="1">
        <f t="array" ref="BX125">SUM(_xlfn.XLOOKUP($S125:$AL125,增益!$A:$A,增益!$X:$X,0))</f>
        <v>0</v>
      </c>
    </row>
    <row r="126" spans="1:76">
      <c r="A126" s="4" t="s">
        <v>169</v>
      </c>
      <c r="B126" s="88">
        <v>1</v>
      </c>
      <c r="K126">
        <f>$L126*VLOOKUP($R126,武学奇术!$A:$ZZ,31,FALSE)</f>
        <v>12973.1465948684</v>
      </c>
      <c r="L126" s="38">
        <f t="shared" si="44"/>
        <v>12355.3777093985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</f>
        <v>13095.8515860978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</f>
        <v>10476.0115004989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</f>
        <v>6856.46679900411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</f>
        <v>5952.92507912016</v>
      </c>
      <c r="Q126" s="39">
        <v>1</v>
      </c>
      <c r="R126" s="40" t="s">
        <v>170</v>
      </c>
      <c r="S126" s="40" t="s">
        <v>78</v>
      </c>
      <c r="T126" s="40" t="s">
        <v>102</v>
      </c>
      <c r="U126" s="40" t="s">
        <v>79</v>
      </c>
      <c r="V126" s="40" t="s">
        <v>78</v>
      </c>
      <c r="W126" s="40" t="s">
        <v>181</v>
      </c>
      <c r="X126" s="40" t="s">
        <v>106</v>
      </c>
      <c r="Y126" s="40" t="s">
        <v>78</v>
      </c>
      <c r="Z126" s="40" t="s">
        <v>78</v>
      </c>
      <c r="AA126" s="40" t="s">
        <v>78</v>
      </c>
      <c r="AB126" s="40" t="s">
        <v>78</v>
      </c>
      <c r="AC126" s="40" t="s">
        <v>92</v>
      </c>
      <c r="AD126" s="40" t="s">
        <v>78</v>
      </c>
      <c r="AE126" s="40" t="s">
        <v>83</v>
      </c>
      <c r="AF126" s="40" t="s">
        <v>84</v>
      </c>
      <c r="AG126" s="40" t="s">
        <v>85</v>
      </c>
      <c r="AH126" s="40" t="s">
        <v>78</v>
      </c>
      <c r="AI126" s="40" t="s">
        <v>78</v>
      </c>
      <c r="AJ126" s="40" t="s">
        <v>78</v>
      </c>
      <c r="AK126" s="40" t="s">
        <v>78</v>
      </c>
      <c r="AL126" s="40" t="s">
        <v>78</v>
      </c>
      <c r="AM126" t="str">
        <f>VLOOKUP($R126,武学奇术!$A:$ZZ,25,FALSE)</f>
        <v>伞</v>
      </c>
      <c r="AN126" s="26">
        <f>VLOOKUP($R126,武学奇术!$A:$ZZ,26,FALSE)</f>
        <v>0.54</v>
      </c>
      <c r="AO126" s="27">
        <f>VLOOKUP($R126,武学奇术!$A:$ZZ,27,FALSE)*(1+IF(OR($AM126=$F$4,$AM126=$F$5),$B$22,0))</f>
        <v>0</v>
      </c>
      <c r="AP126" s="26">
        <f>VLOOKUP($R126,武学奇术!$A:$ZZ,28,FALSE)</f>
        <v>0.81</v>
      </c>
      <c r="AQ126" s="27">
        <f>VLOOKUP($R126,武学奇术!$A:$ZZ,29,FALSE)*(1+IF(OR($AM126=$F$4,$AM126=$F$5),$B$22,0))</f>
        <v>0</v>
      </c>
      <c r="AR126" s="26" cm="1">
        <f t="array" ref="AR126">$G$3+IFERROR(VLOOKUP($AM126,$F$4:$G$7,2,FALSE),0)+VLOOKUP($R126,武学奇术!$A:$ZZ,2,FALSE)+SUM(_xlfn.XLOOKUP($S126:$AL126,增益!$A:$A,增益!$B:$B,0))</f>
        <v>0.6541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3636.6</v>
      </c>
      <c r="AU126" cm="1">
        <f t="array" ref="AU126">$E$10*(1+$AS126)+VLOOKUP($R126,武学奇术!$A:$ZZ,4,FALSE)+SUM(_xlfn.XLOOKUP($S126:$AL126,增益!$A:$A,增益!$D:$D,0))-$I$2</f>
        <v>3636.6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0.3425</v>
      </c>
      <c r="AW126" s="32" cm="1">
        <f t="array" ref="AW126">$G$10+VLOOKUP($R126,武学奇术!$A:$ZZ,7,FALSE)+SUM(_xlfn.XLOOKUP($S126:$AL126,增益!$A:$A,增益!$G:$G,0))</f>
        <v>0.028</v>
      </c>
      <c r="AX126" s="26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40"/>
        <v>571.2</v>
      </c>
      <c r="BL126">
        <f t="shared" si="41"/>
        <v>1627.8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0.15</v>
      </c>
      <c r="BO126" s="26">
        <f>MIN(IF(VLOOKUP($R126,武学奇术!$A:$ZZ,23,FALSE)=1,100%,$B$8),100%)</f>
        <v>0.981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26" cm="1">
        <f t="array" ref="BQ126">1+$B$13+VLOOKUP($R126,武学奇术!$A:$ZZ,18,FALSE)+SUM(_xlfn.XLOOKUP($S126:$AL126,增益!$A:$A,增益!$R:$R,0))</f>
        <v>1.91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42"/>
        <v>0.829926</v>
      </c>
      <c r="BU126" s="26">
        <f t="shared" si="43"/>
        <v>0.0599391</v>
      </c>
      <c r="BV126" s="26">
        <f>IF(VLOOKUP($R126,武学奇术!$A:$ZZ,22,FALSE)=1,0,(1-$BO126))*(1-$BR126)</f>
        <v>0.0172349</v>
      </c>
      <c r="BW126" s="26" cm="1">
        <f t="array" ref="BW126">SUM(_xlfn.XLOOKUP($S126:$AL126,增益!$A:$A,增益!$W:$W,0))+$I$5</f>
        <v>0.11</v>
      </c>
      <c r="BX126" s="26" cm="1">
        <f t="array" ref="BX126">SUM(_xlfn.XLOOKUP($S126:$AL126,增益!$A:$A,增益!$X:$X,0))</f>
        <v>0</v>
      </c>
    </row>
    <row r="127" spans="1:76">
      <c r="A127" s="4" t="s">
        <v>169</v>
      </c>
      <c r="B127" s="88">
        <v>1</v>
      </c>
      <c r="D127" s="39" t="s">
        <v>161</v>
      </c>
      <c r="F127" s="39" t="s">
        <v>165</v>
      </c>
      <c r="K127">
        <f>$L127*VLOOKUP($R127,武学奇术!$A:$ZZ,31,FALSE)</f>
        <v>61244.4804386668</v>
      </c>
      <c r="L127" s="38">
        <f t="shared" si="44"/>
        <v>58328.0766082541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</f>
        <v>58328.0766082541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</f>
        <v>45994.6004035003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</f>
        <v>30538.2600043215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</f>
        <v>27006.4456356799</v>
      </c>
      <c r="Q127" s="39">
        <v>1</v>
      </c>
      <c r="R127" s="40" t="s">
        <v>174</v>
      </c>
      <c r="S127" s="40" t="s">
        <v>78</v>
      </c>
      <c r="T127" s="40" t="s">
        <v>102</v>
      </c>
      <c r="U127" s="40" t="s">
        <v>79</v>
      </c>
      <c r="V127" s="40" t="s">
        <v>78</v>
      </c>
      <c r="W127" s="40" t="s">
        <v>181</v>
      </c>
      <c r="X127" s="40" t="s">
        <v>106</v>
      </c>
      <c r="Y127" s="40" t="s">
        <v>78</v>
      </c>
      <c r="Z127" s="40" t="s">
        <v>78</v>
      </c>
      <c r="AA127" s="40" t="s">
        <v>78</v>
      </c>
      <c r="AB127" s="40" t="s">
        <v>78</v>
      </c>
      <c r="AC127" s="40" t="s">
        <v>92</v>
      </c>
      <c r="AD127" s="40" t="s">
        <v>78</v>
      </c>
      <c r="AE127" s="40" t="s">
        <v>83</v>
      </c>
      <c r="AF127" s="40" t="s">
        <v>84</v>
      </c>
      <c r="AG127" s="40" t="s">
        <v>85</v>
      </c>
      <c r="AH127" s="40" t="s">
        <v>78</v>
      </c>
      <c r="AI127" s="40" t="s">
        <v>78</v>
      </c>
      <c r="AJ127" s="40" t="s">
        <v>78</v>
      </c>
      <c r="AK127" s="40" t="s">
        <v>78</v>
      </c>
      <c r="AL127" s="40" t="s">
        <v>78</v>
      </c>
      <c r="AM127" t="str">
        <f>VLOOKUP($R127,武学奇术!$A:$ZZ,25,FALSE)</f>
        <v>绳镖</v>
      </c>
      <c r="AN127" s="26">
        <f>VLOOKUP($R127,武学奇术!$A:$ZZ,26,FALSE)</f>
        <v>2.2987</v>
      </c>
      <c r="AO127" s="27">
        <f>VLOOKUP($R127,武学奇术!$A:$ZZ,27,FALSE)*(1+IF(OR($AM127=$F$4,$AM127=$F$5),$B$22,0))</f>
        <v>955.5</v>
      </c>
      <c r="AP127" s="26">
        <f>VLOOKUP($R127,武学奇术!$A:$ZZ,28,FALSE)</f>
        <v>3.448</v>
      </c>
      <c r="AQ127" s="27">
        <f>VLOOKUP($R127,武学奇术!$A:$ZZ,29,FALSE)*(1+IF(OR($AM127=$F$4,$AM127=$F$5),$B$22,0))</f>
        <v>520.5</v>
      </c>
      <c r="AR127" s="26" cm="1">
        <f t="array" ref="AR127">$G$3+IFERROR(VLOOKUP($AM127,$F$4:$G$7,2,FALSE),0)+VLOOKUP($R127,武学奇术!$A:$ZZ,2,FALSE)+SUM(_xlfn.XLOOKUP($S127:$AL127,增益!$A:$A,增益!$B:$B,0))</f>
        <v>0.5189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3636.6</v>
      </c>
      <c r="AU127" cm="1">
        <f t="array" ref="AU127">$E$10*(1+$AS127)+VLOOKUP($R127,武学奇术!$A:$ZZ,4,FALSE)+SUM(_xlfn.XLOOKUP($S127:$AL127,增益!$A:$A,增益!$D:$D,0))-$I$2</f>
        <v>3636.6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0.3425</v>
      </c>
      <c r="AW127" s="32" cm="1">
        <f t="array" ref="AW127">$G$10+VLOOKUP($R127,武学奇术!$A:$ZZ,7,FALSE)+SUM(_xlfn.XLOOKUP($S127:$AL127,增益!$A:$A,增益!$G:$G,0))</f>
        <v>0.028</v>
      </c>
      <c r="AX127" s="26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2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2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2" cm="1">
        <f t="array" ref="BJ127">$G$13+VLOOKUP($R127,武学奇术!$A:$ZZ,14,FALSE)+SUM(_xlfn.XLOOKUP($S127:$AL127,增益!$A:$A,增益!$N:$N,0))</f>
        <v>0</v>
      </c>
      <c r="BK127">
        <f t="shared" si="40"/>
        <v>571.2</v>
      </c>
      <c r="BL127">
        <f t="shared" si="41"/>
        <v>1627.8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2" cm="1">
        <f t="array" ref="BN127">$G$14+VLOOKUP($R127,武学奇术!$A:$ZZ,16,FALSE)+SUM(_xlfn.XLOOKUP($S127:$AL127,增益!$A:$A,增益!$P:$P,0))</f>
        <v>0.15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1.91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42"/>
        <v>1</v>
      </c>
      <c r="BU127" s="26">
        <f t="shared" si="43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0.11</v>
      </c>
      <c r="BX127" s="26" cm="1">
        <f t="array" ref="BX127">SUM(_xlfn.XLOOKUP($S127:$AL127,增益!$A:$A,增益!$X:$X,0))</f>
        <v>0</v>
      </c>
    </row>
    <row r="128" spans="1:76">
      <c r="A128" s="4" t="s">
        <v>169</v>
      </c>
      <c r="B128" s="4">
        <v>1</v>
      </c>
      <c r="D128" s="39"/>
      <c r="E128" s="39" t="s">
        <v>171</v>
      </c>
      <c r="F128" s="39"/>
      <c r="K128">
        <f>$L128*VLOOKUP($R128,武学奇术!$A:$ZZ,31,FALSE)</f>
        <v>132445.643422006</v>
      </c>
      <c r="L128" s="89">
        <f>(SUM(L103:L127)+L161+L162)*12%*(1+BX128)</f>
        <v>252277.416041916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</f>
        <v>0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</f>
        <v>0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</f>
        <v>0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</f>
        <v>0</v>
      </c>
      <c r="Q128" s="39">
        <v>1</v>
      </c>
      <c r="R128" s="40" t="s">
        <v>175</v>
      </c>
      <c r="S128" s="40" t="s">
        <v>176</v>
      </c>
      <c r="T128" s="40" t="s">
        <v>78</v>
      </c>
      <c r="U128" s="40" t="s">
        <v>78</v>
      </c>
      <c r="V128" s="40" t="s">
        <v>78</v>
      </c>
      <c r="W128" s="40" t="s">
        <v>78</v>
      </c>
      <c r="X128" s="40" t="s">
        <v>78</v>
      </c>
      <c r="Y128" s="40" t="s">
        <v>78</v>
      </c>
      <c r="Z128" s="40" t="s">
        <v>78</v>
      </c>
      <c r="AA128" s="40" t="s">
        <v>78</v>
      </c>
      <c r="AB128" s="40" t="s">
        <v>78</v>
      </c>
      <c r="AC128" s="40" t="s">
        <v>78</v>
      </c>
      <c r="AD128" s="40" t="s">
        <v>78</v>
      </c>
      <c r="AE128" s="40" t="s">
        <v>83</v>
      </c>
      <c r="AF128" s="40" t="s">
        <v>84</v>
      </c>
      <c r="AG128" s="40" t="s">
        <v>85</v>
      </c>
      <c r="AH128" s="40" t="s">
        <v>78</v>
      </c>
      <c r="AI128" s="40" t="s">
        <v>78</v>
      </c>
      <c r="AJ128" s="40" t="s">
        <v>78</v>
      </c>
      <c r="AK128" s="40" t="s">
        <v>78</v>
      </c>
      <c r="AL128" s="40" t="s">
        <v>78</v>
      </c>
      <c r="AM128" t="str">
        <f>VLOOKUP($R128,武学奇术!$A:$ZZ,25,FALSE)</f>
        <v>心法</v>
      </c>
      <c r="AN128" s="26">
        <f>VLOOKUP($R128,武学奇术!$A:$ZZ,26,FALSE)</f>
        <v>0</v>
      </c>
      <c r="AO128" s="27">
        <f>VLOOKUP($R128,武学奇术!$A:$ZZ,27,FALSE)*(1+IF(OR($AM128=$F$4,$AM128=$F$5),$B$22,0))</f>
        <v>0</v>
      </c>
      <c r="AP128" s="26">
        <f>VLOOKUP($R128,武学奇术!$A:$ZZ,28,FALSE)</f>
        <v>0</v>
      </c>
      <c r="AQ128" s="27">
        <f>VLOOKUP($R128,武学奇术!$A:$ZZ,29,FALSE)*(1+IF(OR($AM128=$F$4,$AM128=$F$5),$B$22,0))</f>
        <v>0</v>
      </c>
      <c r="AR128" s="26" cm="1">
        <f t="array" ref="AR128">$G$3+IFERROR(VLOOKUP($AM128,$F$4:$G$7,2,FALSE),0)+VLOOKUP($R128,武学奇术!$A:$ZZ,2,FALSE)+SUM(_xlfn.XLOOKUP($S128:$AL128,增益!$A:$A,增益!$B:$B,0))</f>
        <v>0.1837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3636.6</v>
      </c>
      <c r="AU128" cm="1">
        <f t="array" ref="AU128">$E$10*(1+$AS128)+VLOOKUP($R128,武学奇术!$A:$ZZ,4,FALSE)+SUM(_xlfn.XLOOKUP($S128:$AL128,增益!$A:$A,增益!$D:$D,0))-$I$2</f>
        <v>3636.6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0.2425</v>
      </c>
      <c r="AW128" s="32" cm="1">
        <f t="array" ref="AW128">$G$10+VLOOKUP($R128,武学奇术!$A:$ZZ,7,FALSE)+SUM(_xlfn.XLOOKUP($S128:$AL128,增益!$A:$A,增益!$G:$G,0))</f>
        <v>0.028</v>
      </c>
      <c r="AX128" s="26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2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2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2" cm="1">
        <f t="array" ref="BJ128">$G$13+VLOOKUP($R128,武学奇术!$A:$ZZ,14,FALSE)+SUM(_xlfn.XLOOKUP($S128:$AL128,增益!$A:$A,增益!$N:$N,0))</f>
        <v>0</v>
      </c>
      <c r="BK128">
        <f t="shared" si="40"/>
        <v>571.2</v>
      </c>
      <c r="BL128">
        <f t="shared" si="41"/>
        <v>1627.8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2" cm="1">
        <f t="array" ref="BN128">$G$14+VLOOKUP($R128,武学奇术!$A:$ZZ,16,FALSE)+SUM(_xlfn.XLOOKUP($S128:$AL128,增益!$A:$A,增益!$P:$P,0))</f>
        <v>0.15</v>
      </c>
      <c r="BO128" s="26">
        <f>MIN(IF(VLOOKUP($R128,武学奇术!$A:$ZZ,23,FALSE)=1,100%,$B$8),100%)</f>
        <v>0.981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26" cm="1">
        <f t="array" ref="BQ128">1+$B$13+VLOOKUP($R128,武学奇术!$A:$ZZ,18,FALSE)+SUM(_xlfn.XLOOKUP($S128:$AL128,增益!$A:$A,增益!$R:$R,0))</f>
        <v>1.54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42"/>
        <v>0.829926</v>
      </c>
      <c r="BU128" s="26">
        <f t="shared" si="43"/>
        <v>0.0599391</v>
      </c>
      <c r="BV128" s="26">
        <f>IF(VLOOKUP($R128,武学奇术!$A:$ZZ,22,FALSE)=1,0,(1-$BO128))*(1-$BR128)</f>
        <v>0.0172349</v>
      </c>
      <c r="BW128" s="26" cm="1">
        <f t="array" ref="BW128">SUM(_xlfn.XLOOKUP($S128:$AL128,增益!$A:$A,增益!$W:$W,0))+$I$5</f>
        <v>0.11</v>
      </c>
      <c r="BX128" s="26" cm="1">
        <f t="array" ref="BX128">SUM(_xlfn.XLOOKUP($S128:$AL128,增益!$A:$A,增益!$X:$X,0))</f>
        <v>0</v>
      </c>
    </row>
    <row r="129" spans="1:76">
      <c r="A129" s="4" t="s">
        <v>172</v>
      </c>
      <c r="B129" s="4">
        <v>0.85</v>
      </c>
      <c r="D129" s="39"/>
      <c r="E129" s="39"/>
      <c r="F129" s="39"/>
      <c r="K129">
        <f>$L129*VLOOKUP($R129,武学奇术!$A:$ZZ,31,FALSE)</f>
        <v>33730.0168082488</v>
      </c>
      <c r="L129" s="38">
        <f t="shared" ref="L129:L150" si="45">($M129*$BT129+$N129*$BR129+$O129*$BU129+$P129*$BV129)</f>
        <v>32123.8255316655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</f>
        <v>34062.0302193875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</f>
        <v>27095.0375975387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</f>
        <v>17833.523675072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</f>
        <v>15596.649129745</v>
      </c>
      <c r="Q129" s="39">
        <v>1</v>
      </c>
      <c r="R129" s="40" t="s">
        <v>77</v>
      </c>
      <c r="S129" s="40" t="s">
        <v>78</v>
      </c>
      <c r="T129" s="40" t="s">
        <v>102</v>
      </c>
      <c r="U129" s="40" t="s">
        <v>79</v>
      </c>
      <c r="V129" s="40" t="s">
        <v>88</v>
      </c>
      <c r="W129" s="40" t="s">
        <v>181</v>
      </c>
      <c r="X129" s="40" t="s">
        <v>106</v>
      </c>
      <c r="Y129" s="40" t="s">
        <v>78</v>
      </c>
      <c r="Z129" s="40" t="s">
        <v>78</v>
      </c>
      <c r="AA129" s="40" t="s">
        <v>78</v>
      </c>
      <c r="AB129" s="40" t="s">
        <v>78</v>
      </c>
      <c r="AC129" s="40" t="s">
        <v>92</v>
      </c>
      <c r="AD129" s="40" t="s">
        <v>78</v>
      </c>
      <c r="AE129" s="40" t="s">
        <v>83</v>
      </c>
      <c r="AF129" s="40" t="s">
        <v>84</v>
      </c>
      <c r="AG129" s="40" t="s">
        <v>85</v>
      </c>
      <c r="AH129" s="40" t="s">
        <v>78</v>
      </c>
      <c r="AI129" s="40" t="s">
        <v>78</v>
      </c>
      <c r="AJ129" s="40" t="s">
        <v>78</v>
      </c>
      <c r="AK129" s="40" t="s">
        <v>78</v>
      </c>
      <c r="AL129" s="40" t="s">
        <v>78</v>
      </c>
      <c r="AM129" t="str">
        <f>VLOOKUP($R129,武学奇术!$A:$ZZ,25,FALSE)</f>
        <v>群体奇术</v>
      </c>
      <c r="AN129" s="26">
        <f>VLOOKUP($R129,武学奇术!$A:$ZZ,26,FALSE)</f>
        <v>1.4904</v>
      </c>
      <c r="AO129" s="27">
        <f>VLOOKUP($R129,武学奇术!$A:$ZZ,27,FALSE)*(1+IF(OR($AM129=$F$4,$AM129=$F$5),$B$22,0))</f>
        <v>378</v>
      </c>
      <c r="AP129" s="26">
        <f>VLOOKUP($R129,武学奇术!$A:$ZZ,28,FALSE)</f>
        <v>2.2356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0.4837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3636.6</v>
      </c>
      <c r="AU129" cm="1">
        <f t="array" ref="AU129">$E$10*(1+$AS129)+VLOOKUP($R129,武学奇术!$A:$ZZ,4,FALSE)+SUM(_xlfn.XLOOKUP($S129:$AL129,增益!$A:$A,增益!$D:$D,0))-$I$2</f>
        <v>3636.6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0.3425</v>
      </c>
      <c r="AW129" s="32" cm="1">
        <f t="array" ref="AW129">$G$10+VLOOKUP($R129,武学奇术!$A:$ZZ,7,FALSE)+SUM(_xlfn.XLOOKUP($S129:$AL129,增益!$A:$A,增益!$G:$G,0))</f>
        <v>0.028</v>
      </c>
      <c r="AX129" s="26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2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2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2" cm="1">
        <f t="array" ref="BJ129">$G$13+VLOOKUP($R129,武学奇术!$A:$ZZ,14,FALSE)+SUM(_xlfn.XLOOKUP($S129:$AL129,增益!$A:$A,增益!$N:$N,0))</f>
        <v>0</v>
      </c>
      <c r="BK129">
        <f t="shared" si="40"/>
        <v>571.2</v>
      </c>
      <c r="BL129">
        <f t="shared" si="41"/>
        <v>1627.8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2" cm="1">
        <f t="array" ref="BN129">$G$14+VLOOKUP($R129,武学奇术!$A:$ZZ,16,FALSE)+SUM(_xlfn.XLOOKUP($S129:$AL129,增益!$A:$A,增益!$P:$P,0))</f>
        <v>0.15</v>
      </c>
      <c r="BO129" s="26">
        <f>MIN(IF(VLOOKUP($R129,武学奇术!$A:$ZZ,23,FALSE)=1,100%,$B$8),100%)</f>
        <v>0.981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26" cm="1">
        <f t="array" ref="BQ129">1+$B$13+VLOOKUP($R129,武学奇术!$A:$ZZ,18,FALSE)+SUM(_xlfn.XLOOKUP($S129:$AL129,增益!$A:$A,增益!$R:$R,0))</f>
        <v>1.91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42"/>
        <v>0.829926</v>
      </c>
      <c r="BU129" s="26">
        <f t="shared" si="43"/>
        <v>0.0599391</v>
      </c>
      <c r="BV129" s="26">
        <f>IF(VLOOKUP($R129,武学奇术!$A:$ZZ,22,FALSE)=1,0,(1-$BO129))*(1-$BR129)</f>
        <v>0.0172349</v>
      </c>
      <c r="BW129" s="26" cm="1">
        <f t="array" ref="BW129">SUM(_xlfn.XLOOKUP($S129:$AL129,增益!$A:$A,增益!$W:$W,0))+$I$5</f>
        <v>0.11</v>
      </c>
      <c r="BX129" s="26" cm="1">
        <f t="array" ref="BX129">SUM(_xlfn.XLOOKUP($S129:$AL129,增益!$A:$A,增益!$X:$X,0))</f>
        <v>0</v>
      </c>
    </row>
    <row r="130" spans="1:76">
      <c r="A130" s="4" t="s">
        <v>169</v>
      </c>
      <c r="B130" s="88">
        <v>1</v>
      </c>
      <c r="D130" s="39"/>
      <c r="E130" s="39"/>
      <c r="F130" s="39"/>
      <c r="K130">
        <f>$L130*VLOOKUP($R130,武学奇术!$A:$ZZ,31,FALSE)</f>
        <v>34449.4475226095</v>
      </c>
      <c r="L130" s="38">
        <f t="shared" si="45"/>
        <v>32808.9976405805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</f>
        <v>34773.3741080176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</f>
        <v>27839.402378094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</f>
        <v>18205.9550303757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</f>
        <v>15790.1305214226</v>
      </c>
      <c r="Q130" s="39">
        <v>1</v>
      </c>
      <c r="R130" s="40" t="s">
        <v>77</v>
      </c>
      <c r="S130" s="40" t="s">
        <v>78</v>
      </c>
      <c r="T130" s="40" t="s">
        <v>102</v>
      </c>
      <c r="U130" s="40" t="s">
        <v>79</v>
      </c>
      <c r="V130" s="40" t="s">
        <v>88</v>
      </c>
      <c r="W130" s="40" t="s">
        <v>181</v>
      </c>
      <c r="X130" s="40" t="s">
        <v>106</v>
      </c>
      <c r="Y130" s="40" t="s">
        <v>91</v>
      </c>
      <c r="Z130" s="40" t="s">
        <v>78</v>
      </c>
      <c r="AA130" s="40" t="s">
        <v>78</v>
      </c>
      <c r="AB130" s="40" t="s">
        <v>78</v>
      </c>
      <c r="AC130" s="40" t="s">
        <v>98</v>
      </c>
      <c r="AD130" s="40" t="s">
        <v>78</v>
      </c>
      <c r="AE130" s="40" t="s">
        <v>83</v>
      </c>
      <c r="AF130" s="40" t="s">
        <v>84</v>
      </c>
      <c r="AG130" s="40" t="s">
        <v>85</v>
      </c>
      <c r="AH130" s="40" t="s">
        <v>78</v>
      </c>
      <c r="AI130" s="40" t="s">
        <v>78</v>
      </c>
      <c r="AJ130" s="40" t="s">
        <v>78</v>
      </c>
      <c r="AK130" s="40" t="s">
        <v>78</v>
      </c>
      <c r="AL130" s="40" t="s">
        <v>78</v>
      </c>
      <c r="AM130" t="str">
        <f>VLOOKUP($R130,武学奇术!$A:$ZZ,25,FALSE)</f>
        <v>群体奇术</v>
      </c>
      <c r="AN130" s="26">
        <f>VLOOKUP($R130,武学奇术!$A:$ZZ,26,FALSE)</f>
        <v>1.4904</v>
      </c>
      <c r="AO130" s="27">
        <f>VLOOKUP($R130,武学奇术!$A:$ZZ,27,FALSE)*(1+IF(OR($AM130=$F$4,$AM130=$F$5),$B$22,0))</f>
        <v>378</v>
      </c>
      <c r="AP130" s="26">
        <f>VLOOKUP($R130,武学奇术!$A:$ZZ,28,FALSE)</f>
        <v>2.2356</v>
      </c>
      <c r="AQ130" s="27">
        <f>VLOOKUP($R130,武学奇术!$A:$ZZ,29,FALSE)*(1+IF(OR($AM130=$F$4,$AM130=$F$5),$B$22,0))</f>
        <v>0</v>
      </c>
      <c r="AR130" s="26" cm="1">
        <f t="array" ref="AR130">$G$3+IFERROR(VLOOKUP($AM130,$F$4:$G$7,2,FALSE),0)+VLOOKUP($R130,武学奇术!$A:$ZZ,2,FALSE)+SUM(_xlfn.XLOOKUP($S130:$AL130,增益!$A:$A,增益!$B:$B,0))</f>
        <v>0.4837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3636.6</v>
      </c>
      <c r="AU130" cm="1">
        <f t="array" ref="AU130">$E$10*(1+$AS130)+VLOOKUP($R130,武学奇术!$A:$ZZ,4,FALSE)+SUM(_xlfn.XLOOKUP($S130:$AL130,增益!$A:$A,增益!$D:$D,0))-$I$2</f>
        <v>3636.6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0.3425</v>
      </c>
      <c r="AW130" s="32" cm="1">
        <f t="array" ref="AW130">$G$10+VLOOKUP($R130,武学奇术!$A:$ZZ,7,FALSE)+SUM(_xlfn.XLOOKUP($S130:$AL130,增益!$A:$A,增益!$G:$G,0))</f>
        <v>0.028</v>
      </c>
      <c r="AX130" s="26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2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2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-0.14</v>
      </c>
      <c r="BJ130" s="32" cm="1">
        <f t="array" ref="BJ130">$G$13+VLOOKUP($R130,武学奇术!$A:$ZZ,14,FALSE)+SUM(_xlfn.XLOOKUP($S130:$AL130,增益!$A:$A,增益!$N:$N,0))</f>
        <v>0</v>
      </c>
      <c r="BK130">
        <f t="shared" si="40"/>
        <v>571.2</v>
      </c>
      <c r="BL130">
        <f t="shared" si="41"/>
        <v>1627.8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0.08</v>
      </c>
      <c r="BN130" s="32" cm="1">
        <f t="array" ref="BN130">$G$14+VLOOKUP($R130,武学奇术!$A:$ZZ,16,FALSE)+SUM(_xlfn.XLOOKUP($S130:$AL130,增益!$A:$A,增益!$P:$P,0))</f>
        <v>0.15</v>
      </c>
      <c r="BO130" s="26">
        <f>MIN(IF(VLOOKUP($R130,武学奇术!$A:$ZZ,23,FALSE)=1,100%,$B$8),100%)</f>
        <v>0.981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26" cm="1">
        <f t="array" ref="BQ130">1+$B$13+VLOOKUP($R130,武学奇术!$A:$ZZ,18,FALSE)+SUM(_xlfn.XLOOKUP($S130:$AL130,增益!$A:$A,增益!$R:$R,0))</f>
        <v>1.91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si="42"/>
        <v>0.829926</v>
      </c>
      <c r="BU130" s="26">
        <f t="shared" si="43"/>
        <v>0.0599391</v>
      </c>
      <c r="BV130" s="26">
        <f>IF(VLOOKUP($R130,武学奇术!$A:$ZZ,22,FALSE)=1,0,(1-$BO130))*(1-$BR130)</f>
        <v>0.0172349</v>
      </c>
      <c r="BW130" s="26" cm="1">
        <f t="array" ref="BW130">SUM(_xlfn.XLOOKUP($S130:$AL130,增益!$A:$A,增益!$W:$W,0))+$I$5</f>
        <v>0.11</v>
      </c>
      <c r="BX130" s="26" cm="1">
        <f t="array" ref="BX130">SUM(_xlfn.XLOOKUP($S130:$AL130,增益!$A:$A,增益!$X:$X,0))</f>
        <v>0</v>
      </c>
    </row>
    <row r="131" spans="1:76">
      <c r="A131" s="4" t="s">
        <v>169</v>
      </c>
      <c r="B131" s="4">
        <v>1</v>
      </c>
      <c r="D131" s="39"/>
      <c r="E131" s="39"/>
      <c r="F131" s="39"/>
      <c r="K131">
        <f>$L131*VLOOKUP($R131,武学奇术!$A:$ZZ,31,FALSE)</f>
        <v>81313.1103686818</v>
      </c>
      <c r="L131" s="38">
        <f t="shared" si="45"/>
        <v>77441.0574939827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</f>
        <v>82077.6938405462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</f>
        <v>65711.0218293751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</f>
        <v>42972.6145762022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</f>
        <v>37270.3981676821</v>
      </c>
      <c r="Q131" s="39">
        <v>2</v>
      </c>
      <c r="R131" s="40" t="s">
        <v>77</v>
      </c>
      <c r="S131" s="40" t="s">
        <v>78</v>
      </c>
      <c r="T131" s="40" t="s">
        <v>102</v>
      </c>
      <c r="U131" s="40" t="s">
        <v>79</v>
      </c>
      <c r="V131" s="40" t="s">
        <v>88</v>
      </c>
      <c r="W131" s="40" t="s">
        <v>181</v>
      </c>
      <c r="X131" s="40" t="s">
        <v>106</v>
      </c>
      <c r="Y131" s="40" t="s">
        <v>91</v>
      </c>
      <c r="Z131" s="40" t="s">
        <v>185</v>
      </c>
      <c r="AA131" s="40" t="s">
        <v>186</v>
      </c>
      <c r="AB131" s="40" t="s">
        <v>78</v>
      </c>
      <c r="AC131" s="40" t="s">
        <v>98</v>
      </c>
      <c r="AD131" s="40" t="s">
        <v>78</v>
      </c>
      <c r="AE131" s="40" t="s">
        <v>83</v>
      </c>
      <c r="AF131" s="40" t="s">
        <v>84</v>
      </c>
      <c r="AG131" s="40" t="s">
        <v>85</v>
      </c>
      <c r="AH131" s="40" t="s">
        <v>78</v>
      </c>
      <c r="AI131" s="40" t="s">
        <v>78</v>
      </c>
      <c r="AJ131" s="40" t="s">
        <v>78</v>
      </c>
      <c r="AK131" s="40" t="s">
        <v>78</v>
      </c>
      <c r="AL131" s="40" t="s">
        <v>78</v>
      </c>
      <c r="AM131" t="str">
        <f>VLOOKUP($R131,武学奇术!$A:$ZZ,25,FALSE)</f>
        <v>群体奇术</v>
      </c>
      <c r="AN131" s="26">
        <f>VLOOKUP($R131,武学奇术!$A:$ZZ,26,FALSE)</f>
        <v>1.4904</v>
      </c>
      <c r="AO131" s="27">
        <f>VLOOKUP($R131,武学奇术!$A:$ZZ,27,FALSE)*(1+IF(OR($AM131=$F$4,$AM131=$F$5),$B$22,0))</f>
        <v>378</v>
      </c>
      <c r="AP131" s="26">
        <f>VLOOKUP($R131,武学奇术!$A:$ZZ,28,FALSE)</f>
        <v>2.2356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0.4837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3636.6</v>
      </c>
      <c r="AU131" cm="1">
        <f t="array" ref="AU131">$E$10*(1+$AS131)+VLOOKUP($R131,武学奇术!$A:$ZZ,4,FALSE)+SUM(_xlfn.XLOOKUP($S131:$AL131,增益!$A:$A,增益!$D:$D,0))-$I$2</f>
        <v>3636.6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0.3425</v>
      </c>
      <c r="AW131" s="32" cm="1">
        <f t="array" ref="AW131">$G$10+VLOOKUP($R131,武学奇术!$A:$ZZ,7,FALSE)+SUM(_xlfn.XLOOKUP($S131:$AL131,增益!$A:$A,增益!$G:$G,0))</f>
        <v>0.028</v>
      </c>
      <c r="AX131" s="26" cm="1">
        <f t="array" ref="AX131">VLOOKUP($R131,武学奇术!$A:$ZZ,8,FALSE)+SUM(_xlfn.XLOOKUP($S131:$AL131,增益!$A:$A,增益!$H:$H,0))</f>
        <v>0</v>
      </c>
      <c r="AY131">
        <f t="shared" ref="AY131:AY164" si="46">$D$11*(1+$AX131)</f>
        <v>0</v>
      </c>
      <c r="AZ131">
        <f t="shared" ref="AZ131:AZ164" si="47">$E$11*(1+$AX131)</f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2" cm="1">
        <f t="array" ref="BB131">$G$11+VLOOKUP($R131,武学奇术!$A:$ZZ,10,FALSE)+SUM(_xlfn.XLOOKUP($S131:$AL131,增益!$A:$A,增益!$J:$J,0))</f>
        <v>0.1</v>
      </c>
      <c r="BC131">
        <f t="shared" ref="BC131:BC164" si="48">$D$12*(1+$AX131)</f>
        <v>0</v>
      </c>
      <c r="BD131">
        <f t="shared" ref="BD131:BD164" si="49">$E$12*(1+$AX131)</f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2" cm="1">
        <f t="array" ref="BF131">$G$12+VLOOKUP($R131,武学奇术!$A:$ZZ,12,FALSE)+SUM(_xlfn.XLOOKUP($S131:$AL131,增益!$A:$A,增益!$L:$L,0))</f>
        <v>0</v>
      </c>
      <c r="BG131">
        <f t="shared" ref="BG131:BG164" si="50">$D$13*(1+$AX131)</f>
        <v>0</v>
      </c>
      <c r="BH131">
        <f t="shared" ref="BH131:BH164" si="51">$E$13*(1+$AX131)</f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2" cm="1">
        <f t="array" ref="BJ131">$G$13+VLOOKUP($R131,武学奇术!$A:$ZZ,14,FALSE)+SUM(_xlfn.XLOOKUP($S131:$AL131,增益!$A:$A,增益!$N:$N,0))</f>
        <v>0</v>
      </c>
      <c r="BK131">
        <f t="shared" ref="BK131:BK164" si="52">$D$14*(1+$AX131)</f>
        <v>571.2</v>
      </c>
      <c r="BL131">
        <f t="shared" ref="BL131:BL164" si="53">$E$14*(1+$AX131)</f>
        <v>1627.8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2" cm="1">
        <f t="array" ref="BN131">$G$14+VLOOKUP($R131,武学奇术!$A:$ZZ,16,FALSE)+SUM(_xlfn.XLOOKUP($S131:$AL131,增益!$A:$A,增益!$P:$P,0))</f>
        <v>0.15</v>
      </c>
      <c r="BO131" s="26">
        <f>MIN(IF(VLOOKUP($R131,武学奇术!$A:$ZZ,23,FALSE)=1,100%,$B$8),100%)</f>
        <v>0.981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26" cm="1">
        <f t="array" ref="BQ131">1+$B$13+VLOOKUP($R131,武学奇术!$A:$ZZ,18,FALSE)+SUM(_xlfn.XLOOKUP($S131:$AL131,增益!$A:$A,增益!$R:$R,0))</f>
        <v>1.91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ref="BT131:BT164" si="54">MIN((1-BR131)*BO131,BO131*BP131)</f>
        <v>0.829926</v>
      </c>
      <c r="BU131" s="26">
        <f t="shared" ref="BU131:BU164" si="55">1-BR131-BT131-BV131</f>
        <v>0.0599391</v>
      </c>
      <c r="BV131" s="26">
        <f>IF(VLOOKUP($R131,武学奇术!$A:$ZZ,22,FALSE)=1,0,(1-$BO131))*(1-$BR131)</f>
        <v>0.0172349</v>
      </c>
      <c r="BW131" s="26" cm="1">
        <f t="array" ref="BW131">SUM(_xlfn.XLOOKUP($S131:$AL131,增益!$A:$A,增益!$W:$W,0))+$I$5</f>
        <v>0.31</v>
      </c>
      <c r="BX131" s="26" cm="1">
        <f t="array" ref="BX131">SUM(_xlfn.XLOOKUP($S131:$AL131,增益!$A:$A,增益!$X:$X,0))</f>
        <v>0</v>
      </c>
    </row>
    <row r="132" spans="1:76">
      <c r="A132" s="4" t="s">
        <v>172</v>
      </c>
      <c r="B132" s="4">
        <v>0.85</v>
      </c>
      <c r="C132" s="39" t="s">
        <v>188</v>
      </c>
      <c r="D132" s="39"/>
      <c r="E132" s="39"/>
      <c r="F132" s="39"/>
      <c r="K132">
        <f>$L132*VLOOKUP($R132,武学奇术!$A:$ZZ,31,FALSE)</f>
        <v>72638.3146635313</v>
      </c>
      <c r="L132" s="38">
        <f t="shared" si="45"/>
        <v>69179.3472986012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</f>
        <v>73400.2651852237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</f>
        <v>57834.5048217051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</f>
        <v>38429.458212159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</f>
        <v>34018.5424823142</v>
      </c>
      <c r="Q132" s="39">
        <v>1</v>
      </c>
      <c r="R132" s="40" t="s">
        <v>115</v>
      </c>
      <c r="S132" s="40" t="s">
        <v>116</v>
      </c>
      <c r="T132" s="40" t="s">
        <v>102</v>
      </c>
      <c r="U132" s="40" t="s">
        <v>79</v>
      </c>
      <c r="V132" s="40" t="s">
        <v>78</v>
      </c>
      <c r="W132" s="40" t="s">
        <v>181</v>
      </c>
      <c r="X132" s="40" t="s">
        <v>106</v>
      </c>
      <c r="Y132" s="40" t="s">
        <v>78</v>
      </c>
      <c r="Z132" s="40" t="s">
        <v>78</v>
      </c>
      <c r="AA132" s="40" t="s">
        <v>78</v>
      </c>
      <c r="AB132" s="40" t="s">
        <v>78</v>
      </c>
      <c r="AC132" s="40" t="s">
        <v>92</v>
      </c>
      <c r="AD132" s="40" t="s">
        <v>78</v>
      </c>
      <c r="AE132" s="40" t="s">
        <v>83</v>
      </c>
      <c r="AF132" s="40" t="s">
        <v>84</v>
      </c>
      <c r="AG132" s="40" t="s">
        <v>85</v>
      </c>
      <c r="AH132" s="40" t="s">
        <v>78</v>
      </c>
      <c r="AI132" s="40" t="s">
        <v>78</v>
      </c>
      <c r="AJ132" s="40" t="s">
        <v>78</v>
      </c>
      <c r="AK132" s="40" t="s">
        <v>78</v>
      </c>
      <c r="AL132" s="40" t="s">
        <v>78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750</v>
      </c>
      <c r="AP132" s="26">
        <f>VLOOKUP($R132,武学奇术!$A:$ZZ,28,FALSE)</f>
        <v>2.7126</v>
      </c>
      <c r="AQ132" s="27">
        <f>VLOOKUP($R132,武学奇术!$A:$ZZ,29,FALSE)*(1+IF(OR($AM132=$F$4,$AM132=$F$5),$B$22,0))</f>
        <v>408</v>
      </c>
      <c r="AR132" s="26" cm="1">
        <f t="array" ref="AR132">$G$3+IFERROR(VLOOKUP($AM132,$F$4:$G$7,2,FALSE),0)+VLOOKUP($R132,武学奇术!$A:$ZZ,2,FALSE)+SUM(_xlfn.XLOOKUP($S132:$AL132,增益!$A:$A,增益!$B:$B,0))</f>
        <v>0.6541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3636.6</v>
      </c>
      <c r="AU132" cm="1">
        <f t="array" ref="AU132">$E$10*(1+$AS132)+VLOOKUP($R132,武学奇术!$A:$ZZ,4,FALSE)+SUM(_xlfn.XLOOKUP($S132:$AL132,增益!$A:$A,增益!$D:$D,0))-$I$2</f>
        <v>3636.6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0.3425</v>
      </c>
      <c r="AW132" s="32" cm="1">
        <f t="array" ref="AW132">$G$10+VLOOKUP($R132,武学奇术!$A:$ZZ,7,FALSE)+SUM(_xlfn.XLOOKUP($S132:$AL132,增益!$A:$A,增益!$G:$G,0))</f>
        <v>0.148</v>
      </c>
      <c r="AX132" s="26" cm="1">
        <f t="array" ref="AX132">VLOOKUP($R132,武学奇术!$A:$ZZ,8,FALSE)+SUM(_xlfn.XLOOKUP($S132:$AL132,增益!$A:$A,增益!$H:$H,0))</f>
        <v>0</v>
      </c>
      <c r="AY132">
        <f t="shared" si="46"/>
        <v>0</v>
      </c>
      <c r="AZ132">
        <f t="shared" si="47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2" cm="1">
        <f t="array" ref="BB132">$G$11+VLOOKUP($R132,武学奇术!$A:$ZZ,10,FALSE)+SUM(_xlfn.XLOOKUP($S132:$AL132,增益!$A:$A,增益!$J:$J,0))</f>
        <v>0</v>
      </c>
      <c r="BC132">
        <f t="shared" si="48"/>
        <v>0</v>
      </c>
      <c r="BD132">
        <f t="shared" si="49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2" cm="1">
        <f t="array" ref="BF132">$G$12+VLOOKUP($R132,武学奇术!$A:$ZZ,12,FALSE)+SUM(_xlfn.XLOOKUP($S132:$AL132,增益!$A:$A,增益!$L:$L,0))</f>
        <v>0</v>
      </c>
      <c r="BG132">
        <f t="shared" si="50"/>
        <v>0</v>
      </c>
      <c r="BH132">
        <f t="shared" si="51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2" cm="1">
        <f t="array" ref="BJ132">$G$13+VLOOKUP($R132,武学奇术!$A:$ZZ,14,FALSE)+SUM(_xlfn.XLOOKUP($S132:$AL132,增益!$A:$A,增益!$N:$N,0))</f>
        <v>0</v>
      </c>
      <c r="BK132">
        <f t="shared" si="52"/>
        <v>571.2</v>
      </c>
      <c r="BL132">
        <f t="shared" si="53"/>
        <v>1627.8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2" cm="1">
        <f t="array" ref="BN132">$G$14+VLOOKUP($R132,武学奇术!$A:$ZZ,16,FALSE)+SUM(_xlfn.XLOOKUP($S132:$AL132,增益!$A:$A,增益!$P:$P,0))</f>
        <v>0.27</v>
      </c>
      <c r="BO132" s="26">
        <f>MIN(IF(VLOOKUP($R132,武学奇术!$A:$ZZ,23,FALSE)=1,100%,$B$8),100%)</f>
        <v>0.981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26" cm="1">
        <f t="array" ref="BQ132">1+$B$13+VLOOKUP($R132,武学奇术!$A:$ZZ,18,FALSE)+SUM(_xlfn.XLOOKUP($S132:$AL132,增益!$A:$A,增益!$R:$R,0))</f>
        <v>1.91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54"/>
        <v>0.829926</v>
      </c>
      <c r="BU132" s="26">
        <f t="shared" si="55"/>
        <v>0.0599391</v>
      </c>
      <c r="BV132" s="26">
        <f>IF(VLOOKUP($R132,武学奇术!$A:$ZZ,22,FALSE)=1,0,(1-$BO132))*(1-$BR132)</f>
        <v>0.0172349</v>
      </c>
      <c r="BW132" s="26" cm="1">
        <f t="array" ref="BW132">SUM(_xlfn.XLOOKUP($S132:$AL132,增益!$A:$A,增益!$W:$W,0))+$I$5</f>
        <v>0.11</v>
      </c>
      <c r="BX132" s="26" cm="1">
        <f t="array" ref="BX132">SUM(_xlfn.XLOOKUP($S132:$AL132,增益!$A:$A,增益!$X:$X,0))</f>
        <v>0</v>
      </c>
    </row>
    <row r="133" spans="1:76">
      <c r="A133" s="4" t="s">
        <v>169</v>
      </c>
      <c r="B133" s="88">
        <v>1</v>
      </c>
      <c r="C133" s="39"/>
      <c r="D133" s="39"/>
      <c r="E133" s="39"/>
      <c r="F133" s="39"/>
      <c r="K133">
        <f>$L133*VLOOKUP($R133,武学奇术!$A:$ZZ,31,FALSE)</f>
        <v>42738.4567323424</v>
      </c>
      <c r="L133" s="38">
        <f t="shared" si="45"/>
        <v>40703.2921260403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</f>
        <v>43145.4488008936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</f>
        <v>34481.7118584528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</f>
        <v>22589.2402098919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</f>
        <v>19636.4716357448</v>
      </c>
      <c r="Q133" s="39">
        <v>2</v>
      </c>
      <c r="R133" s="40" t="s">
        <v>119</v>
      </c>
      <c r="S133" s="40" t="s">
        <v>116</v>
      </c>
      <c r="T133" s="40" t="s">
        <v>102</v>
      </c>
      <c r="U133" s="40" t="s">
        <v>79</v>
      </c>
      <c r="V133" s="40" t="s">
        <v>78</v>
      </c>
      <c r="W133" s="40" t="s">
        <v>181</v>
      </c>
      <c r="X133" s="40" t="s">
        <v>106</v>
      </c>
      <c r="Y133" s="40" t="s">
        <v>78</v>
      </c>
      <c r="Z133" s="40" t="s">
        <v>78</v>
      </c>
      <c r="AA133" s="40" t="s">
        <v>78</v>
      </c>
      <c r="AB133" s="40" t="s">
        <v>78</v>
      </c>
      <c r="AC133" s="40" t="s">
        <v>92</v>
      </c>
      <c r="AD133" s="40" t="s">
        <v>78</v>
      </c>
      <c r="AE133" s="40" t="s">
        <v>83</v>
      </c>
      <c r="AF133" s="40" t="s">
        <v>84</v>
      </c>
      <c r="AG133" s="40" t="s">
        <v>85</v>
      </c>
      <c r="AH133" s="40" t="s">
        <v>78</v>
      </c>
      <c r="AI133" s="40" t="s">
        <v>78</v>
      </c>
      <c r="AJ133" s="40" t="s">
        <v>78</v>
      </c>
      <c r="AK133" s="40" t="s">
        <v>78</v>
      </c>
      <c r="AL133" s="40" t="s">
        <v>78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0.8541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3636.6</v>
      </c>
      <c r="AU133" cm="1">
        <f t="array" ref="AU133">$E$10*(1+$AS133)+VLOOKUP($R133,武学奇术!$A:$ZZ,4,FALSE)+SUM(_xlfn.XLOOKUP($S133:$AL133,增益!$A:$A,增益!$D:$D,0))-$I$2</f>
        <v>3636.6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0.3425</v>
      </c>
      <c r="AW133" s="32" cm="1">
        <f t="array" ref="AW133">$G$10+VLOOKUP($R133,武学奇术!$A:$ZZ,7,FALSE)+SUM(_xlfn.XLOOKUP($S133:$AL133,增益!$A:$A,增益!$G:$G,0))</f>
        <v>0.148</v>
      </c>
      <c r="AX133" s="26" cm="1">
        <f t="array" ref="AX133">VLOOKUP($R133,武学奇术!$A:$ZZ,8,FALSE)+SUM(_xlfn.XLOOKUP($S133:$AL133,增益!$A:$A,增益!$H:$H,0))</f>
        <v>0</v>
      </c>
      <c r="AY133">
        <f t="shared" si="46"/>
        <v>0</v>
      </c>
      <c r="AZ133">
        <f t="shared" si="47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2" cm="1">
        <f t="array" ref="BB133">$G$11+VLOOKUP($R133,武学奇术!$A:$ZZ,10,FALSE)+SUM(_xlfn.XLOOKUP($S133:$AL133,增益!$A:$A,增益!$J:$J,0))</f>
        <v>0</v>
      </c>
      <c r="BC133">
        <f t="shared" si="48"/>
        <v>0</v>
      </c>
      <c r="BD133">
        <f t="shared" si="49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2" cm="1">
        <f t="array" ref="BF133">$G$12+VLOOKUP($R133,武学奇术!$A:$ZZ,12,FALSE)+SUM(_xlfn.XLOOKUP($S133:$AL133,增益!$A:$A,增益!$L:$L,0))</f>
        <v>0</v>
      </c>
      <c r="BG133">
        <f t="shared" si="50"/>
        <v>0</v>
      </c>
      <c r="BH133">
        <f t="shared" si="51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2" cm="1">
        <f t="array" ref="BJ133">$G$13+VLOOKUP($R133,武学奇术!$A:$ZZ,14,FALSE)+SUM(_xlfn.XLOOKUP($S133:$AL133,增益!$A:$A,增益!$N:$N,0))</f>
        <v>0</v>
      </c>
      <c r="BK133">
        <f t="shared" si="52"/>
        <v>571.2</v>
      </c>
      <c r="BL133">
        <f t="shared" si="53"/>
        <v>1627.8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2" cm="1">
        <f t="array" ref="BN133">$G$14+VLOOKUP($R133,武学奇术!$A:$ZZ,16,FALSE)+SUM(_xlfn.XLOOKUP($S133:$AL133,增益!$A:$A,增益!$P:$P,0))</f>
        <v>0.27</v>
      </c>
      <c r="BO133" s="26">
        <f>MIN(IF(VLOOKUP($R133,武学奇术!$A:$ZZ,23,FALSE)=1,100%,$B$8),100%)</f>
        <v>0.981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26" cm="1">
        <f t="array" ref="BQ133">1+$B$13+VLOOKUP($R133,武学奇术!$A:$ZZ,18,FALSE)+SUM(_xlfn.XLOOKUP($S133:$AL133,增益!$A:$A,增益!$R:$R,0))</f>
        <v>1.91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54"/>
        <v>0.829926</v>
      </c>
      <c r="BU133" s="26">
        <f t="shared" si="55"/>
        <v>0.0599391</v>
      </c>
      <c r="BV133" s="26">
        <f>IF(VLOOKUP($R133,武学奇术!$A:$ZZ,22,FALSE)=1,0,(1-$BO133))*(1-$BR133)</f>
        <v>0.0172349</v>
      </c>
      <c r="BW133" s="26" cm="1">
        <f t="array" ref="BW133">SUM(_xlfn.XLOOKUP($S133:$AL133,增益!$A:$A,增益!$W:$W,0))+$I$5</f>
        <v>0.11</v>
      </c>
      <c r="BX133" s="26" cm="1">
        <f t="array" ref="BX133">SUM(_xlfn.XLOOKUP($S133:$AL133,增益!$A:$A,增益!$X:$X,0))</f>
        <v>0</v>
      </c>
    </row>
    <row r="134" spans="1:76">
      <c r="A134" s="4" t="s">
        <v>169</v>
      </c>
      <c r="B134" s="4">
        <v>1</v>
      </c>
      <c r="C134" s="39"/>
      <c r="D134" s="39"/>
      <c r="F134" s="39"/>
      <c r="K134">
        <f>$L134*VLOOKUP($R134,武学奇术!$A:$ZZ,31,FALSE)</f>
        <v>85632.5185424377</v>
      </c>
      <c r="L134" s="38">
        <f t="shared" si="45"/>
        <v>81554.7795642264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</f>
        <v>86814.2454821675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</f>
        <v>66700.7076657963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</f>
        <v>44068.1449148059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</f>
        <v>38728.3582253181</v>
      </c>
      <c r="Q134" s="39">
        <v>1</v>
      </c>
      <c r="R134" s="40" t="s">
        <v>115</v>
      </c>
      <c r="S134" s="40" t="s">
        <v>116</v>
      </c>
      <c r="T134" s="40" t="s">
        <v>102</v>
      </c>
      <c r="U134" s="40" t="s">
        <v>79</v>
      </c>
      <c r="V134" s="40" t="s">
        <v>88</v>
      </c>
      <c r="W134" s="40" t="s">
        <v>181</v>
      </c>
      <c r="X134" s="40" t="s">
        <v>106</v>
      </c>
      <c r="Y134" s="40" t="s">
        <v>91</v>
      </c>
      <c r="Z134" s="40" t="s">
        <v>78</v>
      </c>
      <c r="AA134" s="40" t="s">
        <v>78</v>
      </c>
      <c r="AB134" s="40" t="s">
        <v>122</v>
      </c>
      <c r="AC134" s="40" t="s">
        <v>92</v>
      </c>
      <c r="AD134" s="40" t="s">
        <v>78</v>
      </c>
      <c r="AE134" s="40" t="s">
        <v>83</v>
      </c>
      <c r="AF134" s="40" t="s">
        <v>84</v>
      </c>
      <c r="AG134" s="40" t="s">
        <v>85</v>
      </c>
      <c r="AH134" s="40" t="s">
        <v>78</v>
      </c>
      <c r="AI134" s="40" t="s">
        <v>78</v>
      </c>
      <c r="AJ134" s="40" t="s">
        <v>78</v>
      </c>
      <c r="AK134" s="40" t="s">
        <v>78</v>
      </c>
      <c r="AL134" s="40" t="s">
        <v>78</v>
      </c>
      <c r="AM134" t="str">
        <f>VLOOKUP($R134,武学奇术!$A:$ZZ,25,FALSE)</f>
        <v>伞</v>
      </c>
      <c r="AN134" s="26">
        <f>VLOOKUP($R134,武学奇术!$A:$ZZ,26,FALSE)</f>
        <v>1.8084</v>
      </c>
      <c r="AO134" s="27">
        <f>VLOOKUP($R134,武学奇术!$A:$ZZ,27,FALSE)*(1+IF(OR($AM134=$F$4,$AM134=$F$5),$B$22,0))</f>
        <v>750</v>
      </c>
      <c r="AP134" s="26">
        <f>VLOOKUP($R134,武学奇术!$A:$ZZ,28,FALSE)</f>
        <v>2.7126</v>
      </c>
      <c r="AQ134" s="27">
        <f>VLOOKUP($R134,武学奇术!$A:$ZZ,29,FALSE)*(1+IF(OR($AM134=$F$4,$AM134=$F$5),$B$22,0))</f>
        <v>408</v>
      </c>
      <c r="AR134" s="26" cm="1">
        <f t="array" ref="AR134">$G$3+IFERROR(VLOOKUP($AM134,$F$4:$G$7,2,FALSE),0)+VLOOKUP($R134,武学奇术!$A:$ZZ,2,FALSE)+SUM(_xlfn.XLOOKUP($S134:$AL134,增益!$A:$A,增益!$B:$B,0))</f>
        <v>0.8541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3636.6</v>
      </c>
      <c r="AU134" cm="1">
        <f t="array" ref="AU134">$E$10*(1+$AS134)+VLOOKUP($R134,武学奇术!$A:$ZZ,4,FALSE)+SUM(_xlfn.XLOOKUP($S134:$AL134,增益!$A:$A,增益!$D:$D,0))-$I$2</f>
        <v>3636.6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0.3425</v>
      </c>
      <c r="AW134" s="32" cm="1">
        <f t="array" ref="AW134">$G$10+VLOOKUP($R134,武学奇术!$A:$ZZ,7,FALSE)+SUM(_xlfn.XLOOKUP($S134:$AL134,增益!$A:$A,增益!$G:$G,0))</f>
        <v>0.148</v>
      </c>
      <c r="AX134" s="26" cm="1">
        <f t="array" ref="AX134">VLOOKUP($R134,武学奇术!$A:$ZZ,8,FALSE)+SUM(_xlfn.XLOOKUP($S134:$AL134,增益!$A:$A,增益!$H:$H,0))</f>
        <v>0</v>
      </c>
      <c r="AY134">
        <f t="shared" si="46"/>
        <v>0</v>
      </c>
      <c r="AZ134">
        <f t="shared" si="47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2" cm="1">
        <f t="array" ref="BB134">$G$11+VLOOKUP($R134,武学奇术!$A:$ZZ,10,FALSE)+SUM(_xlfn.XLOOKUP($S134:$AL134,增益!$A:$A,增益!$J:$J,0))</f>
        <v>0</v>
      </c>
      <c r="BC134">
        <f t="shared" si="48"/>
        <v>0</v>
      </c>
      <c r="BD134">
        <f t="shared" si="49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2" cm="1">
        <f t="array" ref="BF134">$G$12+VLOOKUP($R134,武学奇术!$A:$ZZ,12,FALSE)+SUM(_xlfn.XLOOKUP($S134:$AL134,增益!$A:$A,增益!$L:$L,0))</f>
        <v>0</v>
      </c>
      <c r="BG134">
        <f t="shared" si="50"/>
        <v>0</v>
      </c>
      <c r="BH134">
        <f t="shared" si="51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2" cm="1">
        <f t="array" ref="BJ134">$G$13+VLOOKUP($R134,武学奇术!$A:$ZZ,14,FALSE)+SUM(_xlfn.XLOOKUP($S134:$AL134,增益!$A:$A,增益!$N:$N,0))</f>
        <v>0</v>
      </c>
      <c r="BK134">
        <f t="shared" si="52"/>
        <v>571.2</v>
      </c>
      <c r="BL134">
        <f t="shared" si="53"/>
        <v>1627.8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2" cm="1">
        <f t="array" ref="BN134">$G$14+VLOOKUP($R134,武学奇术!$A:$ZZ,16,FALSE)+SUM(_xlfn.XLOOKUP($S134:$AL134,增益!$A:$A,增益!$P:$P,0))</f>
        <v>0.27</v>
      </c>
      <c r="BO134" s="26">
        <f>MIN(IF(VLOOKUP($R134,武学奇术!$A:$ZZ,23,FALSE)=1,100%,$B$8),100%)</f>
        <v>0.981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26" cm="1">
        <f t="array" ref="BQ134">1+$B$13+VLOOKUP($R134,武学奇术!$A:$ZZ,18,FALSE)+SUM(_xlfn.XLOOKUP($S134:$AL134,增益!$A:$A,增益!$R:$R,0))</f>
        <v>1.97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54"/>
        <v>0.829926</v>
      </c>
      <c r="BU134" s="26">
        <f t="shared" si="55"/>
        <v>0.0599391</v>
      </c>
      <c r="BV134" s="26">
        <f>IF(VLOOKUP($R134,武学奇术!$A:$ZZ,22,FALSE)=1,0,(1-$BO134))*(1-$BR134)</f>
        <v>0.0172349</v>
      </c>
      <c r="BW134" s="26" cm="1">
        <f t="array" ref="BW134">SUM(_xlfn.XLOOKUP($S134:$AL134,增益!$A:$A,增益!$W:$W,0))+$I$5</f>
        <v>0.11</v>
      </c>
      <c r="BX134" s="26" cm="1">
        <f t="array" ref="BX134">SUM(_xlfn.XLOOKUP($S134:$AL134,增益!$A:$A,增益!$X:$X,0))</f>
        <v>0</v>
      </c>
    </row>
    <row r="135" spans="1:76">
      <c r="A135" s="4" t="s">
        <v>172</v>
      </c>
      <c r="B135" s="4">
        <v>0.85</v>
      </c>
      <c r="C135" s="39"/>
      <c r="D135" s="39"/>
      <c r="F135" s="39"/>
      <c r="K135">
        <f>$L135*VLOOKUP($R135,武学奇术!$A:$ZZ,31,FALSE)</f>
        <v>49737.6993319199</v>
      </c>
      <c r="L135" s="38">
        <f t="shared" si="45"/>
        <v>47369.2374589713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</f>
        <v>50374.0351525566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</f>
        <v>39289.8054576382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</f>
        <v>25570.5762195719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</f>
        <v>22037.5928408932</v>
      </c>
      <c r="Q135" s="39">
        <v>2</v>
      </c>
      <c r="R135" s="40" t="s">
        <v>119</v>
      </c>
      <c r="S135" s="40" t="s">
        <v>116</v>
      </c>
      <c r="T135" s="40" t="s">
        <v>102</v>
      </c>
      <c r="U135" s="40" t="s">
        <v>79</v>
      </c>
      <c r="V135" s="40" t="s">
        <v>88</v>
      </c>
      <c r="W135" s="40" t="s">
        <v>181</v>
      </c>
      <c r="X135" s="40" t="s">
        <v>106</v>
      </c>
      <c r="Y135" s="40" t="s">
        <v>91</v>
      </c>
      <c r="Z135" s="40" t="s">
        <v>78</v>
      </c>
      <c r="AA135" s="40" t="s">
        <v>78</v>
      </c>
      <c r="AB135" s="40" t="s">
        <v>122</v>
      </c>
      <c r="AC135" s="40" t="s">
        <v>92</v>
      </c>
      <c r="AD135" s="40" t="s">
        <v>78</v>
      </c>
      <c r="AE135" s="40" t="s">
        <v>83</v>
      </c>
      <c r="AF135" s="40" t="s">
        <v>84</v>
      </c>
      <c r="AG135" s="40" t="s">
        <v>85</v>
      </c>
      <c r="AH135" s="40" t="s">
        <v>78</v>
      </c>
      <c r="AI135" s="40" t="s">
        <v>78</v>
      </c>
      <c r="AJ135" s="40" t="s">
        <v>78</v>
      </c>
      <c r="AK135" s="40" t="s">
        <v>78</v>
      </c>
      <c r="AL135" s="40" t="s">
        <v>78</v>
      </c>
      <c r="AM135" t="str">
        <f>VLOOKUP($R135,武学奇术!$A:$ZZ,25,FALSE)</f>
        <v>伞</v>
      </c>
      <c r="AN135" s="26">
        <f>VLOOKUP($R135,武学奇术!$A:$ZZ,26,FALSE)</f>
        <v>0.54</v>
      </c>
      <c r="AO135" s="27">
        <f>VLOOKUP($R135,武学奇术!$A:$ZZ,27,FALSE)*(1+IF(OR($AM135=$F$4,$AM135=$F$5),$B$22,0))</f>
        <v>0</v>
      </c>
      <c r="AP135" s="26">
        <f>VLOOKUP($R135,武学奇术!$A:$ZZ,28,FALSE)</f>
        <v>0.81</v>
      </c>
      <c r="AQ135" s="27">
        <f>VLOOKUP($R135,武学奇术!$A:$ZZ,29,FALSE)*(1+IF(OR($AM135=$F$4,$AM135=$F$5),$B$22,0))</f>
        <v>0</v>
      </c>
      <c r="AR135" s="26" cm="1">
        <f t="array" ref="AR135">$G$3+IFERROR(VLOOKUP($AM135,$F$4:$G$7,2,FALSE),0)+VLOOKUP($R135,武学奇术!$A:$ZZ,2,FALSE)+SUM(_xlfn.XLOOKUP($S135:$AL135,增益!$A:$A,增益!$B:$B,0))</f>
        <v>1.0541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3636.6</v>
      </c>
      <c r="AU135" cm="1">
        <f t="array" ref="AU135">$E$10*(1+$AS135)+VLOOKUP($R135,武学奇术!$A:$ZZ,4,FALSE)+SUM(_xlfn.XLOOKUP($S135:$AL135,增益!$A:$A,增益!$D:$D,0))-$I$2</f>
        <v>3636.6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0.3425</v>
      </c>
      <c r="AW135" s="32" cm="1">
        <f t="array" ref="AW135">$G$10+VLOOKUP($R135,武学奇术!$A:$ZZ,7,FALSE)+SUM(_xlfn.XLOOKUP($S135:$AL135,增益!$A:$A,增益!$G:$G,0))</f>
        <v>0.148</v>
      </c>
      <c r="AX135" s="26" cm="1">
        <f t="array" ref="AX135">VLOOKUP($R135,武学奇术!$A:$ZZ,8,FALSE)+SUM(_xlfn.XLOOKUP($S135:$AL135,增益!$A:$A,增益!$H:$H,0))</f>
        <v>0</v>
      </c>
      <c r="AY135">
        <f t="shared" si="46"/>
        <v>0</v>
      </c>
      <c r="AZ135">
        <f t="shared" si="47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2" cm="1">
        <f t="array" ref="BB135">$G$11+VLOOKUP($R135,武学奇术!$A:$ZZ,10,FALSE)+SUM(_xlfn.XLOOKUP($S135:$AL135,增益!$A:$A,增益!$J:$J,0))</f>
        <v>0</v>
      </c>
      <c r="BC135">
        <f t="shared" si="48"/>
        <v>0</v>
      </c>
      <c r="BD135">
        <f t="shared" si="49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2" cm="1">
        <f t="array" ref="BF135">$G$12+VLOOKUP($R135,武学奇术!$A:$ZZ,12,FALSE)+SUM(_xlfn.XLOOKUP($S135:$AL135,增益!$A:$A,增益!$L:$L,0))</f>
        <v>0</v>
      </c>
      <c r="BG135">
        <f t="shared" si="50"/>
        <v>0</v>
      </c>
      <c r="BH135">
        <f t="shared" si="51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2" cm="1">
        <f t="array" ref="BJ135">$G$13+VLOOKUP($R135,武学奇术!$A:$ZZ,14,FALSE)+SUM(_xlfn.XLOOKUP($S135:$AL135,增益!$A:$A,增益!$N:$N,0))</f>
        <v>0</v>
      </c>
      <c r="BK135">
        <f t="shared" si="52"/>
        <v>571.2</v>
      </c>
      <c r="BL135">
        <f t="shared" si="53"/>
        <v>1627.8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2" cm="1">
        <f t="array" ref="BN135">$G$14+VLOOKUP($R135,武学奇术!$A:$ZZ,16,FALSE)+SUM(_xlfn.XLOOKUP($S135:$AL135,增益!$A:$A,增益!$P:$P,0))</f>
        <v>0.27</v>
      </c>
      <c r="BO135" s="26">
        <f>MIN(IF(VLOOKUP($R135,武学奇术!$A:$ZZ,23,FALSE)=1,100%,$B$8),100%)</f>
        <v>0.981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26" cm="1">
        <f t="array" ref="BQ135">1+$B$13+VLOOKUP($R135,武学奇术!$A:$ZZ,18,FALSE)+SUM(_xlfn.XLOOKUP($S135:$AL135,增益!$A:$A,增益!$R:$R,0))</f>
        <v>1.97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54"/>
        <v>0.829926</v>
      </c>
      <c r="BU135" s="26">
        <f t="shared" si="55"/>
        <v>0.0599391</v>
      </c>
      <c r="BV135" s="26">
        <f>IF(VLOOKUP($R135,武学奇术!$A:$ZZ,22,FALSE)=1,0,(1-$BO135))*(1-$BR135)</f>
        <v>0.0172349</v>
      </c>
      <c r="BW135" s="26" cm="1">
        <f t="array" ref="BW135">SUM(_xlfn.XLOOKUP($S135:$AL135,增益!$A:$A,增益!$W:$W,0))+$I$5</f>
        <v>0.11</v>
      </c>
      <c r="BX135" s="26" cm="1">
        <f t="array" ref="BX135">SUM(_xlfn.XLOOKUP($S135:$AL135,增益!$A:$A,增益!$X:$X,0))</f>
        <v>0</v>
      </c>
    </row>
    <row r="136" spans="1:76">
      <c r="A136" s="4" t="s">
        <v>174</v>
      </c>
      <c r="B136" s="88">
        <v>1</v>
      </c>
      <c r="C136" s="39"/>
      <c r="D136" s="39"/>
      <c r="E136" s="39" t="s">
        <v>171</v>
      </c>
      <c r="F136" s="39"/>
      <c r="K136">
        <f>$L136*VLOOKUP($R136,武学奇术!$A:$ZZ,31,FALSE)</f>
        <v>87936.6363943413</v>
      </c>
      <c r="L136" s="38">
        <f t="shared" si="45"/>
        <v>83749.1775184203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</f>
        <v>89458.3341770559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</f>
        <v>66700.7076657963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</f>
        <v>44068.1449148059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</f>
        <v>38728.3582253181</v>
      </c>
      <c r="Q136" s="39">
        <v>1</v>
      </c>
      <c r="R136" s="40" t="s">
        <v>115</v>
      </c>
      <c r="S136" s="40" t="s">
        <v>116</v>
      </c>
      <c r="T136" s="40" t="s">
        <v>102</v>
      </c>
      <c r="U136" s="40" t="s">
        <v>79</v>
      </c>
      <c r="V136" s="40" t="s">
        <v>88</v>
      </c>
      <c r="W136" s="40" t="s">
        <v>181</v>
      </c>
      <c r="X136" s="40" t="s">
        <v>106</v>
      </c>
      <c r="Y136" s="40" t="s">
        <v>91</v>
      </c>
      <c r="Z136" s="40" t="s">
        <v>78</v>
      </c>
      <c r="AA136" s="40" t="s">
        <v>78</v>
      </c>
      <c r="AB136" s="40" t="s">
        <v>127</v>
      </c>
      <c r="AC136" s="40" t="s">
        <v>98</v>
      </c>
      <c r="AD136" s="40" t="s">
        <v>78</v>
      </c>
      <c r="AE136" s="40" t="s">
        <v>83</v>
      </c>
      <c r="AF136" s="40" t="s">
        <v>84</v>
      </c>
      <c r="AG136" s="40" t="s">
        <v>85</v>
      </c>
      <c r="AH136" s="40" t="s">
        <v>78</v>
      </c>
      <c r="AI136" s="40" t="s">
        <v>78</v>
      </c>
      <c r="AJ136" s="40" t="s">
        <v>78</v>
      </c>
      <c r="AK136" s="40" t="s">
        <v>78</v>
      </c>
      <c r="AL136" s="40" t="s">
        <v>78</v>
      </c>
      <c r="AM136" t="str">
        <f>VLOOKUP($R136,武学奇术!$A:$ZZ,25,FALSE)</f>
        <v>伞</v>
      </c>
      <c r="AN136" s="26">
        <f>VLOOKUP($R136,武学奇术!$A:$ZZ,26,FALSE)</f>
        <v>1.8084</v>
      </c>
      <c r="AO136" s="27">
        <f>VLOOKUP($R136,武学奇术!$A:$ZZ,27,FALSE)*(1+IF(OR($AM136=$F$4,$AM136=$F$5),$B$22,0))</f>
        <v>750</v>
      </c>
      <c r="AP136" s="26">
        <f>VLOOKUP($R136,武学奇术!$A:$ZZ,28,FALSE)</f>
        <v>2.7126</v>
      </c>
      <c r="AQ136" s="27">
        <f>VLOOKUP($R136,武学奇术!$A:$ZZ,29,FALSE)*(1+IF(OR($AM136=$F$4,$AM136=$F$5),$B$22,0))</f>
        <v>408</v>
      </c>
      <c r="AR136" s="26" cm="1">
        <f t="array" ref="AR136">$G$3+IFERROR(VLOOKUP($AM136,$F$4:$G$7,2,FALSE),0)+VLOOKUP($R136,武学奇术!$A:$ZZ,2,FALSE)+SUM(_xlfn.XLOOKUP($S136:$AL136,增益!$A:$A,增益!$B:$B,0))</f>
        <v>0.8541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3636.6</v>
      </c>
      <c r="AU136" cm="1">
        <f t="array" ref="AU136">$E$10*(1+$AS136)+VLOOKUP($R136,武学奇术!$A:$ZZ,4,FALSE)+SUM(_xlfn.XLOOKUP($S136:$AL136,增益!$A:$A,增益!$D:$D,0))-$I$2</f>
        <v>3636.6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0.3425</v>
      </c>
      <c r="AW136" s="32" cm="1">
        <f t="array" ref="AW136">$G$10+VLOOKUP($R136,武学奇术!$A:$ZZ,7,FALSE)+SUM(_xlfn.XLOOKUP($S136:$AL136,增益!$A:$A,增益!$G:$G,0))</f>
        <v>0.148</v>
      </c>
      <c r="AX136" s="26" cm="1">
        <f t="array" ref="AX136">VLOOKUP($R136,武学奇术!$A:$ZZ,8,FALSE)+SUM(_xlfn.XLOOKUP($S136:$AL136,增益!$A:$A,增益!$H:$H,0))</f>
        <v>0</v>
      </c>
      <c r="AY136">
        <f t="shared" si="46"/>
        <v>0</v>
      </c>
      <c r="AZ136">
        <f t="shared" si="47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2" cm="1">
        <f t="array" ref="BB136">$G$11+VLOOKUP($R136,武学奇术!$A:$ZZ,10,FALSE)+SUM(_xlfn.XLOOKUP($S136:$AL136,增益!$A:$A,增益!$J:$J,0))</f>
        <v>0</v>
      </c>
      <c r="BC136">
        <f t="shared" si="48"/>
        <v>0</v>
      </c>
      <c r="BD136">
        <f t="shared" si="49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2" cm="1">
        <f t="array" ref="BF136">$G$12+VLOOKUP($R136,武学奇术!$A:$ZZ,12,FALSE)+SUM(_xlfn.XLOOKUP($S136:$AL136,增益!$A:$A,增益!$L:$L,0))</f>
        <v>0</v>
      </c>
      <c r="BG136">
        <f t="shared" si="50"/>
        <v>0</v>
      </c>
      <c r="BH136">
        <f t="shared" si="51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2" cm="1">
        <f t="array" ref="BJ136">$G$13+VLOOKUP($R136,武学奇术!$A:$ZZ,14,FALSE)+SUM(_xlfn.XLOOKUP($S136:$AL136,增益!$A:$A,增益!$N:$N,0))</f>
        <v>0</v>
      </c>
      <c r="BK136">
        <f t="shared" si="52"/>
        <v>571.2</v>
      </c>
      <c r="BL136">
        <f t="shared" si="53"/>
        <v>1627.8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2" cm="1">
        <f t="array" ref="BN136">$G$14+VLOOKUP($R136,武学奇术!$A:$ZZ,16,FALSE)+SUM(_xlfn.XLOOKUP($S136:$AL136,增益!$A:$A,增益!$P:$P,0))</f>
        <v>0.27</v>
      </c>
      <c r="BO136" s="26">
        <f>MIN(IF(VLOOKUP($R136,武学奇术!$A:$ZZ,23,FALSE)=1,100%,$B$8),100%)</f>
        <v>0.981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26" cm="1">
        <f t="array" ref="BQ136">1+$B$13+VLOOKUP($R136,武学奇术!$A:$ZZ,18,FALSE)+SUM(_xlfn.XLOOKUP($S136:$AL136,增益!$A:$A,增益!$R:$R,0))</f>
        <v>2.03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54"/>
        <v>0.829926</v>
      </c>
      <c r="BU136" s="26">
        <f t="shared" si="55"/>
        <v>0.0599391</v>
      </c>
      <c r="BV136" s="26">
        <f>IF(VLOOKUP($R136,武学奇术!$A:$ZZ,22,FALSE)=1,0,(1-$BO136))*(1-$BR136)</f>
        <v>0.0172349</v>
      </c>
      <c r="BW136" s="26" cm="1">
        <f t="array" ref="BW136">SUM(_xlfn.XLOOKUP($S136:$AL136,增益!$A:$A,增益!$W:$W,0))+$I$5</f>
        <v>0.11</v>
      </c>
      <c r="BX136" s="26" cm="1">
        <f t="array" ref="BX136">SUM(_xlfn.XLOOKUP($S136:$AL136,增益!$A:$A,增益!$X:$X,0))</f>
        <v>0</v>
      </c>
    </row>
    <row r="137" spans="1:76">
      <c r="A137" s="4"/>
      <c r="B137" s="88"/>
      <c r="K137">
        <f>$L137*VLOOKUP($R137,武学奇术!$A:$ZZ,31,FALSE)</f>
        <v>51074.6655524149</v>
      </c>
      <c r="L137" s="38">
        <f t="shared" si="45"/>
        <v>48642.5386213476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</f>
        <v>51908.2697257309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</f>
        <v>39289.8054576382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</f>
        <v>25570.5762195719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</f>
        <v>22037.5928408932</v>
      </c>
      <c r="Q137" s="39">
        <v>2</v>
      </c>
      <c r="R137" s="40" t="s">
        <v>119</v>
      </c>
      <c r="S137" s="40" t="s">
        <v>116</v>
      </c>
      <c r="T137" s="40" t="s">
        <v>102</v>
      </c>
      <c r="U137" s="40" t="s">
        <v>79</v>
      </c>
      <c r="V137" s="40" t="s">
        <v>88</v>
      </c>
      <c r="W137" s="40" t="s">
        <v>181</v>
      </c>
      <c r="X137" s="40" t="s">
        <v>106</v>
      </c>
      <c r="Y137" s="40" t="s">
        <v>91</v>
      </c>
      <c r="Z137" s="40" t="s">
        <v>78</v>
      </c>
      <c r="AA137" s="40" t="s">
        <v>78</v>
      </c>
      <c r="AB137" s="40" t="s">
        <v>127</v>
      </c>
      <c r="AC137" s="40" t="s">
        <v>98</v>
      </c>
      <c r="AD137" s="40" t="s">
        <v>78</v>
      </c>
      <c r="AE137" s="40" t="s">
        <v>83</v>
      </c>
      <c r="AF137" s="40" t="s">
        <v>84</v>
      </c>
      <c r="AG137" s="40" t="s">
        <v>85</v>
      </c>
      <c r="AH137" s="40" t="s">
        <v>78</v>
      </c>
      <c r="AI137" s="40" t="s">
        <v>78</v>
      </c>
      <c r="AJ137" s="40" t="s">
        <v>78</v>
      </c>
      <c r="AK137" s="40" t="s">
        <v>78</v>
      </c>
      <c r="AL137" s="40" t="s">
        <v>78</v>
      </c>
      <c r="AM137" t="str">
        <f>VLOOKUP($R137,武学奇术!$A:$ZZ,25,FALSE)</f>
        <v>伞</v>
      </c>
      <c r="AN137" s="26">
        <f>VLOOKUP($R137,武学奇术!$A:$ZZ,26,FALSE)</f>
        <v>0.54</v>
      </c>
      <c r="AO137" s="27">
        <f>VLOOKUP($R137,武学奇术!$A:$ZZ,27,FALSE)*(1+IF(OR($AM137=$F$4,$AM137=$F$5),$B$22,0))</f>
        <v>0</v>
      </c>
      <c r="AP137" s="26">
        <f>VLOOKUP($R137,武学奇术!$A:$ZZ,28,FALSE)</f>
        <v>0.81</v>
      </c>
      <c r="AQ137" s="27">
        <f>VLOOKUP($R137,武学奇术!$A:$ZZ,29,FALSE)*(1+IF(OR($AM137=$F$4,$AM137=$F$5),$B$22,0))</f>
        <v>0</v>
      </c>
      <c r="AR137" s="26" cm="1">
        <f t="array" ref="AR137">$G$3+IFERROR(VLOOKUP($AM137,$F$4:$G$7,2,FALSE),0)+VLOOKUP($R137,武学奇术!$A:$ZZ,2,FALSE)+SUM(_xlfn.XLOOKUP($S137:$AL137,增益!$A:$A,增益!$B:$B,0))</f>
        <v>1.0541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3636.6</v>
      </c>
      <c r="AU137" cm="1">
        <f t="array" ref="AU137">$E$10*(1+$AS137)+VLOOKUP($R137,武学奇术!$A:$ZZ,4,FALSE)+SUM(_xlfn.XLOOKUP($S137:$AL137,增益!$A:$A,增益!$D:$D,0))-$I$2</f>
        <v>3636.6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0.3425</v>
      </c>
      <c r="AW137" s="32" cm="1">
        <f t="array" ref="AW137">$G$10+VLOOKUP($R137,武学奇术!$A:$ZZ,7,FALSE)+SUM(_xlfn.XLOOKUP($S137:$AL137,增益!$A:$A,增益!$G:$G,0))</f>
        <v>0.148</v>
      </c>
      <c r="AX137" s="26" cm="1">
        <f t="array" ref="AX137">VLOOKUP($R137,武学奇术!$A:$ZZ,8,FALSE)+SUM(_xlfn.XLOOKUP($S137:$AL137,增益!$A:$A,增益!$H:$H,0))</f>
        <v>0</v>
      </c>
      <c r="AY137">
        <f t="shared" si="46"/>
        <v>0</v>
      </c>
      <c r="AZ137">
        <f t="shared" si="47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-0.14</v>
      </c>
      <c r="BB137" s="32" cm="1">
        <f t="array" ref="BB137">$G$11+VLOOKUP($R137,武学奇术!$A:$ZZ,10,FALSE)+SUM(_xlfn.XLOOKUP($S137:$AL137,增益!$A:$A,增益!$J:$J,0))</f>
        <v>0</v>
      </c>
      <c r="BC137">
        <f t="shared" si="48"/>
        <v>0</v>
      </c>
      <c r="BD137">
        <f t="shared" si="49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-0.14</v>
      </c>
      <c r="BF137" s="32" cm="1">
        <f t="array" ref="BF137">$G$12+VLOOKUP($R137,武学奇术!$A:$ZZ,12,FALSE)+SUM(_xlfn.XLOOKUP($S137:$AL137,增益!$A:$A,增益!$L:$L,0))</f>
        <v>0</v>
      </c>
      <c r="BG137">
        <f t="shared" si="50"/>
        <v>0</v>
      </c>
      <c r="BH137">
        <f t="shared" si="51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-0.14</v>
      </c>
      <c r="BJ137" s="32" cm="1">
        <f t="array" ref="BJ137">$G$13+VLOOKUP($R137,武学奇术!$A:$ZZ,14,FALSE)+SUM(_xlfn.XLOOKUP($S137:$AL137,增益!$A:$A,增益!$N:$N,0))</f>
        <v>0</v>
      </c>
      <c r="BK137">
        <f t="shared" si="52"/>
        <v>571.2</v>
      </c>
      <c r="BL137">
        <f t="shared" si="53"/>
        <v>1627.8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0.08</v>
      </c>
      <c r="BN137" s="32" cm="1">
        <f t="array" ref="BN137">$G$14+VLOOKUP($R137,武学奇术!$A:$ZZ,16,FALSE)+SUM(_xlfn.XLOOKUP($S137:$AL137,增益!$A:$A,增益!$P:$P,0))</f>
        <v>0.27</v>
      </c>
      <c r="BO137" s="26">
        <f>MIN(IF(VLOOKUP($R137,武学奇术!$A:$ZZ,23,FALSE)=1,100%,$B$8),100%)</f>
        <v>0.981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26" cm="1">
        <f t="array" ref="BQ137">1+$B$13+VLOOKUP($R137,武学奇术!$A:$ZZ,18,FALSE)+SUM(_xlfn.XLOOKUP($S137:$AL137,增益!$A:$A,增益!$R:$R,0))</f>
        <v>2.03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54"/>
        <v>0.829926</v>
      </c>
      <c r="BU137" s="26">
        <f t="shared" si="55"/>
        <v>0.0599391</v>
      </c>
      <c r="BV137" s="26">
        <f>IF(VLOOKUP($R137,武学奇术!$A:$ZZ,22,FALSE)=1,0,(1-$BO137))*(1-$BR137)</f>
        <v>0.0172349</v>
      </c>
      <c r="BW137" s="26" cm="1">
        <f t="array" ref="BW137">SUM(_xlfn.XLOOKUP($S137:$AL137,增益!$A:$A,增益!$W:$W,0))+$I$5</f>
        <v>0.11</v>
      </c>
      <c r="BX137" s="26" cm="1">
        <f t="array" ref="BX137">SUM(_xlfn.XLOOKUP($S137:$AL137,增益!$A:$A,增益!$X:$X,0))</f>
        <v>0</v>
      </c>
    </row>
    <row r="138" spans="1:76">
      <c r="K138">
        <f>$L138*VLOOKUP($R138,武学奇术!$A:$ZZ,31,FALSE)</f>
        <v>105601.410012154</v>
      </c>
      <c r="L138" s="38">
        <f t="shared" si="45"/>
        <v>100572.771440146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</f>
        <v>100572.771440146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</f>
        <v>73895.6494343953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</f>
        <v>48821.733708809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</f>
        <v>42905.9493180659</v>
      </c>
      <c r="Q138" s="39">
        <v>1</v>
      </c>
      <c r="R138" s="40" t="s">
        <v>132</v>
      </c>
      <c r="S138" s="40" t="s">
        <v>116</v>
      </c>
      <c r="T138" s="40" t="s">
        <v>102</v>
      </c>
      <c r="U138" s="40" t="s">
        <v>79</v>
      </c>
      <c r="V138" s="40" t="s">
        <v>88</v>
      </c>
      <c r="W138" s="40" t="s">
        <v>181</v>
      </c>
      <c r="X138" s="40" t="s">
        <v>106</v>
      </c>
      <c r="Y138" s="40" t="s">
        <v>91</v>
      </c>
      <c r="Z138" s="40" t="s">
        <v>78</v>
      </c>
      <c r="AA138" s="40" t="s">
        <v>78</v>
      </c>
      <c r="AB138" s="40" t="s">
        <v>133</v>
      </c>
      <c r="AC138" s="40" t="s">
        <v>98</v>
      </c>
      <c r="AD138" s="40" t="s">
        <v>78</v>
      </c>
      <c r="AE138" s="40" t="s">
        <v>83</v>
      </c>
      <c r="AF138" s="40" t="s">
        <v>84</v>
      </c>
      <c r="AG138" s="40" t="s">
        <v>85</v>
      </c>
      <c r="AH138" s="40" t="s">
        <v>78</v>
      </c>
      <c r="AI138" s="40" t="s">
        <v>78</v>
      </c>
      <c r="AJ138" s="40" t="s">
        <v>78</v>
      </c>
      <c r="AK138" s="40" t="s">
        <v>78</v>
      </c>
      <c r="AL138" s="40" t="s">
        <v>78</v>
      </c>
      <c r="AM138" t="str">
        <f>VLOOKUP($R138,武学奇术!$A:$ZZ,25,FALSE)</f>
        <v>伞</v>
      </c>
      <c r="AN138" s="26">
        <f>VLOOKUP($R138,武学奇术!$A:$ZZ,26,FALSE)</f>
        <v>1.8084</v>
      </c>
      <c r="AO138" s="27">
        <f>VLOOKUP($R138,武学奇术!$A:$ZZ,27,FALSE)*(1+IF(OR($AM138=$F$4,$AM138=$F$5),$B$22,0))</f>
        <v>750</v>
      </c>
      <c r="AP138" s="26">
        <f>VLOOKUP($R138,武学奇术!$A:$ZZ,28,FALSE)</f>
        <v>2.7126</v>
      </c>
      <c r="AQ138" s="27">
        <f>VLOOKUP($R138,武学奇术!$A:$ZZ,29,FALSE)*(1+IF(OR($AM138=$F$4,$AM138=$F$5),$B$22,0))</f>
        <v>408</v>
      </c>
      <c r="AR138" s="26" cm="1">
        <f t="array" ref="AR138">$G$3+IFERROR(VLOOKUP($AM138,$F$4:$G$7,2,FALSE),0)+VLOOKUP($R138,武学奇术!$A:$ZZ,2,FALSE)+SUM(_xlfn.XLOOKUP($S138:$AL138,增益!$A:$A,增益!$B:$B,0))</f>
        <v>1.0541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3636.6</v>
      </c>
      <c r="AU138" cm="1">
        <f t="array" ref="AU138">$E$10*(1+$AS138)+VLOOKUP($R138,武学奇术!$A:$ZZ,4,FALSE)+SUM(_xlfn.XLOOKUP($S138:$AL138,增益!$A:$A,增益!$D:$D,0))-$I$2</f>
        <v>3636.6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0.3425</v>
      </c>
      <c r="AW138" s="32" cm="1">
        <f t="array" ref="AW138">$G$10+VLOOKUP($R138,武学奇术!$A:$ZZ,7,FALSE)+SUM(_xlfn.XLOOKUP($S138:$AL138,增益!$A:$A,增益!$G:$G,0))</f>
        <v>0.148</v>
      </c>
      <c r="AX138" s="26" cm="1">
        <f t="array" ref="AX138">VLOOKUP($R138,武学奇术!$A:$ZZ,8,FALSE)+SUM(_xlfn.XLOOKUP($S138:$AL138,增益!$A:$A,增益!$H:$H,0))</f>
        <v>0</v>
      </c>
      <c r="AY138">
        <f t="shared" si="46"/>
        <v>0</v>
      </c>
      <c r="AZ138">
        <f t="shared" si="47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-0.14</v>
      </c>
      <c r="BB138" s="32" cm="1">
        <f t="array" ref="BB138">$G$11+VLOOKUP($R138,武学奇术!$A:$ZZ,10,FALSE)+SUM(_xlfn.XLOOKUP($S138:$AL138,增益!$A:$A,增益!$J:$J,0))</f>
        <v>0</v>
      </c>
      <c r="BC138">
        <f t="shared" si="48"/>
        <v>0</v>
      </c>
      <c r="BD138">
        <f t="shared" si="49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-0.14</v>
      </c>
      <c r="BF138" s="32" cm="1">
        <f t="array" ref="BF138">$G$12+VLOOKUP($R138,武学奇术!$A:$ZZ,12,FALSE)+SUM(_xlfn.XLOOKUP($S138:$AL138,增益!$A:$A,增益!$L:$L,0))</f>
        <v>0</v>
      </c>
      <c r="BG138">
        <f t="shared" si="50"/>
        <v>0</v>
      </c>
      <c r="BH138">
        <f t="shared" si="51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-0.14</v>
      </c>
      <c r="BJ138" s="32" cm="1">
        <f t="array" ref="BJ138">$G$13+VLOOKUP($R138,武学奇术!$A:$ZZ,14,FALSE)+SUM(_xlfn.XLOOKUP($S138:$AL138,增益!$A:$A,增益!$N:$N,0))</f>
        <v>0</v>
      </c>
      <c r="BK138">
        <f t="shared" si="52"/>
        <v>571.2</v>
      </c>
      <c r="BL138">
        <f t="shared" si="53"/>
        <v>1627.8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0.08</v>
      </c>
      <c r="BN138" s="32" cm="1">
        <f t="array" ref="BN138">$G$14+VLOOKUP($R138,武学奇术!$A:$ZZ,16,FALSE)+SUM(_xlfn.XLOOKUP($S138:$AL138,增益!$A:$A,增益!$P:$P,0))</f>
        <v>0.27</v>
      </c>
      <c r="BO138" s="26">
        <f>MIN(IF(VLOOKUP($R138,武学奇术!$A:$ZZ,23,FALSE)=1,100%,$B$8),100%)</f>
        <v>1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26" cm="1">
        <f t="array" ref="BQ138">1+$B$13+VLOOKUP($R138,武学奇术!$A:$ZZ,18,FALSE)+SUM(_xlfn.XLOOKUP($S138:$AL138,增益!$A:$A,增益!$R:$R,0))</f>
        <v>2.06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54"/>
        <v>1</v>
      </c>
      <c r="BU138" s="26">
        <f t="shared" si="55"/>
        <v>0</v>
      </c>
      <c r="BV138" s="26">
        <f>IF(VLOOKUP($R138,武学奇术!$A:$ZZ,22,FALSE)=1,0,(1-$BO138))*(1-$BR138)</f>
        <v>0</v>
      </c>
      <c r="BW138" s="26" cm="1">
        <f t="array" ref="BW138">SUM(_xlfn.XLOOKUP($S138:$AL138,增益!$A:$A,增益!$W:$W,0))+$I$5</f>
        <v>0.11</v>
      </c>
      <c r="BX138" s="26" cm="1">
        <f t="array" ref="BX138">SUM(_xlfn.XLOOKUP($S138:$AL138,增益!$A:$A,增益!$X:$X,0))</f>
        <v>0</v>
      </c>
    </row>
    <row r="139" spans="1:76">
      <c r="K139">
        <f>$L139*VLOOKUP($R139,武学奇术!$A:$ZZ,31,FALSE)</f>
        <v>60694.4011283236</v>
      </c>
      <c r="L139" s="38">
        <f t="shared" si="45"/>
        <v>57804.1915507843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</f>
        <v>57804.1915507843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</f>
        <v>43115.306208102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</f>
        <v>28060.2871605749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</f>
        <v>24183.3104632965</v>
      </c>
      <c r="Q139" s="39">
        <v>2</v>
      </c>
      <c r="R139" s="40" t="s">
        <v>139</v>
      </c>
      <c r="S139" s="40" t="s">
        <v>116</v>
      </c>
      <c r="T139" s="40" t="s">
        <v>102</v>
      </c>
      <c r="U139" s="40" t="s">
        <v>79</v>
      </c>
      <c r="V139" s="40" t="s">
        <v>88</v>
      </c>
      <c r="W139" s="40" t="s">
        <v>181</v>
      </c>
      <c r="X139" s="40" t="s">
        <v>106</v>
      </c>
      <c r="Y139" s="40" t="s">
        <v>91</v>
      </c>
      <c r="Z139" s="40" t="s">
        <v>78</v>
      </c>
      <c r="AA139" s="40" t="s">
        <v>78</v>
      </c>
      <c r="AB139" s="40" t="s">
        <v>133</v>
      </c>
      <c r="AC139" s="40" t="s">
        <v>98</v>
      </c>
      <c r="AD139" s="40" t="s">
        <v>78</v>
      </c>
      <c r="AE139" s="40" t="s">
        <v>83</v>
      </c>
      <c r="AF139" s="40" t="s">
        <v>84</v>
      </c>
      <c r="AG139" s="40" t="s">
        <v>85</v>
      </c>
      <c r="AH139" s="40" t="s">
        <v>78</v>
      </c>
      <c r="AI139" s="40" t="s">
        <v>78</v>
      </c>
      <c r="AJ139" s="40" t="s">
        <v>78</v>
      </c>
      <c r="AK139" s="40" t="s">
        <v>78</v>
      </c>
      <c r="AL139" s="40" t="s">
        <v>78</v>
      </c>
      <c r="AM139" t="str">
        <f>VLOOKUP($R139,武学奇术!$A:$ZZ,25,FALSE)</f>
        <v>伞</v>
      </c>
      <c r="AN139" s="26">
        <f>VLOOKUP($R139,武学奇术!$A:$ZZ,26,FALSE)</f>
        <v>0.54</v>
      </c>
      <c r="AO139" s="27">
        <f>VLOOKUP($R139,武学奇术!$A:$ZZ,27,FALSE)*(1+IF(OR($AM139=$F$4,$AM139=$F$5),$B$22,0))</f>
        <v>0</v>
      </c>
      <c r="AP139" s="26">
        <f>VLOOKUP($R139,武学奇术!$A:$ZZ,28,FALSE)</f>
        <v>0.81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1.2541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3636.6</v>
      </c>
      <c r="AU139" cm="1">
        <f t="array" ref="AU139">$E$10*(1+$AS139)+VLOOKUP($R139,武学奇术!$A:$ZZ,4,FALSE)+SUM(_xlfn.XLOOKUP($S139:$AL139,增益!$A:$A,增益!$D:$D,0))-$I$2</f>
        <v>3636.6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0.3425</v>
      </c>
      <c r="AW139" s="32" cm="1">
        <f t="array" ref="AW139">$G$10+VLOOKUP($R139,武学奇术!$A:$ZZ,7,FALSE)+SUM(_xlfn.XLOOKUP($S139:$AL139,增益!$A:$A,增益!$G:$G,0))</f>
        <v>0.148</v>
      </c>
      <c r="AX139" s="26" cm="1">
        <f t="array" ref="AX139">VLOOKUP($R139,武学奇术!$A:$ZZ,8,FALSE)+SUM(_xlfn.XLOOKUP($S139:$AL139,增益!$A:$A,增益!$H:$H,0))</f>
        <v>0</v>
      </c>
      <c r="AY139">
        <f t="shared" si="46"/>
        <v>0</v>
      </c>
      <c r="AZ139">
        <f t="shared" si="47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-0.14</v>
      </c>
      <c r="BB139" s="32" cm="1">
        <f t="array" ref="BB139">$G$11+VLOOKUP($R139,武学奇术!$A:$ZZ,10,FALSE)+SUM(_xlfn.XLOOKUP($S139:$AL139,增益!$A:$A,增益!$J:$J,0))</f>
        <v>0</v>
      </c>
      <c r="BC139">
        <f t="shared" si="48"/>
        <v>0</v>
      </c>
      <c r="BD139">
        <f t="shared" si="49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-0.14</v>
      </c>
      <c r="BF139" s="32" cm="1">
        <f t="array" ref="BF139">$G$12+VLOOKUP($R139,武学奇术!$A:$ZZ,12,FALSE)+SUM(_xlfn.XLOOKUP($S139:$AL139,增益!$A:$A,增益!$L:$L,0))</f>
        <v>0</v>
      </c>
      <c r="BG139">
        <f t="shared" si="50"/>
        <v>0</v>
      </c>
      <c r="BH139">
        <f t="shared" si="51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-0.14</v>
      </c>
      <c r="BJ139" s="32" cm="1">
        <f t="array" ref="BJ139">$G$13+VLOOKUP($R139,武学奇术!$A:$ZZ,14,FALSE)+SUM(_xlfn.XLOOKUP($S139:$AL139,增益!$A:$A,增益!$N:$N,0))</f>
        <v>0</v>
      </c>
      <c r="BK139">
        <f t="shared" si="52"/>
        <v>571.2</v>
      </c>
      <c r="BL139">
        <f t="shared" si="53"/>
        <v>1627.8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0.08</v>
      </c>
      <c r="BN139" s="32" cm="1">
        <f t="array" ref="BN139">$G$14+VLOOKUP($R139,武学奇术!$A:$ZZ,16,FALSE)+SUM(_xlfn.XLOOKUP($S139:$AL139,增益!$A:$A,增益!$P:$P,0))</f>
        <v>0.27</v>
      </c>
      <c r="BO139" s="26">
        <f>MIN(IF(VLOOKUP($R139,武学奇术!$A:$ZZ,23,FALSE)=1,100%,$B$8),100%)</f>
        <v>1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26" cm="1">
        <f t="array" ref="BQ139">1+$B$13+VLOOKUP($R139,武学奇术!$A:$ZZ,18,FALSE)+SUM(_xlfn.XLOOKUP($S139:$AL139,增益!$A:$A,增益!$R:$R,0))</f>
        <v>2.06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54"/>
        <v>1</v>
      </c>
      <c r="BU139" s="26">
        <f t="shared" si="55"/>
        <v>0</v>
      </c>
      <c r="BV139" s="26">
        <f>IF(VLOOKUP($R139,武学奇术!$A:$ZZ,22,FALSE)=1,0,(1-$BO139))*(1-$BR139)</f>
        <v>0</v>
      </c>
      <c r="BW139" s="26" cm="1">
        <f t="array" ref="BW139">SUM(_xlfn.XLOOKUP($S139:$AL139,增益!$A:$A,增益!$W:$W,0))+$I$5</f>
        <v>0.11</v>
      </c>
      <c r="BX139" s="26" cm="1">
        <f t="array" ref="BX139">SUM(_xlfn.XLOOKUP($S139:$AL139,增益!$A:$A,增益!$X:$X,0))</f>
        <v>0</v>
      </c>
    </row>
    <row r="140" spans="1:76">
      <c r="K140">
        <f>$L140*VLOOKUP($R140,武学奇术!$A:$ZZ,31,FALSE)</f>
        <v>178177.390640586</v>
      </c>
      <c r="L140" s="38">
        <f t="shared" si="45"/>
        <v>169692.752991035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</f>
        <v>181560.757049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</f>
        <v>133401.415331593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</f>
        <v>88136.2898296117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</f>
        <v>77456.7164506363</v>
      </c>
      <c r="Q140" s="39">
        <v>2</v>
      </c>
      <c r="R140" s="40" t="s">
        <v>115</v>
      </c>
      <c r="S140" s="40" t="s">
        <v>116</v>
      </c>
      <c r="T140" s="40" t="s">
        <v>102</v>
      </c>
      <c r="U140" s="40" t="s">
        <v>79</v>
      </c>
      <c r="V140" s="40" t="s">
        <v>88</v>
      </c>
      <c r="W140" s="40" t="s">
        <v>181</v>
      </c>
      <c r="X140" s="40" t="s">
        <v>106</v>
      </c>
      <c r="Y140" s="40" t="s">
        <v>91</v>
      </c>
      <c r="Z140" s="40" t="s">
        <v>78</v>
      </c>
      <c r="AA140" s="40" t="s">
        <v>78</v>
      </c>
      <c r="AB140" s="40" t="s">
        <v>133</v>
      </c>
      <c r="AC140" s="40" t="s">
        <v>98</v>
      </c>
      <c r="AD140" s="40" t="s">
        <v>78</v>
      </c>
      <c r="AE140" s="40" t="s">
        <v>83</v>
      </c>
      <c r="AF140" s="40" t="s">
        <v>84</v>
      </c>
      <c r="AG140" s="40" t="s">
        <v>85</v>
      </c>
      <c r="AH140" s="40" t="s">
        <v>78</v>
      </c>
      <c r="AI140" s="40" t="s">
        <v>78</v>
      </c>
      <c r="AJ140" s="40" t="s">
        <v>78</v>
      </c>
      <c r="AK140" s="40" t="s">
        <v>78</v>
      </c>
      <c r="AL140" s="40" t="s">
        <v>78</v>
      </c>
      <c r="AM140" t="str">
        <f>VLOOKUP($R140,武学奇术!$A:$ZZ,25,FALSE)</f>
        <v>伞</v>
      </c>
      <c r="AN140" s="26">
        <f>VLOOKUP($R140,武学奇术!$A:$ZZ,26,FALSE)</f>
        <v>1.8084</v>
      </c>
      <c r="AO140" s="27">
        <f>VLOOKUP($R140,武学奇术!$A:$ZZ,27,FALSE)*(1+IF(OR($AM140=$F$4,$AM140=$F$5),$B$22,0))</f>
        <v>750</v>
      </c>
      <c r="AP140" s="26">
        <f>VLOOKUP($R140,武学奇术!$A:$ZZ,28,FALSE)</f>
        <v>2.7126</v>
      </c>
      <c r="AQ140" s="27">
        <f>VLOOKUP($R140,武学奇术!$A:$ZZ,29,FALSE)*(1+IF(OR($AM140=$F$4,$AM140=$F$5),$B$22,0))</f>
        <v>408</v>
      </c>
      <c r="AR140" s="26" cm="1">
        <f t="array" ref="AR140">$G$3+IFERROR(VLOOKUP($AM140,$F$4:$G$7,2,FALSE),0)+VLOOKUP($R140,武学奇术!$A:$ZZ,2,FALSE)+SUM(_xlfn.XLOOKUP($S140:$AL140,增益!$A:$A,增益!$B:$B,0))</f>
        <v>0.8541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3636.6</v>
      </c>
      <c r="AU140" cm="1">
        <f t="array" ref="AU140">$E$10*(1+$AS140)+VLOOKUP($R140,武学奇术!$A:$ZZ,4,FALSE)+SUM(_xlfn.XLOOKUP($S140:$AL140,增益!$A:$A,增益!$D:$D,0))-$I$2</f>
        <v>3636.6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0.3425</v>
      </c>
      <c r="AW140" s="32" cm="1">
        <f t="array" ref="AW140">$G$10+VLOOKUP($R140,武学奇术!$A:$ZZ,7,FALSE)+SUM(_xlfn.XLOOKUP($S140:$AL140,增益!$A:$A,增益!$G:$G,0))</f>
        <v>0.148</v>
      </c>
      <c r="AX140" s="26" cm="1">
        <f t="array" ref="AX140">VLOOKUP($R140,武学奇术!$A:$ZZ,8,FALSE)+SUM(_xlfn.XLOOKUP($S140:$AL140,增益!$A:$A,增益!$H:$H,0))</f>
        <v>0</v>
      </c>
      <c r="AY140">
        <f t="shared" si="46"/>
        <v>0</v>
      </c>
      <c r="AZ140">
        <f t="shared" si="47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-0.14</v>
      </c>
      <c r="BB140" s="32" cm="1">
        <f t="array" ref="BB140">$G$11+VLOOKUP($R140,武学奇术!$A:$ZZ,10,FALSE)+SUM(_xlfn.XLOOKUP($S140:$AL140,增益!$A:$A,增益!$J:$J,0))</f>
        <v>0</v>
      </c>
      <c r="BC140">
        <f t="shared" si="48"/>
        <v>0</v>
      </c>
      <c r="BD140">
        <f t="shared" si="49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-0.14</v>
      </c>
      <c r="BF140" s="32" cm="1">
        <f t="array" ref="BF140">$G$12+VLOOKUP($R140,武学奇术!$A:$ZZ,12,FALSE)+SUM(_xlfn.XLOOKUP($S140:$AL140,增益!$A:$A,增益!$L:$L,0))</f>
        <v>0</v>
      </c>
      <c r="BG140">
        <f t="shared" si="50"/>
        <v>0</v>
      </c>
      <c r="BH140">
        <f t="shared" si="51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-0.14</v>
      </c>
      <c r="BJ140" s="32" cm="1">
        <f t="array" ref="BJ140">$G$13+VLOOKUP($R140,武学奇术!$A:$ZZ,14,FALSE)+SUM(_xlfn.XLOOKUP($S140:$AL140,增益!$A:$A,增益!$N:$N,0))</f>
        <v>0</v>
      </c>
      <c r="BK140">
        <f t="shared" si="52"/>
        <v>571.2</v>
      </c>
      <c r="BL140">
        <f t="shared" si="53"/>
        <v>1627.8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0.08</v>
      </c>
      <c r="BN140" s="32" cm="1">
        <f t="array" ref="BN140">$G$14+VLOOKUP($R140,武学奇术!$A:$ZZ,16,FALSE)+SUM(_xlfn.XLOOKUP($S140:$AL140,增益!$A:$A,增益!$P:$P,0))</f>
        <v>0.27</v>
      </c>
      <c r="BO140" s="26">
        <f>MIN(IF(VLOOKUP($R140,武学奇术!$A:$ZZ,23,FALSE)=1,100%,$B$8),100%)</f>
        <v>0.981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26" cm="1">
        <f t="array" ref="BQ140">1+$B$13+VLOOKUP($R140,武学奇术!$A:$ZZ,18,FALSE)+SUM(_xlfn.XLOOKUP($S140:$AL140,增益!$A:$A,增益!$R:$R,0))</f>
        <v>2.06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54"/>
        <v>0.829926</v>
      </c>
      <c r="BU140" s="26">
        <f t="shared" si="55"/>
        <v>0.0599391</v>
      </c>
      <c r="BV140" s="26">
        <f>IF(VLOOKUP($R140,武学奇术!$A:$ZZ,22,FALSE)=1,0,(1-$BO140))*(1-$BR140)</f>
        <v>0.0172349</v>
      </c>
      <c r="BW140" s="26" cm="1">
        <f t="array" ref="BW140">SUM(_xlfn.XLOOKUP($S140:$AL140,增益!$A:$A,增益!$W:$W,0))+$I$5</f>
        <v>0.11</v>
      </c>
      <c r="BX140" s="26" cm="1">
        <f t="array" ref="BX140">SUM(_xlfn.XLOOKUP($S140:$AL140,增益!$A:$A,增益!$X:$X,0))</f>
        <v>0</v>
      </c>
    </row>
    <row r="141" spans="1:76">
      <c r="K141">
        <f>$L141*VLOOKUP($R141,武学奇术!$A:$ZZ,31,FALSE)</f>
        <v>103486.297325325</v>
      </c>
      <c r="L141" s="38">
        <f t="shared" si="45"/>
        <v>98558.3784050714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</f>
        <v>105350.774024636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</f>
        <v>78579.6109152764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</f>
        <v>51141.1524391437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</f>
        <v>44075.1856817864</v>
      </c>
      <c r="Q141" s="39">
        <v>4</v>
      </c>
      <c r="R141" s="40" t="s">
        <v>119</v>
      </c>
      <c r="S141" s="40" t="s">
        <v>116</v>
      </c>
      <c r="T141" s="40" t="s">
        <v>102</v>
      </c>
      <c r="U141" s="40" t="s">
        <v>79</v>
      </c>
      <c r="V141" s="40" t="s">
        <v>88</v>
      </c>
      <c r="W141" s="40" t="s">
        <v>181</v>
      </c>
      <c r="X141" s="40" t="s">
        <v>106</v>
      </c>
      <c r="Y141" s="40" t="s">
        <v>91</v>
      </c>
      <c r="Z141" s="40" t="s">
        <v>78</v>
      </c>
      <c r="AA141" s="40" t="s">
        <v>78</v>
      </c>
      <c r="AB141" s="40" t="s">
        <v>133</v>
      </c>
      <c r="AC141" s="40" t="s">
        <v>98</v>
      </c>
      <c r="AD141" s="40" t="s">
        <v>78</v>
      </c>
      <c r="AE141" s="40" t="s">
        <v>83</v>
      </c>
      <c r="AF141" s="40" t="s">
        <v>84</v>
      </c>
      <c r="AG141" s="40" t="s">
        <v>85</v>
      </c>
      <c r="AH141" s="40" t="s">
        <v>78</v>
      </c>
      <c r="AI141" s="40" t="s">
        <v>78</v>
      </c>
      <c r="AJ141" s="40" t="s">
        <v>78</v>
      </c>
      <c r="AK141" s="40" t="s">
        <v>78</v>
      </c>
      <c r="AL141" s="40" t="s">
        <v>78</v>
      </c>
      <c r="AM141" t="str">
        <f>VLOOKUP($R141,武学奇术!$A:$ZZ,25,FALSE)</f>
        <v>伞</v>
      </c>
      <c r="AN141" s="26">
        <f>VLOOKUP($R141,武学奇术!$A:$ZZ,26,FALSE)</f>
        <v>0.54</v>
      </c>
      <c r="AO141" s="27">
        <f>VLOOKUP($R141,武学奇术!$A:$ZZ,27,FALSE)*(1+IF(OR($AM141=$F$4,$AM141=$F$5),$B$22,0))</f>
        <v>0</v>
      </c>
      <c r="AP141" s="26">
        <f>VLOOKUP($R141,武学奇术!$A:$ZZ,28,FALSE)</f>
        <v>0.81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1.0541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3636.6</v>
      </c>
      <c r="AU141" cm="1">
        <f t="array" ref="AU141">$E$10*(1+$AS141)+VLOOKUP($R141,武学奇术!$A:$ZZ,4,FALSE)+SUM(_xlfn.XLOOKUP($S141:$AL141,增益!$A:$A,增益!$D:$D,0))-$I$2</f>
        <v>3636.6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0.3425</v>
      </c>
      <c r="AW141" s="32" cm="1">
        <f t="array" ref="AW141">$G$10+VLOOKUP($R141,武学奇术!$A:$ZZ,7,FALSE)+SUM(_xlfn.XLOOKUP($S141:$AL141,增益!$A:$A,增益!$G:$G,0))</f>
        <v>0.148</v>
      </c>
      <c r="AX141" s="26" cm="1">
        <f t="array" ref="AX141">VLOOKUP($R141,武学奇术!$A:$ZZ,8,FALSE)+SUM(_xlfn.XLOOKUP($S141:$AL141,增益!$A:$A,增益!$H:$H,0))</f>
        <v>0</v>
      </c>
      <c r="AY141">
        <f t="shared" si="46"/>
        <v>0</v>
      </c>
      <c r="AZ141">
        <f t="shared" si="47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-0.14</v>
      </c>
      <c r="BB141" s="32" cm="1">
        <f t="array" ref="BB141">$G$11+VLOOKUP($R141,武学奇术!$A:$ZZ,10,FALSE)+SUM(_xlfn.XLOOKUP($S141:$AL141,增益!$A:$A,增益!$J:$J,0))</f>
        <v>0</v>
      </c>
      <c r="BC141">
        <f t="shared" si="48"/>
        <v>0</v>
      </c>
      <c r="BD141">
        <f t="shared" si="49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-0.14</v>
      </c>
      <c r="BF141" s="32" cm="1">
        <f t="array" ref="BF141">$G$12+VLOOKUP($R141,武学奇术!$A:$ZZ,12,FALSE)+SUM(_xlfn.XLOOKUP($S141:$AL141,增益!$A:$A,增益!$L:$L,0))</f>
        <v>0</v>
      </c>
      <c r="BG141">
        <f t="shared" si="50"/>
        <v>0</v>
      </c>
      <c r="BH141">
        <f t="shared" si="51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-0.14</v>
      </c>
      <c r="BJ141" s="32" cm="1">
        <f t="array" ref="BJ141">$G$13+VLOOKUP($R141,武学奇术!$A:$ZZ,14,FALSE)+SUM(_xlfn.XLOOKUP($S141:$AL141,增益!$A:$A,增益!$N:$N,0))</f>
        <v>0</v>
      </c>
      <c r="BK141">
        <f t="shared" si="52"/>
        <v>571.2</v>
      </c>
      <c r="BL141">
        <f t="shared" si="53"/>
        <v>1627.8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0.08</v>
      </c>
      <c r="BN141" s="32" cm="1">
        <f t="array" ref="BN141">$G$14+VLOOKUP($R141,武学奇术!$A:$ZZ,16,FALSE)+SUM(_xlfn.XLOOKUP($S141:$AL141,增益!$A:$A,增益!$P:$P,0))</f>
        <v>0.27</v>
      </c>
      <c r="BO141" s="26">
        <f>MIN(IF(VLOOKUP($R141,武学奇术!$A:$ZZ,23,FALSE)=1,100%,$B$8),100%)</f>
        <v>0.981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26" cm="1">
        <f t="array" ref="BQ141">1+$B$13+VLOOKUP($R141,武学奇术!$A:$ZZ,18,FALSE)+SUM(_xlfn.XLOOKUP($S141:$AL141,增益!$A:$A,增益!$R:$R,0))</f>
        <v>2.06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54"/>
        <v>0.829926</v>
      </c>
      <c r="BU141" s="26">
        <f t="shared" si="55"/>
        <v>0.0599391</v>
      </c>
      <c r="BV141" s="26">
        <f>IF(VLOOKUP($R141,武学奇术!$A:$ZZ,22,FALSE)=1,0,(1-$BO141))*(1-$BR141)</f>
        <v>0.0172349</v>
      </c>
      <c r="BW141" s="26" cm="1">
        <f t="array" ref="BW141">SUM(_xlfn.XLOOKUP($S141:$AL141,增益!$A:$A,增益!$W:$W,0))+$I$5</f>
        <v>0.11</v>
      </c>
      <c r="BX141" s="26" cm="1">
        <f t="array" ref="BX141">SUM(_xlfn.XLOOKUP($S141:$AL141,增益!$A:$A,增益!$X:$X,0))</f>
        <v>0</v>
      </c>
    </row>
    <row r="142" spans="1:76">
      <c r="K142">
        <f>$L142*VLOOKUP($R142,武学奇术!$A:$ZZ,31,FALSE)</f>
        <v>124628.691095425</v>
      </c>
      <c r="L142" s="38">
        <f t="shared" si="45"/>
        <v>118693.991519452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</f>
        <v>118693.991519452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</f>
        <v>87210.180864016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</f>
        <v>57618.4424851709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</f>
        <v>50636.7509969967</v>
      </c>
      <c r="Q142" s="39">
        <v>1</v>
      </c>
      <c r="R142" s="40" t="s">
        <v>132</v>
      </c>
      <c r="S142" s="40" t="s">
        <v>116</v>
      </c>
      <c r="T142" s="40" t="s">
        <v>102</v>
      </c>
      <c r="U142" s="40" t="s">
        <v>79</v>
      </c>
      <c r="V142" s="40" t="s">
        <v>88</v>
      </c>
      <c r="W142" s="40" t="s">
        <v>181</v>
      </c>
      <c r="X142" s="40" t="s">
        <v>106</v>
      </c>
      <c r="Y142" s="40" t="s">
        <v>91</v>
      </c>
      <c r="Z142" s="40" t="s">
        <v>185</v>
      </c>
      <c r="AA142" s="40" t="s">
        <v>186</v>
      </c>
      <c r="AB142" s="40" t="s">
        <v>133</v>
      </c>
      <c r="AC142" s="40" t="s">
        <v>98</v>
      </c>
      <c r="AD142" s="40" t="s">
        <v>78</v>
      </c>
      <c r="AE142" s="40" t="s">
        <v>83</v>
      </c>
      <c r="AF142" s="40" t="s">
        <v>84</v>
      </c>
      <c r="AG142" s="40" t="s">
        <v>85</v>
      </c>
      <c r="AH142" s="40" t="s">
        <v>78</v>
      </c>
      <c r="AI142" s="40" t="s">
        <v>78</v>
      </c>
      <c r="AJ142" s="40" t="s">
        <v>78</v>
      </c>
      <c r="AK142" s="40" t="s">
        <v>78</v>
      </c>
      <c r="AL142" s="40" t="s">
        <v>78</v>
      </c>
      <c r="AM142" t="str">
        <f>VLOOKUP($R142,武学奇术!$A:$ZZ,25,FALSE)</f>
        <v>伞</v>
      </c>
      <c r="AN142" s="26">
        <f>VLOOKUP($R142,武学奇术!$A:$ZZ,26,FALSE)</f>
        <v>1.8084</v>
      </c>
      <c r="AO142" s="27">
        <f>VLOOKUP($R142,武学奇术!$A:$ZZ,27,FALSE)*(1+IF(OR($AM142=$F$4,$AM142=$F$5),$B$22,0))</f>
        <v>750</v>
      </c>
      <c r="AP142" s="26">
        <f>VLOOKUP($R142,武学奇术!$A:$ZZ,28,FALSE)</f>
        <v>2.7126</v>
      </c>
      <c r="AQ142" s="27">
        <f>VLOOKUP($R142,武学奇术!$A:$ZZ,29,FALSE)*(1+IF(OR($AM142=$F$4,$AM142=$F$5),$B$22,0))</f>
        <v>408</v>
      </c>
      <c r="AR142" s="26" cm="1">
        <f t="array" ref="AR142">$G$3+IFERROR(VLOOKUP($AM142,$F$4:$G$7,2,FALSE),0)+VLOOKUP($R142,武学奇术!$A:$ZZ,2,FALSE)+SUM(_xlfn.XLOOKUP($S142:$AL142,增益!$A:$A,增益!$B:$B,0))</f>
        <v>1.0541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3636.6</v>
      </c>
      <c r="AU142" cm="1">
        <f t="array" ref="AU142">$E$10*(1+$AS142)+VLOOKUP($R142,武学奇术!$A:$ZZ,4,FALSE)+SUM(_xlfn.XLOOKUP($S142:$AL142,增益!$A:$A,增益!$D:$D,0))-$I$2</f>
        <v>3636.6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0.3425</v>
      </c>
      <c r="AW142" s="32" cm="1">
        <f t="array" ref="AW142">$G$10+VLOOKUP($R142,武学奇术!$A:$ZZ,7,FALSE)+SUM(_xlfn.XLOOKUP($S142:$AL142,增益!$A:$A,增益!$G:$G,0))</f>
        <v>0.148</v>
      </c>
      <c r="AX142" s="26" cm="1">
        <f t="array" ref="AX142">VLOOKUP($R142,武学奇术!$A:$ZZ,8,FALSE)+SUM(_xlfn.XLOOKUP($S142:$AL142,增益!$A:$A,增益!$H:$H,0))</f>
        <v>0</v>
      </c>
      <c r="AY142">
        <f t="shared" si="46"/>
        <v>0</v>
      </c>
      <c r="AZ142">
        <f t="shared" si="47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-0.14</v>
      </c>
      <c r="BB142" s="32" cm="1">
        <f t="array" ref="BB142">$G$11+VLOOKUP($R142,武学奇术!$A:$ZZ,10,FALSE)+SUM(_xlfn.XLOOKUP($S142:$AL142,增益!$A:$A,增益!$J:$J,0))</f>
        <v>0.1</v>
      </c>
      <c r="BC142">
        <f t="shared" si="48"/>
        <v>0</v>
      </c>
      <c r="BD142">
        <f t="shared" si="49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-0.14</v>
      </c>
      <c r="BF142" s="32" cm="1">
        <f t="array" ref="BF142">$G$12+VLOOKUP($R142,武学奇术!$A:$ZZ,12,FALSE)+SUM(_xlfn.XLOOKUP($S142:$AL142,增益!$A:$A,增益!$L:$L,0))</f>
        <v>0</v>
      </c>
      <c r="BG142">
        <f t="shared" si="50"/>
        <v>0</v>
      </c>
      <c r="BH142">
        <f t="shared" si="51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-0.14</v>
      </c>
      <c r="BJ142" s="32" cm="1">
        <f t="array" ref="BJ142">$G$13+VLOOKUP($R142,武学奇术!$A:$ZZ,14,FALSE)+SUM(_xlfn.XLOOKUP($S142:$AL142,增益!$A:$A,增益!$N:$N,0))</f>
        <v>0</v>
      </c>
      <c r="BK142">
        <f t="shared" si="52"/>
        <v>571.2</v>
      </c>
      <c r="BL142">
        <f t="shared" si="53"/>
        <v>1627.8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0.08</v>
      </c>
      <c r="BN142" s="32" cm="1">
        <f t="array" ref="BN142">$G$14+VLOOKUP($R142,武学奇术!$A:$ZZ,16,FALSE)+SUM(_xlfn.XLOOKUP($S142:$AL142,增益!$A:$A,增益!$P:$P,0))</f>
        <v>0.27</v>
      </c>
      <c r="BO142" s="26">
        <f>MIN(IF(VLOOKUP($R142,武学奇术!$A:$ZZ,23,FALSE)=1,100%,$B$8),100%)</f>
        <v>1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26" cm="1">
        <f t="array" ref="BQ142">1+$B$13+VLOOKUP($R142,武学奇术!$A:$ZZ,18,FALSE)+SUM(_xlfn.XLOOKUP($S142:$AL142,增益!$A:$A,增益!$R:$R,0))</f>
        <v>2.06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54"/>
        <v>1</v>
      </c>
      <c r="BU142" s="26">
        <f t="shared" si="55"/>
        <v>0</v>
      </c>
      <c r="BV142" s="26">
        <f>IF(VLOOKUP($R142,武学奇术!$A:$ZZ,22,FALSE)=1,0,(1-$BO142))*(1-$BR142)</f>
        <v>0</v>
      </c>
      <c r="BW142" s="26" cm="1">
        <f t="array" ref="BW142">SUM(_xlfn.XLOOKUP($S142:$AL142,增益!$A:$A,增益!$W:$W,0))+$I$5</f>
        <v>0.31</v>
      </c>
      <c r="BX142" s="26" cm="1">
        <f t="array" ref="BX142">SUM(_xlfn.XLOOKUP($S142:$AL142,增益!$A:$A,增益!$X:$X,0))</f>
        <v>0</v>
      </c>
    </row>
    <row r="143" spans="1:76">
      <c r="K143">
        <f>$L143*VLOOKUP($R143,武学奇术!$A:$ZZ,31,FALSE)</f>
        <v>71630.329259553</v>
      </c>
      <c r="L143" s="38">
        <f t="shared" si="45"/>
        <v>68219.3611995743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</f>
        <v>68219.3611995743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</f>
        <v>50883.8298492015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</f>
        <v>33116.1947570749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</f>
        <v>28540.6636999265</v>
      </c>
      <c r="Q143" s="39">
        <v>2</v>
      </c>
      <c r="R143" s="40" t="s">
        <v>139</v>
      </c>
      <c r="S143" s="40" t="s">
        <v>116</v>
      </c>
      <c r="T143" s="40" t="s">
        <v>102</v>
      </c>
      <c r="U143" s="40" t="s">
        <v>79</v>
      </c>
      <c r="V143" s="40" t="s">
        <v>88</v>
      </c>
      <c r="W143" s="40" t="s">
        <v>181</v>
      </c>
      <c r="X143" s="40" t="s">
        <v>106</v>
      </c>
      <c r="Y143" s="40" t="s">
        <v>91</v>
      </c>
      <c r="Z143" s="40" t="s">
        <v>185</v>
      </c>
      <c r="AA143" s="40" t="s">
        <v>186</v>
      </c>
      <c r="AB143" s="40" t="s">
        <v>133</v>
      </c>
      <c r="AC143" s="40" t="s">
        <v>98</v>
      </c>
      <c r="AD143" s="40" t="s">
        <v>78</v>
      </c>
      <c r="AE143" s="40" t="s">
        <v>83</v>
      </c>
      <c r="AF143" s="40" t="s">
        <v>84</v>
      </c>
      <c r="AG143" s="40" t="s">
        <v>85</v>
      </c>
      <c r="AH143" s="40" t="s">
        <v>78</v>
      </c>
      <c r="AI143" s="40" t="s">
        <v>78</v>
      </c>
      <c r="AJ143" s="40" t="s">
        <v>78</v>
      </c>
      <c r="AK143" s="40" t="s">
        <v>78</v>
      </c>
      <c r="AL143" s="40" t="s">
        <v>78</v>
      </c>
      <c r="AM143" t="str">
        <f>VLOOKUP($R143,武学奇术!$A:$ZZ,25,FALSE)</f>
        <v>伞</v>
      </c>
      <c r="AN143" s="26">
        <f>VLOOKUP($R143,武学奇术!$A:$ZZ,26,FALSE)</f>
        <v>0.54</v>
      </c>
      <c r="AO143" s="27">
        <f>VLOOKUP($R143,武学奇术!$A:$ZZ,27,FALSE)*(1+IF(OR($AM143=$F$4,$AM143=$F$5),$B$22,0))</f>
        <v>0</v>
      </c>
      <c r="AP143" s="26">
        <f>VLOOKUP($R143,武学奇术!$A:$ZZ,28,FALSE)</f>
        <v>0.81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1.2541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3636.6</v>
      </c>
      <c r="AU143" cm="1">
        <f t="array" ref="AU143">$E$10*(1+$AS143)+VLOOKUP($R143,武学奇术!$A:$ZZ,4,FALSE)+SUM(_xlfn.XLOOKUP($S143:$AL143,增益!$A:$A,增益!$D:$D,0))-$I$2</f>
        <v>3636.6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0.3425</v>
      </c>
      <c r="AW143" s="32" cm="1">
        <f t="array" ref="AW143">$G$10+VLOOKUP($R143,武学奇术!$A:$ZZ,7,FALSE)+SUM(_xlfn.XLOOKUP($S143:$AL143,增益!$A:$A,增益!$G:$G,0))</f>
        <v>0.148</v>
      </c>
      <c r="AX143" s="26" cm="1">
        <f t="array" ref="AX143">VLOOKUP($R143,武学奇术!$A:$ZZ,8,FALSE)+SUM(_xlfn.XLOOKUP($S143:$AL143,增益!$A:$A,增益!$H:$H,0))</f>
        <v>0</v>
      </c>
      <c r="AY143">
        <f t="shared" si="46"/>
        <v>0</v>
      </c>
      <c r="AZ143">
        <f t="shared" si="47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-0.14</v>
      </c>
      <c r="BB143" s="32" cm="1">
        <f t="array" ref="BB143">$G$11+VLOOKUP($R143,武学奇术!$A:$ZZ,10,FALSE)+SUM(_xlfn.XLOOKUP($S143:$AL143,增益!$A:$A,增益!$J:$J,0))</f>
        <v>0.1</v>
      </c>
      <c r="BC143">
        <f t="shared" si="48"/>
        <v>0</v>
      </c>
      <c r="BD143">
        <f t="shared" si="49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-0.14</v>
      </c>
      <c r="BF143" s="32" cm="1">
        <f t="array" ref="BF143">$G$12+VLOOKUP($R143,武学奇术!$A:$ZZ,12,FALSE)+SUM(_xlfn.XLOOKUP($S143:$AL143,增益!$A:$A,增益!$L:$L,0))</f>
        <v>0</v>
      </c>
      <c r="BG143">
        <f t="shared" si="50"/>
        <v>0</v>
      </c>
      <c r="BH143">
        <f t="shared" si="51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-0.14</v>
      </c>
      <c r="BJ143" s="32" cm="1">
        <f t="array" ref="BJ143">$G$13+VLOOKUP($R143,武学奇术!$A:$ZZ,14,FALSE)+SUM(_xlfn.XLOOKUP($S143:$AL143,增益!$A:$A,增益!$N:$N,0))</f>
        <v>0</v>
      </c>
      <c r="BK143">
        <f t="shared" si="52"/>
        <v>571.2</v>
      </c>
      <c r="BL143">
        <f t="shared" si="53"/>
        <v>1627.8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0.08</v>
      </c>
      <c r="BN143" s="32" cm="1">
        <f t="array" ref="BN143">$G$14+VLOOKUP($R143,武学奇术!$A:$ZZ,16,FALSE)+SUM(_xlfn.XLOOKUP($S143:$AL143,增益!$A:$A,增益!$P:$P,0))</f>
        <v>0.27</v>
      </c>
      <c r="BO143" s="26">
        <f>MIN(IF(VLOOKUP($R143,武学奇术!$A:$ZZ,23,FALSE)=1,100%,$B$8),100%)</f>
        <v>1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26" cm="1">
        <f t="array" ref="BQ143">1+$B$13+VLOOKUP($R143,武学奇术!$A:$ZZ,18,FALSE)+SUM(_xlfn.XLOOKUP($S143:$AL143,增益!$A:$A,增益!$R:$R,0))</f>
        <v>2.06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54"/>
        <v>1</v>
      </c>
      <c r="BU143" s="26">
        <f t="shared" si="55"/>
        <v>0</v>
      </c>
      <c r="BV143" s="26">
        <f>IF(VLOOKUP($R143,武学奇术!$A:$ZZ,22,FALSE)=1,0,(1-$BO143))*(1-$BR143)</f>
        <v>0</v>
      </c>
      <c r="BW143" s="26" cm="1">
        <f t="array" ref="BW143">SUM(_xlfn.XLOOKUP($S143:$AL143,增益!$A:$A,增益!$W:$W,0))+$I$5</f>
        <v>0.31</v>
      </c>
      <c r="BX143" s="26" cm="1">
        <f t="array" ref="BX143">SUM(_xlfn.XLOOKUP($S143:$AL143,增益!$A:$A,增益!$X:$X,0))</f>
        <v>0</v>
      </c>
    </row>
    <row r="144" spans="1:76">
      <c r="K144">
        <f>$L144*VLOOKUP($R144,武学奇术!$A:$ZZ,31,FALSE)</f>
        <v>105140.712495121</v>
      </c>
      <c r="L144" s="38">
        <f t="shared" si="45"/>
        <v>100134.011900115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</f>
        <v>107137.203483869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</f>
        <v>78718.853191165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</f>
        <v>52008.3512057619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</f>
        <v>45706.4407884385</v>
      </c>
      <c r="Q144" s="39">
        <v>1</v>
      </c>
      <c r="R144" s="40" t="s">
        <v>115</v>
      </c>
      <c r="S144" s="40" t="s">
        <v>116</v>
      </c>
      <c r="T144" s="40" t="s">
        <v>102</v>
      </c>
      <c r="U144" s="40" t="s">
        <v>79</v>
      </c>
      <c r="V144" s="40" t="s">
        <v>88</v>
      </c>
      <c r="W144" s="40" t="s">
        <v>181</v>
      </c>
      <c r="X144" s="40" t="s">
        <v>106</v>
      </c>
      <c r="Y144" s="40" t="s">
        <v>91</v>
      </c>
      <c r="Z144" s="40" t="s">
        <v>185</v>
      </c>
      <c r="AA144" s="40" t="s">
        <v>186</v>
      </c>
      <c r="AB144" s="40" t="s">
        <v>133</v>
      </c>
      <c r="AC144" s="40" t="s">
        <v>98</v>
      </c>
      <c r="AD144" s="40" t="s">
        <v>187</v>
      </c>
      <c r="AE144" s="40" t="s">
        <v>83</v>
      </c>
      <c r="AF144" s="40" t="s">
        <v>84</v>
      </c>
      <c r="AG144" s="40" t="s">
        <v>85</v>
      </c>
      <c r="AH144" s="40" t="s">
        <v>78</v>
      </c>
      <c r="AI144" s="40" t="s">
        <v>78</v>
      </c>
      <c r="AJ144" s="40" t="s">
        <v>78</v>
      </c>
      <c r="AK144" s="40" t="s">
        <v>78</v>
      </c>
      <c r="AL144" s="40" t="s">
        <v>78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750</v>
      </c>
      <c r="AP144" s="26">
        <f>VLOOKUP($R144,武学奇术!$A:$ZZ,28,FALSE)</f>
        <v>2.7126</v>
      </c>
      <c r="AQ144" s="27">
        <f>VLOOKUP($R144,武学奇术!$A:$ZZ,29,FALSE)*(1+IF(OR($AM144=$F$4,$AM144=$F$5),$B$22,0))</f>
        <v>408</v>
      </c>
      <c r="AR144" s="26" cm="1">
        <f t="array" ref="AR144">$G$3+IFERROR(VLOOKUP($AM144,$F$4:$G$7,2,FALSE),0)+VLOOKUP($R144,武学奇术!$A:$ZZ,2,FALSE)+SUM(_xlfn.XLOOKUP($S144:$AL144,增益!$A:$A,增益!$B:$B,0))</f>
        <v>0.8541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3636.6</v>
      </c>
      <c r="AU144" cm="1">
        <f t="array" ref="AU144">$E$10*(1+$AS144)+VLOOKUP($R144,武学奇术!$A:$ZZ,4,FALSE)+SUM(_xlfn.XLOOKUP($S144:$AL144,增益!$A:$A,增益!$D:$D,0))-$I$2</f>
        <v>3636.6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0.3425</v>
      </c>
      <c r="AW144" s="32" cm="1">
        <f t="array" ref="AW144">$G$10+VLOOKUP($R144,武学奇术!$A:$ZZ,7,FALSE)+SUM(_xlfn.XLOOKUP($S144:$AL144,增益!$A:$A,增益!$G:$G,0))</f>
        <v>0.148</v>
      </c>
      <c r="AX144" s="26" cm="1">
        <f t="array" ref="AX144">VLOOKUP($R144,武学奇术!$A:$ZZ,8,FALSE)+SUM(_xlfn.XLOOKUP($S144:$AL144,增益!$A:$A,增益!$H:$H,0))</f>
        <v>0</v>
      </c>
      <c r="AY144">
        <f t="shared" si="46"/>
        <v>0</v>
      </c>
      <c r="AZ144">
        <f t="shared" si="47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-0.14</v>
      </c>
      <c r="BB144" s="32" cm="1">
        <f t="array" ref="BB144">$G$11+VLOOKUP($R144,武学奇术!$A:$ZZ,10,FALSE)+SUM(_xlfn.XLOOKUP($S144:$AL144,增益!$A:$A,增益!$J:$J,0))</f>
        <v>0.1</v>
      </c>
      <c r="BC144">
        <f t="shared" si="48"/>
        <v>0</v>
      </c>
      <c r="BD144">
        <f t="shared" si="49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-0.14</v>
      </c>
      <c r="BF144" s="32" cm="1">
        <f t="array" ref="BF144">$G$12+VLOOKUP($R144,武学奇术!$A:$ZZ,12,FALSE)+SUM(_xlfn.XLOOKUP($S144:$AL144,增益!$A:$A,增益!$L:$L,0))</f>
        <v>0</v>
      </c>
      <c r="BG144">
        <f t="shared" si="50"/>
        <v>0</v>
      </c>
      <c r="BH144">
        <f t="shared" si="51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-0.14</v>
      </c>
      <c r="BJ144" s="32" cm="1">
        <f t="array" ref="BJ144">$G$13+VLOOKUP($R144,武学奇术!$A:$ZZ,14,FALSE)+SUM(_xlfn.XLOOKUP($S144:$AL144,增益!$A:$A,增益!$N:$N,0))</f>
        <v>0</v>
      </c>
      <c r="BK144">
        <f t="shared" si="52"/>
        <v>571.2</v>
      </c>
      <c r="BL144">
        <f t="shared" si="53"/>
        <v>1627.8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0.08</v>
      </c>
      <c r="BN144" s="32" cm="1">
        <f t="array" ref="BN144">$G$14+VLOOKUP($R144,武学奇术!$A:$ZZ,16,FALSE)+SUM(_xlfn.XLOOKUP($S144:$AL144,增益!$A:$A,增益!$P:$P,0))</f>
        <v>0.27</v>
      </c>
      <c r="BO144" s="26">
        <f>MIN(IF(VLOOKUP($R144,武学奇术!$A:$ZZ,23,FALSE)=1,100%,$B$8),100%)</f>
        <v>0.981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26" cm="1">
        <f t="array" ref="BQ144">1+$B$13+VLOOKUP($R144,武学奇术!$A:$ZZ,18,FALSE)+SUM(_xlfn.XLOOKUP($S144:$AL144,增益!$A:$A,增益!$R:$R,0))</f>
        <v>2.06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54"/>
        <v>0.829926</v>
      </c>
      <c r="BU144" s="26">
        <f t="shared" si="55"/>
        <v>0.0599391</v>
      </c>
      <c r="BV144" s="26">
        <f>IF(VLOOKUP($R144,武学奇术!$A:$ZZ,22,FALSE)=1,0,(1-$BO144))*(1-$BR144)</f>
        <v>0.0172349</v>
      </c>
      <c r="BW144" s="26" cm="1">
        <f t="array" ref="BW144">SUM(_xlfn.XLOOKUP($S144:$AL144,增益!$A:$A,增益!$W:$W,0))+$I$5</f>
        <v>0.31</v>
      </c>
      <c r="BX144" s="26" cm="1">
        <f t="array" ref="BX144">SUM(_xlfn.XLOOKUP($S144:$AL144,增益!$A:$A,增益!$X:$X,0))</f>
        <v>0</v>
      </c>
    </row>
    <row r="145" spans="11:76">
      <c r="K145">
        <f>$L145*VLOOKUP($R145,武学奇术!$A:$ZZ,31,FALSE)</f>
        <v>61066.2385117909</v>
      </c>
      <c r="L145" s="38">
        <f t="shared" si="45"/>
        <v>58158.3223921818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</f>
        <v>62166.4477352582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</f>
        <v>46369.0496842397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</f>
        <v>30177.8872501253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</f>
        <v>26008.3302897028</v>
      </c>
      <c r="Q145" s="39">
        <v>2</v>
      </c>
      <c r="R145" s="40" t="s">
        <v>119</v>
      </c>
      <c r="S145" s="40" t="s">
        <v>116</v>
      </c>
      <c r="T145" s="40" t="s">
        <v>102</v>
      </c>
      <c r="U145" s="40" t="s">
        <v>79</v>
      </c>
      <c r="V145" s="40" t="s">
        <v>88</v>
      </c>
      <c r="W145" s="40" t="s">
        <v>181</v>
      </c>
      <c r="X145" s="40" t="s">
        <v>106</v>
      </c>
      <c r="Y145" s="40" t="s">
        <v>91</v>
      </c>
      <c r="Z145" s="40" t="s">
        <v>185</v>
      </c>
      <c r="AA145" s="40" t="s">
        <v>186</v>
      </c>
      <c r="AB145" s="40" t="s">
        <v>133</v>
      </c>
      <c r="AC145" s="40" t="s">
        <v>98</v>
      </c>
      <c r="AD145" s="40" t="s">
        <v>187</v>
      </c>
      <c r="AE145" s="40" t="s">
        <v>83</v>
      </c>
      <c r="AF145" s="40" t="s">
        <v>84</v>
      </c>
      <c r="AG145" s="40" t="s">
        <v>85</v>
      </c>
      <c r="AH145" s="40" t="s">
        <v>78</v>
      </c>
      <c r="AI145" s="40" t="s">
        <v>78</v>
      </c>
      <c r="AJ145" s="40" t="s">
        <v>78</v>
      </c>
      <c r="AK145" s="40" t="s">
        <v>78</v>
      </c>
      <c r="AL145" s="40" t="s">
        <v>78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1.0541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3636.6</v>
      </c>
      <c r="AU145" cm="1">
        <f t="array" ref="AU145">$E$10*(1+$AS145)+VLOOKUP($R145,武学奇术!$A:$ZZ,4,FALSE)+SUM(_xlfn.XLOOKUP($S145:$AL145,增益!$A:$A,增益!$D:$D,0))-$I$2</f>
        <v>3636.6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0.3425</v>
      </c>
      <c r="AW145" s="32" cm="1">
        <f t="array" ref="AW145">$G$10+VLOOKUP($R145,武学奇术!$A:$ZZ,7,FALSE)+SUM(_xlfn.XLOOKUP($S145:$AL145,增益!$A:$A,增益!$G:$G,0))</f>
        <v>0.148</v>
      </c>
      <c r="AX145" s="26" cm="1">
        <f t="array" ref="AX145">VLOOKUP($R145,武学奇术!$A:$ZZ,8,FALSE)+SUM(_xlfn.XLOOKUP($S145:$AL145,增益!$A:$A,增益!$H:$H,0))</f>
        <v>0</v>
      </c>
      <c r="AY145">
        <f t="shared" si="46"/>
        <v>0</v>
      </c>
      <c r="AZ145">
        <f t="shared" si="47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-0.14</v>
      </c>
      <c r="BB145" s="32" cm="1">
        <f t="array" ref="BB145">$G$11+VLOOKUP($R145,武学奇术!$A:$ZZ,10,FALSE)+SUM(_xlfn.XLOOKUP($S145:$AL145,增益!$A:$A,增益!$J:$J,0))</f>
        <v>0.1</v>
      </c>
      <c r="BC145">
        <f t="shared" si="48"/>
        <v>0</v>
      </c>
      <c r="BD145">
        <f t="shared" si="49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-0.14</v>
      </c>
      <c r="BF145" s="32" cm="1">
        <f t="array" ref="BF145">$G$12+VLOOKUP($R145,武学奇术!$A:$ZZ,12,FALSE)+SUM(_xlfn.XLOOKUP($S145:$AL145,增益!$A:$A,增益!$L:$L,0))</f>
        <v>0</v>
      </c>
      <c r="BG145">
        <f t="shared" si="50"/>
        <v>0</v>
      </c>
      <c r="BH145">
        <f t="shared" si="51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-0.14</v>
      </c>
      <c r="BJ145" s="32" cm="1">
        <f t="array" ref="BJ145">$G$13+VLOOKUP($R145,武学奇术!$A:$ZZ,14,FALSE)+SUM(_xlfn.XLOOKUP($S145:$AL145,增益!$A:$A,增益!$N:$N,0))</f>
        <v>0</v>
      </c>
      <c r="BK145">
        <f t="shared" si="52"/>
        <v>571.2</v>
      </c>
      <c r="BL145">
        <f t="shared" si="53"/>
        <v>1627.8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0.08</v>
      </c>
      <c r="BN145" s="32" cm="1">
        <f t="array" ref="BN145">$G$14+VLOOKUP($R145,武学奇术!$A:$ZZ,16,FALSE)+SUM(_xlfn.XLOOKUP($S145:$AL145,增益!$A:$A,增益!$P:$P,0))</f>
        <v>0.27</v>
      </c>
      <c r="BO145" s="26">
        <f>MIN(IF(VLOOKUP($R145,武学奇术!$A:$ZZ,23,FALSE)=1,100%,$B$8),100%)</f>
        <v>0.981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26" cm="1">
        <f t="array" ref="BQ145">1+$B$13+VLOOKUP($R145,武学奇术!$A:$ZZ,18,FALSE)+SUM(_xlfn.XLOOKUP($S145:$AL145,增益!$A:$A,增益!$R:$R,0))</f>
        <v>2.06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54"/>
        <v>0.829926</v>
      </c>
      <c r="BU145" s="26">
        <f t="shared" si="55"/>
        <v>0.0599391</v>
      </c>
      <c r="BV145" s="26">
        <f>IF(VLOOKUP($R145,武学奇术!$A:$ZZ,22,FALSE)=1,0,(1-$BO145))*(1-$BR145)</f>
        <v>0.0172349</v>
      </c>
      <c r="BW145" s="26" cm="1">
        <f t="array" ref="BW145">SUM(_xlfn.XLOOKUP($S145:$AL145,增益!$A:$A,增益!$W:$W,0))+$I$5</f>
        <v>0.31</v>
      </c>
      <c r="BX145" s="26" cm="1">
        <f t="array" ref="BX145">SUM(_xlfn.XLOOKUP($S145:$AL145,增益!$A:$A,增益!$X:$X,0))</f>
        <v>0</v>
      </c>
    </row>
    <row r="146" spans="11:76">
      <c r="K146">
        <f>$L146*VLOOKUP($R146,武学奇术!$A:$ZZ,31,FALSE)</f>
        <v>124628.691095425</v>
      </c>
      <c r="L146" s="38">
        <f t="shared" si="45"/>
        <v>118693.991519452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</f>
        <v>118693.991519452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</f>
        <v>87210.180864016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</f>
        <v>57618.4424851709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</f>
        <v>50636.7509969967</v>
      </c>
      <c r="Q146" s="39">
        <v>1</v>
      </c>
      <c r="R146" s="40" t="s">
        <v>132</v>
      </c>
      <c r="S146" s="40" t="s">
        <v>116</v>
      </c>
      <c r="T146" s="40" t="s">
        <v>102</v>
      </c>
      <c r="U146" s="40" t="s">
        <v>79</v>
      </c>
      <c r="V146" s="40" t="s">
        <v>88</v>
      </c>
      <c r="W146" s="40" t="s">
        <v>181</v>
      </c>
      <c r="X146" s="40" t="s">
        <v>106</v>
      </c>
      <c r="Y146" s="40" t="s">
        <v>91</v>
      </c>
      <c r="Z146" s="40" t="s">
        <v>185</v>
      </c>
      <c r="AA146" s="40" t="s">
        <v>186</v>
      </c>
      <c r="AB146" s="40" t="s">
        <v>133</v>
      </c>
      <c r="AC146" s="40" t="s">
        <v>92</v>
      </c>
      <c r="AD146" s="40" t="s">
        <v>187</v>
      </c>
      <c r="AE146" s="40" t="s">
        <v>83</v>
      </c>
      <c r="AF146" s="40" t="s">
        <v>84</v>
      </c>
      <c r="AG146" s="40" t="s">
        <v>85</v>
      </c>
      <c r="AH146" s="40" t="s">
        <v>78</v>
      </c>
      <c r="AI146" s="40" t="s">
        <v>78</v>
      </c>
      <c r="AJ146" s="40" t="s">
        <v>78</v>
      </c>
      <c r="AK146" s="40" t="s">
        <v>78</v>
      </c>
      <c r="AL146" s="40" t="s">
        <v>78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750</v>
      </c>
      <c r="AP146" s="26">
        <f>VLOOKUP($R146,武学奇术!$A:$ZZ,28,FALSE)</f>
        <v>2.7126</v>
      </c>
      <c r="AQ146" s="27">
        <f>VLOOKUP($R146,武学奇术!$A:$ZZ,29,FALSE)*(1+IF(OR($AM146=$F$4,$AM146=$F$5),$B$22,0))</f>
        <v>408</v>
      </c>
      <c r="AR146" s="26" cm="1">
        <f t="array" ref="AR146">$G$3+IFERROR(VLOOKUP($AM146,$F$4:$G$7,2,FALSE),0)+VLOOKUP($R146,武学奇术!$A:$ZZ,2,FALSE)+SUM(_xlfn.XLOOKUP($S146:$AL146,增益!$A:$A,增益!$B:$B,0))</f>
        <v>1.0541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3636.6</v>
      </c>
      <c r="AU146" cm="1">
        <f t="array" ref="AU146">$E$10*(1+$AS146)+VLOOKUP($R146,武学奇术!$A:$ZZ,4,FALSE)+SUM(_xlfn.XLOOKUP($S146:$AL146,增益!$A:$A,增益!$D:$D,0))-$I$2</f>
        <v>3636.6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0.3425</v>
      </c>
      <c r="AW146" s="32" cm="1">
        <f t="array" ref="AW146">$G$10+VLOOKUP($R146,武学奇术!$A:$ZZ,7,FALSE)+SUM(_xlfn.XLOOKUP($S146:$AL146,增益!$A:$A,增益!$G:$G,0))</f>
        <v>0.148</v>
      </c>
      <c r="AX146" s="26" cm="1">
        <f t="array" ref="AX146">VLOOKUP($R146,武学奇术!$A:$ZZ,8,FALSE)+SUM(_xlfn.XLOOKUP($S146:$AL146,增益!$A:$A,增益!$H:$H,0))</f>
        <v>0</v>
      </c>
      <c r="AY146">
        <f t="shared" si="46"/>
        <v>0</v>
      </c>
      <c r="AZ146">
        <f t="shared" si="47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-0.14</v>
      </c>
      <c r="BB146" s="32" cm="1">
        <f t="array" ref="BB146">$G$11+VLOOKUP($R146,武学奇术!$A:$ZZ,10,FALSE)+SUM(_xlfn.XLOOKUP($S146:$AL146,增益!$A:$A,增益!$J:$J,0))</f>
        <v>0.1</v>
      </c>
      <c r="BC146">
        <f t="shared" si="48"/>
        <v>0</v>
      </c>
      <c r="BD146">
        <f t="shared" si="49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-0.14</v>
      </c>
      <c r="BF146" s="32" cm="1">
        <f t="array" ref="BF146">$G$12+VLOOKUP($R146,武学奇术!$A:$ZZ,12,FALSE)+SUM(_xlfn.XLOOKUP($S146:$AL146,增益!$A:$A,增益!$L:$L,0))</f>
        <v>0</v>
      </c>
      <c r="BG146">
        <f t="shared" si="50"/>
        <v>0</v>
      </c>
      <c r="BH146">
        <f t="shared" si="51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-0.14</v>
      </c>
      <c r="BJ146" s="32" cm="1">
        <f t="array" ref="BJ146">$G$13+VLOOKUP($R146,武学奇术!$A:$ZZ,14,FALSE)+SUM(_xlfn.XLOOKUP($S146:$AL146,增益!$A:$A,增益!$N:$N,0))</f>
        <v>0</v>
      </c>
      <c r="BK146">
        <f t="shared" si="52"/>
        <v>571.2</v>
      </c>
      <c r="BL146">
        <f t="shared" si="53"/>
        <v>1627.8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0.08</v>
      </c>
      <c r="BN146" s="32" cm="1">
        <f t="array" ref="BN146">$G$14+VLOOKUP($R146,武学奇术!$A:$ZZ,16,FALSE)+SUM(_xlfn.XLOOKUP($S146:$AL146,增益!$A:$A,增益!$P:$P,0))</f>
        <v>0.27</v>
      </c>
      <c r="BO146" s="26">
        <f>MIN(IF(VLOOKUP($R146,武学奇术!$A:$ZZ,23,FALSE)=1,100%,$B$8),100%)</f>
        <v>1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26" cm="1">
        <f t="array" ref="BQ146">1+$B$13+VLOOKUP($R146,武学奇术!$A:$ZZ,18,FALSE)+SUM(_xlfn.XLOOKUP($S146:$AL146,增益!$A:$A,增益!$R:$R,0))</f>
        <v>2.06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54"/>
        <v>1</v>
      </c>
      <c r="BU146" s="26">
        <f t="shared" si="55"/>
        <v>0</v>
      </c>
      <c r="BV146" s="26">
        <f>IF(VLOOKUP($R146,武学奇术!$A:$ZZ,22,FALSE)=1,0,(1-$BO146))*(1-$BR146)</f>
        <v>0</v>
      </c>
      <c r="BW146" s="26" cm="1">
        <f t="array" ref="BW146">SUM(_xlfn.XLOOKUP($S146:$AL146,增益!$A:$A,增益!$W:$W,0))+$I$5</f>
        <v>0.31</v>
      </c>
      <c r="BX146" s="26" cm="1">
        <f t="array" ref="BX146">SUM(_xlfn.XLOOKUP($S146:$AL146,增益!$A:$A,增益!$X:$X,0))</f>
        <v>0</v>
      </c>
    </row>
    <row r="147" spans="11:76">
      <c r="K147">
        <f>$L147*VLOOKUP($R147,武学奇术!$A:$ZZ,31,FALSE)</f>
        <v>71630.329259553</v>
      </c>
      <c r="L147" s="38">
        <f t="shared" si="45"/>
        <v>68219.3611995743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</f>
        <v>68219.3611995743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</f>
        <v>50883.8298492015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</f>
        <v>33116.1947570749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</f>
        <v>28540.6636999265</v>
      </c>
      <c r="Q147" s="39">
        <v>2</v>
      </c>
      <c r="R147" s="40" t="s">
        <v>139</v>
      </c>
      <c r="S147" s="40" t="s">
        <v>116</v>
      </c>
      <c r="T147" s="40" t="s">
        <v>102</v>
      </c>
      <c r="U147" s="40" t="s">
        <v>79</v>
      </c>
      <c r="V147" s="40" t="s">
        <v>88</v>
      </c>
      <c r="W147" s="40" t="s">
        <v>181</v>
      </c>
      <c r="X147" s="40" t="s">
        <v>106</v>
      </c>
      <c r="Y147" s="40" t="s">
        <v>91</v>
      </c>
      <c r="Z147" s="40" t="s">
        <v>185</v>
      </c>
      <c r="AA147" s="40" t="s">
        <v>186</v>
      </c>
      <c r="AB147" s="40" t="s">
        <v>133</v>
      </c>
      <c r="AC147" s="40" t="s">
        <v>92</v>
      </c>
      <c r="AD147" s="40" t="s">
        <v>187</v>
      </c>
      <c r="AE147" s="40" t="s">
        <v>83</v>
      </c>
      <c r="AF147" s="40" t="s">
        <v>84</v>
      </c>
      <c r="AG147" s="40" t="s">
        <v>85</v>
      </c>
      <c r="AH147" s="40" t="s">
        <v>78</v>
      </c>
      <c r="AI147" s="40" t="s">
        <v>78</v>
      </c>
      <c r="AJ147" s="40" t="s">
        <v>78</v>
      </c>
      <c r="AK147" s="40" t="s">
        <v>78</v>
      </c>
      <c r="AL147" s="40" t="s">
        <v>78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1.2541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3636.6</v>
      </c>
      <c r="AU147" cm="1">
        <f t="array" ref="AU147">$E$10*(1+$AS147)+VLOOKUP($R147,武学奇术!$A:$ZZ,4,FALSE)+SUM(_xlfn.XLOOKUP($S147:$AL147,增益!$A:$A,增益!$D:$D,0))-$I$2</f>
        <v>3636.6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0.3425</v>
      </c>
      <c r="AW147" s="32" cm="1">
        <f t="array" ref="AW147">$G$10+VLOOKUP($R147,武学奇术!$A:$ZZ,7,FALSE)+SUM(_xlfn.XLOOKUP($S147:$AL147,增益!$A:$A,增益!$G:$G,0))</f>
        <v>0.148</v>
      </c>
      <c r="AX147" s="26" cm="1">
        <f t="array" ref="AX147">VLOOKUP($R147,武学奇术!$A:$ZZ,8,FALSE)+SUM(_xlfn.XLOOKUP($S147:$AL147,增益!$A:$A,增益!$H:$H,0))</f>
        <v>0</v>
      </c>
      <c r="AY147">
        <f t="shared" si="46"/>
        <v>0</v>
      </c>
      <c r="AZ147">
        <f t="shared" si="47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-0.14</v>
      </c>
      <c r="BB147" s="32" cm="1">
        <f t="array" ref="BB147">$G$11+VLOOKUP($R147,武学奇术!$A:$ZZ,10,FALSE)+SUM(_xlfn.XLOOKUP($S147:$AL147,增益!$A:$A,增益!$J:$J,0))</f>
        <v>0.1</v>
      </c>
      <c r="BC147">
        <f t="shared" si="48"/>
        <v>0</v>
      </c>
      <c r="BD147">
        <f t="shared" si="49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-0.14</v>
      </c>
      <c r="BF147" s="32" cm="1">
        <f t="array" ref="BF147">$G$12+VLOOKUP($R147,武学奇术!$A:$ZZ,12,FALSE)+SUM(_xlfn.XLOOKUP($S147:$AL147,增益!$A:$A,增益!$L:$L,0))</f>
        <v>0</v>
      </c>
      <c r="BG147">
        <f t="shared" si="50"/>
        <v>0</v>
      </c>
      <c r="BH147">
        <f t="shared" si="51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-0.14</v>
      </c>
      <c r="BJ147" s="32" cm="1">
        <f t="array" ref="BJ147">$G$13+VLOOKUP($R147,武学奇术!$A:$ZZ,14,FALSE)+SUM(_xlfn.XLOOKUP($S147:$AL147,增益!$A:$A,增益!$N:$N,0))</f>
        <v>0</v>
      </c>
      <c r="BK147">
        <f t="shared" si="52"/>
        <v>571.2</v>
      </c>
      <c r="BL147">
        <f t="shared" si="53"/>
        <v>1627.8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0.08</v>
      </c>
      <c r="BN147" s="32" cm="1">
        <f t="array" ref="BN147">$G$14+VLOOKUP($R147,武学奇术!$A:$ZZ,16,FALSE)+SUM(_xlfn.XLOOKUP($S147:$AL147,增益!$A:$A,增益!$P:$P,0))</f>
        <v>0.27</v>
      </c>
      <c r="BO147" s="26">
        <f>MIN(IF(VLOOKUP($R147,武学奇术!$A:$ZZ,23,FALSE)=1,100%,$B$8),100%)</f>
        <v>1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26" cm="1">
        <f t="array" ref="BQ147">1+$B$13+VLOOKUP($R147,武学奇术!$A:$ZZ,18,FALSE)+SUM(_xlfn.XLOOKUP($S147:$AL147,增益!$A:$A,增益!$R:$R,0))</f>
        <v>2.06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54"/>
        <v>1</v>
      </c>
      <c r="BU147" s="26">
        <f t="shared" si="55"/>
        <v>0</v>
      </c>
      <c r="BV147" s="26">
        <f>IF(VLOOKUP($R147,武学奇术!$A:$ZZ,22,FALSE)=1,0,(1-$BO147))*(1-$BR147)</f>
        <v>0</v>
      </c>
      <c r="BW147" s="26" cm="1">
        <f t="array" ref="BW147">SUM(_xlfn.XLOOKUP($S147:$AL147,增益!$A:$A,增益!$W:$W,0))+$I$5</f>
        <v>0.31</v>
      </c>
      <c r="BX147" s="26" cm="1">
        <f t="array" ref="BX147">SUM(_xlfn.XLOOKUP($S147:$AL147,增益!$A:$A,增益!$X:$X,0))</f>
        <v>0</v>
      </c>
    </row>
    <row r="148" spans="11:76">
      <c r="K148">
        <f>$L148*VLOOKUP($R148,武学奇术!$A:$ZZ,31,FALSE)</f>
        <v>105140.712495121</v>
      </c>
      <c r="L148" s="38">
        <f t="shared" si="45"/>
        <v>100134.011900115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</f>
        <v>107137.203483869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</f>
        <v>78718.853191165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</f>
        <v>52008.3512057619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</f>
        <v>45706.4407884385</v>
      </c>
      <c r="Q148" s="39">
        <v>1</v>
      </c>
      <c r="R148" s="40" t="s">
        <v>115</v>
      </c>
      <c r="S148" s="40" t="s">
        <v>116</v>
      </c>
      <c r="T148" s="40" t="s">
        <v>102</v>
      </c>
      <c r="U148" s="40" t="s">
        <v>79</v>
      </c>
      <c r="V148" s="40" t="s">
        <v>88</v>
      </c>
      <c r="W148" s="40" t="s">
        <v>181</v>
      </c>
      <c r="X148" s="40" t="s">
        <v>106</v>
      </c>
      <c r="Y148" s="40" t="s">
        <v>91</v>
      </c>
      <c r="Z148" s="40" t="s">
        <v>185</v>
      </c>
      <c r="AA148" s="40" t="s">
        <v>186</v>
      </c>
      <c r="AB148" s="40" t="s">
        <v>133</v>
      </c>
      <c r="AC148" s="40" t="s">
        <v>92</v>
      </c>
      <c r="AD148" s="40" t="s">
        <v>187</v>
      </c>
      <c r="AE148" s="40" t="s">
        <v>83</v>
      </c>
      <c r="AF148" s="40" t="s">
        <v>84</v>
      </c>
      <c r="AG148" s="40" t="s">
        <v>85</v>
      </c>
      <c r="AH148" s="40" t="s">
        <v>78</v>
      </c>
      <c r="AI148" s="40" t="s">
        <v>78</v>
      </c>
      <c r="AJ148" s="40" t="s">
        <v>78</v>
      </c>
      <c r="AK148" s="40" t="s">
        <v>78</v>
      </c>
      <c r="AL148" s="40" t="s">
        <v>78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750</v>
      </c>
      <c r="AP148" s="26">
        <f>VLOOKUP($R148,武学奇术!$A:$ZZ,28,FALSE)</f>
        <v>2.7126</v>
      </c>
      <c r="AQ148" s="27">
        <f>VLOOKUP($R148,武学奇术!$A:$ZZ,29,FALSE)*(1+IF(OR($AM148=$F$4,$AM148=$F$5),$B$22,0))</f>
        <v>408</v>
      </c>
      <c r="AR148" s="26" cm="1">
        <f t="array" ref="AR148">$G$3+IFERROR(VLOOKUP($AM148,$F$4:$G$7,2,FALSE),0)+VLOOKUP($R148,武学奇术!$A:$ZZ,2,FALSE)+SUM(_xlfn.XLOOKUP($S148:$AL148,增益!$A:$A,增益!$B:$B,0))</f>
        <v>0.8541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3636.6</v>
      </c>
      <c r="AU148" cm="1">
        <f t="array" ref="AU148">$E$10*(1+$AS148)+VLOOKUP($R148,武学奇术!$A:$ZZ,4,FALSE)+SUM(_xlfn.XLOOKUP($S148:$AL148,增益!$A:$A,增益!$D:$D,0))-$I$2</f>
        <v>3636.6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0.3425</v>
      </c>
      <c r="AW148" s="32" cm="1">
        <f t="array" ref="AW148">$G$10+VLOOKUP($R148,武学奇术!$A:$ZZ,7,FALSE)+SUM(_xlfn.XLOOKUP($S148:$AL148,增益!$A:$A,增益!$G:$G,0))</f>
        <v>0.148</v>
      </c>
      <c r="AX148" s="26" cm="1">
        <f t="array" ref="AX148">VLOOKUP($R148,武学奇术!$A:$ZZ,8,FALSE)+SUM(_xlfn.XLOOKUP($S148:$AL148,增益!$A:$A,增益!$H:$H,0))</f>
        <v>0</v>
      </c>
      <c r="AY148">
        <f t="shared" si="46"/>
        <v>0</v>
      </c>
      <c r="AZ148">
        <f t="shared" si="47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2" cm="1">
        <f t="array" ref="BB148">$G$11+VLOOKUP($R148,武学奇术!$A:$ZZ,10,FALSE)+SUM(_xlfn.XLOOKUP($S148:$AL148,增益!$A:$A,增益!$J:$J,0))</f>
        <v>0.1</v>
      </c>
      <c r="BC148">
        <f t="shared" si="48"/>
        <v>0</v>
      </c>
      <c r="BD148">
        <f t="shared" si="49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-0.14</v>
      </c>
      <c r="BF148" s="32" cm="1">
        <f t="array" ref="BF148">$G$12+VLOOKUP($R148,武学奇术!$A:$ZZ,12,FALSE)+SUM(_xlfn.XLOOKUP($S148:$AL148,增益!$A:$A,增益!$L:$L,0))</f>
        <v>0</v>
      </c>
      <c r="BG148">
        <f t="shared" si="50"/>
        <v>0</v>
      </c>
      <c r="BH148">
        <f t="shared" si="51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2" cm="1">
        <f t="array" ref="BJ148">$G$13+VLOOKUP($R148,武学奇术!$A:$ZZ,14,FALSE)+SUM(_xlfn.XLOOKUP($S148:$AL148,增益!$A:$A,增益!$N:$N,0))</f>
        <v>0</v>
      </c>
      <c r="BK148">
        <f t="shared" si="52"/>
        <v>571.2</v>
      </c>
      <c r="BL148">
        <f t="shared" si="53"/>
        <v>1627.8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0.08</v>
      </c>
      <c r="BN148" s="32" cm="1">
        <f t="array" ref="BN148">$G$14+VLOOKUP($R148,武学奇术!$A:$ZZ,16,FALSE)+SUM(_xlfn.XLOOKUP($S148:$AL148,增益!$A:$A,增益!$P:$P,0))</f>
        <v>0.27</v>
      </c>
      <c r="BO148" s="26">
        <f>MIN(IF(VLOOKUP($R148,武学奇术!$A:$ZZ,23,FALSE)=1,100%,$B$8),100%)</f>
        <v>0.981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26" cm="1">
        <f t="array" ref="BQ148">1+$B$13+VLOOKUP($R148,武学奇术!$A:$ZZ,18,FALSE)+SUM(_xlfn.XLOOKUP($S148:$AL148,增益!$A:$A,增益!$R:$R,0))</f>
        <v>2.06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54"/>
        <v>0.829926</v>
      </c>
      <c r="BU148" s="26">
        <f t="shared" si="55"/>
        <v>0.0599391</v>
      </c>
      <c r="BV148" s="26">
        <f>IF(VLOOKUP($R148,武学奇术!$A:$ZZ,22,FALSE)=1,0,(1-$BO148))*(1-$BR148)</f>
        <v>0.0172349</v>
      </c>
      <c r="BW148" s="26" cm="1">
        <f t="array" ref="BW148">SUM(_xlfn.XLOOKUP($S148:$AL148,增益!$A:$A,增益!$W:$W,0))+$I$5</f>
        <v>0.31</v>
      </c>
      <c r="BX148" s="26" cm="1">
        <f t="array" ref="BX148">SUM(_xlfn.XLOOKUP($S148:$AL148,增益!$A:$A,增益!$X:$X,0))</f>
        <v>0</v>
      </c>
    </row>
    <row r="149" spans="11:76">
      <c r="K149">
        <f>$L149*VLOOKUP($R149,武学奇术!$A:$ZZ,31,FALSE)</f>
        <v>61066.2385117909</v>
      </c>
      <c r="L149" s="38">
        <f t="shared" si="45"/>
        <v>58158.3223921818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</f>
        <v>62166.4477352582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</f>
        <v>46369.0496842397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</f>
        <v>30177.8872501253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</f>
        <v>26008.3302897028</v>
      </c>
      <c r="Q149" s="39">
        <v>2</v>
      </c>
      <c r="R149" s="40" t="s">
        <v>119</v>
      </c>
      <c r="S149" s="40" t="s">
        <v>116</v>
      </c>
      <c r="T149" s="40" t="s">
        <v>102</v>
      </c>
      <c r="U149" s="40" t="s">
        <v>79</v>
      </c>
      <c r="V149" s="40" t="s">
        <v>88</v>
      </c>
      <c r="W149" s="40" t="s">
        <v>181</v>
      </c>
      <c r="X149" s="40" t="s">
        <v>106</v>
      </c>
      <c r="Y149" s="40" t="s">
        <v>91</v>
      </c>
      <c r="Z149" s="40" t="s">
        <v>185</v>
      </c>
      <c r="AA149" s="40" t="s">
        <v>186</v>
      </c>
      <c r="AB149" s="40" t="s">
        <v>133</v>
      </c>
      <c r="AC149" s="40" t="s">
        <v>92</v>
      </c>
      <c r="AD149" s="40" t="s">
        <v>187</v>
      </c>
      <c r="AE149" s="40" t="s">
        <v>83</v>
      </c>
      <c r="AF149" s="40" t="s">
        <v>84</v>
      </c>
      <c r="AG149" s="40" t="s">
        <v>85</v>
      </c>
      <c r="AH149" s="40" t="s">
        <v>78</v>
      </c>
      <c r="AI149" s="40" t="s">
        <v>78</v>
      </c>
      <c r="AJ149" s="40" t="s">
        <v>78</v>
      </c>
      <c r="AK149" s="40" t="s">
        <v>78</v>
      </c>
      <c r="AL149" s="40" t="s">
        <v>78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1.0541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3636.6</v>
      </c>
      <c r="AU149" cm="1">
        <f t="array" ref="AU149">$E$10*(1+$AS149)+VLOOKUP($R149,武学奇术!$A:$ZZ,4,FALSE)+SUM(_xlfn.XLOOKUP($S149:$AL149,增益!$A:$A,增益!$D:$D,0))-$I$2</f>
        <v>3636.6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0.3425</v>
      </c>
      <c r="AW149" s="32" cm="1">
        <f t="array" ref="AW149">$G$10+VLOOKUP($R149,武学奇术!$A:$ZZ,7,FALSE)+SUM(_xlfn.XLOOKUP($S149:$AL149,增益!$A:$A,增益!$G:$G,0))</f>
        <v>0.148</v>
      </c>
      <c r="AX149" s="26" cm="1">
        <f t="array" ref="AX149">VLOOKUP($R149,武学奇术!$A:$ZZ,8,FALSE)+SUM(_xlfn.XLOOKUP($S149:$AL149,增益!$A:$A,增益!$H:$H,0))</f>
        <v>0</v>
      </c>
      <c r="AY149">
        <f t="shared" si="46"/>
        <v>0</v>
      </c>
      <c r="AZ149">
        <f t="shared" si="47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2" cm="1">
        <f t="array" ref="BB149">$G$11+VLOOKUP($R149,武学奇术!$A:$ZZ,10,FALSE)+SUM(_xlfn.XLOOKUP($S149:$AL149,增益!$A:$A,增益!$J:$J,0))</f>
        <v>0.1</v>
      </c>
      <c r="BC149">
        <f t="shared" si="48"/>
        <v>0</v>
      </c>
      <c r="BD149">
        <f t="shared" si="49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-0.14</v>
      </c>
      <c r="BF149" s="32" cm="1">
        <f t="array" ref="BF149">$G$12+VLOOKUP($R149,武学奇术!$A:$ZZ,12,FALSE)+SUM(_xlfn.XLOOKUP($S149:$AL149,增益!$A:$A,增益!$L:$L,0))</f>
        <v>0</v>
      </c>
      <c r="BG149">
        <f t="shared" si="50"/>
        <v>0</v>
      </c>
      <c r="BH149">
        <f t="shared" si="51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2" cm="1">
        <f t="array" ref="BJ149">$G$13+VLOOKUP($R149,武学奇术!$A:$ZZ,14,FALSE)+SUM(_xlfn.XLOOKUP($S149:$AL149,增益!$A:$A,增益!$N:$N,0))</f>
        <v>0</v>
      </c>
      <c r="BK149">
        <f t="shared" si="52"/>
        <v>571.2</v>
      </c>
      <c r="BL149">
        <f t="shared" si="53"/>
        <v>1627.8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0.08</v>
      </c>
      <c r="BN149" s="32" cm="1">
        <f t="array" ref="BN149">$G$14+VLOOKUP($R149,武学奇术!$A:$ZZ,16,FALSE)+SUM(_xlfn.XLOOKUP($S149:$AL149,增益!$A:$A,增益!$P:$P,0))</f>
        <v>0.27</v>
      </c>
      <c r="BO149" s="26">
        <f>MIN(IF(VLOOKUP($R149,武学奇术!$A:$ZZ,23,FALSE)=1,100%,$B$8),100%)</f>
        <v>0.981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26" cm="1">
        <f t="array" ref="BQ149">1+$B$13+VLOOKUP($R149,武学奇术!$A:$ZZ,18,FALSE)+SUM(_xlfn.XLOOKUP($S149:$AL149,增益!$A:$A,增益!$R:$R,0))</f>
        <v>2.06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54"/>
        <v>0.829926</v>
      </c>
      <c r="BU149" s="26">
        <f t="shared" si="55"/>
        <v>0.0599391</v>
      </c>
      <c r="BV149" s="26">
        <f>IF(VLOOKUP($R149,武学奇术!$A:$ZZ,22,FALSE)=1,0,(1-$BO149))*(1-$BR149)</f>
        <v>0.0172349</v>
      </c>
      <c r="BW149" s="26" cm="1">
        <f t="array" ref="BW149">SUM(_xlfn.XLOOKUP($S149:$AL149,增益!$A:$A,增益!$W:$W,0))+$I$5</f>
        <v>0.31</v>
      </c>
      <c r="BX149" s="26" cm="1">
        <f t="array" ref="BX149">SUM(_xlfn.XLOOKUP($S149:$AL149,增益!$A:$A,增益!$X:$X,0))</f>
        <v>0</v>
      </c>
    </row>
    <row r="150" spans="11:76">
      <c r="K150">
        <f>$L150*VLOOKUP($R150,武学奇术!$A:$ZZ,31,FALSE)</f>
        <v>83696.2976874382</v>
      </c>
      <c r="L150" s="38">
        <f t="shared" si="45"/>
        <v>79710.7597023221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</f>
        <v>79710.7597023221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</f>
        <v>63217.479299611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</f>
        <v>41733.3820431006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</f>
        <v>36639.0016420448</v>
      </c>
      <c r="Q150" s="39">
        <v>1</v>
      </c>
      <c r="R150" s="40" t="s">
        <v>174</v>
      </c>
      <c r="S150" s="40" t="s">
        <v>78</v>
      </c>
      <c r="T150" s="40" t="s">
        <v>102</v>
      </c>
      <c r="U150" s="40" t="s">
        <v>79</v>
      </c>
      <c r="V150" s="40" t="s">
        <v>88</v>
      </c>
      <c r="W150" s="40" t="s">
        <v>181</v>
      </c>
      <c r="X150" s="40" t="s">
        <v>106</v>
      </c>
      <c r="Y150" s="40" t="s">
        <v>91</v>
      </c>
      <c r="Z150" s="40" t="s">
        <v>185</v>
      </c>
      <c r="AA150" s="40" t="s">
        <v>186</v>
      </c>
      <c r="AB150" s="40" t="s">
        <v>78</v>
      </c>
      <c r="AC150" s="40" t="s">
        <v>98</v>
      </c>
      <c r="AD150" s="40" t="s">
        <v>187</v>
      </c>
      <c r="AE150" s="40" t="s">
        <v>83</v>
      </c>
      <c r="AF150" s="40" t="s">
        <v>84</v>
      </c>
      <c r="AG150" s="40" t="s">
        <v>85</v>
      </c>
      <c r="AH150" s="40" t="s">
        <v>78</v>
      </c>
      <c r="AI150" s="40" t="s">
        <v>78</v>
      </c>
      <c r="AJ150" s="40" t="s">
        <v>78</v>
      </c>
      <c r="AK150" s="40" t="s">
        <v>78</v>
      </c>
      <c r="AL150" s="40" t="s">
        <v>78</v>
      </c>
      <c r="AM150" t="str">
        <f>VLOOKUP($R150,武学奇术!$A:$ZZ,25,FALSE)</f>
        <v>绳镖</v>
      </c>
      <c r="AN150" s="26">
        <f>VLOOKUP($R150,武学奇术!$A:$ZZ,26,FALSE)</f>
        <v>2.2987</v>
      </c>
      <c r="AO150" s="27">
        <f>VLOOKUP($R150,武学奇术!$A:$ZZ,27,FALSE)*(1+IF(OR($AM150=$F$4,$AM150=$F$5),$B$22,0))</f>
        <v>955.5</v>
      </c>
      <c r="AP150" s="26">
        <f>VLOOKUP($R150,武学奇术!$A:$ZZ,28,FALSE)</f>
        <v>3.448</v>
      </c>
      <c r="AQ150" s="27">
        <f>VLOOKUP($R150,武学奇术!$A:$ZZ,29,FALSE)*(1+IF(OR($AM150=$F$4,$AM150=$F$5),$B$22,0))</f>
        <v>520.5</v>
      </c>
      <c r="AR150" s="26" cm="1">
        <f t="array" ref="AR150">$G$3+IFERROR(VLOOKUP($AM150,$F$4:$G$7,2,FALSE),0)+VLOOKUP($R150,武学奇术!$A:$ZZ,2,FALSE)+SUM(_xlfn.XLOOKUP($S150:$AL150,增益!$A:$A,增益!$B:$B,0))</f>
        <v>0.7189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3636.6</v>
      </c>
      <c r="AU150" cm="1">
        <f t="array" ref="AU150">$E$10*(1+$AS150)+VLOOKUP($R150,武学奇术!$A:$ZZ,4,FALSE)+SUM(_xlfn.XLOOKUP($S150:$AL150,增益!$A:$A,增益!$D:$D,0))-$I$2</f>
        <v>3636.6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0.3425</v>
      </c>
      <c r="AW150" s="32" cm="1">
        <f t="array" ref="AW150">$G$10+VLOOKUP($R150,武学奇术!$A:$ZZ,7,FALSE)+SUM(_xlfn.XLOOKUP($S150:$AL150,增益!$A:$A,增益!$G:$G,0))</f>
        <v>0.028</v>
      </c>
      <c r="AX150" s="26" cm="1">
        <f t="array" ref="AX150">VLOOKUP($R150,武学奇术!$A:$ZZ,8,FALSE)+SUM(_xlfn.XLOOKUP($S150:$AL150,增益!$A:$A,增益!$H:$H,0))</f>
        <v>0</v>
      </c>
      <c r="AY150">
        <f t="shared" si="46"/>
        <v>0</v>
      </c>
      <c r="AZ150">
        <f t="shared" si="47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2" cm="1">
        <f t="array" ref="BB150">$G$11+VLOOKUP($R150,武学奇术!$A:$ZZ,10,FALSE)+SUM(_xlfn.XLOOKUP($S150:$AL150,增益!$A:$A,增益!$J:$J,0))</f>
        <v>0.1</v>
      </c>
      <c r="BC150">
        <f t="shared" si="48"/>
        <v>0</v>
      </c>
      <c r="BD150">
        <f t="shared" si="49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-0.14</v>
      </c>
      <c r="BF150" s="32" cm="1">
        <f t="array" ref="BF150">$G$12+VLOOKUP($R150,武学奇术!$A:$ZZ,12,FALSE)+SUM(_xlfn.XLOOKUP($S150:$AL150,增益!$A:$A,增益!$L:$L,0))</f>
        <v>0</v>
      </c>
      <c r="BG150">
        <f t="shared" si="50"/>
        <v>0</v>
      </c>
      <c r="BH150">
        <f t="shared" si="51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2" cm="1">
        <f t="array" ref="BJ150">$G$13+VLOOKUP($R150,武学奇术!$A:$ZZ,14,FALSE)+SUM(_xlfn.XLOOKUP($S150:$AL150,增益!$A:$A,增益!$N:$N,0))</f>
        <v>0</v>
      </c>
      <c r="BK150">
        <f t="shared" si="52"/>
        <v>571.2</v>
      </c>
      <c r="BL150">
        <f t="shared" si="53"/>
        <v>1627.8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0.08</v>
      </c>
      <c r="BN150" s="32" cm="1">
        <f t="array" ref="BN150">$G$14+VLOOKUP($R150,武学奇术!$A:$ZZ,16,FALSE)+SUM(_xlfn.XLOOKUP($S150:$AL150,增益!$A:$A,增益!$P:$P,0))</f>
        <v>0.15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1.91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54"/>
        <v>1</v>
      </c>
      <c r="BU150" s="26">
        <f t="shared" si="55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0.31</v>
      </c>
      <c r="BX150" s="26" cm="1">
        <f t="array" ref="BX150">SUM(_xlfn.XLOOKUP($S150:$AL150,增益!$A:$A,增益!$X:$X,0))</f>
        <v>0</v>
      </c>
    </row>
    <row r="151" spans="11:76">
      <c r="K151">
        <f>$L151*VLOOKUP($R151,武学奇术!$A:$ZZ,31,FALSE)</f>
        <v>109156.615578134</v>
      </c>
      <c r="L151" s="89">
        <f>(SUM(L129:L150)+L163)*12%*(1+BX151)</f>
        <v>207917.36300597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</f>
        <v>0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</f>
        <v>0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</f>
        <v>0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</f>
        <v>0</v>
      </c>
      <c r="Q151" s="39">
        <v>1</v>
      </c>
      <c r="R151" s="40" t="s">
        <v>175</v>
      </c>
      <c r="S151" s="40" t="s">
        <v>176</v>
      </c>
      <c r="T151" s="40" t="s">
        <v>78</v>
      </c>
      <c r="U151" s="40" t="s">
        <v>78</v>
      </c>
      <c r="V151" s="40" t="s">
        <v>78</v>
      </c>
      <c r="W151" s="40" t="s">
        <v>78</v>
      </c>
      <c r="X151" s="40" t="s">
        <v>78</v>
      </c>
      <c r="Y151" s="40" t="s">
        <v>78</v>
      </c>
      <c r="Z151" s="40" t="s">
        <v>78</v>
      </c>
      <c r="AA151" s="40" t="s">
        <v>78</v>
      </c>
      <c r="AB151" s="40" t="s">
        <v>78</v>
      </c>
      <c r="AC151" s="40" t="s">
        <v>78</v>
      </c>
      <c r="AD151" s="40" t="s">
        <v>78</v>
      </c>
      <c r="AE151" s="40" t="s">
        <v>83</v>
      </c>
      <c r="AF151" s="40" t="s">
        <v>84</v>
      </c>
      <c r="AG151" s="40" t="s">
        <v>85</v>
      </c>
      <c r="AH151" s="40" t="s">
        <v>78</v>
      </c>
      <c r="AI151" s="40" t="s">
        <v>78</v>
      </c>
      <c r="AJ151" s="40" t="s">
        <v>78</v>
      </c>
      <c r="AK151" s="40" t="s">
        <v>78</v>
      </c>
      <c r="AL151" s="40" t="s">
        <v>78</v>
      </c>
      <c r="AM151" t="str">
        <f>VLOOKUP($R151,武学奇术!$A:$ZZ,25,FALSE)</f>
        <v>心法</v>
      </c>
      <c r="AN151" s="26">
        <f>VLOOKUP($R151,武学奇术!$A:$ZZ,26,FALSE)</f>
        <v>0</v>
      </c>
      <c r="AO151" s="27">
        <f>VLOOKUP($R151,武学奇术!$A:$ZZ,27,FALSE)*(1+IF(OR($AM151=$F$4,$AM151=$F$5),$B$22,0))</f>
        <v>0</v>
      </c>
      <c r="AP151" s="26">
        <f>VLOOKUP($R151,武学奇术!$A:$ZZ,28,FALSE)</f>
        <v>0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0.1837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3636.6</v>
      </c>
      <c r="AU151" cm="1">
        <f t="array" ref="AU151">$E$10*(1+$AS151)+VLOOKUP($R151,武学奇术!$A:$ZZ,4,FALSE)+SUM(_xlfn.XLOOKUP($S151:$AL151,增益!$A:$A,增益!$D:$D,0))-$I$2</f>
        <v>3636.6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0.2425</v>
      </c>
      <c r="AW151" s="32" cm="1">
        <f t="array" ref="AW151">$G$10+VLOOKUP($R151,武学奇术!$A:$ZZ,7,FALSE)+SUM(_xlfn.XLOOKUP($S151:$AL151,增益!$A:$A,增益!$G:$G,0))</f>
        <v>0.028</v>
      </c>
      <c r="AX151" s="26" cm="1">
        <f t="array" ref="AX151">VLOOKUP($R151,武学奇术!$A:$ZZ,8,FALSE)+SUM(_xlfn.XLOOKUP($S151:$AL151,增益!$A:$A,增益!$H:$H,0))</f>
        <v>0</v>
      </c>
      <c r="AY151">
        <f t="shared" si="46"/>
        <v>0</v>
      </c>
      <c r="AZ151">
        <f t="shared" si="47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2" cm="1">
        <f t="array" ref="BB151">$G$11+VLOOKUP($R151,武学奇术!$A:$ZZ,10,FALSE)+SUM(_xlfn.XLOOKUP($S151:$AL151,增益!$A:$A,增益!$J:$J,0))</f>
        <v>0</v>
      </c>
      <c r="BC151">
        <f t="shared" si="48"/>
        <v>0</v>
      </c>
      <c r="BD151">
        <f t="shared" si="49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2" cm="1">
        <f t="array" ref="BF151">$G$12+VLOOKUP($R151,武学奇术!$A:$ZZ,12,FALSE)+SUM(_xlfn.XLOOKUP($S151:$AL151,增益!$A:$A,增益!$L:$L,0))</f>
        <v>0</v>
      </c>
      <c r="BG151">
        <f t="shared" si="50"/>
        <v>0</v>
      </c>
      <c r="BH151">
        <f t="shared" si="51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2" cm="1">
        <f t="array" ref="BJ151">$G$13+VLOOKUP($R151,武学奇术!$A:$ZZ,14,FALSE)+SUM(_xlfn.XLOOKUP($S151:$AL151,增益!$A:$A,增益!$N:$N,0))</f>
        <v>0</v>
      </c>
      <c r="BK151">
        <f t="shared" si="52"/>
        <v>571.2</v>
      </c>
      <c r="BL151">
        <f t="shared" si="53"/>
        <v>1627.8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2" cm="1">
        <f t="array" ref="BN151">$G$14+VLOOKUP($R151,武学奇术!$A:$ZZ,16,FALSE)+SUM(_xlfn.XLOOKUP($S151:$AL151,增益!$A:$A,增益!$P:$P,0))</f>
        <v>0.15</v>
      </c>
      <c r="BO151" s="26">
        <f>MIN(IF(VLOOKUP($R151,武学奇术!$A:$ZZ,23,FALSE)=1,100%,$B$8),100%)</f>
        <v>0.981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26" cm="1">
        <f t="array" ref="BQ151">1+$B$13+VLOOKUP($R151,武学奇术!$A:$ZZ,18,FALSE)+SUM(_xlfn.XLOOKUP($S151:$AL151,增益!$A:$A,增益!$R:$R,0))</f>
        <v>1.54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54"/>
        <v>0.829926</v>
      </c>
      <c r="BU151" s="26">
        <f t="shared" si="55"/>
        <v>0.0599391</v>
      </c>
      <c r="BV151" s="26">
        <f>IF(VLOOKUP($R151,武学奇术!$A:$ZZ,22,FALSE)=1,0,(1-$BO151))*(1-$BR151)</f>
        <v>0.0172349</v>
      </c>
      <c r="BW151" s="26" cm="1">
        <f t="array" ref="BW151">SUM(_xlfn.XLOOKUP($S151:$AL151,增益!$A:$A,增益!$W:$W,0))+$I$5</f>
        <v>0.11</v>
      </c>
      <c r="BX151" s="26" cm="1">
        <f t="array" ref="BX151">SUM(_xlfn.XLOOKUP($S151:$AL151,增益!$A:$A,增益!$X:$X,0))</f>
        <v>0</v>
      </c>
    </row>
    <row r="152" spans="11:76">
      <c r="K152">
        <f>$L152*VLOOKUP($R152,武学奇术!$A:$ZZ,31,FALSE)</f>
        <v>0</v>
      </c>
      <c r="L152" s="38">
        <f t="shared" ref="L152:L164" si="56">($M152*$BT152+$N152*$BR152+$O152*$BU152+$P152*$BV152)</f>
        <v>0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</f>
        <v>0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</f>
        <v>0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</f>
        <v>0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</f>
        <v>0</v>
      </c>
      <c r="Q152" s="39">
        <v>1</v>
      </c>
      <c r="R152" s="40" t="s">
        <v>78</v>
      </c>
      <c r="S152" s="40" t="s">
        <v>78</v>
      </c>
      <c r="T152" s="40" t="s">
        <v>78</v>
      </c>
      <c r="U152" s="40" t="s">
        <v>78</v>
      </c>
      <c r="V152" s="40" t="s">
        <v>78</v>
      </c>
      <c r="W152" s="40" t="s">
        <v>78</v>
      </c>
      <c r="X152" s="40" t="s">
        <v>78</v>
      </c>
      <c r="Y152" s="40" t="s">
        <v>78</v>
      </c>
      <c r="Z152" s="40" t="s">
        <v>78</v>
      </c>
      <c r="AA152" s="40" t="s">
        <v>78</v>
      </c>
      <c r="AB152" s="40" t="s">
        <v>78</v>
      </c>
      <c r="AC152" s="40" t="s">
        <v>78</v>
      </c>
      <c r="AD152" s="40" t="s">
        <v>78</v>
      </c>
      <c r="AE152" s="40" t="s">
        <v>83</v>
      </c>
      <c r="AF152" s="40" t="s">
        <v>84</v>
      </c>
      <c r="AG152" s="40" t="s">
        <v>85</v>
      </c>
      <c r="AH152" s="40" t="s">
        <v>78</v>
      </c>
      <c r="AI152" s="40" t="s">
        <v>78</v>
      </c>
      <c r="AJ152" s="40" t="s">
        <v>78</v>
      </c>
      <c r="AK152" s="40" t="s">
        <v>78</v>
      </c>
      <c r="AL152" s="40" t="s">
        <v>78</v>
      </c>
      <c r="AM152" t="str">
        <f>VLOOKUP($R152,武学奇术!$A:$ZZ,25,FALSE)</f>
        <v>心法</v>
      </c>
      <c r="AN152" s="26">
        <f>VLOOKUP($R152,武学奇术!$A:$ZZ,26,FALSE)</f>
        <v>0</v>
      </c>
      <c r="AO152" s="27">
        <f>VLOOKUP($R152,武学奇术!$A:$ZZ,27,FALSE)*(1+IF(OR($AM152=$F$4,$AM152=$F$5),$B$22,0))</f>
        <v>0</v>
      </c>
      <c r="AP152" s="26">
        <f>VLOOKUP($R152,武学奇术!$A:$ZZ,28,FALSE)</f>
        <v>0</v>
      </c>
      <c r="AQ152" s="27">
        <f>VLOOKUP($R152,武学奇术!$A:$ZZ,29,FALSE)*(1+IF(OR($AM152=$F$4,$AM152=$F$5),$B$22,0))</f>
        <v>0</v>
      </c>
      <c r="AR152" s="26" cm="1">
        <f t="array" ref="AR152">$G$3+IFERROR(VLOOKUP($AM152,$F$4:$G$7,2,FALSE),0)+VLOOKUP($R152,武学奇术!$A:$ZZ,2,FALSE)+SUM(_xlfn.XLOOKUP($S152:$AL152,增益!$A:$A,增益!$B:$B,0))</f>
        <v>0.1837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3636.6</v>
      </c>
      <c r="AU152" cm="1">
        <f t="array" ref="AU152">$E$10*(1+$AS152)+VLOOKUP($R152,武学奇术!$A:$ZZ,4,FALSE)+SUM(_xlfn.XLOOKUP($S152:$AL152,增益!$A:$A,增益!$D:$D,0))-$I$2</f>
        <v>3636.6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0.2425</v>
      </c>
      <c r="AW152" s="32" cm="1">
        <f t="array" ref="AW152">$G$10+VLOOKUP($R152,武学奇术!$A:$ZZ,7,FALSE)+SUM(_xlfn.XLOOKUP($S152:$AL152,增益!$A:$A,增益!$G:$G,0))</f>
        <v>0.028</v>
      </c>
      <c r="AX152" s="26" cm="1">
        <f t="array" ref="AX152">VLOOKUP($R152,武学奇术!$A:$ZZ,8,FALSE)+SUM(_xlfn.XLOOKUP($S152:$AL152,增益!$A:$A,增益!$H:$H,0))</f>
        <v>0</v>
      </c>
      <c r="AY152">
        <f t="shared" si="46"/>
        <v>0</v>
      </c>
      <c r="AZ152">
        <f t="shared" si="47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2" cm="1">
        <f t="array" ref="BB152">$G$11+VLOOKUP($R152,武学奇术!$A:$ZZ,10,FALSE)+SUM(_xlfn.XLOOKUP($S152:$AL152,增益!$A:$A,增益!$J:$J,0))</f>
        <v>0</v>
      </c>
      <c r="BC152">
        <f t="shared" si="48"/>
        <v>0</v>
      </c>
      <c r="BD152">
        <f t="shared" si="49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2" cm="1">
        <f t="array" ref="BF152">$G$12+VLOOKUP($R152,武学奇术!$A:$ZZ,12,FALSE)+SUM(_xlfn.XLOOKUP($S152:$AL152,增益!$A:$A,增益!$L:$L,0))</f>
        <v>0</v>
      </c>
      <c r="BG152">
        <f t="shared" si="50"/>
        <v>0</v>
      </c>
      <c r="BH152">
        <f t="shared" si="51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2" cm="1">
        <f t="array" ref="BJ152">$G$13+VLOOKUP($R152,武学奇术!$A:$ZZ,14,FALSE)+SUM(_xlfn.XLOOKUP($S152:$AL152,增益!$A:$A,增益!$N:$N,0))</f>
        <v>0</v>
      </c>
      <c r="BK152">
        <f t="shared" si="52"/>
        <v>571.2</v>
      </c>
      <c r="BL152">
        <f t="shared" si="53"/>
        <v>1627.8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2" cm="1">
        <f t="array" ref="BN152">$G$14+VLOOKUP($R152,武学奇术!$A:$ZZ,16,FALSE)+SUM(_xlfn.XLOOKUP($S152:$AL152,增益!$A:$A,增益!$P:$P,0))</f>
        <v>0.15</v>
      </c>
      <c r="BO152" s="26">
        <f>MIN(IF(VLOOKUP($R152,武学奇术!$A:$ZZ,23,FALSE)=1,100%,$B$8),100%)</f>
        <v>0.981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26" cm="1">
        <f t="array" ref="BQ152">1+$B$13+VLOOKUP($R152,武学奇术!$A:$ZZ,18,FALSE)+SUM(_xlfn.XLOOKUP($S152:$AL152,增益!$A:$A,增益!$R:$R,0))</f>
        <v>1.54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54"/>
        <v>0.829926</v>
      </c>
      <c r="BU152" s="26">
        <f t="shared" si="55"/>
        <v>0.0599391</v>
      </c>
      <c r="BV152" s="26">
        <f>IF(VLOOKUP($R152,武学奇术!$A:$ZZ,22,FALSE)=1,0,(1-$BO152))*(1-$BR152)</f>
        <v>0.0172349</v>
      </c>
      <c r="BW152" s="26" cm="1">
        <f t="array" ref="BW152">SUM(_xlfn.XLOOKUP($S152:$AL152,增益!$A:$A,增益!$W:$W,0))+$I$5</f>
        <v>0.11</v>
      </c>
      <c r="BX152" s="26" cm="1">
        <f t="array" ref="BX152">SUM(_xlfn.XLOOKUP($S152:$AL152,增益!$A:$A,增益!$X:$X,0))</f>
        <v>0</v>
      </c>
    </row>
    <row r="153" spans="11:76">
      <c r="K153">
        <f>$L153*VLOOKUP($R153,武学奇术!$A:$ZZ,31,FALSE)</f>
        <v>0</v>
      </c>
      <c r="L153" s="38">
        <f t="shared" si="56"/>
        <v>0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</f>
        <v>0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</f>
        <v>0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</f>
        <v>0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</f>
        <v>0</v>
      </c>
      <c r="Q153" s="39">
        <v>1</v>
      </c>
      <c r="R153" s="40" t="s">
        <v>78</v>
      </c>
      <c r="S153" s="40" t="s">
        <v>78</v>
      </c>
      <c r="T153" s="40" t="s">
        <v>78</v>
      </c>
      <c r="U153" s="40" t="s">
        <v>78</v>
      </c>
      <c r="V153" s="40" t="s">
        <v>78</v>
      </c>
      <c r="W153" s="40" t="s">
        <v>78</v>
      </c>
      <c r="X153" s="40" t="s">
        <v>78</v>
      </c>
      <c r="Y153" s="40" t="s">
        <v>78</v>
      </c>
      <c r="Z153" s="40" t="s">
        <v>78</v>
      </c>
      <c r="AA153" s="40" t="s">
        <v>78</v>
      </c>
      <c r="AB153" s="40" t="s">
        <v>78</v>
      </c>
      <c r="AC153" s="40" t="s">
        <v>78</v>
      </c>
      <c r="AD153" s="40" t="s">
        <v>78</v>
      </c>
      <c r="AE153" s="40" t="s">
        <v>83</v>
      </c>
      <c r="AF153" s="40" t="s">
        <v>84</v>
      </c>
      <c r="AG153" s="40" t="s">
        <v>85</v>
      </c>
      <c r="AH153" s="40" t="s">
        <v>78</v>
      </c>
      <c r="AI153" s="40" t="s">
        <v>78</v>
      </c>
      <c r="AJ153" s="40" t="s">
        <v>78</v>
      </c>
      <c r="AK153" s="40" t="s">
        <v>78</v>
      </c>
      <c r="AL153" s="40" t="s">
        <v>78</v>
      </c>
      <c r="AM153" t="str">
        <f>VLOOKUP($R153,武学奇术!$A:$ZZ,25,FALSE)</f>
        <v>心法</v>
      </c>
      <c r="AN153" s="26">
        <f>VLOOKUP($R153,武学奇术!$A:$ZZ,26,FALSE)</f>
        <v>0</v>
      </c>
      <c r="AO153" s="27">
        <f>VLOOKUP($R153,武学奇术!$A:$ZZ,27,FALSE)*(1+IF(OR($AM153=$F$4,$AM153=$F$5),$B$22,0))</f>
        <v>0</v>
      </c>
      <c r="AP153" s="26">
        <f>VLOOKUP($R153,武学奇术!$A:$ZZ,28,FALSE)</f>
        <v>0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0.1837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3636.6</v>
      </c>
      <c r="AU153" cm="1">
        <f t="array" ref="AU153">$E$10*(1+$AS153)+VLOOKUP($R153,武学奇术!$A:$ZZ,4,FALSE)+SUM(_xlfn.XLOOKUP($S153:$AL153,增益!$A:$A,增益!$D:$D,0))-$I$2</f>
        <v>3636.6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0.2425</v>
      </c>
      <c r="AW153" s="32" cm="1">
        <f t="array" ref="AW153">$G$10+VLOOKUP($R153,武学奇术!$A:$ZZ,7,FALSE)+SUM(_xlfn.XLOOKUP($S153:$AL153,增益!$A:$A,增益!$G:$G,0))</f>
        <v>0.028</v>
      </c>
      <c r="AX153" s="26" cm="1">
        <f t="array" ref="AX153">VLOOKUP($R153,武学奇术!$A:$ZZ,8,FALSE)+SUM(_xlfn.XLOOKUP($S153:$AL153,增益!$A:$A,增益!$H:$H,0))</f>
        <v>0</v>
      </c>
      <c r="AY153">
        <f t="shared" si="46"/>
        <v>0</v>
      </c>
      <c r="AZ153">
        <f t="shared" si="47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2" cm="1">
        <f t="array" ref="BB153">$G$11+VLOOKUP($R153,武学奇术!$A:$ZZ,10,FALSE)+SUM(_xlfn.XLOOKUP($S153:$AL153,增益!$A:$A,增益!$J:$J,0))</f>
        <v>0</v>
      </c>
      <c r="BC153">
        <f t="shared" si="48"/>
        <v>0</v>
      </c>
      <c r="BD153">
        <f t="shared" si="49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2" cm="1">
        <f t="array" ref="BF153">$G$12+VLOOKUP($R153,武学奇术!$A:$ZZ,12,FALSE)+SUM(_xlfn.XLOOKUP($S153:$AL153,增益!$A:$A,增益!$L:$L,0))</f>
        <v>0</v>
      </c>
      <c r="BG153">
        <f t="shared" si="50"/>
        <v>0</v>
      </c>
      <c r="BH153">
        <f t="shared" si="51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2" cm="1">
        <f t="array" ref="BJ153">$G$13+VLOOKUP($R153,武学奇术!$A:$ZZ,14,FALSE)+SUM(_xlfn.XLOOKUP($S153:$AL153,增益!$A:$A,增益!$N:$N,0))</f>
        <v>0</v>
      </c>
      <c r="BK153">
        <f t="shared" si="52"/>
        <v>571.2</v>
      </c>
      <c r="BL153">
        <f t="shared" si="53"/>
        <v>1627.8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2" cm="1">
        <f t="array" ref="BN153">$G$14+VLOOKUP($R153,武学奇术!$A:$ZZ,16,FALSE)+SUM(_xlfn.XLOOKUP($S153:$AL153,增益!$A:$A,增益!$P:$P,0))</f>
        <v>0.15</v>
      </c>
      <c r="BO153" s="26">
        <f>MIN(IF(VLOOKUP($R153,武学奇术!$A:$ZZ,23,FALSE)=1,100%,$B$8),100%)</f>
        <v>0.981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26" cm="1">
        <f t="array" ref="BQ153">1+$B$13+VLOOKUP($R153,武学奇术!$A:$ZZ,18,FALSE)+SUM(_xlfn.XLOOKUP($S153:$AL153,增益!$A:$A,增益!$R:$R,0))</f>
        <v>1.54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54"/>
        <v>0.829926</v>
      </c>
      <c r="BU153" s="26">
        <f t="shared" si="55"/>
        <v>0.0599391</v>
      </c>
      <c r="BV153" s="26">
        <f>IF(VLOOKUP($R153,武学奇术!$A:$ZZ,22,FALSE)=1,0,(1-$BO153))*(1-$BR153)</f>
        <v>0.0172349</v>
      </c>
      <c r="BW153" s="26" cm="1">
        <f t="array" ref="BW153">SUM(_xlfn.XLOOKUP($S153:$AL153,增益!$A:$A,增益!$W:$W,0))+$I$5</f>
        <v>0.11</v>
      </c>
      <c r="BX153" s="26" cm="1">
        <f t="array" ref="BX153">SUM(_xlfn.XLOOKUP($S153:$AL153,增益!$A:$A,增益!$X:$X,0))</f>
        <v>0</v>
      </c>
    </row>
    <row r="154" spans="11:76">
      <c r="K154">
        <f>$L154*VLOOKUP($R154,武学奇术!$A:$ZZ,31,FALSE)</f>
        <v>19218.5691537072</v>
      </c>
      <c r="L154" s="38">
        <f t="shared" si="56"/>
        <v>18303.3991940069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</f>
        <v>19346.7473287071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</f>
        <v>15653.455623993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</f>
        <v>10514.5365916887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</f>
        <v>9433.92086930846</v>
      </c>
      <c r="Q154" s="39">
        <f>IF($E$24="易水歌",1,0)</f>
        <v>1</v>
      </c>
      <c r="R154" s="40" t="s">
        <v>195</v>
      </c>
      <c r="S154" s="40" t="s">
        <v>78</v>
      </c>
      <c r="T154" s="40" t="s">
        <v>102</v>
      </c>
      <c r="U154" s="40" t="s">
        <v>79</v>
      </c>
      <c r="V154" s="40" t="s">
        <v>88</v>
      </c>
      <c r="W154" s="40" t="s">
        <v>96</v>
      </c>
      <c r="X154" s="40" t="s">
        <v>106</v>
      </c>
      <c r="Y154" s="40" t="s">
        <v>91</v>
      </c>
      <c r="Z154" s="40" t="s">
        <v>78</v>
      </c>
      <c r="AA154" s="40" t="s">
        <v>78</v>
      </c>
      <c r="AB154" s="40" t="s">
        <v>78</v>
      </c>
      <c r="AC154" s="40" t="s">
        <v>98</v>
      </c>
      <c r="AD154" s="40" t="s">
        <v>78</v>
      </c>
      <c r="AE154" s="40" t="s">
        <v>83</v>
      </c>
      <c r="AF154" s="40" t="s">
        <v>84</v>
      </c>
      <c r="AG154" s="40" t="s">
        <v>85</v>
      </c>
      <c r="AH154" s="40" t="s">
        <v>78</v>
      </c>
      <c r="AI154" s="40" t="s">
        <v>78</v>
      </c>
      <c r="AJ154" s="40" t="s">
        <v>78</v>
      </c>
      <c r="AK154" s="40" t="s">
        <v>78</v>
      </c>
      <c r="AL154" s="40" t="s">
        <v>78</v>
      </c>
      <c r="AM154" t="str">
        <f>VLOOKUP($R154,武学奇术!$A:$ZZ,25,FALSE)</f>
        <v>心法</v>
      </c>
      <c r="AN154" s="26">
        <f>VLOOKUP($R154,武学奇术!$A:$ZZ,26,FALSE)</f>
        <v>1</v>
      </c>
      <c r="AO154" s="27">
        <f>VLOOKUP($R154,武学奇术!$A:$ZZ,27,FALSE)*(1+IF(OR($AM154=$F$4,$AM154=$F$5),$B$22,0))</f>
        <v>0</v>
      </c>
      <c r="AP154" s="26">
        <f>VLOOKUP($R154,武学奇术!$A:$ZZ,28,FALSE)</f>
        <v>1</v>
      </c>
      <c r="AQ154" s="27">
        <f>VLOOKUP($R154,武学奇术!$A:$ZZ,29,FALSE)*(1+IF(OR($AM154=$F$4,$AM154=$F$5),$B$22,0))</f>
        <v>0</v>
      </c>
      <c r="AR154" s="26" cm="1">
        <f t="array" ref="AR154">$G$3+IFERROR(VLOOKUP($AM154,$F$4:$G$7,2,FALSE),0)+VLOOKUP($R154,武学奇术!$A:$ZZ,2,FALSE)+SUM(_xlfn.XLOOKUP($S154:$AL154,增益!$A:$A,增益!$B:$B,0))</f>
        <v>0.4837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3636.6</v>
      </c>
      <c r="AU154" cm="1">
        <f t="array" ref="AU154">$E$10*(1+$AS154)+VLOOKUP($R154,武学奇术!$A:$ZZ,4,FALSE)+SUM(_xlfn.XLOOKUP($S154:$AL154,增益!$A:$A,增益!$D:$D,0))-$I$2</f>
        <v>3636.6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0.3425</v>
      </c>
      <c r="AW154" s="32" cm="1">
        <f t="array" ref="AW154">$G$10+VLOOKUP($R154,武学奇术!$A:$ZZ,7,FALSE)+SUM(_xlfn.XLOOKUP($S154:$AL154,增益!$A:$A,增益!$G:$G,0))</f>
        <v>0.028</v>
      </c>
      <c r="AX154" s="26" cm="1">
        <f t="array" ref="AX154">VLOOKUP($R154,武学奇术!$A:$ZZ,8,FALSE)+SUM(_xlfn.XLOOKUP($S154:$AL154,增益!$A:$A,增益!$H:$H,0))</f>
        <v>0</v>
      </c>
      <c r="AY154">
        <f t="shared" si="46"/>
        <v>0</v>
      </c>
      <c r="AZ154">
        <f t="shared" si="47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2" cm="1">
        <f t="array" ref="BB154">$G$11+VLOOKUP($R154,武学奇术!$A:$ZZ,10,FALSE)+SUM(_xlfn.XLOOKUP($S154:$AL154,增益!$A:$A,增益!$J:$J,0))</f>
        <v>0</v>
      </c>
      <c r="BC154">
        <f t="shared" si="48"/>
        <v>0</v>
      </c>
      <c r="BD154">
        <f t="shared" si="49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-0.14</v>
      </c>
      <c r="BF154" s="32" cm="1">
        <f t="array" ref="BF154">$G$12+VLOOKUP($R154,武学奇术!$A:$ZZ,12,FALSE)+SUM(_xlfn.XLOOKUP($S154:$AL154,增益!$A:$A,增益!$L:$L,0))</f>
        <v>0</v>
      </c>
      <c r="BG154">
        <f t="shared" si="50"/>
        <v>0</v>
      </c>
      <c r="BH154">
        <f t="shared" si="51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2" cm="1">
        <f t="array" ref="BJ154">$G$13+VLOOKUP($R154,武学奇术!$A:$ZZ,14,FALSE)+SUM(_xlfn.XLOOKUP($S154:$AL154,增益!$A:$A,增益!$N:$N,0))</f>
        <v>0</v>
      </c>
      <c r="BK154">
        <f t="shared" si="52"/>
        <v>571.2</v>
      </c>
      <c r="BL154">
        <f t="shared" si="53"/>
        <v>1627.8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0.08</v>
      </c>
      <c r="BN154" s="32" cm="1">
        <f t="array" ref="BN154">$G$14+VLOOKUP($R154,武学奇术!$A:$ZZ,16,FALSE)+SUM(_xlfn.XLOOKUP($S154:$AL154,增益!$A:$A,增益!$P:$P,0))</f>
        <v>0.15</v>
      </c>
      <c r="BO154" s="26">
        <f>MIN(IF(VLOOKUP($R154,武学奇术!$A:$ZZ,23,FALSE)=1,100%,$B$8),100%)</f>
        <v>0.981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26" cm="1">
        <f t="array" ref="BQ154">1+$B$13+VLOOKUP($R154,武学奇术!$A:$ZZ,18,FALSE)+SUM(_xlfn.XLOOKUP($S154:$AL154,增益!$A:$A,增益!$R:$R,0))</f>
        <v>1.84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54"/>
        <v>0.829926</v>
      </c>
      <c r="BU154" s="26">
        <f t="shared" si="55"/>
        <v>0.0599391</v>
      </c>
      <c r="BV154" s="26">
        <f>IF(VLOOKUP($R154,武学奇术!$A:$ZZ,22,FALSE)=1,0,(1-$BO154))*(1-$BR154)</f>
        <v>0.0172349</v>
      </c>
      <c r="BW154" s="26" cm="1">
        <f t="array" ref="BW154">SUM(_xlfn.XLOOKUP($S154:$AL154,增益!$A:$A,增益!$W:$W,0))+$I$5</f>
        <v>0.11</v>
      </c>
      <c r="BX154" s="26" cm="1">
        <f t="array" ref="BX154">SUM(_xlfn.XLOOKUP($S154:$AL154,增益!$A:$A,增益!$X:$X,0))</f>
        <v>0</v>
      </c>
    </row>
    <row r="155" spans="11:76">
      <c r="K155">
        <f>$L155*VLOOKUP($R155,武学奇术!$A:$ZZ,31,FALSE)</f>
        <v>16670.3822349123</v>
      </c>
      <c r="L155" s="38">
        <f t="shared" si="56"/>
        <v>15876.5545094403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</f>
        <v>16831.7557623962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</f>
        <v>13255.3215437278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</f>
        <v>8953.06157574266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</f>
        <v>8087.36645242766</v>
      </c>
      <c r="Q155" s="39">
        <f t="shared" ref="Q155:Q164" si="57">IF($E$24="易水歌",1,0)</f>
        <v>1</v>
      </c>
      <c r="R155" s="40" t="s">
        <v>195</v>
      </c>
      <c r="S155" s="40" t="s">
        <v>78</v>
      </c>
      <c r="T155" s="40" t="s">
        <v>102</v>
      </c>
      <c r="U155" s="40" t="s">
        <v>79</v>
      </c>
      <c r="V155" s="40" t="s">
        <v>78</v>
      </c>
      <c r="W155" s="40" t="s">
        <v>173</v>
      </c>
      <c r="X155" s="40" t="s">
        <v>106</v>
      </c>
      <c r="Y155" s="40" t="s">
        <v>78</v>
      </c>
      <c r="Z155" s="40" t="s">
        <v>78</v>
      </c>
      <c r="AA155" s="40" t="s">
        <v>78</v>
      </c>
      <c r="AB155" s="40" t="s">
        <v>78</v>
      </c>
      <c r="AC155" s="40" t="s">
        <v>92</v>
      </c>
      <c r="AD155" s="40" t="s">
        <v>78</v>
      </c>
      <c r="AE155" s="40" t="s">
        <v>83</v>
      </c>
      <c r="AF155" s="40" t="s">
        <v>84</v>
      </c>
      <c r="AG155" s="40" t="s">
        <v>85</v>
      </c>
      <c r="AH155" s="40" t="s">
        <v>78</v>
      </c>
      <c r="AI155" s="40" t="s">
        <v>78</v>
      </c>
      <c r="AJ155" s="40" t="s">
        <v>78</v>
      </c>
      <c r="AK155" s="40" t="s">
        <v>78</v>
      </c>
      <c r="AL155" s="40" t="s">
        <v>78</v>
      </c>
      <c r="AM155" t="str">
        <f>VLOOKUP($R155,武学奇术!$A:$ZZ,25,FALSE)</f>
        <v>心法</v>
      </c>
      <c r="AN155" s="26">
        <f>VLOOKUP($R155,武学奇术!$A:$ZZ,26,FALSE)</f>
        <v>1</v>
      </c>
      <c r="AO155" s="27">
        <f>VLOOKUP($R155,武学奇术!$A:$ZZ,27,FALSE)*(1+IF(OR($AM155=$F$4,$AM155=$F$5),$B$22,0))</f>
        <v>0</v>
      </c>
      <c r="AP155" s="26">
        <f>VLOOKUP($R155,武学奇术!$A:$ZZ,28,FALSE)</f>
        <v>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0.2837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3636.6</v>
      </c>
      <c r="AU155" cm="1">
        <f t="array" ref="AU155">$E$10*(1+$AS155)+VLOOKUP($R155,武学奇术!$A:$ZZ,4,FALSE)+SUM(_xlfn.XLOOKUP($S155:$AL155,增益!$A:$A,增益!$D:$D,0))-$I$2</f>
        <v>3636.6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0.3425</v>
      </c>
      <c r="AW155" s="32" cm="1">
        <f t="array" ref="AW155">$G$10+VLOOKUP($R155,武学奇术!$A:$ZZ,7,FALSE)+SUM(_xlfn.XLOOKUP($S155:$AL155,增益!$A:$A,增益!$G:$G,0))</f>
        <v>0.028</v>
      </c>
      <c r="AX155" s="26" cm="1">
        <f t="array" ref="AX155">VLOOKUP($R155,武学奇术!$A:$ZZ,8,FALSE)+SUM(_xlfn.XLOOKUP($S155:$AL155,增益!$A:$A,增益!$H:$H,0))</f>
        <v>0</v>
      </c>
      <c r="AY155">
        <f t="shared" si="46"/>
        <v>0</v>
      </c>
      <c r="AZ155">
        <f t="shared" si="47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2" cm="1">
        <f t="array" ref="BB155">$G$11+VLOOKUP($R155,武学奇术!$A:$ZZ,10,FALSE)+SUM(_xlfn.XLOOKUP($S155:$AL155,增益!$A:$A,增益!$J:$J,0))</f>
        <v>0</v>
      </c>
      <c r="BC155">
        <f t="shared" si="48"/>
        <v>0</v>
      </c>
      <c r="BD155">
        <f t="shared" si="49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2" cm="1">
        <f t="array" ref="BF155">$G$12+VLOOKUP($R155,武学奇术!$A:$ZZ,12,FALSE)+SUM(_xlfn.XLOOKUP($S155:$AL155,增益!$A:$A,增益!$L:$L,0))</f>
        <v>0</v>
      </c>
      <c r="BG155">
        <f t="shared" si="50"/>
        <v>0</v>
      </c>
      <c r="BH155">
        <f t="shared" si="51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2" cm="1">
        <f t="array" ref="BJ155">$G$13+VLOOKUP($R155,武学奇术!$A:$ZZ,14,FALSE)+SUM(_xlfn.XLOOKUP($S155:$AL155,增益!$A:$A,增益!$N:$N,0))</f>
        <v>0</v>
      </c>
      <c r="BK155">
        <f t="shared" si="52"/>
        <v>571.2</v>
      </c>
      <c r="BL155">
        <f t="shared" si="53"/>
        <v>1627.8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2" cm="1">
        <f t="array" ref="BN155">$G$14+VLOOKUP($R155,武学奇术!$A:$ZZ,16,FALSE)+SUM(_xlfn.XLOOKUP($S155:$AL155,增益!$A:$A,增益!$P:$P,0))</f>
        <v>0.15</v>
      </c>
      <c r="BO155" s="26">
        <f>MIN(IF(VLOOKUP($R155,武学奇术!$A:$ZZ,23,FALSE)=1,100%,$B$8),100%)</f>
        <v>0.981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26" cm="1">
        <f t="array" ref="BQ155">1+$B$13+VLOOKUP($R155,武学奇术!$A:$ZZ,18,FALSE)+SUM(_xlfn.XLOOKUP($S155:$AL155,增益!$A:$A,增益!$R:$R,0))</f>
        <v>1.88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54"/>
        <v>0.829926</v>
      </c>
      <c r="BU155" s="26">
        <f t="shared" si="55"/>
        <v>0.0599391</v>
      </c>
      <c r="BV155" s="26">
        <f>IF(VLOOKUP($R155,武学奇术!$A:$ZZ,22,FALSE)=1,0,(1-$BO155))*(1-$BR155)</f>
        <v>0.0172349</v>
      </c>
      <c r="BW155" s="26" cm="1">
        <f t="array" ref="BW155">SUM(_xlfn.XLOOKUP($S155:$AL155,增益!$A:$A,增益!$W:$W,0))+$I$5</f>
        <v>0.11</v>
      </c>
      <c r="BX155" s="26" cm="1">
        <f t="array" ref="BX155">SUM(_xlfn.XLOOKUP($S155:$AL155,增益!$A:$A,增益!$X:$X,0))</f>
        <v>0</v>
      </c>
    </row>
    <row r="156" spans="11:76">
      <c r="K156">
        <f>$L156*VLOOKUP($R156,武学奇术!$A:$ZZ,31,FALSE)</f>
        <v>17182.8667824996</v>
      </c>
      <c r="L156" s="38">
        <f t="shared" si="56"/>
        <v>16364.635030952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</f>
        <v>17375.6455411835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</f>
        <v>13543.3989246612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</f>
        <v>9097.19661842066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</f>
        <v>8162.24588524046</v>
      </c>
      <c r="Q156" s="39">
        <f t="shared" si="57"/>
        <v>1</v>
      </c>
      <c r="R156" s="40" t="s">
        <v>195</v>
      </c>
      <c r="S156" s="40" t="s">
        <v>78</v>
      </c>
      <c r="T156" s="40" t="s">
        <v>102</v>
      </c>
      <c r="U156" s="40" t="s">
        <v>79</v>
      </c>
      <c r="V156" s="40" t="s">
        <v>78</v>
      </c>
      <c r="W156" s="40" t="s">
        <v>181</v>
      </c>
      <c r="X156" s="40" t="s">
        <v>106</v>
      </c>
      <c r="Y156" s="40" t="s">
        <v>91</v>
      </c>
      <c r="Z156" s="40" t="s">
        <v>78</v>
      </c>
      <c r="AA156" s="40" t="s">
        <v>78</v>
      </c>
      <c r="AB156" s="40" t="s">
        <v>78</v>
      </c>
      <c r="AC156" s="40" t="s">
        <v>98</v>
      </c>
      <c r="AD156" s="40" t="s">
        <v>78</v>
      </c>
      <c r="AE156" s="40" t="s">
        <v>83</v>
      </c>
      <c r="AF156" s="40" t="s">
        <v>84</v>
      </c>
      <c r="AG156" s="40" t="s">
        <v>85</v>
      </c>
      <c r="AH156" s="40" t="s">
        <v>78</v>
      </c>
      <c r="AI156" s="40" t="s">
        <v>78</v>
      </c>
      <c r="AJ156" s="40" t="s">
        <v>78</v>
      </c>
      <c r="AK156" s="40" t="s">
        <v>78</v>
      </c>
      <c r="AL156" s="40" t="s">
        <v>78</v>
      </c>
      <c r="AM156" t="str">
        <f>VLOOKUP($R156,武学奇术!$A:$ZZ,25,FALSE)</f>
        <v>心法</v>
      </c>
      <c r="AN156" s="26">
        <f>VLOOKUP($R156,武学奇术!$A:$ZZ,26,FALSE)</f>
        <v>1</v>
      </c>
      <c r="AO156" s="27">
        <f>VLOOKUP($R156,武学奇术!$A:$ZZ,27,FALSE)*(1+IF(OR($AM156=$F$4,$AM156=$F$5),$B$22,0))</f>
        <v>0</v>
      </c>
      <c r="AP156" s="26">
        <f>VLOOKUP($R156,武学奇术!$A:$ZZ,28,FALSE)</f>
        <v>1</v>
      </c>
      <c r="AQ156" s="27">
        <f>VLOOKUP($R156,武学奇术!$A:$ZZ,29,FALSE)*(1+IF(OR($AM156=$F$4,$AM156=$F$5),$B$22,0))</f>
        <v>0</v>
      </c>
      <c r="AR156" s="26" cm="1">
        <f t="array" ref="AR156">$G$3+IFERROR(VLOOKUP($AM156,$F$4:$G$7,2,FALSE),0)+VLOOKUP($R156,武学奇术!$A:$ZZ,2,FALSE)+SUM(_xlfn.XLOOKUP($S156:$AL156,增益!$A:$A,增益!$B:$B,0))</f>
        <v>0.2837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3636.6</v>
      </c>
      <c r="AU156" cm="1">
        <f t="array" ref="AU156">$E$10*(1+$AS156)+VLOOKUP($R156,武学奇术!$A:$ZZ,4,FALSE)+SUM(_xlfn.XLOOKUP($S156:$AL156,增益!$A:$A,增益!$D:$D,0))-$I$2</f>
        <v>3636.6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0.3425</v>
      </c>
      <c r="AW156" s="32" cm="1">
        <f t="array" ref="AW156">$G$10+VLOOKUP($R156,武学奇术!$A:$ZZ,7,FALSE)+SUM(_xlfn.XLOOKUP($S156:$AL156,增益!$A:$A,增益!$G:$G,0))</f>
        <v>0.028</v>
      </c>
      <c r="AX156" s="26" cm="1">
        <f t="array" ref="AX156">VLOOKUP($R156,武学奇术!$A:$ZZ,8,FALSE)+SUM(_xlfn.XLOOKUP($S156:$AL156,增益!$A:$A,增益!$H:$H,0))</f>
        <v>0</v>
      </c>
      <c r="AY156">
        <f t="shared" si="46"/>
        <v>0</v>
      </c>
      <c r="AZ156">
        <f t="shared" si="47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2" cm="1">
        <f t="array" ref="BB156">$G$11+VLOOKUP($R156,武学奇术!$A:$ZZ,10,FALSE)+SUM(_xlfn.XLOOKUP($S156:$AL156,增益!$A:$A,增益!$J:$J,0))</f>
        <v>0</v>
      </c>
      <c r="BC156">
        <f t="shared" si="48"/>
        <v>0</v>
      </c>
      <c r="BD156">
        <f t="shared" si="49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-0.14</v>
      </c>
      <c r="BF156" s="32" cm="1">
        <f t="array" ref="BF156">$G$12+VLOOKUP($R156,武学奇术!$A:$ZZ,12,FALSE)+SUM(_xlfn.XLOOKUP($S156:$AL156,增益!$A:$A,增益!$L:$L,0))</f>
        <v>0</v>
      </c>
      <c r="BG156">
        <f t="shared" si="50"/>
        <v>0</v>
      </c>
      <c r="BH156">
        <f t="shared" si="51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2" cm="1">
        <f t="array" ref="BJ156">$G$13+VLOOKUP($R156,武学奇术!$A:$ZZ,14,FALSE)+SUM(_xlfn.XLOOKUP($S156:$AL156,增益!$A:$A,增益!$N:$N,0))</f>
        <v>0</v>
      </c>
      <c r="BK156">
        <f t="shared" si="52"/>
        <v>571.2</v>
      </c>
      <c r="BL156">
        <f t="shared" si="53"/>
        <v>1627.8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0.08</v>
      </c>
      <c r="BN156" s="32" cm="1">
        <f t="array" ref="BN156">$G$14+VLOOKUP($R156,武学奇术!$A:$ZZ,16,FALSE)+SUM(_xlfn.XLOOKUP($S156:$AL156,增益!$A:$A,增益!$P:$P,0))</f>
        <v>0.15</v>
      </c>
      <c r="BO156" s="26">
        <f>MIN(IF(VLOOKUP($R156,武学奇术!$A:$ZZ,23,FALSE)=1,100%,$B$8),100%)</f>
        <v>0.981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26" cm="1">
        <f t="array" ref="BQ156">1+$B$13+VLOOKUP($R156,武学奇术!$A:$ZZ,18,FALSE)+SUM(_xlfn.XLOOKUP($S156:$AL156,增益!$A:$A,增益!$R:$R,0))</f>
        <v>1.91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54"/>
        <v>0.829926</v>
      </c>
      <c r="BU156" s="26">
        <f t="shared" si="55"/>
        <v>0.0599391</v>
      </c>
      <c r="BV156" s="26">
        <f>IF(VLOOKUP($R156,武学奇术!$A:$ZZ,22,FALSE)=1,0,(1-$BO156))*(1-$BR156)</f>
        <v>0.0172349</v>
      </c>
      <c r="BW156" s="26" cm="1">
        <f t="array" ref="BW156">SUM(_xlfn.XLOOKUP($S156:$AL156,增益!$A:$A,增益!$W:$W,0))+$I$5</f>
        <v>0.11</v>
      </c>
      <c r="BX156" s="26" cm="1">
        <f t="array" ref="BX156">SUM(_xlfn.XLOOKUP($S156:$AL156,增益!$A:$A,增益!$X:$X,0))</f>
        <v>0</v>
      </c>
    </row>
    <row r="157" spans="11:76">
      <c r="K157">
        <f>$L157*VLOOKUP($R157,武学奇术!$A:$ZZ,31,FALSE)</f>
        <v>19538.1447238636</v>
      </c>
      <c r="L157" s="38">
        <f t="shared" si="56"/>
        <v>18607.7568798701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</f>
        <v>19764.5756395304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</f>
        <v>15320.4958903396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</f>
        <v>10347.9453610107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</f>
        <v>9347.37524769566</v>
      </c>
      <c r="Q157" s="39">
        <f t="shared" si="57"/>
        <v>1</v>
      </c>
      <c r="R157" s="40" t="s">
        <v>195</v>
      </c>
      <c r="S157" s="40" t="s">
        <v>78</v>
      </c>
      <c r="T157" s="40" t="s">
        <v>102</v>
      </c>
      <c r="U157" s="40" t="s">
        <v>79</v>
      </c>
      <c r="V157" s="40" t="s">
        <v>88</v>
      </c>
      <c r="W157" s="40" t="s">
        <v>181</v>
      </c>
      <c r="X157" s="40" t="s">
        <v>106</v>
      </c>
      <c r="Y157" s="40" t="s">
        <v>78</v>
      </c>
      <c r="Z157" s="40" t="s">
        <v>78</v>
      </c>
      <c r="AA157" s="40" t="s">
        <v>78</v>
      </c>
      <c r="AB157" s="40" t="s">
        <v>78</v>
      </c>
      <c r="AC157" s="40" t="s">
        <v>92</v>
      </c>
      <c r="AD157" s="40" t="s">
        <v>78</v>
      </c>
      <c r="AE157" s="40" t="s">
        <v>83</v>
      </c>
      <c r="AF157" s="40" t="s">
        <v>84</v>
      </c>
      <c r="AG157" s="40" t="s">
        <v>85</v>
      </c>
      <c r="AH157" s="40" t="s">
        <v>78</v>
      </c>
      <c r="AI157" s="40" t="s">
        <v>78</v>
      </c>
      <c r="AJ157" s="40" t="s">
        <v>78</v>
      </c>
      <c r="AK157" s="40" t="s">
        <v>78</v>
      </c>
      <c r="AL157" s="40" t="s">
        <v>78</v>
      </c>
      <c r="AM157" t="str">
        <f>VLOOKUP($R157,武学奇术!$A:$ZZ,25,FALSE)</f>
        <v>心法</v>
      </c>
      <c r="AN157" s="26">
        <f>VLOOKUP($R157,武学奇术!$A:$ZZ,26,FALSE)</f>
        <v>1</v>
      </c>
      <c r="AO157" s="27">
        <f>VLOOKUP($R157,武学奇术!$A:$ZZ,27,FALSE)*(1+IF(OR($AM157=$F$4,$AM157=$F$5),$B$22,0))</f>
        <v>0</v>
      </c>
      <c r="AP157" s="26">
        <f>VLOOKUP($R157,武学奇术!$A:$ZZ,28,FALSE)</f>
        <v>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0.4837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3636.6</v>
      </c>
      <c r="AU157" cm="1">
        <f t="array" ref="AU157">$E$10*(1+$AS157)+VLOOKUP($R157,武学奇术!$A:$ZZ,4,FALSE)+SUM(_xlfn.XLOOKUP($S157:$AL157,增益!$A:$A,增益!$D:$D,0))-$I$2</f>
        <v>3636.6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0.3425</v>
      </c>
      <c r="AW157" s="32" cm="1">
        <f t="array" ref="AW157">$G$10+VLOOKUP($R157,武学奇术!$A:$ZZ,7,FALSE)+SUM(_xlfn.XLOOKUP($S157:$AL157,增益!$A:$A,增益!$G:$G,0))</f>
        <v>0.028</v>
      </c>
      <c r="AX157" s="26" cm="1">
        <f t="array" ref="AX157">VLOOKUP($R157,武学奇术!$A:$ZZ,8,FALSE)+SUM(_xlfn.XLOOKUP($S157:$AL157,增益!$A:$A,增益!$H:$H,0))</f>
        <v>0</v>
      </c>
      <c r="AY157">
        <f t="shared" si="46"/>
        <v>0</v>
      </c>
      <c r="AZ157">
        <f t="shared" si="47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2" cm="1">
        <f t="array" ref="BB157">$G$11+VLOOKUP($R157,武学奇术!$A:$ZZ,10,FALSE)+SUM(_xlfn.XLOOKUP($S157:$AL157,增益!$A:$A,增益!$J:$J,0))</f>
        <v>0</v>
      </c>
      <c r="BC157">
        <f t="shared" si="48"/>
        <v>0</v>
      </c>
      <c r="BD157">
        <f t="shared" si="49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2" cm="1">
        <f t="array" ref="BF157">$G$12+VLOOKUP($R157,武学奇术!$A:$ZZ,12,FALSE)+SUM(_xlfn.XLOOKUP($S157:$AL157,增益!$A:$A,增益!$L:$L,0))</f>
        <v>0</v>
      </c>
      <c r="BG157">
        <f t="shared" si="50"/>
        <v>0</v>
      </c>
      <c r="BH157">
        <f t="shared" si="51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2" cm="1">
        <f t="array" ref="BJ157">$G$13+VLOOKUP($R157,武学奇术!$A:$ZZ,14,FALSE)+SUM(_xlfn.XLOOKUP($S157:$AL157,增益!$A:$A,增益!$N:$N,0))</f>
        <v>0</v>
      </c>
      <c r="BK157">
        <f t="shared" si="52"/>
        <v>571.2</v>
      </c>
      <c r="BL157">
        <f t="shared" si="53"/>
        <v>1627.8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2" cm="1">
        <f t="array" ref="BN157">$G$14+VLOOKUP($R157,武学奇术!$A:$ZZ,16,FALSE)+SUM(_xlfn.XLOOKUP($S157:$AL157,增益!$A:$A,增益!$P:$P,0))</f>
        <v>0.15</v>
      </c>
      <c r="BO157" s="26">
        <f>MIN(IF(VLOOKUP($R157,武学奇术!$A:$ZZ,23,FALSE)=1,100%,$B$8),100%)</f>
        <v>0.981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26" cm="1">
        <f t="array" ref="BQ157">1+$B$13+VLOOKUP($R157,武学奇术!$A:$ZZ,18,FALSE)+SUM(_xlfn.XLOOKUP($S157:$AL157,增益!$A:$A,增益!$R:$R,0))</f>
        <v>1.91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54"/>
        <v>0.829926</v>
      </c>
      <c r="BU157" s="26">
        <f t="shared" si="55"/>
        <v>0.0599391</v>
      </c>
      <c r="BV157" s="26">
        <f>IF(VLOOKUP($R157,武学奇术!$A:$ZZ,22,FALSE)=1,0,(1-$BO157))*(1-$BR157)</f>
        <v>0.0172349</v>
      </c>
      <c r="BW157" s="26" cm="1">
        <f t="array" ref="BW157">SUM(_xlfn.XLOOKUP($S157:$AL157,增益!$A:$A,增益!$W:$W,0))+$I$5</f>
        <v>0.11</v>
      </c>
      <c r="BX157" s="26" cm="1">
        <f t="array" ref="BX157">SUM(_xlfn.XLOOKUP($S157:$AL157,增益!$A:$A,增益!$X:$X,0))</f>
        <v>0</v>
      </c>
    </row>
    <row r="158" spans="11:76">
      <c r="K158">
        <f>$L158*VLOOKUP($R158,武学奇术!$A:$ZZ,31,FALSE)</f>
        <v>23438.3208681022</v>
      </c>
      <c r="L158" s="38">
        <f t="shared" si="56"/>
        <v>22322.2103505735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</f>
        <v>23701.2810865443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</f>
        <v>18473.8980787665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</f>
        <v>12409.0476892902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</f>
        <v>11133.726431346</v>
      </c>
      <c r="Q158" s="39">
        <f t="shared" si="57"/>
        <v>1</v>
      </c>
      <c r="R158" s="40" t="s">
        <v>195</v>
      </c>
      <c r="S158" s="40" t="s">
        <v>78</v>
      </c>
      <c r="T158" s="40" t="s">
        <v>102</v>
      </c>
      <c r="U158" s="40" t="s">
        <v>79</v>
      </c>
      <c r="V158" s="40" t="s">
        <v>88</v>
      </c>
      <c r="W158" s="40" t="s">
        <v>181</v>
      </c>
      <c r="X158" s="40" t="s">
        <v>106</v>
      </c>
      <c r="Y158" s="40" t="s">
        <v>91</v>
      </c>
      <c r="Z158" s="40" t="s">
        <v>185</v>
      </c>
      <c r="AA158" s="40" t="s">
        <v>186</v>
      </c>
      <c r="AB158" s="40" t="s">
        <v>78</v>
      </c>
      <c r="AC158" s="40" t="s">
        <v>98</v>
      </c>
      <c r="AD158" s="40" t="s">
        <v>187</v>
      </c>
      <c r="AE158" s="40" t="s">
        <v>83</v>
      </c>
      <c r="AF158" s="40" t="s">
        <v>84</v>
      </c>
      <c r="AG158" s="40" t="s">
        <v>85</v>
      </c>
      <c r="AH158" s="40" t="s">
        <v>78</v>
      </c>
      <c r="AI158" s="40" t="s">
        <v>78</v>
      </c>
      <c r="AJ158" s="40" t="s">
        <v>78</v>
      </c>
      <c r="AK158" s="40" t="s">
        <v>78</v>
      </c>
      <c r="AL158" s="40" t="s">
        <v>78</v>
      </c>
      <c r="AM158" t="str">
        <f>VLOOKUP($R158,武学奇术!$A:$ZZ,25,FALSE)</f>
        <v>心法</v>
      </c>
      <c r="AN158" s="26">
        <f>VLOOKUP($R158,武学奇术!$A:$ZZ,26,FALSE)</f>
        <v>1</v>
      </c>
      <c r="AO158" s="27">
        <f>VLOOKUP($R158,武学奇术!$A:$ZZ,27,FALSE)*(1+IF(OR($AM158=$F$4,$AM158=$F$5),$B$22,0))</f>
        <v>0</v>
      </c>
      <c r="AP158" s="26">
        <f>VLOOKUP($R158,武学奇术!$A:$ZZ,28,FALSE)</f>
        <v>1</v>
      </c>
      <c r="AQ158" s="27">
        <f>VLOOKUP($R158,武学奇术!$A:$ZZ,29,FALSE)*(1+IF(OR($AM158=$F$4,$AM158=$F$5),$B$22,0))</f>
        <v>0</v>
      </c>
      <c r="AR158" s="26" cm="1">
        <f t="array" ref="AR158">$G$3+IFERROR(VLOOKUP($AM158,$F$4:$G$7,2,FALSE),0)+VLOOKUP($R158,武学奇术!$A:$ZZ,2,FALSE)+SUM(_xlfn.XLOOKUP($S158:$AL158,增益!$A:$A,增益!$B:$B,0))</f>
        <v>0.4837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3636.6</v>
      </c>
      <c r="AU158" cm="1">
        <f t="array" ref="AU158">$E$10*(1+$AS158)+VLOOKUP($R158,武学奇术!$A:$ZZ,4,FALSE)+SUM(_xlfn.XLOOKUP($S158:$AL158,增益!$A:$A,增益!$D:$D,0))-$I$2</f>
        <v>3636.6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0.3425</v>
      </c>
      <c r="AW158" s="32" cm="1">
        <f t="array" ref="AW158">$G$10+VLOOKUP($R158,武学奇术!$A:$ZZ,7,FALSE)+SUM(_xlfn.XLOOKUP($S158:$AL158,增益!$A:$A,增益!$G:$G,0))</f>
        <v>0.028</v>
      </c>
      <c r="AX158" s="26" cm="1">
        <f t="array" ref="AX158">VLOOKUP($R158,武学奇术!$A:$ZZ,8,FALSE)+SUM(_xlfn.XLOOKUP($S158:$AL158,增益!$A:$A,增益!$H:$H,0))</f>
        <v>0</v>
      </c>
      <c r="AY158">
        <f t="shared" si="46"/>
        <v>0</v>
      </c>
      <c r="AZ158">
        <f t="shared" si="47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2" cm="1">
        <f t="array" ref="BB158">$G$11+VLOOKUP($R158,武学奇术!$A:$ZZ,10,FALSE)+SUM(_xlfn.XLOOKUP($S158:$AL158,增益!$A:$A,增益!$J:$J,0))</f>
        <v>0.1</v>
      </c>
      <c r="BC158">
        <f t="shared" si="48"/>
        <v>0</v>
      </c>
      <c r="BD158">
        <f t="shared" si="49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-0.14</v>
      </c>
      <c r="BF158" s="32" cm="1">
        <f t="array" ref="BF158">$G$12+VLOOKUP($R158,武学奇术!$A:$ZZ,12,FALSE)+SUM(_xlfn.XLOOKUP($S158:$AL158,增益!$A:$A,增益!$L:$L,0))</f>
        <v>0</v>
      </c>
      <c r="BG158">
        <f t="shared" si="50"/>
        <v>0</v>
      </c>
      <c r="BH158">
        <f t="shared" si="51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2" cm="1">
        <f t="array" ref="BJ158">$G$13+VLOOKUP($R158,武学奇术!$A:$ZZ,14,FALSE)+SUM(_xlfn.XLOOKUP($S158:$AL158,增益!$A:$A,增益!$N:$N,0))</f>
        <v>0</v>
      </c>
      <c r="BK158">
        <f t="shared" si="52"/>
        <v>571.2</v>
      </c>
      <c r="BL158">
        <f t="shared" si="53"/>
        <v>1627.8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0.08</v>
      </c>
      <c r="BN158" s="32" cm="1">
        <f t="array" ref="BN158">$G$14+VLOOKUP($R158,武学奇术!$A:$ZZ,16,FALSE)+SUM(_xlfn.XLOOKUP($S158:$AL158,增益!$A:$A,增益!$P:$P,0))</f>
        <v>0.15</v>
      </c>
      <c r="BO158" s="26">
        <f>MIN(IF(VLOOKUP($R158,武学奇术!$A:$ZZ,23,FALSE)=1,100%,$B$8),100%)</f>
        <v>0.981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26" cm="1">
        <f t="array" ref="BQ158">1+$B$13+VLOOKUP($R158,武学奇术!$A:$ZZ,18,FALSE)+SUM(_xlfn.XLOOKUP($S158:$AL158,增益!$A:$A,增益!$R:$R,0))</f>
        <v>1.91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54"/>
        <v>0.829926</v>
      </c>
      <c r="BU158" s="26">
        <f t="shared" si="55"/>
        <v>0.0599391</v>
      </c>
      <c r="BV158" s="26">
        <f>IF(VLOOKUP($R158,武学奇术!$A:$ZZ,22,FALSE)=1,0,(1-$BO158))*(1-$BR158)</f>
        <v>0.0172349</v>
      </c>
      <c r="BW158" s="26" cm="1">
        <f t="array" ref="BW158">SUM(_xlfn.XLOOKUP($S158:$AL158,增益!$A:$A,增益!$W:$W,0))+$I$5</f>
        <v>0.31</v>
      </c>
      <c r="BX158" s="26" cm="1">
        <f t="array" ref="BX158">SUM(_xlfn.XLOOKUP($S158:$AL158,增益!$A:$A,增益!$X:$X,0))</f>
        <v>0</v>
      </c>
    </row>
    <row r="159" spans="11:76">
      <c r="K159">
        <f>$L159*VLOOKUP($R159,武学奇术!$A:$ZZ,31,FALSE)</f>
        <v>19859.9512699187</v>
      </c>
      <c r="L159" s="38">
        <f t="shared" si="56"/>
        <v>18914.2393046844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</f>
        <v>20082.7648901253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</f>
        <v>15653.455623993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</f>
        <v>10514.5365916887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</f>
        <v>9433.92086930846</v>
      </c>
      <c r="Q159" s="39">
        <f t="shared" si="57"/>
        <v>1</v>
      </c>
      <c r="R159" s="40" t="s">
        <v>195</v>
      </c>
      <c r="S159" s="40" t="s">
        <v>78</v>
      </c>
      <c r="T159" s="40" t="s">
        <v>102</v>
      </c>
      <c r="U159" s="40" t="s">
        <v>79</v>
      </c>
      <c r="V159" s="40" t="s">
        <v>88</v>
      </c>
      <c r="W159" s="40" t="s">
        <v>181</v>
      </c>
      <c r="X159" s="40" t="s">
        <v>106</v>
      </c>
      <c r="Y159" s="40" t="s">
        <v>91</v>
      </c>
      <c r="Z159" s="40" t="s">
        <v>78</v>
      </c>
      <c r="AA159" s="40" t="s">
        <v>78</v>
      </c>
      <c r="AB159" s="40" t="s">
        <v>78</v>
      </c>
      <c r="AC159" s="40" t="s">
        <v>92</v>
      </c>
      <c r="AD159" s="40" t="s">
        <v>78</v>
      </c>
      <c r="AE159" s="40" t="s">
        <v>83</v>
      </c>
      <c r="AF159" s="40" t="s">
        <v>84</v>
      </c>
      <c r="AG159" s="40" t="s">
        <v>85</v>
      </c>
      <c r="AH159" s="40" t="s">
        <v>78</v>
      </c>
      <c r="AI159" s="40" t="s">
        <v>78</v>
      </c>
      <c r="AJ159" s="40" t="s">
        <v>78</v>
      </c>
      <c r="AK159" s="40" t="s">
        <v>78</v>
      </c>
      <c r="AL159" s="40" t="s">
        <v>78</v>
      </c>
      <c r="AM159" t="str">
        <f>VLOOKUP($R159,武学奇术!$A:$ZZ,25,FALSE)</f>
        <v>心法</v>
      </c>
      <c r="AN159" s="26">
        <f>VLOOKUP($R159,武学奇术!$A:$ZZ,26,FALSE)</f>
        <v>1</v>
      </c>
      <c r="AO159" s="27">
        <f>VLOOKUP($R159,武学奇术!$A:$ZZ,27,FALSE)*(1+IF(OR($AM159=$F$4,$AM159=$F$5),$B$22,0))</f>
        <v>0</v>
      </c>
      <c r="AP159" s="26">
        <f>VLOOKUP($R159,武学奇术!$A:$ZZ,28,FALSE)</f>
        <v>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0.4837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3636.6</v>
      </c>
      <c r="AU159" cm="1">
        <f t="array" ref="AU159">$E$10*(1+$AS159)+VLOOKUP($R159,武学奇术!$A:$ZZ,4,FALSE)+SUM(_xlfn.XLOOKUP($S159:$AL159,增益!$A:$A,增益!$D:$D,0))-$I$2</f>
        <v>3636.6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0.3425</v>
      </c>
      <c r="AW159" s="32" cm="1">
        <f t="array" ref="AW159">$G$10+VLOOKUP($R159,武学奇术!$A:$ZZ,7,FALSE)+SUM(_xlfn.XLOOKUP($S159:$AL159,增益!$A:$A,增益!$G:$G,0))</f>
        <v>0.028</v>
      </c>
      <c r="AX159" s="26" cm="1">
        <f t="array" ref="AX159">VLOOKUP($R159,武学奇术!$A:$ZZ,8,FALSE)+SUM(_xlfn.XLOOKUP($S159:$AL159,增益!$A:$A,增益!$H:$H,0))</f>
        <v>0</v>
      </c>
      <c r="AY159">
        <f t="shared" si="46"/>
        <v>0</v>
      </c>
      <c r="AZ159">
        <f t="shared" si="47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2" cm="1">
        <f t="array" ref="BB159">$G$11+VLOOKUP($R159,武学奇术!$A:$ZZ,10,FALSE)+SUM(_xlfn.XLOOKUP($S159:$AL159,增益!$A:$A,增益!$J:$J,0))</f>
        <v>0</v>
      </c>
      <c r="BC159">
        <f t="shared" si="48"/>
        <v>0</v>
      </c>
      <c r="BD159">
        <f t="shared" si="49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-0.14</v>
      </c>
      <c r="BF159" s="32" cm="1">
        <f t="array" ref="BF159">$G$12+VLOOKUP($R159,武学奇术!$A:$ZZ,12,FALSE)+SUM(_xlfn.XLOOKUP($S159:$AL159,增益!$A:$A,增益!$L:$L,0))</f>
        <v>0</v>
      </c>
      <c r="BG159">
        <f t="shared" si="50"/>
        <v>0</v>
      </c>
      <c r="BH159">
        <f t="shared" si="51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2" cm="1">
        <f t="array" ref="BJ159">$G$13+VLOOKUP($R159,武学奇术!$A:$ZZ,14,FALSE)+SUM(_xlfn.XLOOKUP($S159:$AL159,增益!$A:$A,增益!$N:$N,0))</f>
        <v>0</v>
      </c>
      <c r="BK159">
        <f t="shared" si="52"/>
        <v>571.2</v>
      </c>
      <c r="BL159">
        <f t="shared" si="53"/>
        <v>1627.8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0.08</v>
      </c>
      <c r="BN159" s="32" cm="1">
        <f t="array" ref="BN159">$G$14+VLOOKUP($R159,武学奇术!$A:$ZZ,16,FALSE)+SUM(_xlfn.XLOOKUP($S159:$AL159,增益!$A:$A,增益!$P:$P,0))</f>
        <v>0.15</v>
      </c>
      <c r="BO159" s="26">
        <f>MIN(IF(VLOOKUP($R159,武学奇术!$A:$ZZ,23,FALSE)=1,100%,$B$8),100%)</f>
        <v>0.981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26" cm="1">
        <f t="array" ref="BQ159">1+$B$13+VLOOKUP($R159,武学奇术!$A:$ZZ,18,FALSE)+SUM(_xlfn.XLOOKUP($S159:$AL159,增益!$A:$A,增益!$R:$R,0))</f>
        <v>1.91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54"/>
        <v>0.829926</v>
      </c>
      <c r="BU159" s="26">
        <f t="shared" si="55"/>
        <v>0.0599391</v>
      </c>
      <c r="BV159" s="26">
        <f>IF(VLOOKUP($R159,武学奇术!$A:$ZZ,22,FALSE)=1,0,(1-$BO159))*(1-$BR159)</f>
        <v>0.0172349</v>
      </c>
      <c r="BW159" s="26" cm="1">
        <f t="array" ref="BW159">SUM(_xlfn.XLOOKUP($S159:$AL159,增益!$A:$A,增益!$W:$W,0))+$I$5</f>
        <v>0.11</v>
      </c>
      <c r="BX159" s="26" cm="1">
        <f t="array" ref="BX159">SUM(_xlfn.XLOOKUP($S159:$AL159,增益!$A:$A,增益!$X:$X,0))</f>
        <v>0</v>
      </c>
    </row>
    <row r="160" spans="11:76">
      <c r="K160">
        <f>$L160*VLOOKUP($R160,武学奇术!$A:$ZZ,31,FALSE)</f>
        <v>19859.9512699187</v>
      </c>
      <c r="L160" s="38">
        <f t="shared" si="56"/>
        <v>18914.2393046844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</f>
        <v>20082.7648901253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</f>
        <v>15653.455623993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</f>
        <v>10514.5365916887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</f>
        <v>9433.92086930846</v>
      </c>
      <c r="Q160" s="39">
        <f t="shared" si="57"/>
        <v>1</v>
      </c>
      <c r="R160" s="40" t="s">
        <v>195</v>
      </c>
      <c r="S160" s="40" t="s">
        <v>78</v>
      </c>
      <c r="T160" s="40" t="s">
        <v>102</v>
      </c>
      <c r="U160" s="40" t="s">
        <v>79</v>
      </c>
      <c r="V160" s="40" t="s">
        <v>88</v>
      </c>
      <c r="W160" s="40" t="s">
        <v>181</v>
      </c>
      <c r="X160" s="40" t="s">
        <v>106</v>
      </c>
      <c r="Y160" s="40" t="s">
        <v>91</v>
      </c>
      <c r="Z160" s="40" t="s">
        <v>78</v>
      </c>
      <c r="AA160" s="40" t="s">
        <v>78</v>
      </c>
      <c r="AB160" s="40" t="s">
        <v>78</v>
      </c>
      <c r="AC160" s="40" t="s">
        <v>98</v>
      </c>
      <c r="AD160" s="40" t="s">
        <v>78</v>
      </c>
      <c r="AE160" s="40" t="s">
        <v>83</v>
      </c>
      <c r="AF160" s="40" t="s">
        <v>84</v>
      </c>
      <c r="AG160" s="40" t="s">
        <v>85</v>
      </c>
      <c r="AH160" s="40" t="s">
        <v>78</v>
      </c>
      <c r="AI160" s="40" t="s">
        <v>78</v>
      </c>
      <c r="AJ160" s="40" t="s">
        <v>78</v>
      </c>
      <c r="AK160" s="40" t="s">
        <v>78</v>
      </c>
      <c r="AL160" s="40" t="s">
        <v>78</v>
      </c>
      <c r="AM160" t="str">
        <f>VLOOKUP($R160,武学奇术!$A:$ZZ,25,FALSE)</f>
        <v>心法</v>
      </c>
      <c r="AN160" s="26">
        <f>VLOOKUP($R160,武学奇术!$A:$ZZ,26,FALSE)</f>
        <v>1</v>
      </c>
      <c r="AO160" s="27">
        <f>VLOOKUP($R160,武学奇术!$A:$ZZ,27,FALSE)*(1+IF(OR($AM160=$F$4,$AM160=$F$5),$B$22,0))</f>
        <v>0</v>
      </c>
      <c r="AP160" s="26">
        <f>VLOOKUP($R160,武学奇术!$A:$ZZ,28,FALSE)</f>
        <v>1</v>
      </c>
      <c r="AQ160" s="27">
        <f>VLOOKUP($R160,武学奇术!$A:$ZZ,29,FALSE)*(1+IF(OR($AM160=$F$4,$AM160=$F$5),$B$22,0))</f>
        <v>0</v>
      </c>
      <c r="AR160" s="26" cm="1">
        <f t="array" ref="AR160">$G$3+IFERROR(VLOOKUP($AM160,$F$4:$G$7,2,FALSE),0)+VLOOKUP($R160,武学奇术!$A:$ZZ,2,FALSE)+SUM(_xlfn.XLOOKUP($S160:$AL160,增益!$A:$A,增益!$B:$B,0))</f>
        <v>0.4837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3636.6</v>
      </c>
      <c r="AU160" cm="1">
        <f t="array" ref="AU160">$E$10*(1+$AS160)+VLOOKUP($R160,武学奇术!$A:$ZZ,4,FALSE)+SUM(_xlfn.XLOOKUP($S160:$AL160,增益!$A:$A,增益!$D:$D,0))-$I$2</f>
        <v>3636.6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0.3425</v>
      </c>
      <c r="AW160" s="32" cm="1">
        <f t="array" ref="AW160">$G$10+VLOOKUP($R160,武学奇术!$A:$ZZ,7,FALSE)+SUM(_xlfn.XLOOKUP($S160:$AL160,增益!$A:$A,增益!$G:$G,0))</f>
        <v>0.028</v>
      </c>
      <c r="AX160" s="26" cm="1">
        <f t="array" ref="AX160">VLOOKUP($R160,武学奇术!$A:$ZZ,8,FALSE)+SUM(_xlfn.XLOOKUP($S160:$AL160,增益!$A:$A,增益!$H:$H,0))</f>
        <v>0</v>
      </c>
      <c r="AY160">
        <f t="shared" si="46"/>
        <v>0</v>
      </c>
      <c r="AZ160">
        <f t="shared" si="47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2" cm="1">
        <f t="array" ref="BB160">$G$11+VLOOKUP($R160,武学奇术!$A:$ZZ,10,FALSE)+SUM(_xlfn.XLOOKUP($S160:$AL160,增益!$A:$A,增益!$J:$J,0))</f>
        <v>0</v>
      </c>
      <c r="BC160">
        <f t="shared" si="48"/>
        <v>0</v>
      </c>
      <c r="BD160">
        <f t="shared" si="49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-0.14</v>
      </c>
      <c r="BF160" s="32" cm="1">
        <f t="array" ref="BF160">$G$12+VLOOKUP($R160,武学奇术!$A:$ZZ,12,FALSE)+SUM(_xlfn.XLOOKUP($S160:$AL160,增益!$A:$A,增益!$L:$L,0))</f>
        <v>0</v>
      </c>
      <c r="BG160">
        <f t="shared" si="50"/>
        <v>0</v>
      </c>
      <c r="BH160">
        <f t="shared" si="51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2" cm="1">
        <f t="array" ref="BJ160">$G$13+VLOOKUP($R160,武学奇术!$A:$ZZ,14,FALSE)+SUM(_xlfn.XLOOKUP($S160:$AL160,增益!$A:$A,增益!$N:$N,0))</f>
        <v>0</v>
      </c>
      <c r="BK160">
        <f t="shared" si="52"/>
        <v>571.2</v>
      </c>
      <c r="BL160">
        <f t="shared" si="53"/>
        <v>1627.8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0.08</v>
      </c>
      <c r="BN160" s="32" cm="1">
        <f t="array" ref="BN160">$G$14+VLOOKUP($R160,武学奇术!$A:$ZZ,16,FALSE)+SUM(_xlfn.XLOOKUP($S160:$AL160,增益!$A:$A,增益!$P:$P,0))</f>
        <v>0.15</v>
      </c>
      <c r="BO160" s="26">
        <f>MIN(IF(VLOOKUP($R160,武学奇术!$A:$ZZ,23,FALSE)=1,100%,$B$8),100%)</f>
        <v>0.981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26" cm="1">
        <f t="array" ref="BQ160">1+$B$13+VLOOKUP($R160,武学奇术!$A:$ZZ,18,FALSE)+SUM(_xlfn.XLOOKUP($S160:$AL160,增益!$A:$A,增益!$R:$R,0))</f>
        <v>1.91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54"/>
        <v>0.829926</v>
      </c>
      <c r="BU160" s="26">
        <f t="shared" si="55"/>
        <v>0.0599391</v>
      </c>
      <c r="BV160" s="26">
        <f>IF(VLOOKUP($R160,武学奇术!$A:$ZZ,22,FALSE)=1,0,(1-$BO160))*(1-$BR160)</f>
        <v>0.0172349</v>
      </c>
      <c r="BW160" s="26" cm="1">
        <f t="array" ref="BW160">SUM(_xlfn.XLOOKUP($S160:$AL160,增益!$A:$A,增益!$W:$W,0))+$I$5</f>
        <v>0.11</v>
      </c>
      <c r="BX160" s="26" cm="1">
        <f t="array" ref="BX160">SUM(_xlfn.XLOOKUP($S160:$AL160,增益!$A:$A,增益!$X:$X,0))</f>
        <v>0</v>
      </c>
    </row>
    <row r="161" spans="11:76">
      <c r="K161">
        <f>$L161*VLOOKUP($R161,武学奇术!$A:$ZZ,31,FALSE)</f>
        <v>17182.8667824996</v>
      </c>
      <c r="L161" s="38">
        <f t="shared" si="56"/>
        <v>16364.635030952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</f>
        <v>17375.6455411835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</f>
        <v>13543.3989246612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</f>
        <v>9097.19661842066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</f>
        <v>8162.24588524046</v>
      </c>
      <c r="Q161" s="39">
        <f t="shared" si="57"/>
        <v>1</v>
      </c>
      <c r="R161" s="40" t="s">
        <v>195</v>
      </c>
      <c r="S161" s="40" t="s">
        <v>78</v>
      </c>
      <c r="T161" s="40" t="s">
        <v>102</v>
      </c>
      <c r="U161" s="40" t="s">
        <v>79</v>
      </c>
      <c r="V161" s="40" t="s">
        <v>78</v>
      </c>
      <c r="W161" s="40" t="s">
        <v>181</v>
      </c>
      <c r="X161" s="40" t="s">
        <v>106</v>
      </c>
      <c r="Y161" s="40" t="s">
        <v>91</v>
      </c>
      <c r="Z161" s="40" t="s">
        <v>78</v>
      </c>
      <c r="AA161" s="40" t="s">
        <v>78</v>
      </c>
      <c r="AB161" s="40" t="s">
        <v>78</v>
      </c>
      <c r="AC161" s="40" t="s">
        <v>98</v>
      </c>
      <c r="AD161" s="40" t="s">
        <v>78</v>
      </c>
      <c r="AE161" s="40" t="s">
        <v>83</v>
      </c>
      <c r="AF161" s="40" t="s">
        <v>84</v>
      </c>
      <c r="AG161" s="40" t="s">
        <v>85</v>
      </c>
      <c r="AH161" s="40" t="s">
        <v>78</v>
      </c>
      <c r="AI161" s="40" t="s">
        <v>78</v>
      </c>
      <c r="AJ161" s="40" t="s">
        <v>78</v>
      </c>
      <c r="AK161" s="40" t="s">
        <v>78</v>
      </c>
      <c r="AL161" s="40" t="s">
        <v>78</v>
      </c>
      <c r="AM161" t="str">
        <f>VLOOKUP($R161,武学奇术!$A:$ZZ,25,FALSE)</f>
        <v>心法</v>
      </c>
      <c r="AN161" s="26">
        <f>VLOOKUP($R161,武学奇术!$A:$ZZ,26,FALSE)</f>
        <v>1</v>
      </c>
      <c r="AO161" s="27">
        <f>VLOOKUP($R161,武学奇术!$A:$ZZ,27,FALSE)*(1+IF(OR($AM161=$F$4,$AM161=$F$5),$B$22,0))</f>
        <v>0</v>
      </c>
      <c r="AP161" s="26">
        <f>VLOOKUP($R161,武学奇术!$A:$ZZ,28,FALSE)</f>
        <v>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0.2837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3636.6</v>
      </c>
      <c r="AU161" cm="1">
        <f t="array" ref="AU161">$E$10*(1+$AS161)+VLOOKUP($R161,武学奇术!$A:$ZZ,4,FALSE)+SUM(_xlfn.XLOOKUP($S161:$AL161,增益!$A:$A,增益!$D:$D,0))-$I$2</f>
        <v>3636.6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0.3425</v>
      </c>
      <c r="AW161" s="32" cm="1">
        <f t="array" ref="AW161">$G$10+VLOOKUP($R161,武学奇术!$A:$ZZ,7,FALSE)+SUM(_xlfn.XLOOKUP($S161:$AL161,增益!$A:$A,增益!$G:$G,0))</f>
        <v>0.028</v>
      </c>
      <c r="AX161" s="26" cm="1">
        <f t="array" ref="AX161">VLOOKUP($R161,武学奇术!$A:$ZZ,8,FALSE)+SUM(_xlfn.XLOOKUP($S161:$AL161,增益!$A:$A,增益!$H:$H,0))</f>
        <v>0</v>
      </c>
      <c r="AY161">
        <f t="shared" si="46"/>
        <v>0</v>
      </c>
      <c r="AZ161">
        <f t="shared" si="47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2" cm="1">
        <f t="array" ref="BB161">$G$11+VLOOKUP($R161,武学奇术!$A:$ZZ,10,FALSE)+SUM(_xlfn.XLOOKUP($S161:$AL161,增益!$A:$A,增益!$J:$J,0))</f>
        <v>0</v>
      </c>
      <c r="BC161">
        <f t="shared" si="48"/>
        <v>0</v>
      </c>
      <c r="BD161">
        <f t="shared" si="49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-0.14</v>
      </c>
      <c r="BF161" s="32" cm="1">
        <f t="array" ref="BF161">$G$12+VLOOKUP($R161,武学奇术!$A:$ZZ,12,FALSE)+SUM(_xlfn.XLOOKUP($S161:$AL161,增益!$A:$A,增益!$L:$L,0))</f>
        <v>0</v>
      </c>
      <c r="BG161">
        <f t="shared" si="50"/>
        <v>0</v>
      </c>
      <c r="BH161">
        <f t="shared" si="51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2" cm="1">
        <f t="array" ref="BJ161">$G$13+VLOOKUP($R161,武学奇术!$A:$ZZ,14,FALSE)+SUM(_xlfn.XLOOKUP($S161:$AL161,增益!$A:$A,增益!$N:$N,0))</f>
        <v>0</v>
      </c>
      <c r="BK161">
        <f t="shared" si="52"/>
        <v>571.2</v>
      </c>
      <c r="BL161">
        <f t="shared" si="53"/>
        <v>1627.8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0.08</v>
      </c>
      <c r="BN161" s="32" cm="1">
        <f t="array" ref="BN161">$G$14+VLOOKUP($R161,武学奇术!$A:$ZZ,16,FALSE)+SUM(_xlfn.XLOOKUP($S161:$AL161,增益!$A:$A,增益!$P:$P,0))</f>
        <v>0.15</v>
      </c>
      <c r="BO161" s="26">
        <f>MIN(IF(VLOOKUP($R161,武学奇术!$A:$ZZ,23,FALSE)=1,100%,$B$8),100%)</f>
        <v>0.981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26" cm="1">
        <f t="array" ref="BQ161">1+$B$13+VLOOKUP($R161,武学奇术!$A:$ZZ,18,FALSE)+SUM(_xlfn.XLOOKUP($S161:$AL161,增益!$A:$A,增益!$R:$R,0))</f>
        <v>1.91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54"/>
        <v>0.829926</v>
      </c>
      <c r="BU161" s="26">
        <f t="shared" si="55"/>
        <v>0.0599391</v>
      </c>
      <c r="BV161" s="26">
        <f>IF(VLOOKUP($R161,武学奇术!$A:$ZZ,22,FALSE)=1,0,(1-$BO161))*(1-$BR161)</f>
        <v>0.0172349</v>
      </c>
      <c r="BW161" s="26" cm="1">
        <f t="array" ref="BW161">SUM(_xlfn.XLOOKUP($S161:$AL161,增益!$A:$A,增益!$W:$W,0))+$I$5</f>
        <v>0.11</v>
      </c>
      <c r="BX161" s="26" cm="1">
        <f t="array" ref="BX161">SUM(_xlfn.XLOOKUP($S161:$AL161,增益!$A:$A,增益!$X:$X,0))</f>
        <v>0</v>
      </c>
    </row>
    <row r="162" spans="11:76">
      <c r="K162">
        <f>$L162*VLOOKUP($R162,武学奇术!$A:$ZZ,31,FALSE)</f>
        <v>16904.4391602236</v>
      </c>
      <c r="L162" s="38">
        <f t="shared" si="56"/>
        <v>16099.4658668796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</f>
        <v>17100.3476096685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</f>
        <v>13255.3215437278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</f>
        <v>8953.06157574266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</f>
        <v>8087.36645242766</v>
      </c>
      <c r="Q162" s="39">
        <f t="shared" si="57"/>
        <v>1</v>
      </c>
      <c r="R162" s="40" t="s">
        <v>195</v>
      </c>
      <c r="S162" s="40" t="s">
        <v>78</v>
      </c>
      <c r="T162" s="40" t="s">
        <v>102</v>
      </c>
      <c r="U162" s="40" t="s">
        <v>79</v>
      </c>
      <c r="V162" s="40" t="s">
        <v>78</v>
      </c>
      <c r="W162" s="40" t="s">
        <v>181</v>
      </c>
      <c r="X162" s="40" t="s">
        <v>106</v>
      </c>
      <c r="Y162" s="40" t="s">
        <v>78</v>
      </c>
      <c r="Z162" s="40" t="s">
        <v>78</v>
      </c>
      <c r="AA162" s="40" t="s">
        <v>78</v>
      </c>
      <c r="AB162" s="40" t="s">
        <v>78</v>
      </c>
      <c r="AC162" s="40" t="s">
        <v>92</v>
      </c>
      <c r="AD162" s="40" t="s">
        <v>78</v>
      </c>
      <c r="AE162" s="40" t="s">
        <v>83</v>
      </c>
      <c r="AF162" s="40" t="s">
        <v>84</v>
      </c>
      <c r="AG162" s="40" t="s">
        <v>85</v>
      </c>
      <c r="AH162" s="40" t="s">
        <v>78</v>
      </c>
      <c r="AI162" s="40" t="s">
        <v>78</v>
      </c>
      <c r="AJ162" s="40" t="s">
        <v>78</v>
      </c>
      <c r="AK162" s="40" t="s">
        <v>78</v>
      </c>
      <c r="AL162" s="40" t="s">
        <v>78</v>
      </c>
      <c r="AM162" t="str">
        <f>VLOOKUP($R162,武学奇术!$A:$ZZ,25,FALSE)</f>
        <v>心法</v>
      </c>
      <c r="AN162" s="26">
        <f>VLOOKUP($R162,武学奇术!$A:$ZZ,26,FALSE)</f>
        <v>1</v>
      </c>
      <c r="AO162" s="27">
        <f>VLOOKUP($R162,武学奇术!$A:$ZZ,27,FALSE)*(1+IF(OR($AM162=$F$4,$AM162=$F$5),$B$22,0))</f>
        <v>0</v>
      </c>
      <c r="AP162" s="26">
        <f>VLOOKUP($R162,武学奇术!$A:$ZZ,28,FALSE)</f>
        <v>1</v>
      </c>
      <c r="AQ162" s="27">
        <f>VLOOKUP($R162,武学奇术!$A:$ZZ,29,FALSE)*(1+IF(OR($AM162=$F$4,$AM162=$F$5),$B$22,0))</f>
        <v>0</v>
      </c>
      <c r="AR162" s="26" cm="1">
        <f t="array" ref="AR162">$G$3+IFERROR(VLOOKUP($AM162,$F$4:$G$7,2,FALSE),0)+VLOOKUP($R162,武学奇术!$A:$ZZ,2,FALSE)+SUM(_xlfn.XLOOKUP($S162:$AL162,增益!$A:$A,增益!$B:$B,0))</f>
        <v>0.2837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3636.6</v>
      </c>
      <c r="AU162" cm="1">
        <f t="array" ref="AU162">$E$10*(1+$AS162)+VLOOKUP($R162,武学奇术!$A:$ZZ,4,FALSE)+SUM(_xlfn.XLOOKUP($S162:$AL162,增益!$A:$A,增益!$D:$D,0))-$I$2</f>
        <v>3636.6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0.3425</v>
      </c>
      <c r="AW162" s="32" cm="1">
        <f t="array" ref="AW162">$G$10+VLOOKUP($R162,武学奇术!$A:$ZZ,7,FALSE)+SUM(_xlfn.XLOOKUP($S162:$AL162,增益!$A:$A,增益!$G:$G,0))</f>
        <v>0.028</v>
      </c>
      <c r="AX162" s="26" cm="1">
        <f t="array" ref="AX162">VLOOKUP($R162,武学奇术!$A:$ZZ,8,FALSE)+SUM(_xlfn.XLOOKUP($S162:$AL162,增益!$A:$A,增益!$H:$H,0))</f>
        <v>0</v>
      </c>
      <c r="AY162">
        <f t="shared" si="46"/>
        <v>0</v>
      </c>
      <c r="AZ162">
        <f t="shared" si="47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2" cm="1">
        <f t="array" ref="BB162">$G$11+VLOOKUP($R162,武学奇术!$A:$ZZ,10,FALSE)+SUM(_xlfn.XLOOKUP($S162:$AL162,增益!$A:$A,增益!$J:$J,0))</f>
        <v>0</v>
      </c>
      <c r="BC162">
        <f t="shared" si="48"/>
        <v>0</v>
      </c>
      <c r="BD162">
        <f t="shared" si="49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2" cm="1">
        <f t="array" ref="BF162">$G$12+VLOOKUP($R162,武学奇术!$A:$ZZ,12,FALSE)+SUM(_xlfn.XLOOKUP($S162:$AL162,增益!$A:$A,增益!$L:$L,0))</f>
        <v>0</v>
      </c>
      <c r="BG162">
        <f t="shared" si="50"/>
        <v>0</v>
      </c>
      <c r="BH162">
        <f t="shared" si="51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2" cm="1">
        <f t="array" ref="BJ162">$G$13+VLOOKUP($R162,武学奇术!$A:$ZZ,14,FALSE)+SUM(_xlfn.XLOOKUP($S162:$AL162,增益!$A:$A,增益!$N:$N,0))</f>
        <v>0</v>
      </c>
      <c r="BK162">
        <f t="shared" si="52"/>
        <v>571.2</v>
      </c>
      <c r="BL162">
        <f t="shared" si="53"/>
        <v>1627.8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2" cm="1">
        <f t="array" ref="BN162">$G$14+VLOOKUP($R162,武学奇术!$A:$ZZ,16,FALSE)+SUM(_xlfn.XLOOKUP($S162:$AL162,增益!$A:$A,增益!$P:$P,0))</f>
        <v>0.15</v>
      </c>
      <c r="BO162" s="26">
        <f>MIN(IF(VLOOKUP($R162,武学奇术!$A:$ZZ,23,FALSE)=1,100%,$B$8),100%)</f>
        <v>0.981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26" cm="1">
        <f t="array" ref="BQ162">1+$B$13+VLOOKUP($R162,武学奇术!$A:$ZZ,18,FALSE)+SUM(_xlfn.XLOOKUP($S162:$AL162,增益!$A:$A,增益!$R:$R,0))</f>
        <v>1.91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54"/>
        <v>0.829926</v>
      </c>
      <c r="BU162" s="26">
        <f t="shared" si="55"/>
        <v>0.0599391</v>
      </c>
      <c r="BV162" s="26">
        <f>IF(VLOOKUP($R162,武学奇术!$A:$ZZ,22,FALSE)=1,0,(1-$BO162))*(1-$BR162)</f>
        <v>0.0172349</v>
      </c>
      <c r="BW162" s="26" cm="1">
        <f t="array" ref="BW162">SUM(_xlfn.XLOOKUP($S162:$AL162,增益!$A:$A,增益!$W:$W,0))+$I$5</f>
        <v>0.11</v>
      </c>
      <c r="BX162" s="26" cm="1">
        <f t="array" ref="BX162">SUM(_xlfn.XLOOKUP($S162:$AL162,增益!$A:$A,增益!$X:$X,0))</f>
        <v>0</v>
      </c>
    </row>
    <row r="163" spans="11:76">
      <c r="K163">
        <f>$L163*VLOOKUP($R163,武学奇术!$A:$ZZ,31,FALSE)</f>
        <v>23438.3208681022</v>
      </c>
      <c r="L163" s="38">
        <f t="shared" si="56"/>
        <v>22322.2103505735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</f>
        <v>23701.2810865443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</f>
        <v>18473.8980787665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</f>
        <v>12409.0476892902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</f>
        <v>11133.726431346</v>
      </c>
      <c r="Q163" s="39">
        <f t="shared" si="57"/>
        <v>1</v>
      </c>
      <c r="R163" s="40" t="s">
        <v>195</v>
      </c>
      <c r="S163" s="40" t="s">
        <v>78</v>
      </c>
      <c r="T163" s="40" t="s">
        <v>102</v>
      </c>
      <c r="U163" s="40" t="s">
        <v>79</v>
      </c>
      <c r="V163" s="40" t="s">
        <v>88</v>
      </c>
      <c r="W163" s="40" t="s">
        <v>181</v>
      </c>
      <c r="X163" s="40" t="s">
        <v>106</v>
      </c>
      <c r="Y163" s="40" t="s">
        <v>91</v>
      </c>
      <c r="Z163" s="40" t="s">
        <v>185</v>
      </c>
      <c r="AA163" s="40" t="s">
        <v>186</v>
      </c>
      <c r="AB163" s="40" t="s">
        <v>78</v>
      </c>
      <c r="AC163" s="40" t="s">
        <v>98</v>
      </c>
      <c r="AD163" s="40" t="s">
        <v>187</v>
      </c>
      <c r="AE163" s="40" t="s">
        <v>83</v>
      </c>
      <c r="AF163" s="40" t="s">
        <v>84</v>
      </c>
      <c r="AG163" s="40" t="s">
        <v>85</v>
      </c>
      <c r="AH163" s="40" t="s">
        <v>78</v>
      </c>
      <c r="AI163" s="40" t="s">
        <v>78</v>
      </c>
      <c r="AJ163" s="40" t="s">
        <v>78</v>
      </c>
      <c r="AK163" s="40" t="s">
        <v>78</v>
      </c>
      <c r="AL163" s="40" t="s">
        <v>78</v>
      </c>
      <c r="AM163" t="str">
        <f>VLOOKUP($R163,武学奇术!$A:$ZZ,25,FALSE)</f>
        <v>心法</v>
      </c>
      <c r="AN163" s="26">
        <f>VLOOKUP($R163,武学奇术!$A:$ZZ,26,FALSE)</f>
        <v>1</v>
      </c>
      <c r="AO163" s="27">
        <f>VLOOKUP($R163,武学奇术!$A:$ZZ,27,FALSE)*(1+IF(OR($AM163=$F$4,$AM163=$F$5),$B$22,0))</f>
        <v>0</v>
      </c>
      <c r="AP163" s="26">
        <f>VLOOKUP($R163,武学奇术!$A:$ZZ,28,FALSE)</f>
        <v>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0.4837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3636.6</v>
      </c>
      <c r="AU163" cm="1">
        <f t="array" ref="AU163">$E$10*(1+$AS163)+VLOOKUP($R163,武学奇术!$A:$ZZ,4,FALSE)+SUM(_xlfn.XLOOKUP($S163:$AL163,增益!$A:$A,增益!$D:$D,0))-$I$2</f>
        <v>3636.6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0.3425</v>
      </c>
      <c r="AW163" s="32" cm="1">
        <f t="array" ref="AW163">$G$10+VLOOKUP($R163,武学奇术!$A:$ZZ,7,FALSE)+SUM(_xlfn.XLOOKUP($S163:$AL163,增益!$A:$A,增益!$G:$G,0))</f>
        <v>0.028</v>
      </c>
      <c r="AX163" s="26" cm="1">
        <f t="array" ref="AX163">VLOOKUP($R163,武学奇术!$A:$ZZ,8,FALSE)+SUM(_xlfn.XLOOKUP($S163:$AL163,增益!$A:$A,增益!$H:$H,0))</f>
        <v>0</v>
      </c>
      <c r="AY163">
        <f t="shared" si="46"/>
        <v>0</v>
      </c>
      <c r="AZ163">
        <f t="shared" si="47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2" cm="1">
        <f t="array" ref="BB163">$G$11+VLOOKUP($R163,武学奇术!$A:$ZZ,10,FALSE)+SUM(_xlfn.XLOOKUP($S163:$AL163,增益!$A:$A,增益!$J:$J,0))</f>
        <v>0.1</v>
      </c>
      <c r="BC163">
        <f t="shared" si="48"/>
        <v>0</v>
      </c>
      <c r="BD163">
        <f t="shared" si="49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-0.14</v>
      </c>
      <c r="BF163" s="32" cm="1">
        <f t="array" ref="BF163">$G$12+VLOOKUP($R163,武学奇术!$A:$ZZ,12,FALSE)+SUM(_xlfn.XLOOKUP($S163:$AL163,增益!$A:$A,增益!$L:$L,0))</f>
        <v>0</v>
      </c>
      <c r="BG163">
        <f t="shared" si="50"/>
        <v>0</v>
      </c>
      <c r="BH163">
        <f t="shared" si="51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2" cm="1">
        <f t="array" ref="BJ163">$G$13+VLOOKUP($R163,武学奇术!$A:$ZZ,14,FALSE)+SUM(_xlfn.XLOOKUP($S163:$AL163,增益!$A:$A,增益!$N:$N,0))</f>
        <v>0</v>
      </c>
      <c r="BK163">
        <f t="shared" si="52"/>
        <v>571.2</v>
      </c>
      <c r="BL163">
        <f t="shared" si="53"/>
        <v>1627.8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0.08</v>
      </c>
      <c r="BN163" s="32" cm="1">
        <f t="array" ref="BN163">$G$14+VLOOKUP($R163,武学奇术!$A:$ZZ,16,FALSE)+SUM(_xlfn.XLOOKUP($S163:$AL163,增益!$A:$A,增益!$P:$P,0))</f>
        <v>0.15</v>
      </c>
      <c r="BO163" s="26">
        <f>MIN(IF(VLOOKUP($R163,武学奇术!$A:$ZZ,23,FALSE)=1,100%,$B$8),100%)</f>
        <v>0.981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26" cm="1">
        <f t="array" ref="BQ163">1+$B$13+VLOOKUP($R163,武学奇术!$A:$ZZ,18,FALSE)+SUM(_xlfn.XLOOKUP($S163:$AL163,增益!$A:$A,增益!$R:$R,0))</f>
        <v>1.91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54"/>
        <v>0.829926</v>
      </c>
      <c r="BU163" s="26">
        <f t="shared" si="55"/>
        <v>0.0599391</v>
      </c>
      <c r="BV163" s="26">
        <f>IF(VLOOKUP($R163,武学奇术!$A:$ZZ,22,FALSE)=1,0,(1-$BO163))*(1-$BR163)</f>
        <v>0.0172349</v>
      </c>
      <c r="BW163" s="26" cm="1">
        <f t="array" ref="BW163">SUM(_xlfn.XLOOKUP($S163:$AL163,增益!$A:$A,增益!$W:$W,0))+$I$5</f>
        <v>0.31</v>
      </c>
      <c r="BX163" s="26" cm="1">
        <f t="array" ref="BX163">SUM(_xlfn.XLOOKUP($S163:$AL163,增益!$A:$A,增益!$X:$X,0))</f>
        <v>0</v>
      </c>
    </row>
    <row r="164" spans="11:76">
      <c r="K164">
        <f>$L164*VLOOKUP($R164,武学奇术!$A:$ZZ,31,FALSE)</f>
        <v>0</v>
      </c>
      <c r="L164" s="38">
        <f t="shared" si="56"/>
        <v>0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</f>
        <v>0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</f>
        <v>0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</f>
        <v>0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</f>
        <v>0</v>
      </c>
      <c r="Q164" s="39">
        <v>0</v>
      </c>
      <c r="R164" s="40" t="s">
        <v>78</v>
      </c>
      <c r="S164" s="40" t="s">
        <v>78</v>
      </c>
      <c r="T164" s="40" t="s">
        <v>78</v>
      </c>
      <c r="U164" s="40" t="s">
        <v>78</v>
      </c>
      <c r="V164" s="40" t="s">
        <v>78</v>
      </c>
      <c r="W164" s="40" t="s">
        <v>78</v>
      </c>
      <c r="X164" s="40" t="s">
        <v>78</v>
      </c>
      <c r="Y164" s="40" t="s">
        <v>78</v>
      </c>
      <c r="Z164" s="40" t="s">
        <v>78</v>
      </c>
      <c r="AA164" s="40" t="s">
        <v>78</v>
      </c>
      <c r="AB164" s="40" t="s">
        <v>78</v>
      </c>
      <c r="AC164" s="40" t="s">
        <v>78</v>
      </c>
      <c r="AD164" s="40" t="s">
        <v>78</v>
      </c>
      <c r="AE164" s="40" t="s">
        <v>83</v>
      </c>
      <c r="AF164" s="40" t="s">
        <v>84</v>
      </c>
      <c r="AG164" s="40" t="s">
        <v>85</v>
      </c>
      <c r="AH164" s="40" t="s">
        <v>78</v>
      </c>
      <c r="AI164" s="40" t="s">
        <v>78</v>
      </c>
      <c r="AJ164" s="40" t="s">
        <v>78</v>
      </c>
      <c r="AK164" s="40" t="s">
        <v>78</v>
      </c>
      <c r="AL164" s="40" t="s">
        <v>78</v>
      </c>
      <c r="AM164" t="str">
        <f>VLOOKUP($R164,武学奇术!$A:$ZZ,25,FALSE)</f>
        <v>心法</v>
      </c>
      <c r="AN164" s="26">
        <f>VLOOKUP($R164,武学奇术!$A:$ZZ,26,FALSE)</f>
        <v>0</v>
      </c>
      <c r="AO164" s="27">
        <f>VLOOKUP($R164,武学奇术!$A:$ZZ,27,FALSE)*(1+IF(OR($AM164=$F$4,$AM164=$F$5),$B$22,0))</f>
        <v>0</v>
      </c>
      <c r="AP164" s="26">
        <f>VLOOKUP($R164,武学奇术!$A:$ZZ,28,FALSE)</f>
        <v>0</v>
      </c>
      <c r="AQ164" s="27">
        <f>VLOOKUP($R164,武学奇术!$A:$ZZ,29,FALSE)*(1+IF(OR($AM164=$F$4,$AM164=$F$5),$B$22,0))</f>
        <v>0</v>
      </c>
      <c r="AR164" s="26" cm="1">
        <f t="array" ref="AR164">$G$3+IFERROR(VLOOKUP($AM164,$F$4:$G$7,2,FALSE),0)+VLOOKUP($R164,武学奇术!$A:$ZZ,2,FALSE)+SUM(_xlfn.XLOOKUP($S164:$AL164,增益!$A:$A,增益!$B:$B,0))</f>
        <v>0.1837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3636.6</v>
      </c>
      <c r="AU164" cm="1">
        <f t="array" ref="AU164">$E$10*(1+$AS164)+VLOOKUP($R164,武学奇术!$A:$ZZ,4,FALSE)+SUM(_xlfn.XLOOKUP($S164:$AL164,增益!$A:$A,增益!$D:$D,0))-$I$2</f>
        <v>3636.6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0.2425</v>
      </c>
      <c r="AW164" s="32" cm="1">
        <f t="array" ref="AW164">$G$10+VLOOKUP($R164,武学奇术!$A:$ZZ,7,FALSE)+SUM(_xlfn.XLOOKUP($S164:$AL164,增益!$A:$A,增益!$G:$G,0))</f>
        <v>0.028</v>
      </c>
      <c r="AX164" s="26" cm="1">
        <f t="array" ref="AX164">VLOOKUP($R164,武学奇术!$A:$ZZ,8,FALSE)+SUM(_xlfn.XLOOKUP($S164:$AL164,增益!$A:$A,增益!$H:$H,0))</f>
        <v>0</v>
      </c>
      <c r="AY164">
        <f t="shared" si="46"/>
        <v>0</v>
      </c>
      <c r="AZ164">
        <f t="shared" si="47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2" cm="1">
        <f t="array" ref="BB164">$G$11+VLOOKUP($R164,武学奇术!$A:$ZZ,10,FALSE)+SUM(_xlfn.XLOOKUP($S164:$AL164,增益!$A:$A,增益!$J:$J,0))</f>
        <v>0</v>
      </c>
      <c r="BC164">
        <f t="shared" si="48"/>
        <v>0</v>
      </c>
      <c r="BD164">
        <f t="shared" si="49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2" cm="1">
        <f t="array" ref="BF164">$G$12+VLOOKUP($R164,武学奇术!$A:$ZZ,12,FALSE)+SUM(_xlfn.XLOOKUP($S164:$AL164,增益!$A:$A,增益!$L:$L,0))</f>
        <v>0</v>
      </c>
      <c r="BG164">
        <f t="shared" si="50"/>
        <v>0</v>
      </c>
      <c r="BH164">
        <f t="shared" si="51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2" cm="1">
        <f t="array" ref="BJ164">$G$13+VLOOKUP($R164,武学奇术!$A:$ZZ,14,FALSE)+SUM(_xlfn.XLOOKUP($S164:$AL164,增益!$A:$A,增益!$N:$N,0))</f>
        <v>0</v>
      </c>
      <c r="BK164">
        <f t="shared" si="52"/>
        <v>571.2</v>
      </c>
      <c r="BL164">
        <f t="shared" si="53"/>
        <v>1627.8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2" cm="1">
        <f t="array" ref="BN164">$G$14+VLOOKUP($R164,武学奇术!$A:$ZZ,16,FALSE)+SUM(_xlfn.XLOOKUP($S164:$AL164,增益!$A:$A,增益!$P:$P,0))</f>
        <v>0.15</v>
      </c>
      <c r="BO164" s="26">
        <f>MIN(IF(VLOOKUP($R164,武学奇术!$A:$ZZ,23,FALSE)=1,100%,$B$8),100%)</f>
        <v>0.981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26" cm="1">
        <f t="array" ref="BQ164">1+$B$13+VLOOKUP($R164,武学奇术!$A:$ZZ,18,FALSE)+SUM(_xlfn.XLOOKUP($S164:$AL164,增益!$A:$A,增益!$R:$R,0))</f>
        <v>1.54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54"/>
        <v>0.829926</v>
      </c>
      <c r="BU164" s="26">
        <f t="shared" si="55"/>
        <v>0.0599391</v>
      </c>
      <c r="BV164" s="26">
        <f>IF(VLOOKUP($R164,武学奇术!$A:$ZZ,22,FALSE)=1,0,(1-$BO164))*(1-$BR164)</f>
        <v>0.0172349</v>
      </c>
      <c r="BW164" s="26" cm="1">
        <f t="array" ref="BW164">SUM(_xlfn.XLOOKUP($S164:$AL164,增益!$A:$A,增益!$W:$W,0))+$I$5</f>
        <v>0.11</v>
      </c>
      <c r="BX164" s="26" cm="1">
        <f t="array" ref="BX164">SUM(_xlfn.XLOOKUP($S164:$AL164,增益!$A:$A,增益!$X:$X,0))</f>
        <v>0</v>
      </c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A23:A24"/>
    <mergeCell ref="C28:C29"/>
    <mergeCell ref="C52:C53"/>
    <mergeCell ref="C71:C82"/>
    <mergeCell ref="C132:C136"/>
    <mergeCell ref="D32:D44"/>
    <mergeCell ref="D68:D82"/>
    <mergeCell ref="D88:D99"/>
    <mergeCell ref="D127:D136"/>
    <mergeCell ref="E33:E39"/>
    <mergeCell ref="E54:E60"/>
    <mergeCell ref="E74:E80"/>
    <mergeCell ref="E89:E95"/>
    <mergeCell ref="E107:E113"/>
    <mergeCell ref="E128:E133"/>
    <mergeCell ref="F30:F45"/>
    <mergeCell ref="F52:F66"/>
    <mergeCell ref="F71:F82"/>
    <mergeCell ref="F88:F100"/>
    <mergeCell ref="F106:F119"/>
    <mergeCell ref="F127:F136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64"/>
  <sheetViews>
    <sheetView workbookViewId="0">
      <selection activeCell="G32" sqref="G32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6" max="16" width="12.625" customWidth="1"/>
    <col min="17" max="17" width="9.00833333333333" style="31" customWidth="1"/>
    <col min="18" max="18" width="24.625" style="31" customWidth="1"/>
    <col min="19" max="32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</cols>
  <sheetData>
    <row r="1" spans="1:76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</row>
    <row r="2" spans="1:76">
      <c r="A2" s="42" t="s">
        <v>73</v>
      </c>
      <c r="B2" s="31"/>
      <c r="C2" s="31"/>
      <c r="D2" s="31"/>
      <c r="E2" s="43"/>
      <c r="F2" s="44" t="s">
        <v>74</v>
      </c>
      <c r="G2" s="45" t="s">
        <v>75</v>
      </c>
      <c r="H2" s="46" t="s">
        <v>76</v>
      </c>
      <c r="I2" s="11">
        <f>620*(1-IF(F17="√",0.06,0)-IF(D20="√",0.04,0))</f>
        <v>620</v>
      </c>
      <c r="K2">
        <f>$L2*VLOOKUP($R2,武学奇术!$A:$ZZ,31,FALSE)</f>
        <v>23552.0218378552</v>
      </c>
      <c r="L2" s="38">
        <f t="shared" ref="L2:L37" si="0">($M2*$BT2+$N2*$BR2+$O2*$BU2+$P2*$BV2)</f>
        <v>22430.4969884335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</f>
        <v>23625.7199275329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</f>
        <v>19933.7618914318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</f>
        <v>12981.1647953477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</f>
        <v>11196.5800414867</v>
      </c>
      <c r="Q2" s="39">
        <v>1</v>
      </c>
      <c r="R2" s="40" t="s">
        <v>77</v>
      </c>
      <c r="S2" s="40" t="s">
        <v>78</v>
      </c>
      <c r="T2" s="40" t="s">
        <v>78</v>
      </c>
      <c r="U2" s="40" t="s">
        <v>79</v>
      </c>
      <c r="V2" s="40" t="s">
        <v>80</v>
      </c>
      <c r="W2" s="40" t="s">
        <v>81</v>
      </c>
      <c r="X2" s="40" t="s">
        <v>82</v>
      </c>
      <c r="Y2" s="40" t="s">
        <v>78</v>
      </c>
      <c r="Z2" s="40" t="s">
        <v>78</v>
      </c>
      <c r="AA2" s="40" t="s">
        <v>78</v>
      </c>
      <c r="AB2" s="40" t="s">
        <v>78</v>
      </c>
      <c r="AC2" s="40" t="s">
        <v>78</v>
      </c>
      <c r="AD2" s="40" t="s">
        <v>78</v>
      </c>
      <c r="AE2" s="40" t="s">
        <v>78</v>
      </c>
      <c r="AF2" s="40" t="s">
        <v>78</v>
      </c>
      <c r="AG2" s="40" t="s">
        <v>85</v>
      </c>
      <c r="AH2" s="40" t="s">
        <v>78</v>
      </c>
      <c r="AI2" s="40" t="s">
        <v>78</v>
      </c>
      <c r="AJ2" s="40" t="s">
        <v>78</v>
      </c>
      <c r="AK2" s="40" t="s">
        <v>78</v>
      </c>
      <c r="AL2" s="40" t="s">
        <v>78</v>
      </c>
      <c r="AM2" t="str">
        <f>VLOOKUP($R2,武学奇术!$A:$ZZ,25,FALSE)</f>
        <v>群体奇术</v>
      </c>
      <c r="AN2" s="26">
        <f>VLOOKUP($R2,武学奇术!$A:$ZZ,26,FALSE)</f>
        <v>1.4904</v>
      </c>
      <c r="AO2" s="27">
        <f>VLOOKUP($R2,武学奇术!$A:$ZZ,27,FALSE)*(1+IF(OR($AM2=$F$4,$AM2=$F$5),$B$22,0))</f>
        <v>378</v>
      </c>
      <c r="AP2" s="26">
        <f>VLOOKUP($R2,武学奇术!$A:$ZZ,28,FALSE)</f>
        <v>2.2356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0.1837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3574.6</v>
      </c>
      <c r="AU2" cm="1">
        <f t="array" ref="AU2">$E$10*(1+$AS2)+VLOOKUP($R2,武学奇术!$A:$ZZ,4,FALSE)+SUM(_xlfn.XLOOKUP($S2:$AL2,增益!$A:$A,增益!$D:$D,0))-$I$2</f>
        <v>3574.6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0.2025</v>
      </c>
      <c r="AW2" s="32" cm="1">
        <f t="array" ref="AW2">$G$10+VLOOKUP($R2,武学奇术!$A:$ZZ,7,FALSE)+SUM(_xlfn.XLOOKUP($S2:$AL2,增益!$A:$A,增益!$G:$G,0))</f>
        <v>0.028</v>
      </c>
      <c r="AX2" s="26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</v>
      </c>
      <c r="BK2">
        <f t="shared" ref="BK2:BK65" si="7">$D$14*(1+$AX2)</f>
        <v>571.2</v>
      </c>
      <c r="BL2">
        <f t="shared" ref="BL2:BL65" si="8">$E$14*(1+$AX2)</f>
        <v>1627.8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0.15</v>
      </c>
      <c r="BO2" s="26">
        <f>MIN(IF(VLOOKUP($R2,武学奇术!$A:$ZZ,23,FALSE)=1,100%,$B$8),100%)</f>
        <v>0.981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0.846</v>
      </c>
      <c r="BQ2" s="26" cm="1">
        <f t="array" ref="BQ2">1+$B$13+VLOOKUP($R2,武学奇术!$A:$ZZ,18,FALSE)+SUM(_xlfn.XLOOKUP($S2:$AL2,增益!$A:$A,增益!$R:$R,0))</f>
        <v>1.82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0.0929</v>
      </c>
      <c r="BS2" s="26" cm="1">
        <f t="array" ref="BS2">1+$B$14+VLOOKUP($R2,武学奇术!$A:$ZZ,20,FALSE)+SUM(_xlfn.XLOOKUP($S2:$AL2,增益!$A:$A,增益!$T:$T,0))</f>
        <v>1.35</v>
      </c>
      <c r="BT2" s="26">
        <f t="shared" ref="BT2:BT65" si="9">MIN((1-BR2)*BO2,BO2*BP2)</f>
        <v>0.829926</v>
      </c>
      <c r="BU2" s="26">
        <f t="shared" ref="BU2:BU65" si="10">1-BR2-BT2-BV2</f>
        <v>0.0599391</v>
      </c>
      <c r="BV2" s="26">
        <f>IF(VLOOKUP($R2,武学奇术!$A:$ZZ,22,FALSE)=1,0,(1-$BO2))*(1-$BR2)</f>
        <v>0.0172349</v>
      </c>
      <c r="BW2" s="26" cm="1">
        <f t="array" ref="BW2">SUM(_xlfn.XLOOKUP($S2:$AL2,增益!$A:$A,增益!$W:$W,0))+$I$5</f>
        <v>0.11</v>
      </c>
      <c r="BX2" s="26" cm="1">
        <f t="array" ref="BX2">SUM(_xlfn.XLOOKUP($S2:$AL2,增益!$A:$A,增益!$X:$X,0))</f>
        <v>0</v>
      </c>
    </row>
    <row r="3" spans="1:76">
      <c r="A3" s="47" t="s">
        <v>86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0.1037</v>
      </c>
      <c r="H3" s="46" t="s">
        <v>87</v>
      </c>
      <c r="I3" s="11">
        <f>25-IF(F17="√",10,0)</f>
        <v>25</v>
      </c>
      <c r="K3">
        <f>$L3*VLOOKUP($R3,武学奇术!$A:$ZZ,31,FALSE)</f>
        <v>27625.3678026928</v>
      </c>
      <c r="L3" s="38">
        <f t="shared" si="0"/>
        <v>26309.8740978027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</f>
        <v>27732.2847712292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</f>
        <v>23254.1400534373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</f>
        <v>15154.2539733493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</f>
        <v>13083.2190182265</v>
      </c>
      <c r="Q3" s="39">
        <v>1</v>
      </c>
      <c r="R3" s="40" t="s">
        <v>77</v>
      </c>
      <c r="S3" s="40" t="s">
        <v>78</v>
      </c>
      <c r="T3" s="40" t="s">
        <v>78</v>
      </c>
      <c r="U3" s="40" t="s">
        <v>79</v>
      </c>
      <c r="V3" s="40" t="s">
        <v>88</v>
      </c>
      <c r="W3" s="40" t="s">
        <v>89</v>
      </c>
      <c r="X3" s="40" t="s">
        <v>90</v>
      </c>
      <c r="Y3" s="40" t="s">
        <v>78</v>
      </c>
      <c r="Z3" s="40" t="s">
        <v>78</v>
      </c>
      <c r="AA3" s="40" t="s">
        <v>78</v>
      </c>
      <c r="AB3" s="40" t="s">
        <v>78</v>
      </c>
      <c r="AC3" s="40" t="s">
        <v>78</v>
      </c>
      <c r="AD3" s="40" t="s">
        <v>78</v>
      </c>
      <c r="AE3" s="40" t="s">
        <v>78</v>
      </c>
      <c r="AF3" s="40" t="s">
        <v>78</v>
      </c>
      <c r="AG3" s="40" t="s">
        <v>85</v>
      </c>
      <c r="AH3" s="40" t="s">
        <v>78</v>
      </c>
      <c r="AI3" s="40" t="s">
        <v>78</v>
      </c>
      <c r="AJ3" s="40" t="s">
        <v>78</v>
      </c>
      <c r="AK3" s="40" t="s">
        <v>78</v>
      </c>
      <c r="AL3" s="40" t="s">
        <v>78</v>
      </c>
      <c r="AM3" t="str">
        <f>VLOOKUP($R3,武学奇术!$A:$ZZ,25,FALSE)</f>
        <v>群体奇术</v>
      </c>
      <c r="AN3" s="26">
        <f>VLOOKUP($R3,武学奇术!$A:$ZZ,26,FALSE)</f>
        <v>1.4904</v>
      </c>
      <c r="AO3" s="27">
        <f>VLOOKUP($R3,武学奇术!$A:$ZZ,27,FALSE)*(1+IF(OR($AM3=$F$4,$AM3=$F$5),$B$22,0))</f>
        <v>378</v>
      </c>
      <c r="AP3" s="26">
        <f>VLOOKUP($R3,武学奇术!$A:$ZZ,28,FALSE)</f>
        <v>2.2356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0.3737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3574.6</v>
      </c>
      <c r="AU3" cm="1">
        <f t="array" ref="AU3">$E$10*(1+$AS3)+VLOOKUP($R3,武学奇术!$A:$ZZ,4,FALSE)+SUM(_xlfn.XLOOKUP($S3:$AL3,增益!$A:$A,增益!$D:$D,0))-$I$2</f>
        <v>3574.6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0.2125</v>
      </c>
      <c r="AW3" s="32" cm="1">
        <f t="array" ref="AW3">$G$10+VLOOKUP($R3,武学奇术!$A:$ZZ,7,FALSE)+SUM(_xlfn.XLOOKUP($S3:$AL3,增益!$A:$A,增益!$G:$G,0))</f>
        <v>0.028</v>
      </c>
      <c r="AX3" s="26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2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2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2" cm="1">
        <f t="array" ref="BJ3">$G$13+VLOOKUP($R3,武学奇术!$A:$ZZ,14,FALSE)+SUM(_xlfn.XLOOKUP($S3:$AL3,增益!$A:$A,增益!$N:$N,0))</f>
        <v>0</v>
      </c>
      <c r="BK3">
        <f t="shared" si="7"/>
        <v>571.2</v>
      </c>
      <c r="BL3">
        <f t="shared" si="8"/>
        <v>1627.8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2" cm="1">
        <f t="array" ref="BN3">$G$14+VLOOKUP($R3,武学奇术!$A:$ZZ,16,FALSE)+SUM(_xlfn.XLOOKUP($S3:$AL3,增益!$A:$A,增益!$P:$P,0))</f>
        <v>0.15</v>
      </c>
      <c r="BO3" s="26">
        <f>MIN(IF(VLOOKUP($R3,武学奇术!$A:$ZZ,23,FALSE)=1,100%,$B$8),100%)</f>
        <v>0.981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0.846</v>
      </c>
      <c r="BQ3" s="26" cm="1">
        <f t="array" ref="BQ3">1+$B$13+VLOOKUP($R3,武学奇术!$A:$ZZ,18,FALSE)+SUM(_xlfn.XLOOKUP($S3:$AL3,增益!$A:$A,增益!$R:$R,0))</f>
        <v>1.83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0.0929</v>
      </c>
      <c r="BS3" s="26" cm="1">
        <f t="array" ref="BS3">1+$B$14+VLOOKUP($R3,武学奇术!$A:$ZZ,20,FALSE)+SUM(_xlfn.XLOOKUP($S3:$AL3,增益!$A:$A,增益!$T:$T,0))</f>
        <v>1.35</v>
      </c>
      <c r="BT3" s="26">
        <f t="shared" si="9"/>
        <v>0.829926</v>
      </c>
      <c r="BU3" s="26">
        <f t="shared" si="10"/>
        <v>0.0599391</v>
      </c>
      <c r="BV3" s="26">
        <f>IF(VLOOKUP($R3,武学奇术!$A:$ZZ,22,FALSE)=1,0,(1-$BO3))*(1-$BR3)</f>
        <v>0.0172349</v>
      </c>
      <c r="BW3" s="26" cm="1">
        <f t="array" ref="BW3">SUM(_xlfn.XLOOKUP($S3:$AL3,增益!$A:$A,增益!$W:$W,0))+$I$5</f>
        <v>0.11</v>
      </c>
      <c r="BX3" s="26" cm="1">
        <f t="array" ref="BX3">SUM(_xlfn.XLOOKUP($S3:$AL3,增益!$A:$A,增益!$X:$X,0))</f>
        <v>0</v>
      </c>
    </row>
    <row r="4" ht="14.25" spans="1:76">
      <c r="A4" s="51" t="s">
        <v>93</v>
      </c>
      <c r="B4" s="52"/>
      <c r="C4" s="52"/>
      <c r="D4" s="52"/>
      <c r="E4" s="53"/>
      <c r="F4" s="46" t="s">
        <v>94</v>
      </c>
      <c r="G4" s="50">
        <f>B15+B17</f>
        <v>0.1704</v>
      </c>
      <c r="H4" s="54" t="s">
        <v>95</v>
      </c>
      <c r="I4" s="14">
        <f>30</f>
        <v>30</v>
      </c>
      <c r="K4">
        <f>$L4*VLOOKUP($R4,武学奇术!$A:$ZZ,31,FALSE)</f>
        <v>28123.097267891</v>
      </c>
      <c r="L4" s="38">
        <f t="shared" si="0"/>
        <v>26783.9021598962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</f>
        <v>28252.5692476228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</f>
        <v>23545.037449755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</f>
        <v>15354.657199795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</f>
        <v>13268.54591829</v>
      </c>
      <c r="Q4" s="39">
        <v>1</v>
      </c>
      <c r="R4" s="40" t="s">
        <v>77</v>
      </c>
      <c r="S4" s="40" t="s">
        <v>78</v>
      </c>
      <c r="T4" s="40" t="s">
        <v>78</v>
      </c>
      <c r="U4" s="40" t="s">
        <v>79</v>
      </c>
      <c r="V4" s="40" t="s">
        <v>88</v>
      </c>
      <c r="W4" s="40" t="s">
        <v>96</v>
      </c>
      <c r="X4" s="40" t="s">
        <v>97</v>
      </c>
      <c r="Y4" s="40" t="s">
        <v>78</v>
      </c>
      <c r="Z4" s="40" t="s">
        <v>78</v>
      </c>
      <c r="AA4" s="40" t="s">
        <v>78</v>
      </c>
      <c r="AB4" s="40" t="s">
        <v>78</v>
      </c>
      <c r="AC4" s="40" t="s">
        <v>78</v>
      </c>
      <c r="AD4" s="40" t="s">
        <v>78</v>
      </c>
      <c r="AE4" s="40" t="s">
        <v>78</v>
      </c>
      <c r="AF4" s="40" t="s">
        <v>78</v>
      </c>
      <c r="AG4" s="40" t="s">
        <v>85</v>
      </c>
      <c r="AH4" s="40" t="s">
        <v>78</v>
      </c>
      <c r="AI4" s="40" t="s">
        <v>78</v>
      </c>
      <c r="AJ4" s="40" t="s">
        <v>78</v>
      </c>
      <c r="AK4" s="40" t="s">
        <v>78</v>
      </c>
      <c r="AL4" s="40" t="s">
        <v>78</v>
      </c>
      <c r="AM4" t="str">
        <f>VLOOKUP($R4,武学奇术!$A:$ZZ,25,FALSE)</f>
        <v>群体奇术</v>
      </c>
      <c r="AN4" s="26">
        <f>VLOOKUP($R4,武学奇术!$A:$ZZ,26,FALSE)</f>
        <v>1.4904</v>
      </c>
      <c r="AO4" s="27">
        <f>VLOOKUP($R4,武学奇术!$A:$ZZ,27,FALSE)*(1+IF(OR($AM4=$F$4,$AM4=$F$5),$B$22,0))</f>
        <v>378</v>
      </c>
      <c r="AP4" s="26">
        <f>VLOOKUP($R4,武学奇术!$A:$ZZ,28,FALSE)</f>
        <v>2.2356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0.3837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3574.6</v>
      </c>
      <c r="AU4" cm="1">
        <f t="array" ref="AU4">$E$10*(1+$AS4)+VLOOKUP($R4,武学奇术!$A:$ZZ,4,FALSE)+SUM(_xlfn.XLOOKUP($S4:$AL4,增益!$A:$A,增益!$D:$D,0))-$I$2</f>
        <v>3574.6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0.2225</v>
      </c>
      <c r="AW4" s="32" cm="1">
        <f t="array" ref="AW4">$G$10+VLOOKUP($R4,武学奇术!$A:$ZZ,7,FALSE)+SUM(_xlfn.XLOOKUP($S4:$AL4,增益!$A:$A,增益!$G:$G,0))</f>
        <v>0.028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2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2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2" cm="1">
        <f t="array" ref="BJ4">$G$13+VLOOKUP($R4,武学奇术!$A:$ZZ,14,FALSE)+SUM(_xlfn.XLOOKUP($S4:$AL4,增益!$A:$A,增益!$N:$N,0))</f>
        <v>0</v>
      </c>
      <c r="BK4">
        <f t="shared" si="7"/>
        <v>571.2</v>
      </c>
      <c r="BL4">
        <f t="shared" si="8"/>
        <v>1627.8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2" cm="1">
        <f t="array" ref="BN4">$G$14+VLOOKUP($R4,武学奇术!$A:$ZZ,16,FALSE)+SUM(_xlfn.XLOOKUP($S4:$AL4,增益!$A:$A,增益!$P:$P,0))</f>
        <v>0.15</v>
      </c>
      <c r="BO4" s="26">
        <f>MIN(IF(VLOOKUP($R4,武学奇术!$A:$ZZ,23,FALSE)=1,100%,$B$8),100%)</f>
        <v>0.981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0.846</v>
      </c>
      <c r="BQ4" s="26" cm="1">
        <f t="array" ref="BQ4">1+$B$13+VLOOKUP($R4,武学奇术!$A:$ZZ,18,FALSE)+SUM(_xlfn.XLOOKUP($S4:$AL4,增益!$A:$A,增益!$R:$R,0))</f>
        <v>1.84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0.0929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0.829926</v>
      </c>
      <c r="BU4" s="26">
        <f t="shared" si="10"/>
        <v>0.0599391</v>
      </c>
      <c r="BV4" s="26">
        <f>IF(VLOOKUP($R4,武学奇术!$A:$ZZ,22,FALSE)=1,0,(1-$BO4))*(1-$BR4)</f>
        <v>0.0172349</v>
      </c>
      <c r="BW4" s="26" cm="1">
        <f t="array" ref="BW4">SUM(_xlfn.XLOOKUP($S4:$AL4,增益!$A:$A,增益!$W:$W,0))+$I$5</f>
        <v>0.11</v>
      </c>
      <c r="BX4" s="26" cm="1">
        <f t="array" ref="BX4">SUM(_xlfn.XLOOKUP($S4:$AL4,增益!$A:$A,增益!$X:$X,0))</f>
        <v>0</v>
      </c>
    </row>
    <row r="5" spans="1:76">
      <c r="A5" s="55" t="s">
        <v>99</v>
      </c>
      <c r="B5" s="56"/>
      <c r="C5" s="56"/>
      <c r="D5" s="56"/>
      <c r="E5" s="57"/>
      <c r="F5" s="46" t="s">
        <v>100</v>
      </c>
      <c r="G5" s="50">
        <f>B15+B18</f>
        <v>0.0852</v>
      </c>
      <c r="H5" t="s">
        <v>101</v>
      </c>
      <c r="I5" s="28">
        <v>0.06</v>
      </c>
      <c r="K5">
        <f>$L5*VLOOKUP($R5,武学奇术!$A:$ZZ,31,FALSE)</f>
        <v>29454.6045724038</v>
      </c>
      <c r="L5" s="38">
        <f t="shared" si="0"/>
        <v>28052.0043546703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</f>
        <v>29618.5899990517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</f>
        <v>24450.1689456314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</f>
        <v>16010.0486481361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</f>
        <v>13908.8610402489</v>
      </c>
      <c r="Q5" s="39">
        <v>1</v>
      </c>
      <c r="R5" s="40" t="s">
        <v>77</v>
      </c>
      <c r="S5" s="40" t="s">
        <v>78</v>
      </c>
      <c r="T5" s="40" t="s">
        <v>102</v>
      </c>
      <c r="U5" s="40" t="s">
        <v>79</v>
      </c>
      <c r="V5" s="40" t="s">
        <v>88</v>
      </c>
      <c r="W5" s="40" t="s">
        <v>103</v>
      </c>
      <c r="X5" s="40" t="s">
        <v>104</v>
      </c>
      <c r="Y5" s="40" t="s">
        <v>78</v>
      </c>
      <c r="Z5" s="40" t="s">
        <v>78</v>
      </c>
      <c r="AA5" s="40" t="s">
        <v>78</v>
      </c>
      <c r="AB5" s="40" t="s">
        <v>78</v>
      </c>
      <c r="AC5" s="40" t="s">
        <v>78</v>
      </c>
      <c r="AD5" s="40" t="s">
        <v>78</v>
      </c>
      <c r="AE5" s="40" t="s">
        <v>78</v>
      </c>
      <c r="AF5" s="40" t="s">
        <v>78</v>
      </c>
      <c r="AG5" s="40" t="s">
        <v>85</v>
      </c>
      <c r="AH5" s="40" t="s">
        <v>78</v>
      </c>
      <c r="AI5" s="40" t="s">
        <v>78</v>
      </c>
      <c r="AJ5" s="40" t="s">
        <v>78</v>
      </c>
      <c r="AK5" s="40" t="s">
        <v>78</v>
      </c>
      <c r="AL5" s="40" t="s">
        <v>78</v>
      </c>
      <c r="AM5" t="str">
        <f>VLOOKUP($R5,武学奇术!$A:$ZZ,25,FALSE)</f>
        <v>群体奇术</v>
      </c>
      <c r="AN5" s="26">
        <f>VLOOKUP($R5,武学奇术!$A:$ZZ,26,FALSE)</f>
        <v>1.4904</v>
      </c>
      <c r="AO5" s="27">
        <f>VLOOKUP($R5,武学奇术!$A:$ZZ,27,FALSE)*(1+IF(OR($AM5=$F$4,$AM5=$F$5),$B$22,0))</f>
        <v>378</v>
      </c>
      <c r="AP5" s="26">
        <f>VLOOKUP($R5,武学奇术!$A:$ZZ,28,FALSE)</f>
        <v>2.2356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0.3937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3574.6</v>
      </c>
      <c r="AU5" cm="1">
        <f t="array" ref="AU5">$E$10*(1+$AS5)+VLOOKUP($R5,武学奇术!$A:$ZZ,4,FALSE)+SUM(_xlfn.XLOOKUP($S5:$AL5,增益!$A:$A,增益!$D:$D,0))-$I$2</f>
        <v>3574.6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0.2825</v>
      </c>
      <c r="AW5" s="32" cm="1">
        <f t="array" ref="AW5">$G$10+VLOOKUP($R5,武学奇术!$A:$ZZ,7,FALSE)+SUM(_xlfn.XLOOKUP($S5:$AL5,增益!$A:$A,增益!$G:$G,0))</f>
        <v>0.028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2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2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2" cm="1">
        <f t="array" ref="BJ5">$G$13+VLOOKUP($R5,武学奇术!$A:$ZZ,14,FALSE)+SUM(_xlfn.XLOOKUP($S5:$AL5,增益!$A:$A,增益!$N:$N,0))</f>
        <v>0</v>
      </c>
      <c r="BK5">
        <f t="shared" si="7"/>
        <v>571.2</v>
      </c>
      <c r="BL5">
        <f t="shared" si="8"/>
        <v>1627.8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2" cm="1">
        <f t="array" ref="BN5">$G$14+VLOOKUP($R5,武学奇术!$A:$ZZ,16,FALSE)+SUM(_xlfn.XLOOKUP($S5:$AL5,增益!$A:$A,增益!$P:$P,0))</f>
        <v>0.15</v>
      </c>
      <c r="BO5" s="26">
        <f>MIN(IF(VLOOKUP($R5,武学奇术!$A:$ZZ,23,FALSE)=1,100%,$B$8),100%)</f>
        <v>0.981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0.846</v>
      </c>
      <c r="BQ5" s="26" cm="1">
        <f t="array" ref="BQ5">1+$B$13+VLOOKUP($R5,武学奇术!$A:$ZZ,18,FALSE)+SUM(_xlfn.XLOOKUP($S5:$AL5,增益!$A:$A,增益!$R:$R,0))</f>
        <v>1.85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0.0929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0.829926</v>
      </c>
      <c r="BU5" s="26">
        <f t="shared" si="10"/>
        <v>0.0599391</v>
      </c>
      <c r="BV5" s="26">
        <f>IF(VLOOKUP($R5,武学奇术!$A:$ZZ,22,FALSE)=1,0,(1-$BO5))*(1-$BR5)</f>
        <v>0.0172349</v>
      </c>
      <c r="BW5" s="26" cm="1">
        <f t="array" ref="BW5">SUM(_xlfn.XLOOKUP($S5:$AL5,增益!$A:$A,增益!$W:$W,0))+$I$5</f>
        <v>0.11</v>
      </c>
      <c r="BX5" s="26" cm="1">
        <f t="array" ref="BX5">SUM(_xlfn.XLOOKUP($S5:$AL5,增益!$A:$A,增益!$X:$X,0))</f>
        <v>0</v>
      </c>
    </row>
    <row r="6" spans="1:76">
      <c r="A6" s="58" t="s">
        <v>5</v>
      </c>
      <c r="B6" s="59"/>
      <c r="C6" s="59"/>
      <c r="D6" s="59"/>
      <c r="E6" s="60"/>
      <c r="F6" s="46" t="s">
        <v>105</v>
      </c>
      <c r="G6" s="50">
        <f>B19</f>
        <v>0</v>
      </c>
      <c r="K6">
        <f>$L6*VLOOKUP($R6,武学奇术!$A:$ZZ,31,FALSE)</f>
        <v>29832.7155084313</v>
      </c>
      <c r="L6" s="38">
        <f t="shared" si="0"/>
        <v>28412.1100080299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</f>
        <v>30000.1759964439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</f>
        <v>24748.976632993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</f>
        <v>16216.3113494291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</f>
        <v>14100.0474151597</v>
      </c>
      <c r="Q6" s="39">
        <v>1</v>
      </c>
      <c r="R6" s="40" t="s">
        <v>77</v>
      </c>
      <c r="S6" s="40" t="s">
        <v>78</v>
      </c>
      <c r="T6" s="40" t="s">
        <v>102</v>
      </c>
      <c r="U6" s="40" t="s">
        <v>79</v>
      </c>
      <c r="V6" s="40" t="s">
        <v>88</v>
      </c>
      <c r="W6" s="40" t="s">
        <v>103</v>
      </c>
      <c r="X6" s="40" t="s">
        <v>106</v>
      </c>
      <c r="Y6" s="40" t="s">
        <v>78</v>
      </c>
      <c r="Z6" s="40" t="s">
        <v>78</v>
      </c>
      <c r="AA6" s="40" t="s">
        <v>78</v>
      </c>
      <c r="AB6" s="40" t="s">
        <v>78</v>
      </c>
      <c r="AC6" s="40" t="s">
        <v>78</v>
      </c>
      <c r="AD6" s="40" t="s">
        <v>78</v>
      </c>
      <c r="AE6" s="40" t="s">
        <v>78</v>
      </c>
      <c r="AF6" s="40" t="s">
        <v>78</v>
      </c>
      <c r="AG6" s="40" t="s">
        <v>85</v>
      </c>
      <c r="AH6" s="40" t="s">
        <v>78</v>
      </c>
      <c r="AI6" s="40" t="s">
        <v>78</v>
      </c>
      <c r="AJ6" s="40" t="s">
        <v>78</v>
      </c>
      <c r="AK6" s="40" t="s">
        <v>78</v>
      </c>
      <c r="AL6" s="40" t="s">
        <v>78</v>
      </c>
      <c r="AM6" t="str">
        <f>VLOOKUP($R6,武学奇术!$A:$ZZ,25,FALSE)</f>
        <v>群体奇术</v>
      </c>
      <c r="AN6" s="26">
        <f>VLOOKUP($R6,武学奇术!$A:$ZZ,26,FALSE)</f>
        <v>1.4904</v>
      </c>
      <c r="AO6" s="27">
        <f>VLOOKUP($R6,武学奇术!$A:$ZZ,27,FALSE)*(1+IF(OR($AM6=$F$4,$AM6=$F$5),$B$22,0))</f>
        <v>378</v>
      </c>
      <c r="AP6" s="26">
        <f>VLOOKUP($R6,武学奇术!$A:$ZZ,28,FALSE)</f>
        <v>2.2356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0.4037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3574.6</v>
      </c>
      <c r="AU6" cm="1">
        <f t="array" ref="AU6">$E$10*(1+$AS6)+VLOOKUP($R6,武学奇术!$A:$ZZ,4,FALSE)+SUM(_xlfn.XLOOKUP($S6:$AL6,增益!$A:$A,增益!$D:$D,0))-$I$2</f>
        <v>3574.6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0.2925</v>
      </c>
      <c r="AW6" s="32" cm="1">
        <f t="array" ref="AW6">$G$10+VLOOKUP($R6,武学奇术!$A:$ZZ,7,FALSE)+SUM(_xlfn.XLOOKUP($S6:$AL6,增益!$A:$A,增益!$G:$G,0))</f>
        <v>0.028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2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2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2" cm="1">
        <f t="array" ref="BJ6">$G$13+VLOOKUP($R6,武学奇术!$A:$ZZ,14,FALSE)+SUM(_xlfn.XLOOKUP($S6:$AL6,增益!$A:$A,增益!$N:$N,0))</f>
        <v>0</v>
      </c>
      <c r="BK6">
        <f t="shared" si="7"/>
        <v>571.2</v>
      </c>
      <c r="BL6">
        <f t="shared" si="8"/>
        <v>1627.8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2" cm="1">
        <f t="array" ref="BN6">$G$14+VLOOKUP($R6,武学奇术!$A:$ZZ,16,FALSE)+SUM(_xlfn.XLOOKUP($S6:$AL6,增益!$A:$A,增益!$P:$P,0))</f>
        <v>0.15</v>
      </c>
      <c r="BO6" s="26">
        <f>MIN(IF(VLOOKUP($R6,武学奇术!$A:$ZZ,23,FALSE)=1,100%,$B$8),100%)</f>
        <v>0.981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0.846</v>
      </c>
      <c r="BQ6" s="26" cm="1">
        <f t="array" ref="BQ6">1+$B$13+VLOOKUP($R6,武学奇术!$A:$ZZ,18,FALSE)+SUM(_xlfn.XLOOKUP($S6:$AL6,增益!$A:$A,增益!$R:$R,0))</f>
        <v>1.85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0.0929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0.829926</v>
      </c>
      <c r="BU6" s="26">
        <f t="shared" si="10"/>
        <v>0.0599391</v>
      </c>
      <c r="BV6" s="26">
        <f>IF(VLOOKUP($R6,武学奇术!$A:$ZZ,22,FALSE)=1,0,(1-$BO6))*(1-$BR6)</f>
        <v>0.0172349</v>
      </c>
      <c r="BW6" s="26" cm="1">
        <f t="array" ref="BW6">SUM(_xlfn.XLOOKUP($S6:$AL6,增益!$A:$A,增益!$W:$W,0))+$I$5</f>
        <v>0.11</v>
      </c>
      <c r="BX6" s="26" cm="1">
        <f t="array" ref="BX6">SUM(_xlfn.XLOOKUP($S6:$AL6,增益!$A:$A,增益!$X:$X,0))</f>
        <v>0</v>
      </c>
    </row>
    <row r="7" ht="14.25" spans="1:76">
      <c r="A7" s="42" t="s">
        <v>107</v>
      </c>
      <c r="B7" s="61"/>
      <c r="C7" s="61"/>
      <c r="D7" s="62"/>
      <c r="E7" s="63"/>
      <c r="F7" s="54" t="s">
        <v>108</v>
      </c>
      <c r="G7" s="64">
        <f>B20</f>
        <v>0</v>
      </c>
      <c r="K7">
        <f>$L7*VLOOKUP($R7,武学奇术!$A:$ZZ,31,FALSE)</f>
        <v>17587.9397274582</v>
      </c>
      <c r="L7" s="38">
        <f t="shared" si="0"/>
        <v>16750.4187880554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</f>
        <v>17278.4852563517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</f>
        <v>16948.4859813705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</f>
        <v>11147.4098428075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</f>
        <v>9740.38562534065</v>
      </c>
      <c r="Q7" s="39">
        <v>1</v>
      </c>
      <c r="R7" s="40" t="s">
        <v>109</v>
      </c>
      <c r="S7" s="40" t="s">
        <v>78</v>
      </c>
      <c r="T7" s="40" t="s">
        <v>78</v>
      </c>
      <c r="U7" s="40" t="s">
        <v>78</v>
      </c>
      <c r="V7" s="40" t="s">
        <v>78</v>
      </c>
      <c r="W7" s="40" t="s">
        <v>81</v>
      </c>
      <c r="X7" s="40" t="s">
        <v>82</v>
      </c>
      <c r="Y7" s="40" t="s">
        <v>78</v>
      </c>
      <c r="Z7" s="40" t="s">
        <v>78</v>
      </c>
      <c r="AA7" s="40" t="s">
        <v>78</v>
      </c>
      <c r="AB7" s="40" t="s">
        <v>78</v>
      </c>
      <c r="AC7" s="40" t="s">
        <v>78</v>
      </c>
      <c r="AD7" s="40" t="s">
        <v>78</v>
      </c>
      <c r="AE7" s="40" t="s">
        <v>78</v>
      </c>
      <c r="AF7" s="40" t="s">
        <v>78</v>
      </c>
      <c r="AG7" s="40" t="s">
        <v>85</v>
      </c>
      <c r="AH7" s="40" t="s">
        <v>78</v>
      </c>
      <c r="AI7" s="40" t="s">
        <v>78</v>
      </c>
      <c r="AJ7" s="40" t="s">
        <v>78</v>
      </c>
      <c r="AK7" s="40" t="s">
        <v>78</v>
      </c>
      <c r="AL7" s="40" t="s">
        <v>78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463.5</v>
      </c>
      <c r="AP7" s="26">
        <f>VLOOKUP($R7,武学奇术!$A:$ZZ,28,FALSE)</f>
        <v>1.6706</v>
      </c>
      <c r="AQ7" s="27">
        <f>VLOOKUP($R7,武学奇术!$A:$ZZ,29,FALSE)*(1+IF(OR($AM7=$F$4,$AM7=$F$5),$B$22,0))</f>
        <v>252</v>
      </c>
      <c r="AR7" s="26" cm="1">
        <f t="array" ref="AR7">$G$3+IFERROR(VLOOKUP($AM7,$F$4:$G$7,2,FALSE),0)+VLOOKUP($R7,武学奇术!$A:$ZZ,2,FALSE)+SUM(_xlfn.XLOOKUP($S7:$AL7,增益!$A:$A,增益!$B:$B,0))</f>
        <v>0.2489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3574.6</v>
      </c>
      <c r="AU7" cm="1">
        <f t="array" ref="AU7">$E$10*(1+$AS7)+VLOOKUP($R7,武学奇术!$A:$ZZ,4,FALSE)+SUM(_xlfn.XLOOKUP($S7:$AL7,增益!$A:$A,增益!$D:$D,0))-$I$2</f>
        <v>3574.6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0.2025</v>
      </c>
      <c r="AW7" s="32" cm="1">
        <f t="array" ref="AW7">$G$10+VLOOKUP($R7,武学奇术!$A:$ZZ,7,FALSE)+SUM(_xlfn.XLOOKUP($S7:$AL7,增益!$A:$A,增益!$G:$G,0))</f>
        <v>0.028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</v>
      </c>
      <c r="BK7">
        <f t="shared" si="7"/>
        <v>571.2</v>
      </c>
      <c r="BL7">
        <f t="shared" si="8"/>
        <v>1627.8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0.15</v>
      </c>
      <c r="BO7" s="26">
        <f>MIN(IF(VLOOKUP($R7,武学奇术!$A:$ZZ,23,FALSE)=1,100%,$B$8),100%)</f>
        <v>0.981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0.846</v>
      </c>
      <c r="BQ7" s="26" cm="1">
        <f t="array" ref="BQ7">1+$B$13+VLOOKUP($R7,武学奇术!$A:$ZZ,18,FALSE)+SUM(_xlfn.XLOOKUP($S7:$AL7,增益!$A:$A,增益!$R:$R,0))</f>
        <v>1.55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0.0929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0.829926</v>
      </c>
      <c r="BU7" s="26">
        <f t="shared" si="10"/>
        <v>0.0599391</v>
      </c>
      <c r="BV7" s="26">
        <f>IF(VLOOKUP($R7,武学奇术!$A:$ZZ,22,FALSE)=1,0,(1-$BO7))*(1-$BR7)</f>
        <v>0.0172349</v>
      </c>
      <c r="BW7" s="26" cm="1">
        <f t="array" ref="BW7">SUM(_xlfn.XLOOKUP($S7:$AL7,增益!$A:$A,增益!$W:$W,0))+$I$5</f>
        <v>0.11</v>
      </c>
      <c r="BX7" s="26" cm="1">
        <f t="array" ref="BX7">SUM(_xlfn.XLOOKUP($S7:$AL7,增益!$A:$A,增益!$X:$X,0))</f>
        <v>0</v>
      </c>
    </row>
    <row r="8" spans="1:76">
      <c r="A8" s="65" t="s">
        <v>110</v>
      </c>
      <c r="B8" s="66">
        <f>期望!B8</f>
        <v>0.981</v>
      </c>
      <c r="C8" s="67" t="s">
        <v>111</v>
      </c>
      <c r="D8" s="67"/>
      <c r="E8" s="67"/>
      <c r="F8" s="67"/>
      <c r="G8" s="37"/>
      <c r="H8" s="68" t="s">
        <v>112</v>
      </c>
      <c r="I8" s="18">
        <f>期望!I8</f>
        <v>101</v>
      </c>
      <c r="J8" s="69"/>
      <c r="K8">
        <f>$L8*VLOOKUP($R8,武学奇术!$A:$ZZ,31,FALSE)</f>
        <v>12881.7683357165</v>
      </c>
      <c r="L8" s="38">
        <f t="shared" si="0"/>
        <v>12268.3507959205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</f>
        <v>12655.1748428454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</f>
        <v>12412.7820743811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</f>
        <v>8164.62893086802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</f>
        <v>7134.60447330559</v>
      </c>
      <c r="Q8" s="39">
        <v>1</v>
      </c>
      <c r="R8" s="40" t="s">
        <v>113</v>
      </c>
      <c r="S8" s="40" t="s">
        <v>78</v>
      </c>
      <c r="T8" s="40" t="s">
        <v>78</v>
      </c>
      <c r="U8" s="40" t="s">
        <v>78</v>
      </c>
      <c r="V8" s="40" t="s">
        <v>78</v>
      </c>
      <c r="W8" s="40" t="s">
        <v>81</v>
      </c>
      <c r="X8" s="40" t="s">
        <v>82</v>
      </c>
      <c r="Y8" s="40" t="s">
        <v>78</v>
      </c>
      <c r="Z8" s="40" t="s">
        <v>78</v>
      </c>
      <c r="AA8" s="40" t="s">
        <v>78</v>
      </c>
      <c r="AB8" s="40" t="s">
        <v>78</v>
      </c>
      <c r="AC8" s="40" t="s">
        <v>78</v>
      </c>
      <c r="AD8" s="40" t="s">
        <v>78</v>
      </c>
      <c r="AE8" s="40" t="s">
        <v>78</v>
      </c>
      <c r="AF8" s="40" t="s">
        <v>78</v>
      </c>
      <c r="AG8" s="40" t="s">
        <v>85</v>
      </c>
      <c r="AH8" s="40" t="s">
        <v>78</v>
      </c>
      <c r="AI8" s="40" t="s">
        <v>78</v>
      </c>
      <c r="AJ8" s="40" t="s">
        <v>78</v>
      </c>
      <c r="AK8" s="40" t="s">
        <v>78</v>
      </c>
      <c r="AL8" s="40" t="s">
        <v>78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327</v>
      </c>
      <c r="AP8" s="26">
        <f>VLOOKUP($R8,武学奇术!$A:$ZZ,28,FALSE)</f>
        <v>1.1759</v>
      </c>
      <c r="AQ8" s="27">
        <f>VLOOKUP($R8,武学奇术!$A:$ZZ,29,FALSE)*(1+IF(OR($AM8=$F$4,$AM8=$F$5),$B$22,0))</f>
        <v>178.5</v>
      </c>
      <c r="AR8" s="26" cm="1">
        <f t="array" ref="AR8">$G$3+IFERROR(VLOOKUP($AM8,$F$4:$G$7,2,FALSE),0)+VLOOKUP($R8,武学奇术!$A:$ZZ,2,FALSE)+SUM(_xlfn.XLOOKUP($S8:$AL8,增益!$A:$A,增益!$B:$B,0))</f>
        <v>0.2989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3574.6</v>
      </c>
      <c r="AU8" cm="1">
        <f t="array" ref="AU8">$E$10*(1+$AS8)+VLOOKUP($R8,武学奇术!$A:$ZZ,4,FALSE)+SUM(_xlfn.XLOOKUP($S8:$AL8,增益!$A:$A,增益!$D:$D,0))-$I$2</f>
        <v>3574.6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0.2025</v>
      </c>
      <c r="AW8" s="32" cm="1">
        <f t="array" ref="AW8">$G$10+VLOOKUP($R8,武学奇术!$A:$ZZ,7,FALSE)+SUM(_xlfn.XLOOKUP($S8:$AL8,增益!$A:$A,增益!$G:$G,0))</f>
        <v>0.028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2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2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2" cm="1">
        <f t="array" ref="BJ8">$G$13+VLOOKUP($R8,武学奇术!$A:$ZZ,14,FALSE)+SUM(_xlfn.XLOOKUP($S8:$AL8,增益!$A:$A,增益!$N:$N,0))</f>
        <v>0</v>
      </c>
      <c r="BK8">
        <f t="shared" si="7"/>
        <v>571.2</v>
      </c>
      <c r="BL8">
        <f t="shared" si="8"/>
        <v>1627.8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2" cm="1">
        <f t="array" ref="BN8">$G$14+VLOOKUP($R8,武学奇术!$A:$ZZ,16,FALSE)+SUM(_xlfn.XLOOKUP($S8:$AL8,增益!$A:$A,增益!$P:$P,0))</f>
        <v>0.15</v>
      </c>
      <c r="BO8" s="26">
        <f>MIN(IF(VLOOKUP($R8,武学奇术!$A:$ZZ,23,FALSE)=1,100%,$B$8),100%)</f>
        <v>0.981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0.846</v>
      </c>
      <c r="BQ8" s="26" cm="1">
        <f t="array" ref="BQ8">1+$B$13+VLOOKUP($R8,武学奇术!$A:$ZZ,18,FALSE)+SUM(_xlfn.XLOOKUP($S8:$AL8,增益!$A:$A,增益!$R:$R,0))</f>
        <v>1.55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0.0929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0.829926</v>
      </c>
      <c r="BU8" s="26">
        <f t="shared" si="10"/>
        <v>0.0599391</v>
      </c>
      <c r="BV8" s="26">
        <f>IF(VLOOKUP($R8,武学奇术!$A:$ZZ,22,FALSE)=1,0,(1-$BO8))*(1-$BR8)</f>
        <v>0.0172349</v>
      </c>
      <c r="BW8" s="26" cm="1">
        <f t="array" ref="BW8">SUM(_xlfn.XLOOKUP($S8:$AL8,增益!$A:$A,增益!$W:$W,0))+$I$5</f>
        <v>0.11</v>
      </c>
      <c r="BX8" s="26" cm="1">
        <f t="array" ref="BX8">SUM(_xlfn.XLOOKUP($S8:$AL8,增益!$A:$A,增益!$X:$X,0))</f>
        <v>0</v>
      </c>
    </row>
    <row r="9" ht="14.25" spans="1:76">
      <c r="A9" s="42" t="s">
        <v>114</v>
      </c>
      <c r="B9" s="70">
        <f>期望!B9</f>
        <v>0.8049</v>
      </c>
      <c r="C9" s="21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67669.4743262671</v>
      </c>
      <c r="L9" s="38">
        <f t="shared" si="0"/>
        <v>64447.1184059687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</f>
        <v>67935.9935329582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</f>
        <v>56670.8180573529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</f>
        <v>37327.4689741528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</f>
        <v>32676.5542021183</v>
      </c>
      <c r="Q9" s="39">
        <v>1</v>
      </c>
      <c r="R9" s="40" t="s">
        <v>115</v>
      </c>
      <c r="S9" s="40" t="s">
        <v>116</v>
      </c>
      <c r="T9" s="40" t="s">
        <v>78</v>
      </c>
      <c r="U9" s="40" t="s">
        <v>79</v>
      </c>
      <c r="V9" s="40" t="s">
        <v>88</v>
      </c>
      <c r="W9" s="40" t="s">
        <v>81</v>
      </c>
      <c r="X9" s="40" t="s">
        <v>90</v>
      </c>
      <c r="Y9" s="40" t="s">
        <v>78</v>
      </c>
      <c r="Z9" s="40" t="s">
        <v>78</v>
      </c>
      <c r="AA9" s="40" t="s">
        <v>78</v>
      </c>
      <c r="AB9" s="40" t="s">
        <v>78</v>
      </c>
      <c r="AC9" s="40" t="s">
        <v>78</v>
      </c>
      <c r="AD9" s="40" t="s">
        <v>78</v>
      </c>
      <c r="AE9" s="40" t="s">
        <v>78</v>
      </c>
      <c r="AF9" s="40" t="s">
        <v>78</v>
      </c>
      <c r="AG9" s="40" t="s">
        <v>85</v>
      </c>
      <c r="AH9" s="40" t="s">
        <v>78</v>
      </c>
      <c r="AI9" s="40" t="s">
        <v>78</v>
      </c>
      <c r="AJ9" s="40" t="s">
        <v>78</v>
      </c>
      <c r="AK9" s="40" t="s">
        <v>78</v>
      </c>
      <c r="AL9" s="40" t="s">
        <v>78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750</v>
      </c>
      <c r="AP9" s="26">
        <f>VLOOKUP($R9,武学奇术!$A:$ZZ,28,FALSE)</f>
        <v>2.7126</v>
      </c>
      <c r="AQ9" s="27">
        <f>VLOOKUP($R9,武学奇术!$A:$ZZ,29,FALSE)*(1+IF(OR($AM9=$F$4,$AM9=$F$5),$B$22,0))</f>
        <v>408</v>
      </c>
      <c r="AR9" s="26" cm="1">
        <f t="array" ref="AR9">$G$3+IFERROR(VLOOKUP($AM9,$F$4:$G$7,2,FALSE),0)+VLOOKUP($R9,武学奇术!$A:$ZZ,2,FALSE)+SUM(_xlfn.XLOOKUP($S9:$AL9,增益!$A:$A,增益!$B:$B,0))</f>
        <v>0.7441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3574.6</v>
      </c>
      <c r="AU9" cm="1">
        <f t="array" ref="AU9">$E$10*(1+$AS9)+VLOOKUP($R9,武学奇术!$A:$ZZ,4,FALSE)+SUM(_xlfn.XLOOKUP($S9:$AL9,增益!$A:$A,增益!$D:$D,0))-$I$2</f>
        <v>3574.6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0.2125</v>
      </c>
      <c r="AW9" s="32" cm="1">
        <f t="array" ref="AW9">$G$10+VLOOKUP($R9,武学奇术!$A:$ZZ,7,FALSE)+SUM(_xlfn.XLOOKUP($S9:$AL9,增益!$A:$A,增益!$G:$G,0))</f>
        <v>0.148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2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2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2" cm="1">
        <f t="array" ref="BJ9">$G$13+VLOOKUP($R9,武学奇术!$A:$ZZ,14,FALSE)+SUM(_xlfn.XLOOKUP($S9:$AL9,增益!$A:$A,增益!$N:$N,0))</f>
        <v>0</v>
      </c>
      <c r="BK9">
        <f t="shared" si="7"/>
        <v>571.2</v>
      </c>
      <c r="BL9">
        <f t="shared" si="8"/>
        <v>1627.8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2" cm="1">
        <f t="array" ref="BN9">$G$14+VLOOKUP($R9,武学奇术!$A:$ZZ,16,FALSE)+SUM(_xlfn.XLOOKUP($S9:$AL9,增益!$A:$A,增益!$P:$P,0))</f>
        <v>0.27</v>
      </c>
      <c r="BO9" s="26">
        <f>MIN(IF(VLOOKUP($R9,武学奇术!$A:$ZZ,23,FALSE)=1,100%,$B$8),100%)</f>
        <v>0.981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0.846</v>
      </c>
      <c r="BQ9" s="26" cm="1">
        <f t="array" ref="BQ9">1+$B$13+VLOOKUP($R9,武学奇术!$A:$ZZ,18,FALSE)+SUM(_xlfn.XLOOKUP($S9:$AL9,增益!$A:$A,增益!$R:$R,0))</f>
        <v>1.82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0.0929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0.829926</v>
      </c>
      <c r="BU9" s="26">
        <f t="shared" si="10"/>
        <v>0.0599391</v>
      </c>
      <c r="BV9" s="26">
        <f>IF(VLOOKUP($R9,武学奇术!$A:$ZZ,22,FALSE)=1,0,(1-$BO9))*(1-$BR9)</f>
        <v>0.0172349</v>
      </c>
      <c r="BW9" s="26" cm="1">
        <f t="array" ref="BW9">SUM(_xlfn.XLOOKUP($S9:$AL9,增益!$A:$A,增益!$W:$W,0))+$I$5</f>
        <v>0.11</v>
      </c>
      <c r="BX9" s="26" cm="1">
        <f t="array" ref="BX9">SUM(_xlfn.XLOOKUP($S9:$AL9,增益!$A:$A,增益!$X:$X,0))</f>
        <v>0</v>
      </c>
    </row>
    <row r="10" spans="1:76">
      <c r="A10" s="42" t="s">
        <v>117</v>
      </c>
      <c r="B10" s="70">
        <f>期望!B10</f>
        <v>0.0929</v>
      </c>
      <c r="C10" s="21" t="s">
        <v>73</v>
      </c>
      <c r="D10">
        <f>期望!D10</f>
        <v>4194.6</v>
      </c>
      <c r="E10">
        <f>期望!E10</f>
        <v>4194.6</v>
      </c>
      <c r="F10">
        <f>期望!F10</f>
        <v>63.5</v>
      </c>
      <c r="G10" s="50">
        <f>期望!G10</f>
        <v>0.028</v>
      </c>
      <c r="H10" s="68" t="s">
        <v>118</v>
      </c>
      <c r="I10" s="73">
        <f>SUM(L:L)</f>
        <v>11874330.3177729</v>
      </c>
      <c r="J10" s="74"/>
      <c r="K10">
        <f>$L10*VLOOKUP($R10,武学奇术!$A:$ZZ,31,FALSE)</f>
        <v>39474.6816922267</v>
      </c>
      <c r="L10" s="38">
        <f t="shared" si="0"/>
        <v>37594.9349449778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</f>
        <v>39586.1337955524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</f>
        <v>33543.0748190065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</f>
        <v>21750.6229645892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</f>
        <v>18654.5238410255</v>
      </c>
      <c r="Q10" s="39">
        <v>2</v>
      </c>
      <c r="R10" s="40" t="s">
        <v>119</v>
      </c>
      <c r="S10" s="40" t="s">
        <v>116</v>
      </c>
      <c r="T10" s="40" t="s">
        <v>78</v>
      </c>
      <c r="U10" s="40" t="s">
        <v>79</v>
      </c>
      <c r="V10" s="40" t="s">
        <v>88</v>
      </c>
      <c r="W10" s="40" t="s">
        <v>81</v>
      </c>
      <c r="X10" s="40" t="s">
        <v>90</v>
      </c>
      <c r="Y10" s="40" t="s">
        <v>78</v>
      </c>
      <c r="Z10" s="40" t="s">
        <v>78</v>
      </c>
      <c r="AA10" s="40" t="s">
        <v>78</v>
      </c>
      <c r="AB10" s="40" t="s">
        <v>78</v>
      </c>
      <c r="AC10" s="40" t="s">
        <v>78</v>
      </c>
      <c r="AD10" s="40" t="s">
        <v>78</v>
      </c>
      <c r="AE10" s="40" t="s">
        <v>78</v>
      </c>
      <c r="AF10" s="40" t="s">
        <v>78</v>
      </c>
      <c r="AG10" s="40" t="s">
        <v>85</v>
      </c>
      <c r="AH10" s="40" t="s">
        <v>78</v>
      </c>
      <c r="AI10" s="40" t="s">
        <v>78</v>
      </c>
      <c r="AJ10" s="40" t="s">
        <v>78</v>
      </c>
      <c r="AK10" s="40" t="s">
        <v>78</v>
      </c>
      <c r="AL10" s="40" t="s">
        <v>78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0.9441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3574.6</v>
      </c>
      <c r="AU10" cm="1">
        <f t="array" ref="AU10">$E$10*(1+$AS10)+VLOOKUP($R10,武学奇术!$A:$ZZ,4,FALSE)+SUM(_xlfn.XLOOKUP($S10:$AL10,增益!$A:$A,增益!$D:$D,0))-$I$2</f>
        <v>3574.6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0.2125</v>
      </c>
      <c r="AW10" s="32" cm="1">
        <f t="array" ref="AW10">$G$10+VLOOKUP($R10,武学奇术!$A:$ZZ,7,FALSE)+SUM(_xlfn.XLOOKUP($S10:$AL10,增益!$A:$A,增益!$G:$G,0))</f>
        <v>0.148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2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2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2" cm="1">
        <f t="array" ref="BJ10">$G$13+VLOOKUP($R10,武学奇术!$A:$ZZ,14,FALSE)+SUM(_xlfn.XLOOKUP($S10:$AL10,增益!$A:$A,增益!$N:$N,0))</f>
        <v>0</v>
      </c>
      <c r="BK10">
        <f t="shared" si="7"/>
        <v>571.2</v>
      </c>
      <c r="BL10">
        <f t="shared" si="8"/>
        <v>1627.8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2" cm="1">
        <f t="array" ref="BN10">$G$14+VLOOKUP($R10,武学奇术!$A:$ZZ,16,FALSE)+SUM(_xlfn.XLOOKUP($S10:$AL10,增益!$A:$A,增益!$P:$P,0))</f>
        <v>0.27</v>
      </c>
      <c r="BO10" s="26">
        <f>MIN(IF(VLOOKUP($R10,武学奇术!$A:$ZZ,23,FALSE)=1,100%,$B$8),100%)</f>
        <v>0.981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0.846</v>
      </c>
      <c r="BQ10" s="26" cm="1">
        <f t="array" ref="BQ10">1+$B$13+VLOOKUP($R10,武学奇术!$A:$ZZ,18,FALSE)+SUM(_xlfn.XLOOKUP($S10:$AL10,增益!$A:$A,增益!$R:$R,0))</f>
        <v>1.82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0.0929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0.829926</v>
      </c>
      <c r="BU10" s="26">
        <f t="shared" si="10"/>
        <v>0.0599391</v>
      </c>
      <c r="BV10" s="26">
        <f>IF(VLOOKUP($R10,武学奇术!$A:$ZZ,22,FALSE)=1,0,(1-$BO10))*(1-$BR10)</f>
        <v>0.0172349</v>
      </c>
      <c r="BW10" s="26" cm="1">
        <f t="array" ref="BW10">SUM(_xlfn.XLOOKUP($S10:$AL10,增益!$A:$A,增益!$W:$W,0))+$I$5</f>
        <v>0.11</v>
      </c>
      <c r="BX10" s="26" cm="1">
        <f t="array" ref="BX10">SUM(_xlfn.XLOOKUP($S10:$AL10,增益!$A:$A,增益!$X:$X,0))</f>
        <v>0</v>
      </c>
    </row>
    <row r="11" ht="14.25" spans="1:76">
      <c r="A11" s="42" t="s">
        <v>120</v>
      </c>
      <c r="B11" s="70">
        <f>期望!B11</f>
        <v>0.046</v>
      </c>
      <c r="C11" s="21" t="s">
        <v>86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>
        <f>$L11*VLOOKUP($R11,武学奇术!$A:$ZZ,31,FALSE)</f>
        <v>70733.6228886921</v>
      </c>
      <c r="L11" s="38">
        <f t="shared" si="0"/>
        <v>67365.3551320877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</f>
        <v>71348.9285019497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</f>
        <v>57242.2553007821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</f>
        <v>37750.7558211374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</f>
        <v>33099.8410491029</v>
      </c>
      <c r="Q11" s="39">
        <v>1</v>
      </c>
      <c r="R11" s="40" t="s">
        <v>115</v>
      </c>
      <c r="S11" s="40" t="s">
        <v>116</v>
      </c>
      <c r="T11" s="40" t="s">
        <v>121</v>
      </c>
      <c r="U11" s="40" t="s">
        <v>79</v>
      </c>
      <c r="V11" s="40" t="s">
        <v>88</v>
      </c>
      <c r="W11" s="40" t="s">
        <v>89</v>
      </c>
      <c r="X11" s="40" t="s">
        <v>90</v>
      </c>
      <c r="Y11" s="40" t="s">
        <v>78</v>
      </c>
      <c r="Z11" s="40" t="s">
        <v>78</v>
      </c>
      <c r="AA11" s="40" t="s">
        <v>78</v>
      </c>
      <c r="AB11" s="40" t="s">
        <v>122</v>
      </c>
      <c r="AC11" s="40" t="s">
        <v>78</v>
      </c>
      <c r="AD11" s="40" t="s">
        <v>78</v>
      </c>
      <c r="AE11" s="40" t="s">
        <v>78</v>
      </c>
      <c r="AF11" s="40" t="s">
        <v>78</v>
      </c>
      <c r="AG11" s="40" t="s">
        <v>85</v>
      </c>
      <c r="AH11" s="40" t="s">
        <v>78</v>
      </c>
      <c r="AI11" s="40" t="s">
        <v>78</v>
      </c>
      <c r="AJ11" s="40" t="s">
        <v>78</v>
      </c>
      <c r="AK11" s="40" t="s">
        <v>78</v>
      </c>
      <c r="AL11" s="40" t="s">
        <v>78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750</v>
      </c>
      <c r="AP11" s="26">
        <f>VLOOKUP($R11,武学奇术!$A:$ZZ,28,FALSE)</f>
        <v>2.7126</v>
      </c>
      <c r="AQ11" s="27">
        <f>VLOOKUP($R11,武学奇术!$A:$ZZ,29,FALSE)*(1+IF(OR($AM11=$F$4,$AM11=$F$5),$B$22,0))</f>
        <v>408</v>
      </c>
      <c r="AR11" s="26" cm="1">
        <f t="array" ref="AR11">$G$3+IFERROR(VLOOKUP($AM11,$F$4:$G$7,2,FALSE),0)+VLOOKUP($R11,武学奇术!$A:$ZZ,2,FALSE)+SUM(_xlfn.XLOOKUP($S11:$AL11,增益!$A:$A,增益!$B:$B,0))</f>
        <v>0.7441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3574.6</v>
      </c>
      <c r="AU11" cm="1">
        <f t="array" ref="AU11">$E$10*(1+$AS11)+VLOOKUP($R11,武学奇术!$A:$ZZ,4,FALSE)+SUM(_xlfn.XLOOKUP($S11:$AL11,增益!$A:$A,增益!$D:$D,0))-$I$2</f>
        <v>3574.6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0.2325</v>
      </c>
      <c r="AW11" s="32" cm="1">
        <f t="array" ref="AW11">$G$10+VLOOKUP($R11,武学奇术!$A:$ZZ,7,FALSE)+SUM(_xlfn.XLOOKUP($S11:$AL11,增益!$A:$A,增益!$G:$G,0))</f>
        <v>0.148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2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2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2" cm="1">
        <f t="array" ref="BJ11">$G$13+VLOOKUP($R11,武学奇术!$A:$ZZ,14,FALSE)+SUM(_xlfn.XLOOKUP($S11:$AL11,增益!$A:$A,增益!$N:$N,0))</f>
        <v>0</v>
      </c>
      <c r="BK11">
        <f t="shared" si="7"/>
        <v>571.2</v>
      </c>
      <c r="BL11">
        <f t="shared" si="8"/>
        <v>1627.8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2" cm="1">
        <f t="array" ref="BN11">$G$14+VLOOKUP($R11,武学奇术!$A:$ZZ,16,FALSE)+SUM(_xlfn.XLOOKUP($S11:$AL11,增益!$A:$A,增益!$P:$P,0))</f>
        <v>0.27</v>
      </c>
      <c r="BO11" s="26">
        <f>MIN(IF(VLOOKUP($R11,武学奇术!$A:$ZZ,23,FALSE)=1,100%,$B$8),100%)</f>
        <v>0.981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0.846</v>
      </c>
      <c r="BQ11" s="26" cm="1">
        <f t="array" ref="BQ11">1+$B$13+VLOOKUP($R11,武学奇术!$A:$ZZ,18,FALSE)+SUM(_xlfn.XLOOKUP($S11:$AL11,增益!$A:$A,增益!$R:$R,0))</f>
        <v>1.89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0.0929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0.829926</v>
      </c>
      <c r="BU11" s="26">
        <f t="shared" si="10"/>
        <v>0.0599391</v>
      </c>
      <c r="BV11" s="26">
        <f>IF(VLOOKUP($R11,武学奇术!$A:$ZZ,22,FALSE)=1,0,(1-$BO11))*(1-$BR11)</f>
        <v>0.0172349</v>
      </c>
      <c r="BW11" s="26" cm="1">
        <f t="array" ref="BW11">SUM(_xlfn.XLOOKUP($S11:$AL11,增益!$A:$A,增益!$W:$W,0))+$I$5</f>
        <v>0.11</v>
      </c>
      <c r="BX11" s="26" cm="1">
        <f t="array" ref="BX11">SUM(_xlfn.XLOOKUP($S11:$AL11,增益!$A:$A,增益!$X:$X,0))</f>
        <v>0</v>
      </c>
    </row>
    <row r="12" spans="1:76">
      <c r="A12" s="42" t="s">
        <v>123</v>
      </c>
      <c r="B12" s="70">
        <f>期望!B12</f>
        <v>0</v>
      </c>
      <c r="C12" s="21" t="s">
        <v>93</v>
      </c>
      <c r="D12">
        <f>期望!D12</f>
        <v>0</v>
      </c>
      <c r="E12">
        <f>期望!E12</f>
        <v>0</v>
      </c>
      <c r="F12">
        <f>期望!F12</f>
        <v>0</v>
      </c>
      <c r="G12" s="50">
        <f>期望!G12</f>
        <v>0</v>
      </c>
      <c r="H12" s="68" t="s">
        <v>196</v>
      </c>
      <c r="I12" s="38">
        <f>I10/I8</f>
        <v>117567.626908642</v>
      </c>
      <c r="J12" s="77"/>
      <c r="K12">
        <f>$L12*VLOOKUP($R12,武学奇术!$A:$ZZ,31,FALSE)</f>
        <v>41271.0114282063</v>
      </c>
      <c r="L12" s="38">
        <f t="shared" si="0"/>
        <v>39305.7251697203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</f>
        <v>41585.8773697538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</f>
        <v>33883.9319380637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</f>
        <v>22003.1097194465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</f>
        <v>18907.0105958828</v>
      </c>
      <c r="Q12" s="39">
        <v>2</v>
      </c>
      <c r="R12" s="40" t="s">
        <v>119</v>
      </c>
      <c r="S12" s="40" t="s">
        <v>116</v>
      </c>
      <c r="T12" s="40" t="s">
        <v>121</v>
      </c>
      <c r="U12" s="40" t="s">
        <v>79</v>
      </c>
      <c r="V12" s="40" t="s">
        <v>88</v>
      </c>
      <c r="W12" s="40" t="s">
        <v>89</v>
      </c>
      <c r="X12" s="40" t="s">
        <v>90</v>
      </c>
      <c r="Y12" s="40" t="s">
        <v>78</v>
      </c>
      <c r="Z12" s="40" t="s">
        <v>78</v>
      </c>
      <c r="AA12" s="40" t="s">
        <v>78</v>
      </c>
      <c r="AB12" s="40" t="s">
        <v>122</v>
      </c>
      <c r="AC12" s="40" t="s">
        <v>78</v>
      </c>
      <c r="AD12" s="40" t="s">
        <v>78</v>
      </c>
      <c r="AE12" s="40" t="s">
        <v>78</v>
      </c>
      <c r="AF12" s="40" t="s">
        <v>78</v>
      </c>
      <c r="AG12" s="40" t="s">
        <v>85</v>
      </c>
      <c r="AH12" s="40" t="s">
        <v>78</v>
      </c>
      <c r="AI12" s="40" t="s">
        <v>78</v>
      </c>
      <c r="AJ12" s="40" t="s">
        <v>78</v>
      </c>
      <c r="AK12" s="40" t="s">
        <v>78</v>
      </c>
      <c r="AL12" s="40" t="s">
        <v>78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0.9441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3574.6</v>
      </c>
      <c r="AU12" cm="1">
        <f t="array" ref="AU12">$E$10*(1+$AS12)+VLOOKUP($R12,武学奇术!$A:$ZZ,4,FALSE)+SUM(_xlfn.XLOOKUP($S12:$AL12,增益!$A:$A,增益!$D:$D,0))-$I$2</f>
        <v>3574.6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0.2325</v>
      </c>
      <c r="AW12" s="32" cm="1">
        <f t="array" ref="AW12">$G$10+VLOOKUP($R12,武学奇术!$A:$ZZ,7,FALSE)+SUM(_xlfn.XLOOKUP($S12:$AL12,增益!$A:$A,增益!$G:$G,0))</f>
        <v>0.148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2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2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2" cm="1">
        <f t="array" ref="BJ12">$G$13+VLOOKUP($R12,武学奇术!$A:$ZZ,14,FALSE)+SUM(_xlfn.XLOOKUP($S12:$AL12,增益!$A:$A,增益!$N:$N,0))</f>
        <v>0</v>
      </c>
      <c r="BK12">
        <f t="shared" si="7"/>
        <v>571.2</v>
      </c>
      <c r="BL12">
        <f t="shared" si="8"/>
        <v>1627.8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2" cm="1">
        <f t="array" ref="BN12">$G$14+VLOOKUP($R12,武学奇术!$A:$ZZ,16,FALSE)+SUM(_xlfn.XLOOKUP($S12:$AL12,增益!$A:$A,增益!$P:$P,0))</f>
        <v>0.27</v>
      </c>
      <c r="BO12" s="26">
        <f>MIN(IF(VLOOKUP($R12,武学奇术!$A:$ZZ,23,FALSE)=1,100%,$B$8),100%)</f>
        <v>0.981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0.846</v>
      </c>
      <c r="BQ12" s="26" cm="1">
        <f t="array" ref="BQ12">1+$B$13+VLOOKUP($R12,武学奇术!$A:$ZZ,18,FALSE)+SUM(_xlfn.XLOOKUP($S12:$AL12,增益!$A:$A,增益!$R:$R,0))</f>
        <v>1.89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0.0929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0.829926</v>
      </c>
      <c r="BU12" s="26">
        <f t="shared" si="10"/>
        <v>0.0599391</v>
      </c>
      <c r="BV12" s="26">
        <f>IF(VLOOKUP($R12,武学奇术!$A:$ZZ,22,FALSE)=1,0,(1-$BO12))*(1-$BR12)</f>
        <v>0.0172349</v>
      </c>
      <c r="BW12" s="26" cm="1">
        <f t="array" ref="BW12">SUM(_xlfn.XLOOKUP($S12:$AL12,增益!$A:$A,增益!$W:$W,0))+$I$5</f>
        <v>0.11</v>
      </c>
      <c r="BX12" s="26" cm="1">
        <f t="array" ref="BX12">SUM(_xlfn.XLOOKUP($S12:$AL12,增益!$A:$A,增益!$X:$X,0))</f>
        <v>0</v>
      </c>
    </row>
    <row r="13" ht="14.25" spans="1:76">
      <c r="A13" s="42" t="s">
        <v>125</v>
      </c>
      <c r="B13" s="70">
        <f>期望!B13</f>
        <v>0.54</v>
      </c>
      <c r="C13" s="21" t="s">
        <v>99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>
        <f>$L13*VLOOKUP($R13,武学奇术!$A:$ZZ,31,FALSE)</f>
        <v>74345.2524976665</v>
      </c>
      <c r="L13" s="38">
        <f t="shared" si="0"/>
        <v>70805.00237873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</f>
        <v>75281.2610216937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</f>
        <v>58432.5308905169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</f>
        <v>38605.7748829199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</f>
        <v>33928.193550642</v>
      </c>
      <c r="Q13" s="39">
        <v>1</v>
      </c>
      <c r="R13" s="40" t="s">
        <v>115</v>
      </c>
      <c r="S13" s="40" t="s">
        <v>116</v>
      </c>
      <c r="T13" s="40" t="s">
        <v>126</v>
      </c>
      <c r="U13" s="40" t="s">
        <v>79</v>
      </c>
      <c r="V13" s="40" t="s">
        <v>88</v>
      </c>
      <c r="W13" s="40" t="s">
        <v>89</v>
      </c>
      <c r="X13" s="40" t="s">
        <v>97</v>
      </c>
      <c r="Y13" s="40" t="s">
        <v>78</v>
      </c>
      <c r="Z13" s="40" t="s">
        <v>78</v>
      </c>
      <c r="AA13" s="40" t="s">
        <v>78</v>
      </c>
      <c r="AB13" s="40" t="s">
        <v>127</v>
      </c>
      <c r="AC13" s="40" t="s">
        <v>78</v>
      </c>
      <c r="AD13" s="40" t="s">
        <v>78</v>
      </c>
      <c r="AE13" s="40" t="s">
        <v>78</v>
      </c>
      <c r="AF13" s="40" t="s">
        <v>78</v>
      </c>
      <c r="AG13" s="40" t="s">
        <v>85</v>
      </c>
      <c r="AH13" s="40" t="s">
        <v>78</v>
      </c>
      <c r="AI13" s="40" t="s">
        <v>78</v>
      </c>
      <c r="AJ13" s="40" t="s">
        <v>78</v>
      </c>
      <c r="AK13" s="40" t="s">
        <v>78</v>
      </c>
      <c r="AL13" s="40" t="s">
        <v>78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750</v>
      </c>
      <c r="AP13" s="26">
        <f>VLOOKUP($R13,武学奇术!$A:$ZZ,28,FALSE)</f>
        <v>2.7126</v>
      </c>
      <c r="AQ13" s="27">
        <f>VLOOKUP($R13,武学奇术!$A:$ZZ,29,FALSE)*(1+IF(OR($AM13=$F$4,$AM13=$F$5),$B$22,0))</f>
        <v>408</v>
      </c>
      <c r="AR13" s="26" cm="1">
        <f t="array" ref="AR13">$G$3+IFERROR(VLOOKUP($AM13,$F$4:$G$7,2,FALSE),0)+VLOOKUP($R13,武学奇术!$A:$ZZ,2,FALSE)+SUM(_xlfn.XLOOKUP($S13:$AL13,增益!$A:$A,增益!$B:$B,0))</f>
        <v>0.7541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3574.6</v>
      </c>
      <c r="AU13" cm="1">
        <f t="array" ref="AU13">$E$10*(1+$AS13)+VLOOKUP($R13,武学奇术!$A:$ZZ,4,FALSE)+SUM(_xlfn.XLOOKUP($S13:$AL13,增益!$A:$A,增益!$D:$D,0))-$I$2</f>
        <v>3574.6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0.2625</v>
      </c>
      <c r="AW13" s="32" cm="1">
        <f t="array" ref="AW13">$G$10+VLOOKUP($R13,武学奇术!$A:$ZZ,7,FALSE)+SUM(_xlfn.XLOOKUP($S13:$AL13,增益!$A:$A,增益!$G:$G,0))</f>
        <v>0.148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2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2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2" cm="1">
        <f t="array" ref="BJ13">$G$13+VLOOKUP($R13,武学奇术!$A:$ZZ,14,FALSE)+SUM(_xlfn.XLOOKUP($S13:$AL13,增益!$A:$A,增益!$N:$N,0))</f>
        <v>0</v>
      </c>
      <c r="BK13">
        <f t="shared" si="7"/>
        <v>571.2</v>
      </c>
      <c r="BL13">
        <f t="shared" si="8"/>
        <v>1627.8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2" cm="1">
        <f t="array" ref="BN13">$G$14+VLOOKUP($R13,武学奇术!$A:$ZZ,16,FALSE)+SUM(_xlfn.XLOOKUP($S13:$AL13,增益!$A:$A,增益!$P:$P,0))</f>
        <v>0.27</v>
      </c>
      <c r="BO13" s="26">
        <f>MIN(IF(VLOOKUP($R13,武学奇术!$A:$ZZ,23,FALSE)=1,100%,$B$8),100%)</f>
        <v>0.981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0.846</v>
      </c>
      <c r="BQ13" s="26" cm="1">
        <f t="array" ref="BQ13">1+$B$13+VLOOKUP($R13,武学奇术!$A:$ZZ,18,FALSE)+SUM(_xlfn.XLOOKUP($S13:$AL13,增益!$A:$A,增益!$R:$R,0))</f>
        <v>1.95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0.0929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0.829926</v>
      </c>
      <c r="BU13" s="26">
        <f t="shared" si="10"/>
        <v>0.0599391</v>
      </c>
      <c r="BV13" s="26">
        <f>IF(VLOOKUP($R13,武学奇术!$A:$ZZ,22,FALSE)=1,0,(1-$BO13))*(1-$BR13)</f>
        <v>0.0172349</v>
      </c>
      <c r="BW13" s="26" cm="1">
        <f t="array" ref="BW13">SUM(_xlfn.XLOOKUP($S13:$AL13,增益!$A:$A,增益!$W:$W,0))+$I$5</f>
        <v>0.11</v>
      </c>
      <c r="BX13" s="26" cm="1">
        <f t="array" ref="BX13">SUM(_xlfn.XLOOKUP($S13:$AL13,增益!$A:$A,增益!$X:$X,0))</f>
        <v>0</v>
      </c>
    </row>
    <row r="14" ht="14.25" spans="1:76">
      <c r="A14" s="42" t="s">
        <v>128</v>
      </c>
      <c r="B14" s="70">
        <f>期望!B14</f>
        <v>0.35</v>
      </c>
      <c r="C14" s="23" t="s">
        <v>5</v>
      </c>
      <c r="D14" s="23">
        <f>期望!D14</f>
        <v>571.2</v>
      </c>
      <c r="E14" s="23">
        <f>期望!E14</f>
        <v>1627.8</v>
      </c>
      <c r="F14" s="23">
        <f>期望!F14</f>
        <v>30</v>
      </c>
      <c r="G14" s="64">
        <f>期望!G14</f>
        <v>0.15</v>
      </c>
      <c r="H14" s="36" t="s">
        <v>129</v>
      </c>
      <c r="I14" s="73">
        <f>I12+120000*10%</f>
        <v>129567.626908642</v>
      </c>
      <c r="J14" s="74"/>
      <c r="K14">
        <f>$L14*VLOOKUP($R14,武学奇术!$A:$ZZ,31,FALSE)</f>
        <v>43367.5112853012</v>
      </c>
      <c r="L14" s="38">
        <f t="shared" si="0"/>
        <v>41302.3917002868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</f>
        <v>43869.0853586887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</f>
        <v>34572.1386475465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</f>
        <v>22496.9668506096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</f>
        <v>19384.942110444</v>
      </c>
      <c r="Q14" s="39">
        <v>2</v>
      </c>
      <c r="R14" s="40" t="s">
        <v>119</v>
      </c>
      <c r="S14" s="40" t="s">
        <v>116</v>
      </c>
      <c r="T14" s="40" t="s">
        <v>126</v>
      </c>
      <c r="U14" s="40" t="s">
        <v>79</v>
      </c>
      <c r="V14" s="40" t="s">
        <v>88</v>
      </c>
      <c r="W14" s="40" t="s">
        <v>89</v>
      </c>
      <c r="X14" s="40" t="s">
        <v>97</v>
      </c>
      <c r="Y14" s="40" t="s">
        <v>78</v>
      </c>
      <c r="Z14" s="40" t="s">
        <v>78</v>
      </c>
      <c r="AA14" s="40" t="s">
        <v>78</v>
      </c>
      <c r="AB14" s="40" t="s">
        <v>127</v>
      </c>
      <c r="AC14" s="40" t="s">
        <v>78</v>
      </c>
      <c r="AD14" s="40" t="s">
        <v>78</v>
      </c>
      <c r="AE14" s="40" t="s">
        <v>78</v>
      </c>
      <c r="AF14" s="40" t="s">
        <v>78</v>
      </c>
      <c r="AG14" s="40" t="s">
        <v>85</v>
      </c>
      <c r="AH14" s="40" t="s">
        <v>78</v>
      </c>
      <c r="AI14" s="40" t="s">
        <v>78</v>
      </c>
      <c r="AJ14" s="40" t="s">
        <v>78</v>
      </c>
      <c r="AK14" s="40" t="s">
        <v>78</v>
      </c>
      <c r="AL14" s="40" t="s">
        <v>78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0.9541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3574.6</v>
      </c>
      <c r="AU14" cm="1">
        <f t="array" ref="AU14">$E$10*(1+$AS14)+VLOOKUP($R14,武学奇术!$A:$ZZ,4,FALSE)+SUM(_xlfn.XLOOKUP($S14:$AL14,增益!$A:$A,增益!$D:$D,0))-$I$2</f>
        <v>3574.6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0.2625</v>
      </c>
      <c r="AW14" s="32" cm="1">
        <f t="array" ref="AW14">$G$10+VLOOKUP($R14,武学奇术!$A:$ZZ,7,FALSE)+SUM(_xlfn.XLOOKUP($S14:$AL14,增益!$A:$A,增益!$G:$G,0))</f>
        <v>0.148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2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2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2" cm="1">
        <f t="array" ref="BJ14">$G$13+VLOOKUP($R14,武学奇术!$A:$ZZ,14,FALSE)+SUM(_xlfn.XLOOKUP($S14:$AL14,增益!$A:$A,增益!$N:$N,0))</f>
        <v>0</v>
      </c>
      <c r="BK14">
        <f t="shared" si="7"/>
        <v>571.2</v>
      </c>
      <c r="BL14">
        <f t="shared" si="8"/>
        <v>1627.8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2" cm="1">
        <f t="array" ref="BN14">$G$14+VLOOKUP($R14,武学奇术!$A:$ZZ,16,FALSE)+SUM(_xlfn.XLOOKUP($S14:$AL14,增益!$A:$A,增益!$P:$P,0))</f>
        <v>0.27</v>
      </c>
      <c r="BO14" s="26">
        <f>MIN(IF(VLOOKUP($R14,武学奇术!$A:$ZZ,23,FALSE)=1,100%,$B$8),100%)</f>
        <v>0.981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0.846</v>
      </c>
      <c r="BQ14" s="26" cm="1">
        <f t="array" ref="BQ14">1+$B$13+VLOOKUP($R14,武学奇术!$A:$ZZ,18,FALSE)+SUM(_xlfn.XLOOKUP($S14:$AL14,增益!$A:$A,增益!$R:$R,0))</f>
        <v>1.95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0.0929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0.829926</v>
      </c>
      <c r="BU14" s="26">
        <f t="shared" si="10"/>
        <v>0.0599391</v>
      </c>
      <c r="BV14" s="26">
        <f>IF(VLOOKUP($R14,武学奇术!$A:$ZZ,22,FALSE)=1,0,(1-$BO14))*(1-$BR14)</f>
        <v>0.0172349</v>
      </c>
      <c r="BW14" s="26" cm="1">
        <f t="array" ref="BW14">SUM(_xlfn.XLOOKUP($S14:$AL14,增益!$A:$A,增益!$W:$W,0))+$I$5</f>
        <v>0.11</v>
      </c>
      <c r="BX14" s="26" cm="1">
        <f t="array" ref="BX14">SUM(_xlfn.XLOOKUP($S14:$AL14,增益!$A:$A,增益!$X:$X,0))</f>
        <v>0</v>
      </c>
    </row>
    <row r="15" ht="14.25" spans="1:76">
      <c r="A15" s="42" t="s">
        <v>130</v>
      </c>
      <c r="B15" s="70">
        <f>期望!B15</f>
        <v>0.0852</v>
      </c>
      <c r="C15" s="39" t="s">
        <v>131</v>
      </c>
      <c r="D15" s="39"/>
      <c r="F15" s="79"/>
      <c r="H15" s="80"/>
      <c r="I15" s="75"/>
      <c r="J15" s="76"/>
      <c r="K15">
        <f>$L15*VLOOKUP($R15,武学奇术!$A:$ZZ,31,FALSE)</f>
        <v>89905.6840191339</v>
      </c>
      <c r="L15" s="38">
        <f t="shared" si="0"/>
        <v>85624.4609706037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</f>
        <v>85624.4609706037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</f>
        <v>65415.0462232831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</f>
        <v>43244.6772578806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</f>
        <v>38033.7647207368</v>
      </c>
      <c r="Q15" s="39">
        <v>1</v>
      </c>
      <c r="R15" s="40" t="s">
        <v>132</v>
      </c>
      <c r="S15" s="40" t="s">
        <v>116</v>
      </c>
      <c r="T15" s="40" t="s">
        <v>102</v>
      </c>
      <c r="U15" s="40" t="s">
        <v>79</v>
      </c>
      <c r="V15" s="40" t="s">
        <v>88</v>
      </c>
      <c r="W15" s="40" t="s">
        <v>89</v>
      </c>
      <c r="X15" s="40" t="s">
        <v>97</v>
      </c>
      <c r="Y15" s="40" t="s">
        <v>78</v>
      </c>
      <c r="Z15" s="40" t="s">
        <v>78</v>
      </c>
      <c r="AA15" s="40" t="s">
        <v>78</v>
      </c>
      <c r="AB15" s="40" t="s">
        <v>133</v>
      </c>
      <c r="AC15" s="40" t="s">
        <v>78</v>
      </c>
      <c r="AD15" s="40" t="s">
        <v>78</v>
      </c>
      <c r="AE15" s="40" t="s">
        <v>78</v>
      </c>
      <c r="AF15" s="40" t="s">
        <v>78</v>
      </c>
      <c r="AG15" s="40" t="s">
        <v>85</v>
      </c>
      <c r="AH15" s="40" t="s">
        <v>78</v>
      </c>
      <c r="AI15" s="40" t="s">
        <v>78</v>
      </c>
      <c r="AJ15" s="40" t="s">
        <v>78</v>
      </c>
      <c r="AK15" s="40" t="s">
        <v>78</v>
      </c>
      <c r="AL15" s="40" t="s">
        <v>78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750</v>
      </c>
      <c r="AP15" s="26">
        <f>VLOOKUP($R15,武学奇术!$A:$ZZ,28,FALSE)</f>
        <v>2.7126</v>
      </c>
      <c r="AQ15" s="27">
        <f>VLOOKUP($R15,武学奇术!$A:$ZZ,29,FALSE)*(1+IF(OR($AM15=$F$4,$AM15=$F$5),$B$22,0))</f>
        <v>408</v>
      </c>
      <c r="AR15" s="26" cm="1">
        <f t="array" ref="AR15">$G$3+IFERROR(VLOOKUP($AM15,$F$4:$G$7,2,FALSE),0)+VLOOKUP($R15,武学奇术!$A:$ZZ,2,FALSE)+SUM(_xlfn.XLOOKUP($S15:$AL15,增益!$A:$A,增益!$B:$B,0))</f>
        <v>0.9541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3574.6</v>
      </c>
      <c r="AU15" cm="1">
        <f t="array" ref="AU15">$E$10*(1+$AS15)+VLOOKUP($R15,武学奇术!$A:$ZZ,4,FALSE)+SUM(_xlfn.XLOOKUP($S15:$AL15,增益!$A:$A,增益!$D:$D,0))-$I$2</f>
        <v>3574.6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0.2725</v>
      </c>
      <c r="AW15" s="32" cm="1">
        <f t="array" ref="AW15">$G$10+VLOOKUP($R15,武学奇术!$A:$ZZ,7,FALSE)+SUM(_xlfn.XLOOKUP($S15:$AL15,增益!$A:$A,增益!$G:$G,0))</f>
        <v>0.148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2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2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2" cm="1">
        <f t="array" ref="BJ15">$G$13+VLOOKUP($R15,武学奇术!$A:$ZZ,14,FALSE)+SUM(_xlfn.XLOOKUP($S15:$AL15,增益!$A:$A,增益!$N:$N,0))</f>
        <v>0</v>
      </c>
      <c r="BK15">
        <f t="shared" si="7"/>
        <v>571.2</v>
      </c>
      <c r="BL15">
        <f t="shared" si="8"/>
        <v>1627.8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2" cm="1">
        <f t="array" ref="BN15">$G$14+VLOOKUP($R15,武学奇术!$A:$ZZ,16,FALSE)+SUM(_xlfn.XLOOKUP($S15:$AL15,增益!$A:$A,增益!$P:$P,0))</f>
        <v>0.27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1.98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 cm="1">
        <f t="array" ref="BX15">SUM(_xlfn.XLOOKUP($S15:$AL15,增益!$A:$A,增益!$X:$X,0))</f>
        <v>0</v>
      </c>
    </row>
    <row r="16" spans="1:76">
      <c r="A16" s="42" t="s">
        <v>134</v>
      </c>
      <c r="B16" s="70">
        <f>期望!B16</f>
        <v>0.0887</v>
      </c>
      <c r="C16" s="39" t="s">
        <v>135</v>
      </c>
      <c r="D16" s="79" t="s">
        <v>152</v>
      </c>
      <c r="E16" s="39" t="s">
        <v>137</v>
      </c>
      <c r="F16" s="79" t="s">
        <v>136</v>
      </c>
      <c r="H16" s="68" t="s">
        <v>138</v>
      </c>
      <c r="I16" s="81"/>
      <c r="J16" s="82"/>
      <c r="K16">
        <f>$L16*VLOOKUP($R16,武学奇术!$A:$ZZ,31,FALSE)</f>
        <v>51848.9853775536</v>
      </c>
      <c r="L16" s="38">
        <f t="shared" si="0"/>
        <v>49379.9860738606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</f>
        <v>49379.9860738606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</f>
        <v>38299.39737056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</f>
        <v>24939.3869059902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</f>
        <v>21508.8498337879</v>
      </c>
      <c r="Q16" s="39">
        <v>2</v>
      </c>
      <c r="R16" s="40" t="s">
        <v>139</v>
      </c>
      <c r="S16" s="40" t="s">
        <v>116</v>
      </c>
      <c r="T16" s="40" t="s">
        <v>102</v>
      </c>
      <c r="U16" s="40" t="s">
        <v>79</v>
      </c>
      <c r="V16" s="40" t="s">
        <v>88</v>
      </c>
      <c r="W16" s="40" t="s">
        <v>89</v>
      </c>
      <c r="X16" s="40" t="s">
        <v>97</v>
      </c>
      <c r="Y16" s="40" t="s">
        <v>78</v>
      </c>
      <c r="Z16" s="40" t="s">
        <v>78</v>
      </c>
      <c r="AA16" s="40" t="s">
        <v>78</v>
      </c>
      <c r="AB16" s="40" t="s">
        <v>133</v>
      </c>
      <c r="AC16" s="40" t="s">
        <v>78</v>
      </c>
      <c r="AD16" s="40" t="s">
        <v>78</v>
      </c>
      <c r="AE16" s="40" t="s">
        <v>78</v>
      </c>
      <c r="AF16" s="40" t="s">
        <v>78</v>
      </c>
      <c r="AG16" s="40" t="s">
        <v>85</v>
      </c>
      <c r="AH16" s="40" t="s">
        <v>78</v>
      </c>
      <c r="AI16" s="40" t="s">
        <v>78</v>
      </c>
      <c r="AJ16" s="40" t="s">
        <v>78</v>
      </c>
      <c r="AK16" s="40" t="s">
        <v>78</v>
      </c>
      <c r="AL16" s="40" t="s">
        <v>78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1.1541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3574.6</v>
      </c>
      <c r="AU16" cm="1">
        <f t="array" ref="AU16">$E$10*(1+$AS16)+VLOOKUP($R16,武学奇术!$A:$ZZ,4,FALSE)+SUM(_xlfn.XLOOKUP($S16:$AL16,增益!$A:$A,增益!$D:$D,0))-$I$2</f>
        <v>3574.6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0.2725</v>
      </c>
      <c r="AW16" s="32" cm="1">
        <f t="array" ref="AW16">$G$10+VLOOKUP($R16,武学奇术!$A:$ZZ,7,FALSE)+SUM(_xlfn.XLOOKUP($S16:$AL16,增益!$A:$A,增益!$G:$G,0))</f>
        <v>0.148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2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2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2" cm="1">
        <f t="array" ref="BJ16">$G$13+VLOOKUP($R16,武学奇术!$A:$ZZ,14,FALSE)+SUM(_xlfn.XLOOKUP($S16:$AL16,增益!$A:$A,增益!$N:$N,0))</f>
        <v>0</v>
      </c>
      <c r="BK16">
        <f t="shared" si="7"/>
        <v>571.2</v>
      </c>
      <c r="BL16">
        <f t="shared" si="8"/>
        <v>1627.8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2" cm="1">
        <f t="array" ref="BN16">$G$14+VLOOKUP($R16,武学奇术!$A:$ZZ,16,FALSE)+SUM(_xlfn.XLOOKUP($S16:$AL16,增益!$A:$A,增益!$P:$P,0))</f>
        <v>0.27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1.98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 cm="1">
        <f t="array" ref="BX16">SUM(_xlfn.XLOOKUP($S16:$AL16,增益!$A:$A,增益!$X:$X,0))</f>
        <v>0</v>
      </c>
    </row>
    <row r="17" ht="14.25" spans="1:76">
      <c r="A17" s="42" t="s">
        <v>140</v>
      </c>
      <c r="B17" s="70">
        <f>期望!B17</f>
        <v>0.0852</v>
      </c>
      <c r="C17" s="39"/>
      <c r="D17" s="79"/>
      <c r="E17" s="39" t="s">
        <v>141</v>
      </c>
      <c r="F17" s="79" t="str">
        <f>IF(E24="所恨年年","√","×")</f>
        <v>×</v>
      </c>
      <c r="H17" s="71"/>
      <c r="I17" s="83"/>
      <c r="J17" s="84"/>
      <c r="K17">
        <f>$L17*VLOOKUP($R17,武学奇术!$A:$ZZ,31,FALSE)</f>
        <v>153911.927652103</v>
      </c>
      <c r="L17" s="38">
        <f t="shared" si="0"/>
        <v>146582.788240098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</f>
        <v>156230.9377104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</f>
        <v>118687.2813244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</f>
        <v>78508.0088996985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</f>
        <v>69099.5131146563</v>
      </c>
      <c r="Q17" s="39">
        <v>2</v>
      </c>
      <c r="R17" s="40" t="s">
        <v>115</v>
      </c>
      <c r="S17" s="40" t="s">
        <v>116</v>
      </c>
      <c r="T17" s="40" t="s">
        <v>102</v>
      </c>
      <c r="U17" s="40" t="s">
        <v>79</v>
      </c>
      <c r="V17" s="40" t="s">
        <v>88</v>
      </c>
      <c r="W17" s="40" t="s">
        <v>96</v>
      </c>
      <c r="X17" s="40" t="s">
        <v>104</v>
      </c>
      <c r="Y17" s="40" t="s">
        <v>78</v>
      </c>
      <c r="Z17" s="40" t="s">
        <v>78</v>
      </c>
      <c r="AA17" s="40" t="s">
        <v>78</v>
      </c>
      <c r="AB17" s="40" t="s">
        <v>133</v>
      </c>
      <c r="AC17" s="40" t="s">
        <v>78</v>
      </c>
      <c r="AD17" s="40" t="s">
        <v>78</v>
      </c>
      <c r="AE17" s="40" t="s">
        <v>78</v>
      </c>
      <c r="AF17" s="40" t="s">
        <v>78</v>
      </c>
      <c r="AG17" s="40" t="s">
        <v>85</v>
      </c>
      <c r="AH17" s="40" t="s">
        <v>78</v>
      </c>
      <c r="AI17" s="40" t="s">
        <v>78</v>
      </c>
      <c r="AJ17" s="40" t="s">
        <v>78</v>
      </c>
      <c r="AK17" s="40" t="s">
        <v>78</v>
      </c>
      <c r="AL17" s="40" t="s">
        <v>78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750</v>
      </c>
      <c r="AP17" s="26">
        <f>VLOOKUP($R17,武学奇术!$A:$ZZ,28,FALSE)</f>
        <v>2.7126</v>
      </c>
      <c r="AQ17" s="27">
        <f>VLOOKUP($R17,武学奇术!$A:$ZZ,29,FALSE)*(1+IF(OR($AM17=$F$4,$AM17=$F$5),$B$22,0))</f>
        <v>408</v>
      </c>
      <c r="AR17" s="26" cm="1">
        <f t="array" ref="AR17">$G$3+IFERROR(VLOOKUP($AM17,$F$4:$G$7,2,FALSE),0)+VLOOKUP($R17,武学奇术!$A:$ZZ,2,FALSE)+SUM(_xlfn.XLOOKUP($S17:$AL17,增益!$A:$A,增益!$B:$B,0))</f>
        <v>0.7641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3574.6</v>
      </c>
      <c r="AU17" cm="1">
        <f t="array" ref="AU17">$E$10*(1+$AS17)+VLOOKUP($R17,武学奇术!$A:$ZZ,4,FALSE)+SUM(_xlfn.XLOOKUP($S17:$AL17,增益!$A:$A,增益!$D:$D,0))-$I$2</f>
        <v>3574.6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0.2825</v>
      </c>
      <c r="AW17" s="32" cm="1">
        <f t="array" ref="AW17">$G$10+VLOOKUP($R17,武学奇术!$A:$ZZ,7,FALSE)+SUM(_xlfn.XLOOKUP($S17:$AL17,增益!$A:$A,增益!$G:$G,0))</f>
        <v>0.148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2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2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2" cm="1">
        <f t="array" ref="BJ17">$G$13+VLOOKUP($R17,武学奇术!$A:$ZZ,14,FALSE)+SUM(_xlfn.XLOOKUP($S17:$AL17,增益!$A:$A,增益!$N:$N,0))</f>
        <v>0</v>
      </c>
      <c r="BK17">
        <f t="shared" si="7"/>
        <v>571.2</v>
      </c>
      <c r="BL17">
        <f t="shared" si="8"/>
        <v>1627.8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2" cm="1">
        <f t="array" ref="BN17">$G$14+VLOOKUP($R17,武学奇术!$A:$ZZ,16,FALSE)+SUM(_xlfn.XLOOKUP($S17:$AL17,增益!$A:$A,增益!$P:$P,0))</f>
        <v>0.27</v>
      </c>
      <c r="BO17" s="26">
        <f>MIN(IF(VLOOKUP($R17,武学奇术!$A:$ZZ,23,FALSE)=1,100%,$B$8),100%)</f>
        <v>0.981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0.846</v>
      </c>
      <c r="BQ17" s="26" cm="1">
        <f t="array" ref="BQ17">1+$B$13+VLOOKUP($R17,武学奇术!$A:$ZZ,18,FALSE)+SUM(_xlfn.XLOOKUP($S17:$AL17,增益!$A:$A,增益!$R:$R,0))</f>
        <v>1.99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0.0929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0.829926</v>
      </c>
      <c r="BU17" s="26">
        <f t="shared" si="10"/>
        <v>0.0599391</v>
      </c>
      <c r="BV17" s="26">
        <f>IF(VLOOKUP($R17,武学奇术!$A:$ZZ,22,FALSE)=1,0,(1-$BO17))*(1-$BR17)</f>
        <v>0.0172349</v>
      </c>
      <c r="BW17" s="26" cm="1">
        <f t="array" ref="BW17">SUM(_xlfn.XLOOKUP($S17:$AL17,增益!$A:$A,增益!$W:$W,0))+$I$5</f>
        <v>0.11</v>
      </c>
      <c r="BX17" s="26" cm="1">
        <f t="array" ref="BX17">SUM(_xlfn.XLOOKUP($S17:$AL17,增益!$A:$A,增益!$X:$X,0))</f>
        <v>0</v>
      </c>
    </row>
    <row r="18" spans="1:76">
      <c r="A18" s="42" t="s">
        <v>142</v>
      </c>
      <c r="B18" s="70">
        <f>期望!B18</f>
        <v>0</v>
      </c>
      <c r="C18" s="39" t="s">
        <v>143</v>
      </c>
      <c r="D18" s="79" t="s">
        <v>152</v>
      </c>
      <c r="K18">
        <f>$L18*VLOOKUP($R18,武学奇术!$A:$ZZ,31,FALSE)</f>
        <v>89748.4797720156</v>
      </c>
      <c r="L18" s="38">
        <f t="shared" si="0"/>
        <v>85474.7426400149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</f>
        <v>91011.368722931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</f>
        <v>70186.8467552101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</f>
        <v>45734.3561421764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</f>
        <v>39478.4554286416</v>
      </c>
      <c r="Q18" s="39">
        <v>4</v>
      </c>
      <c r="R18" s="40" t="s">
        <v>119</v>
      </c>
      <c r="S18" s="40" t="s">
        <v>116</v>
      </c>
      <c r="T18" s="40" t="s">
        <v>102</v>
      </c>
      <c r="U18" s="40" t="s">
        <v>79</v>
      </c>
      <c r="V18" s="40" t="s">
        <v>88</v>
      </c>
      <c r="W18" s="40" t="s">
        <v>96</v>
      </c>
      <c r="X18" s="40" t="s">
        <v>104</v>
      </c>
      <c r="Y18" s="40" t="s">
        <v>78</v>
      </c>
      <c r="Z18" s="40" t="s">
        <v>78</v>
      </c>
      <c r="AA18" s="40" t="s">
        <v>78</v>
      </c>
      <c r="AB18" s="40" t="s">
        <v>133</v>
      </c>
      <c r="AC18" s="40" t="s">
        <v>78</v>
      </c>
      <c r="AD18" s="40" t="s">
        <v>78</v>
      </c>
      <c r="AE18" s="40" t="s">
        <v>78</v>
      </c>
      <c r="AF18" s="40" t="s">
        <v>78</v>
      </c>
      <c r="AG18" s="40" t="s">
        <v>85</v>
      </c>
      <c r="AH18" s="40" t="s">
        <v>78</v>
      </c>
      <c r="AI18" s="40" t="s">
        <v>78</v>
      </c>
      <c r="AJ18" s="40" t="s">
        <v>78</v>
      </c>
      <c r="AK18" s="40" t="s">
        <v>78</v>
      </c>
      <c r="AL18" s="40" t="s">
        <v>78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0.9641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3574.6</v>
      </c>
      <c r="AU18" cm="1">
        <f t="array" ref="AU18">$E$10*(1+$AS18)+VLOOKUP($R18,武学奇术!$A:$ZZ,4,FALSE)+SUM(_xlfn.XLOOKUP($S18:$AL18,增益!$A:$A,增益!$D:$D,0))-$I$2</f>
        <v>3574.6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0.2825</v>
      </c>
      <c r="AW18" s="32" cm="1">
        <f t="array" ref="AW18">$G$10+VLOOKUP($R18,武学奇术!$A:$ZZ,7,FALSE)+SUM(_xlfn.XLOOKUP($S18:$AL18,增益!$A:$A,增益!$G:$G,0))</f>
        <v>0.148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2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2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2" cm="1">
        <f t="array" ref="BJ18">$G$13+VLOOKUP($R18,武学奇术!$A:$ZZ,14,FALSE)+SUM(_xlfn.XLOOKUP($S18:$AL18,增益!$A:$A,增益!$N:$N,0))</f>
        <v>0</v>
      </c>
      <c r="BK18">
        <f t="shared" si="7"/>
        <v>571.2</v>
      </c>
      <c r="BL18">
        <f t="shared" si="8"/>
        <v>1627.8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2" cm="1">
        <f t="array" ref="BN18">$G$14+VLOOKUP($R18,武学奇术!$A:$ZZ,16,FALSE)+SUM(_xlfn.XLOOKUP($S18:$AL18,增益!$A:$A,增益!$P:$P,0))</f>
        <v>0.27</v>
      </c>
      <c r="BO18" s="26">
        <f>MIN(IF(VLOOKUP($R18,武学奇术!$A:$ZZ,23,FALSE)=1,100%,$B$8),100%)</f>
        <v>0.981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0.846</v>
      </c>
      <c r="BQ18" s="26" cm="1">
        <f t="array" ref="BQ18">1+$B$13+VLOOKUP($R18,武学奇术!$A:$ZZ,18,FALSE)+SUM(_xlfn.XLOOKUP($S18:$AL18,增益!$A:$A,增益!$R:$R,0))</f>
        <v>1.99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0.0929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0.829926</v>
      </c>
      <c r="BU18" s="26">
        <f t="shared" si="10"/>
        <v>0.0599391</v>
      </c>
      <c r="BV18" s="26">
        <f>IF(VLOOKUP($R18,武学奇术!$A:$ZZ,22,FALSE)=1,0,(1-$BO18))*(1-$BR18)</f>
        <v>0.0172349</v>
      </c>
      <c r="BW18" s="26" cm="1">
        <f t="array" ref="BW18">SUM(_xlfn.XLOOKUP($S18:$AL18,增益!$A:$A,增益!$W:$W,0))+$I$5</f>
        <v>0.11</v>
      </c>
      <c r="BX18" s="26" cm="1">
        <f t="array" ref="BX18">SUM(_xlfn.XLOOKUP($S18:$AL18,增益!$A:$A,增益!$X:$X,0))</f>
        <v>0</v>
      </c>
    </row>
    <row r="19" spans="1:76">
      <c r="A19" s="42" t="s">
        <v>145</v>
      </c>
      <c r="B19" s="70">
        <f>期望!B19</f>
        <v>0</v>
      </c>
      <c r="C19" s="39" t="s">
        <v>146</v>
      </c>
      <c r="D19" s="79" t="s">
        <v>152</v>
      </c>
      <c r="K19">
        <f>$L19*VLOOKUP($R19,武学奇术!$A:$ZZ,31,FALSE)</f>
        <v>92285.6694626822</v>
      </c>
      <c r="L19" s="38">
        <f t="shared" si="0"/>
        <v>87891.1137739831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</f>
        <v>87891.1137739831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</f>
        <v>66731.35655985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</f>
        <v>44166.3888311473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</f>
        <v>38902.1431735168</v>
      </c>
      <c r="Q19" s="39">
        <v>1</v>
      </c>
      <c r="R19" s="40" t="s">
        <v>132</v>
      </c>
      <c r="S19" s="40" t="s">
        <v>116</v>
      </c>
      <c r="T19" s="40" t="s">
        <v>102</v>
      </c>
      <c r="U19" s="40" t="s">
        <v>79</v>
      </c>
      <c r="V19" s="40" t="s">
        <v>88</v>
      </c>
      <c r="W19" s="40" t="s">
        <v>96</v>
      </c>
      <c r="X19" s="40" t="s">
        <v>106</v>
      </c>
      <c r="Y19" s="40" t="s">
        <v>78</v>
      </c>
      <c r="Z19" s="40" t="s">
        <v>78</v>
      </c>
      <c r="AA19" s="40" t="s">
        <v>78</v>
      </c>
      <c r="AB19" s="40" t="s">
        <v>133</v>
      </c>
      <c r="AC19" s="40" t="s">
        <v>78</v>
      </c>
      <c r="AD19" s="40" t="s">
        <v>78</v>
      </c>
      <c r="AE19" s="40" t="s">
        <v>78</v>
      </c>
      <c r="AF19" s="40" t="s">
        <v>78</v>
      </c>
      <c r="AG19" s="40" t="s">
        <v>85</v>
      </c>
      <c r="AH19" s="40" t="s">
        <v>78</v>
      </c>
      <c r="AI19" s="40" t="s">
        <v>78</v>
      </c>
      <c r="AJ19" s="40" t="s">
        <v>78</v>
      </c>
      <c r="AK19" s="40" t="s">
        <v>78</v>
      </c>
      <c r="AL19" s="40" t="s">
        <v>78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750</v>
      </c>
      <c r="AP19" s="26">
        <f>VLOOKUP($R19,武学奇术!$A:$ZZ,28,FALSE)</f>
        <v>2.7126</v>
      </c>
      <c r="AQ19" s="27">
        <f>VLOOKUP($R19,武学奇术!$A:$ZZ,29,FALSE)*(1+IF(OR($AM19=$F$4,$AM19=$F$5),$B$22,0))</f>
        <v>408</v>
      </c>
      <c r="AR19" s="26" cm="1">
        <f t="array" ref="AR19">$G$3+IFERROR(VLOOKUP($AM19,$F$4:$G$7,2,FALSE),0)+VLOOKUP($R19,武学奇术!$A:$ZZ,2,FALSE)+SUM(_xlfn.XLOOKUP($S19:$AL19,增益!$A:$A,增益!$B:$B,0))</f>
        <v>0.9741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3574.6</v>
      </c>
      <c r="AU19" cm="1">
        <f t="array" ref="AU19">$E$10*(1+$AS19)+VLOOKUP($R19,武学奇术!$A:$ZZ,4,FALSE)+SUM(_xlfn.XLOOKUP($S19:$AL19,增益!$A:$A,增益!$D:$D,0))-$I$2</f>
        <v>3574.6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0.2925</v>
      </c>
      <c r="AW19" s="32" cm="1">
        <f t="array" ref="AW19">$G$10+VLOOKUP($R19,武学奇术!$A:$ZZ,7,FALSE)+SUM(_xlfn.XLOOKUP($S19:$AL19,增益!$A:$A,增益!$G:$G,0))</f>
        <v>0.148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2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2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2" cm="1">
        <f t="array" ref="BJ19">$G$13+VLOOKUP($R19,武学奇术!$A:$ZZ,14,FALSE)+SUM(_xlfn.XLOOKUP($S19:$AL19,增益!$A:$A,增益!$N:$N,0))</f>
        <v>0</v>
      </c>
      <c r="BK19">
        <f t="shared" si="7"/>
        <v>571.2</v>
      </c>
      <c r="BL19">
        <f t="shared" si="8"/>
        <v>1627.8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2" cm="1">
        <f t="array" ref="BN19">$G$14+VLOOKUP($R19,武学奇术!$A:$ZZ,16,FALSE)+SUM(_xlfn.XLOOKUP($S19:$AL19,增益!$A:$A,增益!$P:$P,0))</f>
        <v>0.27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1.99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 cm="1">
        <f t="array" ref="BX19">SUM(_xlfn.XLOOKUP($S19:$AL19,增益!$A:$A,增益!$X:$X,0))</f>
        <v>0</v>
      </c>
    </row>
    <row r="20" spans="1:76">
      <c r="A20" s="42" t="s">
        <v>147</v>
      </c>
      <c r="B20" s="70">
        <f>期望!B20</f>
        <v>0</v>
      </c>
      <c r="C20" s="39" t="s">
        <v>148</v>
      </c>
      <c r="D20" s="79" t="s">
        <v>152</v>
      </c>
      <c r="K20">
        <f>$L20*VLOOKUP($R20,武学奇术!$A:$ZZ,31,FALSE)</f>
        <v>53184.6646237897</v>
      </c>
      <c r="L20" s="38">
        <f t="shared" si="0"/>
        <v>50652.0615464664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</f>
        <v>50652.0615464664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</f>
        <v>39036.1755126648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</f>
        <v>25453.2972595308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</f>
        <v>21990.9089541248</v>
      </c>
      <c r="Q20" s="39">
        <v>2</v>
      </c>
      <c r="R20" s="40" t="s">
        <v>139</v>
      </c>
      <c r="S20" s="40" t="s">
        <v>116</v>
      </c>
      <c r="T20" s="40" t="s">
        <v>102</v>
      </c>
      <c r="U20" s="40" t="s">
        <v>79</v>
      </c>
      <c r="V20" s="40" t="s">
        <v>88</v>
      </c>
      <c r="W20" s="40" t="s">
        <v>96</v>
      </c>
      <c r="X20" s="40" t="s">
        <v>106</v>
      </c>
      <c r="Y20" s="40" t="s">
        <v>78</v>
      </c>
      <c r="Z20" s="40" t="s">
        <v>78</v>
      </c>
      <c r="AA20" s="40" t="s">
        <v>78</v>
      </c>
      <c r="AB20" s="40" t="s">
        <v>133</v>
      </c>
      <c r="AC20" s="40" t="s">
        <v>78</v>
      </c>
      <c r="AD20" s="40" t="s">
        <v>78</v>
      </c>
      <c r="AE20" s="40" t="s">
        <v>78</v>
      </c>
      <c r="AF20" s="40" t="s">
        <v>78</v>
      </c>
      <c r="AG20" s="40" t="s">
        <v>85</v>
      </c>
      <c r="AH20" s="40" t="s">
        <v>78</v>
      </c>
      <c r="AI20" s="40" t="s">
        <v>78</v>
      </c>
      <c r="AJ20" s="40" t="s">
        <v>78</v>
      </c>
      <c r="AK20" s="40" t="s">
        <v>78</v>
      </c>
      <c r="AL20" s="40" t="s">
        <v>78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1.1741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3574.6</v>
      </c>
      <c r="AU20" cm="1">
        <f t="array" ref="AU20">$E$10*(1+$AS20)+VLOOKUP($R20,武学奇术!$A:$ZZ,4,FALSE)+SUM(_xlfn.XLOOKUP($S20:$AL20,增益!$A:$A,增益!$D:$D,0))-$I$2</f>
        <v>3574.6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0.2925</v>
      </c>
      <c r="AW20" s="32" cm="1">
        <f t="array" ref="AW20">$G$10+VLOOKUP($R20,武学奇术!$A:$ZZ,7,FALSE)+SUM(_xlfn.XLOOKUP($S20:$AL20,增益!$A:$A,增益!$G:$G,0))</f>
        <v>0.148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2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2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2" cm="1">
        <f t="array" ref="BJ20">$G$13+VLOOKUP($R20,武学奇术!$A:$ZZ,14,FALSE)+SUM(_xlfn.XLOOKUP($S20:$AL20,增益!$A:$A,增益!$N:$N,0))</f>
        <v>0</v>
      </c>
      <c r="BK20">
        <f t="shared" si="7"/>
        <v>571.2</v>
      </c>
      <c r="BL20">
        <f t="shared" si="8"/>
        <v>1627.8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2" cm="1">
        <f t="array" ref="BN20">$G$14+VLOOKUP($R20,武学奇术!$A:$ZZ,16,FALSE)+SUM(_xlfn.XLOOKUP($S20:$AL20,增益!$A:$A,增益!$P:$P,0))</f>
        <v>0.27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1.99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 cm="1">
        <f t="array" ref="BX20">SUM(_xlfn.XLOOKUP($S20:$AL20,增益!$A:$A,增益!$X:$X,0))</f>
        <v>0</v>
      </c>
    </row>
    <row r="21" ht="14.25" spans="1:76">
      <c r="A21" s="85" t="s">
        <v>150</v>
      </c>
      <c r="B21" s="86">
        <f>期望!B21</f>
        <v>0.32</v>
      </c>
      <c r="C21" s="39" t="s">
        <v>151</v>
      </c>
      <c r="D21" s="79" t="s">
        <v>152</v>
      </c>
      <c r="E21" s="39" t="s">
        <v>153</v>
      </c>
      <c r="F21" s="39"/>
      <c r="K21">
        <f>$L21*VLOOKUP($R21,武学奇术!$A:$ZZ,31,FALSE)</f>
        <v>78157.2057763031</v>
      </c>
      <c r="L21" s="38">
        <f t="shared" si="0"/>
        <v>74435.4340726696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</f>
        <v>79383.6081508924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</f>
        <v>59970.6700130844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</f>
        <v>39691.8040754462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</f>
        <v>34960.8896226818</v>
      </c>
      <c r="Q21" s="39">
        <v>1</v>
      </c>
      <c r="R21" s="40" t="s">
        <v>115</v>
      </c>
      <c r="S21" s="40" t="s">
        <v>116</v>
      </c>
      <c r="T21" s="40" t="s">
        <v>102</v>
      </c>
      <c r="U21" s="40" t="s">
        <v>79</v>
      </c>
      <c r="V21" s="40" t="s">
        <v>88</v>
      </c>
      <c r="W21" s="40" t="s">
        <v>103</v>
      </c>
      <c r="X21" s="40" t="s">
        <v>106</v>
      </c>
      <c r="Y21" s="40" t="s">
        <v>78</v>
      </c>
      <c r="Z21" s="40" t="s">
        <v>78</v>
      </c>
      <c r="AA21" s="40" t="s">
        <v>78</v>
      </c>
      <c r="AB21" s="40" t="s">
        <v>133</v>
      </c>
      <c r="AC21" s="40" t="s">
        <v>78</v>
      </c>
      <c r="AD21" s="40" t="s">
        <v>78</v>
      </c>
      <c r="AE21" s="40" t="s">
        <v>78</v>
      </c>
      <c r="AF21" s="40" t="s">
        <v>78</v>
      </c>
      <c r="AG21" s="40" t="s">
        <v>85</v>
      </c>
      <c r="AH21" s="40" t="s">
        <v>78</v>
      </c>
      <c r="AI21" s="40" t="s">
        <v>78</v>
      </c>
      <c r="AJ21" s="40" t="s">
        <v>78</v>
      </c>
      <c r="AK21" s="40" t="s">
        <v>78</v>
      </c>
      <c r="AL21" s="40" t="s">
        <v>78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750</v>
      </c>
      <c r="AP21" s="26">
        <f>VLOOKUP($R21,武学奇术!$A:$ZZ,28,FALSE)</f>
        <v>2.7126</v>
      </c>
      <c r="AQ21" s="27">
        <f>VLOOKUP($R21,武学奇术!$A:$ZZ,29,FALSE)*(1+IF(OR($AM21=$F$4,$AM21=$F$5),$B$22,0))</f>
        <v>408</v>
      </c>
      <c r="AR21" s="26" cm="1">
        <f t="array" ref="AR21">$G$3+IFERROR(VLOOKUP($AM21,$F$4:$G$7,2,FALSE),0)+VLOOKUP($R21,武学奇术!$A:$ZZ,2,FALSE)+SUM(_xlfn.XLOOKUP($S21:$AL21,增益!$A:$A,增益!$B:$B,0))</f>
        <v>0.7741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3574.6</v>
      </c>
      <c r="AU21" cm="1">
        <f t="array" ref="AU21">$E$10*(1+$AS21)+VLOOKUP($R21,武学奇术!$A:$ZZ,4,FALSE)+SUM(_xlfn.XLOOKUP($S21:$AL21,增益!$A:$A,增益!$D:$D,0))-$I$2</f>
        <v>3574.6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0.2925</v>
      </c>
      <c r="AW21" s="32" cm="1">
        <f t="array" ref="AW21">$G$10+VLOOKUP($R21,武学奇术!$A:$ZZ,7,FALSE)+SUM(_xlfn.XLOOKUP($S21:$AL21,增益!$A:$A,增益!$G:$G,0))</f>
        <v>0.148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2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2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2" cm="1">
        <f t="array" ref="BJ21">$G$13+VLOOKUP($R21,武学奇术!$A:$ZZ,14,FALSE)+SUM(_xlfn.XLOOKUP($S21:$AL21,增益!$A:$A,增益!$N:$N,0))</f>
        <v>0</v>
      </c>
      <c r="BK21">
        <f t="shared" si="7"/>
        <v>571.2</v>
      </c>
      <c r="BL21">
        <f t="shared" si="8"/>
        <v>1627.8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2" cm="1">
        <f t="array" ref="BN21">$G$14+VLOOKUP($R21,武学奇术!$A:$ZZ,16,FALSE)+SUM(_xlfn.XLOOKUP($S21:$AL21,增益!$A:$A,增益!$P:$P,0))</f>
        <v>0.27</v>
      </c>
      <c r="BO21" s="26">
        <f>MIN(IF(VLOOKUP($R21,武学奇术!$A:$ZZ,23,FALSE)=1,100%,$B$8),100%)</f>
        <v>0.981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0.846</v>
      </c>
      <c r="BQ21" s="26" cm="1">
        <f t="array" ref="BQ21">1+$B$13+VLOOKUP($R21,武学奇术!$A:$ZZ,18,FALSE)+SUM(_xlfn.XLOOKUP($S21:$AL21,增益!$A:$A,增益!$R:$R,0))</f>
        <v>2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0.0929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0.829926</v>
      </c>
      <c r="BU21" s="26">
        <f t="shared" si="10"/>
        <v>0.0599391</v>
      </c>
      <c r="BV21" s="26">
        <f>IF(VLOOKUP($R21,武学奇术!$A:$ZZ,22,FALSE)=1,0,(1-$BO21))*(1-$BR21)</f>
        <v>0.0172349</v>
      </c>
      <c r="BW21" s="26" cm="1">
        <f t="array" ref="BW21">SUM(_xlfn.XLOOKUP($S21:$AL21,增益!$A:$A,增益!$W:$W,0))+$I$5</f>
        <v>0.11</v>
      </c>
      <c r="BX21" s="26" cm="1">
        <f t="array" ref="BX21">SUM(_xlfn.XLOOKUP($S21:$AL21,增益!$A:$A,增益!$X:$X,0))</f>
        <v>0</v>
      </c>
    </row>
    <row r="22" spans="1:76">
      <c r="A22" t="s">
        <v>154</v>
      </c>
      <c r="B22" s="28">
        <f>期望!B22</f>
        <v>0.5</v>
      </c>
      <c r="C22" s="39" t="s">
        <v>155</v>
      </c>
      <c r="D22" s="79" t="s">
        <v>152</v>
      </c>
      <c r="E22" s="40" t="str">
        <f>期望!E22</f>
        <v>大唐歌</v>
      </c>
      <c r="F22" s="40"/>
      <c r="K22">
        <f>$L22*VLOOKUP($R22,武学奇术!$A:$ZZ,31,FALSE)</f>
        <v>45553.6829283902</v>
      </c>
      <c r="L22" s="38">
        <f t="shared" si="0"/>
        <v>43384.4599318001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</f>
        <v>46223.5905616484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</f>
        <v>35445.1561931611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</f>
        <v>23111.7952808242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</f>
        <v>19967.9193074549</v>
      </c>
      <c r="Q22" s="39">
        <v>2</v>
      </c>
      <c r="R22" s="40" t="s">
        <v>119</v>
      </c>
      <c r="S22" s="40" t="s">
        <v>116</v>
      </c>
      <c r="T22" s="40" t="s">
        <v>102</v>
      </c>
      <c r="U22" s="40" t="s">
        <v>79</v>
      </c>
      <c r="V22" s="40" t="s">
        <v>88</v>
      </c>
      <c r="W22" s="40" t="s">
        <v>103</v>
      </c>
      <c r="X22" s="40" t="s">
        <v>106</v>
      </c>
      <c r="Y22" s="40" t="s">
        <v>78</v>
      </c>
      <c r="Z22" s="40" t="s">
        <v>78</v>
      </c>
      <c r="AA22" s="40" t="s">
        <v>78</v>
      </c>
      <c r="AB22" s="40" t="s">
        <v>133</v>
      </c>
      <c r="AC22" s="40" t="s">
        <v>78</v>
      </c>
      <c r="AD22" s="40" t="s">
        <v>78</v>
      </c>
      <c r="AE22" s="40" t="s">
        <v>78</v>
      </c>
      <c r="AF22" s="40" t="s">
        <v>78</v>
      </c>
      <c r="AG22" s="40" t="s">
        <v>85</v>
      </c>
      <c r="AH22" s="40" t="s">
        <v>78</v>
      </c>
      <c r="AI22" s="40" t="s">
        <v>78</v>
      </c>
      <c r="AJ22" s="40" t="s">
        <v>78</v>
      </c>
      <c r="AK22" s="40" t="s">
        <v>78</v>
      </c>
      <c r="AL22" s="40" t="s">
        <v>78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0.9741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3574.6</v>
      </c>
      <c r="AU22" cm="1">
        <f t="array" ref="AU22">$E$10*(1+$AS22)+VLOOKUP($R22,武学奇术!$A:$ZZ,4,FALSE)+SUM(_xlfn.XLOOKUP($S22:$AL22,增益!$A:$A,增益!$D:$D,0))-$I$2</f>
        <v>3574.6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0.2925</v>
      </c>
      <c r="AW22" s="32" cm="1">
        <f t="array" ref="AW22">$G$10+VLOOKUP($R22,武学奇术!$A:$ZZ,7,FALSE)+SUM(_xlfn.XLOOKUP($S22:$AL22,增益!$A:$A,增益!$G:$G,0))</f>
        <v>0.148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2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2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2" cm="1">
        <f t="array" ref="BJ22">$G$13+VLOOKUP($R22,武学奇术!$A:$ZZ,14,FALSE)+SUM(_xlfn.XLOOKUP($S22:$AL22,增益!$A:$A,增益!$N:$N,0))</f>
        <v>0</v>
      </c>
      <c r="BK22">
        <f t="shared" si="7"/>
        <v>571.2</v>
      </c>
      <c r="BL22">
        <f t="shared" si="8"/>
        <v>1627.8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2" cm="1">
        <f t="array" ref="BN22">$G$14+VLOOKUP($R22,武学奇术!$A:$ZZ,16,FALSE)+SUM(_xlfn.XLOOKUP($S22:$AL22,增益!$A:$A,增益!$P:$P,0))</f>
        <v>0.27</v>
      </c>
      <c r="BO22" s="26">
        <f>MIN(IF(VLOOKUP($R22,武学奇术!$A:$ZZ,23,FALSE)=1,100%,$B$8),100%)</f>
        <v>0.981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0.846</v>
      </c>
      <c r="BQ22" s="26" cm="1">
        <f t="array" ref="BQ22">1+$B$13+VLOOKUP($R22,武学奇术!$A:$ZZ,18,FALSE)+SUM(_xlfn.XLOOKUP($S22:$AL22,增益!$A:$A,增益!$R:$R,0))</f>
        <v>2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0.0929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0.829926</v>
      </c>
      <c r="BU22" s="26">
        <f t="shared" si="10"/>
        <v>0.0599391</v>
      </c>
      <c r="BV22" s="26">
        <f>IF(VLOOKUP($R22,武学奇术!$A:$ZZ,22,FALSE)=1,0,(1-$BO22))*(1-$BR22)</f>
        <v>0.0172349</v>
      </c>
      <c r="BW22" s="26" cm="1">
        <f t="array" ref="BW22">SUM(_xlfn.XLOOKUP($S22:$AL22,增益!$A:$A,增益!$W:$W,0))+$I$5</f>
        <v>0.11</v>
      </c>
      <c r="BX22" s="26" cm="1">
        <f t="array" ref="BX22">SUM(_xlfn.XLOOKUP($S22:$AL22,增益!$A:$A,增益!$X:$X,0))</f>
        <v>0</v>
      </c>
    </row>
    <row r="23" spans="1:76">
      <c r="A23" s="39" t="s">
        <v>157</v>
      </c>
      <c r="B23" s="87">
        <f>期望!B23</f>
        <v>200</v>
      </c>
      <c r="E23" s="39" t="s">
        <v>158</v>
      </c>
      <c r="F23" s="39"/>
      <c r="K23">
        <f>$L23*VLOOKUP($R23,武学奇术!$A:$ZZ,31,FALSE)</f>
        <v>78157.2057763031</v>
      </c>
      <c r="L23" s="38">
        <f t="shared" si="0"/>
        <v>74435.4340726696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</f>
        <v>79383.6081508924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</f>
        <v>59970.6700130844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</f>
        <v>39691.8040754462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</f>
        <v>34960.8896226818</v>
      </c>
      <c r="Q23" s="39">
        <v>1</v>
      </c>
      <c r="R23" s="40" t="s">
        <v>115</v>
      </c>
      <c r="S23" s="40" t="s">
        <v>116</v>
      </c>
      <c r="T23" s="40" t="s">
        <v>102</v>
      </c>
      <c r="U23" s="40" t="s">
        <v>79</v>
      </c>
      <c r="V23" s="40" t="s">
        <v>88</v>
      </c>
      <c r="W23" s="40" t="s">
        <v>103</v>
      </c>
      <c r="X23" s="40" t="s">
        <v>106</v>
      </c>
      <c r="Y23" s="40" t="s">
        <v>78</v>
      </c>
      <c r="Z23" s="40" t="s">
        <v>78</v>
      </c>
      <c r="AA23" s="40" t="s">
        <v>78</v>
      </c>
      <c r="AB23" s="40" t="s">
        <v>133</v>
      </c>
      <c r="AC23" s="40" t="s">
        <v>78</v>
      </c>
      <c r="AD23" s="40" t="s">
        <v>78</v>
      </c>
      <c r="AE23" s="40" t="s">
        <v>78</v>
      </c>
      <c r="AF23" s="40" t="s">
        <v>78</v>
      </c>
      <c r="AG23" s="40" t="s">
        <v>85</v>
      </c>
      <c r="AH23" s="40" t="s">
        <v>78</v>
      </c>
      <c r="AI23" s="40" t="s">
        <v>78</v>
      </c>
      <c r="AJ23" s="40" t="s">
        <v>78</v>
      </c>
      <c r="AK23" s="40" t="s">
        <v>78</v>
      </c>
      <c r="AL23" s="40" t="s">
        <v>78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750</v>
      </c>
      <c r="AP23" s="26">
        <f>VLOOKUP($R23,武学奇术!$A:$ZZ,28,FALSE)</f>
        <v>2.7126</v>
      </c>
      <c r="AQ23" s="27">
        <f>VLOOKUP($R23,武学奇术!$A:$ZZ,29,FALSE)*(1+IF(OR($AM23=$F$4,$AM23=$F$5),$B$22,0))</f>
        <v>408</v>
      </c>
      <c r="AR23" s="26" cm="1">
        <f t="array" ref="AR23">$G$3+IFERROR(VLOOKUP($AM23,$F$4:$G$7,2,FALSE),0)+VLOOKUP($R23,武学奇术!$A:$ZZ,2,FALSE)+SUM(_xlfn.XLOOKUP($S23:$AL23,增益!$A:$A,增益!$B:$B,0))</f>
        <v>0.7741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3574.6</v>
      </c>
      <c r="AU23" cm="1">
        <f t="array" ref="AU23">$E$10*(1+$AS23)+VLOOKUP($R23,武学奇术!$A:$ZZ,4,FALSE)+SUM(_xlfn.XLOOKUP($S23:$AL23,增益!$A:$A,增益!$D:$D,0))-$I$2</f>
        <v>3574.6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0.2925</v>
      </c>
      <c r="AW23" s="32" cm="1">
        <f t="array" ref="AW23">$G$10+VLOOKUP($R23,武学奇术!$A:$ZZ,7,FALSE)+SUM(_xlfn.XLOOKUP($S23:$AL23,增益!$A:$A,增益!$G:$G,0))</f>
        <v>0.148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571.2</v>
      </c>
      <c r="BL23">
        <f t="shared" si="8"/>
        <v>1627.8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2" cm="1">
        <f t="array" ref="BN23">$G$14+VLOOKUP($R23,武学奇术!$A:$ZZ,16,FALSE)+SUM(_xlfn.XLOOKUP($S23:$AL23,增益!$A:$A,增益!$P:$P,0))</f>
        <v>0.27</v>
      </c>
      <c r="BO23" s="26">
        <f>MIN(IF(VLOOKUP($R23,武学奇术!$A:$ZZ,23,FALSE)=1,100%,$B$8),100%)</f>
        <v>0.981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0.846</v>
      </c>
      <c r="BQ23" s="26" cm="1">
        <f t="array" ref="BQ23">1+$B$13+VLOOKUP($R23,武学奇术!$A:$ZZ,18,FALSE)+SUM(_xlfn.XLOOKUP($S23:$AL23,增益!$A:$A,增益!$R:$R,0))</f>
        <v>2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0.0929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0.829926</v>
      </c>
      <c r="BU23" s="26">
        <f t="shared" si="10"/>
        <v>0.0599391</v>
      </c>
      <c r="BV23" s="26">
        <f>IF(VLOOKUP($R23,武学奇术!$A:$ZZ,22,FALSE)=1,0,(1-$BO23))*(1-$BR23)</f>
        <v>0.0172349</v>
      </c>
      <c r="BW23" s="26" cm="1">
        <f t="array" ref="BW23">SUM(_xlfn.XLOOKUP($S23:$AL23,增益!$A:$A,增益!$W:$W,0))+$I$5</f>
        <v>0.11</v>
      </c>
      <c r="BX23" s="26" cm="1">
        <f t="array" ref="BX23">SUM(_xlfn.XLOOKUP($S23:$AL23,增益!$A:$A,增益!$X:$X,0))</f>
        <v>0</v>
      </c>
    </row>
    <row r="24" spans="1:76">
      <c r="A24" s="39"/>
      <c r="B24" s="87">
        <f>期望!B24</f>
        <v>400</v>
      </c>
      <c r="E24" s="40" t="str">
        <f>期望!E24</f>
        <v>易水歌</v>
      </c>
      <c r="F24" s="40"/>
      <c r="K24">
        <f>$L24*VLOOKUP($R24,武学奇术!$A:$ZZ,31,FALSE)</f>
        <v>45553.6829283902</v>
      </c>
      <c r="L24" s="38">
        <f t="shared" si="0"/>
        <v>43384.4599318001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</f>
        <v>46223.5905616484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</f>
        <v>35445.1561931611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</f>
        <v>23111.7952808242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</f>
        <v>19967.9193074549</v>
      </c>
      <c r="Q24" s="39">
        <v>2</v>
      </c>
      <c r="R24" s="40" t="s">
        <v>119</v>
      </c>
      <c r="S24" s="40" t="s">
        <v>116</v>
      </c>
      <c r="T24" s="40" t="s">
        <v>102</v>
      </c>
      <c r="U24" s="40" t="s">
        <v>79</v>
      </c>
      <c r="V24" s="40" t="s">
        <v>88</v>
      </c>
      <c r="W24" s="40" t="s">
        <v>103</v>
      </c>
      <c r="X24" s="40" t="s">
        <v>106</v>
      </c>
      <c r="Y24" s="40" t="s">
        <v>78</v>
      </c>
      <c r="Z24" s="40" t="s">
        <v>78</v>
      </c>
      <c r="AA24" s="40" t="s">
        <v>78</v>
      </c>
      <c r="AB24" s="40" t="s">
        <v>133</v>
      </c>
      <c r="AC24" s="40" t="s">
        <v>78</v>
      </c>
      <c r="AD24" s="40" t="s">
        <v>78</v>
      </c>
      <c r="AE24" s="40" t="s">
        <v>78</v>
      </c>
      <c r="AF24" s="40" t="s">
        <v>78</v>
      </c>
      <c r="AG24" s="40" t="s">
        <v>85</v>
      </c>
      <c r="AH24" s="40" t="s">
        <v>78</v>
      </c>
      <c r="AI24" s="40" t="s">
        <v>78</v>
      </c>
      <c r="AJ24" s="40" t="s">
        <v>78</v>
      </c>
      <c r="AK24" s="40" t="s">
        <v>78</v>
      </c>
      <c r="AL24" s="40" t="s">
        <v>78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0.9741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3574.6</v>
      </c>
      <c r="AU24" cm="1">
        <f t="array" ref="AU24">$E$10*(1+$AS24)+VLOOKUP($R24,武学奇术!$A:$ZZ,4,FALSE)+SUM(_xlfn.XLOOKUP($S24:$AL24,增益!$A:$A,增益!$D:$D,0))-$I$2</f>
        <v>3574.6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0.2925</v>
      </c>
      <c r="AW24" s="32" cm="1">
        <f t="array" ref="AW24">$G$10+VLOOKUP($R24,武学奇术!$A:$ZZ,7,FALSE)+SUM(_xlfn.XLOOKUP($S24:$AL24,增益!$A:$A,增益!$G:$G,0))</f>
        <v>0.148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2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2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2" cm="1">
        <f t="array" ref="BJ24">$G$13+VLOOKUP($R24,武学奇术!$A:$ZZ,14,FALSE)+SUM(_xlfn.XLOOKUP($S24:$AL24,增益!$A:$A,增益!$N:$N,0))</f>
        <v>0</v>
      </c>
      <c r="BK24">
        <f t="shared" si="7"/>
        <v>571.2</v>
      </c>
      <c r="BL24">
        <f t="shared" si="8"/>
        <v>1627.8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2" cm="1">
        <f t="array" ref="BN24">$G$14+VLOOKUP($R24,武学奇术!$A:$ZZ,16,FALSE)+SUM(_xlfn.XLOOKUP($S24:$AL24,增益!$A:$A,增益!$P:$P,0))</f>
        <v>0.27</v>
      </c>
      <c r="BO24" s="26">
        <f>MIN(IF(VLOOKUP($R24,武学奇术!$A:$ZZ,23,FALSE)=1,100%,$B$8),100%)</f>
        <v>0.981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0.846</v>
      </c>
      <c r="BQ24" s="26" cm="1">
        <f t="array" ref="BQ24">1+$B$13+VLOOKUP($R24,武学奇术!$A:$ZZ,18,FALSE)+SUM(_xlfn.XLOOKUP($S24:$AL24,增益!$A:$A,增益!$R:$R,0))</f>
        <v>2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0.0929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0.829926</v>
      </c>
      <c r="BU24" s="26">
        <f t="shared" si="10"/>
        <v>0.0599391</v>
      </c>
      <c r="BV24" s="26">
        <f>IF(VLOOKUP($R24,武学奇术!$A:$ZZ,22,FALSE)=1,0,(1-$BO24))*(1-$BR24)</f>
        <v>0.0172349</v>
      </c>
      <c r="BW24" s="26" cm="1">
        <f t="array" ref="BW24">SUM(_xlfn.XLOOKUP($S24:$AL24,增益!$A:$A,增益!$W:$W,0))+$I$5</f>
        <v>0.11</v>
      </c>
      <c r="BX24" s="26" cm="1">
        <f t="array" ref="BX24">SUM(_xlfn.XLOOKUP($S24:$AL24,增益!$A:$A,增益!$X:$X,0))</f>
        <v>0</v>
      </c>
    </row>
    <row r="25" spans="1:76">
      <c r="K25">
        <f>$L25*VLOOKUP($R25,武学奇术!$A:$ZZ,31,FALSE)</f>
        <v>92749.4165454093</v>
      </c>
      <c r="L25" s="38">
        <f t="shared" si="0"/>
        <v>88332.7776622946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</f>
        <v>88332.7776622946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</f>
        <v>66731.35655985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</f>
        <v>44166.3888311473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</f>
        <v>38902.1431735168</v>
      </c>
      <c r="Q25" s="39">
        <v>1</v>
      </c>
      <c r="R25" s="40" t="s">
        <v>132</v>
      </c>
      <c r="S25" s="40" t="s">
        <v>116</v>
      </c>
      <c r="T25" s="40" t="s">
        <v>102</v>
      </c>
      <c r="U25" s="40" t="s">
        <v>79</v>
      </c>
      <c r="V25" s="40" t="s">
        <v>88</v>
      </c>
      <c r="W25" s="40" t="s">
        <v>103</v>
      </c>
      <c r="X25" s="40" t="s">
        <v>106</v>
      </c>
      <c r="Y25" s="40" t="s">
        <v>78</v>
      </c>
      <c r="Z25" s="40" t="s">
        <v>78</v>
      </c>
      <c r="AA25" s="40" t="s">
        <v>78</v>
      </c>
      <c r="AB25" s="40" t="s">
        <v>133</v>
      </c>
      <c r="AC25" s="40" t="s">
        <v>78</v>
      </c>
      <c r="AD25" s="40" t="s">
        <v>78</v>
      </c>
      <c r="AE25" s="40" t="s">
        <v>78</v>
      </c>
      <c r="AF25" s="40" t="s">
        <v>78</v>
      </c>
      <c r="AG25" s="40" t="s">
        <v>85</v>
      </c>
      <c r="AH25" s="40" t="s">
        <v>78</v>
      </c>
      <c r="AI25" s="40" t="s">
        <v>78</v>
      </c>
      <c r="AJ25" s="40" t="s">
        <v>78</v>
      </c>
      <c r="AK25" s="40" t="s">
        <v>78</v>
      </c>
      <c r="AL25" s="40" t="s">
        <v>78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750</v>
      </c>
      <c r="AP25" s="26">
        <f>VLOOKUP($R25,武学奇术!$A:$ZZ,28,FALSE)</f>
        <v>2.7126</v>
      </c>
      <c r="AQ25" s="27">
        <f>VLOOKUP($R25,武学奇术!$A:$ZZ,29,FALSE)*(1+IF(OR($AM25=$F$4,$AM25=$F$5),$B$22,0))</f>
        <v>408</v>
      </c>
      <c r="AR25" s="26" cm="1">
        <f t="array" ref="AR25">$G$3+IFERROR(VLOOKUP($AM25,$F$4:$G$7,2,FALSE),0)+VLOOKUP($R25,武学奇术!$A:$ZZ,2,FALSE)+SUM(_xlfn.XLOOKUP($S25:$AL25,增益!$A:$A,增益!$B:$B,0))</f>
        <v>0.9741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3574.6</v>
      </c>
      <c r="AU25" cm="1">
        <f t="array" ref="AU25">$E$10*(1+$AS25)+VLOOKUP($R25,武学奇术!$A:$ZZ,4,FALSE)+SUM(_xlfn.XLOOKUP($S25:$AL25,增益!$A:$A,增益!$D:$D,0))-$I$2</f>
        <v>3574.6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0.2925</v>
      </c>
      <c r="AW25" s="32" cm="1">
        <f t="array" ref="AW25">$G$10+VLOOKUP($R25,武学奇术!$A:$ZZ,7,FALSE)+SUM(_xlfn.XLOOKUP($S25:$AL25,增益!$A:$A,增益!$G:$G,0))</f>
        <v>0.148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2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2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2" cm="1">
        <f t="array" ref="BJ25">$G$13+VLOOKUP($R25,武学奇术!$A:$ZZ,14,FALSE)+SUM(_xlfn.XLOOKUP($S25:$AL25,增益!$A:$A,增益!$N:$N,0))</f>
        <v>0</v>
      </c>
      <c r="BK25">
        <f t="shared" si="7"/>
        <v>571.2</v>
      </c>
      <c r="BL25">
        <f t="shared" si="8"/>
        <v>1627.8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2" cm="1">
        <f t="array" ref="BN25">$G$14+VLOOKUP($R25,武学奇术!$A:$ZZ,16,FALSE)+SUM(_xlfn.XLOOKUP($S25:$AL25,增益!$A:$A,增益!$P:$P,0))</f>
        <v>0.27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2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 cm="1">
        <f t="array" ref="BX25">SUM(_xlfn.XLOOKUP($S25:$AL25,增益!$A:$A,增益!$X:$X,0))</f>
        <v>0</v>
      </c>
    </row>
    <row r="26" spans="1:76">
      <c r="K26">
        <f>$L26*VLOOKUP($R26,武学奇术!$A:$ZZ,31,FALSE)</f>
        <v>53451.9242450148</v>
      </c>
      <c r="L26" s="38">
        <f t="shared" si="0"/>
        <v>50906.5945190617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</f>
        <v>50906.5945190617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</f>
        <v>39036.1755126648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</f>
        <v>25453.2972595308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</f>
        <v>21990.9089541248</v>
      </c>
      <c r="Q26" s="39">
        <v>2</v>
      </c>
      <c r="R26" s="40" t="s">
        <v>139</v>
      </c>
      <c r="S26" s="40" t="s">
        <v>116</v>
      </c>
      <c r="T26" s="40" t="s">
        <v>102</v>
      </c>
      <c r="U26" s="40" t="s">
        <v>79</v>
      </c>
      <c r="V26" s="40" t="s">
        <v>88</v>
      </c>
      <c r="W26" s="40" t="s">
        <v>103</v>
      </c>
      <c r="X26" s="40" t="s">
        <v>106</v>
      </c>
      <c r="Y26" s="40" t="s">
        <v>78</v>
      </c>
      <c r="Z26" s="40" t="s">
        <v>78</v>
      </c>
      <c r="AA26" s="40" t="s">
        <v>78</v>
      </c>
      <c r="AB26" s="40" t="s">
        <v>133</v>
      </c>
      <c r="AC26" s="40" t="s">
        <v>78</v>
      </c>
      <c r="AD26" s="40" t="s">
        <v>78</v>
      </c>
      <c r="AE26" s="40" t="s">
        <v>78</v>
      </c>
      <c r="AF26" s="40" t="s">
        <v>78</v>
      </c>
      <c r="AG26" s="40" t="s">
        <v>85</v>
      </c>
      <c r="AH26" s="40" t="s">
        <v>78</v>
      </c>
      <c r="AI26" s="40" t="s">
        <v>78</v>
      </c>
      <c r="AJ26" s="40" t="s">
        <v>78</v>
      </c>
      <c r="AK26" s="40" t="s">
        <v>78</v>
      </c>
      <c r="AL26" s="40" t="s">
        <v>78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1.1741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3574.6</v>
      </c>
      <c r="AU26" cm="1">
        <f t="array" ref="AU26">$E$10*(1+$AS26)+VLOOKUP($R26,武学奇术!$A:$ZZ,4,FALSE)+SUM(_xlfn.XLOOKUP($S26:$AL26,增益!$A:$A,增益!$D:$D,0))-$I$2</f>
        <v>3574.6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0.2925</v>
      </c>
      <c r="AW26" s="32" cm="1">
        <f t="array" ref="AW26">$G$10+VLOOKUP($R26,武学奇术!$A:$ZZ,7,FALSE)+SUM(_xlfn.XLOOKUP($S26:$AL26,增益!$A:$A,增益!$G:$G,0))</f>
        <v>0.148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2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2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2" cm="1">
        <f t="array" ref="BJ26">$G$13+VLOOKUP($R26,武学奇术!$A:$ZZ,14,FALSE)+SUM(_xlfn.XLOOKUP($S26:$AL26,增益!$A:$A,增益!$N:$N,0))</f>
        <v>0</v>
      </c>
      <c r="BK26">
        <f t="shared" si="7"/>
        <v>571.2</v>
      </c>
      <c r="BL26">
        <f t="shared" si="8"/>
        <v>1627.8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2" cm="1">
        <f t="array" ref="BN26">$G$14+VLOOKUP($R26,武学奇术!$A:$ZZ,16,FALSE)+SUM(_xlfn.XLOOKUP($S26:$AL26,增益!$A:$A,增益!$P:$P,0))</f>
        <v>0.27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2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 cm="1">
        <f t="array" ref="BX26">SUM(_xlfn.XLOOKUP($S26:$AL26,增益!$A:$A,增益!$X:$X,0))</f>
        <v>0</v>
      </c>
    </row>
    <row r="27" spans="1:76">
      <c r="K27">
        <f>$L27*VLOOKUP($R27,武学奇术!$A:$ZZ,31,FALSE)</f>
        <v>157006.178016578</v>
      </c>
      <c r="L27" s="38">
        <f t="shared" si="0"/>
        <v>149529.693349122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</f>
        <v>159561.052383294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</f>
        <v>119941.340026169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</f>
        <v>79383.6081508924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</f>
        <v>69921.7792453636</v>
      </c>
      <c r="Q27" s="39">
        <v>2</v>
      </c>
      <c r="R27" s="40" t="s">
        <v>115</v>
      </c>
      <c r="S27" s="40" t="s">
        <v>116</v>
      </c>
      <c r="T27" s="40" t="s">
        <v>102</v>
      </c>
      <c r="U27" s="40" t="s">
        <v>79</v>
      </c>
      <c r="V27" s="40" t="s">
        <v>88</v>
      </c>
      <c r="W27" s="40" t="s">
        <v>160</v>
      </c>
      <c r="X27" s="40" t="s">
        <v>106</v>
      </c>
      <c r="Y27" s="40" t="s">
        <v>78</v>
      </c>
      <c r="Z27" s="40" t="s">
        <v>78</v>
      </c>
      <c r="AA27" s="40" t="s">
        <v>78</v>
      </c>
      <c r="AB27" s="40" t="s">
        <v>133</v>
      </c>
      <c r="AC27" s="40" t="s">
        <v>78</v>
      </c>
      <c r="AD27" s="40" t="s">
        <v>78</v>
      </c>
      <c r="AE27" s="40" t="s">
        <v>78</v>
      </c>
      <c r="AF27" s="40" t="s">
        <v>78</v>
      </c>
      <c r="AG27" s="40" t="s">
        <v>85</v>
      </c>
      <c r="AH27" s="40" t="s">
        <v>78</v>
      </c>
      <c r="AI27" s="40" t="s">
        <v>78</v>
      </c>
      <c r="AJ27" s="40" t="s">
        <v>78</v>
      </c>
      <c r="AK27" s="40" t="s">
        <v>78</v>
      </c>
      <c r="AL27" s="40" t="s">
        <v>78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750</v>
      </c>
      <c r="AP27" s="26">
        <f>VLOOKUP($R27,武学奇术!$A:$ZZ,28,FALSE)</f>
        <v>2.7126</v>
      </c>
      <c r="AQ27" s="27">
        <f>VLOOKUP($R27,武学奇术!$A:$ZZ,29,FALSE)*(1+IF(OR($AM27=$F$4,$AM27=$F$5),$B$22,0))</f>
        <v>408</v>
      </c>
      <c r="AR27" s="26" cm="1">
        <f t="array" ref="AR27">$G$3+IFERROR(VLOOKUP($AM27,$F$4:$G$7,2,FALSE),0)+VLOOKUP($R27,武学奇术!$A:$ZZ,2,FALSE)+SUM(_xlfn.XLOOKUP($S27:$AL27,增益!$A:$A,增益!$B:$B,0))</f>
        <v>0.7741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3574.6</v>
      </c>
      <c r="AU27" cm="1">
        <f t="array" ref="AU27">$E$10*(1+$AS27)+VLOOKUP($R27,武学奇术!$A:$ZZ,4,FALSE)+SUM(_xlfn.XLOOKUP($S27:$AL27,增益!$A:$A,增益!$D:$D,0))-$I$2</f>
        <v>3574.6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0.2925</v>
      </c>
      <c r="AW27" s="32" cm="1">
        <f t="array" ref="AW27">$G$10+VLOOKUP($R27,武学奇术!$A:$ZZ,7,FALSE)+SUM(_xlfn.XLOOKUP($S27:$AL27,增益!$A:$A,增益!$G:$G,0))</f>
        <v>0.148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2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2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2" cm="1">
        <f t="array" ref="BJ27">$G$13+VLOOKUP($R27,武学奇术!$A:$ZZ,14,FALSE)+SUM(_xlfn.XLOOKUP($S27:$AL27,增益!$A:$A,增益!$N:$N,0))</f>
        <v>0</v>
      </c>
      <c r="BK27">
        <f t="shared" si="7"/>
        <v>571.2</v>
      </c>
      <c r="BL27">
        <f t="shared" si="8"/>
        <v>1627.8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2" cm="1">
        <f t="array" ref="BN27">$G$14+VLOOKUP($R27,武学奇术!$A:$ZZ,16,FALSE)+SUM(_xlfn.XLOOKUP($S27:$AL27,增益!$A:$A,增益!$P:$P,0))</f>
        <v>0.27</v>
      </c>
      <c r="BO27" s="26">
        <f>MIN(IF(VLOOKUP($R27,武学奇术!$A:$ZZ,23,FALSE)=1,100%,$B$8),100%)</f>
        <v>0.981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0.846</v>
      </c>
      <c r="BQ27" s="26" cm="1">
        <f t="array" ref="BQ27">1+$B$13+VLOOKUP($R27,武学奇术!$A:$ZZ,18,FALSE)+SUM(_xlfn.XLOOKUP($S27:$AL27,增益!$A:$A,增益!$R:$R,0))</f>
        <v>2.01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0.0929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0.829926</v>
      </c>
      <c r="BU27" s="26">
        <f t="shared" si="10"/>
        <v>0.0599391</v>
      </c>
      <c r="BV27" s="26">
        <f>IF(VLOOKUP($R27,武学奇术!$A:$ZZ,22,FALSE)=1,0,(1-$BO27))*(1-$BR27)</f>
        <v>0.0172349</v>
      </c>
      <c r="BW27" s="26" cm="1">
        <f t="array" ref="BW27">SUM(_xlfn.XLOOKUP($S27:$AL27,增益!$A:$A,增益!$W:$W,0))+$I$5</f>
        <v>0.11</v>
      </c>
      <c r="BX27" s="26" cm="1">
        <f t="array" ref="BX27">SUM(_xlfn.XLOOKUP($S27:$AL27,增益!$A:$A,增益!$X:$X,0))</f>
        <v>0</v>
      </c>
    </row>
    <row r="28" spans="1:76">
      <c r="A28" s="4"/>
      <c r="B28" s="88"/>
      <c r="K28">
        <f>$L28*VLOOKUP($R28,武学奇术!$A:$ZZ,31,FALSE)</f>
        <v>91510.1685327952</v>
      </c>
      <c r="L28" s="38">
        <f t="shared" si="0"/>
        <v>87152.541459805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</f>
        <v>92909.4170289132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</f>
        <v>70890.3123863222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</f>
        <v>46223.5905616484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</f>
        <v>39935.8386149099</v>
      </c>
      <c r="Q28" s="39">
        <v>4</v>
      </c>
      <c r="R28" s="40" t="s">
        <v>119</v>
      </c>
      <c r="S28" s="40" t="s">
        <v>116</v>
      </c>
      <c r="T28" s="40" t="s">
        <v>102</v>
      </c>
      <c r="U28" s="40" t="s">
        <v>79</v>
      </c>
      <c r="V28" s="40" t="s">
        <v>88</v>
      </c>
      <c r="W28" s="40" t="s">
        <v>160</v>
      </c>
      <c r="X28" s="40" t="s">
        <v>106</v>
      </c>
      <c r="Y28" s="40" t="s">
        <v>78</v>
      </c>
      <c r="Z28" s="40" t="s">
        <v>78</v>
      </c>
      <c r="AA28" s="40" t="s">
        <v>78</v>
      </c>
      <c r="AB28" s="40" t="s">
        <v>133</v>
      </c>
      <c r="AC28" s="40" t="s">
        <v>78</v>
      </c>
      <c r="AD28" s="40" t="s">
        <v>78</v>
      </c>
      <c r="AE28" s="40" t="s">
        <v>78</v>
      </c>
      <c r="AF28" s="40" t="s">
        <v>78</v>
      </c>
      <c r="AG28" s="40" t="s">
        <v>85</v>
      </c>
      <c r="AH28" s="40" t="s">
        <v>78</v>
      </c>
      <c r="AI28" s="40" t="s">
        <v>78</v>
      </c>
      <c r="AJ28" s="40" t="s">
        <v>78</v>
      </c>
      <c r="AK28" s="40" t="s">
        <v>78</v>
      </c>
      <c r="AL28" s="40" t="s">
        <v>78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0.9741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3574.6</v>
      </c>
      <c r="AU28" cm="1">
        <f t="array" ref="AU28">$E$10*(1+$AS28)+VLOOKUP($R28,武学奇术!$A:$ZZ,4,FALSE)+SUM(_xlfn.XLOOKUP($S28:$AL28,增益!$A:$A,增益!$D:$D,0))-$I$2</f>
        <v>3574.6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0.2925</v>
      </c>
      <c r="AW28" s="32" cm="1">
        <f t="array" ref="AW28">$G$10+VLOOKUP($R28,武学奇术!$A:$ZZ,7,FALSE)+SUM(_xlfn.XLOOKUP($S28:$AL28,增益!$A:$A,增益!$G:$G,0))</f>
        <v>0.148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2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2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2" cm="1">
        <f t="array" ref="BJ28">$G$13+VLOOKUP($R28,武学奇术!$A:$ZZ,14,FALSE)+SUM(_xlfn.XLOOKUP($S28:$AL28,增益!$A:$A,增益!$N:$N,0))</f>
        <v>0</v>
      </c>
      <c r="BK28">
        <f t="shared" si="7"/>
        <v>571.2</v>
      </c>
      <c r="BL28">
        <f t="shared" si="8"/>
        <v>1627.8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2" cm="1">
        <f t="array" ref="BN28">$G$14+VLOOKUP($R28,武学奇术!$A:$ZZ,16,FALSE)+SUM(_xlfn.XLOOKUP($S28:$AL28,增益!$A:$A,增益!$P:$P,0))</f>
        <v>0.27</v>
      </c>
      <c r="BO28" s="26">
        <f>MIN(IF(VLOOKUP($R28,武学奇术!$A:$ZZ,23,FALSE)=1,100%,$B$8),100%)</f>
        <v>0.981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0.846</v>
      </c>
      <c r="BQ28" s="26" cm="1">
        <f t="array" ref="BQ28">1+$B$13+VLOOKUP($R28,武学奇术!$A:$ZZ,18,FALSE)+SUM(_xlfn.XLOOKUP($S28:$AL28,增益!$A:$A,增益!$R:$R,0))</f>
        <v>2.01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0.0929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0.829926</v>
      </c>
      <c r="BU28" s="26">
        <f t="shared" si="10"/>
        <v>0.0599391</v>
      </c>
      <c r="BV28" s="26">
        <f>IF(VLOOKUP($R28,武学奇术!$A:$ZZ,22,FALSE)=1,0,(1-$BO28))*(1-$BR28)</f>
        <v>0.0172349</v>
      </c>
      <c r="BW28" s="26" cm="1">
        <f t="array" ref="BW28">SUM(_xlfn.XLOOKUP($S28:$AL28,增益!$A:$A,增益!$W:$W,0))+$I$5</f>
        <v>0.11</v>
      </c>
      <c r="BX28" s="26" cm="1">
        <f t="array" ref="BX28">SUM(_xlfn.XLOOKUP($S28:$AL28,增益!$A:$A,增益!$X:$X,0))</f>
        <v>0</v>
      </c>
    </row>
    <row r="29" spans="1:76">
      <c r="A29" s="4"/>
      <c r="B29" s="88"/>
      <c r="K29">
        <f>$L29*VLOOKUP($R29,武学奇术!$A:$ZZ,31,FALSE)</f>
        <v>93213.1636281363</v>
      </c>
      <c r="L29" s="38">
        <f t="shared" si="0"/>
        <v>88774.441550606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</f>
        <v>88774.441550606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</f>
        <v>66731.35655985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</f>
        <v>44166.3888311473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</f>
        <v>38902.1431735168</v>
      </c>
      <c r="Q29" s="39">
        <v>1</v>
      </c>
      <c r="R29" s="40" t="s">
        <v>132</v>
      </c>
      <c r="S29" s="40" t="s">
        <v>116</v>
      </c>
      <c r="T29" s="40" t="s">
        <v>102</v>
      </c>
      <c r="U29" s="40" t="s">
        <v>79</v>
      </c>
      <c r="V29" s="40" t="s">
        <v>88</v>
      </c>
      <c r="W29" s="40" t="s">
        <v>160</v>
      </c>
      <c r="X29" s="40" t="s">
        <v>106</v>
      </c>
      <c r="Y29" s="40" t="s">
        <v>78</v>
      </c>
      <c r="Z29" s="40" t="s">
        <v>78</v>
      </c>
      <c r="AA29" s="40" t="s">
        <v>78</v>
      </c>
      <c r="AB29" s="40" t="s">
        <v>133</v>
      </c>
      <c r="AC29" s="40" t="s">
        <v>78</v>
      </c>
      <c r="AD29" s="40" t="s">
        <v>78</v>
      </c>
      <c r="AE29" s="40" t="s">
        <v>78</v>
      </c>
      <c r="AF29" s="40" t="s">
        <v>78</v>
      </c>
      <c r="AG29" s="40" t="s">
        <v>85</v>
      </c>
      <c r="AH29" s="40" t="s">
        <v>78</v>
      </c>
      <c r="AI29" s="40" t="s">
        <v>78</v>
      </c>
      <c r="AJ29" s="40" t="s">
        <v>78</v>
      </c>
      <c r="AK29" s="40" t="s">
        <v>78</v>
      </c>
      <c r="AL29" s="40" t="s">
        <v>78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750</v>
      </c>
      <c r="AP29" s="26">
        <f>VLOOKUP($R29,武学奇术!$A:$ZZ,28,FALSE)</f>
        <v>2.7126</v>
      </c>
      <c r="AQ29" s="27">
        <f>VLOOKUP($R29,武学奇术!$A:$ZZ,29,FALSE)*(1+IF(OR($AM29=$F$4,$AM29=$F$5),$B$22,0))</f>
        <v>408</v>
      </c>
      <c r="AR29" s="26" cm="1">
        <f t="array" ref="AR29">$G$3+IFERROR(VLOOKUP($AM29,$F$4:$G$7,2,FALSE),0)+VLOOKUP($R29,武学奇术!$A:$ZZ,2,FALSE)+SUM(_xlfn.XLOOKUP($S29:$AL29,增益!$A:$A,增益!$B:$B,0))</f>
        <v>0.9741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3574.6</v>
      </c>
      <c r="AU29" cm="1">
        <f t="array" ref="AU29">$E$10*(1+$AS29)+VLOOKUP($R29,武学奇术!$A:$ZZ,4,FALSE)+SUM(_xlfn.XLOOKUP($S29:$AL29,增益!$A:$A,增益!$D:$D,0))-$I$2</f>
        <v>3574.6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0.2925</v>
      </c>
      <c r="AW29" s="32" cm="1">
        <f t="array" ref="AW29">$G$10+VLOOKUP($R29,武学奇术!$A:$ZZ,7,FALSE)+SUM(_xlfn.XLOOKUP($S29:$AL29,增益!$A:$A,增益!$G:$G,0))</f>
        <v>0.148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2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2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2" cm="1">
        <f t="array" ref="BJ29">$G$13+VLOOKUP($R29,武学奇术!$A:$ZZ,14,FALSE)+SUM(_xlfn.XLOOKUP($S29:$AL29,增益!$A:$A,增益!$N:$N,0))</f>
        <v>0</v>
      </c>
      <c r="BK29">
        <f t="shared" si="7"/>
        <v>571.2</v>
      </c>
      <c r="BL29">
        <f t="shared" si="8"/>
        <v>1627.8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2" cm="1">
        <f t="array" ref="BN29">$G$14+VLOOKUP($R29,武学奇术!$A:$ZZ,16,FALSE)+SUM(_xlfn.XLOOKUP($S29:$AL29,增益!$A:$A,增益!$P:$P,0))</f>
        <v>0.27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2.01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 cm="1">
        <f t="array" ref="BX29">SUM(_xlfn.XLOOKUP($S29:$AL29,增益!$A:$A,增益!$X:$X,0))</f>
        <v>0</v>
      </c>
    </row>
    <row r="30" spans="1:76">
      <c r="A30" s="4"/>
      <c r="B30" s="88"/>
      <c r="K30">
        <f>$L30*VLOOKUP($R30,武学奇术!$A:$ZZ,31,FALSE)</f>
        <v>26859.5919331199</v>
      </c>
      <c r="L30" s="38">
        <f t="shared" si="0"/>
        <v>25580.5637458285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</f>
        <v>25580.5637458285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</f>
        <v>19518.0877563324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</f>
        <v>12726.6486297654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</f>
        <v>10995.4544770624</v>
      </c>
      <c r="Q30" s="39">
        <v>1</v>
      </c>
      <c r="R30" s="40" t="s">
        <v>139</v>
      </c>
      <c r="S30" s="40" t="s">
        <v>116</v>
      </c>
      <c r="T30" s="40" t="s">
        <v>102</v>
      </c>
      <c r="U30" s="40" t="s">
        <v>79</v>
      </c>
      <c r="V30" s="40" t="s">
        <v>88</v>
      </c>
      <c r="W30" s="40" t="s">
        <v>160</v>
      </c>
      <c r="X30" s="40" t="s">
        <v>106</v>
      </c>
      <c r="Y30" s="40" t="s">
        <v>78</v>
      </c>
      <c r="Z30" s="40" t="s">
        <v>78</v>
      </c>
      <c r="AA30" s="40" t="s">
        <v>78</v>
      </c>
      <c r="AB30" s="40" t="s">
        <v>133</v>
      </c>
      <c r="AC30" s="40" t="s">
        <v>78</v>
      </c>
      <c r="AD30" s="40" t="s">
        <v>78</v>
      </c>
      <c r="AE30" s="40" t="s">
        <v>78</v>
      </c>
      <c r="AF30" s="40" t="s">
        <v>78</v>
      </c>
      <c r="AG30" s="40" t="s">
        <v>85</v>
      </c>
      <c r="AH30" s="40" t="s">
        <v>78</v>
      </c>
      <c r="AI30" s="40" t="s">
        <v>78</v>
      </c>
      <c r="AJ30" s="40" t="s">
        <v>78</v>
      </c>
      <c r="AK30" s="40" t="s">
        <v>78</v>
      </c>
      <c r="AL30" s="40" t="s">
        <v>78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1.1741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3574.6</v>
      </c>
      <c r="AU30" cm="1">
        <f t="array" ref="AU30">$E$10*(1+$AS30)+VLOOKUP($R30,武学奇术!$A:$ZZ,4,FALSE)+SUM(_xlfn.XLOOKUP($S30:$AL30,增益!$A:$A,增益!$D:$D,0))-$I$2</f>
        <v>3574.6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0.2925</v>
      </c>
      <c r="AW30" s="32" cm="1">
        <f t="array" ref="AW30">$G$10+VLOOKUP($R30,武学奇术!$A:$ZZ,7,FALSE)+SUM(_xlfn.XLOOKUP($S30:$AL30,增益!$A:$A,增益!$G:$G,0))</f>
        <v>0.148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2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2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2" cm="1">
        <f t="array" ref="BJ30">$G$13+VLOOKUP($R30,武学奇术!$A:$ZZ,14,FALSE)+SUM(_xlfn.XLOOKUP($S30:$AL30,增益!$A:$A,增益!$N:$N,0))</f>
        <v>0</v>
      </c>
      <c r="BK30">
        <f t="shared" si="7"/>
        <v>571.2</v>
      </c>
      <c r="BL30">
        <f t="shared" si="8"/>
        <v>1627.8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2" cm="1">
        <f t="array" ref="BN30">$G$14+VLOOKUP($R30,武学奇术!$A:$ZZ,16,FALSE)+SUM(_xlfn.XLOOKUP($S30:$AL30,增益!$A:$A,增益!$P:$P,0))</f>
        <v>0.27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2.01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 cm="1">
        <f t="array" ref="BX30">SUM(_xlfn.XLOOKUP($S30:$AL30,增益!$A:$A,增益!$X:$X,0))</f>
        <v>0</v>
      </c>
    </row>
    <row r="31" spans="1:76">
      <c r="A31" s="4"/>
      <c r="B31" s="4"/>
      <c r="K31">
        <f>$L31*VLOOKUP($R31,武学奇术!$A:$ZZ,31,FALSE)</f>
        <v>43264.2661681539</v>
      </c>
      <c r="L31" s="38">
        <f t="shared" si="0"/>
        <v>41204.0630172894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</f>
        <v>43592.4291149318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</f>
        <v>35250.7592254983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</f>
        <v>23311.4594197496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</f>
        <v>20511.2453391302</v>
      </c>
      <c r="Q31" s="39">
        <v>1</v>
      </c>
      <c r="R31" s="40" t="s">
        <v>167</v>
      </c>
      <c r="S31" s="40" t="s">
        <v>78</v>
      </c>
      <c r="T31" s="40" t="s">
        <v>102</v>
      </c>
      <c r="U31" s="40" t="s">
        <v>79</v>
      </c>
      <c r="V31" s="40" t="s">
        <v>78</v>
      </c>
      <c r="W31" s="40" t="s">
        <v>168</v>
      </c>
      <c r="X31" s="40" t="s">
        <v>106</v>
      </c>
      <c r="Y31" s="40" t="s">
        <v>78</v>
      </c>
      <c r="Z31" s="40" t="s">
        <v>78</v>
      </c>
      <c r="AA31" s="40" t="s">
        <v>78</v>
      </c>
      <c r="AB31" s="40" t="s">
        <v>78</v>
      </c>
      <c r="AC31" s="40" t="s">
        <v>78</v>
      </c>
      <c r="AD31" s="40" t="s">
        <v>78</v>
      </c>
      <c r="AE31" s="40" t="s">
        <v>78</v>
      </c>
      <c r="AF31" s="40" t="s">
        <v>78</v>
      </c>
      <c r="AG31" s="40" t="s">
        <v>85</v>
      </c>
      <c r="AH31" s="40" t="s">
        <v>78</v>
      </c>
      <c r="AI31" s="40" t="s">
        <v>78</v>
      </c>
      <c r="AJ31" s="40" t="s">
        <v>78</v>
      </c>
      <c r="AK31" s="40" t="s">
        <v>78</v>
      </c>
      <c r="AL31" s="40" t="s">
        <v>78</v>
      </c>
      <c r="AM31" t="str">
        <f>VLOOKUP($R31,武学奇术!$A:$ZZ,25,FALSE)</f>
        <v>伞</v>
      </c>
      <c r="AN31" s="26">
        <f>VLOOKUP($R31,武学奇术!$A:$ZZ,26,FALSE)</f>
        <v>2.01456</v>
      </c>
      <c r="AO31" s="27">
        <f>VLOOKUP($R31,武学奇术!$A:$ZZ,27,FALSE)*(1+IF(OR($AM31=$F$4,$AM31=$F$5),$B$22,0))</f>
        <v>837</v>
      </c>
      <c r="AP31" s="26">
        <f>VLOOKUP($R31,武学奇术!$A:$ZZ,28,FALSE)</f>
        <v>3.02184</v>
      </c>
      <c r="AQ31" s="27">
        <f>VLOOKUP($R31,武学奇术!$A:$ZZ,29,FALSE)*(1+IF(OR($AM31=$F$4,$AM31=$F$5),$B$22,0))</f>
        <v>453.6</v>
      </c>
      <c r="AR31" s="26" cm="1">
        <f t="array" ref="AR31">$G$3+IFERROR(VLOOKUP($AM31,$F$4:$G$7,2,FALSE),0)+VLOOKUP($R31,武学奇术!$A:$ZZ,2,FALSE)+SUM(_xlfn.XLOOKUP($S31:$AL31,增益!$A:$A,增益!$B:$B,0))</f>
        <v>0.3741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3574.6</v>
      </c>
      <c r="AU31" cm="1">
        <f t="array" ref="AU31">$E$10*(1+$AS31)+VLOOKUP($R31,武学奇术!$A:$ZZ,4,FALSE)+SUM(_xlfn.XLOOKUP($S31:$AL31,增益!$A:$A,增益!$D:$D,0))-$I$2</f>
        <v>3574.6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0.2925</v>
      </c>
      <c r="AW31" s="32" cm="1">
        <f t="array" ref="AW31">$G$10+VLOOKUP($R31,武学奇术!$A:$ZZ,7,FALSE)+SUM(_xlfn.XLOOKUP($S31:$AL31,增益!$A:$A,增益!$G:$G,0))</f>
        <v>0.028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2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2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2" cm="1">
        <f t="array" ref="BJ31">$G$13+VLOOKUP($R31,武学奇术!$A:$ZZ,14,FALSE)+SUM(_xlfn.XLOOKUP($S31:$AL31,增益!$A:$A,增益!$N:$N,0))</f>
        <v>0</v>
      </c>
      <c r="BK31">
        <f t="shared" si="7"/>
        <v>571.2</v>
      </c>
      <c r="BL31">
        <f t="shared" si="8"/>
        <v>1627.8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2" cm="1">
        <f t="array" ref="BN31">$G$14+VLOOKUP($R31,武学奇术!$A:$ZZ,16,FALSE)+SUM(_xlfn.XLOOKUP($S31:$AL31,增益!$A:$A,增益!$P:$P,0))</f>
        <v>0.15</v>
      </c>
      <c r="BO31" s="26">
        <f>MIN(IF(VLOOKUP($R31,武学奇术!$A:$ZZ,23,FALSE)=1,100%,$B$8),100%)</f>
        <v>0.981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0.846</v>
      </c>
      <c r="BQ31" s="26" cm="1">
        <f t="array" ref="BQ31">1+$B$13+VLOOKUP($R31,武学奇术!$A:$ZZ,18,FALSE)+SUM(_xlfn.XLOOKUP($S31:$AL31,增益!$A:$A,增益!$R:$R,0))</f>
        <v>1.87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0.0929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0.829926</v>
      </c>
      <c r="BU31" s="26">
        <f t="shared" si="10"/>
        <v>0.0599391</v>
      </c>
      <c r="BV31" s="26">
        <f>IF(VLOOKUP($R31,武学奇术!$A:$ZZ,22,FALSE)=1,0,(1-$BO31))*(1-$BR31)</f>
        <v>0.0172349</v>
      </c>
      <c r="BW31" s="26" cm="1">
        <f t="array" ref="BW31">SUM(_xlfn.XLOOKUP($S31:$AL31,增益!$A:$A,增益!$W:$W,0))+$I$5</f>
        <v>0.11</v>
      </c>
      <c r="BX31" s="26" cm="1">
        <f t="array" ref="BX31">SUM(_xlfn.XLOOKUP($S31:$AL31,增益!$A:$A,增益!$X:$X,0))</f>
        <v>0</v>
      </c>
    </row>
    <row r="32" spans="1:76">
      <c r="A32" s="4"/>
      <c r="B32" s="88"/>
      <c r="K32">
        <f>$L32*VLOOKUP($R32,武学奇术!$A:$ZZ,31,FALSE)</f>
        <v>11650.1662839278</v>
      </c>
      <c r="L32" s="38">
        <f t="shared" si="0"/>
        <v>11095.3964608836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</f>
        <v>11726.3348393946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</f>
        <v>9626.32284783911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</f>
        <v>6270.76729379391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</f>
        <v>5410.92507066996</v>
      </c>
      <c r="Q32" s="39">
        <v>1</v>
      </c>
      <c r="R32" s="40" t="s">
        <v>170</v>
      </c>
      <c r="S32" s="40" t="s">
        <v>78</v>
      </c>
      <c r="T32" s="40" t="s">
        <v>102</v>
      </c>
      <c r="U32" s="40" t="s">
        <v>79</v>
      </c>
      <c r="V32" s="40" t="s">
        <v>78</v>
      </c>
      <c r="W32" s="40" t="s">
        <v>168</v>
      </c>
      <c r="X32" s="40" t="s">
        <v>106</v>
      </c>
      <c r="Y32" s="40" t="s">
        <v>78</v>
      </c>
      <c r="Z32" s="40" t="s">
        <v>78</v>
      </c>
      <c r="AA32" s="40" t="s">
        <v>78</v>
      </c>
      <c r="AB32" s="40" t="s">
        <v>78</v>
      </c>
      <c r="AC32" s="40" t="s">
        <v>78</v>
      </c>
      <c r="AD32" s="40" t="s">
        <v>78</v>
      </c>
      <c r="AE32" s="40" t="s">
        <v>78</v>
      </c>
      <c r="AF32" s="40" t="s">
        <v>78</v>
      </c>
      <c r="AG32" s="40" t="s">
        <v>85</v>
      </c>
      <c r="AH32" s="40" t="s">
        <v>78</v>
      </c>
      <c r="AI32" s="40" t="s">
        <v>78</v>
      </c>
      <c r="AJ32" s="40" t="s">
        <v>78</v>
      </c>
      <c r="AK32" s="40" t="s">
        <v>78</v>
      </c>
      <c r="AL32" s="40" t="s">
        <v>78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0.5741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3574.6</v>
      </c>
      <c r="AU32" cm="1">
        <f t="array" ref="AU32">$E$10*(1+$AS32)+VLOOKUP($R32,武学奇术!$A:$ZZ,4,FALSE)+SUM(_xlfn.XLOOKUP($S32:$AL32,增益!$A:$A,增益!$D:$D,0))-$I$2</f>
        <v>3574.6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0.2925</v>
      </c>
      <c r="AW32" s="32" cm="1">
        <f t="array" ref="AW32">$G$10+VLOOKUP($R32,武学奇术!$A:$ZZ,7,FALSE)+SUM(_xlfn.XLOOKUP($S32:$AL32,增益!$A:$A,增益!$G:$G,0))</f>
        <v>0.028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2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2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2" cm="1">
        <f t="array" ref="BJ32">$G$13+VLOOKUP($R32,武学奇术!$A:$ZZ,14,FALSE)+SUM(_xlfn.XLOOKUP($S32:$AL32,增益!$A:$A,增益!$N:$N,0))</f>
        <v>0</v>
      </c>
      <c r="BK32">
        <f t="shared" si="7"/>
        <v>571.2</v>
      </c>
      <c r="BL32">
        <f t="shared" si="8"/>
        <v>1627.8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2" cm="1">
        <f t="array" ref="BN32">$G$14+VLOOKUP($R32,武学奇术!$A:$ZZ,16,FALSE)+SUM(_xlfn.XLOOKUP($S32:$AL32,增益!$A:$A,增益!$P:$P,0))</f>
        <v>0.15</v>
      </c>
      <c r="BO32" s="26">
        <f>MIN(IF(VLOOKUP($R32,武学奇术!$A:$ZZ,23,FALSE)=1,100%,$B$8),100%)</f>
        <v>0.981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0.846</v>
      </c>
      <c r="BQ32" s="26" cm="1">
        <f t="array" ref="BQ32">1+$B$13+VLOOKUP($R32,武学奇术!$A:$ZZ,18,FALSE)+SUM(_xlfn.XLOOKUP($S32:$AL32,增益!$A:$A,增益!$R:$R,0))</f>
        <v>1.87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0.0929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0.829926</v>
      </c>
      <c r="BU32" s="26">
        <f t="shared" si="10"/>
        <v>0.0599391</v>
      </c>
      <c r="BV32" s="26">
        <f>IF(VLOOKUP($R32,武学奇术!$A:$ZZ,22,FALSE)=1,0,(1-$BO32))*(1-$BR32)</f>
        <v>0.0172349</v>
      </c>
      <c r="BW32" s="26" cm="1">
        <f t="array" ref="BW32">SUM(_xlfn.XLOOKUP($S32:$AL32,增益!$A:$A,增益!$W:$W,0))+$I$5</f>
        <v>0.11</v>
      </c>
      <c r="BX32" s="26" cm="1">
        <f t="array" ref="BX32">SUM(_xlfn.XLOOKUP($S32:$AL32,增益!$A:$A,增益!$X:$X,0))</f>
        <v>0</v>
      </c>
    </row>
    <row r="33" spans="1:76">
      <c r="A33" s="4"/>
      <c r="B33" s="88"/>
      <c r="K33">
        <f>$L33*VLOOKUP($R33,武学奇术!$A:$ZZ,31,FALSE)</f>
        <v>86528.5323363078</v>
      </c>
      <c r="L33" s="38">
        <f t="shared" si="0"/>
        <v>82408.1260345788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</f>
        <v>87184.8582298637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</f>
        <v>70501.5184509966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</f>
        <v>46622.9188394993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</f>
        <v>41022.4906782603</v>
      </c>
      <c r="Q33" s="39">
        <v>2</v>
      </c>
      <c r="R33" s="40" t="s">
        <v>167</v>
      </c>
      <c r="S33" s="40" t="s">
        <v>78</v>
      </c>
      <c r="T33" s="40" t="s">
        <v>102</v>
      </c>
      <c r="U33" s="40" t="s">
        <v>79</v>
      </c>
      <c r="V33" s="40" t="s">
        <v>78</v>
      </c>
      <c r="W33" s="40" t="s">
        <v>168</v>
      </c>
      <c r="X33" s="40" t="s">
        <v>106</v>
      </c>
      <c r="Y33" s="40" t="s">
        <v>78</v>
      </c>
      <c r="Z33" s="40" t="s">
        <v>78</v>
      </c>
      <c r="AA33" s="40" t="s">
        <v>78</v>
      </c>
      <c r="AB33" s="40" t="s">
        <v>78</v>
      </c>
      <c r="AC33" s="40" t="s">
        <v>78</v>
      </c>
      <c r="AD33" s="40" t="s">
        <v>78</v>
      </c>
      <c r="AE33" s="40" t="s">
        <v>78</v>
      </c>
      <c r="AF33" s="40" t="s">
        <v>78</v>
      </c>
      <c r="AG33" s="40" t="s">
        <v>85</v>
      </c>
      <c r="AH33" s="40" t="s">
        <v>78</v>
      </c>
      <c r="AI33" s="40" t="s">
        <v>78</v>
      </c>
      <c r="AJ33" s="40" t="s">
        <v>78</v>
      </c>
      <c r="AK33" s="40" t="s">
        <v>78</v>
      </c>
      <c r="AL33" s="40" t="s">
        <v>78</v>
      </c>
      <c r="AM33" t="str">
        <f>VLOOKUP($R33,武学奇术!$A:$ZZ,25,FALSE)</f>
        <v>伞</v>
      </c>
      <c r="AN33" s="26">
        <f>VLOOKUP($R33,武学奇术!$A:$ZZ,26,FALSE)</f>
        <v>2.01456</v>
      </c>
      <c r="AO33" s="27">
        <f>VLOOKUP($R33,武学奇术!$A:$ZZ,27,FALSE)*(1+IF(OR($AM33=$F$4,$AM33=$F$5),$B$22,0))</f>
        <v>837</v>
      </c>
      <c r="AP33" s="26">
        <f>VLOOKUP($R33,武学奇术!$A:$ZZ,28,FALSE)</f>
        <v>3.02184</v>
      </c>
      <c r="AQ33" s="27">
        <f>VLOOKUP($R33,武学奇术!$A:$ZZ,29,FALSE)*(1+IF(OR($AM33=$F$4,$AM33=$F$5),$B$22,0))</f>
        <v>453.6</v>
      </c>
      <c r="AR33" s="26" cm="1">
        <f t="array" ref="AR33">$G$3+IFERROR(VLOOKUP($AM33,$F$4:$G$7,2,FALSE),0)+VLOOKUP($R33,武学奇术!$A:$ZZ,2,FALSE)+SUM(_xlfn.XLOOKUP($S33:$AL33,增益!$A:$A,增益!$B:$B,0))</f>
        <v>0.3741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3574.6</v>
      </c>
      <c r="AU33" cm="1">
        <f t="array" ref="AU33">$E$10*(1+$AS33)+VLOOKUP($R33,武学奇术!$A:$ZZ,4,FALSE)+SUM(_xlfn.XLOOKUP($S33:$AL33,增益!$A:$A,增益!$D:$D,0))-$I$2</f>
        <v>3574.6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0.2925</v>
      </c>
      <c r="AW33" s="32" cm="1">
        <f t="array" ref="AW33">$G$10+VLOOKUP($R33,武学奇术!$A:$ZZ,7,FALSE)+SUM(_xlfn.XLOOKUP($S33:$AL33,增益!$A:$A,增益!$G:$G,0))</f>
        <v>0.028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2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2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2" cm="1">
        <f t="array" ref="BJ33">$G$13+VLOOKUP($R33,武学奇术!$A:$ZZ,14,FALSE)+SUM(_xlfn.XLOOKUP($S33:$AL33,增益!$A:$A,增益!$N:$N,0))</f>
        <v>0</v>
      </c>
      <c r="BK33">
        <f t="shared" si="7"/>
        <v>571.2</v>
      </c>
      <c r="BL33">
        <f t="shared" si="8"/>
        <v>1627.8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2" cm="1">
        <f t="array" ref="BN33">$G$14+VLOOKUP($R33,武学奇术!$A:$ZZ,16,FALSE)+SUM(_xlfn.XLOOKUP($S33:$AL33,增益!$A:$A,增益!$P:$P,0))</f>
        <v>0.15</v>
      </c>
      <c r="BO33" s="26">
        <f>MIN(IF(VLOOKUP($R33,武学奇术!$A:$ZZ,23,FALSE)=1,100%,$B$8),100%)</f>
        <v>0.981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0.846</v>
      </c>
      <c r="BQ33" s="26" cm="1">
        <f t="array" ref="BQ33">1+$B$13+VLOOKUP($R33,武学奇术!$A:$ZZ,18,FALSE)+SUM(_xlfn.XLOOKUP($S33:$AL33,增益!$A:$A,增益!$R:$R,0))</f>
        <v>1.87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0.0929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0.829926</v>
      </c>
      <c r="BU33" s="26">
        <f t="shared" si="10"/>
        <v>0.0599391</v>
      </c>
      <c r="BV33" s="26">
        <f>IF(VLOOKUP($R33,武学奇术!$A:$ZZ,22,FALSE)=1,0,(1-$BO33))*(1-$BR33)</f>
        <v>0.0172349</v>
      </c>
      <c r="BW33" s="26" cm="1">
        <f t="array" ref="BW33">SUM(_xlfn.XLOOKUP($S33:$AL33,增益!$A:$A,增益!$W:$W,0))+$I$5</f>
        <v>0.11</v>
      </c>
      <c r="BX33" s="26" cm="1">
        <f t="array" ref="BX33">SUM(_xlfn.XLOOKUP($S33:$AL33,增益!$A:$A,增益!$X:$X,0))</f>
        <v>0</v>
      </c>
    </row>
    <row r="34" spans="1:76">
      <c r="A34" s="4"/>
      <c r="B34" s="4"/>
      <c r="K34">
        <f>$L34*VLOOKUP($R34,武学奇术!$A:$ZZ,31,FALSE)</f>
        <v>23300.3325678556</v>
      </c>
      <c r="L34" s="38">
        <f t="shared" si="0"/>
        <v>22190.7929217672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</f>
        <v>23452.6696787892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</f>
        <v>19252.6456956782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</f>
        <v>12541.5345875878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</f>
        <v>10821.8501413399</v>
      </c>
      <c r="Q34" s="39">
        <v>2</v>
      </c>
      <c r="R34" s="40" t="s">
        <v>170</v>
      </c>
      <c r="S34" s="40" t="s">
        <v>78</v>
      </c>
      <c r="T34" s="40" t="s">
        <v>102</v>
      </c>
      <c r="U34" s="40" t="s">
        <v>79</v>
      </c>
      <c r="V34" s="40" t="s">
        <v>78</v>
      </c>
      <c r="W34" s="40" t="s">
        <v>168</v>
      </c>
      <c r="X34" s="40" t="s">
        <v>106</v>
      </c>
      <c r="Y34" s="40" t="s">
        <v>78</v>
      </c>
      <c r="Z34" s="40" t="s">
        <v>78</v>
      </c>
      <c r="AA34" s="40" t="s">
        <v>78</v>
      </c>
      <c r="AB34" s="40" t="s">
        <v>78</v>
      </c>
      <c r="AC34" s="40" t="s">
        <v>78</v>
      </c>
      <c r="AD34" s="40" t="s">
        <v>78</v>
      </c>
      <c r="AE34" s="40" t="s">
        <v>78</v>
      </c>
      <c r="AF34" s="40" t="s">
        <v>78</v>
      </c>
      <c r="AG34" s="40" t="s">
        <v>85</v>
      </c>
      <c r="AH34" s="40" t="s">
        <v>78</v>
      </c>
      <c r="AI34" s="40" t="s">
        <v>78</v>
      </c>
      <c r="AJ34" s="40" t="s">
        <v>78</v>
      </c>
      <c r="AK34" s="40" t="s">
        <v>78</v>
      </c>
      <c r="AL34" s="40" t="s">
        <v>78</v>
      </c>
      <c r="AM34" t="str">
        <f>VLOOKUP($R34,武学奇术!$A:$ZZ,25,FALSE)</f>
        <v>伞</v>
      </c>
      <c r="AN34" s="26">
        <f>VLOOKUP($R34,武学奇术!$A:$ZZ,26,FALSE)</f>
        <v>0.54</v>
      </c>
      <c r="AO34" s="27">
        <f>VLOOKUP($R34,武学奇术!$A:$ZZ,27,FALSE)*(1+IF(OR($AM34=$F$4,$AM34=$F$5),$B$22,0))</f>
        <v>0</v>
      </c>
      <c r="AP34" s="26">
        <f>VLOOKUP($R34,武学奇术!$A:$ZZ,28,FALSE)</f>
        <v>0.81</v>
      </c>
      <c r="AQ34" s="27">
        <f>VLOOKUP($R34,武学奇术!$A:$ZZ,29,FALSE)*(1+IF(OR($AM34=$F$4,$AM34=$F$5),$B$22,0))</f>
        <v>0</v>
      </c>
      <c r="AR34" s="26" cm="1">
        <f t="array" ref="AR34">$G$3+IFERROR(VLOOKUP($AM34,$F$4:$G$7,2,FALSE),0)+VLOOKUP($R34,武学奇术!$A:$ZZ,2,FALSE)+SUM(_xlfn.XLOOKUP($S34:$AL34,增益!$A:$A,增益!$B:$B,0))</f>
        <v>0.5741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3574.6</v>
      </c>
      <c r="AU34" cm="1">
        <f t="array" ref="AU34">$E$10*(1+$AS34)+VLOOKUP($R34,武学奇术!$A:$ZZ,4,FALSE)+SUM(_xlfn.XLOOKUP($S34:$AL34,增益!$A:$A,增益!$D:$D,0))-$I$2</f>
        <v>3574.6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0.2925</v>
      </c>
      <c r="AW34" s="32" cm="1">
        <f t="array" ref="AW34">$G$10+VLOOKUP($R34,武学奇术!$A:$ZZ,7,FALSE)+SUM(_xlfn.XLOOKUP($S34:$AL34,增益!$A:$A,增益!$G:$G,0))</f>
        <v>0.028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2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2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2" cm="1">
        <f t="array" ref="BJ34">$G$13+VLOOKUP($R34,武学奇术!$A:$ZZ,14,FALSE)+SUM(_xlfn.XLOOKUP($S34:$AL34,增益!$A:$A,增益!$N:$N,0))</f>
        <v>0</v>
      </c>
      <c r="BK34">
        <f t="shared" si="7"/>
        <v>571.2</v>
      </c>
      <c r="BL34">
        <f t="shared" si="8"/>
        <v>1627.8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2" cm="1">
        <f t="array" ref="BN34">$G$14+VLOOKUP($R34,武学奇术!$A:$ZZ,16,FALSE)+SUM(_xlfn.XLOOKUP($S34:$AL34,增益!$A:$A,增益!$P:$P,0))</f>
        <v>0.15</v>
      </c>
      <c r="BO34" s="26">
        <f>MIN(IF(VLOOKUP($R34,武学奇术!$A:$ZZ,23,FALSE)=1,100%,$B$8),100%)</f>
        <v>0.981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0.846</v>
      </c>
      <c r="BQ34" s="26" cm="1">
        <f t="array" ref="BQ34">1+$B$13+VLOOKUP($R34,武学奇术!$A:$ZZ,18,FALSE)+SUM(_xlfn.XLOOKUP($S34:$AL34,增益!$A:$A,增益!$R:$R,0))</f>
        <v>1.87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0.0929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0.829926</v>
      </c>
      <c r="BU34" s="26">
        <f t="shared" si="10"/>
        <v>0.0599391</v>
      </c>
      <c r="BV34" s="26">
        <f>IF(VLOOKUP($R34,武学奇术!$A:$ZZ,22,FALSE)=1,0,(1-$BO34))*(1-$BR34)</f>
        <v>0.0172349</v>
      </c>
      <c r="BW34" s="26" cm="1">
        <f t="array" ref="BW34">SUM(_xlfn.XLOOKUP($S34:$AL34,增益!$A:$A,增益!$W:$W,0))+$I$5</f>
        <v>0.11</v>
      </c>
      <c r="BX34" s="26" cm="1">
        <f t="array" ref="BX34">SUM(_xlfn.XLOOKUP($S34:$AL34,增益!$A:$A,增益!$X:$X,0))</f>
        <v>0</v>
      </c>
    </row>
    <row r="35" spans="1:76">
      <c r="A35" s="4"/>
      <c r="B35" s="88"/>
      <c r="K35">
        <f>$L35*VLOOKUP($R35,武学奇术!$A:$ZZ,31,FALSE)</f>
        <v>43467.407423993</v>
      </c>
      <c r="L35" s="38">
        <f t="shared" si="0"/>
        <v>41397.5308799934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</f>
        <v>43825.5437091293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</f>
        <v>35250.7592254983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</f>
        <v>23311.4594197496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</f>
        <v>20511.2453391302</v>
      </c>
      <c r="Q35" s="39">
        <v>1</v>
      </c>
      <c r="R35" s="40" t="s">
        <v>167</v>
      </c>
      <c r="S35" s="40" t="s">
        <v>78</v>
      </c>
      <c r="T35" s="40" t="s">
        <v>102</v>
      </c>
      <c r="U35" s="40" t="s">
        <v>79</v>
      </c>
      <c r="V35" s="40" t="s">
        <v>78</v>
      </c>
      <c r="W35" s="40" t="s">
        <v>173</v>
      </c>
      <c r="X35" s="40" t="s">
        <v>106</v>
      </c>
      <c r="Y35" s="40" t="s">
        <v>78</v>
      </c>
      <c r="Z35" s="40" t="s">
        <v>78</v>
      </c>
      <c r="AA35" s="40" t="s">
        <v>78</v>
      </c>
      <c r="AB35" s="40" t="s">
        <v>78</v>
      </c>
      <c r="AC35" s="40" t="s">
        <v>78</v>
      </c>
      <c r="AD35" s="40" t="s">
        <v>78</v>
      </c>
      <c r="AE35" s="40" t="s">
        <v>78</v>
      </c>
      <c r="AF35" s="40" t="s">
        <v>78</v>
      </c>
      <c r="AG35" s="40" t="s">
        <v>85</v>
      </c>
      <c r="AH35" s="40" t="s">
        <v>78</v>
      </c>
      <c r="AI35" s="40" t="s">
        <v>78</v>
      </c>
      <c r="AJ35" s="40" t="s">
        <v>78</v>
      </c>
      <c r="AK35" s="40" t="s">
        <v>78</v>
      </c>
      <c r="AL35" s="40" t="s">
        <v>78</v>
      </c>
      <c r="AM35" t="str">
        <f>VLOOKUP($R35,武学奇术!$A:$ZZ,25,FALSE)</f>
        <v>伞</v>
      </c>
      <c r="AN35" s="26">
        <f>VLOOKUP($R35,武学奇术!$A:$ZZ,26,FALSE)</f>
        <v>2.01456</v>
      </c>
      <c r="AO35" s="27">
        <f>VLOOKUP($R35,武学奇术!$A:$ZZ,27,FALSE)*(1+IF(OR($AM35=$F$4,$AM35=$F$5),$B$22,0))</f>
        <v>837</v>
      </c>
      <c r="AP35" s="26">
        <f>VLOOKUP($R35,武学奇术!$A:$ZZ,28,FALSE)</f>
        <v>3.02184</v>
      </c>
      <c r="AQ35" s="27">
        <f>VLOOKUP($R35,武学奇术!$A:$ZZ,29,FALSE)*(1+IF(OR($AM35=$F$4,$AM35=$F$5),$B$22,0))</f>
        <v>453.6</v>
      </c>
      <c r="AR35" s="26" cm="1">
        <f t="array" ref="AR35">$G$3+IFERROR(VLOOKUP($AM35,$F$4:$G$7,2,FALSE),0)+VLOOKUP($R35,武学奇术!$A:$ZZ,2,FALSE)+SUM(_xlfn.XLOOKUP($S35:$AL35,增益!$A:$A,增益!$B:$B,0))</f>
        <v>0.3741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3574.6</v>
      </c>
      <c r="AU35" cm="1">
        <f t="array" ref="AU35">$E$10*(1+$AS35)+VLOOKUP($R35,武学奇术!$A:$ZZ,4,FALSE)+SUM(_xlfn.XLOOKUP($S35:$AL35,增益!$A:$A,增益!$D:$D,0))-$I$2</f>
        <v>3574.6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0.2925</v>
      </c>
      <c r="AW35" s="32" cm="1">
        <f t="array" ref="AW35">$G$10+VLOOKUP($R35,武学奇术!$A:$ZZ,7,FALSE)+SUM(_xlfn.XLOOKUP($S35:$AL35,增益!$A:$A,增益!$G:$G,0))</f>
        <v>0.028</v>
      </c>
      <c r="AX35" s="26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</v>
      </c>
      <c r="BK35">
        <f t="shared" si="7"/>
        <v>571.2</v>
      </c>
      <c r="BL35">
        <f t="shared" si="8"/>
        <v>1627.8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0.15</v>
      </c>
      <c r="BO35" s="26">
        <f>MIN(IF(VLOOKUP($R35,武学奇术!$A:$ZZ,23,FALSE)=1,100%,$B$8),100%)</f>
        <v>0.981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0.846</v>
      </c>
      <c r="BQ35" s="26" cm="1">
        <f t="array" ref="BQ35">1+$B$13+VLOOKUP($R35,武学奇术!$A:$ZZ,18,FALSE)+SUM(_xlfn.XLOOKUP($S35:$AL35,增益!$A:$A,增益!$R:$R,0))</f>
        <v>1.88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0.0929</v>
      </c>
      <c r="BS35" s="26" cm="1">
        <f t="array" ref="BS35">1+$B$14+VLOOKUP($R35,武学奇术!$A:$ZZ,20,FALSE)+SUM(_xlfn.XLOOKUP($S35:$AL35,增益!$A:$A,增益!$T:$T,0))</f>
        <v>1.35</v>
      </c>
      <c r="BT35" s="26">
        <f t="shared" si="9"/>
        <v>0.829926</v>
      </c>
      <c r="BU35" s="26">
        <f t="shared" si="10"/>
        <v>0.0599391</v>
      </c>
      <c r="BV35" s="26">
        <f>IF(VLOOKUP($R35,武学奇术!$A:$ZZ,22,FALSE)=1,0,(1-$BO35))*(1-$BR35)</f>
        <v>0.0172349</v>
      </c>
      <c r="BW35" s="26" cm="1">
        <f t="array" ref="BW35">SUM(_xlfn.XLOOKUP($S35:$AL35,增益!$A:$A,增益!$W:$W,0))+$I$5</f>
        <v>0.11</v>
      </c>
      <c r="BX35" s="26" cm="1">
        <f t="array" ref="BX35">SUM(_xlfn.XLOOKUP($S35:$AL35,增益!$A:$A,增益!$X:$X,0))</f>
        <v>0</v>
      </c>
    </row>
    <row r="36" spans="1:76">
      <c r="A36" s="4"/>
      <c r="B36" s="4"/>
      <c r="K36">
        <f>$L36*VLOOKUP($R36,武学奇术!$A:$ZZ,31,FALSE)</f>
        <v>11704.811148507</v>
      </c>
      <c r="L36" s="38">
        <f t="shared" si="0"/>
        <v>11147.4391890543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</f>
        <v>11789.0425123325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</f>
        <v>9626.32284783911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</f>
        <v>6270.76729379391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</f>
        <v>5410.92507066996</v>
      </c>
      <c r="Q36" s="39">
        <v>1</v>
      </c>
      <c r="R36" s="40" t="s">
        <v>170</v>
      </c>
      <c r="S36" s="40" t="s">
        <v>78</v>
      </c>
      <c r="T36" s="40" t="s">
        <v>102</v>
      </c>
      <c r="U36" s="40" t="s">
        <v>79</v>
      </c>
      <c r="V36" s="40" t="s">
        <v>78</v>
      </c>
      <c r="W36" s="40" t="s">
        <v>173</v>
      </c>
      <c r="X36" s="40" t="s">
        <v>106</v>
      </c>
      <c r="Y36" s="40" t="s">
        <v>78</v>
      </c>
      <c r="Z36" s="40" t="s">
        <v>78</v>
      </c>
      <c r="AA36" s="40" t="s">
        <v>78</v>
      </c>
      <c r="AB36" s="40" t="s">
        <v>78</v>
      </c>
      <c r="AC36" s="40" t="s">
        <v>78</v>
      </c>
      <c r="AD36" s="40" t="s">
        <v>78</v>
      </c>
      <c r="AE36" s="40" t="s">
        <v>78</v>
      </c>
      <c r="AF36" s="40" t="s">
        <v>78</v>
      </c>
      <c r="AG36" s="40" t="s">
        <v>85</v>
      </c>
      <c r="AH36" s="40" t="s">
        <v>78</v>
      </c>
      <c r="AI36" s="40" t="s">
        <v>78</v>
      </c>
      <c r="AJ36" s="40" t="s">
        <v>78</v>
      </c>
      <c r="AK36" s="40" t="s">
        <v>78</v>
      </c>
      <c r="AL36" s="40" t="s">
        <v>78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0.5741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3574.6</v>
      </c>
      <c r="AU36" cm="1">
        <f t="array" ref="AU36">$E$10*(1+$AS36)+VLOOKUP($R36,武学奇术!$A:$ZZ,4,FALSE)+SUM(_xlfn.XLOOKUP($S36:$AL36,增益!$A:$A,增益!$D:$D,0))-$I$2</f>
        <v>3574.6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0.2925</v>
      </c>
      <c r="AW36" s="32" cm="1">
        <f t="array" ref="AW36">$G$10+VLOOKUP($R36,武学奇术!$A:$ZZ,7,FALSE)+SUM(_xlfn.XLOOKUP($S36:$AL36,增益!$A:$A,增益!$G:$G,0))</f>
        <v>0.028</v>
      </c>
      <c r="AX36" s="26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</v>
      </c>
      <c r="BK36">
        <f t="shared" si="7"/>
        <v>571.2</v>
      </c>
      <c r="BL36">
        <f t="shared" si="8"/>
        <v>1627.8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0.15</v>
      </c>
      <c r="BO36" s="26">
        <f>MIN(IF(VLOOKUP($R36,武学奇术!$A:$ZZ,23,FALSE)=1,100%,$B$8),100%)</f>
        <v>0.981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0.846</v>
      </c>
      <c r="BQ36" s="26" cm="1">
        <f t="array" ref="BQ36">1+$B$13+VLOOKUP($R36,武学奇术!$A:$ZZ,18,FALSE)+SUM(_xlfn.XLOOKUP($S36:$AL36,增益!$A:$A,增益!$R:$R,0))</f>
        <v>1.88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0.0929</v>
      </c>
      <c r="BS36" s="26" cm="1">
        <f t="array" ref="BS36">1+$B$14+VLOOKUP($R36,武学奇术!$A:$ZZ,20,FALSE)+SUM(_xlfn.XLOOKUP($S36:$AL36,增益!$A:$A,增益!$T:$T,0))</f>
        <v>1.35</v>
      </c>
      <c r="BT36" s="26">
        <f t="shared" si="9"/>
        <v>0.829926</v>
      </c>
      <c r="BU36" s="26">
        <f t="shared" si="10"/>
        <v>0.0599391</v>
      </c>
      <c r="BV36" s="26">
        <f>IF(VLOOKUP($R36,武学奇术!$A:$ZZ,22,FALSE)=1,0,(1-$BO36))*(1-$BR36)</f>
        <v>0.0172349</v>
      </c>
      <c r="BW36" s="26" cm="1">
        <f t="array" ref="BW36">SUM(_xlfn.XLOOKUP($S36:$AL36,增益!$A:$A,增益!$W:$W,0))+$I$5</f>
        <v>0.11</v>
      </c>
      <c r="BX36" s="26" cm="1">
        <f t="array" ref="BX36">SUM(_xlfn.XLOOKUP($S36:$AL36,增益!$A:$A,增益!$X:$X,0))</f>
        <v>0</v>
      </c>
    </row>
    <row r="37" spans="1:76">
      <c r="A37" s="4"/>
      <c r="B37" s="4"/>
      <c r="K37">
        <f>$L37*VLOOKUP($R37,武学奇术!$A:$ZZ,31,FALSE)</f>
        <v>55000.8903816953</v>
      </c>
      <c r="L37" s="38">
        <f t="shared" si="0"/>
        <v>52381.8003635193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</f>
        <v>52381.8003635193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</f>
        <v>42131.4136428551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</f>
        <v>27862.6597678294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</f>
        <v>24516.8649853958</v>
      </c>
      <c r="Q37" s="39">
        <v>1</v>
      </c>
      <c r="R37" s="40" t="s">
        <v>174</v>
      </c>
      <c r="S37" s="40" t="s">
        <v>78</v>
      </c>
      <c r="T37" s="40" t="s">
        <v>102</v>
      </c>
      <c r="U37" s="40" t="s">
        <v>79</v>
      </c>
      <c r="V37" s="40" t="s">
        <v>78</v>
      </c>
      <c r="W37" s="40" t="s">
        <v>173</v>
      </c>
      <c r="X37" s="40" t="s">
        <v>106</v>
      </c>
      <c r="Y37" s="40" t="s">
        <v>78</v>
      </c>
      <c r="Z37" s="40" t="s">
        <v>78</v>
      </c>
      <c r="AA37" s="40" t="s">
        <v>78</v>
      </c>
      <c r="AB37" s="40" t="s">
        <v>78</v>
      </c>
      <c r="AC37" s="40" t="s">
        <v>78</v>
      </c>
      <c r="AD37" s="40" t="s">
        <v>78</v>
      </c>
      <c r="AE37" s="40" t="s">
        <v>78</v>
      </c>
      <c r="AF37" s="40" t="s">
        <v>78</v>
      </c>
      <c r="AG37" s="40" t="s">
        <v>85</v>
      </c>
      <c r="AH37" s="40" t="s">
        <v>78</v>
      </c>
      <c r="AI37" s="40" t="s">
        <v>78</v>
      </c>
      <c r="AJ37" s="40" t="s">
        <v>78</v>
      </c>
      <c r="AK37" s="40" t="s">
        <v>78</v>
      </c>
      <c r="AL37" s="40" t="s">
        <v>78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955.5</v>
      </c>
      <c r="AP37" s="26">
        <f>VLOOKUP($R37,武学奇术!$A:$ZZ,28,FALSE)</f>
        <v>3.448</v>
      </c>
      <c r="AQ37" s="27">
        <f>VLOOKUP($R37,武学奇术!$A:$ZZ,29,FALSE)*(1+IF(OR($AM37=$F$4,$AM37=$F$5),$B$22,0))</f>
        <v>520.5</v>
      </c>
      <c r="AR37" s="26" cm="1">
        <f t="array" ref="AR37">$G$3+IFERROR(VLOOKUP($AM37,$F$4:$G$7,2,FALSE),0)+VLOOKUP($R37,武学奇术!$A:$ZZ,2,FALSE)+SUM(_xlfn.XLOOKUP($S37:$AL37,增益!$A:$A,增益!$B:$B,0))</f>
        <v>0.4389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3574.6</v>
      </c>
      <c r="AU37" cm="1">
        <f t="array" ref="AU37">$E$10*(1+$AS37)+VLOOKUP($R37,武学奇术!$A:$ZZ,4,FALSE)+SUM(_xlfn.XLOOKUP($S37:$AL37,增益!$A:$A,增益!$D:$D,0))-$I$2</f>
        <v>3574.6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0.2925</v>
      </c>
      <c r="AW37" s="32" cm="1">
        <f t="array" ref="AW37">$G$10+VLOOKUP($R37,武学奇术!$A:$ZZ,7,FALSE)+SUM(_xlfn.XLOOKUP($S37:$AL37,增益!$A:$A,增益!$G:$G,0))</f>
        <v>0.028</v>
      </c>
      <c r="AX37" s="26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</v>
      </c>
      <c r="BK37">
        <f t="shared" si="7"/>
        <v>571.2</v>
      </c>
      <c r="BL37">
        <f t="shared" si="8"/>
        <v>1627.8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0.15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1.88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9"/>
        <v>1</v>
      </c>
      <c r="BU37" s="26">
        <f t="shared" si="1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 cm="1">
        <f t="array" ref="BX37">SUM(_xlfn.XLOOKUP($S37:$AL37,增益!$A:$A,增益!$X:$X,0))</f>
        <v>0</v>
      </c>
    </row>
    <row r="38" spans="1:76">
      <c r="A38" s="4"/>
      <c r="B38" s="88"/>
      <c r="K38">
        <f>$L38*VLOOKUP($R38,武学奇术!$A:$ZZ,31,FALSE)</f>
        <v>123120.136855481</v>
      </c>
      <c r="L38" s="89">
        <f>(SUM(L9:L37)+SUM(L3:L6)+L154+L155)*12%*(1+BX38)</f>
        <v>234514.546391393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</f>
        <v>0</v>
      </c>
      <c r="Q38" s="39">
        <v>1</v>
      </c>
      <c r="R38" s="40" t="s">
        <v>175</v>
      </c>
      <c r="S38" s="40" t="s">
        <v>78</v>
      </c>
      <c r="T38" s="40" t="s">
        <v>78</v>
      </c>
      <c r="U38" s="40" t="s">
        <v>78</v>
      </c>
      <c r="V38" s="40" t="s">
        <v>78</v>
      </c>
      <c r="W38" s="40" t="s">
        <v>78</v>
      </c>
      <c r="X38" s="40" t="s">
        <v>78</v>
      </c>
      <c r="Y38" s="40" t="s">
        <v>78</v>
      </c>
      <c r="Z38" s="40" t="s">
        <v>78</v>
      </c>
      <c r="AA38" s="40" t="s">
        <v>78</v>
      </c>
      <c r="AB38" s="40" t="s">
        <v>78</v>
      </c>
      <c r="AC38" s="40" t="s">
        <v>78</v>
      </c>
      <c r="AD38" s="40" t="s">
        <v>78</v>
      </c>
      <c r="AE38" s="40" t="s">
        <v>78</v>
      </c>
      <c r="AF38" s="40" t="s">
        <v>78</v>
      </c>
      <c r="AG38" s="40" t="s">
        <v>85</v>
      </c>
      <c r="AH38" s="40" t="s">
        <v>78</v>
      </c>
      <c r="AI38" s="40" t="s">
        <v>78</v>
      </c>
      <c r="AJ38" s="40" t="s">
        <v>78</v>
      </c>
      <c r="AK38" s="40" t="s">
        <v>78</v>
      </c>
      <c r="AL38" s="40" t="s">
        <v>78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0.1037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3574.6</v>
      </c>
      <c r="AU38" cm="1">
        <f t="array" ref="AU38">$E$10*(1+$AS38)+VLOOKUP($R38,武学奇术!$A:$ZZ,4,FALSE)+SUM(_xlfn.XLOOKUP($S38:$AL38,增益!$A:$A,增益!$D:$D,0))-$I$2</f>
        <v>3574.6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0.1925</v>
      </c>
      <c r="AW38" s="32" cm="1">
        <f t="array" ref="AW38">$G$10+VLOOKUP($R38,武学奇术!$A:$ZZ,7,FALSE)+SUM(_xlfn.XLOOKUP($S38:$AL38,增益!$A:$A,增益!$G:$G,0))</f>
        <v>0.028</v>
      </c>
      <c r="AX38" s="26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7"/>
        <v>571.2</v>
      </c>
      <c r="BL38">
        <f t="shared" si="8"/>
        <v>1627.8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6">
        <f>MIN(IF(VLOOKUP($R38,武学奇术!$A:$ZZ,23,FALSE)=1,100%,$B$8),100%)</f>
        <v>0.981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0.846</v>
      </c>
      <c r="BQ38" s="26" cm="1">
        <f t="array" ref="BQ38">1+$B$13+VLOOKUP($R38,武学奇术!$A:$ZZ,18,FALSE)+SUM(_xlfn.XLOOKUP($S38:$AL38,增益!$A:$A,增益!$R:$R,0))</f>
        <v>1.54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0.0929</v>
      </c>
      <c r="BS38" s="26" cm="1">
        <f t="array" ref="BS38">1+$B$14+VLOOKUP($R38,武学奇术!$A:$ZZ,20,FALSE)+SUM(_xlfn.XLOOKUP($S38:$AL38,增益!$A:$A,增益!$T:$T,0))</f>
        <v>1.35</v>
      </c>
      <c r="BT38" s="26">
        <f t="shared" si="9"/>
        <v>0.829926</v>
      </c>
      <c r="BU38" s="26">
        <f t="shared" si="10"/>
        <v>0.0599391</v>
      </c>
      <c r="BV38" s="26">
        <f>IF(VLOOKUP($R38,武学奇术!$A:$ZZ,22,FALSE)=1,0,(1-$BO38))*(1-$BR38)</f>
        <v>0.0172349</v>
      </c>
      <c r="BW38" s="26" cm="1">
        <f t="array" ref="BW38">SUM(_xlfn.XLOOKUP($S38:$AL38,增益!$A:$A,增益!$W:$W,0))+$I$5</f>
        <v>0.11</v>
      </c>
      <c r="BX38" s="26" cm="1">
        <f t="array" ref="BX38">SUM(_xlfn.XLOOKUP($S38:$AL38,增益!$A:$A,增益!$X:$X,0))</f>
        <v>0</v>
      </c>
    </row>
    <row r="39" spans="1:76">
      <c r="A39" s="4"/>
      <c r="B39" s="4"/>
      <c r="E39" s="4"/>
      <c r="F39" s="4"/>
      <c r="K39">
        <f>$L39*VLOOKUP($R39,武学奇术!$A:$ZZ,31,FALSE)</f>
        <v>65970.4948212177</v>
      </c>
      <c r="L39" s="38">
        <f t="shared" ref="L39:L63" si="11">($M39*$BT39+$N39*$BR39+$O39*$BU39+$P39*$BV39)</f>
        <v>62829.042686874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</f>
        <v>66560.5445143183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</f>
        <v>53209.9834663188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</f>
        <v>35217.2193197452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</f>
        <v>31019.6360718468</v>
      </c>
      <c r="Q39" s="39">
        <v>1</v>
      </c>
      <c r="R39" s="40" t="s">
        <v>115</v>
      </c>
      <c r="S39" s="40" t="s">
        <v>116</v>
      </c>
      <c r="T39" s="40" t="s">
        <v>102</v>
      </c>
      <c r="U39" s="40" t="s">
        <v>79</v>
      </c>
      <c r="V39" s="40" t="s">
        <v>78</v>
      </c>
      <c r="W39" s="40" t="s">
        <v>177</v>
      </c>
      <c r="X39" s="40" t="s">
        <v>106</v>
      </c>
      <c r="Y39" s="40" t="s">
        <v>78</v>
      </c>
      <c r="Z39" s="40" t="s">
        <v>78</v>
      </c>
      <c r="AA39" s="40" t="s">
        <v>78</v>
      </c>
      <c r="AB39" s="40" t="s">
        <v>78</v>
      </c>
      <c r="AC39" s="40" t="s">
        <v>78</v>
      </c>
      <c r="AD39" s="40" t="s">
        <v>78</v>
      </c>
      <c r="AE39" s="40" t="s">
        <v>78</v>
      </c>
      <c r="AF39" s="40" t="s">
        <v>78</v>
      </c>
      <c r="AG39" s="40" t="s">
        <v>85</v>
      </c>
      <c r="AH39" s="40" t="s">
        <v>78</v>
      </c>
      <c r="AI39" s="40" t="s">
        <v>78</v>
      </c>
      <c r="AJ39" s="40" t="s">
        <v>78</v>
      </c>
      <c r="AK39" s="40" t="s">
        <v>78</v>
      </c>
      <c r="AL39" s="40" t="s">
        <v>78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750</v>
      </c>
      <c r="AP39" s="26">
        <f>VLOOKUP($R39,武学奇术!$A:$ZZ,28,FALSE)</f>
        <v>2.7126</v>
      </c>
      <c r="AQ39" s="27">
        <f>VLOOKUP($R39,武学奇术!$A:$ZZ,29,FALSE)*(1+IF(OR($AM39=$F$4,$AM39=$F$5),$B$22,0))</f>
        <v>408</v>
      </c>
      <c r="AR39" s="26" cm="1">
        <f t="array" ref="AR39">$G$3+IFERROR(VLOOKUP($AM39,$F$4:$G$7,2,FALSE),0)+VLOOKUP($R39,武学奇术!$A:$ZZ,2,FALSE)+SUM(_xlfn.XLOOKUP($S39:$AL39,增益!$A:$A,增益!$B:$B,0))</f>
        <v>0.5741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3574.6</v>
      </c>
      <c r="AU39" cm="1">
        <f t="array" ref="AU39">$E$10*(1+$AS39)+VLOOKUP($R39,武学奇术!$A:$ZZ,4,FALSE)+SUM(_xlfn.XLOOKUP($S39:$AL39,增益!$A:$A,增益!$D:$D,0))-$I$2</f>
        <v>3574.6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0.2925</v>
      </c>
      <c r="AW39" s="32" cm="1">
        <f t="array" ref="AW39">$G$10+VLOOKUP($R39,武学奇术!$A:$ZZ,7,FALSE)+SUM(_xlfn.XLOOKUP($S39:$AL39,增益!$A:$A,增益!$G:$G,0))</f>
        <v>0.148</v>
      </c>
      <c r="AX39" s="26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2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2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2" cm="1">
        <f t="array" ref="BJ39">$G$13+VLOOKUP($R39,武学奇术!$A:$ZZ,14,FALSE)+SUM(_xlfn.XLOOKUP($S39:$AL39,增益!$A:$A,增益!$N:$N,0))</f>
        <v>0</v>
      </c>
      <c r="BK39">
        <f t="shared" si="7"/>
        <v>571.2</v>
      </c>
      <c r="BL39">
        <f t="shared" si="8"/>
        <v>1627.8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2" cm="1">
        <f t="array" ref="BN39">$G$14+VLOOKUP($R39,武学奇术!$A:$ZZ,16,FALSE)+SUM(_xlfn.XLOOKUP($S39:$AL39,增益!$A:$A,增益!$P:$P,0))</f>
        <v>0.27</v>
      </c>
      <c r="BO39" s="26">
        <f>MIN(IF(VLOOKUP($R39,武学奇术!$A:$ZZ,23,FALSE)=1,100%,$B$8),100%)</f>
        <v>0.981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0.846</v>
      </c>
      <c r="BQ39" s="26" cm="1">
        <f t="array" ref="BQ39">1+$B$13+VLOOKUP($R39,武学奇术!$A:$ZZ,18,FALSE)+SUM(_xlfn.XLOOKUP($S39:$AL39,增益!$A:$A,增益!$R:$R,0))</f>
        <v>1.89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0.0929</v>
      </c>
      <c r="BS39" s="26" cm="1">
        <f t="array" ref="BS39">1+$B$14+VLOOKUP($R39,武学奇术!$A:$ZZ,20,FALSE)+SUM(_xlfn.XLOOKUP($S39:$AL39,增益!$A:$A,增益!$T:$T,0))</f>
        <v>1.35</v>
      </c>
      <c r="BT39" s="26">
        <f t="shared" si="9"/>
        <v>0.829926</v>
      </c>
      <c r="BU39" s="26">
        <f t="shared" si="10"/>
        <v>0.0599391</v>
      </c>
      <c r="BV39" s="26">
        <f>IF(VLOOKUP($R39,武学奇术!$A:$ZZ,22,FALSE)=1,0,(1-$BO39))*(1-$BR39)</f>
        <v>0.0172349</v>
      </c>
      <c r="BW39" s="26" cm="1">
        <f t="array" ref="BW39">SUM(_xlfn.XLOOKUP($S39:$AL39,增益!$A:$A,增益!$W:$W,0))+$I$5</f>
        <v>0.11</v>
      </c>
      <c r="BX39" s="26" cm="1">
        <f t="array" ref="BX39">SUM(_xlfn.XLOOKUP($S39:$AL39,增益!$A:$A,增益!$X:$X,0))</f>
        <v>0</v>
      </c>
    </row>
    <row r="40" spans="1:76">
      <c r="A40" s="4"/>
      <c r="B40" s="88"/>
      <c r="C40" s="4"/>
      <c r="K40">
        <f>$L40*VLOOKUP($R40,武学奇术!$A:$ZZ,31,FALSE)</f>
        <v>38947.5820028913</v>
      </c>
      <c r="L40" s="38">
        <f t="shared" si="11"/>
        <v>37092.9352408489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</f>
        <v>39255.8543410021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</f>
        <v>31854.1368736574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</f>
        <v>20770.2933021175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</f>
        <v>17944.9296607851</v>
      </c>
      <c r="Q40" s="39">
        <v>2</v>
      </c>
      <c r="R40" s="40" t="s">
        <v>119</v>
      </c>
      <c r="S40" s="40" t="s">
        <v>116</v>
      </c>
      <c r="T40" s="40" t="s">
        <v>102</v>
      </c>
      <c r="U40" s="40" t="s">
        <v>79</v>
      </c>
      <c r="V40" s="40" t="s">
        <v>78</v>
      </c>
      <c r="W40" s="40" t="s">
        <v>177</v>
      </c>
      <c r="X40" s="40" t="s">
        <v>106</v>
      </c>
      <c r="Y40" s="40" t="s">
        <v>78</v>
      </c>
      <c r="Z40" s="40" t="s">
        <v>78</v>
      </c>
      <c r="AA40" s="40" t="s">
        <v>78</v>
      </c>
      <c r="AB40" s="40" t="s">
        <v>78</v>
      </c>
      <c r="AC40" s="40" t="s">
        <v>78</v>
      </c>
      <c r="AD40" s="40" t="s">
        <v>78</v>
      </c>
      <c r="AE40" s="40" t="s">
        <v>78</v>
      </c>
      <c r="AF40" s="40" t="s">
        <v>78</v>
      </c>
      <c r="AG40" s="40" t="s">
        <v>85</v>
      </c>
      <c r="AH40" s="40" t="s">
        <v>78</v>
      </c>
      <c r="AI40" s="40" t="s">
        <v>78</v>
      </c>
      <c r="AJ40" s="40" t="s">
        <v>78</v>
      </c>
      <c r="AK40" s="40" t="s">
        <v>78</v>
      </c>
      <c r="AL40" s="40" t="s">
        <v>78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0.7741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3574.6</v>
      </c>
      <c r="AU40" cm="1">
        <f t="array" ref="AU40">$E$10*(1+$AS40)+VLOOKUP($R40,武学奇术!$A:$ZZ,4,FALSE)+SUM(_xlfn.XLOOKUP($S40:$AL40,增益!$A:$A,增益!$D:$D,0))-$I$2</f>
        <v>3574.6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0.2925</v>
      </c>
      <c r="AW40" s="32" cm="1">
        <f t="array" ref="AW40">$G$10+VLOOKUP($R40,武学奇术!$A:$ZZ,7,FALSE)+SUM(_xlfn.XLOOKUP($S40:$AL40,增益!$A:$A,增益!$G:$G,0))</f>
        <v>0.148</v>
      </c>
      <c r="AX40" s="26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2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2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2" cm="1">
        <f t="array" ref="BJ40">$G$13+VLOOKUP($R40,武学奇术!$A:$ZZ,14,FALSE)+SUM(_xlfn.XLOOKUP($S40:$AL40,增益!$A:$A,增益!$N:$N,0))</f>
        <v>0</v>
      </c>
      <c r="BK40">
        <f t="shared" si="7"/>
        <v>571.2</v>
      </c>
      <c r="BL40">
        <f t="shared" si="8"/>
        <v>1627.8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2" cm="1">
        <f t="array" ref="BN40">$G$14+VLOOKUP($R40,武学奇术!$A:$ZZ,16,FALSE)+SUM(_xlfn.XLOOKUP($S40:$AL40,增益!$A:$A,增益!$P:$P,0))</f>
        <v>0.27</v>
      </c>
      <c r="BO40" s="26">
        <f>MIN(IF(VLOOKUP($R40,武学奇术!$A:$ZZ,23,FALSE)=1,100%,$B$8),100%)</f>
        <v>0.981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0.846</v>
      </c>
      <c r="BQ40" s="26" cm="1">
        <f t="array" ref="BQ40">1+$B$13+VLOOKUP($R40,武学奇术!$A:$ZZ,18,FALSE)+SUM(_xlfn.XLOOKUP($S40:$AL40,增益!$A:$A,增益!$R:$R,0))</f>
        <v>1.89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0.0929</v>
      </c>
      <c r="BS40" s="26" cm="1">
        <f t="array" ref="BS40">1+$B$14+VLOOKUP($R40,武学奇术!$A:$ZZ,20,FALSE)+SUM(_xlfn.XLOOKUP($S40:$AL40,增益!$A:$A,增益!$T:$T,0))</f>
        <v>1.35</v>
      </c>
      <c r="BT40" s="26">
        <f t="shared" si="9"/>
        <v>0.829926</v>
      </c>
      <c r="BU40" s="26">
        <f t="shared" si="10"/>
        <v>0.0599391</v>
      </c>
      <c r="BV40" s="26">
        <f>IF(VLOOKUP($R40,武学奇术!$A:$ZZ,22,FALSE)=1,0,(1-$BO40))*(1-$BR40)</f>
        <v>0.0172349</v>
      </c>
      <c r="BW40" s="26" cm="1">
        <f t="array" ref="BW40">SUM(_xlfn.XLOOKUP($S40:$AL40,增益!$A:$A,增益!$W:$W,0))+$I$5</f>
        <v>0.11</v>
      </c>
      <c r="BX40" s="26" cm="1">
        <f t="array" ref="BX40">SUM(_xlfn.XLOOKUP($S40:$AL40,增益!$A:$A,增益!$X:$X,0))</f>
        <v>0</v>
      </c>
    </row>
    <row r="41" spans="1:76">
      <c r="A41" s="4"/>
      <c r="B41" s="88"/>
      <c r="C41" s="4"/>
      <c r="K41">
        <f>$L41*VLOOKUP($R41,武学奇术!$A:$ZZ,31,FALSE)</f>
        <v>67811.8390367707</v>
      </c>
      <c r="L41" s="38">
        <f t="shared" si="11"/>
        <v>64582.7038445435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</f>
        <v>68673.5776735031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</f>
        <v>53209.9834663188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</f>
        <v>35217.2193197452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</f>
        <v>31019.6360718468</v>
      </c>
      <c r="Q41" s="39">
        <v>1</v>
      </c>
      <c r="R41" s="40" t="s">
        <v>115</v>
      </c>
      <c r="S41" s="40" t="s">
        <v>116</v>
      </c>
      <c r="T41" s="40" t="s">
        <v>102</v>
      </c>
      <c r="U41" s="40" t="s">
        <v>79</v>
      </c>
      <c r="V41" s="40" t="s">
        <v>78</v>
      </c>
      <c r="W41" s="40" t="s">
        <v>177</v>
      </c>
      <c r="X41" s="40" t="s">
        <v>106</v>
      </c>
      <c r="Y41" s="40" t="s">
        <v>78</v>
      </c>
      <c r="Z41" s="40" t="s">
        <v>78</v>
      </c>
      <c r="AA41" s="40" t="s">
        <v>78</v>
      </c>
      <c r="AB41" s="40" t="s">
        <v>122</v>
      </c>
      <c r="AC41" s="40" t="s">
        <v>78</v>
      </c>
      <c r="AD41" s="40" t="s">
        <v>78</v>
      </c>
      <c r="AE41" s="40" t="s">
        <v>78</v>
      </c>
      <c r="AF41" s="40" t="s">
        <v>78</v>
      </c>
      <c r="AG41" s="40" t="s">
        <v>85</v>
      </c>
      <c r="AH41" s="40" t="s">
        <v>78</v>
      </c>
      <c r="AI41" s="40" t="s">
        <v>78</v>
      </c>
      <c r="AJ41" s="40" t="s">
        <v>78</v>
      </c>
      <c r="AK41" s="40" t="s">
        <v>78</v>
      </c>
      <c r="AL41" s="40" t="s">
        <v>78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750</v>
      </c>
      <c r="AP41" s="26">
        <f>VLOOKUP($R41,武学奇术!$A:$ZZ,28,FALSE)</f>
        <v>2.7126</v>
      </c>
      <c r="AQ41" s="27">
        <f>VLOOKUP($R41,武学奇术!$A:$ZZ,29,FALSE)*(1+IF(OR($AM41=$F$4,$AM41=$F$5),$B$22,0))</f>
        <v>408</v>
      </c>
      <c r="AR41" s="26" cm="1">
        <f t="array" ref="AR41">$G$3+IFERROR(VLOOKUP($AM41,$F$4:$G$7,2,FALSE),0)+VLOOKUP($R41,武学奇术!$A:$ZZ,2,FALSE)+SUM(_xlfn.XLOOKUP($S41:$AL41,增益!$A:$A,增益!$B:$B,0))</f>
        <v>0.5741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3574.6</v>
      </c>
      <c r="AU41" cm="1">
        <f t="array" ref="AU41">$E$10*(1+$AS41)+VLOOKUP($R41,武学奇术!$A:$ZZ,4,FALSE)+SUM(_xlfn.XLOOKUP($S41:$AL41,增益!$A:$A,增益!$D:$D,0))-$I$2</f>
        <v>3574.6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0.2925</v>
      </c>
      <c r="AW41" s="32" cm="1">
        <f t="array" ref="AW41">$G$10+VLOOKUP($R41,武学奇术!$A:$ZZ,7,FALSE)+SUM(_xlfn.XLOOKUP($S41:$AL41,增益!$A:$A,增益!$G:$G,0))</f>
        <v>0.148</v>
      </c>
      <c r="AX41" s="26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2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2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2" cm="1">
        <f t="array" ref="BJ41">$G$13+VLOOKUP($R41,武学奇术!$A:$ZZ,14,FALSE)+SUM(_xlfn.XLOOKUP($S41:$AL41,增益!$A:$A,增益!$N:$N,0))</f>
        <v>0</v>
      </c>
      <c r="BK41">
        <f t="shared" si="7"/>
        <v>571.2</v>
      </c>
      <c r="BL41">
        <f t="shared" si="8"/>
        <v>1627.8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2" cm="1">
        <f t="array" ref="BN41">$G$14+VLOOKUP($R41,武学奇术!$A:$ZZ,16,FALSE)+SUM(_xlfn.XLOOKUP($S41:$AL41,增益!$A:$A,增益!$P:$P,0))</f>
        <v>0.27</v>
      </c>
      <c r="BO41" s="26">
        <f>MIN(IF(VLOOKUP($R41,武学奇术!$A:$ZZ,23,FALSE)=1,100%,$B$8),100%)</f>
        <v>0.981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0.846</v>
      </c>
      <c r="BQ41" s="26" cm="1">
        <f t="array" ref="BQ41">1+$B$13+VLOOKUP($R41,武学奇术!$A:$ZZ,18,FALSE)+SUM(_xlfn.XLOOKUP($S41:$AL41,增益!$A:$A,增益!$R:$R,0))</f>
        <v>1.95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0.0929</v>
      </c>
      <c r="BS41" s="26" cm="1">
        <f t="array" ref="BS41">1+$B$14+VLOOKUP($R41,武学奇术!$A:$ZZ,20,FALSE)+SUM(_xlfn.XLOOKUP($S41:$AL41,增益!$A:$A,增益!$T:$T,0))</f>
        <v>1.35</v>
      </c>
      <c r="BT41" s="26">
        <f t="shared" si="9"/>
        <v>0.829926</v>
      </c>
      <c r="BU41" s="26">
        <f t="shared" si="10"/>
        <v>0.0599391</v>
      </c>
      <c r="BV41" s="26">
        <f>IF(VLOOKUP($R41,武学奇术!$A:$ZZ,22,FALSE)=1,0,(1-$BO41))*(1-$BR41)</f>
        <v>0.0172349</v>
      </c>
      <c r="BW41" s="26" cm="1">
        <f t="array" ref="BW41">SUM(_xlfn.XLOOKUP($S41:$AL41,增益!$A:$A,增益!$W:$W,0))+$I$5</f>
        <v>0.11</v>
      </c>
      <c r="BX41" s="26" cm="1">
        <f t="array" ref="BX41">SUM(_xlfn.XLOOKUP($S41:$AL41,增益!$A:$A,增益!$X:$X,0))</f>
        <v>0</v>
      </c>
    </row>
    <row r="42" spans="1:76">
      <c r="A42" s="4"/>
      <c r="B42" s="88"/>
      <c r="C42" s="4"/>
      <c r="K42">
        <f>$L42*VLOOKUP($R42,武学奇术!$A:$ZZ,31,FALSE)</f>
        <v>40033.5638085517</v>
      </c>
      <c r="L42" s="38">
        <f t="shared" si="11"/>
        <v>38127.2036271921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</f>
        <v>40502.0719391291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</f>
        <v>31854.1368736574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</f>
        <v>20770.2933021175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</f>
        <v>17944.9296607851</v>
      </c>
      <c r="Q42" s="39">
        <v>2</v>
      </c>
      <c r="R42" s="40" t="s">
        <v>119</v>
      </c>
      <c r="S42" s="40" t="s">
        <v>116</v>
      </c>
      <c r="T42" s="40" t="s">
        <v>102</v>
      </c>
      <c r="U42" s="40" t="s">
        <v>79</v>
      </c>
      <c r="V42" s="40" t="s">
        <v>78</v>
      </c>
      <c r="W42" s="40" t="s">
        <v>177</v>
      </c>
      <c r="X42" s="40" t="s">
        <v>106</v>
      </c>
      <c r="Y42" s="40" t="s">
        <v>78</v>
      </c>
      <c r="Z42" s="40" t="s">
        <v>78</v>
      </c>
      <c r="AA42" s="40" t="s">
        <v>78</v>
      </c>
      <c r="AB42" s="40" t="s">
        <v>122</v>
      </c>
      <c r="AC42" s="40" t="s">
        <v>78</v>
      </c>
      <c r="AD42" s="40" t="s">
        <v>78</v>
      </c>
      <c r="AE42" s="40" t="s">
        <v>78</v>
      </c>
      <c r="AF42" s="40" t="s">
        <v>78</v>
      </c>
      <c r="AG42" s="40" t="s">
        <v>85</v>
      </c>
      <c r="AH42" s="40" t="s">
        <v>78</v>
      </c>
      <c r="AI42" s="40" t="s">
        <v>78</v>
      </c>
      <c r="AJ42" s="40" t="s">
        <v>78</v>
      </c>
      <c r="AK42" s="40" t="s">
        <v>78</v>
      </c>
      <c r="AL42" s="40" t="s">
        <v>78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0.7741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3574.6</v>
      </c>
      <c r="AU42" cm="1">
        <f t="array" ref="AU42">$E$10*(1+$AS42)+VLOOKUP($R42,武学奇术!$A:$ZZ,4,FALSE)+SUM(_xlfn.XLOOKUP($S42:$AL42,增益!$A:$A,增益!$D:$D,0))-$I$2</f>
        <v>3574.6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0.2925</v>
      </c>
      <c r="AW42" s="32" cm="1">
        <f t="array" ref="AW42">$G$10+VLOOKUP($R42,武学奇术!$A:$ZZ,7,FALSE)+SUM(_xlfn.XLOOKUP($S42:$AL42,增益!$A:$A,增益!$G:$G,0))</f>
        <v>0.148</v>
      </c>
      <c r="AX42" s="26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2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2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2" cm="1">
        <f t="array" ref="BJ42">$G$13+VLOOKUP($R42,武学奇术!$A:$ZZ,14,FALSE)+SUM(_xlfn.XLOOKUP($S42:$AL42,增益!$A:$A,增益!$N:$N,0))</f>
        <v>0</v>
      </c>
      <c r="BK42">
        <f t="shared" si="7"/>
        <v>571.2</v>
      </c>
      <c r="BL42">
        <f t="shared" si="8"/>
        <v>1627.8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2" cm="1">
        <f t="array" ref="BN42">$G$14+VLOOKUP($R42,武学奇术!$A:$ZZ,16,FALSE)+SUM(_xlfn.XLOOKUP($S42:$AL42,增益!$A:$A,增益!$P:$P,0))</f>
        <v>0.27</v>
      </c>
      <c r="BO42" s="26">
        <f>MIN(IF(VLOOKUP($R42,武学奇术!$A:$ZZ,23,FALSE)=1,100%,$B$8),100%)</f>
        <v>0.981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0.846</v>
      </c>
      <c r="BQ42" s="26" cm="1">
        <f t="array" ref="BQ42">1+$B$13+VLOOKUP($R42,武学奇术!$A:$ZZ,18,FALSE)+SUM(_xlfn.XLOOKUP($S42:$AL42,增益!$A:$A,增益!$R:$R,0))</f>
        <v>1.95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0.0929</v>
      </c>
      <c r="BS42" s="26" cm="1">
        <f t="array" ref="BS42">1+$B$14+VLOOKUP($R42,武学奇术!$A:$ZZ,20,FALSE)+SUM(_xlfn.XLOOKUP($S42:$AL42,增益!$A:$A,增益!$T:$T,0))</f>
        <v>1.35</v>
      </c>
      <c r="BT42" s="26">
        <f t="shared" si="9"/>
        <v>0.829926</v>
      </c>
      <c r="BU42" s="26">
        <f t="shared" si="10"/>
        <v>0.0599391</v>
      </c>
      <c r="BV42" s="26">
        <f>IF(VLOOKUP($R42,武学奇术!$A:$ZZ,22,FALSE)=1,0,(1-$BO42))*(1-$BR42)</f>
        <v>0.0172349</v>
      </c>
      <c r="BW42" s="26" cm="1">
        <f t="array" ref="BW42">SUM(_xlfn.XLOOKUP($S42:$AL42,增益!$A:$A,增益!$W:$W,0))+$I$5</f>
        <v>0.11</v>
      </c>
      <c r="BX42" s="26" cm="1">
        <f t="array" ref="BX42">SUM(_xlfn.XLOOKUP($S42:$AL42,增益!$A:$A,增益!$X:$X,0))</f>
        <v>0</v>
      </c>
    </row>
    <row r="43" spans="1:76">
      <c r="A43" s="4"/>
      <c r="B43" s="88"/>
      <c r="C43" s="4"/>
      <c r="K43">
        <f>$L43*VLOOKUP($R43,武学奇术!$A:$ZZ,31,FALSE)</f>
        <v>69960.0739549159</v>
      </c>
      <c r="L43" s="38">
        <f t="shared" si="11"/>
        <v>66628.6418618247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</f>
        <v>71138.7830258852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</f>
        <v>53209.9834663188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</f>
        <v>35217.2193197452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</f>
        <v>31019.6360718468</v>
      </c>
      <c r="Q43" s="39">
        <v>1</v>
      </c>
      <c r="R43" s="40" t="s">
        <v>115</v>
      </c>
      <c r="S43" s="40" t="s">
        <v>116</v>
      </c>
      <c r="T43" s="40" t="s">
        <v>102</v>
      </c>
      <c r="U43" s="40" t="s">
        <v>79</v>
      </c>
      <c r="V43" s="40" t="s">
        <v>78</v>
      </c>
      <c r="W43" s="40" t="s">
        <v>178</v>
      </c>
      <c r="X43" s="40" t="s">
        <v>106</v>
      </c>
      <c r="Y43" s="40" t="s">
        <v>78</v>
      </c>
      <c r="Z43" s="40" t="s">
        <v>78</v>
      </c>
      <c r="AA43" s="40" t="s">
        <v>78</v>
      </c>
      <c r="AB43" s="40" t="s">
        <v>127</v>
      </c>
      <c r="AC43" s="40" t="s">
        <v>78</v>
      </c>
      <c r="AD43" s="40" t="s">
        <v>78</v>
      </c>
      <c r="AE43" s="40" t="s">
        <v>78</v>
      </c>
      <c r="AF43" s="40" t="s">
        <v>78</v>
      </c>
      <c r="AG43" s="40" t="s">
        <v>85</v>
      </c>
      <c r="AH43" s="40" t="s">
        <v>78</v>
      </c>
      <c r="AI43" s="40" t="s">
        <v>78</v>
      </c>
      <c r="AJ43" s="40" t="s">
        <v>78</v>
      </c>
      <c r="AK43" s="40" t="s">
        <v>78</v>
      </c>
      <c r="AL43" s="40" t="s">
        <v>78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750</v>
      </c>
      <c r="AP43" s="26">
        <f>VLOOKUP($R43,武学奇术!$A:$ZZ,28,FALSE)</f>
        <v>2.7126</v>
      </c>
      <c r="AQ43" s="27">
        <f>VLOOKUP($R43,武学奇术!$A:$ZZ,29,FALSE)*(1+IF(OR($AM43=$F$4,$AM43=$F$5),$B$22,0))</f>
        <v>408</v>
      </c>
      <c r="AR43" s="26" cm="1">
        <f t="array" ref="AR43">$G$3+IFERROR(VLOOKUP($AM43,$F$4:$G$7,2,FALSE),0)+VLOOKUP($R43,武学奇术!$A:$ZZ,2,FALSE)+SUM(_xlfn.XLOOKUP($S43:$AL43,增益!$A:$A,增益!$B:$B,0))</f>
        <v>0.5741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3574.6</v>
      </c>
      <c r="AU43" cm="1">
        <f t="array" ref="AU43">$E$10*(1+$AS43)+VLOOKUP($R43,武学奇术!$A:$ZZ,4,FALSE)+SUM(_xlfn.XLOOKUP($S43:$AL43,增益!$A:$A,增益!$D:$D,0))-$I$2</f>
        <v>3574.6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0.2925</v>
      </c>
      <c r="AW43" s="32" cm="1">
        <f t="array" ref="AW43">$G$10+VLOOKUP($R43,武学奇术!$A:$ZZ,7,FALSE)+SUM(_xlfn.XLOOKUP($S43:$AL43,增益!$A:$A,增益!$G:$G,0))</f>
        <v>0.148</v>
      </c>
      <c r="AX43" s="26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2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2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2" cm="1">
        <f t="array" ref="BJ43">$G$13+VLOOKUP($R43,武学奇术!$A:$ZZ,14,FALSE)+SUM(_xlfn.XLOOKUP($S43:$AL43,增益!$A:$A,增益!$N:$N,0))</f>
        <v>0</v>
      </c>
      <c r="BK43">
        <f t="shared" si="7"/>
        <v>571.2</v>
      </c>
      <c r="BL43">
        <f t="shared" si="8"/>
        <v>1627.8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2" cm="1">
        <f t="array" ref="BN43">$G$14+VLOOKUP($R43,武学奇术!$A:$ZZ,16,FALSE)+SUM(_xlfn.XLOOKUP($S43:$AL43,增益!$A:$A,增益!$P:$P,0))</f>
        <v>0.27</v>
      </c>
      <c r="BO43" s="26">
        <f>MIN(IF(VLOOKUP($R43,武学奇术!$A:$ZZ,23,FALSE)=1,100%,$B$8),100%)</f>
        <v>0.981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0.846</v>
      </c>
      <c r="BQ43" s="26" cm="1">
        <f t="array" ref="BQ43">1+$B$13+VLOOKUP($R43,武学奇术!$A:$ZZ,18,FALSE)+SUM(_xlfn.XLOOKUP($S43:$AL43,增益!$A:$A,增益!$R:$R,0))</f>
        <v>2.02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0.0929</v>
      </c>
      <c r="BS43" s="26" cm="1">
        <f t="array" ref="BS43">1+$B$14+VLOOKUP($R43,武学奇术!$A:$ZZ,20,FALSE)+SUM(_xlfn.XLOOKUP($S43:$AL43,增益!$A:$A,增益!$T:$T,0))</f>
        <v>1.35</v>
      </c>
      <c r="BT43" s="26">
        <f t="shared" si="9"/>
        <v>0.829926</v>
      </c>
      <c r="BU43" s="26">
        <f t="shared" si="10"/>
        <v>0.0599391</v>
      </c>
      <c r="BV43" s="26">
        <f>IF(VLOOKUP($R43,武学奇术!$A:$ZZ,22,FALSE)=1,0,(1-$BO43))*(1-$BR43)</f>
        <v>0.0172349</v>
      </c>
      <c r="BW43" s="26" cm="1">
        <f t="array" ref="BW43">SUM(_xlfn.XLOOKUP($S43:$AL43,增益!$A:$A,增益!$W:$W,0))+$I$5</f>
        <v>0.11</v>
      </c>
      <c r="BX43" s="26" cm="1">
        <f t="array" ref="BX43">SUM(_xlfn.XLOOKUP($S43:$AL43,增益!$A:$A,增益!$X:$X,0))</f>
        <v>0</v>
      </c>
    </row>
    <row r="44" spans="1:76">
      <c r="A44" s="4"/>
      <c r="B44" s="4"/>
      <c r="C44" s="4"/>
      <c r="K44">
        <f>$L44*VLOOKUP($R44,武学奇术!$A:$ZZ,31,FALSE)</f>
        <v>41300.5425818221</v>
      </c>
      <c r="L44" s="38">
        <f t="shared" si="11"/>
        <v>39333.8500779258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</f>
        <v>41955.9924702774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</f>
        <v>31854.1368736574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</f>
        <v>20770.2933021175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</f>
        <v>17944.9296607851</v>
      </c>
      <c r="Q44" s="39">
        <v>2</v>
      </c>
      <c r="R44" s="40" t="s">
        <v>119</v>
      </c>
      <c r="S44" s="40" t="s">
        <v>116</v>
      </c>
      <c r="T44" s="40" t="s">
        <v>102</v>
      </c>
      <c r="U44" s="40" t="s">
        <v>79</v>
      </c>
      <c r="V44" s="40" t="s">
        <v>78</v>
      </c>
      <c r="W44" s="40" t="s">
        <v>178</v>
      </c>
      <c r="X44" s="40" t="s">
        <v>106</v>
      </c>
      <c r="Y44" s="40" t="s">
        <v>78</v>
      </c>
      <c r="Z44" s="40" t="s">
        <v>78</v>
      </c>
      <c r="AA44" s="40" t="s">
        <v>78</v>
      </c>
      <c r="AB44" s="40" t="s">
        <v>127</v>
      </c>
      <c r="AC44" s="40" t="s">
        <v>78</v>
      </c>
      <c r="AD44" s="40" t="s">
        <v>78</v>
      </c>
      <c r="AE44" s="40" t="s">
        <v>78</v>
      </c>
      <c r="AF44" s="40" t="s">
        <v>78</v>
      </c>
      <c r="AG44" s="40" t="s">
        <v>85</v>
      </c>
      <c r="AH44" s="40" t="s">
        <v>78</v>
      </c>
      <c r="AI44" s="40" t="s">
        <v>78</v>
      </c>
      <c r="AJ44" s="40" t="s">
        <v>78</v>
      </c>
      <c r="AK44" s="40" t="s">
        <v>78</v>
      </c>
      <c r="AL44" s="40" t="s">
        <v>78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0.7741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3574.6</v>
      </c>
      <c r="AU44" cm="1">
        <f t="array" ref="AU44">$E$10*(1+$AS44)+VLOOKUP($R44,武学奇术!$A:$ZZ,4,FALSE)+SUM(_xlfn.XLOOKUP($S44:$AL44,增益!$A:$A,增益!$D:$D,0))-$I$2</f>
        <v>3574.6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0.2925</v>
      </c>
      <c r="AW44" s="32" cm="1">
        <f t="array" ref="AW44">$G$10+VLOOKUP($R44,武学奇术!$A:$ZZ,7,FALSE)+SUM(_xlfn.XLOOKUP($S44:$AL44,增益!$A:$A,增益!$G:$G,0))</f>
        <v>0.148</v>
      </c>
      <c r="AX44" s="26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2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2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2" cm="1">
        <f t="array" ref="BJ44">$G$13+VLOOKUP($R44,武学奇术!$A:$ZZ,14,FALSE)+SUM(_xlfn.XLOOKUP($S44:$AL44,增益!$A:$A,增益!$N:$N,0))</f>
        <v>0</v>
      </c>
      <c r="BK44">
        <f t="shared" si="7"/>
        <v>571.2</v>
      </c>
      <c r="BL44">
        <f t="shared" si="8"/>
        <v>1627.8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2" cm="1">
        <f t="array" ref="BN44">$G$14+VLOOKUP($R44,武学奇术!$A:$ZZ,16,FALSE)+SUM(_xlfn.XLOOKUP($S44:$AL44,增益!$A:$A,增益!$P:$P,0))</f>
        <v>0.27</v>
      </c>
      <c r="BO44" s="26">
        <f>MIN(IF(VLOOKUP($R44,武学奇术!$A:$ZZ,23,FALSE)=1,100%,$B$8),100%)</f>
        <v>0.981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0.846</v>
      </c>
      <c r="BQ44" s="26" cm="1">
        <f t="array" ref="BQ44">1+$B$13+VLOOKUP($R44,武学奇术!$A:$ZZ,18,FALSE)+SUM(_xlfn.XLOOKUP($S44:$AL44,增益!$A:$A,增益!$R:$R,0))</f>
        <v>2.02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0.0929</v>
      </c>
      <c r="BS44" s="26" cm="1">
        <f t="array" ref="BS44">1+$B$14+VLOOKUP($R44,武学奇术!$A:$ZZ,20,FALSE)+SUM(_xlfn.XLOOKUP($S44:$AL44,增益!$A:$A,增益!$T:$T,0))</f>
        <v>1.35</v>
      </c>
      <c r="BT44" s="26">
        <f t="shared" si="9"/>
        <v>0.829926</v>
      </c>
      <c r="BU44" s="26">
        <f t="shared" si="10"/>
        <v>0.0599391</v>
      </c>
      <c r="BV44" s="26">
        <f>IF(VLOOKUP($R44,武学奇术!$A:$ZZ,22,FALSE)=1,0,(1-$BO44))*(1-$BR44)</f>
        <v>0.0172349</v>
      </c>
      <c r="BW44" s="26" cm="1">
        <f t="array" ref="BW44">SUM(_xlfn.XLOOKUP($S44:$AL44,增益!$A:$A,增益!$W:$W,0))+$I$5</f>
        <v>0.11</v>
      </c>
      <c r="BX44" s="26" cm="1">
        <f t="array" ref="BX44">SUM(_xlfn.XLOOKUP($S44:$AL44,增益!$A:$A,增益!$X:$X,0))</f>
        <v>0</v>
      </c>
    </row>
    <row r="45" spans="1:76">
      <c r="A45" s="4"/>
      <c r="B45" s="88"/>
      <c r="C45" s="4"/>
      <c r="K45">
        <f>$L45*VLOOKUP($R45,武学奇术!$A:$ZZ,31,FALSE)</f>
        <v>85436.608272398</v>
      </c>
      <c r="L45" s="38">
        <f t="shared" si="11"/>
        <v>81368.1983546647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</f>
        <v>81368.1983546647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</f>
        <v>59970.6700130844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</f>
        <v>39691.8040754462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</f>
        <v>34960.8896226818</v>
      </c>
      <c r="Q45" s="39">
        <v>1</v>
      </c>
      <c r="R45" s="40" t="s">
        <v>132</v>
      </c>
      <c r="S45" s="40" t="s">
        <v>116</v>
      </c>
      <c r="T45" s="40" t="s">
        <v>102</v>
      </c>
      <c r="U45" s="40" t="s">
        <v>79</v>
      </c>
      <c r="V45" s="40" t="s">
        <v>78</v>
      </c>
      <c r="W45" s="40" t="s">
        <v>178</v>
      </c>
      <c r="X45" s="40" t="s">
        <v>106</v>
      </c>
      <c r="Y45" s="40" t="s">
        <v>78</v>
      </c>
      <c r="Z45" s="40" t="s">
        <v>78</v>
      </c>
      <c r="AA45" s="40" t="s">
        <v>78</v>
      </c>
      <c r="AB45" s="40" t="s">
        <v>133</v>
      </c>
      <c r="AC45" s="40" t="s">
        <v>78</v>
      </c>
      <c r="AD45" s="40" t="s">
        <v>78</v>
      </c>
      <c r="AE45" s="40" t="s">
        <v>78</v>
      </c>
      <c r="AF45" s="40" t="s">
        <v>78</v>
      </c>
      <c r="AG45" s="40" t="s">
        <v>85</v>
      </c>
      <c r="AH45" s="40" t="s">
        <v>78</v>
      </c>
      <c r="AI45" s="40" t="s">
        <v>78</v>
      </c>
      <c r="AJ45" s="40" t="s">
        <v>78</v>
      </c>
      <c r="AK45" s="40" t="s">
        <v>78</v>
      </c>
      <c r="AL45" s="40" t="s">
        <v>78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750</v>
      </c>
      <c r="AP45" s="26">
        <f>VLOOKUP($R45,武学奇术!$A:$ZZ,28,FALSE)</f>
        <v>2.7126</v>
      </c>
      <c r="AQ45" s="27">
        <f>VLOOKUP($R45,武学奇术!$A:$ZZ,29,FALSE)*(1+IF(OR($AM45=$F$4,$AM45=$F$5),$B$22,0))</f>
        <v>408</v>
      </c>
      <c r="AR45" s="26" cm="1">
        <f t="array" ref="AR45">$G$3+IFERROR(VLOOKUP($AM45,$F$4:$G$7,2,FALSE),0)+VLOOKUP($R45,武学奇术!$A:$ZZ,2,FALSE)+SUM(_xlfn.XLOOKUP($S45:$AL45,增益!$A:$A,增益!$B:$B,0))</f>
        <v>0.7741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3574.6</v>
      </c>
      <c r="AU45" cm="1">
        <f t="array" ref="AU45">$E$10*(1+$AS45)+VLOOKUP($R45,武学奇术!$A:$ZZ,4,FALSE)+SUM(_xlfn.XLOOKUP($S45:$AL45,增益!$A:$A,增益!$D:$D,0))-$I$2</f>
        <v>3574.6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0.2925</v>
      </c>
      <c r="AW45" s="32" cm="1">
        <f t="array" ref="AW45">$G$10+VLOOKUP($R45,武学奇术!$A:$ZZ,7,FALSE)+SUM(_xlfn.XLOOKUP($S45:$AL45,增益!$A:$A,增益!$G:$G,0))</f>
        <v>0.148</v>
      </c>
      <c r="AX45" s="26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2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2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2" cm="1">
        <f t="array" ref="BJ45">$G$13+VLOOKUP($R45,武学奇术!$A:$ZZ,14,FALSE)+SUM(_xlfn.XLOOKUP($S45:$AL45,增益!$A:$A,增益!$N:$N,0))</f>
        <v>0</v>
      </c>
      <c r="BK45">
        <f t="shared" si="7"/>
        <v>571.2</v>
      </c>
      <c r="BL45">
        <f t="shared" si="8"/>
        <v>1627.8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2" cm="1">
        <f t="array" ref="BN45">$G$14+VLOOKUP($R45,武学奇术!$A:$ZZ,16,FALSE)+SUM(_xlfn.XLOOKUP($S45:$AL45,增益!$A:$A,增益!$P:$P,0))</f>
        <v>0.27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2.05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9"/>
        <v>1</v>
      </c>
      <c r="BU45" s="26">
        <f t="shared" si="1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 cm="1">
        <f t="array" ref="BX45">SUM(_xlfn.XLOOKUP($S45:$AL45,增益!$A:$A,增益!$X:$X,0))</f>
        <v>0</v>
      </c>
    </row>
    <row r="46" spans="1:76">
      <c r="A46" s="4"/>
      <c r="B46" s="4"/>
      <c r="C46" s="4"/>
      <c r="K46">
        <f>$L46*VLOOKUP($R46,武学奇术!$A:$ZZ,31,FALSE)</f>
        <v>49748.139341974</v>
      </c>
      <c r="L46" s="38">
        <f t="shared" si="11"/>
        <v>47379.1803256896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</f>
        <v>47379.1803256896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</f>
        <v>35445.1561931611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</f>
        <v>23111.7952808242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</f>
        <v>19967.9193074549</v>
      </c>
      <c r="Q46" s="39">
        <v>2</v>
      </c>
      <c r="R46" s="40" t="s">
        <v>139</v>
      </c>
      <c r="S46" s="40" t="s">
        <v>116</v>
      </c>
      <c r="T46" s="40" t="s">
        <v>102</v>
      </c>
      <c r="U46" s="40" t="s">
        <v>79</v>
      </c>
      <c r="V46" s="40" t="s">
        <v>78</v>
      </c>
      <c r="W46" s="40" t="s">
        <v>178</v>
      </c>
      <c r="X46" s="40" t="s">
        <v>106</v>
      </c>
      <c r="Y46" s="40" t="s">
        <v>78</v>
      </c>
      <c r="Z46" s="40" t="s">
        <v>78</v>
      </c>
      <c r="AA46" s="40" t="s">
        <v>78</v>
      </c>
      <c r="AB46" s="40" t="s">
        <v>133</v>
      </c>
      <c r="AC46" s="40" t="s">
        <v>78</v>
      </c>
      <c r="AD46" s="40" t="s">
        <v>78</v>
      </c>
      <c r="AE46" s="40" t="s">
        <v>78</v>
      </c>
      <c r="AF46" s="40" t="s">
        <v>78</v>
      </c>
      <c r="AG46" s="40" t="s">
        <v>85</v>
      </c>
      <c r="AH46" s="40" t="s">
        <v>78</v>
      </c>
      <c r="AI46" s="40" t="s">
        <v>78</v>
      </c>
      <c r="AJ46" s="40" t="s">
        <v>78</v>
      </c>
      <c r="AK46" s="40" t="s">
        <v>78</v>
      </c>
      <c r="AL46" s="40" t="s">
        <v>78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0.9741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3574.6</v>
      </c>
      <c r="AU46" cm="1">
        <f t="array" ref="AU46">$E$10*(1+$AS46)+VLOOKUP($R46,武学奇术!$A:$ZZ,4,FALSE)+SUM(_xlfn.XLOOKUP($S46:$AL46,增益!$A:$A,增益!$D:$D,0))-$I$2</f>
        <v>3574.6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0.2925</v>
      </c>
      <c r="AW46" s="32" cm="1">
        <f t="array" ref="AW46">$G$10+VLOOKUP($R46,武学奇术!$A:$ZZ,7,FALSE)+SUM(_xlfn.XLOOKUP($S46:$AL46,增益!$A:$A,增益!$G:$G,0))</f>
        <v>0.148</v>
      </c>
      <c r="AX46" s="26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2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2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2" cm="1">
        <f t="array" ref="BJ46">$G$13+VLOOKUP($R46,武学奇术!$A:$ZZ,14,FALSE)+SUM(_xlfn.XLOOKUP($S46:$AL46,增益!$A:$A,增益!$N:$N,0))</f>
        <v>0</v>
      </c>
      <c r="BK46">
        <f t="shared" si="7"/>
        <v>571.2</v>
      </c>
      <c r="BL46">
        <f t="shared" si="8"/>
        <v>1627.8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2" cm="1">
        <f t="array" ref="BN46">$G$14+VLOOKUP($R46,武学奇术!$A:$ZZ,16,FALSE)+SUM(_xlfn.XLOOKUP($S46:$AL46,增益!$A:$A,增益!$P:$P,0))</f>
        <v>0.27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2.05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9"/>
        <v>1</v>
      </c>
      <c r="BU46" s="26">
        <f t="shared" si="1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 cm="1">
        <f t="array" ref="BX46">SUM(_xlfn.XLOOKUP($S46:$AL46,增益!$A:$A,增益!$X:$X,0))</f>
        <v>0</v>
      </c>
    </row>
    <row r="47" spans="1:76">
      <c r="A47" s="4"/>
      <c r="B47" s="4"/>
      <c r="C47" s="4"/>
      <c r="K47">
        <f>$L47*VLOOKUP($R47,武学奇术!$A:$ZZ,31,FALSE)</f>
        <v>70880.7460626924</v>
      </c>
      <c r="L47" s="38">
        <f t="shared" si="11"/>
        <v>67505.4724406594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</f>
        <v>72195.2996054776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</f>
        <v>53209.9834663188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</f>
        <v>35217.2193197452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</f>
        <v>31019.6360718468</v>
      </c>
      <c r="Q47" s="39">
        <v>1</v>
      </c>
      <c r="R47" s="40" t="s">
        <v>115</v>
      </c>
      <c r="S47" s="40" t="s">
        <v>116</v>
      </c>
      <c r="T47" s="40" t="s">
        <v>102</v>
      </c>
      <c r="U47" s="40" t="s">
        <v>79</v>
      </c>
      <c r="V47" s="40" t="s">
        <v>78</v>
      </c>
      <c r="W47" s="40" t="s">
        <v>178</v>
      </c>
      <c r="X47" s="40" t="s">
        <v>106</v>
      </c>
      <c r="Y47" s="40" t="s">
        <v>78</v>
      </c>
      <c r="Z47" s="40" t="s">
        <v>78</v>
      </c>
      <c r="AA47" s="40" t="s">
        <v>78</v>
      </c>
      <c r="AB47" s="40" t="s">
        <v>133</v>
      </c>
      <c r="AC47" s="40" t="s">
        <v>78</v>
      </c>
      <c r="AD47" s="40" t="s">
        <v>78</v>
      </c>
      <c r="AE47" s="40" t="s">
        <v>78</v>
      </c>
      <c r="AF47" s="40" t="s">
        <v>78</v>
      </c>
      <c r="AG47" s="40" t="s">
        <v>85</v>
      </c>
      <c r="AH47" s="40" t="s">
        <v>78</v>
      </c>
      <c r="AI47" s="40" t="s">
        <v>78</v>
      </c>
      <c r="AJ47" s="40" t="s">
        <v>78</v>
      </c>
      <c r="AK47" s="40" t="s">
        <v>78</v>
      </c>
      <c r="AL47" s="40" t="s">
        <v>78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750</v>
      </c>
      <c r="AP47" s="26">
        <f>VLOOKUP($R47,武学奇术!$A:$ZZ,28,FALSE)</f>
        <v>2.7126</v>
      </c>
      <c r="AQ47" s="27">
        <f>VLOOKUP($R47,武学奇术!$A:$ZZ,29,FALSE)*(1+IF(OR($AM47=$F$4,$AM47=$F$5),$B$22,0))</f>
        <v>408</v>
      </c>
      <c r="AR47" s="26" cm="1">
        <f t="array" ref="AR47">$G$3+IFERROR(VLOOKUP($AM47,$F$4:$G$7,2,FALSE),0)+VLOOKUP($R47,武学奇术!$A:$ZZ,2,FALSE)+SUM(_xlfn.XLOOKUP($S47:$AL47,增益!$A:$A,增益!$B:$B,0))</f>
        <v>0.5741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3574.6</v>
      </c>
      <c r="AU47" cm="1">
        <f t="array" ref="AU47">$E$10*(1+$AS47)+VLOOKUP($R47,武学奇术!$A:$ZZ,4,FALSE)+SUM(_xlfn.XLOOKUP($S47:$AL47,增益!$A:$A,增益!$D:$D,0))-$I$2</f>
        <v>3574.6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0.2925</v>
      </c>
      <c r="AW47" s="32" cm="1">
        <f t="array" ref="AW47">$G$10+VLOOKUP($R47,武学奇术!$A:$ZZ,7,FALSE)+SUM(_xlfn.XLOOKUP($S47:$AL47,增益!$A:$A,增益!$G:$G,0))</f>
        <v>0.148</v>
      </c>
      <c r="AX47" s="26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2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2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2" cm="1">
        <f t="array" ref="BJ47">$G$13+VLOOKUP($R47,武学奇术!$A:$ZZ,14,FALSE)+SUM(_xlfn.XLOOKUP($S47:$AL47,增益!$A:$A,增益!$N:$N,0))</f>
        <v>0</v>
      </c>
      <c r="BK47">
        <f t="shared" si="7"/>
        <v>571.2</v>
      </c>
      <c r="BL47">
        <f t="shared" si="8"/>
        <v>1627.8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2" cm="1">
        <f t="array" ref="BN47">$G$14+VLOOKUP($R47,武学奇术!$A:$ZZ,16,FALSE)+SUM(_xlfn.XLOOKUP($S47:$AL47,增益!$A:$A,增益!$P:$P,0))</f>
        <v>0.27</v>
      </c>
      <c r="BO47" s="26">
        <f>MIN(IF(VLOOKUP($R47,武学奇术!$A:$ZZ,23,FALSE)=1,100%,$B$8),100%)</f>
        <v>0.981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0.846</v>
      </c>
      <c r="BQ47" s="26" cm="1">
        <f t="array" ref="BQ47">1+$B$13+VLOOKUP($R47,武学奇术!$A:$ZZ,18,FALSE)+SUM(_xlfn.XLOOKUP($S47:$AL47,增益!$A:$A,增益!$R:$R,0))</f>
        <v>2.05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0.0929</v>
      </c>
      <c r="BS47" s="26" cm="1">
        <f t="array" ref="BS47">1+$B$14+VLOOKUP($R47,武学奇术!$A:$ZZ,20,FALSE)+SUM(_xlfn.XLOOKUP($S47:$AL47,增益!$A:$A,增益!$T:$T,0))</f>
        <v>1.35</v>
      </c>
      <c r="BT47" s="26">
        <f t="shared" si="9"/>
        <v>0.829926</v>
      </c>
      <c r="BU47" s="26">
        <f t="shared" si="10"/>
        <v>0.0599391</v>
      </c>
      <c r="BV47" s="26">
        <f>IF(VLOOKUP($R47,武学奇术!$A:$ZZ,22,FALSE)=1,0,(1-$BO47))*(1-$BR47)</f>
        <v>0.0172349</v>
      </c>
      <c r="BW47" s="26" cm="1">
        <f t="array" ref="BW47">SUM(_xlfn.XLOOKUP($S47:$AL47,增益!$A:$A,增益!$W:$W,0))+$I$5</f>
        <v>0.11</v>
      </c>
      <c r="BX47" s="26" cm="1">
        <f t="array" ref="BX47">SUM(_xlfn.XLOOKUP($S47:$AL47,增益!$A:$A,增益!$X:$X,0))</f>
        <v>0</v>
      </c>
    </row>
    <row r="48" spans="1:76">
      <c r="A48" s="4"/>
      <c r="B48" s="88"/>
      <c r="C48" s="4"/>
      <c r="K48">
        <f>$L48*VLOOKUP($R48,武学奇术!$A:$ZZ,31,FALSE)</f>
        <v>41843.5334846523</v>
      </c>
      <c r="L48" s="38">
        <f t="shared" si="11"/>
        <v>39850.9842710974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</f>
        <v>42579.1012693409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</f>
        <v>31854.1368736574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</f>
        <v>20770.2933021175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</f>
        <v>17944.9296607851</v>
      </c>
      <c r="Q48" s="39">
        <v>2</v>
      </c>
      <c r="R48" s="40" t="s">
        <v>119</v>
      </c>
      <c r="S48" s="40" t="s">
        <v>116</v>
      </c>
      <c r="T48" s="40" t="s">
        <v>102</v>
      </c>
      <c r="U48" s="40" t="s">
        <v>79</v>
      </c>
      <c r="V48" s="40" t="s">
        <v>78</v>
      </c>
      <c r="W48" s="40" t="s">
        <v>178</v>
      </c>
      <c r="X48" s="40" t="s">
        <v>106</v>
      </c>
      <c r="Y48" s="40" t="s">
        <v>78</v>
      </c>
      <c r="Z48" s="40" t="s">
        <v>78</v>
      </c>
      <c r="AA48" s="40" t="s">
        <v>78</v>
      </c>
      <c r="AB48" s="40" t="s">
        <v>133</v>
      </c>
      <c r="AC48" s="40" t="s">
        <v>78</v>
      </c>
      <c r="AD48" s="40" t="s">
        <v>78</v>
      </c>
      <c r="AE48" s="40" t="s">
        <v>78</v>
      </c>
      <c r="AF48" s="40" t="s">
        <v>78</v>
      </c>
      <c r="AG48" s="40" t="s">
        <v>85</v>
      </c>
      <c r="AH48" s="40" t="s">
        <v>78</v>
      </c>
      <c r="AI48" s="40" t="s">
        <v>78</v>
      </c>
      <c r="AJ48" s="40" t="s">
        <v>78</v>
      </c>
      <c r="AK48" s="40" t="s">
        <v>78</v>
      </c>
      <c r="AL48" s="40" t="s">
        <v>78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0.7741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3574.6</v>
      </c>
      <c r="AU48" cm="1">
        <f t="array" ref="AU48">$E$10*(1+$AS48)+VLOOKUP($R48,武学奇术!$A:$ZZ,4,FALSE)+SUM(_xlfn.XLOOKUP($S48:$AL48,增益!$A:$A,增益!$D:$D,0))-$I$2</f>
        <v>3574.6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0.2925</v>
      </c>
      <c r="AW48" s="32" cm="1">
        <f t="array" ref="AW48">$G$10+VLOOKUP($R48,武学奇术!$A:$ZZ,7,FALSE)+SUM(_xlfn.XLOOKUP($S48:$AL48,增益!$A:$A,增益!$G:$G,0))</f>
        <v>0.148</v>
      </c>
      <c r="AX48" s="26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2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2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2" cm="1">
        <f t="array" ref="BJ48">$G$13+VLOOKUP($R48,武学奇术!$A:$ZZ,14,FALSE)+SUM(_xlfn.XLOOKUP($S48:$AL48,增益!$A:$A,增益!$N:$N,0))</f>
        <v>0</v>
      </c>
      <c r="BK48">
        <f t="shared" si="7"/>
        <v>571.2</v>
      </c>
      <c r="BL48">
        <f t="shared" si="8"/>
        <v>1627.8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2" cm="1">
        <f t="array" ref="BN48">$G$14+VLOOKUP($R48,武学奇术!$A:$ZZ,16,FALSE)+SUM(_xlfn.XLOOKUP($S48:$AL48,增益!$A:$A,增益!$P:$P,0))</f>
        <v>0.27</v>
      </c>
      <c r="BO48" s="26">
        <f>MIN(IF(VLOOKUP($R48,武学奇术!$A:$ZZ,23,FALSE)=1,100%,$B$8),100%)</f>
        <v>0.981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0.846</v>
      </c>
      <c r="BQ48" s="26" cm="1">
        <f t="array" ref="BQ48">1+$B$13+VLOOKUP($R48,武学奇术!$A:$ZZ,18,FALSE)+SUM(_xlfn.XLOOKUP($S48:$AL48,增益!$A:$A,增益!$R:$R,0))</f>
        <v>2.05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0.0929</v>
      </c>
      <c r="BS48" s="26" cm="1">
        <f t="array" ref="BS48">1+$B$14+VLOOKUP($R48,武学奇术!$A:$ZZ,20,FALSE)+SUM(_xlfn.XLOOKUP($S48:$AL48,增益!$A:$A,增益!$T:$T,0))</f>
        <v>1.35</v>
      </c>
      <c r="BT48" s="26">
        <f t="shared" si="9"/>
        <v>0.829926</v>
      </c>
      <c r="BU48" s="26">
        <f t="shared" si="10"/>
        <v>0.0599391</v>
      </c>
      <c r="BV48" s="26">
        <f>IF(VLOOKUP($R48,武学奇术!$A:$ZZ,22,FALSE)=1,0,(1-$BO48))*(1-$BR48)</f>
        <v>0.0172349</v>
      </c>
      <c r="BW48" s="26" cm="1">
        <f t="array" ref="BW48">SUM(_xlfn.XLOOKUP($S48:$AL48,增益!$A:$A,增益!$W:$W,0))+$I$5</f>
        <v>0.11</v>
      </c>
      <c r="BX48" s="26" cm="1">
        <f t="array" ref="BX48">SUM(_xlfn.XLOOKUP($S48:$AL48,增益!$A:$A,增益!$X:$X,0))</f>
        <v>0</v>
      </c>
    </row>
    <row r="49" spans="1:76">
      <c r="A49" s="4"/>
      <c r="B49" s="88"/>
      <c r="C49" s="4"/>
      <c r="K49">
        <f>$L49*VLOOKUP($R49,武学奇术!$A:$ZZ,31,FALSE)</f>
        <v>71187.6367652846</v>
      </c>
      <c r="L49" s="38">
        <f t="shared" si="11"/>
        <v>67797.749300271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</f>
        <v>72547.471798675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</f>
        <v>53209.9834663188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</f>
        <v>35217.2193197452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</f>
        <v>31019.6360718468</v>
      </c>
      <c r="Q49" s="39">
        <v>1</v>
      </c>
      <c r="R49" s="40" t="s">
        <v>115</v>
      </c>
      <c r="S49" s="40" t="s">
        <v>116</v>
      </c>
      <c r="T49" s="40" t="s">
        <v>102</v>
      </c>
      <c r="U49" s="40" t="s">
        <v>79</v>
      </c>
      <c r="V49" s="40" t="s">
        <v>78</v>
      </c>
      <c r="W49" s="40" t="s">
        <v>181</v>
      </c>
      <c r="X49" s="40" t="s">
        <v>106</v>
      </c>
      <c r="Y49" s="40" t="s">
        <v>78</v>
      </c>
      <c r="Z49" s="40" t="s">
        <v>78</v>
      </c>
      <c r="AA49" s="40" t="s">
        <v>78</v>
      </c>
      <c r="AB49" s="40" t="s">
        <v>133</v>
      </c>
      <c r="AC49" s="40" t="s">
        <v>78</v>
      </c>
      <c r="AD49" s="40" t="s">
        <v>78</v>
      </c>
      <c r="AE49" s="40" t="s">
        <v>78</v>
      </c>
      <c r="AF49" s="40" t="s">
        <v>78</v>
      </c>
      <c r="AG49" s="40" t="s">
        <v>85</v>
      </c>
      <c r="AH49" s="40" t="s">
        <v>78</v>
      </c>
      <c r="AI49" s="40" t="s">
        <v>78</v>
      </c>
      <c r="AJ49" s="40" t="s">
        <v>78</v>
      </c>
      <c r="AK49" s="40" t="s">
        <v>78</v>
      </c>
      <c r="AL49" s="40" t="s">
        <v>78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750</v>
      </c>
      <c r="AP49" s="26">
        <f>VLOOKUP($R49,武学奇术!$A:$ZZ,28,FALSE)</f>
        <v>2.7126</v>
      </c>
      <c r="AQ49" s="27">
        <f>VLOOKUP($R49,武学奇术!$A:$ZZ,29,FALSE)*(1+IF(OR($AM49=$F$4,$AM49=$F$5),$B$22,0))</f>
        <v>408</v>
      </c>
      <c r="AR49" s="26" cm="1">
        <f t="array" ref="AR49">$G$3+IFERROR(VLOOKUP($AM49,$F$4:$G$7,2,FALSE),0)+VLOOKUP($R49,武学奇术!$A:$ZZ,2,FALSE)+SUM(_xlfn.XLOOKUP($S49:$AL49,增益!$A:$A,增益!$B:$B,0))</f>
        <v>0.5741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3574.6</v>
      </c>
      <c r="AU49" cm="1">
        <f t="array" ref="AU49">$E$10*(1+$AS49)+VLOOKUP($R49,武学奇术!$A:$ZZ,4,FALSE)+SUM(_xlfn.XLOOKUP($S49:$AL49,增益!$A:$A,增益!$D:$D,0))-$I$2</f>
        <v>3574.6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0.2925</v>
      </c>
      <c r="AW49" s="32" cm="1">
        <f t="array" ref="AW49">$G$10+VLOOKUP($R49,武学奇术!$A:$ZZ,7,FALSE)+SUM(_xlfn.XLOOKUP($S49:$AL49,增益!$A:$A,增益!$G:$G,0))</f>
        <v>0.148</v>
      </c>
      <c r="AX49" s="26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2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2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2" cm="1">
        <f t="array" ref="BJ49">$G$13+VLOOKUP($R49,武学奇术!$A:$ZZ,14,FALSE)+SUM(_xlfn.XLOOKUP($S49:$AL49,增益!$A:$A,增益!$N:$N,0))</f>
        <v>0</v>
      </c>
      <c r="BK49">
        <f t="shared" si="7"/>
        <v>571.2</v>
      </c>
      <c r="BL49">
        <f t="shared" si="8"/>
        <v>1627.8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2" cm="1">
        <f t="array" ref="BN49">$G$14+VLOOKUP($R49,武学奇术!$A:$ZZ,16,FALSE)+SUM(_xlfn.XLOOKUP($S49:$AL49,增益!$A:$A,增益!$P:$P,0))</f>
        <v>0.27</v>
      </c>
      <c r="BO49" s="26">
        <f>MIN(IF(VLOOKUP($R49,武学奇术!$A:$ZZ,23,FALSE)=1,100%,$B$8),100%)</f>
        <v>0.981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0.846</v>
      </c>
      <c r="BQ49" s="26" cm="1">
        <f t="array" ref="BQ49">1+$B$13+VLOOKUP($R49,武学奇术!$A:$ZZ,18,FALSE)+SUM(_xlfn.XLOOKUP($S49:$AL49,增益!$A:$A,增益!$R:$R,0))</f>
        <v>2.06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0.0929</v>
      </c>
      <c r="BS49" s="26" cm="1">
        <f t="array" ref="BS49">1+$B$14+VLOOKUP($R49,武学奇术!$A:$ZZ,20,FALSE)+SUM(_xlfn.XLOOKUP($S49:$AL49,增益!$A:$A,增益!$T:$T,0))</f>
        <v>1.35</v>
      </c>
      <c r="BT49" s="26">
        <f t="shared" si="9"/>
        <v>0.829926</v>
      </c>
      <c r="BU49" s="26">
        <f t="shared" si="10"/>
        <v>0.0599391</v>
      </c>
      <c r="BV49" s="26">
        <f>IF(VLOOKUP($R49,武学奇术!$A:$ZZ,22,FALSE)=1,0,(1-$BO49))*(1-$BR49)</f>
        <v>0.0172349</v>
      </c>
      <c r="BW49" s="26" cm="1">
        <f t="array" ref="BW49">SUM(_xlfn.XLOOKUP($S49:$AL49,增益!$A:$A,增益!$W:$W,0))+$I$5</f>
        <v>0.11</v>
      </c>
      <c r="BX49" s="26" cm="1">
        <f t="array" ref="BX49">SUM(_xlfn.XLOOKUP($S49:$AL49,增益!$A:$A,增益!$X:$X,0))</f>
        <v>0</v>
      </c>
    </row>
    <row r="50" spans="1:76">
      <c r="A50" s="4"/>
      <c r="B50" s="4"/>
      <c r="C50" s="4"/>
      <c r="K50">
        <f>$L50*VLOOKUP($R50,武学奇术!$A:$ZZ,31,FALSE)</f>
        <v>42024.5304522623</v>
      </c>
      <c r="L50" s="38">
        <f t="shared" si="11"/>
        <v>40023.3623354879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</f>
        <v>42786.8042023621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</f>
        <v>31854.1368736574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</f>
        <v>20770.2933021175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</f>
        <v>17944.9296607851</v>
      </c>
      <c r="Q50" s="39">
        <v>2</v>
      </c>
      <c r="R50" s="40" t="s">
        <v>119</v>
      </c>
      <c r="S50" s="40" t="s">
        <v>116</v>
      </c>
      <c r="T50" s="40" t="s">
        <v>102</v>
      </c>
      <c r="U50" s="40" t="s">
        <v>79</v>
      </c>
      <c r="V50" s="40" t="s">
        <v>78</v>
      </c>
      <c r="W50" s="40" t="s">
        <v>181</v>
      </c>
      <c r="X50" s="40" t="s">
        <v>106</v>
      </c>
      <c r="Y50" s="40" t="s">
        <v>78</v>
      </c>
      <c r="Z50" s="40" t="s">
        <v>78</v>
      </c>
      <c r="AA50" s="40" t="s">
        <v>78</v>
      </c>
      <c r="AB50" s="40" t="s">
        <v>133</v>
      </c>
      <c r="AC50" s="40" t="s">
        <v>78</v>
      </c>
      <c r="AD50" s="40" t="s">
        <v>78</v>
      </c>
      <c r="AE50" s="40" t="s">
        <v>78</v>
      </c>
      <c r="AF50" s="40" t="s">
        <v>78</v>
      </c>
      <c r="AG50" s="40" t="s">
        <v>85</v>
      </c>
      <c r="AH50" s="40" t="s">
        <v>78</v>
      </c>
      <c r="AI50" s="40" t="s">
        <v>78</v>
      </c>
      <c r="AJ50" s="40" t="s">
        <v>78</v>
      </c>
      <c r="AK50" s="40" t="s">
        <v>78</v>
      </c>
      <c r="AL50" s="40" t="s">
        <v>78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0.7741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3574.6</v>
      </c>
      <c r="AU50" cm="1">
        <f t="array" ref="AU50">$E$10*(1+$AS50)+VLOOKUP($R50,武学奇术!$A:$ZZ,4,FALSE)+SUM(_xlfn.XLOOKUP($S50:$AL50,增益!$A:$A,增益!$D:$D,0))-$I$2</f>
        <v>3574.6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0.2925</v>
      </c>
      <c r="AW50" s="32" cm="1">
        <f t="array" ref="AW50">$G$10+VLOOKUP($R50,武学奇术!$A:$ZZ,7,FALSE)+SUM(_xlfn.XLOOKUP($S50:$AL50,增益!$A:$A,增益!$G:$G,0))</f>
        <v>0.148</v>
      </c>
      <c r="AX50" s="26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2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2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2" cm="1">
        <f t="array" ref="BJ50">$G$13+VLOOKUP($R50,武学奇术!$A:$ZZ,14,FALSE)+SUM(_xlfn.XLOOKUP($S50:$AL50,增益!$A:$A,增益!$N:$N,0))</f>
        <v>0</v>
      </c>
      <c r="BK50">
        <f t="shared" si="7"/>
        <v>571.2</v>
      </c>
      <c r="BL50">
        <f t="shared" si="8"/>
        <v>1627.8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2" cm="1">
        <f t="array" ref="BN50">$G$14+VLOOKUP($R50,武学奇术!$A:$ZZ,16,FALSE)+SUM(_xlfn.XLOOKUP($S50:$AL50,增益!$A:$A,增益!$P:$P,0))</f>
        <v>0.27</v>
      </c>
      <c r="BO50" s="26">
        <f>MIN(IF(VLOOKUP($R50,武学奇术!$A:$ZZ,23,FALSE)=1,100%,$B$8),100%)</f>
        <v>0.981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0.846</v>
      </c>
      <c r="BQ50" s="26" cm="1">
        <f t="array" ref="BQ50">1+$B$13+VLOOKUP($R50,武学奇术!$A:$ZZ,18,FALSE)+SUM(_xlfn.XLOOKUP($S50:$AL50,增益!$A:$A,增益!$R:$R,0))</f>
        <v>2.06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0.0929</v>
      </c>
      <c r="BS50" s="26" cm="1">
        <f t="array" ref="BS50">1+$B$14+VLOOKUP($R50,武学奇术!$A:$ZZ,20,FALSE)+SUM(_xlfn.XLOOKUP($S50:$AL50,增益!$A:$A,增益!$T:$T,0))</f>
        <v>1.35</v>
      </c>
      <c r="BT50" s="26">
        <f t="shared" si="9"/>
        <v>0.829926</v>
      </c>
      <c r="BU50" s="26">
        <f t="shared" si="10"/>
        <v>0.0599391</v>
      </c>
      <c r="BV50" s="26">
        <f>IF(VLOOKUP($R50,武学奇术!$A:$ZZ,22,FALSE)=1,0,(1-$BO50))*(1-$BR50)</f>
        <v>0.0172349</v>
      </c>
      <c r="BW50" s="26" cm="1">
        <f t="array" ref="BW50">SUM(_xlfn.XLOOKUP($S50:$AL50,增益!$A:$A,增益!$W:$W,0))+$I$5</f>
        <v>0.11</v>
      </c>
      <c r="BX50" s="26" cm="1">
        <f t="array" ref="BX50">SUM(_xlfn.XLOOKUP($S50:$AL50,增益!$A:$A,增益!$X:$X,0))</f>
        <v>0</v>
      </c>
    </row>
    <row r="51" spans="1:76">
      <c r="A51" s="4"/>
      <c r="B51" s="4"/>
      <c r="C51" s="4"/>
      <c r="K51">
        <f>$L51*VLOOKUP($R51,武学奇术!$A:$ZZ,31,FALSE)</f>
        <v>85853.3722151902</v>
      </c>
      <c r="L51" s="38">
        <f t="shared" si="11"/>
        <v>81765.1163954192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</f>
        <v>81765.1163954192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</f>
        <v>59970.6700130844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</f>
        <v>39691.8040754462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</f>
        <v>34960.8896226818</v>
      </c>
      <c r="Q51" s="39">
        <v>1</v>
      </c>
      <c r="R51" s="40" t="s">
        <v>132</v>
      </c>
      <c r="S51" s="40" t="s">
        <v>116</v>
      </c>
      <c r="T51" s="40" t="s">
        <v>102</v>
      </c>
      <c r="U51" s="40" t="s">
        <v>79</v>
      </c>
      <c r="V51" s="40" t="s">
        <v>78</v>
      </c>
      <c r="W51" s="40" t="s">
        <v>181</v>
      </c>
      <c r="X51" s="40" t="s">
        <v>106</v>
      </c>
      <c r="Y51" s="40" t="s">
        <v>78</v>
      </c>
      <c r="Z51" s="40" t="s">
        <v>78</v>
      </c>
      <c r="AA51" s="40" t="s">
        <v>78</v>
      </c>
      <c r="AB51" s="40" t="s">
        <v>133</v>
      </c>
      <c r="AC51" s="40" t="s">
        <v>78</v>
      </c>
      <c r="AD51" s="40" t="s">
        <v>78</v>
      </c>
      <c r="AE51" s="40" t="s">
        <v>78</v>
      </c>
      <c r="AF51" s="40" t="s">
        <v>78</v>
      </c>
      <c r="AG51" s="40" t="s">
        <v>85</v>
      </c>
      <c r="AH51" s="40" t="s">
        <v>78</v>
      </c>
      <c r="AI51" s="40" t="s">
        <v>78</v>
      </c>
      <c r="AJ51" s="40" t="s">
        <v>78</v>
      </c>
      <c r="AK51" s="40" t="s">
        <v>78</v>
      </c>
      <c r="AL51" s="40" t="s">
        <v>78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750</v>
      </c>
      <c r="AP51" s="26">
        <f>VLOOKUP($R51,武学奇术!$A:$ZZ,28,FALSE)</f>
        <v>2.7126</v>
      </c>
      <c r="AQ51" s="27">
        <f>VLOOKUP($R51,武学奇术!$A:$ZZ,29,FALSE)*(1+IF(OR($AM51=$F$4,$AM51=$F$5),$B$22,0))</f>
        <v>408</v>
      </c>
      <c r="AR51" s="26" cm="1">
        <f t="array" ref="AR51">$G$3+IFERROR(VLOOKUP($AM51,$F$4:$G$7,2,FALSE),0)+VLOOKUP($R51,武学奇术!$A:$ZZ,2,FALSE)+SUM(_xlfn.XLOOKUP($S51:$AL51,增益!$A:$A,增益!$B:$B,0))</f>
        <v>0.7741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3574.6</v>
      </c>
      <c r="AU51" cm="1">
        <f t="array" ref="AU51">$E$10*(1+$AS51)+VLOOKUP($R51,武学奇术!$A:$ZZ,4,FALSE)+SUM(_xlfn.XLOOKUP($S51:$AL51,增益!$A:$A,增益!$D:$D,0))-$I$2</f>
        <v>3574.6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0.2925</v>
      </c>
      <c r="AW51" s="32" cm="1">
        <f t="array" ref="AW51">$G$10+VLOOKUP($R51,武学奇术!$A:$ZZ,7,FALSE)+SUM(_xlfn.XLOOKUP($S51:$AL51,增益!$A:$A,增益!$G:$G,0))</f>
        <v>0.148</v>
      </c>
      <c r="AX51" s="26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2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2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2" cm="1">
        <f t="array" ref="BJ51">$G$13+VLOOKUP($R51,武学奇术!$A:$ZZ,14,FALSE)+SUM(_xlfn.XLOOKUP($S51:$AL51,增益!$A:$A,增益!$N:$N,0))</f>
        <v>0</v>
      </c>
      <c r="BK51">
        <f t="shared" si="7"/>
        <v>571.2</v>
      </c>
      <c r="BL51">
        <f t="shared" si="8"/>
        <v>1627.8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2" cm="1">
        <f t="array" ref="BN51">$G$14+VLOOKUP($R51,武学奇术!$A:$ZZ,16,FALSE)+SUM(_xlfn.XLOOKUP($S51:$AL51,增益!$A:$A,增益!$P:$P,0))</f>
        <v>0.27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2.06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9"/>
        <v>1</v>
      </c>
      <c r="BU51" s="26">
        <f t="shared" si="1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 cm="1">
        <f t="array" ref="BX51">SUM(_xlfn.XLOOKUP($S51:$AL51,增益!$A:$A,增益!$X:$X,0))</f>
        <v>0</v>
      </c>
    </row>
    <row r="52" spans="1:76">
      <c r="A52" s="4"/>
      <c r="B52" s="4"/>
      <c r="C52" s="4"/>
      <c r="K52">
        <f>$L52*VLOOKUP($R52,武学奇术!$A:$ZZ,31,FALSE)</f>
        <v>49990.8131924227</v>
      </c>
      <c r="L52" s="38">
        <f t="shared" si="11"/>
        <v>47610.2982784978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</f>
        <v>47610.2982784978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</f>
        <v>35445.1561931611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</f>
        <v>23111.7952808242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</f>
        <v>19967.9193074549</v>
      </c>
      <c r="Q52" s="39">
        <v>2</v>
      </c>
      <c r="R52" s="40" t="s">
        <v>139</v>
      </c>
      <c r="S52" s="40" t="s">
        <v>116</v>
      </c>
      <c r="T52" s="40" t="s">
        <v>102</v>
      </c>
      <c r="U52" s="40" t="s">
        <v>79</v>
      </c>
      <c r="V52" s="40" t="s">
        <v>78</v>
      </c>
      <c r="W52" s="40" t="s">
        <v>181</v>
      </c>
      <c r="X52" s="40" t="s">
        <v>106</v>
      </c>
      <c r="Y52" s="40" t="s">
        <v>78</v>
      </c>
      <c r="Z52" s="40" t="s">
        <v>78</v>
      </c>
      <c r="AA52" s="40" t="s">
        <v>78</v>
      </c>
      <c r="AB52" s="40" t="s">
        <v>133</v>
      </c>
      <c r="AC52" s="40" t="s">
        <v>78</v>
      </c>
      <c r="AD52" s="40" t="s">
        <v>78</v>
      </c>
      <c r="AE52" s="40" t="s">
        <v>78</v>
      </c>
      <c r="AF52" s="40" t="s">
        <v>78</v>
      </c>
      <c r="AG52" s="40" t="s">
        <v>85</v>
      </c>
      <c r="AH52" s="40" t="s">
        <v>78</v>
      </c>
      <c r="AI52" s="40" t="s">
        <v>78</v>
      </c>
      <c r="AJ52" s="40" t="s">
        <v>78</v>
      </c>
      <c r="AK52" s="40" t="s">
        <v>78</v>
      </c>
      <c r="AL52" s="40" t="s">
        <v>78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0.9741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3574.6</v>
      </c>
      <c r="AU52" cm="1">
        <f t="array" ref="AU52">$E$10*(1+$AS52)+VLOOKUP($R52,武学奇术!$A:$ZZ,4,FALSE)+SUM(_xlfn.XLOOKUP($S52:$AL52,增益!$A:$A,增益!$D:$D,0))-$I$2</f>
        <v>3574.6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0.2925</v>
      </c>
      <c r="AW52" s="32" cm="1">
        <f t="array" ref="AW52">$G$10+VLOOKUP($R52,武学奇术!$A:$ZZ,7,FALSE)+SUM(_xlfn.XLOOKUP($S52:$AL52,增益!$A:$A,增益!$G:$G,0))</f>
        <v>0.148</v>
      </c>
      <c r="AX52" s="26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2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2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2" cm="1">
        <f t="array" ref="BJ52">$G$13+VLOOKUP($R52,武学奇术!$A:$ZZ,14,FALSE)+SUM(_xlfn.XLOOKUP($S52:$AL52,增益!$A:$A,增益!$N:$N,0))</f>
        <v>0</v>
      </c>
      <c r="BK52">
        <f t="shared" si="7"/>
        <v>571.2</v>
      </c>
      <c r="BL52">
        <f t="shared" si="8"/>
        <v>1627.8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2" cm="1">
        <f t="array" ref="BN52">$G$14+VLOOKUP($R52,武学奇术!$A:$ZZ,16,FALSE)+SUM(_xlfn.XLOOKUP($S52:$AL52,增益!$A:$A,增益!$P:$P,0))</f>
        <v>0.27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2.06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9"/>
        <v>1</v>
      </c>
      <c r="BU52" s="26">
        <f t="shared" si="1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 cm="1">
        <f t="array" ref="BX52">SUM(_xlfn.XLOOKUP($S52:$AL52,增益!$A:$A,增益!$X:$X,0))</f>
        <v>0</v>
      </c>
    </row>
    <row r="53" spans="1:76">
      <c r="A53" s="4"/>
      <c r="B53" s="88"/>
      <c r="C53" s="4"/>
      <c r="K53">
        <f>$L53*VLOOKUP($R53,武学奇术!$A:$ZZ,31,FALSE)</f>
        <v>71187.6367652846</v>
      </c>
      <c r="L53" s="38">
        <f t="shared" si="11"/>
        <v>67797.749300271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</f>
        <v>72547.471798675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</f>
        <v>53209.9834663188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</f>
        <v>35217.2193197452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</f>
        <v>31019.6360718468</v>
      </c>
      <c r="Q53" s="39">
        <v>1</v>
      </c>
      <c r="R53" s="40" t="s">
        <v>115</v>
      </c>
      <c r="S53" s="40" t="s">
        <v>116</v>
      </c>
      <c r="T53" s="40" t="s">
        <v>102</v>
      </c>
      <c r="U53" s="40" t="s">
        <v>79</v>
      </c>
      <c r="V53" s="40" t="s">
        <v>78</v>
      </c>
      <c r="W53" s="40" t="s">
        <v>181</v>
      </c>
      <c r="X53" s="40" t="s">
        <v>106</v>
      </c>
      <c r="Y53" s="40" t="s">
        <v>78</v>
      </c>
      <c r="Z53" s="40" t="s">
        <v>78</v>
      </c>
      <c r="AA53" s="40" t="s">
        <v>78</v>
      </c>
      <c r="AB53" s="40" t="s">
        <v>133</v>
      </c>
      <c r="AC53" s="40" t="s">
        <v>78</v>
      </c>
      <c r="AD53" s="40" t="s">
        <v>78</v>
      </c>
      <c r="AE53" s="40" t="s">
        <v>78</v>
      </c>
      <c r="AF53" s="40" t="s">
        <v>78</v>
      </c>
      <c r="AG53" s="40" t="s">
        <v>85</v>
      </c>
      <c r="AH53" s="40" t="s">
        <v>78</v>
      </c>
      <c r="AI53" s="40" t="s">
        <v>78</v>
      </c>
      <c r="AJ53" s="40" t="s">
        <v>78</v>
      </c>
      <c r="AK53" s="40" t="s">
        <v>78</v>
      </c>
      <c r="AL53" s="40" t="s">
        <v>78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750</v>
      </c>
      <c r="AP53" s="26">
        <f>VLOOKUP($R53,武学奇术!$A:$ZZ,28,FALSE)</f>
        <v>2.7126</v>
      </c>
      <c r="AQ53" s="27">
        <f>VLOOKUP($R53,武学奇术!$A:$ZZ,29,FALSE)*(1+IF(OR($AM53=$F$4,$AM53=$F$5),$B$22,0))</f>
        <v>408</v>
      </c>
      <c r="AR53" s="26" cm="1">
        <f t="array" ref="AR53">$G$3+IFERROR(VLOOKUP($AM53,$F$4:$G$7,2,FALSE),0)+VLOOKUP($R53,武学奇术!$A:$ZZ,2,FALSE)+SUM(_xlfn.XLOOKUP($S53:$AL53,增益!$A:$A,增益!$B:$B,0))</f>
        <v>0.5741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3574.6</v>
      </c>
      <c r="AU53" cm="1">
        <f t="array" ref="AU53">$E$10*(1+$AS53)+VLOOKUP($R53,武学奇术!$A:$ZZ,4,FALSE)+SUM(_xlfn.XLOOKUP($S53:$AL53,增益!$A:$A,增益!$D:$D,0))-$I$2</f>
        <v>3574.6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0.2925</v>
      </c>
      <c r="AW53" s="32" cm="1">
        <f t="array" ref="AW53">$G$10+VLOOKUP($R53,武学奇术!$A:$ZZ,7,FALSE)+SUM(_xlfn.XLOOKUP($S53:$AL53,增益!$A:$A,增益!$G:$G,0))</f>
        <v>0.148</v>
      </c>
      <c r="AX53" s="26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2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2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2" cm="1">
        <f t="array" ref="BJ53">$G$13+VLOOKUP($R53,武学奇术!$A:$ZZ,14,FALSE)+SUM(_xlfn.XLOOKUP($S53:$AL53,增益!$A:$A,增益!$N:$N,0))</f>
        <v>0</v>
      </c>
      <c r="BK53">
        <f t="shared" si="7"/>
        <v>571.2</v>
      </c>
      <c r="BL53">
        <f t="shared" si="8"/>
        <v>1627.8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2" cm="1">
        <f t="array" ref="BN53">$G$14+VLOOKUP($R53,武学奇术!$A:$ZZ,16,FALSE)+SUM(_xlfn.XLOOKUP($S53:$AL53,增益!$A:$A,增益!$P:$P,0))</f>
        <v>0.27</v>
      </c>
      <c r="BO53" s="26">
        <f>MIN(IF(VLOOKUP($R53,武学奇术!$A:$ZZ,23,FALSE)=1,100%,$B$8),100%)</f>
        <v>0.981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0.846</v>
      </c>
      <c r="BQ53" s="26" cm="1">
        <f t="array" ref="BQ53">1+$B$13+VLOOKUP($R53,武学奇术!$A:$ZZ,18,FALSE)+SUM(_xlfn.XLOOKUP($S53:$AL53,增益!$A:$A,增益!$R:$R,0))</f>
        <v>2.06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0.0929</v>
      </c>
      <c r="BS53" s="26" cm="1">
        <f t="array" ref="BS53">1+$B$14+VLOOKUP($R53,武学奇术!$A:$ZZ,20,FALSE)+SUM(_xlfn.XLOOKUP($S53:$AL53,增益!$A:$A,增益!$T:$T,0))</f>
        <v>1.35</v>
      </c>
      <c r="BT53" s="26">
        <f t="shared" si="9"/>
        <v>0.829926</v>
      </c>
      <c r="BU53" s="26">
        <f t="shared" si="10"/>
        <v>0.0599391</v>
      </c>
      <c r="BV53" s="26">
        <f>IF(VLOOKUP($R53,武学奇术!$A:$ZZ,22,FALSE)=1,0,(1-$BO53))*(1-$BR53)</f>
        <v>0.0172349</v>
      </c>
      <c r="BW53" s="26" cm="1">
        <f t="array" ref="BW53">SUM(_xlfn.XLOOKUP($S53:$AL53,增益!$A:$A,增益!$W:$W,0))+$I$5</f>
        <v>0.11</v>
      </c>
      <c r="BX53" s="26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42024.5304522623</v>
      </c>
      <c r="L54" s="38">
        <f t="shared" si="11"/>
        <v>40023.3623354879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</f>
        <v>42786.8042023621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</f>
        <v>31854.1368736574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</f>
        <v>20770.2933021175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</f>
        <v>17944.9296607851</v>
      </c>
      <c r="Q54" s="39">
        <v>2</v>
      </c>
      <c r="R54" s="40" t="s">
        <v>119</v>
      </c>
      <c r="S54" s="40" t="s">
        <v>116</v>
      </c>
      <c r="T54" s="40" t="s">
        <v>102</v>
      </c>
      <c r="U54" s="40" t="s">
        <v>79</v>
      </c>
      <c r="V54" s="40" t="s">
        <v>78</v>
      </c>
      <c r="W54" s="40" t="s">
        <v>181</v>
      </c>
      <c r="X54" s="40" t="s">
        <v>106</v>
      </c>
      <c r="Y54" s="40" t="s">
        <v>78</v>
      </c>
      <c r="Z54" s="40" t="s">
        <v>78</v>
      </c>
      <c r="AA54" s="40" t="s">
        <v>78</v>
      </c>
      <c r="AB54" s="40" t="s">
        <v>133</v>
      </c>
      <c r="AC54" s="40" t="s">
        <v>78</v>
      </c>
      <c r="AD54" s="40" t="s">
        <v>78</v>
      </c>
      <c r="AE54" s="40" t="s">
        <v>78</v>
      </c>
      <c r="AF54" s="40" t="s">
        <v>78</v>
      </c>
      <c r="AG54" s="40" t="s">
        <v>85</v>
      </c>
      <c r="AH54" s="40" t="s">
        <v>78</v>
      </c>
      <c r="AI54" s="40" t="s">
        <v>78</v>
      </c>
      <c r="AJ54" s="40" t="s">
        <v>78</v>
      </c>
      <c r="AK54" s="40" t="s">
        <v>78</v>
      </c>
      <c r="AL54" s="40" t="s">
        <v>78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0.7741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3574.6</v>
      </c>
      <c r="AU54" cm="1">
        <f t="array" ref="AU54">$E$10*(1+$AS54)+VLOOKUP($R54,武学奇术!$A:$ZZ,4,FALSE)+SUM(_xlfn.XLOOKUP($S54:$AL54,增益!$A:$A,增益!$D:$D,0))-$I$2</f>
        <v>3574.6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0.2925</v>
      </c>
      <c r="AW54" s="32" cm="1">
        <f t="array" ref="AW54">$G$10+VLOOKUP($R54,武学奇术!$A:$ZZ,7,FALSE)+SUM(_xlfn.XLOOKUP($S54:$AL54,增益!$A:$A,增益!$G:$G,0))</f>
        <v>0.148</v>
      </c>
      <c r="AX54" s="26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2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2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2" cm="1">
        <f t="array" ref="BJ54">$G$13+VLOOKUP($R54,武学奇术!$A:$ZZ,14,FALSE)+SUM(_xlfn.XLOOKUP($S54:$AL54,增益!$A:$A,增益!$N:$N,0))</f>
        <v>0</v>
      </c>
      <c r="BK54">
        <f t="shared" si="7"/>
        <v>571.2</v>
      </c>
      <c r="BL54">
        <f t="shared" si="8"/>
        <v>1627.8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2" cm="1">
        <f t="array" ref="BN54">$G$14+VLOOKUP($R54,武学奇术!$A:$ZZ,16,FALSE)+SUM(_xlfn.XLOOKUP($S54:$AL54,增益!$A:$A,增益!$P:$P,0))</f>
        <v>0.27</v>
      </c>
      <c r="BO54" s="26">
        <f>MIN(IF(VLOOKUP($R54,武学奇术!$A:$ZZ,23,FALSE)=1,100%,$B$8),100%)</f>
        <v>0.981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0.846</v>
      </c>
      <c r="BQ54" s="26" cm="1">
        <f t="array" ref="BQ54">1+$B$13+VLOOKUP($R54,武学奇术!$A:$ZZ,18,FALSE)+SUM(_xlfn.XLOOKUP($S54:$AL54,增益!$A:$A,增益!$R:$R,0))</f>
        <v>2.06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0.0929</v>
      </c>
      <c r="BS54" s="26" cm="1">
        <f t="array" ref="BS54">1+$B$14+VLOOKUP($R54,武学奇术!$A:$ZZ,20,FALSE)+SUM(_xlfn.XLOOKUP($S54:$AL54,增益!$A:$A,增益!$T:$T,0))</f>
        <v>1.35</v>
      </c>
      <c r="BT54" s="26">
        <f t="shared" si="9"/>
        <v>0.829926</v>
      </c>
      <c r="BU54" s="26">
        <f t="shared" si="10"/>
        <v>0.0599391</v>
      </c>
      <c r="BV54" s="26">
        <f>IF(VLOOKUP($R54,武学奇术!$A:$ZZ,22,FALSE)=1,0,(1-$BO54))*(1-$BR54)</f>
        <v>0.0172349</v>
      </c>
      <c r="BW54" s="26" cm="1">
        <f t="array" ref="BW54">SUM(_xlfn.XLOOKUP($S54:$AL54,增益!$A:$A,增益!$W:$W,0))+$I$5</f>
        <v>0.11</v>
      </c>
      <c r="BX54" s="26" cm="1">
        <f t="array" ref="BX54">SUM(_xlfn.XLOOKUP($S54:$AL54,增益!$A:$A,增益!$X:$X,0))</f>
        <v>0</v>
      </c>
    </row>
    <row r="55" spans="1:76">
      <c r="A55" s="4"/>
      <c r="B55" s="88"/>
      <c r="K55">
        <f>$L55*VLOOKUP($R55,武学奇术!$A:$ZZ,31,FALSE)</f>
        <v>213562.910295854</v>
      </c>
      <c r="L55" s="38">
        <f t="shared" si="11"/>
        <v>203393.247900813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</f>
        <v>217642.415396025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</f>
        <v>159629.950398956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</f>
        <v>105651.657959235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</f>
        <v>93058.9082155404</v>
      </c>
      <c r="Q55" s="39">
        <v>3</v>
      </c>
      <c r="R55" s="40" t="s">
        <v>115</v>
      </c>
      <c r="S55" s="40" t="s">
        <v>116</v>
      </c>
      <c r="T55" s="40" t="s">
        <v>102</v>
      </c>
      <c r="U55" s="40" t="s">
        <v>79</v>
      </c>
      <c r="V55" s="40" t="s">
        <v>78</v>
      </c>
      <c r="W55" s="40" t="s">
        <v>181</v>
      </c>
      <c r="X55" s="40" t="s">
        <v>106</v>
      </c>
      <c r="Y55" s="40" t="s">
        <v>78</v>
      </c>
      <c r="Z55" s="40" t="s">
        <v>78</v>
      </c>
      <c r="AA55" s="40" t="s">
        <v>78</v>
      </c>
      <c r="AB55" s="40" t="s">
        <v>133</v>
      </c>
      <c r="AC55" s="40" t="s">
        <v>78</v>
      </c>
      <c r="AD55" s="40" t="s">
        <v>78</v>
      </c>
      <c r="AE55" s="40" t="s">
        <v>78</v>
      </c>
      <c r="AF55" s="40" t="s">
        <v>78</v>
      </c>
      <c r="AG55" s="40" t="s">
        <v>85</v>
      </c>
      <c r="AH55" s="40" t="s">
        <v>78</v>
      </c>
      <c r="AI55" s="40" t="s">
        <v>78</v>
      </c>
      <c r="AJ55" s="40" t="s">
        <v>78</v>
      </c>
      <c r="AK55" s="40" t="s">
        <v>78</v>
      </c>
      <c r="AL55" s="40" t="s">
        <v>78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750</v>
      </c>
      <c r="AP55" s="26">
        <f>VLOOKUP($R55,武学奇术!$A:$ZZ,28,FALSE)</f>
        <v>2.7126</v>
      </c>
      <c r="AQ55" s="27">
        <f>VLOOKUP($R55,武学奇术!$A:$ZZ,29,FALSE)*(1+IF(OR($AM55=$F$4,$AM55=$F$5),$B$22,0))</f>
        <v>408</v>
      </c>
      <c r="AR55" s="26" cm="1">
        <f t="array" ref="AR55">$G$3+IFERROR(VLOOKUP($AM55,$F$4:$G$7,2,FALSE),0)+VLOOKUP($R55,武学奇术!$A:$ZZ,2,FALSE)+SUM(_xlfn.XLOOKUP($S55:$AL55,增益!$A:$A,增益!$B:$B,0))</f>
        <v>0.5741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3574.6</v>
      </c>
      <c r="AU55" cm="1">
        <f t="array" ref="AU55">$E$10*(1+$AS55)+VLOOKUP($R55,武学奇术!$A:$ZZ,4,FALSE)+SUM(_xlfn.XLOOKUP($S55:$AL55,增益!$A:$A,增益!$D:$D,0))-$I$2</f>
        <v>3574.6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0.2925</v>
      </c>
      <c r="AW55" s="32" cm="1">
        <f t="array" ref="AW55">$G$10+VLOOKUP($R55,武学奇术!$A:$ZZ,7,FALSE)+SUM(_xlfn.XLOOKUP($S55:$AL55,增益!$A:$A,增益!$G:$G,0))</f>
        <v>0.148</v>
      </c>
      <c r="AX55" s="26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2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2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2" cm="1">
        <f t="array" ref="BJ55">$G$13+VLOOKUP($R55,武学奇术!$A:$ZZ,14,FALSE)+SUM(_xlfn.XLOOKUP($S55:$AL55,增益!$A:$A,增益!$N:$N,0))</f>
        <v>0</v>
      </c>
      <c r="BK55">
        <f t="shared" si="7"/>
        <v>571.2</v>
      </c>
      <c r="BL55">
        <f t="shared" si="8"/>
        <v>1627.8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2" cm="1">
        <f t="array" ref="BN55">$G$14+VLOOKUP($R55,武学奇术!$A:$ZZ,16,FALSE)+SUM(_xlfn.XLOOKUP($S55:$AL55,增益!$A:$A,增益!$P:$P,0))</f>
        <v>0.27</v>
      </c>
      <c r="BO55" s="26">
        <f>MIN(IF(VLOOKUP($R55,武学奇术!$A:$ZZ,23,FALSE)=1,100%,$B$8),100%)</f>
        <v>0.981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0.846</v>
      </c>
      <c r="BQ55" s="26" cm="1">
        <f t="array" ref="BQ55">1+$B$13+VLOOKUP($R55,武学奇术!$A:$ZZ,18,FALSE)+SUM(_xlfn.XLOOKUP($S55:$AL55,增益!$A:$A,增益!$R:$R,0))</f>
        <v>2.06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0.0929</v>
      </c>
      <c r="BS55" s="26" cm="1">
        <f t="array" ref="BS55">1+$B$14+VLOOKUP($R55,武学奇术!$A:$ZZ,20,FALSE)+SUM(_xlfn.XLOOKUP($S55:$AL55,增益!$A:$A,增益!$T:$T,0))</f>
        <v>1.35</v>
      </c>
      <c r="BT55" s="26">
        <f t="shared" si="9"/>
        <v>0.829926</v>
      </c>
      <c r="BU55" s="26">
        <f t="shared" si="10"/>
        <v>0.0599391</v>
      </c>
      <c r="BV55" s="26">
        <f>IF(VLOOKUP($R55,武学奇术!$A:$ZZ,22,FALSE)=1,0,(1-$BO55))*(1-$BR55)</f>
        <v>0.0172349</v>
      </c>
      <c r="BW55" s="26" cm="1">
        <f t="array" ref="BW55">SUM(_xlfn.XLOOKUP($S55:$AL55,增益!$A:$A,增益!$W:$W,0))+$I$5</f>
        <v>0.11</v>
      </c>
      <c r="BX55" s="26" cm="1">
        <f t="array" ref="BX55">SUM(_xlfn.XLOOKUP($S55:$AL55,增益!$A:$A,增益!$X:$X,0))</f>
        <v>0</v>
      </c>
    </row>
    <row r="56" spans="1:76">
      <c r="A56" s="4"/>
      <c r="B56" s="4"/>
      <c r="K56">
        <f>$L56*VLOOKUP($R56,武学奇术!$A:$ZZ,31,FALSE)</f>
        <v>126073.591356787</v>
      </c>
      <c r="L56" s="38">
        <f t="shared" si="11"/>
        <v>120070.087006464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</f>
        <v>128360.412607086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</f>
        <v>95562.4106209723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</f>
        <v>62310.8799063525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</f>
        <v>53834.7889823552</v>
      </c>
      <c r="Q56" s="39">
        <v>6</v>
      </c>
      <c r="R56" s="40" t="s">
        <v>119</v>
      </c>
      <c r="S56" s="40" t="s">
        <v>116</v>
      </c>
      <c r="T56" s="40" t="s">
        <v>102</v>
      </c>
      <c r="U56" s="40" t="s">
        <v>79</v>
      </c>
      <c r="V56" s="40" t="s">
        <v>78</v>
      </c>
      <c r="W56" s="40" t="s">
        <v>181</v>
      </c>
      <c r="X56" s="40" t="s">
        <v>106</v>
      </c>
      <c r="Y56" s="40" t="s">
        <v>78</v>
      </c>
      <c r="Z56" s="40" t="s">
        <v>78</v>
      </c>
      <c r="AA56" s="40" t="s">
        <v>78</v>
      </c>
      <c r="AB56" s="40" t="s">
        <v>133</v>
      </c>
      <c r="AC56" s="40" t="s">
        <v>78</v>
      </c>
      <c r="AD56" s="40" t="s">
        <v>78</v>
      </c>
      <c r="AE56" s="40" t="s">
        <v>78</v>
      </c>
      <c r="AF56" s="40" t="s">
        <v>78</v>
      </c>
      <c r="AG56" s="40" t="s">
        <v>85</v>
      </c>
      <c r="AH56" s="40" t="s">
        <v>78</v>
      </c>
      <c r="AI56" s="40" t="s">
        <v>78</v>
      </c>
      <c r="AJ56" s="40" t="s">
        <v>78</v>
      </c>
      <c r="AK56" s="40" t="s">
        <v>78</v>
      </c>
      <c r="AL56" s="40" t="s">
        <v>78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0.7741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3574.6</v>
      </c>
      <c r="AU56" cm="1">
        <f t="array" ref="AU56">$E$10*(1+$AS56)+VLOOKUP($R56,武学奇术!$A:$ZZ,4,FALSE)+SUM(_xlfn.XLOOKUP($S56:$AL56,增益!$A:$A,增益!$D:$D,0))-$I$2</f>
        <v>3574.6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0.2925</v>
      </c>
      <c r="AW56" s="32" cm="1">
        <f t="array" ref="AW56">$G$10+VLOOKUP($R56,武学奇术!$A:$ZZ,7,FALSE)+SUM(_xlfn.XLOOKUP($S56:$AL56,增益!$A:$A,增益!$G:$G,0))</f>
        <v>0.148</v>
      </c>
      <c r="AX56" s="26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2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2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2" cm="1">
        <f t="array" ref="BJ56">$G$13+VLOOKUP($R56,武学奇术!$A:$ZZ,14,FALSE)+SUM(_xlfn.XLOOKUP($S56:$AL56,增益!$A:$A,增益!$N:$N,0))</f>
        <v>0</v>
      </c>
      <c r="BK56">
        <f t="shared" si="7"/>
        <v>571.2</v>
      </c>
      <c r="BL56">
        <f t="shared" si="8"/>
        <v>1627.8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2" cm="1">
        <f t="array" ref="BN56">$G$14+VLOOKUP($R56,武学奇术!$A:$ZZ,16,FALSE)+SUM(_xlfn.XLOOKUP($S56:$AL56,增益!$A:$A,增益!$P:$P,0))</f>
        <v>0.27</v>
      </c>
      <c r="BO56" s="26">
        <f>MIN(IF(VLOOKUP($R56,武学奇术!$A:$ZZ,23,FALSE)=1,100%,$B$8),100%)</f>
        <v>0.981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0.846</v>
      </c>
      <c r="BQ56" s="26" cm="1">
        <f t="array" ref="BQ56">1+$B$13+VLOOKUP($R56,武学奇术!$A:$ZZ,18,FALSE)+SUM(_xlfn.XLOOKUP($S56:$AL56,增益!$A:$A,增益!$R:$R,0))</f>
        <v>2.06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0.0929</v>
      </c>
      <c r="BS56" s="26" cm="1">
        <f t="array" ref="BS56">1+$B$14+VLOOKUP($R56,武学奇术!$A:$ZZ,20,FALSE)+SUM(_xlfn.XLOOKUP($S56:$AL56,增益!$A:$A,增益!$T:$T,0))</f>
        <v>1.35</v>
      </c>
      <c r="BT56" s="26">
        <f t="shared" si="9"/>
        <v>0.829926</v>
      </c>
      <c r="BU56" s="26">
        <f t="shared" si="10"/>
        <v>0.0599391</v>
      </c>
      <c r="BV56" s="26">
        <f>IF(VLOOKUP($R56,武学奇术!$A:$ZZ,22,FALSE)=1,0,(1-$BO56))*(1-$BR56)</f>
        <v>0.0172349</v>
      </c>
      <c r="BW56" s="26" cm="1">
        <f t="array" ref="BW56">SUM(_xlfn.XLOOKUP($S56:$AL56,增益!$A:$A,增益!$W:$W,0))+$I$5</f>
        <v>0.11</v>
      </c>
      <c r="BX56" s="26" cm="1">
        <f t="array" ref="BX56">SUM(_xlfn.XLOOKUP($S56:$AL56,增益!$A:$A,增益!$X:$X,0))</f>
        <v>0</v>
      </c>
    </row>
    <row r="57" spans="1:76">
      <c r="A57" s="4"/>
      <c r="B57" s="4"/>
      <c r="D57" s="4"/>
      <c r="E57" s="4"/>
      <c r="K57">
        <f>$L57*VLOOKUP($R57,武学奇术!$A:$ZZ,31,FALSE)</f>
        <v>171706.74443038</v>
      </c>
      <c r="L57" s="38">
        <f t="shared" si="11"/>
        <v>163530.232790838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</f>
        <v>163530.232790838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</f>
        <v>119941.340026169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</f>
        <v>79383.6081508924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</f>
        <v>69921.7792453636</v>
      </c>
      <c r="Q57" s="39">
        <v>2</v>
      </c>
      <c r="R57" s="40" t="s">
        <v>132</v>
      </c>
      <c r="S57" s="40" t="s">
        <v>116</v>
      </c>
      <c r="T57" s="40" t="s">
        <v>102</v>
      </c>
      <c r="U57" s="40" t="s">
        <v>79</v>
      </c>
      <c r="V57" s="40" t="s">
        <v>78</v>
      </c>
      <c r="W57" s="40" t="s">
        <v>181</v>
      </c>
      <c r="X57" s="40" t="s">
        <v>106</v>
      </c>
      <c r="Y57" s="40" t="s">
        <v>78</v>
      </c>
      <c r="Z57" s="40" t="s">
        <v>78</v>
      </c>
      <c r="AA57" s="40" t="s">
        <v>78</v>
      </c>
      <c r="AB57" s="40" t="s">
        <v>133</v>
      </c>
      <c r="AC57" s="40" t="s">
        <v>78</v>
      </c>
      <c r="AD57" s="40" t="s">
        <v>78</v>
      </c>
      <c r="AE57" s="40" t="s">
        <v>78</v>
      </c>
      <c r="AF57" s="40" t="s">
        <v>78</v>
      </c>
      <c r="AG57" s="40" t="s">
        <v>85</v>
      </c>
      <c r="AH57" s="40" t="s">
        <v>78</v>
      </c>
      <c r="AI57" s="40" t="s">
        <v>78</v>
      </c>
      <c r="AJ57" s="40" t="s">
        <v>78</v>
      </c>
      <c r="AK57" s="40" t="s">
        <v>78</v>
      </c>
      <c r="AL57" s="40" t="s">
        <v>78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750</v>
      </c>
      <c r="AP57" s="26">
        <f>VLOOKUP($R57,武学奇术!$A:$ZZ,28,FALSE)</f>
        <v>2.7126</v>
      </c>
      <c r="AQ57" s="27">
        <f>VLOOKUP($R57,武学奇术!$A:$ZZ,29,FALSE)*(1+IF(OR($AM57=$F$4,$AM57=$F$5),$B$22,0))</f>
        <v>408</v>
      </c>
      <c r="AR57" s="26" cm="1">
        <f t="array" ref="AR57">$G$3+IFERROR(VLOOKUP($AM57,$F$4:$G$7,2,FALSE),0)+VLOOKUP($R57,武学奇术!$A:$ZZ,2,FALSE)+SUM(_xlfn.XLOOKUP($S57:$AL57,增益!$A:$A,增益!$B:$B,0))</f>
        <v>0.7741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3574.6</v>
      </c>
      <c r="AU57" cm="1">
        <f t="array" ref="AU57">$E$10*(1+$AS57)+VLOOKUP($R57,武学奇术!$A:$ZZ,4,FALSE)+SUM(_xlfn.XLOOKUP($S57:$AL57,增益!$A:$A,增益!$D:$D,0))-$I$2</f>
        <v>3574.6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0.2925</v>
      </c>
      <c r="AW57" s="32" cm="1">
        <f t="array" ref="AW57">$G$10+VLOOKUP($R57,武学奇术!$A:$ZZ,7,FALSE)+SUM(_xlfn.XLOOKUP($S57:$AL57,增益!$A:$A,增益!$G:$G,0))</f>
        <v>0.148</v>
      </c>
      <c r="AX57" s="26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2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2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2" cm="1">
        <f t="array" ref="BJ57">$G$13+VLOOKUP($R57,武学奇术!$A:$ZZ,14,FALSE)+SUM(_xlfn.XLOOKUP($S57:$AL57,增益!$A:$A,增益!$N:$N,0))</f>
        <v>0</v>
      </c>
      <c r="BK57">
        <f t="shared" si="7"/>
        <v>571.2</v>
      </c>
      <c r="BL57">
        <f t="shared" si="8"/>
        <v>1627.8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2" cm="1">
        <f t="array" ref="BN57">$G$14+VLOOKUP($R57,武学奇术!$A:$ZZ,16,FALSE)+SUM(_xlfn.XLOOKUP($S57:$AL57,增益!$A:$A,增益!$P:$P,0))</f>
        <v>0.27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2.06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9"/>
        <v>1</v>
      </c>
      <c r="BU57" s="26">
        <f t="shared" si="1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0.11</v>
      </c>
      <c r="BX57" s="26" cm="1">
        <f t="array" ref="BX57">SUM(_xlfn.XLOOKUP($S57:$AL57,增益!$A:$A,增益!$X:$X,0))</f>
        <v>0</v>
      </c>
    </row>
    <row r="58" spans="1:76">
      <c r="A58" s="4"/>
      <c r="B58" s="4"/>
      <c r="K58">
        <f>$L58*VLOOKUP($R58,武学奇术!$A:$ZZ,31,FALSE)</f>
        <v>74986.2197886341</v>
      </c>
      <c r="L58" s="38">
        <f t="shared" si="11"/>
        <v>71415.4474177467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</f>
        <v>71415.4474177467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</f>
        <v>53167.7342897417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</f>
        <v>34667.6929212363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</f>
        <v>29951.8789611824</v>
      </c>
      <c r="Q58" s="39">
        <v>3</v>
      </c>
      <c r="R58" s="40" t="s">
        <v>139</v>
      </c>
      <c r="S58" s="40" t="s">
        <v>116</v>
      </c>
      <c r="T58" s="40" t="s">
        <v>102</v>
      </c>
      <c r="U58" s="40" t="s">
        <v>79</v>
      </c>
      <c r="V58" s="40" t="s">
        <v>78</v>
      </c>
      <c r="W58" s="40" t="s">
        <v>181</v>
      </c>
      <c r="X58" s="40" t="s">
        <v>106</v>
      </c>
      <c r="Y58" s="40" t="s">
        <v>78</v>
      </c>
      <c r="Z58" s="40" t="s">
        <v>78</v>
      </c>
      <c r="AA58" s="40" t="s">
        <v>78</v>
      </c>
      <c r="AB58" s="40" t="s">
        <v>133</v>
      </c>
      <c r="AC58" s="40" t="s">
        <v>78</v>
      </c>
      <c r="AD58" s="40" t="s">
        <v>78</v>
      </c>
      <c r="AE58" s="40" t="s">
        <v>78</v>
      </c>
      <c r="AF58" s="40" t="s">
        <v>78</v>
      </c>
      <c r="AG58" s="40" t="s">
        <v>85</v>
      </c>
      <c r="AH58" s="40" t="s">
        <v>78</v>
      </c>
      <c r="AI58" s="40" t="s">
        <v>78</v>
      </c>
      <c r="AJ58" s="40" t="s">
        <v>78</v>
      </c>
      <c r="AK58" s="40" t="s">
        <v>78</v>
      </c>
      <c r="AL58" s="40" t="s">
        <v>78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0.9741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3574.6</v>
      </c>
      <c r="AU58" cm="1">
        <f t="array" ref="AU58">$E$10*(1+$AS58)+VLOOKUP($R58,武学奇术!$A:$ZZ,4,FALSE)+SUM(_xlfn.XLOOKUP($S58:$AL58,增益!$A:$A,增益!$D:$D,0))-$I$2</f>
        <v>3574.6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0.2925</v>
      </c>
      <c r="AW58" s="32" cm="1">
        <f t="array" ref="AW58">$G$10+VLOOKUP($R58,武学奇术!$A:$ZZ,7,FALSE)+SUM(_xlfn.XLOOKUP($S58:$AL58,增益!$A:$A,增益!$G:$G,0))</f>
        <v>0.148</v>
      </c>
      <c r="AX58" s="26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2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2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2" cm="1">
        <f t="array" ref="BJ58">$G$13+VLOOKUP($R58,武学奇术!$A:$ZZ,14,FALSE)+SUM(_xlfn.XLOOKUP($S58:$AL58,增益!$A:$A,增益!$N:$N,0))</f>
        <v>0</v>
      </c>
      <c r="BK58">
        <f t="shared" si="7"/>
        <v>571.2</v>
      </c>
      <c r="BL58">
        <f t="shared" si="8"/>
        <v>1627.8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2" cm="1">
        <f t="array" ref="BN58">$G$14+VLOOKUP($R58,武学奇术!$A:$ZZ,16,FALSE)+SUM(_xlfn.XLOOKUP($S58:$AL58,增益!$A:$A,增益!$P:$P,0))</f>
        <v>0.27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2.06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9"/>
        <v>1</v>
      </c>
      <c r="BU58" s="26">
        <f t="shared" si="1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0.11</v>
      </c>
      <c r="BX58" s="26" cm="1">
        <f t="array" ref="BX58">SUM(_xlfn.XLOOKUP($S58:$AL58,增益!$A:$A,增益!$X:$X,0))</f>
        <v>0</v>
      </c>
    </row>
    <row r="59" spans="1:76">
      <c r="K59">
        <f>$L59*VLOOKUP($R59,武学奇术!$A:$ZZ,31,FALSE)</f>
        <v>44076.8311915105</v>
      </c>
      <c r="L59" s="38">
        <f t="shared" si="11"/>
        <v>41977.9344681052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</f>
        <v>44524.8874917218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</f>
        <v>35250.7592254983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</f>
        <v>23311.4594197496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</f>
        <v>20511.2453391302</v>
      </c>
      <c r="Q59" s="39">
        <v>1</v>
      </c>
      <c r="R59" s="40" t="s">
        <v>167</v>
      </c>
      <c r="S59" s="40" t="s">
        <v>78</v>
      </c>
      <c r="T59" s="40" t="s">
        <v>102</v>
      </c>
      <c r="U59" s="40" t="s">
        <v>79</v>
      </c>
      <c r="V59" s="40" t="s">
        <v>78</v>
      </c>
      <c r="W59" s="40" t="s">
        <v>181</v>
      </c>
      <c r="X59" s="40" t="s">
        <v>106</v>
      </c>
      <c r="Y59" s="40" t="s">
        <v>78</v>
      </c>
      <c r="Z59" s="40" t="s">
        <v>78</v>
      </c>
      <c r="AA59" s="40" t="s">
        <v>78</v>
      </c>
      <c r="AB59" s="40" t="s">
        <v>78</v>
      </c>
      <c r="AC59" s="40" t="s">
        <v>78</v>
      </c>
      <c r="AD59" s="40" t="s">
        <v>78</v>
      </c>
      <c r="AE59" s="40" t="s">
        <v>78</v>
      </c>
      <c r="AF59" s="40" t="s">
        <v>78</v>
      </c>
      <c r="AG59" s="40" t="s">
        <v>85</v>
      </c>
      <c r="AH59" s="40" t="s">
        <v>78</v>
      </c>
      <c r="AI59" s="40" t="s">
        <v>78</v>
      </c>
      <c r="AJ59" s="40" t="s">
        <v>78</v>
      </c>
      <c r="AK59" s="40" t="s">
        <v>78</v>
      </c>
      <c r="AL59" s="40" t="s">
        <v>78</v>
      </c>
      <c r="AM59" t="str">
        <f>VLOOKUP($R59,武学奇术!$A:$ZZ,25,FALSE)</f>
        <v>伞</v>
      </c>
      <c r="AN59" s="26">
        <f>VLOOKUP($R59,武学奇术!$A:$ZZ,26,FALSE)</f>
        <v>2.01456</v>
      </c>
      <c r="AO59" s="27">
        <f>VLOOKUP($R59,武学奇术!$A:$ZZ,27,FALSE)*(1+IF(OR($AM59=$F$4,$AM59=$F$5),$B$22,0))</f>
        <v>837</v>
      </c>
      <c r="AP59" s="26">
        <f>VLOOKUP($R59,武学奇术!$A:$ZZ,28,FALSE)</f>
        <v>3.02184</v>
      </c>
      <c r="AQ59" s="27">
        <f>VLOOKUP($R59,武学奇术!$A:$ZZ,29,FALSE)*(1+IF(OR($AM59=$F$4,$AM59=$F$5),$B$22,0))</f>
        <v>453.6</v>
      </c>
      <c r="AR59" s="26" cm="1">
        <f t="array" ref="AR59">$G$3+IFERROR(VLOOKUP($AM59,$F$4:$G$7,2,FALSE),0)+VLOOKUP($R59,武学奇术!$A:$ZZ,2,FALSE)+SUM(_xlfn.XLOOKUP($S59:$AL59,增益!$A:$A,增益!$B:$B,0))</f>
        <v>0.3741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3574.6</v>
      </c>
      <c r="AU59" cm="1">
        <f t="array" ref="AU59">$E$10*(1+$AS59)+VLOOKUP($R59,武学奇术!$A:$ZZ,4,FALSE)+SUM(_xlfn.XLOOKUP($S59:$AL59,增益!$A:$A,增益!$D:$D,0))-$I$2</f>
        <v>3574.6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0.2925</v>
      </c>
      <c r="AW59" s="32" cm="1">
        <f t="array" ref="AW59">$G$10+VLOOKUP($R59,武学奇术!$A:$ZZ,7,FALSE)+SUM(_xlfn.XLOOKUP($S59:$AL59,增益!$A:$A,增益!$G:$G,0))</f>
        <v>0.028</v>
      </c>
      <c r="AX59" s="26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2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2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2" cm="1">
        <f t="array" ref="BJ59">$G$13+VLOOKUP($R59,武学奇术!$A:$ZZ,14,FALSE)+SUM(_xlfn.XLOOKUP($S59:$AL59,增益!$A:$A,增益!$N:$N,0))</f>
        <v>0</v>
      </c>
      <c r="BK59">
        <f t="shared" si="7"/>
        <v>571.2</v>
      </c>
      <c r="BL59">
        <f t="shared" si="8"/>
        <v>1627.8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2" cm="1">
        <f t="array" ref="BN59">$G$14+VLOOKUP($R59,武学奇术!$A:$ZZ,16,FALSE)+SUM(_xlfn.XLOOKUP($S59:$AL59,增益!$A:$A,增益!$P:$P,0))</f>
        <v>0.15</v>
      </c>
      <c r="BO59" s="26">
        <f>MIN(IF(VLOOKUP($R59,武学奇术!$A:$ZZ,23,FALSE)=1,100%,$B$8),100%)</f>
        <v>0.981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0.846</v>
      </c>
      <c r="BQ59" s="26" cm="1">
        <f t="array" ref="BQ59">1+$B$13+VLOOKUP($R59,武学奇术!$A:$ZZ,18,FALSE)+SUM(_xlfn.XLOOKUP($S59:$AL59,增益!$A:$A,增益!$R:$R,0))</f>
        <v>1.91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0.0929</v>
      </c>
      <c r="BS59" s="26" cm="1">
        <f t="array" ref="BS59">1+$B$14+VLOOKUP($R59,武学奇术!$A:$ZZ,20,FALSE)+SUM(_xlfn.XLOOKUP($S59:$AL59,增益!$A:$A,增益!$T:$T,0))</f>
        <v>1.35</v>
      </c>
      <c r="BT59" s="26">
        <f t="shared" si="9"/>
        <v>0.829926</v>
      </c>
      <c r="BU59" s="26">
        <f t="shared" si="10"/>
        <v>0.0599391</v>
      </c>
      <c r="BV59" s="26">
        <f>IF(VLOOKUP($R59,武学奇术!$A:$ZZ,22,FALSE)=1,0,(1-$BO59))*(1-$BR59)</f>
        <v>0.0172349</v>
      </c>
      <c r="BW59" s="26" cm="1">
        <f t="array" ref="BW59">SUM(_xlfn.XLOOKUP($S59:$AL59,增益!$A:$A,增益!$W:$W,0))+$I$5</f>
        <v>0.11</v>
      </c>
      <c r="BX59" s="26" cm="1">
        <f t="array" ref="BX59">SUM(_xlfn.XLOOKUP($S59:$AL59,增益!$A:$A,增益!$X:$X,0))</f>
        <v>0</v>
      </c>
    </row>
    <row r="60" spans="1:76">
      <c r="K60">
        <f>$L60*VLOOKUP($R60,武学奇术!$A:$ZZ,31,FALSE)</f>
        <v>11868.7457422447</v>
      </c>
      <c r="L60" s="38">
        <f t="shared" si="11"/>
        <v>11303.5673735664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</f>
        <v>11977.1655311464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</f>
        <v>9626.32284783911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</f>
        <v>6270.76729379391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</f>
        <v>5410.92507066996</v>
      </c>
      <c r="Q60" s="39">
        <v>1</v>
      </c>
      <c r="R60" s="40" t="s">
        <v>170</v>
      </c>
      <c r="S60" s="40" t="s">
        <v>78</v>
      </c>
      <c r="T60" s="40" t="s">
        <v>102</v>
      </c>
      <c r="U60" s="40" t="s">
        <v>79</v>
      </c>
      <c r="V60" s="40" t="s">
        <v>78</v>
      </c>
      <c r="W60" s="40" t="s">
        <v>181</v>
      </c>
      <c r="X60" s="40" t="s">
        <v>106</v>
      </c>
      <c r="Y60" s="40" t="s">
        <v>78</v>
      </c>
      <c r="Z60" s="40" t="s">
        <v>78</v>
      </c>
      <c r="AA60" s="40" t="s">
        <v>78</v>
      </c>
      <c r="AB60" s="40" t="s">
        <v>78</v>
      </c>
      <c r="AC60" s="40" t="s">
        <v>78</v>
      </c>
      <c r="AD60" s="40" t="s">
        <v>78</v>
      </c>
      <c r="AE60" s="40" t="s">
        <v>78</v>
      </c>
      <c r="AF60" s="40" t="s">
        <v>78</v>
      </c>
      <c r="AG60" s="40" t="s">
        <v>85</v>
      </c>
      <c r="AH60" s="40" t="s">
        <v>78</v>
      </c>
      <c r="AI60" s="40" t="s">
        <v>78</v>
      </c>
      <c r="AJ60" s="40" t="s">
        <v>78</v>
      </c>
      <c r="AK60" s="40" t="s">
        <v>78</v>
      </c>
      <c r="AL60" s="40" t="s">
        <v>78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0.5741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3574.6</v>
      </c>
      <c r="AU60" cm="1">
        <f t="array" ref="AU60">$E$10*(1+$AS60)+VLOOKUP($R60,武学奇术!$A:$ZZ,4,FALSE)+SUM(_xlfn.XLOOKUP($S60:$AL60,增益!$A:$A,增益!$D:$D,0))-$I$2</f>
        <v>3574.6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0.2925</v>
      </c>
      <c r="AW60" s="32" cm="1">
        <f t="array" ref="AW60">$G$10+VLOOKUP($R60,武学奇术!$A:$ZZ,7,FALSE)+SUM(_xlfn.XLOOKUP($S60:$AL60,增益!$A:$A,增益!$G:$G,0))</f>
        <v>0.028</v>
      </c>
      <c r="AX60" s="26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2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2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2" cm="1">
        <f t="array" ref="BJ60">$G$13+VLOOKUP($R60,武学奇术!$A:$ZZ,14,FALSE)+SUM(_xlfn.XLOOKUP($S60:$AL60,增益!$A:$A,增益!$N:$N,0))</f>
        <v>0</v>
      </c>
      <c r="BK60">
        <f t="shared" si="7"/>
        <v>571.2</v>
      </c>
      <c r="BL60">
        <f t="shared" si="8"/>
        <v>1627.8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2" cm="1">
        <f t="array" ref="BN60">$G$14+VLOOKUP($R60,武学奇术!$A:$ZZ,16,FALSE)+SUM(_xlfn.XLOOKUP($S60:$AL60,增益!$A:$A,增益!$P:$P,0))</f>
        <v>0.15</v>
      </c>
      <c r="BO60" s="26">
        <f>MIN(IF(VLOOKUP($R60,武学奇术!$A:$ZZ,23,FALSE)=1,100%,$B$8),100%)</f>
        <v>0.981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0.846</v>
      </c>
      <c r="BQ60" s="26" cm="1">
        <f t="array" ref="BQ60">1+$B$13+VLOOKUP($R60,武学奇术!$A:$ZZ,18,FALSE)+SUM(_xlfn.XLOOKUP($S60:$AL60,增益!$A:$A,增益!$R:$R,0))</f>
        <v>1.91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0.0929</v>
      </c>
      <c r="BS60" s="26" cm="1">
        <f t="array" ref="BS60">1+$B$14+VLOOKUP($R60,武学奇术!$A:$ZZ,20,FALSE)+SUM(_xlfn.XLOOKUP($S60:$AL60,增益!$A:$A,增益!$T:$T,0))</f>
        <v>1.35</v>
      </c>
      <c r="BT60" s="26">
        <f t="shared" si="9"/>
        <v>0.829926</v>
      </c>
      <c r="BU60" s="26">
        <f t="shared" si="10"/>
        <v>0.0599391</v>
      </c>
      <c r="BV60" s="26">
        <f>IF(VLOOKUP($R60,武学奇术!$A:$ZZ,22,FALSE)=1,0,(1-$BO60))*(1-$BR60)</f>
        <v>0.0172349</v>
      </c>
      <c r="BW60" s="26" cm="1">
        <f t="array" ref="BW60">SUM(_xlfn.XLOOKUP($S60:$AL60,增益!$A:$A,增益!$W:$W,0))+$I$5</f>
        <v>0.11</v>
      </c>
      <c r="BX60" s="26" cm="1">
        <f t="array" ref="BX60">SUM(_xlfn.XLOOKUP($S60:$AL60,增益!$A:$A,增益!$X:$X,0))</f>
        <v>0</v>
      </c>
    </row>
    <row r="61" spans="1:76">
      <c r="K61">
        <f>$L61*VLOOKUP($R61,武学奇术!$A:$ZZ,31,FALSE)</f>
        <v>81818.8288485713</v>
      </c>
      <c r="L61" s="38">
        <f t="shared" si="11"/>
        <v>77922.6941414964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</f>
        <v>82599.0349210182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</f>
        <v>66000.4503735093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</f>
        <v>43245.5680214755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</f>
        <v>37601.9135440552</v>
      </c>
      <c r="Q61" s="39">
        <v>1</v>
      </c>
      <c r="R61" s="40" t="s">
        <v>184</v>
      </c>
      <c r="S61" s="40" t="s">
        <v>78</v>
      </c>
      <c r="T61" s="40" t="s">
        <v>102</v>
      </c>
      <c r="U61" s="40" t="s">
        <v>79</v>
      </c>
      <c r="V61" s="40" t="s">
        <v>88</v>
      </c>
      <c r="W61" s="40" t="s">
        <v>181</v>
      </c>
      <c r="X61" s="40" t="s">
        <v>106</v>
      </c>
      <c r="Y61" s="40" t="s">
        <v>78</v>
      </c>
      <c r="Z61" s="40" t="s">
        <v>78</v>
      </c>
      <c r="AA61" s="40" t="s">
        <v>78</v>
      </c>
      <c r="AB61" s="40" t="s">
        <v>78</v>
      </c>
      <c r="AC61" s="40" t="s">
        <v>78</v>
      </c>
      <c r="AD61" s="40" t="s">
        <v>78</v>
      </c>
      <c r="AE61" s="40" t="s">
        <v>78</v>
      </c>
      <c r="AF61" s="40" t="s">
        <v>78</v>
      </c>
      <c r="AG61" s="40" t="s">
        <v>85</v>
      </c>
      <c r="AH61" s="40" t="s">
        <v>78</v>
      </c>
      <c r="AI61" s="40" t="s">
        <v>78</v>
      </c>
      <c r="AJ61" s="40" t="s">
        <v>78</v>
      </c>
      <c r="AK61" s="40" t="s">
        <v>78</v>
      </c>
      <c r="AL61" s="40" t="s">
        <v>78</v>
      </c>
      <c r="AM61" t="str">
        <f>VLOOKUP($R61,武学奇术!$A:$ZZ,25,FALSE)</f>
        <v>群体奇术</v>
      </c>
      <c r="AN61" s="26">
        <f>VLOOKUP($R61,武学奇术!$A:$ZZ,26,FALSE)</f>
        <v>3.9746</v>
      </c>
      <c r="AO61" s="27">
        <f>VLOOKUP($R61,武学奇术!$A:$ZZ,27,FALSE)*(1+IF(OR($AM61=$F$4,$AM61=$F$5),$B$22,0))</f>
        <v>1008</v>
      </c>
      <c r="AP61" s="26">
        <f>VLOOKUP($R61,武学奇术!$A:$ZZ,28,FALSE)</f>
        <v>5.9619</v>
      </c>
      <c r="AQ61" s="27">
        <f>VLOOKUP($R61,武学奇术!$A:$ZZ,29,FALSE)*(1+IF(OR($AM61=$F$4,$AM61=$F$5),$B$22,0))</f>
        <v>0</v>
      </c>
      <c r="AR61" s="26" cm="1">
        <f t="array" ref="AR61">$G$3+IFERROR(VLOOKUP($AM61,$F$4:$G$7,2,FALSE),0)+VLOOKUP($R61,武学奇术!$A:$ZZ,2,FALSE)+SUM(_xlfn.XLOOKUP($S61:$AL61,增益!$A:$A,增益!$B:$B,0))</f>
        <v>0.4037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3574.6</v>
      </c>
      <c r="AU61" cm="1">
        <f t="array" ref="AU61">$E$10*(1+$AS61)+VLOOKUP($R61,武学奇术!$A:$ZZ,4,FALSE)+SUM(_xlfn.XLOOKUP($S61:$AL61,增益!$A:$A,增益!$D:$D,0))-$I$2</f>
        <v>3574.6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0.2925</v>
      </c>
      <c r="AW61" s="32" cm="1">
        <f t="array" ref="AW61">$G$10+VLOOKUP($R61,武学奇术!$A:$ZZ,7,FALSE)+SUM(_xlfn.XLOOKUP($S61:$AL61,增益!$A:$A,增益!$G:$G,0))</f>
        <v>0.028</v>
      </c>
      <c r="AX61" s="26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2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2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2" cm="1">
        <f t="array" ref="BJ61">$G$13+VLOOKUP($R61,武学奇术!$A:$ZZ,14,FALSE)+SUM(_xlfn.XLOOKUP($S61:$AL61,增益!$A:$A,增益!$N:$N,0))</f>
        <v>0</v>
      </c>
      <c r="BK61">
        <f t="shared" si="7"/>
        <v>571.2</v>
      </c>
      <c r="BL61">
        <f t="shared" si="8"/>
        <v>1627.8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2" cm="1">
        <f t="array" ref="BN61">$G$14+VLOOKUP($R61,武学奇术!$A:$ZZ,16,FALSE)+SUM(_xlfn.XLOOKUP($S61:$AL61,增益!$A:$A,增益!$P:$P,0))</f>
        <v>0.15</v>
      </c>
      <c r="BO61" s="26">
        <f>MIN(IF(VLOOKUP($R61,武学奇术!$A:$ZZ,23,FALSE)=1,100%,$B$8),100%)</f>
        <v>0.981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0.846</v>
      </c>
      <c r="BQ61" s="26" cm="1">
        <f t="array" ref="BQ61">1+$B$13+VLOOKUP($R61,武学奇术!$A:$ZZ,18,FALSE)+SUM(_xlfn.XLOOKUP($S61:$AL61,增益!$A:$A,增益!$R:$R,0))</f>
        <v>1.91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0.0929</v>
      </c>
      <c r="BS61" s="26" cm="1">
        <f t="array" ref="BS61">1+$B$14+VLOOKUP($R61,武学奇术!$A:$ZZ,20,FALSE)+SUM(_xlfn.XLOOKUP($S61:$AL61,增益!$A:$A,增益!$T:$T,0))</f>
        <v>1.35</v>
      </c>
      <c r="BT61" s="26">
        <f t="shared" si="9"/>
        <v>0.829926</v>
      </c>
      <c r="BU61" s="26">
        <f t="shared" si="10"/>
        <v>0.0599391</v>
      </c>
      <c r="BV61" s="26">
        <f>IF(VLOOKUP($R61,武学奇术!$A:$ZZ,22,FALSE)=1,0,(1-$BO61))*(1-$BR61)</f>
        <v>0.0172349</v>
      </c>
      <c r="BW61" s="26" cm="1">
        <f t="array" ref="BW61">SUM(_xlfn.XLOOKUP($S61:$AL61,增益!$A:$A,增益!$W:$W,0))+$I$5</f>
        <v>0.11</v>
      </c>
      <c r="BX61" s="26" cm="1">
        <f t="array" ref="BX61">SUM(_xlfn.XLOOKUP($S61:$AL61,增益!$A:$A,增益!$X:$X,0))</f>
        <v>0</v>
      </c>
    </row>
    <row r="62" spans="1:76">
      <c r="K62">
        <f>$L62*VLOOKUP($R62,武学奇术!$A:$ZZ,31,FALSE)</f>
        <v>26309.202237091</v>
      </c>
      <c r="L62" s="38">
        <f t="shared" si="11"/>
        <v>25056.3830829438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</f>
        <v>26560.0814171105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</f>
        <v>21222.7279141795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</f>
        <v>13905.8017890631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</f>
        <v>12091.0643824377</v>
      </c>
      <c r="Q62" s="39">
        <v>1</v>
      </c>
      <c r="R62" s="40" t="s">
        <v>77</v>
      </c>
      <c r="S62" s="40" t="s">
        <v>78</v>
      </c>
      <c r="T62" s="40" t="s">
        <v>102</v>
      </c>
      <c r="U62" s="40" t="s">
        <v>79</v>
      </c>
      <c r="V62" s="40" t="s">
        <v>78</v>
      </c>
      <c r="W62" s="40" t="s">
        <v>181</v>
      </c>
      <c r="X62" s="40" t="s">
        <v>106</v>
      </c>
      <c r="Y62" s="40" t="s">
        <v>78</v>
      </c>
      <c r="Z62" s="40" t="s">
        <v>78</v>
      </c>
      <c r="AA62" s="40" t="s">
        <v>78</v>
      </c>
      <c r="AB62" s="40" t="s">
        <v>78</v>
      </c>
      <c r="AC62" s="40" t="s">
        <v>78</v>
      </c>
      <c r="AD62" s="40" t="s">
        <v>78</v>
      </c>
      <c r="AE62" s="40" t="s">
        <v>78</v>
      </c>
      <c r="AF62" s="40" t="s">
        <v>78</v>
      </c>
      <c r="AG62" s="40" t="s">
        <v>85</v>
      </c>
      <c r="AH62" s="40" t="s">
        <v>78</v>
      </c>
      <c r="AI62" s="40" t="s">
        <v>78</v>
      </c>
      <c r="AJ62" s="40" t="s">
        <v>78</v>
      </c>
      <c r="AK62" s="40" t="s">
        <v>78</v>
      </c>
      <c r="AL62" s="40" t="s">
        <v>78</v>
      </c>
      <c r="AM62" t="str">
        <f>VLOOKUP($R62,武学奇术!$A:$ZZ,25,FALSE)</f>
        <v>群体奇术</v>
      </c>
      <c r="AN62" s="26">
        <f>VLOOKUP($R62,武学奇术!$A:$ZZ,26,FALSE)</f>
        <v>1.4904</v>
      </c>
      <c r="AO62" s="27">
        <f>VLOOKUP($R62,武学奇术!$A:$ZZ,27,FALSE)*(1+IF(OR($AM62=$F$4,$AM62=$F$5),$B$22,0))</f>
        <v>378</v>
      </c>
      <c r="AP62" s="26">
        <f>VLOOKUP($R62,武学奇术!$A:$ZZ,28,FALSE)</f>
        <v>2.2356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0.2037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3574.6</v>
      </c>
      <c r="AU62" cm="1">
        <f t="array" ref="AU62">$E$10*(1+$AS62)+VLOOKUP($R62,武学奇术!$A:$ZZ,4,FALSE)+SUM(_xlfn.XLOOKUP($S62:$AL62,增益!$A:$A,增益!$D:$D,0))-$I$2</f>
        <v>3574.6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0.2925</v>
      </c>
      <c r="AW62" s="32" cm="1">
        <f t="array" ref="AW62">$G$10+VLOOKUP($R62,武学奇术!$A:$ZZ,7,FALSE)+SUM(_xlfn.XLOOKUP($S62:$AL62,增益!$A:$A,增益!$G:$G,0))</f>
        <v>0.028</v>
      </c>
      <c r="AX62" s="26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2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2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2" cm="1">
        <f t="array" ref="BJ62">$G$13+VLOOKUP($R62,武学奇术!$A:$ZZ,14,FALSE)+SUM(_xlfn.XLOOKUP($S62:$AL62,增益!$A:$A,增益!$N:$N,0))</f>
        <v>0</v>
      </c>
      <c r="BK62">
        <f t="shared" si="7"/>
        <v>571.2</v>
      </c>
      <c r="BL62">
        <f t="shared" si="8"/>
        <v>1627.8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2" cm="1">
        <f t="array" ref="BN62">$G$14+VLOOKUP($R62,武学奇术!$A:$ZZ,16,FALSE)+SUM(_xlfn.XLOOKUP($S62:$AL62,增益!$A:$A,增益!$P:$P,0))</f>
        <v>0.15</v>
      </c>
      <c r="BO62" s="26">
        <f>MIN(IF(VLOOKUP($R62,武学奇术!$A:$ZZ,23,FALSE)=1,100%,$B$8),100%)</f>
        <v>0.981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0.846</v>
      </c>
      <c r="BQ62" s="26" cm="1">
        <f t="array" ref="BQ62">1+$B$13+VLOOKUP($R62,武学奇术!$A:$ZZ,18,FALSE)+SUM(_xlfn.XLOOKUP($S62:$AL62,增益!$A:$A,增益!$R:$R,0))</f>
        <v>1.91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0.0929</v>
      </c>
      <c r="BS62" s="26" cm="1">
        <f t="array" ref="BS62">1+$B$14+VLOOKUP($R62,武学奇术!$A:$ZZ,20,FALSE)+SUM(_xlfn.XLOOKUP($S62:$AL62,增益!$A:$A,增益!$T:$T,0))</f>
        <v>1.35</v>
      </c>
      <c r="BT62" s="26">
        <f t="shared" si="9"/>
        <v>0.829926</v>
      </c>
      <c r="BU62" s="26">
        <f t="shared" si="10"/>
        <v>0.0599391</v>
      </c>
      <c r="BV62" s="26">
        <f>IF(VLOOKUP($R62,武学奇术!$A:$ZZ,22,FALSE)=1,0,(1-$BO62))*(1-$BR62)</f>
        <v>0.0172349</v>
      </c>
      <c r="BW62" s="26" cm="1">
        <f t="array" ref="BW62">SUM(_xlfn.XLOOKUP($S62:$AL62,增益!$A:$A,增益!$W:$W,0))+$I$5</f>
        <v>0.11</v>
      </c>
      <c r="BX62" s="26" cm="1">
        <f t="array" ref="BX62">SUM(_xlfn.XLOOKUP($S62:$AL62,增益!$A:$A,增益!$X:$X,0))</f>
        <v>0</v>
      </c>
    </row>
    <row r="63" spans="1:76">
      <c r="K63">
        <f>$L63*VLOOKUP($R63,武学奇术!$A:$ZZ,31,FALSE)</f>
        <v>55878.5641643819</v>
      </c>
      <c r="L63" s="38">
        <f t="shared" si="11"/>
        <v>53217.6801565542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</f>
        <v>53217.6801565542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</f>
        <v>42131.4136428551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</f>
        <v>27862.6597678294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</f>
        <v>24516.8649853958</v>
      </c>
      <c r="Q63" s="39">
        <v>1</v>
      </c>
      <c r="R63" s="40" t="s">
        <v>174</v>
      </c>
      <c r="S63" s="40" t="s">
        <v>78</v>
      </c>
      <c r="T63" s="40" t="s">
        <v>102</v>
      </c>
      <c r="U63" s="40" t="s">
        <v>79</v>
      </c>
      <c r="V63" s="40" t="s">
        <v>78</v>
      </c>
      <c r="W63" s="40" t="s">
        <v>181</v>
      </c>
      <c r="X63" s="40" t="s">
        <v>106</v>
      </c>
      <c r="Y63" s="40" t="s">
        <v>78</v>
      </c>
      <c r="Z63" s="40" t="s">
        <v>78</v>
      </c>
      <c r="AA63" s="40" t="s">
        <v>78</v>
      </c>
      <c r="AB63" s="40" t="s">
        <v>78</v>
      </c>
      <c r="AC63" s="40" t="s">
        <v>78</v>
      </c>
      <c r="AD63" s="40" t="s">
        <v>78</v>
      </c>
      <c r="AE63" s="40" t="s">
        <v>78</v>
      </c>
      <c r="AF63" s="40" t="s">
        <v>78</v>
      </c>
      <c r="AG63" s="40" t="s">
        <v>85</v>
      </c>
      <c r="AH63" s="40" t="s">
        <v>78</v>
      </c>
      <c r="AI63" s="40" t="s">
        <v>78</v>
      </c>
      <c r="AJ63" s="40" t="s">
        <v>78</v>
      </c>
      <c r="AK63" s="40" t="s">
        <v>78</v>
      </c>
      <c r="AL63" s="40" t="s">
        <v>78</v>
      </c>
      <c r="AM63" t="str">
        <f>VLOOKUP($R63,武学奇术!$A:$ZZ,25,FALSE)</f>
        <v>绳镖</v>
      </c>
      <c r="AN63" s="26">
        <f>VLOOKUP($R63,武学奇术!$A:$ZZ,26,FALSE)</f>
        <v>2.2987</v>
      </c>
      <c r="AO63" s="27">
        <f>VLOOKUP($R63,武学奇术!$A:$ZZ,27,FALSE)*(1+IF(OR($AM63=$F$4,$AM63=$F$5),$B$22,0))</f>
        <v>955.5</v>
      </c>
      <c r="AP63" s="26">
        <f>VLOOKUP($R63,武学奇术!$A:$ZZ,28,FALSE)</f>
        <v>3.448</v>
      </c>
      <c r="AQ63" s="27">
        <f>VLOOKUP($R63,武学奇术!$A:$ZZ,29,FALSE)*(1+IF(OR($AM63=$F$4,$AM63=$F$5),$B$22,0))</f>
        <v>520.5</v>
      </c>
      <c r="AR63" s="26" cm="1">
        <f t="array" ref="AR63">$G$3+IFERROR(VLOOKUP($AM63,$F$4:$G$7,2,FALSE),0)+VLOOKUP($R63,武学奇术!$A:$ZZ,2,FALSE)+SUM(_xlfn.XLOOKUP($S63:$AL63,增益!$A:$A,增益!$B:$B,0))</f>
        <v>0.4389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3574.6</v>
      </c>
      <c r="AU63" cm="1">
        <f t="array" ref="AU63">$E$10*(1+$AS63)+VLOOKUP($R63,武学奇术!$A:$ZZ,4,FALSE)+SUM(_xlfn.XLOOKUP($S63:$AL63,增益!$A:$A,增益!$D:$D,0))-$I$2</f>
        <v>3574.6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0.2925</v>
      </c>
      <c r="AW63" s="32" cm="1">
        <f t="array" ref="AW63">$G$10+VLOOKUP($R63,武学奇术!$A:$ZZ,7,FALSE)+SUM(_xlfn.XLOOKUP($S63:$AL63,增益!$A:$A,增益!$G:$G,0))</f>
        <v>0.028</v>
      </c>
      <c r="AX63" s="26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2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2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2" cm="1">
        <f t="array" ref="BJ63">$G$13+VLOOKUP($R63,武学奇术!$A:$ZZ,14,FALSE)+SUM(_xlfn.XLOOKUP($S63:$AL63,增益!$A:$A,增益!$N:$N,0))</f>
        <v>0</v>
      </c>
      <c r="BK63">
        <f t="shared" si="7"/>
        <v>571.2</v>
      </c>
      <c r="BL63">
        <f t="shared" si="8"/>
        <v>1627.8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2" cm="1">
        <f t="array" ref="BN63">$G$14+VLOOKUP($R63,武学奇术!$A:$ZZ,16,FALSE)+SUM(_xlfn.XLOOKUP($S63:$AL63,增益!$A:$A,增益!$P:$P,0))</f>
        <v>0.15</v>
      </c>
      <c r="BO63" s="26">
        <f>MIN(IF(VLOOKUP($R63,武学奇术!$A:$ZZ,23,FALSE)=1,100%,$B$8),100%)</f>
        <v>1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1</v>
      </c>
      <c r="BQ63" s="26" cm="1">
        <f t="array" ref="BQ63">1+$B$13+VLOOKUP($R63,武学奇术!$A:$ZZ,18,FALSE)+SUM(_xlfn.XLOOKUP($S63:$AL63,增益!$A:$A,增益!$R:$R,0))</f>
        <v>1.91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</v>
      </c>
      <c r="BS63" s="26" cm="1">
        <f t="array" ref="BS63">1+$B$14+VLOOKUP($R63,武学奇术!$A:$ZZ,20,FALSE)+SUM(_xlfn.XLOOKUP($S63:$AL63,增益!$A:$A,增益!$T:$T,0))</f>
        <v>1.35</v>
      </c>
      <c r="BT63" s="26">
        <f t="shared" si="9"/>
        <v>1</v>
      </c>
      <c r="BU63" s="26">
        <f t="shared" si="10"/>
        <v>0</v>
      </c>
      <c r="BV63" s="26">
        <f>IF(VLOOKUP($R63,武学奇术!$A:$ZZ,22,FALSE)=1,0,(1-$BO63))*(1-$BR63)</f>
        <v>0</v>
      </c>
      <c r="BW63" s="26" cm="1">
        <f t="array" ref="BW63">SUM(_xlfn.XLOOKUP($S63:$AL63,增益!$A:$A,增益!$W:$W,0))+$I$5</f>
        <v>0.11</v>
      </c>
      <c r="BX63" s="26" cm="1">
        <f t="array" ref="BX63">SUM(_xlfn.XLOOKUP($S63:$AL63,增益!$A:$A,增益!$X:$X,0))</f>
        <v>0</v>
      </c>
    </row>
    <row r="64" spans="1:76">
      <c r="K64">
        <f>$L64*VLOOKUP($R64,武学奇术!$A:$ZZ,31,FALSE)</f>
        <v>106401.35035987</v>
      </c>
      <c r="L64" s="89">
        <f>(SUM(L39:L63)+L156+L157)*12%*(1+BX64)</f>
        <v>202669.238780705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</f>
        <v>0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</f>
        <v>0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</f>
        <v>0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</f>
        <v>0</v>
      </c>
      <c r="Q64" s="39">
        <v>1</v>
      </c>
      <c r="R64" s="40" t="s">
        <v>175</v>
      </c>
      <c r="S64" s="40" t="s">
        <v>78</v>
      </c>
      <c r="T64" s="40" t="s">
        <v>78</v>
      </c>
      <c r="U64" s="40" t="s">
        <v>78</v>
      </c>
      <c r="V64" s="40" t="s">
        <v>78</v>
      </c>
      <c r="W64" s="40" t="s">
        <v>78</v>
      </c>
      <c r="X64" s="40" t="s">
        <v>78</v>
      </c>
      <c r="Y64" s="40" t="s">
        <v>78</v>
      </c>
      <c r="Z64" s="40" t="s">
        <v>78</v>
      </c>
      <c r="AA64" s="40" t="s">
        <v>78</v>
      </c>
      <c r="AB64" s="40" t="s">
        <v>78</v>
      </c>
      <c r="AC64" s="40" t="s">
        <v>78</v>
      </c>
      <c r="AD64" s="40" t="s">
        <v>78</v>
      </c>
      <c r="AE64" s="40" t="s">
        <v>78</v>
      </c>
      <c r="AF64" s="40" t="s">
        <v>78</v>
      </c>
      <c r="AG64" s="40" t="s">
        <v>85</v>
      </c>
      <c r="AH64" s="40" t="s">
        <v>78</v>
      </c>
      <c r="AI64" s="40" t="s">
        <v>78</v>
      </c>
      <c r="AJ64" s="40" t="s">
        <v>78</v>
      </c>
      <c r="AK64" s="40" t="s">
        <v>78</v>
      </c>
      <c r="AL64" s="40" t="s">
        <v>78</v>
      </c>
      <c r="AM64" t="str">
        <f>VLOOKUP($R64,武学奇术!$A:$ZZ,25,FALSE)</f>
        <v>心法</v>
      </c>
      <c r="AN64" s="26">
        <f>VLOOKUP($R64,武学奇术!$A:$ZZ,26,FALSE)</f>
        <v>0</v>
      </c>
      <c r="AO64" s="27">
        <f>VLOOKUP($R64,武学奇术!$A:$ZZ,27,FALSE)*(1+IF(OR($AM64=$F$4,$AM64=$F$5),$B$22,0))</f>
        <v>0</v>
      </c>
      <c r="AP64" s="26">
        <f>VLOOKUP($R64,武学奇术!$A:$ZZ,28,FALSE)</f>
        <v>0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0.1037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3574.6</v>
      </c>
      <c r="AU64" cm="1">
        <f t="array" ref="AU64">$E$10*(1+$AS64)+VLOOKUP($R64,武学奇术!$A:$ZZ,4,FALSE)+SUM(_xlfn.XLOOKUP($S64:$AL64,增益!$A:$A,增益!$D:$D,0))-$I$2</f>
        <v>3574.6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0.1925</v>
      </c>
      <c r="AW64" s="32" cm="1">
        <f t="array" ref="AW64">$G$10+VLOOKUP($R64,武学奇术!$A:$ZZ,7,FALSE)+SUM(_xlfn.XLOOKUP($S64:$AL64,增益!$A:$A,增益!$G:$G,0))</f>
        <v>0.028</v>
      </c>
      <c r="AX64" s="26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2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2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2" cm="1">
        <f t="array" ref="BJ64">$G$13+VLOOKUP($R64,武学奇术!$A:$ZZ,14,FALSE)+SUM(_xlfn.XLOOKUP($S64:$AL64,增益!$A:$A,增益!$N:$N,0))</f>
        <v>0</v>
      </c>
      <c r="BK64">
        <f t="shared" si="7"/>
        <v>571.2</v>
      </c>
      <c r="BL64">
        <f t="shared" si="8"/>
        <v>1627.8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2" cm="1">
        <f t="array" ref="BN64">$G$14+VLOOKUP($R64,武学奇术!$A:$ZZ,16,FALSE)+SUM(_xlfn.XLOOKUP($S64:$AL64,增益!$A:$A,增益!$P:$P,0))</f>
        <v>0.15</v>
      </c>
      <c r="BO64" s="26">
        <f>MIN(IF(VLOOKUP($R64,武学奇术!$A:$ZZ,23,FALSE)=1,100%,$B$8),100%)</f>
        <v>0.981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0.846</v>
      </c>
      <c r="BQ64" s="26" cm="1">
        <f t="array" ref="BQ64">1+$B$13+VLOOKUP($R64,武学奇术!$A:$ZZ,18,FALSE)+SUM(_xlfn.XLOOKUP($S64:$AL64,增益!$A:$A,增益!$R:$R,0))</f>
        <v>1.54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0.0929</v>
      </c>
      <c r="BS64" s="26" cm="1">
        <f t="array" ref="BS64">1+$B$14+VLOOKUP($R64,武学奇术!$A:$ZZ,20,FALSE)+SUM(_xlfn.XLOOKUP($S64:$AL64,增益!$A:$A,增益!$T:$T,0))</f>
        <v>1.35</v>
      </c>
      <c r="BT64" s="26">
        <f t="shared" si="9"/>
        <v>0.829926</v>
      </c>
      <c r="BU64" s="26">
        <f t="shared" si="10"/>
        <v>0.0599391</v>
      </c>
      <c r="BV64" s="26">
        <f>IF(VLOOKUP($R64,武学奇术!$A:$ZZ,22,FALSE)=1,0,(1-$BO64))*(1-$BR64)</f>
        <v>0.0172349</v>
      </c>
      <c r="BW64" s="26" cm="1">
        <f t="array" ref="BW64">SUM(_xlfn.XLOOKUP($S64:$AL64,增益!$A:$A,增益!$W:$W,0))+$I$5</f>
        <v>0.11</v>
      </c>
      <c r="BX64" s="26" cm="1">
        <f t="array" ref="BX64">SUM(_xlfn.XLOOKUP($S64:$AL64,增益!$A:$A,增益!$X:$X,0))</f>
        <v>0</v>
      </c>
    </row>
    <row r="65" spans="1:76">
      <c r="K65">
        <f>$L65*VLOOKUP($R65,武学奇术!$A:$ZZ,31,FALSE)</f>
        <v>55041.0531604658</v>
      </c>
      <c r="L65" s="38">
        <f t="shared" ref="L65:L83" si="12">($M65*$BT65+$N65*$BR65+$O65*$BU65+$P65*$BV65)</f>
        <v>52420.050629015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</f>
        <v>55600.5645856783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</f>
        <v>44019.473724126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</f>
        <v>29110.243238575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</f>
        <v>25613.4689037234</v>
      </c>
      <c r="Q65" s="39">
        <v>1</v>
      </c>
      <c r="R65" s="40" t="s">
        <v>167</v>
      </c>
      <c r="S65" s="40" t="s">
        <v>78</v>
      </c>
      <c r="T65" s="40" t="s">
        <v>102</v>
      </c>
      <c r="U65" s="40" t="s">
        <v>79</v>
      </c>
      <c r="V65" s="40" t="s">
        <v>88</v>
      </c>
      <c r="W65" s="40" t="s">
        <v>181</v>
      </c>
      <c r="X65" s="40" t="s">
        <v>106</v>
      </c>
      <c r="Y65" s="40" t="s">
        <v>78</v>
      </c>
      <c r="Z65" s="40" t="s">
        <v>185</v>
      </c>
      <c r="AA65" s="40" t="s">
        <v>78</v>
      </c>
      <c r="AB65" s="40" t="s">
        <v>78</v>
      </c>
      <c r="AC65" s="40" t="s">
        <v>78</v>
      </c>
      <c r="AD65" s="40" t="s">
        <v>78</v>
      </c>
      <c r="AE65" s="40" t="s">
        <v>78</v>
      </c>
      <c r="AF65" s="40" t="s">
        <v>78</v>
      </c>
      <c r="AG65" s="40" t="s">
        <v>85</v>
      </c>
      <c r="AH65" s="40" t="s">
        <v>78</v>
      </c>
      <c r="AI65" s="40" t="s">
        <v>78</v>
      </c>
      <c r="AJ65" s="40" t="s">
        <v>78</v>
      </c>
      <c r="AK65" s="40" t="s">
        <v>78</v>
      </c>
      <c r="AL65" s="40" t="s">
        <v>78</v>
      </c>
      <c r="AM65" t="str">
        <f>VLOOKUP($R65,武学奇术!$A:$ZZ,25,FALSE)</f>
        <v>伞</v>
      </c>
      <c r="AN65" s="26">
        <f>VLOOKUP($R65,武学奇术!$A:$ZZ,26,FALSE)</f>
        <v>2.01456</v>
      </c>
      <c r="AO65" s="27">
        <f>VLOOKUP($R65,武学奇术!$A:$ZZ,27,FALSE)*(1+IF(OR($AM65=$F$4,$AM65=$F$5),$B$22,0))</f>
        <v>837</v>
      </c>
      <c r="AP65" s="26">
        <f>VLOOKUP($R65,武学奇术!$A:$ZZ,28,FALSE)</f>
        <v>3.02184</v>
      </c>
      <c r="AQ65" s="27">
        <f>VLOOKUP($R65,武学奇术!$A:$ZZ,29,FALSE)*(1+IF(OR($AM65=$F$4,$AM65=$F$5),$B$22,0))</f>
        <v>453.6</v>
      </c>
      <c r="AR65" s="26" cm="1">
        <f t="array" ref="AR65">$G$3+IFERROR(VLOOKUP($AM65,$F$4:$G$7,2,FALSE),0)+VLOOKUP($R65,武学奇术!$A:$ZZ,2,FALSE)+SUM(_xlfn.XLOOKUP($S65:$AL65,增益!$A:$A,增益!$B:$B,0))</f>
        <v>0.5741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3574.6</v>
      </c>
      <c r="AU65" cm="1">
        <f t="array" ref="AU65">$E$10*(1+$AS65)+VLOOKUP($R65,武学奇术!$A:$ZZ,4,FALSE)+SUM(_xlfn.XLOOKUP($S65:$AL65,增益!$A:$A,增益!$D:$D,0))-$I$2</f>
        <v>3574.6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0.2925</v>
      </c>
      <c r="AW65" s="32" cm="1">
        <f t="array" ref="AW65">$G$10+VLOOKUP($R65,武学奇术!$A:$ZZ,7,FALSE)+SUM(_xlfn.XLOOKUP($S65:$AL65,增益!$A:$A,增益!$G:$G,0))</f>
        <v>0.028</v>
      </c>
      <c r="AX65" s="26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2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2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2" cm="1">
        <f t="array" ref="BJ65">$G$13+VLOOKUP($R65,武学奇术!$A:$ZZ,14,FALSE)+SUM(_xlfn.XLOOKUP($S65:$AL65,增益!$A:$A,增益!$N:$N,0))</f>
        <v>0</v>
      </c>
      <c r="BK65">
        <f t="shared" si="7"/>
        <v>571.2</v>
      </c>
      <c r="BL65">
        <f t="shared" si="8"/>
        <v>1627.8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2" cm="1">
        <f t="array" ref="BN65">$G$14+VLOOKUP($R65,武学奇术!$A:$ZZ,16,FALSE)+SUM(_xlfn.XLOOKUP($S65:$AL65,增益!$A:$A,增益!$P:$P,0))</f>
        <v>0.15</v>
      </c>
      <c r="BO65" s="26">
        <f>MIN(IF(VLOOKUP($R65,武学奇术!$A:$ZZ,23,FALSE)=1,100%,$B$8),100%)</f>
        <v>0.981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0.846</v>
      </c>
      <c r="BQ65" s="26" cm="1">
        <f t="array" ref="BQ65">1+$B$13+VLOOKUP($R65,武学奇术!$A:$ZZ,18,FALSE)+SUM(_xlfn.XLOOKUP($S65:$AL65,增益!$A:$A,增益!$R:$R,0))</f>
        <v>1.91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0.0929</v>
      </c>
      <c r="BS65" s="26" cm="1">
        <f t="array" ref="BS65">1+$B$14+VLOOKUP($R65,武学奇术!$A:$ZZ,20,FALSE)+SUM(_xlfn.XLOOKUP($S65:$AL65,增益!$A:$A,增益!$T:$T,0))</f>
        <v>1.35</v>
      </c>
      <c r="BT65" s="26">
        <f t="shared" si="9"/>
        <v>0.829926</v>
      </c>
      <c r="BU65" s="26">
        <f t="shared" si="10"/>
        <v>0.0599391</v>
      </c>
      <c r="BV65" s="26">
        <f>IF(VLOOKUP($R65,武学奇术!$A:$ZZ,22,FALSE)=1,0,(1-$BO65))*(1-$BR65)</f>
        <v>0.0172349</v>
      </c>
      <c r="BW65" s="26" cm="1">
        <f t="array" ref="BW65">SUM(_xlfn.XLOOKUP($S65:$AL65,增益!$A:$A,增益!$W:$W,0))+$I$5</f>
        <v>0.21</v>
      </c>
      <c r="BX65" s="26" cm="1">
        <f t="array" ref="BX65">SUM(_xlfn.XLOOKUP($S65:$AL65,增益!$A:$A,增益!$X:$X,0))</f>
        <v>0</v>
      </c>
    </row>
    <row r="66" spans="1:76">
      <c r="K66">
        <f>$L66*VLOOKUP($R66,武学奇术!$A:$ZZ,31,FALSE)</f>
        <v>133778.432080807</v>
      </c>
      <c r="L66" s="38">
        <f t="shared" si="12"/>
        <v>127408.030553149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</f>
        <v>135054.115890687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</f>
        <v>107914.456669988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</f>
        <v>70708.9611993126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</f>
        <v>61481.287828264</v>
      </c>
      <c r="Q66" s="39">
        <v>4</v>
      </c>
      <c r="R66" s="40" t="s">
        <v>77</v>
      </c>
      <c r="S66" s="40" t="s">
        <v>78</v>
      </c>
      <c r="T66" s="40" t="s">
        <v>102</v>
      </c>
      <c r="U66" s="40" t="s">
        <v>79</v>
      </c>
      <c r="V66" s="40" t="s">
        <v>88</v>
      </c>
      <c r="W66" s="40" t="s">
        <v>181</v>
      </c>
      <c r="X66" s="40" t="s">
        <v>106</v>
      </c>
      <c r="Y66" s="40" t="s">
        <v>78</v>
      </c>
      <c r="Z66" s="40" t="s">
        <v>185</v>
      </c>
      <c r="AA66" s="40" t="s">
        <v>78</v>
      </c>
      <c r="AB66" s="40" t="s">
        <v>78</v>
      </c>
      <c r="AC66" s="40" t="s">
        <v>78</v>
      </c>
      <c r="AD66" s="40" t="s">
        <v>78</v>
      </c>
      <c r="AE66" s="40" t="s">
        <v>78</v>
      </c>
      <c r="AF66" s="40" t="s">
        <v>78</v>
      </c>
      <c r="AG66" s="40" t="s">
        <v>85</v>
      </c>
      <c r="AH66" s="40" t="s">
        <v>78</v>
      </c>
      <c r="AI66" s="40" t="s">
        <v>78</v>
      </c>
      <c r="AJ66" s="40" t="s">
        <v>78</v>
      </c>
      <c r="AK66" s="40" t="s">
        <v>78</v>
      </c>
      <c r="AL66" s="40" t="s">
        <v>78</v>
      </c>
      <c r="AM66" t="str">
        <f>VLOOKUP($R66,武学奇术!$A:$ZZ,25,FALSE)</f>
        <v>群体奇术</v>
      </c>
      <c r="AN66" s="26">
        <f>VLOOKUP($R66,武学奇术!$A:$ZZ,26,FALSE)</f>
        <v>1.4904</v>
      </c>
      <c r="AO66" s="27">
        <f>VLOOKUP($R66,武学奇术!$A:$ZZ,27,FALSE)*(1+IF(OR($AM66=$F$4,$AM66=$F$5),$B$22,0))</f>
        <v>378</v>
      </c>
      <c r="AP66" s="26">
        <f>VLOOKUP($R66,武学奇术!$A:$ZZ,28,FALSE)</f>
        <v>2.2356</v>
      </c>
      <c r="AQ66" s="27">
        <f>VLOOKUP($R66,武学奇术!$A:$ZZ,29,FALSE)*(1+IF(OR($AM66=$F$4,$AM66=$F$5),$B$22,0))</f>
        <v>0</v>
      </c>
      <c r="AR66" s="26" cm="1">
        <f t="array" ref="AR66">$G$3+IFERROR(VLOOKUP($AM66,$F$4:$G$7,2,FALSE),0)+VLOOKUP($R66,武学奇术!$A:$ZZ,2,FALSE)+SUM(_xlfn.XLOOKUP($S66:$AL66,增益!$A:$A,增益!$B:$B,0))</f>
        <v>0.4037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3574.6</v>
      </c>
      <c r="AU66" cm="1">
        <f t="array" ref="AU66">$E$10*(1+$AS66)+VLOOKUP($R66,武学奇术!$A:$ZZ,4,FALSE)+SUM(_xlfn.XLOOKUP($S66:$AL66,增益!$A:$A,增益!$D:$D,0))-$I$2</f>
        <v>3574.6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0.2925</v>
      </c>
      <c r="AW66" s="32" cm="1">
        <f t="array" ref="AW66">$G$10+VLOOKUP($R66,武学奇术!$A:$ZZ,7,FALSE)+SUM(_xlfn.XLOOKUP($S66:$AL66,增益!$A:$A,增益!$G:$G,0))</f>
        <v>0.028</v>
      </c>
      <c r="AX66" s="26" cm="1">
        <f t="array" ref="AX66">VLOOKUP($R66,武学奇术!$A:$ZZ,8,FALSE)+SUM(_xlfn.XLOOKUP($S66:$AL66,增益!$A:$A,增益!$H:$H,0))</f>
        <v>0</v>
      </c>
      <c r="AY66">
        <f t="shared" ref="AY66:AY129" si="13">$D$11*(1+$AX66)</f>
        <v>0</v>
      </c>
      <c r="AZ66">
        <f t="shared" ref="AZ66:AZ129" si="14">$E$11*(1+$AX66)</f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2" cm="1">
        <f t="array" ref="BB66">$G$11+VLOOKUP($R66,武学奇术!$A:$ZZ,10,FALSE)+SUM(_xlfn.XLOOKUP($S66:$AL66,增益!$A:$A,增益!$J:$J,0))</f>
        <v>0</v>
      </c>
      <c r="BC66">
        <f t="shared" ref="BC66:BC129" si="15">$D$12*(1+$AX66)</f>
        <v>0</v>
      </c>
      <c r="BD66">
        <f t="shared" ref="BD66:BD129" si="16">$E$12*(1+$AX66)</f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2" cm="1">
        <f t="array" ref="BF66">$G$12+VLOOKUP($R66,武学奇术!$A:$ZZ,12,FALSE)+SUM(_xlfn.XLOOKUP($S66:$AL66,增益!$A:$A,增益!$L:$L,0))</f>
        <v>0</v>
      </c>
      <c r="BG66">
        <f t="shared" ref="BG66:BG129" si="17">$D$13*(1+$AX66)</f>
        <v>0</v>
      </c>
      <c r="BH66">
        <f t="shared" ref="BH66:BH129" si="18">$E$13*(1+$AX66)</f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2" cm="1">
        <f t="array" ref="BJ66">$G$13+VLOOKUP($R66,武学奇术!$A:$ZZ,14,FALSE)+SUM(_xlfn.XLOOKUP($S66:$AL66,增益!$A:$A,增益!$N:$N,0))</f>
        <v>0</v>
      </c>
      <c r="BK66">
        <f t="shared" ref="BK66:BK129" si="19">$D$14*(1+$AX66)</f>
        <v>571.2</v>
      </c>
      <c r="BL66">
        <f t="shared" ref="BL66:BL129" si="20">$E$14*(1+$AX66)</f>
        <v>1627.8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2" cm="1">
        <f t="array" ref="BN66">$G$14+VLOOKUP($R66,武学奇术!$A:$ZZ,16,FALSE)+SUM(_xlfn.XLOOKUP($S66:$AL66,增益!$A:$A,增益!$P:$P,0))</f>
        <v>0.15</v>
      </c>
      <c r="BO66" s="26">
        <f>MIN(IF(VLOOKUP($R66,武学奇术!$A:$ZZ,23,FALSE)=1,100%,$B$8),100%)</f>
        <v>0.981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0.846</v>
      </c>
      <c r="BQ66" s="26" cm="1">
        <f t="array" ref="BQ66">1+$B$13+VLOOKUP($R66,武学奇术!$A:$ZZ,18,FALSE)+SUM(_xlfn.XLOOKUP($S66:$AL66,增益!$A:$A,增益!$R:$R,0))</f>
        <v>1.91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0.0929</v>
      </c>
      <c r="BS66" s="26" cm="1">
        <f t="array" ref="BS66">1+$B$14+VLOOKUP($R66,武学奇术!$A:$ZZ,20,FALSE)+SUM(_xlfn.XLOOKUP($S66:$AL66,增益!$A:$A,增益!$T:$T,0))</f>
        <v>1.35</v>
      </c>
      <c r="BT66" s="26">
        <f t="shared" ref="BT66:BT129" si="21">MIN((1-BR66)*BO66,BO66*BP66)</f>
        <v>0.829926</v>
      </c>
      <c r="BU66" s="26">
        <f t="shared" ref="BU66:BU129" si="22">1-BR66-BT66-BV66</f>
        <v>0.0599391</v>
      </c>
      <c r="BV66" s="26">
        <f>IF(VLOOKUP($R66,武学奇术!$A:$ZZ,22,FALSE)=1,0,(1-$BO66))*(1-$BR66)</f>
        <v>0.0172349</v>
      </c>
      <c r="BW66" s="26" cm="1">
        <f t="array" ref="BW66">SUM(_xlfn.XLOOKUP($S66:$AL66,增益!$A:$A,增益!$W:$W,0))+$I$5</f>
        <v>0.21</v>
      </c>
      <c r="BX66" s="26" cm="1">
        <f t="array" ref="BX66">SUM(_xlfn.XLOOKUP($S66:$AL66,增益!$A:$A,增益!$X:$X,0))</f>
        <v>0</v>
      </c>
    </row>
    <row r="67" spans="1:76">
      <c r="K67">
        <f>$L67*VLOOKUP($R67,武学奇术!$A:$ZZ,31,FALSE)</f>
        <v>55041.0531604658</v>
      </c>
      <c r="L67" s="38">
        <f t="shared" si="12"/>
        <v>52420.050629015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</f>
        <v>55600.5645856783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</f>
        <v>44019.473724126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</f>
        <v>29110.243238575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</f>
        <v>25613.4689037234</v>
      </c>
      <c r="Q67" s="39">
        <v>1</v>
      </c>
      <c r="R67" s="40" t="s">
        <v>167</v>
      </c>
      <c r="S67" s="40" t="s">
        <v>78</v>
      </c>
      <c r="T67" s="40" t="s">
        <v>102</v>
      </c>
      <c r="U67" s="40" t="s">
        <v>79</v>
      </c>
      <c r="V67" s="40" t="s">
        <v>88</v>
      </c>
      <c r="W67" s="40" t="s">
        <v>181</v>
      </c>
      <c r="X67" s="40" t="s">
        <v>106</v>
      </c>
      <c r="Y67" s="40" t="s">
        <v>78</v>
      </c>
      <c r="Z67" s="40" t="s">
        <v>185</v>
      </c>
      <c r="AA67" s="40" t="s">
        <v>78</v>
      </c>
      <c r="AB67" s="40" t="s">
        <v>78</v>
      </c>
      <c r="AC67" s="40" t="s">
        <v>78</v>
      </c>
      <c r="AD67" s="40" t="s">
        <v>187</v>
      </c>
      <c r="AE67" s="40" t="s">
        <v>78</v>
      </c>
      <c r="AF67" s="40" t="s">
        <v>78</v>
      </c>
      <c r="AG67" s="40" t="s">
        <v>85</v>
      </c>
      <c r="AH67" s="40" t="s">
        <v>78</v>
      </c>
      <c r="AI67" s="40" t="s">
        <v>78</v>
      </c>
      <c r="AJ67" s="40" t="s">
        <v>78</v>
      </c>
      <c r="AK67" s="40" t="s">
        <v>78</v>
      </c>
      <c r="AL67" s="40" t="s">
        <v>78</v>
      </c>
      <c r="AM67" t="str">
        <f>VLOOKUP($R67,武学奇术!$A:$ZZ,25,FALSE)</f>
        <v>伞</v>
      </c>
      <c r="AN67" s="26">
        <f>VLOOKUP($R67,武学奇术!$A:$ZZ,26,FALSE)</f>
        <v>2.01456</v>
      </c>
      <c r="AO67" s="27">
        <f>VLOOKUP($R67,武学奇术!$A:$ZZ,27,FALSE)*(1+IF(OR($AM67=$F$4,$AM67=$F$5),$B$22,0))</f>
        <v>837</v>
      </c>
      <c r="AP67" s="26">
        <f>VLOOKUP($R67,武学奇术!$A:$ZZ,28,FALSE)</f>
        <v>3.02184</v>
      </c>
      <c r="AQ67" s="27">
        <f>VLOOKUP($R67,武学奇术!$A:$ZZ,29,FALSE)*(1+IF(OR($AM67=$F$4,$AM67=$F$5),$B$22,0))</f>
        <v>453.6</v>
      </c>
      <c r="AR67" s="26" cm="1">
        <f t="array" ref="AR67">$G$3+IFERROR(VLOOKUP($AM67,$F$4:$G$7,2,FALSE),0)+VLOOKUP($R67,武学奇术!$A:$ZZ,2,FALSE)+SUM(_xlfn.XLOOKUP($S67:$AL67,增益!$A:$A,增益!$B:$B,0))</f>
        <v>0.5741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3574.6</v>
      </c>
      <c r="AU67" cm="1">
        <f t="array" ref="AU67">$E$10*(1+$AS67)+VLOOKUP($R67,武学奇术!$A:$ZZ,4,FALSE)+SUM(_xlfn.XLOOKUP($S67:$AL67,增益!$A:$A,增益!$D:$D,0))-$I$2</f>
        <v>3574.6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0.2925</v>
      </c>
      <c r="AW67" s="32" cm="1">
        <f t="array" ref="AW67">$G$10+VLOOKUP($R67,武学奇术!$A:$ZZ,7,FALSE)+SUM(_xlfn.XLOOKUP($S67:$AL67,增益!$A:$A,增益!$G:$G,0))</f>
        <v>0.028</v>
      </c>
      <c r="AX67" s="26" cm="1">
        <f t="array" ref="AX67">VLOOKUP($R67,武学奇术!$A:$ZZ,8,FALSE)+SUM(_xlfn.XLOOKUP($S67:$AL67,增益!$A:$A,增益!$H:$H,0))</f>
        <v>0</v>
      </c>
      <c r="AY67">
        <f t="shared" si="13"/>
        <v>0</v>
      </c>
      <c r="AZ67">
        <f t="shared" si="14"/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2" cm="1">
        <f t="array" ref="BB67">$G$11+VLOOKUP($R67,武学奇术!$A:$ZZ,10,FALSE)+SUM(_xlfn.XLOOKUP($S67:$AL67,增益!$A:$A,增益!$J:$J,0))</f>
        <v>0</v>
      </c>
      <c r="BC67">
        <f t="shared" si="15"/>
        <v>0</v>
      </c>
      <c r="BD67">
        <f t="shared" si="16"/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2" cm="1">
        <f t="array" ref="BF67">$G$12+VLOOKUP($R67,武学奇术!$A:$ZZ,12,FALSE)+SUM(_xlfn.XLOOKUP($S67:$AL67,增益!$A:$A,增益!$L:$L,0))</f>
        <v>0</v>
      </c>
      <c r="BG67">
        <f t="shared" si="17"/>
        <v>0</v>
      </c>
      <c r="BH67">
        <f t="shared" si="18"/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2" cm="1">
        <f t="array" ref="BJ67">$G$13+VLOOKUP($R67,武学奇术!$A:$ZZ,14,FALSE)+SUM(_xlfn.XLOOKUP($S67:$AL67,增益!$A:$A,增益!$N:$N,0))</f>
        <v>0</v>
      </c>
      <c r="BK67">
        <f t="shared" si="19"/>
        <v>571.2</v>
      </c>
      <c r="BL67">
        <f t="shared" si="20"/>
        <v>1627.8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2" cm="1">
        <f t="array" ref="BN67">$G$14+VLOOKUP($R67,武学奇术!$A:$ZZ,16,FALSE)+SUM(_xlfn.XLOOKUP($S67:$AL67,增益!$A:$A,增益!$P:$P,0))</f>
        <v>0.15</v>
      </c>
      <c r="BO67" s="26">
        <f>MIN(IF(VLOOKUP($R67,武学奇术!$A:$ZZ,23,FALSE)=1,100%,$B$8),100%)</f>
        <v>0.981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0.846</v>
      </c>
      <c r="BQ67" s="26" cm="1">
        <f t="array" ref="BQ67">1+$B$13+VLOOKUP($R67,武学奇术!$A:$ZZ,18,FALSE)+SUM(_xlfn.XLOOKUP($S67:$AL67,增益!$A:$A,增益!$R:$R,0))</f>
        <v>1.91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0.0929</v>
      </c>
      <c r="BS67" s="26" cm="1">
        <f t="array" ref="BS67">1+$B$14+VLOOKUP($R67,武学奇术!$A:$ZZ,20,FALSE)+SUM(_xlfn.XLOOKUP($S67:$AL67,增益!$A:$A,增益!$T:$T,0))</f>
        <v>1.35</v>
      </c>
      <c r="BT67" s="26">
        <f t="shared" si="21"/>
        <v>0.829926</v>
      </c>
      <c r="BU67" s="26">
        <f t="shared" si="22"/>
        <v>0.0599391</v>
      </c>
      <c r="BV67" s="26">
        <f>IF(VLOOKUP($R67,武学奇术!$A:$ZZ,22,FALSE)=1,0,(1-$BO67))*(1-$BR67)</f>
        <v>0.0172349</v>
      </c>
      <c r="BW67" s="26" cm="1">
        <f t="array" ref="BW67">SUM(_xlfn.XLOOKUP($S67:$AL67,增益!$A:$A,增益!$W:$W,0))+$I$5</f>
        <v>0.21</v>
      </c>
      <c r="BX67" s="26" cm="1">
        <f t="array" ref="BX67">SUM(_xlfn.XLOOKUP($S67:$AL67,增益!$A:$A,增益!$X:$X,0))</f>
        <v>0</v>
      </c>
    </row>
    <row r="68" spans="1:76">
      <c r="K68">
        <f>$L68*VLOOKUP($R68,武学奇术!$A:$ZZ,31,FALSE)</f>
        <v>14581.8623676808</v>
      </c>
      <c r="L68" s="38">
        <f t="shared" si="12"/>
        <v>13887.4879692198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</f>
        <v>14715.0662018543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</f>
        <v>11826.8364595958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</f>
        <v>7704.22314233211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</f>
        <v>6647.82668496366</v>
      </c>
      <c r="Q68" s="39">
        <v>1</v>
      </c>
      <c r="R68" s="40" t="s">
        <v>170</v>
      </c>
      <c r="S68" s="40" t="s">
        <v>78</v>
      </c>
      <c r="T68" s="40" t="s">
        <v>102</v>
      </c>
      <c r="U68" s="40" t="s">
        <v>79</v>
      </c>
      <c r="V68" s="40" t="s">
        <v>88</v>
      </c>
      <c r="W68" s="40" t="s">
        <v>181</v>
      </c>
      <c r="X68" s="40" t="s">
        <v>106</v>
      </c>
      <c r="Y68" s="40" t="s">
        <v>78</v>
      </c>
      <c r="Z68" s="40" t="s">
        <v>185</v>
      </c>
      <c r="AA68" s="40" t="s">
        <v>78</v>
      </c>
      <c r="AB68" s="40" t="s">
        <v>78</v>
      </c>
      <c r="AC68" s="40" t="s">
        <v>78</v>
      </c>
      <c r="AD68" s="40" t="s">
        <v>187</v>
      </c>
      <c r="AE68" s="40" t="s">
        <v>78</v>
      </c>
      <c r="AF68" s="40" t="s">
        <v>78</v>
      </c>
      <c r="AG68" s="40" t="s">
        <v>85</v>
      </c>
      <c r="AH68" s="40" t="s">
        <v>78</v>
      </c>
      <c r="AI68" s="40" t="s">
        <v>78</v>
      </c>
      <c r="AJ68" s="40" t="s">
        <v>78</v>
      </c>
      <c r="AK68" s="40" t="s">
        <v>78</v>
      </c>
      <c r="AL68" s="40" t="s">
        <v>78</v>
      </c>
      <c r="AM68" t="str">
        <f>VLOOKUP($R68,武学奇术!$A:$ZZ,25,FALSE)</f>
        <v>伞</v>
      </c>
      <c r="AN68" s="26">
        <f>VLOOKUP($R68,武学奇术!$A:$ZZ,26,FALSE)</f>
        <v>0.54</v>
      </c>
      <c r="AO68" s="27">
        <f>VLOOKUP($R68,武学奇术!$A:$ZZ,27,FALSE)*(1+IF(OR($AM68=$F$4,$AM68=$F$5),$B$22,0))</f>
        <v>0</v>
      </c>
      <c r="AP68" s="26">
        <f>VLOOKUP($R68,武学奇术!$A:$ZZ,28,FALSE)</f>
        <v>0.81</v>
      </c>
      <c r="AQ68" s="27">
        <f>VLOOKUP($R68,武学奇术!$A:$ZZ,29,FALSE)*(1+IF(OR($AM68=$F$4,$AM68=$F$5),$B$22,0))</f>
        <v>0</v>
      </c>
      <c r="AR68" s="26" cm="1">
        <f t="array" ref="AR68">$G$3+IFERROR(VLOOKUP($AM68,$F$4:$G$7,2,FALSE),0)+VLOOKUP($R68,武学奇术!$A:$ZZ,2,FALSE)+SUM(_xlfn.XLOOKUP($S68:$AL68,增益!$A:$A,增益!$B:$B,0))</f>
        <v>0.7741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3574.6</v>
      </c>
      <c r="AU68" cm="1">
        <f t="array" ref="AU68">$E$10*(1+$AS68)+VLOOKUP($R68,武学奇术!$A:$ZZ,4,FALSE)+SUM(_xlfn.XLOOKUP($S68:$AL68,增益!$A:$A,增益!$D:$D,0))-$I$2</f>
        <v>3574.6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0.2925</v>
      </c>
      <c r="AW68" s="32" cm="1">
        <f t="array" ref="AW68">$G$10+VLOOKUP($R68,武学奇术!$A:$ZZ,7,FALSE)+SUM(_xlfn.XLOOKUP($S68:$AL68,增益!$A:$A,增益!$G:$G,0))</f>
        <v>0.028</v>
      </c>
      <c r="AX68" s="26" cm="1">
        <f t="array" ref="AX68">VLOOKUP($R68,武学奇术!$A:$ZZ,8,FALSE)+SUM(_xlfn.XLOOKUP($S68:$AL68,增益!$A:$A,增益!$H:$H,0))</f>
        <v>0</v>
      </c>
      <c r="AY68">
        <f t="shared" si="13"/>
        <v>0</v>
      </c>
      <c r="AZ68">
        <f t="shared" si="14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2" cm="1">
        <f t="array" ref="BB68">$G$11+VLOOKUP($R68,武学奇术!$A:$ZZ,10,FALSE)+SUM(_xlfn.XLOOKUP($S68:$AL68,增益!$A:$A,增益!$J:$J,0))</f>
        <v>0</v>
      </c>
      <c r="BC68">
        <f t="shared" si="15"/>
        <v>0</v>
      </c>
      <c r="BD68">
        <f t="shared" si="16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2" cm="1">
        <f t="array" ref="BF68">$G$12+VLOOKUP($R68,武学奇术!$A:$ZZ,12,FALSE)+SUM(_xlfn.XLOOKUP($S68:$AL68,增益!$A:$A,增益!$L:$L,0))</f>
        <v>0</v>
      </c>
      <c r="BG68">
        <f t="shared" si="17"/>
        <v>0</v>
      </c>
      <c r="BH68">
        <f t="shared" si="18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2" cm="1">
        <f t="array" ref="BJ68">$G$13+VLOOKUP($R68,武学奇术!$A:$ZZ,14,FALSE)+SUM(_xlfn.XLOOKUP($S68:$AL68,增益!$A:$A,增益!$N:$N,0))</f>
        <v>0</v>
      </c>
      <c r="BK68">
        <f t="shared" si="19"/>
        <v>571.2</v>
      </c>
      <c r="BL68">
        <f t="shared" si="20"/>
        <v>1627.8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2" cm="1">
        <f t="array" ref="BN68">$G$14+VLOOKUP($R68,武学奇术!$A:$ZZ,16,FALSE)+SUM(_xlfn.XLOOKUP($S68:$AL68,增益!$A:$A,增益!$P:$P,0))</f>
        <v>0.15</v>
      </c>
      <c r="BO68" s="26">
        <f>MIN(IF(VLOOKUP($R68,武学奇术!$A:$ZZ,23,FALSE)=1,100%,$B$8),100%)</f>
        <v>0.981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0.846</v>
      </c>
      <c r="BQ68" s="26" cm="1">
        <f t="array" ref="BQ68">1+$B$13+VLOOKUP($R68,武学奇术!$A:$ZZ,18,FALSE)+SUM(_xlfn.XLOOKUP($S68:$AL68,增益!$A:$A,增益!$R:$R,0))</f>
        <v>1.91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0.0929</v>
      </c>
      <c r="BS68" s="26" cm="1">
        <f t="array" ref="BS68">1+$B$14+VLOOKUP($R68,武学奇术!$A:$ZZ,20,FALSE)+SUM(_xlfn.XLOOKUP($S68:$AL68,增益!$A:$A,增益!$T:$T,0))</f>
        <v>1.35</v>
      </c>
      <c r="BT68" s="26">
        <f t="shared" si="21"/>
        <v>0.829926</v>
      </c>
      <c r="BU68" s="26">
        <f t="shared" si="22"/>
        <v>0.0599391</v>
      </c>
      <c r="BV68" s="26">
        <f>IF(VLOOKUP($R68,武学奇术!$A:$ZZ,22,FALSE)=1,0,(1-$BO68))*(1-$BR68)</f>
        <v>0.0172349</v>
      </c>
      <c r="BW68" s="26" cm="1">
        <f t="array" ref="BW68">SUM(_xlfn.XLOOKUP($S68:$AL68,增益!$A:$A,增益!$W:$W,0))+$I$5</f>
        <v>0.21</v>
      </c>
      <c r="BX68" s="26" cm="1">
        <f t="array" ref="BX68">SUM(_xlfn.XLOOKUP($S68:$AL68,增益!$A:$A,增益!$X:$X,0))</f>
        <v>0</v>
      </c>
    </row>
    <row r="69" spans="1:76">
      <c r="K69">
        <f>$L69*VLOOKUP($R69,武学奇术!$A:$ZZ,31,FALSE)</f>
        <v>81805.000534236</v>
      </c>
      <c r="L69" s="38">
        <f t="shared" si="12"/>
        <v>77909.52431832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</f>
        <v>82641.196755643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</f>
        <v>65373.4330773262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</f>
        <v>43267.6422804414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</f>
        <v>38110.5193184189</v>
      </c>
      <c r="Q69" s="39">
        <v>1</v>
      </c>
      <c r="R69" s="40" t="s">
        <v>115</v>
      </c>
      <c r="S69" s="40" t="s">
        <v>116</v>
      </c>
      <c r="T69" s="40" t="s">
        <v>102</v>
      </c>
      <c r="U69" s="40" t="s">
        <v>79</v>
      </c>
      <c r="V69" s="40" t="s">
        <v>88</v>
      </c>
      <c r="W69" s="40" t="s">
        <v>181</v>
      </c>
      <c r="X69" s="40" t="s">
        <v>106</v>
      </c>
      <c r="Y69" s="40" t="s">
        <v>78</v>
      </c>
      <c r="Z69" s="40" t="s">
        <v>185</v>
      </c>
      <c r="AA69" s="40" t="s">
        <v>78</v>
      </c>
      <c r="AB69" s="40" t="s">
        <v>78</v>
      </c>
      <c r="AC69" s="40" t="s">
        <v>78</v>
      </c>
      <c r="AD69" s="40" t="s">
        <v>187</v>
      </c>
      <c r="AE69" s="40" t="s">
        <v>78</v>
      </c>
      <c r="AF69" s="40" t="s">
        <v>78</v>
      </c>
      <c r="AG69" s="40" t="s">
        <v>85</v>
      </c>
      <c r="AH69" s="40" t="s">
        <v>78</v>
      </c>
      <c r="AI69" s="40" t="s">
        <v>78</v>
      </c>
      <c r="AJ69" s="40" t="s">
        <v>78</v>
      </c>
      <c r="AK69" s="40" t="s">
        <v>78</v>
      </c>
      <c r="AL69" s="40" t="s">
        <v>78</v>
      </c>
      <c r="AM69" t="str">
        <f>VLOOKUP($R69,武学奇术!$A:$ZZ,25,FALSE)</f>
        <v>伞</v>
      </c>
      <c r="AN69" s="26">
        <f>VLOOKUP($R69,武学奇术!$A:$ZZ,26,FALSE)</f>
        <v>1.8084</v>
      </c>
      <c r="AO69" s="27">
        <f>VLOOKUP($R69,武学奇术!$A:$ZZ,27,FALSE)*(1+IF(OR($AM69=$F$4,$AM69=$F$5),$B$22,0))</f>
        <v>750</v>
      </c>
      <c r="AP69" s="26">
        <f>VLOOKUP($R69,武学奇术!$A:$ZZ,28,FALSE)</f>
        <v>2.7126</v>
      </c>
      <c r="AQ69" s="27">
        <f>VLOOKUP($R69,武学奇术!$A:$ZZ,29,FALSE)*(1+IF(OR($AM69=$F$4,$AM69=$F$5),$B$22,0))</f>
        <v>408</v>
      </c>
      <c r="AR69" s="26" cm="1">
        <f t="array" ref="AR69">$G$3+IFERROR(VLOOKUP($AM69,$F$4:$G$7,2,FALSE),0)+VLOOKUP($R69,武学奇术!$A:$ZZ,2,FALSE)+SUM(_xlfn.XLOOKUP($S69:$AL69,增益!$A:$A,增益!$B:$B,0))</f>
        <v>0.7741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3574.6</v>
      </c>
      <c r="AU69" cm="1">
        <f t="array" ref="AU69">$E$10*(1+$AS69)+VLOOKUP($R69,武学奇术!$A:$ZZ,4,FALSE)+SUM(_xlfn.XLOOKUP($S69:$AL69,增益!$A:$A,增益!$D:$D,0))-$I$2</f>
        <v>3574.6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0.2925</v>
      </c>
      <c r="AW69" s="32" cm="1">
        <f t="array" ref="AW69">$G$10+VLOOKUP($R69,武学奇术!$A:$ZZ,7,FALSE)+SUM(_xlfn.XLOOKUP($S69:$AL69,增益!$A:$A,增益!$G:$G,0))</f>
        <v>0.148</v>
      </c>
      <c r="AX69" s="26" cm="1">
        <f t="array" ref="AX69">VLOOKUP($R69,武学奇术!$A:$ZZ,8,FALSE)+SUM(_xlfn.XLOOKUP($S69:$AL69,增益!$A:$A,增益!$H:$H,0))</f>
        <v>0</v>
      </c>
      <c r="AY69">
        <f t="shared" si="13"/>
        <v>0</v>
      </c>
      <c r="AZ69">
        <f t="shared" si="14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2" cm="1">
        <f t="array" ref="BB69">$G$11+VLOOKUP($R69,武学奇术!$A:$ZZ,10,FALSE)+SUM(_xlfn.XLOOKUP($S69:$AL69,增益!$A:$A,增益!$J:$J,0))</f>
        <v>0</v>
      </c>
      <c r="BC69">
        <f t="shared" si="15"/>
        <v>0</v>
      </c>
      <c r="BD69">
        <f t="shared" si="16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2" cm="1">
        <f t="array" ref="BF69">$G$12+VLOOKUP($R69,武学奇术!$A:$ZZ,12,FALSE)+SUM(_xlfn.XLOOKUP($S69:$AL69,增益!$A:$A,增益!$L:$L,0))</f>
        <v>0</v>
      </c>
      <c r="BG69">
        <f t="shared" si="17"/>
        <v>0</v>
      </c>
      <c r="BH69">
        <f t="shared" si="18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2" cm="1">
        <f t="array" ref="BJ69">$G$13+VLOOKUP($R69,武学奇术!$A:$ZZ,14,FALSE)+SUM(_xlfn.XLOOKUP($S69:$AL69,增益!$A:$A,增益!$N:$N,0))</f>
        <v>0</v>
      </c>
      <c r="BK69">
        <f t="shared" si="19"/>
        <v>571.2</v>
      </c>
      <c r="BL69">
        <f t="shared" si="20"/>
        <v>1627.8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2" cm="1">
        <f t="array" ref="BN69">$G$14+VLOOKUP($R69,武学奇术!$A:$ZZ,16,FALSE)+SUM(_xlfn.XLOOKUP($S69:$AL69,增益!$A:$A,增益!$P:$P,0))</f>
        <v>0.27</v>
      </c>
      <c r="BO69" s="26">
        <f>MIN(IF(VLOOKUP($R69,武学奇术!$A:$ZZ,23,FALSE)=1,100%,$B$8),100%)</f>
        <v>0.981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0.846</v>
      </c>
      <c r="BQ69" s="26" cm="1">
        <f t="array" ref="BQ69">1+$B$13+VLOOKUP($R69,武学奇术!$A:$ZZ,18,FALSE)+SUM(_xlfn.XLOOKUP($S69:$AL69,增益!$A:$A,增益!$R:$R,0))</f>
        <v>1.91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0.0929</v>
      </c>
      <c r="BS69" s="26" cm="1">
        <f t="array" ref="BS69">1+$B$14+VLOOKUP($R69,武学奇术!$A:$ZZ,20,FALSE)+SUM(_xlfn.XLOOKUP($S69:$AL69,增益!$A:$A,增益!$T:$T,0))</f>
        <v>1.35</v>
      </c>
      <c r="BT69" s="26">
        <f t="shared" si="21"/>
        <v>0.829926</v>
      </c>
      <c r="BU69" s="26">
        <f t="shared" si="22"/>
        <v>0.0599391</v>
      </c>
      <c r="BV69" s="26">
        <f>IF(VLOOKUP($R69,武学奇术!$A:$ZZ,22,FALSE)=1,0,(1-$BO69))*(1-$BR69)</f>
        <v>0.0172349</v>
      </c>
      <c r="BW69" s="26" cm="1">
        <f t="array" ref="BW69">SUM(_xlfn.XLOOKUP($S69:$AL69,增益!$A:$A,增益!$W:$W,0))+$I$5</f>
        <v>0.21</v>
      </c>
      <c r="BX69" s="26" cm="1">
        <f t="array" ref="BX69">SUM(_xlfn.XLOOKUP($S69:$AL69,增益!$A:$A,增益!$X:$X,0))</f>
        <v>0</v>
      </c>
    </row>
    <row r="70" spans="1:76">
      <c r="K70">
        <f>$L70*VLOOKUP($R70,武学奇术!$A:$ZZ,31,FALSE)</f>
        <v>47681.707903109</v>
      </c>
      <c r="L70" s="38">
        <f t="shared" si="12"/>
        <v>45411.1503839133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</f>
        <v>48120.4234896511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</f>
        <v>38638.4135078603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</f>
        <v>25193.9389998173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</f>
        <v>21766.8309567752</v>
      </c>
      <c r="Q70" s="39">
        <v>2</v>
      </c>
      <c r="R70" s="40" t="s">
        <v>119</v>
      </c>
      <c r="S70" s="40" t="s">
        <v>116</v>
      </c>
      <c r="T70" s="40" t="s">
        <v>102</v>
      </c>
      <c r="U70" s="40" t="s">
        <v>79</v>
      </c>
      <c r="V70" s="40" t="s">
        <v>88</v>
      </c>
      <c r="W70" s="40" t="s">
        <v>181</v>
      </c>
      <c r="X70" s="40" t="s">
        <v>106</v>
      </c>
      <c r="Y70" s="40" t="s">
        <v>78</v>
      </c>
      <c r="Z70" s="40" t="s">
        <v>185</v>
      </c>
      <c r="AA70" s="40" t="s">
        <v>78</v>
      </c>
      <c r="AB70" s="40" t="s">
        <v>78</v>
      </c>
      <c r="AC70" s="40" t="s">
        <v>78</v>
      </c>
      <c r="AD70" s="40" t="s">
        <v>187</v>
      </c>
      <c r="AE70" s="40" t="s">
        <v>78</v>
      </c>
      <c r="AF70" s="40" t="s">
        <v>78</v>
      </c>
      <c r="AG70" s="40" t="s">
        <v>85</v>
      </c>
      <c r="AH70" s="40" t="s">
        <v>78</v>
      </c>
      <c r="AI70" s="40" t="s">
        <v>78</v>
      </c>
      <c r="AJ70" s="40" t="s">
        <v>78</v>
      </c>
      <c r="AK70" s="40" t="s">
        <v>78</v>
      </c>
      <c r="AL70" s="40" t="s">
        <v>78</v>
      </c>
      <c r="AM70" t="str">
        <f>VLOOKUP($R70,武学奇术!$A:$ZZ,25,FALSE)</f>
        <v>伞</v>
      </c>
      <c r="AN70" s="26">
        <f>VLOOKUP($R70,武学奇术!$A:$ZZ,26,FALSE)</f>
        <v>0.54</v>
      </c>
      <c r="AO70" s="27">
        <f>VLOOKUP($R70,武学奇术!$A:$ZZ,27,FALSE)*(1+IF(OR($AM70=$F$4,$AM70=$F$5),$B$22,0))</f>
        <v>0</v>
      </c>
      <c r="AP70" s="26">
        <f>VLOOKUP($R70,武学奇术!$A:$ZZ,28,FALSE)</f>
        <v>0.81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0.9741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3574.6</v>
      </c>
      <c r="AU70" cm="1">
        <f t="array" ref="AU70">$E$10*(1+$AS70)+VLOOKUP($R70,武学奇术!$A:$ZZ,4,FALSE)+SUM(_xlfn.XLOOKUP($S70:$AL70,增益!$A:$A,增益!$D:$D,0))-$I$2</f>
        <v>3574.6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0.2925</v>
      </c>
      <c r="AW70" s="32" cm="1">
        <f t="array" ref="AW70">$G$10+VLOOKUP($R70,武学奇术!$A:$ZZ,7,FALSE)+SUM(_xlfn.XLOOKUP($S70:$AL70,增益!$A:$A,增益!$G:$G,0))</f>
        <v>0.148</v>
      </c>
      <c r="AX70" s="26" cm="1">
        <f t="array" ref="AX70">VLOOKUP($R70,武学奇术!$A:$ZZ,8,FALSE)+SUM(_xlfn.XLOOKUP($S70:$AL70,增益!$A:$A,增益!$H:$H,0))</f>
        <v>0</v>
      </c>
      <c r="AY70">
        <f t="shared" si="13"/>
        <v>0</v>
      </c>
      <c r="AZ70">
        <f t="shared" si="14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2" cm="1">
        <f t="array" ref="BB70">$G$11+VLOOKUP($R70,武学奇术!$A:$ZZ,10,FALSE)+SUM(_xlfn.XLOOKUP($S70:$AL70,增益!$A:$A,增益!$J:$J,0))</f>
        <v>0</v>
      </c>
      <c r="BC70">
        <f t="shared" si="15"/>
        <v>0</v>
      </c>
      <c r="BD70">
        <f t="shared" si="16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2" cm="1">
        <f t="array" ref="BF70">$G$12+VLOOKUP($R70,武学奇术!$A:$ZZ,12,FALSE)+SUM(_xlfn.XLOOKUP($S70:$AL70,增益!$A:$A,增益!$L:$L,0))</f>
        <v>0</v>
      </c>
      <c r="BG70">
        <f t="shared" si="17"/>
        <v>0</v>
      </c>
      <c r="BH70">
        <f t="shared" si="18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2" cm="1">
        <f t="array" ref="BJ70">$G$13+VLOOKUP($R70,武学奇术!$A:$ZZ,14,FALSE)+SUM(_xlfn.XLOOKUP($S70:$AL70,增益!$A:$A,增益!$N:$N,0))</f>
        <v>0</v>
      </c>
      <c r="BK70">
        <f t="shared" si="19"/>
        <v>571.2</v>
      </c>
      <c r="BL70">
        <f t="shared" si="20"/>
        <v>1627.8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2" cm="1">
        <f t="array" ref="BN70">$G$14+VLOOKUP($R70,武学奇术!$A:$ZZ,16,FALSE)+SUM(_xlfn.XLOOKUP($S70:$AL70,增益!$A:$A,增益!$P:$P,0))</f>
        <v>0.27</v>
      </c>
      <c r="BO70" s="26">
        <f>MIN(IF(VLOOKUP($R70,武学奇术!$A:$ZZ,23,FALSE)=1,100%,$B$8),100%)</f>
        <v>0.981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0.846</v>
      </c>
      <c r="BQ70" s="26" cm="1">
        <f t="array" ref="BQ70">1+$B$13+VLOOKUP($R70,武学奇术!$A:$ZZ,18,FALSE)+SUM(_xlfn.XLOOKUP($S70:$AL70,增益!$A:$A,增益!$R:$R,0))</f>
        <v>1.91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0.0929</v>
      </c>
      <c r="BS70" s="26" cm="1">
        <f t="array" ref="BS70">1+$B$14+VLOOKUP($R70,武学奇术!$A:$ZZ,20,FALSE)+SUM(_xlfn.XLOOKUP($S70:$AL70,增益!$A:$A,增益!$T:$T,0))</f>
        <v>1.35</v>
      </c>
      <c r="BT70" s="26">
        <f t="shared" si="21"/>
        <v>0.829926</v>
      </c>
      <c r="BU70" s="26">
        <f t="shared" si="22"/>
        <v>0.0599391</v>
      </c>
      <c r="BV70" s="26">
        <f>IF(VLOOKUP($R70,武学奇术!$A:$ZZ,22,FALSE)=1,0,(1-$BO70))*(1-$BR70)</f>
        <v>0.0172349</v>
      </c>
      <c r="BW70" s="26" cm="1">
        <f t="array" ref="BW70">SUM(_xlfn.XLOOKUP($S70:$AL70,增益!$A:$A,增益!$W:$W,0))+$I$5</f>
        <v>0.21</v>
      </c>
      <c r="BX70" s="26" cm="1">
        <f t="array" ref="BX70">SUM(_xlfn.XLOOKUP($S70:$AL70,增益!$A:$A,增益!$X:$X,0))</f>
        <v>0</v>
      </c>
    </row>
    <row r="71" spans="1:76">
      <c r="K71">
        <f>$L71*VLOOKUP($R71,武学奇术!$A:$ZZ,31,FALSE)</f>
        <v>84067.263835332</v>
      </c>
      <c r="L71" s="38">
        <f t="shared" si="12"/>
        <v>80064.0607955543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</f>
        <v>85237.2552924695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</f>
        <v>65373.4330773262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</f>
        <v>43267.6422804414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</f>
        <v>38110.5193184189</v>
      </c>
      <c r="Q71" s="39">
        <v>1</v>
      </c>
      <c r="R71" s="40" t="s">
        <v>115</v>
      </c>
      <c r="S71" s="40" t="s">
        <v>116</v>
      </c>
      <c r="T71" s="40" t="s">
        <v>102</v>
      </c>
      <c r="U71" s="40" t="s">
        <v>79</v>
      </c>
      <c r="V71" s="40" t="s">
        <v>88</v>
      </c>
      <c r="W71" s="40" t="s">
        <v>181</v>
      </c>
      <c r="X71" s="40" t="s">
        <v>106</v>
      </c>
      <c r="Y71" s="40" t="s">
        <v>78</v>
      </c>
      <c r="Z71" s="40" t="s">
        <v>185</v>
      </c>
      <c r="AA71" s="40" t="s">
        <v>78</v>
      </c>
      <c r="AB71" s="40" t="s">
        <v>122</v>
      </c>
      <c r="AC71" s="40" t="s">
        <v>78</v>
      </c>
      <c r="AD71" s="40" t="s">
        <v>187</v>
      </c>
      <c r="AE71" s="40" t="s">
        <v>78</v>
      </c>
      <c r="AF71" s="40" t="s">
        <v>78</v>
      </c>
      <c r="AG71" s="40" t="s">
        <v>85</v>
      </c>
      <c r="AH71" s="40" t="s">
        <v>78</v>
      </c>
      <c r="AI71" s="40" t="s">
        <v>78</v>
      </c>
      <c r="AJ71" s="40" t="s">
        <v>78</v>
      </c>
      <c r="AK71" s="40" t="s">
        <v>78</v>
      </c>
      <c r="AL71" s="40" t="s">
        <v>78</v>
      </c>
      <c r="AM71" t="str">
        <f>VLOOKUP($R71,武学奇术!$A:$ZZ,25,FALSE)</f>
        <v>伞</v>
      </c>
      <c r="AN71" s="26">
        <f>VLOOKUP($R71,武学奇术!$A:$ZZ,26,FALSE)</f>
        <v>1.8084</v>
      </c>
      <c r="AO71" s="27">
        <f>VLOOKUP($R71,武学奇术!$A:$ZZ,27,FALSE)*(1+IF(OR($AM71=$F$4,$AM71=$F$5),$B$22,0))</f>
        <v>750</v>
      </c>
      <c r="AP71" s="26">
        <f>VLOOKUP($R71,武学奇术!$A:$ZZ,28,FALSE)</f>
        <v>2.7126</v>
      </c>
      <c r="AQ71" s="27">
        <f>VLOOKUP($R71,武学奇术!$A:$ZZ,29,FALSE)*(1+IF(OR($AM71=$F$4,$AM71=$F$5),$B$22,0))</f>
        <v>408</v>
      </c>
      <c r="AR71" s="26" cm="1">
        <f t="array" ref="AR71">$G$3+IFERROR(VLOOKUP($AM71,$F$4:$G$7,2,FALSE),0)+VLOOKUP($R71,武学奇术!$A:$ZZ,2,FALSE)+SUM(_xlfn.XLOOKUP($S71:$AL71,增益!$A:$A,增益!$B:$B,0))</f>
        <v>0.7741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3574.6</v>
      </c>
      <c r="AU71" cm="1">
        <f t="array" ref="AU71">$E$10*(1+$AS71)+VLOOKUP($R71,武学奇术!$A:$ZZ,4,FALSE)+SUM(_xlfn.XLOOKUP($S71:$AL71,增益!$A:$A,增益!$D:$D,0))-$I$2</f>
        <v>3574.6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0.2925</v>
      </c>
      <c r="AW71" s="32" cm="1">
        <f t="array" ref="AW71">$G$10+VLOOKUP($R71,武学奇术!$A:$ZZ,7,FALSE)+SUM(_xlfn.XLOOKUP($S71:$AL71,增益!$A:$A,增益!$G:$G,0))</f>
        <v>0.148</v>
      </c>
      <c r="AX71" s="26" cm="1">
        <f t="array" ref="AX71">VLOOKUP($R71,武学奇术!$A:$ZZ,8,FALSE)+SUM(_xlfn.XLOOKUP($S71:$AL71,增益!$A:$A,增益!$H:$H,0))</f>
        <v>0</v>
      </c>
      <c r="AY71">
        <f t="shared" si="13"/>
        <v>0</v>
      </c>
      <c r="AZ71">
        <f t="shared" si="14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2" cm="1">
        <f t="array" ref="BB71">$G$11+VLOOKUP($R71,武学奇术!$A:$ZZ,10,FALSE)+SUM(_xlfn.XLOOKUP($S71:$AL71,增益!$A:$A,增益!$J:$J,0))</f>
        <v>0</v>
      </c>
      <c r="BC71">
        <f t="shared" si="15"/>
        <v>0</v>
      </c>
      <c r="BD71">
        <f t="shared" si="16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2" cm="1">
        <f t="array" ref="BF71">$G$12+VLOOKUP($R71,武学奇术!$A:$ZZ,12,FALSE)+SUM(_xlfn.XLOOKUP($S71:$AL71,增益!$A:$A,增益!$L:$L,0))</f>
        <v>0</v>
      </c>
      <c r="BG71">
        <f t="shared" si="17"/>
        <v>0</v>
      </c>
      <c r="BH71">
        <f t="shared" si="18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2" cm="1">
        <f t="array" ref="BJ71">$G$13+VLOOKUP($R71,武学奇术!$A:$ZZ,14,FALSE)+SUM(_xlfn.XLOOKUP($S71:$AL71,增益!$A:$A,增益!$N:$N,0))</f>
        <v>0</v>
      </c>
      <c r="BK71">
        <f t="shared" si="19"/>
        <v>571.2</v>
      </c>
      <c r="BL71">
        <f t="shared" si="20"/>
        <v>1627.8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2" cm="1">
        <f t="array" ref="BN71">$G$14+VLOOKUP($R71,武学奇术!$A:$ZZ,16,FALSE)+SUM(_xlfn.XLOOKUP($S71:$AL71,增益!$A:$A,增益!$P:$P,0))</f>
        <v>0.27</v>
      </c>
      <c r="BO71" s="26">
        <f>MIN(IF(VLOOKUP($R71,武学奇术!$A:$ZZ,23,FALSE)=1,100%,$B$8),100%)</f>
        <v>0.981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0.846</v>
      </c>
      <c r="BQ71" s="26" cm="1">
        <f t="array" ref="BQ71">1+$B$13+VLOOKUP($R71,武学奇术!$A:$ZZ,18,FALSE)+SUM(_xlfn.XLOOKUP($S71:$AL71,增益!$A:$A,增益!$R:$R,0))</f>
        <v>1.97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0.0929</v>
      </c>
      <c r="BS71" s="26" cm="1">
        <f t="array" ref="BS71">1+$B$14+VLOOKUP($R71,武学奇术!$A:$ZZ,20,FALSE)+SUM(_xlfn.XLOOKUP($S71:$AL71,增益!$A:$A,增益!$T:$T,0))</f>
        <v>1.35</v>
      </c>
      <c r="BT71" s="26">
        <f t="shared" si="21"/>
        <v>0.829926</v>
      </c>
      <c r="BU71" s="26">
        <f t="shared" si="22"/>
        <v>0.0599391</v>
      </c>
      <c r="BV71" s="26">
        <f>IF(VLOOKUP($R71,武学奇术!$A:$ZZ,22,FALSE)=1,0,(1-$BO71))*(1-$BR71)</f>
        <v>0.0172349</v>
      </c>
      <c r="BW71" s="26" cm="1">
        <f t="array" ref="BW71">SUM(_xlfn.XLOOKUP($S71:$AL71,增益!$A:$A,增益!$W:$W,0))+$I$5</f>
        <v>0.21</v>
      </c>
      <c r="BX71" s="26" cm="1">
        <f t="array" ref="BX71">SUM(_xlfn.XLOOKUP($S71:$AL71,增益!$A:$A,增益!$X:$X,0))</f>
        <v>0</v>
      </c>
    </row>
    <row r="72" spans="1:76">
      <c r="K72">
        <f>$L72*VLOOKUP($R72,武学奇术!$A:$ZZ,31,FALSE)</f>
        <v>48998.9815192658</v>
      </c>
      <c r="L72" s="38">
        <f t="shared" si="12"/>
        <v>46665.696685015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</f>
        <v>49632.0598296402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</f>
        <v>38638.4135078603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</f>
        <v>25193.9389998173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</f>
        <v>21766.8309567752</v>
      </c>
      <c r="Q72" s="39">
        <v>2</v>
      </c>
      <c r="R72" s="40" t="s">
        <v>119</v>
      </c>
      <c r="S72" s="40" t="s">
        <v>116</v>
      </c>
      <c r="T72" s="40" t="s">
        <v>102</v>
      </c>
      <c r="U72" s="40" t="s">
        <v>79</v>
      </c>
      <c r="V72" s="40" t="s">
        <v>88</v>
      </c>
      <c r="W72" s="40" t="s">
        <v>181</v>
      </c>
      <c r="X72" s="40" t="s">
        <v>106</v>
      </c>
      <c r="Y72" s="40" t="s">
        <v>78</v>
      </c>
      <c r="Z72" s="40" t="s">
        <v>185</v>
      </c>
      <c r="AA72" s="40" t="s">
        <v>78</v>
      </c>
      <c r="AB72" s="40" t="s">
        <v>122</v>
      </c>
      <c r="AC72" s="40" t="s">
        <v>78</v>
      </c>
      <c r="AD72" s="40" t="s">
        <v>187</v>
      </c>
      <c r="AE72" s="40" t="s">
        <v>78</v>
      </c>
      <c r="AF72" s="40" t="s">
        <v>78</v>
      </c>
      <c r="AG72" s="40" t="s">
        <v>85</v>
      </c>
      <c r="AH72" s="40" t="s">
        <v>78</v>
      </c>
      <c r="AI72" s="40" t="s">
        <v>78</v>
      </c>
      <c r="AJ72" s="40" t="s">
        <v>78</v>
      </c>
      <c r="AK72" s="40" t="s">
        <v>78</v>
      </c>
      <c r="AL72" s="40" t="s">
        <v>78</v>
      </c>
      <c r="AM72" t="str">
        <f>VLOOKUP($R72,武学奇术!$A:$ZZ,25,FALSE)</f>
        <v>伞</v>
      </c>
      <c r="AN72" s="26">
        <f>VLOOKUP($R72,武学奇术!$A:$ZZ,26,FALSE)</f>
        <v>0.54</v>
      </c>
      <c r="AO72" s="27">
        <f>VLOOKUP($R72,武学奇术!$A:$ZZ,27,FALSE)*(1+IF(OR($AM72=$F$4,$AM72=$F$5),$B$22,0))</f>
        <v>0</v>
      </c>
      <c r="AP72" s="26">
        <f>VLOOKUP($R72,武学奇术!$A:$ZZ,28,FALSE)</f>
        <v>0.81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0.9741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3574.6</v>
      </c>
      <c r="AU72" cm="1">
        <f t="array" ref="AU72">$E$10*(1+$AS72)+VLOOKUP($R72,武学奇术!$A:$ZZ,4,FALSE)+SUM(_xlfn.XLOOKUP($S72:$AL72,增益!$A:$A,增益!$D:$D,0))-$I$2</f>
        <v>3574.6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0.2925</v>
      </c>
      <c r="AW72" s="32" cm="1">
        <f t="array" ref="AW72">$G$10+VLOOKUP($R72,武学奇术!$A:$ZZ,7,FALSE)+SUM(_xlfn.XLOOKUP($S72:$AL72,增益!$A:$A,增益!$G:$G,0))</f>
        <v>0.148</v>
      </c>
      <c r="AX72" s="26" cm="1">
        <f t="array" ref="AX72">VLOOKUP($R72,武学奇术!$A:$ZZ,8,FALSE)+SUM(_xlfn.XLOOKUP($S72:$AL72,增益!$A:$A,增益!$H:$H,0))</f>
        <v>0</v>
      </c>
      <c r="AY72">
        <f t="shared" si="13"/>
        <v>0</v>
      </c>
      <c r="AZ72">
        <f t="shared" si="14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2" cm="1">
        <f t="array" ref="BB72">$G$11+VLOOKUP($R72,武学奇术!$A:$ZZ,10,FALSE)+SUM(_xlfn.XLOOKUP($S72:$AL72,增益!$A:$A,增益!$J:$J,0))</f>
        <v>0</v>
      </c>
      <c r="BC72">
        <f t="shared" si="15"/>
        <v>0</v>
      </c>
      <c r="BD72">
        <f t="shared" si="16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2" cm="1">
        <f t="array" ref="BF72">$G$12+VLOOKUP($R72,武学奇术!$A:$ZZ,12,FALSE)+SUM(_xlfn.XLOOKUP($S72:$AL72,增益!$A:$A,增益!$L:$L,0))</f>
        <v>0</v>
      </c>
      <c r="BG72">
        <f t="shared" si="17"/>
        <v>0</v>
      </c>
      <c r="BH72">
        <f t="shared" si="18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2" cm="1">
        <f t="array" ref="BJ72">$G$13+VLOOKUP($R72,武学奇术!$A:$ZZ,14,FALSE)+SUM(_xlfn.XLOOKUP($S72:$AL72,增益!$A:$A,增益!$N:$N,0))</f>
        <v>0</v>
      </c>
      <c r="BK72">
        <f t="shared" si="19"/>
        <v>571.2</v>
      </c>
      <c r="BL72">
        <f t="shared" si="20"/>
        <v>1627.8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2" cm="1">
        <f t="array" ref="BN72">$G$14+VLOOKUP($R72,武学奇术!$A:$ZZ,16,FALSE)+SUM(_xlfn.XLOOKUP($S72:$AL72,增益!$A:$A,增益!$P:$P,0))</f>
        <v>0.27</v>
      </c>
      <c r="BO72" s="26">
        <f>MIN(IF(VLOOKUP($R72,武学奇术!$A:$ZZ,23,FALSE)=1,100%,$B$8),100%)</f>
        <v>0.981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0.846</v>
      </c>
      <c r="BQ72" s="26" cm="1">
        <f t="array" ref="BQ72">1+$B$13+VLOOKUP($R72,武学奇术!$A:$ZZ,18,FALSE)+SUM(_xlfn.XLOOKUP($S72:$AL72,增益!$A:$A,增益!$R:$R,0))</f>
        <v>1.97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0.0929</v>
      </c>
      <c r="BS72" s="26" cm="1">
        <f t="array" ref="BS72">1+$B$14+VLOOKUP($R72,武学奇术!$A:$ZZ,20,FALSE)+SUM(_xlfn.XLOOKUP($S72:$AL72,增益!$A:$A,增益!$T:$T,0))</f>
        <v>1.35</v>
      </c>
      <c r="BT72" s="26">
        <f t="shared" si="21"/>
        <v>0.829926</v>
      </c>
      <c r="BU72" s="26">
        <f t="shared" si="22"/>
        <v>0.0599391</v>
      </c>
      <c r="BV72" s="26">
        <f>IF(VLOOKUP($R72,武学奇术!$A:$ZZ,22,FALSE)=1,0,(1-$BO72))*(1-$BR72)</f>
        <v>0.0172349</v>
      </c>
      <c r="BW72" s="26" cm="1">
        <f t="array" ref="BW72">SUM(_xlfn.XLOOKUP($S72:$AL72,增益!$A:$A,增益!$W:$W,0))+$I$5</f>
        <v>0.21</v>
      </c>
      <c r="BX72" s="26" cm="1">
        <f t="array" ref="BX72">SUM(_xlfn.XLOOKUP($S72:$AL72,增益!$A:$A,增益!$X:$X,0))</f>
        <v>0</v>
      </c>
    </row>
    <row r="73" spans="1:76">
      <c r="K73">
        <f>$L73*VLOOKUP($R73,武学奇术!$A:$ZZ,31,FALSE)</f>
        <v>86329.5271364279</v>
      </c>
      <c r="L73" s="38">
        <f t="shared" si="12"/>
        <v>82218.5972727885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</f>
        <v>87833.313829296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</f>
        <v>65373.4330773262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</f>
        <v>43267.6422804414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</f>
        <v>38110.5193184189</v>
      </c>
      <c r="Q73" s="39">
        <v>1</v>
      </c>
      <c r="R73" s="40" t="s">
        <v>115</v>
      </c>
      <c r="S73" s="40" t="s">
        <v>116</v>
      </c>
      <c r="T73" s="40" t="s">
        <v>102</v>
      </c>
      <c r="U73" s="40" t="s">
        <v>79</v>
      </c>
      <c r="V73" s="40" t="s">
        <v>88</v>
      </c>
      <c r="W73" s="40" t="s">
        <v>181</v>
      </c>
      <c r="X73" s="40" t="s">
        <v>106</v>
      </c>
      <c r="Y73" s="40" t="s">
        <v>78</v>
      </c>
      <c r="Z73" s="40" t="s">
        <v>185</v>
      </c>
      <c r="AA73" s="40" t="s">
        <v>78</v>
      </c>
      <c r="AB73" s="40" t="s">
        <v>127</v>
      </c>
      <c r="AC73" s="40" t="s">
        <v>78</v>
      </c>
      <c r="AD73" s="40" t="s">
        <v>187</v>
      </c>
      <c r="AE73" s="40" t="s">
        <v>78</v>
      </c>
      <c r="AF73" s="40" t="s">
        <v>78</v>
      </c>
      <c r="AG73" s="40" t="s">
        <v>85</v>
      </c>
      <c r="AH73" s="40" t="s">
        <v>78</v>
      </c>
      <c r="AI73" s="40" t="s">
        <v>78</v>
      </c>
      <c r="AJ73" s="40" t="s">
        <v>78</v>
      </c>
      <c r="AK73" s="40" t="s">
        <v>78</v>
      </c>
      <c r="AL73" s="40" t="s">
        <v>78</v>
      </c>
      <c r="AM73" t="str">
        <f>VLOOKUP($R73,武学奇术!$A:$ZZ,25,FALSE)</f>
        <v>伞</v>
      </c>
      <c r="AN73" s="26">
        <f>VLOOKUP($R73,武学奇术!$A:$ZZ,26,FALSE)</f>
        <v>1.8084</v>
      </c>
      <c r="AO73" s="27">
        <f>VLOOKUP($R73,武学奇术!$A:$ZZ,27,FALSE)*(1+IF(OR($AM73=$F$4,$AM73=$F$5),$B$22,0))</f>
        <v>750</v>
      </c>
      <c r="AP73" s="26">
        <f>VLOOKUP($R73,武学奇术!$A:$ZZ,28,FALSE)</f>
        <v>2.7126</v>
      </c>
      <c r="AQ73" s="27">
        <f>VLOOKUP($R73,武学奇术!$A:$ZZ,29,FALSE)*(1+IF(OR($AM73=$F$4,$AM73=$F$5),$B$22,0))</f>
        <v>408</v>
      </c>
      <c r="AR73" s="26" cm="1">
        <f t="array" ref="AR73">$G$3+IFERROR(VLOOKUP($AM73,$F$4:$G$7,2,FALSE),0)+VLOOKUP($R73,武学奇术!$A:$ZZ,2,FALSE)+SUM(_xlfn.XLOOKUP($S73:$AL73,增益!$A:$A,增益!$B:$B,0))</f>
        <v>0.7741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3574.6</v>
      </c>
      <c r="AU73" cm="1">
        <f t="array" ref="AU73">$E$10*(1+$AS73)+VLOOKUP($R73,武学奇术!$A:$ZZ,4,FALSE)+SUM(_xlfn.XLOOKUP($S73:$AL73,增益!$A:$A,增益!$D:$D,0))-$I$2</f>
        <v>3574.6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0.2925</v>
      </c>
      <c r="AW73" s="32" cm="1">
        <f t="array" ref="AW73">$G$10+VLOOKUP($R73,武学奇术!$A:$ZZ,7,FALSE)+SUM(_xlfn.XLOOKUP($S73:$AL73,增益!$A:$A,增益!$G:$G,0))</f>
        <v>0.148</v>
      </c>
      <c r="AX73" s="26" cm="1">
        <f t="array" ref="AX73">VLOOKUP($R73,武学奇术!$A:$ZZ,8,FALSE)+SUM(_xlfn.XLOOKUP($S73:$AL73,增益!$A:$A,增益!$H:$H,0))</f>
        <v>0</v>
      </c>
      <c r="AY73">
        <f t="shared" si="13"/>
        <v>0</v>
      </c>
      <c r="AZ73">
        <f t="shared" si="14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2" cm="1">
        <f t="array" ref="BB73">$G$11+VLOOKUP($R73,武学奇术!$A:$ZZ,10,FALSE)+SUM(_xlfn.XLOOKUP($S73:$AL73,增益!$A:$A,增益!$J:$J,0))</f>
        <v>0</v>
      </c>
      <c r="BC73">
        <f t="shared" si="15"/>
        <v>0</v>
      </c>
      <c r="BD73">
        <f t="shared" si="16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2" cm="1">
        <f t="array" ref="BF73">$G$12+VLOOKUP($R73,武学奇术!$A:$ZZ,12,FALSE)+SUM(_xlfn.XLOOKUP($S73:$AL73,增益!$A:$A,增益!$L:$L,0))</f>
        <v>0</v>
      </c>
      <c r="BG73">
        <f t="shared" si="17"/>
        <v>0</v>
      </c>
      <c r="BH73">
        <f t="shared" si="18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2" cm="1">
        <f t="array" ref="BJ73">$G$13+VLOOKUP($R73,武学奇术!$A:$ZZ,14,FALSE)+SUM(_xlfn.XLOOKUP($S73:$AL73,增益!$A:$A,增益!$N:$N,0))</f>
        <v>0</v>
      </c>
      <c r="BK73">
        <f t="shared" si="19"/>
        <v>571.2</v>
      </c>
      <c r="BL73">
        <f t="shared" si="20"/>
        <v>1627.8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2" cm="1">
        <f t="array" ref="BN73">$G$14+VLOOKUP($R73,武学奇术!$A:$ZZ,16,FALSE)+SUM(_xlfn.XLOOKUP($S73:$AL73,增益!$A:$A,增益!$P:$P,0))</f>
        <v>0.27</v>
      </c>
      <c r="BO73" s="26">
        <f>MIN(IF(VLOOKUP($R73,武学奇术!$A:$ZZ,23,FALSE)=1,100%,$B$8),100%)</f>
        <v>0.981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0.846</v>
      </c>
      <c r="BQ73" s="26" cm="1">
        <f t="array" ref="BQ73">1+$B$13+VLOOKUP($R73,武学奇术!$A:$ZZ,18,FALSE)+SUM(_xlfn.XLOOKUP($S73:$AL73,增益!$A:$A,增益!$R:$R,0))</f>
        <v>2.03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0.0929</v>
      </c>
      <c r="BS73" s="26" cm="1">
        <f t="array" ref="BS73">1+$B$14+VLOOKUP($R73,武学奇术!$A:$ZZ,20,FALSE)+SUM(_xlfn.XLOOKUP($S73:$AL73,增益!$A:$A,增益!$T:$T,0))</f>
        <v>1.35</v>
      </c>
      <c r="BT73" s="26">
        <f t="shared" si="21"/>
        <v>0.829926</v>
      </c>
      <c r="BU73" s="26">
        <f t="shared" si="22"/>
        <v>0.0599391</v>
      </c>
      <c r="BV73" s="26">
        <f>IF(VLOOKUP($R73,武学奇术!$A:$ZZ,22,FALSE)=1,0,(1-$BO73))*(1-$BR73)</f>
        <v>0.0172349</v>
      </c>
      <c r="BW73" s="26" cm="1">
        <f t="array" ref="BW73">SUM(_xlfn.XLOOKUP($S73:$AL73,增益!$A:$A,增益!$W:$W,0))+$I$5</f>
        <v>0.21</v>
      </c>
      <c r="BX73" s="26" cm="1">
        <f t="array" ref="BX73">SUM(_xlfn.XLOOKUP($S73:$AL73,增益!$A:$A,增益!$X:$X,0))</f>
        <v>0</v>
      </c>
    </row>
    <row r="74" spans="1:76">
      <c r="K74">
        <f>$L74*VLOOKUP($R74,武学奇术!$A:$ZZ,31,FALSE)</f>
        <v>50316.2551354226</v>
      </c>
      <c r="L74" s="38">
        <f t="shared" si="12"/>
        <v>47920.2429861168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</f>
        <v>51143.6961696292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</f>
        <v>38638.4135078603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</f>
        <v>25193.9389998173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</f>
        <v>21766.8309567752</v>
      </c>
      <c r="Q74" s="39">
        <v>2</v>
      </c>
      <c r="R74" s="40" t="s">
        <v>119</v>
      </c>
      <c r="S74" s="40" t="s">
        <v>116</v>
      </c>
      <c r="T74" s="40" t="s">
        <v>102</v>
      </c>
      <c r="U74" s="40" t="s">
        <v>79</v>
      </c>
      <c r="V74" s="40" t="s">
        <v>88</v>
      </c>
      <c r="W74" s="40" t="s">
        <v>181</v>
      </c>
      <c r="X74" s="40" t="s">
        <v>106</v>
      </c>
      <c r="Y74" s="40" t="s">
        <v>78</v>
      </c>
      <c r="Z74" s="40" t="s">
        <v>185</v>
      </c>
      <c r="AA74" s="40" t="s">
        <v>78</v>
      </c>
      <c r="AB74" s="40" t="s">
        <v>127</v>
      </c>
      <c r="AC74" s="40" t="s">
        <v>78</v>
      </c>
      <c r="AD74" s="40" t="s">
        <v>187</v>
      </c>
      <c r="AE74" s="40" t="s">
        <v>78</v>
      </c>
      <c r="AF74" s="40" t="s">
        <v>78</v>
      </c>
      <c r="AG74" s="40" t="s">
        <v>85</v>
      </c>
      <c r="AH74" s="40" t="s">
        <v>78</v>
      </c>
      <c r="AI74" s="40" t="s">
        <v>78</v>
      </c>
      <c r="AJ74" s="40" t="s">
        <v>78</v>
      </c>
      <c r="AK74" s="40" t="s">
        <v>78</v>
      </c>
      <c r="AL74" s="40" t="s">
        <v>78</v>
      </c>
      <c r="AM74" t="str">
        <f>VLOOKUP($R74,武学奇术!$A:$ZZ,25,FALSE)</f>
        <v>伞</v>
      </c>
      <c r="AN74" s="26">
        <f>VLOOKUP($R74,武学奇术!$A:$ZZ,26,FALSE)</f>
        <v>0.54</v>
      </c>
      <c r="AO74" s="27">
        <f>VLOOKUP($R74,武学奇术!$A:$ZZ,27,FALSE)*(1+IF(OR($AM74=$F$4,$AM74=$F$5),$B$22,0))</f>
        <v>0</v>
      </c>
      <c r="AP74" s="26">
        <f>VLOOKUP($R74,武学奇术!$A:$ZZ,28,FALSE)</f>
        <v>0.81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0.9741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3574.6</v>
      </c>
      <c r="AU74" cm="1">
        <f t="array" ref="AU74">$E$10*(1+$AS74)+VLOOKUP($R74,武学奇术!$A:$ZZ,4,FALSE)+SUM(_xlfn.XLOOKUP($S74:$AL74,增益!$A:$A,增益!$D:$D,0))-$I$2</f>
        <v>3574.6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0.2925</v>
      </c>
      <c r="AW74" s="32" cm="1">
        <f t="array" ref="AW74">$G$10+VLOOKUP($R74,武学奇术!$A:$ZZ,7,FALSE)+SUM(_xlfn.XLOOKUP($S74:$AL74,增益!$A:$A,增益!$G:$G,0))</f>
        <v>0.148</v>
      </c>
      <c r="AX74" s="26" cm="1">
        <f t="array" ref="AX74">VLOOKUP($R74,武学奇术!$A:$ZZ,8,FALSE)+SUM(_xlfn.XLOOKUP($S74:$AL74,增益!$A:$A,增益!$H:$H,0))</f>
        <v>0</v>
      </c>
      <c r="AY74">
        <f t="shared" si="13"/>
        <v>0</v>
      </c>
      <c r="AZ74">
        <f t="shared" si="14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2" cm="1">
        <f t="array" ref="BB74">$G$11+VLOOKUP($R74,武学奇术!$A:$ZZ,10,FALSE)+SUM(_xlfn.XLOOKUP($S74:$AL74,增益!$A:$A,增益!$J:$J,0))</f>
        <v>0</v>
      </c>
      <c r="BC74">
        <f t="shared" si="15"/>
        <v>0</v>
      </c>
      <c r="BD74">
        <f t="shared" si="16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2" cm="1">
        <f t="array" ref="BF74">$G$12+VLOOKUP($R74,武学奇术!$A:$ZZ,12,FALSE)+SUM(_xlfn.XLOOKUP($S74:$AL74,增益!$A:$A,增益!$L:$L,0))</f>
        <v>0</v>
      </c>
      <c r="BG74">
        <f t="shared" si="17"/>
        <v>0</v>
      </c>
      <c r="BH74">
        <f t="shared" si="18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2" cm="1">
        <f t="array" ref="BJ74">$G$13+VLOOKUP($R74,武学奇术!$A:$ZZ,14,FALSE)+SUM(_xlfn.XLOOKUP($S74:$AL74,增益!$A:$A,增益!$N:$N,0))</f>
        <v>0</v>
      </c>
      <c r="BK74">
        <f t="shared" si="19"/>
        <v>571.2</v>
      </c>
      <c r="BL74">
        <f t="shared" si="20"/>
        <v>1627.8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2" cm="1">
        <f t="array" ref="BN74">$G$14+VLOOKUP($R74,武学奇术!$A:$ZZ,16,FALSE)+SUM(_xlfn.XLOOKUP($S74:$AL74,增益!$A:$A,增益!$P:$P,0))</f>
        <v>0.27</v>
      </c>
      <c r="BO74" s="26">
        <f>MIN(IF(VLOOKUP($R74,武学奇术!$A:$ZZ,23,FALSE)=1,100%,$B$8),100%)</f>
        <v>0.981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0.846</v>
      </c>
      <c r="BQ74" s="26" cm="1">
        <f t="array" ref="BQ74">1+$B$13+VLOOKUP($R74,武学奇术!$A:$ZZ,18,FALSE)+SUM(_xlfn.XLOOKUP($S74:$AL74,增益!$A:$A,增益!$R:$R,0))</f>
        <v>2.03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0.0929</v>
      </c>
      <c r="BS74" s="26" cm="1">
        <f t="array" ref="BS74">1+$B$14+VLOOKUP($R74,武学奇术!$A:$ZZ,20,FALSE)+SUM(_xlfn.XLOOKUP($S74:$AL74,增益!$A:$A,增益!$T:$T,0))</f>
        <v>1.35</v>
      </c>
      <c r="BT74" s="26">
        <f t="shared" si="21"/>
        <v>0.829926</v>
      </c>
      <c r="BU74" s="26">
        <f t="shared" si="22"/>
        <v>0.0599391</v>
      </c>
      <c r="BV74" s="26">
        <f>IF(VLOOKUP($R74,武学奇术!$A:$ZZ,22,FALSE)=1,0,(1-$BO74))*(1-$BR74)</f>
        <v>0.0172349</v>
      </c>
      <c r="BW74" s="26" cm="1">
        <f t="array" ref="BW74">SUM(_xlfn.XLOOKUP($S74:$AL74,增益!$A:$A,增益!$W:$W,0))+$I$5</f>
        <v>0.21</v>
      </c>
      <c r="BX74" s="26" cm="1">
        <f t="array" ref="BX74">SUM(_xlfn.XLOOKUP($S74:$AL74,增益!$A:$A,增益!$X:$X,0))</f>
        <v>0</v>
      </c>
    </row>
    <row r="75" spans="1:76">
      <c r="K75">
        <f>$L75*VLOOKUP($R75,武学奇术!$A:$ZZ,31,FALSE)</f>
        <v>208276.752865844</v>
      </c>
      <c r="L75" s="38">
        <f t="shared" si="12"/>
        <v>198358.812253185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</f>
        <v>198358.812253185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</f>
        <v>145486.380968322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</f>
        <v>96290.6855597986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</f>
        <v>84813.681513433</v>
      </c>
      <c r="Q75" s="39">
        <v>2</v>
      </c>
      <c r="R75" s="40" t="s">
        <v>132</v>
      </c>
      <c r="S75" s="40" t="s">
        <v>116</v>
      </c>
      <c r="T75" s="40" t="s">
        <v>102</v>
      </c>
      <c r="U75" s="40" t="s">
        <v>79</v>
      </c>
      <c r="V75" s="40" t="s">
        <v>88</v>
      </c>
      <c r="W75" s="40" t="s">
        <v>181</v>
      </c>
      <c r="X75" s="40" t="s">
        <v>106</v>
      </c>
      <c r="Y75" s="40" t="s">
        <v>78</v>
      </c>
      <c r="Z75" s="40" t="s">
        <v>185</v>
      </c>
      <c r="AA75" s="40" t="s">
        <v>78</v>
      </c>
      <c r="AB75" s="40" t="s">
        <v>133</v>
      </c>
      <c r="AC75" s="40" t="s">
        <v>78</v>
      </c>
      <c r="AD75" s="40" t="s">
        <v>187</v>
      </c>
      <c r="AE75" s="40" t="s">
        <v>78</v>
      </c>
      <c r="AF75" s="40" t="s">
        <v>78</v>
      </c>
      <c r="AG75" s="40" t="s">
        <v>85</v>
      </c>
      <c r="AH75" s="40" t="s">
        <v>78</v>
      </c>
      <c r="AI75" s="40" t="s">
        <v>78</v>
      </c>
      <c r="AJ75" s="40" t="s">
        <v>78</v>
      </c>
      <c r="AK75" s="40" t="s">
        <v>78</v>
      </c>
      <c r="AL75" s="40" t="s">
        <v>78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750</v>
      </c>
      <c r="AP75" s="26">
        <f>VLOOKUP($R75,武学奇术!$A:$ZZ,28,FALSE)</f>
        <v>2.7126</v>
      </c>
      <c r="AQ75" s="27">
        <f>VLOOKUP($R75,武学奇术!$A:$ZZ,29,FALSE)*(1+IF(OR($AM75=$F$4,$AM75=$F$5),$B$22,0))</f>
        <v>408</v>
      </c>
      <c r="AR75" s="26" cm="1">
        <f t="array" ref="AR75">$G$3+IFERROR(VLOOKUP($AM75,$F$4:$G$7,2,FALSE),0)+VLOOKUP($R75,武学奇术!$A:$ZZ,2,FALSE)+SUM(_xlfn.XLOOKUP($S75:$AL75,增益!$A:$A,增益!$B:$B,0))</f>
        <v>0.9741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3574.6</v>
      </c>
      <c r="AU75" cm="1">
        <f t="array" ref="AU75">$E$10*(1+$AS75)+VLOOKUP($R75,武学奇术!$A:$ZZ,4,FALSE)+SUM(_xlfn.XLOOKUP($S75:$AL75,增益!$A:$A,增益!$D:$D,0))-$I$2</f>
        <v>3574.6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0.2925</v>
      </c>
      <c r="AW75" s="32" cm="1">
        <f t="array" ref="AW75">$G$10+VLOOKUP($R75,武学奇术!$A:$ZZ,7,FALSE)+SUM(_xlfn.XLOOKUP($S75:$AL75,增益!$A:$A,增益!$G:$G,0))</f>
        <v>0.148</v>
      </c>
      <c r="AX75" s="26" cm="1">
        <f t="array" ref="AX75">VLOOKUP($R75,武学奇术!$A:$ZZ,8,FALSE)+SUM(_xlfn.XLOOKUP($S75:$AL75,增益!$A:$A,增益!$H:$H,0))</f>
        <v>0</v>
      </c>
      <c r="AY75">
        <f t="shared" si="13"/>
        <v>0</v>
      </c>
      <c r="AZ75">
        <f t="shared" si="14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2" cm="1">
        <f t="array" ref="BB75">$G$11+VLOOKUP($R75,武学奇术!$A:$ZZ,10,FALSE)+SUM(_xlfn.XLOOKUP($S75:$AL75,增益!$A:$A,增益!$J:$J,0))</f>
        <v>0</v>
      </c>
      <c r="BC75">
        <f t="shared" si="15"/>
        <v>0</v>
      </c>
      <c r="BD75">
        <f t="shared" si="16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2" cm="1">
        <f t="array" ref="BF75">$G$12+VLOOKUP($R75,武学奇术!$A:$ZZ,12,FALSE)+SUM(_xlfn.XLOOKUP($S75:$AL75,增益!$A:$A,增益!$L:$L,0))</f>
        <v>0</v>
      </c>
      <c r="BG75">
        <f t="shared" si="17"/>
        <v>0</v>
      </c>
      <c r="BH75">
        <f t="shared" si="18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2" cm="1">
        <f t="array" ref="BJ75">$G$13+VLOOKUP($R75,武学奇术!$A:$ZZ,14,FALSE)+SUM(_xlfn.XLOOKUP($S75:$AL75,增益!$A:$A,增益!$N:$N,0))</f>
        <v>0</v>
      </c>
      <c r="BK75">
        <f t="shared" si="19"/>
        <v>571.2</v>
      </c>
      <c r="BL75">
        <f t="shared" si="20"/>
        <v>1627.8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2" cm="1">
        <f t="array" ref="BN75">$G$14+VLOOKUP($R75,武学奇术!$A:$ZZ,16,FALSE)+SUM(_xlfn.XLOOKUP($S75:$AL75,增益!$A:$A,增益!$P:$P,0))</f>
        <v>0.27</v>
      </c>
      <c r="BO75" s="26">
        <f>MIN(IF(VLOOKUP($R75,武学奇术!$A:$ZZ,23,FALSE)=1,100%,$B$8),100%)</f>
        <v>1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1</v>
      </c>
      <c r="BQ75" s="26" cm="1">
        <f t="array" ref="BQ75">1+$B$13+VLOOKUP($R75,武学奇术!$A:$ZZ,18,FALSE)+SUM(_xlfn.XLOOKUP($S75:$AL75,增益!$A:$A,增益!$R:$R,0))</f>
        <v>2.06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</v>
      </c>
      <c r="BS75" s="26" cm="1">
        <f t="array" ref="BS75">1+$B$14+VLOOKUP($R75,武学奇术!$A:$ZZ,20,FALSE)+SUM(_xlfn.XLOOKUP($S75:$AL75,增益!$A:$A,增益!$T:$T,0))</f>
        <v>1.35</v>
      </c>
      <c r="BT75" s="26">
        <f t="shared" si="21"/>
        <v>1</v>
      </c>
      <c r="BU75" s="26">
        <f t="shared" si="22"/>
        <v>0</v>
      </c>
      <c r="BV75" s="26">
        <f>IF(VLOOKUP($R75,武学奇术!$A:$ZZ,22,FALSE)=1,0,(1-$BO75))*(1-$BR75)</f>
        <v>0</v>
      </c>
      <c r="BW75" s="26" cm="1">
        <f t="array" ref="BW75">SUM(_xlfn.XLOOKUP($S75:$AL75,增益!$A:$A,增益!$W:$W,0))+$I$5</f>
        <v>0.21</v>
      </c>
      <c r="BX75" s="26" cm="1">
        <f t="array" ref="BX75">SUM(_xlfn.XLOOKUP($S75:$AL75,增益!$A:$A,增益!$X:$X,0))</f>
        <v>0</v>
      </c>
    </row>
    <row r="76" spans="1:76">
      <c r="K76">
        <f>$L76*VLOOKUP($R76,武学奇术!$A:$ZZ,31,FALSE)</f>
        <v>120030.870606418</v>
      </c>
      <c r="L76" s="38">
        <f t="shared" si="12"/>
        <v>114315.114863255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</f>
        <v>114315.114863255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</f>
        <v>85105.8961627467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</f>
        <v>55492.7742054636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</f>
        <v>47944.1438459298</v>
      </c>
      <c r="Q76" s="39">
        <v>4</v>
      </c>
      <c r="R76" s="40" t="s">
        <v>139</v>
      </c>
      <c r="S76" s="40" t="s">
        <v>116</v>
      </c>
      <c r="T76" s="40" t="s">
        <v>102</v>
      </c>
      <c r="U76" s="40" t="s">
        <v>79</v>
      </c>
      <c r="V76" s="40" t="s">
        <v>88</v>
      </c>
      <c r="W76" s="40" t="s">
        <v>181</v>
      </c>
      <c r="X76" s="40" t="s">
        <v>106</v>
      </c>
      <c r="Y76" s="40" t="s">
        <v>78</v>
      </c>
      <c r="Z76" s="40" t="s">
        <v>185</v>
      </c>
      <c r="AA76" s="40" t="s">
        <v>78</v>
      </c>
      <c r="AB76" s="40" t="s">
        <v>133</v>
      </c>
      <c r="AC76" s="40" t="s">
        <v>78</v>
      </c>
      <c r="AD76" s="40" t="s">
        <v>187</v>
      </c>
      <c r="AE76" s="40" t="s">
        <v>78</v>
      </c>
      <c r="AF76" s="40" t="s">
        <v>78</v>
      </c>
      <c r="AG76" s="40" t="s">
        <v>85</v>
      </c>
      <c r="AH76" s="40" t="s">
        <v>78</v>
      </c>
      <c r="AI76" s="40" t="s">
        <v>78</v>
      </c>
      <c r="AJ76" s="40" t="s">
        <v>78</v>
      </c>
      <c r="AK76" s="40" t="s">
        <v>78</v>
      </c>
      <c r="AL76" s="40" t="s">
        <v>78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1.1741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3574.6</v>
      </c>
      <c r="AU76" cm="1">
        <f t="array" ref="AU76">$E$10*(1+$AS76)+VLOOKUP($R76,武学奇术!$A:$ZZ,4,FALSE)+SUM(_xlfn.XLOOKUP($S76:$AL76,增益!$A:$A,增益!$D:$D,0))-$I$2</f>
        <v>3574.6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0.2925</v>
      </c>
      <c r="AW76" s="32" cm="1">
        <f t="array" ref="AW76">$G$10+VLOOKUP($R76,武学奇术!$A:$ZZ,7,FALSE)+SUM(_xlfn.XLOOKUP($S76:$AL76,增益!$A:$A,增益!$G:$G,0))</f>
        <v>0.148</v>
      </c>
      <c r="AX76" s="26" cm="1">
        <f t="array" ref="AX76">VLOOKUP($R76,武学奇术!$A:$ZZ,8,FALSE)+SUM(_xlfn.XLOOKUP($S76:$AL76,增益!$A:$A,增益!$H:$H,0))</f>
        <v>0</v>
      </c>
      <c r="AY76">
        <f t="shared" si="13"/>
        <v>0</v>
      </c>
      <c r="AZ76">
        <f t="shared" si="14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2" cm="1">
        <f t="array" ref="BB76">$G$11+VLOOKUP($R76,武学奇术!$A:$ZZ,10,FALSE)+SUM(_xlfn.XLOOKUP($S76:$AL76,增益!$A:$A,增益!$J:$J,0))</f>
        <v>0</v>
      </c>
      <c r="BC76">
        <f t="shared" si="15"/>
        <v>0</v>
      </c>
      <c r="BD76">
        <f t="shared" si="16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2" cm="1">
        <f t="array" ref="BF76">$G$12+VLOOKUP($R76,武学奇术!$A:$ZZ,12,FALSE)+SUM(_xlfn.XLOOKUP($S76:$AL76,增益!$A:$A,增益!$L:$L,0))</f>
        <v>0</v>
      </c>
      <c r="BG76">
        <f t="shared" si="17"/>
        <v>0</v>
      </c>
      <c r="BH76">
        <f t="shared" si="18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2" cm="1">
        <f t="array" ref="BJ76">$G$13+VLOOKUP($R76,武学奇术!$A:$ZZ,14,FALSE)+SUM(_xlfn.XLOOKUP($S76:$AL76,增益!$A:$A,增益!$N:$N,0))</f>
        <v>0</v>
      </c>
      <c r="BK76">
        <f t="shared" si="19"/>
        <v>571.2</v>
      </c>
      <c r="BL76">
        <f t="shared" si="20"/>
        <v>1627.8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2" cm="1">
        <f t="array" ref="BN76">$G$14+VLOOKUP($R76,武学奇术!$A:$ZZ,16,FALSE)+SUM(_xlfn.XLOOKUP($S76:$AL76,增益!$A:$A,增益!$P:$P,0))</f>
        <v>0.27</v>
      </c>
      <c r="BO76" s="26">
        <f>MIN(IF(VLOOKUP($R76,武学奇术!$A:$ZZ,23,FALSE)=1,100%,$B$8),100%)</f>
        <v>1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1</v>
      </c>
      <c r="BQ76" s="26" cm="1">
        <f t="array" ref="BQ76">1+$B$13+VLOOKUP($R76,武学奇术!$A:$ZZ,18,FALSE)+SUM(_xlfn.XLOOKUP($S76:$AL76,增益!$A:$A,增益!$R:$R,0))</f>
        <v>2.06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</v>
      </c>
      <c r="BS76" s="26" cm="1">
        <f t="array" ref="BS76">1+$B$14+VLOOKUP($R76,武学奇术!$A:$ZZ,20,FALSE)+SUM(_xlfn.XLOOKUP($S76:$AL76,增益!$A:$A,增益!$T:$T,0))</f>
        <v>1.35</v>
      </c>
      <c r="BT76" s="26">
        <f t="shared" si="21"/>
        <v>1</v>
      </c>
      <c r="BU76" s="26">
        <f t="shared" si="22"/>
        <v>0</v>
      </c>
      <c r="BV76" s="26">
        <f>IF(VLOOKUP($R76,武学奇术!$A:$ZZ,22,FALSE)=1,0,(1-$BO76))*(1-$BR76)</f>
        <v>0</v>
      </c>
      <c r="BW76" s="26" cm="1">
        <f t="array" ref="BW76">SUM(_xlfn.XLOOKUP($S76:$AL76,增益!$A:$A,增益!$W:$W,0))+$I$5</f>
        <v>0.21</v>
      </c>
      <c r="BX76" s="26" cm="1">
        <f t="array" ref="BX76">SUM(_xlfn.XLOOKUP($S76:$AL76,增益!$A:$A,增益!$X:$X,0))</f>
        <v>0</v>
      </c>
    </row>
    <row r="77" spans="1:76">
      <c r="K77">
        <f>$L77*VLOOKUP($R77,武学奇术!$A:$ZZ,31,FALSE)</f>
        <v>262381.976360928</v>
      </c>
      <c r="L77" s="38">
        <f t="shared" si="12"/>
        <v>249887.596534217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</f>
        <v>267394.029293128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</f>
        <v>196120.299231979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</f>
        <v>129802.926841324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</f>
        <v>114331.557955257</v>
      </c>
      <c r="Q77" s="39">
        <v>3</v>
      </c>
      <c r="R77" s="40" t="s">
        <v>115</v>
      </c>
      <c r="S77" s="40" t="s">
        <v>116</v>
      </c>
      <c r="T77" s="40" t="s">
        <v>102</v>
      </c>
      <c r="U77" s="40" t="s">
        <v>79</v>
      </c>
      <c r="V77" s="40" t="s">
        <v>88</v>
      </c>
      <c r="W77" s="40" t="s">
        <v>181</v>
      </c>
      <c r="X77" s="40" t="s">
        <v>106</v>
      </c>
      <c r="Y77" s="40" t="s">
        <v>78</v>
      </c>
      <c r="Z77" s="40" t="s">
        <v>185</v>
      </c>
      <c r="AA77" s="40" t="s">
        <v>78</v>
      </c>
      <c r="AB77" s="40" t="s">
        <v>133</v>
      </c>
      <c r="AC77" s="40" t="s">
        <v>78</v>
      </c>
      <c r="AD77" s="40" t="s">
        <v>187</v>
      </c>
      <c r="AE77" s="40" t="s">
        <v>78</v>
      </c>
      <c r="AF77" s="40" t="s">
        <v>78</v>
      </c>
      <c r="AG77" s="40" t="s">
        <v>85</v>
      </c>
      <c r="AH77" s="40" t="s">
        <v>78</v>
      </c>
      <c r="AI77" s="40" t="s">
        <v>78</v>
      </c>
      <c r="AJ77" s="40" t="s">
        <v>78</v>
      </c>
      <c r="AK77" s="40" t="s">
        <v>78</v>
      </c>
      <c r="AL77" s="40" t="s">
        <v>78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750</v>
      </c>
      <c r="AP77" s="26">
        <f>VLOOKUP($R77,武学奇术!$A:$ZZ,28,FALSE)</f>
        <v>2.7126</v>
      </c>
      <c r="AQ77" s="27">
        <f>VLOOKUP($R77,武学奇术!$A:$ZZ,29,FALSE)*(1+IF(OR($AM77=$F$4,$AM77=$F$5),$B$22,0))</f>
        <v>408</v>
      </c>
      <c r="AR77" s="26" cm="1">
        <f t="array" ref="AR77">$G$3+IFERROR(VLOOKUP($AM77,$F$4:$G$7,2,FALSE),0)+VLOOKUP($R77,武学奇术!$A:$ZZ,2,FALSE)+SUM(_xlfn.XLOOKUP($S77:$AL77,增益!$A:$A,增益!$B:$B,0))</f>
        <v>0.7741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3574.6</v>
      </c>
      <c r="AU77" cm="1">
        <f t="array" ref="AU77">$E$10*(1+$AS77)+VLOOKUP($R77,武学奇术!$A:$ZZ,4,FALSE)+SUM(_xlfn.XLOOKUP($S77:$AL77,增益!$A:$A,增益!$D:$D,0))-$I$2</f>
        <v>3574.6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0.2925</v>
      </c>
      <c r="AW77" s="32" cm="1">
        <f t="array" ref="AW77">$G$10+VLOOKUP($R77,武学奇术!$A:$ZZ,7,FALSE)+SUM(_xlfn.XLOOKUP($S77:$AL77,增益!$A:$A,增益!$G:$G,0))</f>
        <v>0.148</v>
      </c>
      <c r="AX77" s="26" cm="1">
        <f t="array" ref="AX77">VLOOKUP($R77,武学奇术!$A:$ZZ,8,FALSE)+SUM(_xlfn.XLOOKUP($S77:$AL77,增益!$A:$A,增益!$H:$H,0))</f>
        <v>0</v>
      </c>
      <c r="AY77">
        <f t="shared" si="13"/>
        <v>0</v>
      </c>
      <c r="AZ77">
        <f t="shared" si="14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2" cm="1">
        <f t="array" ref="BB77">$G$11+VLOOKUP($R77,武学奇术!$A:$ZZ,10,FALSE)+SUM(_xlfn.XLOOKUP($S77:$AL77,增益!$A:$A,增益!$J:$J,0))</f>
        <v>0</v>
      </c>
      <c r="BC77">
        <f t="shared" si="15"/>
        <v>0</v>
      </c>
      <c r="BD77">
        <f t="shared" si="16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2" cm="1">
        <f t="array" ref="BF77">$G$12+VLOOKUP($R77,武学奇术!$A:$ZZ,12,FALSE)+SUM(_xlfn.XLOOKUP($S77:$AL77,增益!$A:$A,增益!$L:$L,0))</f>
        <v>0</v>
      </c>
      <c r="BG77">
        <f t="shared" si="17"/>
        <v>0</v>
      </c>
      <c r="BH77">
        <f t="shared" si="18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2" cm="1">
        <f t="array" ref="BJ77">$G$13+VLOOKUP($R77,武学奇术!$A:$ZZ,14,FALSE)+SUM(_xlfn.XLOOKUP($S77:$AL77,增益!$A:$A,增益!$N:$N,0))</f>
        <v>0</v>
      </c>
      <c r="BK77">
        <f t="shared" si="19"/>
        <v>571.2</v>
      </c>
      <c r="BL77">
        <f t="shared" si="20"/>
        <v>1627.8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2" cm="1">
        <f t="array" ref="BN77">$G$14+VLOOKUP($R77,武学奇术!$A:$ZZ,16,FALSE)+SUM(_xlfn.XLOOKUP($S77:$AL77,增益!$A:$A,增益!$P:$P,0))</f>
        <v>0.27</v>
      </c>
      <c r="BO77" s="26">
        <f>MIN(IF(VLOOKUP($R77,武学奇术!$A:$ZZ,23,FALSE)=1,100%,$B$8),100%)</f>
        <v>0.981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0.846</v>
      </c>
      <c r="BQ77" s="26" cm="1">
        <f t="array" ref="BQ77">1+$B$13+VLOOKUP($R77,武学奇术!$A:$ZZ,18,FALSE)+SUM(_xlfn.XLOOKUP($S77:$AL77,增益!$A:$A,增益!$R:$R,0))</f>
        <v>2.06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0.0929</v>
      </c>
      <c r="BS77" s="26" cm="1">
        <f t="array" ref="BS77">1+$B$14+VLOOKUP($R77,武学奇术!$A:$ZZ,20,FALSE)+SUM(_xlfn.XLOOKUP($S77:$AL77,增益!$A:$A,增益!$T:$T,0))</f>
        <v>1.35</v>
      </c>
      <c r="BT77" s="26">
        <f t="shared" si="21"/>
        <v>0.829926</v>
      </c>
      <c r="BU77" s="26">
        <f t="shared" si="22"/>
        <v>0.0599391</v>
      </c>
      <c r="BV77" s="26">
        <f>IF(VLOOKUP($R77,武学奇术!$A:$ZZ,22,FALSE)=1,0,(1-$BO77))*(1-$BR77)</f>
        <v>0.0172349</v>
      </c>
      <c r="BW77" s="26" cm="1">
        <f t="array" ref="BW77">SUM(_xlfn.XLOOKUP($S77:$AL77,增益!$A:$A,增益!$W:$W,0))+$I$5</f>
        <v>0.21</v>
      </c>
      <c r="BX77" s="26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152924.675830503</v>
      </c>
      <c r="L78" s="38">
        <f t="shared" si="12"/>
        <v>145642.548410003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</f>
        <v>155698.543018871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</f>
        <v>115915.240523581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</f>
        <v>75581.816999452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</f>
        <v>65300.4928703256</v>
      </c>
      <c r="Q78" s="39">
        <v>6</v>
      </c>
      <c r="R78" s="40" t="s">
        <v>119</v>
      </c>
      <c r="S78" s="40" t="s">
        <v>116</v>
      </c>
      <c r="T78" s="40" t="s">
        <v>102</v>
      </c>
      <c r="U78" s="40" t="s">
        <v>79</v>
      </c>
      <c r="V78" s="40" t="s">
        <v>88</v>
      </c>
      <c r="W78" s="40" t="s">
        <v>181</v>
      </c>
      <c r="X78" s="40" t="s">
        <v>106</v>
      </c>
      <c r="Y78" s="40" t="s">
        <v>78</v>
      </c>
      <c r="Z78" s="40" t="s">
        <v>185</v>
      </c>
      <c r="AA78" s="40" t="s">
        <v>78</v>
      </c>
      <c r="AB78" s="40" t="s">
        <v>133</v>
      </c>
      <c r="AC78" s="40" t="s">
        <v>78</v>
      </c>
      <c r="AD78" s="40" t="s">
        <v>187</v>
      </c>
      <c r="AE78" s="40" t="s">
        <v>78</v>
      </c>
      <c r="AF78" s="40" t="s">
        <v>78</v>
      </c>
      <c r="AG78" s="40" t="s">
        <v>85</v>
      </c>
      <c r="AH78" s="40" t="s">
        <v>78</v>
      </c>
      <c r="AI78" s="40" t="s">
        <v>78</v>
      </c>
      <c r="AJ78" s="40" t="s">
        <v>78</v>
      </c>
      <c r="AK78" s="40" t="s">
        <v>78</v>
      </c>
      <c r="AL78" s="40" t="s">
        <v>78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0.9741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3574.6</v>
      </c>
      <c r="AU78" cm="1">
        <f t="array" ref="AU78">$E$10*(1+$AS78)+VLOOKUP($R78,武学奇术!$A:$ZZ,4,FALSE)+SUM(_xlfn.XLOOKUP($S78:$AL78,增益!$A:$A,增益!$D:$D,0))-$I$2</f>
        <v>3574.6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0.2925</v>
      </c>
      <c r="AW78" s="32" cm="1">
        <f t="array" ref="AW78">$G$10+VLOOKUP($R78,武学奇术!$A:$ZZ,7,FALSE)+SUM(_xlfn.XLOOKUP($S78:$AL78,增益!$A:$A,增益!$G:$G,0))</f>
        <v>0.148</v>
      </c>
      <c r="AX78" s="26" cm="1">
        <f t="array" ref="AX78">VLOOKUP($R78,武学奇术!$A:$ZZ,8,FALSE)+SUM(_xlfn.XLOOKUP($S78:$AL78,增益!$A:$A,增益!$H:$H,0))</f>
        <v>0</v>
      </c>
      <c r="AY78">
        <f t="shared" si="13"/>
        <v>0</v>
      </c>
      <c r="AZ78">
        <f t="shared" si="14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2" cm="1">
        <f t="array" ref="BB78">$G$11+VLOOKUP($R78,武学奇术!$A:$ZZ,10,FALSE)+SUM(_xlfn.XLOOKUP($S78:$AL78,增益!$A:$A,增益!$J:$J,0))</f>
        <v>0</v>
      </c>
      <c r="BC78">
        <f t="shared" si="15"/>
        <v>0</v>
      </c>
      <c r="BD78">
        <f t="shared" si="16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2" cm="1">
        <f t="array" ref="BF78">$G$12+VLOOKUP($R78,武学奇术!$A:$ZZ,12,FALSE)+SUM(_xlfn.XLOOKUP($S78:$AL78,增益!$A:$A,增益!$L:$L,0))</f>
        <v>0</v>
      </c>
      <c r="BG78">
        <f t="shared" si="17"/>
        <v>0</v>
      </c>
      <c r="BH78">
        <f t="shared" si="18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2" cm="1">
        <f t="array" ref="BJ78">$G$13+VLOOKUP($R78,武学奇术!$A:$ZZ,14,FALSE)+SUM(_xlfn.XLOOKUP($S78:$AL78,增益!$A:$A,增益!$N:$N,0))</f>
        <v>0</v>
      </c>
      <c r="BK78">
        <f t="shared" si="19"/>
        <v>571.2</v>
      </c>
      <c r="BL78">
        <f t="shared" si="20"/>
        <v>1627.8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2" cm="1">
        <f t="array" ref="BN78">$G$14+VLOOKUP($R78,武学奇术!$A:$ZZ,16,FALSE)+SUM(_xlfn.XLOOKUP($S78:$AL78,增益!$A:$A,增益!$P:$P,0))</f>
        <v>0.27</v>
      </c>
      <c r="BO78" s="26">
        <f>MIN(IF(VLOOKUP($R78,武学奇术!$A:$ZZ,23,FALSE)=1,100%,$B$8),100%)</f>
        <v>0.981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0.846</v>
      </c>
      <c r="BQ78" s="26" cm="1">
        <f t="array" ref="BQ78">1+$B$13+VLOOKUP($R78,武学奇术!$A:$ZZ,18,FALSE)+SUM(_xlfn.XLOOKUP($S78:$AL78,增益!$A:$A,增益!$R:$R,0))</f>
        <v>2.06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0.0929</v>
      </c>
      <c r="BS78" s="26" cm="1">
        <f t="array" ref="BS78">1+$B$14+VLOOKUP($R78,武学奇术!$A:$ZZ,20,FALSE)+SUM(_xlfn.XLOOKUP($S78:$AL78,增益!$A:$A,增益!$T:$T,0))</f>
        <v>1.35</v>
      </c>
      <c r="BT78" s="26">
        <f t="shared" si="21"/>
        <v>0.829926</v>
      </c>
      <c r="BU78" s="26">
        <f t="shared" si="22"/>
        <v>0.0599391</v>
      </c>
      <c r="BV78" s="26">
        <f>IF(VLOOKUP($R78,武学奇术!$A:$ZZ,22,FALSE)=1,0,(1-$BO78))*(1-$BR78)</f>
        <v>0.0172349</v>
      </c>
      <c r="BW78" s="26" cm="1">
        <f t="array" ref="BW78">SUM(_xlfn.XLOOKUP($S78:$AL78,增益!$A:$A,增益!$W:$W,0))+$I$5</f>
        <v>0.21</v>
      </c>
      <c r="BX78" s="26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104138.376432922</v>
      </c>
      <c r="L79" s="38">
        <f t="shared" si="12"/>
        <v>99179.4061265925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</f>
        <v>99179.4061265925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</f>
        <v>72743.1904841608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</f>
        <v>48145.3427798993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</f>
        <v>42406.8407567165</v>
      </c>
      <c r="Q79" s="39">
        <v>1</v>
      </c>
      <c r="R79" s="40" t="s">
        <v>132</v>
      </c>
      <c r="S79" s="40" t="s">
        <v>116</v>
      </c>
      <c r="T79" s="40" t="s">
        <v>102</v>
      </c>
      <c r="U79" s="40" t="s">
        <v>79</v>
      </c>
      <c r="V79" s="40" t="s">
        <v>88</v>
      </c>
      <c r="W79" s="40" t="s">
        <v>181</v>
      </c>
      <c r="X79" s="40" t="s">
        <v>106</v>
      </c>
      <c r="Y79" s="40" t="s">
        <v>78</v>
      </c>
      <c r="Z79" s="40" t="s">
        <v>185</v>
      </c>
      <c r="AA79" s="40" t="s">
        <v>78</v>
      </c>
      <c r="AB79" s="40" t="s">
        <v>133</v>
      </c>
      <c r="AC79" s="40" t="s">
        <v>78</v>
      </c>
      <c r="AD79" s="40" t="s">
        <v>187</v>
      </c>
      <c r="AE79" s="40" t="s">
        <v>78</v>
      </c>
      <c r="AF79" s="40" t="s">
        <v>78</v>
      </c>
      <c r="AG79" s="40" t="s">
        <v>85</v>
      </c>
      <c r="AH79" s="40" t="s">
        <v>78</v>
      </c>
      <c r="AI79" s="40" t="s">
        <v>78</v>
      </c>
      <c r="AJ79" s="40" t="s">
        <v>78</v>
      </c>
      <c r="AK79" s="40" t="s">
        <v>78</v>
      </c>
      <c r="AL79" s="40" t="s">
        <v>78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750</v>
      </c>
      <c r="AP79" s="26">
        <f>VLOOKUP($R79,武学奇术!$A:$ZZ,28,FALSE)</f>
        <v>2.7126</v>
      </c>
      <c r="AQ79" s="27">
        <f>VLOOKUP($R79,武学奇术!$A:$ZZ,29,FALSE)*(1+IF(OR($AM79=$F$4,$AM79=$F$5),$B$22,0))</f>
        <v>408</v>
      </c>
      <c r="AR79" s="26" cm="1">
        <f t="array" ref="AR79">$G$3+IFERROR(VLOOKUP($AM79,$F$4:$G$7,2,FALSE),0)+VLOOKUP($R79,武学奇术!$A:$ZZ,2,FALSE)+SUM(_xlfn.XLOOKUP($S79:$AL79,增益!$A:$A,增益!$B:$B,0))</f>
        <v>0.9741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3574.6</v>
      </c>
      <c r="AU79" cm="1">
        <f t="array" ref="AU79">$E$10*(1+$AS79)+VLOOKUP($R79,武学奇术!$A:$ZZ,4,FALSE)+SUM(_xlfn.XLOOKUP($S79:$AL79,增益!$A:$A,增益!$D:$D,0))-$I$2</f>
        <v>3574.6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0.2925</v>
      </c>
      <c r="AW79" s="32" cm="1">
        <f t="array" ref="AW79">$G$10+VLOOKUP($R79,武学奇术!$A:$ZZ,7,FALSE)+SUM(_xlfn.XLOOKUP($S79:$AL79,增益!$A:$A,增益!$G:$G,0))</f>
        <v>0.148</v>
      </c>
      <c r="AX79" s="26" cm="1">
        <f t="array" ref="AX79">VLOOKUP($R79,武学奇术!$A:$ZZ,8,FALSE)+SUM(_xlfn.XLOOKUP($S79:$AL79,增益!$A:$A,增益!$H:$H,0))</f>
        <v>0</v>
      </c>
      <c r="AY79">
        <f t="shared" si="13"/>
        <v>0</v>
      </c>
      <c r="AZ79">
        <f t="shared" si="14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2" cm="1">
        <f t="array" ref="BB79">$G$11+VLOOKUP($R79,武学奇术!$A:$ZZ,10,FALSE)+SUM(_xlfn.XLOOKUP($S79:$AL79,增益!$A:$A,增益!$J:$J,0))</f>
        <v>0</v>
      </c>
      <c r="BC79">
        <f t="shared" si="15"/>
        <v>0</v>
      </c>
      <c r="BD79">
        <f t="shared" si="16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2" cm="1">
        <f t="array" ref="BF79">$G$12+VLOOKUP($R79,武学奇术!$A:$ZZ,12,FALSE)+SUM(_xlfn.XLOOKUP($S79:$AL79,增益!$A:$A,增益!$L:$L,0))</f>
        <v>0</v>
      </c>
      <c r="BG79">
        <f t="shared" si="17"/>
        <v>0</v>
      </c>
      <c r="BH79">
        <f t="shared" si="18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2" cm="1">
        <f t="array" ref="BJ79">$G$13+VLOOKUP($R79,武学奇术!$A:$ZZ,14,FALSE)+SUM(_xlfn.XLOOKUP($S79:$AL79,增益!$A:$A,增益!$N:$N,0))</f>
        <v>0</v>
      </c>
      <c r="BK79">
        <f t="shared" si="19"/>
        <v>571.2</v>
      </c>
      <c r="BL79">
        <f t="shared" si="20"/>
        <v>1627.8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2" cm="1">
        <f t="array" ref="BN79">$G$14+VLOOKUP($R79,武学奇术!$A:$ZZ,16,FALSE)+SUM(_xlfn.XLOOKUP($S79:$AL79,增益!$A:$A,增益!$P:$P,0))</f>
        <v>0.27</v>
      </c>
      <c r="BO79" s="26">
        <f>MIN(IF(VLOOKUP($R79,武学奇术!$A:$ZZ,23,FALSE)=1,100%,$B$8),100%)</f>
        <v>1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1</v>
      </c>
      <c r="BQ79" s="26" cm="1">
        <f t="array" ref="BQ79">1+$B$13+VLOOKUP($R79,武学奇术!$A:$ZZ,18,FALSE)+SUM(_xlfn.XLOOKUP($S79:$AL79,增益!$A:$A,增益!$R:$R,0))</f>
        <v>2.06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</v>
      </c>
      <c r="BS79" s="26" cm="1">
        <f t="array" ref="BS79">1+$B$14+VLOOKUP($R79,武学奇术!$A:$ZZ,20,FALSE)+SUM(_xlfn.XLOOKUP($S79:$AL79,增益!$A:$A,增益!$T:$T,0))</f>
        <v>1.35</v>
      </c>
      <c r="BT79" s="26">
        <f t="shared" si="21"/>
        <v>1</v>
      </c>
      <c r="BU79" s="26">
        <f t="shared" si="22"/>
        <v>0</v>
      </c>
      <c r="BV79" s="26">
        <f>IF(VLOOKUP($R79,武学奇术!$A:$ZZ,22,FALSE)=1,0,(1-$BO79))*(1-$BR79)</f>
        <v>0</v>
      </c>
      <c r="BW79" s="26" cm="1">
        <f t="array" ref="BW79">SUM(_xlfn.XLOOKUP($S79:$AL79,增益!$A:$A,增益!$W:$W,0))+$I$5</f>
        <v>0.21</v>
      </c>
      <c r="BX79" s="26" cm="1">
        <f t="array" ref="BX79">SUM(_xlfn.XLOOKUP($S79:$AL79,增益!$A:$A,增益!$X:$X,0))</f>
        <v>0</v>
      </c>
    </row>
    <row r="80" spans="1:76">
      <c r="A80" s="4"/>
      <c r="B80" s="4"/>
      <c r="C80" s="39"/>
      <c r="K80">
        <f>$L80*VLOOKUP($R80,武学奇术!$A:$ZZ,31,FALSE)</f>
        <v>60015.4353032089</v>
      </c>
      <c r="L80" s="38">
        <f t="shared" si="12"/>
        <v>57157.5574316276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</f>
        <v>57157.5574316276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</f>
        <v>42552.9480813733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</f>
        <v>27746.3871027318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</f>
        <v>23972.0719229649</v>
      </c>
      <c r="Q80" s="39">
        <v>2</v>
      </c>
      <c r="R80" s="40" t="s">
        <v>139</v>
      </c>
      <c r="S80" s="40" t="s">
        <v>116</v>
      </c>
      <c r="T80" s="40" t="s">
        <v>102</v>
      </c>
      <c r="U80" s="40" t="s">
        <v>79</v>
      </c>
      <c r="V80" s="40" t="s">
        <v>88</v>
      </c>
      <c r="W80" s="40" t="s">
        <v>181</v>
      </c>
      <c r="X80" s="40" t="s">
        <v>106</v>
      </c>
      <c r="Y80" s="40" t="s">
        <v>78</v>
      </c>
      <c r="Z80" s="40" t="s">
        <v>185</v>
      </c>
      <c r="AA80" s="40" t="s">
        <v>78</v>
      </c>
      <c r="AB80" s="40" t="s">
        <v>133</v>
      </c>
      <c r="AC80" s="40" t="s">
        <v>78</v>
      </c>
      <c r="AD80" s="40" t="s">
        <v>187</v>
      </c>
      <c r="AE80" s="40" t="s">
        <v>78</v>
      </c>
      <c r="AF80" s="40" t="s">
        <v>78</v>
      </c>
      <c r="AG80" s="40" t="s">
        <v>85</v>
      </c>
      <c r="AH80" s="40" t="s">
        <v>78</v>
      </c>
      <c r="AI80" s="40" t="s">
        <v>78</v>
      </c>
      <c r="AJ80" s="40" t="s">
        <v>78</v>
      </c>
      <c r="AK80" s="40" t="s">
        <v>78</v>
      </c>
      <c r="AL80" s="40" t="s">
        <v>78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1.1741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3574.6</v>
      </c>
      <c r="AU80" cm="1">
        <f t="array" ref="AU80">$E$10*(1+$AS80)+VLOOKUP($R80,武学奇术!$A:$ZZ,4,FALSE)+SUM(_xlfn.XLOOKUP($S80:$AL80,增益!$A:$A,增益!$D:$D,0))-$I$2</f>
        <v>3574.6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0.2925</v>
      </c>
      <c r="AW80" s="32" cm="1">
        <f t="array" ref="AW80">$G$10+VLOOKUP($R80,武学奇术!$A:$ZZ,7,FALSE)+SUM(_xlfn.XLOOKUP($S80:$AL80,增益!$A:$A,增益!$G:$G,0))</f>
        <v>0.148</v>
      </c>
      <c r="AX80" s="26" cm="1">
        <f t="array" ref="AX80">VLOOKUP($R80,武学奇术!$A:$ZZ,8,FALSE)+SUM(_xlfn.XLOOKUP($S80:$AL80,增益!$A:$A,增益!$H:$H,0))</f>
        <v>0</v>
      </c>
      <c r="AY80">
        <f t="shared" si="13"/>
        <v>0</v>
      </c>
      <c r="AZ80">
        <f t="shared" si="14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2" cm="1">
        <f t="array" ref="BB80">$G$11+VLOOKUP($R80,武学奇术!$A:$ZZ,10,FALSE)+SUM(_xlfn.XLOOKUP($S80:$AL80,增益!$A:$A,增益!$J:$J,0))</f>
        <v>0</v>
      </c>
      <c r="BC80">
        <f t="shared" si="15"/>
        <v>0</v>
      </c>
      <c r="BD80">
        <f t="shared" si="16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2" cm="1">
        <f t="array" ref="BF80">$G$12+VLOOKUP($R80,武学奇术!$A:$ZZ,12,FALSE)+SUM(_xlfn.XLOOKUP($S80:$AL80,增益!$A:$A,增益!$L:$L,0))</f>
        <v>0</v>
      </c>
      <c r="BG80">
        <f t="shared" si="17"/>
        <v>0</v>
      </c>
      <c r="BH80">
        <f t="shared" si="18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2" cm="1">
        <f t="array" ref="BJ80">$G$13+VLOOKUP($R80,武学奇术!$A:$ZZ,14,FALSE)+SUM(_xlfn.XLOOKUP($S80:$AL80,增益!$A:$A,增益!$N:$N,0))</f>
        <v>0</v>
      </c>
      <c r="BK80">
        <f t="shared" si="19"/>
        <v>571.2</v>
      </c>
      <c r="BL80">
        <f t="shared" si="20"/>
        <v>1627.8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2" cm="1">
        <f t="array" ref="BN80">$G$14+VLOOKUP($R80,武学奇术!$A:$ZZ,16,FALSE)+SUM(_xlfn.XLOOKUP($S80:$AL80,增益!$A:$A,增益!$P:$P,0))</f>
        <v>0.27</v>
      </c>
      <c r="BO80" s="26">
        <f>MIN(IF(VLOOKUP($R80,武学奇术!$A:$ZZ,23,FALSE)=1,100%,$B$8),100%)</f>
        <v>1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1</v>
      </c>
      <c r="BQ80" s="26" cm="1">
        <f t="array" ref="BQ80">1+$B$13+VLOOKUP($R80,武学奇术!$A:$ZZ,18,FALSE)+SUM(_xlfn.XLOOKUP($S80:$AL80,增益!$A:$A,增益!$R:$R,0))</f>
        <v>2.06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</v>
      </c>
      <c r="BS80" s="26" cm="1">
        <f t="array" ref="BS80">1+$B$14+VLOOKUP($R80,武学奇术!$A:$ZZ,20,FALSE)+SUM(_xlfn.XLOOKUP($S80:$AL80,增益!$A:$A,增益!$T:$T,0))</f>
        <v>1.35</v>
      </c>
      <c r="BT80" s="26">
        <f t="shared" si="21"/>
        <v>1</v>
      </c>
      <c r="BU80" s="26">
        <f t="shared" si="22"/>
        <v>0</v>
      </c>
      <c r="BV80" s="26">
        <f>IF(VLOOKUP($R80,武学奇术!$A:$ZZ,22,FALSE)=1,0,(1-$BO80))*(1-$BR80)</f>
        <v>0</v>
      </c>
      <c r="BW80" s="26" cm="1">
        <f t="array" ref="BW80">SUM(_xlfn.XLOOKUP($S80:$AL80,增益!$A:$A,增益!$W:$W,0))+$I$5</f>
        <v>0.21</v>
      </c>
      <c r="BX80" s="26" cm="1">
        <f t="array" ref="BX80">SUM(_xlfn.XLOOKUP($S80:$AL80,增益!$A:$A,增益!$X:$X,0))</f>
        <v>0</v>
      </c>
    </row>
    <row r="81" spans="1:76">
      <c r="K81">
        <f>$L81*VLOOKUP($R81,武学奇术!$A:$ZZ,31,FALSE)</f>
        <v>87460.6587869759</v>
      </c>
      <c r="L81" s="38">
        <f t="shared" si="12"/>
        <v>83295.8655114056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</f>
        <v>89131.3430977092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</f>
        <v>65373.4330773262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</f>
        <v>43267.6422804414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</f>
        <v>38110.5193184189</v>
      </c>
      <c r="Q81" s="39">
        <v>1</v>
      </c>
      <c r="R81" s="40" t="s">
        <v>115</v>
      </c>
      <c r="S81" s="40" t="s">
        <v>116</v>
      </c>
      <c r="T81" s="40" t="s">
        <v>102</v>
      </c>
      <c r="U81" s="40" t="s">
        <v>79</v>
      </c>
      <c r="V81" s="40" t="s">
        <v>88</v>
      </c>
      <c r="W81" s="40" t="s">
        <v>181</v>
      </c>
      <c r="X81" s="40" t="s">
        <v>106</v>
      </c>
      <c r="Y81" s="40" t="s">
        <v>78</v>
      </c>
      <c r="Z81" s="40" t="s">
        <v>185</v>
      </c>
      <c r="AA81" s="40" t="s">
        <v>78</v>
      </c>
      <c r="AB81" s="40" t="s">
        <v>133</v>
      </c>
      <c r="AC81" s="40" t="s">
        <v>78</v>
      </c>
      <c r="AD81" s="40" t="s">
        <v>187</v>
      </c>
      <c r="AE81" s="40" t="s">
        <v>78</v>
      </c>
      <c r="AF81" s="40" t="s">
        <v>78</v>
      </c>
      <c r="AG81" s="40" t="s">
        <v>85</v>
      </c>
      <c r="AH81" s="40" t="s">
        <v>78</v>
      </c>
      <c r="AI81" s="40" t="s">
        <v>78</v>
      </c>
      <c r="AJ81" s="40" t="s">
        <v>78</v>
      </c>
      <c r="AK81" s="40" t="s">
        <v>78</v>
      </c>
      <c r="AL81" s="40" t="s">
        <v>78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750</v>
      </c>
      <c r="AP81" s="26">
        <f>VLOOKUP($R81,武学奇术!$A:$ZZ,28,FALSE)</f>
        <v>2.7126</v>
      </c>
      <c r="AQ81" s="27">
        <f>VLOOKUP($R81,武学奇术!$A:$ZZ,29,FALSE)*(1+IF(OR($AM81=$F$4,$AM81=$F$5),$B$22,0))</f>
        <v>408</v>
      </c>
      <c r="AR81" s="26" cm="1">
        <f t="array" ref="AR81">$G$3+IFERROR(VLOOKUP($AM81,$F$4:$G$7,2,FALSE),0)+VLOOKUP($R81,武学奇术!$A:$ZZ,2,FALSE)+SUM(_xlfn.XLOOKUP($S81:$AL81,增益!$A:$A,增益!$B:$B,0))</f>
        <v>0.7741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3574.6</v>
      </c>
      <c r="AU81" cm="1">
        <f t="array" ref="AU81">$E$10*(1+$AS81)+VLOOKUP($R81,武学奇术!$A:$ZZ,4,FALSE)+SUM(_xlfn.XLOOKUP($S81:$AL81,增益!$A:$A,增益!$D:$D,0))-$I$2</f>
        <v>3574.6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0.2925</v>
      </c>
      <c r="AW81" s="32" cm="1">
        <f t="array" ref="AW81">$G$10+VLOOKUP($R81,武学奇术!$A:$ZZ,7,FALSE)+SUM(_xlfn.XLOOKUP($S81:$AL81,增益!$A:$A,增益!$G:$G,0))</f>
        <v>0.148</v>
      </c>
      <c r="AX81" s="26" cm="1">
        <f t="array" ref="AX81">VLOOKUP($R81,武学奇术!$A:$ZZ,8,FALSE)+SUM(_xlfn.XLOOKUP($S81:$AL81,增益!$A:$A,增益!$H:$H,0))</f>
        <v>0</v>
      </c>
      <c r="AY81">
        <f t="shared" si="13"/>
        <v>0</v>
      </c>
      <c r="AZ81">
        <f t="shared" si="14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2" cm="1">
        <f t="array" ref="BB81">$G$11+VLOOKUP($R81,武学奇术!$A:$ZZ,10,FALSE)+SUM(_xlfn.XLOOKUP($S81:$AL81,增益!$A:$A,增益!$J:$J,0))</f>
        <v>0</v>
      </c>
      <c r="BC81">
        <f t="shared" si="15"/>
        <v>0</v>
      </c>
      <c r="BD81">
        <f t="shared" si="16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2" cm="1">
        <f t="array" ref="BF81">$G$12+VLOOKUP($R81,武学奇术!$A:$ZZ,12,FALSE)+SUM(_xlfn.XLOOKUP($S81:$AL81,增益!$A:$A,增益!$L:$L,0))</f>
        <v>0</v>
      </c>
      <c r="BG81">
        <f t="shared" si="17"/>
        <v>0</v>
      </c>
      <c r="BH81">
        <f t="shared" si="18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2" cm="1">
        <f t="array" ref="BJ81">$G$13+VLOOKUP($R81,武学奇术!$A:$ZZ,14,FALSE)+SUM(_xlfn.XLOOKUP($S81:$AL81,增益!$A:$A,增益!$N:$N,0))</f>
        <v>0</v>
      </c>
      <c r="BK81">
        <f t="shared" si="19"/>
        <v>571.2</v>
      </c>
      <c r="BL81">
        <f t="shared" si="20"/>
        <v>1627.8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2" cm="1">
        <f t="array" ref="BN81">$G$14+VLOOKUP($R81,武学奇术!$A:$ZZ,16,FALSE)+SUM(_xlfn.XLOOKUP($S81:$AL81,增益!$A:$A,增益!$P:$P,0))</f>
        <v>0.27</v>
      </c>
      <c r="BO81" s="26">
        <f>MIN(IF(VLOOKUP($R81,武学奇术!$A:$ZZ,23,FALSE)=1,100%,$B$8),100%)</f>
        <v>0.981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0.846</v>
      </c>
      <c r="BQ81" s="26" cm="1">
        <f t="array" ref="BQ81">1+$B$13+VLOOKUP($R81,武学奇术!$A:$ZZ,18,FALSE)+SUM(_xlfn.XLOOKUP($S81:$AL81,增益!$A:$A,增益!$R:$R,0))</f>
        <v>2.06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0.0929</v>
      </c>
      <c r="BS81" s="26" cm="1">
        <f t="array" ref="BS81">1+$B$14+VLOOKUP($R81,武学奇术!$A:$ZZ,20,FALSE)+SUM(_xlfn.XLOOKUP($S81:$AL81,增益!$A:$A,增益!$T:$T,0))</f>
        <v>1.35</v>
      </c>
      <c r="BT81" s="26">
        <f t="shared" si="21"/>
        <v>0.829926</v>
      </c>
      <c r="BU81" s="26">
        <f t="shared" si="22"/>
        <v>0.0599391</v>
      </c>
      <c r="BV81" s="26">
        <f>IF(VLOOKUP($R81,武学奇术!$A:$ZZ,22,FALSE)=1,0,(1-$BO81))*(1-$BR81)</f>
        <v>0.0172349</v>
      </c>
      <c r="BW81" s="26" cm="1">
        <f t="array" ref="BW81">SUM(_xlfn.XLOOKUP($S81:$AL81,增益!$A:$A,增益!$W:$W,0))+$I$5</f>
        <v>0.21</v>
      </c>
      <c r="BX81" s="26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50974.8919435011</v>
      </c>
      <c r="L82" s="38">
        <f t="shared" si="12"/>
        <v>48547.5161366677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</f>
        <v>51899.5143396237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</f>
        <v>38638.4135078603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</f>
        <v>25193.9389998173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</f>
        <v>21766.8309567752</v>
      </c>
      <c r="Q82" s="39">
        <v>2</v>
      </c>
      <c r="R82" s="40" t="s">
        <v>119</v>
      </c>
      <c r="S82" s="40" t="s">
        <v>116</v>
      </c>
      <c r="T82" s="40" t="s">
        <v>102</v>
      </c>
      <c r="U82" s="40" t="s">
        <v>79</v>
      </c>
      <c r="V82" s="40" t="s">
        <v>88</v>
      </c>
      <c r="W82" s="40" t="s">
        <v>181</v>
      </c>
      <c r="X82" s="40" t="s">
        <v>106</v>
      </c>
      <c r="Y82" s="40" t="s">
        <v>78</v>
      </c>
      <c r="Z82" s="40" t="s">
        <v>185</v>
      </c>
      <c r="AA82" s="40" t="s">
        <v>78</v>
      </c>
      <c r="AB82" s="40" t="s">
        <v>133</v>
      </c>
      <c r="AC82" s="40" t="s">
        <v>78</v>
      </c>
      <c r="AD82" s="40" t="s">
        <v>187</v>
      </c>
      <c r="AE82" s="40" t="s">
        <v>78</v>
      </c>
      <c r="AF82" s="40" t="s">
        <v>78</v>
      </c>
      <c r="AG82" s="40" t="s">
        <v>85</v>
      </c>
      <c r="AH82" s="40" t="s">
        <v>78</v>
      </c>
      <c r="AI82" s="40" t="s">
        <v>78</v>
      </c>
      <c r="AJ82" s="40" t="s">
        <v>78</v>
      </c>
      <c r="AK82" s="40" t="s">
        <v>78</v>
      </c>
      <c r="AL82" s="40" t="s">
        <v>78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0.9741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3574.6</v>
      </c>
      <c r="AU82" cm="1">
        <f t="array" ref="AU82">$E$10*(1+$AS82)+VLOOKUP($R82,武学奇术!$A:$ZZ,4,FALSE)+SUM(_xlfn.XLOOKUP($S82:$AL82,增益!$A:$A,增益!$D:$D,0))-$I$2</f>
        <v>3574.6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0.2925</v>
      </c>
      <c r="AW82" s="32" cm="1">
        <f t="array" ref="AW82">$G$10+VLOOKUP($R82,武学奇术!$A:$ZZ,7,FALSE)+SUM(_xlfn.XLOOKUP($S82:$AL82,增益!$A:$A,增益!$G:$G,0))</f>
        <v>0.148</v>
      </c>
      <c r="AX82" s="26" cm="1">
        <f t="array" ref="AX82">VLOOKUP($R82,武学奇术!$A:$ZZ,8,FALSE)+SUM(_xlfn.XLOOKUP($S82:$AL82,增益!$A:$A,增益!$H:$H,0))</f>
        <v>0</v>
      </c>
      <c r="AY82">
        <f t="shared" si="13"/>
        <v>0</v>
      </c>
      <c r="AZ82">
        <f t="shared" si="14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2" cm="1">
        <f t="array" ref="BB82">$G$11+VLOOKUP($R82,武学奇术!$A:$ZZ,10,FALSE)+SUM(_xlfn.XLOOKUP($S82:$AL82,增益!$A:$A,增益!$J:$J,0))</f>
        <v>0</v>
      </c>
      <c r="BC82">
        <f t="shared" si="15"/>
        <v>0</v>
      </c>
      <c r="BD82">
        <f t="shared" si="16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2" cm="1">
        <f t="array" ref="BF82">$G$12+VLOOKUP($R82,武学奇术!$A:$ZZ,12,FALSE)+SUM(_xlfn.XLOOKUP($S82:$AL82,增益!$A:$A,增益!$L:$L,0))</f>
        <v>0</v>
      </c>
      <c r="BG82">
        <f t="shared" si="17"/>
        <v>0</v>
      </c>
      <c r="BH82">
        <f t="shared" si="18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2" cm="1">
        <f t="array" ref="BJ82">$G$13+VLOOKUP($R82,武学奇术!$A:$ZZ,14,FALSE)+SUM(_xlfn.XLOOKUP($S82:$AL82,增益!$A:$A,增益!$N:$N,0))</f>
        <v>0</v>
      </c>
      <c r="BK82">
        <f t="shared" si="19"/>
        <v>571.2</v>
      </c>
      <c r="BL82">
        <f t="shared" si="20"/>
        <v>1627.8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2" cm="1">
        <f t="array" ref="BN82">$G$14+VLOOKUP($R82,武学奇术!$A:$ZZ,16,FALSE)+SUM(_xlfn.XLOOKUP($S82:$AL82,增益!$A:$A,增益!$P:$P,0))</f>
        <v>0.27</v>
      </c>
      <c r="BO82" s="26">
        <f>MIN(IF(VLOOKUP($R82,武学奇术!$A:$ZZ,23,FALSE)=1,100%,$B$8),100%)</f>
        <v>0.981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0.846</v>
      </c>
      <c r="BQ82" s="26" cm="1">
        <f t="array" ref="BQ82">1+$B$13+VLOOKUP($R82,武学奇术!$A:$ZZ,18,FALSE)+SUM(_xlfn.XLOOKUP($S82:$AL82,增益!$A:$A,增益!$R:$R,0))</f>
        <v>2.06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0.0929</v>
      </c>
      <c r="BS82" s="26" cm="1">
        <f t="array" ref="BS82">1+$B$14+VLOOKUP($R82,武学奇术!$A:$ZZ,20,FALSE)+SUM(_xlfn.XLOOKUP($S82:$AL82,增益!$A:$A,增益!$T:$T,0))</f>
        <v>1.35</v>
      </c>
      <c r="BT82" s="26">
        <f t="shared" si="21"/>
        <v>0.829926</v>
      </c>
      <c r="BU82" s="26">
        <f t="shared" si="22"/>
        <v>0.0599391</v>
      </c>
      <c r="BV82" s="26">
        <f>IF(VLOOKUP($R82,武学奇术!$A:$ZZ,22,FALSE)=1,0,(1-$BO82))*(1-$BR82)</f>
        <v>0.0172349</v>
      </c>
      <c r="BW82" s="26" cm="1">
        <f t="array" ref="BW82">SUM(_xlfn.XLOOKUP($S82:$AL82,增益!$A:$A,增益!$W:$W,0))+$I$5</f>
        <v>0.21</v>
      </c>
      <c r="BX82" s="26" cm="1">
        <f t="array" ref="BX82">SUM(_xlfn.XLOOKUP($S82:$AL82,增益!$A:$A,增益!$X:$X,0))</f>
        <v>0</v>
      </c>
    </row>
    <row r="83" spans="1:76">
      <c r="A83" s="4"/>
      <c r="B83" s="4"/>
      <c r="K83">
        <f>$L83*VLOOKUP($R83,武学奇术!$A:$ZZ,31,FALSE)</f>
        <v>55878.5641643819</v>
      </c>
      <c r="L83" s="38">
        <f t="shared" si="12"/>
        <v>53217.6801565542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</f>
        <v>53217.6801565542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</f>
        <v>42131.4136428551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</f>
        <v>27862.6597678294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</f>
        <v>24516.8649853958</v>
      </c>
      <c r="Q83" s="39">
        <v>1</v>
      </c>
      <c r="R83" s="40" t="s">
        <v>174</v>
      </c>
      <c r="S83" s="40" t="s">
        <v>78</v>
      </c>
      <c r="T83" s="40" t="s">
        <v>102</v>
      </c>
      <c r="U83" s="40" t="s">
        <v>79</v>
      </c>
      <c r="V83" s="40" t="s">
        <v>78</v>
      </c>
      <c r="W83" s="40" t="s">
        <v>181</v>
      </c>
      <c r="X83" s="40" t="s">
        <v>106</v>
      </c>
      <c r="Y83" s="40" t="s">
        <v>78</v>
      </c>
      <c r="Z83" s="40" t="s">
        <v>78</v>
      </c>
      <c r="AA83" s="40" t="s">
        <v>78</v>
      </c>
      <c r="AB83" s="40" t="s">
        <v>78</v>
      </c>
      <c r="AC83" s="40" t="s">
        <v>78</v>
      </c>
      <c r="AD83" s="40" t="s">
        <v>78</v>
      </c>
      <c r="AE83" s="40" t="s">
        <v>78</v>
      </c>
      <c r="AF83" s="40" t="s">
        <v>78</v>
      </c>
      <c r="AG83" s="40" t="s">
        <v>85</v>
      </c>
      <c r="AH83" s="40" t="s">
        <v>78</v>
      </c>
      <c r="AI83" s="40" t="s">
        <v>78</v>
      </c>
      <c r="AJ83" s="40" t="s">
        <v>78</v>
      </c>
      <c r="AK83" s="40" t="s">
        <v>78</v>
      </c>
      <c r="AL83" s="40" t="s">
        <v>78</v>
      </c>
      <c r="AM83" t="str">
        <f>VLOOKUP($R83,武学奇术!$A:$ZZ,25,FALSE)</f>
        <v>绳镖</v>
      </c>
      <c r="AN83" s="26">
        <f>VLOOKUP($R83,武学奇术!$A:$ZZ,26,FALSE)</f>
        <v>2.2987</v>
      </c>
      <c r="AO83" s="27">
        <f>VLOOKUP($R83,武学奇术!$A:$ZZ,27,FALSE)*(1+IF(OR($AM83=$F$4,$AM83=$F$5),$B$22,0))</f>
        <v>955.5</v>
      </c>
      <c r="AP83" s="26">
        <f>VLOOKUP($R83,武学奇术!$A:$ZZ,28,FALSE)</f>
        <v>3.448</v>
      </c>
      <c r="AQ83" s="27">
        <f>VLOOKUP($R83,武学奇术!$A:$ZZ,29,FALSE)*(1+IF(OR($AM83=$F$4,$AM83=$F$5),$B$22,0))</f>
        <v>520.5</v>
      </c>
      <c r="AR83" s="26" cm="1">
        <f t="array" ref="AR83">$G$3+IFERROR(VLOOKUP($AM83,$F$4:$G$7,2,FALSE),0)+VLOOKUP($R83,武学奇术!$A:$ZZ,2,FALSE)+SUM(_xlfn.XLOOKUP($S83:$AL83,增益!$A:$A,增益!$B:$B,0))</f>
        <v>0.4389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3574.6</v>
      </c>
      <c r="AU83" cm="1">
        <f t="array" ref="AU83">$E$10*(1+$AS83)+VLOOKUP($R83,武学奇术!$A:$ZZ,4,FALSE)+SUM(_xlfn.XLOOKUP($S83:$AL83,增益!$A:$A,增益!$D:$D,0))-$I$2</f>
        <v>3574.6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0.2925</v>
      </c>
      <c r="AW83" s="32" cm="1">
        <f t="array" ref="AW83">$G$10+VLOOKUP($R83,武学奇术!$A:$ZZ,7,FALSE)+SUM(_xlfn.XLOOKUP($S83:$AL83,增益!$A:$A,增益!$G:$G,0))</f>
        <v>0.028</v>
      </c>
      <c r="AX83" s="26" cm="1">
        <f t="array" ref="AX83">VLOOKUP($R83,武学奇术!$A:$ZZ,8,FALSE)+SUM(_xlfn.XLOOKUP($S83:$AL83,增益!$A:$A,增益!$H:$H,0))</f>
        <v>0</v>
      </c>
      <c r="AY83">
        <f t="shared" si="13"/>
        <v>0</v>
      </c>
      <c r="AZ83">
        <f t="shared" si="14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2" cm="1">
        <f t="array" ref="BB83">$G$11+VLOOKUP($R83,武学奇术!$A:$ZZ,10,FALSE)+SUM(_xlfn.XLOOKUP($S83:$AL83,增益!$A:$A,增益!$J:$J,0))</f>
        <v>0</v>
      </c>
      <c r="BC83">
        <f t="shared" si="15"/>
        <v>0</v>
      </c>
      <c r="BD83">
        <f t="shared" si="16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2" cm="1">
        <f t="array" ref="BF83">$G$12+VLOOKUP($R83,武学奇术!$A:$ZZ,12,FALSE)+SUM(_xlfn.XLOOKUP($S83:$AL83,增益!$A:$A,增益!$L:$L,0))</f>
        <v>0</v>
      </c>
      <c r="BG83">
        <f t="shared" si="17"/>
        <v>0</v>
      </c>
      <c r="BH83">
        <f t="shared" si="18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2" cm="1">
        <f t="array" ref="BJ83">$G$13+VLOOKUP($R83,武学奇术!$A:$ZZ,14,FALSE)+SUM(_xlfn.XLOOKUP($S83:$AL83,增益!$A:$A,增益!$N:$N,0))</f>
        <v>0</v>
      </c>
      <c r="BK83">
        <f t="shared" si="19"/>
        <v>571.2</v>
      </c>
      <c r="BL83">
        <f t="shared" si="20"/>
        <v>1627.8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2" cm="1">
        <f t="array" ref="BN83">$G$14+VLOOKUP($R83,武学奇术!$A:$ZZ,16,FALSE)+SUM(_xlfn.XLOOKUP($S83:$AL83,增益!$A:$A,增益!$P:$P,0))</f>
        <v>0.15</v>
      </c>
      <c r="BO83" s="26">
        <f>MIN(IF(VLOOKUP($R83,武学奇术!$A:$ZZ,23,FALSE)=1,100%,$B$8),100%)</f>
        <v>1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1</v>
      </c>
      <c r="BQ83" s="26" cm="1">
        <f t="array" ref="BQ83">1+$B$13+VLOOKUP($R83,武学奇术!$A:$ZZ,18,FALSE)+SUM(_xlfn.XLOOKUP($S83:$AL83,增益!$A:$A,增益!$R:$R,0))</f>
        <v>1.91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</v>
      </c>
      <c r="BS83" s="26" cm="1">
        <f t="array" ref="BS83">1+$B$14+VLOOKUP($R83,武学奇术!$A:$ZZ,20,FALSE)+SUM(_xlfn.XLOOKUP($S83:$AL83,增益!$A:$A,增益!$T:$T,0))</f>
        <v>1.35</v>
      </c>
      <c r="BT83" s="26">
        <f t="shared" si="21"/>
        <v>1</v>
      </c>
      <c r="BU83" s="26">
        <f t="shared" si="22"/>
        <v>0</v>
      </c>
      <c r="BV83" s="26">
        <f>IF(VLOOKUP($R83,武学奇术!$A:$ZZ,22,FALSE)=1,0,(1-$BO83))*(1-$BR83)</f>
        <v>0</v>
      </c>
      <c r="BW83" s="26" cm="1">
        <f t="array" ref="BW83">SUM(_xlfn.XLOOKUP($S83:$AL83,增益!$A:$A,增益!$W:$W,0))+$I$5</f>
        <v>0.11</v>
      </c>
      <c r="BX83" s="26" cm="1">
        <f t="array" ref="BX83">SUM(_xlfn.XLOOKUP($S83:$AL83,增益!$A:$A,增益!$X:$X,0))</f>
        <v>0</v>
      </c>
    </row>
    <row r="84" spans="1:76">
      <c r="A84" s="4"/>
      <c r="B84" s="4"/>
      <c r="K84">
        <f>$L84*VLOOKUP($R84,武学奇术!$A:$ZZ,31,FALSE)</f>
        <v>107802.702306007</v>
      </c>
      <c r="L84" s="89">
        <f>(SUM(L65:L83)+L158+L159)*12%*(1+BX84)</f>
        <v>205338.480582871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</f>
        <v>0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</f>
        <v>0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</f>
        <v>0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</f>
        <v>0</v>
      </c>
      <c r="Q84" s="39">
        <v>1</v>
      </c>
      <c r="R84" s="40" t="s">
        <v>175</v>
      </c>
      <c r="S84" s="40" t="s">
        <v>78</v>
      </c>
      <c r="T84" s="40" t="s">
        <v>78</v>
      </c>
      <c r="U84" s="40" t="s">
        <v>78</v>
      </c>
      <c r="V84" s="40" t="s">
        <v>78</v>
      </c>
      <c r="W84" s="40" t="s">
        <v>78</v>
      </c>
      <c r="X84" s="40" t="s">
        <v>78</v>
      </c>
      <c r="Y84" s="40" t="s">
        <v>78</v>
      </c>
      <c r="Z84" s="40" t="s">
        <v>78</v>
      </c>
      <c r="AA84" s="40" t="s">
        <v>78</v>
      </c>
      <c r="AB84" s="40" t="s">
        <v>78</v>
      </c>
      <c r="AC84" s="40" t="s">
        <v>78</v>
      </c>
      <c r="AD84" s="40" t="s">
        <v>78</v>
      </c>
      <c r="AE84" s="40" t="s">
        <v>78</v>
      </c>
      <c r="AF84" s="40" t="s">
        <v>78</v>
      </c>
      <c r="AG84" s="40" t="s">
        <v>85</v>
      </c>
      <c r="AH84" s="40" t="s">
        <v>78</v>
      </c>
      <c r="AI84" s="40" t="s">
        <v>78</v>
      </c>
      <c r="AJ84" s="40" t="s">
        <v>78</v>
      </c>
      <c r="AK84" s="40" t="s">
        <v>78</v>
      </c>
      <c r="AL84" s="40" t="s">
        <v>78</v>
      </c>
      <c r="AM84" t="str">
        <f>VLOOKUP($R84,武学奇术!$A:$ZZ,25,FALSE)</f>
        <v>心法</v>
      </c>
      <c r="AN84" s="26">
        <f>VLOOKUP($R84,武学奇术!$A:$ZZ,26,FALSE)</f>
        <v>0</v>
      </c>
      <c r="AO84" s="27">
        <f>VLOOKUP($R84,武学奇术!$A:$ZZ,27,FALSE)*(1+IF(OR($AM84=$F$4,$AM84=$F$5),$B$22,0))</f>
        <v>0</v>
      </c>
      <c r="AP84" s="26">
        <f>VLOOKUP($R84,武学奇术!$A:$ZZ,28,FALSE)</f>
        <v>0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0.1037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3574.6</v>
      </c>
      <c r="AU84" cm="1">
        <f t="array" ref="AU84">$E$10*(1+$AS84)+VLOOKUP($R84,武学奇术!$A:$ZZ,4,FALSE)+SUM(_xlfn.XLOOKUP($S84:$AL84,增益!$A:$A,增益!$D:$D,0))-$I$2</f>
        <v>3574.6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0.1925</v>
      </c>
      <c r="AW84" s="32" cm="1">
        <f t="array" ref="AW84">$G$10+VLOOKUP($R84,武学奇术!$A:$ZZ,7,FALSE)+SUM(_xlfn.XLOOKUP($S84:$AL84,增益!$A:$A,增益!$G:$G,0))</f>
        <v>0.028</v>
      </c>
      <c r="AX84" s="26" cm="1">
        <f t="array" ref="AX84">VLOOKUP($R84,武学奇术!$A:$ZZ,8,FALSE)+SUM(_xlfn.XLOOKUP($S84:$AL84,增益!$A:$A,增益!$H:$H,0))</f>
        <v>0</v>
      </c>
      <c r="AY84">
        <f t="shared" si="13"/>
        <v>0</v>
      </c>
      <c r="AZ84">
        <f t="shared" si="14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2" cm="1">
        <f t="array" ref="BB84">$G$11+VLOOKUP($R84,武学奇术!$A:$ZZ,10,FALSE)+SUM(_xlfn.XLOOKUP($S84:$AL84,增益!$A:$A,增益!$J:$J,0))</f>
        <v>0</v>
      </c>
      <c r="BC84">
        <f t="shared" si="15"/>
        <v>0</v>
      </c>
      <c r="BD84">
        <f t="shared" si="16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2" cm="1">
        <f t="array" ref="BF84">$G$12+VLOOKUP($R84,武学奇术!$A:$ZZ,12,FALSE)+SUM(_xlfn.XLOOKUP($S84:$AL84,增益!$A:$A,增益!$L:$L,0))</f>
        <v>0</v>
      </c>
      <c r="BG84">
        <f t="shared" si="17"/>
        <v>0</v>
      </c>
      <c r="BH84">
        <f t="shared" si="18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2" cm="1">
        <f t="array" ref="BJ84">$G$13+VLOOKUP($R84,武学奇术!$A:$ZZ,14,FALSE)+SUM(_xlfn.XLOOKUP($S84:$AL84,增益!$A:$A,增益!$N:$N,0))</f>
        <v>0</v>
      </c>
      <c r="BK84">
        <f t="shared" si="19"/>
        <v>571.2</v>
      </c>
      <c r="BL84">
        <f t="shared" si="20"/>
        <v>1627.8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2" cm="1">
        <f t="array" ref="BN84">$G$14+VLOOKUP($R84,武学奇术!$A:$ZZ,16,FALSE)+SUM(_xlfn.XLOOKUP($S84:$AL84,增益!$A:$A,增益!$P:$P,0))</f>
        <v>0.15</v>
      </c>
      <c r="BO84" s="26">
        <f>MIN(IF(VLOOKUP($R84,武学奇术!$A:$ZZ,23,FALSE)=1,100%,$B$8),100%)</f>
        <v>0.981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0.846</v>
      </c>
      <c r="BQ84" s="26" cm="1">
        <f t="array" ref="BQ84">1+$B$13+VLOOKUP($R84,武学奇术!$A:$ZZ,18,FALSE)+SUM(_xlfn.XLOOKUP($S84:$AL84,增益!$A:$A,增益!$R:$R,0))</f>
        <v>1.54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0.0929</v>
      </c>
      <c r="BS84" s="26" cm="1">
        <f t="array" ref="BS84">1+$B$14+VLOOKUP($R84,武学奇术!$A:$ZZ,20,FALSE)+SUM(_xlfn.XLOOKUP($S84:$AL84,增益!$A:$A,增益!$T:$T,0))</f>
        <v>1.35</v>
      </c>
      <c r="BT84" s="26">
        <f t="shared" si="21"/>
        <v>0.829926</v>
      </c>
      <c r="BU84" s="26">
        <f t="shared" si="22"/>
        <v>0.0599391</v>
      </c>
      <c r="BV84" s="26">
        <f>IF(VLOOKUP($R84,武学奇术!$A:$ZZ,22,FALSE)=1,0,(1-$BO84))*(1-$BR84)</f>
        <v>0.0172349</v>
      </c>
      <c r="BW84" s="26" cm="1">
        <f t="array" ref="BW84">SUM(_xlfn.XLOOKUP($S84:$AL84,增益!$A:$A,增益!$W:$W,0))+$I$5</f>
        <v>0.11</v>
      </c>
      <c r="BX84" s="26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75044.2566884314</v>
      </c>
      <c r="L85" s="38">
        <f t="shared" ref="L85:L100" si="23">($M85*$BT85+$N85*$BR85+$O85*$BU85+$P85*$BV85)</f>
        <v>71470.7206556489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</f>
        <v>75811.3457841023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</f>
        <v>59970.6700130844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</f>
        <v>39691.8040754462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</f>
        <v>34960.8896226818</v>
      </c>
      <c r="Q85" s="39">
        <v>1</v>
      </c>
      <c r="R85" s="40" t="s">
        <v>115</v>
      </c>
      <c r="S85" s="40" t="s">
        <v>116</v>
      </c>
      <c r="T85" s="40" t="s">
        <v>102</v>
      </c>
      <c r="U85" s="40" t="s">
        <v>79</v>
      </c>
      <c r="V85" s="40" t="s">
        <v>88</v>
      </c>
      <c r="W85" s="40" t="s">
        <v>181</v>
      </c>
      <c r="X85" s="40" t="s">
        <v>106</v>
      </c>
      <c r="Y85" s="40" t="s">
        <v>78</v>
      </c>
      <c r="Z85" s="40" t="s">
        <v>78</v>
      </c>
      <c r="AA85" s="40" t="s">
        <v>78</v>
      </c>
      <c r="AB85" s="40" t="s">
        <v>78</v>
      </c>
      <c r="AC85" s="40" t="s">
        <v>78</v>
      </c>
      <c r="AD85" s="40" t="s">
        <v>78</v>
      </c>
      <c r="AE85" s="40" t="s">
        <v>78</v>
      </c>
      <c r="AF85" s="40" t="s">
        <v>78</v>
      </c>
      <c r="AG85" s="40" t="s">
        <v>85</v>
      </c>
      <c r="AH85" s="40" t="s">
        <v>78</v>
      </c>
      <c r="AI85" s="40" t="s">
        <v>78</v>
      </c>
      <c r="AJ85" s="40" t="s">
        <v>78</v>
      </c>
      <c r="AK85" s="40" t="s">
        <v>78</v>
      </c>
      <c r="AL85" s="40" t="s">
        <v>78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750</v>
      </c>
      <c r="AP85" s="26">
        <f>VLOOKUP($R85,武学奇术!$A:$ZZ,28,FALSE)</f>
        <v>2.7126</v>
      </c>
      <c r="AQ85" s="27">
        <f>VLOOKUP($R85,武学奇术!$A:$ZZ,29,FALSE)*(1+IF(OR($AM85=$F$4,$AM85=$F$5),$B$22,0))</f>
        <v>408</v>
      </c>
      <c r="AR85" s="26" cm="1">
        <f t="array" ref="AR85">$G$3+IFERROR(VLOOKUP($AM85,$F$4:$G$7,2,FALSE),0)+VLOOKUP($R85,武学奇术!$A:$ZZ,2,FALSE)+SUM(_xlfn.XLOOKUP($S85:$AL85,增益!$A:$A,增益!$B:$B,0))</f>
        <v>0.7741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3574.6</v>
      </c>
      <c r="AU85" cm="1">
        <f t="array" ref="AU85">$E$10*(1+$AS85)+VLOOKUP($R85,武学奇术!$A:$ZZ,4,FALSE)+SUM(_xlfn.XLOOKUP($S85:$AL85,增益!$A:$A,增益!$D:$D,0))-$I$2</f>
        <v>3574.6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0.2925</v>
      </c>
      <c r="AW85" s="32" cm="1">
        <f t="array" ref="AW85">$G$10+VLOOKUP($R85,武学奇术!$A:$ZZ,7,FALSE)+SUM(_xlfn.XLOOKUP($S85:$AL85,增益!$A:$A,增益!$G:$G,0))</f>
        <v>0.148</v>
      </c>
      <c r="AX85" s="26" cm="1">
        <f t="array" ref="AX85">VLOOKUP($R85,武学奇术!$A:$ZZ,8,FALSE)+SUM(_xlfn.XLOOKUP($S85:$AL85,增益!$A:$A,增益!$H:$H,0))</f>
        <v>0</v>
      </c>
      <c r="AY85">
        <f t="shared" si="13"/>
        <v>0</v>
      </c>
      <c r="AZ85">
        <f t="shared" si="14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2" cm="1">
        <f t="array" ref="BB85">$G$11+VLOOKUP($R85,武学奇术!$A:$ZZ,10,FALSE)+SUM(_xlfn.XLOOKUP($S85:$AL85,增益!$A:$A,增益!$J:$J,0))</f>
        <v>0</v>
      </c>
      <c r="BC85">
        <f t="shared" si="15"/>
        <v>0</v>
      </c>
      <c r="BD85">
        <f t="shared" si="16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2" cm="1">
        <f t="array" ref="BF85">$G$12+VLOOKUP($R85,武学奇术!$A:$ZZ,12,FALSE)+SUM(_xlfn.XLOOKUP($S85:$AL85,增益!$A:$A,增益!$L:$L,0))</f>
        <v>0</v>
      </c>
      <c r="BG85">
        <f t="shared" si="17"/>
        <v>0</v>
      </c>
      <c r="BH85">
        <f t="shared" si="18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2" cm="1">
        <f t="array" ref="BJ85">$G$13+VLOOKUP($R85,武学奇术!$A:$ZZ,14,FALSE)+SUM(_xlfn.XLOOKUP($S85:$AL85,增益!$A:$A,增益!$N:$N,0))</f>
        <v>0</v>
      </c>
      <c r="BK85">
        <f t="shared" si="19"/>
        <v>571.2</v>
      </c>
      <c r="BL85">
        <f t="shared" si="20"/>
        <v>1627.8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2" cm="1">
        <f t="array" ref="BN85">$G$14+VLOOKUP($R85,武学奇术!$A:$ZZ,16,FALSE)+SUM(_xlfn.XLOOKUP($S85:$AL85,增益!$A:$A,增益!$P:$P,0))</f>
        <v>0.27</v>
      </c>
      <c r="BO85" s="26">
        <f>MIN(IF(VLOOKUP($R85,武学奇术!$A:$ZZ,23,FALSE)=1,100%,$B$8),100%)</f>
        <v>0.981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0.846</v>
      </c>
      <c r="BQ85" s="26" cm="1">
        <f t="array" ref="BQ85">1+$B$13+VLOOKUP($R85,武学奇术!$A:$ZZ,18,FALSE)+SUM(_xlfn.XLOOKUP($S85:$AL85,增益!$A:$A,增益!$R:$R,0))</f>
        <v>1.91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0.0929</v>
      </c>
      <c r="BS85" s="26" cm="1">
        <f t="array" ref="BS85">1+$B$14+VLOOKUP($R85,武学奇术!$A:$ZZ,20,FALSE)+SUM(_xlfn.XLOOKUP($S85:$AL85,增益!$A:$A,增益!$T:$T,0))</f>
        <v>1.35</v>
      </c>
      <c r="BT85" s="26">
        <f t="shared" si="21"/>
        <v>0.829926</v>
      </c>
      <c r="BU85" s="26">
        <f t="shared" si="22"/>
        <v>0.0599391</v>
      </c>
      <c r="BV85" s="26">
        <f>IF(VLOOKUP($R85,武学奇术!$A:$ZZ,22,FALSE)=1,0,(1-$BO85))*(1-$BR85)</f>
        <v>0.0172349</v>
      </c>
      <c r="BW85" s="26" cm="1">
        <f t="array" ref="BW85">SUM(_xlfn.XLOOKUP($S85:$AL85,增益!$A:$A,增益!$W:$W,0))+$I$5</f>
        <v>0.11</v>
      </c>
      <c r="BX85" s="26" cm="1">
        <f t="array" ref="BX85">SUM(_xlfn.XLOOKUP($S85:$AL85,增益!$A:$A,增益!$X:$X,0))</f>
        <v>0</v>
      </c>
    </row>
    <row r="86" spans="1:76">
      <c r="A86" s="4"/>
      <c r="B86" s="4"/>
      <c r="K86">
        <f>$L86*VLOOKUP($R86,武学奇术!$A:$ZZ,31,FALSE)</f>
        <v>43741.0708863231</v>
      </c>
      <c r="L86" s="38">
        <f t="shared" si="23"/>
        <v>41658.1627488792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</f>
        <v>44143.5289863742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</f>
        <v>35445.1561931611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</f>
        <v>23111.7952808242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</f>
        <v>19967.9193074549</v>
      </c>
      <c r="Q86" s="39">
        <v>2</v>
      </c>
      <c r="R86" s="40" t="s">
        <v>119</v>
      </c>
      <c r="S86" s="40" t="s">
        <v>116</v>
      </c>
      <c r="T86" s="40" t="s">
        <v>102</v>
      </c>
      <c r="U86" s="40" t="s">
        <v>79</v>
      </c>
      <c r="V86" s="40" t="s">
        <v>88</v>
      </c>
      <c r="W86" s="40" t="s">
        <v>181</v>
      </c>
      <c r="X86" s="40" t="s">
        <v>106</v>
      </c>
      <c r="Y86" s="40" t="s">
        <v>78</v>
      </c>
      <c r="Z86" s="40" t="s">
        <v>78</v>
      </c>
      <c r="AA86" s="40" t="s">
        <v>78</v>
      </c>
      <c r="AB86" s="40" t="s">
        <v>78</v>
      </c>
      <c r="AC86" s="40" t="s">
        <v>78</v>
      </c>
      <c r="AD86" s="40" t="s">
        <v>78</v>
      </c>
      <c r="AE86" s="40" t="s">
        <v>78</v>
      </c>
      <c r="AF86" s="40" t="s">
        <v>78</v>
      </c>
      <c r="AG86" s="40" t="s">
        <v>85</v>
      </c>
      <c r="AH86" s="40" t="s">
        <v>78</v>
      </c>
      <c r="AI86" s="40" t="s">
        <v>78</v>
      </c>
      <c r="AJ86" s="40" t="s">
        <v>78</v>
      </c>
      <c r="AK86" s="40" t="s">
        <v>78</v>
      </c>
      <c r="AL86" s="40" t="s">
        <v>78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0.9741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3574.6</v>
      </c>
      <c r="AU86" cm="1">
        <f t="array" ref="AU86">$E$10*(1+$AS86)+VLOOKUP($R86,武学奇术!$A:$ZZ,4,FALSE)+SUM(_xlfn.XLOOKUP($S86:$AL86,增益!$A:$A,增益!$D:$D,0))-$I$2</f>
        <v>3574.6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0.2925</v>
      </c>
      <c r="AW86" s="32" cm="1">
        <f t="array" ref="AW86">$G$10+VLOOKUP($R86,武学奇术!$A:$ZZ,7,FALSE)+SUM(_xlfn.XLOOKUP($S86:$AL86,增益!$A:$A,增益!$G:$G,0))</f>
        <v>0.148</v>
      </c>
      <c r="AX86" s="26" cm="1">
        <f t="array" ref="AX86">VLOOKUP($R86,武学奇术!$A:$ZZ,8,FALSE)+SUM(_xlfn.XLOOKUP($S86:$AL86,增益!$A:$A,增益!$H:$H,0))</f>
        <v>0</v>
      </c>
      <c r="AY86">
        <f t="shared" si="13"/>
        <v>0</v>
      </c>
      <c r="AZ86">
        <f t="shared" si="14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2" cm="1">
        <f t="array" ref="BB86">$G$11+VLOOKUP($R86,武学奇术!$A:$ZZ,10,FALSE)+SUM(_xlfn.XLOOKUP($S86:$AL86,增益!$A:$A,增益!$J:$J,0))</f>
        <v>0</v>
      </c>
      <c r="BC86">
        <f t="shared" si="15"/>
        <v>0</v>
      </c>
      <c r="BD86">
        <f t="shared" si="16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2" cm="1">
        <f t="array" ref="BF86">$G$12+VLOOKUP($R86,武学奇术!$A:$ZZ,12,FALSE)+SUM(_xlfn.XLOOKUP($S86:$AL86,增益!$A:$A,增益!$L:$L,0))</f>
        <v>0</v>
      </c>
      <c r="BG86">
        <f t="shared" si="17"/>
        <v>0</v>
      </c>
      <c r="BH86">
        <f t="shared" si="18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2" cm="1">
        <f t="array" ref="BJ86">$G$13+VLOOKUP($R86,武学奇术!$A:$ZZ,14,FALSE)+SUM(_xlfn.XLOOKUP($S86:$AL86,增益!$A:$A,增益!$N:$N,0))</f>
        <v>0</v>
      </c>
      <c r="BK86">
        <f t="shared" si="19"/>
        <v>571.2</v>
      </c>
      <c r="BL86">
        <f t="shared" si="20"/>
        <v>1627.8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2" cm="1">
        <f t="array" ref="BN86">$G$14+VLOOKUP($R86,武学奇术!$A:$ZZ,16,FALSE)+SUM(_xlfn.XLOOKUP($S86:$AL86,增益!$A:$A,增益!$P:$P,0))</f>
        <v>0.27</v>
      </c>
      <c r="BO86" s="26">
        <f>MIN(IF(VLOOKUP($R86,武学奇术!$A:$ZZ,23,FALSE)=1,100%,$B$8),100%)</f>
        <v>0.981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0.846</v>
      </c>
      <c r="BQ86" s="26" cm="1">
        <f t="array" ref="BQ86">1+$B$13+VLOOKUP($R86,武学奇术!$A:$ZZ,18,FALSE)+SUM(_xlfn.XLOOKUP($S86:$AL86,增益!$A:$A,增益!$R:$R,0))</f>
        <v>1.91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0.0929</v>
      </c>
      <c r="BS86" s="26" cm="1">
        <f t="array" ref="BS86">1+$B$14+VLOOKUP($R86,武学奇术!$A:$ZZ,20,FALSE)+SUM(_xlfn.XLOOKUP($S86:$AL86,增益!$A:$A,增益!$T:$T,0))</f>
        <v>1.35</v>
      </c>
      <c r="BT86" s="26">
        <f t="shared" si="21"/>
        <v>0.829926</v>
      </c>
      <c r="BU86" s="26">
        <f t="shared" si="22"/>
        <v>0.0599391</v>
      </c>
      <c r="BV86" s="26">
        <f>IF(VLOOKUP($R86,武学奇术!$A:$ZZ,22,FALSE)=1,0,(1-$BO86))*(1-$BR86)</f>
        <v>0.0172349</v>
      </c>
      <c r="BW86" s="26" cm="1">
        <f t="array" ref="BW86">SUM(_xlfn.XLOOKUP($S86:$AL86,增益!$A:$A,增益!$W:$W,0))+$I$5</f>
        <v>0.11</v>
      </c>
      <c r="BX86" s="26" cm="1">
        <f t="array" ref="BX86">SUM(_xlfn.XLOOKUP($S86:$AL86,增益!$A:$A,增益!$X:$X,0))</f>
        <v>0</v>
      </c>
    </row>
    <row r="87" spans="1:76">
      <c r="K87">
        <f>$L87*VLOOKUP($R87,武学奇术!$A:$ZZ,31,FALSE)</f>
        <v>77119.5560803459</v>
      </c>
      <c r="L87" s="38">
        <f t="shared" si="23"/>
        <v>73447.1962669961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</f>
        <v>78192.8540286291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</f>
        <v>59970.6700130844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</f>
        <v>39691.8040754462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</f>
        <v>34960.8896226818</v>
      </c>
      <c r="Q87" s="39">
        <v>1</v>
      </c>
      <c r="R87" s="40" t="s">
        <v>115</v>
      </c>
      <c r="S87" s="40" t="s">
        <v>116</v>
      </c>
      <c r="T87" s="40" t="s">
        <v>102</v>
      </c>
      <c r="U87" s="40" t="s">
        <v>79</v>
      </c>
      <c r="V87" s="40" t="s">
        <v>88</v>
      </c>
      <c r="W87" s="40" t="s">
        <v>181</v>
      </c>
      <c r="X87" s="40" t="s">
        <v>106</v>
      </c>
      <c r="Y87" s="40" t="s">
        <v>78</v>
      </c>
      <c r="Z87" s="40" t="s">
        <v>78</v>
      </c>
      <c r="AA87" s="40" t="s">
        <v>78</v>
      </c>
      <c r="AB87" s="40" t="s">
        <v>122</v>
      </c>
      <c r="AC87" s="40" t="s">
        <v>78</v>
      </c>
      <c r="AD87" s="40" t="s">
        <v>78</v>
      </c>
      <c r="AE87" s="40" t="s">
        <v>78</v>
      </c>
      <c r="AF87" s="40" t="s">
        <v>78</v>
      </c>
      <c r="AG87" s="40" t="s">
        <v>85</v>
      </c>
      <c r="AH87" s="40" t="s">
        <v>78</v>
      </c>
      <c r="AI87" s="40" t="s">
        <v>78</v>
      </c>
      <c r="AJ87" s="40" t="s">
        <v>78</v>
      </c>
      <c r="AK87" s="40" t="s">
        <v>78</v>
      </c>
      <c r="AL87" s="40" t="s">
        <v>78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750</v>
      </c>
      <c r="AP87" s="26">
        <f>VLOOKUP($R87,武学奇术!$A:$ZZ,28,FALSE)</f>
        <v>2.7126</v>
      </c>
      <c r="AQ87" s="27">
        <f>VLOOKUP($R87,武学奇术!$A:$ZZ,29,FALSE)*(1+IF(OR($AM87=$F$4,$AM87=$F$5),$B$22,0))</f>
        <v>408</v>
      </c>
      <c r="AR87" s="26" cm="1">
        <f t="array" ref="AR87">$G$3+IFERROR(VLOOKUP($AM87,$F$4:$G$7,2,FALSE),0)+VLOOKUP($R87,武学奇术!$A:$ZZ,2,FALSE)+SUM(_xlfn.XLOOKUP($S87:$AL87,增益!$A:$A,增益!$B:$B,0))</f>
        <v>0.7741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3574.6</v>
      </c>
      <c r="AU87" cm="1">
        <f t="array" ref="AU87">$E$10*(1+$AS87)+VLOOKUP($R87,武学奇术!$A:$ZZ,4,FALSE)+SUM(_xlfn.XLOOKUP($S87:$AL87,增益!$A:$A,增益!$D:$D,0))-$I$2</f>
        <v>3574.6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0.2925</v>
      </c>
      <c r="AW87" s="32" cm="1">
        <f t="array" ref="AW87">$G$10+VLOOKUP($R87,武学奇术!$A:$ZZ,7,FALSE)+SUM(_xlfn.XLOOKUP($S87:$AL87,增益!$A:$A,增益!$G:$G,0))</f>
        <v>0.148</v>
      </c>
      <c r="AX87" s="26" cm="1">
        <f t="array" ref="AX87">VLOOKUP($R87,武学奇术!$A:$ZZ,8,FALSE)+SUM(_xlfn.XLOOKUP($S87:$AL87,增益!$A:$A,增益!$H:$H,0))</f>
        <v>0</v>
      </c>
      <c r="AY87">
        <f t="shared" si="13"/>
        <v>0</v>
      </c>
      <c r="AZ87">
        <f t="shared" si="14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2" cm="1">
        <f t="array" ref="BB87">$G$11+VLOOKUP($R87,武学奇术!$A:$ZZ,10,FALSE)+SUM(_xlfn.XLOOKUP($S87:$AL87,增益!$A:$A,增益!$J:$J,0))</f>
        <v>0</v>
      </c>
      <c r="BC87">
        <f t="shared" si="15"/>
        <v>0</v>
      </c>
      <c r="BD87">
        <f t="shared" si="16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2" cm="1">
        <f t="array" ref="BF87">$G$12+VLOOKUP($R87,武学奇术!$A:$ZZ,12,FALSE)+SUM(_xlfn.XLOOKUP($S87:$AL87,增益!$A:$A,增益!$L:$L,0))</f>
        <v>0</v>
      </c>
      <c r="BG87">
        <f t="shared" si="17"/>
        <v>0</v>
      </c>
      <c r="BH87">
        <f t="shared" si="18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2" cm="1">
        <f t="array" ref="BJ87">$G$13+VLOOKUP($R87,武学奇术!$A:$ZZ,14,FALSE)+SUM(_xlfn.XLOOKUP($S87:$AL87,增益!$A:$A,增益!$N:$N,0))</f>
        <v>0</v>
      </c>
      <c r="BK87">
        <f t="shared" si="19"/>
        <v>571.2</v>
      </c>
      <c r="BL87">
        <f t="shared" si="20"/>
        <v>1627.8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2" cm="1">
        <f t="array" ref="BN87">$G$14+VLOOKUP($R87,武学奇术!$A:$ZZ,16,FALSE)+SUM(_xlfn.XLOOKUP($S87:$AL87,增益!$A:$A,增益!$P:$P,0))</f>
        <v>0.27</v>
      </c>
      <c r="BO87" s="26">
        <f>MIN(IF(VLOOKUP($R87,武学奇术!$A:$ZZ,23,FALSE)=1,100%,$B$8),100%)</f>
        <v>0.981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0.846</v>
      </c>
      <c r="BQ87" s="26" cm="1">
        <f t="array" ref="BQ87">1+$B$13+VLOOKUP($R87,武学奇术!$A:$ZZ,18,FALSE)+SUM(_xlfn.XLOOKUP($S87:$AL87,增益!$A:$A,增益!$R:$R,0))</f>
        <v>1.97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0.0929</v>
      </c>
      <c r="BS87" s="26" cm="1">
        <f t="array" ref="BS87">1+$B$14+VLOOKUP($R87,武学奇术!$A:$ZZ,20,FALSE)+SUM(_xlfn.XLOOKUP($S87:$AL87,增益!$A:$A,增益!$T:$T,0))</f>
        <v>1.35</v>
      </c>
      <c r="BT87" s="26">
        <f t="shared" si="21"/>
        <v>0.829926</v>
      </c>
      <c r="BU87" s="26">
        <f t="shared" si="22"/>
        <v>0.0599391</v>
      </c>
      <c r="BV87" s="26">
        <f>IF(VLOOKUP($R87,武学奇术!$A:$ZZ,22,FALSE)=1,0,(1-$BO87))*(1-$BR87)</f>
        <v>0.0172349</v>
      </c>
      <c r="BW87" s="26" cm="1">
        <f t="array" ref="BW87">SUM(_xlfn.XLOOKUP($S87:$AL87,增益!$A:$A,增益!$W:$W,0))+$I$5</f>
        <v>0.11</v>
      </c>
      <c r="BX87" s="26" cm="1">
        <f t="array" ref="BX87">SUM(_xlfn.XLOOKUP($S87:$AL87,增益!$A:$A,增益!$X:$X,0))</f>
        <v>0</v>
      </c>
    </row>
    <row r="88" spans="1:76">
      <c r="K88">
        <f>$L88*VLOOKUP($R88,武学奇术!$A:$ZZ,31,FALSE)</f>
        <v>44949.4789143678</v>
      </c>
      <c r="L88" s="38">
        <f t="shared" si="23"/>
        <v>42809.0275374932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</f>
        <v>45530.2367032236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</f>
        <v>35445.1561931611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</f>
        <v>23111.7952808242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</f>
        <v>19967.9193074549</v>
      </c>
      <c r="Q88" s="39">
        <v>2</v>
      </c>
      <c r="R88" s="40" t="s">
        <v>119</v>
      </c>
      <c r="S88" s="40" t="s">
        <v>116</v>
      </c>
      <c r="T88" s="40" t="s">
        <v>102</v>
      </c>
      <c r="U88" s="40" t="s">
        <v>79</v>
      </c>
      <c r="V88" s="40" t="s">
        <v>88</v>
      </c>
      <c r="W88" s="40" t="s">
        <v>181</v>
      </c>
      <c r="X88" s="40" t="s">
        <v>106</v>
      </c>
      <c r="Y88" s="40" t="s">
        <v>78</v>
      </c>
      <c r="Z88" s="40" t="s">
        <v>78</v>
      </c>
      <c r="AA88" s="40" t="s">
        <v>78</v>
      </c>
      <c r="AB88" s="40" t="s">
        <v>122</v>
      </c>
      <c r="AC88" s="40" t="s">
        <v>78</v>
      </c>
      <c r="AD88" s="40" t="s">
        <v>78</v>
      </c>
      <c r="AE88" s="40" t="s">
        <v>78</v>
      </c>
      <c r="AF88" s="40" t="s">
        <v>78</v>
      </c>
      <c r="AG88" s="40" t="s">
        <v>85</v>
      </c>
      <c r="AH88" s="40" t="s">
        <v>78</v>
      </c>
      <c r="AI88" s="40" t="s">
        <v>78</v>
      </c>
      <c r="AJ88" s="40" t="s">
        <v>78</v>
      </c>
      <c r="AK88" s="40" t="s">
        <v>78</v>
      </c>
      <c r="AL88" s="40" t="s">
        <v>78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0.9741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3574.6</v>
      </c>
      <c r="AU88" cm="1">
        <f t="array" ref="AU88">$E$10*(1+$AS88)+VLOOKUP($R88,武学奇术!$A:$ZZ,4,FALSE)+SUM(_xlfn.XLOOKUP($S88:$AL88,增益!$A:$A,增益!$D:$D,0))-$I$2</f>
        <v>3574.6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0.2925</v>
      </c>
      <c r="AW88" s="32" cm="1">
        <f t="array" ref="AW88">$G$10+VLOOKUP($R88,武学奇术!$A:$ZZ,7,FALSE)+SUM(_xlfn.XLOOKUP($S88:$AL88,增益!$A:$A,增益!$G:$G,0))</f>
        <v>0.148</v>
      </c>
      <c r="AX88" s="26" cm="1">
        <f t="array" ref="AX88">VLOOKUP($R88,武学奇术!$A:$ZZ,8,FALSE)+SUM(_xlfn.XLOOKUP($S88:$AL88,增益!$A:$A,增益!$H:$H,0))</f>
        <v>0</v>
      </c>
      <c r="AY88">
        <f t="shared" si="13"/>
        <v>0</v>
      </c>
      <c r="AZ88">
        <f t="shared" si="14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2" cm="1">
        <f t="array" ref="BB88">$G$11+VLOOKUP($R88,武学奇术!$A:$ZZ,10,FALSE)+SUM(_xlfn.XLOOKUP($S88:$AL88,增益!$A:$A,增益!$J:$J,0))</f>
        <v>0</v>
      </c>
      <c r="BC88">
        <f t="shared" si="15"/>
        <v>0</v>
      </c>
      <c r="BD88">
        <f t="shared" si="16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2" cm="1">
        <f t="array" ref="BF88">$G$12+VLOOKUP($R88,武学奇术!$A:$ZZ,12,FALSE)+SUM(_xlfn.XLOOKUP($S88:$AL88,增益!$A:$A,增益!$L:$L,0))</f>
        <v>0</v>
      </c>
      <c r="BG88">
        <f t="shared" si="17"/>
        <v>0</v>
      </c>
      <c r="BH88">
        <f t="shared" si="18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2" cm="1">
        <f t="array" ref="BJ88">$G$13+VLOOKUP($R88,武学奇术!$A:$ZZ,14,FALSE)+SUM(_xlfn.XLOOKUP($S88:$AL88,增益!$A:$A,增益!$N:$N,0))</f>
        <v>0</v>
      </c>
      <c r="BK88">
        <f t="shared" si="19"/>
        <v>571.2</v>
      </c>
      <c r="BL88">
        <f t="shared" si="20"/>
        <v>1627.8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2" cm="1">
        <f t="array" ref="BN88">$G$14+VLOOKUP($R88,武学奇术!$A:$ZZ,16,FALSE)+SUM(_xlfn.XLOOKUP($S88:$AL88,增益!$A:$A,增益!$P:$P,0))</f>
        <v>0.27</v>
      </c>
      <c r="BO88" s="26">
        <f>MIN(IF(VLOOKUP($R88,武学奇术!$A:$ZZ,23,FALSE)=1,100%,$B$8),100%)</f>
        <v>0.981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0.846</v>
      </c>
      <c r="BQ88" s="26" cm="1">
        <f t="array" ref="BQ88">1+$B$13+VLOOKUP($R88,武学奇术!$A:$ZZ,18,FALSE)+SUM(_xlfn.XLOOKUP($S88:$AL88,增益!$A:$A,增益!$R:$R,0))</f>
        <v>1.97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0.0929</v>
      </c>
      <c r="BS88" s="26" cm="1">
        <f t="array" ref="BS88">1+$B$14+VLOOKUP($R88,武学奇术!$A:$ZZ,20,FALSE)+SUM(_xlfn.XLOOKUP($S88:$AL88,增益!$A:$A,增益!$T:$T,0))</f>
        <v>1.35</v>
      </c>
      <c r="BT88" s="26">
        <f t="shared" si="21"/>
        <v>0.829926</v>
      </c>
      <c r="BU88" s="26">
        <f t="shared" si="22"/>
        <v>0.0599391</v>
      </c>
      <c r="BV88" s="26">
        <f>IF(VLOOKUP($R88,武学奇术!$A:$ZZ,22,FALSE)=1,0,(1-$BO88))*(1-$BR88)</f>
        <v>0.0172349</v>
      </c>
      <c r="BW88" s="26" cm="1">
        <f t="array" ref="BW88">SUM(_xlfn.XLOOKUP($S88:$AL88,增益!$A:$A,增益!$W:$W,0))+$I$5</f>
        <v>0.11</v>
      </c>
      <c r="BX88" s="26" cm="1">
        <f t="array" ref="BX88">SUM(_xlfn.XLOOKUP($S88:$AL88,增益!$A:$A,增益!$X:$X,0))</f>
        <v>0</v>
      </c>
    </row>
    <row r="89" spans="1:76">
      <c r="K89">
        <f>$L89*VLOOKUP($R89,武学奇术!$A:$ZZ,31,FALSE)</f>
        <v>79194.8554722603</v>
      </c>
      <c r="L89" s="38">
        <f t="shared" si="23"/>
        <v>75423.6718783432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</f>
        <v>80574.3622731558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</f>
        <v>59970.6700130844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</f>
        <v>39691.8040754462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</f>
        <v>34960.8896226818</v>
      </c>
      <c r="Q89" s="39">
        <v>1</v>
      </c>
      <c r="R89" s="40" t="s">
        <v>115</v>
      </c>
      <c r="S89" s="40" t="s">
        <v>116</v>
      </c>
      <c r="T89" s="40" t="s">
        <v>102</v>
      </c>
      <c r="U89" s="40" t="s">
        <v>79</v>
      </c>
      <c r="V89" s="40" t="s">
        <v>88</v>
      </c>
      <c r="W89" s="40" t="s">
        <v>181</v>
      </c>
      <c r="X89" s="40" t="s">
        <v>106</v>
      </c>
      <c r="Y89" s="40" t="s">
        <v>78</v>
      </c>
      <c r="Z89" s="40" t="s">
        <v>78</v>
      </c>
      <c r="AA89" s="40" t="s">
        <v>78</v>
      </c>
      <c r="AB89" s="40" t="s">
        <v>127</v>
      </c>
      <c r="AC89" s="40" t="s">
        <v>78</v>
      </c>
      <c r="AD89" s="40" t="s">
        <v>78</v>
      </c>
      <c r="AE89" s="40" t="s">
        <v>78</v>
      </c>
      <c r="AF89" s="40" t="s">
        <v>78</v>
      </c>
      <c r="AG89" s="40" t="s">
        <v>85</v>
      </c>
      <c r="AH89" s="40" t="s">
        <v>78</v>
      </c>
      <c r="AI89" s="40" t="s">
        <v>78</v>
      </c>
      <c r="AJ89" s="40" t="s">
        <v>78</v>
      </c>
      <c r="AK89" s="40" t="s">
        <v>78</v>
      </c>
      <c r="AL89" s="40" t="s">
        <v>78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750</v>
      </c>
      <c r="AP89" s="26">
        <f>VLOOKUP($R89,武学奇术!$A:$ZZ,28,FALSE)</f>
        <v>2.7126</v>
      </c>
      <c r="AQ89" s="27">
        <f>VLOOKUP($R89,武学奇术!$A:$ZZ,29,FALSE)*(1+IF(OR($AM89=$F$4,$AM89=$F$5),$B$22,0))</f>
        <v>408</v>
      </c>
      <c r="AR89" s="26" cm="1">
        <f t="array" ref="AR89">$G$3+IFERROR(VLOOKUP($AM89,$F$4:$G$7,2,FALSE),0)+VLOOKUP($R89,武学奇术!$A:$ZZ,2,FALSE)+SUM(_xlfn.XLOOKUP($S89:$AL89,增益!$A:$A,增益!$B:$B,0))</f>
        <v>0.7741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3574.6</v>
      </c>
      <c r="AU89" cm="1">
        <f t="array" ref="AU89">$E$10*(1+$AS89)+VLOOKUP($R89,武学奇术!$A:$ZZ,4,FALSE)+SUM(_xlfn.XLOOKUP($S89:$AL89,增益!$A:$A,增益!$D:$D,0))-$I$2</f>
        <v>3574.6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0.2925</v>
      </c>
      <c r="AW89" s="32" cm="1">
        <f t="array" ref="AW89">$G$10+VLOOKUP($R89,武学奇术!$A:$ZZ,7,FALSE)+SUM(_xlfn.XLOOKUP($S89:$AL89,增益!$A:$A,增益!$G:$G,0))</f>
        <v>0.148</v>
      </c>
      <c r="AX89" s="26" cm="1">
        <f t="array" ref="AX89">VLOOKUP($R89,武学奇术!$A:$ZZ,8,FALSE)+SUM(_xlfn.XLOOKUP($S89:$AL89,增益!$A:$A,增益!$H:$H,0))</f>
        <v>0</v>
      </c>
      <c r="AY89">
        <f t="shared" si="13"/>
        <v>0</v>
      </c>
      <c r="AZ89">
        <f t="shared" si="14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2" cm="1">
        <f t="array" ref="BB89">$G$11+VLOOKUP($R89,武学奇术!$A:$ZZ,10,FALSE)+SUM(_xlfn.XLOOKUP($S89:$AL89,增益!$A:$A,增益!$J:$J,0))</f>
        <v>0</v>
      </c>
      <c r="BC89">
        <f t="shared" si="15"/>
        <v>0</v>
      </c>
      <c r="BD89">
        <f t="shared" si="16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2" cm="1">
        <f t="array" ref="BF89">$G$12+VLOOKUP($R89,武学奇术!$A:$ZZ,12,FALSE)+SUM(_xlfn.XLOOKUP($S89:$AL89,增益!$A:$A,增益!$L:$L,0))</f>
        <v>0</v>
      </c>
      <c r="BG89">
        <f t="shared" si="17"/>
        <v>0</v>
      </c>
      <c r="BH89">
        <f t="shared" si="18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2" cm="1">
        <f t="array" ref="BJ89">$G$13+VLOOKUP($R89,武学奇术!$A:$ZZ,14,FALSE)+SUM(_xlfn.XLOOKUP($S89:$AL89,增益!$A:$A,增益!$N:$N,0))</f>
        <v>0</v>
      </c>
      <c r="BK89">
        <f t="shared" si="19"/>
        <v>571.2</v>
      </c>
      <c r="BL89">
        <f t="shared" si="20"/>
        <v>1627.8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2" cm="1">
        <f t="array" ref="BN89">$G$14+VLOOKUP($R89,武学奇术!$A:$ZZ,16,FALSE)+SUM(_xlfn.XLOOKUP($S89:$AL89,增益!$A:$A,增益!$P:$P,0))</f>
        <v>0.27</v>
      </c>
      <c r="BO89" s="26">
        <f>MIN(IF(VLOOKUP($R89,武学奇术!$A:$ZZ,23,FALSE)=1,100%,$B$8),100%)</f>
        <v>0.981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0.846</v>
      </c>
      <c r="BQ89" s="26" cm="1">
        <f t="array" ref="BQ89">1+$B$13+VLOOKUP($R89,武学奇术!$A:$ZZ,18,FALSE)+SUM(_xlfn.XLOOKUP($S89:$AL89,增益!$A:$A,增益!$R:$R,0))</f>
        <v>2.03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0.0929</v>
      </c>
      <c r="BS89" s="26" cm="1">
        <f t="array" ref="BS89">1+$B$14+VLOOKUP($R89,武学奇术!$A:$ZZ,20,FALSE)+SUM(_xlfn.XLOOKUP($S89:$AL89,增益!$A:$A,增益!$T:$T,0))</f>
        <v>1.35</v>
      </c>
      <c r="BT89" s="26">
        <f t="shared" si="21"/>
        <v>0.829926</v>
      </c>
      <c r="BU89" s="26">
        <f t="shared" si="22"/>
        <v>0.0599391</v>
      </c>
      <c r="BV89" s="26">
        <f>IF(VLOOKUP($R89,武学奇术!$A:$ZZ,22,FALSE)=1,0,(1-$BO89))*(1-$BR89)</f>
        <v>0.0172349</v>
      </c>
      <c r="BW89" s="26" cm="1">
        <f t="array" ref="BW89">SUM(_xlfn.XLOOKUP($S89:$AL89,增益!$A:$A,增益!$W:$W,0))+$I$5</f>
        <v>0.11</v>
      </c>
      <c r="BX89" s="26" cm="1">
        <f t="array" ref="BX89">SUM(_xlfn.XLOOKUP($S89:$AL89,增益!$A:$A,增益!$X:$X,0))</f>
        <v>0</v>
      </c>
    </row>
    <row r="90" spans="1:76">
      <c r="K90">
        <f>$L90*VLOOKUP($R90,武学奇术!$A:$ZZ,31,FALSE)</f>
        <v>46157.8869424125</v>
      </c>
      <c r="L90" s="38">
        <f t="shared" si="23"/>
        <v>43959.8923261072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</f>
        <v>46916.9444200731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</f>
        <v>35445.1561931611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</f>
        <v>23111.7952808242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</f>
        <v>19967.9193074549</v>
      </c>
      <c r="Q90" s="39">
        <v>2</v>
      </c>
      <c r="R90" s="40" t="s">
        <v>119</v>
      </c>
      <c r="S90" s="40" t="s">
        <v>116</v>
      </c>
      <c r="T90" s="40" t="s">
        <v>102</v>
      </c>
      <c r="U90" s="40" t="s">
        <v>79</v>
      </c>
      <c r="V90" s="40" t="s">
        <v>88</v>
      </c>
      <c r="W90" s="40" t="s">
        <v>181</v>
      </c>
      <c r="X90" s="40" t="s">
        <v>106</v>
      </c>
      <c r="Y90" s="40" t="s">
        <v>78</v>
      </c>
      <c r="Z90" s="40" t="s">
        <v>78</v>
      </c>
      <c r="AA90" s="40" t="s">
        <v>78</v>
      </c>
      <c r="AB90" s="40" t="s">
        <v>127</v>
      </c>
      <c r="AC90" s="40" t="s">
        <v>78</v>
      </c>
      <c r="AD90" s="40" t="s">
        <v>78</v>
      </c>
      <c r="AE90" s="40" t="s">
        <v>78</v>
      </c>
      <c r="AF90" s="40" t="s">
        <v>78</v>
      </c>
      <c r="AG90" s="40" t="s">
        <v>85</v>
      </c>
      <c r="AH90" s="40" t="s">
        <v>78</v>
      </c>
      <c r="AI90" s="40" t="s">
        <v>78</v>
      </c>
      <c r="AJ90" s="40" t="s">
        <v>78</v>
      </c>
      <c r="AK90" s="40" t="s">
        <v>78</v>
      </c>
      <c r="AL90" s="40" t="s">
        <v>78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0.9741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3574.6</v>
      </c>
      <c r="AU90" cm="1">
        <f t="array" ref="AU90">$E$10*(1+$AS90)+VLOOKUP($R90,武学奇术!$A:$ZZ,4,FALSE)+SUM(_xlfn.XLOOKUP($S90:$AL90,增益!$A:$A,增益!$D:$D,0))-$I$2</f>
        <v>3574.6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0.2925</v>
      </c>
      <c r="AW90" s="32" cm="1">
        <f t="array" ref="AW90">$G$10+VLOOKUP($R90,武学奇术!$A:$ZZ,7,FALSE)+SUM(_xlfn.XLOOKUP($S90:$AL90,增益!$A:$A,增益!$G:$G,0))</f>
        <v>0.148</v>
      </c>
      <c r="AX90" s="26" cm="1">
        <f t="array" ref="AX90">VLOOKUP($R90,武学奇术!$A:$ZZ,8,FALSE)+SUM(_xlfn.XLOOKUP($S90:$AL90,增益!$A:$A,增益!$H:$H,0))</f>
        <v>0</v>
      </c>
      <c r="AY90">
        <f t="shared" si="13"/>
        <v>0</v>
      </c>
      <c r="AZ90">
        <f t="shared" si="14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2" cm="1">
        <f t="array" ref="BB90">$G$11+VLOOKUP($R90,武学奇术!$A:$ZZ,10,FALSE)+SUM(_xlfn.XLOOKUP($S90:$AL90,增益!$A:$A,增益!$J:$J,0))</f>
        <v>0</v>
      </c>
      <c r="BC90">
        <f t="shared" si="15"/>
        <v>0</v>
      </c>
      <c r="BD90">
        <f t="shared" si="16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2" cm="1">
        <f t="array" ref="BF90">$G$12+VLOOKUP($R90,武学奇术!$A:$ZZ,12,FALSE)+SUM(_xlfn.XLOOKUP($S90:$AL90,增益!$A:$A,增益!$L:$L,0))</f>
        <v>0</v>
      </c>
      <c r="BG90">
        <f t="shared" si="17"/>
        <v>0</v>
      </c>
      <c r="BH90">
        <f t="shared" si="18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2" cm="1">
        <f t="array" ref="BJ90">$G$13+VLOOKUP($R90,武学奇术!$A:$ZZ,14,FALSE)+SUM(_xlfn.XLOOKUP($S90:$AL90,增益!$A:$A,增益!$N:$N,0))</f>
        <v>0</v>
      </c>
      <c r="BK90">
        <f t="shared" si="19"/>
        <v>571.2</v>
      </c>
      <c r="BL90">
        <f t="shared" si="20"/>
        <v>1627.8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2" cm="1">
        <f t="array" ref="BN90">$G$14+VLOOKUP($R90,武学奇术!$A:$ZZ,16,FALSE)+SUM(_xlfn.XLOOKUP($S90:$AL90,增益!$A:$A,增益!$P:$P,0))</f>
        <v>0.27</v>
      </c>
      <c r="BO90" s="26">
        <f>MIN(IF(VLOOKUP($R90,武学奇术!$A:$ZZ,23,FALSE)=1,100%,$B$8),100%)</f>
        <v>0.981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0.846</v>
      </c>
      <c r="BQ90" s="26" cm="1">
        <f t="array" ref="BQ90">1+$B$13+VLOOKUP($R90,武学奇术!$A:$ZZ,18,FALSE)+SUM(_xlfn.XLOOKUP($S90:$AL90,增益!$A:$A,增益!$R:$R,0))</f>
        <v>2.03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0.0929</v>
      </c>
      <c r="BS90" s="26" cm="1">
        <f t="array" ref="BS90">1+$B$14+VLOOKUP($R90,武学奇术!$A:$ZZ,20,FALSE)+SUM(_xlfn.XLOOKUP($S90:$AL90,增益!$A:$A,增益!$T:$T,0))</f>
        <v>1.35</v>
      </c>
      <c r="BT90" s="26">
        <f t="shared" si="21"/>
        <v>0.829926</v>
      </c>
      <c r="BU90" s="26">
        <f t="shared" si="22"/>
        <v>0.0599391</v>
      </c>
      <c r="BV90" s="26">
        <f>IF(VLOOKUP($R90,武学奇术!$A:$ZZ,22,FALSE)=1,0,(1-$BO90))*(1-$BR90)</f>
        <v>0.0172349</v>
      </c>
      <c r="BW90" s="26" cm="1">
        <f t="array" ref="BW90">SUM(_xlfn.XLOOKUP($S90:$AL90,增益!$A:$A,增益!$W:$W,0))+$I$5</f>
        <v>0.11</v>
      </c>
      <c r="BX90" s="26" cm="1">
        <f t="array" ref="BX90">SUM(_xlfn.XLOOKUP($S90:$AL90,增益!$A:$A,增益!$X:$X,0))</f>
        <v>0</v>
      </c>
    </row>
    <row r="91" spans="1:76">
      <c r="K91">
        <f>$L91*VLOOKUP($R91,武学奇术!$A:$ZZ,31,FALSE)</f>
        <v>191063.798083543</v>
      </c>
      <c r="L91" s="38">
        <f t="shared" si="23"/>
        <v>181965.521984327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</f>
        <v>181965.521984327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</f>
        <v>133462.7131197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</f>
        <v>88332.7776622946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</f>
        <v>77804.2863470336</v>
      </c>
      <c r="Q91" s="39">
        <v>2</v>
      </c>
      <c r="R91" s="40" t="s">
        <v>132</v>
      </c>
      <c r="S91" s="40" t="s">
        <v>116</v>
      </c>
      <c r="T91" s="40" t="s">
        <v>102</v>
      </c>
      <c r="U91" s="40" t="s">
        <v>79</v>
      </c>
      <c r="V91" s="40" t="s">
        <v>88</v>
      </c>
      <c r="W91" s="40" t="s">
        <v>181</v>
      </c>
      <c r="X91" s="40" t="s">
        <v>106</v>
      </c>
      <c r="Y91" s="40" t="s">
        <v>78</v>
      </c>
      <c r="Z91" s="40" t="s">
        <v>78</v>
      </c>
      <c r="AA91" s="40" t="s">
        <v>78</v>
      </c>
      <c r="AB91" s="40" t="s">
        <v>133</v>
      </c>
      <c r="AC91" s="40" t="s">
        <v>78</v>
      </c>
      <c r="AD91" s="40" t="s">
        <v>78</v>
      </c>
      <c r="AE91" s="40" t="s">
        <v>78</v>
      </c>
      <c r="AF91" s="40" t="s">
        <v>78</v>
      </c>
      <c r="AG91" s="40" t="s">
        <v>85</v>
      </c>
      <c r="AH91" s="40" t="s">
        <v>78</v>
      </c>
      <c r="AI91" s="40" t="s">
        <v>78</v>
      </c>
      <c r="AJ91" s="40" t="s">
        <v>78</v>
      </c>
      <c r="AK91" s="40" t="s">
        <v>78</v>
      </c>
      <c r="AL91" s="40" t="s">
        <v>78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750</v>
      </c>
      <c r="AP91" s="26">
        <f>VLOOKUP($R91,武学奇术!$A:$ZZ,28,FALSE)</f>
        <v>2.7126</v>
      </c>
      <c r="AQ91" s="27">
        <f>VLOOKUP($R91,武学奇术!$A:$ZZ,29,FALSE)*(1+IF(OR($AM91=$F$4,$AM91=$F$5),$B$22,0))</f>
        <v>408</v>
      </c>
      <c r="AR91" s="26" cm="1">
        <f t="array" ref="AR91">$G$3+IFERROR(VLOOKUP($AM91,$F$4:$G$7,2,FALSE),0)+VLOOKUP($R91,武学奇术!$A:$ZZ,2,FALSE)+SUM(_xlfn.XLOOKUP($S91:$AL91,增益!$A:$A,增益!$B:$B,0))</f>
        <v>0.9741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3574.6</v>
      </c>
      <c r="AU91" cm="1">
        <f t="array" ref="AU91">$E$10*(1+$AS91)+VLOOKUP($R91,武学奇术!$A:$ZZ,4,FALSE)+SUM(_xlfn.XLOOKUP($S91:$AL91,增益!$A:$A,增益!$D:$D,0))-$I$2</f>
        <v>3574.6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0.2925</v>
      </c>
      <c r="AW91" s="32" cm="1">
        <f t="array" ref="AW91">$G$10+VLOOKUP($R91,武学奇术!$A:$ZZ,7,FALSE)+SUM(_xlfn.XLOOKUP($S91:$AL91,增益!$A:$A,增益!$G:$G,0))</f>
        <v>0.148</v>
      </c>
      <c r="AX91" s="26" cm="1">
        <f t="array" ref="AX91">VLOOKUP($R91,武学奇术!$A:$ZZ,8,FALSE)+SUM(_xlfn.XLOOKUP($S91:$AL91,增益!$A:$A,增益!$H:$H,0))</f>
        <v>0</v>
      </c>
      <c r="AY91">
        <f t="shared" si="13"/>
        <v>0</v>
      </c>
      <c r="AZ91">
        <f t="shared" si="14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2" cm="1">
        <f t="array" ref="BB91">$G$11+VLOOKUP($R91,武学奇术!$A:$ZZ,10,FALSE)+SUM(_xlfn.XLOOKUP($S91:$AL91,增益!$A:$A,增益!$J:$J,0))</f>
        <v>0</v>
      </c>
      <c r="BC91">
        <f t="shared" si="15"/>
        <v>0</v>
      </c>
      <c r="BD91">
        <f t="shared" si="16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2" cm="1">
        <f t="array" ref="BF91">$G$12+VLOOKUP($R91,武学奇术!$A:$ZZ,12,FALSE)+SUM(_xlfn.XLOOKUP($S91:$AL91,增益!$A:$A,增益!$L:$L,0))</f>
        <v>0</v>
      </c>
      <c r="BG91">
        <f t="shared" si="17"/>
        <v>0</v>
      </c>
      <c r="BH91">
        <f t="shared" si="18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2" cm="1">
        <f t="array" ref="BJ91">$G$13+VLOOKUP($R91,武学奇术!$A:$ZZ,14,FALSE)+SUM(_xlfn.XLOOKUP($S91:$AL91,增益!$A:$A,增益!$N:$N,0))</f>
        <v>0</v>
      </c>
      <c r="BK91">
        <f t="shared" si="19"/>
        <v>571.2</v>
      </c>
      <c r="BL91">
        <f t="shared" si="20"/>
        <v>1627.8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2" cm="1">
        <f t="array" ref="BN91">$G$14+VLOOKUP($R91,武学奇术!$A:$ZZ,16,FALSE)+SUM(_xlfn.XLOOKUP($S91:$AL91,增益!$A:$A,增益!$P:$P,0))</f>
        <v>0.27</v>
      </c>
      <c r="BO91" s="26">
        <f>MIN(IF(VLOOKUP($R91,武学奇术!$A:$ZZ,23,FALSE)=1,100%,$B$8),100%)</f>
        <v>1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1</v>
      </c>
      <c r="BQ91" s="26" cm="1">
        <f t="array" ref="BQ91">1+$B$13+VLOOKUP($R91,武学奇术!$A:$ZZ,18,FALSE)+SUM(_xlfn.XLOOKUP($S91:$AL91,增益!$A:$A,增益!$R:$R,0))</f>
        <v>2.06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</v>
      </c>
      <c r="BS91" s="26" cm="1">
        <f t="array" ref="BS91">1+$B$14+VLOOKUP($R91,武学奇术!$A:$ZZ,20,FALSE)+SUM(_xlfn.XLOOKUP($S91:$AL91,增益!$A:$A,增益!$T:$T,0))</f>
        <v>1.35</v>
      </c>
      <c r="BT91" s="26">
        <f t="shared" si="21"/>
        <v>1</v>
      </c>
      <c r="BU91" s="26">
        <f t="shared" si="22"/>
        <v>0</v>
      </c>
      <c r="BV91" s="26">
        <f>IF(VLOOKUP($R91,武学奇术!$A:$ZZ,22,FALSE)=1,0,(1-$BO91))*(1-$BR91)</f>
        <v>0</v>
      </c>
      <c r="BW91" s="26" cm="1">
        <f t="array" ref="BW91">SUM(_xlfn.XLOOKUP($S91:$AL91,增益!$A:$A,增益!$W:$W,0))+$I$5</f>
        <v>0.11</v>
      </c>
      <c r="BX91" s="26" cm="1">
        <f t="array" ref="BX91">SUM(_xlfn.XLOOKUP($S91:$AL91,增益!$A:$A,增益!$X:$X,0))</f>
        <v>0</v>
      </c>
    </row>
    <row r="92" spans="1:76">
      <c r="K92">
        <f>$L92*VLOOKUP($R92,武学奇术!$A:$ZZ,31,FALSE)</f>
        <v>110110.96394473</v>
      </c>
      <c r="L92" s="38">
        <f t="shared" si="23"/>
        <v>104867.584709267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</f>
        <v>104867.584709267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</f>
        <v>78072.3510253296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</f>
        <v>50906.5945190617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</f>
        <v>43981.8179082496</v>
      </c>
      <c r="Q92" s="39">
        <v>4</v>
      </c>
      <c r="R92" s="40" t="s">
        <v>139</v>
      </c>
      <c r="S92" s="40" t="s">
        <v>116</v>
      </c>
      <c r="T92" s="40" t="s">
        <v>102</v>
      </c>
      <c r="U92" s="40" t="s">
        <v>79</v>
      </c>
      <c r="V92" s="40" t="s">
        <v>88</v>
      </c>
      <c r="W92" s="40" t="s">
        <v>181</v>
      </c>
      <c r="X92" s="40" t="s">
        <v>106</v>
      </c>
      <c r="Y92" s="40" t="s">
        <v>78</v>
      </c>
      <c r="Z92" s="40" t="s">
        <v>78</v>
      </c>
      <c r="AA92" s="40" t="s">
        <v>78</v>
      </c>
      <c r="AB92" s="40" t="s">
        <v>133</v>
      </c>
      <c r="AC92" s="40" t="s">
        <v>78</v>
      </c>
      <c r="AD92" s="40" t="s">
        <v>78</v>
      </c>
      <c r="AE92" s="40" t="s">
        <v>78</v>
      </c>
      <c r="AF92" s="40" t="s">
        <v>78</v>
      </c>
      <c r="AG92" s="40" t="s">
        <v>85</v>
      </c>
      <c r="AH92" s="40" t="s">
        <v>78</v>
      </c>
      <c r="AI92" s="40" t="s">
        <v>78</v>
      </c>
      <c r="AJ92" s="40" t="s">
        <v>78</v>
      </c>
      <c r="AK92" s="40" t="s">
        <v>78</v>
      </c>
      <c r="AL92" s="40" t="s">
        <v>78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1.1741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3574.6</v>
      </c>
      <c r="AU92" cm="1">
        <f t="array" ref="AU92">$E$10*(1+$AS92)+VLOOKUP($R92,武学奇术!$A:$ZZ,4,FALSE)+SUM(_xlfn.XLOOKUP($S92:$AL92,增益!$A:$A,增益!$D:$D,0))-$I$2</f>
        <v>3574.6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0.2925</v>
      </c>
      <c r="AW92" s="32" cm="1">
        <f t="array" ref="AW92">$G$10+VLOOKUP($R92,武学奇术!$A:$ZZ,7,FALSE)+SUM(_xlfn.XLOOKUP($S92:$AL92,增益!$A:$A,增益!$G:$G,0))</f>
        <v>0.148</v>
      </c>
      <c r="AX92" s="26" cm="1">
        <f t="array" ref="AX92">VLOOKUP($R92,武学奇术!$A:$ZZ,8,FALSE)+SUM(_xlfn.XLOOKUP($S92:$AL92,增益!$A:$A,增益!$H:$H,0))</f>
        <v>0</v>
      </c>
      <c r="AY92">
        <f t="shared" si="13"/>
        <v>0</v>
      </c>
      <c r="AZ92">
        <f t="shared" si="14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2" cm="1">
        <f t="array" ref="BB92">$G$11+VLOOKUP($R92,武学奇术!$A:$ZZ,10,FALSE)+SUM(_xlfn.XLOOKUP($S92:$AL92,增益!$A:$A,增益!$J:$J,0))</f>
        <v>0</v>
      </c>
      <c r="BC92">
        <f t="shared" si="15"/>
        <v>0</v>
      </c>
      <c r="BD92">
        <f t="shared" si="16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2" cm="1">
        <f t="array" ref="BF92">$G$12+VLOOKUP($R92,武学奇术!$A:$ZZ,12,FALSE)+SUM(_xlfn.XLOOKUP($S92:$AL92,增益!$A:$A,增益!$L:$L,0))</f>
        <v>0</v>
      </c>
      <c r="BG92">
        <f t="shared" si="17"/>
        <v>0</v>
      </c>
      <c r="BH92">
        <f t="shared" si="18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2" cm="1">
        <f t="array" ref="BJ92">$G$13+VLOOKUP($R92,武学奇术!$A:$ZZ,14,FALSE)+SUM(_xlfn.XLOOKUP($S92:$AL92,增益!$A:$A,增益!$N:$N,0))</f>
        <v>0</v>
      </c>
      <c r="BK92">
        <f t="shared" si="19"/>
        <v>571.2</v>
      </c>
      <c r="BL92">
        <f t="shared" si="20"/>
        <v>1627.8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2" cm="1">
        <f t="array" ref="BN92">$G$14+VLOOKUP($R92,武学奇术!$A:$ZZ,16,FALSE)+SUM(_xlfn.XLOOKUP($S92:$AL92,增益!$A:$A,增益!$P:$P,0))</f>
        <v>0.27</v>
      </c>
      <c r="BO92" s="26">
        <f>MIN(IF(VLOOKUP($R92,武学奇术!$A:$ZZ,23,FALSE)=1,100%,$B$8),100%)</f>
        <v>1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1</v>
      </c>
      <c r="BQ92" s="26" cm="1">
        <f t="array" ref="BQ92">1+$B$13+VLOOKUP($R92,武学奇术!$A:$ZZ,18,FALSE)+SUM(_xlfn.XLOOKUP($S92:$AL92,增益!$A:$A,增益!$R:$R,0))</f>
        <v>2.06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</v>
      </c>
      <c r="BS92" s="26" cm="1">
        <f t="array" ref="BS92">1+$B$14+VLOOKUP($R92,武学奇术!$A:$ZZ,20,FALSE)+SUM(_xlfn.XLOOKUP($S92:$AL92,增益!$A:$A,增益!$T:$T,0))</f>
        <v>1.35</v>
      </c>
      <c r="BT92" s="26">
        <f t="shared" si="21"/>
        <v>1</v>
      </c>
      <c r="BU92" s="26">
        <f t="shared" si="22"/>
        <v>0</v>
      </c>
      <c r="BV92" s="26">
        <f>IF(VLOOKUP($R92,武学奇术!$A:$ZZ,22,FALSE)=1,0,(1-$BO92))*(1-$BR92)</f>
        <v>0</v>
      </c>
      <c r="BW92" s="26" cm="1">
        <f t="array" ref="BW92">SUM(_xlfn.XLOOKUP($S92:$AL92,增益!$A:$A,增益!$W:$W,0))+$I$5</f>
        <v>0.11</v>
      </c>
      <c r="BX92" s="26" cm="1">
        <f t="array" ref="BX92">SUM(_xlfn.XLOOKUP($S92:$AL92,增益!$A:$A,增益!$X:$X,0))</f>
        <v>0</v>
      </c>
    </row>
    <row r="93" spans="1:76">
      <c r="K93">
        <f>$L93*VLOOKUP($R93,武学奇术!$A:$ZZ,31,FALSE)</f>
        <v>320930.02067287</v>
      </c>
      <c r="L93" s="38">
        <f t="shared" si="23"/>
        <v>305647.638736067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</f>
        <v>327060.465581677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</f>
        <v>239882.680052337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</f>
        <v>158767.216301785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</f>
        <v>139843.558490727</v>
      </c>
      <c r="Q93" s="39">
        <v>4</v>
      </c>
      <c r="R93" s="40" t="s">
        <v>115</v>
      </c>
      <c r="S93" s="40" t="s">
        <v>116</v>
      </c>
      <c r="T93" s="40" t="s">
        <v>102</v>
      </c>
      <c r="U93" s="40" t="s">
        <v>79</v>
      </c>
      <c r="V93" s="40" t="s">
        <v>88</v>
      </c>
      <c r="W93" s="40" t="s">
        <v>181</v>
      </c>
      <c r="X93" s="40" t="s">
        <v>106</v>
      </c>
      <c r="Y93" s="40" t="s">
        <v>78</v>
      </c>
      <c r="Z93" s="40" t="s">
        <v>78</v>
      </c>
      <c r="AA93" s="40" t="s">
        <v>78</v>
      </c>
      <c r="AB93" s="40" t="s">
        <v>133</v>
      </c>
      <c r="AC93" s="40" t="s">
        <v>78</v>
      </c>
      <c r="AD93" s="40" t="s">
        <v>78</v>
      </c>
      <c r="AE93" s="40" t="s">
        <v>78</v>
      </c>
      <c r="AF93" s="40" t="s">
        <v>78</v>
      </c>
      <c r="AG93" s="40" t="s">
        <v>85</v>
      </c>
      <c r="AH93" s="40" t="s">
        <v>78</v>
      </c>
      <c r="AI93" s="40" t="s">
        <v>78</v>
      </c>
      <c r="AJ93" s="40" t="s">
        <v>78</v>
      </c>
      <c r="AK93" s="40" t="s">
        <v>78</v>
      </c>
      <c r="AL93" s="40" t="s">
        <v>78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750</v>
      </c>
      <c r="AP93" s="26">
        <f>VLOOKUP($R93,武学奇术!$A:$ZZ,28,FALSE)</f>
        <v>2.7126</v>
      </c>
      <c r="AQ93" s="27">
        <f>VLOOKUP($R93,武学奇术!$A:$ZZ,29,FALSE)*(1+IF(OR($AM93=$F$4,$AM93=$F$5),$B$22,0))</f>
        <v>408</v>
      </c>
      <c r="AR93" s="26" cm="1">
        <f t="array" ref="AR93">$G$3+IFERROR(VLOOKUP($AM93,$F$4:$G$7,2,FALSE),0)+VLOOKUP($R93,武学奇术!$A:$ZZ,2,FALSE)+SUM(_xlfn.XLOOKUP($S93:$AL93,增益!$A:$A,增益!$B:$B,0))</f>
        <v>0.7741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3574.6</v>
      </c>
      <c r="AU93" cm="1">
        <f t="array" ref="AU93">$E$10*(1+$AS93)+VLOOKUP($R93,武学奇术!$A:$ZZ,4,FALSE)+SUM(_xlfn.XLOOKUP($S93:$AL93,增益!$A:$A,增益!$D:$D,0))-$I$2</f>
        <v>3574.6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0.2925</v>
      </c>
      <c r="AW93" s="32" cm="1">
        <f t="array" ref="AW93">$G$10+VLOOKUP($R93,武学奇术!$A:$ZZ,7,FALSE)+SUM(_xlfn.XLOOKUP($S93:$AL93,增益!$A:$A,增益!$G:$G,0))</f>
        <v>0.148</v>
      </c>
      <c r="AX93" s="26" cm="1">
        <f t="array" ref="AX93">VLOOKUP($R93,武学奇术!$A:$ZZ,8,FALSE)+SUM(_xlfn.XLOOKUP($S93:$AL93,增益!$A:$A,增益!$H:$H,0))</f>
        <v>0</v>
      </c>
      <c r="AY93">
        <f t="shared" si="13"/>
        <v>0</v>
      </c>
      <c r="AZ93">
        <f t="shared" si="14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2" cm="1">
        <f t="array" ref="BB93">$G$11+VLOOKUP($R93,武学奇术!$A:$ZZ,10,FALSE)+SUM(_xlfn.XLOOKUP($S93:$AL93,增益!$A:$A,增益!$J:$J,0))</f>
        <v>0</v>
      </c>
      <c r="BC93">
        <f t="shared" si="15"/>
        <v>0</v>
      </c>
      <c r="BD93">
        <f t="shared" si="16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2" cm="1">
        <f t="array" ref="BF93">$G$12+VLOOKUP($R93,武学奇术!$A:$ZZ,12,FALSE)+SUM(_xlfn.XLOOKUP($S93:$AL93,增益!$A:$A,增益!$L:$L,0))</f>
        <v>0</v>
      </c>
      <c r="BG93">
        <f t="shared" si="17"/>
        <v>0</v>
      </c>
      <c r="BH93">
        <f t="shared" si="18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2" cm="1">
        <f t="array" ref="BJ93">$G$13+VLOOKUP($R93,武学奇术!$A:$ZZ,14,FALSE)+SUM(_xlfn.XLOOKUP($S93:$AL93,增益!$A:$A,增益!$N:$N,0))</f>
        <v>0</v>
      </c>
      <c r="BK93">
        <f t="shared" si="19"/>
        <v>571.2</v>
      </c>
      <c r="BL93">
        <f t="shared" si="20"/>
        <v>1627.8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2" cm="1">
        <f t="array" ref="BN93">$G$14+VLOOKUP($R93,武学奇术!$A:$ZZ,16,FALSE)+SUM(_xlfn.XLOOKUP($S93:$AL93,增益!$A:$A,增益!$P:$P,0))</f>
        <v>0.27</v>
      </c>
      <c r="BO93" s="26">
        <f>MIN(IF(VLOOKUP($R93,武学奇术!$A:$ZZ,23,FALSE)=1,100%,$B$8),100%)</f>
        <v>0.981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0.846</v>
      </c>
      <c r="BQ93" s="26" cm="1">
        <f t="array" ref="BQ93">1+$B$13+VLOOKUP($R93,武学奇术!$A:$ZZ,18,FALSE)+SUM(_xlfn.XLOOKUP($S93:$AL93,增益!$A:$A,增益!$R:$R,0))</f>
        <v>2.06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0.0929</v>
      </c>
      <c r="BS93" s="26" cm="1">
        <f t="array" ref="BS93">1+$B$14+VLOOKUP($R93,武学奇术!$A:$ZZ,20,FALSE)+SUM(_xlfn.XLOOKUP($S93:$AL93,增益!$A:$A,增益!$T:$T,0))</f>
        <v>1.35</v>
      </c>
      <c r="BT93" s="26">
        <f t="shared" si="21"/>
        <v>0.829926</v>
      </c>
      <c r="BU93" s="26">
        <f t="shared" si="22"/>
        <v>0.0599391</v>
      </c>
      <c r="BV93" s="26">
        <f>IF(VLOOKUP($R93,武学奇术!$A:$ZZ,22,FALSE)=1,0,(1-$BO93))*(1-$BR93)</f>
        <v>0.0172349</v>
      </c>
      <c r="BW93" s="26" cm="1">
        <f t="array" ref="BW93">SUM(_xlfn.XLOOKUP($S93:$AL93,增益!$A:$A,增益!$W:$W,0))+$I$5</f>
        <v>0.11</v>
      </c>
      <c r="BX93" s="26" cm="1">
        <f t="array" ref="BX93">SUM(_xlfn.XLOOKUP($S93:$AL93,增益!$A:$A,增益!$X:$X,0))</f>
        <v>0</v>
      </c>
    </row>
    <row r="94" spans="1:76">
      <c r="K94">
        <f>$L94*VLOOKUP($R94,武学奇术!$A:$ZZ,31,FALSE)</f>
        <v>187048.363825739</v>
      </c>
      <c r="L94" s="38">
        <f t="shared" si="23"/>
        <v>178141.298881657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</f>
        <v>190441.193113991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</f>
        <v>141780.624772644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</f>
        <v>92447.1811232967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</f>
        <v>79871.6772298198</v>
      </c>
      <c r="Q94" s="39">
        <v>8</v>
      </c>
      <c r="R94" s="40" t="s">
        <v>119</v>
      </c>
      <c r="S94" s="40" t="s">
        <v>116</v>
      </c>
      <c r="T94" s="40" t="s">
        <v>102</v>
      </c>
      <c r="U94" s="40" t="s">
        <v>79</v>
      </c>
      <c r="V94" s="40" t="s">
        <v>88</v>
      </c>
      <c r="W94" s="40" t="s">
        <v>181</v>
      </c>
      <c r="X94" s="40" t="s">
        <v>106</v>
      </c>
      <c r="Y94" s="40" t="s">
        <v>78</v>
      </c>
      <c r="Z94" s="40" t="s">
        <v>78</v>
      </c>
      <c r="AA94" s="40" t="s">
        <v>78</v>
      </c>
      <c r="AB94" s="40" t="s">
        <v>133</v>
      </c>
      <c r="AC94" s="40" t="s">
        <v>78</v>
      </c>
      <c r="AD94" s="40" t="s">
        <v>78</v>
      </c>
      <c r="AE94" s="40" t="s">
        <v>78</v>
      </c>
      <c r="AF94" s="40" t="s">
        <v>78</v>
      </c>
      <c r="AG94" s="40" t="s">
        <v>85</v>
      </c>
      <c r="AH94" s="40" t="s">
        <v>78</v>
      </c>
      <c r="AI94" s="40" t="s">
        <v>78</v>
      </c>
      <c r="AJ94" s="40" t="s">
        <v>78</v>
      </c>
      <c r="AK94" s="40" t="s">
        <v>78</v>
      </c>
      <c r="AL94" s="40" t="s">
        <v>78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0.9741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3574.6</v>
      </c>
      <c r="AU94" cm="1">
        <f t="array" ref="AU94">$E$10*(1+$AS94)+VLOOKUP($R94,武学奇术!$A:$ZZ,4,FALSE)+SUM(_xlfn.XLOOKUP($S94:$AL94,增益!$A:$A,增益!$D:$D,0))-$I$2</f>
        <v>3574.6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0.2925</v>
      </c>
      <c r="AW94" s="32" cm="1">
        <f t="array" ref="AW94">$G$10+VLOOKUP($R94,武学奇术!$A:$ZZ,7,FALSE)+SUM(_xlfn.XLOOKUP($S94:$AL94,增益!$A:$A,增益!$G:$G,0))</f>
        <v>0.148</v>
      </c>
      <c r="AX94" s="26" cm="1">
        <f t="array" ref="AX94">VLOOKUP($R94,武学奇术!$A:$ZZ,8,FALSE)+SUM(_xlfn.XLOOKUP($S94:$AL94,增益!$A:$A,增益!$H:$H,0))</f>
        <v>0</v>
      </c>
      <c r="AY94">
        <f t="shared" si="13"/>
        <v>0</v>
      </c>
      <c r="AZ94">
        <f t="shared" si="14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2" cm="1">
        <f t="array" ref="BB94">$G$11+VLOOKUP($R94,武学奇术!$A:$ZZ,10,FALSE)+SUM(_xlfn.XLOOKUP($S94:$AL94,增益!$A:$A,增益!$J:$J,0))</f>
        <v>0</v>
      </c>
      <c r="BC94">
        <f t="shared" si="15"/>
        <v>0</v>
      </c>
      <c r="BD94">
        <f t="shared" si="16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2" cm="1">
        <f t="array" ref="BF94">$G$12+VLOOKUP($R94,武学奇术!$A:$ZZ,12,FALSE)+SUM(_xlfn.XLOOKUP($S94:$AL94,增益!$A:$A,增益!$L:$L,0))</f>
        <v>0</v>
      </c>
      <c r="BG94">
        <f t="shared" si="17"/>
        <v>0</v>
      </c>
      <c r="BH94">
        <f t="shared" si="18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2" cm="1">
        <f t="array" ref="BJ94">$G$13+VLOOKUP($R94,武学奇术!$A:$ZZ,14,FALSE)+SUM(_xlfn.XLOOKUP($S94:$AL94,增益!$A:$A,增益!$N:$N,0))</f>
        <v>0</v>
      </c>
      <c r="BK94">
        <f t="shared" si="19"/>
        <v>571.2</v>
      </c>
      <c r="BL94">
        <f t="shared" si="20"/>
        <v>1627.8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2" cm="1">
        <f t="array" ref="BN94">$G$14+VLOOKUP($R94,武学奇术!$A:$ZZ,16,FALSE)+SUM(_xlfn.XLOOKUP($S94:$AL94,增益!$A:$A,增益!$P:$P,0))</f>
        <v>0.27</v>
      </c>
      <c r="BO94" s="26">
        <f>MIN(IF(VLOOKUP($R94,武学奇术!$A:$ZZ,23,FALSE)=1,100%,$B$8),100%)</f>
        <v>0.981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0.846</v>
      </c>
      <c r="BQ94" s="26" cm="1">
        <f t="array" ref="BQ94">1+$B$13+VLOOKUP($R94,武学奇术!$A:$ZZ,18,FALSE)+SUM(_xlfn.XLOOKUP($S94:$AL94,增益!$A:$A,增益!$R:$R,0))</f>
        <v>2.06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0.0929</v>
      </c>
      <c r="BS94" s="26" cm="1">
        <f t="array" ref="BS94">1+$B$14+VLOOKUP($R94,武学奇术!$A:$ZZ,20,FALSE)+SUM(_xlfn.XLOOKUP($S94:$AL94,增益!$A:$A,增益!$T:$T,0))</f>
        <v>1.35</v>
      </c>
      <c r="BT94" s="26">
        <f t="shared" si="21"/>
        <v>0.829926</v>
      </c>
      <c r="BU94" s="26">
        <f t="shared" si="22"/>
        <v>0.0599391</v>
      </c>
      <c r="BV94" s="26">
        <f>IF(VLOOKUP($R94,武学奇术!$A:$ZZ,22,FALSE)=1,0,(1-$BO94))*(1-$BR94)</f>
        <v>0.0172349</v>
      </c>
      <c r="BW94" s="26" cm="1">
        <f t="array" ref="BW94">SUM(_xlfn.XLOOKUP($S94:$AL94,增益!$A:$A,增益!$W:$W,0))+$I$5</f>
        <v>0.11</v>
      </c>
      <c r="BX94" s="26" cm="1">
        <f t="array" ref="BX94">SUM(_xlfn.XLOOKUP($S94:$AL94,增益!$A:$A,增益!$X:$X,0))</f>
        <v>0</v>
      </c>
    </row>
    <row r="95" spans="1:76">
      <c r="K95">
        <f>$L95*VLOOKUP($R95,武学奇术!$A:$ZZ,31,FALSE)</f>
        <v>191063.798083543</v>
      </c>
      <c r="L95" s="38">
        <f t="shared" si="23"/>
        <v>181965.521984327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</f>
        <v>181965.521984327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</f>
        <v>133462.7131197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</f>
        <v>88332.7776622946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</f>
        <v>77804.2863470336</v>
      </c>
      <c r="Q95" s="39">
        <v>2</v>
      </c>
      <c r="R95" s="40" t="s">
        <v>132</v>
      </c>
      <c r="S95" s="40" t="s">
        <v>116</v>
      </c>
      <c r="T95" s="40" t="s">
        <v>102</v>
      </c>
      <c r="U95" s="40" t="s">
        <v>79</v>
      </c>
      <c r="V95" s="40" t="s">
        <v>88</v>
      </c>
      <c r="W95" s="40" t="s">
        <v>181</v>
      </c>
      <c r="X95" s="40" t="s">
        <v>106</v>
      </c>
      <c r="Y95" s="40" t="s">
        <v>78</v>
      </c>
      <c r="Z95" s="40" t="s">
        <v>78</v>
      </c>
      <c r="AA95" s="40" t="s">
        <v>78</v>
      </c>
      <c r="AB95" s="40" t="s">
        <v>133</v>
      </c>
      <c r="AC95" s="40" t="s">
        <v>78</v>
      </c>
      <c r="AD95" s="40" t="s">
        <v>78</v>
      </c>
      <c r="AE95" s="40" t="s">
        <v>78</v>
      </c>
      <c r="AF95" s="40" t="s">
        <v>78</v>
      </c>
      <c r="AG95" s="40" t="s">
        <v>85</v>
      </c>
      <c r="AH95" s="40" t="s">
        <v>78</v>
      </c>
      <c r="AI95" s="40" t="s">
        <v>78</v>
      </c>
      <c r="AJ95" s="40" t="s">
        <v>78</v>
      </c>
      <c r="AK95" s="40" t="s">
        <v>78</v>
      </c>
      <c r="AL95" s="40" t="s">
        <v>78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750</v>
      </c>
      <c r="AP95" s="26">
        <f>VLOOKUP($R95,武学奇术!$A:$ZZ,28,FALSE)</f>
        <v>2.7126</v>
      </c>
      <c r="AQ95" s="27">
        <f>VLOOKUP($R95,武学奇术!$A:$ZZ,29,FALSE)*(1+IF(OR($AM95=$F$4,$AM95=$F$5),$B$22,0))</f>
        <v>408</v>
      </c>
      <c r="AR95" s="26" cm="1">
        <f t="array" ref="AR95">$G$3+IFERROR(VLOOKUP($AM95,$F$4:$G$7,2,FALSE),0)+VLOOKUP($R95,武学奇术!$A:$ZZ,2,FALSE)+SUM(_xlfn.XLOOKUP($S95:$AL95,增益!$A:$A,增益!$B:$B,0))</f>
        <v>0.9741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3574.6</v>
      </c>
      <c r="AU95" cm="1">
        <f t="array" ref="AU95">$E$10*(1+$AS95)+VLOOKUP($R95,武学奇术!$A:$ZZ,4,FALSE)+SUM(_xlfn.XLOOKUP($S95:$AL95,增益!$A:$A,增益!$D:$D,0))-$I$2</f>
        <v>3574.6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0.2925</v>
      </c>
      <c r="AW95" s="32" cm="1">
        <f t="array" ref="AW95">$G$10+VLOOKUP($R95,武学奇术!$A:$ZZ,7,FALSE)+SUM(_xlfn.XLOOKUP($S95:$AL95,增益!$A:$A,增益!$G:$G,0))</f>
        <v>0.148</v>
      </c>
      <c r="AX95" s="26" cm="1">
        <f t="array" ref="AX95">VLOOKUP($R95,武学奇术!$A:$ZZ,8,FALSE)+SUM(_xlfn.XLOOKUP($S95:$AL95,增益!$A:$A,增益!$H:$H,0))</f>
        <v>0</v>
      </c>
      <c r="AY95">
        <f t="shared" si="13"/>
        <v>0</v>
      </c>
      <c r="AZ95">
        <f t="shared" si="14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2" cm="1">
        <f t="array" ref="BB95">$G$11+VLOOKUP($R95,武学奇术!$A:$ZZ,10,FALSE)+SUM(_xlfn.XLOOKUP($S95:$AL95,增益!$A:$A,增益!$J:$J,0))</f>
        <v>0</v>
      </c>
      <c r="BC95">
        <f t="shared" si="15"/>
        <v>0</v>
      </c>
      <c r="BD95">
        <f t="shared" si="16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2" cm="1">
        <f t="array" ref="BF95">$G$12+VLOOKUP($R95,武学奇术!$A:$ZZ,12,FALSE)+SUM(_xlfn.XLOOKUP($S95:$AL95,增益!$A:$A,增益!$L:$L,0))</f>
        <v>0</v>
      </c>
      <c r="BG95">
        <f t="shared" si="17"/>
        <v>0</v>
      </c>
      <c r="BH95">
        <f t="shared" si="18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2" cm="1">
        <f t="array" ref="BJ95">$G$13+VLOOKUP($R95,武学奇术!$A:$ZZ,14,FALSE)+SUM(_xlfn.XLOOKUP($S95:$AL95,增益!$A:$A,增益!$N:$N,0))</f>
        <v>0</v>
      </c>
      <c r="BK95">
        <f t="shared" si="19"/>
        <v>571.2</v>
      </c>
      <c r="BL95">
        <f t="shared" si="20"/>
        <v>1627.8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2" cm="1">
        <f t="array" ref="BN95">$G$14+VLOOKUP($R95,武学奇术!$A:$ZZ,16,FALSE)+SUM(_xlfn.XLOOKUP($S95:$AL95,增益!$A:$A,增益!$P:$P,0))</f>
        <v>0.27</v>
      </c>
      <c r="BO95" s="26">
        <f>MIN(IF(VLOOKUP($R95,武学奇术!$A:$ZZ,23,FALSE)=1,100%,$B$8),100%)</f>
        <v>1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1</v>
      </c>
      <c r="BQ95" s="26" cm="1">
        <f t="array" ref="BQ95">1+$B$13+VLOOKUP($R95,武学奇术!$A:$ZZ,18,FALSE)+SUM(_xlfn.XLOOKUP($S95:$AL95,增益!$A:$A,增益!$R:$R,0))</f>
        <v>2.06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</v>
      </c>
      <c r="BS95" s="26" cm="1">
        <f t="array" ref="BS95">1+$B$14+VLOOKUP($R95,武学奇术!$A:$ZZ,20,FALSE)+SUM(_xlfn.XLOOKUP($S95:$AL95,增益!$A:$A,增益!$T:$T,0))</f>
        <v>1.35</v>
      </c>
      <c r="BT95" s="26">
        <f t="shared" si="21"/>
        <v>1</v>
      </c>
      <c r="BU95" s="26">
        <f t="shared" si="22"/>
        <v>0</v>
      </c>
      <c r="BV95" s="26">
        <f>IF(VLOOKUP($R95,武学奇术!$A:$ZZ,22,FALSE)=1,0,(1-$BO95))*(1-$BR95)</f>
        <v>0</v>
      </c>
      <c r="BW95" s="26" cm="1">
        <f t="array" ref="BW95">SUM(_xlfn.XLOOKUP($S95:$AL95,增益!$A:$A,增益!$W:$W,0))+$I$5</f>
        <v>0.11</v>
      </c>
      <c r="BX95" s="26" cm="1">
        <f t="array" ref="BX95">SUM(_xlfn.XLOOKUP($S95:$AL95,增益!$A:$A,增益!$X:$X,0))</f>
        <v>0</v>
      </c>
    </row>
    <row r="96" spans="1:76">
      <c r="K96">
        <f>$L96*VLOOKUP($R96,武学奇术!$A:$ZZ,31,FALSE)</f>
        <v>82583.2229585478</v>
      </c>
      <c r="L96" s="38">
        <f t="shared" si="23"/>
        <v>78650.6885319503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</f>
        <v>78650.6885319503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</f>
        <v>58554.2632689972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</f>
        <v>38179.9458892963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</f>
        <v>32986.3634311872</v>
      </c>
      <c r="Q96" s="39">
        <v>3</v>
      </c>
      <c r="R96" s="40" t="s">
        <v>139</v>
      </c>
      <c r="S96" s="40" t="s">
        <v>116</v>
      </c>
      <c r="T96" s="40" t="s">
        <v>102</v>
      </c>
      <c r="U96" s="40" t="s">
        <v>79</v>
      </c>
      <c r="V96" s="40" t="s">
        <v>88</v>
      </c>
      <c r="W96" s="40" t="s">
        <v>181</v>
      </c>
      <c r="X96" s="40" t="s">
        <v>106</v>
      </c>
      <c r="Y96" s="40" t="s">
        <v>78</v>
      </c>
      <c r="Z96" s="40" t="s">
        <v>78</v>
      </c>
      <c r="AA96" s="40" t="s">
        <v>78</v>
      </c>
      <c r="AB96" s="40" t="s">
        <v>133</v>
      </c>
      <c r="AC96" s="40" t="s">
        <v>78</v>
      </c>
      <c r="AD96" s="40" t="s">
        <v>78</v>
      </c>
      <c r="AE96" s="40" t="s">
        <v>78</v>
      </c>
      <c r="AF96" s="40" t="s">
        <v>78</v>
      </c>
      <c r="AG96" s="40" t="s">
        <v>85</v>
      </c>
      <c r="AH96" s="40" t="s">
        <v>78</v>
      </c>
      <c r="AI96" s="40" t="s">
        <v>78</v>
      </c>
      <c r="AJ96" s="40" t="s">
        <v>78</v>
      </c>
      <c r="AK96" s="40" t="s">
        <v>78</v>
      </c>
      <c r="AL96" s="40" t="s">
        <v>78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1.1741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3574.6</v>
      </c>
      <c r="AU96" cm="1">
        <f t="array" ref="AU96">$E$10*(1+$AS96)+VLOOKUP($R96,武学奇术!$A:$ZZ,4,FALSE)+SUM(_xlfn.XLOOKUP($S96:$AL96,增益!$A:$A,增益!$D:$D,0))-$I$2</f>
        <v>3574.6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0.2925</v>
      </c>
      <c r="AW96" s="32" cm="1">
        <f t="array" ref="AW96">$G$10+VLOOKUP($R96,武学奇术!$A:$ZZ,7,FALSE)+SUM(_xlfn.XLOOKUP($S96:$AL96,增益!$A:$A,增益!$G:$G,0))</f>
        <v>0.148</v>
      </c>
      <c r="AX96" s="26" cm="1">
        <f t="array" ref="AX96">VLOOKUP($R96,武学奇术!$A:$ZZ,8,FALSE)+SUM(_xlfn.XLOOKUP($S96:$AL96,增益!$A:$A,增益!$H:$H,0))</f>
        <v>0</v>
      </c>
      <c r="AY96">
        <f t="shared" si="13"/>
        <v>0</v>
      </c>
      <c r="AZ96">
        <f t="shared" si="14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2" cm="1">
        <f t="array" ref="BB96">$G$11+VLOOKUP($R96,武学奇术!$A:$ZZ,10,FALSE)+SUM(_xlfn.XLOOKUP($S96:$AL96,增益!$A:$A,增益!$J:$J,0))</f>
        <v>0</v>
      </c>
      <c r="BC96">
        <f t="shared" si="15"/>
        <v>0</v>
      </c>
      <c r="BD96">
        <f t="shared" si="16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2" cm="1">
        <f t="array" ref="BF96">$G$12+VLOOKUP($R96,武学奇术!$A:$ZZ,12,FALSE)+SUM(_xlfn.XLOOKUP($S96:$AL96,增益!$A:$A,增益!$L:$L,0))</f>
        <v>0</v>
      </c>
      <c r="BG96">
        <f t="shared" si="17"/>
        <v>0</v>
      </c>
      <c r="BH96">
        <f t="shared" si="18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2" cm="1">
        <f t="array" ref="BJ96">$G$13+VLOOKUP($R96,武学奇术!$A:$ZZ,14,FALSE)+SUM(_xlfn.XLOOKUP($S96:$AL96,增益!$A:$A,增益!$N:$N,0))</f>
        <v>0</v>
      </c>
      <c r="BK96">
        <f t="shared" si="19"/>
        <v>571.2</v>
      </c>
      <c r="BL96">
        <f t="shared" si="20"/>
        <v>1627.8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2" cm="1">
        <f t="array" ref="BN96">$G$14+VLOOKUP($R96,武学奇术!$A:$ZZ,16,FALSE)+SUM(_xlfn.XLOOKUP($S96:$AL96,增益!$A:$A,增益!$P:$P,0))</f>
        <v>0.27</v>
      </c>
      <c r="BO96" s="26">
        <f>MIN(IF(VLOOKUP($R96,武学奇术!$A:$ZZ,23,FALSE)=1,100%,$B$8),100%)</f>
        <v>1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1</v>
      </c>
      <c r="BQ96" s="26" cm="1">
        <f t="array" ref="BQ96">1+$B$13+VLOOKUP($R96,武学奇术!$A:$ZZ,18,FALSE)+SUM(_xlfn.XLOOKUP($S96:$AL96,增益!$A:$A,增益!$R:$R,0))</f>
        <v>2.06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</v>
      </c>
      <c r="BS96" s="26" cm="1">
        <f t="array" ref="BS96">1+$B$14+VLOOKUP($R96,武学奇术!$A:$ZZ,20,FALSE)+SUM(_xlfn.XLOOKUP($S96:$AL96,增益!$A:$A,增益!$T:$T,0))</f>
        <v>1.35</v>
      </c>
      <c r="BT96" s="26">
        <f t="shared" si="21"/>
        <v>1</v>
      </c>
      <c r="BU96" s="26">
        <f t="shared" si="22"/>
        <v>0</v>
      </c>
      <c r="BV96" s="26">
        <f>IF(VLOOKUP($R96,武学奇术!$A:$ZZ,22,FALSE)=1,0,(1-$BO96))*(1-$BR96)</f>
        <v>0</v>
      </c>
      <c r="BW96" s="26" cm="1">
        <f t="array" ref="BW96">SUM(_xlfn.XLOOKUP($S96:$AL96,增益!$A:$A,增益!$W:$W,0))+$I$5</f>
        <v>0.11</v>
      </c>
      <c r="BX96" s="26" cm="1">
        <f t="array" ref="BX96">SUM(_xlfn.XLOOKUP($S96:$AL96,增益!$A:$A,增益!$X:$X,0))</f>
        <v>0</v>
      </c>
    </row>
    <row r="97" spans="11:76">
      <c r="K97">
        <f>$L97*VLOOKUP($R97,武学奇术!$A:$ZZ,31,FALSE)</f>
        <v>160465.010336435</v>
      </c>
      <c r="L97" s="38">
        <f t="shared" si="23"/>
        <v>152823.819368033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</f>
        <v>163530.232790838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</f>
        <v>119941.340026169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</f>
        <v>79383.6081508924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</f>
        <v>69921.7792453636</v>
      </c>
      <c r="Q97" s="39">
        <v>2</v>
      </c>
      <c r="R97" s="40" t="s">
        <v>115</v>
      </c>
      <c r="S97" s="40" t="s">
        <v>116</v>
      </c>
      <c r="T97" s="40" t="s">
        <v>102</v>
      </c>
      <c r="U97" s="40" t="s">
        <v>79</v>
      </c>
      <c r="V97" s="40" t="s">
        <v>88</v>
      </c>
      <c r="W97" s="40" t="s">
        <v>181</v>
      </c>
      <c r="X97" s="40" t="s">
        <v>106</v>
      </c>
      <c r="Y97" s="40" t="s">
        <v>78</v>
      </c>
      <c r="Z97" s="40" t="s">
        <v>78</v>
      </c>
      <c r="AA97" s="40" t="s">
        <v>78</v>
      </c>
      <c r="AB97" s="40" t="s">
        <v>133</v>
      </c>
      <c r="AC97" s="40" t="s">
        <v>78</v>
      </c>
      <c r="AD97" s="40" t="s">
        <v>78</v>
      </c>
      <c r="AE97" s="40" t="s">
        <v>78</v>
      </c>
      <c r="AF97" s="40" t="s">
        <v>78</v>
      </c>
      <c r="AG97" s="40" t="s">
        <v>85</v>
      </c>
      <c r="AH97" s="40" t="s">
        <v>78</v>
      </c>
      <c r="AI97" s="40" t="s">
        <v>78</v>
      </c>
      <c r="AJ97" s="40" t="s">
        <v>78</v>
      </c>
      <c r="AK97" s="40" t="s">
        <v>78</v>
      </c>
      <c r="AL97" s="40" t="s">
        <v>78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750</v>
      </c>
      <c r="AP97" s="26">
        <f>VLOOKUP($R97,武学奇术!$A:$ZZ,28,FALSE)</f>
        <v>2.7126</v>
      </c>
      <c r="AQ97" s="27">
        <f>VLOOKUP($R97,武学奇术!$A:$ZZ,29,FALSE)*(1+IF(OR($AM97=$F$4,$AM97=$F$5),$B$22,0))</f>
        <v>408</v>
      </c>
      <c r="AR97" s="26" cm="1">
        <f t="array" ref="AR97">$G$3+IFERROR(VLOOKUP($AM97,$F$4:$G$7,2,FALSE),0)+VLOOKUP($R97,武学奇术!$A:$ZZ,2,FALSE)+SUM(_xlfn.XLOOKUP($S97:$AL97,增益!$A:$A,增益!$B:$B,0))</f>
        <v>0.7741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3574.6</v>
      </c>
      <c r="AU97" cm="1">
        <f t="array" ref="AU97">$E$10*(1+$AS97)+VLOOKUP($R97,武学奇术!$A:$ZZ,4,FALSE)+SUM(_xlfn.XLOOKUP($S97:$AL97,增益!$A:$A,增益!$D:$D,0))-$I$2</f>
        <v>3574.6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0.2925</v>
      </c>
      <c r="AW97" s="32" cm="1">
        <f t="array" ref="AW97">$G$10+VLOOKUP($R97,武学奇术!$A:$ZZ,7,FALSE)+SUM(_xlfn.XLOOKUP($S97:$AL97,增益!$A:$A,增益!$G:$G,0))</f>
        <v>0.148</v>
      </c>
      <c r="AX97" s="26" cm="1">
        <f t="array" ref="AX97">VLOOKUP($R97,武学奇术!$A:$ZZ,8,FALSE)+SUM(_xlfn.XLOOKUP($S97:$AL97,增益!$A:$A,增益!$H:$H,0))</f>
        <v>0</v>
      </c>
      <c r="AY97">
        <f t="shared" si="13"/>
        <v>0</v>
      </c>
      <c r="AZ97">
        <f t="shared" si="14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2" cm="1">
        <f t="array" ref="BB97">$G$11+VLOOKUP($R97,武学奇术!$A:$ZZ,10,FALSE)+SUM(_xlfn.XLOOKUP($S97:$AL97,增益!$A:$A,增益!$J:$J,0))</f>
        <v>0</v>
      </c>
      <c r="BC97">
        <f t="shared" si="15"/>
        <v>0</v>
      </c>
      <c r="BD97">
        <f t="shared" si="16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2" cm="1">
        <f t="array" ref="BF97">$G$12+VLOOKUP($R97,武学奇术!$A:$ZZ,12,FALSE)+SUM(_xlfn.XLOOKUP($S97:$AL97,增益!$A:$A,增益!$L:$L,0))</f>
        <v>0</v>
      </c>
      <c r="BG97">
        <f t="shared" si="17"/>
        <v>0</v>
      </c>
      <c r="BH97">
        <f t="shared" si="18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2" cm="1">
        <f t="array" ref="BJ97">$G$13+VLOOKUP($R97,武学奇术!$A:$ZZ,14,FALSE)+SUM(_xlfn.XLOOKUP($S97:$AL97,增益!$A:$A,增益!$N:$N,0))</f>
        <v>0</v>
      </c>
      <c r="BK97">
        <f t="shared" si="19"/>
        <v>571.2</v>
      </c>
      <c r="BL97">
        <f t="shared" si="20"/>
        <v>1627.8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2" cm="1">
        <f t="array" ref="BN97">$G$14+VLOOKUP($R97,武学奇术!$A:$ZZ,16,FALSE)+SUM(_xlfn.XLOOKUP($S97:$AL97,增益!$A:$A,增益!$P:$P,0))</f>
        <v>0.27</v>
      </c>
      <c r="BO97" s="26">
        <f>MIN(IF(VLOOKUP($R97,武学奇术!$A:$ZZ,23,FALSE)=1,100%,$B$8),100%)</f>
        <v>0.981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0.846</v>
      </c>
      <c r="BQ97" s="26" cm="1">
        <f t="array" ref="BQ97">1+$B$13+VLOOKUP($R97,武学奇术!$A:$ZZ,18,FALSE)+SUM(_xlfn.XLOOKUP($S97:$AL97,增益!$A:$A,增益!$R:$R,0))</f>
        <v>2.06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0.0929</v>
      </c>
      <c r="BS97" s="26" cm="1">
        <f t="array" ref="BS97">1+$B$14+VLOOKUP($R97,武学奇术!$A:$ZZ,20,FALSE)+SUM(_xlfn.XLOOKUP($S97:$AL97,增益!$A:$A,增益!$T:$T,0))</f>
        <v>1.35</v>
      </c>
      <c r="BT97" s="26">
        <f t="shared" si="21"/>
        <v>0.829926</v>
      </c>
      <c r="BU97" s="26">
        <f t="shared" si="22"/>
        <v>0.0599391</v>
      </c>
      <c r="BV97" s="26">
        <f>IF(VLOOKUP($R97,武学奇术!$A:$ZZ,22,FALSE)=1,0,(1-$BO97))*(1-$BR97)</f>
        <v>0.0172349</v>
      </c>
      <c r="BW97" s="26" cm="1">
        <f t="array" ref="BW97">SUM(_xlfn.XLOOKUP($S97:$AL97,增益!$A:$A,增益!$W:$W,0))+$I$5</f>
        <v>0.11</v>
      </c>
      <c r="BX97" s="26" cm="1">
        <f t="array" ref="BX97">SUM(_xlfn.XLOOKUP($S97:$AL97,增益!$A:$A,增益!$X:$X,0))</f>
        <v>0</v>
      </c>
    </row>
    <row r="98" spans="11:76">
      <c r="K98">
        <f>$L98*VLOOKUP($R98,武学奇术!$A:$ZZ,31,FALSE)</f>
        <v>93524.1819128697</v>
      </c>
      <c r="L98" s="38">
        <f t="shared" si="23"/>
        <v>89070.6494408283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</f>
        <v>95220.5965569956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</f>
        <v>70890.3123863222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</f>
        <v>46223.5905616484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</f>
        <v>39935.8386149099</v>
      </c>
      <c r="Q98" s="39">
        <v>4</v>
      </c>
      <c r="R98" s="40" t="s">
        <v>119</v>
      </c>
      <c r="S98" s="40" t="s">
        <v>116</v>
      </c>
      <c r="T98" s="40" t="s">
        <v>102</v>
      </c>
      <c r="U98" s="40" t="s">
        <v>79</v>
      </c>
      <c r="V98" s="40" t="s">
        <v>88</v>
      </c>
      <c r="W98" s="40" t="s">
        <v>181</v>
      </c>
      <c r="X98" s="40" t="s">
        <v>106</v>
      </c>
      <c r="Y98" s="40" t="s">
        <v>78</v>
      </c>
      <c r="Z98" s="40" t="s">
        <v>78</v>
      </c>
      <c r="AA98" s="40" t="s">
        <v>78</v>
      </c>
      <c r="AB98" s="40" t="s">
        <v>133</v>
      </c>
      <c r="AC98" s="40" t="s">
        <v>78</v>
      </c>
      <c r="AD98" s="40" t="s">
        <v>78</v>
      </c>
      <c r="AE98" s="40" t="s">
        <v>78</v>
      </c>
      <c r="AF98" s="40" t="s">
        <v>78</v>
      </c>
      <c r="AG98" s="40" t="s">
        <v>85</v>
      </c>
      <c r="AH98" s="40" t="s">
        <v>78</v>
      </c>
      <c r="AI98" s="40" t="s">
        <v>78</v>
      </c>
      <c r="AJ98" s="40" t="s">
        <v>78</v>
      </c>
      <c r="AK98" s="40" t="s">
        <v>78</v>
      </c>
      <c r="AL98" s="40" t="s">
        <v>78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0.9741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3574.6</v>
      </c>
      <c r="AU98" cm="1">
        <f t="array" ref="AU98">$E$10*(1+$AS98)+VLOOKUP($R98,武学奇术!$A:$ZZ,4,FALSE)+SUM(_xlfn.XLOOKUP($S98:$AL98,增益!$A:$A,增益!$D:$D,0))-$I$2</f>
        <v>3574.6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0.2925</v>
      </c>
      <c r="AW98" s="32" cm="1">
        <f t="array" ref="AW98">$G$10+VLOOKUP($R98,武学奇术!$A:$ZZ,7,FALSE)+SUM(_xlfn.XLOOKUP($S98:$AL98,增益!$A:$A,增益!$G:$G,0))</f>
        <v>0.148</v>
      </c>
      <c r="AX98" s="26" cm="1">
        <f t="array" ref="AX98">VLOOKUP($R98,武学奇术!$A:$ZZ,8,FALSE)+SUM(_xlfn.XLOOKUP($S98:$AL98,增益!$A:$A,增益!$H:$H,0))</f>
        <v>0</v>
      </c>
      <c r="AY98">
        <f t="shared" si="13"/>
        <v>0</v>
      </c>
      <c r="AZ98">
        <f t="shared" si="14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2" cm="1">
        <f t="array" ref="BB98">$G$11+VLOOKUP($R98,武学奇术!$A:$ZZ,10,FALSE)+SUM(_xlfn.XLOOKUP($S98:$AL98,增益!$A:$A,增益!$J:$J,0))</f>
        <v>0</v>
      </c>
      <c r="BC98">
        <f t="shared" si="15"/>
        <v>0</v>
      </c>
      <c r="BD98">
        <f t="shared" si="16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2" cm="1">
        <f t="array" ref="BF98">$G$12+VLOOKUP($R98,武学奇术!$A:$ZZ,12,FALSE)+SUM(_xlfn.XLOOKUP($S98:$AL98,增益!$A:$A,增益!$L:$L,0))</f>
        <v>0</v>
      </c>
      <c r="BG98">
        <f t="shared" si="17"/>
        <v>0</v>
      </c>
      <c r="BH98">
        <f t="shared" si="18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2" cm="1">
        <f t="array" ref="BJ98">$G$13+VLOOKUP($R98,武学奇术!$A:$ZZ,14,FALSE)+SUM(_xlfn.XLOOKUP($S98:$AL98,增益!$A:$A,增益!$N:$N,0))</f>
        <v>0</v>
      </c>
      <c r="BK98">
        <f t="shared" si="19"/>
        <v>571.2</v>
      </c>
      <c r="BL98">
        <f t="shared" si="20"/>
        <v>1627.8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2" cm="1">
        <f t="array" ref="BN98">$G$14+VLOOKUP($R98,武学奇术!$A:$ZZ,16,FALSE)+SUM(_xlfn.XLOOKUP($S98:$AL98,增益!$A:$A,增益!$P:$P,0))</f>
        <v>0.27</v>
      </c>
      <c r="BO98" s="26">
        <f>MIN(IF(VLOOKUP($R98,武学奇术!$A:$ZZ,23,FALSE)=1,100%,$B$8),100%)</f>
        <v>0.981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0.846</v>
      </c>
      <c r="BQ98" s="26" cm="1">
        <f t="array" ref="BQ98">1+$B$13+VLOOKUP($R98,武学奇术!$A:$ZZ,18,FALSE)+SUM(_xlfn.XLOOKUP($S98:$AL98,增益!$A:$A,增益!$R:$R,0))</f>
        <v>2.06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0.0929</v>
      </c>
      <c r="BS98" s="26" cm="1">
        <f t="array" ref="BS98">1+$B$14+VLOOKUP($R98,武学奇术!$A:$ZZ,20,FALSE)+SUM(_xlfn.XLOOKUP($S98:$AL98,增益!$A:$A,增益!$T:$T,0))</f>
        <v>1.35</v>
      </c>
      <c r="BT98" s="26">
        <f t="shared" si="21"/>
        <v>0.829926</v>
      </c>
      <c r="BU98" s="26">
        <f t="shared" si="22"/>
        <v>0.0599391</v>
      </c>
      <c r="BV98" s="26">
        <f>IF(VLOOKUP($R98,武学奇术!$A:$ZZ,22,FALSE)=1,0,(1-$BO98))*(1-$BR98)</f>
        <v>0.0172349</v>
      </c>
      <c r="BW98" s="26" cm="1">
        <f t="array" ref="BW98">SUM(_xlfn.XLOOKUP($S98:$AL98,增益!$A:$A,增益!$W:$W,0))+$I$5</f>
        <v>0.11</v>
      </c>
      <c r="BX98" s="26" cm="1">
        <f t="array" ref="BX98">SUM(_xlfn.XLOOKUP($S98:$AL98,增益!$A:$A,增益!$X:$X,0))</f>
        <v>0</v>
      </c>
    </row>
    <row r="99" spans="11:76">
      <c r="K99">
        <f>$L99*VLOOKUP($R99,武学奇术!$A:$ZZ,31,FALSE)</f>
        <v>124034.841876103</v>
      </c>
      <c r="L99" s="38">
        <f t="shared" si="23"/>
        <v>118128.420834383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</f>
        <v>125206.086610354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</f>
        <v>100181.122003885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</f>
        <v>65552.9249268871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</f>
        <v>56897.6113323782</v>
      </c>
      <c r="Q99" s="39">
        <v>1</v>
      </c>
      <c r="R99" s="40" t="s">
        <v>191</v>
      </c>
      <c r="S99" s="40" t="s">
        <v>78</v>
      </c>
      <c r="T99" s="40" t="s">
        <v>102</v>
      </c>
      <c r="U99" s="40" t="s">
        <v>79</v>
      </c>
      <c r="V99" s="40" t="s">
        <v>78</v>
      </c>
      <c r="W99" s="40" t="s">
        <v>181</v>
      </c>
      <c r="X99" s="40" t="s">
        <v>106</v>
      </c>
      <c r="Y99" s="40" t="s">
        <v>78</v>
      </c>
      <c r="Z99" s="40" t="s">
        <v>78</v>
      </c>
      <c r="AA99" s="40" t="s">
        <v>78</v>
      </c>
      <c r="AB99" s="40" t="s">
        <v>78</v>
      </c>
      <c r="AC99" s="40" t="s">
        <v>78</v>
      </c>
      <c r="AD99" s="40" t="s">
        <v>78</v>
      </c>
      <c r="AE99" s="40" t="s">
        <v>78</v>
      </c>
      <c r="AF99" s="40" t="s">
        <v>78</v>
      </c>
      <c r="AG99" s="40" t="s">
        <v>85</v>
      </c>
      <c r="AH99" s="40" t="s">
        <v>78</v>
      </c>
      <c r="AI99" s="40" t="s">
        <v>78</v>
      </c>
      <c r="AJ99" s="40" t="s">
        <v>78</v>
      </c>
      <c r="AK99" s="40" t="s">
        <v>78</v>
      </c>
      <c r="AL99" s="40" t="s">
        <v>78</v>
      </c>
      <c r="AM99" t="str">
        <f>VLOOKUP($R99,武学奇术!$A:$ZZ,25,FALSE)</f>
        <v>单体奇术</v>
      </c>
      <c r="AN99" s="26">
        <f>VLOOKUP($R99,武学奇术!$A:$ZZ,26,FALSE)</f>
        <v>7.1084</v>
      </c>
      <c r="AO99" s="27">
        <f>VLOOKUP($R99,武学奇术!$A:$ZZ,27,FALSE)*(1+IF(OR($AM99=$F$4,$AM99=$F$5),$B$22,0))</f>
        <v>1369</v>
      </c>
      <c r="AP99" s="26">
        <f>VLOOKUP($R99,武学奇术!$A:$ZZ,28,FALSE)</f>
        <v>10.6626</v>
      </c>
      <c r="AQ99" s="27">
        <f>VLOOKUP($R99,武学奇术!$A:$ZZ,29,FALSE)*(1+IF(OR($AM99=$F$4,$AM99=$F$5),$B$22,0))</f>
        <v>0</v>
      </c>
      <c r="AR99" s="26" cm="1">
        <f t="array" ref="AR99">$G$3+IFERROR(VLOOKUP($AM99,$F$4:$G$7,2,FALSE),0)+VLOOKUP($R99,武学奇术!$A:$ZZ,2,FALSE)+SUM(_xlfn.XLOOKUP($S99:$AL99,增益!$A:$A,增益!$B:$B,0))</f>
        <v>0.2037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3574.6</v>
      </c>
      <c r="AU99" cm="1">
        <f t="array" ref="AU99">$E$10*(1+$AS99)+VLOOKUP($R99,武学奇术!$A:$ZZ,4,FALSE)+SUM(_xlfn.XLOOKUP($S99:$AL99,增益!$A:$A,增益!$D:$D,0))-$I$2</f>
        <v>3574.6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0.2925</v>
      </c>
      <c r="AW99" s="32" cm="1">
        <f t="array" ref="AW99">$G$10+VLOOKUP($R99,武学奇术!$A:$ZZ,7,FALSE)+SUM(_xlfn.XLOOKUP($S99:$AL99,增益!$A:$A,增益!$G:$G,0))</f>
        <v>0.028</v>
      </c>
      <c r="AX99" s="26" cm="1">
        <f t="array" ref="AX99">VLOOKUP($R99,武学奇术!$A:$ZZ,8,FALSE)+SUM(_xlfn.XLOOKUP($S99:$AL99,增益!$A:$A,增益!$H:$H,0))</f>
        <v>0</v>
      </c>
      <c r="AY99">
        <f t="shared" si="13"/>
        <v>0</v>
      </c>
      <c r="AZ99">
        <f t="shared" si="14"/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2" cm="1">
        <f t="array" ref="BB99">$G$11+VLOOKUP($R99,武学奇术!$A:$ZZ,10,FALSE)+SUM(_xlfn.XLOOKUP($S99:$AL99,增益!$A:$A,增益!$J:$J,0))</f>
        <v>0</v>
      </c>
      <c r="BC99">
        <f t="shared" si="15"/>
        <v>0</v>
      </c>
      <c r="BD99">
        <f t="shared" si="16"/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2" cm="1">
        <f t="array" ref="BF99">$G$12+VLOOKUP($R99,武学奇术!$A:$ZZ,12,FALSE)+SUM(_xlfn.XLOOKUP($S99:$AL99,增益!$A:$A,增益!$L:$L,0))</f>
        <v>0</v>
      </c>
      <c r="BG99">
        <f t="shared" si="17"/>
        <v>0</v>
      </c>
      <c r="BH99">
        <f t="shared" si="18"/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2" cm="1">
        <f t="array" ref="BJ99">$G$13+VLOOKUP($R99,武学奇术!$A:$ZZ,14,FALSE)+SUM(_xlfn.XLOOKUP($S99:$AL99,增益!$A:$A,增益!$N:$N,0))</f>
        <v>0</v>
      </c>
      <c r="BK99">
        <f t="shared" si="19"/>
        <v>571.2</v>
      </c>
      <c r="BL99">
        <f t="shared" si="20"/>
        <v>1627.8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2" cm="1">
        <f t="array" ref="BN99">$G$14+VLOOKUP($R99,武学奇术!$A:$ZZ,16,FALSE)+SUM(_xlfn.XLOOKUP($S99:$AL99,增益!$A:$A,增益!$P:$P,0))</f>
        <v>0.15</v>
      </c>
      <c r="BO99" s="26">
        <f>MIN(IF(VLOOKUP($R99,武学奇术!$A:$ZZ,23,FALSE)=1,100%,$B$8),100%)</f>
        <v>0.981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0.846</v>
      </c>
      <c r="BQ99" s="26" cm="1">
        <f t="array" ref="BQ99">1+$B$13+VLOOKUP($R99,武学奇术!$A:$ZZ,18,FALSE)+SUM(_xlfn.XLOOKUP($S99:$AL99,增益!$A:$A,增益!$R:$R,0))</f>
        <v>1.91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0.0929</v>
      </c>
      <c r="BS99" s="26" cm="1">
        <f t="array" ref="BS99">1+$B$14+VLOOKUP($R99,武学奇术!$A:$ZZ,20,FALSE)+SUM(_xlfn.XLOOKUP($S99:$AL99,增益!$A:$A,增益!$T:$T,0))</f>
        <v>1.35</v>
      </c>
      <c r="BT99" s="26">
        <f t="shared" si="21"/>
        <v>0.829926</v>
      </c>
      <c r="BU99" s="26">
        <f t="shared" si="22"/>
        <v>0.0599391</v>
      </c>
      <c r="BV99" s="26">
        <f>IF(VLOOKUP($R99,武学奇术!$A:$ZZ,22,FALSE)=1,0,(1-$BO99))*(1-$BR99)</f>
        <v>0.0172349</v>
      </c>
      <c r="BW99" s="26" cm="1">
        <f t="array" ref="BW99">SUM(_xlfn.XLOOKUP($S99:$AL99,增益!$A:$A,增益!$W:$W,0))+$I$5</f>
        <v>0.11</v>
      </c>
      <c r="BX99" s="26" cm="1">
        <f t="array" ref="BX99">SUM(_xlfn.XLOOKUP($S99:$AL99,增益!$A:$A,增益!$X:$X,0))</f>
        <v>0</v>
      </c>
    </row>
    <row r="100" spans="11:76">
      <c r="K100">
        <f>$L100*VLOOKUP($R100,武学奇术!$A:$ZZ,31,FALSE)</f>
        <v>55878.5641643819</v>
      </c>
      <c r="L100" s="38">
        <f t="shared" si="23"/>
        <v>53217.6801565542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</f>
        <v>53217.6801565542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</f>
        <v>42131.4136428551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</f>
        <v>27862.6597678294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</f>
        <v>24516.8649853958</v>
      </c>
      <c r="Q100" s="39">
        <v>1</v>
      </c>
      <c r="R100" s="40" t="s">
        <v>174</v>
      </c>
      <c r="S100" s="40" t="s">
        <v>78</v>
      </c>
      <c r="T100" s="40" t="s">
        <v>102</v>
      </c>
      <c r="U100" s="40" t="s">
        <v>79</v>
      </c>
      <c r="V100" s="40" t="s">
        <v>78</v>
      </c>
      <c r="W100" s="40" t="s">
        <v>181</v>
      </c>
      <c r="X100" s="40" t="s">
        <v>106</v>
      </c>
      <c r="Y100" s="40" t="s">
        <v>78</v>
      </c>
      <c r="Z100" s="40" t="s">
        <v>78</v>
      </c>
      <c r="AA100" s="40" t="s">
        <v>78</v>
      </c>
      <c r="AB100" s="40" t="s">
        <v>78</v>
      </c>
      <c r="AC100" s="40" t="s">
        <v>78</v>
      </c>
      <c r="AD100" s="40" t="s">
        <v>78</v>
      </c>
      <c r="AE100" s="40" t="s">
        <v>78</v>
      </c>
      <c r="AF100" s="40" t="s">
        <v>78</v>
      </c>
      <c r="AG100" s="40" t="s">
        <v>85</v>
      </c>
      <c r="AH100" s="40" t="s">
        <v>78</v>
      </c>
      <c r="AI100" s="40" t="s">
        <v>78</v>
      </c>
      <c r="AJ100" s="40" t="s">
        <v>78</v>
      </c>
      <c r="AK100" s="40" t="s">
        <v>78</v>
      </c>
      <c r="AL100" s="40" t="s">
        <v>78</v>
      </c>
      <c r="AM100" t="str">
        <f>VLOOKUP($R100,武学奇术!$A:$ZZ,25,FALSE)</f>
        <v>绳镖</v>
      </c>
      <c r="AN100" s="26">
        <f>VLOOKUP($R100,武学奇术!$A:$ZZ,26,FALSE)</f>
        <v>2.2987</v>
      </c>
      <c r="AO100" s="27">
        <f>VLOOKUP($R100,武学奇术!$A:$ZZ,27,FALSE)*(1+IF(OR($AM100=$F$4,$AM100=$F$5),$B$22,0))</f>
        <v>955.5</v>
      </c>
      <c r="AP100" s="26">
        <f>VLOOKUP($R100,武学奇术!$A:$ZZ,28,FALSE)</f>
        <v>3.448</v>
      </c>
      <c r="AQ100" s="27">
        <f>VLOOKUP($R100,武学奇术!$A:$ZZ,29,FALSE)*(1+IF(OR($AM100=$F$4,$AM100=$F$5),$B$22,0))</f>
        <v>520.5</v>
      </c>
      <c r="AR100" s="26" cm="1">
        <f t="array" ref="AR100">$G$3+IFERROR(VLOOKUP($AM100,$F$4:$G$7,2,FALSE),0)+VLOOKUP($R100,武学奇术!$A:$ZZ,2,FALSE)+SUM(_xlfn.XLOOKUP($S100:$AL100,增益!$A:$A,增益!$B:$B,0))</f>
        <v>0.4389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3574.6</v>
      </c>
      <c r="AU100" cm="1">
        <f t="array" ref="AU100">$E$10*(1+$AS100)+VLOOKUP($R100,武学奇术!$A:$ZZ,4,FALSE)+SUM(_xlfn.XLOOKUP($S100:$AL100,增益!$A:$A,增益!$D:$D,0))-$I$2</f>
        <v>3574.6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0.2925</v>
      </c>
      <c r="AW100" s="32" cm="1">
        <f t="array" ref="AW100">$G$10+VLOOKUP($R100,武学奇术!$A:$ZZ,7,FALSE)+SUM(_xlfn.XLOOKUP($S100:$AL100,增益!$A:$A,增益!$G:$G,0))</f>
        <v>0.028</v>
      </c>
      <c r="AX100" s="26" cm="1">
        <f t="array" ref="AX100">VLOOKUP($R100,武学奇术!$A:$ZZ,8,FALSE)+SUM(_xlfn.XLOOKUP($S100:$AL100,增益!$A:$A,增益!$H:$H,0))</f>
        <v>0</v>
      </c>
      <c r="AY100">
        <f t="shared" si="13"/>
        <v>0</v>
      </c>
      <c r="AZ100">
        <f t="shared" si="14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15"/>
        <v>0</v>
      </c>
      <c r="BD100">
        <f t="shared" si="16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17"/>
        <v>0</v>
      </c>
      <c r="BH100">
        <f t="shared" si="18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19"/>
        <v>571.2</v>
      </c>
      <c r="BL100">
        <f t="shared" si="20"/>
        <v>1627.8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0.15</v>
      </c>
      <c r="BO100" s="26">
        <f>MIN(IF(VLOOKUP($R100,武学奇术!$A:$ZZ,23,FALSE)=1,100%,$B$8),100%)</f>
        <v>1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1</v>
      </c>
      <c r="BQ100" s="26" cm="1">
        <f t="array" ref="BQ100">1+$B$13+VLOOKUP($R100,武学奇术!$A:$ZZ,18,FALSE)+SUM(_xlfn.XLOOKUP($S100:$AL100,增益!$A:$A,增益!$R:$R,0))</f>
        <v>1.91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21"/>
        <v>1</v>
      </c>
      <c r="BU100" s="26">
        <f t="shared" si="22"/>
        <v>0</v>
      </c>
      <c r="BV100" s="26">
        <f>IF(VLOOKUP($R100,武学奇术!$A:$ZZ,22,FALSE)=1,0,(1-$BO100))*(1-$BR100)</f>
        <v>0</v>
      </c>
      <c r="BW100" s="26" cm="1">
        <f t="array" ref="BW100">SUM(_xlfn.XLOOKUP($S100:$AL100,增益!$A:$A,增益!$W:$W,0))+$I$5</f>
        <v>0.11</v>
      </c>
      <c r="BX100" s="26" cm="1">
        <f t="array" ref="BX100">SUM(_xlfn.XLOOKUP($S100:$AL100,增益!$A:$A,增益!$X:$X,0))</f>
        <v>0</v>
      </c>
    </row>
    <row r="101" spans="11:76">
      <c r="K101">
        <f>$L101*VLOOKUP($R101,武学奇术!$A:$ZZ,31,FALSE)</f>
        <v>114036.413446156</v>
      </c>
      <c r="L101" s="89">
        <f>(SUM(L85:L100)+L160)*12%*(1+BX101)</f>
        <v>217212.216087917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</f>
        <v>0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</f>
        <v>0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</f>
        <v>0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</f>
        <v>0</v>
      </c>
      <c r="Q101" s="39">
        <v>1</v>
      </c>
      <c r="R101" s="40" t="s">
        <v>175</v>
      </c>
      <c r="S101" s="40" t="s">
        <v>78</v>
      </c>
      <c r="T101" s="40" t="s">
        <v>78</v>
      </c>
      <c r="U101" s="40" t="s">
        <v>78</v>
      </c>
      <c r="V101" s="40" t="s">
        <v>78</v>
      </c>
      <c r="W101" s="40" t="s">
        <v>78</v>
      </c>
      <c r="X101" s="40" t="s">
        <v>78</v>
      </c>
      <c r="Y101" s="40" t="s">
        <v>78</v>
      </c>
      <c r="Z101" s="40" t="s">
        <v>78</v>
      </c>
      <c r="AA101" s="40" t="s">
        <v>78</v>
      </c>
      <c r="AB101" s="40" t="s">
        <v>78</v>
      </c>
      <c r="AC101" s="40" t="s">
        <v>78</v>
      </c>
      <c r="AD101" s="40" t="s">
        <v>78</v>
      </c>
      <c r="AE101" s="40" t="s">
        <v>78</v>
      </c>
      <c r="AF101" s="40" t="s">
        <v>78</v>
      </c>
      <c r="AG101" s="40" t="s">
        <v>85</v>
      </c>
      <c r="AH101" s="40" t="s">
        <v>78</v>
      </c>
      <c r="AI101" s="40" t="s">
        <v>78</v>
      </c>
      <c r="AJ101" s="40" t="s">
        <v>78</v>
      </c>
      <c r="AK101" s="40" t="s">
        <v>78</v>
      </c>
      <c r="AL101" s="40" t="s">
        <v>78</v>
      </c>
      <c r="AM101" t="str">
        <f>VLOOKUP($R101,武学奇术!$A:$ZZ,25,FALSE)</f>
        <v>心法</v>
      </c>
      <c r="AN101" s="26">
        <f>VLOOKUP($R101,武学奇术!$A:$ZZ,26,FALSE)</f>
        <v>0</v>
      </c>
      <c r="AO101" s="27">
        <f>VLOOKUP($R101,武学奇术!$A:$ZZ,27,FALSE)*(1+IF(OR($AM101=$F$4,$AM101=$F$5),$B$22,0))</f>
        <v>0</v>
      </c>
      <c r="AP101" s="26">
        <f>VLOOKUP($R101,武学奇术!$A:$ZZ,28,FALSE)</f>
        <v>0</v>
      </c>
      <c r="AQ101" s="27">
        <f>VLOOKUP($R101,武学奇术!$A:$ZZ,29,FALSE)*(1+IF(OR($AM101=$F$4,$AM101=$F$5),$B$22,0))</f>
        <v>0</v>
      </c>
      <c r="AR101" s="26" cm="1">
        <f t="array" ref="AR101">$G$3+IFERROR(VLOOKUP($AM101,$F$4:$G$7,2,FALSE),0)+VLOOKUP($R101,武学奇术!$A:$ZZ,2,FALSE)+SUM(_xlfn.XLOOKUP($S101:$AL101,增益!$A:$A,增益!$B:$B,0))</f>
        <v>0.1037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3574.6</v>
      </c>
      <c r="AU101" cm="1">
        <f t="array" ref="AU101">$E$10*(1+$AS101)+VLOOKUP($R101,武学奇术!$A:$ZZ,4,FALSE)+SUM(_xlfn.XLOOKUP($S101:$AL101,增益!$A:$A,增益!$D:$D,0))-$I$2</f>
        <v>3574.6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0.1925</v>
      </c>
      <c r="AW101" s="32" cm="1">
        <f t="array" ref="AW101">$G$10+VLOOKUP($R101,武学奇术!$A:$ZZ,7,FALSE)+SUM(_xlfn.XLOOKUP($S101:$AL101,增益!$A:$A,增益!$G:$G,0))</f>
        <v>0.028</v>
      </c>
      <c r="AX101" s="26" cm="1">
        <f t="array" ref="AX101">VLOOKUP($R101,武学奇术!$A:$ZZ,8,FALSE)+SUM(_xlfn.XLOOKUP($S101:$AL101,增益!$A:$A,增益!$H:$H,0))</f>
        <v>0</v>
      </c>
      <c r="AY101">
        <f t="shared" si="13"/>
        <v>0</v>
      </c>
      <c r="AZ101">
        <f t="shared" si="14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15"/>
        <v>0</v>
      </c>
      <c r="BD101">
        <f t="shared" si="16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17"/>
        <v>0</v>
      </c>
      <c r="BH101">
        <f t="shared" si="18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19"/>
        <v>571.2</v>
      </c>
      <c r="BL101">
        <f t="shared" si="20"/>
        <v>1627.8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6">
        <f>MIN(IF(VLOOKUP($R101,武学奇术!$A:$ZZ,23,FALSE)=1,100%,$B$8),100%)</f>
        <v>0.981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0.846</v>
      </c>
      <c r="BQ101" s="26" cm="1">
        <f t="array" ref="BQ101">1+$B$13+VLOOKUP($R101,武学奇术!$A:$ZZ,18,FALSE)+SUM(_xlfn.XLOOKUP($S101:$AL101,增益!$A:$A,增益!$R:$R,0))</f>
        <v>1.54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0.0929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21"/>
        <v>0.829926</v>
      </c>
      <c r="BU101" s="26">
        <f t="shared" si="22"/>
        <v>0.0599391</v>
      </c>
      <c r="BV101" s="26">
        <f>IF(VLOOKUP($R101,武学奇术!$A:$ZZ,22,FALSE)=1,0,(1-$BO101))*(1-$BR101)</f>
        <v>0.0172349</v>
      </c>
      <c r="BW101" s="26" cm="1">
        <f t="array" ref="BW101">SUM(_xlfn.XLOOKUP($S101:$AL101,增益!$A:$A,增益!$W:$W,0))+$I$5</f>
        <v>0.11</v>
      </c>
      <c r="BX101" s="26" cm="1">
        <f t="array" ref="BX101">SUM(_xlfn.XLOOKUP($S101:$AL101,增益!$A:$A,增益!$X:$X,0))</f>
        <v>0</v>
      </c>
    </row>
    <row r="102" spans="11:76">
      <c r="K102">
        <f>$L102*VLOOKUP($R102,武学奇术!$A:$ZZ,31,FALSE)</f>
        <v>0</v>
      </c>
      <c r="L102" s="38">
        <f t="shared" ref="L102:L127" si="24">($M102*$BT102+$N102*$BR102+$O102*$BU102+$P102*$BV102)</f>
        <v>0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</f>
        <v>0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</f>
        <v>0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</f>
        <v>0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</f>
        <v>0</v>
      </c>
      <c r="Q102" s="39">
        <v>1</v>
      </c>
      <c r="R102" s="40" t="s">
        <v>78</v>
      </c>
      <c r="S102" s="40" t="s">
        <v>78</v>
      </c>
      <c r="T102" s="40" t="s">
        <v>78</v>
      </c>
      <c r="U102" s="40" t="s">
        <v>78</v>
      </c>
      <c r="V102" s="40" t="s">
        <v>78</v>
      </c>
      <c r="W102" s="40" t="s">
        <v>78</v>
      </c>
      <c r="X102" s="40" t="s">
        <v>78</v>
      </c>
      <c r="Y102" s="40" t="s">
        <v>78</v>
      </c>
      <c r="Z102" s="40" t="s">
        <v>78</v>
      </c>
      <c r="AA102" s="40" t="s">
        <v>78</v>
      </c>
      <c r="AB102" s="40" t="s">
        <v>78</v>
      </c>
      <c r="AC102" s="40" t="s">
        <v>78</v>
      </c>
      <c r="AD102" s="40" t="s">
        <v>78</v>
      </c>
      <c r="AE102" s="40" t="s">
        <v>78</v>
      </c>
      <c r="AF102" s="40" t="s">
        <v>78</v>
      </c>
      <c r="AG102" s="40" t="s">
        <v>85</v>
      </c>
      <c r="AH102" s="40" t="s">
        <v>78</v>
      </c>
      <c r="AI102" s="40" t="s">
        <v>78</v>
      </c>
      <c r="AJ102" s="40" t="s">
        <v>78</v>
      </c>
      <c r="AK102" s="40" t="s">
        <v>78</v>
      </c>
      <c r="AL102" s="40" t="s">
        <v>78</v>
      </c>
      <c r="AM102" t="str">
        <f>VLOOKUP($R102,武学奇术!$A:$ZZ,25,FALSE)</f>
        <v>心法</v>
      </c>
      <c r="AN102" s="26">
        <f>VLOOKUP($R102,武学奇术!$A:$ZZ,26,FALSE)</f>
        <v>0</v>
      </c>
      <c r="AO102" s="27">
        <f>VLOOKUP($R102,武学奇术!$A:$ZZ,27,FALSE)*(1+IF(OR($AM102=$F$4,$AM102=$F$5),$B$22,0))</f>
        <v>0</v>
      </c>
      <c r="AP102" s="26">
        <f>VLOOKUP($R102,武学奇术!$A:$ZZ,28,FALSE)</f>
        <v>0</v>
      </c>
      <c r="AQ102" s="27">
        <f>VLOOKUP($R102,武学奇术!$A:$ZZ,29,FALSE)*(1+IF(OR($AM102=$F$4,$AM102=$F$5),$B$22,0))</f>
        <v>0</v>
      </c>
      <c r="AR102" s="26" cm="1">
        <f t="array" ref="AR102">$G$3+IFERROR(VLOOKUP($AM102,$F$4:$G$7,2,FALSE),0)+VLOOKUP($R102,武学奇术!$A:$ZZ,2,FALSE)+SUM(_xlfn.XLOOKUP($S102:$AL102,增益!$A:$A,增益!$B:$B,0))</f>
        <v>0.1037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3574.6</v>
      </c>
      <c r="AU102" cm="1">
        <f t="array" ref="AU102">$E$10*(1+$AS102)+VLOOKUP($R102,武学奇术!$A:$ZZ,4,FALSE)+SUM(_xlfn.XLOOKUP($S102:$AL102,增益!$A:$A,增益!$D:$D,0))-$I$2</f>
        <v>3574.6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0.1925</v>
      </c>
      <c r="AW102" s="32" cm="1">
        <f t="array" ref="AW102">$G$10+VLOOKUP($R102,武学奇术!$A:$ZZ,7,FALSE)+SUM(_xlfn.XLOOKUP($S102:$AL102,增益!$A:$A,增益!$G:$G,0))</f>
        <v>0.028</v>
      </c>
      <c r="AX102" s="26" cm="1">
        <f t="array" ref="AX102">VLOOKUP($R102,武学奇术!$A:$ZZ,8,FALSE)+SUM(_xlfn.XLOOKUP($S102:$AL102,增益!$A:$A,增益!$H:$H,0))</f>
        <v>0</v>
      </c>
      <c r="AY102">
        <f t="shared" si="13"/>
        <v>0</v>
      </c>
      <c r="AZ102">
        <f t="shared" si="14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15"/>
        <v>0</v>
      </c>
      <c r="BD102">
        <f t="shared" si="16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17"/>
        <v>0</v>
      </c>
      <c r="BH102">
        <f t="shared" si="18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19"/>
        <v>571.2</v>
      </c>
      <c r="BL102">
        <f t="shared" si="20"/>
        <v>1627.8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6">
        <f>MIN(IF(VLOOKUP($R102,武学奇术!$A:$ZZ,23,FALSE)=1,100%,$B$8),100%)</f>
        <v>0.981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0.846</v>
      </c>
      <c r="BQ102" s="26" cm="1">
        <f t="array" ref="BQ102">1+$B$13+VLOOKUP($R102,武学奇术!$A:$ZZ,18,FALSE)+SUM(_xlfn.XLOOKUP($S102:$AL102,增益!$A:$A,增益!$R:$R,0))</f>
        <v>1.54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0.0929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21"/>
        <v>0.829926</v>
      </c>
      <c r="BU102" s="26">
        <f t="shared" si="22"/>
        <v>0.0599391</v>
      </c>
      <c r="BV102" s="26">
        <f>IF(VLOOKUP($R102,武学奇术!$A:$ZZ,22,FALSE)=1,0,(1-$BO102))*(1-$BR102)</f>
        <v>0.0172349</v>
      </c>
      <c r="BW102" s="26" cm="1">
        <f t="array" ref="BW102">SUM(_xlfn.XLOOKUP($S102:$AL102,增益!$A:$A,增益!$W:$W,0))+$I$5</f>
        <v>0.11</v>
      </c>
      <c r="BX102" s="26" cm="1">
        <f t="array" ref="BX102">SUM(_xlfn.XLOOKUP($S102:$AL102,增益!$A:$A,增益!$X:$X,0))</f>
        <v>0</v>
      </c>
    </row>
    <row r="103" spans="11:76">
      <c r="K103">
        <f>$L103*VLOOKUP($R103,武学奇术!$A:$ZZ,31,FALSE)</f>
        <v>18211.2209152882</v>
      </c>
      <c r="L103" s="38">
        <f t="shared" si="24"/>
        <v>17344.0199193221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</f>
        <v>18032.3254209098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</f>
        <v>16727.9559590102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</f>
        <v>10995.3203786036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</f>
        <v>9599.56226905137</v>
      </c>
      <c r="Q103" s="39">
        <v>1</v>
      </c>
      <c r="R103" s="40" t="s">
        <v>109</v>
      </c>
      <c r="S103" s="40" t="s">
        <v>78</v>
      </c>
      <c r="T103" s="40" t="s">
        <v>78</v>
      </c>
      <c r="U103" s="40" t="s">
        <v>78</v>
      </c>
      <c r="V103" s="40" t="s">
        <v>78</v>
      </c>
      <c r="W103" s="40" t="s">
        <v>181</v>
      </c>
      <c r="X103" s="40" t="s">
        <v>78</v>
      </c>
      <c r="Y103" s="40" t="s">
        <v>78</v>
      </c>
      <c r="Z103" s="40" t="s">
        <v>78</v>
      </c>
      <c r="AA103" s="40" t="s">
        <v>78</v>
      </c>
      <c r="AB103" s="40" t="s">
        <v>78</v>
      </c>
      <c r="AC103" s="40" t="s">
        <v>78</v>
      </c>
      <c r="AD103" s="40" t="s">
        <v>78</v>
      </c>
      <c r="AE103" s="40" t="s">
        <v>78</v>
      </c>
      <c r="AF103" s="40" t="s">
        <v>78</v>
      </c>
      <c r="AG103" s="40" t="s">
        <v>85</v>
      </c>
      <c r="AH103" s="40" t="s">
        <v>78</v>
      </c>
      <c r="AI103" s="40" t="s">
        <v>78</v>
      </c>
      <c r="AJ103" s="40" t="s">
        <v>78</v>
      </c>
      <c r="AK103" s="40" t="s">
        <v>78</v>
      </c>
      <c r="AL103" s="40" t="s">
        <v>78</v>
      </c>
      <c r="AM103" t="str">
        <f>VLOOKUP($R103,武学奇术!$A:$ZZ,25,FALSE)</f>
        <v>绳镖</v>
      </c>
      <c r="AN103" s="26">
        <f>VLOOKUP($R103,武学奇术!$A:$ZZ,26,FALSE)</f>
        <v>1.1137</v>
      </c>
      <c r="AO103" s="27">
        <f>VLOOKUP($R103,武学奇术!$A:$ZZ,27,FALSE)*(1+IF(OR($AM103=$F$4,$AM103=$F$5),$B$22,0))</f>
        <v>463.5</v>
      </c>
      <c r="AP103" s="26">
        <f>VLOOKUP($R103,武学奇术!$A:$ZZ,28,FALSE)</f>
        <v>1.6706</v>
      </c>
      <c r="AQ103" s="27">
        <f>VLOOKUP($R103,武学奇术!$A:$ZZ,29,FALSE)*(1+IF(OR($AM103=$F$4,$AM103=$F$5),$B$22,0))</f>
        <v>252</v>
      </c>
      <c r="AR103" s="26" cm="1">
        <f t="array" ref="AR103">$G$3+IFERROR(VLOOKUP($AM103,$F$4:$G$7,2,FALSE),0)+VLOOKUP($R103,武学奇术!$A:$ZZ,2,FALSE)+SUM(_xlfn.XLOOKUP($S103:$AL103,增益!$A:$A,增益!$B:$B,0))</f>
        <v>0.2389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3574.6</v>
      </c>
      <c r="AU103" cm="1">
        <f t="array" ref="AU103">$E$10*(1+$AS103)+VLOOKUP($R103,武学奇术!$A:$ZZ,4,FALSE)+SUM(_xlfn.XLOOKUP($S103:$AL103,增益!$A:$A,增益!$D:$D,0))-$I$2</f>
        <v>3574.6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0.1925</v>
      </c>
      <c r="AW103" s="32" cm="1">
        <f t="array" ref="AW103">$G$10+VLOOKUP($R103,武学奇术!$A:$ZZ,7,FALSE)+SUM(_xlfn.XLOOKUP($S103:$AL103,增益!$A:$A,增益!$G:$G,0))</f>
        <v>0.028</v>
      </c>
      <c r="AX103" s="26" cm="1">
        <f t="array" ref="AX103">VLOOKUP($R103,武学奇术!$A:$ZZ,8,FALSE)+SUM(_xlfn.XLOOKUP($S103:$AL103,增益!$A:$A,增益!$H:$H,0))</f>
        <v>0</v>
      </c>
      <c r="AY103">
        <f t="shared" si="13"/>
        <v>0</v>
      </c>
      <c r="AZ103">
        <f t="shared" si="14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15"/>
        <v>0</v>
      </c>
      <c r="BD103">
        <f t="shared" si="16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17"/>
        <v>0</v>
      </c>
      <c r="BH103">
        <f t="shared" si="18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19"/>
        <v>571.2</v>
      </c>
      <c r="BL103">
        <f t="shared" si="20"/>
        <v>1627.8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6">
        <f>MIN(IF(VLOOKUP($R103,武学奇术!$A:$ZZ,23,FALSE)=1,100%,$B$8),100%)</f>
        <v>0.981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0.846</v>
      </c>
      <c r="BQ103" s="26" cm="1">
        <f t="array" ref="BQ103">1+$B$13+VLOOKUP($R103,武学奇术!$A:$ZZ,18,FALSE)+SUM(_xlfn.XLOOKUP($S103:$AL103,增益!$A:$A,增益!$R:$R,0))</f>
        <v>1.64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0.0929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21"/>
        <v>0.829926</v>
      </c>
      <c r="BU103" s="26">
        <f t="shared" si="22"/>
        <v>0.0599391</v>
      </c>
      <c r="BV103" s="26">
        <f>IF(VLOOKUP($R103,武学奇术!$A:$ZZ,22,FALSE)=1,0,(1-$BO103))*(1-$BR103)</f>
        <v>0.0172349</v>
      </c>
      <c r="BW103" s="26" cm="1">
        <f t="array" ref="BW103">SUM(_xlfn.XLOOKUP($S103:$AL103,增益!$A:$A,增益!$W:$W,0))+$I$5</f>
        <v>0.11</v>
      </c>
      <c r="BX103" s="26" cm="1">
        <f t="array" ref="BX103">SUM(_xlfn.XLOOKUP($S103:$AL103,增益!$A:$A,增益!$X:$X,0))</f>
        <v>0</v>
      </c>
    </row>
    <row r="104" spans="11:76">
      <c r="K104">
        <f>$L104*VLOOKUP($R104,武学奇术!$A:$ZZ,31,FALSE)</f>
        <v>13342.4395385079</v>
      </c>
      <c r="L104" s="38">
        <f t="shared" si="24"/>
        <v>12707.0852747694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</f>
        <v>13211.4293712456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</f>
        <v>12255.089533837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</f>
        <v>8055.74961661316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</f>
        <v>7033.65513408778</v>
      </c>
      <c r="Q104" s="39">
        <v>1</v>
      </c>
      <c r="R104" s="40" t="s">
        <v>113</v>
      </c>
      <c r="S104" s="40" t="s">
        <v>78</v>
      </c>
      <c r="T104" s="40" t="s">
        <v>78</v>
      </c>
      <c r="U104" s="40" t="s">
        <v>78</v>
      </c>
      <c r="V104" s="40" t="s">
        <v>78</v>
      </c>
      <c r="W104" s="40" t="s">
        <v>181</v>
      </c>
      <c r="X104" s="40" t="s">
        <v>78</v>
      </c>
      <c r="Y104" s="40" t="s">
        <v>78</v>
      </c>
      <c r="Z104" s="40" t="s">
        <v>78</v>
      </c>
      <c r="AA104" s="40" t="s">
        <v>78</v>
      </c>
      <c r="AB104" s="40" t="s">
        <v>78</v>
      </c>
      <c r="AC104" s="40" t="s">
        <v>78</v>
      </c>
      <c r="AD104" s="40" t="s">
        <v>78</v>
      </c>
      <c r="AE104" s="40" t="s">
        <v>78</v>
      </c>
      <c r="AF104" s="40" t="s">
        <v>78</v>
      </c>
      <c r="AG104" s="40" t="s">
        <v>85</v>
      </c>
      <c r="AH104" s="40" t="s">
        <v>78</v>
      </c>
      <c r="AI104" s="40" t="s">
        <v>78</v>
      </c>
      <c r="AJ104" s="40" t="s">
        <v>78</v>
      </c>
      <c r="AK104" s="40" t="s">
        <v>78</v>
      </c>
      <c r="AL104" s="40" t="s">
        <v>78</v>
      </c>
      <c r="AM104" t="str">
        <f>VLOOKUP($R104,武学奇术!$A:$ZZ,25,FALSE)</f>
        <v>绳镖</v>
      </c>
      <c r="AN104" s="26">
        <f>VLOOKUP($R104,武学奇术!$A:$ZZ,26,FALSE)</f>
        <v>0.7839</v>
      </c>
      <c r="AO104" s="27">
        <f>VLOOKUP($R104,武学奇术!$A:$ZZ,27,FALSE)*(1+IF(OR($AM104=$F$4,$AM104=$F$5),$B$22,0))</f>
        <v>327</v>
      </c>
      <c r="AP104" s="26">
        <f>VLOOKUP($R104,武学奇术!$A:$ZZ,28,FALSE)</f>
        <v>1.1759</v>
      </c>
      <c r="AQ104" s="27">
        <f>VLOOKUP($R104,武学奇术!$A:$ZZ,29,FALSE)*(1+IF(OR($AM104=$F$4,$AM104=$F$5),$B$22,0))</f>
        <v>178.5</v>
      </c>
      <c r="AR104" s="26" cm="1">
        <f t="array" ref="AR104">$G$3+IFERROR(VLOOKUP($AM104,$F$4:$G$7,2,FALSE),0)+VLOOKUP($R104,武学奇术!$A:$ZZ,2,FALSE)+SUM(_xlfn.XLOOKUP($S104:$AL104,增益!$A:$A,增益!$B:$B,0))</f>
        <v>0.2889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3574.6</v>
      </c>
      <c r="AU104" cm="1">
        <f t="array" ref="AU104">$E$10*(1+$AS104)+VLOOKUP($R104,武学奇术!$A:$ZZ,4,FALSE)+SUM(_xlfn.XLOOKUP($S104:$AL104,增益!$A:$A,增益!$D:$D,0))-$I$2</f>
        <v>3574.6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0.1925</v>
      </c>
      <c r="AW104" s="32" cm="1">
        <f t="array" ref="AW104">$G$10+VLOOKUP($R104,武学奇术!$A:$ZZ,7,FALSE)+SUM(_xlfn.XLOOKUP($S104:$AL104,增益!$A:$A,增益!$G:$G,0))</f>
        <v>0.028</v>
      </c>
      <c r="AX104" s="26" cm="1">
        <f t="array" ref="AX104">VLOOKUP($R104,武学奇术!$A:$ZZ,8,FALSE)+SUM(_xlfn.XLOOKUP($S104:$AL104,增益!$A:$A,增益!$H:$H,0))</f>
        <v>0</v>
      </c>
      <c r="AY104">
        <f t="shared" si="13"/>
        <v>0</v>
      </c>
      <c r="AZ104">
        <f t="shared" si="14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15"/>
        <v>0</v>
      </c>
      <c r="BD104">
        <f t="shared" si="16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17"/>
        <v>0</v>
      </c>
      <c r="BH104">
        <f t="shared" si="18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19"/>
        <v>571.2</v>
      </c>
      <c r="BL104">
        <f t="shared" si="20"/>
        <v>1627.8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6">
        <f>MIN(IF(VLOOKUP($R104,武学奇术!$A:$ZZ,23,FALSE)=1,100%,$B$8),100%)</f>
        <v>0.981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0.846</v>
      </c>
      <c r="BQ104" s="26" cm="1">
        <f t="array" ref="BQ104">1+$B$13+VLOOKUP($R104,武学奇术!$A:$ZZ,18,FALSE)+SUM(_xlfn.XLOOKUP($S104:$AL104,增益!$A:$A,增益!$R:$R,0))</f>
        <v>1.64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0.0929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21"/>
        <v>0.829926</v>
      </c>
      <c r="BU104" s="26">
        <f t="shared" si="22"/>
        <v>0.0599391</v>
      </c>
      <c r="BV104" s="26">
        <f>IF(VLOOKUP($R104,武学奇术!$A:$ZZ,22,FALSE)=1,0,(1-$BO104))*(1-$BR104)</f>
        <v>0.0172349</v>
      </c>
      <c r="BW104" s="26" cm="1">
        <f t="array" ref="BW104">SUM(_xlfn.XLOOKUP($S104:$AL104,增益!$A:$A,增益!$W:$W,0))+$I$5</f>
        <v>0.11</v>
      </c>
      <c r="BX104" s="26" cm="1">
        <f t="array" ref="BX104">SUM(_xlfn.XLOOKUP($S104:$AL104,增益!$A:$A,增益!$X:$X,0))</f>
        <v>0</v>
      </c>
    </row>
    <row r="105" spans="11:76">
      <c r="K105">
        <f>$L105*VLOOKUP($R105,武学奇术!$A:$ZZ,31,FALSE)</f>
        <v>62501.4720440321</v>
      </c>
      <c r="L105" s="38">
        <f t="shared" si="24"/>
        <v>59525.2114705068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</f>
        <v>63119.8490052805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</f>
        <v>50172.2436571061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</f>
        <v>33047.0413640212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</f>
        <v>28929.4577968528</v>
      </c>
      <c r="Q105" s="39">
        <v>1</v>
      </c>
      <c r="R105" s="40" t="s">
        <v>115</v>
      </c>
      <c r="S105" s="40" t="s">
        <v>116</v>
      </c>
      <c r="T105" s="40" t="s">
        <v>78</v>
      </c>
      <c r="U105" s="40" t="s">
        <v>79</v>
      </c>
      <c r="V105" s="40" t="s">
        <v>78</v>
      </c>
      <c r="W105" s="40" t="s">
        <v>181</v>
      </c>
      <c r="X105" s="40" t="s">
        <v>90</v>
      </c>
      <c r="Y105" s="40" t="s">
        <v>78</v>
      </c>
      <c r="Z105" s="40" t="s">
        <v>78</v>
      </c>
      <c r="AA105" s="40" t="s">
        <v>78</v>
      </c>
      <c r="AB105" s="40" t="s">
        <v>78</v>
      </c>
      <c r="AC105" s="40" t="s">
        <v>78</v>
      </c>
      <c r="AD105" s="40" t="s">
        <v>78</v>
      </c>
      <c r="AE105" s="40" t="s">
        <v>78</v>
      </c>
      <c r="AF105" s="40" t="s">
        <v>78</v>
      </c>
      <c r="AG105" s="40" t="s">
        <v>85</v>
      </c>
      <c r="AH105" s="40" t="s">
        <v>78</v>
      </c>
      <c r="AI105" s="40" t="s">
        <v>78</v>
      </c>
      <c r="AJ105" s="40" t="s">
        <v>78</v>
      </c>
      <c r="AK105" s="40" t="s">
        <v>78</v>
      </c>
      <c r="AL105" s="40" t="s">
        <v>78</v>
      </c>
      <c r="AM105" t="str">
        <f>VLOOKUP($R105,武学奇术!$A:$ZZ,25,FALSE)</f>
        <v>伞</v>
      </c>
      <c r="AN105" s="26">
        <f>VLOOKUP($R105,武学奇术!$A:$ZZ,26,FALSE)</f>
        <v>1.8084</v>
      </c>
      <c r="AO105" s="27">
        <f>VLOOKUP($R105,武学奇术!$A:$ZZ,27,FALSE)*(1+IF(OR($AM105=$F$4,$AM105=$F$5),$B$22,0))</f>
        <v>750</v>
      </c>
      <c r="AP105" s="26">
        <f>VLOOKUP($R105,武学奇术!$A:$ZZ,28,FALSE)</f>
        <v>2.7126</v>
      </c>
      <c r="AQ105" s="27">
        <f>VLOOKUP($R105,武学奇术!$A:$ZZ,29,FALSE)*(1+IF(OR($AM105=$F$4,$AM105=$F$5),$B$22,0))</f>
        <v>408</v>
      </c>
      <c r="AR105" s="26" cm="1">
        <f t="array" ref="AR105">$G$3+IFERROR(VLOOKUP($AM105,$F$4:$G$7,2,FALSE),0)+VLOOKUP($R105,武学奇术!$A:$ZZ,2,FALSE)+SUM(_xlfn.XLOOKUP($S105:$AL105,增益!$A:$A,增益!$B:$B,0))</f>
        <v>0.5441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3574.6</v>
      </c>
      <c r="AU105" cm="1">
        <f t="array" ref="AU105">$E$10*(1+$AS105)+VLOOKUP($R105,武学奇术!$A:$ZZ,4,FALSE)+SUM(_xlfn.XLOOKUP($S105:$AL105,增益!$A:$A,增益!$D:$D,0))-$I$2</f>
        <v>3574.6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0.2125</v>
      </c>
      <c r="AW105" s="32" cm="1">
        <f t="array" ref="AW105">$G$10+VLOOKUP($R105,武学奇术!$A:$ZZ,7,FALSE)+SUM(_xlfn.XLOOKUP($S105:$AL105,增益!$A:$A,增益!$G:$G,0))</f>
        <v>0.148</v>
      </c>
      <c r="AX105" s="26" cm="1">
        <f t="array" ref="AX105">VLOOKUP($R105,武学奇术!$A:$ZZ,8,FALSE)+SUM(_xlfn.XLOOKUP($S105:$AL105,增益!$A:$A,增益!$H:$H,0))</f>
        <v>0</v>
      </c>
      <c r="AY105">
        <f t="shared" si="13"/>
        <v>0</v>
      </c>
      <c r="AZ105">
        <f t="shared" si="14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15"/>
        <v>0</v>
      </c>
      <c r="BD105">
        <f t="shared" si="16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17"/>
        <v>0</v>
      </c>
      <c r="BH105">
        <f t="shared" si="18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19"/>
        <v>571.2</v>
      </c>
      <c r="BL105">
        <f t="shared" si="20"/>
        <v>1627.8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0.27</v>
      </c>
      <c r="BO105" s="26">
        <f>MIN(IF(VLOOKUP($R105,武学奇术!$A:$ZZ,23,FALSE)=1,100%,$B$8),100%)</f>
        <v>0.981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0.846</v>
      </c>
      <c r="BQ105" s="26" cm="1">
        <f t="array" ref="BQ105">1+$B$13+VLOOKUP($R105,武学奇术!$A:$ZZ,18,FALSE)+SUM(_xlfn.XLOOKUP($S105:$AL105,增益!$A:$A,增益!$R:$R,0))</f>
        <v>1.91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0.0929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21"/>
        <v>0.829926</v>
      </c>
      <c r="BU105" s="26">
        <f t="shared" si="22"/>
        <v>0.0599391</v>
      </c>
      <c r="BV105" s="26">
        <f>IF(VLOOKUP($R105,武学奇术!$A:$ZZ,22,FALSE)=1,0,(1-$BO105))*(1-$BR105)</f>
        <v>0.0172349</v>
      </c>
      <c r="BW105" s="26" cm="1">
        <f t="array" ref="BW105">SUM(_xlfn.XLOOKUP($S105:$AL105,增益!$A:$A,增益!$W:$W,0))+$I$5</f>
        <v>0.11</v>
      </c>
      <c r="BX105" s="26" cm="1">
        <f t="array" ref="BX105">SUM(_xlfn.XLOOKUP($S105:$AL105,增益!$A:$A,增益!$X:$X,0))</f>
        <v>0</v>
      </c>
    </row>
    <row r="106" spans="11:76">
      <c r="K106">
        <f>$L106*VLOOKUP($R106,武学奇术!$A:$ZZ,31,FALSE)</f>
        <v>36944.076588069</v>
      </c>
      <c r="L106" s="38">
        <f t="shared" si="24"/>
        <v>35184.83484578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</f>
        <v>37269.8675422826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</f>
        <v>30092.3187036825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</f>
        <v>19513.0196556453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</f>
        <v>16735.4328641184</v>
      </c>
      <c r="Q106" s="39">
        <v>2</v>
      </c>
      <c r="R106" s="40" t="s">
        <v>119</v>
      </c>
      <c r="S106" s="40" t="s">
        <v>116</v>
      </c>
      <c r="T106" s="40" t="s">
        <v>78</v>
      </c>
      <c r="U106" s="40" t="s">
        <v>79</v>
      </c>
      <c r="V106" s="40" t="s">
        <v>78</v>
      </c>
      <c r="W106" s="40" t="s">
        <v>181</v>
      </c>
      <c r="X106" s="40" t="s">
        <v>90</v>
      </c>
      <c r="Y106" s="40" t="s">
        <v>78</v>
      </c>
      <c r="Z106" s="40" t="s">
        <v>78</v>
      </c>
      <c r="AA106" s="40" t="s">
        <v>78</v>
      </c>
      <c r="AB106" s="40" t="s">
        <v>78</v>
      </c>
      <c r="AC106" s="40" t="s">
        <v>78</v>
      </c>
      <c r="AD106" s="40" t="s">
        <v>78</v>
      </c>
      <c r="AE106" s="40" t="s">
        <v>78</v>
      </c>
      <c r="AF106" s="40" t="s">
        <v>78</v>
      </c>
      <c r="AG106" s="40" t="s">
        <v>85</v>
      </c>
      <c r="AH106" s="40" t="s">
        <v>78</v>
      </c>
      <c r="AI106" s="40" t="s">
        <v>78</v>
      </c>
      <c r="AJ106" s="40" t="s">
        <v>78</v>
      </c>
      <c r="AK106" s="40" t="s">
        <v>78</v>
      </c>
      <c r="AL106" s="40" t="s">
        <v>78</v>
      </c>
      <c r="AM106" t="str">
        <f>VLOOKUP($R106,武学奇术!$A:$ZZ,25,FALSE)</f>
        <v>伞</v>
      </c>
      <c r="AN106" s="26">
        <f>VLOOKUP($R106,武学奇术!$A:$ZZ,26,FALSE)</f>
        <v>0.54</v>
      </c>
      <c r="AO106" s="27">
        <f>VLOOKUP($R106,武学奇术!$A:$ZZ,27,FALSE)*(1+IF(OR($AM106=$F$4,$AM106=$F$5),$B$22,0))</f>
        <v>0</v>
      </c>
      <c r="AP106" s="26">
        <f>VLOOKUP($R106,武学奇术!$A:$ZZ,28,FALSE)</f>
        <v>0.81</v>
      </c>
      <c r="AQ106" s="27">
        <f>VLOOKUP($R106,武学奇术!$A:$ZZ,29,FALSE)*(1+IF(OR($AM106=$F$4,$AM106=$F$5),$B$22,0))</f>
        <v>0</v>
      </c>
      <c r="AR106" s="26" cm="1">
        <f t="array" ref="AR106">$G$3+IFERROR(VLOOKUP($AM106,$F$4:$G$7,2,FALSE),0)+VLOOKUP($R106,武学奇术!$A:$ZZ,2,FALSE)+SUM(_xlfn.XLOOKUP($S106:$AL106,增益!$A:$A,增益!$B:$B,0))</f>
        <v>0.7441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3574.6</v>
      </c>
      <c r="AU106" cm="1">
        <f t="array" ref="AU106">$E$10*(1+$AS106)+VLOOKUP($R106,武学奇术!$A:$ZZ,4,FALSE)+SUM(_xlfn.XLOOKUP($S106:$AL106,增益!$A:$A,增益!$D:$D,0))-$I$2</f>
        <v>3574.6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0.2125</v>
      </c>
      <c r="AW106" s="32" cm="1">
        <f t="array" ref="AW106">$G$10+VLOOKUP($R106,武学奇术!$A:$ZZ,7,FALSE)+SUM(_xlfn.XLOOKUP($S106:$AL106,增益!$A:$A,增益!$G:$G,0))</f>
        <v>0.148</v>
      </c>
      <c r="AX106" s="26" cm="1">
        <f t="array" ref="AX106">VLOOKUP($R106,武学奇术!$A:$ZZ,8,FALSE)+SUM(_xlfn.XLOOKUP($S106:$AL106,增益!$A:$A,增益!$H:$H,0))</f>
        <v>0</v>
      </c>
      <c r="AY106">
        <f t="shared" si="13"/>
        <v>0</v>
      </c>
      <c r="AZ106">
        <f t="shared" si="14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15"/>
        <v>0</v>
      </c>
      <c r="BD106">
        <f t="shared" si="16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17"/>
        <v>0</v>
      </c>
      <c r="BH106">
        <f t="shared" si="18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19"/>
        <v>571.2</v>
      </c>
      <c r="BL106">
        <f t="shared" si="20"/>
        <v>1627.8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0.27</v>
      </c>
      <c r="BO106" s="26">
        <f>MIN(IF(VLOOKUP($R106,武学奇术!$A:$ZZ,23,FALSE)=1,100%,$B$8),100%)</f>
        <v>0.981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0.846</v>
      </c>
      <c r="BQ106" s="26" cm="1">
        <f t="array" ref="BQ106">1+$B$13+VLOOKUP($R106,武学奇术!$A:$ZZ,18,FALSE)+SUM(_xlfn.XLOOKUP($S106:$AL106,增益!$A:$A,增益!$R:$R,0))</f>
        <v>1.91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0.0929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21"/>
        <v>0.829926</v>
      </c>
      <c r="BU106" s="26">
        <f t="shared" si="22"/>
        <v>0.0599391</v>
      </c>
      <c r="BV106" s="26">
        <f>IF(VLOOKUP($R106,武学奇术!$A:$ZZ,22,FALSE)=1,0,(1-$BO106))*(1-$BR106)</f>
        <v>0.0172349</v>
      </c>
      <c r="BW106" s="26" cm="1">
        <f t="array" ref="BW106">SUM(_xlfn.XLOOKUP($S106:$AL106,增益!$A:$A,增益!$W:$W,0))+$I$5</f>
        <v>0.11</v>
      </c>
      <c r="BX106" s="26" cm="1">
        <f t="array" ref="BX106">SUM(_xlfn.XLOOKUP($S106:$AL106,增益!$A:$A,增益!$X:$X,0))</f>
        <v>0</v>
      </c>
    </row>
    <row r="107" spans="11:76">
      <c r="K107">
        <f>$L107*VLOOKUP($R107,武学奇术!$A:$ZZ,31,FALSE)</f>
        <v>64952.3933527866</v>
      </c>
      <c r="L107" s="38">
        <f t="shared" si="24"/>
        <v>61859.4222407491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</f>
        <v>65840.9241814884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</f>
        <v>50678.1528639055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</f>
        <v>33421.7889246134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</f>
        <v>29304.205357445</v>
      </c>
      <c r="Q107" s="39">
        <v>1</v>
      </c>
      <c r="R107" s="40" t="s">
        <v>115</v>
      </c>
      <c r="S107" s="40" t="s">
        <v>116</v>
      </c>
      <c r="T107" s="40" t="s">
        <v>121</v>
      </c>
      <c r="U107" s="40" t="s">
        <v>79</v>
      </c>
      <c r="V107" s="40" t="s">
        <v>78</v>
      </c>
      <c r="W107" s="40" t="s">
        <v>181</v>
      </c>
      <c r="X107" s="40" t="s">
        <v>90</v>
      </c>
      <c r="Y107" s="40" t="s">
        <v>78</v>
      </c>
      <c r="Z107" s="40" t="s">
        <v>78</v>
      </c>
      <c r="AA107" s="40" t="s">
        <v>78</v>
      </c>
      <c r="AB107" s="40" t="s">
        <v>122</v>
      </c>
      <c r="AC107" s="40" t="s">
        <v>78</v>
      </c>
      <c r="AD107" s="40" t="s">
        <v>78</v>
      </c>
      <c r="AE107" s="40" t="s">
        <v>78</v>
      </c>
      <c r="AF107" s="40" t="s">
        <v>78</v>
      </c>
      <c r="AG107" s="40" t="s">
        <v>85</v>
      </c>
      <c r="AH107" s="40" t="s">
        <v>78</v>
      </c>
      <c r="AI107" s="40" t="s">
        <v>78</v>
      </c>
      <c r="AJ107" s="40" t="s">
        <v>78</v>
      </c>
      <c r="AK107" s="40" t="s">
        <v>78</v>
      </c>
      <c r="AL107" s="40" t="s">
        <v>78</v>
      </c>
      <c r="AM107" t="str">
        <f>VLOOKUP($R107,武学奇术!$A:$ZZ,25,FALSE)</f>
        <v>伞</v>
      </c>
      <c r="AN107" s="26">
        <f>VLOOKUP($R107,武学奇术!$A:$ZZ,26,FALSE)</f>
        <v>1.8084</v>
      </c>
      <c r="AO107" s="27">
        <f>VLOOKUP($R107,武学奇术!$A:$ZZ,27,FALSE)*(1+IF(OR($AM107=$F$4,$AM107=$F$5),$B$22,0))</f>
        <v>750</v>
      </c>
      <c r="AP107" s="26">
        <f>VLOOKUP($R107,武学奇术!$A:$ZZ,28,FALSE)</f>
        <v>2.7126</v>
      </c>
      <c r="AQ107" s="27">
        <f>VLOOKUP($R107,武学奇术!$A:$ZZ,29,FALSE)*(1+IF(OR($AM107=$F$4,$AM107=$F$5),$B$22,0))</f>
        <v>408</v>
      </c>
      <c r="AR107" s="26" cm="1">
        <f t="array" ref="AR107">$G$3+IFERROR(VLOOKUP($AM107,$F$4:$G$7,2,FALSE),0)+VLOOKUP($R107,武学奇术!$A:$ZZ,2,FALSE)+SUM(_xlfn.XLOOKUP($S107:$AL107,增益!$A:$A,增益!$B:$B,0))</f>
        <v>0.5441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3574.6</v>
      </c>
      <c r="AU107" cm="1">
        <f t="array" ref="AU107">$E$10*(1+$AS107)+VLOOKUP($R107,武学奇术!$A:$ZZ,4,FALSE)+SUM(_xlfn.XLOOKUP($S107:$AL107,增益!$A:$A,增益!$D:$D,0))-$I$2</f>
        <v>3574.6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0.2325</v>
      </c>
      <c r="AW107" s="32" cm="1">
        <f t="array" ref="AW107">$G$10+VLOOKUP($R107,武学奇术!$A:$ZZ,7,FALSE)+SUM(_xlfn.XLOOKUP($S107:$AL107,增益!$A:$A,增益!$G:$G,0))</f>
        <v>0.148</v>
      </c>
      <c r="AX107" s="26" cm="1">
        <f t="array" ref="AX107">VLOOKUP($R107,武学奇术!$A:$ZZ,8,FALSE)+SUM(_xlfn.XLOOKUP($S107:$AL107,增益!$A:$A,增益!$H:$H,0))</f>
        <v>0</v>
      </c>
      <c r="AY107">
        <f t="shared" si="13"/>
        <v>0</v>
      </c>
      <c r="AZ107">
        <f t="shared" si="14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</v>
      </c>
      <c r="BC107">
        <f t="shared" si="15"/>
        <v>0</v>
      </c>
      <c r="BD107">
        <f t="shared" si="16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</v>
      </c>
      <c r="BG107">
        <f t="shared" si="17"/>
        <v>0</v>
      </c>
      <c r="BH107">
        <f t="shared" si="18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</v>
      </c>
      <c r="BK107">
        <f t="shared" si="19"/>
        <v>571.2</v>
      </c>
      <c r="BL107">
        <f t="shared" si="20"/>
        <v>1627.8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0.27</v>
      </c>
      <c r="BO107" s="26">
        <f>MIN(IF(VLOOKUP($R107,武学奇术!$A:$ZZ,23,FALSE)=1,100%,$B$8),100%)</f>
        <v>0.981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0.846</v>
      </c>
      <c r="BQ107" s="26" cm="1">
        <f t="array" ref="BQ107">1+$B$13+VLOOKUP($R107,武学奇术!$A:$ZZ,18,FALSE)+SUM(_xlfn.XLOOKUP($S107:$AL107,增益!$A:$A,增益!$R:$R,0))</f>
        <v>1.97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0.0929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21"/>
        <v>0.829926</v>
      </c>
      <c r="BU107" s="26">
        <f t="shared" si="22"/>
        <v>0.0599391</v>
      </c>
      <c r="BV107" s="26">
        <f>IF(VLOOKUP($R107,武学奇术!$A:$ZZ,22,FALSE)=1,0,(1-$BO107))*(1-$BR107)</f>
        <v>0.0172349</v>
      </c>
      <c r="BW107" s="26" cm="1">
        <f t="array" ref="BW107">SUM(_xlfn.XLOOKUP($S107:$AL107,增益!$A:$A,增益!$W:$W,0))+$I$5</f>
        <v>0.11</v>
      </c>
      <c r="BX107" s="26" cm="1">
        <f t="array" ref="BX107">SUM(_xlfn.XLOOKUP($S107:$AL107,增益!$A:$A,增益!$X:$X,0))</f>
        <v>0</v>
      </c>
    </row>
    <row r="108" spans="11:76">
      <c r="K108">
        <f>$L108*VLOOKUP($R108,武学奇术!$A:$ZZ,31,FALSE)</f>
        <v>38401.3584541694</v>
      </c>
      <c r="L108" s="38">
        <f t="shared" si="24"/>
        <v>36572.7223373042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</f>
        <v>38886.8775338319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</f>
        <v>30398.1100216949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</f>
        <v>19739.5317430619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</f>
        <v>16961.944951535</v>
      </c>
      <c r="Q108" s="39">
        <v>2</v>
      </c>
      <c r="R108" s="40" t="s">
        <v>119</v>
      </c>
      <c r="S108" s="40" t="s">
        <v>116</v>
      </c>
      <c r="T108" s="40" t="s">
        <v>121</v>
      </c>
      <c r="U108" s="40" t="s">
        <v>79</v>
      </c>
      <c r="V108" s="40" t="s">
        <v>78</v>
      </c>
      <c r="W108" s="40" t="s">
        <v>181</v>
      </c>
      <c r="X108" s="40" t="s">
        <v>90</v>
      </c>
      <c r="Y108" s="40" t="s">
        <v>78</v>
      </c>
      <c r="Z108" s="40" t="s">
        <v>78</v>
      </c>
      <c r="AA108" s="40" t="s">
        <v>78</v>
      </c>
      <c r="AB108" s="40" t="s">
        <v>122</v>
      </c>
      <c r="AC108" s="40" t="s">
        <v>78</v>
      </c>
      <c r="AD108" s="40" t="s">
        <v>78</v>
      </c>
      <c r="AE108" s="40" t="s">
        <v>78</v>
      </c>
      <c r="AF108" s="40" t="s">
        <v>78</v>
      </c>
      <c r="AG108" s="40" t="s">
        <v>85</v>
      </c>
      <c r="AH108" s="40" t="s">
        <v>78</v>
      </c>
      <c r="AI108" s="40" t="s">
        <v>78</v>
      </c>
      <c r="AJ108" s="40" t="s">
        <v>78</v>
      </c>
      <c r="AK108" s="40" t="s">
        <v>78</v>
      </c>
      <c r="AL108" s="40" t="s">
        <v>78</v>
      </c>
      <c r="AM108" t="str">
        <f>VLOOKUP($R108,武学奇术!$A:$ZZ,25,FALSE)</f>
        <v>伞</v>
      </c>
      <c r="AN108" s="26">
        <f>VLOOKUP($R108,武学奇术!$A:$ZZ,26,FALSE)</f>
        <v>0.54</v>
      </c>
      <c r="AO108" s="27">
        <f>VLOOKUP($R108,武学奇术!$A:$ZZ,27,FALSE)*(1+IF(OR($AM108=$F$4,$AM108=$F$5),$B$22,0))</f>
        <v>0</v>
      </c>
      <c r="AP108" s="26">
        <f>VLOOKUP($R108,武学奇术!$A:$ZZ,28,FALSE)</f>
        <v>0.81</v>
      </c>
      <c r="AQ108" s="27">
        <f>VLOOKUP($R108,武学奇术!$A:$ZZ,29,FALSE)*(1+IF(OR($AM108=$F$4,$AM108=$F$5),$B$22,0))</f>
        <v>0</v>
      </c>
      <c r="AR108" s="26" cm="1">
        <f t="array" ref="AR108">$G$3+IFERROR(VLOOKUP($AM108,$F$4:$G$7,2,FALSE),0)+VLOOKUP($R108,武学奇术!$A:$ZZ,2,FALSE)+SUM(_xlfn.XLOOKUP($S108:$AL108,增益!$A:$A,增益!$B:$B,0))</f>
        <v>0.7441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3574.6</v>
      </c>
      <c r="AU108" cm="1">
        <f t="array" ref="AU108">$E$10*(1+$AS108)+VLOOKUP($R108,武学奇术!$A:$ZZ,4,FALSE)+SUM(_xlfn.XLOOKUP($S108:$AL108,增益!$A:$A,增益!$D:$D,0))-$I$2</f>
        <v>3574.6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0.2325</v>
      </c>
      <c r="AW108" s="32" cm="1">
        <f t="array" ref="AW108">$G$10+VLOOKUP($R108,武学奇术!$A:$ZZ,7,FALSE)+SUM(_xlfn.XLOOKUP($S108:$AL108,增益!$A:$A,增益!$G:$G,0))</f>
        <v>0.148</v>
      </c>
      <c r="AX108" s="26" cm="1">
        <f t="array" ref="AX108">VLOOKUP($R108,武学奇术!$A:$ZZ,8,FALSE)+SUM(_xlfn.XLOOKUP($S108:$AL108,增益!$A:$A,增益!$H:$H,0))</f>
        <v>0</v>
      </c>
      <c r="AY108">
        <f t="shared" si="13"/>
        <v>0</v>
      </c>
      <c r="AZ108">
        <f t="shared" si="14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</v>
      </c>
      <c r="BC108">
        <f t="shared" si="15"/>
        <v>0</v>
      </c>
      <c r="BD108">
        <f t="shared" si="16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</v>
      </c>
      <c r="BG108">
        <f t="shared" si="17"/>
        <v>0</v>
      </c>
      <c r="BH108">
        <f t="shared" si="18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</v>
      </c>
      <c r="BK108">
        <f t="shared" si="19"/>
        <v>571.2</v>
      </c>
      <c r="BL108">
        <f t="shared" si="20"/>
        <v>1627.8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0.27</v>
      </c>
      <c r="BO108" s="26">
        <f>MIN(IF(VLOOKUP($R108,武学奇术!$A:$ZZ,23,FALSE)=1,100%,$B$8),100%)</f>
        <v>0.981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0.846</v>
      </c>
      <c r="BQ108" s="26" cm="1">
        <f t="array" ref="BQ108">1+$B$13+VLOOKUP($R108,武学奇术!$A:$ZZ,18,FALSE)+SUM(_xlfn.XLOOKUP($S108:$AL108,增益!$A:$A,增益!$R:$R,0))</f>
        <v>1.97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0.0929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21"/>
        <v>0.829926</v>
      </c>
      <c r="BU108" s="26">
        <f t="shared" si="22"/>
        <v>0.0599391</v>
      </c>
      <c r="BV108" s="26">
        <f>IF(VLOOKUP($R108,武学奇术!$A:$ZZ,22,FALSE)=1,0,(1-$BO108))*(1-$BR108)</f>
        <v>0.0172349</v>
      </c>
      <c r="BW108" s="26" cm="1">
        <f t="array" ref="BW108">SUM(_xlfn.XLOOKUP($S108:$AL108,增益!$A:$A,增益!$W:$W,0))+$I$5</f>
        <v>0.11</v>
      </c>
      <c r="BX108" s="26" cm="1">
        <f t="array" ref="BX108">SUM(_xlfn.XLOOKUP($S108:$AL108,增益!$A:$A,增益!$X:$X,0))</f>
        <v>0</v>
      </c>
    </row>
    <row r="109" spans="11:76">
      <c r="K109">
        <f>$L109*VLOOKUP($R109,武学奇术!$A:$ZZ,31,FALSE)</f>
        <v>68253.0022064145</v>
      </c>
      <c r="L109" s="38">
        <f t="shared" si="24"/>
        <v>65002.8592442043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</f>
        <v>69434.1180853189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</f>
        <v>51770.1363986958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</f>
        <v>34203.9990568073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</f>
        <v>30059.7489293956</v>
      </c>
      <c r="Q109" s="39">
        <v>1</v>
      </c>
      <c r="R109" s="40" t="s">
        <v>115</v>
      </c>
      <c r="S109" s="40" t="s">
        <v>116</v>
      </c>
      <c r="T109" s="40" t="s">
        <v>126</v>
      </c>
      <c r="U109" s="40" t="s">
        <v>79</v>
      </c>
      <c r="V109" s="40" t="s">
        <v>78</v>
      </c>
      <c r="W109" s="40" t="s">
        <v>181</v>
      </c>
      <c r="X109" s="40" t="s">
        <v>97</v>
      </c>
      <c r="Y109" s="40" t="s">
        <v>78</v>
      </c>
      <c r="Z109" s="40" t="s">
        <v>78</v>
      </c>
      <c r="AA109" s="40" t="s">
        <v>78</v>
      </c>
      <c r="AB109" s="40" t="s">
        <v>127</v>
      </c>
      <c r="AC109" s="40" t="s">
        <v>78</v>
      </c>
      <c r="AD109" s="40" t="s">
        <v>78</v>
      </c>
      <c r="AE109" s="40" t="s">
        <v>78</v>
      </c>
      <c r="AF109" s="40" t="s">
        <v>78</v>
      </c>
      <c r="AG109" s="40" t="s">
        <v>85</v>
      </c>
      <c r="AH109" s="40" t="s">
        <v>78</v>
      </c>
      <c r="AI109" s="40" t="s">
        <v>78</v>
      </c>
      <c r="AJ109" s="40" t="s">
        <v>78</v>
      </c>
      <c r="AK109" s="40" t="s">
        <v>78</v>
      </c>
      <c r="AL109" s="40" t="s">
        <v>78</v>
      </c>
      <c r="AM109" t="str">
        <f>VLOOKUP($R109,武学奇术!$A:$ZZ,25,FALSE)</f>
        <v>伞</v>
      </c>
      <c r="AN109" s="26">
        <f>VLOOKUP($R109,武学奇术!$A:$ZZ,26,FALSE)</f>
        <v>1.8084</v>
      </c>
      <c r="AO109" s="27">
        <f>VLOOKUP($R109,武学奇术!$A:$ZZ,27,FALSE)*(1+IF(OR($AM109=$F$4,$AM109=$F$5),$B$22,0))</f>
        <v>750</v>
      </c>
      <c r="AP109" s="26">
        <f>VLOOKUP($R109,武学奇术!$A:$ZZ,28,FALSE)</f>
        <v>2.7126</v>
      </c>
      <c r="AQ109" s="27">
        <f>VLOOKUP($R109,武学奇术!$A:$ZZ,29,FALSE)*(1+IF(OR($AM109=$F$4,$AM109=$F$5),$B$22,0))</f>
        <v>408</v>
      </c>
      <c r="AR109" s="26" cm="1">
        <f t="array" ref="AR109">$G$3+IFERROR(VLOOKUP($AM109,$F$4:$G$7,2,FALSE),0)+VLOOKUP($R109,武学奇术!$A:$ZZ,2,FALSE)+SUM(_xlfn.XLOOKUP($S109:$AL109,增益!$A:$A,增益!$B:$B,0))</f>
        <v>0.5541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3574.6</v>
      </c>
      <c r="AU109" cm="1">
        <f t="array" ref="AU109">$E$10*(1+$AS109)+VLOOKUP($R109,武学奇术!$A:$ZZ,4,FALSE)+SUM(_xlfn.XLOOKUP($S109:$AL109,增益!$A:$A,增益!$D:$D,0))-$I$2</f>
        <v>3574.6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0.2625</v>
      </c>
      <c r="AW109" s="32" cm="1">
        <f t="array" ref="AW109">$G$10+VLOOKUP($R109,武学奇术!$A:$ZZ,7,FALSE)+SUM(_xlfn.XLOOKUP($S109:$AL109,增益!$A:$A,增益!$G:$G,0))</f>
        <v>0.148</v>
      </c>
      <c r="AX109" s="26" cm="1">
        <f t="array" ref="AX109">VLOOKUP($R109,武学奇术!$A:$ZZ,8,FALSE)+SUM(_xlfn.XLOOKUP($S109:$AL109,增益!$A:$A,增益!$H:$H,0))</f>
        <v>0</v>
      </c>
      <c r="AY109">
        <f t="shared" si="13"/>
        <v>0</v>
      </c>
      <c r="AZ109">
        <f t="shared" si="14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</v>
      </c>
      <c r="BC109">
        <f t="shared" si="15"/>
        <v>0</v>
      </c>
      <c r="BD109">
        <f t="shared" si="16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</v>
      </c>
      <c r="BG109">
        <f t="shared" si="17"/>
        <v>0</v>
      </c>
      <c r="BH109">
        <f t="shared" si="18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</v>
      </c>
      <c r="BK109">
        <f t="shared" si="19"/>
        <v>571.2</v>
      </c>
      <c r="BL109">
        <f t="shared" si="20"/>
        <v>1627.8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0.27</v>
      </c>
      <c r="BO109" s="26">
        <f>MIN(IF(VLOOKUP($R109,武学奇术!$A:$ZZ,23,FALSE)=1,100%,$B$8),100%)</f>
        <v>0.981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0.846</v>
      </c>
      <c r="BQ109" s="26" cm="1">
        <f t="array" ref="BQ109">1+$B$13+VLOOKUP($R109,武学奇术!$A:$ZZ,18,FALSE)+SUM(_xlfn.XLOOKUP($S109:$AL109,增益!$A:$A,增益!$R:$R,0))</f>
        <v>2.03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0.0929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21"/>
        <v>0.829926</v>
      </c>
      <c r="BU109" s="26">
        <f t="shared" si="22"/>
        <v>0.0599391</v>
      </c>
      <c r="BV109" s="26">
        <f>IF(VLOOKUP($R109,武学奇术!$A:$ZZ,22,FALSE)=1,0,(1-$BO109))*(1-$BR109)</f>
        <v>0.0172349</v>
      </c>
      <c r="BW109" s="26" cm="1">
        <f t="array" ref="BW109">SUM(_xlfn.XLOOKUP($S109:$AL109,增益!$A:$A,增益!$W:$W,0))+$I$5</f>
        <v>0.11</v>
      </c>
      <c r="BX109" s="26" cm="1">
        <f t="array" ref="BX109">SUM(_xlfn.XLOOKUP($S109:$AL109,增益!$A:$A,增益!$X:$X,0))</f>
        <v>0</v>
      </c>
    </row>
    <row r="110" spans="11:76">
      <c r="K110">
        <f>$L110*VLOOKUP($R110,武学奇术!$A:$ZZ,31,FALSE)</f>
        <v>40336.7238005239</v>
      </c>
      <c r="L110" s="38">
        <f t="shared" si="24"/>
        <v>38415.9274290704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</f>
        <v>40994.6865523199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</f>
        <v>31033.7180296102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</f>
        <v>20194.426873064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</f>
        <v>17400.9144649352</v>
      </c>
      <c r="Q110" s="39">
        <v>2</v>
      </c>
      <c r="R110" s="40" t="s">
        <v>119</v>
      </c>
      <c r="S110" s="40" t="s">
        <v>116</v>
      </c>
      <c r="T110" s="40" t="s">
        <v>126</v>
      </c>
      <c r="U110" s="40" t="s">
        <v>79</v>
      </c>
      <c r="V110" s="40" t="s">
        <v>78</v>
      </c>
      <c r="W110" s="40" t="s">
        <v>181</v>
      </c>
      <c r="X110" s="40" t="s">
        <v>97</v>
      </c>
      <c r="Y110" s="40" t="s">
        <v>78</v>
      </c>
      <c r="Z110" s="40" t="s">
        <v>78</v>
      </c>
      <c r="AA110" s="40" t="s">
        <v>78</v>
      </c>
      <c r="AB110" s="40" t="s">
        <v>127</v>
      </c>
      <c r="AC110" s="40" t="s">
        <v>78</v>
      </c>
      <c r="AD110" s="40" t="s">
        <v>78</v>
      </c>
      <c r="AE110" s="40" t="s">
        <v>78</v>
      </c>
      <c r="AF110" s="40" t="s">
        <v>78</v>
      </c>
      <c r="AG110" s="40" t="s">
        <v>85</v>
      </c>
      <c r="AH110" s="40" t="s">
        <v>78</v>
      </c>
      <c r="AI110" s="40" t="s">
        <v>78</v>
      </c>
      <c r="AJ110" s="40" t="s">
        <v>78</v>
      </c>
      <c r="AK110" s="40" t="s">
        <v>78</v>
      </c>
      <c r="AL110" s="40" t="s">
        <v>78</v>
      </c>
      <c r="AM110" t="str">
        <f>VLOOKUP($R110,武学奇术!$A:$ZZ,25,FALSE)</f>
        <v>伞</v>
      </c>
      <c r="AN110" s="26">
        <f>VLOOKUP($R110,武学奇术!$A:$ZZ,26,FALSE)</f>
        <v>0.54</v>
      </c>
      <c r="AO110" s="27">
        <f>VLOOKUP($R110,武学奇术!$A:$ZZ,27,FALSE)*(1+IF(OR($AM110=$F$4,$AM110=$F$5),$B$22,0))</f>
        <v>0</v>
      </c>
      <c r="AP110" s="26">
        <f>VLOOKUP($R110,武学奇术!$A:$ZZ,28,FALSE)</f>
        <v>0.81</v>
      </c>
      <c r="AQ110" s="27">
        <f>VLOOKUP($R110,武学奇术!$A:$ZZ,29,FALSE)*(1+IF(OR($AM110=$F$4,$AM110=$F$5),$B$22,0))</f>
        <v>0</v>
      </c>
      <c r="AR110" s="26" cm="1">
        <f t="array" ref="AR110">$G$3+IFERROR(VLOOKUP($AM110,$F$4:$G$7,2,FALSE),0)+VLOOKUP($R110,武学奇术!$A:$ZZ,2,FALSE)+SUM(_xlfn.XLOOKUP($S110:$AL110,增益!$A:$A,增益!$B:$B,0))</f>
        <v>0.7541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3574.6</v>
      </c>
      <c r="AU110" cm="1">
        <f t="array" ref="AU110">$E$10*(1+$AS110)+VLOOKUP($R110,武学奇术!$A:$ZZ,4,FALSE)+SUM(_xlfn.XLOOKUP($S110:$AL110,增益!$A:$A,增益!$D:$D,0))-$I$2</f>
        <v>3574.6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0.2625</v>
      </c>
      <c r="AW110" s="32" cm="1">
        <f t="array" ref="AW110">$G$10+VLOOKUP($R110,武学奇术!$A:$ZZ,7,FALSE)+SUM(_xlfn.XLOOKUP($S110:$AL110,增益!$A:$A,增益!$G:$G,0))</f>
        <v>0.148</v>
      </c>
      <c r="AX110" s="26" cm="1">
        <f t="array" ref="AX110">VLOOKUP($R110,武学奇术!$A:$ZZ,8,FALSE)+SUM(_xlfn.XLOOKUP($S110:$AL110,增益!$A:$A,增益!$H:$H,0))</f>
        <v>0</v>
      </c>
      <c r="AY110">
        <f t="shared" si="13"/>
        <v>0</v>
      </c>
      <c r="AZ110">
        <f t="shared" si="14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2" cm="1">
        <f t="array" ref="BB110">$G$11+VLOOKUP($R110,武学奇术!$A:$ZZ,10,FALSE)+SUM(_xlfn.XLOOKUP($S110:$AL110,增益!$A:$A,增益!$J:$J,0))</f>
        <v>0</v>
      </c>
      <c r="BC110">
        <f t="shared" si="15"/>
        <v>0</v>
      </c>
      <c r="BD110">
        <f t="shared" si="16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2" cm="1">
        <f t="array" ref="BF110">$G$12+VLOOKUP($R110,武学奇术!$A:$ZZ,12,FALSE)+SUM(_xlfn.XLOOKUP($S110:$AL110,增益!$A:$A,增益!$L:$L,0))</f>
        <v>0</v>
      </c>
      <c r="BG110">
        <f t="shared" si="17"/>
        <v>0</v>
      </c>
      <c r="BH110">
        <f t="shared" si="18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2" cm="1">
        <f t="array" ref="BJ110">$G$13+VLOOKUP($R110,武学奇术!$A:$ZZ,14,FALSE)+SUM(_xlfn.XLOOKUP($S110:$AL110,增益!$A:$A,增益!$N:$N,0))</f>
        <v>0</v>
      </c>
      <c r="BK110">
        <f t="shared" si="19"/>
        <v>571.2</v>
      </c>
      <c r="BL110">
        <f t="shared" si="20"/>
        <v>1627.8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2" cm="1">
        <f t="array" ref="BN110">$G$14+VLOOKUP($R110,武学奇术!$A:$ZZ,16,FALSE)+SUM(_xlfn.XLOOKUP($S110:$AL110,增益!$A:$A,增益!$P:$P,0))</f>
        <v>0.27</v>
      </c>
      <c r="BO110" s="26">
        <f>MIN(IF(VLOOKUP($R110,武学奇术!$A:$ZZ,23,FALSE)=1,100%,$B$8),100%)</f>
        <v>0.981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0.846</v>
      </c>
      <c r="BQ110" s="26" cm="1">
        <f t="array" ref="BQ110">1+$B$13+VLOOKUP($R110,武学奇术!$A:$ZZ,18,FALSE)+SUM(_xlfn.XLOOKUP($S110:$AL110,增益!$A:$A,增益!$R:$R,0))</f>
        <v>2.03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0.0929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21"/>
        <v>0.829926</v>
      </c>
      <c r="BU110" s="26">
        <f t="shared" si="22"/>
        <v>0.0599391</v>
      </c>
      <c r="BV110" s="26">
        <f>IF(VLOOKUP($R110,武学奇术!$A:$ZZ,22,FALSE)=1,0,(1-$BO110))*(1-$BR110)</f>
        <v>0.0172349</v>
      </c>
      <c r="BW110" s="26" cm="1">
        <f t="array" ref="BW110">SUM(_xlfn.XLOOKUP($S110:$AL110,增益!$A:$A,增益!$W:$W,0))+$I$5</f>
        <v>0.11</v>
      </c>
      <c r="BX110" s="26" cm="1">
        <f t="array" ref="BX110">SUM(_xlfn.XLOOKUP($S110:$AL110,增益!$A:$A,增益!$X:$X,0))</f>
        <v>0</v>
      </c>
    </row>
    <row r="111" spans="11:76">
      <c r="K111">
        <f>$L111*VLOOKUP($R111,武学奇术!$A:$ZZ,31,FALSE)</f>
        <v>83964.7005586811</v>
      </c>
      <c r="L111" s="38">
        <f t="shared" si="24"/>
        <v>79966.3814844582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</f>
        <v>79966.3814844582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</f>
        <v>58719.8877131472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</f>
        <v>38818.6317885719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</f>
        <v>34141.0504562941</v>
      </c>
      <c r="Q111" s="39">
        <v>1</v>
      </c>
      <c r="R111" s="40" t="s">
        <v>132</v>
      </c>
      <c r="S111" s="40" t="s">
        <v>116</v>
      </c>
      <c r="T111" s="40" t="s">
        <v>102</v>
      </c>
      <c r="U111" s="40" t="s">
        <v>79</v>
      </c>
      <c r="V111" s="40" t="s">
        <v>78</v>
      </c>
      <c r="W111" s="40" t="s">
        <v>181</v>
      </c>
      <c r="X111" s="40" t="s">
        <v>97</v>
      </c>
      <c r="Y111" s="40" t="s">
        <v>78</v>
      </c>
      <c r="Z111" s="40" t="s">
        <v>78</v>
      </c>
      <c r="AA111" s="40" t="s">
        <v>78</v>
      </c>
      <c r="AB111" s="40" t="s">
        <v>133</v>
      </c>
      <c r="AC111" s="40" t="s">
        <v>78</v>
      </c>
      <c r="AD111" s="40" t="s">
        <v>78</v>
      </c>
      <c r="AE111" s="40" t="s">
        <v>78</v>
      </c>
      <c r="AF111" s="40" t="s">
        <v>78</v>
      </c>
      <c r="AG111" s="40" t="s">
        <v>85</v>
      </c>
      <c r="AH111" s="40" t="s">
        <v>78</v>
      </c>
      <c r="AI111" s="40" t="s">
        <v>78</v>
      </c>
      <c r="AJ111" s="40" t="s">
        <v>78</v>
      </c>
      <c r="AK111" s="40" t="s">
        <v>78</v>
      </c>
      <c r="AL111" s="40" t="s">
        <v>78</v>
      </c>
      <c r="AM111" t="str">
        <f>VLOOKUP($R111,武学奇术!$A:$ZZ,25,FALSE)</f>
        <v>伞</v>
      </c>
      <c r="AN111" s="26">
        <f>VLOOKUP($R111,武学奇术!$A:$ZZ,26,FALSE)</f>
        <v>1.8084</v>
      </c>
      <c r="AO111" s="27">
        <f>VLOOKUP($R111,武学奇术!$A:$ZZ,27,FALSE)*(1+IF(OR($AM111=$F$4,$AM111=$F$5),$B$22,0))</f>
        <v>750</v>
      </c>
      <c r="AP111" s="26">
        <f>VLOOKUP($R111,武学奇术!$A:$ZZ,28,FALSE)</f>
        <v>2.7126</v>
      </c>
      <c r="AQ111" s="27">
        <f>VLOOKUP($R111,武学奇术!$A:$ZZ,29,FALSE)*(1+IF(OR($AM111=$F$4,$AM111=$F$5),$B$22,0))</f>
        <v>408</v>
      </c>
      <c r="AR111" s="26" cm="1">
        <f t="array" ref="AR111">$G$3+IFERROR(VLOOKUP($AM111,$F$4:$G$7,2,FALSE),0)+VLOOKUP($R111,武学奇术!$A:$ZZ,2,FALSE)+SUM(_xlfn.XLOOKUP($S111:$AL111,增益!$A:$A,增益!$B:$B,0))</f>
        <v>0.7541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3574.6</v>
      </c>
      <c r="AU111" cm="1">
        <f t="array" ref="AU111">$E$10*(1+$AS111)+VLOOKUP($R111,武学奇术!$A:$ZZ,4,FALSE)+SUM(_xlfn.XLOOKUP($S111:$AL111,增益!$A:$A,增益!$D:$D,0))-$I$2</f>
        <v>3574.6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0.2725</v>
      </c>
      <c r="AW111" s="32" cm="1">
        <f t="array" ref="AW111">$G$10+VLOOKUP($R111,武学奇术!$A:$ZZ,7,FALSE)+SUM(_xlfn.XLOOKUP($S111:$AL111,增益!$A:$A,增益!$G:$G,0))</f>
        <v>0.148</v>
      </c>
      <c r="AX111" s="26" cm="1">
        <f t="array" ref="AX111">VLOOKUP($R111,武学奇术!$A:$ZZ,8,FALSE)+SUM(_xlfn.XLOOKUP($S111:$AL111,增益!$A:$A,增益!$H:$H,0))</f>
        <v>0</v>
      </c>
      <c r="AY111">
        <f t="shared" si="13"/>
        <v>0</v>
      </c>
      <c r="AZ111">
        <f t="shared" si="14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2" cm="1">
        <f t="array" ref="BB111">$G$11+VLOOKUP($R111,武学奇术!$A:$ZZ,10,FALSE)+SUM(_xlfn.XLOOKUP($S111:$AL111,增益!$A:$A,增益!$J:$J,0))</f>
        <v>0</v>
      </c>
      <c r="BC111">
        <f t="shared" si="15"/>
        <v>0</v>
      </c>
      <c r="BD111">
        <f t="shared" si="16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2" cm="1">
        <f t="array" ref="BF111">$G$12+VLOOKUP($R111,武学奇术!$A:$ZZ,12,FALSE)+SUM(_xlfn.XLOOKUP($S111:$AL111,增益!$A:$A,增益!$L:$L,0))</f>
        <v>0</v>
      </c>
      <c r="BG111">
        <f t="shared" si="17"/>
        <v>0</v>
      </c>
      <c r="BH111">
        <f t="shared" si="18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2" cm="1">
        <f t="array" ref="BJ111">$G$13+VLOOKUP($R111,武学奇术!$A:$ZZ,14,FALSE)+SUM(_xlfn.XLOOKUP($S111:$AL111,增益!$A:$A,增益!$N:$N,0))</f>
        <v>0</v>
      </c>
      <c r="BK111">
        <f t="shared" si="19"/>
        <v>571.2</v>
      </c>
      <c r="BL111">
        <f t="shared" si="20"/>
        <v>1627.8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2" cm="1">
        <f t="array" ref="BN111">$G$14+VLOOKUP($R111,武学奇术!$A:$ZZ,16,FALSE)+SUM(_xlfn.XLOOKUP($S111:$AL111,增益!$A:$A,增益!$P:$P,0))</f>
        <v>0.27</v>
      </c>
      <c r="BO111" s="26">
        <f>MIN(IF(VLOOKUP($R111,武学奇术!$A:$ZZ,23,FALSE)=1,100%,$B$8),100%)</f>
        <v>1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1</v>
      </c>
      <c r="BQ111" s="26" cm="1">
        <f t="array" ref="BQ111">1+$B$13+VLOOKUP($R111,武学奇术!$A:$ZZ,18,FALSE)+SUM(_xlfn.XLOOKUP($S111:$AL111,增益!$A:$A,增益!$R:$R,0))</f>
        <v>2.06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21"/>
        <v>1</v>
      </c>
      <c r="BU111" s="26">
        <f t="shared" si="22"/>
        <v>0</v>
      </c>
      <c r="BV111" s="26">
        <f>IF(VLOOKUP($R111,武学奇术!$A:$ZZ,22,FALSE)=1,0,(1-$BO111))*(1-$BR111)</f>
        <v>0</v>
      </c>
      <c r="BW111" s="26" cm="1">
        <f t="array" ref="BW111">SUM(_xlfn.XLOOKUP($S111:$AL111,增益!$A:$A,增益!$W:$W,0))+$I$5</f>
        <v>0.11</v>
      </c>
      <c r="BX111" s="26" cm="1">
        <f t="array" ref="BX111">SUM(_xlfn.XLOOKUP($S111:$AL111,增益!$A:$A,增益!$X:$X,0))</f>
        <v>0</v>
      </c>
    </row>
    <row r="112" spans="11:76">
      <c r="K112">
        <f>$L112*VLOOKUP($R112,武学奇术!$A:$ZZ,31,FALSE)</f>
        <v>48935.4083033885</v>
      </c>
      <c r="L112" s="38">
        <f t="shared" si="24"/>
        <v>46605.1507651319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</f>
        <v>46605.1507651319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</f>
        <v>34743.4438521012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</f>
        <v>22623.8595947242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</f>
        <v>19511.8348545587</v>
      </c>
      <c r="Q112" s="39">
        <v>2</v>
      </c>
      <c r="R112" s="40" t="s">
        <v>139</v>
      </c>
      <c r="S112" s="40" t="s">
        <v>116</v>
      </c>
      <c r="T112" s="40" t="s">
        <v>102</v>
      </c>
      <c r="U112" s="40" t="s">
        <v>79</v>
      </c>
      <c r="V112" s="40" t="s">
        <v>78</v>
      </c>
      <c r="W112" s="40" t="s">
        <v>181</v>
      </c>
      <c r="X112" s="40" t="s">
        <v>97</v>
      </c>
      <c r="Y112" s="40" t="s">
        <v>78</v>
      </c>
      <c r="Z112" s="40" t="s">
        <v>78</v>
      </c>
      <c r="AA112" s="40" t="s">
        <v>78</v>
      </c>
      <c r="AB112" s="40" t="s">
        <v>133</v>
      </c>
      <c r="AC112" s="40" t="s">
        <v>78</v>
      </c>
      <c r="AD112" s="40" t="s">
        <v>78</v>
      </c>
      <c r="AE112" s="40" t="s">
        <v>78</v>
      </c>
      <c r="AF112" s="40" t="s">
        <v>78</v>
      </c>
      <c r="AG112" s="40" t="s">
        <v>85</v>
      </c>
      <c r="AH112" s="40" t="s">
        <v>78</v>
      </c>
      <c r="AI112" s="40" t="s">
        <v>78</v>
      </c>
      <c r="AJ112" s="40" t="s">
        <v>78</v>
      </c>
      <c r="AK112" s="40" t="s">
        <v>78</v>
      </c>
      <c r="AL112" s="40" t="s">
        <v>78</v>
      </c>
      <c r="AM112" t="str">
        <f>VLOOKUP($R112,武学奇术!$A:$ZZ,25,FALSE)</f>
        <v>伞</v>
      </c>
      <c r="AN112" s="26">
        <f>VLOOKUP($R112,武学奇术!$A:$ZZ,26,FALSE)</f>
        <v>0.54</v>
      </c>
      <c r="AO112" s="27">
        <f>VLOOKUP($R112,武学奇术!$A:$ZZ,27,FALSE)*(1+IF(OR($AM112=$F$4,$AM112=$F$5),$B$22,0))</f>
        <v>0</v>
      </c>
      <c r="AP112" s="26">
        <f>VLOOKUP($R112,武学奇术!$A:$ZZ,28,FALSE)</f>
        <v>0.81</v>
      </c>
      <c r="AQ112" s="27">
        <f>VLOOKUP($R112,武学奇术!$A:$ZZ,29,FALSE)*(1+IF(OR($AM112=$F$4,$AM112=$F$5),$B$22,0))</f>
        <v>0</v>
      </c>
      <c r="AR112" s="26" cm="1">
        <f t="array" ref="AR112">$G$3+IFERROR(VLOOKUP($AM112,$F$4:$G$7,2,FALSE),0)+VLOOKUP($R112,武学奇术!$A:$ZZ,2,FALSE)+SUM(_xlfn.XLOOKUP($S112:$AL112,增益!$A:$A,增益!$B:$B,0))</f>
        <v>0.9541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3574.6</v>
      </c>
      <c r="AU112" cm="1">
        <f t="array" ref="AU112">$E$10*(1+$AS112)+VLOOKUP($R112,武学奇术!$A:$ZZ,4,FALSE)+SUM(_xlfn.XLOOKUP($S112:$AL112,增益!$A:$A,增益!$D:$D,0))-$I$2</f>
        <v>3574.6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0.2725</v>
      </c>
      <c r="AW112" s="32" cm="1">
        <f t="array" ref="AW112">$G$10+VLOOKUP($R112,武学奇术!$A:$ZZ,7,FALSE)+SUM(_xlfn.XLOOKUP($S112:$AL112,增益!$A:$A,增益!$G:$G,0))</f>
        <v>0.148</v>
      </c>
      <c r="AX112" s="26" cm="1">
        <f t="array" ref="AX112">VLOOKUP($R112,武学奇术!$A:$ZZ,8,FALSE)+SUM(_xlfn.XLOOKUP($S112:$AL112,增益!$A:$A,增益!$H:$H,0))</f>
        <v>0</v>
      </c>
      <c r="AY112">
        <f t="shared" si="13"/>
        <v>0</v>
      </c>
      <c r="AZ112">
        <f t="shared" si="14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2" cm="1">
        <f t="array" ref="BB112">$G$11+VLOOKUP($R112,武学奇术!$A:$ZZ,10,FALSE)+SUM(_xlfn.XLOOKUP($S112:$AL112,增益!$A:$A,增益!$J:$J,0))</f>
        <v>0</v>
      </c>
      <c r="BC112">
        <f t="shared" si="15"/>
        <v>0</v>
      </c>
      <c r="BD112">
        <f t="shared" si="16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2" cm="1">
        <f t="array" ref="BF112">$G$12+VLOOKUP($R112,武学奇术!$A:$ZZ,12,FALSE)+SUM(_xlfn.XLOOKUP($S112:$AL112,增益!$A:$A,增益!$L:$L,0))</f>
        <v>0</v>
      </c>
      <c r="BG112">
        <f t="shared" si="17"/>
        <v>0</v>
      </c>
      <c r="BH112">
        <f t="shared" si="18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2" cm="1">
        <f t="array" ref="BJ112">$G$13+VLOOKUP($R112,武学奇术!$A:$ZZ,14,FALSE)+SUM(_xlfn.XLOOKUP($S112:$AL112,增益!$A:$A,增益!$N:$N,0))</f>
        <v>0</v>
      </c>
      <c r="BK112">
        <f t="shared" si="19"/>
        <v>571.2</v>
      </c>
      <c r="BL112">
        <f t="shared" si="20"/>
        <v>1627.8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2" cm="1">
        <f t="array" ref="BN112">$G$14+VLOOKUP($R112,武学奇术!$A:$ZZ,16,FALSE)+SUM(_xlfn.XLOOKUP($S112:$AL112,增益!$A:$A,增益!$P:$P,0))</f>
        <v>0.27</v>
      </c>
      <c r="BO112" s="26">
        <f>MIN(IF(VLOOKUP($R112,武学奇术!$A:$ZZ,23,FALSE)=1,100%,$B$8),100%)</f>
        <v>1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1</v>
      </c>
      <c r="BQ112" s="26" cm="1">
        <f t="array" ref="BQ112">1+$B$13+VLOOKUP($R112,武学奇术!$A:$ZZ,18,FALSE)+SUM(_xlfn.XLOOKUP($S112:$AL112,增益!$A:$A,增益!$R:$R,0))</f>
        <v>2.06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21"/>
        <v>1</v>
      </c>
      <c r="BU112" s="26">
        <f t="shared" si="22"/>
        <v>0</v>
      </c>
      <c r="BV112" s="26">
        <f>IF(VLOOKUP($R112,武学奇术!$A:$ZZ,22,FALSE)=1,0,(1-$BO112))*(1-$BR112)</f>
        <v>0</v>
      </c>
      <c r="BW112" s="26" cm="1">
        <f t="array" ref="BW112">SUM(_xlfn.XLOOKUP($S112:$AL112,增益!$A:$A,增益!$W:$W,0))+$I$5</f>
        <v>0.11</v>
      </c>
      <c r="BX112" s="26" cm="1">
        <f t="array" ref="BX112">SUM(_xlfn.XLOOKUP($S112:$AL112,增益!$A:$A,增益!$X:$X,0))</f>
        <v>0</v>
      </c>
    </row>
    <row r="113" spans="11:76">
      <c r="K113">
        <f>$L113*VLOOKUP($R113,武学奇术!$A:$ZZ,31,FALSE)</f>
        <v>140708.60445204</v>
      </c>
      <c r="L113" s="38">
        <f t="shared" si="24"/>
        <v>134008.194716229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</f>
        <v>143391.200069859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</f>
        <v>105231.436267499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</f>
        <v>69607.3786746888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</f>
        <v>61265.5452993787</v>
      </c>
      <c r="Q113" s="39">
        <v>2</v>
      </c>
      <c r="R113" s="40" t="s">
        <v>115</v>
      </c>
      <c r="S113" s="40" t="s">
        <v>116</v>
      </c>
      <c r="T113" s="40" t="s">
        <v>102</v>
      </c>
      <c r="U113" s="40" t="s">
        <v>79</v>
      </c>
      <c r="V113" s="40" t="s">
        <v>78</v>
      </c>
      <c r="W113" s="40" t="s">
        <v>181</v>
      </c>
      <c r="X113" s="40" t="s">
        <v>104</v>
      </c>
      <c r="Y113" s="40" t="s">
        <v>78</v>
      </c>
      <c r="Z113" s="40" t="s">
        <v>78</v>
      </c>
      <c r="AA113" s="40" t="s">
        <v>78</v>
      </c>
      <c r="AB113" s="40" t="s">
        <v>133</v>
      </c>
      <c r="AC113" s="40" t="s">
        <v>78</v>
      </c>
      <c r="AD113" s="40" t="s">
        <v>78</v>
      </c>
      <c r="AE113" s="40" t="s">
        <v>78</v>
      </c>
      <c r="AF113" s="40" t="s">
        <v>78</v>
      </c>
      <c r="AG113" s="40" t="s">
        <v>85</v>
      </c>
      <c r="AH113" s="40" t="s">
        <v>78</v>
      </c>
      <c r="AI113" s="40" t="s">
        <v>78</v>
      </c>
      <c r="AJ113" s="40" t="s">
        <v>78</v>
      </c>
      <c r="AK113" s="40" t="s">
        <v>78</v>
      </c>
      <c r="AL113" s="40" t="s">
        <v>78</v>
      </c>
      <c r="AM113" t="str">
        <f>VLOOKUP($R113,武学奇术!$A:$ZZ,25,FALSE)</f>
        <v>伞</v>
      </c>
      <c r="AN113" s="26">
        <f>VLOOKUP($R113,武学奇术!$A:$ZZ,26,FALSE)</f>
        <v>1.8084</v>
      </c>
      <c r="AO113" s="27">
        <f>VLOOKUP($R113,武学奇术!$A:$ZZ,27,FALSE)*(1+IF(OR($AM113=$F$4,$AM113=$F$5),$B$22,0))</f>
        <v>750</v>
      </c>
      <c r="AP113" s="26">
        <f>VLOOKUP($R113,武学奇术!$A:$ZZ,28,FALSE)</f>
        <v>2.7126</v>
      </c>
      <c r="AQ113" s="27">
        <f>VLOOKUP($R113,武学奇术!$A:$ZZ,29,FALSE)*(1+IF(OR($AM113=$F$4,$AM113=$F$5),$B$22,0))</f>
        <v>408</v>
      </c>
      <c r="AR113" s="26" cm="1">
        <f t="array" ref="AR113">$G$3+IFERROR(VLOOKUP($AM113,$F$4:$G$7,2,FALSE),0)+VLOOKUP($R113,武学奇术!$A:$ZZ,2,FALSE)+SUM(_xlfn.XLOOKUP($S113:$AL113,增益!$A:$A,增益!$B:$B,0))</f>
        <v>0.5641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3574.6</v>
      </c>
      <c r="AU113" cm="1">
        <f t="array" ref="AU113">$E$10*(1+$AS113)+VLOOKUP($R113,武学奇术!$A:$ZZ,4,FALSE)+SUM(_xlfn.XLOOKUP($S113:$AL113,增益!$A:$A,增益!$D:$D,0))-$I$2</f>
        <v>3574.6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0.2825</v>
      </c>
      <c r="AW113" s="32" cm="1">
        <f t="array" ref="AW113">$G$10+VLOOKUP($R113,武学奇术!$A:$ZZ,7,FALSE)+SUM(_xlfn.XLOOKUP($S113:$AL113,增益!$A:$A,增益!$G:$G,0))</f>
        <v>0.148</v>
      </c>
      <c r="AX113" s="26" cm="1">
        <f t="array" ref="AX113">VLOOKUP($R113,武学奇术!$A:$ZZ,8,FALSE)+SUM(_xlfn.XLOOKUP($S113:$AL113,增益!$A:$A,增益!$H:$H,0))</f>
        <v>0</v>
      </c>
      <c r="AY113">
        <f t="shared" si="13"/>
        <v>0</v>
      </c>
      <c r="AZ113">
        <f t="shared" si="14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2" cm="1">
        <f t="array" ref="BB113">$G$11+VLOOKUP($R113,武学奇术!$A:$ZZ,10,FALSE)+SUM(_xlfn.XLOOKUP($S113:$AL113,增益!$A:$A,增益!$J:$J,0))</f>
        <v>0</v>
      </c>
      <c r="BC113">
        <f t="shared" si="15"/>
        <v>0</v>
      </c>
      <c r="BD113">
        <f t="shared" si="16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2" cm="1">
        <f t="array" ref="BF113">$G$12+VLOOKUP($R113,武学奇术!$A:$ZZ,12,FALSE)+SUM(_xlfn.XLOOKUP($S113:$AL113,增益!$A:$A,增益!$L:$L,0))</f>
        <v>0</v>
      </c>
      <c r="BG113">
        <f t="shared" si="17"/>
        <v>0</v>
      </c>
      <c r="BH113">
        <f t="shared" si="18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2" cm="1">
        <f t="array" ref="BJ113">$G$13+VLOOKUP($R113,武学奇术!$A:$ZZ,14,FALSE)+SUM(_xlfn.XLOOKUP($S113:$AL113,增益!$A:$A,增益!$N:$N,0))</f>
        <v>0</v>
      </c>
      <c r="BK113">
        <f t="shared" si="19"/>
        <v>571.2</v>
      </c>
      <c r="BL113">
        <f t="shared" si="20"/>
        <v>1627.8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2" cm="1">
        <f t="array" ref="BN113">$G$14+VLOOKUP($R113,武学奇术!$A:$ZZ,16,FALSE)+SUM(_xlfn.XLOOKUP($S113:$AL113,增益!$A:$A,增益!$P:$P,0))</f>
        <v>0.27</v>
      </c>
      <c r="BO113" s="26">
        <f>MIN(IF(VLOOKUP($R113,武学奇术!$A:$ZZ,23,FALSE)=1,100%,$B$8),100%)</f>
        <v>0.981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0.846</v>
      </c>
      <c r="BQ113" s="26" cm="1">
        <f t="array" ref="BQ113">1+$B$13+VLOOKUP($R113,武学奇术!$A:$ZZ,18,FALSE)+SUM(_xlfn.XLOOKUP($S113:$AL113,增益!$A:$A,增益!$R:$R,0))</f>
        <v>2.06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0.0929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21"/>
        <v>0.829926</v>
      </c>
      <c r="BU113" s="26">
        <f t="shared" si="22"/>
        <v>0.0599391</v>
      </c>
      <c r="BV113" s="26">
        <f>IF(VLOOKUP($R113,武学奇术!$A:$ZZ,22,FALSE)=1,0,(1-$BO113))*(1-$BR113)</f>
        <v>0.0172349</v>
      </c>
      <c r="BW113" s="26" cm="1">
        <f t="array" ref="BW113">SUM(_xlfn.XLOOKUP($S113:$AL113,增益!$A:$A,增益!$W:$W,0))+$I$5</f>
        <v>0.11</v>
      </c>
      <c r="BX113" s="26" cm="1">
        <f t="array" ref="BX113">SUM(_xlfn.XLOOKUP($S113:$AL113,增益!$A:$A,增益!$X:$X,0))</f>
        <v>0</v>
      </c>
    </row>
    <row r="114" spans="11:76">
      <c r="K114">
        <f>$L114*VLOOKUP($R114,武学奇术!$A:$ZZ,31,FALSE)</f>
        <v>83115.2876051107</v>
      </c>
      <c r="L114" s="38">
        <f t="shared" si="24"/>
        <v>79157.416766772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</f>
        <v>84619.2933155397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</f>
        <v>63039.8739172477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</f>
        <v>41077.3268522037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</f>
        <v>35458.4508027426</v>
      </c>
      <c r="Q114" s="39">
        <v>4</v>
      </c>
      <c r="R114" s="40" t="s">
        <v>119</v>
      </c>
      <c r="S114" s="40" t="s">
        <v>116</v>
      </c>
      <c r="T114" s="40" t="s">
        <v>102</v>
      </c>
      <c r="U114" s="40" t="s">
        <v>79</v>
      </c>
      <c r="V114" s="40" t="s">
        <v>78</v>
      </c>
      <c r="W114" s="40" t="s">
        <v>181</v>
      </c>
      <c r="X114" s="40" t="s">
        <v>104</v>
      </c>
      <c r="Y114" s="40" t="s">
        <v>78</v>
      </c>
      <c r="Z114" s="40" t="s">
        <v>78</v>
      </c>
      <c r="AA114" s="40" t="s">
        <v>78</v>
      </c>
      <c r="AB114" s="40" t="s">
        <v>133</v>
      </c>
      <c r="AC114" s="40" t="s">
        <v>78</v>
      </c>
      <c r="AD114" s="40" t="s">
        <v>78</v>
      </c>
      <c r="AE114" s="40" t="s">
        <v>78</v>
      </c>
      <c r="AF114" s="40" t="s">
        <v>78</v>
      </c>
      <c r="AG114" s="40" t="s">
        <v>85</v>
      </c>
      <c r="AH114" s="40" t="s">
        <v>78</v>
      </c>
      <c r="AI114" s="40" t="s">
        <v>78</v>
      </c>
      <c r="AJ114" s="40" t="s">
        <v>78</v>
      </c>
      <c r="AK114" s="40" t="s">
        <v>78</v>
      </c>
      <c r="AL114" s="40" t="s">
        <v>78</v>
      </c>
      <c r="AM114" t="str">
        <f>VLOOKUP($R114,武学奇术!$A:$ZZ,25,FALSE)</f>
        <v>伞</v>
      </c>
      <c r="AN114" s="26">
        <f>VLOOKUP($R114,武学奇术!$A:$ZZ,26,FALSE)</f>
        <v>0.54</v>
      </c>
      <c r="AO114" s="27">
        <f>VLOOKUP($R114,武学奇术!$A:$ZZ,27,FALSE)*(1+IF(OR($AM114=$F$4,$AM114=$F$5),$B$22,0))</f>
        <v>0</v>
      </c>
      <c r="AP114" s="26">
        <f>VLOOKUP($R114,武学奇术!$A:$ZZ,28,FALSE)</f>
        <v>0.81</v>
      </c>
      <c r="AQ114" s="27">
        <f>VLOOKUP($R114,武学奇术!$A:$ZZ,29,FALSE)*(1+IF(OR($AM114=$F$4,$AM114=$F$5),$B$22,0))</f>
        <v>0</v>
      </c>
      <c r="AR114" s="26" cm="1">
        <f t="array" ref="AR114">$G$3+IFERROR(VLOOKUP($AM114,$F$4:$G$7,2,FALSE),0)+VLOOKUP($R114,武学奇术!$A:$ZZ,2,FALSE)+SUM(_xlfn.XLOOKUP($S114:$AL114,增益!$A:$A,增益!$B:$B,0))</f>
        <v>0.7641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3574.6</v>
      </c>
      <c r="AU114" cm="1">
        <f t="array" ref="AU114">$E$10*(1+$AS114)+VLOOKUP($R114,武学奇术!$A:$ZZ,4,FALSE)+SUM(_xlfn.XLOOKUP($S114:$AL114,增益!$A:$A,增益!$D:$D,0))-$I$2</f>
        <v>3574.6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0.2825</v>
      </c>
      <c r="AW114" s="32" cm="1">
        <f t="array" ref="AW114">$G$10+VLOOKUP($R114,武学奇术!$A:$ZZ,7,FALSE)+SUM(_xlfn.XLOOKUP($S114:$AL114,增益!$A:$A,增益!$G:$G,0))</f>
        <v>0.148</v>
      </c>
      <c r="AX114" s="26" cm="1">
        <f t="array" ref="AX114">VLOOKUP($R114,武学奇术!$A:$ZZ,8,FALSE)+SUM(_xlfn.XLOOKUP($S114:$AL114,增益!$A:$A,增益!$H:$H,0))</f>
        <v>0</v>
      </c>
      <c r="AY114">
        <f t="shared" si="13"/>
        <v>0</v>
      </c>
      <c r="AZ114">
        <f t="shared" si="14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2" cm="1">
        <f t="array" ref="BB114">$G$11+VLOOKUP($R114,武学奇术!$A:$ZZ,10,FALSE)+SUM(_xlfn.XLOOKUP($S114:$AL114,增益!$A:$A,增益!$J:$J,0))</f>
        <v>0</v>
      </c>
      <c r="BC114">
        <f t="shared" si="15"/>
        <v>0</v>
      </c>
      <c r="BD114">
        <f t="shared" si="16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2" cm="1">
        <f t="array" ref="BF114">$G$12+VLOOKUP($R114,武学奇术!$A:$ZZ,12,FALSE)+SUM(_xlfn.XLOOKUP($S114:$AL114,增益!$A:$A,增益!$L:$L,0))</f>
        <v>0</v>
      </c>
      <c r="BG114">
        <f t="shared" si="17"/>
        <v>0</v>
      </c>
      <c r="BH114">
        <f t="shared" si="18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2" cm="1">
        <f t="array" ref="BJ114">$G$13+VLOOKUP($R114,武学奇术!$A:$ZZ,14,FALSE)+SUM(_xlfn.XLOOKUP($S114:$AL114,增益!$A:$A,增益!$N:$N,0))</f>
        <v>0</v>
      </c>
      <c r="BK114">
        <f t="shared" si="19"/>
        <v>571.2</v>
      </c>
      <c r="BL114">
        <f t="shared" si="20"/>
        <v>1627.8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2" cm="1">
        <f t="array" ref="BN114">$G$14+VLOOKUP($R114,武学奇术!$A:$ZZ,16,FALSE)+SUM(_xlfn.XLOOKUP($S114:$AL114,增益!$A:$A,增益!$P:$P,0))</f>
        <v>0.27</v>
      </c>
      <c r="BO114" s="26">
        <f>MIN(IF(VLOOKUP($R114,武学奇术!$A:$ZZ,23,FALSE)=1,100%,$B$8),100%)</f>
        <v>0.981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0.846</v>
      </c>
      <c r="BQ114" s="26" cm="1">
        <f t="array" ref="BQ114">1+$B$13+VLOOKUP($R114,武学奇术!$A:$ZZ,18,FALSE)+SUM(_xlfn.XLOOKUP($S114:$AL114,增益!$A:$A,增益!$R:$R,0))</f>
        <v>2.06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0.0929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21"/>
        <v>0.829926</v>
      </c>
      <c r="BU114" s="26">
        <f t="shared" si="22"/>
        <v>0.0599391</v>
      </c>
      <c r="BV114" s="26">
        <f>IF(VLOOKUP($R114,武学奇术!$A:$ZZ,22,FALSE)=1,0,(1-$BO114))*(1-$BR114)</f>
        <v>0.0172349</v>
      </c>
      <c r="BW114" s="26" cm="1">
        <f t="array" ref="BW114">SUM(_xlfn.XLOOKUP($S114:$AL114,增益!$A:$A,增益!$W:$W,0))+$I$5</f>
        <v>0.11</v>
      </c>
      <c r="BX114" s="26" cm="1">
        <f t="array" ref="BX114">SUM(_xlfn.XLOOKUP($S114:$AL114,增益!$A:$A,增益!$X:$X,0))</f>
        <v>0</v>
      </c>
    </row>
    <row r="115" spans="11:76">
      <c r="K115">
        <f>$L115*VLOOKUP($R115,武学奇术!$A:$ZZ,31,FALSE)</f>
        <v>85853.3722151902</v>
      </c>
      <c r="L115" s="38">
        <f t="shared" si="24"/>
        <v>81765.1163954192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</f>
        <v>81765.1163954192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</f>
        <v>59970.6700130844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</f>
        <v>39691.8040754462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</f>
        <v>34960.8896226818</v>
      </c>
      <c r="Q115" s="39">
        <v>1</v>
      </c>
      <c r="R115" s="40" t="s">
        <v>132</v>
      </c>
      <c r="S115" s="40" t="s">
        <v>116</v>
      </c>
      <c r="T115" s="40" t="s">
        <v>102</v>
      </c>
      <c r="U115" s="40" t="s">
        <v>79</v>
      </c>
      <c r="V115" s="40" t="s">
        <v>78</v>
      </c>
      <c r="W115" s="40" t="s">
        <v>181</v>
      </c>
      <c r="X115" s="40" t="s">
        <v>106</v>
      </c>
      <c r="Y115" s="40" t="s">
        <v>78</v>
      </c>
      <c r="Z115" s="40" t="s">
        <v>78</v>
      </c>
      <c r="AA115" s="40" t="s">
        <v>78</v>
      </c>
      <c r="AB115" s="40" t="s">
        <v>133</v>
      </c>
      <c r="AC115" s="40" t="s">
        <v>78</v>
      </c>
      <c r="AD115" s="40" t="s">
        <v>78</v>
      </c>
      <c r="AE115" s="40" t="s">
        <v>78</v>
      </c>
      <c r="AF115" s="40" t="s">
        <v>78</v>
      </c>
      <c r="AG115" s="40" t="s">
        <v>85</v>
      </c>
      <c r="AH115" s="40" t="s">
        <v>78</v>
      </c>
      <c r="AI115" s="40" t="s">
        <v>78</v>
      </c>
      <c r="AJ115" s="40" t="s">
        <v>78</v>
      </c>
      <c r="AK115" s="40" t="s">
        <v>78</v>
      </c>
      <c r="AL115" s="40" t="s">
        <v>78</v>
      </c>
      <c r="AM115" t="str">
        <f>VLOOKUP($R115,武学奇术!$A:$ZZ,25,FALSE)</f>
        <v>伞</v>
      </c>
      <c r="AN115" s="26">
        <f>VLOOKUP($R115,武学奇术!$A:$ZZ,26,FALSE)</f>
        <v>1.8084</v>
      </c>
      <c r="AO115" s="27">
        <f>VLOOKUP($R115,武学奇术!$A:$ZZ,27,FALSE)*(1+IF(OR($AM115=$F$4,$AM115=$F$5),$B$22,0))</f>
        <v>750</v>
      </c>
      <c r="AP115" s="26">
        <f>VLOOKUP($R115,武学奇术!$A:$ZZ,28,FALSE)</f>
        <v>2.7126</v>
      </c>
      <c r="AQ115" s="27">
        <f>VLOOKUP($R115,武学奇术!$A:$ZZ,29,FALSE)*(1+IF(OR($AM115=$F$4,$AM115=$F$5),$B$22,0))</f>
        <v>408</v>
      </c>
      <c r="AR115" s="26" cm="1">
        <f t="array" ref="AR115">$G$3+IFERROR(VLOOKUP($AM115,$F$4:$G$7,2,FALSE),0)+VLOOKUP($R115,武学奇术!$A:$ZZ,2,FALSE)+SUM(_xlfn.XLOOKUP($S115:$AL115,增益!$A:$A,增益!$B:$B,0))</f>
        <v>0.7741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3574.6</v>
      </c>
      <c r="AU115" cm="1">
        <f t="array" ref="AU115">$E$10*(1+$AS115)+VLOOKUP($R115,武学奇术!$A:$ZZ,4,FALSE)+SUM(_xlfn.XLOOKUP($S115:$AL115,增益!$A:$A,增益!$D:$D,0))-$I$2</f>
        <v>3574.6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0.2925</v>
      </c>
      <c r="AW115" s="32" cm="1">
        <f t="array" ref="AW115">$G$10+VLOOKUP($R115,武学奇术!$A:$ZZ,7,FALSE)+SUM(_xlfn.XLOOKUP($S115:$AL115,增益!$A:$A,增益!$G:$G,0))</f>
        <v>0.148</v>
      </c>
      <c r="AX115" s="26" cm="1">
        <f t="array" ref="AX115">VLOOKUP($R115,武学奇术!$A:$ZZ,8,FALSE)+SUM(_xlfn.XLOOKUP($S115:$AL115,增益!$A:$A,增益!$H:$H,0))</f>
        <v>0</v>
      </c>
      <c r="AY115">
        <f t="shared" si="13"/>
        <v>0</v>
      </c>
      <c r="AZ115">
        <f t="shared" si="14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2" cm="1">
        <f t="array" ref="BB115">$G$11+VLOOKUP($R115,武学奇术!$A:$ZZ,10,FALSE)+SUM(_xlfn.XLOOKUP($S115:$AL115,增益!$A:$A,增益!$J:$J,0))</f>
        <v>0</v>
      </c>
      <c r="BC115">
        <f t="shared" si="15"/>
        <v>0</v>
      </c>
      <c r="BD115">
        <f t="shared" si="16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2" cm="1">
        <f t="array" ref="BF115">$G$12+VLOOKUP($R115,武学奇术!$A:$ZZ,12,FALSE)+SUM(_xlfn.XLOOKUP($S115:$AL115,增益!$A:$A,增益!$L:$L,0))</f>
        <v>0</v>
      </c>
      <c r="BG115">
        <f t="shared" si="17"/>
        <v>0</v>
      </c>
      <c r="BH115">
        <f t="shared" si="18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2" cm="1">
        <f t="array" ref="BJ115">$G$13+VLOOKUP($R115,武学奇术!$A:$ZZ,14,FALSE)+SUM(_xlfn.XLOOKUP($S115:$AL115,增益!$A:$A,增益!$N:$N,0))</f>
        <v>0</v>
      </c>
      <c r="BK115">
        <f t="shared" si="19"/>
        <v>571.2</v>
      </c>
      <c r="BL115">
        <f t="shared" si="20"/>
        <v>1627.8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2" cm="1">
        <f t="array" ref="BN115">$G$14+VLOOKUP($R115,武学奇术!$A:$ZZ,16,FALSE)+SUM(_xlfn.XLOOKUP($S115:$AL115,增益!$A:$A,增益!$P:$P,0))</f>
        <v>0.27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2.06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21"/>
        <v>1</v>
      </c>
      <c r="BU115" s="26">
        <f t="shared" si="22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 cm="1">
        <f t="array" ref="BX115">SUM(_xlfn.XLOOKUP($S115:$AL115,增益!$A:$A,增益!$X:$X,0))</f>
        <v>0</v>
      </c>
    </row>
    <row r="116" spans="11:76">
      <c r="K116">
        <f>$L116*VLOOKUP($R116,武学奇术!$A:$ZZ,31,FALSE)</f>
        <v>49990.8131924227</v>
      </c>
      <c r="L116" s="38">
        <f t="shared" si="24"/>
        <v>47610.2982784978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</f>
        <v>47610.2982784978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</f>
        <v>35445.1561931611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</f>
        <v>23111.7952808242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</f>
        <v>19967.9193074549</v>
      </c>
      <c r="Q116" s="39">
        <v>2</v>
      </c>
      <c r="R116" s="40" t="s">
        <v>139</v>
      </c>
      <c r="S116" s="40" t="s">
        <v>116</v>
      </c>
      <c r="T116" s="40" t="s">
        <v>102</v>
      </c>
      <c r="U116" s="40" t="s">
        <v>79</v>
      </c>
      <c r="V116" s="40" t="s">
        <v>78</v>
      </c>
      <c r="W116" s="40" t="s">
        <v>181</v>
      </c>
      <c r="X116" s="40" t="s">
        <v>106</v>
      </c>
      <c r="Y116" s="40" t="s">
        <v>78</v>
      </c>
      <c r="Z116" s="40" t="s">
        <v>78</v>
      </c>
      <c r="AA116" s="40" t="s">
        <v>78</v>
      </c>
      <c r="AB116" s="40" t="s">
        <v>133</v>
      </c>
      <c r="AC116" s="40" t="s">
        <v>78</v>
      </c>
      <c r="AD116" s="40" t="s">
        <v>78</v>
      </c>
      <c r="AE116" s="40" t="s">
        <v>78</v>
      </c>
      <c r="AF116" s="40" t="s">
        <v>78</v>
      </c>
      <c r="AG116" s="40" t="s">
        <v>85</v>
      </c>
      <c r="AH116" s="40" t="s">
        <v>78</v>
      </c>
      <c r="AI116" s="40" t="s">
        <v>78</v>
      </c>
      <c r="AJ116" s="40" t="s">
        <v>78</v>
      </c>
      <c r="AK116" s="40" t="s">
        <v>78</v>
      </c>
      <c r="AL116" s="40" t="s">
        <v>78</v>
      </c>
      <c r="AM116" t="str">
        <f>VLOOKUP($R116,武学奇术!$A:$ZZ,25,FALSE)</f>
        <v>伞</v>
      </c>
      <c r="AN116" s="26">
        <f>VLOOKUP($R116,武学奇术!$A:$ZZ,26,FALSE)</f>
        <v>0.54</v>
      </c>
      <c r="AO116" s="27">
        <f>VLOOKUP($R116,武学奇术!$A:$ZZ,27,FALSE)*(1+IF(OR($AM116=$F$4,$AM116=$F$5),$B$22,0))</f>
        <v>0</v>
      </c>
      <c r="AP116" s="26">
        <f>VLOOKUP($R116,武学奇术!$A:$ZZ,28,FALSE)</f>
        <v>0.81</v>
      </c>
      <c r="AQ116" s="27">
        <f>VLOOKUP($R116,武学奇术!$A:$ZZ,29,FALSE)*(1+IF(OR($AM116=$F$4,$AM116=$F$5),$B$22,0))</f>
        <v>0</v>
      </c>
      <c r="AR116" s="26" cm="1">
        <f t="array" ref="AR116">$G$3+IFERROR(VLOOKUP($AM116,$F$4:$G$7,2,FALSE),0)+VLOOKUP($R116,武学奇术!$A:$ZZ,2,FALSE)+SUM(_xlfn.XLOOKUP($S116:$AL116,增益!$A:$A,增益!$B:$B,0))</f>
        <v>0.9741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3574.6</v>
      </c>
      <c r="AU116" cm="1">
        <f t="array" ref="AU116">$E$10*(1+$AS116)+VLOOKUP($R116,武学奇术!$A:$ZZ,4,FALSE)+SUM(_xlfn.XLOOKUP($S116:$AL116,增益!$A:$A,增益!$D:$D,0))-$I$2</f>
        <v>3574.6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0.2925</v>
      </c>
      <c r="AW116" s="32" cm="1">
        <f t="array" ref="AW116">$G$10+VLOOKUP($R116,武学奇术!$A:$ZZ,7,FALSE)+SUM(_xlfn.XLOOKUP($S116:$AL116,增益!$A:$A,增益!$G:$G,0))</f>
        <v>0.148</v>
      </c>
      <c r="AX116" s="26" cm="1">
        <f t="array" ref="AX116">VLOOKUP($R116,武学奇术!$A:$ZZ,8,FALSE)+SUM(_xlfn.XLOOKUP($S116:$AL116,增益!$A:$A,增益!$H:$H,0))</f>
        <v>0</v>
      </c>
      <c r="AY116">
        <f t="shared" si="13"/>
        <v>0</v>
      </c>
      <c r="AZ116">
        <f t="shared" si="14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2" cm="1">
        <f t="array" ref="BB116">$G$11+VLOOKUP($R116,武学奇术!$A:$ZZ,10,FALSE)+SUM(_xlfn.XLOOKUP($S116:$AL116,增益!$A:$A,增益!$J:$J,0))</f>
        <v>0</v>
      </c>
      <c r="BC116">
        <f t="shared" si="15"/>
        <v>0</v>
      </c>
      <c r="BD116">
        <f t="shared" si="16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2" cm="1">
        <f t="array" ref="BF116">$G$12+VLOOKUP($R116,武学奇术!$A:$ZZ,12,FALSE)+SUM(_xlfn.XLOOKUP($S116:$AL116,增益!$A:$A,增益!$L:$L,0))</f>
        <v>0</v>
      </c>
      <c r="BG116">
        <f t="shared" si="17"/>
        <v>0</v>
      </c>
      <c r="BH116">
        <f t="shared" si="18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2" cm="1">
        <f t="array" ref="BJ116">$G$13+VLOOKUP($R116,武学奇术!$A:$ZZ,14,FALSE)+SUM(_xlfn.XLOOKUP($S116:$AL116,增益!$A:$A,增益!$N:$N,0))</f>
        <v>0</v>
      </c>
      <c r="BK116">
        <f t="shared" si="19"/>
        <v>571.2</v>
      </c>
      <c r="BL116">
        <f t="shared" si="20"/>
        <v>1627.8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2" cm="1">
        <f t="array" ref="BN116">$G$14+VLOOKUP($R116,武学奇术!$A:$ZZ,16,FALSE)+SUM(_xlfn.XLOOKUP($S116:$AL116,增益!$A:$A,增益!$P:$P,0))</f>
        <v>0.27</v>
      </c>
      <c r="BO116" s="26">
        <f>MIN(IF(VLOOKUP($R116,武学奇术!$A:$ZZ,23,FALSE)=1,100%,$B$8),100%)</f>
        <v>1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1</v>
      </c>
      <c r="BQ116" s="26" cm="1">
        <f t="array" ref="BQ116">1+$B$13+VLOOKUP($R116,武学奇术!$A:$ZZ,18,FALSE)+SUM(_xlfn.XLOOKUP($S116:$AL116,增益!$A:$A,增益!$R:$R,0))</f>
        <v>2.06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21"/>
        <v>1</v>
      </c>
      <c r="BU116" s="26">
        <f t="shared" si="22"/>
        <v>0</v>
      </c>
      <c r="BV116" s="26">
        <f>IF(VLOOKUP($R116,武学奇术!$A:$ZZ,22,FALSE)=1,0,(1-$BO116))*(1-$BR116)</f>
        <v>0</v>
      </c>
      <c r="BW116" s="26" cm="1">
        <f t="array" ref="BW116">SUM(_xlfn.XLOOKUP($S116:$AL116,增益!$A:$A,增益!$W:$W,0))+$I$5</f>
        <v>0.11</v>
      </c>
      <c r="BX116" s="26" cm="1">
        <f t="array" ref="BX116">SUM(_xlfn.XLOOKUP($S116:$AL116,增益!$A:$A,增益!$X:$X,0))</f>
        <v>0</v>
      </c>
    </row>
    <row r="117" spans="11:76">
      <c r="K117">
        <f>$L117*VLOOKUP($R117,武学奇术!$A:$ZZ,31,FALSE)</f>
        <v>142375.273530569</v>
      </c>
      <c r="L117" s="38">
        <f t="shared" si="24"/>
        <v>135595.498600542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</f>
        <v>145094.94359735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</f>
        <v>106419.966932638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</f>
        <v>70434.4386394903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</f>
        <v>62039.2721436936</v>
      </c>
      <c r="Q117" s="39">
        <v>2</v>
      </c>
      <c r="R117" s="40" t="s">
        <v>115</v>
      </c>
      <c r="S117" s="40" t="s">
        <v>116</v>
      </c>
      <c r="T117" s="40" t="s">
        <v>102</v>
      </c>
      <c r="U117" s="40" t="s">
        <v>79</v>
      </c>
      <c r="V117" s="40" t="s">
        <v>78</v>
      </c>
      <c r="W117" s="40" t="s">
        <v>181</v>
      </c>
      <c r="X117" s="40" t="s">
        <v>106</v>
      </c>
      <c r="Y117" s="40" t="s">
        <v>78</v>
      </c>
      <c r="Z117" s="40" t="s">
        <v>78</v>
      </c>
      <c r="AA117" s="40" t="s">
        <v>78</v>
      </c>
      <c r="AB117" s="40" t="s">
        <v>133</v>
      </c>
      <c r="AC117" s="40" t="s">
        <v>78</v>
      </c>
      <c r="AD117" s="40" t="s">
        <v>78</v>
      </c>
      <c r="AE117" s="40" t="s">
        <v>78</v>
      </c>
      <c r="AF117" s="40" t="s">
        <v>78</v>
      </c>
      <c r="AG117" s="40" t="s">
        <v>85</v>
      </c>
      <c r="AH117" s="40" t="s">
        <v>78</v>
      </c>
      <c r="AI117" s="40" t="s">
        <v>78</v>
      </c>
      <c r="AJ117" s="40" t="s">
        <v>78</v>
      </c>
      <c r="AK117" s="40" t="s">
        <v>78</v>
      </c>
      <c r="AL117" s="40" t="s">
        <v>78</v>
      </c>
      <c r="AM117" t="str">
        <f>VLOOKUP($R117,武学奇术!$A:$ZZ,25,FALSE)</f>
        <v>伞</v>
      </c>
      <c r="AN117" s="26">
        <f>VLOOKUP($R117,武学奇术!$A:$ZZ,26,FALSE)</f>
        <v>1.8084</v>
      </c>
      <c r="AO117" s="27">
        <f>VLOOKUP($R117,武学奇术!$A:$ZZ,27,FALSE)*(1+IF(OR($AM117=$F$4,$AM117=$F$5),$B$22,0))</f>
        <v>750</v>
      </c>
      <c r="AP117" s="26">
        <f>VLOOKUP($R117,武学奇术!$A:$ZZ,28,FALSE)</f>
        <v>2.7126</v>
      </c>
      <c r="AQ117" s="27">
        <f>VLOOKUP($R117,武学奇术!$A:$ZZ,29,FALSE)*(1+IF(OR($AM117=$F$4,$AM117=$F$5),$B$22,0))</f>
        <v>408</v>
      </c>
      <c r="AR117" s="26" cm="1">
        <f t="array" ref="AR117">$G$3+IFERROR(VLOOKUP($AM117,$F$4:$G$7,2,FALSE),0)+VLOOKUP($R117,武学奇术!$A:$ZZ,2,FALSE)+SUM(_xlfn.XLOOKUP($S117:$AL117,增益!$A:$A,增益!$B:$B,0))</f>
        <v>0.5741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3574.6</v>
      </c>
      <c r="AU117" cm="1">
        <f t="array" ref="AU117">$E$10*(1+$AS117)+VLOOKUP($R117,武学奇术!$A:$ZZ,4,FALSE)+SUM(_xlfn.XLOOKUP($S117:$AL117,增益!$A:$A,增益!$D:$D,0))-$I$2</f>
        <v>3574.6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0.2925</v>
      </c>
      <c r="AW117" s="32" cm="1">
        <f t="array" ref="AW117">$G$10+VLOOKUP($R117,武学奇术!$A:$ZZ,7,FALSE)+SUM(_xlfn.XLOOKUP($S117:$AL117,增益!$A:$A,增益!$G:$G,0))</f>
        <v>0.148</v>
      </c>
      <c r="AX117" s="26" cm="1">
        <f t="array" ref="AX117">VLOOKUP($R117,武学奇术!$A:$ZZ,8,FALSE)+SUM(_xlfn.XLOOKUP($S117:$AL117,增益!$A:$A,增益!$H:$H,0))</f>
        <v>0</v>
      </c>
      <c r="AY117">
        <f t="shared" si="13"/>
        <v>0</v>
      </c>
      <c r="AZ117">
        <f t="shared" si="14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2" cm="1">
        <f t="array" ref="BB117">$G$11+VLOOKUP($R117,武学奇术!$A:$ZZ,10,FALSE)+SUM(_xlfn.XLOOKUP($S117:$AL117,增益!$A:$A,增益!$J:$J,0))</f>
        <v>0</v>
      </c>
      <c r="BC117">
        <f t="shared" si="15"/>
        <v>0</v>
      </c>
      <c r="BD117">
        <f t="shared" si="16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2" cm="1">
        <f t="array" ref="BF117">$G$12+VLOOKUP($R117,武学奇术!$A:$ZZ,12,FALSE)+SUM(_xlfn.XLOOKUP($S117:$AL117,增益!$A:$A,增益!$L:$L,0))</f>
        <v>0</v>
      </c>
      <c r="BG117">
        <f t="shared" si="17"/>
        <v>0</v>
      </c>
      <c r="BH117">
        <f t="shared" si="18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2" cm="1">
        <f t="array" ref="BJ117">$G$13+VLOOKUP($R117,武学奇术!$A:$ZZ,14,FALSE)+SUM(_xlfn.XLOOKUP($S117:$AL117,增益!$A:$A,增益!$N:$N,0))</f>
        <v>0</v>
      </c>
      <c r="BK117">
        <f t="shared" si="19"/>
        <v>571.2</v>
      </c>
      <c r="BL117">
        <f t="shared" si="20"/>
        <v>1627.8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2" cm="1">
        <f t="array" ref="BN117">$G$14+VLOOKUP($R117,武学奇术!$A:$ZZ,16,FALSE)+SUM(_xlfn.XLOOKUP($S117:$AL117,增益!$A:$A,增益!$P:$P,0))</f>
        <v>0.27</v>
      </c>
      <c r="BO117" s="26">
        <f>MIN(IF(VLOOKUP($R117,武学奇术!$A:$ZZ,23,FALSE)=1,100%,$B$8),100%)</f>
        <v>0.981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0.846</v>
      </c>
      <c r="BQ117" s="26" cm="1">
        <f t="array" ref="BQ117">1+$B$13+VLOOKUP($R117,武学奇术!$A:$ZZ,18,FALSE)+SUM(_xlfn.XLOOKUP($S117:$AL117,增益!$A:$A,增益!$R:$R,0))</f>
        <v>2.06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0.0929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21"/>
        <v>0.829926</v>
      </c>
      <c r="BU117" s="26">
        <f t="shared" si="22"/>
        <v>0.0599391</v>
      </c>
      <c r="BV117" s="26">
        <f>IF(VLOOKUP($R117,武学奇术!$A:$ZZ,22,FALSE)=1,0,(1-$BO117))*(1-$BR117)</f>
        <v>0.0172349</v>
      </c>
      <c r="BW117" s="26" cm="1">
        <f t="array" ref="BW117">SUM(_xlfn.XLOOKUP($S117:$AL117,增益!$A:$A,增益!$W:$W,0))+$I$5</f>
        <v>0.11</v>
      </c>
      <c r="BX117" s="26" cm="1">
        <f t="array" ref="BX117">SUM(_xlfn.XLOOKUP($S117:$AL117,增益!$A:$A,增益!$X:$X,0))</f>
        <v>0</v>
      </c>
    </row>
    <row r="118" spans="11:76">
      <c r="K118">
        <f>$L118*VLOOKUP($R118,武学奇术!$A:$ZZ,31,FALSE)</f>
        <v>84049.0609045247</v>
      </c>
      <c r="L118" s="38">
        <f t="shared" si="24"/>
        <v>80046.7246709759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</f>
        <v>85573.6084047241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</f>
        <v>63708.2737473149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</f>
        <v>41540.586604235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</f>
        <v>35889.8593215701</v>
      </c>
      <c r="Q118" s="39">
        <v>4</v>
      </c>
      <c r="R118" s="40" t="s">
        <v>119</v>
      </c>
      <c r="S118" s="40" t="s">
        <v>116</v>
      </c>
      <c r="T118" s="40" t="s">
        <v>102</v>
      </c>
      <c r="U118" s="40" t="s">
        <v>79</v>
      </c>
      <c r="V118" s="40" t="s">
        <v>78</v>
      </c>
      <c r="W118" s="40" t="s">
        <v>181</v>
      </c>
      <c r="X118" s="40" t="s">
        <v>106</v>
      </c>
      <c r="Y118" s="40" t="s">
        <v>78</v>
      </c>
      <c r="Z118" s="40" t="s">
        <v>78</v>
      </c>
      <c r="AA118" s="40" t="s">
        <v>78</v>
      </c>
      <c r="AB118" s="40" t="s">
        <v>133</v>
      </c>
      <c r="AC118" s="40" t="s">
        <v>78</v>
      </c>
      <c r="AD118" s="40" t="s">
        <v>78</v>
      </c>
      <c r="AE118" s="40" t="s">
        <v>78</v>
      </c>
      <c r="AF118" s="40" t="s">
        <v>78</v>
      </c>
      <c r="AG118" s="40" t="s">
        <v>85</v>
      </c>
      <c r="AH118" s="40" t="s">
        <v>78</v>
      </c>
      <c r="AI118" s="40" t="s">
        <v>78</v>
      </c>
      <c r="AJ118" s="40" t="s">
        <v>78</v>
      </c>
      <c r="AK118" s="40" t="s">
        <v>78</v>
      </c>
      <c r="AL118" s="40" t="s">
        <v>78</v>
      </c>
      <c r="AM118" t="str">
        <f>VLOOKUP($R118,武学奇术!$A:$ZZ,25,FALSE)</f>
        <v>伞</v>
      </c>
      <c r="AN118" s="26">
        <f>VLOOKUP($R118,武学奇术!$A:$ZZ,26,FALSE)</f>
        <v>0.54</v>
      </c>
      <c r="AO118" s="27">
        <f>VLOOKUP($R118,武学奇术!$A:$ZZ,27,FALSE)*(1+IF(OR($AM118=$F$4,$AM118=$F$5),$B$22,0))</f>
        <v>0</v>
      </c>
      <c r="AP118" s="26">
        <f>VLOOKUP($R118,武学奇术!$A:$ZZ,28,FALSE)</f>
        <v>0.81</v>
      </c>
      <c r="AQ118" s="27">
        <f>VLOOKUP($R118,武学奇术!$A:$ZZ,29,FALSE)*(1+IF(OR($AM118=$F$4,$AM118=$F$5),$B$22,0))</f>
        <v>0</v>
      </c>
      <c r="AR118" s="26" cm="1">
        <f t="array" ref="AR118">$G$3+IFERROR(VLOOKUP($AM118,$F$4:$G$7,2,FALSE),0)+VLOOKUP($R118,武学奇术!$A:$ZZ,2,FALSE)+SUM(_xlfn.XLOOKUP($S118:$AL118,增益!$A:$A,增益!$B:$B,0))</f>
        <v>0.7741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3574.6</v>
      </c>
      <c r="AU118" cm="1">
        <f t="array" ref="AU118">$E$10*(1+$AS118)+VLOOKUP($R118,武学奇术!$A:$ZZ,4,FALSE)+SUM(_xlfn.XLOOKUP($S118:$AL118,增益!$A:$A,增益!$D:$D,0))-$I$2</f>
        <v>3574.6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0.2925</v>
      </c>
      <c r="AW118" s="32" cm="1">
        <f t="array" ref="AW118">$G$10+VLOOKUP($R118,武学奇术!$A:$ZZ,7,FALSE)+SUM(_xlfn.XLOOKUP($S118:$AL118,增益!$A:$A,增益!$G:$G,0))</f>
        <v>0.148</v>
      </c>
      <c r="AX118" s="26" cm="1">
        <f t="array" ref="AX118">VLOOKUP($R118,武学奇术!$A:$ZZ,8,FALSE)+SUM(_xlfn.XLOOKUP($S118:$AL118,增益!$A:$A,增益!$H:$H,0))</f>
        <v>0</v>
      </c>
      <c r="AY118">
        <f t="shared" si="13"/>
        <v>0</v>
      </c>
      <c r="AZ118">
        <f t="shared" si="14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2" cm="1">
        <f t="array" ref="BB118">$G$11+VLOOKUP($R118,武学奇术!$A:$ZZ,10,FALSE)+SUM(_xlfn.XLOOKUP($S118:$AL118,增益!$A:$A,增益!$J:$J,0))</f>
        <v>0</v>
      </c>
      <c r="BC118">
        <f t="shared" si="15"/>
        <v>0</v>
      </c>
      <c r="BD118">
        <f t="shared" si="16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2" cm="1">
        <f t="array" ref="BF118">$G$12+VLOOKUP($R118,武学奇术!$A:$ZZ,12,FALSE)+SUM(_xlfn.XLOOKUP($S118:$AL118,增益!$A:$A,增益!$L:$L,0))</f>
        <v>0</v>
      </c>
      <c r="BG118">
        <f t="shared" si="17"/>
        <v>0</v>
      </c>
      <c r="BH118">
        <f t="shared" si="18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2" cm="1">
        <f t="array" ref="BJ118">$G$13+VLOOKUP($R118,武学奇术!$A:$ZZ,14,FALSE)+SUM(_xlfn.XLOOKUP($S118:$AL118,增益!$A:$A,增益!$N:$N,0))</f>
        <v>0</v>
      </c>
      <c r="BK118">
        <f t="shared" si="19"/>
        <v>571.2</v>
      </c>
      <c r="BL118">
        <f t="shared" si="20"/>
        <v>1627.8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2" cm="1">
        <f t="array" ref="BN118">$G$14+VLOOKUP($R118,武学奇术!$A:$ZZ,16,FALSE)+SUM(_xlfn.XLOOKUP($S118:$AL118,增益!$A:$A,增益!$P:$P,0))</f>
        <v>0.27</v>
      </c>
      <c r="BO118" s="26">
        <f>MIN(IF(VLOOKUP($R118,武学奇术!$A:$ZZ,23,FALSE)=1,100%,$B$8),100%)</f>
        <v>0.981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0.846</v>
      </c>
      <c r="BQ118" s="26" cm="1">
        <f t="array" ref="BQ118">1+$B$13+VLOOKUP($R118,武学奇术!$A:$ZZ,18,FALSE)+SUM(_xlfn.XLOOKUP($S118:$AL118,增益!$A:$A,增益!$R:$R,0))</f>
        <v>2.06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0.0929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21"/>
        <v>0.829926</v>
      </c>
      <c r="BU118" s="26">
        <f t="shared" si="22"/>
        <v>0.0599391</v>
      </c>
      <c r="BV118" s="26">
        <f>IF(VLOOKUP($R118,武学奇术!$A:$ZZ,22,FALSE)=1,0,(1-$BO118))*(1-$BR118)</f>
        <v>0.0172349</v>
      </c>
      <c r="BW118" s="26" cm="1">
        <f t="array" ref="BW118">SUM(_xlfn.XLOOKUP($S118:$AL118,增益!$A:$A,增益!$W:$W,0))+$I$5</f>
        <v>0.11</v>
      </c>
      <c r="BX118" s="26" cm="1">
        <f t="array" ref="BX118">SUM(_xlfn.XLOOKUP($S118:$AL118,增益!$A:$A,增益!$X:$X,0))</f>
        <v>0</v>
      </c>
    </row>
    <row r="119" spans="11:76">
      <c r="K119">
        <f>$L119*VLOOKUP($R119,武学奇术!$A:$ZZ,31,FALSE)</f>
        <v>171706.74443038</v>
      </c>
      <c r="L119" s="38">
        <f t="shared" si="24"/>
        <v>163530.232790838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</f>
        <v>163530.232790838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</f>
        <v>119941.340026169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</f>
        <v>79383.6081508924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</f>
        <v>69921.7792453636</v>
      </c>
      <c r="Q119" s="39">
        <v>2</v>
      </c>
      <c r="R119" s="40" t="s">
        <v>132</v>
      </c>
      <c r="S119" s="40" t="s">
        <v>116</v>
      </c>
      <c r="T119" s="40" t="s">
        <v>102</v>
      </c>
      <c r="U119" s="40" t="s">
        <v>79</v>
      </c>
      <c r="V119" s="40" t="s">
        <v>78</v>
      </c>
      <c r="W119" s="40" t="s">
        <v>181</v>
      </c>
      <c r="X119" s="40" t="s">
        <v>106</v>
      </c>
      <c r="Y119" s="40" t="s">
        <v>78</v>
      </c>
      <c r="Z119" s="40" t="s">
        <v>78</v>
      </c>
      <c r="AA119" s="40" t="s">
        <v>78</v>
      </c>
      <c r="AB119" s="40" t="s">
        <v>133</v>
      </c>
      <c r="AC119" s="40" t="s">
        <v>78</v>
      </c>
      <c r="AD119" s="40" t="s">
        <v>78</v>
      </c>
      <c r="AE119" s="40" t="s">
        <v>78</v>
      </c>
      <c r="AF119" s="40" t="s">
        <v>78</v>
      </c>
      <c r="AG119" s="40" t="s">
        <v>85</v>
      </c>
      <c r="AH119" s="40" t="s">
        <v>78</v>
      </c>
      <c r="AI119" s="40" t="s">
        <v>78</v>
      </c>
      <c r="AJ119" s="40" t="s">
        <v>78</v>
      </c>
      <c r="AK119" s="40" t="s">
        <v>78</v>
      </c>
      <c r="AL119" s="40" t="s">
        <v>78</v>
      </c>
      <c r="AM119" t="str">
        <f>VLOOKUP($R119,武学奇术!$A:$ZZ,25,FALSE)</f>
        <v>伞</v>
      </c>
      <c r="AN119" s="26">
        <f>VLOOKUP($R119,武学奇术!$A:$ZZ,26,FALSE)</f>
        <v>1.8084</v>
      </c>
      <c r="AO119" s="27">
        <f>VLOOKUP($R119,武学奇术!$A:$ZZ,27,FALSE)*(1+IF(OR($AM119=$F$4,$AM119=$F$5),$B$22,0))</f>
        <v>750</v>
      </c>
      <c r="AP119" s="26">
        <f>VLOOKUP($R119,武学奇术!$A:$ZZ,28,FALSE)</f>
        <v>2.7126</v>
      </c>
      <c r="AQ119" s="27">
        <f>VLOOKUP($R119,武学奇术!$A:$ZZ,29,FALSE)*(1+IF(OR($AM119=$F$4,$AM119=$F$5),$B$22,0))</f>
        <v>408</v>
      </c>
      <c r="AR119" s="26" cm="1">
        <f t="array" ref="AR119">$G$3+IFERROR(VLOOKUP($AM119,$F$4:$G$7,2,FALSE),0)+VLOOKUP($R119,武学奇术!$A:$ZZ,2,FALSE)+SUM(_xlfn.XLOOKUP($S119:$AL119,增益!$A:$A,增益!$B:$B,0))</f>
        <v>0.7741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3574.6</v>
      </c>
      <c r="AU119" cm="1">
        <f t="array" ref="AU119">$E$10*(1+$AS119)+VLOOKUP($R119,武学奇术!$A:$ZZ,4,FALSE)+SUM(_xlfn.XLOOKUP($S119:$AL119,增益!$A:$A,增益!$D:$D,0))-$I$2</f>
        <v>3574.6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0.2925</v>
      </c>
      <c r="AW119" s="32" cm="1">
        <f t="array" ref="AW119">$G$10+VLOOKUP($R119,武学奇术!$A:$ZZ,7,FALSE)+SUM(_xlfn.XLOOKUP($S119:$AL119,增益!$A:$A,增益!$G:$G,0))</f>
        <v>0.148</v>
      </c>
      <c r="AX119" s="26" cm="1">
        <f t="array" ref="AX119">VLOOKUP($R119,武学奇术!$A:$ZZ,8,FALSE)+SUM(_xlfn.XLOOKUP($S119:$AL119,增益!$A:$A,增益!$H:$H,0))</f>
        <v>0</v>
      </c>
      <c r="AY119">
        <f t="shared" si="13"/>
        <v>0</v>
      </c>
      <c r="AZ119">
        <f t="shared" si="14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2" cm="1">
        <f t="array" ref="BB119">$G$11+VLOOKUP($R119,武学奇术!$A:$ZZ,10,FALSE)+SUM(_xlfn.XLOOKUP($S119:$AL119,增益!$A:$A,增益!$J:$J,0))</f>
        <v>0</v>
      </c>
      <c r="BC119">
        <f t="shared" si="15"/>
        <v>0</v>
      </c>
      <c r="BD119">
        <f t="shared" si="16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2" cm="1">
        <f t="array" ref="BF119">$G$12+VLOOKUP($R119,武学奇术!$A:$ZZ,12,FALSE)+SUM(_xlfn.XLOOKUP($S119:$AL119,增益!$A:$A,增益!$L:$L,0))</f>
        <v>0</v>
      </c>
      <c r="BG119">
        <f t="shared" si="17"/>
        <v>0</v>
      </c>
      <c r="BH119">
        <f t="shared" si="18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2" cm="1">
        <f t="array" ref="BJ119">$G$13+VLOOKUP($R119,武学奇术!$A:$ZZ,14,FALSE)+SUM(_xlfn.XLOOKUP($S119:$AL119,增益!$A:$A,增益!$N:$N,0))</f>
        <v>0</v>
      </c>
      <c r="BK119">
        <f t="shared" si="19"/>
        <v>571.2</v>
      </c>
      <c r="BL119">
        <f t="shared" si="20"/>
        <v>1627.8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2" cm="1">
        <f t="array" ref="BN119">$G$14+VLOOKUP($R119,武学奇术!$A:$ZZ,16,FALSE)+SUM(_xlfn.XLOOKUP($S119:$AL119,增益!$A:$A,增益!$P:$P,0))</f>
        <v>0.27</v>
      </c>
      <c r="BO119" s="26">
        <f>MIN(IF(VLOOKUP($R119,武学奇术!$A:$ZZ,23,FALSE)=1,100%,$B$8),100%)</f>
        <v>1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1</v>
      </c>
      <c r="BQ119" s="26" cm="1">
        <f t="array" ref="BQ119">1+$B$13+VLOOKUP($R119,武学奇术!$A:$ZZ,18,FALSE)+SUM(_xlfn.XLOOKUP($S119:$AL119,增益!$A:$A,增益!$R:$R,0))</f>
        <v>2.06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21"/>
        <v>1</v>
      </c>
      <c r="BU119" s="26">
        <f t="shared" si="22"/>
        <v>0</v>
      </c>
      <c r="BV119" s="26">
        <f>IF(VLOOKUP($R119,武学奇术!$A:$ZZ,22,FALSE)=1,0,(1-$BO119))*(1-$BR119)</f>
        <v>0</v>
      </c>
      <c r="BW119" s="26" cm="1">
        <f t="array" ref="BW119">SUM(_xlfn.XLOOKUP($S119:$AL119,增益!$A:$A,增益!$W:$W,0))+$I$5</f>
        <v>0.11</v>
      </c>
      <c r="BX119" s="26" cm="1">
        <f t="array" ref="BX119">SUM(_xlfn.XLOOKUP($S119:$AL119,增益!$A:$A,增益!$X:$X,0))</f>
        <v>0</v>
      </c>
    </row>
    <row r="120" spans="11:76">
      <c r="K120">
        <f>$L120*VLOOKUP($R120,武学奇术!$A:$ZZ,31,FALSE)</f>
        <v>74986.2197886341</v>
      </c>
      <c r="L120" s="38">
        <f t="shared" si="24"/>
        <v>71415.4474177467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</f>
        <v>71415.4474177467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</f>
        <v>53167.7342897417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</f>
        <v>34667.6929212363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</f>
        <v>29951.8789611824</v>
      </c>
      <c r="Q120" s="39">
        <v>3</v>
      </c>
      <c r="R120" s="40" t="s">
        <v>139</v>
      </c>
      <c r="S120" s="40" t="s">
        <v>116</v>
      </c>
      <c r="T120" s="40" t="s">
        <v>102</v>
      </c>
      <c r="U120" s="40" t="s">
        <v>79</v>
      </c>
      <c r="V120" s="40" t="s">
        <v>78</v>
      </c>
      <c r="W120" s="40" t="s">
        <v>181</v>
      </c>
      <c r="X120" s="40" t="s">
        <v>106</v>
      </c>
      <c r="Y120" s="40" t="s">
        <v>78</v>
      </c>
      <c r="Z120" s="40" t="s">
        <v>78</v>
      </c>
      <c r="AA120" s="40" t="s">
        <v>78</v>
      </c>
      <c r="AB120" s="40" t="s">
        <v>133</v>
      </c>
      <c r="AC120" s="40" t="s">
        <v>78</v>
      </c>
      <c r="AD120" s="40" t="s">
        <v>78</v>
      </c>
      <c r="AE120" s="40" t="s">
        <v>78</v>
      </c>
      <c r="AF120" s="40" t="s">
        <v>78</v>
      </c>
      <c r="AG120" s="40" t="s">
        <v>85</v>
      </c>
      <c r="AH120" s="40" t="s">
        <v>78</v>
      </c>
      <c r="AI120" s="40" t="s">
        <v>78</v>
      </c>
      <c r="AJ120" s="40" t="s">
        <v>78</v>
      </c>
      <c r="AK120" s="40" t="s">
        <v>78</v>
      </c>
      <c r="AL120" s="40" t="s">
        <v>78</v>
      </c>
      <c r="AM120" t="str">
        <f>VLOOKUP($R120,武学奇术!$A:$ZZ,25,FALSE)</f>
        <v>伞</v>
      </c>
      <c r="AN120" s="26">
        <f>VLOOKUP($R120,武学奇术!$A:$ZZ,26,FALSE)</f>
        <v>0.54</v>
      </c>
      <c r="AO120" s="27">
        <f>VLOOKUP($R120,武学奇术!$A:$ZZ,27,FALSE)*(1+IF(OR($AM120=$F$4,$AM120=$F$5),$B$22,0))</f>
        <v>0</v>
      </c>
      <c r="AP120" s="26">
        <f>VLOOKUP($R120,武学奇术!$A:$ZZ,28,FALSE)</f>
        <v>0.81</v>
      </c>
      <c r="AQ120" s="27">
        <f>VLOOKUP($R120,武学奇术!$A:$ZZ,29,FALSE)*(1+IF(OR($AM120=$F$4,$AM120=$F$5),$B$22,0))</f>
        <v>0</v>
      </c>
      <c r="AR120" s="26" cm="1">
        <f t="array" ref="AR120">$G$3+IFERROR(VLOOKUP($AM120,$F$4:$G$7,2,FALSE),0)+VLOOKUP($R120,武学奇术!$A:$ZZ,2,FALSE)+SUM(_xlfn.XLOOKUP($S120:$AL120,增益!$A:$A,增益!$B:$B,0))</f>
        <v>0.9741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3574.6</v>
      </c>
      <c r="AU120" cm="1">
        <f t="array" ref="AU120">$E$10*(1+$AS120)+VLOOKUP($R120,武学奇术!$A:$ZZ,4,FALSE)+SUM(_xlfn.XLOOKUP($S120:$AL120,增益!$A:$A,增益!$D:$D,0))-$I$2</f>
        <v>3574.6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0.2925</v>
      </c>
      <c r="AW120" s="32" cm="1">
        <f t="array" ref="AW120">$G$10+VLOOKUP($R120,武学奇术!$A:$ZZ,7,FALSE)+SUM(_xlfn.XLOOKUP($S120:$AL120,增益!$A:$A,增益!$G:$G,0))</f>
        <v>0.148</v>
      </c>
      <c r="AX120" s="26" cm="1">
        <f t="array" ref="AX120">VLOOKUP($R120,武学奇术!$A:$ZZ,8,FALSE)+SUM(_xlfn.XLOOKUP($S120:$AL120,增益!$A:$A,增益!$H:$H,0))</f>
        <v>0</v>
      </c>
      <c r="AY120">
        <f t="shared" si="13"/>
        <v>0</v>
      </c>
      <c r="AZ120">
        <f t="shared" si="14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2" cm="1">
        <f t="array" ref="BB120">$G$11+VLOOKUP($R120,武学奇术!$A:$ZZ,10,FALSE)+SUM(_xlfn.XLOOKUP($S120:$AL120,增益!$A:$A,增益!$J:$J,0))</f>
        <v>0</v>
      </c>
      <c r="BC120">
        <f t="shared" si="15"/>
        <v>0</v>
      </c>
      <c r="BD120">
        <f t="shared" si="16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2" cm="1">
        <f t="array" ref="BF120">$G$12+VLOOKUP($R120,武学奇术!$A:$ZZ,12,FALSE)+SUM(_xlfn.XLOOKUP($S120:$AL120,增益!$A:$A,增益!$L:$L,0))</f>
        <v>0</v>
      </c>
      <c r="BG120">
        <f t="shared" si="17"/>
        <v>0</v>
      </c>
      <c r="BH120">
        <f t="shared" si="18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2" cm="1">
        <f t="array" ref="BJ120">$G$13+VLOOKUP($R120,武学奇术!$A:$ZZ,14,FALSE)+SUM(_xlfn.XLOOKUP($S120:$AL120,增益!$A:$A,增益!$N:$N,0))</f>
        <v>0</v>
      </c>
      <c r="BK120">
        <f t="shared" si="19"/>
        <v>571.2</v>
      </c>
      <c r="BL120">
        <f t="shared" si="20"/>
        <v>1627.8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2" cm="1">
        <f t="array" ref="BN120">$G$14+VLOOKUP($R120,武学奇术!$A:$ZZ,16,FALSE)+SUM(_xlfn.XLOOKUP($S120:$AL120,增益!$A:$A,增益!$P:$P,0))</f>
        <v>0.27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2.06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21"/>
        <v>1</v>
      </c>
      <c r="BU120" s="26">
        <f t="shared" si="22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 cm="1">
        <f t="array" ref="BX120">SUM(_xlfn.XLOOKUP($S120:$AL120,增益!$A:$A,增益!$X:$X,0))</f>
        <v>0</v>
      </c>
    </row>
    <row r="121" spans="11:76">
      <c r="K121">
        <f>$L121*VLOOKUP($R121,武学奇术!$A:$ZZ,31,FALSE)</f>
        <v>142375.273530569</v>
      </c>
      <c r="L121" s="38">
        <f t="shared" si="24"/>
        <v>135595.498600542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</f>
        <v>145094.94359735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</f>
        <v>106419.966932638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</f>
        <v>70434.4386394903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</f>
        <v>62039.2721436936</v>
      </c>
      <c r="Q121" s="39">
        <v>2</v>
      </c>
      <c r="R121" s="40" t="s">
        <v>115</v>
      </c>
      <c r="S121" s="40" t="s">
        <v>116</v>
      </c>
      <c r="T121" s="40" t="s">
        <v>102</v>
      </c>
      <c r="U121" s="40" t="s">
        <v>79</v>
      </c>
      <c r="V121" s="40" t="s">
        <v>78</v>
      </c>
      <c r="W121" s="40" t="s">
        <v>181</v>
      </c>
      <c r="X121" s="40" t="s">
        <v>106</v>
      </c>
      <c r="Y121" s="40" t="s">
        <v>78</v>
      </c>
      <c r="Z121" s="40" t="s">
        <v>78</v>
      </c>
      <c r="AA121" s="40" t="s">
        <v>78</v>
      </c>
      <c r="AB121" s="40" t="s">
        <v>133</v>
      </c>
      <c r="AC121" s="40" t="s">
        <v>78</v>
      </c>
      <c r="AD121" s="40" t="s">
        <v>78</v>
      </c>
      <c r="AE121" s="40" t="s">
        <v>78</v>
      </c>
      <c r="AF121" s="40" t="s">
        <v>78</v>
      </c>
      <c r="AG121" s="40" t="s">
        <v>85</v>
      </c>
      <c r="AH121" s="40" t="s">
        <v>78</v>
      </c>
      <c r="AI121" s="40" t="s">
        <v>78</v>
      </c>
      <c r="AJ121" s="40" t="s">
        <v>78</v>
      </c>
      <c r="AK121" s="40" t="s">
        <v>78</v>
      </c>
      <c r="AL121" s="40" t="s">
        <v>78</v>
      </c>
      <c r="AM121" t="str">
        <f>VLOOKUP($R121,武学奇术!$A:$ZZ,25,FALSE)</f>
        <v>伞</v>
      </c>
      <c r="AN121" s="26">
        <f>VLOOKUP($R121,武学奇术!$A:$ZZ,26,FALSE)</f>
        <v>1.8084</v>
      </c>
      <c r="AO121" s="27">
        <f>VLOOKUP($R121,武学奇术!$A:$ZZ,27,FALSE)*(1+IF(OR($AM121=$F$4,$AM121=$F$5),$B$22,0))</f>
        <v>750</v>
      </c>
      <c r="AP121" s="26">
        <f>VLOOKUP($R121,武学奇术!$A:$ZZ,28,FALSE)</f>
        <v>2.7126</v>
      </c>
      <c r="AQ121" s="27">
        <f>VLOOKUP($R121,武学奇术!$A:$ZZ,29,FALSE)*(1+IF(OR($AM121=$F$4,$AM121=$F$5),$B$22,0))</f>
        <v>408</v>
      </c>
      <c r="AR121" s="26" cm="1">
        <f t="array" ref="AR121">$G$3+IFERROR(VLOOKUP($AM121,$F$4:$G$7,2,FALSE),0)+VLOOKUP($R121,武学奇术!$A:$ZZ,2,FALSE)+SUM(_xlfn.XLOOKUP($S121:$AL121,增益!$A:$A,增益!$B:$B,0))</f>
        <v>0.5741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3574.6</v>
      </c>
      <c r="AU121" cm="1">
        <f t="array" ref="AU121">$E$10*(1+$AS121)+VLOOKUP($R121,武学奇术!$A:$ZZ,4,FALSE)+SUM(_xlfn.XLOOKUP($S121:$AL121,增益!$A:$A,增益!$D:$D,0))-$I$2</f>
        <v>3574.6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0.2925</v>
      </c>
      <c r="AW121" s="32" cm="1">
        <f t="array" ref="AW121">$G$10+VLOOKUP($R121,武学奇术!$A:$ZZ,7,FALSE)+SUM(_xlfn.XLOOKUP($S121:$AL121,增益!$A:$A,增益!$G:$G,0))</f>
        <v>0.148</v>
      </c>
      <c r="AX121" s="26" cm="1">
        <f t="array" ref="AX121">VLOOKUP($R121,武学奇术!$A:$ZZ,8,FALSE)+SUM(_xlfn.XLOOKUP($S121:$AL121,增益!$A:$A,增益!$H:$H,0))</f>
        <v>0</v>
      </c>
      <c r="AY121">
        <f t="shared" si="13"/>
        <v>0</v>
      </c>
      <c r="AZ121">
        <f t="shared" si="14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2" cm="1">
        <f t="array" ref="BB121">$G$11+VLOOKUP($R121,武学奇术!$A:$ZZ,10,FALSE)+SUM(_xlfn.XLOOKUP($S121:$AL121,增益!$A:$A,增益!$J:$J,0))</f>
        <v>0</v>
      </c>
      <c r="BC121">
        <f t="shared" si="15"/>
        <v>0</v>
      </c>
      <c r="BD121">
        <f t="shared" si="16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2" cm="1">
        <f t="array" ref="BF121">$G$12+VLOOKUP($R121,武学奇术!$A:$ZZ,12,FALSE)+SUM(_xlfn.XLOOKUP($S121:$AL121,增益!$A:$A,增益!$L:$L,0))</f>
        <v>0</v>
      </c>
      <c r="BG121">
        <f t="shared" si="17"/>
        <v>0</v>
      </c>
      <c r="BH121">
        <f t="shared" si="18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2" cm="1">
        <f t="array" ref="BJ121">$G$13+VLOOKUP($R121,武学奇术!$A:$ZZ,14,FALSE)+SUM(_xlfn.XLOOKUP($S121:$AL121,增益!$A:$A,增益!$N:$N,0))</f>
        <v>0</v>
      </c>
      <c r="BK121">
        <f t="shared" si="19"/>
        <v>571.2</v>
      </c>
      <c r="BL121">
        <f t="shared" si="20"/>
        <v>1627.8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2" cm="1">
        <f t="array" ref="BN121">$G$14+VLOOKUP($R121,武学奇术!$A:$ZZ,16,FALSE)+SUM(_xlfn.XLOOKUP($S121:$AL121,增益!$A:$A,增益!$P:$P,0))</f>
        <v>0.27</v>
      </c>
      <c r="BO121" s="26">
        <f>MIN(IF(VLOOKUP($R121,武学奇术!$A:$ZZ,23,FALSE)=1,100%,$B$8),100%)</f>
        <v>0.981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0.846</v>
      </c>
      <c r="BQ121" s="26" cm="1">
        <f t="array" ref="BQ121">1+$B$13+VLOOKUP($R121,武学奇术!$A:$ZZ,18,FALSE)+SUM(_xlfn.XLOOKUP($S121:$AL121,增益!$A:$A,增益!$R:$R,0))</f>
        <v>2.06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0.0929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21"/>
        <v>0.829926</v>
      </c>
      <c r="BU121" s="26">
        <f t="shared" si="22"/>
        <v>0.0599391</v>
      </c>
      <c r="BV121" s="26">
        <f>IF(VLOOKUP($R121,武学奇术!$A:$ZZ,22,FALSE)=1,0,(1-$BO121))*(1-$BR121)</f>
        <v>0.0172349</v>
      </c>
      <c r="BW121" s="26" cm="1">
        <f t="array" ref="BW121">SUM(_xlfn.XLOOKUP($S121:$AL121,增益!$A:$A,增益!$W:$W,0))+$I$5</f>
        <v>0.11</v>
      </c>
      <c r="BX121" s="26" cm="1">
        <f t="array" ref="BX121">SUM(_xlfn.XLOOKUP($S121:$AL121,增益!$A:$A,增益!$X:$X,0))</f>
        <v>0</v>
      </c>
    </row>
    <row r="122" spans="11:76">
      <c r="K122">
        <f>$L122*VLOOKUP($R122,武学奇术!$A:$ZZ,31,FALSE)</f>
        <v>84049.0609045247</v>
      </c>
      <c r="L122" s="38">
        <f t="shared" si="24"/>
        <v>80046.7246709759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</f>
        <v>85573.6084047241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</f>
        <v>63708.2737473149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</f>
        <v>41540.586604235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</f>
        <v>35889.8593215701</v>
      </c>
      <c r="Q122" s="39">
        <v>4</v>
      </c>
      <c r="R122" s="40" t="s">
        <v>119</v>
      </c>
      <c r="S122" s="40" t="s">
        <v>116</v>
      </c>
      <c r="T122" s="40" t="s">
        <v>102</v>
      </c>
      <c r="U122" s="40" t="s">
        <v>79</v>
      </c>
      <c r="V122" s="40" t="s">
        <v>78</v>
      </c>
      <c r="W122" s="40" t="s">
        <v>181</v>
      </c>
      <c r="X122" s="40" t="s">
        <v>106</v>
      </c>
      <c r="Y122" s="40" t="s">
        <v>78</v>
      </c>
      <c r="Z122" s="40" t="s">
        <v>78</v>
      </c>
      <c r="AA122" s="40" t="s">
        <v>78</v>
      </c>
      <c r="AB122" s="40" t="s">
        <v>133</v>
      </c>
      <c r="AC122" s="40" t="s">
        <v>78</v>
      </c>
      <c r="AD122" s="40" t="s">
        <v>78</v>
      </c>
      <c r="AE122" s="40" t="s">
        <v>78</v>
      </c>
      <c r="AF122" s="40" t="s">
        <v>78</v>
      </c>
      <c r="AG122" s="40" t="s">
        <v>85</v>
      </c>
      <c r="AH122" s="40" t="s">
        <v>78</v>
      </c>
      <c r="AI122" s="40" t="s">
        <v>78</v>
      </c>
      <c r="AJ122" s="40" t="s">
        <v>78</v>
      </c>
      <c r="AK122" s="40" t="s">
        <v>78</v>
      </c>
      <c r="AL122" s="40" t="s">
        <v>78</v>
      </c>
      <c r="AM122" t="str">
        <f>VLOOKUP($R122,武学奇术!$A:$ZZ,25,FALSE)</f>
        <v>伞</v>
      </c>
      <c r="AN122" s="26">
        <f>VLOOKUP($R122,武学奇术!$A:$ZZ,26,FALSE)</f>
        <v>0.54</v>
      </c>
      <c r="AO122" s="27">
        <f>VLOOKUP($R122,武学奇术!$A:$ZZ,27,FALSE)*(1+IF(OR($AM122=$F$4,$AM122=$F$5),$B$22,0))</f>
        <v>0</v>
      </c>
      <c r="AP122" s="26">
        <f>VLOOKUP($R122,武学奇术!$A:$ZZ,28,FALSE)</f>
        <v>0.81</v>
      </c>
      <c r="AQ122" s="27">
        <f>VLOOKUP($R122,武学奇术!$A:$ZZ,29,FALSE)*(1+IF(OR($AM122=$F$4,$AM122=$F$5),$B$22,0))</f>
        <v>0</v>
      </c>
      <c r="AR122" s="26" cm="1">
        <f t="array" ref="AR122">$G$3+IFERROR(VLOOKUP($AM122,$F$4:$G$7,2,FALSE),0)+VLOOKUP($R122,武学奇术!$A:$ZZ,2,FALSE)+SUM(_xlfn.XLOOKUP($S122:$AL122,增益!$A:$A,增益!$B:$B,0))</f>
        <v>0.7741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3574.6</v>
      </c>
      <c r="AU122" cm="1">
        <f t="array" ref="AU122">$E$10*(1+$AS122)+VLOOKUP($R122,武学奇术!$A:$ZZ,4,FALSE)+SUM(_xlfn.XLOOKUP($S122:$AL122,增益!$A:$A,增益!$D:$D,0))-$I$2</f>
        <v>3574.6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0.2925</v>
      </c>
      <c r="AW122" s="32" cm="1">
        <f t="array" ref="AW122">$G$10+VLOOKUP($R122,武学奇术!$A:$ZZ,7,FALSE)+SUM(_xlfn.XLOOKUP($S122:$AL122,增益!$A:$A,增益!$G:$G,0))</f>
        <v>0.148</v>
      </c>
      <c r="AX122" s="26" cm="1">
        <f t="array" ref="AX122">VLOOKUP($R122,武学奇术!$A:$ZZ,8,FALSE)+SUM(_xlfn.XLOOKUP($S122:$AL122,增益!$A:$A,增益!$H:$H,0))</f>
        <v>0</v>
      </c>
      <c r="AY122">
        <f t="shared" si="13"/>
        <v>0</v>
      </c>
      <c r="AZ122">
        <f t="shared" si="14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2" cm="1">
        <f t="array" ref="BB122">$G$11+VLOOKUP($R122,武学奇术!$A:$ZZ,10,FALSE)+SUM(_xlfn.XLOOKUP($S122:$AL122,增益!$A:$A,增益!$J:$J,0))</f>
        <v>0</v>
      </c>
      <c r="BC122">
        <f t="shared" si="15"/>
        <v>0</v>
      </c>
      <c r="BD122">
        <f t="shared" si="16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2" cm="1">
        <f t="array" ref="BF122">$G$12+VLOOKUP($R122,武学奇术!$A:$ZZ,12,FALSE)+SUM(_xlfn.XLOOKUP($S122:$AL122,增益!$A:$A,增益!$L:$L,0))</f>
        <v>0</v>
      </c>
      <c r="BG122">
        <f t="shared" si="17"/>
        <v>0</v>
      </c>
      <c r="BH122">
        <f t="shared" si="18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2" cm="1">
        <f t="array" ref="BJ122">$G$13+VLOOKUP($R122,武学奇术!$A:$ZZ,14,FALSE)+SUM(_xlfn.XLOOKUP($S122:$AL122,增益!$A:$A,增益!$N:$N,0))</f>
        <v>0</v>
      </c>
      <c r="BK122">
        <f t="shared" si="19"/>
        <v>571.2</v>
      </c>
      <c r="BL122">
        <f t="shared" si="20"/>
        <v>1627.8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2" cm="1">
        <f t="array" ref="BN122">$G$14+VLOOKUP($R122,武学奇术!$A:$ZZ,16,FALSE)+SUM(_xlfn.XLOOKUP($S122:$AL122,增益!$A:$A,增益!$P:$P,0))</f>
        <v>0.27</v>
      </c>
      <c r="BO122" s="26">
        <f>MIN(IF(VLOOKUP($R122,武学奇术!$A:$ZZ,23,FALSE)=1,100%,$B$8),100%)</f>
        <v>0.981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0.846</v>
      </c>
      <c r="BQ122" s="26" cm="1">
        <f t="array" ref="BQ122">1+$B$13+VLOOKUP($R122,武学奇术!$A:$ZZ,18,FALSE)+SUM(_xlfn.XLOOKUP($S122:$AL122,增益!$A:$A,增益!$R:$R,0))</f>
        <v>2.06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0.0929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21"/>
        <v>0.829926</v>
      </c>
      <c r="BU122" s="26">
        <f t="shared" si="22"/>
        <v>0.0599391</v>
      </c>
      <c r="BV122" s="26">
        <f>IF(VLOOKUP($R122,武学奇术!$A:$ZZ,22,FALSE)=1,0,(1-$BO122))*(1-$BR122)</f>
        <v>0.0172349</v>
      </c>
      <c r="BW122" s="26" cm="1">
        <f t="array" ref="BW122">SUM(_xlfn.XLOOKUP($S122:$AL122,增益!$A:$A,增益!$W:$W,0))+$I$5</f>
        <v>0.11</v>
      </c>
      <c r="BX122" s="26" cm="1">
        <f t="array" ref="BX122">SUM(_xlfn.XLOOKUP($S122:$AL122,增益!$A:$A,增益!$X:$X,0))</f>
        <v>0</v>
      </c>
    </row>
    <row r="123" spans="11:76">
      <c r="K123">
        <f>$L123*VLOOKUP($R123,武学奇术!$A:$ZZ,31,FALSE)</f>
        <v>180019.80281561</v>
      </c>
      <c r="L123" s="38">
        <f t="shared" si="24"/>
        <v>171447.431252962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</f>
        <v>181719.864721727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</f>
        <v>145397.613888848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</f>
        <v>95141.2904302237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</f>
        <v>82580.6446464857</v>
      </c>
      <c r="Q123" s="39">
        <v>1</v>
      </c>
      <c r="R123" s="40" t="s">
        <v>194</v>
      </c>
      <c r="S123" s="40" t="s">
        <v>78</v>
      </c>
      <c r="T123" s="40" t="s">
        <v>102</v>
      </c>
      <c r="U123" s="40" t="s">
        <v>79</v>
      </c>
      <c r="V123" s="40" t="s">
        <v>78</v>
      </c>
      <c r="W123" s="40" t="s">
        <v>181</v>
      </c>
      <c r="X123" s="40" t="s">
        <v>106</v>
      </c>
      <c r="Y123" s="40" t="s">
        <v>78</v>
      </c>
      <c r="Z123" s="40" t="s">
        <v>78</v>
      </c>
      <c r="AA123" s="40" t="s">
        <v>78</v>
      </c>
      <c r="AB123" s="40" t="s">
        <v>78</v>
      </c>
      <c r="AC123" s="40" t="s">
        <v>78</v>
      </c>
      <c r="AD123" s="40" t="s">
        <v>78</v>
      </c>
      <c r="AE123" s="40" t="s">
        <v>78</v>
      </c>
      <c r="AF123" s="40" t="s">
        <v>78</v>
      </c>
      <c r="AG123" s="40" t="s">
        <v>85</v>
      </c>
      <c r="AH123" s="40" t="s">
        <v>78</v>
      </c>
      <c r="AI123" s="40" t="s">
        <v>78</v>
      </c>
      <c r="AJ123" s="40" t="s">
        <v>78</v>
      </c>
      <c r="AK123" s="40" t="s">
        <v>78</v>
      </c>
      <c r="AL123" s="40" t="s">
        <v>78</v>
      </c>
      <c r="AM123" t="str">
        <f>VLOOKUP($R123,武学奇术!$A:$ZZ,25,FALSE)</f>
        <v>群体奇术</v>
      </c>
      <c r="AN123" s="26">
        <f>VLOOKUP($R123,武学奇术!$A:$ZZ,26,FALSE)</f>
        <v>10.315755</v>
      </c>
      <c r="AO123" s="27">
        <f>VLOOKUP($R123,武学奇术!$A:$ZZ,27,FALSE)*(1+IF(OR($AM123=$F$4,$AM123=$F$5),$B$22,0))</f>
        <v>1992.6</v>
      </c>
      <c r="AP123" s="26">
        <f>VLOOKUP($R123,武学奇术!$A:$ZZ,28,FALSE)</f>
        <v>15.4736325</v>
      </c>
      <c r="AQ123" s="27">
        <f>VLOOKUP($R123,武学奇术!$A:$ZZ,29,FALSE)*(1+IF(OR($AM123=$F$4,$AM123=$F$5),$B$22,0))</f>
        <v>0</v>
      </c>
      <c r="AR123" s="26" cm="1">
        <f t="array" ref="AR123">$G$3+IFERROR(VLOOKUP($AM123,$F$4:$G$7,2,FALSE),0)+VLOOKUP($R123,武学奇术!$A:$ZZ,2,FALSE)+SUM(_xlfn.XLOOKUP($S123:$AL123,增益!$A:$A,增益!$B:$B,0))</f>
        <v>0.2037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3574.6</v>
      </c>
      <c r="AU123" cm="1">
        <f t="array" ref="AU123">$E$10*(1+$AS123)+VLOOKUP($R123,武学奇术!$A:$ZZ,4,FALSE)+SUM(_xlfn.XLOOKUP($S123:$AL123,增益!$A:$A,增益!$D:$D,0))-$I$2</f>
        <v>3574.6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0.2925</v>
      </c>
      <c r="AW123" s="32" cm="1">
        <f t="array" ref="AW123">$G$10+VLOOKUP($R123,武学奇术!$A:$ZZ,7,FALSE)+SUM(_xlfn.XLOOKUP($S123:$AL123,增益!$A:$A,增益!$G:$G,0))</f>
        <v>0.028</v>
      </c>
      <c r="AX123" s="26" cm="1">
        <f t="array" ref="AX123">VLOOKUP($R123,武学奇术!$A:$ZZ,8,FALSE)+SUM(_xlfn.XLOOKUP($S123:$AL123,增益!$A:$A,增益!$H:$H,0))</f>
        <v>0</v>
      </c>
      <c r="AY123">
        <f t="shared" si="13"/>
        <v>0</v>
      </c>
      <c r="AZ123">
        <f t="shared" si="14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2" cm="1">
        <f t="array" ref="BB123">$G$11+VLOOKUP($R123,武学奇术!$A:$ZZ,10,FALSE)+SUM(_xlfn.XLOOKUP($S123:$AL123,增益!$A:$A,增益!$J:$J,0))</f>
        <v>0</v>
      </c>
      <c r="BC123">
        <f t="shared" si="15"/>
        <v>0</v>
      </c>
      <c r="BD123">
        <f t="shared" si="16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2" cm="1">
        <f t="array" ref="BF123">$G$12+VLOOKUP($R123,武学奇术!$A:$ZZ,12,FALSE)+SUM(_xlfn.XLOOKUP($S123:$AL123,增益!$A:$A,增益!$L:$L,0))</f>
        <v>0</v>
      </c>
      <c r="BG123">
        <f t="shared" si="17"/>
        <v>0</v>
      </c>
      <c r="BH123">
        <f t="shared" si="18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2" cm="1">
        <f t="array" ref="BJ123">$G$13+VLOOKUP($R123,武学奇术!$A:$ZZ,14,FALSE)+SUM(_xlfn.XLOOKUP($S123:$AL123,增益!$A:$A,增益!$N:$N,0))</f>
        <v>0</v>
      </c>
      <c r="BK123">
        <f t="shared" si="19"/>
        <v>571.2</v>
      </c>
      <c r="BL123">
        <f t="shared" si="20"/>
        <v>1627.8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2" cm="1">
        <f t="array" ref="BN123">$G$14+VLOOKUP($R123,武学奇术!$A:$ZZ,16,FALSE)+SUM(_xlfn.XLOOKUP($S123:$AL123,增益!$A:$A,增益!$P:$P,0))</f>
        <v>0.15</v>
      </c>
      <c r="BO123" s="26">
        <f>MIN(IF(VLOOKUP($R123,武学奇术!$A:$ZZ,23,FALSE)=1,100%,$B$8),100%)</f>
        <v>0.981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0.846</v>
      </c>
      <c r="BQ123" s="26" cm="1">
        <f t="array" ref="BQ123">1+$B$13+VLOOKUP($R123,武学奇术!$A:$ZZ,18,FALSE)+SUM(_xlfn.XLOOKUP($S123:$AL123,增益!$A:$A,增益!$R:$R,0))</f>
        <v>1.91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0.0929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21"/>
        <v>0.829926</v>
      </c>
      <c r="BU123" s="26">
        <f t="shared" si="22"/>
        <v>0.0599391</v>
      </c>
      <c r="BV123" s="26">
        <f>IF(VLOOKUP($R123,武学奇术!$A:$ZZ,22,FALSE)=1,0,(1-$BO123))*(1-$BR123)</f>
        <v>0.0172349</v>
      </c>
      <c r="BW123" s="26" cm="1">
        <f t="array" ref="BW123">SUM(_xlfn.XLOOKUP($S123:$AL123,增益!$A:$A,增益!$W:$W,0))+$I$5</f>
        <v>0.11</v>
      </c>
      <c r="BX123" s="26" cm="1">
        <f t="array" ref="BX123">SUM(_xlfn.XLOOKUP($S123:$AL123,增益!$A:$A,增益!$X:$X,0))</f>
        <v>0</v>
      </c>
    </row>
    <row r="124" spans="11:76">
      <c r="K124">
        <f>$L124*VLOOKUP($R124,武学奇术!$A:$ZZ,31,FALSE)</f>
        <v>124034.841876103</v>
      </c>
      <c r="L124" s="38">
        <f t="shared" si="24"/>
        <v>118128.420834383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</f>
        <v>125206.086610354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</f>
        <v>100181.122003885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</f>
        <v>65552.9249268871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</f>
        <v>56897.6113323782</v>
      </c>
      <c r="Q124" s="39">
        <v>1</v>
      </c>
      <c r="R124" s="40" t="s">
        <v>191</v>
      </c>
      <c r="S124" s="40" t="s">
        <v>78</v>
      </c>
      <c r="T124" s="40" t="s">
        <v>102</v>
      </c>
      <c r="U124" s="40" t="s">
        <v>79</v>
      </c>
      <c r="V124" s="40" t="s">
        <v>78</v>
      </c>
      <c r="W124" s="40" t="s">
        <v>181</v>
      </c>
      <c r="X124" s="40" t="s">
        <v>106</v>
      </c>
      <c r="Y124" s="40" t="s">
        <v>78</v>
      </c>
      <c r="Z124" s="40" t="s">
        <v>78</v>
      </c>
      <c r="AA124" s="40" t="s">
        <v>78</v>
      </c>
      <c r="AB124" s="40" t="s">
        <v>78</v>
      </c>
      <c r="AC124" s="40" t="s">
        <v>78</v>
      </c>
      <c r="AD124" s="40" t="s">
        <v>78</v>
      </c>
      <c r="AE124" s="40" t="s">
        <v>78</v>
      </c>
      <c r="AF124" s="40" t="s">
        <v>78</v>
      </c>
      <c r="AG124" s="40" t="s">
        <v>85</v>
      </c>
      <c r="AH124" s="40" t="s">
        <v>78</v>
      </c>
      <c r="AI124" s="40" t="s">
        <v>78</v>
      </c>
      <c r="AJ124" s="40" t="s">
        <v>78</v>
      </c>
      <c r="AK124" s="40" t="s">
        <v>78</v>
      </c>
      <c r="AL124" s="40" t="s">
        <v>78</v>
      </c>
      <c r="AM124" t="str">
        <f>VLOOKUP($R124,武学奇术!$A:$ZZ,25,FALSE)</f>
        <v>单体奇术</v>
      </c>
      <c r="AN124" s="26">
        <f>VLOOKUP($R124,武学奇术!$A:$ZZ,26,FALSE)</f>
        <v>7.1084</v>
      </c>
      <c r="AO124" s="27">
        <f>VLOOKUP($R124,武学奇术!$A:$ZZ,27,FALSE)*(1+IF(OR($AM124=$F$4,$AM124=$F$5),$B$22,0))</f>
        <v>1369</v>
      </c>
      <c r="AP124" s="26">
        <f>VLOOKUP($R124,武学奇术!$A:$ZZ,28,FALSE)</f>
        <v>10.6626</v>
      </c>
      <c r="AQ124" s="27">
        <f>VLOOKUP($R124,武学奇术!$A:$ZZ,29,FALSE)*(1+IF(OR($AM124=$F$4,$AM124=$F$5),$B$22,0))</f>
        <v>0</v>
      </c>
      <c r="AR124" s="26" cm="1">
        <f t="array" ref="AR124">$G$3+IFERROR(VLOOKUP($AM124,$F$4:$G$7,2,FALSE),0)+VLOOKUP($R124,武学奇术!$A:$ZZ,2,FALSE)+SUM(_xlfn.XLOOKUP($S124:$AL124,增益!$A:$A,增益!$B:$B,0))</f>
        <v>0.2037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3574.6</v>
      </c>
      <c r="AU124" cm="1">
        <f t="array" ref="AU124">$E$10*(1+$AS124)+VLOOKUP($R124,武学奇术!$A:$ZZ,4,FALSE)+SUM(_xlfn.XLOOKUP($S124:$AL124,增益!$A:$A,增益!$D:$D,0))-$I$2</f>
        <v>3574.6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0.2925</v>
      </c>
      <c r="AW124" s="32" cm="1">
        <f t="array" ref="AW124">$G$10+VLOOKUP($R124,武学奇术!$A:$ZZ,7,FALSE)+SUM(_xlfn.XLOOKUP($S124:$AL124,增益!$A:$A,增益!$G:$G,0))</f>
        <v>0.028</v>
      </c>
      <c r="AX124" s="26" cm="1">
        <f t="array" ref="AX124">VLOOKUP($R124,武学奇术!$A:$ZZ,8,FALSE)+SUM(_xlfn.XLOOKUP($S124:$AL124,增益!$A:$A,增益!$H:$H,0))</f>
        <v>0</v>
      </c>
      <c r="AY124">
        <f t="shared" si="13"/>
        <v>0</v>
      </c>
      <c r="AZ124">
        <f t="shared" si="14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2" cm="1">
        <f t="array" ref="BB124">$G$11+VLOOKUP($R124,武学奇术!$A:$ZZ,10,FALSE)+SUM(_xlfn.XLOOKUP($S124:$AL124,增益!$A:$A,增益!$J:$J,0))</f>
        <v>0</v>
      </c>
      <c r="BC124">
        <f t="shared" si="15"/>
        <v>0</v>
      </c>
      <c r="BD124">
        <f t="shared" si="16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2" cm="1">
        <f t="array" ref="BF124">$G$12+VLOOKUP($R124,武学奇术!$A:$ZZ,12,FALSE)+SUM(_xlfn.XLOOKUP($S124:$AL124,增益!$A:$A,增益!$L:$L,0))</f>
        <v>0</v>
      </c>
      <c r="BG124">
        <f t="shared" si="17"/>
        <v>0</v>
      </c>
      <c r="BH124">
        <f t="shared" si="18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2" cm="1">
        <f t="array" ref="BJ124">$G$13+VLOOKUP($R124,武学奇术!$A:$ZZ,14,FALSE)+SUM(_xlfn.XLOOKUP($S124:$AL124,增益!$A:$A,增益!$N:$N,0))</f>
        <v>0</v>
      </c>
      <c r="BK124">
        <f t="shared" si="19"/>
        <v>571.2</v>
      </c>
      <c r="BL124">
        <f t="shared" si="20"/>
        <v>1627.8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2" cm="1">
        <f t="array" ref="BN124">$G$14+VLOOKUP($R124,武学奇术!$A:$ZZ,16,FALSE)+SUM(_xlfn.XLOOKUP($S124:$AL124,增益!$A:$A,增益!$P:$P,0))</f>
        <v>0.15</v>
      </c>
      <c r="BO124" s="26">
        <f>MIN(IF(VLOOKUP($R124,武学奇术!$A:$ZZ,23,FALSE)=1,100%,$B$8),100%)</f>
        <v>0.981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0.846</v>
      </c>
      <c r="BQ124" s="26" cm="1">
        <f t="array" ref="BQ124">1+$B$13+VLOOKUP($R124,武学奇术!$A:$ZZ,18,FALSE)+SUM(_xlfn.XLOOKUP($S124:$AL124,增益!$A:$A,增益!$R:$R,0))</f>
        <v>1.91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0.0929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21"/>
        <v>0.829926</v>
      </c>
      <c r="BU124" s="26">
        <f t="shared" si="22"/>
        <v>0.0599391</v>
      </c>
      <c r="BV124" s="26">
        <f>IF(VLOOKUP($R124,武学奇术!$A:$ZZ,22,FALSE)=1,0,(1-$BO124))*(1-$BR124)</f>
        <v>0.0172349</v>
      </c>
      <c r="BW124" s="26" cm="1">
        <f t="array" ref="BW124">SUM(_xlfn.XLOOKUP($S124:$AL124,增益!$A:$A,增益!$W:$W,0))+$I$5</f>
        <v>0.11</v>
      </c>
      <c r="BX124" s="26" cm="1">
        <f t="array" ref="BX124">SUM(_xlfn.XLOOKUP($S124:$AL124,增益!$A:$A,增益!$X:$X,0))</f>
        <v>0</v>
      </c>
    </row>
    <row r="125" spans="11:76">
      <c r="K125">
        <f>$L125*VLOOKUP($R125,武学奇术!$A:$ZZ,31,FALSE)</f>
        <v>44076.8311915105</v>
      </c>
      <c r="L125" s="38">
        <f t="shared" si="24"/>
        <v>41977.9344681052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</f>
        <v>44524.8874917218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</f>
        <v>35250.7592254983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</f>
        <v>23311.4594197496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</f>
        <v>20511.2453391302</v>
      </c>
      <c r="Q125" s="39">
        <v>1</v>
      </c>
      <c r="R125" s="40" t="s">
        <v>167</v>
      </c>
      <c r="S125" s="40" t="s">
        <v>78</v>
      </c>
      <c r="T125" s="40" t="s">
        <v>102</v>
      </c>
      <c r="U125" s="40" t="s">
        <v>79</v>
      </c>
      <c r="V125" s="40" t="s">
        <v>78</v>
      </c>
      <c r="W125" s="40" t="s">
        <v>181</v>
      </c>
      <c r="X125" s="40" t="s">
        <v>106</v>
      </c>
      <c r="Y125" s="40" t="s">
        <v>78</v>
      </c>
      <c r="Z125" s="40" t="s">
        <v>78</v>
      </c>
      <c r="AA125" s="40" t="s">
        <v>78</v>
      </c>
      <c r="AB125" s="40" t="s">
        <v>78</v>
      </c>
      <c r="AC125" s="40" t="s">
        <v>78</v>
      </c>
      <c r="AD125" s="40" t="s">
        <v>78</v>
      </c>
      <c r="AE125" s="40" t="s">
        <v>78</v>
      </c>
      <c r="AF125" s="40" t="s">
        <v>78</v>
      </c>
      <c r="AG125" s="40" t="s">
        <v>85</v>
      </c>
      <c r="AH125" s="40" t="s">
        <v>78</v>
      </c>
      <c r="AI125" s="40" t="s">
        <v>78</v>
      </c>
      <c r="AJ125" s="40" t="s">
        <v>78</v>
      </c>
      <c r="AK125" s="40" t="s">
        <v>78</v>
      </c>
      <c r="AL125" s="40" t="s">
        <v>78</v>
      </c>
      <c r="AM125" t="str">
        <f>VLOOKUP($R125,武学奇术!$A:$ZZ,25,FALSE)</f>
        <v>伞</v>
      </c>
      <c r="AN125" s="26">
        <f>VLOOKUP($R125,武学奇术!$A:$ZZ,26,FALSE)</f>
        <v>2.01456</v>
      </c>
      <c r="AO125" s="27">
        <f>VLOOKUP($R125,武学奇术!$A:$ZZ,27,FALSE)*(1+IF(OR($AM125=$F$4,$AM125=$F$5),$B$22,0))</f>
        <v>837</v>
      </c>
      <c r="AP125" s="26">
        <f>VLOOKUP($R125,武学奇术!$A:$ZZ,28,FALSE)</f>
        <v>3.02184</v>
      </c>
      <c r="AQ125" s="27">
        <f>VLOOKUP($R125,武学奇术!$A:$ZZ,29,FALSE)*(1+IF(OR($AM125=$F$4,$AM125=$F$5),$B$22,0))</f>
        <v>453.6</v>
      </c>
      <c r="AR125" s="26" cm="1">
        <f t="array" ref="AR125">$G$3+IFERROR(VLOOKUP($AM125,$F$4:$G$7,2,FALSE),0)+VLOOKUP($R125,武学奇术!$A:$ZZ,2,FALSE)+SUM(_xlfn.XLOOKUP($S125:$AL125,增益!$A:$A,增益!$B:$B,0))</f>
        <v>0.3741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3574.6</v>
      </c>
      <c r="AU125" cm="1">
        <f t="array" ref="AU125">$E$10*(1+$AS125)+VLOOKUP($R125,武学奇术!$A:$ZZ,4,FALSE)+SUM(_xlfn.XLOOKUP($S125:$AL125,增益!$A:$A,增益!$D:$D,0))-$I$2</f>
        <v>3574.6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0.2925</v>
      </c>
      <c r="AW125" s="32" cm="1">
        <f t="array" ref="AW125">$G$10+VLOOKUP($R125,武学奇术!$A:$ZZ,7,FALSE)+SUM(_xlfn.XLOOKUP($S125:$AL125,增益!$A:$A,增益!$G:$G,0))</f>
        <v>0.028</v>
      </c>
      <c r="AX125" s="26" cm="1">
        <f t="array" ref="AX125">VLOOKUP($R125,武学奇术!$A:$ZZ,8,FALSE)+SUM(_xlfn.XLOOKUP($S125:$AL125,增益!$A:$A,增益!$H:$H,0))</f>
        <v>0</v>
      </c>
      <c r="AY125">
        <f t="shared" si="13"/>
        <v>0</v>
      </c>
      <c r="AZ125">
        <f t="shared" si="14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15"/>
        <v>0</v>
      </c>
      <c r="BD125">
        <f t="shared" si="16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17"/>
        <v>0</v>
      </c>
      <c r="BH125">
        <f t="shared" si="18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19"/>
        <v>571.2</v>
      </c>
      <c r="BL125">
        <f t="shared" si="20"/>
        <v>1627.8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0.15</v>
      </c>
      <c r="BO125" s="26">
        <f>MIN(IF(VLOOKUP($R125,武学奇术!$A:$ZZ,23,FALSE)=1,100%,$B$8),100%)</f>
        <v>0.981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0.846</v>
      </c>
      <c r="BQ125" s="26" cm="1">
        <f t="array" ref="BQ125">1+$B$13+VLOOKUP($R125,武学奇术!$A:$ZZ,18,FALSE)+SUM(_xlfn.XLOOKUP($S125:$AL125,增益!$A:$A,增益!$R:$R,0))</f>
        <v>1.91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0.0929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21"/>
        <v>0.829926</v>
      </c>
      <c r="BU125" s="26">
        <f t="shared" si="22"/>
        <v>0.0599391</v>
      </c>
      <c r="BV125" s="26">
        <f>IF(VLOOKUP($R125,武学奇术!$A:$ZZ,22,FALSE)=1,0,(1-$BO125))*(1-$BR125)</f>
        <v>0.0172349</v>
      </c>
      <c r="BW125" s="26" cm="1">
        <f t="array" ref="BW125">SUM(_xlfn.XLOOKUP($S125:$AL125,增益!$A:$A,增益!$W:$W,0))+$I$5</f>
        <v>0.11</v>
      </c>
      <c r="BX125" s="26" cm="1">
        <f t="array" ref="BX125">SUM(_xlfn.XLOOKUP($S125:$AL125,增益!$A:$A,增益!$X:$X,0))</f>
        <v>0</v>
      </c>
    </row>
    <row r="126" spans="11:76">
      <c r="K126">
        <f>$L126*VLOOKUP($R126,武学奇术!$A:$ZZ,31,FALSE)</f>
        <v>11868.7457422447</v>
      </c>
      <c r="L126" s="38">
        <f t="shared" si="24"/>
        <v>11303.5673735664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</f>
        <v>11977.1655311464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</f>
        <v>9626.32284783911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</f>
        <v>6270.76729379391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</f>
        <v>5410.92507066996</v>
      </c>
      <c r="Q126" s="39">
        <v>1</v>
      </c>
      <c r="R126" s="40" t="s">
        <v>170</v>
      </c>
      <c r="S126" s="40" t="s">
        <v>78</v>
      </c>
      <c r="T126" s="40" t="s">
        <v>102</v>
      </c>
      <c r="U126" s="40" t="s">
        <v>79</v>
      </c>
      <c r="V126" s="40" t="s">
        <v>78</v>
      </c>
      <c r="W126" s="40" t="s">
        <v>181</v>
      </c>
      <c r="X126" s="40" t="s">
        <v>106</v>
      </c>
      <c r="Y126" s="40" t="s">
        <v>78</v>
      </c>
      <c r="Z126" s="40" t="s">
        <v>78</v>
      </c>
      <c r="AA126" s="40" t="s">
        <v>78</v>
      </c>
      <c r="AB126" s="40" t="s">
        <v>78</v>
      </c>
      <c r="AC126" s="40" t="s">
        <v>78</v>
      </c>
      <c r="AD126" s="40" t="s">
        <v>78</v>
      </c>
      <c r="AE126" s="40" t="s">
        <v>78</v>
      </c>
      <c r="AF126" s="40" t="s">
        <v>78</v>
      </c>
      <c r="AG126" s="40" t="s">
        <v>85</v>
      </c>
      <c r="AH126" s="40" t="s">
        <v>78</v>
      </c>
      <c r="AI126" s="40" t="s">
        <v>78</v>
      </c>
      <c r="AJ126" s="40" t="s">
        <v>78</v>
      </c>
      <c r="AK126" s="40" t="s">
        <v>78</v>
      </c>
      <c r="AL126" s="40" t="s">
        <v>78</v>
      </c>
      <c r="AM126" t="str">
        <f>VLOOKUP($R126,武学奇术!$A:$ZZ,25,FALSE)</f>
        <v>伞</v>
      </c>
      <c r="AN126" s="26">
        <f>VLOOKUP($R126,武学奇术!$A:$ZZ,26,FALSE)</f>
        <v>0.54</v>
      </c>
      <c r="AO126" s="27">
        <f>VLOOKUP($R126,武学奇术!$A:$ZZ,27,FALSE)*(1+IF(OR($AM126=$F$4,$AM126=$F$5),$B$22,0))</f>
        <v>0</v>
      </c>
      <c r="AP126" s="26">
        <f>VLOOKUP($R126,武学奇术!$A:$ZZ,28,FALSE)</f>
        <v>0.81</v>
      </c>
      <c r="AQ126" s="27">
        <f>VLOOKUP($R126,武学奇术!$A:$ZZ,29,FALSE)*(1+IF(OR($AM126=$F$4,$AM126=$F$5),$B$22,0))</f>
        <v>0</v>
      </c>
      <c r="AR126" s="26" cm="1">
        <f t="array" ref="AR126">$G$3+IFERROR(VLOOKUP($AM126,$F$4:$G$7,2,FALSE),0)+VLOOKUP($R126,武学奇术!$A:$ZZ,2,FALSE)+SUM(_xlfn.XLOOKUP($S126:$AL126,增益!$A:$A,增益!$B:$B,0))</f>
        <v>0.5741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3574.6</v>
      </c>
      <c r="AU126" cm="1">
        <f t="array" ref="AU126">$E$10*(1+$AS126)+VLOOKUP($R126,武学奇术!$A:$ZZ,4,FALSE)+SUM(_xlfn.XLOOKUP($S126:$AL126,增益!$A:$A,增益!$D:$D,0))-$I$2</f>
        <v>3574.6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0.2925</v>
      </c>
      <c r="AW126" s="32" cm="1">
        <f t="array" ref="AW126">$G$10+VLOOKUP($R126,武学奇术!$A:$ZZ,7,FALSE)+SUM(_xlfn.XLOOKUP($S126:$AL126,增益!$A:$A,增益!$G:$G,0))</f>
        <v>0.028</v>
      </c>
      <c r="AX126" s="26" cm="1">
        <f t="array" ref="AX126">VLOOKUP($R126,武学奇术!$A:$ZZ,8,FALSE)+SUM(_xlfn.XLOOKUP($S126:$AL126,增益!$A:$A,增益!$H:$H,0))</f>
        <v>0</v>
      </c>
      <c r="AY126">
        <f t="shared" si="13"/>
        <v>0</v>
      </c>
      <c r="AZ126">
        <f t="shared" si="14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15"/>
        <v>0</v>
      </c>
      <c r="BD126">
        <f t="shared" si="16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17"/>
        <v>0</v>
      </c>
      <c r="BH126">
        <f t="shared" si="18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19"/>
        <v>571.2</v>
      </c>
      <c r="BL126">
        <f t="shared" si="20"/>
        <v>1627.8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0.15</v>
      </c>
      <c r="BO126" s="26">
        <f>MIN(IF(VLOOKUP($R126,武学奇术!$A:$ZZ,23,FALSE)=1,100%,$B$8),100%)</f>
        <v>0.981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0.846</v>
      </c>
      <c r="BQ126" s="26" cm="1">
        <f t="array" ref="BQ126">1+$B$13+VLOOKUP($R126,武学奇术!$A:$ZZ,18,FALSE)+SUM(_xlfn.XLOOKUP($S126:$AL126,增益!$A:$A,增益!$R:$R,0))</f>
        <v>1.91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0.0929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21"/>
        <v>0.829926</v>
      </c>
      <c r="BU126" s="26">
        <f t="shared" si="22"/>
        <v>0.0599391</v>
      </c>
      <c r="BV126" s="26">
        <f>IF(VLOOKUP($R126,武学奇术!$A:$ZZ,22,FALSE)=1,0,(1-$BO126))*(1-$BR126)</f>
        <v>0.0172349</v>
      </c>
      <c r="BW126" s="26" cm="1">
        <f t="array" ref="BW126">SUM(_xlfn.XLOOKUP($S126:$AL126,增益!$A:$A,增益!$W:$W,0))+$I$5</f>
        <v>0.11</v>
      </c>
      <c r="BX126" s="26" cm="1">
        <f t="array" ref="BX126">SUM(_xlfn.XLOOKUP($S126:$AL126,增益!$A:$A,增益!$X:$X,0))</f>
        <v>0</v>
      </c>
    </row>
    <row r="127" spans="11:76">
      <c r="K127">
        <f>$L127*VLOOKUP($R127,武学奇术!$A:$ZZ,31,FALSE)</f>
        <v>55878.5641643819</v>
      </c>
      <c r="L127" s="38">
        <f t="shared" si="24"/>
        <v>53217.6801565542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</f>
        <v>53217.6801565542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</f>
        <v>42131.4136428551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</f>
        <v>27862.6597678294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</f>
        <v>24516.8649853958</v>
      </c>
      <c r="Q127" s="39">
        <v>1</v>
      </c>
      <c r="R127" s="40" t="s">
        <v>174</v>
      </c>
      <c r="S127" s="40" t="s">
        <v>78</v>
      </c>
      <c r="T127" s="40" t="s">
        <v>102</v>
      </c>
      <c r="U127" s="40" t="s">
        <v>79</v>
      </c>
      <c r="V127" s="40" t="s">
        <v>78</v>
      </c>
      <c r="W127" s="40" t="s">
        <v>181</v>
      </c>
      <c r="X127" s="40" t="s">
        <v>106</v>
      </c>
      <c r="Y127" s="40" t="s">
        <v>78</v>
      </c>
      <c r="Z127" s="40" t="s">
        <v>78</v>
      </c>
      <c r="AA127" s="40" t="s">
        <v>78</v>
      </c>
      <c r="AB127" s="40" t="s">
        <v>78</v>
      </c>
      <c r="AC127" s="40" t="s">
        <v>78</v>
      </c>
      <c r="AD127" s="40" t="s">
        <v>78</v>
      </c>
      <c r="AE127" s="40" t="s">
        <v>78</v>
      </c>
      <c r="AF127" s="40" t="s">
        <v>78</v>
      </c>
      <c r="AG127" s="40" t="s">
        <v>85</v>
      </c>
      <c r="AH127" s="40" t="s">
        <v>78</v>
      </c>
      <c r="AI127" s="40" t="s">
        <v>78</v>
      </c>
      <c r="AJ127" s="40" t="s">
        <v>78</v>
      </c>
      <c r="AK127" s="40" t="s">
        <v>78</v>
      </c>
      <c r="AL127" s="40" t="s">
        <v>78</v>
      </c>
      <c r="AM127" t="str">
        <f>VLOOKUP($R127,武学奇术!$A:$ZZ,25,FALSE)</f>
        <v>绳镖</v>
      </c>
      <c r="AN127" s="26">
        <f>VLOOKUP($R127,武学奇术!$A:$ZZ,26,FALSE)</f>
        <v>2.2987</v>
      </c>
      <c r="AO127" s="27">
        <f>VLOOKUP($R127,武学奇术!$A:$ZZ,27,FALSE)*(1+IF(OR($AM127=$F$4,$AM127=$F$5),$B$22,0))</f>
        <v>955.5</v>
      </c>
      <c r="AP127" s="26">
        <f>VLOOKUP($R127,武学奇术!$A:$ZZ,28,FALSE)</f>
        <v>3.448</v>
      </c>
      <c r="AQ127" s="27">
        <f>VLOOKUP($R127,武学奇术!$A:$ZZ,29,FALSE)*(1+IF(OR($AM127=$F$4,$AM127=$F$5),$B$22,0))</f>
        <v>520.5</v>
      </c>
      <c r="AR127" s="26" cm="1">
        <f t="array" ref="AR127">$G$3+IFERROR(VLOOKUP($AM127,$F$4:$G$7,2,FALSE),0)+VLOOKUP($R127,武学奇术!$A:$ZZ,2,FALSE)+SUM(_xlfn.XLOOKUP($S127:$AL127,增益!$A:$A,增益!$B:$B,0))</f>
        <v>0.4389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3574.6</v>
      </c>
      <c r="AU127" cm="1">
        <f t="array" ref="AU127">$E$10*(1+$AS127)+VLOOKUP($R127,武学奇术!$A:$ZZ,4,FALSE)+SUM(_xlfn.XLOOKUP($S127:$AL127,增益!$A:$A,增益!$D:$D,0))-$I$2</f>
        <v>3574.6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0.2925</v>
      </c>
      <c r="AW127" s="32" cm="1">
        <f t="array" ref="AW127">$G$10+VLOOKUP($R127,武学奇术!$A:$ZZ,7,FALSE)+SUM(_xlfn.XLOOKUP($S127:$AL127,增益!$A:$A,增益!$G:$G,0))</f>
        <v>0.028</v>
      </c>
      <c r="AX127" s="26" cm="1">
        <f t="array" ref="AX127">VLOOKUP($R127,武学奇术!$A:$ZZ,8,FALSE)+SUM(_xlfn.XLOOKUP($S127:$AL127,增益!$A:$A,增益!$H:$H,0))</f>
        <v>0</v>
      </c>
      <c r="AY127">
        <f t="shared" si="13"/>
        <v>0</v>
      </c>
      <c r="AZ127">
        <f t="shared" si="14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2" cm="1">
        <f t="array" ref="BB127">$G$11+VLOOKUP($R127,武学奇术!$A:$ZZ,10,FALSE)+SUM(_xlfn.XLOOKUP($S127:$AL127,增益!$A:$A,增益!$J:$J,0))</f>
        <v>0</v>
      </c>
      <c r="BC127">
        <f t="shared" si="15"/>
        <v>0</v>
      </c>
      <c r="BD127">
        <f t="shared" si="16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2" cm="1">
        <f t="array" ref="BF127">$G$12+VLOOKUP($R127,武学奇术!$A:$ZZ,12,FALSE)+SUM(_xlfn.XLOOKUP($S127:$AL127,增益!$A:$A,增益!$L:$L,0))</f>
        <v>0</v>
      </c>
      <c r="BG127">
        <f t="shared" si="17"/>
        <v>0</v>
      </c>
      <c r="BH127">
        <f t="shared" si="18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2" cm="1">
        <f t="array" ref="BJ127">$G$13+VLOOKUP($R127,武学奇术!$A:$ZZ,14,FALSE)+SUM(_xlfn.XLOOKUP($S127:$AL127,增益!$A:$A,增益!$N:$N,0))</f>
        <v>0</v>
      </c>
      <c r="BK127">
        <f t="shared" si="19"/>
        <v>571.2</v>
      </c>
      <c r="BL127">
        <f t="shared" si="20"/>
        <v>1627.8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2" cm="1">
        <f t="array" ref="BN127">$G$14+VLOOKUP($R127,武学奇术!$A:$ZZ,16,FALSE)+SUM(_xlfn.XLOOKUP($S127:$AL127,增益!$A:$A,增益!$P:$P,0))</f>
        <v>0.15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1.91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21"/>
        <v>1</v>
      </c>
      <c r="BU127" s="26">
        <f t="shared" si="22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0.11</v>
      </c>
      <c r="BX127" s="26" cm="1">
        <f t="array" ref="BX127">SUM(_xlfn.XLOOKUP($S127:$AL127,增益!$A:$A,增益!$X:$X,0))</f>
        <v>0</v>
      </c>
    </row>
    <row r="128" spans="11:76">
      <c r="K128">
        <f>$L128*VLOOKUP($R128,武学奇术!$A:$ZZ,31,FALSE)</f>
        <v>118876.942102991</v>
      </c>
      <c r="L128" s="89">
        <f>(SUM(L103:L127)+L161+L162)*12%*(1+BX128)</f>
        <v>226432.270672364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</f>
        <v>0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</f>
        <v>0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</f>
        <v>0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</f>
        <v>0</v>
      </c>
      <c r="Q128" s="39">
        <v>1</v>
      </c>
      <c r="R128" s="40" t="s">
        <v>175</v>
      </c>
      <c r="S128" s="40" t="s">
        <v>78</v>
      </c>
      <c r="T128" s="40" t="s">
        <v>78</v>
      </c>
      <c r="U128" s="40" t="s">
        <v>78</v>
      </c>
      <c r="V128" s="40" t="s">
        <v>78</v>
      </c>
      <c r="W128" s="40" t="s">
        <v>78</v>
      </c>
      <c r="X128" s="40" t="s">
        <v>78</v>
      </c>
      <c r="Y128" s="40" t="s">
        <v>78</v>
      </c>
      <c r="Z128" s="40" t="s">
        <v>78</v>
      </c>
      <c r="AA128" s="40" t="s">
        <v>78</v>
      </c>
      <c r="AB128" s="40" t="s">
        <v>78</v>
      </c>
      <c r="AC128" s="40" t="s">
        <v>78</v>
      </c>
      <c r="AD128" s="40" t="s">
        <v>78</v>
      </c>
      <c r="AE128" s="40" t="s">
        <v>78</v>
      </c>
      <c r="AF128" s="40" t="s">
        <v>78</v>
      </c>
      <c r="AG128" s="40" t="s">
        <v>85</v>
      </c>
      <c r="AH128" s="40" t="s">
        <v>78</v>
      </c>
      <c r="AI128" s="40" t="s">
        <v>78</v>
      </c>
      <c r="AJ128" s="40" t="s">
        <v>78</v>
      </c>
      <c r="AK128" s="40" t="s">
        <v>78</v>
      </c>
      <c r="AL128" s="40" t="s">
        <v>78</v>
      </c>
      <c r="AM128" t="str">
        <f>VLOOKUP($R128,武学奇术!$A:$ZZ,25,FALSE)</f>
        <v>心法</v>
      </c>
      <c r="AN128" s="26">
        <f>VLOOKUP($R128,武学奇术!$A:$ZZ,26,FALSE)</f>
        <v>0</v>
      </c>
      <c r="AO128" s="27">
        <f>VLOOKUP($R128,武学奇术!$A:$ZZ,27,FALSE)*(1+IF(OR($AM128=$F$4,$AM128=$F$5),$B$22,0))</f>
        <v>0</v>
      </c>
      <c r="AP128" s="26">
        <f>VLOOKUP($R128,武学奇术!$A:$ZZ,28,FALSE)</f>
        <v>0</v>
      </c>
      <c r="AQ128" s="27">
        <f>VLOOKUP($R128,武学奇术!$A:$ZZ,29,FALSE)*(1+IF(OR($AM128=$F$4,$AM128=$F$5),$B$22,0))</f>
        <v>0</v>
      </c>
      <c r="AR128" s="26" cm="1">
        <f t="array" ref="AR128">$G$3+IFERROR(VLOOKUP($AM128,$F$4:$G$7,2,FALSE),0)+VLOOKUP($R128,武学奇术!$A:$ZZ,2,FALSE)+SUM(_xlfn.XLOOKUP($S128:$AL128,增益!$A:$A,增益!$B:$B,0))</f>
        <v>0.1037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3574.6</v>
      </c>
      <c r="AU128" cm="1">
        <f t="array" ref="AU128">$E$10*(1+$AS128)+VLOOKUP($R128,武学奇术!$A:$ZZ,4,FALSE)+SUM(_xlfn.XLOOKUP($S128:$AL128,增益!$A:$A,增益!$D:$D,0))-$I$2</f>
        <v>3574.6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0.1925</v>
      </c>
      <c r="AW128" s="32" cm="1">
        <f t="array" ref="AW128">$G$10+VLOOKUP($R128,武学奇术!$A:$ZZ,7,FALSE)+SUM(_xlfn.XLOOKUP($S128:$AL128,增益!$A:$A,增益!$G:$G,0))</f>
        <v>0.028</v>
      </c>
      <c r="AX128" s="26" cm="1">
        <f t="array" ref="AX128">VLOOKUP($R128,武学奇术!$A:$ZZ,8,FALSE)+SUM(_xlfn.XLOOKUP($S128:$AL128,增益!$A:$A,增益!$H:$H,0))</f>
        <v>0</v>
      </c>
      <c r="AY128">
        <f t="shared" si="13"/>
        <v>0</v>
      </c>
      <c r="AZ128">
        <f t="shared" si="14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2" cm="1">
        <f t="array" ref="BB128">$G$11+VLOOKUP($R128,武学奇术!$A:$ZZ,10,FALSE)+SUM(_xlfn.XLOOKUP($S128:$AL128,增益!$A:$A,增益!$J:$J,0))</f>
        <v>0</v>
      </c>
      <c r="BC128">
        <f t="shared" si="15"/>
        <v>0</v>
      </c>
      <c r="BD128">
        <f t="shared" si="16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2" cm="1">
        <f t="array" ref="BF128">$G$12+VLOOKUP($R128,武学奇术!$A:$ZZ,12,FALSE)+SUM(_xlfn.XLOOKUP($S128:$AL128,增益!$A:$A,增益!$L:$L,0))</f>
        <v>0</v>
      </c>
      <c r="BG128">
        <f t="shared" si="17"/>
        <v>0</v>
      </c>
      <c r="BH128">
        <f t="shared" si="18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2" cm="1">
        <f t="array" ref="BJ128">$G$13+VLOOKUP($R128,武学奇术!$A:$ZZ,14,FALSE)+SUM(_xlfn.XLOOKUP($S128:$AL128,增益!$A:$A,增益!$N:$N,0))</f>
        <v>0</v>
      </c>
      <c r="BK128">
        <f t="shared" si="19"/>
        <v>571.2</v>
      </c>
      <c r="BL128">
        <f t="shared" si="20"/>
        <v>1627.8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2" cm="1">
        <f t="array" ref="BN128">$G$14+VLOOKUP($R128,武学奇术!$A:$ZZ,16,FALSE)+SUM(_xlfn.XLOOKUP($S128:$AL128,增益!$A:$A,增益!$P:$P,0))</f>
        <v>0.15</v>
      </c>
      <c r="BO128" s="26">
        <f>MIN(IF(VLOOKUP($R128,武学奇术!$A:$ZZ,23,FALSE)=1,100%,$B$8),100%)</f>
        <v>0.981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0.846</v>
      </c>
      <c r="BQ128" s="26" cm="1">
        <f t="array" ref="BQ128">1+$B$13+VLOOKUP($R128,武学奇术!$A:$ZZ,18,FALSE)+SUM(_xlfn.XLOOKUP($S128:$AL128,增益!$A:$A,增益!$R:$R,0))</f>
        <v>1.54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0.0929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21"/>
        <v>0.829926</v>
      </c>
      <c r="BU128" s="26">
        <f t="shared" si="22"/>
        <v>0.0599391</v>
      </c>
      <c r="BV128" s="26">
        <f>IF(VLOOKUP($R128,武学奇术!$A:$ZZ,22,FALSE)=1,0,(1-$BO128))*(1-$BR128)</f>
        <v>0.0172349</v>
      </c>
      <c r="BW128" s="26" cm="1">
        <f t="array" ref="BW128">SUM(_xlfn.XLOOKUP($S128:$AL128,增益!$A:$A,增益!$W:$W,0))+$I$5</f>
        <v>0.11</v>
      </c>
      <c r="BX128" s="26" cm="1">
        <f t="array" ref="BX128">SUM(_xlfn.XLOOKUP($S128:$AL128,增益!$A:$A,增益!$X:$X,0))</f>
        <v>0</v>
      </c>
    </row>
    <row r="129" spans="11:76">
      <c r="K129">
        <f>$L129*VLOOKUP($R129,武学奇术!$A:$ZZ,31,FALSE)</f>
        <v>30680.5908284495</v>
      </c>
      <c r="L129" s="38">
        <f t="shared" ref="L129:L150" si="25">($M129*$BT129+$N129*$BR129+$O129*$BU129+$P129*$BV129)</f>
        <v>29219.610312809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</f>
        <v>30973.1546774096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</f>
        <v>24748.976632993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</f>
        <v>16216.3113494291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</f>
        <v>14100.0474151597</v>
      </c>
      <c r="Q129" s="39">
        <v>1</v>
      </c>
      <c r="R129" s="40" t="s">
        <v>77</v>
      </c>
      <c r="S129" s="40" t="s">
        <v>78</v>
      </c>
      <c r="T129" s="40" t="s">
        <v>102</v>
      </c>
      <c r="U129" s="40" t="s">
        <v>79</v>
      </c>
      <c r="V129" s="40" t="s">
        <v>88</v>
      </c>
      <c r="W129" s="40" t="s">
        <v>181</v>
      </c>
      <c r="X129" s="40" t="s">
        <v>106</v>
      </c>
      <c r="Y129" s="40" t="s">
        <v>78</v>
      </c>
      <c r="Z129" s="40" t="s">
        <v>78</v>
      </c>
      <c r="AA129" s="40" t="s">
        <v>78</v>
      </c>
      <c r="AB129" s="40" t="s">
        <v>78</v>
      </c>
      <c r="AC129" s="40" t="s">
        <v>78</v>
      </c>
      <c r="AD129" s="40" t="s">
        <v>78</v>
      </c>
      <c r="AE129" s="40" t="s">
        <v>78</v>
      </c>
      <c r="AF129" s="40" t="s">
        <v>78</v>
      </c>
      <c r="AG129" s="40" t="s">
        <v>85</v>
      </c>
      <c r="AH129" s="40" t="s">
        <v>78</v>
      </c>
      <c r="AI129" s="40" t="s">
        <v>78</v>
      </c>
      <c r="AJ129" s="40" t="s">
        <v>78</v>
      </c>
      <c r="AK129" s="40" t="s">
        <v>78</v>
      </c>
      <c r="AL129" s="40" t="s">
        <v>78</v>
      </c>
      <c r="AM129" t="str">
        <f>VLOOKUP($R129,武学奇术!$A:$ZZ,25,FALSE)</f>
        <v>群体奇术</v>
      </c>
      <c r="AN129" s="26">
        <f>VLOOKUP($R129,武学奇术!$A:$ZZ,26,FALSE)</f>
        <v>1.4904</v>
      </c>
      <c r="AO129" s="27">
        <f>VLOOKUP($R129,武学奇术!$A:$ZZ,27,FALSE)*(1+IF(OR($AM129=$F$4,$AM129=$F$5),$B$22,0))</f>
        <v>378</v>
      </c>
      <c r="AP129" s="26">
        <f>VLOOKUP($R129,武学奇术!$A:$ZZ,28,FALSE)</f>
        <v>2.2356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0.4037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3574.6</v>
      </c>
      <c r="AU129" cm="1">
        <f t="array" ref="AU129">$E$10*(1+$AS129)+VLOOKUP($R129,武学奇术!$A:$ZZ,4,FALSE)+SUM(_xlfn.XLOOKUP($S129:$AL129,增益!$A:$A,增益!$D:$D,0))-$I$2</f>
        <v>3574.6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0.2925</v>
      </c>
      <c r="AW129" s="32" cm="1">
        <f t="array" ref="AW129">$G$10+VLOOKUP($R129,武学奇术!$A:$ZZ,7,FALSE)+SUM(_xlfn.XLOOKUP($S129:$AL129,增益!$A:$A,增益!$G:$G,0))</f>
        <v>0.028</v>
      </c>
      <c r="AX129" s="26" cm="1">
        <f t="array" ref="AX129">VLOOKUP($R129,武学奇术!$A:$ZZ,8,FALSE)+SUM(_xlfn.XLOOKUP($S129:$AL129,增益!$A:$A,增益!$H:$H,0))</f>
        <v>0</v>
      </c>
      <c r="AY129">
        <f t="shared" si="13"/>
        <v>0</v>
      </c>
      <c r="AZ129">
        <f t="shared" si="14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2" cm="1">
        <f t="array" ref="BB129">$G$11+VLOOKUP($R129,武学奇术!$A:$ZZ,10,FALSE)+SUM(_xlfn.XLOOKUP($S129:$AL129,增益!$A:$A,增益!$J:$J,0))</f>
        <v>0</v>
      </c>
      <c r="BC129">
        <f t="shared" si="15"/>
        <v>0</v>
      </c>
      <c r="BD129">
        <f t="shared" si="16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2" cm="1">
        <f t="array" ref="BF129">$G$12+VLOOKUP($R129,武学奇术!$A:$ZZ,12,FALSE)+SUM(_xlfn.XLOOKUP($S129:$AL129,增益!$A:$A,增益!$L:$L,0))</f>
        <v>0</v>
      </c>
      <c r="BG129">
        <f t="shared" si="17"/>
        <v>0</v>
      </c>
      <c r="BH129">
        <f t="shared" si="18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2" cm="1">
        <f t="array" ref="BJ129">$G$13+VLOOKUP($R129,武学奇术!$A:$ZZ,14,FALSE)+SUM(_xlfn.XLOOKUP($S129:$AL129,增益!$A:$A,增益!$N:$N,0))</f>
        <v>0</v>
      </c>
      <c r="BK129">
        <f t="shared" si="19"/>
        <v>571.2</v>
      </c>
      <c r="BL129">
        <f t="shared" si="20"/>
        <v>1627.8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2" cm="1">
        <f t="array" ref="BN129">$G$14+VLOOKUP($R129,武学奇术!$A:$ZZ,16,FALSE)+SUM(_xlfn.XLOOKUP($S129:$AL129,增益!$A:$A,增益!$P:$P,0))</f>
        <v>0.15</v>
      </c>
      <c r="BO129" s="26">
        <f>MIN(IF(VLOOKUP($R129,武学奇术!$A:$ZZ,23,FALSE)=1,100%,$B$8),100%)</f>
        <v>0.981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0.846</v>
      </c>
      <c r="BQ129" s="26" cm="1">
        <f t="array" ref="BQ129">1+$B$13+VLOOKUP($R129,武学奇术!$A:$ZZ,18,FALSE)+SUM(_xlfn.XLOOKUP($S129:$AL129,增益!$A:$A,增益!$R:$R,0))</f>
        <v>1.91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0.0929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21"/>
        <v>0.829926</v>
      </c>
      <c r="BU129" s="26">
        <f t="shared" si="22"/>
        <v>0.0599391</v>
      </c>
      <c r="BV129" s="26">
        <f>IF(VLOOKUP($R129,武学奇术!$A:$ZZ,22,FALSE)=1,0,(1-$BO129))*(1-$BR129)</f>
        <v>0.0172349</v>
      </c>
      <c r="BW129" s="26" cm="1">
        <f t="array" ref="BW129">SUM(_xlfn.XLOOKUP($S129:$AL129,增益!$A:$A,增益!$W:$W,0))+$I$5</f>
        <v>0.11</v>
      </c>
      <c r="BX129" s="26" cm="1">
        <f t="array" ref="BX129">SUM(_xlfn.XLOOKUP($S129:$AL129,增益!$A:$A,增益!$X:$X,0))</f>
        <v>0</v>
      </c>
    </row>
    <row r="130" spans="11:76">
      <c r="K130">
        <f>$L130*VLOOKUP($R130,武学奇术!$A:$ZZ,31,FALSE)</f>
        <v>30680.5908284495</v>
      </c>
      <c r="L130" s="38">
        <f t="shared" si="25"/>
        <v>29219.610312809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</f>
        <v>30973.1546774096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</f>
        <v>24748.976632993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</f>
        <v>16216.3113494291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</f>
        <v>14100.0474151597</v>
      </c>
      <c r="Q130" s="39">
        <v>1</v>
      </c>
      <c r="R130" s="40" t="s">
        <v>77</v>
      </c>
      <c r="S130" s="40" t="s">
        <v>78</v>
      </c>
      <c r="T130" s="40" t="s">
        <v>102</v>
      </c>
      <c r="U130" s="40" t="s">
        <v>79</v>
      </c>
      <c r="V130" s="40" t="s">
        <v>88</v>
      </c>
      <c r="W130" s="40" t="s">
        <v>181</v>
      </c>
      <c r="X130" s="40" t="s">
        <v>106</v>
      </c>
      <c r="Y130" s="40" t="s">
        <v>78</v>
      </c>
      <c r="Z130" s="40" t="s">
        <v>78</v>
      </c>
      <c r="AA130" s="40" t="s">
        <v>78</v>
      </c>
      <c r="AB130" s="40" t="s">
        <v>78</v>
      </c>
      <c r="AC130" s="40" t="s">
        <v>78</v>
      </c>
      <c r="AD130" s="40" t="s">
        <v>78</v>
      </c>
      <c r="AE130" s="40" t="s">
        <v>78</v>
      </c>
      <c r="AF130" s="40" t="s">
        <v>78</v>
      </c>
      <c r="AG130" s="40" t="s">
        <v>85</v>
      </c>
      <c r="AH130" s="40" t="s">
        <v>78</v>
      </c>
      <c r="AI130" s="40" t="s">
        <v>78</v>
      </c>
      <c r="AJ130" s="40" t="s">
        <v>78</v>
      </c>
      <c r="AK130" s="40" t="s">
        <v>78</v>
      </c>
      <c r="AL130" s="40" t="s">
        <v>78</v>
      </c>
      <c r="AM130" t="str">
        <f>VLOOKUP($R130,武学奇术!$A:$ZZ,25,FALSE)</f>
        <v>群体奇术</v>
      </c>
      <c r="AN130" s="26">
        <f>VLOOKUP($R130,武学奇术!$A:$ZZ,26,FALSE)</f>
        <v>1.4904</v>
      </c>
      <c r="AO130" s="27">
        <f>VLOOKUP($R130,武学奇术!$A:$ZZ,27,FALSE)*(1+IF(OR($AM130=$F$4,$AM130=$F$5),$B$22,0))</f>
        <v>378</v>
      </c>
      <c r="AP130" s="26">
        <f>VLOOKUP($R130,武学奇术!$A:$ZZ,28,FALSE)</f>
        <v>2.2356</v>
      </c>
      <c r="AQ130" s="27">
        <f>VLOOKUP($R130,武学奇术!$A:$ZZ,29,FALSE)*(1+IF(OR($AM130=$F$4,$AM130=$F$5),$B$22,0))</f>
        <v>0</v>
      </c>
      <c r="AR130" s="26" cm="1">
        <f t="array" ref="AR130">$G$3+IFERROR(VLOOKUP($AM130,$F$4:$G$7,2,FALSE),0)+VLOOKUP($R130,武学奇术!$A:$ZZ,2,FALSE)+SUM(_xlfn.XLOOKUP($S130:$AL130,增益!$A:$A,增益!$B:$B,0))</f>
        <v>0.4037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3574.6</v>
      </c>
      <c r="AU130" cm="1">
        <f t="array" ref="AU130">$E$10*(1+$AS130)+VLOOKUP($R130,武学奇术!$A:$ZZ,4,FALSE)+SUM(_xlfn.XLOOKUP($S130:$AL130,增益!$A:$A,增益!$D:$D,0))-$I$2</f>
        <v>3574.6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0.2925</v>
      </c>
      <c r="AW130" s="32" cm="1">
        <f t="array" ref="AW130">$G$10+VLOOKUP($R130,武学奇术!$A:$ZZ,7,FALSE)+SUM(_xlfn.XLOOKUP($S130:$AL130,增益!$A:$A,增益!$G:$G,0))</f>
        <v>0.028</v>
      </c>
      <c r="AX130" s="26" cm="1">
        <f t="array" ref="AX130">VLOOKUP($R130,武学奇术!$A:$ZZ,8,FALSE)+SUM(_xlfn.XLOOKUP($S130:$AL130,增益!$A:$A,增益!$H:$H,0))</f>
        <v>0</v>
      </c>
      <c r="AY130">
        <f t="shared" ref="AY130:AY164" si="26">$D$11*(1+$AX130)</f>
        <v>0</v>
      </c>
      <c r="AZ130">
        <f t="shared" ref="AZ130:AZ164" si="27">$E$11*(1+$AX130)</f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2" cm="1">
        <f t="array" ref="BB130">$G$11+VLOOKUP($R130,武学奇术!$A:$ZZ,10,FALSE)+SUM(_xlfn.XLOOKUP($S130:$AL130,增益!$A:$A,增益!$J:$J,0))</f>
        <v>0</v>
      </c>
      <c r="BC130">
        <f t="shared" ref="BC130:BC164" si="28">$D$12*(1+$AX130)</f>
        <v>0</v>
      </c>
      <c r="BD130">
        <f t="shared" ref="BD130:BD164" si="29">$E$12*(1+$AX130)</f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2" cm="1">
        <f t="array" ref="BF130">$G$12+VLOOKUP($R130,武学奇术!$A:$ZZ,12,FALSE)+SUM(_xlfn.XLOOKUP($S130:$AL130,增益!$A:$A,增益!$L:$L,0))</f>
        <v>0</v>
      </c>
      <c r="BG130">
        <f t="shared" ref="BG130:BG164" si="30">$D$13*(1+$AX130)</f>
        <v>0</v>
      </c>
      <c r="BH130">
        <f t="shared" ref="BH130:BH164" si="31">$E$13*(1+$AX130)</f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2" cm="1">
        <f t="array" ref="BJ130">$G$13+VLOOKUP($R130,武学奇术!$A:$ZZ,14,FALSE)+SUM(_xlfn.XLOOKUP($S130:$AL130,增益!$A:$A,增益!$N:$N,0))</f>
        <v>0</v>
      </c>
      <c r="BK130">
        <f t="shared" ref="BK130:BK164" si="32">$D$14*(1+$AX130)</f>
        <v>571.2</v>
      </c>
      <c r="BL130">
        <f t="shared" ref="BL130:BL164" si="33">$E$14*(1+$AX130)</f>
        <v>1627.8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2" cm="1">
        <f t="array" ref="BN130">$G$14+VLOOKUP($R130,武学奇术!$A:$ZZ,16,FALSE)+SUM(_xlfn.XLOOKUP($S130:$AL130,增益!$A:$A,增益!$P:$P,0))</f>
        <v>0.15</v>
      </c>
      <c r="BO130" s="26">
        <f>MIN(IF(VLOOKUP($R130,武学奇术!$A:$ZZ,23,FALSE)=1,100%,$B$8),100%)</f>
        <v>0.981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0.846</v>
      </c>
      <c r="BQ130" s="26" cm="1">
        <f t="array" ref="BQ130">1+$B$13+VLOOKUP($R130,武学奇术!$A:$ZZ,18,FALSE)+SUM(_xlfn.XLOOKUP($S130:$AL130,增益!$A:$A,增益!$R:$R,0))</f>
        <v>1.91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0.0929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ref="BT130:BT164" si="34">MIN((1-BR130)*BO130,BO130*BP130)</f>
        <v>0.829926</v>
      </c>
      <c r="BU130" s="26">
        <f t="shared" ref="BU130:BU164" si="35">1-BR130-BT130-BV130</f>
        <v>0.0599391</v>
      </c>
      <c r="BV130" s="26">
        <f>IF(VLOOKUP($R130,武学奇术!$A:$ZZ,22,FALSE)=1,0,(1-$BO130))*(1-$BR130)</f>
        <v>0.0172349</v>
      </c>
      <c r="BW130" s="26" cm="1">
        <f t="array" ref="BW130">SUM(_xlfn.XLOOKUP($S130:$AL130,增益!$A:$A,增益!$W:$W,0))+$I$5</f>
        <v>0.11</v>
      </c>
      <c r="BX130" s="26" cm="1">
        <f t="array" ref="BX130">SUM(_xlfn.XLOOKUP($S130:$AL130,增益!$A:$A,增益!$X:$X,0))</f>
        <v>0</v>
      </c>
    </row>
    <row r="131" spans="11:76">
      <c r="K131">
        <f>$L131*VLOOKUP($R131,武学奇术!$A:$ZZ,31,FALSE)</f>
        <v>66889.2160404034</v>
      </c>
      <c r="L131" s="38">
        <f t="shared" si="25"/>
        <v>63704.0152765746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</f>
        <v>67527.0579453435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</f>
        <v>53957.2283349938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</f>
        <v>35354.4805996563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</f>
        <v>30740.643914132</v>
      </c>
      <c r="Q131" s="39">
        <v>2</v>
      </c>
      <c r="R131" s="40" t="s">
        <v>77</v>
      </c>
      <c r="S131" s="40" t="s">
        <v>78</v>
      </c>
      <c r="T131" s="40" t="s">
        <v>102</v>
      </c>
      <c r="U131" s="40" t="s">
        <v>79</v>
      </c>
      <c r="V131" s="40" t="s">
        <v>88</v>
      </c>
      <c r="W131" s="40" t="s">
        <v>181</v>
      </c>
      <c r="X131" s="40" t="s">
        <v>106</v>
      </c>
      <c r="Y131" s="40" t="s">
        <v>78</v>
      </c>
      <c r="Z131" s="40" t="s">
        <v>185</v>
      </c>
      <c r="AA131" s="40" t="s">
        <v>78</v>
      </c>
      <c r="AB131" s="40" t="s">
        <v>78</v>
      </c>
      <c r="AC131" s="40" t="s">
        <v>78</v>
      </c>
      <c r="AD131" s="40" t="s">
        <v>78</v>
      </c>
      <c r="AE131" s="40" t="s">
        <v>78</v>
      </c>
      <c r="AF131" s="40" t="s">
        <v>78</v>
      </c>
      <c r="AG131" s="40" t="s">
        <v>85</v>
      </c>
      <c r="AH131" s="40" t="s">
        <v>78</v>
      </c>
      <c r="AI131" s="40" t="s">
        <v>78</v>
      </c>
      <c r="AJ131" s="40" t="s">
        <v>78</v>
      </c>
      <c r="AK131" s="40" t="s">
        <v>78</v>
      </c>
      <c r="AL131" s="40" t="s">
        <v>78</v>
      </c>
      <c r="AM131" t="str">
        <f>VLOOKUP($R131,武学奇术!$A:$ZZ,25,FALSE)</f>
        <v>群体奇术</v>
      </c>
      <c r="AN131" s="26">
        <f>VLOOKUP($R131,武学奇术!$A:$ZZ,26,FALSE)</f>
        <v>1.4904</v>
      </c>
      <c r="AO131" s="27">
        <f>VLOOKUP($R131,武学奇术!$A:$ZZ,27,FALSE)*(1+IF(OR($AM131=$F$4,$AM131=$F$5),$B$22,0))</f>
        <v>378</v>
      </c>
      <c r="AP131" s="26">
        <f>VLOOKUP($R131,武学奇术!$A:$ZZ,28,FALSE)</f>
        <v>2.2356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0.4037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3574.6</v>
      </c>
      <c r="AU131" cm="1">
        <f t="array" ref="AU131">$E$10*(1+$AS131)+VLOOKUP($R131,武学奇术!$A:$ZZ,4,FALSE)+SUM(_xlfn.XLOOKUP($S131:$AL131,增益!$A:$A,增益!$D:$D,0))-$I$2</f>
        <v>3574.6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0.2925</v>
      </c>
      <c r="AW131" s="32" cm="1">
        <f t="array" ref="AW131">$G$10+VLOOKUP($R131,武学奇术!$A:$ZZ,7,FALSE)+SUM(_xlfn.XLOOKUP($S131:$AL131,增益!$A:$A,增益!$G:$G,0))</f>
        <v>0.028</v>
      </c>
      <c r="AX131" s="26" cm="1">
        <f t="array" ref="AX131">VLOOKUP($R131,武学奇术!$A:$ZZ,8,FALSE)+SUM(_xlfn.XLOOKUP($S131:$AL131,增益!$A:$A,增益!$H:$H,0))</f>
        <v>0</v>
      </c>
      <c r="AY131">
        <f t="shared" si="26"/>
        <v>0</v>
      </c>
      <c r="AZ131">
        <f t="shared" si="27"/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2" cm="1">
        <f t="array" ref="BB131">$G$11+VLOOKUP($R131,武学奇术!$A:$ZZ,10,FALSE)+SUM(_xlfn.XLOOKUP($S131:$AL131,增益!$A:$A,增益!$J:$J,0))</f>
        <v>0</v>
      </c>
      <c r="BC131">
        <f t="shared" si="28"/>
        <v>0</v>
      </c>
      <c r="BD131">
        <f t="shared" si="29"/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2" cm="1">
        <f t="array" ref="BF131">$G$12+VLOOKUP($R131,武学奇术!$A:$ZZ,12,FALSE)+SUM(_xlfn.XLOOKUP($S131:$AL131,增益!$A:$A,增益!$L:$L,0))</f>
        <v>0</v>
      </c>
      <c r="BG131">
        <f t="shared" si="30"/>
        <v>0</v>
      </c>
      <c r="BH131">
        <f t="shared" si="31"/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2" cm="1">
        <f t="array" ref="BJ131">$G$13+VLOOKUP($R131,武学奇术!$A:$ZZ,14,FALSE)+SUM(_xlfn.XLOOKUP($S131:$AL131,增益!$A:$A,增益!$N:$N,0))</f>
        <v>0</v>
      </c>
      <c r="BK131">
        <f t="shared" si="32"/>
        <v>571.2</v>
      </c>
      <c r="BL131">
        <f t="shared" si="33"/>
        <v>1627.8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2" cm="1">
        <f t="array" ref="BN131">$G$14+VLOOKUP($R131,武学奇术!$A:$ZZ,16,FALSE)+SUM(_xlfn.XLOOKUP($S131:$AL131,增益!$A:$A,增益!$P:$P,0))</f>
        <v>0.15</v>
      </c>
      <c r="BO131" s="26">
        <f>MIN(IF(VLOOKUP($R131,武学奇术!$A:$ZZ,23,FALSE)=1,100%,$B$8),100%)</f>
        <v>0.981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0.846</v>
      </c>
      <c r="BQ131" s="26" cm="1">
        <f t="array" ref="BQ131">1+$B$13+VLOOKUP($R131,武学奇术!$A:$ZZ,18,FALSE)+SUM(_xlfn.XLOOKUP($S131:$AL131,增益!$A:$A,增益!$R:$R,0))</f>
        <v>1.91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0.0929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si="34"/>
        <v>0.829926</v>
      </c>
      <c r="BU131" s="26">
        <f t="shared" si="35"/>
        <v>0.0599391</v>
      </c>
      <c r="BV131" s="26">
        <f>IF(VLOOKUP($R131,武学奇术!$A:$ZZ,22,FALSE)=1,0,(1-$BO131))*(1-$BR131)</f>
        <v>0.0172349</v>
      </c>
      <c r="BW131" s="26" cm="1">
        <f t="array" ref="BW131">SUM(_xlfn.XLOOKUP($S131:$AL131,增益!$A:$A,增益!$W:$W,0))+$I$5</f>
        <v>0.21</v>
      </c>
      <c r="BX131" s="26" cm="1">
        <f t="array" ref="BX131">SUM(_xlfn.XLOOKUP($S131:$AL131,增益!$A:$A,增益!$X:$X,0))</f>
        <v>0</v>
      </c>
    </row>
    <row r="132" spans="11:76">
      <c r="K132">
        <f>$L132*VLOOKUP($R132,武学奇术!$A:$ZZ,31,FALSE)</f>
        <v>66584.276226402</v>
      </c>
      <c r="L132" s="38">
        <f t="shared" si="25"/>
        <v>63413.5964060972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</f>
        <v>67264.8889007133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</f>
        <v>53209.9834663188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</f>
        <v>35217.2193197452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</f>
        <v>31019.6360718468</v>
      </c>
      <c r="Q132" s="39">
        <v>1</v>
      </c>
      <c r="R132" s="40" t="s">
        <v>115</v>
      </c>
      <c r="S132" s="40" t="s">
        <v>116</v>
      </c>
      <c r="T132" s="40" t="s">
        <v>102</v>
      </c>
      <c r="U132" s="40" t="s">
        <v>79</v>
      </c>
      <c r="V132" s="40" t="s">
        <v>78</v>
      </c>
      <c r="W132" s="40" t="s">
        <v>181</v>
      </c>
      <c r="X132" s="40" t="s">
        <v>106</v>
      </c>
      <c r="Y132" s="40" t="s">
        <v>78</v>
      </c>
      <c r="Z132" s="40" t="s">
        <v>78</v>
      </c>
      <c r="AA132" s="40" t="s">
        <v>78</v>
      </c>
      <c r="AB132" s="40" t="s">
        <v>78</v>
      </c>
      <c r="AC132" s="40" t="s">
        <v>78</v>
      </c>
      <c r="AD132" s="40" t="s">
        <v>78</v>
      </c>
      <c r="AE132" s="40" t="s">
        <v>78</v>
      </c>
      <c r="AF132" s="40" t="s">
        <v>78</v>
      </c>
      <c r="AG132" s="40" t="s">
        <v>85</v>
      </c>
      <c r="AH132" s="40" t="s">
        <v>78</v>
      </c>
      <c r="AI132" s="40" t="s">
        <v>78</v>
      </c>
      <c r="AJ132" s="40" t="s">
        <v>78</v>
      </c>
      <c r="AK132" s="40" t="s">
        <v>78</v>
      </c>
      <c r="AL132" s="40" t="s">
        <v>78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750</v>
      </c>
      <c r="AP132" s="26">
        <f>VLOOKUP($R132,武学奇术!$A:$ZZ,28,FALSE)</f>
        <v>2.7126</v>
      </c>
      <c r="AQ132" s="27">
        <f>VLOOKUP($R132,武学奇术!$A:$ZZ,29,FALSE)*(1+IF(OR($AM132=$F$4,$AM132=$F$5),$B$22,0))</f>
        <v>408</v>
      </c>
      <c r="AR132" s="26" cm="1">
        <f t="array" ref="AR132">$G$3+IFERROR(VLOOKUP($AM132,$F$4:$G$7,2,FALSE),0)+VLOOKUP($R132,武学奇术!$A:$ZZ,2,FALSE)+SUM(_xlfn.XLOOKUP($S132:$AL132,增益!$A:$A,增益!$B:$B,0))</f>
        <v>0.5741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3574.6</v>
      </c>
      <c r="AU132" cm="1">
        <f t="array" ref="AU132">$E$10*(1+$AS132)+VLOOKUP($R132,武学奇术!$A:$ZZ,4,FALSE)+SUM(_xlfn.XLOOKUP($S132:$AL132,增益!$A:$A,增益!$D:$D,0))-$I$2</f>
        <v>3574.6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0.2925</v>
      </c>
      <c r="AW132" s="32" cm="1">
        <f t="array" ref="AW132">$G$10+VLOOKUP($R132,武学奇术!$A:$ZZ,7,FALSE)+SUM(_xlfn.XLOOKUP($S132:$AL132,增益!$A:$A,增益!$G:$G,0))</f>
        <v>0.148</v>
      </c>
      <c r="AX132" s="26" cm="1">
        <f t="array" ref="AX132">VLOOKUP($R132,武学奇术!$A:$ZZ,8,FALSE)+SUM(_xlfn.XLOOKUP($S132:$AL132,增益!$A:$A,增益!$H:$H,0))</f>
        <v>0</v>
      </c>
      <c r="AY132">
        <f t="shared" si="26"/>
        <v>0</v>
      </c>
      <c r="AZ132">
        <f t="shared" si="27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2" cm="1">
        <f t="array" ref="BB132">$G$11+VLOOKUP($R132,武学奇术!$A:$ZZ,10,FALSE)+SUM(_xlfn.XLOOKUP($S132:$AL132,增益!$A:$A,增益!$J:$J,0))</f>
        <v>0</v>
      </c>
      <c r="BC132">
        <f t="shared" si="28"/>
        <v>0</v>
      </c>
      <c r="BD132">
        <f t="shared" si="29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2" cm="1">
        <f t="array" ref="BF132">$G$12+VLOOKUP($R132,武学奇术!$A:$ZZ,12,FALSE)+SUM(_xlfn.XLOOKUP($S132:$AL132,增益!$A:$A,增益!$L:$L,0))</f>
        <v>0</v>
      </c>
      <c r="BG132">
        <f t="shared" si="30"/>
        <v>0</v>
      </c>
      <c r="BH132">
        <f t="shared" si="31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2" cm="1">
        <f t="array" ref="BJ132">$G$13+VLOOKUP($R132,武学奇术!$A:$ZZ,14,FALSE)+SUM(_xlfn.XLOOKUP($S132:$AL132,增益!$A:$A,增益!$N:$N,0))</f>
        <v>0</v>
      </c>
      <c r="BK132">
        <f t="shared" si="32"/>
        <v>571.2</v>
      </c>
      <c r="BL132">
        <f t="shared" si="33"/>
        <v>1627.8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2" cm="1">
        <f t="array" ref="BN132">$G$14+VLOOKUP($R132,武学奇术!$A:$ZZ,16,FALSE)+SUM(_xlfn.XLOOKUP($S132:$AL132,增益!$A:$A,增益!$P:$P,0))</f>
        <v>0.27</v>
      </c>
      <c r="BO132" s="26">
        <f>MIN(IF(VLOOKUP($R132,武学奇术!$A:$ZZ,23,FALSE)=1,100%,$B$8),100%)</f>
        <v>0.981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0.846</v>
      </c>
      <c r="BQ132" s="26" cm="1">
        <f t="array" ref="BQ132">1+$B$13+VLOOKUP($R132,武学奇术!$A:$ZZ,18,FALSE)+SUM(_xlfn.XLOOKUP($S132:$AL132,增益!$A:$A,增益!$R:$R,0))</f>
        <v>1.91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0.0929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34"/>
        <v>0.829926</v>
      </c>
      <c r="BU132" s="26">
        <f t="shared" si="35"/>
        <v>0.0599391</v>
      </c>
      <c r="BV132" s="26">
        <f>IF(VLOOKUP($R132,武学奇术!$A:$ZZ,22,FALSE)=1,0,(1-$BO132))*(1-$BR132)</f>
        <v>0.0172349</v>
      </c>
      <c r="BW132" s="26" cm="1">
        <f t="array" ref="BW132">SUM(_xlfn.XLOOKUP($S132:$AL132,增益!$A:$A,增益!$W:$W,0))+$I$5</f>
        <v>0.11</v>
      </c>
      <c r="BX132" s="26" cm="1">
        <f t="array" ref="BX132">SUM(_xlfn.XLOOKUP($S132:$AL132,增益!$A:$A,增益!$X:$X,0))</f>
        <v>0</v>
      </c>
    </row>
    <row r="133" spans="11:76">
      <c r="K133">
        <f>$L133*VLOOKUP($R133,武学奇术!$A:$ZZ,31,FALSE)</f>
        <v>39309.5759381115</v>
      </c>
      <c r="L133" s="38">
        <f t="shared" si="25"/>
        <v>37437.69136963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</f>
        <v>39671.2602070444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</f>
        <v>31854.1368736574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</f>
        <v>20770.2933021175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</f>
        <v>17944.9296607851</v>
      </c>
      <c r="Q133" s="39">
        <v>2</v>
      </c>
      <c r="R133" s="40" t="s">
        <v>119</v>
      </c>
      <c r="S133" s="40" t="s">
        <v>116</v>
      </c>
      <c r="T133" s="40" t="s">
        <v>102</v>
      </c>
      <c r="U133" s="40" t="s">
        <v>79</v>
      </c>
      <c r="V133" s="40" t="s">
        <v>78</v>
      </c>
      <c r="W133" s="40" t="s">
        <v>181</v>
      </c>
      <c r="X133" s="40" t="s">
        <v>106</v>
      </c>
      <c r="Y133" s="40" t="s">
        <v>78</v>
      </c>
      <c r="Z133" s="40" t="s">
        <v>78</v>
      </c>
      <c r="AA133" s="40" t="s">
        <v>78</v>
      </c>
      <c r="AB133" s="40" t="s">
        <v>78</v>
      </c>
      <c r="AC133" s="40" t="s">
        <v>78</v>
      </c>
      <c r="AD133" s="40" t="s">
        <v>78</v>
      </c>
      <c r="AE133" s="40" t="s">
        <v>78</v>
      </c>
      <c r="AF133" s="40" t="s">
        <v>78</v>
      </c>
      <c r="AG133" s="40" t="s">
        <v>85</v>
      </c>
      <c r="AH133" s="40" t="s">
        <v>78</v>
      </c>
      <c r="AI133" s="40" t="s">
        <v>78</v>
      </c>
      <c r="AJ133" s="40" t="s">
        <v>78</v>
      </c>
      <c r="AK133" s="40" t="s">
        <v>78</v>
      </c>
      <c r="AL133" s="40" t="s">
        <v>78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0.7741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3574.6</v>
      </c>
      <c r="AU133" cm="1">
        <f t="array" ref="AU133">$E$10*(1+$AS133)+VLOOKUP($R133,武学奇术!$A:$ZZ,4,FALSE)+SUM(_xlfn.XLOOKUP($S133:$AL133,增益!$A:$A,增益!$D:$D,0))-$I$2</f>
        <v>3574.6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0.2925</v>
      </c>
      <c r="AW133" s="32" cm="1">
        <f t="array" ref="AW133">$G$10+VLOOKUP($R133,武学奇术!$A:$ZZ,7,FALSE)+SUM(_xlfn.XLOOKUP($S133:$AL133,增益!$A:$A,增益!$G:$G,0))</f>
        <v>0.148</v>
      </c>
      <c r="AX133" s="26" cm="1">
        <f t="array" ref="AX133">VLOOKUP($R133,武学奇术!$A:$ZZ,8,FALSE)+SUM(_xlfn.XLOOKUP($S133:$AL133,增益!$A:$A,增益!$H:$H,0))</f>
        <v>0</v>
      </c>
      <c r="AY133">
        <f t="shared" si="26"/>
        <v>0</v>
      </c>
      <c r="AZ133">
        <f t="shared" si="27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2" cm="1">
        <f t="array" ref="BB133">$G$11+VLOOKUP($R133,武学奇术!$A:$ZZ,10,FALSE)+SUM(_xlfn.XLOOKUP($S133:$AL133,增益!$A:$A,增益!$J:$J,0))</f>
        <v>0</v>
      </c>
      <c r="BC133">
        <f t="shared" si="28"/>
        <v>0</v>
      </c>
      <c r="BD133">
        <f t="shared" si="29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2" cm="1">
        <f t="array" ref="BF133">$G$12+VLOOKUP($R133,武学奇术!$A:$ZZ,12,FALSE)+SUM(_xlfn.XLOOKUP($S133:$AL133,增益!$A:$A,增益!$L:$L,0))</f>
        <v>0</v>
      </c>
      <c r="BG133">
        <f t="shared" si="30"/>
        <v>0</v>
      </c>
      <c r="BH133">
        <f t="shared" si="31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2" cm="1">
        <f t="array" ref="BJ133">$G$13+VLOOKUP($R133,武学奇术!$A:$ZZ,14,FALSE)+SUM(_xlfn.XLOOKUP($S133:$AL133,增益!$A:$A,增益!$N:$N,0))</f>
        <v>0</v>
      </c>
      <c r="BK133">
        <f t="shared" si="32"/>
        <v>571.2</v>
      </c>
      <c r="BL133">
        <f t="shared" si="33"/>
        <v>1627.8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2" cm="1">
        <f t="array" ref="BN133">$G$14+VLOOKUP($R133,武学奇术!$A:$ZZ,16,FALSE)+SUM(_xlfn.XLOOKUP($S133:$AL133,增益!$A:$A,增益!$P:$P,0))</f>
        <v>0.27</v>
      </c>
      <c r="BO133" s="26">
        <f>MIN(IF(VLOOKUP($R133,武学奇术!$A:$ZZ,23,FALSE)=1,100%,$B$8),100%)</f>
        <v>0.981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0.846</v>
      </c>
      <c r="BQ133" s="26" cm="1">
        <f t="array" ref="BQ133">1+$B$13+VLOOKUP($R133,武学奇术!$A:$ZZ,18,FALSE)+SUM(_xlfn.XLOOKUP($S133:$AL133,增益!$A:$A,增益!$R:$R,0))</f>
        <v>1.91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0.0929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34"/>
        <v>0.829926</v>
      </c>
      <c r="BU133" s="26">
        <f t="shared" si="35"/>
        <v>0.0599391</v>
      </c>
      <c r="BV133" s="26">
        <f>IF(VLOOKUP($R133,武学奇术!$A:$ZZ,22,FALSE)=1,0,(1-$BO133))*(1-$BR133)</f>
        <v>0.0172349</v>
      </c>
      <c r="BW133" s="26" cm="1">
        <f t="array" ref="BW133">SUM(_xlfn.XLOOKUP($S133:$AL133,增益!$A:$A,增益!$W:$W,0))+$I$5</f>
        <v>0.11</v>
      </c>
      <c r="BX133" s="26" cm="1">
        <f t="array" ref="BX133">SUM(_xlfn.XLOOKUP($S133:$AL133,增益!$A:$A,增益!$X:$X,0))</f>
        <v>0</v>
      </c>
    </row>
    <row r="134" spans="11:76">
      <c r="K134">
        <f>$L134*VLOOKUP($R134,武学奇术!$A:$ZZ,31,FALSE)</f>
        <v>77119.5560803459</v>
      </c>
      <c r="L134" s="38">
        <f t="shared" si="25"/>
        <v>73447.1962669961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</f>
        <v>78192.8540286291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</f>
        <v>59970.6700130844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</f>
        <v>39691.8040754462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</f>
        <v>34960.8896226818</v>
      </c>
      <c r="Q134" s="39">
        <v>1</v>
      </c>
      <c r="R134" s="40" t="s">
        <v>115</v>
      </c>
      <c r="S134" s="40" t="s">
        <v>116</v>
      </c>
      <c r="T134" s="40" t="s">
        <v>102</v>
      </c>
      <c r="U134" s="40" t="s">
        <v>79</v>
      </c>
      <c r="V134" s="40" t="s">
        <v>88</v>
      </c>
      <c r="W134" s="40" t="s">
        <v>181</v>
      </c>
      <c r="X134" s="40" t="s">
        <v>106</v>
      </c>
      <c r="Y134" s="40" t="s">
        <v>78</v>
      </c>
      <c r="Z134" s="40" t="s">
        <v>78</v>
      </c>
      <c r="AA134" s="40" t="s">
        <v>78</v>
      </c>
      <c r="AB134" s="40" t="s">
        <v>122</v>
      </c>
      <c r="AC134" s="40" t="s">
        <v>78</v>
      </c>
      <c r="AD134" s="40" t="s">
        <v>78</v>
      </c>
      <c r="AE134" s="40" t="s">
        <v>78</v>
      </c>
      <c r="AF134" s="40" t="s">
        <v>78</v>
      </c>
      <c r="AG134" s="40" t="s">
        <v>85</v>
      </c>
      <c r="AH134" s="40" t="s">
        <v>78</v>
      </c>
      <c r="AI134" s="40" t="s">
        <v>78</v>
      </c>
      <c r="AJ134" s="40" t="s">
        <v>78</v>
      </c>
      <c r="AK134" s="40" t="s">
        <v>78</v>
      </c>
      <c r="AL134" s="40" t="s">
        <v>78</v>
      </c>
      <c r="AM134" t="str">
        <f>VLOOKUP($R134,武学奇术!$A:$ZZ,25,FALSE)</f>
        <v>伞</v>
      </c>
      <c r="AN134" s="26">
        <f>VLOOKUP($R134,武学奇术!$A:$ZZ,26,FALSE)</f>
        <v>1.8084</v>
      </c>
      <c r="AO134" s="27">
        <f>VLOOKUP($R134,武学奇术!$A:$ZZ,27,FALSE)*(1+IF(OR($AM134=$F$4,$AM134=$F$5),$B$22,0))</f>
        <v>750</v>
      </c>
      <c r="AP134" s="26">
        <f>VLOOKUP($R134,武学奇术!$A:$ZZ,28,FALSE)</f>
        <v>2.7126</v>
      </c>
      <c r="AQ134" s="27">
        <f>VLOOKUP($R134,武学奇术!$A:$ZZ,29,FALSE)*(1+IF(OR($AM134=$F$4,$AM134=$F$5),$B$22,0))</f>
        <v>408</v>
      </c>
      <c r="AR134" s="26" cm="1">
        <f t="array" ref="AR134">$G$3+IFERROR(VLOOKUP($AM134,$F$4:$G$7,2,FALSE),0)+VLOOKUP($R134,武学奇术!$A:$ZZ,2,FALSE)+SUM(_xlfn.XLOOKUP($S134:$AL134,增益!$A:$A,增益!$B:$B,0))</f>
        <v>0.7741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3574.6</v>
      </c>
      <c r="AU134" cm="1">
        <f t="array" ref="AU134">$E$10*(1+$AS134)+VLOOKUP($R134,武学奇术!$A:$ZZ,4,FALSE)+SUM(_xlfn.XLOOKUP($S134:$AL134,增益!$A:$A,增益!$D:$D,0))-$I$2</f>
        <v>3574.6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0.2925</v>
      </c>
      <c r="AW134" s="32" cm="1">
        <f t="array" ref="AW134">$G$10+VLOOKUP($R134,武学奇术!$A:$ZZ,7,FALSE)+SUM(_xlfn.XLOOKUP($S134:$AL134,增益!$A:$A,增益!$G:$G,0))</f>
        <v>0.148</v>
      </c>
      <c r="AX134" s="26" cm="1">
        <f t="array" ref="AX134">VLOOKUP($R134,武学奇术!$A:$ZZ,8,FALSE)+SUM(_xlfn.XLOOKUP($S134:$AL134,增益!$A:$A,增益!$H:$H,0))</f>
        <v>0</v>
      </c>
      <c r="AY134">
        <f t="shared" si="26"/>
        <v>0</v>
      </c>
      <c r="AZ134">
        <f t="shared" si="27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2" cm="1">
        <f t="array" ref="BB134">$G$11+VLOOKUP($R134,武学奇术!$A:$ZZ,10,FALSE)+SUM(_xlfn.XLOOKUP($S134:$AL134,增益!$A:$A,增益!$J:$J,0))</f>
        <v>0</v>
      </c>
      <c r="BC134">
        <f t="shared" si="28"/>
        <v>0</v>
      </c>
      <c r="BD134">
        <f t="shared" si="29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2" cm="1">
        <f t="array" ref="BF134">$G$12+VLOOKUP($R134,武学奇术!$A:$ZZ,12,FALSE)+SUM(_xlfn.XLOOKUP($S134:$AL134,增益!$A:$A,增益!$L:$L,0))</f>
        <v>0</v>
      </c>
      <c r="BG134">
        <f t="shared" si="30"/>
        <v>0</v>
      </c>
      <c r="BH134">
        <f t="shared" si="31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2" cm="1">
        <f t="array" ref="BJ134">$G$13+VLOOKUP($R134,武学奇术!$A:$ZZ,14,FALSE)+SUM(_xlfn.XLOOKUP($S134:$AL134,增益!$A:$A,增益!$N:$N,0))</f>
        <v>0</v>
      </c>
      <c r="BK134">
        <f t="shared" si="32"/>
        <v>571.2</v>
      </c>
      <c r="BL134">
        <f t="shared" si="33"/>
        <v>1627.8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2" cm="1">
        <f t="array" ref="BN134">$G$14+VLOOKUP($R134,武学奇术!$A:$ZZ,16,FALSE)+SUM(_xlfn.XLOOKUP($S134:$AL134,增益!$A:$A,增益!$P:$P,0))</f>
        <v>0.27</v>
      </c>
      <c r="BO134" s="26">
        <f>MIN(IF(VLOOKUP($R134,武学奇术!$A:$ZZ,23,FALSE)=1,100%,$B$8),100%)</f>
        <v>0.981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0.846</v>
      </c>
      <c r="BQ134" s="26" cm="1">
        <f t="array" ref="BQ134">1+$B$13+VLOOKUP($R134,武学奇术!$A:$ZZ,18,FALSE)+SUM(_xlfn.XLOOKUP($S134:$AL134,增益!$A:$A,增益!$R:$R,0))</f>
        <v>1.97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0.0929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34"/>
        <v>0.829926</v>
      </c>
      <c r="BU134" s="26">
        <f t="shared" si="35"/>
        <v>0.0599391</v>
      </c>
      <c r="BV134" s="26">
        <f>IF(VLOOKUP($R134,武学奇术!$A:$ZZ,22,FALSE)=1,0,(1-$BO134))*(1-$BR134)</f>
        <v>0.0172349</v>
      </c>
      <c r="BW134" s="26" cm="1">
        <f t="array" ref="BW134">SUM(_xlfn.XLOOKUP($S134:$AL134,增益!$A:$A,增益!$W:$W,0))+$I$5</f>
        <v>0.11</v>
      </c>
      <c r="BX134" s="26" cm="1">
        <f t="array" ref="BX134">SUM(_xlfn.XLOOKUP($S134:$AL134,增益!$A:$A,增益!$X:$X,0))</f>
        <v>0</v>
      </c>
    </row>
    <row r="135" spans="11:76">
      <c r="K135">
        <f>$L135*VLOOKUP($R135,武学奇术!$A:$ZZ,31,FALSE)</f>
        <v>44949.4789143678</v>
      </c>
      <c r="L135" s="38">
        <f t="shared" si="25"/>
        <v>42809.0275374932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</f>
        <v>45530.2367032236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</f>
        <v>35445.1561931611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</f>
        <v>23111.7952808242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</f>
        <v>19967.9193074549</v>
      </c>
      <c r="Q135" s="39">
        <v>2</v>
      </c>
      <c r="R135" s="40" t="s">
        <v>119</v>
      </c>
      <c r="S135" s="40" t="s">
        <v>116</v>
      </c>
      <c r="T135" s="40" t="s">
        <v>102</v>
      </c>
      <c r="U135" s="40" t="s">
        <v>79</v>
      </c>
      <c r="V135" s="40" t="s">
        <v>88</v>
      </c>
      <c r="W135" s="40" t="s">
        <v>181</v>
      </c>
      <c r="X135" s="40" t="s">
        <v>106</v>
      </c>
      <c r="Y135" s="40" t="s">
        <v>78</v>
      </c>
      <c r="Z135" s="40" t="s">
        <v>78</v>
      </c>
      <c r="AA135" s="40" t="s">
        <v>78</v>
      </c>
      <c r="AB135" s="40" t="s">
        <v>122</v>
      </c>
      <c r="AC135" s="40" t="s">
        <v>78</v>
      </c>
      <c r="AD135" s="40" t="s">
        <v>78</v>
      </c>
      <c r="AE135" s="40" t="s">
        <v>78</v>
      </c>
      <c r="AF135" s="40" t="s">
        <v>78</v>
      </c>
      <c r="AG135" s="40" t="s">
        <v>85</v>
      </c>
      <c r="AH135" s="40" t="s">
        <v>78</v>
      </c>
      <c r="AI135" s="40" t="s">
        <v>78</v>
      </c>
      <c r="AJ135" s="40" t="s">
        <v>78</v>
      </c>
      <c r="AK135" s="40" t="s">
        <v>78</v>
      </c>
      <c r="AL135" s="40" t="s">
        <v>78</v>
      </c>
      <c r="AM135" t="str">
        <f>VLOOKUP($R135,武学奇术!$A:$ZZ,25,FALSE)</f>
        <v>伞</v>
      </c>
      <c r="AN135" s="26">
        <f>VLOOKUP($R135,武学奇术!$A:$ZZ,26,FALSE)</f>
        <v>0.54</v>
      </c>
      <c r="AO135" s="27">
        <f>VLOOKUP($R135,武学奇术!$A:$ZZ,27,FALSE)*(1+IF(OR($AM135=$F$4,$AM135=$F$5),$B$22,0))</f>
        <v>0</v>
      </c>
      <c r="AP135" s="26">
        <f>VLOOKUP($R135,武学奇术!$A:$ZZ,28,FALSE)</f>
        <v>0.81</v>
      </c>
      <c r="AQ135" s="27">
        <f>VLOOKUP($R135,武学奇术!$A:$ZZ,29,FALSE)*(1+IF(OR($AM135=$F$4,$AM135=$F$5),$B$22,0))</f>
        <v>0</v>
      </c>
      <c r="AR135" s="26" cm="1">
        <f t="array" ref="AR135">$G$3+IFERROR(VLOOKUP($AM135,$F$4:$G$7,2,FALSE),0)+VLOOKUP($R135,武学奇术!$A:$ZZ,2,FALSE)+SUM(_xlfn.XLOOKUP($S135:$AL135,增益!$A:$A,增益!$B:$B,0))</f>
        <v>0.9741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3574.6</v>
      </c>
      <c r="AU135" cm="1">
        <f t="array" ref="AU135">$E$10*(1+$AS135)+VLOOKUP($R135,武学奇术!$A:$ZZ,4,FALSE)+SUM(_xlfn.XLOOKUP($S135:$AL135,增益!$A:$A,增益!$D:$D,0))-$I$2</f>
        <v>3574.6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0.2925</v>
      </c>
      <c r="AW135" s="32" cm="1">
        <f t="array" ref="AW135">$G$10+VLOOKUP($R135,武学奇术!$A:$ZZ,7,FALSE)+SUM(_xlfn.XLOOKUP($S135:$AL135,增益!$A:$A,增益!$G:$G,0))</f>
        <v>0.148</v>
      </c>
      <c r="AX135" s="26" cm="1">
        <f t="array" ref="AX135">VLOOKUP($R135,武学奇术!$A:$ZZ,8,FALSE)+SUM(_xlfn.XLOOKUP($S135:$AL135,增益!$A:$A,增益!$H:$H,0))</f>
        <v>0</v>
      </c>
      <c r="AY135">
        <f t="shared" si="26"/>
        <v>0</v>
      </c>
      <c r="AZ135">
        <f t="shared" si="27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2" cm="1">
        <f t="array" ref="BB135">$G$11+VLOOKUP($R135,武学奇术!$A:$ZZ,10,FALSE)+SUM(_xlfn.XLOOKUP($S135:$AL135,增益!$A:$A,增益!$J:$J,0))</f>
        <v>0</v>
      </c>
      <c r="BC135">
        <f t="shared" si="28"/>
        <v>0</v>
      </c>
      <c r="BD135">
        <f t="shared" si="29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2" cm="1">
        <f t="array" ref="BF135">$G$12+VLOOKUP($R135,武学奇术!$A:$ZZ,12,FALSE)+SUM(_xlfn.XLOOKUP($S135:$AL135,增益!$A:$A,增益!$L:$L,0))</f>
        <v>0</v>
      </c>
      <c r="BG135">
        <f t="shared" si="30"/>
        <v>0</v>
      </c>
      <c r="BH135">
        <f t="shared" si="31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2" cm="1">
        <f t="array" ref="BJ135">$G$13+VLOOKUP($R135,武学奇术!$A:$ZZ,14,FALSE)+SUM(_xlfn.XLOOKUP($S135:$AL135,增益!$A:$A,增益!$N:$N,0))</f>
        <v>0</v>
      </c>
      <c r="BK135">
        <f t="shared" si="32"/>
        <v>571.2</v>
      </c>
      <c r="BL135">
        <f t="shared" si="33"/>
        <v>1627.8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2" cm="1">
        <f t="array" ref="BN135">$G$14+VLOOKUP($R135,武学奇术!$A:$ZZ,16,FALSE)+SUM(_xlfn.XLOOKUP($S135:$AL135,增益!$A:$A,增益!$P:$P,0))</f>
        <v>0.27</v>
      </c>
      <c r="BO135" s="26">
        <f>MIN(IF(VLOOKUP($R135,武学奇术!$A:$ZZ,23,FALSE)=1,100%,$B$8),100%)</f>
        <v>0.981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0.846</v>
      </c>
      <c r="BQ135" s="26" cm="1">
        <f t="array" ref="BQ135">1+$B$13+VLOOKUP($R135,武学奇术!$A:$ZZ,18,FALSE)+SUM(_xlfn.XLOOKUP($S135:$AL135,增益!$A:$A,增益!$R:$R,0))</f>
        <v>1.97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0.0929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34"/>
        <v>0.829926</v>
      </c>
      <c r="BU135" s="26">
        <f t="shared" si="35"/>
        <v>0.0599391</v>
      </c>
      <c r="BV135" s="26">
        <f>IF(VLOOKUP($R135,武学奇术!$A:$ZZ,22,FALSE)=1,0,(1-$BO135))*(1-$BR135)</f>
        <v>0.0172349</v>
      </c>
      <c r="BW135" s="26" cm="1">
        <f t="array" ref="BW135">SUM(_xlfn.XLOOKUP($S135:$AL135,增益!$A:$A,增益!$W:$W,0))+$I$5</f>
        <v>0.11</v>
      </c>
      <c r="BX135" s="26" cm="1">
        <f t="array" ref="BX135">SUM(_xlfn.XLOOKUP($S135:$AL135,增益!$A:$A,增益!$X:$X,0))</f>
        <v>0</v>
      </c>
    </row>
    <row r="136" spans="11:76">
      <c r="K136">
        <f>$L136*VLOOKUP($R136,武学奇术!$A:$ZZ,31,FALSE)</f>
        <v>79194.8554722603</v>
      </c>
      <c r="L136" s="38">
        <f t="shared" si="25"/>
        <v>75423.6718783432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</f>
        <v>80574.3622731558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</f>
        <v>59970.6700130844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</f>
        <v>39691.8040754462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</f>
        <v>34960.8896226818</v>
      </c>
      <c r="Q136" s="39">
        <v>1</v>
      </c>
      <c r="R136" s="40" t="s">
        <v>115</v>
      </c>
      <c r="S136" s="40" t="s">
        <v>116</v>
      </c>
      <c r="T136" s="40" t="s">
        <v>102</v>
      </c>
      <c r="U136" s="40" t="s">
        <v>79</v>
      </c>
      <c r="V136" s="40" t="s">
        <v>88</v>
      </c>
      <c r="W136" s="40" t="s">
        <v>181</v>
      </c>
      <c r="X136" s="40" t="s">
        <v>106</v>
      </c>
      <c r="Y136" s="40" t="s">
        <v>78</v>
      </c>
      <c r="Z136" s="40" t="s">
        <v>78</v>
      </c>
      <c r="AA136" s="40" t="s">
        <v>78</v>
      </c>
      <c r="AB136" s="40" t="s">
        <v>127</v>
      </c>
      <c r="AC136" s="40" t="s">
        <v>78</v>
      </c>
      <c r="AD136" s="40" t="s">
        <v>78</v>
      </c>
      <c r="AE136" s="40" t="s">
        <v>78</v>
      </c>
      <c r="AF136" s="40" t="s">
        <v>78</v>
      </c>
      <c r="AG136" s="40" t="s">
        <v>85</v>
      </c>
      <c r="AH136" s="40" t="s">
        <v>78</v>
      </c>
      <c r="AI136" s="40" t="s">
        <v>78</v>
      </c>
      <c r="AJ136" s="40" t="s">
        <v>78</v>
      </c>
      <c r="AK136" s="40" t="s">
        <v>78</v>
      </c>
      <c r="AL136" s="40" t="s">
        <v>78</v>
      </c>
      <c r="AM136" t="str">
        <f>VLOOKUP($R136,武学奇术!$A:$ZZ,25,FALSE)</f>
        <v>伞</v>
      </c>
      <c r="AN136" s="26">
        <f>VLOOKUP($R136,武学奇术!$A:$ZZ,26,FALSE)</f>
        <v>1.8084</v>
      </c>
      <c r="AO136" s="27">
        <f>VLOOKUP($R136,武学奇术!$A:$ZZ,27,FALSE)*(1+IF(OR($AM136=$F$4,$AM136=$F$5),$B$22,0))</f>
        <v>750</v>
      </c>
      <c r="AP136" s="26">
        <f>VLOOKUP($R136,武学奇术!$A:$ZZ,28,FALSE)</f>
        <v>2.7126</v>
      </c>
      <c r="AQ136" s="27">
        <f>VLOOKUP($R136,武学奇术!$A:$ZZ,29,FALSE)*(1+IF(OR($AM136=$F$4,$AM136=$F$5),$B$22,0))</f>
        <v>408</v>
      </c>
      <c r="AR136" s="26" cm="1">
        <f t="array" ref="AR136">$G$3+IFERROR(VLOOKUP($AM136,$F$4:$G$7,2,FALSE),0)+VLOOKUP($R136,武学奇术!$A:$ZZ,2,FALSE)+SUM(_xlfn.XLOOKUP($S136:$AL136,增益!$A:$A,增益!$B:$B,0))</f>
        <v>0.7741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3574.6</v>
      </c>
      <c r="AU136" cm="1">
        <f t="array" ref="AU136">$E$10*(1+$AS136)+VLOOKUP($R136,武学奇术!$A:$ZZ,4,FALSE)+SUM(_xlfn.XLOOKUP($S136:$AL136,增益!$A:$A,增益!$D:$D,0))-$I$2</f>
        <v>3574.6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0.2925</v>
      </c>
      <c r="AW136" s="32" cm="1">
        <f t="array" ref="AW136">$G$10+VLOOKUP($R136,武学奇术!$A:$ZZ,7,FALSE)+SUM(_xlfn.XLOOKUP($S136:$AL136,增益!$A:$A,增益!$G:$G,0))</f>
        <v>0.148</v>
      </c>
      <c r="AX136" s="26" cm="1">
        <f t="array" ref="AX136">VLOOKUP($R136,武学奇术!$A:$ZZ,8,FALSE)+SUM(_xlfn.XLOOKUP($S136:$AL136,增益!$A:$A,增益!$H:$H,0))</f>
        <v>0</v>
      </c>
      <c r="AY136">
        <f t="shared" si="26"/>
        <v>0</v>
      </c>
      <c r="AZ136">
        <f t="shared" si="27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2" cm="1">
        <f t="array" ref="BB136">$G$11+VLOOKUP($R136,武学奇术!$A:$ZZ,10,FALSE)+SUM(_xlfn.XLOOKUP($S136:$AL136,增益!$A:$A,增益!$J:$J,0))</f>
        <v>0</v>
      </c>
      <c r="BC136">
        <f t="shared" si="28"/>
        <v>0</v>
      </c>
      <c r="BD136">
        <f t="shared" si="29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2" cm="1">
        <f t="array" ref="BF136">$G$12+VLOOKUP($R136,武学奇术!$A:$ZZ,12,FALSE)+SUM(_xlfn.XLOOKUP($S136:$AL136,增益!$A:$A,增益!$L:$L,0))</f>
        <v>0</v>
      </c>
      <c r="BG136">
        <f t="shared" si="30"/>
        <v>0</v>
      </c>
      <c r="BH136">
        <f t="shared" si="31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2" cm="1">
        <f t="array" ref="BJ136">$G$13+VLOOKUP($R136,武学奇术!$A:$ZZ,14,FALSE)+SUM(_xlfn.XLOOKUP($S136:$AL136,增益!$A:$A,增益!$N:$N,0))</f>
        <v>0</v>
      </c>
      <c r="BK136">
        <f t="shared" si="32"/>
        <v>571.2</v>
      </c>
      <c r="BL136">
        <f t="shared" si="33"/>
        <v>1627.8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2" cm="1">
        <f t="array" ref="BN136">$G$14+VLOOKUP($R136,武学奇术!$A:$ZZ,16,FALSE)+SUM(_xlfn.XLOOKUP($S136:$AL136,增益!$A:$A,增益!$P:$P,0))</f>
        <v>0.27</v>
      </c>
      <c r="BO136" s="26">
        <f>MIN(IF(VLOOKUP($R136,武学奇术!$A:$ZZ,23,FALSE)=1,100%,$B$8),100%)</f>
        <v>0.981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0.846</v>
      </c>
      <c r="BQ136" s="26" cm="1">
        <f t="array" ref="BQ136">1+$B$13+VLOOKUP($R136,武学奇术!$A:$ZZ,18,FALSE)+SUM(_xlfn.XLOOKUP($S136:$AL136,增益!$A:$A,增益!$R:$R,0))</f>
        <v>2.03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0.0929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34"/>
        <v>0.829926</v>
      </c>
      <c r="BU136" s="26">
        <f t="shared" si="35"/>
        <v>0.0599391</v>
      </c>
      <c r="BV136" s="26">
        <f>IF(VLOOKUP($R136,武学奇术!$A:$ZZ,22,FALSE)=1,0,(1-$BO136))*(1-$BR136)</f>
        <v>0.0172349</v>
      </c>
      <c r="BW136" s="26" cm="1">
        <f t="array" ref="BW136">SUM(_xlfn.XLOOKUP($S136:$AL136,增益!$A:$A,增益!$W:$W,0))+$I$5</f>
        <v>0.11</v>
      </c>
      <c r="BX136" s="26" cm="1">
        <f t="array" ref="BX136">SUM(_xlfn.XLOOKUP($S136:$AL136,增益!$A:$A,增益!$X:$X,0))</f>
        <v>0</v>
      </c>
    </row>
    <row r="137" spans="11:76">
      <c r="K137">
        <f>$L137*VLOOKUP($R137,武学奇术!$A:$ZZ,31,FALSE)</f>
        <v>46157.8869424125</v>
      </c>
      <c r="L137" s="38">
        <f t="shared" si="25"/>
        <v>43959.8923261072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</f>
        <v>46916.9444200731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</f>
        <v>35445.1561931611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</f>
        <v>23111.7952808242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</f>
        <v>19967.9193074549</v>
      </c>
      <c r="Q137" s="39">
        <v>2</v>
      </c>
      <c r="R137" s="40" t="s">
        <v>119</v>
      </c>
      <c r="S137" s="40" t="s">
        <v>116</v>
      </c>
      <c r="T137" s="40" t="s">
        <v>102</v>
      </c>
      <c r="U137" s="40" t="s">
        <v>79</v>
      </c>
      <c r="V137" s="40" t="s">
        <v>88</v>
      </c>
      <c r="W137" s="40" t="s">
        <v>181</v>
      </c>
      <c r="X137" s="40" t="s">
        <v>106</v>
      </c>
      <c r="Y137" s="40" t="s">
        <v>78</v>
      </c>
      <c r="Z137" s="40" t="s">
        <v>78</v>
      </c>
      <c r="AA137" s="40" t="s">
        <v>78</v>
      </c>
      <c r="AB137" s="40" t="s">
        <v>127</v>
      </c>
      <c r="AC137" s="40" t="s">
        <v>78</v>
      </c>
      <c r="AD137" s="40" t="s">
        <v>78</v>
      </c>
      <c r="AE137" s="40" t="s">
        <v>78</v>
      </c>
      <c r="AF137" s="40" t="s">
        <v>78</v>
      </c>
      <c r="AG137" s="40" t="s">
        <v>85</v>
      </c>
      <c r="AH137" s="40" t="s">
        <v>78</v>
      </c>
      <c r="AI137" s="40" t="s">
        <v>78</v>
      </c>
      <c r="AJ137" s="40" t="s">
        <v>78</v>
      </c>
      <c r="AK137" s="40" t="s">
        <v>78</v>
      </c>
      <c r="AL137" s="40" t="s">
        <v>78</v>
      </c>
      <c r="AM137" t="str">
        <f>VLOOKUP($R137,武学奇术!$A:$ZZ,25,FALSE)</f>
        <v>伞</v>
      </c>
      <c r="AN137" s="26">
        <f>VLOOKUP($R137,武学奇术!$A:$ZZ,26,FALSE)</f>
        <v>0.54</v>
      </c>
      <c r="AO137" s="27">
        <f>VLOOKUP($R137,武学奇术!$A:$ZZ,27,FALSE)*(1+IF(OR($AM137=$F$4,$AM137=$F$5),$B$22,0))</f>
        <v>0</v>
      </c>
      <c r="AP137" s="26">
        <f>VLOOKUP($R137,武学奇术!$A:$ZZ,28,FALSE)</f>
        <v>0.81</v>
      </c>
      <c r="AQ137" s="27">
        <f>VLOOKUP($R137,武学奇术!$A:$ZZ,29,FALSE)*(1+IF(OR($AM137=$F$4,$AM137=$F$5),$B$22,0))</f>
        <v>0</v>
      </c>
      <c r="AR137" s="26" cm="1">
        <f t="array" ref="AR137">$G$3+IFERROR(VLOOKUP($AM137,$F$4:$G$7,2,FALSE),0)+VLOOKUP($R137,武学奇术!$A:$ZZ,2,FALSE)+SUM(_xlfn.XLOOKUP($S137:$AL137,增益!$A:$A,增益!$B:$B,0))</f>
        <v>0.9741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3574.6</v>
      </c>
      <c r="AU137" cm="1">
        <f t="array" ref="AU137">$E$10*(1+$AS137)+VLOOKUP($R137,武学奇术!$A:$ZZ,4,FALSE)+SUM(_xlfn.XLOOKUP($S137:$AL137,增益!$A:$A,增益!$D:$D,0))-$I$2</f>
        <v>3574.6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0.2925</v>
      </c>
      <c r="AW137" s="32" cm="1">
        <f t="array" ref="AW137">$G$10+VLOOKUP($R137,武学奇术!$A:$ZZ,7,FALSE)+SUM(_xlfn.XLOOKUP($S137:$AL137,增益!$A:$A,增益!$G:$G,0))</f>
        <v>0.148</v>
      </c>
      <c r="AX137" s="26" cm="1">
        <f t="array" ref="AX137">VLOOKUP($R137,武学奇术!$A:$ZZ,8,FALSE)+SUM(_xlfn.XLOOKUP($S137:$AL137,增益!$A:$A,增益!$H:$H,0))</f>
        <v>0</v>
      </c>
      <c r="AY137">
        <f t="shared" si="26"/>
        <v>0</v>
      </c>
      <c r="AZ137">
        <f t="shared" si="27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2" cm="1">
        <f t="array" ref="BB137">$G$11+VLOOKUP($R137,武学奇术!$A:$ZZ,10,FALSE)+SUM(_xlfn.XLOOKUP($S137:$AL137,增益!$A:$A,增益!$J:$J,0))</f>
        <v>0</v>
      </c>
      <c r="BC137">
        <f t="shared" si="28"/>
        <v>0</v>
      </c>
      <c r="BD137">
        <f t="shared" si="29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2" cm="1">
        <f t="array" ref="BF137">$G$12+VLOOKUP($R137,武学奇术!$A:$ZZ,12,FALSE)+SUM(_xlfn.XLOOKUP($S137:$AL137,增益!$A:$A,增益!$L:$L,0))</f>
        <v>0</v>
      </c>
      <c r="BG137">
        <f t="shared" si="30"/>
        <v>0</v>
      </c>
      <c r="BH137">
        <f t="shared" si="31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2" cm="1">
        <f t="array" ref="BJ137">$G$13+VLOOKUP($R137,武学奇术!$A:$ZZ,14,FALSE)+SUM(_xlfn.XLOOKUP($S137:$AL137,增益!$A:$A,增益!$N:$N,0))</f>
        <v>0</v>
      </c>
      <c r="BK137">
        <f t="shared" si="32"/>
        <v>571.2</v>
      </c>
      <c r="BL137">
        <f t="shared" si="33"/>
        <v>1627.8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2" cm="1">
        <f t="array" ref="BN137">$G$14+VLOOKUP($R137,武学奇术!$A:$ZZ,16,FALSE)+SUM(_xlfn.XLOOKUP($S137:$AL137,增益!$A:$A,增益!$P:$P,0))</f>
        <v>0.27</v>
      </c>
      <c r="BO137" s="26">
        <f>MIN(IF(VLOOKUP($R137,武学奇术!$A:$ZZ,23,FALSE)=1,100%,$B$8),100%)</f>
        <v>0.981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0.846</v>
      </c>
      <c r="BQ137" s="26" cm="1">
        <f t="array" ref="BQ137">1+$B$13+VLOOKUP($R137,武学奇术!$A:$ZZ,18,FALSE)+SUM(_xlfn.XLOOKUP($S137:$AL137,增益!$A:$A,增益!$R:$R,0))</f>
        <v>2.03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0.0929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34"/>
        <v>0.829926</v>
      </c>
      <c r="BU137" s="26">
        <f t="shared" si="35"/>
        <v>0.0599391</v>
      </c>
      <c r="BV137" s="26">
        <f>IF(VLOOKUP($R137,武学奇术!$A:$ZZ,22,FALSE)=1,0,(1-$BO137))*(1-$BR137)</f>
        <v>0.0172349</v>
      </c>
      <c r="BW137" s="26" cm="1">
        <f t="array" ref="BW137">SUM(_xlfn.XLOOKUP($S137:$AL137,增益!$A:$A,增益!$W:$W,0))+$I$5</f>
        <v>0.11</v>
      </c>
      <c r="BX137" s="26" cm="1">
        <f t="array" ref="BX137">SUM(_xlfn.XLOOKUP($S137:$AL137,增益!$A:$A,增益!$X:$X,0))</f>
        <v>0</v>
      </c>
    </row>
    <row r="138" spans="11:76">
      <c r="K138">
        <f>$L138*VLOOKUP($R138,武学奇术!$A:$ZZ,31,FALSE)</f>
        <v>95531.8990417716</v>
      </c>
      <c r="L138" s="38">
        <f t="shared" si="25"/>
        <v>90982.7609921634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</f>
        <v>90982.7609921634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</f>
        <v>66731.35655985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</f>
        <v>44166.3888311473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</f>
        <v>38902.1431735168</v>
      </c>
      <c r="Q138" s="39">
        <v>1</v>
      </c>
      <c r="R138" s="40" t="s">
        <v>132</v>
      </c>
      <c r="S138" s="40" t="s">
        <v>116</v>
      </c>
      <c r="T138" s="40" t="s">
        <v>102</v>
      </c>
      <c r="U138" s="40" t="s">
        <v>79</v>
      </c>
      <c r="V138" s="40" t="s">
        <v>88</v>
      </c>
      <c r="W138" s="40" t="s">
        <v>181</v>
      </c>
      <c r="X138" s="40" t="s">
        <v>106</v>
      </c>
      <c r="Y138" s="40" t="s">
        <v>78</v>
      </c>
      <c r="Z138" s="40" t="s">
        <v>78</v>
      </c>
      <c r="AA138" s="40" t="s">
        <v>78</v>
      </c>
      <c r="AB138" s="40" t="s">
        <v>133</v>
      </c>
      <c r="AC138" s="40" t="s">
        <v>78</v>
      </c>
      <c r="AD138" s="40" t="s">
        <v>78</v>
      </c>
      <c r="AE138" s="40" t="s">
        <v>78</v>
      </c>
      <c r="AF138" s="40" t="s">
        <v>78</v>
      </c>
      <c r="AG138" s="40" t="s">
        <v>85</v>
      </c>
      <c r="AH138" s="40" t="s">
        <v>78</v>
      </c>
      <c r="AI138" s="40" t="s">
        <v>78</v>
      </c>
      <c r="AJ138" s="40" t="s">
        <v>78</v>
      </c>
      <c r="AK138" s="40" t="s">
        <v>78</v>
      </c>
      <c r="AL138" s="40" t="s">
        <v>78</v>
      </c>
      <c r="AM138" t="str">
        <f>VLOOKUP($R138,武学奇术!$A:$ZZ,25,FALSE)</f>
        <v>伞</v>
      </c>
      <c r="AN138" s="26">
        <f>VLOOKUP($R138,武学奇术!$A:$ZZ,26,FALSE)</f>
        <v>1.8084</v>
      </c>
      <c r="AO138" s="27">
        <f>VLOOKUP($R138,武学奇术!$A:$ZZ,27,FALSE)*(1+IF(OR($AM138=$F$4,$AM138=$F$5),$B$22,0))</f>
        <v>750</v>
      </c>
      <c r="AP138" s="26">
        <f>VLOOKUP($R138,武学奇术!$A:$ZZ,28,FALSE)</f>
        <v>2.7126</v>
      </c>
      <c r="AQ138" s="27">
        <f>VLOOKUP($R138,武学奇术!$A:$ZZ,29,FALSE)*(1+IF(OR($AM138=$F$4,$AM138=$F$5),$B$22,0))</f>
        <v>408</v>
      </c>
      <c r="AR138" s="26" cm="1">
        <f t="array" ref="AR138">$G$3+IFERROR(VLOOKUP($AM138,$F$4:$G$7,2,FALSE),0)+VLOOKUP($R138,武学奇术!$A:$ZZ,2,FALSE)+SUM(_xlfn.XLOOKUP($S138:$AL138,增益!$A:$A,增益!$B:$B,0))</f>
        <v>0.9741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3574.6</v>
      </c>
      <c r="AU138" cm="1">
        <f t="array" ref="AU138">$E$10*(1+$AS138)+VLOOKUP($R138,武学奇术!$A:$ZZ,4,FALSE)+SUM(_xlfn.XLOOKUP($S138:$AL138,增益!$A:$A,增益!$D:$D,0))-$I$2</f>
        <v>3574.6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0.2925</v>
      </c>
      <c r="AW138" s="32" cm="1">
        <f t="array" ref="AW138">$G$10+VLOOKUP($R138,武学奇术!$A:$ZZ,7,FALSE)+SUM(_xlfn.XLOOKUP($S138:$AL138,增益!$A:$A,增益!$G:$G,0))</f>
        <v>0.148</v>
      </c>
      <c r="AX138" s="26" cm="1">
        <f t="array" ref="AX138">VLOOKUP($R138,武学奇术!$A:$ZZ,8,FALSE)+SUM(_xlfn.XLOOKUP($S138:$AL138,增益!$A:$A,增益!$H:$H,0))</f>
        <v>0</v>
      </c>
      <c r="AY138">
        <f t="shared" si="26"/>
        <v>0</v>
      </c>
      <c r="AZ138">
        <f t="shared" si="27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2" cm="1">
        <f t="array" ref="BB138">$G$11+VLOOKUP($R138,武学奇术!$A:$ZZ,10,FALSE)+SUM(_xlfn.XLOOKUP($S138:$AL138,增益!$A:$A,增益!$J:$J,0))</f>
        <v>0</v>
      </c>
      <c r="BC138">
        <f t="shared" si="28"/>
        <v>0</v>
      </c>
      <c r="BD138">
        <f t="shared" si="29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2" cm="1">
        <f t="array" ref="BF138">$G$12+VLOOKUP($R138,武学奇术!$A:$ZZ,12,FALSE)+SUM(_xlfn.XLOOKUP($S138:$AL138,增益!$A:$A,增益!$L:$L,0))</f>
        <v>0</v>
      </c>
      <c r="BG138">
        <f t="shared" si="30"/>
        <v>0</v>
      </c>
      <c r="BH138">
        <f t="shared" si="31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2" cm="1">
        <f t="array" ref="BJ138">$G$13+VLOOKUP($R138,武学奇术!$A:$ZZ,14,FALSE)+SUM(_xlfn.XLOOKUP($S138:$AL138,增益!$A:$A,增益!$N:$N,0))</f>
        <v>0</v>
      </c>
      <c r="BK138">
        <f t="shared" si="32"/>
        <v>571.2</v>
      </c>
      <c r="BL138">
        <f t="shared" si="33"/>
        <v>1627.8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2" cm="1">
        <f t="array" ref="BN138">$G$14+VLOOKUP($R138,武学奇术!$A:$ZZ,16,FALSE)+SUM(_xlfn.XLOOKUP($S138:$AL138,增益!$A:$A,增益!$P:$P,0))</f>
        <v>0.27</v>
      </c>
      <c r="BO138" s="26">
        <f>MIN(IF(VLOOKUP($R138,武学奇术!$A:$ZZ,23,FALSE)=1,100%,$B$8),100%)</f>
        <v>1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1</v>
      </c>
      <c r="BQ138" s="26" cm="1">
        <f t="array" ref="BQ138">1+$B$13+VLOOKUP($R138,武学奇术!$A:$ZZ,18,FALSE)+SUM(_xlfn.XLOOKUP($S138:$AL138,增益!$A:$A,增益!$R:$R,0))</f>
        <v>2.06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34"/>
        <v>1</v>
      </c>
      <c r="BU138" s="26">
        <f t="shared" si="35"/>
        <v>0</v>
      </c>
      <c r="BV138" s="26">
        <f>IF(VLOOKUP($R138,武学奇术!$A:$ZZ,22,FALSE)=1,0,(1-$BO138))*(1-$BR138)</f>
        <v>0</v>
      </c>
      <c r="BW138" s="26" cm="1">
        <f t="array" ref="BW138">SUM(_xlfn.XLOOKUP($S138:$AL138,增益!$A:$A,增益!$W:$W,0))+$I$5</f>
        <v>0.11</v>
      </c>
      <c r="BX138" s="26" cm="1">
        <f t="array" ref="BX138">SUM(_xlfn.XLOOKUP($S138:$AL138,增益!$A:$A,增益!$X:$X,0))</f>
        <v>0</v>
      </c>
    </row>
    <row r="139" spans="11:76">
      <c r="K139">
        <f>$L139*VLOOKUP($R139,武学奇术!$A:$ZZ,31,FALSE)</f>
        <v>55055.4819723652</v>
      </c>
      <c r="L139" s="38">
        <f t="shared" si="25"/>
        <v>52433.7923546336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</f>
        <v>52433.7923546336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</f>
        <v>39036.1755126648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</f>
        <v>25453.2972595308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</f>
        <v>21990.9089541248</v>
      </c>
      <c r="Q139" s="39">
        <v>2</v>
      </c>
      <c r="R139" s="40" t="s">
        <v>139</v>
      </c>
      <c r="S139" s="40" t="s">
        <v>116</v>
      </c>
      <c r="T139" s="40" t="s">
        <v>102</v>
      </c>
      <c r="U139" s="40" t="s">
        <v>79</v>
      </c>
      <c r="V139" s="40" t="s">
        <v>88</v>
      </c>
      <c r="W139" s="40" t="s">
        <v>181</v>
      </c>
      <c r="X139" s="40" t="s">
        <v>106</v>
      </c>
      <c r="Y139" s="40" t="s">
        <v>78</v>
      </c>
      <c r="Z139" s="40" t="s">
        <v>78</v>
      </c>
      <c r="AA139" s="40" t="s">
        <v>78</v>
      </c>
      <c r="AB139" s="40" t="s">
        <v>133</v>
      </c>
      <c r="AC139" s="40" t="s">
        <v>78</v>
      </c>
      <c r="AD139" s="40" t="s">
        <v>78</v>
      </c>
      <c r="AE139" s="40" t="s">
        <v>78</v>
      </c>
      <c r="AF139" s="40" t="s">
        <v>78</v>
      </c>
      <c r="AG139" s="40" t="s">
        <v>85</v>
      </c>
      <c r="AH139" s="40" t="s">
        <v>78</v>
      </c>
      <c r="AI139" s="40" t="s">
        <v>78</v>
      </c>
      <c r="AJ139" s="40" t="s">
        <v>78</v>
      </c>
      <c r="AK139" s="40" t="s">
        <v>78</v>
      </c>
      <c r="AL139" s="40" t="s">
        <v>78</v>
      </c>
      <c r="AM139" t="str">
        <f>VLOOKUP($R139,武学奇术!$A:$ZZ,25,FALSE)</f>
        <v>伞</v>
      </c>
      <c r="AN139" s="26">
        <f>VLOOKUP($R139,武学奇术!$A:$ZZ,26,FALSE)</f>
        <v>0.54</v>
      </c>
      <c r="AO139" s="27">
        <f>VLOOKUP($R139,武学奇术!$A:$ZZ,27,FALSE)*(1+IF(OR($AM139=$F$4,$AM139=$F$5),$B$22,0))</f>
        <v>0</v>
      </c>
      <c r="AP139" s="26">
        <f>VLOOKUP($R139,武学奇术!$A:$ZZ,28,FALSE)</f>
        <v>0.81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1.1741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3574.6</v>
      </c>
      <c r="AU139" cm="1">
        <f t="array" ref="AU139">$E$10*(1+$AS139)+VLOOKUP($R139,武学奇术!$A:$ZZ,4,FALSE)+SUM(_xlfn.XLOOKUP($S139:$AL139,增益!$A:$A,增益!$D:$D,0))-$I$2</f>
        <v>3574.6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0.2925</v>
      </c>
      <c r="AW139" s="32" cm="1">
        <f t="array" ref="AW139">$G$10+VLOOKUP($R139,武学奇术!$A:$ZZ,7,FALSE)+SUM(_xlfn.XLOOKUP($S139:$AL139,增益!$A:$A,增益!$G:$G,0))</f>
        <v>0.148</v>
      </c>
      <c r="AX139" s="26" cm="1">
        <f t="array" ref="AX139">VLOOKUP($R139,武学奇术!$A:$ZZ,8,FALSE)+SUM(_xlfn.XLOOKUP($S139:$AL139,增益!$A:$A,增益!$H:$H,0))</f>
        <v>0</v>
      </c>
      <c r="AY139">
        <f t="shared" si="26"/>
        <v>0</v>
      </c>
      <c r="AZ139">
        <f t="shared" si="27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2" cm="1">
        <f t="array" ref="BB139">$G$11+VLOOKUP($R139,武学奇术!$A:$ZZ,10,FALSE)+SUM(_xlfn.XLOOKUP($S139:$AL139,增益!$A:$A,增益!$J:$J,0))</f>
        <v>0</v>
      </c>
      <c r="BC139">
        <f t="shared" si="28"/>
        <v>0</v>
      </c>
      <c r="BD139">
        <f t="shared" si="29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-0.3</v>
      </c>
      <c r="BF139" s="32" cm="1">
        <f t="array" ref="BF139">$G$12+VLOOKUP($R139,武学奇术!$A:$ZZ,12,FALSE)+SUM(_xlfn.XLOOKUP($S139:$AL139,增益!$A:$A,增益!$L:$L,0))</f>
        <v>0</v>
      </c>
      <c r="BG139">
        <f t="shared" si="30"/>
        <v>0</v>
      </c>
      <c r="BH139">
        <f t="shared" si="31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2" cm="1">
        <f t="array" ref="BJ139">$G$13+VLOOKUP($R139,武学奇术!$A:$ZZ,14,FALSE)+SUM(_xlfn.XLOOKUP($S139:$AL139,增益!$A:$A,增益!$N:$N,0))</f>
        <v>0</v>
      </c>
      <c r="BK139">
        <f t="shared" si="32"/>
        <v>571.2</v>
      </c>
      <c r="BL139">
        <f t="shared" si="33"/>
        <v>1627.8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</v>
      </c>
      <c r="BN139" s="32" cm="1">
        <f t="array" ref="BN139">$G$14+VLOOKUP($R139,武学奇术!$A:$ZZ,16,FALSE)+SUM(_xlfn.XLOOKUP($S139:$AL139,增益!$A:$A,增益!$P:$P,0))</f>
        <v>0.27</v>
      </c>
      <c r="BO139" s="26">
        <f>MIN(IF(VLOOKUP($R139,武学奇术!$A:$ZZ,23,FALSE)=1,100%,$B$8),100%)</f>
        <v>1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1</v>
      </c>
      <c r="BQ139" s="26" cm="1">
        <f t="array" ref="BQ139">1+$B$13+VLOOKUP($R139,武学奇术!$A:$ZZ,18,FALSE)+SUM(_xlfn.XLOOKUP($S139:$AL139,增益!$A:$A,增益!$R:$R,0))</f>
        <v>2.06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34"/>
        <v>1</v>
      </c>
      <c r="BU139" s="26">
        <f t="shared" si="35"/>
        <v>0</v>
      </c>
      <c r="BV139" s="26">
        <f>IF(VLOOKUP($R139,武学奇术!$A:$ZZ,22,FALSE)=1,0,(1-$BO139))*(1-$BR139)</f>
        <v>0</v>
      </c>
      <c r="BW139" s="26" cm="1">
        <f t="array" ref="BW139">SUM(_xlfn.XLOOKUP($S139:$AL139,增益!$A:$A,增益!$W:$W,0))+$I$5</f>
        <v>0.11</v>
      </c>
      <c r="BX139" s="26" cm="1">
        <f t="array" ref="BX139">SUM(_xlfn.XLOOKUP($S139:$AL139,增益!$A:$A,增益!$X:$X,0))</f>
        <v>0</v>
      </c>
    </row>
    <row r="140" spans="11:76">
      <c r="K140">
        <f>$L140*VLOOKUP($R140,武学奇术!$A:$ZZ,31,FALSE)</f>
        <v>160465.010336435</v>
      </c>
      <c r="L140" s="38">
        <f t="shared" si="25"/>
        <v>152823.819368033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</f>
        <v>163530.232790838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</f>
        <v>119941.340026169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</f>
        <v>79383.6081508924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</f>
        <v>69921.7792453636</v>
      </c>
      <c r="Q140" s="39">
        <v>2</v>
      </c>
      <c r="R140" s="40" t="s">
        <v>115</v>
      </c>
      <c r="S140" s="40" t="s">
        <v>116</v>
      </c>
      <c r="T140" s="40" t="s">
        <v>102</v>
      </c>
      <c r="U140" s="40" t="s">
        <v>79</v>
      </c>
      <c r="V140" s="40" t="s">
        <v>88</v>
      </c>
      <c r="W140" s="40" t="s">
        <v>181</v>
      </c>
      <c r="X140" s="40" t="s">
        <v>106</v>
      </c>
      <c r="Y140" s="40" t="s">
        <v>78</v>
      </c>
      <c r="Z140" s="40" t="s">
        <v>78</v>
      </c>
      <c r="AA140" s="40" t="s">
        <v>78</v>
      </c>
      <c r="AB140" s="40" t="s">
        <v>133</v>
      </c>
      <c r="AC140" s="40" t="s">
        <v>78</v>
      </c>
      <c r="AD140" s="40" t="s">
        <v>78</v>
      </c>
      <c r="AE140" s="40" t="s">
        <v>78</v>
      </c>
      <c r="AF140" s="40" t="s">
        <v>78</v>
      </c>
      <c r="AG140" s="40" t="s">
        <v>85</v>
      </c>
      <c r="AH140" s="40" t="s">
        <v>78</v>
      </c>
      <c r="AI140" s="40" t="s">
        <v>78</v>
      </c>
      <c r="AJ140" s="40" t="s">
        <v>78</v>
      </c>
      <c r="AK140" s="40" t="s">
        <v>78</v>
      </c>
      <c r="AL140" s="40" t="s">
        <v>78</v>
      </c>
      <c r="AM140" t="str">
        <f>VLOOKUP($R140,武学奇术!$A:$ZZ,25,FALSE)</f>
        <v>伞</v>
      </c>
      <c r="AN140" s="26">
        <f>VLOOKUP($R140,武学奇术!$A:$ZZ,26,FALSE)</f>
        <v>1.8084</v>
      </c>
      <c r="AO140" s="27">
        <f>VLOOKUP($R140,武学奇术!$A:$ZZ,27,FALSE)*(1+IF(OR($AM140=$F$4,$AM140=$F$5),$B$22,0))</f>
        <v>750</v>
      </c>
      <c r="AP140" s="26">
        <f>VLOOKUP($R140,武学奇术!$A:$ZZ,28,FALSE)</f>
        <v>2.7126</v>
      </c>
      <c r="AQ140" s="27">
        <f>VLOOKUP($R140,武学奇术!$A:$ZZ,29,FALSE)*(1+IF(OR($AM140=$F$4,$AM140=$F$5),$B$22,0))</f>
        <v>408</v>
      </c>
      <c r="AR140" s="26" cm="1">
        <f t="array" ref="AR140">$G$3+IFERROR(VLOOKUP($AM140,$F$4:$G$7,2,FALSE),0)+VLOOKUP($R140,武学奇术!$A:$ZZ,2,FALSE)+SUM(_xlfn.XLOOKUP($S140:$AL140,增益!$A:$A,增益!$B:$B,0))</f>
        <v>0.7741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3574.6</v>
      </c>
      <c r="AU140" cm="1">
        <f t="array" ref="AU140">$E$10*(1+$AS140)+VLOOKUP($R140,武学奇术!$A:$ZZ,4,FALSE)+SUM(_xlfn.XLOOKUP($S140:$AL140,增益!$A:$A,增益!$D:$D,0))-$I$2</f>
        <v>3574.6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0.2925</v>
      </c>
      <c r="AW140" s="32" cm="1">
        <f t="array" ref="AW140">$G$10+VLOOKUP($R140,武学奇术!$A:$ZZ,7,FALSE)+SUM(_xlfn.XLOOKUP($S140:$AL140,增益!$A:$A,增益!$G:$G,0))</f>
        <v>0.148</v>
      </c>
      <c r="AX140" s="26" cm="1">
        <f t="array" ref="AX140">VLOOKUP($R140,武学奇术!$A:$ZZ,8,FALSE)+SUM(_xlfn.XLOOKUP($S140:$AL140,增益!$A:$A,增益!$H:$H,0))</f>
        <v>0</v>
      </c>
      <c r="AY140">
        <f t="shared" si="26"/>
        <v>0</v>
      </c>
      <c r="AZ140">
        <f t="shared" si="27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2" cm="1">
        <f t="array" ref="BB140">$G$11+VLOOKUP($R140,武学奇术!$A:$ZZ,10,FALSE)+SUM(_xlfn.XLOOKUP($S140:$AL140,增益!$A:$A,增益!$J:$J,0))</f>
        <v>0</v>
      </c>
      <c r="BC140">
        <f t="shared" si="28"/>
        <v>0</v>
      </c>
      <c r="BD140">
        <f t="shared" si="29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-0.3</v>
      </c>
      <c r="BF140" s="32" cm="1">
        <f t="array" ref="BF140">$G$12+VLOOKUP($R140,武学奇术!$A:$ZZ,12,FALSE)+SUM(_xlfn.XLOOKUP($S140:$AL140,增益!$A:$A,增益!$L:$L,0))</f>
        <v>0</v>
      </c>
      <c r="BG140">
        <f t="shared" si="30"/>
        <v>0</v>
      </c>
      <c r="BH140">
        <f t="shared" si="31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2" cm="1">
        <f t="array" ref="BJ140">$G$13+VLOOKUP($R140,武学奇术!$A:$ZZ,14,FALSE)+SUM(_xlfn.XLOOKUP($S140:$AL140,增益!$A:$A,增益!$N:$N,0))</f>
        <v>0</v>
      </c>
      <c r="BK140">
        <f t="shared" si="32"/>
        <v>571.2</v>
      </c>
      <c r="BL140">
        <f t="shared" si="33"/>
        <v>1627.8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</v>
      </c>
      <c r="BN140" s="32" cm="1">
        <f t="array" ref="BN140">$G$14+VLOOKUP($R140,武学奇术!$A:$ZZ,16,FALSE)+SUM(_xlfn.XLOOKUP($S140:$AL140,增益!$A:$A,增益!$P:$P,0))</f>
        <v>0.27</v>
      </c>
      <c r="BO140" s="26">
        <f>MIN(IF(VLOOKUP($R140,武学奇术!$A:$ZZ,23,FALSE)=1,100%,$B$8),100%)</f>
        <v>0.981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0.846</v>
      </c>
      <c r="BQ140" s="26" cm="1">
        <f t="array" ref="BQ140">1+$B$13+VLOOKUP($R140,武学奇术!$A:$ZZ,18,FALSE)+SUM(_xlfn.XLOOKUP($S140:$AL140,增益!$A:$A,增益!$R:$R,0))</f>
        <v>2.06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0.0929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34"/>
        <v>0.829926</v>
      </c>
      <c r="BU140" s="26">
        <f t="shared" si="35"/>
        <v>0.0599391</v>
      </c>
      <c r="BV140" s="26">
        <f>IF(VLOOKUP($R140,武学奇术!$A:$ZZ,22,FALSE)=1,0,(1-$BO140))*(1-$BR140)</f>
        <v>0.0172349</v>
      </c>
      <c r="BW140" s="26" cm="1">
        <f t="array" ref="BW140">SUM(_xlfn.XLOOKUP($S140:$AL140,增益!$A:$A,增益!$W:$W,0))+$I$5</f>
        <v>0.11</v>
      </c>
      <c r="BX140" s="26" cm="1">
        <f t="array" ref="BX140">SUM(_xlfn.XLOOKUP($S140:$AL140,增益!$A:$A,增益!$X:$X,0))</f>
        <v>0</v>
      </c>
    </row>
    <row r="141" spans="11:76">
      <c r="K141">
        <f>$L141*VLOOKUP($R141,武学奇术!$A:$ZZ,31,FALSE)</f>
        <v>93524.1819128697</v>
      </c>
      <c r="L141" s="38">
        <f t="shared" si="25"/>
        <v>89070.6494408283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</f>
        <v>95220.5965569956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</f>
        <v>70890.3123863222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</f>
        <v>46223.5905616484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</f>
        <v>39935.8386149099</v>
      </c>
      <c r="Q141" s="39">
        <v>4</v>
      </c>
      <c r="R141" s="40" t="s">
        <v>119</v>
      </c>
      <c r="S141" s="40" t="s">
        <v>116</v>
      </c>
      <c r="T141" s="40" t="s">
        <v>102</v>
      </c>
      <c r="U141" s="40" t="s">
        <v>79</v>
      </c>
      <c r="V141" s="40" t="s">
        <v>88</v>
      </c>
      <c r="W141" s="40" t="s">
        <v>181</v>
      </c>
      <c r="X141" s="40" t="s">
        <v>106</v>
      </c>
      <c r="Y141" s="40" t="s">
        <v>78</v>
      </c>
      <c r="Z141" s="40" t="s">
        <v>78</v>
      </c>
      <c r="AA141" s="40" t="s">
        <v>78</v>
      </c>
      <c r="AB141" s="40" t="s">
        <v>133</v>
      </c>
      <c r="AC141" s="40" t="s">
        <v>78</v>
      </c>
      <c r="AD141" s="40" t="s">
        <v>78</v>
      </c>
      <c r="AE141" s="40" t="s">
        <v>78</v>
      </c>
      <c r="AF141" s="40" t="s">
        <v>78</v>
      </c>
      <c r="AG141" s="40" t="s">
        <v>85</v>
      </c>
      <c r="AH141" s="40" t="s">
        <v>78</v>
      </c>
      <c r="AI141" s="40" t="s">
        <v>78</v>
      </c>
      <c r="AJ141" s="40" t="s">
        <v>78</v>
      </c>
      <c r="AK141" s="40" t="s">
        <v>78</v>
      </c>
      <c r="AL141" s="40" t="s">
        <v>78</v>
      </c>
      <c r="AM141" t="str">
        <f>VLOOKUP($R141,武学奇术!$A:$ZZ,25,FALSE)</f>
        <v>伞</v>
      </c>
      <c r="AN141" s="26">
        <f>VLOOKUP($R141,武学奇术!$A:$ZZ,26,FALSE)</f>
        <v>0.54</v>
      </c>
      <c r="AO141" s="27">
        <f>VLOOKUP($R141,武学奇术!$A:$ZZ,27,FALSE)*(1+IF(OR($AM141=$F$4,$AM141=$F$5),$B$22,0))</f>
        <v>0</v>
      </c>
      <c r="AP141" s="26">
        <f>VLOOKUP($R141,武学奇术!$A:$ZZ,28,FALSE)</f>
        <v>0.81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0.9741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3574.6</v>
      </c>
      <c r="AU141" cm="1">
        <f t="array" ref="AU141">$E$10*(1+$AS141)+VLOOKUP($R141,武学奇术!$A:$ZZ,4,FALSE)+SUM(_xlfn.XLOOKUP($S141:$AL141,增益!$A:$A,增益!$D:$D,0))-$I$2</f>
        <v>3574.6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0.2925</v>
      </c>
      <c r="AW141" s="32" cm="1">
        <f t="array" ref="AW141">$G$10+VLOOKUP($R141,武学奇术!$A:$ZZ,7,FALSE)+SUM(_xlfn.XLOOKUP($S141:$AL141,增益!$A:$A,增益!$G:$G,0))</f>
        <v>0.148</v>
      </c>
      <c r="AX141" s="26" cm="1">
        <f t="array" ref="AX141">VLOOKUP($R141,武学奇术!$A:$ZZ,8,FALSE)+SUM(_xlfn.XLOOKUP($S141:$AL141,增益!$A:$A,增益!$H:$H,0))</f>
        <v>0</v>
      </c>
      <c r="AY141">
        <f t="shared" si="26"/>
        <v>0</v>
      </c>
      <c r="AZ141">
        <f t="shared" si="27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2" cm="1">
        <f t="array" ref="BB141">$G$11+VLOOKUP($R141,武学奇术!$A:$ZZ,10,FALSE)+SUM(_xlfn.XLOOKUP($S141:$AL141,增益!$A:$A,增益!$J:$J,0))</f>
        <v>0</v>
      </c>
      <c r="BC141">
        <f t="shared" si="28"/>
        <v>0</v>
      </c>
      <c r="BD141">
        <f t="shared" si="29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-0.3</v>
      </c>
      <c r="BF141" s="32" cm="1">
        <f t="array" ref="BF141">$G$12+VLOOKUP($R141,武学奇术!$A:$ZZ,12,FALSE)+SUM(_xlfn.XLOOKUP($S141:$AL141,增益!$A:$A,增益!$L:$L,0))</f>
        <v>0</v>
      </c>
      <c r="BG141">
        <f t="shared" si="30"/>
        <v>0</v>
      </c>
      <c r="BH141">
        <f t="shared" si="31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2" cm="1">
        <f t="array" ref="BJ141">$G$13+VLOOKUP($R141,武学奇术!$A:$ZZ,14,FALSE)+SUM(_xlfn.XLOOKUP($S141:$AL141,增益!$A:$A,增益!$N:$N,0))</f>
        <v>0</v>
      </c>
      <c r="BK141">
        <f t="shared" si="32"/>
        <v>571.2</v>
      </c>
      <c r="BL141">
        <f t="shared" si="33"/>
        <v>1627.8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</v>
      </c>
      <c r="BN141" s="32" cm="1">
        <f t="array" ref="BN141">$G$14+VLOOKUP($R141,武学奇术!$A:$ZZ,16,FALSE)+SUM(_xlfn.XLOOKUP($S141:$AL141,增益!$A:$A,增益!$P:$P,0))</f>
        <v>0.27</v>
      </c>
      <c r="BO141" s="26">
        <f>MIN(IF(VLOOKUP($R141,武学奇术!$A:$ZZ,23,FALSE)=1,100%,$B$8),100%)</f>
        <v>0.981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0.846</v>
      </c>
      <c r="BQ141" s="26" cm="1">
        <f t="array" ref="BQ141">1+$B$13+VLOOKUP($R141,武学奇术!$A:$ZZ,18,FALSE)+SUM(_xlfn.XLOOKUP($S141:$AL141,增益!$A:$A,增益!$R:$R,0))</f>
        <v>2.06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0.0929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34"/>
        <v>0.829926</v>
      </c>
      <c r="BU141" s="26">
        <f t="shared" si="35"/>
        <v>0.0599391</v>
      </c>
      <c r="BV141" s="26">
        <f>IF(VLOOKUP($R141,武学奇术!$A:$ZZ,22,FALSE)=1,0,(1-$BO141))*(1-$BR141)</f>
        <v>0.0172349</v>
      </c>
      <c r="BW141" s="26" cm="1">
        <f t="array" ref="BW141">SUM(_xlfn.XLOOKUP($S141:$AL141,增益!$A:$A,增益!$W:$W,0))+$I$5</f>
        <v>0.11</v>
      </c>
      <c r="BX141" s="26" cm="1">
        <f t="array" ref="BX141">SUM(_xlfn.XLOOKUP($S141:$AL141,增益!$A:$A,增益!$X:$X,0))</f>
        <v>0</v>
      </c>
    </row>
    <row r="142" spans="11:76">
      <c r="K142">
        <f>$L142*VLOOKUP($R142,武学奇术!$A:$ZZ,31,FALSE)</f>
        <v>104138.376432922</v>
      </c>
      <c r="L142" s="38">
        <f t="shared" si="25"/>
        <v>99179.4061265925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</f>
        <v>99179.4061265925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</f>
        <v>72743.1904841608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</f>
        <v>48145.3427798993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</f>
        <v>42406.8407567165</v>
      </c>
      <c r="Q142" s="39">
        <v>1</v>
      </c>
      <c r="R142" s="40" t="s">
        <v>132</v>
      </c>
      <c r="S142" s="40" t="s">
        <v>116</v>
      </c>
      <c r="T142" s="40" t="s">
        <v>102</v>
      </c>
      <c r="U142" s="40" t="s">
        <v>79</v>
      </c>
      <c r="V142" s="40" t="s">
        <v>88</v>
      </c>
      <c r="W142" s="40" t="s">
        <v>181</v>
      </c>
      <c r="X142" s="40" t="s">
        <v>106</v>
      </c>
      <c r="Y142" s="40" t="s">
        <v>78</v>
      </c>
      <c r="Z142" s="40" t="s">
        <v>185</v>
      </c>
      <c r="AA142" s="40" t="s">
        <v>78</v>
      </c>
      <c r="AB142" s="40" t="s">
        <v>133</v>
      </c>
      <c r="AC142" s="40" t="s">
        <v>78</v>
      </c>
      <c r="AD142" s="40" t="s">
        <v>78</v>
      </c>
      <c r="AE142" s="40" t="s">
        <v>78</v>
      </c>
      <c r="AF142" s="40" t="s">
        <v>78</v>
      </c>
      <c r="AG142" s="40" t="s">
        <v>85</v>
      </c>
      <c r="AH142" s="40" t="s">
        <v>78</v>
      </c>
      <c r="AI142" s="40" t="s">
        <v>78</v>
      </c>
      <c r="AJ142" s="40" t="s">
        <v>78</v>
      </c>
      <c r="AK142" s="40" t="s">
        <v>78</v>
      </c>
      <c r="AL142" s="40" t="s">
        <v>78</v>
      </c>
      <c r="AM142" t="str">
        <f>VLOOKUP($R142,武学奇术!$A:$ZZ,25,FALSE)</f>
        <v>伞</v>
      </c>
      <c r="AN142" s="26">
        <f>VLOOKUP($R142,武学奇术!$A:$ZZ,26,FALSE)</f>
        <v>1.8084</v>
      </c>
      <c r="AO142" s="27">
        <f>VLOOKUP($R142,武学奇术!$A:$ZZ,27,FALSE)*(1+IF(OR($AM142=$F$4,$AM142=$F$5),$B$22,0))</f>
        <v>750</v>
      </c>
      <c r="AP142" s="26">
        <f>VLOOKUP($R142,武学奇术!$A:$ZZ,28,FALSE)</f>
        <v>2.7126</v>
      </c>
      <c r="AQ142" s="27">
        <f>VLOOKUP($R142,武学奇术!$A:$ZZ,29,FALSE)*(1+IF(OR($AM142=$F$4,$AM142=$F$5),$B$22,0))</f>
        <v>408</v>
      </c>
      <c r="AR142" s="26" cm="1">
        <f t="array" ref="AR142">$G$3+IFERROR(VLOOKUP($AM142,$F$4:$G$7,2,FALSE),0)+VLOOKUP($R142,武学奇术!$A:$ZZ,2,FALSE)+SUM(_xlfn.XLOOKUP($S142:$AL142,增益!$A:$A,增益!$B:$B,0))</f>
        <v>0.9741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3574.6</v>
      </c>
      <c r="AU142" cm="1">
        <f t="array" ref="AU142">$E$10*(1+$AS142)+VLOOKUP($R142,武学奇术!$A:$ZZ,4,FALSE)+SUM(_xlfn.XLOOKUP($S142:$AL142,增益!$A:$A,增益!$D:$D,0))-$I$2</f>
        <v>3574.6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0.2925</v>
      </c>
      <c r="AW142" s="32" cm="1">
        <f t="array" ref="AW142">$G$10+VLOOKUP($R142,武学奇术!$A:$ZZ,7,FALSE)+SUM(_xlfn.XLOOKUP($S142:$AL142,增益!$A:$A,增益!$G:$G,0))</f>
        <v>0.148</v>
      </c>
      <c r="AX142" s="26" cm="1">
        <f t="array" ref="AX142">VLOOKUP($R142,武学奇术!$A:$ZZ,8,FALSE)+SUM(_xlfn.XLOOKUP($S142:$AL142,增益!$A:$A,增益!$H:$H,0))</f>
        <v>0</v>
      </c>
      <c r="AY142">
        <f t="shared" si="26"/>
        <v>0</v>
      </c>
      <c r="AZ142">
        <f t="shared" si="27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2" cm="1">
        <f t="array" ref="BB142">$G$11+VLOOKUP($R142,武学奇术!$A:$ZZ,10,FALSE)+SUM(_xlfn.XLOOKUP($S142:$AL142,增益!$A:$A,增益!$J:$J,0))</f>
        <v>0</v>
      </c>
      <c r="BC142">
        <f t="shared" si="28"/>
        <v>0</v>
      </c>
      <c r="BD142">
        <f t="shared" si="29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-0.3</v>
      </c>
      <c r="BF142" s="32" cm="1">
        <f t="array" ref="BF142">$G$12+VLOOKUP($R142,武学奇术!$A:$ZZ,12,FALSE)+SUM(_xlfn.XLOOKUP($S142:$AL142,增益!$A:$A,增益!$L:$L,0))</f>
        <v>0</v>
      </c>
      <c r="BG142">
        <f t="shared" si="30"/>
        <v>0</v>
      </c>
      <c r="BH142">
        <f t="shared" si="31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2" cm="1">
        <f t="array" ref="BJ142">$G$13+VLOOKUP($R142,武学奇术!$A:$ZZ,14,FALSE)+SUM(_xlfn.XLOOKUP($S142:$AL142,增益!$A:$A,增益!$N:$N,0))</f>
        <v>0</v>
      </c>
      <c r="BK142">
        <f t="shared" si="32"/>
        <v>571.2</v>
      </c>
      <c r="BL142">
        <f t="shared" si="33"/>
        <v>1627.8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</v>
      </c>
      <c r="BN142" s="32" cm="1">
        <f t="array" ref="BN142">$G$14+VLOOKUP($R142,武学奇术!$A:$ZZ,16,FALSE)+SUM(_xlfn.XLOOKUP($S142:$AL142,增益!$A:$A,增益!$P:$P,0))</f>
        <v>0.27</v>
      </c>
      <c r="BO142" s="26">
        <f>MIN(IF(VLOOKUP($R142,武学奇术!$A:$ZZ,23,FALSE)=1,100%,$B$8),100%)</f>
        <v>1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1</v>
      </c>
      <c r="BQ142" s="26" cm="1">
        <f t="array" ref="BQ142">1+$B$13+VLOOKUP($R142,武学奇术!$A:$ZZ,18,FALSE)+SUM(_xlfn.XLOOKUP($S142:$AL142,增益!$A:$A,增益!$R:$R,0))</f>
        <v>2.06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34"/>
        <v>1</v>
      </c>
      <c r="BU142" s="26">
        <f t="shared" si="35"/>
        <v>0</v>
      </c>
      <c r="BV142" s="26">
        <f>IF(VLOOKUP($R142,武学奇术!$A:$ZZ,22,FALSE)=1,0,(1-$BO142))*(1-$BR142)</f>
        <v>0</v>
      </c>
      <c r="BW142" s="26" cm="1">
        <f t="array" ref="BW142">SUM(_xlfn.XLOOKUP($S142:$AL142,增益!$A:$A,增益!$W:$W,0))+$I$5</f>
        <v>0.21</v>
      </c>
      <c r="BX142" s="26" cm="1">
        <f t="array" ref="BX142">SUM(_xlfn.XLOOKUP($S142:$AL142,增益!$A:$A,增益!$X:$X,0))</f>
        <v>0</v>
      </c>
    </row>
    <row r="143" spans="11:76">
      <c r="K143">
        <f>$L143*VLOOKUP($R143,武学奇术!$A:$ZZ,31,FALSE)</f>
        <v>60015.4353032089</v>
      </c>
      <c r="L143" s="38">
        <f t="shared" si="25"/>
        <v>57157.5574316276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</f>
        <v>57157.5574316276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</f>
        <v>42552.9480813733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</f>
        <v>27746.3871027318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</f>
        <v>23972.0719229649</v>
      </c>
      <c r="Q143" s="39">
        <v>2</v>
      </c>
      <c r="R143" s="40" t="s">
        <v>139</v>
      </c>
      <c r="S143" s="40" t="s">
        <v>116</v>
      </c>
      <c r="T143" s="40" t="s">
        <v>102</v>
      </c>
      <c r="U143" s="40" t="s">
        <v>79</v>
      </c>
      <c r="V143" s="40" t="s">
        <v>88</v>
      </c>
      <c r="W143" s="40" t="s">
        <v>181</v>
      </c>
      <c r="X143" s="40" t="s">
        <v>106</v>
      </c>
      <c r="Y143" s="40" t="s">
        <v>78</v>
      </c>
      <c r="Z143" s="40" t="s">
        <v>185</v>
      </c>
      <c r="AA143" s="40" t="s">
        <v>78</v>
      </c>
      <c r="AB143" s="40" t="s">
        <v>133</v>
      </c>
      <c r="AC143" s="40" t="s">
        <v>78</v>
      </c>
      <c r="AD143" s="40" t="s">
        <v>78</v>
      </c>
      <c r="AE143" s="40" t="s">
        <v>78</v>
      </c>
      <c r="AF143" s="40" t="s">
        <v>78</v>
      </c>
      <c r="AG143" s="40" t="s">
        <v>85</v>
      </c>
      <c r="AH143" s="40" t="s">
        <v>78</v>
      </c>
      <c r="AI143" s="40" t="s">
        <v>78</v>
      </c>
      <c r="AJ143" s="40" t="s">
        <v>78</v>
      </c>
      <c r="AK143" s="40" t="s">
        <v>78</v>
      </c>
      <c r="AL143" s="40" t="s">
        <v>78</v>
      </c>
      <c r="AM143" t="str">
        <f>VLOOKUP($R143,武学奇术!$A:$ZZ,25,FALSE)</f>
        <v>伞</v>
      </c>
      <c r="AN143" s="26">
        <f>VLOOKUP($R143,武学奇术!$A:$ZZ,26,FALSE)</f>
        <v>0.54</v>
      </c>
      <c r="AO143" s="27">
        <f>VLOOKUP($R143,武学奇术!$A:$ZZ,27,FALSE)*(1+IF(OR($AM143=$F$4,$AM143=$F$5),$B$22,0))</f>
        <v>0</v>
      </c>
      <c r="AP143" s="26">
        <f>VLOOKUP($R143,武学奇术!$A:$ZZ,28,FALSE)</f>
        <v>0.81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1.1741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3574.6</v>
      </c>
      <c r="AU143" cm="1">
        <f t="array" ref="AU143">$E$10*(1+$AS143)+VLOOKUP($R143,武学奇术!$A:$ZZ,4,FALSE)+SUM(_xlfn.XLOOKUP($S143:$AL143,增益!$A:$A,增益!$D:$D,0))-$I$2</f>
        <v>3574.6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0.2925</v>
      </c>
      <c r="AW143" s="32" cm="1">
        <f t="array" ref="AW143">$G$10+VLOOKUP($R143,武学奇术!$A:$ZZ,7,FALSE)+SUM(_xlfn.XLOOKUP($S143:$AL143,增益!$A:$A,增益!$G:$G,0))</f>
        <v>0.148</v>
      </c>
      <c r="AX143" s="26" cm="1">
        <f t="array" ref="AX143">VLOOKUP($R143,武学奇术!$A:$ZZ,8,FALSE)+SUM(_xlfn.XLOOKUP($S143:$AL143,增益!$A:$A,增益!$H:$H,0))</f>
        <v>0</v>
      </c>
      <c r="AY143">
        <f t="shared" si="26"/>
        <v>0</v>
      </c>
      <c r="AZ143">
        <f t="shared" si="27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2" cm="1">
        <f t="array" ref="BB143">$G$11+VLOOKUP($R143,武学奇术!$A:$ZZ,10,FALSE)+SUM(_xlfn.XLOOKUP($S143:$AL143,增益!$A:$A,增益!$J:$J,0))</f>
        <v>0</v>
      </c>
      <c r="BC143">
        <f t="shared" si="28"/>
        <v>0</v>
      </c>
      <c r="BD143">
        <f t="shared" si="29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-0.3</v>
      </c>
      <c r="BF143" s="32" cm="1">
        <f t="array" ref="BF143">$G$12+VLOOKUP($R143,武学奇术!$A:$ZZ,12,FALSE)+SUM(_xlfn.XLOOKUP($S143:$AL143,增益!$A:$A,增益!$L:$L,0))</f>
        <v>0</v>
      </c>
      <c r="BG143">
        <f t="shared" si="30"/>
        <v>0</v>
      </c>
      <c r="BH143">
        <f t="shared" si="31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2" cm="1">
        <f t="array" ref="BJ143">$G$13+VLOOKUP($R143,武学奇术!$A:$ZZ,14,FALSE)+SUM(_xlfn.XLOOKUP($S143:$AL143,增益!$A:$A,增益!$N:$N,0))</f>
        <v>0</v>
      </c>
      <c r="BK143">
        <f t="shared" si="32"/>
        <v>571.2</v>
      </c>
      <c r="BL143">
        <f t="shared" si="33"/>
        <v>1627.8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</v>
      </c>
      <c r="BN143" s="32" cm="1">
        <f t="array" ref="BN143">$G$14+VLOOKUP($R143,武学奇术!$A:$ZZ,16,FALSE)+SUM(_xlfn.XLOOKUP($S143:$AL143,增益!$A:$A,增益!$P:$P,0))</f>
        <v>0.27</v>
      </c>
      <c r="BO143" s="26">
        <f>MIN(IF(VLOOKUP($R143,武学奇术!$A:$ZZ,23,FALSE)=1,100%,$B$8),100%)</f>
        <v>1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1</v>
      </c>
      <c r="BQ143" s="26" cm="1">
        <f t="array" ref="BQ143">1+$B$13+VLOOKUP($R143,武学奇术!$A:$ZZ,18,FALSE)+SUM(_xlfn.XLOOKUP($S143:$AL143,增益!$A:$A,增益!$R:$R,0))</f>
        <v>2.06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34"/>
        <v>1</v>
      </c>
      <c r="BU143" s="26">
        <f t="shared" si="35"/>
        <v>0</v>
      </c>
      <c r="BV143" s="26">
        <f>IF(VLOOKUP($R143,武学奇术!$A:$ZZ,22,FALSE)=1,0,(1-$BO143))*(1-$BR143)</f>
        <v>0</v>
      </c>
      <c r="BW143" s="26" cm="1">
        <f t="array" ref="BW143">SUM(_xlfn.XLOOKUP($S143:$AL143,增益!$A:$A,增益!$W:$W,0))+$I$5</f>
        <v>0.21</v>
      </c>
      <c r="BX143" s="26" cm="1">
        <f t="array" ref="BX143">SUM(_xlfn.XLOOKUP($S143:$AL143,增益!$A:$A,增益!$X:$X,0))</f>
        <v>0</v>
      </c>
    </row>
    <row r="144" spans="11:76">
      <c r="K144">
        <f>$L144*VLOOKUP($R144,武学奇术!$A:$ZZ,31,FALSE)</f>
        <v>87460.6587869759</v>
      </c>
      <c r="L144" s="38">
        <f t="shared" si="25"/>
        <v>83295.8655114056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</f>
        <v>89131.3430977092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</f>
        <v>65373.4330773262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</f>
        <v>43267.6422804414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</f>
        <v>38110.5193184189</v>
      </c>
      <c r="Q144" s="39">
        <v>1</v>
      </c>
      <c r="R144" s="40" t="s">
        <v>115</v>
      </c>
      <c r="S144" s="40" t="s">
        <v>116</v>
      </c>
      <c r="T144" s="40" t="s">
        <v>102</v>
      </c>
      <c r="U144" s="40" t="s">
        <v>79</v>
      </c>
      <c r="V144" s="40" t="s">
        <v>88</v>
      </c>
      <c r="W144" s="40" t="s">
        <v>181</v>
      </c>
      <c r="X144" s="40" t="s">
        <v>106</v>
      </c>
      <c r="Y144" s="40" t="s">
        <v>78</v>
      </c>
      <c r="Z144" s="40" t="s">
        <v>185</v>
      </c>
      <c r="AA144" s="40" t="s">
        <v>78</v>
      </c>
      <c r="AB144" s="40" t="s">
        <v>133</v>
      </c>
      <c r="AC144" s="40" t="s">
        <v>78</v>
      </c>
      <c r="AD144" s="40" t="s">
        <v>187</v>
      </c>
      <c r="AE144" s="40" t="s">
        <v>78</v>
      </c>
      <c r="AF144" s="40" t="s">
        <v>78</v>
      </c>
      <c r="AG144" s="40" t="s">
        <v>85</v>
      </c>
      <c r="AH144" s="40" t="s">
        <v>78</v>
      </c>
      <c r="AI144" s="40" t="s">
        <v>78</v>
      </c>
      <c r="AJ144" s="40" t="s">
        <v>78</v>
      </c>
      <c r="AK144" s="40" t="s">
        <v>78</v>
      </c>
      <c r="AL144" s="40" t="s">
        <v>78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750</v>
      </c>
      <c r="AP144" s="26">
        <f>VLOOKUP($R144,武学奇术!$A:$ZZ,28,FALSE)</f>
        <v>2.7126</v>
      </c>
      <c r="AQ144" s="27">
        <f>VLOOKUP($R144,武学奇术!$A:$ZZ,29,FALSE)*(1+IF(OR($AM144=$F$4,$AM144=$F$5),$B$22,0))</f>
        <v>408</v>
      </c>
      <c r="AR144" s="26" cm="1">
        <f t="array" ref="AR144">$G$3+IFERROR(VLOOKUP($AM144,$F$4:$G$7,2,FALSE),0)+VLOOKUP($R144,武学奇术!$A:$ZZ,2,FALSE)+SUM(_xlfn.XLOOKUP($S144:$AL144,增益!$A:$A,增益!$B:$B,0))</f>
        <v>0.7741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3574.6</v>
      </c>
      <c r="AU144" cm="1">
        <f t="array" ref="AU144">$E$10*(1+$AS144)+VLOOKUP($R144,武学奇术!$A:$ZZ,4,FALSE)+SUM(_xlfn.XLOOKUP($S144:$AL144,增益!$A:$A,增益!$D:$D,0))-$I$2</f>
        <v>3574.6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0.2925</v>
      </c>
      <c r="AW144" s="32" cm="1">
        <f t="array" ref="AW144">$G$10+VLOOKUP($R144,武学奇术!$A:$ZZ,7,FALSE)+SUM(_xlfn.XLOOKUP($S144:$AL144,增益!$A:$A,增益!$G:$G,0))</f>
        <v>0.148</v>
      </c>
      <c r="AX144" s="26" cm="1">
        <f t="array" ref="AX144">VLOOKUP($R144,武学奇术!$A:$ZZ,8,FALSE)+SUM(_xlfn.XLOOKUP($S144:$AL144,增益!$A:$A,增益!$H:$H,0))</f>
        <v>0</v>
      </c>
      <c r="AY144">
        <f t="shared" si="26"/>
        <v>0</v>
      </c>
      <c r="AZ144">
        <f t="shared" si="27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2" cm="1">
        <f t="array" ref="BB144">$G$11+VLOOKUP($R144,武学奇术!$A:$ZZ,10,FALSE)+SUM(_xlfn.XLOOKUP($S144:$AL144,增益!$A:$A,增益!$J:$J,0))</f>
        <v>0</v>
      </c>
      <c r="BC144">
        <f t="shared" si="28"/>
        <v>0</v>
      </c>
      <c r="BD144">
        <f t="shared" si="29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2" cm="1">
        <f t="array" ref="BF144">$G$12+VLOOKUP($R144,武学奇术!$A:$ZZ,12,FALSE)+SUM(_xlfn.XLOOKUP($S144:$AL144,增益!$A:$A,增益!$L:$L,0))</f>
        <v>0</v>
      </c>
      <c r="BG144">
        <f t="shared" si="30"/>
        <v>0</v>
      </c>
      <c r="BH144">
        <f t="shared" si="31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2" cm="1">
        <f t="array" ref="BJ144">$G$13+VLOOKUP($R144,武学奇术!$A:$ZZ,14,FALSE)+SUM(_xlfn.XLOOKUP($S144:$AL144,增益!$A:$A,增益!$N:$N,0))</f>
        <v>0</v>
      </c>
      <c r="BK144">
        <f t="shared" si="32"/>
        <v>571.2</v>
      </c>
      <c r="BL144">
        <f t="shared" si="33"/>
        <v>1627.8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2" cm="1">
        <f t="array" ref="BN144">$G$14+VLOOKUP($R144,武学奇术!$A:$ZZ,16,FALSE)+SUM(_xlfn.XLOOKUP($S144:$AL144,增益!$A:$A,增益!$P:$P,0))</f>
        <v>0.27</v>
      </c>
      <c r="BO144" s="26">
        <f>MIN(IF(VLOOKUP($R144,武学奇术!$A:$ZZ,23,FALSE)=1,100%,$B$8),100%)</f>
        <v>0.981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0.846</v>
      </c>
      <c r="BQ144" s="26" cm="1">
        <f t="array" ref="BQ144">1+$B$13+VLOOKUP($R144,武学奇术!$A:$ZZ,18,FALSE)+SUM(_xlfn.XLOOKUP($S144:$AL144,增益!$A:$A,增益!$R:$R,0))</f>
        <v>2.06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0.0929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34"/>
        <v>0.829926</v>
      </c>
      <c r="BU144" s="26">
        <f t="shared" si="35"/>
        <v>0.0599391</v>
      </c>
      <c r="BV144" s="26">
        <f>IF(VLOOKUP($R144,武学奇术!$A:$ZZ,22,FALSE)=1,0,(1-$BO144))*(1-$BR144)</f>
        <v>0.0172349</v>
      </c>
      <c r="BW144" s="26" cm="1">
        <f t="array" ref="BW144">SUM(_xlfn.XLOOKUP($S144:$AL144,增益!$A:$A,增益!$W:$W,0))+$I$5</f>
        <v>0.21</v>
      </c>
      <c r="BX144" s="26" cm="1">
        <f t="array" ref="BX144">SUM(_xlfn.XLOOKUP($S144:$AL144,增益!$A:$A,增益!$X:$X,0))</f>
        <v>0</v>
      </c>
    </row>
    <row r="145" spans="11:76">
      <c r="K145">
        <f>$L145*VLOOKUP($R145,武学奇术!$A:$ZZ,31,FALSE)</f>
        <v>50974.8919435011</v>
      </c>
      <c r="L145" s="38">
        <f t="shared" si="25"/>
        <v>48547.5161366677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</f>
        <v>51899.5143396237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</f>
        <v>38638.4135078603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</f>
        <v>25193.9389998173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</f>
        <v>21766.8309567752</v>
      </c>
      <c r="Q145" s="39">
        <v>2</v>
      </c>
      <c r="R145" s="40" t="s">
        <v>119</v>
      </c>
      <c r="S145" s="40" t="s">
        <v>116</v>
      </c>
      <c r="T145" s="40" t="s">
        <v>102</v>
      </c>
      <c r="U145" s="40" t="s">
        <v>79</v>
      </c>
      <c r="V145" s="40" t="s">
        <v>88</v>
      </c>
      <c r="W145" s="40" t="s">
        <v>181</v>
      </c>
      <c r="X145" s="40" t="s">
        <v>106</v>
      </c>
      <c r="Y145" s="40" t="s">
        <v>78</v>
      </c>
      <c r="Z145" s="40" t="s">
        <v>185</v>
      </c>
      <c r="AA145" s="40" t="s">
        <v>78</v>
      </c>
      <c r="AB145" s="40" t="s">
        <v>133</v>
      </c>
      <c r="AC145" s="40" t="s">
        <v>78</v>
      </c>
      <c r="AD145" s="40" t="s">
        <v>187</v>
      </c>
      <c r="AE145" s="40" t="s">
        <v>78</v>
      </c>
      <c r="AF145" s="40" t="s">
        <v>78</v>
      </c>
      <c r="AG145" s="40" t="s">
        <v>85</v>
      </c>
      <c r="AH145" s="40" t="s">
        <v>78</v>
      </c>
      <c r="AI145" s="40" t="s">
        <v>78</v>
      </c>
      <c r="AJ145" s="40" t="s">
        <v>78</v>
      </c>
      <c r="AK145" s="40" t="s">
        <v>78</v>
      </c>
      <c r="AL145" s="40" t="s">
        <v>78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0.9741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3574.6</v>
      </c>
      <c r="AU145" cm="1">
        <f t="array" ref="AU145">$E$10*(1+$AS145)+VLOOKUP($R145,武学奇术!$A:$ZZ,4,FALSE)+SUM(_xlfn.XLOOKUP($S145:$AL145,增益!$A:$A,增益!$D:$D,0))-$I$2</f>
        <v>3574.6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0.2925</v>
      </c>
      <c r="AW145" s="32" cm="1">
        <f t="array" ref="AW145">$G$10+VLOOKUP($R145,武学奇术!$A:$ZZ,7,FALSE)+SUM(_xlfn.XLOOKUP($S145:$AL145,增益!$A:$A,增益!$G:$G,0))</f>
        <v>0.148</v>
      </c>
      <c r="AX145" s="26" cm="1">
        <f t="array" ref="AX145">VLOOKUP($R145,武学奇术!$A:$ZZ,8,FALSE)+SUM(_xlfn.XLOOKUP($S145:$AL145,增益!$A:$A,增益!$H:$H,0))</f>
        <v>0</v>
      </c>
      <c r="AY145">
        <f t="shared" si="26"/>
        <v>0</v>
      </c>
      <c r="AZ145">
        <f t="shared" si="27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2" cm="1">
        <f t="array" ref="BB145">$G$11+VLOOKUP($R145,武学奇术!$A:$ZZ,10,FALSE)+SUM(_xlfn.XLOOKUP($S145:$AL145,增益!$A:$A,增益!$J:$J,0))</f>
        <v>0</v>
      </c>
      <c r="BC145">
        <f t="shared" si="28"/>
        <v>0</v>
      </c>
      <c r="BD145">
        <f t="shared" si="29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2" cm="1">
        <f t="array" ref="BF145">$G$12+VLOOKUP($R145,武学奇术!$A:$ZZ,12,FALSE)+SUM(_xlfn.XLOOKUP($S145:$AL145,增益!$A:$A,增益!$L:$L,0))</f>
        <v>0</v>
      </c>
      <c r="BG145">
        <f t="shared" si="30"/>
        <v>0</v>
      </c>
      <c r="BH145">
        <f t="shared" si="31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2" cm="1">
        <f t="array" ref="BJ145">$G$13+VLOOKUP($R145,武学奇术!$A:$ZZ,14,FALSE)+SUM(_xlfn.XLOOKUP($S145:$AL145,增益!$A:$A,增益!$N:$N,0))</f>
        <v>0</v>
      </c>
      <c r="BK145">
        <f t="shared" si="32"/>
        <v>571.2</v>
      </c>
      <c r="BL145">
        <f t="shared" si="33"/>
        <v>1627.8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2" cm="1">
        <f t="array" ref="BN145">$G$14+VLOOKUP($R145,武学奇术!$A:$ZZ,16,FALSE)+SUM(_xlfn.XLOOKUP($S145:$AL145,增益!$A:$A,增益!$P:$P,0))</f>
        <v>0.27</v>
      </c>
      <c r="BO145" s="26">
        <f>MIN(IF(VLOOKUP($R145,武学奇术!$A:$ZZ,23,FALSE)=1,100%,$B$8),100%)</f>
        <v>0.981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0.846</v>
      </c>
      <c r="BQ145" s="26" cm="1">
        <f t="array" ref="BQ145">1+$B$13+VLOOKUP($R145,武学奇术!$A:$ZZ,18,FALSE)+SUM(_xlfn.XLOOKUP($S145:$AL145,增益!$A:$A,增益!$R:$R,0))</f>
        <v>2.06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0.0929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34"/>
        <v>0.829926</v>
      </c>
      <c r="BU145" s="26">
        <f t="shared" si="35"/>
        <v>0.0599391</v>
      </c>
      <c r="BV145" s="26">
        <f>IF(VLOOKUP($R145,武学奇术!$A:$ZZ,22,FALSE)=1,0,(1-$BO145))*(1-$BR145)</f>
        <v>0.0172349</v>
      </c>
      <c r="BW145" s="26" cm="1">
        <f t="array" ref="BW145">SUM(_xlfn.XLOOKUP($S145:$AL145,增益!$A:$A,增益!$W:$W,0))+$I$5</f>
        <v>0.21</v>
      </c>
      <c r="BX145" s="26" cm="1">
        <f t="array" ref="BX145">SUM(_xlfn.XLOOKUP($S145:$AL145,增益!$A:$A,增益!$X:$X,0))</f>
        <v>0</v>
      </c>
    </row>
    <row r="146" spans="11:76">
      <c r="K146">
        <f>$L146*VLOOKUP($R146,武学奇术!$A:$ZZ,31,FALSE)</f>
        <v>104138.376432922</v>
      </c>
      <c r="L146" s="38">
        <f t="shared" si="25"/>
        <v>99179.4061265925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</f>
        <v>99179.4061265925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</f>
        <v>72743.1904841608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</f>
        <v>48145.3427798993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</f>
        <v>42406.8407567165</v>
      </c>
      <c r="Q146" s="39">
        <v>1</v>
      </c>
      <c r="R146" s="40" t="s">
        <v>132</v>
      </c>
      <c r="S146" s="40" t="s">
        <v>116</v>
      </c>
      <c r="T146" s="40" t="s">
        <v>102</v>
      </c>
      <c r="U146" s="40" t="s">
        <v>79</v>
      </c>
      <c r="V146" s="40" t="s">
        <v>88</v>
      </c>
      <c r="W146" s="40" t="s">
        <v>181</v>
      </c>
      <c r="X146" s="40" t="s">
        <v>106</v>
      </c>
      <c r="Y146" s="40" t="s">
        <v>78</v>
      </c>
      <c r="Z146" s="40" t="s">
        <v>185</v>
      </c>
      <c r="AA146" s="40" t="s">
        <v>78</v>
      </c>
      <c r="AB146" s="40" t="s">
        <v>133</v>
      </c>
      <c r="AC146" s="40" t="s">
        <v>78</v>
      </c>
      <c r="AD146" s="40" t="s">
        <v>187</v>
      </c>
      <c r="AE146" s="40" t="s">
        <v>78</v>
      </c>
      <c r="AF146" s="40" t="s">
        <v>78</v>
      </c>
      <c r="AG146" s="40" t="s">
        <v>85</v>
      </c>
      <c r="AH146" s="40" t="s">
        <v>78</v>
      </c>
      <c r="AI146" s="40" t="s">
        <v>78</v>
      </c>
      <c r="AJ146" s="40" t="s">
        <v>78</v>
      </c>
      <c r="AK146" s="40" t="s">
        <v>78</v>
      </c>
      <c r="AL146" s="40" t="s">
        <v>78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750</v>
      </c>
      <c r="AP146" s="26">
        <f>VLOOKUP($R146,武学奇术!$A:$ZZ,28,FALSE)</f>
        <v>2.7126</v>
      </c>
      <c r="AQ146" s="27">
        <f>VLOOKUP($R146,武学奇术!$A:$ZZ,29,FALSE)*(1+IF(OR($AM146=$F$4,$AM146=$F$5),$B$22,0))</f>
        <v>408</v>
      </c>
      <c r="AR146" s="26" cm="1">
        <f t="array" ref="AR146">$G$3+IFERROR(VLOOKUP($AM146,$F$4:$G$7,2,FALSE),0)+VLOOKUP($R146,武学奇术!$A:$ZZ,2,FALSE)+SUM(_xlfn.XLOOKUP($S146:$AL146,增益!$A:$A,增益!$B:$B,0))</f>
        <v>0.9741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3574.6</v>
      </c>
      <c r="AU146" cm="1">
        <f t="array" ref="AU146">$E$10*(1+$AS146)+VLOOKUP($R146,武学奇术!$A:$ZZ,4,FALSE)+SUM(_xlfn.XLOOKUP($S146:$AL146,增益!$A:$A,增益!$D:$D,0))-$I$2</f>
        <v>3574.6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0.2925</v>
      </c>
      <c r="AW146" s="32" cm="1">
        <f t="array" ref="AW146">$G$10+VLOOKUP($R146,武学奇术!$A:$ZZ,7,FALSE)+SUM(_xlfn.XLOOKUP($S146:$AL146,增益!$A:$A,增益!$G:$G,0))</f>
        <v>0.148</v>
      </c>
      <c r="AX146" s="26" cm="1">
        <f t="array" ref="AX146">VLOOKUP($R146,武学奇术!$A:$ZZ,8,FALSE)+SUM(_xlfn.XLOOKUP($S146:$AL146,增益!$A:$A,增益!$H:$H,0))</f>
        <v>0</v>
      </c>
      <c r="AY146">
        <f t="shared" si="26"/>
        <v>0</v>
      </c>
      <c r="AZ146">
        <f t="shared" si="27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2" cm="1">
        <f t="array" ref="BB146">$G$11+VLOOKUP($R146,武学奇术!$A:$ZZ,10,FALSE)+SUM(_xlfn.XLOOKUP($S146:$AL146,增益!$A:$A,增益!$J:$J,0))</f>
        <v>0</v>
      </c>
      <c r="BC146">
        <f t="shared" si="28"/>
        <v>0</v>
      </c>
      <c r="BD146">
        <f t="shared" si="29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-0.3</v>
      </c>
      <c r="BF146" s="32" cm="1">
        <f t="array" ref="BF146">$G$12+VLOOKUP($R146,武学奇术!$A:$ZZ,12,FALSE)+SUM(_xlfn.XLOOKUP($S146:$AL146,增益!$A:$A,增益!$L:$L,0))</f>
        <v>0</v>
      </c>
      <c r="BG146">
        <f t="shared" si="30"/>
        <v>0</v>
      </c>
      <c r="BH146">
        <f t="shared" si="31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2" cm="1">
        <f t="array" ref="BJ146">$G$13+VLOOKUP($R146,武学奇术!$A:$ZZ,14,FALSE)+SUM(_xlfn.XLOOKUP($S146:$AL146,增益!$A:$A,增益!$N:$N,0))</f>
        <v>0</v>
      </c>
      <c r="BK146">
        <f t="shared" si="32"/>
        <v>571.2</v>
      </c>
      <c r="BL146">
        <f t="shared" si="33"/>
        <v>1627.8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</v>
      </c>
      <c r="BN146" s="32" cm="1">
        <f t="array" ref="BN146">$G$14+VLOOKUP($R146,武学奇术!$A:$ZZ,16,FALSE)+SUM(_xlfn.XLOOKUP($S146:$AL146,增益!$A:$A,增益!$P:$P,0))</f>
        <v>0.27</v>
      </c>
      <c r="BO146" s="26">
        <f>MIN(IF(VLOOKUP($R146,武学奇术!$A:$ZZ,23,FALSE)=1,100%,$B$8),100%)</f>
        <v>1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1</v>
      </c>
      <c r="BQ146" s="26" cm="1">
        <f t="array" ref="BQ146">1+$B$13+VLOOKUP($R146,武学奇术!$A:$ZZ,18,FALSE)+SUM(_xlfn.XLOOKUP($S146:$AL146,增益!$A:$A,增益!$R:$R,0))</f>
        <v>2.06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34"/>
        <v>1</v>
      </c>
      <c r="BU146" s="26">
        <f t="shared" si="35"/>
        <v>0</v>
      </c>
      <c r="BV146" s="26">
        <f>IF(VLOOKUP($R146,武学奇术!$A:$ZZ,22,FALSE)=1,0,(1-$BO146))*(1-$BR146)</f>
        <v>0</v>
      </c>
      <c r="BW146" s="26" cm="1">
        <f t="array" ref="BW146">SUM(_xlfn.XLOOKUP($S146:$AL146,增益!$A:$A,增益!$W:$W,0))+$I$5</f>
        <v>0.21</v>
      </c>
      <c r="BX146" s="26" cm="1">
        <f t="array" ref="BX146">SUM(_xlfn.XLOOKUP($S146:$AL146,增益!$A:$A,增益!$X:$X,0))</f>
        <v>0</v>
      </c>
    </row>
    <row r="147" spans="11:76">
      <c r="K147">
        <f>$L147*VLOOKUP($R147,武学奇术!$A:$ZZ,31,FALSE)</f>
        <v>60015.4353032089</v>
      </c>
      <c r="L147" s="38">
        <f t="shared" si="25"/>
        <v>57157.5574316276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</f>
        <v>57157.5574316276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</f>
        <v>42552.9480813733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</f>
        <v>27746.3871027318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</f>
        <v>23972.0719229649</v>
      </c>
      <c r="Q147" s="39">
        <v>2</v>
      </c>
      <c r="R147" s="40" t="s">
        <v>139</v>
      </c>
      <c r="S147" s="40" t="s">
        <v>116</v>
      </c>
      <c r="T147" s="40" t="s">
        <v>102</v>
      </c>
      <c r="U147" s="40" t="s">
        <v>79</v>
      </c>
      <c r="V147" s="40" t="s">
        <v>88</v>
      </c>
      <c r="W147" s="40" t="s">
        <v>181</v>
      </c>
      <c r="X147" s="40" t="s">
        <v>106</v>
      </c>
      <c r="Y147" s="40" t="s">
        <v>78</v>
      </c>
      <c r="Z147" s="40" t="s">
        <v>185</v>
      </c>
      <c r="AA147" s="40" t="s">
        <v>78</v>
      </c>
      <c r="AB147" s="40" t="s">
        <v>133</v>
      </c>
      <c r="AC147" s="40" t="s">
        <v>78</v>
      </c>
      <c r="AD147" s="40" t="s">
        <v>187</v>
      </c>
      <c r="AE147" s="40" t="s">
        <v>78</v>
      </c>
      <c r="AF147" s="40" t="s">
        <v>78</v>
      </c>
      <c r="AG147" s="40" t="s">
        <v>85</v>
      </c>
      <c r="AH147" s="40" t="s">
        <v>78</v>
      </c>
      <c r="AI147" s="40" t="s">
        <v>78</v>
      </c>
      <c r="AJ147" s="40" t="s">
        <v>78</v>
      </c>
      <c r="AK147" s="40" t="s">
        <v>78</v>
      </c>
      <c r="AL147" s="40" t="s">
        <v>78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1.1741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3574.6</v>
      </c>
      <c r="AU147" cm="1">
        <f t="array" ref="AU147">$E$10*(1+$AS147)+VLOOKUP($R147,武学奇术!$A:$ZZ,4,FALSE)+SUM(_xlfn.XLOOKUP($S147:$AL147,增益!$A:$A,增益!$D:$D,0))-$I$2</f>
        <v>3574.6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0.2925</v>
      </c>
      <c r="AW147" s="32" cm="1">
        <f t="array" ref="AW147">$G$10+VLOOKUP($R147,武学奇术!$A:$ZZ,7,FALSE)+SUM(_xlfn.XLOOKUP($S147:$AL147,增益!$A:$A,增益!$G:$G,0))</f>
        <v>0.148</v>
      </c>
      <c r="AX147" s="26" cm="1">
        <f t="array" ref="AX147">VLOOKUP($R147,武学奇术!$A:$ZZ,8,FALSE)+SUM(_xlfn.XLOOKUP($S147:$AL147,增益!$A:$A,增益!$H:$H,0))</f>
        <v>0</v>
      </c>
      <c r="AY147">
        <f t="shared" si="26"/>
        <v>0</v>
      </c>
      <c r="AZ147">
        <f t="shared" si="27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2" cm="1">
        <f t="array" ref="BB147">$G$11+VLOOKUP($R147,武学奇术!$A:$ZZ,10,FALSE)+SUM(_xlfn.XLOOKUP($S147:$AL147,增益!$A:$A,增益!$J:$J,0))</f>
        <v>0</v>
      </c>
      <c r="BC147">
        <f t="shared" si="28"/>
        <v>0</v>
      </c>
      <c r="BD147">
        <f t="shared" si="29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-0.3</v>
      </c>
      <c r="BF147" s="32" cm="1">
        <f t="array" ref="BF147">$G$12+VLOOKUP($R147,武学奇术!$A:$ZZ,12,FALSE)+SUM(_xlfn.XLOOKUP($S147:$AL147,增益!$A:$A,增益!$L:$L,0))</f>
        <v>0</v>
      </c>
      <c r="BG147">
        <f t="shared" si="30"/>
        <v>0</v>
      </c>
      <c r="BH147">
        <f t="shared" si="31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2" cm="1">
        <f t="array" ref="BJ147">$G$13+VLOOKUP($R147,武学奇术!$A:$ZZ,14,FALSE)+SUM(_xlfn.XLOOKUP($S147:$AL147,增益!$A:$A,增益!$N:$N,0))</f>
        <v>0</v>
      </c>
      <c r="BK147">
        <f t="shared" si="32"/>
        <v>571.2</v>
      </c>
      <c r="BL147">
        <f t="shared" si="33"/>
        <v>1627.8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</v>
      </c>
      <c r="BN147" s="32" cm="1">
        <f t="array" ref="BN147">$G$14+VLOOKUP($R147,武学奇术!$A:$ZZ,16,FALSE)+SUM(_xlfn.XLOOKUP($S147:$AL147,增益!$A:$A,增益!$P:$P,0))</f>
        <v>0.27</v>
      </c>
      <c r="BO147" s="26">
        <f>MIN(IF(VLOOKUP($R147,武学奇术!$A:$ZZ,23,FALSE)=1,100%,$B$8),100%)</f>
        <v>1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1</v>
      </c>
      <c r="BQ147" s="26" cm="1">
        <f t="array" ref="BQ147">1+$B$13+VLOOKUP($R147,武学奇术!$A:$ZZ,18,FALSE)+SUM(_xlfn.XLOOKUP($S147:$AL147,增益!$A:$A,增益!$R:$R,0))</f>
        <v>2.06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34"/>
        <v>1</v>
      </c>
      <c r="BU147" s="26">
        <f t="shared" si="35"/>
        <v>0</v>
      </c>
      <c r="BV147" s="26">
        <f>IF(VLOOKUP($R147,武学奇术!$A:$ZZ,22,FALSE)=1,0,(1-$BO147))*(1-$BR147)</f>
        <v>0</v>
      </c>
      <c r="BW147" s="26" cm="1">
        <f t="array" ref="BW147">SUM(_xlfn.XLOOKUP($S147:$AL147,增益!$A:$A,增益!$W:$W,0))+$I$5</f>
        <v>0.21</v>
      </c>
      <c r="BX147" s="26" cm="1">
        <f t="array" ref="BX147">SUM(_xlfn.XLOOKUP($S147:$AL147,增益!$A:$A,增益!$X:$X,0))</f>
        <v>0</v>
      </c>
    </row>
    <row r="148" spans="11:76">
      <c r="K148">
        <f>$L148*VLOOKUP($R148,武学奇术!$A:$ZZ,31,FALSE)</f>
        <v>87460.6587869759</v>
      </c>
      <c r="L148" s="38">
        <f t="shared" si="25"/>
        <v>83295.8655114056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</f>
        <v>89131.3430977092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</f>
        <v>65373.4330773262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</f>
        <v>43267.6422804414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</f>
        <v>38110.5193184189</v>
      </c>
      <c r="Q148" s="39">
        <v>1</v>
      </c>
      <c r="R148" s="40" t="s">
        <v>115</v>
      </c>
      <c r="S148" s="40" t="s">
        <v>116</v>
      </c>
      <c r="T148" s="40" t="s">
        <v>102</v>
      </c>
      <c r="U148" s="40" t="s">
        <v>79</v>
      </c>
      <c r="V148" s="40" t="s">
        <v>88</v>
      </c>
      <c r="W148" s="40" t="s">
        <v>181</v>
      </c>
      <c r="X148" s="40" t="s">
        <v>106</v>
      </c>
      <c r="Y148" s="40" t="s">
        <v>78</v>
      </c>
      <c r="Z148" s="40" t="s">
        <v>185</v>
      </c>
      <c r="AA148" s="40" t="s">
        <v>78</v>
      </c>
      <c r="AB148" s="40" t="s">
        <v>133</v>
      </c>
      <c r="AC148" s="40" t="s">
        <v>78</v>
      </c>
      <c r="AD148" s="40" t="s">
        <v>187</v>
      </c>
      <c r="AE148" s="40" t="s">
        <v>78</v>
      </c>
      <c r="AF148" s="40" t="s">
        <v>78</v>
      </c>
      <c r="AG148" s="40" t="s">
        <v>85</v>
      </c>
      <c r="AH148" s="40" t="s">
        <v>78</v>
      </c>
      <c r="AI148" s="40" t="s">
        <v>78</v>
      </c>
      <c r="AJ148" s="40" t="s">
        <v>78</v>
      </c>
      <c r="AK148" s="40" t="s">
        <v>78</v>
      </c>
      <c r="AL148" s="40" t="s">
        <v>78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750</v>
      </c>
      <c r="AP148" s="26">
        <f>VLOOKUP($R148,武学奇术!$A:$ZZ,28,FALSE)</f>
        <v>2.7126</v>
      </c>
      <c r="AQ148" s="27">
        <f>VLOOKUP($R148,武学奇术!$A:$ZZ,29,FALSE)*(1+IF(OR($AM148=$F$4,$AM148=$F$5),$B$22,0))</f>
        <v>408</v>
      </c>
      <c r="AR148" s="26" cm="1">
        <f t="array" ref="AR148">$G$3+IFERROR(VLOOKUP($AM148,$F$4:$G$7,2,FALSE),0)+VLOOKUP($R148,武学奇术!$A:$ZZ,2,FALSE)+SUM(_xlfn.XLOOKUP($S148:$AL148,增益!$A:$A,增益!$B:$B,0))</f>
        <v>0.7741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3574.6</v>
      </c>
      <c r="AU148" cm="1">
        <f t="array" ref="AU148">$E$10*(1+$AS148)+VLOOKUP($R148,武学奇术!$A:$ZZ,4,FALSE)+SUM(_xlfn.XLOOKUP($S148:$AL148,增益!$A:$A,增益!$D:$D,0))-$I$2</f>
        <v>3574.6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0.2925</v>
      </c>
      <c r="AW148" s="32" cm="1">
        <f t="array" ref="AW148">$G$10+VLOOKUP($R148,武学奇术!$A:$ZZ,7,FALSE)+SUM(_xlfn.XLOOKUP($S148:$AL148,增益!$A:$A,增益!$G:$G,0))</f>
        <v>0.148</v>
      </c>
      <c r="AX148" s="26" cm="1">
        <f t="array" ref="AX148">VLOOKUP($R148,武学奇术!$A:$ZZ,8,FALSE)+SUM(_xlfn.XLOOKUP($S148:$AL148,增益!$A:$A,增益!$H:$H,0))</f>
        <v>0</v>
      </c>
      <c r="AY148">
        <f t="shared" si="26"/>
        <v>0</v>
      </c>
      <c r="AZ148">
        <f t="shared" si="27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-0.3</v>
      </c>
      <c r="BB148" s="32" cm="1">
        <f t="array" ref="BB148">$G$11+VLOOKUP($R148,武学奇术!$A:$ZZ,10,FALSE)+SUM(_xlfn.XLOOKUP($S148:$AL148,增益!$A:$A,增益!$J:$J,0))</f>
        <v>0</v>
      </c>
      <c r="BC148">
        <f t="shared" si="28"/>
        <v>0</v>
      </c>
      <c r="BD148">
        <f t="shared" si="29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-0.3</v>
      </c>
      <c r="BF148" s="32" cm="1">
        <f t="array" ref="BF148">$G$12+VLOOKUP($R148,武学奇术!$A:$ZZ,12,FALSE)+SUM(_xlfn.XLOOKUP($S148:$AL148,增益!$A:$A,增益!$L:$L,0))</f>
        <v>0</v>
      </c>
      <c r="BG148">
        <f t="shared" si="30"/>
        <v>0</v>
      </c>
      <c r="BH148">
        <f t="shared" si="31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-0.3</v>
      </c>
      <c r="BJ148" s="32" cm="1">
        <f t="array" ref="BJ148">$G$13+VLOOKUP($R148,武学奇术!$A:$ZZ,14,FALSE)+SUM(_xlfn.XLOOKUP($S148:$AL148,增益!$A:$A,增益!$N:$N,0))</f>
        <v>0</v>
      </c>
      <c r="BK148">
        <f t="shared" si="32"/>
        <v>571.2</v>
      </c>
      <c r="BL148">
        <f t="shared" si="33"/>
        <v>1627.8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</v>
      </c>
      <c r="BN148" s="32" cm="1">
        <f t="array" ref="BN148">$G$14+VLOOKUP($R148,武学奇术!$A:$ZZ,16,FALSE)+SUM(_xlfn.XLOOKUP($S148:$AL148,增益!$A:$A,增益!$P:$P,0))</f>
        <v>0.27</v>
      </c>
      <c r="BO148" s="26">
        <f>MIN(IF(VLOOKUP($R148,武学奇术!$A:$ZZ,23,FALSE)=1,100%,$B$8),100%)</f>
        <v>0.981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0.846</v>
      </c>
      <c r="BQ148" s="26" cm="1">
        <f t="array" ref="BQ148">1+$B$13+VLOOKUP($R148,武学奇术!$A:$ZZ,18,FALSE)+SUM(_xlfn.XLOOKUP($S148:$AL148,增益!$A:$A,增益!$R:$R,0))</f>
        <v>2.06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0.0929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34"/>
        <v>0.829926</v>
      </c>
      <c r="BU148" s="26">
        <f t="shared" si="35"/>
        <v>0.0599391</v>
      </c>
      <c r="BV148" s="26">
        <f>IF(VLOOKUP($R148,武学奇术!$A:$ZZ,22,FALSE)=1,0,(1-$BO148))*(1-$BR148)</f>
        <v>0.0172349</v>
      </c>
      <c r="BW148" s="26" cm="1">
        <f t="array" ref="BW148">SUM(_xlfn.XLOOKUP($S148:$AL148,增益!$A:$A,增益!$W:$W,0))+$I$5</f>
        <v>0.21</v>
      </c>
      <c r="BX148" s="26" cm="1">
        <f t="array" ref="BX148">SUM(_xlfn.XLOOKUP($S148:$AL148,增益!$A:$A,增益!$X:$X,0))</f>
        <v>0</v>
      </c>
    </row>
    <row r="149" spans="11:76">
      <c r="K149">
        <f>$L149*VLOOKUP($R149,武学奇术!$A:$ZZ,31,FALSE)</f>
        <v>50974.8919435011</v>
      </c>
      <c r="L149" s="38">
        <f t="shared" si="25"/>
        <v>48547.5161366677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</f>
        <v>51899.5143396237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</f>
        <v>38638.4135078603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</f>
        <v>25193.9389998173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</f>
        <v>21766.8309567752</v>
      </c>
      <c r="Q149" s="39">
        <v>2</v>
      </c>
      <c r="R149" s="40" t="s">
        <v>119</v>
      </c>
      <c r="S149" s="40" t="s">
        <v>116</v>
      </c>
      <c r="T149" s="40" t="s">
        <v>102</v>
      </c>
      <c r="U149" s="40" t="s">
        <v>79</v>
      </c>
      <c r="V149" s="40" t="s">
        <v>88</v>
      </c>
      <c r="W149" s="40" t="s">
        <v>181</v>
      </c>
      <c r="X149" s="40" t="s">
        <v>106</v>
      </c>
      <c r="Y149" s="40" t="s">
        <v>78</v>
      </c>
      <c r="Z149" s="40" t="s">
        <v>185</v>
      </c>
      <c r="AA149" s="40" t="s">
        <v>78</v>
      </c>
      <c r="AB149" s="40" t="s">
        <v>133</v>
      </c>
      <c r="AC149" s="40" t="s">
        <v>78</v>
      </c>
      <c r="AD149" s="40" t="s">
        <v>187</v>
      </c>
      <c r="AE149" s="40" t="s">
        <v>78</v>
      </c>
      <c r="AF149" s="40" t="s">
        <v>78</v>
      </c>
      <c r="AG149" s="40" t="s">
        <v>85</v>
      </c>
      <c r="AH149" s="40" t="s">
        <v>78</v>
      </c>
      <c r="AI149" s="40" t="s">
        <v>78</v>
      </c>
      <c r="AJ149" s="40" t="s">
        <v>78</v>
      </c>
      <c r="AK149" s="40" t="s">
        <v>78</v>
      </c>
      <c r="AL149" s="40" t="s">
        <v>78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0.9741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3574.6</v>
      </c>
      <c r="AU149" cm="1">
        <f t="array" ref="AU149">$E$10*(1+$AS149)+VLOOKUP($R149,武学奇术!$A:$ZZ,4,FALSE)+SUM(_xlfn.XLOOKUP($S149:$AL149,增益!$A:$A,增益!$D:$D,0))-$I$2</f>
        <v>3574.6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0.2925</v>
      </c>
      <c r="AW149" s="32" cm="1">
        <f t="array" ref="AW149">$G$10+VLOOKUP($R149,武学奇术!$A:$ZZ,7,FALSE)+SUM(_xlfn.XLOOKUP($S149:$AL149,增益!$A:$A,增益!$G:$G,0))</f>
        <v>0.148</v>
      </c>
      <c r="AX149" s="26" cm="1">
        <f t="array" ref="AX149">VLOOKUP($R149,武学奇术!$A:$ZZ,8,FALSE)+SUM(_xlfn.XLOOKUP($S149:$AL149,增益!$A:$A,增益!$H:$H,0))</f>
        <v>0</v>
      </c>
      <c r="AY149">
        <f t="shared" si="26"/>
        <v>0</v>
      </c>
      <c r="AZ149">
        <f t="shared" si="27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-0.3</v>
      </c>
      <c r="BB149" s="32" cm="1">
        <f t="array" ref="BB149">$G$11+VLOOKUP($R149,武学奇术!$A:$ZZ,10,FALSE)+SUM(_xlfn.XLOOKUP($S149:$AL149,增益!$A:$A,增益!$J:$J,0))</f>
        <v>0</v>
      </c>
      <c r="BC149">
        <f t="shared" si="28"/>
        <v>0</v>
      </c>
      <c r="BD149">
        <f t="shared" si="29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-0.3</v>
      </c>
      <c r="BF149" s="32" cm="1">
        <f t="array" ref="BF149">$G$12+VLOOKUP($R149,武学奇术!$A:$ZZ,12,FALSE)+SUM(_xlfn.XLOOKUP($S149:$AL149,增益!$A:$A,增益!$L:$L,0))</f>
        <v>0</v>
      </c>
      <c r="BG149">
        <f t="shared" si="30"/>
        <v>0</v>
      </c>
      <c r="BH149">
        <f t="shared" si="31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-0.3</v>
      </c>
      <c r="BJ149" s="32" cm="1">
        <f t="array" ref="BJ149">$G$13+VLOOKUP($R149,武学奇术!$A:$ZZ,14,FALSE)+SUM(_xlfn.XLOOKUP($S149:$AL149,增益!$A:$A,增益!$N:$N,0))</f>
        <v>0</v>
      </c>
      <c r="BK149">
        <f t="shared" si="32"/>
        <v>571.2</v>
      </c>
      <c r="BL149">
        <f t="shared" si="33"/>
        <v>1627.8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</v>
      </c>
      <c r="BN149" s="32" cm="1">
        <f t="array" ref="BN149">$G$14+VLOOKUP($R149,武学奇术!$A:$ZZ,16,FALSE)+SUM(_xlfn.XLOOKUP($S149:$AL149,增益!$A:$A,增益!$P:$P,0))</f>
        <v>0.27</v>
      </c>
      <c r="BO149" s="26">
        <f>MIN(IF(VLOOKUP($R149,武学奇术!$A:$ZZ,23,FALSE)=1,100%,$B$8),100%)</f>
        <v>0.981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0.846</v>
      </c>
      <c r="BQ149" s="26" cm="1">
        <f t="array" ref="BQ149">1+$B$13+VLOOKUP($R149,武学奇术!$A:$ZZ,18,FALSE)+SUM(_xlfn.XLOOKUP($S149:$AL149,增益!$A:$A,增益!$R:$R,0))</f>
        <v>2.06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0.0929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34"/>
        <v>0.829926</v>
      </c>
      <c r="BU149" s="26">
        <f t="shared" si="35"/>
        <v>0.0599391</v>
      </c>
      <c r="BV149" s="26">
        <f>IF(VLOOKUP($R149,武学奇术!$A:$ZZ,22,FALSE)=1,0,(1-$BO149))*(1-$BR149)</f>
        <v>0.0172349</v>
      </c>
      <c r="BW149" s="26" cm="1">
        <f t="array" ref="BW149">SUM(_xlfn.XLOOKUP($S149:$AL149,增益!$A:$A,增益!$W:$W,0))+$I$5</f>
        <v>0.21</v>
      </c>
      <c r="BX149" s="26" cm="1">
        <f t="array" ref="BX149">SUM(_xlfn.XLOOKUP($S149:$AL149,增益!$A:$A,增益!$X:$X,0))</f>
        <v>0</v>
      </c>
    </row>
    <row r="150" spans="11:76">
      <c r="K150">
        <f>$L150*VLOOKUP($R150,武学奇术!$A:$ZZ,31,FALSE)</f>
        <v>69379.2294782843</v>
      </c>
      <c r="L150" s="38">
        <f t="shared" si="25"/>
        <v>66075.456645985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</f>
        <v>66075.456645985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</f>
        <v>52310.6679472514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</f>
        <v>34594.4799193639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</f>
        <v>30440.3169148379</v>
      </c>
      <c r="Q150" s="39">
        <v>1</v>
      </c>
      <c r="R150" s="40" t="s">
        <v>174</v>
      </c>
      <c r="S150" s="40" t="s">
        <v>78</v>
      </c>
      <c r="T150" s="40" t="s">
        <v>102</v>
      </c>
      <c r="U150" s="40" t="s">
        <v>79</v>
      </c>
      <c r="V150" s="40" t="s">
        <v>88</v>
      </c>
      <c r="W150" s="40" t="s">
        <v>181</v>
      </c>
      <c r="X150" s="40" t="s">
        <v>106</v>
      </c>
      <c r="Y150" s="40" t="s">
        <v>78</v>
      </c>
      <c r="Z150" s="40" t="s">
        <v>185</v>
      </c>
      <c r="AA150" s="40" t="s">
        <v>78</v>
      </c>
      <c r="AB150" s="40" t="s">
        <v>78</v>
      </c>
      <c r="AC150" s="40" t="s">
        <v>78</v>
      </c>
      <c r="AD150" s="40" t="s">
        <v>187</v>
      </c>
      <c r="AE150" s="40" t="s">
        <v>78</v>
      </c>
      <c r="AF150" s="40" t="s">
        <v>78</v>
      </c>
      <c r="AG150" s="40" t="s">
        <v>85</v>
      </c>
      <c r="AH150" s="40" t="s">
        <v>78</v>
      </c>
      <c r="AI150" s="40" t="s">
        <v>78</v>
      </c>
      <c r="AJ150" s="40" t="s">
        <v>78</v>
      </c>
      <c r="AK150" s="40" t="s">
        <v>78</v>
      </c>
      <c r="AL150" s="40" t="s">
        <v>78</v>
      </c>
      <c r="AM150" t="str">
        <f>VLOOKUP($R150,武学奇术!$A:$ZZ,25,FALSE)</f>
        <v>绳镖</v>
      </c>
      <c r="AN150" s="26">
        <f>VLOOKUP($R150,武学奇术!$A:$ZZ,26,FALSE)</f>
        <v>2.2987</v>
      </c>
      <c r="AO150" s="27">
        <f>VLOOKUP($R150,武学奇术!$A:$ZZ,27,FALSE)*(1+IF(OR($AM150=$F$4,$AM150=$F$5),$B$22,0))</f>
        <v>955.5</v>
      </c>
      <c r="AP150" s="26">
        <f>VLOOKUP($R150,武学奇术!$A:$ZZ,28,FALSE)</f>
        <v>3.448</v>
      </c>
      <c r="AQ150" s="27">
        <f>VLOOKUP($R150,武学奇术!$A:$ZZ,29,FALSE)*(1+IF(OR($AM150=$F$4,$AM150=$F$5),$B$22,0))</f>
        <v>520.5</v>
      </c>
      <c r="AR150" s="26" cm="1">
        <f t="array" ref="AR150">$G$3+IFERROR(VLOOKUP($AM150,$F$4:$G$7,2,FALSE),0)+VLOOKUP($R150,武学奇术!$A:$ZZ,2,FALSE)+SUM(_xlfn.XLOOKUP($S150:$AL150,增益!$A:$A,增益!$B:$B,0))</f>
        <v>0.6389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3574.6</v>
      </c>
      <c r="AU150" cm="1">
        <f t="array" ref="AU150">$E$10*(1+$AS150)+VLOOKUP($R150,武学奇术!$A:$ZZ,4,FALSE)+SUM(_xlfn.XLOOKUP($S150:$AL150,增益!$A:$A,增益!$D:$D,0))-$I$2</f>
        <v>3574.6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0.2925</v>
      </c>
      <c r="AW150" s="32" cm="1">
        <f t="array" ref="AW150">$G$10+VLOOKUP($R150,武学奇术!$A:$ZZ,7,FALSE)+SUM(_xlfn.XLOOKUP($S150:$AL150,增益!$A:$A,增益!$G:$G,0))</f>
        <v>0.028</v>
      </c>
      <c r="AX150" s="26" cm="1">
        <f t="array" ref="AX150">VLOOKUP($R150,武学奇术!$A:$ZZ,8,FALSE)+SUM(_xlfn.XLOOKUP($S150:$AL150,增益!$A:$A,增益!$H:$H,0))</f>
        <v>0</v>
      </c>
      <c r="AY150">
        <f t="shared" si="26"/>
        <v>0</v>
      </c>
      <c r="AZ150">
        <f t="shared" si="27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-0.3</v>
      </c>
      <c r="BB150" s="32" cm="1">
        <f t="array" ref="BB150">$G$11+VLOOKUP($R150,武学奇术!$A:$ZZ,10,FALSE)+SUM(_xlfn.XLOOKUP($S150:$AL150,增益!$A:$A,增益!$J:$J,0))</f>
        <v>0</v>
      </c>
      <c r="BC150">
        <f t="shared" si="28"/>
        <v>0</v>
      </c>
      <c r="BD150">
        <f t="shared" si="29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-0.3</v>
      </c>
      <c r="BF150" s="32" cm="1">
        <f t="array" ref="BF150">$G$12+VLOOKUP($R150,武学奇术!$A:$ZZ,12,FALSE)+SUM(_xlfn.XLOOKUP($S150:$AL150,增益!$A:$A,增益!$L:$L,0))</f>
        <v>0</v>
      </c>
      <c r="BG150">
        <f t="shared" si="30"/>
        <v>0</v>
      </c>
      <c r="BH150">
        <f t="shared" si="31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-0.3</v>
      </c>
      <c r="BJ150" s="32" cm="1">
        <f t="array" ref="BJ150">$G$13+VLOOKUP($R150,武学奇术!$A:$ZZ,14,FALSE)+SUM(_xlfn.XLOOKUP($S150:$AL150,增益!$A:$A,增益!$N:$N,0))</f>
        <v>0</v>
      </c>
      <c r="BK150">
        <f t="shared" si="32"/>
        <v>571.2</v>
      </c>
      <c r="BL150">
        <f t="shared" si="33"/>
        <v>1627.8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</v>
      </c>
      <c r="BN150" s="32" cm="1">
        <f t="array" ref="BN150">$G$14+VLOOKUP($R150,武学奇术!$A:$ZZ,16,FALSE)+SUM(_xlfn.XLOOKUP($S150:$AL150,增益!$A:$A,增益!$P:$P,0))</f>
        <v>0.15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1.91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34"/>
        <v>1</v>
      </c>
      <c r="BU150" s="26">
        <f t="shared" si="35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0.21</v>
      </c>
      <c r="BX150" s="26" cm="1">
        <f t="array" ref="BX150">SUM(_xlfn.XLOOKUP($S150:$AL150,增益!$A:$A,增益!$X:$X,0))</f>
        <v>0</v>
      </c>
    </row>
    <row r="151" spans="11:76">
      <c r="K151">
        <f>$L151*VLOOKUP($R151,武学奇术!$A:$ZZ,31,FALSE)</f>
        <v>94799.5140595203</v>
      </c>
      <c r="L151" s="89">
        <f>(SUM(L129:L150)+L163)*12%*(1+BX151)</f>
        <v>180570.502970515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</f>
        <v>0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</f>
        <v>0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</f>
        <v>0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</f>
        <v>0</v>
      </c>
      <c r="Q151" s="39">
        <v>1</v>
      </c>
      <c r="R151" s="40" t="s">
        <v>175</v>
      </c>
      <c r="S151" s="40" t="s">
        <v>78</v>
      </c>
      <c r="T151" s="40" t="s">
        <v>78</v>
      </c>
      <c r="U151" s="40" t="s">
        <v>78</v>
      </c>
      <c r="V151" s="40" t="s">
        <v>78</v>
      </c>
      <c r="W151" s="40" t="s">
        <v>78</v>
      </c>
      <c r="X151" s="40" t="s">
        <v>78</v>
      </c>
      <c r="Y151" s="40" t="s">
        <v>78</v>
      </c>
      <c r="Z151" s="40" t="s">
        <v>78</v>
      </c>
      <c r="AA151" s="40" t="s">
        <v>78</v>
      </c>
      <c r="AB151" s="40" t="s">
        <v>78</v>
      </c>
      <c r="AC151" s="40" t="s">
        <v>78</v>
      </c>
      <c r="AD151" s="40" t="s">
        <v>78</v>
      </c>
      <c r="AE151" s="40" t="s">
        <v>78</v>
      </c>
      <c r="AF151" s="40" t="s">
        <v>78</v>
      </c>
      <c r="AG151" s="40" t="s">
        <v>85</v>
      </c>
      <c r="AH151" s="40" t="s">
        <v>78</v>
      </c>
      <c r="AI151" s="40" t="s">
        <v>78</v>
      </c>
      <c r="AJ151" s="40" t="s">
        <v>78</v>
      </c>
      <c r="AK151" s="40" t="s">
        <v>78</v>
      </c>
      <c r="AL151" s="40" t="s">
        <v>78</v>
      </c>
      <c r="AM151" t="str">
        <f>VLOOKUP($R151,武学奇术!$A:$ZZ,25,FALSE)</f>
        <v>心法</v>
      </c>
      <c r="AN151" s="26">
        <f>VLOOKUP($R151,武学奇术!$A:$ZZ,26,FALSE)</f>
        <v>0</v>
      </c>
      <c r="AO151" s="27">
        <f>VLOOKUP($R151,武学奇术!$A:$ZZ,27,FALSE)*(1+IF(OR($AM151=$F$4,$AM151=$F$5),$B$22,0))</f>
        <v>0</v>
      </c>
      <c r="AP151" s="26">
        <f>VLOOKUP($R151,武学奇术!$A:$ZZ,28,FALSE)</f>
        <v>0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0.1037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3574.6</v>
      </c>
      <c r="AU151" cm="1">
        <f t="array" ref="AU151">$E$10*(1+$AS151)+VLOOKUP($R151,武学奇术!$A:$ZZ,4,FALSE)+SUM(_xlfn.XLOOKUP($S151:$AL151,增益!$A:$A,增益!$D:$D,0))-$I$2</f>
        <v>3574.6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0.1925</v>
      </c>
      <c r="AW151" s="32" cm="1">
        <f t="array" ref="AW151">$G$10+VLOOKUP($R151,武学奇术!$A:$ZZ,7,FALSE)+SUM(_xlfn.XLOOKUP($S151:$AL151,增益!$A:$A,增益!$G:$G,0))</f>
        <v>0.028</v>
      </c>
      <c r="AX151" s="26" cm="1">
        <f t="array" ref="AX151">VLOOKUP($R151,武学奇术!$A:$ZZ,8,FALSE)+SUM(_xlfn.XLOOKUP($S151:$AL151,增益!$A:$A,增益!$H:$H,0))</f>
        <v>0</v>
      </c>
      <c r="AY151">
        <f t="shared" si="26"/>
        <v>0</v>
      </c>
      <c r="AZ151">
        <f t="shared" si="27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2" cm="1">
        <f t="array" ref="BB151">$G$11+VLOOKUP($R151,武学奇术!$A:$ZZ,10,FALSE)+SUM(_xlfn.XLOOKUP($S151:$AL151,增益!$A:$A,增益!$J:$J,0))</f>
        <v>0</v>
      </c>
      <c r="BC151">
        <f t="shared" si="28"/>
        <v>0</v>
      </c>
      <c r="BD151">
        <f t="shared" si="29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2" cm="1">
        <f t="array" ref="BF151">$G$12+VLOOKUP($R151,武学奇术!$A:$ZZ,12,FALSE)+SUM(_xlfn.XLOOKUP($S151:$AL151,增益!$A:$A,增益!$L:$L,0))</f>
        <v>0</v>
      </c>
      <c r="BG151">
        <f t="shared" si="30"/>
        <v>0</v>
      </c>
      <c r="BH151">
        <f t="shared" si="31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2" cm="1">
        <f t="array" ref="BJ151">$G$13+VLOOKUP($R151,武学奇术!$A:$ZZ,14,FALSE)+SUM(_xlfn.XLOOKUP($S151:$AL151,增益!$A:$A,增益!$N:$N,0))</f>
        <v>0</v>
      </c>
      <c r="BK151">
        <f t="shared" si="32"/>
        <v>571.2</v>
      </c>
      <c r="BL151">
        <f t="shared" si="33"/>
        <v>1627.8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2" cm="1">
        <f t="array" ref="BN151">$G$14+VLOOKUP($R151,武学奇术!$A:$ZZ,16,FALSE)+SUM(_xlfn.XLOOKUP($S151:$AL151,增益!$A:$A,增益!$P:$P,0))</f>
        <v>0.15</v>
      </c>
      <c r="BO151" s="26">
        <f>MIN(IF(VLOOKUP($R151,武学奇术!$A:$ZZ,23,FALSE)=1,100%,$B$8),100%)</f>
        <v>0.981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0.846</v>
      </c>
      <c r="BQ151" s="26" cm="1">
        <f t="array" ref="BQ151">1+$B$13+VLOOKUP($R151,武学奇术!$A:$ZZ,18,FALSE)+SUM(_xlfn.XLOOKUP($S151:$AL151,增益!$A:$A,增益!$R:$R,0))</f>
        <v>1.54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0.0929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34"/>
        <v>0.829926</v>
      </c>
      <c r="BU151" s="26">
        <f t="shared" si="35"/>
        <v>0.0599391</v>
      </c>
      <c r="BV151" s="26">
        <f>IF(VLOOKUP($R151,武学奇术!$A:$ZZ,22,FALSE)=1,0,(1-$BO151))*(1-$BR151)</f>
        <v>0.0172349</v>
      </c>
      <c r="BW151" s="26" cm="1">
        <f t="array" ref="BW151">SUM(_xlfn.XLOOKUP($S151:$AL151,增益!$A:$A,增益!$W:$W,0))+$I$5</f>
        <v>0.11</v>
      </c>
      <c r="BX151" s="26" cm="1">
        <f t="array" ref="BX151">SUM(_xlfn.XLOOKUP($S151:$AL151,增益!$A:$A,增益!$X:$X,0))</f>
        <v>0</v>
      </c>
    </row>
    <row r="152" spans="11:76">
      <c r="K152">
        <f>$L152*VLOOKUP($R152,武学奇术!$A:$ZZ,31,FALSE)</f>
        <v>0</v>
      </c>
      <c r="L152" s="38">
        <f t="shared" ref="L152:L164" si="36">($M152*$BT152+$N152*$BR152+$O152*$BU152+$P152*$BV152)</f>
        <v>0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</f>
        <v>0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</f>
        <v>0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</f>
        <v>0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</f>
        <v>0</v>
      </c>
      <c r="Q152" s="39">
        <v>1</v>
      </c>
      <c r="R152" s="40" t="s">
        <v>78</v>
      </c>
      <c r="S152" s="40" t="s">
        <v>78</v>
      </c>
      <c r="T152" s="40" t="s">
        <v>78</v>
      </c>
      <c r="U152" s="40" t="s">
        <v>78</v>
      </c>
      <c r="V152" s="40" t="s">
        <v>78</v>
      </c>
      <c r="W152" s="40" t="s">
        <v>78</v>
      </c>
      <c r="X152" s="40" t="s">
        <v>78</v>
      </c>
      <c r="Y152" s="40" t="s">
        <v>78</v>
      </c>
      <c r="Z152" s="40" t="s">
        <v>78</v>
      </c>
      <c r="AA152" s="40" t="s">
        <v>78</v>
      </c>
      <c r="AB152" s="40" t="s">
        <v>78</v>
      </c>
      <c r="AC152" s="40" t="s">
        <v>78</v>
      </c>
      <c r="AD152" s="40" t="s">
        <v>78</v>
      </c>
      <c r="AE152" s="40" t="s">
        <v>78</v>
      </c>
      <c r="AF152" s="40" t="s">
        <v>78</v>
      </c>
      <c r="AG152" s="40" t="s">
        <v>85</v>
      </c>
      <c r="AH152" s="40" t="s">
        <v>78</v>
      </c>
      <c r="AI152" s="40" t="s">
        <v>78</v>
      </c>
      <c r="AJ152" s="40" t="s">
        <v>78</v>
      </c>
      <c r="AK152" s="40" t="s">
        <v>78</v>
      </c>
      <c r="AL152" s="40" t="s">
        <v>78</v>
      </c>
      <c r="AM152" t="str">
        <f>VLOOKUP($R152,武学奇术!$A:$ZZ,25,FALSE)</f>
        <v>心法</v>
      </c>
      <c r="AN152" s="26">
        <f>VLOOKUP($R152,武学奇术!$A:$ZZ,26,FALSE)</f>
        <v>0</v>
      </c>
      <c r="AO152" s="27">
        <f>VLOOKUP($R152,武学奇术!$A:$ZZ,27,FALSE)*(1+IF(OR($AM152=$F$4,$AM152=$F$5),$B$22,0))</f>
        <v>0</v>
      </c>
      <c r="AP152" s="26">
        <f>VLOOKUP($R152,武学奇术!$A:$ZZ,28,FALSE)</f>
        <v>0</v>
      </c>
      <c r="AQ152" s="27">
        <f>VLOOKUP($R152,武学奇术!$A:$ZZ,29,FALSE)*(1+IF(OR($AM152=$F$4,$AM152=$F$5),$B$22,0))</f>
        <v>0</v>
      </c>
      <c r="AR152" s="26" cm="1">
        <f t="array" ref="AR152">$G$3+IFERROR(VLOOKUP($AM152,$F$4:$G$7,2,FALSE),0)+VLOOKUP($R152,武学奇术!$A:$ZZ,2,FALSE)+SUM(_xlfn.XLOOKUP($S152:$AL152,增益!$A:$A,增益!$B:$B,0))</f>
        <v>0.1037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3574.6</v>
      </c>
      <c r="AU152" cm="1">
        <f t="array" ref="AU152">$E$10*(1+$AS152)+VLOOKUP($R152,武学奇术!$A:$ZZ,4,FALSE)+SUM(_xlfn.XLOOKUP($S152:$AL152,增益!$A:$A,增益!$D:$D,0))-$I$2</f>
        <v>3574.6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0.1925</v>
      </c>
      <c r="AW152" s="32" cm="1">
        <f t="array" ref="AW152">$G$10+VLOOKUP($R152,武学奇术!$A:$ZZ,7,FALSE)+SUM(_xlfn.XLOOKUP($S152:$AL152,增益!$A:$A,增益!$G:$G,0))</f>
        <v>0.028</v>
      </c>
      <c r="AX152" s="26" cm="1">
        <f t="array" ref="AX152">VLOOKUP($R152,武学奇术!$A:$ZZ,8,FALSE)+SUM(_xlfn.XLOOKUP($S152:$AL152,增益!$A:$A,增益!$H:$H,0))</f>
        <v>0</v>
      </c>
      <c r="AY152">
        <f t="shared" si="26"/>
        <v>0</v>
      </c>
      <c r="AZ152">
        <f t="shared" si="27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2" cm="1">
        <f t="array" ref="BB152">$G$11+VLOOKUP($R152,武学奇术!$A:$ZZ,10,FALSE)+SUM(_xlfn.XLOOKUP($S152:$AL152,增益!$A:$A,增益!$J:$J,0))</f>
        <v>0</v>
      </c>
      <c r="BC152">
        <f t="shared" si="28"/>
        <v>0</v>
      </c>
      <c r="BD152">
        <f t="shared" si="29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2" cm="1">
        <f t="array" ref="BF152">$G$12+VLOOKUP($R152,武学奇术!$A:$ZZ,12,FALSE)+SUM(_xlfn.XLOOKUP($S152:$AL152,增益!$A:$A,增益!$L:$L,0))</f>
        <v>0</v>
      </c>
      <c r="BG152">
        <f t="shared" si="30"/>
        <v>0</v>
      </c>
      <c r="BH152">
        <f t="shared" si="31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2" cm="1">
        <f t="array" ref="BJ152">$G$13+VLOOKUP($R152,武学奇术!$A:$ZZ,14,FALSE)+SUM(_xlfn.XLOOKUP($S152:$AL152,增益!$A:$A,增益!$N:$N,0))</f>
        <v>0</v>
      </c>
      <c r="BK152">
        <f t="shared" si="32"/>
        <v>571.2</v>
      </c>
      <c r="BL152">
        <f t="shared" si="33"/>
        <v>1627.8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2" cm="1">
        <f t="array" ref="BN152">$G$14+VLOOKUP($R152,武学奇术!$A:$ZZ,16,FALSE)+SUM(_xlfn.XLOOKUP($S152:$AL152,增益!$A:$A,增益!$P:$P,0))</f>
        <v>0.15</v>
      </c>
      <c r="BO152" s="26">
        <f>MIN(IF(VLOOKUP($R152,武学奇术!$A:$ZZ,23,FALSE)=1,100%,$B$8),100%)</f>
        <v>0.981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0.846</v>
      </c>
      <c r="BQ152" s="26" cm="1">
        <f t="array" ref="BQ152">1+$B$13+VLOOKUP($R152,武学奇术!$A:$ZZ,18,FALSE)+SUM(_xlfn.XLOOKUP($S152:$AL152,增益!$A:$A,增益!$R:$R,0))</f>
        <v>1.54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0.0929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34"/>
        <v>0.829926</v>
      </c>
      <c r="BU152" s="26">
        <f t="shared" si="35"/>
        <v>0.0599391</v>
      </c>
      <c r="BV152" s="26">
        <f>IF(VLOOKUP($R152,武学奇术!$A:$ZZ,22,FALSE)=1,0,(1-$BO152))*(1-$BR152)</f>
        <v>0.0172349</v>
      </c>
      <c r="BW152" s="26" cm="1">
        <f t="array" ref="BW152">SUM(_xlfn.XLOOKUP($S152:$AL152,增益!$A:$A,增益!$W:$W,0))+$I$5</f>
        <v>0.11</v>
      </c>
      <c r="BX152" s="26" cm="1">
        <f t="array" ref="BX152">SUM(_xlfn.XLOOKUP($S152:$AL152,增益!$A:$A,增益!$X:$X,0))</f>
        <v>0</v>
      </c>
    </row>
    <row r="153" spans="11:76">
      <c r="K153">
        <f>$L153*VLOOKUP($R153,武学奇术!$A:$ZZ,31,FALSE)</f>
        <v>0</v>
      </c>
      <c r="L153" s="38">
        <f t="shared" si="36"/>
        <v>0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</f>
        <v>0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</f>
        <v>0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</f>
        <v>0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</f>
        <v>0</v>
      </c>
      <c r="Q153" s="39">
        <v>1</v>
      </c>
      <c r="R153" s="40" t="s">
        <v>78</v>
      </c>
      <c r="S153" s="40" t="s">
        <v>78</v>
      </c>
      <c r="T153" s="40" t="s">
        <v>78</v>
      </c>
      <c r="U153" s="40" t="s">
        <v>78</v>
      </c>
      <c r="V153" s="40" t="s">
        <v>78</v>
      </c>
      <c r="W153" s="40" t="s">
        <v>78</v>
      </c>
      <c r="X153" s="40" t="s">
        <v>78</v>
      </c>
      <c r="Y153" s="40" t="s">
        <v>78</v>
      </c>
      <c r="Z153" s="40" t="s">
        <v>78</v>
      </c>
      <c r="AA153" s="40" t="s">
        <v>78</v>
      </c>
      <c r="AB153" s="40" t="s">
        <v>78</v>
      </c>
      <c r="AC153" s="40" t="s">
        <v>78</v>
      </c>
      <c r="AD153" s="40" t="s">
        <v>78</v>
      </c>
      <c r="AE153" s="40" t="s">
        <v>78</v>
      </c>
      <c r="AF153" s="40" t="s">
        <v>78</v>
      </c>
      <c r="AG153" s="40" t="s">
        <v>85</v>
      </c>
      <c r="AH153" s="40" t="s">
        <v>78</v>
      </c>
      <c r="AI153" s="40" t="s">
        <v>78</v>
      </c>
      <c r="AJ153" s="40" t="s">
        <v>78</v>
      </c>
      <c r="AK153" s="40" t="s">
        <v>78</v>
      </c>
      <c r="AL153" s="40" t="s">
        <v>78</v>
      </c>
      <c r="AM153" t="str">
        <f>VLOOKUP($R153,武学奇术!$A:$ZZ,25,FALSE)</f>
        <v>心法</v>
      </c>
      <c r="AN153" s="26">
        <f>VLOOKUP($R153,武学奇术!$A:$ZZ,26,FALSE)</f>
        <v>0</v>
      </c>
      <c r="AO153" s="27">
        <f>VLOOKUP($R153,武学奇术!$A:$ZZ,27,FALSE)*(1+IF(OR($AM153=$F$4,$AM153=$F$5),$B$22,0))</f>
        <v>0</v>
      </c>
      <c r="AP153" s="26">
        <f>VLOOKUP($R153,武学奇术!$A:$ZZ,28,FALSE)</f>
        <v>0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0.1037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3574.6</v>
      </c>
      <c r="AU153" cm="1">
        <f t="array" ref="AU153">$E$10*(1+$AS153)+VLOOKUP($R153,武学奇术!$A:$ZZ,4,FALSE)+SUM(_xlfn.XLOOKUP($S153:$AL153,增益!$A:$A,增益!$D:$D,0))-$I$2</f>
        <v>3574.6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0.1925</v>
      </c>
      <c r="AW153" s="32" cm="1">
        <f t="array" ref="AW153">$G$10+VLOOKUP($R153,武学奇术!$A:$ZZ,7,FALSE)+SUM(_xlfn.XLOOKUP($S153:$AL153,增益!$A:$A,增益!$G:$G,0))</f>
        <v>0.028</v>
      </c>
      <c r="AX153" s="26" cm="1">
        <f t="array" ref="AX153">VLOOKUP($R153,武学奇术!$A:$ZZ,8,FALSE)+SUM(_xlfn.XLOOKUP($S153:$AL153,增益!$A:$A,增益!$H:$H,0))</f>
        <v>0</v>
      </c>
      <c r="AY153">
        <f t="shared" si="26"/>
        <v>0</v>
      </c>
      <c r="AZ153">
        <f t="shared" si="27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2" cm="1">
        <f t="array" ref="BB153">$G$11+VLOOKUP($R153,武学奇术!$A:$ZZ,10,FALSE)+SUM(_xlfn.XLOOKUP($S153:$AL153,增益!$A:$A,增益!$J:$J,0))</f>
        <v>0</v>
      </c>
      <c r="BC153">
        <f t="shared" si="28"/>
        <v>0</v>
      </c>
      <c r="BD153">
        <f t="shared" si="29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2" cm="1">
        <f t="array" ref="BF153">$G$12+VLOOKUP($R153,武学奇术!$A:$ZZ,12,FALSE)+SUM(_xlfn.XLOOKUP($S153:$AL153,增益!$A:$A,增益!$L:$L,0))</f>
        <v>0</v>
      </c>
      <c r="BG153">
        <f t="shared" si="30"/>
        <v>0</v>
      </c>
      <c r="BH153">
        <f t="shared" si="31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2" cm="1">
        <f t="array" ref="BJ153">$G$13+VLOOKUP($R153,武学奇术!$A:$ZZ,14,FALSE)+SUM(_xlfn.XLOOKUP($S153:$AL153,增益!$A:$A,增益!$N:$N,0))</f>
        <v>0</v>
      </c>
      <c r="BK153">
        <f t="shared" si="32"/>
        <v>571.2</v>
      </c>
      <c r="BL153">
        <f t="shared" si="33"/>
        <v>1627.8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2" cm="1">
        <f t="array" ref="BN153">$G$14+VLOOKUP($R153,武学奇术!$A:$ZZ,16,FALSE)+SUM(_xlfn.XLOOKUP($S153:$AL153,增益!$A:$A,增益!$P:$P,0))</f>
        <v>0.15</v>
      </c>
      <c r="BO153" s="26">
        <f>MIN(IF(VLOOKUP($R153,武学奇术!$A:$ZZ,23,FALSE)=1,100%,$B$8),100%)</f>
        <v>0.981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0.846</v>
      </c>
      <c r="BQ153" s="26" cm="1">
        <f t="array" ref="BQ153">1+$B$13+VLOOKUP($R153,武学奇术!$A:$ZZ,18,FALSE)+SUM(_xlfn.XLOOKUP($S153:$AL153,增益!$A:$A,增益!$R:$R,0))</f>
        <v>1.54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0.0929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34"/>
        <v>0.829926</v>
      </c>
      <c r="BU153" s="26">
        <f t="shared" si="35"/>
        <v>0.0599391</v>
      </c>
      <c r="BV153" s="26">
        <f>IF(VLOOKUP($R153,武学奇术!$A:$ZZ,22,FALSE)=1,0,(1-$BO153))*(1-$BR153)</f>
        <v>0.0172349</v>
      </c>
      <c r="BW153" s="26" cm="1">
        <f t="array" ref="BW153">SUM(_xlfn.XLOOKUP($S153:$AL153,增益!$A:$A,增益!$W:$W,0))+$I$5</f>
        <v>0.11</v>
      </c>
      <c r="BX153" s="26" cm="1">
        <f t="array" ref="BX153">SUM(_xlfn.XLOOKUP($S153:$AL153,增益!$A:$A,增益!$X:$X,0))</f>
        <v>0</v>
      </c>
    </row>
    <row r="154" spans="11:76">
      <c r="K154">
        <f>$L154*VLOOKUP($R154,武学奇术!$A:$ZZ,31,FALSE)</f>
        <v>17125.4300303312</v>
      </c>
      <c r="L154" s="38">
        <f t="shared" si="36"/>
        <v>16309.9333622202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</f>
        <v>17241.52422518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</f>
        <v>13927.968519241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</f>
        <v>9370.39360064132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</f>
        <v>8423.77348332632</v>
      </c>
      <c r="Q154" s="39">
        <f t="shared" ref="Q154:Q163" si="37">IF($E$24="易水歌",1,0)</f>
        <v>1</v>
      </c>
      <c r="R154" s="40" t="s">
        <v>195</v>
      </c>
      <c r="S154" s="40" t="s">
        <v>78</v>
      </c>
      <c r="T154" s="40" t="s">
        <v>102</v>
      </c>
      <c r="U154" s="40" t="s">
        <v>79</v>
      </c>
      <c r="V154" s="40" t="s">
        <v>88</v>
      </c>
      <c r="W154" s="40" t="s">
        <v>96</v>
      </c>
      <c r="X154" s="40" t="s">
        <v>106</v>
      </c>
      <c r="Y154" s="40" t="s">
        <v>78</v>
      </c>
      <c r="Z154" s="40" t="s">
        <v>78</v>
      </c>
      <c r="AA154" s="40" t="s">
        <v>78</v>
      </c>
      <c r="AB154" s="40" t="s">
        <v>78</v>
      </c>
      <c r="AC154" s="40" t="s">
        <v>78</v>
      </c>
      <c r="AD154" s="40" t="s">
        <v>78</v>
      </c>
      <c r="AE154" s="40" t="s">
        <v>78</v>
      </c>
      <c r="AF154" s="40" t="s">
        <v>78</v>
      </c>
      <c r="AG154" s="40" t="s">
        <v>85</v>
      </c>
      <c r="AH154" s="40" t="s">
        <v>78</v>
      </c>
      <c r="AI154" s="40" t="s">
        <v>78</v>
      </c>
      <c r="AJ154" s="40" t="s">
        <v>78</v>
      </c>
      <c r="AK154" s="40" t="s">
        <v>78</v>
      </c>
      <c r="AL154" s="40" t="s">
        <v>78</v>
      </c>
      <c r="AM154" t="str">
        <f>VLOOKUP($R154,武学奇术!$A:$ZZ,25,FALSE)</f>
        <v>心法</v>
      </c>
      <c r="AN154" s="26">
        <f>VLOOKUP($R154,武学奇术!$A:$ZZ,26,FALSE)</f>
        <v>1</v>
      </c>
      <c r="AO154" s="27">
        <f>VLOOKUP($R154,武学奇术!$A:$ZZ,27,FALSE)*(1+IF(OR($AM154=$F$4,$AM154=$F$5),$B$22,0))</f>
        <v>0</v>
      </c>
      <c r="AP154" s="26">
        <f>VLOOKUP($R154,武学奇术!$A:$ZZ,28,FALSE)</f>
        <v>1</v>
      </c>
      <c r="AQ154" s="27">
        <f>VLOOKUP($R154,武学奇术!$A:$ZZ,29,FALSE)*(1+IF(OR($AM154=$F$4,$AM154=$F$5),$B$22,0))</f>
        <v>0</v>
      </c>
      <c r="AR154" s="26" cm="1">
        <f t="array" ref="AR154">$G$3+IFERROR(VLOOKUP($AM154,$F$4:$G$7,2,FALSE),0)+VLOOKUP($R154,武学奇术!$A:$ZZ,2,FALSE)+SUM(_xlfn.XLOOKUP($S154:$AL154,增益!$A:$A,增益!$B:$B,0))</f>
        <v>0.4037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3574.6</v>
      </c>
      <c r="AU154" cm="1">
        <f t="array" ref="AU154">$E$10*(1+$AS154)+VLOOKUP($R154,武学奇术!$A:$ZZ,4,FALSE)+SUM(_xlfn.XLOOKUP($S154:$AL154,增益!$A:$A,增益!$D:$D,0))-$I$2</f>
        <v>3574.6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0.2925</v>
      </c>
      <c r="AW154" s="32" cm="1">
        <f t="array" ref="AW154">$G$10+VLOOKUP($R154,武学奇术!$A:$ZZ,7,FALSE)+SUM(_xlfn.XLOOKUP($S154:$AL154,增益!$A:$A,增益!$G:$G,0))</f>
        <v>0.028</v>
      </c>
      <c r="AX154" s="26" cm="1">
        <f t="array" ref="AX154">VLOOKUP($R154,武学奇术!$A:$ZZ,8,FALSE)+SUM(_xlfn.XLOOKUP($S154:$AL154,增益!$A:$A,增益!$H:$H,0))</f>
        <v>0</v>
      </c>
      <c r="AY154">
        <f t="shared" si="26"/>
        <v>0</v>
      </c>
      <c r="AZ154">
        <f t="shared" si="27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-0.3</v>
      </c>
      <c r="BB154" s="32" cm="1">
        <f t="array" ref="BB154">$G$11+VLOOKUP($R154,武学奇术!$A:$ZZ,10,FALSE)+SUM(_xlfn.XLOOKUP($S154:$AL154,增益!$A:$A,增益!$J:$J,0))</f>
        <v>0</v>
      </c>
      <c r="BC154">
        <f t="shared" si="28"/>
        <v>0</v>
      </c>
      <c r="BD154">
        <f t="shared" si="29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-0.3</v>
      </c>
      <c r="BF154" s="32" cm="1">
        <f t="array" ref="BF154">$G$12+VLOOKUP($R154,武学奇术!$A:$ZZ,12,FALSE)+SUM(_xlfn.XLOOKUP($S154:$AL154,增益!$A:$A,增益!$L:$L,0))</f>
        <v>0</v>
      </c>
      <c r="BG154">
        <f t="shared" si="30"/>
        <v>0</v>
      </c>
      <c r="BH154">
        <f t="shared" si="31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-0.3</v>
      </c>
      <c r="BJ154" s="32" cm="1">
        <f t="array" ref="BJ154">$G$13+VLOOKUP($R154,武学奇术!$A:$ZZ,14,FALSE)+SUM(_xlfn.XLOOKUP($S154:$AL154,增益!$A:$A,增益!$N:$N,0))</f>
        <v>0</v>
      </c>
      <c r="BK154">
        <f t="shared" si="32"/>
        <v>571.2</v>
      </c>
      <c r="BL154">
        <f t="shared" si="33"/>
        <v>1627.8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</v>
      </c>
      <c r="BN154" s="32" cm="1">
        <f t="array" ref="BN154">$G$14+VLOOKUP($R154,武学奇术!$A:$ZZ,16,FALSE)+SUM(_xlfn.XLOOKUP($S154:$AL154,增益!$A:$A,增益!$P:$P,0))</f>
        <v>0.15</v>
      </c>
      <c r="BO154" s="26">
        <f>MIN(IF(VLOOKUP($R154,武学奇术!$A:$ZZ,23,FALSE)=1,100%,$B$8),100%)</f>
        <v>0.981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0.846</v>
      </c>
      <c r="BQ154" s="26" cm="1">
        <f t="array" ref="BQ154">1+$B$13+VLOOKUP($R154,武学奇术!$A:$ZZ,18,FALSE)+SUM(_xlfn.XLOOKUP($S154:$AL154,增益!$A:$A,增益!$R:$R,0))</f>
        <v>1.84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0.0929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34"/>
        <v>0.829926</v>
      </c>
      <c r="BU154" s="26">
        <f t="shared" si="35"/>
        <v>0.0599391</v>
      </c>
      <c r="BV154" s="26">
        <f>IF(VLOOKUP($R154,武学奇术!$A:$ZZ,22,FALSE)=1,0,(1-$BO154))*(1-$BR154)</f>
        <v>0.0172349</v>
      </c>
      <c r="BW154" s="26" cm="1">
        <f t="array" ref="BW154">SUM(_xlfn.XLOOKUP($S154:$AL154,增益!$A:$A,增益!$W:$W,0))+$I$5</f>
        <v>0.11</v>
      </c>
      <c r="BX154" s="26" cm="1">
        <f t="array" ref="BX154">SUM(_xlfn.XLOOKUP($S154:$AL154,增益!$A:$A,增益!$X:$X,0))</f>
        <v>0</v>
      </c>
    </row>
    <row r="155" spans="11:76">
      <c r="K155">
        <f>$L155*VLOOKUP($R155,武学奇术!$A:$ZZ,31,FALSE)</f>
        <v>14965.474096419</v>
      </c>
      <c r="L155" s="38">
        <f t="shared" si="36"/>
        <v>14252.83247278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</f>
        <v>15106.353509249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</f>
        <v>11943.5033886232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</f>
        <v>8035.29441981332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</f>
        <v>7223.54929249832</v>
      </c>
      <c r="Q155" s="39">
        <f t="shared" si="37"/>
        <v>1</v>
      </c>
      <c r="R155" s="40" t="s">
        <v>195</v>
      </c>
      <c r="S155" s="40" t="s">
        <v>78</v>
      </c>
      <c r="T155" s="40" t="s">
        <v>102</v>
      </c>
      <c r="U155" s="40" t="s">
        <v>79</v>
      </c>
      <c r="V155" s="40" t="s">
        <v>78</v>
      </c>
      <c r="W155" s="40" t="s">
        <v>173</v>
      </c>
      <c r="X155" s="40" t="s">
        <v>106</v>
      </c>
      <c r="Y155" s="40" t="s">
        <v>78</v>
      </c>
      <c r="Z155" s="40" t="s">
        <v>78</v>
      </c>
      <c r="AA155" s="40" t="s">
        <v>78</v>
      </c>
      <c r="AB155" s="40" t="s">
        <v>78</v>
      </c>
      <c r="AC155" s="40" t="s">
        <v>78</v>
      </c>
      <c r="AD155" s="40" t="s">
        <v>78</v>
      </c>
      <c r="AE155" s="40" t="s">
        <v>78</v>
      </c>
      <c r="AF155" s="40" t="s">
        <v>78</v>
      </c>
      <c r="AG155" s="40" t="s">
        <v>85</v>
      </c>
      <c r="AH155" s="40" t="s">
        <v>78</v>
      </c>
      <c r="AI155" s="40" t="s">
        <v>78</v>
      </c>
      <c r="AJ155" s="40" t="s">
        <v>78</v>
      </c>
      <c r="AK155" s="40" t="s">
        <v>78</v>
      </c>
      <c r="AL155" s="40" t="s">
        <v>78</v>
      </c>
      <c r="AM155" t="str">
        <f>VLOOKUP($R155,武学奇术!$A:$ZZ,25,FALSE)</f>
        <v>心法</v>
      </c>
      <c r="AN155" s="26">
        <f>VLOOKUP($R155,武学奇术!$A:$ZZ,26,FALSE)</f>
        <v>1</v>
      </c>
      <c r="AO155" s="27">
        <f>VLOOKUP($R155,武学奇术!$A:$ZZ,27,FALSE)*(1+IF(OR($AM155=$F$4,$AM155=$F$5),$B$22,0))</f>
        <v>0</v>
      </c>
      <c r="AP155" s="26">
        <f>VLOOKUP($R155,武学奇术!$A:$ZZ,28,FALSE)</f>
        <v>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0.2037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3574.6</v>
      </c>
      <c r="AU155" cm="1">
        <f t="array" ref="AU155">$E$10*(1+$AS155)+VLOOKUP($R155,武学奇术!$A:$ZZ,4,FALSE)+SUM(_xlfn.XLOOKUP($S155:$AL155,增益!$A:$A,增益!$D:$D,0))-$I$2</f>
        <v>3574.6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0.2925</v>
      </c>
      <c r="AW155" s="32" cm="1">
        <f t="array" ref="AW155">$G$10+VLOOKUP($R155,武学奇术!$A:$ZZ,7,FALSE)+SUM(_xlfn.XLOOKUP($S155:$AL155,增益!$A:$A,增益!$G:$G,0))</f>
        <v>0.028</v>
      </c>
      <c r="AX155" s="26" cm="1">
        <f t="array" ref="AX155">VLOOKUP($R155,武学奇术!$A:$ZZ,8,FALSE)+SUM(_xlfn.XLOOKUP($S155:$AL155,增益!$A:$A,增益!$H:$H,0))</f>
        <v>0</v>
      </c>
      <c r="AY155">
        <f t="shared" si="26"/>
        <v>0</v>
      </c>
      <c r="AZ155">
        <f t="shared" si="27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2" cm="1">
        <f t="array" ref="BB155">$G$11+VLOOKUP($R155,武学奇术!$A:$ZZ,10,FALSE)+SUM(_xlfn.XLOOKUP($S155:$AL155,增益!$A:$A,增益!$J:$J,0))</f>
        <v>0</v>
      </c>
      <c r="BC155">
        <f t="shared" si="28"/>
        <v>0</v>
      </c>
      <c r="BD155">
        <f t="shared" si="29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2" cm="1">
        <f t="array" ref="BF155">$G$12+VLOOKUP($R155,武学奇术!$A:$ZZ,12,FALSE)+SUM(_xlfn.XLOOKUP($S155:$AL155,增益!$A:$A,增益!$L:$L,0))</f>
        <v>0</v>
      </c>
      <c r="BG155">
        <f t="shared" si="30"/>
        <v>0</v>
      </c>
      <c r="BH155">
        <f t="shared" si="31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2" cm="1">
        <f t="array" ref="BJ155">$G$13+VLOOKUP($R155,武学奇术!$A:$ZZ,14,FALSE)+SUM(_xlfn.XLOOKUP($S155:$AL155,增益!$A:$A,增益!$N:$N,0))</f>
        <v>0</v>
      </c>
      <c r="BK155">
        <f t="shared" si="32"/>
        <v>571.2</v>
      </c>
      <c r="BL155">
        <f t="shared" si="33"/>
        <v>1627.8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2" cm="1">
        <f t="array" ref="BN155">$G$14+VLOOKUP($R155,武学奇术!$A:$ZZ,16,FALSE)+SUM(_xlfn.XLOOKUP($S155:$AL155,增益!$A:$A,增益!$P:$P,0))</f>
        <v>0.15</v>
      </c>
      <c r="BO155" s="26">
        <f>MIN(IF(VLOOKUP($R155,武学奇术!$A:$ZZ,23,FALSE)=1,100%,$B$8),100%)</f>
        <v>0.981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0.846</v>
      </c>
      <c r="BQ155" s="26" cm="1">
        <f t="array" ref="BQ155">1+$B$13+VLOOKUP($R155,武学奇术!$A:$ZZ,18,FALSE)+SUM(_xlfn.XLOOKUP($S155:$AL155,增益!$A:$A,增益!$R:$R,0))</f>
        <v>1.88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0.0929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34"/>
        <v>0.829926</v>
      </c>
      <c r="BU155" s="26">
        <f t="shared" si="35"/>
        <v>0.0599391</v>
      </c>
      <c r="BV155" s="26">
        <f>IF(VLOOKUP($R155,武学奇术!$A:$ZZ,22,FALSE)=1,0,(1-$BO155))*(1-$BR155)</f>
        <v>0.0172349</v>
      </c>
      <c r="BW155" s="26" cm="1">
        <f t="array" ref="BW155">SUM(_xlfn.XLOOKUP($S155:$AL155,增益!$A:$A,增益!$W:$W,0))+$I$5</f>
        <v>0.11</v>
      </c>
      <c r="BX155" s="26" cm="1">
        <f t="array" ref="BX155">SUM(_xlfn.XLOOKUP($S155:$AL155,增益!$A:$A,增益!$X:$X,0))</f>
        <v>0</v>
      </c>
    </row>
    <row r="156" spans="11:76">
      <c r="K156">
        <f>$L156*VLOOKUP($R156,武学奇术!$A:$ZZ,31,FALSE)</f>
        <v>15175.5381387538</v>
      </c>
      <c r="L156" s="38">
        <f t="shared" si="36"/>
        <v>14452.8934654798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</f>
        <v>15347.4123418434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</f>
        <v>11943.5033886232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</f>
        <v>8035.29441981332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</f>
        <v>7223.54929249832</v>
      </c>
      <c r="Q156" s="39">
        <f t="shared" si="37"/>
        <v>1</v>
      </c>
      <c r="R156" s="40" t="s">
        <v>195</v>
      </c>
      <c r="S156" s="40" t="s">
        <v>78</v>
      </c>
      <c r="T156" s="40" t="s">
        <v>102</v>
      </c>
      <c r="U156" s="40" t="s">
        <v>79</v>
      </c>
      <c r="V156" s="40" t="s">
        <v>78</v>
      </c>
      <c r="W156" s="40" t="s">
        <v>181</v>
      </c>
      <c r="X156" s="40" t="s">
        <v>106</v>
      </c>
      <c r="Y156" s="40" t="s">
        <v>78</v>
      </c>
      <c r="Z156" s="40" t="s">
        <v>78</v>
      </c>
      <c r="AA156" s="40" t="s">
        <v>78</v>
      </c>
      <c r="AB156" s="40" t="s">
        <v>78</v>
      </c>
      <c r="AC156" s="40" t="s">
        <v>78</v>
      </c>
      <c r="AD156" s="40" t="s">
        <v>78</v>
      </c>
      <c r="AE156" s="40" t="s">
        <v>78</v>
      </c>
      <c r="AF156" s="40" t="s">
        <v>78</v>
      </c>
      <c r="AG156" s="40" t="s">
        <v>85</v>
      </c>
      <c r="AH156" s="40" t="s">
        <v>78</v>
      </c>
      <c r="AI156" s="40" t="s">
        <v>78</v>
      </c>
      <c r="AJ156" s="40" t="s">
        <v>78</v>
      </c>
      <c r="AK156" s="40" t="s">
        <v>78</v>
      </c>
      <c r="AL156" s="40" t="s">
        <v>78</v>
      </c>
      <c r="AM156" t="str">
        <f>VLOOKUP($R156,武学奇术!$A:$ZZ,25,FALSE)</f>
        <v>心法</v>
      </c>
      <c r="AN156" s="26">
        <f>VLOOKUP($R156,武学奇术!$A:$ZZ,26,FALSE)</f>
        <v>1</v>
      </c>
      <c r="AO156" s="27">
        <f>VLOOKUP($R156,武学奇术!$A:$ZZ,27,FALSE)*(1+IF(OR($AM156=$F$4,$AM156=$F$5),$B$22,0))</f>
        <v>0</v>
      </c>
      <c r="AP156" s="26">
        <f>VLOOKUP($R156,武学奇术!$A:$ZZ,28,FALSE)</f>
        <v>1</v>
      </c>
      <c r="AQ156" s="27">
        <f>VLOOKUP($R156,武学奇术!$A:$ZZ,29,FALSE)*(1+IF(OR($AM156=$F$4,$AM156=$F$5),$B$22,0))</f>
        <v>0</v>
      </c>
      <c r="AR156" s="26" cm="1">
        <f t="array" ref="AR156">$G$3+IFERROR(VLOOKUP($AM156,$F$4:$G$7,2,FALSE),0)+VLOOKUP($R156,武学奇术!$A:$ZZ,2,FALSE)+SUM(_xlfn.XLOOKUP($S156:$AL156,增益!$A:$A,增益!$B:$B,0))</f>
        <v>0.2037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3574.6</v>
      </c>
      <c r="AU156" cm="1">
        <f t="array" ref="AU156">$E$10*(1+$AS156)+VLOOKUP($R156,武学奇术!$A:$ZZ,4,FALSE)+SUM(_xlfn.XLOOKUP($S156:$AL156,增益!$A:$A,增益!$D:$D,0))-$I$2</f>
        <v>3574.6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0.2925</v>
      </c>
      <c r="AW156" s="32" cm="1">
        <f t="array" ref="AW156">$G$10+VLOOKUP($R156,武学奇术!$A:$ZZ,7,FALSE)+SUM(_xlfn.XLOOKUP($S156:$AL156,增益!$A:$A,增益!$G:$G,0))</f>
        <v>0.028</v>
      </c>
      <c r="AX156" s="26" cm="1">
        <f t="array" ref="AX156">VLOOKUP($R156,武学奇术!$A:$ZZ,8,FALSE)+SUM(_xlfn.XLOOKUP($S156:$AL156,增益!$A:$A,增益!$H:$H,0))</f>
        <v>0</v>
      </c>
      <c r="AY156">
        <f t="shared" si="26"/>
        <v>0</v>
      </c>
      <c r="AZ156">
        <f t="shared" si="27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-0.3</v>
      </c>
      <c r="BB156" s="32" cm="1">
        <f t="array" ref="BB156">$G$11+VLOOKUP($R156,武学奇术!$A:$ZZ,10,FALSE)+SUM(_xlfn.XLOOKUP($S156:$AL156,增益!$A:$A,增益!$J:$J,0))</f>
        <v>0</v>
      </c>
      <c r="BC156">
        <f t="shared" si="28"/>
        <v>0</v>
      </c>
      <c r="BD156">
        <f t="shared" si="29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-0.3</v>
      </c>
      <c r="BF156" s="32" cm="1">
        <f t="array" ref="BF156">$G$12+VLOOKUP($R156,武学奇术!$A:$ZZ,12,FALSE)+SUM(_xlfn.XLOOKUP($S156:$AL156,增益!$A:$A,增益!$L:$L,0))</f>
        <v>0</v>
      </c>
      <c r="BG156">
        <f t="shared" si="30"/>
        <v>0</v>
      </c>
      <c r="BH156">
        <f t="shared" si="31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-0.3</v>
      </c>
      <c r="BJ156" s="32" cm="1">
        <f t="array" ref="BJ156">$G$13+VLOOKUP($R156,武学奇术!$A:$ZZ,14,FALSE)+SUM(_xlfn.XLOOKUP($S156:$AL156,增益!$A:$A,增益!$N:$N,0))</f>
        <v>0</v>
      </c>
      <c r="BK156">
        <f t="shared" si="32"/>
        <v>571.2</v>
      </c>
      <c r="BL156">
        <f t="shared" si="33"/>
        <v>1627.8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</v>
      </c>
      <c r="BN156" s="32" cm="1">
        <f t="array" ref="BN156">$G$14+VLOOKUP($R156,武学奇术!$A:$ZZ,16,FALSE)+SUM(_xlfn.XLOOKUP($S156:$AL156,增益!$A:$A,增益!$P:$P,0))</f>
        <v>0.15</v>
      </c>
      <c r="BO156" s="26">
        <f>MIN(IF(VLOOKUP($R156,武学奇术!$A:$ZZ,23,FALSE)=1,100%,$B$8),100%)</f>
        <v>0.981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0.846</v>
      </c>
      <c r="BQ156" s="26" cm="1">
        <f t="array" ref="BQ156">1+$B$13+VLOOKUP($R156,武学奇术!$A:$ZZ,18,FALSE)+SUM(_xlfn.XLOOKUP($S156:$AL156,增益!$A:$A,增益!$R:$R,0))</f>
        <v>1.91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0.0929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34"/>
        <v>0.829926</v>
      </c>
      <c r="BU156" s="26">
        <f t="shared" si="35"/>
        <v>0.0599391</v>
      </c>
      <c r="BV156" s="26">
        <f>IF(VLOOKUP($R156,武学奇术!$A:$ZZ,22,FALSE)=1,0,(1-$BO156))*(1-$BR156)</f>
        <v>0.0172349</v>
      </c>
      <c r="BW156" s="26" cm="1">
        <f t="array" ref="BW156">SUM(_xlfn.XLOOKUP($S156:$AL156,增益!$A:$A,增益!$W:$W,0))+$I$5</f>
        <v>0.11</v>
      </c>
      <c r="BX156" s="26" cm="1">
        <f t="array" ref="BX156">SUM(_xlfn.XLOOKUP($S156:$AL156,增益!$A:$A,增益!$X:$X,0))</f>
        <v>0</v>
      </c>
    </row>
    <row r="157" spans="11:76">
      <c r="K157">
        <f>$L157*VLOOKUP($R157,武学奇术!$A:$ZZ,31,FALSE)</f>
        <v>17697.0199263676</v>
      </c>
      <c r="L157" s="38">
        <f t="shared" si="36"/>
        <v>16854.3046917786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</f>
        <v>17897.4517772249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</f>
        <v>13927.968519241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</f>
        <v>9370.39360064132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</f>
        <v>8423.77348332632</v>
      </c>
      <c r="Q157" s="39">
        <f t="shared" si="37"/>
        <v>1</v>
      </c>
      <c r="R157" s="40" t="s">
        <v>195</v>
      </c>
      <c r="S157" s="40" t="s">
        <v>78</v>
      </c>
      <c r="T157" s="40" t="s">
        <v>102</v>
      </c>
      <c r="U157" s="40" t="s">
        <v>79</v>
      </c>
      <c r="V157" s="40" t="s">
        <v>88</v>
      </c>
      <c r="W157" s="40" t="s">
        <v>181</v>
      </c>
      <c r="X157" s="40" t="s">
        <v>106</v>
      </c>
      <c r="Y157" s="40" t="s">
        <v>78</v>
      </c>
      <c r="Z157" s="40" t="s">
        <v>78</v>
      </c>
      <c r="AA157" s="40" t="s">
        <v>78</v>
      </c>
      <c r="AB157" s="40" t="s">
        <v>78</v>
      </c>
      <c r="AC157" s="40" t="s">
        <v>78</v>
      </c>
      <c r="AD157" s="40" t="s">
        <v>78</v>
      </c>
      <c r="AE157" s="40" t="s">
        <v>78</v>
      </c>
      <c r="AF157" s="40" t="s">
        <v>78</v>
      </c>
      <c r="AG157" s="40" t="s">
        <v>85</v>
      </c>
      <c r="AH157" s="40" t="s">
        <v>78</v>
      </c>
      <c r="AI157" s="40" t="s">
        <v>78</v>
      </c>
      <c r="AJ157" s="40" t="s">
        <v>78</v>
      </c>
      <c r="AK157" s="40" t="s">
        <v>78</v>
      </c>
      <c r="AL157" s="40" t="s">
        <v>78</v>
      </c>
      <c r="AM157" t="str">
        <f>VLOOKUP($R157,武学奇术!$A:$ZZ,25,FALSE)</f>
        <v>心法</v>
      </c>
      <c r="AN157" s="26">
        <f>VLOOKUP($R157,武学奇术!$A:$ZZ,26,FALSE)</f>
        <v>1</v>
      </c>
      <c r="AO157" s="27">
        <f>VLOOKUP($R157,武学奇术!$A:$ZZ,27,FALSE)*(1+IF(OR($AM157=$F$4,$AM157=$F$5),$B$22,0))</f>
        <v>0</v>
      </c>
      <c r="AP157" s="26">
        <f>VLOOKUP($R157,武学奇术!$A:$ZZ,28,FALSE)</f>
        <v>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0.4037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3574.6</v>
      </c>
      <c r="AU157" cm="1">
        <f t="array" ref="AU157">$E$10*(1+$AS157)+VLOOKUP($R157,武学奇术!$A:$ZZ,4,FALSE)+SUM(_xlfn.XLOOKUP($S157:$AL157,增益!$A:$A,增益!$D:$D,0))-$I$2</f>
        <v>3574.6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0.2925</v>
      </c>
      <c r="AW157" s="32" cm="1">
        <f t="array" ref="AW157">$G$10+VLOOKUP($R157,武学奇术!$A:$ZZ,7,FALSE)+SUM(_xlfn.XLOOKUP($S157:$AL157,增益!$A:$A,增益!$G:$G,0))</f>
        <v>0.028</v>
      </c>
      <c r="AX157" s="26" cm="1">
        <f t="array" ref="AX157">VLOOKUP($R157,武学奇术!$A:$ZZ,8,FALSE)+SUM(_xlfn.XLOOKUP($S157:$AL157,增益!$A:$A,增益!$H:$H,0))</f>
        <v>0</v>
      </c>
      <c r="AY157">
        <f t="shared" si="26"/>
        <v>0</v>
      </c>
      <c r="AZ157">
        <f t="shared" si="27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2" cm="1">
        <f t="array" ref="BB157">$G$11+VLOOKUP($R157,武学奇术!$A:$ZZ,10,FALSE)+SUM(_xlfn.XLOOKUP($S157:$AL157,增益!$A:$A,增益!$J:$J,0))</f>
        <v>0</v>
      </c>
      <c r="BC157">
        <f t="shared" si="28"/>
        <v>0</v>
      </c>
      <c r="BD157">
        <f t="shared" si="29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2" cm="1">
        <f t="array" ref="BF157">$G$12+VLOOKUP($R157,武学奇术!$A:$ZZ,12,FALSE)+SUM(_xlfn.XLOOKUP($S157:$AL157,增益!$A:$A,增益!$L:$L,0))</f>
        <v>0</v>
      </c>
      <c r="BG157">
        <f t="shared" si="30"/>
        <v>0</v>
      </c>
      <c r="BH157">
        <f t="shared" si="31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2" cm="1">
        <f t="array" ref="BJ157">$G$13+VLOOKUP($R157,武学奇术!$A:$ZZ,14,FALSE)+SUM(_xlfn.XLOOKUP($S157:$AL157,增益!$A:$A,增益!$N:$N,0))</f>
        <v>0</v>
      </c>
      <c r="BK157">
        <f t="shared" si="32"/>
        <v>571.2</v>
      </c>
      <c r="BL157">
        <f t="shared" si="33"/>
        <v>1627.8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2" cm="1">
        <f t="array" ref="BN157">$G$14+VLOOKUP($R157,武学奇术!$A:$ZZ,16,FALSE)+SUM(_xlfn.XLOOKUP($S157:$AL157,增益!$A:$A,增益!$P:$P,0))</f>
        <v>0.15</v>
      </c>
      <c r="BO157" s="26">
        <f>MIN(IF(VLOOKUP($R157,武学奇术!$A:$ZZ,23,FALSE)=1,100%,$B$8),100%)</f>
        <v>0.981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0.846</v>
      </c>
      <c r="BQ157" s="26" cm="1">
        <f t="array" ref="BQ157">1+$B$13+VLOOKUP($R157,武学奇术!$A:$ZZ,18,FALSE)+SUM(_xlfn.XLOOKUP($S157:$AL157,增益!$A:$A,增益!$R:$R,0))</f>
        <v>1.91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0.0929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34"/>
        <v>0.829926</v>
      </c>
      <c r="BU157" s="26">
        <f t="shared" si="35"/>
        <v>0.0599391</v>
      </c>
      <c r="BV157" s="26">
        <f>IF(VLOOKUP($R157,武学奇术!$A:$ZZ,22,FALSE)=1,0,(1-$BO157))*(1-$BR157)</f>
        <v>0.0172349</v>
      </c>
      <c r="BW157" s="26" cm="1">
        <f t="array" ref="BW157">SUM(_xlfn.XLOOKUP($S157:$AL157,增益!$A:$A,增益!$W:$W,0))+$I$5</f>
        <v>0.11</v>
      </c>
      <c r="BX157" s="26" cm="1">
        <f t="array" ref="BX157">SUM(_xlfn.XLOOKUP($S157:$AL157,增益!$A:$A,增益!$X:$X,0))</f>
        <v>0</v>
      </c>
    </row>
    <row r="158" spans="11:76">
      <c r="K158">
        <f>$L158*VLOOKUP($R158,武学奇术!$A:$ZZ,31,FALSE)</f>
        <v>19291.3460458601</v>
      </c>
      <c r="L158" s="38">
        <f t="shared" si="36"/>
        <v>18372.7105198668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</f>
        <v>19509.8348202182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</f>
        <v>15182.7404579114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</f>
        <v>10214.5732043027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</f>
        <v>9182.6719953377</v>
      </c>
      <c r="Q158" s="39">
        <f t="shared" si="37"/>
        <v>1</v>
      </c>
      <c r="R158" s="40" t="s">
        <v>195</v>
      </c>
      <c r="S158" s="40" t="s">
        <v>78</v>
      </c>
      <c r="T158" s="40" t="s">
        <v>102</v>
      </c>
      <c r="U158" s="40" t="s">
        <v>79</v>
      </c>
      <c r="V158" s="40" t="s">
        <v>88</v>
      </c>
      <c r="W158" s="40" t="s">
        <v>181</v>
      </c>
      <c r="X158" s="40" t="s">
        <v>106</v>
      </c>
      <c r="Y158" s="40" t="s">
        <v>78</v>
      </c>
      <c r="Z158" s="40" t="s">
        <v>185</v>
      </c>
      <c r="AA158" s="40" t="s">
        <v>78</v>
      </c>
      <c r="AB158" s="40" t="s">
        <v>78</v>
      </c>
      <c r="AC158" s="40" t="s">
        <v>78</v>
      </c>
      <c r="AD158" s="40" t="s">
        <v>187</v>
      </c>
      <c r="AE158" s="40" t="s">
        <v>78</v>
      </c>
      <c r="AF158" s="40" t="s">
        <v>78</v>
      </c>
      <c r="AG158" s="40" t="s">
        <v>85</v>
      </c>
      <c r="AH158" s="40" t="s">
        <v>78</v>
      </c>
      <c r="AI158" s="40" t="s">
        <v>78</v>
      </c>
      <c r="AJ158" s="40" t="s">
        <v>78</v>
      </c>
      <c r="AK158" s="40" t="s">
        <v>78</v>
      </c>
      <c r="AL158" s="40" t="s">
        <v>78</v>
      </c>
      <c r="AM158" t="str">
        <f>VLOOKUP($R158,武学奇术!$A:$ZZ,25,FALSE)</f>
        <v>心法</v>
      </c>
      <c r="AN158" s="26">
        <f>VLOOKUP($R158,武学奇术!$A:$ZZ,26,FALSE)</f>
        <v>1</v>
      </c>
      <c r="AO158" s="27">
        <f>VLOOKUP($R158,武学奇术!$A:$ZZ,27,FALSE)*(1+IF(OR($AM158=$F$4,$AM158=$F$5),$B$22,0))</f>
        <v>0</v>
      </c>
      <c r="AP158" s="26">
        <f>VLOOKUP($R158,武学奇术!$A:$ZZ,28,FALSE)</f>
        <v>1</v>
      </c>
      <c r="AQ158" s="27">
        <f>VLOOKUP($R158,武学奇术!$A:$ZZ,29,FALSE)*(1+IF(OR($AM158=$F$4,$AM158=$F$5),$B$22,0))</f>
        <v>0</v>
      </c>
      <c r="AR158" s="26" cm="1">
        <f t="array" ref="AR158">$G$3+IFERROR(VLOOKUP($AM158,$F$4:$G$7,2,FALSE),0)+VLOOKUP($R158,武学奇术!$A:$ZZ,2,FALSE)+SUM(_xlfn.XLOOKUP($S158:$AL158,增益!$A:$A,增益!$B:$B,0))</f>
        <v>0.4037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3574.6</v>
      </c>
      <c r="AU158" cm="1">
        <f t="array" ref="AU158">$E$10*(1+$AS158)+VLOOKUP($R158,武学奇术!$A:$ZZ,4,FALSE)+SUM(_xlfn.XLOOKUP($S158:$AL158,增益!$A:$A,增益!$D:$D,0))-$I$2</f>
        <v>3574.6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0.2925</v>
      </c>
      <c r="AW158" s="32" cm="1">
        <f t="array" ref="AW158">$G$10+VLOOKUP($R158,武学奇术!$A:$ZZ,7,FALSE)+SUM(_xlfn.XLOOKUP($S158:$AL158,增益!$A:$A,增益!$G:$G,0))</f>
        <v>0.028</v>
      </c>
      <c r="AX158" s="26" cm="1">
        <f t="array" ref="AX158">VLOOKUP($R158,武学奇术!$A:$ZZ,8,FALSE)+SUM(_xlfn.XLOOKUP($S158:$AL158,增益!$A:$A,增益!$H:$H,0))</f>
        <v>0</v>
      </c>
      <c r="AY158">
        <f t="shared" si="26"/>
        <v>0</v>
      </c>
      <c r="AZ158">
        <f t="shared" si="27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-0.3</v>
      </c>
      <c r="BB158" s="32" cm="1">
        <f t="array" ref="BB158">$G$11+VLOOKUP($R158,武学奇术!$A:$ZZ,10,FALSE)+SUM(_xlfn.XLOOKUP($S158:$AL158,增益!$A:$A,增益!$J:$J,0))</f>
        <v>0</v>
      </c>
      <c r="BC158">
        <f t="shared" si="28"/>
        <v>0</v>
      </c>
      <c r="BD158">
        <f t="shared" si="29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-0.3</v>
      </c>
      <c r="BF158" s="32" cm="1">
        <f t="array" ref="BF158">$G$12+VLOOKUP($R158,武学奇术!$A:$ZZ,12,FALSE)+SUM(_xlfn.XLOOKUP($S158:$AL158,增益!$A:$A,增益!$L:$L,0))</f>
        <v>0</v>
      </c>
      <c r="BG158">
        <f t="shared" si="30"/>
        <v>0</v>
      </c>
      <c r="BH158">
        <f t="shared" si="31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-0.3</v>
      </c>
      <c r="BJ158" s="32" cm="1">
        <f t="array" ref="BJ158">$G$13+VLOOKUP($R158,武学奇术!$A:$ZZ,14,FALSE)+SUM(_xlfn.XLOOKUP($S158:$AL158,增益!$A:$A,增益!$N:$N,0))</f>
        <v>0</v>
      </c>
      <c r="BK158">
        <f t="shared" si="32"/>
        <v>571.2</v>
      </c>
      <c r="BL158">
        <f t="shared" si="33"/>
        <v>1627.8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</v>
      </c>
      <c r="BN158" s="32" cm="1">
        <f t="array" ref="BN158">$G$14+VLOOKUP($R158,武学奇术!$A:$ZZ,16,FALSE)+SUM(_xlfn.XLOOKUP($S158:$AL158,增益!$A:$A,增益!$P:$P,0))</f>
        <v>0.15</v>
      </c>
      <c r="BO158" s="26">
        <f>MIN(IF(VLOOKUP($R158,武学奇术!$A:$ZZ,23,FALSE)=1,100%,$B$8),100%)</f>
        <v>0.981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0.846</v>
      </c>
      <c r="BQ158" s="26" cm="1">
        <f t="array" ref="BQ158">1+$B$13+VLOOKUP($R158,武学奇术!$A:$ZZ,18,FALSE)+SUM(_xlfn.XLOOKUP($S158:$AL158,增益!$A:$A,增益!$R:$R,0))</f>
        <v>1.91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0.0929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34"/>
        <v>0.829926</v>
      </c>
      <c r="BU158" s="26">
        <f t="shared" si="35"/>
        <v>0.0599391</v>
      </c>
      <c r="BV158" s="26">
        <f>IF(VLOOKUP($R158,武学奇术!$A:$ZZ,22,FALSE)=1,0,(1-$BO158))*(1-$BR158)</f>
        <v>0.0172349</v>
      </c>
      <c r="BW158" s="26" cm="1">
        <f t="array" ref="BW158">SUM(_xlfn.XLOOKUP($S158:$AL158,增益!$A:$A,增益!$W:$W,0))+$I$5</f>
        <v>0.21</v>
      </c>
      <c r="BX158" s="26" cm="1">
        <f t="array" ref="BX158">SUM(_xlfn.XLOOKUP($S158:$AL158,增益!$A:$A,增益!$X:$X,0))</f>
        <v>0</v>
      </c>
    </row>
    <row r="159" spans="11:76">
      <c r="K159">
        <f>$L159*VLOOKUP($R159,武学奇术!$A:$ZZ,31,FALSE)</f>
        <v>17697.0199263676</v>
      </c>
      <c r="L159" s="38">
        <f t="shared" si="36"/>
        <v>16854.3046917786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</f>
        <v>17897.4517772249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</f>
        <v>13927.968519241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</f>
        <v>9370.39360064132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</f>
        <v>8423.77348332632</v>
      </c>
      <c r="Q159" s="39">
        <f t="shared" si="37"/>
        <v>1</v>
      </c>
      <c r="R159" s="40" t="s">
        <v>195</v>
      </c>
      <c r="S159" s="40" t="s">
        <v>78</v>
      </c>
      <c r="T159" s="40" t="s">
        <v>102</v>
      </c>
      <c r="U159" s="40" t="s">
        <v>79</v>
      </c>
      <c r="V159" s="40" t="s">
        <v>88</v>
      </c>
      <c r="W159" s="40" t="s">
        <v>181</v>
      </c>
      <c r="X159" s="40" t="s">
        <v>106</v>
      </c>
      <c r="Y159" s="40" t="s">
        <v>78</v>
      </c>
      <c r="Z159" s="40" t="s">
        <v>78</v>
      </c>
      <c r="AA159" s="40" t="s">
        <v>78</v>
      </c>
      <c r="AB159" s="40" t="s">
        <v>78</v>
      </c>
      <c r="AC159" s="40" t="s">
        <v>78</v>
      </c>
      <c r="AD159" s="40" t="s">
        <v>78</v>
      </c>
      <c r="AE159" s="40" t="s">
        <v>78</v>
      </c>
      <c r="AF159" s="40" t="s">
        <v>78</v>
      </c>
      <c r="AG159" s="40" t="s">
        <v>85</v>
      </c>
      <c r="AH159" s="40" t="s">
        <v>78</v>
      </c>
      <c r="AI159" s="40" t="s">
        <v>78</v>
      </c>
      <c r="AJ159" s="40" t="s">
        <v>78</v>
      </c>
      <c r="AK159" s="40" t="s">
        <v>78</v>
      </c>
      <c r="AL159" s="40" t="s">
        <v>78</v>
      </c>
      <c r="AM159" t="str">
        <f>VLOOKUP($R159,武学奇术!$A:$ZZ,25,FALSE)</f>
        <v>心法</v>
      </c>
      <c r="AN159" s="26">
        <f>VLOOKUP($R159,武学奇术!$A:$ZZ,26,FALSE)</f>
        <v>1</v>
      </c>
      <c r="AO159" s="27">
        <f>VLOOKUP($R159,武学奇术!$A:$ZZ,27,FALSE)*(1+IF(OR($AM159=$F$4,$AM159=$F$5),$B$22,0))</f>
        <v>0</v>
      </c>
      <c r="AP159" s="26">
        <f>VLOOKUP($R159,武学奇术!$A:$ZZ,28,FALSE)</f>
        <v>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0.4037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3574.6</v>
      </c>
      <c r="AU159" cm="1">
        <f t="array" ref="AU159">$E$10*(1+$AS159)+VLOOKUP($R159,武学奇术!$A:$ZZ,4,FALSE)+SUM(_xlfn.XLOOKUP($S159:$AL159,增益!$A:$A,增益!$D:$D,0))-$I$2</f>
        <v>3574.6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0.2925</v>
      </c>
      <c r="AW159" s="32" cm="1">
        <f t="array" ref="AW159">$G$10+VLOOKUP($R159,武学奇术!$A:$ZZ,7,FALSE)+SUM(_xlfn.XLOOKUP($S159:$AL159,增益!$A:$A,增益!$G:$G,0))</f>
        <v>0.028</v>
      </c>
      <c r="AX159" s="26" cm="1">
        <f t="array" ref="AX159">VLOOKUP($R159,武学奇术!$A:$ZZ,8,FALSE)+SUM(_xlfn.XLOOKUP($S159:$AL159,增益!$A:$A,增益!$H:$H,0))</f>
        <v>0</v>
      </c>
      <c r="AY159">
        <f t="shared" si="26"/>
        <v>0</v>
      </c>
      <c r="AZ159">
        <f t="shared" si="27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-0.3</v>
      </c>
      <c r="BB159" s="32" cm="1">
        <f t="array" ref="BB159">$G$11+VLOOKUP($R159,武学奇术!$A:$ZZ,10,FALSE)+SUM(_xlfn.XLOOKUP($S159:$AL159,增益!$A:$A,增益!$J:$J,0))</f>
        <v>0</v>
      </c>
      <c r="BC159">
        <f t="shared" si="28"/>
        <v>0</v>
      </c>
      <c r="BD159">
        <f t="shared" si="29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-0.3</v>
      </c>
      <c r="BF159" s="32" cm="1">
        <f t="array" ref="BF159">$G$12+VLOOKUP($R159,武学奇术!$A:$ZZ,12,FALSE)+SUM(_xlfn.XLOOKUP($S159:$AL159,增益!$A:$A,增益!$L:$L,0))</f>
        <v>0</v>
      </c>
      <c r="BG159">
        <f t="shared" si="30"/>
        <v>0</v>
      </c>
      <c r="BH159">
        <f t="shared" si="31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-0.3</v>
      </c>
      <c r="BJ159" s="32" cm="1">
        <f t="array" ref="BJ159">$G$13+VLOOKUP($R159,武学奇术!$A:$ZZ,14,FALSE)+SUM(_xlfn.XLOOKUP($S159:$AL159,增益!$A:$A,增益!$N:$N,0))</f>
        <v>0</v>
      </c>
      <c r="BK159">
        <f t="shared" si="32"/>
        <v>571.2</v>
      </c>
      <c r="BL159">
        <f t="shared" si="33"/>
        <v>1627.8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</v>
      </c>
      <c r="BN159" s="32" cm="1">
        <f t="array" ref="BN159">$G$14+VLOOKUP($R159,武学奇术!$A:$ZZ,16,FALSE)+SUM(_xlfn.XLOOKUP($S159:$AL159,增益!$A:$A,增益!$P:$P,0))</f>
        <v>0.15</v>
      </c>
      <c r="BO159" s="26">
        <f>MIN(IF(VLOOKUP($R159,武学奇术!$A:$ZZ,23,FALSE)=1,100%,$B$8),100%)</f>
        <v>0.981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0.846</v>
      </c>
      <c r="BQ159" s="26" cm="1">
        <f t="array" ref="BQ159">1+$B$13+VLOOKUP($R159,武学奇术!$A:$ZZ,18,FALSE)+SUM(_xlfn.XLOOKUP($S159:$AL159,增益!$A:$A,增益!$R:$R,0))</f>
        <v>1.91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0.0929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34"/>
        <v>0.829926</v>
      </c>
      <c r="BU159" s="26">
        <f t="shared" si="35"/>
        <v>0.0599391</v>
      </c>
      <c r="BV159" s="26">
        <f>IF(VLOOKUP($R159,武学奇术!$A:$ZZ,22,FALSE)=1,0,(1-$BO159))*(1-$BR159)</f>
        <v>0.0172349</v>
      </c>
      <c r="BW159" s="26" cm="1">
        <f t="array" ref="BW159">SUM(_xlfn.XLOOKUP($S159:$AL159,增益!$A:$A,增益!$W:$W,0))+$I$5</f>
        <v>0.11</v>
      </c>
      <c r="BX159" s="26" cm="1">
        <f t="array" ref="BX159">SUM(_xlfn.XLOOKUP($S159:$AL159,增益!$A:$A,增益!$X:$X,0))</f>
        <v>0</v>
      </c>
    </row>
    <row r="160" spans="11:76">
      <c r="K160">
        <f>$L160*VLOOKUP($R160,武学奇术!$A:$ZZ,31,FALSE)</f>
        <v>17697.0199263676</v>
      </c>
      <c r="L160" s="38">
        <f t="shared" si="36"/>
        <v>16854.3046917786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</f>
        <v>17897.4517772249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</f>
        <v>13927.968519241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</f>
        <v>9370.39360064132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</f>
        <v>8423.77348332632</v>
      </c>
      <c r="Q160" s="39">
        <f t="shared" si="37"/>
        <v>1</v>
      </c>
      <c r="R160" s="40" t="s">
        <v>195</v>
      </c>
      <c r="S160" s="40" t="s">
        <v>78</v>
      </c>
      <c r="T160" s="40" t="s">
        <v>102</v>
      </c>
      <c r="U160" s="40" t="s">
        <v>79</v>
      </c>
      <c r="V160" s="40" t="s">
        <v>88</v>
      </c>
      <c r="W160" s="40" t="s">
        <v>181</v>
      </c>
      <c r="X160" s="40" t="s">
        <v>106</v>
      </c>
      <c r="Y160" s="40" t="s">
        <v>78</v>
      </c>
      <c r="Z160" s="40" t="s">
        <v>78</v>
      </c>
      <c r="AA160" s="40" t="s">
        <v>78</v>
      </c>
      <c r="AB160" s="40" t="s">
        <v>78</v>
      </c>
      <c r="AC160" s="40" t="s">
        <v>78</v>
      </c>
      <c r="AD160" s="40" t="s">
        <v>78</v>
      </c>
      <c r="AE160" s="40" t="s">
        <v>78</v>
      </c>
      <c r="AF160" s="40" t="s">
        <v>78</v>
      </c>
      <c r="AG160" s="40" t="s">
        <v>85</v>
      </c>
      <c r="AH160" s="40" t="s">
        <v>78</v>
      </c>
      <c r="AI160" s="40" t="s">
        <v>78</v>
      </c>
      <c r="AJ160" s="40" t="s">
        <v>78</v>
      </c>
      <c r="AK160" s="40" t="s">
        <v>78</v>
      </c>
      <c r="AL160" s="40" t="s">
        <v>78</v>
      </c>
      <c r="AM160" t="str">
        <f>VLOOKUP($R160,武学奇术!$A:$ZZ,25,FALSE)</f>
        <v>心法</v>
      </c>
      <c r="AN160" s="26">
        <f>VLOOKUP($R160,武学奇术!$A:$ZZ,26,FALSE)</f>
        <v>1</v>
      </c>
      <c r="AO160" s="27">
        <f>VLOOKUP($R160,武学奇术!$A:$ZZ,27,FALSE)*(1+IF(OR($AM160=$F$4,$AM160=$F$5),$B$22,0))</f>
        <v>0</v>
      </c>
      <c r="AP160" s="26">
        <f>VLOOKUP($R160,武学奇术!$A:$ZZ,28,FALSE)</f>
        <v>1</v>
      </c>
      <c r="AQ160" s="27">
        <f>VLOOKUP($R160,武学奇术!$A:$ZZ,29,FALSE)*(1+IF(OR($AM160=$F$4,$AM160=$F$5),$B$22,0))</f>
        <v>0</v>
      </c>
      <c r="AR160" s="26" cm="1">
        <f t="array" ref="AR160">$G$3+IFERROR(VLOOKUP($AM160,$F$4:$G$7,2,FALSE),0)+VLOOKUP($R160,武学奇术!$A:$ZZ,2,FALSE)+SUM(_xlfn.XLOOKUP($S160:$AL160,增益!$A:$A,增益!$B:$B,0))</f>
        <v>0.4037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3574.6</v>
      </c>
      <c r="AU160" cm="1">
        <f t="array" ref="AU160">$E$10*(1+$AS160)+VLOOKUP($R160,武学奇术!$A:$ZZ,4,FALSE)+SUM(_xlfn.XLOOKUP($S160:$AL160,增益!$A:$A,增益!$D:$D,0))-$I$2</f>
        <v>3574.6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0.2925</v>
      </c>
      <c r="AW160" s="32" cm="1">
        <f t="array" ref="AW160">$G$10+VLOOKUP($R160,武学奇术!$A:$ZZ,7,FALSE)+SUM(_xlfn.XLOOKUP($S160:$AL160,增益!$A:$A,增益!$G:$G,0))</f>
        <v>0.028</v>
      </c>
      <c r="AX160" s="26" cm="1">
        <f t="array" ref="AX160">VLOOKUP($R160,武学奇术!$A:$ZZ,8,FALSE)+SUM(_xlfn.XLOOKUP($S160:$AL160,增益!$A:$A,增益!$H:$H,0))</f>
        <v>0</v>
      </c>
      <c r="AY160">
        <f t="shared" si="26"/>
        <v>0</v>
      </c>
      <c r="AZ160">
        <f t="shared" si="27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-0.3</v>
      </c>
      <c r="BB160" s="32" cm="1">
        <f t="array" ref="BB160">$G$11+VLOOKUP($R160,武学奇术!$A:$ZZ,10,FALSE)+SUM(_xlfn.XLOOKUP($S160:$AL160,增益!$A:$A,增益!$J:$J,0))</f>
        <v>0</v>
      </c>
      <c r="BC160">
        <f t="shared" si="28"/>
        <v>0</v>
      </c>
      <c r="BD160">
        <f t="shared" si="29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-0.3</v>
      </c>
      <c r="BF160" s="32" cm="1">
        <f t="array" ref="BF160">$G$12+VLOOKUP($R160,武学奇术!$A:$ZZ,12,FALSE)+SUM(_xlfn.XLOOKUP($S160:$AL160,增益!$A:$A,增益!$L:$L,0))</f>
        <v>0</v>
      </c>
      <c r="BG160">
        <f t="shared" si="30"/>
        <v>0</v>
      </c>
      <c r="BH160">
        <f t="shared" si="31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-0.3</v>
      </c>
      <c r="BJ160" s="32" cm="1">
        <f t="array" ref="BJ160">$G$13+VLOOKUP($R160,武学奇术!$A:$ZZ,14,FALSE)+SUM(_xlfn.XLOOKUP($S160:$AL160,增益!$A:$A,增益!$N:$N,0))</f>
        <v>0</v>
      </c>
      <c r="BK160">
        <f t="shared" si="32"/>
        <v>571.2</v>
      </c>
      <c r="BL160">
        <f t="shared" si="33"/>
        <v>1627.8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</v>
      </c>
      <c r="BN160" s="32" cm="1">
        <f t="array" ref="BN160">$G$14+VLOOKUP($R160,武学奇术!$A:$ZZ,16,FALSE)+SUM(_xlfn.XLOOKUP($S160:$AL160,增益!$A:$A,增益!$P:$P,0))</f>
        <v>0.15</v>
      </c>
      <c r="BO160" s="26">
        <f>MIN(IF(VLOOKUP($R160,武学奇术!$A:$ZZ,23,FALSE)=1,100%,$B$8),100%)</f>
        <v>0.981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0.846</v>
      </c>
      <c r="BQ160" s="26" cm="1">
        <f t="array" ref="BQ160">1+$B$13+VLOOKUP($R160,武学奇术!$A:$ZZ,18,FALSE)+SUM(_xlfn.XLOOKUP($S160:$AL160,增益!$A:$A,增益!$R:$R,0))</f>
        <v>1.91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0.0929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34"/>
        <v>0.829926</v>
      </c>
      <c r="BU160" s="26">
        <f t="shared" si="35"/>
        <v>0.0599391</v>
      </c>
      <c r="BV160" s="26">
        <f>IF(VLOOKUP($R160,武学奇术!$A:$ZZ,22,FALSE)=1,0,(1-$BO160))*(1-$BR160)</f>
        <v>0.0172349</v>
      </c>
      <c r="BW160" s="26" cm="1">
        <f t="array" ref="BW160">SUM(_xlfn.XLOOKUP($S160:$AL160,增益!$A:$A,增益!$W:$W,0))+$I$5</f>
        <v>0.11</v>
      </c>
      <c r="BX160" s="26" cm="1">
        <f t="array" ref="BX160">SUM(_xlfn.XLOOKUP($S160:$AL160,增益!$A:$A,增益!$X:$X,0))</f>
        <v>0</v>
      </c>
    </row>
    <row r="161" spans="11:76">
      <c r="K161">
        <f>$L161*VLOOKUP($R161,武学奇术!$A:$ZZ,31,FALSE)</f>
        <v>15175.5381387538</v>
      </c>
      <c r="L161" s="38">
        <f t="shared" si="36"/>
        <v>14452.8934654798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</f>
        <v>15347.4123418434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</f>
        <v>11943.5033886232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</f>
        <v>8035.29441981332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</f>
        <v>7223.54929249832</v>
      </c>
      <c r="Q161" s="39">
        <f t="shared" si="37"/>
        <v>1</v>
      </c>
      <c r="R161" s="40" t="s">
        <v>195</v>
      </c>
      <c r="S161" s="40" t="s">
        <v>78</v>
      </c>
      <c r="T161" s="40" t="s">
        <v>102</v>
      </c>
      <c r="U161" s="40" t="s">
        <v>79</v>
      </c>
      <c r="V161" s="40" t="s">
        <v>78</v>
      </c>
      <c r="W161" s="40" t="s">
        <v>181</v>
      </c>
      <c r="X161" s="40" t="s">
        <v>106</v>
      </c>
      <c r="Y161" s="40" t="s">
        <v>78</v>
      </c>
      <c r="Z161" s="40" t="s">
        <v>78</v>
      </c>
      <c r="AA161" s="40" t="s">
        <v>78</v>
      </c>
      <c r="AB161" s="40" t="s">
        <v>78</v>
      </c>
      <c r="AC161" s="40" t="s">
        <v>78</v>
      </c>
      <c r="AD161" s="40" t="s">
        <v>78</v>
      </c>
      <c r="AE161" s="40" t="s">
        <v>78</v>
      </c>
      <c r="AF161" s="40" t="s">
        <v>78</v>
      </c>
      <c r="AG161" s="40" t="s">
        <v>85</v>
      </c>
      <c r="AH161" s="40" t="s">
        <v>78</v>
      </c>
      <c r="AI161" s="40" t="s">
        <v>78</v>
      </c>
      <c r="AJ161" s="40" t="s">
        <v>78</v>
      </c>
      <c r="AK161" s="40" t="s">
        <v>78</v>
      </c>
      <c r="AL161" s="40" t="s">
        <v>78</v>
      </c>
      <c r="AM161" t="str">
        <f>VLOOKUP($R161,武学奇术!$A:$ZZ,25,FALSE)</f>
        <v>心法</v>
      </c>
      <c r="AN161" s="26">
        <f>VLOOKUP($R161,武学奇术!$A:$ZZ,26,FALSE)</f>
        <v>1</v>
      </c>
      <c r="AO161" s="27">
        <f>VLOOKUP($R161,武学奇术!$A:$ZZ,27,FALSE)*(1+IF(OR($AM161=$F$4,$AM161=$F$5),$B$22,0))</f>
        <v>0</v>
      </c>
      <c r="AP161" s="26">
        <f>VLOOKUP($R161,武学奇术!$A:$ZZ,28,FALSE)</f>
        <v>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0.2037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3574.6</v>
      </c>
      <c r="AU161" cm="1">
        <f t="array" ref="AU161">$E$10*(1+$AS161)+VLOOKUP($R161,武学奇术!$A:$ZZ,4,FALSE)+SUM(_xlfn.XLOOKUP($S161:$AL161,增益!$A:$A,增益!$D:$D,0))-$I$2</f>
        <v>3574.6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0.2925</v>
      </c>
      <c r="AW161" s="32" cm="1">
        <f t="array" ref="AW161">$G$10+VLOOKUP($R161,武学奇术!$A:$ZZ,7,FALSE)+SUM(_xlfn.XLOOKUP($S161:$AL161,增益!$A:$A,增益!$G:$G,0))</f>
        <v>0.028</v>
      </c>
      <c r="AX161" s="26" cm="1">
        <f t="array" ref="AX161">VLOOKUP($R161,武学奇术!$A:$ZZ,8,FALSE)+SUM(_xlfn.XLOOKUP($S161:$AL161,增益!$A:$A,增益!$H:$H,0))</f>
        <v>0</v>
      </c>
      <c r="AY161">
        <f t="shared" si="26"/>
        <v>0</v>
      </c>
      <c r="AZ161">
        <f t="shared" si="27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-0.3</v>
      </c>
      <c r="BB161" s="32" cm="1">
        <f t="array" ref="BB161">$G$11+VLOOKUP($R161,武学奇术!$A:$ZZ,10,FALSE)+SUM(_xlfn.XLOOKUP($S161:$AL161,增益!$A:$A,增益!$J:$J,0))</f>
        <v>0</v>
      </c>
      <c r="BC161">
        <f t="shared" si="28"/>
        <v>0</v>
      </c>
      <c r="BD161">
        <f t="shared" si="29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-0.3</v>
      </c>
      <c r="BF161" s="32" cm="1">
        <f t="array" ref="BF161">$G$12+VLOOKUP($R161,武学奇术!$A:$ZZ,12,FALSE)+SUM(_xlfn.XLOOKUP($S161:$AL161,增益!$A:$A,增益!$L:$L,0))</f>
        <v>0</v>
      </c>
      <c r="BG161">
        <f t="shared" si="30"/>
        <v>0</v>
      </c>
      <c r="BH161">
        <f t="shared" si="31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-0.3</v>
      </c>
      <c r="BJ161" s="32" cm="1">
        <f t="array" ref="BJ161">$G$13+VLOOKUP($R161,武学奇术!$A:$ZZ,14,FALSE)+SUM(_xlfn.XLOOKUP($S161:$AL161,增益!$A:$A,增益!$N:$N,0))</f>
        <v>0</v>
      </c>
      <c r="BK161">
        <f t="shared" si="32"/>
        <v>571.2</v>
      </c>
      <c r="BL161">
        <f t="shared" si="33"/>
        <v>1627.8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</v>
      </c>
      <c r="BN161" s="32" cm="1">
        <f t="array" ref="BN161">$G$14+VLOOKUP($R161,武学奇术!$A:$ZZ,16,FALSE)+SUM(_xlfn.XLOOKUP($S161:$AL161,增益!$A:$A,增益!$P:$P,0))</f>
        <v>0.15</v>
      </c>
      <c r="BO161" s="26">
        <f>MIN(IF(VLOOKUP($R161,武学奇术!$A:$ZZ,23,FALSE)=1,100%,$B$8),100%)</f>
        <v>0.981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0.846</v>
      </c>
      <c r="BQ161" s="26" cm="1">
        <f t="array" ref="BQ161">1+$B$13+VLOOKUP($R161,武学奇术!$A:$ZZ,18,FALSE)+SUM(_xlfn.XLOOKUP($S161:$AL161,增益!$A:$A,增益!$R:$R,0))</f>
        <v>1.91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0.0929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34"/>
        <v>0.829926</v>
      </c>
      <c r="BU161" s="26">
        <f t="shared" si="35"/>
        <v>0.0599391</v>
      </c>
      <c r="BV161" s="26">
        <f>IF(VLOOKUP($R161,武学奇术!$A:$ZZ,22,FALSE)=1,0,(1-$BO161))*(1-$BR161)</f>
        <v>0.0172349</v>
      </c>
      <c r="BW161" s="26" cm="1">
        <f t="array" ref="BW161">SUM(_xlfn.XLOOKUP($S161:$AL161,增益!$A:$A,增益!$W:$W,0))+$I$5</f>
        <v>0.11</v>
      </c>
      <c r="BX161" s="26" cm="1">
        <f t="array" ref="BX161">SUM(_xlfn.XLOOKUP($S161:$AL161,增益!$A:$A,增益!$X:$X,0))</f>
        <v>0</v>
      </c>
    </row>
    <row r="162" spans="11:76">
      <c r="K162">
        <f>$L162*VLOOKUP($R162,武学奇术!$A:$ZZ,31,FALSE)</f>
        <v>15175.5381387538</v>
      </c>
      <c r="L162" s="38">
        <f t="shared" si="36"/>
        <v>14452.8934654798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</f>
        <v>15347.4123418434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</f>
        <v>11943.5033886232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</f>
        <v>8035.29441981332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</f>
        <v>7223.54929249832</v>
      </c>
      <c r="Q162" s="39">
        <f t="shared" si="37"/>
        <v>1</v>
      </c>
      <c r="R162" s="40" t="s">
        <v>195</v>
      </c>
      <c r="S162" s="40" t="s">
        <v>78</v>
      </c>
      <c r="T162" s="40" t="s">
        <v>102</v>
      </c>
      <c r="U162" s="40" t="s">
        <v>79</v>
      </c>
      <c r="V162" s="40" t="s">
        <v>78</v>
      </c>
      <c r="W162" s="40" t="s">
        <v>181</v>
      </c>
      <c r="X162" s="40" t="s">
        <v>106</v>
      </c>
      <c r="Y162" s="40" t="s">
        <v>78</v>
      </c>
      <c r="Z162" s="40" t="s">
        <v>78</v>
      </c>
      <c r="AA162" s="40" t="s">
        <v>78</v>
      </c>
      <c r="AB162" s="40" t="s">
        <v>78</v>
      </c>
      <c r="AC162" s="40" t="s">
        <v>78</v>
      </c>
      <c r="AD162" s="40" t="s">
        <v>78</v>
      </c>
      <c r="AE162" s="40" t="s">
        <v>78</v>
      </c>
      <c r="AF162" s="40" t="s">
        <v>78</v>
      </c>
      <c r="AG162" s="40" t="s">
        <v>85</v>
      </c>
      <c r="AH162" s="40" t="s">
        <v>78</v>
      </c>
      <c r="AI162" s="40" t="s">
        <v>78</v>
      </c>
      <c r="AJ162" s="40" t="s">
        <v>78</v>
      </c>
      <c r="AK162" s="40" t="s">
        <v>78</v>
      </c>
      <c r="AL162" s="40" t="s">
        <v>78</v>
      </c>
      <c r="AM162" t="str">
        <f>VLOOKUP($R162,武学奇术!$A:$ZZ,25,FALSE)</f>
        <v>心法</v>
      </c>
      <c r="AN162" s="26">
        <f>VLOOKUP($R162,武学奇术!$A:$ZZ,26,FALSE)</f>
        <v>1</v>
      </c>
      <c r="AO162" s="27">
        <f>VLOOKUP($R162,武学奇术!$A:$ZZ,27,FALSE)*(1+IF(OR($AM162=$F$4,$AM162=$F$5),$B$22,0))</f>
        <v>0</v>
      </c>
      <c r="AP162" s="26">
        <f>VLOOKUP($R162,武学奇术!$A:$ZZ,28,FALSE)</f>
        <v>1</v>
      </c>
      <c r="AQ162" s="27">
        <f>VLOOKUP($R162,武学奇术!$A:$ZZ,29,FALSE)*(1+IF(OR($AM162=$F$4,$AM162=$F$5),$B$22,0))</f>
        <v>0</v>
      </c>
      <c r="AR162" s="26" cm="1">
        <f t="array" ref="AR162">$G$3+IFERROR(VLOOKUP($AM162,$F$4:$G$7,2,FALSE),0)+VLOOKUP($R162,武学奇术!$A:$ZZ,2,FALSE)+SUM(_xlfn.XLOOKUP($S162:$AL162,增益!$A:$A,增益!$B:$B,0))</f>
        <v>0.2037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3574.6</v>
      </c>
      <c r="AU162" cm="1">
        <f t="array" ref="AU162">$E$10*(1+$AS162)+VLOOKUP($R162,武学奇术!$A:$ZZ,4,FALSE)+SUM(_xlfn.XLOOKUP($S162:$AL162,增益!$A:$A,增益!$D:$D,0))-$I$2</f>
        <v>3574.6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0.2925</v>
      </c>
      <c r="AW162" s="32" cm="1">
        <f t="array" ref="AW162">$G$10+VLOOKUP($R162,武学奇术!$A:$ZZ,7,FALSE)+SUM(_xlfn.XLOOKUP($S162:$AL162,增益!$A:$A,增益!$G:$G,0))</f>
        <v>0.028</v>
      </c>
      <c r="AX162" s="26" cm="1">
        <f t="array" ref="AX162">VLOOKUP($R162,武学奇术!$A:$ZZ,8,FALSE)+SUM(_xlfn.XLOOKUP($S162:$AL162,增益!$A:$A,增益!$H:$H,0))</f>
        <v>0</v>
      </c>
      <c r="AY162">
        <f t="shared" si="26"/>
        <v>0</v>
      </c>
      <c r="AZ162">
        <f t="shared" si="27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2" cm="1">
        <f t="array" ref="BB162">$G$11+VLOOKUP($R162,武学奇术!$A:$ZZ,10,FALSE)+SUM(_xlfn.XLOOKUP($S162:$AL162,增益!$A:$A,增益!$J:$J,0))</f>
        <v>0</v>
      </c>
      <c r="BC162">
        <f t="shared" si="28"/>
        <v>0</v>
      </c>
      <c r="BD162">
        <f t="shared" si="29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2" cm="1">
        <f t="array" ref="BF162">$G$12+VLOOKUP($R162,武学奇术!$A:$ZZ,12,FALSE)+SUM(_xlfn.XLOOKUP($S162:$AL162,增益!$A:$A,增益!$L:$L,0))</f>
        <v>0</v>
      </c>
      <c r="BG162">
        <f t="shared" si="30"/>
        <v>0</v>
      </c>
      <c r="BH162">
        <f t="shared" si="31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2" cm="1">
        <f t="array" ref="BJ162">$G$13+VLOOKUP($R162,武学奇术!$A:$ZZ,14,FALSE)+SUM(_xlfn.XLOOKUP($S162:$AL162,增益!$A:$A,增益!$N:$N,0))</f>
        <v>0</v>
      </c>
      <c r="BK162">
        <f t="shared" si="32"/>
        <v>571.2</v>
      </c>
      <c r="BL162">
        <f t="shared" si="33"/>
        <v>1627.8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2" cm="1">
        <f t="array" ref="BN162">$G$14+VLOOKUP($R162,武学奇术!$A:$ZZ,16,FALSE)+SUM(_xlfn.XLOOKUP($S162:$AL162,增益!$A:$A,增益!$P:$P,0))</f>
        <v>0.15</v>
      </c>
      <c r="BO162" s="26">
        <f>MIN(IF(VLOOKUP($R162,武学奇术!$A:$ZZ,23,FALSE)=1,100%,$B$8),100%)</f>
        <v>0.981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0.846</v>
      </c>
      <c r="BQ162" s="26" cm="1">
        <f t="array" ref="BQ162">1+$B$13+VLOOKUP($R162,武学奇术!$A:$ZZ,18,FALSE)+SUM(_xlfn.XLOOKUP($S162:$AL162,增益!$A:$A,增益!$R:$R,0))</f>
        <v>1.91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0.0929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34"/>
        <v>0.829926</v>
      </c>
      <c r="BU162" s="26">
        <f t="shared" si="35"/>
        <v>0.0599391</v>
      </c>
      <c r="BV162" s="26">
        <f>IF(VLOOKUP($R162,武学奇术!$A:$ZZ,22,FALSE)=1,0,(1-$BO162))*(1-$BR162)</f>
        <v>0.0172349</v>
      </c>
      <c r="BW162" s="26" cm="1">
        <f t="array" ref="BW162">SUM(_xlfn.XLOOKUP($S162:$AL162,增益!$A:$A,增益!$W:$W,0))+$I$5</f>
        <v>0.11</v>
      </c>
      <c r="BX162" s="26" cm="1">
        <f t="array" ref="BX162">SUM(_xlfn.XLOOKUP($S162:$AL162,增益!$A:$A,增益!$X:$X,0))</f>
        <v>0</v>
      </c>
    </row>
    <row r="163" spans="11:76">
      <c r="K163">
        <f>$L163*VLOOKUP($R163,武学奇术!$A:$ZZ,31,FALSE)</f>
        <v>19291.3460458601</v>
      </c>
      <c r="L163" s="38">
        <f t="shared" si="36"/>
        <v>18372.7105198668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</f>
        <v>19509.8348202182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</f>
        <v>15182.7404579114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</f>
        <v>10214.5732043027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</f>
        <v>9182.6719953377</v>
      </c>
      <c r="Q163" s="39">
        <f t="shared" si="37"/>
        <v>1</v>
      </c>
      <c r="R163" s="40" t="s">
        <v>195</v>
      </c>
      <c r="S163" s="40" t="s">
        <v>78</v>
      </c>
      <c r="T163" s="40" t="s">
        <v>102</v>
      </c>
      <c r="U163" s="40" t="s">
        <v>79</v>
      </c>
      <c r="V163" s="40" t="s">
        <v>88</v>
      </c>
      <c r="W163" s="40" t="s">
        <v>181</v>
      </c>
      <c r="X163" s="40" t="s">
        <v>106</v>
      </c>
      <c r="Y163" s="40" t="s">
        <v>78</v>
      </c>
      <c r="Z163" s="40" t="s">
        <v>185</v>
      </c>
      <c r="AA163" s="40" t="s">
        <v>78</v>
      </c>
      <c r="AB163" s="40" t="s">
        <v>78</v>
      </c>
      <c r="AC163" s="40" t="s">
        <v>78</v>
      </c>
      <c r="AD163" s="40" t="s">
        <v>187</v>
      </c>
      <c r="AE163" s="40" t="s">
        <v>78</v>
      </c>
      <c r="AF163" s="40" t="s">
        <v>78</v>
      </c>
      <c r="AG163" s="40" t="s">
        <v>85</v>
      </c>
      <c r="AH163" s="40" t="s">
        <v>78</v>
      </c>
      <c r="AI163" s="40" t="s">
        <v>78</v>
      </c>
      <c r="AJ163" s="40" t="s">
        <v>78</v>
      </c>
      <c r="AK163" s="40" t="s">
        <v>78</v>
      </c>
      <c r="AL163" s="40" t="s">
        <v>78</v>
      </c>
      <c r="AM163" t="str">
        <f>VLOOKUP($R163,武学奇术!$A:$ZZ,25,FALSE)</f>
        <v>心法</v>
      </c>
      <c r="AN163" s="26">
        <f>VLOOKUP($R163,武学奇术!$A:$ZZ,26,FALSE)</f>
        <v>1</v>
      </c>
      <c r="AO163" s="27">
        <f>VLOOKUP($R163,武学奇术!$A:$ZZ,27,FALSE)*(1+IF(OR($AM163=$F$4,$AM163=$F$5),$B$22,0))</f>
        <v>0</v>
      </c>
      <c r="AP163" s="26">
        <f>VLOOKUP($R163,武学奇术!$A:$ZZ,28,FALSE)</f>
        <v>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0.4037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3574.6</v>
      </c>
      <c r="AU163" cm="1">
        <f t="array" ref="AU163">$E$10*(1+$AS163)+VLOOKUP($R163,武学奇术!$A:$ZZ,4,FALSE)+SUM(_xlfn.XLOOKUP($S163:$AL163,增益!$A:$A,增益!$D:$D,0))-$I$2</f>
        <v>3574.6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0.2925</v>
      </c>
      <c r="AW163" s="32" cm="1">
        <f t="array" ref="AW163">$G$10+VLOOKUP($R163,武学奇术!$A:$ZZ,7,FALSE)+SUM(_xlfn.XLOOKUP($S163:$AL163,增益!$A:$A,增益!$G:$G,0))</f>
        <v>0.028</v>
      </c>
      <c r="AX163" s="26" cm="1">
        <f t="array" ref="AX163">VLOOKUP($R163,武学奇术!$A:$ZZ,8,FALSE)+SUM(_xlfn.XLOOKUP($S163:$AL163,增益!$A:$A,增益!$H:$H,0))</f>
        <v>0</v>
      </c>
      <c r="AY163">
        <f t="shared" si="26"/>
        <v>0</v>
      </c>
      <c r="AZ163">
        <f t="shared" si="27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-0.3</v>
      </c>
      <c r="BB163" s="32" cm="1">
        <f t="array" ref="BB163">$G$11+VLOOKUP($R163,武学奇术!$A:$ZZ,10,FALSE)+SUM(_xlfn.XLOOKUP($S163:$AL163,增益!$A:$A,增益!$J:$J,0))</f>
        <v>0</v>
      </c>
      <c r="BC163">
        <f t="shared" si="28"/>
        <v>0</v>
      </c>
      <c r="BD163">
        <f t="shared" si="29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-0.3</v>
      </c>
      <c r="BF163" s="32" cm="1">
        <f t="array" ref="BF163">$G$12+VLOOKUP($R163,武学奇术!$A:$ZZ,12,FALSE)+SUM(_xlfn.XLOOKUP($S163:$AL163,增益!$A:$A,增益!$L:$L,0))</f>
        <v>0</v>
      </c>
      <c r="BG163">
        <f t="shared" si="30"/>
        <v>0</v>
      </c>
      <c r="BH163">
        <f t="shared" si="31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-0.3</v>
      </c>
      <c r="BJ163" s="32" cm="1">
        <f t="array" ref="BJ163">$G$13+VLOOKUP($R163,武学奇术!$A:$ZZ,14,FALSE)+SUM(_xlfn.XLOOKUP($S163:$AL163,增益!$A:$A,增益!$N:$N,0))</f>
        <v>0</v>
      </c>
      <c r="BK163">
        <f t="shared" si="32"/>
        <v>571.2</v>
      </c>
      <c r="BL163">
        <f t="shared" si="33"/>
        <v>1627.8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</v>
      </c>
      <c r="BN163" s="32" cm="1">
        <f t="array" ref="BN163">$G$14+VLOOKUP($R163,武学奇术!$A:$ZZ,16,FALSE)+SUM(_xlfn.XLOOKUP($S163:$AL163,增益!$A:$A,增益!$P:$P,0))</f>
        <v>0.15</v>
      </c>
      <c r="BO163" s="26">
        <f>MIN(IF(VLOOKUP($R163,武学奇术!$A:$ZZ,23,FALSE)=1,100%,$B$8),100%)</f>
        <v>0.981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0.846</v>
      </c>
      <c r="BQ163" s="26" cm="1">
        <f t="array" ref="BQ163">1+$B$13+VLOOKUP($R163,武学奇术!$A:$ZZ,18,FALSE)+SUM(_xlfn.XLOOKUP($S163:$AL163,增益!$A:$A,增益!$R:$R,0))</f>
        <v>1.91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0.0929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34"/>
        <v>0.829926</v>
      </c>
      <c r="BU163" s="26">
        <f t="shared" si="35"/>
        <v>0.0599391</v>
      </c>
      <c r="BV163" s="26">
        <f>IF(VLOOKUP($R163,武学奇术!$A:$ZZ,22,FALSE)=1,0,(1-$BO163))*(1-$BR163)</f>
        <v>0.0172349</v>
      </c>
      <c r="BW163" s="26" cm="1">
        <f t="array" ref="BW163">SUM(_xlfn.XLOOKUP($S163:$AL163,增益!$A:$A,增益!$W:$W,0))+$I$5</f>
        <v>0.21</v>
      </c>
      <c r="BX163" s="26" cm="1">
        <f t="array" ref="BX163">SUM(_xlfn.XLOOKUP($S163:$AL163,增益!$A:$A,增益!$X:$X,0))</f>
        <v>0</v>
      </c>
    </row>
    <row r="164" spans="11:76">
      <c r="K164">
        <f>$L164*VLOOKUP($R164,武学奇术!$A:$ZZ,31,FALSE)</f>
        <v>0</v>
      </c>
      <c r="L164" s="38">
        <f t="shared" si="36"/>
        <v>0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</f>
        <v>0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</f>
        <v>0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</f>
        <v>0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</f>
        <v>0</v>
      </c>
      <c r="Q164" s="39">
        <v>0</v>
      </c>
      <c r="R164" s="40" t="s">
        <v>78</v>
      </c>
      <c r="S164" s="40" t="s">
        <v>78</v>
      </c>
      <c r="T164" s="40" t="s">
        <v>78</v>
      </c>
      <c r="U164" s="40" t="s">
        <v>78</v>
      </c>
      <c r="V164" s="40" t="s">
        <v>78</v>
      </c>
      <c r="W164" s="40" t="s">
        <v>78</v>
      </c>
      <c r="X164" s="40" t="s">
        <v>78</v>
      </c>
      <c r="Y164" s="40" t="s">
        <v>78</v>
      </c>
      <c r="Z164" s="40" t="s">
        <v>78</v>
      </c>
      <c r="AA164" s="40" t="s">
        <v>78</v>
      </c>
      <c r="AB164" s="40" t="s">
        <v>78</v>
      </c>
      <c r="AC164" s="40" t="s">
        <v>78</v>
      </c>
      <c r="AD164" s="40" t="s">
        <v>78</v>
      </c>
      <c r="AE164" s="40" t="s">
        <v>78</v>
      </c>
      <c r="AF164" s="40" t="s">
        <v>78</v>
      </c>
      <c r="AG164" s="40" t="s">
        <v>85</v>
      </c>
      <c r="AH164" s="40" t="s">
        <v>78</v>
      </c>
      <c r="AI164" s="40" t="s">
        <v>78</v>
      </c>
      <c r="AJ164" s="40" t="s">
        <v>78</v>
      </c>
      <c r="AK164" s="40" t="s">
        <v>78</v>
      </c>
      <c r="AL164" s="40" t="s">
        <v>78</v>
      </c>
      <c r="AM164" t="str">
        <f>VLOOKUP($R164,武学奇术!$A:$ZZ,25,FALSE)</f>
        <v>心法</v>
      </c>
      <c r="AN164" s="26">
        <f>VLOOKUP($R164,武学奇术!$A:$ZZ,26,FALSE)</f>
        <v>0</v>
      </c>
      <c r="AO164" s="27">
        <f>VLOOKUP($R164,武学奇术!$A:$ZZ,27,FALSE)*(1+IF(OR($AM164=$F$4,$AM164=$F$5),$B$22,0))</f>
        <v>0</v>
      </c>
      <c r="AP164" s="26">
        <f>VLOOKUP($R164,武学奇术!$A:$ZZ,28,FALSE)</f>
        <v>0</v>
      </c>
      <c r="AQ164" s="27">
        <f>VLOOKUP($R164,武学奇术!$A:$ZZ,29,FALSE)*(1+IF(OR($AM164=$F$4,$AM164=$F$5),$B$22,0))</f>
        <v>0</v>
      </c>
      <c r="AR164" s="26" cm="1">
        <f t="array" ref="AR164">$G$3+IFERROR(VLOOKUP($AM164,$F$4:$G$7,2,FALSE),0)+VLOOKUP($R164,武学奇术!$A:$ZZ,2,FALSE)+SUM(_xlfn.XLOOKUP($S164:$AL164,增益!$A:$A,增益!$B:$B,0))</f>
        <v>0.1037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3574.6</v>
      </c>
      <c r="AU164" cm="1">
        <f t="array" ref="AU164">$E$10*(1+$AS164)+VLOOKUP($R164,武学奇术!$A:$ZZ,4,FALSE)+SUM(_xlfn.XLOOKUP($S164:$AL164,增益!$A:$A,增益!$D:$D,0))-$I$2</f>
        <v>3574.6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0.1925</v>
      </c>
      <c r="AW164" s="32" cm="1">
        <f t="array" ref="AW164">$G$10+VLOOKUP($R164,武学奇术!$A:$ZZ,7,FALSE)+SUM(_xlfn.XLOOKUP($S164:$AL164,增益!$A:$A,增益!$G:$G,0))</f>
        <v>0.028</v>
      </c>
      <c r="AX164" s="26" cm="1">
        <f t="array" ref="AX164">VLOOKUP($R164,武学奇术!$A:$ZZ,8,FALSE)+SUM(_xlfn.XLOOKUP($S164:$AL164,增益!$A:$A,增益!$H:$H,0))</f>
        <v>0</v>
      </c>
      <c r="AY164">
        <f t="shared" si="26"/>
        <v>0</v>
      </c>
      <c r="AZ164">
        <f t="shared" si="27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2" cm="1">
        <f t="array" ref="BB164">$G$11+VLOOKUP($R164,武学奇术!$A:$ZZ,10,FALSE)+SUM(_xlfn.XLOOKUP($S164:$AL164,增益!$A:$A,增益!$J:$J,0))</f>
        <v>0</v>
      </c>
      <c r="BC164">
        <f t="shared" si="28"/>
        <v>0</v>
      </c>
      <c r="BD164">
        <f t="shared" si="29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2" cm="1">
        <f t="array" ref="BF164">$G$12+VLOOKUP($R164,武学奇术!$A:$ZZ,12,FALSE)+SUM(_xlfn.XLOOKUP($S164:$AL164,增益!$A:$A,增益!$L:$L,0))</f>
        <v>0</v>
      </c>
      <c r="BG164">
        <f t="shared" si="30"/>
        <v>0</v>
      </c>
      <c r="BH164">
        <f t="shared" si="31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2" cm="1">
        <f t="array" ref="BJ164">$G$13+VLOOKUP($R164,武学奇术!$A:$ZZ,14,FALSE)+SUM(_xlfn.XLOOKUP($S164:$AL164,增益!$A:$A,增益!$N:$N,0))</f>
        <v>0</v>
      </c>
      <c r="BK164">
        <f t="shared" si="32"/>
        <v>571.2</v>
      </c>
      <c r="BL164">
        <f t="shared" si="33"/>
        <v>1627.8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2" cm="1">
        <f t="array" ref="BN164">$G$14+VLOOKUP($R164,武学奇术!$A:$ZZ,16,FALSE)+SUM(_xlfn.XLOOKUP($S164:$AL164,增益!$A:$A,增益!$P:$P,0))</f>
        <v>0.15</v>
      </c>
      <c r="BO164" s="26">
        <f>MIN(IF(VLOOKUP($R164,武学奇术!$A:$ZZ,23,FALSE)=1,100%,$B$8),100%)</f>
        <v>0.981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0.846</v>
      </c>
      <c r="BQ164" s="26" cm="1">
        <f t="array" ref="BQ164">1+$B$13+VLOOKUP($R164,武学奇术!$A:$ZZ,18,FALSE)+SUM(_xlfn.XLOOKUP($S164:$AL164,增益!$A:$A,增益!$R:$R,0))</f>
        <v>1.54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0.0929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34"/>
        <v>0.829926</v>
      </c>
      <c r="BU164" s="26">
        <f t="shared" si="35"/>
        <v>0.0599391</v>
      </c>
      <c r="BV164" s="26">
        <f>IF(VLOOKUP($R164,武学奇术!$A:$ZZ,22,FALSE)=1,0,(1-$BO164))*(1-$BR164)</f>
        <v>0.0172349</v>
      </c>
      <c r="BW164" s="26" cm="1">
        <f t="array" ref="BW164">SUM(_xlfn.XLOOKUP($S164:$AL164,增益!$A:$A,增益!$W:$W,0))+$I$5</f>
        <v>0.11</v>
      </c>
      <c r="BX164" s="26" cm="1">
        <f t="array" ref="BX164">SUM(_xlfn.XLOOKUP($S164:$AL164,增益!$A:$A,增益!$X:$X,0))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64">
      <formula1>武学奇术!$A:$A</formula1>
    </dataValidation>
    <dataValidation type="list" allowBlank="1" showInputMessage="1" showErrorMessage="1" sqref="S2:AL164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2"/>
  <sheetViews>
    <sheetView workbookViewId="0">
      <selection activeCell="C35" sqref="C35:C36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1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6" t="s">
        <v>114</v>
      </c>
      <c r="R1" t="s">
        <v>203</v>
      </c>
      <c r="S1" t="s">
        <v>117</v>
      </c>
      <c r="T1" t="s">
        <v>204</v>
      </c>
      <c r="U1" t="s">
        <v>163</v>
      </c>
      <c r="V1" t="s">
        <v>205</v>
      </c>
      <c r="W1" t="s">
        <v>206</v>
      </c>
      <c r="X1" t="s">
        <v>207</v>
      </c>
      <c r="Y1" t="s">
        <v>35</v>
      </c>
      <c r="Z1" s="26" t="s">
        <v>36</v>
      </c>
      <c r="AA1" s="27" t="s">
        <v>37</v>
      </c>
      <c r="AB1" s="26" t="s">
        <v>38</v>
      </c>
      <c r="AC1" s="27" t="s">
        <v>39</v>
      </c>
      <c r="AD1" t="s">
        <v>208</v>
      </c>
    </row>
    <row r="2" spans="1:31">
      <c r="A2" t="s">
        <v>119</v>
      </c>
      <c r="B2" s="28">
        <v>0.2</v>
      </c>
      <c r="G2" s="28">
        <v>0.12</v>
      </c>
      <c r="P2" s="28">
        <v>0.12</v>
      </c>
      <c r="Y2" t="s">
        <v>94</v>
      </c>
      <c r="Z2" s="26">
        <v>0.54</v>
      </c>
      <c r="AB2" s="26">
        <v>0.81</v>
      </c>
      <c r="AD2" t="s">
        <v>209</v>
      </c>
      <c r="AE2">
        <v>1.05</v>
      </c>
    </row>
    <row r="3" spans="1:31">
      <c r="A3" t="s">
        <v>115</v>
      </c>
      <c r="B3" s="28"/>
      <c r="G3" s="28">
        <v>0.12</v>
      </c>
      <c r="P3" s="28">
        <v>0.12</v>
      </c>
      <c r="R3" s="28"/>
      <c r="Y3" t="s">
        <v>94</v>
      </c>
      <c r="Z3" s="26">
        <f>108.5%+72.34%</f>
        <v>1.8084</v>
      </c>
      <c r="AA3" s="27">
        <f>300+200</f>
        <v>500</v>
      </c>
      <c r="AB3" s="26">
        <f>162.76%+108.5%</f>
        <v>2.7126</v>
      </c>
      <c r="AC3" s="27">
        <f>163+109</f>
        <v>272</v>
      </c>
      <c r="AD3" t="s">
        <v>209</v>
      </c>
      <c r="AE3">
        <v>1.05</v>
      </c>
    </row>
    <row r="4" customFormat="1" spans="1:31">
      <c r="A4" t="s">
        <v>139</v>
      </c>
      <c r="B4" s="28">
        <v>0.4</v>
      </c>
      <c r="G4" s="28">
        <v>0.12</v>
      </c>
      <c r="P4" s="28">
        <v>0.12</v>
      </c>
      <c r="Q4" s="26"/>
      <c r="R4"/>
      <c r="W4">
        <v>1</v>
      </c>
      <c r="Y4" t="s">
        <v>94</v>
      </c>
      <c r="Z4" s="26">
        <v>0.54</v>
      </c>
      <c r="AA4" s="27"/>
      <c r="AB4" s="26">
        <v>0.81</v>
      </c>
      <c r="AC4" s="27"/>
      <c r="AD4" t="s">
        <v>209</v>
      </c>
      <c r="AE4">
        <v>1.05</v>
      </c>
    </row>
    <row r="5" customFormat="1" spans="1:31">
      <c r="A5" t="s">
        <v>132</v>
      </c>
      <c r="B5" s="28">
        <v>0.2</v>
      </c>
      <c r="G5" s="28">
        <v>0.12</v>
      </c>
      <c r="P5" s="28">
        <v>0.12</v>
      </c>
      <c r="Q5" s="26"/>
      <c r="R5" s="28"/>
      <c r="W5">
        <v>1</v>
      </c>
      <c r="Y5" t="s">
        <v>94</v>
      </c>
      <c r="Z5" s="26">
        <f>108.5%+72.34%</f>
        <v>1.8084</v>
      </c>
      <c r="AA5" s="27">
        <f>300+200</f>
        <v>500</v>
      </c>
      <c r="AB5" s="26">
        <f>162.76%+108.5%</f>
        <v>2.7126</v>
      </c>
      <c r="AC5" s="27">
        <f>163+109</f>
        <v>272</v>
      </c>
      <c r="AD5" t="s">
        <v>209</v>
      </c>
      <c r="AE5">
        <v>1.05</v>
      </c>
    </row>
    <row r="6" customFormat="1" spans="1:31">
      <c r="A6" t="s">
        <v>170</v>
      </c>
      <c r="B6" s="28">
        <v>0.2</v>
      </c>
      <c r="G6" s="28"/>
      <c r="P6" s="28"/>
      <c r="Q6" s="26"/>
      <c r="R6"/>
      <c r="Y6" t="s">
        <v>94</v>
      </c>
      <c r="Z6" s="26">
        <v>0.54</v>
      </c>
      <c r="AA6" s="27"/>
      <c r="AB6" s="26">
        <v>0.81</v>
      </c>
      <c r="AC6" s="27"/>
      <c r="AE6">
        <v>1.05</v>
      </c>
    </row>
    <row r="7" customFormat="1" spans="1:31">
      <c r="A7" t="s">
        <v>167</v>
      </c>
      <c r="B7" s="28"/>
      <c r="Q7" s="26"/>
      <c r="R7" s="28"/>
      <c r="Y7" t="s">
        <v>94</v>
      </c>
      <c r="Z7" s="26">
        <f>(100.73%+67.15%)*1.2</f>
        <v>2.01456</v>
      </c>
      <c r="AA7" s="27">
        <f>(279+186)*1.2</f>
        <v>558</v>
      </c>
      <c r="AB7" s="26">
        <f>(151.09%+100.73%)*1.2</f>
        <v>3.02184</v>
      </c>
      <c r="AC7" s="27">
        <f>(151+101)*1.2</f>
        <v>302.4</v>
      </c>
      <c r="AE7">
        <v>1.05</v>
      </c>
    </row>
    <row r="8" customFormat="1" spans="1:31">
      <c r="A8" t="s">
        <v>210</v>
      </c>
      <c r="B8" s="28"/>
      <c r="Q8" s="26"/>
      <c r="R8" s="28"/>
      <c r="Y8" t="s">
        <v>100</v>
      </c>
      <c r="Z8" s="26">
        <f>94.28%+110%+110%</f>
        <v>3.1428</v>
      </c>
      <c r="AA8" s="27">
        <f>261+304*2</f>
        <v>869</v>
      </c>
      <c r="AB8" s="26">
        <f>141.43%+165%*2</f>
        <v>4.7143</v>
      </c>
      <c r="AC8" s="27">
        <f>142+165*2</f>
        <v>472</v>
      </c>
      <c r="AE8">
        <v>1.05</v>
      </c>
    </row>
    <row r="9" customFormat="1" spans="1:31">
      <c r="A9" t="s">
        <v>109</v>
      </c>
      <c r="B9" s="28">
        <v>0.05</v>
      </c>
      <c r="Q9" s="26"/>
      <c r="R9" s="28"/>
      <c r="Y9" t="s">
        <v>100</v>
      </c>
      <c r="Z9" s="26">
        <v>1.1137</v>
      </c>
      <c r="AA9" s="27">
        <v>309</v>
      </c>
      <c r="AB9" s="26">
        <v>1.6706</v>
      </c>
      <c r="AC9" s="27">
        <v>168</v>
      </c>
      <c r="AE9">
        <v>1.05</v>
      </c>
    </row>
    <row r="10" customFormat="1" spans="1:31">
      <c r="A10" t="s">
        <v>113</v>
      </c>
      <c r="B10" s="28">
        <v>0.1</v>
      </c>
      <c r="Q10" s="26"/>
      <c r="R10" s="28"/>
      <c r="Y10" t="s">
        <v>100</v>
      </c>
      <c r="Z10" s="26">
        <v>0.7839</v>
      </c>
      <c r="AA10" s="27">
        <v>218</v>
      </c>
      <c r="AB10" s="26">
        <v>1.1759</v>
      </c>
      <c r="AC10" s="27">
        <v>119</v>
      </c>
      <c r="AE10">
        <v>1.05</v>
      </c>
    </row>
    <row r="11" customFormat="1" spans="1:31">
      <c r="A11" t="s">
        <v>211</v>
      </c>
      <c r="B11" s="28">
        <v>0.15</v>
      </c>
      <c r="Q11" s="26"/>
      <c r="R11" s="28"/>
      <c r="Y11" t="s">
        <v>100</v>
      </c>
      <c r="Z11" s="26">
        <v>1.7242</v>
      </c>
      <c r="AA11" s="27">
        <v>478</v>
      </c>
      <c r="AB11" s="26">
        <v>2.5862</v>
      </c>
      <c r="AC11" s="27">
        <v>260</v>
      </c>
      <c r="AE11">
        <v>1.05</v>
      </c>
    </row>
    <row r="12" customFormat="1" spans="1:31">
      <c r="A12" t="s">
        <v>174</v>
      </c>
      <c r="B12" s="28">
        <v>0.15</v>
      </c>
      <c r="Q12" s="26"/>
      <c r="R12" s="28"/>
      <c r="W12">
        <v>1</v>
      </c>
      <c r="Y12" t="s">
        <v>100</v>
      </c>
      <c r="Z12" s="26">
        <v>2.2987</v>
      </c>
      <c r="AA12" s="27">
        <v>637</v>
      </c>
      <c r="AB12" s="26">
        <v>3.448</v>
      </c>
      <c r="AC12" s="27">
        <v>347</v>
      </c>
      <c r="AE12">
        <v>1.05</v>
      </c>
    </row>
    <row r="13" customFormat="1" spans="1:31">
      <c r="A13" t="s">
        <v>175</v>
      </c>
      <c r="B13" s="28"/>
      <c r="Q13" s="26"/>
      <c r="R13" s="28"/>
      <c r="Y13" t="s">
        <v>212</v>
      </c>
      <c r="Z13" s="26">
        <v>0</v>
      </c>
      <c r="AA13" s="27">
        <v>0</v>
      </c>
      <c r="AB13" s="26">
        <v>0</v>
      </c>
      <c r="AC13" s="27">
        <v>0</v>
      </c>
      <c r="AE13">
        <f>0.5*1.05</f>
        <v>0.525</v>
      </c>
    </row>
    <row r="14" customFormat="1" spans="1:31">
      <c r="A14" t="s">
        <v>184</v>
      </c>
      <c r="B14"/>
      <c r="Q14" s="26"/>
      <c r="R14" s="28"/>
      <c r="Y14" t="s">
        <v>108</v>
      </c>
      <c r="Z14" s="26">
        <f>198.73%*2</f>
        <v>3.9746</v>
      </c>
      <c r="AA14" s="27">
        <f>504*2</f>
        <v>1008</v>
      </c>
      <c r="AB14" s="26">
        <f t="shared" ref="AB14:AB29" si="0">Z14*1.5</f>
        <v>5.9619</v>
      </c>
      <c r="AC14" s="27"/>
      <c r="AE14">
        <v>1.05</v>
      </c>
    </row>
    <row r="15" customFormat="1" spans="1:31">
      <c r="A15" t="s">
        <v>77</v>
      </c>
      <c r="B15"/>
      <c r="Q15" s="26"/>
      <c r="R15" s="28"/>
      <c r="Y15" t="s">
        <v>108</v>
      </c>
      <c r="Z15" s="26">
        <f>74.52%*2</f>
        <v>1.4904</v>
      </c>
      <c r="AA15" s="27">
        <f>189*2</f>
        <v>378</v>
      </c>
      <c r="AB15" s="26">
        <f t="shared" si="0"/>
        <v>2.2356</v>
      </c>
      <c r="AC15" s="27"/>
      <c r="AE15">
        <v>1.05</v>
      </c>
    </row>
    <row r="16" customFormat="1" spans="1:31">
      <c r="A16" t="s">
        <v>194</v>
      </c>
      <c r="B16" s="28"/>
      <c r="E16" s="28"/>
      <c r="G16" s="28"/>
      <c r="N16" s="28"/>
      <c r="R16" s="28"/>
      <c r="Y16" t="s">
        <v>108</v>
      </c>
      <c r="Z16" s="26">
        <f>254.71%*2.7*1.5</f>
        <v>10.315755</v>
      </c>
      <c r="AA16" s="27">
        <f>492*2.7*1.5</f>
        <v>1992.6</v>
      </c>
      <c r="AB16" s="26">
        <f t="shared" si="0"/>
        <v>15.4736325</v>
      </c>
      <c r="AC16" s="27"/>
      <c r="AE16">
        <v>1.05</v>
      </c>
    </row>
    <row r="17" customFormat="1" spans="1:31">
      <c r="A17" t="s">
        <v>191</v>
      </c>
      <c r="B17" s="28"/>
      <c r="Q17" s="26"/>
      <c r="R17" s="28"/>
      <c r="Y17" t="s">
        <v>105</v>
      </c>
      <c r="Z17" s="26">
        <f>319.88%+390.96%</f>
        <v>7.1084</v>
      </c>
      <c r="AA17" s="27">
        <f>616+753</f>
        <v>1369</v>
      </c>
      <c r="AB17" s="26">
        <f t="shared" si="0"/>
        <v>10.6626</v>
      </c>
      <c r="AC17" s="27"/>
      <c r="AE17">
        <v>1.05</v>
      </c>
    </row>
    <row r="18" customFormat="1" spans="1:31">
      <c r="A18" t="s">
        <v>213</v>
      </c>
      <c r="B18" s="28">
        <v>0.47</v>
      </c>
      <c r="Q18" s="26"/>
      <c r="R18" s="28"/>
      <c r="V18">
        <v>1</v>
      </c>
      <c r="Y18" t="s">
        <v>105</v>
      </c>
      <c r="Z18" s="26">
        <f>1636.48%*2.2*0.7</f>
        <v>25.201792</v>
      </c>
      <c r="AA18" s="27">
        <f>3162*2.2*0.7</f>
        <v>4869.48</v>
      </c>
      <c r="AB18" s="26">
        <f t="shared" si="0"/>
        <v>37.802688</v>
      </c>
      <c r="AC18" s="27"/>
      <c r="AE18">
        <v>1.05</v>
      </c>
    </row>
    <row r="19" customFormat="1" spans="1:31">
      <c r="A19" t="s">
        <v>214</v>
      </c>
      <c r="B19"/>
      <c r="Q19" s="26"/>
      <c r="R19" s="28"/>
      <c r="Y19" t="s">
        <v>108</v>
      </c>
      <c r="Z19" s="26">
        <f>(416.02%+772.61%)*2</f>
        <v>23.7726</v>
      </c>
      <c r="AA19" s="27">
        <f>(803+1493)*2</f>
        <v>4592</v>
      </c>
      <c r="AB19" s="26">
        <f t="shared" si="0"/>
        <v>35.6589</v>
      </c>
      <c r="AC19" s="27"/>
      <c r="AE19">
        <v>1.05</v>
      </c>
    </row>
    <row r="20" customFormat="1" spans="1:31">
      <c r="A20" t="s">
        <v>215</v>
      </c>
      <c r="B20" s="28"/>
      <c r="Q20" s="26"/>
      <c r="R20" s="28"/>
      <c r="Y20" t="s">
        <v>105</v>
      </c>
      <c r="Z20" s="26">
        <f>257.01%/2</f>
        <v>1.28505</v>
      </c>
      <c r="AA20" s="27">
        <f>502/2</f>
        <v>251</v>
      </c>
      <c r="AB20" s="26">
        <f t="shared" si="0"/>
        <v>1.927575</v>
      </c>
      <c r="AC20" s="27"/>
      <c r="AE20">
        <v>1.05</v>
      </c>
    </row>
    <row r="21" customFormat="1" spans="1:31">
      <c r="A21" t="s">
        <v>216</v>
      </c>
      <c r="B21"/>
      <c r="Q21" s="26"/>
      <c r="R21" s="28"/>
      <c r="Y21" t="s">
        <v>105</v>
      </c>
      <c r="Z21" s="26">
        <f>257.01%+141.62%</f>
        <v>3.9863</v>
      </c>
      <c r="AA21" s="27">
        <f>502+276</f>
        <v>778</v>
      </c>
      <c r="AB21" s="26">
        <f t="shared" si="0"/>
        <v>5.97945</v>
      </c>
      <c r="AC21" s="27"/>
      <c r="AE21">
        <v>1.05</v>
      </c>
    </row>
    <row r="22" customFormat="1" spans="1:31">
      <c r="A22" t="s">
        <v>217</v>
      </c>
      <c r="B22" s="28"/>
      <c r="Q22" s="26"/>
      <c r="R22" s="28"/>
      <c r="T22" s="28"/>
      <c r="Y22" t="s">
        <v>105</v>
      </c>
      <c r="Z22" s="26">
        <v>0.236</v>
      </c>
      <c r="AA22" s="27">
        <v>46</v>
      </c>
      <c r="AB22" s="26">
        <f t="shared" si="0"/>
        <v>0.354</v>
      </c>
      <c r="AC22" s="27"/>
      <c r="AE22">
        <f>0.6*1.05</f>
        <v>0.63</v>
      </c>
    </row>
    <row r="23" customFormat="1" spans="1:31">
      <c r="A23" t="s">
        <v>218</v>
      </c>
      <c r="B23" s="28"/>
      <c r="Q23" s="26"/>
      <c r="R23" s="28"/>
      <c r="Y23" t="s">
        <v>105</v>
      </c>
      <c r="Z23" s="26">
        <f>272.42%/2</f>
        <v>1.3621</v>
      </c>
      <c r="AA23" s="27">
        <f>528/2</f>
        <v>264</v>
      </c>
      <c r="AB23" s="26">
        <f t="shared" si="0"/>
        <v>2.04315</v>
      </c>
      <c r="AC23" s="27"/>
      <c r="AE23">
        <v>1.05</v>
      </c>
    </row>
    <row r="24" customFormat="1" spans="1:31">
      <c r="A24" t="s">
        <v>219</v>
      </c>
      <c r="B24"/>
      <c r="Q24" s="26"/>
      <c r="R24" s="28"/>
      <c r="Y24" t="s">
        <v>105</v>
      </c>
      <c r="Z24" s="26">
        <f>272.42%+150.11%</f>
        <v>4.2253</v>
      </c>
      <c r="AA24" s="27">
        <f>528+291</f>
        <v>819</v>
      </c>
      <c r="AB24" s="26">
        <f t="shared" si="0"/>
        <v>6.33795</v>
      </c>
      <c r="AC24" s="27"/>
      <c r="AE24">
        <v>1.05</v>
      </c>
    </row>
    <row r="25" customFormat="1" spans="1:31">
      <c r="A25" t="s">
        <v>220</v>
      </c>
      <c r="B25" s="28"/>
      <c r="Q25" s="26"/>
      <c r="R25" s="28"/>
      <c r="T25" s="28"/>
      <c r="Y25" t="s">
        <v>105</v>
      </c>
      <c r="Z25" s="26">
        <v>0.2958</v>
      </c>
      <c r="AA25" s="27">
        <v>57</v>
      </c>
      <c r="AB25" s="26">
        <f t="shared" si="0"/>
        <v>0.4437</v>
      </c>
      <c r="AC25" s="27"/>
      <c r="AE25">
        <f>0.6*1.05</f>
        <v>0.63</v>
      </c>
    </row>
    <row r="26" customFormat="1" spans="1:31">
      <c r="A26" t="s">
        <v>221</v>
      </c>
      <c r="B26"/>
      <c r="Q26" s="26"/>
      <c r="R26" s="28"/>
      <c r="Y26" t="s">
        <v>105</v>
      </c>
      <c r="Z26" s="26">
        <v>1.0239</v>
      </c>
      <c r="AA26" s="27">
        <v>196</v>
      </c>
      <c r="AB26" s="26">
        <f t="shared" si="0"/>
        <v>1.53585</v>
      </c>
      <c r="AC26" s="27"/>
      <c r="AE26">
        <v>1.05</v>
      </c>
    </row>
    <row r="27" customFormat="1" spans="1:31">
      <c r="A27" t="s">
        <v>222</v>
      </c>
      <c r="B27" s="28">
        <v>0.8</v>
      </c>
      <c r="Q27" s="26"/>
      <c r="R27" s="28"/>
      <c r="Y27" t="s">
        <v>105</v>
      </c>
      <c r="Z27" s="26">
        <v>1.7065</v>
      </c>
      <c r="AA27" s="27">
        <v>327</v>
      </c>
      <c r="AB27" s="26">
        <f t="shared" si="0"/>
        <v>2.55975</v>
      </c>
      <c r="AC27" s="27"/>
      <c r="AE27">
        <v>1.05</v>
      </c>
    </row>
    <row r="28" customFormat="1" spans="1:31">
      <c r="A28" t="s">
        <v>223</v>
      </c>
      <c r="B28"/>
      <c r="Q28" s="26"/>
      <c r="R28" s="28"/>
      <c r="Y28" t="s">
        <v>105</v>
      </c>
      <c r="Z28" s="26">
        <v>0.7021</v>
      </c>
      <c r="AA28" s="27">
        <v>134</v>
      </c>
      <c r="AB28" s="26">
        <f t="shared" si="0"/>
        <v>1.05315</v>
      </c>
      <c r="AC28" s="27"/>
      <c r="AE28">
        <v>1.05</v>
      </c>
    </row>
    <row r="29" customFormat="1" spans="1:31">
      <c r="A29" t="s">
        <v>224</v>
      </c>
      <c r="B29"/>
      <c r="Q29" s="26"/>
      <c r="R29" s="28"/>
      <c r="Y29" t="s">
        <v>105</v>
      </c>
      <c r="Z29" s="26">
        <v>1.609</v>
      </c>
      <c r="AA29" s="27">
        <v>308</v>
      </c>
      <c r="AB29" s="26">
        <f t="shared" si="0"/>
        <v>2.4135</v>
      </c>
      <c r="AC29" s="27"/>
      <c r="AE29">
        <v>1.05</v>
      </c>
    </row>
    <row r="30" customFormat="1" spans="1:31">
      <c r="A30" t="s">
        <v>195</v>
      </c>
      <c r="Q30" s="26"/>
      <c r="R30" s="28"/>
      <c r="Y30" t="s">
        <v>212</v>
      </c>
      <c r="Z30" s="26">
        <v>1</v>
      </c>
      <c r="AA30" s="27"/>
      <c r="AB30" s="26">
        <v>1</v>
      </c>
      <c r="AC30" s="27"/>
      <c r="AE30">
        <v>1.05</v>
      </c>
    </row>
    <row r="31" customFormat="1" spans="1:31">
      <c r="A31" t="s">
        <v>225</v>
      </c>
      <c r="B31" s="28"/>
      <c r="E31" s="28"/>
      <c r="G31" s="28"/>
      <c r="N31" s="28"/>
      <c r="R31" s="28"/>
      <c r="Y31" t="s">
        <v>108</v>
      </c>
      <c r="Z31" s="26">
        <f>254.71%*2.7</f>
        <v>6.87717</v>
      </c>
      <c r="AA31" s="27">
        <f>492*2.7</f>
        <v>1328.4</v>
      </c>
      <c r="AB31" s="26">
        <f>Z31*1.5</f>
        <v>10.315755</v>
      </c>
      <c r="AC31" s="27"/>
      <c r="AE31">
        <v>1.05</v>
      </c>
    </row>
    <row r="32" spans="1:31">
      <c r="A32" t="s">
        <v>78</v>
      </c>
      <c r="Y32" t="s">
        <v>212</v>
      </c>
      <c r="Z32" s="26">
        <v>0</v>
      </c>
      <c r="AB32" s="26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"/>
  <sheetViews>
    <sheetView workbookViewId="0">
      <selection activeCell="K27" sqref="K2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6"/>
    <col min="24" max="24" width="9.375" style="26"/>
    <col min="25" max="25" width="9" style="27"/>
  </cols>
  <sheetData>
    <row r="1" spans="1:27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114</v>
      </c>
      <c r="R1" t="s">
        <v>203</v>
      </c>
      <c r="S1" t="s">
        <v>117</v>
      </c>
      <c r="T1" t="s">
        <v>204</v>
      </c>
      <c r="U1" s="26" t="s">
        <v>120</v>
      </c>
      <c r="V1" s="27" t="s">
        <v>123</v>
      </c>
      <c r="W1" s="26" t="s">
        <v>71</v>
      </c>
      <c r="X1" s="26" t="s">
        <v>72</v>
      </c>
    </row>
    <row r="2" customFormat="1" spans="1:27">
      <c r="A2" t="s">
        <v>91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7"/>
    </row>
    <row r="3" customFormat="1" spans="1:27">
      <c r="A3" t="s">
        <v>226</v>
      </c>
      <c r="B3" s="28">
        <f>IF(期望!$D$20="√",25%,0)</f>
        <v>0.25</v>
      </c>
      <c r="W3" s="29"/>
      <c r="X3" s="29"/>
      <c r="Y3" s="30"/>
      <c r="Z3" s="29"/>
      <c r="AA3" s="27"/>
    </row>
    <row r="4" customFormat="1" spans="1:27">
      <c r="A4" t="s">
        <v>98</v>
      </c>
      <c r="B4" s="28"/>
      <c r="E4" s="28">
        <f>IF(期望!$D$21="√",12%,0)</f>
        <v>0</v>
      </c>
      <c r="H4" s="28">
        <f>IF(期望!$D$21="√",12%,0)</f>
        <v>0</v>
      </c>
      <c r="I4" s="28"/>
      <c r="W4" s="29"/>
      <c r="X4" s="29"/>
      <c r="Y4" s="30"/>
      <c r="Z4" s="29"/>
      <c r="AA4" s="27"/>
    </row>
    <row r="5" customFormat="1" spans="1:27">
      <c r="A5" t="s">
        <v>92</v>
      </c>
      <c r="B5" s="28"/>
      <c r="H5" s="28">
        <f>IF(期望!$D$21="√",6%,0)</f>
        <v>0</v>
      </c>
      <c r="W5" s="29"/>
      <c r="X5" s="29"/>
      <c r="Y5" s="30"/>
      <c r="Z5" s="29"/>
      <c r="AA5" s="27"/>
    </row>
    <row r="6" customFormat="1" spans="1:27">
      <c r="A6" t="s">
        <v>84</v>
      </c>
      <c r="B6" s="28"/>
      <c r="G6" s="28">
        <f>IF(期望!$D$21="√",2%,0)</f>
        <v>0</v>
      </c>
      <c r="J6" s="28">
        <f>IF(期望!$D$21="√",2%,0)</f>
        <v>0</v>
      </c>
      <c r="L6" s="28">
        <f>IF(期望!$D$21="√",2%,0)</f>
        <v>0</v>
      </c>
      <c r="N6" s="28">
        <f>IF(期望!$D$21="√",2%,0)</f>
        <v>0</v>
      </c>
      <c r="P6" s="28">
        <f>IF(期望!$D$21="√",2%,0)</f>
        <v>0</v>
      </c>
      <c r="W6" s="29"/>
      <c r="X6" s="29"/>
      <c r="Y6" s="30"/>
      <c r="Z6" s="29"/>
      <c r="AA6" s="27"/>
    </row>
    <row r="7" customFormat="1" spans="1:27">
      <c r="A7" t="s">
        <v>83</v>
      </c>
      <c r="B7" s="28"/>
      <c r="G7" s="28">
        <f>IF(期望!$D$22="√",2%,0)</f>
        <v>0</v>
      </c>
      <c r="J7" s="28">
        <f>IF(期望!$D$22="√",2%,0)</f>
        <v>0</v>
      </c>
      <c r="L7" s="28">
        <f>IF(期望!$D$22="√",2%,0)</f>
        <v>0</v>
      </c>
      <c r="N7" s="28">
        <f>IF(期望!$D$22="√",2%,0)</f>
        <v>0</v>
      </c>
      <c r="P7" s="28">
        <f>IF(期望!$D$22="√",2%,0)</f>
        <v>0</v>
      </c>
      <c r="R7" s="28"/>
      <c r="W7" s="29"/>
      <c r="X7" s="26"/>
      <c r="Y7" s="27"/>
    </row>
    <row r="8" customFormat="1" spans="1:27">
      <c r="A8" t="s">
        <v>176</v>
      </c>
      <c r="B8" s="28"/>
      <c r="R8" s="28"/>
      <c r="W8" s="29"/>
      <c r="X8" s="28">
        <f>IF(期望!$D$22="√",20%,0)</f>
        <v>0</v>
      </c>
      <c r="Y8" s="27"/>
    </row>
    <row r="9" spans="1:27">
      <c r="A9" t="s">
        <v>80</v>
      </c>
      <c r="B9" s="28">
        <v>0.02</v>
      </c>
      <c r="R9" s="28"/>
      <c r="W9" s="29"/>
    </row>
    <row r="10" customFormat="1" spans="1:27">
      <c r="A10" t="s">
        <v>88</v>
      </c>
      <c r="B10" s="28">
        <v>0.2</v>
      </c>
      <c r="R10" s="28"/>
      <c r="W10" s="29"/>
      <c r="X10" s="26"/>
      <c r="Y10" s="27"/>
    </row>
    <row r="11" spans="1:27">
      <c r="A11" t="s">
        <v>85</v>
      </c>
      <c r="B11" s="28"/>
      <c r="R11" s="28"/>
      <c r="W11" s="29">
        <v>0.05</v>
      </c>
    </row>
    <row r="12" spans="1:27">
      <c r="A12" t="s">
        <v>185</v>
      </c>
      <c r="B12" s="28"/>
      <c r="W12" s="26">
        <v>0.1</v>
      </c>
    </row>
    <row r="13" spans="1:27">
      <c r="A13" t="s">
        <v>186</v>
      </c>
      <c r="B13" s="28"/>
      <c r="J13" s="28">
        <f>IF(期望!$D$18="√",10%,0)</f>
        <v>0.1</v>
      </c>
      <c r="W13" s="26">
        <f>IF(期望!$D$18="√",10%,0)</f>
        <v>0.1</v>
      </c>
      <c r="X13" s="29"/>
    </row>
    <row r="14" spans="1:27">
      <c r="A14" t="s">
        <v>227</v>
      </c>
      <c r="B14" s="28">
        <v>0.25</v>
      </c>
      <c r="X14" s="29"/>
    </row>
    <row r="15" spans="1:27">
      <c r="A15" t="s">
        <v>228</v>
      </c>
      <c r="C15">
        <v>31</v>
      </c>
      <c r="D15">
        <v>31</v>
      </c>
      <c r="R15" s="28"/>
      <c r="X15" s="29"/>
    </row>
    <row r="16" customFormat="1" spans="1:27">
      <c r="A16" t="s">
        <v>121</v>
      </c>
      <c r="B16" s="28"/>
      <c r="F16">
        <v>4</v>
      </c>
      <c r="R16" s="28"/>
      <c r="S16" s="28"/>
      <c r="T16" s="28"/>
      <c r="W16" s="26"/>
      <c r="X16" s="29"/>
      <c r="Y16" s="27"/>
    </row>
    <row r="17" customFormat="1" spans="1:25">
      <c r="A17" t="s">
        <v>126</v>
      </c>
      <c r="B17" s="28"/>
      <c r="F17">
        <v>8</v>
      </c>
      <c r="R17" s="28"/>
      <c r="S17" s="28"/>
      <c r="T17" s="28"/>
      <c r="W17" s="26"/>
      <c r="X17" s="29"/>
      <c r="Y17" s="27"/>
    </row>
    <row r="18" customFormat="1" spans="1:25">
      <c r="A18" t="s">
        <v>102</v>
      </c>
      <c r="B18" s="28"/>
      <c r="F18">
        <v>10</v>
      </c>
      <c r="R18" s="28"/>
      <c r="S18" s="28"/>
      <c r="T18" s="28"/>
      <c r="W18" s="26"/>
      <c r="X18" s="29"/>
      <c r="Y18" s="27"/>
    </row>
    <row r="19" customFormat="1" spans="1:25">
      <c r="A19" t="s">
        <v>122</v>
      </c>
      <c r="B19" s="28"/>
      <c r="R19" s="28">
        <f>IF(期望!$E$22="大唐歌",6%,0)</f>
        <v>0.06</v>
      </c>
      <c r="S19" s="28"/>
      <c r="T19" s="28"/>
      <c r="W19" s="26"/>
      <c r="X19" s="29"/>
      <c r="Y19" s="27"/>
    </row>
    <row r="20" customFormat="1" spans="1:25">
      <c r="A20" t="s">
        <v>127</v>
      </c>
      <c r="B20" s="28"/>
      <c r="R20" s="28">
        <f>IF(期望!$E$22="大唐歌",12%,0)</f>
        <v>0.12</v>
      </c>
      <c r="S20" s="28"/>
      <c r="T20" s="28"/>
      <c r="W20" s="26"/>
      <c r="X20" s="29"/>
      <c r="Y20" s="27"/>
    </row>
    <row r="21" customFormat="1" spans="1:25">
      <c r="A21" t="s">
        <v>133</v>
      </c>
      <c r="B21" s="28"/>
      <c r="R21" s="28">
        <f>IF(期望!$E$22="大唐歌",15%,0)</f>
        <v>0.15</v>
      </c>
      <c r="S21" s="28"/>
      <c r="T21" s="28"/>
      <c r="W21" s="26"/>
      <c r="X21" s="29"/>
      <c r="Y21" s="27"/>
    </row>
    <row r="22" customFormat="1" spans="1:25">
      <c r="A22" t="s">
        <v>79</v>
      </c>
      <c r="B22" s="28">
        <v>0.05</v>
      </c>
      <c r="R22" s="28">
        <v>0.27</v>
      </c>
      <c r="S22" s="28"/>
      <c r="T22" s="28"/>
      <c r="W22" s="26"/>
      <c r="X22" s="29"/>
      <c r="Y22" s="27"/>
    </row>
    <row r="23" customFormat="1" spans="1:25">
      <c r="A23" t="s">
        <v>116</v>
      </c>
      <c r="B23" s="28">
        <f>IF(期望!$G$2="连星",20%,0)</f>
        <v>0.2</v>
      </c>
      <c r="R23" s="28"/>
      <c r="S23" s="28"/>
      <c r="T23" s="28"/>
      <c r="W23" s="26"/>
      <c r="X23" s="29"/>
      <c r="Y23" s="27"/>
    </row>
    <row r="24" customFormat="1" spans="1:25">
      <c r="A24" t="s">
        <v>229</v>
      </c>
      <c r="B24" s="28">
        <f>IF(期望!$G$2="连星",15%,0)</f>
        <v>0.15</v>
      </c>
      <c r="R24" s="28"/>
      <c r="S24" s="28"/>
      <c r="T24" s="28"/>
      <c r="W24" s="26"/>
      <c r="X24" s="29"/>
      <c r="Y24" s="27"/>
    </row>
    <row r="25" customFormat="1" spans="1:25">
      <c r="A25" t="s">
        <v>187</v>
      </c>
      <c r="F25">
        <f>IF(期望!$E$22="断石之构",25,0)</f>
        <v>0</v>
      </c>
      <c r="R25" s="28">
        <f>IF(期望!$E$22="断石之构",25%,0)</f>
        <v>0</v>
      </c>
      <c r="S25" s="28"/>
      <c r="T25" s="28"/>
      <c r="W25" s="26"/>
      <c r="X25" s="29"/>
      <c r="Y25" s="27"/>
    </row>
    <row r="26" spans="1:25">
      <c r="A26" t="s">
        <v>81</v>
      </c>
      <c r="R26" s="28">
        <f>IF(期望!$F$16="√",1%,0)</f>
        <v>0.01</v>
      </c>
      <c r="S26" s="28"/>
      <c r="T26" s="28"/>
      <c r="X26" s="29"/>
    </row>
    <row r="27" spans="1:25">
      <c r="A27" t="s">
        <v>89</v>
      </c>
      <c r="R27" s="28">
        <f>IF(期望!$F$16="√",2%,0)</f>
        <v>0.02</v>
      </c>
      <c r="S27" s="28"/>
      <c r="T27" s="28"/>
      <c r="X27" s="29"/>
    </row>
    <row r="28" spans="1:25">
      <c r="A28" t="s">
        <v>96</v>
      </c>
      <c r="R28" s="28">
        <f>IF(期望!$F$16="√",3%,0)</f>
        <v>0.03</v>
      </c>
      <c r="S28" s="28"/>
      <c r="T28" s="28"/>
      <c r="X28" s="29"/>
    </row>
    <row r="29" spans="1:25">
      <c r="A29" t="s">
        <v>103</v>
      </c>
      <c r="R29" s="28">
        <f>IF(期望!$F$16="√",4%,0)</f>
        <v>0.04</v>
      </c>
      <c r="S29" s="28"/>
      <c r="T29" s="28"/>
      <c r="X29" s="29"/>
    </row>
    <row r="30" spans="1:25">
      <c r="A30" t="s">
        <v>160</v>
      </c>
      <c r="R30" s="28">
        <f>IF(期望!$F$16="√",5%,0)</f>
        <v>0.05</v>
      </c>
      <c r="S30" s="28"/>
      <c r="T30" s="28"/>
      <c r="X30" s="29"/>
    </row>
    <row r="31" spans="1:25">
      <c r="A31" t="s">
        <v>168</v>
      </c>
      <c r="R31" s="28">
        <f>IF(期望!$F$16="√",6%,0)</f>
        <v>0.06</v>
      </c>
      <c r="S31" s="28"/>
      <c r="T31" s="28"/>
      <c r="X31" s="29"/>
    </row>
    <row r="32" spans="1:25">
      <c r="A32" t="s">
        <v>173</v>
      </c>
      <c r="R32" s="28">
        <f>IF(期望!$F$16="√",7%,0)</f>
        <v>0.07</v>
      </c>
      <c r="S32" s="28"/>
      <c r="T32" s="28"/>
      <c r="X32" s="29"/>
    </row>
    <row r="33" spans="1:24">
      <c r="A33" t="s">
        <v>177</v>
      </c>
      <c r="R33" s="28">
        <f>IF(期望!$F$16="√",8%,0)</f>
        <v>0.08</v>
      </c>
      <c r="S33" s="28"/>
      <c r="T33" s="28"/>
      <c r="X33" s="29"/>
    </row>
    <row r="34" spans="1:24">
      <c r="A34" t="s">
        <v>178</v>
      </c>
      <c r="R34" s="28">
        <f>IF(期望!$F$16="√",9%,0)</f>
        <v>0.09</v>
      </c>
      <c r="S34" s="28"/>
      <c r="T34" s="28"/>
      <c r="X34" s="29"/>
    </row>
    <row r="35" spans="1:24">
      <c r="A35" t="s">
        <v>181</v>
      </c>
      <c r="R35" s="28">
        <f>IF(期望!$F$16="√",10%,0)</f>
        <v>0.1</v>
      </c>
      <c r="S35" s="28"/>
      <c r="T35" s="28"/>
      <c r="X35" s="29"/>
    </row>
    <row r="36" spans="1:24">
      <c r="A36" t="s">
        <v>82</v>
      </c>
      <c r="B36" s="28">
        <f>1%*IF(期望!$E$24="易水歌",1,0)</f>
        <v>0.01</v>
      </c>
      <c r="F36">
        <f>2*IF(期望!$E$24="易水歌",1,0)</f>
        <v>2</v>
      </c>
      <c r="X36" s="29"/>
    </row>
    <row r="37" spans="1:24">
      <c r="A37" t="s">
        <v>90</v>
      </c>
      <c r="B37" s="28">
        <f>2%*IF(期望!$E$24="易水歌",1,0)</f>
        <v>0.02</v>
      </c>
      <c r="F37">
        <f>4*IF(期望!$E$24="易水歌",1,0)</f>
        <v>4</v>
      </c>
      <c r="X37" s="29"/>
    </row>
    <row r="38" spans="1:24">
      <c r="A38" t="s">
        <v>97</v>
      </c>
      <c r="B38" s="28">
        <f>3%*IF(期望!$E$24="易水歌",1,0)</f>
        <v>0.03</v>
      </c>
      <c r="F38">
        <f>6*IF(期望!$E$24="易水歌",1,0)</f>
        <v>6</v>
      </c>
      <c r="X38" s="29"/>
    </row>
    <row r="39" spans="1:24">
      <c r="A39" t="s">
        <v>104</v>
      </c>
      <c r="B39" s="28">
        <f>4%*IF(期望!$E$24="易水歌",1,0)</f>
        <v>0.04</v>
      </c>
      <c r="F39">
        <f>8*IF(期望!$E$24="易水歌",1,0)</f>
        <v>8</v>
      </c>
      <c r="X39" s="29"/>
    </row>
    <row r="40" spans="1:24">
      <c r="A40" t="s">
        <v>106</v>
      </c>
      <c r="B40" s="28">
        <f>5%*IF(期望!$E$24="易水歌",1,0)</f>
        <v>0.05</v>
      </c>
      <c r="F40">
        <f>10*IF(期望!$E$24="易水歌",1,0)</f>
        <v>10</v>
      </c>
      <c r="X40" s="29"/>
    </row>
    <row r="41" spans="1:24">
      <c r="A41" t="s">
        <v>78</v>
      </c>
      <c r="X41" s="29"/>
    </row>
    <row r="42" spans="1:24">
      <c r="X42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C34" sqref="C3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230</v>
      </c>
      <c r="B1" s="3" t="s">
        <v>231</v>
      </c>
      <c r="C1" s="4" t="s">
        <v>232</v>
      </c>
      <c r="D1" s="5" t="s">
        <v>233</v>
      </c>
    </row>
    <row r="2" spans="1:4">
      <c r="A2" s="6">
        <v>0.1</v>
      </c>
      <c r="B2" s="7">
        <v>1</v>
      </c>
      <c r="C2" s="8" t="s">
        <v>234</v>
      </c>
      <c r="D2" s="4" t="s">
        <v>235</v>
      </c>
    </row>
    <row r="3" spans="1:4">
      <c r="A3" s="9"/>
      <c r="B3" s="10">
        <v>2</v>
      </c>
      <c r="C3" s="11" t="s">
        <v>236</v>
      </c>
    </row>
    <row r="4" ht="14.25" spans="1:4">
      <c r="A4" s="12"/>
      <c r="B4" s="13">
        <v>3</v>
      </c>
      <c r="C4" s="14" t="s">
        <v>237</v>
      </c>
    </row>
    <row r="5" ht="14.25" spans="1:4">
      <c r="A5" s="15">
        <v>0.2</v>
      </c>
      <c r="B5" s="16">
        <v>1</v>
      </c>
      <c r="C5" s="17" t="s">
        <v>238</v>
      </c>
    </row>
    <row r="6" ht="14.25" spans="1:4">
      <c r="A6" s="15">
        <v>0.3</v>
      </c>
      <c r="B6" s="16">
        <v>1</v>
      </c>
      <c r="C6" s="17" t="s">
        <v>239</v>
      </c>
    </row>
    <row r="7" ht="14.25" spans="1:4">
      <c r="A7" s="15">
        <v>0.4</v>
      </c>
      <c r="B7" s="16">
        <v>1</v>
      </c>
      <c r="C7" s="17" t="s">
        <v>240</v>
      </c>
    </row>
    <row r="8" ht="14.25" spans="1:4">
      <c r="A8" s="18">
        <v>0.5</v>
      </c>
      <c r="B8" s="19">
        <v>1</v>
      </c>
      <c r="C8" s="8" t="s">
        <v>241</v>
      </c>
    </row>
    <row r="9" spans="1:4">
      <c r="A9" s="18">
        <v>0.6</v>
      </c>
      <c r="B9" s="19">
        <v>1</v>
      </c>
      <c r="C9" s="8" t="s">
        <v>242</v>
      </c>
    </row>
    <row r="10" spans="1:4">
      <c r="A10" s="20"/>
      <c r="B10" s="21">
        <v>2</v>
      </c>
      <c r="C10" s="11" t="s">
        <v>243</v>
      </c>
    </row>
    <row r="11" ht="14.25" spans="1:4">
      <c r="A11" s="22"/>
      <c r="B11" s="23">
        <v>3</v>
      </c>
      <c r="C11" s="14" t="s">
        <v>244</v>
      </c>
    </row>
    <row r="12" ht="14.25" spans="1:4">
      <c r="A12" s="24">
        <v>0.7</v>
      </c>
      <c r="B12" s="16">
        <v>1</v>
      </c>
      <c r="C12" s="17" t="s">
        <v>245</v>
      </c>
    </row>
    <row r="13" ht="14.25" spans="1:4">
      <c r="A13" s="24">
        <v>0.8</v>
      </c>
      <c r="B13" s="16">
        <v>1</v>
      </c>
      <c r="C13" s="17" t="s">
        <v>246</v>
      </c>
    </row>
    <row r="14" ht="14.25" spans="1:4">
      <c r="A14" s="24">
        <v>1</v>
      </c>
      <c r="B14" s="16">
        <v>1</v>
      </c>
      <c r="C14" s="17" t="s">
        <v>247</v>
      </c>
    </row>
    <row r="15" spans="1:4">
      <c r="A15" s="18">
        <v>1.1</v>
      </c>
      <c r="B15" s="19">
        <v>1</v>
      </c>
      <c r="C15" s="25" t="s">
        <v>248</v>
      </c>
    </row>
    <row r="16" spans="1:4">
      <c r="A16" s="20"/>
      <c r="B16" s="21">
        <v>2</v>
      </c>
      <c r="C16" s="11" t="s">
        <v>249</v>
      </c>
    </row>
    <row r="17" spans="1:3">
      <c r="A17" s="20"/>
      <c r="B17" s="21"/>
      <c r="C17" s="11" t="s">
        <v>250</v>
      </c>
    </row>
    <row r="18" spans="1:3">
      <c r="A18" s="20"/>
      <c r="B18" s="21"/>
      <c r="C18" s="11" t="s">
        <v>251</v>
      </c>
    </row>
    <row r="19" spans="1:3">
      <c r="A19" s="20"/>
      <c r="B19" s="21"/>
      <c r="C19" s="11" t="s">
        <v>252</v>
      </c>
    </row>
    <row r="20" spans="1:3">
      <c r="A20" s="20"/>
      <c r="B20" s="21">
        <v>3</v>
      </c>
      <c r="C20" s="11" t="s">
        <v>253</v>
      </c>
    </row>
    <row r="21" ht="14.25" spans="1:3">
      <c r="A21" s="22"/>
      <c r="B21" s="23">
        <v>4</v>
      </c>
      <c r="C21" s="14" t="s">
        <v>254</v>
      </c>
    </row>
    <row r="22" ht="14.25" spans="1:3">
      <c r="A22" s="24">
        <v>1.2</v>
      </c>
      <c r="B22" s="16">
        <v>1</v>
      </c>
      <c r="C22" s="17" t="s">
        <v>255</v>
      </c>
    </row>
    <row r="23" spans="1:3">
      <c r="A23" s="18">
        <v>2</v>
      </c>
      <c r="B23" s="19">
        <v>1</v>
      </c>
      <c r="C23" s="8" t="s">
        <v>256</v>
      </c>
    </row>
    <row r="24" ht="14.25" spans="1:3">
      <c r="A24" s="22"/>
      <c r="B24" s="23">
        <v>2</v>
      </c>
      <c r="C24" s="14" t="s">
        <v>257</v>
      </c>
    </row>
    <row r="25" spans="1:3">
      <c r="A25" s="18">
        <v>2.1</v>
      </c>
      <c r="B25" s="19">
        <v>1</v>
      </c>
      <c r="C25" s="8" t="s">
        <v>258</v>
      </c>
    </row>
    <row r="26" ht="14.25" spans="1:3">
      <c r="A26" s="22"/>
      <c r="B26" s="23">
        <v>2</v>
      </c>
      <c r="C26" s="14" t="s">
        <v>259</v>
      </c>
    </row>
    <row r="27" ht="14.25" spans="1:3">
      <c r="A27" s="24">
        <v>2.2</v>
      </c>
      <c r="B27" s="16">
        <v>1</v>
      </c>
      <c r="C27" s="17" t="s">
        <v>260</v>
      </c>
    </row>
    <row r="28" ht="14.25" spans="1:3">
      <c r="A28" s="24">
        <v>2.3</v>
      </c>
      <c r="B28" s="16">
        <v>1</v>
      </c>
      <c r="C28" s="17" t="s">
        <v>261</v>
      </c>
    </row>
  </sheetData>
  <mergeCells count="5">
    <mergeCell ref="A2:A4"/>
    <mergeCell ref="A9:A11"/>
    <mergeCell ref="A15:A21"/>
    <mergeCell ref="A23:A24"/>
    <mergeCell ref="A25:A26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