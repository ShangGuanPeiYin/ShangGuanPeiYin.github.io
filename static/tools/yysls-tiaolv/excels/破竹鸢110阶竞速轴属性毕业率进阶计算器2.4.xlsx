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<sst xmlns="http://schemas.openxmlformats.org/spreadsheetml/2006/main" count="4919" uniqueCount="277">
  <si>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</si>
  <si>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</si>
  <si>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</si>
  <si>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</si>
  <si>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</si>
  <si>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</si>
  <si>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</si>
  <si>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</si>
  <si>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</si>
  <si>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</si>
  <si>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</si>
  <si>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</si>
  <si>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</si>
  <si>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</si>
  <si>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</si>
  <si>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</si>
  <si>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</si>
  <si>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</si>
  <si>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</si>
  <si>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</si>
  <si>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</si>
  <si>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</si>
  <si>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</si>
  <si>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</si>
  <si>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</si>
  <si>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</si>
  <si>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</si>
  <si>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</si>
  <si>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</si>
  <si>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</si>
  <si>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</si>
  <si>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</si>
  <si>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</si>
  <si>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</si>
  <si>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</si>
  <si>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</si>
  <si>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</si>
  <si>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</si>
  <si>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</si>
  <si>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</si>
  <si>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</si>
  <si>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</si>
  <si>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</si>
  <si>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</si>
  <si>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</si>
  <si>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</si>
  <si>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</si>
  <si>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</si>
  <si>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</si>
  <si>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</si>
  <si>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</si>
  <si>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</si>
  <si>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</si>
  <si>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</si>
  <si>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</si>
  <si>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</si>
  <si>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</si>
  <si>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</si>
  <si>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</si>
  <si>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</si>
  <si>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</si>
  <si>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</si>
  <si>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</si>
  <si>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</si>
  <si>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</si>
  <si>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</si>
  <si>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</si>
  <si>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</si>
  <si>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</si>
  <si>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</si>
  <si>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</si>
  <si>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萧呤千浪流星</t>
  </si>
  <si>
    <t>易水歌1层</t>
  </si>
  <si>
    <t>N/a</t>
  </si>
  <si>
    <t>近战笛</t>
  </si>
  <si>
    <t>沧海帖1层</t>
  </si>
  <si>
    <t>裁云(拐)</t>
  </si>
  <si>
    <t>无惧</t>
  </si>
  <si>
    <t>天志增伤</t>
  </si>
  <si>
    <t>鸣金</t>
  </si>
  <si>
    <t>外抗</t>
  </si>
  <si>
    <t>易水歌2层</t>
  </si>
  <si>
    <t>沧海帖2层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</si>
  <si>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</si>
  <si>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</si>
  <si>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</si>
  <si>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</si>
  <si>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</si>
  <si>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</si>
  <si>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</si>
  <si>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</si>
  <si>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</si>
  <si>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绳镖</t>
  </si>
  <si>
    <t>副本天赋</t>
  </si>
  <si>
    <t>易水歌4层</t>
  </si>
  <si>
    <t>沧海帖4层</t>
  </si>
  <si>
    <t>单体奇术</t>
  </si>
  <si>
    <t>易水歌5层</t>
  </si>
  <si>
    <t>无相</t>
  </si>
  <si>
    <t>群体奇术</t>
  </si>
  <si>
    <t>绳标～</t>
  </si>
  <si>
    <t>精准率</t>
  </si>
  <si>
    <t>实际属性</t>
  </si>
  <si>
    <t>战斗时间</t>
  </si>
  <si>
    <t>鹰隼追击(绳特殊技)</t>
  </si>
  <si>
    <t>三穷</t>
  </si>
  <si>
    <t>会心率</t>
  </si>
  <si>
    <t>绳标Q卸</t>
  </si>
  <si>
    <t>会意率</t>
  </si>
  <si>
    <t>总伤</t>
  </si>
  <si>
    <t>鹰隼追击(绳标)</t>
  </si>
  <si>
    <t>直接会心率</t>
  </si>
  <si>
    <t>拳甲Q2</t>
  </si>
  <si>
    <t>直接会意率</t>
  </si>
  <si>
    <t>ADPS</t>
  </si>
  <si>
    <t>拳甲轻击56</t>
  </si>
  <si>
    <t>会心伤害加成</t>
  </si>
  <si>
    <t>鹰隼追击(拳甲)</t>
  </si>
  <si>
    <t>会意伤害加成</t>
  </si>
  <si>
    <t>RDPS</t>
  </si>
  <si>
    <t>拳甲～</t>
  </si>
  <si>
    <t>全武增</t>
  </si>
  <si>
    <t>团队增益</t>
  </si>
  <si>
    <t>首领增</t>
  </si>
  <si>
    <t>威</t>
  </si>
  <si>
    <t>√</t>
  </si>
  <si>
    <t>沧海帖</t>
  </si>
  <si>
    <t>毕业率</t>
  </si>
  <si>
    <t>拳甲增</t>
  </si>
  <si>
    <t>尘</t>
  </si>
  <si>
    <t>所恨年年</t>
  </si>
  <si>
    <t>拳甲R蓄4直伤</t>
  </si>
  <si>
    <t>断石5层</t>
  </si>
  <si>
    <t>阴阳</t>
  </si>
  <si>
    <t>绳镖增</t>
  </si>
  <si>
    <t>虹</t>
  </si>
  <si>
    <t>高伤取值</t>
  </si>
  <si>
    <t>机制时间</t>
  </si>
  <si>
    <t>拳甲R蓄4天志</t>
  </si>
  <si>
    <t>单体奇术增</t>
  </si>
  <si>
    <t>钧</t>
  </si>
  <si>
    <t>群体奇术增</t>
  </si>
  <si>
    <t>影</t>
  </si>
  <si>
    <t>真气比例</t>
  </si>
  <si>
    <t>沧海帖5层</t>
  </si>
  <si>
    <t>蓄力技定音</t>
  </si>
  <si>
    <t>翊</t>
  </si>
  <si>
    <t>×</t>
  </si>
  <si>
    <t>第三心法</t>
  </si>
  <si>
    <t>固伤加成</t>
  </si>
  <si>
    <t>断石之构</t>
  </si>
  <si>
    <t>拳甲Q1</t>
  </si>
  <si>
    <t>沧海帖6层</t>
  </si>
  <si>
    <t>食物加成</t>
  </si>
  <si>
    <t>第四心法</t>
  </si>
  <si>
    <t>易水歌</t>
  </si>
  <si>
    <t>沧海帖7层</t>
  </si>
  <si>
    <t>Q1</t>
  </si>
  <si>
    <t>笛</t>
  </si>
  <si>
    <t>绳标Q</t>
  </si>
  <si>
    <t>切武器</t>
  </si>
  <si>
    <t>沧海帖8层</t>
  </si>
  <si>
    <t>沧海帖9层</t>
  </si>
  <si>
    <t>绳～</t>
  </si>
  <si>
    <t>沧海帖10层</t>
  </si>
  <si>
    <t>绳Q卸</t>
  </si>
  <si>
    <t>惧</t>
  </si>
  <si>
    <t>Q2</t>
  </si>
  <si>
    <t>普攻56</t>
  </si>
  <si>
    <t>鼓</t>
  </si>
  <si>
    <t>拳～</t>
  </si>
  <si>
    <t>闪避</t>
  </si>
  <si>
    <t>断</t>
  </si>
  <si>
    <t>拳R蓄</t>
  </si>
  <si>
    <t>拳R蓄攻击</t>
  </si>
  <si>
    <t>动画</t>
  </si>
  <si>
    <t>卸3</t>
  </si>
  <si>
    <t>骑龙回马</t>
  </si>
  <si>
    <t>衍九矢9hit</t>
  </si>
  <si>
    <t>气竭</t>
  </si>
  <si>
    <t>真气失衡</t>
  </si>
  <si>
    <t>绳Q</t>
  </si>
  <si>
    <t>移动切武</t>
  </si>
  <si>
    <t>药叉卸</t>
  </si>
  <si>
    <t>普攻56卸</t>
  </si>
  <si>
    <t>cd等待</t>
  </si>
  <si>
    <t>骑龙</t>
  </si>
  <si>
    <t>拉矢</t>
  </si>
  <si>
    <t>气</t>
  </si>
  <si>
    <t>机制</t>
  </si>
  <si>
    <t>衍九矢9hit一段</t>
  </si>
  <si>
    <t>叶龙骧首(32层+70%HP)</t>
  </si>
  <si>
    <t>拉矢1段</t>
  </si>
  <si>
    <t>易水歌6重</t>
  </si>
  <si>
    <t>叶龙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</si>
  <si>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</si>
  <si>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</si>
  <si>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</si>
  <si>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</si>
  <si>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</si>
  <si>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</si>
  <si>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</si>
  <si>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</si>
  <si>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</si>
  <si>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</si>
  <si>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</si>
  <si>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</si>
  <si>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</si>
  <si>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</si>
  <si>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拳甲R1</t>
  </si>
  <si>
    <t>拳甲轻击34</t>
  </si>
  <si>
    <t>完美闪避派生</t>
  </si>
  <si>
    <t>拳甲R蓄2直伤</t>
  </si>
  <si>
    <t>蓄力技</t>
  </si>
  <si>
    <t>萧呤千浪AOE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</si>
  <si>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</si>
  <si>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</si>
  <si>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</si>
  <si>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</si>
  <si>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</si>
  <si>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</si>
  <si>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</si>
  <si>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</si>
  <si>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</si>
  <si>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</si>
  <si>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</si>
  <si>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</si>
  <si>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</si>
  <si>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</si>
  <si>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惊神(拐)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</si>
  <si>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</si>
  <si>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</si>
  <si>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</si>
  <si>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</si>
  <si>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</si>
  <si>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</si>
  <si>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</si>
  <si>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</si>
  <si>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</si>
  <si>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当前版本包含了结算伤害受到环境增伤2次加成的bug以匹配实际战斗</t>
  </si>
  <si>
    <t>修正了公式bug</t>
  </si>
  <si>
    <t>修正了强制精准公式</t>
  </si>
  <si>
    <t>修正了三围溢出造成的错误</t>
  </si>
  <si>
    <t>修复了一些小bug</t>
  </si>
  <si>
    <t>更新6月12日先琢版本,上调5.5%,气竭与环境增伤区改动+2%(所有武学)</t>
  </si>
  <si>
    <t>热烈庆祝会意滚蛋特调整为小外表,满值领先4.7%</t>
  </si>
  <si>
    <t>不确定环境增伤区改动之后结算bug是否会同时生效</t>
  </si>
  <si>
    <t>增加了一个隐藏表来计算实际rdps,以减少需要去掉团队增益的操作步骤</t>
  </si>
  <si>
    <t>修正bug</t>
  </si>
  <si>
    <t>修正文字错误</t>
  </si>
  <si>
    <t>将所恨年年从尘增益区划入公共增益区以观测实际RD</t>
  </si>
  <si>
    <t>增加了走机制时间和大约损失的伤害</t>
  </si>
  <si>
    <t>修正尘加成</t>
  </si>
  <si>
    <t>更新蕤宾叠奏上半数值,轴变更为拏云蛇慢气轴,心法默认变更为断石之构</t>
  </si>
  <si>
    <t>三穷约-7%,大小外满值差距4.15%</t>
  </si>
  <si>
    <t>将普通火统一修正成了暗灼火,实战自行分配.</t>
  </si>
  <si>
    <t>增加了鸣金影提供的rd,约0.8%</t>
  </si>
  <si>
    <t>修正了惧刃覆盖</t>
  </si>
  <si>
    <t>修正了轴</t>
  </si>
  <si>
    <t>修正了轴,降低了难度</t>
  </si>
  <si>
    <t>更新8/2先琢测试内容,鹰追击伤害*1.1,真气比例从59%增加到了93%</t>
  </si>
  <si>
    <t>修正了拳Q2的加成</t>
  </si>
  <si>
    <t>更新蕤宾叠奏下半数值,+2%</t>
  </si>
  <si>
    <t>Q2真气伤害异常已修复,真气比例从93%降低到90%</t>
  </si>
  <si>
    <t>大小外满值差距3%,承音差距2%</t>
  </si>
  <si>
    <t>更新虎孟极快气轴</t>
  </si>
  <si>
    <t>去除了机制时间的所有对小怪输出,并在计算dps时移除了机制时间</t>
  </si>
  <si>
    <t>仅考虑对boss本体的提升,小怪时间被轰拳秒杀所带来的时间减少未计算</t>
  </si>
  <si>
    <t>一气遭遇锁血就把叶龙放在二气收尾打</t>
  </si>
  <si>
    <t>P3拳溢出150万,如果队友太爆,二气叶龙不打刷新的3豆拳</t>
  </si>
  <si>
    <t>带三穷-5%</t>
  </si>
  <si>
    <t>极限战斗时约2分30</t>
  </si>
  <si>
    <t>陈子奚全程桩会让dps降低约5%,且三穷和断石差距会变成7%</t>
  </si>
  <si>
    <t>进行了暴力缩轴</t>
  </si>
  <si>
    <t>添加了翊的rd,默认关闭</t>
  </si>
  <si>
    <t>添加了rd计算</t>
  </si>
  <si>
    <t>修正了diy数值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</si>
</sst>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142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/>
    <col min="12" max="16" width="12.625" style="28" customWidth="1"/>
    <col min="17" max="17" width="9.375"/>
    <col min="18" max="18" width="24.625" style="32" customWidth="1"/>
    <col min="19" max="33" width="9" style="32"/>
    <col min="35" max="35" width="9" style="27"/>
    <col min="36" max="36" width="9" style="28"/>
    <col min="37" max="37" width="9" style="27"/>
    <col min="38" max="38" width="9" style="28"/>
    <col min="39" max="40" width="9" style="27"/>
    <col min="41" max="42" width="9.375"/>
    <col min="43" max="45" width="9" style="33"/>
    <col min="48" max="49" width="9" style="33"/>
    <col min="59" max="59" width="9.375"/>
    <col min="62" max="66" width="9" style="27"/>
    <col min="67" max="68" width="9.00833333333333" style="27" customWidth="1"/>
    <col min="69" max="70" width="9" style="27"/>
    <col min="71" max="71" width="12.625"/>
  </cols>
  <sheetData>
    <row r="1" spans="1:70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39" t="s">
        <v>12</v>
      </c>
      <c r="Q1" s="40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t="s">
        <v>30</v>
      </c>
      <c r="AI1" s="27" t="s">
        <v>31</v>
      </c>
      <c r="AJ1" s="28" t="s">
        <v>32</v>
      </c>
      <c r="AK1" s="27" t="s">
        <v>33</v>
      </c>
      <c r="AL1" s="28" t="s">
        <v>34</v>
      </c>
      <c r="AM1" s="27" t="s">
        <v>35</v>
      </c>
      <c r="AN1" s="27" t="s">
        <v>36</v>
      </c>
      <c r="AO1" t="s">
        <v>37</v>
      </c>
      <c r="AP1" t="s">
        <v>38</v>
      </c>
      <c r="AQ1" s="33" t="s">
        <v>39</v>
      </c>
      <c r="AR1" s="33" t="s">
        <v>40</v>
      </c>
      <c r="AS1" s="33" t="s">
        <v>41</v>
      </c>
      <c r="AT1" t="s">
        <v>42</v>
      </c>
      <c r="AU1" t="s">
        <v>43</v>
      </c>
      <c r="AV1" s="33" t="s">
        <v>44</v>
      </c>
      <c r="AW1" s="33" t="s">
        <v>45</v>
      </c>
      <c r="AX1" t="s">
        <v>46</v>
      </c>
      <c r="AY1" t="s">
        <v>47</v>
      </c>
      <c r="AZ1" s="33" t="s">
        <v>48</v>
      </c>
      <c r="BA1" s="33" t="s">
        <v>49</v>
      </c>
      <c r="BB1" t="s">
        <v>50</v>
      </c>
      <c r="BC1" t="s">
        <v>51</v>
      </c>
      <c r="BD1" s="33" t="s">
        <v>52</v>
      </c>
      <c r="BE1" s="33" t="s">
        <v>53</v>
      </c>
      <c r="BF1" t="s">
        <v>54</v>
      </c>
      <c r="BG1" t="s">
        <v>55</v>
      </c>
      <c r="BH1" s="33" t="s">
        <v>56</v>
      </c>
      <c r="BI1" s="33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</row>
    <row r="2" spans="1:70">
      <c r="A2" s="42" t="s">
        <v>67</v>
      </c>
      <c r="B2" s="32">
        <v>3994.7</v>
      </c>
      <c r="C2" s="32">
        <v>3071.9</v>
      </c>
      <c r="D2" s="32">
        <f>58.4+IF($E$24="征人归",5.1,0)</f>
        <v>58.4</v>
      </c>
      <c r="E2" s="43">
        <f>IF($E$22="三穷致知",2.5%,0)</f>
        <v>0</v>
      </c>
      <c r="F2" s="44" t="s">
        <v>68</v>
      </c>
      <c r="G2" s="45" t="s">
        <v>69</v>
      </c>
      <c r="H2" s="46" t="s">
        <v>70</v>
      </c>
      <c r="I2" s="11">
        <f>620*(1-IF(F17="√",0.06,0)-IF(D20="√",0.04,0))</f>
        <v>558</v>
      </c>
      <c r="K2">
        <f>$L2*VLOOKUP($R2,武学奇术!$A:$ZZ,31,FALSE)</f>
        <v>24625.317030829</v>
      </c>
      <c r="L2" s="39">
        <f>($M2*$BO2+$N2*$BM2+$O2*$BP2+$P2*$BQ2)</f>
        <v>24625.317030829</v>
      </c>
      <c r="M2" s="39">
        <f>((($AO2+($AP2-$AO2)*IF(VLOOKUP($R2,武学奇术!$A:$ZZ,31,FALSE)=1,$F$18,0.5))*$AI2+$AJ2)*(1+$AQ2)*(1+$AR2)+(($AT2+($AU2-$AT2)*IF(VLOOKUP($R2,武学奇术!$A:$ZZ,31,FALSE)=1,$F$18,0.5))*IF($G$1="鸣金",$AK2,$AI2)+IF($G$1="鸣金",$AL2*1.5,0))*(1+$AV2)*(1+$AW2)+(($AX2+($AY2-$AX2)*IF(VLOOKUP($R2,武学奇术!$A:$ZZ,31,FALSE)=1,$F$18,0.5))*IF($G$1="裂石",$AK2,$AI2)+IF($G$1="裂石",$AL2*1.5,0))*(1+$AZ2)*(1+$BA2)+(($BB2+($BC2-$BB2)*IF(VLOOKUP($R2,武学奇术!$A:$ZZ,31,FALSE)=1,$F$18,0.5))*IF($G$1="牵丝",$AK2,$AI2)+IF($G$1="牵丝",$AL2*1.5,0))*(1+$BD2)*(1+$BE2)+(($BF2+($BG2-$BF2)*IF(VLOOKUP($R2,武学奇术!$A:$ZZ,31,FALSE)=1,$F$18,0.5))*IF($G$1="破竹",$AK2,$AI2)+IF($G$1="破竹",$AL2*1.5,0))*(1+$BH2)*(1+$BI2))*(1+$AM2)*$BL2*$Q2*(1+IF(VLOOKUP($R2,武学奇术!$A:$ZZ,30,FALSE)="蓄力技",$B$21,0))*(1+$BR2)</f>
        <v>24689.6445120768</v>
      </c>
      <c r="N2" s="39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24327.2706084803</v>
      </c>
      <c r="O2" s="39">
        <f>((($AO2+($AP2-$AO2)*IF(VLOOKUP($R2,武学奇术!$A:$ZZ,31,FALSE)=1,$F$18,0.5))*$AI2+$AJ2)*(1+$AQ2)*(1+$AR2)+(($AT2+($AU2-$AT2)*IF(VLOOKUP($R2,武学奇术!$A:$ZZ,31,FALSE)=1,$F$18,0.5))*IF($G$1="鸣金",$AK2,$AI2)+IF($G$1="鸣金",$AL2*1.5,0))*(1+$AV2)*(1+$AW2)+(($AX2+($AY2-$AX2)*IF(VLOOKUP($R2,武学奇术!$A:$ZZ,31,FALSE)=1,$F$18,0.5))*IF($G$1="裂石",$AK2,$AI2)+IF($G$1="裂石",$AL2*1.5,0))*(1+$AZ2)*(1+$BA2)+(($BB2+($BC2-$BB2)*IF(VLOOKUP($R2,武学奇术!$A:$ZZ,31,FALSE)=1,$F$18,0.5))*IF($G$1="牵丝",$AK2,$AI2)+IF($G$1="牵丝",$AL2*1.5,0))*(1+$BD2)*(1+$BE2)+(($BF2+($BG2-$BF2)*IF(VLOOKUP($R2,武学奇术!$A:$ZZ,31,FALSE)=1,$F$18,0.5))*IF($G$1="破竹",$AK2,$AI2)+IF($G$1="破竹",$AL2*1.5,0))*(1+$BH2)*(1+$BI2))*(1+$AM2)*$Q2*(1+IF(VLOOKUP($R2,武学奇术!$A:$ZZ,30,FALSE)="蓄力技",$B$21,0))*(1+$BR2)</f>
        <v>15928.8029110173</v>
      </c>
      <c r="P2" s="39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13837.4053713084</v>
      </c>
      <c r="Q2" s="40">
        <v>1</v>
      </c>
      <c r="R2" s="41" t="s">
        <v>71</v>
      </c>
      <c r="S2" s="41" t="s">
        <v>72</v>
      </c>
      <c r="T2" s="41" t="s">
        <v>73</v>
      </c>
      <c r="U2" s="41" t="s">
        <v>73</v>
      </c>
      <c r="V2" s="41" t="s">
        <v>74</v>
      </c>
      <c r="W2" s="41" t="s">
        <v>73</v>
      </c>
      <c r="X2" s="41" t="s">
        <v>73</v>
      </c>
      <c r="Y2" s="41" t="s">
        <v>75</v>
      </c>
      <c r="Z2" s="41" t="s">
        <v>73</v>
      </c>
      <c r="AA2" s="41" t="s">
        <v>73</v>
      </c>
      <c r="AB2" s="41" t="s">
        <v>73</v>
      </c>
      <c r="AC2" s="41" t="s">
        <v>73</v>
      </c>
      <c r="AD2" s="41" t="s">
        <v>73</v>
      </c>
      <c r="AE2" s="41" t="s">
        <v>76</v>
      </c>
      <c r="AF2" s="41" t="s">
        <v>77</v>
      </c>
      <c r="AG2" s="41" t="s">
        <v>78</v>
      </c>
      <c r="AH2" t="str">
        <f>VLOOKUP($R2,武学奇术!$A:$ZZ,25,FALSE)</f>
        <v>群体奇术</v>
      </c>
      <c r="AI2" s="27">
        <f>VLOOKUP($R2,武学奇术!$A:$ZZ,26,FALSE)</f>
        <v>1.4904</v>
      </c>
      <c r="AJ2" s="28">
        <f>VLOOKUP($R2,武学奇术!$A:$ZZ,27,FALSE)*(1+IF(OR($AH2=$F$4,$AH2=$F$5),$B$22,0))</f>
        <v>378</v>
      </c>
      <c r="AK2" s="27">
        <f>VLOOKUP($R2,武学奇术!$A:$ZZ,28,FALSE)</f>
        <v>2.2356</v>
      </c>
      <c r="AL2" s="28">
        <f>VLOOKUP($R2,武学奇术!$A:$ZZ,29,FALSE)*(1+IF(OR($AH2=$F$4,$AH2=$F$5),$B$22,0))</f>
        <v>0</v>
      </c>
      <c r="AM2" s="27" cm="1">
        <f t="array" ref="AM2">$G$3+IFERROR(VLOOKUP($AH2,$F$4:$G$7,2,FALSE),0)+VLOOKUP($R2,武学奇术!$A:$ZZ,2,FALSE)+SUM(_xlfn.XLOOKUP($S2:$AG2,增益!$A:$A,增益!$B:$B,0))</f>
        <v>0.2137</v>
      </c>
      <c r="AN2" s="27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3888.382</v>
      </c>
      <c r="AP2" cm="1">
        <f t="array" ref="AP2">$E$10*(1+$AN2)+VLOOKUP($R2,武学奇术!$A:$ZZ,4,FALSE)+SUM(_xlfn.XLOOKUP($S2:$AG2,增益!$A:$A,增益!$D:$D,0))-$I$2</f>
        <v>3888.382</v>
      </c>
      <c r="AQ2" s="33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0.277</v>
      </c>
      <c r="AR2" s="33" cm="1">
        <f t="array" ref="AR2">$G$10+VLOOKUP($R2,武学奇术!$A:$ZZ,7,FALSE)+SUM(_xlfn.XLOOKUP(S2:AG2,增益!$A:$A,增益!$G:$G,0))</f>
        <v>0.09</v>
      </c>
      <c r="AS2" s="27" cm="1">
        <f t="array" ref="AS2">VLOOKUP($R2,武学奇术!$A:$ZZ,8,FALSE)+SUM(_xlfn.XLOOKUP(S2:AG2,增益!$A:$A,增益!$H:$H,0))</f>
        <v>0</v>
      </c>
      <c r="AT2">
        <f>$D$11*(1+$AS2)</f>
        <v>0</v>
      </c>
      <c r="AU2">
        <f>$E$11*(1+$AS2)</f>
        <v>0</v>
      </c>
      <c r="AV2" s="33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-0.3</v>
      </c>
      <c r="AW2" s="33" cm="1">
        <f t="array" ref="AW2">$G$11+VLOOKUP($R2,武学奇术!$A:$ZZ,10,FALSE)+SUM(_xlfn.XLOOKUP(S2:AG2,增益!$A:$A,增益!$J:$J,0))</f>
        <v>0</v>
      </c>
      <c r="AX2">
        <f>$D$12*(1+$AS2)</f>
        <v>0</v>
      </c>
      <c r="AY2">
        <f>$E$12*(1+$AS2)</f>
        <v>0</v>
      </c>
      <c r="AZ2" s="33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3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33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3" cm="1">
        <f t="array" ref="BE2">$G$13+VLOOKUP($R2,武学奇术!$A:$ZZ,14,FALSE)+SUM(_xlfn.XLOOKUP(S2:AG2,增益!$A:$A,增益!$N:$N,0))</f>
        <v>0</v>
      </c>
      <c r="BF2">
        <f>$D$14*(1+$AS2)</f>
        <v>605.472</v>
      </c>
      <c r="BG2">
        <f>$E$14*(1+$AS2)</f>
        <v>1725.468</v>
      </c>
      <c r="BH2" s="33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0</v>
      </c>
      <c r="BI2" s="33" cm="1">
        <f t="array" ref="BI2">$G$14+VLOOKUP($R2,武学奇术!$A:$ZZ,16,FALSE)+SUM(_xlfn.XLOOKUP(S2:AG2,增益!$A:$A,增益!$P:$P,0))</f>
        <v>0.24</v>
      </c>
      <c r="BJ2" s="27">
        <f>MIN(IF(VLOOKUP($R2,武学奇术!$A:$ZZ,23,FALSE)=1,100%,$B$8),100%)</f>
        <v>1</v>
      </c>
      <c r="BK2" s="27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+MIN(IF(VLOOKUP($R2,武学奇术!$A:$ZZ,32,FALSE)=1,IF(VLOOKUP($R2,武学奇术!$A:$ZZ,24,FALSE)=1,100%,MIN(40%,$B$10+VLOOKUP($R2,武学奇术!$A:$ZZ,19,FALSE)+SUM(_xlfn.XLOOKUP(S2:AG2,增益!$A:$A,增益!$S:$S,0)))+$B$12+SUM(_xlfn.XLOOKUP(S2:AG2,增益!$A:$A,增益!$V:$V,0))),0),12%)</f>
        <v>0.9036</v>
      </c>
      <c r="BL2" s="27" cm="1">
        <f t="array" ref="BL2">1+$B$13+VLOOKUP($R2,武学奇术!$A:$ZZ,18,FALSE)+SUM(_xlfn.XLOOKUP(S2:AG2,增益!$A:$A,增益!$R:$R,0))</f>
        <v>1.55</v>
      </c>
      <c r="BM2" s="27" cm="1">
        <f t="array" ref="BM2">MAX(IF(VLOOKUP($R2,武学奇术!$A:$ZZ,24,FALSE)=1,100%,MIN(40%,$B$10+VLOOKUP($R2,武学奇术!$A:$ZZ,19,FALSE)+SUM(_xlfn.XLOOKUP(S2:AG2,增益!$A:$A,增益!$S:$S,0)))+$B$12+SUM(_xlfn.XLOOKUP(S2:AG2,增益!$A:$A,增益!$V:$V,0)))*IF(VLOOKUP($R2,武学奇术!$A:$ZZ,23,FALSE)=1,0,1)-IF(VLOOKUP($R2,武学奇术!$A:$ZZ,32,FALSE)=1,12%,0),0)</f>
        <v>0.0929</v>
      </c>
      <c r="BN2" s="27" cm="1">
        <f t="array" ref="BN2">1+$B$14+VLOOKUP($R2,武学奇术!$A:$ZZ,20,FALSE)+SUM(_xlfn.XLOOKUP(S2:AG2,增益!$A:$A,增益!$T:$T,0))</f>
        <v>1.35</v>
      </c>
      <c r="BO2" s="27">
        <f>MIN((1-BM2)*BJ2,BJ2*BK2)</f>
        <v>0.9036</v>
      </c>
      <c r="BP2" s="27">
        <f>1-BM2-BO2-BQ2</f>
        <v>0.00350000000000006</v>
      </c>
      <c r="BQ2" s="27">
        <f>IF(VLOOKUP($R2,武学奇术!$A:$ZZ,22,FALSE)=1,0,(1-$BJ2))*(1-$BM2)</f>
        <v>0</v>
      </c>
      <c r="BR2" s="27" cm="1">
        <f t="array" ref="BR2">SUM(_xlfn.XLOOKUP(S2:AG2,增益!$A:$A,增益!$W:$W,0))+$I$5</f>
        <v>0.11</v>
      </c>
    </row>
    <row r="3" spans="1:70">
      <c r="A3" s="47" t="s">
        <v>79</v>
      </c>
      <c r="B3" s="48"/>
      <c r="C3" s="48"/>
      <c r="D3" s="48"/>
      <c r="E3" s="49"/>
      <c r="F3" s="46" t="s">
        <v>35</v>
      </c>
      <c r="G3" s="50">
        <f>B16+1.5%+IF($D$16="√",8%,0)+IF($E$24="征人归",8%,0)</f>
        <v>0.1837</v>
      </c>
      <c r="H3" s="46" t="s">
        <v>80</v>
      </c>
      <c r="I3" s="11">
        <f>25-IF(D17="√",10,0)-IF(F17="√",10,0)</f>
        <v>5</v>
      </c>
      <c r="K3">
        <f>$L3*VLOOKUP($R3,武学奇术!$A:$ZZ,31,FALSE)</f>
        <v>25675.251412691</v>
      </c>
      <c r="L3" s="39">
        <f t="shared" ref="L3:L34" si="0">($M3*$BO3+$N3*$BM3+$O3*$BP3+$P3*$BQ3)</f>
        <v>25675.251412691</v>
      </c>
      <c r="M3" s="39">
        <f>((($AO3+($AP3-$AO3)*IF(VLOOKUP($R3,武学奇术!$A:$ZZ,31,FALSE)=1,$F$18,0.5))*$AI3+$AJ3)*(1+$AQ3)*(1+$AR3)+(($AT3+($AU3-$AT3)*IF(VLOOKUP($R3,武学奇术!$A:$ZZ,31,FALSE)=1,$F$18,0.5))*IF($G$1="鸣金",$AK3,$AI3)+IF($G$1="鸣金",$AL3*1.5,0))*(1+$AV3)*(1+$AW3)+(($AX3+($AY3-$AX3)*IF(VLOOKUP($R3,武学奇术!$A:$ZZ,31,FALSE)=1,$F$18,0.5))*IF($G$1="裂石",$AK3,$AI3)+IF($G$1="裂石",$AL3*1.5,0))*(1+$AZ3)*(1+$BA3)+(($BB3+($BC3-$BB3)*IF(VLOOKUP($R3,武学奇术!$A:$ZZ,31,FALSE)=1,$F$18,0.5))*IF($G$1="牵丝",$AK3,$AI3)+IF($G$1="牵丝",$AL3*1.5,0))*(1+$BD3)*(1+$BE3)+(($BF3+($BG3-$BF3)*IF(VLOOKUP($R3,武学奇术!$A:$ZZ,31,FALSE)=1,$F$18,0.5))*IF($G$1="破竹",$AK3,$AI3)+IF($G$1="破竹",$AL3*1.5,0))*(1+$BH3)*(1+$BI3))*(1+$AM3)*$BL3*$Q3*(1+IF(VLOOKUP($R3,武学奇术!$A:$ZZ,30,FALSE)="蓄力技",$B$21,0))*(1+$BR3)</f>
        <v>25743.9340340887</v>
      </c>
      <c r="N3" s="39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25352.7857172223</v>
      </c>
      <c r="O3" s="39">
        <f>((($AO3+($AP3-$AO3)*IF(VLOOKUP($R3,武学奇术!$A:$ZZ,31,FALSE)=1,$F$18,0.5))*$AI3+$AJ3)*(1+$AQ3)*(1+$AR3)+(($AT3+($AU3-$AT3)*IF(VLOOKUP($R3,武学奇术!$A:$ZZ,31,FALSE)=1,$F$18,0.5))*IF($G$1="鸣金",$AK3,$AI3)+IF($G$1="鸣金",$AL3*1.5,0))*(1+$AV3)*(1+$AW3)+(($AX3+($AY3-$AX3)*IF(VLOOKUP($R3,武学奇术!$A:$ZZ,31,FALSE)=1,$F$18,0.5))*IF($G$1="裂石",$AK3,$AI3)+IF($G$1="裂石",$AL3*1.5,0))*(1+$AZ3)*(1+$BA3)+(($BB3+($BC3-$BB3)*IF(VLOOKUP($R3,武学奇术!$A:$ZZ,31,FALSE)=1,$F$18,0.5))*IF($G$1="牵丝",$AK3,$AI3)+IF($G$1="牵丝",$AL3*1.5,0))*(1+$BD3)*(1+$BE3)+(($BF3+($BG3-$BF3)*IF(VLOOKUP($R3,武学奇术!$A:$ZZ,31,FALSE)=1,$F$18,0.5))*IF($G$1="破竹",$AK3,$AI3)+IF($G$1="破竹",$AL3*1.5,0))*(1+$BH3)*(1+$BI3))*(1+$AM3)*$Q3*(1+IF(VLOOKUP($R3,武学奇术!$A:$ZZ,30,FALSE)="蓄力技",$B$21,0))*(1+$BR3)</f>
        <v>16502.5218167235</v>
      </c>
      <c r="P3" s="39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14225.2023614305</v>
      </c>
      <c r="Q3" s="40">
        <v>1</v>
      </c>
      <c r="R3" s="41" t="s">
        <v>71</v>
      </c>
      <c r="S3" s="41" t="s">
        <v>81</v>
      </c>
      <c r="T3" s="41" t="s">
        <v>73</v>
      </c>
      <c r="U3" s="41" t="s">
        <v>73</v>
      </c>
      <c r="V3" s="41" t="s">
        <v>74</v>
      </c>
      <c r="W3" s="41" t="s">
        <v>73</v>
      </c>
      <c r="X3" s="41" t="s">
        <v>73</v>
      </c>
      <c r="Y3" s="41" t="s">
        <v>82</v>
      </c>
      <c r="Z3" s="41" t="s">
        <v>83</v>
      </c>
      <c r="AA3" s="41" t="s">
        <v>73</v>
      </c>
      <c r="AB3" s="41" t="s">
        <v>84</v>
      </c>
      <c r="AC3" s="41" t="s">
        <v>73</v>
      </c>
      <c r="AD3" s="41" t="s">
        <v>73</v>
      </c>
      <c r="AE3" s="41" t="s">
        <v>76</v>
      </c>
      <c r="AF3" s="41" t="s">
        <v>77</v>
      </c>
      <c r="AG3" s="41" t="s">
        <v>78</v>
      </c>
      <c r="AH3" t="str">
        <f>VLOOKUP($R3,武学奇术!$A:$ZZ,25,FALSE)</f>
        <v>群体奇术</v>
      </c>
      <c r="AI3" s="27">
        <f>VLOOKUP($R3,武学奇术!$A:$ZZ,26,FALSE)</f>
        <v>1.4904</v>
      </c>
      <c r="AJ3" s="28">
        <f>VLOOKUP($R3,武学奇术!$A:$ZZ,27,FALSE)*(1+IF(OR($AH3=$F$4,$AH3=$F$5),$B$22,0))</f>
        <v>378</v>
      </c>
      <c r="AK3" s="27">
        <f>VLOOKUP($R3,武学奇术!$A:$ZZ,28,FALSE)</f>
        <v>2.2356</v>
      </c>
      <c r="AL3" s="28">
        <f>VLOOKUP($R3,武学奇术!$A:$ZZ,29,FALSE)*(1+IF(OR($AH3=$F$4,$AH3=$F$5),$B$22,0))</f>
        <v>0</v>
      </c>
      <c r="AM3" s="27" cm="1">
        <f t="array" ref="AM3">$G$3+IFERROR(VLOOKUP($AH3,$F$4:$G$7,2,FALSE),0)+VLOOKUP($R3,武学奇术!$A:$ZZ,2,FALSE)+SUM(_xlfn.XLOOKUP($S3:$AG3,增益!$A:$A,增益!$B:$B,0))</f>
        <v>0.2237</v>
      </c>
      <c r="AN3" s="27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3888.382</v>
      </c>
      <c r="AP3" cm="1">
        <f t="array" ref="AP3">$E$10*(1+$AN3)+VLOOKUP($R3,武学奇术!$A:$ZZ,4,FALSE)+SUM(_xlfn.XLOOKUP($S3:$AG3,增益!$A:$A,增益!$D:$D,0))-$I$2</f>
        <v>3888.382</v>
      </c>
      <c r="AQ3" s="33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0.287</v>
      </c>
      <c r="AR3" s="33" cm="1">
        <f t="array" ref="AR3">$G$10+VLOOKUP($R3,武学奇术!$A:$ZZ,7,FALSE)+SUM(_xlfn.XLOOKUP(S3:AG3,增益!$A:$A,增益!$G:$G,0))</f>
        <v>0.09</v>
      </c>
      <c r="AS3" s="27" cm="1">
        <f t="array" ref="AS3">VLOOKUP($R3,武学奇术!$A:$ZZ,8,FALSE)+SUM(_xlfn.XLOOKUP(S3:AG3,增益!$A:$A,增益!$H:$H,0))</f>
        <v>0</v>
      </c>
      <c r="AT3">
        <f t="shared" ref="AT3:AT43" si="1">$D$11*(1+$AS3)</f>
        <v>0</v>
      </c>
      <c r="AU3">
        <f t="shared" ref="AU3:AU43" si="2">$E$11*(1+$AS3)</f>
        <v>0</v>
      </c>
      <c r="AV3" s="33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-0.14</v>
      </c>
      <c r="AW3" s="33" cm="1">
        <f t="array" ref="AW3">$G$11+VLOOKUP($R3,武学奇术!$A:$ZZ,10,FALSE)+SUM(_xlfn.XLOOKUP(S3:AG3,增益!$A:$A,增益!$J:$J,0))</f>
        <v>0</v>
      </c>
      <c r="AX3">
        <f t="shared" ref="AX3:AX43" si="3">$D$12*(1+$AS3)</f>
        <v>0</v>
      </c>
      <c r="AY3">
        <f t="shared" ref="AY3:AY43" si="4">$E$12*(1+$AS3)</f>
        <v>0</v>
      </c>
      <c r="AZ3" s="33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-0.14</v>
      </c>
      <c r="BA3" s="33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33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-0.14</v>
      </c>
      <c r="BE3" s="33" cm="1">
        <f t="array" ref="BE3">$G$13+VLOOKUP($R3,武学奇术!$A:$ZZ,14,FALSE)+SUM(_xlfn.XLOOKUP(S3:AG3,增益!$A:$A,增益!$N:$N,0))</f>
        <v>0</v>
      </c>
      <c r="BF3">
        <f t="shared" ref="BF3:BF34" si="7">$D$14*(1+$AS3)</f>
        <v>605.472</v>
      </c>
      <c r="BG3">
        <f t="shared" ref="BG3:BG34" si="8">$E$14*(1+$AS3)</f>
        <v>1725.468</v>
      </c>
      <c r="BH3" s="33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0.08</v>
      </c>
      <c r="BI3" s="33" cm="1">
        <f t="array" ref="BI3">$G$14+VLOOKUP($R3,武学奇术!$A:$ZZ,16,FALSE)+SUM(_xlfn.XLOOKUP(S3:AG3,增益!$A:$A,增益!$P:$P,0))</f>
        <v>0.24</v>
      </c>
      <c r="BJ3" s="27">
        <f>MIN(IF(VLOOKUP($R3,武学奇术!$A:$ZZ,23,FALSE)=1,100%,$B$8),100%)</f>
        <v>1</v>
      </c>
      <c r="BK3" s="27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+MIN(IF(VLOOKUP($R3,武学奇术!$A:$ZZ,32,FALSE)=1,IF(VLOOKUP($R3,武学奇术!$A:$ZZ,24,FALSE)=1,100%,MIN(40%,$B$10+VLOOKUP($R3,武学奇术!$A:$ZZ,19,FALSE)+SUM(_xlfn.XLOOKUP(S3:AG3,增益!$A:$A,增益!$S:$S,0)))+$B$12+SUM(_xlfn.XLOOKUP(S3:AG3,增益!$A:$A,增益!$V:$V,0))),0),12%)</f>
        <v>0.9036</v>
      </c>
      <c r="BL3" s="27" cm="1">
        <f t="array" ref="BL3">1+$B$13+VLOOKUP($R3,武学奇术!$A:$ZZ,18,FALSE)+SUM(_xlfn.XLOOKUP(S3:AG3,增益!$A:$A,增益!$R:$R,0))</f>
        <v>1.56</v>
      </c>
      <c r="BM3" s="27" cm="1">
        <f t="array" ref="BM3">MAX(IF(VLOOKUP($R3,武学奇术!$A:$ZZ,24,FALSE)=1,100%,MIN(40%,$B$10+VLOOKUP($R3,武学奇术!$A:$ZZ,19,FALSE)+SUM(_xlfn.XLOOKUP(S3:AG3,增益!$A:$A,增益!$S:$S,0)))+$B$12+SUM(_xlfn.XLOOKUP(S3:AG3,增益!$A:$A,增益!$V:$V,0)))*IF(VLOOKUP($R3,武学奇术!$A:$ZZ,23,FALSE)=1,0,1)-IF(VLOOKUP($R3,武学奇术!$A:$ZZ,32,FALSE)=1,12%,0),0)</f>
        <v>0.0929</v>
      </c>
      <c r="BN3" s="27" cm="1">
        <f t="array" ref="BN3">1+$B$14+VLOOKUP($R3,武学奇术!$A:$ZZ,20,FALSE)+SUM(_xlfn.XLOOKUP(S3:AG3,增益!$A:$A,增益!$T:$T,0))</f>
        <v>1.35</v>
      </c>
      <c r="BO3" s="27">
        <f t="shared" ref="BO3:BO34" si="9">MIN((1-BM3)*BJ3,BJ3*BK3)</f>
        <v>0.9036</v>
      </c>
      <c r="BP3" s="27">
        <f t="shared" ref="BP3:BP34" si="10">1-BM3-BO3-BQ3</f>
        <v>0.00350000000000006</v>
      </c>
      <c r="BQ3" s="27">
        <f>IF(VLOOKUP($R3,武学奇术!$A:$ZZ,22,FALSE)=1,0,(1-$BJ3))*(1-$BM3)</f>
        <v>0</v>
      </c>
      <c r="BR3" s="27" cm="1">
        <f t="array" ref="BR3">SUM(_xlfn.XLOOKUP(S3:AG3,增益!$A:$A,增益!$W:$W,0))+$I$5</f>
        <v>0.11</v>
      </c>
    </row>
    <row r="4" ht="14.25" spans="1:70">
      <c r="A4" s="51" t="s">
        <v>85</v>
      </c>
      <c r="B4" s="52"/>
      <c r="C4" s="52"/>
      <c r="D4" s="52"/>
      <c r="E4" s="53"/>
      <c r="F4" s="46" t="s">
        <v>86</v>
      </c>
      <c r="G4" s="50">
        <f>B15+B17</f>
        <v>0.1704</v>
      </c>
      <c r="H4" s="54" t="s">
        <v>87</v>
      </c>
      <c r="I4" s="15">
        <f>30</f>
        <v>30</v>
      </c>
      <c r="K4">
        <f>$L4*VLOOKUP($R4,武学奇术!$A:$ZZ,31,FALSE)</f>
        <v>26178.0041311184</v>
      </c>
      <c r="L4" s="39">
        <f t="shared" si="0"/>
        <v>26178.0041311184</v>
      </c>
      <c r="M4" s="39">
        <f>((($AO4+($AP4-$AO4)*IF(VLOOKUP($R4,武学奇术!$A:$ZZ,31,FALSE)=1,$F$18,0.5))*$AI4+$AJ4)*(1+$AQ4)*(1+$AR4)+(($AT4+($AU4-$AT4)*IF(VLOOKUP($R4,武学奇术!$A:$ZZ,31,FALSE)=1,$F$18,0.5))*IF($G$1="鸣金",$AK4,$AI4)+IF($G$1="鸣金",$AL4*1.5,0))*(1+$AV4)*(1+$AW4)+(($AX4+($AY4-$AX4)*IF(VLOOKUP($R4,武学奇术!$A:$ZZ,31,FALSE)=1,$F$18,0.5))*IF($G$1="裂石",$AK4,$AI4)+IF($G$1="裂石",$AL4*1.5,0))*(1+$AZ4)*(1+$BA4)+(($BB4+($BC4-$BB4)*IF(VLOOKUP($R4,武学奇术!$A:$ZZ,31,FALSE)=1,$F$18,0.5))*IF($G$1="牵丝",$AK4,$AI4)+IF($G$1="牵丝",$AL4*1.5,0))*(1+$BD4)*(1+$BE4)+(($BF4+($BG4-$BF4)*IF(VLOOKUP($R4,武学奇术!$A:$ZZ,31,FALSE)=1,$F$18,0.5))*IF($G$1="破竹",$AK4,$AI4)+IF($G$1="破竹",$AL4*1.5,0))*(1+$BH4)*(1+$BI4))*(1+$AM4)*$BL4*$Q4*(1+IF(VLOOKUP($R4,武学奇术!$A:$ZZ,30,FALSE)="蓄力技",$B$21,0))*(1+$BR4)</f>
        <v>26265.3535486896</v>
      </c>
      <c r="N4" s="39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25684.3630633579</v>
      </c>
      <c r="O4" s="39">
        <f>((($AO4+($AP4-$AO4)*IF(VLOOKUP($R4,武学奇术!$A:$ZZ,31,FALSE)=1,$F$18,0.5))*$AI4+$AJ4)*(1+$AQ4)*(1+$AR4)+(($AT4+($AU4-$AT4)*IF(VLOOKUP($R4,武学奇术!$A:$ZZ,31,FALSE)=1,$F$18,0.5))*IF($G$1="鸣金",$AK4,$AI4)+IF($G$1="鸣金",$AL4*1.5,0))*(1+$AV4)*(1+$AW4)+(($AX4+($AY4-$AX4)*IF(VLOOKUP($R4,武学奇术!$A:$ZZ,31,FALSE)=1,$F$18,0.5))*IF($G$1="裂石",$AK4,$AI4)+IF($G$1="裂石",$AL4*1.5,0))*(1+$AZ4)*(1+$BA4)+(($BB4+($BC4-$BB4)*IF(VLOOKUP($R4,武学奇术!$A:$ZZ,31,FALSE)=1,$F$18,0.5))*IF($G$1="牵丝",$AK4,$AI4)+IF($G$1="牵丝",$AL4*1.5,0))*(1+$BD4)*(1+$BE4)+(($BF4+($BG4-$BF4)*IF(VLOOKUP($R4,武学奇术!$A:$ZZ,31,FALSE)=1,$F$18,0.5))*IF($G$1="破竹",$AK4,$AI4)+IF($G$1="破竹",$AL4*1.5,0))*(1+$BH4)*(1+$BI4))*(1+$AM4)*$Q4*(1+IF(VLOOKUP($R4,武学奇术!$A:$ZZ,30,FALSE)="蓄力技",$B$21,0))*(1+$BR4)</f>
        <v>16729.5245533055</v>
      </c>
      <c r="P4" s="39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14433.5949856051</v>
      </c>
      <c r="Q4" s="40">
        <v>1</v>
      </c>
      <c r="R4" s="41" t="s">
        <v>71</v>
      </c>
      <c r="S4" s="41" t="s">
        <v>88</v>
      </c>
      <c r="T4" s="41" t="s">
        <v>73</v>
      </c>
      <c r="U4" s="41" t="s">
        <v>73</v>
      </c>
      <c r="V4" s="41" t="s">
        <v>74</v>
      </c>
      <c r="W4" s="41" t="s">
        <v>73</v>
      </c>
      <c r="X4" s="41" t="s">
        <v>73</v>
      </c>
      <c r="Y4" s="41" t="s">
        <v>89</v>
      </c>
      <c r="Z4" s="41" t="s">
        <v>83</v>
      </c>
      <c r="AA4" s="41" t="s">
        <v>73</v>
      </c>
      <c r="AB4" s="41" t="s">
        <v>90</v>
      </c>
      <c r="AC4" s="41" t="s">
        <v>73</v>
      </c>
      <c r="AD4" s="41" t="s">
        <v>73</v>
      </c>
      <c r="AE4" s="41" t="s">
        <v>76</v>
      </c>
      <c r="AF4" s="41" t="s">
        <v>77</v>
      </c>
      <c r="AG4" s="41" t="s">
        <v>78</v>
      </c>
      <c r="AH4" t="str">
        <f>VLOOKUP($R4,武学奇术!$A:$ZZ,25,FALSE)</f>
        <v>群体奇术</v>
      </c>
      <c r="AI4" s="27">
        <f>VLOOKUP($R4,武学奇术!$A:$ZZ,26,FALSE)</f>
        <v>1.4904</v>
      </c>
      <c r="AJ4" s="28">
        <f>VLOOKUP($R4,武学奇术!$A:$ZZ,27,FALSE)*(1+IF(OR($AH4=$F$4,$AH4=$F$5),$B$22,0))</f>
        <v>378</v>
      </c>
      <c r="AK4" s="27">
        <f>VLOOKUP($R4,武学奇术!$A:$ZZ,28,FALSE)</f>
        <v>2.2356</v>
      </c>
      <c r="AL4" s="28">
        <f>VLOOKUP($R4,武学奇术!$A:$ZZ,29,FALSE)*(1+IF(OR($AH4=$F$4,$AH4=$F$5),$B$22,0))</f>
        <v>0</v>
      </c>
      <c r="AM4" s="27" cm="1">
        <f t="array" ref="AM4">$G$3+IFERROR(VLOOKUP($AH4,$F$4:$G$7,2,FALSE),0)+VLOOKUP($R4,武学奇术!$A:$ZZ,2,FALSE)+SUM(_xlfn.XLOOKUP($S4:$AG4,增益!$A:$A,增益!$B:$B,0))</f>
        <v>0.2337</v>
      </c>
      <c r="AN4" s="27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3888.382</v>
      </c>
      <c r="AP4" cm="1">
        <f t="array" ref="AP4">$E$10*(1+$AN4)+VLOOKUP($R4,武学奇术!$A:$ZZ,4,FALSE)+SUM(_xlfn.XLOOKUP($S4:$AG4,增益!$A:$A,增益!$D:$D,0))-$I$2</f>
        <v>3888.382</v>
      </c>
      <c r="AQ4" s="33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0.297</v>
      </c>
      <c r="AR4" s="33" cm="1">
        <f t="array" ref="AR4">$G$10+VLOOKUP($R4,武学奇术!$A:$ZZ,7,FALSE)+SUM(_xlfn.XLOOKUP(S4:AG4,增益!$A:$A,增益!$G:$G,0))</f>
        <v>0.09</v>
      </c>
      <c r="AS4" s="27" cm="1">
        <f t="array" ref="AS4">VLOOKUP($R4,武学奇术!$A:$ZZ,8,FALSE)+SUM(_xlfn.XLOOKUP(S4:AG4,增益!$A:$A,增益!$H:$H,0))</f>
        <v>0</v>
      </c>
      <c r="AT4">
        <f t="shared" si="1"/>
        <v>0</v>
      </c>
      <c r="AU4">
        <f t="shared" si="2"/>
        <v>0</v>
      </c>
      <c r="AV4" s="33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-0.14</v>
      </c>
      <c r="AW4" s="33" cm="1">
        <f t="array" ref="AW4">$G$11+VLOOKUP($R4,武学奇术!$A:$ZZ,10,FALSE)+SUM(_xlfn.XLOOKUP(S4:AG4,增益!$A:$A,增益!$J:$J,0))</f>
        <v>0</v>
      </c>
      <c r="AX4">
        <f t="shared" si="3"/>
        <v>0</v>
      </c>
      <c r="AY4">
        <f t="shared" si="4"/>
        <v>0</v>
      </c>
      <c r="AZ4" s="33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-0.14</v>
      </c>
      <c r="BA4" s="33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3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-0.14</v>
      </c>
      <c r="BE4" s="33" cm="1">
        <f t="array" ref="BE4">$G$13+VLOOKUP($R4,武学奇术!$A:$ZZ,14,FALSE)+SUM(_xlfn.XLOOKUP(S4:AG4,增益!$A:$A,增益!$N:$N,0))</f>
        <v>0</v>
      </c>
      <c r="BF4">
        <f t="shared" si="7"/>
        <v>605.472</v>
      </c>
      <c r="BG4">
        <f t="shared" si="8"/>
        <v>1725.468</v>
      </c>
      <c r="BH4" s="33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0.08</v>
      </c>
      <c r="BI4" s="33" cm="1">
        <f t="array" ref="BI4">$G$14+VLOOKUP($R4,武学奇术!$A:$ZZ,16,FALSE)+SUM(_xlfn.XLOOKUP(S4:AG4,增益!$A:$A,增益!$P:$P,0))</f>
        <v>0.24</v>
      </c>
      <c r="BJ4" s="27">
        <f>MIN(IF(VLOOKUP($R4,武学奇术!$A:$ZZ,23,FALSE)=1,100%,$B$8),100%)</f>
        <v>1</v>
      </c>
      <c r="BK4" s="27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+MIN(IF(VLOOKUP($R4,武学奇术!$A:$ZZ,32,FALSE)=1,IF(VLOOKUP($R4,武学奇术!$A:$ZZ,24,FALSE)=1,100%,MIN(40%,$B$10+VLOOKUP($R4,武学奇术!$A:$ZZ,19,FALSE)+SUM(_xlfn.XLOOKUP(S4:AG4,增益!$A:$A,增益!$S:$S,0)))+$B$12+SUM(_xlfn.XLOOKUP(S4:AG4,增益!$A:$A,增益!$V:$V,0))),0),12%)</f>
        <v>0.9036</v>
      </c>
      <c r="BL4" s="27" cm="1">
        <f t="array" ref="BL4">1+$B$13+VLOOKUP($R4,武学奇术!$A:$ZZ,18,FALSE)+SUM(_xlfn.XLOOKUP(S4:AG4,增益!$A:$A,增益!$R:$R,0))</f>
        <v>1.57</v>
      </c>
      <c r="BM4" s="27" cm="1">
        <f t="array" ref="BM4">MAX(IF(VLOOKUP($R4,武学奇术!$A:$ZZ,24,FALSE)=1,100%,MIN(40%,$B$10+VLOOKUP($R4,武学奇术!$A:$ZZ,19,FALSE)+SUM(_xlfn.XLOOKUP(S4:AG4,增益!$A:$A,增益!$S:$S,0)))+$B$12+SUM(_xlfn.XLOOKUP(S4:AG4,增益!$A:$A,增益!$V:$V,0)))*IF(VLOOKUP($R4,武学奇术!$A:$ZZ,23,FALSE)=1,0,1)-IF(VLOOKUP($R4,武学奇术!$A:$ZZ,32,FALSE)=1,12%,0),0)</f>
        <v>0.0929</v>
      </c>
      <c r="BN4" s="27" cm="1">
        <f t="array" ref="BN4">1+$B$14+VLOOKUP($R4,武学奇术!$A:$ZZ,20,FALSE)+SUM(_xlfn.XLOOKUP(S4:AG4,增益!$A:$A,增益!$T:$T,0))</f>
        <v>1.35</v>
      </c>
      <c r="BO4" s="27">
        <f t="shared" si="9"/>
        <v>0.9036</v>
      </c>
      <c r="BP4" s="27">
        <f t="shared" si="10"/>
        <v>0.00350000000000006</v>
      </c>
      <c r="BQ4" s="27">
        <f>IF(VLOOKUP($R4,武学奇术!$A:$ZZ,22,FALSE)=1,0,(1-$BJ4))*(1-$BM4)</f>
        <v>0</v>
      </c>
      <c r="BR4" s="27" cm="1">
        <f t="array" ref="BR4">SUM(_xlfn.XLOOKUP(S4:AG4,增益!$A:$A,增益!$W:$W,0))+$I$5</f>
        <v>0.11</v>
      </c>
    </row>
    <row r="5" spans="1:70">
      <c r="A5" s="55" t="s">
        <v>91</v>
      </c>
      <c r="B5" s="56"/>
      <c r="C5" s="56"/>
      <c r="D5" s="56"/>
      <c r="E5" s="57"/>
      <c r="F5" s="46" t="s">
        <v>92</v>
      </c>
      <c r="G5" s="50">
        <f>B15+B18</f>
        <v>0.0852</v>
      </c>
      <c r="H5" t="s">
        <v>93</v>
      </c>
      <c r="I5" s="29">
        <v>0.06</v>
      </c>
      <c r="K5">
        <f>$L5*VLOOKUP($R5,武学奇术!$A:$ZZ,31,FALSE)</f>
        <v>26687.1844992278</v>
      </c>
      <c r="L5" s="39">
        <f t="shared" si="0"/>
        <v>26687.1844992278</v>
      </c>
      <c r="M5" s="39">
        <f>((($AO5+($AP5-$AO5)*IF(VLOOKUP($R5,武学奇术!$A:$ZZ,31,FALSE)=1,$F$18,0.5))*$AI5+$AJ5)*(1+$AQ5)*(1+$AR5)+(($AT5+($AU5-$AT5)*IF(VLOOKUP($R5,武学奇术!$A:$ZZ,31,FALSE)=1,$F$18,0.5))*IF($G$1="鸣金",$AK5,$AI5)+IF($G$1="鸣金",$AL5*1.5,0))*(1+$AV5)*(1+$AW5)+(($AX5+($AY5-$AX5)*IF(VLOOKUP($R5,武学奇术!$A:$ZZ,31,FALSE)=1,$F$18,0.5))*IF($G$1="裂石",$AK5,$AI5)+IF($G$1="裂石",$AL5*1.5,0))*(1+$AZ5)*(1+$BA5)+(($BB5+($BC5-$BB5)*IF(VLOOKUP($R5,武学奇术!$A:$ZZ,31,FALSE)=1,$F$18,0.5))*IF($G$1="牵丝",$AK5,$AI5)+IF($G$1="牵丝",$AL5*1.5,0))*(1+$BD5)*(1+$BE5)+(($BF5+($BG5-$BF5)*IF(VLOOKUP($R5,武学奇术!$A:$ZZ,31,FALSE)=1,$F$18,0.5))*IF($G$1="破竹",$AK5,$AI5)+IF($G$1="破竹",$AL5*1.5,0))*(1+$BH5)*(1+$BI5))*(1+$AM5)*$BL5*$Q5*(1+IF(VLOOKUP($R5,武学奇术!$A:$ZZ,30,FALSE)="蓄力技",$B$21,0))*(1+$BR5)</f>
        <v>26793.6733247272</v>
      </c>
      <c r="N5" s="39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26017.9570418048</v>
      </c>
      <c r="O5" s="39">
        <f>((($AO5+($AP5-$AO5)*IF(VLOOKUP($R5,武学奇术!$A:$ZZ,31,FALSE)=1,$F$18,0.5))*$AI5+$AJ5)*(1+$AQ5)*(1+$AR5)+(($AT5+($AU5-$AT5)*IF(VLOOKUP($R5,武学奇术!$A:$ZZ,31,FALSE)=1,$F$18,0.5))*IF($G$1="鸣金",$AK5,$AI5)+IF($G$1="鸣金",$AL5*1.5,0))*(1+$AV5)*(1+$AW5)+(($AX5+($AY5-$AX5)*IF(VLOOKUP($R5,武学奇术!$A:$ZZ,31,FALSE)=1,$F$18,0.5))*IF($G$1="裂石",$AK5,$AI5)+IF($G$1="裂石",$AL5*1.5,0))*(1+$AZ5)*(1+$BA5)+(($BB5+($BC5-$BB5)*IF(VLOOKUP($R5,武学奇术!$A:$ZZ,31,FALSE)=1,$F$18,0.5))*IF($G$1="牵丝",$AK5,$AI5)+IF($G$1="牵丝",$AL5*1.5,0))*(1+$BD5)*(1+$BE5)+(($BF5+($BG5-$BF5)*IF(VLOOKUP($R5,武学奇术!$A:$ZZ,31,FALSE)=1,$F$18,0.5))*IF($G$1="破竹",$AK5,$AI5)+IF($G$1="破竹",$AL5*1.5,0))*(1+$BH5)*(1+$BI5))*(1+$AM5)*$Q5*(1+IF(VLOOKUP($R5,武学奇术!$A:$ZZ,30,FALSE)="蓄力技",$B$21,0))*(1+$BR5)</f>
        <v>16958.0210915995</v>
      </c>
      <c r="P5" s="39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14643.4814114917</v>
      </c>
      <c r="Q5" s="40">
        <v>1</v>
      </c>
      <c r="R5" s="41" t="s">
        <v>71</v>
      </c>
      <c r="S5" s="41" t="s">
        <v>94</v>
      </c>
      <c r="T5" s="41" t="s">
        <v>73</v>
      </c>
      <c r="U5" s="41" t="s">
        <v>73</v>
      </c>
      <c r="V5" s="41" t="s">
        <v>74</v>
      </c>
      <c r="W5" s="41" t="s">
        <v>73</v>
      </c>
      <c r="X5" s="41" t="s">
        <v>73</v>
      </c>
      <c r="Y5" s="41" t="s">
        <v>95</v>
      </c>
      <c r="Z5" s="41" t="s">
        <v>83</v>
      </c>
      <c r="AA5" s="41" t="s">
        <v>73</v>
      </c>
      <c r="AB5" s="41" t="s">
        <v>90</v>
      </c>
      <c r="AC5" s="41" t="s">
        <v>73</v>
      </c>
      <c r="AD5" s="41" t="s">
        <v>73</v>
      </c>
      <c r="AE5" s="41" t="s">
        <v>76</v>
      </c>
      <c r="AF5" s="41" t="s">
        <v>77</v>
      </c>
      <c r="AG5" s="41" t="s">
        <v>78</v>
      </c>
      <c r="AH5" t="str">
        <f>VLOOKUP($R5,武学奇术!$A:$ZZ,25,FALSE)</f>
        <v>群体奇术</v>
      </c>
      <c r="AI5" s="27">
        <f>VLOOKUP($R5,武学奇术!$A:$ZZ,26,FALSE)</f>
        <v>1.4904</v>
      </c>
      <c r="AJ5" s="28">
        <f>VLOOKUP($R5,武学奇术!$A:$ZZ,27,FALSE)*(1+IF(OR($AH5=$F$4,$AH5=$F$5),$B$22,0))</f>
        <v>378</v>
      </c>
      <c r="AK5" s="27">
        <f>VLOOKUP($R5,武学奇术!$A:$ZZ,28,FALSE)</f>
        <v>2.2356</v>
      </c>
      <c r="AL5" s="28">
        <f>VLOOKUP($R5,武学奇术!$A:$ZZ,29,FALSE)*(1+IF(OR($AH5=$F$4,$AH5=$F$5),$B$22,0))</f>
        <v>0</v>
      </c>
      <c r="AM5" s="27" cm="1">
        <f t="array" ref="AM5">$G$3+IFERROR(VLOOKUP($AH5,$F$4:$G$7,2,FALSE),0)+VLOOKUP($R5,武学奇术!$A:$ZZ,2,FALSE)+SUM(_xlfn.XLOOKUP($S5:$AG5,增益!$A:$A,增益!$B:$B,0))</f>
        <v>0.2437</v>
      </c>
      <c r="AN5" s="27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3888.382</v>
      </c>
      <c r="AP5" cm="1">
        <f t="array" ref="AP5">$E$10*(1+$AN5)+VLOOKUP($R5,武学奇术!$A:$ZZ,4,FALSE)+SUM(_xlfn.XLOOKUP($S5:$AG5,增益!$A:$A,增益!$D:$D,0))-$I$2</f>
        <v>3888.382</v>
      </c>
      <c r="AQ5" s="33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0.307</v>
      </c>
      <c r="AR5" s="33" cm="1">
        <f t="array" ref="AR5">$G$10+VLOOKUP($R5,武学奇术!$A:$ZZ,7,FALSE)+SUM(_xlfn.XLOOKUP(S5:AG5,增益!$A:$A,增益!$G:$G,0))</f>
        <v>0.09</v>
      </c>
      <c r="AS5" s="27" cm="1">
        <f t="array" ref="AS5">VLOOKUP($R5,武学奇术!$A:$ZZ,8,FALSE)+SUM(_xlfn.XLOOKUP(S5:AG5,增益!$A:$A,增益!$H:$H,0))</f>
        <v>0</v>
      </c>
      <c r="AT5">
        <f t="shared" si="1"/>
        <v>0</v>
      </c>
      <c r="AU5">
        <f t="shared" si="2"/>
        <v>0</v>
      </c>
      <c r="AV5" s="33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-0.14</v>
      </c>
      <c r="AW5" s="33" cm="1">
        <f t="array" ref="AW5">$G$11+VLOOKUP($R5,武学奇术!$A:$ZZ,10,FALSE)+SUM(_xlfn.XLOOKUP(S5:AG5,增益!$A:$A,增益!$J:$J,0))</f>
        <v>0</v>
      </c>
      <c r="AX5">
        <f t="shared" si="3"/>
        <v>0</v>
      </c>
      <c r="AY5">
        <f t="shared" si="4"/>
        <v>0</v>
      </c>
      <c r="AZ5" s="33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-0.14</v>
      </c>
      <c r="BA5" s="33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3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-0.14</v>
      </c>
      <c r="BE5" s="33" cm="1">
        <f t="array" ref="BE5">$G$13+VLOOKUP($R5,武学奇术!$A:$ZZ,14,FALSE)+SUM(_xlfn.XLOOKUP(S5:AG5,增益!$A:$A,增益!$N:$N,0))</f>
        <v>0</v>
      </c>
      <c r="BF5">
        <f t="shared" si="7"/>
        <v>605.472</v>
      </c>
      <c r="BG5">
        <f t="shared" si="8"/>
        <v>1725.468</v>
      </c>
      <c r="BH5" s="33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0.08</v>
      </c>
      <c r="BI5" s="33" cm="1">
        <f t="array" ref="BI5">$G$14+VLOOKUP($R5,武学奇术!$A:$ZZ,16,FALSE)+SUM(_xlfn.XLOOKUP(S5:AG5,增益!$A:$A,增益!$P:$P,0))</f>
        <v>0.24</v>
      </c>
      <c r="BJ5" s="27">
        <f>MIN(IF(VLOOKUP($R5,武学奇术!$A:$ZZ,23,FALSE)=1,100%,$B$8),100%)</f>
        <v>1</v>
      </c>
      <c r="BK5" s="27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+MIN(IF(VLOOKUP($R5,武学奇术!$A:$ZZ,32,FALSE)=1,IF(VLOOKUP($R5,武学奇术!$A:$ZZ,24,FALSE)=1,100%,MIN(40%,$B$10+VLOOKUP($R5,武学奇术!$A:$ZZ,19,FALSE)+SUM(_xlfn.XLOOKUP(S5:AG5,增益!$A:$A,增益!$S:$S,0)))+$B$12+SUM(_xlfn.XLOOKUP(S5:AG5,增益!$A:$A,增益!$V:$V,0))),0),12%)</f>
        <v>0.9036</v>
      </c>
      <c r="BL5" s="27" cm="1">
        <f t="array" ref="BL5">1+$B$13+VLOOKUP($R5,武学奇术!$A:$ZZ,18,FALSE)+SUM(_xlfn.XLOOKUP(S5:AG5,增益!$A:$A,增益!$R:$R,0))</f>
        <v>1.58</v>
      </c>
      <c r="BM5" s="27" cm="1">
        <f t="array" ref="BM5">MAX(IF(VLOOKUP($R5,武学奇术!$A:$ZZ,24,FALSE)=1,100%,MIN(40%,$B$10+VLOOKUP($R5,武学奇术!$A:$ZZ,19,FALSE)+SUM(_xlfn.XLOOKUP(S5:AG5,增益!$A:$A,增益!$S:$S,0)))+$B$12+SUM(_xlfn.XLOOKUP(S5:AG5,增益!$A:$A,增益!$V:$V,0)))*IF(VLOOKUP($R5,武学奇术!$A:$ZZ,23,FALSE)=1,0,1)-IF(VLOOKUP($R5,武学奇术!$A:$ZZ,32,FALSE)=1,12%,0),0)</f>
        <v>0.0929</v>
      </c>
      <c r="BN5" s="27" cm="1">
        <f t="array" ref="BN5">1+$B$14+VLOOKUP($R5,武学奇术!$A:$ZZ,20,FALSE)+SUM(_xlfn.XLOOKUP(S5:AG5,增益!$A:$A,增益!$T:$T,0))</f>
        <v>1.35</v>
      </c>
      <c r="BO5" s="27">
        <f t="shared" si="9"/>
        <v>0.9036</v>
      </c>
      <c r="BP5" s="27">
        <f t="shared" si="10"/>
        <v>0.00350000000000006</v>
      </c>
      <c r="BQ5" s="27">
        <f>IF(VLOOKUP($R5,武学奇术!$A:$ZZ,22,FALSE)=1,0,(1-$BJ5))*(1-$BM5)</f>
        <v>0</v>
      </c>
      <c r="BR5" s="27" cm="1">
        <f t="array" ref="BR5">SUM(_xlfn.XLOOKUP(S5:AG5,增益!$A:$A,增益!$W:$W,0))+$I$5</f>
        <v>0.11</v>
      </c>
    </row>
    <row r="6" spans="1:70">
      <c r="A6" s="58" t="s">
        <v>5</v>
      </c>
      <c r="B6" s="59">
        <v>492</v>
      </c>
      <c r="C6" s="59">
        <v>1397.8</v>
      </c>
      <c r="D6" s="59">
        <v>30</v>
      </c>
      <c r="E6" s="60">
        <v>0.15</v>
      </c>
      <c r="F6" s="46" t="s">
        <v>96</v>
      </c>
      <c r="G6" s="50">
        <f>B19</f>
        <v>0</v>
      </c>
      <c r="K6">
        <f>$L6*VLOOKUP($R6,武学奇术!$A:$ZZ,31,FALSE)</f>
        <v>27047.5221396998</v>
      </c>
      <c r="L6" s="39">
        <f t="shared" si="0"/>
        <v>27047.5221396998</v>
      </c>
      <c r="M6" s="39">
        <f>((($AO6+($AP6-$AO6)*IF(VLOOKUP($R6,武学奇术!$A:$ZZ,31,FALSE)=1,$F$18,0.5))*$AI6+$AJ6)*(1+$AQ6)*(1+$AR6)+(($AT6+($AU6-$AT6)*IF(VLOOKUP($R6,武学奇术!$A:$ZZ,31,FALSE)=1,$F$18,0.5))*IF($G$1="鸣金",$AK6,$AI6)+IF($G$1="鸣金",$AL6*1.5,0))*(1+$AV6)*(1+$AW6)+(($AX6+($AY6-$AX6)*IF(VLOOKUP($R6,武学奇术!$A:$ZZ,31,FALSE)=1,$F$18,0.5))*IF($G$1="裂石",$AK6,$AI6)+IF($G$1="裂石",$AL6*1.5,0))*(1+$AZ6)*(1+$BA6)+(($BB6+($BC6-$BB6)*IF(VLOOKUP($R6,武学奇术!$A:$ZZ,31,FALSE)=1,$F$18,0.5))*IF($G$1="牵丝",$AK6,$AI6)+IF($G$1="牵丝",$AL6*1.5,0))*(1+$BD6)*(1+$BE6)+(($BF6+($BG6-$BF6)*IF(VLOOKUP($R6,武学奇术!$A:$ZZ,31,FALSE)=1,$F$18,0.5))*IF($G$1="破竹",$AK6,$AI6)+IF($G$1="破竹",$AL6*1.5,0))*(1+$BH6)*(1+$BI6))*(1+$AM6)*$BL6*$Q6*(1+IF(VLOOKUP($R6,武学奇术!$A:$ZZ,30,FALSE)="蓄力技",$B$21,0))*(1+$BR6)</f>
        <v>27157.0580619368</v>
      </c>
      <c r="N6" s="39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26353.567652563</v>
      </c>
      <c r="O6" s="39">
        <f>((($AO6+($AP6-$AO6)*IF(VLOOKUP($R6,武学奇术!$A:$ZZ,31,FALSE)=1,$F$18,0.5))*$AI6+$AJ6)*(1+$AQ6)*(1+$AR6)+(($AT6+($AU6-$AT6)*IF(VLOOKUP($R6,武学奇术!$A:$ZZ,31,FALSE)=1,$F$18,0.5))*IF($G$1="鸣金",$AK6,$AI6)+IF($G$1="鸣金",$AL6*1.5,0))*(1+$AV6)*(1+$AW6)+(($AX6+($AY6-$AX6)*IF(VLOOKUP($R6,武学奇术!$A:$ZZ,31,FALSE)=1,$F$18,0.5))*IF($G$1="裂石",$AK6,$AI6)+IF($G$1="裂石",$AL6*1.5,0))*(1+$AZ6)*(1+$BA6)+(($BB6+($BC6-$BB6)*IF(VLOOKUP($R6,武学奇术!$A:$ZZ,31,FALSE)=1,$F$18,0.5))*IF($G$1="牵丝",$AK6,$AI6)+IF($G$1="牵丝",$AL6*1.5,0))*(1+$BD6)*(1+$BE6)+(($BF6+($BG6-$BF6)*IF(VLOOKUP($R6,武学奇术!$A:$ZZ,31,FALSE)=1,$F$18,0.5))*IF($G$1="破竹",$AK6,$AI6)+IF($G$1="破竹",$AL6*1.5,0))*(1+$BH6)*(1+$BI6))*(1+$AM6)*$Q6*(1+IF(VLOOKUP($R6,武学奇术!$A:$ZZ,30,FALSE)="蓄力技",$B$21,0))*(1+$BR6)</f>
        <v>17188.0114316056</v>
      </c>
      <c r="P6" s="39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14854.8616390904</v>
      </c>
      <c r="Q6" s="40">
        <v>1</v>
      </c>
      <c r="R6" s="41" t="s">
        <v>71</v>
      </c>
      <c r="S6" s="41" t="s">
        <v>97</v>
      </c>
      <c r="T6" s="41" t="s">
        <v>73</v>
      </c>
      <c r="U6" s="41" t="s">
        <v>73</v>
      </c>
      <c r="V6" s="41" t="s">
        <v>74</v>
      </c>
      <c r="W6" s="41" t="s">
        <v>73</v>
      </c>
      <c r="X6" s="41" t="s">
        <v>73</v>
      </c>
      <c r="Y6" s="41" t="s">
        <v>95</v>
      </c>
      <c r="Z6" s="41" t="s">
        <v>83</v>
      </c>
      <c r="AA6" s="41" t="s">
        <v>73</v>
      </c>
      <c r="AB6" s="41" t="s">
        <v>84</v>
      </c>
      <c r="AC6" s="41" t="s">
        <v>73</v>
      </c>
      <c r="AD6" s="41" t="s">
        <v>73</v>
      </c>
      <c r="AE6" s="41" t="s">
        <v>76</v>
      </c>
      <c r="AF6" s="41" t="s">
        <v>77</v>
      </c>
      <c r="AG6" s="41" t="s">
        <v>78</v>
      </c>
      <c r="AH6" t="str">
        <f>VLOOKUP($R6,武学奇术!$A:$ZZ,25,FALSE)</f>
        <v>群体奇术</v>
      </c>
      <c r="AI6" s="27">
        <f>VLOOKUP($R6,武学奇术!$A:$ZZ,26,FALSE)</f>
        <v>1.4904</v>
      </c>
      <c r="AJ6" s="28">
        <f>VLOOKUP($R6,武学奇术!$A:$ZZ,27,FALSE)*(1+IF(OR($AH6=$F$4,$AH6=$F$5),$B$22,0))</f>
        <v>378</v>
      </c>
      <c r="AK6" s="27">
        <f>VLOOKUP($R6,武学奇术!$A:$ZZ,28,FALSE)</f>
        <v>2.2356</v>
      </c>
      <c r="AL6" s="28">
        <f>VLOOKUP($R6,武学奇术!$A:$ZZ,29,FALSE)*(1+IF(OR($AH6=$F$4,$AH6=$F$5),$B$22,0))</f>
        <v>0</v>
      </c>
      <c r="AM6" s="27" cm="1">
        <f t="array" ref="AM6">$G$3+IFERROR(VLOOKUP($AH6,$F$4:$G$7,2,FALSE),0)+VLOOKUP($R6,武学奇术!$A:$ZZ,2,FALSE)+SUM(_xlfn.XLOOKUP($S6:$AG6,增益!$A:$A,增益!$B:$B,0))</f>
        <v>0.2537</v>
      </c>
      <c r="AN6" s="27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3888.382</v>
      </c>
      <c r="AP6" cm="1">
        <f t="array" ref="AP6">$E$10*(1+$AN6)+VLOOKUP($R6,武学奇术!$A:$ZZ,4,FALSE)+SUM(_xlfn.XLOOKUP($S6:$AG6,增益!$A:$A,增益!$D:$D,0))-$I$2</f>
        <v>3888.382</v>
      </c>
      <c r="AQ6" s="33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0.317</v>
      </c>
      <c r="AR6" s="33" cm="1">
        <f t="array" ref="AR6">$G$10+VLOOKUP($R6,武学奇术!$A:$ZZ,7,FALSE)+SUM(_xlfn.XLOOKUP(S6:AG6,增益!$A:$A,增益!$G:$G,0))</f>
        <v>0.09</v>
      </c>
      <c r="AS6" s="27" cm="1">
        <f t="array" ref="AS6">VLOOKUP($R6,武学奇术!$A:$ZZ,8,FALSE)+SUM(_xlfn.XLOOKUP(S6:AG6,增益!$A:$A,增益!$H:$H,0))</f>
        <v>0</v>
      </c>
      <c r="AT6">
        <f t="shared" si="1"/>
        <v>0</v>
      </c>
      <c r="AU6">
        <f t="shared" si="2"/>
        <v>0</v>
      </c>
      <c r="AV6" s="33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-0.14</v>
      </c>
      <c r="AW6" s="33" cm="1">
        <f t="array" ref="AW6">$G$11+VLOOKUP($R6,武学奇术!$A:$ZZ,10,FALSE)+SUM(_xlfn.XLOOKUP(S6:AG6,增益!$A:$A,增益!$J:$J,0))</f>
        <v>0</v>
      </c>
      <c r="AX6">
        <f t="shared" si="3"/>
        <v>0</v>
      </c>
      <c r="AY6">
        <f t="shared" si="4"/>
        <v>0</v>
      </c>
      <c r="AZ6" s="33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-0.14</v>
      </c>
      <c r="BA6" s="33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3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-0.14</v>
      </c>
      <c r="BE6" s="33" cm="1">
        <f t="array" ref="BE6">$G$13+VLOOKUP($R6,武学奇术!$A:$ZZ,14,FALSE)+SUM(_xlfn.XLOOKUP(S6:AG6,增益!$A:$A,增益!$N:$N,0))</f>
        <v>0</v>
      </c>
      <c r="BF6">
        <f t="shared" si="7"/>
        <v>605.472</v>
      </c>
      <c r="BG6">
        <f t="shared" si="8"/>
        <v>1725.468</v>
      </c>
      <c r="BH6" s="33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0.08</v>
      </c>
      <c r="BI6" s="33" cm="1">
        <f t="array" ref="BI6">$G$14+VLOOKUP($R6,武学奇术!$A:$ZZ,16,FALSE)+SUM(_xlfn.XLOOKUP(S6:AG6,增益!$A:$A,增益!$P:$P,0))</f>
        <v>0.24</v>
      </c>
      <c r="BJ6" s="27">
        <f>MIN(IF(VLOOKUP($R6,武学奇术!$A:$ZZ,23,FALSE)=1,100%,$B$8),100%)</f>
        <v>1</v>
      </c>
      <c r="BK6" s="27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+MIN(IF(VLOOKUP($R6,武学奇术!$A:$ZZ,32,FALSE)=1,IF(VLOOKUP($R6,武学奇术!$A:$ZZ,24,FALSE)=1,100%,MIN(40%,$B$10+VLOOKUP($R6,武学奇术!$A:$ZZ,19,FALSE)+SUM(_xlfn.XLOOKUP(S6:AG6,增益!$A:$A,增益!$S:$S,0)))+$B$12+SUM(_xlfn.XLOOKUP(S6:AG6,增益!$A:$A,增益!$V:$V,0))),0),12%)</f>
        <v>0.9036</v>
      </c>
      <c r="BL6" s="27" cm="1">
        <f t="array" ref="BL6">1+$B$13+VLOOKUP($R6,武学奇术!$A:$ZZ,18,FALSE)+SUM(_xlfn.XLOOKUP(S6:AG6,增益!$A:$A,增益!$R:$R,0))</f>
        <v>1.58</v>
      </c>
      <c r="BM6" s="27" cm="1">
        <f t="array" ref="BM6">MAX(IF(VLOOKUP($R6,武学奇术!$A:$ZZ,24,FALSE)=1,100%,MIN(40%,$B$10+VLOOKUP($R6,武学奇术!$A:$ZZ,19,FALSE)+SUM(_xlfn.XLOOKUP(S6:AG6,增益!$A:$A,增益!$S:$S,0)))+$B$12+SUM(_xlfn.XLOOKUP(S6:AG6,增益!$A:$A,增益!$V:$V,0)))*IF(VLOOKUP($R6,武学奇术!$A:$ZZ,23,FALSE)=1,0,1)-IF(VLOOKUP($R6,武学奇术!$A:$ZZ,32,FALSE)=1,12%,0),0)</f>
        <v>0.0929</v>
      </c>
      <c r="BN6" s="27" cm="1">
        <f t="array" ref="BN6">1+$B$14+VLOOKUP($R6,武学奇术!$A:$ZZ,20,FALSE)+SUM(_xlfn.XLOOKUP(S6:AG6,增益!$A:$A,增益!$T:$T,0))</f>
        <v>1.35</v>
      </c>
      <c r="BO6" s="27">
        <f t="shared" si="9"/>
        <v>0.9036</v>
      </c>
      <c r="BP6" s="27">
        <f t="shared" si="10"/>
        <v>0.00350000000000006</v>
      </c>
      <c r="BQ6" s="27">
        <f>IF(VLOOKUP($R6,武学奇术!$A:$ZZ,22,FALSE)=1,0,(1-$BJ6))*(1-$BM6)</f>
        <v>0</v>
      </c>
      <c r="BR6" s="27" cm="1">
        <f t="array" ref="BR6">SUM(_xlfn.XLOOKUP(S6:AG6,增益!$A:$A,增益!$W:$W,0))+$I$5</f>
        <v>0.11</v>
      </c>
    </row>
    <row r="7" ht="14.25" spans="1:70">
      <c r="A7" s="87" t="s">
        <v>98</v>
      </c>
      <c r="B7" s="92">
        <v>79.2</v>
      </c>
      <c r="C7" s="61">
        <f>92.4+68.8*2</f>
        <v>230</v>
      </c>
      <c r="D7" s="62"/>
      <c r="E7" s="63"/>
      <c r="F7" s="54" t="s">
        <v>99</v>
      </c>
      <c r="G7" s="64">
        <f>B20</f>
        <v>0</v>
      </c>
      <c r="K7">
        <f>$L7*VLOOKUP($R7,武学奇术!$A:$ZZ,31,FALSE)</f>
        <v>23081.6231497322</v>
      </c>
      <c r="L7" s="39">
        <f t="shared" si="0"/>
        <v>23081.6231497322</v>
      </c>
      <c r="M7" s="39">
        <f>((($AO7+($AP7-$AO7)*IF(VLOOKUP($R7,武学奇术!$A:$ZZ,31,FALSE)=1,$F$18,0.5))*$AI7+$AJ7)*(1+$AQ7)*(1+$AR7)+(($AT7+($AU7-$AT7)*IF(VLOOKUP($R7,武学奇术!$A:$ZZ,31,FALSE)=1,$F$18,0.5))*IF($G$1="鸣金",$AK7,$AI7)+IF($G$1="鸣金",$AL7*1.5,0))*(1+$AV7)*(1+$AW7)+(($AX7+($AY7-$AX7)*IF(VLOOKUP($R7,武学奇术!$A:$ZZ,31,FALSE)=1,$F$18,0.5))*IF($G$1="裂石",$AK7,$AI7)+IF($G$1="裂石",$AL7*1.5,0))*(1+$AZ7)*(1+$BA7)+(($BB7+($BC7-$BB7)*IF(VLOOKUP($R7,武学奇术!$A:$ZZ,31,FALSE)=1,$F$18,0.5))*IF($G$1="牵丝",$AK7,$AI7)+IF($G$1="牵丝",$AL7*1.5,0))*(1+$BD7)*(1+$BE7)+(($BF7+($BG7-$BF7)*IF(VLOOKUP($R7,武学奇术!$A:$ZZ,31,FALSE)=1,$F$18,0.5))*IF($G$1="破竹",$AK7,$AI7)+IF($G$1="破竹",$AL7*1.5,0))*(1+$BH7)*(1+$BI7))*(1+$AM7)*$BL7*$Q7*(1+IF(VLOOKUP($R7,武学奇术!$A:$ZZ,30,FALSE)="蓄力技",$B$21,0))*(1+$BR7)</f>
        <v>23145.2609541904</v>
      </c>
      <c r="N7" s="39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22766.0116869838</v>
      </c>
      <c r="O7" s="39">
        <f>((($AO7+($AP7-$AO7)*IF(VLOOKUP($R7,武学奇术!$A:$ZZ,31,FALSE)=1,$F$18,0.5))*$AI7+$AJ7)*(1+$AQ7)*(1+$AR7)+(($AT7+($AU7-$AT7)*IF(VLOOKUP($R7,武学奇术!$A:$ZZ,31,FALSE)=1,$F$18,0.5))*IF($G$1="鸣金",$AK7,$AI7)+IF($G$1="鸣金",$AL7*1.5,0))*(1+$AV7)*(1+$AW7)+(($AX7+($AY7-$AX7)*IF(VLOOKUP($R7,武学奇术!$A:$ZZ,31,FALSE)=1,$F$18,0.5))*IF($G$1="裂石",$AK7,$AI7)+IF($G$1="裂石",$AL7*1.5,0))*(1+$AZ7)*(1+$BA7)+(($BB7+($BC7-$BB7)*IF(VLOOKUP($R7,武学奇术!$A:$ZZ,31,FALSE)=1,$F$18,0.5))*IF($G$1="牵丝",$AK7,$AI7)+IF($G$1="牵丝",$AL7*1.5,0))*(1+$BD7)*(1+$BE7)+(($BF7+($BG7-$BF7)*IF(VLOOKUP($R7,武学奇术!$A:$ZZ,31,FALSE)=1,$F$18,0.5))*IF($G$1="破竹",$AK7,$AI7)+IF($G$1="破竹",$AL7*1.5,0))*(1+$BH7)*(1+$BI7))*(1+$AM7)*$Q7*(1+IF(VLOOKUP($R7,武学奇术!$A:$ZZ,30,FALSE)="蓄力技",$B$21,0))*(1+$BR7)</f>
        <v>15029.3902299938</v>
      </c>
      <c r="P7" s="39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13195.0680992588</v>
      </c>
      <c r="Q7" s="40">
        <v>1</v>
      </c>
      <c r="R7" s="41" t="s">
        <v>100</v>
      </c>
      <c r="S7" s="41" t="s">
        <v>73</v>
      </c>
      <c r="T7" s="41" t="s">
        <v>73</v>
      </c>
      <c r="U7" s="41" t="s">
        <v>73</v>
      </c>
      <c r="V7" s="41" t="s">
        <v>73</v>
      </c>
      <c r="W7" s="41" t="s">
        <v>73</v>
      </c>
      <c r="X7" s="41" t="s">
        <v>73</v>
      </c>
      <c r="Y7" s="41" t="s">
        <v>73</v>
      </c>
      <c r="Z7" s="41" t="s">
        <v>73</v>
      </c>
      <c r="AA7" s="41" t="s">
        <v>73</v>
      </c>
      <c r="AB7" s="41" t="s">
        <v>73</v>
      </c>
      <c r="AC7" s="41" t="s">
        <v>73</v>
      </c>
      <c r="AD7" s="41" t="s">
        <v>73</v>
      </c>
      <c r="AE7" s="41" t="s">
        <v>76</v>
      </c>
      <c r="AF7" s="41" t="s">
        <v>77</v>
      </c>
      <c r="AG7" s="41" t="s">
        <v>78</v>
      </c>
      <c r="AH7" t="str">
        <f>VLOOKUP($R7,武学奇术!$A:$ZZ,25,FALSE)</f>
        <v>绳镖</v>
      </c>
      <c r="AI7" s="27">
        <f>VLOOKUP($R7,武学奇术!$A:$ZZ,26,FALSE)</f>
        <v>1.2503</v>
      </c>
      <c r="AJ7" s="28">
        <f>VLOOKUP($R7,武学奇术!$A:$ZZ,27,FALSE)*(1+IF(OR($AH7=$F$4,$AH7=$F$5),$B$22,0))</f>
        <v>520.5</v>
      </c>
      <c r="AK7" s="27">
        <f>VLOOKUP($R7,武学奇术!$A:$ZZ,28,FALSE)</f>
        <v>1.8755</v>
      </c>
      <c r="AL7" s="28">
        <f>VLOOKUP($R7,武学奇术!$A:$ZZ,29,FALSE)*(1+IF(OR($AH7=$F$4,$AH7=$F$5),$B$22,0))</f>
        <v>283.5</v>
      </c>
      <c r="AM7" s="27" cm="1">
        <f t="array" ref="AM7">$G$3+IFERROR(VLOOKUP($AH7,$F$4:$G$7,2,FALSE),0)+VLOOKUP($R7,武学奇术!$A:$ZZ,2,FALSE)+SUM(_xlfn.XLOOKUP($S7:$AG7,增益!$A:$A,增益!$B:$B,0))</f>
        <v>0.2689</v>
      </c>
      <c r="AN7" s="27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3888.382</v>
      </c>
      <c r="AP7" cm="1">
        <f t="array" ref="AP7">$E$10*(1+$AN7)+VLOOKUP($R7,武学奇术!$A:$ZZ,4,FALSE)+SUM(_xlfn.XLOOKUP($S7:$AG7,增益!$A:$A,增益!$D:$D,0))-$I$2</f>
        <v>3888.382</v>
      </c>
      <c r="AQ7" s="33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0.267</v>
      </c>
      <c r="AR7" s="33" cm="1">
        <f t="array" ref="AR7">$G$10+VLOOKUP($R7,武学奇术!$A:$ZZ,7,FALSE)+SUM(_xlfn.XLOOKUP(S7:AG7,增益!$A:$A,增益!$G:$G,0))</f>
        <v>0.09</v>
      </c>
      <c r="AS7" s="27" cm="1">
        <f t="array" ref="AS7">VLOOKUP($R7,武学奇术!$A:$ZZ,8,FALSE)+SUM(_xlfn.XLOOKUP(S7:AG7,增益!$A:$A,增益!$H:$H,0))</f>
        <v>0</v>
      </c>
      <c r="AT7">
        <f t="shared" si="1"/>
        <v>0</v>
      </c>
      <c r="AU7">
        <f t="shared" si="2"/>
        <v>0</v>
      </c>
      <c r="AV7" s="33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-0.3</v>
      </c>
      <c r="AW7" s="33" cm="1">
        <f t="array" ref="AW7">$G$11+VLOOKUP($R7,武学奇术!$A:$ZZ,10,FALSE)+SUM(_xlfn.XLOOKUP(S7:AG7,增益!$A:$A,增益!$J:$J,0))</f>
        <v>0</v>
      </c>
      <c r="AX7">
        <f t="shared" si="3"/>
        <v>0</v>
      </c>
      <c r="AY7">
        <f t="shared" si="4"/>
        <v>0</v>
      </c>
      <c r="AZ7" s="33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3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3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3" cm="1">
        <f t="array" ref="BE7">$G$13+VLOOKUP($R7,武学奇术!$A:$ZZ,14,FALSE)+SUM(_xlfn.XLOOKUP(S7:AG7,增益!$A:$A,增益!$N:$N,0))</f>
        <v>0</v>
      </c>
      <c r="BF7">
        <f t="shared" si="7"/>
        <v>605.472</v>
      </c>
      <c r="BG7">
        <f t="shared" si="8"/>
        <v>1725.468</v>
      </c>
      <c r="BH7" s="33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0</v>
      </c>
      <c r="BI7" s="33" cm="1">
        <f t="array" ref="BI7">$G$14+VLOOKUP($R7,武学奇术!$A:$ZZ,16,FALSE)+SUM(_xlfn.XLOOKUP(S7:AG7,增益!$A:$A,增益!$P:$P,0))</f>
        <v>0.24</v>
      </c>
      <c r="BJ7" s="27">
        <f>MIN(IF(VLOOKUP($R7,武学奇术!$A:$ZZ,23,FALSE)=1,100%,$B$8),100%)</f>
        <v>1</v>
      </c>
      <c r="BK7" s="27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+MIN(IF(VLOOKUP($R7,武学奇术!$A:$ZZ,32,FALSE)=1,IF(VLOOKUP($R7,武学奇术!$A:$ZZ,24,FALSE)=1,100%,MIN(40%,$B$10+VLOOKUP($R7,武学奇术!$A:$ZZ,19,FALSE)+SUM(_xlfn.XLOOKUP(S7:AG7,增益!$A:$A,增益!$S:$S,0)))+$B$12+SUM(_xlfn.XLOOKUP(S7:AG7,增益!$A:$A,增益!$V:$V,0))),0),12%)</f>
        <v>0.9036</v>
      </c>
      <c r="BL7" s="27" cm="1">
        <f t="array" ref="BL7">1+$B$13+VLOOKUP($R7,武学奇术!$A:$ZZ,18,FALSE)+SUM(_xlfn.XLOOKUP(S7:AG7,增益!$A:$A,增益!$R:$R,0))</f>
        <v>1.54</v>
      </c>
      <c r="BM7" s="27" cm="1">
        <f t="array" ref="BM7">MAX(IF(VLOOKUP($R7,武学奇术!$A:$ZZ,24,FALSE)=1,100%,MIN(40%,$B$10+VLOOKUP($R7,武学奇术!$A:$ZZ,19,FALSE)+SUM(_xlfn.XLOOKUP(S7:AG7,增益!$A:$A,增益!$S:$S,0)))+$B$12+SUM(_xlfn.XLOOKUP(S7:AG7,增益!$A:$A,增益!$V:$V,0)))*IF(VLOOKUP($R7,武学奇术!$A:$ZZ,23,FALSE)=1,0,1)-IF(VLOOKUP($R7,武学奇术!$A:$ZZ,32,FALSE)=1,12%,0),0)</f>
        <v>0.0929</v>
      </c>
      <c r="BN7" s="27" cm="1">
        <f t="array" ref="BN7">1+$B$14+VLOOKUP($R7,武学奇术!$A:$ZZ,20,FALSE)+SUM(_xlfn.XLOOKUP(S7:AG7,增益!$A:$A,增益!$T:$T,0))</f>
        <v>1.35</v>
      </c>
      <c r="BO7" s="27">
        <f t="shared" si="9"/>
        <v>0.9036</v>
      </c>
      <c r="BP7" s="27">
        <f t="shared" si="10"/>
        <v>0.00350000000000006</v>
      </c>
      <c r="BQ7" s="27">
        <f>IF(VLOOKUP($R7,武学奇术!$A:$ZZ,22,FALSE)=1,0,(1-$BJ7))*(1-$BM7)</f>
        <v>0</v>
      </c>
      <c r="BR7" s="27" cm="1">
        <f t="array" ref="BR7">SUM(_xlfn.XLOOKUP(S7:AG7,增益!$A:$A,增益!$W:$W,0))+$I$5</f>
        <v>0.11</v>
      </c>
    </row>
    <row r="8" spans="1:70">
      <c r="A8" s="65" t="s">
        <v>101</v>
      </c>
      <c r="B8" s="66">
        <v>1.0063</v>
      </c>
      <c r="C8" s="37" t="s">
        <v>102</v>
      </c>
      <c r="D8" s="67"/>
      <c r="E8" s="67"/>
      <c r="F8" s="67"/>
      <c r="G8" s="38"/>
      <c r="H8" s="68" t="s">
        <v>103</v>
      </c>
      <c r="I8" s="19">
        <v>100.8</v>
      </c>
      <c r="J8" s="69"/>
      <c r="K8">
        <f>$L8*VLOOKUP($R8,武学奇术!$A:$ZZ,31,FALSE)</f>
        <v>70792.4504430112</v>
      </c>
      <c r="L8" s="39">
        <f t="shared" si="0"/>
        <v>54455.7311100086</v>
      </c>
      <c r="M8" s="39">
        <f>((($AO8+($AP8-$AO8)*IF(VLOOKUP($R8,武学奇术!$A:$ZZ,31,FALSE)=1,$F$18,0.5))*$AI8+$AJ8)*(1+$AQ8)*(1+$AR8)+(($AT8+($AU8-$AT8)*IF(VLOOKUP($R8,武学奇术!$A:$ZZ,31,FALSE)=1,$F$18,0.5))*IF($G$1="鸣金",$AK8,$AI8)+IF($G$1="鸣金",$AL8*1.5,0))*(1+$AV8)*(1+$AW8)+(($AX8+($AY8-$AX8)*IF(VLOOKUP($R8,武学奇术!$A:$ZZ,31,FALSE)=1,$F$18,0.5))*IF($G$1="裂石",$AK8,$AI8)+IF($G$1="裂石",$AL8*1.5,0))*(1+$AZ8)*(1+$BA8)+(($BB8+($BC8-$BB8)*IF(VLOOKUP($R8,武学奇术!$A:$ZZ,31,FALSE)=1,$F$18,0.5))*IF($G$1="牵丝",$AK8,$AI8)+IF($G$1="牵丝",$AL8*1.5,0))*(1+$BD8)*(1+$BE8)+(($BF8+($BG8-$BF8)*IF(VLOOKUP($R8,武学奇术!$A:$ZZ,31,FALSE)=1,$F$18,0.5))*IF($G$1="破竹",$AK8,$AI8)+IF($G$1="破竹",$AL8*1.5,0))*(1+$BH8)*(1+$BI8))*(1+$AM8)*$BL8*$Q8*(1+IF(VLOOKUP($R8,武学奇术!$A:$ZZ,30,FALSE)="蓄力技",$B$21,0))*(1+$BR8)</f>
        <v>55417.7062387468</v>
      </c>
      <c r="N8" s="39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46022.039220417</v>
      </c>
      <c r="O8" s="39">
        <f>((($AO8+($AP8-$AO8)*IF(VLOOKUP($R8,武学奇术!$A:$ZZ,31,FALSE)=1,$F$18,0.5))*$AI8+$AJ8)*(1+$AQ8)*(1+$AR8)+(($AT8+($AU8-$AT8)*IF(VLOOKUP($R8,武学奇术!$A:$ZZ,31,FALSE)=1,$F$18,0.5))*IF($G$1="鸣金",$AK8,$AI8)+IF($G$1="鸣金",$AL8*1.5,0))*(1+$AV8)*(1+$AW8)+(($AX8+($AY8-$AX8)*IF(VLOOKUP($R8,武学奇术!$A:$ZZ,31,FALSE)=1,$F$18,0.5))*IF($G$1="裂石",$AK8,$AI8)+IF($G$1="裂石",$AL8*1.5,0))*(1+$AZ8)*(1+$BA8)+(($BB8+($BC8-$BB8)*IF(VLOOKUP($R8,武学奇术!$A:$ZZ,31,FALSE)=1,$F$18,0.5))*IF($G$1="牵丝",$AK8,$AI8)+IF($G$1="牵丝",$AL8*1.5,0))*(1+$BD8)*(1+$BE8)+(($BF8+($BG8-$BF8)*IF(VLOOKUP($R8,武学奇术!$A:$ZZ,31,FALSE)=1,$F$18,0.5))*IF($G$1="破竹",$AK8,$AI8)+IF($G$1="破竹",$AL8*1.5,0))*(1+$BH8)*(1+$BI8))*(1+$AM8)*$Q8*(1+IF(VLOOKUP($R8,武学奇术!$A:$ZZ,30,FALSE)="蓄力技",$B$21,0))*(1+$BR8)</f>
        <v>29955.5168858091</v>
      </c>
      <c r="P8" s="39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25820.634349087</v>
      </c>
      <c r="Q8" s="40">
        <v>1</v>
      </c>
      <c r="R8" s="41" t="s">
        <v>104</v>
      </c>
      <c r="S8" s="41" t="s">
        <v>72</v>
      </c>
      <c r="T8" s="41" t="s">
        <v>73</v>
      </c>
      <c r="U8" s="41" t="s">
        <v>73</v>
      </c>
      <c r="V8" s="41" t="s">
        <v>73</v>
      </c>
      <c r="W8" s="41" t="s">
        <v>73</v>
      </c>
      <c r="X8" s="41" t="s">
        <v>73</v>
      </c>
      <c r="Y8" s="41" t="s">
        <v>75</v>
      </c>
      <c r="Z8" s="41" t="s">
        <v>73</v>
      </c>
      <c r="AA8" s="41" t="s">
        <v>105</v>
      </c>
      <c r="AB8" s="41" t="s">
        <v>84</v>
      </c>
      <c r="AC8" s="41" t="s">
        <v>73</v>
      </c>
      <c r="AD8" s="41" t="s">
        <v>73</v>
      </c>
      <c r="AE8" s="41" t="s">
        <v>76</v>
      </c>
      <c r="AF8" s="41" t="s">
        <v>77</v>
      </c>
      <c r="AG8" s="41" t="s">
        <v>78</v>
      </c>
      <c r="AH8" t="str">
        <f>VLOOKUP($R8,武学奇术!$A:$ZZ,25,FALSE)</f>
        <v>绳镖</v>
      </c>
      <c r="AI8" s="27">
        <f>VLOOKUP($R8,武学奇术!$A:$ZZ,26,FALSE)</f>
        <v>2.19912</v>
      </c>
      <c r="AJ8" s="28">
        <f>VLOOKUP($R8,武学奇术!$A:$ZZ,27,FALSE)*(1+IF(OR($AH8=$F$4,$AH8=$F$5),$B$22,0))</f>
        <v>0</v>
      </c>
      <c r="AK8" s="27">
        <f>VLOOKUP($R8,武学奇术!$A:$ZZ,28,FALSE)</f>
        <v>3.29868</v>
      </c>
      <c r="AL8" s="28">
        <f>VLOOKUP($R8,武学奇术!$A:$ZZ,29,FALSE)*(1+IF(OR($AH8=$F$4,$AH8=$F$5),$B$22,0))</f>
        <v>0</v>
      </c>
      <c r="AM8" s="27" cm="1">
        <f t="array" ref="AM8">$G$3+IFERROR(VLOOKUP($AH8,$F$4:$G$7,2,FALSE),0)+VLOOKUP($R8,武学奇术!$A:$ZZ,2,FALSE)+SUM(_xlfn.XLOOKUP($S8:$AG8,增益!$A:$A,增益!$B:$B,0))</f>
        <v>0.5789</v>
      </c>
      <c r="AN8" s="27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3888.382</v>
      </c>
      <c r="AP8" cm="1">
        <f t="array" ref="AP8">$E$10*(1+$AN8)+VLOOKUP($R8,武学奇术!$A:$ZZ,4,FALSE)+SUM(_xlfn.XLOOKUP($S8:$AG8,增益!$A:$A,增益!$D:$D,0))-$I$2</f>
        <v>3888.382</v>
      </c>
      <c r="AQ8" s="33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0.307</v>
      </c>
      <c r="AR8" s="33" cm="1">
        <f t="array" ref="AR8">$G$10+VLOOKUP($R8,武学奇术!$A:$ZZ,7,FALSE)+SUM(_xlfn.XLOOKUP(S8:AG8,增益!$A:$A,增益!$G:$G,0))</f>
        <v>0.09</v>
      </c>
      <c r="AS8" s="27" cm="1">
        <f t="array" ref="AS8">VLOOKUP($R8,武学奇术!$A:$ZZ,8,FALSE)+SUM(_xlfn.XLOOKUP(S8:AG8,增益!$A:$A,增益!$H:$H,0))</f>
        <v>0</v>
      </c>
      <c r="AT8">
        <f t="shared" si="1"/>
        <v>0</v>
      </c>
      <c r="AU8">
        <f t="shared" si="2"/>
        <v>0</v>
      </c>
      <c r="AV8" s="33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-0.24</v>
      </c>
      <c r="AW8" s="33" cm="1">
        <f t="array" ref="AW8">$G$11+VLOOKUP($R8,武学奇术!$A:$ZZ,10,FALSE)+SUM(_xlfn.XLOOKUP(S8:AG8,增益!$A:$A,增益!$J:$J,0))</f>
        <v>0</v>
      </c>
      <c r="AX8">
        <f t="shared" si="3"/>
        <v>0</v>
      </c>
      <c r="AY8">
        <f t="shared" si="4"/>
        <v>0</v>
      </c>
      <c r="AZ8" s="33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-0.24</v>
      </c>
      <c r="BA8" s="33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3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-0.24</v>
      </c>
      <c r="BE8" s="33" cm="1">
        <f t="array" ref="BE8">$G$13+VLOOKUP($R8,武学奇术!$A:$ZZ,14,FALSE)+SUM(_xlfn.XLOOKUP(S8:AG8,增益!$A:$A,增益!$N:$N,0))</f>
        <v>0</v>
      </c>
      <c r="BF8">
        <f t="shared" si="7"/>
        <v>605.472</v>
      </c>
      <c r="BG8">
        <f t="shared" si="8"/>
        <v>1725.468</v>
      </c>
      <c r="BH8" s="33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0.03</v>
      </c>
      <c r="BI8" s="33" cm="1">
        <f t="array" ref="BI8">$G$14+VLOOKUP($R8,武学奇术!$A:$ZZ,16,FALSE)+SUM(_xlfn.XLOOKUP(S8:AG8,增益!$A:$A,增益!$P:$P,0))</f>
        <v>0.24</v>
      </c>
      <c r="BJ8" s="27">
        <f>MIN(IF(VLOOKUP($R8,武学奇术!$A:$ZZ,23,FALSE)=1,100%,$B$8),100%)</f>
        <v>1</v>
      </c>
      <c r="BK8" s="27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+MIN(IF(VLOOKUP($R8,武学奇术!$A:$ZZ,32,FALSE)=1,IF(VLOOKUP($R8,武学奇术!$A:$ZZ,24,FALSE)=1,100%,MIN(40%,$B$10+VLOOKUP($R8,武学奇术!$A:$ZZ,19,FALSE)+SUM(_xlfn.XLOOKUP(S8:AG8,增益!$A:$A,增益!$S:$S,0)))+$B$12+SUM(_xlfn.XLOOKUP(S8:AG8,增益!$A:$A,增益!$V:$V,0))),0),12%)</f>
        <v>0.9036</v>
      </c>
      <c r="BL8" s="27" cm="1">
        <f t="array" ref="BL8">1+$B$13+VLOOKUP($R8,武学奇术!$A:$ZZ,18,FALSE)+SUM(_xlfn.XLOOKUP(S8:AG8,增益!$A:$A,增益!$R:$R,0))</f>
        <v>1.85</v>
      </c>
      <c r="BM8" s="27" cm="1">
        <f t="array" ref="BM8">MAX(IF(VLOOKUP($R8,武学奇术!$A:$ZZ,24,FALSE)=1,100%,MIN(40%,$B$10+VLOOKUP($R8,武学奇术!$A:$ZZ,19,FALSE)+SUM(_xlfn.XLOOKUP(S8:AG8,增益!$A:$A,增益!$S:$S,0)))+$B$12+SUM(_xlfn.XLOOKUP(S8:AG8,增益!$A:$A,增益!$V:$V,0)))*IF(VLOOKUP($R8,武学奇术!$A:$ZZ,23,FALSE)=1,0,1)-IF(VLOOKUP($R8,武学奇术!$A:$ZZ,32,FALSE)=1,12%,0),0)</f>
        <v>0.0929</v>
      </c>
      <c r="BN8" s="27" cm="1">
        <f t="array" ref="BN8">1+$B$14+VLOOKUP($R8,武学奇术!$A:$ZZ,20,FALSE)+SUM(_xlfn.XLOOKUP(S8:AG8,增益!$A:$A,增益!$T:$T,0))</f>
        <v>1.35</v>
      </c>
      <c r="BO8" s="27">
        <f t="shared" si="9"/>
        <v>0.9036</v>
      </c>
      <c r="BP8" s="27">
        <f t="shared" si="10"/>
        <v>0.00350000000000006</v>
      </c>
      <c r="BQ8" s="27">
        <f>IF(VLOOKUP($R8,武学奇术!$A:$ZZ,22,FALSE)=1,0,(1-$BJ8))*(1-$BM8)</f>
        <v>0</v>
      </c>
      <c r="BR8" s="27" cm="1">
        <f t="array" ref="BR8">SUM(_xlfn.XLOOKUP(S8:AG8,增益!$A:$A,增益!$W:$W,0))+$I$5</f>
        <v>0.11</v>
      </c>
    </row>
    <row r="9" ht="14.25" spans="1:70">
      <c r="A9" s="42" t="s">
        <v>106</v>
      </c>
      <c r="B9" s="70">
        <v>0.7706</v>
      </c>
      <c r="C9" s="46"/>
      <c r="D9" t="s">
        <v>0</v>
      </c>
      <c r="E9" t="s">
        <v>1</v>
      </c>
      <c r="F9" s="40" t="s">
        <v>2</v>
      </c>
      <c r="G9" s="45" t="s">
        <v>3</v>
      </c>
      <c r="H9" s="71"/>
      <c r="I9" s="22"/>
      <c r="J9" s="72"/>
      <c r="K9">
        <f>$L9*VLOOKUP($R9,武学奇术!$A:$ZZ,31,FALSE)</f>
        <v>9586.87700337611</v>
      </c>
      <c r="L9" s="39">
        <f t="shared" si="0"/>
        <v>9586.87700337611</v>
      </c>
      <c r="M9" s="39">
        <f>((($AO9+($AP9-$AO9)*IF(VLOOKUP($R9,武学奇术!$A:$ZZ,31,FALSE)=1,$F$18,0.5))*$AI9+$AJ9)*(1+$AQ9)*(1+$AR9)+(($AT9+($AU9-$AT9)*IF(VLOOKUP($R9,武学奇术!$A:$ZZ,31,FALSE)=1,$F$18,0.5))*IF($G$1="鸣金",$AK9,$AI9)+IF($G$1="鸣金",$AL9*1.5,0))*(1+$AV9)*(1+$AW9)+(($AX9+($AY9-$AX9)*IF(VLOOKUP($R9,武学奇术!$A:$ZZ,31,FALSE)=1,$F$18,0.5))*IF($G$1="裂石",$AK9,$AI9)+IF($G$1="裂石",$AL9*1.5,0))*(1+$AZ9)*(1+$BA9)+(($BB9+($BC9-$BB9)*IF(VLOOKUP($R9,武学奇术!$A:$ZZ,31,FALSE)=1,$F$18,0.5))*IF($G$1="牵丝",$AK9,$AI9)+IF($G$1="牵丝",$AL9*1.5,0))*(1+$BD9)*(1+$BE9)+(($BF9+($BG9-$BF9)*IF(VLOOKUP($R9,武学奇术!$A:$ZZ,31,FALSE)=1,$F$18,0.5))*IF($G$1="破竹",$AK9,$AI9)+IF($G$1="破竹",$AL9*1.5,0))*(1+$BH9)*(1+$BI9))*(1+$AM9)*$BL9*$Q9*(1+IF(VLOOKUP($R9,武学奇术!$A:$ZZ,30,FALSE)="蓄力技",$B$21,0))*(1+$BR9)</f>
        <v>9614.42175232837</v>
      </c>
      <c r="N9" s="39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9446.45342702004</v>
      </c>
      <c r="O9" s="39">
        <f>((($AO9+($AP9-$AO9)*IF(VLOOKUP($R9,武学奇术!$A:$ZZ,31,FALSE)=1,$F$18,0.5))*$AI9+$AJ9)*(1+$AQ9)*(1+$AR9)+(($AT9+($AU9-$AT9)*IF(VLOOKUP($R9,武学奇术!$A:$ZZ,31,FALSE)=1,$F$18,0.5))*IF($G$1="鸣金",$AK9,$AI9)+IF($G$1="鸣金",$AL9*1.5,0))*(1+$AV9)*(1+$AW9)+(($AX9+($AY9-$AX9)*IF(VLOOKUP($R9,武学奇术!$A:$ZZ,31,FALSE)=1,$F$18,0.5))*IF($G$1="裂石",$AK9,$AI9)+IF($G$1="裂石",$AL9*1.5,0))*(1+$AZ9)*(1+$BA9)+(($BB9+($BC9-$BB9)*IF(VLOOKUP($R9,武学奇术!$A:$ZZ,31,FALSE)=1,$F$18,0.5))*IF($G$1="牵丝",$AK9,$AI9)+IF($G$1="牵丝",$AL9*1.5,0))*(1+$BD9)*(1+$BE9)+(($BF9+($BG9-$BF9)*IF(VLOOKUP($R9,武学奇术!$A:$ZZ,31,FALSE)=1,$F$18,0.5))*IF($G$1="破竹",$AK9,$AI9)+IF($G$1="破竹",$AL9*1.5,0))*(1+$BH9)*(1+$BI9))*(1+$AM9)*$Q9*(1+IF(VLOOKUP($R9,武学奇术!$A:$ZZ,30,FALSE)="蓄力技",$B$21,0))*(1+$BR9)</f>
        <v>6202.85274343766</v>
      </c>
      <c r="P9" s="39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5408.33257797158</v>
      </c>
      <c r="Q9" s="40">
        <v>1</v>
      </c>
      <c r="R9" s="41" t="s">
        <v>107</v>
      </c>
      <c r="S9" s="41" t="s">
        <v>72</v>
      </c>
      <c r="T9" s="41" t="s">
        <v>73</v>
      </c>
      <c r="U9" s="41" t="s">
        <v>73</v>
      </c>
      <c r="V9" s="41" t="s">
        <v>73</v>
      </c>
      <c r="W9" s="41" t="s">
        <v>73</v>
      </c>
      <c r="X9" s="41" t="s">
        <v>73</v>
      </c>
      <c r="Y9" s="41" t="s">
        <v>75</v>
      </c>
      <c r="Z9" s="41" t="s">
        <v>83</v>
      </c>
      <c r="AA9" s="41" t="s">
        <v>73</v>
      </c>
      <c r="AB9" s="41" t="s">
        <v>84</v>
      </c>
      <c r="AC9" s="41" t="s">
        <v>73</v>
      </c>
      <c r="AD9" s="41" t="s">
        <v>73</v>
      </c>
      <c r="AE9" s="41" t="s">
        <v>76</v>
      </c>
      <c r="AF9" s="41" t="s">
        <v>77</v>
      </c>
      <c r="AG9" s="41" t="s">
        <v>78</v>
      </c>
      <c r="AH9" t="str">
        <f>VLOOKUP($R9,武学奇术!$A:$ZZ,25,FALSE)</f>
        <v>绳镖</v>
      </c>
      <c r="AI9" s="27">
        <f>VLOOKUP($R9,武学奇术!$A:$ZZ,26,FALSE)</f>
        <v>0.4975</v>
      </c>
      <c r="AJ9" s="28">
        <f>VLOOKUP($R9,武学奇术!$A:$ZZ,27,FALSE)*(1+IF(OR($AH9=$F$4,$AH9=$F$5),$B$22,0))</f>
        <v>205.5</v>
      </c>
      <c r="AK9" s="27">
        <f>VLOOKUP($R9,武学奇术!$A:$ZZ,28,FALSE)</f>
        <v>0.7463</v>
      </c>
      <c r="AL9" s="28">
        <f>VLOOKUP($R9,武学奇术!$A:$ZZ,29,FALSE)*(1+IF(OR($AH9=$F$4,$AH9=$F$5),$B$22,0))</f>
        <v>112.5</v>
      </c>
      <c r="AM9" s="27" cm="1">
        <f t="array" ref="AM9">$G$3+IFERROR(VLOOKUP($AH9,$F$4:$G$7,2,FALSE),0)+VLOOKUP($R9,武学奇术!$A:$ZZ,2,FALSE)+SUM(_xlfn.XLOOKUP($S9:$AG9,增益!$A:$A,增益!$B:$B,0))</f>
        <v>0.2789</v>
      </c>
      <c r="AN9" s="27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3888.382</v>
      </c>
      <c r="AP9" cm="1">
        <f t="array" ref="AP9">$E$10*(1+$AN9)+VLOOKUP($R9,武学奇术!$A:$ZZ,4,FALSE)+SUM(_xlfn.XLOOKUP($S9:$AG9,增益!$A:$A,增益!$D:$D,0))-$I$2</f>
        <v>3888.382</v>
      </c>
      <c r="AQ9" s="33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0.277</v>
      </c>
      <c r="AR9" s="33" cm="1">
        <f t="array" ref="AR9">$G$10+VLOOKUP($R9,武学奇术!$A:$ZZ,7,FALSE)+SUM(_xlfn.XLOOKUP(S9:AG9,增益!$A:$A,增益!$G:$G,0))</f>
        <v>0.09</v>
      </c>
      <c r="AS9" s="27" cm="1">
        <f t="array" ref="AS9">VLOOKUP($R9,武学奇术!$A:$ZZ,8,FALSE)+SUM(_xlfn.XLOOKUP(S9:AG9,增益!$A:$A,增益!$H:$H,0))</f>
        <v>0</v>
      </c>
      <c r="AT9">
        <f t="shared" si="1"/>
        <v>0</v>
      </c>
      <c r="AU9">
        <f t="shared" si="2"/>
        <v>0</v>
      </c>
      <c r="AV9" s="33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-0.14</v>
      </c>
      <c r="AW9" s="33" cm="1">
        <f t="array" ref="AW9">$G$11+VLOOKUP($R9,武学奇术!$A:$ZZ,10,FALSE)+SUM(_xlfn.XLOOKUP(S9:AG9,增益!$A:$A,增益!$J:$J,0))</f>
        <v>0</v>
      </c>
      <c r="AX9">
        <f t="shared" si="3"/>
        <v>0</v>
      </c>
      <c r="AY9">
        <f t="shared" si="4"/>
        <v>0</v>
      </c>
      <c r="AZ9" s="33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-0.14</v>
      </c>
      <c r="BA9" s="33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3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-0.14</v>
      </c>
      <c r="BE9" s="33" cm="1">
        <f t="array" ref="BE9">$G$13+VLOOKUP($R9,武学奇术!$A:$ZZ,14,FALSE)+SUM(_xlfn.XLOOKUP(S9:AG9,增益!$A:$A,增益!$N:$N,0))</f>
        <v>0</v>
      </c>
      <c r="BF9">
        <f t="shared" si="7"/>
        <v>605.472</v>
      </c>
      <c r="BG9">
        <f t="shared" si="8"/>
        <v>1725.468</v>
      </c>
      <c r="BH9" s="33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0.08</v>
      </c>
      <c r="BI9" s="33" cm="1">
        <f t="array" ref="BI9">$G$14+VLOOKUP($R9,武学奇术!$A:$ZZ,16,FALSE)+SUM(_xlfn.XLOOKUP(S9:AG9,增益!$A:$A,增益!$P:$P,0))</f>
        <v>0.24</v>
      </c>
      <c r="BJ9" s="27">
        <f>MIN(IF(VLOOKUP($R9,武学奇术!$A:$ZZ,23,FALSE)=1,100%,$B$8),100%)</f>
        <v>1</v>
      </c>
      <c r="BK9" s="27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+MIN(IF(VLOOKUP($R9,武学奇术!$A:$ZZ,32,FALSE)=1,IF(VLOOKUP($R9,武学奇术!$A:$ZZ,24,FALSE)=1,100%,MIN(40%,$B$10+VLOOKUP($R9,武学奇术!$A:$ZZ,19,FALSE)+SUM(_xlfn.XLOOKUP(S9:AG9,增益!$A:$A,增益!$S:$S,0)))+$B$12+SUM(_xlfn.XLOOKUP(S9:AG9,增益!$A:$A,增益!$V:$V,0))),0),12%)</f>
        <v>0.9036</v>
      </c>
      <c r="BL9" s="27" cm="1">
        <f t="array" ref="BL9">1+$B$13+VLOOKUP($R9,武学奇术!$A:$ZZ,18,FALSE)+SUM(_xlfn.XLOOKUP(S9:AG9,增益!$A:$A,增益!$R:$R,0))</f>
        <v>1.55</v>
      </c>
      <c r="BM9" s="27" cm="1">
        <f t="array" ref="BM9">MAX(IF(VLOOKUP($R9,武学奇术!$A:$ZZ,24,FALSE)=1,100%,MIN(40%,$B$10+VLOOKUP($R9,武学奇术!$A:$ZZ,19,FALSE)+SUM(_xlfn.XLOOKUP(S9:AG9,增益!$A:$A,增益!$S:$S,0)))+$B$12+SUM(_xlfn.XLOOKUP(S9:AG9,增益!$A:$A,增益!$V:$V,0)))*IF(VLOOKUP($R9,武学奇术!$A:$ZZ,23,FALSE)=1,0,1)-IF(VLOOKUP($R9,武学奇术!$A:$ZZ,32,FALSE)=1,12%,0),0)</f>
        <v>0.0929</v>
      </c>
      <c r="BN9" s="27" cm="1">
        <f t="array" ref="BN9">1+$B$14+VLOOKUP($R9,武学奇术!$A:$ZZ,20,FALSE)+SUM(_xlfn.XLOOKUP(S9:AG9,增益!$A:$A,增益!$T:$T,0))</f>
        <v>1.35</v>
      </c>
      <c r="BO9" s="27">
        <f t="shared" si="9"/>
        <v>0.9036</v>
      </c>
      <c r="BP9" s="27">
        <f t="shared" si="10"/>
        <v>0.00350000000000006</v>
      </c>
      <c r="BQ9" s="27">
        <f>IF(VLOOKUP($R9,武学奇术!$A:$ZZ,22,FALSE)=1,0,(1-$BJ9))*(1-$BM9)</f>
        <v>0</v>
      </c>
      <c r="BR9" s="27" cm="1">
        <f t="array" ref="BR9">SUM(_xlfn.XLOOKUP(S9:AG9,增益!$A:$A,增益!$W:$W,0))+$I$5</f>
        <v>0.11</v>
      </c>
    </row>
    <row r="10" spans="1:70">
      <c r="A10" s="42" t="s">
        <v>108</v>
      </c>
      <c r="B10" s="70">
        <v>0.0929</v>
      </c>
      <c r="C10" s="46" t="s">
        <v>67</v>
      </c>
      <c r="D10" s="28">
        <f>(B2+B23)*IF($G$2="撼天",1.06,1)</f>
        <v>4446.382</v>
      </c>
      <c r="E10" s="28">
        <f>MAX(B2+B23,C2+B24)*IF($G$2="撼天",1.06,1)</f>
        <v>4446.382</v>
      </c>
      <c r="F10">
        <f>D2</f>
        <v>58.4</v>
      </c>
      <c r="G10" s="93">
        <f>E2</f>
        <v>0</v>
      </c>
      <c r="H10" s="68" t="s">
        <v>109</v>
      </c>
      <c r="I10" s="73">
        <f>SUM(L:L)</f>
        <v>14393823.4583646</v>
      </c>
      <c r="J10" s="74"/>
      <c r="K10">
        <f>$L10*VLOOKUP($R10,武学奇术!$A:$ZZ,31,FALSE)</f>
        <v>86891.2151921871</v>
      </c>
      <c r="L10" s="39">
        <f t="shared" si="0"/>
        <v>66839.3963016824</v>
      </c>
      <c r="M10" s="39">
        <f>((($AO10+($AP10-$AO10)*IF(VLOOKUP($R10,武学奇术!$A:$ZZ,31,FALSE)=1,$F$18,0.5))*$AI10+$AJ10)*(1+$AQ10)*(1+$AR10)+(($AT10+($AU10-$AT10)*IF(VLOOKUP($R10,武学奇术!$A:$ZZ,31,FALSE)=1,$F$18,0.5))*IF($G$1="鸣金",$AK10,$AI10)+IF($G$1="鸣金",$AL10*1.5,0))*(1+$AV10)*(1+$AW10)+(($AX10+($AY10-$AX10)*IF(VLOOKUP($R10,武学奇术!$A:$ZZ,31,FALSE)=1,$F$18,0.5))*IF($G$1="裂石",$AK10,$AI10)+IF($G$1="裂石",$AL10*1.5,0))*(1+$AZ10)*(1+$BA10)+(($BB10+($BC10-$BB10)*IF(VLOOKUP($R10,武学奇术!$A:$ZZ,31,FALSE)=1,$F$18,0.5))*IF($G$1="牵丝",$AK10,$AI10)+IF($G$1="牵丝",$AL10*1.5,0))*(1+$BD10)*(1+$BE10)+(($BF10+($BG10-$BF10)*IF(VLOOKUP($R10,武学奇术!$A:$ZZ,31,FALSE)=1,$F$18,0.5))*IF($G$1="破竹",$AK10,$AI10)+IF($G$1="破竹",$AL10*1.5,0))*(1+$BH10)*(1+$BI10))*(1+$AM10)*$BL10*$Q10*(1+IF(VLOOKUP($R10,武学奇术!$A:$ZZ,30,FALSE)="蓄力技",$B$21,0))*(1+$BR10)</f>
        <v>67985.0753990803</v>
      </c>
      <c r="N10" s="39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56829.5130049112</v>
      </c>
      <c r="O10" s="39">
        <f>((($AO10+($AP10-$AO10)*IF(VLOOKUP($R10,武学奇术!$A:$ZZ,31,FALSE)=1,$F$18,0.5))*$AI10+$AJ10)*(1+$AQ10)*(1+$AR10)+(($AT10+($AU10-$AT10)*IF(VLOOKUP($R10,武学奇术!$A:$ZZ,31,FALSE)=1,$F$18,0.5))*IF($G$1="鸣金",$AK10,$AI10)+IF($G$1="鸣金",$AL10*1.5,0))*(1+$AV10)*(1+$AW10)+(($AX10+($AY10-$AX10)*IF(VLOOKUP($R10,武学奇术!$A:$ZZ,31,FALSE)=1,$F$18,0.5))*IF($G$1="裂石",$AK10,$AI10)+IF($G$1="裂石",$AL10*1.5,0))*(1+$AZ10)*(1+$BA10)+(($BB10+($BC10-$BB10)*IF(VLOOKUP($R10,武学奇术!$A:$ZZ,31,FALSE)=1,$F$18,0.5))*IF($G$1="牵丝",$AK10,$AI10)+IF($G$1="牵丝",$AL10*1.5,0))*(1+$BD10)*(1+$BE10)+(($BF10+($BG10-$BF10)*IF(VLOOKUP($R10,武学奇术!$A:$ZZ,31,FALSE)=1,$F$18,0.5))*IF($G$1="破竹",$AK10,$AI10)+IF($G$1="破竹",$AL10*1.5,0))*(1+$BH10)*(1+$BI10))*(1+$AM10)*$Q10*(1+IF(VLOOKUP($R10,武学奇术!$A:$ZZ,30,FALSE)="蓄力技",$B$21,0))*(1+$BR10)</f>
        <v>36748.6894049083</v>
      </c>
      <c r="P10" s="39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31401.4432506231</v>
      </c>
      <c r="Q10" s="40">
        <v>1</v>
      </c>
      <c r="R10" s="41" t="s">
        <v>110</v>
      </c>
      <c r="S10" s="41" t="s">
        <v>72</v>
      </c>
      <c r="T10" s="41" t="s">
        <v>73</v>
      </c>
      <c r="U10" s="41" t="s">
        <v>73</v>
      </c>
      <c r="V10" s="41" t="s">
        <v>73</v>
      </c>
      <c r="W10" s="41" t="s">
        <v>73</v>
      </c>
      <c r="X10" s="41" t="s">
        <v>73</v>
      </c>
      <c r="Y10" s="41" t="s">
        <v>75</v>
      </c>
      <c r="Z10" s="41" t="s">
        <v>83</v>
      </c>
      <c r="AA10" s="41" t="s">
        <v>105</v>
      </c>
      <c r="AB10" s="41" t="s">
        <v>84</v>
      </c>
      <c r="AC10" s="41" t="s">
        <v>73</v>
      </c>
      <c r="AD10" s="41" t="s">
        <v>73</v>
      </c>
      <c r="AE10" s="41" t="s">
        <v>76</v>
      </c>
      <c r="AF10" s="41" t="s">
        <v>77</v>
      </c>
      <c r="AG10" s="41" t="s">
        <v>78</v>
      </c>
      <c r="AH10" t="str">
        <f>VLOOKUP($R10,武学奇术!$A:$ZZ,25,FALSE)</f>
        <v>绳镖</v>
      </c>
      <c r="AI10" s="27">
        <f>VLOOKUP($R10,武学奇术!$A:$ZZ,26,FALSE)</f>
        <v>2.638944</v>
      </c>
      <c r="AJ10" s="28">
        <f>VLOOKUP($R10,武学奇术!$A:$ZZ,27,FALSE)*(1+IF(OR($AH10=$F$4,$AH10=$F$5),$B$22,0))</f>
        <v>0</v>
      </c>
      <c r="AK10" s="27">
        <f>VLOOKUP($R10,武学奇术!$A:$ZZ,28,FALSE)</f>
        <v>3.958416</v>
      </c>
      <c r="AL10" s="28">
        <f>VLOOKUP($R10,武学奇术!$A:$ZZ,29,FALSE)*(1+IF(OR($AH10=$F$4,$AH10=$F$5),$B$22,0))</f>
        <v>0</v>
      </c>
      <c r="AM10" s="27" cm="1">
        <f t="array" ref="AM10">$G$3+IFERROR(VLOOKUP($AH10,$F$4:$G$7,2,FALSE),0)+VLOOKUP($R10,武学奇术!$A:$ZZ,2,FALSE)+SUM(_xlfn.XLOOKUP($S10:$AG10,增益!$A:$A,增益!$B:$B,0))</f>
        <v>0.5789</v>
      </c>
      <c r="AN10" s="27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3888.382</v>
      </c>
      <c r="AP10" cm="1">
        <f t="array" ref="AP10">$E$10*(1+$AN10)+VLOOKUP($R10,武学奇术!$A:$ZZ,4,FALSE)+SUM(_xlfn.XLOOKUP($S10:$AG10,增益!$A:$A,增益!$D:$D,0))-$I$2</f>
        <v>3888.382</v>
      </c>
      <c r="AQ10" s="33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0.307</v>
      </c>
      <c r="AR10" s="33" cm="1">
        <f t="array" ref="AR10">$G$10+VLOOKUP($R10,武学奇术!$A:$ZZ,7,FALSE)+SUM(_xlfn.XLOOKUP(S10:AG10,增益!$A:$A,增益!$G:$G,0))</f>
        <v>0.09</v>
      </c>
      <c r="AS10" s="27" cm="1">
        <f t="array" ref="AS10">VLOOKUP($R10,武学奇术!$A:$ZZ,8,FALSE)+SUM(_xlfn.XLOOKUP(S10:AG10,增益!$A:$A,增益!$H:$H,0))</f>
        <v>0</v>
      </c>
      <c r="AT10">
        <f t="shared" si="1"/>
        <v>0</v>
      </c>
      <c r="AU10">
        <f t="shared" si="2"/>
        <v>0</v>
      </c>
      <c r="AV10" s="33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-0.08</v>
      </c>
      <c r="AW10" s="33" cm="1">
        <f t="array" ref="AW10">$G$11+VLOOKUP($R10,武学奇术!$A:$ZZ,10,FALSE)+SUM(_xlfn.XLOOKUP(S10:AG10,增益!$A:$A,增益!$J:$J,0))</f>
        <v>0</v>
      </c>
      <c r="AX10">
        <f t="shared" si="3"/>
        <v>0</v>
      </c>
      <c r="AY10">
        <f t="shared" si="4"/>
        <v>0</v>
      </c>
      <c r="AZ10" s="33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-0.08</v>
      </c>
      <c r="BA10" s="33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3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-0.08</v>
      </c>
      <c r="BE10" s="33" cm="1">
        <f t="array" ref="BE10">$G$13+VLOOKUP($R10,武学奇术!$A:$ZZ,14,FALSE)+SUM(_xlfn.XLOOKUP(S10:AG10,增益!$A:$A,增益!$N:$N,0))</f>
        <v>0</v>
      </c>
      <c r="BF10">
        <f t="shared" si="7"/>
        <v>605.472</v>
      </c>
      <c r="BG10">
        <f t="shared" si="8"/>
        <v>1725.468</v>
      </c>
      <c r="BH10" s="33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0.11</v>
      </c>
      <c r="BI10" s="33" cm="1">
        <f t="array" ref="BI10">$G$14+VLOOKUP($R10,武学奇术!$A:$ZZ,16,FALSE)+SUM(_xlfn.XLOOKUP(S10:AG10,增益!$A:$A,增益!$P:$P,0))</f>
        <v>0.24</v>
      </c>
      <c r="BJ10" s="27">
        <f>MIN(IF(VLOOKUP($R10,武学奇术!$A:$ZZ,23,FALSE)=1,100%,$B$8),100%)</f>
        <v>1</v>
      </c>
      <c r="BK10" s="27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+MIN(IF(VLOOKUP($R10,武学奇术!$A:$ZZ,32,FALSE)=1,IF(VLOOKUP($R10,武学奇术!$A:$ZZ,24,FALSE)=1,100%,MIN(40%,$B$10+VLOOKUP($R10,武学奇术!$A:$ZZ,19,FALSE)+SUM(_xlfn.XLOOKUP(S10:AG10,增益!$A:$A,增益!$S:$S,0)))+$B$12+SUM(_xlfn.XLOOKUP(S10:AG10,增益!$A:$A,增益!$V:$V,0))),0),12%)</f>
        <v>0.9036</v>
      </c>
      <c r="BL10" s="27" cm="1">
        <f t="array" ref="BL10">1+$B$13+VLOOKUP($R10,武学奇术!$A:$ZZ,18,FALSE)+SUM(_xlfn.XLOOKUP(S10:AG10,增益!$A:$A,增益!$R:$R,0))</f>
        <v>1.85</v>
      </c>
      <c r="BM10" s="27" cm="1">
        <f t="array" ref="BM10">MAX(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-IF(VLOOKUP($R10,武学奇术!$A:$ZZ,32,FALSE)=1,12%,0),0)</f>
        <v>0.0929</v>
      </c>
      <c r="BN10" s="27" cm="1">
        <f t="array" ref="BN10">1+$B$14+VLOOKUP($R10,武学奇术!$A:$ZZ,20,FALSE)+SUM(_xlfn.XLOOKUP(S10:AG10,增益!$A:$A,增益!$T:$T,0))</f>
        <v>1.35</v>
      </c>
      <c r="BO10" s="27">
        <f t="shared" si="9"/>
        <v>0.9036</v>
      </c>
      <c r="BP10" s="27">
        <f t="shared" si="10"/>
        <v>0.00350000000000006</v>
      </c>
      <c r="BQ10" s="27">
        <f>IF(VLOOKUP($R10,武学奇术!$A:$ZZ,22,FALSE)=1,0,(1-$BJ10))*(1-$BM10)</f>
        <v>0</v>
      </c>
      <c r="BR10" s="27" cm="1">
        <f t="array" ref="BR10">SUM(_xlfn.XLOOKUP(S10:AG10,增益!$A:$A,增益!$W:$W,0))+$I$5</f>
        <v>0.11</v>
      </c>
    </row>
    <row r="11" ht="14.25" spans="1:70">
      <c r="A11" s="42" t="s">
        <v>111</v>
      </c>
      <c r="B11" s="70">
        <f>4.6%+IF($E$24="易水歌",4.6%,0)+IF($E$22="断石之构",4.1%,0)</f>
        <v>0.133</v>
      </c>
      <c r="C11" s="46" t="s">
        <v>79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3">
        <f>E3</f>
        <v>0</v>
      </c>
      <c r="H11" s="71"/>
      <c r="I11" s="75"/>
      <c r="J11" s="76"/>
      <c r="K11">
        <f>$L11*VLOOKUP($R11,武学奇术!$A:$ZZ,31,FALSE)</f>
        <v>113535.30740836</v>
      </c>
      <c r="L11" s="39">
        <f t="shared" si="0"/>
        <v>87334.8518525847</v>
      </c>
      <c r="M11" s="39">
        <f>((($AO11+($AP11-$AO11)*IF(VLOOKUP($R11,武学奇术!$A:$ZZ,31,FALSE)=1,$F$18,0.5))*$AI11+$AJ11)*(1+$AQ11)*(1+$AR11)+(($AT11+($AU11-$AT11)*IF(VLOOKUP($R11,武学奇术!$A:$ZZ,31,FALSE)=1,$F$18,0.5))*IF($G$1="鸣金",$AK11,$AI11)+IF($G$1="鸣金",$AL11*1.5,0))*(1+$AV11)*(1+$AW11)+(($AX11+($AY11-$AX11)*IF(VLOOKUP($R11,武学奇术!$A:$ZZ,31,FALSE)=1,$F$18,0.5))*IF($G$1="裂石",$AK11,$AI11)+IF($G$1="裂石",$AL11*1.5,0))*(1+$AZ11)*(1+$BA11)+(($BB11+($BC11-$BB11)*IF(VLOOKUP($R11,武学奇术!$A:$ZZ,31,FALSE)=1,$F$18,0.5))*IF($G$1="牵丝",$AK11,$AI11)+IF($G$1="牵丝",$AL11*1.5,0))*(1+$BD11)*(1+$BE11)+(($BF11+($BG11-$BF11)*IF(VLOOKUP($R11,武学奇术!$A:$ZZ,31,FALSE)=1,$F$18,0.5))*IF($G$1="破竹",$AK11,$AI11)+IF($G$1="破竹",$AL11*1.5,0))*(1+$BH11)*(1+$BI11))*(1+$AM11)*$BL11*$Q11*(1+IF(VLOOKUP($R11,武学奇术!$A:$ZZ,30,FALSE)="蓄力技",$B$21,0))*(1+$BR11)</f>
        <v>89004.0505257526</v>
      </c>
      <c r="N11" s="39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72577.0264368078</v>
      </c>
      <c r="O11" s="39">
        <f>((($AO11+($AP11-$AO11)*IF(VLOOKUP($R11,武学奇术!$A:$ZZ,31,FALSE)=1,$F$18,0.5))*$AI11+$AJ11)*(1+$AQ11)*(1+$AR11)+(($AT11+($AU11-$AT11)*IF(VLOOKUP($R11,武学奇术!$A:$ZZ,31,FALSE)=1,$F$18,0.5))*IF($G$1="鸣金",$AK11,$AI11)+IF($G$1="鸣金",$AL11*1.5,0))*(1+$AV11)*(1+$AW11)+(($AX11+($AY11-$AX11)*IF(VLOOKUP($R11,武学奇术!$A:$ZZ,31,FALSE)=1,$F$18,0.5))*IF($G$1="裂石",$AK11,$AI11)+IF($G$1="裂石",$AL11*1.5,0))*(1+$AZ11)*(1+$BA11)+(($BB11+($BC11-$BB11)*IF(VLOOKUP($R11,武学奇术!$A:$ZZ,31,FALSE)=1,$F$18,0.5))*IF($G$1="牵丝",$AK11,$AI11)+IF($G$1="牵丝",$AL11*1.5,0))*(1+$BD11)*(1+$BE11)+(($BF11+($BG11-$BF11)*IF(VLOOKUP($R11,武学奇术!$A:$ZZ,31,FALSE)=1,$F$18,0.5))*IF($G$1="破竹",$AK11,$AI11)+IF($G$1="破竹",$AL11*1.5,0))*(1+$BH11)*(1+$BI11))*(1+$AM11)*$Q11*(1+IF(VLOOKUP($R11,武学奇术!$A:$ZZ,30,FALSE)="蓄力技",$B$21,0))*(1+$BR11)</f>
        <v>48110.2975814879</v>
      </c>
      <c r="P11" s="39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42459.8348394144</v>
      </c>
      <c r="Q11" s="40">
        <v>1</v>
      </c>
      <c r="R11" s="41" t="s">
        <v>112</v>
      </c>
      <c r="S11" s="41" t="s">
        <v>81</v>
      </c>
      <c r="T11" s="41" t="s">
        <v>73</v>
      </c>
      <c r="U11" s="41" t="s">
        <v>73</v>
      </c>
      <c r="V11" s="41" t="s">
        <v>74</v>
      </c>
      <c r="W11" s="41" t="s">
        <v>73</v>
      </c>
      <c r="X11" s="41" t="s">
        <v>73</v>
      </c>
      <c r="Y11" s="41" t="s">
        <v>75</v>
      </c>
      <c r="Z11" s="41" t="s">
        <v>83</v>
      </c>
      <c r="AA11" s="41" t="s">
        <v>105</v>
      </c>
      <c r="AB11" s="41" t="s">
        <v>84</v>
      </c>
      <c r="AC11" s="41" t="s">
        <v>73</v>
      </c>
      <c r="AD11" s="41" t="s">
        <v>73</v>
      </c>
      <c r="AE11" s="41" t="s">
        <v>76</v>
      </c>
      <c r="AF11" s="41" t="s">
        <v>77</v>
      </c>
      <c r="AG11" s="41" t="s">
        <v>78</v>
      </c>
      <c r="AH11" t="str">
        <f>VLOOKUP($R11,武学奇术!$A:$ZZ,25,FALSE)</f>
        <v>拳甲</v>
      </c>
      <c r="AI11" s="27">
        <f>VLOOKUP($R11,武学奇术!$A:$ZZ,26,FALSE)</f>
        <v>2.91176</v>
      </c>
      <c r="AJ11" s="28">
        <f>VLOOKUP($R11,武学奇术!$A:$ZZ,27,FALSE)*(1+IF(OR($AH11=$F$4,$AH11=$F$5),$B$22,0))</f>
        <v>1208.7</v>
      </c>
      <c r="AK11" s="27">
        <f>VLOOKUP($R11,武学奇术!$A:$ZZ,28,FALSE)</f>
        <v>3.89844</v>
      </c>
      <c r="AL11" s="28">
        <f>VLOOKUP($R11,武学奇术!$A:$ZZ,29,FALSE)*(1+IF(OR($AH11=$F$4,$AH11=$F$5),$B$22,0))</f>
        <v>650.25</v>
      </c>
      <c r="AM11" s="27" cm="1">
        <f t="array" ref="AM11">$G$3+IFERROR(VLOOKUP($AH11,$F$4:$G$7,2,FALSE),0)+VLOOKUP($R11,武学奇术!$A:$ZZ,2,FALSE)+SUM(_xlfn.XLOOKUP($S11:$AG11,增益!$A:$A,增益!$B:$B,0))</f>
        <v>0.6941</v>
      </c>
      <c r="AN11" s="27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3888.382</v>
      </c>
      <c r="AP11" cm="1">
        <f t="array" ref="AP11">$E$10*(1+$AN11)+VLOOKUP($R11,武学奇术!$A:$ZZ,4,FALSE)+SUM(_xlfn.XLOOKUP($S11:$AG11,增益!$A:$A,增益!$D:$D,0))-$I$2</f>
        <v>3888.382</v>
      </c>
      <c r="AQ11" s="33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0.317</v>
      </c>
      <c r="AR11" s="33" cm="1">
        <f t="array" ref="AR11">$G$10+VLOOKUP($R11,武学奇术!$A:$ZZ,7,FALSE)+SUM(_xlfn.XLOOKUP(S11:AG11,增益!$A:$A,增益!$G:$G,0))</f>
        <v>0.09</v>
      </c>
      <c r="AS11" s="27" cm="1">
        <f t="array" ref="AS11">VLOOKUP($R11,武学奇术!$A:$ZZ,8,FALSE)+SUM(_xlfn.XLOOKUP(S11:AG11,增益!$A:$A,增益!$H:$H,0))</f>
        <v>0</v>
      </c>
      <c r="AT11">
        <f t="shared" si="1"/>
        <v>0</v>
      </c>
      <c r="AU11">
        <f t="shared" si="2"/>
        <v>0</v>
      </c>
      <c r="AV11" s="33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-0.08</v>
      </c>
      <c r="AW11" s="33" cm="1">
        <f t="array" ref="AW11">$G$11+VLOOKUP($R11,武学奇术!$A:$ZZ,10,FALSE)+SUM(_xlfn.XLOOKUP(S11:AG11,增益!$A:$A,增益!$J:$J,0))</f>
        <v>0</v>
      </c>
      <c r="AX11">
        <f t="shared" si="3"/>
        <v>0</v>
      </c>
      <c r="AY11">
        <f t="shared" si="4"/>
        <v>0</v>
      </c>
      <c r="AZ11" s="33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-0.08</v>
      </c>
      <c r="BA11" s="33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3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-0.08</v>
      </c>
      <c r="BE11" s="33" cm="1">
        <f t="array" ref="BE11">$G$13+VLOOKUP($R11,武学奇术!$A:$ZZ,14,FALSE)+SUM(_xlfn.XLOOKUP(S11:AG11,增益!$A:$A,增益!$N:$N,0))</f>
        <v>0</v>
      </c>
      <c r="BF11">
        <f t="shared" si="7"/>
        <v>605.472</v>
      </c>
      <c r="BG11">
        <f t="shared" si="8"/>
        <v>1725.468</v>
      </c>
      <c r="BH11" s="33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0.11</v>
      </c>
      <c r="BI11" s="33" cm="1">
        <f t="array" ref="BI11">$G$14+VLOOKUP($R11,武学奇术!$A:$ZZ,16,FALSE)+SUM(_xlfn.XLOOKUP(S11:AG11,增益!$A:$A,增益!$P:$P,0))</f>
        <v>0.24</v>
      </c>
      <c r="BJ11" s="27">
        <f>MIN(IF(VLOOKUP($R11,武学奇术!$A:$ZZ,23,FALSE)=1,100%,$B$8),100%)</f>
        <v>1</v>
      </c>
      <c r="BK11" s="27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+MIN(IF(VLOOKUP($R11,武学奇术!$A:$ZZ,32,FALSE)=1,IF(VLOOKUP($R11,武学奇术!$A:$ZZ,24,FALSE)=1,100%,MIN(40%,$B$10+VLOOKUP($R11,武学奇术!$A:$ZZ,19,FALSE)+SUM(_xlfn.XLOOKUP(S11:AG11,增益!$A:$A,增益!$S:$S,0)))+$B$12+SUM(_xlfn.XLOOKUP(S11:AG11,增益!$A:$A,增益!$V:$V,0))),0),12%)</f>
        <v>0.9036</v>
      </c>
      <c r="BL11" s="27" cm="1">
        <f t="array" ref="BL11">1+$B$13+VLOOKUP($R11,武学奇术!$A:$ZZ,18,FALSE)+SUM(_xlfn.XLOOKUP(S11:AG11,增益!$A:$A,增益!$R:$R,0))</f>
        <v>1.85</v>
      </c>
      <c r="BM11" s="27" cm="1">
        <f t="array" ref="BM11">MAX(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-IF(VLOOKUP($R11,武学奇术!$A:$ZZ,32,FALSE)=1,12%,0),0)</f>
        <v>0.0929</v>
      </c>
      <c r="BN11" s="27" cm="1">
        <f t="array" ref="BN11">1+$B$14+VLOOKUP($R11,武学奇术!$A:$ZZ,20,FALSE)+SUM(_xlfn.XLOOKUP(S11:AG11,增益!$A:$A,增益!$T:$T,0))</f>
        <v>1.35</v>
      </c>
      <c r="BO11" s="27">
        <f t="shared" si="9"/>
        <v>0.9036</v>
      </c>
      <c r="BP11" s="27">
        <f t="shared" si="10"/>
        <v>0.00350000000000006</v>
      </c>
      <c r="BQ11" s="27">
        <f>IF(VLOOKUP($R11,武学奇术!$A:$ZZ,22,FALSE)=1,0,(1-$BJ11))*(1-$BM11)</f>
        <v>0</v>
      </c>
      <c r="BR11" s="27" cm="1">
        <f t="array" ref="BR11">SUM(_xlfn.XLOOKUP(S11:AG11,增益!$A:$A,增益!$W:$W,0))+$I$5</f>
        <v>0.11</v>
      </c>
    </row>
    <row r="12" spans="1:70">
      <c r="A12" s="42" t="s">
        <v>113</v>
      </c>
      <c r="B12" s="70">
        <v>0</v>
      </c>
      <c r="C12" s="46" t="s">
        <v>85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3">
        <f>E4</f>
        <v>0</v>
      </c>
      <c r="H12" s="68" t="s">
        <v>114</v>
      </c>
      <c r="I12" s="39">
        <f>I10/I8</f>
        <v>142795.867642506</v>
      </c>
      <c r="J12" s="77"/>
      <c r="K12">
        <f>$L12*VLOOKUP($R12,武学奇术!$A:$ZZ,31,FALSE)</f>
        <v>27212.6080353788</v>
      </c>
      <c r="L12" s="39">
        <f t="shared" si="0"/>
        <v>27212.6080353788</v>
      </c>
      <c r="M12" s="39">
        <f>((($AO12+($AP12-$AO12)*IF(VLOOKUP($R12,武学奇术!$A:$ZZ,31,FALSE)=1,$F$18,0.5))*$AI12+$AJ12)*(1+$AQ12)*(1+$AR12)+(($AT12+($AU12-$AT12)*IF(VLOOKUP($R12,武学奇术!$A:$ZZ,31,FALSE)=1,$F$18,0.5))*IF($G$1="鸣金",$AK12,$AI12)+IF($G$1="鸣金",$AL12*1.5,0))*(1+$AV12)*(1+$AW12)+(($AX12+($AY12-$AX12)*IF(VLOOKUP($R12,武学奇术!$A:$ZZ,31,FALSE)=1,$F$18,0.5))*IF($G$1="裂石",$AK12,$AI12)+IF($G$1="裂石",$AL12*1.5,0))*(1+$AZ12)*(1+$BA12)+(($BB12+($BC12-$BB12)*IF(VLOOKUP($R12,武学奇术!$A:$ZZ,31,FALSE)=1,$F$18,0.5))*IF($G$1="牵丝",$AK12,$AI12)+IF($G$1="牵丝",$AL12*1.5,0))*(1+$BD12)*(1+$BE12)+(($BF12+($BG12-$BF12)*IF(VLOOKUP($R12,武学奇术!$A:$ZZ,31,FALSE)=1,$F$18,0.5))*IF($G$1="破竹",$AK12,$AI12)+IF($G$1="破竹",$AL12*1.5,0))*(1+$BH12)*(1+$BI12))*(1+$AM12)*$BL12*$Q12*(1+IF(VLOOKUP($R12,武学奇术!$A:$ZZ,30,FALSE)="蓄力技",$B$21,0))*(1+$BR12)</f>
        <v>27292.5706172688</v>
      </c>
      <c r="N12" s="39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26796.693652851</v>
      </c>
      <c r="O12" s="39">
        <f>((($AO12+($AP12-$AO12)*IF(VLOOKUP($R12,武学奇术!$A:$ZZ,31,FALSE)=1,$F$18,0.5))*$AI12+$AJ12)*(1+$AQ12)*(1+$AR12)+(($AT12+($AU12-$AT12)*IF(VLOOKUP($R12,武学奇术!$A:$ZZ,31,FALSE)=1,$F$18,0.5))*IF($G$1="鸣金",$AK12,$AI12)+IF($G$1="鸣金",$AL12*1.5,0))*(1+$AV12)*(1+$AW12)+(($AX12+($AY12-$AX12)*IF(VLOOKUP($R12,武学奇术!$A:$ZZ,31,FALSE)=1,$F$18,0.5))*IF($G$1="裂石",$AK12,$AI12)+IF($G$1="裂石",$AL12*1.5,0))*(1+$AZ12)*(1+$BA12)+(($BB12+($BC12-$BB12)*IF(VLOOKUP($R12,武学奇术!$A:$ZZ,31,FALSE)=1,$F$18,0.5))*IF($G$1="牵丝",$AK12,$AI12)+IF($G$1="牵丝",$AL12*1.5,0))*(1+$BD12)*(1+$BE12)+(($BF12+($BG12-$BF12)*IF(VLOOKUP($R12,武学奇术!$A:$ZZ,31,FALSE)=1,$F$18,0.5))*IF($G$1="破竹",$AK12,$AI12)+IF($G$1="破竹",$AL12*1.5,0))*(1+$BH12)*(1+$BI12))*(1+$AM12)*$Q12*(1+IF(VLOOKUP($R12,武学奇术!$A:$ZZ,30,FALSE)="蓄力技",$B$21,0))*(1+$BR12)</f>
        <v>17608.1100756573</v>
      </c>
      <c r="P12" s="39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15366.817445499</v>
      </c>
      <c r="Q12" s="40">
        <v>1</v>
      </c>
      <c r="R12" s="41" t="s">
        <v>115</v>
      </c>
      <c r="S12" s="41" t="s">
        <v>81</v>
      </c>
      <c r="T12" s="41" t="s">
        <v>73</v>
      </c>
      <c r="U12" s="41" t="s">
        <v>73</v>
      </c>
      <c r="V12" s="41" t="s">
        <v>74</v>
      </c>
      <c r="W12" s="41" t="s">
        <v>73</v>
      </c>
      <c r="X12" s="41" t="s">
        <v>73</v>
      </c>
      <c r="Y12" s="41" t="s">
        <v>75</v>
      </c>
      <c r="Z12" s="41" t="s">
        <v>83</v>
      </c>
      <c r="AA12" s="41" t="s">
        <v>73</v>
      </c>
      <c r="AB12" s="41" t="s">
        <v>90</v>
      </c>
      <c r="AC12" s="41" t="s">
        <v>73</v>
      </c>
      <c r="AD12" s="41" t="s">
        <v>73</v>
      </c>
      <c r="AE12" s="41" t="s">
        <v>76</v>
      </c>
      <c r="AF12" s="41" t="s">
        <v>77</v>
      </c>
      <c r="AG12" s="41" t="s">
        <v>78</v>
      </c>
      <c r="AH12" t="str">
        <f>VLOOKUP($R12,武学奇术!$A:$ZZ,25,FALSE)</f>
        <v>拳甲</v>
      </c>
      <c r="AI12" s="27">
        <f>VLOOKUP($R12,武学奇术!$A:$ZZ,26,FALSE)</f>
        <v>1.2876</v>
      </c>
      <c r="AJ12" s="28">
        <f>VLOOKUP($R12,武学奇术!$A:$ZZ,27,FALSE)*(1+IF(OR($AH12=$F$4,$AH12=$F$5),$B$22,0))</f>
        <v>537</v>
      </c>
      <c r="AK12" s="27">
        <f>VLOOKUP($R12,武学奇术!$A:$ZZ,28,FALSE)</f>
        <v>1.9313</v>
      </c>
      <c r="AL12" s="28">
        <f>VLOOKUP($R12,武学奇术!$A:$ZZ,29,FALSE)*(1+IF(OR($AH12=$F$4,$AH12=$F$5),$B$22,0))</f>
        <v>292.5</v>
      </c>
      <c r="AM12" s="27" cm="1">
        <f t="array" ref="AM12">$G$3+IFERROR(VLOOKUP($AH12,$F$4:$G$7,2,FALSE),0)+VLOOKUP($R12,武学奇术!$A:$ZZ,2,FALSE)+SUM(_xlfn.XLOOKUP($S12:$AG12,增益!$A:$A,增益!$B:$B,0))</f>
        <v>0.3941</v>
      </c>
      <c r="AN12" s="27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3888.382</v>
      </c>
      <c r="AP12" cm="1">
        <f t="array" ref="AP12">$E$10*(1+$AN12)+VLOOKUP($R12,武学奇术!$A:$ZZ,4,FALSE)+SUM(_xlfn.XLOOKUP($S12:$AG12,增益!$A:$A,增益!$D:$D,0))-$I$2</f>
        <v>3888.382</v>
      </c>
      <c r="AQ12" s="33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0.287</v>
      </c>
      <c r="AR12" s="33" cm="1">
        <f t="array" ref="AR12">$G$10+VLOOKUP($R12,武学奇术!$A:$ZZ,7,FALSE)+SUM(_xlfn.XLOOKUP(S12:AG12,增益!$A:$A,增益!$G:$G,0))</f>
        <v>0.09</v>
      </c>
      <c r="AS12" s="27" cm="1">
        <f t="array" ref="AS12">VLOOKUP($R12,武学奇术!$A:$ZZ,8,FALSE)+SUM(_xlfn.XLOOKUP(S12:AG12,增益!$A:$A,增益!$H:$H,0))</f>
        <v>0</v>
      </c>
      <c r="AT12">
        <f t="shared" si="1"/>
        <v>0</v>
      </c>
      <c r="AU12">
        <f t="shared" si="2"/>
        <v>0</v>
      </c>
      <c r="AV12" s="33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-0.14</v>
      </c>
      <c r="AW12" s="33" cm="1">
        <f t="array" ref="AW12">$G$11+VLOOKUP($R12,武学奇术!$A:$ZZ,10,FALSE)+SUM(_xlfn.XLOOKUP(S12:AG12,增益!$A:$A,增益!$J:$J,0))</f>
        <v>0</v>
      </c>
      <c r="AX12">
        <f t="shared" si="3"/>
        <v>0</v>
      </c>
      <c r="AY12">
        <f t="shared" si="4"/>
        <v>0</v>
      </c>
      <c r="AZ12" s="33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-0.14</v>
      </c>
      <c r="BA12" s="33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3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-0.14</v>
      </c>
      <c r="BE12" s="33" cm="1">
        <f t="array" ref="BE12">$G$13+VLOOKUP($R12,武学奇术!$A:$ZZ,14,FALSE)+SUM(_xlfn.XLOOKUP(S12:AG12,增益!$A:$A,增益!$N:$N,0))</f>
        <v>0</v>
      </c>
      <c r="BF12">
        <f t="shared" si="7"/>
        <v>605.472</v>
      </c>
      <c r="BG12">
        <f t="shared" si="8"/>
        <v>1725.468</v>
      </c>
      <c r="BH12" s="33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0.08</v>
      </c>
      <c r="BI12" s="33" cm="1">
        <f t="array" ref="BI12">$G$14+VLOOKUP($R12,武学奇术!$A:$ZZ,16,FALSE)+SUM(_xlfn.XLOOKUP(S12:AG12,增益!$A:$A,增益!$P:$P,0))</f>
        <v>0.24</v>
      </c>
      <c r="BJ12" s="27">
        <f>MIN(IF(VLOOKUP($R12,武学奇术!$A:$ZZ,23,FALSE)=1,100%,$B$8),100%)</f>
        <v>1</v>
      </c>
      <c r="BK12" s="27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+MIN(IF(VLOOKUP($R12,武学奇术!$A:$ZZ,32,FALSE)=1,IF(VLOOKUP($R12,武学奇术!$A:$ZZ,24,FALSE)=1,100%,MIN(40%,$B$10+VLOOKUP($R12,武学奇术!$A:$ZZ,19,FALSE)+SUM(_xlfn.XLOOKUP(S12:AG12,增益!$A:$A,增益!$S:$S,0)))+$B$12+SUM(_xlfn.XLOOKUP(S12:AG12,增益!$A:$A,增益!$V:$V,0))),0),12%)</f>
        <v>0.9036</v>
      </c>
      <c r="BL12" s="27" cm="1">
        <f t="array" ref="BL12">1+$B$13+VLOOKUP($R12,武学奇术!$A:$ZZ,18,FALSE)+SUM(_xlfn.XLOOKUP(S12:AG12,增益!$A:$A,增益!$R:$R,0))</f>
        <v>1.55</v>
      </c>
      <c r="BM12" s="27" cm="1">
        <f t="array" ref="BM12">MAX(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-IF(VLOOKUP($R12,武学奇术!$A:$ZZ,32,FALSE)=1,12%,0),0)</f>
        <v>0.0929</v>
      </c>
      <c r="BN12" s="27" cm="1">
        <f t="array" ref="BN12">1+$B$14+VLOOKUP($R12,武学奇术!$A:$ZZ,20,FALSE)+SUM(_xlfn.XLOOKUP(S12:AG12,增益!$A:$A,增益!$T:$T,0))</f>
        <v>1.35</v>
      </c>
      <c r="BO12" s="27">
        <f t="shared" si="9"/>
        <v>0.9036</v>
      </c>
      <c r="BP12" s="27">
        <f t="shared" si="10"/>
        <v>0.00350000000000006</v>
      </c>
      <c r="BQ12" s="27">
        <f>IF(VLOOKUP($R12,武学奇术!$A:$ZZ,22,FALSE)=1,0,(1-$BJ12))*(1-$BM12)</f>
        <v>0</v>
      </c>
      <c r="BR12" s="27" cm="1">
        <f t="array" ref="BR12">SUM(_xlfn.XLOOKUP(S12:AG12,增益!$A:$A,增益!$W:$W,0))+$I$5</f>
        <v>0.11</v>
      </c>
    </row>
    <row r="13" ht="14.25" spans="1:70">
      <c r="A13" s="42" t="s">
        <v>116</v>
      </c>
      <c r="B13" s="70">
        <v>0.54</v>
      </c>
      <c r="C13" s="46" t="s">
        <v>91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3">
        <f>E5</f>
        <v>0</v>
      </c>
      <c r="H13" s="71"/>
      <c r="I13" s="78"/>
      <c r="J13" s="76"/>
      <c r="K13">
        <f>$L13*VLOOKUP($R13,武学奇术!$A:$ZZ,31,FALSE)</f>
        <v>94188.948858795</v>
      </c>
      <c r="L13" s="39">
        <f t="shared" si="0"/>
        <v>72453.0375836885</v>
      </c>
      <c r="M13" s="39">
        <f>((($AO13+($AP13-$AO13)*IF(VLOOKUP($R13,武学奇术!$A:$ZZ,31,FALSE)=1,$F$18,0.5))*$AI13+$AJ13)*(1+$AQ13)*(1+$AR13)+(($AT13+($AU13-$AT13)*IF(VLOOKUP($R13,武学奇术!$A:$ZZ,31,FALSE)=1,$F$18,0.5))*IF($G$1="鸣金",$AK13,$AI13)+IF($G$1="鸣金",$AL13*1.5,0))*(1+$AV13)*(1+$AW13)+(($AX13+($AY13-$AX13)*IF(VLOOKUP($R13,武学奇术!$A:$ZZ,31,FALSE)=1,$F$18,0.5))*IF($G$1="裂石",$AK13,$AI13)+IF($G$1="裂石",$AL13*1.5,0))*(1+$AZ13)*(1+$BA13)+(($BB13+($BC13-$BB13)*IF(VLOOKUP($R13,武学奇术!$A:$ZZ,31,FALSE)=1,$F$18,0.5))*IF($G$1="牵丝",$AK13,$AI13)+IF($G$1="牵丝",$AL13*1.5,0))*(1+$BD13)*(1+$BE13)+(($BF13+($BG13-$BF13)*IF(VLOOKUP($R13,武学奇术!$A:$ZZ,31,FALSE)=1,$F$18,0.5))*IF($G$1="破竹",$AK13,$AI13)+IF($G$1="破竹",$AL13*1.5,0))*(1+$BH13)*(1+$BI13))*(1+$AM13)*$BL13*$Q13*(1+IF(VLOOKUP($R13,武学奇术!$A:$ZZ,30,FALSE)="蓄力技",$B$21,0))*(1+$BR13)</f>
        <v>73730.9163980226</v>
      </c>
      <c r="N13" s="39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61259.8552714587</v>
      </c>
      <c r="O13" s="39">
        <f>((($AO13+($AP13-$AO13)*IF(VLOOKUP($R13,武学奇术!$A:$ZZ,31,FALSE)=1,$F$18,0.5))*$AI13+$AJ13)*(1+$AQ13)*(1+$AR13)+(($AT13+($AU13-$AT13)*IF(VLOOKUP($R13,武学奇术!$A:$ZZ,31,FALSE)=1,$F$18,0.5))*IF($G$1="鸣金",$AK13,$AI13)+IF($G$1="鸣金",$AL13*1.5,0))*(1+$AV13)*(1+$AW13)+(($AX13+($AY13-$AX13)*IF(VLOOKUP($R13,武学奇术!$A:$ZZ,31,FALSE)=1,$F$18,0.5))*IF($G$1="裂石",$AK13,$AI13)+IF($G$1="裂石",$AL13*1.5,0))*(1+$AZ13)*(1+$BA13)+(($BB13+($BC13-$BB13)*IF(VLOOKUP($R13,武学奇术!$A:$ZZ,31,FALSE)=1,$F$18,0.5))*IF($G$1="牵丝",$AK13,$AI13)+IF($G$1="牵丝",$AL13*1.5,0))*(1+$BD13)*(1+$BE13)+(($BF13+($BG13-$BF13)*IF(VLOOKUP($R13,武学奇术!$A:$ZZ,31,FALSE)=1,$F$18,0.5))*IF($G$1="破竹",$AK13,$AI13)+IF($G$1="破竹",$AL13*1.5,0))*(1+$BH13)*(1+$BI13))*(1+$AM13)*$Q13*(1+IF(VLOOKUP($R13,武学奇术!$A:$ZZ,30,FALSE)="蓄力技",$B$21,0))*(1+$BR13)</f>
        <v>39640.2776333455</v>
      </c>
      <c r="P13" s="39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33902.8846952401</v>
      </c>
      <c r="Q13" s="40">
        <v>1</v>
      </c>
      <c r="R13" s="41" t="s">
        <v>117</v>
      </c>
      <c r="S13" s="41" t="s">
        <v>81</v>
      </c>
      <c r="T13" s="41" t="s">
        <v>73</v>
      </c>
      <c r="U13" s="41" t="s">
        <v>73</v>
      </c>
      <c r="V13" s="41" t="s">
        <v>74</v>
      </c>
      <c r="W13" s="41" t="s">
        <v>73</v>
      </c>
      <c r="X13" s="41" t="s">
        <v>73</v>
      </c>
      <c r="Y13" s="41" t="s">
        <v>82</v>
      </c>
      <c r="Z13" s="41" t="s">
        <v>83</v>
      </c>
      <c r="AA13" s="41" t="s">
        <v>105</v>
      </c>
      <c r="AB13" s="41" t="s">
        <v>90</v>
      </c>
      <c r="AC13" s="41" t="s">
        <v>73</v>
      </c>
      <c r="AD13" s="41" t="s">
        <v>73</v>
      </c>
      <c r="AE13" s="41" t="s">
        <v>76</v>
      </c>
      <c r="AF13" s="41" t="s">
        <v>77</v>
      </c>
      <c r="AG13" s="41" t="s">
        <v>78</v>
      </c>
      <c r="AH13" t="str">
        <f>VLOOKUP($R13,武学奇术!$A:$ZZ,25,FALSE)</f>
        <v>拳甲</v>
      </c>
      <c r="AI13" s="27">
        <f>VLOOKUP($R13,武学奇术!$A:$ZZ,26,FALSE)</f>
        <v>2.638944</v>
      </c>
      <c r="AJ13" s="28">
        <f>VLOOKUP($R13,武学奇术!$A:$ZZ,27,FALSE)*(1+IF(OR($AH13=$F$4,$AH13=$F$5),$B$22,0))</f>
        <v>0</v>
      </c>
      <c r="AK13" s="27">
        <f>VLOOKUP($R13,武学奇术!$A:$ZZ,28,FALSE)</f>
        <v>3.958416</v>
      </c>
      <c r="AL13" s="28">
        <f>VLOOKUP($R13,武学奇术!$A:$ZZ,29,FALSE)*(1+IF(OR($AH13=$F$4,$AH13=$F$5),$B$22,0))</f>
        <v>0</v>
      </c>
      <c r="AM13" s="27" cm="1">
        <f t="array" ref="AM13">$G$3+IFERROR(VLOOKUP($AH13,$F$4:$G$7,2,FALSE),0)+VLOOKUP($R13,武学奇术!$A:$ZZ,2,FALSE)+SUM(_xlfn.XLOOKUP($S13:$AG13,增益!$A:$A,增益!$B:$B,0))</f>
        <v>0.6941</v>
      </c>
      <c r="AN13" s="27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3888.382</v>
      </c>
      <c r="AP13" cm="1">
        <f t="array" ref="AP13">$E$10*(1+$AN13)+VLOOKUP($R13,武学奇术!$A:$ZZ,4,FALSE)+SUM(_xlfn.XLOOKUP($S13:$AG13,增益!$A:$A,增益!$D:$D,0))-$I$2</f>
        <v>3888.382</v>
      </c>
      <c r="AQ13" s="33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0.317</v>
      </c>
      <c r="AR13" s="33" cm="1">
        <f t="array" ref="AR13">$G$10+VLOOKUP($R13,武学奇术!$A:$ZZ,7,FALSE)+SUM(_xlfn.XLOOKUP(S13:AG13,增益!$A:$A,增益!$G:$G,0))</f>
        <v>0.09</v>
      </c>
      <c r="AS13" s="27" cm="1">
        <f t="array" ref="AS13">VLOOKUP($R13,武学奇术!$A:$ZZ,8,FALSE)+SUM(_xlfn.XLOOKUP(S13:AG13,增益!$A:$A,增益!$H:$H,0))</f>
        <v>0</v>
      </c>
      <c r="AT13">
        <f t="shared" si="1"/>
        <v>0</v>
      </c>
      <c r="AU13">
        <f t="shared" si="2"/>
        <v>0</v>
      </c>
      <c r="AV13" s="33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-0.08</v>
      </c>
      <c r="AW13" s="33" cm="1">
        <f t="array" ref="AW13">$G$11+VLOOKUP($R13,武学奇术!$A:$ZZ,10,FALSE)+SUM(_xlfn.XLOOKUP(S13:AG13,增益!$A:$A,增益!$J:$J,0))</f>
        <v>0</v>
      </c>
      <c r="AX13">
        <f t="shared" si="3"/>
        <v>0</v>
      </c>
      <c r="AY13">
        <f t="shared" si="4"/>
        <v>0</v>
      </c>
      <c r="AZ13" s="33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-0.08</v>
      </c>
      <c r="BA13" s="33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3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-0.08</v>
      </c>
      <c r="BE13" s="33" cm="1">
        <f t="array" ref="BE13">$G$13+VLOOKUP($R13,武学奇术!$A:$ZZ,14,FALSE)+SUM(_xlfn.XLOOKUP(S13:AG13,增益!$A:$A,增益!$N:$N,0))</f>
        <v>0</v>
      </c>
      <c r="BF13">
        <f t="shared" si="7"/>
        <v>605.472</v>
      </c>
      <c r="BG13">
        <f t="shared" si="8"/>
        <v>1725.468</v>
      </c>
      <c r="BH13" s="33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0.11</v>
      </c>
      <c r="BI13" s="33" cm="1">
        <f t="array" ref="BI13">$G$14+VLOOKUP($R13,武学奇术!$A:$ZZ,16,FALSE)+SUM(_xlfn.XLOOKUP(S13:AG13,增益!$A:$A,增益!$P:$P,0))</f>
        <v>0.24</v>
      </c>
      <c r="BJ13" s="27">
        <f>MIN(IF(VLOOKUP($R13,武学奇术!$A:$ZZ,23,FALSE)=1,100%,$B$8),100%)</f>
        <v>1</v>
      </c>
      <c r="BK13" s="27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+MIN(IF(VLOOKUP($R13,武学奇术!$A:$ZZ,32,FALSE)=1,IF(VLOOKUP($R13,武学奇术!$A:$ZZ,24,FALSE)=1,100%,MIN(40%,$B$10+VLOOKUP($R13,武学奇术!$A:$ZZ,19,FALSE)+SUM(_xlfn.XLOOKUP(S13:AG13,增益!$A:$A,增益!$S:$S,0)))+$B$12+SUM(_xlfn.XLOOKUP(S13:AG13,增益!$A:$A,增益!$V:$V,0))),0),12%)</f>
        <v>0.9036</v>
      </c>
      <c r="BL13" s="27" cm="1">
        <f t="array" ref="BL13">1+$B$13+VLOOKUP($R13,武学奇术!$A:$ZZ,18,FALSE)+SUM(_xlfn.XLOOKUP(S13:AG13,增益!$A:$A,增益!$R:$R,0))</f>
        <v>1.86</v>
      </c>
      <c r="BM13" s="27" cm="1">
        <f t="array" ref="BM13">MAX(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-IF(VLOOKUP($R13,武学奇术!$A:$ZZ,32,FALSE)=1,12%,0),0)</f>
        <v>0.0929</v>
      </c>
      <c r="BN13" s="27" cm="1">
        <f t="array" ref="BN13">1+$B$14+VLOOKUP($R13,武学奇术!$A:$ZZ,20,FALSE)+SUM(_xlfn.XLOOKUP(S13:AG13,增益!$A:$A,增益!$T:$T,0))</f>
        <v>1.35</v>
      </c>
      <c r="BO13" s="27">
        <f t="shared" si="9"/>
        <v>0.9036</v>
      </c>
      <c r="BP13" s="27">
        <f t="shared" si="10"/>
        <v>0.00350000000000006</v>
      </c>
      <c r="BQ13" s="27">
        <f>IF(VLOOKUP($R13,武学奇术!$A:$ZZ,22,FALSE)=1,0,(1-$BJ13))*(1-$BM13)</f>
        <v>0</v>
      </c>
      <c r="BR13" s="27" cm="1">
        <f t="array" ref="BR13">SUM(_xlfn.XLOOKUP(S13:AG13,增益!$A:$A,增益!$W:$W,0))+$I$5</f>
        <v>0.11</v>
      </c>
    </row>
    <row r="14" ht="14.25" spans="1:70">
      <c r="A14" s="42" t="s">
        <v>118</v>
      </c>
      <c r="B14" s="70">
        <v>0.35</v>
      </c>
      <c r="C14" s="54" t="s">
        <v>5</v>
      </c>
      <c r="D14" s="14">
        <f>(B6+IF($G$1=$C14,B7,0))*IF($G$2="撼天",1.06,1)</f>
        <v>605.472</v>
      </c>
      <c r="E14" s="14">
        <f>(MAX(B6,C6)+IF($G$1=$C14,$C$7,0))*IF($G$2="撼天",1.06,1)</f>
        <v>1725.468</v>
      </c>
      <c r="F14" s="14">
        <f>D6</f>
        <v>30</v>
      </c>
      <c r="G14" s="94">
        <f>E6</f>
        <v>0.15</v>
      </c>
      <c r="H14" s="37" t="s">
        <v>119</v>
      </c>
      <c r="I14" s="73">
        <f>RD!I14</f>
        <v>122977.198504003</v>
      </c>
      <c r="J14" s="74"/>
      <c r="K14">
        <f>$L14*VLOOKUP($R14,武学奇术!$A:$ZZ,31,FALSE)</f>
        <v>52514.8330707266</v>
      </c>
      <c r="L14" s="39">
        <f t="shared" si="0"/>
        <v>52514.8330707266</v>
      </c>
      <c r="M14" s="39">
        <f>((($AO14+($AP14-$AO14)*IF(VLOOKUP($R14,武学奇术!$A:$ZZ,31,FALSE)=1,$F$18,0.5))*$AI14+$AJ14)*(1+$AQ14)*(1+$AR14)+(($AT14+($AU14-$AT14)*IF(VLOOKUP($R14,武学奇术!$A:$ZZ,31,FALSE)=1,$F$18,0.5))*IF($G$1="鸣金",$AK14,$AI14)+IF($G$1="鸣金",$AL14*1.5,0))*(1+$AV14)*(1+$AW14)+(($AX14+($AY14-$AX14)*IF(VLOOKUP($R14,武学奇术!$A:$ZZ,31,FALSE)=1,$F$18,0.5))*IF($G$1="裂石",$AK14,$AI14)+IF($G$1="裂石",$AL14*1.5,0))*(1+$AZ14)*(1+$BA14)+(($BB14+($BC14-$BB14)*IF(VLOOKUP($R14,武学奇术!$A:$ZZ,31,FALSE)=1,$F$18,0.5))*IF($G$1="牵丝",$AK14,$AI14)+IF($G$1="牵丝",$AL14*1.5,0))*(1+$BD14)*(1+$BE14)+(($BF14+($BG14-$BF14)*IF(VLOOKUP($R14,武学奇术!$A:$ZZ,31,FALSE)=1,$F$18,0.5))*IF($G$1="破竹",$AK14,$AI14)+IF($G$1="破竹",$AL14*1.5,0))*(1+$BH14)*(1+$BI14))*(1+$AM14)*$BL14*$Q14*(1+IF(VLOOKUP($R14,武学奇术!$A:$ZZ,30,FALSE)="蓄力技",$B$21,0))*(1+$BR14)</f>
        <v>52703.127549144</v>
      </c>
      <c r="N14" s="39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51389.0508169616</v>
      </c>
      <c r="O14" s="39">
        <f>((($AO14+($AP14-$AO14)*IF(VLOOKUP($R14,武学奇术!$A:$ZZ,31,FALSE)=1,$F$18,0.5))*$AI14+$AJ14)*(1+$AQ14)*(1+$AR14)+(($AT14+($AU14-$AT14)*IF(VLOOKUP($R14,武学奇术!$A:$ZZ,31,FALSE)=1,$F$18,0.5))*IF($G$1="鸣金",$AK14,$AI14)+IF($G$1="鸣金",$AL14*1.5,0))*(1+$AV14)*(1+$AW14)+(($AX14+($AY14-$AX14)*IF(VLOOKUP($R14,武学奇术!$A:$ZZ,31,FALSE)=1,$F$18,0.5))*IF($G$1="裂石",$AK14,$AI14)+IF($G$1="裂石",$AL14*1.5,0))*(1+$AZ14)*(1+$BA14)+(($BB14+($BC14-$BB14)*IF(VLOOKUP($R14,武学奇术!$A:$ZZ,31,FALSE)=1,$F$18,0.5))*IF($G$1="牵丝",$AK14,$AI14)+IF($G$1="牵丝",$AL14*1.5,0))*(1+$BD14)*(1+$BE14)+(($BF14+($BG14-$BF14)*IF(VLOOKUP($R14,武学奇术!$A:$ZZ,31,FALSE)=1,$F$18,0.5))*IF($G$1="破竹",$AK14,$AI14)+IF($G$1="破竹",$AL14*1.5,0))*(1+$BH14)*(1+$BI14))*(1+$AM14)*$Q14*(1+IF(VLOOKUP($R14,武学奇术!$A:$ZZ,30,FALSE)="蓄力技",$B$21,0))*(1+$BR14)</f>
        <v>33784.0561212461</v>
      </c>
      <c r="P14" s="39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29502.1486743726</v>
      </c>
      <c r="Q14" s="40">
        <v>1</v>
      </c>
      <c r="R14" s="41" t="s">
        <v>120</v>
      </c>
      <c r="S14" s="41" t="s">
        <v>88</v>
      </c>
      <c r="T14" s="41" t="s">
        <v>73</v>
      </c>
      <c r="U14" s="41" t="s">
        <v>73</v>
      </c>
      <c r="V14" s="41" t="s">
        <v>74</v>
      </c>
      <c r="W14" s="41" t="s">
        <v>73</v>
      </c>
      <c r="X14" s="41" t="s">
        <v>73</v>
      </c>
      <c r="Y14" s="41" t="s">
        <v>82</v>
      </c>
      <c r="Z14" s="41" t="s">
        <v>83</v>
      </c>
      <c r="AA14" s="41" t="s">
        <v>73</v>
      </c>
      <c r="AB14" s="41" t="s">
        <v>90</v>
      </c>
      <c r="AC14" s="41" t="s">
        <v>73</v>
      </c>
      <c r="AD14" s="41" t="s">
        <v>73</v>
      </c>
      <c r="AE14" s="41" t="s">
        <v>76</v>
      </c>
      <c r="AF14" s="41" t="s">
        <v>77</v>
      </c>
      <c r="AG14" s="41" t="s">
        <v>78</v>
      </c>
      <c r="AH14" t="str">
        <f>VLOOKUP($R14,武学奇术!$A:$ZZ,25,FALSE)</f>
        <v>拳甲</v>
      </c>
      <c r="AI14" s="27">
        <f>VLOOKUP($R14,武学奇术!$A:$ZZ,26,FALSE)</f>
        <v>2.4421</v>
      </c>
      <c r="AJ14" s="28">
        <f>VLOOKUP($R14,武学奇术!$A:$ZZ,27,FALSE)*(1+IF(OR($AH14=$F$4,$AH14=$F$5),$B$22,0))</f>
        <v>1012.5</v>
      </c>
      <c r="AK14" s="27">
        <f>VLOOKUP($R14,武学奇术!$A:$ZZ,28,FALSE)</f>
        <v>3.6634</v>
      </c>
      <c r="AL14" s="28">
        <f>VLOOKUP($R14,武学奇术!$A:$ZZ,29,FALSE)*(1+IF(OR($AH14=$F$4,$AH14=$F$5),$B$22,0))</f>
        <v>549</v>
      </c>
      <c r="AM14" s="27" cm="1">
        <f t="array" ref="AM14">$G$3+IFERROR(VLOOKUP($AH14,$F$4:$G$7,2,FALSE),0)+VLOOKUP($R14,武学奇术!$A:$ZZ,2,FALSE)+SUM(_xlfn.XLOOKUP($S14:$AG14,增益!$A:$A,增益!$B:$B,0))</f>
        <v>0.4041</v>
      </c>
      <c r="AN14" s="27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3888.382</v>
      </c>
      <c r="AP14" cm="1">
        <f t="array" ref="AP14">$E$10*(1+$AN14)+VLOOKUP($R14,武学奇术!$A:$ZZ,4,FALSE)+SUM(_xlfn.XLOOKUP($S14:$AG14,增益!$A:$A,增益!$D:$D,0))-$I$2</f>
        <v>3888.382</v>
      </c>
      <c r="AQ14" s="33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0.297</v>
      </c>
      <c r="AR14" s="33" cm="1">
        <f t="array" ref="AR14">$G$10+VLOOKUP($R14,武学奇术!$A:$ZZ,7,FALSE)+SUM(_xlfn.XLOOKUP(S14:AG14,增益!$A:$A,增益!$G:$G,0))</f>
        <v>0.09</v>
      </c>
      <c r="AS14" s="27" cm="1">
        <f t="array" ref="AS14">VLOOKUP($R14,武学奇术!$A:$ZZ,8,FALSE)+SUM(_xlfn.XLOOKUP(S14:AG14,增益!$A:$A,增益!$H:$H,0))</f>
        <v>0</v>
      </c>
      <c r="AT14">
        <f t="shared" si="1"/>
        <v>0</v>
      </c>
      <c r="AU14">
        <f t="shared" si="2"/>
        <v>0</v>
      </c>
      <c r="AV14" s="33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-0.14</v>
      </c>
      <c r="AW14" s="33" cm="1">
        <f t="array" ref="AW14">$G$11+VLOOKUP($R14,武学奇术!$A:$ZZ,10,FALSE)+SUM(_xlfn.XLOOKUP(S14:AG14,增益!$A:$A,增益!$J:$J,0))</f>
        <v>0</v>
      </c>
      <c r="AX14">
        <f t="shared" si="3"/>
        <v>0</v>
      </c>
      <c r="AY14">
        <f t="shared" si="4"/>
        <v>0</v>
      </c>
      <c r="AZ14" s="33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-0.14</v>
      </c>
      <c r="BA14" s="33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3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-0.14</v>
      </c>
      <c r="BE14" s="33" cm="1">
        <f t="array" ref="BE14">$G$13+VLOOKUP($R14,武学奇术!$A:$ZZ,14,FALSE)+SUM(_xlfn.XLOOKUP(S14:AG14,增益!$A:$A,增益!$N:$N,0))</f>
        <v>0</v>
      </c>
      <c r="BF14">
        <f t="shared" si="7"/>
        <v>605.472</v>
      </c>
      <c r="BG14">
        <f t="shared" si="8"/>
        <v>1725.468</v>
      </c>
      <c r="BH14" s="33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0.08</v>
      </c>
      <c r="BI14" s="33" cm="1">
        <f t="array" ref="BI14">$G$14+VLOOKUP($R14,武学奇术!$A:$ZZ,16,FALSE)+SUM(_xlfn.XLOOKUP(S14:AG14,增益!$A:$A,增益!$P:$P,0))</f>
        <v>0.24</v>
      </c>
      <c r="BJ14" s="27">
        <f>MIN(IF(VLOOKUP($R14,武学奇术!$A:$ZZ,23,FALSE)=1,100%,$B$8),100%)</f>
        <v>1</v>
      </c>
      <c r="BK14" s="27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+MIN(IF(VLOOKUP($R14,武学奇术!$A:$ZZ,32,FALSE)=1,IF(VLOOKUP($R14,武学奇术!$A:$ZZ,24,FALSE)=1,100%,MIN(40%,$B$10+VLOOKUP($R14,武学奇术!$A:$ZZ,19,FALSE)+SUM(_xlfn.XLOOKUP(S14:AG14,增益!$A:$A,增益!$S:$S,0)))+$B$12+SUM(_xlfn.XLOOKUP(S14:AG14,增益!$A:$A,增益!$V:$V,0))),0),12%)</f>
        <v>0.9036</v>
      </c>
      <c r="BL14" s="27" cm="1">
        <f t="array" ref="BL14">1+$B$13+VLOOKUP($R14,武学奇术!$A:$ZZ,18,FALSE)+SUM(_xlfn.XLOOKUP(S14:AG14,增益!$A:$A,增益!$R:$R,0))</f>
        <v>1.56</v>
      </c>
      <c r="BM14" s="27" cm="1">
        <f t="array" ref="BM14">MAX(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-IF(VLOOKUP($R14,武学奇术!$A:$ZZ,32,FALSE)=1,12%,0),0)</f>
        <v>0.0929</v>
      </c>
      <c r="BN14" s="27" cm="1">
        <f t="array" ref="BN14">1+$B$14+VLOOKUP($R14,武学奇术!$A:$ZZ,20,FALSE)+SUM(_xlfn.XLOOKUP(S14:AG14,增益!$A:$A,增益!$T:$T,0))</f>
        <v>1.35</v>
      </c>
      <c r="BO14" s="27">
        <f t="shared" si="9"/>
        <v>0.9036</v>
      </c>
      <c r="BP14" s="27">
        <f t="shared" si="10"/>
        <v>0.00350000000000006</v>
      </c>
      <c r="BQ14" s="27">
        <f>IF(VLOOKUP($R14,武学奇术!$A:$ZZ,22,FALSE)=1,0,(1-$BJ14))*(1-$BM14)</f>
        <v>0</v>
      </c>
      <c r="BR14" s="27" cm="1">
        <f t="array" ref="BR14">SUM(_xlfn.XLOOKUP(S14:AG14,增益!$A:$A,增益!$W:$W,0))+$I$5</f>
        <v>0.11</v>
      </c>
    </row>
    <row r="15" spans="1:70">
      <c r="A15" s="42" t="s">
        <v>121</v>
      </c>
      <c r="B15" s="70">
        <v>0.0852</v>
      </c>
      <c r="C15" s="40" t="s">
        <v>122</v>
      </c>
      <c r="D15" s="40"/>
      <c r="F15" s="80"/>
      <c r="H15" s="81"/>
      <c r="I15" s="75"/>
      <c r="J15" s="76"/>
      <c r="K15">
        <f>$L15*VLOOKUP($R15,武学奇术!$A:$ZZ,31,FALSE)</f>
        <v>27712.9491230268</v>
      </c>
      <c r="L15" s="39">
        <f t="shared" si="0"/>
        <v>27712.9491230268</v>
      </c>
      <c r="M15" s="39">
        <f>((($AO15+($AP15-$AO15)*IF(VLOOKUP($R15,武学奇术!$A:$ZZ,31,FALSE)=1,$F$18,0.5))*$AI15+$AJ15)*(1+$AQ15)*(1+$AR15)+(($AT15+($AU15-$AT15)*IF(VLOOKUP($R15,武学奇术!$A:$ZZ,31,FALSE)=1,$F$18,0.5))*IF($G$1="鸣金",$AK15,$AI15)+IF($G$1="鸣金",$AL15*1.5,0))*(1+$AV15)*(1+$AW15)+(($AX15+($AY15-$AX15)*IF(VLOOKUP($R15,武学奇术!$A:$ZZ,31,FALSE)=1,$F$18,0.5))*IF($G$1="裂石",$AK15,$AI15)+IF($G$1="裂石",$AL15*1.5,0))*(1+$AZ15)*(1+$BA15)+(($BB15+($BC15-$BB15)*IF(VLOOKUP($R15,武学奇术!$A:$ZZ,31,FALSE)=1,$F$18,0.5))*IF($G$1="牵丝",$AK15,$AI15)+IF($G$1="牵丝",$AL15*1.5,0))*(1+$BD15)*(1+$BE15)+(($BF15+($BG15-$BF15)*IF(VLOOKUP($R15,武学奇术!$A:$ZZ,31,FALSE)=1,$F$18,0.5))*IF($G$1="破竹",$AK15,$AI15)+IF($G$1="破竹",$AL15*1.5,0))*(1+$BH15)*(1+$BI15))*(1+$AM15)*$BL15*$Q15*(1+IF(VLOOKUP($R15,武学奇术!$A:$ZZ,30,FALSE)="蓄力技",$B$21,0))*(1+$BR15)</f>
        <v>27812.6031491499</v>
      </c>
      <c r="N15" s="39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27116.0478610009</v>
      </c>
      <c r="O15" s="39">
        <f>((($AO15+($AP15-$AO15)*IF(VLOOKUP($R15,武学奇术!$A:$ZZ,31,FALSE)=1,$F$18,0.5))*$AI15+$AJ15)*(1+$AQ15)*(1+$AR15)+(($AT15+($AU15-$AT15)*IF(VLOOKUP($R15,武学奇术!$A:$ZZ,31,FALSE)=1,$F$18,0.5))*IF($G$1="鸣金",$AK15,$AI15)+IF($G$1="鸣金",$AL15*1.5,0))*(1+$AV15)*(1+$AW15)+(($AX15+($AY15-$AX15)*IF(VLOOKUP($R15,武学奇术!$A:$ZZ,31,FALSE)=1,$F$18,0.5))*IF($G$1="裂石",$AK15,$AI15)+IF($G$1="裂石",$AL15*1.5,0))*(1+$AZ15)*(1+$BA15)+(($BB15+($BC15-$BB15)*IF(VLOOKUP($R15,武学奇术!$A:$ZZ,31,FALSE)=1,$F$18,0.5))*IF($G$1="牵丝",$AK15,$AI15)+IF($G$1="牵丝",$AL15*1.5,0))*(1+$BD15)*(1+$BE15)+(($BF15+($BG15-$BF15)*IF(VLOOKUP($R15,武学奇术!$A:$ZZ,31,FALSE)=1,$F$18,0.5))*IF($G$1="破竹",$AK15,$AI15)+IF($G$1="破竹",$AL15*1.5,0))*(1+$BH15)*(1+$BI15))*(1+$AM15)*$Q15*(1+IF(VLOOKUP($R15,武学奇术!$A:$ZZ,30,FALSE)="蓄力技",$B$21,0))*(1+$BR15)</f>
        <v>17828.5917622756</v>
      </c>
      <c r="P15" s="39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15571.2221460319</v>
      </c>
      <c r="Q15" s="40">
        <v>1</v>
      </c>
      <c r="R15" s="41" t="s">
        <v>115</v>
      </c>
      <c r="S15" s="41" t="s">
        <v>88</v>
      </c>
      <c r="T15" s="41" t="s">
        <v>73</v>
      </c>
      <c r="U15" s="41" t="s">
        <v>73</v>
      </c>
      <c r="V15" s="41" t="s">
        <v>74</v>
      </c>
      <c r="W15" s="41" t="s">
        <v>73</v>
      </c>
      <c r="X15" s="41" t="s">
        <v>73</v>
      </c>
      <c r="Y15" s="41" t="s">
        <v>82</v>
      </c>
      <c r="Z15" s="41" t="s">
        <v>83</v>
      </c>
      <c r="AA15" s="41" t="s">
        <v>73</v>
      </c>
      <c r="AB15" s="41" t="s">
        <v>90</v>
      </c>
      <c r="AC15" s="41" t="s">
        <v>73</v>
      </c>
      <c r="AD15" s="41" t="s">
        <v>73</v>
      </c>
      <c r="AE15" s="41" t="s">
        <v>76</v>
      </c>
      <c r="AF15" s="41" t="s">
        <v>77</v>
      </c>
      <c r="AG15" s="41" t="s">
        <v>78</v>
      </c>
      <c r="AH15" t="str">
        <f>VLOOKUP($R15,武学奇术!$A:$ZZ,25,FALSE)</f>
        <v>拳甲</v>
      </c>
      <c r="AI15" s="27">
        <f>VLOOKUP($R15,武学奇术!$A:$ZZ,26,FALSE)</f>
        <v>1.2876</v>
      </c>
      <c r="AJ15" s="28">
        <f>VLOOKUP($R15,武学奇术!$A:$ZZ,27,FALSE)*(1+IF(OR($AH15=$F$4,$AH15=$F$5),$B$22,0))</f>
        <v>537</v>
      </c>
      <c r="AK15" s="27">
        <f>VLOOKUP($R15,武学奇术!$A:$ZZ,28,FALSE)</f>
        <v>1.9313</v>
      </c>
      <c r="AL15" s="28">
        <f>VLOOKUP($R15,武学奇术!$A:$ZZ,29,FALSE)*(1+IF(OR($AH15=$F$4,$AH15=$F$5),$B$22,0))</f>
        <v>292.5</v>
      </c>
      <c r="AM15" s="27" cm="1">
        <f t="array" ref="AM15">$G$3+IFERROR(VLOOKUP($AH15,$F$4:$G$7,2,FALSE),0)+VLOOKUP($R15,武学奇术!$A:$ZZ,2,FALSE)+SUM(_xlfn.XLOOKUP($S15:$AG15,增益!$A:$A,增益!$B:$B,0))</f>
        <v>0.4041</v>
      </c>
      <c r="AN15" s="27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3888.382</v>
      </c>
      <c r="AP15" cm="1">
        <f t="array" ref="AP15">$E$10*(1+$AN15)+VLOOKUP($R15,武学奇术!$A:$ZZ,4,FALSE)+SUM(_xlfn.XLOOKUP($S15:$AG15,增益!$A:$A,增益!$D:$D,0))-$I$2</f>
        <v>3888.382</v>
      </c>
      <c r="AQ15" s="33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0.297</v>
      </c>
      <c r="AR15" s="33" cm="1">
        <f t="array" ref="AR15">$G$10+VLOOKUP($R15,武学奇术!$A:$ZZ,7,FALSE)+SUM(_xlfn.XLOOKUP(S15:AG15,增益!$A:$A,增益!$G:$G,0))</f>
        <v>0.09</v>
      </c>
      <c r="AS15" s="27" cm="1">
        <f t="array" ref="AS15">VLOOKUP($R15,武学奇术!$A:$ZZ,8,FALSE)+SUM(_xlfn.XLOOKUP(S15:AG15,增益!$A:$A,增益!$H:$H,0))</f>
        <v>0</v>
      </c>
      <c r="AT15">
        <f t="shared" si="1"/>
        <v>0</v>
      </c>
      <c r="AU15">
        <f t="shared" si="2"/>
        <v>0</v>
      </c>
      <c r="AV15" s="33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-0.14</v>
      </c>
      <c r="AW15" s="33" cm="1">
        <f t="array" ref="AW15">$G$11+VLOOKUP($R15,武学奇术!$A:$ZZ,10,FALSE)+SUM(_xlfn.XLOOKUP(S15:AG15,增益!$A:$A,增益!$J:$J,0))</f>
        <v>0</v>
      </c>
      <c r="AX15">
        <f t="shared" si="3"/>
        <v>0</v>
      </c>
      <c r="AY15">
        <f t="shared" si="4"/>
        <v>0</v>
      </c>
      <c r="AZ15" s="33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-0.14</v>
      </c>
      <c r="BA15" s="33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3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-0.14</v>
      </c>
      <c r="BE15" s="33" cm="1">
        <f t="array" ref="BE15">$G$13+VLOOKUP($R15,武学奇术!$A:$ZZ,14,FALSE)+SUM(_xlfn.XLOOKUP(S15:AG15,增益!$A:$A,增益!$N:$N,0))</f>
        <v>0</v>
      </c>
      <c r="BF15">
        <f t="shared" si="7"/>
        <v>605.472</v>
      </c>
      <c r="BG15">
        <f t="shared" si="8"/>
        <v>1725.468</v>
      </c>
      <c r="BH15" s="33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0.08</v>
      </c>
      <c r="BI15" s="33" cm="1">
        <f t="array" ref="BI15">$G$14+VLOOKUP($R15,武学奇术!$A:$ZZ,16,FALSE)+SUM(_xlfn.XLOOKUP(S15:AG15,增益!$A:$A,增益!$P:$P,0))</f>
        <v>0.24</v>
      </c>
      <c r="BJ15" s="27">
        <f>MIN(IF(VLOOKUP($R15,武学奇术!$A:$ZZ,23,FALSE)=1,100%,$B$8),100%)</f>
        <v>1</v>
      </c>
      <c r="BK15" s="27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+MIN(IF(VLOOKUP($R15,武学奇术!$A:$ZZ,32,FALSE)=1,IF(VLOOKUP($R15,武学奇术!$A:$ZZ,24,FALSE)=1,100%,MIN(40%,$B$10+VLOOKUP($R15,武学奇术!$A:$ZZ,19,FALSE)+SUM(_xlfn.XLOOKUP(S15:AG15,增益!$A:$A,增益!$S:$S,0)))+$B$12+SUM(_xlfn.XLOOKUP(S15:AG15,增益!$A:$A,增益!$V:$V,0))),0),12%)</f>
        <v>0.9036</v>
      </c>
      <c r="BL15" s="27" cm="1">
        <f t="array" ref="BL15">1+$B$13+VLOOKUP($R15,武学奇术!$A:$ZZ,18,FALSE)+SUM(_xlfn.XLOOKUP(S15:AG15,增益!$A:$A,增益!$R:$R,0))</f>
        <v>1.56</v>
      </c>
      <c r="BM15" s="27" cm="1">
        <f t="array" ref="BM15">MAX(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-IF(VLOOKUP($R15,武学奇术!$A:$ZZ,32,FALSE)=1,12%,0),0)</f>
        <v>0.0929</v>
      </c>
      <c r="BN15" s="27" cm="1">
        <f t="array" ref="BN15">1+$B$14+VLOOKUP($R15,武学奇术!$A:$ZZ,20,FALSE)+SUM(_xlfn.XLOOKUP(S15:AG15,增益!$A:$A,增益!$T:$T,0))</f>
        <v>1.35</v>
      </c>
      <c r="BO15" s="27">
        <f t="shared" si="9"/>
        <v>0.9036</v>
      </c>
      <c r="BP15" s="27">
        <f t="shared" si="10"/>
        <v>0.00350000000000006</v>
      </c>
      <c r="BQ15" s="27">
        <f>IF(VLOOKUP($R15,武学奇术!$A:$ZZ,22,FALSE)=1,0,(1-$BJ15))*(1-$BM15)</f>
        <v>0</v>
      </c>
      <c r="BR15" s="27" cm="1">
        <f t="array" ref="BR15">SUM(_xlfn.XLOOKUP(S15:AG15,增益!$A:$A,增益!$W:$W,0))+$I$5</f>
        <v>0.11</v>
      </c>
    </row>
    <row r="16" spans="1:70">
      <c r="A16" s="42" t="s">
        <v>123</v>
      </c>
      <c r="B16" s="70">
        <v>0.0887</v>
      </c>
      <c r="C16" s="40" t="s">
        <v>124</v>
      </c>
      <c r="D16" s="80" t="s">
        <v>125</v>
      </c>
      <c r="E16" s="40" t="s">
        <v>126</v>
      </c>
      <c r="F16" s="80" t="s">
        <v>125</v>
      </c>
      <c r="H16" s="68" t="s">
        <v>127</v>
      </c>
      <c r="I16" s="82">
        <f>I12/142795.87</f>
        <v>0.999999983490461</v>
      </c>
      <c r="J16" s="83"/>
      <c r="K16">
        <f>$L16*VLOOKUP($R16,武学奇术!$A:$ZZ,31,FALSE)</f>
        <v>96302.1651001915</v>
      </c>
      <c r="L16" s="39">
        <f t="shared" si="0"/>
        <v>74078.5885386088</v>
      </c>
      <c r="M16" s="39">
        <f>((($AO16+($AP16-$AO16)*IF(VLOOKUP($R16,武学奇术!$A:$ZZ,31,FALSE)=1,$F$18,0.5))*$AI16+$AJ16)*(1+$AQ16)*(1+$AR16)+(($AT16+($AU16-$AT16)*IF(VLOOKUP($R16,武学奇术!$A:$ZZ,31,FALSE)=1,$F$18,0.5))*IF($G$1="鸣金",$AK16,$AI16)+IF($G$1="鸣金",$AL16*1.5,0))*(1+$AV16)*(1+$AW16)+(($AX16+($AY16-$AX16)*IF(VLOOKUP($R16,武学奇术!$A:$ZZ,31,FALSE)=1,$F$18,0.5))*IF($G$1="裂石",$AK16,$AI16)+IF($G$1="裂石",$AL16*1.5,0))*(1+$AZ16)*(1+$BA16)+(($BB16+($BC16-$BB16)*IF(VLOOKUP($R16,武学奇术!$A:$ZZ,31,FALSE)=1,$F$18,0.5))*IF($G$1="牵丝",$AK16,$AI16)+IF($G$1="牵丝",$AL16*1.5,0))*(1+$BD16)*(1+$BE16)+(($BF16+($BG16-$BF16)*IF(VLOOKUP($R16,武学奇术!$A:$ZZ,31,FALSE)=1,$F$18,0.5))*IF($G$1="破竹",$AK16,$AI16)+IF($G$1="破竹",$AL16*1.5,0))*(1+$BH16)*(1+$BI16))*(1+$AM16)*$BL16*$Q16*(1+IF(VLOOKUP($R16,武学奇术!$A:$ZZ,30,FALSE)="蓄力技",$B$21,0))*(1+$BR16)</f>
        <v>75392.9997850329</v>
      </c>
      <c r="N16" s="39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62557.6467693272</v>
      </c>
      <c r="O16" s="39">
        <f>((($AO16+($AP16-$AO16)*IF(VLOOKUP($R16,武学奇术!$A:$ZZ,31,FALSE)=1,$F$18,0.5))*$AI16+$AJ16)*(1+$AQ16)*(1+$AR16)+(($AT16+($AU16-$AT16)*IF(VLOOKUP($R16,武学奇术!$A:$ZZ,31,FALSE)=1,$F$18,0.5))*IF($G$1="鸣金",$AK16,$AI16)+IF($G$1="鸣金",$AL16*1.5,0))*(1+$AV16)*(1+$AW16)+(($AX16+($AY16-$AX16)*IF(VLOOKUP($R16,武学奇术!$A:$ZZ,31,FALSE)=1,$F$18,0.5))*IF($G$1="裂石",$AK16,$AI16)+IF($G$1="裂石",$AL16*1.5,0))*(1+$AZ16)*(1+$BA16)+(($BB16+($BC16-$BB16)*IF(VLOOKUP($R16,武学奇术!$A:$ZZ,31,FALSE)=1,$F$18,0.5))*IF($G$1="牵丝",$AK16,$AI16)+IF($G$1="牵丝",$AL16*1.5,0))*(1+$BD16)*(1+$BE16)+(($BF16+($BG16-$BF16)*IF(VLOOKUP($R16,武学奇术!$A:$ZZ,31,FALSE)=1,$F$18,0.5))*IF($G$1="破竹",$AK16,$AI16)+IF($G$1="破竹",$AL16*1.5,0))*(1+$BH16)*(1+$BI16))*(1+$AM16)*$Q16*(1+IF(VLOOKUP($R16,武学奇术!$A:$ZZ,30,FALSE)="蓄力技",$B$21,0))*(1+$BR16)</f>
        <v>40533.8708521682</v>
      </c>
      <c r="P16" s="39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34728.7440974274</v>
      </c>
      <c r="Q16" s="40">
        <v>1</v>
      </c>
      <c r="R16" s="41" t="s">
        <v>117</v>
      </c>
      <c r="S16" s="41" t="s">
        <v>94</v>
      </c>
      <c r="T16" s="41" t="s">
        <v>73</v>
      </c>
      <c r="U16" s="41" t="s">
        <v>73</v>
      </c>
      <c r="V16" s="41" t="s">
        <v>74</v>
      </c>
      <c r="W16" s="41" t="s">
        <v>73</v>
      </c>
      <c r="X16" s="41" t="s">
        <v>73</v>
      </c>
      <c r="Y16" s="41" t="s">
        <v>82</v>
      </c>
      <c r="Z16" s="41" t="s">
        <v>83</v>
      </c>
      <c r="AA16" s="41" t="s">
        <v>105</v>
      </c>
      <c r="AB16" s="41" t="s">
        <v>90</v>
      </c>
      <c r="AC16" s="41" t="s">
        <v>73</v>
      </c>
      <c r="AD16" s="41" t="s">
        <v>73</v>
      </c>
      <c r="AE16" s="41" t="s">
        <v>76</v>
      </c>
      <c r="AF16" s="41" t="s">
        <v>77</v>
      </c>
      <c r="AG16" s="41" t="s">
        <v>78</v>
      </c>
      <c r="AH16" t="str">
        <f>VLOOKUP($R16,武学奇术!$A:$ZZ,25,FALSE)</f>
        <v>拳甲</v>
      </c>
      <c r="AI16" s="27">
        <f>VLOOKUP($R16,武学奇术!$A:$ZZ,26,FALSE)</f>
        <v>2.638944</v>
      </c>
      <c r="AJ16" s="28">
        <f>VLOOKUP($R16,武学奇术!$A:$ZZ,27,FALSE)*(1+IF(OR($AH16=$F$4,$AH16=$F$5),$B$22,0))</f>
        <v>0</v>
      </c>
      <c r="AK16" s="27">
        <f>VLOOKUP($R16,武学奇术!$A:$ZZ,28,FALSE)</f>
        <v>3.958416</v>
      </c>
      <c r="AL16" s="28">
        <f>VLOOKUP($R16,武学奇术!$A:$ZZ,29,FALSE)*(1+IF(OR($AH16=$F$4,$AH16=$F$5),$B$22,0))</f>
        <v>0</v>
      </c>
      <c r="AM16" s="27" cm="1">
        <f t="array" ref="AM16">$G$3+IFERROR(VLOOKUP($AH16,$F$4:$G$7,2,FALSE),0)+VLOOKUP($R16,武学奇术!$A:$ZZ,2,FALSE)+SUM(_xlfn.XLOOKUP($S16:$AG16,增益!$A:$A,增益!$B:$B,0))</f>
        <v>0.7141</v>
      </c>
      <c r="AN16" s="27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3888.382</v>
      </c>
      <c r="AP16" cm="1">
        <f t="array" ref="AP16">$E$10*(1+$AN16)+VLOOKUP($R16,武学奇术!$A:$ZZ,4,FALSE)+SUM(_xlfn.XLOOKUP($S16:$AG16,增益!$A:$A,增益!$D:$D,0))-$I$2</f>
        <v>3888.382</v>
      </c>
      <c r="AQ16" s="33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0.337</v>
      </c>
      <c r="AR16" s="33" cm="1">
        <f t="array" ref="AR16">$G$10+VLOOKUP($R16,武学奇术!$A:$ZZ,7,FALSE)+SUM(_xlfn.XLOOKUP(S16:AG16,增益!$A:$A,增益!$G:$G,0))</f>
        <v>0.09</v>
      </c>
      <c r="AS16" s="27" cm="1">
        <f t="array" ref="AS16">VLOOKUP($R16,武学奇术!$A:$ZZ,8,FALSE)+SUM(_xlfn.XLOOKUP(S16:AG16,增益!$A:$A,增益!$H:$H,0))</f>
        <v>0</v>
      </c>
      <c r="AT16">
        <f t="shared" si="1"/>
        <v>0</v>
      </c>
      <c r="AU16">
        <f t="shared" si="2"/>
        <v>0</v>
      </c>
      <c r="AV16" s="33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-0.08</v>
      </c>
      <c r="AW16" s="33" cm="1">
        <f t="array" ref="AW16">$G$11+VLOOKUP($R16,武学奇术!$A:$ZZ,10,FALSE)+SUM(_xlfn.XLOOKUP(S16:AG16,增益!$A:$A,增益!$J:$J,0))</f>
        <v>0</v>
      </c>
      <c r="AX16">
        <f t="shared" si="3"/>
        <v>0</v>
      </c>
      <c r="AY16">
        <f t="shared" si="4"/>
        <v>0</v>
      </c>
      <c r="AZ16" s="33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-0.08</v>
      </c>
      <c r="BA16" s="33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3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-0.08</v>
      </c>
      <c r="BE16" s="33" cm="1">
        <f t="array" ref="BE16">$G$13+VLOOKUP($R16,武学奇术!$A:$ZZ,14,FALSE)+SUM(_xlfn.XLOOKUP(S16:AG16,增益!$A:$A,增益!$N:$N,0))</f>
        <v>0</v>
      </c>
      <c r="BF16">
        <f t="shared" si="7"/>
        <v>605.472</v>
      </c>
      <c r="BG16">
        <f t="shared" si="8"/>
        <v>1725.468</v>
      </c>
      <c r="BH16" s="33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0.11</v>
      </c>
      <c r="BI16" s="33" cm="1">
        <f t="array" ref="BI16">$G$14+VLOOKUP($R16,武学奇术!$A:$ZZ,16,FALSE)+SUM(_xlfn.XLOOKUP(S16:AG16,增益!$A:$A,增益!$P:$P,0))</f>
        <v>0.24</v>
      </c>
      <c r="BJ16" s="27">
        <f>MIN(IF(VLOOKUP($R16,武学奇术!$A:$ZZ,23,FALSE)=1,100%,$B$8),100%)</f>
        <v>1</v>
      </c>
      <c r="BK16" s="27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+MIN(IF(VLOOKUP($R16,武学奇术!$A:$ZZ,32,FALSE)=1,IF(VLOOKUP($R16,武学奇术!$A:$ZZ,24,FALSE)=1,100%,MIN(40%,$B$10+VLOOKUP($R16,武学奇术!$A:$ZZ,19,FALSE)+SUM(_xlfn.XLOOKUP(S16:AG16,增益!$A:$A,增益!$S:$S,0)))+$B$12+SUM(_xlfn.XLOOKUP(S16:AG16,增益!$A:$A,增益!$V:$V,0))),0),12%)</f>
        <v>0.9036</v>
      </c>
      <c r="BL16" s="27" cm="1">
        <f t="array" ref="BL16">1+$B$13+VLOOKUP($R16,武学奇术!$A:$ZZ,18,FALSE)+SUM(_xlfn.XLOOKUP(S16:AG16,增益!$A:$A,增益!$R:$R,0))</f>
        <v>1.86</v>
      </c>
      <c r="BM16" s="27" cm="1">
        <f t="array" ref="BM16">MAX(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-IF(VLOOKUP($R16,武学奇术!$A:$ZZ,32,FALSE)=1,12%,0),0)</f>
        <v>0.0929</v>
      </c>
      <c r="BN16" s="27" cm="1">
        <f t="array" ref="BN16">1+$B$14+VLOOKUP($R16,武学奇术!$A:$ZZ,20,FALSE)+SUM(_xlfn.XLOOKUP(S16:AG16,增益!$A:$A,增益!$T:$T,0))</f>
        <v>1.35</v>
      </c>
      <c r="BO16" s="27">
        <f t="shared" si="9"/>
        <v>0.9036</v>
      </c>
      <c r="BP16" s="27">
        <f t="shared" si="10"/>
        <v>0.00350000000000006</v>
      </c>
      <c r="BQ16" s="27">
        <f>IF(VLOOKUP($R16,武学奇术!$A:$ZZ,22,FALSE)=1,0,(1-$BJ16))*(1-$BM16)</f>
        <v>0</v>
      </c>
      <c r="BR16" s="27" cm="1">
        <f t="array" ref="BR16">SUM(_xlfn.XLOOKUP(S16:AG16,增益!$A:$A,增益!$W:$W,0))+$I$5</f>
        <v>0.11</v>
      </c>
    </row>
    <row r="17" spans="1:70">
      <c r="A17" s="42" t="s">
        <v>128</v>
      </c>
      <c r="B17" s="70">
        <v>0.0852</v>
      </c>
      <c r="C17" s="40" t="s">
        <v>129</v>
      </c>
      <c r="D17" s="80" t="s">
        <v>125</v>
      </c>
      <c r="E17" s="40" t="s">
        <v>130</v>
      </c>
      <c r="F17" s="80" t="s">
        <v>125</v>
      </c>
      <c r="H17" s="71"/>
      <c r="I17" s="84"/>
      <c r="J17" s="85"/>
      <c r="K17">
        <f>$L17*VLOOKUP($R17,武学奇术!$A:$ZZ,31,FALSE)</f>
        <v>882997.96357757</v>
      </c>
      <c r="L17" s="39">
        <f t="shared" si="0"/>
        <v>1044968.00423381</v>
      </c>
      <c r="M17" s="39">
        <f>((($AO17+($AP17-$AO17)*IF(VLOOKUP($R17,武学奇术!$A:$ZZ,31,FALSE)=1,$F$18,0.5))*$AI17+$AJ17)*(1+$AQ17)*(1+$AR17)+(($AT17+($AU17-$AT17)*IF(VLOOKUP($R17,武学奇术!$A:$ZZ,31,FALSE)=1,$F$18,0.5))*IF($G$1="鸣金",$AK17,$AI17)+IF($G$1="鸣金",$AL17*1.5,0))*(1+$AV17)*(1+$AW17)+(($AX17+($AY17-$AX17)*IF(VLOOKUP($R17,武学奇术!$A:$ZZ,31,FALSE)=1,$F$18,0.5))*IF($G$1="裂石",$AK17,$AI17)+IF($G$1="裂石",$AL17*1.5,0))*(1+$AZ17)*(1+$BA17)+(($BB17+($BC17-$BB17)*IF(VLOOKUP($R17,武学奇术!$A:$ZZ,31,FALSE)=1,$F$18,0.5))*IF($G$1="牵丝",$AK17,$AI17)+IF($G$1="牵丝",$AL17*1.5,0))*(1+$BD17)*(1+$BE17)+(($BF17+($BG17-$BF17)*IF(VLOOKUP($R17,武学奇术!$A:$ZZ,31,FALSE)=1,$F$18,0.5))*IF($G$1="破竹",$AK17,$AI17)+IF($G$1="破竹",$AL17*1.5,0))*(1+$BH17)*(1+$BI17))*(1+$AM17)*$BL17*$Q17*(1+IF(VLOOKUP($R17,武学奇术!$A:$ZZ,30,FALSE)="蓄力技",$B$21,0))*(1+$BR17)</f>
        <v>1047053.08408228</v>
      </c>
      <c r="N17" s="39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681326.33224014</v>
      </c>
      <c r="O17" s="39">
        <f>((($AO17+($AP17-$AO17)*IF(VLOOKUP($R17,武学奇术!$A:$ZZ,31,FALSE)=1,$F$18,0.5))*$AI17+$AJ17)*(1+$AQ17)*(1+$AR17)+(($AT17+($AU17-$AT17)*IF(VLOOKUP($R17,武学奇术!$A:$ZZ,31,FALSE)=1,$F$18,0.5))*IF($G$1="鸣金",$AK17,$AI17)+IF($G$1="鸣金",$AL17*1.5,0))*(1+$AV17)*(1+$AW17)+(($AX17+($AY17-$AX17)*IF(VLOOKUP($R17,武学奇术!$A:$ZZ,31,FALSE)=1,$F$18,0.5))*IF($G$1="裂石",$AK17,$AI17)+IF($G$1="裂石",$AL17*1.5,0))*(1+$AZ17)*(1+$BA17)+(($BB17+($BC17-$BB17)*IF(VLOOKUP($R17,武学奇术!$A:$ZZ,31,FALSE)=1,$F$18,0.5))*IF($G$1="牵丝",$AK17,$AI17)+IF($G$1="牵丝",$AL17*1.5,0))*(1+$BD17)*(1+$BE17)+(($BF17+($BG17-$BF17)*IF(VLOOKUP($R17,武学奇术!$A:$ZZ,31,FALSE)=1,$F$18,0.5))*IF($G$1="破竹",$AK17,$AI17)+IF($G$1="破竹",$AL17*1.5,0))*(1+$BH17)*(1+$BI17))*(1+$AM17)*$Q17*(1+IF(VLOOKUP($R17,武学奇术!$A:$ZZ,30,FALSE)="蓄力技",$B$21,0))*(1+$BR17)</f>
        <v>451315.984518226</v>
      </c>
      <c r="P17" s="39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397945.797006719</v>
      </c>
      <c r="Q17" s="40">
        <v>1</v>
      </c>
      <c r="R17" s="41" t="s">
        <v>131</v>
      </c>
      <c r="S17" s="41" t="s">
        <v>97</v>
      </c>
      <c r="T17" s="41" t="s">
        <v>132</v>
      </c>
      <c r="U17" s="41" t="s">
        <v>133</v>
      </c>
      <c r="V17" s="41" t="s">
        <v>74</v>
      </c>
      <c r="W17" s="41" t="s">
        <v>73</v>
      </c>
      <c r="X17" s="41" t="s">
        <v>73</v>
      </c>
      <c r="Y17" s="41" t="s">
        <v>89</v>
      </c>
      <c r="Z17" s="41" t="s">
        <v>83</v>
      </c>
      <c r="AA17" s="41" t="s">
        <v>105</v>
      </c>
      <c r="AB17" s="41" t="s">
        <v>90</v>
      </c>
      <c r="AC17" s="41" t="s">
        <v>73</v>
      </c>
      <c r="AD17" s="41" t="s">
        <v>73</v>
      </c>
      <c r="AE17" s="41" t="s">
        <v>76</v>
      </c>
      <c r="AF17" s="41" t="s">
        <v>77</v>
      </c>
      <c r="AG17" s="41" t="s">
        <v>78</v>
      </c>
      <c r="AH17" t="str">
        <f>VLOOKUP($R17,武学奇术!$A:$ZZ,25,FALSE)</f>
        <v>拳甲</v>
      </c>
      <c r="AI17" s="27">
        <f>VLOOKUP($R17,武学奇术!$A:$ZZ,26,FALSE)</f>
        <v>16.8107</v>
      </c>
      <c r="AJ17" s="28">
        <f>VLOOKUP($R17,武学奇术!$A:$ZZ,27,FALSE)*(1+IF(OR($AH17=$F$4,$AH17=$F$5),$B$22,0))</f>
        <v>6970.5</v>
      </c>
      <c r="AK17" s="27">
        <f>VLOOKUP($R17,武学奇术!$A:$ZZ,28,FALSE)</f>
        <v>25.2161</v>
      </c>
      <c r="AL17" s="28">
        <f>VLOOKUP($R17,武学奇术!$A:$ZZ,29,FALSE)*(1+IF(OR($AH17=$F$4,$AH17=$F$5),$B$22,0))</f>
        <v>3799.5</v>
      </c>
      <c r="AM17" s="27" cm="1">
        <f t="array" ref="AM17">$G$3+IFERROR(VLOOKUP($AH17,$F$4:$G$7,2,FALSE),0)+VLOOKUP($R17,武学奇术!$A:$ZZ,2,FALSE)+SUM(_xlfn.XLOOKUP($S17:$AG17,增益!$A:$A,增益!$B:$B,0))</f>
        <v>0.8741</v>
      </c>
      <c r="AN17" s="27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3888.382</v>
      </c>
      <c r="AP17" cm="1">
        <f t="array" ref="AP17">$E$10*(1+$AN17)+VLOOKUP($R17,武学奇术!$A:$ZZ,4,FALSE)+SUM(_xlfn.XLOOKUP($S17:$AG17,增益!$A:$A,增益!$D:$D,0))-$I$2</f>
        <v>3888.382</v>
      </c>
      <c r="AQ17" s="33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0.472</v>
      </c>
      <c r="AR17" s="33" cm="1">
        <f t="array" ref="AR17">$G$10+VLOOKUP($R17,武学奇术!$A:$ZZ,7,FALSE)+SUM(_xlfn.XLOOKUP(S17:AG17,增益!$A:$A,增益!$G:$G,0))</f>
        <v>0.09</v>
      </c>
      <c r="AS17" s="27" cm="1">
        <f t="array" ref="AS17">VLOOKUP($R17,武学奇术!$A:$ZZ,8,FALSE)+SUM(_xlfn.XLOOKUP(S17:AG17,增益!$A:$A,增益!$H:$H,0))</f>
        <v>0</v>
      </c>
      <c r="AT17">
        <f t="shared" si="1"/>
        <v>0</v>
      </c>
      <c r="AU17">
        <f t="shared" si="2"/>
        <v>0</v>
      </c>
      <c r="AV17" s="33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-0.08</v>
      </c>
      <c r="AW17" s="33" cm="1">
        <f t="array" ref="AW17">$G$11+VLOOKUP($R17,武学奇术!$A:$ZZ,10,FALSE)+SUM(_xlfn.XLOOKUP(S17:AG17,增益!$A:$A,增益!$J:$J,0))</f>
        <v>0</v>
      </c>
      <c r="AX17">
        <f t="shared" si="3"/>
        <v>0</v>
      </c>
      <c r="AY17">
        <f t="shared" si="4"/>
        <v>0</v>
      </c>
      <c r="AZ17" s="33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-0.08</v>
      </c>
      <c r="BA17" s="33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3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-0.08</v>
      </c>
      <c r="BE17" s="33" cm="1">
        <f t="array" ref="BE17">$G$13+VLOOKUP($R17,武学奇术!$A:$ZZ,14,FALSE)+SUM(_xlfn.XLOOKUP(S17:AG17,增益!$A:$A,增益!$N:$N,0))</f>
        <v>0</v>
      </c>
      <c r="BF17">
        <f t="shared" si="7"/>
        <v>605.472</v>
      </c>
      <c r="BG17">
        <f t="shared" si="8"/>
        <v>1725.468</v>
      </c>
      <c r="BH17" s="33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0.11</v>
      </c>
      <c r="BI17" s="33" cm="1">
        <f t="array" ref="BI17">$G$14+VLOOKUP($R17,武学奇术!$A:$ZZ,16,FALSE)+SUM(_xlfn.XLOOKUP(S17:AG17,增益!$A:$A,增益!$P:$P,0))</f>
        <v>0.24</v>
      </c>
      <c r="BJ17" s="27">
        <f>MIN(IF(VLOOKUP($R17,武学奇术!$A:$ZZ,23,FALSE)=1,100%,$B$8),100%)</f>
        <v>1</v>
      </c>
      <c r="BK17" s="27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+MIN(IF(VLOOKUP($R17,武学奇术!$A:$ZZ,32,FALSE)=1,IF(VLOOKUP($R17,武学奇术!$A:$ZZ,24,FALSE)=1,100%,MIN(40%,$B$10+VLOOKUP($R17,武学奇术!$A:$ZZ,19,FALSE)+SUM(_xlfn.XLOOKUP(S17:AG17,增益!$A:$A,增益!$S:$S,0)))+$B$12+SUM(_xlfn.XLOOKUP(S17:AG17,增益!$A:$A,增益!$V:$V,0))),0),12%)</f>
        <v>0.9965</v>
      </c>
      <c r="BL17" s="27" cm="1">
        <f t="array" ref="BL17">1+$B$13+VLOOKUP($R17,武学奇术!$A:$ZZ,18,FALSE)+SUM(_xlfn.XLOOKUP(S17:AG17,增益!$A:$A,增益!$R:$R,0))</f>
        <v>2.32</v>
      </c>
      <c r="BM17" s="27" cm="1">
        <f t="array" ref="BM17">MAX(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-IF(VLOOKUP($R17,武学奇术!$A:$ZZ,32,FALSE)=1,12%,0),0)</f>
        <v>0</v>
      </c>
      <c r="BN17" s="27" cm="1">
        <f t="array" ref="BN17">1+$B$14+VLOOKUP($R17,武学奇术!$A:$ZZ,20,FALSE)+SUM(_xlfn.XLOOKUP(S17:AG17,增益!$A:$A,增益!$T:$T,0))</f>
        <v>1.35</v>
      </c>
      <c r="BO17" s="27">
        <f t="shared" si="9"/>
        <v>0.9965</v>
      </c>
      <c r="BP17" s="27">
        <f t="shared" si="10"/>
        <v>0.00350000000000006</v>
      </c>
      <c r="BQ17" s="27">
        <f>IF(VLOOKUP($R17,武学奇术!$A:$ZZ,22,FALSE)=1,0,(1-$BJ17))*(1-$BM17)</f>
        <v>0</v>
      </c>
      <c r="BR17" s="27" cm="1">
        <f t="array" ref="BR17">SUM(_xlfn.XLOOKUP(S17:AG17,增益!$A:$A,增益!$W:$W,0))+$I$5</f>
        <v>0.11</v>
      </c>
    </row>
    <row r="18" spans="1:70">
      <c r="A18" s="42" t="s">
        <v>134</v>
      </c>
      <c r="B18" s="70">
        <v>0</v>
      </c>
      <c r="C18" s="40" t="s">
        <v>135</v>
      </c>
      <c r="D18" s="80" t="s">
        <v>125</v>
      </c>
      <c r="E18" s="40" t="s">
        <v>136</v>
      </c>
      <c r="F18" s="86">
        <v>0.5</v>
      </c>
      <c r="H18" s="68" t="s">
        <v>137</v>
      </c>
      <c r="I18" s="37">
        <v>50</v>
      </c>
      <c r="J18" s="38"/>
      <c r="K18">
        <f>$L18*VLOOKUP($R18,武学奇术!$A:$ZZ,31,FALSE)</f>
        <v>201163.045020278</v>
      </c>
      <c r="L18" s="39">
        <f t="shared" si="0"/>
        <v>402326.090040556</v>
      </c>
      <c r="M18" s="39">
        <f>((($AO18+($AP18-$AO18)*IF(VLOOKUP($R18,武学奇术!$A:$ZZ,31,FALSE)=1,$F$18,0.5))*$AI18+$AJ18)*(1+$AQ18)*(1+$AR18)+(($AT18+($AU18-$AT18)*IF(VLOOKUP($R18,武学奇术!$A:$ZZ,31,FALSE)=1,$F$18,0.5))*IF($G$1="鸣金",$AK18,$AI18)+IF($G$1="鸣金",$AL18*1.5,0))*(1+$AV18)*(1+$AW18)+(($AX18+($AY18-$AX18)*IF(VLOOKUP($R18,武学奇术!$A:$ZZ,31,FALSE)=1,$F$18,0.5))*IF($G$1="裂石",$AK18,$AI18)+IF($G$1="裂石",$AL18*1.5,0))*(1+$AZ18)*(1+$BA18)+(($BB18+($BC18-$BB18)*IF(VLOOKUP($R18,武学奇术!$A:$ZZ,31,FALSE)=1,$F$18,0.5))*IF($G$1="牵丝",$AK18,$AI18)+IF($G$1="牵丝",$AL18*1.5,0))*(1+$BD18)*(1+$BE18)+(($BF18+($BG18-$BF18)*IF(VLOOKUP($R18,武学奇术!$A:$ZZ,31,FALSE)=1,$F$18,0.5))*IF($G$1="破竹",$AK18,$AI18)+IF($G$1="破竹",$AL18*1.5,0))*(1+$BH18)*(1+$BI18))*(1+$AM18)*$BL18*$Q18*(1+IF(VLOOKUP($R18,武学奇术!$A:$ZZ,30,FALSE)="蓄力技",$B$21,0))*(1+$BR18)</f>
        <v>403128.872536728</v>
      </c>
      <c r="N18" s="39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262318.688657941</v>
      </c>
      <c r="O18" s="39">
        <f>((($AO18+($AP18-$AO18)*IF(VLOOKUP($R18,武学奇术!$A:$ZZ,31,FALSE)=1,$F$18,0.5))*$AI18+$AJ18)*(1+$AQ18)*(1+$AR18)+(($AT18+($AU18-$AT18)*IF(VLOOKUP($R18,武学奇术!$A:$ZZ,31,FALSE)=1,$F$18,0.5))*IF($G$1="鸣金",$AK18,$AI18)+IF($G$1="鸣金",$AL18*1.5,0))*(1+$AV18)*(1+$AW18)+(($AX18+($AY18-$AX18)*IF(VLOOKUP($R18,武学奇术!$A:$ZZ,31,FALSE)=1,$F$18,0.5))*IF($G$1="裂石",$AK18,$AI18)+IF($G$1="裂石",$AL18*1.5,0))*(1+$AZ18)*(1+$BA18)+(($BB18+($BC18-$BB18)*IF(VLOOKUP($R18,武学奇术!$A:$ZZ,31,FALSE)=1,$F$18,0.5))*IF($G$1="牵丝",$AK18,$AI18)+IF($G$1="牵丝",$AL18*1.5,0))*(1+$BD18)*(1+$BE18)+(($BF18+($BG18-$BF18)*IF(VLOOKUP($R18,武学奇术!$A:$ZZ,31,FALSE)=1,$F$18,0.5))*IF($G$1="破竹",$AK18,$AI18)+IF($G$1="破竹",$AL18*1.5,0))*(1+$BH18)*(1+$BI18))*(1+$AM18)*$Q18*(1+IF(VLOOKUP($R18,武学奇术!$A:$ZZ,30,FALSE)="蓄力技",$B$21,0))*(1+$BR18)</f>
        <v>173762.445058934</v>
      </c>
      <c r="P18" s="39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153214.750371246</v>
      </c>
      <c r="Q18" s="40">
        <v>1</v>
      </c>
      <c r="R18" s="41" t="s">
        <v>138</v>
      </c>
      <c r="S18" s="41" t="s">
        <v>97</v>
      </c>
      <c r="T18" s="41" t="s">
        <v>132</v>
      </c>
      <c r="U18" s="41" t="s">
        <v>133</v>
      </c>
      <c r="V18" s="41" t="s">
        <v>74</v>
      </c>
      <c r="W18" s="41" t="s">
        <v>73</v>
      </c>
      <c r="X18" s="41" t="s">
        <v>73</v>
      </c>
      <c r="Y18" s="41" t="s">
        <v>89</v>
      </c>
      <c r="Z18" s="41" t="s">
        <v>83</v>
      </c>
      <c r="AA18" s="41" t="s">
        <v>105</v>
      </c>
      <c r="AB18" s="41" t="s">
        <v>90</v>
      </c>
      <c r="AC18" s="41" t="s">
        <v>73</v>
      </c>
      <c r="AD18" s="41" t="s">
        <v>73</v>
      </c>
      <c r="AE18" s="41" t="s">
        <v>76</v>
      </c>
      <c r="AF18" s="41" t="s">
        <v>77</v>
      </c>
      <c r="AG18" s="41" t="s">
        <v>78</v>
      </c>
      <c r="AH18" t="str">
        <f>VLOOKUP($R18,武学奇术!$A:$ZZ,25,FALSE)</f>
        <v>拳甲</v>
      </c>
      <c r="AI18" s="27">
        <f>VLOOKUP($R18,武学奇术!$A:$ZZ,26,FALSE)</f>
        <v>6.4722</v>
      </c>
      <c r="AJ18" s="28">
        <f>VLOOKUP($R18,武学奇术!$A:$ZZ,27,FALSE)*(1+IF(OR($AH18=$F$4,$AH18=$F$5),$B$22,0))</f>
        <v>2683.8</v>
      </c>
      <c r="AK18" s="27">
        <f>VLOOKUP($R18,武学奇术!$A:$ZZ,28,FALSE)</f>
        <v>9.70828</v>
      </c>
      <c r="AL18" s="28">
        <f>VLOOKUP($R18,武学奇术!$A:$ZZ,29,FALSE)*(1+IF(OR($AH18=$F$4,$AH18=$F$5),$B$22,0))</f>
        <v>1463.4</v>
      </c>
      <c r="AM18" s="27" cm="1">
        <f t="array" ref="AM18">$G$3+IFERROR(VLOOKUP($AH18,$F$4:$G$7,2,FALSE),0)+VLOOKUP($R18,武学奇术!$A:$ZZ,2,FALSE)+SUM(_xlfn.XLOOKUP($S18:$AG18,增益!$A:$A,增益!$B:$B,0))</f>
        <v>0.8741</v>
      </c>
      <c r="AN18" s="27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3888.382</v>
      </c>
      <c r="AP18" cm="1">
        <f t="array" ref="AP18">$E$10*(1+$AN18)+VLOOKUP($R18,武学奇术!$A:$ZZ,4,FALSE)+SUM(_xlfn.XLOOKUP($S18:$AG18,增益!$A:$A,增益!$D:$D,0))-$I$2</f>
        <v>3888.382</v>
      </c>
      <c r="AQ18" s="33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0.472</v>
      </c>
      <c r="AR18" s="33" cm="1">
        <f t="array" ref="AR18">$G$10+VLOOKUP($R18,武学奇术!$A:$ZZ,7,FALSE)+SUM(_xlfn.XLOOKUP(S18:AG18,增益!$A:$A,增益!$G:$G,0))</f>
        <v>0.09</v>
      </c>
      <c r="AS18" s="27" cm="1">
        <f t="array" ref="AS18">VLOOKUP($R18,武学奇术!$A:$ZZ,8,FALSE)+SUM(_xlfn.XLOOKUP(S18:AG18,增益!$A:$A,增益!$H:$H,0))</f>
        <v>0</v>
      </c>
      <c r="AT18">
        <f t="shared" si="1"/>
        <v>0</v>
      </c>
      <c r="AU18">
        <f t="shared" si="2"/>
        <v>0</v>
      </c>
      <c r="AV18" s="33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-0.08</v>
      </c>
      <c r="AW18" s="33" cm="1">
        <f t="array" ref="AW18">$G$11+VLOOKUP($R18,武学奇术!$A:$ZZ,10,FALSE)+SUM(_xlfn.XLOOKUP(S18:AG18,增益!$A:$A,增益!$J:$J,0))</f>
        <v>0</v>
      </c>
      <c r="AX18">
        <f t="shared" si="3"/>
        <v>0</v>
      </c>
      <c r="AY18">
        <f t="shared" si="4"/>
        <v>0</v>
      </c>
      <c r="AZ18" s="33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-0.08</v>
      </c>
      <c r="BA18" s="33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3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-0.08</v>
      </c>
      <c r="BE18" s="33" cm="1">
        <f t="array" ref="BE18">$G$13+VLOOKUP($R18,武学奇术!$A:$ZZ,14,FALSE)+SUM(_xlfn.XLOOKUP(S18:AG18,增益!$A:$A,增益!$N:$N,0))</f>
        <v>0</v>
      </c>
      <c r="BF18">
        <f t="shared" si="7"/>
        <v>605.472</v>
      </c>
      <c r="BG18">
        <f t="shared" si="8"/>
        <v>1725.468</v>
      </c>
      <c r="BH18" s="33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0.11</v>
      </c>
      <c r="BI18" s="33" cm="1">
        <f t="array" ref="BI18">$G$14+VLOOKUP($R18,武学奇术!$A:$ZZ,16,FALSE)+SUM(_xlfn.XLOOKUP(S18:AG18,增益!$A:$A,增益!$P:$P,0))</f>
        <v>0.24</v>
      </c>
      <c r="BJ18" s="27">
        <f>MIN(IF(VLOOKUP($R18,武学奇术!$A:$ZZ,23,FALSE)=1,100%,$B$8),100%)</f>
        <v>1</v>
      </c>
      <c r="BK18" s="27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+MIN(IF(VLOOKUP($R18,武学奇术!$A:$ZZ,32,FALSE)=1,IF(VLOOKUP($R18,武学奇术!$A:$ZZ,24,FALSE)=1,100%,MIN(40%,$B$10+VLOOKUP($R18,武学奇术!$A:$ZZ,19,FALSE)+SUM(_xlfn.XLOOKUP(S18:AG18,增益!$A:$A,增益!$S:$S,0)))+$B$12+SUM(_xlfn.XLOOKUP(S18:AG18,增益!$A:$A,增益!$V:$V,0))),0),12%)</f>
        <v>0.9965</v>
      </c>
      <c r="BL18" s="27" cm="1">
        <f t="array" ref="BL18">1+$B$13+VLOOKUP($R18,武学奇术!$A:$ZZ,18,FALSE)+SUM(_xlfn.XLOOKUP(S18:AG18,增益!$A:$A,增益!$R:$R,0))</f>
        <v>2.32</v>
      </c>
      <c r="BM18" s="27" cm="1">
        <f t="array" ref="BM18">MAX(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-IF(VLOOKUP($R18,武学奇术!$A:$ZZ,32,FALSE)=1,12%,0),0)</f>
        <v>0</v>
      </c>
      <c r="BN18" s="27" cm="1">
        <f t="array" ref="BN18">1+$B$14+VLOOKUP($R18,武学奇术!$A:$ZZ,20,FALSE)+SUM(_xlfn.XLOOKUP(S18:AG18,增益!$A:$A,增益!$T:$T,0))</f>
        <v>1.35</v>
      </c>
      <c r="BO18" s="27">
        <f t="shared" si="9"/>
        <v>0.9965</v>
      </c>
      <c r="BP18" s="27">
        <f t="shared" si="10"/>
        <v>0.00350000000000006</v>
      </c>
      <c r="BQ18" s="27">
        <f>IF(VLOOKUP($R18,武学奇术!$A:$ZZ,22,FALSE)=1,0,(1-$BJ18))*(1-$BM18)</f>
        <v>0</v>
      </c>
      <c r="BR18" s="27" cm="1">
        <f t="array" ref="BR18">SUM(_xlfn.XLOOKUP(S18:AG18,增益!$A:$A,增益!$W:$W,0))+$I$5</f>
        <v>0.11</v>
      </c>
    </row>
    <row r="19" ht="14.25" spans="1:70">
      <c r="A19" s="42" t="s">
        <v>139</v>
      </c>
      <c r="B19" s="70">
        <v>0</v>
      </c>
      <c r="C19" s="40" t="s">
        <v>140</v>
      </c>
      <c r="D19" s="80" t="s">
        <v>125</v>
      </c>
      <c r="H19" s="71"/>
      <c r="I19" s="81"/>
      <c r="J19" s="95"/>
      <c r="K19">
        <f>$L19*VLOOKUP($R19,武学奇术!$A:$ZZ,31,FALSE)</f>
        <v>73285.965505696</v>
      </c>
      <c r="L19" s="39">
        <f t="shared" si="0"/>
        <v>73285.965505696</v>
      </c>
      <c r="M19" s="39">
        <f>((($AO19+($AP19-$AO19)*IF(VLOOKUP($R19,武学奇术!$A:$ZZ,31,FALSE)=1,$F$18,0.5))*$AI19+$AJ19)*(1+$AQ19)*(1+$AR19)+(($AT19+($AU19-$AT19)*IF(VLOOKUP($R19,武学奇术!$A:$ZZ,31,FALSE)=1,$F$18,0.5))*IF($G$1="鸣金",$AK19,$AI19)+IF($G$1="鸣金",$AL19*1.5,0))*(1+$AV19)*(1+$AW19)+(($AX19+($AY19-$AX19)*IF(VLOOKUP($R19,武学奇术!$A:$ZZ,31,FALSE)=1,$F$18,0.5))*IF($G$1="裂石",$AK19,$AI19)+IF($G$1="裂石",$AL19*1.5,0))*(1+$AZ19)*(1+$BA19)+(($BB19+($BC19-$BB19)*IF(VLOOKUP($R19,武学奇术!$A:$ZZ,31,FALSE)=1,$F$18,0.5))*IF($G$1="牵丝",$AK19,$AI19)+IF($G$1="牵丝",$AL19*1.5,0))*(1+$BD19)*(1+$BE19)+(($BF19+($BG19-$BF19)*IF(VLOOKUP($R19,武学奇术!$A:$ZZ,31,FALSE)=1,$F$18,0.5))*IF($G$1="破竹",$AK19,$AI19)+IF($G$1="破竹",$AL19*1.5,0))*(1+$BH19)*(1+$BI19))*(1+$AM19)*$BL19*$Q19*(1+IF(VLOOKUP($R19,武学奇术!$A:$ZZ,30,FALSE)="蓄力技",$B$21,0))*(1+$BR19)</f>
        <v>74620.6848499548</v>
      </c>
      <c r="N19" s="39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61528.4985840689</v>
      </c>
      <c r="O19" s="39">
        <f>((($AO19+($AP19-$AO19)*IF(VLOOKUP($R19,武学奇术!$A:$ZZ,31,FALSE)=1,$F$18,0.5))*$AI19+$AJ19)*(1+$AQ19)*(1+$AR19)+(($AT19+($AU19-$AT19)*IF(VLOOKUP($R19,武学奇术!$A:$ZZ,31,FALSE)=1,$F$18,0.5))*IF($G$1="鸣金",$AK19,$AI19)+IF($G$1="鸣金",$AL19*1.5,0))*(1+$AV19)*(1+$AW19)+(($AX19+($AY19-$AX19)*IF(VLOOKUP($R19,武学奇术!$A:$ZZ,31,FALSE)=1,$F$18,0.5))*IF($G$1="裂石",$AK19,$AI19)+IF($G$1="裂石",$AL19*1.5,0))*(1+$AZ19)*(1+$BA19)+(($BB19+($BC19-$BB19)*IF(VLOOKUP($R19,武学奇术!$A:$ZZ,31,FALSE)=1,$F$18,0.5))*IF($G$1="牵丝",$AK19,$AI19)+IF($G$1="牵丝",$AL19*1.5,0))*(1+$BD19)*(1+$BE19)+(($BF19+($BG19-$BF19)*IF(VLOOKUP($R19,武学奇术!$A:$ZZ,31,FALSE)=1,$F$18,0.5))*IF($G$1="破竹",$AK19,$AI19)+IF($G$1="破竹",$AL19*1.5,0))*(1+$BH19)*(1+$BI19))*(1+$AM19)*$Q19*(1+IF(VLOOKUP($R19,武学奇术!$A:$ZZ,30,FALSE)="蓄力技",$B$21,0))*(1+$BR19)</f>
        <v>40776.330519101</v>
      </c>
      <c r="P19" s="39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35975.9954203732</v>
      </c>
      <c r="Q19" s="40">
        <v>1</v>
      </c>
      <c r="R19" s="41" t="s">
        <v>120</v>
      </c>
      <c r="S19" s="41" t="s">
        <v>97</v>
      </c>
      <c r="T19" s="41" t="s">
        <v>132</v>
      </c>
      <c r="U19" s="41" t="s">
        <v>133</v>
      </c>
      <c r="V19" s="41" t="s">
        <v>74</v>
      </c>
      <c r="W19" s="41" t="s">
        <v>73</v>
      </c>
      <c r="X19" s="41" t="s">
        <v>73</v>
      </c>
      <c r="Y19" s="41" t="s">
        <v>95</v>
      </c>
      <c r="Z19" s="41" t="s">
        <v>83</v>
      </c>
      <c r="AA19" s="41" t="s">
        <v>73</v>
      </c>
      <c r="AB19" s="41" t="s">
        <v>84</v>
      </c>
      <c r="AC19" s="41" t="s">
        <v>73</v>
      </c>
      <c r="AD19" s="41" t="s">
        <v>73</v>
      </c>
      <c r="AE19" s="41" t="s">
        <v>76</v>
      </c>
      <c r="AF19" s="41" t="s">
        <v>77</v>
      </c>
      <c r="AG19" s="41" t="s">
        <v>78</v>
      </c>
      <c r="AH19" t="str">
        <f>VLOOKUP($R19,武学奇术!$A:$ZZ,25,FALSE)</f>
        <v>拳甲</v>
      </c>
      <c r="AI19" s="27">
        <f>VLOOKUP($R19,武学奇术!$A:$ZZ,26,FALSE)</f>
        <v>2.4421</v>
      </c>
      <c r="AJ19" s="28">
        <f>VLOOKUP($R19,武学奇术!$A:$ZZ,27,FALSE)*(1+IF(OR($AH19=$F$4,$AH19=$F$5),$B$22,0))</f>
        <v>1012.5</v>
      </c>
      <c r="AK19" s="27">
        <f>VLOOKUP($R19,武学奇术!$A:$ZZ,28,FALSE)</f>
        <v>3.6634</v>
      </c>
      <c r="AL19" s="28">
        <f>VLOOKUP($R19,武学奇术!$A:$ZZ,29,FALSE)*(1+IF(OR($AH19=$F$4,$AH19=$F$5),$B$22,0))</f>
        <v>549</v>
      </c>
      <c r="AM19" s="27" cm="1">
        <f t="array" ref="AM19">$G$3+IFERROR(VLOOKUP($AH19,$F$4:$G$7,2,FALSE),0)+VLOOKUP($R19,武学奇术!$A:$ZZ,2,FALSE)+SUM(_xlfn.XLOOKUP($S19:$AG19,增益!$A:$A,增益!$B:$B,0))</f>
        <v>0.5741</v>
      </c>
      <c r="AN19" s="27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3888.382</v>
      </c>
      <c r="AP19" cm="1">
        <f t="array" ref="AP19">$E$10*(1+$AN19)+VLOOKUP($R19,武学奇术!$A:$ZZ,4,FALSE)+SUM(_xlfn.XLOOKUP($S19:$AG19,增益!$A:$A,增益!$D:$D,0))-$I$2</f>
        <v>3888.382</v>
      </c>
      <c r="AQ19" s="33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0.442</v>
      </c>
      <c r="AR19" s="33" cm="1">
        <f t="array" ref="AR19">$G$10+VLOOKUP($R19,武学奇术!$A:$ZZ,7,FALSE)+SUM(_xlfn.XLOOKUP(S19:AG19,增益!$A:$A,增益!$G:$G,0))</f>
        <v>0.09</v>
      </c>
      <c r="AS19" s="27" cm="1">
        <f t="array" ref="AS19">VLOOKUP($R19,武学奇术!$A:$ZZ,8,FALSE)+SUM(_xlfn.XLOOKUP(S19:AG19,增益!$A:$A,增益!$H:$H,0))</f>
        <v>0</v>
      </c>
      <c r="AT19">
        <f t="shared" si="1"/>
        <v>0</v>
      </c>
      <c r="AU19">
        <f t="shared" si="2"/>
        <v>0</v>
      </c>
      <c r="AV19" s="33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-0.14</v>
      </c>
      <c r="AW19" s="33" cm="1">
        <f t="array" ref="AW19">$G$11+VLOOKUP($R19,武学奇术!$A:$ZZ,10,FALSE)+SUM(_xlfn.XLOOKUP(S19:AG19,增益!$A:$A,增益!$J:$J,0))</f>
        <v>0</v>
      </c>
      <c r="AX19">
        <f t="shared" si="3"/>
        <v>0</v>
      </c>
      <c r="AY19">
        <f t="shared" si="4"/>
        <v>0</v>
      </c>
      <c r="AZ19" s="33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-0.14</v>
      </c>
      <c r="BA19" s="33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3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-0.14</v>
      </c>
      <c r="BE19" s="33" cm="1">
        <f t="array" ref="BE19">$G$13+VLOOKUP($R19,武学奇术!$A:$ZZ,14,FALSE)+SUM(_xlfn.XLOOKUP(S19:AG19,增益!$A:$A,增益!$N:$N,0))</f>
        <v>0</v>
      </c>
      <c r="BF19">
        <f t="shared" si="7"/>
        <v>605.472</v>
      </c>
      <c r="BG19">
        <f t="shared" si="8"/>
        <v>1725.468</v>
      </c>
      <c r="BH19" s="33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0.08</v>
      </c>
      <c r="BI19" s="33" cm="1">
        <f t="array" ref="BI19">$G$14+VLOOKUP($R19,武学奇术!$A:$ZZ,16,FALSE)+SUM(_xlfn.XLOOKUP(S19:AG19,增益!$A:$A,增益!$P:$P,0))</f>
        <v>0.24</v>
      </c>
      <c r="BJ19" s="27">
        <f>MIN(IF(VLOOKUP($R19,武学奇术!$A:$ZZ,23,FALSE)=1,100%,$B$8),100%)</f>
        <v>1</v>
      </c>
      <c r="BK19" s="27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+MIN(IF(VLOOKUP($R19,武学奇术!$A:$ZZ,32,FALSE)=1,IF(VLOOKUP($R19,武学奇术!$A:$ZZ,24,FALSE)=1,100%,MIN(40%,$B$10+VLOOKUP($R19,武学奇术!$A:$ZZ,19,FALSE)+SUM(_xlfn.XLOOKUP(S19:AG19,增益!$A:$A,增益!$S:$S,0)))+$B$12+SUM(_xlfn.XLOOKUP(S19:AG19,增益!$A:$A,增益!$V:$V,0))),0),12%)</f>
        <v>0.9036</v>
      </c>
      <c r="BL19" s="27" cm="1">
        <f t="array" ref="BL19">1+$B$13+VLOOKUP($R19,武学奇术!$A:$ZZ,18,FALSE)+SUM(_xlfn.XLOOKUP(S19:AG19,增益!$A:$A,增益!$R:$R,0))</f>
        <v>1.83</v>
      </c>
      <c r="BM19" s="27" cm="1">
        <f t="array" ref="BM19">MAX(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-IF(VLOOKUP($R19,武学奇术!$A:$ZZ,32,FALSE)=1,12%,0),0)</f>
        <v>0.0929</v>
      </c>
      <c r="BN19" s="27" cm="1">
        <f t="array" ref="BN19">1+$B$14+VLOOKUP($R19,武学奇术!$A:$ZZ,20,FALSE)+SUM(_xlfn.XLOOKUP(S19:AG19,增益!$A:$A,增益!$T:$T,0))</f>
        <v>1.35</v>
      </c>
      <c r="BO19" s="27">
        <f t="shared" si="9"/>
        <v>0.9036</v>
      </c>
      <c r="BP19" s="27">
        <f t="shared" si="10"/>
        <v>0.00350000000000006</v>
      </c>
      <c r="BQ19" s="27">
        <f>IF(VLOOKUP($R19,武学奇术!$A:$ZZ,22,FALSE)=1,0,(1-$BJ19))*(1-$BM19)</f>
        <v>0</v>
      </c>
      <c r="BR19" s="27" cm="1">
        <f t="array" ref="BR19">SUM(_xlfn.XLOOKUP(S19:AG19,增益!$A:$A,增益!$W:$W,0))+$I$5</f>
        <v>0.11</v>
      </c>
    </row>
    <row r="20" spans="1:70">
      <c r="A20" s="42" t="s">
        <v>141</v>
      </c>
      <c r="B20" s="70">
        <v>0</v>
      </c>
      <c r="C20" s="40" t="s">
        <v>142</v>
      </c>
      <c r="D20" s="80" t="s">
        <v>125</v>
      </c>
      <c r="H20" s="68" t="s">
        <v>143</v>
      </c>
      <c r="I20" s="82">
        <f>SUM(K:K)/SUM(L:L)</f>
        <v>0.912926847911368</v>
      </c>
      <c r="J20" s="83"/>
      <c r="K20">
        <f>$L20*VLOOKUP($R20,武学奇术!$A:$ZZ,31,FALSE)</f>
        <v>31940.6779498142</v>
      </c>
      <c r="L20" s="39">
        <f t="shared" si="0"/>
        <v>31940.6779498142</v>
      </c>
      <c r="M20" s="39">
        <f>((($AO20+($AP20-$AO20)*IF(VLOOKUP($R20,武学奇术!$A:$ZZ,31,FALSE)=1,$F$18,0.5))*$AI20+$AJ20)*(1+$AQ20)*(1+$AR20)+(($AT20+($AU20-$AT20)*IF(VLOOKUP($R20,武学奇术!$A:$ZZ,31,FALSE)=1,$F$18,0.5))*IF($G$1="鸣金",$AK20,$AI20)+IF($G$1="鸣金",$AL20*1.5,0))*(1+$AV20)*(1+$AW20)+(($AX20+($AY20-$AX20)*IF(VLOOKUP($R20,武学奇术!$A:$ZZ,31,FALSE)=1,$F$18,0.5))*IF($G$1="裂石",$AK20,$AI20)+IF($G$1="裂石",$AL20*1.5,0))*(1+$AZ20)*(1+$BA20)+(($BB20+($BC20-$BB20)*IF(VLOOKUP($R20,武学奇术!$A:$ZZ,31,FALSE)=1,$F$18,0.5))*IF($G$1="牵丝",$AK20,$AI20)+IF($G$1="牵丝",$AL20*1.5,0))*(1+$BD20)*(1+$BE20)+(($BF20+($BG20-$BF20)*IF(VLOOKUP($R20,武学奇术!$A:$ZZ,31,FALSE)=1,$F$18,0.5))*IF($G$1="破竹",$AK20,$AI20)+IF($G$1="破竹",$AL20*1.5,0))*(1+$BH20)*(1+$BI20))*(1+$AM20)*$BL20*$Q20*(1+IF(VLOOKUP($R20,武学奇术!$A:$ZZ,30,FALSE)="蓄力技",$B$21,0))*(1+$BR20)</f>
        <v>32115.3444338774</v>
      </c>
      <c r="N20" s="39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30684.1610866345</v>
      </c>
      <c r="O20" s="39">
        <f>((($AO20+($AP20-$AO20)*IF(VLOOKUP($R20,武学奇术!$A:$ZZ,31,FALSE)=1,$F$18,0.5))*$AI20+$AJ20)*(1+$AQ20)*(1+$AR20)+(($AT20+($AU20-$AT20)*IF(VLOOKUP($R20,武学奇术!$A:$ZZ,31,FALSE)=1,$F$18,0.5))*IF($G$1="鸣金",$AK20,$AI20)+IF($G$1="鸣金",$AL20*1.5,0))*(1+$AV20)*(1+$AW20)+(($AX20+($AY20-$AX20)*IF(VLOOKUP($R20,武学奇术!$A:$ZZ,31,FALSE)=1,$F$18,0.5))*IF($G$1="裂石",$AK20,$AI20)+IF($G$1="裂石",$AL20*1.5,0))*(1+$AZ20)*(1+$BA20)+(($BB20+($BC20-$BB20)*IF(VLOOKUP($R20,武学奇术!$A:$ZZ,31,FALSE)=1,$F$18,0.5))*IF($G$1="牵丝",$AK20,$AI20)+IF($G$1="牵丝",$AL20*1.5,0))*(1+$BD20)*(1+$BE20)+(($BF20+($BG20-$BF20)*IF(VLOOKUP($R20,武学奇术!$A:$ZZ,31,FALSE)=1,$F$18,0.5))*IF($G$1="破竹",$AK20,$AI20)+IF($G$1="破竹",$AL20*1.5,0))*(1+$BH20)*(1+$BI20))*(1+$AM20)*$Q20*(1+IF(VLOOKUP($R20,武学奇术!$A:$ZZ,30,FALSE)="蓄力技",$B$21,0))*(1+$BR20)</f>
        <v>20198.3298326273</v>
      </c>
      <c r="P20" s="39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17667.6514529328</v>
      </c>
      <c r="Q20" s="40">
        <v>1</v>
      </c>
      <c r="R20" s="41" t="s">
        <v>115</v>
      </c>
      <c r="S20" s="41" t="s">
        <v>97</v>
      </c>
      <c r="T20" s="41" t="s">
        <v>73</v>
      </c>
      <c r="U20" s="41" t="s">
        <v>133</v>
      </c>
      <c r="V20" s="41" t="s">
        <v>74</v>
      </c>
      <c r="W20" s="41" t="s">
        <v>73</v>
      </c>
      <c r="X20" s="41" t="s">
        <v>73</v>
      </c>
      <c r="Y20" s="41" t="s">
        <v>144</v>
      </c>
      <c r="Z20" s="41" t="s">
        <v>83</v>
      </c>
      <c r="AA20" s="41" t="s">
        <v>73</v>
      </c>
      <c r="AB20" s="41" t="s">
        <v>84</v>
      </c>
      <c r="AC20" s="41" t="s">
        <v>73</v>
      </c>
      <c r="AD20" s="41" t="s">
        <v>73</v>
      </c>
      <c r="AE20" s="41" t="s">
        <v>76</v>
      </c>
      <c r="AF20" s="41" t="s">
        <v>77</v>
      </c>
      <c r="AG20" s="41" t="s">
        <v>78</v>
      </c>
      <c r="AH20" t="str">
        <f>VLOOKUP($R20,武学奇术!$A:$ZZ,25,FALSE)</f>
        <v>拳甲</v>
      </c>
      <c r="AI20" s="27">
        <f>VLOOKUP($R20,武学奇术!$A:$ZZ,26,FALSE)</f>
        <v>1.2876</v>
      </c>
      <c r="AJ20" s="28">
        <f>VLOOKUP($R20,武学奇术!$A:$ZZ,27,FALSE)*(1+IF(OR($AH20=$F$4,$AH20=$F$5),$B$22,0))</f>
        <v>537</v>
      </c>
      <c r="AK20" s="27">
        <f>VLOOKUP($R20,武学奇术!$A:$ZZ,28,FALSE)</f>
        <v>1.9313</v>
      </c>
      <c r="AL20" s="28">
        <f>VLOOKUP($R20,武学奇术!$A:$ZZ,29,FALSE)*(1+IF(OR($AH20=$F$4,$AH20=$F$5),$B$22,0))</f>
        <v>292.5</v>
      </c>
      <c r="AM20" s="27" cm="1">
        <f t="array" ref="AM20">$G$3+IFERROR(VLOOKUP($AH20,$F$4:$G$7,2,FALSE),0)+VLOOKUP($R20,武学奇术!$A:$ZZ,2,FALSE)+SUM(_xlfn.XLOOKUP($S20:$AG20,增益!$A:$A,增益!$B:$B,0))</f>
        <v>0.5741</v>
      </c>
      <c r="AN20" s="27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3888.382</v>
      </c>
      <c r="AP20" cm="1">
        <f t="array" ref="AP20">$E$10*(1+$AN20)+VLOOKUP($R20,武学奇术!$A:$ZZ,4,FALSE)+SUM(_xlfn.XLOOKUP($S20:$AG20,增益!$A:$A,增益!$D:$D,0))-$I$2</f>
        <v>3888.382</v>
      </c>
      <c r="AQ20" s="33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0.317</v>
      </c>
      <c r="AR20" s="33" cm="1">
        <f t="array" ref="AR20">$G$10+VLOOKUP($R20,武学奇术!$A:$ZZ,7,FALSE)+SUM(_xlfn.XLOOKUP(S20:AG20,增益!$A:$A,增益!$G:$G,0))</f>
        <v>0.09</v>
      </c>
      <c r="AS20" s="27" cm="1">
        <f t="array" ref="AS20">VLOOKUP($R20,武学奇术!$A:$ZZ,8,FALSE)+SUM(_xlfn.XLOOKUP(S20:AG20,增益!$A:$A,增益!$H:$H,0))</f>
        <v>0</v>
      </c>
      <c r="AT20">
        <f t="shared" si="1"/>
        <v>0</v>
      </c>
      <c r="AU20">
        <f t="shared" si="2"/>
        <v>0</v>
      </c>
      <c r="AV20" s="33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-0.14</v>
      </c>
      <c r="AW20" s="33" cm="1">
        <f t="array" ref="AW20">$G$11+VLOOKUP($R20,武学奇术!$A:$ZZ,10,FALSE)+SUM(_xlfn.XLOOKUP(S20:AG20,增益!$A:$A,增益!$J:$J,0))</f>
        <v>0</v>
      </c>
      <c r="AX20">
        <f t="shared" si="3"/>
        <v>0</v>
      </c>
      <c r="AY20">
        <f t="shared" si="4"/>
        <v>0</v>
      </c>
      <c r="AZ20" s="33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-0.14</v>
      </c>
      <c r="BA20" s="33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3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-0.14</v>
      </c>
      <c r="BE20" s="33" cm="1">
        <f t="array" ref="BE20">$G$13+VLOOKUP($R20,武学奇术!$A:$ZZ,14,FALSE)+SUM(_xlfn.XLOOKUP(S20:AG20,增益!$A:$A,增益!$N:$N,0))</f>
        <v>0</v>
      </c>
      <c r="BF20">
        <f t="shared" si="7"/>
        <v>605.472</v>
      </c>
      <c r="BG20">
        <f t="shared" si="8"/>
        <v>1725.468</v>
      </c>
      <c r="BH20" s="33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0.08</v>
      </c>
      <c r="BI20" s="33" cm="1">
        <f t="array" ref="BI20">$G$14+VLOOKUP($R20,武学奇术!$A:$ZZ,16,FALSE)+SUM(_xlfn.XLOOKUP(S20:AG20,增益!$A:$A,增益!$P:$P,0))</f>
        <v>0.24</v>
      </c>
      <c r="BJ20" s="27">
        <f>MIN(IF(VLOOKUP($R20,武学奇术!$A:$ZZ,23,FALSE)=1,100%,$B$8),100%)</f>
        <v>1</v>
      </c>
      <c r="BK20" s="27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+MIN(IF(VLOOKUP($R20,武学奇术!$A:$ZZ,32,FALSE)=1,IF(VLOOKUP($R20,武学奇术!$A:$ZZ,24,FALSE)=1,100%,MIN(40%,$B$10+VLOOKUP($R20,武学奇术!$A:$ZZ,19,FALSE)+SUM(_xlfn.XLOOKUP(S20:AG20,增益!$A:$A,增益!$S:$S,0)))+$B$12+SUM(_xlfn.XLOOKUP(S20:AG20,增益!$A:$A,增益!$V:$V,0))),0),12%)</f>
        <v>0.9036</v>
      </c>
      <c r="BL20" s="27" cm="1">
        <f t="array" ref="BL20">1+$B$13+VLOOKUP($R20,武学奇术!$A:$ZZ,18,FALSE)+SUM(_xlfn.XLOOKUP(S20:AG20,增益!$A:$A,增益!$R:$R,0))</f>
        <v>1.59</v>
      </c>
      <c r="BM20" s="27" cm="1">
        <f t="array" ref="BM20">MAX(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-IF(VLOOKUP($R20,武学奇术!$A:$ZZ,32,FALSE)=1,12%,0),0)</f>
        <v>0.0929</v>
      </c>
      <c r="BN20" s="27" cm="1">
        <f t="array" ref="BN20">1+$B$14+VLOOKUP($R20,武学奇术!$A:$ZZ,20,FALSE)+SUM(_xlfn.XLOOKUP(S20:AG20,增益!$A:$A,增益!$T:$T,0))</f>
        <v>1.35</v>
      </c>
      <c r="BO20" s="27">
        <f t="shared" si="9"/>
        <v>0.9036</v>
      </c>
      <c r="BP20" s="27">
        <f t="shared" si="10"/>
        <v>0.00350000000000006</v>
      </c>
      <c r="BQ20" s="27">
        <f>IF(VLOOKUP($R20,武学奇术!$A:$ZZ,22,FALSE)=1,0,(1-$BJ20))*(1-$BM20)</f>
        <v>0</v>
      </c>
      <c r="BR20" s="27" cm="1">
        <f t="array" ref="BR20">SUM(_xlfn.XLOOKUP(S20:AG20,增益!$A:$A,增益!$W:$W,0))+$I$5</f>
        <v>0.11</v>
      </c>
    </row>
    <row r="21" ht="14.25" spans="1:70">
      <c r="A21" s="87" t="s">
        <v>145</v>
      </c>
      <c r="B21" s="96">
        <v>0.32</v>
      </c>
      <c r="C21" s="40" t="s">
        <v>146</v>
      </c>
      <c r="D21" s="80" t="s">
        <v>147</v>
      </c>
      <c r="E21" s="40" t="s">
        <v>148</v>
      </c>
      <c r="F21" s="40"/>
      <c r="H21" s="71"/>
      <c r="I21" s="84"/>
      <c r="J21" s="85"/>
      <c r="K21">
        <f>$L21*VLOOKUP($R21,武学奇术!$A:$ZZ,31,FALSE)</f>
        <v>107408.660829982</v>
      </c>
      <c r="L21" s="39">
        <f t="shared" si="0"/>
        <v>82622.0467922937</v>
      </c>
      <c r="M21" s="39">
        <f>((($AO21+($AP21-$AO21)*IF(VLOOKUP($R21,武学奇术!$A:$ZZ,31,FALSE)=1,$F$18,0.5))*$AI21+$AJ21)*(1+$AQ21)*(1+$AR21)+(($AT21+($AU21-$AT21)*IF(VLOOKUP($R21,武学奇术!$A:$ZZ,31,FALSE)=1,$F$18,0.5))*IF($G$1="鸣金",$AK21,$AI21)+IF($G$1="鸣金",$AL21*1.5,0))*(1+$AV21)*(1+$AW21)+(($AX21+($AY21-$AX21)*IF(VLOOKUP($R21,武学奇术!$A:$ZZ,31,FALSE)=1,$F$18,0.5))*IF($G$1="裂石",$AK21,$AI21)+IF($G$1="裂石",$AL21*1.5,0))*(1+$AZ21)*(1+$BA21)+(($BB21+($BC21-$BB21)*IF(VLOOKUP($R21,武学奇术!$A:$ZZ,31,FALSE)=1,$F$18,0.5))*IF($G$1="牵丝",$AK21,$AI21)+IF($G$1="牵丝",$AL21*1.5,0))*(1+$BD21)*(1+$BE21)+(($BF21+($BG21-$BF21)*IF(VLOOKUP($R21,武学奇术!$A:$ZZ,31,FALSE)=1,$F$18,0.5))*IF($G$1="破竹",$AK21,$AI21)+IF($G$1="破竹",$AL21*1.5,0))*(1+$BH21)*(1+$BI21))*(1+$AM21)*$BL21*$Q21*(1+IF(VLOOKUP($R21,武学奇术!$A:$ZZ,30,FALSE)="蓄力技",$B$21,0))*(1+$BR21)</f>
        <v>84199.7126729042</v>
      </c>
      <c r="N21" s="39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68711.0982477802</v>
      </c>
      <c r="O21" s="39">
        <f>((($AO21+($AP21-$AO21)*IF(VLOOKUP($R21,武学奇术!$A:$ZZ,31,FALSE)=1,$F$18,0.5))*$AI21+$AJ21)*(1+$AQ21)*(1+$AR21)+(($AT21+($AU21-$AT21)*IF(VLOOKUP($R21,武学奇术!$A:$ZZ,31,FALSE)=1,$F$18,0.5))*IF($G$1="鸣金",$AK21,$AI21)+IF($G$1="鸣金",$AL21*1.5,0))*(1+$AV21)*(1+$AW21)+(($AX21+($AY21-$AX21)*IF(VLOOKUP($R21,武学奇术!$A:$ZZ,31,FALSE)=1,$F$18,0.5))*IF($G$1="裂石",$AK21,$AI21)+IF($G$1="裂石",$AL21*1.5,0))*(1+$AZ21)*(1+$BA21)+(($BB21+($BC21-$BB21)*IF(VLOOKUP($R21,武学奇术!$A:$ZZ,31,FALSE)=1,$F$18,0.5))*IF($G$1="牵丝",$AK21,$AI21)+IF($G$1="牵丝",$AL21*1.5,0))*(1+$BD21)*(1+$BE21)+(($BF21+($BG21-$BF21)*IF(VLOOKUP($R21,武学奇术!$A:$ZZ,31,FALSE)=1,$F$18,0.5))*IF($G$1="破竹",$AK21,$AI21)+IF($G$1="破竹",$AL21*1.5,0))*(1+$BH21)*(1+$BI21))*(1+$AM21)*$Q21*(1+IF(VLOOKUP($R21,武学奇术!$A:$ZZ,30,FALSE)="蓄力技",$B$21,0))*(1+$BR21)</f>
        <v>44550.1125253462</v>
      </c>
      <c r="P21" s="39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38203.1152375218</v>
      </c>
      <c r="Q21" s="40">
        <v>1</v>
      </c>
      <c r="R21" s="41" t="s">
        <v>117</v>
      </c>
      <c r="S21" s="41" t="s">
        <v>97</v>
      </c>
      <c r="T21" s="41" t="s">
        <v>73</v>
      </c>
      <c r="U21" s="41" t="s">
        <v>133</v>
      </c>
      <c r="V21" s="41" t="s">
        <v>74</v>
      </c>
      <c r="W21" s="41" t="s">
        <v>73</v>
      </c>
      <c r="X21" s="41" t="s">
        <v>73</v>
      </c>
      <c r="Y21" s="41" t="s">
        <v>144</v>
      </c>
      <c r="Z21" s="41" t="s">
        <v>83</v>
      </c>
      <c r="AA21" s="41" t="s">
        <v>105</v>
      </c>
      <c r="AB21" s="41" t="s">
        <v>84</v>
      </c>
      <c r="AC21" s="41" t="s">
        <v>73</v>
      </c>
      <c r="AD21" s="41" t="s">
        <v>73</v>
      </c>
      <c r="AE21" s="41" t="s">
        <v>76</v>
      </c>
      <c r="AF21" s="41" t="s">
        <v>77</v>
      </c>
      <c r="AG21" s="41" t="s">
        <v>78</v>
      </c>
      <c r="AH21" t="str">
        <f>VLOOKUP($R21,武学奇术!$A:$ZZ,25,FALSE)</f>
        <v>拳甲</v>
      </c>
      <c r="AI21" s="27">
        <f>VLOOKUP($R21,武学奇术!$A:$ZZ,26,FALSE)</f>
        <v>2.638944</v>
      </c>
      <c r="AJ21" s="28">
        <f>VLOOKUP($R21,武学奇术!$A:$ZZ,27,FALSE)*(1+IF(OR($AH21=$F$4,$AH21=$F$5),$B$22,0))</f>
        <v>0</v>
      </c>
      <c r="AK21" s="27">
        <f>VLOOKUP($R21,武学奇术!$A:$ZZ,28,FALSE)</f>
        <v>3.958416</v>
      </c>
      <c r="AL21" s="28">
        <f>VLOOKUP($R21,武学奇术!$A:$ZZ,29,FALSE)*(1+IF(OR($AH21=$F$4,$AH21=$F$5),$B$22,0))</f>
        <v>0</v>
      </c>
      <c r="AM21" s="27" cm="1">
        <f t="array" ref="AM21">$G$3+IFERROR(VLOOKUP($AH21,$F$4:$G$7,2,FALSE),0)+VLOOKUP($R21,武学奇术!$A:$ZZ,2,FALSE)+SUM(_xlfn.XLOOKUP($S21:$AG21,增益!$A:$A,增益!$B:$B,0))</f>
        <v>0.8741</v>
      </c>
      <c r="AN21" s="27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3888.382</v>
      </c>
      <c r="AP21" cm="1">
        <f t="array" ref="AP21">$E$10*(1+$AN21)+VLOOKUP($R21,武学奇术!$A:$ZZ,4,FALSE)+SUM(_xlfn.XLOOKUP($S21:$AG21,增益!$A:$A,增益!$D:$D,0))-$I$2</f>
        <v>3888.382</v>
      </c>
      <c r="AQ21" s="33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0.347</v>
      </c>
      <c r="AR21" s="33" cm="1">
        <f t="array" ref="AR21">$G$10+VLOOKUP($R21,武学奇术!$A:$ZZ,7,FALSE)+SUM(_xlfn.XLOOKUP(S21:AG21,增益!$A:$A,增益!$G:$G,0))</f>
        <v>0.09</v>
      </c>
      <c r="AS21" s="27" cm="1">
        <f t="array" ref="AS21">VLOOKUP($R21,武学奇术!$A:$ZZ,8,FALSE)+SUM(_xlfn.XLOOKUP(S21:AG21,增益!$A:$A,增益!$H:$H,0))</f>
        <v>0</v>
      </c>
      <c r="AT21">
        <f t="shared" si="1"/>
        <v>0</v>
      </c>
      <c r="AU21">
        <f t="shared" si="2"/>
        <v>0</v>
      </c>
      <c r="AV21" s="33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-0.08</v>
      </c>
      <c r="AW21" s="33" cm="1">
        <f t="array" ref="AW21">$G$11+VLOOKUP($R21,武学奇术!$A:$ZZ,10,FALSE)+SUM(_xlfn.XLOOKUP(S21:AG21,增益!$A:$A,增益!$J:$J,0))</f>
        <v>0</v>
      </c>
      <c r="AX21">
        <f t="shared" si="3"/>
        <v>0</v>
      </c>
      <c r="AY21">
        <f t="shared" si="4"/>
        <v>0</v>
      </c>
      <c r="AZ21" s="33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-0.08</v>
      </c>
      <c r="BA21" s="33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3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-0.08</v>
      </c>
      <c r="BE21" s="33" cm="1">
        <f t="array" ref="BE21">$G$13+VLOOKUP($R21,武学奇术!$A:$ZZ,14,FALSE)+SUM(_xlfn.XLOOKUP(S21:AG21,增益!$A:$A,增益!$N:$N,0))</f>
        <v>0</v>
      </c>
      <c r="BF21">
        <f t="shared" si="7"/>
        <v>605.472</v>
      </c>
      <c r="BG21">
        <f t="shared" si="8"/>
        <v>1725.468</v>
      </c>
      <c r="BH21" s="33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0.11</v>
      </c>
      <c r="BI21" s="33" cm="1">
        <f t="array" ref="BI21">$G$14+VLOOKUP($R21,武学奇术!$A:$ZZ,16,FALSE)+SUM(_xlfn.XLOOKUP(S21:AG21,增益!$A:$A,增益!$P:$P,0))</f>
        <v>0.24</v>
      </c>
      <c r="BJ21" s="27">
        <f>MIN(IF(VLOOKUP($R21,武学奇术!$A:$ZZ,23,FALSE)=1,100%,$B$8),100%)</f>
        <v>1</v>
      </c>
      <c r="BK21" s="27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+MIN(IF(VLOOKUP($R21,武学奇术!$A:$ZZ,32,FALSE)=1,IF(VLOOKUP($R21,武学奇术!$A:$ZZ,24,FALSE)=1,100%,MIN(40%,$B$10+VLOOKUP($R21,武学奇术!$A:$ZZ,19,FALSE)+SUM(_xlfn.XLOOKUP(S21:AG21,增益!$A:$A,增益!$S:$S,0)))+$B$12+SUM(_xlfn.XLOOKUP(S21:AG21,增益!$A:$A,增益!$V:$V,0))),0),12%)</f>
        <v>0.9036</v>
      </c>
      <c r="BL21" s="27" cm="1">
        <f t="array" ref="BL21">1+$B$13+VLOOKUP($R21,武学奇术!$A:$ZZ,18,FALSE)+SUM(_xlfn.XLOOKUP(S21:AG21,增益!$A:$A,增益!$R:$R,0))</f>
        <v>1.89</v>
      </c>
      <c r="BM21" s="27" cm="1">
        <f t="array" ref="BM21">MAX(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-IF(VLOOKUP($R21,武学奇术!$A:$ZZ,32,FALSE)=1,12%,0),0)</f>
        <v>0.0929</v>
      </c>
      <c r="BN21" s="27" cm="1">
        <f t="array" ref="BN21">1+$B$14+VLOOKUP($R21,武学奇术!$A:$ZZ,20,FALSE)+SUM(_xlfn.XLOOKUP(S21:AG21,增益!$A:$A,增益!$T:$T,0))</f>
        <v>1.35</v>
      </c>
      <c r="BO21" s="27">
        <f t="shared" si="9"/>
        <v>0.9036</v>
      </c>
      <c r="BP21" s="27">
        <f t="shared" si="10"/>
        <v>0.00350000000000006</v>
      </c>
      <c r="BQ21" s="27">
        <f>IF(VLOOKUP($R21,武学奇术!$A:$ZZ,22,FALSE)=1,0,(1-$BJ21))*(1-$BM21)</f>
        <v>0</v>
      </c>
      <c r="BR21" s="27" cm="1">
        <f t="array" ref="BR21">SUM(_xlfn.XLOOKUP(S21:AG21,增益!$A:$A,增益!$W:$W,0))+$I$5</f>
        <v>0.11</v>
      </c>
    </row>
    <row r="22" spans="1:70">
      <c r="A22" t="s">
        <v>149</v>
      </c>
      <c r="B22" s="29">
        <v>0.5</v>
      </c>
      <c r="E22" s="90" t="s">
        <v>150</v>
      </c>
      <c r="F22" s="90"/>
      <c r="K22">
        <f>$L22*VLOOKUP($R22,武学奇术!$A:$ZZ,31,FALSE)</f>
        <v>24472.9188940961</v>
      </c>
      <c r="L22" s="39">
        <f t="shared" si="0"/>
        <v>24472.9188940961</v>
      </c>
      <c r="M22" s="39">
        <f>((($AO22+($AP22-$AO22)*IF(VLOOKUP($R22,武学奇术!$A:$ZZ,31,FALSE)=1,$F$18,0.5))*$AI22+$AJ22)*(1+$AQ22)*(1+$AR22)+(($AT22+($AU22-$AT22)*IF(VLOOKUP($R22,武学奇术!$A:$ZZ,31,FALSE)=1,$F$18,0.5))*IF($G$1="鸣金",$AK22,$AI22)+IF($G$1="鸣金",$AL22*1.5,0))*(1+$AV22)*(1+$AW22)+(($AX22+($AY22-$AX22)*IF(VLOOKUP($R22,武学奇术!$A:$ZZ,31,FALSE)=1,$F$18,0.5))*IF($G$1="裂石",$AK22,$AI22)+IF($G$1="裂石",$AL22*1.5,0))*(1+$AZ22)*(1+$BA22)+(($BB22+($BC22-$BB22)*IF(VLOOKUP($R22,武学奇术!$A:$ZZ,31,FALSE)=1,$F$18,0.5))*IF($G$1="牵丝",$AK22,$AI22)+IF($G$1="牵丝",$AL22*1.5,0))*(1+$BD22)*(1+$BE22)+(($BF22+($BG22-$BF22)*IF(VLOOKUP($R22,武学奇术!$A:$ZZ,31,FALSE)=1,$F$18,0.5))*IF($G$1="破竹",$AK22,$AI22)+IF($G$1="破竹",$AL22*1.5,0))*(1+$BH22)*(1+$BI22))*(1+$AM22)*$BL22*$Q22*(1+IF(VLOOKUP($R22,武学奇术!$A:$ZZ,30,FALSE)="蓄力技",$B$21,0))*(1+$BR22)</f>
        <v>24620.6424615676</v>
      </c>
      <c r="N22" s="39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23378.3499509031</v>
      </c>
      <c r="O22" s="39">
        <f>((($AO22+($AP22-$AO22)*IF(VLOOKUP($R22,武学奇术!$A:$ZZ,31,FALSE)=1,$F$18,0.5))*$AI22+$AJ22)*(1+$AQ22)*(1+$AR22)+(($AT22+($AU22-$AT22)*IF(VLOOKUP($R22,武学奇术!$A:$ZZ,31,FALSE)=1,$F$18,0.5))*IF($G$1="鸣金",$AK22,$AI22)+IF($G$1="鸣金",$AL22*1.5,0))*(1+$AV22)*(1+$AW22)+(($AX22+($AY22-$AX22)*IF(VLOOKUP($R22,武学奇术!$A:$ZZ,31,FALSE)=1,$F$18,0.5))*IF($G$1="裂石",$AK22,$AI22)+IF($G$1="裂石",$AL22*1.5,0))*(1+$AZ22)*(1+$BA22)+(($BB22+($BC22-$BB22)*IF(VLOOKUP($R22,武学奇术!$A:$ZZ,31,FALSE)=1,$F$18,0.5))*IF($G$1="牵丝",$AK22,$AI22)+IF($G$1="牵丝",$AL22*1.5,0))*(1+$BD22)*(1+$BE22)+(($BF22+($BG22-$BF22)*IF(VLOOKUP($R22,武学奇术!$A:$ZZ,31,FALSE)=1,$F$18,0.5))*IF($G$1="破竹",$AK22,$AI22)+IF($G$1="破竹",$AL22*1.5,0))*(1+$BH22)*(1+$BI22))*(1+$AM22)*$Q22*(1+IF(VLOOKUP($R22,武学奇术!$A:$ZZ,30,FALSE)="蓄力技",$B$21,0))*(1+$BR22)</f>
        <v>15387.9015384798</v>
      </c>
      <c r="P22" s="39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13458.5068170313</v>
      </c>
      <c r="Q22" s="40">
        <v>1</v>
      </c>
      <c r="R22" s="41" t="s">
        <v>151</v>
      </c>
      <c r="S22" s="41" t="s">
        <v>97</v>
      </c>
      <c r="T22" s="41" t="s">
        <v>73</v>
      </c>
      <c r="U22" s="41" t="s">
        <v>73</v>
      </c>
      <c r="V22" s="41" t="s">
        <v>73</v>
      </c>
      <c r="W22" s="41" t="s">
        <v>73</v>
      </c>
      <c r="X22" s="41" t="s">
        <v>73</v>
      </c>
      <c r="Y22" s="41" t="s">
        <v>152</v>
      </c>
      <c r="Z22" s="41" t="s">
        <v>83</v>
      </c>
      <c r="AA22" s="41" t="s">
        <v>73</v>
      </c>
      <c r="AB22" s="41" t="s">
        <v>84</v>
      </c>
      <c r="AC22" s="41" t="s">
        <v>73</v>
      </c>
      <c r="AD22" s="41" t="s">
        <v>73</v>
      </c>
      <c r="AE22" s="41" t="s">
        <v>76</v>
      </c>
      <c r="AF22" s="41" t="s">
        <v>77</v>
      </c>
      <c r="AG22" s="41" t="s">
        <v>78</v>
      </c>
      <c r="AH22" t="str">
        <f>VLOOKUP($R22,武学奇术!$A:$ZZ,25,FALSE)</f>
        <v>拳甲</v>
      </c>
      <c r="AI22" s="27">
        <f>VLOOKUP($R22,武学奇术!$A:$ZZ,26,FALSE)</f>
        <v>1.1005</v>
      </c>
      <c r="AJ22" s="28">
        <f>VLOOKUP($R22,武学奇术!$A:$ZZ,27,FALSE)*(1+IF(OR($AH22=$F$4,$AH22=$F$5),$B$22,0))</f>
        <v>457.5</v>
      </c>
      <c r="AK22" s="27">
        <f>VLOOKUP($R22,武学奇术!$A:$ZZ,28,FALSE)</f>
        <v>1.6507</v>
      </c>
      <c r="AL22" s="28">
        <f>VLOOKUP($R22,武学奇术!$A:$ZZ,29,FALSE)*(1+IF(OR($AH22=$F$4,$AH22=$F$5),$B$22,0))</f>
        <v>247.5</v>
      </c>
      <c r="AM22" s="27" cm="1">
        <f t="array" ref="AM22">$G$3+IFERROR(VLOOKUP($AH22,$F$4:$G$7,2,FALSE),0)+VLOOKUP($R22,武学奇术!$A:$ZZ,2,FALSE)+SUM(_xlfn.XLOOKUP($S22:$AG22,增益!$A:$A,增益!$B:$B,0))</f>
        <v>0.4041</v>
      </c>
      <c r="AN22" s="27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3888.382</v>
      </c>
      <c r="AP22" cm="1">
        <f t="array" ref="AP22">$E$10*(1+$AN22)+VLOOKUP($R22,武学奇术!$A:$ZZ,4,FALSE)+SUM(_xlfn.XLOOKUP($S22:$AG22,增益!$A:$A,增益!$D:$D,0))-$I$2</f>
        <v>3888.382</v>
      </c>
      <c r="AQ22" s="33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0.317</v>
      </c>
      <c r="AR22" s="33" cm="1">
        <f t="array" ref="AR22">$G$10+VLOOKUP($R22,武学奇术!$A:$ZZ,7,FALSE)+SUM(_xlfn.XLOOKUP(S22:AG22,增益!$A:$A,增益!$G:$G,0))</f>
        <v>0.09</v>
      </c>
      <c r="AS22" s="27" cm="1">
        <f t="array" ref="AS22">VLOOKUP($R22,武学奇术!$A:$ZZ,8,FALSE)+SUM(_xlfn.XLOOKUP(S22:AG22,增益!$A:$A,增益!$H:$H,0))</f>
        <v>0</v>
      </c>
      <c r="AT22">
        <f t="shared" si="1"/>
        <v>0</v>
      </c>
      <c r="AU22">
        <f t="shared" si="2"/>
        <v>0</v>
      </c>
      <c r="AV22" s="33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-0.14</v>
      </c>
      <c r="AW22" s="33" cm="1">
        <f t="array" ref="AW22">$G$11+VLOOKUP($R22,武学奇术!$A:$ZZ,10,FALSE)+SUM(_xlfn.XLOOKUP(S22:AG22,增益!$A:$A,增益!$J:$J,0))</f>
        <v>0</v>
      </c>
      <c r="AX22">
        <f t="shared" si="3"/>
        <v>0</v>
      </c>
      <c r="AY22">
        <f t="shared" si="4"/>
        <v>0</v>
      </c>
      <c r="AZ22" s="33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-0.14</v>
      </c>
      <c r="BA22" s="33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3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-0.14</v>
      </c>
      <c r="BE22" s="33" cm="1">
        <f t="array" ref="BE22">$G$13+VLOOKUP($R22,武学奇术!$A:$ZZ,14,FALSE)+SUM(_xlfn.XLOOKUP(S22:AG22,增益!$A:$A,增益!$N:$N,0))</f>
        <v>0</v>
      </c>
      <c r="BF22">
        <f t="shared" si="7"/>
        <v>605.472</v>
      </c>
      <c r="BG22">
        <f t="shared" si="8"/>
        <v>1725.468</v>
      </c>
      <c r="BH22" s="33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0.08</v>
      </c>
      <c r="BI22" s="33" cm="1">
        <f t="array" ref="BI22">$G$14+VLOOKUP($R22,武学奇术!$A:$ZZ,16,FALSE)+SUM(_xlfn.XLOOKUP(S22:AG22,增益!$A:$A,增益!$P:$P,0))</f>
        <v>0.24</v>
      </c>
      <c r="BJ22" s="27">
        <f>MIN(IF(VLOOKUP($R22,武学奇术!$A:$ZZ,23,FALSE)=1,100%,$B$8),100%)</f>
        <v>1</v>
      </c>
      <c r="BK22" s="27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+MIN(IF(VLOOKUP($R22,武学奇术!$A:$ZZ,32,FALSE)=1,IF(VLOOKUP($R22,武学奇术!$A:$ZZ,24,FALSE)=1,100%,MIN(40%,$B$10+VLOOKUP($R22,武学奇术!$A:$ZZ,19,FALSE)+SUM(_xlfn.XLOOKUP(S22:AG22,增益!$A:$A,增益!$S:$S,0)))+$B$12+SUM(_xlfn.XLOOKUP(S22:AG22,增益!$A:$A,增益!$V:$V,0))),0),12%)</f>
        <v>0.9036</v>
      </c>
      <c r="BL22" s="27" cm="1">
        <f t="array" ref="BL22">1+$B$13+VLOOKUP($R22,武学奇术!$A:$ZZ,18,FALSE)+SUM(_xlfn.XLOOKUP(S22:AG22,增益!$A:$A,增益!$R:$R,0))</f>
        <v>1.6</v>
      </c>
      <c r="BM22" s="27" cm="1">
        <f t="array" ref="BM22">MAX(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-IF(VLOOKUP($R22,武学奇术!$A:$ZZ,32,FALSE)=1,12%,0),0)</f>
        <v>0.0929</v>
      </c>
      <c r="BN22" s="27" cm="1">
        <f t="array" ref="BN22">1+$B$14+VLOOKUP($R22,武学奇术!$A:$ZZ,20,FALSE)+SUM(_xlfn.XLOOKUP(S22:AG22,增益!$A:$A,增益!$T:$T,0))</f>
        <v>1.35</v>
      </c>
      <c r="BO22" s="27">
        <f t="shared" si="9"/>
        <v>0.9036</v>
      </c>
      <c r="BP22" s="27">
        <f t="shared" si="10"/>
        <v>0.00350000000000006</v>
      </c>
      <c r="BQ22" s="27">
        <f>IF(VLOOKUP($R22,武学奇术!$A:$ZZ,22,FALSE)=1,0,(1-$BJ22))*(1-$BM22)</f>
        <v>0</v>
      </c>
      <c r="BR22" s="27" cm="1">
        <f t="array" ref="BR22">SUM(_xlfn.XLOOKUP(S22:AG22,增益!$A:$A,增益!$W:$W,0))+$I$5</f>
        <v>0.11</v>
      </c>
    </row>
    <row r="23" spans="1:70">
      <c r="A23" t="s">
        <v>153</v>
      </c>
      <c r="B23">
        <v>200</v>
      </c>
      <c r="E23" s="40" t="s">
        <v>154</v>
      </c>
      <c r="F23" s="40"/>
      <c r="K23">
        <f>$L23*VLOOKUP($R23,武学奇术!$A:$ZZ,31,FALSE)</f>
        <v>116356.01957855</v>
      </c>
      <c r="L23" s="39">
        <f t="shared" si="0"/>
        <v>89504.6304450382</v>
      </c>
      <c r="M23" s="39">
        <f>((($AO23+($AP23-$AO23)*IF(VLOOKUP($R23,武学奇术!$A:$ZZ,31,FALSE)=1,$F$18,0.5))*$AI23+$AJ23)*(1+$AQ23)*(1+$AR23)+(($AT23+($AU23-$AT23)*IF(VLOOKUP($R23,武学奇术!$A:$ZZ,31,FALSE)=1,$F$18,0.5))*IF($G$1="鸣金",$AK23,$AI23)+IF($G$1="鸣金",$AL23*1.5,0))*(1+$AV23)*(1+$AW23)+(($AX23+($AY23-$AX23)*IF(VLOOKUP($R23,武学奇术!$A:$ZZ,31,FALSE)=1,$F$18,0.5))*IF($G$1="裂石",$AK23,$AI23)+IF($G$1="裂石",$AL23*1.5,0))*(1+$AZ23)*(1+$BA23)+(($BB23+($BC23-$BB23)*IF(VLOOKUP($R23,武学奇术!$A:$ZZ,31,FALSE)=1,$F$18,0.5))*IF($G$1="牵丝",$AK23,$AI23)+IF($G$1="牵丝",$AL23*1.5,0))*(1+$BD23)*(1+$BE23)+(($BF23+($BG23-$BF23)*IF(VLOOKUP($R23,武学奇术!$A:$ZZ,31,FALSE)=1,$F$18,0.5))*IF($G$1="破竹",$AK23,$AI23)+IF($G$1="破竹",$AL23*1.5,0))*(1+$BH23)*(1+$BI23))*(1+$AM23)*$BL23*$Q23*(1+IF(VLOOKUP($R23,武学奇术!$A:$ZZ,30,FALSE)="蓄力技",$B$21,0))*(1+$BR23)</f>
        <v>91454.1871978898</v>
      </c>
      <c r="N23" s="39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72100.7390037662</v>
      </c>
      <c r="O23" s="39">
        <f>((($AO23+($AP23-$AO23)*IF(VLOOKUP($R23,武学奇术!$A:$ZZ,31,FALSE)=1,$F$18,0.5))*$AI23+$AJ23)*(1+$AQ23)*(1+$AR23)+(($AT23+($AU23-$AT23)*IF(VLOOKUP($R23,武学奇术!$A:$ZZ,31,FALSE)=1,$F$18,0.5))*IF($G$1="鸣金",$AK23,$AI23)+IF($G$1="鸣金",$AL23*1.5,0))*(1+$AV23)*(1+$AW23)+(($AX23+($AY23-$AX23)*IF(VLOOKUP($R23,武学奇术!$A:$ZZ,31,FALSE)=1,$F$18,0.5))*IF($G$1="裂石",$AK23,$AI23)+IF($G$1="裂石",$AL23*1.5,0))*(1+$AZ23)*(1+$BA23)+(($BB23+($BC23-$BB23)*IF(VLOOKUP($R23,武学奇术!$A:$ZZ,31,FALSE)=1,$F$18,0.5))*IF($G$1="牵丝",$AK23,$AI23)+IF($G$1="牵丝",$AL23*1.5,0))*(1+$BD23)*(1+$BE23)+(($BF23+($BG23-$BF23)*IF(VLOOKUP($R23,武学奇术!$A:$ZZ,31,FALSE)=1,$F$18,0.5))*IF($G$1="破竹",$AK23,$AI23)+IF($G$1="破竹",$AL23*1.5,0))*(1+$BH23)*(1+$BI23))*(1+$AM23)*$Q23*(1+IF(VLOOKUP($R23,武学奇术!$A:$ZZ,30,FALSE)="蓄力技",$B$21,0))*(1+$BR23)</f>
        <v>48133.7827357315</v>
      </c>
      <c r="P23" s="39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42859.6106538584</v>
      </c>
      <c r="Q23" s="40">
        <v>1</v>
      </c>
      <c r="R23" s="41" t="s">
        <v>112</v>
      </c>
      <c r="S23" s="41" t="s">
        <v>97</v>
      </c>
      <c r="T23" s="41" t="s">
        <v>73</v>
      </c>
      <c r="U23" s="41" t="s">
        <v>73</v>
      </c>
      <c r="V23" s="41" t="s">
        <v>73</v>
      </c>
      <c r="W23" s="41" t="s">
        <v>73</v>
      </c>
      <c r="X23" s="41" t="s">
        <v>73</v>
      </c>
      <c r="Y23" s="41" t="s">
        <v>152</v>
      </c>
      <c r="Z23" s="41" t="s">
        <v>73</v>
      </c>
      <c r="AA23" s="41" t="s">
        <v>105</v>
      </c>
      <c r="AB23" s="41" t="s">
        <v>84</v>
      </c>
      <c r="AC23" s="41" t="s">
        <v>73</v>
      </c>
      <c r="AD23" s="41" t="s">
        <v>73</v>
      </c>
      <c r="AE23" s="41" t="s">
        <v>76</v>
      </c>
      <c r="AF23" s="41" t="s">
        <v>77</v>
      </c>
      <c r="AG23" s="41" t="s">
        <v>78</v>
      </c>
      <c r="AH23" t="str">
        <f>VLOOKUP($R23,武学奇术!$A:$ZZ,25,FALSE)</f>
        <v>拳甲</v>
      </c>
      <c r="AI23" s="27">
        <f>VLOOKUP($R23,武学奇术!$A:$ZZ,26,FALSE)</f>
        <v>2.91176</v>
      </c>
      <c r="AJ23" s="28">
        <f>VLOOKUP($R23,武学奇术!$A:$ZZ,27,FALSE)*(1+IF(OR($AH23=$F$4,$AH23=$F$5),$B$22,0))</f>
        <v>1208.7</v>
      </c>
      <c r="AK23" s="27">
        <f>VLOOKUP($R23,武学奇术!$A:$ZZ,28,FALSE)</f>
        <v>3.89844</v>
      </c>
      <c r="AL23" s="28">
        <f>VLOOKUP($R23,武学奇术!$A:$ZZ,29,FALSE)*(1+IF(OR($AH23=$F$4,$AH23=$F$5),$B$22,0))</f>
        <v>650.25</v>
      </c>
      <c r="AM23" s="27" cm="1">
        <f t="array" ref="AM23">$G$3+IFERROR(VLOOKUP($AH23,$F$4:$G$7,2,FALSE),0)+VLOOKUP($R23,武学奇术!$A:$ZZ,2,FALSE)+SUM(_xlfn.XLOOKUP($S23:$AG23,增益!$A:$A,增益!$B:$B,0))</f>
        <v>0.7041</v>
      </c>
      <c r="AN23" s="27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3888.382</v>
      </c>
      <c r="AP23" cm="1">
        <f t="array" ref="AP23">$E$10*(1+$AN23)+VLOOKUP($R23,武学奇术!$A:$ZZ,4,FALSE)+SUM(_xlfn.XLOOKUP($S23:$AG23,增益!$A:$A,增益!$D:$D,0))-$I$2</f>
        <v>3888.382</v>
      </c>
      <c r="AQ23" s="33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0.347</v>
      </c>
      <c r="AR23" s="33" cm="1">
        <f t="array" ref="AR23">$G$10+VLOOKUP($R23,武学奇术!$A:$ZZ,7,FALSE)+SUM(_xlfn.XLOOKUP(S23:AG23,增益!$A:$A,增益!$G:$G,0))</f>
        <v>0.09</v>
      </c>
      <c r="AS23" s="27" cm="1">
        <f t="array" ref="AS23">VLOOKUP($R23,武学奇术!$A:$ZZ,8,FALSE)+SUM(_xlfn.XLOOKUP(S23:AG23,增益!$A:$A,增益!$H:$H,0))</f>
        <v>0</v>
      </c>
      <c r="AT23">
        <f t="shared" si="1"/>
        <v>0</v>
      </c>
      <c r="AU23">
        <f t="shared" si="2"/>
        <v>0</v>
      </c>
      <c r="AV23" s="33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-0.24</v>
      </c>
      <c r="AW23" s="33" cm="1">
        <f t="array" ref="AW23">$G$11+VLOOKUP($R23,武学奇术!$A:$ZZ,10,FALSE)+SUM(_xlfn.XLOOKUP(S23:AG23,增益!$A:$A,增益!$J:$J,0))</f>
        <v>0</v>
      </c>
      <c r="AX23">
        <f t="shared" si="3"/>
        <v>0</v>
      </c>
      <c r="AY23">
        <f t="shared" si="4"/>
        <v>0</v>
      </c>
      <c r="AZ23" s="33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-0.24</v>
      </c>
      <c r="BA23" s="33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3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-0.24</v>
      </c>
      <c r="BE23" s="33" cm="1">
        <f t="array" ref="BE23">$G$13+VLOOKUP($R23,武学奇术!$A:$ZZ,14,FALSE)+SUM(_xlfn.XLOOKUP(S23:AG23,增益!$A:$A,增益!$N:$N,0))</f>
        <v>0</v>
      </c>
      <c r="BF23">
        <f t="shared" si="7"/>
        <v>605.472</v>
      </c>
      <c r="BG23">
        <f t="shared" si="8"/>
        <v>1725.468</v>
      </c>
      <c r="BH23" s="33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0.03</v>
      </c>
      <c r="BI23" s="33" cm="1">
        <f t="array" ref="BI23">$G$14+VLOOKUP($R23,武学奇术!$A:$ZZ,16,FALSE)+SUM(_xlfn.XLOOKUP(S23:AG23,增益!$A:$A,增益!$P:$P,0))</f>
        <v>0.24</v>
      </c>
      <c r="BJ23" s="27">
        <f>MIN(IF(VLOOKUP($R23,武学奇术!$A:$ZZ,23,FALSE)=1,100%,$B$8),100%)</f>
        <v>1</v>
      </c>
      <c r="BK23" s="27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+MIN(IF(VLOOKUP($R23,武学奇术!$A:$ZZ,32,FALSE)=1,IF(VLOOKUP($R23,武学奇术!$A:$ZZ,24,FALSE)=1,100%,MIN(40%,$B$10+VLOOKUP($R23,武学奇术!$A:$ZZ,19,FALSE)+SUM(_xlfn.XLOOKUP(S23:AG23,增益!$A:$A,增益!$S:$S,0)))+$B$12+SUM(_xlfn.XLOOKUP(S23:AG23,增益!$A:$A,增益!$V:$V,0))),0),12%)</f>
        <v>0.9036</v>
      </c>
      <c r="BL23" s="27" cm="1">
        <f t="array" ref="BL23">1+$B$13+VLOOKUP($R23,武学奇术!$A:$ZZ,18,FALSE)+SUM(_xlfn.XLOOKUP(S23:AG23,增益!$A:$A,增益!$R:$R,0))</f>
        <v>1.9</v>
      </c>
      <c r="BM23" s="27" cm="1">
        <f t="array" ref="BM23">MAX(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-IF(VLOOKUP($R23,武学奇术!$A:$ZZ,32,FALSE)=1,12%,0),0)</f>
        <v>0.0929</v>
      </c>
      <c r="BN23" s="27" cm="1">
        <f t="array" ref="BN23">1+$B$14+VLOOKUP($R23,武学奇术!$A:$ZZ,20,FALSE)+SUM(_xlfn.XLOOKUP(S23:AG23,增益!$A:$A,增益!$T:$T,0))</f>
        <v>1.35</v>
      </c>
      <c r="BO23" s="27">
        <f t="shared" si="9"/>
        <v>0.9036</v>
      </c>
      <c r="BP23" s="27">
        <f t="shared" si="10"/>
        <v>0.00350000000000006</v>
      </c>
      <c r="BQ23" s="27">
        <f>IF(VLOOKUP($R23,武学奇术!$A:$ZZ,22,FALSE)=1,0,(1-$BJ23))*(1-$BM23)</f>
        <v>0</v>
      </c>
      <c r="BR23" s="27" cm="1">
        <f t="array" ref="BR23">SUM(_xlfn.XLOOKUP(S23:AG23,增益!$A:$A,增益!$W:$W,0))+$I$5</f>
        <v>0.11</v>
      </c>
    </row>
    <row r="24" spans="1:70">
      <c r="B24">
        <v>400</v>
      </c>
      <c r="E24" s="90" t="s">
        <v>155</v>
      </c>
      <c r="F24" s="90"/>
      <c r="K24">
        <f>$L24*VLOOKUP($R24,武学奇术!$A:$ZZ,31,FALSE)</f>
        <v>27978.1623084773</v>
      </c>
      <c r="L24" s="39">
        <f t="shared" si="0"/>
        <v>27978.1623084773</v>
      </c>
      <c r="M24" s="39">
        <f>((($AO24+($AP24-$AO24)*IF(VLOOKUP($R24,武学奇术!$A:$ZZ,31,FALSE)=1,$F$18,0.5))*$AI24+$AJ24)*(1+$AQ24)*(1+$AR24)+(($AT24+($AU24-$AT24)*IF(VLOOKUP($R24,武学奇术!$A:$ZZ,31,FALSE)=1,$F$18,0.5))*IF($G$1="鸣金",$AK24,$AI24)+IF($G$1="鸣金",$AL24*1.5,0))*(1+$AV24)*(1+$AW24)+(($AX24+($AY24-$AX24)*IF(VLOOKUP($R24,武学奇术!$A:$ZZ,31,FALSE)=1,$F$18,0.5))*IF($G$1="裂石",$AK24,$AI24)+IF($G$1="裂石",$AL24*1.5,0))*(1+$AZ24)*(1+$BA24)+(($BB24+($BC24-$BB24)*IF(VLOOKUP($R24,武学奇术!$A:$ZZ,31,FALSE)=1,$F$18,0.5))*IF($G$1="牵丝",$AK24,$AI24)+IF($G$1="牵丝",$AL24*1.5,0))*(1+$BD24)*(1+$BE24)+(($BF24+($BG24-$BF24)*IF(VLOOKUP($R24,武学奇术!$A:$ZZ,31,FALSE)=1,$F$18,0.5))*IF($G$1="破竹",$AK24,$AI24)+IF($G$1="破竹",$AL24*1.5,0))*(1+$BH24)*(1+$BI24))*(1+$AM24)*$BL24*$Q24*(1+IF(VLOOKUP($R24,武学奇术!$A:$ZZ,30,FALSE)="蓄力技",$B$21,0))*(1+$BR24)</f>
        <v>28161.7733302844</v>
      </c>
      <c r="N24" s="39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26583.2082677321</v>
      </c>
      <c r="O24" s="39">
        <f>((($AO24+($AP24-$AO24)*IF(VLOOKUP($R24,武学奇术!$A:$ZZ,31,FALSE)=1,$F$18,0.5))*$AI24+$AJ24)*(1+$AQ24)*(1+$AR24)+(($AT24+($AU24-$AT24)*IF(VLOOKUP($R24,武学奇术!$A:$ZZ,31,FALSE)=1,$F$18,0.5))*IF($G$1="鸣金",$AK24,$AI24)+IF($G$1="鸣金",$AL24*1.5,0))*(1+$AV24)*(1+$AW24)+(($AX24+($AY24-$AX24)*IF(VLOOKUP($R24,武学奇术!$A:$ZZ,31,FALSE)=1,$F$18,0.5))*IF($G$1="裂石",$AK24,$AI24)+IF($G$1="裂石",$AL24*1.5,0))*(1+$AZ24)*(1+$BA24)+(($BB24+($BC24-$BB24)*IF(VLOOKUP($R24,武学奇术!$A:$ZZ,31,FALSE)=1,$F$18,0.5))*IF($G$1="牵丝",$AK24,$AI24)+IF($G$1="牵丝",$AL24*1.5,0))*(1+$BD24)*(1+$BE24)+(($BF24+($BG24-$BF24)*IF(VLOOKUP($R24,武学奇术!$A:$ZZ,31,FALSE)=1,$F$18,0.5))*IF($G$1="破竹",$AK24,$AI24)+IF($G$1="破竹",$AL24*1.5,0))*(1+$BH24)*(1+$BI24))*(1+$AM24)*$Q24*(1+IF(VLOOKUP($R24,武学奇术!$A:$ZZ,30,FALSE)="蓄力技",$B$21,0))*(1+$BR24)</f>
        <v>17601.1083314278</v>
      </c>
      <c r="P24" s="39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15510.9512793503</v>
      </c>
      <c r="Q24" s="40">
        <v>1</v>
      </c>
      <c r="R24" s="41" t="s">
        <v>115</v>
      </c>
      <c r="S24" s="41" t="s">
        <v>97</v>
      </c>
      <c r="T24" s="41" t="s">
        <v>73</v>
      </c>
      <c r="U24" s="41" t="s">
        <v>73</v>
      </c>
      <c r="V24" s="41" t="s">
        <v>73</v>
      </c>
      <c r="W24" s="41" t="s">
        <v>73</v>
      </c>
      <c r="X24" s="41" t="s">
        <v>73</v>
      </c>
      <c r="Y24" s="41" t="s">
        <v>152</v>
      </c>
      <c r="Z24" s="41" t="s">
        <v>73</v>
      </c>
      <c r="AA24" s="41" t="s">
        <v>73</v>
      </c>
      <c r="AB24" s="41" t="s">
        <v>84</v>
      </c>
      <c r="AC24" s="41" t="s">
        <v>73</v>
      </c>
      <c r="AD24" s="41" t="s">
        <v>73</v>
      </c>
      <c r="AE24" s="41" t="s">
        <v>76</v>
      </c>
      <c r="AF24" s="41" t="s">
        <v>77</v>
      </c>
      <c r="AG24" s="41" t="s">
        <v>78</v>
      </c>
      <c r="AH24" t="str">
        <f>VLOOKUP($R24,武学奇术!$A:$ZZ,25,FALSE)</f>
        <v>拳甲</v>
      </c>
      <c r="AI24" s="27">
        <f>VLOOKUP($R24,武学奇术!$A:$ZZ,26,FALSE)</f>
        <v>1.2876</v>
      </c>
      <c r="AJ24" s="28">
        <f>VLOOKUP($R24,武学奇术!$A:$ZZ,27,FALSE)*(1+IF(OR($AH24=$F$4,$AH24=$F$5),$B$22,0))</f>
        <v>537</v>
      </c>
      <c r="AK24" s="27">
        <f>VLOOKUP($R24,武学奇术!$A:$ZZ,28,FALSE)</f>
        <v>1.9313</v>
      </c>
      <c r="AL24" s="28">
        <f>VLOOKUP($R24,武学奇术!$A:$ZZ,29,FALSE)*(1+IF(OR($AH24=$F$4,$AH24=$F$5),$B$22,0))</f>
        <v>292.5</v>
      </c>
      <c r="AM24" s="27" cm="1">
        <f t="array" ref="AM24">$G$3+IFERROR(VLOOKUP($AH24,$F$4:$G$7,2,FALSE),0)+VLOOKUP($R24,武学奇术!$A:$ZZ,2,FALSE)+SUM(_xlfn.XLOOKUP($S24:$AG24,增益!$A:$A,增益!$B:$B,0))</f>
        <v>0.4041</v>
      </c>
      <c r="AN24" s="27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3888.382</v>
      </c>
      <c r="AP24" cm="1">
        <f t="array" ref="AP24">$E$10*(1+$AN24)+VLOOKUP($R24,武学奇术!$A:$ZZ,4,FALSE)+SUM(_xlfn.XLOOKUP($S24:$AG24,增益!$A:$A,增益!$D:$D,0))-$I$2</f>
        <v>3888.382</v>
      </c>
      <c r="AQ24" s="33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0.317</v>
      </c>
      <c r="AR24" s="33" cm="1">
        <f t="array" ref="AR24">$G$10+VLOOKUP($R24,武学奇术!$A:$ZZ,7,FALSE)+SUM(_xlfn.XLOOKUP(S24:AG24,增益!$A:$A,增益!$G:$G,0))</f>
        <v>0.09</v>
      </c>
      <c r="AS24" s="27" cm="1">
        <f t="array" ref="AS24">VLOOKUP($R24,武学奇术!$A:$ZZ,8,FALSE)+SUM(_xlfn.XLOOKUP(S24:AG24,增益!$A:$A,增益!$H:$H,0))</f>
        <v>0</v>
      </c>
      <c r="AT24">
        <f t="shared" si="1"/>
        <v>0</v>
      </c>
      <c r="AU24">
        <f t="shared" si="2"/>
        <v>0</v>
      </c>
      <c r="AV24" s="33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-0.3</v>
      </c>
      <c r="AW24" s="33" cm="1">
        <f t="array" ref="AW24">$G$11+VLOOKUP($R24,武学奇术!$A:$ZZ,10,FALSE)+SUM(_xlfn.XLOOKUP(S24:AG24,增益!$A:$A,增益!$J:$J,0))</f>
        <v>0</v>
      </c>
      <c r="AX24">
        <f t="shared" si="3"/>
        <v>0</v>
      </c>
      <c r="AY24">
        <f t="shared" si="4"/>
        <v>0</v>
      </c>
      <c r="AZ24" s="33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3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3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3" cm="1">
        <f t="array" ref="BE24">$G$13+VLOOKUP($R24,武学奇术!$A:$ZZ,14,FALSE)+SUM(_xlfn.XLOOKUP(S24:AG24,增益!$A:$A,增益!$N:$N,0))</f>
        <v>0</v>
      </c>
      <c r="BF24">
        <f t="shared" si="7"/>
        <v>605.472</v>
      </c>
      <c r="BG24">
        <f t="shared" si="8"/>
        <v>1725.468</v>
      </c>
      <c r="BH24" s="33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0</v>
      </c>
      <c r="BI24" s="33" cm="1">
        <f t="array" ref="BI24">$G$14+VLOOKUP($R24,武学奇术!$A:$ZZ,16,FALSE)+SUM(_xlfn.XLOOKUP(S24:AG24,增益!$A:$A,增益!$P:$P,0))</f>
        <v>0.24</v>
      </c>
      <c r="BJ24" s="27">
        <f>MIN(IF(VLOOKUP($R24,武学奇术!$A:$ZZ,23,FALSE)=1,100%,$B$8),100%)</f>
        <v>1</v>
      </c>
      <c r="BK24" s="27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+MIN(IF(VLOOKUP($R24,武学奇术!$A:$ZZ,32,FALSE)=1,IF(VLOOKUP($R24,武学奇术!$A:$ZZ,24,FALSE)=1,100%,MIN(40%,$B$10+VLOOKUP($R24,武学奇术!$A:$ZZ,19,FALSE)+SUM(_xlfn.XLOOKUP(S24:AG24,增益!$A:$A,增益!$S:$S,0)))+$B$12+SUM(_xlfn.XLOOKUP(S24:AG24,增益!$A:$A,增益!$V:$V,0))),0),12%)</f>
        <v>0.9036</v>
      </c>
      <c r="BL24" s="27" cm="1">
        <f t="array" ref="BL24">1+$B$13+VLOOKUP($R24,武学奇术!$A:$ZZ,18,FALSE)+SUM(_xlfn.XLOOKUP(S24:AG24,增益!$A:$A,增益!$R:$R,0))</f>
        <v>1.6</v>
      </c>
      <c r="BM24" s="27" cm="1">
        <f t="array" ref="BM24">MAX(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-IF(VLOOKUP($R24,武学奇术!$A:$ZZ,32,FALSE)=1,12%,0),0)</f>
        <v>0.0929</v>
      </c>
      <c r="BN24" s="27" cm="1">
        <f t="array" ref="BN24">1+$B$14+VLOOKUP($R24,武学奇术!$A:$ZZ,20,FALSE)+SUM(_xlfn.XLOOKUP(S24:AG24,增益!$A:$A,增益!$T:$T,0))</f>
        <v>1.35</v>
      </c>
      <c r="BO24" s="27">
        <f t="shared" si="9"/>
        <v>0.9036</v>
      </c>
      <c r="BP24" s="27">
        <f t="shared" si="10"/>
        <v>0.00350000000000006</v>
      </c>
      <c r="BQ24" s="27">
        <f>IF(VLOOKUP($R24,武学奇术!$A:$ZZ,22,FALSE)=1,0,(1-$BJ24))*(1-$BM24)</f>
        <v>0</v>
      </c>
      <c r="BR24" s="27" cm="1">
        <f t="array" ref="BR24">SUM(_xlfn.XLOOKUP(S24:AG24,增益!$A:$A,增益!$W:$W,0))+$I$5</f>
        <v>0.11</v>
      </c>
    </row>
    <row r="25" spans="1:70">
      <c r="K25">
        <f>$L25*VLOOKUP($R25,武学奇术!$A:$ZZ,31,FALSE)</f>
        <v>96462.1570540413</v>
      </c>
      <c r="L25" s="39">
        <f t="shared" si="0"/>
        <v>74201.6592723395</v>
      </c>
      <c r="M25" s="39">
        <f>((($AO25+($AP25-$AO25)*IF(VLOOKUP($R25,武学奇术!$A:$ZZ,31,FALSE)=1,$F$18,0.5))*$AI25+$AJ25)*(1+$AQ25)*(1+$AR25)+(($AT25+($AU25-$AT25)*IF(VLOOKUP($R25,武学奇术!$A:$ZZ,31,FALSE)=1,$F$18,0.5))*IF($G$1="鸣金",$AK25,$AI25)+IF($G$1="鸣金",$AL25*1.5,0))*(1+$AV25)*(1+$AW25)+(($AX25+($AY25-$AX25)*IF(VLOOKUP($R25,武学奇术!$A:$ZZ,31,FALSE)=1,$F$18,0.5))*IF($G$1="裂石",$AK25,$AI25)+IF($G$1="裂石",$AL25*1.5,0))*(1+$AZ25)*(1+$BA25)+(($BB25+($BC25-$BB25)*IF(VLOOKUP($R25,武学奇术!$A:$ZZ,31,FALSE)=1,$F$18,0.5))*IF($G$1="牵丝",$AK25,$AI25)+IF($G$1="牵丝",$AL25*1.5,0))*(1+$BD25)*(1+$BE25)+(($BF25+($BG25-$BF25)*IF(VLOOKUP($R25,武学奇术!$A:$ZZ,31,FALSE)=1,$F$18,0.5))*IF($G$1="破竹",$AK25,$AI25)+IF($G$1="破竹",$AL25*1.5,0))*(1+$BH25)*(1+$BI25))*(1+$AM25)*$BL25*$Q25*(1+IF(VLOOKUP($R25,武学奇术!$A:$ZZ,30,FALSE)="蓄力技",$B$21,0))*(1+$BR25)</f>
        <v>75718.689219895</v>
      </c>
      <c r="N25" s="39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60748.118067749</v>
      </c>
      <c r="O25" s="39">
        <f>((($AO25+($AP25-$AO25)*IF(VLOOKUP($R25,武学奇术!$A:$ZZ,31,FALSE)=1,$F$18,0.5))*$AI25+$AJ25)*(1+$AQ25)*(1+$AR25)+(($AT25+($AU25-$AT25)*IF(VLOOKUP($R25,武学奇术!$A:$ZZ,31,FALSE)=1,$F$18,0.5))*IF($G$1="鸣金",$AK25,$AI25)+IF($G$1="鸣金",$AL25*1.5,0))*(1+$AV25)*(1+$AW25)+(($AX25+($AY25-$AX25)*IF(VLOOKUP($R25,武学奇术!$A:$ZZ,31,FALSE)=1,$F$18,0.5))*IF($G$1="裂石",$AK25,$AI25)+IF($G$1="裂石",$AL25*1.5,0))*(1+$AZ25)*(1+$BA25)+(($BB25+($BC25-$BB25)*IF(VLOOKUP($R25,武学奇术!$A:$ZZ,31,FALSE)=1,$F$18,0.5))*IF($G$1="牵丝",$AK25,$AI25)+IF($G$1="牵丝",$AL25*1.5,0))*(1+$BD25)*(1+$BE25)+(($BF25+($BG25-$BF25)*IF(VLOOKUP($R25,武学奇术!$A:$ZZ,31,FALSE)=1,$F$18,0.5))*IF($G$1="破竹",$AK25,$AI25)+IF($G$1="破竹",$AL25*1.5,0))*(1+$BH25)*(1+$BI25))*(1+$AM25)*$Q25*(1+IF(VLOOKUP($R25,武学奇术!$A:$ZZ,30,FALSE)="蓄力技",$B$21,0))*(1+$BR25)</f>
        <v>39643.2927852853</v>
      </c>
      <c r="P25" s="39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34287.9795944603</v>
      </c>
      <c r="Q25" s="40">
        <v>1</v>
      </c>
      <c r="R25" s="41" t="s">
        <v>117</v>
      </c>
      <c r="S25" s="41" t="s">
        <v>97</v>
      </c>
      <c r="T25" s="41" t="s">
        <v>73</v>
      </c>
      <c r="U25" s="41" t="s">
        <v>73</v>
      </c>
      <c r="V25" s="41" t="s">
        <v>73</v>
      </c>
      <c r="W25" s="41" t="s">
        <v>73</v>
      </c>
      <c r="X25" s="41" t="s">
        <v>73</v>
      </c>
      <c r="Y25" s="41" t="s">
        <v>156</v>
      </c>
      <c r="Z25" s="41" t="s">
        <v>73</v>
      </c>
      <c r="AA25" s="41" t="s">
        <v>105</v>
      </c>
      <c r="AB25" s="41" t="s">
        <v>84</v>
      </c>
      <c r="AC25" s="41" t="s">
        <v>73</v>
      </c>
      <c r="AD25" s="41" t="s">
        <v>73</v>
      </c>
      <c r="AE25" s="41" t="s">
        <v>76</v>
      </c>
      <c r="AF25" s="41" t="s">
        <v>77</v>
      </c>
      <c r="AG25" s="41" t="s">
        <v>78</v>
      </c>
      <c r="AH25" t="str">
        <f>VLOOKUP($R25,武学奇术!$A:$ZZ,25,FALSE)</f>
        <v>拳甲</v>
      </c>
      <c r="AI25" s="27">
        <f>VLOOKUP($R25,武学奇术!$A:$ZZ,26,FALSE)</f>
        <v>2.638944</v>
      </c>
      <c r="AJ25" s="28">
        <f>VLOOKUP($R25,武学奇术!$A:$ZZ,27,FALSE)*(1+IF(OR($AH25=$F$4,$AH25=$F$5),$B$22,0))</f>
        <v>0</v>
      </c>
      <c r="AK25" s="27">
        <f>VLOOKUP($R25,武学奇术!$A:$ZZ,28,FALSE)</f>
        <v>3.958416</v>
      </c>
      <c r="AL25" s="28">
        <f>VLOOKUP($R25,武学奇术!$A:$ZZ,29,FALSE)*(1+IF(OR($AH25=$F$4,$AH25=$F$5),$B$22,0))</f>
        <v>0</v>
      </c>
      <c r="AM25" s="27" cm="1">
        <f t="array" ref="AM25">$G$3+IFERROR(VLOOKUP($AH25,$F$4:$G$7,2,FALSE),0)+VLOOKUP($R25,武学奇术!$A:$ZZ,2,FALSE)+SUM(_xlfn.XLOOKUP($S25:$AG25,增益!$A:$A,增益!$B:$B,0))</f>
        <v>0.7041</v>
      </c>
      <c r="AN25" s="27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3888.382</v>
      </c>
      <c r="AP25" cm="1">
        <f t="array" ref="AP25">$E$10*(1+$AN25)+VLOOKUP($R25,武学奇术!$A:$ZZ,4,FALSE)+SUM(_xlfn.XLOOKUP($S25:$AG25,增益!$A:$A,增益!$D:$D,0))-$I$2</f>
        <v>3888.382</v>
      </c>
      <c r="AQ25" s="33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0.347</v>
      </c>
      <c r="AR25" s="33" cm="1">
        <f t="array" ref="AR25">$G$10+VLOOKUP($R25,武学奇术!$A:$ZZ,7,FALSE)+SUM(_xlfn.XLOOKUP(S25:AG25,增益!$A:$A,增益!$G:$G,0))</f>
        <v>0.09</v>
      </c>
      <c r="AS25" s="27" cm="1">
        <f t="array" ref="AS25">VLOOKUP($R25,武学奇术!$A:$ZZ,8,FALSE)+SUM(_xlfn.XLOOKUP(S25:AG25,增益!$A:$A,增益!$H:$H,0))</f>
        <v>0</v>
      </c>
      <c r="AT25">
        <f t="shared" si="1"/>
        <v>0</v>
      </c>
      <c r="AU25">
        <f t="shared" si="2"/>
        <v>0</v>
      </c>
      <c r="AV25" s="33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-0.24</v>
      </c>
      <c r="AW25" s="33" cm="1">
        <f t="array" ref="AW25">$G$11+VLOOKUP($R25,武学奇术!$A:$ZZ,10,FALSE)+SUM(_xlfn.XLOOKUP(S25:AG25,增益!$A:$A,增益!$J:$J,0))</f>
        <v>0</v>
      </c>
      <c r="AX25">
        <f t="shared" si="3"/>
        <v>0</v>
      </c>
      <c r="AY25">
        <f t="shared" si="4"/>
        <v>0</v>
      </c>
      <c r="AZ25" s="33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-0.24</v>
      </c>
      <c r="BA25" s="33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3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-0.24</v>
      </c>
      <c r="BE25" s="33" cm="1">
        <f t="array" ref="BE25">$G$13+VLOOKUP($R25,武学奇术!$A:$ZZ,14,FALSE)+SUM(_xlfn.XLOOKUP(S25:AG25,增益!$A:$A,增益!$N:$N,0))</f>
        <v>0</v>
      </c>
      <c r="BF25">
        <f t="shared" si="7"/>
        <v>605.472</v>
      </c>
      <c r="BG25">
        <f t="shared" si="8"/>
        <v>1725.468</v>
      </c>
      <c r="BH25" s="33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0.03</v>
      </c>
      <c r="BI25" s="33" cm="1">
        <f t="array" ref="BI25">$G$14+VLOOKUP($R25,武学奇术!$A:$ZZ,16,FALSE)+SUM(_xlfn.XLOOKUP(S25:AG25,增益!$A:$A,增益!$P:$P,0))</f>
        <v>0.24</v>
      </c>
      <c r="BJ25" s="27">
        <f>MIN(IF(VLOOKUP($R25,武学奇术!$A:$ZZ,23,FALSE)=1,100%,$B$8),100%)</f>
        <v>1</v>
      </c>
      <c r="BK25" s="27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+MIN(IF(VLOOKUP($R25,武学奇术!$A:$ZZ,32,FALSE)=1,IF(VLOOKUP($R25,武学奇术!$A:$ZZ,24,FALSE)=1,100%,MIN(40%,$B$10+VLOOKUP($R25,武学奇术!$A:$ZZ,19,FALSE)+SUM(_xlfn.XLOOKUP(S25:AG25,增益!$A:$A,增益!$S:$S,0)))+$B$12+SUM(_xlfn.XLOOKUP(S25:AG25,增益!$A:$A,增益!$V:$V,0))),0),12%)</f>
        <v>0.9036</v>
      </c>
      <c r="BL25" s="27" cm="1">
        <f t="array" ref="BL25">1+$B$13+VLOOKUP($R25,武学奇术!$A:$ZZ,18,FALSE)+SUM(_xlfn.XLOOKUP(S25:AG25,增益!$A:$A,增益!$R:$R,0))</f>
        <v>1.91</v>
      </c>
      <c r="BM25" s="27" cm="1">
        <f t="array" ref="BM25">MAX(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-IF(VLOOKUP($R25,武学奇术!$A:$ZZ,32,FALSE)=1,12%,0),0)</f>
        <v>0.0929</v>
      </c>
      <c r="BN25" s="27" cm="1">
        <f t="array" ref="BN25">1+$B$14+VLOOKUP($R25,武学奇术!$A:$ZZ,20,FALSE)+SUM(_xlfn.XLOOKUP(S25:AG25,增益!$A:$A,增益!$T:$T,0))</f>
        <v>1.35</v>
      </c>
      <c r="BO25" s="27">
        <f t="shared" si="9"/>
        <v>0.9036</v>
      </c>
      <c r="BP25" s="27">
        <f t="shared" si="10"/>
        <v>0.00350000000000006</v>
      </c>
      <c r="BQ25" s="27">
        <f>IF(VLOOKUP($R25,武学奇术!$A:$ZZ,22,FALSE)=1,0,(1-$BJ25))*(1-$BM25)</f>
        <v>0</v>
      </c>
      <c r="BR25" s="27" cm="1">
        <f t="array" ref="BR25">SUM(_xlfn.XLOOKUP(S25:AG25,增益!$A:$A,增益!$W:$W,0))+$I$5</f>
        <v>0.11</v>
      </c>
    </row>
    <row r="26" spans="1:70">
      <c r="K26">
        <f>$L26*VLOOKUP($R26,武学奇术!$A:$ZZ,31,FALSE)</f>
        <v>25659.3184671881</v>
      </c>
      <c r="L26" s="39">
        <f t="shared" si="0"/>
        <v>25659.3184671881</v>
      </c>
      <c r="M26" s="39">
        <f>((($AO26+($AP26-$AO26)*IF(VLOOKUP($R26,武学奇术!$A:$ZZ,31,FALSE)=1,$F$18,0.5))*$AI26+$AJ26)*(1+$AQ26)*(1+$AR26)+(($AT26+($AU26-$AT26)*IF(VLOOKUP($R26,武学奇术!$A:$ZZ,31,FALSE)=1,$F$18,0.5))*IF($G$1="鸣金",$AK26,$AI26)+IF($G$1="鸣金",$AL26*1.5,0))*(1+$AV26)*(1+$AW26)+(($AX26+($AY26-$AX26)*IF(VLOOKUP($R26,武学奇术!$A:$ZZ,31,FALSE)=1,$F$18,0.5))*IF($G$1="裂石",$AK26,$AI26)+IF($G$1="裂石",$AL26*1.5,0))*(1+$AZ26)*(1+$BA26)+(($BB26+($BC26-$BB26)*IF(VLOOKUP($R26,武学奇术!$A:$ZZ,31,FALSE)=1,$F$18,0.5))*IF($G$1="牵丝",$AK26,$AI26)+IF($G$1="牵丝",$AL26*1.5,0))*(1+$BD26)*(1+$BE26)+(($BF26+($BG26-$BF26)*IF(VLOOKUP($R26,武学奇术!$A:$ZZ,31,FALSE)=1,$F$18,0.5))*IF($G$1="破竹",$AK26,$AI26)+IF($G$1="破竹",$AL26*1.5,0))*(1+$BH26)*(1+$BI26))*(1+$AM26)*$BL26*$Q26*(1+IF(VLOOKUP($R26,武学奇术!$A:$ZZ,30,FALSE)="蓄力技",$B$21,0))*(1+$BR26)</f>
        <v>25842.1676396991</v>
      </c>
      <c r="N26" s="39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24242.8112233827</v>
      </c>
      <c r="O26" s="39">
        <f>((($AO26+($AP26-$AO26)*IF(VLOOKUP($R26,武学奇术!$A:$ZZ,31,FALSE)=1,$F$18,0.5))*$AI26+$AJ26)*(1+$AQ26)*(1+$AR26)+(($AT26+($AU26-$AT26)*IF(VLOOKUP($R26,武学奇术!$A:$ZZ,31,FALSE)=1,$F$18,0.5))*IF($G$1="鸣金",$AK26,$AI26)+IF($G$1="鸣金",$AL26*1.5,0))*(1+$AV26)*(1+$AW26)+(($AX26+($AY26-$AX26)*IF(VLOOKUP($R26,武学奇术!$A:$ZZ,31,FALSE)=1,$F$18,0.5))*IF($G$1="裂石",$AK26,$AI26)+IF($G$1="裂石",$AL26*1.5,0))*(1+$AZ26)*(1+$BA26)+(($BB26+($BC26-$BB26)*IF(VLOOKUP($R26,武学奇术!$A:$ZZ,31,FALSE)=1,$F$18,0.5))*IF($G$1="牵丝",$AK26,$AI26)+IF($G$1="牵丝",$AL26*1.5,0))*(1+$BD26)*(1+$BE26)+(($BF26+($BG26-$BF26)*IF(VLOOKUP($R26,武学奇术!$A:$ZZ,31,FALSE)=1,$F$18,0.5))*IF($G$1="破竹",$AK26,$AI26)+IF($G$1="破竹",$AL26*1.5,0))*(1+$BH26)*(1+$BI26))*(1+$AM26)*$Q26*(1+IF(VLOOKUP($R26,武学奇术!$A:$ZZ,30,FALSE)="蓄力技",$B$21,0))*(1+$BR26)</f>
        <v>16051.0358010554</v>
      </c>
      <c r="P26" s="39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14144.4336588642</v>
      </c>
      <c r="Q26" s="40">
        <v>1</v>
      </c>
      <c r="R26" s="41" t="s">
        <v>100</v>
      </c>
      <c r="S26" s="41" t="s">
        <v>97</v>
      </c>
      <c r="T26" s="41" t="s">
        <v>73</v>
      </c>
      <c r="U26" s="41" t="s">
        <v>73</v>
      </c>
      <c r="V26" s="41" t="s">
        <v>73</v>
      </c>
      <c r="W26" s="41" t="s">
        <v>73</v>
      </c>
      <c r="X26" s="41" t="s">
        <v>73</v>
      </c>
      <c r="Y26" s="41" t="s">
        <v>156</v>
      </c>
      <c r="Z26" s="41" t="s">
        <v>73</v>
      </c>
      <c r="AA26" s="41" t="s">
        <v>73</v>
      </c>
      <c r="AB26" s="41" t="s">
        <v>84</v>
      </c>
      <c r="AC26" s="41" t="s">
        <v>73</v>
      </c>
      <c r="AD26" s="41" t="s">
        <v>73</v>
      </c>
      <c r="AE26" s="41" t="s">
        <v>76</v>
      </c>
      <c r="AF26" s="41" t="s">
        <v>77</v>
      </c>
      <c r="AG26" s="41" t="s">
        <v>78</v>
      </c>
      <c r="AH26" t="str">
        <f>VLOOKUP($R26,武学奇术!$A:$ZZ,25,FALSE)</f>
        <v>绳镖</v>
      </c>
      <c r="AI26" s="27">
        <f>VLOOKUP($R26,武学奇术!$A:$ZZ,26,FALSE)</f>
        <v>1.2503</v>
      </c>
      <c r="AJ26" s="28">
        <f>VLOOKUP($R26,武学奇术!$A:$ZZ,27,FALSE)*(1+IF(OR($AH26=$F$4,$AH26=$F$5),$B$22,0))</f>
        <v>520.5</v>
      </c>
      <c r="AK26" s="27">
        <f>VLOOKUP($R26,武学奇术!$A:$ZZ,28,FALSE)</f>
        <v>1.8755</v>
      </c>
      <c r="AL26" s="28">
        <f>VLOOKUP($R26,武学奇术!$A:$ZZ,29,FALSE)*(1+IF(OR($AH26=$F$4,$AH26=$F$5),$B$22,0))</f>
        <v>283.5</v>
      </c>
      <c r="AM26" s="27" cm="1">
        <f t="array" ref="AM26">$G$3+IFERROR(VLOOKUP($AH26,$F$4:$G$7,2,FALSE),0)+VLOOKUP($R26,武学奇术!$A:$ZZ,2,FALSE)+SUM(_xlfn.XLOOKUP($S26:$AG26,增益!$A:$A,增益!$B:$B,0))</f>
        <v>0.3189</v>
      </c>
      <c r="AN26" s="27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3888.382</v>
      </c>
      <c r="AP26" cm="1">
        <f t="array" ref="AP26">$E$10*(1+$AN26)+VLOOKUP($R26,武学奇术!$A:$ZZ,4,FALSE)+SUM(_xlfn.XLOOKUP($S26:$AG26,增益!$A:$A,增益!$D:$D,0))-$I$2</f>
        <v>3888.382</v>
      </c>
      <c r="AQ26" s="33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0.317</v>
      </c>
      <c r="AR26" s="33" cm="1">
        <f t="array" ref="AR26">$G$10+VLOOKUP($R26,武学奇术!$A:$ZZ,7,FALSE)+SUM(_xlfn.XLOOKUP(S26:AG26,增益!$A:$A,增益!$G:$G,0))</f>
        <v>0.09</v>
      </c>
      <c r="AS26" s="27" cm="1">
        <f t="array" ref="AS26">VLOOKUP($R26,武学奇术!$A:$ZZ,8,FALSE)+SUM(_xlfn.XLOOKUP(S26:AG26,增益!$A:$A,增益!$H:$H,0))</f>
        <v>0</v>
      </c>
      <c r="AT26">
        <f t="shared" si="1"/>
        <v>0</v>
      </c>
      <c r="AU26">
        <f t="shared" si="2"/>
        <v>0</v>
      </c>
      <c r="AV26" s="33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-0.3</v>
      </c>
      <c r="AW26" s="33" cm="1">
        <f t="array" ref="AW26">$G$11+VLOOKUP($R26,武学奇术!$A:$ZZ,10,FALSE)+SUM(_xlfn.XLOOKUP(S26:AG26,增益!$A:$A,增益!$J:$J,0))</f>
        <v>0</v>
      </c>
      <c r="AX26">
        <f t="shared" si="3"/>
        <v>0</v>
      </c>
      <c r="AY26">
        <f t="shared" si="4"/>
        <v>0</v>
      </c>
      <c r="AZ26" s="33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3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3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3" cm="1">
        <f t="array" ref="BE26">$G$13+VLOOKUP($R26,武学奇术!$A:$ZZ,14,FALSE)+SUM(_xlfn.XLOOKUP(S26:AG26,增益!$A:$A,增益!$N:$N,0))</f>
        <v>0</v>
      </c>
      <c r="BF26">
        <f t="shared" si="7"/>
        <v>605.472</v>
      </c>
      <c r="BG26">
        <f t="shared" si="8"/>
        <v>1725.468</v>
      </c>
      <c r="BH26" s="33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0</v>
      </c>
      <c r="BI26" s="33" cm="1">
        <f t="array" ref="BI26">$G$14+VLOOKUP($R26,武学奇术!$A:$ZZ,16,FALSE)+SUM(_xlfn.XLOOKUP(S26:AG26,增益!$A:$A,增益!$P:$P,0))</f>
        <v>0.24</v>
      </c>
      <c r="BJ26" s="27">
        <f>MIN(IF(VLOOKUP($R26,武学奇术!$A:$ZZ,23,FALSE)=1,100%,$B$8),100%)</f>
        <v>1</v>
      </c>
      <c r="BK26" s="27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+MIN(IF(VLOOKUP($R26,武学奇术!$A:$ZZ,32,FALSE)=1,IF(VLOOKUP($R26,武学奇术!$A:$ZZ,24,FALSE)=1,100%,MIN(40%,$B$10+VLOOKUP($R26,武学奇术!$A:$ZZ,19,FALSE)+SUM(_xlfn.XLOOKUP(S26:AG26,增益!$A:$A,增益!$S:$S,0)))+$B$12+SUM(_xlfn.XLOOKUP(S26:AG26,增益!$A:$A,增益!$V:$V,0))),0),12%)</f>
        <v>0.9036</v>
      </c>
      <c r="BL26" s="27" cm="1">
        <f t="array" ref="BL26">1+$B$13+VLOOKUP($R26,武学奇术!$A:$ZZ,18,FALSE)+SUM(_xlfn.XLOOKUP(S26:AG26,增益!$A:$A,增益!$R:$R,0))</f>
        <v>1.61</v>
      </c>
      <c r="BM26" s="27" cm="1">
        <f t="array" ref="BM26">MAX(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-IF(VLOOKUP($R26,武学奇术!$A:$ZZ,32,FALSE)=1,12%,0),0)</f>
        <v>0.0929</v>
      </c>
      <c r="BN26" s="27" cm="1">
        <f t="array" ref="BN26">1+$B$14+VLOOKUP($R26,武学奇术!$A:$ZZ,20,FALSE)+SUM(_xlfn.XLOOKUP(S26:AG26,增益!$A:$A,增益!$T:$T,0))</f>
        <v>1.35</v>
      </c>
      <c r="BO26" s="27">
        <f t="shared" si="9"/>
        <v>0.9036</v>
      </c>
      <c r="BP26" s="27">
        <f t="shared" si="10"/>
        <v>0.00350000000000006</v>
      </c>
      <c r="BQ26" s="27">
        <f>IF(VLOOKUP($R26,武学奇术!$A:$ZZ,22,FALSE)=1,0,(1-$BJ26))*(1-$BM26)</f>
        <v>0</v>
      </c>
      <c r="BR26" s="27" cm="1">
        <f t="array" ref="BR26">SUM(_xlfn.XLOOKUP(S26:AG26,增益!$A:$A,增益!$W:$W,0))+$I$5</f>
        <v>0.11</v>
      </c>
    </row>
    <row r="27" spans="1:70">
      <c r="A27" t="s">
        <v>157</v>
      </c>
      <c r="B27">
        <v>0.9</v>
      </c>
      <c r="H27">
        <v>1</v>
      </c>
      <c r="K27">
        <f>$L27*VLOOKUP($R27,武学奇术!$A:$ZZ,31,FALSE)</f>
        <v>76366.1101924709</v>
      </c>
      <c r="L27" s="39">
        <f t="shared" si="0"/>
        <v>58743.1616865161</v>
      </c>
      <c r="M27" s="39">
        <f>((($AO27+($AP27-$AO27)*IF(VLOOKUP($R27,武学奇术!$A:$ZZ,31,FALSE)=1,$F$18,0.5))*$AI27+$AJ27)*(1+$AQ27)*(1+$AR27)+(($AT27+($AU27-$AT27)*IF(VLOOKUP($R27,武学奇术!$A:$ZZ,31,FALSE)=1,$F$18,0.5))*IF($G$1="鸣金",$AK27,$AI27)+IF($G$1="鸣金",$AL27*1.5,0))*(1+$AV27)*(1+$AW27)+(($AX27+($AY27-$AX27)*IF(VLOOKUP($R27,武学奇术!$A:$ZZ,31,FALSE)=1,$F$18,0.5))*IF($G$1="裂石",$AK27,$AI27)+IF($G$1="裂石",$AL27*1.5,0))*(1+$AZ27)*(1+$BA27)+(($BB27+($BC27-$BB27)*IF(VLOOKUP($R27,武学奇术!$A:$ZZ,31,FALSE)=1,$F$18,0.5))*IF($G$1="牵丝",$AK27,$AI27)+IF($G$1="牵丝",$AL27*1.5,0))*(1+$BD27)*(1+$BE27)+(($BF27+($BG27-$BF27)*IF(VLOOKUP($R27,武学奇术!$A:$ZZ,31,FALSE)=1,$F$18,0.5))*IF($G$1="破竹",$AK27,$AI27)+IF($G$1="破竹",$AL27*1.5,0))*(1+$BH27)*(1+$BI27))*(1+$AM27)*$BL27*$Q27*(1+IF(VLOOKUP($R27,武学奇术!$A:$ZZ,30,FALSE)="蓄力技",$B$21,0))*(1+$BR27)</f>
        <v>59944.1474375956</v>
      </c>
      <c r="N27" s="39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48092.4086711846</v>
      </c>
      <c r="O27" s="39">
        <f>((($AO27+($AP27-$AO27)*IF(VLOOKUP($R27,武学奇术!$A:$ZZ,31,FALSE)=1,$F$18,0.5))*$AI27+$AJ27)*(1+$AQ27)*(1+$AR27)+(($AT27+($AU27-$AT27)*IF(VLOOKUP($R27,武学奇术!$A:$ZZ,31,FALSE)=1,$F$18,0.5))*IF($G$1="鸣金",$AK27,$AI27)+IF($G$1="鸣金",$AL27*1.5,0))*(1+$AV27)*(1+$AW27)+(($AX27+($AY27-$AX27)*IF(VLOOKUP($R27,武学奇术!$A:$ZZ,31,FALSE)=1,$F$18,0.5))*IF($G$1="裂石",$AK27,$AI27)+IF($G$1="裂石",$AL27*1.5,0))*(1+$AZ27)*(1+$BA27)+(($BB27+($BC27-$BB27)*IF(VLOOKUP($R27,武学奇术!$A:$ZZ,31,FALSE)=1,$F$18,0.5))*IF($G$1="牵丝",$AK27,$AI27)+IF($G$1="牵丝",$AL27*1.5,0))*(1+$BD27)*(1+$BE27)+(($BF27+($BG27-$BF27)*IF(VLOOKUP($R27,武学奇术!$A:$ZZ,31,FALSE)=1,$F$18,0.5))*IF($G$1="破竹",$AK27,$AI27)+IF($G$1="破竹",$AL27*1.5,0))*(1+$BH27)*(1+$BI27))*(1+$AM27)*$Q27*(1+IF(VLOOKUP($R27,武学奇术!$A:$ZZ,30,FALSE)="蓄力技",$B$21,0))*(1+$BR27)</f>
        <v>31384.3703861757</v>
      </c>
      <c r="P27" s="39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27144.7343492517</v>
      </c>
      <c r="Q27" s="40">
        <v>1</v>
      </c>
      <c r="R27" s="41" t="s">
        <v>104</v>
      </c>
      <c r="S27" s="41" t="s">
        <v>97</v>
      </c>
      <c r="T27" s="41" t="s">
        <v>73</v>
      </c>
      <c r="U27" s="41" t="s">
        <v>73</v>
      </c>
      <c r="V27" s="41" t="s">
        <v>73</v>
      </c>
      <c r="W27" s="41" t="s">
        <v>73</v>
      </c>
      <c r="X27" s="41" t="s">
        <v>73</v>
      </c>
      <c r="Y27" s="41" t="s">
        <v>156</v>
      </c>
      <c r="Z27" s="41" t="s">
        <v>73</v>
      </c>
      <c r="AA27" s="41" t="s">
        <v>105</v>
      </c>
      <c r="AB27" s="41" t="s">
        <v>84</v>
      </c>
      <c r="AC27" s="41" t="s">
        <v>73</v>
      </c>
      <c r="AD27" s="41" t="s">
        <v>73</v>
      </c>
      <c r="AE27" s="41" t="s">
        <v>76</v>
      </c>
      <c r="AF27" s="41" t="s">
        <v>77</v>
      </c>
      <c r="AG27" s="41" t="s">
        <v>78</v>
      </c>
      <c r="AH27" t="str">
        <f>VLOOKUP($R27,武学奇术!$A:$ZZ,25,FALSE)</f>
        <v>绳镖</v>
      </c>
      <c r="AI27" s="27">
        <f>VLOOKUP($R27,武学奇术!$A:$ZZ,26,FALSE)</f>
        <v>2.19912</v>
      </c>
      <c r="AJ27" s="28">
        <f>VLOOKUP($R27,武学奇术!$A:$ZZ,27,FALSE)*(1+IF(OR($AH27=$F$4,$AH27=$F$5),$B$22,0))</f>
        <v>0</v>
      </c>
      <c r="AK27" s="27">
        <f>VLOOKUP($R27,武学奇术!$A:$ZZ,28,FALSE)</f>
        <v>3.29868</v>
      </c>
      <c r="AL27" s="28">
        <f>VLOOKUP($R27,武学奇术!$A:$ZZ,29,FALSE)*(1+IF(OR($AH27=$F$4,$AH27=$F$5),$B$22,0))</f>
        <v>0</v>
      </c>
      <c r="AM27" s="27" cm="1">
        <f t="array" ref="AM27">$G$3+IFERROR(VLOOKUP($AH27,$F$4:$G$7,2,FALSE),0)+VLOOKUP($R27,武学奇术!$A:$ZZ,2,FALSE)+SUM(_xlfn.XLOOKUP($S27:$AG27,增益!$A:$A,增益!$B:$B,0))</f>
        <v>0.6189</v>
      </c>
      <c r="AN27" s="27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3888.382</v>
      </c>
      <c r="AP27" cm="1">
        <f t="array" ref="AP27">$E$10*(1+$AN27)+VLOOKUP($R27,武学奇术!$A:$ZZ,4,FALSE)+SUM(_xlfn.XLOOKUP($S27:$AG27,增益!$A:$A,增益!$D:$D,0))-$I$2</f>
        <v>3888.382</v>
      </c>
      <c r="AQ27" s="33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0.347</v>
      </c>
      <c r="AR27" s="33" cm="1">
        <f t="array" ref="AR27">$G$10+VLOOKUP($R27,武学奇术!$A:$ZZ,7,FALSE)+SUM(_xlfn.XLOOKUP(S27:AG27,增益!$A:$A,增益!$G:$G,0))</f>
        <v>0.09</v>
      </c>
      <c r="AS27" s="27" cm="1">
        <f t="array" ref="AS27">VLOOKUP($R27,武学奇术!$A:$ZZ,8,FALSE)+SUM(_xlfn.XLOOKUP(S27:AG27,增益!$A:$A,增益!$H:$H,0))</f>
        <v>0</v>
      </c>
      <c r="AT27">
        <f t="shared" si="1"/>
        <v>0</v>
      </c>
      <c r="AU27">
        <f t="shared" si="2"/>
        <v>0</v>
      </c>
      <c r="AV27" s="33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-0.24</v>
      </c>
      <c r="AW27" s="33" cm="1">
        <f t="array" ref="AW27">$G$11+VLOOKUP($R27,武学奇术!$A:$ZZ,10,FALSE)+SUM(_xlfn.XLOOKUP(S27:AG27,增益!$A:$A,增益!$J:$J,0))</f>
        <v>0</v>
      </c>
      <c r="AX27">
        <f t="shared" si="3"/>
        <v>0</v>
      </c>
      <c r="AY27">
        <f t="shared" si="4"/>
        <v>0</v>
      </c>
      <c r="AZ27" s="33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-0.24</v>
      </c>
      <c r="BA27" s="33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3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-0.24</v>
      </c>
      <c r="BE27" s="33" cm="1">
        <f t="array" ref="BE27">$G$13+VLOOKUP($R27,武学奇术!$A:$ZZ,14,FALSE)+SUM(_xlfn.XLOOKUP(S27:AG27,增益!$A:$A,增益!$N:$N,0))</f>
        <v>0</v>
      </c>
      <c r="BF27">
        <f t="shared" si="7"/>
        <v>605.472</v>
      </c>
      <c r="BG27">
        <f t="shared" si="8"/>
        <v>1725.468</v>
      </c>
      <c r="BH27" s="33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0.03</v>
      </c>
      <c r="BI27" s="33" cm="1">
        <f t="array" ref="BI27">$G$14+VLOOKUP($R27,武学奇术!$A:$ZZ,16,FALSE)+SUM(_xlfn.XLOOKUP(S27:AG27,增益!$A:$A,增益!$P:$P,0))</f>
        <v>0.24</v>
      </c>
      <c r="BJ27" s="27">
        <f>MIN(IF(VLOOKUP($R27,武学奇术!$A:$ZZ,23,FALSE)=1,100%,$B$8),100%)</f>
        <v>1</v>
      </c>
      <c r="BK27" s="27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+MIN(IF(VLOOKUP($R27,武学奇术!$A:$ZZ,32,FALSE)=1,IF(VLOOKUP($R27,武学奇术!$A:$ZZ,24,FALSE)=1,100%,MIN(40%,$B$10+VLOOKUP($R27,武学奇术!$A:$ZZ,19,FALSE)+SUM(_xlfn.XLOOKUP(S27:AG27,增益!$A:$A,增益!$S:$S,0)))+$B$12+SUM(_xlfn.XLOOKUP(S27:AG27,增益!$A:$A,增益!$V:$V,0))),0),12%)</f>
        <v>0.9036</v>
      </c>
      <c r="BL27" s="27" cm="1">
        <f t="array" ref="BL27">1+$B$13+VLOOKUP($R27,武学奇术!$A:$ZZ,18,FALSE)+SUM(_xlfn.XLOOKUP(S27:AG27,增益!$A:$A,增益!$R:$R,0))</f>
        <v>1.91</v>
      </c>
      <c r="BM27" s="27" cm="1">
        <f t="array" ref="BM27">MAX(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-IF(VLOOKUP($R27,武学奇术!$A:$ZZ,32,FALSE)=1,12%,0),0)</f>
        <v>0.0929</v>
      </c>
      <c r="BN27" s="27" cm="1">
        <f t="array" ref="BN27">1+$B$14+VLOOKUP($R27,武学奇术!$A:$ZZ,20,FALSE)+SUM(_xlfn.XLOOKUP(S27:AG27,增益!$A:$A,增益!$T:$T,0))</f>
        <v>1.35</v>
      </c>
      <c r="BO27" s="27">
        <f t="shared" si="9"/>
        <v>0.9036</v>
      </c>
      <c r="BP27" s="27">
        <f t="shared" si="10"/>
        <v>0.00350000000000006</v>
      </c>
      <c r="BQ27" s="27">
        <f>IF(VLOOKUP($R27,武学奇术!$A:$ZZ,22,FALSE)=1,0,(1-$BJ27))*(1-$BM27)</f>
        <v>0</v>
      </c>
      <c r="BR27" s="27" cm="1">
        <f t="array" ref="BR27">SUM(_xlfn.XLOOKUP(S27:AG27,增益!$A:$A,增益!$W:$W,0))+$I$5</f>
        <v>0.11</v>
      </c>
    </row>
    <row r="28" spans="1:70">
      <c r="A28" t="s">
        <v>158</v>
      </c>
      <c r="B28">
        <v>1.3</v>
      </c>
      <c r="H28">
        <v>21</v>
      </c>
      <c r="K28">
        <f>$L28*VLOOKUP($R28,武学奇术!$A:$ZZ,31,FALSE)</f>
        <v>34018.5793717602</v>
      </c>
      <c r="L28" s="39">
        <f t="shared" si="0"/>
        <v>34018.5793717602</v>
      </c>
      <c r="M28" s="39">
        <f>((($AO28+($AP28-$AO28)*IF(VLOOKUP($R28,武学奇术!$A:$ZZ,31,FALSE)=1,$F$18,0.5))*$AI28+$AJ28)*(1+$AQ28)*(1+$AR28)+(($AT28+($AU28-$AT28)*IF(VLOOKUP($R28,武学奇术!$A:$ZZ,31,FALSE)=1,$F$18,0.5))*IF($G$1="鸣金",$AK28,$AI28)+IF($G$1="鸣金",$AL28*1.5,0))*(1+$AV28)*(1+$AW28)+(($AX28+($AY28-$AX28)*IF(VLOOKUP($R28,武学奇术!$A:$ZZ,31,FALSE)=1,$F$18,0.5))*IF($G$1="裂石",$AK28,$AI28)+IF($G$1="裂石",$AL28*1.5,0))*(1+$AZ28)*(1+$BA28)+(($BB28+($BC28-$BB28)*IF(VLOOKUP($R28,武学奇术!$A:$ZZ,31,FALSE)=1,$F$18,0.5))*IF($G$1="牵丝",$AK28,$AI28)+IF($G$1="牵丝",$AL28*1.5,0))*(1+$BD28)*(1+$BE28)+(($BF28+($BG28-$BF28)*IF(VLOOKUP($R28,武学奇术!$A:$ZZ,31,FALSE)=1,$F$18,0.5))*IF($G$1="破竹",$AK28,$AI28)+IF($G$1="破竹",$AL28*1.5,0))*(1+$BH28)*(1+$BI28))*(1+$AM28)*$BL28*$Q28*(1+IF(VLOOKUP($R28,武学奇术!$A:$ZZ,30,FALSE)="蓄力技",$B$21,0))*(1+$BR28)</f>
        <v>34260.8540969945</v>
      </c>
      <c r="N28" s="39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32141.9966858324</v>
      </c>
      <c r="O28" s="39">
        <f>((($AO28+($AP28-$AO28)*IF(VLOOKUP($R28,武学奇术!$A:$ZZ,31,FALSE)=1,$F$18,0.5))*$AI28+$AJ28)*(1+$AQ28)*(1+$AR28)+(($AT28+($AU28-$AT28)*IF(VLOOKUP($R28,武学奇术!$A:$ZZ,31,FALSE)=1,$F$18,0.5))*IF($G$1="鸣金",$AK28,$AI28)+IF($G$1="鸣金",$AL28*1.5,0))*(1+$AV28)*(1+$AW28)+(($AX28+($AY28-$AX28)*IF(VLOOKUP($R28,武学奇术!$A:$ZZ,31,FALSE)=1,$F$18,0.5))*IF($G$1="裂石",$AK28,$AI28)+IF($G$1="裂石",$AL28*1.5,0))*(1+$AZ28)*(1+$BA28)+(($BB28+($BC28-$BB28)*IF(VLOOKUP($R28,武学奇术!$A:$ZZ,31,FALSE)=1,$F$18,0.5))*IF($G$1="牵丝",$AK28,$AI28)+IF($G$1="牵丝",$AL28*1.5,0))*(1+$BD28)*(1+$BE28)+(($BF28+($BG28-$BF28)*IF(VLOOKUP($R28,武学奇术!$A:$ZZ,31,FALSE)=1,$F$18,0.5))*IF($G$1="破竹",$AK28,$AI28)+IF($G$1="破竹",$AL28*1.5,0))*(1+$BH28)*(1+$BI28))*(1+$AM28)*$Q28*(1+IF(VLOOKUP($R28,武学奇术!$A:$ZZ,30,FALSE)="蓄力技",$B$21,0))*(1+$BR28)</f>
        <v>21280.0336006177</v>
      </c>
      <c r="P28" s="39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18751.1807672855</v>
      </c>
      <c r="Q28" s="40">
        <v>1</v>
      </c>
      <c r="R28" s="41" t="s">
        <v>159</v>
      </c>
      <c r="S28" s="41" t="s">
        <v>97</v>
      </c>
      <c r="T28" s="41" t="s">
        <v>73</v>
      </c>
      <c r="U28" s="41" t="s">
        <v>73</v>
      </c>
      <c r="V28" s="41" t="s">
        <v>73</v>
      </c>
      <c r="W28" s="41" t="s">
        <v>73</v>
      </c>
      <c r="X28" s="41" t="s">
        <v>73</v>
      </c>
      <c r="Y28" s="41" t="s">
        <v>156</v>
      </c>
      <c r="Z28" s="41" t="s">
        <v>73</v>
      </c>
      <c r="AA28" s="41" t="s">
        <v>73</v>
      </c>
      <c r="AB28" s="41" t="s">
        <v>84</v>
      </c>
      <c r="AC28" s="41" t="s">
        <v>73</v>
      </c>
      <c r="AD28" s="41" t="s">
        <v>73</v>
      </c>
      <c r="AE28" s="41" t="s">
        <v>76</v>
      </c>
      <c r="AF28" s="41" t="s">
        <v>77</v>
      </c>
      <c r="AG28" s="41" t="s">
        <v>78</v>
      </c>
      <c r="AH28" t="str">
        <f>VLOOKUP($R28,武学奇术!$A:$ZZ,25,FALSE)</f>
        <v>绳镖</v>
      </c>
      <c r="AI28" s="27">
        <f>VLOOKUP($R28,武学奇术!$A:$ZZ,26,FALSE)</f>
        <v>1.6584</v>
      </c>
      <c r="AJ28" s="28">
        <f>VLOOKUP($R28,武学奇术!$A:$ZZ,27,FALSE)*(1+IF(OR($AH28=$F$4,$AH28=$F$5),$B$22,0))</f>
        <v>687</v>
      </c>
      <c r="AK28" s="27">
        <f>VLOOKUP($R28,武学奇术!$A:$ZZ,28,FALSE)</f>
        <v>2.4876</v>
      </c>
      <c r="AL28" s="28">
        <f>VLOOKUP($R28,武学奇术!$A:$ZZ,29,FALSE)*(1+IF(OR($AH28=$F$4,$AH28=$F$5),$B$22,0))</f>
        <v>375</v>
      </c>
      <c r="AM28" s="27" cm="1">
        <f t="array" ref="AM28">$G$3+IFERROR(VLOOKUP($AH28,$F$4:$G$7,2,FALSE),0)+VLOOKUP($R28,武学奇术!$A:$ZZ,2,FALSE)+SUM(_xlfn.XLOOKUP($S28:$AG28,增益!$A:$A,增益!$B:$B,0))</f>
        <v>0.3189</v>
      </c>
      <c r="AN28" s="27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3888.382</v>
      </c>
      <c r="AP28" cm="1">
        <f t="array" ref="AP28">$E$10*(1+$AN28)+VLOOKUP($R28,武学奇术!$A:$ZZ,4,FALSE)+SUM(_xlfn.XLOOKUP($S28:$AG28,增益!$A:$A,增益!$D:$D,0))-$I$2</f>
        <v>3888.382</v>
      </c>
      <c r="AQ28" s="33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0.317</v>
      </c>
      <c r="AR28" s="33" cm="1">
        <f t="array" ref="AR28">$G$10+VLOOKUP($R28,武学奇术!$A:$ZZ,7,FALSE)+SUM(_xlfn.XLOOKUP(S28:AG28,增益!$A:$A,增益!$G:$G,0))</f>
        <v>0.09</v>
      </c>
      <c r="AS28" s="27" cm="1">
        <f t="array" ref="AS28">VLOOKUP($R28,武学奇术!$A:$ZZ,8,FALSE)+SUM(_xlfn.XLOOKUP(S28:AG28,增益!$A:$A,增益!$H:$H,0))</f>
        <v>0</v>
      </c>
      <c r="AT28">
        <f t="shared" si="1"/>
        <v>0</v>
      </c>
      <c r="AU28">
        <f t="shared" si="2"/>
        <v>0</v>
      </c>
      <c r="AV28" s="33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-0.3</v>
      </c>
      <c r="AW28" s="33" cm="1">
        <f t="array" ref="AW28">$G$11+VLOOKUP($R28,武学奇术!$A:$ZZ,10,FALSE)+SUM(_xlfn.XLOOKUP(S28:AG28,增益!$A:$A,增益!$J:$J,0))</f>
        <v>0</v>
      </c>
      <c r="AX28">
        <f t="shared" si="3"/>
        <v>0</v>
      </c>
      <c r="AY28">
        <f t="shared" si="4"/>
        <v>0</v>
      </c>
      <c r="AZ28" s="33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3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3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3" cm="1">
        <f t="array" ref="BE28">$G$13+VLOOKUP($R28,武学奇术!$A:$ZZ,14,FALSE)+SUM(_xlfn.XLOOKUP(S28:AG28,增益!$A:$A,增益!$N:$N,0))</f>
        <v>0</v>
      </c>
      <c r="BF28">
        <f t="shared" si="7"/>
        <v>605.472</v>
      </c>
      <c r="BG28">
        <f t="shared" si="8"/>
        <v>1725.468</v>
      </c>
      <c r="BH28" s="33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0</v>
      </c>
      <c r="BI28" s="33" cm="1">
        <f t="array" ref="BI28">$G$14+VLOOKUP($R28,武学奇术!$A:$ZZ,16,FALSE)+SUM(_xlfn.XLOOKUP(S28:AG28,增益!$A:$A,增益!$P:$P,0))</f>
        <v>0.24</v>
      </c>
      <c r="BJ28" s="27">
        <f>MIN(IF(VLOOKUP($R28,武学奇术!$A:$ZZ,23,FALSE)=1,100%,$B$8),100%)</f>
        <v>1</v>
      </c>
      <c r="BK28" s="27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+MIN(IF(VLOOKUP($R28,武学奇术!$A:$ZZ,32,FALSE)=1,IF(VLOOKUP($R28,武学奇术!$A:$ZZ,24,FALSE)=1,100%,MIN(40%,$B$10+VLOOKUP($R28,武学奇术!$A:$ZZ,19,FALSE)+SUM(_xlfn.XLOOKUP(S28:AG28,增益!$A:$A,增益!$S:$S,0)))+$B$12+SUM(_xlfn.XLOOKUP(S28:AG28,增益!$A:$A,增益!$V:$V,0))),0),12%)</f>
        <v>0.9036</v>
      </c>
      <c r="BL28" s="27" cm="1">
        <f t="array" ref="BL28">1+$B$13+VLOOKUP($R28,武学奇术!$A:$ZZ,18,FALSE)+SUM(_xlfn.XLOOKUP(S28:AG28,增益!$A:$A,增益!$R:$R,0))</f>
        <v>1.61</v>
      </c>
      <c r="BM28" s="27" cm="1">
        <f t="array" ref="BM28">MAX(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-IF(VLOOKUP($R28,武学奇术!$A:$ZZ,32,FALSE)=1,12%,0),0)</f>
        <v>0.0929</v>
      </c>
      <c r="BN28" s="27" cm="1">
        <f t="array" ref="BN28">1+$B$14+VLOOKUP($R28,武学奇术!$A:$ZZ,20,FALSE)+SUM(_xlfn.XLOOKUP(S28:AG28,增益!$A:$A,增益!$T:$T,0))</f>
        <v>1.35</v>
      </c>
      <c r="BO28" s="27">
        <f t="shared" si="9"/>
        <v>0.9036</v>
      </c>
      <c r="BP28" s="27">
        <f t="shared" si="10"/>
        <v>0.00350000000000006</v>
      </c>
      <c r="BQ28" s="27">
        <f>IF(VLOOKUP($R28,武学奇术!$A:$ZZ,22,FALSE)=1,0,(1-$BJ28))*(1-$BM28)</f>
        <v>0</v>
      </c>
      <c r="BR28" s="27" cm="1">
        <f t="array" ref="BR28">SUM(_xlfn.XLOOKUP(S28:AG28,增益!$A:$A,增益!$W:$W,0))+$I$5</f>
        <v>0.11</v>
      </c>
    </row>
    <row r="29" spans="1:70">
      <c r="A29" t="s">
        <v>160</v>
      </c>
      <c r="B29">
        <v>0.1</v>
      </c>
      <c r="H29">
        <v>41</v>
      </c>
      <c r="K29">
        <f>$L29*VLOOKUP($R29,武学奇术!$A:$ZZ,31,FALSE)</f>
        <v>91639.3322309651</v>
      </c>
      <c r="L29" s="39">
        <f t="shared" si="0"/>
        <v>70491.7940238193</v>
      </c>
      <c r="M29" s="39">
        <f>((($AO29+($AP29-$AO29)*IF(VLOOKUP($R29,武学奇术!$A:$ZZ,31,FALSE)=1,$F$18,0.5))*$AI29+$AJ29)*(1+$AQ29)*(1+$AR29)+(($AT29+($AU29-$AT29)*IF(VLOOKUP($R29,武学奇术!$A:$ZZ,31,FALSE)=1,$F$18,0.5))*IF($G$1="鸣金",$AK29,$AI29)+IF($G$1="鸣金",$AL29*1.5,0))*(1+$AV29)*(1+$AW29)+(($AX29+($AY29-$AX29)*IF(VLOOKUP($R29,武学奇术!$A:$ZZ,31,FALSE)=1,$F$18,0.5))*IF($G$1="裂石",$AK29,$AI29)+IF($G$1="裂石",$AL29*1.5,0))*(1+$AZ29)*(1+$BA29)+(($BB29+($BC29-$BB29)*IF(VLOOKUP($R29,武学奇术!$A:$ZZ,31,FALSE)=1,$F$18,0.5))*IF($G$1="牵丝",$AK29,$AI29)+IF($G$1="牵丝",$AL29*1.5,0))*(1+$BD29)*(1+$BE29)+(($BF29+($BG29-$BF29)*IF(VLOOKUP($R29,武学奇术!$A:$ZZ,31,FALSE)=1,$F$18,0.5))*IF($G$1="破竹",$AK29,$AI29)+IF($G$1="破竹",$AL29*1.5,0))*(1+$BH29)*(1+$BI29))*(1+$AM29)*$BL29*$Q29*(1+IF(VLOOKUP($R29,武学奇术!$A:$ZZ,30,FALSE)="蓄力技",$B$21,0))*(1+$BR29)</f>
        <v>71932.9769251147</v>
      </c>
      <c r="N29" s="39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57710.8904054215</v>
      </c>
      <c r="O29" s="39">
        <f>((($AO29+($AP29-$AO29)*IF(VLOOKUP($R29,武学奇术!$A:$ZZ,31,FALSE)=1,$F$18,0.5))*$AI29+$AJ29)*(1+$AQ29)*(1+$AR29)+(($AT29+($AU29-$AT29)*IF(VLOOKUP($R29,武学奇术!$A:$ZZ,31,FALSE)=1,$F$18,0.5))*IF($G$1="鸣金",$AK29,$AI29)+IF($G$1="鸣金",$AL29*1.5,0))*(1+$AV29)*(1+$AW29)+(($AX29+($AY29-$AX29)*IF(VLOOKUP($R29,武学奇术!$A:$ZZ,31,FALSE)=1,$F$18,0.5))*IF($G$1="裂石",$AK29,$AI29)+IF($G$1="裂石",$AL29*1.5,0))*(1+$AZ29)*(1+$BA29)+(($BB29+($BC29-$BB29)*IF(VLOOKUP($R29,武学奇术!$A:$ZZ,31,FALSE)=1,$F$18,0.5))*IF($G$1="牵丝",$AK29,$AI29)+IF($G$1="牵丝",$AL29*1.5,0))*(1+$BD29)*(1+$BE29)+(($BF29+($BG29-$BF29)*IF(VLOOKUP($R29,武学奇术!$A:$ZZ,31,FALSE)=1,$F$18,0.5))*IF($G$1="破竹",$AK29,$AI29)+IF($G$1="破竹",$AL29*1.5,0))*(1+$BH29)*(1+$BI29))*(1+$AM29)*$Q29*(1+IF(VLOOKUP($R29,武学奇术!$A:$ZZ,30,FALSE)="蓄力技",$B$21,0))*(1+$BR29)</f>
        <v>37661.2444634109</v>
      </c>
      <c r="P29" s="39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32573.6812191021</v>
      </c>
      <c r="Q29" s="40">
        <v>1</v>
      </c>
      <c r="R29" s="41" t="s">
        <v>110</v>
      </c>
      <c r="S29" s="41" t="s">
        <v>97</v>
      </c>
      <c r="T29" s="41" t="s">
        <v>73</v>
      </c>
      <c r="U29" s="41" t="s">
        <v>73</v>
      </c>
      <c r="V29" s="41" t="s">
        <v>73</v>
      </c>
      <c r="W29" s="41" t="s">
        <v>73</v>
      </c>
      <c r="X29" s="41" t="s">
        <v>73</v>
      </c>
      <c r="Y29" s="41" t="s">
        <v>156</v>
      </c>
      <c r="Z29" s="41" t="s">
        <v>73</v>
      </c>
      <c r="AA29" s="41" t="s">
        <v>105</v>
      </c>
      <c r="AB29" s="41" t="s">
        <v>84</v>
      </c>
      <c r="AC29" s="41" t="s">
        <v>73</v>
      </c>
      <c r="AD29" s="41" t="s">
        <v>73</v>
      </c>
      <c r="AE29" s="41" t="s">
        <v>76</v>
      </c>
      <c r="AF29" s="41" t="s">
        <v>77</v>
      </c>
      <c r="AG29" s="41" t="s">
        <v>78</v>
      </c>
      <c r="AH29" t="str">
        <f>VLOOKUP($R29,武学奇术!$A:$ZZ,25,FALSE)</f>
        <v>绳镖</v>
      </c>
      <c r="AI29" s="27">
        <f>VLOOKUP($R29,武学奇术!$A:$ZZ,26,FALSE)</f>
        <v>2.638944</v>
      </c>
      <c r="AJ29" s="28">
        <f>VLOOKUP($R29,武学奇术!$A:$ZZ,27,FALSE)*(1+IF(OR($AH29=$F$4,$AH29=$F$5),$B$22,0))</f>
        <v>0</v>
      </c>
      <c r="AK29" s="27">
        <f>VLOOKUP($R29,武学奇术!$A:$ZZ,28,FALSE)</f>
        <v>3.958416</v>
      </c>
      <c r="AL29" s="28">
        <f>VLOOKUP($R29,武学奇术!$A:$ZZ,29,FALSE)*(1+IF(OR($AH29=$F$4,$AH29=$F$5),$B$22,0))</f>
        <v>0</v>
      </c>
      <c r="AM29" s="27" cm="1">
        <f t="array" ref="AM29">$G$3+IFERROR(VLOOKUP($AH29,$F$4:$G$7,2,FALSE),0)+VLOOKUP($R29,武学奇术!$A:$ZZ,2,FALSE)+SUM(_xlfn.XLOOKUP($S29:$AG29,增益!$A:$A,增益!$B:$B,0))</f>
        <v>0.6189</v>
      </c>
      <c r="AN29" s="27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3888.382</v>
      </c>
      <c r="AP29" cm="1">
        <f t="array" ref="AP29">$E$10*(1+$AN29)+VLOOKUP($R29,武学奇术!$A:$ZZ,4,FALSE)+SUM(_xlfn.XLOOKUP($S29:$AG29,增益!$A:$A,增益!$D:$D,0))-$I$2</f>
        <v>3888.382</v>
      </c>
      <c r="AQ29" s="33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0.347</v>
      </c>
      <c r="AR29" s="33" cm="1">
        <f t="array" ref="AR29">$G$10+VLOOKUP($R29,武学奇术!$A:$ZZ,7,FALSE)+SUM(_xlfn.XLOOKUP(S29:AG29,增益!$A:$A,增益!$G:$G,0))</f>
        <v>0.09</v>
      </c>
      <c r="AS29" s="27" cm="1">
        <f t="array" ref="AS29">VLOOKUP($R29,武学奇术!$A:$ZZ,8,FALSE)+SUM(_xlfn.XLOOKUP(S29:AG29,增益!$A:$A,增益!$H:$H,0))</f>
        <v>0</v>
      </c>
      <c r="AT29">
        <f t="shared" si="1"/>
        <v>0</v>
      </c>
      <c r="AU29">
        <f t="shared" si="2"/>
        <v>0</v>
      </c>
      <c r="AV29" s="33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-0.24</v>
      </c>
      <c r="AW29" s="33" cm="1">
        <f t="array" ref="AW29">$G$11+VLOOKUP($R29,武学奇术!$A:$ZZ,10,FALSE)+SUM(_xlfn.XLOOKUP(S29:AG29,增益!$A:$A,增益!$J:$J,0))</f>
        <v>0</v>
      </c>
      <c r="AX29">
        <f t="shared" si="3"/>
        <v>0</v>
      </c>
      <c r="AY29">
        <f t="shared" si="4"/>
        <v>0</v>
      </c>
      <c r="AZ29" s="33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-0.24</v>
      </c>
      <c r="BA29" s="33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3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-0.24</v>
      </c>
      <c r="BE29" s="33" cm="1">
        <f t="array" ref="BE29">$G$13+VLOOKUP($R29,武学奇术!$A:$ZZ,14,FALSE)+SUM(_xlfn.XLOOKUP(S29:AG29,增益!$A:$A,增益!$N:$N,0))</f>
        <v>0</v>
      </c>
      <c r="BF29">
        <f t="shared" si="7"/>
        <v>605.472</v>
      </c>
      <c r="BG29">
        <f t="shared" si="8"/>
        <v>1725.468</v>
      </c>
      <c r="BH29" s="33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0.03</v>
      </c>
      <c r="BI29" s="33" cm="1">
        <f t="array" ref="BI29">$G$14+VLOOKUP($R29,武学奇术!$A:$ZZ,16,FALSE)+SUM(_xlfn.XLOOKUP(S29:AG29,增益!$A:$A,增益!$P:$P,0))</f>
        <v>0.24</v>
      </c>
      <c r="BJ29" s="27">
        <f>MIN(IF(VLOOKUP($R29,武学奇术!$A:$ZZ,23,FALSE)=1,100%,$B$8),100%)</f>
        <v>1</v>
      </c>
      <c r="BK29" s="27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+MIN(IF(VLOOKUP($R29,武学奇术!$A:$ZZ,32,FALSE)=1,IF(VLOOKUP($R29,武学奇术!$A:$ZZ,24,FALSE)=1,100%,MIN(40%,$B$10+VLOOKUP($R29,武学奇术!$A:$ZZ,19,FALSE)+SUM(_xlfn.XLOOKUP(S29:AG29,增益!$A:$A,增益!$S:$S,0)))+$B$12+SUM(_xlfn.XLOOKUP(S29:AG29,增益!$A:$A,增益!$V:$V,0))),0),12%)</f>
        <v>0.9036</v>
      </c>
      <c r="BL29" s="27" cm="1">
        <f t="array" ref="BL29">1+$B$13+VLOOKUP($R29,武学奇术!$A:$ZZ,18,FALSE)+SUM(_xlfn.XLOOKUP(S29:AG29,增益!$A:$A,增益!$R:$R,0))</f>
        <v>1.91</v>
      </c>
      <c r="BM29" s="27" cm="1">
        <f t="array" ref="BM29">MAX(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-IF(VLOOKUP($R29,武学奇术!$A:$ZZ,32,FALSE)=1,12%,0),0)</f>
        <v>0.0929</v>
      </c>
      <c r="BN29" s="27" cm="1">
        <f t="array" ref="BN29">1+$B$14+VLOOKUP($R29,武学奇术!$A:$ZZ,20,FALSE)+SUM(_xlfn.XLOOKUP(S29:AG29,增益!$A:$A,增益!$T:$T,0))</f>
        <v>1.35</v>
      </c>
      <c r="BO29" s="27">
        <f t="shared" si="9"/>
        <v>0.9036</v>
      </c>
      <c r="BP29" s="27">
        <f t="shared" si="10"/>
        <v>0.00350000000000006</v>
      </c>
      <c r="BQ29" s="27">
        <f>IF(VLOOKUP($R29,武学奇术!$A:$ZZ,22,FALSE)=1,0,(1-$BJ29))*(1-$BM29)</f>
        <v>0</v>
      </c>
      <c r="BR29" s="27" cm="1">
        <f t="array" ref="BR29">SUM(_xlfn.XLOOKUP(S29:AG29,增益!$A:$A,增益!$W:$W,0))+$I$5</f>
        <v>0.11</v>
      </c>
    </row>
    <row r="30" spans="1:70">
      <c r="E30" s="4"/>
      <c r="F30" s="4"/>
      <c r="H30">
        <v>73</v>
      </c>
      <c r="K30">
        <f>$L30*VLOOKUP($R30,武学奇术!$A:$ZZ,31,FALSE)</f>
        <v>54915.1357692898</v>
      </c>
      <c r="L30" s="39">
        <f t="shared" si="0"/>
        <v>54915.1357692898</v>
      </c>
      <c r="M30" s="39">
        <f>((($AO30+($AP30-$AO30)*IF(VLOOKUP($R30,武学奇术!$A:$ZZ,31,FALSE)=1,$F$18,0.5))*$AI30+$AJ30)*(1+$AQ30)*(1+$AR30)+(($AT30+($AU30-$AT30)*IF(VLOOKUP($R30,武学奇术!$A:$ZZ,31,FALSE)=1,$F$18,0.5))*IF($G$1="鸣金",$AK30,$AI30)+IF($G$1="鸣金",$AL30*1.5,0))*(1+$AV30)*(1+$AW30)+(($AX30+($AY30-$AX30)*IF(VLOOKUP($R30,武学奇术!$A:$ZZ,31,FALSE)=1,$F$18,0.5))*IF($G$1="裂石",$AK30,$AI30)+IF($G$1="裂石",$AL30*1.5,0))*(1+$AZ30)*(1+$BA30)+(($BB30+($BC30-$BB30)*IF(VLOOKUP($R30,武学奇术!$A:$ZZ,31,FALSE)=1,$F$18,0.5))*IF($G$1="牵丝",$AK30,$AI30)+IF($G$1="牵丝",$AL30*1.5,0))*(1+$BD30)*(1+$BE30)+(($BF30+($BG30-$BF30)*IF(VLOOKUP($R30,武学奇术!$A:$ZZ,31,FALSE)=1,$F$18,0.5))*IF($G$1="破竹",$AK30,$AI30)+IF($G$1="破竹",$AL30*1.5,0))*(1+$BH30)*(1+$BI30))*(1+$AM30)*$BL30*$Q30*(1+IF(VLOOKUP($R30,武学奇术!$A:$ZZ,30,FALSE)="蓄力技",$B$21,0))*(1+$BR30)</f>
        <v>55308.5675012297</v>
      </c>
      <c r="N30" s="39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51871.0479709708</v>
      </c>
      <c r="O30" s="39">
        <f>((($AO30+($AP30-$AO30)*IF(VLOOKUP($R30,武学奇术!$A:$ZZ,31,FALSE)=1,$F$18,0.5))*$AI30+$AJ30)*(1+$AQ30)*(1+$AR30)+(($AT30+($AU30-$AT30)*IF(VLOOKUP($R30,武学奇术!$A:$ZZ,31,FALSE)=1,$F$18,0.5))*IF($G$1="鸣金",$AK30,$AI30)+IF($G$1="鸣金",$AL30*1.5,0))*(1+$AV30)*(1+$AW30)+(($AX30+($AY30-$AX30)*IF(VLOOKUP($R30,武学奇术!$A:$ZZ,31,FALSE)=1,$F$18,0.5))*IF($G$1="裂石",$AK30,$AI30)+IF($G$1="裂石",$AL30*1.5,0))*(1+$AZ30)*(1+$BA30)+(($BB30+($BC30-$BB30)*IF(VLOOKUP($R30,武学奇术!$A:$ZZ,31,FALSE)=1,$F$18,0.5))*IF($G$1="牵丝",$AK30,$AI30)+IF($G$1="牵丝",$AL30*1.5,0))*(1+$BD30)*(1+$BE30)+(($BF30+($BG30-$BF30)*IF(VLOOKUP($R30,武学奇术!$A:$ZZ,31,FALSE)=1,$F$18,0.5))*IF($G$1="破竹",$AK30,$AI30)+IF($G$1="破竹",$AL30*1.5,0))*(1+$BH30)*(1+$BI30))*(1+$AM30)*$Q30*(1+IF(VLOOKUP($R30,武学奇术!$A:$ZZ,30,FALSE)="蓄力技",$B$21,0))*(1+$BR30)</f>
        <v>34141.0910501418</v>
      </c>
      <c r="P30" s="39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29859.1836032682</v>
      </c>
      <c r="Q30" s="40">
        <v>1</v>
      </c>
      <c r="R30" s="41" t="s">
        <v>120</v>
      </c>
      <c r="S30" s="41" t="s">
        <v>97</v>
      </c>
      <c r="T30" s="41" t="s">
        <v>73</v>
      </c>
      <c r="U30" s="41" t="s">
        <v>73</v>
      </c>
      <c r="V30" s="41" t="s">
        <v>73</v>
      </c>
      <c r="W30" s="41" t="s">
        <v>73</v>
      </c>
      <c r="X30" s="41" t="s">
        <v>73</v>
      </c>
      <c r="Y30" s="41" t="s">
        <v>161</v>
      </c>
      <c r="Z30" s="41" t="s">
        <v>83</v>
      </c>
      <c r="AA30" s="41" t="s">
        <v>73</v>
      </c>
      <c r="AB30" s="41" t="s">
        <v>84</v>
      </c>
      <c r="AC30" s="41" t="s">
        <v>73</v>
      </c>
      <c r="AD30" s="41" t="s">
        <v>73</v>
      </c>
      <c r="AE30" s="41" t="s">
        <v>76</v>
      </c>
      <c r="AF30" s="41" t="s">
        <v>77</v>
      </c>
      <c r="AG30" s="41" t="s">
        <v>78</v>
      </c>
      <c r="AH30" t="str">
        <f>VLOOKUP($R30,武学奇术!$A:$ZZ,25,FALSE)</f>
        <v>拳甲</v>
      </c>
      <c r="AI30" s="27">
        <f>VLOOKUP($R30,武学奇术!$A:$ZZ,26,FALSE)</f>
        <v>2.4421</v>
      </c>
      <c r="AJ30" s="28">
        <f>VLOOKUP($R30,武学奇术!$A:$ZZ,27,FALSE)*(1+IF(OR($AH30=$F$4,$AH30=$F$5),$B$22,0))</f>
        <v>1012.5</v>
      </c>
      <c r="AK30" s="27">
        <f>VLOOKUP($R30,武学奇术!$A:$ZZ,28,FALSE)</f>
        <v>3.6634</v>
      </c>
      <c r="AL30" s="28">
        <f>VLOOKUP($R30,武学奇术!$A:$ZZ,29,FALSE)*(1+IF(OR($AH30=$F$4,$AH30=$F$5),$B$22,0))</f>
        <v>549</v>
      </c>
      <c r="AM30" s="27" cm="1">
        <f t="array" ref="AM30">$G$3+IFERROR(VLOOKUP($AH30,$F$4:$G$7,2,FALSE),0)+VLOOKUP($R30,武学奇术!$A:$ZZ,2,FALSE)+SUM(_xlfn.XLOOKUP($S30:$AG30,增益!$A:$A,增益!$B:$B,0))</f>
        <v>0.4041</v>
      </c>
      <c r="AN30" s="27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3888.382</v>
      </c>
      <c r="AP30" cm="1">
        <f t="array" ref="AP30">$E$10*(1+$AN30)+VLOOKUP($R30,武学奇术!$A:$ZZ,4,FALSE)+SUM(_xlfn.XLOOKUP($S30:$AG30,增益!$A:$A,增益!$D:$D,0))-$I$2</f>
        <v>3888.382</v>
      </c>
      <c r="AQ30" s="33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0.317</v>
      </c>
      <c r="AR30" s="33" cm="1">
        <f t="array" ref="AR30">$G$10+VLOOKUP($R30,武学奇术!$A:$ZZ,7,FALSE)+SUM(_xlfn.XLOOKUP(S30:AG30,增益!$A:$A,增益!$G:$G,0))</f>
        <v>0.09</v>
      </c>
      <c r="AS30" s="27" cm="1">
        <f t="array" ref="AS30">VLOOKUP($R30,武学奇术!$A:$ZZ,8,FALSE)+SUM(_xlfn.XLOOKUP(S30:AG30,增益!$A:$A,增益!$H:$H,0))</f>
        <v>0</v>
      </c>
      <c r="AT30">
        <f t="shared" si="1"/>
        <v>0</v>
      </c>
      <c r="AU30">
        <f t="shared" si="2"/>
        <v>0</v>
      </c>
      <c r="AV30" s="33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-0.14</v>
      </c>
      <c r="AW30" s="33" cm="1">
        <f t="array" ref="AW30">$G$11+VLOOKUP($R30,武学奇术!$A:$ZZ,10,FALSE)+SUM(_xlfn.XLOOKUP(S30:AG30,增益!$A:$A,增益!$J:$J,0))</f>
        <v>0</v>
      </c>
      <c r="AX30">
        <f t="shared" si="3"/>
        <v>0</v>
      </c>
      <c r="AY30">
        <f t="shared" si="4"/>
        <v>0</v>
      </c>
      <c r="AZ30" s="33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-0.14</v>
      </c>
      <c r="BA30" s="33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3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-0.14</v>
      </c>
      <c r="BE30" s="33" cm="1">
        <f t="array" ref="BE30">$G$13+VLOOKUP($R30,武学奇术!$A:$ZZ,14,FALSE)+SUM(_xlfn.XLOOKUP(S30:AG30,增益!$A:$A,增益!$N:$N,0))</f>
        <v>0</v>
      </c>
      <c r="BF30">
        <f t="shared" si="7"/>
        <v>605.472</v>
      </c>
      <c r="BG30">
        <f t="shared" si="8"/>
        <v>1725.468</v>
      </c>
      <c r="BH30" s="33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0.08</v>
      </c>
      <c r="BI30" s="33" cm="1">
        <f t="array" ref="BI30">$G$14+VLOOKUP($R30,武学奇术!$A:$ZZ,16,FALSE)+SUM(_xlfn.XLOOKUP(S30:AG30,增益!$A:$A,增益!$P:$P,0))</f>
        <v>0.24</v>
      </c>
      <c r="BJ30" s="27">
        <f>MIN(IF(VLOOKUP($R30,武学奇术!$A:$ZZ,23,FALSE)=1,100%,$B$8),100%)</f>
        <v>1</v>
      </c>
      <c r="BK30" s="27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+MIN(IF(VLOOKUP($R30,武学奇术!$A:$ZZ,32,FALSE)=1,IF(VLOOKUP($R30,武学奇术!$A:$ZZ,24,FALSE)=1,100%,MIN(40%,$B$10+VLOOKUP($R30,武学奇术!$A:$ZZ,19,FALSE)+SUM(_xlfn.XLOOKUP(S30:AG30,增益!$A:$A,增益!$S:$S,0)))+$B$12+SUM(_xlfn.XLOOKUP(S30:AG30,增益!$A:$A,增益!$V:$V,0))),0),12%)</f>
        <v>0.9036</v>
      </c>
      <c r="BL30" s="27" cm="1">
        <f t="array" ref="BL30">1+$B$13+VLOOKUP($R30,武学奇术!$A:$ZZ,18,FALSE)+SUM(_xlfn.XLOOKUP(S30:AG30,增益!$A:$A,增益!$R:$R,0))</f>
        <v>1.62</v>
      </c>
      <c r="BM30" s="27" cm="1">
        <f t="array" ref="BM30">MAX(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-IF(VLOOKUP($R30,武学奇术!$A:$ZZ,32,FALSE)=1,12%,0),0)</f>
        <v>0.0929</v>
      </c>
      <c r="BN30" s="27" cm="1">
        <f t="array" ref="BN30">1+$B$14+VLOOKUP($R30,武学奇术!$A:$ZZ,20,FALSE)+SUM(_xlfn.XLOOKUP(S30:AG30,增益!$A:$A,增益!$T:$T,0))</f>
        <v>1.35</v>
      </c>
      <c r="BO30" s="27">
        <f t="shared" si="9"/>
        <v>0.9036</v>
      </c>
      <c r="BP30" s="27">
        <f t="shared" si="10"/>
        <v>0.00350000000000006</v>
      </c>
      <c r="BQ30" s="27">
        <f>IF(VLOOKUP($R30,武学奇术!$A:$ZZ,22,FALSE)=1,0,(1-$BJ30))*(1-$BM30)</f>
        <v>0</v>
      </c>
      <c r="BR30" s="27" cm="1">
        <f t="array" ref="BR30">SUM(_xlfn.XLOOKUP(S30:AG30,增益!$A:$A,增益!$W:$W,0))+$I$5</f>
        <v>0.11</v>
      </c>
    </row>
    <row r="31" spans="1:70">
      <c r="E31" s="4"/>
      <c r="F31" s="4"/>
      <c r="H31">
        <v>121</v>
      </c>
      <c r="K31">
        <f>$L31*VLOOKUP($R31,武学奇术!$A:$ZZ,31,FALSE)</f>
        <v>29142.3460483895</v>
      </c>
      <c r="L31" s="39">
        <f t="shared" si="0"/>
        <v>29142.3460483895</v>
      </c>
      <c r="M31" s="39">
        <f>((($AO31+($AP31-$AO31)*IF(VLOOKUP($R31,武学奇术!$A:$ZZ,31,FALSE)=1,$F$18,0.5))*$AI31+$AJ31)*(1+$AQ31)*(1+$AR31)+(($AT31+($AU31-$AT31)*IF(VLOOKUP($R31,武学奇术!$A:$ZZ,31,FALSE)=1,$F$18,0.5))*IF($G$1="鸣金",$AK31,$AI31)+IF($G$1="鸣金",$AL31*1.5,0))*(1+$AV31)*(1+$AW31)+(($AX31+($AY31-$AX31)*IF(VLOOKUP($R31,武学奇术!$A:$ZZ,31,FALSE)=1,$F$18,0.5))*IF($G$1="裂石",$AK31,$AI31)+IF($G$1="裂石",$AL31*1.5,0))*(1+$AZ31)*(1+$BA31)+(($BB31+($BC31-$BB31)*IF(VLOOKUP($R31,武学奇术!$A:$ZZ,31,FALSE)=1,$F$18,0.5))*IF($G$1="牵丝",$AK31,$AI31)+IF($G$1="牵丝",$AL31*1.5,0))*(1+$BD31)*(1+$BE31)+(($BF31+($BG31-$BF31)*IF(VLOOKUP($R31,武学奇术!$A:$ZZ,31,FALSE)=1,$F$18,0.5))*IF($G$1="破竹",$AK31,$AI31)+IF($G$1="破竹",$AL31*1.5,0))*(1+$BH31)*(1+$BI31))*(1+$AM31)*$BL31*$Q31*(1+IF(VLOOKUP($R31,武学奇术!$A:$ZZ,30,FALSE)="蓄力技",$B$21,0))*(1+$BR31)</f>
        <v>29367.6222071831</v>
      </c>
      <c r="N31" s="39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27370.3262700867</v>
      </c>
      <c r="O31" s="39">
        <f>((($AO31+($AP31-$AO31)*IF(VLOOKUP($R31,武学奇术!$A:$ZZ,31,FALSE)=1,$F$18,0.5))*$AI31+$AJ31)*(1+$AQ31)*(1+$AR31)+(($AT31+($AU31-$AT31)*IF(VLOOKUP($R31,武学奇术!$A:$ZZ,31,FALSE)=1,$F$18,0.5))*IF($G$1="鸣金",$AK31,$AI31)+IF($G$1="鸣金",$AL31*1.5,0))*(1+$AV31)*(1+$AW31)+(($AX31+($AY31-$AX31)*IF(VLOOKUP($R31,武学奇术!$A:$ZZ,31,FALSE)=1,$F$18,0.5))*IF($G$1="裂石",$AK31,$AI31)+IF($G$1="裂石",$AL31*1.5,0))*(1+$AZ31)*(1+$BA31)+(($BB31+($BC31-$BB31)*IF(VLOOKUP($R31,武学奇术!$A:$ZZ,31,FALSE)=1,$F$18,0.5))*IF($G$1="牵丝",$AK31,$AI31)+IF($G$1="牵丝",$AL31*1.5,0))*(1+$BD31)*(1+$BE31)+(($BF31+($BG31-$BF31)*IF(VLOOKUP($R31,武学奇术!$A:$ZZ,31,FALSE)=1,$F$18,0.5))*IF($G$1="破竹",$AK31,$AI31)+IF($G$1="破竹",$AL31*1.5,0))*(1+$BH31)*(1+$BI31))*(1+$AM31)*$Q31*(1+IF(VLOOKUP($R31,武学奇术!$A:$ZZ,30,FALSE)="蓄力技",$B$21,0))*(1+$BR31)</f>
        <v>18016.9461393761</v>
      </c>
      <c r="P31" s="39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15759.5765231325</v>
      </c>
      <c r="Q31" s="40">
        <v>1</v>
      </c>
      <c r="R31" s="41" t="s">
        <v>115</v>
      </c>
      <c r="S31" s="41" t="s">
        <v>97</v>
      </c>
      <c r="T31" s="41" t="s">
        <v>73</v>
      </c>
      <c r="U31" s="41" t="s">
        <v>73</v>
      </c>
      <c r="V31" s="41" t="s">
        <v>73</v>
      </c>
      <c r="W31" s="41" t="s">
        <v>73</v>
      </c>
      <c r="X31" s="41" t="s">
        <v>73</v>
      </c>
      <c r="Y31" s="41" t="s">
        <v>162</v>
      </c>
      <c r="Z31" s="41" t="s">
        <v>83</v>
      </c>
      <c r="AA31" s="41" t="s">
        <v>73</v>
      </c>
      <c r="AB31" s="41" t="s">
        <v>90</v>
      </c>
      <c r="AC31" s="41" t="s">
        <v>73</v>
      </c>
      <c r="AD31" s="41" t="s">
        <v>73</v>
      </c>
      <c r="AE31" s="41" t="s">
        <v>76</v>
      </c>
      <c r="AF31" s="41" t="s">
        <v>77</v>
      </c>
      <c r="AG31" s="41" t="s">
        <v>78</v>
      </c>
      <c r="AH31" t="str">
        <f>VLOOKUP($R31,武学奇术!$A:$ZZ,25,FALSE)</f>
        <v>拳甲</v>
      </c>
      <c r="AI31" s="27">
        <f>VLOOKUP($R31,武学奇术!$A:$ZZ,26,FALSE)</f>
        <v>1.2876</v>
      </c>
      <c r="AJ31" s="28">
        <f>VLOOKUP($R31,武学奇术!$A:$ZZ,27,FALSE)*(1+IF(OR($AH31=$F$4,$AH31=$F$5),$B$22,0))</f>
        <v>537</v>
      </c>
      <c r="AK31" s="27">
        <f>VLOOKUP($R31,武学奇术!$A:$ZZ,28,FALSE)</f>
        <v>1.9313</v>
      </c>
      <c r="AL31" s="28">
        <f>VLOOKUP($R31,武学奇术!$A:$ZZ,29,FALSE)*(1+IF(OR($AH31=$F$4,$AH31=$F$5),$B$22,0))</f>
        <v>292.5</v>
      </c>
      <c r="AM31" s="27" cm="1">
        <f t="array" ref="AM31">$G$3+IFERROR(VLOOKUP($AH31,$F$4:$G$7,2,FALSE),0)+VLOOKUP($R31,武学奇术!$A:$ZZ,2,FALSE)+SUM(_xlfn.XLOOKUP($S31:$AG31,增益!$A:$A,增益!$B:$B,0))</f>
        <v>0.4041</v>
      </c>
      <c r="AN31" s="27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3888.382</v>
      </c>
      <c r="AP31" cm="1">
        <f t="array" ref="AP31">$E$10*(1+$AN31)+VLOOKUP($R31,武学奇术!$A:$ZZ,4,FALSE)+SUM(_xlfn.XLOOKUP($S31:$AG31,增益!$A:$A,增益!$D:$D,0))-$I$2</f>
        <v>3888.382</v>
      </c>
      <c r="AQ31" s="33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0.317</v>
      </c>
      <c r="AR31" s="33" cm="1">
        <f t="array" ref="AR31">$G$10+VLOOKUP($R31,武学奇术!$A:$ZZ,7,FALSE)+SUM(_xlfn.XLOOKUP(S31:AG31,增益!$A:$A,增益!$G:$G,0))</f>
        <v>0.09</v>
      </c>
      <c r="AS31" s="27" cm="1">
        <f t="array" ref="AS31">VLOOKUP($R31,武学奇术!$A:$ZZ,8,FALSE)+SUM(_xlfn.XLOOKUP(S31:AG31,增益!$A:$A,增益!$H:$H,0))</f>
        <v>0</v>
      </c>
      <c r="AT31">
        <f t="shared" si="1"/>
        <v>0</v>
      </c>
      <c r="AU31">
        <f t="shared" si="2"/>
        <v>0</v>
      </c>
      <c r="AV31" s="33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-0.14</v>
      </c>
      <c r="AW31" s="33" cm="1">
        <f t="array" ref="AW31">$G$11+VLOOKUP($R31,武学奇术!$A:$ZZ,10,FALSE)+SUM(_xlfn.XLOOKUP(S31:AG31,增益!$A:$A,增益!$J:$J,0))</f>
        <v>0</v>
      </c>
      <c r="AX31">
        <f t="shared" si="3"/>
        <v>0</v>
      </c>
      <c r="AY31">
        <f t="shared" si="4"/>
        <v>0</v>
      </c>
      <c r="AZ31" s="33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-0.14</v>
      </c>
      <c r="BA31" s="33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3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-0.14</v>
      </c>
      <c r="BE31" s="33" cm="1">
        <f t="array" ref="BE31">$G$13+VLOOKUP($R31,武学奇术!$A:$ZZ,14,FALSE)+SUM(_xlfn.XLOOKUP(S31:AG31,增益!$A:$A,增益!$N:$N,0))</f>
        <v>0</v>
      </c>
      <c r="BF31">
        <f t="shared" si="7"/>
        <v>605.472</v>
      </c>
      <c r="BG31">
        <f t="shared" si="8"/>
        <v>1725.468</v>
      </c>
      <c r="BH31" s="33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0.08</v>
      </c>
      <c r="BI31" s="33" cm="1">
        <f t="array" ref="BI31">$G$14+VLOOKUP($R31,武学奇术!$A:$ZZ,16,FALSE)+SUM(_xlfn.XLOOKUP(S31:AG31,增益!$A:$A,增益!$P:$P,0))</f>
        <v>0.24</v>
      </c>
      <c r="BJ31" s="27">
        <f>MIN(IF(VLOOKUP($R31,武学奇术!$A:$ZZ,23,FALSE)=1,100%,$B$8),100%)</f>
        <v>1</v>
      </c>
      <c r="BK31" s="27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+MIN(IF(VLOOKUP($R31,武学奇术!$A:$ZZ,32,FALSE)=1,IF(VLOOKUP($R31,武学奇术!$A:$ZZ,24,FALSE)=1,100%,MIN(40%,$B$10+VLOOKUP($R31,武学奇术!$A:$ZZ,19,FALSE)+SUM(_xlfn.XLOOKUP(S31:AG31,增益!$A:$A,增益!$S:$S,0)))+$B$12+SUM(_xlfn.XLOOKUP(S31:AG31,增益!$A:$A,增益!$V:$V,0))),0),12%)</f>
        <v>0.9036</v>
      </c>
      <c r="BL31" s="27" cm="1">
        <f t="array" ref="BL31">1+$B$13+VLOOKUP($R31,武学奇术!$A:$ZZ,18,FALSE)+SUM(_xlfn.XLOOKUP(S31:AG31,增益!$A:$A,增益!$R:$R,0))</f>
        <v>1.63</v>
      </c>
      <c r="BM31" s="27" cm="1">
        <f t="array" ref="BM31">MAX(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-IF(VLOOKUP($R31,武学奇术!$A:$ZZ,32,FALSE)=1,12%,0),0)</f>
        <v>0.0929</v>
      </c>
      <c r="BN31" s="27" cm="1">
        <f t="array" ref="BN31">1+$B$14+VLOOKUP($R31,武学奇术!$A:$ZZ,20,FALSE)+SUM(_xlfn.XLOOKUP(S31:AG31,增益!$A:$A,增益!$T:$T,0))</f>
        <v>1.35</v>
      </c>
      <c r="BO31" s="27">
        <f t="shared" si="9"/>
        <v>0.9036</v>
      </c>
      <c r="BP31" s="27">
        <f t="shared" si="10"/>
        <v>0.00350000000000006</v>
      </c>
      <c r="BQ31" s="27">
        <f>IF(VLOOKUP($R31,武学奇术!$A:$ZZ,22,FALSE)=1,0,(1-$BJ31))*(1-$BM31)</f>
        <v>0</v>
      </c>
      <c r="BR31" s="27" cm="1">
        <f t="array" ref="BR31">SUM(_xlfn.XLOOKUP(S31:AG31,增益!$A:$A,增益!$W:$W,0))+$I$5</f>
        <v>0.11</v>
      </c>
    </row>
    <row r="32" spans="1:70">
      <c r="H32">
        <v>141</v>
      </c>
      <c r="K32">
        <f>$L32*VLOOKUP($R32,武学奇术!$A:$ZZ,31,FALSE)</f>
        <v>99569.0016377955</v>
      </c>
      <c r="L32" s="39">
        <f t="shared" si="0"/>
        <v>76591.5397213811</v>
      </c>
      <c r="M32" s="39">
        <f>((($AO32+($AP32-$AO32)*IF(VLOOKUP($R32,武学奇术!$A:$ZZ,31,FALSE)=1,$F$18,0.5))*$AI32+$AJ32)*(1+$AQ32)*(1+$AR32)+(($AT32+($AU32-$AT32)*IF(VLOOKUP($R32,武学奇术!$A:$ZZ,31,FALSE)=1,$F$18,0.5))*IF($G$1="鸣金",$AK32,$AI32)+IF($G$1="鸣金",$AL32*1.5,0))*(1+$AV32)*(1+$AW32)+(($AX32+($AY32-$AX32)*IF(VLOOKUP($R32,武学奇术!$A:$ZZ,31,FALSE)=1,$F$18,0.5))*IF($G$1="裂石",$AK32,$AI32)+IF($G$1="裂石",$AL32*1.5,0))*(1+$AZ32)*(1+$BA32)+(($BB32+($BC32-$BB32)*IF(VLOOKUP($R32,武学奇术!$A:$ZZ,31,FALSE)=1,$F$18,0.5))*IF($G$1="牵丝",$AK32,$AI32)+IF($G$1="牵丝",$AL32*1.5,0))*(1+$BD32)*(1+$BE32)+(($BF32+($BG32-$BF32)*IF(VLOOKUP($R32,武学奇术!$A:$ZZ,31,FALSE)=1,$F$18,0.5))*IF($G$1="破竹",$AK32,$AI32)+IF($G$1="破竹",$AL32*1.5,0))*(1+$BH32)*(1+$BI32))*(1+$AM32)*$BL32*$Q32*(1+IF(VLOOKUP($R32,武学奇术!$A:$ZZ,30,FALSE)="蓄力技",$B$21,0))*(1+$BR32)</f>
        <v>78182.2977621652</v>
      </c>
      <c r="N32" s="39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62478.3002636157</v>
      </c>
      <c r="O32" s="39">
        <f>((($AO32+($AP32-$AO32)*IF(VLOOKUP($R32,武学奇术!$A:$ZZ,31,FALSE)=1,$F$18,0.5))*$AI32+$AJ32)*(1+$AQ32)*(1+$AR32)+(($AT32+($AU32-$AT32)*IF(VLOOKUP($R32,武学奇术!$A:$ZZ,31,FALSE)=1,$F$18,0.5))*IF($G$1="鸣金",$AK32,$AI32)+IF($G$1="鸣金",$AL32*1.5,0))*(1+$AV32)*(1+$AW32)+(($AX32+($AY32-$AX32)*IF(VLOOKUP($R32,武学奇术!$A:$ZZ,31,FALSE)=1,$F$18,0.5))*IF($G$1="裂石",$AK32,$AI32)+IF($G$1="裂石",$AL32*1.5,0))*(1+$AZ32)*(1+$BA32)+(($BB32+($BC32-$BB32)*IF(VLOOKUP($R32,武学奇术!$A:$ZZ,31,FALSE)=1,$F$18,0.5))*IF($G$1="牵丝",$AK32,$AI32)+IF($G$1="牵丝",$AL32*1.5,0))*(1+$BD32)*(1+$BE32)+(($BF32+($BG32-$BF32)*IF(VLOOKUP($R32,武学奇术!$A:$ZZ,31,FALSE)=1,$F$18,0.5))*IF($G$1="破竹",$AK32,$AI32)+IF($G$1="破竹",$AL32*1.5,0))*(1+$BH32)*(1+$BI32))*(1+$AM32)*$Q32*(1+IF(VLOOKUP($R32,武学奇术!$A:$ZZ,30,FALSE)="蓄力技",$B$21,0))*(1+$BR32)</f>
        <v>40508.9625710701</v>
      </c>
      <c r="P32" s="39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34737.702724647</v>
      </c>
      <c r="Q32" s="40">
        <v>1</v>
      </c>
      <c r="R32" s="41" t="s">
        <v>117</v>
      </c>
      <c r="S32" s="41" t="s">
        <v>97</v>
      </c>
      <c r="T32" s="41" t="s">
        <v>73</v>
      </c>
      <c r="U32" s="41" t="s">
        <v>73</v>
      </c>
      <c r="V32" s="41" t="s">
        <v>73</v>
      </c>
      <c r="W32" s="41" t="s">
        <v>73</v>
      </c>
      <c r="X32" s="41" t="s">
        <v>73</v>
      </c>
      <c r="Y32" s="41" t="s">
        <v>162</v>
      </c>
      <c r="Z32" s="41" t="s">
        <v>83</v>
      </c>
      <c r="AA32" s="41" t="s">
        <v>105</v>
      </c>
      <c r="AB32" s="41" t="s">
        <v>90</v>
      </c>
      <c r="AC32" s="41" t="s">
        <v>73</v>
      </c>
      <c r="AD32" s="41" t="s">
        <v>73</v>
      </c>
      <c r="AE32" s="41" t="s">
        <v>76</v>
      </c>
      <c r="AF32" s="41" t="s">
        <v>77</v>
      </c>
      <c r="AG32" s="41" t="s">
        <v>78</v>
      </c>
      <c r="AH32" t="str">
        <f>VLOOKUP($R32,武学奇术!$A:$ZZ,25,FALSE)</f>
        <v>拳甲</v>
      </c>
      <c r="AI32" s="27">
        <f>VLOOKUP($R32,武学奇术!$A:$ZZ,26,FALSE)</f>
        <v>2.638944</v>
      </c>
      <c r="AJ32" s="28">
        <f>VLOOKUP($R32,武学奇术!$A:$ZZ,27,FALSE)*(1+IF(OR($AH32=$F$4,$AH32=$F$5),$B$22,0))</f>
        <v>0</v>
      </c>
      <c r="AK32" s="27">
        <f>VLOOKUP($R32,武学奇术!$A:$ZZ,28,FALSE)</f>
        <v>3.958416</v>
      </c>
      <c r="AL32" s="28">
        <f>VLOOKUP($R32,武学奇术!$A:$ZZ,29,FALSE)*(1+IF(OR($AH32=$F$4,$AH32=$F$5),$B$22,0))</f>
        <v>0</v>
      </c>
      <c r="AM32" s="27" cm="1">
        <f t="array" ref="AM32">$G$3+IFERROR(VLOOKUP($AH32,$F$4:$G$7,2,FALSE),0)+VLOOKUP($R32,武学奇术!$A:$ZZ,2,FALSE)+SUM(_xlfn.XLOOKUP($S32:$AG32,增益!$A:$A,增益!$B:$B,0))</f>
        <v>0.7041</v>
      </c>
      <c r="AN32" s="27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3888.382</v>
      </c>
      <c r="AP32" cm="1">
        <f t="array" ref="AP32">$E$10*(1+$AN32)+VLOOKUP($R32,武学奇术!$A:$ZZ,4,FALSE)+SUM(_xlfn.XLOOKUP($S32:$AG32,增益!$A:$A,增益!$D:$D,0))-$I$2</f>
        <v>3888.382</v>
      </c>
      <c r="AQ32" s="33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0.347</v>
      </c>
      <c r="AR32" s="33" cm="1">
        <f t="array" ref="AR32">$G$10+VLOOKUP($R32,武学奇术!$A:$ZZ,7,FALSE)+SUM(_xlfn.XLOOKUP(S32:AG32,增益!$A:$A,增益!$G:$G,0))</f>
        <v>0.09</v>
      </c>
      <c r="AS32" s="27" cm="1">
        <f t="array" ref="AS32">VLOOKUP($R32,武学奇术!$A:$ZZ,8,FALSE)+SUM(_xlfn.XLOOKUP(S32:AG32,增益!$A:$A,增益!$H:$H,0))</f>
        <v>0</v>
      </c>
      <c r="AT32">
        <f t="shared" si="1"/>
        <v>0</v>
      </c>
      <c r="AU32">
        <f t="shared" si="2"/>
        <v>0</v>
      </c>
      <c r="AV32" s="33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-0.08</v>
      </c>
      <c r="AW32" s="33" cm="1">
        <f t="array" ref="AW32">$G$11+VLOOKUP($R32,武学奇术!$A:$ZZ,10,FALSE)+SUM(_xlfn.XLOOKUP(S32:AG32,增益!$A:$A,增益!$J:$J,0))</f>
        <v>0</v>
      </c>
      <c r="AX32">
        <f t="shared" si="3"/>
        <v>0</v>
      </c>
      <c r="AY32">
        <f t="shared" si="4"/>
        <v>0</v>
      </c>
      <c r="AZ32" s="33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-0.08</v>
      </c>
      <c r="BA32" s="33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3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-0.08</v>
      </c>
      <c r="BE32" s="33" cm="1">
        <f t="array" ref="BE32">$G$13+VLOOKUP($R32,武学奇术!$A:$ZZ,14,FALSE)+SUM(_xlfn.XLOOKUP(S32:AG32,增益!$A:$A,增益!$N:$N,0))</f>
        <v>0</v>
      </c>
      <c r="BF32">
        <f t="shared" si="7"/>
        <v>605.472</v>
      </c>
      <c r="BG32">
        <f t="shared" si="8"/>
        <v>1725.468</v>
      </c>
      <c r="BH32" s="33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0.11</v>
      </c>
      <c r="BI32" s="33" cm="1">
        <f t="array" ref="BI32">$G$14+VLOOKUP($R32,武学奇术!$A:$ZZ,16,FALSE)+SUM(_xlfn.XLOOKUP(S32:AG32,增益!$A:$A,增益!$P:$P,0))</f>
        <v>0.24</v>
      </c>
      <c r="BJ32" s="27">
        <f>MIN(IF(VLOOKUP($R32,武学奇术!$A:$ZZ,23,FALSE)=1,100%,$B$8),100%)</f>
        <v>1</v>
      </c>
      <c r="BK32" s="27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+MIN(IF(VLOOKUP($R32,武学奇术!$A:$ZZ,32,FALSE)=1,IF(VLOOKUP($R32,武学奇术!$A:$ZZ,24,FALSE)=1,100%,MIN(40%,$B$10+VLOOKUP($R32,武学奇术!$A:$ZZ,19,FALSE)+SUM(_xlfn.XLOOKUP(S32:AG32,增益!$A:$A,增益!$S:$S,0)))+$B$12+SUM(_xlfn.XLOOKUP(S32:AG32,增益!$A:$A,增益!$V:$V,0))),0),12%)</f>
        <v>0.9036</v>
      </c>
      <c r="BL32" s="27" cm="1">
        <f t="array" ref="BL32">1+$B$13+VLOOKUP($R32,武学奇术!$A:$ZZ,18,FALSE)+SUM(_xlfn.XLOOKUP(S32:AG32,增益!$A:$A,增益!$R:$R,0))</f>
        <v>1.93</v>
      </c>
      <c r="BM32" s="27" cm="1">
        <f t="array" ref="BM32">MAX(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-IF(VLOOKUP($R32,武学奇术!$A:$ZZ,32,FALSE)=1,12%,0),0)</f>
        <v>0.0929</v>
      </c>
      <c r="BN32" s="27" cm="1">
        <f t="array" ref="BN32">1+$B$14+VLOOKUP($R32,武学奇术!$A:$ZZ,20,FALSE)+SUM(_xlfn.XLOOKUP(S32:AG32,增益!$A:$A,增益!$T:$T,0))</f>
        <v>1.35</v>
      </c>
      <c r="BO32" s="27">
        <f t="shared" si="9"/>
        <v>0.9036</v>
      </c>
      <c r="BP32" s="27">
        <f t="shared" si="10"/>
        <v>0.00350000000000006</v>
      </c>
      <c r="BQ32" s="27">
        <f>IF(VLOOKUP($R32,武学奇术!$A:$ZZ,22,FALSE)=1,0,(1-$BJ32))*(1-$BM32)</f>
        <v>0</v>
      </c>
      <c r="BR32" s="27" cm="1">
        <f t="array" ref="BR32">SUM(_xlfn.XLOOKUP(S32:AG32,增益!$A:$A,增益!$W:$W,0))+$I$5</f>
        <v>0.11</v>
      </c>
    </row>
    <row r="33" spans="1:70">
      <c r="A33" s="4" t="s">
        <v>163</v>
      </c>
      <c r="B33" s="4">
        <v>0.9</v>
      </c>
      <c r="K33">
        <f>$L33*VLOOKUP($R33,武学奇术!$A:$ZZ,31,FALSE)</f>
        <v>696284.226538254</v>
      </c>
      <c r="L33" s="39">
        <f t="shared" si="0"/>
        <v>824005.001820419</v>
      </c>
      <c r="M33" s="39">
        <f>((($AO33+($AP33-$AO33)*IF(VLOOKUP($R33,武学奇术!$A:$ZZ,31,FALSE)=1,$F$18,0.5))*$AI33+$AJ33)*(1+$AQ33)*(1+$AR33)+(($AT33+($AU33-$AT33)*IF(VLOOKUP($R33,武学奇术!$A:$ZZ,31,FALSE)=1,$F$18,0.5))*IF($G$1="鸣金",$AK33,$AI33)+IF($G$1="鸣金",$AL33*1.5,0))*(1+$AV33)*(1+$AW33)+(($AX33+($AY33-$AX33)*IF(VLOOKUP($R33,武学奇术!$A:$ZZ,31,FALSE)=1,$F$18,0.5))*IF($G$1="裂石",$AK33,$AI33)+IF($G$1="裂石",$AL33*1.5,0))*(1+$AZ33)*(1+$BA33)+(($BB33+($BC33-$BB33)*IF(VLOOKUP($R33,武学奇术!$A:$ZZ,31,FALSE)=1,$F$18,0.5))*IF($G$1="牵丝",$AK33,$AI33)+IF($G$1="牵丝",$AL33*1.5,0))*(1+$BD33)*(1+$BE33)+(($BF33+($BG33-$BF33)*IF(VLOOKUP($R33,武学奇术!$A:$ZZ,31,FALSE)=1,$F$18,0.5))*IF($G$1="破竹",$AK33,$AI33)+IF($G$1="破竹",$AL33*1.5,0))*(1+$BH33)*(1+$BI33))*(1+$AM33)*$BL33*$Q33*(1+IF(VLOOKUP($R33,武学奇术!$A:$ZZ,30,FALSE)="蓄力技",$B$21,0))*(1+$BR33)</f>
        <v>825544.217440787</v>
      </c>
      <c r="N33" s="39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586301.345052385</v>
      </c>
      <c r="O33" s="39">
        <f>((($AO33+($AP33-$AO33)*IF(VLOOKUP($R33,武学奇术!$A:$ZZ,31,FALSE)=1,$F$18,0.5))*$AI33+$AJ33)*(1+$AQ33)*(1+$AR33)+(($AT33+($AU33-$AT33)*IF(VLOOKUP($R33,武学奇术!$A:$ZZ,31,FALSE)=1,$F$18,0.5))*IF($G$1="鸣金",$AK33,$AI33)+IF($G$1="鸣金",$AL33*1.5,0))*(1+$AV33)*(1+$AW33)+(($AX33+($AY33-$AX33)*IF(VLOOKUP($R33,武学奇术!$A:$ZZ,31,FALSE)=1,$F$18,0.5))*IF($G$1="裂石",$AK33,$AI33)+IF($G$1="裂石",$AL33*1.5,0))*(1+$AZ33)*(1+$BA33)+(($BB33+($BC33-$BB33)*IF(VLOOKUP($R33,武学奇术!$A:$ZZ,31,FALSE)=1,$F$18,0.5))*IF($G$1="牵丝",$AK33,$AI33)+IF($G$1="牵丝",$AL33*1.5,0))*(1+$BD33)*(1+$BE33)+(($BF33+($BG33-$BF33)*IF(VLOOKUP($R33,武学奇术!$A:$ZZ,31,FALSE)=1,$F$18,0.5))*IF($G$1="破竹",$AK33,$AI33)+IF($G$1="破竹",$AL33*1.5,0))*(1+$BH33)*(1+$BI33))*(1+$AM33)*$Q33*(1+IF(VLOOKUP($R33,武学奇术!$A:$ZZ,30,FALSE)="蓄力技",$B$21,0))*(1+$BR33)</f>
        <v>385768.32590691</v>
      </c>
      <c r="P33" s="39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337239.359182424</v>
      </c>
      <c r="Q33" s="40">
        <v>1</v>
      </c>
      <c r="R33" s="41" t="s">
        <v>131</v>
      </c>
      <c r="S33" s="41" t="s">
        <v>97</v>
      </c>
      <c r="T33" s="41" t="s">
        <v>73</v>
      </c>
      <c r="U33" s="41" t="s">
        <v>73</v>
      </c>
      <c r="V33" s="41" t="s">
        <v>73</v>
      </c>
      <c r="W33" s="41" t="s">
        <v>73</v>
      </c>
      <c r="X33" s="41" t="s">
        <v>73</v>
      </c>
      <c r="Y33" s="41" t="s">
        <v>164</v>
      </c>
      <c r="Z33" s="41" t="s">
        <v>83</v>
      </c>
      <c r="AA33" s="41" t="s">
        <v>105</v>
      </c>
      <c r="AB33" s="41" t="s">
        <v>90</v>
      </c>
      <c r="AC33" s="41" t="s">
        <v>73</v>
      </c>
      <c r="AD33" s="41" t="s">
        <v>73</v>
      </c>
      <c r="AE33" s="41" t="s">
        <v>76</v>
      </c>
      <c r="AF33" s="41" t="s">
        <v>77</v>
      </c>
      <c r="AG33" s="41" t="s">
        <v>78</v>
      </c>
      <c r="AH33" t="str">
        <f>VLOOKUP($R33,武学奇术!$A:$ZZ,25,FALSE)</f>
        <v>拳甲</v>
      </c>
      <c r="AI33" s="27">
        <f>VLOOKUP($R33,武学奇术!$A:$ZZ,26,FALSE)</f>
        <v>16.8107</v>
      </c>
      <c r="AJ33" s="28">
        <f>VLOOKUP($R33,武学奇术!$A:$ZZ,27,FALSE)*(1+IF(OR($AH33=$F$4,$AH33=$F$5),$B$22,0))</f>
        <v>6970.5</v>
      </c>
      <c r="AK33" s="27">
        <f>VLOOKUP($R33,武学奇术!$A:$ZZ,28,FALSE)</f>
        <v>25.2161</v>
      </c>
      <c r="AL33" s="28">
        <f>VLOOKUP($R33,武学奇术!$A:$ZZ,29,FALSE)*(1+IF(OR($AH33=$F$4,$AH33=$F$5),$B$22,0))</f>
        <v>3799.5</v>
      </c>
      <c r="AM33" s="27" cm="1">
        <f t="array" ref="AM33">$G$3+IFERROR(VLOOKUP($AH33,$F$4:$G$7,2,FALSE),0)+VLOOKUP($R33,武学奇术!$A:$ZZ,2,FALSE)+SUM(_xlfn.XLOOKUP($S33:$AG33,增益!$A:$A,增益!$B:$B,0))</f>
        <v>0.7041</v>
      </c>
      <c r="AN33" s="27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3888.382</v>
      </c>
      <c r="AP33" cm="1">
        <f t="array" ref="AP33">$E$10*(1+$AN33)+VLOOKUP($R33,武学奇术!$A:$ZZ,4,FALSE)+SUM(_xlfn.XLOOKUP($S33:$AG33,增益!$A:$A,增益!$D:$D,0))-$I$2</f>
        <v>3888.382</v>
      </c>
      <c r="AQ33" s="33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0.347</v>
      </c>
      <c r="AR33" s="33" cm="1">
        <f t="array" ref="AR33">$G$10+VLOOKUP($R33,武学奇术!$A:$ZZ,7,FALSE)+SUM(_xlfn.XLOOKUP(S33:AG33,增益!$A:$A,增益!$G:$G,0))</f>
        <v>0.09</v>
      </c>
      <c r="AS33" s="27" cm="1">
        <f t="array" ref="AS33">VLOOKUP($R33,武学奇术!$A:$ZZ,8,FALSE)+SUM(_xlfn.XLOOKUP(S33:AG33,增益!$A:$A,增益!$H:$H,0))</f>
        <v>0</v>
      </c>
      <c r="AT33">
        <f t="shared" si="1"/>
        <v>0</v>
      </c>
      <c r="AU33">
        <f t="shared" si="2"/>
        <v>0</v>
      </c>
      <c r="AV33" s="33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-0.08</v>
      </c>
      <c r="AW33" s="33" cm="1">
        <f t="array" ref="AW33">$G$11+VLOOKUP($R33,武学奇术!$A:$ZZ,10,FALSE)+SUM(_xlfn.XLOOKUP(S33:AG33,增益!$A:$A,增益!$J:$J,0))</f>
        <v>0</v>
      </c>
      <c r="AX33">
        <f t="shared" si="3"/>
        <v>0</v>
      </c>
      <c r="AY33">
        <f t="shared" si="4"/>
        <v>0</v>
      </c>
      <c r="AZ33" s="33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-0.08</v>
      </c>
      <c r="BA33" s="33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3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-0.08</v>
      </c>
      <c r="BE33" s="33" cm="1">
        <f t="array" ref="BE33">$G$13+VLOOKUP($R33,武学奇术!$A:$ZZ,14,FALSE)+SUM(_xlfn.XLOOKUP(S33:AG33,增益!$A:$A,增益!$N:$N,0))</f>
        <v>0</v>
      </c>
      <c r="BF33">
        <f t="shared" si="7"/>
        <v>605.472</v>
      </c>
      <c r="BG33">
        <f t="shared" si="8"/>
        <v>1725.468</v>
      </c>
      <c r="BH33" s="33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0.11</v>
      </c>
      <c r="BI33" s="33" cm="1">
        <f t="array" ref="BI33">$G$14+VLOOKUP($R33,武学奇术!$A:$ZZ,16,FALSE)+SUM(_xlfn.XLOOKUP(S33:AG33,增益!$A:$A,增益!$P:$P,0))</f>
        <v>0.24</v>
      </c>
      <c r="BJ33" s="27">
        <f>MIN(IF(VLOOKUP($R33,武学奇术!$A:$ZZ,23,FALSE)=1,100%,$B$8),100%)</f>
        <v>1</v>
      </c>
      <c r="BK33" s="27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+MIN(IF(VLOOKUP($R33,武学奇术!$A:$ZZ,32,FALSE)=1,IF(VLOOKUP($R33,武学奇术!$A:$ZZ,24,FALSE)=1,100%,MIN(40%,$B$10+VLOOKUP($R33,武学奇术!$A:$ZZ,19,FALSE)+SUM(_xlfn.XLOOKUP(S33:AG33,增益!$A:$A,增益!$S:$S,0)))+$B$12+SUM(_xlfn.XLOOKUP(S33:AG33,增益!$A:$A,增益!$V:$V,0))),0),12%)</f>
        <v>0.9965</v>
      </c>
      <c r="BL33" s="27" cm="1">
        <f t="array" ref="BL33">1+$B$13+VLOOKUP($R33,武学奇术!$A:$ZZ,18,FALSE)+SUM(_xlfn.XLOOKUP(S33:AG33,增益!$A:$A,增益!$R:$R,0))</f>
        <v>2.14</v>
      </c>
      <c r="BM33" s="27" cm="1">
        <f t="array" ref="BM33">MAX(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-IF(VLOOKUP($R33,武学奇术!$A:$ZZ,32,FALSE)=1,12%,0),0)</f>
        <v>0</v>
      </c>
      <c r="BN33" s="27" cm="1">
        <f t="array" ref="BN33">1+$B$14+VLOOKUP($R33,武学奇术!$A:$ZZ,20,FALSE)+SUM(_xlfn.XLOOKUP(S33:AG33,增益!$A:$A,增益!$T:$T,0))</f>
        <v>1.35</v>
      </c>
      <c r="BO33" s="27">
        <f t="shared" si="9"/>
        <v>0.9965</v>
      </c>
      <c r="BP33" s="27">
        <f t="shared" si="10"/>
        <v>0.00350000000000006</v>
      </c>
      <c r="BQ33" s="27">
        <f>IF(VLOOKUP($R33,武学奇术!$A:$ZZ,22,FALSE)=1,0,(1-$BJ33))*(1-$BM33)</f>
        <v>0</v>
      </c>
      <c r="BR33" s="27" cm="1">
        <f t="array" ref="BR33">SUM(_xlfn.XLOOKUP(S33:AG33,增益!$A:$A,增益!$W:$W,0))+$I$5</f>
        <v>0.11</v>
      </c>
    </row>
    <row r="34" spans="1:70">
      <c r="A34" t="s">
        <v>165</v>
      </c>
      <c r="B34">
        <v>1</v>
      </c>
      <c r="F34" s="40" t="s">
        <v>166</v>
      </c>
      <c r="K34">
        <f>$L34*VLOOKUP($R34,武学奇术!$A:$ZZ,31,FALSE)</f>
        <v>158626.415707882</v>
      </c>
      <c r="L34" s="39">
        <f t="shared" si="0"/>
        <v>317252.831415763</v>
      </c>
      <c r="M34" s="39">
        <f>((($AO34+($AP34-$AO34)*IF(VLOOKUP($R34,武学奇术!$A:$ZZ,31,FALSE)=1,$F$18,0.5))*$AI34+$AJ34)*(1+$AQ34)*(1+$AR34)+(($AT34+($AU34-$AT34)*IF(VLOOKUP($R34,武学奇术!$A:$ZZ,31,FALSE)=1,$F$18,0.5))*IF($G$1="鸣金",$AK34,$AI34)+IF($G$1="鸣金",$AL34*1.5,0))*(1+$AV34)*(1+$AW34)+(($AX34+($AY34-$AX34)*IF(VLOOKUP($R34,武学奇术!$A:$ZZ,31,FALSE)=1,$F$18,0.5))*IF($G$1="裂石",$AK34,$AI34)+IF($G$1="裂石",$AL34*1.5,0))*(1+$AZ34)*(1+$BA34)+(($BB34+($BC34-$BB34)*IF(VLOOKUP($R34,武学奇术!$A:$ZZ,31,FALSE)=1,$F$18,0.5))*IF($G$1="牵丝",$AK34,$AI34)+IF($G$1="牵丝",$AL34*1.5,0))*(1+$BD34)*(1+$BE34)+(($BF34+($BG34-$BF34)*IF(VLOOKUP($R34,武学奇术!$A:$ZZ,31,FALSE)=1,$F$18,0.5))*IF($G$1="破竹",$AK34,$AI34)+IF($G$1="破竹",$AL34*1.5,0))*(1+$BH34)*(1+$BI34))*(1+$AM34)*$BL34*$Q34*(1+IF(VLOOKUP($R34,武学奇术!$A:$ZZ,30,FALSE)="蓄力技",$B$21,0))*(1+$BR34)</f>
        <v>317845.44980114</v>
      </c>
      <c r="N34" s="39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225733.122215443</v>
      </c>
      <c r="O34" s="39">
        <f>((($AO34+($AP34-$AO34)*IF(VLOOKUP($R34,武学奇术!$A:$ZZ,31,FALSE)=1,$F$18,0.5))*$AI34+$AJ34)*(1+$AQ34)*(1+$AR34)+(($AT34+($AU34-$AT34)*IF(VLOOKUP($R34,武学奇术!$A:$ZZ,31,FALSE)=1,$F$18,0.5))*IF($G$1="鸣金",$AK34,$AI34)+IF($G$1="鸣金",$AL34*1.5,0))*(1+$AV34)*(1+$AW34)+(($AX34+($AY34-$AX34)*IF(VLOOKUP($R34,武学奇术!$A:$ZZ,31,FALSE)=1,$F$18,0.5))*IF($G$1="裂石",$AK34,$AI34)+IF($G$1="裂石",$AL34*1.5,0))*(1+$AZ34)*(1+$BA34)+(($BB34+($BC34-$BB34)*IF(VLOOKUP($R34,武学奇术!$A:$ZZ,31,FALSE)=1,$F$18,0.5))*IF($G$1="牵丝",$AK34,$AI34)+IF($G$1="牵丝",$AL34*1.5,0))*(1+$BD34)*(1+$BE34)+(($BF34+($BG34-$BF34)*IF(VLOOKUP($R34,武学奇术!$A:$ZZ,31,FALSE)=1,$F$18,0.5))*IF($G$1="破竹",$AK34,$AI34)+IF($G$1="破竹",$AL34*1.5,0))*(1+$BH34)*(1+$BI34))*(1+$AM34)*$Q34*(1+IF(VLOOKUP($R34,武学奇术!$A:$ZZ,30,FALSE)="蓄力技",$B$21,0))*(1+$BR34)</f>
        <v>148525.911122028</v>
      </c>
      <c r="P34" s="39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129842.102084469</v>
      </c>
      <c r="Q34" s="40">
        <v>1</v>
      </c>
      <c r="R34" s="41" t="s">
        <v>138</v>
      </c>
      <c r="S34" s="41" t="s">
        <v>97</v>
      </c>
      <c r="T34" s="41" t="s">
        <v>73</v>
      </c>
      <c r="U34" s="41" t="s">
        <v>73</v>
      </c>
      <c r="V34" s="41" t="s">
        <v>73</v>
      </c>
      <c r="W34" s="41" t="s">
        <v>73</v>
      </c>
      <c r="X34" s="41" t="s">
        <v>73</v>
      </c>
      <c r="Y34" s="41" t="s">
        <v>164</v>
      </c>
      <c r="Z34" s="41" t="s">
        <v>83</v>
      </c>
      <c r="AA34" s="41" t="s">
        <v>105</v>
      </c>
      <c r="AB34" s="41" t="s">
        <v>90</v>
      </c>
      <c r="AC34" s="41" t="s">
        <v>73</v>
      </c>
      <c r="AD34" s="41" t="s">
        <v>73</v>
      </c>
      <c r="AE34" s="41" t="s">
        <v>76</v>
      </c>
      <c r="AF34" s="41" t="s">
        <v>77</v>
      </c>
      <c r="AG34" s="41" t="s">
        <v>78</v>
      </c>
      <c r="AH34" t="str">
        <f>VLOOKUP($R34,武学奇术!$A:$ZZ,25,FALSE)</f>
        <v>拳甲</v>
      </c>
      <c r="AI34" s="27">
        <f>VLOOKUP($R34,武学奇术!$A:$ZZ,26,FALSE)</f>
        <v>6.4722</v>
      </c>
      <c r="AJ34" s="28">
        <f>VLOOKUP($R34,武学奇术!$A:$ZZ,27,FALSE)*(1+IF(OR($AH34=$F$4,$AH34=$F$5),$B$22,0))</f>
        <v>2683.8</v>
      </c>
      <c r="AK34" s="27">
        <f>VLOOKUP($R34,武学奇术!$A:$ZZ,28,FALSE)</f>
        <v>9.70828</v>
      </c>
      <c r="AL34" s="28">
        <f>VLOOKUP($R34,武学奇术!$A:$ZZ,29,FALSE)*(1+IF(OR($AH34=$F$4,$AH34=$F$5),$B$22,0))</f>
        <v>1463.4</v>
      </c>
      <c r="AM34" s="27" cm="1">
        <f t="array" ref="AM34">$G$3+IFERROR(VLOOKUP($AH34,$F$4:$G$7,2,FALSE),0)+VLOOKUP($R34,武学奇术!$A:$ZZ,2,FALSE)+SUM(_xlfn.XLOOKUP($S34:$AG34,增益!$A:$A,增益!$B:$B,0))</f>
        <v>0.7041</v>
      </c>
      <c r="AN34" s="27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3888.382</v>
      </c>
      <c r="AP34" cm="1">
        <f t="array" ref="AP34">$E$10*(1+$AN34)+VLOOKUP($R34,武学奇术!$A:$ZZ,4,FALSE)+SUM(_xlfn.XLOOKUP($S34:$AG34,增益!$A:$A,增益!$D:$D,0))-$I$2</f>
        <v>3888.382</v>
      </c>
      <c r="AQ34" s="33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0.347</v>
      </c>
      <c r="AR34" s="33" cm="1">
        <f t="array" ref="AR34">$G$10+VLOOKUP($R34,武学奇术!$A:$ZZ,7,FALSE)+SUM(_xlfn.XLOOKUP(S34:AG34,增益!$A:$A,增益!$G:$G,0))</f>
        <v>0.09</v>
      </c>
      <c r="AS34" s="27" cm="1">
        <f t="array" ref="AS34">VLOOKUP($R34,武学奇术!$A:$ZZ,8,FALSE)+SUM(_xlfn.XLOOKUP(S34:AG34,增益!$A:$A,增益!$H:$H,0))</f>
        <v>0</v>
      </c>
      <c r="AT34">
        <f t="shared" si="1"/>
        <v>0</v>
      </c>
      <c r="AU34">
        <f t="shared" si="2"/>
        <v>0</v>
      </c>
      <c r="AV34" s="33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-0.08</v>
      </c>
      <c r="AW34" s="33" cm="1">
        <f t="array" ref="AW34">$G$11+VLOOKUP($R34,武学奇术!$A:$ZZ,10,FALSE)+SUM(_xlfn.XLOOKUP(S34:AG34,增益!$A:$A,增益!$J:$J,0))</f>
        <v>0</v>
      </c>
      <c r="AX34">
        <f t="shared" si="3"/>
        <v>0</v>
      </c>
      <c r="AY34">
        <f t="shared" si="4"/>
        <v>0</v>
      </c>
      <c r="AZ34" s="33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-0.08</v>
      </c>
      <c r="BA34" s="33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3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-0.08</v>
      </c>
      <c r="BE34" s="33" cm="1">
        <f t="array" ref="BE34">$G$13+VLOOKUP($R34,武学奇术!$A:$ZZ,14,FALSE)+SUM(_xlfn.XLOOKUP(S34:AG34,增益!$A:$A,增益!$N:$N,0))</f>
        <v>0</v>
      </c>
      <c r="BF34">
        <f t="shared" si="7"/>
        <v>605.472</v>
      </c>
      <c r="BG34">
        <f t="shared" si="8"/>
        <v>1725.468</v>
      </c>
      <c r="BH34" s="33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0.11</v>
      </c>
      <c r="BI34" s="33" cm="1">
        <f t="array" ref="BI34">$G$14+VLOOKUP($R34,武学奇术!$A:$ZZ,16,FALSE)+SUM(_xlfn.XLOOKUP(S34:AG34,增益!$A:$A,增益!$P:$P,0))</f>
        <v>0.24</v>
      </c>
      <c r="BJ34" s="27">
        <f>MIN(IF(VLOOKUP($R34,武学奇术!$A:$ZZ,23,FALSE)=1,100%,$B$8),100%)</f>
        <v>1</v>
      </c>
      <c r="BK34" s="27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+MIN(IF(VLOOKUP($R34,武学奇术!$A:$ZZ,32,FALSE)=1,IF(VLOOKUP($R34,武学奇术!$A:$ZZ,24,FALSE)=1,100%,MIN(40%,$B$10+VLOOKUP($R34,武学奇术!$A:$ZZ,19,FALSE)+SUM(_xlfn.XLOOKUP(S34:AG34,增益!$A:$A,增益!$S:$S,0)))+$B$12+SUM(_xlfn.XLOOKUP(S34:AG34,增益!$A:$A,增益!$V:$V,0))),0),12%)</f>
        <v>0.9965</v>
      </c>
      <c r="BL34" s="27" cm="1">
        <f t="array" ref="BL34">1+$B$13+VLOOKUP($R34,武学奇术!$A:$ZZ,18,FALSE)+SUM(_xlfn.XLOOKUP(S34:AG34,增益!$A:$A,增益!$R:$R,0))</f>
        <v>2.14</v>
      </c>
      <c r="BM34" s="27" cm="1">
        <f t="array" ref="BM34">MAX(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-IF(VLOOKUP($R34,武学奇术!$A:$ZZ,32,FALSE)=1,12%,0),0)</f>
        <v>0</v>
      </c>
      <c r="BN34" s="27" cm="1">
        <f t="array" ref="BN34">1+$B$14+VLOOKUP($R34,武学奇术!$A:$ZZ,20,FALSE)+SUM(_xlfn.XLOOKUP(S34:AG34,增益!$A:$A,增益!$T:$T,0))</f>
        <v>1.35</v>
      </c>
      <c r="BO34" s="27">
        <f t="shared" si="9"/>
        <v>0.9965</v>
      </c>
      <c r="BP34" s="27">
        <f t="shared" si="10"/>
        <v>0.00350000000000006</v>
      </c>
      <c r="BQ34" s="27">
        <f>IF(VLOOKUP($R34,武学奇术!$A:$ZZ,22,FALSE)=1,0,(1-$BJ34))*(1-$BM34)</f>
        <v>0</v>
      </c>
      <c r="BR34" s="27" cm="1">
        <f t="array" ref="BR34">SUM(_xlfn.XLOOKUP(S34:AG34,增益!$A:$A,增益!$W:$W,0))+$I$5</f>
        <v>0.11</v>
      </c>
    </row>
    <row r="35" spans="1:70">
      <c r="A35" t="s">
        <v>160</v>
      </c>
      <c r="B35">
        <v>0.1</v>
      </c>
      <c r="F35" s="40"/>
      <c r="K35">
        <f>$L35*VLOOKUP($R35,武学奇术!$A:$ZZ,31,FALSE)</f>
        <v>55532.133566748</v>
      </c>
      <c r="L35" s="39">
        <f t="shared" ref="L35:L60" si="11">($M35*$BO35+$N35*$BM35+$O35*$BP35+$P35*$BQ35)</f>
        <v>55532.133566748</v>
      </c>
      <c r="M35" s="39">
        <f>((($AO35+($AP35-$AO35)*IF(VLOOKUP($R35,武学奇术!$A:$ZZ,31,FALSE)=1,$F$18,0.5))*$AI35+$AJ35)*(1+$AQ35)*(1+$AR35)+(($AT35+($AU35-$AT35)*IF(VLOOKUP($R35,武学奇术!$A:$ZZ,31,FALSE)=1,$F$18,0.5))*IF($G$1="鸣金",$AK35,$AI35)+IF($G$1="鸣金",$AL35*1.5,0))*(1+$AV35)*(1+$AW35)+(($AX35+($AY35-$AX35)*IF(VLOOKUP($R35,武学奇术!$A:$ZZ,31,FALSE)=1,$F$18,0.5))*IF($G$1="裂石",$AK35,$AI35)+IF($G$1="裂石",$AL35*1.5,0))*(1+$AZ35)*(1+$BA35)+(($BB35+($BC35-$BB35)*IF(VLOOKUP($R35,武学奇术!$A:$ZZ,31,FALSE)=1,$F$18,0.5))*IF($G$1="牵丝",$AK35,$AI35)+IF($G$1="牵丝",$AL35*1.5,0))*(1+$BD35)*(1+$BE35)+(($BF35+($BG35-$BF35)*IF(VLOOKUP($R35,武学奇术!$A:$ZZ,31,FALSE)=1,$F$18,0.5))*IF($G$1="破竹",$AK35,$AI35)+IF($G$1="破竹",$AL35*1.5,0))*(1+$BH35)*(1+$BI35))*(1+$AM35)*$BL35*$Q35*(1+IF(VLOOKUP($R35,武学奇术!$A:$ZZ,30,FALSE)="蓄力技",$B$21,0))*(1+$BR35)</f>
        <v>55991.3893222325</v>
      </c>
      <c r="N35" s="39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51871.0479709708</v>
      </c>
      <c r="O35" s="39">
        <f>((($AO35+($AP35-$AO35)*IF(VLOOKUP($R35,武学奇术!$A:$ZZ,31,FALSE)=1,$F$18,0.5))*$AI35+$AJ35)*(1+$AQ35)*(1+$AR35)+(($AT35+($AU35-$AT35)*IF(VLOOKUP($R35,武学奇术!$A:$ZZ,31,FALSE)=1,$F$18,0.5))*IF($G$1="鸣金",$AK35,$AI35)+IF($G$1="鸣金",$AL35*1.5,0))*(1+$AV35)*(1+$AW35)+(($AX35+($AY35-$AX35)*IF(VLOOKUP($R35,武学奇术!$A:$ZZ,31,FALSE)=1,$F$18,0.5))*IF($G$1="裂石",$AK35,$AI35)+IF($G$1="裂石",$AL35*1.5,0))*(1+$AZ35)*(1+$BA35)+(($BB35+($BC35-$BB35)*IF(VLOOKUP($R35,武学奇术!$A:$ZZ,31,FALSE)=1,$F$18,0.5))*IF($G$1="牵丝",$AK35,$AI35)+IF($G$1="牵丝",$AL35*1.5,0))*(1+$BD35)*(1+$BE35)+(($BF35+($BG35-$BF35)*IF(VLOOKUP($R35,武学奇术!$A:$ZZ,31,FALSE)=1,$F$18,0.5))*IF($G$1="破竹",$AK35,$AI35)+IF($G$1="破竹",$AL35*1.5,0))*(1+$BH35)*(1+$BI35))*(1+$AM35)*$Q35*(1+IF(VLOOKUP($R35,武学奇术!$A:$ZZ,30,FALSE)="蓄力技",$B$21,0))*(1+$BR35)</f>
        <v>34141.0910501418</v>
      </c>
      <c r="P35" s="39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29859.1836032682</v>
      </c>
      <c r="Q35" s="40">
        <v>1</v>
      </c>
      <c r="R35" s="41" t="s">
        <v>120</v>
      </c>
      <c r="S35" s="41" t="s">
        <v>97</v>
      </c>
      <c r="T35" s="41" t="s">
        <v>73</v>
      </c>
      <c r="U35" s="41" t="s">
        <v>73</v>
      </c>
      <c r="V35" s="41" t="s">
        <v>73</v>
      </c>
      <c r="W35" s="41" t="s">
        <v>73</v>
      </c>
      <c r="X35" s="41" t="s">
        <v>73</v>
      </c>
      <c r="Y35" s="41" t="s">
        <v>164</v>
      </c>
      <c r="Z35" s="41" t="s">
        <v>83</v>
      </c>
      <c r="AA35" s="41" t="s">
        <v>73</v>
      </c>
      <c r="AB35" s="41" t="s">
        <v>90</v>
      </c>
      <c r="AC35" s="41" t="s">
        <v>73</v>
      </c>
      <c r="AD35" s="41" t="s">
        <v>73</v>
      </c>
      <c r="AE35" s="41" t="s">
        <v>76</v>
      </c>
      <c r="AF35" s="41" t="s">
        <v>77</v>
      </c>
      <c r="AG35" s="41" t="s">
        <v>78</v>
      </c>
      <c r="AH35" t="str">
        <f>VLOOKUP($R35,武学奇术!$A:$ZZ,25,FALSE)</f>
        <v>拳甲</v>
      </c>
      <c r="AI35" s="27">
        <f>VLOOKUP($R35,武学奇术!$A:$ZZ,26,FALSE)</f>
        <v>2.4421</v>
      </c>
      <c r="AJ35" s="28">
        <f>VLOOKUP($R35,武学奇术!$A:$ZZ,27,FALSE)*(1+IF(OR($AH35=$F$4,$AH35=$F$5),$B$22,0))</f>
        <v>1012.5</v>
      </c>
      <c r="AK35" s="27">
        <f>VLOOKUP($R35,武学奇术!$A:$ZZ,28,FALSE)</f>
        <v>3.6634</v>
      </c>
      <c r="AL35" s="28">
        <f>VLOOKUP($R35,武学奇术!$A:$ZZ,29,FALSE)*(1+IF(OR($AH35=$F$4,$AH35=$F$5),$B$22,0))</f>
        <v>549</v>
      </c>
      <c r="AM35" s="27" cm="1">
        <f t="array" ref="AM35">$G$3+IFERROR(VLOOKUP($AH35,$F$4:$G$7,2,FALSE),0)+VLOOKUP($R35,武学奇术!$A:$ZZ,2,FALSE)+SUM(_xlfn.XLOOKUP($S35:$AG35,增益!$A:$A,增益!$B:$B,0))</f>
        <v>0.4041</v>
      </c>
      <c r="AN35" s="27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3888.382</v>
      </c>
      <c r="AP35" cm="1">
        <f t="array" ref="AP35">$E$10*(1+$AN35)+VLOOKUP($R35,武学奇术!$A:$ZZ,4,FALSE)+SUM(_xlfn.XLOOKUP($S35:$AG35,增益!$A:$A,增益!$D:$D,0))-$I$2</f>
        <v>3888.382</v>
      </c>
      <c r="AQ35" s="33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0.317</v>
      </c>
      <c r="AR35" s="33" cm="1">
        <f t="array" ref="AR35">$G$10+VLOOKUP($R35,武学奇术!$A:$ZZ,7,FALSE)+SUM(_xlfn.XLOOKUP(S35:AG35,增益!$A:$A,增益!$G:$G,0))</f>
        <v>0.09</v>
      </c>
      <c r="AS35" s="27" cm="1">
        <f t="array" ref="AS35">VLOOKUP($R35,武学奇术!$A:$ZZ,8,FALSE)+SUM(_xlfn.XLOOKUP(S35:AG35,增益!$A:$A,增益!$H:$H,0))</f>
        <v>0</v>
      </c>
      <c r="AT35">
        <f t="shared" si="1"/>
        <v>0</v>
      </c>
      <c r="AU35">
        <f t="shared" si="2"/>
        <v>0</v>
      </c>
      <c r="AV35" s="33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-0.14</v>
      </c>
      <c r="AW35" s="33" cm="1">
        <f t="array" ref="AW35">$G$11+VLOOKUP($R35,武学奇术!$A:$ZZ,10,FALSE)+SUM(_xlfn.XLOOKUP(S35:AG35,增益!$A:$A,增益!$J:$J,0))</f>
        <v>0</v>
      </c>
      <c r="AX35">
        <f t="shared" si="3"/>
        <v>0</v>
      </c>
      <c r="AY35">
        <f t="shared" si="4"/>
        <v>0</v>
      </c>
      <c r="AZ35" s="33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-0.14</v>
      </c>
      <c r="BA35" s="33" cm="1">
        <f t="array" ref="BA35">$G$12+VLOOKUP($R35,武学奇术!$A:$ZZ,12,FALSE)+SUM(_xlfn.XLOOKUP(S35:AG35,增益!$A:$A,增益!$L:$L,0))</f>
        <v>0</v>
      </c>
      <c r="BB35">
        <f t="shared" ref="BB35:BB60" si="12">$D$13*(1+$AS35)</f>
        <v>0</v>
      </c>
      <c r="BC35">
        <f t="shared" ref="BC35:BC60" si="13">$E$13*(1+$AS35)</f>
        <v>0</v>
      </c>
      <c r="BD35" s="33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-0.14</v>
      </c>
      <c r="BE35" s="33" cm="1">
        <f t="array" ref="BE35">$G$13+VLOOKUP($R35,武学奇术!$A:$ZZ,14,FALSE)+SUM(_xlfn.XLOOKUP(S35:AG35,增益!$A:$A,增益!$N:$N,0))</f>
        <v>0</v>
      </c>
      <c r="BF35">
        <f t="shared" ref="BF35:BF60" si="14">$D$14*(1+$AS35)</f>
        <v>605.472</v>
      </c>
      <c r="BG35">
        <f t="shared" ref="BG35:BG60" si="15">$E$14*(1+$AS35)</f>
        <v>1725.468</v>
      </c>
      <c r="BH35" s="33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0.08</v>
      </c>
      <c r="BI35" s="33" cm="1">
        <f t="array" ref="BI35">$G$14+VLOOKUP($R35,武学奇术!$A:$ZZ,16,FALSE)+SUM(_xlfn.XLOOKUP(S35:AG35,增益!$A:$A,增益!$P:$P,0))</f>
        <v>0.24</v>
      </c>
      <c r="BJ35" s="27">
        <f>MIN(IF(VLOOKUP($R35,武学奇术!$A:$ZZ,23,FALSE)=1,100%,$B$8),100%)</f>
        <v>1</v>
      </c>
      <c r="BK35" s="27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+MIN(IF(VLOOKUP($R35,武学奇术!$A:$ZZ,32,FALSE)=1,IF(VLOOKUP($R35,武学奇术!$A:$ZZ,24,FALSE)=1,100%,MIN(40%,$B$10+VLOOKUP($R35,武学奇术!$A:$ZZ,19,FALSE)+SUM(_xlfn.XLOOKUP(S35:AG35,增益!$A:$A,增益!$S:$S,0)))+$B$12+SUM(_xlfn.XLOOKUP(S35:AG35,增益!$A:$A,增益!$V:$V,0))),0),12%)</f>
        <v>0.9036</v>
      </c>
      <c r="BL35" s="27" cm="1">
        <f t="array" ref="BL35">1+$B$13+VLOOKUP($R35,武学奇术!$A:$ZZ,18,FALSE)+SUM(_xlfn.XLOOKUP(S35:AG35,增益!$A:$A,增益!$R:$R,0))</f>
        <v>1.64</v>
      </c>
      <c r="BM35" s="27" cm="1">
        <f t="array" ref="BM35">MAX(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-IF(VLOOKUP($R35,武学奇术!$A:$ZZ,32,FALSE)=1,12%,0),0)</f>
        <v>0.0929</v>
      </c>
      <c r="BN35" s="27" cm="1">
        <f t="array" ref="BN35">1+$B$14+VLOOKUP($R35,武学奇术!$A:$ZZ,20,FALSE)+SUM(_xlfn.XLOOKUP(S35:AG35,增益!$A:$A,增益!$T:$T,0))</f>
        <v>1.35</v>
      </c>
      <c r="BO35" s="27">
        <f t="shared" ref="BO35:BO66" si="16">MIN((1-BM35)*BJ35,BJ35*BK35)</f>
        <v>0.9036</v>
      </c>
      <c r="BP35" s="27">
        <f t="shared" ref="BP35:BP66" si="17">1-BM35-BO35-BQ35</f>
        <v>0.00350000000000006</v>
      </c>
      <c r="BQ35" s="27">
        <f>IF(VLOOKUP($R35,武学奇术!$A:$ZZ,22,FALSE)=1,0,(1-$BJ35))*(1-$BM35)</f>
        <v>0</v>
      </c>
      <c r="BR35" s="27" cm="1">
        <f t="array" ref="BR35">SUM(_xlfn.XLOOKUP(S35:AG35,增益!$A:$A,增益!$W:$W,0))+$I$5</f>
        <v>0.11</v>
      </c>
    </row>
    <row r="36" spans="1:70">
      <c r="A36" t="s">
        <v>167</v>
      </c>
      <c r="B36">
        <v>1.23</v>
      </c>
      <c r="D36" s="40" t="s">
        <v>158</v>
      </c>
      <c r="F36" s="40"/>
      <c r="K36">
        <f>$L36*VLOOKUP($R36,武学奇术!$A:$ZZ,31,FALSE)</f>
        <v>29305.1471737049</v>
      </c>
      <c r="L36" s="39">
        <f t="shared" si="11"/>
        <v>29305.1471737049</v>
      </c>
      <c r="M36" s="39">
        <f>((($AO36+($AP36-$AO36)*IF(VLOOKUP($R36,武学奇术!$A:$ZZ,31,FALSE)=1,$F$18,0.5))*$AI36+$AJ36)*(1+$AQ36)*(1+$AR36)+(($AT36+($AU36-$AT36)*IF(VLOOKUP($R36,武学奇术!$A:$ZZ,31,FALSE)=1,$F$18,0.5))*IF($G$1="鸣金",$AK36,$AI36)+IF($G$1="鸣金",$AL36*1.5,0))*(1+$AV36)*(1+$AW36)+(($AX36+($AY36-$AX36)*IF(VLOOKUP($R36,武学奇术!$A:$ZZ,31,FALSE)=1,$F$18,0.5))*IF($G$1="裂石",$AK36,$AI36)+IF($G$1="裂石",$AL36*1.5,0))*(1+$AZ36)*(1+$BA36)+(($BB36+($BC36-$BB36)*IF(VLOOKUP($R36,武学奇术!$A:$ZZ,31,FALSE)=1,$F$18,0.5))*IF($G$1="牵丝",$AK36,$AI36)+IF($G$1="牵丝",$AL36*1.5,0))*(1+$BD36)*(1+$BE36)+(($BF36+($BG36-$BF36)*IF(VLOOKUP($R36,武学奇术!$A:$ZZ,31,FALSE)=1,$F$18,0.5))*IF($G$1="破竹",$AK36,$AI36)+IF($G$1="破竹",$AL36*1.5,0))*(1+$BH36)*(1+$BI36))*(1+$AM36)*$BL36*$Q36*(1+IF(VLOOKUP($R36,武学奇术!$A:$ZZ,30,FALSE)="蓄力技",$B$21,0))*(1+$BR36)</f>
        <v>29547.7916685769</v>
      </c>
      <c r="N36" s="39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27370.3262700867</v>
      </c>
      <c r="O36" s="39">
        <f>((($AO36+($AP36-$AO36)*IF(VLOOKUP($R36,武学奇术!$A:$ZZ,31,FALSE)=1,$F$18,0.5))*$AI36+$AJ36)*(1+$AQ36)*(1+$AR36)+(($AT36+($AU36-$AT36)*IF(VLOOKUP($R36,武学奇术!$A:$ZZ,31,FALSE)=1,$F$18,0.5))*IF($G$1="鸣金",$AK36,$AI36)+IF($G$1="鸣金",$AL36*1.5,0))*(1+$AV36)*(1+$AW36)+(($AX36+($AY36-$AX36)*IF(VLOOKUP($R36,武学奇术!$A:$ZZ,31,FALSE)=1,$F$18,0.5))*IF($G$1="裂石",$AK36,$AI36)+IF($G$1="裂石",$AL36*1.5,0))*(1+$AZ36)*(1+$BA36)+(($BB36+($BC36-$BB36)*IF(VLOOKUP($R36,武学奇术!$A:$ZZ,31,FALSE)=1,$F$18,0.5))*IF($G$1="牵丝",$AK36,$AI36)+IF($G$1="牵丝",$AL36*1.5,0))*(1+$BD36)*(1+$BE36)+(($BF36+($BG36-$BF36)*IF(VLOOKUP($R36,武学奇术!$A:$ZZ,31,FALSE)=1,$F$18,0.5))*IF($G$1="破竹",$AK36,$AI36)+IF($G$1="破竹",$AL36*1.5,0))*(1+$BH36)*(1+$BI36))*(1+$AM36)*$Q36*(1+IF(VLOOKUP($R36,武学奇术!$A:$ZZ,30,FALSE)="蓄力技",$B$21,0))*(1+$BR36)</f>
        <v>18016.9461393761</v>
      </c>
      <c r="P36" s="39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15759.5765231325</v>
      </c>
      <c r="Q36" s="40">
        <v>1</v>
      </c>
      <c r="R36" s="41" t="s">
        <v>115</v>
      </c>
      <c r="S36" s="41" t="s">
        <v>97</v>
      </c>
      <c r="T36" s="41" t="s">
        <v>73</v>
      </c>
      <c r="U36" s="41" t="s">
        <v>73</v>
      </c>
      <c r="V36" s="41" t="s">
        <v>73</v>
      </c>
      <c r="W36" s="41" t="s">
        <v>73</v>
      </c>
      <c r="X36" s="41" t="s">
        <v>73</v>
      </c>
      <c r="Y36" s="41" t="s">
        <v>164</v>
      </c>
      <c r="Z36" s="41" t="s">
        <v>83</v>
      </c>
      <c r="AA36" s="41" t="s">
        <v>73</v>
      </c>
      <c r="AB36" s="41" t="s">
        <v>84</v>
      </c>
      <c r="AC36" s="41" t="s">
        <v>73</v>
      </c>
      <c r="AD36" s="41" t="s">
        <v>73</v>
      </c>
      <c r="AE36" s="41" t="s">
        <v>76</v>
      </c>
      <c r="AF36" s="41" t="s">
        <v>77</v>
      </c>
      <c r="AG36" s="41" t="s">
        <v>78</v>
      </c>
      <c r="AH36" t="str">
        <f>VLOOKUP($R36,武学奇术!$A:$ZZ,25,FALSE)</f>
        <v>拳甲</v>
      </c>
      <c r="AI36" s="27">
        <f>VLOOKUP($R36,武学奇术!$A:$ZZ,26,FALSE)</f>
        <v>1.2876</v>
      </c>
      <c r="AJ36" s="28">
        <f>VLOOKUP($R36,武学奇术!$A:$ZZ,27,FALSE)*(1+IF(OR($AH36=$F$4,$AH36=$F$5),$B$22,0))</f>
        <v>537</v>
      </c>
      <c r="AK36" s="27">
        <f>VLOOKUP($R36,武学奇术!$A:$ZZ,28,FALSE)</f>
        <v>1.9313</v>
      </c>
      <c r="AL36" s="28">
        <f>VLOOKUP($R36,武学奇术!$A:$ZZ,29,FALSE)*(1+IF(OR($AH36=$F$4,$AH36=$F$5),$B$22,0))</f>
        <v>292.5</v>
      </c>
      <c r="AM36" s="27" cm="1">
        <f t="array" ref="AM36">$G$3+IFERROR(VLOOKUP($AH36,$F$4:$G$7,2,FALSE),0)+VLOOKUP($R36,武学奇术!$A:$ZZ,2,FALSE)+SUM(_xlfn.XLOOKUP($S36:$AG36,增益!$A:$A,增益!$B:$B,0))</f>
        <v>0.4041</v>
      </c>
      <c r="AN36" s="27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3888.382</v>
      </c>
      <c r="AP36" cm="1">
        <f t="array" ref="AP36">$E$10*(1+$AN36)+VLOOKUP($R36,武学奇术!$A:$ZZ,4,FALSE)+SUM(_xlfn.XLOOKUP($S36:$AG36,增益!$A:$A,增益!$D:$D,0))-$I$2</f>
        <v>3888.382</v>
      </c>
      <c r="AQ36" s="33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0.317</v>
      </c>
      <c r="AR36" s="33" cm="1">
        <f t="array" ref="AR36">$G$10+VLOOKUP($R36,武学奇术!$A:$ZZ,7,FALSE)+SUM(_xlfn.XLOOKUP(S36:AG36,增益!$A:$A,增益!$G:$G,0))</f>
        <v>0.09</v>
      </c>
      <c r="AS36" s="27" cm="1">
        <f t="array" ref="AS36">VLOOKUP($R36,武学奇术!$A:$ZZ,8,FALSE)+SUM(_xlfn.XLOOKUP(S36:AG36,增益!$A:$A,增益!$H:$H,0))</f>
        <v>0</v>
      </c>
      <c r="AT36">
        <f t="shared" si="1"/>
        <v>0</v>
      </c>
      <c r="AU36">
        <f t="shared" si="2"/>
        <v>0</v>
      </c>
      <c r="AV36" s="33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-0.14</v>
      </c>
      <c r="AW36" s="33" cm="1">
        <f t="array" ref="AW36">$G$11+VLOOKUP($R36,武学奇术!$A:$ZZ,10,FALSE)+SUM(_xlfn.XLOOKUP(S36:AG36,增益!$A:$A,增益!$J:$J,0))</f>
        <v>0</v>
      </c>
      <c r="AX36">
        <f t="shared" si="3"/>
        <v>0</v>
      </c>
      <c r="AY36">
        <f t="shared" si="4"/>
        <v>0</v>
      </c>
      <c r="AZ36" s="33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-0.14</v>
      </c>
      <c r="BA36" s="33" cm="1">
        <f t="array" ref="BA36">$G$12+VLOOKUP($R36,武学奇术!$A:$ZZ,12,FALSE)+SUM(_xlfn.XLOOKUP(S36:AG36,增益!$A:$A,增益!$L:$L,0))</f>
        <v>0</v>
      </c>
      <c r="BB36">
        <f t="shared" si="12"/>
        <v>0</v>
      </c>
      <c r="BC36">
        <f t="shared" si="13"/>
        <v>0</v>
      </c>
      <c r="BD36" s="33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-0.14</v>
      </c>
      <c r="BE36" s="33" cm="1">
        <f t="array" ref="BE36">$G$13+VLOOKUP($R36,武学奇术!$A:$ZZ,14,FALSE)+SUM(_xlfn.XLOOKUP(S36:AG36,增益!$A:$A,增益!$N:$N,0))</f>
        <v>0</v>
      </c>
      <c r="BF36">
        <f t="shared" si="14"/>
        <v>605.472</v>
      </c>
      <c r="BG36">
        <f t="shared" si="15"/>
        <v>1725.468</v>
      </c>
      <c r="BH36" s="33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0.08</v>
      </c>
      <c r="BI36" s="33" cm="1">
        <f t="array" ref="BI36">$G$14+VLOOKUP($R36,武学奇术!$A:$ZZ,16,FALSE)+SUM(_xlfn.XLOOKUP(S36:AG36,增益!$A:$A,增益!$P:$P,0))</f>
        <v>0.24</v>
      </c>
      <c r="BJ36" s="27">
        <f>MIN(IF(VLOOKUP($R36,武学奇术!$A:$ZZ,23,FALSE)=1,100%,$B$8),100%)</f>
        <v>1</v>
      </c>
      <c r="BK36" s="27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+MIN(IF(VLOOKUP($R36,武学奇术!$A:$ZZ,32,FALSE)=1,IF(VLOOKUP($R36,武学奇术!$A:$ZZ,24,FALSE)=1,100%,MIN(40%,$B$10+VLOOKUP($R36,武学奇术!$A:$ZZ,19,FALSE)+SUM(_xlfn.XLOOKUP(S36:AG36,增益!$A:$A,增益!$S:$S,0)))+$B$12+SUM(_xlfn.XLOOKUP(S36:AG36,增益!$A:$A,增益!$V:$V,0))),0),12%)</f>
        <v>0.9036</v>
      </c>
      <c r="BL36" s="27" cm="1">
        <f t="array" ref="BL36">1+$B$13+VLOOKUP($R36,武学奇术!$A:$ZZ,18,FALSE)+SUM(_xlfn.XLOOKUP(S36:AG36,增益!$A:$A,增益!$R:$R,0))</f>
        <v>1.64</v>
      </c>
      <c r="BM36" s="27" cm="1">
        <f t="array" ref="BM36">MAX(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-IF(VLOOKUP($R36,武学奇术!$A:$ZZ,32,FALSE)=1,12%,0),0)</f>
        <v>0.0929</v>
      </c>
      <c r="BN36" s="27" cm="1">
        <f t="array" ref="BN36">1+$B$14+VLOOKUP($R36,武学奇术!$A:$ZZ,20,FALSE)+SUM(_xlfn.XLOOKUP(S36:AG36,增益!$A:$A,增益!$T:$T,0))</f>
        <v>1.35</v>
      </c>
      <c r="BO36" s="27">
        <f t="shared" si="16"/>
        <v>0.9036</v>
      </c>
      <c r="BP36" s="27">
        <f t="shared" si="17"/>
        <v>0.00350000000000006</v>
      </c>
      <c r="BQ36" s="27">
        <f>IF(VLOOKUP($R36,武学奇术!$A:$ZZ,22,FALSE)=1,0,(1-$BJ36))*(1-$BM36)</f>
        <v>0</v>
      </c>
      <c r="BR36" s="27" cm="1">
        <f t="array" ref="BR36">SUM(_xlfn.XLOOKUP(S36:AG36,增益!$A:$A,增益!$W:$W,0))+$I$5</f>
        <v>0.11</v>
      </c>
    </row>
    <row r="37" spans="1:70">
      <c r="A37" s="4" t="s">
        <v>168</v>
      </c>
      <c r="B37" s="91">
        <v>1.16</v>
      </c>
      <c r="D37" s="40"/>
      <c r="F37" s="40"/>
      <c r="G37" s="40" t="s">
        <v>169</v>
      </c>
      <c r="K37">
        <f>$L37*VLOOKUP($R37,武学奇术!$A:$ZZ,31,FALSE)</f>
        <v>100044.852319325</v>
      </c>
      <c r="L37" s="39">
        <f t="shared" si="11"/>
        <v>76957.5787071733</v>
      </c>
      <c r="M37" s="39">
        <f>((($AO37+($AP37-$AO37)*IF(VLOOKUP($R37,武学奇术!$A:$ZZ,31,FALSE)=1,$F$18,0.5))*$AI37+$AJ37)*(1+$AQ37)*(1+$AR37)+(($AT37+($AU37-$AT37)*IF(VLOOKUP($R37,武学奇术!$A:$ZZ,31,FALSE)=1,$F$18,0.5))*IF($G$1="鸣金",$AK37,$AI37)+IF($G$1="鸣金",$AL37*1.5,0))*(1+$AV37)*(1+$AW37)+(($AX37+($AY37-$AX37)*IF(VLOOKUP($R37,武学奇术!$A:$ZZ,31,FALSE)=1,$F$18,0.5))*IF($G$1="裂石",$AK37,$AI37)+IF($G$1="裂石",$AL37*1.5,0))*(1+$AZ37)*(1+$BA37)+(($BB37+($BC37-$BB37)*IF(VLOOKUP($R37,武学奇术!$A:$ZZ,31,FALSE)=1,$F$18,0.5))*IF($G$1="牵丝",$AK37,$AI37)+IF($G$1="牵丝",$AL37*1.5,0))*(1+$BD37)*(1+$BE37)+(($BF37+($BG37-$BF37)*IF(VLOOKUP($R37,武学奇术!$A:$ZZ,31,FALSE)=1,$F$18,0.5))*IF($G$1="破竹",$AK37,$AI37)+IF($G$1="破竹",$AL37*1.5,0))*(1+$BH37)*(1+$BI37))*(1+$AM37)*$BL37*$Q37*(1+IF(VLOOKUP($R37,武学奇术!$A:$ZZ,30,FALSE)="蓄力技",$B$21,0))*(1+$BR37)</f>
        <v>78587.3873878759</v>
      </c>
      <c r="N37" s="39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62478.3002636157</v>
      </c>
      <c r="O37" s="39">
        <f>((($AO37+($AP37-$AO37)*IF(VLOOKUP($R37,武学奇术!$A:$ZZ,31,FALSE)=1,$F$18,0.5))*$AI37+$AJ37)*(1+$AQ37)*(1+$AR37)+(($AT37+($AU37-$AT37)*IF(VLOOKUP($R37,武学奇术!$A:$ZZ,31,FALSE)=1,$F$18,0.5))*IF($G$1="鸣金",$AK37,$AI37)+IF($G$1="鸣金",$AL37*1.5,0))*(1+$AV37)*(1+$AW37)+(($AX37+($AY37-$AX37)*IF(VLOOKUP($R37,武学奇术!$A:$ZZ,31,FALSE)=1,$F$18,0.5))*IF($G$1="裂石",$AK37,$AI37)+IF($G$1="裂石",$AL37*1.5,0))*(1+$AZ37)*(1+$BA37)+(($BB37+($BC37-$BB37)*IF(VLOOKUP($R37,武学奇术!$A:$ZZ,31,FALSE)=1,$F$18,0.5))*IF($G$1="牵丝",$AK37,$AI37)+IF($G$1="牵丝",$AL37*1.5,0))*(1+$BD37)*(1+$BE37)+(($BF37+($BG37-$BF37)*IF(VLOOKUP($R37,武学奇术!$A:$ZZ,31,FALSE)=1,$F$18,0.5))*IF($G$1="破竹",$AK37,$AI37)+IF($G$1="破竹",$AL37*1.5,0))*(1+$BH37)*(1+$BI37))*(1+$AM37)*$Q37*(1+IF(VLOOKUP($R37,武学奇术!$A:$ZZ,30,FALSE)="蓄力技",$B$21,0))*(1+$BR37)</f>
        <v>40508.9625710701</v>
      </c>
      <c r="P37" s="39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34737.702724647</v>
      </c>
      <c r="Q37" s="40">
        <v>1</v>
      </c>
      <c r="R37" s="41" t="s">
        <v>117</v>
      </c>
      <c r="S37" s="41" t="s">
        <v>97</v>
      </c>
      <c r="T37" s="41" t="s">
        <v>73</v>
      </c>
      <c r="U37" s="41" t="s">
        <v>73</v>
      </c>
      <c r="V37" s="41" t="s">
        <v>73</v>
      </c>
      <c r="W37" s="41" t="s">
        <v>73</v>
      </c>
      <c r="X37" s="41" t="s">
        <v>73</v>
      </c>
      <c r="Y37" s="41" t="s">
        <v>164</v>
      </c>
      <c r="Z37" s="41" t="s">
        <v>83</v>
      </c>
      <c r="AA37" s="41" t="s">
        <v>105</v>
      </c>
      <c r="AB37" s="41" t="s">
        <v>84</v>
      </c>
      <c r="AC37" s="41" t="s">
        <v>73</v>
      </c>
      <c r="AD37" s="41" t="s">
        <v>73</v>
      </c>
      <c r="AE37" s="41" t="s">
        <v>76</v>
      </c>
      <c r="AF37" s="41" t="s">
        <v>77</v>
      </c>
      <c r="AG37" s="41" t="s">
        <v>78</v>
      </c>
      <c r="AH37" t="str">
        <f>VLOOKUP($R37,武学奇术!$A:$ZZ,25,FALSE)</f>
        <v>拳甲</v>
      </c>
      <c r="AI37" s="27">
        <f>VLOOKUP($R37,武学奇术!$A:$ZZ,26,FALSE)</f>
        <v>2.638944</v>
      </c>
      <c r="AJ37" s="28">
        <f>VLOOKUP($R37,武学奇术!$A:$ZZ,27,FALSE)*(1+IF(OR($AH37=$F$4,$AH37=$F$5),$B$22,0))</f>
        <v>0</v>
      </c>
      <c r="AK37" s="27">
        <f>VLOOKUP($R37,武学奇术!$A:$ZZ,28,FALSE)</f>
        <v>3.958416</v>
      </c>
      <c r="AL37" s="28">
        <f>VLOOKUP($R37,武学奇术!$A:$ZZ,29,FALSE)*(1+IF(OR($AH37=$F$4,$AH37=$F$5),$B$22,0))</f>
        <v>0</v>
      </c>
      <c r="AM37" s="27" cm="1">
        <f t="array" ref="AM37">$G$3+IFERROR(VLOOKUP($AH37,$F$4:$G$7,2,FALSE),0)+VLOOKUP($R37,武学奇术!$A:$ZZ,2,FALSE)+SUM(_xlfn.XLOOKUP($S37:$AG37,增益!$A:$A,增益!$B:$B,0))</f>
        <v>0.7041</v>
      </c>
      <c r="AN37" s="27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3888.382</v>
      </c>
      <c r="AP37" cm="1">
        <f t="array" ref="AP37">$E$10*(1+$AN37)+VLOOKUP($R37,武学奇术!$A:$ZZ,4,FALSE)+SUM(_xlfn.XLOOKUP($S37:$AG37,增益!$A:$A,增益!$D:$D,0))-$I$2</f>
        <v>3888.382</v>
      </c>
      <c r="AQ37" s="33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0.347</v>
      </c>
      <c r="AR37" s="33" cm="1">
        <f t="array" ref="AR37">$G$10+VLOOKUP($R37,武学奇术!$A:$ZZ,7,FALSE)+SUM(_xlfn.XLOOKUP(S37:AG37,增益!$A:$A,增益!$G:$G,0))</f>
        <v>0.09</v>
      </c>
      <c r="AS37" s="27" cm="1">
        <f t="array" ref="AS37">VLOOKUP($R37,武学奇术!$A:$ZZ,8,FALSE)+SUM(_xlfn.XLOOKUP(S37:AG37,增益!$A:$A,增益!$H:$H,0))</f>
        <v>0</v>
      </c>
      <c r="AT37">
        <f t="shared" si="1"/>
        <v>0</v>
      </c>
      <c r="AU37">
        <f t="shared" si="2"/>
        <v>0</v>
      </c>
      <c r="AV37" s="33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-0.08</v>
      </c>
      <c r="AW37" s="33" cm="1">
        <f t="array" ref="AW37">$G$11+VLOOKUP($R37,武学奇术!$A:$ZZ,10,FALSE)+SUM(_xlfn.XLOOKUP(S37:AG37,增益!$A:$A,增益!$J:$J,0))</f>
        <v>0</v>
      </c>
      <c r="AX37">
        <f t="shared" si="3"/>
        <v>0</v>
      </c>
      <c r="AY37">
        <f t="shared" si="4"/>
        <v>0</v>
      </c>
      <c r="AZ37" s="33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-0.08</v>
      </c>
      <c r="BA37" s="33" cm="1">
        <f t="array" ref="BA37">$G$12+VLOOKUP($R37,武学奇术!$A:$ZZ,12,FALSE)+SUM(_xlfn.XLOOKUP(S37:AG37,增益!$A:$A,增益!$L:$L,0))</f>
        <v>0</v>
      </c>
      <c r="BB37">
        <f t="shared" si="12"/>
        <v>0</v>
      </c>
      <c r="BC37">
        <f t="shared" si="13"/>
        <v>0</v>
      </c>
      <c r="BD37" s="33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-0.08</v>
      </c>
      <c r="BE37" s="33" cm="1">
        <f t="array" ref="BE37">$G$13+VLOOKUP($R37,武学奇术!$A:$ZZ,14,FALSE)+SUM(_xlfn.XLOOKUP(S37:AG37,增益!$A:$A,增益!$N:$N,0))</f>
        <v>0</v>
      </c>
      <c r="BF37">
        <f t="shared" si="14"/>
        <v>605.472</v>
      </c>
      <c r="BG37">
        <f t="shared" si="15"/>
        <v>1725.468</v>
      </c>
      <c r="BH37" s="33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0.11</v>
      </c>
      <c r="BI37" s="33" cm="1">
        <f t="array" ref="BI37">$G$14+VLOOKUP($R37,武学奇术!$A:$ZZ,16,FALSE)+SUM(_xlfn.XLOOKUP(S37:AG37,增益!$A:$A,增益!$P:$P,0))</f>
        <v>0.24</v>
      </c>
      <c r="BJ37" s="27">
        <f>MIN(IF(VLOOKUP($R37,武学奇术!$A:$ZZ,23,FALSE)=1,100%,$B$8),100%)</f>
        <v>1</v>
      </c>
      <c r="BK37" s="27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+MIN(IF(VLOOKUP($R37,武学奇术!$A:$ZZ,32,FALSE)=1,IF(VLOOKUP($R37,武学奇术!$A:$ZZ,24,FALSE)=1,100%,MIN(40%,$B$10+VLOOKUP($R37,武学奇术!$A:$ZZ,19,FALSE)+SUM(_xlfn.XLOOKUP(S37:AG37,增益!$A:$A,增益!$S:$S,0)))+$B$12+SUM(_xlfn.XLOOKUP(S37:AG37,增益!$A:$A,增益!$V:$V,0))),0),12%)</f>
        <v>0.9036</v>
      </c>
      <c r="BL37" s="27" cm="1">
        <f t="array" ref="BL37">1+$B$13+VLOOKUP($R37,武学奇术!$A:$ZZ,18,FALSE)+SUM(_xlfn.XLOOKUP(S37:AG37,增益!$A:$A,增益!$R:$R,0))</f>
        <v>1.94</v>
      </c>
      <c r="BM37" s="27" cm="1">
        <f t="array" ref="BM37">MAX(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-IF(VLOOKUP($R37,武学奇术!$A:$ZZ,32,FALSE)=1,12%,0),0)</f>
        <v>0.0929</v>
      </c>
      <c r="BN37" s="27" cm="1">
        <f t="array" ref="BN37">1+$B$14+VLOOKUP($R37,武学奇术!$A:$ZZ,20,FALSE)+SUM(_xlfn.XLOOKUP(S37:AG37,增益!$A:$A,增益!$T:$T,0))</f>
        <v>1.35</v>
      </c>
      <c r="BO37" s="27">
        <f t="shared" si="16"/>
        <v>0.9036</v>
      </c>
      <c r="BP37" s="27">
        <f t="shared" si="17"/>
        <v>0.00350000000000006</v>
      </c>
      <c r="BQ37" s="27">
        <f>IF(VLOOKUP($R37,武学奇术!$A:$ZZ,22,FALSE)=1,0,(1-$BJ37))*(1-$BM37)</f>
        <v>0</v>
      </c>
      <c r="BR37" s="27" cm="1">
        <f t="array" ref="BR37">SUM(_xlfn.XLOOKUP(S37:AG37,增益!$A:$A,增益!$W:$W,0))+$I$5</f>
        <v>0.11</v>
      </c>
    </row>
    <row r="38" spans="1:70">
      <c r="A38" s="4" t="s">
        <v>170</v>
      </c>
      <c r="B38" s="4">
        <v>1</v>
      </c>
      <c r="D38" s="40"/>
      <c r="F38" s="40"/>
      <c r="G38" s="40"/>
      <c r="K38">
        <f>$L38*VLOOKUP($R38,武学奇术!$A:$ZZ,31,FALSE)</f>
        <v>25029.0992073029</v>
      </c>
      <c r="L38" s="39">
        <f t="shared" si="11"/>
        <v>25029.0992073029</v>
      </c>
      <c r="M38" s="39">
        <f>((($AO38+($AP38-$AO38)*IF(VLOOKUP($R38,武学奇术!$A:$ZZ,31,FALSE)=1,$F$18,0.5))*$AI38+$AJ38)*(1+$AQ38)*(1+$AR38)+(($AT38+($AU38-$AT38)*IF(VLOOKUP($R38,武学奇术!$A:$ZZ,31,FALSE)=1,$F$18,0.5))*IF($G$1="鸣金",$AK38,$AI38)+IF($G$1="鸣金",$AL38*1.5,0))*(1+$AV38)*(1+$AW38)+(($AX38+($AY38-$AX38)*IF(VLOOKUP($R38,武学奇术!$A:$ZZ,31,FALSE)=1,$F$18,0.5))*IF($G$1="裂石",$AK38,$AI38)+IF($G$1="裂石",$AL38*1.5,0))*(1+$AZ38)*(1+$BA38)+(($BB38+($BC38-$BB38)*IF(VLOOKUP($R38,武学奇术!$A:$ZZ,31,FALSE)=1,$F$18,0.5))*IF($G$1="牵丝",$AK38,$AI38)+IF($G$1="牵丝",$AL38*1.5,0))*(1+$BD38)*(1+$BE38)+(($BF38+($BG38-$BF38)*IF(VLOOKUP($R38,武学奇术!$A:$ZZ,31,FALSE)=1,$F$18,0.5))*IF($G$1="破竹",$AK38,$AI38)+IF($G$1="破竹",$AL38*1.5,0))*(1+$BH38)*(1+$BI38))*(1+$AM38)*$BL38*$Q38*(1+IF(VLOOKUP($R38,武学奇术!$A:$ZZ,30,FALSE)="蓄力技",$B$21,0))*(1+$BR38)</f>
        <v>25236.1585231068</v>
      </c>
      <c r="N38" s="39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23378.3499509031</v>
      </c>
      <c r="O38" s="39">
        <f>((($AO38+($AP38-$AO38)*IF(VLOOKUP($R38,武学奇术!$A:$ZZ,31,FALSE)=1,$F$18,0.5))*$AI38+$AJ38)*(1+$AQ38)*(1+$AR38)+(($AT38+($AU38-$AT38)*IF(VLOOKUP($R38,武学奇术!$A:$ZZ,31,FALSE)=1,$F$18,0.5))*IF($G$1="鸣金",$AK38,$AI38)+IF($G$1="鸣金",$AL38*1.5,0))*(1+$AV38)*(1+$AW38)+(($AX38+($AY38-$AX38)*IF(VLOOKUP($R38,武学奇术!$A:$ZZ,31,FALSE)=1,$F$18,0.5))*IF($G$1="裂石",$AK38,$AI38)+IF($G$1="裂石",$AL38*1.5,0))*(1+$AZ38)*(1+$BA38)+(($BB38+($BC38-$BB38)*IF(VLOOKUP($R38,武学奇术!$A:$ZZ,31,FALSE)=1,$F$18,0.5))*IF($G$1="牵丝",$AK38,$AI38)+IF($G$1="牵丝",$AL38*1.5,0))*(1+$BD38)*(1+$BE38)+(($BF38+($BG38-$BF38)*IF(VLOOKUP($R38,武学奇术!$A:$ZZ,31,FALSE)=1,$F$18,0.5))*IF($G$1="破竹",$AK38,$AI38)+IF($G$1="破竹",$AL38*1.5,0))*(1+$BH38)*(1+$BI38))*(1+$AM38)*$Q38*(1+IF(VLOOKUP($R38,武学奇术!$A:$ZZ,30,FALSE)="蓄力技",$B$21,0))*(1+$BR38)</f>
        <v>15387.9015384798</v>
      </c>
      <c r="P38" s="39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13458.5068170313</v>
      </c>
      <c r="Q38" s="40">
        <v>1</v>
      </c>
      <c r="R38" s="41" t="s">
        <v>151</v>
      </c>
      <c r="S38" s="41" t="s">
        <v>97</v>
      </c>
      <c r="T38" s="41" t="s">
        <v>73</v>
      </c>
      <c r="U38" s="41" t="s">
        <v>73</v>
      </c>
      <c r="V38" s="41" t="s">
        <v>73</v>
      </c>
      <c r="W38" s="41" t="s">
        <v>73</v>
      </c>
      <c r="X38" s="41" t="s">
        <v>73</v>
      </c>
      <c r="Y38" s="41" t="s">
        <v>164</v>
      </c>
      <c r="Z38" s="41" t="s">
        <v>83</v>
      </c>
      <c r="AA38" s="41" t="s">
        <v>73</v>
      </c>
      <c r="AB38" s="41" t="s">
        <v>84</v>
      </c>
      <c r="AC38" s="41" t="s">
        <v>73</v>
      </c>
      <c r="AD38" s="41" t="s">
        <v>73</v>
      </c>
      <c r="AE38" s="41" t="s">
        <v>76</v>
      </c>
      <c r="AF38" s="41" t="s">
        <v>77</v>
      </c>
      <c r="AG38" s="41" t="s">
        <v>78</v>
      </c>
      <c r="AH38" t="str">
        <f>VLOOKUP($R38,武学奇术!$A:$ZZ,25,FALSE)</f>
        <v>拳甲</v>
      </c>
      <c r="AI38" s="27">
        <f>VLOOKUP($R38,武学奇术!$A:$ZZ,26,FALSE)</f>
        <v>1.1005</v>
      </c>
      <c r="AJ38" s="28">
        <f>VLOOKUP($R38,武学奇术!$A:$ZZ,27,FALSE)*(1+IF(OR($AH38=$F$4,$AH38=$F$5),$B$22,0))</f>
        <v>457.5</v>
      </c>
      <c r="AK38" s="27">
        <f>VLOOKUP($R38,武学奇术!$A:$ZZ,28,FALSE)</f>
        <v>1.6507</v>
      </c>
      <c r="AL38" s="28">
        <f>VLOOKUP($R38,武学奇术!$A:$ZZ,29,FALSE)*(1+IF(OR($AH38=$F$4,$AH38=$F$5),$B$22,0))</f>
        <v>247.5</v>
      </c>
      <c r="AM38" s="27" cm="1">
        <f t="array" ref="AM38">$G$3+IFERROR(VLOOKUP($AH38,$F$4:$G$7,2,FALSE),0)+VLOOKUP($R38,武学奇术!$A:$ZZ,2,FALSE)+SUM(_xlfn.XLOOKUP($S38:$AG38,增益!$A:$A,增益!$B:$B,0))</f>
        <v>0.4041</v>
      </c>
      <c r="AN38" s="27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3888.382</v>
      </c>
      <c r="AP38" cm="1">
        <f t="array" ref="AP38">$E$10*(1+$AN38)+VLOOKUP($R38,武学奇术!$A:$ZZ,4,FALSE)+SUM(_xlfn.XLOOKUP($S38:$AG38,增益!$A:$A,增益!$D:$D,0))-$I$2</f>
        <v>3888.382</v>
      </c>
      <c r="AQ38" s="33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0.317</v>
      </c>
      <c r="AR38" s="33" cm="1">
        <f t="array" ref="AR38">$G$10+VLOOKUP($R38,武学奇术!$A:$ZZ,7,FALSE)+SUM(_xlfn.XLOOKUP(S38:AG38,增益!$A:$A,增益!$G:$G,0))</f>
        <v>0.09</v>
      </c>
      <c r="AS38" s="27" cm="1">
        <f t="array" ref="AS38">VLOOKUP($R38,武学奇术!$A:$ZZ,8,FALSE)+SUM(_xlfn.XLOOKUP(S38:AG38,增益!$A:$A,增益!$H:$H,0))</f>
        <v>0</v>
      </c>
      <c r="AT38">
        <f t="shared" si="1"/>
        <v>0</v>
      </c>
      <c r="AU38">
        <f t="shared" si="2"/>
        <v>0</v>
      </c>
      <c r="AV38" s="33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-0.14</v>
      </c>
      <c r="AW38" s="33" cm="1">
        <f t="array" ref="AW38">$G$11+VLOOKUP($R38,武学奇术!$A:$ZZ,10,FALSE)+SUM(_xlfn.XLOOKUP(S38:AG38,增益!$A:$A,增益!$J:$J,0))</f>
        <v>0</v>
      </c>
      <c r="AX38">
        <f t="shared" si="3"/>
        <v>0</v>
      </c>
      <c r="AY38">
        <f t="shared" si="4"/>
        <v>0</v>
      </c>
      <c r="AZ38" s="33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-0.14</v>
      </c>
      <c r="BA38" s="33" cm="1">
        <f t="array" ref="BA38">$G$12+VLOOKUP($R38,武学奇术!$A:$ZZ,12,FALSE)+SUM(_xlfn.XLOOKUP(S38:AG38,增益!$A:$A,增益!$L:$L,0))</f>
        <v>0</v>
      </c>
      <c r="BB38">
        <f t="shared" si="12"/>
        <v>0</v>
      </c>
      <c r="BC38">
        <f t="shared" si="13"/>
        <v>0</v>
      </c>
      <c r="BD38" s="33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-0.14</v>
      </c>
      <c r="BE38" s="33" cm="1">
        <f t="array" ref="BE38">$G$13+VLOOKUP($R38,武学奇术!$A:$ZZ,14,FALSE)+SUM(_xlfn.XLOOKUP(S38:AG38,增益!$A:$A,增益!$N:$N,0))</f>
        <v>0</v>
      </c>
      <c r="BF38">
        <f t="shared" si="14"/>
        <v>605.472</v>
      </c>
      <c r="BG38">
        <f t="shared" si="15"/>
        <v>1725.468</v>
      </c>
      <c r="BH38" s="33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0.08</v>
      </c>
      <c r="BI38" s="33" cm="1">
        <f t="array" ref="BI38">$G$14+VLOOKUP($R38,武学奇术!$A:$ZZ,16,FALSE)+SUM(_xlfn.XLOOKUP(S38:AG38,增益!$A:$A,增益!$P:$P,0))</f>
        <v>0.24</v>
      </c>
      <c r="BJ38" s="27">
        <f>MIN(IF(VLOOKUP($R38,武学奇术!$A:$ZZ,23,FALSE)=1,100%,$B$8),100%)</f>
        <v>1</v>
      </c>
      <c r="BK38" s="27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+MIN(IF(VLOOKUP($R38,武学奇术!$A:$ZZ,32,FALSE)=1,IF(VLOOKUP($R38,武学奇术!$A:$ZZ,24,FALSE)=1,100%,MIN(40%,$B$10+VLOOKUP($R38,武学奇术!$A:$ZZ,19,FALSE)+SUM(_xlfn.XLOOKUP(S38:AG38,增益!$A:$A,增益!$S:$S,0)))+$B$12+SUM(_xlfn.XLOOKUP(S38:AG38,增益!$A:$A,增益!$V:$V,0))),0),12%)</f>
        <v>0.9036</v>
      </c>
      <c r="BL38" s="27" cm="1">
        <f t="array" ref="BL38">1+$B$13+VLOOKUP($R38,武学奇术!$A:$ZZ,18,FALSE)+SUM(_xlfn.XLOOKUP(S38:AG38,增益!$A:$A,增益!$R:$R,0))</f>
        <v>1.64</v>
      </c>
      <c r="BM38" s="27" cm="1">
        <f t="array" ref="BM38">MAX(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-IF(VLOOKUP($R38,武学奇术!$A:$ZZ,32,FALSE)=1,12%,0),0)</f>
        <v>0.0929</v>
      </c>
      <c r="BN38" s="27" cm="1">
        <f t="array" ref="BN38">1+$B$14+VLOOKUP($R38,武学奇术!$A:$ZZ,20,FALSE)+SUM(_xlfn.XLOOKUP(S38:AG38,增益!$A:$A,增益!$T:$T,0))</f>
        <v>1.35</v>
      </c>
      <c r="BO38" s="27">
        <f t="shared" si="16"/>
        <v>0.9036</v>
      </c>
      <c r="BP38" s="27">
        <f t="shared" si="17"/>
        <v>0.00350000000000006</v>
      </c>
      <c r="BQ38" s="27">
        <f>IF(VLOOKUP($R38,武学奇术!$A:$ZZ,22,FALSE)=1,0,(1-$BJ38))*(1-$BM38)</f>
        <v>0</v>
      </c>
      <c r="BR38" s="27" cm="1">
        <f t="array" ref="BR38">SUM(_xlfn.XLOOKUP(S38:AG38,增益!$A:$A,增益!$W:$W,0))+$I$5</f>
        <v>0.11</v>
      </c>
    </row>
    <row r="39" spans="1:70">
      <c r="A39" s="4" t="s">
        <v>168</v>
      </c>
      <c r="B39" s="91">
        <v>1.16</v>
      </c>
      <c r="D39" s="40"/>
      <c r="E39" s="4"/>
      <c r="F39" s="40"/>
      <c r="G39" s="40"/>
      <c r="K39">
        <f>$L39*VLOOKUP($R39,武学奇术!$A:$ZZ,31,FALSE)</f>
        <v>131887.951424694</v>
      </c>
      <c r="L39" s="39">
        <f t="shared" si="11"/>
        <v>101452.270326688</v>
      </c>
      <c r="M39" s="39">
        <f>((($AO39+($AP39-$AO39)*IF(VLOOKUP($R39,武学奇术!$A:$ZZ,31,FALSE)=1,$F$18,0.5))*$AI39+$AJ39)*(1+$AQ39)*(1+$AR39)+(($AT39+($AU39-$AT39)*IF(VLOOKUP($R39,武学奇术!$A:$ZZ,31,FALSE)=1,$F$18,0.5))*IF($G$1="鸣金",$AK39,$AI39)+IF($G$1="鸣金",$AL39*1.5,0))*(1+$AV39)*(1+$AW39)+(($AX39+($AY39-$AX39)*IF(VLOOKUP($R39,武学奇术!$A:$ZZ,31,FALSE)=1,$F$18,0.5))*IF($G$1="裂石",$AK39,$AI39)+IF($G$1="裂石",$AL39*1.5,0))*(1+$AZ39)*(1+$BA39)+(($BB39+($BC39-$BB39)*IF(VLOOKUP($R39,武学奇术!$A:$ZZ,31,FALSE)=1,$F$18,0.5))*IF($G$1="牵丝",$AK39,$AI39)+IF($G$1="牵丝",$AL39*1.5,0))*(1+$BD39)*(1+$BE39)+(($BF39+($BG39-$BF39)*IF(VLOOKUP($R39,武学奇术!$A:$ZZ,31,FALSE)=1,$F$18,0.5))*IF($G$1="破竹",$AK39,$AI39)+IF($G$1="破竹",$AL39*1.5,0))*(1+$BH39)*(1+$BI39))*(1+$AM39)*$BL39*$Q39*(1+IF(VLOOKUP($R39,武学奇术!$A:$ZZ,30,FALSE)="蓄力技",$B$21,0))*(1+$BR39)</f>
        <v>103784.94049932</v>
      </c>
      <c r="N39" s="39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80570.0454194566</v>
      </c>
      <c r="O39" s="39">
        <f>((($AO39+($AP39-$AO39)*IF(VLOOKUP($R39,武学奇术!$A:$ZZ,31,FALSE)=1,$F$18,0.5))*$AI39+$AJ39)*(1+$AQ39)*(1+$AR39)+(($AT39+($AU39-$AT39)*IF(VLOOKUP($R39,武学奇术!$A:$ZZ,31,FALSE)=1,$F$18,0.5))*IF($G$1="鸣金",$AK39,$AI39)+IF($G$1="鸣金",$AL39*1.5,0))*(1+$AV39)*(1+$AW39)+(($AX39+($AY39-$AX39)*IF(VLOOKUP($R39,武学奇术!$A:$ZZ,31,FALSE)=1,$F$18,0.5))*IF($G$1="裂石",$AK39,$AI39)+IF($G$1="裂石",$AL39*1.5,0))*(1+$AZ39)*(1+$BA39)+(($BB39+($BC39-$BB39)*IF(VLOOKUP($R39,武学奇术!$A:$ZZ,31,FALSE)=1,$F$18,0.5))*IF($G$1="牵丝",$AK39,$AI39)+IF($G$1="牵丝",$AL39*1.5,0))*(1+$BD39)*(1+$BE39)+(($BF39+($BG39-$BF39)*IF(VLOOKUP($R39,武学奇术!$A:$ZZ,31,FALSE)=1,$F$18,0.5))*IF($G$1="破竹",$AK39,$AI39)+IF($G$1="破竹",$AL39*1.5,0))*(1+$BH39)*(1+$BI39))*(1+$AM39)*$Q39*(1+IF(VLOOKUP($R39,武学奇术!$A:$ZZ,30,FALSE)="蓄力技",$B$21,0))*(1+$BR39)</f>
        <v>53497.3920099586</v>
      </c>
      <c r="P39" s="39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47313.2688943937</v>
      </c>
      <c r="Q39" s="40">
        <v>1</v>
      </c>
      <c r="R39" s="41" t="s">
        <v>112</v>
      </c>
      <c r="S39" s="41" t="s">
        <v>97</v>
      </c>
      <c r="T39" s="41" t="s">
        <v>73</v>
      </c>
      <c r="U39" s="41" t="s">
        <v>133</v>
      </c>
      <c r="V39" s="41" t="s">
        <v>73</v>
      </c>
      <c r="W39" s="41" t="s">
        <v>73</v>
      </c>
      <c r="X39" s="41" t="s">
        <v>73</v>
      </c>
      <c r="Y39" s="41" t="s">
        <v>164</v>
      </c>
      <c r="Z39" s="41" t="s">
        <v>83</v>
      </c>
      <c r="AA39" s="41" t="s">
        <v>105</v>
      </c>
      <c r="AB39" s="41" t="s">
        <v>84</v>
      </c>
      <c r="AC39" s="41" t="s">
        <v>73</v>
      </c>
      <c r="AD39" s="41" t="s">
        <v>73</v>
      </c>
      <c r="AE39" s="41" t="s">
        <v>76</v>
      </c>
      <c r="AF39" s="41" t="s">
        <v>77</v>
      </c>
      <c r="AG39" s="41" t="s">
        <v>78</v>
      </c>
      <c r="AH39" t="str">
        <f>VLOOKUP($R39,武学奇术!$A:$ZZ,25,FALSE)</f>
        <v>拳甲</v>
      </c>
      <c r="AI39" s="27">
        <f>VLOOKUP($R39,武学奇术!$A:$ZZ,26,FALSE)</f>
        <v>2.91176</v>
      </c>
      <c r="AJ39" s="28">
        <f>VLOOKUP($R39,武学奇术!$A:$ZZ,27,FALSE)*(1+IF(OR($AH39=$F$4,$AH39=$F$5),$B$22,0))</f>
        <v>1208.7</v>
      </c>
      <c r="AK39" s="27">
        <f>VLOOKUP($R39,武学奇术!$A:$ZZ,28,FALSE)</f>
        <v>3.89844</v>
      </c>
      <c r="AL39" s="28">
        <f>VLOOKUP($R39,武学奇术!$A:$ZZ,29,FALSE)*(1+IF(OR($AH39=$F$4,$AH39=$F$5),$B$22,0))</f>
        <v>650.25</v>
      </c>
      <c r="AM39" s="27" cm="1">
        <f t="array" ref="AM39">$G$3+IFERROR(VLOOKUP($AH39,$F$4:$G$7,2,FALSE),0)+VLOOKUP($R39,武学奇术!$A:$ZZ,2,FALSE)+SUM(_xlfn.XLOOKUP($S39:$AG39,增益!$A:$A,增益!$B:$B,0))</f>
        <v>0.8541</v>
      </c>
      <c r="AN39" s="27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3888.382</v>
      </c>
      <c r="AP39" cm="1">
        <f t="array" ref="AP39">$E$10*(1+$AN39)+VLOOKUP($R39,武学奇术!$A:$ZZ,4,FALSE)+SUM(_xlfn.XLOOKUP($S39:$AG39,增益!$A:$A,增益!$D:$D,0))-$I$2</f>
        <v>3888.382</v>
      </c>
      <c r="AQ39" s="33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0.347</v>
      </c>
      <c r="AR39" s="33" cm="1">
        <f t="array" ref="AR39">$G$10+VLOOKUP($R39,武学奇术!$A:$ZZ,7,FALSE)+SUM(_xlfn.XLOOKUP(S39:AG39,增益!$A:$A,增益!$G:$G,0))</f>
        <v>0.09</v>
      </c>
      <c r="AS39" s="27" cm="1">
        <f t="array" ref="AS39">VLOOKUP($R39,武学奇术!$A:$ZZ,8,FALSE)+SUM(_xlfn.XLOOKUP(S39:AG39,增益!$A:$A,增益!$H:$H,0))</f>
        <v>0</v>
      </c>
      <c r="AT39">
        <f t="shared" si="1"/>
        <v>0</v>
      </c>
      <c r="AU39">
        <f t="shared" si="2"/>
        <v>0</v>
      </c>
      <c r="AV39" s="33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-0.08</v>
      </c>
      <c r="AW39" s="33" cm="1">
        <f t="array" ref="AW39">$G$11+VLOOKUP($R39,武学奇术!$A:$ZZ,10,FALSE)+SUM(_xlfn.XLOOKUP(S39:AG39,增益!$A:$A,增益!$J:$J,0))</f>
        <v>0</v>
      </c>
      <c r="AX39">
        <f t="shared" si="3"/>
        <v>0</v>
      </c>
      <c r="AY39">
        <f t="shared" si="4"/>
        <v>0</v>
      </c>
      <c r="AZ39" s="33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-0.08</v>
      </c>
      <c r="BA39" s="33" cm="1">
        <f t="array" ref="BA39">$G$12+VLOOKUP($R39,武学奇术!$A:$ZZ,12,FALSE)+SUM(_xlfn.XLOOKUP(S39:AG39,增益!$A:$A,增益!$L:$L,0))</f>
        <v>0</v>
      </c>
      <c r="BB39">
        <f t="shared" si="12"/>
        <v>0</v>
      </c>
      <c r="BC39">
        <f t="shared" si="13"/>
        <v>0</v>
      </c>
      <c r="BD39" s="33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-0.08</v>
      </c>
      <c r="BE39" s="33" cm="1">
        <f t="array" ref="BE39">$G$13+VLOOKUP($R39,武学奇术!$A:$ZZ,14,FALSE)+SUM(_xlfn.XLOOKUP(S39:AG39,增益!$A:$A,增益!$N:$N,0))</f>
        <v>0</v>
      </c>
      <c r="BF39">
        <f t="shared" si="14"/>
        <v>605.472</v>
      </c>
      <c r="BG39">
        <f t="shared" si="15"/>
        <v>1725.468</v>
      </c>
      <c r="BH39" s="33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0.11</v>
      </c>
      <c r="BI39" s="33" cm="1">
        <f t="array" ref="BI39">$G$14+VLOOKUP($R39,武学奇术!$A:$ZZ,16,FALSE)+SUM(_xlfn.XLOOKUP(S39:AG39,增益!$A:$A,增益!$P:$P,0))</f>
        <v>0.24</v>
      </c>
      <c r="BJ39" s="27">
        <f>MIN(IF(VLOOKUP($R39,武学奇术!$A:$ZZ,23,FALSE)=1,100%,$B$8),100%)</f>
        <v>1</v>
      </c>
      <c r="BK39" s="27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+MIN(IF(VLOOKUP($R39,武学奇术!$A:$ZZ,32,FALSE)=1,IF(VLOOKUP($R39,武学奇术!$A:$ZZ,24,FALSE)=1,100%,MIN(40%,$B$10+VLOOKUP($R39,武学奇术!$A:$ZZ,19,FALSE)+SUM(_xlfn.XLOOKUP(S39:AG39,增益!$A:$A,增益!$S:$S,0)))+$B$12+SUM(_xlfn.XLOOKUP(S39:AG39,增益!$A:$A,增益!$V:$V,0))),0),12%)</f>
        <v>0.9036</v>
      </c>
      <c r="BL39" s="27" cm="1">
        <f t="array" ref="BL39">1+$B$13+VLOOKUP($R39,武学奇术!$A:$ZZ,18,FALSE)+SUM(_xlfn.XLOOKUP(S39:AG39,增益!$A:$A,增益!$R:$R,0))</f>
        <v>1.94</v>
      </c>
      <c r="BM39" s="27" cm="1">
        <f t="array" ref="BM39">MAX(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-IF(VLOOKUP($R39,武学奇术!$A:$ZZ,32,FALSE)=1,12%,0),0)</f>
        <v>0.0929</v>
      </c>
      <c r="BN39" s="27" cm="1">
        <f t="array" ref="BN39">1+$B$14+VLOOKUP($R39,武学奇术!$A:$ZZ,20,FALSE)+SUM(_xlfn.XLOOKUP(S39:AG39,增益!$A:$A,增益!$T:$T,0))</f>
        <v>1.35</v>
      </c>
      <c r="BO39" s="27">
        <f t="shared" si="16"/>
        <v>0.9036</v>
      </c>
      <c r="BP39" s="27">
        <f t="shared" si="17"/>
        <v>0.00350000000000006</v>
      </c>
      <c r="BQ39" s="27">
        <f>IF(VLOOKUP($R39,武学奇术!$A:$ZZ,22,FALSE)=1,0,(1-$BJ39))*(1-$BM39)</f>
        <v>0</v>
      </c>
      <c r="BR39" s="27" cm="1">
        <f t="array" ref="BR39">SUM(_xlfn.XLOOKUP(S39:AG39,增益!$A:$A,增益!$W:$W,0))+$I$5</f>
        <v>0.11</v>
      </c>
    </row>
    <row r="40" spans="1:70">
      <c r="A40" t="s">
        <v>171</v>
      </c>
      <c r="B40">
        <v>0.5</v>
      </c>
      <c r="C40" s="40" t="s">
        <v>133</v>
      </c>
      <c r="D40" s="40"/>
      <c r="E40" s="40" t="s">
        <v>172</v>
      </c>
      <c r="F40" s="40"/>
      <c r="G40" s="40"/>
      <c r="K40">
        <f>$L40*VLOOKUP($R40,武学奇术!$A:$ZZ,31,FALSE)</f>
        <v>32435.8159836585</v>
      </c>
      <c r="L40" s="39">
        <f t="shared" si="11"/>
        <v>32435.8159836585</v>
      </c>
      <c r="M40" s="39">
        <f>((($AO40+($AP40-$AO40)*IF(VLOOKUP($R40,武学奇术!$A:$ZZ,31,FALSE)=1,$F$18,0.5))*$AI40+$AJ40)*(1+$AQ40)*(1+$AR40)+(($AT40+($AU40-$AT40)*IF(VLOOKUP($R40,武学奇术!$A:$ZZ,31,FALSE)=1,$F$18,0.5))*IF($G$1="鸣金",$AK40,$AI40)+IF($G$1="鸣金",$AL40*1.5,0))*(1+$AV40)*(1+$AW40)+(($AX40+($AY40-$AX40)*IF(VLOOKUP($R40,武学奇术!$A:$ZZ,31,FALSE)=1,$F$18,0.5))*IF($G$1="裂石",$AK40,$AI40)+IF($G$1="裂石",$AL40*1.5,0))*(1+$AZ40)*(1+$BA40)+(($BB40+($BC40-$BB40)*IF(VLOOKUP($R40,武学奇术!$A:$ZZ,31,FALSE)=1,$F$18,0.5))*IF($G$1="牵丝",$AK40,$AI40)+IF($G$1="牵丝",$AL40*1.5,0))*(1+$BD40)*(1+$BE40)+(($BF40+($BG40-$BF40)*IF(VLOOKUP($R40,武学奇术!$A:$ZZ,31,FALSE)=1,$F$18,0.5))*IF($G$1="破竹",$AK40,$AI40)+IF($G$1="破竹",$AL40*1.5,0))*(1+$BH40)*(1+$BI40))*(1+$AM40)*$BL40*$Q40*(1+IF(VLOOKUP($R40,武学奇术!$A:$ZZ,30,FALSE)="蓄力技",$B$21,0))*(1+$BR40)</f>
        <v>32704.3821893991</v>
      </c>
      <c r="N40" s="39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30294.2981670406</v>
      </c>
      <c r="O40" s="39">
        <f>((($AO40+($AP40-$AO40)*IF(VLOOKUP($R40,武学奇术!$A:$ZZ,31,FALSE)=1,$F$18,0.5))*$AI40+$AJ40)*(1+$AQ40)*(1+$AR40)+(($AT40+($AU40-$AT40)*IF(VLOOKUP($R40,武学奇术!$A:$ZZ,31,FALSE)=1,$F$18,0.5))*IF($G$1="鸣金",$AK40,$AI40)+IF($G$1="鸣金",$AL40*1.5,0))*(1+$AV40)*(1+$AW40)+(($AX40+($AY40-$AX40)*IF(VLOOKUP($R40,武学奇术!$A:$ZZ,31,FALSE)=1,$F$18,0.5))*IF($G$1="裂石",$AK40,$AI40)+IF($G$1="裂石",$AL40*1.5,0))*(1+$AZ40)*(1+$BA40)+(($BB40+($BC40-$BB40)*IF(VLOOKUP($R40,武学奇术!$A:$ZZ,31,FALSE)=1,$F$18,0.5))*IF($G$1="牵丝",$AK40,$AI40)+IF($G$1="牵丝",$AL40*1.5,0))*(1+$BD40)*(1+$BE40)+(($BF40+($BG40-$BF40)*IF(VLOOKUP($R40,武学奇术!$A:$ZZ,31,FALSE)=1,$F$18,0.5))*IF($G$1="破竹",$AK40,$AI40)+IF($G$1="破竹",$AL40*1.5,0))*(1+$BH40)*(1+$BI40))*(1+$AM40)*$Q40*(1+IF(VLOOKUP($R40,武学奇术!$A:$ZZ,30,FALSE)="蓄力技",$B$21,0))*(1+$BR40)</f>
        <v>19941.6964569507</v>
      </c>
      <c r="P40" s="39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17443.1720494268</v>
      </c>
      <c r="Q40" s="40">
        <v>1</v>
      </c>
      <c r="R40" s="41" t="s">
        <v>115</v>
      </c>
      <c r="S40" s="41" t="s">
        <v>97</v>
      </c>
      <c r="T40" s="41" t="s">
        <v>73</v>
      </c>
      <c r="U40" s="41" t="s">
        <v>133</v>
      </c>
      <c r="V40" s="41" t="s">
        <v>73</v>
      </c>
      <c r="W40" s="41" t="s">
        <v>73</v>
      </c>
      <c r="X40" s="41" t="s">
        <v>73</v>
      </c>
      <c r="Y40" s="41" t="s">
        <v>164</v>
      </c>
      <c r="Z40" s="41" t="s">
        <v>83</v>
      </c>
      <c r="AA40" s="41" t="s">
        <v>73</v>
      </c>
      <c r="AB40" s="41" t="s">
        <v>84</v>
      </c>
      <c r="AC40" s="41" t="s">
        <v>73</v>
      </c>
      <c r="AD40" s="41" t="s">
        <v>73</v>
      </c>
      <c r="AE40" s="41" t="s">
        <v>76</v>
      </c>
      <c r="AF40" s="41" t="s">
        <v>77</v>
      </c>
      <c r="AG40" s="41" t="s">
        <v>78</v>
      </c>
      <c r="AH40" t="str">
        <f>VLOOKUP($R40,武学奇术!$A:$ZZ,25,FALSE)</f>
        <v>拳甲</v>
      </c>
      <c r="AI40" s="27">
        <f>VLOOKUP($R40,武学奇术!$A:$ZZ,26,FALSE)</f>
        <v>1.2876</v>
      </c>
      <c r="AJ40" s="28">
        <f>VLOOKUP($R40,武学奇术!$A:$ZZ,27,FALSE)*(1+IF(OR($AH40=$F$4,$AH40=$F$5),$B$22,0))</f>
        <v>537</v>
      </c>
      <c r="AK40" s="27">
        <f>VLOOKUP($R40,武学奇术!$A:$ZZ,28,FALSE)</f>
        <v>1.9313</v>
      </c>
      <c r="AL40" s="28">
        <f>VLOOKUP($R40,武学奇术!$A:$ZZ,29,FALSE)*(1+IF(OR($AH40=$F$4,$AH40=$F$5),$B$22,0))</f>
        <v>292.5</v>
      </c>
      <c r="AM40" s="27" cm="1">
        <f t="array" ref="AM40">$G$3+IFERROR(VLOOKUP($AH40,$F$4:$G$7,2,FALSE),0)+VLOOKUP($R40,武学奇术!$A:$ZZ,2,FALSE)+SUM(_xlfn.XLOOKUP($S40:$AG40,增益!$A:$A,增益!$B:$B,0))</f>
        <v>0.5541</v>
      </c>
      <c r="AN40" s="27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3888.382</v>
      </c>
      <c r="AP40" cm="1">
        <f t="array" ref="AP40">$E$10*(1+$AN40)+VLOOKUP($R40,武学奇术!$A:$ZZ,4,FALSE)+SUM(_xlfn.XLOOKUP($S40:$AG40,增益!$A:$A,增益!$D:$D,0))-$I$2</f>
        <v>3888.382</v>
      </c>
      <c r="AQ40" s="33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0.317</v>
      </c>
      <c r="AR40" s="33" cm="1">
        <f t="array" ref="AR40">$G$10+VLOOKUP($R40,武学奇术!$A:$ZZ,7,FALSE)+SUM(_xlfn.XLOOKUP(S40:AG40,增益!$A:$A,增益!$G:$G,0))</f>
        <v>0.09</v>
      </c>
      <c r="AS40" s="27" cm="1">
        <f t="array" ref="AS40">VLOOKUP($R40,武学奇术!$A:$ZZ,8,FALSE)+SUM(_xlfn.XLOOKUP(S40:AG40,增益!$A:$A,增益!$H:$H,0))</f>
        <v>0</v>
      </c>
      <c r="AT40">
        <f t="shared" si="1"/>
        <v>0</v>
      </c>
      <c r="AU40">
        <f t="shared" si="2"/>
        <v>0</v>
      </c>
      <c r="AV40" s="33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-0.14</v>
      </c>
      <c r="AW40" s="33" cm="1">
        <f t="array" ref="AW40">$G$11+VLOOKUP($R40,武学奇术!$A:$ZZ,10,FALSE)+SUM(_xlfn.XLOOKUP(S40:AG40,增益!$A:$A,增益!$J:$J,0))</f>
        <v>0</v>
      </c>
      <c r="AX40">
        <f t="shared" si="3"/>
        <v>0</v>
      </c>
      <c r="AY40">
        <f t="shared" si="4"/>
        <v>0</v>
      </c>
      <c r="AZ40" s="33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-0.14</v>
      </c>
      <c r="BA40" s="33" cm="1">
        <f t="array" ref="BA40">$G$12+VLOOKUP($R40,武学奇术!$A:$ZZ,12,FALSE)+SUM(_xlfn.XLOOKUP(S40:AG40,增益!$A:$A,增益!$L:$L,0))</f>
        <v>0</v>
      </c>
      <c r="BB40">
        <f t="shared" si="12"/>
        <v>0</v>
      </c>
      <c r="BC40">
        <f t="shared" si="13"/>
        <v>0</v>
      </c>
      <c r="BD40" s="33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-0.14</v>
      </c>
      <c r="BE40" s="33" cm="1">
        <f t="array" ref="BE40">$G$13+VLOOKUP($R40,武学奇术!$A:$ZZ,14,FALSE)+SUM(_xlfn.XLOOKUP(S40:AG40,增益!$A:$A,增益!$N:$N,0))</f>
        <v>0</v>
      </c>
      <c r="BF40">
        <f t="shared" si="14"/>
        <v>605.472</v>
      </c>
      <c r="BG40">
        <f t="shared" si="15"/>
        <v>1725.468</v>
      </c>
      <c r="BH40" s="33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0.08</v>
      </c>
      <c r="BI40" s="33" cm="1">
        <f t="array" ref="BI40">$G$14+VLOOKUP($R40,武学奇术!$A:$ZZ,16,FALSE)+SUM(_xlfn.XLOOKUP(S40:AG40,增益!$A:$A,增益!$P:$P,0))</f>
        <v>0.24</v>
      </c>
      <c r="BJ40" s="27">
        <f>MIN(IF(VLOOKUP($R40,武学奇术!$A:$ZZ,23,FALSE)=1,100%,$B$8),100%)</f>
        <v>1</v>
      </c>
      <c r="BK40" s="27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+MIN(IF(VLOOKUP($R40,武学奇术!$A:$ZZ,32,FALSE)=1,IF(VLOOKUP($R40,武学奇术!$A:$ZZ,24,FALSE)=1,100%,MIN(40%,$B$10+VLOOKUP($R40,武学奇术!$A:$ZZ,19,FALSE)+SUM(_xlfn.XLOOKUP(S40:AG40,增益!$A:$A,增益!$S:$S,0)))+$B$12+SUM(_xlfn.XLOOKUP(S40:AG40,增益!$A:$A,增益!$V:$V,0))),0),12%)</f>
        <v>0.9036</v>
      </c>
      <c r="BL40" s="27" cm="1">
        <f t="array" ref="BL40">1+$B$13+VLOOKUP($R40,武学奇术!$A:$ZZ,18,FALSE)+SUM(_xlfn.XLOOKUP(S40:AG40,增益!$A:$A,增益!$R:$R,0))</f>
        <v>1.64</v>
      </c>
      <c r="BM40" s="27" cm="1">
        <f t="array" ref="BM40">MAX(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-IF(VLOOKUP($R40,武学奇术!$A:$ZZ,32,FALSE)=1,12%,0),0)</f>
        <v>0.0929</v>
      </c>
      <c r="BN40" s="27" cm="1">
        <f t="array" ref="BN40">1+$B$14+VLOOKUP($R40,武学奇术!$A:$ZZ,20,FALSE)+SUM(_xlfn.XLOOKUP(S40:AG40,增益!$A:$A,增益!$T:$T,0))</f>
        <v>1.35</v>
      </c>
      <c r="BO40" s="27">
        <f t="shared" si="16"/>
        <v>0.9036</v>
      </c>
      <c r="BP40" s="27">
        <f t="shared" si="17"/>
        <v>0.00350000000000006</v>
      </c>
      <c r="BQ40" s="27">
        <f>IF(VLOOKUP($R40,武学奇术!$A:$ZZ,22,FALSE)=1,0,(1-$BJ40))*(1-$BM40)</f>
        <v>0</v>
      </c>
      <c r="BR40" s="27" cm="1">
        <f t="array" ref="BR40">SUM(_xlfn.XLOOKUP(S40:AG40,增益!$A:$A,增益!$W:$W,0))+$I$5</f>
        <v>0.11</v>
      </c>
    </row>
    <row r="41" spans="1:70">
      <c r="A41" s="4" t="s">
        <v>173</v>
      </c>
      <c r="B41" s="91">
        <v>0.7</v>
      </c>
      <c r="C41" s="40"/>
      <c r="D41" s="40"/>
      <c r="E41" s="40"/>
      <c r="F41" s="40"/>
      <c r="G41" s="40"/>
      <c r="K41">
        <f>$L41*VLOOKUP($R41,武学奇术!$A:$ZZ,31,FALSE)</f>
        <v>108851.100689667</v>
      </c>
      <c r="L41" s="39">
        <f t="shared" si="11"/>
        <v>83731.6159151282</v>
      </c>
      <c r="M41" s="39">
        <f>((($AO41+($AP41-$AO41)*IF(VLOOKUP($R41,武学奇术!$A:$ZZ,31,FALSE)=1,$F$18,0.5))*$AI41+$AJ41)*(1+$AQ41)*(1+$AR41)+(($AT41+($AU41-$AT41)*IF(VLOOKUP($R41,武学奇术!$A:$ZZ,31,FALSE)=1,$F$18,0.5))*IF($G$1="鸣金",$AK41,$AI41)+IF($G$1="鸣金",$AL41*1.5,0))*(1+$AV41)*(1+$AW41)+(($AX41+($AY41-$AX41)*IF(VLOOKUP($R41,武学奇术!$A:$ZZ,31,FALSE)=1,$F$18,0.5))*IF($G$1="裂石",$AK41,$AI41)+IF($G$1="裂石",$AL41*1.5,0))*(1+$AZ41)*(1+$BA41)+(($BB41+($BC41-$BB41)*IF(VLOOKUP($R41,武学奇术!$A:$ZZ,31,FALSE)=1,$F$18,0.5))*IF($G$1="牵丝",$AK41,$AI41)+IF($G$1="牵丝",$AL41*1.5,0))*(1+$BD41)*(1+$BE41)+(($BF41+($BG41-$BF41)*IF(VLOOKUP($R41,武学奇术!$A:$ZZ,31,FALSE)=1,$F$18,0.5))*IF($G$1="破竹",$AK41,$AI41)+IF($G$1="破竹",$AL41*1.5,0))*(1+$BH41)*(1+$BI41))*(1+$AM41)*$BL41*$Q41*(1+IF(VLOOKUP($R41,武学奇术!$A:$ZZ,30,FALSE)="蓄力技",$B$21,0))*(1+$BR41)</f>
        <v>85504.8852507838</v>
      </c>
      <c r="N41" s="39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67977.827896702</v>
      </c>
      <c r="O41" s="39">
        <f>((($AO41+($AP41-$AO41)*IF(VLOOKUP($R41,武学奇术!$A:$ZZ,31,FALSE)=1,$F$18,0.5))*$AI41+$AJ41)*(1+$AQ41)*(1+$AR41)+(($AT41+($AU41-$AT41)*IF(VLOOKUP($R41,武学奇术!$A:$ZZ,31,FALSE)=1,$F$18,0.5))*IF($G$1="鸣金",$AK41,$AI41)+IF($G$1="鸣金",$AL41*1.5,0))*(1+$AV41)*(1+$AW41)+(($AX41+($AY41-$AX41)*IF(VLOOKUP($R41,武学奇术!$A:$ZZ,31,FALSE)=1,$F$18,0.5))*IF($G$1="裂石",$AK41,$AI41)+IF($G$1="裂石",$AL41*1.5,0))*(1+$AZ41)*(1+$BA41)+(($BB41+($BC41-$BB41)*IF(VLOOKUP($R41,武学奇术!$A:$ZZ,31,FALSE)=1,$F$18,0.5))*IF($G$1="牵丝",$AK41,$AI41)+IF($G$1="牵丝",$AL41*1.5,0))*(1+$BD41)*(1+$BE41)+(($BF41+($BG41-$BF41)*IF(VLOOKUP($R41,武学奇术!$A:$ZZ,31,FALSE)=1,$F$18,0.5))*IF($G$1="破竹",$AK41,$AI41)+IF($G$1="破竹",$AL41*1.5,0))*(1+$BH41)*(1+$BI41))*(1+$AM41)*$Q41*(1+IF(VLOOKUP($R41,武学奇术!$A:$ZZ,30,FALSE)="蓄力技",$B$21,0))*(1+$BR41)</f>
        <v>44074.6831189607</v>
      </c>
      <c r="P41" s="39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37795.4196477718</v>
      </c>
      <c r="Q41" s="40">
        <v>1</v>
      </c>
      <c r="R41" s="41" t="s">
        <v>117</v>
      </c>
      <c r="S41" s="41" t="s">
        <v>97</v>
      </c>
      <c r="T41" s="41" t="s">
        <v>73</v>
      </c>
      <c r="U41" s="41" t="s">
        <v>133</v>
      </c>
      <c r="V41" s="41" t="s">
        <v>73</v>
      </c>
      <c r="W41" s="41" t="s">
        <v>73</v>
      </c>
      <c r="X41" s="41" t="s">
        <v>73</v>
      </c>
      <c r="Y41" s="41" t="s">
        <v>164</v>
      </c>
      <c r="Z41" s="41" t="s">
        <v>83</v>
      </c>
      <c r="AA41" s="41" t="s">
        <v>105</v>
      </c>
      <c r="AB41" s="41" t="s">
        <v>84</v>
      </c>
      <c r="AC41" s="41" t="s">
        <v>73</v>
      </c>
      <c r="AD41" s="41" t="s">
        <v>73</v>
      </c>
      <c r="AE41" s="41" t="s">
        <v>76</v>
      </c>
      <c r="AF41" s="41" t="s">
        <v>77</v>
      </c>
      <c r="AG41" s="41" t="s">
        <v>78</v>
      </c>
      <c r="AH41" t="str">
        <f>VLOOKUP($R41,武学奇术!$A:$ZZ,25,FALSE)</f>
        <v>拳甲</v>
      </c>
      <c r="AI41" s="27">
        <f>VLOOKUP($R41,武学奇术!$A:$ZZ,26,FALSE)</f>
        <v>2.638944</v>
      </c>
      <c r="AJ41" s="28">
        <f>VLOOKUP($R41,武学奇术!$A:$ZZ,27,FALSE)*(1+IF(OR($AH41=$F$4,$AH41=$F$5),$B$22,0))</f>
        <v>0</v>
      </c>
      <c r="AK41" s="27">
        <f>VLOOKUP($R41,武学奇术!$A:$ZZ,28,FALSE)</f>
        <v>3.958416</v>
      </c>
      <c r="AL41" s="28">
        <f>VLOOKUP($R41,武学奇术!$A:$ZZ,29,FALSE)*(1+IF(OR($AH41=$F$4,$AH41=$F$5),$B$22,0))</f>
        <v>0</v>
      </c>
      <c r="AM41" s="27" cm="1">
        <f t="array" ref="AM41">$G$3+IFERROR(VLOOKUP($AH41,$F$4:$G$7,2,FALSE),0)+VLOOKUP($R41,武学奇术!$A:$ZZ,2,FALSE)+SUM(_xlfn.XLOOKUP($S41:$AG41,增益!$A:$A,增益!$B:$B,0))</f>
        <v>0.8541</v>
      </c>
      <c r="AN41" s="27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3888.382</v>
      </c>
      <c r="AP41" cm="1">
        <f t="array" ref="AP41">$E$10*(1+$AN41)+VLOOKUP($R41,武学奇术!$A:$ZZ,4,FALSE)+SUM(_xlfn.XLOOKUP($S41:$AG41,增益!$A:$A,增益!$D:$D,0))-$I$2</f>
        <v>3888.382</v>
      </c>
      <c r="AQ41" s="33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0.347</v>
      </c>
      <c r="AR41" s="33" cm="1">
        <f t="array" ref="AR41">$G$10+VLOOKUP($R41,武学奇术!$A:$ZZ,7,FALSE)+SUM(_xlfn.XLOOKUP(S41:AG41,增益!$A:$A,增益!$G:$G,0))</f>
        <v>0.09</v>
      </c>
      <c r="AS41" s="27" cm="1">
        <f t="array" ref="AS41">VLOOKUP($R41,武学奇术!$A:$ZZ,8,FALSE)+SUM(_xlfn.XLOOKUP(S41:AG41,增益!$A:$A,增益!$H:$H,0))</f>
        <v>0</v>
      </c>
      <c r="AT41">
        <f t="shared" si="1"/>
        <v>0</v>
      </c>
      <c r="AU41">
        <f t="shared" si="2"/>
        <v>0</v>
      </c>
      <c r="AV41" s="33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-0.08</v>
      </c>
      <c r="AW41" s="33" cm="1">
        <f t="array" ref="AW41">$G$11+VLOOKUP($R41,武学奇术!$A:$ZZ,10,FALSE)+SUM(_xlfn.XLOOKUP(S41:AG41,增益!$A:$A,增益!$J:$J,0))</f>
        <v>0</v>
      </c>
      <c r="AX41">
        <f t="shared" si="3"/>
        <v>0</v>
      </c>
      <c r="AY41">
        <f t="shared" si="4"/>
        <v>0</v>
      </c>
      <c r="AZ41" s="33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-0.08</v>
      </c>
      <c r="BA41" s="33" cm="1">
        <f t="array" ref="BA41">$G$12+VLOOKUP($R41,武学奇术!$A:$ZZ,12,FALSE)+SUM(_xlfn.XLOOKUP(S41:AG41,增益!$A:$A,增益!$L:$L,0))</f>
        <v>0</v>
      </c>
      <c r="BB41">
        <f t="shared" si="12"/>
        <v>0</v>
      </c>
      <c r="BC41">
        <f t="shared" si="13"/>
        <v>0</v>
      </c>
      <c r="BD41" s="33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-0.08</v>
      </c>
      <c r="BE41" s="33" cm="1">
        <f t="array" ref="BE41">$G$13+VLOOKUP($R41,武学奇术!$A:$ZZ,14,FALSE)+SUM(_xlfn.XLOOKUP(S41:AG41,增益!$A:$A,增益!$N:$N,0))</f>
        <v>0</v>
      </c>
      <c r="BF41">
        <f t="shared" si="14"/>
        <v>605.472</v>
      </c>
      <c r="BG41">
        <f t="shared" si="15"/>
        <v>1725.468</v>
      </c>
      <c r="BH41" s="33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0.11</v>
      </c>
      <c r="BI41" s="33" cm="1">
        <f t="array" ref="BI41">$G$14+VLOOKUP($R41,武学奇术!$A:$ZZ,16,FALSE)+SUM(_xlfn.XLOOKUP(S41:AG41,增益!$A:$A,增益!$P:$P,0))</f>
        <v>0.24</v>
      </c>
      <c r="BJ41" s="27">
        <f>MIN(IF(VLOOKUP($R41,武学奇术!$A:$ZZ,23,FALSE)=1,100%,$B$8),100%)</f>
        <v>1</v>
      </c>
      <c r="BK41" s="27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+MIN(IF(VLOOKUP($R41,武学奇术!$A:$ZZ,32,FALSE)=1,IF(VLOOKUP($R41,武学奇术!$A:$ZZ,24,FALSE)=1,100%,MIN(40%,$B$10+VLOOKUP($R41,武学奇术!$A:$ZZ,19,FALSE)+SUM(_xlfn.XLOOKUP(S41:AG41,增益!$A:$A,增益!$S:$S,0)))+$B$12+SUM(_xlfn.XLOOKUP(S41:AG41,增益!$A:$A,增益!$V:$V,0))),0),12%)</f>
        <v>0.9036</v>
      </c>
      <c r="BL41" s="27" cm="1">
        <f t="array" ref="BL41">1+$B$13+VLOOKUP($R41,武学奇术!$A:$ZZ,18,FALSE)+SUM(_xlfn.XLOOKUP(S41:AG41,增益!$A:$A,增益!$R:$R,0))</f>
        <v>1.94</v>
      </c>
      <c r="BM41" s="27" cm="1">
        <f t="array" ref="BM41">MAX(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-IF(VLOOKUP($R41,武学奇术!$A:$ZZ,32,FALSE)=1,12%,0),0)</f>
        <v>0.0929</v>
      </c>
      <c r="BN41" s="27" cm="1">
        <f t="array" ref="BN41">1+$B$14+VLOOKUP($R41,武学奇术!$A:$ZZ,20,FALSE)+SUM(_xlfn.XLOOKUP(S41:AG41,增益!$A:$A,增益!$T:$T,0))</f>
        <v>1.35</v>
      </c>
      <c r="BO41" s="27">
        <f t="shared" si="16"/>
        <v>0.9036</v>
      </c>
      <c r="BP41" s="27">
        <f t="shared" si="17"/>
        <v>0.00350000000000006</v>
      </c>
      <c r="BQ41" s="27">
        <f>IF(VLOOKUP($R41,武学奇术!$A:$ZZ,22,FALSE)=1,0,(1-$BJ41))*(1-$BM41)</f>
        <v>0</v>
      </c>
      <c r="BR41" s="27" cm="1">
        <f t="array" ref="BR41">SUM(_xlfn.XLOOKUP(S41:AG41,增益!$A:$A,增益!$W:$W,0))+$I$5</f>
        <v>0.11</v>
      </c>
    </row>
    <row r="42" spans="1:70">
      <c r="A42" s="4" t="s">
        <v>174</v>
      </c>
      <c r="B42" s="4">
        <v>0.8</v>
      </c>
      <c r="C42" s="40"/>
      <c r="D42" s="40"/>
      <c r="E42" s="40"/>
      <c r="F42" s="40"/>
      <c r="G42" s="40"/>
      <c r="K42">
        <f>$L42*VLOOKUP($R42,武学奇术!$A:$ZZ,31,FALSE)</f>
        <v>39460.1910264646</v>
      </c>
      <c r="L42" s="39">
        <f t="shared" si="11"/>
        <v>39460.1910264646</v>
      </c>
      <c r="M42" s="39">
        <f>((($AO42+($AP42-$AO42)*IF(VLOOKUP($R42,武学奇术!$A:$ZZ,31,FALSE)=1,$F$18,0.5))*$AI42+$AJ42)*(1+$AQ42)*(1+$AR42)+(($AT42+($AU42-$AT42)*IF(VLOOKUP($R42,武学奇术!$A:$ZZ,31,FALSE)=1,$F$18,0.5))*IF($G$1="鸣金",$AK42,$AI42)+IF($G$1="鸣金",$AL42*1.5,0))*(1+$AV42)*(1+$AW42)+(($AX42+($AY42-$AX42)*IF(VLOOKUP($R42,武学奇术!$A:$ZZ,31,FALSE)=1,$F$18,0.5))*IF($G$1="裂石",$AK42,$AI42)+IF($G$1="裂石",$AL42*1.5,0))*(1+$AZ42)*(1+$BA42)+(($BB42+($BC42-$BB42)*IF(VLOOKUP($R42,武学奇术!$A:$ZZ,31,FALSE)=1,$F$18,0.5))*IF($G$1="牵丝",$AK42,$AI42)+IF($G$1="牵丝",$AL42*1.5,0))*(1+$BD42)*(1+$BE42)+(($BF42+($BG42-$BF42)*IF(VLOOKUP($R42,武学奇术!$A:$ZZ,31,FALSE)=1,$F$18,0.5))*IF($G$1="破竹",$AK42,$AI42)+IF($G$1="破竹",$AL42*1.5,0))*(1+$BH42)*(1+$BI42))*(1+$AM42)*$BL42*$Q42*(1+IF(VLOOKUP($R42,武学奇术!$A:$ZZ,30,FALSE)="蓄力技",$B$21,0))*(1+$BR42)</f>
        <v>39786.6416580542</v>
      </c>
      <c r="N42" s="39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36857.6007374936</v>
      </c>
      <c r="O42" s="39">
        <f>((($AO42+($AP42-$AO42)*IF(VLOOKUP($R42,武学奇术!$A:$ZZ,31,FALSE)=1,$F$18,0.5))*$AI42+$AJ42)*(1+$AQ42)*(1+$AR42)+(($AT42+($AU42-$AT42)*IF(VLOOKUP($R42,武学奇术!$A:$ZZ,31,FALSE)=1,$F$18,0.5))*IF($G$1="鸣金",$AK42,$AI42)+IF($G$1="鸣金",$AL42*1.5,0))*(1+$AV42)*(1+$AW42)+(($AX42+($AY42-$AX42)*IF(VLOOKUP($R42,武学奇术!$A:$ZZ,31,FALSE)=1,$F$18,0.5))*IF($G$1="裂石",$AK42,$AI42)+IF($G$1="裂石",$AL42*1.5,0))*(1+$AZ42)*(1+$BA42)+(($BB42+($BC42-$BB42)*IF(VLOOKUP($R42,武学奇术!$A:$ZZ,31,FALSE)=1,$F$18,0.5))*IF($G$1="牵丝",$AK42,$AI42)+IF($G$1="牵丝",$AL42*1.5,0))*(1+$BD42)*(1+$BE42)+(($BF42+($BG42-$BF42)*IF(VLOOKUP($R42,武学奇术!$A:$ZZ,31,FALSE)=1,$F$18,0.5))*IF($G$1="破竹",$AK42,$AI42)+IF($G$1="破竹",$AL42*1.5,0))*(1+$BH42)*(1+$BI42))*(1+$AM42)*$Q42*(1+IF(VLOOKUP($R42,武学奇术!$A:$ZZ,30,FALSE)="蓄力技",$B$21,0))*(1+$BR42)</f>
        <v>24260.1473524721</v>
      </c>
      <c r="P42" s="39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21218.3682327266</v>
      </c>
      <c r="Q42" s="40">
        <v>1</v>
      </c>
      <c r="R42" s="41" t="s">
        <v>159</v>
      </c>
      <c r="S42" s="41" t="s">
        <v>97</v>
      </c>
      <c r="T42" s="41" t="s">
        <v>73</v>
      </c>
      <c r="U42" s="41" t="s">
        <v>133</v>
      </c>
      <c r="V42" s="41" t="s">
        <v>73</v>
      </c>
      <c r="W42" s="41" t="s">
        <v>73</v>
      </c>
      <c r="X42" s="41" t="s">
        <v>73</v>
      </c>
      <c r="Y42" s="41" t="s">
        <v>164</v>
      </c>
      <c r="Z42" s="41" t="s">
        <v>83</v>
      </c>
      <c r="AA42" s="41" t="s">
        <v>73</v>
      </c>
      <c r="AB42" s="41" t="s">
        <v>84</v>
      </c>
      <c r="AC42" s="41" t="s">
        <v>73</v>
      </c>
      <c r="AD42" s="41" t="s">
        <v>73</v>
      </c>
      <c r="AE42" s="41" t="s">
        <v>76</v>
      </c>
      <c r="AF42" s="41" t="s">
        <v>77</v>
      </c>
      <c r="AG42" s="41" t="s">
        <v>78</v>
      </c>
      <c r="AH42" t="str">
        <f>VLOOKUP($R42,武学奇术!$A:$ZZ,25,FALSE)</f>
        <v>绳镖</v>
      </c>
      <c r="AI42" s="27">
        <f>VLOOKUP($R42,武学奇术!$A:$ZZ,26,FALSE)</f>
        <v>1.6584</v>
      </c>
      <c r="AJ42" s="28">
        <f>VLOOKUP($R42,武学奇术!$A:$ZZ,27,FALSE)*(1+IF(OR($AH42=$F$4,$AH42=$F$5),$B$22,0))</f>
        <v>687</v>
      </c>
      <c r="AK42" s="27">
        <f>VLOOKUP($R42,武学奇术!$A:$ZZ,28,FALSE)</f>
        <v>2.4876</v>
      </c>
      <c r="AL42" s="28">
        <f>VLOOKUP($R42,武学奇术!$A:$ZZ,29,FALSE)*(1+IF(OR($AH42=$F$4,$AH42=$F$5),$B$22,0))</f>
        <v>375</v>
      </c>
      <c r="AM42" s="27" cm="1">
        <f t="array" ref="AM42">$G$3+IFERROR(VLOOKUP($AH42,$F$4:$G$7,2,FALSE),0)+VLOOKUP($R42,武学奇术!$A:$ZZ,2,FALSE)+SUM(_xlfn.XLOOKUP($S42:$AG42,增益!$A:$A,增益!$B:$B,0))</f>
        <v>0.4689</v>
      </c>
      <c r="AN42" s="27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3888.382</v>
      </c>
      <c r="AP42" cm="1">
        <f t="array" ref="AP42">$E$10*(1+$AN42)+VLOOKUP($R42,武学奇术!$A:$ZZ,4,FALSE)+SUM(_xlfn.XLOOKUP($S42:$AG42,增益!$A:$A,增益!$D:$D,0))-$I$2</f>
        <v>3888.382</v>
      </c>
      <c r="AQ42" s="33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0.317</v>
      </c>
      <c r="AR42" s="33" cm="1">
        <f t="array" ref="AR42">$G$10+VLOOKUP($R42,武学奇术!$A:$ZZ,7,FALSE)+SUM(_xlfn.XLOOKUP(S42:AG42,增益!$A:$A,增益!$G:$G,0))</f>
        <v>0.09</v>
      </c>
      <c r="AS42" s="27" cm="1">
        <f t="array" ref="AS42">VLOOKUP($R42,武学奇术!$A:$ZZ,8,FALSE)+SUM(_xlfn.XLOOKUP(S42:AG42,增益!$A:$A,增益!$H:$H,0))</f>
        <v>0</v>
      </c>
      <c r="AT42">
        <f t="shared" si="1"/>
        <v>0</v>
      </c>
      <c r="AU42">
        <f t="shared" si="2"/>
        <v>0</v>
      </c>
      <c r="AV42" s="33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-0.14</v>
      </c>
      <c r="AW42" s="33" cm="1">
        <f t="array" ref="AW42">$G$11+VLOOKUP($R42,武学奇术!$A:$ZZ,10,FALSE)+SUM(_xlfn.XLOOKUP(S42:AG42,增益!$A:$A,增益!$J:$J,0))</f>
        <v>0</v>
      </c>
      <c r="AX42">
        <f t="shared" si="3"/>
        <v>0</v>
      </c>
      <c r="AY42">
        <f t="shared" si="4"/>
        <v>0</v>
      </c>
      <c r="AZ42" s="33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-0.14</v>
      </c>
      <c r="BA42" s="33" cm="1">
        <f t="array" ref="BA42">$G$12+VLOOKUP($R42,武学奇术!$A:$ZZ,12,FALSE)+SUM(_xlfn.XLOOKUP(S42:AG42,增益!$A:$A,增益!$L:$L,0))</f>
        <v>0</v>
      </c>
      <c r="BB42">
        <f t="shared" si="12"/>
        <v>0</v>
      </c>
      <c r="BC42">
        <f t="shared" si="13"/>
        <v>0</v>
      </c>
      <c r="BD42" s="33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-0.14</v>
      </c>
      <c r="BE42" s="33" cm="1">
        <f t="array" ref="BE42">$G$13+VLOOKUP($R42,武学奇术!$A:$ZZ,14,FALSE)+SUM(_xlfn.XLOOKUP(S42:AG42,增益!$A:$A,增益!$N:$N,0))</f>
        <v>0</v>
      </c>
      <c r="BF42">
        <f t="shared" si="14"/>
        <v>605.472</v>
      </c>
      <c r="BG42">
        <f t="shared" si="15"/>
        <v>1725.468</v>
      </c>
      <c r="BH42" s="33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0.08</v>
      </c>
      <c r="BI42" s="33" cm="1">
        <f t="array" ref="BI42">$G$14+VLOOKUP($R42,武学奇术!$A:$ZZ,16,FALSE)+SUM(_xlfn.XLOOKUP(S42:AG42,增益!$A:$A,增益!$P:$P,0))</f>
        <v>0.24</v>
      </c>
      <c r="BJ42" s="27">
        <f>MIN(IF(VLOOKUP($R42,武学奇术!$A:$ZZ,23,FALSE)=1,100%,$B$8),100%)</f>
        <v>1</v>
      </c>
      <c r="BK42" s="27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+MIN(IF(VLOOKUP($R42,武学奇术!$A:$ZZ,32,FALSE)=1,IF(VLOOKUP($R42,武学奇术!$A:$ZZ,24,FALSE)=1,100%,MIN(40%,$B$10+VLOOKUP($R42,武学奇术!$A:$ZZ,19,FALSE)+SUM(_xlfn.XLOOKUP(S42:AG42,增益!$A:$A,增益!$S:$S,0)))+$B$12+SUM(_xlfn.XLOOKUP(S42:AG42,增益!$A:$A,增益!$V:$V,0))),0),12%)</f>
        <v>0.9036</v>
      </c>
      <c r="BL42" s="27" cm="1">
        <f t="array" ref="BL42">1+$B$13+VLOOKUP($R42,武学奇术!$A:$ZZ,18,FALSE)+SUM(_xlfn.XLOOKUP(S42:AG42,增益!$A:$A,增益!$R:$R,0))</f>
        <v>1.64</v>
      </c>
      <c r="BM42" s="27" cm="1">
        <f t="array" ref="BM42">MAX(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-IF(VLOOKUP($R42,武学奇术!$A:$ZZ,32,FALSE)=1,12%,0),0)</f>
        <v>0.0929</v>
      </c>
      <c r="BN42" s="27" cm="1">
        <f t="array" ref="BN42">1+$B$14+VLOOKUP($R42,武学奇术!$A:$ZZ,20,FALSE)+SUM(_xlfn.XLOOKUP(S42:AG42,增益!$A:$A,增益!$T:$T,0))</f>
        <v>1.35</v>
      </c>
      <c r="BO42" s="27">
        <f t="shared" si="16"/>
        <v>0.9036</v>
      </c>
      <c r="BP42" s="27">
        <f t="shared" si="17"/>
        <v>0.00350000000000006</v>
      </c>
      <c r="BQ42" s="27">
        <f>IF(VLOOKUP($R42,武学奇术!$A:$ZZ,22,FALSE)=1,0,(1-$BJ42))*(1-$BM42)</f>
        <v>0</v>
      </c>
      <c r="BR42" s="27" cm="1">
        <f t="array" ref="BR42">SUM(_xlfn.XLOOKUP(S42:AG42,增益!$A:$A,增益!$W:$W,0))+$I$5</f>
        <v>0.11</v>
      </c>
    </row>
    <row r="43" spans="1:70">
      <c r="A43" s="4" t="s">
        <v>175</v>
      </c>
      <c r="B43" s="4">
        <v>2.15</v>
      </c>
      <c r="C43" s="40"/>
      <c r="D43" s="40"/>
      <c r="E43" s="40"/>
      <c r="F43" s="40"/>
      <c r="G43" s="40"/>
      <c r="K43">
        <f>$L43*VLOOKUP($R43,武学奇术!$A:$ZZ,31,FALSE)</f>
        <v>103849.151615313</v>
      </c>
      <c r="L43" s="39">
        <f t="shared" si="11"/>
        <v>79883.9627810098</v>
      </c>
      <c r="M43" s="39">
        <f>((($AO43+($AP43-$AO43)*IF(VLOOKUP($R43,武学奇术!$A:$ZZ,31,FALSE)=1,$F$18,0.5))*$AI43+$AJ43)*(1+$AQ43)*(1+$AR43)+(($AT43+($AU43-$AT43)*IF(VLOOKUP($R43,武学奇术!$A:$ZZ,31,FALSE)=1,$F$18,0.5))*IF($G$1="鸣金",$AK43,$AI43)+IF($G$1="鸣金",$AL43*1.5,0))*(1+$AV43)*(1+$AW43)+(($AX43+($AY43-$AX43)*IF(VLOOKUP($R43,武学奇术!$A:$ZZ,31,FALSE)=1,$F$18,0.5))*IF($G$1="裂石",$AK43,$AI43)+IF($G$1="裂石",$AL43*1.5,0))*(1+$AZ43)*(1+$BA43)+(($BB43+($BC43-$BB43)*IF(VLOOKUP($R43,武学奇术!$A:$ZZ,31,FALSE)=1,$F$18,0.5))*IF($G$1="牵丝",$AK43,$AI43)+IF($G$1="牵丝",$AL43*1.5,0))*(1+$BD43)*(1+$BE43)+(($BF43+($BG43-$BF43)*IF(VLOOKUP($R43,武学奇术!$A:$ZZ,31,FALSE)=1,$F$18,0.5))*IF($G$1="破竹",$AK43,$AI43)+IF($G$1="破竹",$AL43*1.5,0))*(1+$BH43)*(1+$BI43))*(1+$AM43)*$BL43*$Q43*(1+IF(VLOOKUP($R43,武学奇术!$A:$ZZ,30,FALSE)="蓄力技",$B$21,0))*(1+$BR43)</f>
        <v>81575.7464646521</v>
      </c>
      <c r="N43" s="39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64854.096201109</v>
      </c>
      <c r="O43" s="39">
        <f>((($AO43+($AP43-$AO43)*IF(VLOOKUP($R43,武学奇术!$A:$ZZ,31,FALSE)=1,$F$18,0.5))*$AI43+$AJ43)*(1+$AQ43)*(1+$AR43)+(($AT43+($AU43-$AT43)*IF(VLOOKUP($R43,武学奇术!$A:$ZZ,31,FALSE)=1,$F$18,0.5))*IF($G$1="鸣金",$AK43,$AI43)+IF($G$1="鸣金",$AL43*1.5,0))*(1+$AV43)*(1+$AW43)+(($AX43+($AY43-$AX43)*IF(VLOOKUP($R43,武学奇术!$A:$ZZ,31,FALSE)=1,$F$18,0.5))*IF($G$1="裂石",$AK43,$AI43)+IF($G$1="裂石",$AL43*1.5,0))*(1+$AZ43)*(1+$BA43)+(($BB43+($BC43-$BB43)*IF(VLOOKUP($R43,武学奇术!$A:$ZZ,31,FALSE)=1,$F$18,0.5))*IF($G$1="牵丝",$AK43,$AI43)+IF($G$1="牵丝",$AL43*1.5,0))*(1+$BD43)*(1+$BE43)+(($BF43+($BG43-$BF43)*IF(VLOOKUP($R43,武学奇术!$A:$ZZ,31,FALSE)=1,$F$18,0.5))*IF($G$1="破竹",$AK43,$AI43)+IF($G$1="破竹",$AL43*1.5,0))*(1+$BH43)*(1+$BI43))*(1+$AM43)*$Q43*(1+IF(VLOOKUP($R43,武学奇术!$A:$ZZ,30,FALSE)="蓄力技",$B$21,0))*(1+$BR43)</f>
        <v>42049.3538477588</v>
      </c>
      <c r="P43" s="39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36058.6364354369</v>
      </c>
      <c r="Q43" s="40">
        <v>1</v>
      </c>
      <c r="R43" s="41" t="s">
        <v>110</v>
      </c>
      <c r="S43" s="41" t="s">
        <v>97</v>
      </c>
      <c r="T43" s="41" t="s">
        <v>73</v>
      </c>
      <c r="U43" s="41" t="s">
        <v>133</v>
      </c>
      <c r="V43" s="41" t="s">
        <v>73</v>
      </c>
      <c r="W43" s="41" t="s">
        <v>73</v>
      </c>
      <c r="X43" s="41" t="s">
        <v>73</v>
      </c>
      <c r="Y43" s="41" t="s">
        <v>164</v>
      </c>
      <c r="Z43" s="41" t="s">
        <v>83</v>
      </c>
      <c r="AA43" s="41" t="s">
        <v>105</v>
      </c>
      <c r="AB43" s="41" t="s">
        <v>84</v>
      </c>
      <c r="AC43" s="41" t="s">
        <v>73</v>
      </c>
      <c r="AD43" s="41" t="s">
        <v>73</v>
      </c>
      <c r="AE43" s="41" t="s">
        <v>76</v>
      </c>
      <c r="AF43" s="41" t="s">
        <v>77</v>
      </c>
      <c r="AG43" s="41" t="s">
        <v>78</v>
      </c>
      <c r="AH43" t="str">
        <f>VLOOKUP($R43,武学奇术!$A:$ZZ,25,FALSE)</f>
        <v>绳镖</v>
      </c>
      <c r="AI43" s="27">
        <f>VLOOKUP($R43,武学奇术!$A:$ZZ,26,FALSE)</f>
        <v>2.638944</v>
      </c>
      <c r="AJ43" s="28">
        <f>VLOOKUP($R43,武学奇术!$A:$ZZ,27,FALSE)*(1+IF(OR($AH43=$F$4,$AH43=$F$5),$B$22,0))</f>
        <v>0</v>
      </c>
      <c r="AK43" s="27">
        <f>VLOOKUP($R43,武学奇术!$A:$ZZ,28,FALSE)</f>
        <v>3.958416</v>
      </c>
      <c r="AL43" s="28">
        <f>VLOOKUP($R43,武学奇术!$A:$ZZ,29,FALSE)*(1+IF(OR($AH43=$F$4,$AH43=$F$5),$B$22,0))</f>
        <v>0</v>
      </c>
      <c r="AM43" s="27" cm="1">
        <f t="array" ref="AM43">$G$3+IFERROR(VLOOKUP($AH43,$F$4:$G$7,2,FALSE),0)+VLOOKUP($R43,武学奇术!$A:$ZZ,2,FALSE)+SUM(_xlfn.XLOOKUP($S43:$AG43,增益!$A:$A,增益!$B:$B,0))</f>
        <v>0.7689</v>
      </c>
      <c r="AN43" s="27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3888.382</v>
      </c>
      <c r="AP43" cm="1">
        <f t="array" ref="AP43">$E$10*(1+$AN43)+VLOOKUP($R43,武学奇术!$A:$ZZ,4,FALSE)+SUM(_xlfn.XLOOKUP($S43:$AG43,增益!$A:$A,增益!$D:$D,0))-$I$2</f>
        <v>3888.382</v>
      </c>
      <c r="AQ43" s="33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0.347</v>
      </c>
      <c r="AR43" s="33" cm="1">
        <f t="array" ref="AR43">$G$10+VLOOKUP($R43,武学奇术!$A:$ZZ,7,FALSE)+SUM(_xlfn.XLOOKUP(S43:AG43,增益!$A:$A,增益!$G:$G,0))</f>
        <v>0.09</v>
      </c>
      <c r="AS43" s="27" cm="1">
        <f t="array" ref="AS43">VLOOKUP($R43,武学奇术!$A:$ZZ,8,FALSE)+SUM(_xlfn.XLOOKUP(S43:AG43,增益!$A:$A,增益!$H:$H,0))</f>
        <v>0</v>
      </c>
      <c r="AT43">
        <f t="shared" si="1"/>
        <v>0</v>
      </c>
      <c r="AU43">
        <f t="shared" si="2"/>
        <v>0</v>
      </c>
      <c r="AV43" s="33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-0.08</v>
      </c>
      <c r="AW43" s="33" cm="1">
        <f t="array" ref="AW43">$G$11+VLOOKUP($R43,武学奇术!$A:$ZZ,10,FALSE)+SUM(_xlfn.XLOOKUP(S43:AG43,增益!$A:$A,增益!$J:$J,0))</f>
        <v>0</v>
      </c>
      <c r="AX43">
        <f t="shared" si="3"/>
        <v>0</v>
      </c>
      <c r="AY43">
        <f t="shared" si="4"/>
        <v>0</v>
      </c>
      <c r="AZ43" s="33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-0.08</v>
      </c>
      <c r="BA43" s="33" cm="1">
        <f t="array" ref="BA43">$G$12+VLOOKUP($R43,武学奇术!$A:$ZZ,12,FALSE)+SUM(_xlfn.XLOOKUP(S43:AG43,增益!$A:$A,增益!$L:$L,0))</f>
        <v>0</v>
      </c>
      <c r="BB43">
        <f t="shared" si="12"/>
        <v>0</v>
      </c>
      <c r="BC43">
        <f t="shared" si="13"/>
        <v>0</v>
      </c>
      <c r="BD43" s="33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-0.08</v>
      </c>
      <c r="BE43" s="33" cm="1">
        <f t="array" ref="BE43">$G$13+VLOOKUP($R43,武学奇术!$A:$ZZ,14,FALSE)+SUM(_xlfn.XLOOKUP(S43:AG43,增益!$A:$A,增益!$N:$N,0))</f>
        <v>0</v>
      </c>
      <c r="BF43">
        <f t="shared" si="14"/>
        <v>605.472</v>
      </c>
      <c r="BG43">
        <f t="shared" si="15"/>
        <v>1725.468</v>
      </c>
      <c r="BH43" s="33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0.11</v>
      </c>
      <c r="BI43" s="33" cm="1">
        <f t="array" ref="BI43">$G$14+VLOOKUP($R43,武学奇术!$A:$ZZ,16,FALSE)+SUM(_xlfn.XLOOKUP(S43:AG43,增益!$A:$A,增益!$P:$P,0))</f>
        <v>0.24</v>
      </c>
      <c r="BJ43" s="27">
        <f>MIN(IF(VLOOKUP($R43,武学奇术!$A:$ZZ,23,FALSE)=1,100%,$B$8),100%)</f>
        <v>1</v>
      </c>
      <c r="BK43" s="27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+MIN(IF(VLOOKUP($R43,武学奇术!$A:$ZZ,32,FALSE)=1,IF(VLOOKUP($R43,武学奇术!$A:$ZZ,24,FALSE)=1,100%,MIN(40%,$B$10+VLOOKUP($R43,武学奇术!$A:$ZZ,19,FALSE)+SUM(_xlfn.XLOOKUP(S43:AG43,增益!$A:$A,增益!$S:$S,0)))+$B$12+SUM(_xlfn.XLOOKUP(S43:AG43,增益!$A:$A,增益!$V:$V,0))),0),12%)</f>
        <v>0.9036</v>
      </c>
      <c r="BL43" s="27" cm="1">
        <f t="array" ref="BL43">1+$B$13+VLOOKUP($R43,武学奇术!$A:$ZZ,18,FALSE)+SUM(_xlfn.XLOOKUP(S43:AG43,增益!$A:$A,增益!$R:$R,0))</f>
        <v>1.94</v>
      </c>
      <c r="BM43" s="27" cm="1">
        <f t="array" ref="BM43">MAX(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-IF(VLOOKUP($R43,武学奇术!$A:$ZZ,32,FALSE)=1,12%,0),0)</f>
        <v>0.0929</v>
      </c>
      <c r="BN43" s="27" cm="1">
        <f t="array" ref="BN43">1+$B$14+VLOOKUP($R43,武学奇术!$A:$ZZ,20,FALSE)+SUM(_xlfn.XLOOKUP(S43:AG43,增益!$A:$A,增益!$T:$T,0))</f>
        <v>1.35</v>
      </c>
      <c r="BO43" s="27">
        <f t="shared" si="16"/>
        <v>0.9036</v>
      </c>
      <c r="BP43" s="27">
        <f t="shared" si="17"/>
        <v>0.00350000000000006</v>
      </c>
      <c r="BQ43" s="27">
        <f>IF(VLOOKUP($R43,武学奇术!$A:$ZZ,22,FALSE)=1,0,(1-$BJ43))*(1-$BM43)</f>
        <v>0</v>
      </c>
      <c r="BR43" s="27" cm="1">
        <f t="array" ref="BR43">SUM(_xlfn.XLOOKUP(S43:AG43,增益!$A:$A,增益!$W:$W,0))+$I$5</f>
        <v>0.11</v>
      </c>
    </row>
    <row r="44" spans="1:70">
      <c r="A44" s="4" t="s">
        <v>170</v>
      </c>
      <c r="B44" s="4">
        <v>1</v>
      </c>
      <c r="C44" s="40"/>
      <c r="D44" s="40"/>
      <c r="E44" s="40"/>
      <c r="F44" s="40"/>
      <c r="K44">
        <f>$L44*VLOOKUP($R44,武学奇术!$A:$ZZ,31,FALSE)</f>
        <v>29062.1792002532</v>
      </c>
      <c r="L44" s="39">
        <f t="shared" si="11"/>
        <v>29062.1792002532</v>
      </c>
      <c r="M44" s="39">
        <f>((($AO44+($AP44-$AO44)*IF(VLOOKUP($R44,武学奇术!$A:$ZZ,31,FALSE)=1,$F$18,0.5))*$AI44+$AJ44)*(1+$AQ44)*(1+$AR44)+(($AT44+($AU44-$AT44)*IF(VLOOKUP($R44,武学奇术!$A:$ZZ,31,FALSE)=1,$F$18,0.5))*IF($G$1="鸣金",$AK44,$AI44)+IF($G$1="鸣金",$AL44*1.5,0))*(1+$AV44)*(1+$AW44)+(($AX44+($AY44-$AX44)*IF(VLOOKUP($R44,武学奇术!$A:$ZZ,31,FALSE)=1,$F$18,0.5))*IF($G$1="裂石",$AK44,$AI44)+IF($G$1="裂石",$AL44*1.5,0))*(1+$AZ44)*(1+$BA44)+(($BB44+($BC44-$BB44)*IF(VLOOKUP($R44,武学奇术!$A:$ZZ,31,FALSE)=1,$F$18,0.5))*IF($G$1="牵丝",$AK44,$AI44)+IF($G$1="牵丝",$AL44*1.5,0))*(1+$BD44)*(1+$BE44)+(($BF44+($BG44-$BF44)*IF(VLOOKUP($R44,武学奇术!$A:$ZZ,31,FALSE)=1,$F$18,0.5))*IF($G$1="破竹",$AK44,$AI44)+IF($G$1="破竹",$AL44*1.5,0))*(1+$BH44)*(1+$BI44))*(1+$AM44)*$BL44*$Q44*(1+IF(VLOOKUP($R44,武学奇术!$A:$ZZ,30,FALSE)="蓄力技",$B$21,0))*(1+$BR44)</f>
        <v>29317.5229665624</v>
      </c>
      <c r="N44" s="39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26999.9737705868</v>
      </c>
      <c r="O44" s="39">
        <f>((($AO44+($AP44-$AO44)*IF(VLOOKUP($R44,武学奇术!$A:$ZZ,31,FALSE)=1,$F$18,0.5))*$AI44+$AJ44)*(1+$AQ44)*(1+$AR44)+(($AT44+($AU44-$AT44)*IF(VLOOKUP($R44,武学奇术!$A:$ZZ,31,FALSE)=1,$F$18,0.5))*IF($G$1="鸣金",$AK44,$AI44)+IF($G$1="鸣金",$AL44*1.5,0))*(1+$AV44)*(1+$AW44)+(($AX44+($AY44-$AX44)*IF(VLOOKUP($R44,武学奇术!$A:$ZZ,31,FALSE)=1,$F$18,0.5))*IF($G$1="裂石",$AK44,$AI44)+IF($G$1="裂石",$AL44*1.5,0))*(1+$AZ44)*(1+$BA44)+(($BB44+($BC44-$BB44)*IF(VLOOKUP($R44,武学奇术!$A:$ZZ,31,FALSE)=1,$F$18,0.5))*IF($G$1="牵丝",$AK44,$AI44)+IF($G$1="牵丝",$AL44*1.5,0))*(1+$BD44)*(1+$BE44)+(($BF44+($BG44-$BF44)*IF(VLOOKUP($R44,武学奇术!$A:$ZZ,31,FALSE)=1,$F$18,0.5))*IF($G$1="破竹",$AK44,$AI44)+IF($G$1="破竹",$AL44*1.5,0))*(1+$BH44)*(1+$BI44))*(1+$AM44)*$Q44*(1+IF(VLOOKUP($R44,武学奇术!$A:$ZZ,30,FALSE)="蓄力技",$B$21,0))*(1+$BR44)</f>
        <v>17876.5383942454</v>
      </c>
      <c r="P44" s="39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15753.0962176857</v>
      </c>
      <c r="Q44" s="40">
        <v>1</v>
      </c>
      <c r="R44" s="41" t="s">
        <v>100</v>
      </c>
      <c r="S44" s="41" t="s">
        <v>97</v>
      </c>
      <c r="T44" s="41" t="s">
        <v>73</v>
      </c>
      <c r="U44" s="41" t="s">
        <v>133</v>
      </c>
      <c r="V44" s="41" t="s">
        <v>73</v>
      </c>
      <c r="W44" s="41" t="s">
        <v>73</v>
      </c>
      <c r="X44" s="41" t="s">
        <v>73</v>
      </c>
      <c r="Y44" s="41" t="s">
        <v>164</v>
      </c>
      <c r="Z44" s="41" t="s">
        <v>73</v>
      </c>
      <c r="AA44" s="41" t="s">
        <v>73</v>
      </c>
      <c r="AB44" s="41" t="s">
        <v>84</v>
      </c>
      <c r="AC44" s="41" t="s">
        <v>73</v>
      </c>
      <c r="AD44" s="41" t="s">
        <v>73</v>
      </c>
      <c r="AE44" s="41" t="s">
        <v>76</v>
      </c>
      <c r="AF44" s="41" t="s">
        <v>77</v>
      </c>
      <c r="AG44" s="41" t="s">
        <v>78</v>
      </c>
      <c r="AH44" t="str">
        <f>VLOOKUP($R44,武学奇术!$A:$ZZ,25,FALSE)</f>
        <v>绳镖</v>
      </c>
      <c r="AI44" s="27">
        <f>VLOOKUP($R44,武学奇术!$A:$ZZ,26,FALSE)</f>
        <v>1.2503</v>
      </c>
      <c r="AJ44" s="28">
        <f>VLOOKUP($R44,武学奇术!$A:$ZZ,27,FALSE)*(1+IF(OR($AH44=$F$4,$AH44=$F$5),$B$22,0))</f>
        <v>520.5</v>
      </c>
      <c r="AK44" s="27">
        <f>VLOOKUP($R44,武学奇术!$A:$ZZ,28,FALSE)</f>
        <v>1.8755</v>
      </c>
      <c r="AL44" s="28">
        <f>VLOOKUP($R44,武学奇术!$A:$ZZ,29,FALSE)*(1+IF(OR($AH44=$F$4,$AH44=$F$5),$B$22,0))</f>
        <v>283.5</v>
      </c>
      <c r="AM44" s="27" cm="1">
        <f t="array" ref="AM44">$G$3+IFERROR(VLOOKUP($AH44,$F$4:$G$7,2,FALSE),0)+VLOOKUP($R44,武学奇术!$A:$ZZ,2,FALSE)+SUM(_xlfn.XLOOKUP($S44:$AG44,增益!$A:$A,增益!$B:$B,0))</f>
        <v>0.4689</v>
      </c>
      <c r="AN44" s="27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3888.382</v>
      </c>
      <c r="AP44" cm="1">
        <f t="array" ref="AP44">$E$10*(1+$AN44)+VLOOKUP($R44,武学奇术!$A:$ZZ,4,FALSE)+SUM(_xlfn.XLOOKUP($S44:$AG44,增益!$A:$A,增益!$D:$D,0))-$I$2</f>
        <v>3888.382</v>
      </c>
      <c r="AQ44" s="33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0.317</v>
      </c>
      <c r="AR44" s="33" cm="1">
        <f t="array" ref="AR44">$G$10+VLOOKUP($R44,武学奇术!$A:$ZZ,7,FALSE)+SUM(_xlfn.XLOOKUP(S44:AG44,增益!$A:$A,增益!$G:$G,0))</f>
        <v>0.09</v>
      </c>
      <c r="AS44" s="27" cm="1">
        <f t="array" ref="AS44">VLOOKUP($R44,武学奇术!$A:$ZZ,8,FALSE)+SUM(_xlfn.XLOOKUP(S44:AG44,增益!$A:$A,增益!$H:$H,0))</f>
        <v>0</v>
      </c>
      <c r="AT44">
        <f t="shared" ref="AT44:AT60" si="18">$D$11*(1+$AS44)</f>
        <v>0</v>
      </c>
      <c r="AU44">
        <f t="shared" ref="AU44:AU60" si="19">$E$11*(1+$AS44)</f>
        <v>0</v>
      </c>
      <c r="AV44" s="33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-0.3</v>
      </c>
      <c r="AW44" s="33" cm="1">
        <f t="array" ref="AW44">$G$11+VLOOKUP($R44,武学奇术!$A:$ZZ,10,FALSE)+SUM(_xlfn.XLOOKUP(S44:AG44,增益!$A:$A,增益!$J:$J,0))</f>
        <v>0</v>
      </c>
      <c r="AX44">
        <f t="shared" ref="AX44:AX60" si="20">$D$12*(1+$AS44)</f>
        <v>0</v>
      </c>
      <c r="AY44">
        <f t="shared" ref="AY44:AY60" si="21">$E$12*(1+$AS44)</f>
        <v>0</v>
      </c>
      <c r="AZ44" s="33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3" cm="1">
        <f t="array" ref="BA44">$G$12+VLOOKUP($R44,武学奇术!$A:$ZZ,12,FALSE)+SUM(_xlfn.XLOOKUP(S44:AG44,增益!$A:$A,增益!$L:$L,0))</f>
        <v>0</v>
      </c>
      <c r="BB44">
        <f t="shared" si="12"/>
        <v>0</v>
      </c>
      <c r="BC44">
        <f t="shared" si="13"/>
        <v>0</v>
      </c>
      <c r="BD44" s="33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3" cm="1">
        <f t="array" ref="BE44">$G$13+VLOOKUP($R44,武学奇术!$A:$ZZ,14,FALSE)+SUM(_xlfn.XLOOKUP(S44:AG44,增益!$A:$A,增益!$N:$N,0))</f>
        <v>0</v>
      </c>
      <c r="BF44">
        <f t="shared" si="14"/>
        <v>605.472</v>
      </c>
      <c r="BG44">
        <f t="shared" si="15"/>
        <v>1725.468</v>
      </c>
      <c r="BH44" s="33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0</v>
      </c>
      <c r="BI44" s="33" cm="1">
        <f t="array" ref="BI44">$G$14+VLOOKUP($R44,武学奇术!$A:$ZZ,16,FALSE)+SUM(_xlfn.XLOOKUP(S44:AG44,增益!$A:$A,增益!$P:$P,0))</f>
        <v>0.24</v>
      </c>
      <c r="BJ44" s="27">
        <f>MIN(IF(VLOOKUP($R44,武学奇术!$A:$ZZ,23,FALSE)=1,100%,$B$8),100%)</f>
        <v>1</v>
      </c>
      <c r="BK44" s="27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+MIN(IF(VLOOKUP($R44,武学奇术!$A:$ZZ,32,FALSE)=1,IF(VLOOKUP($R44,武学奇术!$A:$ZZ,24,FALSE)=1,100%,MIN(40%,$B$10+VLOOKUP($R44,武学奇术!$A:$ZZ,19,FALSE)+SUM(_xlfn.XLOOKUP(S44:AG44,增益!$A:$A,增益!$S:$S,0)))+$B$12+SUM(_xlfn.XLOOKUP(S44:AG44,增益!$A:$A,增益!$V:$V,0))),0),12%)</f>
        <v>0.9036</v>
      </c>
      <c r="BL44" s="27" cm="1">
        <f t="array" ref="BL44">1+$B$13+VLOOKUP($R44,武学奇术!$A:$ZZ,18,FALSE)+SUM(_xlfn.XLOOKUP(S44:AG44,增益!$A:$A,增益!$R:$R,0))</f>
        <v>1.64</v>
      </c>
      <c r="BM44" s="27" cm="1">
        <f t="array" ref="BM44">MAX(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-IF(VLOOKUP($R44,武学奇术!$A:$ZZ,32,FALSE)=1,12%,0),0)</f>
        <v>0.0929</v>
      </c>
      <c r="BN44" s="27" cm="1">
        <f t="array" ref="BN44">1+$B$14+VLOOKUP($R44,武学奇术!$A:$ZZ,20,FALSE)+SUM(_xlfn.XLOOKUP(S44:AG44,增益!$A:$A,增益!$T:$T,0))</f>
        <v>1.35</v>
      </c>
      <c r="BO44" s="27">
        <f t="shared" si="16"/>
        <v>0.9036</v>
      </c>
      <c r="BP44" s="27">
        <f t="shared" si="17"/>
        <v>0.00350000000000006</v>
      </c>
      <c r="BQ44" s="27">
        <f>IF(VLOOKUP($R44,武学奇术!$A:$ZZ,22,FALSE)=1,0,(1-$BJ44))*(1-$BM44)</f>
        <v>0</v>
      </c>
      <c r="BR44" s="27" cm="1">
        <f t="array" ref="BR44">SUM(_xlfn.XLOOKUP(S44:AG44,增益!$A:$A,增益!$W:$W,0))+$I$5</f>
        <v>0.11</v>
      </c>
    </row>
    <row r="45" spans="1:70">
      <c r="A45" s="4" t="s">
        <v>168</v>
      </c>
      <c r="B45" s="91">
        <v>1.16</v>
      </c>
      <c r="C45" s="40"/>
      <c r="D45" s="40"/>
      <c r="F45" s="40"/>
      <c r="K45">
        <f>$L45*VLOOKUP($R45,武学奇术!$A:$ZZ,31,FALSE)</f>
        <v>84650.3253863838</v>
      </c>
      <c r="L45" s="39">
        <f t="shared" si="11"/>
        <v>65115.634912603</v>
      </c>
      <c r="M45" s="39">
        <f>((($AO45+($AP45-$AO45)*IF(VLOOKUP($R45,武学奇术!$A:$ZZ,31,FALSE)=1,$F$18,0.5))*$AI45+$AJ45)*(1+$AQ45)*(1+$AR45)+(($AT45+($AU45-$AT45)*IF(VLOOKUP($R45,武学奇术!$A:$ZZ,31,FALSE)=1,$F$18,0.5))*IF($G$1="鸣金",$AK45,$AI45)+IF($G$1="鸣金",$AL45*1.5,0))*(1+$AV45)*(1+$AW45)+(($AX45+($AY45-$AX45)*IF(VLOOKUP($R45,武学奇术!$A:$ZZ,31,FALSE)=1,$F$18,0.5))*IF($G$1="裂石",$AK45,$AI45)+IF($G$1="裂石",$AL45*1.5,0))*(1+$AZ45)*(1+$BA45)+(($BB45+($BC45-$BB45)*IF(VLOOKUP($R45,武学奇术!$A:$ZZ,31,FALSE)=1,$F$18,0.5))*IF($G$1="牵丝",$AK45,$AI45)+IF($G$1="牵丝",$AL45*1.5,0))*(1+$BD45)*(1+$BE45)+(($BF45+($BG45-$BF45)*IF(VLOOKUP($R45,武学奇术!$A:$ZZ,31,FALSE)=1,$F$18,0.5))*IF($G$1="破竹",$AK45,$AI45)+IF($G$1="破竹",$AL45*1.5,0))*(1+$BH45)*(1+$BI45))*(1+$AM45)*$BL45*$Q45*(1+IF(VLOOKUP($R45,武学奇术!$A:$ZZ,30,FALSE)="蓄力技",$B$21,0))*(1+$BR45)</f>
        <v>66527.0719535771</v>
      </c>
      <c r="N45" s="39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52548.4351710782</v>
      </c>
      <c r="O45" s="39">
        <f>((($AO45+($AP45-$AO45)*IF(VLOOKUP($R45,武学奇术!$A:$ZZ,31,FALSE)=1,$F$18,0.5))*$AI45+$AJ45)*(1+$AQ45)*(1+$AR45)+(($AT45+($AU45-$AT45)*IF(VLOOKUP($R45,武学奇术!$A:$ZZ,31,FALSE)=1,$F$18,0.5))*IF($G$1="鸣金",$AK45,$AI45)+IF($G$1="鸣金",$AL45*1.5,0))*(1+$AV45)*(1+$AW45)+(($AX45+($AY45-$AX45)*IF(VLOOKUP($R45,武学奇术!$A:$ZZ,31,FALSE)=1,$F$18,0.5))*IF($G$1="裂石",$AK45,$AI45)+IF($G$1="裂石",$AL45*1.5,0))*(1+$AZ45)*(1+$BA45)+(($BB45+($BC45-$BB45)*IF(VLOOKUP($R45,武学奇术!$A:$ZZ,31,FALSE)=1,$F$18,0.5))*IF($G$1="牵丝",$AK45,$AI45)+IF($G$1="牵丝",$AL45*1.5,0))*(1+$BD45)*(1+$BE45)+(($BF45+($BG45-$BF45)*IF(VLOOKUP($R45,武学奇术!$A:$ZZ,31,FALSE)=1,$F$18,0.5))*IF($G$1="破竹",$AK45,$AI45)+IF($G$1="破竹",$AL45*1.5,0))*(1+$BH45)*(1+$BI45))*(1+$AM45)*$Q45*(1+IF(VLOOKUP($R45,武学奇术!$A:$ZZ,30,FALSE)="蓄力技",$B$21,0))*(1+$BR45)</f>
        <v>34292.3051307099</v>
      </c>
      <c r="P45" s="39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29659.8434680285</v>
      </c>
      <c r="Q45" s="40">
        <v>1</v>
      </c>
      <c r="R45" s="41" t="s">
        <v>104</v>
      </c>
      <c r="S45" s="41" t="s">
        <v>97</v>
      </c>
      <c r="T45" s="41" t="s">
        <v>73</v>
      </c>
      <c r="U45" s="41" t="s">
        <v>133</v>
      </c>
      <c r="V45" s="41" t="s">
        <v>73</v>
      </c>
      <c r="W45" s="41" t="s">
        <v>73</v>
      </c>
      <c r="X45" s="41" t="s">
        <v>73</v>
      </c>
      <c r="Y45" s="41" t="s">
        <v>164</v>
      </c>
      <c r="Z45" s="41" t="s">
        <v>73</v>
      </c>
      <c r="AA45" s="41" t="s">
        <v>105</v>
      </c>
      <c r="AB45" s="41" t="s">
        <v>84</v>
      </c>
      <c r="AC45" s="41" t="s">
        <v>73</v>
      </c>
      <c r="AD45" s="41" t="s">
        <v>73</v>
      </c>
      <c r="AE45" s="41" t="s">
        <v>76</v>
      </c>
      <c r="AF45" s="41" t="s">
        <v>77</v>
      </c>
      <c r="AG45" s="41" t="s">
        <v>78</v>
      </c>
      <c r="AH45" t="str">
        <f>VLOOKUP($R45,武学奇术!$A:$ZZ,25,FALSE)</f>
        <v>绳镖</v>
      </c>
      <c r="AI45" s="27">
        <f>VLOOKUP($R45,武学奇术!$A:$ZZ,26,FALSE)</f>
        <v>2.19912</v>
      </c>
      <c r="AJ45" s="28">
        <f>VLOOKUP($R45,武学奇术!$A:$ZZ,27,FALSE)*(1+IF(OR($AH45=$F$4,$AH45=$F$5),$B$22,0))</f>
        <v>0</v>
      </c>
      <c r="AK45" s="27">
        <f>VLOOKUP($R45,武学奇术!$A:$ZZ,28,FALSE)</f>
        <v>3.29868</v>
      </c>
      <c r="AL45" s="28">
        <f>VLOOKUP($R45,武学奇术!$A:$ZZ,29,FALSE)*(1+IF(OR($AH45=$F$4,$AH45=$F$5),$B$22,0))</f>
        <v>0</v>
      </c>
      <c r="AM45" s="27" cm="1">
        <f t="array" ref="AM45">$G$3+IFERROR(VLOOKUP($AH45,$F$4:$G$7,2,FALSE),0)+VLOOKUP($R45,武学奇术!$A:$ZZ,2,FALSE)+SUM(_xlfn.XLOOKUP($S45:$AG45,增益!$A:$A,增益!$B:$B,0))</f>
        <v>0.7689</v>
      </c>
      <c r="AN45" s="27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3888.382</v>
      </c>
      <c r="AP45" cm="1">
        <f t="array" ref="AP45">$E$10*(1+$AN45)+VLOOKUP($R45,武学奇术!$A:$ZZ,4,FALSE)+SUM(_xlfn.XLOOKUP($S45:$AG45,增益!$A:$A,增益!$D:$D,0))-$I$2</f>
        <v>3888.382</v>
      </c>
      <c r="AQ45" s="33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0.347</v>
      </c>
      <c r="AR45" s="33" cm="1">
        <f t="array" ref="AR45">$G$10+VLOOKUP($R45,武学奇术!$A:$ZZ,7,FALSE)+SUM(_xlfn.XLOOKUP(S45:AG45,增益!$A:$A,增益!$G:$G,0))</f>
        <v>0.09</v>
      </c>
      <c r="AS45" s="27" cm="1">
        <f t="array" ref="AS45">VLOOKUP($R45,武学奇术!$A:$ZZ,8,FALSE)+SUM(_xlfn.XLOOKUP(S45:AG45,增益!$A:$A,增益!$H:$H,0))</f>
        <v>0</v>
      </c>
      <c r="AT45">
        <f t="shared" si="18"/>
        <v>0</v>
      </c>
      <c r="AU45">
        <f t="shared" si="19"/>
        <v>0</v>
      </c>
      <c r="AV45" s="33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-0.24</v>
      </c>
      <c r="AW45" s="33" cm="1">
        <f t="array" ref="AW45">$G$11+VLOOKUP($R45,武学奇术!$A:$ZZ,10,FALSE)+SUM(_xlfn.XLOOKUP(S45:AG45,增益!$A:$A,增益!$J:$J,0))</f>
        <v>0</v>
      </c>
      <c r="AX45">
        <f t="shared" si="20"/>
        <v>0</v>
      </c>
      <c r="AY45">
        <f t="shared" si="21"/>
        <v>0</v>
      </c>
      <c r="AZ45" s="33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-0.24</v>
      </c>
      <c r="BA45" s="33" cm="1">
        <f t="array" ref="BA45">$G$12+VLOOKUP($R45,武学奇术!$A:$ZZ,12,FALSE)+SUM(_xlfn.XLOOKUP(S45:AG45,增益!$A:$A,增益!$L:$L,0))</f>
        <v>0</v>
      </c>
      <c r="BB45">
        <f t="shared" si="12"/>
        <v>0</v>
      </c>
      <c r="BC45">
        <f t="shared" si="13"/>
        <v>0</v>
      </c>
      <c r="BD45" s="33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-0.24</v>
      </c>
      <c r="BE45" s="33" cm="1">
        <f t="array" ref="BE45">$G$13+VLOOKUP($R45,武学奇术!$A:$ZZ,14,FALSE)+SUM(_xlfn.XLOOKUP(S45:AG45,增益!$A:$A,增益!$N:$N,0))</f>
        <v>0</v>
      </c>
      <c r="BF45">
        <f t="shared" si="14"/>
        <v>605.472</v>
      </c>
      <c r="BG45">
        <f t="shared" si="15"/>
        <v>1725.468</v>
      </c>
      <c r="BH45" s="33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0.03</v>
      </c>
      <c r="BI45" s="33" cm="1">
        <f t="array" ref="BI45">$G$14+VLOOKUP($R45,武学奇术!$A:$ZZ,16,FALSE)+SUM(_xlfn.XLOOKUP(S45:AG45,增益!$A:$A,增益!$P:$P,0))</f>
        <v>0.24</v>
      </c>
      <c r="BJ45" s="27">
        <f>MIN(IF(VLOOKUP($R45,武学奇术!$A:$ZZ,23,FALSE)=1,100%,$B$8),100%)</f>
        <v>1</v>
      </c>
      <c r="BK45" s="27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+MIN(IF(VLOOKUP($R45,武学奇术!$A:$ZZ,32,FALSE)=1,IF(VLOOKUP($R45,武学奇术!$A:$ZZ,24,FALSE)=1,100%,MIN(40%,$B$10+VLOOKUP($R45,武学奇术!$A:$ZZ,19,FALSE)+SUM(_xlfn.XLOOKUP(S45:AG45,增益!$A:$A,增益!$S:$S,0)))+$B$12+SUM(_xlfn.XLOOKUP(S45:AG45,增益!$A:$A,增益!$V:$V,0))),0),12%)</f>
        <v>0.9036</v>
      </c>
      <c r="BL45" s="27" cm="1">
        <f t="array" ref="BL45">1+$B$13+VLOOKUP($R45,武学奇术!$A:$ZZ,18,FALSE)+SUM(_xlfn.XLOOKUP(S45:AG45,增益!$A:$A,增益!$R:$R,0))</f>
        <v>1.94</v>
      </c>
      <c r="BM45" s="27" cm="1">
        <f t="array" ref="BM45">MAX(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-IF(VLOOKUP($R45,武学奇术!$A:$ZZ,32,FALSE)=1,12%,0),0)</f>
        <v>0.0929</v>
      </c>
      <c r="BN45" s="27" cm="1">
        <f t="array" ref="BN45">1+$B$14+VLOOKUP($R45,武学奇术!$A:$ZZ,20,FALSE)+SUM(_xlfn.XLOOKUP(S45:AG45,增益!$A:$A,增益!$T:$T,0))</f>
        <v>1.35</v>
      </c>
      <c r="BO45" s="27">
        <f t="shared" si="16"/>
        <v>0.9036</v>
      </c>
      <c r="BP45" s="27">
        <f t="shared" si="17"/>
        <v>0.00350000000000006</v>
      </c>
      <c r="BQ45" s="27">
        <f>IF(VLOOKUP($R45,武学奇术!$A:$ZZ,22,FALSE)=1,0,(1-$BJ45))*(1-$BM45)</f>
        <v>0</v>
      </c>
      <c r="BR45" s="27" cm="1">
        <f t="array" ref="BR45">SUM(_xlfn.XLOOKUP(S45:AG45,增益!$A:$A,增益!$W:$W,0))+$I$5</f>
        <v>0.11</v>
      </c>
    </row>
    <row r="46" spans="1:70">
      <c r="A46" s="4" t="s">
        <v>176</v>
      </c>
      <c r="B46" s="91">
        <v>2.14</v>
      </c>
      <c r="D46" s="40"/>
      <c r="F46" s="40"/>
      <c r="K46">
        <f>$L46*VLOOKUP($R46,武学奇术!$A:$ZZ,31,FALSE)</f>
        <v>60016.6868786278</v>
      </c>
      <c r="L46" s="39">
        <f t="shared" si="11"/>
        <v>60016.6868786278</v>
      </c>
      <c r="M46" s="39">
        <f>((($AO46+($AP46-$AO46)*IF(VLOOKUP($R46,武学奇术!$A:$ZZ,31,FALSE)=1,$F$18,0.5))*$AI46+$AJ46)*(1+$AQ46)*(1+$AR46)+(($AT46+($AU46-$AT46)*IF(VLOOKUP($R46,武学奇术!$A:$ZZ,31,FALSE)=1,$F$18,0.5))*IF($G$1="鸣金",$AK46,$AI46)+IF($G$1="鸣金",$AL46*1.5,0))*(1+$AV46)*(1+$AW46)+(($AX46+($AY46-$AX46)*IF(VLOOKUP($R46,武学奇术!$A:$ZZ,31,FALSE)=1,$F$18,0.5))*IF($G$1="裂石",$AK46,$AI46)+IF($G$1="裂石",$AL46*1.5,0))*(1+$AZ46)*(1+$BA46)+(($BB46+($BC46-$BB46)*IF(VLOOKUP($R46,武学奇术!$A:$ZZ,31,FALSE)=1,$F$18,0.5))*IF($G$1="牵丝",$AK46,$AI46)+IF($G$1="牵丝",$AL46*1.5,0))*(1+$BD46)*(1+$BE46)+(($BF46+($BG46-$BF46)*IF(VLOOKUP($R46,武学奇术!$A:$ZZ,31,FALSE)=1,$F$18,0.5))*IF($G$1="破竹",$AK46,$AI46)+IF($G$1="破竹",$AL46*1.5,0))*(1+$BH46)*(1+$BI46))*(1+$AM46)*$BL46*$Q46*(1+IF(VLOOKUP($R46,武学奇术!$A:$ZZ,30,FALSE)="蓄力技",$B$21,0))*(1+$BR46)</f>
        <v>60543.6006075735</v>
      </c>
      <c r="N46" s="39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55761.8995251748</v>
      </c>
      <c r="O46" s="39">
        <f>((($AO46+($AP46-$AO46)*IF(VLOOKUP($R46,武学奇术!$A:$ZZ,31,FALSE)=1,$F$18,0.5))*$AI46+$AJ46)*(1+$AQ46)*(1+$AR46)+(($AT46+($AU46-$AT46)*IF(VLOOKUP($R46,武学奇术!$A:$ZZ,31,FALSE)=1,$F$18,0.5))*IF($G$1="鸣金",$AK46,$AI46)+IF($G$1="鸣金",$AL46*1.5,0))*(1+$AV46)*(1+$AW46)+(($AX46+($AY46-$AX46)*IF(VLOOKUP($R46,武学奇术!$A:$ZZ,31,FALSE)=1,$F$18,0.5))*IF($G$1="裂石",$AK46,$AI46)+IF($G$1="裂石",$AL46*1.5,0))*(1+$AZ46)*(1+$BA46)+(($BB46+($BC46-$BB46)*IF(VLOOKUP($R46,武学奇术!$A:$ZZ,31,FALSE)=1,$F$18,0.5))*IF($G$1="牵丝",$AK46,$AI46)+IF($G$1="牵丝",$AL46*1.5,0))*(1+$BD46)*(1+$BE46)+(($BF46+($BG46-$BF46)*IF(VLOOKUP($R46,武学奇术!$A:$ZZ,31,FALSE)=1,$F$18,0.5))*IF($G$1="破竹",$AK46,$AI46)+IF($G$1="破竹",$AL46*1.5,0))*(1+$BH46)*(1+$BI46))*(1+$AM46)*$Q46*(1+IF(VLOOKUP($R46,武学奇术!$A:$ZZ,30,FALSE)="蓄力技",$B$21,0))*(1+$BR46)</f>
        <v>36916.8296387643</v>
      </c>
      <c r="P46" s="39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32528.5485181399</v>
      </c>
      <c r="Q46" s="40">
        <v>1</v>
      </c>
      <c r="R46" s="41" t="s">
        <v>120</v>
      </c>
      <c r="S46" s="41" t="s">
        <v>97</v>
      </c>
      <c r="T46" s="41" t="s">
        <v>73</v>
      </c>
      <c r="U46" s="41" t="s">
        <v>133</v>
      </c>
      <c r="V46" s="41" t="s">
        <v>73</v>
      </c>
      <c r="W46" s="41" t="s">
        <v>73</v>
      </c>
      <c r="X46" s="41" t="s">
        <v>73</v>
      </c>
      <c r="Y46" s="41" t="s">
        <v>164</v>
      </c>
      <c r="Z46" s="41" t="s">
        <v>73</v>
      </c>
      <c r="AA46" s="41" t="s">
        <v>73</v>
      </c>
      <c r="AB46" s="41" t="s">
        <v>84</v>
      </c>
      <c r="AC46" s="41" t="s">
        <v>73</v>
      </c>
      <c r="AD46" s="41" t="s">
        <v>73</v>
      </c>
      <c r="AE46" s="41" t="s">
        <v>76</v>
      </c>
      <c r="AF46" s="41" t="s">
        <v>77</v>
      </c>
      <c r="AG46" s="41" t="s">
        <v>78</v>
      </c>
      <c r="AH46" t="str">
        <f>VLOOKUP($R46,武学奇术!$A:$ZZ,25,FALSE)</f>
        <v>拳甲</v>
      </c>
      <c r="AI46" s="27">
        <f>VLOOKUP($R46,武学奇术!$A:$ZZ,26,FALSE)</f>
        <v>2.4421</v>
      </c>
      <c r="AJ46" s="28">
        <f>VLOOKUP($R46,武学奇术!$A:$ZZ,27,FALSE)*(1+IF(OR($AH46=$F$4,$AH46=$F$5),$B$22,0))</f>
        <v>1012.5</v>
      </c>
      <c r="AK46" s="27">
        <f>VLOOKUP($R46,武学奇术!$A:$ZZ,28,FALSE)</f>
        <v>3.6634</v>
      </c>
      <c r="AL46" s="28">
        <f>VLOOKUP($R46,武学奇术!$A:$ZZ,29,FALSE)*(1+IF(OR($AH46=$F$4,$AH46=$F$5),$B$22,0))</f>
        <v>549</v>
      </c>
      <c r="AM46" s="27" cm="1">
        <f t="array" ref="AM46">$G$3+IFERROR(VLOOKUP($AH46,$F$4:$G$7,2,FALSE),0)+VLOOKUP($R46,武学奇术!$A:$ZZ,2,FALSE)+SUM(_xlfn.XLOOKUP($S46:$AG46,增益!$A:$A,增益!$B:$B,0))</f>
        <v>0.5541</v>
      </c>
      <c r="AN46" s="27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3888.382</v>
      </c>
      <c r="AP46" cm="1">
        <f t="array" ref="AP46">$E$10*(1+$AN46)+VLOOKUP($R46,武学奇术!$A:$ZZ,4,FALSE)+SUM(_xlfn.XLOOKUP($S46:$AG46,增益!$A:$A,增益!$D:$D,0))-$I$2</f>
        <v>3888.382</v>
      </c>
      <c r="AQ46" s="33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0.317</v>
      </c>
      <c r="AR46" s="33" cm="1">
        <f t="array" ref="AR46">$G$10+VLOOKUP($R46,武学奇术!$A:$ZZ,7,FALSE)+SUM(_xlfn.XLOOKUP(S46:AG46,增益!$A:$A,增益!$G:$G,0))</f>
        <v>0.09</v>
      </c>
      <c r="AS46" s="27" cm="1">
        <f t="array" ref="AS46">VLOOKUP($R46,武学奇术!$A:$ZZ,8,FALSE)+SUM(_xlfn.XLOOKUP(S46:AG46,增益!$A:$A,增益!$H:$H,0))</f>
        <v>0</v>
      </c>
      <c r="AT46">
        <f t="shared" si="18"/>
        <v>0</v>
      </c>
      <c r="AU46">
        <f t="shared" si="19"/>
        <v>0</v>
      </c>
      <c r="AV46" s="33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-0.3</v>
      </c>
      <c r="AW46" s="33" cm="1">
        <f t="array" ref="AW46">$G$11+VLOOKUP($R46,武学奇术!$A:$ZZ,10,FALSE)+SUM(_xlfn.XLOOKUP(S46:AG46,增益!$A:$A,增益!$J:$J,0))</f>
        <v>0</v>
      </c>
      <c r="AX46">
        <f t="shared" si="20"/>
        <v>0</v>
      </c>
      <c r="AY46">
        <f t="shared" si="21"/>
        <v>0</v>
      </c>
      <c r="AZ46" s="33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3" cm="1">
        <f t="array" ref="BA46">$G$12+VLOOKUP($R46,武学奇术!$A:$ZZ,12,FALSE)+SUM(_xlfn.XLOOKUP(S46:AG46,增益!$A:$A,增益!$L:$L,0))</f>
        <v>0</v>
      </c>
      <c r="BB46">
        <f t="shared" si="12"/>
        <v>0</v>
      </c>
      <c r="BC46">
        <f t="shared" si="13"/>
        <v>0</v>
      </c>
      <c r="BD46" s="33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3" cm="1">
        <f t="array" ref="BE46">$G$13+VLOOKUP($R46,武学奇术!$A:$ZZ,14,FALSE)+SUM(_xlfn.XLOOKUP(S46:AG46,增益!$A:$A,增益!$N:$N,0))</f>
        <v>0</v>
      </c>
      <c r="BF46">
        <f t="shared" si="14"/>
        <v>605.472</v>
      </c>
      <c r="BG46">
        <f t="shared" si="15"/>
        <v>1725.468</v>
      </c>
      <c r="BH46" s="33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0</v>
      </c>
      <c r="BI46" s="33" cm="1">
        <f t="array" ref="BI46">$G$14+VLOOKUP($R46,武学奇术!$A:$ZZ,16,FALSE)+SUM(_xlfn.XLOOKUP(S46:AG46,增益!$A:$A,增益!$P:$P,0))</f>
        <v>0.24</v>
      </c>
      <c r="BJ46" s="27">
        <f>MIN(IF(VLOOKUP($R46,武学奇术!$A:$ZZ,23,FALSE)=1,100%,$B$8),100%)</f>
        <v>1</v>
      </c>
      <c r="BK46" s="27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+MIN(IF(VLOOKUP($R46,武学奇术!$A:$ZZ,32,FALSE)=1,IF(VLOOKUP($R46,武学奇术!$A:$ZZ,24,FALSE)=1,100%,MIN(40%,$B$10+VLOOKUP($R46,武学奇术!$A:$ZZ,19,FALSE)+SUM(_xlfn.XLOOKUP(S46:AG46,增益!$A:$A,增益!$S:$S,0)))+$B$12+SUM(_xlfn.XLOOKUP(S46:AG46,增益!$A:$A,增益!$V:$V,0))),0),12%)</f>
        <v>0.9036</v>
      </c>
      <c r="BL46" s="27" cm="1">
        <f t="array" ref="BL46">1+$B$13+VLOOKUP($R46,武学奇术!$A:$ZZ,18,FALSE)+SUM(_xlfn.XLOOKUP(S46:AG46,增益!$A:$A,增益!$R:$R,0))</f>
        <v>1.64</v>
      </c>
      <c r="BM46" s="27" cm="1">
        <f t="array" ref="BM46">MAX(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-IF(VLOOKUP($R46,武学奇术!$A:$ZZ,32,FALSE)=1,12%,0),0)</f>
        <v>0.0929</v>
      </c>
      <c r="BN46" s="27" cm="1">
        <f t="array" ref="BN46">1+$B$14+VLOOKUP($R46,武学奇术!$A:$ZZ,20,FALSE)+SUM(_xlfn.XLOOKUP(S46:AG46,增益!$A:$A,增益!$T:$T,0))</f>
        <v>1.35</v>
      </c>
      <c r="BO46" s="27">
        <f t="shared" si="16"/>
        <v>0.9036</v>
      </c>
      <c r="BP46" s="27">
        <f t="shared" si="17"/>
        <v>0.00350000000000006</v>
      </c>
      <c r="BQ46" s="27">
        <f>IF(VLOOKUP($R46,武学奇术!$A:$ZZ,22,FALSE)=1,0,(1-$BJ46))*(1-$BM46)</f>
        <v>0</v>
      </c>
      <c r="BR46" s="27" cm="1">
        <f t="array" ref="BR46">SUM(_xlfn.XLOOKUP(S46:AG46,增益!$A:$A,增益!$W:$W,0))+$I$5</f>
        <v>0.11</v>
      </c>
    </row>
    <row r="47" spans="1:70">
      <c r="A47" t="s">
        <v>157</v>
      </c>
      <c r="B47">
        <v>0.9</v>
      </c>
      <c r="F47" s="40"/>
      <c r="K47">
        <f>$L47*VLOOKUP($R47,武学奇术!$A:$ZZ,31,FALSE)</f>
        <v>31671.2063037974</v>
      </c>
      <c r="L47" s="39">
        <f t="shared" si="11"/>
        <v>31671.2063037974</v>
      </c>
      <c r="M47" s="39">
        <f>((($AO47+($AP47-$AO47)*IF(VLOOKUP($R47,武学奇术!$A:$ZZ,31,FALSE)=1,$F$18,0.5))*$AI47+$AJ47)*(1+$AQ47)*(1+$AR47)+(($AT47+($AU47-$AT47)*IF(VLOOKUP($R47,武学奇术!$A:$ZZ,31,FALSE)=1,$F$18,0.5))*IF($G$1="鸣金",$AK47,$AI47)+IF($G$1="鸣金",$AL47*1.5,0))*(1+$AV47)*(1+$AW47)+(($AX47+($AY47-$AX47)*IF(VLOOKUP($R47,武学奇术!$A:$ZZ,31,FALSE)=1,$F$18,0.5))*IF($G$1="裂石",$AK47,$AI47)+IF($G$1="裂石",$AL47*1.5,0))*(1+$AZ47)*(1+$BA47)+(($BB47+($BC47-$BB47)*IF(VLOOKUP($R47,武学奇术!$A:$ZZ,31,FALSE)=1,$F$18,0.5))*IF($G$1="牵丝",$AK47,$AI47)+IF($G$1="牵丝",$AL47*1.5,0))*(1+$BD47)*(1+$BE47)+(($BF47+($BG47-$BF47)*IF(VLOOKUP($R47,武学奇术!$A:$ZZ,31,FALSE)=1,$F$18,0.5))*IF($G$1="破竹",$AK47,$AI47)+IF($G$1="破竹",$AL47*1.5,0))*(1+$BH47)*(1+$BI47))*(1+$AM47)*$BL47*$Q47*(1+IF(VLOOKUP($R47,武学奇术!$A:$ZZ,30,FALSE)="蓄力技",$B$21,0))*(1+$BR47)</f>
        <v>31949.552902863</v>
      </c>
      <c r="N47" s="39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29423.0923501762</v>
      </c>
      <c r="O47" s="39">
        <f>((($AO47+($AP47-$AO47)*IF(VLOOKUP($R47,武学奇术!$A:$ZZ,31,FALSE)=1,$F$18,0.5))*$AI47+$AJ47)*(1+$AQ47)*(1+$AR47)+(($AT47+($AU47-$AT47)*IF(VLOOKUP($R47,武学奇术!$A:$ZZ,31,FALSE)=1,$F$18,0.5))*IF($G$1="鸣金",$AK47,$AI47)+IF($G$1="鸣金",$AL47*1.5,0))*(1+$AV47)*(1+$AW47)+(($AX47+($AY47-$AX47)*IF(VLOOKUP($R47,武学奇术!$A:$ZZ,31,FALSE)=1,$F$18,0.5))*IF($G$1="裂石",$AK47,$AI47)+IF($G$1="裂石",$AL47*1.5,0))*(1+$AZ47)*(1+$BA47)+(($BB47+($BC47-$BB47)*IF(VLOOKUP($R47,武学奇术!$A:$ZZ,31,FALSE)=1,$F$18,0.5))*IF($G$1="牵丝",$AK47,$AI47)+IF($G$1="牵丝",$AL47*1.5,0))*(1+$BD47)*(1+$BE47)+(($BF47+($BG47-$BF47)*IF(VLOOKUP($R47,武学奇术!$A:$ZZ,31,FALSE)=1,$F$18,0.5))*IF($G$1="破竹",$AK47,$AI47)+IF($G$1="破竹",$AL47*1.5,0))*(1+$BH47)*(1+$BI47))*(1+$AM47)*$Q47*(1+IF(VLOOKUP($R47,武学奇术!$A:$ZZ,30,FALSE)="蓄力技",$B$21,0))*(1+$BR47)</f>
        <v>19481.4346968677</v>
      </c>
      <c r="P47" s="39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17167.9861713826</v>
      </c>
      <c r="Q47" s="40">
        <v>1</v>
      </c>
      <c r="R47" s="41" t="s">
        <v>115</v>
      </c>
      <c r="S47" s="41" t="s">
        <v>97</v>
      </c>
      <c r="T47" s="41" t="s">
        <v>73</v>
      </c>
      <c r="U47" s="41" t="s">
        <v>133</v>
      </c>
      <c r="V47" s="41" t="s">
        <v>73</v>
      </c>
      <c r="W47" s="41" t="s">
        <v>73</v>
      </c>
      <c r="X47" s="41" t="s">
        <v>73</v>
      </c>
      <c r="Y47" s="41" t="s">
        <v>164</v>
      </c>
      <c r="Z47" s="41" t="s">
        <v>73</v>
      </c>
      <c r="AA47" s="41" t="s">
        <v>73</v>
      </c>
      <c r="AB47" s="41" t="s">
        <v>84</v>
      </c>
      <c r="AC47" s="41" t="s">
        <v>73</v>
      </c>
      <c r="AD47" s="41" t="s">
        <v>73</v>
      </c>
      <c r="AE47" s="41" t="s">
        <v>76</v>
      </c>
      <c r="AF47" s="41" t="s">
        <v>77</v>
      </c>
      <c r="AG47" s="41" t="s">
        <v>78</v>
      </c>
      <c r="AH47" t="str">
        <f>VLOOKUP($R47,武学奇术!$A:$ZZ,25,FALSE)</f>
        <v>拳甲</v>
      </c>
      <c r="AI47" s="27">
        <f>VLOOKUP($R47,武学奇术!$A:$ZZ,26,FALSE)</f>
        <v>1.2876</v>
      </c>
      <c r="AJ47" s="28">
        <f>VLOOKUP($R47,武学奇术!$A:$ZZ,27,FALSE)*(1+IF(OR($AH47=$F$4,$AH47=$F$5),$B$22,0))</f>
        <v>537</v>
      </c>
      <c r="AK47" s="27">
        <f>VLOOKUP($R47,武学奇术!$A:$ZZ,28,FALSE)</f>
        <v>1.9313</v>
      </c>
      <c r="AL47" s="28">
        <f>VLOOKUP($R47,武学奇术!$A:$ZZ,29,FALSE)*(1+IF(OR($AH47=$F$4,$AH47=$F$5),$B$22,0))</f>
        <v>292.5</v>
      </c>
      <c r="AM47" s="27" cm="1">
        <f t="array" ref="AM47">$G$3+IFERROR(VLOOKUP($AH47,$F$4:$G$7,2,FALSE),0)+VLOOKUP($R47,武学奇术!$A:$ZZ,2,FALSE)+SUM(_xlfn.XLOOKUP($S47:$AG47,增益!$A:$A,增益!$B:$B,0))</f>
        <v>0.5541</v>
      </c>
      <c r="AN47" s="27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3888.382</v>
      </c>
      <c r="AP47" cm="1">
        <f t="array" ref="AP47">$E$10*(1+$AN47)+VLOOKUP($R47,武学奇术!$A:$ZZ,4,FALSE)+SUM(_xlfn.XLOOKUP($S47:$AG47,增益!$A:$A,增益!$D:$D,0))-$I$2</f>
        <v>3888.382</v>
      </c>
      <c r="AQ47" s="33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0.317</v>
      </c>
      <c r="AR47" s="33" cm="1">
        <f t="array" ref="AR47">$G$10+VLOOKUP($R47,武学奇术!$A:$ZZ,7,FALSE)+SUM(_xlfn.XLOOKUP(S47:AG47,增益!$A:$A,增益!$G:$G,0))</f>
        <v>0.09</v>
      </c>
      <c r="AS47" s="27" cm="1">
        <f t="array" ref="AS47">VLOOKUP($R47,武学奇术!$A:$ZZ,8,FALSE)+SUM(_xlfn.XLOOKUP(S47:AG47,增益!$A:$A,增益!$H:$H,0))</f>
        <v>0</v>
      </c>
      <c r="AT47">
        <f t="shared" si="18"/>
        <v>0</v>
      </c>
      <c r="AU47">
        <f t="shared" si="19"/>
        <v>0</v>
      </c>
      <c r="AV47" s="33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-0.3</v>
      </c>
      <c r="AW47" s="33" cm="1">
        <f t="array" ref="AW47">$G$11+VLOOKUP($R47,武学奇术!$A:$ZZ,10,FALSE)+SUM(_xlfn.XLOOKUP(S47:AG47,增益!$A:$A,增益!$J:$J,0))</f>
        <v>0</v>
      </c>
      <c r="AX47">
        <f t="shared" si="20"/>
        <v>0</v>
      </c>
      <c r="AY47">
        <f t="shared" si="21"/>
        <v>0</v>
      </c>
      <c r="AZ47" s="33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3" cm="1">
        <f t="array" ref="BA47">$G$12+VLOOKUP($R47,武学奇术!$A:$ZZ,12,FALSE)+SUM(_xlfn.XLOOKUP(S47:AG47,增益!$A:$A,增益!$L:$L,0))</f>
        <v>0</v>
      </c>
      <c r="BB47">
        <f t="shared" si="12"/>
        <v>0</v>
      </c>
      <c r="BC47">
        <f t="shared" si="13"/>
        <v>0</v>
      </c>
      <c r="BD47" s="33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3" cm="1">
        <f t="array" ref="BE47">$G$13+VLOOKUP($R47,武学奇术!$A:$ZZ,14,FALSE)+SUM(_xlfn.XLOOKUP(S47:AG47,增益!$A:$A,增益!$N:$N,0))</f>
        <v>0</v>
      </c>
      <c r="BF47">
        <f t="shared" si="14"/>
        <v>605.472</v>
      </c>
      <c r="BG47">
        <f t="shared" si="15"/>
        <v>1725.468</v>
      </c>
      <c r="BH47" s="33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0</v>
      </c>
      <c r="BI47" s="33" cm="1">
        <f t="array" ref="BI47">$G$14+VLOOKUP($R47,武学奇术!$A:$ZZ,16,FALSE)+SUM(_xlfn.XLOOKUP(S47:AG47,增益!$A:$A,增益!$P:$P,0))</f>
        <v>0.24</v>
      </c>
      <c r="BJ47" s="27">
        <f>MIN(IF(VLOOKUP($R47,武学奇术!$A:$ZZ,23,FALSE)=1,100%,$B$8),100%)</f>
        <v>1</v>
      </c>
      <c r="BK47" s="27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+MIN(IF(VLOOKUP($R47,武学奇术!$A:$ZZ,32,FALSE)=1,IF(VLOOKUP($R47,武学奇术!$A:$ZZ,24,FALSE)=1,100%,MIN(40%,$B$10+VLOOKUP($R47,武学奇术!$A:$ZZ,19,FALSE)+SUM(_xlfn.XLOOKUP(S47:AG47,增益!$A:$A,增益!$S:$S,0)))+$B$12+SUM(_xlfn.XLOOKUP(S47:AG47,增益!$A:$A,增益!$V:$V,0))),0),12%)</f>
        <v>0.9036</v>
      </c>
      <c r="BL47" s="27" cm="1">
        <f t="array" ref="BL47">1+$B$13+VLOOKUP($R47,武学奇术!$A:$ZZ,18,FALSE)+SUM(_xlfn.XLOOKUP(S47:AG47,增益!$A:$A,增益!$R:$R,0))</f>
        <v>1.64</v>
      </c>
      <c r="BM47" s="27" cm="1">
        <f t="array" ref="BM47">MAX(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-IF(VLOOKUP($R47,武学奇术!$A:$ZZ,32,FALSE)=1,12%,0),0)</f>
        <v>0.0929</v>
      </c>
      <c r="BN47" s="27" cm="1">
        <f t="array" ref="BN47">1+$B$14+VLOOKUP($R47,武学奇术!$A:$ZZ,20,FALSE)+SUM(_xlfn.XLOOKUP(S47:AG47,增益!$A:$A,增益!$T:$T,0))</f>
        <v>1.35</v>
      </c>
      <c r="BO47" s="27">
        <f t="shared" si="16"/>
        <v>0.9036</v>
      </c>
      <c r="BP47" s="27">
        <f t="shared" si="17"/>
        <v>0.00350000000000006</v>
      </c>
      <c r="BQ47" s="27">
        <f>IF(VLOOKUP($R47,武学奇术!$A:$ZZ,22,FALSE)=1,0,(1-$BJ47))*(1-$BM47)</f>
        <v>0</v>
      </c>
      <c r="BR47" s="27" cm="1">
        <f t="array" ref="BR47">SUM(_xlfn.XLOOKUP(S47:AG47,增益!$A:$A,增益!$W:$W,0))+$I$5</f>
        <v>0.11</v>
      </c>
    </row>
    <row r="48" spans="1:70">
      <c r="A48" t="s">
        <v>167</v>
      </c>
      <c r="B48">
        <v>1.23</v>
      </c>
      <c r="K48">
        <f>$L48*VLOOKUP($R48,武学奇术!$A:$ZZ,31,FALSE)</f>
        <v>106473.063462419</v>
      </c>
      <c r="L48" s="39">
        <f t="shared" si="11"/>
        <v>81902.3565095532</v>
      </c>
      <c r="M48" s="39">
        <f>((($AO48+($AP48-$AO48)*IF(VLOOKUP($R48,武学奇术!$A:$ZZ,31,FALSE)=1,$F$18,0.5))*$AI48+$AJ48)*(1+$AQ48)*(1+$AR48)+(($AT48+($AU48-$AT48)*IF(VLOOKUP($R48,武学奇术!$A:$ZZ,31,FALSE)=1,$F$18,0.5))*IF($G$1="鸣金",$AK48,$AI48)+IF($G$1="鸣金",$AL48*1.5,0))*(1+$AV48)*(1+$AW48)+(($AX48+($AY48-$AX48)*IF(VLOOKUP($R48,武学奇术!$A:$ZZ,31,FALSE)=1,$F$18,0.5))*IF($G$1="裂石",$AK48,$AI48)+IF($G$1="裂石",$AL48*1.5,0))*(1+$AZ48)*(1+$BA48)+(($BB48+($BC48-$BB48)*IF(VLOOKUP($R48,武学奇术!$A:$ZZ,31,FALSE)=1,$F$18,0.5))*IF($G$1="牵丝",$AK48,$AI48)+IF($G$1="牵丝",$AL48*1.5,0))*(1+$BD48)*(1+$BE48)+(($BF48+($BG48-$BF48)*IF(VLOOKUP($R48,武学奇术!$A:$ZZ,31,FALSE)=1,$F$18,0.5))*IF($G$1="破竹",$AK48,$AI48)+IF($G$1="破竹",$AL48*1.5,0))*(1+$BH48)*(1+$BI48))*(1+$AM48)*$BL48*$Q48*(1+IF(VLOOKUP($R48,武学奇术!$A:$ZZ,30,FALSE)="蓄力技",$B$21,0))*(1+$BR48)</f>
        <v>83677.6600887291</v>
      </c>
      <c r="N48" s="39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66095.3498676213</v>
      </c>
      <c r="O48" s="39">
        <f>((($AO48+($AP48-$AO48)*IF(VLOOKUP($R48,武学奇术!$A:$ZZ,31,FALSE)=1,$F$18,0.5))*$AI48+$AJ48)*(1+$AQ48)*(1+$AR48)+(($AT48+($AU48-$AT48)*IF(VLOOKUP($R48,武学奇术!$A:$ZZ,31,FALSE)=1,$F$18,0.5))*IF($G$1="鸣金",$AK48,$AI48)+IF($G$1="鸣金",$AL48*1.5,0))*(1+$AV48)*(1+$AW48)+(($AX48+($AY48-$AX48)*IF(VLOOKUP($R48,武学奇术!$A:$ZZ,31,FALSE)=1,$F$18,0.5))*IF($G$1="裂石",$AK48,$AI48)+IF($G$1="裂石",$AL48*1.5,0))*(1+$AZ48)*(1+$BA48)+(($BB48+($BC48-$BB48)*IF(VLOOKUP($R48,武学奇术!$A:$ZZ,31,FALSE)=1,$F$18,0.5))*IF($G$1="牵丝",$AK48,$AI48)+IF($G$1="牵丝",$AL48*1.5,0))*(1+$BD48)*(1+$BE48)+(($BF48+($BG48-$BF48)*IF(VLOOKUP($R48,武学奇术!$A:$ZZ,31,FALSE)=1,$F$18,0.5))*IF($G$1="破竹",$AK48,$AI48)+IF($G$1="破竹",$AL48*1.5,0))*(1+$BH48)*(1+$BI48))*(1+$AM48)*$Q48*(1+IF(VLOOKUP($R48,武学奇术!$A:$ZZ,30,FALSE)="蓄力技",$B$21,0))*(1+$BR48)</f>
        <v>43132.8144787263</v>
      </c>
      <c r="P48" s="39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37306.1105369925</v>
      </c>
      <c r="Q48" s="40">
        <v>1</v>
      </c>
      <c r="R48" s="41" t="s">
        <v>117</v>
      </c>
      <c r="S48" s="41" t="s">
        <v>97</v>
      </c>
      <c r="T48" s="41" t="s">
        <v>73</v>
      </c>
      <c r="U48" s="41" t="s">
        <v>133</v>
      </c>
      <c r="V48" s="41" t="s">
        <v>73</v>
      </c>
      <c r="W48" s="41" t="s">
        <v>73</v>
      </c>
      <c r="X48" s="41" t="s">
        <v>73</v>
      </c>
      <c r="Y48" s="41" t="s">
        <v>164</v>
      </c>
      <c r="Z48" s="41" t="s">
        <v>73</v>
      </c>
      <c r="AA48" s="41" t="s">
        <v>105</v>
      </c>
      <c r="AB48" s="41" t="s">
        <v>84</v>
      </c>
      <c r="AC48" s="41" t="s">
        <v>73</v>
      </c>
      <c r="AD48" s="41" t="s">
        <v>73</v>
      </c>
      <c r="AE48" s="41" t="s">
        <v>76</v>
      </c>
      <c r="AF48" s="41" t="s">
        <v>77</v>
      </c>
      <c r="AG48" s="41" t="s">
        <v>78</v>
      </c>
      <c r="AH48" t="str">
        <f>VLOOKUP($R48,武学奇术!$A:$ZZ,25,FALSE)</f>
        <v>拳甲</v>
      </c>
      <c r="AI48" s="27">
        <f>VLOOKUP($R48,武学奇术!$A:$ZZ,26,FALSE)</f>
        <v>2.638944</v>
      </c>
      <c r="AJ48" s="28">
        <f>VLOOKUP($R48,武学奇术!$A:$ZZ,27,FALSE)*(1+IF(OR($AH48=$F$4,$AH48=$F$5),$B$22,0))</f>
        <v>0</v>
      </c>
      <c r="AK48" s="27">
        <f>VLOOKUP($R48,武学奇术!$A:$ZZ,28,FALSE)</f>
        <v>3.958416</v>
      </c>
      <c r="AL48" s="28">
        <f>VLOOKUP($R48,武学奇术!$A:$ZZ,29,FALSE)*(1+IF(OR($AH48=$F$4,$AH48=$F$5),$B$22,0))</f>
        <v>0</v>
      </c>
      <c r="AM48" s="27" cm="1">
        <f t="array" ref="AM48">$G$3+IFERROR(VLOOKUP($AH48,$F$4:$G$7,2,FALSE),0)+VLOOKUP($R48,武学奇术!$A:$ZZ,2,FALSE)+SUM(_xlfn.XLOOKUP($S48:$AG48,增益!$A:$A,增益!$B:$B,0))</f>
        <v>0.8541</v>
      </c>
      <c r="AN48" s="27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3888.382</v>
      </c>
      <c r="AP48" cm="1">
        <f t="array" ref="AP48">$E$10*(1+$AN48)+VLOOKUP($R48,武学奇术!$A:$ZZ,4,FALSE)+SUM(_xlfn.XLOOKUP($S48:$AG48,增益!$A:$A,增益!$D:$D,0))-$I$2</f>
        <v>3888.382</v>
      </c>
      <c r="AQ48" s="33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0.347</v>
      </c>
      <c r="AR48" s="33" cm="1">
        <f t="array" ref="AR48">$G$10+VLOOKUP($R48,武学奇术!$A:$ZZ,7,FALSE)+SUM(_xlfn.XLOOKUP(S48:AG48,增益!$A:$A,增益!$G:$G,0))</f>
        <v>0.09</v>
      </c>
      <c r="AS48" s="27" cm="1">
        <f t="array" ref="AS48">VLOOKUP($R48,武学奇术!$A:$ZZ,8,FALSE)+SUM(_xlfn.XLOOKUP(S48:AG48,增益!$A:$A,增益!$H:$H,0))</f>
        <v>0</v>
      </c>
      <c r="AT48">
        <f t="shared" si="18"/>
        <v>0</v>
      </c>
      <c r="AU48">
        <f t="shared" si="19"/>
        <v>0</v>
      </c>
      <c r="AV48" s="33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-0.24</v>
      </c>
      <c r="AW48" s="33" cm="1">
        <f t="array" ref="AW48">$G$11+VLOOKUP($R48,武学奇术!$A:$ZZ,10,FALSE)+SUM(_xlfn.XLOOKUP(S48:AG48,增益!$A:$A,增益!$J:$J,0))</f>
        <v>0</v>
      </c>
      <c r="AX48">
        <f t="shared" si="20"/>
        <v>0</v>
      </c>
      <c r="AY48">
        <f t="shared" si="21"/>
        <v>0</v>
      </c>
      <c r="AZ48" s="33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-0.24</v>
      </c>
      <c r="BA48" s="33" cm="1">
        <f t="array" ref="BA48">$G$12+VLOOKUP($R48,武学奇术!$A:$ZZ,12,FALSE)+SUM(_xlfn.XLOOKUP(S48:AG48,增益!$A:$A,增益!$L:$L,0))</f>
        <v>0</v>
      </c>
      <c r="BB48">
        <f t="shared" si="12"/>
        <v>0</v>
      </c>
      <c r="BC48">
        <f t="shared" si="13"/>
        <v>0</v>
      </c>
      <c r="BD48" s="33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-0.24</v>
      </c>
      <c r="BE48" s="33" cm="1">
        <f t="array" ref="BE48">$G$13+VLOOKUP($R48,武学奇术!$A:$ZZ,14,FALSE)+SUM(_xlfn.XLOOKUP(S48:AG48,增益!$A:$A,增益!$N:$N,0))</f>
        <v>0</v>
      </c>
      <c r="BF48">
        <f t="shared" si="14"/>
        <v>605.472</v>
      </c>
      <c r="BG48">
        <f t="shared" si="15"/>
        <v>1725.468</v>
      </c>
      <c r="BH48" s="33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0.03</v>
      </c>
      <c r="BI48" s="33" cm="1">
        <f t="array" ref="BI48">$G$14+VLOOKUP($R48,武学奇术!$A:$ZZ,16,FALSE)+SUM(_xlfn.XLOOKUP(S48:AG48,增益!$A:$A,增益!$P:$P,0))</f>
        <v>0.24</v>
      </c>
      <c r="BJ48" s="27">
        <f>MIN(IF(VLOOKUP($R48,武学奇术!$A:$ZZ,23,FALSE)=1,100%,$B$8),100%)</f>
        <v>1</v>
      </c>
      <c r="BK48" s="27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+MIN(IF(VLOOKUP($R48,武学奇术!$A:$ZZ,32,FALSE)=1,IF(VLOOKUP($R48,武学奇术!$A:$ZZ,24,FALSE)=1,100%,MIN(40%,$B$10+VLOOKUP($R48,武学奇术!$A:$ZZ,19,FALSE)+SUM(_xlfn.XLOOKUP(S48:AG48,增益!$A:$A,增益!$S:$S,0)))+$B$12+SUM(_xlfn.XLOOKUP(S48:AG48,增益!$A:$A,增益!$V:$V,0))),0),12%)</f>
        <v>0.9036</v>
      </c>
      <c r="BL48" s="27" cm="1">
        <f t="array" ref="BL48">1+$B$13+VLOOKUP($R48,武学奇术!$A:$ZZ,18,FALSE)+SUM(_xlfn.XLOOKUP(S48:AG48,增益!$A:$A,增益!$R:$R,0))</f>
        <v>1.94</v>
      </c>
      <c r="BM48" s="27" cm="1">
        <f t="array" ref="BM48">MAX(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-IF(VLOOKUP($R48,武学奇术!$A:$ZZ,32,FALSE)=1,12%,0),0)</f>
        <v>0.0929</v>
      </c>
      <c r="BN48" s="27" cm="1">
        <f t="array" ref="BN48">1+$B$14+VLOOKUP($R48,武学奇术!$A:$ZZ,20,FALSE)+SUM(_xlfn.XLOOKUP(S48:AG48,增益!$A:$A,增益!$T:$T,0))</f>
        <v>1.35</v>
      </c>
      <c r="BO48" s="27">
        <f t="shared" si="16"/>
        <v>0.9036</v>
      </c>
      <c r="BP48" s="27">
        <f t="shared" si="17"/>
        <v>0.00350000000000006</v>
      </c>
      <c r="BQ48" s="27">
        <f>IF(VLOOKUP($R48,武学奇术!$A:$ZZ,22,FALSE)=1,0,(1-$BJ48))*(1-$BM48)</f>
        <v>0</v>
      </c>
      <c r="BR48" s="27" cm="1">
        <f t="array" ref="BR48">SUM(_xlfn.XLOOKUP(S48:AG48,增益!$A:$A,增益!$W:$W,0))+$I$5</f>
        <v>0.11</v>
      </c>
    </row>
    <row r="49" spans="1:70">
      <c r="A49" s="4" t="s">
        <v>168</v>
      </c>
      <c r="B49" s="91">
        <v>1.16</v>
      </c>
      <c r="K49">
        <f>$L49*VLOOKUP($R49,武学奇术!$A:$ZZ,31,FALSE)</f>
        <v>127122.809608169</v>
      </c>
      <c r="L49" s="39">
        <f t="shared" si="11"/>
        <v>127122.809608169</v>
      </c>
      <c r="M49" s="39">
        <f>((($AO49+($AP49-$AO49)*IF(VLOOKUP($R49,武学奇术!$A:$ZZ,31,FALSE)=1,$F$18,0.5))*$AI49+$AJ49)*(1+$AQ49)*(1+$AR49)+(($AT49+($AU49-$AT49)*IF(VLOOKUP($R49,武学奇术!$A:$ZZ,31,FALSE)=1,$F$18,0.5))*IF($G$1="鸣金",$AK49,$AI49)+IF($G$1="鸣金",$AL49*1.5,0))*(1+$AV49)*(1+$AW49)+(($AX49+($AY49-$AX49)*IF(VLOOKUP($R49,武学奇术!$A:$ZZ,31,FALSE)=1,$F$18,0.5))*IF($G$1="裂石",$AK49,$AI49)+IF($G$1="裂石",$AL49*1.5,0))*(1+$AZ49)*(1+$BA49)+(($BB49+($BC49-$BB49)*IF(VLOOKUP($R49,武学奇术!$A:$ZZ,31,FALSE)=1,$F$18,0.5))*IF($G$1="牵丝",$AK49,$AI49)+IF($G$1="牵丝",$AL49*1.5,0))*(1+$BD49)*(1+$BE49)+(($BF49+($BG49-$BF49)*IF(VLOOKUP($R49,武学奇术!$A:$ZZ,31,FALSE)=1,$F$18,0.5))*IF($G$1="破竹",$AK49,$AI49)+IF($G$1="破竹",$AL49*1.5,0))*(1+$BH49)*(1+$BI49))*(1+$AM49)*$BL49*$Q49*(1+IF(VLOOKUP($R49,武学奇术!$A:$ZZ,30,FALSE)="蓄力技",$B$21,0))*(1+$BR49)</f>
        <v>128131.075175727</v>
      </c>
      <c r="N49" s="39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119161.675070699</v>
      </c>
      <c r="O49" s="39">
        <f>((($AO49+($AP49-$AO49)*IF(VLOOKUP($R49,武学奇术!$A:$ZZ,31,FALSE)=1,$F$18,0.5))*$AI49+$AJ49)*(1+$AQ49)*(1+$AR49)+(($AT49+($AU49-$AT49)*IF(VLOOKUP($R49,武学奇术!$A:$ZZ,31,FALSE)=1,$F$18,0.5))*IF($G$1="鸣金",$AK49,$AI49)+IF($G$1="鸣金",$AL49*1.5,0))*(1+$AV49)*(1+$AW49)+(($AX49+($AY49-$AX49)*IF(VLOOKUP($R49,武学奇术!$A:$ZZ,31,FALSE)=1,$F$18,0.5))*IF($G$1="裂石",$AK49,$AI49)+IF($G$1="裂石",$AL49*1.5,0))*(1+$AZ49)*(1+$BA49)+(($BB49+($BC49-$BB49)*IF(VLOOKUP($R49,武学奇术!$A:$ZZ,31,FALSE)=1,$F$18,0.5))*IF($G$1="牵丝",$AK49,$AI49)+IF($G$1="牵丝",$AL49*1.5,0))*(1+$BD49)*(1+$BE49)+(($BF49+($BG49-$BF49)*IF(VLOOKUP($R49,武学奇术!$A:$ZZ,31,FALSE)=1,$F$18,0.5))*IF($G$1="破竹",$AK49,$AI49)+IF($G$1="破竹",$AL49*1.5,0))*(1+$BH49)*(1+$BI49))*(1+$AM49)*$Q49*(1+IF(VLOOKUP($R49,武学奇术!$A:$ZZ,30,FALSE)="蓄力技",$B$21,0))*(1+$BR49)</f>
        <v>78128.7043754436</v>
      </c>
      <c r="P49" s="39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67989.5012911104</v>
      </c>
      <c r="Q49" s="40">
        <v>1</v>
      </c>
      <c r="R49" s="41" t="s">
        <v>177</v>
      </c>
      <c r="S49" s="41" t="s">
        <v>97</v>
      </c>
      <c r="T49" s="41" t="s">
        <v>73</v>
      </c>
      <c r="U49" s="41" t="s">
        <v>73</v>
      </c>
      <c r="V49" s="41" t="s">
        <v>73</v>
      </c>
      <c r="W49" s="41" t="s">
        <v>73</v>
      </c>
      <c r="X49" s="41" t="s">
        <v>73</v>
      </c>
      <c r="Y49" s="41" t="s">
        <v>164</v>
      </c>
      <c r="Z49" s="41" t="s">
        <v>73</v>
      </c>
      <c r="AA49" s="41" t="s">
        <v>105</v>
      </c>
      <c r="AB49" s="41" t="s">
        <v>84</v>
      </c>
      <c r="AC49" s="41" t="s">
        <v>73</v>
      </c>
      <c r="AD49" s="41" t="s">
        <v>73</v>
      </c>
      <c r="AE49" s="41" t="s">
        <v>76</v>
      </c>
      <c r="AF49" s="41" t="s">
        <v>77</v>
      </c>
      <c r="AG49" s="41" t="s">
        <v>78</v>
      </c>
      <c r="AH49" t="str">
        <f>VLOOKUP($R49,武学奇术!$A:$ZZ,25,FALSE)</f>
        <v>单体奇术</v>
      </c>
      <c r="AI49" s="27">
        <f>VLOOKUP($R49,武学奇术!$A:$ZZ,26,FALSE)</f>
        <v>7.1084</v>
      </c>
      <c r="AJ49" s="28">
        <f>VLOOKUP($R49,武学奇术!$A:$ZZ,27,FALSE)*(1+IF(OR($AH49=$F$4,$AH49=$F$5),$B$22,0))</f>
        <v>1369</v>
      </c>
      <c r="AK49" s="27">
        <f>VLOOKUP($R49,武学奇术!$A:$ZZ,28,FALSE)</f>
        <v>10.6626</v>
      </c>
      <c r="AL49" s="28">
        <f>VLOOKUP($R49,武学奇术!$A:$ZZ,29,FALSE)*(1+IF(OR($AH49=$F$4,$AH49=$F$5),$B$22,0))</f>
        <v>0</v>
      </c>
      <c r="AM49" s="27" cm="1">
        <f t="array" ref="AM49">$G$3+IFERROR(VLOOKUP($AH49,$F$4:$G$7,2,FALSE),0)+VLOOKUP($R49,武学奇术!$A:$ZZ,2,FALSE)+SUM(_xlfn.XLOOKUP($S49:$AG49,增益!$A:$A,增益!$B:$B,0))</f>
        <v>0.2337</v>
      </c>
      <c r="AN49" s="27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3888.382</v>
      </c>
      <c r="AP49" cm="1">
        <f t="array" ref="AP49">$E$10*(1+$AN49)+VLOOKUP($R49,武学奇术!$A:$ZZ,4,FALSE)+SUM(_xlfn.XLOOKUP($S49:$AG49,增益!$A:$A,增益!$D:$D,0))-$I$2</f>
        <v>3888.382</v>
      </c>
      <c r="AQ49" s="33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0.317</v>
      </c>
      <c r="AR49" s="33" cm="1">
        <f t="array" ref="AR49">$G$10+VLOOKUP($R49,武学奇术!$A:$ZZ,7,FALSE)+SUM(_xlfn.XLOOKUP(S49:AG49,增益!$A:$A,增益!$G:$G,0))</f>
        <v>0.09</v>
      </c>
      <c r="AS49" s="27" cm="1">
        <f t="array" ref="AS49">VLOOKUP($R49,武学奇术!$A:$ZZ,8,FALSE)+SUM(_xlfn.XLOOKUP(S49:AG49,增益!$A:$A,增益!$H:$H,0))</f>
        <v>0</v>
      </c>
      <c r="AT49">
        <f t="shared" si="18"/>
        <v>0</v>
      </c>
      <c r="AU49">
        <f t="shared" si="19"/>
        <v>0</v>
      </c>
      <c r="AV49" s="33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-0.3</v>
      </c>
      <c r="AW49" s="33" cm="1">
        <f t="array" ref="AW49">$G$11+VLOOKUP($R49,武学奇术!$A:$ZZ,10,FALSE)+SUM(_xlfn.XLOOKUP(S49:AG49,增益!$A:$A,增益!$J:$J,0))</f>
        <v>0</v>
      </c>
      <c r="AX49">
        <f t="shared" si="20"/>
        <v>0</v>
      </c>
      <c r="AY49">
        <f t="shared" si="21"/>
        <v>0</v>
      </c>
      <c r="AZ49" s="33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3" cm="1">
        <f t="array" ref="BA49">$G$12+VLOOKUP($R49,武学奇术!$A:$ZZ,12,FALSE)+SUM(_xlfn.XLOOKUP(S49:AG49,增益!$A:$A,增益!$L:$L,0))</f>
        <v>0</v>
      </c>
      <c r="BB49">
        <f t="shared" si="12"/>
        <v>0</v>
      </c>
      <c r="BC49">
        <f t="shared" si="13"/>
        <v>0</v>
      </c>
      <c r="BD49" s="33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3" cm="1">
        <f t="array" ref="BE49">$G$13+VLOOKUP($R49,武学奇术!$A:$ZZ,14,FALSE)+SUM(_xlfn.XLOOKUP(S49:AG49,增益!$A:$A,增益!$N:$N,0))</f>
        <v>0</v>
      </c>
      <c r="BF49">
        <f t="shared" si="14"/>
        <v>605.472</v>
      </c>
      <c r="BG49">
        <f t="shared" si="15"/>
        <v>1725.468</v>
      </c>
      <c r="BH49" s="33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0</v>
      </c>
      <c r="BI49" s="33" cm="1">
        <f t="array" ref="BI49">$G$14+VLOOKUP($R49,武学奇术!$A:$ZZ,16,FALSE)+SUM(_xlfn.XLOOKUP(S49:AG49,增益!$A:$A,增益!$P:$P,0))</f>
        <v>0.24</v>
      </c>
      <c r="BJ49" s="27">
        <f>MIN(IF(VLOOKUP($R49,武学奇术!$A:$ZZ,23,FALSE)=1,100%,$B$8),100%)</f>
        <v>1</v>
      </c>
      <c r="BK49" s="27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+MIN(IF(VLOOKUP($R49,武学奇术!$A:$ZZ,32,FALSE)=1,IF(VLOOKUP($R49,武学奇术!$A:$ZZ,24,FALSE)=1,100%,MIN(40%,$B$10+VLOOKUP($R49,武学奇术!$A:$ZZ,19,FALSE)+SUM(_xlfn.XLOOKUP(S49:AG49,增益!$A:$A,增益!$S:$S,0)))+$B$12+SUM(_xlfn.XLOOKUP(S49:AG49,增益!$A:$A,增益!$V:$V,0))),0),12%)</f>
        <v>0.9036</v>
      </c>
      <c r="BL49" s="27" cm="1">
        <f t="array" ref="BL49">1+$B$13+VLOOKUP($R49,武学奇术!$A:$ZZ,18,FALSE)+SUM(_xlfn.XLOOKUP(S49:AG49,增益!$A:$A,增益!$R:$R,0))</f>
        <v>1.64</v>
      </c>
      <c r="BM49" s="27" cm="1">
        <f t="array" ref="BM49">MAX(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-IF(VLOOKUP($R49,武学奇术!$A:$ZZ,32,FALSE)=1,12%,0),0)</f>
        <v>0.0929</v>
      </c>
      <c r="BN49" s="27" cm="1">
        <f t="array" ref="BN49">1+$B$14+VLOOKUP($R49,武学奇术!$A:$ZZ,20,FALSE)+SUM(_xlfn.XLOOKUP(S49:AG49,增益!$A:$A,增益!$T:$T,0))</f>
        <v>1.35</v>
      </c>
      <c r="BO49" s="27">
        <f t="shared" si="16"/>
        <v>0.9036</v>
      </c>
      <c r="BP49" s="27">
        <f t="shared" si="17"/>
        <v>0.00350000000000006</v>
      </c>
      <c r="BQ49" s="27">
        <f>IF(VLOOKUP($R49,武学奇术!$A:$ZZ,22,FALSE)=1,0,(1-$BJ49))*(1-$BM49)</f>
        <v>0</v>
      </c>
      <c r="BR49" s="27" cm="1">
        <f t="array" ref="BR49">SUM(_xlfn.XLOOKUP(S49:AG49,增益!$A:$A,增益!$W:$W,0))+$I$5</f>
        <v>0.11</v>
      </c>
    </row>
    <row r="50" spans="1:70">
      <c r="A50" t="s">
        <v>160</v>
      </c>
      <c r="B50">
        <v>0.1</v>
      </c>
      <c r="K50">
        <f>$L50*VLOOKUP($R50,武学奇术!$A:$ZZ,31,FALSE)</f>
        <v>270487.604345352</v>
      </c>
      <c r="L50" s="39">
        <f t="shared" si="11"/>
        <v>270487.604345352</v>
      </c>
      <c r="M50" s="39">
        <f>((($AO50+($AP50-$AO50)*IF(VLOOKUP($R50,武学奇术!$A:$ZZ,31,FALSE)=1,$F$18,0.5))*$AI50+$AJ50)*(1+$AQ50)*(1+$AR50)+(($AT50+($AU50-$AT50)*IF(VLOOKUP($R50,武学奇术!$A:$ZZ,31,FALSE)=1,$F$18,0.5))*IF($G$1="鸣金",$AK50,$AI50)+IF($G$1="鸣金",$AL50*1.5,0))*(1+$AV50)*(1+$AW50)+(($AX50+($AY50-$AX50)*IF(VLOOKUP($R50,武学奇术!$A:$ZZ,31,FALSE)=1,$F$18,0.5))*IF($G$1="裂石",$AK50,$AI50)+IF($G$1="裂石",$AL50*1.5,0))*(1+$AZ50)*(1+$BA50)+(($BB50+($BC50-$BB50)*IF(VLOOKUP($R50,武学奇术!$A:$ZZ,31,FALSE)=1,$F$18,0.5))*IF($G$1="牵丝",$AK50,$AI50)+IF($G$1="牵丝",$AL50*1.5,0))*(1+$BD50)*(1+$BE50)+(($BF50+($BG50-$BF50)*IF(VLOOKUP($R50,武学奇术!$A:$ZZ,31,FALSE)=1,$F$18,0.5))*IF($G$1="破竹",$AK50,$AI50)+IF($G$1="破竹",$AL50*1.5,0))*(1+$BH50)*(1+$BI50))*(1+$AM50)*$BL50*$Q50*(1+IF(VLOOKUP($R50,武学奇术!$A:$ZZ,30,FALSE)="蓄力技",$B$21,0))*(1+$BR50)</f>
        <v>275913.798436028</v>
      </c>
      <c r="N50" s="39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222399.83423005</v>
      </c>
      <c r="O50" s="39">
        <f>((($AO50+($AP50-$AO50)*IF(VLOOKUP($R50,武学奇术!$A:$ZZ,31,FALSE)=1,$F$18,0.5))*$AI50+$AJ50)*(1+$AQ50)*(1+$AR50)+(($AT50+($AU50-$AT50)*IF(VLOOKUP($R50,武学奇术!$A:$ZZ,31,FALSE)=1,$F$18,0.5))*IF($G$1="鸣金",$AK50,$AI50)+IF($G$1="鸣金",$AL50*1.5,0))*(1+$AV50)*(1+$AW50)+(($AX50+($AY50-$AX50)*IF(VLOOKUP($R50,武学奇术!$A:$ZZ,31,FALSE)=1,$F$18,0.5))*IF($G$1="裂石",$AK50,$AI50)+IF($G$1="裂石",$AL50*1.5,0))*(1+$AZ50)*(1+$BA50)+(($BB50+($BC50-$BB50)*IF(VLOOKUP($R50,武学奇术!$A:$ZZ,31,FALSE)=1,$F$18,0.5))*IF($G$1="牵丝",$AK50,$AI50)+IF($G$1="牵丝",$AL50*1.5,0))*(1+$BD50)*(1+$BE50)+(($BF50+($BG50-$BF50)*IF(VLOOKUP($R50,武学奇术!$A:$ZZ,31,FALSE)=1,$F$18,0.5))*IF($G$1="破竹",$AK50,$AI50)+IF($G$1="破竹",$AL50*1.5,0))*(1+$BH50)*(1+$BI50))*(1+$AM50)*$Q50*(1+IF(VLOOKUP($R50,武学奇术!$A:$ZZ,30,FALSE)="蓄力技",$B$21,0))*(1+$BR50)</f>
        <v>145986.136738639</v>
      </c>
      <c r="P50" s="39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127231.655529093</v>
      </c>
      <c r="Q50" s="40">
        <v>1</v>
      </c>
      <c r="R50" s="41" t="s">
        <v>178</v>
      </c>
      <c r="S50" s="41" t="s">
        <v>97</v>
      </c>
      <c r="T50" s="41" t="s">
        <v>132</v>
      </c>
      <c r="U50" s="41" t="s">
        <v>73</v>
      </c>
      <c r="V50" s="41" t="s">
        <v>73</v>
      </c>
      <c r="W50" s="41" t="s">
        <v>179</v>
      </c>
      <c r="X50" s="41" t="s">
        <v>180</v>
      </c>
      <c r="Y50" s="41" t="s">
        <v>164</v>
      </c>
      <c r="Z50" s="41" t="s">
        <v>83</v>
      </c>
      <c r="AA50" s="41" t="s">
        <v>73</v>
      </c>
      <c r="AB50" s="41" t="s">
        <v>84</v>
      </c>
      <c r="AC50" s="41" t="s">
        <v>73</v>
      </c>
      <c r="AD50" s="41" t="s">
        <v>73</v>
      </c>
      <c r="AE50" s="41" t="s">
        <v>76</v>
      </c>
      <c r="AF50" s="41" t="s">
        <v>77</v>
      </c>
      <c r="AG50" s="41" t="s">
        <v>78</v>
      </c>
      <c r="AH50" t="str">
        <f>VLOOKUP($R50,武学奇术!$A:$ZZ,25,FALSE)</f>
        <v>群体奇术</v>
      </c>
      <c r="AI50" s="27">
        <f>VLOOKUP($R50,武学奇术!$A:$ZZ,26,FALSE)</f>
        <v>10.315755</v>
      </c>
      <c r="AJ50" s="28">
        <f>VLOOKUP($R50,武学奇术!$A:$ZZ,27,FALSE)*(1+IF(OR($AH50=$F$4,$AH50=$F$5),$B$22,0))</f>
        <v>1992.6</v>
      </c>
      <c r="AK50" s="27">
        <f>VLOOKUP($R50,武学奇术!$A:$ZZ,28,FALSE)</f>
        <v>15.4736325</v>
      </c>
      <c r="AL50" s="28">
        <f>VLOOKUP($R50,武学奇术!$A:$ZZ,29,FALSE)*(1+IF(OR($AH50=$F$4,$AH50=$F$5),$B$22,0))</f>
        <v>0</v>
      </c>
      <c r="AM50" s="27" cm="1">
        <f t="array" ref="AM50">$G$3+IFERROR(VLOOKUP($AH50,$F$4:$G$7,2,FALSE),0)+VLOOKUP($R50,武学奇术!$A:$ZZ,2,FALSE)+SUM(_xlfn.XLOOKUP($S50:$AG50,增益!$A:$A,增益!$B:$B,0))</f>
        <v>0.2337</v>
      </c>
      <c r="AN50" s="27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3888.382</v>
      </c>
      <c r="AP50" cm="1">
        <f t="array" ref="AP50">$E$10*(1+$AN50)+VLOOKUP($R50,武学奇术!$A:$ZZ,4,FALSE)+SUM(_xlfn.XLOOKUP($S50:$AG50,增益!$A:$A,增益!$D:$D,0))-$I$2</f>
        <v>3888.382</v>
      </c>
      <c r="AQ50" s="33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0.442</v>
      </c>
      <c r="AR50" s="33" cm="1">
        <f t="array" ref="AR50">$G$10+VLOOKUP($R50,武学奇术!$A:$ZZ,7,FALSE)+SUM(_xlfn.XLOOKUP(S50:AG50,增益!$A:$A,增益!$G:$G,0))</f>
        <v>0.09</v>
      </c>
      <c r="AS50" s="27" cm="1">
        <f t="array" ref="AS50">VLOOKUP($R50,武学奇术!$A:$ZZ,8,FALSE)+SUM(_xlfn.XLOOKUP(S50:AG50,增益!$A:$A,增益!$H:$H,0))</f>
        <v>0</v>
      </c>
      <c r="AT50">
        <f t="shared" si="18"/>
        <v>0</v>
      </c>
      <c r="AU50">
        <f t="shared" si="19"/>
        <v>0</v>
      </c>
      <c r="AV50" s="33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-0.14</v>
      </c>
      <c r="AW50" s="33" cm="1">
        <f t="array" ref="AW50">$G$11+VLOOKUP($R50,武学奇术!$A:$ZZ,10,FALSE)+SUM(_xlfn.XLOOKUP(S50:AG50,增益!$A:$A,增益!$J:$J,0))</f>
        <v>0.1</v>
      </c>
      <c r="AX50">
        <f t="shared" si="20"/>
        <v>0</v>
      </c>
      <c r="AY50">
        <f t="shared" si="21"/>
        <v>0</v>
      </c>
      <c r="AZ50" s="33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-0.14</v>
      </c>
      <c r="BA50" s="33" cm="1">
        <f t="array" ref="BA50">$G$12+VLOOKUP($R50,武学奇术!$A:$ZZ,12,FALSE)+SUM(_xlfn.XLOOKUP(S50:AG50,增益!$A:$A,增益!$L:$L,0))</f>
        <v>0</v>
      </c>
      <c r="BB50">
        <f t="shared" si="12"/>
        <v>0</v>
      </c>
      <c r="BC50">
        <f t="shared" si="13"/>
        <v>0</v>
      </c>
      <c r="BD50" s="33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-0.14</v>
      </c>
      <c r="BE50" s="33" cm="1">
        <f t="array" ref="BE50">$G$13+VLOOKUP($R50,武学奇术!$A:$ZZ,14,FALSE)+SUM(_xlfn.XLOOKUP(S50:AG50,增益!$A:$A,增益!$N:$N,0))</f>
        <v>0</v>
      </c>
      <c r="BF50">
        <f t="shared" si="14"/>
        <v>605.472</v>
      </c>
      <c r="BG50">
        <f t="shared" si="15"/>
        <v>1725.468</v>
      </c>
      <c r="BH50" s="33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0.08</v>
      </c>
      <c r="BI50" s="33" cm="1">
        <f t="array" ref="BI50">$G$14+VLOOKUP($R50,武学奇术!$A:$ZZ,16,FALSE)+SUM(_xlfn.XLOOKUP(S50:AG50,增益!$A:$A,增益!$P:$P,0))</f>
        <v>0.24</v>
      </c>
      <c r="BJ50" s="27">
        <f>MIN(IF(VLOOKUP($R50,武学奇术!$A:$ZZ,23,FALSE)=1,100%,$B$8),100%)</f>
        <v>1</v>
      </c>
      <c r="BK50" s="27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+MIN(IF(VLOOKUP($R50,武学奇术!$A:$ZZ,32,FALSE)=1,IF(VLOOKUP($R50,武学奇术!$A:$ZZ,24,FALSE)=1,100%,MIN(40%,$B$10+VLOOKUP($R50,武学奇术!$A:$ZZ,19,FALSE)+SUM(_xlfn.XLOOKUP(S50:AG50,增益!$A:$A,增益!$S:$S,0)))+$B$12+SUM(_xlfn.XLOOKUP(S50:AG50,增益!$A:$A,增益!$V:$V,0))),0),12%)</f>
        <v>0.9036</v>
      </c>
      <c r="BL50" s="27" cm="1">
        <f t="array" ref="BL50">1+$B$13+VLOOKUP($R50,武学奇术!$A:$ZZ,18,FALSE)+SUM(_xlfn.XLOOKUP(S50:AG50,增益!$A:$A,增益!$R:$R,0))</f>
        <v>1.89</v>
      </c>
      <c r="BM50" s="27" cm="1">
        <f t="array" ref="BM50">MAX(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-IF(VLOOKUP($R50,武学奇术!$A:$ZZ,32,FALSE)=1,12%,0),0)</f>
        <v>0.0929</v>
      </c>
      <c r="BN50" s="27" cm="1">
        <f t="array" ref="BN50">1+$B$14+VLOOKUP($R50,武学奇术!$A:$ZZ,20,FALSE)+SUM(_xlfn.XLOOKUP(S50:AG50,增益!$A:$A,增益!$T:$T,0))</f>
        <v>1.35</v>
      </c>
      <c r="BO50" s="27">
        <f t="shared" si="16"/>
        <v>0.9036</v>
      </c>
      <c r="BP50" s="27">
        <f t="shared" si="17"/>
        <v>0.00350000000000006</v>
      </c>
      <c r="BQ50" s="27">
        <f>IF(VLOOKUP($R50,武学奇术!$A:$ZZ,22,FALSE)=1,0,(1-$BJ50))*(1-$BM50)</f>
        <v>0</v>
      </c>
      <c r="BR50" s="27" cm="1">
        <f t="array" ref="BR50">SUM(_xlfn.XLOOKUP(S50:AG50,增益!$A:$A,增益!$W:$W,0))+$I$5</f>
        <v>0.31</v>
      </c>
    </row>
    <row r="51" spans="1:70">
      <c r="A51" s="4" t="s">
        <v>163</v>
      </c>
      <c r="B51" s="4">
        <v>0.9</v>
      </c>
      <c r="K51">
        <f>$L51*VLOOKUP($R51,武学奇术!$A:$ZZ,31,FALSE)</f>
        <v>976115.080448481</v>
      </c>
      <c r="L51" s="39">
        <f t="shared" si="11"/>
        <v>1155165.77567868</v>
      </c>
      <c r="M51" s="39">
        <f>((($AO51+($AP51-$AO51)*IF(VLOOKUP($R51,武学奇术!$A:$ZZ,31,FALSE)=1,$F$18,0.5))*$AI51+$AJ51)*(1+$AQ51)*(1+$AR51)+(($AT51+($AU51-$AT51)*IF(VLOOKUP($R51,武学奇术!$A:$ZZ,31,FALSE)=1,$F$18,0.5))*IF($G$1="鸣金",$AK51,$AI51)+IF($G$1="鸣金",$AL51*1.5,0))*(1+$AV51)*(1+$AW51)+(($AX51+($AY51-$AX51)*IF(VLOOKUP($R51,武学奇术!$A:$ZZ,31,FALSE)=1,$F$18,0.5))*IF($G$1="裂石",$AK51,$AI51)+IF($G$1="裂石",$AL51*1.5,0))*(1+$AZ51)*(1+$BA51)+(($BB51+($BC51-$BB51)*IF(VLOOKUP($R51,武学奇术!$A:$ZZ,31,FALSE)=1,$F$18,0.5))*IF($G$1="牵丝",$AK51,$AI51)+IF($G$1="牵丝",$AL51*1.5,0))*(1+$BD51)*(1+$BE51)+(($BF51+($BG51-$BF51)*IF(VLOOKUP($R51,武学奇术!$A:$ZZ,31,FALSE)=1,$F$18,0.5))*IF($G$1="破竹",$AK51,$AI51)+IF($G$1="破竹",$AL51*1.5,0))*(1+$BH51)*(1+$BI51))*(1+$AM51)*$BL51*$Q51*(1+IF(VLOOKUP($R51,武学奇术!$A:$ZZ,30,FALSE)="蓄力技",$B$21,0))*(1+$BR51)</f>
        <v>1157521.98675213</v>
      </c>
      <c r="N51" s="39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731148.859262298</v>
      </c>
      <c r="O51" s="39">
        <f>((($AO51+($AP51-$AO51)*IF(VLOOKUP($R51,武学奇术!$A:$ZZ,31,FALSE)=1,$F$18,0.5))*$AI51+$AJ51)*(1+$AQ51)*(1+$AR51)+(($AT51+($AU51-$AT51)*IF(VLOOKUP($R51,武学奇术!$A:$ZZ,31,FALSE)=1,$F$18,0.5))*IF($G$1="鸣金",$AK51,$AI51)+IF($G$1="鸣金",$AL51*1.5,0))*(1+$AV51)*(1+$AW51)+(($AX51+($AY51-$AX51)*IF(VLOOKUP($R51,武学奇术!$A:$ZZ,31,FALSE)=1,$F$18,0.5))*IF($G$1="裂石",$AK51,$AI51)+IF($G$1="裂石",$AL51*1.5,0))*(1+$AZ51)*(1+$BA51)+(($BB51+($BC51-$BB51)*IF(VLOOKUP($R51,武学奇术!$A:$ZZ,31,FALSE)=1,$F$18,0.5))*IF($G$1="牵丝",$AK51,$AI51)+IF($G$1="牵丝",$AL51*1.5,0))*(1+$BD51)*(1+$BE51)+(($BF51+($BG51-$BF51)*IF(VLOOKUP($R51,武学奇术!$A:$ZZ,31,FALSE)=1,$F$18,0.5))*IF($G$1="破竹",$AK51,$AI51)+IF($G$1="破竹",$AL51*1.5,0))*(1+$BH51)*(1+$BI51))*(1+$AM51)*$Q51*(1+IF(VLOOKUP($R51,武学奇术!$A:$ZZ,30,FALSE)="蓄力技",$B$21,0))*(1+$BR51)</f>
        <v>484318.82290884</v>
      </c>
      <c r="P51" s="39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427045.898215978</v>
      </c>
      <c r="Q51" s="40">
        <v>1</v>
      </c>
      <c r="R51" s="41" t="s">
        <v>131</v>
      </c>
      <c r="S51" s="41" t="s">
        <v>97</v>
      </c>
      <c r="T51" s="41" t="s">
        <v>132</v>
      </c>
      <c r="U51" s="41" t="s">
        <v>73</v>
      </c>
      <c r="V51" s="41" t="s">
        <v>73</v>
      </c>
      <c r="W51" s="41" t="s">
        <v>179</v>
      </c>
      <c r="X51" s="41" t="s">
        <v>180</v>
      </c>
      <c r="Y51" s="41" t="s">
        <v>164</v>
      </c>
      <c r="Z51" s="41" t="s">
        <v>83</v>
      </c>
      <c r="AA51" s="41" t="s">
        <v>105</v>
      </c>
      <c r="AB51" s="41" t="s">
        <v>90</v>
      </c>
      <c r="AC51" s="41" t="s">
        <v>73</v>
      </c>
      <c r="AD51" s="41" t="s">
        <v>73</v>
      </c>
      <c r="AE51" s="41" t="s">
        <v>76</v>
      </c>
      <c r="AF51" s="41" t="s">
        <v>77</v>
      </c>
      <c r="AG51" s="41" t="s">
        <v>78</v>
      </c>
      <c r="AH51" t="str">
        <f>VLOOKUP($R51,武学奇术!$A:$ZZ,25,FALSE)</f>
        <v>拳甲</v>
      </c>
      <c r="AI51" s="27">
        <f>VLOOKUP($R51,武学奇术!$A:$ZZ,26,FALSE)</f>
        <v>16.8107</v>
      </c>
      <c r="AJ51" s="28">
        <f>VLOOKUP($R51,武学奇术!$A:$ZZ,27,FALSE)*(1+IF(OR($AH51=$F$4,$AH51=$F$5),$B$22,0))</f>
        <v>6970.5</v>
      </c>
      <c r="AK51" s="27">
        <f>VLOOKUP($R51,武学奇术!$A:$ZZ,28,FALSE)</f>
        <v>25.2161</v>
      </c>
      <c r="AL51" s="28">
        <f>VLOOKUP($R51,武学奇术!$A:$ZZ,29,FALSE)*(1+IF(OR($AH51=$F$4,$AH51=$F$5),$B$22,0))</f>
        <v>3799.5</v>
      </c>
      <c r="AM51" s="27" cm="1">
        <f t="array" ref="AM51">$G$3+IFERROR(VLOOKUP($AH51,$F$4:$G$7,2,FALSE),0)+VLOOKUP($R51,武学奇术!$A:$ZZ,2,FALSE)+SUM(_xlfn.XLOOKUP($S51:$AG51,增益!$A:$A,增益!$B:$B,0))</f>
        <v>0.7041</v>
      </c>
      <c r="AN51" s="27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3888.382</v>
      </c>
      <c r="AP51" cm="1">
        <f t="array" ref="AP51">$E$10*(1+$AN51)+VLOOKUP($R51,武学奇术!$A:$ZZ,4,FALSE)+SUM(_xlfn.XLOOKUP($S51:$AG51,增益!$A:$A,增益!$D:$D,0))-$I$2</f>
        <v>3888.382</v>
      </c>
      <c r="AQ51" s="33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0.472</v>
      </c>
      <c r="AR51" s="33" cm="1">
        <f t="array" ref="AR51">$G$10+VLOOKUP($R51,武学奇术!$A:$ZZ,7,FALSE)+SUM(_xlfn.XLOOKUP(S51:AG51,增益!$A:$A,增益!$G:$G,0))</f>
        <v>0.09</v>
      </c>
      <c r="AS51" s="27" cm="1">
        <f t="array" ref="AS51">VLOOKUP($R51,武学奇术!$A:$ZZ,8,FALSE)+SUM(_xlfn.XLOOKUP(S51:AG51,增益!$A:$A,增益!$H:$H,0))</f>
        <v>0</v>
      </c>
      <c r="AT51">
        <f t="shared" si="18"/>
        <v>0</v>
      </c>
      <c r="AU51">
        <f t="shared" si="19"/>
        <v>0</v>
      </c>
      <c r="AV51" s="33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-0.08</v>
      </c>
      <c r="AW51" s="33" cm="1">
        <f t="array" ref="AW51">$G$11+VLOOKUP($R51,武学奇术!$A:$ZZ,10,FALSE)+SUM(_xlfn.XLOOKUP(S51:AG51,增益!$A:$A,增益!$J:$J,0))</f>
        <v>0.1</v>
      </c>
      <c r="AX51">
        <f t="shared" si="20"/>
        <v>0</v>
      </c>
      <c r="AY51">
        <f t="shared" si="21"/>
        <v>0</v>
      </c>
      <c r="AZ51" s="33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-0.08</v>
      </c>
      <c r="BA51" s="33" cm="1">
        <f t="array" ref="BA51">$G$12+VLOOKUP($R51,武学奇术!$A:$ZZ,12,FALSE)+SUM(_xlfn.XLOOKUP(S51:AG51,增益!$A:$A,增益!$L:$L,0))</f>
        <v>0</v>
      </c>
      <c r="BB51">
        <f t="shared" si="12"/>
        <v>0</v>
      </c>
      <c r="BC51">
        <f t="shared" si="13"/>
        <v>0</v>
      </c>
      <c r="BD51" s="33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-0.08</v>
      </c>
      <c r="BE51" s="33" cm="1">
        <f t="array" ref="BE51">$G$13+VLOOKUP($R51,武学奇术!$A:$ZZ,14,FALSE)+SUM(_xlfn.XLOOKUP(S51:AG51,增益!$A:$A,增益!$N:$N,0))</f>
        <v>0</v>
      </c>
      <c r="BF51">
        <f t="shared" si="14"/>
        <v>605.472</v>
      </c>
      <c r="BG51">
        <f t="shared" si="15"/>
        <v>1725.468</v>
      </c>
      <c r="BH51" s="33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0.11</v>
      </c>
      <c r="BI51" s="33" cm="1">
        <f t="array" ref="BI51">$G$14+VLOOKUP($R51,武学奇术!$A:$ZZ,16,FALSE)+SUM(_xlfn.XLOOKUP(S51:AG51,增益!$A:$A,增益!$P:$P,0))</f>
        <v>0.24</v>
      </c>
      <c r="BJ51" s="27">
        <f>MIN(IF(VLOOKUP($R51,武学奇术!$A:$ZZ,23,FALSE)=1,100%,$B$8),100%)</f>
        <v>1</v>
      </c>
      <c r="BK51" s="27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+MIN(IF(VLOOKUP($R51,武学奇术!$A:$ZZ,32,FALSE)=1,IF(VLOOKUP($R51,武学奇术!$A:$ZZ,24,FALSE)=1,100%,MIN(40%,$B$10+VLOOKUP($R51,武学奇术!$A:$ZZ,19,FALSE)+SUM(_xlfn.XLOOKUP(S51:AG51,增益!$A:$A,增益!$S:$S,0)))+$B$12+SUM(_xlfn.XLOOKUP(S51:AG51,增益!$A:$A,增益!$V:$V,0))),0),12%)</f>
        <v>0.9965</v>
      </c>
      <c r="BL51" s="27" cm="1">
        <f t="array" ref="BL51">1+$B$13+VLOOKUP($R51,武学奇术!$A:$ZZ,18,FALSE)+SUM(_xlfn.XLOOKUP(S51:AG51,增益!$A:$A,增益!$R:$R,0))</f>
        <v>2.39</v>
      </c>
      <c r="BM51" s="27" cm="1">
        <f t="array" ref="BM51">MAX(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-IF(VLOOKUP($R51,武学奇术!$A:$ZZ,32,FALSE)=1,12%,0),0)</f>
        <v>0</v>
      </c>
      <c r="BN51" s="27" cm="1">
        <f t="array" ref="BN51">1+$B$14+VLOOKUP($R51,武学奇术!$A:$ZZ,20,FALSE)+SUM(_xlfn.XLOOKUP(S51:AG51,增益!$A:$A,增益!$T:$T,0))</f>
        <v>1.35</v>
      </c>
      <c r="BO51" s="27">
        <f t="shared" si="16"/>
        <v>0.9965</v>
      </c>
      <c r="BP51" s="27">
        <f t="shared" si="17"/>
        <v>0.00350000000000006</v>
      </c>
      <c r="BQ51" s="27">
        <f>IF(VLOOKUP($R51,武学奇术!$A:$ZZ,22,FALSE)=1,0,(1-$BJ51))*(1-$BM51)</f>
        <v>0</v>
      </c>
      <c r="BR51" s="27" cm="1">
        <f t="array" ref="BR51">SUM(_xlfn.XLOOKUP(S51:AG51,增益!$A:$A,增益!$W:$W,0))+$I$5</f>
        <v>0.31</v>
      </c>
    </row>
    <row r="52" spans="1:70">
      <c r="A52" t="s">
        <v>181</v>
      </c>
      <c r="B52">
        <v>1.7</v>
      </c>
      <c r="G52" s="4"/>
      <c r="H52" s="4"/>
      <c r="K52">
        <f>$L52*VLOOKUP($R52,武学奇术!$A:$ZZ,31,FALSE)</f>
        <v>222376.823019683</v>
      </c>
      <c r="L52" s="39">
        <f t="shared" si="11"/>
        <v>444753.646039366</v>
      </c>
      <c r="M52" s="39">
        <f>((($AO52+($AP52-$AO52)*IF(VLOOKUP($R52,武学奇术!$A:$ZZ,31,FALSE)=1,$F$18,0.5))*$AI52+$AJ52)*(1+$AQ52)*(1+$AR52)+(($AT52+($AU52-$AT52)*IF(VLOOKUP($R52,武学奇术!$A:$ZZ,31,FALSE)=1,$F$18,0.5))*IF($G$1="鸣金",$AK52,$AI52)+IF($G$1="鸣金",$AL52*1.5,0))*(1+$AV52)*(1+$AW52)+(($AX52+($AY52-$AX52)*IF(VLOOKUP($R52,武学奇术!$A:$ZZ,31,FALSE)=1,$F$18,0.5))*IF($G$1="裂石",$AK52,$AI52)+IF($G$1="裂石",$AL52*1.5,0))*(1+$AZ52)*(1+$BA52)+(($BB52+($BC52-$BB52)*IF(VLOOKUP($R52,武学奇术!$A:$ZZ,31,FALSE)=1,$F$18,0.5))*IF($G$1="牵丝",$AK52,$AI52)+IF($G$1="牵丝",$AL52*1.5,0))*(1+$BD52)*(1+$BE52)+(($BF52+($BG52-$BF52)*IF(VLOOKUP($R52,武学奇术!$A:$ZZ,31,FALSE)=1,$F$18,0.5))*IF($G$1="破竹",$AK52,$AI52)+IF($G$1="破竹",$AL52*1.5,0))*(1+$BH52)*(1+$BI52))*(1+$AM52)*$BL52*$Q52*(1+IF(VLOOKUP($R52,武学奇术!$A:$ZZ,30,FALSE)="蓄力技",$B$21,0))*(1+$BR52)</f>
        <v>445660.81753615</v>
      </c>
      <c r="N52" s="39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281500.950278604</v>
      </c>
      <c r="O52" s="39">
        <f>((($AO52+($AP52-$AO52)*IF(VLOOKUP($R52,武学奇术!$A:$ZZ,31,FALSE)=1,$F$18,0.5))*$AI52+$AJ52)*(1+$AQ52)*(1+$AR52)+(($AT52+($AU52-$AT52)*IF(VLOOKUP($R52,武学奇术!$A:$ZZ,31,FALSE)=1,$F$18,0.5))*IF($G$1="鸣金",$AK52,$AI52)+IF($G$1="鸣金",$AL52*1.5,0))*(1+$AV52)*(1+$AW52)+(($AX52+($AY52-$AX52)*IF(VLOOKUP($R52,武学奇术!$A:$ZZ,31,FALSE)=1,$F$18,0.5))*IF($G$1="裂石",$AK52,$AI52)+IF($G$1="裂石",$AL52*1.5,0))*(1+$AZ52)*(1+$BA52)+(($BB52+($BC52-$BB52)*IF(VLOOKUP($R52,武学奇术!$A:$ZZ,31,FALSE)=1,$F$18,0.5))*IF($G$1="牵丝",$AK52,$AI52)+IF($G$1="牵丝",$AL52*1.5,0))*(1+$BD52)*(1+$BE52)+(($BF52+($BG52-$BF52)*IF(VLOOKUP($R52,武学奇术!$A:$ZZ,31,FALSE)=1,$F$18,0.5))*IF($G$1="破竹",$AK52,$AI52)+IF($G$1="破竹",$AL52*1.5,0))*(1+$BH52)*(1+$BI52))*(1+$AM52)*$Q52*(1+IF(VLOOKUP($R52,武学奇术!$A:$ZZ,30,FALSE)="蓄力技",$B$21,0))*(1+$BR52)</f>
        <v>186468.961312197</v>
      </c>
      <c r="P52" s="39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164418.700195798</v>
      </c>
      <c r="Q52" s="40">
        <v>1</v>
      </c>
      <c r="R52" s="41" t="s">
        <v>138</v>
      </c>
      <c r="S52" s="41" t="s">
        <v>97</v>
      </c>
      <c r="T52" s="41" t="s">
        <v>132</v>
      </c>
      <c r="U52" s="41" t="s">
        <v>73</v>
      </c>
      <c r="V52" s="41" t="s">
        <v>73</v>
      </c>
      <c r="W52" s="41" t="s">
        <v>179</v>
      </c>
      <c r="X52" s="41" t="s">
        <v>180</v>
      </c>
      <c r="Y52" s="41" t="s">
        <v>164</v>
      </c>
      <c r="Z52" s="41" t="s">
        <v>83</v>
      </c>
      <c r="AA52" s="41" t="s">
        <v>105</v>
      </c>
      <c r="AB52" s="41" t="s">
        <v>90</v>
      </c>
      <c r="AC52" s="41" t="s">
        <v>73</v>
      </c>
      <c r="AD52" s="41" t="s">
        <v>73</v>
      </c>
      <c r="AE52" s="41" t="s">
        <v>76</v>
      </c>
      <c r="AF52" s="41" t="s">
        <v>77</v>
      </c>
      <c r="AG52" s="41" t="s">
        <v>78</v>
      </c>
      <c r="AH52" t="str">
        <f>VLOOKUP($R52,武学奇术!$A:$ZZ,25,FALSE)</f>
        <v>拳甲</v>
      </c>
      <c r="AI52" s="27">
        <f>VLOOKUP($R52,武学奇术!$A:$ZZ,26,FALSE)</f>
        <v>6.4722</v>
      </c>
      <c r="AJ52" s="28">
        <f>VLOOKUP($R52,武学奇术!$A:$ZZ,27,FALSE)*(1+IF(OR($AH52=$F$4,$AH52=$F$5),$B$22,0))</f>
        <v>2683.8</v>
      </c>
      <c r="AK52" s="27">
        <f>VLOOKUP($R52,武学奇术!$A:$ZZ,28,FALSE)</f>
        <v>9.70828</v>
      </c>
      <c r="AL52" s="28">
        <f>VLOOKUP($R52,武学奇术!$A:$ZZ,29,FALSE)*(1+IF(OR($AH52=$F$4,$AH52=$F$5),$B$22,0))</f>
        <v>1463.4</v>
      </c>
      <c r="AM52" s="27" cm="1">
        <f t="array" ref="AM52">$G$3+IFERROR(VLOOKUP($AH52,$F$4:$G$7,2,FALSE),0)+VLOOKUP($R52,武学奇术!$A:$ZZ,2,FALSE)+SUM(_xlfn.XLOOKUP($S52:$AG52,增益!$A:$A,增益!$B:$B,0))</f>
        <v>0.7041</v>
      </c>
      <c r="AN52" s="27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3888.382</v>
      </c>
      <c r="AP52" cm="1">
        <f t="array" ref="AP52">$E$10*(1+$AN52)+VLOOKUP($R52,武学奇术!$A:$ZZ,4,FALSE)+SUM(_xlfn.XLOOKUP($S52:$AG52,增益!$A:$A,增益!$D:$D,0))-$I$2</f>
        <v>3888.382</v>
      </c>
      <c r="AQ52" s="33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0.472</v>
      </c>
      <c r="AR52" s="33" cm="1">
        <f t="array" ref="AR52">$G$10+VLOOKUP($R52,武学奇术!$A:$ZZ,7,FALSE)+SUM(_xlfn.XLOOKUP(S52:AG52,增益!$A:$A,增益!$G:$G,0))</f>
        <v>0.09</v>
      </c>
      <c r="AS52" s="27" cm="1">
        <f t="array" ref="AS52">VLOOKUP($R52,武学奇术!$A:$ZZ,8,FALSE)+SUM(_xlfn.XLOOKUP(S52:AG52,增益!$A:$A,增益!$H:$H,0))</f>
        <v>0</v>
      </c>
      <c r="AT52">
        <f t="shared" si="18"/>
        <v>0</v>
      </c>
      <c r="AU52">
        <f t="shared" si="19"/>
        <v>0</v>
      </c>
      <c r="AV52" s="33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-0.08</v>
      </c>
      <c r="AW52" s="33" cm="1">
        <f t="array" ref="AW52">$G$11+VLOOKUP($R52,武学奇术!$A:$ZZ,10,FALSE)+SUM(_xlfn.XLOOKUP(S52:AG52,增益!$A:$A,增益!$J:$J,0))</f>
        <v>0.1</v>
      </c>
      <c r="AX52">
        <f t="shared" si="20"/>
        <v>0</v>
      </c>
      <c r="AY52">
        <f t="shared" si="21"/>
        <v>0</v>
      </c>
      <c r="AZ52" s="33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-0.08</v>
      </c>
      <c r="BA52" s="33" cm="1">
        <f t="array" ref="BA52">$G$12+VLOOKUP($R52,武学奇术!$A:$ZZ,12,FALSE)+SUM(_xlfn.XLOOKUP(S52:AG52,增益!$A:$A,增益!$L:$L,0))</f>
        <v>0</v>
      </c>
      <c r="BB52">
        <f t="shared" si="12"/>
        <v>0</v>
      </c>
      <c r="BC52">
        <f t="shared" si="13"/>
        <v>0</v>
      </c>
      <c r="BD52" s="33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-0.08</v>
      </c>
      <c r="BE52" s="33" cm="1">
        <f t="array" ref="BE52">$G$13+VLOOKUP($R52,武学奇术!$A:$ZZ,14,FALSE)+SUM(_xlfn.XLOOKUP(S52:AG52,增益!$A:$A,增益!$N:$N,0))</f>
        <v>0</v>
      </c>
      <c r="BF52">
        <f t="shared" si="14"/>
        <v>605.472</v>
      </c>
      <c r="BG52">
        <f t="shared" si="15"/>
        <v>1725.468</v>
      </c>
      <c r="BH52" s="33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0.11</v>
      </c>
      <c r="BI52" s="33" cm="1">
        <f t="array" ref="BI52">$G$14+VLOOKUP($R52,武学奇术!$A:$ZZ,16,FALSE)+SUM(_xlfn.XLOOKUP(S52:AG52,增益!$A:$A,增益!$P:$P,0))</f>
        <v>0.24</v>
      </c>
      <c r="BJ52" s="27">
        <f>MIN(IF(VLOOKUP($R52,武学奇术!$A:$ZZ,23,FALSE)=1,100%,$B$8),100%)</f>
        <v>1</v>
      </c>
      <c r="BK52" s="27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+MIN(IF(VLOOKUP($R52,武学奇术!$A:$ZZ,32,FALSE)=1,IF(VLOOKUP($R52,武学奇术!$A:$ZZ,24,FALSE)=1,100%,MIN(40%,$B$10+VLOOKUP($R52,武学奇术!$A:$ZZ,19,FALSE)+SUM(_xlfn.XLOOKUP(S52:AG52,增益!$A:$A,增益!$S:$S,0)))+$B$12+SUM(_xlfn.XLOOKUP(S52:AG52,增益!$A:$A,增益!$V:$V,0))),0),12%)</f>
        <v>0.9965</v>
      </c>
      <c r="BL52" s="27" cm="1">
        <f t="array" ref="BL52">1+$B$13+VLOOKUP($R52,武学奇术!$A:$ZZ,18,FALSE)+SUM(_xlfn.XLOOKUP(S52:AG52,增益!$A:$A,增益!$R:$R,0))</f>
        <v>2.39</v>
      </c>
      <c r="BM52" s="27" cm="1">
        <f t="array" ref="BM52">MAX(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-IF(VLOOKUP($R52,武学奇术!$A:$ZZ,32,FALSE)=1,12%,0),0)</f>
        <v>0</v>
      </c>
      <c r="BN52" s="27" cm="1">
        <f t="array" ref="BN52">1+$B$14+VLOOKUP($R52,武学奇术!$A:$ZZ,20,FALSE)+SUM(_xlfn.XLOOKUP(S52:AG52,增益!$A:$A,增益!$T:$T,0))</f>
        <v>1.35</v>
      </c>
      <c r="BO52" s="27">
        <f t="shared" si="16"/>
        <v>0.9965</v>
      </c>
      <c r="BP52" s="27">
        <f t="shared" si="17"/>
        <v>0.00350000000000006</v>
      </c>
      <c r="BQ52" s="27">
        <f>IF(VLOOKUP($R52,武学奇术!$A:$ZZ,22,FALSE)=1,0,(1-$BJ52))*(1-$BM52)</f>
        <v>0</v>
      </c>
      <c r="BR52" s="27" cm="1">
        <f t="array" ref="BR52">SUM(_xlfn.XLOOKUP(S52:AG52,增益!$A:$A,增益!$W:$W,0))+$I$5</f>
        <v>0.31</v>
      </c>
    </row>
    <row r="53" spans="1:70">
      <c r="A53" t="s">
        <v>182</v>
      </c>
      <c r="B53">
        <v>0.8</v>
      </c>
      <c r="F53" s="40" t="s">
        <v>166</v>
      </c>
      <c r="K53">
        <f>$L53*VLOOKUP($R53,武学奇术!$A:$ZZ,31,FALSE)</f>
        <v>35821.6276730899</v>
      </c>
      <c r="L53" s="39">
        <f t="shared" si="11"/>
        <v>35821.6276730899</v>
      </c>
      <c r="M53" s="39">
        <f>((($AO53+($AP53-$AO53)*IF(VLOOKUP($R53,武学奇术!$A:$ZZ,31,FALSE)=1,$F$18,0.5))*$AI53+$AJ53)*(1+$AQ53)*(1+$AR53)+(($AT53+($AU53-$AT53)*IF(VLOOKUP($R53,武学奇术!$A:$ZZ,31,FALSE)=1,$F$18,0.5))*IF($G$1="鸣金",$AK53,$AI53)+IF($G$1="鸣金",$AL53*1.5,0))*(1+$AV53)*(1+$AW53)+(($AX53+($AY53-$AX53)*IF(VLOOKUP($R53,武学奇术!$A:$ZZ,31,FALSE)=1,$F$18,0.5))*IF($G$1="裂石",$AK53,$AI53)+IF($G$1="裂石",$AL53*1.5,0))*(1+$AZ53)*(1+$BA53)+(($BB53+($BC53-$BB53)*IF(VLOOKUP($R53,武学奇术!$A:$ZZ,31,FALSE)=1,$F$18,0.5))*IF($G$1="牵丝",$AK53,$AI53)+IF($G$1="牵丝",$AL53*1.5,0))*(1+$BD53)*(1+$BE53)+(($BF53+($BG53-$BF53)*IF(VLOOKUP($R53,武学奇术!$A:$ZZ,31,FALSE)=1,$F$18,0.5))*IF($G$1="破竹",$AK53,$AI53)+IF($G$1="破竹",$AL53*1.5,0))*(1+$BH53)*(1+$BI53))*(1+$AM53)*$BL53*$Q53*(1+IF(VLOOKUP($R53,武学奇术!$A:$ZZ,30,FALSE)="蓄力技",$B$21,0))*(1+$BR53)</f>
        <v>36566.9115242303</v>
      </c>
      <c r="N53" s="39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29193.2176208043</v>
      </c>
      <c r="O53" s="39">
        <f>((($AO53+($AP53-$AO53)*IF(VLOOKUP($R53,武学奇术!$A:$ZZ,31,FALSE)=1,$F$18,0.5))*$AI53+$AJ53)*(1+$AQ53)*(1+$AR53)+(($AT53+($AU53-$AT53)*IF(VLOOKUP($R53,武学奇术!$A:$ZZ,31,FALSE)=1,$F$18,0.5))*IF($G$1="鸣金",$AK53,$AI53)+IF($G$1="鸣金",$AL53*1.5,0))*(1+$AV53)*(1+$AW53)+(($AX53+($AY53-$AX53)*IF(VLOOKUP($R53,武学奇术!$A:$ZZ,31,FALSE)=1,$F$18,0.5))*IF($G$1="裂石",$AK53,$AI53)+IF($G$1="裂石",$AL53*1.5,0))*(1+$AZ53)*(1+$BA53)+(($BB53+($BC53-$BB53)*IF(VLOOKUP($R53,武学奇术!$A:$ZZ,31,FALSE)=1,$F$18,0.5))*IF($G$1="牵丝",$AK53,$AI53)+IF($G$1="牵丝",$AL53*1.5,0))*(1+$BD53)*(1+$BE53)+(($BF53+($BG53-$BF53)*IF(VLOOKUP($R53,武学奇术!$A:$ZZ,31,FALSE)=1,$F$18,0.5))*IF($G$1="破竹",$AK53,$AI53)+IF($G$1="破竹",$AL53*1.5,0))*(1+$BH53)*(1+$BI53))*(1+$AM53)*$Q53*(1+IF(VLOOKUP($R53,武学奇术!$A:$ZZ,30,FALSE)="蓄力技",$B$21,0))*(1+$BR53)</f>
        <v>19347.5722350425</v>
      </c>
      <c r="P53" s="39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17070.5388250448</v>
      </c>
      <c r="Q53" s="40">
        <v>1</v>
      </c>
      <c r="R53" s="41" t="s">
        <v>151</v>
      </c>
      <c r="S53" s="41" t="s">
        <v>97</v>
      </c>
      <c r="T53" s="41" t="s">
        <v>132</v>
      </c>
      <c r="U53" s="41" t="s">
        <v>73</v>
      </c>
      <c r="V53" s="41" t="s">
        <v>73</v>
      </c>
      <c r="W53" s="41" t="s">
        <v>179</v>
      </c>
      <c r="X53" s="41" t="s">
        <v>180</v>
      </c>
      <c r="Y53" s="41" t="s">
        <v>164</v>
      </c>
      <c r="Z53" s="41" t="s">
        <v>83</v>
      </c>
      <c r="AA53" s="41" t="s">
        <v>73</v>
      </c>
      <c r="AB53" s="41" t="s">
        <v>90</v>
      </c>
      <c r="AC53" s="41" t="s">
        <v>73</v>
      </c>
      <c r="AD53" s="41" t="s">
        <v>73</v>
      </c>
      <c r="AE53" s="41" t="s">
        <v>76</v>
      </c>
      <c r="AF53" s="41" t="s">
        <v>77</v>
      </c>
      <c r="AG53" s="41" t="s">
        <v>78</v>
      </c>
      <c r="AH53" t="str">
        <f>VLOOKUP($R53,武学奇术!$A:$ZZ,25,FALSE)</f>
        <v>拳甲</v>
      </c>
      <c r="AI53" s="27">
        <f>VLOOKUP($R53,武学奇术!$A:$ZZ,26,FALSE)</f>
        <v>1.1005</v>
      </c>
      <c r="AJ53" s="28">
        <f>VLOOKUP($R53,武学奇术!$A:$ZZ,27,FALSE)*(1+IF(OR($AH53=$F$4,$AH53=$F$5),$B$22,0))</f>
        <v>457.5</v>
      </c>
      <c r="AK53" s="27">
        <f>VLOOKUP($R53,武学奇术!$A:$ZZ,28,FALSE)</f>
        <v>1.6507</v>
      </c>
      <c r="AL53" s="28">
        <f>VLOOKUP($R53,武学奇术!$A:$ZZ,29,FALSE)*(1+IF(OR($AH53=$F$4,$AH53=$F$5),$B$22,0))</f>
        <v>247.5</v>
      </c>
      <c r="AM53" s="27" cm="1">
        <f t="array" ref="AM53">$G$3+IFERROR(VLOOKUP($AH53,$F$4:$G$7,2,FALSE),0)+VLOOKUP($R53,武学奇术!$A:$ZZ,2,FALSE)+SUM(_xlfn.XLOOKUP($S53:$AG53,增益!$A:$A,增益!$B:$B,0))</f>
        <v>0.4041</v>
      </c>
      <c r="AN53" s="27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3888.382</v>
      </c>
      <c r="AP53" cm="1">
        <f t="array" ref="AP53">$E$10*(1+$AN53)+VLOOKUP($R53,武学奇术!$A:$ZZ,4,FALSE)+SUM(_xlfn.XLOOKUP($S53:$AG53,增益!$A:$A,增益!$D:$D,0))-$I$2</f>
        <v>3888.382</v>
      </c>
      <c r="AQ53" s="33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0.442</v>
      </c>
      <c r="AR53" s="33" cm="1">
        <f t="array" ref="AR53">$G$10+VLOOKUP($R53,武学奇术!$A:$ZZ,7,FALSE)+SUM(_xlfn.XLOOKUP(S53:AG53,增益!$A:$A,增益!$G:$G,0))</f>
        <v>0.09</v>
      </c>
      <c r="AS53" s="27" cm="1">
        <f t="array" ref="AS53">VLOOKUP($R53,武学奇术!$A:$ZZ,8,FALSE)+SUM(_xlfn.XLOOKUP(S53:AG53,增益!$A:$A,增益!$H:$H,0))</f>
        <v>0</v>
      </c>
      <c r="AT53">
        <f t="shared" si="18"/>
        <v>0</v>
      </c>
      <c r="AU53">
        <f t="shared" si="19"/>
        <v>0</v>
      </c>
      <c r="AV53" s="33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-0.14</v>
      </c>
      <c r="AW53" s="33" cm="1">
        <f t="array" ref="AW53">$G$11+VLOOKUP($R53,武学奇术!$A:$ZZ,10,FALSE)+SUM(_xlfn.XLOOKUP(S53:AG53,增益!$A:$A,增益!$J:$J,0))</f>
        <v>0.1</v>
      </c>
      <c r="AX53">
        <f t="shared" si="20"/>
        <v>0</v>
      </c>
      <c r="AY53">
        <f t="shared" si="21"/>
        <v>0</v>
      </c>
      <c r="AZ53" s="33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-0.14</v>
      </c>
      <c r="BA53" s="33" cm="1">
        <f t="array" ref="BA53">$G$12+VLOOKUP($R53,武学奇术!$A:$ZZ,12,FALSE)+SUM(_xlfn.XLOOKUP(S53:AG53,增益!$A:$A,增益!$L:$L,0))</f>
        <v>0</v>
      </c>
      <c r="BB53">
        <f t="shared" si="12"/>
        <v>0</v>
      </c>
      <c r="BC53">
        <f t="shared" si="13"/>
        <v>0</v>
      </c>
      <c r="BD53" s="33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-0.14</v>
      </c>
      <c r="BE53" s="33" cm="1">
        <f t="array" ref="BE53">$G$13+VLOOKUP($R53,武学奇术!$A:$ZZ,14,FALSE)+SUM(_xlfn.XLOOKUP(S53:AG53,增益!$A:$A,增益!$N:$N,0))</f>
        <v>0</v>
      </c>
      <c r="BF53">
        <f t="shared" si="14"/>
        <v>605.472</v>
      </c>
      <c r="BG53">
        <f t="shared" si="15"/>
        <v>1725.468</v>
      </c>
      <c r="BH53" s="33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0.08</v>
      </c>
      <c r="BI53" s="33" cm="1">
        <f t="array" ref="BI53">$G$14+VLOOKUP($R53,武学奇术!$A:$ZZ,16,FALSE)+SUM(_xlfn.XLOOKUP(S53:AG53,增益!$A:$A,增益!$P:$P,0))</f>
        <v>0.24</v>
      </c>
      <c r="BJ53" s="27">
        <f>MIN(IF(VLOOKUP($R53,武学奇术!$A:$ZZ,23,FALSE)=1,100%,$B$8),100%)</f>
        <v>1</v>
      </c>
      <c r="BK53" s="27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+MIN(IF(VLOOKUP($R53,武学奇术!$A:$ZZ,32,FALSE)=1,IF(VLOOKUP($R53,武学奇术!$A:$ZZ,24,FALSE)=1,100%,MIN(40%,$B$10+VLOOKUP($R53,武学奇术!$A:$ZZ,19,FALSE)+SUM(_xlfn.XLOOKUP(S53:AG53,增益!$A:$A,增益!$S:$S,0)))+$B$12+SUM(_xlfn.XLOOKUP(S53:AG53,增益!$A:$A,增益!$V:$V,0))),0),12%)</f>
        <v>0.9036</v>
      </c>
      <c r="BL53" s="27" cm="1">
        <f t="array" ref="BL53">1+$B$13+VLOOKUP($R53,武学奇术!$A:$ZZ,18,FALSE)+SUM(_xlfn.XLOOKUP(S53:AG53,增益!$A:$A,增益!$R:$R,0))</f>
        <v>1.89</v>
      </c>
      <c r="BM53" s="27" cm="1">
        <f t="array" ref="BM53">MAX(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-IF(VLOOKUP($R53,武学奇术!$A:$ZZ,32,FALSE)=1,12%,0),0)</f>
        <v>0.0929</v>
      </c>
      <c r="BN53" s="27" cm="1">
        <f t="array" ref="BN53">1+$B$14+VLOOKUP($R53,武学奇术!$A:$ZZ,20,FALSE)+SUM(_xlfn.XLOOKUP(S53:AG53,增益!$A:$A,增益!$T:$T,0))</f>
        <v>1.35</v>
      </c>
      <c r="BO53" s="27">
        <f t="shared" si="16"/>
        <v>0.9036</v>
      </c>
      <c r="BP53" s="27">
        <f t="shared" si="17"/>
        <v>0.00350000000000006</v>
      </c>
      <c r="BQ53" s="27">
        <f>IF(VLOOKUP($R53,武学奇术!$A:$ZZ,22,FALSE)=1,0,(1-$BJ53))*(1-$BM53)</f>
        <v>0</v>
      </c>
      <c r="BR53" s="27" cm="1">
        <f t="array" ref="BR53">SUM(_xlfn.XLOOKUP(S53:AG53,增益!$A:$A,增益!$W:$W,0))+$I$5</f>
        <v>0.31</v>
      </c>
    </row>
    <row r="54" spans="1:70">
      <c r="A54" s="4" t="s">
        <v>183</v>
      </c>
      <c r="B54" s="4">
        <v>1</v>
      </c>
      <c r="F54" s="40"/>
      <c r="K54">
        <f>$L54*VLOOKUP($R54,武学奇术!$A:$ZZ,31,FALSE)</f>
        <v>170543.989103794</v>
      </c>
      <c r="L54" s="39">
        <f t="shared" si="11"/>
        <v>131187.683925996</v>
      </c>
      <c r="M54" s="39">
        <f>((($AO54+($AP54-$AO54)*IF(VLOOKUP($R54,武学奇术!$A:$ZZ,31,FALSE)=1,$F$18,0.5))*$AI54+$AJ54)*(1+$AQ54)*(1+$AR54)+(($AT54+($AU54-$AT54)*IF(VLOOKUP($R54,武学奇术!$A:$ZZ,31,FALSE)=1,$F$18,0.5))*IF($G$1="鸣金",$AK54,$AI54)+IF($G$1="鸣金",$AL54*1.5,0))*(1+$AV54)*(1+$AW54)+(($AX54+($AY54-$AX54)*IF(VLOOKUP($R54,武学奇术!$A:$ZZ,31,FALSE)=1,$F$18,0.5))*IF($G$1="裂石",$AK54,$AI54)+IF($G$1="裂石",$AL54*1.5,0))*(1+$AZ54)*(1+$BA54)+(($BB54+($BC54-$BB54)*IF(VLOOKUP($R54,武学奇术!$A:$ZZ,31,FALSE)=1,$F$18,0.5))*IF($G$1="牵丝",$AK54,$AI54)+IF($G$1="牵丝",$AL54*1.5,0))*(1+$BD54)*(1+$BE54)+(($BF54+($BG54-$BF54)*IF(VLOOKUP($R54,武学奇术!$A:$ZZ,31,FALSE)=1,$F$18,0.5))*IF($G$1="破竹",$AK54,$AI54)+IF($G$1="破竹",$AL54*1.5,0))*(1+$BH54)*(1+$BI54))*(1+$AM54)*$BL54*$Q54*(1+IF(VLOOKUP($R54,武学奇术!$A:$ZZ,30,FALSE)="蓄力技",$B$21,0))*(1+$BR54)</f>
        <v>135429.723667973</v>
      </c>
      <c r="N54" s="39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92539.7784927041</v>
      </c>
      <c r="O54" s="39">
        <f>((($AO54+($AP54-$AO54)*IF(VLOOKUP($R54,武学奇术!$A:$ZZ,31,FALSE)=1,$F$18,0.5))*$AI54+$AJ54)*(1+$AQ54)*(1+$AR54)+(($AT54+($AU54-$AT54)*IF(VLOOKUP($R54,武学奇术!$A:$ZZ,31,FALSE)=1,$F$18,0.5))*IF($G$1="鸣金",$AK54,$AI54)+IF($G$1="鸣金",$AL54*1.5,0))*(1+$AV54)*(1+$AW54)+(($AX54+($AY54-$AX54)*IF(VLOOKUP($R54,武学奇术!$A:$ZZ,31,FALSE)=1,$F$18,0.5))*IF($G$1="裂石",$AK54,$AI54)+IF($G$1="裂石",$AL54*1.5,0))*(1+$AZ54)*(1+$BA54)+(($BB54+($BC54-$BB54)*IF(VLOOKUP($R54,武学奇术!$A:$ZZ,31,FALSE)=1,$F$18,0.5))*IF($G$1="牵丝",$AK54,$AI54)+IF($G$1="牵丝",$AL54*1.5,0))*(1+$BD54)*(1+$BE54)+(($BF54+($BG54-$BF54)*IF(VLOOKUP($R54,武学奇术!$A:$ZZ,31,FALSE)=1,$F$18,0.5))*IF($G$1="破竹",$AK54,$AI54)+IF($G$1="破竹",$AL54*1.5,0))*(1+$BH54)*(1+$BI54))*(1+$AM54)*$Q54*(1+IF(VLOOKUP($R54,武学奇术!$A:$ZZ,30,FALSE)="蓄力技",$B$21,0))*(1+$BR54)</f>
        <v>61840.0564693942</v>
      </c>
      <c r="P54" s="39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55132.1288701186</v>
      </c>
      <c r="Q54" s="40">
        <v>1</v>
      </c>
      <c r="R54" s="41" t="s">
        <v>112</v>
      </c>
      <c r="S54" s="41" t="s">
        <v>97</v>
      </c>
      <c r="T54" s="41" t="s">
        <v>132</v>
      </c>
      <c r="U54" s="41" t="s">
        <v>73</v>
      </c>
      <c r="V54" s="41" t="s">
        <v>73</v>
      </c>
      <c r="W54" s="41" t="s">
        <v>179</v>
      </c>
      <c r="X54" s="41" t="s">
        <v>180</v>
      </c>
      <c r="Y54" s="41" t="s">
        <v>164</v>
      </c>
      <c r="Z54" s="41" t="s">
        <v>83</v>
      </c>
      <c r="AA54" s="41" t="s">
        <v>73</v>
      </c>
      <c r="AB54" s="41" t="s">
        <v>90</v>
      </c>
      <c r="AC54" s="41" t="s">
        <v>73</v>
      </c>
      <c r="AD54" s="41" t="s">
        <v>73</v>
      </c>
      <c r="AE54" s="41" t="s">
        <v>76</v>
      </c>
      <c r="AF54" s="41" t="s">
        <v>77</v>
      </c>
      <c r="AG54" s="41" t="s">
        <v>78</v>
      </c>
      <c r="AH54" t="str">
        <f>VLOOKUP($R54,武学奇术!$A:$ZZ,25,FALSE)</f>
        <v>拳甲</v>
      </c>
      <c r="AI54" s="27">
        <f>VLOOKUP($R54,武学奇术!$A:$ZZ,26,FALSE)</f>
        <v>2.91176</v>
      </c>
      <c r="AJ54" s="28">
        <f>VLOOKUP($R54,武学奇术!$A:$ZZ,27,FALSE)*(1+IF(OR($AH54=$F$4,$AH54=$F$5),$B$22,0))</f>
        <v>1208.7</v>
      </c>
      <c r="AK54" s="27">
        <f>VLOOKUP($R54,武学奇术!$A:$ZZ,28,FALSE)</f>
        <v>3.89844</v>
      </c>
      <c r="AL54" s="28">
        <f>VLOOKUP($R54,武学奇术!$A:$ZZ,29,FALSE)*(1+IF(OR($AH54=$F$4,$AH54=$F$5),$B$22,0))</f>
        <v>650.25</v>
      </c>
      <c r="AM54" s="27" cm="1">
        <f t="array" ref="AM54">$G$3+IFERROR(VLOOKUP($AH54,$F$4:$G$7,2,FALSE),0)+VLOOKUP($R54,武学奇术!$A:$ZZ,2,FALSE)+SUM(_xlfn.XLOOKUP($S54:$AG54,增益!$A:$A,增益!$B:$B,0))</f>
        <v>0.7041</v>
      </c>
      <c r="AN54" s="27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3888.382</v>
      </c>
      <c r="AP54" cm="1">
        <f t="array" ref="AP54">$E$10*(1+$AN54)+VLOOKUP($R54,武学奇术!$A:$ZZ,4,FALSE)+SUM(_xlfn.XLOOKUP($S54:$AG54,增益!$A:$A,增益!$D:$D,0))-$I$2</f>
        <v>3888.382</v>
      </c>
      <c r="AQ54" s="33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0.472</v>
      </c>
      <c r="AR54" s="33" cm="1">
        <f t="array" ref="AR54">$G$10+VLOOKUP($R54,武学奇术!$A:$ZZ,7,FALSE)+SUM(_xlfn.XLOOKUP(S54:AG54,增益!$A:$A,增益!$G:$G,0))</f>
        <v>0.09</v>
      </c>
      <c r="AS54" s="27" cm="1">
        <f t="array" ref="AS54">VLOOKUP($R54,武学奇术!$A:$ZZ,8,FALSE)+SUM(_xlfn.XLOOKUP(S54:AG54,增益!$A:$A,增益!$H:$H,0))</f>
        <v>0</v>
      </c>
      <c r="AT54">
        <f t="shared" si="18"/>
        <v>0</v>
      </c>
      <c r="AU54">
        <f t="shared" si="19"/>
        <v>0</v>
      </c>
      <c r="AV54" s="33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-0.08</v>
      </c>
      <c r="AW54" s="33" cm="1">
        <f t="array" ref="AW54">$G$11+VLOOKUP($R54,武学奇术!$A:$ZZ,10,FALSE)+SUM(_xlfn.XLOOKUP(S54:AG54,增益!$A:$A,增益!$J:$J,0))</f>
        <v>0.1</v>
      </c>
      <c r="AX54">
        <f t="shared" si="20"/>
        <v>0</v>
      </c>
      <c r="AY54">
        <f t="shared" si="21"/>
        <v>0</v>
      </c>
      <c r="AZ54" s="33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-0.08</v>
      </c>
      <c r="BA54" s="33" cm="1">
        <f t="array" ref="BA54">$G$12+VLOOKUP($R54,武学奇术!$A:$ZZ,12,FALSE)+SUM(_xlfn.XLOOKUP(S54:AG54,增益!$A:$A,增益!$L:$L,0))</f>
        <v>0</v>
      </c>
      <c r="BB54">
        <f t="shared" si="12"/>
        <v>0</v>
      </c>
      <c r="BC54">
        <f t="shared" si="13"/>
        <v>0</v>
      </c>
      <c r="BD54" s="33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-0.08</v>
      </c>
      <c r="BE54" s="33" cm="1">
        <f t="array" ref="BE54">$G$13+VLOOKUP($R54,武学奇术!$A:$ZZ,14,FALSE)+SUM(_xlfn.XLOOKUP(S54:AG54,增益!$A:$A,增益!$N:$N,0))</f>
        <v>0</v>
      </c>
      <c r="BF54">
        <f t="shared" si="14"/>
        <v>605.472</v>
      </c>
      <c r="BG54">
        <f t="shared" si="15"/>
        <v>1725.468</v>
      </c>
      <c r="BH54" s="33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0.11</v>
      </c>
      <c r="BI54" s="33" cm="1">
        <f t="array" ref="BI54">$G$14+VLOOKUP($R54,武学奇术!$A:$ZZ,16,FALSE)+SUM(_xlfn.XLOOKUP(S54:AG54,增益!$A:$A,增益!$P:$P,0))</f>
        <v>0.24</v>
      </c>
      <c r="BJ54" s="27">
        <f>MIN(IF(VLOOKUP($R54,武学奇术!$A:$ZZ,23,FALSE)=1,100%,$B$8),100%)</f>
        <v>1</v>
      </c>
      <c r="BK54" s="27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+MIN(IF(VLOOKUP($R54,武学奇术!$A:$ZZ,32,FALSE)=1,IF(VLOOKUP($R54,武学奇术!$A:$ZZ,24,FALSE)=1,100%,MIN(40%,$B$10+VLOOKUP($R54,武学奇术!$A:$ZZ,19,FALSE)+SUM(_xlfn.XLOOKUP(S54:AG54,增益!$A:$A,增益!$S:$S,0)))+$B$12+SUM(_xlfn.XLOOKUP(S54:AG54,增益!$A:$A,增益!$V:$V,0))),0),12%)</f>
        <v>0.9036</v>
      </c>
      <c r="BL54" s="27" cm="1">
        <f t="array" ref="BL54">1+$B$13+VLOOKUP($R54,武学奇术!$A:$ZZ,18,FALSE)+SUM(_xlfn.XLOOKUP(S54:AG54,增益!$A:$A,增益!$R:$R,0))</f>
        <v>2.19</v>
      </c>
      <c r="BM54" s="27" cm="1">
        <f t="array" ref="BM54">MAX(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-IF(VLOOKUP($R54,武学奇术!$A:$ZZ,32,FALSE)=1,12%,0),0)</f>
        <v>0.0929</v>
      </c>
      <c r="BN54" s="27" cm="1">
        <f t="array" ref="BN54">1+$B$14+VLOOKUP($R54,武学奇术!$A:$ZZ,20,FALSE)+SUM(_xlfn.XLOOKUP(S54:AG54,增益!$A:$A,增益!$T:$T,0))</f>
        <v>1.35</v>
      </c>
      <c r="BO54" s="27">
        <f t="shared" si="16"/>
        <v>0.9036</v>
      </c>
      <c r="BP54" s="27">
        <f t="shared" si="17"/>
        <v>0.00350000000000006</v>
      </c>
      <c r="BQ54" s="27">
        <f>IF(VLOOKUP($R54,武学奇术!$A:$ZZ,22,FALSE)=1,0,(1-$BJ54))*(1-$BM54)</f>
        <v>0</v>
      </c>
      <c r="BR54" s="27" cm="1">
        <f t="array" ref="BR54">SUM(_xlfn.XLOOKUP(S54:AG54,增益!$A:$A,增益!$W:$W,0))+$I$5</f>
        <v>0.31</v>
      </c>
    </row>
    <row r="55" spans="1:70">
      <c r="A55" s="4" t="s">
        <v>170</v>
      </c>
      <c r="B55" s="4">
        <v>1</v>
      </c>
      <c r="F55" s="40"/>
      <c r="K55">
        <f>$L55*VLOOKUP($R55,武学奇术!$A:$ZZ,31,FALSE)</f>
        <v>41940.5212105447</v>
      </c>
      <c r="L55" s="39">
        <f t="shared" si="11"/>
        <v>41940.5212105447</v>
      </c>
      <c r="M55" s="39">
        <f>((($AO55+($AP55-$AO55)*IF(VLOOKUP($R55,武学奇术!$A:$ZZ,31,FALSE)=1,$F$18,0.5))*$AI55+$AJ55)*(1+$AQ55)*(1+$AR55)+(($AT55+($AU55-$AT55)*IF(VLOOKUP($R55,武学奇术!$A:$ZZ,31,FALSE)=1,$F$18,0.5))*IF($G$1="鸣金",$AK55,$AI55)+IF($G$1="鸣金",$AL55*1.5,0))*(1+$AV55)*(1+$AW55)+(($AX55+($AY55-$AX55)*IF(VLOOKUP($R55,武学奇术!$A:$ZZ,31,FALSE)=1,$F$18,0.5))*IF($G$1="裂石",$AK55,$AI55)+IF($G$1="裂石",$AL55*1.5,0))*(1+$AZ55)*(1+$BA55)+(($BB55+($BC55-$BB55)*IF(VLOOKUP($R55,武学奇术!$A:$ZZ,31,FALSE)=1,$F$18,0.5))*IF($G$1="牵丝",$AK55,$AI55)+IF($G$1="牵丝",$AL55*1.5,0))*(1+$BD55)*(1+$BE55)+(($BF55+($BG55-$BF55)*IF(VLOOKUP($R55,武学奇术!$A:$ZZ,31,FALSE)=1,$F$18,0.5))*IF($G$1="破竹",$AK55,$AI55)+IF($G$1="破竹",$AL55*1.5,0))*(1+$BH55)*(1+$BI55))*(1+$AM55)*$BL55*$Q55*(1+IF(VLOOKUP($R55,武学奇术!$A:$ZZ,30,FALSE)="蓄力技",$B$21,0))*(1+$BR55)</f>
        <v>42813.3542438083</v>
      </c>
      <c r="N55" s="39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34177.5062055887</v>
      </c>
      <c r="O55" s="39">
        <f>((($AO55+($AP55-$AO55)*IF(VLOOKUP($R55,武学奇术!$A:$ZZ,31,FALSE)=1,$F$18,0.5))*$AI55+$AJ55)*(1+$AQ55)*(1+$AR55)+(($AT55+($AU55-$AT55)*IF(VLOOKUP($R55,武学奇术!$A:$ZZ,31,FALSE)=1,$F$18,0.5))*IF($G$1="鸣金",$AK55,$AI55)+IF($G$1="鸣金",$AL55*1.5,0))*(1+$AV55)*(1+$AW55)+(($AX55+($AY55-$AX55)*IF(VLOOKUP($R55,武学奇术!$A:$ZZ,31,FALSE)=1,$F$18,0.5))*IF($G$1="裂石",$AK55,$AI55)+IF($G$1="裂石",$AL55*1.5,0))*(1+$AZ55)*(1+$BA55)+(($BB55+($BC55-$BB55)*IF(VLOOKUP($R55,武学奇术!$A:$ZZ,31,FALSE)=1,$F$18,0.5))*IF($G$1="牵丝",$AK55,$AI55)+IF($G$1="牵丝",$AL55*1.5,0))*(1+$BD55)*(1+$BE55)+(($BF55+($BG55-$BF55)*IF(VLOOKUP($R55,武学奇术!$A:$ZZ,31,FALSE)=1,$F$18,0.5))*IF($G$1="破竹",$AK55,$AI55)+IF($G$1="破竹",$AL55*1.5,0))*(1+$BH55)*(1+$BI55))*(1+$AM55)*$Q55*(1+IF(VLOOKUP($R55,武学奇术!$A:$ZZ,30,FALSE)="蓄力技",$B$21,0))*(1+$BR55)</f>
        <v>22652.5683829673</v>
      </c>
      <c r="P55" s="39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19988.4655025357</v>
      </c>
      <c r="Q55" s="40">
        <v>1</v>
      </c>
      <c r="R55" s="41" t="s">
        <v>115</v>
      </c>
      <c r="S55" s="41" t="s">
        <v>97</v>
      </c>
      <c r="T55" s="41" t="s">
        <v>132</v>
      </c>
      <c r="U55" s="41" t="s">
        <v>73</v>
      </c>
      <c r="V55" s="41" t="s">
        <v>73</v>
      </c>
      <c r="W55" s="41" t="s">
        <v>179</v>
      </c>
      <c r="X55" s="41" t="s">
        <v>180</v>
      </c>
      <c r="Y55" s="41" t="s">
        <v>164</v>
      </c>
      <c r="Z55" s="41" t="s">
        <v>83</v>
      </c>
      <c r="AA55" s="41" t="s">
        <v>73</v>
      </c>
      <c r="AB55" s="41" t="s">
        <v>84</v>
      </c>
      <c r="AC55" s="41" t="s">
        <v>73</v>
      </c>
      <c r="AD55" s="41" t="s">
        <v>73</v>
      </c>
      <c r="AE55" s="41" t="s">
        <v>76</v>
      </c>
      <c r="AF55" s="41" t="s">
        <v>77</v>
      </c>
      <c r="AG55" s="41" t="s">
        <v>78</v>
      </c>
      <c r="AH55" t="str">
        <f>VLOOKUP($R55,武学奇术!$A:$ZZ,25,FALSE)</f>
        <v>拳甲</v>
      </c>
      <c r="AI55" s="27">
        <f>VLOOKUP($R55,武学奇术!$A:$ZZ,26,FALSE)</f>
        <v>1.2876</v>
      </c>
      <c r="AJ55" s="28">
        <f>VLOOKUP($R55,武学奇术!$A:$ZZ,27,FALSE)*(1+IF(OR($AH55=$F$4,$AH55=$F$5),$B$22,0))</f>
        <v>537</v>
      </c>
      <c r="AK55" s="27">
        <f>VLOOKUP($R55,武学奇术!$A:$ZZ,28,FALSE)</f>
        <v>1.9313</v>
      </c>
      <c r="AL55" s="28">
        <f>VLOOKUP($R55,武学奇术!$A:$ZZ,29,FALSE)*(1+IF(OR($AH55=$F$4,$AH55=$F$5),$B$22,0))</f>
        <v>292.5</v>
      </c>
      <c r="AM55" s="27" cm="1">
        <f t="array" ref="AM55">$G$3+IFERROR(VLOOKUP($AH55,$F$4:$G$7,2,FALSE),0)+VLOOKUP($R55,武学奇术!$A:$ZZ,2,FALSE)+SUM(_xlfn.XLOOKUP($S55:$AG55,增益!$A:$A,增益!$B:$B,0))</f>
        <v>0.4041</v>
      </c>
      <c r="AN55" s="27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3888.382</v>
      </c>
      <c r="AP55" cm="1">
        <f t="array" ref="AP55">$E$10*(1+$AN55)+VLOOKUP($R55,武学奇术!$A:$ZZ,4,FALSE)+SUM(_xlfn.XLOOKUP($S55:$AG55,增益!$A:$A,增益!$D:$D,0))-$I$2</f>
        <v>3888.382</v>
      </c>
      <c r="AQ55" s="33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0.442</v>
      </c>
      <c r="AR55" s="33" cm="1">
        <f t="array" ref="AR55">$G$10+VLOOKUP($R55,武学奇术!$A:$ZZ,7,FALSE)+SUM(_xlfn.XLOOKUP(S55:AG55,增益!$A:$A,增益!$G:$G,0))</f>
        <v>0.09</v>
      </c>
      <c r="AS55" s="27" cm="1">
        <f t="array" ref="AS55">VLOOKUP($R55,武学奇术!$A:$ZZ,8,FALSE)+SUM(_xlfn.XLOOKUP(S55:AG55,增益!$A:$A,增益!$H:$H,0))</f>
        <v>0</v>
      </c>
      <c r="AT55">
        <f t="shared" si="18"/>
        <v>0</v>
      </c>
      <c r="AU55">
        <f t="shared" si="19"/>
        <v>0</v>
      </c>
      <c r="AV55" s="33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-0.14</v>
      </c>
      <c r="AW55" s="33" cm="1">
        <f t="array" ref="AW55">$G$11+VLOOKUP($R55,武学奇术!$A:$ZZ,10,FALSE)+SUM(_xlfn.XLOOKUP(S55:AG55,增益!$A:$A,增益!$J:$J,0))</f>
        <v>0.1</v>
      </c>
      <c r="AX55">
        <f t="shared" si="20"/>
        <v>0</v>
      </c>
      <c r="AY55">
        <f t="shared" si="21"/>
        <v>0</v>
      </c>
      <c r="AZ55" s="33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-0.14</v>
      </c>
      <c r="BA55" s="33" cm="1">
        <f t="array" ref="BA55">$G$12+VLOOKUP($R55,武学奇术!$A:$ZZ,12,FALSE)+SUM(_xlfn.XLOOKUP(S55:AG55,增益!$A:$A,增益!$L:$L,0))</f>
        <v>0</v>
      </c>
      <c r="BB55">
        <f t="shared" si="12"/>
        <v>0</v>
      </c>
      <c r="BC55">
        <f t="shared" si="13"/>
        <v>0</v>
      </c>
      <c r="BD55" s="33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-0.14</v>
      </c>
      <c r="BE55" s="33" cm="1">
        <f t="array" ref="BE55">$G$13+VLOOKUP($R55,武学奇术!$A:$ZZ,14,FALSE)+SUM(_xlfn.XLOOKUP(S55:AG55,增益!$A:$A,增益!$N:$N,0))</f>
        <v>0</v>
      </c>
      <c r="BF55">
        <f t="shared" si="14"/>
        <v>605.472</v>
      </c>
      <c r="BG55">
        <f t="shared" si="15"/>
        <v>1725.468</v>
      </c>
      <c r="BH55" s="33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0.08</v>
      </c>
      <c r="BI55" s="33" cm="1">
        <f t="array" ref="BI55">$G$14+VLOOKUP($R55,武学奇术!$A:$ZZ,16,FALSE)+SUM(_xlfn.XLOOKUP(S55:AG55,增益!$A:$A,增益!$P:$P,0))</f>
        <v>0.24</v>
      </c>
      <c r="BJ55" s="27">
        <f>MIN(IF(VLOOKUP($R55,武学奇术!$A:$ZZ,23,FALSE)=1,100%,$B$8),100%)</f>
        <v>1</v>
      </c>
      <c r="BK55" s="27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+MIN(IF(VLOOKUP($R55,武学奇术!$A:$ZZ,32,FALSE)=1,IF(VLOOKUP($R55,武学奇术!$A:$ZZ,24,FALSE)=1,100%,MIN(40%,$B$10+VLOOKUP($R55,武学奇术!$A:$ZZ,19,FALSE)+SUM(_xlfn.XLOOKUP(S55:AG55,增益!$A:$A,增益!$S:$S,0)))+$B$12+SUM(_xlfn.XLOOKUP(S55:AG55,增益!$A:$A,增益!$V:$V,0))),0),12%)</f>
        <v>0.9036</v>
      </c>
      <c r="BL55" s="27" cm="1">
        <f t="array" ref="BL55">1+$B$13+VLOOKUP($R55,武学奇术!$A:$ZZ,18,FALSE)+SUM(_xlfn.XLOOKUP(S55:AG55,增益!$A:$A,增益!$R:$R,0))</f>
        <v>1.89</v>
      </c>
      <c r="BM55" s="27" cm="1">
        <f t="array" ref="BM55">MAX(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-IF(VLOOKUP($R55,武学奇术!$A:$ZZ,32,FALSE)=1,12%,0),0)</f>
        <v>0.0929</v>
      </c>
      <c r="BN55" s="27" cm="1">
        <f t="array" ref="BN55">1+$B$14+VLOOKUP($R55,武学奇术!$A:$ZZ,20,FALSE)+SUM(_xlfn.XLOOKUP(S55:AG55,增益!$A:$A,增益!$T:$T,0))</f>
        <v>1.35</v>
      </c>
      <c r="BO55" s="27">
        <f t="shared" si="16"/>
        <v>0.9036</v>
      </c>
      <c r="BP55" s="27">
        <f t="shared" si="17"/>
        <v>0.00350000000000006</v>
      </c>
      <c r="BQ55" s="27">
        <f>IF(VLOOKUP($R55,武学奇术!$A:$ZZ,22,FALSE)=1,0,(1-$BJ55))*(1-$BM55)</f>
        <v>0</v>
      </c>
      <c r="BR55" s="27" cm="1">
        <f t="array" ref="BR55">SUM(_xlfn.XLOOKUP(S55:AG55,增益!$A:$A,增益!$W:$W,0))+$I$5</f>
        <v>0.31</v>
      </c>
    </row>
    <row r="56" spans="1:70">
      <c r="A56" s="4" t="s">
        <v>184</v>
      </c>
      <c r="B56" s="91">
        <v>1.35</v>
      </c>
      <c r="F56" s="40"/>
      <c r="G56" s="40" t="s">
        <v>169</v>
      </c>
      <c r="K56">
        <f>$L56*VLOOKUP($R56,武学奇术!$A:$ZZ,31,FALSE)</f>
        <v>140662.825019767</v>
      </c>
      <c r="L56" s="39">
        <f t="shared" si="11"/>
        <v>108202.173092129</v>
      </c>
      <c r="M56" s="39">
        <f>((($AO56+($AP56-$AO56)*IF(VLOOKUP($R56,武学奇术!$A:$ZZ,31,FALSE)=1,$F$18,0.5))*$AI56+$AJ56)*(1+$AQ56)*(1+$AR56)+(($AT56+($AU56-$AT56)*IF(VLOOKUP($R56,武学奇术!$A:$ZZ,31,FALSE)=1,$F$18,0.5))*IF($G$1="鸣金",$AK56,$AI56)+IF($G$1="鸣金",$AL56*1.5,0))*(1+$AV56)*(1+$AW56)+(($AX56+($AY56-$AX56)*IF(VLOOKUP($R56,武学奇术!$A:$ZZ,31,FALSE)=1,$F$18,0.5))*IF($G$1="裂石",$AK56,$AI56)+IF($G$1="裂石",$AL56*1.5,0))*(1+$AZ56)*(1+$BA56)+(($BB56+($BC56-$BB56)*IF(VLOOKUP($R56,武学奇术!$A:$ZZ,31,FALSE)=1,$F$18,0.5))*IF($G$1="牵丝",$AK56,$AI56)+IF($G$1="牵丝",$AL56*1.5,0))*(1+$BD56)*(1+$BE56)+(($BF56+($BG56-$BF56)*IF(VLOOKUP($R56,武学奇术!$A:$ZZ,31,FALSE)=1,$F$18,0.5))*IF($G$1="破竹",$AK56,$AI56)+IF($G$1="破竹",$AL56*1.5,0))*(1+$BH56)*(1+$BI56))*(1+$AM56)*$BL56*$Q56*(1+IF(VLOOKUP($R56,武学奇术!$A:$ZZ,30,FALSE)="蓄力技",$B$21,0))*(1+$BR56)</f>
        <v>111534.364948495</v>
      </c>
      <c r="N56" s="39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77949.0813400032</v>
      </c>
      <c r="O56" s="39">
        <f>((($AO56+($AP56-$AO56)*IF(VLOOKUP($R56,武学奇术!$A:$ZZ,31,FALSE)=1,$F$18,0.5))*$AI56+$AJ56)*(1+$AQ56)*(1+$AR56)+(($AT56+($AU56-$AT56)*IF(VLOOKUP($R56,武学奇术!$A:$ZZ,31,FALSE)=1,$F$18,0.5))*IF($G$1="鸣金",$AK56,$AI56)+IF($G$1="鸣金",$AL56*1.5,0))*(1+$AV56)*(1+$AW56)+(($AX56+($AY56-$AX56)*IF(VLOOKUP($R56,武学奇术!$A:$ZZ,31,FALSE)=1,$F$18,0.5))*IF($G$1="裂石",$AK56,$AI56)+IF($G$1="裂石",$AL56*1.5,0))*(1+$AZ56)*(1+$BA56)+(($BB56+($BC56-$BB56)*IF(VLOOKUP($R56,武学奇术!$A:$ZZ,31,FALSE)=1,$F$18,0.5))*IF($G$1="牵丝",$AK56,$AI56)+IF($G$1="牵丝",$AL56*1.5,0))*(1+$BD56)*(1+$BE56)+(($BF56+($BG56-$BF56)*IF(VLOOKUP($R56,武学奇术!$A:$ZZ,31,FALSE)=1,$F$18,0.5))*IF($G$1="破竹",$AK56,$AI56)+IF($G$1="破竹",$AL56*1.5,0))*(1+$BH56)*(1+$BI56))*(1+$AM56)*$Q56*(1+IF(VLOOKUP($R56,武学奇术!$A:$ZZ,30,FALSE)="蓄力技",$B$21,0))*(1+$BR56)</f>
        <v>50928.933766436</v>
      </c>
      <c r="P56" s="39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44117.8072810178</v>
      </c>
      <c r="Q56" s="40">
        <v>1</v>
      </c>
      <c r="R56" s="41" t="s">
        <v>117</v>
      </c>
      <c r="S56" s="41" t="s">
        <v>97</v>
      </c>
      <c r="T56" s="41" t="s">
        <v>132</v>
      </c>
      <c r="U56" s="41" t="s">
        <v>73</v>
      </c>
      <c r="V56" s="41" t="s">
        <v>73</v>
      </c>
      <c r="W56" s="41" t="s">
        <v>179</v>
      </c>
      <c r="X56" s="41" t="s">
        <v>180</v>
      </c>
      <c r="Y56" s="41" t="s">
        <v>164</v>
      </c>
      <c r="Z56" s="41" t="s">
        <v>83</v>
      </c>
      <c r="AA56" s="41" t="s">
        <v>73</v>
      </c>
      <c r="AB56" s="41" t="s">
        <v>84</v>
      </c>
      <c r="AC56" s="41" t="s">
        <v>73</v>
      </c>
      <c r="AD56" s="41" t="s">
        <v>73</v>
      </c>
      <c r="AE56" s="41" t="s">
        <v>76</v>
      </c>
      <c r="AF56" s="41" t="s">
        <v>77</v>
      </c>
      <c r="AG56" s="41" t="s">
        <v>78</v>
      </c>
      <c r="AH56" t="str">
        <f>VLOOKUP($R56,武学奇术!$A:$ZZ,25,FALSE)</f>
        <v>拳甲</v>
      </c>
      <c r="AI56" s="27">
        <f>VLOOKUP($R56,武学奇术!$A:$ZZ,26,FALSE)</f>
        <v>2.638944</v>
      </c>
      <c r="AJ56" s="28">
        <f>VLOOKUP($R56,武学奇术!$A:$ZZ,27,FALSE)*(1+IF(OR($AH56=$F$4,$AH56=$F$5),$B$22,0))</f>
        <v>0</v>
      </c>
      <c r="AK56" s="27">
        <f>VLOOKUP($R56,武学奇术!$A:$ZZ,28,FALSE)</f>
        <v>3.958416</v>
      </c>
      <c r="AL56" s="28">
        <f>VLOOKUP($R56,武学奇术!$A:$ZZ,29,FALSE)*(1+IF(OR($AH56=$F$4,$AH56=$F$5),$B$22,0))</f>
        <v>0</v>
      </c>
      <c r="AM56" s="27" cm="1">
        <f t="array" ref="AM56">$G$3+IFERROR(VLOOKUP($AH56,$F$4:$G$7,2,FALSE),0)+VLOOKUP($R56,武学奇术!$A:$ZZ,2,FALSE)+SUM(_xlfn.XLOOKUP($S56:$AG56,增益!$A:$A,增益!$B:$B,0))</f>
        <v>0.7041</v>
      </c>
      <c r="AN56" s="27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3888.382</v>
      </c>
      <c r="AP56" cm="1">
        <f t="array" ref="AP56">$E$10*(1+$AN56)+VLOOKUP($R56,武学奇术!$A:$ZZ,4,FALSE)+SUM(_xlfn.XLOOKUP($S56:$AG56,增益!$A:$A,增益!$D:$D,0))-$I$2</f>
        <v>3888.382</v>
      </c>
      <c r="AQ56" s="33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0.472</v>
      </c>
      <c r="AR56" s="33" cm="1">
        <f t="array" ref="AR56">$G$10+VLOOKUP($R56,武学奇术!$A:$ZZ,7,FALSE)+SUM(_xlfn.XLOOKUP(S56:AG56,增益!$A:$A,增益!$G:$G,0))</f>
        <v>0.09</v>
      </c>
      <c r="AS56" s="27" cm="1">
        <f t="array" ref="AS56">VLOOKUP($R56,武学奇术!$A:$ZZ,8,FALSE)+SUM(_xlfn.XLOOKUP(S56:AG56,增益!$A:$A,增益!$H:$H,0))</f>
        <v>0</v>
      </c>
      <c r="AT56">
        <f t="shared" si="18"/>
        <v>0</v>
      </c>
      <c r="AU56">
        <f t="shared" si="19"/>
        <v>0</v>
      </c>
      <c r="AV56" s="33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-0.08</v>
      </c>
      <c r="AW56" s="33" cm="1">
        <f t="array" ref="AW56">$G$11+VLOOKUP($R56,武学奇术!$A:$ZZ,10,FALSE)+SUM(_xlfn.XLOOKUP(S56:AG56,增益!$A:$A,增益!$J:$J,0))</f>
        <v>0.1</v>
      </c>
      <c r="AX56">
        <f t="shared" si="20"/>
        <v>0</v>
      </c>
      <c r="AY56">
        <f t="shared" si="21"/>
        <v>0</v>
      </c>
      <c r="AZ56" s="33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-0.08</v>
      </c>
      <c r="BA56" s="33" cm="1">
        <f t="array" ref="BA56">$G$12+VLOOKUP($R56,武学奇术!$A:$ZZ,12,FALSE)+SUM(_xlfn.XLOOKUP(S56:AG56,增益!$A:$A,增益!$L:$L,0))</f>
        <v>0</v>
      </c>
      <c r="BB56">
        <f t="shared" si="12"/>
        <v>0</v>
      </c>
      <c r="BC56">
        <f t="shared" si="13"/>
        <v>0</v>
      </c>
      <c r="BD56" s="33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-0.08</v>
      </c>
      <c r="BE56" s="33" cm="1">
        <f t="array" ref="BE56">$G$13+VLOOKUP($R56,武学奇术!$A:$ZZ,14,FALSE)+SUM(_xlfn.XLOOKUP(S56:AG56,增益!$A:$A,增益!$N:$N,0))</f>
        <v>0</v>
      </c>
      <c r="BF56">
        <f t="shared" si="14"/>
        <v>605.472</v>
      </c>
      <c r="BG56">
        <f t="shared" si="15"/>
        <v>1725.468</v>
      </c>
      <c r="BH56" s="33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0.11</v>
      </c>
      <c r="BI56" s="33" cm="1">
        <f t="array" ref="BI56">$G$14+VLOOKUP($R56,武学奇术!$A:$ZZ,16,FALSE)+SUM(_xlfn.XLOOKUP(S56:AG56,增益!$A:$A,增益!$P:$P,0))</f>
        <v>0.24</v>
      </c>
      <c r="BJ56" s="27">
        <f>MIN(IF(VLOOKUP($R56,武学奇术!$A:$ZZ,23,FALSE)=1,100%,$B$8),100%)</f>
        <v>1</v>
      </c>
      <c r="BK56" s="27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+MIN(IF(VLOOKUP($R56,武学奇术!$A:$ZZ,32,FALSE)=1,IF(VLOOKUP($R56,武学奇术!$A:$ZZ,24,FALSE)=1,100%,MIN(40%,$B$10+VLOOKUP($R56,武学奇术!$A:$ZZ,19,FALSE)+SUM(_xlfn.XLOOKUP(S56:AG56,增益!$A:$A,增益!$S:$S,0)))+$B$12+SUM(_xlfn.XLOOKUP(S56:AG56,增益!$A:$A,增益!$V:$V,0))),0),12%)</f>
        <v>0.9036</v>
      </c>
      <c r="BL56" s="27" cm="1">
        <f t="array" ref="BL56">1+$B$13+VLOOKUP($R56,武学奇术!$A:$ZZ,18,FALSE)+SUM(_xlfn.XLOOKUP(S56:AG56,增益!$A:$A,增益!$R:$R,0))</f>
        <v>2.19</v>
      </c>
      <c r="BM56" s="27" cm="1">
        <f t="array" ref="BM56">MAX(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-IF(VLOOKUP($R56,武学奇术!$A:$ZZ,32,FALSE)=1,12%,0),0)</f>
        <v>0.0929</v>
      </c>
      <c r="BN56" s="27" cm="1">
        <f t="array" ref="BN56">1+$B$14+VLOOKUP($R56,武学奇术!$A:$ZZ,20,FALSE)+SUM(_xlfn.XLOOKUP(S56:AG56,增益!$A:$A,增益!$T:$T,0))</f>
        <v>1.35</v>
      </c>
      <c r="BO56" s="27">
        <f t="shared" si="16"/>
        <v>0.9036</v>
      </c>
      <c r="BP56" s="27">
        <f t="shared" si="17"/>
        <v>0.00350000000000006</v>
      </c>
      <c r="BQ56" s="27">
        <f>IF(VLOOKUP($R56,武学奇术!$A:$ZZ,22,FALSE)=1,0,(1-$BJ56))*(1-$BM56)</f>
        <v>0</v>
      </c>
      <c r="BR56" s="27" cm="1">
        <f t="array" ref="BR56">SUM(_xlfn.XLOOKUP(S56:AG56,增益!$A:$A,增益!$W:$W,0))+$I$5</f>
        <v>0.31</v>
      </c>
    </row>
    <row r="57" spans="1:70">
      <c r="A57" s="4" t="s">
        <v>173</v>
      </c>
      <c r="B57" s="91">
        <v>0.7</v>
      </c>
      <c r="D57" s="4"/>
      <c r="E57" s="4"/>
      <c r="F57" s="40"/>
      <c r="G57" s="40"/>
      <c r="K57">
        <f>$L57*VLOOKUP($R57,武学奇术!$A:$ZZ,31,FALSE)</f>
        <v>15208.8482492024</v>
      </c>
      <c r="L57" s="39">
        <f t="shared" si="11"/>
        <v>15208.8482492024</v>
      </c>
      <c r="M57" s="39">
        <f>((($AO57+($AP57-$AO57)*IF(VLOOKUP($R57,武学奇术!$A:$ZZ,31,FALSE)=1,$F$18,0.5))*$AI57+$AJ57)*(1+$AQ57)*(1+$AR57)+(($AT57+($AU57-$AT57)*IF(VLOOKUP($R57,武学奇术!$A:$ZZ,31,FALSE)=1,$F$18,0.5))*IF($G$1="鸣金",$AK57,$AI57)+IF($G$1="鸣金",$AL57*1.5,0))*(1+$AV57)*(1+$AW57)+(($AX57+($AY57-$AX57)*IF(VLOOKUP($R57,武学奇术!$A:$ZZ,31,FALSE)=1,$F$18,0.5))*IF($G$1="裂石",$AK57,$AI57)+IF($G$1="裂石",$AL57*1.5,0))*(1+$AZ57)*(1+$BA57)+(($BB57+($BC57-$BB57)*IF(VLOOKUP($R57,武学奇术!$A:$ZZ,31,FALSE)=1,$F$18,0.5))*IF($G$1="牵丝",$AK57,$AI57)+IF($G$1="牵丝",$AL57*1.5,0))*(1+$BD57)*(1+$BE57)+(($BF57+($BG57-$BF57)*IF(VLOOKUP($R57,武学奇术!$A:$ZZ,31,FALSE)=1,$F$18,0.5))*IF($G$1="破竹",$AK57,$AI57)+IF($G$1="破竹",$AL57*1.5,0))*(1+$BH57)*(1+$BI57))*(1+$AM57)*$BL57*$Q57*(1+IF(VLOOKUP($R57,武学奇术!$A:$ZZ,30,FALSE)="蓄力技",$B$21,0))*(1+$BR57)</f>
        <v>15525.2435966625</v>
      </c>
      <c r="N57" s="39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12394.9158681731</v>
      </c>
      <c r="O57" s="39">
        <f>((($AO57+($AP57-$AO57)*IF(VLOOKUP($R57,武学奇术!$A:$ZZ,31,FALSE)=1,$F$18,0.5))*$AI57+$AJ57)*(1+$AQ57)*(1+$AR57)+(($AT57+($AU57-$AT57)*IF(VLOOKUP($R57,武学奇术!$A:$ZZ,31,FALSE)=1,$F$18,0.5))*IF($G$1="鸣金",$AK57,$AI57)+IF($G$1="鸣金",$AL57*1.5,0))*(1+$AV57)*(1+$AW57)+(($AX57+($AY57-$AX57)*IF(VLOOKUP($R57,武学奇术!$A:$ZZ,31,FALSE)=1,$F$18,0.5))*IF($G$1="裂石",$AK57,$AI57)+IF($G$1="裂石",$AL57*1.5,0))*(1+$AZ57)*(1+$BA57)+(($BB57+($BC57-$BB57)*IF(VLOOKUP($R57,武学奇术!$A:$ZZ,31,FALSE)=1,$F$18,0.5))*IF($G$1="牵丝",$AK57,$AI57)+IF($G$1="牵丝",$AL57*1.5,0))*(1+$BD57)*(1+$BE57)+(($BF57+($BG57-$BF57)*IF(VLOOKUP($R57,武学奇术!$A:$ZZ,31,FALSE)=1,$F$18,0.5))*IF($G$1="破竹",$AK57,$AI57)+IF($G$1="破竹",$AL57*1.5,0))*(1+$BH57)*(1+$BI57))*(1+$AM57)*$Q57*(1+IF(VLOOKUP($R57,武学奇术!$A:$ZZ,30,FALSE)="蓄力技",$B$21,0))*(1+$BR57)</f>
        <v>8214.41460140873</v>
      </c>
      <c r="P57" s="39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7247.41004120778</v>
      </c>
      <c r="Q57" s="40">
        <v>1</v>
      </c>
      <c r="R57" s="41" t="s">
        <v>107</v>
      </c>
      <c r="S57" s="41" t="s">
        <v>97</v>
      </c>
      <c r="T57" s="41" t="s">
        <v>132</v>
      </c>
      <c r="U57" s="41" t="s">
        <v>73</v>
      </c>
      <c r="V57" s="41" t="s">
        <v>73</v>
      </c>
      <c r="W57" s="41" t="s">
        <v>179</v>
      </c>
      <c r="X57" s="41" t="s">
        <v>180</v>
      </c>
      <c r="Y57" s="41" t="s">
        <v>164</v>
      </c>
      <c r="Z57" s="41" t="s">
        <v>83</v>
      </c>
      <c r="AA57" s="41" t="s">
        <v>73</v>
      </c>
      <c r="AB57" s="41" t="s">
        <v>84</v>
      </c>
      <c r="AC57" s="41" t="s">
        <v>73</v>
      </c>
      <c r="AD57" s="41" t="s">
        <v>73</v>
      </c>
      <c r="AE57" s="41" t="s">
        <v>76</v>
      </c>
      <c r="AF57" s="41" t="s">
        <v>77</v>
      </c>
      <c r="AG57" s="41" t="s">
        <v>78</v>
      </c>
      <c r="AH57" t="str">
        <f>VLOOKUP($R57,武学奇术!$A:$ZZ,25,FALSE)</f>
        <v>绳镖</v>
      </c>
      <c r="AI57" s="27">
        <f>VLOOKUP($R57,武学奇术!$A:$ZZ,26,FALSE)</f>
        <v>0.4975</v>
      </c>
      <c r="AJ57" s="28">
        <f>VLOOKUP($R57,武学奇术!$A:$ZZ,27,FALSE)*(1+IF(OR($AH57=$F$4,$AH57=$F$5),$B$22,0))</f>
        <v>205.5</v>
      </c>
      <c r="AK57" s="27">
        <f>VLOOKUP($R57,武学奇术!$A:$ZZ,28,FALSE)</f>
        <v>0.7463</v>
      </c>
      <c r="AL57" s="28">
        <f>VLOOKUP($R57,武学奇术!$A:$ZZ,29,FALSE)*(1+IF(OR($AH57=$F$4,$AH57=$F$5),$B$22,0))</f>
        <v>112.5</v>
      </c>
      <c r="AM57" s="27" cm="1">
        <f t="array" ref="AM57">$G$3+IFERROR(VLOOKUP($AH57,$F$4:$G$7,2,FALSE),0)+VLOOKUP($R57,武学奇术!$A:$ZZ,2,FALSE)+SUM(_xlfn.XLOOKUP($S57:$AG57,增益!$A:$A,增益!$B:$B,0))</f>
        <v>0.3189</v>
      </c>
      <c r="AN57" s="27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3888.382</v>
      </c>
      <c r="AP57" cm="1">
        <f t="array" ref="AP57">$E$10*(1+$AN57)+VLOOKUP($R57,武学奇术!$A:$ZZ,4,FALSE)+SUM(_xlfn.XLOOKUP($S57:$AG57,增益!$A:$A,增益!$D:$D,0))-$I$2</f>
        <v>3888.382</v>
      </c>
      <c r="AQ57" s="33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0.442</v>
      </c>
      <c r="AR57" s="33" cm="1">
        <f t="array" ref="AR57">$G$10+VLOOKUP($R57,武学奇术!$A:$ZZ,7,FALSE)+SUM(_xlfn.XLOOKUP(S57:AG57,增益!$A:$A,增益!$G:$G,0))</f>
        <v>0.09</v>
      </c>
      <c r="AS57" s="27" cm="1">
        <f t="array" ref="AS57">VLOOKUP($R57,武学奇术!$A:$ZZ,8,FALSE)+SUM(_xlfn.XLOOKUP(S57:AG57,增益!$A:$A,增益!$H:$H,0))</f>
        <v>0</v>
      </c>
      <c r="AT57">
        <f t="shared" si="18"/>
        <v>0</v>
      </c>
      <c r="AU57">
        <f t="shared" si="19"/>
        <v>0</v>
      </c>
      <c r="AV57" s="33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-0.14</v>
      </c>
      <c r="AW57" s="33" cm="1">
        <f t="array" ref="AW57">$G$11+VLOOKUP($R57,武学奇术!$A:$ZZ,10,FALSE)+SUM(_xlfn.XLOOKUP(S57:AG57,增益!$A:$A,增益!$J:$J,0))</f>
        <v>0.1</v>
      </c>
      <c r="AX57">
        <f t="shared" si="20"/>
        <v>0</v>
      </c>
      <c r="AY57">
        <f t="shared" si="21"/>
        <v>0</v>
      </c>
      <c r="AZ57" s="33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-0.14</v>
      </c>
      <c r="BA57" s="33" cm="1">
        <f t="array" ref="BA57">$G$12+VLOOKUP($R57,武学奇术!$A:$ZZ,12,FALSE)+SUM(_xlfn.XLOOKUP(S57:AG57,增益!$A:$A,增益!$L:$L,0))</f>
        <v>0</v>
      </c>
      <c r="BB57">
        <f t="shared" si="12"/>
        <v>0</v>
      </c>
      <c r="BC57">
        <f t="shared" si="13"/>
        <v>0</v>
      </c>
      <c r="BD57" s="33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-0.14</v>
      </c>
      <c r="BE57" s="33" cm="1">
        <f t="array" ref="BE57">$G$13+VLOOKUP($R57,武学奇术!$A:$ZZ,14,FALSE)+SUM(_xlfn.XLOOKUP(S57:AG57,增益!$A:$A,增益!$N:$N,0))</f>
        <v>0</v>
      </c>
      <c r="BF57">
        <f t="shared" si="14"/>
        <v>605.472</v>
      </c>
      <c r="BG57">
        <f t="shared" si="15"/>
        <v>1725.468</v>
      </c>
      <c r="BH57" s="33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0.08</v>
      </c>
      <c r="BI57" s="33" cm="1">
        <f t="array" ref="BI57">$G$14+VLOOKUP($R57,武学奇术!$A:$ZZ,16,FALSE)+SUM(_xlfn.XLOOKUP(S57:AG57,增益!$A:$A,增益!$P:$P,0))</f>
        <v>0.24</v>
      </c>
      <c r="BJ57" s="27">
        <f>MIN(IF(VLOOKUP($R57,武学奇术!$A:$ZZ,23,FALSE)=1,100%,$B$8),100%)</f>
        <v>1</v>
      </c>
      <c r="BK57" s="27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+MIN(IF(VLOOKUP($R57,武学奇术!$A:$ZZ,32,FALSE)=1,IF(VLOOKUP($R57,武学奇术!$A:$ZZ,24,FALSE)=1,100%,MIN(40%,$B$10+VLOOKUP($R57,武学奇术!$A:$ZZ,19,FALSE)+SUM(_xlfn.XLOOKUP(S57:AG57,增益!$A:$A,增益!$S:$S,0)))+$B$12+SUM(_xlfn.XLOOKUP(S57:AG57,增益!$A:$A,增益!$V:$V,0))),0),12%)</f>
        <v>0.9036</v>
      </c>
      <c r="BL57" s="27" cm="1">
        <f t="array" ref="BL57">1+$B$13+VLOOKUP($R57,武学奇术!$A:$ZZ,18,FALSE)+SUM(_xlfn.XLOOKUP(S57:AG57,增益!$A:$A,增益!$R:$R,0))</f>
        <v>1.89</v>
      </c>
      <c r="BM57" s="27" cm="1">
        <f t="array" ref="BM57">MAX(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-IF(VLOOKUP($R57,武学奇术!$A:$ZZ,32,FALSE)=1,12%,0),0)</f>
        <v>0.0929</v>
      </c>
      <c r="BN57" s="27" cm="1">
        <f t="array" ref="BN57">1+$B$14+VLOOKUP($R57,武学奇术!$A:$ZZ,20,FALSE)+SUM(_xlfn.XLOOKUP(S57:AG57,增益!$A:$A,增益!$T:$T,0))</f>
        <v>1.35</v>
      </c>
      <c r="BO57" s="27">
        <f t="shared" si="16"/>
        <v>0.9036</v>
      </c>
      <c r="BP57" s="27">
        <f t="shared" si="17"/>
        <v>0.00350000000000006</v>
      </c>
      <c r="BQ57" s="27">
        <f>IF(VLOOKUP($R57,武学奇术!$A:$ZZ,22,FALSE)=1,0,(1-$BJ57))*(1-$BM57)</f>
        <v>0</v>
      </c>
      <c r="BR57" s="27" cm="1">
        <f t="array" ref="BR57">SUM(_xlfn.XLOOKUP(S57:AG57,增益!$A:$A,增益!$W:$W,0))+$I$5</f>
        <v>0.31</v>
      </c>
    </row>
    <row r="58" spans="1:70">
      <c r="A58" s="4" t="s">
        <v>174</v>
      </c>
      <c r="B58" s="4">
        <v>0.8</v>
      </c>
      <c r="F58" s="40"/>
      <c r="G58" s="40"/>
      <c r="K58">
        <f>$L58*VLOOKUP($R58,武学奇术!$A:$ZZ,31,FALSE)</f>
        <v>133630.09648759</v>
      </c>
      <c r="L58" s="39">
        <f t="shared" si="11"/>
        <v>102792.38191353</v>
      </c>
      <c r="M58" s="39">
        <f>((($AO58+($AP58-$AO58)*IF(VLOOKUP($R58,武学奇术!$A:$ZZ,31,FALSE)=1,$F$18,0.5))*$AI58+$AJ58)*(1+$AQ58)*(1+$AR58)+(($AT58+($AU58-$AT58)*IF(VLOOKUP($R58,武学奇术!$A:$ZZ,31,FALSE)=1,$F$18,0.5))*IF($G$1="鸣金",$AK58,$AI58)+IF($G$1="鸣金",$AL58*1.5,0))*(1+$AV58)*(1+$AW58)+(($AX58+($AY58-$AX58)*IF(VLOOKUP($R58,武学奇术!$A:$ZZ,31,FALSE)=1,$F$18,0.5))*IF($G$1="裂石",$AK58,$AI58)+IF($G$1="裂石",$AL58*1.5,0))*(1+$AZ58)*(1+$BA58)+(($BB58+($BC58-$BB58)*IF(VLOOKUP($R58,武学奇术!$A:$ZZ,31,FALSE)=1,$F$18,0.5))*IF($G$1="牵丝",$AK58,$AI58)+IF($G$1="牵丝",$AL58*1.5,0))*(1+$BD58)*(1+$BE58)+(($BF58+($BG58-$BF58)*IF(VLOOKUP($R58,武学奇术!$A:$ZZ,31,FALSE)=1,$F$18,0.5))*IF($G$1="破竹",$AK58,$AI58)+IF($G$1="破竹",$AL58*1.5,0))*(1+$BH58)*(1+$BI58))*(1+$AM58)*$BL58*$Q58*(1+IF(VLOOKUP($R58,武学奇术!$A:$ZZ,30,FALSE)="蓄力技",$B$21,0))*(1+$BR58)</f>
        <v>105957.973954063</v>
      </c>
      <c r="N58" s="39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74051.8559834113</v>
      </c>
      <c r="O58" s="39">
        <f>((($AO58+($AP58-$AO58)*IF(VLOOKUP($R58,武学奇术!$A:$ZZ,31,FALSE)=1,$F$18,0.5))*$AI58+$AJ58)*(1+$AQ58)*(1+$AR58)+(($AT58+($AU58-$AT58)*IF(VLOOKUP($R58,武学奇术!$A:$ZZ,31,FALSE)=1,$F$18,0.5))*IF($G$1="鸣金",$AK58,$AI58)+IF($G$1="鸣金",$AL58*1.5,0))*(1+$AV58)*(1+$AW58)+(($AX58+($AY58-$AX58)*IF(VLOOKUP($R58,武学奇术!$A:$ZZ,31,FALSE)=1,$F$18,0.5))*IF($G$1="裂石",$AK58,$AI58)+IF($G$1="裂石",$AL58*1.5,0))*(1+$AZ58)*(1+$BA58)+(($BB58+($BC58-$BB58)*IF(VLOOKUP($R58,武学奇术!$A:$ZZ,31,FALSE)=1,$F$18,0.5))*IF($G$1="牵丝",$AK58,$AI58)+IF($G$1="牵丝",$AL58*1.5,0))*(1+$BD58)*(1+$BE58)+(($BF58+($BG58-$BF58)*IF(VLOOKUP($R58,武学奇术!$A:$ZZ,31,FALSE)=1,$F$18,0.5))*IF($G$1="破竹",$AK58,$AI58)+IF($G$1="破竹",$AL58*1.5,0))*(1+$BH58)*(1+$BI58))*(1+$AM58)*$Q58*(1+IF(VLOOKUP($R58,武学奇术!$A:$ZZ,30,FALSE)="蓄力技",$B$21,0))*(1+$BR58)</f>
        <v>48382.6365087044</v>
      </c>
      <c r="P58" s="39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41912.0463630301</v>
      </c>
      <c r="Q58" s="40">
        <v>1</v>
      </c>
      <c r="R58" s="41" t="s">
        <v>110</v>
      </c>
      <c r="S58" s="41" t="s">
        <v>97</v>
      </c>
      <c r="T58" s="41" t="s">
        <v>132</v>
      </c>
      <c r="U58" s="41" t="s">
        <v>73</v>
      </c>
      <c r="V58" s="41" t="s">
        <v>73</v>
      </c>
      <c r="W58" s="41" t="s">
        <v>179</v>
      </c>
      <c r="X58" s="41" t="s">
        <v>180</v>
      </c>
      <c r="Y58" s="41" t="s">
        <v>164</v>
      </c>
      <c r="Z58" s="41" t="s">
        <v>83</v>
      </c>
      <c r="AA58" s="41" t="s">
        <v>105</v>
      </c>
      <c r="AB58" s="41" t="s">
        <v>84</v>
      </c>
      <c r="AC58" s="41" t="s">
        <v>73</v>
      </c>
      <c r="AD58" s="41" t="s">
        <v>73</v>
      </c>
      <c r="AE58" s="41" t="s">
        <v>76</v>
      </c>
      <c r="AF58" s="41" t="s">
        <v>77</v>
      </c>
      <c r="AG58" s="41" t="s">
        <v>78</v>
      </c>
      <c r="AH58" t="str">
        <f>VLOOKUP($R58,武学奇术!$A:$ZZ,25,FALSE)</f>
        <v>绳镖</v>
      </c>
      <c r="AI58" s="27">
        <f>VLOOKUP($R58,武学奇术!$A:$ZZ,26,FALSE)</f>
        <v>2.638944</v>
      </c>
      <c r="AJ58" s="28">
        <f>VLOOKUP($R58,武学奇术!$A:$ZZ,27,FALSE)*(1+IF(OR($AH58=$F$4,$AH58=$F$5),$B$22,0))</f>
        <v>0</v>
      </c>
      <c r="AK58" s="27">
        <f>VLOOKUP($R58,武学奇术!$A:$ZZ,28,FALSE)</f>
        <v>3.958416</v>
      </c>
      <c r="AL58" s="28">
        <f>VLOOKUP($R58,武学奇术!$A:$ZZ,29,FALSE)*(1+IF(OR($AH58=$F$4,$AH58=$F$5),$B$22,0))</f>
        <v>0</v>
      </c>
      <c r="AM58" s="27" cm="1">
        <f t="array" ref="AM58">$G$3+IFERROR(VLOOKUP($AH58,$F$4:$G$7,2,FALSE),0)+VLOOKUP($R58,武学奇术!$A:$ZZ,2,FALSE)+SUM(_xlfn.XLOOKUP($S58:$AG58,增益!$A:$A,增益!$B:$B,0))</f>
        <v>0.6189</v>
      </c>
      <c r="AN58" s="27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3888.382</v>
      </c>
      <c r="AP58" cm="1">
        <f t="array" ref="AP58">$E$10*(1+$AN58)+VLOOKUP($R58,武学奇术!$A:$ZZ,4,FALSE)+SUM(_xlfn.XLOOKUP($S58:$AG58,增益!$A:$A,增益!$D:$D,0))-$I$2</f>
        <v>3888.382</v>
      </c>
      <c r="AQ58" s="33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0.472</v>
      </c>
      <c r="AR58" s="33" cm="1">
        <f t="array" ref="AR58">$G$10+VLOOKUP($R58,武学奇术!$A:$ZZ,7,FALSE)+SUM(_xlfn.XLOOKUP(S58:AG58,增益!$A:$A,增益!$G:$G,0))</f>
        <v>0.09</v>
      </c>
      <c r="AS58" s="27" cm="1">
        <f t="array" ref="AS58">VLOOKUP($R58,武学奇术!$A:$ZZ,8,FALSE)+SUM(_xlfn.XLOOKUP(S58:AG58,增益!$A:$A,增益!$H:$H,0))</f>
        <v>0</v>
      </c>
      <c r="AT58">
        <f t="shared" si="18"/>
        <v>0</v>
      </c>
      <c r="AU58">
        <f t="shared" si="19"/>
        <v>0</v>
      </c>
      <c r="AV58" s="33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-0.08</v>
      </c>
      <c r="AW58" s="33" cm="1">
        <f t="array" ref="AW58">$G$11+VLOOKUP($R58,武学奇术!$A:$ZZ,10,FALSE)+SUM(_xlfn.XLOOKUP(S58:AG58,增益!$A:$A,增益!$J:$J,0))</f>
        <v>0.1</v>
      </c>
      <c r="AX58">
        <f t="shared" si="20"/>
        <v>0</v>
      </c>
      <c r="AY58">
        <f t="shared" si="21"/>
        <v>0</v>
      </c>
      <c r="AZ58" s="33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-0.08</v>
      </c>
      <c r="BA58" s="33" cm="1">
        <f t="array" ref="BA58">$G$12+VLOOKUP($R58,武学奇术!$A:$ZZ,12,FALSE)+SUM(_xlfn.XLOOKUP(S58:AG58,增益!$A:$A,增益!$L:$L,0))</f>
        <v>0</v>
      </c>
      <c r="BB58">
        <f t="shared" si="12"/>
        <v>0</v>
      </c>
      <c r="BC58">
        <f t="shared" si="13"/>
        <v>0</v>
      </c>
      <c r="BD58" s="33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-0.08</v>
      </c>
      <c r="BE58" s="33" cm="1">
        <f t="array" ref="BE58">$G$13+VLOOKUP($R58,武学奇术!$A:$ZZ,14,FALSE)+SUM(_xlfn.XLOOKUP(S58:AG58,增益!$A:$A,增益!$N:$N,0))</f>
        <v>0</v>
      </c>
      <c r="BF58">
        <f t="shared" si="14"/>
        <v>605.472</v>
      </c>
      <c r="BG58">
        <f t="shared" si="15"/>
        <v>1725.468</v>
      </c>
      <c r="BH58" s="33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0.11</v>
      </c>
      <c r="BI58" s="33" cm="1">
        <f t="array" ref="BI58">$G$14+VLOOKUP($R58,武学奇术!$A:$ZZ,16,FALSE)+SUM(_xlfn.XLOOKUP(S58:AG58,增益!$A:$A,增益!$P:$P,0))</f>
        <v>0.24</v>
      </c>
      <c r="BJ58" s="27">
        <f>MIN(IF(VLOOKUP($R58,武学奇术!$A:$ZZ,23,FALSE)=1,100%,$B$8),100%)</f>
        <v>1</v>
      </c>
      <c r="BK58" s="27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+MIN(IF(VLOOKUP($R58,武学奇术!$A:$ZZ,32,FALSE)=1,IF(VLOOKUP($R58,武学奇术!$A:$ZZ,24,FALSE)=1,100%,MIN(40%,$B$10+VLOOKUP($R58,武学奇术!$A:$ZZ,19,FALSE)+SUM(_xlfn.XLOOKUP(S58:AG58,增益!$A:$A,增益!$S:$S,0)))+$B$12+SUM(_xlfn.XLOOKUP(S58:AG58,增益!$A:$A,增益!$V:$V,0))),0),12%)</f>
        <v>0.9036</v>
      </c>
      <c r="BL58" s="27" cm="1">
        <f t="array" ref="BL58">1+$B$13+VLOOKUP($R58,武学奇术!$A:$ZZ,18,FALSE)+SUM(_xlfn.XLOOKUP(S58:AG58,增益!$A:$A,增益!$R:$R,0))</f>
        <v>2.19</v>
      </c>
      <c r="BM58" s="27" cm="1">
        <f t="array" ref="BM58">MAX(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-IF(VLOOKUP($R58,武学奇术!$A:$ZZ,32,FALSE)=1,12%,0),0)</f>
        <v>0.0929</v>
      </c>
      <c r="BN58" s="27" cm="1">
        <f t="array" ref="BN58">1+$B$14+VLOOKUP($R58,武学奇术!$A:$ZZ,20,FALSE)+SUM(_xlfn.XLOOKUP(S58:AG58,增益!$A:$A,增益!$T:$T,0))</f>
        <v>1.35</v>
      </c>
      <c r="BO58" s="27">
        <f t="shared" si="16"/>
        <v>0.9036</v>
      </c>
      <c r="BP58" s="27">
        <f t="shared" si="17"/>
        <v>0.00350000000000006</v>
      </c>
      <c r="BQ58" s="27">
        <f>IF(VLOOKUP($R58,武学奇术!$A:$ZZ,22,FALSE)=1,0,(1-$BJ58))*(1-$BM58)</f>
        <v>0</v>
      </c>
      <c r="BR58" s="27" cm="1">
        <f t="array" ref="BR58">SUM(_xlfn.XLOOKUP(S58:AG58,增益!$A:$A,增益!$W:$W,0))+$I$5</f>
        <v>0.31</v>
      </c>
    </row>
    <row r="59" spans="1:70">
      <c r="A59" s="4" t="s">
        <v>175</v>
      </c>
      <c r="B59" s="4">
        <v>2.15</v>
      </c>
      <c r="F59" s="40"/>
      <c r="G59" s="40"/>
      <c r="K59">
        <f>$L59*VLOOKUP($R59,武学奇术!$A:$ZZ,31,FALSE)</f>
        <v>0</v>
      </c>
      <c r="L59" s="39">
        <f t="shared" si="11"/>
        <v>0</v>
      </c>
      <c r="M59" s="39">
        <f>((($AO59+($AP59-$AO59)*IF(VLOOKUP($R59,武学奇术!$A:$ZZ,31,FALSE)=1,$F$18,0.5))*$AI59+$AJ59)*(1+$AQ59)*(1+$AR59)+(($AT59+($AU59-$AT59)*IF(VLOOKUP($R59,武学奇术!$A:$ZZ,31,FALSE)=1,$F$18,0.5))*IF($G$1="鸣金",$AK59,$AI59)+IF($G$1="鸣金",$AL59*1.5,0))*(1+$AV59)*(1+$AW59)+(($AX59+($AY59-$AX59)*IF(VLOOKUP($R59,武学奇术!$A:$ZZ,31,FALSE)=1,$F$18,0.5))*IF($G$1="裂石",$AK59,$AI59)+IF($G$1="裂石",$AL59*1.5,0))*(1+$AZ59)*(1+$BA59)+(($BB59+($BC59-$BB59)*IF(VLOOKUP($R59,武学奇术!$A:$ZZ,31,FALSE)=1,$F$18,0.5))*IF($G$1="牵丝",$AK59,$AI59)+IF($G$1="牵丝",$AL59*1.5,0))*(1+$BD59)*(1+$BE59)+(($BF59+($BG59-$BF59)*IF(VLOOKUP($R59,武学奇术!$A:$ZZ,31,FALSE)=1,$F$18,0.5))*IF($G$1="破竹",$AK59,$AI59)+IF($G$1="破竹",$AL59*1.5,0))*(1+$BH59)*(1+$BI59))*(1+$AM59)*$BL59*$Q59*(1+IF(VLOOKUP($R59,武学奇术!$A:$ZZ,30,FALSE)="蓄力技",$B$21,0))*(1+$BR59)</f>
        <v>0</v>
      </c>
      <c r="N59" s="39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0</v>
      </c>
      <c r="O59" s="39">
        <f>((($AO59+($AP59-$AO59)*IF(VLOOKUP($R59,武学奇术!$A:$ZZ,31,FALSE)=1,$F$18,0.5))*$AI59+$AJ59)*(1+$AQ59)*(1+$AR59)+(($AT59+($AU59-$AT59)*IF(VLOOKUP($R59,武学奇术!$A:$ZZ,31,FALSE)=1,$F$18,0.5))*IF($G$1="鸣金",$AK59,$AI59)+IF($G$1="鸣金",$AL59*1.5,0))*(1+$AV59)*(1+$AW59)+(($AX59+($AY59-$AX59)*IF(VLOOKUP($R59,武学奇术!$A:$ZZ,31,FALSE)=1,$F$18,0.5))*IF($G$1="裂石",$AK59,$AI59)+IF($G$1="裂石",$AL59*1.5,0))*(1+$AZ59)*(1+$BA59)+(($BB59+($BC59-$BB59)*IF(VLOOKUP($R59,武学奇术!$A:$ZZ,31,FALSE)=1,$F$18,0.5))*IF($G$1="牵丝",$AK59,$AI59)+IF($G$1="牵丝",$AL59*1.5,0))*(1+$BD59)*(1+$BE59)+(($BF59+($BG59-$BF59)*IF(VLOOKUP($R59,武学奇术!$A:$ZZ,31,FALSE)=1,$F$18,0.5))*IF($G$1="破竹",$AK59,$AI59)+IF($G$1="破竹",$AL59*1.5,0))*(1+$BH59)*(1+$BI59))*(1+$AM59)*$Q59*(1+IF(VLOOKUP($R59,武学奇术!$A:$ZZ,30,FALSE)="蓄力技",$B$21,0))*(1+$BR59)</f>
        <v>0</v>
      </c>
      <c r="P59" s="39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0</v>
      </c>
      <c r="Q59" s="40">
        <v>1</v>
      </c>
      <c r="R59" s="41" t="s">
        <v>73</v>
      </c>
      <c r="S59" s="41" t="s">
        <v>73</v>
      </c>
      <c r="T59" s="41" t="s">
        <v>73</v>
      </c>
      <c r="U59" s="41" t="s">
        <v>73</v>
      </c>
      <c r="V59" s="41" t="s">
        <v>73</v>
      </c>
      <c r="W59" s="41" t="s">
        <v>73</v>
      </c>
      <c r="X59" s="41" t="s">
        <v>73</v>
      </c>
      <c r="Y59" s="41" t="s">
        <v>73</v>
      </c>
      <c r="Z59" s="41" t="s">
        <v>73</v>
      </c>
      <c r="AA59" s="41" t="s">
        <v>73</v>
      </c>
      <c r="AB59" s="41" t="s">
        <v>73</v>
      </c>
      <c r="AC59" s="41" t="s">
        <v>73</v>
      </c>
      <c r="AD59" s="41" t="s">
        <v>73</v>
      </c>
      <c r="AE59" s="41" t="s">
        <v>76</v>
      </c>
      <c r="AF59" s="41" t="s">
        <v>77</v>
      </c>
      <c r="AG59" s="41" t="s">
        <v>78</v>
      </c>
      <c r="AH59" t="str">
        <f>VLOOKUP($R59,武学奇术!$A:$ZZ,25,FALSE)</f>
        <v>心法</v>
      </c>
      <c r="AI59" s="27">
        <f>VLOOKUP($R59,武学奇术!$A:$ZZ,26,FALSE)</f>
        <v>0</v>
      </c>
      <c r="AJ59" s="28">
        <f>VLOOKUP($R59,武学奇术!$A:$ZZ,27,FALSE)*(1+IF(OR($AH59=$F$4,$AH59=$F$5),$B$22,0))</f>
        <v>0</v>
      </c>
      <c r="AK59" s="27">
        <f>VLOOKUP($R59,武学奇术!$A:$ZZ,28,FALSE)</f>
        <v>0</v>
      </c>
      <c r="AL59" s="28">
        <f>VLOOKUP($R59,武学奇术!$A:$ZZ,29,FALSE)*(1+IF(OR($AH59=$F$4,$AH59=$F$5),$B$22,0))</f>
        <v>0</v>
      </c>
      <c r="AM59" s="27" cm="1">
        <f t="array" ref="AM59">$G$3+IFERROR(VLOOKUP($AH59,$F$4:$G$7,2,FALSE),0)+VLOOKUP($R59,武学奇术!$A:$ZZ,2,FALSE)+SUM(_xlfn.XLOOKUP($S59:$AG59,增益!$A:$A,增益!$B:$B,0))</f>
        <v>0.1837</v>
      </c>
      <c r="AN59" s="27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3888.382</v>
      </c>
      <c r="AP59" cm="1">
        <f t="array" ref="AP59">$E$10*(1+$AN59)+VLOOKUP($R59,武学奇术!$A:$ZZ,4,FALSE)+SUM(_xlfn.XLOOKUP($S59:$AG59,增益!$A:$A,增益!$D:$D,0))-$I$2</f>
        <v>3888.382</v>
      </c>
      <c r="AQ59" s="33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0.267</v>
      </c>
      <c r="AR59" s="33" cm="1">
        <f t="array" ref="AR59">$G$10+VLOOKUP($R59,武学奇术!$A:$ZZ,7,FALSE)+SUM(_xlfn.XLOOKUP(S59:AG59,增益!$A:$A,增益!$G:$G,0))</f>
        <v>0.09</v>
      </c>
      <c r="AS59" s="27" cm="1">
        <f t="array" ref="AS59">VLOOKUP($R59,武学奇术!$A:$ZZ,8,FALSE)+SUM(_xlfn.XLOOKUP(S59:AG59,增益!$A:$A,增益!$H:$H,0))</f>
        <v>0</v>
      </c>
      <c r="AT59">
        <f t="shared" si="18"/>
        <v>0</v>
      </c>
      <c r="AU59">
        <f t="shared" si="19"/>
        <v>0</v>
      </c>
      <c r="AV59" s="33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-0.3</v>
      </c>
      <c r="AW59" s="33" cm="1">
        <f t="array" ref="AW59">$G$11+VLOOKUP($R59,武学奇术!$A:$ZZ,10,FALSE)+SUM(_xlfn.XLOOKUP(S59:AG59,增益!$A:$A,增益!$J:$J,0))</f>
        <v>0</v>
      </c>
      <c r="AX59">
        <f t="shared" si="20"/>
        <v>0</v>
      </c>
      <c r="AY59">
        <f t="shared" si="21"/>
        <v>0</v>
      </c>
      <c r="AZ59" s="33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3" cm="1">
        <f t="array" ref="BA59">$G$12+VLOOKUP($R59,武学奇术!$A:$ZZ,12,FALSE)+SUM(_xlfn.XLOOKUP(S59:AG59,增益!$A:$A,增益!$L:$L,0))</f>
        <v>0</v>
      </c>
      <c r="BB59">
        <f t="shared" si="12"/>
        <v>0</v>
      </c>
      <c r="BC59">
        <f t="shared" si="13"/>
        <v>0</v>
      </c>
      <c r="BD59" s="33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3" cm="1">
        <f t="array" ref="BE59">$G$13+VLOOKUP($R59,武学奇术!$A:$ZZ,14,FALSE)+SUM(_xlfn.XLOOKUP(S59:AG59,增益!$A:$A,增益!$N:$N,0))</f>
        <v>0</v>
      </c>
      <c r="BF59">
        <f t="shared" si="14"/>
        <v>605.472</v>
      </c>
      <c r="BG59">
        <f t="shared" si="15"/>
        <v>1725.468</v>
      </c>
      <c r="BH59" s="33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0</v>
      </c>
      <c r="BI59" s="33" cm="1">
        <f t="array" ref="BI59">$G$14+VLOOKUP($R59,武学奇术!$A:$ZZ,16,FALSE)+SUM(_xlfn.XLOOKUP(S59:AG59,增益!$A:$A,增益!$P:$P,0))</f>
        <v>0.24</v>
      </c>
      <c r="BJ59" s="27">
        <f>MIN(IF(VLOOKUP($R59,武学奇术!$A:$ZZ,23,FALSE)=1,100%,$B$8),100%)</f>
        <v>1</v>
      </c>
      <c r="BK59" s="27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+MIN(IF(VLOOKUP($R59,武学奇术!$A:$ZZ,32,FALSE)=1,IF(VLOOKUP($R59,武学奇术!$A:$ZZ,24,FALSE)=1,100%,MIN(40%,$B$10+VLOOKUP($R59,武学奇术!$A:$ZZ,19,FALSE)+SUM(_xlfn.XLOOKUP(S59:AG59,增益!$A:$A,增益!$S:$S,0)))+$B$12+SUM(_xlfn.XLOOKUP(S59:AG59,增益!$A:$A,增益!$V:$V,0))),0),12%)</f>
        <v>0.9036</v>
      </c>
      <c r="BL59" s="27" cm="1">
        <f t="array" ref="BL59">1+$B$13+VLOOKUP($R59,武学奇术!$A:$ZZ,18,FALSE)+SUM(_xlfn.XLOOKUP(S59:AG59,增益!$A:$A,增益!$R:$R,0))</f>
        <v>1.54</v>
      </c>
      <c r="BM59" s="27" cm="1">
        <f t="array" ref="BM59">MAX(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-IF(VLOOKUP($R59,武学奇术!$A:$ZZ,32,FALSE)=1,12%,0),0)</f>
        <v>0.0929</v>
      </c>
      <c r="BN59" s="27" cm="1">
        <f t="array" ref="BN59">1+$B$14+VLOOKUP($R59,武学奇术!$A:$ZZ,20,FALSE)+SUM(_xlfn.XLOOKUP(S59:AG59,增益!$A:$A,增益!$T:$T,0))</f>
        <v>1.35</v>
      </c>
      <c r="BO59" s="27">
        <f t="shared" si="16"/>
        <v>0.9036</v>
      </c>
      <c r="BP59" s="27">
        <f t="shared" si="17"/>
        <v>0.00350000000000006</v>
      </c>
      <c r="BQ59" s="27">
        <f>IF(VLOOKUP($R59,武学奇术!$A:$ZZ,22,FALSE)=1,0,(1-$BJ59))*(1-$BM59)</f>
        <v>0</v>
      </c>
      <c r="BR59" s="27" cm="1">
        <f t="array" ref="BR59">SUM(_xlfn.XLOOKUP(S59:AG59,增益!$A:$A,增益!$W:$W,0))+$I$5</f>
        <v>0.11</v>
      </c>
    </row>
    <row r="60" spans="1:70">
      <c r="A60" s="4" t="s">
        <v>170</v>
      </c>
      <c r="B60" s="4">
        <v>1</v>
      </c>
      <c r="F60" s="40"/>
      <c r="G60" s="40"/>
      <c r="K60">
        <f>$L60*VLOOKUP($R60,武学奇术!$A:$ZZ,31,FALSE)</f>
        <v>24439.5919954376</v>
      </c>
      <c r="L60" s="39">
        <f t="shared" si="11"/>
        <v>24439.5919954376</v>
      </c>
      <c r="M60" s="39">
        <f>((($AO60+($AP60-$AO60)*IF(VLOOKUP($R60,武学奇术!$A:$ZZ,31,FALSE)=1,$F$18,0.5))*$AI60+$AJ60)*(1+$AQ60)*(1+$AR60)+(($AT60+($AU60-$AT60)*IF(VLOOKUP($R60,武学奇术!$A:$ZZ,31,FALSE)=1,$F$18,0.5))*IF($G$1="鸣金",$AK60,$AI60)+IF($G$1="鸣金",$AL60*1.5,0))*(1+$AV60)*(1+$AW60)+(($AX60+($AY60-$AX60)*IF(VLOOKUP($R60,武学奇术!$A:$ZZ,31,FALSE)=1,$F$18,0.5))*IF($G$1="裂石",$AK60,$AI60)+IF($G$1="裂石",$AL60*1.5,0))*(1+$AZ60)*(1+$BA60)+(($BB60+($BC60-$BB60)*IF(VLOOKUP($R60,武学奇术!$A:$ZZ,31,FALSE)=1,$F$18,0.5))*IF($G$1="牵丝",$AK60,$AI60)+IF($G$1="牵丝",$AL60*1.5,0))*(1+$BD60)*(1+$BE60)+(($BF60+($BG60-$BF60)*IF(VLOOKUP($R60,武学奇术!$A:$ZZ,31,FALSE)=1,$F$18,0.5))*IF($G$1="破竹",$AK60,$AI60)+IF($G$1="破竹",$AL60*1.5,0))*(1+$BH60)*(1+$BI60))*(1+$AM60)*$BL60*$Q60*(1+IF(VLOOKUP($R60,武学奇术!$A:$ZZ,30,FALSE)="蓄力技",$B$21,0))*(1+$BR60)</f>
        <v>24654.2207999728</v>
      </c>
      <c r="N60" s="39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22706.3763773979</v>
      </c>
      <c r="O60" s="39">
        <f>((($AO60+($AP60-$AO60)*IF(VLOOKUP($R60,武学奇术!$A:$ZZ,31,FALSE)=1,$F$18,0.5))*$AI60+$AJ60)*(1+$AQ60)*(1+$AR60)+(($AT60+($AU60-$AT60)*IF(VLOOKUP($R60,武学奇术!$A:$ZZ,31,FALSE)=1,$F$18,0.5))*IF($G$1="鸣金",$AK60,$AI60)+IF($G$1="鸣金",$AL60*1.5,0))*(1+$AV60)*(1+$AW60)+(($AX60+($AY60-$AX60)*IF(VLOOKUP($R60,武学奇术!$A:$ZZ,31,FALSE)=1,$F$18,0.5))*IF($G$1="裂石",$AK60,$AI60)+IF($G$1="裂石",$AL60*1.5,0))*(1+$AZ60)*(1+$BA60)+(($BB60+($BC60-$BB60)*IF(VLOOKUP($R60,武学奇术!$A:$ZZ,31,FALSE)=1,$F$18,0.5))*IF($G$1="牵丝",$AK60,$AI60)+IF($G$1="牵丝",$AL60*1.5,0))*(1+$BD60)*(1+$BE60)+(($BF60+($BG60-$BF60)*IF(VLOOKUP($R60,武学奇术!$A:$ZZ,31,FALSE)=1,$F$18,0.5))*IF($G$1="破竹",$AK60,$AI60)+IF($G$1="破竹",$AL60*1.5,0))*(1+$BH60)*(1+$BI60))*(1+$AM60)*$Q60*(1+IF(VLOOKUP($R60,武学奇术!$A:$ZZ,30,FALSE)="蓄力技",$B$21,0))*(1+$BR60)</f>
        <v>15033.0614633981</v>
      </c>
      <c r="P60" s="39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13246.5848694643</v>
      </c>
      <c r="Q60" s="40">
        <v>1</v>
      </c>
      <c r="R60" s="41" t="s">
        <v>151</v>
      </c>
      <c r="S60" s="41" t="s">
        <v>97</v>
      </c>
      <c r="T60" s="41" t="s">
        <v>73</v>
      </c>
      <c r="U60" s="41" t="s">
        <v>73</v>
      </c>
      <c r="V60" s="41" t="s">
        <v>73</v>
      </c>
      <c r="W60" s="41" t="s">
        <v>73</v>
      </c>
      <c r="X60" s="41" t="s">
        <v>73</v>
      </c>
      <c r="Y60" s="41" t="s">
        <v>164</v>
      </c>
      <c r="Z60" s="41" t="s">
        <v>73</v>
      </c>
      <c r="AA60" s="41" t="s">
        <v>73</v>
      </c>
      <c r="AB60" s="41" t="s">
        <v>84</v>
      </c>
      <c r="AC60" s="41" t="s">
        <v>73</v>
      </c>
      <c r="AD60" s="41" t="s">
        <v>73</v>
      </c>
      <c r="AE60" s="41" t="s">
        <v>76</v>
      </c>
      <c r="AF60" s="41" t="s">
        <v>77</v>
      </c>
      <c r="AG60" s="41" t="s">
        <v>78</v>
      </c>
      <c r="AH60" t="str">
        <f>VLOOKUP($R60,武学奇术!$A:$ZZ,25,FALSE)</f>
        <v>拳甲</v>
      </c>
      <c r="AI60" s="27">
        <f>VLOOKUP($R60,武学奇术!$A:$ZZ,26,FALSE)</f>
        <v>1.1005</v>
      </c>
      <c r="AJ60" s="28">
        <f>VLOOKUP($R60,武学奇术!$A:$ZZ,27,FALSE)*(1+IF(OR($AH60=$F$4,$AH60=$F$5),$B$22,0))</f>
        <v>457.5</v>
      </c>
      <c r="AK60" s="27">
        <f>VLOOKUP($R60,武学奇术!$A:$ZZ,28,FALSE)</f>
        <v>1.6507</v>
      </c>
      <c r="AL60" s="28">
        <f>VLOOKUP($R60,武学奇术!$A:$ZZ,29,FALSE)*(1+IF(OR($AH60=$F$4,$AH60=$F$5),$B$22,0))</f>
        <v>247.5</v>
      </c>
      <c r="AM60" s="27" cm="1">
        <f t="array" ref="AM60">$G$3+IFERROR(VLOOKUP($AH60,$F$4:$G$7,2,FALSE),0)+VLOOKUP($R60,武学奇术!$A:$ZZ,2,FALSE)+SUM(_xlfn.XLOOKUP($S60:$AG60,增益!$A:$A,增益!$B:$B,0))</f>
        <v>0.4041</v>
      </c>
      <c r="AN60" s="27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3888.382</v>
      </c>
      <c r="AP60" cm="1">
        <f t="array" ref="AP60">$E$10*(1+$AN60)+VLOOKUP($R60,武学奇术!$A:$ZZ,4,FALSE)+SUM(_xlfn.XLOOKUP($S60:$AG60,增益!$A:$A,增益!$D:$D,0))-$I$2</f>
        <v>3888.382</v>
      </c>
      <c r="AQ60" s="33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0.317</v>
      </c>
      <c r="AR60" s="33" cm="1">
        <f t="array" ref="AR60">$G$10+VLOOKUP($R60,武学奇术!$A:$ZZ,7,FALSE)+SUM(_xlfn.XLOOKUP(S60:AG60,增益!$A:$A,增益!$G:$G,0))</f>
        <v>0.09</v>
      </c>
      <c r="AS60" s="27" cm="1">
        <f t="array" ref="AS60">VLOOKUP($R60,武学奇术!$A:$ZZ,8,FALSE)+SUM(_xlfn.XLOOKUP(S60:AG60,增益!$A:$A,增益!$H:$H,0))</f>
        <v>0</v>
      </c>
      <c r="AT60">
        <f t="shared" si="18"/>
        <v>0</v>
      </c>
      <c r="AU60">
        <f t="shared" si="19"/>
        <v>0</v>
      </c>
      <c r="AV60" s="33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-0.3</v>
      </c>
      <c r="AW60" s="33" cm="1">
        <f t="array" ref="AW60">$G$11+VLOOKUP($R60,武学奇术!$A:$ZZ,10,FALSE)+SUM(_xlfn.XLOOKUP(S60:AG60,增益!$A:$A,增益!$J:$J,0))</f>
        <v>0</v>
      </c>
      <c r="AX60">
        <f t="shared" si="20"/>
        <v>0</v>
      </c>
      <c r="AY60">
        <f t="shared" si="21"/>
        <v>0</v>
      </c>
      <c r="AZ60" s="33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3" cm="1">
        <f t="array" ref="BA60">$G$12+VLOOKUP($R60,武学奇术!$A:$ZZ,12,FALSE)+SUM(_xlfn.XLOOKUP(S60:AG60,增益!$A:$A,增益!$L:$L,0))</f>
        <v>0</v>
      </c>
      <c r="BB60">
        <f t="shared" si="12"/>
        <v>0</v>
      </c>
      <c r="BC60">
        <f t="shared" si="13"/>
        <v>0</v>
      </c>
      <c r="BD60" s="33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3" cm="1">
        <f t="array" ref="BE60">$G$13+VLOOKUP($R60,武学奇术!$A:$ZZ,14,FALSE)+SUM(_xlfn.XLOOKUP(S60:AG60,增益!$A:$A,增益!$N:$N,0))</f>
        <v>0</v>
      </c>
      <c r="BF60">
        <f t="shared" si="14"/>
        <v>605.472</v>
      </c>
      <c r="BG60">
        <f t="shared" si="15"/>
        <v>1725.468</v>
      </c>
      <c r="BH60" s="33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0</v>
      </c>
      <c r="BI60" s="33" cm="1">
        <f t="array" ref="BI60">$G$14+VLOOKUP($R60,武学奇术!$A:$ZZ,16,FALSE)+SUM(_xlfn.XLOOKUP(S60:AG60,增益!$A:$A,增益!$P:$P,0))</f>
        <v>0.24</v>
      </c>
      <c r="BJ60" s="27">
        <f>MIN(IF(VLOOKUP($R60,武学奇术!$A:$ZZ,23,FALSE)=1,100%,$B$8),100%)</f>
        <v>1</v>
      </c>
      <c r="BK60" s="27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+MIN(IF(VLOOKUP($R60,武学奇术!$A:$ZZ,32,FALSE)=1,IF(VLOOKUP($R60,武学奇术!$A:$ZZ,24,FALSE)=1,100%,MIN(40%,$B$10+VLOOKUP($R60,武学奇术!$A:$ZZ,19,FALSE)+SUM(_xlfn.XLOOKUP(S60:AG60,增益!$A:$A,增益!$S:$S,0)))+$B$12+SUM(_xlfn.XLOOKUP(S60:AG60,增益!$A:$A,增益!$V:$V,0))),0),12%)</f>
        <v>0.9036</v>
      </c>
      <c r="BL60" s="27" cm="1">
        <f t="array" ref="BL60">1+$B$13+VLOOKUP($R60,武学奇术!$A:$ZZ,18,FALSE)+SUM(_xlfn.XLOOKUP(S60:AG60,增益!$A:$A,增益!$R:$R,0))</f>
        <v>1.64</v>
      </c>
      <c r="BM60" s="27" cm="1">
        <f t="array" ref="BM60">MAX(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-IF(VLOOKUP($R60,武学奇术!$A:$ZZ,32,FALSE)=1,12%,0),0)</f>
        <v>0.0929</v>
      </c>
      <c r="BN60" s="27" cm="1">
        <f t="array" ref="BN60">1+$B$14+VLOOKUP($R60,武学奇术!$A:$ZZ,20,FALSE)+SUM(_xlfn.XLOOKUP(S60:AG60,增益!$A:$A,增益!$T:$T,0))</f>
        <v>1.35</v>
      </c>
      <c r="BO60" s="27">
        <f t="shared" si="16"/>
        <v>0.9036</v>
      </c>
      <c r="BP60" s="27">
        <f t="shared" si="17"/>
        <v>0.00350000000000006</v>
      </c>
      <c r="BQ60" s="27">
        <f>IF(VLOOKUP($R60,武学奇术!$A:$ZZ,22,FALSE)=1,0,(1-$BJ60))*(1-$BM60)</f>
        <v>0</v>
      </c>
      <c r="BR60" s="27" cm="1">
        <f t="array" ref="BR60">SUM(_xlfn.XLOOKUP(S60:AG60,增益!$A:$A,增益!$W:$W,0))+$I$5</f>
        <v>0.11</v>
      </c>
    </row>
    <row r="61" spans="1:70">
      <c r="A61" s="4" t="s">
        <v>168</v>
      </c>
      <c r="B61" s="91">
        <v>1.16</v>
      </c>
      <c r="F61" s="40"/>
      <c r="K61">
        <f>$L61*VLOOKUP($R61,武学奇术!$A:$ZZ,31,FALSE)</f>
        <v>55532.133566748</v>
      </c>
      <c r="L61" s="39">
        <f t="shared" ref="L61:L73" si="22">($M61*$BO61+$N61*$BM61+$O61*$BP61+$P61*$BQ61)</f>
        <v>55532.133566748</v>
      </c>
      <c r="M61" s="39">
        <f>((($AO61+($AP61-$AO61)*IF(VLOOKUP($R61,武学奇术!$A:$ZZ,31,FALSE)=1,$F$18,0.5))*$AI61+$AJ61)*(1+$AQ61)*(1+$AR61)+(($AT61+($AU61-$AT61)*IF(VLOOKUP($R61,武学奇术!$A:$ZZ,31,FALSE)=1,$F$18,0.5))*IF($G$1="鸣金",$AK61,$AI61)+IF($G$1="鸣金",$AL61*1.5,0))*(1+$AV61)*(1+$AW61)+(($AX61+($AY61-$AX61)*IF(VLOOKUP($R61,武学奇术!$A:$ZZ,31,FALSE)=1,$F$18,0.5))*IF($G$1="裂石",$AK61,$AI61)+IF($G$1="裂石",$AL61*1.5,0))*(1+$AZ61)*(1+$BA61)+(($BB61+($BC61-$BB61)*IF(VLOOKUP($R61,武学奇术!$A:$ZZ,31,FALSE)=1,$F$18,0.5))*IF($G$1="牵丝",$AK61,$AI61)+IF($G$1="牵丝",$AL61*1.5,0))*(1+$BD61)*(1+$BE61)+(($BF61+($BG61-$BF61)*IF(VLOOKUP($R61,武学奇术!$A:$ZZ,31,FALSE)=1,$F$18,0.5))*IF($G$1="破竹",$AK61,$AI61)+IF($G$1="破竹",$AL61*1.5,0))*(1+$BH61)*(1+$BI61))*(1+$AM61)*$BL61*$Q61*(1+IF(VLOOKUP($R61,武学奇术!$A:$ZZ,30,FALSE)="蓄力技",$B$21,0))*(1+$BR61)</f>
        <v>55991.3893222325</v>
      </c>
      <c r="N61" s="39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51871.0479709708</v>
      </c>
      <c r="O61" s="39">
        <f>((($AO61+($AP61-$AO61)*IF(VLOOKUP($R61,武学奇术!$A:$ZZ,31,FALSE)=1,$F$18,0.5))*$AI61+$AJ61)*(1+$AQ61)*(1+$AR61)+(($AT61+($AU61-$AT61)*IF(VLOOKUP($R61,武学奇术!$A:$ZZ,31,FALSE)=1,$F$18,0.5))*IF($G$1="鸣金",$AK61,$AI61)+IF($G$1="鸣金",$AL61*1.5,0))*(1+$AV61)*(1+$AW61)+(($AX61+($AY61-$AX61)*IF(VLOOKUP($R61,武学奇术!$A:$ZZ,31,FALSE)=1,$F$18,0.5))*IF($G$1="裂石",$AK61,$AI61)+IF($G$1="裂石",$AL61*1.5,0))*(1+$AZ61)*(1+$BA61)+(($BB61+($BC61-$BB61)*IF(VLOOKUP($R61,武学奇术!$A:$ZZ,31,FALSE)=1,$F$18,0.5))*IF($G$1="牵丝",$AK61,$AI61)+IF($G$1="牵丝",$AL61*1.5,0))*(1+$BD61)*(1+$BE61)+(($BF61+($BG61-$BF61)*IF(VLOOKUP($R61,武学奇术!$A:$ZZ,31,FALSE)=1,$F$18,0.5))*IF($G$1="破竹",$AK61,$AI61)+IF($G$1="破竹",$AL61*1.5,0))*(1+$BH61)*(1+$BI61))*(1+$AM61)*$Q61*(1+IF(VLOOKUP($R61,武学奇术!$A:$ZZ,30,FALSE)="蓄力技",$B$21,0))*(1+$BR61)</f>
        <v>34141.0910501418</v>
      </c>
      <c r="P61" s="39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29859.1836032682</v>
      </c>
      <c r="Q61" s="40">
        <v>1</v>
      </c>
      <c r="R61" s="41" t="s">
        <v>120</v>
      </c>
      <c r="S61" s="41" t="s">
        <v>97</v>
      </c>
      <c r="T61" s="41" t="s">
        <v>73</v>
      </c>
      <c r="U61" s="41" t="s">
        <v>73</v>
      </c>
      <c r="V61" s="41" t="s">
        <v>73</v>
      </c>
      <c r="W61" s="41" t="s">
        <v>73</v>
      </c>
      <c r="X61" s="41" t="s">
        <v>73</v>
      </c>
      <c r="Y61" s="41" t="s">
        <v>164</v>
      </c>
      <c r="Z61" s="41" t="s">
        <v>83</v>
      </c>
      <c r="AA61" s="41" t="s">
        <v>73</v>
      </c>
      <c r="AB61" s="41" t="s">
        <v>84</v>
      </c>
      <c r="AC61" s="41" t="s">
        <v>73</v>
      </c>
      <c r="AD61" s="41" t="s">
        <v>73</v>
      </c>
      <c r="AE61" s="41" t="s">
        <v>76</v>
      </c>
      <c r="AF61" s="41" t="s">
        <v>77</v>
      </c>
      <c r="AG61" s="41" t="s">
        <v>78</v>
      </c>
      <c r="AH61" t="str">
        <f>VLOOKUP($R61,武学奇术!$A:$ZZ,25,FALSE)</f>
        <v>拳甲</v>
      </c>
      <c r="AI61" s="27">
        <f>VLOOKUP($R61,武学奇术!$A:$ZZ,26,FALSE)</f>
        <v>2.4421</v>
      </c>
      <c r="AJ61" s="28">
        <f>VLOOKUP($R61,武学奇术!$A:$ZZ,27,FALSE)*(1+IF(OR($AH61=$F$4,$AH61=$F$5),$B$22,0))</f>
        <v>1012.5</v>
      </c>
      <c r="AK61" s="27">
        <f>VLOOKUP($R61,武学奇术!$A:$ZZ,28,FALSE)</f>
        <v>3.6634</v>
      </c>
      <c r="AL61" s="28">
        <f>VLOOKUP($R61,武学奇术!$A:$ZZ,29,FALSE)*(1+IF(OR($AH61=$F$4,$AH61=$F$5),$B$22,0))</f>
        <v>549</v>
      </c>
      <c r="AM61" s="27" cm="1">
        <f t="array" ref="AM61">$G$3+IFERROR(VLOOKUP($AH61,$F$4:$G$7,2,FALSE),0)+VLOOKUP($R61,武学奇术!$A:$ZZ,2,FALSE)+SUM(_xlfn.XLOOKUP($S61:$AG61,增益!$A:$A,增益!$B:$B,0))</f>
        <v>0.4041</v>
      </c>
      <c r="AN61" s="27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3888.382</v>
      </c>
      <c r="AP61" cm="1">
        <f t="array" ref="AP61">$E$10*(1+$AN61)+VLOOKUP($R61,武学奇术!$A:$ZZ,4,FALSE)+SUM(_xlfn.XLOOKUP($S61:$AG61,增益!$A:$A,增益!$D:$D,0))-$I$2</f>
        <v>3888.382</v>
      </c>
      <c r="AQ61" s="33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0.317</v>
      </c>
      <c r="AR61" s="33" cm="1">
        <f t="array" ref="AR61">$G$10+VLOOKUP($R61,武学奇术!$A:$ZZ,7,FALSE)+SUM(_xlfn.XLOOKUP(S61:AG61,增益!$A:$A,增益!$G:$G,0))</f>
        <v>0.09</v>
      </c>
      <c r="AS61" s="27" cm="1">
        <f t="array" ref="AS61">VLOOKUP($R61,武学奇术!$A:$ZZ,8,FALSE)+SUM(_xlfn.XLOOKUP(S61:AG61,增益!$A:$A,增益!$H:$H,0))</f>
        <v>0</v>
      </c>
      <c r="AT61">
        <f t="shared" ref="AT61:AT73" si="23">$D$11*(1+$AS61)</f>
        <v>0</v>
      </c>
      <c r="AU61">
        <f t="shared" ref="AU61:AU73" si="24">$E$11*(1+$AS61)</f>
        <v>0</v>
      </c>
      <c r="AV61" s="33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-0.14</v>
      </c>
      <c r="AW61" s="33" cm="1">
        <f t="array" ref="AW61">$G$11+VLOOKUP($R61,武学奇术!$A:$ZZ,10,FALSE)+SUM(_xlfn.XLOOKUP(S61:AG61,增益!$A:$A,增益!$J:$J,0))</f>
        <v>0</v>
      </c>
      <c r="AX61">
        <f t="shared" ref="AX61:AX73" si="25">$D$12*(1+$AS61)</f>
        <v>0</v>
      </c>
      <c r="AY61">
        <f t="shared" ref="AY61:AY73" si="26">$E$12*(1+$AS61)</f>
        <v>0</v>
      </c>
      <c r="AZ61" s="33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-0.14</v>
      </c>
      <c r="BA61" s="33" cm="1">
        <f t="array" ref="BA61">$G$12+VLOOKUP($R61,武学奇术!$A:$ZZ,12,FALSE)+SUM(_xlfn.XLOOKUP(S61:AG61,增益!$A:$A,增益!$L:$L,0))</f>
        <v>0</v>
      </c>
      <c r="BB61">
        <f t="shared" ref="BB61:BB73" si="27">$D$13*(1+$AS61)</f>
        <v>0</v>
      </c>
      <c r="BC61">
        <f t="shared" ref="BC61:BC73" si="28">$E$13*(1+$AS61)</f>
        <v>0</v>
      </c>
      <c r="BD61" s="33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-0.14</v>
      </c>
      <c r="BE61" s="33" cm="1">
        <f t="array" ref="BE61">$G$13+VLOOKUP($R61,武学奇术!$A:$ZZ,14,FALSE)+SUM(_xlfn.XLOOKUP(S61:AG61,增益!$A:$A,增益!$N:$N,0))</f>
        <v>0</v>
      </c>
      <c r="BF61">
        <f t="shared" ref="BF61:BF73" si="29">$D$14*(1+$AS61)</f>
        <v>605.472</v>
      </c>
      <c r="BG61">
        <f t="shared" ref="BG61:BG73" si="30">$E$14*(1+$AS61)</f>
        <v>1725.468</v>
      </c>
      <c r="BH61" s="33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0.08</v>
      </c>
      <c r="BI61" s="33" cm="1">
        <f t="array" ref="BI61">$G$14+VLOOKUP($R61,武学奇术!$A:$ZZ,16,FALSE)+SUM(_xlfn.XLOOKUP(S61:AG61,增益!$A:$A,增益!$P:$P,0))</f>
        <v>0.24</v>
      </c>
      <c r="BJ61" s="27">
        <f>MIN(IF(VLOOKUP($R61,武学奇术!$A:$ZZ,23,FALSE)=1,100%,$B$8),100%)</f>
        <v>1</v>
      </c>
      <c r="BK61" s="27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+MIN(IF(VLOOKUP($R61,武学奇术!$A:$ZZ,32,FALSE)=1,IF(VLOOKUP($R61,武学奇术!$A:$ZZ,24,FALSE)=1,100%,MIN(40%,$B$10+VLOOKUP($R61,武学奇术!$A:$ZZ,19,FALSE)+SUM(_xlfn.XLOOKUP(S61:AG61,增益!$A:$A,增益!$S:$S,0)))+$B$12+SUM(_xlfn.XLOOKUP(S61:AG61,增益!$A:$A,增益!$V:$V,0))),0),12%)</f>
        <v>0.9036</v>
      </c>
      <c r="BL61" s="27" cm="1">
        <f t="array" ref="BL61">1+$B$13+VLOOKUP($R61,武学奇术!$A:$ZZ,18,FALSE)+SUM(_xlfn.XLOOKUP(S61:AG61,增益!$A:$A,增益!$R:$R,0))</f>
        <v>1.64</v>
      </c>
      <c r="BM61" s="27" cm="1">
        <f t="array" ref="BM61">MAX(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-IF(VLOOKUP($R61,武学奇术!$A:$ZZ,32,FALSE)=1,12%,0),0)</f>
        <v>0.0929</v>
      </c>
      <c r="BN61" s="27" cm="1">
        <f t="array" ref="BN61">1+$B$14+VLOOKUP($R61,武学奇术!$A:$ZZ,20,FALSE)+SUM(_xlfn.XLOOKUP(S61:AG61,增益!$A:$A,增益!$T:$T,0))</f>
        <v>1.35</v>
      </c>
      <c r="BO61" s="27">
        <f t="shared" si="16"/>
        <v>0.9036</v>
      </c>
      <c r="BP61" s="27">
        <f t="shared" si="17"/>
        <v>0.00350000000000006</v>
      </c>
      <c r="BQ61" s="27">
        <f>IF(VLOOKUP($R61,武学奇术!$A:$ZZ,22,FALSE)=1,0,(1-$BJ61))*(1-$BM61)</f>
        <v>0</v>
      </c>
      <c r="BR61" s="27" cm="1">
        <f t="array" ref="BR61">SUM(_xlfn.XLOOKUP(S61:AG61,增益!$A:$A,增益!$W:$W,0))+$I$5</f>
        <v>0.11</v>
      </c>
    </row>
    <row r="62" spans="1:70">
      <c r="A62" t="s">
        <v>157</v>
      </c>
      <c r="B62">
        <v>0.9</v>
      </c>
      <c r="F62" s="40"/>
      <c r="K62">
        <f>$L62*VLOOKUP($R62,武学奇术!$A:$ZZ,31,FALSE)</f>
        <v>29305.1471737049</v>
      </c>
      <c r="L62" s="39">
        <f t="shared" si="22"/>
        <v>29305.1471737049</v>
      </c>
      <c r="M62" s="39">
        <f>((($AO62+($AP62-$AO62)*IF(VLOOKUP($R62,武学奇术!$A:$ZZ,31,FALSE)=1,$F$18,0.5))*$AI62+$AJ62)*(1+$AQ62)*(1+$AR62)+(($AT62+($AU62-$AT62)*IF(VLOOKUP($R62,武学奇术!$A:$ZZ,31,FALSE)=1,$F$18,0.5))*IF($G$1="鸣金",$AK62,$AI62)+IF($G$1="鸣金",$AL62*1.5,0))*(1+$AV62)*(1+$AW62)+(($AX62+($AY62-$AX62)*IF(VLOOKUP($R62,武学奇术!$A:$ZZ,31,FALSE)=1,$F$18,0.5))*IF($G$1="裂石",$AK62,$AI62)+IF($G$1="裂石",$AL62*1.5,0))*(1+$AZ62)*(1+$BA62)+(($BB62+($BC62-$BB62)*IF(VLOOKUP($R62,武学奇术!$A:$ZZ,31,FALSE)=1,$F$18,0.5))*IF($G$1="牵丝",$AK62,$AI62)+IF($G$1="牵丝",$AL62*1.5,0))*(1+$BD62)*(1+$BE62)+(($BF62+($BG62-$BF62)*IF(VLOOKUP($R62,武学奇术!$A:$ZZ,31,FALSE)=1,$F$18,0.5))*IF($G$1="破竹",$AK62,$AI62)+IF($G$1="破竹",$AL62*1.5,0))*(1+$BH62)*(1+$BI62))*(1+$AM62)*$BL62*$Q62*(1+IF(VLOOKUP($R62,武学奇术!$A:$ZZ,30,FALSE)="蓄力技",$B$21,0))*(1+$BR62)</f>
        <v>29547.7916685769</v>
      </c>
      <c r="N62" s="39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27370.3262700867</v>
      </c>
      <c r="O62" s="39">
        <f>((($AO62+($AP62-$AO62)*IF(VLOOKUP($R62,武学奇术!$A:$ZZ,31,FALSE)=1,$F$18,0.5))*$AI62+$AJ62)*(1+$AQ62)*(1+$AR62)+(($AT62+($AU62-$AT62)*IF(VLOOKUP($R62,武学奇术!$A:$ZZ,31,FALSE)=1,$F$18,0.5))*IF($G$1="鸣金",$AK62,$AI62)+IF($G$1="鸣金",$AL62*1.5,0))*(1+$AV62)*(1+$AW62)+(($AX62+($AY62-$AX62)*IF(VLOOKUP($R62,武学奇术!$A:$ZZ,31,FALSE)=1,$F$18,0.5))*IF($G$1="裂石",$AK62,$AI62)+IF($G$1="裂石",$AL62*1.5,0))*(1+$AZ62)*(1+$BA62)+(($BB62+($BC62-$BB62)*IF(VLOOKUP($R62,武学奇术!$A:$ZZ,31,FALSE)=1,$F$18,0.5))*IF($G$1="牵丝",$AK62,$AI62)+IF($G$1="牵丝",$AL62*1.5,0))*(1+$BD62)*(1+$BE62)+(($BF62+($BG62-$BF62)*IF(VLOOKUP($R62,武学奇术!$A:$ZZ,31,FALSE)=1,$F$18,0.5))*IF($G$1="破竹",$AK62,$AI62)+IF($G$1="破竹",$AL62*1.5,0))*(1+$BH62)*(1+$BI62))*(1+$AM62)*$Q62*(1+IF(VLOOKUP($R62,武学奇术!$A:$ZZ,30,FALSE)="蓄力技",$B$21,0))*(1+$BR62)</f>
        <v>18016.9461393761</v>
      </c>
      <c r="P62" s="39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15759.5765231325</v>
      </c>
      <c r="Q62" s="40">
        <v>1</v>
      </c>
      <c r="R62" s="41" t="s">
        <v>115</v>
      </c>
      <c r="S62" s="41" t="s">
        <v>97</v>
      </c>
      <c r="T62" s="41" t="s">
        <v>73</v>
      </c>
      <c r="U62" s="41" t="s">
        <v>73</v>
      </c>
      <c r="V62" s="41" t="s">
        <v>73</v>
      </c>
      <c r="W62" s="41" t="s">
        <v>73</v>
      </c>
      <c r="X62" s="41" t="s">
        <v>73</v>
      </c>
      <c r="Y62" s="41" t="s">
        <v>164</v>
      </c>
      <c r="Z62" s="41" t="s">
        <v>83</v>
      </c>
      <c r="AA62" s="41" t="s">
        <v>73</v>
      </c>
      <c r="AB62" s="41" t="s">
        <v>84</v>
      </c>
      <c r="AC62" s="41" t="s">
        <v>73</v>
      </c>
      <c r="AD62" s="41" t="s">
        <v>73</v>
      </c>
      <c r="AE62" s="41" t="s">
        <v>76</v>
      </c>
      <c r="AF62" s="41" t="s">
        <v>77</v>
      </c>
      <c r="AG62" s="41" t="s">
        <v>78</v>
      </c>
      <c r="AH62" t="str">
        <f>VLOOKUP($R62,武学奇术!$A:$ZZ,25,FALSE)</f>
        <v>拳甲</v>
      </c>
      <c r="AI62" s="27">
        <f>VLOOKUP($R62,武学奇术!$A:$ZZ,26,FALSE)</f>
        <v>1.2876</v>
      </c>
      <c r="AJ62" s="28">
        <f>VLOOKUP($R62,武学奇术!$A:$ZZ,27,FALSE)*(1+IF(OR($AH62=$F$4,$AH62=$F$5),$B$22,0))</f>
        <v>537</v>
      </c>
      <c r="AK62" s="27">
        <f>VLOOKUP($R62,武学奇术!$A:$ZZ,28,FALSE)</f>
        <v>1.9313</v>
      </c>
      <c r="AL62" s="28">
        <f>VLOOKUP($R62,武学奇术!$A:$ZZ,29,FALSE)*(1+IF(OR($AH62=$F$4,$AH62=$F$5),$B$22,0))</f>
        <v>292.5</v>
      </c>
      <c r="AM62" s="27" cm="1">
        <f t="array" ref="AM62">$G$3+IFERROR(VLOOKUP($AH62,$F$4:$G$7,2,FALSE),0)+VLOOKUP($R62,武学奇术!$A:$ZZ,2,FALSE)+SUM(_xlfn.XLOOKUP($S62:$AG62,增益!$A:$A,增益!$B:$B,0))</f>
        <v>0.4041</v>
      </c>
      <c r="AN62" s="27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3888.382</v>
      </c>
      <c r="AP62" cm="1">
        <f t="array" ref="AP62">$E$10*(1+$AN62)+VLOOKUP($R62,武学奇术!$A:$ZZ,4,FALSE)+SUM(_xlfn.XLOOKUP($S62:$AG62,增益!$A:$A,增益!$D:$D,0))-$I$2</f>
        <v>3888.382</v>
      </c>
      <c r="AQ62" s="33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0.317</v>
      </c>
      <c r="AR62" s="33" cm="1">
        <f t="array" ref="AR62">$G$10+VLOOKUP($R62,武学奇术!$A:$ZZ,7,FALSE)+SUM(_xlfn.XLOOKUP(S62:AG62,增益!$A:$A,增益!$G:$G,0))</f>
        <v>0.09</v>
      </c>
      <c r="AS62" s="27" cm="1">
        <f t="array" ref="AS62">VLOOKUP($R62,武学奇术!$A:$ZZ,8,FALSE)+SUM(_xlfn.XLOOKUP(S62:AG62,增益!$A:$A,增益!$H:$H,0))</f>
        <v>0</v>
      </c>
      <c r="AT62">
        <f t="shared" si="23"/>
        <v>0</v>
      </c>
      <c r="AU62">
        <f t="shared" si="24"/>
        <v>0</v>
      </c>
      <c r="AV62" s="33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-0.14</v>
      </c>
      <c r="AW62" s="33" cm="1">
        <f t="array" ref="AW62">$G$11+VLOOKUP($R62,武学奇术!$A:$ZZ,10,FALSE)+SUM(_xlfn.XLOOKUP(S62:AG62,增益!$A:$A,增益!$J:$J,0))</f>
        <v>0</v>
      </c>
      <c r="AX62">
        <f t="shared" si="25"/>
        <v>0</v>
      </c>
      <c r="AY62">
        <f t="shared" si="26"/>
        <v>0</v>
      </c>
      <c r="AZ62" s="33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-0.14</v>
      </c>
      <c r="BA62" s="33" cm="1">
        <f t="array" ref="BA62">$G$12+VLOOKUP($R62,武学奇术!$A:$ZZ,12,FALSE)+SUM(_xlfn.XLOOKUP(S62:AG62,增益!$A:$A,增益!$L:$L,0))</f>
        <v>0</v>
      </c>
      <c r="BB62">
        <f t="shared" si="27"/>
        <v>0</v>
      </c>
      <c r="BC62">
        <f t="shared" si="28"/>
        <v>0</v>
      </c>
      <c r="BD62" s="33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-0.14</v>
      </c>
      <c r="BE62" s="33" cm="1">
        <f t="array" ref="BE62">$G$13+VLOOKUP($R62,武学奇术!$A:$ZZ,14,FALSE)+SUM(_xlfn.XLOOKUP(S62:AG62,增益!$A:$A,增益!$N:$N,0))</f>
        <v>0</v>
      </c>
      <c r="BF62">
        <f t="shared" si="29"/>
        <v>605.472</v>
      </c>
      <c r="BG62">
        <f t="shared" si="30"/>
        <v>1725.468</v>
      </c>
      <c r="BH62" s="33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0.08</v>
      </c>
      <c r="BI62" s="33" cm="1">
        <f t="array" ref="BI62">$G$14+VLOOKUP($R62,武学奇术!$A:$ZZ,16,FALSE)+SUM(_xlfn.XLOOKUP(S62:AG62,增益!$A:$A,增益!$P:$P,0))</f>
        <v>0.24</v>
      </c>
      <c r="BJ62" s="27">
        <f>MIN(IF(VLOOKUP($R62,武学奇术!$A:$ZZ,23,FALSE)=1,100%,$B$8),100%)</f>
        <v>1</v>
      </c>
      <c r="BK62" s="27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+MIN(IF(VLOOKUP($R62,武学奇术!$A:$ZZ,32,FALSE)=1,IF(VLOOKUP($R62,武学奇术!$A:$ZZ,24,FALSE)=1,100%,MIN(40%,$B$10+VLOOKUP($R62,武学奇术!$A:$ZZ,19,FALSE)+SUM(_xlfn.XLOOKUP(S62:AG62,增益!$A:$A,增益!$S:$S,0)))+$B$12+SUM(_xlfn.XLOOKUP(S62:AG62,增益!$A:$A,增益!$V:$V,0))),0),12%)</f>
        <v>0.9036</v>
      </c>
      <c r="BL62" s="27" cm="1">
        <f t="array" ref="BL62">1+$B$13+VLOOKUP($R62,武学奇术!$A:$ZZ,18,FALSE)+SUM(_xlfn.XLOOKUP(S62:AG62,增益!$A:$A,增益!$R:$R,0))</f>
        <v>1.64</v>
      </c>
      <c r="BM62" s="27" cm="1">
        <f t="array" ref="BM62">MAX(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-IF(VLOOKUP($R62,武学奇术!$A:$ZZ,32,FALSE)=1,12%,0),0)</f>
        <v>0.0929</v>
      </c>
      <c r="BN62" s="27" cm="1">
        <f t="array" ref="BN62">1+$B$14+VLOOKUP($R62,武学奇术!$A:$ZZ,20,FALSE)+SUM(_xlfn.XLOOKUP(S62:AG62,增益!$A:$A,增益!$T:$T,0))</f>
        <v>1.35</v>
      </c>
      <c r="BO62" s="27">
        <f t="shared" si="16"/>
        <v>0.9036</v>
      </c>
      <c r="BP62" s="27">
        <f t="shared" si="17"/>
        <v>0.00350000000000006</v>
      </c>
      <c r="BQ62" s="27">
        <f>IF(VLOOKUP($R62,武学奇术!$A:$ZZ,22,FALSE)=1,0,(1-$BJ62))*(1-$BM62)</f>
        <v>0</v>
      </c>
      <c r="BR62" s="27" cm="1">
        <f t="array" ref="BR62">SUM(_xlfn.XLOOKUP(S62:AG62,增益!$A:$A,增益!$W:$W,0))+$I$5</f>
        <v>0.11</v>
      </c>
    </row>
    <row r="63" spans="1:70">
      <c r="A63" t="s">
        <v>167</v>
      </c>
      <c r="B63">
        <v>1.23</v>
      </c>
      <c r="C63" s="40" t="s">
        <v>133</v>
      </c>
      <c r="E63" s="40" t="s">
        <v>172</v>
      </c>
      <c r="F63" s="40"/>
      <c r="K63">
        <f>$L63*VLOOKUP($R63,武学奇术!$A:$ZZ,31,FALSE)</f>
        <v>100044.852319325</v>
      </c>
      <c r="L63" s="39">
        <f t="shared" si="22"/>
        <v>76957.5787071733</v>
      </c>
      <c r="M63" s="39">
        <f>((($AO63+($AP63-$AO63)*IF(VLOOKUP($R63,武学奇术!$A:$ZZ,31,FALSE)=1,$F$18,0.5))*$AI63+$AJ63)*(1+$AQ63)*(1+$AR63)+(($AT63+($AU63-$AT63)*IF(VLOOKUP($R63,武学奇术!$A:$ZZ,31,FALSE)=1,$F$18,0.5))*IF($G$1="鸣金",$AK63,$AI63)+IF($G$1="鸣金",$AL63*1.5,0))*(1+$AV63)*(1+$AW63)+(($AX63+($AY63-$AX63)*IF(VLOOKUP($R63,武学奇术!$A:$ZZ,31,FALSE)=1,$F$18,0.5))*IF($G$1="裂石",$AK63,$AI63)+IF($G$1="裂石",$AL63*1.5,0))*(1+$AZ63)*(1+$BA63)+(($BB63+($BC63-$BB63)*IF(VLOOKUP($R63,武学奇术!$A:$ZZ,31,FALSE)=1,$F$18,0.5))*IF($G$1="牵丝",$AK63,$AI63)+IF($G$1="牵丝",$AL63*1.5,0))*(1+$BD63)*(1+$BE63)+(($BF63+($BG63-$BF63)*IF(VLOOKUP($R63,武学奇术!$A:$ZZ,31,FALSE)=1,$F$18,0.5))*IF($G$1="破竹",$AK63,$AI63)+IF($G$1="破竹",$AL63*1.5,0))*(1+$BH63)*(1+$BI63))*(1+$AM63)*$BL63*$Q63*(1+IF(VLOOKUP($R63,武学奇术!$A:$ZZ,30,FALSE)="蓄力技",$B$21,0))*(1+$BR63)</f>
        <v>78587.3873878759</v>
      </c>
      <c r="N63" s="39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62478.3002636157</v>
      </c>
      <c r="O63" s="39">
        <f>((($AO63+($AP63-$AO63)*IF(VLOOKUP($R63,武学奇术!$A:$ZZ,31,FALSE)=1,$F$18,0.5))*$AI63+$AJ63)*(1+$AQ63)*(1+$AR63)+(($AT63+($AU63-$AT63)*IF(VLOOKUP($R63,武学奇术!$A:$ZZ,31,FALSE)=1,$F$18,0.5))*IF($G$1="鸣金",$AK63,$AI63)+IF($G$1="鸣金",$AL63*1.5,0))*(1+$AV63)*(1+$AW63)+(($AX63+($AY63-$AX63)*IF(VLOOKUP($R63,武学奇术!$A:$ZZ,31,FALSE)=1,$F$18,0.5))*IF($G$1="裂石",$AK63,$AI63)+IF($G$1="裂石",$AL63*1.5,0))*(1+$AZ63)*(1+$BA63)+(($BB63+($BC63-$BB63)*IF(VLOOKUP($R63,武学奇术!$A:$ZZ,31,FALSE)=1,$F$18,0.5))*IF($G$1="牵丝",$AK63,$AI63)+IF($G$1="牵丝",$AL63*1.5,0))*(1+$BD63)*(1+$BE63)+(($BF63+($BG63-$BF63)*IF(VLOOKUP($R63,武学奇术!$A:$ZZ,31,FALSE)=1,$F$18,0.5))*IF($G$1="破竹",$AK63,$AI63)+IF($G$1="破竹",$AL63*1.5,0))*(1+$BH63)*(1+$BI63))*(1+$AM63)*$Q63*(1+IF(VLOOKUP($R63,武学奇术!$A:$ZZ,30,FALSE)="蓄力技",$B$21,0))*(1+$BR63)</f>
        <v>40508.9625710701</v>
      </c>
      <c r="P63" s="39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34737.702724647</v>
      </c>
      <c r="Q63" s="40">
        <v>1</v>
      </c>
      <c r="R63" s="41" t="s">
        <v>117</v>
      </c>
      <c r="S63" s="41" t="s">
        <v>97</v>
      </c>
      <c r="T63" s="41" t="s">
        <v>73</v>
      </c>
      <c r="U63" s="41" t="s">
        <v>73</v>
      </c>
      <c r="V63" s="41" t="s">
        <v>73</v>
      </c>
      <c r="W63" s="41" t="s">
        <v>73</v>
      </c>
      <c r="X63" s="41" t="s">
        <v>73</v>
      </c>
      <c r="Y63" s="41" t="s">
        <v>164</v>
      </c>
      <c r="Z63" s="41" t="s">
        <v>83</v>
      </c>
      <c r="AA63" s="41" t="s">
        <v>105</v>
      </c>
      <c r="AB63" s="41" t="s">
        <v>84</v>
      </c>
      <c r="AC63" s="41" t="s">
        <v>73</v>
      </c>
      <c r="AD63" s="41" t="s">
        <v>73</v>
      </c>
      <c r="AE63" s="41" t="s">
        <v>76</v>
      </c>
      <c r="AF63" s="41" t="s">
        <v>77</v>
      </c>
      <c r="AG63" s="41" t="s">
        <v>78</v>
      </c>
      <c r="AH63" t="str">
        <f>VLOOKUP($R63,武学奇术!$A:$ZZ,25,FALSE)</f>
        <v>拳甲</v>
      </c>
      <c r="AI63" s="27">
        <f>VLOOKUP($R63,武学奇术!$A:$ZZ,26,FALSE)</f>
        <v>2.638944</v>
      </c>
      <c r="AJ63" s="28">
        <f>VLOOKUP($R63,武学奇术!$A:$ZZ,27,FALSE)*(1+IF(OR($AH63=$F$4,$AH63=$F$5),$B$22,0))</f>
        <v>0</v>
      </c>
      <c r="AK63" s="27">
        <f>VLOOKUP($R63,武学奇术!$A:$ZZ,28,FALSE)</f>
        <v>3.958416</v>
      </c>
      <c r="AL63" s="28">
        <f>VLOOKUP($R63,武学奇术!$A:$ZZ,29,FALSE)*(1+IF(OR($AH63=$F$4,$AH63=$F$5),$B$22,0))</f>
        <v>0</v>
      </c>
      <c r="AM63" s="27" cm="1">
        <f t="array" ref="AM63">$G$3+IFERROR(VLOOKUP($AH63,$F$4:$G$7,2,FALSE),0)+VLOOKUP($R63,武学奇术!$A:$ZZ,2,FALSE)+SUM(_xlfn.XLOOKUP($S63:$AG63,增益!$A:$A,增益!$B:$B,0))</f>
        <v>0.7041</v>
      </c>
      <c r="AN63" s="27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3888.382</v>
      </c>
      <c r="AP63" cm="1">
        <f t="array" ref="AP63">$E$10*(1+$AN63)+VLOOKUP($R63,武学奇术!$A:$ZZ,4,FALSE)+SUM(_xlfn.XLOOKUP($S63:$AG63,增益!$A:$A,增益!$D:$D,0))-$I$2</f>
        <v>3888.382</v>
      </c>
      <c r="AQ63" s="33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0.347</v>
      </c>
      <c r="AR63" s="33" cm="1">
        <f t="array" ref="AR63">$G$10+VLOOKUP($R63,武学奇术!$A:$ZZ,7,FALSE)+SUM(_xlfn.XLOOKUP(S63:AG63,增益!$A:$A,增益!$G:$G,0))</f>
        <v>0.09</v>
      </c>
      <c r="AS63" s="27" cm="1">
        <f t="array" ref="AS63">VLOOKUP($R63,武学奇术!$A:$ZZ,8,FALSE)+SUM(_xlfn.XLOOKUP(S63:AG63,增益!$A:$A,增益!$H:$H,0))</f>
        <v>0</v>
      </c>
      <c r="AT63">
        <f t="shared" si="23"/>
        <v>0</v>
      </c>
      <c r="AU63">
        <f t="shared" si="24"/>
        <v>0</v>
      </c>
      <c r="AV63" s="33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-0.08</v>
      </c>
      <c r="AW63" s="33" cm="1">
        <f t="array" ref="AW63">$G$11+VLOOKUP($R63,武学奇术!$A:$ZZ,10,FALSE)+SUM(_xlfn.XLOOKUP(S63:AG63,增益!$A:$A,增益!$J:$J,0))</f>
        <v>0</v>
      </c>
      <c r="AX63">
        <f t="shared" si="25"/>
        <v>0</v>
      </c>
      <c r="AY63">
        <f t="shared" si="26"/>
        <v>0</v>
      </c>
      <c r="AZ63" s="33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-0.08</v>
      </c>
      <c r="BA63" s="33" cm="1">
        <f t="array" ref="BA63">$G$12+VLOOKUP($R63,武学奇术!$A:$ZZ,12,FALSE)+SUM(_xlfn.XLOOKUP(S63:AG63,增益!$A:$A,增益!$L:$L,0))</f>
        <v>0</v>
      </c>
      <c r="BB63">
        <f t="shared" si="27"/>
        <v>0</v>
      </c>
      <c r="BC63">
        <f t="shared" si="28"/>
        <v>0</v>
      </c>
      <c r="BD63" s="33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-0.08</v>
      </c>
      <c r="BE63" s="33" cm="1">
        <f t="array" ref="BE63">$G$13+VLOOKUP($R63,武学奇术!$A:$ZZ,14,FALSE)+SUM(_xlfn.XLOOKUP(S63:AG63,增益!$A:$A,增益!$N:$N,0))</f>
        <v>0</v>
      </c>
      <c r="BF63">
        <f t="shared" si="29"/>
        <v>605.472</v>
      </c>
      <c r="BG63">
        <f t="shared" si="30"/>
        <v>1725.468</v>
      </c>
      <c r="BH63" s="33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0.11</v>
      </c>
      <c r="BI63" s="33" cm="1">
        <f t="array" ref="BI63">$G$14+VLOOKUP($R63,武学奇术!$A:$ZZ,16,FALSE)+SUM(_xlfn.XLOOKUP(S63:AG63,增益!$A:$A,增益!$P:$P,0))</f>
        <v>0.24</v>
      </c>
      <c r="BJ63" s="27">
        <f>MIN(IF(VLOOKUP($R63,武学奇术!$A:$ZZ,23,FALSE)=1,100%,$B$8),100%)</f>
        <v>1</v>
      </c>
      <c r="BK63" s="27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+MIN(IF(VLOOKUP($R63,武学奇术!$A:$ZZ,32,FALSE)=1,IF(VLOOKUP($R63,武学奇术!$A:$ZZ,24,FALSE)=1,100%,MIN(40%,$B$10+VLOOKUP($R63,武学奇术!$A:$ZZ,19,FALSE)+SUM(_xlfn.XLOOKUP(S63:AG63,增益!$A:$A,增益!$S:$S,0)))+$B$12+SUM(_xlfn.XLOOKUP(S63:AG63,增益!$A:$A,增益!$V:$V,0))),0),12%)</f>
        <v>0.9036</v>
      </c>
      <c r="BL63" s="27" cm="1">
        <f t="array" ref="BL63">1+$B$13+VLOOKUP($R63,武学奇术!$A:$ZZ,18,FALSE)+SUM(_xlfn.XLOOKUP(S63:AG63,增益!$A:$A,增益!$R:$R,0))</f>
        <v>1.94</v>
      </c>
      <c r="BM63" s="27" cm="1">
        <f t="array" ref="BM63">MAX(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-IF(VLOOKUP($R63,武学奇术!$A:$ZZ,32,FALSE)=1,12%,0),0)</f>
        <v>0.0929</v>
      </c>
      <c r="BN63" s="27" cm="1">
        <f t="array" ref="BN63">1+$B$14+VLOOKUP($R63,武学奇术!$A:$ZZ,20,FALSE)+SUM(_xlfn.XLOOKUP(S63:AG63,增益!$A:$A,增益!$T:$T,0))</f>
        <v>1.35</v>
      </c>
      <c r="BO63" s="27">
        <f t="shared" si="16"/>
        <v>0.9036</v>
      </c>
      <c r="BP63" s="27">
        <f t="shared" si="17"/>
        <v>0.00350000000000006</v>
      </c>
      <c r="BQ63" s="27">
        <f>IF(VLOOKUP($R63,武学奇术!$A:$ZZ,22,FALSE)=1,0,(1-$BJ63))*(1-$BM63)</f>
        <v>0</v>
      </c>
      <c r="BR63" s="27" cm="1">
        <f t="array" ref="BR63">SUM(_xlfn.XLOOKUP(S63:AG63,增益!$A:$A,增益!$W:$W,0))+$I$5</f>
        <v>0.11</v>
      </c>
    </row>
    <row r="64" spans="1:70">
      <c r="A64" s="4" t="s">
        <v>184</v>
      </c>
      <c r="B64" s="91">
        <v>1.35</v>
      </c>
      <c r="C64" s="40"/>
      <c r="E64" s="40"/>
      <c r="F64" s="40"/>
      <c r="K64">
        <f>$L64*VLOOKUP($R64,武学奇术!$A:$ZZ,31,FALSE)</f>
        <v>121217.980703749</v>
      </c>
      <c r="L64" s="39">
        <f t="shared" si="22"/>
        <v>93244.6005413453</v>
      </c>
      <c r="M64" s="39">
        <f>((($AO64+($AP64-$AO64)*IF(VLOOKUP($R64,武学奇术!$A:$ZZ,31,FALSE)=1,$F$18,0.5))*$AI64+$AJ64)*(1+$AQ64)*(1+$AR64)+(($AT64+($AU64-$AT64)*IF(VLOOKUP($R64,武学奇术!$A:$ZZ,31,FALSE)=1,$F$18,0.5))*IF($G$1="鸣金",$AK64,$AI64)+IF($G$1="鸣金",$AL64*1.5,0))*(1+$AV64)*(1+$AW64)+(($AX64+($AY64-$AX64)*IF(VLOOKUP($R64,武学奇术!$A:$ZZ,31,FALSE)=1,$F$18,0.5))*IF($G$1="裂石",$AK64,$AI64)+IF($G$1="裂石",$AL64*1.5,0))*(1+$AZ64)*(1+$BA64)+(($BB64+($BC64-$BB64)*IF(VLOOKUP($R64,武学奇术!$A:$ZZ,31,FALSE)=1,$F$18,0.5))*IF($G$1="牵丝",$AK64,$AI64)+IF($G$1="牵丝",$AL64*1.5,0))*(1+$BD64)*(1+$BE64)+(($BF64+($BG64-$BF64)*IF(VLOOKUP($R64,武学奇术!$A:$ZZ,31,FALSE)=1,$F$18,0.5))*IF($G$1="破竹",$AK64,$AI64)+IF($G$1="破竹",$AL64*1.5,0))*(1+$BH64)*(1+$BI64))*(1+$AM64)*$BL64*$Q64*(1+IF(VLOOKUP($R64,武学奇术!$A:$ZZ,30,FALSE)="蓄力技",$B$21,0))*(1+$BR64)</f>
        <v>95388.5535326523</v>
      </c>
      <c r="N64" s="39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74051.7849087407</v>
      </c>
      <c r="O64" s="39">
        <f>((($AO64+($AP64-$AO64)*IF(VLOOKUP($R64,武学奇术!$A:$ZZ,31,FALSE)=1,$F$18,0.5))*$AI64+$AJ64)*(1+$AQ64)*(1+$AR64)+(($AT64+($AU64-$AT64)*IF(VLOOKUP($R64,武学奇术!$A:$ZZ,31,FALSE)=1,$F$18,0.5))*IF($G$1="鸣金",$AK64,$AI64)+IF($G$1="鸣金",$AL64*1.5,0))*(1+$AV64)*(1+$AW64)+(($AX64+($AY64-$AX64)*IF(VLOOKUP($R64,武学奇术!$A:$ZZ,31,FALSE)=1,$F$18,0.5))*IF($G$1="裂石",$AK64,$AI64)+IF($G$1="裂石",$AL64*1.5,0))*(1+$AZ64)*(1+$BA64)+(($BB64+($BC64-$BB64)*IF(VLOOKUP($R64,武学奇术!$A:$ZZ,31,FALSE)=1,$F$18,0.5))*IF($G$1="牵丝",$AK64,$AI64)+IF($G$1="牵丝",$AL64*1.5,0))*(1+$BD64)*(1+$BE64)+(($BF64+($BG64-$BF64)*IF(VLOOKUP($R64,武学奇术!$A:$ZZ,31,FALSE)=1,$F$18,0.5))*IF($G$1="破竹",$AK64,$AI64)+IF($G$1="破竹",$AL64*1.5,0))*(1+$BH64)*(1+$BI64))*(1+$AM64)*$Q64*(1+IF(VLOOKUP($R64,武学奇术!$A:$ZZ,30,FALSE)="蓄力技",$B$21,0))*(1+$BR64)</f>
        <v>49169.3574910579</v>
      </c>
      <c r="P64" s="39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43485.5409756412</v>
      </c>
      <c r="Q64" s="40">
        <v>1</v>
      </c>
      <c r="R64" s="41" t="s">
        <v>112</v>
      </c>
      <c r="S64" s="41" t="s">
        <v>97</v>
      </c>
      <c r="T64" s="41" t="s">
        <v>73</v>
      </c>
      <c r="U64" s="41" t="s">
        <v>73</v>
      </c>
      <c r="V64" s="41" t="s">
        <v>73</v>
      </c>
      <c r="W64" s="41" t="s">
        <v>73</v>
      </c>
      <c r="X64" s="41" t="s">
        <v>73</v>
      </c>
      <c r="Y64" s="41" t="s">
        <v>164</v>
      </c>
      <c r="Z64" s="41" t="s">
        <v>83</v>
      </c>
      <c r="AA64" s="41" t="s">
        <v>105</v>
      </c>
      <c r="AB64" s="41" t="s">
        <v>90</v>
      </c>
      <c r="AC64" s="41" t="s">
        <v>73</v>
      </c>
      <c r="AD64" s="41" t="s">
        <v>73</v>
      </c>
      <c r="AE64" s="41" t="s">
        <v>76</v>
      </c>
      <c r="AF64" s="41" t="s">
        <v>77</v>
      </c>
      <c r="AG64" s="41" t="s">
        <v>78</v>
      </c>
      <c r="AH64" t="str">
        <f>VLOOKUP($R64,武学奇术!$A:$ZZ,25,FALSE)</f>
        <v>拳甲</v>
      </c>
      <c r="AI64" s="27">
        <f>VLOOKUP($R64,武学奇术!$A:$ZZ,26,FALSE)</f>
        <v>2.91176</v>
      </c>
      <c r="AJ64" s="28">
        <f>VLOOKUP($R64,武学奇术!$A:$ZZ,27,FALSE)*(1+IF(OR($AH64=$F$4,$AH64=$F$5),$B$22,0))</f>
        <v>1208.7</v>
      </c>
      <c r="AK64" s="27">
        <f>VLOOKUP($R64,武学奇术!$A:$ZZ,28,FALSE)</f>
        <v>3.89844</v>
      </c>
      <c r="AL64" s="28">
        <f>VLOOKUP($R64,武学奇术!$A:$ZZ,29,FALSE)*(1+IF(OR($AH64=$F$4,$AH64=$F$5),$B$22,0))</f>
        <v>650.25</v>
      </c>
      <c r="AM64" s="27" cm="1">
        <f t="array" ref="AM64">$G$3+IFERROR(VLOOKUP($AH64,$F$4:$G$7,2,FALSE),0)+VLOOKUP($R64,武学奇术!$A:$ZZ,2,FALSE)+SUM(_xlfn.XLOOKUP($S64:$AG64,增益!$A:$A,增益!$B:$B,0))</f>
        <v>0.7041</v>
      </c>
      <c r="AN64" s="27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3888.382</v>
      </c>
      <c r="AP64" cm="1">
        <f t="array" ref="AP64">$E$10*(1+$AN64)+VLOOKUP($R64,武学奇术!$A:$ZZ,4,FALSE)+SUM(_xlfn.XLOOKUP($S64:$AG64,增益!$A:$A,增益!$D:$D,0))-$I$2</f>
        <v>3888.382</v>
      </c>
      <c r="AQ64" s="33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0.347</v>
      </c>
      <c r="AR64" s="33" cm="1">
        <f t="array" ref="AR64">$G$10+VLOOKUP($R64,武学奇术!$A:$ZZ,7,FALSE)+SUM(_xlfn.XLOOKUP(S64:AG64,增益!$A:$A,增益!$G:$G,0))</f>
        <v>0.09</v>
      </c>
      <c r="AS64" s="27" cm="1">
        <f t="array" ref="AS64">VLOOKUP($R64,武学奇术!$A:$ZZ,8,FALSE)+SUM(_xlfn.XLOOKUP(S64:AG64,增益!$A:$A,增益!$H:$H,0))</f>
        <v>0</v>
      </c>
      <c r="AT64">
        <f t="shared" si="23"/>
        <v>0</v>
      </c>
      <c r="AU64">
        <f t="shared" si="24"/>
        <v>0</v>
      </c>
      <c r="AV64" s="33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-0.08</v>
      </c>
      <c r="AW64" s="33" cm="1">
        <f t="array" ref="AW64">$G$11+VLOOKUP($R64,武学奇术!$A:$ZZ,10,FALSE)+SUM(_xlfn.XLOOKUP(S64:AG64,增益!$A:$A,增益!$J:$J,0))</f>
        <v>0</v>
      </c>
      <c r="AX64">
        <f t="shared" si="25"/>
        <v>0</v>
      </c>
      <c r="AY64">
        <f t="shared" si="26"/>
        <v>0</v>
      </c>
      <c r="AZ64" s="33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-0.08</v>
      </c>
      <c r="BA64" s="33" cm="1">
        <f t="array" ref="BA64">$G$12+VLOOKUP($R64,武学奇术!$A:$ZZ,12,FALSE)+SUM(_xlfn.XLOOKUP(S64:AG64,增益!$A:$A,增益!$L:$L,0))</f>
        <v>0</v>
      </c>
      <c r="BB64">
        <f t="shared" si="27"/>
        <v>0</v>
      </c>
      <c r="BC64">
        <f t="shared" si="28"/>
        <v>0</v>
      </c>
      <c r="BD64" s="33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-0.08</v>
      </c>
      <c r="BE64" s="33" cm="1">
        <f t="array" ref="BE64">$G$13+VLOOKUP($R64,武学奇术!$A:$ZZ,14,FALSE)+SUM(_xlfn.XLOOKUP(S64:AG64,增益!$A:$A,增益!$N:$N,0))</f>
        <v>0</v>
      </c>
      <c r="BF64">
        <f t="shared" si="29"/>
        <v>605.472</v>
      </c>
      <c r="BG64">
        <f t="shared" si="30"/>
        <v>1725.468</v>
      </c>
      <c r="BH64" s="33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0.11</v>
      </c>
      <c r="BI64" s="33" cm="1">
        <f t="array" ref="BI64">$G$14+VLOOKUP($R64,武学奇术!$A:$ZZ,16,FALSE)+SUM(_xlfn.XLOOKUP(S64:AG64,增益!$A:$A,增益!$P:$P,0))</f>
        <v>0.24</v>
      </c>
      <c r="BJ64" s="27">
        <f>MIN(IF(VLOOKUP($R64,武学奇术!$A:$ZZ,23,FALSE)=1,100%,$B$8),100%)</f>
        <v>1</v>
      </c>
      <c r="BK64" s="27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+MIN(IF(VLOOKUP($R64,武学奇术!$A:$ZZ,32,FALSE)=1,IF(VLOOKUP($R64,武学奇术!$A:$ZZ,24,FALSE)=1,100%,MIN(40%,$B$10+VLOOKUP($R64,武学奇术!$A:$ZZ,19,FALSE)+SUM(_xlfn.XLOOKUP(S64:AG64,增益!$A:$A,增益!$S:$S,0)))+$B$12+SUM(_xlfn.XLOOKUP(S64:AG64,增益!$A:$A,增益!$V:$V,0))),0),12%)</f>
        <v>0.9036</v>
      </c>
      <c r="BL64" s="27" cm="1">
        <f t="array" ref="BL64">1+$B$13+VLOOKUP($R64,武学奇术!$A:$ZZ,18,FALSE)+SUM(_xlfn.XLOOKUP(S64:AG64,增益!$A:$A,增益!$R:$R,0))</f>
        <v>1.94</v>
      </c>
      <c r="BM64" s="27" cm="1">
        <f t="array" ref="BM64">MAX(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-IF(VLOOKUP($R64,武学奇术!$A:$ZZ,32,FALSE)=1,12%,0),0)</f>
        <v>0.0929</v>
      </c>
      <c r="BN64" s="27" cm="1">
        <f t="array" ref="BN64">1+$B$14+VLOOKUP($R64,武学奇术!$A:$ZZ,20,FALSE)+SUM(_xlfn.XLOOKUP(S64:AG64,增益!$A:$A,增益!$T:$T,0))</f>
        <v>1.35</v>
      </c>
      <c r="BO64" s="27">
        <f t="shared" si="16"/>
        <v>0.9036</v>
      </c>
      <c r="BP64" s="27">
        <f t="shared" si="17"/>
        <v>0.00350000000000006</v>
      </c>
      <c r="BQ64" s="27">
        <f>IF(VLOOKUP($R64,武学奇术!$A:$ZZ,22,FALSE)=1,0,(1-$BJ64))*(1-$BM64)</f>
        <v>0</v>
      </c>
      <c r="BR64" s="27" cm="1">
        <f t="array" ref="BR64">SUM(_xlfn.XLOOKUP(S64:AG64,增益!$A:$A,增益!$W:$W,0))+$I$5</f>
        <v>0.11</v>
      </c>
    </row>
    <row r="65" spans="1:70">
      <c r="A65" t="s">
        <v>160</v>
      </c>
      <c r="B65">
        <v>0.1</v>
      </c>
      <c r="C65" s="40"/>
      <c r="E65" s="40"/>
      <c r="F65" s="40"/>
      <c r="K65">
        <f>$L65*VLOOKUP($R65,武学奇术!$A:$ZZ,31,FALSE)</f>
        <v>29305.1471737049</v>
      </c>
      <c r="L65" s="39">
        <f t="shared" si="22"/>
        <v>29305.1471737049</v>
      </c>
      <c r="M65" s="39">
        <f>((($AO65+($AP65-$AO65)*IF(VLOOKUP($R65,武学奇术!$A:$ZZ,31,FALSE)=1,$F$18,0.5))*$AI65+$AJ65)*(1+$AQ65)*(1+$AR65)+(($AT65+($AU65-$AT65)*IF(VLOOKUP($R65,武学奇术!$A:$ZZ,31,FALSE)=1,$F$18,0.5))*IF($G$1="鸣金",$AK65,$AI65)+IF($G$1="鸣金",$AL65*1.5,0))*(1+$AV65)*(1+$AW65)+(($AX65+($AY65-$AX65)*IF(VLOOKUP($R65,武学奇术!$A:$ZZ,31,FALSE)=1,$F$18,0.5))*IF($G$1="裂石",$AK65,$AI65)+IF($G$1="裂石",$AL65*1.5,0))*(1+$AZ65)*(1+$BA65)+(($BB65+($BC65-$BB65)*IF(VLOOKUP($R65,武学奇术!$A:$ZZ,31,FALSE)=1,$F$18,0.5))*IF($G$1="牵丝",$AK65,$AI65)+IF($G$1="牵丝",$AL65*1.5,0))*(1+$BD65)*(1+$BE65)+(($BF65+($BG65-$BF65)*IF(VLOOKUP($R65,武学奇术!$A:$ZZ,31,FALSE)=1,$F$18,0.5))*IF($G$1="破竹",$AK65,$AI65)+IF($G$1="破竹",$AL65*1.5,0))*(1+$BH65)*(1+$BI65))*(1+$AM65)*$BL65*$Q65*(1+IF(VLOOKUP($R65,武学奇术!$A:$ZZ,30,FALSE)="蓄力技",$B$21,0))*(1+$BR65)</f>
        <v>29547.7916685769</v>
      </c>
      <c r="N65" s="39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27370.3262700867</v>
      </c>
      <c r="O65" s="39">
        <f>((($AO65+($AP65-$AO65)*IF(VLOOKUP($R65,武学奇术!$A:$ZZ,31,FALSE)=1,$F$18,0.5))*$AI65+$AJ65)*(1+$AQ65)*(1+$AR65)+(($AT65+($AU65-$AT65)*IF(VLOOKUP($R65,武学奇术!$A:$ZZ,31,FALSE)=1,$F$18,0.5))*IF($G$1="鸣金",$AK65,$AI65)+IF($G$1="鸣金",$AL65*1.5,0))*(1+$AV65)*(1+$AW65)+(($AX65+($AY65-$AX65)*IF(VLOOKUP($R65,武学奇术!$A:$ZZ,31,FALSE)=1,$F$18,0.5))*IF($G$1="裂石",$AK65,$AI65)+IF($G$1="裂石",$AL65*1.5,0))*(1+$AZ65)*(1+$BA65)+(($BB65+($BC65-$BB65)*IF(VLOOKUP($R65,武学奇术!$A:$ZZ,31,FALSE)=1,$F$18,0.5))*IF($G$1="牵丝",$AK65,$AI65)+IF($G$1="牵丝",$AL65*1.5,0))*(1+$BD65)*(1+$BE65)+(($BF65+($BG65-$BF65)*IF(VLOOKUP($R65,武学奇术!$A:$ZZ,31,FALSE)=1,$F$18,0.5))*IF($G$1="破竹",$AK65,$AI65)+IF($G$1="破竹",$AL65*1.5,0))*(1+$BH65)*(1+$BI65))*(1+$AM65)*$Q65*(1+IF(VLOOKUP($R65,武学奇术!$A:$ZZ,30,FALSE)="蓄力技",$B$21,0))*(1+$BR65)</f>
        <v>18016.9461393761</v>
      </c>
      <c r="P65" s="39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15759.5765231325</v>
      </c>
      <c r="Q65" s="40">
        <v>1</v>
      </c>
      <c r="R65" s="41" t="s">
        <v>115</v>
      </c>
      <c r="S65" s="41" t="s">
        <v>97</v>
      </c>
      <c r="T65" s="41" t="s">
        <v>73</v>
      </c>
      <c r="U65" s="41" t="s">
        <v>73</v>
      </c>
      <c r="V65" s="41" t="s">
        <v>73</v>
      </c>
      <c r="W65" s="41" t="s">
        <v>73</v>
      </c>
      <c r="X65" s="41" t="s">
        <v>73</v>
      </c>
      <c r="Y65" s="41" t="s">
        <v>164</v>
      </c>
      <c r="Z65" s="41" t="s">
        <v>83</v>
      </c>
      <c r="AA65" s="41" t="s">
        <v>73</v>
      </c>
      <c r="AB65" s="41" t="s">
        <v>90</v>
      </c>
      <c r="AC65" s="41" t="s">
        <v>73</v>
      </c>
      <c r="AD65" s="41" t="s">
        <v>73</v>
      </c>
      <c r="AE65" s="41" t="s">
        <v>76</v>
      </c>
      <c r="AF65" s="41" t="s">
        <v>77</v>
      </c>
      <c r="AG65" s="41" t="s">
        <v>78</v>
      </c>
      <c r="AH65" t="str">
        <f>VLOOKUP($R65,武学奇术!$A:$ZZ,25,FALSE)</f>
        <v>拳甲</v>
      </c>
      <c r="AI65" s="27">
        <f>VLOOKUP($R65,武学奇术!$A:$ZZ,26,FALSE)</f>
        <v>1.2876</v>
      </c>
      <c r="AJ65" s="28">
        <f>VLOOKUP($R65,武学奇术!$A:$ZZ,27,FALSE)*(1+IF(OR($AH65=$F$4,$AH65=$F$5),$B$22,0))</f>
        <v>537</v>
      </c>
      <c r="AK65" s="27">
        <f>VLOOKUP($R65,武学奇术!$A:$ZZ,28,FALSE)</f>
        <v>1.9313</v>
      </c>
      <c r="AL65" s="28">
        <f>VLOOKUP($R65,武学奇术!$A:$ZZ,29,FALSE)*(1+IF(OR($AH65=$F$4,$AH65=$F$5),$B$22,0))</f>
        <v>292.5</v>
      </c>
      <c r="AM65" s="27" cm="1">
        <f t="array" ref="AM65">$G$3+IFERROR(VLOOKUP($AH65,$F$4:$G$7,2,FALSE),0)+VLOOKUP($R65,武学奇术!$A:$ZZ,2,FALSE)+SUM(_xlfn.XLOOKUP($S65:$AG65,增益!$A:$A,增益!$B:$B,0))</f>
        <v>0.4041</v>
      </c>
      <c r="AN65" s="27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3888.382</v>
      </c>
      <c r="AP65" cm="1">
        <f t="array" ref="AP65">$E$10*(1+$AN65)+VLOOKUP($R65,武学奇术!$A:$ZZ,4,FALSE)+SUM(_xlfn.XLOOKUP($S65:$AG65,增益!$A:$A,增益!$D:$D,0))-$I$2</f>
        <v>3888.382</v>
      </c>
      <c r="AQ65" s="33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0.317</v>
      </c>
      <c r="AR65" s="33" cm="1">
        <f t="array" ref="AR65">$G$10+VLOOKUP($R65,武学奇术!$A:$ZZ,7,FALSE)+SUM(_xlfn.XLOOKUP(S65:AG65,增益!$A:$A,增益!$G:$G,0))</f>
        <v>0.09</v>
      </c>
      <c r="AS65" s="27" cm="1">
        <f t="array" ref="AS65">VLOOKUP($R65,武学奇术!$A:$ZZ,8,FALSE)+SUM(_xlfn.XLOOKUP(S65:AG65,增益!$A:$A,增益!$H:$H,0))</f>
        <v>0</v>
      </c>
      <c r="AT65">
        <f t="shared" si="23"/>
        <v>0</v>
      </c>
      <c r="AU65">
        <f t="shared" si="24"/>
        <v>0</v>
      </c>
      <c r="AV65" s="33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-0.14</v>
      </c>
      <c r="AW65" s="33" cm="1">
        <f t="array" ref="AW65">$G$11+VLOOKUP($R65,武学奇术!$A:$ZZ,10,FALSE)+SUM(_xlfn.XLOOKUP(S65:AG65,增益!$A:$A,增益!$J:$J,0))</f>
        <v>0</v>
      </c>
      <c r="AX65">
        <f t="shared" si="25"/>
        <v>0</v>
      </c>
      <c r="AY65">
        <f t="shared" si="26"/>
        <v>0</v>
      </c>
      <c r="AZ65" s="33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-0.14</v>
      </c>
      <c r="BA65" s="33" cm="1">
        <f t="array" ref="BA65">$G$12+VLOOKUP($R65,武学奇术!$A:$ZZ,12,FALSE)+SUM(_xlfn.XLOOKUP(S65:AG65,增益!$A:$A,增益!$L:$L,0))</f>
        <v>0</v>
      </c>
      <c r="BB65">
        <f t="shared" si="27"/>
        <v>0</v>
      </c>
      <c r="BC65">
        <f t="shared" si="28"/>
        <v>0</v>
      </c>
      <c r="BD65" s="33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-0.14</v>
      </c>
      <c r="BE65" s="33" cm="1">
        <f t="array" ref="BE65">$G$13+VLOOKUP($R65,武学奇术!$A:$ZZ,14,FALSE)+SUM(_xlfn.XLOOKUP(S65:AG65,增益!$A:$A,增益!$N:$N,0))</f>
        <v>0</v>
      </c>
      <c r="BF65">
        <f t="shared" si="29"/>
        <v>605.472</v>
      </c>
      <c r="BG65">
        <f t="shared" si="30"/>
        <v>1725.468</v>
      </c>
      <c r="BH65" s="33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0.08</v>
      </c>
      <c r="BI65" s="33" cm="1">
        <f t="array" ref="BI65">$G$14+VLOOKUP($R65,武学奇术!$A:$ZZ,16,FALSE)+SUM(_xlfn.XLOOKUP(S65:AG65,增益!$A:$A,增益!$P:$P,0))</f>
        <v>0.24</v>
      </c>
      <c r="BJ65" s="27">
        <f>MIN(IF(VLOOKUP($R65,武学奇术!$A:$ZZ,23,FALSE)=1,100%,$B$8),100%)</f>
        <v>1</v>
      </c>
      <c r="BK65" s="27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+MIN(IF(VLOOKUP($R65,武学奇术!$A:$ZZ,32,FALSE)=1,IF(VLOOKUP($R65,武学奇术!$A:$ZZ,24,FALSE)=1,100%,MIN(40%,$B$10+VLOOKUP($R65,武学奇术!$A:$ZZ,19,FALSE)+SUM(_xlfn.XLOOKUP(S65:AG65,增益!$A:$A,增益!$S:$S,0)))+$B$12+SUM(_xlfn.XLOOKUP(S65:AG65,增益!$A:$A,增益!$V:$V,0))),0),12%)</f>
        <v>0.9036</v>
      </c>
      <c r="BL65" s="27" cm="1">
        <f t="array" ref="BL65">1+$B$13+VLOOKUP($R65,武学奇术!$A:$ZZ,18,FALSE)+SUM(_xlfn.XLOOKUP(S65:AG65,增益!$A:$A,增益!$R:$R,0))</f>
        <v>1.64</v>
      </c>
      <c r="BM65" s="27" cm="1">
        <f t="array" ref="BM65">MAX(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-IF(VLOOKUP($R65,武学奇术!$A:$ZZ,32,FALSE)=1,12%,0),0)</f>
        <v>0.0929</v>
      </c>
      <c r="BN65" s="27" cm="1">
        <f t="array" ref="BN65">1+$B$14+VLOOKUP($R65,武学奇术!$A:$ZZ,20,FALSE)+SUM(_xlfn.XLOOKUP(S65:AG65,增益!$A:$A,增益!$T:$T,0))</f>
        <v>1.35</v>
      </c>
      <c r="BO65" s="27">
        <f t="shared" si="16"/>
        <v>0.9036</v>
      </c>
      <c r="BP65" s="27">
        <f t="shared" si="17"/>
        <v>0.00350000000000006</v>
      </c>
      <c r="BQ65" s="27">
        <f>IF(VLOOKUP($R65,武学奇术!$A:$ZZ,22,FALSE)=1,0,(1-$BJ65))*(1-$BM65)</f>
        <v>0</v>
      </c>
      <c r="BR65" s="27" cm="1">
        <f t="array" ref="BR65">SUM(_xlfn.XLOOKUP(S65:AG65,增益!$A:$A,增益!$W:$W,0))+$I$5</f>
        <v>0.11</v>
      </c>
    </row>
    <row r="66" spans="1:70">
      <c r="A66" t="s">
        <v>181</v>
      </c>
      <c r="B66">
        <v>1.7</v>
      </c>
      <c r="C66" s="40"/>
      <c r="E66" s="40"/>
      <c r="F66" s="40"/>
      <c r="K66">
        <f>$L66*VLOOKUP($R66,武学奇术!$A:$ZZ,31,FALSE)</f>
        <v>100044.852319325</v>
      </c>
      <c r="L66" s="39">
        <f t="shared" si="22"/>
        <v>76957.5787071733</v>
      </c>
      <c r="M66" s="39">
        <f>((($AO66+($AP66-$AO66)*IF(VLOOKUP($R66,武学奇术!$A:$ZZ,31,FALSE)=1,$F$18,0.5))*$AI66+$AJ66)*(1+$AQ66)*(1+$AR66)+(($AT66+($AU66-$AT66)*IF(VLOOKUP($R66,武学奇术!$A:$ZZ,31,FALSE)=1,$F$18,0.5))*IF($G$1="鸣金",$AK66,$AI66)+IF($G$1="鸣金",$AL66*1.5,0))*(1+$AV66)*(1+$AW66)+(($AX66+($AY66-$AX66)*IF(VLOOKUP($R66,武学奇术!$A:$ZZ,31,FALSE)=1,$F$18,0.5))*IF($G$1="裂石",$AK66,$AI66)+IF($G$1="裂石",$AL66*1.5,0))*(1+$AZ66)*(1+$BA66)+(($BB66+($BC66-$BB66)*IF(VLOOKUP($R66,武学奇术!$A:$ZZ,31,FALSE)=1,$F$18,0.5))*IF($G$1="牵丝",$AK66,$AI66)+IF($G$1="牵丝",$AL66*1.5,0))*(1+$BD66)*(1+$BE66)+(($BF66+($BG66-$BF66)*IF(VLOOKUP($R66,武学奇术!$A:$ZZ,31,FALSE)=1,$F$18,0.5))*IF($G$1="破竹",$AK66,$AI66)+IF($G$1="破竹",$AL66*1.5,0))*(1+$BH66)*(1+$BI66))*(1+$AM66)*$BL66*$Q66*(1+IF(VLOOKUP($R66,武学奇术!$A:$ZZ,30,FALSE)="蓄力技",$B$21,0))*(1+$BR66)</f>
        <v>78587.3873878759</v>
      </c>
      <c r="N66" s="39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62478.3002636157</v>
      </c>
      <c r="O66" s="39">
        <f>((($AO66+($AP66-$AO66)*IF(VLOOKUP($R66,武学奇术!$A:$ZZ,31,FALSE)=1,$F$18,0.5))*$AI66+$AJ66)*(1+$AQ66)*(1+$AR66)+(($AT66+($AU66-$AT66)*IF(VLOOKUP($R66,武学奇术!$A:$ZZ,31,FALSE)=1,$F$18,0.5))*IF($G$1="鸣金",$AK66,$AI66)+IF($G$1="鸣金",$AL66*1.5,0))*(1+$AV66)*(1+$AW66)+(($AX66+($AY66-$AX66)*IF(VLOOKUP($R66,武学奇术!$A:$ZZ,31,FALSE)=1,$F$18,0.5))*IF($G$1="裂石",$AK66,$AI66)+IF($G$1="裂石",$AL66*1.5,0))*(1+$AZ66)*(1+$BA66)+(($BB66+($BC66-$BB66)*IF(VLOOKUP($R66,武学奇术!$A:$ZZ,31,FALSE)=1,$F$18,0.5))*IF($G$1="牵丝",$AK66,$AI66)+IF($G$1="牵丝",$AL66*1.5,0))*(1+$BD66)*(1+$BE66)+(($BF66+($BG66-$BF66)*IF(VLOOKUP($R66,武学奇术!$A:$ZZ,31,FALSE)=1,$F$18,0.5))*IF($G$1="破竹",$AK66,$AI66)+IF($G$1="破竹",$AL66*1.5,0))*(1+$BH66)*(1+$BI66))*(1+$AM66)*$Q66*(1+IF(VLOOKUP($R66,武学奇术!$A:$ZZ,30,FALSE)="蓄力技",$B$21,0))*(1+$BR66)</f>
        <v>40508.9625710701</v>
      </c>
      <c r="P66" s="39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34737.702724647</v>
      </c>
      <c r="Q66" s="40">
        <v>1</v>
      </c>
      <c r="R66" s="41" t="s">
        <v>117</v>
      </c>
      <c r="S66" s="41" t="s">
        <v>97</v>
      </c>
      <c r="T66" s="41" t="s">
        <v>73</v>
      </c>
      <c r="U66" s="41" t="s">
        <v>73</v>
      </c>
      <c r="V66" s="41" t="s">
        <v>73</v>
      </c>
      <c r="W66" s="41" t="s">
        <v>73</v>
      </c>
      <c r="X66" s="41" t="s">
        <v>73</v>
      </c>
      <c r="Y66" s="41" t="s">
        <v>164</v>
      </c>
      <c r="Z66" s="41" t="s">
        <v>83</v>
      </c>
      <c r="AA66" s="41" t="s">
        <v>105</v>
      </c>
      <c r="AB66" s="41" t="s">
        <v>90</v>
      </c>
      <c r="AC66" s="41" t="s">
        <v>73</v>
      </c>
      <c r="AD66" s="41" t="s">
        <v>73</v>
      </c>
      <c r="AE66" s="41" t="s">
        <v>76</v>
      </c>
      <c r="AF66" s="41" t="s">
        <v>77</v>
      </c>
      <c r="AG66" s="41" t="s">
        <v>78</v>
      </c>
      <c r="AH66" t="str">
        <f>VLOOKUP($R66,武学奇术!$A:$ZZ,25,FALSE)</f>
        <v>拳甲</v>
      </c>
      <c r="AI66" s="27">
        <f>VLOOKUP($R66,武学奇术!$A:$ZZ,26,FALSE)</f>
        <v>2.638944</v>
      </c>
      <c r="AJ66" s="28">
        <f>VLOOKUP($R66,武学奇术!$A:$ZZ,27,FALSE)*(1+IF(OR($AH66=$F$4,$AH66=$F$5),$B$22,0))</f>
        <v>0</v>
      </c>
      <c r="AK66" s="27">
        <f>VLOOKUP($R66,武学奇术!$A:$ZZ,28,FALSE)</f>
        <v>3.958416</v>
      </c>
      <c r="AL66" s="28">
        <f>VLOOKUP($R66,武学奇术!$A:$ZZ,29,FALSE)*(1+IF(OR($AH66=$F$4,$AH66=$F$5),$B$22,0))</f>
        <v>0</v>
      </c>
      <c r="AM66" s="27" cm="1">
        <f t="array" ref="AM66">$G$3+IFERROR(VLOOKUP($AH66,$F$4:$G$7,2,FALSE),0)+VLOOKUP($R66,武学奇术!$A:$ZZ,2,FALSE)+SUM(_xlfn.XLOOKUP($S66:$AG66,增益!$A:$A,增益!$B:$B,0))</f>
        <v>0.7041</v>
      </c>
      <c r="AN66" s="27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3888.382</v>
      </c>
      <c r="AP66" cm="1">
        <f t="array" ref="AP66">$E$10*(1+$AN66)+VLOOKUP($R66,武学奇术!$A:$ZZ,4,FALSE)+SUM(_xlfn.XLOOKUP($S66:$AG66,增益!$A:$A,增益!$D:$D,0))-$I$2</f>
        <v>3888.382</v>
      </c>
      <c r="AQ66" s="33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0.347</v>
      </c>
      <c r="AR66" s="33" cm="1">
        <f t="array" ref="AR66">$G$10+VLOOKUP($R66,武学奇术!$A:$ZZ,7,FALSE)+SUM(_xlfn.XLOOKUP(S66:AG66,增益!$A:$A,增益!$G:$G,0))</f>
        <v>0.09</v>
      </c>
      <c r="AS66" s="27" cm="1">
        <f t="array" ref="AS66">VLOOKUP($R66,武学奇术!$A:$ZZ,8,FALSE)+SUM(_xlfn.XLOOKUP(S66:AG66,增益!$A:$A,增益!$H:$H,0))</f>
        <v>0</v>
      </c>
      <c r="AT66">
        <f t="shared" si="23"/>
        <v>0</v>
      </c>
      <c r="AU66">
        <f t="shared" si="24"/>
        <v>0</v>
      </c>
      <c r="AV66" s="33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-0.08</v>
      </c>
      <c r="AW66" s="33" cm="1">
        <f t="array" ref="AW66">$G$11+VLOOKUP($R66,武学奇术!$A:$ZZ,10,FALSE)+SUM(_xlfn.XLOOKUP(S66:AG66,增益!$A:$A,增益!$J:$J,0))</f>
        <v>0</v>
      </c>
      <c r="AX66">
        <f t="shared" si="25"/>
        <v>0</v>
      </c>
      <c r="AY66">
        <f t="shared" si="26"/>
        <v>0</v>
      </c>
      <c r="AZ66" s="33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-0.08</v>
      </c>
      <c r="BA66" s="33" cm="1">
        <f t="array" ref="BA66">$G$12+VLOOKUP($R66,武学奇术!$A:$ZZ,12,FALSE)+SUM(_xlfn.XLOOKUP(S66:AG66,增益!$A:$A,增益!$L:$L,0))</f>
        <v>0</v>
      </c>
      <c r="BB66">
        <f t="shared" si="27"/>
        <v>0</v>
      </c>
      <c r="BC66">
        <f t="shared" si="28"/>
        <v>0</v>
      </c>
      <c r="BD66" s="33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-0.08</v>
      </c>
      <c r="BE66" s="33" cm="1">
        <f t="array" ref="BE66">$G$13+VLOOKUP($R66,武学奇术!$A:$ZZ,14,FALSE)+SUM(_xlfn.XLOOKUP(S66:AG66,增益!$A:$A,增益!$N:$N,0))</f>
        <v>0</v>
      </c>
      <c r="BF66">
        <f t="shared" si="29"/>
        <v>605.472</v>
      </c>
      <c r="BG66">
        <f t="shared" si="30"/>
        <v>1725.468</v>
      </c>
      <c r="BH66" s="33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0.11</v>
      </c>
      <c r="BI66" s="33" cm="1">
        <f t="array" ref="BI66">$G$14+VLOOKUP($R66,武学奇术!$A:$ZZ,16,FALSE)+SUM(_xlfn.XLOOKUP(S66:AG66,增益!$A:$A,增益!$P:$P,0))</f>
        <v>0.24</v>
      </c>
      <c r="BJ66" s="27">
        <f>MIN(IF(VLOOKUP($R66,武学奇术!$A:$ZZ,23,FALSE)=1,100%,$B$8),100%)</f>
        <v>1</v>
      </c>
      <c r="BK66" s="27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+MIN(IF(VLOOKUP($R66,武学奇术!$A:$ZZ,32,FALSE)=1,IF(VLOOKUP($R66,武学奇术!$A:$ZZ,24,FALSE)=1,100%,MIN(40%,$B$10+VLOOKUP($R66,武学奇术!$A:$ZZ,19,FALSE)+SUM(_xlfn.XLOOKUP(S66:AG66,增益!$A:$A,增益!$S:$S,0)))+$B$12+SUM(_xlfn.XLOOKUP(S66:AG66,增益!$A:$A,增益!$V:$V,0))),0),12%)</f>
        <v>0.9036</v>
      </c>
      <c r="BL66" s="27" cm="1">
        <f t="array" ref="BL66">1+$B$13+VLOOKUP($R66,武学奇术!$A:$ZZ,18,FALSE)+SUM(_xlfn.XLOOKUP(S66:AG66,增益!$A:$A,增益!$R:$R,0))</f>
        <v>1.94</v>
      </c>
      <c r="BM66" s="27" cm="1">
        <f t="array" ref="BM66">MAX(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-IF(VLOOKUP($R66,武学奇术!$A:$ZZ,32,FALSE)=1,12%,0),0)</f>
        <v>0.0929</v>
      </c>
      <c r="BN66" s="27" cm="1">
        <f t="array" ref="BN66">1+$B$14+VLOOKUP($R66,武学奇术!$A:$ZZ,20,FALSE)+SUM(_xlfn.XLOOKUP(S66:AG66,增益!$A:$A,增益!$T:$T,0))</f>
        <v>1.35</v>
      </c>
      <c r="BO66" s="27">
        <f t="shared" si="16"/>
        <v>0.9036</v>
      </c>
      <c r="BP66" s="27">
        <f t="shared" si="17"/>
        <v>0.00350000000000006</v>
      </c>
      <c r="BQ66" s="27">
        <f>IF(VLOOKUP($R66,武学奇术!$A:$ZZ,22,FALSE)=1,0,(1-$BJ66))*(1-$BM66)</f>
        <v>0</v>
      </c>
      <c r="BR66" s="27" cm="1">
        <f t="array" ref="BR66">SUM(_xlfn.XLOOKUP(S66:AG66,增益!$A:$A,增益!$W:$W,0))+$I$5</f>
        <v>0.11</v>
      </c>
    </row>
    <row r="67" spans="1:70">
      <c r="A67" s="4" t="s">
        <v>185</v>
      </c>
      <c r="B67" s="4">
        <v>0.16</v>
      </c>
      <c r="C67" s="40"/>
      <c r="E67" s="40"/>
      <c r="K67">
        <f>$L67*VLOOKUP($R67,武学奇术!$A:$ZZ,31,FALSE)</f>
        <v>188593.979816277</v>
      </c>
      <c r="L67" s="39">
        <f t="shared" si="22"/>
        <v>188593.979816277</v>
      </c>
      <c r="M67" s="39">
        <f>((($AO67+($AP67-$AO67)*IF(VLOOKUP($R67,武学奇术!$A:$ZZ,31,FALSE)=1,$F$18,0.5))*$AI67+$AJ67)*(1+$AQ67)*(1+$AR67)+(($AT67+($AU67-$AT67)*IF(VLOOKUP($R67,武学奇术!$A:$ZZ,31,FALSE)=1,$F$18,0.5))*IF($G$1="鸣金",$AK67,$AI67)+IF($G$1="鸣金",$AL67*1.5,0))*(1+$AV67)*(1+$AW67)+(($AX67+($AY67-$AX67)*IF(VLOOKUP($R67,武学奇术!$A:$ZZ,31,FALSE)=1,$F$18,0.5))*IF($G$1="裂石",$AK67,$AI67)+IF($G$1="裂石",$AL67*1.5,0))*(1+$AZ67)*(1+$BA67)+(($BB67+($BC67-$BB67)*IF(VLOOKUP($R67,武学奇术!$A:$ZZ,31,FALSE)=1,$F$18,0.5))*IF($G$1="牵丝",$AK67,$AI67)+IF($G$1="牵丝",$AL67*1.5,0))*(1+$BD67)*(1+$BE67)+(($BF67+($BG67-$BF67)*IF(VLOOKUP($R67,武学奇术!$A:$ZZ,31,FALSE)=1,$F$18,0.5))*IF($G$1="破竹",$AK67,$AI67)+IF($G$1="破竹",$AL67*1.5,0))*(1+$BH67)*(1+$BI67))*(1+$AM67)*$BL67*$Q67*(1+IF(VLOOKUP($R67,武学奇术!$A:$ZZ,30,FALSE)="蓄力技",$B$21,0))*(1+$BR67)</f>
        <v>189981.379044802</v>
      </c>
      <c r="N67" s="39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177840.233007094</v>
      </c>
      <c r="O67" s="39">
        <f>((($AO67+($AP67-$AO67)*IF(VLOOKUP($R67,武学奇术!$A:$ZZ,31,FALSE)=1,$F$18,0.5))*$AI67+$AJ67)*(1+$AQ67)*(1+$AR67)+(($AT67+($AU67-$AT67)*IF(VLOOKUP($R67,武学奇术!$A:$ZZ,31,FALSE)=1,$F$18,0.5))*IF($G$1="鸣金",$AK67,$AI67)+IF($G$1="鸣金",$AL67*1.5,0))*(1+$AV67)*(1+$AW67)+(($AX67+($AY67-$AX67)*IF(VLOOKUP($R67,武学奇术!$A:$ZZ,31,FALSE)=1,$F$18,0.5))*IF($G$1="裂石",$AK67,$AI67)+IF($G$1="裂石",$AL67*1.5,0))*(1+$AZ67)*(1+$BA67)+(($BB67+($BC67-$BB67)*IF(VLOOKUP($R67,武学奇术!$A:$ZZ,31,FALSE)=1,$F$18,0.5))*IF($G$1="牵丝",$AK67,$AI67)+IF($G$1="牵丝",$AL67*1.5,0))*(1+$BD67)*(1+$BE67)+(($BF67+($BG67-$BF67)*IF(VLOOKUP($R67,武学奇术!$A:$ZZ,31,FALSE)=1,$F$18,0.5))*IF($G$1="破竹",$AK67,$AI67)+IF($G$1="破竹",$AL67*1.5,0))*(1+$BH67)*(1+$BI67))*(1+$AM67)*$Q67*(1+IF(VLOOKUP($R67,武学奇术!$A:$ZZ,30,FALSE)="蓄力技",$B$21,0))*(1+$BR67)</f>
        <v>115842.304295611</v>
      </c>
      <c r="P67" s="39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99951.1026600416</v>
      </c>
      <c r="Q67" s="40">
        <v>1</v>
      </c>
      <c r="R67" s="41" t="s">
        <v>178</v>
      </c>
      <c r="S67" s="41" t="s">
        <v>97</v>
      </c>
      <c r="T67" s="41" t="s">
        <v>73</v>
      </c>
      <c r="U67" s="41" t="s">
        <v>73</v>
      </c>
      <c r="V67" s="41" t="s">
        <v>73</v>
      </c>
      <c r="W67" s="41" t="s">
        <v>73</v>
      </c>
      <c r="X67" s="41" t="s">
        <v>73</v>
      </c>
      <c r="Y67" s="41" t="s">
        <v>164</v>
      </c>
      <c r="Z67" s="41" t="s">
        <v>83</v>
      </c>
      <c r="AA67" s="41" t="s">
        <v>73</v>
      </c>
      <c r="AB67" s="41" t="s">
        <v>90</v>
      </c>
      <c r="AC67" s="41" t="s">
        <v>73</v>
      </c>
      <c r="AD67" s="41" t="s">
        <v>73</v>
      </c>
      <c r="AE67" s="41" t="s">
        <v>76</v>
      </c>
      <c r="AF67" s="41" t="s">
        <v>77</v>
      </c>
      <c r="AG67" s="41" t="s">
        <v>78</v>
      </c>
      <c r="AH67" t="str">
        <f>VLOOKUP($R67,武学奇术!$A:$ZZ,25,FALSE)</f>
        <v>群体奇术</v>
      </c>
      <c r="AI67" s="27">
        <f>VLOOKUP($R67,武学奇术!$A:$ZZ,26,FALSE)</f>
        <v>10.315755</v>
      </c>
      <c r="AJ67" s="28">
        <f>VLOOKUP($R67,武学奇术!$A:$ZZ,27,FALSE)*(1+IF(OR($AH67=$F$4,$AH67=$F$5),$B$22,0))</f>
        <v>1992.6</v>
      </c>
      <c r="AK67" s="27">
        <f>VLOOKUP($R67,武学奇术!$A:$ZZ,28,FALSE)</f>
        <v>15.4736325</v>
      </c>
      <c r="AL67" s="28">
        <f>VLOOKUP($R67,武学奇术!$A:$ZZ,29,FALSE)*(1+IF(OR($AH67=$F$4,$AH67=$F$5),$B$22,0))</f>
        <v>0</v>
      </c>
      <c r="AM67" s="27" cm="1">
        <f t="array" ref="AM67">$G$3+IFERROR(VLOOKUP($AH67,$F$4:$G$7,2,FALSE),0)+VLOOKUP($R67,武学奇术!$A:$ZZ,2,FALSE)+SUM(_xlfn.XLOOKUP($S67:$AG67,增益!$A:$A,增益!$B:$B,0))</f>
        <v>0.2337</v>
      </c>
      <c r="AN67" s="27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3888.382</v>
      </c>
      <c r="AP67" cm="1">
        <f t="array" ref="AP67">$E$10*(1+$AN67)+VLOOKUP($R67,武学奇术!$A:$ZZ,4,FALSE)+SUM(_xlfn.XLOOKUP($S67:$AG67,增益!$A:$A,增益!$D:$D,0))-$I$2</f>
        <v>3888.382</v>
      </c>
      <c r="AQ67" s="33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0.317</v>
      </c>
      <c r="AR67" s="33" cm="1">
        <f t="array" ref="AR67">$G$10+VLOOKUP($R67,武学奇术!$A:$ZZ,7,FALSE)+SUM(_xlfn.XLOOKUP(S67:AG67,增益!$A:$A,增益!$G:$G,0))</f>
        <v>0.09</v>
      </c>
      <c r="AS67" s="27" cm="1">
        <f t="array" ref="AS67">VLOOKUP($R67,武学奇术!$A:$ZZ,8,FALSE)+SUM(_xlfn.XLOOKUP(S67:AG67,增益!$A:$A,增益!$H:$H,0))</f>
        <v>0</v>
      </c>
      <c r="AT67">
        <f t="shared" si="23"/>
        <v>0</v>
      </c>
      <c r="AU67">
        <f t="shared" si="24"/>
        <v>0</v>
      </c>
      <c r="AV67" s="33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-0.14</v>
      </c>
      <c r="AW67" s="33" cm="1">
        <f t="array" ref="AW67">$G$11+VLOOKUP($R67,武学奇术!$A:$ZZ,10,FALSE)+SUM(_xlfn.XLOOKUP(S67:AG67,增益!$A:$A,增益!$J:$J,0))</f>
        <v>0</v>
      </c>
      <c r="AX67">
        <f t="shared" si="25"/>
        <v>0</v>
      </c>
      <c r="AY67">
        <f t="shared" si="26"/>
        <v>0</v>
      </c>
      <c r="AZ67" s="33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-0.14</v>
      </c>
      <c r="BA67" s="33" cm="1">
        <f t="array" ref="BA67">$G$12+VLOOKUP($R67,武学奇术!$A:$ZZ,12,FALSE)+SUM(_xlfn.XLOOKUP(S67:AG67,增益!$A:$A,增益!$L:$L,0))</f>
        <v>0</v>
      </c>
      <c r="BB67">
        <f t="shared" si="27"/>
        <v>0</v>
      </c>
      <c r="BC67">
        <f t="shared" si="28"/>
        <v>0</v>
      </c>
      <c r="BD67" s="33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-0.14</v>
      </c>
      <c r="BE67" s="33" cm="1">
        <f t="array" ref="BE67">$G$13+VLOOKUP($R67,武学奇术!$A:$ZZ,14,FALSE)+SUM(_xlfn.XLOOKUP(S67:AG67,增益!$A:$A,增益!$N:$N,0))</f>
        <v>0</v>
      </c>
      <c r="BF67">
        <f t="shared" si="29"/>
        <v>605.472</v>
      </c>
      <c r="BG67">
        <f t="shared" si="30"/>
        <v>1725.468</v>
      </c>
      <c r="BH67" s="33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0.08</v>
      </c>
      <c r="BI67" s="33" cm="1">
        <f t="array" ref="BI67">$G$14+VLOOKUP($R67,武学奇术!$A:$ZZ,16,FALSE)+SUM(_xlfn.XLOOKUP(S67:AG67,增益!$A:$A,增益!$P:$P,0))</f>
        <v>0.24</v>
      </c>
      <c r="BJ67" s="27">
        <f>MIN(IF(VLOOKUP($R67,武学奇术!$A:$ZZ,23,FALSE)=1,100%,$B$8),100%)</f>
        <v>1</v>
      </c>
      <c r="BK67" s="27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+MIN(IF(VLOOKUP($R67,武学奇术!$A:$ZZ,32,FALSE)=1,IF(VLOOKUP($R67,武学奇术!$A:$ZZ,24,FALSE)=1,100%,MIN(40%,$B$10+VLOOKUP($R67,武学奇术!$A:$ZZ,19,FALSE)+SUM(_xlfn.XLOOKUP(S67:AG67,增益!$A:$A,增益!$S:$S,0)))+$B$12+SUM(_xlfn.XLOOKUP(S67:AG67,增益!$A:$A,增益!$V:$V,0))),0),12%)</f>
        <v>0.9036</v>
      </c>
      <c r="BL67" s="27" cm="1">
        <f t="array" ref="BL67">1+$B$13+VLOOKUP($R67,武学奇术!$A:$ZZ,18,FALSE)+SUM(_xlfn.XLOOKUP(S67:AG67,增益!$A:$A,增益!$R:$R,0))</f>
        <v>1.64</v>
      </c>
      <c r="BM67" s="27" cm="1">
        <f t="array" ref="BM67">MAX(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-IF(VLOOKUP($R67,武学奇术!$A:$ZZ,32,FALSE)=1,12%,0),0)</f>
        <v>0.0929</v>
      </c>
      <c r="BN67" s="27" cm="1">
        <f t="array" ref="BN67">1+$B$14+VLOOKUP($R67,武学奇术!$A:$ZZ,20,FALSE)+SUM(_xlfn.XLOOKUP(S67:AG67,增益!$A:$A,增益!$T:$T,0))</f>
        <v>1.35</v>
      </c>
      <c r="BO67" s="27">
        <f t="shared" ref="BO67:BO130" si="31">MIN((1-BM67)*BJ67,BJ67*BK67)</f>
        <v>0.9036</v>
      </c>
      <c r="BP67" s="27">
        <f t="shared" ref="BP67:BP130" si="32">1-BM67-BO67-BQ67</f>
        <v>0.00350000000000006</v>
      </c>
      <c r="BQ67" s="27">
        <f>IF(VLOOKUP($R67,武学奇术!$A:$ZZ,22,FALSE)=1,0,(1-$BJ67))*(1-$BM67)</f>
        <v>0</v>
      </c>
      <c r="BR67" s="27" cm="1">
        <f t="array" ref="BR67">SUM(_xlfn.XLOOKUP(S67:AG67,增益!$A:$A,增益!$W:$W,0))+$I$5</f>
        <v>0.11</v>
      </c>
    </row>
    <row r="68" spans="1:70">
      <c r="A68" s="4" t="s">
        <v>163</v>
      </c>
      <c r="B68" s="4">
        <v>0.9</v>
      </c>
      <c r="C68" s="40"/>
      <c r="E68" s="40"/>
      <c r="K68">
        <f>$L68*VLOOKUP($R68,武学奇术!$A:$ZZ,31,FALSE)</f>
        <v>827089.877326575</v>
      </c>
      <c r="L68" s="39">
        <f t="shared" si="22"/>
        <v>978804.58855216</v>
      </c>
      <c r="M68" s="39">
        <f>((($AO68+($AP68-$AO68)*IF(VLOOKUP($R68,武学奇术!$A:$ZZ,31,FALSE)=1,$F$18,0.5))*$AI68+$AJ68)*(1+$AQ68)*(1+$AR68)+(($AT68+($AU68-$AT68)*IF(VLOOKUP($R68,武学奇术!$A:$ZZ,31,FALSE)=1,$F$18,0.5))*IF($G$1="鸣金",$AK68,$AI68)+IF($G$1="鸣金",$AL68*1.5,0))*(1+$AV68)*(1+$AW68)+(($AX68+($AY68-$AX68)*IF(VLOOKUP($R68,武学奇术!$A:$ZZ,31,FALSE)=1,$F$18,0.5))*IF($G$1="裂石",$AK68,$AI68)+IF($G$1="裂石",$AL68*1.5,0))*(1+$AZ68)*(1+$BA68)+(($BB68+($BC68-$BB68)*IF(VLOOKUP($R68,武学奇术!$A:$ZZ,31,FALSE)=1,$F$18,0.5))*IF($G$1="牵丝",$AK68,$AI68)+IF($G$1="牵丝",$AL68*1.5,0))*(1+$BD68)*(1+$BE68)+(($BF68+($BG68-$BF68)*IF(VLOOKUP($R68,武学奇术!$A:$ZZ,31,FALSE)=1,$F$18,0.5))*IF($G$1="破竹",$AK68,$AI68)+IF($G$1="破竹",$AL68*1.5,0))*(1+$BH68)*(1+$BI68))*(1+$AM68)*$BL68*$Q68*(1+IF(VLOOKUP($R68,武学奇术!$A:$ZZ,30,FALSE)="蓄力技",$B$21,0))*(1+$BR68)</f>
        <v>980801.072744169</v>
      </c>
      <c r="N68" s="39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619523.079222252</v>
      </c>
      <c r="O68" s="39">
        <f>((($AO68+($AP68-$AO68)*IF(VLOOKUP($R68,武学奇术!$A:$ZZ,31,FALSE)=1,$F$18,0.5))*$AI68+$AJ68)*(1+$AQ68)*(1+$AR68)+(($AT68+($AU68-$AT68)*IF(VLOOKUP($R68,武学奇术!$A:$ZZ,31,FALSE)=1,$F$18,0.5))*IF($G$1="鸣金",$AK68,$AI68)+IF($G$1="鸣金",$AL68*1.5,0))*(1+$AV68)*(1+$AW68)+(($AX68+($AY68-$AX68)*IF(VLOOKUP($R68,武学奇术!$A:$ZZ,31,FALSE)=1,$F$18,0.5))*IF($G$1="裂石",$AK68,$AI68)+IF($G$1="裂石",$AL68*1.5,0))*(1+$AZ68)*(1+$BA68)+(($BB68+($BC68-$BB68)*IF(VLOOKUP($R68,武学奇术!$A:$ZZ,31,FALSE)=1,$F$18,0.5))*IF($G$1="牵丝",$AK68,$AI68)+IF($G$1="牵丝",$AL68*1.5,0))*(1+$BD68)*(1+$BE68)+(($BF68+($BG68-$BF68)*IF(VLOOKUP($R68,武学奇术!$A:$ZZ,31,FALSE)=1,$F$18,0.5))*IF($G$1="破竹",$AK68,$AI68)+IF($G$1="破竹",$AL68*1.5,0))*(1+$BH68)*(1+$BI68))*(1+$AM68)*$Q68*(1+IF(VLOOKUP($R68,武学奇术!$A:$ZZ,30,FALSE)="蓄力技",$B$21,0))*(1+$BR68)</f>
        <v>410377.017884589</v>
      </c>
      <c r="P68" s="39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361848.051160103</v>
      </c>
      <c r="Q68" s="40">
        <v>1</v>
      </c>
      <c r="R68" s="41" t="s">
        <v>131</v>
      </c>
      <c r="S68" s="41" t="s">
        <v>97</v>
      </c>
      <c r="T68" s="41" t="s">
        <v>132</v>
      </c>
      <c r="U68" s="41" t="s">
        <v>73</v>
      </c>
      <c r="V68" s="41" t="s">
        <v>73</v>
      </c>
      <c r="W68" s="41" t="s">
        <v>73</v>
      </c>
      <c r="X68" s="41" t="s">
        <v>73</v>
      </c>
      <c r="Y68" s="41" t="s">
        <v>164</v>
      </c>
      <c r="Z68" s="41" t="s">
        <v>83</v>
      </c>
      <c r="AA68" s="41" t="s">
        <v>105</v>
      </c>
      <c r="AB68" s="41" t="s">
        <v>90</v>
      </c>
      <c r="AC68" s="41" t="s">
        <v>73</v>
      </c>
      <c r="AD68" s="41" t="s">
        <v>73</v>
      </c>
      <c r="AE68" s="41" t="s">
        <v>76</v>
      </c>
      <c r="AF68" s="41" t="s">
        <v>77</v>
      </c>
      <c r="AG68" s="41" t="s">
        <v>78</v>
      </c>
      <c r="AH68" t="str">
        <f>VLOOKUP($R68,武学奇术!$A:$ZZ,25,FALSE)</f>
        <v>拳甲</v>
      </c>
      <c r="AI68" s="27">
        <f>VLOOKUP($R68,武学奇术!$A:$ZZ,26,FALSE)</f>
        <v>16.8107</v>
      </c>
      <c r="AJ68" s="28">
        <f>VLOOKUP($R68,武学奇术!$A:$ZZ,27,FALSE)*(1+IF(OR($AH68=$F$4,$AH68=$F$5),$B$22,0))</f>
        <v>6970.5</v>
      </c>
      <c r="AK68" s="27">
        <f>VLOOKUP($R68,武学奇术!$A:$ZZ,28,FALSE)</f>
        <v>25.2161</v>
      </c>
      <c r="AL68" s="28">
        <f>VLOOKUP($R68,武学奇术!$A:$ZZ,29,FALSE)*(1+IF(OR($AH68=$F$4,$AH68=$F$5),$B$22,0))</f>
        <v>3799.5</v>
      </c>
      <c r="AM68" s="27" cm="1">
        <f t="array" ref="AM68">$G$3+IFERROR(VLOOKUP($AH68,$F$4:$G$7,2,FALSE),0)+VLOOKUP($R68,武学奇术!$A:$ZZ,2,FALSE)+SUM(_xlfn.XLOOKUP($S68:$AG68,增益!$A:$A,增益!$B:$B,0))</f>
        <v>0.7041</v>
      </c>
      <c r="AN68" s="27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3888.382</v>
      </c>
      <c r="AP68" cm="1">
        <f t="array" ref="AP68">$E$10*(1+$AN68)+VLOOKUP($R68,武学奇术!$A:$ZZ,4,FALSE)+SUM(_xlfn.XLOOKUP($S68:$AG68,增益!$A:$A,增益!$D:$D,0))-$I$2</f>
        <v>3888.382</v>
      </c>
      <c r="AQ68" s="33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0.472</v>
      </c>
      <c r="AR68" s="33" cm="1">
        <f t="array" ref="AR68">$G$10+VLOOKUP($R68,武学奇术!$A:$ZZ,7,FALSE)+SUM(_xlfn.XLOOKUP(S68:AG68,增益!$A:$A,增益!$G:$G,0))</f>
        <v>0.09</v>
      </c>
      <c r="AS68" s="27" cm="1">
        <f t="array" ref="AS68">VLOOKUP($R68,武学奇术!$A:$ZZ,8,FALSE)+SUM(_xlfn.XLOOKUP(S68:AG68,增益!$A:$A,增益!$H:$H,0))</f>
        <v>0</v>
      </c>
      <c r="AT68">
        <f t="shared" si="23"/>
        <v>0</v>
      </c>
      <c r="AU68">
        <f t="shared" si="24"/>
        <v>0</v>
      </c>
      <c r="AV68" s="33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-0.08</v>
      </c>
      <c r="AW68" s="33" cm="1">
        <f t="array" ref="AW68">$G$11+VLOOKUP($R68,武学奇术!$A:$ZZ,10,FALSE)+SUM(_xlfn.XLOOKUP(S68:AG68,增益!$A:$A,增益!$J:$J,0))</f>
        <v>0</v>
      </c>
      <c r="AX68">
        <f t="shared" si="25"/>
        <v>0</v>
      </c>
      <c r="AY68">
        <f t="shared" si="26"/>
        <v>0</v>
      </c>
      <c r="AZ68" s="33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-0.08</v>
      </c>
      <c r="BA68" s="33" cm="1">
        <f t="array" ref="BA68">$G$12+VLOOKUP($R68,武学奇术!$A:$ZZ,12,FALSE)+SUM(_xlfn.XLOOKUP(S68:AG68,增益!$A:$A,增益!$L:$L,0))</f>
        <v>0</v>
      </c>
      <c r="BB68">
        <f t="shared" si="27"/>
        <v>0</v>
      </c>
      <c r="BC68">
        <f t="shared" si="28"/>
        <v>0</v>
      </c>
      <c r="BD68" s="33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-0.08</v>
      </c>
      <c r="BE68" s="33" cm="1">
        <f t="array" ref="BE68">$G$13+VLOOKUP($R68,武学奇术!$A:$ZZ,14,FALSE)+SUM(_xlfn.XLOOKUP(S68:AG68,增益!$A:$A,增益!$N:$N,0))</f>
        <v>0</v>
      </c>
      <c r="BF68">
        <f t="shared" si="29"/>
        <v>605.472</v>
      </c>
      <c r="BG68">
        <f t="shared" si="30"/>
        <v>1725.468</v>
      </c>
      <c r="BH68" s="33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0.11</v>
      </c>
      <c r="BI68" s="33" cm="1">
        <f t="array" ref="BI68">$G$14+VLOOKUP($R68,武学奇术!$A:$ZZ,16,FALSE)+SUM(_xlfn.XLOOKUP(S68:AG68,增益!$A:$A,增益!$P:$P,0))</f>
        <v>0.24</v>
      </c>
      <c r="BJ68" s="27">
        <f>MIN(IF(VLOOKUP($R68,武学奇术!$A:$ZZ,23,FALSE)=1,100%,$B$8),100%)</f>
        <v>1</v>
      </c>
      <c r="BK68" s="27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+MIN(IF(VLOOKUP($R68,武学奇术!$A:$ZZ,32,FALSE)=1,IF(VLOOKUP($R68,武学奇术!$A:$ZZ,24,FALSE)=1,100%,MIN(40%,$B$10+VLOOKUP($R68,武学奇术!$A:$ZZ,19,FALSE)+SUM(_xlfn.XLOOKUP(S68:AG68,增益!$A:$A,增益!$S:$S,0)))+$B$12+SUM(_xlfn.XLOOKUP(S68:AG68,增益!$A:$A,增益!$V:$V,0))),0),12%)</f>
        <v>0.9965</v>
      </c>
      <c r="BL68" s="27" cm="1">
        <f t="array" ref="BL68">1+$B$13+VLOOKUP($R68,武学奇术!$A:$ZZ,18,FALSE)+SUM(_xlfn.XLOOKUP(S68:AG68,增益!$A:$A,增益!$R:$R,0))</f>
        <v>2.39</v>
      </c>
      <c r="BM68" s="27" cm="1">
        <f t="array" ref="BM68">MAX(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-IF(VLOOKUP($R68,武学奇术!$A:$ZZ,32,FALSE)=1,12%,0),0)</f>
        <v>0</v>
      </c>
      <c r="BN68" s="27" cm="1">
        <f t="array" ref="BN68">1+$B$14+VLOOKUP($R68,武学奇术!$A:$ZZ,20,FALSE)+SUM(_xlfn.XLOOKUP(S68:AG68,增益!$A:$A,增益!$T:$T,0))</f>
        <v>1.35</v>
      </c>
      <c r="BO68" s="27">
        <f t="shared" si="31"/>
        <v>0.9965</v>
      </c>
      <c r="BP68" s="27">
        <f t="shared" si="32"/>
        <v>0.00350000000000006</v>
      </c>
      <c r="BQ68" s="27">
        <f>IF(VLOOKUP($R68,武学奇术!$A:$ZZ,22,FALSE)=1,0,(1-$BJ68))*(1-$BM68)</f>
        <v>0</v>
      </c>
      <c r="BR68" s="27" cm="1">
        <f t="array" ref="BR68">SUM(_xlfn.XLOOKUP(S68:AG68,增益!$A:$A,增益!$W:$W,0))+$I$5</f>
        <v>0.11</v>
      </c>
    </row>
    <row r="69" spans="1:70">
      <c r="A69" t="s">
        <v>160</v>
      </c>
      <c r="B69">
        <v>0.1</v>
      </c>
      <c r="C69" s="40"/>
      <c r="K69">
        <f>$L69*VLOOKUP($R69,武学奇术!$A:$ZZ,31,FALSE)</f>
        <v>188426.163016678</v>
      </c>
      <c r="L69" s="39">
        <f t="shared" si="22"/>
        <v>376852.326033356</v>
      </c>
      <c r="M69" s="39">
        <f>((($AO69+($AP69-$AO69)*IF(VLOOKUP($R69,武学奇术!$A:$ZZ,31,FALSE)=1,$F$18,0.5))*$AI69+$AJ69)*(1+$AQ69)*(1+$AR69)+(($AT69+($AU69-$AT69)*IF(VLOOKUP($R69,武学奇术!$A:$ZZ,31,FALSE)=1,$F$18,0.5))*IF($G$1="鸣金",$AK69,$AI69)+IF($G$1="鸣金",$AL69*1.5,0))*(1+$AV69)*(1+$AW69)+(($AX69+($AY69-$AX69)*IF(VLOOKUP($R69,武学奇术!$A:$ZZ,31,FALSE)=1,$F$18,0.5))*IF($G$1="裂石",$AK69,$AI69)+IF($G$1="裂石",$AL69*1.5,0))*(1+$AZ69)*(1+$BA69)+(($BB69+($BC69-$BB69)*IF(VLOOKUP($R69,武学奇术!$A:$ZZ,31,FALSE)=1,$F$18,0.5))*IF($G$1="牵丝",$AK69,$AI69)+IF($G$1="牵丝",$AL69*1.5,0))*(1+$BD69)*(1+$BE69)+(($BF69+($BG69-$BF69)*IF(VLOOKUP($R69,武学奇术!$A:$ZZ,31,FALSE)=1,$F$18,0.5))*IF($G$1="破竹",$AK69,$AI69)+IF($G$1="破竹",$AL69*1.5,0))*(1+$BH69)*(1+$BI69))*(1+$AM69)*$BL69*$Q69*(1+IF(VLOOKUP($R69,武学奇术!$A:$ZZ,30,FALSE)="蓄力技",$B$21,0))*(1+$BR69)</f>
        <v>377620.998064982</v>
      </c>
      <c r="N69" s="39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238523.70596126</v>
      </c>
      <c r="O69" s="39">
        <f>((($AO69+($AP69-$AO69)*IF(VLOOKUP($R69,武学奇术!$A:$ZZ,31,FALSE)=1,$F$18,0.5))*$AI69+$AJ69)*(1+$AQ69)*(1+$AR69)+(($AT69+($AU69-$AT69)*IF(VLOOKUP($R69,武学奇术!$A:$ZZ,31,FALSE)=1,$F$18,0.5))*IF($G$1="鸣金",$AK69,$AI69)+IF($G$1="鸣金",$AL69*1.5,0))*(1+$AV69)*(1+$AW69)+(($AX69+($AY69-$AX69)*IF(VLOOKUP($R69,武学奇术!$A:$ZZ,31,FALSE)=1,$F$18,0.5))*IF($G$1="裂石",$AK69,$AI69)+IF($G$1="裂石",$AL69*1.5,0))*(1+$AZ69)*(1+$BA69)+(($BB69+($BC69-$BB69)*IF(VLOOKUP($R69,武学奇术!$A:$ZZ,31,FALSE)=1,$F$18,0.5))*IF($G$1="牵丝",$AK69,$AI69)+IF($G$1="牵丝",$AL69*1.5,0))*(1+$BD69)*(1+$BE69)+(($BF69+($BG69-$BF69)*IF(VLOOKUP($R69,武学奇术!$A:$ZZ,31,FALSE)=1,$F$18,0.5))*IF($G$1="破竹",$AK69,$AI69)+IF($G$1="破竹",$AL69*1.5,0))*(1+$BH69)*(1+$BI69))*(1+$AM69)*$Q69*(1+IF(VLOOKUP($R69,武学奇术!$A:$ZZ,30,FALSE)="蓄力技",$B$21,0))*(1+$BR69)</f>
        <v>158000.417600411</v>
      </c>
      <c r="P69" s="39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139316.608562852</v>
      </c>
      <c r="Q69" s="40">
        <v>1</v>
      </c>
      <c r="R69" s="41" t="s">
        <v>138</v>
      </c>
      <c r="S69" s="41" t="s">
        <v>97</v>
      </c>
      <c r="T69" s="41" t="s">
        <v>132</v>
      </c>
      <c r="U69" s="41" t="s">
        <v>73</v>
      </c>
      <c r="V69" s="41" t="s">
        <v>73</v>
      </c>
      <c r="W69" s="41" t="s">
        <v>73</v>
      </c>
      <c r="X69" s="41" t="s">
        <v>73</v>
      </c>
      <c r="Y69" s="41" t="s">
        <v>164</v>
      </c>
      <c r="Z69" s="41" t="s">
        <v>83</v>
      </c>
      <c r="AA69" s="41" t="s">
        <v>105</v>
      </c>
      <c r="AB69" s="41" t="s">
        <v>90</v>
      </c>
      <c r="AC69" s="41" t="s">
        <v>73</v>
      </c>
      <c r="AD69" s="41" t="s">
        <v>73</v>
      </c>
      <c r="AE69" s="41" t="s">
        <v>76</v>
      </c>
      <c r="AF69" s="41" t="s">
        <v>77</v>
      </c>
      <c r="AG69" s="41" t="s">
        <v>78</v>
      </c>
      <c r="AH69" t="str">
        <f>VLOOKUP($R69,武学奇术!$A:$ZZ,25,FALSE)</f>
        <v>拳甲</v>
      </c>
      <c r="AI69" s="27">
        <f>VLOOKUP($R69,武学奇术!$A:$ZZ,26,FALSE)</f>
        <v>6.4722</v>
      </c>
      <c r="AJ69" s="28">
        <f>VLOOKUP($R69,武学奇术!$A:$ZZ,27,FALSE)*(1+IF(OR($AH69=$F$4,$AH69=$F$5),$B$22,0))</f>
        <v>2683.8</v>
      </c>
      <c r="AK69" s="27">
        <f>VLOOKUP($R69,武学奇术!$A:$ZZ,28,FALSE)</f>
        <v>9.70828</v>
      </c>
      <c r="AL69" s="28">
        <f>VLOOKUP($R69,武学奇术!$A:$ZZ,29,FALSE)*(1+IF(OR($AH69=$F$4,$AH69=$F$5),$B$22,0))</f>
        <v>1463.4</v>
      </c>
      <c r="AM69" s="27" cm="1">
        <f t="array" ref="AM69">$G$3+IFERROR(VLOOKUP($AH69,$F$4:$G$7,2,FALSE),0)+VLOOKUP($R69,武学奇术!$A:$ZZ,2,FALSE)+SUM(_xlfn.XLOOKUP($S69:$AG69,增益!$A:$A,增益!$B:$B,0))</f>
        <v>0.7041</v>
      </c>
      <c r="AN69" s="27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3888.382</v>
      </c>
      <c r="AP69" cm="1">
        <f t="array" ref="AP69">$E$10*(1+$AN69)+VLOOKUP($R69,武学奇术!$A:$ZZ,4,FALSE)+SUM(_xlfn.XLOOKUP($S69:$AG69,增益!$A:$A,增益!$D:$D,0))-$I$2</f>
        <v>3888.382</v>
      </c>
      <c r="AQ69" s="33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0.472</v>
      </c>
      <c r="AR69" s="33" cm="1">
        <f t="array" ref="AR69">$G$10+VLOOKUP($R69,武学奇术!$A:$ZZ,7,FALSE)+SUM(_xlfn.XLOOKUP(S69:AG69,增益!$A:$A,增益!$G:$G,0))</f>
        <v>0.09</v>
      </c>
      <c r="AS69" s="27" cm="1">
        <f t="array" ref="AS69">VLOOKUP($R69,武学奇术!$A:$ZZ,8,FALSE)+SUM(_xlfn.XLOOKUP(S69:AG69,增益!$A:$A,增益!$H:$H,0))</f>
        <v>0</v>
      </c>
      <c r="AT69">
        <f t="shared" si="23"/>
        <v>0</v>
      </c>
      <c r="AU69">
        <f t="shared" si="24"/>
        <v>0</v>
      </c>
      <c r="AV69" s="33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-0.08</v>
      </c>
      <c r="AW69" s="33" cm="1">
        <f t="array" ref="AW69">$G$11+VLOOKUP($R69,武学奇术!$A:$ZZ,10,FALSE)+SUM(_xlfn.XLOOKUP(S69:AG69,增益!$A:$A,增益!$J:$J,0))</f>
        <v>0</v>
      </c>
      <c r="AX69">
        <f t="shared" si="25"/>
        <v>0</v>
      </c>
      <c r="AY69">
        <f t="shared" si="26"/>
        <v>0</v>
      </c>
      <c r="AZ69" s="33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-0.08</v>
      </c>
      <c r="BA69" s="33" cm="1">
        <f t="array" ref="BA69">$G$12+VLOOKUP($R69,武学奇术!$A:$ZZ,12,FALSE)+SUM(_xlfn.XLOOKUP(S69:AG69,增益!$A:$A,增益!$L:$L,0))</f>
        <v>0</v>
      </c>
      <c r="BB69">
        <f t="shared" si="27"/>
        <v>0</v>
      </c>
      <c r="BC69">
        <f t="shared" si="28"/>
        <v>0</v>
      </c>
      <c r="BD69" s="33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-0.08</v>
      </c>
      <c r="BE69" s="33" cm="1">
        <f t="array" ref="BE69">$G$13+VLOOKUP($R69,武学奇术!$A:$ZZ,14,FALSE)+SUM(_xlfn.XLOOKUP(S69:AG69,增益!$A:$A,增益!$N:$N,0))</f>
        <v>0</v>
      </c>
      <c r="BF69">
        <f t="shared" si="29"/>
        <v>605.472</v>
      </c>
      <c r="BG69">
        <f t="shared" si="30"/>
        <v>1725.468</v>
      </c>
      <c r="BH69" s="33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0.11</v>
      </c>
      <c r="BI69" s="33" cm="1">
        <f t="array" ref="BI69">$G$14+VLOOKUP($R69,武学奇术!$A:$ZZ,16,FALSE)+SUM(_xlfn.XLOOKUP(S69:AG69,增益!$A:$A,增益!$P:$P,0))</f>
        <v>0.24</v>
      </c>
      <c r="BJ69" s="27">
        <f>MIN(IF(VLOOKUP($R69,武学奇术!$A:$ZZ,23,FALSE)=1,100%,$B$8),100%)</f>
        <v>1</v>
      </c>
      <c r="BK69" s="27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+MIN(IF(VLOOKUP($R69,武学奇术!$A:$ZZ,32,FALSE)=1,IF(VLOOKUP($R69,武学奇术!$A:$ZZ,24,FALSE)=1,100%,MIN(40%,$B$10+VLOOKUP($R69,武学奇术!$A:$ZZ,19,FALSE)+SUM(_xlfn.XLOOKUP(S69:AG69,增益!$A:$A,增益!$S:$S,0)))+$B$12+SUM(_xlfn.XLOOKUP(S69:AG69,增益!$A:$A,增益!$V:$V,0))),0),12%)</f>
        <v>0.9965</v>
      </c>
      <c r="BL69" s="27" cm="1">
        <f t="array" ref="BL69">1+$B$13+VLOOKUP($R69,武学奇术!$A:$ZZ,18,FALSE)+SUM(_xlfn.XLOOKUP(S69:AG69,增益!$A:$A,增益!$R:$R,0))</f>
        <v>2.39</v>
      </c>
      <c r="BM69" s="27" cm="1">
        <f t="array" ref="BM69">MAX(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-IF(VLOOKUP($R69,武学奇术!$A:$ZZ,32,FALSE)=1,12%,0),0)</f>
        <v>0</v>
      </c>
      <c r="BN69" s="27" cm="1">
        <f t="array" ref="BN69">1+$B$14+VLOOKUP($R69,武学奇术!$A:$ZZ,20,FALSE)+SUM(_xlfn.XLOOKUP(S69:AG69,增益!$A:$A,增益!$T:$T,0))</f>
        <v>1.35</v>
      </c>
      <c r="BO69" s="27">
        <f t="shared" si="31"/>
        <v>0.9965</v>
      </c>
      <c r="BP69" s="27">
        <f t="shared" si="32"/>
        <v>0.00350000000000006</v>
      </c>
      <c r="BQ69" s="27">
        <f>IF(VLOOKUP($R69,武学奇术!$A:$ZZ,22,FALSE)=1,0,(1-$BJ69))*(1-$BM69)</f>
        <v>0</v>
      </c>
      <c r="BR69" s="27" cm="1">
        <f t="array" ref="BR69">SUM(_xlfn.XLOOKUP(S69:AG69,增益!$A:$A,增益!$W:$W,0))+$I$5</f>
        <v>0.11</v>
      </c>
    </row>
    <row r="70" spans="1:70">
      <c r="A70" s="4" t="s">
        <v>170</v>
      </c>
      <c r="B70" s="4">
        <v>1</v>
      </c>
      <c r="C70" s="40"/>
      <c r="K70">
        <f>$L70*VLOOKUP($R70,武学奇术!$A:$ZZ,31,FALSE)</f>
        <v>32407.8015211363</v>
      </c>
      <c r="L70" s="39">
        <f t="shared" si="22"/>
        <v>32407.8015211363</v>
      </c>
      <c r="M70" s="39">
        <f>((($AO70+($AP70-$AO70)*IF(VLOOKUP($R70,武学奇术!$A:$ZZ,31,FALSE)=1,$F$18,0.5))*$AI70+$AJ70)*(1+$AQ70)*(1+$AR70)+(($AT70+($AU70-$AT70)*IF(VLOOKUP($R70,武学奇术!$A:$ZZ,31,FALSE)=1,$F$18,0.5))*IF($G$1="鸣金",$AK70,$AI70)+IF($G$1="鸣金",$AL70*1.5,0))*(1+$AV70)*(1+$AW70)+(($AX70+($AY70-$AX70)*IF(VLOOKUP($R70,武学奇术!$A:$ZZ,31,FALSE)=1,$F$18,0.5))*IF($G$1="裂石",$AK70,$AI70)+IF($G$1="裂石",$AL70*1.5,0))*(1+$AZ70)*(1+$BA70)+(($BB70+($BC70-$BB70)*IF(VLOOKUP($R70,武学奇术!$A:$ZZ,31,FALSE)=1,$F$18,0.5))*IF($G$1="牵丝",$AK70,$AI70)+IF($G$1="牵丝",$AL70*1.5,0))*(1+$BD70)*(1+$BE70)+(($BF70+($BG70-$BF70)*IF(VLOOKUP($R70,武学奇术!$A:$ZZ,31,FALSE)=1,$F$18,0.5))*IF($G$1="破竹",$AK70,$AI70)+IF($G$1="破竹",$AL70*1.5,0))*(1+$BH70)*(1+$BI70))*(1+$AM70)*$BL70*$Q70*(1+IF(VLOOKUP($R70,武学奇术!$A:$ZZ,30,FALSE)="蓄力技",$B$21,0))*(1+$BR70)</f>
        <v>33082.1754767638</v>
      </c>
      <c r="N70" s="39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26409.9512638602</v>
      </c>
      <c r="O70" s="39">
        <f>((($AO70+($AP70-$AO70)*IF(VLOOKUP($R70,武学奇术!$A:$ZZ,31,FALSE)=1,$F$18,0.5))*$AI70+$AJ70)*(1+$AQ70)*(1+$AR70)+(($AT70+($AU70-$AT70)*IF(VLOOKUP($R70,武学奇术!$A:$ZZ,31,FALSE)=1,$F$18,0.5))*IF($G$1="鸣金",$AK70,$AI70)+IF($G$1="鸣金",$AL70*1.5,0))*(1+$AV70)*(1+$AW70)+(($AX70+($AY70-$AX70)*IF(VLOOKUP($R70,武学奇术!$A:$ZZ,31,FALSE)=1,$F$18,0.5))*IF($G$1="裂石",$AK70,$AI70)+IF($G$1="裂石",$AL70*1.5,0))*(1+$AZ70)*(1+$BA70)+(($BB70+($BC70-$BB70)*IF(VLOOKUP($R70,武学奇术!$A:$ZZ,31,FALSE)=1,$F$18,0.5))*IF($G$1="牵丝",$AK70,$AI70)+IF($G$1="牵丝",$AL70*1.5,0))*(1+$BD70)*(1+$BE70)+(($BF70+($BG70-$BF70)*IF(VLOOKUP($R70,武学奇术!$A:$ZZ,31,FALSE)=1,$F$18,0.5))*IF($G$1="破竹",$AK70,$AI70)+IF($G$1="破竹",$AL70*1.5,0))*(1+$BH70)*(1+$BI70))*(1+$AM70)*$Q70*(1+IF(VLOOKUP($R70,武学奇术!$A:$ZZ,30,FALSE)="蓄力技",$B$21,0))*(1+$BR70)</f>
        <v>17503.7965485523</v>
      </c>
      <c r="P70" s="39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15444.6662349858</v>
      </c>
      <c r="Q70" s="40">
        <v>1</v>
      </c>
      <c r="R70" s="41" t="s">
        <v>100</v>
      </c>
      <c r="S70" s="41" t="s">
        <v>97</v>
      </c>
      <c r="T70" s="41" t="s">
        <v>132</v>
      </c>
      <c r="U70" s="41" t="s">
        <v>73</v>
      </c>
      <c r="V70" s="41" t="s">
        <v>73</v>
      </c>
      <c r="W70" s="41" t="s">
        <v>73</v>
      </c>
      <c r="X70" s="41" t="s">
        <v>73</v>
      </c>
      <c r="Y70" s="41" t="s">
        <v>164</v>
      </c>
      <c r="Z70" s="41" t="s">
        <v>83</v>
      </c>
      <c r="AA70" s="41" t="s">
        <v>73</v>
      </c>
      <c r="AB70" s="41" t="s">
        <v>84</v>
      </c>
      <c r="AC70" s="41" t="s">
        <v>73</v>
      </c>
      <c r="AD70" s="41" t="s">
        <v>73</v>
      </c>
      <c r="AE70" s="41" t="s">
        <v>76</v>
      </c>
      <c r="AF70" s="41" t="s">
        <v>77</v>
      </c>
      <c r="AG70" s="41" t="s">
        <v>78</v>
      </c>
      <c r="AH70" t="str">
        <f>VLOOKUP($R70,武学奇术!$A:$ZZ,25,FALSE)</f>
        <v>绳镖</v>
      </c>
      <c r="AI70" s="27">
        <f>VLOOKUP($R70,武学奇术!$A:$ZZ,26,FALSE)</f>
        <v>1.2503</v>
      </c>
      <c r="AJ70" s="28">
        <f>VLOOKUP($R70,武学奇术!$A:$ZZ,27,FALSE)*(1+IF(OR($AH70=$F$4,$AH70=$F$5),$B$22,0))</f>
        <v>520.5</v>
      </c>
      <c r="AK70" s="27">
        <f>VLOOKUP($R70,武学奇术!$A:$ZZ,28,FALSE)</f>
        <v>1.8755</v>
      </c>
      <c r="AL70" s="28">
        <f>VLOOKUP($R70,武学奇术!$A:$ZZ,29,FALSE)*(1+IF(OR($AH70=$F$4,$AH70=$F$5),$B$22,0))</f>
        <v>283.5</v>
      </c>
      <c r="AM70" s="27" cm="1">
        <f t="array" ref="AM70">$G$3+IFERROR(VLOOKUP($AH70,$F$4:$G$7,2,FALSE),0)+VLOOKUP($R70,武学奇术!$A:$ZZ,2,FALSE)+SUM(_xlfn.XLOOKUP($S70:$AG70,增益!$A:$A,增益!$B:$B,0))</f>
        <v>0.3189</v>
      </c>
      <c r="AN70" s="27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3888.382</v>
      </c>
      <c r="AP70" cm="1">
        <f t="array" ref="AP70">$E$10*(1+$AN70)+VLOOKUP($R70,武学奇术!$A:$ZZ,4,FALSE)+SUM(_xlfn.XLOOKUP($S70:$AG70,增益!$A:$A,增益!$D:$D,0))-$I$2</f>
        <v>3888.382</v>
      </c>
      <c r="AQ70" s="33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0.442</v>
      </c>
      <c r="AR70" s="33" cm="1">
        <f t="array" ref="AR70">$G$10+VLOOKUP($R70,武学奇术!$A:$ZZ,7,FALSE)+SUM(_xlfn.XLOOKUP(S70:AG70,增益!$A:$A,增益!$G:$G,0))</f>
        <v>0.09</v>
      </c>
      <c r="AS70" s="27" cm="1">
        <f t="array" ref="AS70">VLOOKUP($R70,武学奇术!$A:$ZZ,8,FALSE)+SUM(_xlfn.XLOOKUP(S70:AG70,增益!$A:$A,增益!$H:$H,0))</f>
        <v>0</v>
      </c>
      <c r="AT70">
        <f t="shared" si="23"/>
        <v>0</v>
      </c>
      <c r="AU70">
        <f t="shared" si="24"/>
        <v>0</v>
      </c>
      <c r="AV70" s="33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-0.14</v>
      </c>
      <c r="AW70" s="33" cm="1">
        <f t="array" ref="AW70">$G$11+VLOOKUP($R70,武学奇术!$A:$ZZ,10,FALSE)+SUM(_xlfn.XLOOKUP(S70:AG70,增益!$A:$A,增益!$J:$J,0))</f>
        <v>0</v>
      </c>
      <c r="AX70">
        <f t="shared" si="25"/>
        <v>0</v>
      </c>
      <c r="AY70">
        <f t="shared" si="26"/>
        <v>0</v>
      </c>
      <c r="AZ70" s="33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-0.14</v>
      </c>
      <c r="BA70" s="33" cm="1">
        <f t="array" ref="BA70">$G$12+VLOOKUP($R70,武学奇术!$A:$ZZ,12,FALSE)+SUM(_xlfn.XLOOKUP(S70:AG70,增益!$A:$A,增益!$L:$L,0))</f>
        <v>0</v>
      </c>
      <c r="BB70">
        <f t="shared" si="27"/>
        <v>0</v>
      </c>
      <c r="BC70">
        <f t="shared" si="28"/>
        <v>0</v>
      </c>
      <c r="BD70" s="33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-0.14</v>
      </c>
      <c r="BE70" s="33" cm="1">
        <f t="array" ref="BE70">$G$13+VLOOKUP($R70,武学奇术!$A:$ZZ,14,FALSE)+SUM(_xlfn.XLOOKUP(S70:AG70,增益!$A:$A,增益!$N:$N,0))</f>
        <v>0</v>
      </c>
      <c r="BF70">
        <f t="shared" si="29"/>
        <v>605.472</v>
      </c>
      <c r="BG70">
        <f t="shared" si="30"/>
        <v>1725.468</v>
      </c>
      <c r="BH70" s="33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0.08</v>
      </c>
      <c r="BI70" s="33" cm="1">
        <f t="array" ref="BI70">$G$14+VLOOKUP($R70,武学奇术!$A:$ZZ,16,FALSE)+SUM(_xlfn.XLOOKUP(S70:AG70,增益!$A:$A,增益!$P:$P,0))</f>
        <v>0.24</v>
      </c>
      <c r="BJ70" s="27">
        <f>MIN(IF(VLOOKUP($R70,武学奇术!$A:$ZZ,23,FALSE)=1,100%,$B$8),100%)</f>
        <v>1</v>
      </c>
      <c r="BK70" s="27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+MIN(IF(VLOOKUP($R70,武学奇术!$A:$ZZ,32,FALSE)=1,IF(VLOOKUP($R70,武学奇术!$A:$ZZ,24,FALSE)=1,100%,MIN(40%,$B$10+VLOOKUP($R70,武学奇术!$A:$ZZ,19,FALSE)+SUM(_xlfn.XLOOKUP(S70:AG70,增益!$A:$A,增益!$S:$S,0)))+$B$12+SUM(_xlfn.XLOOKUP(S70:AG70,增益!$A:$A,增益!$V:$V,0))),0),12%)</f>
        <v>0.9036</v>
      </c>
      <c r="BL70" s="27" cm="1">
        <f t="array" ref="BL70">1+$B$13+VLOOKUP($R70,武学奇术!$A:$ZZ,18,FALSE)+SUM(_xlfn.XLOOKUP(S70:AG70,增益!$A:$A,增益!$R:$R,0))</f>
        <v>1.89</v>
      </c>
      <c r="BM70" s="27" cm="1">
        <f t="array" ref="BM70">MAX(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-IF(VLOOKUP($R70,武学奇术!$A:$ZZ,32,FALSE)=1,12%,0),0)</f>
        <v>0.0929</v>
      </c>
      <c r="BN70" s="27" cm="1">
        <f t="array" ref="BN70">1+$B$14+VLOOKUP($R70,武学奇术!$A:$ZZ,20,FALSE)+SUM(_xlfn.XLOOKUP(S70:AG70,增益!$A:$A,增益!$T:$T,0))</f>
        <v>1.35</v>
      </c>
      <c r="BO70" s="27">
        <f t="shared" si="31"/>
        <v>0.9036</v>
      </c>
      <c r="BP70" s="27">
        <f t="shared" si="32"/>
        <v>0.00350000000000006</v>
      </c>
      <c r="BQ70" s="27">
        <f>IF(VLOOKUP($R70,武学奇术!$A:$ZZ,22,FALSE)=1,0,(1-$BJ70))*(1-$BM70)</f>
        <v>0</v>
      </c>
      <c r="BR70" s="27" cm="1">
        <f t="array" ref="BR70">SUM(_xlfn.XLOOKUP(S70:AG70,增益!$A:$A,增益!$W:$W,0))+$I$5</f>
        <v>0.11</v>
      </c>
    </row>
    <row r="71" spans="1:70">
      <c r="A71" s="4" t="s">
        <v>168</v>
      </c>
      <c r="B71" s="91">
        <v>1.16</v>
      </c>
      <c r="C71" s="40"/>
      <c r="K71">
        <f>$L71*VLOOKUP($R71,武学奇术!$A:$ZZ,31,FALSE)</f>
        <v>94357.1291992522</v>
      </c>
      <c r="L71" s="39">
        <f t="shared" si="22"/>
        <v>72582.4070763479</v>
      </c>
      <c r="M71" s="39">
        <f>((($AO71+($AP71-$AO71)*IF(VLOOKUP($R71,武学奇术!$A:$ZZ,31,FALSE)=1,$F$18,0.5))*$AI71+$AJ71)*(1+$AQ71)*(1+$AR71)+(($AT71+($AU71-$AT71)*IF(VLOOKUP($R71,武学奇术!$A:$ZZ,31,FALSE)=1,$F$18,0.5))*IF($G$1="鸣金",$AK71,$AI71)+IF($G$1="鸣金",$AL71*1.5,0))*(1+$AV71)*(1+$AW71)+(($AX71+($AY71-$AX71)*IF(VLOOKUP($R71,武学奇术!$A:$ZZ,31,FALSE)=1,$F$18,0.5))*IF($G$1="裂石",$AK71,$AI71)+IF($G$1="裂石",$AL71*1.5,0))*(1+$AZ71)*(1+$BA71)+(($BB71+($BC71-$BB71)*IF(VLOOKUP($R71,武学奇术!$A:$ZZ,31,FALSE)=1,$F$18,0.5))*IF($G$1="牵丝",$AK71,$AI71)+IF($G$1="牵丝",$AL71*1.5,0))*(1+$BD71)*(1+$BE71)+(($BF71+($BG71-$BF71)*IF(VLOOKUP($R71,武学奇术!$A:$ZZ,31,FALSE)=1,$F$18,0.5))*IF($G$1="破竹",$AK71,$AI71)+IF($G$1="破竹",$AL71*1.5,0))*(1+$BH71)*(1+$BI71))*(1+$AM71)*$BL71*$Q71*(1+IF(VLOOKUP($R71,武学奇术!$A:$ZZ,30,FALSE)="蓄力技",$B$21,0))*(1+$BR71)</f>
        <v>74817.65336451</v>
      </c>
      <c r="N71" s="39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52288.5242630958</v>
      </c>
      <c r="O71" s="39">
        <f>((($AO71+($AP71-$AO71)*IF(VLOOKUP($R71,武学奇术!$A:$ZZ,31,FALSE)=1,$F$18,0.5))*$AI71+$AJ71)*(1+$AQ71)*(1+$AR71)+(($AT71+($AU71-$AT71)*IF(VLOOKUP($R71,武学奇术!$A:$ZZ,31,FALSE)=1,$F$18,0.5))*IF($G$1="鸣金",$AK71,$AI71)+IF($G$1="鸣金",$AL71*1.5,0))*(1+$AV71)*(1+$AW71)+(($AX71+($AY71-$AX71)*IF(VLOOKUP($R71,武学奇术!$A:$ZZ,31,FALSE)=1,$F$18,0.5))*IF($G$1="裂石",$AK71,$AI71)+IF($G$1="裂石",$AL71*1.5,0))*(1+$AZ71)*(1+$BA71)+(($BB71+($BC71-$BB71)*IF(VLOOKUP($R71,武学奇术!$A:$ZZ,31,FALSE)=1,$F$18,0.5))*IF($G$1="牵丝",$AK71,$AI71)+IF($G$1="牵丝",$AL71*1.5,0))*(1+$BD71)*(1+$BE71)+(($BF71+($BG71-$BF71)*IF(VLOOKUP($R71,武学奇术!$A:$ZZ,31,FALSE)=1,$F$18,0.5))*IF($G$1="破竹",$AK71,$AI71)+IF($G$1="破竹",$AL71*1.5,0))*(1+$BH71)*(1+$BI71))*(1+$AM71)*$Q71*(1+IF(VLOOKUP($R71,武学奇术!$A:$ZZ,30,FALSE)="蓄力技",$B$21,0))*(1+$BR71)</f>
        <v>34163.312038589</v>
      </c>
      <c r="P71" s="39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29594.3838822923</v>
      </c>
      <c r="Q71" s="40">
        <v>1</v>
      </c>
      <c r="R71" s="41" t="s">
        <v>104</v>
      </c>
      <c r="S71" s="41" t="s">
        <v>97</v>
      </c>
      <c r="T71" s="41" t="s">
        <v>132</v>
      </c>
      <c r="U71" s="41" t="s">
        <v>73</v>
      </c>
      <c r="V71" s="41" t="s">
        <v>73</v>
      </c>
      <c r="W71" s="41" t="s">
        <v>73</v>
      </c>
      <c r="X71" s="41" t="s">
        <v>73</v>
      </c>
      <c r="Y71" s="41" t="s">
        <v>164</v>
      </c>
      <c r="Z71" s="41" t="s">
        <v>83</v>
      </c>
      <c r="AA71" s="41" t="s">
        <v>105</v>
      </c>
      <c r="AB71" s="41" t="s">
        <v>84</v>
      </c>
      <c r="AC71" s="41" t="s">
        <v>73</v>
      </c>
      <c r="AD71" s="41" t="s">
        <v>73</v>
      </c>
      <c r="AE71" s="41" t="s">
        <v>76</v>
      </c>
      <c r="AF71" s="41" t="s">
        <v>77</v>
      </c>
      <c r="AG71" s="41" t="s">
        <v>78</v>
      </c>
      <c r="AH71" t="str">
        <f>VLOOKUP($R71,武学奇术!$A:$ZZ,25,FALSE)</f>
        <v>绳镖</v>
      </c>
      <c r="AI71" s="27">
        <f>VLOOKUP($R71,武学奇术!$A:$ZZ,26,FALSE)</f>
        <v>2.19912</v>
      </c>
      <c r="AJ71" s="28">
        <f>VLOOKUP($R71,武学奇术!$A:$ZZ,27,FALSE)*(1+IF(OR($AH71=$F$4,$AH71=$F$5),$B$22,0))</f>
        <v>0</v>
      </c>
      <c r="AK71" s="27">
        <f>VLOOKUP($R71,武学奇术!$A:$ZZ,28,FALSE)</f>
        <v>3.29868</v>
      </c>
      <c r="AL71" s="28">
        <f>VLOOKUP($R71,武学奇术!$A:$ZZ,29,FALSE)*(1+IF(OR($AH71=$F$4,$AH71=$F$5),$B$22,0))</f>
        <v>0</v>
      </c>
      <c r="AM71" s="27" cm="1">
        <f t="array" ref="AM71">$G$3+IFERROR(VLOOKUP($AH71,$F$4:$G$7,2,FALSE),0)+VLOOKUP($R71,武学奇术!$A:$ZZ,2,FALSE)+SUM(_xlfn.XLOOKUP($S71:$AG71,增益!$A:$A,增益!$B:$B,0))</f>
        <v>0.6189</v>
      </c>
      <c r="AN71" s="27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3888.382</v>
      </c>
      <c r="AP71" cm="1">
        <f t="array" ref="AP71">$E$10*(1+$AN71)+VLOOKUP($R71,武学奇术!$A:$ZZ,4,FALSE)+SUM(_xlfn.XLOOKUP($S71:$AG71,增益!$A:$A,增益!$D:$D,0))-$I$2</f>
        <v>3888.382</v>
      </c>
      <c r="AQ71" s="33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0.472</v>
      </c>
      <c r="AR71" s="33" cm="1">
        <f t="array" ref="AR71">$G$10+VLOOKUP($R71,武学奇术!$A:$ZZ,7,FALSE)+SUM(_xlfn.XLOOKUP(S71:AG71,增益!$A:$A,增益!$G:$G,0))</f>
        <v>0.09</v>
      </c>
      <c r="AS71" s="27" cm="1">
        <f t="array" ref="AS71">VLOOKUP($R71,武学奇术!$A:$ZZ,8,FALSE)+SUM(_xlfn.XLOOKUP(S71:AG71,增益!$A:$A,增益!$H:$H,0))</f>
        <v>0</v>
      </c>
      <c r="AT71">
        <f t="shared" si="23"/>
        <v>0</v>
      </c>
      <c r="AU71">
        <f t="shared" si="24"/>
        <v>0</v>
      </c>
      <c r="AV71" s="33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-0.08</v>
      </c>
      <c r="AW71" s="33" cm="1">
        <f t="array" ref="AW71">$G$11+VLOOKUP($R71,武学奇术!$A:$ZZ,10,FALSE)+SUM(_xlfn.XLOOKUP(S71:AG71,增益!$A:$A,增益!$J:$J,0))</f>
        <v>0</v>
      </c>
      <c r="AX71">
        <f t="shared" si="25"/>
        <v>0</v>
      </c>
      <c r="AY71">
        <f t="shared" si="26"/>
        <v>0</v>
      </c>
      <c r="AZ71" s="33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-0.08</v>
      </c>
      <c r="BA71" s="33" cm="1">
        <f t="array" ref="BA71">$G$12+VLOOKUP($R71,武学奇术!$A:$ZZ,12,FALSE)+SUM(_xlfn.XLOOKUP(S71:AG71,增益!$A:$A,增益!$L:$L,0))</f>
        <v>0</v>
      </c>
      <c r="BB71">
        <f t="shared" si="27"/>
        <v>0</v>
      </c>
      <c r="BC71">
        <f t="shared" si="28"/>
        <v>0</v>
      </c>
      <c r="BD71" s="33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-0.08</v>
      </c>
      <c r="BE71" s="33" cm="1">
        <f t="array" ref="BE71">$G$13+VLOOKUP($R71,武学奇术!$A:$ZZ,14,FALSE)+SUM(_xlfn.XLOOKUP(S71:AG71,增益!$A:$A,增益!$N:$N,0))</f>
        <v>0</v>
      </c>
      <c r="BF71">
        <f t="shared" si="29"/>
        <v>605.472</v>
      </c>
      <c r="BG71">
        <f t="shared" si="30"/>
        <v>1725.468</v>
      </c>
      <c r="BH71" s="33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0.11</v>
      </c>
      <c r="BI71" s="33" cm="1">
        <f t="array" ref="BI71">$G$14+VLOOKUP($R71,武学奇术!$A:$ZZ,16,FALSE)+SUM(_xlfn.XLOOKUP(S71:AG71,增益!$A:$A,增益!$P:$P,0))</f>
        <v>0.24</v>
      </c>
      <c r="BJ71" s="27">
        <f>MIN(IF(VLOOKUP($R71,武学奇术!$A:$ZZ,23,FALSE)=1,100%,$B$8),100%)</f>
        <v>1</v>
      </c>
      <c r="BK71" s="27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+MIN(IF(VLOOKUP($R71,武学奇术!$A:$ZZ,32,FALSE)=1,IF(VLOOKUP($R71,武学奇术!$A:$ZZ,24,FALSE)=1,100%,MIN(40%,$B$10+VLOOKUP($R71,武学奇术!$A:$ZZ,19,FALSE)+SUM(_xlfn.XLOOKUP(S71:AG71,增益!$A:$A,增益!$S:$S,0)))+$B$12+SUM(_xlfn.XLOOKUP(S71:AG71,增益!$A:$A,增益!$V:$V,0))),0),12%)</f>
        <v>0.9036</v>
      </c>
      <c r="BL71" s="27" cm="1">
        <f t="array" ref="BL71">1+$B$13+VLOOKUP($R71,武学奇术!$A:$ZZ,18,FALSE)+SUM(_xlfn.XLOOKUP(S71:AG71,增益!$A:$A,增益!$R:$R,0))</f>
        <v>2.19</v>
      </c>
      <c r="BM71" s="27" cm="1">
        <f t="array" ref="BM71">MAX(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-IF(VLOOKUP($R71,武学奇术!$A:$ZZ,32,FALSE)=1,12%,0),0)</f>
        <v>0.0929</v>
      </c>
      <c r="BN71" s="27" cm="1">
        <f t="array" ref="BN71">1+$B$14+VLOOKUP($R71,武学奇术!$A:$ZZ,20,FALSE)+SUM(_xlfn.XLOOKUP(S71:AG71,增益!$A:$A,增益!$T:$T,0))</f>
        <v>1.35</v>
      </c>
      <c r="BO71" s="27">
        <f t="shared" si="31"/>
        <v>0.9036</v>
      </c>
      <c r="BP71" s="27">
        <f t="shared" si="32"/>
        <v>0.00350000000000006</v>
      </c>
      <c r="BQ71" s="27">
        <f>IF(VLOOKUP($R71,武学奇术!$A:$ZZ,22,FALSE)=1,0,(1-$BJ71))*(1-$BM71)</f>
        <v>0</v>
      </c>
      <c r="BR71" s="27" cm="1">
        <f t="array" ref="BR71">SUM(_xlfn.XLOOKUP(S71:AG71,增益!$A:$A,增益!$W:$W,0))+$I$5</f>
        <v>0.11</v>
      </c>
    </row>
    <row r="72" spans="1:70">
      <c r="A72" t="s">
        <v>186</v>
      </c>
      <c r="B72">
        <v>2</v>
      </c>
      <c r="D72" s="40"/>
      <c r="F72" s="40"/>
      <c r="K72">
        <f>$L72*VLOOKUP($R72,武学奇术!$A:$ZZ,31,FALSE)</f>
        <v>10626.9696183269</v>
      </c>
      <c r="L72" s="39">
        <f t="shared" si="22"/>
        <v>10626.9696183269</v>
      </c>
      <c r="M72" s="39">
        <f>((($AO72+($AP72-$AO72)*IF(VLOOKUP($R72,武学奇术!$A:$ZZ,31,FALSE)=1,$F$18,0.5))*$AI72+$AJ72)*(1+$AQ72)*(1+$AR72)+(($AT72+($AU72-$AT72)*IF(VLOOKUP($R72,武学奇术!$A:$ZZ,31,FALSE)=1,$F$18,0.5))*IF($G$1="鸣金",$AK72,$AI72)+IF($G$1="鸣金",$AL72*1.5,0))*(1+$AV72)*(1+$AW72)+(($AX72+($AY72-$AX72)*IF(VLOOKUP($R72,武学奇术!$A:$ZZ,31,FALSE)=1,$F$18,0.5))*IF($G$1="裂石",$AK72,$AI72)+IF($G$1="裂石",$AL72*1.5,0))*(1+$AZ72)*(1+$BA72)+(($BB72+($BC72-$BB72)*IF(VLOOKUP($R72,武学奇术!$A:$ZZ,31,FALSE)=1,$F$18,0.5))*IF($G$1="牵丝",$AK72,$AI72)+IF($G$1="牵丝",$AL72*1.5,0))*(1+$BD72)*(1+$BE72)+(($BF72+($BG72-$BF72)*IF(VLOOKUP($R72,武学奇术!$A:$ZZ,31,FALSE)=1,$F$18,0.5))*IF($G$1="破竹",$AK72,$AI72)+IF($G$1="破竹",$AL72*1.5,0))*(1+$BH72)*(1+$BI72))*(1+$AM72)*$BL72*$Q72*(1+IF(VLOOKUP($R72,武学奇术!$A:$ZZ,30,FALSE)="蓄力技",$B$21,0))*(1+$BR72)</f>
        <v>10714.8609521151</v>
      </c>
      <c r="N72" s="39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9926.30980296579</v>
      </c>
      <c r="O72" s="39">
        <f>((($AO72+($AP72-$AO72)*IF(VLOOKUP($R72,武学奇术!$A:$ZZ,31,FALSE)=1,$F$18,0.5))*$AI72+$AJ72)*(1+$AQ72)*(1+$AR72)+(($AT72+($AU72-$AT72)*IF(VLOOKUP($R72,武学奇术!$A:$ZZ,31,FALSE)=1,$F$18,0.5))*IF($G$1="鸣金",$AK72,$AI72)+IF($G$1="鸣金",$AL72*1.5,0))*(1+$AV72)*(1+$AW72)+(($AX72+($AY72-$AX72)*IF(VLOOKUP($R72,武学奇术!$A:$ZZ,31,FALSE)=1,$F$18,0.5))*IF($G$1="裂石",$AK72,$AI72)+IF($G$1="裂石",$AL72*1.5,0))*(1+$AZ72)*(1+$BA72)+(($BB72+($BC72-$BB72)*IF(VLOOKUP($R72,武学奇术!$A:$ZZ,31,FALSE)=1,$F$18,0.5))*IF($G$1="牵丝",$AK72,$AI72)+IF($G$1="牵丝",$AL72*1.5,0))*(1+$BD72)*(1+$BE72)+(($BF72+($BG72-$BF72)*IF(VLOOKUP($R72,武学奇术!$A:$ZZ,31,FALSE)=1,$F$18,0.5))*IF($G$1="破竹",$AK72,$AI72)+IF($G$1="破竹",$AL72*1.5,0))*(1+$BH72)*(1+$BI72))*(1+$AM72)*$Q72*(1+IF(VLOOKUP($R72,武学奇术!$A:$ZZ,30,FALSE)="蓄力技",$B$21,0))*(1+$BR72)</f>
        <v>6533.45180007015</v>
      </c>
      <c r="P72" s="39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5714.08152386935</v>
      </c>
      <c r="Q72" s="40">
        <v>1</v>
      </c>
      <c r="R72" s="41" t="s">
        <v>107</v>
      </c>
      <c r="S72" s="41" t="s">
        <v>97</v>
      </c>
      <c r="T72" s="41" t="s">
        <v>73</v>
      </c>
      <c r="U72" s="41" t="s">
        <v>73</v>
      </c>
      <c r="V72" s="41" t="s">
        <v>73</v>
      </c>
      <c r="W72" s="41" t="s">
        <v>73</v>
      </c>
      <c r="X72" s="41" t="s">
        <v>73</v>
      </c>
      <c r="Y72" s="41" t="s">
        <v>164</v>
      </c>
      <c r="Z72" s="41" t="s">
        <v>83</v>
      </c>
      <c r="AA72" s="41" t="s">
        <v>73</v>
      </c>
      <c r="AB72" s="41" t="s">
        <v>84</v>
      </c>
      <c r="AC72" s="41" t="s">
        <v>73</v>
      </c>
      <c r="AD72" s="41" t="s">
        <v>73</v>
      </c>
      <c r="AE72" s="41" t="s">
        <v>76</v>
      </c>
      <c r="AF72" s="41" t="s">
        <v>77</v>
      </c>
      <c r="AG72" s="41" t="s">
        <v>78</v>
      </c>
      <c r="AH72" t="str">
        <f>VLOOKUP($R72,武学奇术!$A:$ZZ,25,FALSE)</f>
        <v>绳镖</v>
      </c>
      <c r="AI72" s="27">
        <f>VLOOKUP($R72,武学奇术!$A:$ZZ,26,FALSE)</f>
        <v>0.4975</v>
      </c>
      <c r="AJ72" s="28">
        <f>VLOOKUP($R72,武学奇术!$A:$ZZ,27,FALSE)*(1+IF(OR($AH72=$F$4,$AH72=$F$5),$B$22,0))</f>
        <v>205.5</v>
      </c>
      <c r="AK72" s="27">
        <f>VLOOKUP($R72,武学奇术!$A:$ZZ,28,FALSE)</f>
        <v>0.7463</v>
      </c>
      <c r="AL72" s="28">
        <f>VLOOKUP($R72,武学奇术!$A:$ZZ,29,FALSE)*(1+IF(OR($AH72=$F$4,$AH72=$F$5),$B$22,0))</f>
        <v>112.5</v>
      </c>
      <c r="AM72" s="27" cm="1">
        <f t="array" ref="AM72">$G$3+IFERROR(VLOOKUP($AH72,$F$4:$G$7,2,FALSE),0)+VLOOKUP($R72,武学奇术!$A:$ZZ,2,FALSE)+SUM(_xlfn.XLOOKUP($S72:$AG72,增益!$A:$A,增益!$B:$B,0))</f>
        <v>0.3189</v>
      </c>
      <c r="AN72" s="27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3888.382</v>
      </c>
      <c r="AP72" cm="1">
        <f t="array" ref="AP72">$E$10*(1+$AN72)+VLOOKUP($R72,武学奇术!$A:$ZZ,4,FALSE)+SUM(_xlfn.XLOOKUP($S72:$AG72,增益!$A:$A,增益!$D:$D,0))-$I$2</f>
        <v>3888.382</v>
      </c>
      <c r="AQ72" s="33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0.317</v>
      </c>
      <c r="AR72" s="33" cm="1">
        <f t="array" ref="AR72">$G$10+VLOOKUP($R72,武学奇术!$A:$ZZ,7,FALSE)+SUM(_xlfn.XLOOKUP(S72:AG72,增益!$A:$A,增益!$G:$G,0))</f>
        <v>0.09</v>
      </c>
      <c r="AS72" s="27" cm="1">
        <f t="array" ref="AS72">VLOOKUP($R72,武学奇术!$A:$ZZ,8,FALSE)+SUM(_xlfn.XLOOKUP(S72:AG72,增益!$A:$A,增益!$H:$H,0))</f>
        <v>0</v>
      </c>
      <c r="AT72">
        <f t="shared" si="23"/>
        <v>0</v>
      </c>
      <c r="AU72">
        <f t="shared" si="24"/>
        <v>0</v>
      </c>
      <c r="AV72" s="33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-0.14</v>
      </c>
      <c r="AW72" s="33" cm="1">
        <f t="array" ref="AW72">$G$11+VLOOKUP($R72,武学奇术!$A:$ZZ,10,FALSE)+SUM(_xlfn.XLOOKUP(S72:AG72,增益!$A:$A,增益!$J:$J,0))</f>
        <v>0</v>
      </c>
      <c r="AX72">
        <f t="shared" si="25"/>
        <v>0</v>
      </c>
      <c r="AY72">
        <f t="shared" si="26"/>
        <v>0</v>
      </c>
      <c r="AZ72" s="33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-0.14</v>
      </c>
      <c r="BA72" s="33" cm="1">
        <f t="array" ref="BA72">$G$12+VLOOKUP($R72,武学奇术!$A:$ZZ,12,FALSE)+SUM(_xlfn.XLOOKUP(S72:AG72,增益!$A:$A,增益!$L:$L,0))</f>
        <v>0</v>
      </c>
      <c r="BB72">
        <f t="shared" si="27"/>
        <v>0</v>
      </c>
      <c r="BC72">
        <f t="shared" si="28"/>
        <v>0</v>
      </c>
      <c r="BD72" s="33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-0.14</v>
      </c>
      <c r="BE72" s="33" cm="1">
        <f t="array" ref="BE72">$G$13+VLOOKUP($R72,武学奇术!$A:$ZZ,14,FALSE)+SUM(_xlfn.XLOOKUP(S72:AG72,增益!$A:$A,增益!$N:$N,0))</f>
        <v>0</v>
      </c>
      <c r="BF72">
        <f t="shared" si="29"/>
        <v>605.472</v>
      </c>
      <c r="BG72">
        <f t="shared" si="30"/>
        <v>1725.468</v>
      </c>
      <c r="BH72" s="33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0.08</v>
      </c>
      <c r="BI72" s="33" cm="1">
        <f t="array" ref="BI72">$G$14+VLOOKUP($R72,武学奇术!$A:$ZZ,16,FALSE)+SUM(_xlfn.XLOOKUP(S72:AG72,增益!$A:$A,增益!$P:$P,0))</f>
        <v>0.24</v>
      </c>
      <c r="BJ72" s="27">
        <f>MIN(IF(VLOOKUP($R72,武学奇术!$A:$ZZ,23,FALSE)=1,100%,$B$8),100%)</f>
        <v>1</v>
      </c>
      <c r="BK72" s="27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+MIN(IF(VLOOKUP($R72,武学奇术!$A:$ZZ,32,FALSE)=1,IF(VLOOKUP($R72,武学奇术!$A:$ZZ,24,FALSE)=1,100%,MIN(40%,$B$10+VLOOKUP($R72,武学奇术!$A:$ZZ,19,FALSE)+SUM(_xlfn.XLOOKUP(S72:AG72,增益!$A:$A,增益!$S:$S,0)))+$B$12+SUM(_xlfn.XLOOKUP(S72:AG72,增益!$A:$A,增益!$V:$V,0))),0),12%)</f>
        <v>0.9036</v>
      </c>
      <c r="BL72" s="27" cm="1">
        <f t="array" ref="BL72">1+$B$13+VLOOKUP($R72,武学奇术!$A:$ZZ,18,FALSE)+SUM(_xlfn.XLOOKUP(S72:AG72,增益!$A:$A,增益!$R:$R,0))</f>
        <v>1.64</v>
      </c>
      <c r="BM72" s="27" cm="1">
        <f t="array" ref="BM72">MAX(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-IF(VLOOKUP($R72,武学奇术!$A:$ZZ,32,FALSE)=1,12%,0),0)</f>
        <v>0.0929</v>
      </c>
      <c r="BN72" s="27" cm="1">
        <f t="array" ref="BN72">1+$B$14+VLOOKUP($R72,武学奇术!$A:$ZZ,20,FALSE)+SUM(_xlfn.XLOOKUP(S72:AG72,增益!$A:$A,增益!$T:$T,0))</f>
        <v>1.35</v>
      </c>
      <c r="BO72" s="27">
        <f t="shared" si="31"/>
        <v>0.9036</v>
      </c>
      <c r="BP72" s="27">
        <f t="shared" si="32"/>
        <v>0.00350000000000006</v>
      </c>
      <c r="BQ72" s="27">
        <f>IF(VLOOKUP($R72,武学奇术!$A:$ZZ,22,FALSE)=1,0,(1-$BJ72))*(1-$BM72)</f>
        <v>0</v>
      </c>
      <c r="BR72" s="27" cm="1">
        <f t="array" ref="BR72">SUM(_xlfn.XLOOKUP(S72:AG72,增益!$A:$A,增益!$W:$W,0))+$I$5</f>
        <v>0.11</v>
      </c>
    </row>
    <row r="73" spans="1:70">
      <c r="A73" s="4" t="s">
        <v>187</v>
      </c>
      <c r="B73" s="4">
        <v>1.7</v>
      </c>
      <c r="D73" s="40" t="s">
        <v>188</v>
      </c>
      <c r="F73" s="40" t="s">
        <v>166</v>
      </c>
      <c r="K73">
        <f>$L73*VLOOKUP($R73,武学奇术!$A:$ZZ,31,FALSE)</f>
        <v>95042.9032449714</v>
      </c>
      <c r="L73" s="39">
        <f t="shared" si="22"/>
        <v>73109.9255730549</v>
      </c>
      <c r="M73" s="39">
        <f>((($AO73+($AP73-$AO73)*IF(VLOOKUP($R73,武学奇术!$A:$ZZ,31,FALSE)=1,$F$18,0.5))*$AI73+$AJ73)*(1+$AQ73)*(1+$AR73)+(($AT73+($AU73-$AT73)*IF(VLOOKUP($R73,武学奇术!$A:$ZZ,31,FALSE)=1,$F$18,0.5))*IF($G$1="鸣金",$AK73,$AI73)+IF($G$1="鸣金",$AL73*1.5,0))*(1+$AV73)*(1+$AW73)+(($AX73+($AY73-$AX73)*IF(VLOOKUP($R73,武学奇术!$A:$ZZ,31,FALSE)=1,$F$18,0.5))*IF($G$1="裂石",$AK73,$AI73)+IF($G$1="裂石",$AL73*1.5,0))*(1+$AZ73)*(1+$BA73)+(($BB73+($BC73-$BB73)*IF(VLOOKUP($R73,武学奇术!$A:$ZZ,31,FALSE)=1,$F$18,0.5))*IF($G$1="牵丝",$AK73,$AI73)+IF($G$1="牵丝",$AL73*1.5,0))*(1+$BD73)*(1+$BE73)+(($BF73+($BG73-$BF73)*IF(VLOOKUP($R73,武学奇术!$A:$ZZ,31,FALSE)=1,$F$18,0.5))*IF($G$1="破竹",$AK73,$AI73)+IF($G$1="破竹",$AL73*1.5,0))*(1+$BH73)*(1+$BI73))*(1+$AM73)*$BL73*$Q73*(1+IF(VLOOKUP($R73,武学奇术!$A:$ZZ,30,FALSE)="蓄力技",$B$21,0))*(1+$BR73)</f>
        <v>74658.2486017442</v>
      </c>
      <c r="N73" s="39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59354.5685680227</v>
      </c>
      <c r="O73" s="39">
        <f>((($AO73+($AP73-$AO73)*IF(VLOOKUP($R73,武学奇术!$A:$ZZ,31,FALSE)=1,$F$18,0.5))*$AI73+$AJ73)*(1+$AQ73)*(1+$AR73)+(($AT73+($AU73-$AT73)*IF(VLOOKUP($R73,武学奇术!$A:$ZZ,31,FALSE)=1,$F$18,0.5))*IF($G$1="鸣金",$AK73,$AI73)+IF($G$1="鸣金",$AL73*1.5,0))*(1+$AV73)*(1+$AW73)+(($AX73+($AY73-$AX73)*IF(VLOOKUP($R73,武学奇术!$A:$ZZ,31,FALSE)=1,$F$18,0.5))*IF($G$1="裂石",$AK73,$AI73)+IF($G$1="裂石",$AL73*1.5,0))*(1+$AZ73)*(1+$BA73)+(($BB73+($BC73-$BB73)*IF(VLOOKUP($R73,武学奇术!$A:$ZZ,31,FALSE)=1,$F$18,0.5))*IF($G$1="牵丝",$AK73,$AI73)+IF($G$1="牵丝",$AL73*1.5,0))*(1+$BD73)*(1+$BE73)+(($BF73+($BG73-$BF73)*IF(VLOOKUP($R73,武学奇术!$A:$ZZ,31,FALSE)=1,$F$18,0.5))*IF($G$1="破竹",$AK73,$AI73)+IF($G$1="破竹",$AL73*1.5,0))*(1+$BH73)*(1+$BI73))*(1+$AM73)*$Q73*(1+IF(VLOOKUP($R73,武学奇术!$A:$ZZ,30,FALSE)="蓄力技",$B$21,0))*(1+$BR73)</f>
        <v>38483.6332998681</v>
      </c>
      <c r="P73" s="39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33000.9195123121</v>
      </c>
      <c r="Q73" s="40">
        <v>1</v>
      </c>
      <c r="R73" s="41" t="s">
        <v>110</v>
      </c>
      <c r="S73" s="41" t="s">
        <v>97</v>
      </c>
      <c r="T73" s="41" t="s">
        <v>73</v>
      </c>
      <c r="U73" s="41" t="s">
        <v>73</v>
      </c>
      <c r="V73" s="41" t="s">
        <v>73</v>
      </c>
      <c r="W73" s="41" t="s">
        <v>73</v>
      </c>
      <c r="X73" s="41" t="s">
        <v>73</v>
      </c>
      <c r="Y73" s="41" t="s">
        <v>164</v>
      </c>
      <c r="Z73" s="41" t="s">
        <v>83</v>
      </c>
      <c r="AA73" s="41" t="s">
        <v>105</v>
      </c>
      <c r="AB73" s="41" t="s">
        <v>84</v>
      </c>
      <c r="AC73" s="41" t="s">
        <v>73</v>
      </c>
      <c r="AD73" s="41" t="s">
        <v>73</v>
      </c>
      <c r="AE73" s="41" t="s">
        <v>76</v>
      </c>
      <c r="AF73" s="41" t="s">
        <v>77</v>
      </c>
      <c r="AG73" s="41" t="s">
        <v>78</v>
      </c>
      <c r="AH73" t="str">
        <f>VLOOKUP($R73,武学奇术!$A:$ZZ,25,FALSE)</f>
        <v>绳镖</v>
      </c>
      <c r="AI73" s="27">
        <f>VLOOKUP($R73,武学奇术!$A:$ZZ,26,FALSE)</f>
        <v>2.638944</v>
      </c>
      <c r="AJ73" s="28">
        <f>VLOOKUP($R73,武学奇术!$A:$ZZ,27,FALSE)*(1+IF(OR($AH73=$F$4,$AH73=$F$5),$B$22,0))</f>
        <v>0</v>
      </c>
      <c r="AK73" s="27">
        <f>VLOOKUP($R73,武学奇术!$A:$ZZ,28,FALSE)</f>
        <v>3.958416</v>
      </c>
      <c r="AL73" s="28">
        <f>VLOOKUP($R73,武学奇术!$A:$ZZ,29,FALSE)*(1+IF(OR($AH73=$F$4,$AH73=$F$5),$B$22,0))</f>
        <v>0</v>
      </c>
      <c r="AM73" s="27" cm="1">
        <f t="array" ref="AM73">$G$3+IFERROR(VLOOKUP($AH73,$F$4:$G$7,2,FALSE),0)+VLOOKUP($R73,武学奇术!$A:$ZZ,2,FALSE)+SUM(_xlfn.XLOOKUP($S73:$AG73,增益!$A:$A,增益!$B:$B,0))</f>
        <v>0.6189</v>
      </c>
      <c r="AN73" s="27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3888.382</v>
      </c>
      <c r="AP73" cm="1">
        <f t="array" ref="AP73">$E$10*(1+$AN73)+VLOOKUP($R73,武学奇术!$A:$ZZ,4,FALSE)+SUM(_xlfn.XLOOKUP($S73:$AG73,增益!$A:$A,增益!$D:$D,0))-$I$2</f>
        <v>3888.382</v>
      </c>
      <c r="AQ73" s="33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0.347</v>
      </c>
      <c r="AR73" s="33" cm="1">
        <f t="array" ref="AR73">$G$10+VLOOKUP($R73,武学奇术!$A:$ZZ,7,FALSE)+SUM(_xlfn.XLOOKUP(S73:AG73,增益!$A:$A,增益!$G:$G,0))</f>
        <v>0.09</v>
      </c>
      <c r="AS73" s="27" cm="1">
        <f t="array" ref="AS73">VLOOKUP($R73,武学奇术!$A:$ZZ,8,FALSE)+SUM(_xlfn.XLOOKUP(S73:AG73,增益!$A:$A,增益!$H:$H,0))</f>
        <v>0</v>
      </c>
      <c r="AT73">
        <f t="shared" si="23"/>
        <v>0</v>
      </c>
      <c r="AU73">
        <f t="shared" si="24"/>
        <v>0</v>
      </c>
      <c r="AV73" s="33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-0.08</v>
      </c>
      <c r="AW73" s="33" cm="1">
        <f t="array" ref="AW73">$G$11+VLOOKUP($R73,武学奇术!$A:$ZZ,10,FALSE)+SUM(_xlfn.XLOOKUP(S73:AG73,增益!$A:$A,增益!$J:$J,0))</f>
        <v>0</v>
      </c>
      <c r="AX73">
        <f t="shared" si="25"/>
        <v>0</v>
      </c>
      <c r="AY73">
        <f t="shared" si="26"/>
        <v>0</v>
      </c>
      <c r="AZ73" s="33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-0.08</v>
      </c>
      <c r="BA73" s="33" cm="1">
        <f t="array" ref="BA73">$G$12+VLOOKUP($R73,武学奇术!$A:$ZZ,12,FALSE)+SUM(_xlfn.XLOOKUP(S73:AG73,增益!$A:$A,增益!$L:$L,0))</f>
        <v>0</v>
      </c>
      <c r="BB73">
        <f t="shared" si="27"/>
        <v>0</v>
      </c>
      <c r="BC73">
        <f t="shared" si="28"/>
        <v>0</v>
      </c>
      <c r="BD73" s="33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-0.08</v>
      </c>
      <c r="BE73" s="33" cm="1">
        <f t="array" ref="BE73">$G$13+VLOOKUP($R73,武学奇术!$A:$ZZ,14,FALSE)+SUM(_xlfn.XLOOKUP(S73:AG73,增益!$A:$A,增益!$N:$N,0))</f>
        <v>0</v>
      </c>
      <c r="BF73">
        <f t="shared" si="29"/>
        <v>605.472</v>
      </c>
      <c r="BG73">
        <f t="shared" si="30"/>
        <v>1725.468</v>
      </c>
      <c r="BH73" s="33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0.11</v>
      </c>
      <c r="BI73" s="33" cm="1">
        <f t="array" ref="BI73">$G$14+VLOOKUP($R73,武学奇术!$A:$ZZ,16,FALSE)+SUM(_xlfn.XLOOKUP(S73:AG73,增益!$A:$A,增益!$P:$P,0))</f>
        <v>0.24</v>
      </c>
      <c r="BJ73" s="27">
        <f>MIN(IF(VLOOKUP($R73,武学奇术!$A:$ZZ,23,FALSE)=1,100%,$B$8),100%)</f>
        <v>1</v>
      </c>
      <c r="BK73" s="27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+MIN(IF(VLOOKUP($R73,武学奇术!$A:$ZZ,32,FALSE)=1,IF(VLOOKUP($R73,武学奇术!$A:$ZZ,24,FALSE)=1,100%,MIN(40%,$B$10+VLOOKUP($R73,武学奇术!$A:$ZZ,19,FALSE)+SUM(_xlfn.XLOOKUP(S73:AG73,增益!$A:$A,增益!$S:$S,0)))+$B$12+SUM(_xlfn.XLOOKUP(S73:AG73,增益!$A:$A,增益!$V:$V,0))),0),12%)</f>
        <v>0.9036</v>
      </c>
      <c r="BL73" s="27" cm="1">
        <f t="array" ref="BL73">1+$B$13+VLOOKUP($R73,武学奇术!$A:$ZZ,18,FALSE)+SUM(_xlfn.XLOOKUP(S73:AG73,增益!$A:$A,增益!$R:$R,0))</f>
        <v>1.94</v>
      </c>
      <c r="BM73" s="27" cm="1">
        <f t="array" ref="BM73">MAX(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-IF(VLOOKUP($R73,武学奇术!$A:$ZZ,32,FALSE)=1,12%,0),0)</f>
        <v>0.0929</v>
      </c>
      <c r="BN73" s="27" cm="1">
        <f t="array" ref="BN73">1+$B$14+VLOOKUP($R73,武学奇术!$A:$ZZ,20,FALSE)+SUM(_xlfn.XLOOKUP(S73:AG73,增益!$A:$A,增益!$T:$T,0))</f>
        <v>1.35</v>
      </c>
      <c r="BO73" s="27">
        <f t="shared" si="31"/>
        <v>0.9036</v>
      </c>
      <c r="BP73" s="27">
        <f t="shared" si="32"/>
        <v>0.00350000000000006</v>
      </c>
      <c r="BQ73" s="27">
        <f>IF(VLOOKUP($R73,武学奇术!$A:$ZZ,22,FALSE)=1,0,(1-$BJ73))*(1-$BM73)</f>
        <v>0</v>
      </c>
      <c r="BR73" s="27" cm="1">
        <f t="array" ref="BR73">SUM(_xlfn.XLOOKUP(S73:AG73,增益!$A:$A,增益!$W:$W,0))+$I$5</f>
        <v>0.11</v>
      </c>
    </row>
    <row r="74" spans="1:70">
      <c r="A74" s="4" t="s">
        <v>173</v>
      </c>
      <c r="B74" s="91">
        <v>0.7</v>
      </c>
      <c r="D74" s="40"/>
      <c r="F74" s="40"/>
      <c r="G74" s="40" t="s">
        <v>169</v>
      </c>
      <c r="K74">
        <f>$L74*VLOOKUP($R74,武学奇术!$A:$ZZ,31,FALSE)</f>
        <v>55532.133566748</v>
      </c>
      <c r="L74" s="39">
        <f t="shared" ref="L74:L136" si="33">($M74*$BO74+$N74*$BM74+$O74*$BP74+$P74*$BQ74)</f>
        <v>55532.133566748</v>
      </c>
      <c r="M74" s="39">
        <f>((($AO74+($AP74-$AO74)*IF(VLOOKUP($R74,武学奇术!$A:$ZZ,31,FALSE)=1,$F$18,0.5))*$AI74+$AJ74)*(1+$AQ74)*(1+$AR74)+(($AT74+($AU74-$AT74)*IF(VLOOKUP($R74,武学奇术!$A:$ZZ,31,FALSE)=1,$F$18,0.5))*IF($G$1="鸣金",$AK74,$AI74)+IF($G$1="鸣金",$AL74*1.5,0))*(1+$AV74)*(1+$AW74)+(($AX74+($AY74-$AX74)*IF(VLOOKUP($R74,武学奇术!$A:$ZZ,31,FALSE)=1,$F$18,0.5))*IF($G$1="裂石",$AK74,$AI74)+IF($G$1="裂石",$AL74*1.5,0))*(1+$AZ74)*(1+$BA74)+(($BB74+($BC74-$BB74)*IF(VLOOKUP($R74,武学奇术!$A:$ZZ,31,FALSE)=1,$F$18,0.5))*IF($G$1="牵丝",$AK74,$AI74)+IF($G$1="牵丝",$AL74*1.5,0))*(1+$BD74)*(1+$BE74)+(($BF74+($BG74-$BF74)*IF(VLOOKUP($R74,武学奇术!$A:$ZZ,31,FALSE)=1,$F$18,0.5))*IF($G$1="破竹",$AK74,$AI74)+IF($G$1="破竹",$AL74*1.5,0))*(1+$BH74)*(1+$BI74))*(1+$AM74)*$BL74*$Q74*(1+IF(VLOOKUP($R74,武学奇术!$A:$ZZ,30,FALSE)="蓄力技",$B$21,0))*(1+$BR74)</f>
        <v>55991.3893222325</v>
      </c>
      <c r="N74" s="39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51871.0479709708</v>
      </c>
      <c r="O74" s="39">
        <f>((($AO74+($AP74-$AO74)*IF(VLOOKUP($R74,武学奇术!$A:$ZZ,31,FALSE)=1,$F$18,0.5))*$AI74+$AJ74)*(1+$AQ74)*(1+$AR74)+(($AT74+($AU74-$AT74)*IF(VLOOKUP($R74,武学奇术!$A:$ZZ,31,FALSE)=1,$F$18,0.5))*IF($G$1="鸣金",$AK74,$AI74)+IF($G$1="鸣金",$AL74*1.5,0))*(1+$AV74)*(1+$AW74)+(($AX74+($AY74-$AX74)*IF(VLOOKUP($R74,武学奇术!$A:$ZZ,31,FALSE)=1,$F$18,0.5))*IF($G$1="裂石",$AK74,$AI74)+IF($G$1="裂石",$AL74*1.5,0))*(1+$AZ74)*(1+$BA74)+(($BB74+($BC74-$BB74)*IF(VLOOKUP($R74,武学奇术!$A:$ZZ,31,FALSE)=1,$F$18,0.5))*IF($G$1="牵丝",$AK74,$AI74)+IF($G$1="牵丝",$AL74*1.5,0))*(1+$BD74)*(1+$BE74)+(($BF74+($BG74-$BF74)*IF(VLOOKUP($R74,武学奇术!$A:$ZZ,31,FALSE)=1,$F$18,0.5))*IF($G$1="破竹",$AK74,$AI74)+IF($G$1="破竹",$AL74*1.5,0))*(1+$BH74)*(1+$BI74))*(1+$AM74)*$Q74*(1+IF(VLOOKUP($R74,武学奇术!$A:$ZZ,30,FALSE)="蓄力技",$B$21,0))*(1+$BR74)</f>
        <v>34141.0910501418</v>
      </c>
      <c r="P74" s="39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29859.1836032682</v>
      </c>
      <c r="Q74" s="40">
        <v>1</v>
      </c>
      <c r="R74" s="41" t="s">
        <v>120</v>
      </c>
      <c r="S74" s="41" t="s">
        <v>97</v>
      </c>
      <c r="T74" s="41" t="s">
        <v>73</v>
      </c>
      <c r="U74" s="41" t="s">
        <v>73</v>
      </c>
      <c r="V74" s="41" t="s">
        <v>73</v>
      </c>
      <c r="W74" s="41" t="s">
        <v>73</v>
      </c>
      <c r="X74" s="41" t="s">
        <v>73</v>
      </c>
      <c r="Y74" s="41" t="s">
        <v>164</v>
      </c>
      <c r="Z74" s="41" t="s">
        <v>83</v>
      </c>
      <c r="AA74" s="41" t="s">
        <v>73</v>
      </c>
      <c r="AB74" s="41" t="s">
        <v>84</v>
      </c>
      <c r="AC74" s="41" t="s">
        <v>73</v>
      </c>
      <c r="AD74" s="41" t="s">
        <v>73</v>
      </c>
      <c r="AE74" s="41" t="s">
        <v>76</v>
      </c>
      <c r="AF74" s="41" t="s">
        <v>77</v>
      </c>
      <c r="AG74" s="41" t="s">
        <v>78</v>
      </c>
      <c r="AH74" t="str">
        <f>VLOOKUP($R74,武学奇术!$A:$ZZ,25,FALSE)</f>
        <v>拳甲</v>
      </c>
      <c r="AI74" s="27">
        <f>VLOOKUP($R74,武学奇术!$A:$ZZ,26,FALSE)</f>
        <v>2.4421</v>
      </c>
      <c r="AJ74" s="28">
        <f>VLOOKUP($R74,武学奇术!$A:$ZZ,27,FALSE)*(1+IF(OR($AH74=$F$4,$AH74=$F$5),$B$22,0))</f>
        <v>1012.5</v>
      </c>
      <c r="AK74" s="27">
        <f>VLOOKUP($R74,武学奇术!$A:$ZZ,28,FALSE)</f>
        <v>3.6634</v>
      </c>
      <c r="AL74" s="28">
        <f>VLOOKUP($R74,武学奇术!$A:$ZZ,29,FALSE)*(1+IF(OR($AH74=$F$4,$AH74=$F$5),$B$22,0))</f>
        <v>549</v>
      </c>
      <c r="AM74" s="27" cm="1">
        <f t="array" ref="AM74">$G$3+IFERROR(VLOOKUP($AH74,$F$4:$G$7,2,FALSE),0)+VLOOKUP($R74,武学奇术!$A:$ZZ,2,FALSE)+SUM(_xlfn.XLOOKUP($S74:$AG74,增益!$A:$A,增益!$B:$B,0))</f>
        <v>0.4041</v>
      </c>
      <c r="AN74" s="27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3888.382</v>
      </c>
      <c r="AP74" cm="1">
        <f t="array" ref="AP74">$E$10*(1+$AN74)+VLOOKUP($R74,武学奇术!$A:$ZZ,4,FALSE)+SUM(_xlfn.XLOOKUP($S74:$AG74,增益!$A:$A,增益!$D:$D,0))-$I$2</f>
        <v>3888.382</v>
      </c>
      <c r="AQ74" s="33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0.317</v>
      </c>
      <c r="AR74" s="33" cm="1">
        <f t="array" ref="AR74">$G$10+VLOOKUP($R74,武学奇术!$A:$ZZ,7,FALSE)+SUM(_xlfn.XLOOKUP(S74:AG74,增益!$A:$A,增益!$G:$G,0))</f>
        <v>0.09</v>
      </c>
      <c r="AS74" s="27" cm="1">
        <f t="array" ref="AS74">VLOOKUP($R74,武学奇术!$A:$ZZ,8,FALSE)+SUM(_xlfn.XLOOKUP(S74:AG74,增益!$A:$A,增益!$H:$H,0))</f>
        <v>0</v>
      </c>
      <c r="AT74">
        <f t="shared" ref="AT74:AT136" si="34">$D$11*(1+$AS74)</f>
        <v>0</v>
      </c>
      <c r="AU74">
        <f t="shared" ref="AU74:AU136" si="35">$E$11*(1+$AS74)</f>
        <v>0</v>
      </c>
      <c r="AV74" s="33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-0.14</v>
      </c>
      <c r="AW74" s="33" cm="1">
        <f t="array" ref="AW74">$G$11+VLOOKUP($R74,武学奇术!$A:$ZZ,10,FALSE)+SUM(_xlfn.XLOOKUP(S74:AG74,增益!$A:$A,增益!$J:$J,0))</f>
        <v>0</v>
      </c>
      <c r="AX74">
        <f t="shared" ref="AX74:AX136" si="36">$D$12*(1+$AS74)</f>
        <v>0</v>
      </c>
      <c r="AY74">
        <f t="shared" ref="AY74:AY136" si="37">$E$12*(1+$AS74)</f>
        <v>0</v>
      </c>
      <c r="AZ74" s="33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-0.14</v>
      </c>
      <c r="BA74" s="33" cm="1">
        <f t="array" ref="BA74">$G$12+VLOOKUP($R74,武学奇术!$A:$ZZ,12,FALSE)+SUM(_xlfn.XLOOKUP(S74:AG74,增益!$A:$A,增益!$L:$L,0))</f>
        <v>0</v>
      </c>
      <c r="BB74">
        <f t="shared" ref="BB74:BB136" si="38">$D$13*(1+$AS74)</f>
        <v>0</v>
      </c>
      <c r="BC74">
        <f t="shared" ref="BC74:BC136" si="39">$E$13*(1+$AS74)</f>
        <v>0</v>
      </c>
      <c r="BD74" s="33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-0.14</v>
      </c>
      <c r="BE74" s="33" cm="1">
        <f t="array" ref="BE74">$G$13+VLOOKUP($R74,武学奇术!$A:$ZZ,14,FALSE)+SUM(_xlfn.XLOOKUP(S74:AG74,增益!$A:$A,增益!$N:$N,0))</f>
        <v>0</v>
      </c>
      <c r="BF74">
        <f t="shared" ref="BF74:BF136" si="40">$D$14*(1+$AS74)</f>
        <v>605.472</v>
      </c>
      <c r="BG74">
        <f t="shared" ref="BG74:BG136" si="41">$E$14*(1+$AS74)</f>
        <v>1725.468</v>
      </c>
      <c r="BH74" s="33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0.08</v>
      </c>
      <c r="BI74" s="33" cm="1">
        <f t="array" ref="BI74">$G$14+VLOOKUP($R74,武学奇术!$A:$ZZ,16,FALSE)+SUM(_xlfn.XLOOKUP(S74:AG74,增益!$A:$A,增益!$P:$P,0))</f>
        <v>0.24</v>
      </c>
      <c r="BJ74" s="27">
        <f>MIN(IF(VLOOKUP($R74,武学奇术!$A:$ZZ,23,FALSE)=1,100%,$B$8),100%)</f>
        <v>1</v>
      </c>
      <c r="BK74" s="27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+MIN(IF(VLOOKUP($R74,武学奇术!$A:$ZZ,32,FALSE)=1,IF(VLOOKUP($R74,武学奇术!$A:$ZZ,24,FALSE)=1,100%,MIN(40%,$B$10+VLOOKUP($R74,武学奇术!$A:$ZZ,19,FALSE)+SUM(_xlfn.XLOOKUP(S74:AG74,增益!$A:$A,增益!$S:$S,0)))+$B$12+SUM(_xlfn.XLOOKUP(S74:AG74,增益!$A:$A,增益!$V:$V,0))),0),12%)</f>
        <v>0.9036</v>
      </c>
      <c r="BL74" s="27" cm="1">
        <f t="array" ref="BL74">1+$B$13+VLOOKUP($R74,武学奇术!$A:$ZZ,18,FALSE)+SUM(_xlfn.XLOOKUP(S74:AG74,增益!$A:$A,增益!$R:$R,0))</f>
        <v>1.64</v>
      </c>
      <c r="BM74" s="27" cm="1">
        <f t="array" ref="BM74">MAX(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-IF(VLOOKUP($R74,武学奇术!$A:$ZZ,32,FALSE)=1,12%,0),0)</f>
        <v>0.0929</v>
      </c>
      <c r="BN74" s="27" cm="1">
        <f t="array" ref="BN74">1+$B$14+VLOOKUP($R74,武学奇术!$A:$ZZ,20,FALSE)+SUM(_xlfn.XLOOKUP(S74:AG74,增益!$A:$A,增益!$T:$T,0))</f>
        <v>1.35</v>
      </c>
      <c r="BO74" s="27">
        <f t="shared" si="31"/>
        <v>0.9036</v>
      </c>
      <c r="BP74" s="27">
        <f t="shared" si="32"/>
        <v>0.00350000000000006</v>
      </c>
      <c r="BQ74" s="27">
        <f>IF(VLOOKUP($R74,武学奇术!$A:$ZZ,22,FALSE)=1,0,(1-$BJ74))*(1-$BM74)</f>
        <v>0</v>
      </c>
      <c r="BR74" s="27" cm="1">
        <f t="array" ref="BR74">SUM(_xlfn.XLOOKUP(S74:AG74,增益!$A:$A,增益!$W:$W,0))+$I$5</f>
        <v>0.11</v>
      </c>
    </row>
    <row r="75" spans="1:70">
      <c r="A75" s="4" t="s">
        <v>174</v>
      </c>
      <c r="B75" s="4">
        <v>0.8</v>
      </c>
      <c r="D75" s="40"/>
      <c r="F75" s="40"/>
      <c r="G75" s="40"/>
      <c r="K75">
        <f>$L75*VLOOKUP($R75,武学奇术!$A:$ZZ,31,FALSE)</f>
        <v>29305.1471737049</v>
      </c>
      <c r="L75" s="39">
        <f t="shared" si="33"/>
        <v>29305.1471737049</v>
      </c>
      <c r="M75" s="39">
        <f>((($AO75+($AP75-$AO75)*IF(VLOOKUP($R75,武学奇术!$A:$ZZ,31,FALSE)=1,$F$18,0.5))*$AI75+$AJ75)*(1+$AQ75)*(1+$AR75)+(($AT75+($AU75-$AT75)*IF(VLOOKUP($R75,武学奇术!$A:$ZZ,31,FALSE)=1,$F$18,0.5))*IF($G$1="鸣金",$AK75,$AI75)+IF($G$1="鸣金",$AL75*1.5,0))*(1+$AV75)*(1+$AW75)+(($AX75+($AY75-$AX75)*IF(VLOOKUP($R75,武学奇术!$A:$ZZ,31,FALSE)=1,$F$18,0.5))*IF($G$1="裂石",$AK75,$AI75)+IF($G$1="裂石",$AL75*1.5,0))*(1+$AZ75)*(1+$BA75)+(($BB75+($BC75-$BB75)*IF(VLOOKUP($R75,武学奇术!$A:$ZZ,31,FALSE)=1,$F$18,0.5))*IF($G$1="牵丝",$AK75,$AI75)+IF($G$1="牵丝",$AL75*1.5,0))*(1+$BD75)*(1+$BE75)+(($BF75+($BG75-$BF75)*IF(VLOOKUP($R75,武学奇术!$A:$ZZ,31,FALSE)=1,$F$18,0.5))*IF($G$1="破竹",$AK75,$AI75)+IF($G$1="破竹",$AL75*1.5,0))*(1+$BH75)*(1+$BI75))*(1+$AM75)*$BL75*$Q75*(1+IF(VLOOKUP($R75,武学奇术!$A:$ZZ,30,FALSE)="蓄力技",$B$21,0))*(1+$BR75)</f>
        <v>29547.7916685769</v>
      </c>
      <c r="N75" s="39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27370.3262700867</v>
      </c>
      <c r="O75" s="39">
        <f>((($AO75+($AP75-$AO75)*IF(VLOOKUP($R75,武学奇术!$A:$ZZ,31,FALSE)=1,$F$18,0.5))*$AI75+$AJ75)*(1+$AQ75)*(1+$AR75)+(($AT75+($AU75-$AT75)*IF(VLOOKUP($R75,武学奇术!$A:$ZZ,31,FALSE)=1,$F$18,0.5))*IF($G$1="鸣金",$AK75,$AI75)+IF($G$1="鸣金",$AL75*1.5,0))*(1+$AV75)*(1+$AW75)+(($AX75+($AY75-$AX75)*IF(VLOOKUP($R75,武学奇术!$A:$ZZ,31,FALSE)=1,$F$18,0.5))*IF($G$1="裂石",$AK75,$AI75)+IF($G$1="裂石",$AL75*1.5,0))*(1+$AZ75)*(1+$BA75)+(($BB75+($BC75-$BB75)*IF(VLOOKUP($R75,武学奇术!$A:$ZZ,31,FALSE)=1,$F$18,0.5))*IF($G$1="牵丝",$AK75,$AI75)+IF($G$1="牵丝",$AL75*1.5,0))*(1+$BD75)*(1+$BE75)+(($BF75+($BG75-$BF75)*IF(VLOOKUP($R75,武学奇术!$A:$ZZ,31,FALSE)=1,$F$18,0.5))*IF($G$1="破竹",$AK75,$AI75)+IF($G$1="破竹",$AL75*1.5,0))*(1+$BH75)*(1+$BI75))*(1+$AM75)*$Q75*(1+IF(VLOOKUP($R75,武学奇术!$A:$ZZ,30,FALSE)="蓄力技",$B$21,0))*(1+$BR75)</f>
        <v>18016.9461393761</v>
      </c>
      <c r="P75" s="39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15759.5765231325</v>
      </c>
      <c r="Q75" s="40">
        <v>1</v>
      </c>
      <c r="R75" s="41" t="s">
        <v>115</v>
      </c>
      <c r="S75" s="41" t="s">
        <v>97</v>
      </c>
      <c r="T75" s="41" t="s">
        <v>73</v>
      </c>
      <c r="U75" s="41" t="s">
        <v>73</v>
      </c>
      <c r="V75" s="41" t="s">
        <v>73</v>
      </c>
      <c r="W75" s="41" t="s">
        <v>73</v>
      </c>
      <c r="X75" s="41" t="s">
        <v>73</v>
      </c>
      <c r="Y75" s="41" t="s">
        <v>164</v>
      </c>
      <c r="Z75" s="41" t="s">
        <v>83</v>
      </c>
      <c r="AA75" s="41" t="s">
        <v>73</v>
      </c>
      <c r="AB75" s="41" t="s">
        <v>84</v>
      </c>
      <c r="AC75" s="41" t="s">
        <v>73</v>
      </c>
      <c r="AD75" s="41" t="s">
        <v>73</v>
      </c>
      <c r="AE75" s="41" t="s">
        <v>76</v>
      </c>
      <c r="AF75" s="41" t="s">
        <v>77</v>
      </c>
      <c r="AG75" s="41" t="s">
        <v>78</v>
      </c>
      <c r="AH75" t="str">
        <f>VLOOKUP($R75,武学奇术!$A:$ZZ,25,FALSE)</f>
        <v>拳甲</v>
      </c>
      <c r="AI75" s="27">
        <f>VLOOKUP($R75,武学奇术!$A:$ZZ,26,FALSE)</f>
        <v>1.2876</v>
      </c>
      <c r="AJ75" s="28">
        <f>VLOOKUP($R75,武学奇术!$A:$ZZ,27,FALSE)*(1+IF(OR($AH75=$F$4,$AH75=$F$5),$B$22,0))</f>
        <v>537</v>
      </c>
      <c r="AK75" s="27">
        <f>VLOOKUP($R75,武学奇术!$A:$ZZ,28,FALSE)</f>
        <v>1.9313</v>
      </c>
      <c r="AL75" s="28">
        <f>VLOOKUP($R75,武学奇术!$A:$ZZ,29,FALSE)*(1+IF(OR($AH75=$F$4,$AH75=$F$5),$B$22,0))</f>
        <v>292.5</v>
      </c>
      <c r="AM75" s="27" cm="1">
        <f t="array" ref="AM75">$G$3+IFERROR(VLOOKUP($AH75,$F$4:$G$7,2,FALSE),0)+VLOOKUP($R75,武学奇术!$A:$ZZ,2,FALSE)+SUM(_xlfn.XLOOKUP($S75:$AG75,增益!$A:$A,增益!$B:$B,0))</f>
        <v>0.4041</v>
      </c>
      <c r="AN75" s="27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3888.382</v>
      </c>
      <c r="AP75" cm="1">
        <f t="array" ref="AP75">$E$10*(1+$AN75)+VLOOKUP($R75,武学奇术!$A:$ZZ,4,FALSE)+SUM(_xlfn.XLOOKUP($S75:$AG75,增益!$A:$A,增益!$D:$D,0))-$I$2</f>
        <v>3888.382</v>
      </c>
      <c r="AQ75" s="33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0.317</v>
      </c>
      <c r="AR75" s="33" cm="1">
        <f t="array" ref="AR75">$G$10+VLOOKUP($R75,武学奇术!$A:$ZZ,7,FALSE)+SUM(_xlfn.XLOOKUP(S75:AG75,增益!$A:$A,增益!$G:$G,0))</f>
        <v>0.09</v>
      </c>
      <c r="AS75" s="27" cm="1">
        <f t="array" ref="AS75">VLOOKUP($R75,武学奇术!$A:$ZZ,8,FALSE)+SUM(_xlfn.XLOOKUP(S75:AG75,增益!$A:$A,增益!$H:$H,0))</f>
        <v>0</v>
      </c>
      <c r="AT75">
        <f t="shared" si="34"/>
        <v>0</v>
      </c>
      <c r="AU75">
        <f t="shared" si="35"/>
        <v>0</v>
      </c>
      <c r="AV75" s="33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-0.14</v>
      </c>
      <c r="AW75" s="33" cm="1">
        <f t="array" ref="AW75">$G$11+VLOOKUP($R75,武学奇术!$A:$ZZ,10,FALSE)+SUM(_xlfn.XLOOKUP(S75:AG75,增益!$A:$A,增益!$J:$J,0))</f>
        <v>0</v>
      </c>
      <c r="AX75">
        <f t="shared" si="36"/>
        <v>0</v>
      </c>
      <c r="AY75">
        <f t="shared" si="37"/>
        <v>0</v>
      </c>
      <c r="AZ75" s="33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-0.14</v>
      </c>
      <c r="BA75" s="33" cm="1">
        <f t="array" ref="BA75">$G$12+VLOOKUP($R75,武学奇术!$A:$ZZ,12,FALSE)+SUM(_xlfn.XLOOKUP(S75:AG75,增益!$A:$A,增益!$L:$L,0))</f>
        <v>0</v>
      </c>
      <c r="BB75">
        <f t="shared" si="38"/>
        <v>0</v>
      </c>
      <c r="BC75">
        <f t="shared" si="39"/>
        <v>0</v>
      </c>
      <c r="BD75" s="33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-0.14</v>
      </c>
      <c r="BE75" s="33" cm="1">
        <f t="array" ref="BE75">$G$13+VLOOKUP($R75,武学奇术!$A:$ZZ,14,FALSE)+SUM(_xlfn.XLOOKUP(S75:AG75,增益!$A:$A,增益!$N:$N,0))</f>
        <v>0</v>
      </c>
      <c r="BF75">
        <f t="shared" si="40"/>
        <v>605.472</v>
      </c>
      <c r="BG75">
        <f t="shared" si="41"/>
        <v>1725.468</v>
      </c>
      <c r="BH75" s="33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0.08</v>
      </c>
      <c r="BI75" s="33" cm="1">
        <f t="array" ref="BI75">$G$14+VLOOKUP($R75,武学奇术!$A:$ZZ,16,FALSE)+SUM(_xlfn.XLOOKUP(S75:AG75,增益!$A:$A,增益!$P:$P,0))</f>
        <v>0.24</v>
      </c>
      <c r="BJ75" s="27">
        <f>MIN(IF(VLOOKUP($R75,武学奇术!$A:$ZZ,23,FALSE)=1,100%,$B$8),100%)</f>
        <v>1</v>
      </c>
      <c r="BK75" s="27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+MIN(IF(VLOOKUP($R75,武学奇术!$A:$ZZ,32,FALSE)=1,IF(VLOOKUP($R75,武学奇术!$A:$ZZ,24,FALSE)=1,100%,MIN(40%,$B$10+VLOOKUP($R75,武学奇术!$A:$ZZ,19,FALSE)+SUM(_xlfn.XLOOKUP(S75:AG75,增益!$A:$A,增益!$S:$S,0)))+$B$12+SUM(_xlfn.XLOOKUP(S75:AG75,增益!$A:$A,增益!$V:$V,0))),0),12%)</f>
        <v>0.9036</v>
      </c>
      <c r="BL75" s="27" cm="1">
        <f t="array" ref="BL75">1+$B$13+VLOOKUP($R75,武学奇术!$A:$ZZ,18,FALSE)+SUM(_xlfn.XLOOKUP(S75:AG75,增益!$A:$A,增益!$R:$R,0))</f>
        <v>1.64</v>
      </c>
      <c r="BM75" s="27" cm="1">
        <f t="array" ref="BM75">MAX(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-IF(VLOOKUP($R75,武学奇术!$A:$ZZ,32,FALSE)=1,12%,0),0)</f>
        <v>0.0929</v>
      </c>
      <c r="BN75" s="27" cm="1">
        <f t="array" ref="BN75">1+$B$14+VLOOKUP($R75,武学奇术!$A:$ZZ,20,FALSE)+SUM(_xlfn.XLOOKUP(S75:AG75,增益!$A:$A,增益!$T:$T,0))</f>
        <v>1.35</v>
      </c>
      <c r="BO75" s="27">
        <f t="shared" si="31"/>
        <v>0.9036</v>
      </c>
      <c r="BP75" s="27">
        <f t="shared" si="32"/>
        <v>0.00350000000000006</v>
      </c>
      <c r="BQ75" s="27">
        <f>IF(VLOOKUP($R75,武学奇术!$A:$ZZ,22,FALSE)=1,0,(1-$BJ75))*(1-$BM75)</f>
        <v>0</v>
      </c>
      <c r="BR75" s="27" cm="1">
        <f t="array" ref="BR75">SUM(_xlfn.XLOOKUP(S75:AG75,增益!$A:$A,增益!$W:$W,0))+$I$5</f>
        <v>0.11</v>
      </c>
    </row>
    <row r="76" spans="1:70">
      <c r="A76" s="4" t="s">
        <v>175</v>
      </c>
      <c r="B76" s="4">
        <v>2.15</v>
      </c>
      <c r="D76" s="40"/>
      <c r="F76" s="40"/>
      <c r="G76" s="40"/>
      <c r="K76">
        <f>$L76*VLOOKUP($R76,武学奇术!$A:$ZZ,31,FALSE)</f>
        <v>100044.852319325</v>
      </c>
      <c r="L76" s="39">
        <f t="shared" si="33"/>
        <v>76957.5787071733</v>
      </c>
      <c r="M76" s="39">
        <f>((($AO76+($AP76-$AO76)*IF(VLOOKUP($R76,武学奇术!$A:$ZZ,31,FALSE)=1,$F$18,0.5))*$AI76+$AJ76)*(1+$AQ76)*(1+$AR76)+(($AT76+($AU76-$AT76)*IF(VLOOKUP($R76,武学奇术!$A:$ZZ,31,FALSE)=1,$F$18,0.5))*IF($G$1="鸣金",$AK76,$AI76)+IF($G$1="鸣金",$AL76*1.5,0))*(1+$AV76)*(1+$AW76)+(($AX76+($AY76-$AX76)*IF(VLOOKUP($R76,武学奇术!$A:$ZZ,31,FALSE)=1,$F$18,0.5))*IF($G$1="裂石",$AK76,$AI76)+IF($G$1="裂石",$AL76*1.5,0))*(1+$AZ76)*(1+$BA76)+(($BB76+($BC76-$BB76)*IF(VLOOKUP($R76,武学奇术!$A:$ZZ,31,FALSE)=1,$F$18,0.5))*IF($G$1="牵丝",$AK76,$AI76)+IF($G$1="牵丝",$AL76*1.5,0))*(1+$BD76)*(1+$BE76)+(($BF76+($BG76-$BF76)*IF(VLOOKUP($R76,武学奇术!$A:$ZZ,31,FALSE)=1,$F$18,0.5))*IF($G$1="破竹",$AK76,$AI76)+IF($G$1="破竹",$AL76*1.5,0))*(1+$BH76)*(1+$BI76))*(1+$AM76)*$BL76*$Q76*(1+IF(VLOOKUP($R76,武学奇术!$A:$ZZ,30,FALSE)="蓄力技",$B$21,0))*(1+$BR76)</f>
        <v>78587.3873878759</v>
      </c>
      <c r="N76" s="39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62478.3002636157</v>
      </c>
      <c r="O76" s="39">
        <f>((($AO76+($AP76-$AO76)*IF(VLOOKUP($R76,武学奇术!$A:$ZZ,31,FALSE)=1,$F$18,0.5))*$AI76+$AJ76)*(1+$AQ76)*(1+$AR76)+(($AT76+($AU76-$AT76)*IF(VLOOKUP($R76,武学奇术!$A:$ZZ,31,FALSE)=1,$F$18,0.5))*IF($G$1="鸣金",$AK76,$AI76)+IF($G$1="鸣金",$AL76*1.5,0))*(1+$AV76)*(1+$AW76)+(($AX76+($AY76-$AX76)*IF(VLOOKUP($R76,武学奇术!$A:$ZZ,31,FALSE)=1,$F$18,0.5))*IF($G$1="裂石",$AK76,$AI76)+IF($G$1="裂石",$AL76*1.5,0))*(1+$AZ76)*(1+$BA76)+(($BB76+($BC76-$BB76)*IF(VLOOKUP($R76,武学奇术!$A:$ZZ,31,FALSE)=1,$F$18,0.5))*IF($G$1="牵丝",$AK76,$AI76)+IF($G$1="牵丝",$AL76*1.5,0))*(1+$BD76)*(1+$BE76)+(($BF76+($BG76-$BF76)*IF(VLOOKUP($R76,武学奇术!$A:$ZZ,31,FALSE)=1,$F$18,0.5))*IF($G$1="破竹",$AK76,$AI76)+IF($G$1="破竹",$AL76*1.5,0))*(1+$BH76)*(1+$BI76))*(1+$AM76)*$Q76*(1+IF(VLOOKUP($R76,武学奇术!$A:$ZZ,30,FALSE)="蓄力技",$B$21,0))*(1+$BR76)</f>
        <v>40508.9625710701</v>
      </c>
      <c r="P76" s="39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34737.702724647</v>
      </c>
      <c r="Q76" s="40">
        <v>1</v>
      </c>
      <c r="R76" s="41" t="s">
        <v>117</v>
      </c>
      <c r="S76" s="41" t="s">
        <v>97</v>
      </c>
      <c r="T76" s="41" t="s">
        <v>73</v>
      </c>
      <c r="U76" s="41" t="s">
        <v>73</v>
      </c>
      <c r="V76" s="41" t="s">
        <v>73</v>
      </c>
      <c r="W76" s="41" t="s">
        <v>73</v>
      </c>
      <c r="X76" s="41" t="s">
        <v>73</v>
      </c>
      <c r="Y76" s="41" t="s">
        <v>164</v>
      </c>
      <c r="Z76" s="41" t="s">
        <v>83</v>
      </c>
      <c r="AA76" s="41" t="s">
        <v>105</v>
      </c>
      <c r="AB76" s="41" t="s">
        <v>84</v>
      </c>
      <c r="AC76" s="41" t="s">
        <v>73</v>
      </c>
      <c r="AD76" s="41" t="s">
        <v>73</v>
      </c>
      <c r="AE76" s="41" t="s">
        <v>76</v>
      </c>
      <c r="AF76" s="41" t="s">
        <v>77</v>
      </c>
      <c r="AG76" s="41" t="s">
        <v>78</v>
      </c>
      <c r="AH76" t="str">
        <f>VLOOKUP($R76,武学奇术!$A:$ZZ,25,FALSE)</f>
        <v>拳甲</v>
      </c>
      <c r="AI76" s="27">
        <f>VLOOKUP($R76,武学奇术!$A:$ZZ,26,FALSE)</f>
        <v>2.638944</v>
      </c>
      <c r="AJ76" s="28">
        <f>VLOOKUP($R76,武学奇术!$A:$ZZ,27,FALSE)*(1+IF(OR($AH76=$F$4,$AH76=$F$5),$B$22,0))</f>
        <v>0</v>
      </c>
      <c r="AK76" s="27">
        <f>VLOOKUP($R76,武学奇术!$A:$ZZ,28,FALSE)</f>
        <v>3.958416</v>
      </c>
      <c r="AL76" s="28">
        <f>VLOOKUP($R76,武学奇术!$A:$ZZ,29,FALSE)*(1+IF(OR($AH76=$F$4,$AH76=$F$5),$B$22,0))</f>
        <v>0</v>
      </c>
      <c r="AM76" s="27" cm="1">
        <f t="array" ref="AM76">$G$3+IFERROR(VLOOKUP($AH76,$F$4:$G$7,2,FALSE),0)+VLOOKUP($R76,武学奇术!$A:$ZZ,2,FALSE)+SUM(_xlfn.XLOOKUP($S76:$AG76,增益!$A:$A,增益!$B:$B,0))</f>
        <v>0.7041</v>
      </c>
      <c r="AN76" s="27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3888.382</v>
      </c>
      <c r="AP76" cm="1">
        <f t="array" ref="AP76">$E$10*(1+$AN76)+VLOOKUP($R76,武学奇术!$A:$ZZ,4,FALSE)+SUM(_xlfn.XLOOKUP($S76:$AG76,增益!$A:$A,增益!$D:$D,0))-$I$2</f>
        <v>3888.382</v>
      </c>
      <c r="AQ76" s="33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0.347</v>
      </c>
      <c r="AR76" s="33" cm="1">
        <f t="array" ref="AR76">$G$10+VLOOKUP($R76,武学奇术!$A:$ZZ,7,FALSE)+SUM(_xlfn.XLOOKUP(S76:AG76,增益!$A:$A,增益!$G:$G,0))</f>
        <v>0.09</v>
      </c>
      <c r="AS76" s="27" cm="1">
        <f t="array" ref="AS76">VLOOKUP($R76,武学奇术!$A:$ZZ,8,FALSE)+SUM(_xlfn.XLOOKUP(S76:AG76,增益!$A:$A,增益!$H:$H,0))</f>
        <v>0</v>
      </c>
      <c r="AT76">
        <f t="shared" si="34"/>
        <v>0</v>
      </c>
      <c r="AU76">
        <f t="shared" si="35"/>
        <v>0</v>
      </c>
      <c r="AV76" s="33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-0.08</v>
      </c>
      <c r="AW76" s="33" cm="1">
        <f t="array" ref="AW76">$G$11+VLOOKUP($R76,武学奇术!$A:$ZZ,10,FALSE)+SUM(_xlfn.XLOOKUP(S76:AG76,增益!$A:$A,增益!$J:$J,0))</f>
        <v>0</v>
      </c>
      <c r="AX76">
        <f t="shared" si="36"/>
        <v>0</v>
      </c>
      <c r="AY76">
        <f t="shared" si="37"/>
        <v>0</v>
      </c>
      <c r="AZ76" s="33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-0.08</v>
      </c>
      <c r="BA76" s="33" cm="1">
        <f t="array" ref="BA76">$G$12+VLOOKUP($R76,武学奇术!$A:$ZZ,12,FALSE)+SUM(_xlfn.XLOOKUP(S76:AG76,增益!$A:$A,增益!$L:$L,0))</f>
        <v>0</v>
      </c>
      <c r="BB76">
        <f t="shared" si="38"/>
        <v>0</v>
      </c>
      <c r="BC76">
        <f t="shared" si="39"/>
        <v>0</v>
      </c>
      <c r="BD76" s="33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-0.08</v>
      </c>
      <c r="BE76" s="33" cm="1">
        <f t="array" ref="BE76">$G$13+VLOOKUP($R76,武学奇术!$A:$ZZ,14,FALSE)+SUM(_xlfn.XLOOKUP(S76:AG76,增益!$A:$A,增益!$N:$N,0))</f>
        <v>0</v>
      </c>
      <c r="BF76">
        <f t="shared" si="40"/>
        <v>605.472</v>
      </c>
      <c r="BG76">
        <f t="shared" si="41"/>
        <v>1725.468</v>
      </c>
      <c r="BH76" s="33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0.11</v>
      </c>
      <c r="BI76" s="33" cm="1">
        <f t="array" ref="BI76">$G$14+VLOOKUP($R76,武学奇术!$A:$ZZ,16,FALSE)+SUM(_xlfn.XLOOKUP(S76:AG76,增益!$A:$A,增益!$P:$P,0))</f>
        <v>0.24</v>
      </c>
      <c r="BJ76" s="27">
        <f>MIN(IF(VLOOKUP($R76,武学奇术!$A:$ZZ,23,FALSE)=1,100%,$B$8),100%)</f>
        <v>1</v>
      </c>
      <c r="BK76" s="27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+MIN(IF(VLOOKUP($R76,武学奇术!$A:$ZZ,32,FALSE)=1,IF(VLOOKUP($R76,武学奇术!$A:$ZZ,24,FALSE)=1,100%,MIN(40%,$B$10+VLOOKUP($R76,武学奇术!$A:$ZZ,19,FALSE)+SUM(_xlfn.XLOOKUP(S76:AG76,增益!$A:$A,增益!$S:$S,0)))+$B$12+SUM(_xlfn.XLOOKUP(S76:AG76,增益!$A:$A,增益!$V:$V,0))),0),12%)</f>
        <v>0.9036</v>
      </c>
      <c r="BL76" s="27" cm="1">
        <f t="array" ref="BL76">1+$B$13+VLOOKUP($R76,武学奇术!$A:$ZZ,18,FALSE)+SUM(_xlfn.XLOOKUP(S76:AG76,增益!$A:$A,增益!$R:$R,0))</f>
        <v>1.94</v>
      </c>
      <c r="BM76" s="27" cm="1">
        <f t="array" ref="BM76">MAX(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-IF(VLOOKUP($R76,武学奇术!$A:$ZZ,32,FALSE)=1,12%,0),0)</f>
        <v>0.0929</v>
      </c>
      <c r="BN76" s="27" cm="1">
        <f t="array" ref="BN76">1+$B$14+VLOOKUP($R76,武学奇术!$A:$ZZ,20,FALSE)+SUM(_xlfn.XLOOKUP(S76:AG76,增益!$A:$A,增益!$T:$T,0))</f>
        <v>1.35</v>
      </c>
      <c r="BO76" s="27">
        <f t="shared" si="31"/>
        <v>0.9036</v>
      </c>
      <c r="BP76" s="27">
        <f t="shared" si="32"/>
        <v>0.00350000000000006</v>
      </c>
      <c r="BQ76" s="27">
        <f>IF(VLOOKUP($R76,武学奇术!$A:$ZZ,22,FALSE)=1,0,(1-$BJ76))*(1-$BM76)</f>
        <v>0</v>
      </c>
      <c r="BR76" s="27" cm="1">
        <f t="array" ref="BR76">SUM(_xlfn.XLOOKUP(S76:AG76,增益!$A:$A,增益!$W:$W,0))+$I$5</f>
        <v>0.11</v>
      </c>
    </row>
    <row r="77" spans="1:70">
      <c r="A77" t="s">
        <v>157</v>
      </c>
      <c r="B77">
        <v>0.9</v>
      </c>
      <c r="D77" s="40"/>
      <c r="F77" s="40"/>
      <c r="G77" s="40"/>
      <c r="K77">
        <f>$L77*VLOOKUP($R77,武学奇术!$A:$ZZ,31,FALSE)</f>
        <v>24439.5919954376</v>
      </c>
      <c r="L77" s="39">
        <f t="shared" si="33"/>
        <v>24439.5919954376</v>
      </c>
      <c r="M77" s="39">
        <f>((($AO77+($AP77-$AO77)*IF(VLOOKUP($R77,武学奇术!$A:$ZZ,31,FALSE)=1,$F$18,0.5))*$AI77+$AJ77)*(1+$AQ77)*(1+$AR77)+(($AT77+($AU77-$AT77)*IF(VLOOKUP($R77,武学奇术!$A:$ZZ,31,FALSE)=1,$F$18,0.5))*IF($G$1="鸣金",$AK77,$AI77)+IF($G$1="鸣金",$AL77*1.5,0))*(1+$AV77)*(1+$AW77)+(($AX77+($AY77-$AX77)*IF(VLOOKUP($R77,武学奇术!$A:$ZZ,31,FALSE)=1,$F$18,0.5))*IF($G$1="裂石",$AK77,$AI77)+IF($G$1="裂石",$AL77*1.5,0))*(1+$AZ77)*(1+$BA77)+(($BB77+($BC77-$BB77)*IF(VLOOKUP($R77,武学奇术!$A:$ZZ,31,FALSE)=1,$F$18,0.5))*IF($G$1="牵丝",$AK77,$AI77)+IF($G$1="牵丝",$AL77*1.5,0))*(1+$BD77)*(1+$BE77)+(($BF77+($BG77-$BF77)*IF(VLOOKUP($R77,武学奇术!$A:$ZZ,31,FALSE)=1,$F$18,0.5))*IF($G$1="破竹",$AK77,$AI77)+IF($G$1="破竹",$AL77*1.5,0))*(1+$BH77)*(1+$BI77))*(1+$AM77)*$BL77*$Q77*(1+IF(VLOOKUP($R77,武学奇术!$A:$ZZ,30,FALSE)="蓄力技",$B$21,0))*(1+$BR77)</f>
        <v>24654.2207999728</v>
      </c>
      <c r="N77" s="39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蓄力技",$B$21,0))*(1+$BR77)</f>
        <v>22706.3763773979</v>
      </c>
      <c r="O77" s="39">
        <f>((($AO77+($AP77-$AO77)*IF(VLOOKUP($R77,武学奇术!$A:$ZZ,31,FALSE)=1,$F$18,0.5))*$AI77+$AJ77)*(1+$AQ77)*(1+$AR77)+(($AT77+($AU77-$AT77)*IF(VLOOKUP($R77,武学奇术!$A:$ZZ,31,FALSE)=1,$F$18,0.5))*IF($G$1="鸣金",$AK77,$AI77)+IF($G$1="鸣金",$AL77*1.5,0))*(1+$AV77)*(1+$AW77)+(($AX77+($AY77-$AX77)*IF(VLOOKUP($R77,武学奇术!$A:$ZZ,31,FALSE)=1,$F$18,0.5))*IF($G$1="裂石",$AK77,$AI77)+IF($G$1="裂石",$AL77*1.5,0))*(1+$AZ77)*(1+$BA77)+(($BB77+($BC77-$BB77)*IF(VLOOKUP($R77,武学奇术!$A:$ZZ,31,FALSE)=1,$F$18,0.5))*IF($G$1="牵丝",$AK77,$AI77)+IF($G$1="牵丝",$AL77*1.5,0))*(1+$BD77)*(1+$BE77)+(($BF77+($BG77-$BF77)*IF(VLOOKUP($R77,武学奇术!$A:$ZZ,31,FALSE)=1,$F$18,0.5))*IF($G$1="破竹",$AK77,$AI77)+IF($G$1="破竹",$AL77*1.5,0))*(1+$BH77)*(1+$BI77))*(1+$AM77)*$Q77*(1+IF(VLOOKUP($R77,武学奇术!$A:$ZZ,30,FALSE)="蓄力技",$B$21,0))*(1+$BR77)</f>
        <v>15033.0614633981</v>
      </c>
      <c r="P77" s="39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蓄力技",$B$21,0))*(1+$BR77)</f>
        <v>13246.5848694643</v>
      </c>
      <c r="Q77" s="40">
        <v>1</v>
      </c>
      <c r="R77" s="41" t="s">
        <v>151</v>
      </c>
      <c r="S77" s="41" t="s">
        <v>97</v>
      </c>
      <c r="T77" s="41" t="s">
        <v>73</v>
      </c>
      <c r="U77" s="41" t="s">
        <v>73</v>
      </c>
      <c r="V77" s="41" t="s">
        <v>73</v>
      </c>
      <c r="W77" s="41" t="s">
        <v>73</v>
      </c>
      <c r="X77" s="41" t="s">
        <v>73</v>
      </c>
      <c r="Y77" s="41" t="s">
        <v>164</v>
      </c>
      <c r="Z77" s="41" t="s">
        <v>73</v>
      </c>
      <c r="AA77" s="41" t="s">
        <v>73</v>
      </c>
      <c r="AB77" s="41" t="s">
        <v>84</v>
      </c>
      <c r="AC77" s="41" t="s">
        <v>73</v>
      </c>
      <c r="AD77" s="41" t="s">
        <v>73</v>
      </c>
      <c r="AE77" s="41" t="s">
        <v>76</v>
      </c>
      <c r="AF77" s="41" t="s">
        <v>77</v>
      </c>
      <c r="AG77" s="41" t="s">
        <v>78</v>
      </c>
      <c r="AH77" t="str">
        <f>VLOOKUP($R77,武学奇术!$A:$ZZ,25,FALSE)</f>
        <v>拳甲</v>
      </c>
      <c r="AI77" s="27">
        <f>VLOOKUP($R77,武学奇术!$A:$ZZ,26,FALSE)</f>
        <v>1.1005</v>
      </c>
      <c r="AJ77" s="28">
        <f>VLOOKUP($R77,武学奇术!$A:$ZZ,27,FALSE)*(1+IF(OR($AH77=$F$4,$AH77=$F$5),$B$22,0))</f>
        <v>457.5</v>
      </c>
      <c r="AK77" s="27">
        <f>VLOOKUP($R77,武学奇术!$A:$ZZ,28,FALSE)</f>
        <v>1.6507</v>
      </c>
      <c r="AL77" s="28">
        <f>VLOOKUP($R77,武学奇术!$A:$ZZ,29,FALSE)*(1+IF(OR($AH77=$F$4,$AH77=$F$5),$B$22,0))</f>
        <v>247.5</v>
      </c>
      <c r="AM77" s="27" cm="1">
        <f t="array" ref="AM77">$G$3+IFERROR(VLOOKUP($AH77,$F$4:$G$7,2,FALSE),0)+VLOOKUP($R77,武学奇术!$A:$ZZ,2,FALSE)+SUM(_xlfn.XLOOKUP($S77:$AG77,增益!$A:$A,增益!$B:$B,0))</f>
        <v>0.4041</v>
      </c>
      <c r="AN77" s="27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3888.382</v>
      </c>
      <c r="AP77" cm="1">
        <f t="array" ref="AP77">$E$10*(1+$AN77)+VLOOKUP($R77,武学奇术!$A:$ZZ,4,FALSE)+SUM(_xlfn.XLOOKUP($S77:$AG77,增益!$A:$A,增益!$D:$D,0))-$I$2</f>
        <v>3888.382</v>
      </c>
      <c r="AQ77" s="33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0.317</v>
      </c>
      <c r="AR77" s="33" cm="1">
        <f t="array" ref="AR77">$G$10+VLOOKUP($R77,武学奇术!$A:$ZZ,7,FALSE)+SUM(_xlfn.XLOOKUP(S77:AG77,增益!$A:$A,增益!$G:$G,0))</f>
        <v>0.09</v>
      </c>
      <c r="AS77" s="27" cm="1">
        <f t="array" ref="AS77">VLOOKUP($R77,武学奇术!$A:$ZZ,8,FALSE)+SUM(_xlfn.XLOOKUP(S77:AG77,增益!$A:$A,增益!$H:$H,0))</f>
        <v>0</v>
      </c>
      <c r="AT77">
        <f t="shared" si="34"/>
        <v>0</v>
      </c>
      <c r="AU77">
        <f t="shared" si="35"/>
        <v>0</v>
      </c>
      <c r="AV77" s="33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-0.3</v>
      </c>
      <c r="AW77" s="33" cm="1">
        <f t="array" ref="AW77">$G$11+VLOOKUP($R77,武学奇术!$A:$ZZ,10,FALSE)+SUM(_xlfn.XLOOKUP(S77:AG77,增益!$A:$A,增益!$J:$J,0))</f>
        <v>0</v>
      </c>
      <c r="AX77">
        <f t="shared" si="36"/>
        <v>0</v>
      </c>
      <c r="AY77">
        <f t="shared" si="37"/>
        <v>0</v>
      </c>
      <c r="AZ77" s="33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33" cm="1">
        <f t="array" ref="BA77">$G$12+VLOOKUP($R77,武学奇术!$A:$ZZ,12,FALSE)+SUM(_xlfn.XLOOKUP(S77:AG77,增益!$A:$A,增益!$L:$L,0))</f>
        <v>0</v>
      </c>
      <c r="BB77">
        <f t="shared" si="38"/>
        <v>0</v>
      </c>
      <c r="BC77">
        <f t="shared" si="39"/>
        <v>0</v>
      </c>
      <c r="BD77" s="33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33" cm="1">
        <f t="array" ref="BE77">$G$13+VLOOKUP($R77,武学奇术!$A:$ZZ,14,FALSE)+SUM(_xlfn.XLOOKUP(S77:AG77,增益!$A:$A,增益!$N:$N,0))</f>
        <v>0</v>
      </c>
      <c r="BF77">
        <f t="shared" si="40"/>
        <v>605.472</v>
      </c>
      <c r="BG77">
        <f t="shared" si="41"/>
        <v>1725.468</v>
      </c>
      <c r="BH77" s="33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0</v>
      </c>
      <c r="BI77" s="33" cm="1">
        <f t="array" ref="BI77">$G$14+VLOOKUP($R77,武学奇术!$A:$ZZ,16,FALSE)+SUM(_xlfn.XLOOKUP(S77:AG77,增益!$A:$A,增益!$P:$P,0))</f>
        <v>0.24</v>
      </c>
      <c r="BJ77" s="27">
        <f>MIN(IF(VLOOKUP($R77,武学奇术!$A:$ZZ,23,FALSE)=1,100%,$B$8),100%)</f>
        <v>1</v>
      </c>
      <c r="BK77" s="27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+MIN(IF(VLOOKUP($R77,武学奇术!$A:$ZZ,32,FALSE)=1,IF(VLOOKUP($R77,武学奇术!$A:$ZZ,24,FALSE)=1,100%,MIN(40%,$B$10+VLOOKUP($R77,武学奇术!$A:$ZZ,19,FALSE)+SUM(_xlfn.XLOOKUP(S77:AG77,增益!$A:$A,增益!$S:$S,0)))+$B$12+SUM(_xlfn.XLOOKUP(S77:AG77,增益!$A:$A,增益!$V:$V,0))),0),12%)</f>
        <v>0.9036</v>
      </c>
      <c r="BL77" s="27" cm="1">
        <f t="array" ref="BL77">1+$B$13+VLOOKUP($R77,武学奇术!$A:$ZZ,18,FALSE)+SUM(_xlfn.XLOOKUP(S77:AG77,增益!$A:$A,增益!$R:$R,0))</f>
        <v>1.64</v>
      </c>
      <c r="BM77" s="27" cm="1">
        <f t="array" ref="BM77">MAX(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-IF(VLOOKUP($R77,武学奇术!$A:$ZZ,32,FALSE)=1,12%,0),0)</f>
        <v>0.0929</v>
      </c>
      <c r="BN77" s="27" cm="1">
        <f t="array" ref="BN77">1+$B$14+VLOOKUP($R77,武学奇术!$A:$ZZ,20,FALSE)+SUM(_xlfn.XLOOKUP(S77:AG77,增益!$A:$A,增益!$T:$T,0))</f>
        <v>1.35</v>
      </c>
      <c r="BO77" s="27">
        <f t="shared" si="31"/>
        <v>0.9036</v>
      </c>
      <c r="BP77" s="27">
        <f t="shared" si="32"/>
        <v>0.00350000000000006</v>
      </c>
      <c r="BQ77" s="27">
        <f>IF(VLOOKUP($R77,武学奇术!$A:$ZZ,22,FALSE)=1,0,(1-$BJ77))*(1-$BM77)</f>
        <v>0</v>
      </c>
      <c r="BR77" s="27" cm="1">
        <f t="array" ref="BR77">SUM(_xlfn.XLOOKUP(S77:AG77,增益!$A:$A,增益!$W:$W,0))+$I$5</f>
        <v>0.11</v>
      </c>
    </row>
    <row r="78" spans="1:70">
      <c r="A78" t="s">
        <v>167</v>
      </c>
      <c r="B78">
        <v>1.23</v>
      </c>
      <c r="D78" s="40"/>
      <c r="F78" s="40"/>
      <c r="G78" s="40"/>
      <c r="K78">
        <f>$L78*VLOOKUP($R78,武学奇术!$A:$ZZ,31,FALSE)</f>
        <v>0</v>
      </c>
      <c r="L78" s="39">
        <f t="shared" si="33"/>
        <v>0</v>
      </c>
      <c r="M78" s="39">
        <f>((($AO78+($AP78-$AO78)*IF(VLOOKUP($R78,武学奇术!$A:$ZZ,31,FALSE)=1,$F$18,0.5))*$AI78+$AJ78)*(1+$AQ78)*(1+$AR78)+(($AT78+($AU78-$AT78)*IF(VLOOKUP($R78,武学奇术!$A:$ZZ,31,FALSE)=1,$F$18,0.5))*IF($G$1="鸣金",$AK78,$AI78)+IF($G$1="鸣金",$AL78*1.5,0))*(1+$AV78)*(1+$AW78)+(($AX78+($AY78-$AX78)*IF(VLOOKUP($R78,武学奇术!$A:$ZZ,31,FALSE)=1,$F$18,0.5))*IF($G$1="裂石",$AK78,$AI78)+IF($G$1="裂石",$AL78*1.5,0))*(1+$AZ78)*(1+$BA78)+(($BB78+($BC78-$BB78)*IF(VLOOKUP($R78,武学奇术!$A:$ZZ,31,FALSE)=1,$F$18,0.5))*IF($G$1="牵丝",$AK78,$AI78)+IF($G$1="牵丝",$AL78*1.5,0))*(1+$BD78)*(1+$BE78)+(($BF78+($BG78-$BF78)*IF(VLOOKUP($R78,武学奇术!$A:$ZZ,31,FALSE)=1,$F$18,0.5))*IF($G$1="破竹",$AK78,$AI78)+IF($G$1="破竹",$AL78*1.5,0))*(1+$BH78)*(1+$BI78))*(1+$AM78)*$BL78*$Q78*(1+IF(VLOOKUP($R78,武学奇术!$A:$ZZ,30,FALSE)="蓄力技",$B$21,0))*(1+$BR78)</f>
        <v>0</v>
      </c>
      <c r="N78" s="39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蓄力技",$B$21,0))*(1+$BR78)</f>
        <v>0</v>
      </c>
      <c r="O78" s="39">
        <f>((($AO78+($AP78-$AO78)*IF(VLOOKUP($R78,武学奇术!$A:$ZZ,31,FALSE)=1,$F$18,0.5))*$AI78+$AJ78)*(1+$AQ78)*(1+$AR78)+(($AT78+($AU78-$AT78)*IF(VLOOKUP($R78,武学奇术!$A:$ZZ,31,FALSE)=1,$F$18,0.5))*IF($G$1="鸣金",$AK78,$AI78)+IF($G$1="鸣金",$AL78*1.5,0))*(1+$AV78)*(1+$AW78)+(($AX78+($AY78-$AX78)*IF(VLOOKUP($R78,武学奇术!$A:$ZZ,31,FALSE)=1,$F$18,0.5))*IF($G$1="裂石",$AK78,$AI78)+IF($G$1="裂石",$AL78*1.5,0))*(1+$AZ78)*(1+$BA78)+(($BB78+($BC78-$BB78)*IF(VLOOKUP($R78,武学奇术!$A:$ZZ,31,FALSE)=1,$F$18,0.5))*IF($G$1="牵丝",$AK78,$AI78)+IF($G$1="牵丝",$AL78*1.5,0))*(1+$BD78)*(1+$BE78)+(($BF78+($BG78-$BF78)*IF(VLOOKUP($R78,武学奇术!$A:$ZZ,31,FALSE)=1,$F$18,0.5))*IF($G$1="破竹",$AK78,$AI78)+IF($G$1="破竹",$AL78*1.5,0))*(1+$BH78)*(1+$BI78))*(1+$AM78)*$Q78*(1+IF(VLOOKUP($R78,武学奇术!$A:$ZZ,30,FALSE)="蓄力技",$B$21,0))*(1+$BR78)</f>
        <v>0</v>
      </c>
      <c r="P78" s="39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蓄力技",$B$21,0))*(1+$BR78)</f>
        <v>0</v>
      </c>
      <c r="Q78" s="40">
        <v>1</v>
      </c>
      <c r="R78" s="41" t="s">
        <v>73</v>
      </c>
      <c r="S78" s="41" t="s">
        <v>73</v>
      </c>
      <c r="T78" s="41" t="s">
        <v>73</v>
      </c>
      <c r="U78" s="41" t="s">
        <v>73</v>
      </c>
      <c r="V78" s="41" t="s">
        <v>73</v>
      </c>
      <c r="W78" s="41" t="s">
        <v>73</v>
      </c>
      <c r="X78" s="41" t="s">
        <v>73</v>
      </c>
      <c r="Y78" s="41" t="s">
        <v>73</v>
      </c>
      <c r="Z78" s="41" t="s">
        <v>73</v>
      </c>
      <c r="AA78" s="41" t="s">
        <v>73</v>
      </c>
      <c r="AB78" s="41" t="s">
        <v>73</v>
      </c>
      <c r="AC78" s="41" t="s">
        <v>73</v>
      </c>
      <c r="AD78" s="41" t="s">
        <v>73</v>
      </c>
      <c r="AE78" s="41" t="s">
        <v>76</v>
      </c>
      <c r="AF78" s="41" t="s">
        <v>77</v>
      </c>
      <c r="AG78" s="41" t="s">
        <v>78</v>
      </c>
      <c r="AH78" t="str">
        <f>VLOOKUP($R78,武学奇术!$A:$ZZ,25,FALSE)</f>
        <v>心法</v>
      </c>
      <c r="AI78" s="27">
        <f>VLOOKUP($R78,武学奇术!$A:$ZZ,26,FALSE)</f>
        <v>0</v>
      </c>
      <c r="AJ78" s="28">
        <f>VLOOKUP($R78,武学奇术!$A:$ZZ,27,FALSE)*(1+IF(OR($AH78=$F$4,$AH78=$F$5),$B$22,0))</f>
        <v>0</v>
      </c>
      <c r="AK78" s="27">
        <f>VLOOKUP($R78,武学奇术!$A:$ZZ,28,FALSE)</f>
        <v>0</v>
      </c>
      <c r="AL78" s="28">
        <f>VLOOKUP($R78,武学奇术!$A:$ZZ,29,FALSE)*(1+IF(OR($AH78=$F$4,$AH78=$F$5),$B$22,0))</f>
        <v>0</v>
      </c>
      <c r="AM78" s="27" cm="1">
        <f t="array" ref="AM78">$G$3+IFERROR(VLOOKUP($AH78,$F$4:$G$7,2,FALSE),0)+VLOOKUP($R78,武学奇术!$A:$ZZ,2,FALSE)+SUM(_xlfn.XLOOKUP($S78:$AG78,增益!$A:$A,增益!$B:$B,0))</f>
        <v>0.1837</v>
      </c>
      <c r="AN78" s="27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3888.382</v>
      </c>
      <c r="AP78" cm="1">
        <f t="array" ref="AP78">$E$10*(1+$AN78)+VLOOKUP($R78,武学奇术!$A:$ZZ,4,FALSE)+SUM(_xlfn.XLOOKUP($S78:$AG78,增益!$A:$A,增益!$D:$D,0))-$I$2</f>
        <v>3888.382</v>
      </c>
      <c r="AQ78" s="33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0.267</v>
      </c>
      <c r="AR78" s="33" cm="1">
        <f t="array" ref="AR78">$G$10+VLOOKUP($R78,武学奇术!$A:$ZZ,7,FALSE)+SUM(_xlfn.XLOOKUP(S78:AG78,增益!$A:$A,增益!$G:$G,0))</f>
        <v>0.09</v>
      </c>
      <c r="AS78" s="27" cm="1">
        <f t="array" ref="AS78">VLOOKUP($R78,武学奇术!$A:$ZZ,8,FALSE)+SUM(_xlfn.XLOOKUP(S78:AG78,增益!$A:$A,增益!$H:$H,0))</f>
        <v>0</v>
      </c>
      <c r="AT78">
        <f t="shared" si="34"/>
        <v>0</v>
      </c>
      <c r="AU78">
        <f t="shared" si="35"/>
        <v>0</v>
      </c>
      <c r="AV78" s="33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-0.3</v>
      </c>
      <c r="AW78" s="33" cm="1">
        <f t="array" ref="AW78">$G$11+VLOOKUP($R78,武学奇术!$A:$ZZ,10,FALSE)+SUM(_xlfn.XLOOKUP(S78:AG78,增益!$A:$A,增益!$J:$J,0))</f>
        <v>0</v>
      </c>
      <c r="AX78">
        <f t="shared" si="36"/>
        <v>0</v>
      </c>
      <c r="AY78">
        <f t="shared" si="37"/>
        <v>0</v>
      </c>
      <c r="AZ78" s="33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33" cm="1">
        <f t="array" ref="BA78">$G$12+VLOOKUP($R78,武学奇术!$A:$ZZ,12,FALSE)+SUM(_xlfn.XLOOKUP(S78:AG78,增益!$A:$A,增益!$L:$L,0))</f>
        <v>0</v>
      </c>
      <c r="BB78">
        <f t="shared" si="38"/>
        <v>0</v>
      </c>
      <c r="BC78">
        <f t="shared" si="39"/>
        <v>0</v>
      </c>
      <c r="BD78" s="33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33" cm="1">
        <f t="array" ref="BE78">$G$13+VLOOKUP($R78,武学奇术!$A:$ZZ,14,FALSE)+SUM(_xlfn.XLOOKUP(S78:AG78,增益!$A:$A,增益!$N:$N,0))</f>
        <v>0</v>
      </c>
      <c r="BF78">
        <f t="shared" si="40"/>
        <v>605.472</v>
      </c>
      <c r="BG78">
        <f t="shared" si="41"/>
        <v>1725.468</v>
      </c>
      <c r="BH78" s="33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0</v>
      </c>
      <c r="BI78" s="33" cm="1">
        <f t="array" ref="BI78">$G$14+VLOOKUP($R78,武学奇术!$A:$ZZ,16,FALSE)+SUM(_xlfn.XLOOKUP(S78:AG78,增益!$A:$A,增益!$P:$P,0))</f>
        <v>0.24</v>
      </c>
      <c r="BJ78" s="27">
        <f>MIN(IF(VLOOKUP($R78,武学奇术!$A:$ZZ,23,FALSE)=1,100%,$B$8),100%)</f>
        <v>1</v>
      </c>
      <c r="BK78" s="27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+MIN(IF(VLOOKUP($R78,武学奇术!$A:$ZZ,32,FALSE)=1,IF(VLOOKUP($R78,武学奇术!$A:$ZZ,24,FALSE)=1,100%,MIN(40%,$B$10+VLOOKUP($R78,武学奇术!$A:$ZZ,19,FALSE)+SUM(_xlfn.XLOOKUP(S78:AG78,增益!$A:$A,增益!$S:$S,0)))+$B$12+SUM(_xlfn.XLOOKUP(S78:AG78,增益!$A:$A,增益!$V:$V,0))),0),12%)</f>
        <v>0.9036</v>
      </c>
      <c r="BL78" s="27" cm="1">
        <f t="array" ref="BL78">1+$B$13+VLOOKUP($R78,武学奇术!$A:$ZZ,18,FALSE)+SUM(_xlfn.XLOOKUP(S78:AG78,增益!$A:$A,增益!$R:$R,0))</f>
        <v>1.54</v>
      </c>
      <c r="BM78" s="27" cm="1">
        <f t="array" ref="BM78">MAX(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-IF(VLOOKUP($R78,武学奇术!$A:$ZZ,32,FALSE)=1,12%,0),0)</f>
        <v>0.0929</v>
      </c>
      <c r="BN78" s="27" cm="1">
        <f t="array" ref="BN78">1+$B$14+VLOOKUP($R78,武学奇术!$A:$ZZ,20,FALSE)+SUM(_xlfn.XLOOKUP(S78:AG78,增益!$A:$A,增益!$T:$T,0))</f>
        <v>1.35</v>
      </c>
      <c r="BO78" s="27">
        <f t="shared" si="31"/>
        <v>0.9036</v>
      </c>
      <c r="BP78" s="27">
        <f t="shared" si="32"/>
        <v>0.00350000000000006</v>
      </c>
      <c r="BQ78" s="27">
        <f>IF(VLOOKUP($R78,武学奇术!$A:$ZZ,22,FALSE)=1,0,(1-$BJ78))*(1-$BM78)</f>
        <v>0</v>
      </c>
      <c r="BR78" s="27" cm="1">
        <f t="array" ref="BR78">SUM(_xlfn.XLOOKUP(S78:AG78,增益!$A:$A,增益!$W:$W,0))+$I$5</f>
        <v>0.11</v>
      </c>
    </row>
    <row r="79" spans="1:70">
      <c r="A79" s="4" t="s">
        <v>184</v>
      </c>
      <c r="B79" s="91">
        <v>1.16</v>
      </c>
      <c r="D79" s="40"/>
      <c r="F79" s="40"/>
      <c r="K79">
        <f>$L79*VLOOKUP($R79,武学奇术!$A:$ZZ,31,FALSE)</f>
        <v>118624.580546613</v>
      </c>
      <c r="L79" s="39">
        <f t="shared" si="33"/>
        <v>118624.580546613</v>
      </c>
      <c r="M79" s="39">
        <f>((($AO79+($AP79-$AO79)*IF(VLOOKUP($R79,武学奇术!$A:$ZZ,31,FALSE)=1,$F$18,0.5))*$AI79+$AJ79)*(1+$AQ79)*(1+$AR79)+(($AT79+($AU79-$AT79)*IF(VLOOKUP($R79,武学奇术!$A:$ZZ,31,FALSE)=1,$F$18,0.5))*IF($G$1="鸣金",$AK79,$AI79)+IF($G$1="鸣金",$AL79*1.5,0))*(1+$AV79)*(1+$AW79)+(($AX79+($AY79-$AX79)*IF(VLOOKUP($R79,武学奇术!$A:$ZZ,31,FALSE)=1,$F$18,0.5))*IF($G$1="裂石",$AK79,$AI79)+IF($G$1="裂石",$AL79*1.5,0))*(1+$AZ79)*(1+$BA79)+(($BB79+($BC79-$BB79)*IF(VLOOKUP($R79,武学奇术!$A:$ZZ,31,FALSE)=1,$F$18,0.5))*IF($G$1="牵丝",$AK79,$AI79)+IF($G$1="牵丝",$AL79*1.5,0))*(1+$BD79)*(1+$BE79)+(($BF79+($BG79-$BF79)*IF(VLOOKUP($R79,武学奇术!$A:$ZZ,31,FALSE)=1,$F$18,0.5))*IF($G$1="破竹",$AK79,$AI79)+IF($G$1="破竹",$AL79*1.5,0))*(1+$BH79)*(1+$BI79))*(1+$AM79)*$BL79*$Q79*(1+IF(VLOOKUP($R79,武学奇术!$A:$ZZ,30,FALSE)="蓄力技",$B$21,0))*(1+$BR79)</f>
        <v>119531.365320053</v>
      </c>
      <c r="N79" s="39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蓄力技",$B$21,0))*(1+$BR79)</f>
        <v>111527.8946978</v>
      </c>
      <c r="O79" s="39">
        <f>((($AO79+($AP79-$AO79)*IF(VLOOKUP($R79,武学奇术!$A:$ZZ,31,FALSE)=1,$F$18,0.5))*$AI79+$AJ79)*(1+$AQ79)*(1+$AR79)+(($AT79+($AU79-$AT79)*IF(VLOOKUP($R79,武学奇术!$A:$ZZ,31,FALSE)=1,$F$18,0.5))*IF($G$1="鸣金",$AK79,$AI79)+IF($G$1="鸣金",$AL79*1.5,0))*(1+$AV79)*(1+$AW79)+(($AX79+($AY79-$AX79)*IF(VLOOKUP($R79,武学奇术!$A:$ZZ,31,FALSE)=1,$F$18,0.5))*IF($G$1="裂石",$AK79,$AI79)+IF($G$1="裂石",$AL79*1.5,0))*(1+$AZ79)*(1+$BA79)+(($BB79+($BC79-$BB79)*IF(VLOOKUP($R79,武学奇术!$A:$ZZ,31,FALSE)=1,$F$18,0.5))*IF($G$1="牵丝",$AK79,$AI79)+IF($G$1="牵丝",$AL79*1.5,0))*(1+$BD79)*(1+$BE79)+(($BF79+($BG79-$BF79)*IF(VLOOKUP($R79,武学奇术!$A:$ZZ,31,FALSE)=1,$F$18,0.5))*IF($G$1="破竹",$AK79,$AI79)+IF($G$1="破竹",$AL79*1.5,0))*(1+$BH79)*(1+$BI79))*(1+$AM79)*$Q79*(1+IF(VLOOKUP($R79,武学奇术!$A:$ZZ,30,FALSE)="蓄力技",$B$21,0))*(1+$BR79)</f>
        <v>72884.9788536906</v>
      </c>
      <c r="P79" s="39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蓄力技",$B$21,0))*(1+$BR79)</f>
        <v>63156.7023756772</v>
      </c>
      <c r="Q79" s="40">
        <v>1</v>
      </c>
      <c r="R79" s="41" t="s">
        <v>177</v>
      </c>
      <c r="S79" s="41" t="s">
        <v>73</v>
      </c>
      <c r="T79" s="41" t="s">
        <v>73</v>
      </c>
      <c r="U79" s="41" t="s">
        <v>73</v>
      </c>
      <c r="V79" s="41" t="s">
        <v>73</v>
      </c>
      <c r="W79" s="41" t="s">
        <v>73</v>
      </c>
      <c r="X79" s="41" t="s">
        <v>73</v>
      </c>
      <c r="Y79" s="41" t="s">
        <v>164</v>
      </c>
      <c r="Z79" s="41" t="s">
        <v>73</v>
      </c>
      <c r="AA79" s="41" t="s">
        <v>73</v>
      </c>
      <c r="AB79" s="41" t="s">
        <v>84</v>
      </c>
      <c r="AC79" s="41" t="s">
        <v>73</v>
      </c>
      <c r="AD79" s="41" t="s">
        <v>73</v>
      </c>
      <c r="AE79" s="41" t="s">
        <v>76</v>
      </c>
      <c r="AF79" s="41" t="s">
        <v>77</v>
      </c>
      <c r="AG79" s="41" t="s">
        <v>78</v>
      </c>
      <c r="AH79" t="str">
        <f>VLOOKUP($R79,武学奇术!$A:$ZZ,25,FALSE)</f>
        <v>单体奇术</v>
      </c>
      <c r="AI79" s="27">
        <f>VLOOKUP($R79,武学奇术!$A:$ZZ,26,FALSE)</f>
        <v>7.1084</v>
      </c>
      <c r="AJ79" s="28">
        <f>VLOOKUP($R79,武学奇术!$A:$ZZ,27,FALSE)*(1+IF(OR($AH79=$F$4,$AH79=$F$5),$B$22,0))</f>
        <v>1369</v>
      </c>
      <c r="AK79" s="27">
        <f>VLOOKUP($R79,武学奇术!$A:$ZZ,28,FALSE)</f>
        <v>10.6626</v>
      </c>
      <c r="AL79" s="28">
        <f>VLOOKUP($R79,武学奇术!$A:$ZZ,29,FALSE)*(1+IF(OR($AH79=$F$4,$AH79=$F$5),$B$22,0))</f>
        <v>0</v>
      </c>
      <c r="AM79" s="27" cm="1">
        <f t="array" ref="AM79">$G$3+IFERROR(VLOOKUP($AH79,$F$4:$G$7,2,FALSE),0)+VLOOKUP($R79,武学奇术!$A:$ZZ,2,FALSE)+SUM(_xlfn.XLOOKUP($S79:$AG79,增益!$A:$A,增益!$B:$B,0))</f>
        <v>0.1837</v>
      </c>
      <c r="AN79" s="27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3888.382</v>
      </c>
      <c r="AP79" cm="1">
        <f t="array" ref="AP79">$E$10*(1+$AN79)+VLOOKUP($R79,武学奇术!$A:$ZZ,4,FALSE)+SUM(_xlfn.XLOOKUP($S79:$AG79,增益!$A:$A,增益!$D:$D,0))-$I$2</f>
        <v>3888.382</v>
      </c>
      <c r="AQ79" s="33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0.267</v>
      </c>
      <c r="AR79" s="33" cm="1">
        <f t="array" ref="AR79">$G$10+VLOOKUP($R79,武学奇术!$A:$ZZ,7,FALSE)+SUM(_xlfn.XLOOKUP(S79:AG79,增益!$A:$A,增益!$G:$G,0))</f>
        <v>0.09</v>
      </c>
      <c r="AS79" s="27" cm="1">
        <f t="array" ref="AS79">VLOOKUP($R79,武学奇术!$A:$ZZ,8,FALSE)+SUM(_xlfn.XLOOKUP(S79:AG79,增益!$A:$A,增益!$H:$H,0))</f>
        <v>0</v>
      </c>
      <c r="AT79">
        <f t="shared" si="34"/>
        <v>0</v>
      </c>
      <c r="AU79">
        <f t="shared" si="35"/>
        <v>0</v>
      </c>
      <c r="AV79" s="33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-0.3</v>
      </c>
      <c r="AW79" s="33" cm="1">
        <f t="array" ref="AW79">$G$11+VLOOKUP($R79,武学奇术!$A:$ZZ,10,FALSE)+SUM(_xlfn.XLOOKUP(S79:AG79,增益!$A:$A,增益!$J:$J,0))</f>
        <v>0</v>
      </c>
      <c r="AX79">
        <f t="shared" si="36"/>
        <v>0</v>
      </c>
      <c r="AY79">
        <f t="shared" si="37"/>
        <v>0</v>
      </c>
      <c r="AZ79" s="33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-0.3</v>
      </c>
      <c r="BA79" s="33" cm="1">
        <f t="array" ref="BA79">$G$12+VLOOKUP($R79,武学奇术!$A:$ZZ,12,FALSE)+SUM(_xlfn.XLOOKUP(S79:AG79,增益!$A:$A,增益!$L:$L,0))</f>
        <v>0</v>
      </c>
      <c r="BB79">
        <f t="shared" si="38"/>
        <v>0</v>
      </c>
      <c r="BC79">
        <f t="shared" si="39"/>
        <v>0</v>
      </c>
      <c r="BD79" s="33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-0.3</v>
      </c>
      <c r="BE79" s="33" cm="1">
        <f t="array" ref="BE79">$G$13+VLOOKUP($R79,武学奇术!$A:$ZZ,14,FALSE)+SUM(_xlfn.XLOOKUP(S79:AG79,增益!$A:$A,增益!$N:$N,0))</f>
        <v>0</v>
      </c>
      <c r="BF79">
        <f t="shared" si="40"/>
        <v>605.472</v>
      </c>
      <c r="BG79">
        <f t="shared" si="41"/>
        <v>1725.468</v>
      </c>
      <c r="BH79" s="33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0</v>
      </c>
      <c r="BI79" s="33" cm="1">
        <f t="array" ref="BI79">$G$14+VLOOKUP($R79,武学奇术!$A:$ZZ,16,FALSE)+SUM(_xlfn.XLOOKUP(S79:AG79,增益!$A:$A,增益!$P:$P,0))</f>
        <v>0.24</v>
      </c>
      <c r="BJ79" s="27">
        <f>MIN(IF(VLOOKUP($R79,武学奇术!$A:$ZZ,23,FALSE)=1,100%,$B$8),100%)</f>
        <v>1</v>
      </c>
      <c r="BK79" s="27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+MIN(IF(VLOOKUP($R79,武学奇术!$A:$ZZ,32,FALSE)=1,IF(VLOOKUP($R79,武学奇术!$A:$ZZ,24,FALSE)=1,100%,MIN(40%,$B$10+VLOOKUP($R79,武学奇术!$A:$ZZ,19,FALSE)+SUM(_xlfn.XLOOKUP(S79:AG79,增益!$A:$A,增益!$S:$S,0)))+$B$12+SUM(_xlfn.XLOOKUP(S79:AG79,增益!$A:$A,增益!$V:$V,0))),0),12%)</f>
        <v>0.9036</v>
      </c>
      <c r="BL79" s="27" cm="1">
        <f t="array" ref="BL79">1+$B$13+VLOOKUP($R79,武学奇术!$A:$ZZ,18,FALSE)+SUM(_xlfn.XLOOKUP(S79:AG79,增益!$A:$A,增益!$R:$R,0))</f>
        <v>1.64</v>
      </c>
      <c r="BM79" s="27" cm="1">
        <f t="array" ref="BM79">MAX(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-IF(VLOOKUP($R79,武学奇术!$A:$ZZ,32,FALSE)=1,12%,0),0)</f>
        <v>0.0929</v>
      </c>
      <c r="BN79" s="27" cm="1">
        <f t="array" ref="BN79">1+$B$14+VLOOKUP($R79,武学奇术!$A:$ZZ,20,FALSE)+SUM(_xlfn.XLOOKUP(S79:AG79,增益!$A:$A,增益!$T:$T,0))</f>
        <v>1.35</v>
      </c>
      <c r="BO79" s="27">
        <f t="shared" si="31"/>
        <v>0.9036</v>
      </c>
      <c r="BP79" s="27">
        <f t="shared" si="32"/>
        <v>0.00350000000000006</v>
      </c>
      <c r="BQ79" s="27">
        <f>IF(VLOOKUP($R79,武学奇术!$A:$ZZ,22,FALSE)=1,0,(1-$BJ79))*(1-$BM79)</f>
        <v>0</v>
      </c>
      <c r="BR79" s="27" cm="1">
        <f t="array" ref="BR79">SUM(_xlfn.XLOOKUP(S79:AG79,增益!$A:$A,增益!$W:$W,0))+$I$5</f>
        <v>0.11</v>
      </c>
    </row>
    <row r="80" spans="1:70">
      <c r="A80" t="s">
        <v>160</v>
      </c>
      <c r="B80">
        <v>0.1</v>
      </c>
      <c r="D80" s="40"/>
      <c r="F80" s="40"/>
      <c r="K80">
        <f>$L80*VLOOKUP($R80,武学奇术!$A:$ZZ,31,FALSE)</f>
        <v>25377.2796279341</v>
      </c>
      <c r="L80" s="39">
        <f t="shared" si="33"/>
        <v>25377.2796279341</v>
      </c>
      <c r="M80" s="39">
        <f>((($AO80+($AP80-$AO80)*IF(VLOOKUP($R80,武学奇术!$A:$ZZ,31,FALSE)=1,$F$18,0.5))*$AI80+$AJ80)*(1+$AQ80)*(1+$AR80)+(($AT80+($AU80-$AT80)*IF(VLOOKUP($R80,武学奇术!$A:$ZZ,31,FALSE)=1,$F$18,0.5))*IF($G$1="鸣金",$AK80,$AI80)+IF($G$1="鸣金",$AL80*1.5,0))*(1+$AV80)*(1+$AW80)+(($AX80+($AY80-$AX80)*IF(VLOOKUP($R80,武学奇术!$A:$ZZ,31,FALSE)=1,$F$18,0.5))*IF($G$1="裂石",$AK80,$AI80)+IF($G$1="裂石",$AL80*1.5,0))*(1+$AZ80)*(1+$BA80)+(($BB80+($BC80-$BB80)*IF(VLOOKUP($R80,武学奇术!$A:$ZZ,31,FALSE)=1,$F$18,0.5))*IF($G$1="牵丝",$AK80,$AI80)+IF($G$1="牵丝",$AL80*1.5,0))*(1+$BD80)*(1+$BE80)+(($BF80+($BG80-$BF80)*IF(VLOOKUP($R80,武学奇术!$A:$ZZ,31,FALSE)=1,$F$18,0.5))*IF($G$1="破竹",$AK80,$AI80)+IF($G$1="破竹",$AL80*1.5,0))*(1+$BH80)*(1+$BI80))*(1+$AM80)*$BL80*$Q80*(1+IF(VLOOKUP($R80,武学奇术!$A:$ZZ,30,FALSE)="蓄力技",$B$21,0))*(1+$BR80)</f>
        <v>25582.0549487501</v>
      </c>
      <c r="N80" s="39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蓄力技",$B$21,0))*(1+$BR80)</f>
        <v>23753.9174086916</v>
      </c>
      <c r="O80" s="39">
        <f>((($AO80+($AP80-$AO80)*IF(VLOOKUP($R80,武学奇术!$A:$ZZ,31,FALSE)=1,$F$18,0.5))*$AI80+$AJ80)*(1+$AQ80)*(1+$AR80)+(($AT80+($AU80-$AT80)*IF(VLOOKUP($R80,武学奇术!$A:$ZZ,31,FALSE)=1,$F$18,0.5))*IF($G$1="鸣金",$AK80,$AI80)+IF($G$1="鸣金",$AL80*1.5,0))*(1+$AV80)*(1+$AW80)+(($AX80+($AY80-$AX80)*IF(VLOOKUP($R80,武学奇术!$A:$ZZ,31,FALSE)=1,$F$18,0.5))*IF($G$1="裂石",$AK80,$AI80)+IF($G$1="裂石",$AL80*1.5,0))*(1+$AZ80)*(1+$BA80)+(($BB80+($BC80-$BB80)*IF(VLOOKUP($R80,武学奇术!$A:$ZZ,31,FALSE)=1,$F$18,0.5))*IF($G$1="牵丝",$AK80,$AI80)+IF($G$1="牵丝",$AL80*1.5,0))*(1+$BD80)*(1+$BE80)+(($BF80+($BG80-$BF80)*IF(VLOOKUP($R80,武学奇术!$A:$ZZ,31,FALSE)=1,$F$18,0.5))*IF($G$1="破竹",$AK80,$AI80)+IF($G$1="破竹",$AL80*1.5,0))*(1+$BH80)*(1+$BI80))*(1+$AM80)*$Q80*(1+IF(VLOOKUP($R80,武学奇术!$A:$ZZ,30,FALSE)="蓄力技",$B$21,0))*(1+$BR80)</f>
        <v>15598.8139931403</v>
      </c>
      <c r="P80" s="39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蓄力技",$B$21,0))*(1+$BR80)</f>
        <v>13602.1336094721</v>
      </c>
      <c r="Q80" s="40">
        <v>1</v>
      </c>
      <c r="R80" s="41" t="s">
        <v>100</v>
      </c>
      <c r="S80" s="41" t="s">
        <v>72</v>
      </c>
      <c r="T80" s="41" t="s">
        <v>73</v>
      </c>
      <c r="U80" s="41" t="s">
        <v>73</v>
      </c>
      <c r="V80" s="41" t="s">
        <v>73</v>
      </c>
      <c r="W80" s="41" t="s">
        <v>73</v>
      </c>
      <c r="X80" s="41" t="s">
        <v>73</v>
      </c>
      <c r="Y80" s="41" t="s">
        <v>164</v>
      </c>
      <c r="Z80" s="41" t="s">
        <v>83</v>
      </c>
      <c r="AA80" s="41" t="s">
        <v>73</v>
      </c>
      <c r="AB80" s="41" t="s">
        <v>84</v>
      </c>
      <c r="AC80" s="41" t="s">
        <v>73</v>
      </c>
      <c r="AD80" s="41" t="s">
        <v>73</v>
      </c>
      <c r="AE80" s="41" t="s">
        <v>76</v>
      </c>
      <c r="AF80" s="41" t="s">
        <v>77</v>
      </c>
      <c r="AG80" s="41" t="s">
        <v>78</v>
      </c>
      <c r="AH80" t="str">
        <f>VLOOKUP($R80,武学奇术!$A:$ZZ,25,FALSE)</f>
        <v>绳镖</v>
      </c>
      <c r="AI80" s="27">
        <f>VLOOKUP($R80,武学奇术!$A:$ZZ,26,FALSE)</f>
        <v>1.2503</v>
      </c>
      <c r="AJ80" s="28">
        <f>VLOOKUP($R80,武学奇术!$A:$ZZ,27,FALSE)*(1+IF(OR($AH80=$F$4,$AH80=$F$5),$B$22,0))</f>
        <v>520.5</v>
      </c>
      <c r="AK80" s="27">
        <f>VLOOKUP($R80,武学奇术!$A:$ZZ,28,FALSE)</f>
        <v>1.8755</v>
      </c>
      <c r="AL80" s="28">
        <f>VLOOKUP($R80,武学奇术!$A:$ZZ,29,FALSE)*(1+IF(OR($AH80=$F$4,$AH80=$F$5),$B$22,0))</f>
        <v>283.5</v>
      </c>
      <c r="AM80" s="27" cm="1">
        <f t="array" ref="AM80">$G$3+IFERROR(VLOOKUP($AH80,$F$4:$G$7,2,FALSE),0)+VLOOKUP($R80,武学奇术!$A:$ZZ,2,FALSE)+SUM(_xlfn.XLOOKUP($S80:$AG80,增益!$A:$A,增益!$B:$B,0))</f>
        <v>0.2789</v>
      </c>
      <c r="AN80" s="27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3888.382</v>
      </c>
      <c r="AP80" cm="1">
        <f t="array" ref="AP80">$E$10*(1+$AN80)+VLOOKUP($R80,武学奇术!$A:$ZZ,4,FALSE)+SUM(_xlfn.XLOOKUP($S80:$AG80,增益!$A:$A,增益!$D:$D,0))-$I$2</f>
        <v>3888.382</v>
      </c>
      <c r="AQ80" s="33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0.277</v>
      </c>
      <c r="AR80" s="33" cm="1">
        <f t="array" ref="AR80">$G$10+VLOOKUP($R80,武学奇术!$A:$ZZ,7,FALSE)+SUM(_xlfn.XLOOKUP(S80:AG80,增益!$A:$A,增益!$G:$G,0))</f>
        <v>0.09</v>
      </c>
      <c r="AS80" s="27" cm="1">
        <f t="array" ref="AS80">VLOOKUP($R80,武学奇术!$A:$ZZ,8,FALSE)+SUM(_xlfn.XLOOKUP(S80:AG80,增益!$A:$A,增益!$H:$H,0))</f>
        <v>0</v>
      </c>
      <c r="AT80">
        <f t="shared" si="34"/>
        <v>0</v>
      </c>
      <c r="AU80">
        <f t="shared" si="35"/>
        <v>0</v>
      </c>
      <c r="AV80" s="33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-0.14</v>
      </c>
      <c r="AW80" s="33" cm="1">
        <f t="array" ref="AW80">$G$11+VLOOKUP($R80,武学奇术!$A:$ZZ,10,FALSE)+SUM(_xlfn.XLOOKUP(S80:AG80,增益!$A:$A,增益!$J:$J,0))</f>
        <v>0</v>
      </c>
      <c r="AX80">
        <f t="shared" si="36"/>
        <v>0</v>
      </c>
      <c r="AY80">
        <f t="shared" si="37"/>
        <v>0</v>
      </c>
      <c r="AZ80" s="33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-0.14</v>
      </c>
      <c r="BA80" s="33" cm="1">
        <f t="array" ref="BA80">$G$12+VLOOKUP($R80,武学奇术!$A:$ZZ,12,FALSE)+SUM(_xlfn.XLOOKUP(S80:AG80,增益!$A:$A,增益!$L:$L,0))</f>
        <v>0</v>
      </c>
      <c r="BB80">
        <f t="shared" si="38"/>
        <v>0</v>
      </c>
      <c r="BC80">
        <f t="shared" si="39"/>
        <v>0</v>
      </c>
      <c r="BD80" s="33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-0.14</v>
      </c>
      <c r="BE80" s="33" cm="1">
        <f t="array" ref="BE80">$G$13+VLOOKUP($R80,武学奇术!$A:$ZZ,14,FALSE)+SUM(_xlfn.XLOOKUP(S80:AG80,增益!$A:$A,增益!$N:$N,0))</f>
        <v>0</v>
      </c>
      <c r="BF80">
        <f t="shared" si="40"/>
        <v>605.472</v>
      </c>
      <c r="BG80">
        <f t="shared" si="41"/>
        <v>1725.468</v>
      </c>
      <c r="BH80" s="33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0.08</v>
      </c>
      <c r="BI80" s="33" cm="1">
        <f t="array" ref="BI80">$G$14+VLOOKUP($R80,武学奇术!$A:$ZZ,16,FALSE)+SUM(_xlfn.XLOOKUP(S80:AG80,增益!$A:$A,增益!$P:$P,0))</f>
        <v>0.24</v>
      </c>
      <c r="BJ80" s="27">
        <f>MIN(IF(VLOOKUP($R80,武学奇术!$A:$ZZ,23,FALSE)=1,100%,$B$8),100%)</f>
        <v>1</v>
      </c>
      <c r="BK80" s="27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+MIN(IF(VLOOKUP($R80,武学奇术!$A:$ZZ,32,FALSE)=1,IF(VLOOKUP($R80,武学奇术!$A:$ZZ,24,FALSE)=1,100%,MIN(40%,$B$10+VLOOKUP($R80,武学奇术!$A:$ZZ,19,FALSE)+SUM(_xlfn.XLOOKUP(S80:AG80,增益!$A:$A,增益!$S:$S,0)))+$B$12+SUM(_xlfn.XLOOKUP(S80:AG80,增益!$A:$A,增益!$V:$V,0))),0),12%)</f>
        <v>0.9036</v>
      </c>
      <c r="BL80" s="27" cm="1">
        <f t="array" ref="BL80">1+$B$13+VLOOKUP($R80,武学奇术!$A:$ZZ,18,FALSE)+SUM(_xlfn.XLOOKUP(S80:AG80,增益!$A:$A,增益!$R:$R,0))</f>
        <v>1.64</v>
      </c>
      <c r="BM80" s="27" cm="1">
        <f t="array" ref="BM80">MAX(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-IF(VLOOKUP($R80,武学奇术!$A:$ZZ,32,FALSE)=1,12%,0),0)</f>
        <v>0.0929</v>
      </c>
      <c r="BN80" s="27" cm="1">
        <f t="array" ref="BN80">1+$B$14+VLOOKUP($R80,武学奇术!$A:$ZZ,20,FALSE)+SUM(_xlfn.XLOOKUP(S80:AG80,增益!$A:$A,增益!$T:$T,0))</f>
        <v>1.35</v>
      </c>
      <c r="BO80" s="27">
        <f t="shared" si="31"/>
        <v>0.9036</v>
      </c>
      <c r="BP80" s="27">
        <f t="shared" si="32"/>
        <v>0.00350000000000006</v>
      </c>
      <c r="BQ80" s="27">
        <f>IF(VLOOKUP($R80,武学奇术!$A:$ZZ,22,FALSE)=1,0,(1-$BJ80))*(1-$BM80)</f>
        <v>0</v>
      </c>
      <c r="BR80" s="27" cm="1">
        <f t="array" ref="BR80">SUM(_xlfn.XLOOKUP(S80:AG80,增益!$A:$A,增益!$W:$W,0))+$I$5</f>
        <v>0.11</v>
      </c>
    </row>
    <row r="81" spans="1:70">
      <c r="A81" t="s">
        <v>165</v>
      </c>
      <c r="B81">
        <v>1</v>
      </c>
      <c r="D81" s="40"/>
      <c r="F81" s="40"/>
      <c r="K81">
        <f>$L81*VLOOKUP($R81,武学奇术!$A:$ZZ,31,FALSE)</f>
        <v>75646.9422787511</v>
      </c>
      <c r="L81" s="39">
        <f t="shared" si="33"/>
        <v>58189.9555990393</v>
      </c>
      <c r="M81" s="39">
        <f>((($AO81+($AP81-$AO81)*IF(VLOOKUP($R81,武学奇术!$A:$ZZ,31,FALSE)=1,$F$18,0.5))*$AI81+$AJ81)*(1+$AQ81)*(1+$AR81)+(($AT81+($AU81-$AT81)*IF(VLOOKUP($R81,武学奇术!$A:$ZZ,31,FALSE)=1,$F$18,0.5))*IF($G$1="鸣金",$AK81,$AI81)+IF($G$1="鸣金",$AL81*1.5,0))*(1+$AV81)*(1+$AW81)+(($AX81+($AY81-$AX81)*IF(VLOOKUP($R81,武学奇术!$A:$ZZ,31,FALSE)=1,$F$18,0.5))*IF($G$1="裂石",$AK81,$AI81)+IF($G$1="裂石",$AL81*1.5,0))*(1+$AZ81)*(1+$BA81)+(($BB81+($BC81-$BB81)*IF(VLOOKUP($R81,武学奇术!$A:$ZZ,31,FALSE)=1,$F$18,0.5))*IF($G$1="牵丝",$AK81,$AI81)+IF($G$1="牵丝",$AL81*1.5,0))*(1+$BD81)*(1+$BE81)+(($BF81+($BG81-$BF81)*IF(VLOOKUP($R81,武学奇术!$A:$ZZ,31,FALSE)=1,$F$18,0.5))*IF($G$1="破竹",$AK81,$AI81)+IF($G$1="破竹",$AL81*1.5,0))*(1+$BH81)*(1+$BI81))*(1+$AM81)*$BL81*$Q81*(1+IF(VLOOKUP($R81,武学奇术!$A:$ZZ,30,FALSE)="蓄力技",$B$21,0))*(1+$BR81)</f>
        <v>59410.3812046017</v>
      </c>
      <c r="N81" s="39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蓄力技",$B$21,0))*(1+$BR81)</f>
        <v>47357.9275040926</v>
      </c>
      <c r="O81" s="39">
        <f>((($AO81+($AP81-$AO81)*IF(VLOOKUP($R81,武学奇术!$A:$ZZ,31,FALSE)=1,$F$18,0.5))*$AI81+$AJ81)*(1+$AQ81)*(1+$AR81)+(($AT81+($AU81-$AT81)*IF(VLOOKUP($R81,武学奇术!$A:$ZZ,31,FALSE)=1,$F$18,0.5))*IF($G$1="鸣金",$AK81,$AI81)+IF($G$1="鸣金",$AL81*1.5,0))*(1+$AV81)*(1+$AW81)+(($AX81+($AY81-$AX81)*IF(VLOOKUP($R81,武学奇术!$A:$ZZ,31,FALSE)=1,$F$18,0.5))*IF($G$1="裂石",$AK81,$AI81)+IF($G$1="裂石",$AL81*1.5,0))*(1+$AZ81)*(1+$BA81)+(($BB81+($BC81-$BB81)*IF(VLOOKUP($R81,武学奇术!$A:$ZZ,31,FALSE)=1,$F$18,0.5))*IF($G$1="牵丝",$AK81,$AI81)+IF($G$1="牵丝",$AL81*1.5,0))*(1+$BD81)*(1+$BE81)+(($BF81+($BG81-$BF81)*IF(VLOOKUP($R81,武学奇术!$A:$ZZ,31,FALSE)=1,$F$18,0.5))*IF($G$1="破竹",$AK81,$AI81)+IF($G$1="破竹",$AL81*1.5,0))*(1+$BH81)*(1+$BI81))*(1+$AM81)*$Q81*(1+IF(VLOOKUP($R81,武学奇术!$A:$ZZ,30,FALSE)="蓄力技",$B$21,0))*(1+$BR81)</f>
        <v>30623.9078374236</v>
      </c>
      <c r="P81" s="39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蓄力技",$B$21,0))*(1+$BR81)</f>
        <v>26167.8693755192</v>
      </c>
      <c r="Q81" s="40">
        <v>1</v>
      </c>
      <c r="R81" s="41" t="s">
        <v>104</v>
      </c>
      <c r="S81" s="41" t="s">
        <v>72</v>
      </c>
      <c r="T81" s="41" t="s">
        <v>73</v>
      </c>
      <c r="U81" s="41" t="s">
        <v>73</v>
      </c>
      <c r="V81" s="41" t="s">
        <v>73</v>
      </c>
      <c r="W81" s="41" t="s">
        <v>73</v>
      </c>
      <c r="X81" s="41" t="s">
        <v>73</v>
      </c>
      <c r="Y81" s="41" t="s">
        <v>164</v>
      </c>
      <c r="Z81" s="41" t="s">
        <v>83</v>
      </c>
      <c r="AA81" s="41" t="s">
        <v>105</v>
      </c>
      <c r="AB81" s="41" t="s">
        <v>84</v>
      </c>
      <c r="AC81" s="41" t="s">
        <v>73</v>
      </c>
      <c r="AD81" s="41" t="s">
        <v>73</v>
      </c>
      <c r="AE81" s="41" t="s">
        <v>76</v>
      </c>
      <c r="AF81" s="41" t="s">
        <v>77</v>
      </c>
      <c r="AG81" s="41" t="s">
        <v>78</v>
      </c>
      <c r="AH81" t="str">
        <f>VLOOKUP($R81,武学奇术!$A:$ZZ,25,FALSE)</f>
        <v>绳镖</v>
      </c>
      <c r="AI81" s="27">
        <f>VLOOKUP($R81,武学奇术!$A:$ZZ,26,FALSE)</f>
        <v>2.19912</v>
      </c>
      <c r="AJ81" s="28">
        <f>VLOOKUP($R81,武学奇术!$A:$ZZ,27,FALSE)*(1+IF(OR($AH81=$F$4,$AH81=$F$5),$B$22,0))</f>
        <v>0</v>
      </c>
      <c r="AK81" s="27">
        <f>VLOOKUP($R81,武学奇术!$A:$ZZ,28,FALSE)</f>
        <v>3.29868</v>
      </c>
      <c r="AL81" s="28">
        <f>VLOOKUP($R81,武学奇术!$A:$ZZ,29,FALSE)*(1+IF(OR($AH81=$F$4,$AH81=$F$5),$B$22,0))</f>
        <v>0</v>
      </c>
      <c r="AM81" s="27" cm="1">
        <f t="array" ref="AM81">$G$3+IFERROR(VLOOKUP($AH81,$F$4:$G$7,2,FALSE),0)+VLOOKUP($R81,武学奇术!$A:$ZZ,2,FALSE)+SUM(_xlfn.XLOOKUP($S81:$AG81,增益!$A:$A,增益!$B:$B,0))</f>
        <v>0.5789</v>
      </c>
      <c r="AN81" s="27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3888.382</v>
      </c>
      <c r="AP81" cm="1">
        <f t="array" ref="AP81">$E$10*(1+$AN81)+VLOOKUP($R81,武学奇术!$A:$ZZ,4,FALSE)+SUM(_xlfn.XLOOKUP($S81:$AG81,增益!$A:$A,增益!$D:$D,0))-$I$2</f>
        <v>3888.382</v>
      </c>
      <c r="AQ81" s="33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0.307</v>
      </c>
      <c r="AR81" s="33" cm="1">
        <f t="array" ref="AR81">$G$10+VLOOKUP($R81,武学奇术!$A:$ZZ,7,FALSE)+SUM(_xlfn.XLOOKUP(S81:AG81,增益!$A:$A,增益!$G:$G,0))</f>
        <v>0.09</v>
      </c>
      <c r="AS81" s="27" cm="1">
        <f t="array" ref="AS81">VLOOKUP($R81,武学奇术!$A:$ZZ,8,FALSE)+SUM(_xlfn.XLOOKUP(S81:AG81,增益!$A:$A,增益!$H:$H,0))</f>
        <v>0</v>
      </c>
      <c r="AT81">
        <f t="shared" si="34"/>
        <v>0</v>
      </c>
      <c r="AU81">
        <f t="shared" si="35"/>
        <v>0</v>
      </c>
      <c r="AV81" s="33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-0.08</v>
      </c>
      <c r="AW81" s="33" cm="1">
        <f t="array" ref="AW81">$G$11+VLOOKUP($R81,武学奇术!$A:$ZZ,10,FALSE)+SUM(_xlfn.XLOOKUP(S81:AG81,增益!$A:$A,增益!$J:$J,0))</f>
        <v>0</v>
      </c>
      <c r="AX81">
        <f t="shared" si="36"/>
        <v>0</v>
      </c>
      <c r="AY81">
        <f t="shared" si="37"/>
        <v>0</v>
      </c>
      <c r="AZ81" s="33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-0.08</v>
      </c>
      <c r="BA81" s="33" cm="1">
        <f t="array" ref="BA81">$G$12+VLOOKUP($R81,武学奇术!$A:$ZZ,12,FALSE)+SUM(_xlfn.XLOOKUP(S81:AG81,增益!$A:$A,增益!$L:$L,0))</f>
        <v>0</v>
      </c>
      <c r="BB81">
        <f t="shared" si="38"/>
        <v>0</v>
      </c>
      <c r="BC81">
        <f t="shared" si="39"/>
        <v>0</v>
      </c>
      <c r="BD81" s="33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-0.08</v>
      </c>
      <c r="BE81" s="33" cm="1">
        <f t="array" ref="BE81">$G$13+VLOOKUP($R81,武学奇术!$A:$ZZ,14,FALSE)+SUM(_xlfn.XLOOKUP(S81:AG81,增益!$A:$A,增益!$N:$N,0))</f>
        <v>0</v>
      </c>
      <c r="BF81">
        <f t="shared" si="40"/>
        <v>605.472</v>
      </c>
      <c r="BG81">
        <f t="shared" si="41"/>
        <v>1725.468</v>
      </c>
      <c r="BH81" s="33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0.11</v>
      </c>
      <c r="BI81" s="33" cm="1">
        <f t="array" ref="BI81">$G$14+VLOOKUP($R81,武学奇术!$A:$ZZ,16,FALSE)+SUM(_xlfn.XLOOKUP(S81:AG81,增益!$A:$A,增益!$P:$P,0))</f>
        <v>0.24</v>
      </c>
      <c r="BJ81" s="27">
        <f>MIN(IF(VLOOKUP($R81,武学奇术!$A:$ZZ,23,FALSE)=1,100%,$B$8),100%)</f>
        <v>1</v>
      </c>
      <c r="BK81" s="27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+MIN(IF(VLOOKUP($R81,武学奇术!$A:$ZZ,32,FALSE)=1,IF(VLOOKUP($R81,武学奇术!$A:$ZZ,24,FALSE)=1,100%,MIN(40%,$B$10+VLOOKUP($R81,武学奇术!$A:$ZZ,19,FALSE)+SUM(_xlfn.XLOOKUP(S81:AG81,增益!$A:$A,增益!$S:$S,0)))+$B$12+SUM(_xlfn.XLOOKUP(S81:AG81,增益!$A:$A,增益!$V:$V,0))),0),12%)</f>
        <v>0.9036</v>
      </c>
      <c r="BL81" s="27" cm="1">
        <f t="array" ref="BL81">1+$B$13+VLOOKUP($R81,武学奇术!$A:$ZZ,18,FALSE)+SUM(_xlfn.XLOOKUP(S81:AG81,增益!$A:$A,增益!$R:$R,0))</f>
        <v>1.94</v>
      </c>
      <c r="BM81" s="27" cm="1">
        <f t="array" ref="BM81">MAX(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-IF(VLOOKUP($R81,武学奇术!$A:$ZZ,32,FALSE)=1,12%,0),0)</f>
        <v>0.0929</v>
      </c>
      <c r="BN81" s="27" cm="1">
        <f t="array" ref="BN81">1+$B$14+VLOOKUP($R81,武学奇术!$A:$ZZ,20,FALSE)+SUM(_xlfn.XLOOKUP(S81:AG81,增益!$A:$A,增益!$T:$T,0))</f>
        <v>1.35</v>
      </c>
      <c r="BO81" s="27">
        <f t="shared" si="31"/>
        <v>0.9036</v>
      </c>
      <c r="BP81" s="27">
        <f t="shared" si="32"/>
        <v>0.00350000000000006</v>
      </c>
      <c r="BQ81" s="27">
        <f>IF(VLOOKUP($R81,武学奇术!$A:$ZZ,22,FALSE)=1,0,(1-$BJ81))*(1-$BM81)</f>
        <v>0</v>
      </c>
      <c r="BR81" s="27" cm="1">
        <f t="array" ref="BR81">SUM(_xlfn.XLOOKUP(S81:AG81,增益!$A:$A,增益!$W:$W,0))+$I$5</f>
        <v>0.11</v>
      </c>
    </row>
    <row r="82" spans="1:70">
      <c r="A82" t="s">
        <v>189</v>
      </c>
      <c r="B82">
        <v>10</v>
      </c>
      <c r="K82">
        <f>$L82*VLOOKUP($R82,武学奇术!$A:$ZZ,31,FALSE)</f>
        <v>33644.6700621079</v>
      </c>
      <c r="L82" s="39">
        <f t="shared" si="33"/>
        <v>33644.6700621079</v>
      </c>
      <c r="M82" s="39">
        <f>((($AO82+($AP82-$AO82)*IF(VLOOKUP($R82,武学奇术!$A:$ZZ,31,FALSE)=1,$F$18,0.5))*$AI82+$AJ82)*(1+$AQ82)*(1+$AR82)+(($AT82+($AU82-$AT82)*IF(VLOOKUP($R82,武学奇术!$A:$ZZ,31,FALSE)=1,$F$18,0.5))*IF($G$1="鸣金",$AK82,$AI82)+IF($G$1="鸣金",$AL82*1.5,0))*(1+$AV82)*(1+$AW82)+(($AX82+($AY82-$AX82)*IF(VLOOKUP($R82,武学奇术!$A:$ZZ,31,FALSE)=1,$F$18,0.5))*IF($G$1="裂石",$AK82,$AI82)+IF($G$1="裂石",$AL82*1.5,0))*(1+$AZ82)*(1+$BA82)+(($BB82+($BC82-$BB82)*IF(VLOOKUP($R82,武学奇术!$A:$ZZ,31,FALSE)=1,$F$18,0.5))*IF($G$1="牵丝",$AK82,$AI82)+IF($G$1="牵丝",$AL82*1.5,0))*(1+$BD82)*(1+$BE82)+(($BF82+($BG82-$BF82)*IF(VLOOKUP($R82,武学奇术!$A:$ZZ,31,FALSE)=1,$F$18,0.5))*IF($G$1="破竹",$AK82,$AI82)+IF($G$1="破竹",$AL82*1.5,0))*(1+$BH82)*(1+$BI82))*(1+$AM82)*$BL82*$Q82*(1+IF(VLOOKUP($R82,武学奇术!$A:$ZZ,30,FALSE)="蓄力技",$B$21,0))*(1+$BR82)</f>
        <v>33916.0072518263</v>
      </c>
      <c r="N82" s="39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蓄力技",$B$21,0))*(1+$BR82)</f>
        <v>31493.9094355662</v>
      </c>
      <c r="O82" s="39">
        <f>((($AO82+($AP82-$AO82)*IF(VLOOKUP($R82,武学奇术!$A:$ZZ,31,FALSE)=1,$F$18,0.5))*$AI82+$AJ82)*(1+$AQ82)*(1+$AR82)+(($AT82+($AU82-$AT82)*IF(VLOOKUP($R82,武学奇术!$A:$ZZ,31,FALSE)=1,$F$18,0.5))*IF($G$1="鸣金",$AK82,$AI82)+IF($G$1="鸣金",$AL82*1.5,0))*(1+$AV82)*(1+$AW82)+(($AX82+($AY82-$AX82)*IF(VLOOKUP($R82,武学奇术!$A:$ZZ,31,FALSE)=1,$F$18,0.5))*IF($G$1="裂石",$AK82,$AI82)+IF($G$1="裂石",$AL82*1.5,0))*(1+$AZ82)*(1+$BA82)+(($BB82+($BC82-$BB82)*IF(VLOOKUP($R82,武学奇术!$A:$ZZ,31,FALSE)=1,$F$18,0.5))*IF($G$1="牵丝",$AK82,$AI82)+IF($G$1="牵丝",$AL82*1.5,0))*(1+$BD82)*(1+$BE82)+(($BF82+($BG82-$BF82)*IF(VLOOKUP($R82,武学奇术!$A:$ZZ,31,FALSE)=1,$F$18,0.5))*IF($G$1="破竹",$AK82,$AI82)+IF($G$1="破竹",$AL82*1.5,0))*(1+$BH82)*(1+$BI82))*(1+$AM82)*$Q82*(1+IF(VLOOKUP($R82,武学奇术!$A:$ZZ,30,FALSE)="蓄力技",$B$21,0))*(1+$BR82)</f>
        <v>20680.4922267233</v>
      </c>
      <c r="P82" s="39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蓄力技",$B$21,0))*(1+$BR82)</f>
        <v>18032.1626493236</v>
      </c>
      <c r="Q82" s="40">
        <v>1</v>
      </c>
      <c r="R82" s="41" t="s">
        <v>159</v>
      </c>
      <c r="S82" s="41" t="s">
        <v>72</v>
      </c>
      <c r="T82" s="41" t="s">
        <v>73</v>
      </c>
      <c r="U82" s="41" t="s">
        <v>73</v>
      </c>
      <c r="V82" s="41" t="s">
        <v>73</v>
      </c>
      <c r="W82" s="41" t="s">
        <v>73</v>
      </c>
      <c r="X82" s="41" t="s">
        <v>73</v>
      </c>
      <c r="Y82" s="41" t="s">
        <v>164</v>
      </c>
      <c r="Z82" s="41" t="s">
        <v>83</v>
      </c>
      <c r="AA82" s="41" t="s">
        <v>73</v>
      </c>
      <c r="AB82" s="41" t="s">
        <v>84</v>
      </c>
      <c r="AC82" s="41" t="s">
        <v>73</v>
      </c>
      <c r="AD82" s="41" t="s">
        <v>73</v>
      </c>
      <c r="AE82" s="41" t="s">
        <v>76</v>
      </c>
      <c r="AF82" s="41" t="s">
        <v>77</v>
      </c>
      <c r="AG82" s="41" t="s">
        <v>78</v>
      </c>
      <c r="AH82" t="str">
        <f>VLOOKUP($R82,武学奇术!$A:$ZZ,25,FALSE)</f>
        <v>绳镖</v>
      </c>
      <c r="AI82" s="27">
        <f>VLOOKUP($R82,武学奇术!$A:$ZZ,26,FALSE)</f>
        <v>1.6584</v>
      </c>
      <c r="AJ82" s="28">
        <f>VLOOKUP($R82,武学奇术!$A:$ZZ,27,FALSE)*(1+IF(OR($AH82=$F$4,$AH82=$F$5),$B$22,0))</f>
        <v>687</v>
      </c>
      <c r="AK82" s="27">
        <f>VLOOKUP($R82,武学奇术!$A:$ZZ,28,FALSE)</f>
        <v>2.4876</v>
      </c>
      <c r="AL82" s="28">
        <f>VLOOKUP($R82,武学奇术!$A:$ZZ,29,FALSE)*(1+IF(OR($AH82=$F$4,$AH82=$F$5),$B$22,0))</f>
        <v>375</v>
      </c>
      <c r="AM82" s="27" cm="1">
        <f t="array" ref="AM82">$G$3+IFERROR(VLOOKUP($AH82,$F$4:$G$7,2,FALSE),0)+VLOOKUP($R82,武学奇术!$A:$ZZ,2,FALSE)+SUM(_xlfn.XLOOKUP($S82:$AG82,增益!$A:$A,增益!$B:$B,0))</f>
        <v>0.2789</v>
      </c>
      <c r="AN82" s="27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3888.382</v>
      </c>
      <c r="AP82" cm="1">
        <f t="array" ref="AP82">$E$10*(1+$AN82)+VLOOKUP($R82,武学奇术!$A:$ZZ,4,FALSE)+SUM(_xlfn.XLOOKUP($S82:$AG82,增益!$A:$A,增益!$D:$D,0))-$I$2</f>
        <v>3888.382</v>
      </c>
      <c r="AQ82" s="33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0.277</v>
      </c>
      <c r="AR82" s="33" cm="1">
        <f t="array" ref="AR82">$G$10+VLOOKUP($R82,武学奇术!$A:$ZZ,7,FALSE)+SUM(_xlfn.XLOOKUP(S82:AG82,增益!$A:$A,增益!$G:$G,0))</f>
        <v>0.09</v>
      </c>
      <c r="AS82" s="27" cm="1">
        <f t="array" ref="AS82">VLOOKUP($R82,武学奇术!$A:$ZZ,8,FALSE)+SUM(_xlfn.XLOOKUP(S82:AG82,增益!$A:$A,增益!$H:$H,0))</f>
        <v>0</v>
      </c>
      <c r="AT82">
        <f t="shared" si="34"/>
        <v>0</v>
      </c>
      <c r="AU82">
        <f t="shared" si="35"/>
        <v>0</v>
      </c>
      <c r="AV82" s="33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-0.14</v>
      </c>
      <c r="AW82" s="33" cm="1">
        <f t="array" ref="AW82">$G$11+VLOOKUP($R82,武学奇术!$A:$ZZ,10,FALSE)+SUM(_xlfn.XLOOKUP(S82:AG82,增益!$A:$A,增益!$J:$J,0))</f>
        <v>0</v>
      </c>
      <c r="AX82">
        <f t="shared" si="36"/>
        <v>0</v>
      </c>
      <c r="AY82">
        <f t="shared" si="37"/>
        <v>0</v>
      </c>
      <c r="AZ82" s="33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-0.14</v>
      </c>
      <c r="BA82" s="33" cm="1">
        <f t="array" ref="BA82">$G$12+VLOOKUP($R82,武学奇术!$A:$ZZ,12,FALSE)+SUM(_xlfn.XLOOKUP(S82:AG82,增益!$A:$A,增益!$L:$L,0))</f>
        <v>0</v>
      </c>
      <c r="BB82">
        <f t="shared" si="38"/>
        <v>0</v>
      </c>
      <c r="BC82">
        <f t="shared" si="39"/>
        <v>0</v>
      </c>
      <c r="BD82" s="33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-0.14</v>
      </c>
      <c r="BE82" s="33" cm="1">
        <f t="array" ref="BE82">$G$13+VLOOKUP($R82,武学奇术!$A:$ZZ,14,FALSE)+SUM(_xlfn.XLOOKUP(S82:AG82,增益!$A:$A,增益!$N:$N,0))</f>
        <v>0</v>
      </c>
      <c r="BF82">
        <f t="shared" si="40"/>
        <v>605.472</v>
      </c>
      <c r="BG82">
        <f t="shared" si="41"/>
        <v>1725.468</v>
      </c>
      <c r="BH82" s="33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0.08</v>
      </c>
      <c r="BI82" s="33" cm="1">
        <f t="array" ref="BI82">$G$14+VLOOKUP($R82,武学奇术!$A:$ZZ,16,FALSE)+SUM(_xlfn.XLOOKUP(S82:AG82,增益!$A:$A,增益!$P:$P,0))</f>
        <v>0.24</v>
      </c>
      <c r="BJ82" s="27">
        <f>MIN(IF(VLOOKUP($R82,武学奇术!$A:$ZZ,23,FALSE)=1,100%,$B$8),100%)</f>
        <v>1</v>
      </c>
      <c r="BK82" s="27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+MIN(IF(VLOOKUP($R82,武学奇术!$A:$ZZ,32,FALSE)=1,IF(VLOOKUP($R82,武学奇术!$A:$ZZ,24,FALSE)=1,100%,MIN(40%,$B$10+VLOOKUP($R82,武学奇术!$A:$ZZ,19,FALSE)+SUM(_xlfn.XLOOKUP(S82:AG82,增益!$A:$A,增益!$S:$S,0)))+$B$12+SUM(_xlfn.XLOOKUP(S82:AG82,增益!$A:$A,增益!$V:$V,0))),0),12%)</f>
        <v>0.9036</v>
      </c>
      <c r="BL82" s="27" cm="1">
        <f t="array" ref="BL82">1+$B$13+VLOOKUP($R82,武学奇术!$A:$ZZ,18,FALSE)+SUM(_xlfn.XLOOKUP(S82:AG82,增益!$A:$A,增益!$R:$R,0))</f>
        <v>1.64</v>
      </c>
      <c r="BM82" s="27" cm="1">
        <f t="array" ref="BM82">MAX(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-IF(VLOOKUP($R82,武学奇术!$A:$ZZ,32,FALSE)=1,12%,0),0)</f>
        <v>0.0929</v>
      </c>
      <c r="BN82" s="27" cm="1">
        <f t="array" ref="BN82">1+$B$14+VLOOKUP($R82,武学奇术!$A:$ZZ,20,FALSE)+SUM(_xlfn.XLOOKUP(S82:AG82,增益!$A:$A,增益!$T:$T,0))</f>
        <v>1.35</v>
      </c>
      <c r="BO82" s="27">
        <f t="shared" si="31"/>
        <v>0.9036</v>
      </c>
      <c r="BP82" s="27">
        <f t="shared" si="32"/>
        <v>0.00350000000000006</v>
      </c>
      <c r="BQ82" s="27">
        <f>IF(VLOOKUP($R82,武学奇术!$A:$ZZ,22,FALSE)=1,0,(1-$BJ82))*(1-$BM82)</f>
        <v>0</v>
      </c>
      <c r="BR82" s="27" cm="1">
        <f t="array" ref="BR82">SUM(_xlfn.XLOOKUP(S82:AG82,增益!$A:$A,增益!$W:$W,0))+$I$5</f>
        <v>0.11</v>
      </c>
    </row>
    <row r="83" spans="1:70">
      <c r="A83" s="4" t="s">
        <v>173</v>
      </c>
      <c r="B83" s="91">
        <v>0.7</v>
      </c>
      <c r="K83">
        <f>$L83*VLOOKUP($R83,武学奇术!$A:$ZZ,31,FALSE)</f>
        <v>91833.8619506058</v>
      </c>
      <c r="L83" s="39">
        <f t="shared" si="33"/>
        <v>70641.4322696968</v>
      </c>
      <c r="M83" s="39">
        <f>((($AO83+($AP83-$AO83)*IF(VLOOKUP($R83,武学奇术!$A:$ZZ,31,FALSE)=1,$F$18,0.5))*$AI83+$AJ83)*(1+$AQ83)*(1+$AR83)+(($AT83+($AU83-$AT83)*IF(VLOOKUP($R83,武学奇术!$A:$ZZ,31,FALSE)=1,$F$18,0.5))*IF($G$1="鸣金",$AK83,$AI83)+IF($G$1="鸣金",$AL83*1.5,0))*(1+$AV83)*(1+$AW83)+(($AX83+($AY83-$AX83)*IF(VLOOKUP($R83,武学奇术!$A:$ZZ,31,FALSE)=1,$F$18,0.5))*IF($G$1="裂石",$AK83,$AI83)+IF($G$1="裂石",$AL83*1.5,0))*(1+$AZ83)*(1+$BA83)+(($BB83+($BC83-$BB83)*IF(VLOOKUP($R83,武学奇术!$A:$ZZ,31,FALSE)=1,$F$18,0.5))*IF($G$1="牵丝",$AK83,$AI83)+IF($G$1="牵丝",$AL83*1.5,0))*(1+$BD83)*(1+$BE83)+(($BF83+($BG83-$BF83)*IF(VLOOKUP($R83,武学奇术!$A:$ZZ,31,FALSE)=1,$F$18,0.5))*IF($G$1="破竹",$AK83,$AI83)+IF($G$1="破竹",$AL83*1.5,0))*(1+$BH83)*(1+$BI83))*(1+$AM83)*$BL83*$Q83*(1+IF(VLOOKUP($R83,武学奇术!$A:$ZZ,30,FALSE)="蓄力技",$B$21,0))*(1+$BR83)</f>
        <v>72126.6796737784</v>
      </c>
      <c r="N83" s="39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蓄力技",$B$21,0))*(1+$BR83)</f>
        <v>57455.7487992566</v>
      </c>
      <c r="O83" s="39">
        <f>((($AO83+($AP83-$AO83)*IF(VLOOKUP($R83,武学奇术!$A:$ZZ,31,FALSE)=1,$F$18,0.5))*$AI83+$AJ83)*(1+$AQ83)*(1+$AR83)+(($AT83+($AU83-$AT83)*IF(VLOOKUP($R83,武学奇术!$A:$ZZ,31,FALSE)=1,$F$18,0.5))*IF($G$1="鸣金",$AK83,$AI83)+IF($G$1="鸣金",$AL83*1.5,0))*(1+$AV83)*(1+$AW83)+(($AX83+($AY83-$AX83)*IF(VLOOKUP($R83,武学奇术!$A:$ZZ,31,FALSE)=1,$F$18,0.5))*IF($G$1="裂石",$AK83,$AI83)+IF($G$1="裂石",$AL83*1.5,0))*(1+$AZ83)*(1+$BA83)+(($BB83+($BC83-$BB83)*IF(VLOOKUP($R83,武学奇术!$A:$ZZ,31,FALSE)=1,$F$18,0.5))*IF($G$1="牵丝",$AK83,$AI83)+IF($G$1="牵丝",$AL83*1.5,0))*(1+$BD83)*(1+$BE83)+(($BF83+($BG83-$BF83)*IF(VLOOKUP($R83,武学奇术!$A:$ZZ,31,FALSE)=1,$F$18,0.5))*IF($G$1="破竹",$AK83,$AI83)+IF($G$1="破竹",$AL83*1.5,0))*(1+$BH83)*(1+$BI83))*(1+$AM83)*$Q83*(1+IF(VLOOKUP($R83,武学奇术!$A:$ZZ,30,FALSE)="蓄力技",$B$21,0))*(1+$BR83)</f>
        <v>37178.7008627724</v>
      </c>
      <c r="P83" s="39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蓄力技",$B$21,0))*(1+$BR83)</f>
        <v>31797.5878001694</v>
      </c>
      <c r="Q83" s="40">
        <v>1</v>
      </c>
      <c r="R83" s="41" t="s">
        <v>110</v>
      </c>
      <c r="S83" s="41" t="s">
        <v>81</v>
      </c>
      <c r="T83" s="41" t="s">
        <v>73</v>
      </c>
      <c r="U83" s="41" t="s">
        <v>73</v>
      </c>
      <c r="V83" s="41" t="s">
        <v>73</v>
      </c>
      <c r="W83" s="41" t="s">
        <v>73</v>
      </c>
      <c r="X83" s="41" t="s">
        <v>73</v>
      </c>
      <c r="Y83" s="41" t="s">
        <v>164</v>
      </c>
      <c r="Z83" s="41" t="s">
        <v>83</v>
      </c>
      <c r="AA83" s="41" t="s">
        <v>105</v>
      </c>
      <c r="AB83" s="41" t="s">
        <v>90</v>
      </c>
      <c r="AC83" s="41" t="s">
        <v>73</v>
      </c>
      <c r="AD83" s="41" t="s">
        <v>73</v>
      </c>
      <c r="AE83" s="41" t="s">
        <v>76</v>
      </c>
      <c r="AF83" s="41" t="s">
        <v>77</v>
      </c>
      <c r="AG83" s="41" t="s">
        <v>78</v>
      </c>
      <c r="AH83" t="str">
        <f>VLOOKUP($R83,武学奇术!$A:$ZZ,25,FALSE)</f>
        <v>绳镖</v>
      </c>
      <c r="AI83" s="27">
        <f>VLOOKUP($R83,武学奇术!$A:$ZZ,26,FALSE)</f>
        <v>2.638944</v>
      </c>
      <c r="AJ83" s="28">
        <f>VLOOKUP($R83,武学奇术!$A:$ZZ,27,FALSE)*(1+IF(OR($AH83=$F$4,$AH83=$F$5),$B$22,0))</f>
        <v>0</v>
      </c>
      <c r="AK83" s="27">
        <f>VLOOKUP($R83,武学奇术!$A:$ZZ,28,FALSE)</f>
        <v>3.958416</v>
      </c>
      <c r="AL83" s="28">
        <f>VLOOKUP($R83,武学奇术!$A:$ZZ,29,FALSE)*(1+IF(OR($AH83=$F$4,$AH83=$F$5),$B$22,0))</f>
        <v>0</v>
      </c>
      <c r="AM83" s="27" cm="1">
        <f t="array" ref="AM83">$G$3+IFERROR(VLOOKUP($AH83,$F$4:$G$7,2,FALSE),0)+VLOOKUP($R83,武学奇术!$A:$ZZ,2,FALSE)+SUM(_xlfn.XLOOKUP($S83:$AG83,增益!$A:$A,增益!$B:$B,0))</f>
        <v>0.5889</v>
      </c>
      <c r="AN83" s="27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3888.382</v>
      </c>
      <c r="AP83" cm="1">
        <f t="array" ref="AP83">$E$10*(1+$AN83)+VLOOKUP($R83,武学奇术!$A:$ZZ,4,FALSE)+SUM(_xlfn.XLOOKUP($S83:$AG83,增益!$A:$A,增益!$D:$D,0))-$I$2</f>
        <v>3888.382</v>
      </c>
      <c r="AQ83" s="33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0.317</v>
      </c>
      <c r="AR83" s="33" cm="1">
        <f t="array" ref="AR83">$G$10+VLOOKUP($R83,武学奇术!$A:$ZZ,7,FALSE)+SUM(_xlfn.XLOOKUP(S83:AG83,增益!$A:$A,增益!$G:$G,0))</f>
        <v>0.09</v>
      </c>
      <c r="AS83" s="27" cm="1">
        <f t="array" ref="AS83">VLOOKUP($R83,武学奇术!$A:$ZZ,8,FALSE)+SUM(_xlfn.XLOOKUP(S83:AG83,增益!$A:$A,增益!$H:$H,0))</f>
        <v>0</v>
      </c>
      <c r="AT83">
        <f t="shared" si="34"/>
        <v>0</v>
      </c>
      <c r="AU83">
        <f t="shared" si="35"/>
        <v>0</v>
      </c>
      <c r="AV83" s="33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-0.08</v>
      </c>
      <c r="AW83" s="33" cm="1">
        <f t="array" ref="AW83">$G$11+VLOOKUP($R83,武学奇术!$A:$ZZ,10,FALSE)+SUM(_xlfn.XLOOKUP(S83:AG83,增益!$A:$A,增益!$J:$J,0))</f>
        <v>0</v>
      </c>
      <c r="AX83">
        <f t="shared" si="36"/>
        <v>0</v>
      </c>
      <c r="AY83">
        <f t="shared" si="37"/>
        <v>0</v>
      </c>
      <c r="AZ83" s="33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-0.08</v>
      </c>
      <c r="BA83" s="33" cm="1">
        <f t="array" ref="BA83">$G$12+VLOOKUP($R83,武学奇术!$A:$ZZ,12,FALSE)+SUM(_xlfn.XLOOKUP(S83:AG83,增益!$A:$A,增益!$L:$L,0))</f>
        <v>0</v>
      </c>
      <c r="BB83">
        <f t="shared" si="38"/>
        <v>0</v>
      </c>
      <c r="BC83">
        <f t="shared" si="39"/>
        <v>0</v>
      </c>
      <c r="BD83" s="33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-0.08</v>
      </c>
      <c r="BE83" s="33" cm="1">
        <f t="array" ref="BE83">$G$13+VLOOKUP($R83,武学奇术!$A:$ZZ,14,FALSE)+SUM(_xlfn.XLOOKUP(S83:AG83,增益!$A:$A,增益!$N:$N,0))</f>
        <v>0</v>
      </c>
      <c r="BF83">
        <f t="shared" si="40"/>
        <v>605.472</v>
      </c>
      <c r="BG83">
        <f t="shared" si="41"/>
        <v>1725.468</v>
      </c>
      <c r="BH83" s="33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0.11</v>
      </c>
      <c r="BI83" s="33" cm="1">
        <f t="array" ref="BI83">$G$14+VLOOKUP($R83,武学奇术!$A:$ZZ,16,FALSE)+SUM(_xlfn.XLOOKUP(S83:AG83,增益!$A:$A,增益!$P:$P,0))</f>
        <v>0.24</v>
      </c>
      <c r="BJ83" s="27">
        <f>MIN(IF(VLOOKUP($R83,武学奇术!$A:$ZZ,23,FALSE)=1,100%,$B$8),100%)</f>
        <v>1</v>
      </c>
      <c r="BK83" s="27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+MIN(IF(VLOOKUP($R83,武学奇术!$A:$ZZ,32,FALSE)=1,IF(VLOOKUP($R83,武学奇术!$A:$ZZ,24,FALSE)=1,100%,MIN(40%,$B$10+VLOOKUP($R83,武学奇术!$A:$ZZ,19,FALSE)+SUM(_xlfn.XLOOKUP(S83:AG83,增益!$A:$A,增益!$S:$S,0)))+$B$12+SUM(_xlfn.XLOOKUP(S83:AG83,增益!$A:$A,增益!$V:$V,0))),0),12%)</f>
        <v>0.9036</v>
      </c>
      <c r="BL83" s="27" cm="1">
        <f t="array" ref="BL83">1+$B$13+VLOOKUP($R83,武学奇术!$A:$ZZ,18,FALSE)+SUM(_xlfn.XLOOKUP(S83:AG83,增益!$A:$A,增益!$R:$R,0))</f>
        <v>1.94</v>
      </c>
      <c r="BM83" s="27" cm="1">
        <f t="array" ref="BM83">MAX(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-IF(VLOOKUP($R83,武学奇术!$A:$ZZ,32,FALSE)=1,12%,0),0)</f>
        <v>0.0929</v>
      </c>
      <c r="BN83" s="27" cm="1">
        <f t="array" ref="BN83">1+$B$14+VLOOKUP($R83,武学奇术!$A:$ZZ,20,FALSE)+SUM(_xlfn.XLOOKUP(S83:AG83,增益!$A:$A,增益!$T:$T,0))</f>
        <v>1.35</v>
      </c>
      <c r="BO83" s="27">
        <f t="shared" si="31"/>
        <v>0.9036</v>
      </c>
      <c r="BP83" s="27">
        <f t="shared" si="32"/>
        <v>0.00350000000000006</v>
      </c>
      <c r="BQ83" s="27">
        <f>IF(VLOOKUP($R83,武学奇术!$A:$ZZ,22,FALSE)=1,0,(1-$BJ83))*(1-$BM83)</f>
        <v>0</v>
      </c>
      <c r="BR83" s="27" cm="1">
        <f t="array" ref="BR83">SUM(_xlfn.XLOOKUP(S83:AG83,增益!$A:$A,增益!$W:$W,0))+$I$5</f>
        <v>0.11</v>
      </c>
    </row>
    <row r="84" spans="1:70">
      <c r="A84" s="4" t="s">
        <v>174</v>
      </c>
      <c r="B84" s="4">
        <v>0.8</v>
      </c>
      <c r="K84">
        <f>$L84*VLOOKUP($R84,武学奇术!$A:$ZZ,31,FALSE)</f>
        <v>800835.487504275</v>
      </c>
      <c r="L84" s="39">
        <f t="shared" si="33"/>
        <v>947734.304738787</v>
      </c>
      <c r="M84" s="39">
        <f>((($AO84+($AP84-$AO84)*IF(VLOOKUP($R84,武学奇术!$A:$ZZ,31,FALSE)=1,$F$18,0.5))*$AI84+$AJ84)*(1+$AQ84)*(1+$AR84)+(($AT84+($AU84-$AT84)*IF(VLOOKUP($R84,武学奇术!$A:$ZZ,31,FALSE)=1,$F$18,0.5))*IF($G$1="鸣金",$AK84,$AI84)+IF($G$1="鸣金",$AL84*1.5,0))*(1+$AV84)*(1+$AW84)+(($AX84+($AY84-$AX84)*IF(VLOOKUP($R84,武学奇术!$A:$ZZ,31,FALSE)=1,$F$18,0.5))*IF($G$1="裂石",$AK84,$AI84)+IF($G$1="裂石",$AL84*1.5,0))*(1+$AZ84)*(1+$BA84)+(($BB84+($BC84-$BB84)*IF(VLOOKUP($R84,武学奇术!$A:$ZZ,31,FALSE)=1,$F$18,0.5))*IF($G$1="牵丝",$AK84,$AI84)+IF($G$1="牵丝",$AL84*1.5,0))*(1+$BD84)*(1+$BE84)+(($BF84+($BG84-$BF84)*IF(VLOOKUP($R84,武学奇术!$A:$ZZ,31,FALSE)=1,$F$18,0.5))*IF($G$1="破竹",$AK84,$AI84)+IF($G$1="破竹",$AL84*1.5,0))*(1+$BH84)*(1+$BI84))*(1+$AM84)*$BL84*$Q84*(1+IF(VLOOKUP($R84,武学奇术!$A:$ZZ,30,FALSE)="蓄力技",$B$21,0))*(1+$BR84)</f>
        <v>949667.414350006</v>
      </c>
      <c r="N84" s="39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蓄力技",$B$21,0))*(1+$BR84)</f>
        <v>600783.771893824</v>
      </c>
      <c r="O84" s="39">
        <f>((($AO84+($AP84-$AO84)*IF(VLOOKUP($R84,武学奇术!$A:$ZZ,31,FALSE)=1,$F$18,0.5))*$AI84+$AJ84)*(1+$AQ84)*(1+$AR84)+(($AT84+($AU84-$AT84)*IF(VLOOKUP($R84,武学奇术!$A:$ZZ,31,FALSE)=1,$F$18,0.5))*IF($G$1="鸣金",$AK84,$AI84)+IF($G$1="鸣金",$AL84*1.5,0))*(1+$AV84)*(1+$AW84)+(($AX84+($AY84-$AX84)*IF(VLOOKUP($R84,武学奇术!$A:$ZZ,31,FALSE)=1,$F$18,0.5))*IF($G$1="裂石",$AK84,$AI84)+IF($G$1="裂石",$AL84*1.5,0))*(1+$AZ84)*(1+$BA84)+(($BB84+($BC84-$BB84)*IF(VLOOKUP($R84,武学奇术!$A:$ZZ,31,FALSE)=1,$F$18,0.5))*IF($G$1="牵丝",$AK84,$AI84)+IF($G$1="牵丝",$AL84*1.5,0))*(1+$BD84)*(1+$BE84)+(($BF84+($BG84-$BF84)*IF(VLOOKUP($R84,武学奇术!$A:$ZZ,31,FALSE)=1,$F$18,0.5))*IF($G$1="破竹",$AK84,$AI84)+IF($G$1="破竹",$AL84*1.5,0))*(1+$BH84)*(1+$BI84))*(1+$AM84)*$Q84*(1+IF(VLOOKUP($R84,武学奇术!$A:$ZZ,30,FALSE)="蓄力技",$B$21,0))*(1+$BR84)</f>
        <v>397350.382573224</v>
      </c>
      <c r="P84" s="39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蓄力技",$B$21,0))*(1+$BR84)</f>
        <v>349675.748928801</v>
      </c>
      <c r="Q84" s="40">
        <v>1</v>
      </c>
      <c r="R84" s="41" t="s">
        <v>131</v>
      </c>
      <c r="S84" s="41" t="s">
        <v>81</v>
      </c>
      <c r="T84" s="41" t="s">
        <v>132</v>
      </c>
      <c r="U84" s="41" t="s">
        <v>73</v>
      </c>
      <c r="V84" s="41" t="s">
        <v>73</v>
      </c>
      <c r="W84" s="41" t="s">
        <v>73</v>
      </c>
      <c r="X84" s="41" t="s">
        <v>73</v>
      </c>
      <c r="Y84" s="41" t="s">
        <v>164</v>
      </c>
      <c r="Z84" s="41" t="s">
        <v>83</v>
      </c>
      <c r="AA84" s="41" t="s">
        <v>105</v>
      </c>
      <c r="AB84" s="41" t="s">
        <v>90</v>
      </c>
      <c r="AC84" s="41" t="s">
        <v>73</v>
      </c>
      <c r="AD84" s="41" t="s">
        <v>73</v>
      </c>
      <c r="AE84" s="41" t="s">
        <v>76</v>
      </c>
      <c r="AF84" s="41" t="s">
        <v>77</v>
      </c>
      <c r="AG84" s="41" t="s">
        <v>78</v>
      </c>
      <c r="AH84" t="str">
        <f>VLOOKUP($R84,武学奇术!$A:$ZZ,25,FALSE)</f>
        <v>拳甲</v>
      </c>
      <c r="AI84" s="27">
        <f>VLOOKUP($R84,武学奇术!$A:$ZZ,26,FALSE)</f>
        <v>16.8107</v>
      </c>
      <c r="AJ84" s="28">
        <f>VLOOKUP($R84,武学奇术!$A:$ZZ,27,FALSE)*(1+IF(OR($AH84=$F$4,$AH84=$F$5),$B$22,0))</f>
        <v>6970.5</v>
      </c>
      <c r="AK84" s="27">
        <f>VLOOKUP($R84,武学奇术!$A:$ZZ,28,FALSE)</f>
        <v>25.2161</v>
      </c>
      <c r="AL84" s="28">
        <f>VLOOKUP($R84,武学奇术!$A:$ZZ,29,FALSE)*(1+IF(OR($AH84=$F$4,$AH84=$F$5),$B$22,0))</f>
        <v>3799.5</v>
      </c>
      <c r="AM84" s="27" cm="1">
        <f t="array" ref="AM84">$G$3+IFERROR(VLOOKUP($AH84,$F$4:$G$7,2,FALSE),0)+VLOOKUP($R84,武学奇术!$A:$ZZ,2,FALSE)+SUM(_xlfn.XLOOKUP($S84:$AG84,增益!$A:$A,增益!$B:$B,0))</f>
        <v>0.6741</v>
      </c>
      <c r="AN84" s="27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3888.382</v>
      </c>
      <c r="AP84" cm="1">
        <f t="array" ref="AP84">$E$10*(1+$AN84)+VLOOKUP($R84,武学奇术!$A:$ZZ,4,FALSE)+SUM(_xlfn.XLOOKUP($S84:$AG84,增益!$A:$A,增益!$D:$D,0))-$I$2</f>
        <v>3888.382</v>
      </c>
      <c r="AQ84" s="33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0.442</v>
      </c>
      <c r="AR84" s="33" cm="1">
        <f t="array" ref="AR84">$G$10+VLOOKUP($R84,武学奇术!$A:$ZZ,7,FALSE)+SUM(_xlfn.XLOOKUP(S84:AG84,增益!$A:$A,增益!$G:$G,0))</f>
        <v>0.09</v>
      </c>
      <c r="AS84" s="27" cm="1">
        <f t="array" ref="AS84">VLOOKUP($R84,武学奇术!$A:$ZZ,8,FALSE)+SUM(_xlfn.XLOOKUP(S84:AG84,增益!$A:$A,增益!$H:$H,0))</f>
        <v>0</v>
      </c>
      <c r="AT84">
        <f t="shared" si="34"/>
        <v>0</v>
      </c>
      <c r="AU84">
        <f t="shared" si="35"/>
        <v>0</v>
      </c>
      <c r="AV84" s="33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-0.08</v>
      </c>
      <c r="AW84" s="33" cm="1">
        <f t="array" ref="AW84">$G$11+VLOOKUP($R84,武学奇术!$A:$ZZ,10,FALSE)+SUM(_xlfn.XLOOKUP(S84:AG84,增益!$A:$A,增益!$J:$J,0))</f>
        <v>0</v>
      </c>
      <c r="AX84">
        <f t="shared" si="36"/>
        <v>0</v>
      </c>
      <c r="AY84">
        <f t="shared" si="37"/>
        <v>0</v>
      </c>
      <c r="AZ84" s="33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-0.08</v>
      </c>
      <c r="BA84" s="33" cm="1">
        <f t="array" ref="BA84">$G$12+VLOOKUP($R84,武学奇术!$A:$ZZ,12,FALSE)+SUM(_xlfn.XLOOKUP(S84:AG84,增益!$A:$A,增益!$L:$L,0))</f>
        <v>0</v>
      </c>
      <c r="BB84">
        <f t="shared" si="38"/>
        <v>0</v>
      </c>
      <c r="BC84">
        <f t="shared" si="39"/>
        <v>0</v>
      </c>
      <c r="BD84" s="33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-0.08</v>
      </c>
      <c r="BE84" s="33" cm="1">
        <f t="array" ref="BE84">$G$13+VLOOKUP($R84,武学奇术!$A:$ZZ,14,FALSE)+SUM(_xlfn.XLOOKUP(S84:AG84,增益!$A:$A,增益!$N:$N,0))</f>
        <v>0</v>
      </c>
      <c r="BF84">
        <f t="shared" si="40"/>
        <v>605.472</v>
      </c>
      <c r="BG84">
        <f t="shared" si="41"/>
        <v>1725.468</v>
      </c>
      <c r="BH84" s="33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0.11</v>
      </c>
      <c r="BI84" s="33" cm="1">
        <f t="array" ref="BI84">$G$14+VLOOKUP($R84,武学奇术!$A:$ZZ,16,FALSE)+SUM(_xlfn.XLOOKUP(S84:AG84,增益!$A:$A,增益!$P:$P,0))</f>
        <v>0.24</v>
      </c>
      <c r="BJ84" s="27">
        <f>MIN(IF(VLOOKUP($R84,武学奇术!$A:$ZZ,23,FALSE)=1,100%,$B$8),100%)</f>
        <v>1</v>
      </c>
      <c r="BK84" s="27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+MIN(IF(VLOOKUP($R84,武学奇术!$A:$ZZ,32,FALSE)=1,IF(VLOOKUP($R84,武学奇术!$A:$ZZ,24,FALSE)=1,100%,MIN(40%,$B$10+VLOOKUP($R84,武学奇术!$A:$ZZ,19,FALSE)+SUM(_xlfn.XLOOKUP(S84:AG84,增益!$A:$A,增益!$S:$S,0)))+$B$12+SUM(_xlfn.XLOOKUP(S84:AG84,增益!$A:$A,增益!$V:$V,0))),0),12%)</f>
        <v>0.9965</v>
      </c>
      <c r="BL84" s="27" cm="1">
        <f t="array" ref="BL84">1+$B$13+VLOOKUP($R84,武学奇术!$A:$ZZ,18,FALSE)+SUM(_xlfn.XLOOKUP(S84:AG84,增益!$A:$A,增益!$R:$R,0))</f>
        <v>2.39</v>
      </c>
      <c r="BM84" s="27" cm="1">
        <f t="array" ref="BM84">MAX(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-IF(VLOOKUP($R84,武学奇术!$A:$ZZ,32,FALSE)=1,12%,0),0)</f>
        <v>0</v>
      </c>
      <c r="BN84" s="27" cm="1">
        <f t="array" ref="BN84">1+$B$14+VLOOKUP($R84,武学奇术!$A:$ZZ,20,FALSE)+SUM(_xlfn.XLOOKUP(S84:AG84,增益!$A:$A,增益!$T:$T,0))</f>
        <v>1.35</v>
      </c>
      <c r="BO84" s="27">
        <f t="shared" si="31"/>
        <v>0.9965</v>
      </c>
      <c r="BP84" s="27">
        <f t="shared" si="32"/>
        <v>0.00350000000000006</v>
      </c>
      <c r="BQ84" s="27">
        <f>IF(VLOOKUP($R84,武学奇术!$A:$ZZ,22,FALSE)=1,0,(1-$BJ84))*(1-$BM84)</f>
        <v>0</v>
      </c>
      <c r="BR84" s="27" cm="1">
        <f t="array" ref="BR84">SUM(_xlfn.XLOOKUP(S84:AG84,增益!$A:$A,增益!$W:$W,0))+$I$5</f>
        <v>0.11</v>
      </c>
    </row>
    <row r="85" spans="1:70">
      <c r="A85" s="4" t="s">
        <v>175</v>
      </c>
      <c r="B85" s="4">
        <v>2.15</v>
      </c>
      <c r="K85">
        <f>$L85*VLOOKUP($R85,武学奇术!$A:$ZZ,31,FALSE)</f>
        <v>182444.977823405</v>
      </c>
      <c r="L85" s="39">
        <f t="shared" si="33"/>
        <v>364889.955646811</v>
      </c>
      <c r="M85" s="39">
        <f>((($AO85+($AP85-$AO85)*IF(VLOOKUP($R85,武学奇术!$A:$ZZ,31,FALSE)=1,$F$18,0.5))*$AI85+$AJ85)*(1+$AQ85)*(1+$AR85)+(($AT85+($AU85-$AT85)*IF(VLOOKUP($R85,武学奇术!$A:$ZZ,31,FALSE)=1,$F$18,0.5))*IF($G$1="鸣金",$AK85,$AI85)+IF($G$1="鸣金",$AL85*1.5,0))*(1+$AV85)*(1+$AW85)+(($AX85+($AY85-$AX85)*IF(VLOOKUP($R85,武学奇术!$A:$ZZ,31,FALSE)=1,$F$18,0.5))*IF($G$1="裂石",$AK85,$AI85)+IF($G$1="裂石",$AL85*1.5,0))*(1+$AZ85)*(1+$BA85)+(($BB85+($BC85-$BB85)*IF(VLOOKUP($R85,武学奇术!$A:$ZZ,31,FALSE)=1,$F$18,0.5))*IF($G$1="牵丝",$AK85,$AI85)+IF($G$1="牵丝",$AL85*1.5,0))*(1+$BD85)*(1+$BE85)+(($BF85+($BG85-$BF85)*IF(VLOOKUP($R85,武学奇术!$A:$ZZ,31,FALSE)=1,$F$18,0.5))*IF($G$1="破竹",$AK85,$AI85)+IF($G$1="破竹",$AL85*1.5,0))*(1+$BH85)*(1+$BI85))*(1+$AM85)*$BL85*$Q85*(1+IF(VLOOKUP($R85,武学奇术!$A:$ZZ,30,FALSE)="蓄力技",$B$21,0))*(1+$BR85)</f>
        <v>365634.227830239</v>
      </c>
      <c r="N85" s="39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蓄力技",$B$21,0))*(1+$BR85)</f>
        <v>231308.892817332</v>
      </c>
      <c r="O85" s="39">
        <f>((($AO85+($AP85-$AO85)*IF(VLOOKUP($R85,武学奇术!$A:$ZZ,31,FALSE)=1,$F$18,0.5))*$AI85+$AJ85)*(1+$AQ85)*(1+$AR85)+(($AT85+($AU85-$AT85)*IF(VLOOKUP($R85,武学奇术!$A:$ZZ,31,FALSE)=1,$F$18,0.5))*IF($G$1="鸣金",$AK85,$AI85)+IF($G$1="鸣金",$AL85*1.5,0))*(1+$AV85)*(1+$AW85)+(($AX85+($AY85-$AX85)*IF(VLOOKUP($R85,武学奇术!$A:$ZZ,31,FALSE)=1,$F$18,0.5))*IF($G$1="裂石",$AK85,$AI85)+IF($G$1="裂石",$AL85*1.5,0))*(1+$AZ85)*(1+$BA85)+(($BB85+($BC85-$BB85)*IF(VLOOKUP($R85,武学奇术!$A:$ZZ,31,FALSE)=1,$F$18,0.5))*IF($G$1="牵丝",$AK85,$AI85)+IF($G$1="牵丝",$AL85*1.5,0))*(1+$BD85)*(1+$BE85)+(($BF85+($BG85-$BF85)*IF(VLOOKUP($R85,武学奇术!$A:$ZZ,31,FALSE)=1,$F$18,0.5))*IF($G$1="破竹",$AK85,$AI85)+IF($G$1="破竹",$AL85*1.5,0))*(1+$BH85)*(1+$BI85))*(1+$AM85)*$Q85*(1+IF(VLOOKUP($R85,武学奇术!$A:$ZZ,30,FALSE)="蓄力技",$B$21,0))*(1+$BR85)</f>
        <v>152985.032564954</v>
      </c>
      <c r="P85" s="39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蓄力技",$B$21,0))*(1+$BR85)</f>
        <v>134630.144524476</v>
      </c>
      <c r="Q85" s="40">
        <v>1</v>
      </c>
      <c r="R85" s="41" t="s">
        <v>138</v>
      </c>
      <c r="S85" s="41" t="s">
        <v>81</v>
      </c>
      <c r="T85" s="41" t="s">
        <v>132</v>
      </c>
      <c r="U85" s="41" t="s">
        <v>73</v>
      </c>
      <c r="V85" s="41" t="s">
        <v>73</v>
      </c>
      <c r="W85" s="41" t="s">
        <v>73</v>
      </c>
      <c r="X85" s="41" t="s">
        <v>73</v>
      </c>
      <c r="Y85" s="41" t="s">
        <v>164</v>
      </c>
      <c r="Z85" s="41" t="s">
        <v>83</v>
      </c>
      <c r="AA85" s="41" t="s">
        <v>105</v>
      </c>
      <c r="AB85" s="41" t="s">
        <v>90</v>
      </c>
      <c r="AC85" s="41" t="s">
        <v>73</v>
      </c>
      <c r="AD85" s="41" t="s">
        <v>73</v>
      </c>
      <c r="AE85" s="41" t="s">
        <v>76</v>
      </c>
      <c r="AF85" s="41" t="s">
        <v>77</v>
      </c>
      <c r="AG85" s="41" t="s">
        <v>78</v>
      </c>
      <c r="AH85" t="str">
        <f>VLOOKUP($R85,武学奇术!$A:$ZZ,25,FALSE)</f>
        <v>拳甲</v>
      </c>
      <c r="AI85" s="27">
        <f>VLOOKUP($R85,武学奇术!$A:$ZZ,26,FALSE)</f>
        <v>6.4722</v>
      </c>
      <c r="AJ85" s="28">
        <f>VLOOKUP($R85,武学奇术!$A:$ZZ,27,FALSE)*(1+IF(OR($AH85=$F$4,$AH85=$F$5),$B$22,0))</f>
        <v>2683.8</v>
      </c>
      <c r="AK85" s="27">
        <f>VLOOKUP($R85,武学奇术!$A:$ZZ,28,FALSE)</f>
        <v>9.70828</v>
      </c>
      <c r="AL85" s="28">
        <f>VLOOKUP($R85,武学奇术!$A:$ZZ,29,FALSE)*(1+IF(OR($AH85=$F$4,$AH85=$F$5),$B$22,0))</f>
        <v>1463.4</v>
      </c>
      <c r="AM85" s="27" cm="1">
        <f t="array" ref="AM85">$G$3+IFERROR(VLOOKUP($AH85,$F$4:$G$7,2,FALSE),0)+VLOOKUP($R85,武学奇术!$A:$ZZ,2,FALSE)+SUM(_xlfn.XLOOKUP($S85:$AG85,增益!$A:$A,增益!$B:$B,0))</f>
        <v>0.6741</v>
      </c>
      <c r="AN85" s="27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3888.382</v>
      </c>
      <c r="AP85" cm="1">
        <f t="array" ref="AP85">$E$10*(1+$AN85)+VLOOKUP($R85,武学奇术!$A:$ZZ,4,FALSE)+SUM(_xlfn.XLOOKUP($S85:$AG85,增益!$A:$A,增益!$D:$D,0))-$I$2</f>
        <v>3888.382</v>
      </c>
      <c r="AQ85" s="33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0.442</v>
      </c>
      <c r="AR85" s="33" cm="1">
        <f t="array" ref="AR85">$G$10+VLOOKUP($R85,武学奇术!$A:$ZZ,7,FALSE)+SUM(_xlfn.XLOOKUP(S85:AG85,增益!$A:$A,增益!$G:$G,0))</f>
        <v>0.09</v>
      </c>
      <c r="AS85" s="27" cm="1">
        <f t="array" ref="AS85">VLOOKUP($R85,武学奇术!$A:$ZZ,8,FALSE)+SUM(_xlfn.XLOOKUP(S85:AG85,增益!$A:$A,增益!$H:$H,0))</f>
        <v>0</v>
      </c>
      <c r="AT85">
        <f t="shared" si="34"/>
        <v>0</v>
      </c>
      <c r="AU85">
        <f t="shared" si="35"/>
        <v>0</v>
      </c>
      <c r="AV85" s="33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-0.08</v>
      </c>
      <c r="AW85" s="33" cm="1">
        <f t="array" ref="AW85">$G$11+VLOOKUP($R85,武学奇术!$A:$ZZ,10,FALSE)+SUM(_xlfn.XLOOKUP(S85:AG85,增益!$A:$A,增益!$J:$J,0))</f>
        <v>0</v>
      </c>
      <c r="AX85">
        <f t="shared" si="36"/>
        <v>0</v>
      </c>
      <c r="AY85">
        <f t="shared" si="37"/>
        <v>0</v>
      </c>
      <c r="AZ85" s="33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-0.08</v>
      </c>
      <c r="BA85" s="33" cm="1">
        <f t="array" ref="BA85">$G$12+VLOOKUP($R85,武学奇术!$A:$ZZ,12,FALSE)+SUM(_xlfn.XLOOKUP(S85:AG85,增益!$A:$A,增益!$L:$L,0))</f>
        <v>0</v>
      </c>
      <c r="BB85">
        <f t="shared" si="38"/>
        <v>0</v>
      </c>
      <c r="BC85">
        <f t="shared" si="39"/>
        <v>0</v>
      </c>
      <c r="BD85" s="33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-0.08</v>
      </c>
      <c r="BE85" s="33" cm="1">
        <f t="array" ref="BE85">$G$13+VLOOKUP($R85,武学奇术!$A:$ZZ,14,FALSE)+SUM(_xlfn.XLOOKUP(S85:AG85,增益!$A:$A,增益!$N:$N,0))</f>
        <v>0</v>
      </c>
      <c r="BF85">
        <f t="shared" si="40"/>
        <v>605.472</v>
      </c>
      <c r="BG85">
        <f t="shared" si="41"/>
        <v>1725.468</v>
      </c>
      <c r="BH85" s="33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0.11</v>
      </c>
      <c r="BI85" s="33" cm="1">
        <f t="array" ref="BI85">$G$14+VLOOKUP($R85,武学奇术!$A:$ZZ,16,FALSE)+SUM(_xlfn.XLOOKUP(S85:AG85,增益!$A:$A,增益!$P:$P,0))</f>
        <v>0.24</v>
      </c>
      <c r="BJ85" s="27">
        <f>MIN(IF(VLOOKUP($R85,武学奇术!$A:$ZZ,23,FALSE)=1,100%,$B$8),100%)</f>
        <v>1</v>
      </c>
      <c r="BK85" s="27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+MIN(IF(VLOOKUP($R85,武学奇术!$A:$ZZ,32,FALSE)=1,IF(VLOOKUP($R85,武学奇术!$A:$ZZ,24,FALSE)=1,100%,MIN(40%,$B$10+VLOOKUP($R85,武学奇术!$A:$ZZ,19,FALSE)+SUM(_xlfn.XLOOKUP(S85:AG85,增益!$A:$A,增益!$S:$S,0)))+$B$12+SUM(_xlfn.XLOOKUP(S85:AG85,增益!$A:$A,增益!$V:$V,0))),0),12%)</f>
        <v>0.9965</v>
      </c>
      <c r="BL85" s="27" cm="1">
        <f t="array" ref="BL85">1+$B$13+VLOOKUP($R85,武学奇术!$A:$ZZ,18,FALSE)+SUM(_xlfn.XLOOKUP(S85:AG85,增益!$A:$A,增益!$R:$R,0))</f>
        <v>2.39</v>
      </c>
      <c r="BM85" s="27" cm="1">
        <f t="array" ref="BM85">MAX(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-IF(VLOOKUP($R85,武学奇术!$A:$ZZ,32,FALSE)=1,12%,0),0)</f>
        <v>0</v>
      </c>
      <c r="BN85" s="27" cm="1">
        <f t="array" ref="BN85">1+$B$14+VLOOKUP($R85,武学奇术!$A:$ZZ,20,FALSE)+SUM(_xlfn.XLOOKUP(S85:AG85,增益!$A:$A,增益!$T:$T,0))</f>
        <v>1.35</v>
      </c>
      <c r="BO85" s="27">
        <f t="shared" si="31"/>
        <v>0.9965</v>
      </c>
      <c r="BP85" s="27">
        <f t="shared" si="32"/>
        <v>0.00350000000000006</v>
      </c>
      <c r="BQ85" s="27">
        <f>IF(VLOOKUP($R85,武学奇术!$A:$ZZ,22,FALSE)=1,0,(1-$BJ85))*(1-$BM85)</f>
        <v>0</v>
      </c>
      <c r="BR85" s="27" cm="1">
        <f t="array" ref="BR85">SUM(_xlfn.XLOOKUP(S85:AG85,增益!$A:$A,增益!$W:$W,0))+$I$5</f>
        <v>0.11</v>
      </c>
    </row>
    <row r="86" spans="1:70">
      <c r="A86" s="4" t="s">
        <v>163</v>
      </c>
      <c r="B86" s="4">
        <v>0.9</v>
      </c>
      <c r="K86">
        <f>$L86*VLOOKUP($R86,武学奇术!$A:$ZZ,31,FALSE)</f>
        <v>29628.9516614739</v>
      </c>
      <c r="L86" s="39">
        <f t="shared" si="33"/>
        <v>29628.9516614739</v>
      </c>
      <c r="M86" s="39">
        <f>((($AO86+($AP86-$AO86)*IF(VLOOKUP($R86,武学奇术!$A:$ZZ,31,FALSE)=1,$F$18,0.5))*$AI86+$AJ86)*(1+$AQ86)*(1+$AR86)+(($AT86+($AU86-$AT86)*IF(VLOOKUP($R86,武学奇术!$A:$ZZ,31,FALSE)=1,$F$18,0.5))*IF($G$1="鸣金",$AK86,$AI86)+IF($G$1="鸣金",$AL86*1.5,0))*(1+$AV86)*(1+$AW86)+(($AX86+($AY86-$AX86)*IF(VLOOKUP($R86,武学奇术!$A:$ZZ,31,FALSE)=1,$F$18,0.5))*IF($G$1="裂石",$AK86,$AI86)+IF($G$1="裂石",$AL86*1.5,0))*(1+$AZ86)*(1+$BA86)+(($BB86+($BC86-$BB86)*IF(VLOOKUP($R86,武学奇术!$A:$ZZ,31,FALSE)=1,$F$18,0.5))*IF($G$1="牵丝",$AK86,$AI86)+IF($G$1="牵丝",$AL86*1.5,0))*(1+$BD86)*(1+$BE86)+(($BF86+($BG86-$BF86)*IF(VLOOKUP($R86,武学奇术!$A:$ZZ,31,FALSE)=1,$F$18,0.5))*IF($G$1="破竹",$AK86,$AI86)+IF($G$1="破竹",$AL86*1.5,0))*(1+$BH86)*(1+$BI86))*(1+$AM86)*$BL86*$Q86*(1+IF(VLOOKUP($R86,武学奇术!$A:$ZZ,30,FALSE)="蓄力技",$B$21,0))*(1+$BR86)</f>
        <v>30243.0040006686</v>
      </c>
      <c r="N86" s="39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蓄力技",$B$21,0))*(1+$BR86)</f>
        <v>24169.7274866041</v>
      </c>
      <c r="O86" s="39">
        <f>((($AO86+($AP86-$AO86)*IF(VLOOKUP($R86,武学奇术!$A:$ZZ,31,FALSE)=1,$F$18,0.5))*$AI86+$AJ86)*(1+$AQ86)*(1+$AR86)+(($AT86+($AU86-$AT86)*IF(VLOOKUP($R86,武学奇术!$A:$ZZ,31,FALSE)=1,$F$18,0.5))*IF($G$1="鸣金",$AK86,$AI86)+IF($G$1="鸣金",$AL86*1.5,0))*(1+$AV86)*(1+$AW86)+(($AX86+($AY86-$AX86)*IF(VLOOKUP($R86,武学奇术!$A:$ZZ,31,FALSE)=1,$F$18,0.5))*IF($G$1="裂石",$AK86,$AI86)+IF($G$1="裂石",$AL86*1.5,0))*(1+$AZ86)*(1+$BA86)+(($BB86+($BC86-$BB86)*IF(VLOOKUP($R86,武学奇术!$A:$ZZ,31,FALSE)=1,$F$18,0.5))*IF($G$1="牵丝",$AK86,$AI86)+IF($G$1="牵丝",$AL86*1.5,0))*(1+$BD86)*(1+$BE86)+(($BF86+($BG86-$BF86)*IF(VLOOKUP($R86,武学奇术!$A:$ZZ,31,FALSE)=1,$F$18,0.5))*IF($G$1="破竹",$AK86,$AI86)+IF($G$1="破竹",$AL86*1.5,0))*(1+$BH86)*(1+$BI86))*(1+$AM86)*$Q86*(1+IF(VLOOKUP($R86,武学奇术!$A:$ZZ,30,FALSE)="蓄力技",$B$21,0))*(1+$BR86)</f>
        <v>16001.5894183432</v>
      </c>
      <c r="P86" s="39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蓄力技",$B$21,0))*(1+$BR86)</f>
        <v>14099.6769947574</v>
      </c>
      <c r="Q86" s="40">
        <v>1</v>
      </c>
      <c r="R86" s="41" t="s">
        <v>151</v>
      </c>
      <c r="S86" s="41" t="s">
        <v>88</v>
      </c>
      <c r="T86" s="41" t="s">
        <v>132</v>
      </c>
      <c r="U86" s="41" t="s">
        <v>73</v>
      </c>
      <c r="V86" s="41" t="s">
        <v>73</v>
      </c>
      <c r="W86" s="41" t="s">
        <v>73</v>
      </c>
      <c r="X86" s="41" t="s">
        <v>73</v>
      </c>
      <c r="Y86" s="41" t="s">
        <v>164</v>
      </c>
      <c r="Z86" s="41" t="s">
        <v>83</v>
      </c>
      <c r="AA86" s="41" t="s">
        <v>73</v>
      </c>
      <c r="AB86" s="41" t="s">
        <v>90</v>
      </c>
      <c r="AC86" s="41" t="s">
        <v>73</v>
      </c>
      <c r="AD86" s="41" t="s">
        <v>73</v>
      </c>
      <c r="AE86" s="41" t="s">
        <v>76</v>
      </c>
      <c r="AF86" s="41" t="s">
        <v>77</v>
      </c>
      <c r="AG86" s="41" t="s">
        <v>78</v>
      </c>
      <c r="AH86" t="str">
        <f>VLOOKUP($R86,武学奇术!$A:$ZZ,25,FALSE)</f>
        <v>拳甲</v>
      </c>
      <c r="AI86" s="27">
        <f>VLOOKUP($R86,武学奇术!$A:$ZZ,26,FALSE)</f>
        <v>1.1005</v>
      </c>
      <c r="AJ86" s="28">
        <f>VLOOKUP($R86,武学奇术!$A:$ZZ,27,FALSE)*(1+IF(OR($AH86=$F$4,$AH86=$F$5),$B$22,0))</f>
        <v>457.5</v>
      </c>
      <c r="AK86" s="27">
        <f>VLOOKUP($R86,武学奇术!$A:$ZZ,28,FALSE)</f>
        <v>1.6507</v>
      </c>
      <c r="AL86" s="28">
        <f>VLOOKUP($R86,武学奇术!$A:$ZZ,29,FALSE)*(1+IF(OR($AH86=$F$4,$AH86=$F$5),$B$22,0))</f>
        <v>247.5</v>
      </c>
      <c r="AM86" s="27" cm="1">
        <f t="array" ref="AM86">$G$3+IFERROR(VLOOKUP($AH86,$F$4:$G$7,2,FALSE),0)+VLOOKUP($R86,武学奇术!$A:$ZZ,2,FALSE)+SUM(_xlfn.XLOOKUP($S86:$AG86,增益!$A:$A,增益!$B:$B,0))</f>
        <v>0.3841</v>
      </c>
      <c r="AN86" s="27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3888.382</v>
      </c>
      <c r="AP86" cm="1">
        <f t="array" ref="AP86">$E$10*(1+$AN86)+VLOOKUP($R86,武学奇术!$A:$ZZ,4,FALSE)+SUM(_xlfn.XLOOKUP($S86:$AG86,增益!$A:$A,增益!$D:$D,0))-$I$2</f>
        <v>3888.382</v>
      </c>
      <c r="AQ86" s="33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0.422</v>
      </c>
      <c r="AR86" s="33" cm="1">
        <f t="array" ref="AR86">$G$10+VLOOKUP($R86,武学奇术!$A:$ZZ,7,FALSE)+SUM(_xlfn.XLOOKUP(S86:AG86,增益!$A:$A,增益!$G:$G,0))</f>
        <v>0.09</v>
      </c>
      <c r="AS86" s="27" cm="1">
        <f t="array" ref="AS86">VLOOKUP($R86,武学奇术!$A:$ZZ,8,FALSE)+SUM(_xlfn.XLOOKUP(S86:AG86,增益!$A:$A,增益!$H:$H,0))</f>
        <v>0</v>
      </c>
      <c r="AT86">
        <f t="shared" si="34"/>
        <v>0</v>
      </c>
      <c r="AU86">
        <f t="shared" si="35"/>
        <v>0</v>
      </c>
      <c r="AV86" s="33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-0.14</v>
      </c>
      <c r="AW86" s="33" cm="1">
        <f t="array" ref="AW86">$G$11+VLOOKUP($R86,武学奇术!$A:$ZZ,10,FALSE)+SUM(_xlfn.XLOOKUP(S86:AG86,增益!$A:$A,增益!$J:$J,0))</f>
        <v>0</v>
      </c>
      <c r="AX86">
        <f t="shared" si="36"/>
        <v>0</v>
      </c>
      <c r="AY86">
        <f t="shared" si="37"/>
        <v>0</v>
      </c>
      <c r="AZ86" s="33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-0.14</v>
      </c>
      <c r="BA86" s="33" cm="1">
        <f t="array" ref="BA86">$G$12+VLOOKUP($R86,武学奇术!$A:$ZZ,12,FALSE)+SUM(_xlfn.XLOOKUP(S86:AG86,增益!$A:$A,增益!$L:$L,0))</f>
        <v>0</v>
      </c>
      <c r="BB86">
        <f t="shared" si="38"/>
        <v>0</v>
      </c>
      <c r="BC86">
        <f t="shared" si="39"/>
        <v>0</v>
      </c>
      <c r="BD86" s="33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-0.14</v>
      </c>
      <c r="BE86" s="33" cm="1">
        <f t="array" ref="BE86">$G$13+VLOOKUP($R86,武学奇术!$A:$ZZ,14,FALSE)+SUM(_xlfn.XLOOKUP(S86:AG86,增益!$A:$A,增益!$N:$N,0))</f>
        <v>0</v>
      </c>
      <c r="BF86">
        <f t="shared" si="40"/>
        <v>605.472</v>
      </c>
      <c r="BG86">
        <f t="shared" si="41"/>
        <v>1725.468</v>
      </c>
      <c r="BH86" s="33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0.08</v>
      </c>
      <c r="BI86" s="33" cm="1">
        <f t="array" ref="BI86">$G$14+VLOOKUP($R86,武学奇术!$A:$ZZ,16,FALSE)+SUM(_xlfn.XLOOKUP(S86:AG86,增益!$A:$A,增益!$P:$P,0))</f>
        <v>0.24</v>
      </c>
      <c r="BJ86" s="27">
        <f>MIN(IF(VLOOKUP($R86,武学奇术!$A:$ZZ,23,FALSE)=1,100%,$B$8),100%)</f>
        <v>1</v>
      </c>
      <c r="BK86" s="27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+MIN(IF(VLOOKUP($R86,武学奇术!$A:$ZZ,32,FALSE)=1,IF(VLOOKUP($R86,武学奇术!$A:$ZZ,24,FALSE)=1,100%,MIN(40%,$B$10+VLOOKUP($R86,武学奇术!$A:$ZZ,19,FALSE)+SUM(_xlfn.XLOOKUP(S86:AG86,增益!$A:$A,增益!$S:$S,0)))+$B$12+SUM(_xlfn.XLOOKUP(S86:AG86,增益!$A:$A,增益!$V:$V,0))),0),12%)</f>
        <v>0.9036</v>
      </c>
      <c r="BL86" s="27" cm="1">
        <f t="array" ref="BL86">1+$B$13+VLOOKUP($R86,武学奇术!$A:$ZZ,18,FALSE)+SUM(_xlfn.XLOOKUP(S86:AG86,增益!$A:$A,增益!$R:$R,0))</f>
        <v>1.89</v>
      </c>
      <c r="BM86" s="27" cm="1">
        <f t="array" ref="BM86">MAX(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-IF(VLOOKUP($R86,武学奇术!$A:$ZZ,32,FALSE)=1,12%,0),0)</f>
        <v>0.0929</v>
      </c>
      <c r="BN86" s="27" cm="1">
        <f t="array" ref="BN86">1+$B$14+VLOOKUP($R86,武学奇术!$A:$ZZ,20,FALSE)+SUM(_xlfn.XLOOKUP(S86:AG86,增益!$A:$A,增益!$T:$T,0))</f>
        <v>1.35</v>
      </c>
      <c r="BO86" s="27">
        <f t="shared" si="31"/>
        <v>0.9036</v>
      </c>
      <c r="BP86" s="27">
        <f t="shared" si="32"/>
        <v>0.00350000000000006</v>
      </c>
      <c r="BQ86" s="27">
        <f>IF(VLOOKUP($R86,武学奇术!$A:$ZZ,22,FALSE)=1,0,(1-$BJ86))*(1-$BM86)</f>
        <v>0</v>
      </c>
      <c r="BR86" s="27" cm="1">
        <f t="array" ref="BR86">SUM(_xlfn.XLOOKUP(S86:AG86,增益!$A:$A,增益!$W:$W,0))+$I$5</f>
        <v>0.11</v>
      </c>
    </row>
    <row r="87" spans="1:70">
      <c r="A87" t="s">
        <v>181</v>
      </c>
      <c r="B87">
        <v>1.7</v>
      </c>
      <c r="K87">
        <f>$L87*VLOOKUP($R87,武学奇术!$A:$ZZ,31,FALSE)</f>
        <v>54851.1223932927</v>
      </c>
      <c r="L87" s="39">
        <f t="shared" si="33"/>
        <v>54851.1223932927</v>
      </c>
      <c r="M87" s="39">
        <f>((($AO87+($AP87-$AO87)*IF(VLOOKUP($R87,武学奇术!$A:$ZZ,31,FALSE)=1,$F$18,0.5))*$AI87+$AJ87)*(1+$AQ87)*(1+$AR87)+(($AT87+($AU87-$AT87)*IF(VLOOKUP($R87,武学奇术!$A:$ZZ,31,FALSE)=1,$F$18,0.5))*IF($G$1="鸣金",$AK87,$AI87)+IF($G$1="鸣金",$AL87*1.5,0))*(1+$AV87)*(1+$AW87)+(($AX87+($AY87-$AX87)*IF(VLOOKUP($R87,武学奇术!$A:$ZZ,31,FALSE)=1,$F$18,0.5))*IF($G$1="裂石",$AK87,$AI87)+IF($G$1="裂石",$AL87*1.5,0))*(1+$AZ87)*(1+$BA87)+(($BB87+($BC87-$BB87)*IF(VLOOKUP($R87,武学奇术!$A:$ZZ,31,FALSE)=1,$F$18,0.5))*IF($G$1="牵丝",$AK87,$AI87)+IF($G$1="牵丝",$AL87*1.5,0))*(1+$BD87)*(1+$BE87)+(($BF87+($BG87-$BF87)*IF(VLOOKUP($R87,武学奇术!$A:$ZZ,31,FALSE)=1,$F$18,0.5))*IF($G$1="破竹",$AK87,$AI87)+IF($G$1="破竹",$AL87*1.5,0))*(1+$BH87)*(1+$BI87))*(1+$AM87)*$BL87*$Q87*(1+IF(VLOOKUP($R87,武学奇术!$A:$ZZ,30,FALSE)="蓄力技",$B$21,0))*(1+$BR87)</f>
        <v>55301.935111985</v>
      </c>
      <c r="N87" s="39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蓄力技",$B$21,0))*(1+$BR87)</f>
        <v>51262.3401895365</v>
      </c>
      <c r="O87" s="39">
        <f>((($AO87+($AP87-$AO87)*IF(VLOOKUP($R87,武学奇术!$A:$ZZ,31,FALSE)=1,$F$18,0.5))*$AI87+$AJ87)*(1+$AQ87)*(1+$AR87)+(($AT87+($AU87-$AT87)*IF(VLOOKUP($R87,武学奇术!$A:$ZZ,31,FALSE)=1,$F$18,0.5))*IF($G$1="鸣金",$AK87,$AI87)+IF($G$1="鸣金",$AL87*1.5,0))*(1+$AV87)*(1+$AW87)+(($AX87+($AY87-$AX87)*IF(VLOOKUP($R87,武学奇术!$A:$ZZ,31,FALSE)=1,$F$18,0.5))*IF($G$1="裂石",$AK87,$AI87)+IF($G$1="裂石",$AL87*1.5,0))*(1+$AZ87)*(1+$BA87)+(($BB87+($BC87-$BB87)*IF(VLOOKUP($R87,武学奇术!$A:$ZZ,31,FALSE)=1,$F$18,0.5))*IF($G$1="牵丝",$AK87,$AI87)+IF($G$1="牵丝",$AL87*1.5,0))*(1+$BD87)*(1+$BE87)+(($BF87+($BG87-$BF87)*IF(VLOOKUP($R87,武学奇术!$A:$ZZ,31,FALSE)=1,$F$18,0.5))*IF($G$1="破竹",$AK87,$AI87)+IF($G$1="破竹",$AL87*1.5,0))*(1+$BH87)*(1+$BI87))*(1+$AM87)*$Q87*(1+IF(VLOOKUP($R87,武学奇术!$A:$ZZ,30,FALSE)="蓄力技",$B$21,0))*(1+$BR87)</f>
        <v>33720.6921414543</v>
      </c>
      <c r="P87" s="39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蓄力技",$B$21,0))*(1+$BR87)</f>
        <v>29469.2804388074</v>
      </c>
      <c r="Q87" s="40">
        <v>1</v>
      </c>
      <c r="R87" s="41" t="s">
        <v>120</v>
      </c>
      <c r="S87" s="41" t="s">
        <v>94</v>
      </c>
      <c r="T87" s="41" t="s">
        <v>73</v>
      </c>
      <c r="U87" s="41" t="s">
        <v>73</v>
      </c>
      <c r="V87" s="41" t="s">
        <v>73</v>
      </c>
      <c r="W87" s="41" t="s">
        <v>73</v>
      </c>
      <c r="X87" s="41" t="s">
        <v>73</v>
      </c>
      <c r="Y87" s="41" t="s">
        <v>164</v>
      </c>
      <c r="Z87" s="41" t="s">
        <v>83</v>
      </c>
      <c r="AA87" s="41" t="s">
        <v>73</v>
      </c>
      <c r="AB87" s="41" t="s">
        <v>84</v>
      </c>
      <c r="AC87" s="41" t="s">
        <v>73</v>
      </c>
      <c r="AD87" s="41" t="s">
        <v>73</v>
      </c>
      <c r="AE87" s="41" t="s">
        <v>76</v>
      </c>
      <c r="AF87" s="41" t="s">
        <v>77</v>
      </c>
      <c r="AG87" s="41" t="s">
        <v>78</v>
      </c>
      <c r="AH87" t="str">
        <f>VLOOKUP($R87,武学奇术!$A:$ZZ,25,FALSE)</f>
        <v>拳甲</v>
      </c>
      <c r="AI87" s="27">
        <f>VLOOKUP($R87,武学奇术!$A:$ZZ,26,FALSE)</f>
        <v>2.4421</v>
      </c>
      <c r="AJ87" s="28">
        <f>VLOOKUP($R87,武学奇术!$A:$ZZ,27,FALSE)*(1+IF(OR($AH87=$F$4,$AH87=$F$5),$B$22,0))</f>
        <v>1012.5</v>
      </c>
      <c r="AK87" s="27">
        <f>VLOOKUP($R87,武学奇术!$A:$ZZ,28,FALSE)</f>
        <v>3.6634</v>
      </c>
      <c r="AL87" s="28">
        <f>VLOOKUP($R87,武学奇术!$A:$ZZ,29,FALSE)*(1+IF(OR($AH87=$F$4,$AH87=$F$5),$B$22,0))</f>
        <v>549</v>
      </c>
      <c r="AM87" s="27" cm="1">
        <f t="array" ref="AM87">$G$3+IFERROR(VLOOKUP($AH87,$F$4:$G$7,2,FALSE),0)+VLOOKUP($R87,武学奇术!$A:$ZZ,2,FALSE)+SUM(_xlfn.XLOOKUP($S87:$AG87,增益!$A:$A,增益!$B:$B,0))</f>
        <v>0.3941</v>
      </c>
      <c r="AN87" s="27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3888.382</v>
      </c>
      <c r="AP87" cm="1">
        <f t="array" ref="AP87">$E$10*(1+$AN87)+VLOOKUP($R87,武学奇术!$A:$ZZ,4,FALSE)+SUM(_xlfn.XLOOKUP($S87:$AG87,增益!$A:$A,增益!$D:$D,0))-$I$2</f>
        <v>3888.382</v>
      </c>
      <c r="AQ87" s="33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0.307</v>
      </c>
      <c r="AR87" s="33" cm="1">
        <f t="array" ref="AR87">$G$10+VLOOKUP($R87,武学奇术!$A:$ZZ,7,FALSE)+SUM(_xlfn.XLOOKUP(S87:AG87,增益!$A:$A,增益!$G:$G,0))</f>
        <v>0.09</v>
      </c>
      <c r="AS87" s="27" cm="1">
        <f t="array" ref="AS87">VLOOKUP($R87,武学奇术!$A:$ZZ,8,FALSE)+SUM(_xlfn.XLOOKUP(S87:AG87,增益!$A:$A,增益!$H:$H,0))</f>
        <v>0</v>
      </c>
      <c r="AT87">
        <f t="shared" si="34"/>
        <v>0</v>
      </c>
      <c r="AU87">
        <f t="shared" si="35"/>
        <v>0</v>
      </c>
      <c r="AV87" s="33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-0.14</v>
      </c>
      <c r="AW87" s="33" cm="1">
        <f t="array" ref="AW87">$G$11+VLOOKUP($R87,武学奇术!$A:$ZZ,10,FALSE)+SUM(_xlfn.XLOOKUP(S87:AG87,增益!$A:$A,增益!$J:$J,0))</f>
        <v>0</v>
      </c>
      <c r="AX87">
        <f t="shared" si="36"/>
        <v>0</v>
      </c>
      <c r="AY87">
        <f t="shared" si="37"/>
        <v>0</v>
      </c>
      <c r="AZ87" s="33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-0.14</v>
      </c>
      <c r="BA87" s="33" cm="1">
        <f t="array" ref="BA87">$G$12+VLOOKUP($R87,武学奇术!$A:$ZZ,12,FALSE)+SUM(_xlfn.XLOOKUP(S87:AG87,增益!$A:$A,增益!$L:$L,0))</f>
        <v>0</v>
      </c>
      <c r="BB87">
        <f t="shared" si="38"/>
        <v>0</v>
      </c>
      <c r="BC87">
        <f t="shared" si="39"/>
        <v>0</v>
      </c>
      <c r="BD87" s="33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-0.14</v>
      </c>
      <c r="BE87" s="33" cm="1">
        <f t="array" ref="BE87">$G$13+VLOOKUP($R87,武学奇术!$A:$ZZ,14,FALSE)+SUM(_xlfn.XLOOKUP(S87:AG87,增益!$A:$A,增益!$N:$N,0))</f>
        <v>0</v>
      </c>
      <c r="BF87">
        <f t="shared" si="40"/>
        <v>605.472</v>
      </c>
      <c r="BG87">
        <f t="shared" si="41"/>
        <v>1725.468</v>
      </c>
      <c r="BH87" s="33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0.08</v>
      </c>
      <c r="BI87" s="33" cm="1">
        <f t="array" ref="BI87">$G$14+VLOOKUP($R87,武学奇术!$A:$ZZ,16,FALSE)+SUM(_xlfn.XLOOKUP(S87:AG87,增益!$A:$A,增益!$P:$P,0))</f>
        <v>0.24</v>
      </c>
      <c r="BJ87" s="27">
        <f>MIN(IF(VLOOKUP($R87,武学奇术!$A:$ZZ,23,FALSE)=1,100%,$B$8),100%)</f>
        <v>1</v>
      </c>
      <c r="BK87" s="27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+MIN(IF(VLOOKUP($R87,武学奇术!$A:$ZZ,32,FALSE)=1,IF(VLOOKUP($R87,武学奇术!$A:$ZZ,24,FALSE)=1,100%,MIN(40%,$B$10+VLOOKUP($R87,武学奇术!$A:$ZZ,19,FALSE)+SUM(_xlfn.XLOOKUP(S87:AG87,增益!$A:$A,增益!$S:$S,0)))+$B$12+SUM(_xlfn.XLOOKUP(S87:AG87,增益!$A:$A,增益!$V:$V,0))),0),12%)</f>
        <v>0.9036</v>
      </c>
      <c r="BL87" s="27" cm="1">
        <f t="array" ref="BL87">1+$B$13+VLOOKUP($R87,武学奇术!$A:$ZZ,18,FALSE)+SUM(_xlfn.XLOOKUP(S87:AG87,增益!$A:$A,增益!$R:$R,0))</f>
        <v>1.64</v>
      </c>
      <c r="BM87" s="27" cm="1">
        <f t="array" ref="BM87">MAX(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-IF(VLOOKUP($R87,武学奇术!$A:$ZZ,32,FALSE)=1,12%,0),0)</f>
        <v>0.0929</v>
      </c>
      <c r="BN87" s="27" cm="1">
        <f t="array" ref="BN87">1+$B$14+VLOOKUP($R87,武学奇术!$A:$ZZ,20,FALSE)+SUM(_xlfn.XLOOKUP(S87:AG87,增益!$A:$A,增益!$T:$T,0))</f>
        <v>1.35</v>
      </c>
      <c r="BO87" s="27">
        <f t="shared" si="31"/>
        <v>0.9036</v>
      </c>
      <c r="BP87" s="27">
        <f t="shared" si="32"/>
        <v>0.00350000000000006</v>
      </c>
      <c r="BQ87" s="27">
        <f>IF(VLOOKUP($R87,武学奇术!$A:$ZZ,22,FALSE)=1,0,(1-$BJ87))*(1-$BM87)</f>
        <v>0</v>
      </c>
      <c r="BR87" s="27" cm="1">
        <f t="array" ref="BR87">SUM(_xlfn.XLOOKUP(S87:AG87,增益!$A:$A,增益!$W:$W,0))+$I$5</f>
        <v>0.11</v>
      </c>
    </row>
    <row r="88" spans="1:70">
      <c r="A88" s="4" t="s">
        <v>189</v>
      </c>
      <c r="B88" s="91">
        <v>3.75</v>
      </c>
      <c r="K88">
        <f>$L88*VLOOKUP($R88,武学奇术!$A:$ZZ,31,FALSE)</f>
        <v>28945.8139395292</v>
      </c>
      <c r="L88" s="39">
        <f t="shared" si="33"/>
        <v>28945.8139395292</v>
      </c>
      <c r="M88" s="39">
        <f>((($AO88+($AP88-$AO88)*IF(VLOOKUP($R88,武学奇术!$A:$ZZ,31,FALSE)=1,$F$18,0.5))*$AI88+$AJ88)*(1+$AQ88)*(1+$AR88)+(($AT88+($AU88-$AT88)*IF(VLOOKUP($R88,武学奇术!$A:$ZZ,31,FALSE)=1,$F$18,0.5))*IF($G$1="鸣金",$AK88,$AI88)+IF($G$1="鸣金",$AL88*1.5,0))*(1+$AV88)*(1+$AW88)+(($AX88+($AY88-$AX88)*IF(VLOOKUP($R88,武学奇术!$A:$ZZ,31,FALSE)=1,$F$18,0.5))*IF($G$1="裂石",$AK88,$AI88)+IF($G$1="裂石",$AL88*1.5,0))*(1+$AZ88)*(1+$BA88)+(($BB88+($BC88-$BB88)*IF(VLOOKUP($R88,武学奇术!$A:$ZZ,31,FALSE)=1,$F$18,0.5))*IF($G$1="牵丝",$AK88,$AI88)+IF($G$1="牵丝",$AL88*1.5,0))*(1+$BD88)*(1+$BE88)+(($BF88+($BG88-$BF88)*IF(VLOOKUP($R88,武学奇术!$A:$ZZ,31,FALSE)=1,$F$18,0.5))*IF($G$1="破竹",$AK88,$AI88)+IF($G$1="破竹",$AL88*1.5,0))*(1+$BH88)*(1+$BI88))*(1+$AM88)*$BL88*$Q88*(1+IF(VLOOKUP($R88,武学奇术!$A:$ZZ,30,FALSE)="蓄力技",$B$21,0))*(1+$BR88)</f>
        <v>29184.001708374</v>
      </c>
      <c r="N88" s="39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蓄力技",$B$21,0))*(1+$BR88)</f>
        <v>27049.1610911435</v>
      </c>
      <c r="O88" s="39">
        <f>((($AO88+($AP88-$AO88)*IF(VLOOKUP($R88,武学奇术!$A:$ZZ,31,FALSE)=1,$F$18,0.5))*$AI88+$AJ88)*(1+$AQ88)*(1+$AR88)+(($AT88+($AU88-$AT88)*IF(VLOOKUP($R88,武学奇术!$A:$ZZ,31,FALSE)=1,$F$18,0.5))*IF($G$1="鸣金",$AK88,$AI88)+IF($G$1="鸣金",$AL88*1.5,0))*(1+$AV88)*(1+$AW88)+(($AX88+($AY88-$AX88)*IF(VLOOKUP($R88,武学奇术!$A:$ZZ,31,FALSE)=1,$F$18,0.5))*IF($G$1="裂石",$AK88,$AI88)+IF($G$1="裂石",$AL88*1.5,0))*(1+$AZ88)*(1+$BA88)+(($BB88+($BC88-$BB88)*IF(VLOOKUP($R88,武学奇术!$A:$ZZ,31,FALSE)=1,$F$18,0.5))*IF($G$1="牵丝",$AK88,$AI88)+IF($G$1="牵丝",$AL88*1.5,0))*(1+$BD88)*(1+$BE88)+(($BF88+($BG88-$BF88)*IF(VLOOKUP($R88,武学奇术!$A:$ZZ,31,FALSE)=1,$F$18,0.5))*IF($G$1="破竹",$AK88,$AI88)+IF($G$1="破竹",$AL88*1.5,0))*(1+$BH88)*(1+$BI88))*(1+$AM88)*$Q88*(1+IF(VLOOKUP($R88,武学奇术!$A:$ZZ,30,FALSE)="蓄力技",$B$21,0))*(1+$BR88)</f>
        <v>17795.122992911</v>
      </c>
      <c r="P88" s="39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蓄力技",$B$21,0))*(1+$BR88)</f>
        <v>15553.8303627527</v>
      </c>
      <c r="Q88" s="40">
        <v>1</v>
      </c>
      <c r="R88" s="41" t="s">
        <v>115</v>
      </c>
      <c r="S88" s="41" t="s">
        <v>94</v>
      </c>
      <c r="T88" s="41" t="s">
        <v>73</v>
      </c>
      <c r="U88" s="41" t="s">
        <v>73</v>
      </c>
      <c r="V88" s="41" t="s">
        <v>73</v>
      </c>
      <c r="W88" s="41" t="s">
        <v>73</v>
      </c>
      <c r="X88" s="41" t="s">
        <v>73</v>
      </c>
      <c r="Y88" s="41" t="s">
        <v>164</v>
      </c>
      <c r="Z88" s="41" t="s">
        <v>83</v>
      </c>
      <c r="AA88" s="41" t="s">
        <v>73</v>
      </c>
      <c r="AB88" s="41" t="s">
        <v>84</v>
      </c>
      <c r="AC88" s="41" t="s">
        <v>73</v>
      </c>
      <c r="AD88" s="41" t="s">
        <v>73</v>
      </c>
      <c r="AE88" s="41" t="s">
        <v>76</v>
      </c>
      <c r="AF88" s="41" t="s">
        <v>77</v>
      </c>
      <c r="AG88" s="41" t="s">
        <v>78</v>
      </c>
      <c r="AH88" t="str">
        <f>VLOOKUP($R88,武学奇术!$A:$ZZ,25,FALSE)</f>
        <v>拳甲</v>
      </c>
      <c r="AI88" s="27">
        <f>VLOOKUP($R88,武学奇术!$A:$ZZ,26,FALSE)</f>
        <v>1.2876</v>
      </c>
      <c r="AJ88" s="28">
        <f>VLOOKUP($R88,武学奇术!$A:$ZZ,27,FALSE)*(1+IF(OR($AH88=$F$4,$AH88=$F$5),$B$22,0))</f>
        <v>537</v>
      </c>
      <c r="AK88" s="27">
        <f>VLOOKUP($R88,武学奇术!$A:$ZZ,28,FALSE)</f>
        <v>1.9313</v>
      </c>
      <c r="AL88" s="28">
        <f>VLOOKUP($R88,武学奇术!$A:$ZZ,29,FALSE)*(1+IF(OR($AH88=$F$4,$AH88=$F$5),$B$22,0))</f>
        <v>292.5</v>
      </c>
      <c r="AM88" s="27" cm="1">
        <f t="array" ref="AM88">$G$3+IFERROR(VLOOKUP($AH88,$F$4:$G$7,2,FALSE),0)+VLOOKUP($R88,武学奇术!$A:$ZZ,2,FALSE)+SUM(_xlfn.XLOOKUP($S88:$AG88,增益!$A:$A,增益!$B:$B,0))</f>
        <v>0.3941</v>
      </c>
      <c r="AN88" s="27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3888.382</v>
      </c>
      <c r="AP88" cm="1">
        <f t="array" ref="AP88">$E$10*(1+$AN88)+VLOOKUP($R88,武学奇术!$A:$ZZ,4,FALSE)+SUM(_xlfn.XLOOKUP($S88:$AG88,增益!$A:$A,增益!$D:$D,0))-$I$2</f>
        <v>3888.382</v>
      </c>
      <c r="AQ88" s="33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0.307</v>
      </c>
      <c r="AR88" s="33" cm="1">
        <f t="array" ref="AR88">$G$10+VLOOKUP($R88,武学奇术!$A:$ZZ,7,FALSE)+SUM(_xlfn.XLOOKUP(S88:AG88,增益!$A:$A,增益!$G:$G,0))</f>
        <v>0.09</v>
      </c>
      <c r="AS88" s="27" cm="1">
        <f t="array" ref="AS88">VLOOKUP($R88,武学奇术!$A:$ZZ,8,FALSE)+SUM(_xlfn.XLOOKUP(S88:AG88,增益!$A:$A,增益!$H:$H,0))</f>
        <v>0</v>
      </c>
      <c r="AT88">
        <f t="shared" si="34"/>
        <v>0</v>
      </c>
      <c r="AU88">
        <f t="shared" si="35"/>
        <v>0</v>
      </c>
      <c r="AV88" s="33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-0.14</v>
      </c>
      <c r="AW88" s="33" cm="1">
        <f t="array" ref="AW88">$G$11+VLOOKUP($R88,武学奇术!$A:$ZZ,10,FALSE)+SUM(_xlfn.XLOOKUP(S88:AG88,增益!$A:$A,增益!$J:$J,0))</f>
        <v>0</v>
      </c>
      <c r="AX88">
        <f t="shared" si="36"/>
        <v>0</v>
      </c>
      <c r="AY88">
        <f t="shared" si="37"/>
        <v>0</v>
      </c>
      <c r="AZ88" s="33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-0.14</v>
      </c>
      <c r="BA88" s="33" cm="1">
        <f t="array" ref="BA88">$G$12+VLOOKUP($R88,武学奇术!$A:$ZZ,12,FALSE)+SUM(_xlfn.XLOOKUP(S88:AG88,增益!$A:$A,增益!$L:$L,0))</f>
        <v>0</v>
      </c>
      <c r="BB88">
        <f t="shared" si="38"/>
        <v>0</v>
      </c>
      <c r="BC88">
        <f t="shared" si="39"/>
        <v>0</v>
      </c>
      <c r="BD88" s="33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-0.14</v>
      </c>
      <c r="BE88" s="33" cm="1">
        <f t="array" ref="BE88">$G$13+VLOOKUP($R88,武学奇术!$A:$ZZ,14,FALSE)+SUM(_xlfn.XLOOKUP(S88:AG88,增益!$A:$A,增益!$N:$N,0))</f>
        <v>0</v>
      </c>
      <c r="BF88">
        <f t="shared" si="40"/>
        <v>605.472</v>
      </c>
      <c r="BG88">
        <f t="shared" si="41"/>
        <v>1725.468</v>
      </c>
      <c r="BH88" s="33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0.08</v>
      </c>
      <c r="BI88" s="33" cm="1">
        <f t="array" ref="BI88">$G$14+VLOOKUP($R88,武学奇术!$A:$ZZ,16,FALSE)+SUM(_xlfn.XLOOKUP(S88:AG88,增益!$A:$A,增益!$P:$P,0))</f>
        <v>0.24</v>
      </c>
      <c r="BJ88" s="27">
        <f>MIN(IF(VLOOKUP($R88,武学奇术!$A:$ZZ,23,FALSE)=1,100%,$B$8),100%)</f>
        <v>1</v>
      </c>
      <c r="BK88" s="27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+MIN(IF(VLOOKUP($R88,武学奇术!$A:$ZZ,32,FALSE)=1,IF(VLOOKUP($R88,武学奇术!$A:$ZZ,24,FALSE)=1,100%,MIN(40%,$B$10+VLOOKUP($R88,武学奇术!$A:$ZZ,19,FALSE)+SUM(_xlfn.XLOOKUP(S88:AG88,增益!$A:$A,增益!$S:$S,0)))+$B$12+SUM(_xlfn.XLOOKUP(S88:AG88,增益!$A:$A,增益!$V:$V,0))),0),12%)</f>
        <v>0.9036</v>
      </c>
      <c r="BL88" s="27" cm="1">
        <f t="array" ref="BL88">1+$B$13+VLOOKUP($R88,武学奇术!$A:$ZZ,18,FALSE)+SUM(_xlfn.XLOOKUP(S88:AG88,增益!$A:$A,增益!$R:$R,0))</f>
        <v>1.64</v>
      </c>
      <c r="BM88" s="27" cm="1">
        <f t="array" ref="BM88">MAX(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-IF(VLOOKUP($R88,武学奇术!$A:$ZZ,32,FALSE)=1,12%,0),0)</f>
        <v>0.0929</v>
      </c>
      <c r="BN88" s="27" cm="1">
        <f t="array" ref="BN88">1+$B$14+VLOOKUP($R88,武学奇术!$A:$ZZ,20,FALSE)+SUM(_xlfn.XLOOKUP(S88:AG88,增益!$A:$A,增益!$T:$T,0))</f>
        <v>1.35</v>
      </c>
      <c r="BO88" s="27">
        <f t="shared" si="31"/>
        <v>0.9036</v>
      </c>
      <c r="BP88" s="27">
        <f t="shared" si="32"/>
        <v>0.00350000000000006</v>
      </c>
      <c r="BQ88" s="27">
        <f>IF(VLOOKUP($R88,武学奇术!$A:$ZZ,22,FALSE)=1,0,(1-$BJ88))*(1-$BM88)</f>
        <v>0</v>
      </c>
      <c r="BR88" s="27" cm="1">
        <f t="array" ref="BR88">SUM(_xlfn.XLOOKUP(S88:AG88,增益!$A:$A,增益!$W:$W,0))+$I$5</f>
        <v>0.11</v>
      </c>
    </row>
    <row r="89" spans="1:70">
      <c r="A89" t="s">
        <v>157</v>
      </c>
      <c r="B89">
        <v>0.9</v>
      </c>
      <c r="K89">
        <f>$L89*VLOOKUP($R89,武学奇术!$A:$ZZ,31,FALSE)</f>
        <v>100044.852319325</v>
      </c>
      <c r="L89" s="39">
        <f t="shared" si="33"/>
        <v>76957.5787071733</v>
      </c>
      <c r="M89" s="39">
        <f>((($AO89+($AP89-$AO89)*IF(VLOOKUP($R89,武学奇术!$A:$ZZ,31,FALSE)=1,$F$18,0.5))*$AI89+$AJ89)*(1+$AQ89)*(1+$AR89)+(($AT89+($AU89-$AT89)*IF(VLOOKUP($R89,武学奇术!$A:$ZZ,31,FALSE)=1,$F$18,0.5))*IF($G$1="鸣金",$AK89,$AI89)+IF($G$1="鸣金",$AL89*1.5,0))*(1+$AV89)*(1+$AW89)+(($AX89+($AY89-$AX89)*IF(VLOOKUP($R89,武学奇术!$A:$ZZ,31,FALSE)=1,$F$18,0.5))*IF($G$1="裂石",$AK89,$AI89)+IF($G$1="裂石",$AL89*1.5,0))*(1+$AZ89)*(1+$BA89)+(($BB89+($BC89-$BB89)*IF(VLOOKUP($R89,武学奇术!$A:$ZZ,31,FALSE)=1,$F$18,0.5))*IF($G$1="牵丝",$AK89,$AI89)+IF($G$1="牵丝",$AL89*1.5,0))*(1+$BD89)*(1+$BE89)+(($BF89+($BG89-$BF89)*IF(VLOOKUP($R89,武学奇术!$A:$ZZ,31,FALSE)=1,$F$18,0.5))*IF($G$1="破竹",$AK89,$AI89)+IF($G$1="破竹",$AL89*1.5,0))*(1+$BH89)*(1+$BI89))*(1+$AM89)*$BL89*$Q89*(1+IF(VLOOKUP($R89,武学奇术!$A:$ZZ,30,FALSE)="蓄力技",$B$21,0))*(1+$BR89)</f>
        <v>78587.3873878759</v>
      </c>
      <c r="N89" s="39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蓄力技",$B$21,0))*(1+$BR89)</f>
        <v>62478.3002636157</v>
      </c>
      <c r="O89" s="39">
        <f>((($AO89+($AP89-$AO89)*IF(VLOOKUP($R89,武学奇术!$A:$ZZ,31,FALSE)=1,$F$18,0.5))*$AI89+$AJ89)*(1+$AQ89)*(1+$AR89)+(($AT89+($AU89-$AT89)*IF(VLOOKUP($R89,武学奇术!$A:$ZZ,31,FALSE)=1,$F$18,0.5))*IF($G$1="鸣金",$AK89,$AI89)+IF($G$1="鸣金",$AL89*1.5,0))*(1+$AV89)*(1+$AW89)+(($AX89+($AY89-$AX89)*IF(VLOOKUP($R89,武学奇术!$A:$ZZ,31,FALSE)=1,$F$18,0.5))*IF($G$1="裂石",$AK89,$AI89)+IF($G$1="裂石",$AL89*1.5,0))*(1+$AZ89)*(1+$BA89)+(($BB89+($BC89-$BB89)*IF(VLOOKUP($R89,武学奇术!$A:$ZZ,31,FALSE)=1,$F$18,0.5))*IF($G$1="牵丝",$AK89,$AI89)+IF($G$1="牵丝",$AL89*1.5,0))*(1+$BD89)*(1+$BE89)+(($BF89+($BG89-$BF89)*IF(VLOOKUP($R89,武学奇术!$A:$ZZ,31,FALSE)=1,$F$18,0.5))*IF($G$1="破竹",$AK89,$AI89)+IF($G$1="破竹",$AL89*1.5,0))*(1+$BH89)*(1+$BI89))*(1+$AM89)*$Q89*(1+IF(VLOOKUP($R89,武学奇术!$A:$ZZ,30,FALSE)="蓄力技",$B$21,0))*(1+$BR89)</f>
        <v>40508.9625710701</v>
      </c>
      <c r="P89" s="39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蓄力技",$B$21,0))*(1+$BR89)</f>
        <v>34737.702724647</v>
      </c>
      <c r="Q89" s="40">
        <v>1</v>
      </c>
      <c r="R89" s="41" t="s">
        <v>117</v>
      </c>
      <c r="S89" s="41" t="s">
        <v>97</v>
      </c>
      <c r="T89" s="41" t="s">
        <v>73</v>
      </c>
      <c r="U89" s="41" t="s">
        <v>73</v>
      </c>
      <c r="V89" s="41" t="s">
        <v>73</v>
      </c>
      <c r="W89" s="41" t="s">
        <v>73</v>
      </c>
      <c r="X89" s="41" t="s">
        <v>73</v>
      </c>
      <c r="Y89" s="41" t="s">
        <v>164</v>
      </c>
      <c r="Z89" s="41" t="s">
        <v>83</v>
      </c>
      <c r="AA89" s="41" t="s">
        <v>105</v>
      </c>
      <c r="AB89" s="41" t="s">
        <v>84</v>
      </c>
      <c r="AC89" s="41" t="s">
        <v>73</v>
      </c>
      <c r="AD89" s="41" t="s">
        <v>73</v>
      </c>
      <c r="AE89" s="41" t="s">
        <v>76</v>
      </c>
      <c r="AF89" s="41" t="s">
        <v>77</v>
      </c>
      <c r="AG89" s="41" t="s">
        <v>78</v>
      </c>
      <c r="AH89" t="str">
        <f>VLOOKUP($R89,武学奇术!$A:$ZZ,25,FALSE)</f>
        <v>拳甲</v>
      </c>
      <c r="AI89" s="27">
        <f>VLOOKUP($R89,武学奇术!$A:$ZZ,26,FALSE)</f>
        <v>2.638944</v>
      </c>
      <c r="AJ89" s="28">
        <f>VLOOKUP($R89,武学奇术!$A:$ZZ,27,FALSE)*(1+IF(OR($AH89=$F$4,$AH89=$F$5),$B$22,0))</f>
        <v>0</v>
      </c>
      <c r="AK89" s="27">
        <f>VLOOKUP($R89,武学奇术!$A:$ZZ,28,FALSE)</f>
        <v>3.958416</v>
      </c>
      <c r="AL89" s="28">
        <f>VLOOKUP($R89,武学奇术!$A:$ZZ,29,FALSE)*(1+IF(OR($AH89=$F$4,$AH89=$F$5),$B$22,0))</f>
        <v>0</v>
      </c>
      <c r="AM89" s="27" cm="1">
        <f t="array" ref="AM89">$G$3+IFERROR(VLOOKUP($AH89,$F$4:$G$7,2,FALSE),0)+VLOOKUP($R89,武学奇术!$A:$ZZ,2,FALSE)+SUM(_xlfn.XLOOKUP($S89:$AG89,增益!$A:$A,增益!$B:$B,0))</f>
        <v>0.7041</v>
      </c>
      <c r="AN89" s="27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3888.382</v>
      </c>
      <c r="AP89" cm="1">
        <f t="array" ref="AP89">$E$10*(1+$AN89)+VLOOKUP($R89,武学奇术!$A:$ZZ,4,FALSE)+SUM(_xlfn.XLOOKUP($S89:$AG89,增益!$A:$A,增益!$D:$D,0))-$I$2</f>
        <v>3888.382</v>
      </c>
      <c r="AQ89" s="33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0.347</v>
      </c>
      <c r="AR89" s="33" cm="1">
        <f t="array" ref="AR89">$G$10+VLOOKUP($R89,武学奇术!$A:$ZZ,7,FALSE)+SUM(_xlfn.XLOOKUP(S89:AG89,增益!$A:$A,增益!$G:$G,0))</f>
        <v>0.09</v>
      </c>
      <c r="AS89" s="27" cm="1">
        <f t="array" ref="AS89">VLOOKUP($R89,武学奇术!$A:$ZZ,8,FALSE)+SUM(_xlfn.XLOOKUP(S89:AG89,增益!$A:$A,增益!$H:$H,0))</f>
        <v>0</v>
      </c>
      <c r="AT89">
        <f t="shared" si="34"/>
        <v>0</v>
      </c>
      <c r="AU89">
        <f t="shared" si="35"/>
        <v>0</v>
      </c>
      <c r="AV89" s="33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-0.08</v>
      </c>
      <c r="AW89" s="33" cm="1">
        <f t="array" ref="AW89">$G$11+VLOOKUP($R89,武学奇术!$A:$ZZ,10,FALSE)+SUM(_xlfn.XLOOKUP(S89:AG89,增益!$A:$A,增益!$J:$J,0))</f>
        <v>0</v>
      </c>
      <c r="AX89">
        <f t="shared" si="36"/>
        <v>0</v>
      </c>
      <c r="AY89">
        <f t="shared" si="37"/>
        <v>0</v>
      </c>
      <c r="AZ89" s="33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-0.08</v>
      </c>
      <c r="BA89" s="33" cm="1">
        <f t="array" ref="BA89">$G$12+VLOOKUP($R89,武学奇术!$A:$ZZ,12,FALSE)+SUM(_xlfn.XLOOKUP(S89:AG89,增益!$A:$A,增益!$L:$L,0))</f>
        <v>0</v>
      </c>
      <c r="BB89">
        <f t="shared" si="38"/>
        <v>0</v>
      </c>
      <c r="BC89">
        <f t="shared" si="39"/>
        <v>0</v>
      </c>
      <c r="BD89" s="33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-0.08</v>
      </c>
      <c r="BE89" s="33" cm="1">
        <f t="array" ref="BE89">$G$13+VLOOKUP($R89,武学奇术!$A:$ZZ,14,FALSE)+SUM(_xlfn.XLOOKUP(S89:AG89,增益!$A:$A,增益!$N:$N,0))</f>
        <v>0</v>
      </c>
      <c r="BF89">
        <f t="shared" si="40"/>
        <v>605.472</v>
      </c>
      <c r="BG89">
        <f t="shared" si="41"/>
        <v>1725.468</v>
      </c>
      <c r="BH89" s="33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0.11</v>
      </c>
      <c r="BI89" s="33" cm="1">
        <f t="array" ref="BI89">$G$14+VLOOKUP($R89,武学奇术!$A:$ZZ,16,FALSE)+SUM(_xlfn.XLOOKUP(S89:AG89,增益!$A:$A,增益!$P:$P,0))</f>
        <v>0.24</v>
      </c>
      <c r="BJ89" s="27">
        <f>MIN(IF(VLOOKUP($R89,武学奇术!$A:$ZZ,23,FALSE)=1,100%,$B$8),100%)</f>
        <v>1</v>
      </c>
      <c r="BK89" s="27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+MIN(IF(VLOOKUP($R89,武学奇术!$A:$ZZ,32,FALSE)=1,IF(VLOOKUP($R89,武学奇术!$A:$ZZ,24,FALSE)=1,100%,MIN(40%,$B$10+VLOOKUP($R89,武学奇术!$A:$ZZ,19,FALSE)+SUM(_xlfn.XLOOKUP(S89:AG89,增益!$A:$A,增益!$S:$S,0)))+$B$12+SUM(_xlfn.XLOOKUP(S89:AG89,增益!$A:$A,增益!$V:$V,0))),0),12%)</f>
        <v>0.9036</v>
      </c>
      <c r="BL89" s="27" cm="1">
        <f t="array" ref="BL89">1+$B$13+VLOOKUP($R89,武学奇术!$A:$ZZ,18,FALSE)+SUM(_xlfn.XLOOKUP(S89:AG89,增益!$A:$A,增益!$R:$R,0))</f>
        <v>1.94</v>
      </c>
      <c r="BM89" s="27" cm="1">
        <f t="array" ref="BM89">MAX(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-IF(VLOOKUP($R89,武学奇术!$A:$ZZ,32,FALSE)=1,12%,0),0)</f>
        <v>0.0929</v>
      </c>
      <c r="BN89" s="27" cm="1">
        <f t="array" ref="BN89">1+$B$14+VLOOKUP($R89,武学奇术!$A:$ZZ,20,FALSE)+SUM(_xlfn.XLOOKUP(S89:AG89,增益!$A:$A,增益!$T:$T,0))</f>
        <v>1.35</v>
      </c>
      <c r="BO89" s="27">
        <f t="shared" si="31"/>
        <v>0.9036</v>
      </c>
      <c r="BP89" s="27">
        <f t="shared" si="32"/>
        <v>0.00350000000000006</v>
      </c>
      <c r="BQ89" s="27">
        <f>IF(VLOOKUP($R89,武学奇术!$A:$ZZ,22,FALSE)=1,0,(1-$BJ89))*(1-$BM89)</f>
        <v>0</v>
      </c>
      <c r="BR89" s="27" cm="1">
        <f t="array" ref="BR89">SUM(_xlfn.XLOOKUP(S89:AG89,增益!$A:$A,增益!$W:$W,0))+$I$5</f>
        <v>0.11</v>
      </c>
    </row>
    <row r="90" spans="1:70">
      <c r="A90" s="4" t="s">
        <v>170</v>
      </c>
      <c r="B90" s="4">
        <v>1</v>
      </c>
      <c r="F90" s="40" t="s">
        <v>166</v>
      </c>
      <c r="K90">
        <f>$L90*VLOOKUP($R90,武学奇术!$A:$ZZ,31,FALSE)</f>
        <v>121217.980703749</v>
      </c>
      <c r="L90" s="39">
        <f t="shared" si="33"/>
        <v>93244.6005413453</v>
      </c>
      <c r="M90" s="39">
        <f>((($AO90+($AP90-$AO90)*IF(VLOOKUP($R90,武学奇术!$A:$ZZ,31,FALSE)=1,$F$18,0.5))*$AI90+$AJ90)*(1+$AQ90)*(1+$AR90)+(($AT90+($AU90-$AT90)*IF(VLOOKUP($R90,武学奇术!$A:$ZZ,31,FALSE)=1,$F$18,0.5))*IF($G$1="鸣金",$AK90,$AI90)+IF($G$1="鸣金",$AL90*1.5,0))*(1+$AV90)*(1+$AW90)+(($AX90+($AY90-$AX90)*IF(VLOOKUP($R90,武学奇术!$A:$ZZ,31,FALSE)=1,$F$18,0.5))*IF($G$1="裂石",$AK90,$AI90)+IF($G$1="裂石",$AL90*1.5,0))*(1+$AZ90)*(1+$BA90)+(($BB90+($BC90-$BB90)*IF(VLOOKUP($R90,武学奇术!$A:$ZZ,31,FALSE)=1,$F$18,0.5))*IF($G$1="牵丝",$AK90,$AI90)+IF($G$1="牵丝",$AL90*1.5,0))*(1+$BD90)*(1+$BE90)+(($BF90+($BG90-$BF90)*IF(VLOOKUP($R90,武学奇术!$A:$ZZ,31,FALSE)=1,$F$18,0.5))*IF($G$1="破竹",$AK90,$AI90)+IF($G$1="破竹",$AL90*1.5,0))*(1+$BH90)*(1+$BI90))*(1+$AM90)*$BL90*$Q90*(1+IF(VLOOKUP($R90,武学奇术!$A:$ZZ,30,FALSE)="蓄力技",$B$21,0))*(1+$BR90)</f>
        <v>95388.5535326523</v>
      </c>
      <c r="N90" s="39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蓄力技",$B$21,0))*(1+$BR90)</f>
        <v>74051.7849087407</v>
      </c>
      <c r="O90" s="39">
        <f>((($AO90+($AP90-$AO90)*IF(VLOOKUP($R90,武学奇术!$A:$ZZ,31,FALSE)=1,$F$18,0.5))*$AI90+$AJ90)*(1+$AQ90)*(1+$AR90)+(($AT90+($AU90-$AT90)*IF(VLOOKUP($R90,武学奇术!$A:$ZZ,31,FALSE)=1,$F$18,0.5))*IF($G$1="鸣金",$AK90,$AI90)+IF($G$1="鸣金",$AL90*1.5,0))*(1+$AV90)*(1+$AW90)+(($AX90+($AY90-$AX90)*IF(VLOOKUP($R90,武学奇术!$A:$ZZ,31,FALSE)=1,$F$18,0.5))*IF($G$1="裂石",$AK90,$AI90)+IF($G$1="裂石",$AL90*1.5,0))*(1+$AZ90)*(1+$BA90)+(($BB90+($BC90-$BB90)*IF(VLOOKUP($R90,武学奇术!$A:$ZZ,31,FALSE)=1,$F$18,0.5))*IF($G$1="牵丝",$AK90,$AI90)+IF($G$1="牵丝",$AL90*1.5,0))*(1+$BD90)*(1+$BE90)+(($BF90+($BG90-$BF90)*IF(VLOOKUP($R90,武学奇术!$A:$ZZ,31,FALSE)=1,$F$18,0.5))*IF($G$1="破竹",$AK90,$AI90)+IF($G$1="破竹",$AL90*1.5,0))*(1+$BH90)*(1+$BI90))*(1+$AM90)*$Q90*(1+IF(VLOOKUP($R90,武学奇术!$A:$ZZ,30,FALSE)="蓄力技",$B$21,0))*(1+$BR90)</f>
        <v>49169.3574910579</v>
      </c>
      <c r="P90" s="39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蓄力技",$B$21,0))*(1+$BR90)</f>
        <v>43485.5409756412</v>
      </c>
      <c r="Q90" s="40">
        <v>1</v>
      </c>
      <c r="R90" s="41" t="s">
        <v>112</v>
      </c>
      <c r="S90" s="41" t="s">
        <v>97</v>
      </c>
      <c r="T90" s="41" t="s">
        <v>73</v>
      </c>
      <c r="U90" s="41" t="s">
        <v>73</v>
      </c>
      <c r="V90" s="41" t="s">
        <v>73</v>
      </c>
      <c r="W90" s="41" t="s">
        <v>73</v>
      </c>
      <c r="X90" s="41" t="s">
        <v>73</v>
      </c>
      <c r="Y90" s="41" t="s">
        <v>164</v>
      </c>
      <c r="Z90" s="41" t="s">
        <v>83</v>
      </c>
      <c r="AA90" s="41" t="s">
        <v>105</v>
      </c>
      <c r="AB90" s="41" t="s">
        <v>84</v>
      </c>
      <c r="AC90" s="41" t="s">
        <v>73</v>
      </c>
      <c r="AD90" s="41" t="s">
        <v>73</v>
      </c>
      <c r="AE90" s="41" t="s">
        <v>76</v>
      </c>
      <c r="AF90" s="41" t="s">
        <v>77</v>
      </c>
      <c r="AG90" s="41" t="s">
        <v>78</v>
      </c>
      <c r="AH90" t="str">
        <f>VLOOKUP($R90,武学奇术!$A:$ZZ,25,FALSE)</f>
        <v>拳甲</v>
      </c>
      <c r="AI90" s="27">
        <f>VLOOKUP($R90,武学奇术!$A:$ZZ,26,FALSE)</f>
        <v>2.91176</v>
      </c>
      <c r="AJ90" s="28">
        <f>VLOOKUP($R90,武学奇术!$A:$ZZ,27,FALSE)*(1+IF(OR($AH90=$F$4,$AH90=$F$5),$B$22,0))</f>
        <v>1208.7</v>
      </c>
      <c r="AK90" s="27">
        <f>VLOOKUP($R90,武学奇术!$A:$ZZ,28,FALSE)</f>
        <v>3.89844</v>
      </c>
      <c r="AL90" s="28">
        <f>VLOOKUP($R90,武学奇术!$A:$ZZ,29,FALSE)*(1+IF(OR($AH90=$F$4,$AH90=$F$5),$B$22,0))</f>
        <v>650.25</v>
      </c>
      <c r="AM90" s="27" cm="1">
        <f t="array" ref="AM90">$G$3+IFERROR(VLOOKUP($AH90,$F$4:$G$7,2,FALSE),0)+VLOOKUP($R90,武学奇术!$A:$ZZ,2,FALSE)+SUM(_xlfn.XLOOKUP($S90:$AG90,增益!$A:$A,增益!$B:$B,0))</f>
        <v>0.7041</v>
      </c>
      <c r="AN90" s="27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3888.382</v>
      </c>
      <c r="AP90" cm="1">
        <f t="array" ref="AP90">$E$10*(1+$AN90)+VLOOKUP($R90,武学奇术!$A:$ZZ,4,FALSE)+SUM(_xlfn.XLOOKUP($S90:$AG90,增益!$A:$A,增益!$D:$D,0))-$I$2</f>
        <v>3888.382</v>
      </c>
      <c r="AQ90" s="33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0.347</v>
      </c>
      <c r="AR90" s="33" cm="1">
        <f t="array" ref="AR90">$G$10+VLOOKUP($R90,武学奇术!$A:$ZZ,7,FALSE)+SUM(_xlfn.XLOOKUP(S90:AG90,增益!$A:$A,增益!$G:$G,0))</f>
        <v>0.09</v>
      </c>
      <c r="AS90" s="27" cm="1">
        <f t="array" ref="AS90">VLOOKUP($R90,武学奇术!$A:$ZZ,8,FALSE)+SUM(_xlfn.XLOOKUP(S90:AG90,增益!$A:$A,增益!$H:$H,0))</f>
        <v>0</v>
      </c>
      <c r="AT90">
        <f t="shared" si="34"/>
        <v>0</v>
      </c>
      <c r="AU90">
        <f t="shared" si="35"/>
        <v>0</v>
      </c>
      <c r="AV90" s="33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-0.08</v>
      </c>
      <c r="AW90" s="33" cm="1">
        <f t="array" ref="AW90">$G$11+VLOOKUP($R90,武学奇术!$A:$ZZ,10,FALSE)+SUM(_xlfn.XLOOKUP(S90:AG90,增益!$A:$A,增益!$J:$J,0))</f>
        <v>0</v>
      </c>
      <c r="AX90">
        <f t="shared" si="36"/>
        <v>0</v>
      </c>
      <c r="AY90">
        <f t="shared" si="37"/>
        <v>0</v>
      </c>
      <c r="AZ90" s="33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-0.08</v>
      </c>
      <c r="BA90" s="33" cm="1">
        <f t="array" ref="BA90">$G$12+VLOOKUP($R90,武学奇术!$A:$ZZ,12,FALSE)+SUM(_xlfn.XLOOKUP(S90:AG90,增益!$A:$A,增益!$L:$L,0))</f>
        <v>0</v>
      </c>
      <c r="BB90">
        <f t="shared" si="38"/>
        <v>0</v>
      </c>
      <c r="BC90">
        <f t="shared" si="39"/>
        <v>0</v>
      </c>
      <c r="BD90" s="33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-0.08</v>
      </c>
      <c r="BE90" s="33" cm="1">
        <f t="array" ref="BE90">$G$13+VLOOKUP($R90,武学奇术!$A:$ZZ,14,FALSE)+SUM(_xlfn.XLOOKUP(S90:AG90,增益!$A:$A,增益!$N:$N,0))</f>
        <v>0</v>
      </c>
      <c r="BF90">
        <f t="shared" si="40"/>
        <v>605.472</v>
      </c>
      <c r="BG90">
        <f t="shared" si="41"/>
        <v>1725.468</v>
      </c>
      <c r="BH90" s="33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0.11</v>
      </c>
      <c r="BI90" s="33" cm="1">
        <f t="array" ref="BI90">$G$14+VLOOKUP($R90,武学奇术!$A:$ZZ,16,FALSE)+SUM(_xlfn.XLOOKUP(S90:AG90,增益!$A:$A,增益!$P:$P,0))</f>
        <v>0.24</v>
      </c>
      <c r="BJ90" s="27">
        <f>MIN(IF(VLOOKUP($R90,武学奇术!$A:$ZZ,23,FALSE)=1,100%,$B$8),100%)</f>
        <v>1</v>
      </c>
      <c r="BK90" s="27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+MIN(IF(VLOOKUP($R90,武学奇术!$A:$ZZ,32,FALSE)=1,IF(VLOOKUP($R90,武学奇术!$A:$ZZ,24,FALSE)=1,100%,MIN(40%,$B$10+VLOOKUP($R90,武学奇术!$A:$ZZ,19,FALSE)+SUM(_xlfn.XLOOKUP(S90:AG90,增益!$A:$A,增益!$S:$S,0)))+$B$12+SUM(_xlfn.XLOOKUP(S90:AG90,增益!$A:$A,增益!$V:$V,0))),0),12%)</f>
        <v>0.9036</v>
      </c>
      <c r="BL90" s="27" cm="1">
        <f t="array" ref="BL90">1+$B$13+VLOOKUP($R90,武学奇术!$A:$ZZ,18,FALSE)+SUM(_xlfn.XLOOKUP(S90:AG90,增益!$A:$A,增益!$R:$R,0))</f>
        <v>1.94</v>
      </c>
      <c r="BM90" s="27" cm="1">
        <f t="array" ref="BM90">MAX(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-IF(VLOOKUP($R90,武学奇术!$A:$ZZ,32,FALSE)=1,12%,0),0)</f>
        <v>0.0929</v>
      </c>
      <c r="BN90" s="27" cm="1">
        <f t="array" ref="BN90">1+$B$14+VLOOKUP($R90,武学奇术!$A:$ZZ,20,FALSE)+SUM(_xlfn.XLOOKUP(S90:AG90,增益!$A:$A,增益!$T:$T,0))</f>
        <v>1.35</v>
      </c>
      <c r="BO90" s="27">
        <f t="shared" si="31"/>
        <v>0.9036</v>
      </c>
      <c r="BP90" s="27">
        <f t="shared" si="32"/>
        <v>0.00350000000000006</v>
      </c>
      <c r="BQ90" s="27">
        <f>IF(VLOOKUP($R90,武学奇术!$A:$ZZ,22,FALSE)=1,0,(1-$BJ90))*(1-$BM90)</f>
        <v>0</v>
      </c>
      <c r="BR90" s="27" cm="1">
        <f t="array" ref="BR90">SUM(_xlfn.XLOOKUP(S90:AG90,增益!$A:$A,增益!$W:$W,0))+$I$5</f>
        <v>0.11</v>
      </c>
    </row>
    <row r="91" spans="1:70">
      <c r="A91" s="4" t="s">
        <v>168</v>
      </c>
      <c r="B91" s="91">
        <v>1.16</v>
      </c>
      <c r="F91" s="40"/>
      <c r="K91">
        <f>$L91*VLOOKUP($R91,武学奇术!$A:$ZZ,31,FALSE)</f>
        <v>29305.1471737049</v>
      </c>
      <c r="L91" s="39">
        <f t="shared" si="33"/>
        <v>29305.1471737049</v>
      </c>
      <c r="M91" s="39">
        <f>((($AO91+($AP91-$AO91)*IF(VLOOKUP($R91,武学奇术!$A:$ZZ,31,FALSE)=1,$F$18,0.5))*$AI91+$AJ91)*(1+$AQ91)*(1+$AR91)+(($AT91+($AU91-$AT91)*IF(VLOOKUP($R91,武学奇术!$A:$ZZ,31,FALSE)=1,$F$18,0.5))*IF($G$1="鸣金",$AK91,$AI91)+IF($G$1="鸣金",$AL91*1.5,0))*(1+$AV91)*(1+$AW91)+(($AX91+($AY91-$AX91)*IF(VLOOKUP($R91,武学奇术!$A:$ZZ,31,FALSE)=1,$F$18,0.5))*IF($G$1="裂石",$AK91,$AI91)+IF($G$1="裂石",$AL91*1.5,0))*(1+$AZ91)*(1+$BA91)+(($BB91+($BC91-$BB91)*IF(VLOOKUP($R91,武学奇术!$A:$ZZ,31,FALSE)=1,$F$18,0.5))*IF($G$1="牵丝",$AK91,$AI91)+IF($G$1="牵丝",$AL91*1.5,0))*(1+$BD91)*(1+$BE91)+(($BF91+($BG91-$BF91)*IF(VLOOKUP($R91,武学奇术!$A:$ZZ,31,FALSE)=1,$F$18,0.5))*IF($G$1="破竹",$AK91,$AI91)+IF($G$1="破竹",$AL91*1.5,0))*(1+$BH91)*(1+$BI91))*(1+$AM91)*$BL91*$Q91*(1+IF(VLOOKUP($R91,武学奇术!$A:$ZZ,30,FALSE)="蓄力技",$B$21,0))*(1+$BR91)</f>
        <v>29547.7916685769</v>
      </c>
      <c r="N91" s="39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蓄力技",$B$21,0))*(1+$BR91)</f>
        <v>27370.3262700867</v>
      </c>
      <c r="O91" s="39">
        <f>((($AO91+($AP91-$AO91)*IF(VLOOKUP($R91,武学奇术!$A:$ZZ,31,FALSE)=1,$F$18,0.5))*$AI91+$AJ91)*(1+$AQ91)*(1+$AR91)+(($AT91+($AU91-$AT91)*IF(VLOOKUP($R91,武学奇术!$A:$ZZ,31,FALSE)=1,$F$18,0.5))*IF($G$1="鸣金",$AK91,$AI91)+IF($G$1="鸣金",$AL91*1.5,0))*(1+$AV91)*(1+$AW91)+(($AX91+($AY91-$AX91)*IF(VLOOKUP($R91,武学奇术!$A:$ZZ,31,FALSE)=1,$F$18,0.5))*IF($G$1="裂石",$AK91,$AI91)+IF($G$1="裂石",$AL91*1.5,0))*(1+$AZ91)*(1+$BA91)+(($BB91+($BC91-$BB91)*IF(VLOOKUP($R91,武学奇术!$A:$ZZ,31,FALSE)=1,$F$18,0.5))*IF($G$1="牵丝",$AK91,$AI91)+IF($G$1="牵丝",$AL91*1.5,0))*(1+$BD91)*(1+$BE91)+(($BF91+($BG91-$BF91)*IF(VLOOKUP($R91,武学奇术!$A:$ZZ,31,FALSE)=1,$F$18,0.5))*IF($G$1="破竹",$AK91,$AI91)+IF($G$1="破竹",$AL91*1.5,0))*(1+$BH91)*(1+$BI91))*(1+$AM91)*$Q91*(1+IF(VLOOKUP($R91,武学奇术!$A:$ZZ,30,FALSE)="蓄力技",$B$21,0))*(1+$BR91)</f>
        <v>18016.9461393761</v>
      </c>
      <c r="P91" s="39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蓄力技",$B$21,0))*(1+$BR91)</f>
        <v>15759.5765231325</v>
      </c>
      <c r="Q91" s="40">
        <v>1</v>
      </c>
      <c r="R91" s="41" t="s">
        <v>115</v>
      </c>
      <c r="S91" s="41" t="s">
        <v>97</v>
      </c>
      <c r="T91" s="41" t="s">
        <v>73</v>
      </c>
      <c r="U91" s="41" t="s">
        <v>73</v>
      </c>
      <c r="V91" s="41" t="s">
        <v>73</v>
      </c>
      <c r="W91" s="41" t="s">
        <v>73</v>
      </c>
      <c r="X91" s="41" t="s">
        <v>73</v>
      </c>
      <c r="Y91" s="41" t="s">
        <v>164</v>
      </c>
      <c r="Z91" s="41" t="s">
        <v>83</v>
      </c>
      <c r="AA91" s="41" t="s">
        <v>73</v>
      </c>
      <c r="AB91" s="41" t="s">
        <v>84</v>
      </c>
      <c r="AC91" s="41" t="s">
        <v>73</v>
      </c>
      <c r="AD91" s="41" t="s">
        <v>73</v>
      </c>
      <c r="AE91" s="41" t="s">
        <v>76</v>
      </c>
      <c r="AF91" s="41" t="s">
        <v>77</v>
      </c>
      <c r="AG91" s="41" t="s">
        <v>78</v>
      </c>
      <c r="AH91" t="str">
        <f>VLOOKUP($R91,武学奇术!$A:$ZZ,25,FALSE)</f>
        <v>拳甲</v>
      </c>
      <c r="AI91" s="27">
        <f>VLOOKUP($R91,武学奇术!$A:$ZZ,26,FALSE)</f>
        <v>1.2876</v>
      </c>
      <c r="AJ91" s="28">
        <f>VLOOKUP($R91,武学奇术!$A:$ZZ,27,FALSE)*(1+IF(OR($AH91=$F$4,$AH91=$F$5),$B$22,0))</f>
        <v>537</v>
      </c>
      <c r="AK91" s="27">
        <f>VLOOKUP($R91,武学奇术!$A:$ZZ,28,FALSE)</f>
        <v>1.9313</v>
      </c>
      <c r="AL91" s="28">
        <f>VLOOKUP($R91,武学奇术!$A:$ZZ,29,FALSE)*(1+IF(OR($AH91=$F$4,$AH91=$F$5),$B$22,0))</f>
        <v>292.5</v>
      </c>
      <c r="AM91" s="27" cm="1">
        <f t="array" ref="AM91">$G$3+IFERROR(VLOOKUP($AH91,$F$4:$G$7,2,FALSE),0)+VLOOKUP($R91,武学奇术!$A:$ZZ,2,FALSE)+SUM(_xlfn.XLOOKUP($S91:$AG91,增益!$A:$A,增益!$B:$B,0))</f>
        <v>0.4041</v>
      </c>
      <c r="AN91" s="27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3888.382</v>
      </c>
      <c r="AP91" cm="1">
        <f t="array" ref="AP91">$E$10*(1+$AN91)+VLOOKUP($R91,武学奇术!$A:$ZZ,4,FALSE)+SUM(_xlfn.XLOOKUP($S91:$AG91,增益!$A:$A,增益!$D:$D,0))-$I$2</f>
        <v>3888.382</v>
      </c>
      <c r="AQ91" s="33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0.317</v>
      </c>
      <c r="AR91" s="33" cm="1">
        <f t="array" ref="AR91">$G$10+VLOOKUP($R91,武学奇术!$A:$ZZ,7,FALSE)+SUM(_xlfn.XLOOKUP(S91:AG91,增益!$A:$A,增益!$G:$G,0))</f>
        <v>0.09</v>
      </c>
      <c r="AS91" s="27" cm="1">
        <f t="array" ref="AS91">VLOOKUP($R91,武学奇术!$A:$ZZ,8,FALSE)+SUM(_xlfn.XLOOKUP(S91:AG91,增益!$A:$A,增益!$H:$H,0))</f>
        <v>0</v>
      </c>
      <c r="AT91">
        <f t="shared" si="34"/>
        <v>0</v>
      </c>
      <c r="AU91">
        <f t="shared" si="35"/>
        <v>0</v>
      </c>
      <c r="AV91" s="33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-0.14</v>
      </c>
      <c r="AW91" s="33" cm="1">
        <f t="array" ref="AW91">$G$11+VLOOKUP($R91,武学奇术!$A:$ZZ,10,FALSE)+SUM(_xlfn.XLOOKUP(S91:AG91,增益!$A:$A,增益!$J:$J,0))</f>
        <v>0</v>
      </c>
      <c r="AX91">
        <f t="shared" si="36"/>
        <v>0</v>
      </c>
      <c r="AY91">
        <f t="shared" si="37"/>
        <v>0</v>
      </c>
      <c r="AZ91" s="33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-0.14</v>
      </c>
      <c r="BA91" s="33" cm="1">
        <f t="array" ref="BA91">$G$12+VLOOKUP($R91,武学奇术!$A:$ZZ,12,FALSE)+SUM(_xlfn.XLOOKUP(S91:AG91,增益!$A:$A,增益!$L:$L,0))</f>
        <v>0</v>
      </c>
      <c r="BB91">
        <f t="shared" si="38"/>
        <v>0</v>
      </c>
      <c r="BC91">
        <f t="shared" si="39"/>
        <v>0</v>
      </c>
      <c r="BD91" s="33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-0.14</v>
      </c>
      <c r="BE91" s="33" cm="1">
        <f t="array" ref="BE91">$G$13+VLOOKUP($R91,武学奇术!$A:$ZZ,14,FALSE)+SUM(_xlfn.XLOOKUP(S91:AG91,增益!$A:$A,增益!$N:$N,0))</f>
        <v>0</v>
      </c>
      <c r="BF91">
        <f t="shared" si="40"/>
        <v>605.472</v>
      </c>
      <c r="BG91">
        <f t="shared" si="41"/>
        <v>1725.468</v>
      </c>
      <c r="BH91" s="33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0.08</v>
      </c>
      <c r="BI91" s="33" cm="1">
        <f t="array" ref="BI91">$G$14+VLOOKUP($R91,武学奇术!$A:$ZZ,16,FALSE)+SUM(_xlfn.XLOOKUP(S91:AG91,增益!$A:$A,增益!$P:$P,0))</f>
        <v>0.24</v>
      </c>
      <c r="BJ91" s="27">
        <f>MIN(IF(VLOOKUP($R91,武学奇术!$A:$ZZ,23,FALSE)=1,100%,$B$8),100%)</f>
        <v>1</v>
      </c>
      <c r="BK91" s="27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+MIN(IF(VLOOKUP($R91,武学奇术!$A:$ZZ,32,FALSE)=1,IF(VLOOKUP($R91,武学奇术!$A:$ZZ,24,FALSE)=1,100%,MIN(40%,$B$10+VLOOKUP($R91,武学奇术!$A:$ZZ,19,FALSE)+SUM(_xlfn.XLOOKUP(S91:AG91,增益!$A:$A,增益!$S:$S,0)))+$B$12+SUM(_xlfn.XLOOKUP(S91:AG91,增益!$A:$A,增益!$V:$V,0))),0),12%)</f>
        <v>0.9036</v>
      </c>
      <c r="BL91" s="27" cm="1">
        <f t="array" ref="BL91">1+$B$13+VLOOKUP($R91,武学奇术!$A:$ZZ,18,FALSE)+SUM(_xlfn.XLOOKUP(S91:AG91,增益!$A:$A,增益!$R:$R,0))</f>
        <v>1.64</v>
      </c>
      <c r="BM91" s="27" cm="1">
        <f t="array" ref="BM91">MAX(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-IF(VLOOKUP($R91,武学奇术!$A:$ZZ,32,FALSE)=1,12%,0),0)</f>
        <v>0.0929</v>
      </c>
      <c r="BN91" s="27" cm="1">
        <f t="array" ref="BN91">1+$B$14+VLOOKUP($R91,武学奇术!$A:$ZZ,20,FALSE)+SUM(_xlfn.XLOOKUP(S91:AG91,增益!$A:$A,增益!$T:$T,0))</f>
        <v>1.35</v>
      </c>
      <c r="BO91" s="27">
        <f t="shared" si="31"/>
        <v>0.9036</v>
      </c>
      <c r="BP91" s="27">
        <f t="shared" si="32"/>
        <v>0.00350000000000006</v>
      </c>
      <c r="BQ91" s="27">
        <f>IF(VLOOKUP($R91,武学奇术!$A:$ZZ,22,FALSE)=1,0,(1-$BJ91))*(1-$BM91)</f>
        <v>0</v>
      </c>
      <c r="BR91" s="27" cm="1">
        <f t="array" ref="BR91">SUM(_xlfn.XLOOKUP(S91:AG91,增益!$A:$A,增益!$W:$W,0))+$I$5</f>
        <v>0.11</v>
      </c>
    </row>
    <row r="92" spans="1:70">
      <c r="A92" t="s">
        <v>167</v>
      </c>
      <c r="B92">
        <v>1.23</v>
      </c>
      <c r="F92" s="40"/>
      <c r="G92" s="40" t="s">
        <v>169</v>
      </c>
      <c r="K92">
        <f>$L92*VLOOKUP($R92,武学奇术!$A:$ZZ,31,FALSE)</f>
        <v>100044.852319325</v>
      </c>
      <c r="L92" s="39">
        <f t="shared" si="33"/>
        <v>76957.5787071733</v>
      </c>
      <c r="M92" s="39">
        <f>((($AO92+($AP92-$AO92)*IF(VLOOKUP($R92,武学奇术!$A:$ZZ,31,FALSE)=1,$F$18,0.5))*$AI92+$AJ92)*(1+$AQ92)*(1+$AR92)+(($AT92+($AU92-$AT92)*IF(VLOOKUP($R92,武学奇术!$A:$ZZ,31,FALSE)=1,$F$18,0.5))*IF($G$1="鸣金",$AK92,$AI92)+IF($G$1="鸣金",$AL92*1.5,0))*(1+$AV92)*(1+$AW92)+(($AX92+($AY92-$AX92)*IF(VLOOKUP($R92,武学奇术!$A:$ZZ,31,FALSE)=1,$F$18,0.5))*IF($G$1="裂石",$AK92,$AI92)+IF($G$1="裂石",$AL92*1.5,0))*(1+$AZ92)*(1+$BA92)+(($BB92+($BC92-$BB92)*IF(VLOOKUP($R92,武学奇术!$A:$ZZ,31,FALSE)=1,$F$18,0.5))*IF($G$1="牵丝",$AK92,$AI92)+IF($G$1="牵丝",$AL92*1.5,0))*(1+$BD92)*(1+$BE92)+(($BF92+($BG92-$BF92)*IF(VLOOKUP($R92,武学奇术!$A:$ZZ,31,FALSE)=1,$F$18,0.5))*IF($G$1="破竹",$AK92,$AI92)+IF($G$1="破竹",$AL92*1.5,0))*(1+$BH92)*(1+$BI92))*(1+$AM92)*$BL92*$Q92*(1+IF(VLOOKUP($R92,武学奇术!$A:$ZZ,30,FALSE)="蓄力技",$B$21,0))*(1+$BR92)</f>
        <v>78587.3873878759</v>
      </c>
      <c r="N92" s="39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蓄力技",$B$21,0))*(1+$BR92)</f>
        <v>62478.3002636157</v>
      </c>
      <c r="O92" s="39">
        <f>((($AO92+($AP92-$AO92)*IF(VLOOKUP($R92,武学奇术!$A:$ZZ,31,FALSE)=1,$F$18,0.5))*$AI92+$AJ92)*(1+$AQ92)*(1+$AR92)+(($AT92+($AU92-$AT92)*IF(VLOOKUP($R92,武学奇术!$A:$ZZ,31,FALSE)=1,$F$18,0.5))*IF($G$1="鸣金",$AK92,$AI92)+IF($G$1="鸣金",$AL92*1.5,0))*(1+$AV92)*(1+$AW92)+(($AX92+($AY92-$AX92)*IF(VLOOKUP($R92,武学奇术!$A:$ZZ,31,FALSE)=1,$F$18,0.5))*IF($G$1="裂石",$AK92,$AI92)+IF($G$1="裂石",$AL92*1.5,0))*(1+$AZ92)*(1+$BA92)+(($BB92+($BC92-$BB92)*IF(VLOOKUP($R92,武学奇术!$A:$ZZ,31,FALSE)=1,$F$18,0.5))*IF($G$1="牵丝",$AK92,$AI92)+IF($G$1="牵丝",$AL92*1.5,0))*(1+$BD92)*(1+$BE92)+(($BF92+($BG92-$BF92)*IF(VLOOKUP($R92,武学奇术!$A:$ZZ,31,FALSE)=1,$F$18,0.5))*IF($G$1="破竹",$AK92,$AI92)+IF($G$1="破竹",$AL92*1.5,0))*(1+$BH92)*(1+$BI92))*(1+$AM92)*$Q92*(1+IF(VLOOKUP($R92,武学奇术!$A:$ZZ,30,FALSE)="蓄力技",$B$21,0))*(1+$BR92)</f>
        <v>40508.9625710701</v>
      </c>
      <c r="P92" s="39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蓄力技",$B$21,0))*(1+$BR92)</f>
        <v>34737.702724647</v>
      </c>
      <c r="Q92" s="40">
        <v>1</v>
      </c>
      <c r="R92" s="41" t="s">
        <v>117</v>
      </c>
      <c r="S92" s="41" t="s">
        <v>97</v>
      </c>
      <c r="T92" s="41" t="s">
        <v>73</v>
      </c>
      <c r="U92" s="41" t="s">
        <v>73</v>
      </c>
      <c r="V92" s="41" t="s">
        <v>73</v>
      </c>
      <c r="W92" s="41" t="s">
        <v>73</v>
      </c>
      <c r="X92" s="41" t="s">
        <v>73</v>
      </c>
      <c r="Y92" s="41" t="s">
        <v>164</v>
      </c>
      <c r="Z92" s="41" t="s">
        <v>83</v>
      </c>
      <c r="AA92" s="41" t="s">
        <v>105</v>
      </c>
      <c r="AB92" s="41" t="s">
        <v>84</v>
      </c>
      <c r="AC92" s="41" t="s">
        <v>73</v>
      </c>
      <c r="AD92" s="41" t="s">
        <v>73</v>
      </c>
      <c r="AE92" s="41" t="s">
        <v>76</v>
      </c>
      <c r="AF92" s="41" t="s">
        <v>77</v>
      </c>
      <c r="AG92" s="41" t="s">
        <v>78</v>
      </c>
      <c r="AH92" t="str">
        <f>VLOOKUP($R92,武学奇术!$A:$ZZ,25,FALSE)</f>
        <v>拳甲</v>
      </c>
      <c r="AI92" s="27">
        <f>VLOOKUP($R92,武学奇术!$A:$ZZ,26,FALSE)</f>
        <v>2.638944</v>
      </c>
      <c r="AJ92" s="28">
        <f>VLOOKUP($R92,武学奇术!$A:$ZZ,27,FALSE)*(1+IF(OR($AH92=$F$4,$AH92=$F$5),$B$22,0))</f>
        <v>0</v>
      </c>
      <c r="AK92" s="27">
        <f>VLOOKUP($R92,武学奇术!$A:$ZZ,28,FALSE)</f>
        <v>3.958416</v>
      </c>
      <c r="AL92" s="28">
        <f>VLOOKUP($R92,武学奇术!$A:$ZZ,29,FALSE)*(1+IF(OR($AH92=$F$4,$AH92=$F$5),$B$22,0))</f>
        <v>0</v>
      </c>
      <c r="AM92" s="27" cm="1">
        <f t="array" ref="AM92">$G$3+IFERROR(VLOOKUP($AH92,$F$4:$G$7,2,FALSE),0)+VLOOKUP($R92,武学奇术!$A:$ZZ,2,FALSE)+SUM(_xlfn.XLOOKUP($S92:$AG92,增益!$A:$A,增益!$B:$B,0))</f>
        <v>0.7041</v>
      </c>
      <c r="AN92" s="27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3888.382</v>
      </c>
      <c r="AP92" cm="1">
        <f t="array" ref="AP92">$E$10*(1+$AN92)+VLOOKUP($R92,武学奇术!$A:$ZZ,4,FALSE)+SUM(_xlfn.XLOOKUP($S92:$AG92,增益!$A:$A,增益!$D:$D,0))-$I$2</f>
        <v>3888.382</v>
      </c>
      <c r="AQ92" s="33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0.347</v>
      </c>
      <c r="AR92" s="33" cm="1">
        <f t="array" ref="AR92">$G$10+VLOOKUP($R92,武学奇术!$A:$ZZ,7,FALSE)+SUM(_xlfn.XLOOKUP(S92:AG92,增益!$A:$A,增益!$G:$G,0))</f>
        <v>0.09</v>
      </c>
      <c r="AS92" s="27" cm="1">
        <f t="array" ref="AS92">VLOOKUP($R92,武学奇术!$A:$ZZ,8,FALSE)+SUM(_xlfn.XLOOKUP(S92:AG92,增益!$A:$A,增益!$H:$H,0))</f>
        <v>0</v>
      </c>
      <c r="AT92">
        <f t="shared" si="34"/>
        <v>0</v>
      </c>
      <c r="AU92">
        <f t="shared" si="35"/>
        <v>0</v>
      </c>
      <c r="AV92" s="33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-0.08</v>
      </c>
      <c r="AW92" s="33" cm="1">
        <f t="array" ref="AW92">$G$11+VLOOKUP($R92,武学奇术!$A:$ZZ,10,FALSE)+SUM(_xlfn.XLOOKUP(S92:AG92,增益!$A:$A,增益!$J:$J,0))</f>
        <v>0</v>
      </c>
      <c r="AX92">
        <f t="shared" si="36"/>
        <v>0</v>
      </c>
      <c r="AY92">
        <f t="shared" si="37"/>
        <v>0</v>
      </c>
      <c r="AZ92" s="33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-0.08</v>
      </c>
      <c r="BA92" s="33" cm="1">
        <f t="array" ref="BA92">$G$12+VLOOKUP($R92,武学奇术!$A:$ZZ,12,FALSE)+SUM(_xlfn.XLOOKUP(S92:AG92,增益!$A:$A,增益!$L:$L,0))</f>
        <v>0</v>
      </c>
      <c r="BB92">
        <f t="shared" si="38"/>
        <v>0</v>
      </c>
      <c r="BC92">
        <f t="shared" si="39"/>
        <v>0</v>
      </c>
      <c r="BD92" s="33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-0.08</v>
      </c>
      <c r="BE92" s="33" cm="1">
        <f t="array" ref="BE92">$G$13+VLOOKUP($R92,武学奇术!$A:$ZZ,14,FALSE)+SUM(_xlfn.XLOOKUP(S92:AG92,增益!$A:$A,增益!$N:$N,0))</f>
        <v>0</v>
      </c>
      <c r="BF92">
        <f t="shared" si="40"/>
        <v>605.472</v>
      </c>
      <c r="BG92">
        <f t="shared" si="41"/>
        <v>1725.468</v>
      </c>
      <c r="BH92" s="33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0.11</v>
      </c>
      <c r="BI92" s="33" cm="1">
        <f t="array" ref="BI92">$G$14+VLOOKUP($R92,武学奇术!$A:$ZZ,16,FALSE)+SUM(_xlfn.XLOOKUP(S92:AG92,增益!$A:$A,增益!$P:$P,0))</f>
        <v>0.24</v>
      </c>
      <c r="BJ92" s="27">
        <f>MIN(IF(VLOOKUP($R92,武学奇术!$A:$ZZ,23,FALSE)=1,100%,$B$8),100%)</f>
        <v>1</v>
      </c>
      <c r="BK92" s="27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+MIN(IF(VLOOKUP($R92,武学奇术!$A:$ZZ,32,FALSE)=1,IF(VLOOKUP($R92,武学奇术!$A:$ZZ,24,FALSE)=1,100%,MIN(40%,$B$10+VLOOKUP($R92,武学奇术!$A:$ZZ,19,FALSE)+SUM(_xlfn.XLOOKUP(S92:AG92,增益!$A:$A,增益!$S:$S,0)))+$B$12+SUM(_xlfn.XLOOKUP(S92:AG92,增益!$A:$A,增益!$V:$V,0))),0),12%)</f>
        <v>0.9036</v>
      </c>
      <c r="BL92" s="27" cm="1">
        <f t="array" ref="BL92">1+$B$13+VLOOKUP($R92,武学奇术!$A:$ZZ,18,FALSE)+SUM(_xlfn.XLOOKUP(S92:AG92,增益!$A:$A,增益!$R:$R,0))</f>
        <v>1.94</v>
      </c>
      <c r="BM92" s="27" cm="1">
        <f t="array" ref="BM92">MAX(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-IF(VLOOKUP($R92,武学奇术!$A:$ZZ,32,FALSE)=1,12%,0),0)</f>
        <v>0.0929</v>
      </c>
      <c r="BN92" s="27" cm="1">
        <f t="array" ref="BN92">1+$B$14+VLOOKUP($R92,武学奇术!$A:$ZZ,20,FALSE)+SUM(_xlfn.XLOOKUP(S92:AG92,增益!$A:$A,增益!$T:$T,0))</f>
        <v>1.35</v>
      </c>
      <c r="BO92" s="27">
        <f t="shared" si="31"/>
        <v>0.9036</v>
      </c>
      <c r="BP92" s="27">
        <f t="shared" si="32"/>
        <v>0.00350000000000006</v>
      </c>
      <c r="BQ92" s="27">
        <f>IF(VLOOKUP($R92,武学奇术!$A:$ZZ,22,FALSE)=1,0,(1-$BJ92))*(1-$BM92)</f>
        <v>0</v>
      </c>
      <c r="BR92" s="27" cm="1">
        <f t="array" ref="BR92">SUM(_xlfn.XLOOKUP(S92:AG92,增益!$A:$A,增益!$W:$W,0))+$I$5</f>
        <v>0.11</v>
      </c>
    </row>
    <row r="93" spans="1:70">
      <c r="A93" s="4" t="s">
        <v>184</v>
      </c>
      <c r="B93" s="91">
        <v>1.16</v>
      </c>
      <c r="F93" s="40"/>
      <c r="G93" s="40"/>
      <c r="K93">
        <f>$L93*VLOOKUP($R93,武学奇术!$A:$ZZ,31,FALSE)</f>
        <v>129943.826068229</v>
      </c>
      <c r="L93" s="39">
        <f t="shared" si="33"/>
        <v>129943.826068229</v>
      </c>
      <c r="M93" s="39">
        <f>((($AO93+($AP93-$AO93)*IF(VLOOKUP($R93,武学奇术!$A:$ZZ,31,FALSE)=1,$F$18,0.5))*$AI93+$AJ93)*(1+$AQ93)*(1+$AR93)+(($AT93+($AU93-$AT93)*IF(VLOOKUP($R93,武学奇术!$A:$ZZ,31,FALSE)=1,$F$18,0.5))*IF($G$1="鸣金",$AK93,$AI93)+IF($G$1="鸣金",$AL93*1.5,0))*(1+$AV93)*(1+$AW93)+(($AX93+($AY93-$AX93)*IF(VLOOKUP($R93,武学奇术!$A:$ZZ,31,FALSE)=1,$F$18,0.5))*IF($G$1="裂石",$AK93,$AI93)+IF($G$1="裂石",$AL93*1.5,0))*(1+$AZ93)*(1+$BA93)+(($BB93+($BC93-$BB93)*IF(VLOOKUP($R93,武学奇术!$A:$ZZ,31,FALSE)=1,$F$18,0.5))*IF($G$1="牵丝",$AK93,$AI93)+IF($G$1="牵丝",$AL93*1.5,0))*(1+$BD93)*(1+$BE93)+(($BF93+($BG93-$BF93)*IF(VLOOKUP($R93,武学奇术!$A:$ZZ,31,FALSE)=1,$F$18,0.5))*IF($G$1="破竹",$AK93,$AI93)+IF($G$1="破竹",$AL93*1.5,0))*(1+$BH93)*(1+$BI93))*(1+$AM93)*$BL93*$Q93*(1+IF(VLOOKUP($R93,武学奇术!$A:$ZZ,30,FALSE)="蓄力技",$B$21,0))*(1+$BR93)</f>
        <v>130899.624593499</v>
      </c>
      <c r="N93" s="39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蓄力技",$B$21,0))*(1+$BR93)</f>
        <v>122535.697853801</v>
      </c>
      <c r="O93" s="39">
        <f>((($AO93+($AP93-$AO93)*IF(VLOOKUP($R93,武学奇术!$A:$ZZ,31,FALSE)=1,$F$18,0.5))*$AI93+$AJ93)*(1+$AQ93)*(1+$AR93)+(($AT93+($AU93-$AT93)*IF(VLOOKUP($R93,武学奇术!$A:$ZZ,31,FALSE)=1,$F$18,0.5))*IF($G$1="鸣金",$AK93,$AI93)+IF($G$1="鸣金",$AL93*1.5,0))*(1+$AV93)*(1+$AW93)+(($AX93+($AY93-$AX93)*IF(VLOOKUP($R93,武学奇术!$A:$ZZ,31,FALSE)=1,$F$18,0.5))*IF($G$1="裂石",$AK93,$AI93)+IF($G$1="裂石",$AL93*1.5,0))*(1+$AZ93)*(1+$BA93)+(($BB93+($BC93-$BB93)*IF(VLOOKUP($R93,武学奇术!$A:$ZZ,31,FALSE)=1,$F$18,0.5))*IF($G$1="牵丝",$AK93,$AI93)+IF($G$1="牵丝",$AL93*1.5,0))*(1+$BD93)*(1+$BE93)+(($BF93+($BG93-$BF93)*IF(VLOOKUP($R93,武学奇术!$A:$ZZ,31,FALSE)=1,$F$18,0.5))*IF($G$1="破竹",$AK93,$AI93)+IF($G$1="破竹",$AL93*1.5,0))*(1+$BH93)*(1+$BI93))*(1+$AM93)*$Q93*(1+IF(VLOOKUP($R93,武学奇术!$A:$ZZ,30,FALSE)="蓄力技",$B$21,0))*(1+$BR93)</f>
        <v>79816.8442643286</v>
      </c>
      <c r="P93" s="39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蓄力技",$B$21,0))*(1+$BR93)</f>
        <v>68866.5049332488</v>
      </c>
      <c r="Q93" s="40">
        <v>1</v>
      </c>
      <c r="R93" s="41" t="s">
        <v>177</v>
      </c>
      <c r="S93" s="41" t="s">
        <v>97</v>
      </c>
      <c r="T93" s="41" t="s">
        <v>73</v>
      </c>
      <c r="U93" s="41" t="s">
        <v>73</v>
      </c>
      <c r="V93" s="41" t="s">
        <v>73</v>
      </c>
      <c r="W93" s="41" t="s">
        <v>73</v>
      </c>
      <c r="X93" s="41" t="s">
        <v>73</v>
      </c>
      <c r="Y93" s="41" t="s">
        <v>164</v>
      </c>
      <c r="Z93" s="41" t="s">
        <v>83</v>
      </c>
      <c r="AA93" s="41" t="s">
        <v>73</v>
      </c>
      <c r="AB93" s="41" t="s">
        <v>84</v>
      </c>
      <c r="AC93" s="41" t="s">
        <v>73</v>
      </c>
      <c r="AD93" s="41" t="s">
        <v>73</v>
      </c>
      <c r="AE93" s="41" t="s">
        <v>76</v>
      </c>
      <c r="AF93" s="41" t="s">
        <v>77</v>
      </c>
      <c r="AG93" s="41" t="s">
        <v>78</v>
      </c>
      <c r="AH93" t="str">
        <f>VLOOKUP($R93,武学奇术!$A:$ZZ,25,FALSE)</f>
        <v>单体奇术</v>
      </c>
      <c r="AI93" s="27">
        <f>VLOOKUP($R93,武学奇术!$A:$ZZ,26,FALSE)</f>
        <v>7.1084</v>
      </c>
      <c r="AJ93" s="28">
        <f>VLOOKUP($R93,武学奇术!$A:$ZZ,27,FALSE)*(1+IF(OR($AH93=$F$4,$AH93=$F$5),$B$22,0))</f>
        <v>1369</v>
      </c>
      <c r="AK93" s="27">
        <f>VLOOKUP($R93,武学奇术!$A:$ZZ,28,FALSE)</f>
        <v>10.6626</v>
      </c>
      <c r="AL93" s="28">
        <f>VLOOKUP($R93,武学奇术!$A:$ZZ,29,FALSE)*(1+IF(OR($AH93=$F$4,$AH93=$F$5),$B$22,0))</f>
        <v>0</v>
      </c>
      <c r="AM93" s="27" cm="1">
        <f t="array" ref="AM93">$G$3+IFERROR(VLOOKUP($AH93,$F$4:$G$7,2,FALSE),0)+VLOOKUP($R93,武学奇术!$A:$ZZ,2,FALSE)+SUM(_xlfn.XLOOKUP($S93:$AG93,增益!$A:$A,增益!$B:$B,0))</f>
        <v>0.2337</v>
      </c>
      <c r="AN93" s="27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3888.382</v>
      </c>
      <c r="AP93" cm="1">
        <f t="array" ref="AP93">$E$10*(1+$AN93)+VLOOKUP($R93,武学奇术!$A:$ZZ,4,FALSE)+SUM(_xlfn.XLOOKUP($S93:$AG93,增益!$A:$A,增益!$D:$D,0))-$I$2</f>
        <v>3888.382</v>
      </c>
      <c r="AQ93" s="33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0.317</v>
      </c>
      <c r="AR93" s="33" cm="1">
        <f t="array" ref="AR93">$G$10+VLOOKUP($R93,武学奇术!$A:$ZZ,7,FALSE)+SUM(_xlfn.XLOOKUP(S93:AG93,增益!$A:$A,增益!$G:$G,0))</f>
        <v>0.09</v>
      </c>
      <c r="AS93" s="27" cm="1">
        <f t="array" ref="AS93">VLOOKUP($R93,武学奇术!$A:$ZZ,8,FALSE)+SUM(_xlfn.XLOOKUP(S93:AG93,增益!$A:$A,增益!$H:$H,0))</f>
        <v>0</v>
      </c>
      <c r="AT93">
        <f t="shared" si="34"/>
        <v>0</v>
      </c>
      <c r="AU93">
        <f t="shared" si="35"/>
        <v>0</v>
      </c>
      <c r="AV93" s="33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-0.14</v>
      </c>
      <c r="AW93" s="33" cm="1">
        <f t="array" ref="AW93">$G$11+VLOOKUP($R93,武学奇术!$A:$ZZ,10,FALSE)+SUM(_xlfn.XLOOKUP(S93:AG93,增益!$A:$A,增益!$J:$J,0))</f>
        <v>0</v>
      </c>
      <c r="AX93">
        <f t="shared" si="36"/>
        <v>0</v>
      </c>
      <c r="AY93">
        <f t="shared" si="37"/>
        <v>0</v>
      </c>
      <c r="AZ93" s="33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-0.14</v>
      </c>
      <c r="BA93" s="33" cm="1">
        <f t="array" ref="BA93">$G$12+VLOOKUP($R93,武学奇术!$A:$ZZ,12,FALSE)+SUM(_xlfn.XLOOKUP(S93:AG93,增益!$A:$A,增益!$L:$L,0))</f>
        <v>0</v>
      </c>
      <c r="BB93">
        <f t="shared" si="38"/>
        <v>0</v>
      </c>
      <c r="BC93">
        <f t="shared" si="39"/>
        <v>0</v>
      </c>
      <c r="BD93" s="33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-0.14</v>
      </c>
      <c r="BE93" s="33" cm="1">
        <f t="array" ref="BE93">$G$13+VLOOKUP($R93,武学奇术!$A:$ZZ,14,FALSE)+SUM(_xlfn.XLOOKUP(S93:AG93,增益!$A:$A,增益!$N:$N,0))</f>
        <v>0</v>
      </c>
      <c r="BF93">
        <f t="shared" si="40"/>
        <v>605.472</v>
      </c>
      <c r="BG93">
        <f t="shared" si="41"/>
        <v>1725.468</v>
      </c>
      <c r="BH93" s="33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0.08</v>
      </c>
      <c r="BI93" s="33" cm="1">
        <f t="array" ref="BI93">$G$14+VLOOKUP($R93,武学奇术!$A:$ZZ,16,FALSE)+SUM(_xlfn.XLOOKUP(S93:AG93,增益!$A:$A,增益!$P:$P,0))</f>
        <v>0.24</v>
      </c>
      <c r="BJ93" s="27">
        <f>MIN(IF(VLOOKUP($R93,武学奇术!$A:$ZZ,23,FALSE)=1,100%,$B$8),100%)</f>
        <v>1</v>
      </c>
      <c r="BK93" s="27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+MIN(IF(VLOOKUP($R93,武学奇术!$A:$ZZ,32,FALSE)=1,IF(VLOOKUP($R93,武学奇术!$A:$ZZ,24,FALSE)=1,100%,MIN(40%,$B$10+VLOOKUP($R93,武学奇术!$A:$ZZ,19,FALSE)+SUM(_xlfn.XLOOKUP(S93:AG93,增益!$A:$A,增益!$S:$S,0)))+$B$12+SUM(_xlfn.XLOOKUP(S93:AG93,增益!$A:$A,增益!$V:$V,0))),0),12%)</f>
        <v>0.9036</v>
      </c>
      <c r="BL93" s="27" cm="1">
        <f t="array" ref="BL93">1+$B$13+VLOOKUP($R93,武学奇术!$A:$ZZ,18,FALSE)+SUM(_xlfn.XLOOKUP(S93:AG93,增益!$A:$A,增益!$R:$R,0))</f>
        <v>1.64</v>
      </c>
      <c r="BM93" s="27" cm="1">
        <f t="array" ref="BM93">MAX(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-IF(VLOOKUP($R93,武学奇术!$A:$ZZ,32,FALSE)=1,12%,0),0)</f>
        <v>0.0929</v>
      </c>
      <c r="BN93" s="27" cm="1">
        <f t="array" ref="BN93">1+$B$14+VLOOKUP($R93,武学奇术!$A:$ZZ,20,FALSE)+SUM(_xlfn.XLOOKUP(S93:AG93,增益!$A:$A,增益!$T:$T,0))</f>
        <v>1.35</v>
      </c>
      <c r="BO93" s="27">
        <f t="shared" si="31"/>
        <v>0.9036</v>
      </c>
      <c r="BP93" s="27">
        <f t="shared" si="32"/>
        <v>0.00350000000000006</v>
      </c>
      <c r="BQ93" s="27">
        <f>IF(VLOOKUP($R93,武学奇术!$A:$ZZ,22,FALSE)=1,0,(1-$BJ93))*(1-$BM93)</f>
        <v>0</v>
      </c>
      <c r="BR93" s="27" cm="1">
        <f t="array" ref="BR93">SUM(_xlfn.XLOOKUP(S93:AG93,增益!$A:$A,增益!$W:$W,0))+$I$5</f>
        <v>0.11</v>
      </c>
    </row>
    <row r="94" spans="1:70">
      <c r="A94" s="4" t="s">
        <v>187</v>
      </c>
      <c r="B94" s="91">
        <v>1.7</v>
      </c>
      <c r="F94" s="40"/>
      <c r="G94" s="40"/>
      <c r="K94">
        <f>$L94*VLOOKUP($R94,武学奇术!$A:$ZZ,31,FALSE)</f>
        <v>54223.9431479836</v>
      </c>
      <c r="L94" s="39">
        <f t="shared" si="33"/>
        <v>54223.9431479836</v>
      </c>
      <c r="M94" s="39">
        <f>((($AO94+($AP94-$AO94)*IF(VLOOKUP($R94,武学奇术!$A:$ZZ,31,FALSE)=1,$F$18,0.5))*$AI94+$AJ94)*(1+$AQ94)*(1+$AR94)+(($AT94+($AU94-$AT94)*IF(VLOOKUP($R94,武学奇术!$A:$ZZ,31,FALSE)=1,$F$18,0.5))*IF($G$1="鸣金",$AK94,$AI94)+IF($G$1="鸣金",$AL94*1.5,0))*(1+$AV94)*(1+$AW94)+(($AX94+($AY94-$AX94)*IF(VLOOKUP($R94,武学奇术!$A:$ZZ,31,FALSE)=1,$F$18,0.5))*IF($G$1="裂石",$AK94,$AI94)+IF($G$1="裂石",$AL94*1.5,0))*(1+$AZ94)*(1+$BA94)+(($BB94+($BC94-$BB94)*IF(VLOOKUP($R94,武学奇术!$A:$ZZ,31,FALSE)=1,$F$18,0.5))*IF($G$1="牵丝",$AK94,$AI94)+IF($G$1="牵丝",$AL94*1.5,0))*(1+$BD94)*(1+$BE94)+(($BF94+($BG94-$BF94)*IF(VLOOKUP($R94,武学奇术!$A:$ZZ,31,FALSE)=1,$F$18,0.5))*IF($G$1="破竹",$AK94,$AI94)+IF($G$1="破竹",$AL94*1.5,0))*(1+$BH94)*(1+$BI94))*(1+$AM94)*$BL94*$Q94*(1+IF(VLOOKUP($R94,武学奇术!$A:$ZZ,30,FALSE)="蓄力技",$B$21,0))*(1+$BR94)</f>
        <v>54699.9997510417</v>
      </c>
      <c r="N94" s="39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蓄力技",$B$21,0))*(1+$BR94)</f>
        <v>50379.8231280471</v>
      </c>
      <c r="O94" s="39">
        <f>((($AO94+($AP94-$AO94)*IF(VLOOKUP($R94,武学奇术!$A:$ZZ,31,FALSE)=1,$F$18,0.5))*$AI94+$AJ94)*(1+$AQ94)*(1+$AR94)+(($AT94+($AU94-$AT94)*IF(VLOOKUP($R94,武学奇术!$A:$ZZ,31,FALSE)=1,$F$18,0.5))*IF($G$1="鸣金",$AK94,$AI94)+IF($G$1="鸣金",$AL94*1.5,0))*(1+$AV94)*(1+$AW94)+(($AX94+($AY94-$AX94)*IF(VLOOKUP($R94,武学奇术!$A:$ZZ,31,FALSE)=1,$F$18,0.5))*IF($G$1="裂石",$AK94,$AI94)+IF($G$1="裂石",$AL94*1.5,0))*(1+$AZ94)*(1+$BA94)+(($BB94+($BC94-$BB94)*IF(VLOOKUP($R94,武学奇术!$A:$ZZ,31,FALSE)=1,$F$18,0.5))*IF($G$1="牵丝",$AK94,$AI94)+IF($G$1="牵丝",$AL94*1.5,0))*(1+$BD94)*(1+$BE94)+(($BF94+($BG94-$BF94)*IF(VLOOKUP($R94,武学奇术!$A:$ZZ,31,FALSE)=1,$F$18,0.5))*IF($G$1="破竹",$AK94,$AI94)+IF($G$1="破竹",$AL94*1.5,0))*(1+$BH94)*(1+$BI94))*(1+$AM94)*$Q94*(1+IF(VLOOKUP($R94,武学奇术!$A:$ZZ,30,FALSE)="蓄力技",$B$21,0))*(1+$BR94)</f>
        <v>33353.6583847815</v>
      </c>
      <c r="P94" s="39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蓄力技",$B$21,0))*(1+$BR94)</f>
        <v>29388.929267306</v>
      </c>
      <c r="Q94" s="40">
        <v>1</v>
      </c>
      <c r="R94" s="41" t="s">
        <v>120</v>
      </c>
      <c r="S94" s="41" t="s">
        <v>97</v>
      </c>
      <c r="T94" s="41" t="s">
        <v>73</v>
      </c>
      <c r="U94" s="41" t="s">
        <v>73</v>
      </c>
      <c r="V94" s="41" t="s">
        <v>73</v>
      </c>
      <c r="W94" s="41" t="s">
        <v>73</v>
      </c>
      <c r="X94" s="41" t="s">
        <v>73</v>
      </c>
      <c r="Y94" s="41" t="s">
        <v>164</v>
      </c>
      <c r="Z94" s="41" t="s">
        <v>73</v>
      </c>
      <c r="AA94" s="41" t="s">
        <v>73</v>
      </c>
      <c r="AB94" s="41" t="s">
        <v>84</v>
      </c>
      <c r="AC94" s="41" t="s">
        <v>73</v>
      </c>
      <c r="AD94" s="41" t="s">
        <v>73</v>
      </c>
      <c r="AE94" s="41" t="s">
        <v>76</v>
      </c>
      <c r="AF94" s="41" t="s">
        <v>77</v>
      </c>
      <c r="AG94" s="41" t="s">
        <v>78</v>
      </c>
      <c r="AH94" t="str">
        <f>VLOOKUP($R94,武学奇术!$A:$ZZ,25,FALSE)</f>
        <v>拳甲</v>
      </c>
      <c r="AI94" s="27">
        <f>VLOOKUP($R94,武学奇术!$A:$ZZ,26,FALSE)</f>
        <v>2.4421</v>
      </c>
      <c r="AJ94" s="28">
        <f>VLOOKUP($R94,武学奇术!$A:$ZZ,27,FALSE)*(1+IF(OR($AH94=$F$4,$AH94=$F$5),$B$22,0))</f>
        <v>1012.5</v>
      </c>
      <c r="AK94" s="27">
        <f>VLOOKUP($R94,武学奇术!$A:$ZZ,28,FALSE)</f>
        <v>3.6634</v>
      </c>
      <c r="AL94" s="28">
        <f>VLOOKUP($R94,武学奇术!$A:$ZZ,29,FALSE)*(1+IF(OR($AH94=$F$4,$AH94=$F$5),$B$22,0))</f>
        <v>549</v>
      </c>
      <c r="AM94" s="27" cm="1">
        <f t="array" ref="AM94">$G$3+IFERROR(VLOOKUP($AH94,$F$4:$G$7,2,FALSE),0)+VLOOKUP($R94,武学奇术!$A:$ZZ,2,FALSE)+SUM(_xlfn.XLOOKUP($S94:$AG94,增益!$A:$A,增益!$B:$B,0))</f>
        <v>0.4041</v>
      </c>
      <c r="AN94" s="27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3888.382</v>
      </c>
      <c r="AP94" cm="1">
        <f t="array" ref="AP94">$E$10*(1+$AN94)+VLOOKUP($R94,武学奇术!$A:$ZZ,4,FALSE)+SUM(_xlfn.XLOOKUP($S94:$AG94,增益!$A:$A,增益!$D:$D,0))-$I$2</f>
        <v>3888.382</v>
      </c>
      <c r="AQ94" s="33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0.317</v>
      </c>
      <c r="AR94" s="33" cm="1">
        <f t="array" ref="AR94">$G$10+VLOOKUP($R94,武学奇术!$A:$ZZ,7,FALSE)+SUM(_xlfn.XLOOKUP(S94:AG94,增益!$A:$A,增益!$G:$G,0))</f>
        <v>0.09</v>
      </c>
      <c r="AS94" s="27" cm="1">
        <f t="array" ref="AS94">VLOOKUP($R94,武学奇术!$A:$ZZ,8,FALSE)+SUM(_xlfn.XLOOKUP(S94:AG94,增益!$A:$A,增益!$H:$H,0))</f>
        <v>0</v>
      </c>
      <c r="AT94">
        <f t="shared" si="34"/>
        <v>0</v>
      </c>
      <c r="AU94">
        <f t="shared" si="35"/>
        <v>0</v>
      </c>
      <c r="AV94" s="33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-0.3</v>
      </c>
      <c r="AW94" s="33" cm="1">
        <f t="array" ref="AW94">$G$11+VLOOKUP($R94,武学奇术!$A:$ZZ,10,FALSE)+SUM(_xlfn.XLOOKUP(S94:AG94,增益!$A:$A,增益!$J:$J,0))</f>
        <v>0</v>
      </c>
      <c r="AX94">
        <f t="shared" si="36"/>
        <v>0</v>
      </c>
      <c r="AY94">
        <f t="shared" si="37"/>
        <v>0</v>
      </c>
      <c r="AZ94" s="33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-0.3</v>
      </c>
      <c r="BA94" s="33" cm="1">
        <f t="array" ref="BA94">$G$12+VLOOKUP($R94,武学奇术!$A:$ZZ,12,FALSE)+SUM(_xlfn.XLOOKUP(S94:AG94,增益!$A:$A,增益!$L:$L,0))</f>
        <v>0</v>
      </c>
      <c r="BB94">
        <f t="shared" si="38"/>
        <v>0</v>
      </c>
      <c r="BC94">
        <f t="shared" si="39"/>
        <v>0</v>
      </c>
      <c r="BD94" s="33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-0.3</v>
      </c>
      <c r="BE94" s="33" cm="1">
        <f t="array" ref="BE94">$G$13+VLOOKUP($R94,武学奇术!$A:$ZZ,14,FALSE)+SUM(_xlfn.XLOOKUP(S94:AG94,增益!$A:$A,增益!$N:$N,0))</f>
        <v>0</v>
      </c>
      <c r="BF94">
        <f t="shared" si="40"/>
        <v>605.472</v>
      </c>
      <c r="BG94">
        <f t="shared" si="41"/>
        <v>1725.468</v>
      </c>
      <c r="BH94" s="33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0</v>
      </c>
      <c r="BI94" s="33" cm="1">
        <f t="array" ref="BI94">$G$14+VLOOKUP($R94,武学奇术!$A:$ZZ,16,FALSE)+SUM(_xlfn.XLOOKUP(S94:AG94,增益!$A:$A,增益!$P:$P,0))</f>
        <v>0.24</v>
      </c>
      <c r="BJ94" s="27">
        <f>MIN(IF(VLOOKUP($R94,武学奇术!$A:$ZZ,23,FALSE)=1,100%,$B$8),100%)</f>
        <v>1</v>
      </c>
      <c r="BK94" s="27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+MIN(IF(VLOOKUP($R94,武学奇术!$A:$ZZ,32,FALSE)=1,IF(VLOOKUP($R94,武学奇术!$A:$ZZ,24,FALSE)=1,100%,MIN(40%,$B$10+VLOOKUP($R94,武学奇术!$A:$ZZ,19,FALSE)+SUM(_xlfn.XLOOKUP(S94:AG94,增益!$A:$A,增益!$S:$S,0)))+$B$12+SUM(_xlfn.XLOOKUP(S94:AG94,增益!$A:$A,增益!$V:$V,0))),0),12%)</f>
        <v>0.9036</v>
      </c>
      <c r="BL94" s="27" cm="1">
        <f t="array" ref="BL94">1+$B$13+VLOOKUP($R94,武学奇术!$A:$ZZ,18,FALSE)+SUM(_xlfn.XLOOKUP(S94:AG94,增益!$A:$A,增益!$R:$R,0))</f>
        <v>1.64</v>
      </c>
      <c r="BM94" s="27" cm="1">
        <f t="array" ref="BM94">MAX(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-IF(VLOOKUP($R94,武学奇术!$A:$ZZ,32,FALSE)=1,12%,0),0)</f>
        <v>0.0929</v>
      </c>
      <c r="BN94" s="27" cm="1">
        <f t="array" ref="BN94">1+$B$14+VLOOKUP($R94,武学奇术!$A:$ZZ,20,FALSE)+SUM(_xlfn.XLOOKUP(S94:AG94,增益!$A:$A,增益!$T:$T,0))</f>
        <v>1.35</v>
      </c>
      <c r="BO94" s="27">
        <f t="shared" si="31"/>
        <v>0.9036</v>
      </c>
      <c r="BP94" s="27">
        <f t="shared" si="32"/>
        <v>0.00350000000000006</v>
      </c>
      <c r="BQ94" s="27">
        <f>IF(VLOOKUP($R94,武学奇术!$A:$ZZ,22,FALSE)=1,0,(1-$BJ94))*(1-$BM94)</f>
        <v>0</v>
      </c>
      <c r="BR94" s="27" cm="1">
        <f t="array" ref="BR94">SUM(_xlfn.XLOOKUP(S94:AG94,增益!$A:$A,增益!$W:$W,0))+$I$5</f>
        <v>0.11</v>
      </c>
    </row>
    <row r="95" spans="1:70">
      <c r="A95" s="4" t="s">
        <v>171</v>
      </c>
      <c r="B95" s="91">
        <v>0.5</v>
      </c>
      <c r="E95" s="40" t="s">
        <v>172</v>
      </c>
      <c r="F95" s="40"/>
      <c r="G95" s="40"/>
      <c r="K95">
        <f>$L95*VLOOKUP($R95,武学奇术!$A:$ZZ,31,FALSE)</f>
        <v>28614.3367680085</v>
      </c>
      <c r="L95" s="39">
        <f t="shared" si="33"/>
        <v>28614.3367680085</v>
      </c>
      <c r="M95" s="39">
        <f>((($AO95+($AP95-$AO95)*IF(VLOOKUP($R95,武学奇术!$A:$ZZ,31,FALSE)=1,$F$18,0.5))*$AI95+$AJ95)*(1+$AQ95)*(1+$AR95)+(($AT95+($AU95-$AT95)*IF(VLOOKUP($R95,武学奇术!$A:$ZZ,31,FALSE)=1,$F$18,0.5))*IF($G$1="鸣金",$AK95,$AI95)+IF($G$1="鸣金",$AL95*1.5,0))*(1+$AV95)*(1+$AW95)+(($AX95+($AY95-$AX95)*IF(VLOOKUP($R95,武学奇术!$A:$ZZ,31,FALSE)=1,$F$18,0.5))*IF($G$1="裂石",$AK95,$AI95)+IF($G$1="裂石",$AL95*1.5,0))*(1+$AZ95)*(1+$BA95)+(($BB95+($BC95-$BB95)*IF(VLOOKUP($R95,武学奇术!$A:$ZZ,31,FALSE)=1,$F$18,0.5))*IF($G$1="牵丝",$AK95,$AI95)+IF($G$1="牵丝",$AL95*1.5,0))*(1+$BD95)*(1+$BE95)+(($BF95+($BG95-$BF95)*IF(VLOOKUP($R95,武学奇术!$A:$ZZ,31,FALSE)=1,$F$18,0.5))*IF($G$1="破竹",$AK95,$AI95)+IF($G$1="破竹",$AL95*1.5,0))*(1+$BH95)*(1+$BI95))*(1+$AM95)*$BL95*$Q95*(1+IF(VLOOKUP($R95,武学奇术!$A:$ZZ,30,FALSE)="蓄力技",$B$21,0))*(1+$BR95)</f>
        <v>28865.8176635416</v>
      </c>
      <c r="N95" s="39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蓄力技",$B$21,0))*(1+$BR95)</f>
        <v>26583.2082677321</v>
      </c>
      <c r="O95" s="39">
        <f>((($AO95+($AP95-$AO95)*IF(VLOOKUP($R95,武学奇术!$A:$ZZ,31,FALSE)=1,$F$18,0.5))*$AI95+$AJ95)*(1+$AQ95)*(1+$AR95)+(($AT95+($AU95-$AT95)*IF(VLOOKUP($R95,武学奇术!$A:$ZZ,31,FALSE)=1,$F$18,0.5))*IF($G$1="鸣金",$AK95,$AI95)+IF($G$1="鸣金",$AL95*1.5,0))*(1+$AV95)*(1+$AW95)+(($AX95+($AY95-$AX95)*IF(VLOOKUP($R95,武学奇术!$A:$ZZ,31,FALSE)=1,$F$18,0.5))*IF($G$1="裂石",$AK95,$AI95)+IF($G$1="裂石",$AL95*1.5,0))*(1+$AZ95)*(1+$BA95)+(($BB95+($BC95-$BB95)*IF(VLOOKUP($R95,武学奇术!$A:$ZZ,31,FALSE)=1,$F$18,0.5))*IF($G$1="牵丝",$AK95,$AI95)+IF($G$1="牵丝",$AL95*1.5,0))*(1+$BD95)*(1+$BE95)+(($BF95+($BG95-$BF95)*IF(VLOOKUP($R95,武学奇术!$A:$ZZ,31,FALSE)=1,$F$18,0.5))*IF($G$1="破竹",$AK95,$AI95)+IF($G$1="破竹",$AL95*1.5,0))*(1+$BH95)*(1+$BI95))*(1+$AM95)*$Q95*(1+IF(VLOOKUP($R95,武学奇术!$A:$ZZ,30,FALSE)="蓄力技",$B$21,0))*(1+$BR95)</f>
        <v>17601.1083314278</v>
      </c>
      <c r="P95" s="39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蓄力技",$B$21,0))*(1+$BR95)</f>
        <v>15510.9512793503</v>
      </c>
      <c r="Q95" s="40">
        <v>1</v>
      </c>
      <c r="R95" s="41" t="s">
        <v>115</v>
      </c>
      <c r="S95" s="41" t="s">
        <v>97</v>
      </c>
      <c r="T95" s="41" t="s">
        <v>73</v>
      </c>
      <c r="U95" s="41" t="s">
        <v>73</v>
      </c>
      <c r="V95" s="41" t="s">
        <v>73</v>
      </c>
      <c r="W95" s="41" t="s">
        <v>73</v>
      </c>
      <c r="X95" s="41" t="s">
        <v>73</v>
      </c>
      <c r="Y95" s="41" t="s">
        <v>164</v>
      </c>
      <c r="Z95" s="41" t="s">
        <v>73</v>
      </c>
      <c r="AA95" s="41" t="s">
        <v>73</v>
      </c>
      <c r="AB95" s="41" t="s">
        <v>84</v>
      </c>
      <c r="AC95" s="41" t="s">
        <v>73</v>
      </c>
      <c r="AD95" s="41" t="s">
        <v>73</v>
      </c>
      <c r="AE95" s="41" t="s">
        <v>76</v>
      </c>
      <c r="AF95" s="41" t="s">
        <v>77</v>
      </c>
      <c r="AG95" s="41" t="s">
        <v>78</v>
      </c>
      <c r="AH95" t="str">
        <f>VLOOKUP($R95,武学奇术!$A:$ZZ,25,FALSE)</f>
        <v>拳甲</v>
      </c>
      <c r="AI95" s="27">
        <f>VLOOKUP($R95,武学奇术!$A:$ZZ,26,FALSE)</f>
        <v>1.2876</v>
      </c>
      <c r="AJ95" s="28">
        <f>VLOOKUP($R95,武学奇术!$A:$ZZ,27,FALSE)*(1+IF(OR($AH95=$F$4,$AH95=$F$5),$B$22,0))</f>
        <v>537</v>
      </c>
      <c r="AK95" s="27">
        <f>VLOOKUP($R95,武学奇术!$A:$ZZ,28,FALSE)</f>
        <v>1.9313</v>
      </c>
      <c r="AL95" s="28">
        <f>VLOOKUP($R95,武学奇术!$A:$ZZ,29,FALSE)*(1+IF(OR($AH95=$F$4,$AH95=$F$5),$B$22,0))</f>
        <v>292.5</v>
      </c>
      <c r="AM95" s="27" cm="1">
        <f t="array" ref="AM95">$G$3+IFERROR(VLOOKUP($AH95,$F$4:$G$7,2,FALSE),0)+VLOOKUP($R95,武学奇术!$A:$ZZ,2,FALSE)+SUM(_xlfn.XLOOKUP($S95:$AG95,增益!$A:$A,增益!$B:$B,0))</f>
        <v>0.4041</v>
      </c>
      <c r="AN95" s="27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3888.382</v>
      </c>
      <c r="AP95" cm="1">
        <f t="array" ref="AP95">$E$10*(1+$AN95)+VLOOKUP($R95,武学奇术!$A:$ZZ,4,FALSE)+SUM(_xlfn.XLOOKUP($S95:$AG95,增益!$A:$A,增益!$D:$D,0))-$I$2</f>
        <v>3888.382</v>
      </c>
      <c r="AQ95" s="33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0.317</v>
      </c>
      <c r="AR95" s="33" cm="1">
        <f t="array" ref="AR95">$G$10+VLOOKUP($R95,武学奇术!$A:$ZZ,7,FALSE)+SUM(_xlfn.XLOOKUP(S95:AG95,增益!$A:$A,增益!$G:$G,0))</f>
        <v>0.09</v>
      </c>
      <c r="AS95" s="27" cm="1">
        <f t="array" ref="AS95">VLOOKUP($R95,武学奇术!$A:$ZZ,8,FALSE)+SUM(_xlfn.XLOOKUP(S95:AG95,增益!$A:$A,增益!$H:$H,0))</f>
        <v>0</v>
      </c>
      <c r="AT95">
        <f t="shared" si="34"/>
        <v>0</v>
      </c>
      <c r="AU95">
        <f t="shared" si="35"/>
        <v>0</v>
      </c>
      <c r="AV95" s="33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-0.3</v>
      </c>
      <c r="AW95" s="33" cm="1">
        <f t="array" ref="AW95">$G$11+VLOOKUP($R95,武学奇术!$A:$ZZ,10,FALSE)+SUM(_xlfn.XLOOKUP(S95:AG95,增益!$A:$A,增益!$J:$J,0))</f>
        <v>0</v>
      </c>
      <c r="AX95">
        <f t="shared" si="36"/>
        <v>0</v>
      </c>
      <c r="AY95">
        <f t="shared" si="37"/>
        <v>0</v>
      </c>
      <c r="AZ95" s="33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-0.3</v>
      </c>
      <c r="BA95" s="33" cm="1">
        <f t="array" ref="BA95">$G$12+VLOOKUP($R95,武学奇术!$A:$ZZ,12,FALSE)+SUM(_xlfn.XLOOKUP(S95:AG95,增益!$A:$A,增益!$L:$L,0))</f>
        <v>0</v>
      </c>
      <c r="BB95">
        <f t="shared" si="38"/>
        <v>0</v>
      </c>
      <c r="BC95">
        <f t="shared" si="39"/>
        <v>0</v>
      </c>
      <c r="BD95" s="33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-0.3</v>
      </c>
      <c r="BE95" s="33" cm="1">
        <f t="array" ref="BE95">$G$13+VLOOKUP($R95,武学奇术!$A:$ZZ,14,FALSE)+SUM(_xlfn.XLOOKUP(S95:AG95,增益!$A:$A,增益!$N:$N,0))</f>
        <v>0</v>
      </c>
      <c r="BF95">
        <f t="shared" si="40"/>
        <v>605.472</v>
      </c>
      <c r="BG95">
        <f t="shared" si="41"/>
        <v>1725.468</v>
      </c>
      <c r="BH95" s="33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0</v>
      </c>
      <c r="BI95" s="33" cm="1">
        <f t="array" ref="BI95">$G$14+VLOOKUP($R95,武学奇术!$A:$ZZ,16,FALSE)+SUM(_xlfn.XLOOKUP(S95:AG95,增益!$A:$A,增益!$P:$P,0))</f>
        <v>0.24</v>
      </c>
      <c r="BJ95" s="27">
        <f>MIN(IF(VLOOKUP($R95,武学奇术!$A:$ZZ,23,FALSE)=1,100%,$B$8),100%)</f>
        <v>1</v>
      </c>
      <c r="BK95" s="27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+MIN(IF(VLOOKUP($R95,武学奇术!$A:$ZZ,32,FALSE)=1,IF(VLOOKUP($R95,武学奇术!$A:$ZZ,24,FALSE)=1,100%,MIN(40%,$B$10+VLOOKUP($R95,武学奇术!$A:$ZZ,19,FALSE)+SUM(_xlfn.XLOOKUP(S95:AG95,增益!$A:$A,增益!$S:$S,0)))+$B$12+SUM(_xlfn.XLOOKUP(S95:AG95,增益!$A:$A,增益!$V:$V,0))),0),12%)</f>
        <v>0.9036</v>
      </c>
      <c r="BL95" s="27" cm="1">
        <f t="array" ref="BL95">1+$B$13+VLOOKUP($R95,武学奇术!$A:$ZZ,18,FALSE)+SUM(_xlfn.XLOOKUP(S95:AG95,增益!$A:$A,增益!$R:$R,0))</f>
        <v>1.64</v>
      </c>
      <c r="BM95" s="27" cm="1">
        <f t="array" ref="BM95">MAX(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-IF(VLOOKUP($R95,武学奇术!$A:$ZZ,32,FALSE)=1,12%,0),0)</f>
        <v>0.0929</v>
      </c>
      <c r="BN95" s="27" cm="1">
        <f t="array" ref="BN95">1+$B$14+VLOOKUP($R95,武学奇术!$A:$ZZ,20,FALSE)+SUM(_xlfn.XLOOKUP(S95:AG95,增益!$A:$A,增益!$T:$T,0))</f>
        <v>1.35</v>
      </c>
      <c r="BO95" s="27">
        <f t="shared" si="31"/>
        <v>0.9036</v>
      </c>
      <c r="BP95" s="27">
        <f t="shared" si="32"/>
        <v>0.00350000000000006</v>
      </c>
      <c r="BQ95" s="27">
        <f>IF(VLOOKUP($R95,武学奇术!$A:$ZZ,22,FALSE)=1,0,(1-$BJ95))*(1-$BM95)</f>
        <v>0</v>
      </c>
      <c r="BR95" s="27" cm="1">
        <f t="array" ref="BR95">SUM(_xlfn.XLOOKUP(S95:AG95,增益!$A:$A,增益!$W:$W,0))+$I$5</f>
        <v>0.11</v>
      </c>
    </row>
    <row r="96" spans="1:70">
      <c r="A96" s="4" t="s">
        <v>173</v>
      </c>
      <c r="B96" s="91">
        <v>0.7</v>
      </c>
      <c r="E96" s="40"/>
      <c r="F96" s="40"/>
      <c r="G96" s="40"/>
      <c r="K96">
        <f>$L96*VLOOKUP($R96,武学奇术!$A:$ZZ,31,FALSE)</f>
        <v>97859.2025491119</v>
      </c>
      <c r="L96" s="39">
        <f t="shared" si="33"/>
        <v>75276.309653163</v>
      </c>
      <c r="M96" s="39">
        <f>((($AO96+($AP96-$AO96)*IF(VLOOKUP($R96,武学奇术!$A:$ZZ,31,FALSE)=1,$F$18,0.5))*$AI96+$AJ96)*(1+$AQ96)*(1+$AR96)+(($AT96+($AU96-$AT96)*IF(VLOOKUP($R96,武学奇术!$A:$ZZ,31,FALSE)=1,$F$18,0.5))*IF($G$1="鸣金",$AK96,$AI96)+IF($G$1="鸣金",$AL96*1.5,0))*(1+$AV96)*(1+$AW96)+(($AX96+($AY96-$AX96)*IF(VLOOKUP($R96,武学奇术!$A:$ZZ,31,FALSE)=1,$F$18,0.5))*IF($G$1="裂石",$AK96,$AI96)+IF($G$1="裂石",$AL96*1.5,0))*(1+$AZ96)*(1+$BA96)+(($BB96+($BC96-$BB96)*IF(VLOOKUP($R96,武学奇术!$A:$ZZ,31,FALSE)=1,$F$18,0.5))*IF($G$1="牵丝",$AK96,$AI96)+IF($G$1="牵丝",$AL96*1.5,0))*(1+$BD96)*(1+$BE96)+(($BF96+($BG96-$BF96)*IF(VLOOKUP($R96,武学奇术!$A:$ZZ,31,FALSE)=1,$F$18,0.5))*IF($G$1="破竹",$AK96,$AI96)+IF($G$1="破竹",$AL96*1.5,0))*(1+$BH96)*(1+$BI96))*(1+$AM96)*$BL96*$Q96*(1+IF(VLOOKUP($R96,武学奇术!$A:$ZZ,30,FALSE)="蓄力技",$B$21,0))*(1+$BR96)</f>
        <v>76907.9880034535</v>
      </c>
      <c r="N96" s="39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蓄力技",$B$21,0))*(1+$BR96)</f>
        <v>60748.118067749</v>
      </c>
      <c r="O96" s="39">
        <f>((($AO96+($AP96-$AO96)*IF(VLOOKUP($R96,武学奇术!$A:$ZZ,31,FALSE)=1,$F$18,0.5))*$AI96+$AJ96)*(1+$AQ96)*(1+$AR96)+(($AT96+($AU96-$AT96)*IF(VLOOKUP($R96,武学奇术!$A:$ZZ,31,FALSE)=1,$F$18,0.5))*IF($G$1="鸣金",$AK96,$AI96)+IF($G$1="鸣金",$AL96*1.5,0))*(1+$AV96)*(1+$AW96)+(($AX96+($AY96-$AX96)*IF(VLOOKUP($R96,武学奇术!$A:$ZZ,31,FALSE)=1,$F$18,0.5))*IF($G$1="裂石",$AK96,$AI96)+IF($G$1="裂石",$AL96*1.5,0))*(1+$AZ96)*(1+$BA96)+(($BB96+($BC96-$BB96)*IF(VLOOKUP($R96,武学奇术!$A:$ZZ,31,FALSE)=1,$F$18,0.5))*IF($G$1="牵丝",$AK96,$AI96)+IF($G$1="牵丝",$AL96*1.5,0))*(1+$BD96)*(1+$BE96)+(($BF96+($BG96-$BF96)*IF(VLOOKUP($R96,武学奇术!$A:$ZZ,31,FALSE)=1,$F$18,0.5))*IF($G$1="破竹",$AK96,$AI96)+IF($G$1="破竹",$AL96*1.5,0))*(1+$BH96)*(1+$BI96))*(1+$AM96)*$Q96*(1+IF(VLOOKUP($R96,武学奇术!$A:$ZZ,30,FALSE)="蓄力技",$B$21,0))*(1+$BR96)</f>
        <v>39643.2927852853</v>
      </c>
      <c r="P96" s="39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蓄力技",$B$21,0))*(1+$BR96)</f>
        <v>34287.9795944603</v>
      </c>
      <c r="Q96" s="40">
        <v>1</v>
      </c>
      <c r="R96" s="41" t="s">
        <v>117</v>
      </c>
      <c r="S96" s="41" t="s">
        <v>97</v>
      </c>
      <c r="T96" s="41" t="s">
        <v>73</v>
      </c>
      <c r="U96" s="41" t="s">
        <v>73</v>
      </c>
      <c r="V96" s="41" t="s">
        <v>73</v>
      </c>
      <c r="W96" s="41" t="s">
        <v>73</v>
      </c>
      <c r="X96" s="41" t="s">
        <v>73</v>
      </c>
      <c r="Y96" s="41" t="s">
        <v>164</v>
      </c>
      <c r="Z96" s="41" t="s">
        <v>73</v>
      </c>
      <c r="AA96" s="41" t="s">
        <v>105</v>
      </c>
      <c r="AB96" s="41" t="s">
        <v>84</v>
      </c>
      <c r="AC96" s="41" t="s">
        <v>73</v>
      </c>
      <c r="AD96" s="41" t="s">
        <v>73</v>
      </c>
      <c r="AE96" s="41" t="s">
        <v>76</v>
      </c>
      <c r="AF96" s="41" t="s">
        <v>77</v>
      </c>
      <c r="AG96" s="41" t="s">
        <v>78</v>
      </c>
      <c r="AH96" t="str">
        <f>VLOOKUP($R96,武学奇术!$A:$ZZ,25,FALSE)</f>
        <v>拳甲</v>
      </c>
      <c r="AI96" s="27">
        <f>VLOOKUP($R96,武学奇术!$A:$ZZ,26,FALSE)</f>
        <v>2.638944</v>
      </c>
      <c r="AJ96" s="28">
        <f>VLOOKUP($R96,武学奇术!$A:$ZZ,27,FALSE)*(1+IF(OR($AH96=$F$4,$AH96=$F$5),$B$22,0))</f>
        <v>0</v>
      </c>
      <c r="AK96" s="27">
        <f>VLOOKUP($R96,武学奇术!$A:$ZZ,28,FALSE)</f>
        <v>3.958416</v>
      </c>
      <c r="AL96" s="28">
        <f>VLOOKUP($R96,武学奇术!$A:$ZZ,29,FALSE)*(1+IF(OR($AH96=$F$4,$AH96=$F$5),$B$22,0))</f>
        <v>0</v>
      </c>
      <c r="AM96" s="27" cm="1">
        <f t="array" ref="AM96">$G$3+IFERROR(VLOOKUP($AH96,$F$4:$G$7,2,FALSE),0)+VLOOKUP($R96,武学奇术!$A:$ZZ,2,FALSE)+SUM(_xlfn.XLOOKUP($S96:$AG96,增益!$A:$A,增益!$B:$B,0))</f>
        <v>0.7041</v>
      </c>
      <c r="AN96" s="27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3888.382</v>
      </c>
      <c r="AP96" cm="1">
        <f t="array" ref="AP96">$E$10*(1+$AN96)+VLOOKUP($R96,武学奇术!$A:$ZZ,4,FALSE)+SUM(_xlfn.XLOOKUP($S96:$AG96,增益!$A:$A,增益!$D:$D,0))-$I$2</f>
        <v>3888.382</v>
      </c>
      <c r="AQ96" s="33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0.347</v>
      </c>
      <c r="AR96" s="33" cm="1">
        <f t="array" ref="AR96">$G$10+VLOOKUP($R96,武学奇术!$A:$ZZ,7,FALSE)+SUM(_xlfn.XLOOKUP(S96:AG96,增益!$A:$A,增益!$G:$G,0))</f>
        <v>0.09</v>
      </c>
      <c r="AS96" s="27" cm="1">
        <f t="array" ref="AS96">VLOOKUP($R96,武学奇术!$A:$ZZ,8,FALSE)+SUM(_xlfn.XLOOKUP(S96:AG96,增益!$A:$A,增益!$H:$H,0))</f>
        <v>0</v>
      </c>
      <c r="AT96">
        <f t="shared" si="34"/>
        <v>0</v>
      </c>
      <c r="AU96">
        <f t="shared" si="35"/>
        <v>0</v>
      </c>
      <c r="AV96" s="33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-0.24</v>
      </c>
      <c r="AW96" s="33" cm="1">
        <f t="array" ref="AW96">$G$11+VLOOKUP($R96,武学奇术!$A:$ZZ,10,FALSE)+SUM(_xlfn.XLOOKUP(S96:AG96,增益!$A:$A,增益!$J:$J,0))</f>
        <v>0</v>
      </c>
      <c r="AX96">
        <f t="shared" si="36"/>
        <v>0</v>
      </c>
      <c r="AY96">
        <f t="shared" si="37"/>
        <v>0</v>
      </c>
      <c r="AZ96" s="33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-0.24</v>
      </c>
      <c r="BA96" s="33" cm="1">
        <f t="array" ref="BA96">$G$12+VLOOKUP($R96,武学奇术!$A:$ZZ,12,FALSE)+SUM(_xlfn.XLOOKUP(S96:AG96,增益!$A:$A,增益!$L:$L,0))</f>
        <v>0</v>
      </c>
      <c r="BB96">
        <f t="shared" si="38"/>
        <v>0</v>
      </c>
      <c r="BC96">
        <f t="shared" si="39"/>
        <v>0</v>
      </c>
      <c r="BD96" s="33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-0.24</v>
      </c>
      <c r="BE96" s="33" cm="1">
        <f t="array" ref="BE96">$G$13+VLOOKUP($R96,武学奇术!$A:$ZZ,14,FALSE)+SUM(_xlfn.XLOOKUP(S96:AG96,增益!$A:$A,增益!$N:$N,0))</f>
        <v>0</v>
      </c>
      <c r="BF96">
        <f t="shared" si="40"/>
        <v>605.472</v>
      </c>
      <c r="BG96">
        <f t="shared" si="41"/>
        <v>1725.468</v>
      </c>
      <c r="BH96" s="33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0.03</v>
      </c>
      <c r="BI96" s="33" cm="1">
        <f t="array" ref="BI96">$G$14+VLOOKUP($R96,武学奇术!$A:$ZZ,16,FALSE)+SUM(_xlfn.XLOOKUP(S96:AG96,增益!$A:$A,增益!$P:$P,0))</f>
        <v>0.24</v>
      </c>
      <c r="BJ96" s="27">
        <f>MIN(IF(VLOOKUP($R96,武学奇术!$A:$ZZ,23,FALSE)=1,100%,$B$8),100%)</f>
        <v>1</v>
      </c>
      <c r="BK96" s="27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+MIN(IF(VLOOKUP($R96,武学奇术!$A:$ZZ,32,FALSE)=1,IF(VLOOKUP($R96,武学奇术!$A:$ZZ,24,FALSE)=1,100%,MIN(40%,$B$10+VLOOKUP($R96,武学奇术!$A:$ZZ,19,FALSE)+SUM(_xlfn.XLOOKUP(S96:AG96,增益!$A:$A,增益!$S:$S,0)))+$B$12+SUM(_xlfn.XLOOKUP(S96:AG96,增益!$A:$A,增益!$V:$V,0))),0),12%)</f>
        <v>0.9036</v>
      </c>
      <c r="BL96" s="27" cm="1">
        <f t="array" ref="BL96">1+$B$13+VLOOKUP($R96,武学奇术!$A:$ZZ,18,FALSE)+SUM(_xlfn.XLOOKUP(S96:AG96,增益!$A:$A,增益!$R:$R,0))</f>
        <v>1.94</v>
      </c>
      <c r="BM96" s="27" cm="1">
        <f t="array" ref="BM96">MAX(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-IF(VLOOKUP($R96,武学奇术!$A:$ZZ,32,FALSE)=1,12%,0),0)</f>
        <v>0.0929</v>
      </c>
      <c r="BN96" s="27" cm="1">
        <f t="array" ref="BN96">1+$B$14+VLOOKUP($R96,武学奇术!$A:$ZZ,20,FALSE)+SUM(_xlfn.XLOOKUP(S96:AG96,增益!$A:$A,增益!$T:$T,0))</f>
        <v>1.35</v>
      </c>
      <c r="BO96" s="27">
        <f t="shared" si="31"/>
        <v>0.9036</v>
      </c>
      <c r="BP96" s="27">
        <f t="shared" si="32"/>
        <v>0.00350000000000006</v>
      </c>
      <c r="BQ96" s="27">
        <f>IF(VLOOKUP($R96,武学奇术!$A:$ZZ,22,FALSE)=1,0,(1-$BJ96))*(1-$BM96)</f>
        <v>0</v>
      </c>
      <c r="BR96" s="27" cm="1">
        <f t="array" ref="BR96">SUM(_xlfn.XLOOKUP(S96:AG96,增益!$A:$A,增益!$W:$W,0))+$I$5</f>
        <v>0.11</v>
      </c>
    </row>
    <row r="97" spans="1:70">
      <c r="A97" s="4" t="s">
        <v>174</v>
      </c>
      <c r="B97" s="4">
        <v>0.8</v>
      </c>
      <c r="E97" s="40"/>
      <c r="F97" s="40"/>
      <c r="G97" s="40"/>
      <c r="K97">
        <f>$L97*VLOOKUP($R97,武学奇术!$A:$ZZ,31,FALSE)</f>
        <v>34595.4385226058</v>
      </c>
      <c r="L97" s="39">
        <f t="shared" si="33"/>
        <v>34595.4385226058</v>
      </c>
      <c r="M97" s="39">
        <f>((($AO97+($AP97-$AO97)*IF(VLOOKUP($R97,武学奇术!$A:$ZZ,31,FALSE)=1,$F$18,0.5))*$AI97+$AJ97)*(1+$AQ97)*(1+$AR97)+(($AT97+($AU97-$AT97)*IF(VLOOKUP($R97,武学奇术!$A:$ZZ,31,FALSE)=1,$F$18,0.5))*IF($G$1="鸣金",$AK97,$AI97)+IF($G$1="鸣金",$AL97*1.5,0))*(1+$AV97)*(1+$AW97)+(($AX97+($AY97-$AX97)*IF(VLOOKUP($R97,武学奇术!$A:$ZZ,31,FALSE)=1,$F$18,0.5))*IF($G$1="裂石",$AK97,$AI97)+IF($G$1="裂石",$AL97*1.5,0))*(1+$AZ97)*(1+$BA97)+(($BB97+($BC97-$BB97)*IF(VLOOKUP($R97,武学奇术!$A:$ZZ,31,FALSE)=1,$F$18,0.5))*IF($G$1="牵丝",$AK97,$AI97)+IF($G$1="牵丝",$AL97*1.5,0))*(1+$BD97)*(1+$BE97)+(($BF97+($BG97-$BF97)*IF(VLOOKUP($R97,武学奇术!$A:$ZZ,31,FALSE)=1,$F$18,0.5))*IF($G$1="破竹",$AK97,$AI97)+IF($G$1="破竹",$AL97*1.5,0))*(1+$BH97)*(1+$BI97))*(1+$AM97)*$BL97*$Q97*(1+IF(VLOOKUP($R97,武学奇术!$A:$ZZ,30,FALSE)="蓄力技",$B$21,0))*(1+$BR97)</f>
        <v>34899.255105013</v>
      </c>
      <c r="N97" s="39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蓄力技",$B$21,0))*(1+$BR97)</f>
        <v>32141.9966858324</v>
      </c>
      <c r="O97" s="39">
        <f>((($AO97+($AP97-$AO97)*IF(VLOOKUP($R97,武学奇术!$A:$ZZ,31,FALSE)=1,$F$18,0.5))*$AI97+$AJ97)*(1+$AQ97)*(1+$AR97)+(($AT97+($AU97-$AT97)*IF(VLOOKUP($R97,武学奇术!$A:$ZZ,31,FALSE)=1,$F$18,0.5))*IF($G$1="鸣金",$AK97,$AI97)+IF($G$1="鸣金",$AL97*1.5,0))*(1+$AV97)*(1+$AW97)+(($AX97+($AY97-$AX97)*IF(VLOOKUP($R97,武学奇术!$A:$ZZ,31,FALSE)=1,$F$18,0.5))*IF($G$1="裂石",$AK97,$AI97)+IF($G$1="裂石",$AL97*1.5,0))*(1+$AZ97)*(1+$BA97)+(($BB97+($BC97-$BB97)*IF(VLOOKUP($R97,武学奇术!$A:$ZZ,31,FALSE)=1,$F$18,0.5))*IF($G$1="牵丝",$AK97,$AI97)+IF($G$1="牵丝",$AL97*1.5,0))*(1+$BD97)*(1+$BE97)+(($BF97+($BG97-$BF97)*IF(VLOOKUP($R97,武学奇术!$A:$ZZ,31,FALSE)=1,$F$18,0.5))*IF($G$1="破竹",$AK97,$AI97)+IF($G$1="破竹",$AL97*1.5,0))*(1+$BH97)*(1+$BI97))*(1+$AM97)*$Q97*(1+IF(VLOOKUP($R97,武学奇术!$A:$ZZ,30,FALSE)="蓄力技",$B$21,0))*(1+$BR97)</f>
        <v>21280.0336006177</v>
      </c>
      <c r="P97" s="39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蓄力技",$B$21,0))*(1+$BR97)</f>
        <v>18751.1807672855</v>
      </c>
      <c r="Q97" s="40">
        <v>1</v>
      </c>
      <c r="R97" s="41" t="s">
        <v>159</v>
      </c>
      <c r="S97" s="41" t="s">
        <v>97</v>
      </c>
      <c r="T97" s="41" t="s">
        <v>73</v>
      </c>
      <c r="U97" s="41" t="s">
        <v>73</v>
      </c>
      <c r="V97" s="41" t="s">
        <v>73</v>
      </c>
      <c r="W97" s="41" t="s">
        <v>73</v>
      </c>
      <c r="X97" s="41" t="s">
        <v>73</v>
      </c>
      <c r="Y97" s="41" t="s">
        <v>164</v>
      </c>
      <c r="Z97" s="41" t="s">
        <v>73</v>
      </c>
      <c r="AA97" s="41" t="s">
        <v>73</v>
      </c>
      <c r="AB97" s="41" t="s">
        <v>84</v>
      </c>
      <c r="AC97" s="41" t="s">
        <v>73</v>
      </c>
      <c r="AD97" s="41" t="s">
        <v>73</v>
      </c>
      <c r="AE97" s="41" t="s">
        <v>76</v>
      </c>
      <c r="AF97" s="41" t="s">
        <v>77</v>
      </c>
      <c r="AG97" s="41" t="s">
        <v>78</v>
      </c>
      <c r="AH97" t="str">
        <f>VLOOKUP($R97,武学奇术!$A:$ZZ,25,FALSE)</f>
        <v>绳镖</v>
      </c>
      <c r="AI97" s="27">
        <f>VLOOKUP($R97,武学奇术!$A:$ZZ,26,FALSE)</f>
        <v>1.6584</v>
      </c>
      <c r="AJ97" s="28">
        <f>VLOOKUP($R97,武学奇术!$A:$ZZ,27,FALSE)*(1+IF(OR($AH97=$F$4,$AH97=$F$5),$B$22,0))</f>
        <v>687</v>
      </c>
      <c r="AK97" s="27">
        <f>VLOOKUP($R97,武学奇术!$A:$ZZ,28,FALSE)</f>
        <v>2.4876</v>
      </c>
      <c r="AL97" s="28">
        <f>VLOOKUP($R97,武学奇术!$A:$ZZ,29,FALSE)*(1+IF(OR($AH97=$F$4,$AH97=$F$5),$B$22,0))</f>
        <v>375</v>
      </c>
      <c r="AM97" s="27" cm="1">
        <f t="array" ref="AM97">$G$3+IFERROR(VLOOKUP($AH97,$F$4:$G$7,2,FALSE),0)+VLOOKUP($R97,武学奇术!$A:$ZZ,2,FALSE)+SUM(_xlfn.XLOOKUP($S97:$AG97,增益!$A:$A,增益!$B:$B,0))</f>
        <v>0.3189</v>
      </c>
      <c r="AN97" s="27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3888.382</v>
      </c>
      <c r="AP97" cm="1">
        <f t="array" ref="AP97">$E$10*(1+$AN97)+VLOOKUP($R97,武学奇术!$A:$ZZ,4,FALSE)+SUM(_xlfn.XLOOKUP($S97:$AG97,增益!$A:$A,增益!$D:$D,0))-$I$2</f>
        <v>3888.382</v>
      </c>
      <c r="AQ97" s="33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0.317</v>
      </c>
      <c r="AR97" s="33" cm="1">
        <f t="array" ref="AR97">$G$10+VLOOKUP($R97,武学奇术!$A:$ZZ,7,FALSE)+SUM(_xlfn.XLOOKUP(S97:AG97,增益!$A:$A,增益!$G:$G,0))</f>
        <v>0.09</v>
      </c>
      <c r="AS97" s="27" cm="1">
        <f t="array" ref="AS97">VLOOKUP($R97,武学奇术!$A:$ZZ,8,FALSE)+SUM(_xlfn.XLOOKUP(S97:AG97,增益!$A:$A,增益!$H:$H,0))</f>
        <v>0</v>
      </c>
      <c r="AT97">
        <f t="shared" si="34"/>
        <v>0</v>
      </c>
      <c r="AU97">
        <f t="shared" si="35"/>
        <v>0</v>
      </c>
      <c r="AV97" s="33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-0.3</v>
      </c>
      <c r="AW97" s="33" cm="1">
        <f t="array" ref="AW97">$G$11+VLOOKUP($R97,武学奇术!$A:$ZZ,10,FALSE)+SUM(_xlfn.XLOOKUP(S97:AG97,增益!$A:$A,增益!$J:$J,0))</f>
        <v>0</v>
      </c>
      <c r="AX97">
        <f t="shared" si="36"/>
        <v>0</v>
      </c>
      <c r="AY97">
        <f t="shared" si="37"/>
        <v>0</v>
      </c>
      <c r="AZ97" s="33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-0.3</v>
      </c>
      <c r="BA97" s="33" cm="1">
        <f t="array" ref="BA97">$G$12+VLOOKUP($R97,武学奇术!$A:$ZZ,12,FALSE)+SUM(_xlfn.XLOOKUP(S97:AG97,增益!$A:$A,增益!$L:$L,0))</f>
        <v>0</v>
      </c>
      <c r="BB97">
        <f t="shared" si="38"/>
        <v>0</v>
      </c>
      <c r="BC97">
        <f t="shared" si="39"/>
        <v>0</v>
      </c>
      <c r="BD97" s="33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-0.3</v>
      </c>
      <c r="BE97" s="33" cm="1">
        <f t="array" ref="BE97">$G$13+VLOOKUP($R97,武学奇术!$A:$ZZ,14,FALSE)+SUM(_xlfn.XLOOKUP(S97:AG97,增益!$A:$A,增益!$N:$N,0))</f>
        <v>0</v>
      </c>
      <c r="BF97">
        <f t="shared" si="40"/>
        <v>605.472</v>
      </c>
      <c r="BG97">
        <f t="shared" si="41"/>
        <v>1725.468</v>
      </c>
      <c r="BH97" s="33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0</v>
      </c>
      <c r="BI97" s="33" cm="1">
        <f t="array" ref="BI97">$G$14+VLOOKUP($R97,武学奇术!$A:$ZZ,16,FALSE)+SUM(_xlfn.XLOOKUP(S97:AG97,增益!$A:$A,增益!$P:$P,0))</f>
        <v>0.24</v>
      </c>
      <c r="BJ97" s="27">
        <f>MIN(IF(VLOOKUP($R97,武学奇术!$A:$ZZ,23,FALSE)=1,100%,$B$8),100%)</f>
        <v>1</v>
      </c>
      <c r="BK97" s="27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+MIN(IF(VLOOKUP($R97,武学奇术!$A:$ZZ,32,FALSE)=1,IF(VLOOKUP($R97,武学奇术!$A:$ZZ,24,FALSE)=1,100%,MIN(40%,$B$10+VLOOKUP($R97,武学奇术!$A:$ZZ,19,FALSE)+SUM(_xlfn.XLOOKUP(S97:AG97,增益!$A:$A,增益!$S:$S,0)))+$B$12+SUM(_xlfn.XLOOKUP(S97:AG97,增益!$A:$A,增益!$V:$V,0))),0),12%)</f>
        <v>0.9036</v>
      </c>
      <c r="BL97" s="27" cm="1">
        <f t="array" ref="BL97">1+$B$13+VLOOKUP($R97,武学奇术!$A:$ZZ,18,FALSE)+SUM(_xlfn.XLOOKUP(S97:AG97,增益!$A:$A,增益!$R:$R,0))</f>
        <v>1.64</v>
      </c>
      <c r="BM97" s="27" cm="1">
        <f t="array" ref="BM97">MAX(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-IF(VLOOKUP($R97,武学奇术!$A:$ZZ,32,FALSE)=1,12%,0),0)</f>
        <v>0.0929</v>
      </c>
      <c r="BN97" s="27" cm="1">
        <f t="array" ref="BN97">1+$B$14+VLOOKUP($R97,武学奇术!$A:$ZZ,20,FALSE)+SUM(_xlfn.XLOOKUP(S97:AG97,增益!$A:$A,增益!$T:$T,0))</f>
        <v>1.35</v>
      </c>
      <c r="BO97" s="27">
        <f t="shared" si="31"/>
        <v>0.9036</v>
      </c>
      <c r="BP97" s="27">
        <f t="shared" si="32"/>
        <v>0.00350000000000006</v>
      </c>
      <c r="BQ97" s="27">
        <f>IF(VLOOKUP($R97,武学奇术!$A:$ZZ,22,FALSE)=1,0,(1-$BJ97))*(1-$BM97)</f>
        <v>0</v>
      </c>
      <c r="BR97" s="27" cm="1">
        <f t="array" ref="BR97">SUM(_xlfn.XLOOKUP(S97:AG97,增益!$A:$A,增益!$W:$W,0))+$I$5</f>
        <v>0.11</v>
      </c>
    </row>
    <row r="98" spans="1:70">
      <c r="A98" s="4" t="s">
        <v>175</v>
      </c>
      <c r="B98" s="4">
        <v>2.15</v>
      </c>
      <c r="E98" s="40"/>
      <c r="F98" s="40"/>
      <c r="G98" s="40"/>
      <c r="K98">
        <f>$L98*VLOOKUP($R98,武学奇术!$A:$ZZ,31,FALSE)</f>
        <v>92966.5295503534</v>
      </c>
      <c r="L98" s="39">
        <f t="shared" si="33"/>
        <v>71512.7150387334</v>
      </c>
      <c r="M98" s="39">
        <f>((($AO98+($AP98-$AO98)*IF(VLOOKUP($R98,武学奇术!$A:$ZZ,31,FALSE)=1,$F$18,0.5))*$AI98+$AJ98)*(1+$AQ98)*(1+$AR98)+(($AT98+($AU98-$AT98)*IF(VLOOKUP($R98,武学奇术!$A:$ZZ,31,FALSE)=1,$F$18,0.5))*IF($G$1="鸣金",$AK98,$AI98)+IF($G$1="鸣金",$AL98*1.5,0))*(1+$AV98)*(1+$AW98)+(($AX98+($AY98-$AX98)*IF(VLOOKUP($R98,武学奇术!$A:$ZZ,31,FALSE)=1,$F$18,0.5))*IF($G$1="裂石",$AK98,$AI98)+IF($G$1="裂石",$AL98*1.5,0))*(1+$AZ98)*(1+$BA98)+(($BB98+($BC98-$BB98)*IF(VLOOKUP($R98,武学奇术!$A:$ZZ,31,FALSE)=1,$F$18,0.5))*IF($G$1="牵丝",$AK98,$AI98)+IF($G$1="牵丝",$AL98*1.5,0))*(1+$BD98)*(1+$BE98)+(($BF98+($BG98-$BF98)*IF(VLOOKUP($R98,武学奇术!$A:$ZZ,31,FALSE)=1,$F$18,0.5))*IF($G$1="破竹",$AK98,$AI98)+IF($G$1="破竹",$AL98*1.5,0))*(1+$BH98)*(1+$BI98))*(1+$AM98)*$BL98*$Q98*(1+IF(VLOOKUP($R98,武学奇术!$A:$ZZ,30,FALSE)="蓄力技",$B$21,0))*(1+$BR98)</f>
        <v>73062.814259017</v>
      </c>
      <c r="N98" s="39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蓄力技",$B$21,0))*(1+$BR98)</f>
        <v>57710.8904054215</v>
      </c>
      <c r="O98" s="39">
        <f>((($AO98+($AP98-$AO98)*IF(VLOOKUP($R98,武学奇术!$A:$ZZ,31,FALSE)=1,$F$18,0.5))*$AI98+$AJ98)*(1+$AQ98)*(1+$AR98)+(($AT98+($AU98-$AT98)*IF(VLOOKUP($R98,武学奇术!$A:$ZZ,31,FALSE)=1,$F$18,0.5))*IF($G$1="鸣金",$AK98,$AI98)+IF($G$1="鸣金",$AL98*1.5,0))*(1+$AV98)*(1+$AW98)+(($AX98+($AY98-$AX98)*IF(VLOOKUP($R98,武学奇术!$A:$ZZ,31,FALSE)=1,$F$18,0.5))*IF($G$1="裂石",$AK98,$AI98)+IF($G$1="裂石",$AL98*1.5,0))*(1+$AZ98)*(1+$BA98)+(($BB98+($BC98-$BB98)*IF(VLOOKUP($R98,武学奇术!$A:$ZZ,31,FALSE)=1,$F$18,0.5))*IF($G$1="牵丝",$AK98,$AI98)+IF($G$1="牵丝",$AL98*1.5,0))*(1+$BD98)*(1+$BE98)+(($BF98+($BG98-$BF98)*IF(VLOOKUP($R98,武学奇术!$A:$ZZ,31,FALSE)=1,$F$18,0.5))*IF($G$1="破竹",$AK98,$AI98)+IF($G$1="破竹",$AL98*1.5,0))*(1+$BH98)*(1+$BI98))*(1+$AM98)*$Q98*(1+IF(VLOOKUP($R98,武学奇术!$A:$ZZ,30,FALSE)="蓄力技",$B$21,0))*(1+$BR98)</f>
        <v>37661.2444634109</v>
      </c>
      <c r="P98" s="39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蓄力技",$B$21,0))*(1+$BR98)</f>
        <v>32573.6812191021</v>
      </c>
      <c r="Q98" s="40">
        <v>1</v>
      </c>
      <c r="R98" s="41" t="s">
        <v>110</v>
      </c>
      <c r="S98" s="41" t="s">
        <v>97</v>
      </c>
      <c r="T98" s="41" t="s">
        <v>73</v>
      </c>
      <c r="U98" s="41" t="s">
        <v>73</v>
      </c>
      <c r="V98" s="41" t="s">
        <v>73</v>
      </c>
      <c r="W98" s="41" t="s">
        <v>73</v>
      </c>
      <c r="X98" s="41" t="s">
        <v>73</v>
      </c>
      <c r="Y98" s="41" t="s">
        <v>164</v>
      </c>
      <c r="Z98" s="41" t="s">
        <v>73</v>
      </c>
      <c r="AA98" s="41" t="s">
        <v>105</v>
      </c>
      <c r="AB98" s="41" t="s">
        <v>84</v>
      </c>
      <c r="AC98" s="41" t="s">
        <v>73</v>
      </c>
      <c r="AD98" s="41" t="s">
        <v>73</v>
      </c>
      <c r="AE98" s="41" t="s">
        <v>76</v>
      </c>
      <c r="AF98" s="41" t="s">
        <v>77</v>
      </c>
      <c r="AG98" s="41" t="s">
        <v>78</v>
      </c>
      <c r="AH98" t="str">
        <f>VLOOKUP($R98,武学奇术!$A:$ZZ,25,FALSE)</f>
        <v>绳镖</v>
      </c>
      <c r="AI98" s="27">
        <f>VLOOKUP($R98,武学奇术!$A:$ZZ,26,FALSE)</f>
        <v>2.638944</v>
      </c>
      <c r="AJ98" s="28">
        <f>VLOOKUP($R98,武学奇术!$A:$ZZ,27,FALSE)*(1+IF(OR($AH98=$F$4,$AH98=$F$5),$B$22,0))</f>
        <v>0</v>
      </c>
      <c r="AK98" s="27">
        <f>VLOOKUP($R98,武学奇术!$A:$ZZ,28,FALSE)</f>
        <v>3.958416</v>
      </c>
      <c r="AL98" s="28">
        <f>VLOOKUP($R98,武学奇术!$A:$ZZ,29,FALSE)*(1+IF(OR($AH98=$F$4,$AH98=$F$5),$B$22,0))</f>
        <v>0</v>
      </c>
      <c r="AM98" s="27" cm="1">
        <f t="array" ref="AM98">$G$3+IFERROR(VLOOKUP($AH98,$F$4:$G$7,2,FALSE),0)+VLOOKUP($R98,武学奇术!$A:$ZZ,2,FALSE)+SUM(_xlfn.XLOOKUP($S98:$AG98,增益!$A:$A,增益!$B:$B,0))</f>
        <v>0.6189</v>
      </c>
      <c r="AN98" s="27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3888.382</v>
      </c>
      <c r="AP98" cm="1">
        <f t="array" ref="AP98">$E$10*(1+$AN98)+VLOOKUP($R98,武学奇术!$A:$ZZ,4,FALSE)+SUM(_xlfn.XLOOKUP($S98:$AG98,增益!$A:$A,增益!$D:$D,0))-$I$2</f>
        <v>3888.382</v>
      </c>
      <c r="AQ98" s="33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0.347</v>
      </c>
      <c r="AR98" s="33" cm="1">
        <f t="array" ref="AR98">$G$10+VLOOKUP($R98,武学奇术!$A:$ZZ,7,FALSE)+SUM(_xlfn.XLOOKUP(S98:AG98,增益!$A:$A,增益!$G:$G,0))</f>
        <v>0.09</v>
      </c>
      <c r="AS98" s="27" cm="1">
        <f t="array" ref="AS98">VLOOKUP($R98,武学奇术!$A:$ZZ,8,FALSE)+SUM(_xlfn.XLOOKUP(S98:AG98,增益!$A:$A,增益!$H:$H,0))</f>
        <v>0</v>
      </c>
      <c r="AT98">
        <f t="shared" si="34"/>
        <v>0</v>
      </c>
      <c r="AU98">
        <f t="shared" si="35"/>
        <v>0</v>
      </c>
      <c r="AV98" s="33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-0.24</v>
      </c>
      <c r="AW98" s="33" cm="1">
        <f t="array" ref="AW98">$G$11+VLOOKUP($R98,武学奇术!$A:$ZZ,10,FALSE)+SUM(_xlfn.XLOOKUP(S98:AG98,增益!$A:$A,增益!$J:$J,0))</f>
        <v>0</v>
      </c>
      <c r="AX98">
        <f t="shared" si="36"/>
        <v>0</v>
      </c>
      <c r="AY98">
        <f t="shared" si="37"/>
        <v>0</v>
      </c>
      <c r="AZ98" s="33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-0.24</v>
      </c>
      <c r="BA98" s="33" cm="1">
        <f t="array" ref="BA98">$G$12+VLOOKUP($R98,武学奇术!$A:$ZZ,12,FALSE)+SUM(_xlfn.XLOOKUP(S98:AG98,增益!$A:$A,增益!$L:$L,0))</f>
        <v>0</v>
      </c>
      <c r="BB98">
        <f t="shared" si="38"/>
        <v>0</v>
      </c>
      <c r="BC98">
        <f t="shared" si="39"/>
        <v>0</v>
      </c>
      <c r="BD98" s="33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-0.24</v>
      </c>
      <c r="BE98" s="33" cm="1">
        <f t="array" ref="BE98">$G$13+VLOOKUP($R98,武学奇术!$A:$ZZ,14,FALSE)+SUM(_xlfn.XLOOKUP(S98:AG98,增益!$A:$A,增益!$N:$N,0))</f>
        <v>0</v>
      </c>
      <c r="BF98">
        <f t="shared" si="40"/>
        <v>605.472</v>
      </c>
      <c r="BG98">
        <f t="shared" si="41"/>
        <v>1725.468</v>
      </c>
      <c r="BH98" s="33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0.03</v>
      </c>
      <c r="BI98" s="33" cm="1">
        <f t="array" ref="BI98">$G$14+VLOOKUP($R98,武学奇术!$A:$ZZ,16,FALSE)+SUM(_xlfn.XLOOKUP(S98:AG98,增益!$A:$A,增益!$P:$P,0))</f>
        <v>0.24</v>
      </c>
      <c r="BJ98" s="27">
        <f>MIN(IF(VLOOKUP($R98,武学奇术!$A:$ZZ,23,FALSE)=1,100%,$B$8),100%)</f>
        <v>1</v>
      </c>
      <c r="BK98" s="27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+MIN(IF(VLOOKUP($R98,武学奇术!$A:$ZZ,32,FALSE)=1,IF(VLOOKUP($R98,武学奇术!$A:$ZZ,24,FALSE)=1,100%,MIN(40%,$B$10+VLOOKUP($R98,武学奇术!$A:$ZZ,19,FALSE)+SUM(_xlfn.XLOOKUP(S98:AG98,增益!$A:$A,增益!$S:$S,0)))+$B$12+SUM(_xlfn.XLOOKUP(S98:AG98,增益!$A:$A,增益!$V:$V,0))),0),12%)</f>
        <v>0.9036</v>
      </c>
      <c r="BL98" s="27" cm="1">
        <f t="array" ref="BL98">1+$B$13+VLOOKUP($R98,武学奇术!$A:$ZZ,18,FALSE)+SUM(_xlfn.XLOOKUP(S98:AG98,增益!$A:$A,增益!$R:$R,0))</f>
        <v>1.94</v>
      </c>
      <c r="BM98" s="27" cm="1">
        <f t="array" ref="BM98">MAX(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-IF(VLOOKUP($R98,武学奇术!$A:$ZZ,32,FALSE)=1,12%,0),0)</f>
        <v>0.0929</v>
      </c>
      <c r="BN98" s="27" cm="1">
        <f t="array" ref="BN98">1+$B$14+VLOOKUP($R98,武学奇术!$A:$ZZ,20,FALSE)+SUM(_xlfn.XLOOKUP(S98:AG98,增益!$A:$A,增益!$T:$T,0))</f>
        <v>1.35</v>
      </c>
      <c r="BO98" s="27">
        <f t="shared" si="31"/>
        <v>0.9036</v>
      </c>
      <c r="BP98" s="27">
        <f t="shared" si="32"/>
        <v>0.00350000000000006</v>
      </c>
      <c r="BQ98" s="27">
        <f>IF(VLOOKUP($R98,武学奇术!$A:$ZZ,22,FALSE)=1,0,(1-$BJ98))*(1-$BM98)</f>
        <v>0</v>
      </c>
      <c r="BR98" s="27" cm="1">
        <f t="array" ref="BR98">SUM(_xlfn.XLOOKUP(S98:AG98,增益!$A:$A,增益!$W:$W,0))+$I$5</f>
        <v>0.11</v>
      </c>
    </row>
    <row r="99" spans="1:70">
      <c r="A99" t="s">
        <v>160</v>
      </c>
      <c r="B99">
        <v>0.1</v>
      </c>
      <c r="E99" s="40"/>
      <c r="F99" s="40"/>
      <c r="K99">
        <f>$L99*VLOOKUP($R99,武学奇术!$A:$ZZ,31,FALSE)</f>
        <v>26094.4299456831</v>
      </c>
      <c r="L99" s="39">
        <f t="shared" si="33"/>
        <v>26094.4299456831</v>
      </c>
      <c r="M99" s="39">
        <f>((($AO99+($AP99-$AO99)*IF(VLOOKUP($R99,武学奇术!$A:$ZZ,31,FALSE)=1,$F$18,0.5))*$AI99+$AJ99)*(1+$AQ99)*(1+$AR99)+(($AT99+($AU99-$AT99)*IF(VLOOKUP($R99,武学奇术!$A:$ZZ,31,FALSE)=1,$F$18,0.5))*IF($G$1="鸣金",$AK99,$AI99)+IF($G$1="鸣金",$AL99*1.5,0))*(1+$AV99)*(1+$AW99)+(($AX99+($AY99-$AX99)*IF(VLOOKUP($R99,武学奇术!$A:$ZZ,31,FALSE)=1,$F$18,0.5))*IF($G$1="裂石",$AK99,$AI99)+IF($G$1="裂石",$AL99*1.5,0))*(1+$AZ99)*(1+$BA99)+(($BB99+($BC99-$BB99)*IF(VLOOKUP($R99,武学奇术!$A:$ZZ,31,FALSE)=1,$F$18,0.5))*IF($G$1="牵丝",$AK99,$AI99)+IF($G$1="牵丝",$AL99*1.5,0))*(1+$BD99)*(1+$BE99)+(($BF99+($BG99-$BF99)*IF(VLOOKUP($R99,武学奇术!$A:$ZZ,31,FALSE)=1,$F$18,0.5))*IF($G$1="破竹",$AK99,$AI99)+IF($G$1="破竹",$AL99*1.5,0))*(1+$BH99)*(1+$BI99))*(1+$AM99)*$BL99*$Q99*(1+IF(VLOOKUP($R99,武学奇术!$A:$ZZ,30,FALSE)="蓄力技",$B$21,0))*(1+$BR99)</f>
        <v>26323.6987137308</v>
      </c>
      <c r="N99" s="39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蓄力技",$B$21,0))*(1+$BR99)</f>
        <v>24242.8112233827</v>
      </c>
      <c r="O99" s="39">
        <f>((($AO99+($AP99-$AO99)*IF(VLOOKUP($R99,武学奇术!$A:$ZZ,31,FALSE)=1,$F$18,0.5))*$AI99+$AJ99)*(1+$AQ99)*(1+$AR99)+(($AT99+($AU99-$AT99)*IF(VLOOKUP($R99,武学奇术!$A:$ZZ,31,FALSE)=1,$F$18,0.5))*IF($G$1="鸣金",$AK99,$AI99)+IF($G$1="鸣金",$AL99*1.5,0))*(1+$AV99)*(1+$AW99)+(($AX99+($AY99-$AX99)*IF(VLOOKUP($R99,武学奇术!$A:$ZZ,31,FALSE)=1,$F$18,0.5))*IF($G$1="裂石",$AK99,$AI99)+IF($G$1="裂石",$AL99*1.5,0))*(1+$AZ99)*(1+$BA99)+(($BB99+($BC99-$BB99)*IF(VLOOKUP($R99,武学奇术!$A:$ZZ,31,FALSE)=1,$F$18,0.5))*IF($G$1="牵丝",$AK99,$AI99)+IF($G$1="牵丝",$AL99*1.5,0))*(1+$BD99)*(1+$BE99)+(($BF99+($BG99-$BF99)*IF(VLOOKUP($R99,武学奇术!$A:$ZZ,31,FALSE)=1,$F$18,0.5))*IF($G$1="破竹",$AK99,$AI99)+IF($G$1="破竹",$AL99*1.5,0))*(1+$BH99)*(1+$BI99))*(1+$AM99)*$Q99*(1+IF(VLOOKUP($R99,武学奇术!$A:$ZZ,30,FALSE)="蓄力技",$B$21,0))*(1+$BR99)</f>
        <v>16051.0358010554</v>
      </c>
      <c r="P99" s="39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蓄力技",$B$21,0))*(1+$BR99)</f>
        <v>14144.4336588642</v>
      </c>
      <c r="Q99" s="40">
        <v>1</v>
      </c>
      <c r="R99" s="41" t="s">
        <v>100</v>
      </c>
      <c r="S99" s="41" t="s">
        <v>97</v>
      </c>
      <c r="T99" s="41" t="s">
        <v>73</v>
      </c>
      <c r="U99" s="41" t="s">
        <v>73</v>
      </c>
      <c r="V99" s="41" t="s">
        <v>73</v>
      </c>
      <c r="W99" s="41" t="s">
        <v>73</v>
      </c>
      <c r="X99" s="41" t="s">
        <v>73</v>
      </c>
      <c r="Y99" s="41" t="s">
        <v>164</v>
      </c>
      <c r="Z99" s="41" t="s">
        <v>73</v>
      </c>
      <c r="AA99" s="41" t="s">
        <v>73</v>
      </c>
      <c r="AB99" s="41" t="s">
        <v>84</v>
      </c>
      <c r="AC99" s="41" t="s">
        <v>73</v>
      </c>
      <c r="AD99" s="41" t="s">
        <v>73</v>
      </c>
      <c r="AE99" s="41" t="s">
        <v>76</v>
      </c>
      <c r="AF99" s="41" t="s">
        <v>77</v>
      </c>
      <c r="AG99" s="41" t="s">
        <v>78</v>
      </c>
      <c r="AH99" t="str">
        <f>VLOOKUP($R99,武学奇术!$A:$ZZ,25,FALSE)</f>
        <v>绳镖</v>
      </c>
      <c r="AI99" s="27">
        <f>VLOOKUP($R99,武学奇术!$A:$ZZ,26,FALSE)</f>
        <v>1.2503</v>
      </c>
      <c r="AJ99" s="28">
        <f>VLOOKUP($R99,武学奇术!$A:$ZZ,27,FALSE)*(1+IF(OR($AH99=$F$4,$AH99=$F$5),$B$22,0))</f>
        <v>520.5</v>
      </c>
      <c r="AK99" s="27">
        <f>VLOOKUP($R99,武学奇术!$A:$ZZ,28,FALSE)</f>
        <v>1.8755</v>
      </c>
      <c r="AL99" s="28">
        <f>VLOOKUP($R99,武学奇术!$A:$ZZ,29,FALSE)*(1+IF(OR($AH99=$F$4,$AH99=$F$5),$B$22,0))</f>
        <v>283.5</v>
      </c>
      <c r="AM99" s="27" cm="1">
        <f t="array" ref="AM99">$G$3+IFERROR(VLOOKUP($AH99,$F$4:$G$7,2,FALSE),0)+VLOOKUP($R99,武学奇术!$A:$ZZ,2,FALSE)+SUM(_xlfn.XLOOKUP($S99:$AG99,增益!$A:$A,增益!$B:$B,0))</f>
        <v>0.3189</v>
      </c>
      <c r="AN99" s="27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3888.382</v>
      </c>
      <c r="AP99" cm="1">
        <f t="array" ref="AP99">$E$10*(1+$AN99)+VLOOKUP($R99,武学奇术!$A:$ZZ,4,FALSE)+SUM(_xlfn.XLOOKUP($S99:$AG99,增益!$A:$A,增益!$D:$D,0))-$I$2</f>
        <v>3888.382</v>
      </c>
      <c r="AQ99" s="33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0.317</v>
      </c>
      <c r="AR99" s="33" cm="1">
        <f t="array" ref="AR99">$G$10+VLOOKUP($R99,武学奇术!$A:$ZZ,7,FALSE)+SUM(_xlfn.XLOOKUP(S99:AG99,增益!$A:$A,增益!$G:$G,0))</f>
        <v>0.09</v>
      </c>
      <c r="AS99" s="27" cm="1">
        <f t="array" ref="AS99">VLOOKUP($R99,武学奇术!$A:$ZZ,8,FALSE)+SUM(_xlfn.XLOOKUP(S99:AG99,增益!$A:$A,增益!$H:$H,0))</f>
        <v>0</v>
      </c>
      <c r="AT99">
        <f t="shared" si="34"/>
        <v>0</v>
      </c>
      <c r="AU99">
        <f t="shared" si="35"/>
        <v>0</v>
      </c>
      <c r="AV99" s="33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-0.3</v>
      </c>
      <c r="AW99" s="33" cm="1">
        <f t="array" ref="AW99">$G$11+VLOOKUP($R99,武学奇术!$A:$ZZ,10,FALSE)+SUM(_xlfn.XLOOKUP(S99:AG99,增益!$A:$A,增益!$J:$J,0))</f>
        <v>0</v>
      </c>
      <c r="AX99">
        <f t="shared" si="36"/>
        <v>0</v>
      </c>
      <c r="AY99">
        <f t="shared" si="37"/>
        <v>0</v>
      </c>
      <c r="AZ99" s="33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-0.3</v>
      </c>
      <c r="BA99" s="33" cm="1">
        <f t="array" ref="BA99">$G$12+VLOOKUP($R99,武学奇术!$A:$ZZ,12,FALSE)+SUM(_xlfn.XLOOKUP(S99:AG99,增益!$A:$A,增益!$L:$L,0))</f>
        <v>0</v>
      </c>
      <c r="BB99">
        <f t="shared" si="38"/>
        <v>0</v>
      </c>
      <c r="BC99">
        <f t="shared" si="39"/>
        <v>0</v>
      </c>
      <c r="BD99" s="33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-0.3</v>
      </c>
      <c r="BE99" s="33" cm="1">
        <f t="array" ref="BE99">$G$13+VLOOKUP($R99,武学奇术!$A:$ZZ,14,FALSE)+SUM(_xlfn.XLOOKUP(S99:AG99,增益!$A:$A,增益!$N:$N,0))</f>
        <v>0</v>
      </c>
      <c r="BF99">
        <f t="shared" si="40"/>
        <v>605.472</v>
      </c>
      <c r="BG99">
        <f t="shared" si="41"/>
        <v>1725.468</v>
      </c>
      <c r="BH99" s="33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0</v>
      </c>
      <c r="BI99" s="33" cm="1">
        <f t="array" ref="BI99">$G$14+VLOOKUP($R99,武学奇术!$A:$ZZ,16,FALSE)+SUM(_xlfn.XLOOKUP(S99:AG99,增益!$A:$A,增益!$P:$P,0))</f>
        <v>0.24</v>
      </c>
      <c r="BJ99" s="27">
        <f>MIN(IF(VLOOKUP($R99,武学奇术!$A:$ZZ,23,FALSE)=1,100%,$B$8),100%)</f>
        <v>1</v>
      </c>
      <c r="BK99" s="27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+MIN(IF(VLOOKUP($R99,武学奇术!$A:$ZZ,32,FALSE)=1,IF(VLOOKUP($R99,武学奇术!$A:$ZZ,24,FALSE)=1,100%,MIN(40%,$B$10+VLOOKUP($R99,武学奇术!$A:$ZZ,19,FALSE)+SUM(_xlfn.XLOOKUP(S99:AG99,增益!$A:$A,增益!$S:$S,0)))+$B$12+SUM(_xlfn.XLOOKUP(S99:AG99,增益!$A:$A,增益!$V:$V,0))),0),12%)</f>
        <v>0.9036</v>
      </c>
      <c r="BL99" s="27" cm="1">
        <f t="array" ref="BL99">1+$B$13+VLOOKUP($R99,武学奇术!$A:$ZZ,18,FALSE)+SUM(_xlfn.XLOOKUP(S99:AG99,增益!$A:$A,增益!$R:$R,0))</f>
        <v>1.64</v>
      </c>
      <c r="BM99" s="27" cm="1">
        <f t="array" ref="BM99">MAX(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-IF(VLOOKUP($R99,武学奇术!$A:$ZZ,32,FALSE)=1,12%,0),0)</f>
        <v>0.0929</v>
      </c>
      <c r="BN99" s="27" cm="1">
        <f t="array" ref="BN99">1+$B$14+VLOOKUP($R99,武学奇术!$A:$ZZ,20,FALSE)+SUM(_xlfn.XLOOKUP(S99:AG99,增益!$A:$A,增益!$T:$T,0))</f>
        <v>1.35</v>
      </c>
      <c r="BO99" s="27">
        <f t="shared" si="31"/>
        <v>0.9036</v>
      </c>
      <c r="BP99" s="27">
        <f t="shared" si="32"/>
        <v>0.00350000000000006</v>
      </c>
      <c r="BQ99" s="27">
        <f>IF(VLOOKUP($R99,武学奇术!$A:$ZZ,22,FALSE)=1,0,(1-$BJ99))*(1-$BM99)</f>
        <v>0</v>
      </c>
      <c r="BR99" s="27" cm="1">
        <f t="array" ref="BR99">SUM(_xlfn.XLOOKUP(S99:AG99,增益!$A:$A,增益!$W:$W,0))+$I$5</f>
        <v>0.11</v>
      </c>
    </row>
    <row r="100" spans="1:70">
      <c r="A100" s="4" t="s">
        <v>163</v>
      </c>
      <c r="B100" s="4">
        <v>0.9</v>
      </c>
      <c r="E100" s="40"/>
      <c r="F100" s="40"/>
      <c r="K100">
        <f>$L100*VLOOKUP($R100,武学奇术!$A:$ZZ,31,FALSE)</f>
        <v>77472.1079586279</v>
      </c>
      <c r="L100" s="39">
        <f t="shared" si="33"/>
        <v>59593.9291989445</v>
      </c>
      <c r="M100" s="39">
        <f>((($AO100+($AP100-$AO100)*IF(VLOOKUP($R100,武学奇术!$A:$ZZ,31,FALSE)=1,$F$18,0.5))*$AI100+$AJ100)*(1+$AQ100)*(1+$AR100)+(($AT100+($AU100-$AT100)*IF(VLOOKUP($R100,武学奇术!$A:$ZZ,31,FALSE)=1,$F$18,0.5))*IF($G$1="鸣金",$AK100,$AI100)+IF($G$1="鸣金",$AL100*1.5,0))*(1+$AV100)*(1+$AW100)+(($AX100+($AY100-$AX100)*IF(VLOOKUP($R100,武学奇术!$A:$ZZ,31,FALSE)=1,$F$18,0.5))*IF($G$1="裂石",$AK100,$AI100)+IF($G$1="裂石",$AL100*1.5,0))*(1+$AZ100)*(1+$BA100)+(($BB100+($BC100-$BB100)*IF(VLOOKUP($R100,武学奇术!$A:$ZZ,31,FALSE)=1,$F$18,0.5))*IF($G$1="牵丝",$AK100,$AI100)+IF($G$1="牵丝",$AL100*1.5,0))*(1+$BD100)*(1+$BE100)+(($BF100+($BG100-$BF100)*IF(VLOOKUP($R100,武学奇术!$A:$ZZ,31,FALSE)=1,$F$18,0.5))*IF($G$1="破竹",$AK100,$AI100)+IF($G$1="破竹",$AL100*1.5,0))*(1+$BH100)*(1+$BI100))*(1+$AM100)*$BL100*$Q100*(1+IF(VLOOKUP($R100,武学奇术!$A:$ZZ,30,FALSE)="蓄力技",$B$21,0))*(1+$BR100)</f>
        <v>60885.6785491809</v>
      </c>
      <c r="N100" s="39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蓄力技",$B$21,0))*(1+$BR100)</f>
        <v>48092.4086711846</v>
      </c>
      <c r="O100" s="39">
        <f>((($AO100+($AP100-$AO100)*IF(VLOOKUP($R100,武学奇术!$A:$ZZ,31,FALSE)=1,$F$18,0.5))*$AI100+$AJ100)*(1+$AQ100)*(1+$AR100)+(($AT100+($AU100-$AT100)*IF(VLOOKUP($R100,武学奇术!$A:$ZZ,31,FALSE)=1,$F$18,0.5))*IF($G$1="鸣金",$AK100,$AI100)+IF($G$1="鸣金",$AL100*1.5,0))*(1+$AV100)*(1+$AW100)+(($AX100+($AY100-$AX100)*IF(VLOOKUP($R100,武学奇术!$A:$ZZ,31,FALSE)=1,$F$18,0.5))*IF($G$1="裂石",$AK100,$AI100)+IF($G$1="裂石",$AL100*1.5,0))*(1+$AZ100)*(1+$BA100)+(($BB100+($BC100-$BB100)*IF(VLOOKUP($R100,武学奇术!$A:$ZZ,31,FALSE)=1,$F$18,0.5))*IF($G$1="牵丝",$AK100,$AI100)+IF($G$1="牵丝",$AL100*1.5,0))*(1+$BD100)*(1+$BE100)+(($BF100+($BG100-$BF100)*IF(VLOOKUP($R100,武学奇术!$A:$ZZ,31,FALSE)=1,$F$18,0.5))*IF($G$1="破竹",$AK100,$AI100)+IF($G$1="破竹",$AL100*1.5,0))*(1+$BH100)*(1+$BI100))*(1+$AM100)*$Q100*(1+IF(VLOOKUP($R100,武学奇术!$A:$ZZ,30,FALSE)="蓄力技",$B$21,0))*(1+$BR100)</f>
        <v>31384.3703861757</v>
      </c>
      <c r="P100" s="39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蓄力技",$B$21,0))*(1+$BR100)</f>
        <v>27144.7343492517</v>
      </c>
      <c r="Q100" s="40">
        <v>1</v>
      </c>
      <c r="R100" s="41" t="s">
        <v>104</v>
      </c>
      <c r="S100" s="41" t="s">
        <v>97</v>
      </c>
      <c r="T100" s="41" t="s">
        <v>73</v>
      </c>
      <c r="U100" s="41" t="s">
        <v>73</v>
      </c>
      <c r="V100" s="41" t="s">
        <v>73</v>
      </c>
      <c r="W100" s="41" t="s">
        <v>73</v>
      </c>
      <c r="X100" s="41" t="s">
        <v>73</v>
      </c>
      <c r="Y100" s="41" t="s">
        <v>164</v>
      </c>
      <c r="Z100" s="41" t="s">
        <v>73</v>
      </c>
      <c r="AA100" s="41" t="s">
        <v>105</v>
      </c>
      <c r="AB100" s="41" t="s">
        <v>84</v>
      </c>
      <c r="AC100" s="41" t="s">
        <v>73</v>
      </c>
      <c r="AD100" s="41" t="s">
        <v>73</v>
      </c>
      <c r="AE100" s="41" t="s">
        <v>76</v>
      </c>
      <c r="AF100" s="41" t="s">
        <v>77</v>
      </c>
      <c r="AG100" s="41" t="s">
        <v>78</v>
      </c>
      <c r="AH100" t="str">
        <f>VLOOKUP($R100,武学奇术!$A:$ZZ,25,FALSE)</f>
        <v>绳镖</v>
      </c>
      <c r="AI100" s="27">
        <f>VLOOKUP($R100,武学奇术!$A:$ZZ,26,FALSE)</f>
        <v>2.19912</v>
      </c>
      <c r="AJ100" s="28">
        <f>VLOOKUP($R100,武学奇术!$A:$ZZ,27,FALSE)*(1+IF(OR($AH100=$F$4,$AH100=$F$5),$B$22,0))</f>
        <v>0</v>
      </c>
      <c r="AK100" s="27">
        <f>VLOOKUP($R100,武学奇术!$A:$ZZ,28,FALSE)</f>
        <v>3.29868</v>
      </c>
      <c r="AL100" s="28">
        <f>VLOOKUP($R100,武学奇术!$A:$ZZ,29,FALSE)*(1+IF(OR($AH100=$F$4,$AH100=$F$5),$B$22,0))</f>
        <v>0</v>
      </c>
      <c r="AM100" s="27" cm="1">
        <f t="array" ref="AM100">$G$3+IFERROR(VLOOKUP($AH100,$F$4:$G$7,2,FALSE),0)+VLOOKUP($R100,武学奇术!$A:$ZZ,2,FALSE)+SUM(_xlfn.XLOOKUP($S100:$AG100,增益!$A:$A,增益!$B:$B,0))</f>
        <v>0.6189</v>
      </c>
      <c r="AN100" s="27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3888.382</v>
      </c>
      <c r="AP100" cm="1">
        <f t="array" ref="AP100">$E$10*(1+$AN100)+VLOOKUP($R100,武学奇术!$A:$ZZ,4,FALSE)+SUM(_xlfn.XLOOKUP($S100:$AG100,增益!$A:$A,增益!$D:$D,0))-$I$2</f>
        <v>3888.382</v>
      </c>
      <c r="AQ100" s="33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0.347</v>
      </c>
      <c r="AR100" s="33" cm="1">
        <f t="array" ref="AR100">$G$10+VLOOKUP($R100,武学奇术!$A:$ZZ,7,FALSE)+SUM(_xlfn.XLOOKUP(S100:AG100,增益!$A:$A,增益!$G:$G,0))</f>
        <v>0.09</v>
      </c>
      <c r="AS100" s="27" cm="1">
        <f t="array" ref="AS100">VLOOKUP($R100,武学奇术!$A:$ZZ,8,FALSE)+SUM(_xlfn.XLOOKUP(S100:AG100,增益!$A:$A,增益!$H:$H,0))</f>
        <v>0</v>
      </c>
      <c r="AT100">
        <f t="shared" si="34"/>
        <v>0</v>
      </c>
      <c r="AU100">
        <f t="shared" si="35"/>
        <v>0</v>
      </c>
      <c r="AV100" s="33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-0.24</v>
      </c>
      <c r="AW100" s="33" cm="1">
        <f t="array" ref="AW100">$G$11+VLOOKUP($R100,武学奇术!$A:$ZZ,10,FALSE)+SUM(_xlfn.XLOOKUP(S100:AG100,增益!$A:$A,增益!$J:$J,0))</f>
        <v>0</v>
      </c>
      <c r="AX100">
        <f t="shared" si="36"/>
        <v>0</v>
      </c>
      <c r="AY100">
        <f t="shared" si="37"/>
        <v>0</v>
      </c>
      <c r="AZ100" s="33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-0.24</v>
      </c>
      <c r="BA100" s="33" cm="1">
        <f t="array" ref="BA100">$G$12+VLOOKUP($R100,武学奇术!$A:$ZZ,12,FALSE)+SUM(_xlfn.XLOOKUP(S100:AG100,增益!$A:$A,增益!$L:$L,0))</f>
        <v>0</v>
      </c>
      <c r="BB100">
        <f t="shared" si="38"/>
        <v>0</v>
      </c>
      <c r="BC100">
        <f t="shared" si="39"/>
        <v>0</v>
      </c>
      <c r="BD100" s="33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-0.24</v>
      </c>
      <c r="BE100" s="33" cm="1">
        <f t="array" ref="BE100">$G$13+VLOOKUP($R100,武学奇术!$A:$ZZ,14,FALSE)+SUM(_xlfn.XLOOKUP(S100:AG100,增益!$A:$A,增益!$N:$N,0))</f>
        <v>0</v>
      </c>
      <c r="BF100">
        <f t="shared" si="40"/>
        <v>605.472</v>
      </c>
      <c r="BG100">
        <f t="shared" si="41"/>
        <v>1725.468</v>
      </c>
      <c r="BH100" s="33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0.03</v>
      </c>
      <c r="BI100" s="33" cm="1">
        <f t="array" ref="BI100">$G$14+VLOOKUP($R100,武学奇术!$A:$ZZ,16,FALSE)+SUM(_xlfn.XLOOKUP(S100:AG100,增益!$A:$A,增益!$P:$P,0))</f>
        <v>0.24</v>
      </c>
      <c r="BJ100" s="27">
        <f>MIN(IF(VLOOKUP($R100,武学奇术!$A:$ZZ,23,FALSE)=1,100%,$B$8),100%)</f>
        <v>1</v>
      </c>
      <c r="BK100" s="27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+MIN(IF(VLOOKUP($R100,武学奇术!$A:$ZZ,32,FALSE)=1,IF(VLOOKUP($R100,武学奇术!$A:$ZZ,24,FALSE)=1,100%,MIN(40%,$B$10+VLOOKUP($R100,武学奇术!$A:$ZZ,19,FALSE)+SUM(_xlfn.XLOOKUP(S100:AG100,增益!$A:$A,增益!$S:$S,0)))+$B$12+SUM(_xlfn.XLOOKUP(S100:AG100,增益!$A:$A,增益!$V:$V,0))),0),12%)</f>
        <v>0.9036</v>
      </c>
      <c r="BL100" s="27" cm="1">
        <f t="array" ref="BL100">1+$B$13+VLOOKUP($R100,武学奇术!$A:$ZZ,18,FALSE)+SUM(_xlfn.XLOOKUP(S100:AG100,增益!$A:$A,增益!$R:$R,0))</f>
        <v>1.94</v>
      </c>
      <c r="BM100" s="27" cm="1">
        <f t="array" ref="BM100">MAX(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-IF(VLOOKUP($R100,武学奇术!$A:$ZZ,32,FALSE)=1,12%,0),0)</f>
        <v>0.0929</v>
      </c>
      <c r="BN100" s="27" cm="1">
        <f t="array" ref="BN100">1+$B$14+VLOOKUP($R100,武学奇术!$A:$ZZ,20,FALSE)+SUM(_xlfn.XLOOKUP(S100:AG100,增益!$A:$A,增益!$T:$T,0))</f>
        <v>1.35</v>
      </c>
      <c r="BO100" s="27">
        <f t="shared" si="31"/>
        <v>0.9036</v>
      </c>
      <c r="BP100" s="27">
        <f t="shared" si="32"/>
        <v>0.00350000000000006</v>
      </c>
      <c r="BQ100" s="27">
        <f>IF(VLOOKUP($R100,武学奇术!$A:$ZZ,22,FALSE)=1,0,(1-$BJ100))*(1-$BM100)</f>
        <v>0</v>
      </c>
      <c r="BR100" s="27" cm="1">
        <f t="array" ref="BR100">SUM(_xlfn.XLOOKUP(S100:AG100,增益!$A:$A,增益!$W:$W,0))+$I$5</f>
        <v>0.11</v>
      </c>
    </row>
    <row r="101" spans="1:70">
      <c r="A101" t="s">
        <v>165</v>
      </c>
      <c r="B101">
        <v>1</v>
      </c>
      <c r="F101" s="40"/>
      <c r="K101">
        <f>$L101*VLOOKUP($R101,武学奇术!$A:$ZZ,31,FALSE)</f>
        <v>123000.068601756</v>
      </c>
      <c r="L101" s="39">
        <f t="shared" si="33"/>
        <v>123000.068601756</v>
      </c>
      <c r="M101" s="39">
        <f>((($AO101+($AP101-$AO101)*IF(VLOOKUP($R101,武学奇术!$A:$ZZ,31,FALSE)=1,$F$18,0.5))*$AI101+$AJ101)*(1+$AQ101)*(1+$AR101)+(($AT101+($AU101-$AT101)*IF(VLOOKUP($R101,武学奇术!$A:$ZZ,31,FALSE)=1,$F$18,0.5))*IF($G$1="鸣金",$AK101,$AI101)+IF($G$1="鸣金",$AL101*1.5,0))*(1+$AV101)*(1+$AW101)+(($AX101+($AY101-$AX101)*IF(VLOOKUP($R101,武学奇术!$A:$ZZ,31,FALSE)=1,$F$18,0.5))*IF($G$1="裂石",$AK101,$AI101)+IF($G$1="裂石",$AL101*1.5,0))*(1+$AZ101)*(1+$BA101)+(($BB101+($BC101-$BB101)*IF(VLOOKUP($R101,武学奇术!$A:$ZZ,31,FALSE)=1,$F$18,0.5))*IF($G$1="牵丝",$AK101,$AI101)+IF($G$1="牵丝",$AL101*1.5,0))*(1+$BD101)*(1+$BE101)+(($BF101+($BG101-$BF101)*IF(VLOOKUP($R101,武学奇术!$A:$ZZ,31,FALSE)=1,$F$18,0.5))*IF($G$1="破竹",$AK101,$AI101)+IF($G$1="破竹",$AL101*1.5,0))*(1+$BH101)*(1+$BI101))*(1+$AM101)*$BL101*$Q101*(1+IF(VLOOKUP($R101,武学奇术!$A:$ZZ,30,FALSE)="蓄力技",$B$21,0))*(1+$BR101)</f>
        <v>123975.761756321</v>
      </c>
      <c r="N101" s="39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蓄力技",$B$21,0))*(1+$BR101)</f>
        <v>115295.886548564</v>
      </c>
      <c r="O101" s="39">
        <f>((($AO101+($AP101-$AO101)*IF(VLOOKUP($R101,武学奇术!$A:$ZZ,31,FALSE)=1,$F$18,0.5))*$AI101+$AJ101)*(1+$AQ101)*(1+$AR101)+(($AT101+($AU101-$AT101)*IF(VLOOKUP($R101,武学奇术!$A:$ZZ,31,FALSE)=1,$F$18,0.5))*IF($G$1="鸣金",$AK101,$AI101)+IF($G$1="鸣金",$AL101*1.5,0))*(1+$AV101)*(1+$AW101)+(($AX101+($AY101-$AX101)*IF(VLOOKUP($R101,武学奇术!$A:$ZZ,31,FALSE)=1,$F$18,0.5))*IF($G$1="裂石",$AK101,$AI101)+IF($G$1="裂石",$AL101*1.5,0))*(1+$AZ101)*(1+$BA101)+(($BB101+($BC101-$BB101)*IF(VLOOKUP($R101,武学奇术!$A:$ZZ,31,FALSE)=1,$F$18,0.5))*IF($G$1="牵丝",$AK101,$AI101)+IF($G$1="牵丝",$AL101*1.5,0))*(1+$BD101)*(1+$BE101)+(($BF101+($BG101-$BF101)*IF(VLOOKUP($R101,武学奇术!$A:$ZZ,31,FALSE)=1,$F$18,0.5))*IF($G$1="破竹",$AK101,$AI101)+IF($G$1="破竹",$AL101*1.5,0))*(1+$BH101)*(1+$BI101))*(1+$AM101)*$Q101*(1+IF(VLOOKUP($R101,武学奇术!$A:$ZZ,30,FALSE)="蓄力技",$B$21,0))*(1+$BR101)</f>
        <v>75594.9766806837</v>
      </c>
      <c r="P101" s="39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蓄力技",$B$21,0))*(1+$BR101)</f>
        <v>65785.5929550234</v>
      </c>
      <c r="Q101" s="40">
        <v>1</v>
      </c>
      <c r="R101" s="41" t="s">
        <v>190</v>
      </c>
      <c r="S101" s="41" t="s">
        <v>97</v>
      </c>
      <c r="T101" s="41" t="s">
        <v>73</v>
      </c>
      <c r="U101" s="41" t="s">
        <v>73</v>
      </c>
      <c r="V101" s="41" t="s">
        <v>73</v>
      </c>
      <c r="W101" s="41" t="s">
        <v>73</v>
      </c>
      <c r="X101" s="41" t="s">
        <v>73</v>
      </c>
      <c r="Y101" s="41" t="s">
        <v>164</v>
      </c>
      <c r="Z101" s="41" t="s">
        <v>73</v>
      </c>
      <c r="AA101" s="41" t="s">
        <v>73</v>
      </c>
      <c r="AB101" s="41" t="s">
        <v>84</v>
      </c>
      <c r="AC101" s="41" t="s">
        <v>73</v>
      </c>
      <c r="AD101" s="41" t="s">
        <v>73</v>
      </c>
      <c r="AE101" s="41" t="s">
        <v>76</v>
      </c>
      <c r="AF101" s="41" t="s">
        <v>77</v>
      </c>
      <c r="AG101" s="41" t="s">
        <v>78</v>
      </c>
      <c r="AH101" t="str">
        <f>VLOOKUP($R101,武学奇术!$A:$ZZ,25,FALSE)</f>
        <v>群体奇术</v>
      </c>
      <c r="AI101" s="27">
        <f>VLOOKUP($R101,武学奇术!$A:$ZZ,26,FALSE)</f>
        <v>6.87717</v>
      </c>
      <c r="AJ101" s="28">
        <f>VLOOKUP($R101,武学奇术!$A:$ZZ,27,FALSE)*(1+IF(OR($AH101=$F$4,$AH101=$F$5),$B$22,0))</f>
        <v>1328.4</v>
      </c>
      <c r="AK101" s="27">
        <f>VLOOKUP($R101,武学奇术!$A:$ZZ,28,FALSE)</f>
        <v>10.315755</v>
      </c>
      <c r="AL101" s="28">
        <f>VLOOKUP($R101,武学奇术!$A:$ZZ,29,FALSE)*(1+IF(OR($AH101=$F$4,$AH101=$F$5),$B$22,0))</f>
        <v>0</v>
      </c>
      <c r="AM101" s="27" cm="1">
        <f t="array" ref="AM101">$G$3+IFERROR(VLOOKUP($AH101,$F$4:$G$7,2,FALSE),0)+VLOOKUP($R101,武学奇术!$A:$ZZ,2,FALSE)+SUM(_xlfn.XLOOKUP($S101:$AG101,增益!$A:$A,增益!$B:$B,0))</f>
        <v>0.2337</v>
      </c>
      <c r="AN101" s="27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3888.382</v>
      </c>
      <c r="AP101" cm="1">
        <f t="array" ref="AP101">$E$10*(1+$AN101)+VLOOKUP($R101,武学奇术!$A:$ZZ,4,FALSE)+SUM(_xlfn.XLOOKUP($S101:$AG101,增益!$A:$A,增益!$D:$D,0))-$I$2</f>
        <v>3888.382</v>
      </c>
      <c r="AQ101" s="33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0.317</v>
      </c>
      <c r="AR101" s="33" cm="1">
        <f t="array" ref="AR101">$G$10+VLOOKUP($R101,武学奇术!$A:$ZZ,7,FALSE)+SUM(_xlfn.XLOOKUP(S101:AG101,增益!$A:$A,增益!$G:$G,0))</f>
        <v>0.09</v>
      </c>
      <c r="AS101" s="27" cm="1">
        <f t="array" ref="AS101">VLOOKUP($R101,武学奇术!$A:$ZZ,8,FALSE)+SUM(_xlfn.XLOOKUP(S101:AG101,增益!$A:$A,增益!$H:$H,0))</f>
        <v>0</v>
      </c>
      <c r="AT101">
        <f t="shared" si="34"/>
        <v>0</v>
      </c>
      <c r="AU101">
        <f t="shared" si="35"/>
        <v>0</v>
      </c>
      <c r="AV101" s="33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-0.3</v>
      </c>
      <c r="AW101" s="33" cm="1">
        <f t="array" ref="AW101">$G$11+VLOOKUP($R101,武学奇术!$A:$ZZ,10,FALSE)+SUM(_xlfn.XLOOKUP(S101:AG101,增益!$A:$A,增益!$J:$J,0))</f>
        <v>0</v>
      </c>
      <c r="AX101">
        <f t="shared" si="36"/>
        <v>0</v>
      </c>
      <c r="AY101">
        <f t="shared" si="37"/>
        <v>0</v>
      </c>
      <c r="AZ101" s="33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33" cm="1">
        <f t="array" ref="BA101">$G$12+VLOOKUP($R101,武学奇术!$A:$ZZ,12,FALSE)+SUM(_xlfn.XLOOKUP(S101:AG101,增益!$A:$A,增益!$L:$L,0))</f>
        <v>0</v>
      </c>
      <c r="BB101">
        <f t="shared" si="38"/>
        <v>0</v>
      </c>
      <c r="BC101">
        <f t="shared" si="39"/>
        <v>0</v>
      </c>
      <c r="BD101" s="33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33" cm="1">
        <f t="array" ref="BE101">$G$13+VLOOKUP($R101,武学奇术!$A:$ZZ,14,FALSE)+SUM(_xlfn.XLOOKUP(S101:AG101,增益!$A:$A,增益!$N:$N,0))</f>
        <v>0</v>
      </c>
      <c r="BF101">
        <f t="shared" si="40"/>
        <v>605.472</v>
      </c>
      <c r="BG101">
        <f t="shared" si="41"/>
        <v>1725.468</v>
      </c>
      <c r="BH101" s="33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0</v>
      </c>
      <c r="BI101" s="33" cm="1">
        <f t="array" ref="BI101">$G$14+VLOOKUP($R101,武学奇术!$A:$ZZ,16,FALSE)+SUM(_xlfn.XLOOKUP(S101:AG101,增益!$A:$A,增益!$P:$P,0))</f>
        <v>0.24</v>
      </c>
      <c r="BJ101" s="27">
        <f>MIN(IF(VLOOKUP($R101,武学奇术!$A:$ZZ,23,FALSE)=1,100%,$B$8),100%)</f>
        <v>1</v>
      </c>
      <c r="BK101" s="27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+MIN(IF(VLOOKUP($R101,武学奇术!$A:$ZZ,32,FALSE)=1,IF(VLOOKUP($R101,武学奇术!$A:$ZZ,24,FALSE)=1,100%,MIN(40%,$B$10+VLOOKUP($R101,武学奇术!$A:$ZZ,19,FALSE)+SUM(_xlfn.XLOOKUP(S101:AG101,增益!$A:$A,增益!$S:$S,0)))+$B$12+SUM(_xlfn.XLOOKUP(S101:AG101,增益!$A:$A,增益!$V:$V,0))),0),12%)</f>
        <v>0.9036</v>
      </c>
      <c r="BL101" s="27" cm="1">
        <f t="array" ref="BL101">1+$B$13+VLOOKUP($R101,武学奇术!$A:$ZZ,18,FALSE)+SUM(_xlfn.XLOOKUP(S101:AG101,增益!$A:$A,增益!$R:$R,0))</f>
        <v>1.64</v>
      </c>
      <c r="BM101" s="27" cm="1">
        <f t="array" ref="BM101">MAX(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-IF(VLOOKUP($R101,武学奇术!$A:$ZZ,32,FALSE)=1,12%,0),0)</f>
        <v>0.0929</v>
      </c>
      <c r="BN101" s="27" cm="1">
        <f t="array" ref="BN101">1+$B$14+VLOOKUP($R101,武学奇术!$A:$ZZ,20,FALSE)+SUM(_xlfn.XLOOKUP(S101:AG101,增益!$A:$A,增益!$T:$T,0))</f>
        <v>1.35</v>
      </c>
      <c r="BO101" s="27">
        <f t="shared" si="31"/>
        <v>0.9036</v>
      </c>
      <c r="BP101" s="27">
        <f t="shared" si="32"/>
        <v>0.00350000000000006</v>
      </c>
      <c r="BQ101" s="27">
        <f>IF(VLOOKUP($R101,武学奇术!$A:$ZZ,22,FALSE)=1,0,(1-$BJ101))*(1-$BM101)</f>
        <v>0</v>
      </c>
      <c r="BR101" s="27" cm="1">
        <f t="array" ref="BR101">SUM(_xlfn.XLOOKUP(S101:AG101,增益!$A:$A,增益!$W:$W,0))+$I$5</f>
        <v>0.11</v>
      </c>
    </row>
    <row r="102" spans="1:70">
      <c r="A102" t="s">
        <v>160</v>
      </c>
      <c r="B102">
        <v>0.1</v>
      </c>
      <c r="F102" s="40"/>
      <c r="K102">
        <f>$L102*VLOOKUP($R102,武学奇术!$A:$ZZ,31,FALSE)</f>
        <v>827089.877326575</v>
      </c>
      <c r="L102" s="39">
        <f t="shared" si="33"/>
        <v>978804.58855216</v>
      </c>
      <c r="M102" s="39">
        <f>((($AO102+($AP102-$AO102)*IF(VLOOKUP($R102,武学奇术!$A:$ZZ,31,FALSE)=1,$F$18,0.5))*$AI102+$AJ102)*(1+$AQ102)*(1+$AR102)+(($AT102+($AU102-$AT102)*IF(VLOOKUP($R102,武学奇术!$A:$ZZ,31,FALSE)=1,$F$18,0.5))*IF($G$1="鸣金",$AK102,$AI102)+IF($G$1="鸣金",$AL102*1.5,0))*(1+$AV102)*(1+$AW102)+(($AX102+($AY102-$AX102)*IF(VLOOKUP($R102,武学奇术!$A:$ZZ,31,FALSE)=1,$F$18,0.5))*IF($G$1="裂石",$AK102,$AI102)+IF($G$1="裂石",$AL102*1.5,0))*(1+$AZ102)*(1+$BA102)+(($BB102+($BC102-$BB102)*IF(VLOOKUP($R102,武学奇术!$A:$ZZ,31,FALSE)=1,$F$18,0.5))*IF($G$1="牵丝",$AK102,$AI102)+IF($G$1="牵丝",$AL102*1.5,0))*(1+$BD102)*(1+$BE102)+(($BF102+($BG102-$BF102)*IF(VLOOKUP($R102,武学奇术!$A:$ZZ,31,FALSE)=1,$F$18,0.5))*IF($G$1="破竹",$AK102,$AI102)+IF($G$1="破竹",$AL102*1.5,0))*(1+$BH102)*(1+$BI102))*(1+$AM102)*$BL102*$Q102*(1+IF(VLOOKUP($R102,武学奇术!$A:$ZZ,30,FALSE)="蓄力技",$B$21,0))*(1+$BR102)</f>
        <v>980801.072744169</v>
      </c>
      <c r="N102" s="39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蓄力技",$B$21,0))*(1+$BR102)</f>
        <v>619523.079222252</v>
      </c>
      <c r="O102" s="39">
        <f>((($AO102+($AP102-$AO102)*IF(VLOOKUP($R102,武学奇术!$A:$ZZ,31,FALSE)=1,$F$18,0.5))*$AI102+$AJ102)*(1+$AQ102)*(1+$AR102)+(($AT102+($AU102-$AT102)*IF(VLOOKUP($R102,武学奇术!$A:$ZZ,31,FALSE)=1,$F$18,0.5))*IF($G$1="鸣金",$AK102,$AI102)+IF($G$1="鸣金",$AL102*1.5,0))*(1+$AV102)*(1+$AW102)+(($AX102+($AY102-$AX102)*IF(VLOOKUP($R102,武学奇术!$A:$ZZ,31,FALSE)=1,$F$18,0.5))*IF($G$1="裂石",$AK102,$AI102)+IF($G$1="裂石",$AL102*1.5,0))*(1+$AZ102)*(1+$BA102)+(($BB102+($BC102-$BB102)*IF(VLOOKUP($R102,武学奇术!$A:$ZZ,31,FALSE)=1,$F$18,0.5))*IF($G$1="牵丝",$AK102,$AI102)+IF($G$1="牵丝",$AL102*1.5,0))*(1+$BD102)*(1+$BE102)+(($BF102+($BG102-$BF102)*IF(VLOOKUP($R102,武学奇术!$A:$ZZ,31,FALSE)=1,$F$18,0.5))*IF($G$1="破竹",$AK102,$AI102)+IF($G$1="破竹",$AL102*1.5,0))*(1+$BH102)*(1+$BI102))*(1+$AM102)*$Q102*(1+IF(VLOOKUP($R102,武学奇术!$A:$ZZ,30,FALSE)="蓄力技",$B$21,0))*(1+$BR102)</f>
        <v>410377.017884589</v>
      </c>
      <c r="P102" s="39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蓄力技",$B$21,0))*(1+$BR102)</f>
        <v>361848.051160103</v>
      </c>
      <c r="Q102" s="40">
        <v>1</v>
      </c>
      <c r="R102" s="41" t="s">
        <v>131</v>
      </c>
      <c r="S102" s="41" t="s">
        <v>97</v>
      </c>
      <c r="T102" s="41" t="s">
        <v>132</v>
      </c>
      <c r="U102" s="41" t="s">
        <v>73</v>
      </c>
      <c r="V102" s="41" t="s">
        <v>73</v>
      </c>
      <c r="W102" s="41" t="s">
        <v>73</v>
      </c>
      <c r="X102" s="41" t="s">
        <v>73</v>
      </c>
      <c r="Y102" s="41" t="s">
        <v>164</v>
      </c>
      <c r="Z102" s="41" t="s">
        <v>83</v>
      </c>
      <c r="AA102" s="41" t="s">
        <v>105</v>
      </c>
      <c r="AB102" s="41" t="s">
        <v>90</v>
      </c>
      <c r="AC102" s="41" t="s">
        <v>73</v>
      </c>
      <c r="AD102" s="41" t="s">
        <v>73</v>
      </c>
      <c r="AE102" s="41" t="s">
        <v>76</v>
      </c>
      <c r="AF102" s="41" t="s">
        <v>77</v>
      </c>
      <c r="AG102" s="41" t="s">
        <v>78</v>
      </c>
      <c r="AH102" t="str">
        <f>VLOOKUP($R102,武学奇术!$A:$ZZ,25,FALSE)</f>
        <v>拳甲</v>
      </c>
      <c r="AI102" s="27">
        <f>VLOOKUP($R102,武学奇术!$A:$ZZ,26,FALSE)</f>
        <v>16.8107</v>
      </c>
      <c r="AJ102" s="28">
        <f>VLOOKUP($R102,武学奇术!$A:$ZZ,27,FALSE)*(1+IF(OR($AH102=$F$4,$AH102=$F$5),$B$22,0))</f>
        <v>6970.5</v>
      </c>
      <c r="AK102" s="27">
        <f>VLOOKUP($R102,武学奇术!$A:$ZZ,28,FALSE)</f>
        <v>25.2161</v>
      </c>
      <c r="AL102" s="28">
        <f>VLOOKUP($R102,武学奇术!$A:$ZZ,29,FALSE)*(1+IF(OR($AH102=$F$4,$AH102=$F$5),$B$22,0))</f>
        <v>3799.5</v>
      </c>
      <c r="AM102" s="27" cm="1">
        <f t="array" ref="AM102">$G$3+IFERROR(VLOOKUP($AH102,$F$4:$G$7,2,FALSE),0)+VLOOKUP($R102,武学奇术!$A:$ZZ,2,FALSE)+SUM(_xlfn.XLOOKUP($S102:$AG102,增益!$A:$A,增益!$B:$B,0))</f>
        <v>0.7041</v>
      </c>
      <c r="AN102" s="27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3888.382</v>
      </c>
      <c r="AP102" cm="1">
        <f t="array" ref="AP102">$E$10*(1+$AN102)+VLOOKUP($R102,武学奇术!$A:$ZZ,4,FALSE)+SUM(_xlfn.XLOOKUP($S102:$AG102,增益!$A:$A,增益!$D:$D,0))-$I$2</f>
        <v>3888.382</v>
      </c>
      <c r="AQ102" s="33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0.472</v>
      </c>
      <c r="AR102" s="33" cm="1">
        <f t="array" ref="AR102">$G$10+VLOOKUP($R102,武学奇术!$A:$ZZ,7,FALSE)+SUM(_xlfn.XLOOKUP(S102:AG102,增益!$A:$A,增益!$G:$G,0))</f>
        <v>0.09</v>
      </c>
      <c r="AS102" s="27" cm="1">
        <f t="array" ref="AS102">VLOOKUP($R102,武学奇术!$A:$ZZ,8,FALSE)+SUM(_xlfn.XLOOKUP(S102:AG102,增益!$A:$A,增益!$H:$H,0))</f>
        <v>0</v>
      </c>
      <c r="AT102">
        <f t="shared" si="34"/>
        <v>0</v>
      </c>
      <c r="AU102">
        <f t="shared" si="35"/>
        <v>0</v>
      </c>
      <c r="AV102" s="33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-0.08</v>
      </c>
      <c r="AW102" s="33" cm="1">
        <f t="array" ref="AW102">$G$11+VLOOKUP($R102,武学奇术!$A:$ZZ,10,FALSE)+SUM(_xlfn.XLOOKUP(S102:AG102,增益!$A:$A,增益!$J:$J,0))</f>
        <v>0</v>
      </c>
      <c r="AX102">
        <f t="shared" si="36"/>
        <v>0</v>
      </c>
      <c r="AY102">
        <f t="shared" si="37"/>
        <v>0</v>
      </c>
      <c r="AZ102" s="33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-0.08</v>
      </c>
      <c r="BA102" s="33" cm="1">
        <f t="array" ref="BA102">$G$12+VLOOKUP($R102,武学奇术!$A:$ZZ,12,FALSE)+SUM(_xlfn.XLOOKUP(S102:AG102,增益!$A:$A,增益!$L:$L,0))</f>
        <v>0</v>
      </c>
      <c r="BB102">
        <f t="shared" si="38"/>
        <v>0</v>
      </c>
      <c r="BC102">
        <f t="shared" si="39"/>
        <v>0</v>
      </c>
      <c r="BD102" s="33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-0.08</v>
      </c>
      <c r="BE102" s="33" cm="1">
        <f t="array" ref="BE102">$G$13+VLOOKUP($R102,武学奇术!$A:$ZZ,14,FALSE)+SUM(_xlfn.XLOOKUP(S102:AG102,增益!$A:$A,增益!$N:$N,0))</f>
        <v>0</v>
      </c>
      <c r="BF102">
        <f t="shared" si="40"/>
        <v>605.472</v>
      </c>
      <c r="BG102">
        <f t="shared" si="41"/>
        <v>1725.468</v>
      </c>
      <c r="BH102" s="33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0.11</v>
      </c>
      <c r="BI102" s="33" cm="1">
        <f t="array" ref="BI102">$G$14+VLOOKUP($R102,武学奇术!$A:$ZZ,16,FALSE)+SUM(_xlfn.XLOOKUP(S102:AG102,增益!$A:$A,增益!$P:$P,0))</f>
        <v>0.24</v>
      </c>
      <c r="BJ102" s="27">
        <f>MIN(IF(VLOOKUP($R102,武学奇术!$A:$ZZ,23,FALSE)=1,100%,$B$8),100%)</f>
        <v>1</v>
      </c>
      <c r="BK102" s="27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+MIN(IF(VLOOKUP($R102,武学奇术!$A:$ZZ,32,FALSE)=1,IF(VLOOKUP($R102,武学奇术!$A:$ZZ,24,FALSE)=1,100%,MIN(40%,$B$10+VLOOKUP($R102,武学奇术!$A:$ZZ,19,FALSE)+SUM(_xlfn.XLOOKUP(S102:AG102,增益!$A:$A,增益!$S:$S,0)))+$B$12+SUM(_xlfn.XLOOKUP(S102:AG102,增益!$A:$A,增益!$V:$V,0))),0),12%)</f>
        <v>0.9965</v>
      </c>
      <c r="BL102" s="27" cm="1">
        <f t="array" ref="BL102">1+$B$13+VLOOKUP($R102,武学奇术!$A:$ZZ,18,FALSE)+SUM(_xlfn.XLOOKUP(S102:AG102,增益!$A:$A,增益!$R:$R,0))</f>
        <v>2.39</v>
      </c>
      <c r="BM102" s="27" cm="1">
        <f t="array" ref="BM102">MAX(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-IF(VLOOKUP($R102,武学奇术!$A:$ZZ,32,FALSE)=1,12%,0),0)</f>
        <v>0</v>
      </c>
      <c r="BN102" s="27" cm="1">
        <f t="array" ref="BN102">1+$B$14+VLOOKUP($R102,武学奇术!$A:$ZZ,20,FALSE)+SUM(_xlfn.XLOOKUP(S102:AG102,增益!$A:$A,增益!$T:$T,0))</f>
        <v>1.35</v>
      </c>
      <c r="BO102" s="27">
        <f t="shared" si="31"/>
        <v>0.9965</v>
      </c>
      <c r="BP102" s="27">
        <f t="shared" si="32"/>
        <v>0.00350000000000006</v>
      </c>
      <c r="BQ102" s="27">
        <f>IF(VLOOKUP($R102,武学奇术!$A:$ZZ,22,FALSE)=1,0,(1-$BJ102))*(1-$BM102)</f>
        <v>0</v>
      </c>
      <c r="BR102" s="27" cm="1">
        <f t="array" ref="BR102">SUM(_xlfn.XLOOKUP(S102:AG102,增益!$A:$A,增益!$W:$W,0))+$I$5</f>
        <v>0.11</v>
      </c>
    </row>
    <row r="103" spans="1:70">
      <c r="A103" s="4" t="s">
        <v>170</v>
      </c>
      <c r="B103" s="4">
        <v>1</v>
      </c>
      <c r="F103" s="40"/>
      <c r="K103">
        <f>$L103*VLOOKUP($R103,武学奇术!$A:$ZZ,31,FALSE)</f>
        <v>188426.163016678</v>
      </c>
      <c r="L103" s="39">
        <f t="shared" si="33"/>
        <v>376852.326033356</v>
      </c>
      <c r="M103" s="39">
        <f>((($AO103+($AP103-$AO103)*IF(VLOOKUP($R103,武学奇术!$A:$ZZ,31,FALSE)=1,$F$18,0.5))*$AI103+$AJ103)*(1+$AQ103)*(1+$AR103)+(($AT103+($AU103-$AT103)*IF(VLOOKUP($R103,武学奇术!$A:$ZZ,31,FALSE)=1,$F$18,0.5))*IF($G$1="鸣金",$AK103,$AI103)+IF($G$1="鸣金",$AL103*1.5,0))*(1+$AV103)*(1+$AW103)+(($AX103+($AY103-$AX103)*IF(VLOOKUP($R103,武学奇术!$A:$ZZ,31,FALSE)=1,$F$18,0.5))*IF($G$1="裂石",$AK103,$AI103)+IF($G$1="裂石",$AL103*1.5,0))*(1+$AZ103)*(1+$BA103)+(($BB103+($BC103-$BB103)*IF(VLOOKUP($R103,武学奇术!$A:$ZZ,31,FALSE)=1,$F$18,0.5))*IF($G$1="牵丝",$AK103,$AI103)+IF($G$1="牵丝",$AL103*1.5,0))*(1+$BD103)*(1+$BE103)+(($BF103+($BG103-$BF103)*IF(VLOOKUP($R103,武学奇术!$A:$ZZ,31,FALSE)=1,$F$18,0.5))*IF($G$1="破竹",$AK103,$AI103)+IF($G$1="破竹",$AL103*1.5,0))*(1+$BH103)*(1+$BI103))*(1+$AM103)*$BL103*$Q103*(1+IF(VLOOKUP($R103,武学奇术!$A:$ZZ,30,FALSE)="蓄力技",$B$21,0))*(1+$BR103)</f>
        <v>377620.998064982</v>
      </c>
      <c r="N103" s="39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蓄力技",$B$21,0))*(1+$BR103)</f>
        <v>238523.70596126</v>
      </c>
      <c r="O103" s="39">
        <f>((($AO103+($AP103-$AO103)*IF(VLOOKUP($R103,武学奇术!$A:$ZZ,31,FALSE)=1,$F$18,0.5))*$AI103+$AJ103)*(1+$AQ103)*(1+$AR103)+(($AT103+($AU103-$AT103)*IF(VLOOKUP($R103,武学奇术!$A:$ZZ,31,FALSE)=1,$F$18,0.5))*IF($G$1="鸣金",$AK103,$AI103)+IF($G$1="鸣金",$AL103*1.5,0))*(1+$AV103)*(1+$AW103)+(($AX103+($AY103-$AX103)*IF(VLOOKUP($R103,武学奇术!$A:$ZZ,31,FALSE)=1,$F$18,0.5))*IF($G$1="裂石",$AK103,$AI103)+IF($G$1="裂石",$AL103*1.5,0))*(1+$AZ103)*(1+$BA103)+(($BB103+($BC103-$BB103)*IF(VLOOKUP($R103,武学奇术!$A:$ZZ,31,FALSE)=1,$F$18,0.5))*IF($G$1="牵丝",$AK103,$AI103)+IF($G$1="牵丝",$AL103*1.5,0))*(1+$BD103)*(1+$BE103)+(($BF103+($BG103-$BF103)*IF(VLOOKUP($R103,武学奇术!$A:$ZZ,31,FALSE)=1,$F$18,0.5))*IF($G$1="破竹",$AK103,$AI103)+IF($G$1="破竹",$AL103*1.5,0))*(1+$BH103)*(1+$BI103))*(1+$AM103)*$Q103*(1+IF(VLOOKUP($R103,武学奇术!$A:$ZZ,30,FALSE)="蓄力技",$B$21,0))*(1+$BR103)</f>
        <v>158000.417600411</v>
      </c>
      <c r="P103" s="39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蓄力技",$B$21,0))*(1+$BR103)</f>
        <v>139316.608562852</v>
      </c>
      <c r="Q103" s="40">
        <v>1</v>
      </c>
      <c r="R103" s="41" t="s">
        <v>138</v>
      </c>
      <c r="S103" s="41" t="s">
        <v>97</v>
      </c>
      <c r="T103" s="41" t="s">
        <v>132</v>
      </c>
      <c r="U103" s="41" t="s">
        <v>73</v>
      </c>
      <c r="V103" s="41" t="s">
        <v>73</v>
      </c>
      <c r="W103" s="41" t="s">
        <v>73</v>
      </c>
      <c r="X103" s="41" t="s">
        <v>73</v>
      </c>
      <c r="Y103" s="41" t="s">
        <v>164</v>
      </c>
      <c r="Z103" s="41" t="s">
        <v>83</v>
      </c>
      <c r="AA103" s="41" t="s">
        <v>105</v>
      </c>
      <c r="AB103" s="41" t="s">
        <v>90</v>
      </c>
      <c r="AC103" s="41" t="s">
        <v>73</v>
      </c>
      <c r="AD103" s="41" t="s">
        <v>73</v>
      </c>
      <c r="AE103" s="41" t="s">
        <v>76</v>
      </c>
      <c r="AF103" s="41" t="s">
        <v>77</v>
      </c>
      <c r="AG103" s="41" t="s">
        <v>78</v>
      </c>
      <c r="AH103" t="str">
        <f>VLOOKUP($R103,武学奇术!$A:$ZZ,25,FALSE)</f>
        <v>拳甲</v>
      </c>
      <c r="AI103" s="27">
        <f>VLOOKUP($R103,武学奇术!$A:$ZZ,26,FALSE)</f>
        <v>6.4722</v>
      </c>
      <c r="AJ103" s="28">
        <f>VLOOKUP($R103,武学奇术!$A:$ZZ,27,FALSE)*(1+IF(OR($AH103=$F$4,$AH103=$F$5),$B$22,0))</f>
        <v>2683.8</v>
      </c>
      <c r="AK103" s="27">
        <f>VLOOKUP($R103,武学奇术!$A:$ZZ,28,FALSE)</f>
        <v>9.70828</v>
      </c>
      <c r="AL103" s="28">
        <f>VLOOKUP($R103,武学奇术!$A:$ZZ,29,FALSE)*(1+IF(OR($AH103=$F$4,$AH103=$F$5),$B$22,0))</f>
        <v>1463.4</v>
      </c>
      <c r="AM103" s="27" cm="1">
        <f t="array" ref="AM103">$G$3+IFERROR(VLOOKUP($AH103,$F$4:$G$7,2,FALSE),0)+VLOOKUP($R103,武学奇术!$A:$ZZ,2,FALSE)+SUM(_xlfn.XLOOKUP($S103:$AG103,增益!$A:$A,增益!$B:$B,0))</f>
        <v>0.7041</v>
      </c>
      <c r="AN103" s="27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3888.382</v>
      </c>
      <c r="AP103" cm="1">
        <f t="array" ref="AP103">$E$10*(1+$AN103)+VLOOKUP($R103,武学奇术!$A:$ZZ,4,FALSE)+SUM(_xlfn.XLOOKUP($S103:$AG103,增益!$A:$A,增益!$D:$D,0))-$I$2</f>
        <v>3888.382</v>
      </c>
      <c r="AQ103" s="33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0.472</v>
      </c>
      <c r="AR103" s="33" cm="1">
        <f t="array" ref="AR103">$G$10+VLOOKUP($R103,武学奇术!$A:$ZZ,7,FALSE)+SUM(_xlfn.XLOOKUP(S103:AG103,增益!$A:$A,增益!$G:$G,0))</f>
        <v>0.09</v>
      </c>
      <c r="AS103" s="27" cm="1">
        <f t="array" ref="AS103">VLOOKUP($R103,武学奇术!$A:$ZZ,8,FALSE)+SUM(_xlfn.XLOOKUP(S103:AG103,增益!$A:$A,增益!$H:$H,0))</f>
        <v>0</v>
      </c>
      <c r="AT103">
        <f t="shared" si="34"/>
        <v>0</v>
      </c>
      <c r="AU103">
        <f t="shared" si="35"/>
        <v>0</v>
      </c>
      <c r="AV103" s="33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-0.08</v>
      </c>
      <c r="AW103" s="33" cm="1">
        <f t="array" ref="AW103">$G$11+VLOOKUP($R103,武学奇术!$A:$ZZ,10,FALSE)+SUM(_xlfn.XLOOKUP(S103:AG103,增益!$A:$A,增益!$J:$J,0))</f>
        <v>0</v>
      </c>
      <c r="AX103">
        <f t="shared" si="36"/>
        <v>0</v>
      </c>
      <c r="AY103">
        <f t="shared" si="37"/>
        <v>0</v>
      </c>
      <c r="AZ103" s="33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-0.08</v>
      </c>
      <c r="BA103" s="33" cm="1">
        <f t="array" ref="BA103">$G$12+VLOOKUP($R103,武学奇术!$A:$ZZ,12,FALSE)+SUM(_xlfn.XLOOKUP(S103:AG103,增益!$A:$A,增益!$L:$L,0))</f>
        <v>0</v>
      </c>
      <c r="BB103">
        <f t="shared" si="38"/>
        <v>0</v>
      </c>
      <c r="BC103">
        <f t="shared" si="39"/>
        <v>0</v>
      </c>
      <c r="BD103" s="33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-0.08</v>
      </c>
      <c r="BE103" s="33" cm="1">
        <f t="array" ref="BE103">$G$13+VLOOKUP($R103,武学奇术!$A:$ZZ,14,FALSE)+SUM(_xlfn.XLOOKUP(S103:AG103,增益!$A:$A,增益!$N:$N,0))</f>
        <v>0</v>
      </c>
      <c r="BF103">
        <f t="shared" si="40"/>
        <v>605.472</v>
      </c>
      <c r="BG103">
        <f t="shared" si="41"/>
        <v>1725.468</v>
      </c>
      <c r="BH103" s="33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0.11</v>
      </c>
      <c r="BI103" s="33" cm="1">
        <f t="array" ref="BI103">$G$14+VLOOKUP($R103,武学奇术!$A:$ZZ,16,FALSE)+SUM(_xlfn.XLOOKUP(S103:AG103,增益!$A:$A,增益!$P:$P,0))</f>
        <v>0.24</v>
      </c>
      <c r="BJ103" s="27">
        <f>MIN(IF(VLOOKUP($R103,武学奇术!$A:$ZZ,23,FALSE)=1,100%,$B$8),100%)</f>
        <v>1</v>
      </c>
      <c r="BK103" s="27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+MIN(IF(VLOOKUP($R103,武学奇术!$A:$ZZ,32,FALSE)=1,IF(VLOOKUP($R103,武学奇术!$A:$ZZ,24,FALSE)=1,100%,MIN(40%,$B$10+VLOOKUP($R103,武学奇术!$A:$ZZ,19,FALSE)+SUM(_xlfn.XLOOKUP(S103:AG103,增益!$A:$A,增益!$S:$S,0)))+$B$12+SUM(_xlfn.XLOOKUP(S103:AG103,增益!$A:$A,增益!$V:$V,0))),0),12%)</f>
        <v>0.9965</v>
      </c>
      <c r="BL103" s="27" cm="1">
        <f t="array" ref="BL103">1+$B$13+VLOOKUP($R103,武学奇术!$A:$ZZ,18,FALSE)+SUM(_xlfn.XLOOKUP(S103:AG103,增益!$A:$A,增益!$R:$R,0))</f>
        <v>2.39</v>
      </c>
      <c r="BM103" s="27" cm="1">
        <f t="array" ref="BM103">MAX(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-IF(VLOOKUP($R103,武学奇术!$A:$ZZ,32,FALSE)=1,12%,0),0)</f>
        <v>0</v>
      </c>
      <c r="BN103" s="27" cm="1">
        <f t="array" ref="BN103">1+$B$14+VLOOKUP($R103,武学奇术!$A:$ZZ,20,FALSE)+SUM(_xlfn.XLOOKUP(S103:AG103,增益!$A:$A,增益!$T:$T,0))</f>
        <v>1.35</v>
      </c>
      <c r="BO103" s="27">
        <f t="shared" si="31"/>
        <v>0.9965</v>
      </c>
      <c r="BP103" s="27">
        <f t="shared" si="32"/>
        <v>0.00350000000000006</v>
      </c>
      <c r="BQ103" s="27">
        <f>IF(VLOOKUP($R103,武学奇术!$A:$ZZ,22,FALSE)=1,0,(1-$BJ103))*(1-$BM103)</f>
        <v>0</v>
      </c>
      <c r="BR103" s="27" cm="1">
        <f t="array" ref="BR103">SUM(_xlfn.XLOOKUP(S103:AG103,增益!$A:$A,增益!$W:$W,0))+$I$5</f>
        <v>0.11</v>
      </c>
    </row>
    <row r="104" spans="1:70">
      <c r="A104" s="4" t="s">
        <v>168</v>
      </c>
      <c r="B104" s="91">
        <v>1.16</v>
      </c>
      <c r="F104" s="40"/>
      <c r="K104">
        <f>$L104*VLOOKUP($R104,武学奇术!$A:$ZZ,31,FALSE)</f>
        <v>750921.473188957</v>
      </c>
      <c r="L104" s="39">
        <f t="shared" si="33"/>
        <v>750921.473188957</v>
      </c>
      <c r="M104" s="39">
        <f>((($AO104+($AP104-$AO104)*IF(VLOOKUP($R104,武学奇术!$A:$ZZ,31,FALSE)=1,$F$18,0.5))*$AI104+$AJ104)*(1+$AQ104)*(1+$AR104)+(($AT104+($AU104-$AT104)*IF(VLOOKUP($R104,武学奇术!$A:$ZZ,31,FALSE)=1,$F$18,0.5))*IF($G$1="鸣金",$AK104,$AI104)+IF($G$1="鸣金",$AL104*1.5,0))*(1+$AV104)*(1+$AW104)+(($AX104+($AY104-$AX104)*IF(VLOOKUP($R104,武学奇术!$A:$ZZ,31,FALSE)=1,$F$18,0.5))*IF($G$1="裂石",$AK104,$AI104)+IF($G$1="裂石",$AL104*1.5,0))*(1+$AZ104)*(1+$BA104)+(($BB104+($BC104-$BB104)*IF(VLOOKUP($R104,武学奇术!$A:$ZZ,31,FALSE)=1,$F$18,0.5))*IF($G$1="牵丝",$AK104,$AI104)+IF($G$1="牵丝",$AL104*1.5,0))*(1+$BD104)*(1+$BE104)+(($BF104+($BG104-$BF104)*IF(VLOOKUP($R104,武学奇术!$A:$ZZ,31,FALSE)=1,$F$18,0.5))*IF($G$1="破竹",$AK104,$AI104)+IF($G$1="破竹",$AL104*1.5,0))*(1+$BH104)*(1+$BI104))*(1+$AM104)*$BL104*$Q104*(1+IF(VLOOKUP($R104,武学奇术!$A:$ZZ,30,FALSE)="蓄力技",$B$21,0))*(1+$BR104)</f>
        <v>756445.739534724</v>
      </c>
      <c r="N104" s="39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蓄力技",$B$21,0))*(1+$BR104)</f>
        <v>708102.659180158</v>
      </c>
      <c r="O104" s="39">
        <f>((($AO104+($AP104-$AO104)*IF(VLOOKUP($R104,武学奇术!$A:$ZZ,31,FALSE)=1,$F$18,0.5))*$AI104+$AJ104)*(1+$AQ104)*(1+$AR104)+(($AT104+($AU104-$AT104)*IF(VLOOKUP($R104,武学奇术!$A:$ZZ,31,FALSE)=1,$F$18,0.5))*IF($G$1="鸣金",$AK104,$AI104)+IF($G$1="鸣金",$AL104*1.5,0))*(1+$AV104)*(1+$AW104)+(($AX104+($AY104-$AX104)*IF(VLOOKUP($R104,武学奇术!$A:$ZZ,31,FALSE)=1,$F$18,0.5))*IF($G$1="裂石",$AK104,$AI104)+IF($G$1="裂石",$AL104*1.5,0))*(1+$AZ104)*(1+$BA104)+(($BB104+($BC104-$BB104)*IF(VLOOKUP($R104,武学奇术!$A:$ZZ,31,FALSE)=1,$F$18,0.5))*IF($G$1="牵丝",$AK104,$AI104)+IF($G$1="牵丝",$AL104*1.5,0))*(1+$BD104)*(1+$BE104)+(($BF104+($BG104-$BF104)*IF(VLOOKUP($R104,武学奇术!$A:$ZZ,31,FALSE)=1,$F$18,0.5))*IF($G$1="破竹",$AK104,$AI104)+IF($G$1="破竹",$AL104*1.5,0))*(1+$BH104)*(1+$BI104))*(1+$AM104)*$Q104*(1+IF(VLOOKUP($R104,武学奇术!$A:$ZZ,30,FALSE)="蓄力技",$B$21,0))*(1+$BR104)</f>
        <v>461247.40215532</v>
      </c>
      <c r="P104" s="39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蓄力技",$B$21,0))*(1+$BR104)</f>
        <v>397974.316029041</v>
      </c>
      <c r="Q104" s="40">
        <v>1</v>
      </c>
      <c r="R104" s="41" t="s">
        <v>191</v>
      </c>
      <c r="S104" s="41" t="s">
        <v>97</v>
      </c>
      <c r="T104" s="41" t="s">
        <v>73</v>
      </c>
      <c r="U104" s="41" t="s">
        <v>73</v>
      </c>
      <c r="V104" s="41" t="s">
        <v>73</v>
      </c>
      <c r="W104" s="41" t="s">
        <v>179</v>
      </c>
      <c r="X104" s="41" t="s">
        <v>180</v>
      </c>
      <c r="Y104" s="41" t="s">
        <v>164</v>
      </c>
      <c r="Z104" s="41" t="s">
        <v>83</v>
      </c>
      <c r="AA104" s="41" t="s">
        <v>73</v>
      </c>
      <c r="AB104" s="41" t="s">
        <v>90</v>
      </c>
      <c r="AC104" s="41" t="s">
        <v>73</v>
      </c>
      <c r="AD104" s="41" t="s">
        <v>73</v>
      </c>
      <c r="AE104" s="41" t="s">
        <v>76</v>
      </c>
      <c r="AF104" s="41" t="s">
        <v>77</v>
      </c>
      <c r="AG104" s="41" t="s">
        <v>78</v>
      </c>
      <c r="AH104" t="str">
        <f>VLOOKUP($R104,武学奇术!$A:$ZZ,25,FALSE)</f>
        <v>单体奇术</v>
      </c>
      <c r="AI104" s="27">
        <f>VLOOKUP($R104,武学奇术!$A:$ZZ,26,FALSE)</f>
        <v>25.201792</v>
      </c>
      <c r="AJ104" s="28">
        <f>VLOOKUP($R104,武学奇术!$A:$ZZ,27,FALSE)*(1+IF(OR($AH104=$F$4,$AH104=$F$5),$B$22,0))</f>
        <v>4869.48</v>
      </c>
      <c r="AK104" s="27">
        <f>VLOOKUP($R104,武学奇术!$A:$ZZ,28,FALSE)</f>
        <v>37.802688</v>
      </c>
      <c r="AL104" s="28">
        <f>VLOOKUP($R104,武学奇术!$A:$ZZ,29,FALSE)*(1+IF(OR($AH104=$F$4,$AH104=$F$5),$B$22,0))</f>
        <v>0</v>
      </c>
      <c r="AM104" s="27" cm="1">
        <f t="array" ref="AM104">$G$3+IFERROR(VLOOKUP($AH104,$F$4:$G$7,2,FALSE),0)+VLOOKUP($R104,武学奇术!$A:$ZZ,2,FALSE)+SUM(_xlfn.XLOOKUP($S104:$AG104,增益!$A:$A,增益!$B:$B,0))</f>
        <v>0.7037</v>
      </c>
      <c r="AN104" s="27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3888.382</v>
      </c>
      <c r="AP104" cm="1">
        <f t="array" ref="AP104">$E$10*(1+$AN104)+VLOOKUP($R104,武学奇术!$A:$ZZ,4,FALSE)+SUM(_xlfn.XLOOKUP($S104:$AG104,增益!$A:$A,增益!$D:$D,0))-$I$2</f>
        <v>3888.382</v>
      </c>
      <c r="AQ104" s="33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0.317</v>
      </c>
      <c r="AR104" s="33" cm="1">
        <f t="array" ref="AR104">$G$10+VLOOKUP($R104,武学奇术!$A:$ZZ,7,FALSE)+SUM(_xlfn.XLOOKUP(S104:AG104,增益!$A:$A,增益!$G:$G,0))</f>
        <v>0.09</v>
      </c>
      <c r="AS104" s="27" cm="1">
        <f t="array" ref="AS104">VLOOKUP($R104,武学奇术!$A:$ZZ,8,FALSE)+SUM(_xlfn.XLOOKUP(S104:AG104,增益!$A:$A,增益!$H:$H,0))</f>
        <v>0</v>
      </c>
      <c r="AT104">
        <f t="shared" si="34"/>
        <v>0</v>
      </c>
      <c r="AU104">
        <f t="shared" si="35"/>
        <v>0</v>
      </c>
      <c r="AV104" s="33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-0.14</v>
      </c>
      <c r="AW104" s="33" cm="1">
        <f t="array" ref="AW104">$G$11+VLOOKUP($R104,武学奇术!$A:$ZZ,10,FALSE)+SUM(_xlfn.XLOOKUP(S104:AG104,增益!$A:$A,增益!$J:$J,0))</f>
        <v>0.1</v>
      </c>
      <c r="AX104">
        <f t="shared" si="36"/>
        <v>0</v>
      </c>
      <c r="AY104">
        <f t="shared" si="37"/>
        <v>0</v>
      </c>
      <c r="AZ104" s="33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-0.14</v>
      </c>
      <c r="BA104" s="33" cm="1">
        <f t="array" ref="BA104">$G$12+VLOOKUP($R104,武学奇术!$A:$ZZ,12,FALSE)+SUM(_xlfn.XLOOKUP(S104:AG104,增益!$A:$A,增益!$L:$L,0))</f>
        <v>0</v>
      </c>
      <c r="BB104">
        <f t="shared" si="38"/>
        <v>0</v>
      </c>
      <c r="BC104">
        <f t="shared" si="39"/>
        <v>0</v>
      </c>
      <c r="BD104" s="33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-0.14</v>
      </c>
      <c r="BE104" s="33" cm="1">
        <f t="array" ref="BE104">$G$13+VLOOKUP($R104,武学奇术!$A:$ZZ,14,FALSE)+SUM(_xlfn.XLOOKUP(S104:AG104,增益!$A:$A,增益!$N:$N,0))</f>
        <v>0</v>
      </c>
      <c r="BF104">
        <f t="shared" si="40"/>
        <v>605.472</v>
      </c>
      <c r="BG104">
        <f t="shared" si="41"/>
        <v>1725.468</v>
      </c>
      <c r="BH104" s="33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0.08</v>
      </c>
      <c r="BI104" s="33" cm="1">
        <f t="array" ref="BI104">$G$14+VLOOKUP($R104,武学奇术!$A:$ZZ,16,FALSE)+SUM(_xlfn.XLOOKUP(S104:AG104,增益!$A:$A,增益!$P:$P,0))</f>
        <v>0.24</v>
      </c>
      <c r="BJ104" s="27">
        <f>MIN(IF(VLOOKUP($R104,武学奇术!$A:$ZZ,23,FALSE)=1,100%,$B$8),100%)</f>
        <v>1</v>
      </c>
      <c r="BK104" s="27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+MIN(IF(VLOOKUP($R104,武学奇术!$A:$ZZ,32,FALSE)=1,IF(VLOOKUP($R104,武学奇术!$A:$ZZ,24,FALSE)=1,100%,MIN(40%,$B$10+VLOOKUP($R104,武学奇术!$A:$ZZ,19,FALSE)+SUM(_xlfn.XLOOKUP(S104:AG104,增益!$A:$A,增益!$S:$S,0)))+$B$12+SUM(_xlfn.XLOOKUP(S104:AG104,增益!$A:$A,增益!$V:$V,0))),0),12%)</f>
        <v>0.9036</v>
      </c>
      <c r="BL104" s="27" cm="1">
        <f t="array" ref="BL104">1+$B$13+VLOOKUP($R104,武学奇术!$A:$ZZ,18,FALSE)+SUM(_xlfn.XLOOKUP(S104:AG104,增益!$A:$A,增益!$R:$R,0))</f>
        <v>1.64</v>
      </c>
      <c r="BM104" s="27" cm="1">
        <f t="array" ref="BM104">MAX(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-IF(VLOOKUP($R104,武学奇术!$A:$ZZ,32,FALSE)=1,12%,0),0)</f>
        <v>0.0929</v>
      </c>
      <c r="BN104" s="27" cm="1">
        <f t="array" ref="BN104">1+$B$14+VLOOKUP($R104,武学奇术!$A:$ZZ,20,FALSE)+SUM(_xlfn.XLOOKUP(S104:AG104,增益!$A:$A,增益!$T:$T,0))</f>
        <v>1.35</v>
      </c>
      <c r="BO104" s="27">
        <f t="shared" si="31"/>
        <v>0.9036</v>
      </c>
      <c r="BP104" s="27">
        <f t="shared" si="32"/>
        <v>0.00350000000000006</v>
      </c>
      <c r="BQ104" s="27">
        <f>IF(VLOOKUP($R104,武学奇术!$A:$ZZ,22,FALSE)=1,0,(1-$BJ104))*(1-$BM104)</f>
        <v>0</v>
      </c>
      <c r="BR104" s="27" cm="1">
        <f t="array" ref="BR104">SUM(_xlfn.XLOOKUP(S104:AG104,增益!$A:$A,增益!$W:$W,0))+$I$5</f>
        <v>0.31</v>
      </c>
    </row>
    <row r="105" spans="1:70">
      <c r="A105" t="s">
        <v>157</v>
      </c>
      <c r="B105">
        <v>0.9</v>
      </c>
      <c r="K105">
        <f>$L105*VLOOKUP($R105,武学奇术!$A:$ZZ,31,FALSE)</f>
        <v>0</v>
      </c>
      <c r="L105" s="39">
        <f t="shared" si="33"/>
        <v>0</v>
      </c>
      <c r="M105" s="39">
        <f>((($AO105+($AP105-$AO105)*IF(VLOOKUP($R105,武学奇术!$A:$ZZ,31,FALSE)=1,$F$18,0.5))*$AI105+$AJ105)*(1+$AQ105)*(1+$AR105)+(($AT105+($AU105-$AT105)*IF(VLOOKUP($R105,武学奇术!$A:$ZZ,31,FALSE)=1,$F$18,0.5))*IF($G$1="鸣金",$AK105,$AI105)+IF($G$1="鸣金",$AL105*1.5,0))*(1+$AV105)*(1+$AW105)+(($AX105+($AY105-$AX105)*IF(VLOOKUP($R105,武学奇术!$A:$ZZ,31,FALSE)=1,$F$18,0.5))*IF($G$1="裂石",$AK105,$AI105)+IF($G$1="裂石",$AL105*1.5,0))*(1+$AZ105)*(1+$BA105)+(($BB105+($BC105-$BB105)*IF(VLOOKUP($R105,武学奇术!$A:$ZZ,31,FALSE)=1,$F$18,0.5))*IF($G$1="牵丝",$AK105,$AI105)+IF($G$1="牵丝",$AL105*1.5,0))*(1+$BD105)*(1+$BE105)+(($BF105+($BG105-$BF105)*IF(VLOOKUP($R105,武学奇术!$A:$ZZ,31,FALSE)=1,$F$18,0.5))*IF($G$1="破竹",$AK105,$AI105)+IF($G$1="破竹",$AL105*1.5,0))*(1+$BH105)*(1+$BI105))*(1+$AM105)*$BL105*$Q105*(1+IF(VLOOKUP($R105,武学奇术!$A:$ZZ,30,FALSE)="蓄力技",$B$21,0))*(1+$BR105)</f>
        <v>0</v>
      </c>
      <c r="N105" s="39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蓄力技",$B$21,0))*(1+$BR105)</f>
        <v>0</v>
      </c>
      <c r="O105" s="39">
        <f>((($AO105+($AP105-$AO105)*IF(VLOOKUP($R105,武学奇术!$A:$ZZ,31,FALSE)=1,$F$18,0.5))*$AI105+$AJ105)*(1+$AQ105)*(1+$AR105)+(($AT105+($AU105-$AT105)*IF(VLOOKUP($R105,武学奇术!$A:$ZZ,31,FALSE)=1,$F$18,0.5))*IF($G$1="鸣金",$AK105,$AI105)+IF($G$1="鸣金",$AL105*1.5,0))*(1+$AV105)*(1+$AW105)+(($AX105+($AY105-$AX105)*IF(VLOOKUP($R105,武学奇术!$A:$ZZ,31,FALSE)=1,$F$18,0.5))*IF($G$1="裂石",$AK105,$AI105)+IF($G$1="裂石",$AL105*1.5,0))*(1+$AZ105)*(1+$BA105)+(($BB105+($BC105-$BB105)*IF(VLOOKUP($R105,武学奇术!$A:$ZZ,31,FALSE)=1,$F$18,0.5))*IF($G$1="牵丝",$AK105,$AI105)+IF($G$1="牵丝",$AL105*1.5,0))*(1+$BD105)*(1+$BE105)+(($BF105+($BG105-$BF105)*IF(VLOOKUP($R105,武学奇术!$A:$ZZ,31,FALSE)=1,$F$18,0.5))*IF($G$1="破竹",$AK105,$AI105)+IF($G$1="破竹",$AL105*1.5,0))*(1+$BH105)*(1+$BI105))*(1+$AM105)*$Q105*(1+IF(VLOOKUP($R105,武学奇术!$A:$ZZ,30,FALSE)="蓄力技",$B$21,0))*(1+$BR105)</f>
        <v>0</v>
      </c>
      <c r="P105" s="39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蓄力技",$B$21,0))*(1+$BR105)</f>
        <v>0</v>
      </c>
      <c r="Q105" s="40">
        <v>1</v>
      </c>
      <c r="R105" s="41" t="s">
        <v>73</v>
      </c>
      <c r="S105" s="41" t="s">
        <v>73</v>
      </c>
      <c r="T105" s="41" t="s">
        <v>73</v>
      </c>
      <c r="U105" s="41" t="s">
        <v>73</v>
      </c>
      <c r="V105" s="41" t="s">
        <v>73</v>
      </c>
      <c r="W105" s="41" t="s">
        <v>73</v>
      </c>
      <c r="X105" s="41" t="s">
        <v>73</v>
      </c>
      <c r="Y105" s="41" t="s">
        <v>73</v>
      </c>
      <c r="Z105" s="41" t="s">
        <v>73</v>
      </c>
      <c r="AA105" s="41" t="s">
        <v>73</v>
      </c>
      <c r="AB105" s="41" t="s">
        <v>73</v>
      </c>
      <c r="AC105" s="41" t="s">
        <v>73</v>
      </c>
      <c r="AD105" s="41" t="s">
        <v>73</v>
      </c>
      <c r="AE105" s="41" t="s">
        <v>76</v>
      </c>
      <c r="AF105" s="41" t="s">
        <v>77</v>
      </c>
      <c r="AG105" s="41" t="s">
        <v>78</v>
      </c>
      <c r="AH105" t="str">
        <f>VLOOKUP($R105,武学奇术!$A:$ZZ,25,FALSE)</f>
        <v>心法</v>
      </c>
      <c r="AI105" s="27">
        <f>VLOOKUP($R105,武学奇术!$A:$ZZ,26,FALSE)</f>
        <v>0</v>
      </c>
      <c r="AJ105" s="28">
        <f>VLOOKUP($R105,武学奇术!$A:$ZZ,27,FALSE)*(1+IF(OR($AH105=$F$4,$AH105=$F$5),$B$22,0))</f>
        <v>0</v>
      </c>
      <c r="AK105" s="27">
        <f>VLOOKUP($R105,武学奇术!$A:$ZZ,28,FALSE)</f>
        <v>0</v>
      </c>
      <c r="AL105" s="28">
        <f>VLOOKUP($R105,武学奇术!$A:$ZZ,29,FALSE)*(1+IF(OR($AH105=$F$4,$AH105=$F$5),$B$22,0))</f>
        <v>0</v>
      </c>
      <c r="AM105" s="27" cm="1">
        <f t="array" ref="AM105">$G$3+IFERROR(VLOOKUP($AH105,$F$4:$G$7,2,FALSE),0)+VLOOKUP($R105,武学奇术!$A:$ZZ,2,FALSE)+SUM(_xlfn.XLOOKUP($S105:$AG105,增益!$A:$A,增益!$B:$B,0))</f>
        <v>0.1837</v>
      </c>
      <c r="AN105" s="27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3888.382</v>
      </c>
      <c r="AP105" cm="1">
        <f t="array" ref="AP105">$E$10*(1+$AN105)+VLOOKUP($R105,武学奇术!$A:$ZZ,4,FALSE)+SUM(_xlfn.XLOOKUP($S105:$AG105,增益!$A:$A,增益!$D:$D,0))-$I$2</f>
        <v>3888.382</v>
      </c>
      <c r="AQ105" s="33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0.267</v>
      </c>
      <c r="AR105" s="33" cm="1">
        <f t="array" ref="AR105">$G$10+VLOOKUP($R105,武学奇术!$A:$ZZ,7,FALSE)+SUM(_xlfn.XLOOKUP(S105:AG105,增益!$A:$A,增益!$G:$G,0))</f>
        <v>0.09</v>
      </c>
      <c r="AS105" s="27" cm="1">
        <f t="array" ref="AS105">VLOOKUP($R105,武学奇术!$A:$ZZ,8,FALSE)+SUM(_xlfn.XLOOKUP(S105:AG105,增益!$A:$A,增益!$H:$H,0))</f>
        <v>0</v>
      </c>
      <c r="AT105">
        <f t="shared" si="34"/>
        <v>0</v>
      </c>
      <c r="AU105">
        <f t="shared" si="35"/>
        <v>0</v>
      </c>
      <c r="AV105" s="33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-0.3</v>
      </c>
      <c r="AW105" s="33" cm="1">
        <f t="array" ref="AW105">$G$11+VLOOKUP($R105,武学奇术!$A:$ZZ,10,FALSE)+SUM(_xlfn.XLOOKUP(S105:AG105,增益!$A:$A,增益!$J:$J,0))</f>
        <v>0</v>
      </c>
      <c r="AX105">
        <f t="shared" si="36"/>
        <v>0</v>
      </c>
      <c r="AY105">
        <f t="shared" si="37"/>
        <v>0</v>
      </c>
      <c r="AZ105" s="33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33" cm="1">
        <f t="array" ref="BA105">$G$12+VLOOKUP($R105,武学奇术!$A:$ZZ,12,FALSE)+SUM(_xlfn.XLOOKUP(S105:AG105,增益!$A:$A,增益!$L:$L,0))</f>
        <v>0</v>
      </c>
      <c r="BB105">
        <f t="shared" si="38"/>
        <v>0</v>
      </c>
      <c r="BC105">
        <f t="shared" si="39"/>
        <v>0</v>
      </c>
      <c r="BD105" s="33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33" cm="1">
        <f t="array" ref="BE105">$G$13+VLOOKUP($R105,武学奇术!$A:$ZZ,14,FALSE)+SUM(_xlfn.XLOOKUP(S105:AG105,增益!$A:$A,增益!$N:$N,0))</f>
        <v>0</v>
      </c>
      <c r="BF105">
        <f t="shared" si="40"/>
        <v>605.472</v>
      </c>
      <c r="BG105">
        <f t="shared" si="41"/>
        <v>1725.468</v>
      </c>
      <c r="BH105" s="33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0</v>
      </c>
      <c r="BI105" s="33" cm="1">
        <f t="array" ref="BI105">$G$14+VLOOKUP($R105,武学奇术!$A:$ZZ,16,FALSE)+SUM(_xlfn.XLOOKUP(S105:AG105,增益!$A:$A,增益!$P:$P,0))</f>
        <v>0.24</v>
      </c>
      <c r="BJ105" s="27">
        <f>MIN(IF(VLOOKUP($R105,武学奇术!$A:$ZZ,23,FALSE)=1,100%,$B$8),100%)</f>
        <v>1</v>
      </c>
      <c r="BK105" s="27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+MIN(IF(VLOOKUP($R105,武学奇术!$A:$ZZ,32,FALSE)=1,IF(VLOOKUP($R105,武学奇术!$A:$ZZ,24,FALSE)=1,100%,MIN(40%,$B$10+VLOOKUP($R105,武学奇术!$A:$ZZ,19,FALSE)+SUM(_xlfn.XLOOKUP(S105:AG105,增益!$A:$A,增益!$S:$S,0)))+$B$12+SUM(_xlfn.XLOOKUP(S105:AG105,增益!$A:$A,增益!$V:$V,0))),0),12%)</f>
        <v>0.9036</v>
      </c>
      <c r="BL105" s="27" cm="1">
        <f t="array" ref="BL105">1+$B$13+VLOOKUP($R105,武学奇术!$A:$ZZ,18,FALSE)+SUM(_xlfn.XLOOKUP(S105:AG105,增益!$A:$A,增益!$R:$R,0))</f>
        <v>1.54</v>
      </c>
      <c r="BM105" s="27" cm="1">
        <f t="array" ref="BM105">MAX(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-IF(VLOOKUP($R105,武学奇术!$A:$ZZ,32,FALSE)=1,12%,0),0)</f>
        <v>0.0929</v>
      </c>
      <c r="BN105" s="27" cm="1">
        <f t="array" ref="BN105">1+$B$14+VLOOKUP($R105,武学奇术!$A:$ZZ,20,FALSE)+SUM(_xlfn.XLOOKUP(S105:AG105,增益!$A:$A,增益!$T:$T,0))</f>
        <v>1.35</v>
      </c>
      <c r="BO105" s="27">
        <f t="shared" si="31"/>
        <v>0.9036</v>
      </c>
      <c r="BP105" s="27">
        <f t="shared" si="32"/>
        <v>0.00350000000000006</v>
      </c>
      <c r="BQ105" s="27">
        <f>IF(VLOOKUP($R105,武学奇术!$A:$ZZ,22,FALSE)=1,0,(1-$BJ105))*(1-$BM105)</f>
        <v>0</v>
      </c>
      <c r="BR105" s="27" cm="1">
        <f t="array" ref="BR105">SUM(_xlfn.XLOOKUP(S105:AG105,增益!$A:$A,增益!$W:$W,0))+$I$5</f>
        <v>0.11</v>
      </c>
    </row>
    <row r="106" spans="1:70">
      <c r="A106" t="s">
        <v>189</v>
      </c>
      <c r="B106">
        <v>30</v>
      </c>
      <c r="K106">
        <f>$L106*VLOOKUP($R106,武学奇术!$A:$ZZ,31,FALSE)</f>
        <v>0</v>
      </c>
      <c r="L106" s="39">
        <f t="shared" si="33"/>
        <v>0</v>
      </c>
      <c r="M106" s="39">
        <f>((($AO106+($AP106-$AO106)*IF(VLOOKUP($R106,武学奇术!$A:$ZZ,31,FALSE)=1,$F$18,0.5))*$AI106+$AJ106)*(1+$AQ106)*(1+$AR106)+(($AT106+($AU106-$AT106)*IF(VLOOKUP($R106,武学奇术!$A:$ZZ,31,FALSE)=1,$F$18,0.5))*IF($G$1="鸣金",$AK106,$AI106)+IF($G$1="鸣金",$AL106*1.5,0))*(1+$AV106)*(1+$AW106)+(($AX106+($AY106-$AX106)*IF(VLOOKUP($R106,武学奇术!$A:$ZZ,31,FALSE)=1,$F$18,0.5))*IF($G$1="裂石",$AK106,$AI106)+IF($G$1="裂石",$AL106*1.5,0))*(1+$AZ106)*(1+$BA106)+(($BB106+($BC106-$BB106)*IF(VLOOKUP($R106,武学奇术!$A:$ZZ,31,FALSE)=1,$F$18,0.5))*IF($G$1="牵丝",$AK106,$AI106)+IF($G$1="牵丝",$AL106*1.5,0))*(1+$BD106)*(1+$BE106)+(($BF106+($BG106-$BF106)*IF(VLOOKUP($R106,武学奇术!$A:$ZZ,31,FALSE)=1,$F$18,0.5))*IF($G$1="破竹",$AK106,$AI106)+IF($G$1="破竹",$AL106*1.5,0))*(1+$BH106)*(1+$BI106))*(1+$AM106)*$BL106*$Q106*(1+IF(VLOOKUP($R106,武学奇术!$A:$ZZ,30,FALSE)="蓄力技",$B$21,0))*(1+$BR106)</f>
        <v>0</v>
      </c>
      <c r="N106" s="39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蓄力技",$B$21,0))*(1+$BR106)</f>
        <v>0</v>
      </c>
      <c r="O106" s="39">
        <f>((($AO106+($AP106-$AO106)*IF(VLOOKUP($R106,武学奇术!$A:$ZZ,31,FALSE)=1,$F$18,0.5))*$AI106+$AJ106)*(1+$AQ106)*(1+$AR106)+(($AT106+($AU106-$AT106)*IF(VLOOKUP($R106,武学奇术!$A:$ZZ,31,FALSE)=1,$F$18,0.5))*IF($G$1="鸣金",$AK106,$AI106)+IF($G$1="鸣金",$AL106*1.5,0))*(1+$AV106)*(1+$AW106)+(($AX106+($AY106-$AX106)*IF(VLOOKUP($R106,武学奇术!$A:$ZZ,31,FALSE)=1,$F$18,0.5))*IF($G$1="裂石",$AK106,$AI106)+IF($G$1="裂石",$AL106*1.5,0))*(1+$AZ106)*(1+$BA106)+(($BB106+($BC106-$BB106)*IF(VLOOKUP($R106,武学奇术!$A:$ZZ,31,FALSE)=1,$F$18,0.5))*IF($G$1="牵丝",$AK106,$AI106)+IF($G$1="牵丝",$AL106*1.5,0))*(1+$BD106)*(1+$BE106)+(($BF106+($BG106-$BF106)*IF(VLOOKUP($R106,武学奇术!$A:$ZZ,31,FALSE)=1,$F$18,0.5))*IF($G$1="破竹",$AK106,$AI106)+IF($G$1="破竹",$AL106*1.5,0))*(1+$BH106)*(1+$BI106))*(1+$AM106)*$Q106*(1+IF(VLOOKUP($R106,武学奇术!$A:$ZZ,30,FALSE)="蓄力技",$B$21,0))*(1+$BR106)</f>
        <v>0</v>
      </c>
      <c r="P106" s="39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蓄力技",$B$21,0))*(1+$BR106)</f>
        <v>0</v>
      </c>
      <c r="Q106" s="40">
        <v>1</v>
      </c>
      <c r="R106" s="41" t="s">
        <v>73</v>
      </c>
      <c r="S106" s="41" t="s">
        <v>73</v>
      </c>
      <c r="T106" s="41" t="s">
        <v>73</v>
      </c>
      <c r="U106" s="41" t="s">
        <v>73</v>
      </c>
      <c r="V106" s="41" t="s">
        <v>73</v>
      </c>
      <c r="W106" s="41" t="s">
        <v>73</v>
      </c>
      <c r="X106" s="41" t="s">
        <v>73</v>
      </c>
      <c r="Y106" s="41" t="s">
        <v>73</v>
      </c>
      <c r="Z106" s="41" t="s">
        <v>73</v>
      </c>
      <c r="AA106" s="41" t="s">
        <v>73</v>
      </c>
      <c r="AB106" s="41" t="s">
        <v>73</v>
      </c>
      <c r="AC106" s="41" t="s">
        <v>73</v>
      </c>
      <c r="AD106" s="41" t="s">
        <v>73</v>
      </c>
      <c r="AE106" s="41" t="s">
        <v>76</v>
      </c>
      <c r="AF106" s="41" t="s">
        <v>77</v>
      </c>
      <c r="AG106" s="41" t="s">
        <v>78</v>
      </c>
      <c r="AH106" t="str">
        <f>VLOOKUP($R106,武学奇术!$A:$ZZ,25,FALSE)</f>
        <v>心法</v>
      </c>
      <c r="AI106" s="27">
        <f>VLOOKUP($R106,武学奇术!$A:$ZZ,26,FALSE)</f>
        <v>0</v>
      </c>
      <c r="AJ106" s="28">
        <f>VLOOKUP($R106,武学奇术!$A:$ZZ,27,FALSE)*(1+IF(OR($AH106=$F$4,$AH106=$F$5),$B$22,0))</f>
        <v>0</v>
      </c>
      <c r="AK106" s="27">
        <f>VLOOKUP($R106,武学奇术!$A:$ZZ,28,FALSE)</f>
        <v>0</v>
      </c>
      <c r="AL106" s="28">
        <f>VLOOKUP($R106,武学奇术!$A:$ZZ,29,FALSE)*(1+IF(OR($AH106=$F$4,$AH106=$F$5),$B$22,0))</f>
        <v>0</v>
      </c>
      <c r="AM106" s="27" cm="1">
        <f t="array" ref="AM106">$G$3+IFERROR(VLOOKUP($AH106,$F$4:$G$7,2,FALSE),0)+VLOOKUP($R106,武学奇术!$A:$ZZ,2,FALSE)+SUM(_xlfn.XLOOKUP($S106:$AG106,增益!$A:$A,增益!$B:$B,0))</f>
        <v>0.1837</v>
      </c>
      <c r="AN106" s="27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3888.382</v>
      </c>
      <c r="AP106" cm="1">
        <f t="array" ref="AP106">$E$10*(1+$AN106)+VLOOKUP($R106,武学奇术!$A:$ZZ,4,FALSE)+SUM(_xlfn.XLOOKUP($S106:$AG106,增益!$A:$A,增益!$D:$D,0))-$I$2</f>
        <v>3888.382</v>
      </c>
      <c r="AQ106" s="33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0.267</v>
      </c>
      <c r="AR106" s="33" cm="1">
        <f t="array" ref="AR106">$G$10+VLOOKUP($R106,武学奇术!$A:$ZZ,7,FALSE)+SUM(_xlfn.XLOOKUP(S106:AG106,增益!$A:$A,增益!$G:$G,0))</f>
        <v>0.09</v>
      </c>
      <c r="AS106" s="27" cm="1">
        <f t="array" ref="AS106">VLOOKUP($R106,武学奇术!$A:$ZZ,8,FALSE)+SUM(_xlfn.XLOOKUP(S106:AG106,增益!$A:$A,增益!$H:$H,0))</f>
        <v>0</v>
      </c>
      <c r="AT106">
        <f t="shared" si="34"/>
        <v>0</v>
      </c>
      <c r="AU106">
        <f t="shared" si="35"/>
        <v>0</v>
      </c>
      <c r="AV106" s="33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-0.3</v>
      </c>
      <c r="AW106" s="33" cm="1">
        <f t="array" ref="AW106">$G$11+VLOOKUP($R106,武学奇术!$A:$ZZ,10,FALSE)+SUM(_xlfn.XLOOKUP(S106:AG106,增益!$A:$A,增益!$J:$J,0))</f>
        <v>0</v>
      </c>
      <c r="AX106">
        <f t="shared" si="36"/>
        <v>0</v>
      </c>
      <c r="AY106">
        <f t="shared" si="37"/>
        <v>0</v>
      </c>
      <c r="AZ106" s="33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33" cm="1">
        <f t="array" ref="BA106">$G$12+VLOOKUP($R106,武学奇术!$A:$ZZ,12,FALSE)+SUM(_xlfn.XLOOKUP(S106:AG106,增益!$A:$A,增益!$L:$L,0))</f>
        <v>0</v>
      </c>
      <c r="BB106">
        <f t="shared" si="38"/>
        <v>0</v>
      </c>
      <c r="BC106">
        <f t="shared" si="39"/>
        <v>0</v>
      </c>
      <c r="BD106" s="33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33" cm="1">
        <f t="array" ref="BE106">$G$13+VLOOKUP($R106,武学奇术!$A:$ZZ,14,FALSE)+SUM(_xlfn.XLOOKUP(S106:AG106,增益!$A:$A,增益!$N:$N,0))</f>
        <v>0</v>
      </c>
      <c r="BF106">
        <f t="shared" si="40"/>
        <v>605.472</v>
      </c>
      <c r="BG106">
        <f t="shared" si="41"/>
        <v>1725.468</v>
      </c>
      <c r="BH106" s="33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0</v>
      </c>
      <c r="BI106" s="33" cm="1">
        <f t="array" ref="BI106">$G$14+VLOOKUP($R106,武学奇术!$A:$ZZ,16,FALSE)+SUM(_xlfn.XLOOKUP(S106:AG106,增益!$A:$A,增益!$P:$P,0))</f>
        <v>0.24</v>
      </c>
      <c r="BJ106" s="27">
        <f>MIN(IF(VLOOKUP($R106,武学奇术!$A:$ZZ,23,FALSE)=1,100%,$B$8),100%)</f>
        <v>1</v>
      </c>
      <c r="BK106" s="27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+MIN(IF(VLOOKUP($R106,武学奇术!$A:$ZZ,32,FALSE)=1,IF(VLOOKUP($R106,武学奇术!$A:$ZZ,24,FALSE)=1,100%,MIN(40%,$B$10+VLOOKUP($R106,武学奇术!$A:$ZZ,19,FALSE)+SUM(_xlfn.XLOOKUP(S106:AG106,增益!$A:$A,增益!$S:$S,0)))+$B$12+SUM(_xlfn.XLOOKUP(S106:AG106,增益!$A:$A,增益!$V:$V,0))),0),12%)</f>
        <v>0.9036</v>
      </c>
      <c r="BL106" s="27" cm="1">
        <f t="array" ref="BL106">1+$B$13+VLOOKUP($R106,武学奇术!$A:$ZZ,18,FALSE)+SUM(_xlfn.XLOOKUP(S106:AG106,增益!$A:$A,增益!$R:$R,0))</f>
        <v>1.54</v>
      </c>
      <c r="BM106" s="27" cm="1">
        <f t="array" ref="BM106">MAX(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-IF(VLOOKUP($R106,武学奇术!$A:$ZZ,32,FALSE)=1,12%,0),0)</f>
        <v>0.0929</v>
      </c>
      <c r="BN106" s="27" cm="1">
        <f t="array" ref="BN106">1+$B$14+VLOOKUP($R106,武学奇术!$A:$ZZ,20,FALSE)+SUM(_xlfn.XLOOKUP(S106:AG106,增益!$A:$A,增益!$T:$T,0))</f>
        <v>1.35</v>
      </c>
      <c r="BO106" s="27">
        <f t="shared" si="31"/>
        <v>0.9036</v>
      </c>
      <c r="BP106" s="27">
        <f t="shared" si="32"/>
        <v>0.00350000000000006</v>
      </c>
      <c r="BQ106" s="27">
        <f>IF(VLOOKUP($R106,武学奇术!$A:$ZZ,22,FALSE)=1,0,(1-$BJ106))*(1-$BM106)</f>
        <v>0</v>
      </c>
      <c r="BR106" s="27" cm="1">
        <f t="array" ref="BR106">SUM(_xlfn.XLOOKUP(S106:AG106,增益!$A:$A,增益!$W:$W,0))+$I$5</f>
        <v>0.11</v>
      </c>
    </row>
    <row r="107" spans="1:70">
      <c r="A107" s="4" t="s">
        <v>186</v>
      </c>
      <c r="B107" s="4">
        <v>2</v>
      </c>
      <c r="K107">
        <f>$L107*VLOOKUP($R107,武学奇术!$A:$ZZ,31,FALSE)</f>
        <v>0</v>
      </c>
      <c r="L107" s="39">
        <f t="shared" si="33"/>
        <v>0</v>
      </c>
      <c r="M107" s="39">
        <f>((($AO107+($AP107-$AO107)*IF(VLOOKUP($R107,武学奇术!$A:$ZZ,31,FALSE)=1,$F$18,0.5))*$AI107+$AJ107)*(1+$AQ107)*(1+$AR107)+(($AT107+($AU107-$AT107)*IF(VLOOKUP($R107,武学奇术!$A:$ZZ,31,FALSE)=1,$F$18,0.5))*IF($G$1="鸣金",$AK107,$AI107)+IF($G$1="鸣金",$AL107*1.5,0))*(1+$AV107)*(1+$AW107)+(($AX107+($AY107-$AX107)*IF(VLOOKUP($R107,武学奇术!$A:$ZZ,31,FALSE)=1,$F$18,0.5))*IF($G$1="裂石",$AK107,$AI107)+IF($G$1="裂石",$AL107*1.5,0))*(1+$AZ107)*(1+$BA107)+(($BB107+($BC107-$BB107)*IF(VLOOKUP($R107,武学奇术!$A:$ZZ,31,FALSE)=1,$F$18,0.5))*IF($G$1="牵丝",$AK107,$AI107)+IF($G$1="牵丝",$AL107*1.5,0))*(1+$BD107)*(1+$BE107)+(($BF107+($BG107-$BF107)*IF(VLOOKUP($R107,武学奇术!$A:$ZZ,31,FALSE)=1,$F$18,0.5))*IF($G$1="破竹",$AK107,$AI107)+IF($G$1="破竹",$AL107*1.5,0))*(1+$BH107)*(1+$BI107))*(1+$AM107)*$BL107*$Q107*(1+IF(VLOOKUP($R107,武学奇术!$A:$ZZ,30,FALSE)="蓄力技",$B$21,0))*(1+$BR107)</f>
        <v>0</v>
      </c>
      <c r="N107" s="39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蓄力技",$B$21,0))*(1+$BR107)</f>
        <v>0</v>
      </c>
      <c r="O107" s="39">
        <f>((($AO107+($AP107-$AO107)*IF(VLOOKUP($R107,武学奇术!$A:$ZZ,31,FALSE)=1,$F$18,0.5))*$AI107+$AJ107)*(1+$AQ107)*(1+$AR107)+(($AT107+($AU107-$AT107)*IF(VLOOKUP($R107,武学奇术!$A:$ZZ,31,FALSE)=1,$F$18,0.5))*IF($G$1="鸣金",$AK107,$AI107)+IF($G$1="鸣金",$AL107*1.5,0))*(1+$AV107)*(1+$AW107)+(($AX107+($AY107-$AX107)*IF(VLOOKUP($R107,武学奇术!$A:$ZZ,31,FALSE)=1,$F$18,0.5))*IF($G$1="裂石",$AK107,$AI107)+IF($G$1="裂石",$AL107*1.5,0))*(1+$AZ107)*(1+$BA107)+(($BB107+($BC107-$BB107)*IF(VLOOKUP($R107,武学奇术!$A:$ZZ,31,FALSE)=1,$F$18,0.5))*IF($G$1="牵丝",$AK107,$AI107)+IF($G$1="牵丝",$AL107*1.5,0))*(1+$BD107)*(1+$BE107)+(($BF107+($BG107-$BF107)*IF(VLOOKUP($R107,武学奇术!$A:$ZZ,31,FALSE)=1,$F$18,0.5))*IF($G$1="破竹",$AK107,$AI107)+IF($G$1="破竹",$AL107*1.5,0))*(1+$BH107)*(1+$BI107))*(1+$AM107)*$Q107*(1+IF(VLOOKUP($R107,武学奇术!$A:$ZZ,30,FALSE)="蓄力技",$B$21,0))*(1+$BR107)</f>
        <v>0</v>
      </c>
      <c r="P107" s="39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蓄力技",$B$21,0))*(1+$BR107)</f>
        <v>0</v>
      </c>
      <c r="Q107" s="40">
        <v>1</v>
      </c>
      <c r="R107" s="41" t="s">
        <v>73</v>
      </c>
      <c r="S107" s="41" t="s">
        <v>73</v>
      </c>
      <c r="T107" s="41" t="s">
        <v>73</v>
      </c>
      <c r="U107" s="41" t="s">
        <v>73</v>
      </c>
      <c r="V107" s="41" t="s">
        <v>73</v>
      </c>
      <c r="W107" s="41" t="s">
        <v>73</v>
      </c>
      <c r="X107" s="41" t="s">
        <v>73</v>
      </c>
      <c r="Y107" s="41" t="s">
        <v>73</v>
      </c>
      <c r="Z107" s="41" t="s">
        <v>73</v>
      </c>
      <c r="AA107" s="41" t="s">
        <v>73</v>
      </c>
      <c r="AB107" s="41" t="s">
        <v>73</v>
      </c>
      <c r="AC107" s="41" t="s">
        <v>73</v>
      </c>
      <c r="AD107" s="41" t="s">
        <v>73</v>
      </c>
      <c r="AE107" s="41" t="s">
        <v>76</v>
      </c>
      <c r="AF107" s="41" t="s">
        <v>77</v>
      </c>
      <c r="AG107" s="41" t="s">
        <v>78</v>
      </c>
      <c r="AH107" t="str">
        <f>VLOOKUP($R107,武学奇术!$A:$ZZ,25,FALSE)</f>
        <v>心法</v>
      </c>
      <c r="AI107" s="27">
        <f>VLOOKUP($R107,武学奇术!$A:$ZZ,26,FALSE)</f>
        <v>0</v>
      </c>
      <c r="AJ107" s="28">
        <f>VLOOKUP($R107,武学奇术!$A:$ZZ,27,FALSE)*(1+IF(OR($AH107=$F$4,$AH107=$F$5),$B$22,0))</f>
        <v>0</v>
      </c>
      <c r="AK107" s="27">
        <f>VLOOKUP($R107,武学奇术!$A:$ZZ,28,FALSE)</f>
        <v>0</v>
      </c>
      <c r="AL107" s="28">
        <f>VLOOKUP($R107,武学奇术!$A:$ZZ,29,FALSE)*(1+IF(OR($AH107=$F$4,$AH107=$F$5),$B$22,0))</f>
        <v>0</v>
      </c>
      <c r="AM107" s="27" cm="1">
        <f t="array" ref="AM107">$G$3+IFERROR(VLOOKUP($AH107,$F$4:$G$7,2,FALSE),0)+VLOOKUP($R107,武学奇术!$A:$ZZ,2,FALSE)+SUM(_xlfn.XLOOKUP($S107:$AG107,增益!$A:$A,增益!$B:$B,0))</f>
        <v>0.1837</v>
      </c>
      <c r="AN107" s="27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3888.382</v>
      </c>
      <c r="AP107" cm="1">
        <f t="array" ref="AP107">$E$10*(1+$AN107)+VLOOKUP($R107,武学奇术!$A:$ZZ,4,FALSE)+SUM(_xlfn.XLOOKUP($S107:$AG107,增益!$A:$A,增益!$D:$D,0))-$I$2</f>
        <v>3888.382</v>
      </c>
      <c r="AQ107" s="33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0.267</v>
      </c>
      <c r="AR107" s="33" cm="1">
        <f t="array" ref="AR107">$G$10+VLOOKUP($R107,武学奇术!$A:$ZZ,7,FALSE)+SUM(_xlfn.XLOOKUP(S107:AG107,增益!$A:$A,增益!$G:$G,0))</f>
        <v>0.09</v>
      </c>
      <c r="AS107" s="27" cm="1">
        <f t="array" ref="AS107">VLOOKUP($R107,武学奇术!$A:$ZZ,8,FALSE)+SUM(_xlfn.XLOOKUP(S107:AG107,增益!$A:$A,增益!$H:$H,0))</f>
        <v>0</v>
      </c>
      <c r="AT107">
        <f t="shared" si="34"/>
        <v>0</v>
      </c>
      <c r="AU107">
        <f t="shared" si="35"/>
        <v>0</v>
      </c>
      <c r="AV107" s="33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-0.3</v>
      </c>
      <c r="AW107" s="33" cm="1">
        <f t="array" ref="AW107">$G$11+VLOOKUP($R107,武学奇术!$A:$ZZ,10,FALSE)+SUM(_xlfn.XLOOKUP(S107:AG107,增益!$A:$A,增益!$J:$J,0))</f>
        <v>0</v>
      </c>
      <c r="AX107">
        <f t="shared" si="36"/>
        <v>0</v>
      </c>
      <c r="AY107">
        <f t="shared" si="37"/>
        <v>0</v>
      </c>
      <c r="AZ107" s="33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33" cm="1">
        <f t="array" ref="BA107">$G$12+VLOOKUP($R107,武学奇术!$A:$ZZ,12,FALSE)+SUM(_xlfn.XLOOKUP(S107:AG107,增益!$A:$A,增益!$L:$L,0))</f>
        <v>0</v>
      </c>
      <c r="BB107">
        <f t="shared" si="38"/>
        <v>0</v>
      </c>
      <c r="BC107">
        <f t="shared" si="39"/>
        <v>0</v>
      </c>
      <c r="BD107" s="33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33" cm="1">
        <f t="array" ref="BE107">$G$13+VLOOKUP($R107,武学奇术!$A:$ZZ,14,FALSE)+SUM(_xlfn.XLOOKUP(S107:AG107,增益!$A:$A,增益!$N:$N,0))</f>
        <v>0</v>
      </c>
      <c r="BF107">
        <f t="shared" si="40"/>
        <v>605.472</v>
      </c>
      <c r="BG107">
        <f t="shared" si="41"/>
        <v>1725.468</v>
      </c>
      <c r="BH107" s="33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0</v>
      </c>
      <c r="BI107" s="33" cm="1">
        <f t="array" ref="BI107">$G$14+VLOOKUP($R107,武学奇术!$A:$ZZ,16,FALSE)+SUM(_xlfn.XLOOKUP(S107:AG107,增益!$A:$A,增益!$P:$P,0))</f>
        <v>0.24</v>
      </c>
      <c r="BJ107" s="27">
        <f>MIN(IF(VLOOKUP($R107,武学奇术!$A:$ZZ,23,FALSE)=1,100%,$B$8),100%)</f>
        <v>1</v>
      </c>
      <c r="BK107" s="27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+MIN(IF(VLOOKUP($R107,武学奇术!$A:$ZZ,32,FALSE)=1,IF(VLOOKUP($R107,武学奇术!$A:$ZZ,24,FALSE)=1,100%,MIN(40%,$B$10+VLOOKUP($R107,武学奇术!$A:$ZZ,19,FALSE)+SUM(_xlfn.XLOOKUP(S107:AG107,增益!$A:$A,增益!$S:$S,0)))+$B$12+SUM(_xlfn.XLOOKUP(S107:AG107,增益!$A:$A,增益!$V:$V,0))),0),12%)</f>
        <v>0.9036</v>
      </c>
      <c r="BL107" s="27" cm="1">
        <f t="array" ref="BL107">1+$B$13+VLOOKUP($R107,武学奇术!$A:$ZZ,18,FALSE)+SUM(_xlfn.XLOOKUP(S107:AG107,增益!$A:$A,增益!$R:$R,0))</f>
        <v>1.54</v>
      </c>
      <c r="BM107" s="27" cm="1">
        <f t="array" ref="BM107">MAX(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-IF(VLOOKUP($R107,武学奇术!$A:$ZZ,32,FALSE)=1,12%,0),0)</f>
        <v>0.0929</v>
      </c>
      <c r="BN107" s="27" cm="1">
        <f t="array" ref="BN107">1+$B$14+VLOOKUP($R107,武学奇术!$A:$ZZ,20,FALSE)+SUM(_xlfn.XLOOKUP(S107:AG107,增益!$A:$A,增益!$T:$T,0))</f>
        <v>1.35</v>
      </c>
      <c r="BO107" s="27">
        <f t="shared" si="31"/>
        <v>0.9036</v>
      </c>
      <c r="BP107" s="27">
        <f t="shared" si="32"/>
        <v>0.00350000000000006</v>
      </c>
      <c r="BQ107" s="27">
        <f>IF(VLOOKUP($R107,武学奇术!$A:$ZZ,22,FALSE)=1,0,(1-$BJ107))*(1-$BM107)</f>
        <v>0</v>
      </c>
      <c r="BR107" s="27" cm="1">
        <f t="array" ref="BR107">SUM(_xlfn.XLOOKUP(S107:AG107,增益!$A:$A,增益!$W:$W,0))+$I$5</f>
        <v>0.11</v>
      </c>
    </row>
    <row r="108" spans="1:70">
      <c r="A108" s="4" t="s">
        <v>163</v>
      </c>
      <c r="B108" s="4">
        <v>0.9</v>
      </c>
      <c r="F108" s="40" t="s">
        <v>166</v>
      </c>
      <c r="K108">
        <f>$L108*VLOOKUP($R108,武学奇术!$A:$ZZ,31,FALSE)</f>
        <v>0</v>
      </c>
      <c r="L108" s="39">
        <f t="shared" si="33"/>
        <v>0</v>
      </c>
      <c r="M108" s="39">
        <f>((($AO108+($AP108-$AO108)*IF(VLOOKUP($R108,武学奇术!$A:$ZZ,31,FALSE)=1,$F$18,0.5))*$AI108+$AJ108)*(1+$AQ108)*(1+$AR108)+(($AT108+($AU108-$AT108)*IF(VLOOKUP($R108,武学奇术!$A:$ZZ,31,FALSE)=1,$F$18,0.5))*IF($G$1="鸣金",$AK108,$AI108)+IF($G$1="鸣金",$AL108*1.5,0))*(1+$AV108)*(1+$AW108)+(($AX108+($AY108-$AX108)*IF(VLOOKUP($R108,武学奇术!$A:$ZZ,31,FALSE)=1,$F$18,0.5))*IF($G$1="裂石",$AK108,$AI108)+IF($G$1="裂石",$AL108*1.5,0))*(1+$AZ108)*(1+$BA108)+(($BB108+($BC108-$BB108)*IF(VLOOKUP($R108,武学奇术!$A:$ZZ,31,FALSE)=1,$F$18,0.5))*IF($G$1="牵丝",$AK108,$AI108)+IF($G$1="牵丝",$AL108*1.5,0))*(1+$BD108)*(1+$BE108)+(($BF108+($BG108-$BF108)*IF(VLOOKUP($R108,武学奇术!$A:$ZZ,31,FALSE)=1,$F$18,0.5))*IF($G$1="破竹",$AK108,$AI108)+IF($G$1="破竹",$AL108*1.5,0))*(1+$BH108)*(1+$BI108))*(1+$AM108)*$BL108*$Q108*(1+IF(VLOOKUP($R108,武学奇术!$A:$ZZ,30,FALSE)="蓄力技",$B$21,0))*(1+$BR108)</f>
        <v>0</v>
      </c>
      <c r="N108" s="39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蓄力技",$B$21,0))*(1+$BR108)</f>
        <v>0</v>
      </c>
      <c r="O108" s="39">
        <f>((($AO108+($AP108-$AO108)*IF(VLOOKUP($R108,武学奇术!$A:$ZZ,31,FALSE)=1,$F$18,0.5))*$AI108+$AJ108)*(1+$AQ108)*(1+$AR108)+(($AT108+($AU108-$AT108)*IF(VLOOKUP($R108,武学奇术!$A:$ZZ,31,FALSE)=1,$F$18,0.5))*IF($G$1="鸣金",$AK108,$AI108)+IF($G$1="鸣金",$AL108*1.5,0))*(1+$AV108)*(1+$AW108)+(($AX108+($AY108-$AX108)*IF(VLOOKUP($R108,武学奇术!$A:$ZZ,31,FALSE)=1,$F$18,0.5))*IF($G$1="裂石",$AK108,$AI108)+IF($G$1="裂石",$AL108*1.5,0))*(1+$AZ108)*(1+$BA108)+(($BB108+($BC108-$BB108)*IF(VLOOKUP($R108,武学奇术!$A:$ZZ,31,FALSE)=1,$F$18,0.5))*IF($G$1="牵丝",$AK108,$AI108)+IF($G$1="牵丝",$AL108*1.5,0))*(1+$BD108)*(1+$BE108)+(($BF108+($BG108-$BF108)*IF(VLOOKUP($R108,武学奇术!$A:$ZZ,31,FALSE)=1,$F$18,0.5))*IF($G$1="破竹",$AK108,$AI108)+IF($G$1="破竹",$AL108*1.5,0))*(1+$BH108)*(1+$BI108))*(1+$AM108)*$Q108*(1+IF(VLOOKUP($R108,武学奇术!$A:$ZZ,30,FALSE)="蓄力技",$B$21,0))*(1+$BR108)</f>
        <v>0</v>
      </c>
      <c r="P108" s="39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蓄力技",$B$21,0))*(1+$BR108)</f>
        <v>0</v>
      </c>
      <c r="Q108" s="40">
        <v>1</v>
      </c>
      <c r="R108" s="41" t="s">
        <v>73</v>
      </c>
      <c r="S108" s="41" t="s">
        <v>73</v>
      </c>
      <c r="T108" s="41" t="s">
        <v>73</v>
      </c>
      <c r="U108" s="41" t="s">
        <v>73</v>
      </c>
      <c r="V108" s="41" t="s">
        <v>73</v>
      </c>
      <c r="W108" s="41" t="s">
        <v>73</v>
      </c>
      <c r="X108" s="41" t="s">
        <v>73</v>
      </c>
      <c r="Y108" s="41" t="s">
        <v>73</v>
      </c>
      <c r="Z108" s="41" t="s">
        <v>73</v>
      </c>
      <c r="AA108" s="41" t="s">
        <v>73</v>
      </c>
      <c r="AB108" s="41" t="s">
        <v>73</v>
      </c>
      <c r="AC108" s="41" t="s">
        <v>73</v>
      </c>
      <c r="AD108" s="41" t="s">
        <v>73</v>
      </c>
      <c r="AE108" s="41" t="s">
        <v>76</v>
      </c>
      <c r="AF108" s="41" t="s">
        <v>77</v>
      </c>
      <c r="AG108" s="41" t="s">
        <v>78</v>
      </c>
      <c r="AH108" t="str">
        <f>VLOOKUP($R108,武学奇术!$A:$ZZ,25,FALSE)</f>
        <v>心法</v>
      </c>
      <c r="AI108" s="27">
        <f>VLOOKUP($R108,武学奇术!$A:$ZZ,26,FALSE)</f>
        <v>0</v>
      </c>
      <c r="AJ108" s="28">
        <f>VLOOKUP($R108,武学奇术!$A:$ZZ,27,FALSE)*(1+IF(OR($AH108=$F$4,$AH108=$F$5),$B$22,0))</f>
        <v>0</v>
      </c>
      <c r="AK108" s="27">
        <f>VLOOKUP($R108,武学奇术!$A:$ZZ,28,FALSE)</f>
        <v>0</v>
      </c>
      <c r="AL108" s="28">
        <f>VLOOKUP($R108,武学奇术!$A:$ZZ,29,FALSE)*(1+IF(OR($AH108=$F$4,$AH108=$F$5),$B$22,0))</f>
        <v>0</v>
      </c>
      <c r="AM108" s="27" cm="1">
        <f t="array" ref="AM108">$G$3+IFERROR(VLOOKUP($AH108,$F$4:$G$7,2,FALSE),0)+VLOOKUP($R108,武学奇术!$A:$ZZ,2,FALSE)+SUM(_xlfn.XLOOKUP($S108:$AG108,增益!$A:$A,增益!$B:$B,0))</f>
        <v>0.1837</v>
      </c>
      <c r="AN108" s="27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3888.382</v>
      </c>
      <c r="AP108" cm="1">
        <f t="array" ref="AP108">$E$10*(1+$AN108)+VLOOKUP($R108,武学奇术!$A:$ZZ,4,FALSE)+SUM(_xlfn.XLOOKUP($S108:$AG108,增益!$A:$A,增益!$D:$D,0))-$I$2</f>
        <v>3888.382</v>
      </c>
      <c r="AQ108" s="33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0.267</v>
      </c>
      <c r="AR108" s="33" cm="1">
        <f t="array" ref="AR108">$G$10+VLOOKUP($R108,武学奇术!$A:$ZZ,7,FALSE)+SUM(_xlfn.XLOOKUP(S108:AG108,增益!$A:$A,增益!$G:$G,0))</f>
        <v>0.09</v>
      </c>
      <c r="AS108" s="27" cm="1">
        <f t="array" ref="AS108">VLOOKUP($R108,武学奇术!$A:$ZZ,8,FALSE)+SUM(_xlfn.XLOOKUP(S108:AG108,增益!$A:$A,增益!$H:$H,0))</f>
        <v>0</v>
      </c>
      <c r="AT108">
        <f t="shared" si="34"/>
        <v>0</v>
      </c>
      <c r="AU108">
        <f t="shared" si="35"/>
        <v>0</v>
      </c>
      <c r="AV108" s="33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-0.3</v>
      </c>
      <c r="AW108" s="33" cm="1">
        <f t="array" ref="AW108">$G$11+VLOOKUP($R108,武学奇术!$A:$ZZ,10,FALSE)+SUM(_xlfn.XLOOKUP(S108:AG108,增益!$A:$A,增益!$J:$J,0))</f>
        <v>0</v>
      </c>
      <c r="AX108">
        <f t="shared" si="36"/>
        <v>0</v>
      </c>
      <c r="AY108">
        <f t="shared" si="37"/>
        <v>0</v>
      </c>
      <c r="AZ108" s="33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33" cm="1">
        <f t="array" ref="BA108">$G$12+VLOOKUP($R108,武学奇术!$A:$ZZ,12,FALSE)+SUM(_xlfn.XLOOKUP(S108:AG108,增益!$A:$A,增益!$L:$L,0))</f>
        <v>0</v>
      </c>
      <c r="BB108">
        <f t="shared" si="38"/>
        <v>0</v>
      </c>
      <c r="BC108">
        <f t="shared" si="39"/>
        <v>0</v>
      </c>
      <c r="BD108" s="33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33" cm="1">
        <f t="array" ref="BE108">$G$13+VLOOKUP($R108,武学奇术!$A:$ZZ,14,FALSE)+SUM(_xlfn.XLOOKUP(S108:AG108,增益!$A:$A,增益!$N:$N,0))</f>
        <v>0</v>
      </c>
      <c r="BF108">
        <f t="shared" si="40"/>
        <v>605.472</v>
      </c>
      <c r="BG108">
        <f t="shared" si="41"/>
        <v>1725.468</v>
      </c>
      <c r="BH108" s="33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0</v>
      </c>
      <c r="BI108" s="33" cm="1">
        <f t="array" ref="BI108">$G$14+VLOOKUP($R108,武学奇术!$A:$ZZ,16,FALSE)+SUM(_xlfn.XLOOKUP(S108:AG108,增益!$A:$A,增益!$P:$P,0))</f>
        <v>0.24</v>
      </c>
      <c r="BJ108" s="27">
        <f>MIN(IF(VLOOKUP($R108,武学奇术!$A:$ZZ,23,FALSE)=1,100%,$B$8),100%)</f>
        <v>1</v>
      </c>
      <c r="BK108" s="27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+MIN(IF(VLOOKUP($R108,武学奇术!$A:$ZZ,32,FALSE)=1,IF(VLOOKUP($R108,武学奇术!$A:$ZZ,24,FALSE)=1,100%,MIN(40%,$B$10+VLOOKUP($R108,武学奇术!$A:$ZZ,19,FALSE)+SUM(_xlfn.XLOOKUP(S108:AG108,增益!$A:$A,增益!$S:$S,0)))+$B$12+SUM(_xlfn.XLOOKUP(S108:AG108,增益!$A:$A,增益!$V:$V,0))),0),12%)</f>
        <v>0.9036</v>
      </c>
      <c r="BL108" s="27" cm="1">
        <f t="array" ref="BL108">1+$B$13+VLOOKUP($R108,武学奇术!$A:$ZZ,18,FALSE)+SUM(_xlfn.XLOOKUP(S108:AG108,增益!$A:$A,增益!$R:$R,0))</f>
        <v>1.54</v>
      </c>
      <c r="BM108" s="27" cm="1">
        <f t="array" ref="BM108">MAX(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-IF(VLOOKUP($R108,武学奇术!$A:$ZZ,32,FALSE)=1,12%,0),0)</f>
        <v>0.0929</v>
      </c>
      <c r="BN108" s="27" cm="1">
        <f t="array" ref="BN108">1+$B$14+VLOOKUP($R108,武学奇术!$A:$ZZ,20,FALSE)+SUM(_xlfn.XLOOKUP(S108:AG108,增益!$A:$A,增益!$T:$T,0))</f>
        <v>1.35</v>
      </c>
      <c r="BO108" s="27">
        <f t="shared" si="31"/>
        <v>0.9036</v>
      </c>
      <c r="BP108" s="27">
        <f t="shared" si="32"/>
        <v>0.00350000000000006</v>
      </c>
      <c r="BQ108" s="27">
        <f>IF(VLOOKUP($R108,武学奇术!$A:$ZZ,22,FALSE)=1,0,(1-$BJ108))*(1-$BM108)</f>
        <v>0</v>
      </c>
      <c r="BR108" s="27" cm="1">
        <f t="array" ref="BR108">SUM(_xlfn.XLOOKUP(S108:AG108,增益!$A:$A,增益!$W:$W,0))+$I$5</f>
        <v>0.11</v>
      </c>
    </row>
    <row r="109" spans="1:70">
      <c r="A109" t="s">
        <v>181</v>
      </c>
      <c r="B109">
        <v>1.7</v>
      </c>
      <c r="F109" s="40"/>
      <c r="G109" s="40" t="s">
        <v>169</v>
      </c>
      <c r="K109">
        <f>$L109*VLOOKUP($R109,武学奇术!$A:$ZZ,31,FALSE)</f>
        <v>0</v>
      </c>
      <c r="L109" s="39">
        <f t="shared" si="33"/>
        <v>0</v>
      </c>
      <c r="M109" s="39">
        <f>((($AO109+($AP109-$AO109)*IF(VLOOKUP($R109,武学奇术!$A:$ZZ,31,FALSE)=1,$F$18,0.5))*$AI109+$AJ109)*(1+$AQ109)*(1+$AR109)+(($AT109+($AU109-$AT109)*IF(VLOOKUP($R109,武学奇术!$A:$ZZ,31,FALSE)=1,$F$18,0.5))*IF($G$1="鸣金",$AK109,$AI109)+IF($G$1="鸣金",$AL109*1.5,0))*(1+$AV109)*(1+$AW109)+(($AX109+($AY109-$AX109)*IF(VLOOKUP($R109,武学奇术!$A:$ZZ,31,FALSE)=1,$F$18,0.5))*IF($G$1="裂石",$AK109,$AI109)+IF($G$1="裂石",$AL109*1.5,0))*(1+$AZ109)*(1+$BA109)+(($BB109+($BC109-$BB109)*IF(VLOOKUP($R109,武学奇术!$A:$ZZ,31,FALSE)=1,$F$18,0.5))*IF($G$1="牵丝",$AK109,$AI109)+IF($G$1="牵丝",$AL109*1.5,0))*(1+$BD109)*(1+$BE109)+(($BF109+($BG109-$BF109)*IF(VLOOKUP($R109,武学奇术!$A:$ZZ,31,FALSE)=1,$F$18,0.5))*IF($G$1="破竹",$AK109,$AI109)+IF($G$1="破竹",$AL109*1.5,0))*(1+$BH109)*(1+$BI109))*(1+$AM109)*$BL109*$Q109*(1+IF(VLOOKUP($R109,武学奇术!$A:$ZZ,30,FALSE)="蓄力技",$B$21,0))*(1+$BR109)</f>
        <v>0</v>
      </c>
      <c r="N109" s="39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蓄力技",$B$21,0))*(1+$BR109)</f>
        <v>0</v>
      </c>
      <c r="O109" s="39">
        <f>((($AO109+($AP109-$AO109)*IF(VLOOKUP($R109,武学奇术!$A:$ZZ,31,FALSE)=1,$F$18,0.5))*$AI109+$AJ109)*(1+$AQ109)*(1+$AR109)+(($AT109+($AU109-$AT109)*IF(VLOOKUP($R109,武学奇术!$A:$ZZ,31,FALSE)=1,$F$18,0.5))*IF($G$1="鸣金",$AK109,$AI109)+IF($G$1="鸣金",$AL109*1.5,0))*(1+$AV109)*(1+$AW109)+(($AX109+($AY109-$AX109)*IF(VLOOKUP($R109,武学奇术!$A:$ZZ,31,FALSE)=1,$F$18,0.5))*IF($G$1="裂石",$AK109,$AI109)+IF($G$1="裂石",$AL109*1.5,0))*(1+$AZ109)*(1+$BA109)+(($BB109+($BC109-$BB109)*IF(VLOOKUP($R109,武学奇术!$A:$ZZ,31,FALSE)=1,$F$18,0.5))*IF($G$1="牵丝",$AK109,$AI109)+IF($G$1="牵丝",$AL109*1.5,0))*(1+$BD109)*(1+$BE109)+(($BF109+($BG109-$BF109)*IF(VLOOKUP($R109,武学奇术!$A:$ZZ,31,FALSE)=1,$F$18,0.5))*IF($G$1="破竹",$AK109,$AI109)+IF($G$1="破竹",$AL109*1.5,0))*(1+$BH109)*(1+$BI109))*(1+$AM109)*$Q109*(1+IF(VLOOKUP($R109,武学奇术!$A:$ZZ,30,FALSE)="蓄力技",$B$21,0))*(1+$BR109)</f>
        <v>0</v>
      </c>
      <c r="P109" s="39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蓄力技",$B$21,0))*(1+$BR109)</f>
        <v>0</v>
      </c>
      <c r="Q109" s="40">
        <v>1</v>
      </c>
      <c r="R109" s="41" t="s">
        <v>73</v>
      </c>
      <c r="S109" s="41" t="s">
        <v>73</v>
      </c>
      <c r="T109" s="41" t="s">
        <v>73</v>
      </c>
      <c r="U109" s="41" t="s">
        <v>73</v>
      </c>
      <c r="V109" s="41" t="s">
        <v>73</v>
      </c>
      <c r="W109" s="41" t="s">
        <v>73</v>
      </c>
      <c r="X109" s="41" t="s">
        <v>73</v>
      </c>
      <c r="Y109" s="41" t="s">
        <v>73</v>
      </c>
      <c r="Z109" s="41" t="s">
        <v>73</v>
      </c>
      <c r="AA109" s="41" t="s">
        <v>73</v>
      </c>
      <c r="AB109" s="41" t="s">
        <v>73</v>
      </c>
      <c r="AC109" s="41" t="s">
        <v>73</v>
      </c>
      <c r="AD109" s="41" t="s">
        <v>73</v>
      </c>
      <c r="AE109" s="41" t="s">
        <v>76</v>
      </c>
      <c r="AF109" s="41" t="s">
        <v>77</v>
      </c>
      <c r="AG109" s="41" t="s">
        <v>78</v>
      </c>
      <c r="AH109" t="str">
        <f>VLOOKUP($R109,武学奇术!$A:$ZZ,25,FALSE)</f>
        <v>心法</v>
      </c>
      <c r="AI109" s="27">
        <f>VLOOKUP($R109,武学奇术!$A:$ZZ,26,FALSE)</f>
        <v>0</v>
      </c>
      <c r="AJ109" s="28">
        <f>VLOOKUP($R109,武学奇术!$A:$ZZ,27,FALSE)*(1+IF(OR($AH109=$F$4,$AH109=$F$5),$B$22,0))</f>
        <v>0</v>
      </c>
      <c r="AK109" s="27">
        <f>VLOOKUP($R109,武学奇术!$A:$ZZ,28,FALSE)</f>
        <v>0</v>
      </c>
      <c r="AL109" s="28">
        <f>VLOOKUP($R109,武学奇术!$A:$ZZ,29,FALSE)*(1+IF(OR($AH109=$F$4,$AH109=$F$5),$B$22,0))</f>
        <v>0</v>
      </c>
      <c r="AM109" s="27" cm="1">
        <f t="array" ref="AM109">$G$3+IFERROR(VLOOKUP($AH109,$F$4:$G$7,2,FALSE),0)+VLOOKUP($R109,武学奇术!$A:$ZZ,2,FALSE)+SUM(_xlfn.XLOOKUP($S109:$AG109,增益!$A:$A,增益!$B:$B,0))</f>
        <v>0.1837</v>
      </c>
      <c r="AN109" s="27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3888.382</v>
      </c>
      <c r="AP109" cm="1">
        <f t="array" ref="AP109">$E$10*(1+$AN109)+VLOOKUP($R109,武学奇术!$A:$ZZ,4,FALSE)+SUM(_xlfn.XLOOKUP($S109:$AG109,增益!$A:$A,增益!$D:$D,0))-$I$2</f>
        <v>3888.382</v>
      </c>
      <c r="AQ109" s="33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0.267</v>
      </c>
      <c r="AR109" s="33" cm="1">
        <f t="array" ref="AR109">$G$10+VLOOKUP($R109,武学奇术!$A:$ZZ,7,FALSE)+SUM(_xlfn.XLOOKUP(S109:AG109,增益!$A:$A,增益!$G:$G,0))</f>
        <v>0.09</v>
      </c>
      <c r="AS109" s="27" cm="1">
        <f t="array" ref="AS109">VLOOKUP($R109,武学奇术!$A:$ZZ,8,FALSE)+SUM(_xlfn.XLOOKUP(S109:AG109,增益!$A:$A,增益!$H:$H,0))</f>
        <v>0</v>
      </c>
      <c r="AT109">
        <f t="shared" si="34"/>
        <v>0</v>
      </c>
      <c r="AU109">
        <f t="shared" si="35"/>
        <v>0</v>
      </c>
      <c r="AV109" s="33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-0.3</v>
      </c>
      <c r="AW109" s="33" cm="1">
        <f t="array" ref="AW109">$G$11+VLOOKUP($R109,武学奇术!$A:$ZZ,10,FALSE)+SUM(_xlfn.XLOOKUP(S109:AG109,增益!$A:$A,增益!$J:$J,0))</f>
        <v>0</v>
      </c>
      <c r="AX109">
        <f t="shared" si="36"/>
        <v>0</v>
      </c>
      <c r="AY109">
        <f t="shared" si="37"/>
        <v>0</v>
      </c>
      <c r="AZ109" s="33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33" cm="1">
        <f t="array" ref="BA109">$G$12+VLOOKUP($R109,武学奇术!$A:$ZZ,12,FALSE)+SUM(_xlfn.XLOOKUP(S109:AG109,增益!$A:$A,增益!$L:$L,0))</f>
        <v>0</v>
      </c>
      <c r="BB109">
        <f t="shared" si="38"/>
        <v>0</v>
      </c>
      <c r="BC109">
        <f t="shared" si="39"/>
        <v>0</v>
      </c>
      <c r="BD109" s="33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33" cm="1">
        <f t="array" ref="BE109">$G$13+VLOOKUP($R109,武学奇术!$A:$ZZ,14,FALSE)+SUM(_xlfn.XLOOKUP(S109:AG109,增益!$A:$A,增益!$N:$N,0))</f>
        <v>0</v>
      </c>
      <c r="BF109">
        <f t="shared" si="40"/>
        <v>605.472</v>
      </c>
      <c r="BG109">
        <f t="shared" si="41"/>
        <v>1725.468</v>
      </c>
      <c r="BH109" s="33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0</v>
      </c>
      <c r="BI109" s="33" cm="1">
        <f t="array" ref="BI109">$G$14+VLOOKUP($R109,武学奇术!$A:$ZZ,16,FALSE)+SUM(_xlfn.XLOOKUP(S109:AG109,增益!$A:$A,增益!$P:$P,0))</f>
        <v>0.24</v>
      </c>
      <c r="BJ109" s="27">
        <f>MIN(IF(VLOOKUP($R109,武学奇术!$A:$ZZ,23,FALSE)=1,100%,$B$8),100%)</f>
        <v>1</v>
      </c>
      <c r="BK109" s="27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+MIN(IF(VLOOKUP($R109,武学奇术!$A:$ZZ,32,FALSE)=1,IF(VLOOKUP($R109,武学奇术!$A:$ZZ,24,FALSE)=1,100%,MIN(40%,$B$10+VLOOKUP($R109,武学奇术!$A:$ZZ,19,FALSE)+SUM(_xlfn.XLOOKUP(S109:AG109,增益!$A:$A,增益!$S:$S,0)))+$B$12+SUM(_xlfn.XLOOKUP(S109:AG109,增益!$A:$A,增益!$V:$V,0))),0),12%)</f>
        <v>0.9036</v>
      </c>
      <c r="BL109" s="27" cm="1">
        <f t="array" ref="BL109">1+$B$13+VLOOKUP($R109,武学奇术!$A:$ZZ,18,FALSE)+SUM(_xlfn.XLOOKUP(S109:AG109,增益!$A:$A,增益!$R:$R,0))</f>
        <v>1.54</v>
      </c>
      <c r="BM109" s="27" cm="1">
        <f t="array" ref="BM109">MAX(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-IF(VLOOKUP($R109,武学奇术!$A:$ZZ,32,FALSE)=1,12%,0),0)</f>
        <v>0.0929</v>
      </c>
      <c r="BN109" s="27" cm="1">
        <f t="array" ref="BN109">1+$B$14+VLOOKUP($R109,武学奇术!$A:$ZZ,20,FALSE)+SUM(_xlfn.XLOOKUP(S109:AG109,增益!$A:$A,增益!$T:$T,0))</f>
        <v>1.35</v>
      </c>
      <c r="BO109" s="27">
        <f t="shared" si="31"/>
        <v>0.9036</v>
      </c>
      <c r="BP109" s="27">
        <f t="shared" si="32"/>
        <v>0.00350000000000006</v>
      </c>
      <c r="BQ109" s="27">
        <f>IF(VLOOKUP($R109,武学奇术!$A:$ZZ,22,FALSE)=1,0,(1-$BJ109))*(1-$BM109)</f>
        <v>0</v>
      </c>
      <c r="BR109" s="27" cm="1">
        <f t="array" ref="BR109">SUM(_xlfn.XLOOKUP(S109:AG109,增益!$A:$A,增益!$W:$W,0))+$I$5</f>
        <v>0.11</v>
      </c>
    </row>
    <row r="110" spans="1:70">
      <c r="A110" s="4" t="s">
        <v>171</v>
      </c>
      <c r="B110" s="4">
        <v>1</v>
      </c>
      <c r="F110" s="40"/>
      <c r="G110" s="40"/>
      <c r="K110">
        <f>$L110*VLOOKUP($R110,武学奇术!$A:$ZZ,31,FALSE)</f>
        <v>0</v>
      </c>
      <c r="L110" s="39">
        <f t="shared" si="33"/>
        <v>0</v>
      </c>
      <c r="M110" s="39">
        <f>((($AO110+($AP110-$AO110)*IF(VLOOKUP($R110,武学奇术!$A:$ZZ,31,FALSE)=1,$F$18,0.5))*$AI110+$AJ110)*(1+$AQ110)*(1+$AR110)+(($AT110+($AU110-$AT110)*IF(VLOOKUP($R110,武学奇术!$A:$ZZ,31,FALSE)=1,$F$18,0.5))*IF($G$1="鸣金",$AK110,$AI110)+IF($G$1="鸣金",$AL110*1.5,0))*(1+$AV110)*(1+$AW110)+(($AX110+($AY110-$AX110)*IF(VLOOKUP($R110,武学奇术!$A:$ZZ,31,FALSE)=1,$F$18,0.5))*IF($G$1="裂石",$AK110,$AI110)+IF($G$1="裂石",$AL110*1.5,0))*(1+$AZ110)*(1+$BA110)+(($BB110+($BC110-$BB110)*IF(VLOOKUP($R110,武学奇术!$A:$ZZ,31,FALSE)=1,$F$18,0.5))*IF($G$1="牵丝",$AK110,$AI110)+IF($G$1="牵丝",$AL110*1.5,0))*(1+$BD110)*(1+$BE110)+(($BF110+($BG110-$BF110)*IF(VLOOKUP($R110,武学奇术!$A:$ZZ,31,FALSE)=1,$F$18,0.5))*IF($G$1="破竹",$AK110,$AI110)+IF($G$1="破竹",$AL110*1.5,0))*(1+$BH110)*(1+$BI110))*(1+$AM110)*$BL110*$Q110*(1+IF(VLOOKUP($R110,武学奇术!$A:$ZZ,30,FALSE)="蓄力技",$B$21,0))*(1+$BR110)</f>
        <v>0</v>
      </c>
      <c r="N110" s="39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蓄力技",$B$21,0))*(1+$BR110)</f>
        <v>0</v>
      </c>
      <c r="O110" s="39">
        <f>((($AO110+($AP110-$AO110)*IF(VLOOKUP($R110,武学奇术!$A:$ZZ,31,FALSE)=1,$F$18,0.5))*$AI110+$AJ110)*(1+$AQ110)*(1+$AR110)+(($AT110+($AU110-$AT110)*IF(VLOOKUP($R110,武学奇术!$A:$ZZ,31,FALSE)=1,$F$18,0.5))*IF($G$1="鸣金",$AK110,$AI110)+IF($G$1="鸣金",$AL110*1.5,0))*(1+$AV110)*(1+$AW110)+(($AX110+($AY110-$AX110)*IF(VLOOKUP($R110,武学奇术!$A:$ZZ,31,FALSE)=1,$F$18,0.5))*IF($G$1="裂石",$AK110,$AI110)+IF($G$1="裂石",$AL110*1.5,0))*(1+$AZ110)*(1+$BA110)+(($BB110+($BC110-$BB110)*IF(VLOOKUP($R110,武学奇术!$A:$ZZ,31,FALSE)=1,$F$18,0.5))*IF($G$1="牵丝",$AK110,$AI110)+IF($G$1="牵丝",$AL110*1.5,0))*(1+$BD110)*(1+$BE110)+(($BF110+($BG110-$BF110)*IF(VLOOKUP($R110,武学奇术!$A:$ZZ,31,FALSE)=1,$F$18,0.5))*IF($G$1="破竹",$AK110,$AI110)+IF($G$1="破竹",$AL110*1.5,0))*(1+$BH110)*(1+$BI110))*(1+$AM110)*$Q110*(1+IF(VLOOKUP($R110,武学奇术!$A:$ZZ,30,FALSE)="蓄力技",$B$21,0))*(1+$BR110)</f>
        <v>0</v>
      </c>
      <c r="P110" s="39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蓄力技",$B$21,0))*(1+$BR110)</f>
        <v>0</v>
      </c>
      <c r="Q110" s="40">
        <v>1</v>
      </c>
      <c r="R110" s="41" t="s">
        <v>73</v>
      </c>
      <c r="S110" s="41" t="s">
        <v>73</v>
      </c>
      <c r="T110" s="41" t="s">
        <v>73</v>
      </c>
      <c r="U110" s="41" t="s">
        <v>73</v>
      </c>
      <c r="V110" s="41" t="s">
        <v>73</v>
      </c>
      <c r="W110" s="41" t="s">
        <v>73</v>
      </c>
      <c r="X110" s="41" t="s">
        <v>73</v>
      </c>
      <c r="Y110" s="41" t="s">
        <v>73</v>
      </c>
      <c r="Z110" s="41" t="s">
        <v>73</v>
      </c>
      <c r="AA110" s="41" t="s">
        <v>73</v>
      </c>
      <c r="AB110" s="41" t="s">
        <v>73</v>
      </c>
      <c r="AC110" s="41" t="s">
        <v>73</v>
      </c>
      <c r="AD110" s="41" t="s">
        <v>73</v>
      </c>
      <c r="AE110" s="41" t="s">
        <v>76</v>
      </c>
      <c r="AF110" s="41" t="s">
        <v>77</v>
      </c>
      <c r="AG110" s="41" t="s">
        <v>78</v>
      </c>
      <c r="AH110" t="str">
        <f>VLOOKUP($R110,武学奇术!$A:$ZZ,25,FALSE)</f>
        <v>心法</v>
      </c>
      <c r="AI110" s="27">
        <f>VLOOKUP($R110,武学奇术!$A:$ZZ,26,FALSE)</f>
        <v>0</v>
      </c>
      <c r="AJ110" s="28">
        <f>VLOOKUP($R110,武学奇术!$A:$ZZ,27,FALSE)*(1+IF(OR($AH110=$F$4,$AH110=$F$5),$B$22,0))</f>
        <v>0</v>
      </c>
      <c r="AK110" s="27">
        <f>VLOOKUP($R110,武学奇术!$A:$ZZ,28,FALSE)</f>
        <v>0</v>
      </c>
      <c r="AL110" s="28">
        <f>VLOOKUP($R110,武学奇术!$A:$ZZ,29,FALSE)*(1+IF(OR($AH110=$F$4,$AH110=$F$5),$B$22,0))</f>
        <v>0</v>
      </c>
      <c r="AM110" s="27" cm="1">
        <f t="array" ref="AM110">$G$3+IFERROR(VLOOKUP($AH110,$F$4:$G$7,2,FALSE),0)+VLOOKUP($R110,武学奇术!$A:$ZZ,2,FALSE)+SUM(_xlfn.XLOOKUP($S110:$AG110,增益!$A:$A,增益!$B:$B,0))</f>
        <v>0.1837</v>
      </c>
      <c r="AN110" s="27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3888.382</v>
      </c>
      <c r="AP110" cm="1">
        <f t="array" ref="AP110">$E$10*(1+$AN110)+VLOOKUP($R110,武学奇术!$A:$ZZ,4,FALSE)+SUM(_xlfn.XLOOKUP($S110:$AG110,增益!$A:$A,增益!$D:$D,0))-$I$2</f>
        <v>3888.382</v>
      </c>
      <c r="AQ110" s="33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0.267</v>
      </c>
      <c r="AR110" s="33" cm="1">
        <f t="array" ref="AR110">$G$10+VLOOKUP($R110,武学奇术!$A:$ZZ,7,FALSE)+SUM(_xlfn.XLOOKUP(S110:AG110,增益!$A:$A,增益!$G:$G,0))</f>
        <v>0.09</v>
      </c>
      <c r="AS110" s="27" cm="1">
        <f t="array" ref="AS110">VLOOKUP($R110,武学奇术!$A:$ZZ,8,FALSE)+SUM(_xlfn.XLOOKUP(S110:AG110,增益!$A:$A,增益!$H:$H,0))</f>
        <v>0</v>
      </c>
      <c r="AT110">
        <f t="shared" si="34"/>
        <v>0</v>
      </c>
      <c r="AU110">
        <f t="shared" si="35"/>
        <v>0</v>
      </c>
      <c r="AV110" s="33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-0.3</v>
      </c>
      <c r="AW110" s="33" cm="1">
        <f t="array" ref="AW110">$G$11+VLOOKUP($R110,武学奇术!$A:$ZZ,10,FALSE)+SUM(_xlfn.XLOOKUP(S110:AG110,增益!$A:$A,增益!$J:$J,0))</f>
        <v>0</v>
      </c>
      <c r="AX110">
        <f t="shared" si="36"/>
        <v>0</v>
      </c>
      <c r="AY110">
        <f t="shared" si="37"/>
        <v>0</v>
      </c>
      <c r="AZ110" s="33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33" cm="1">
        <f t="array" ref="BA110">$G$12+VLOOKUP($R110,武学奇术!$A:$ZZ,12,FALSE)+SUM(_xlfn.XLOOKUP(S110:AG110,增益!$A:$A,增益!$L:$L,0))</f>
        <v>0</v>
      </c>
      <c r="BB110">
        <f t="shared" si="38"/>
        <v>0</v>
      </c>
      <c r="BC110">
        <f t="shared" si="39"/>
        <v>0</v>
      </c>
      <c r="BD110" s="33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33" cm="1">
        <f t="array" ref="BE110">$G$13+VLOOKUP($R110,武学奇术!$A:$ZZ,14,FALSE)+SUM(_xlfn.XLOOKUP(S110:AG110,增益!$A:$A,增益!$N:$N,0))</f>
        <v>0</v>
      </c>
      <c r="BF110">
        <f t="shared" si="40"/>
        <v>605.472</v>
      </c>
      <c r="BG110">
        <f t="shared" si="41"/>
        <v>1725.468</v>
      </c>
      <c r="BH110" s="33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0</v>
      </c>
      <c r="BI110" s="33" cm="1">
        <f t="array" ref="BI110">$G$14+VLOOKUP($R110,武学奇术!$A:$ZZ,16,FALSE)+SUM(_xlfn.XLOOKUP(S110:AG110,增益!$A:$A,增益!$P:$P,0))</f>
        <v>0.24</v>
      </c>
      <c r="BJ110" s="27">
        <f>MIN(IF(VLOOKUP($R110,武学奇术!$A:$ZZ,23,FALSE)=1,100%,$B$8),100%)</f>
        <v>1</v>
      </c>
      <c r="BK110" s="27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+MIN(IF(VLOOKUP($R110,武学奇术!$A:$ZZ,32,FALSE)=1,IF(VLOOKUP($R110,武学奇术!$A:$ZZ,24,FALSE)=1,100%,MIN(40%,$B$10+VLOOKUP($R110,武学奇术!$A:$ZZ,19,FALSE)+SUM(_xlfn.XLOOKUP(S110:AG110,增益!$A:$A,增益!$S:$S,0)))+$B$12+SUM(_xlfn.XLOOKUP(S110:AG110,增益!$A:$A,增益!$V:$V,0))),0),12%)</f>
        <v>0.9036</v>
      </c>
      <c r="BL110" s="27" cm="1">
        <f t="array" ref="BL110">1+$B$13+VLOOKUP($R110,武学奇术!$A:$ZZ,18,FALSE)+SUM(_xlfn.XLOOKUP(S110:AG110,增益!$A:$A,增益!$R:$R,0))</f>
        <v>1.54</v>
      </c>
      <c r="BM110" s="27" cm="1">
        <f t="array" ref="BM110">MAX(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-IF(VLOOKUP($R110,武学奇术!$A:$ZZ,32,FALSE)=1,12%,0),0)</f>
        <v>0.0929</v>
      </c>
      <c r="BN110" s="27" cm="1">
        <f t="array" ref="BN110">1+$B$14+VLOOKUP($R110,武学奇术!$A:$ZZ,20,FALSE)+SUM(_xlfn.XLOOKUP(S110:AG110,增益!$A:$A,增益!$T:$T,0))</f>
        <v>1.35</v>
      </c>
      <c r="BO110" s="27">
        <f t="shared" si="31"/>
        <v>0.9036</v>
      </c>
      <c r="BP110" s="27">
        <f t="shared" si="32"/>
        <v>0.00350000000000006</v>
      </c>
      <c r="BQ110" s="27">
        <f>IF(VLOOKUP($R110,武学奇术!$A:$ZZ,22,FALSE)=1,0,(1-$BJ110))*(1-$BM110)</f>
        <v>0</v>
      </c>
      <c r="BR110" s="27" cm="1">
        <f t="array" ref="BR110">SUM(_xlfn.XLOOKUP(S110:AG110,增益!$A:$A,增益!$W:$W,0))+$I$5</f>
        <v>0.11</v>
      </c>
    </row>
    <row r="111" spans="1:70">
      <c r="A111" s="4" t="s">
        <v>173</v>
      </c>
      <c r="B111" s="91">
        <v>0.7</v>
      </c>
      <c r="E111" s="40" t="s">
        <v>172</v>
      </c>
      <c r="F111" s="40"/>
      <c r="G111" s="40"/>
      <c r="K111">
        <f>$L111*VLOOKUP($R111,武学奇术!$A:$ZZ,31,FALSE)</f>
        <v>0</v>
      </c>
      <c r="L111" s="39">
        <f t="shared" si="33"/>
        <v>0</v>
      </c>
      <c r="M111" s="39">
        <f>((($AO111+($AP111-$AO111)*IF(VLOOKUP($R111,武学奇术!$A:$ZZ,31,FALSE)=1,$F$18,0.5))*$AI111+$AJ111)*(1+$AQ111)*(1+$AR111)+(($AT111+($AU111-$AT111)*IF(VLOOKUP($R111,武学奇术!$A:$ZZ,31,FALSE)=1,$F$18,0.5))*IF($G$1="鸣金",$AK111,$AI111)+IF($G$1="鸣金",$AL111*1.5,0))*(1+$AV111)*(1+$AW111)+(($AX111+($AY111-$AX111)*IF(VLOOKUP($R111,武学奇术!$A:$ZZ,31,FALSE)=1,$F$18,0.5))*IF($G$1="裂石",$AK111,$AI111)+IF($G$1="裂石",$AL111*1.5,0))*(1+$AZ111)*(1+$BA111)+(($BB111+($BC111-$BB111)*IF(VLOOKUP($R111,武学奇术!$A:$ZZ,31,FALSE)=1,$F$18,0.5))*IF($G$1="牵丝",$AK111,$AI111)+IF($G$1="牵丝",$AL111*1.5,0))*(1+$BD111)*(1+$BE111)+(($BF111+($BG111-$BF111)*IF(VLOOKUP($R111,武学奇术!$A:$ZZ,31,FALSE)=1,$F$18,0.5))*IF($G$1="破竹",$AK111,$AI111)+IF($G$1="破竹",$AL111*1.5,0))*(1+$BH111)*(1+$BI111))*(1+$AM111)*$BL111*$Q111*(1+IF(VLOOKUP($R111,武学奇术!$A:$ZZ,30,FALSE)="蓄力技",$B$21,0))*(1+$BR111)</f>
        <v>0</v>
      </c>
      <c r="N111" s="39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蓄力技",$B$21,0))*(1+$BR111)</f>
        <v>0</v>
      </c>
      <c r="O111" s="39">
        <f>((($AO111+($AP111-$AO111)*IF(VLOOKUP($R111,武学奇术!$A:$ZZ,31,FALSE)=1,$F$18,0.5))*$AI111+$AJ111)*(1+$AQ111)*(1+$AR111)+(($AT111+($AU111-$AT111)*IF(VLOOKUP($R111,武学奇术!$A:$ZZ,31,FALSE)=1,$F$18,0.5))*IF($G$1="鸣金",$AK111,$AI111)+IF($G$1="鸣金",$AL111*1.5,0))*(1+$AV111)*(1+$AW111)+(($AX111+($AY111-$AX111)*IF(VLOOKUP($R111,武学奇术!$A:$ZZ,31,FALSE)=1,$F$18,0.5))*IF($G$1="裂石",$AK111,$AI111)+IF($G$1="裂石",$AL111*1.5,0))*(1+$AZ111)*(1+$BA111)+(($BB111+($BC111-$BB111)*IF(VLOOKUP($R111,武学奇术!$A:$ZZ,31,FALSE)=1,$F$18,0.5))*IF($G$1="牵丝",$AK111,$AI111)+IF($G$1="牵丝",$AL111*1.5,0))*(1+$BD111)*(1+$BE111)+(($BF111+($BG111-$BF111)*IF(VLOOKUP($R111,武学奇术!$A:$ZZ,31,FALSE)=1,$F$18,0.5))*IF($G$1="破竹",$AK111,$AI111)+IF($G$1="破竹",$AL111*1.5,0))*(1+$BH111)*(1+$BI111))*(1+$AM111)*$Q111*(1+IF(VLOOKUP($R111,武学奇术!$A:$ZZ,30,FALSE)="蓄力技",$B$21,0))*(1+$BR111)</f>
        <v>0</v>
      </c>
      <c r="P111" s="39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蓄力技",$B$21,0))*(1+$BR111)</f>
        <v>0</v>
      </c>
      <c r="Q111" s="40">
        <v>1</v>
      </c>
      <c r="R111" s="41" t="s">
        <v>73</v>
      </c>
      <c r="S111" s="41" t="s">
        <v>73</v>
      </c>
      <c r="T111" s="41" t="s">
        <v>73</v>
      </c>
      <c r="U111" s="41" t="s">
        <v>73</v>
      </c>
      <c r="V111" s="41" t="s">
        <v>73</v>
      </c>
      <c r="W111" s="41" t="s">
        <v>73</v>
      </c>
      <c r="X111" s="41" t="s">
        <v>73</v>
      </c>
      <c r="Y111" s="41" t="s">
        <v>73</v>
      </c>
      <c r="Z111" s="41" t="s">
        <v>73</v>
      </c>
      <c r="AA111" s="41" t="s">
        <v>73</v>
      </c>
      <c r="AB111" s="41" t="s">
        <v>73</v>
      </c>
      <c r="AC111" s="41" t="s">
        <v>73</v>
      </c>
      <c r="AD111" s="41" t="s">
        <v>73</v>
      </c>
      <c r="AE111" s="41" t="s">
        <v>76</v>
      </c>
      <c r="AF111" s="41" t="s">
        <v>77</v>
      </c>
      <c r="AG111" s="41" t="s">
        <v>78</v>
      </c>
      <c r="AH111" t="str">
        <f>VLOOKUP($R111,武学奇术!$A:$ZZ,25,FALSE)</f>
        <v>心法</v>
      </c>
      <c r="AI111" s="27">
        <f>VLOOKUP($R111,武学奇术!$A:$ZZ,26,FALSE)</f>
        <v>0</v>
      </c>
      <c r="AJ111" s="28">
        <f>VLOOKUP($R111,武学奇术!$A:$ZZ,27,FALSE)*(1+IF(OR($AH111=$F$4,$AH111=$F$5),$B$22,0))</f>
        <v>0</v>
      </c>
      <c r="AK111" s="27">
        <f>VLOOKUP($R111,武学奇术!$A:$ZZ,28,FALSE)</f>
        <v>0</v>
      </c>
      <c r="AL111" s="28">
        <f>VLOOKUP($R111,武学奇术!$A:$ZZ,29,FALSE)*(1+IF(OR($AH111=$F$4,$AH111=$F$5),$B$22,0))</f>
        <v>0</v>
      </c>
      <c r="AM111" s="27" cm="1">
        <f t="array" ref="AM111">$G$3+IFERROR(VLOOKUP($AH111,$F$4:$G$7,2,FALSE),0)+VLOOKUP($R111,武学奇术!$A:$ZZ,2,FALSE)+SUM(_xlfn.XLOOKUP($S111:$AG111,增益!$A:$A,增益!$B:$B,0))</f>
        <v>0.1837</v>
      </c>
      <c r="AN111" s="27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3888.382</v>
      </c>
      <c r="AP111" cm="1">
        <f t="array" ref="AP111">$E$10*(1+$AN111)+VLOOKUP($R111,武学奇术!$A:$ZZ,4,FALSE)+SUM(_xlfn.XLOOKUP($S111:$AG111,增益!$A:$A,增益!$D:$D,0))-$I$2</f>
        <v>3888.382</v>
      </c>
      <c r="AQ111" s="33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0.267</v>
      </c>
      <c r="AR111" s="33" cm="1">
        <f t="array" ref="AR111">$G$10+VLOOKUP($R111,武学奇术!$A:$ZZ,7,FALSE)+SUM(_xlfn.XLOOKUP(S111:AG111,增益!$A:$A,增益!$G:$G,0))</f>
        <v>0.09</v>
      </c>
      <c r="AS111" s="27" cm="1">
        <f t="array" ref="AS111">VLOOKUP($R111,武学奇术!$A:$ZZ,8,FALSE)+SUM(_xlfn.XLOOKUP(S111:AG111,增益!$A:$A,增益!$H:$H,0))</f>
        <v>0</v>
      </c>
      <c r="AT111">
        <f t="shared" si="34"/>
        <v>0</v>
      </c>
      <c r="AU111">
        <f t="shared" si="35"/>
        <v>0</v>
      </c>
      <c r="AV111" s="33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-0.3</v>
      </c>
      <c r="AW111" s="33" cm="1">
        <f t="array" ref="AW111">$G$11+VLOOKUP($R111,武学奇术!$A:$ZZ,10,FALSE)+SUM(_xlfn.XLOOKUP(S111:AG111,增益!$A:$A,增益!$J:$J,0))</f>
        <v>0</v>
      </c>
      <c r="AX111">
        <f t="shared" si="36"/>
        <v>0</v>
      </c>
      <c r="AY111">
        <f t="shared" si="37"/>
        <v>0</v>
      </c>
      <c r="AZ111" s="33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33" cm="1">
        <f t="array" ref="BA111">$G$12+VLOOKUP($R111,武学奇术!$A:$ZZ,12,FALSE)+SUM(_xlfn.XLOOKUP(S111:AG111,增益!$A:$A,增益!$L:$L,0))</f>
        <v>0</v>
      </c>
      <c r="BB111">
        <f t="shared" si="38"/>
        <v>0</v>
      </c>
      <c r="BC111">
        <f t="shared" si="39"/>
        <v>0</v>
      </c>
      <c r="BD111" s="33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33" cm="1">
        <f t="array" ref="BE111">$G$13+VLOOKUP($R111,武学奇术!$A:$ZZ,14,FALSE)+SUM(_xlfn.XLOOKUP(S111:AG111,增益!$A:$A,增益!$N:$N,0))</f>
        <v>0</v>
      </c>
      <c r="BF111">
        <f t="shared" si="40"/>
        <v>605.472</v>
      </c>
      <c r="BG111">
        <f t="shared" si="41"/>
        <v>1725.468</v>
      </c>
      <c r="BH111" s="33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0</v>
      </c>
      <c r="BI111" s="33" cm="1">
        <f t="array" ref="BI111">$G$14+VLOOKUP($R111,武学奇术!$A:$ZZ,16,FALSE)+SUM(_xlfn.XLOOKUP(S111:AG111,增益!$A:$A,增益!$P:$P,0))</f>
        <v>0.24</v>
      </c>
      <c r="BJ111" s="27">
        <f>MIN(IF(VLOOKUP($R111,武学奇术!$A:$ZZ,23,FALSE)=1,100%,$B$8),100%)</f>
        <v>1</v>
      </c>
      <c r="BK111" s="27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+MIN(IF(VLOOKUP($R111,武学奇术!$A:$ZZ,32,FALSE)=1,IF(VLOOKUP($R111,武学奇术!$A:$ZZ,24,FALSE)=1,100%,MIN(40%,$B$10+VLOOKUP($R111,武学奇术!$A:$ZZ,19,FALSE)+SUM(_xlfn.XLOOKUP(S111:AG111,增益!$A:$A,增益!$S:$S,0)))+$B$12+SUM(_xlfn.XLOOKUP(S111:AG111,增益!$A:$A,增益!$V:$V,0))),0),12%)</f>
        <v>0.9036</v>
      </c>
      <c r="BL111" s="27" cm="1">
        <f t="array" ref="BL111">1+$B$13+VLOOKUP($R111,武学奇术!$A:$ZZ,18,FALSE)+SUM(_xlfn.XLOOKUP(S111:AG111,增益!$A:$A,增益!$R:$R,0))</f>
        <v>1.54</v>
      </c>
      <c r="BM111" s="27" cm="1">
        <f t="array" ref="BM111">MAX(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-IF(VLOOKUP($R111,武学奇术!$A:$ZZ,32,FALSE)=1,12%,0),0)</f>
        <v>0.0929</v>
      </c>
      <c r="BN111" s="27" cm="1">
        <f t="array" ref="BN111">1+$B$14+VLOOKUP($R111,武学奇术!$A:$ZZ,20,FALSE)+SUM(_xlfn.XLOOKUP(S111:AG111,增益!$A:$A,增益!$T:$T,0))</f>
        <v>1.35</v>
      </c>
      <c r="BO111" s="27">
        <f t="shared" si="31"/>
        <v>0.9036</v>
      </c>
      <c r="BP111" s="27">
        <f t="shared" si="32"/>
        <v>0.00350000000000006</v>
      </c>
      <c r="BQ111" s="27">
        <f>IF(VLOOKUP($R111,武学奇术!$A:$ZZ,22,FALSE)=1,0,(1-$BJ111))*(1-$BM111)</f>
        <v>0</v>
      </c>
      <c r="BR111" s="27" cm="1">
        <f t="array" ref="BR111">SUM(_xlfn.XLOOKUP(S111:AG111,增益!$A:$A,增益!$W:$W,0))+$I$5</f>
        <v>0.11</v>
      </c>
    </row>
    <row r="112" spans="1:70">
      <c r="A112" s="4" t="s">
        <v>174</v>
      </c>
      <c r="B112" s="4">
        <v>0.8</v>
      </c>
      <c r="E112" s="40"/>
      <c r="F112" s="40"/>
      <c r="G112" s="40"/>
      <c r="K112">
        <f>$L112*VLOOKUP($R112,武学奇术!$A:$ZZ,31,FALSE)</f>
        <v>0</v>
      </c>
      <c r="L112" s="39">
        <f t="shared" si="33"/>
        <v>0</v>
      </c>
      <c r="M112" s="39">
        <f>((($AO112+($AP112-$AO112)*IF(VLOOKUP($R112,武学奇术!$A:$ZZ,31,FALSE)=1,$F$18,0.5))*$AI112+$AJ112)*(1+$AQ112)*(1+$AR112)+(($AT112+($AU112-$AT112)*IF(VLOOKUP($R112,武学奇术!$A:$ZZ,31,FALSE)=1,$F$18,0.5))*IF($G$1="鸣金",$AK112,$AI112)+IF($G$1="鸣金",$AL112*1.5,0))*(1+$AV112)*(1+$AW112)+(($AX112+($AY112-$AX112)*IF(VLOOKUP($R112,武学奇术!$A:$ZZ,31,FALSE)=1,$F$18,0.5))*IF($G$1="裂石",$AK112,$AI112)+IF($G$1="裂石",$AL112*1.5,0))*(1+$AZ112)*(1+$BA112)+(($BB112+($BC112-$BB112)*IF(VLOOKUP($R112,武学奇术!$A:$ZZ,31,FALSE)=1,$F$18,0.5))*IF($G$1="牵丝",$AK112,$AI112)+IF($G$1="牵丝",$AL112*1.5,0))*(1+$BD112)*(1+$BE112)+(($BF112+($BG112-$BF112)*IF(VLOOKUP($R112,武学奇术!$A:$ZZ,31,FALSE)=1,$F$18,0.5))*IF($G$1="破竹",$AK112,$AI112)+IF($G$1="破竹",$AL112*1.5,0))*(1+$BH112)*(1+$BI112))*(1+$AM112)*$BL112*$Q112*(1+IF(VLOOKUP($R112,武学奇术!$A:$ZZ,30,FALSE)="蓄力技",$B$21,0))*(1+$BR112)</f>
        <v>0</v>
      </c>
      <c r="N112" s="39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蓄力技",$B$21,0))*(1+$BR112)</f>
        <v>0</v>
      </c>
      <c r="O112" s="39">
        <f>((($AO112+($AP112-$AO112)*IF(VLOOKUP($R112,武学奇术!$A:$ZZ,31,FALSE)=1,$F$18,0.5))*$AI112+$AJ112)*(1+$AQ112)*(1+$AR112)+(($AT112+($AU112-$AT112)*IF(VLOOKUP($R112,武学奇术!$A:$ZZ,31,FALSE)=1,$F$18,0.5))*IF($G$1="鸣金",$AK112,$AI112)+IF($G$1="鸣金",$AL112*1.5,0))*(1+$AV112)*(1+$AW112)+(($AX112+($AY112-$AX112)*IF(VLOOKUP($R112,武学奇术!$A:$ZZ,31,FALSE)=1,$F$18,0.5))*IF($G$1="裂石",$AK112,$AI112)+IF($G$1="裂石",$AL112*1.5,0))*(1+$AZ112)*(1+$BA112)+(($BB112+($BC112-$BB112)*IF(VLOOKUP($R112,武学奇术!$A:$ZZ,31,FALSE)=1,$F$18,0.5))*IF($G$1="牵丝",$AK112,$AI112)+IF($G$1="牵丝",$AL112*1.5,0))*(1+$BD112)*(1+$BE112)+(($BF112+($BG112-$BF112)*IF(VLOOKUP($R112,武学奇术!$A:$ZZ,31,FALSE)=1,$F$18,0.5))*IF($G$1="破竹",$AK112,$AI112)+IF($G$1="破竹",$AL112*1.5,0))*(1+$BH112)*(1+$BI112))*(1+$AM112)*$Q112*(1+IF(VLOOKUP($R112,武学奇术!$A:$ZZ,30,FALSE)="蓄力技",$B$21,0))*(1+$BR112)</f>
        <v>0</v>
      </c>
      <c r="P112" s="39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蓄力技",$B$21,0))*(1+$BR112)</f>
        <v>0</v>
      </c>
      <c r="Q112" s="40">
        <v>1</v>
      </c>
      <c r="R112" s="41" t="s">
        <v>73</v>
      </c>
      <c r="S112" s="41" t="s">
        <v>73</v>
      </c>
      <c r="T112" s="41" t="s">
        <v>73</v>
      </c>
      <c r="U112" s="41" t="s">
        <v>73</v>
      </c>
      <c r="V112" s="41" t="s">
        <v>73</v>
      </c>
      <c r="W112" s="41" t="s">
        <v>73</v>
      </c>
      <c r="X112" s="41" t="s">
        <v>73</v>
      </c>
      <c r="Y112" s="41" t="s">
        <v>73</v>
      </c>
      <c r="Z112" s="41" t="s">
        <v>73</v>
      </c>
      <c r="AA112" s="41" t="s">
        <v>73</v>
      </c>
      <c r="AB112" s="41" t="s">
        <v>73</v>
      </c>
      <c r="AC112" s="41" t="s">
        <v>73</v>
      </c>
      <c r="AD112" s="41" t="s">
        <v>73</v>
      </c>
      <c r="AE112" s="41" t="s">
        <v>76</v>
      </c>
      <c r="AF112" s="41" t="s">
        <v>77</v>
      </c>
      <c r="AG112" s="41" t="s">
        <v>78</v>
      </c>
      <c r="AH112" t="str">
        <f>VLOOKUP($R112,武学奇术!$A:$ZZ,25,FALSE)</f>
        <v>心法</v>
      </c>
      <c r="AI112" s="27">
        <f>VLOOKUP($R112,武学奇术!$A:$ZZ,26,FALSE)</f>
        <v>0</v>
      </c>
      <c r="AJ112" s="28">
        <f>VLOOKUP($R112,武学奇术!$A:$ZZ,27,FALSE)*(1+IF(OR($AH112=$F$4,$AH112=$F$5),$B$22,0))</f>
        <v>0</v>
      </c>
      <c r="AK112" s="27">
        <f>VLOOKUP($R112,武学奇术!$A:$ZZ,28,FALSE)</f>
        <v>0</v>
      </c>
      <c r="AL112" s="28">
        <f>VLOOKUP($R112,武学奇术!$A:$ZZ,29,FALSE)*(1+IF(OR($AH112=$F$4,$AH112=$F$5),$B$22,0))</f>
        <v>0</v>
      </c>
      <c r="AM112" s="27" cm="1">
        <f t="array" ref="AM112">$G$3+IFERROR(VLOOKUP($AH112,$F$4:$G$7,2,FALSE),0)+VLOOKUP($R112,武学奇术!$A:$ZZ,2,FALSE)+SUM(_xlfn.XLOOKUP($S112:$AG112,增益!$A:$A,增益!$B:$B,0))</f>
        <v>0.1837</v>
      </c>
      <c r="AN112" s="27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3888.382</v>
      </c>
      <c r="AP112" cm="1">
        <f t="array" ref="AP112">$E$10*(1+$AN112)+VLOOKUP($R112,武学奇术!$A:$ZZ,4,FALSE)+SUM(_xlfn.XLOOKUP($S112:$AG112,增益!$A:$A,增益!$D:$D,0))-$I$2</f>
        <v>3888.382</v>
      </c>
      <c r="AQ112" s="33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0.267</v>
      </c>
      <c r="AR112" s="33" cm="1">
        <f t="array" ref="AR112">$G$10+VLOOKUP($R112,武学奇术!$A:$ZZ,7,FALSE)+SUM(_xlfn.XLOOKUP(S112:AG112,增益!$A:$A,增益!$G:$G,0))</f>
        <v>0.09</v>
      </c>
      <c r="AS112" s="27" cm="1">
        <f t="array" ref="AS112">VLOOKUP($R112,武学奇术!$A:$ZZ,8,FALSE)+SUM(_xlfn.XLOOKUP(S112:AG112,增益!$A:$A,增益!$H:$H,0))</f>
        <v>0</v>
      </c>
      <c r="AT112">
        <f t="shared" si="34"/>
        <v>0</v>
      </c>
      <c r="AU112">
        <f t="shared" si="35"/>
        <v>0</v>
      </c>
      <c r="AV112" s="33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-0.3</v>
      </c>
      <c r="AW112" s="33" cm="1">
        <f t="array" ref="AW112">$G$11+VLOOKUP($R112,武学奇术!$A:$ZZ,10,FALSE)+SUM(_xlfn.XLOOKUP(S112:AG112,增益!$A:$A,增益!$J:$J,0))</f>
        <v>0</v>
      </c>
      <c r="AX112">
        <f t="shared" si="36"/>
        <v>0</v>
      </c>
      <c r="AY112">
        <f t="shared" si="37"/>
        <v>0</v>
      </c>
      <c r="AZ112" s="33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33" cm="1">
        <f t="array" ref="BA112">$G$12+VLOOKUP($R112,武学奇术!$A:$ZZ,12,FALSE)+SUM(_xlfn.XLOOKUP(S112:AG112,增益!$A:$A,增益!$L:$L,0))</f>
        <v>0</v>
      </c>
      <c r="BB112">
        <f t="shared" si="38"/>
        <v>0</v>
      </c>
      <c r="BC112">
        <f t="shared" si="39"/>
        <v>0</v>
      </c>
      <c r="BD112" s="33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33" cm="1">
        <f t="array" ref="BE112">$G$13+VLOOKUP($R112,武学奇术!$A:$ZZ,14,FALSE)+SUM(_xlfn.XLOOKUP(S112:AG112,增益!$A:$A,增益!$N:$N,0))</f>
        <v>0</v>
      </c>
      <c r="BF112">
        <f t="shared" si="40"/>
        <v>605.472</v>
      </c>
      <c r="BG112">
        <f t="shared" si="41"/>
        <v>1725.468</v>
      </c>
      <c r="BH112" s="33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0</v>
      </c>
      <c r="BI112" s="33" cm="1">
        <f t="array" ref="BI112">$G$14+VLOOKUP($R112,武学奇术!$A:$ZZ,16,FALSE)+SUM(_xlfn.XLOOKUP(S112:AG112,增益!$A:$A,增益!$P:$P,0))</f>
        <v>0.24</v>
      </c>
      <c r="BJ112" s="27">
        <f>MIN(IF(VLOOKUP($R112,武学奇术!$A:$ZZ,23,FALSE)=1,100%,$B$8),100%)</f>
        <v>1</v>
      </c>
      <c r="BK112" s="27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+MIN(IF(VLOOKUP($R112,武学奇术!$A:$ZZ,32,FALSE)=1,IF(VLOOKUP($R112,武学奇术!$A:$ZZ,24,FALSE)=1,100%,MIN(40%,$B$10+VLOOKUP($R112,武学奇术!$A:$ZZ,19,FALSE)+SUM(_xlfn.XLOOKUP(S112:AG112,增益!$A:$A,增益!$S:$S,0)))+$B$12+SUM(_xlfn.XLOOKUP(S112:AG112,增益!$A:$A,增益!$V:$V,0))),0),12%)</f>
        <v>0.9036</v>
      </c>
      <c r="BL112" s="27" cm="1">
        <f t="array" ref="BL112">1+$B$13+VLOOKUP($R112,武学奇术!$A:$ZZ,18,FALSE)+SUM(_xlfn.XLOOKUP(S112:AG112,增益!$A:$A,增益!$R:$R,0))</f>
        <v>1.54</v>
      </c>
      <c r="BM112" s="27" cm="1">
        <f t="array" ref="BM112">MAX(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-IF(VLOOKUP($R112,武学奇术!$A:$ZZ,32,FALSE)=1,12%,0),0)</f>
        <v>0.0929</v>
      </c>
      <c r="BN112" s="27" cm="1">
        <f t="array" ref="BN112">1+$B$14+VLOOKUP($R112,武学奇术!$A:$ZZ,20,FALSE)+SUM(_xlfn.XLOOKUP(S112:AG112,增益!$A:$A,增益!$T:$T,0))</f>
        <v>1.35</v>
      </c>
      <c r="BO112" s="27">
        <f t="shared" si="31"/>
        <v>0.9036</v>
      </c>
      <c r="BP112" s="27">
        <f t="shared" si="32"/>
        <v>0.00350000000000006</v>
      </c>
      <c r="BQ112" s="27">
        <f>IF(VLOOKUP($R112,武学奇术!$A:$ZZ,22,FALSE)=1,0,(1-$BJ112))*(1-$BM112)</f>
        <v>0</v>
      </c>
      <c r="BR112" s="27" cm="1">
        <f t="array" ref="BR112">SUM(_xlfn.XLOOKUP(S112:AG112,增益!$A:$A,增益!$W:$W,0))+$I$5</f>
        <v>0.11</v>
      </c>
    </row>
    <row r="113" spans="1:70">
      <c r="A113" s="4" t="s">
        <v>175</v>
      </c>
      <c r="B113" s="4">
        <v>2.15</v>
      </c>
      <c r="E113" s="40"/>
      <c r="F113" s="40"/>
      <c r="G113" s="40"/>
      <c r="K113">
        <f>$L113*VLOOKUP($R113,武学奇术!$A:$ZZ,31,FALSE)</f>
        <v>0</v>
      </c>
      <c r="L113" s="39">
        <f t="shared" si="33"/>
        <v>0</v>
      </c>
      <c r="M113" s="39">
        <f>((($AO113+($AP113-$AO113)*IF(VLOOKUP($R113,武学奇术!$A:$ZZ,31,FALSE)=1,$F$18,0.5))*$AI113+$AJ113)*(1+$AQ113)*(1+$AR113)+(($AT113+($AU113-$AT113)*IF(VLOOKUP($R113,武学奇术!$A:$ZZ,31,FALSE)=1,$F$18,0.5))*IF($G$1="鸣金",$AK113,$AI113)+IF($G$1="鸣金",$AL113*1.5,0))*(1+$AV113)*(1+$AW113)+(($AX113+($AY113-$AX113)*IF(VLOOKUP($R113,武学奇术!$A:$ZZ,31,FALSE)=1,$F$18,0.5))*IF($G$1="裂石",$AK113,$AI113)+IF($G$1="裂石",$AL113*1.5,0))*(1+$AZ113)*(1+$BA113)+(($BB113+($BC113-$BB113)*IF(VLOOKUP($R113,武学奇术!$A:$ZZ,31,FALSE)=1,$F$18,0.5))*IF($G$1="牵丝",$AK113,$AI113)+IF($G$1="牵丝",$AL113*1.5,0))*(1+$BD113)*(1+$BE113)+(($BF113+($BG113-$BF113)*IF(VLOOKUP($R113,武学奇术!$A:$ZZ,31,FALSE)=1,$F$18,0.5))*IF($G$1="破竹",$AK113,$AI113)+IF($G$1="破竹",$AL113*1.5,0))*(1+$BH113)*(1+$BI113))*(1+$AM113)*$BL113*$Q113*(1+IF(VLOOKUP($R113,武学奇术!$A:$ZZ,30,FALSE)="蓄力技",$B$21,0))*(1+$BR113)</f>
        <v>0</v>
      </c>
      <c r="N113" s="39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蓄力技",$B$21,0))*(1+$BR113)</f>
        <v>0</v>
      </c>
      <c r="O113" s="39">
        <f>((($AO113+($AP113-$AO113)*IF(VLOOKUP($R113,武学奇术!$A:$ZZ,31,FALSE)=1,$F$18,0.5))*$AI113+$AJ113)*(1+$AQ113)*(1+$AR113)+(($AT113+($AU113-$AT113)*IF(VLOOKUP($R113,武学奇术!$A:$ZZ,31,FALSE)=1,$F$18,0.5))*IF($G$1="鸣金",$AK113,$AI113)+IF($G$1="鸣金",$AL113*1.5,0))*(1+$AV113)*(1+$AW113)+(($AX113+($AY113-$AX113)*IF(VLOOKUP($R113,武学奇术!$A:$ZZ,31,FALSE)=1,$F$18,0.5))*IF($G$1="裂石",$AK113,$AI113)+IF($G$1="裂石",$AL113*1.5,0))*(1+$AZ113)*(1+$BA113)+(($BB113+($BC113-$BB113)*IF(VLOOKUP($R113,武学奇术!$A:$ZZ,31,FALSE)=1,$F$18,0.5))*IF($G$1="牵丝",$AK113,$AI113)+IF($G$1="牵丝",$AL113*1.5,0))*(1+$BD113)*(1+$BE113)+(($BF113+($BG113-$BF113)*IF(VLOOKUP($R113,武学奇术!$A:$ZZ,31,FALSE)=1,$F$18,0.5))*IF($G$1="破竹",$AK113,$AI113)+IF($G$1="破竹",$AL113*1.5,0))*(1+$BH113)*(1+$BI113))*(1+$AM113)*$Q113*(1+IF(VLOOKUP($R113,武学奇术!$A:$ZZ,30,FALSE)="蓄力技",$B$21,0))*(1+$BR113)</f>
        <v>0</v>
      </c>
      <c r="P113" s="39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蓄力技",$B$21,0))*(1+$BR113)</f>
        <v>0</v>
      </c>
      <c r="Q113" s="40">
        <v>1</v>
      </c>
      <c r="R113" s="41" t="s">
        <v>73</v>
      </c>
      <c r="S113" s="41" t="s">
        <v>73</v>
      </c>
      <c r="T113" s="41" t="s">
        <v>73</v>
      </c>
      <c r="U113" s="41" t="s">
        <v>73</v>
      </c>
      <c r="V113" s="41" t="s">
        <v>73</v>
      </c>
      <c r="W113" s="41" t="s">
        <v>73</v>
      </c>
      <c r="X113" s="41" t="s">
        <v>73</v>
      </c>
      <c r="Y113" s="41" t="s">
        <v>73</v>
      </c>
      <c r="Z113" s="41" t="s">
        <v>73</v>
      </c>
      <c r="AA113" s="41" t="s">
        <v>73</v>
      </c>
      <c r="AB113" s="41" t="s">
        <v>73</v>
      </c>
      <c r="AC113" s="41" t="s">
        <v>73</v>
      </c>
      <c r="AD113" s="41" t="s">
        <v>73</v>
      </c>
      <c r="AE113" s="41" t="s">
        <v>76</v>
      </c>
      <c r="AF113" s="41" t="s">
        <v>77</v>
      </c>
      <c r="AG113" s="41" t="s">
        <v>78</v>
      </c>
      <c r="AH113" t="str">
        <f>VLOOKUP($R113,武学奇术!$A:$ZZ,25,FALSE)</f>
        <v>心法</v>
      </c>
      <c r="AI113" s="27">
        <f>VLOOKUP($R113,武学奇术!$A:$ZZ,26,FALSE)</f>
        <v>0</v>
      </c>
      <c r="AJ113" s="28">
        <f>VLOOKUP($R113,武学奇术!$A:$ZZ,27,FALSE)*(1+IF(OR($AH113=$F$4,$AH113=$F$5),$B$22,0))</f>
        <v>0</v>
      </c>
      <c r="AK113" s="27">
        <f>VLOOKUP($R113,武学奇术!$A:$ZZ,28,FALSE)</f>
        <v>0</v>
      </c>
      <c r="AL113" s="28">
        <f>VLOOKUP($R113,武学奇术!$A:$ZZ,29,FALSE)*(1+IF(OR($AH113=$F$4,$AH113=$F$5),$B$22,0))</f>
        <v>0</v>
      </c>
      <c r="AM113" s="27" cm="1">
        <f t="array" ref="AM113">$G$3+IFERROR(VLOOKUP($AH113,$F$4:$G$7,2,FALSE),0)+VLOOKUP($R113,武学奇术!$A:$ZZ,2,FALSE)+SUM(_xlfn.XLOOKUP($S113:$AG113,增益!$A:$A,增益!$B:$B,0))</f>
        <v>0.1837</v>
      </c>
      <c r="AN113" s="27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3888.382</v>
      </c>
      <c r="AP113" cm="1">
        <f t="array" ref="AP113">$E$10*(1+$AN113)+VLOOKUP($R113,武学奇术!$A:$ZZ,4,FALSE)+SUM(_xlfn.XLOOKUP($S113:$AG113,增益!$A:$A,增益!$D:$D,0))-$I$2</f>
        <v>3888.382</v>
      </c>
      <c r="AQ113" s="33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0.267</v>
      </c>
      <c r="AR113" s="33" cm="1">
        <f t="array" ref="AR113">$G$10+VLOOKUP($R113,武学奇术!$A:$ZZ,7,FALSE)+SUM(_xlfn.XLOOKUP(S113:AG113,增益!$A:$A,增益!$G:$G,0))</f>
        <v>0.09</v>
      </c>
      <c r="AS113" s="27" cm="1">
        <f t="array" ref="AS113">VLOOKUP($R113,武学奇术!$A:$ZZ,8,FALSE)+SUM(_xlfn.XLOOKUP(S113:AG113,增益!$A:$A,增益!$H:$H,0))</f>
        <v>0</v>
      </c>
      <c r="AT113">
        <f t="shared" si="34"/>
        <v>0</v>
      </c>
      <c r="AU113">
        <f t="shared" si="35"/>
        <v>0</v>
      </c>
      <c r="AV113" s="33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-0.3</v>
      </c>
      <c r="AW113" s="33" cm="1">
        <f t="array" ref="AW113">$G$11+VLOOKUP($R113,武学奇术!$A:$ZZ,10,FALSE)+SUM(_xlfn.XLOOKUP(S113:AG113,增益!$A:$A,增益!$J:$J,0))</f>
        <v>0</v>
      </c>
      <c r="AX113">
        <f t="shared" si="36"/>
        <v>0</v>
      </c>
      <c r="AY113">
        <f t="shared" si="37"/>
        <v>0</v>
      </c>
      <c r="AZ113" s="33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33" cm="1">
        <f t="array" ref="BA113">$G$12+VLOOKUP($R113,武学奇术!$A:$ZZ,12,FALSE)+SUM(_xlfn.XLOOKUP(S113:AG113,增益!$A:$A,增益!$L:$L,0))</f>
        <v>0</v>
      </c>
      <c r="BB113">
        <f t="shared" si="38"/>
        <v>0</v>
      </c>
      <c r="BC113">
        <f t="shared" si="39"/>
        <v>0</v>
      </c>
      <c r="BD113" s="33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33" cm="1">
        <f t="array" ref="BE113">$G$13+VLOOKUP($R113,武学奇术!$A:$ZZ,14,FALSE)+SUM(_xlfn.XLOOKUP(S113:AG113,增益!$A:$A,增益!$N:$N,0))</f>
        <v>0</v>
      </c>
      <c r="BF113">
        <f t="shared" si="40"/>
        <v>605.472</v>
      </c>
      <c r="BG113">
        <f t="shared" si="41"/>
        <v>1725.468</v>
      </c>
      <c r="BH113" s="33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0</v>
      </c>
      <c r="BI113" s="33" cm="1">
        <f t="array" ref="BI113">$G$14+VLOOKUP($R113,武学奇术!$A:$ZZ,16,FALSE)+SUM(_xlfn.XLOOKUP(S113:AG113,增益!$A:$A,增益!$P:$P,0))</f>
        <v>0.24</v>
      </c>
      <c r="BJ113" s="27">
        <f>MIN(IF(VLOOKUP($R113,武学奇术!$A:$ZZ,23,FALSE)=1,100%,$B$8),100%)</f>
        <v>1</v>
      </c>
      <c r="BK113" s="27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+MIN(IF(VLOOKUP($R113,武学奇术!$A:$ZZ,32,FALSE)=1,IF(VLOOKUP($R113,武学奇术!$A:$ZZ,24,FALSE)=1,100%,MIN(40%,$B$10+VLOOKUP($R113,武学奇术!$A:$ZZ,19,FALSE)+SUM(_xlfn.XLOOKUP(S113:AG113,增益!$A:$A,增益!$S:$S,0)))+$B$12+SUM(_xlfn.XLOOKUP(S113:AG113,增益!$A:$A,增益!$V:$V,0))),0),12%)</f>
        <v>0.9036</v>
      </c>
      <c r="BL113" s="27" cm="1">
        <f t="array" ref="BL113">1+$B$13+VLOOKUP($R113,武学奇术!$A:$ZZ,18,FALSE)+SUM(_xlfn.XLOOKUP(S113:AG113,增益!$A:$A,增益!$R:$R,0))</f>
        <v>1.54</v>
      </c>
      <c r="BM113" s="27" cm="1">
        <f t="array" ref="BM113">MAX(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-IF(VLOOKUP($R113,武学奇术!$A:$ZZ,32,FALSE)=1,12%,0),0)</f>
        <v>0.0929</v>
      </c>
      <c r="BN113" s="27" cm="1">
        <f t="array" ref="BN113">1+$B$14+VLOOKUP($R113,武学奇术!$A:$ZZ,20,FALSE)+SUM(_xlfn.XLOOKUP(S113:AG113,增益!$A:$A,增益!$T:$T,0))</f>
        <v>1.35</v>
      </c>
      <c r="BO113" s="27">
        <f t="shared" si="31"/>
        <v>0.9036</v>
      </c>
      <c r="BP113" s="27">
        <f t="shared" si="32"/>
        <v>0.00350000000000006</v>
      </c>
      <c r="BQ113" s="27">
        <f>IF(VLOOKUP($R113,武学奇术!$A:$ZZ,22,FALSE)=1,0,(1-$BJ113))*(1-$BM113)</f>
        <v>0</v>
      </c>
      <c r="BR113" s="27" cm="1">
        <f t="array" ref="BR113">SUM(_xlfn.XLOOKUP(S113:AG113,增益!$A:$A,增益!$W:$W,0))+$I$5</f>
        <v>0.11</v>
      </c>
    </row>
    <row r="114" spans="1:70">
      <c r="A114" t="s">
        <v>157</v>
      </c>
      <c r="B114">
        <v>0.9</v>
      </c>
      <c r="E114" s="40"/>
      <c r="F114" s="40"/>
      <c r="G114" s="40"/>
      <c r="K114">
        <f>$L114*VLOOKUP($R114,武学奇术!$A:$ZZ,31,FALSE)</f>
        <v>0</v>
      </c>
      <c r="L114" s="39">
        <f t="shared" si="33"/>
        <v>0</v>
      </c>
      <c r="M114" s="39">
        <f>((($AO114+($AP114-$AO114)*IF(VLOOKUP($R114,武学奇术!$A:$ZZ,31,FALSE)=1,$F$18,0.5))*$AI114+$AJ114)*(1+$AQ114)*(1+$AR114)+(($AT114+($AU114-$AT114)*IF(VLOOKUP($R114,武学奇术!$A:$ZZ,31,FALSE)=1,$F$18,0.5))*IF($G$1="鸣金",$AK114,$AI114)+IF($G$1="鸣金",$AL114*1.5,0))*(1+$AV114)*(1+$AW114)+(($AX114+($AY114-$AX114)*IF(VLOOKUP($R114,武学奇术!$A:$ZZ,31,FALSE)=1,$F$18,0.5))*IF($G$1="裂石",$AK114,$AI114)+IF($G$1="裂石",$AL114*1.5,0))*(1+$AZ114)*(1+$BA114)+(($BB114+($BC114-$BB114)*IF(VLOOKUP($R114,武学奇术!$A:$ZZ,31,FALSE)=1,$F$18,0.5))*IF($G$1="牵丝",$AK114,$AI114)+IF($G$1="牵丝",$AL114*1.5,0))*(1+$BD114)*(1+$BE114)+(($BF114+($BG114-$BF114)*IF(VLOOKUP($R114,武学奇术!$A:$ZZ,31,FALSE)=1,$F$18,0.5))*IF($G$1="破竹",$AK114,$AI114)+IF($G$1="破竹",$AL114*1.5,0))*(1+$BH114)*(1+$BI114))*(1+$AM114)*$BL114*$Q114*(1+IF(VLOOKUP($R114,武学奇术!$A:$ZZ,30,FALSE)="蓄力技",$B$21,0))*(1+$BR114)</f>
        <v>0</v>
      </c>
      <c r="N114" s="39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蓄力技",$B$21,0))*(1+$BR114)</f>
        <v>0</v>
      </c>
      <c r="O114" s="39">
        <f>((($AO114+($AP114-$AO114)*IF(VLOOKUP($R114,武学奇术!$A:$ZZ,31,FALSE)=1,$F$18,0.5))*$AI114+$AJ114)*(1+$AQ114)*(1+$AR114)+(($AT114+($AU114-$AT114)*IF(VLOOKUP($R114,武学奇术!$A:$ZZ,31,FALSE)=1,$F$18,0.5))*IF($G$1="鸣金",$AK114,$AI114)+IF($G$1="鸣金",$AL114*1.5,0))*(1+$AV114)*(1+$AW114)+(($AX114+($AY114-$AX114)*IF(VLOOKUP($R114,武学奇术!$A:$ZZ,31,FALSE)=1,$F$18,0.5))*IF($G$1="裂石",$AK114,$AI114)+IF($G$1="裂石",$AL114*1.5,0))*(1+$AZ114)*(1+$BA114)+(($BB114+($BC114-$BB114)*IF(VLOOKUP($R114,武学奇术!$A:$ZZ,31,FALSE)=1,$F$18,0.5))*IF($G$1="牵丝",$AK114,$AI114)+IF($G$1="牵丝",$AL114*1.5,0))*(1+$BD114)*(1+$BE114)+(($BF114+($BG114-$BF114)*IF(VLOOKUP($R114,武学奇术!$A:$ZZ,31,FALSE)=1,$F$18,0.5))*IF($G$1="破竹",$AK114,$AI114)+IF($G$1="破竹",$AL114*1.5,0))*(1+$BH114)*(1+$BI114))*(1+$AM114)*$Q114*(1+IF(VLOOKUP($R114,武学奇术!$A:$ZZ,30,FALSE)="蓄力技",$B$21,0))*(1+$BR114)</f>
        <v>0</v>
      </c>
      <c r="P114" s="39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蓄力技",$B$21,0))*(1+$BR114)</f>
        <v>0</v>
      </c>
      <c r="Q114" s="40">
        <v>1</v>
      </c>
      <c r="R114" s="41" t="s">
        <v>73</v>
      </c>
      <c r="S114" s="41" t="s">
        <v>73</v>
      </c>
      <c r="T114" s="41" t="s">
        <v>73</v>
      </c>
      <c r="U114" s="41" t="s">
        <v>73</v>
      </c>
      <c r="V114" s="41" t="s">
        <v>73</v>
      </c>
      <c r="W114" s="41" t="s">
        <v>73</v>
      </c>
      <c r="X114" s="41" t="s">
        <v>73</v>
      </c>
      <c r="Y114" s="41" t="s">
        <v>73</v>
      </c>
      <c r="Z114" s="41" t="s">
        <v>73</v>
      </c>
      <c r="AA114" s="41" t="s">
        <v>73</v>
      </c>
      <c r="AB114" s="41" t="s">
        <v>73</v>
      </c>
      <c r="AC114" s="41" t="s">
        <v>73</v>
      </c>
      <c r="AD114" s="41" t="s">
        <v>73</v>
      </c>
      <c r="AE114" s="41" t="s">
        <v>76</v>
      </c>
      <c r="AF114" s="41" t="s">
        <v>77</v>
      </c>
      <c r="AG114" s="41" t="s">
        <v>78</v>
      </c>
      <c r="AH114" t="str">
        <f>VLOOKUP($R114,武学奇术!$A:$ZZ,25,FALSE)</f>
        <v>心法</v>
      </c>
      <c r="AI114" s="27">
        <f>VLOOKUP($R114,武学奇术!$A:$ZZ,26,FALSE)</f>
        <v>0</v>
      </c>
      <c r="AJ114" s="28">
        <f>VLOOKUP($R114,武学奇术!$A:$ZZ,27,FALSE)*(1+IF(OR($AH114=$F$4,$AH114=$F$5),$B$22,0))</f>
        <v>0</v>
      </c>
      <c r="AK114" s="27">
        <f>VLOOKUP($R114,武学奇术!$A:$ZZ,28,FALSE)</f>
        <v>0</v>
      </c>
      <c r="AL114" s="28">
        <f>VLOOKUP($R114,武学奇术!$A:$ZZ,29,FALSE)*(1+IF(OR($AH114=$F$4,$AH114=$F$5),$B$22,0))</f>
        <v>0</v>
      </c>
      <c r="AM114" s="27" cm="1">
        <f t="array" ref="AM114">$G$3+IFERROR(VLOOKUP($AH114,$F$4:$G$7,2,FALSE),0)+VLOOKUP($R114,武学奇术!$A:$ZZ,2,FALSE)+SUM(_xlfn.XLOOKUP($S114:$AG114,增益!$A:$A,增益!$B:$B,0))</f>
        <v>0.1837</v>
      </c>
      <c r="AN114" s="27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3888.382</v>
      </c>
      <c r="AP114" cm="1">
        <f t="array" ref="AP114">$E$10*(1+$AN114)+VLOOKUP($R114,武学奇术!$A:$ZZ,4,FALSE)+SUM(_xlfn.XLOOKUP($S114:$AG114,增益!$A:$A,增益!$D:$D,0))-$I$2</f>
        <v>3888.382</v>
      </c>
      <c r="AQ114" s="33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0.267</v>
      </c>
      <c r="AR114" s="33" cm="1">
        <f t="array" ref="AR114">$G$10+VLOOKUP($R114,武学奇术!$A:$ZZ,7,FALSE)+SUM(_xlfn.XLOOKUP(S114:AG114,增益!$A:$A,增益!$G:$G,0))</f>
        <v>0.09</v>
      </c>
      <c r="AS114" s="27" cm="1">
        <f t="array" ref="AS114">VLOOKUP($R114,武学奇术!$A:$ZZ,8,FALSE)+SUM(_xlfn.XLOOKUP(S114:AG114,增益!$A:$A,增益!$H:$H,0))</f>
        <v>0</v>
      </c>
      <c r="AT114">
        <f t="shared" si="34"/>
        <v>0</v>
      </c>
      <c r="AU114">
        <f t="shared" si="35"/>
        <v>0</v>
      </c>
      <c r="AV114" s="33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-0.3</v>
      </c>
      <c r="AW114" s="33" cm="1">
        <f t="array" ref="AW114">$G$11+VLOOKUP($R114,武学奇术!$A:$ZZ,10,FALSE)+SUM(_xlfn.XLOOKUP(S114:AG114,增益!$A:$A,增益!$J:$J,0))</f>
        <v>0</v>
      </c>
      <c r="AX114">
        <f t="shared" si="36"/>
        <v>0</v>
      </c>
      <c r="AY114">
        <f t="shared" si="37"/>
        <v>0</v>
      </c>
      <c r="AZ114" s="33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33" cm="1">
        <f t="array" ref="BA114">$G$12+VLOOKUP($R114,武学奇术!$A:$ZZ,12,FALSE)+SUM(_xlfn.XLOOKUP(S114:AG114,增益!$A:$A,增益!$L:$L,0))</f>
        <v>0</v>
      </c>
      <c r="BB114">
        <f t="shared" si="38"/>
        <v>0</v>
      </c>
      <c r="BC114">
        <f t="shared" si="39"/>
        <v>0</v>
      </c>
      <c r="BD114" s="33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33" cm="1">
        <f t="array" ref="BE114">$G$13+VLOOKUP($R114,武学奇术!$A:$ZZ,14,FALSE)+SUM(_xlfn.XLOOKUP(S114:AG114,增益!$A:$A,增益!$N:$N,0))</f>
        <v>0</v>
      </c>
      <c r="BF114">
        <f t="shared" si="40"/>
        <v>605.472</v>
      </c>
      <c r="BG114">
        <f t="shared" si="41"/>
        <v>1725.468</v>
      </c>
      <c r="BH114" s="33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0</v>
      </c>
      <c r="BI114" s="33" cm="1">
        <f t="array" ref="BI114">$G$14+VLOOKUP($R114,武学奇术!$A:$ZZ,16,FALSE)+SUM(_xlfn.XLOOKUP(S114:AG114,增益!$A:$A,增益!$P:$P,0))</f>
        <v>0.24</v>
      </c>
      <c r="BJ114" s="27">
        <f>MIN(IF(VLOOKUP($R114,武学奇术!$A:$ZZ,23,FALSE)=1,100%,$B$8),100%)</f>
        <v>1</v>
      </c>
      <c r="BK114" s="27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+MIN(IF(VLOOKUP($R114,武学奇术!$A:$ZZ,32,FALSE)=1,IF(VLOOKUP($R114,武学奇术!$A:$ZZ,24,FALSE)=1,100%,MIN(40%,$B$10+VLOOKUP($R114,武学奇术!$A:$ZZ,19,FALSE)+SUM(_xlfn.XLOOKUP(S114:AG114,增益!$A:$A,增益!$S:$S,0)))+$B$12+SUM(_xlfn.XLOOKUP(S114:AG114,增益!$A:$A,增益!$V:$V,0))),0),12%)</f>
        <v>0.9036</v>
      </c>
      <c r="BL114" s="27" cm="1">
        <f t="array" ref="BL114">1+$B$13+VLOOKUP($R114,武学奇术!$A:$ZZ,18,FALSE)+SUM(_xlfn.XLOOKUP(S114:AG114,增益!$A:$A,增益!$R:$R,0))</f>
        <v>1.54</v>
      </c>
      <c r="BM114" s="27" cm="1">
        <f t="array" ref="BM114">MAX(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-IF(VLOOKUP($R114,武学奇术!$A:$ZZ,32,FALSE)=1,12%,0),0)</f>
        <v>0.0929</v>
      </c>
      <c r="BN114" s="27" cm="1">
        <f t="array" ref="BN114">1+$B$14+VLOOKUP($R114,武学奇术!$A:$ZZ,20,FALSE)+SUM(_xlfn.XLOOKUP(S114:AG114,增益!$A:$A,增益!$T:$T,0))</f>
        <v>1.35</v>
      </c>
      <c r="BO114" s="27">
        <f t="shared" si="31"/>
        <v>0.9036</v>
      </c>
      <c r="BP114" s="27">
        <f t="shared" si="32"/>
        <v>0.00350000000000006</v>
      </c>
      <c r="BQ114" s="27">
        <f>IF(VLOOKUP($R114,武学奇术!$A:$ZZ,22,FALSE)=1,0,(1-$BJ114))*(1-$BM114)</f>
        <v>0</v>
      </c>
      <c r="BR114" s="27" cm="1">
        <f t="array" ref="BR114">SUM(_xlfn.XLOOKUP(S114:AG114,增益!$A:$A,增益!$W:$W,0))+$I$5</f>
        <v>0.11</v>
      </c>
    </row>
    <row r="115" spans="1:70">
      <c r="A115" s="4" t="s">
        <v>170</v>
      </c>
      <c r="B115" s="4">
        <v>1</v>
      </c>
      <c r="F115" s="40"/>
      <c r="K115">
        <f>$L115*VLOOKUP($R115,武学奇术!$A:$ZZ,31,FALSE)</f>
        <v>0</v>
      </c>
      <c r="L115" s="39">
        <f t="shared" si="33"/>
        <v>0</v>
      </c>
      <c r="M115" s="39">
        <f>((($AO115+($AP115-$AO115)*IF(VLOOKUP($R115,武学奇术!$A:$ZZ,31,FALSE)=1,$F$18,0.5))*$AI115+$AJ115)*(1+$AQ115)*(1+$AR115)+(($AT115+($AU115-$AT115)*IF(VLOOKUP($R115,武学奇术!$A:$ZZ,31,FALSE)=1,$F$18,0.5))*IF($G$1="鸣金",$AK115,$AI115)+IF($G$1="鸣金",$AL115*1.5,0))*(1+$AV115)*(1+$AW115)+(($AX115+($AY115-$AX115)*IF(VLOOKUP($R115,武学奇术!$A:$ZZ,31,FALSE)=1,$F$18,0.5))*IF($G$1="裂石",$AK115,$AI115)+IF($G$1="裂石",$AL115*1.5,0))*(1+$AZ115)*(1+$BA115)+(($BB115+($BC115-$BB115)*IF(VLOOKUP($R115,武学奇术!$A:$ZZ,31,FALSE)=1,$F$18,0.5))*IF($G$1="牵丝",$AK115,$AI115)+IF($G$1="牵丝",$AL115*1.5,0))*(1+$BD115)*(1+$BE115)+(($BF115+($BG115-$BF115)*IF(VLOOKUP($R115,武学奇术!$A:$ZZ,31,FALSE)=1,$F$18,0.5))*IF($G$1="破竹",$AK115,$AI115)+IF($G$1="破竹",$AL115*1.5,0))*(1+$BH115)*(1+$BI115))*(1+$AM115)*$BL115*$Q115*(1+IF(VLOOKUP($R115,武学奇术!$A:$ZZ,30,FALSE)="蓄力技",$B$21,0))*(1+$BR115)</f>
        <v>0</v>
      </c>
      <c r="N115" s="39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蓄力技",$B$21,0))*(1+$BR115)</f>
        <v>0</v>
      </c>
      <c r="O115" s="39">
        <f>((($AO115+($AP115-$AO115)*IF(VLOOKUP($R115,武学奇术!$A:$ZZ,31,FALSE)=1,$F$18,0.5))*$AI115+$AJ115)*(1+$AQ115)*(1+$AR115)+(($AT115+($AU115-$AT115)*IF(VLOOKUP($R115,武学奇术!$A:$ZZ,31,FALSE)=1,$F$18,0.5))*IF($G$1="鸣金",$AK115,$AI115)+IF($G$1="鸣金",$AL115*1.5,0))*(1+$AV115)*(1+$AW115)+(($AX115+($AY115-$AX115)*IF(VLOOKUP($R115,武学奇术!$A:$ZZ,31,FALSE)=1,$F$18,0.5))*IF($G$1="裂石",$AK115,$AI115)+IF($G$1="裂石",$AL115*1.5,0))*(1+$AZ115)*(1+$BA115)+(($BB115+($BC115-$BB115)*IF(VLOOKUP($R115,武学奇术!$A:$ZZ,31,FALSE)=1,$F$18,0.5))*IF($G$1="牵丝",$AK115,$AI115)+IF($G$1="牵丝",$AL115*1.5,0))*(1+$BD115)*(1+$BE115)+(($BF115+($BG115-$BF115)*IF(VLOOKUP($R115,武学奇术!$A:$ZZ,31,FALSE)=1,$F$18,0.5))*IF($G$1="破竹",$AK115,$AI115)+IF($G$1="破竹",$AL115*1.5,0))*(1+$BH115)*(1+$BI115))*(1+$AM115)*$Q115*(1+IF(VLOOKUP($R115,武学奇术!$A:$ZZ,30,FALSE)="蓄力技",$B$21,0))*(1+$BR115)</f>
        <v>0</v>
      </c>
      <c r="P115" s="39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蓄力技",$B$21,0))*(1+$BR115)</f>
        <v>0</v>
      </c>
      <c r="Q115" s="40">
        <v>1</v>
      </c>
      <c r="R115" s="41" t="s">
        <v>73</v>
      </c>
      <c r="S115" s="41" t="s">
        <v>73</v>
      </c>
      <c r="T115" s="41" t="s">
        <v>73</v>
      </c>
      <c r="U115" s="41" t="s">
        <v>73</v>
      </c>
      <c r="V115" s="41" t="s">
        <v>73</v>
      </c>
      <c r="W115" s="41" t="s">
        <v>73</v>
      </c>
      <c r="X115" s="41" t="s">
        <v>73</v>
      </c>
      <c r="Y115" s="41" t="s">
        <v>73</v>
      </c>
      <c r="Z115" s="41" t="s">
        <v>73</v>
      </c>
      <c r="AA115" s="41" t="s">
        <v>73</v>
      </c>
      <c r="AB115" s="41" t="s">
        <v>73</v>
      </c>
      <c r="AC115" s="41" t="s">
        <v>73</v>
      </c>
      <c r="AD115" s="41" t="s">
        <v>73</v>
      </c>
      <c r="AE115" s="41" t="s">
        <v>76</v>
      </c>
      <c r="AF115" s="41" t="s">
        <v>77</v>
      </c>
      <c r="AG115" s="41" t="s">
        <v>73</v>
      </c>
      <c r="AH115" t="str">
        <f>VLOOKUP($R115,武学奇术!$A:$ZZ,25,FALSE)</f>
        <v>心法</v>
      </c>
      <c r="AI115" s="27">
        <f>VLOOKUP($R115,武学奇术!$A:$ZZ,26,FALSE)</f>
        <v>0</v>
      </c>
      <c r="AJ115" s="28">
        <f>VLOOKUP($R115,武学奇术!$A:$ZZ,27,FALSE)*(1+IF(OR($AH115=$F$4,$AH115=$F$5),$B$22,0))</f>
        <v>0</v>
      </c>
      <c r="AK115" s="27">
        <f>VLOOKUP($R115,武学奇术!$A:$ZZ,28,FALSE)</f>
        <v>0</v>
      </c>
      <c r="AL115" s="28">
        <f>VLOOKUP($R115,武学奇术!$A:$ZZ,29,FALSE)*(1+IF(OR($AH115=$F$4,$AH115=$F$5),$B$22,0))</f>
        <v>0</v>
      </c>
      <c r="AM115" s="27" cm="1">
        <f t="array" ref="AM115">$G$3+IFERROR(VLOOKUP($AH115,$F$4:$G$7,2,FALSE),0)+VLOOKUP($R115,武学奇术!$A:$ZZ,2,FALSE)+SUM(_xlfn.XLOOKUP($S115:$AG115,增益!$A:$A,增益!$B:$B,0))</f>
        <v>0.1837</v>
      </c>
      <c r="AN115" s="27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3888.382</v>
      </c>
      <c r="AP115" cm="1">
        <f t="array" ref="AP115">$E$10*(1+$AN115)+VLOOKUP($R115,武学奇术!$A:$ZZ,4,FALSE)+SUM(_xlfn.XLOOKUP($S115:$AG115,增益!$A:$A,增益!$D:$D,0))-$I$2</f>
        <v>3888.382</v>
      </c>
      <c r="AQ115" s="33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0.267</v>
      </c>
      <c r="AR115" s="33" cm="1">
        <f t="array" ref="AR115">$G$10+VLOOKUP($R115,武学奇术!$A:$ZZ,7,FALSE)+SUM(_xlfn.XLOOKUP(S115:AG115,增益!$A:$A,增益!$G:$G,0))</f>
        <v>0</v>
      </c>
      <c r="AS115" s="27" cm="1">
        <f t="array" ref="AS115">VLOOKUP($R115,武学奇术!$A:$ZZ,8,FALSE)+SUM(_xlfn.XLOOKUP(S115:AG115,增益!$A:$A,增益!$H:$H,0))</f>
        <v>0</v>
      </c>
      <c r="AT115">
        <f t="shared" si="34"/>
        <v>0</v>
      </c>
      <c r="AU115">
        <f t="shared" si="35"/>
        <v>0</v>
      </c>
      <c r="AV115" s="33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-0.3</v>
      </c>
      <c r="AW115" s="33" cm="1">
        <f t="array" ref="AW115">$G$11+VLOOKUP($R115,武学奇术!$A:$ZZ,10,FALSE)+SUM(_xlfn.XLOOKUP(S115:AG115,增益!$A:$A,增益!$J:$J,0))</f>
        <v>0</v>
      </c>
      <c r="AX115">
        <f t="shared" si="36"/>
        <v>0</v>
      </c>
      <c r="AY115">
        <f t="shared" si="37"/>
        <v>0</v>
      </c>
      <c r="AZ115" s="33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33" cm="1">
        <f t="array" ref="BA115">$G$12+VLOOKUP($R115,武学奇术!$A:$ZZ,12,FALSE)+SUM(_xlfn.XLOOKUP(S115:AG115,增益!$A:$A,增益!$L:$L,0))</f>
        <v>0</v>
      </c>
      <c r="BB115">
        <f t="shared" si="38"/>
        <v>0</v>
      </c>
      <c r="BC115">
        <f t="shared" si="39"/>
        <v>0</v>
      </c>
      <c r="BD115" s="33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33" cm="1">
        <f t="array" ref="BE115">$G$13+VLOOKUP($R115,武学奇术!$A:$ZZ,14,FALSE)+SUM(_xlfn.XLOOKUP(S115:AG115,增益!$A:$A,增益!$N:$N,0))</f>
        <v>0</v>
      </c>
      <c r="BF115">
        <f t="shared" si="40"/>
        <v>605.472</v>
      </c>
      <c r="BG115">
        <f t="shared" si="41"/>
        <v>1725.468</v>
      </c>
      <c r="BH115" s="33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0</v>
      </c>
      <c r="BI115" s="33" cm="1">
        <f t="array" ref="BI115">$G$14+VLOOKUP($R115,武学奇术!$A:$ZZ,16,FALSE)+SUM(_xlfn.XLOOKUP(S115:AG115,增益!$A:$A,增益!$P:$P,0))</f>
        <v>0.15</v>
      </c>
      <c r="BJ115" s="27">
        <f>MIN(IF(VLOOKUP($R115,武学奇术!$A:$ZZ,23,FALSE)=1,100%,$B$8),100%)</f>
        <v>1</v>
      </c>
      <c r="BK115" s="27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+MIN(IF(VLOOKUP($R115,武学奇术!$A:$ZZ,32,FALSE)=1,IF(VLOOKUP($R115,武学奇术!$A:$ZZ,24,FALSE)=1,100%,MIN(40%,$B$10+VLOOKUP($R115,武学奇术!$A:$ZZ,19,FALSE)+SUM(_xlfn.XLOOKUP(S115:AG115,增益!$A:$A,增益!$S:$S,0)))+$B$12+SUM(_xlfn.XLOOKUP(S115:AG115,增益!$A:$A,增益!$V:$V,0))),0),12%)</f>
        <v>0.9036</v>
      </c>
      <c r="BL115" s="27" cm="1">
        <f t="array" ref="BL115">1+$B$13+VLOOKUP($R115,武学奇术!$A:$ZZ,18,FALSE)+SUM(_xlfn.XLOOKUP(S115:AG115,增益!$A:$A,增益!$R:$R,0))</f>
        <v>1.54</v>
      </c>
      <c r="BM115" s="27" cm="1">
        <f t="array" ref="BM115">MAX(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-IF(VLOOKUP($R115,武学奇术!$A:$ZZ,32,FALSE)=1,12%,0),0)</f>
        <v>0.0929</v>
      </c>
      <c r="BN115" s="27" cm="1">
        <f t="array" ref="BN115">1+$B$14+VLOOKUP($R115,武学奇术!$A:$ZZ,20,FALSE)+SUM(_xlfn.XLOOKUP(S115:AG115,增益!$A:$A,增益!$T:$T,0))</f>
        <v>1.35</v>
      </c>
      <c r="BO115" s="27">
        <f t="shared" si="31"/>
        <v>0.9036</v>
      </c>
      <c r="BP115" s="27">
        <f t="shared" si="32"/>
        <v>0.00350000000000006</v>
      </c>
      <c r="BQ115" s="27">
        <f>IF(VLOOKUP($R115,武学奇术!$A:$ZZ,22,FALSE)=1,0,(1-$BJ115))*(1-$BM115)</f>
        <v>0</v>
      </c>
      <c r="BR115" s="27" cm="1">
        <f t="array" ref="BR115">SUM(_xlfn.XLOOKUP(S115:AG115,增益!$A:$A,增益!$W:$W,0))+$I$5</f>
        <v>0.11</v>
      </c>
    </row>
    <row r="116" spans="1:70">
      <c r="A116" s="4" t="s">
        <v>168</v>
      </c>
      <c r="B116" s="91">
        <v>1.16</v>
      </c>
      <c r="F116" s="40"/>
      <c r="K116">
        <f>$L116*VLOOKUP($R116,武学奇术!$A:$ZZ,31,FALSE)</f>
        <v>0</v>
      </c>
      <c r="L116" s="39">
        <f t="shared" si="33"/>
        <v>0</v>
      </c>
      <c r="M116" s="39">
        <f>((($AO116+($AP116-$AO116)*IF(VLOOKUP($R116,武学奇术!$A:$ZZ,31,FALSE)=1,$F$18,0.5))*$AI116+$AJ116)*(1+$AQ116)*(1+$AR116)+(($AT116+($AU116-$AT116)*IF(VLOOKUP($R116,武学奇术!$A:$ZZ,31,FALSE)=1,$F$18,0.5))*IF($G$1="鸣金",$AK116,$AI116)+IF($G$1="鸣金",$AL116*1.5,0))*(1+$AV116)*(1+$AW116)+(($AX116+($AY116-$AX116)*IF(VLOOKUP($R116,武学奇术!$A:$ZZ,31,FALSE)=1,$F$18,0.5))*IF($G$1="裂石",$AK116,$AI116)+IF($G$1="裂石",$AL116*1.5,0))*(1+$AZ116)*(1+$BA116)+(($BB116+($BC116-$BB116)*IF(VLOOKUP($R116,武学奇术!$A:$ZZ,31,FALSE)=1,$F$18,0.5))*IF($G$1="牵丝",$AK116,$AI116)+IF($G$1="牵丝",$AL116*1.5,0))*(1+$BD116)*(1+$BE116)+(($BF116+($BG116-$BF116)*IF(VLOOKUP($R116,武学奇术!$A:$ZZ,31,FALSE)=1,$F$18,0.5))*IF($G$1="破竹",$AK116,$AI116)+IF($G$1="破竹",$AL116*1.5,0))*(1+$BH116)*(1+$BI116))*(1+$AM116)*$BL116*$Q116*(1+IF(VLOOKUP($R116,武学奇术!$A:$ZZ,30,FALSE)="蓄力技",$B$21,0))*(1+$BR116)</f>
        <v>0</v>
      </c>
      <c r="N116" s="39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蓄力技",$B$21,0))*(1+$BR116)</f>
        <v>0</v>
      </c>
      <c r="O116" s="39">
        <f>((($AO116+($AP116-$AO116)*IF(VLOOKUP($R116,武学奇术!$A:$ZZ,31,FALSE)=1,$F$18,0.5))*$AI116+$AJ116)*(1+$AQ116)*(1+$AR116)+(($AT116+($AU116-$AT116)*IF(VLOOKUP($R116,武学奇术!$A:$ZZ,31,FALSE)=1,$F$18,0.5))*IF($G$1="鸣金",$AK116,$AI116)+IF($G$1="鸣金",$AL116*1.5,0))*(1+$AV116)*(1+$AW116)+(($AX116+($AY116-$AX116)*IF(VLOOKUP($R116,武学奇术!$A:$ZZ,31,FALSE)=1,$F$18,0.5))*IF($G$1="裂石",$AK116,$AI116)+IF($G$1="裂石",$AL116*1.5,0))*(1+$AZ116)*(1+$BA116)+(($BB116+($BC116-$BB116)*IF(VLOOKUP($R116,武学奇术!$A:$ZZ,31,FALSE)=1,$F$18,0.5))*IF($G$1="牵丝",$AK116,$AI116)+IF($G$1="牵丝",$AL116*1.5,0))*(1+$BD116)*(1+$BE116)+(($BF116+($BG116-$BF116)*IF(VLOOKUP($R116,武学奇术!$A:$ZZ,31,FALSE)=1,$F$18,0.5))*IF($G$1="破竹",$AK116,$AI116)+IF($G$1="破竹",$AL116*1.5,0))*(1+$BH116)*(1+$BI116))*(1+$AM116)*$Q116*(1+IF(VLOOKUP($R116,武学奇术!$A:$ZZ,30,FALSE)="蓄力技",$B$21,0))*(1+$BR116)</f>
        <v>0</v>
      </c>
      <c r="P116" s="39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蓄力技",$B$21,0))*(1+$BR116)</f>
        <v>0</v>
      </c>
      <c r="Q116" s="40">
        <v>1</v>
      </c>
      <c r="R116" s="41" t="s">
        <v>73</v>
      </c>
      <c r="S116" s="41" t="s">
        <v>73</v>
      </c>
      <c r="T116" s="41" t="s">
        <v>73</v>
      </c>
      <c r="U116" s="41" t="s">
        <v>73</v>
      </c>
      <c r="V116" s="41" t="s">
        <v>73</v>
      </c>
      <c r="W116" s="41" t="s">
        <v>73</v>
      </c>
      <c r="X116" s="41" t="s">
        <v>73</v>
      </c>
      <c r="Y116" s="41" t="s">
        <v>73</v>
      </c>
      <c r="Z116" s="41" t="s">
        <v>73</v>
      </c>
      <c r="AA116" s="41" t="s">
        <v>73</v>
      </c>
      <c r="AB116" s="41" t="s">
        <v>73</v>
      </c>
      <c r="AC116" s="41" t="s">
        <v>73</v>
      </c>
      <c r="AD116" s="41" t="s">
        <v>73</v>
      </c>
      <c r="AE116" s="41" t="s">
        <v>76</v>
      </c>
      <c r="AF116" s="41" t="s">
        <v>77</v>
      </c>
      <c r="AG116" s="41" t="s">
        <v>73</v>
      </c>
      <c r="AH116" t="str">
        <f>VLOOKUP($R116,武学奇术!$A:$ZZ,25,FALSE)</f>
        <v>心法</v>
      </c>
      <c r="AI116" s="27">
        <f>VLOOKUP($R116,武学奇术!$A:$ZZ,26,FALSE)</f>
        <v>0</v>
      </c>
      <c r="AJ116" s="28">
        <f>VLOOKUP($R116,武学奇术!$A:$ZZ,27,FALSE)*(1+IF(OR($AH116=$F$4,$AH116=$F$5),$B$22,0))</f>
        <v>0</v>
      </c>
      <c r="AK116" s="27">
        <f>VLOOKUP($R116,武学奇术!$A:$ZZ,28,FALSE)</f>
        <v>0</v>
      </c>
      <c r="AL116" s="28">
        <f>VLOOKUP($R116,武学奇术!$A:$ZZ,29,FALSE)*(1+IF(OR($AH116=$F$4,$AH116=$F$5),$B$22,0))</f>
        <v>0</v>
      </c>
      <c r="AM116" s="27" cm="1">
        <f t="array" ref="AM116">$G$3+IFERROR(VLOOKUP($AH116,$F$4:$G$7,2,FALSE),0)+VLOOKUP($R116,武学奇术!$A:$ZZ,2,FALSE)+SUM(_xlfn.XLOOKUP($S116:$AG116,增益!$A:$A,增益!$B:$B,0))</f>
        <v>0.1837</v>
      </c>
      <c r="AN116" s="27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3888.382</v>
      </c>
      <c r="AP116" cm="1">
        <f t="array" ref="AP116">$E$10*(1+$AN116)+VLOOKUP($R116,武学奇术!$A:$ZZ,4,FALSE)+SUM(_xlfn.XLOOKUP($S116:$AG116,增益!$A:$A,增益!$D:$D,0))-$I$2</f>
        <v>3888.382</v>
      </c>
      <c r="AQ116" s="33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0.267</v>
      </c>
      <c r="AR116" s="33" cm="1">
        <f t="array" ref="AR116">$G$10+VLOOKUP($R116,武学奇术!$A:$ZZ,7,FALSE)+SUM(_xlfn.XLOOKUP(S116:AG116,增益!$A:$A,增益!$G:$G,0))</f>
        <v>0</v>
      </c>
      <c r="AS116" s="27" cm="1">
        <f t="array" ref="AS116">VLOOKUP($R116,武学奇术!$A:$ZZ,8,FALSE)+SUM(_xlfn.XLOOKUP(S116:AG116,增益!$A:$A,增益!$H:$H,0))</f>
        <v>0</v>
      </c>
      <c r="AT116">
        <f t="shared" si="34"/>
        <v>0</v>
      </c>
      <c r="AU116">
        <f t="shared" si="35"/>
        <v>0</v>
      </c>
      <c r="AV116" s="33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-0.3</v>
      </c>
      <c r="AW116" s="33" cm="1">
        <f t="array" ref="AW116">$G$11+VLOOKUP($R116,武学奇术!$A:$ZZ,10,FALSE)+SUM(_xlfn.XLOOKUP(S116:AG116,增益!$A:$A,增益!$J:$J,0))</f>
        <v>0</v>
      </c>
      <c r="AX116">
        <f t="shared" si="36"/>
        <v>0</v>
      </c>
      <c r="AY116">
        <f t="shared" si="37"/>
        <v>0</v>
      </c>
      <c r="AZ116" s="33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33" cm="1">
        <f t="array" ref="BA116">$G$12+VLOOKUP($R116,武学奇术!$A:$ZZ,12,FALSE)+SUM(_xlfn.XLOOKUP(S116:AG116,增益!$A:$A,增益!$L:$L,0))</f>
        <v>0</v>
      </c>
      <c r="BB116">
        <f t="shared" si="38"/>
        <v>0</v>
      </c>
      <c r="BC116">
        <f t="shared" si="39"/>
        <v>0</v>
      </c>
      <c r="BD116" s="33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33" cm="1">
        <f t="array" ref="BE116">$G$13+VLOOKUP($R116,武学奇术!$A:$ZZ,14,FALSE)+SUM(_xlfn.XLOOKUP(S116:AG116,增益!$A:$A,增益!$N:$N,0))</f>
        <v>0</v>
      </c>
      <c r="BF116">
        <f t="shared" si="40"/>
        <v>605.472</v>
      </c>
      <c r="BG116">
        <f t="shared" si="41"/>
        <v>1725.468</v>
      </c>
      <c r="BH116" s="33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0</v>
      </c>
      <c r="BI116" s="33" cm="1">
        <f t="array" ref="BI116">$G$14+VLOOKUP($R116,武学奇术!$A:$ZZ,16,FALSE)+SUM(_xlfn.XLOOKUP(S116:AG116,增益!$A:$A,增益!$P:$P,0))</f>
        <v>0.15</v>
      </c>
      <c r="BJ116" s="27">
        <f>MIN(IF(VLOOKUP($R116,武学奇术!$A:$ZZ,23,FALSE)=1,100%,$B$8),100%)</f>
        <v>1</v>
      </c>
      <c r="BK116" s="27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+MIN(IF(VLOOKUP($R116,武学奇术!$A:$ZZ,32,FALSE)=1,IF(VLOOKUP($R116,武学奇术!$A:$ZZ,24,FALSE)=1,100%,MIN(40%,$B$10+VLOOKUP($R116,武学奇术!$A:$ZZ,19,FALSE)+SUM(_xlfn.XLOOKUP(S116:AG116,增益!$A:$A,增益!$S:$S,0)))+$B$12+SUM(_xlfn.XLOOKUP(S116:AG116,增益!$A:$A,增益!$V:$V,0))),0),12%)</f>
        <v>0.9036</v>
      </c>
      <c r="BL116" s="27" cm="1">
        <f t="array" ref="BL116">1+$B$13+VLOOKUP($R116,武学奇术!$A:$ZZ,18,FALSE)+SUM(_xlfn.XLOOKUP(S116:AG116,增益!$A:$A,增益!$R:$R,0))</f>
        <v>1.54</v>
      </c>
      <c r="BM116" s="27" cm="1">
        <f t="array" ref="BM116">MAX(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-IF(VLOOKUP($R116,武学奇术!$A:$ZZ,32,FALSE)=1,12%,0),0)</f>
        <v>0.0929</v>
      </c>
      <c r="BN116" s="27" cm="1">
        <f t="array" ref="BN116">1+$B$14+VLOOKUP($R116,武学奇术!$A:$ZZ,20,FALSE)+SUM(_xlfn.XLOOKUP(S116:AG116,增益!$A:$A,增益!$T:$T,0))</f>
        <v>1.35</v>
      </c>
      <c r="BO116" s="27">
        <f t="shared" si="31"/>
        <v>0.9036</v>
      </c>
      <c r="BP116" s="27">
        <f t="shared" si="32"/>
        <v>0.00350000000000006</v>
      </c>
      <c r="BQ116" s="27">
        <f>IF(VLOOKUP($R116,武学奇术!$A:$ZZ,22,FALSE)=1,0,(1-$BJ116))*(1-$BM116)</f>
        <v>0</v>
      </c>
      <c r="BR116" s="27" cm="1">
        <f t="array" ref="BR116">SUM(_xlfn.XLOOKUP(S116:AG116,增益!$A:$A,增益!$W:$W,0))+$I$5</f>
        <v>0.11</v>
      </c>
    </row>
    <row r="117" spans="1:70">
      <c r="A117" t="s">
        <v>167</v>
      </c>
      <c r="B117">
        <v>1.23</v>
      </c>
      <c r="F117" s="40"/>
      <c r="K117">
        <f>$L117*VLOOKUP($R117,武学奇术!$A:$ZZ,31,FALSE)</f>
        <v>0</v>
      </c>
      <c r="L117" s="39">
        <f t="shared" si="33"/>
        <v>0</v>
      </c>
      <c r="M117" s="39">
        <f>((($AO117+($AP117-$AO117)*IF(VLOOKUP($R117,武学奇术!$A:$ZZ,31,FALSE)=1,$F$18,0.5))*$AI117+$AJ117)*(1+$AQ117)*(1+$AR117)+(($AT117+($AU117-$AT117)*IF(VLOOKUP($R117,武学奇术!$A:$ZZ,31,FALSE)=1,$F$18,0.5))*IF($G$1="鸣金",$AK117,$AI117)+IF($G$1="鸣金",$AL117*1.5,0))*(1+$AV117)*(1+$AW117)+(($AX117+($AY117-$AX117)*IF(VLOOKUP($R117,武学奇术!$A:$ZZ,31,FALSE)=1,$F$18,0.5))*IF($G$1="裂石",$AK117,$AI117)+IF($G$1="裂石",$AL117*1.5,0))*(1+$AZ117)*(1+$BA117)+(($BB117+($BC117-$BB117)*IF(VLOOKUP($R117,武学奇术!$A:$ZZ,31,FALSE)=1,$F$18,0.5))*IF($G$1="牵丝",$AK117,$AI117)+IF($G$1="牵丝",$AL117*1.5,0))*(1+$BD117)*(1+$BE117)+(($BF117+($BG117-$BF117)*IF(VLOOKUP($R117,武学奇术!$A:$ZZ,31,FALSE)=1,$F$18,0.5))*IF($G$1="破竹",$AK117,$AI117)+IF($G$1="破竹",$AL117*1.5,0))*(1+$BH117)*(1+$BI117))*(1+$AM117)*$BL117*$Q117*(1+IF(VLOOKUP($R117,武学奇术!$A:$ZZ,30,FALSE)="蓄力技",$B$21,0))*(1+$BR117)</f>
        <v>0</v>
      </c>
      <c r="N117" s="39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蓄力技",$B$21,0))*(1+$BR117)</f>
        <v>0</v>
      </c>
      <c r="O117" s="39">
        <f>((($AO117+($AP117-$AO117)*IF(VLOOKUP($R117,武学奇术!$A:$ZZ,31,FALSE)=1,$F$18,0.5))*$AI117+$AJ117)*(1+$AQ117)*(1+$AR117)+(($AT117+($AU117-$AT117)*IF(VLOOKUP($R117,武学奇术!$A:$ZZ,31,FALSE)=1,$F$18,0.5))*IF($G$1="鸣金",$AK117,$AI117)+IF($G$1="鸣金",$AL117*1.5,0))*(1+$AV117)*(1+$AW117)+(($AX117+($AY117-$AX117)*IF(VLOOKUP($R117,武学奇术!$A:$ZZ,31,FALSE)=1,$F$18,0.5))*IF($G$1="裂石",$AK117,$AI117)+IF($G$1="裂石",$AL117*1.5,0))*(1+$AZ117)*(1+$BA117)+(($BB117+($BC117-$BB117)*IF(VLOOKUP($R117,武学奇术!$A:$ZZ,31,FALSE)=1,$F$18,0.5))*IF($G$1="牵丝",$AK117,$AI117)+IF($G$1="牵丝",$AL117*1.5,0))*(1+$BD117)*(1+$BE117)+(($BF117+($BG117-$BF117)*IF(VLOOKUP($R117,武学奇术!$A:$ZZ,31,FALSE)=1,$F$18,0.5))*IF($G$1="破竹",$AK117,$AI117)+IF($G$1="破竹",$AL117*1.5,0))*(1+$BH117)*(1+$BI117))*(1+$AM117)*$Q117*(1+IF(VLOOKUP($R117,武学奇术!$A:$ZZ,30,FALSE)="蓄力技",$B$21,0))*(1+$BR117)</f>
        <v>0</v>
      </c>
      <c r="P117" s="39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蓄力技",$B$21,0))*(1+$BR117)</f>
        <v>0</v>
      </c>
      <c r="Q117" s="40">
        <v>1</v>
      </c>
      <c r="R117" s="41" t="s">
        <v>73</v>
      </c>
      <c r="S117" s="41" t="s">
        <v>73</v>
      </c>
      <c r="T117" s="41" t="s">
        <v>73</v>
      </c>
      <c r="U117" s="41" t="s">
        <v>73</v>
      </c>
      <c r="V117" s="41" t="s">
        <v>73</v>
      </c>
      <c r="W117" s="41" t="s">
        <v>73</v>
      </c>
      <c r="X117" s="41" t="s">
        <v>73</v>
      </c>
      <c r="Y117" s="41" t="s">
        <v>73</v>
      </c>
      <c r="Z117" s="41" t="s">
        <v>73</v>
      </c>
      <c r="AA117" s="41" t="s">
        <v>73</v>
      </c>
      <c r="AB117" s="41" t="s">
        <v>73</v>
      </c>
      <c r="AC117" s="41" t="s">
        <v>73</v>
      </c>
      <c r="AD117" s="41" t="s">
        <v>73</v>
      </c>
      <c r="AE117" s="41" t="s">
        <v>76</v>
      </c>
      <c r="AF117" s="41" t="s">
        <v>77</v>
      </c>
      <c r="AG117" s="41" t="s">
        <v>73</v>
      </c>
      <c r="AH117" t="str">
        <f>VLOOKUP($R117,武学奇术!$A:$ZZ,25,FALSE)</f>
        <v>心法</v>
      </c>
      <c r="AI117" s="27">
        <f>VLOOKUP($R117,武学奇术!$A:$ZZ,26,FALSE)</f>
        <v>0</v>
      </c>
      <c r="AJ117" s="28">
        <f>VLOOKUP($R117,武学奇术!$A:$ZZ,27,FALSE)*(1+IF(OR($AH117=$F$4,$AH117=$F$5),$B$22,0))</f>
        <v>0</v>
      </c>
      <c r="AK117" s="27">
        <f>VLOOKUP($R117,武学奇术!$A:$ZZ,28,FALSE)</f>
        <v>0</v>
      </c>
      <c r="AL117" s="28">
        <f>VLOOKUP($R117,武学奇术!$A:$ZZ,29,FALSE)*(1+IF(OR($AH117=$F$4,$AH117=$F$5),$B$22,0))</f>
        <v>0</v>
      </c>
      <c r="AM117" s="27" cm="1">
        <f t="array" ref="AM117">$G$3+IFERROR(VLOOKUP($AH117,$F$4:$G$7,2,FALSE),0)+VLOOKUP($R117,武学奇术!$A:$ZZ,2,FALSE)+SUM(_xlfn.XLOOKUP($S117:$AG117,增益!$A:$A,增益!$B:$B,0))</f>
        <v>0.1837</v>
      </c>
      <c r="AN117" s="27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3888.382</v>
      </c>
      <c r="AP117" cm="1">
        <f t="array" ref="AP117">$E$10*(1+$AN117)+VLOOKUP($R117,武学奇术!$A:$ZZ,4,FALSE)+SUM(_xlfn.XLOOKUP($S117:$AG117,增益!$A:$A,增益!$D:$D,0))-$I$2</f>
        <v>3888.382</v>
      </c>
      <c r="AQ117" s="33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0.267</v>
      </c>
      <c r="AR117" s="33" cm="1">
        <f t="array" ref="AR117">$G$10+VLOOKUP($R117,武学奇术!$A:$ZZ,7,FALSE)+SUM(_xlfn.XLOOKUP(S117:AG117,增益!$A:$A,增益!$G:$G,0))</f>
        <v>0</v>
      </c>
      <c r="AS117" s="27" cm="1">
        <f t="array" ref="AS117">VLOOKUP($R117,武学奇术!$A:$ZZ,8,FALSE)+SUM(_xlfn.XLOOKUP(S117:AG117,增益!$A:$A,增益!$H:$H,0))</f>
        <v>0</v>
      </c>
      <c r="AT117">
        <f t="shared" si="34"/>
        <v>0</v>
      </c>
      <c r="AU117">
        <f t="shared" si="35"/>
        <v>0</v>
      </c>
      <c r="AV117" s="33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-0.3</v>
      </c>
      <c r="AW117" s="33" cm="1">
        <f t="array" ref="AW117">$G$11+VLOOKUP($R117,武学奇术!$A:$ZZ,10,FALSE)+SUM(_xlfn.XLOOKUP(S117:AG117,增益!$A:$A,增益!$J:$J,0))</f>
        <v>0</v>
      </c>
      <c r="AX117">
        <f t="shared" si="36"/>
        <v>0</v>
      </c>
      <c r="AY117">
        <f t="shared" si="37"/>
        <v>0</v>
      </c>
      <c r="AZ117" s="33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33" cm="1">
        <f t="array" ref="BA117">$G$12+VLOOKUP($R117,武学奇术!$A:$ZZ,12,FALSE)+SUM(_xlfn.XLOOKUP(S117:AG117,增益!$A:$A,增益!$L:$L,0))</f>
        <v>0</v>
      </c>
      <c r="BB117">
        <f t="shared" si="38"/>
        <v>0</v>
      </c>
      <c r="BC117">
        <f t="shared" si="39"/>
        <v>0</v>
      </c>
      <c r="BD117" s="33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33" cm="1">
        <f t="array" ref="BE117">$G$13+VLOOKUP($R117,武学奇术!$A:$ZZ,14,FALSE)+SUM(_xlfn.XLOOKUP(S117:AG117,增益!$A:$A,增益!$N:$N,0))</f>
        <v>0</v>
      </c>
      <c r="BF117">
        <f t="shared" si="40"/>
        <v>605.472</v>
      </c>
      <c r="BG117">
        <f t="shared" si="41"/>
        <v>1725.468</v>
      </c>
      <c r="BH117" s="33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0</v>
      </c>
      <c r="BI117" s="33" cm="1">
        <f t="array" ref="BI117">$G$14+VLOOKUP($R117,武学奇术!$A:$ZZ,16,FALSE)+SUM(_xlfn.XLOOKUP(S117:AG117,增益!$A:$A,增益!$P:$P,0))</f>
        <v>0.15</v>
      </c>
      <c r="BJ117" s="27">
        <f>MIN(IF(VLOOKUP($R117,武学奇术!$A:$ZZ,23,FALSE)=1,100%,$B$8),100%)</f>
        <v>1</v>
      </c>
      <c r="BK117" s="27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+MIN(IF(VLOOKUP($R117,武学奇术!$A:$ZZ,32,FALSE)=1,IF(VLOOKUP($R117,武学奇术!$A:$ZZ,24,FALSE)=1,100%,MIN(40%,$B$10+VLOOKUP($R117,武学奇术!$A:$ZZ,19,FALSE)+SUM(_xlfn.XLOOKUP(S117:AG117,增益!$A:$A,增益!$S:$S,0)))+$B$12+SUM(_xlfn.XLOOKUP(S117:AG117,增益!$A:$A,增益!$V:$V,0))),0),12%)</f>
        <v>0.9036</v>
      </c>
      <c r="BL117" s="27" cm="1">
        <f t="array" ref="BL117">1+$B$13+VLOOKUP($R117,武学奇术!$A:$ZZ,18,FALSE)+SUM(_xlfn.XLOOKUP(S117:AG117,增益!$A:$A,增益!$R:$R,0))</f>
        <v>1.54</v>
      </c>
      <c r="BM117" s="27" cm="1">
        <f t="array" ref="BM117">MAX(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-IF(VLOOKUP($R117,武学奇术!$A:$ZZ,32,FALSE)=1,12%,0),0)</f>
        <v>0.0929</v>
      </c>
      <c r="BN117" s="27" cm="1">
        <f t="array" ref="BN117">1+$B$14+VLOOKUP($R117,武学奇术!$A:$ZZ,20,FALSE)+SUM(_xlfn.XLOOKUP(S117:AG117,增益!$A:$A,增益!$T:$T,0))</f>
        <v>1.35</v>
      </c>
      <c r="BO117" s="27">
        <f t="shared" si="31"/>
        <v>0.9036</v>
      </c>
      <c r="BP117" s="27">
        <f t="shared" si="32"/>
        <v>0.00350000000000006</v>
      </c>
      <c r="BQ117" s="27">
        <f>IF(VLOOKUP($R117,武学奇术!$A:$ZZ,22,FALSE)=1,0,(1-$BJ117))*(1-$BM117)</f>
        <v>0</v>
      </c>
      <c r="BR117" s="27" cm="1">
        <f t="array" ref="BR117">SUM(_xlfn.XLOOKUP(S117:AG117,增益!$A:$A,增益!$W:$W,0))+$I$5</f>
        <v>0.11</v>
      </c>
    </row>
    <row r="118" spans="1:70">
      <c r="A118" s="4" t="s">
        <v>168</v>
      </c>
      <c r="B118" s="91">
        <v>1.16</v>
      </c>
      <c r="F118" s="40"/>
      <c r="K118">
        <f>$L118*VLOOKUP($R118,武学奇术!$A:$ZZ,31,FALSE)</f>
        <v>0</v>
      </c>
      <c r="L118" s="39">
        <f t="shared" si="33"/>
        <v>0</v>
      </c>
      <c r="M118" s="39">
        <f>((($AO118+($AP118-$AO118)*IF(VLOOKUP($R118,武学奇术!$A:$ZZ,31,FALSE)=1,$F$18,0.5))*$AI118+$AJ118)*(1+$AQ118)*(1+$AR118)+(($AT118+($AU118-$AT118)*IF(VLOOKUP($R118,武学奇术!$A:$ZZ,31,FALSE)=1,$F$18,0.5))*IF($G$1="鸣金",$AK118,$AI118)+IF($G$1="鸣金",$AL118*1.5,0))*(1+$AV118)*(1+$AW118)+(($AX118+($AY118-$AX118)*IF(VLOOKUP($R118,武学奇术!$A:$ZZ,31,FALSE)=1,$F$18,0.5))*IF($G$1="裂石",$AK118,$AI118)+IF($G$1="裂石",$AL118*1.5,0))*(1+$AZ118)*(1+$BA118)+(($BB118+($BC118-$BB118)*IF(VLOOKUP($R118,武学奇术!$A:$ZZ,31,FALSE)=1,$F$18,0.5))*IF($G$1="牵丝",$AK118,$AI118)+IF($G$1="牵丝",$AL118*1.5,0))*(1+$BD118)*(1+$BE118)+(($BF118+($BG118-$BF118)*IF(VLOOKUP($R118,武学奇术!$A:$ZZ,31,FALSE)=1,$F$18,0.5))*IF($G$1="破竹",$AK118,$AI118)+IF($G$1="破竹",$AL118*1.5,0))*(1+$BH118)*(1+$BI118))*(1+$AM118)*$BL118*$Q118*(1+IF(VLOOKUP($R118,武学奇术!$A:$ZZ,30,FALSE)="蓄力技",$B$21,0))*(1+$BR118)</f>
        <v>0</v>
      </c>
      <c r="N118" s="39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蓄力技",$B$21,0))*(1+$BR118)</f>
        <v>0</v>
      </c>
      <c r="O118" s="39">
        <f>((($AO118+($AP118-$AO118)*IF(VLOOKUP($R118,武学奇术!$A:$ZZ,31,FALSE)=1,$F$18,0.5))*$AI118+$AJ118)*(1+$AQ118)*(1+$AR118)+(($AT118+($AU118-$AT118)*IF(VLOOKUP($R118,武学奇术!$A:$ZZ,31,FALSE)=1,$F$18,0.5))*IF($G$1="鸣金",$AK118,$AI118)+IF($G$1="鸣金",$AL118*1.5,0))*(1+$AV118)*(1+$AW118)+(($AX118+($AY118-$AX118)*IF(VLOOKUP($R118,武学奇术!$A:$ZZ,31,FALSE)=1,$F$18,0.5))*IF($G$1="裂石",$AK118,$AI118)+IF($G$1="裂石",$AL118*1.5,0))*(1+$AZ118)*(1+$BA118)+(($BB118+($BC118-$BB118)*IF(VLOOKUP($R118,武学奇术!$A:$ZZ,31,FALSE)=1,$F$18,0.5))*IF($G$1="牵丝",$AK118,$AI118)+IF($G$1="牵丝",$AL118*1.5,0))*(1+$BD118)*(1+$BE118)+(($BF118+($BG118-$BF118)*IF(VLOOKUP($R118,武学奇术!$A:$ZZ,31,FALSE)=1,$F$18,0.5))*IF($G$1="破竹",$AK118,$AI118)+IF($G$1="破竹",$AL118*1.5,0))*(1+$BH118)*(1+$BI118))*(1+$AM118)*$Q118*(1+IF(VLOOKUP($R118,武学奇术!$A:$ZZ,30,FALSE)="蓄力技",$B$21,0))*(1+$BR118)</f>
        <v>0</v>
      </c>
      <c r="P118" s="39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蓄力技",$B$21,0))*(1+$BR118)</f>
        <v>0</v>
      </c>
      <c r="Q118" s="40">
        <v>1</v>
      </c>
      <c r="R118" s="41" t="s">
        <v>73</v>
      </c>
      <c r="S118" s="41" t="s">
        <v>73</v>
      </c>
      <c r="T118" s="41" t="s">
        <v>73</v>
      </c>
      <c r="U118" s="41" t="s">
        <v>73</v>
      </c>
      <c r="V118" s="41" t="s">
        <v>73</v>
      </c>
      <c r="W118" s="41" t="s">
        <v>73</v>
      </c>
      <c r="X118" s="41" t="s">
        <v>73</v>
      </c>
      <c r="Y118" s="41" t="s">
        <v>73</v>
      </c>
      <c r="Z118" s="41" t="s">
        <v>73</v>
      </c>
      <c r="AA118" s="41" t="s">
        <v>73</v>
      </c>
      <c r="AB118" s="41" t="s">
        <v>73</v>
      </c>
      <c r="AC118" s="41" t="s">
        <v>73</v>
      </c>
      <c r="AD118" s="41" t="s">
        <v>73</v>
      </c>
      <c r="AE118" s="41" t="s">
        <v>76</v>
      </c>
      <c r="AF118" s="41" t="s">
        <v>77</v>
      </c>
      <c r="AG118" s="41" t="s">
        <v>73</v>
      </c>
      <c r="AH118" t="str">
        <f>VLOOKUP($R118,武学奇术!$A:$ZZ,25,FALSE)</f>
        <v>心法</v>
      </c>
      <c r="AI118" s="27">
        <f>VLOOKUP($R118,武学奇术!$A:$ZZ,26,FALSE)</f>
        <v>0</v>
      </c>
      <c r="AJ118" s="28">
        <f>VLOOKUP($R118,武学奇术!$A:$ZZ,27,FALSE)*(1+IF(OR($AH118=$F$4,$AH118=$F$5),$B$22,0))</f>
        <v>0</v>
      </c>
      <c r="AK118" s="27">
        <f>VLOOKUP($R118,武学奇术!$A:$ZZ,28,FALSE)</f>
        <v>0</v>
      </c>
      <c r="AL118" s="28">
        <f>VLOOKUP($R118,武学奇术!$A:$ZZ,29,FALSE)*(1+IF(OR($AH118=$F$4,$AH118=$F$5),$B$22,0))</f>
        <v>0</v>
      </c>
      <c r="AM118" s="27" cm="1">
        <f t="array" ref="AM118">$G$3+IFERROR(VLOOKUP($AH118,$F$4:$G$7,2,FALSE),0)+VLOOKUP($R118,武学奇术!$A:$ZZ,2,FALSE)+SUM(_xlfn.XLOOKUP($S118:$AG118,增益!$A:$A,增益!$B:$B,0))</f>
        <v>0.1837</v>
      </c>
      <c r="AN118" s="27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3888.382</v>
      </c>
      <c r="AP118" cm="1">
        <f t="array" ref="AP118">$E$10*(1+$AN118)+VLOOKUP($R118,武学奇术!$A:$ZZ,4,FALSE)+SUM(_xlfn.XLOOKUP($S118:$AG118,增益!$A:$A,增益!$D:$D,0))-$I$2</f>
        <v>3888.382</v>
      </c>
      <c r="AQ118" s="33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0.267</v>
      </c>
      <c r="AR118" s="33" cm="1">
        <f t="array" ref="AR118">$G$10+VLOOKUP($R118,武学奇术!$A:$ZZ,7,FALSE)+SUM(_xlfn.XLOOKUP(S118:AG118,增益!$A:$A,增益!$G:$G,0))</f>
        <v>0</v>
      </c>
      <c r="AS118" s="27" cm="1">
        <f t="array" ref="AS118">VLOOKUP($R118,武学奇术!$A:$ZZ,8,FALSE)+SUM(_xlfn.XLOOKUP(S118:AG118,增益!$A:$A,增益!$H:$H,0))</f>
        <v>0</v>
      </c>
      <c r="AT118">
        <f t="shared" si="34"/>
        <v>0</v>
      </c>
      <c r="AU118">
        <f t="shared" si="35"/>
        <v>0</v>
      </c>
      <c r="AV118" s="33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-0.3</v>
      </c>
      <c r="AW118" s="33" cm="1">
        <f t="array" ref="AW118">$G$11+VLOOKUP($R118,武学奇术!$A:$ZZ,10,FALSE)+SUM(_xlfn.XLOOKUP(S118:AG118,增益!$A:$A,增益!$J:$J,0))</f>
        <v>0</v>
      </c>
      <c r="AX118">
        <f t="shared" si="36"/>
        <v>0</v>
      </c>
      <c r="AY118">
        <f t="shared" si="37"/>
        <v>0</v>
      </c>
      <c r="AZ118" s="33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33" cm="1">
        <f t="array" ref="BA118">$G$12+VLOOKUP($R118,武学奇术!$A:$ZZ,12,FALSE)+SUM(_xlfn.XLOOKUP(S118:AG118,增益!$A:$A,增益!$L:$L,0))</f>
        <v>0</v>
      </c>
      <c r="BB118">
        <f t="shared" si="38"/>
        <v>0</v>
      </c>
      <c r="BC118">
        <f t="shared" si="39"/>
        <v>0</v>
      </c>
      <c r="BD118" s="33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33" cm="1">
        <f t="array" ref="BE118">$G$13+VLOOKUP($R118,武学奇术!$A:$ZZ,14,FALSE)+SUM(_xlfn.XLOOKUP(S118:AG118,增益!$A:$A,增益!$N:$N,0))</f>
        <v>0</v>
      </c>
      <c r="BF118">
        <f t="shared" si="40"/>
        <v>605.472</v>
      </c>
      <c r="BG118">
        <f t="shared" si="41"/>
        <v>1725.468</v>
      </c>
      <c r="BH118" s="33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0</v>
      </c>
      <c r="BI118" s="33" cm="1">
        <f t="array" ref="BI118">$G$14+VLOOKUP($R118,武学奇术!$A:$ZZ,16,FALSE)+SUM(_xlfn.XLOOKUP(S118:AG118,增益!$A:$A,增益!$P:$P,0))</f>
        <v>0.15</v>
      </c>
      <c r="BJ118" s="27">
        <f>MIN(IF(VLOOKUP($R118,武学奇术!$A:$ZZ,23,FALSE)=1,100%,$B$8),100%)</f>
        <v>1</v>
      </c>
      <c r="BK118" s="27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+MIN(IF(VLOOKUP($R118,武学奇术!$A:$ZZ,32,FALSE)=1,IF(VLOOKUP($R118,武学奇术!$A:$ZZ,24,FALSE)=1,100%,MIN(40%,$B$10+VLOOKUP($R118,武学奇术!$A:$ZZ,19,FALSE)+SUM(_xlfn.XLOOKUP(S118:AG118,增益!$A:$A,增益!$S:$S,0)))+$B$12+SUM(_xlfn.XLOOKUP(S118:AG118,增益!$A:$A,增益!$V:$V,0))),0),12%)</f>
        <v>0.9036</v>
      </c>
      <c r="BL118" s="27" cm="1">
        <f t="array" ref="BL118">1+$B$13+VLOOKUP($R118,武学奇术!$A:$ZZ,18,FALSE)+SUM(_xlfn.XLOOKUP(S118:AG118,增益!$A:$A,增益!$R:$R,0))</f>
        <v>1.54</v>
      </c>
      <c r="BM118" s="27" cm="1">
        <f t="array" ref="BM118">MAX(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-IF(VLOOKUP($R118,武学奇术!$A:$ZZ,32,FALSE)=1,12%,0),0)</f>
        <v>0.0929</v>
      </c>
      <c r="BN118" s="27" cm="1">
        <f t="array" ref="BN118">1+$B$14+VLOOKUP($R118,武学奇术!$A:$ZZ,20,FALSE)+SUM(_xlfn.XLOOKUP(S118:AG118,增益!$A:$A,增益!$T:$T,0))</f>
        <v>1.35</v>
      </c>
      <c r="BO118" s="27">
        <f t="shared" si="31"/>
        <v>0.9036</v>
      </c>
      <c r="BP118" s="27">
        <f t="shared" si="32"/>
        <v>0.00350000000000006</v>
      </c>
      <c r="BQ118" s="27">
        <f>IF(VLOOKUP($R118,武学奇术!$A:$ZZ,22,FALSE)=1,0,(1-$BJ118))*(1-$BM118)</f>
        <v>0</v>
      </c>
      <c r="BR118" s="27" cm="1">
        <f t="array" ref="BR118">SUM(_xlfn.XLOOKUP(S118:AG118,增益!$A:$A,增益!$W:$W,0))+$I$5</f>
        <v>0.11</v>
      </c>
    </row>
    <row r="119" spans="1:70">
      <c r="A119" s="4" t="s">
        <v>186</v>
      </c>
      <c r="B119" s="4">
        <v>2</v>
      </c>
      <c r="F119" s="40"/>
      <c r="K119">
        <f>$L119*VLOOKUP($R119,武学奇术!$A:$ZZ,31,FALSE)</f>
        <v>0</v>
      </c>
      <c r="L119" s="39">
        <f t="shared" si="33"/>
        <v>0</v>
      </c>
      <c r="M119" s="39">
        <f>((($AO119+($AP119-$AO119)*IF(VLOOKUP($R119,武学奇术!$A:$ZZ,31,FALSE)=1,$F$18,0.5))*$AI119+$AJ119)*(1+$AQ119)*(1+$AR119)+(($AT119+($AU119-$AT119)*IF(VLOOKUP($R119,武学奇术!$A:$ZZ,31,FALSE)=1,$F$18,0.5))*IF($G$1="鸣金",$AK119,$AI119)+IF($G$1="鸣金",$AL119*1.5,0))*(1+$AV119)*(1+$AW119)+(($AX119+($AY119-$AX119)*IF(VLOOKUP($R119,武学奇术!$A:$ZZ,31,FALSE)=1,$F$18,0.5))*IF($G$1="裂石",$AK119,$AI119)+IF($G$1="裂石",$AL119*1.5,0))*(1+$AZ119)*(1+$BA119)+(($BB119+($BC119-$BB119)*IF(VLOOKUP($R119,武学奇术!$A:$ZZ,31,FALSE)=1,$F$18,0.5))*IF($G$1="牵丝",$AK119,$AI119)+IF($G$1="牵丝",$AL119*1.5,0))*(1+$BD119)*(1+$BE119)+(($BF119+($BG119-$BF119)*IF(VLOOKUP($R119,武学奇术!$A:$ZZ,31,FALSE)=1,$F$18,0.5))*IF($G$1="破竹",$AK119,$AI119)+IF($G$1="破竹",$AL119*1.5,0))*(1+$BH119)*(1+$BI119))*(1+$AM119)*$BL119*$Q119*(1+IF(VLOOKUP($R119,武学奇术!$A:$ZZ,30,FALSE)="蓄力技",$B$21,0))*(1+$BR119)</f>
        <v>0</v>
      </c>
      <c r="N119" s="39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蓄力技",$B$21,0))*(1+$BR119)</f>
        <v>0</v>
      </c>
      <c r="O119" s="39">
        <f>((($AO119+($AP119-$AO119)*IF(VLOOKUP($R119,武学奇术!$A:$ZZ,31,FALSE)=1,$F$18,0.5))*$AI119+$AJ119)*(1+$AQ119)*(1+$AR119)+(($AT119+($AU119-$AT119)*IF(VLOOKUP($R119,武学奇术!$A:$ZZ,31,FALSE)=1,$F$18,0.5))*IF($G$1="鸣金",$AK119,$AI119)+IF($G$1="鸣金",$AL119*1.5,0))*(1+$AV119)*(1+$AW119)+(($AX119+($AY119-$AX119)*IF(VLOOKUP($R119,武学奇术!$A:$ZZ,31,FALSE)=1,$F$18,0.5))*IF($G$1="裂石",$AK119,$AI119)+IF($G$1="裂石",$AL119*1.5,0))*(1+$AZ119)*(1+$BA119)+(($BB119+($BC119-$BB119)*IF(VLOOKUP($R119,武学奇术!$A:$ZZ,31,FALSE)=1,$F$18,0.5))*IF($G$1="牵丝",$AK119,$AI119)+IF($G$1="牵丝",$AL119*1.5,0))*(1+$BD119)*(1+$BE119)+(($BF119+($BG119-$BF119)*IF(VLOOKUP($R119,武学奇术!$A:$ZZ,31,FALSE)=1,$F$18,0.5))*IF($G$1="破竹",$AK119,$AI119)+IF($G$1="破竹",$AL119*1.5,0))*(1+$BH119)*(1+$BI119))*(1+$AM119)*$Q119*(1+IF(VLOOKUP($R119,武学奇术!$A:$ZZ,30,FALSE)="蓄力技",$B$21,0))*(1+$BR119)</f>
        <v>0</v>
      </c>
      <c r="P119" s="39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蓄力技",$B$21,0))*(1+$BR119)</f>
        <v>0</v>
      </c>
      <c r="Q119" s="40">
        <v>1</v>
      </c>
      <c r="R119" s="41" t="s">
        <v>73</v>
      </c>
      <c r="S119" s="41" t="s">
        <v>73</v>
      </c>
      <c r="T119" s="41" t="s">
        <v>73</v>
      </c>
      <c r="U119" s="41" t="s">
        <v>73</v>
      </c>
      <c r="V119" s="41" t="s">
        <v>73</v>
      </c>
      <c r="W119" s="41" t="s">
        <v>73</v>
      </c>
      <c r="X119" s="41" t="s">
        <v>73</v>
      </c>
      <c r="Y119" s="41" t="s">
        <v>73</v>
      </c>
      <c r="Z119" s="41" t="s">
        <v>73</v>
      </c>
      <c r="AA119" s="41" t="s">
        <v>73</v>
      </c>
      <c r="AB119" s="41" t="s">
        <v>73</v>
      </c>
      <c r="AC119" s="41" t="s">
        <v>73</v>
      </c>
      <c r="AD119" s="41" t="s">
        <v>73</v>
      </c>
      <c r="AE119" s="41" t="s">
        <v>76</v>
      </c>
      <c r="AF119" s="41" t="s">
        <v>77</v>
      </c>
      <c r="AG119" s="41" t="s">
        <v>73</v>
      </c>
      <c r="AH119" t="str">
        <f>VLOOKUP($R119,武学奇术!$A:$ZZ,25,FALSE)</f>
        <v>心法</v>
      </c>
      <c r="AI119" s="27">
        <f>VLOOKUP($R119,武学奇术!$A:$ZZ,26,FALSE)</f>
        <v>0</v>
      </c>
      <c r="AJ119" s="28">
        <f>VLOOKUP($R119,武学奇术!$A:$ZZ,27,FALSE)*(1+IF(OR($AH119=$F$4,$AH119=$F$5),$B$22,0))</f>
        <v>0</v>
      </c>
      <c r="AK119" s="27">
        <f>VLOOKUP($R119,武学奇术!$A:$ZZ,28,FALSE)</f>
        <v>0</v>
      </c>
      <c r="AL119" s="28">
        <f>VLOOKUP($R119,武学奇术!$A:$ZZ,29,FALSE)*(1+IF(OR($AH119=$F$4,$AH119=$F$5),$B$22,0))</f>
        <v>0</v>
      </c>
      <c r="AM119" s="27" cm="1">
        <f t="array" ref="AM119">$G$3+IFERROR(VLOOKUP($AH119,$F$4:$G$7,2,FALSE),0)+VLOOKUP($R119,武学奇术!$A:$ZZ,2,FALSE)+SUM(_xlfn.XLOOKUP($S119:$AG119,增益!$A:$A,增益!$B:$B,0))</f>
        <v>0.1837</v>
      </c>
      <c r="AN119" s="27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3888.382</v>
      </c>
      <c r="AP119" cm="1">
        <f t="array" ref="AP119">$E$10*(1+$AN119)+VLOOKUP($R119,武学奇术!$A:$ZZ,4,FALSE)+SUM(_xlfn.XLOOKUP($S119:$AG119,增益!$A:$A,增益!$D:$D,0))-$I$2</f>
        <v>3888.382</v>
      </c>
      <c r="AQ119" s="33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0.267</v>
      </c>
      <c r="AR119" s="33" cm="1">
        <f t="array" ref="AR119">$G$10+VLOOKUP($R119,武学奇术!$A:$ZZ,7,FALSE)+SUM(_xlfn.XLOOKUP(S119:AG119,增益!$A:$A,增益!$G:$G,0))</f>
        <v>0</v>
      </c>
      <c r="AS119" s="27" cm="1">
        <f t="array" ref="AS119">VLOOKUP($R119,武学奇术!$A:$ZZ,8,FALSE)+SUM(_xlfn.XLOOKUP(S119:AG119,增益!$A:$A,增益!$H:$H,0))</f>
        <v>0</v>
      </c>
      <c r="AT119">
        <f t="shared" si="34"/>
        <v>0</v>
      </c>
      <c r="AU119">
        <f t="shared" si="35"/>
        <v>0</v>
      </c>
      <c r="AV119" s="33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-0.3</v>
      </c>
      <c r="AW119" s="33" cm="1">
        <f t="array" ref="AW119">$G$11+VLOOKUP($R119,武学奇术!$A:$ZZ,10,FALSE)+SUM(_xlfn.XLOOKUP(S119:AG119,增益!$A:$A,增益!$J:$J,0))</f>
        <v>0</v>
      </c>
      <c r="AX119">
        <f t="shared" si="36"/>
        <v>0</v>
      </c>
      <c r="AY119">
        <f t="shared" si="37"/>
        <v>0</v>
      </c>
      <c r="AZ119" s="33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-0.3</v>
      </c>
      <c r="BA119" s="33" cm="1">
        <f t="array" ref="BA119">$G$12+VLOOKUP($R119,武学奇术!$A:$ZZ,12,FALSE)+SUM(_xlfn.XLOOKUP(S119:AG119,增益!$A:$A,增益!$L:$L,0))</f>
        <v>0</v>
      </c>
      <c r="BB119">
        <f t="shared" si="38"/>
        <v>0</v>
      </c>
      <c r="BC119">
        <f t="shared" si="39"/>
        <v>0</v>
      </c>
      <c r="BD119" s="33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-0.3</v>
      </c>
      <c r="BE119" s="33" cm="1">
        <f t="array" ref="BE119">$G$13+VLOOKUP($R119,武学奇术!$A:$ZZ,14,FALSE)+SUM(_xlfn.XLOOKUP(S119:AG119,增益!$A:$A,增益!$N:$N,0))</f>
        <v>0</v>
      </c>
      <c r="BF119">
        <f t="shared" si="40"/>
        <v>605.472</v>
      </c>
      <c r="BG119">
        <f t="shared" si="41"/>
        <v>1725.468</v>
      </c>
      <c r="BH119" s="33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0</v>
      </c>
      <c r="BI119" s="33" cm="1">
        <f t="array" ref="BI119">$G$14+VLOOKUP($R119,武学奇术!$A:$ZZ,16,FALSE)+SUM(_xlfn.XLOOKUP(S119:AG119,增益!$A:$A,增益!$P:$P,0))</f>
        <v>0.15</v>
      </c>
      <c r="BJ119" s="27">
        <f>MIN(IF(VLOOKUP($R119,武学奇术!$A:$ZZ,23,FALSE)=1,100%,$B$8),100%)</f>
        <v>1</v>
      </c>
      <c r="BK119" s="27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+MIN(IF(VLOOKUP($R119,武学奇术!$A:$ZZ,32,FALSE)=1,IF(VLOOKUP($R119,武学奇术!$A:$ZZ,24,FALSE)=1,100%,MIN(40%,$B$10+VLOOKUP($R119,武学奇术!$A:$ZZ,19,FALSE)+SUM(_xlfn.XLOOKUP(S119:AG119,增益!$A:$A,增益!$S:$S,0)))+$B$12+SUM(_xlfn.XLOOKUP(S119:AG119,增益!$A:$A,增益!$V:$V,0))),0),12%)</f>
        <v>0.9036</v>
      </c>
      <c r="BL119" s="27" cm="1">
        <f t="array" ref="BL119">1+$B$13+VLOOKUP($R119,武学奇术!$A:$ZZ,18,FALSE)+SUM(_xlfn.XLOOKUP(S119:AG119,增益!$A:$A,增益!$R:$R,0))</f>
        <v>1.54</v>
      </c>
      <c r="BM119" s="27" cm="1">
        <f t="array" ref="BM119">MAX(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-IF(VLOOKUP($R119,武学奇术!$A:$ZZ,32,FALSE)=1,12%,0),0)</f>
        <v>0.0929</v>
      </c>
      <c r="BN119" s="27" cm="1">
        <f t="array" ref="BN119">1+$B$14+VLOOKUP($R119,武学奇术!$A:$ZZ,20,FALSE)+SUM(_xlfn.XLOOKUP(S119:AG119,增益!$A:$A,增益!$T:$T,0))</f>
        <v>1.35</v>
      </c>
      <c r="BO119" s="27">
        <f t="shared" si="31"/>
        <v>0.9036</v>
      </c>
      <c r="BP119" s="27">
        <f t="shared" si="32"/>
        <v>0.00350000000000006</v>
      </c>
      <c r="BQ119" s="27">
        <f>IF(VLOOKUP($R119,武学奇术!$A:$ZZ,22,FALSE)=1,0,(1-$BJ119))*(1-$BM119)</f>
        <v>0</v>
      </c>
      <c r="BR119" s="27" cm="1">
        <f t="array" ref="BR119">SUM(_xlfn.XLOOKUP(S119:AG119,增益!$A:$A,增益!$W:$W,0))+$I$5</f>
        <v>0.11</v>
      </c>
    </row>
    <row r="120" spans="1:70">
      <c r="A120" s="4" t="s">
        <v>170</v>
      </c>
      <c r="B120" s="4">
        <v>1</v>
      </c>
      <c r="K120">
        <f>$L120*VLOOKUP($R120,武学奇术!$A:$ZZ,31,FALSE)</f>
        <v>0</v>
      </c>
      <c r="L120" s="39">
        <f t="shared" si="33"/>
        <v>0</v>
      </c>
      <c r="M120" s="39">
        <f>((($AO120+($AP120-$AO120)*IF(VLOOKUP($R120,武学奇术!$A:$ZZ,31,FALSE)=1,$F$18,0.5))*$AI120+$AJ120)*(1+$AQ120)*(1+$AR120)+(($AT120+($AU120-$AT120)*IF(VLOOKUP($R120,武学奇术!$A:$ZZ,31,FALSE)=1,$F$18,0.5))*IF($G$1="鸣金",$AK120,$AI120)+IF($G$1="鸣金",$AL120*1.5,0))*(1+$AV120)*(1+$AW120)+(($AX120+($AY120-$AX120)*IF(VLOOKUP($R120,武学奇术!$A:$ZZ,31,FALSE)=1,$F$18,0.5))*IF($G$1="裂石",$AK120,$AI120)+IF($G$1="裂石",$AL120*1.5,0))*(1+$AZ120)*(1+$BA120)+(($BB120+($BC120-$BB120)*IF(VLOOKUP($R120,武学奇术!$A:$ZZ,31,FALSE)=1,$F$18,0.5))*IF($G$1="牵丝",$AK120,$AI120)+IF($G$1="牵丝",$AL120*1.5,0))*(1+$BD120)*(1+$BE120)+(($BF120+($BG120-$BF120)*IF(VLOOKUP($R120,武学奇术!$A:$ZZ,31,FALSE)=1,$F$18,0.5))*IF($G$1="破竹",$AK120,$AI120)+IF($G$1="破竹",$AL120*1.5,0))*(1+$BH120)*(1+$BI120))*(1+$AM120)*$BL120*$Q120*(1+IF(VLOOKUP($R120,武学奇术!$A:$ZZ,30,FALSE)="蓄力技",$B$21,0))*(1+$BR120)</f>
        <v>0</v>
      </c>
      <c r="N120" s="39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蓄力技",$B$21,0))*(1+$BR120)</f>
        <v>0</v>
      </c>
      <c r="O120" s="39">
        <f>((($AO120+($AP120-$AO120)*IF(VLOOKUP($R120,武学奇术!$A:$ZZ,31,FALSE)=1,$F$18,0.5))*$AI120+$AJ120)*(1+$AQ120)*(1+$AR120)+(($AT120+($AU120-$AT120)*IF(VLOOKUP($R120,武学奇术!$A:$ZZ,31,FALSE)=1,$F$18,0.5))*IF($G$1="鸣金",$AK120,$AI120)+IF($G$1="鸣金",$AL120*1.5,0))*(1+$AV120)*(1+$AW120)+(($AX120+($AY120-$AX120)*IF(VLOOKUP($R120,武学奇术!$A:$ZZ,31,FALSE)=1,$F$18,0.5))*IF($G$1="裂石",$AK120,$AI120)+IF($G$1="裂石",$AL120*1.5,0))*(1+$AZ120)*(1+$BA120)+(($BB120+($BC120-$BB120)*IF(VLOOKUP($R120,武学奇术!$A:$ZZ,31,FALSE)=1,$F$18,0.5))*IF($G$1="牵丝",$AK120,$AI120)+IF($G$1="牵丝",$AL120*1.5,0))*(1+$BD120)*(1+$BE120)+(($BF120+($BG120-$BF120)*IF(VLOOKUP($R120,武学奇术!$A:$ZZ,31,FALSE)=1,$F$18,0.5))*IF($G$1="破竹",$AK120,$AI120)+IF($G$1="破竹",$AL120*1.5,0))*(1+$BH120)*(1+$BI120))*(1+$AM120)*$Q120*(1+IF(VLOOKUP($R120,武学奇术!$A:$ZZ,30,FALSE)="蓄力技",$B$21,0))*(1+$BR120)</f>
        <v>0</v>
      </c>
      <c r="P120" s="39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蓄力技",$B$21,0))*(1+$BR120)</f>
        <v>0</v>
      </c>
      <c r="Q120" s="40">
        <v>1</v>
      </c>
      <c r="R120" s="41" t="s">
        <v>73</v>
      </c>
      <c r="S120" s="41" t="s">
        <v>73</v>
      </c>
      <c r="T120" s="41" t="s">
        <v>73</v>
      </c>
      <c r="U120" s="41" t="s">
        <v>73</v>
      </c>
      <c r="V120" s="41" t="s">
        <v>73</v>
      </c>
      <c r="W120" s="41" t="s">
        <v>73</v>
      </c>
      <c r="X120" s="41" t="s">
        <v>73</v>
      </c>
      <c r="Y120" s="41" t="s">
        <v>73</v>
      </c>
      <c r="Z120" s="41" t="s">
        <v>73</v>
      </c>
      <c r="AA120" s="41" t="s">
        <v>73</v>
      </c>
      <c r="AB120" s="41" t="s">
        <v>73</v>
      </c>
      <c r="AC120" s="41" t="s">
        <v>73</v>
      </c>
      <c r="AD120" s="41" t="s">
        <v>73</v>
      </c>
      <c r="AE120" s="41" t="s">
        <v>76</v>
      </c>
      <c r="AF120" s="41" t="s">
        <v>77</v>
      </c>
      <c r="AG120" s="41" t="s">
        <v>73</v>
      </c>
      <c r="AH120" t="str">
        <f>VLOOKUP($R120,武学奇术!$A:$ZZ,25,FALSE)</f>
        <v>心法</v>
      </c>
      <c r="AI120" s="27">
        <f>VLOOKUP($R120,武学奇术!$A:$ZZ,26,FALSE)</f>
        <v>0</v>
      </c>
      <c r="AJ120" s="28">
        <f>VLOOKUP($R120,武学奇术!$A:$ZZ,27,FALSE)*(1+IF(OR($AH120=$F$4,$AH120=$F$5),$B$22,0))</f>
        <v>0</v>
      </c>
      <c r="AK120" s="27">
        <f>VLOOKUP($R120,武学奇术!$A:$ZZ,28,FALSE)</f>
        <v>0</v>
      </c>
      <c r="AL120" s="28">
        <f>VLOOKUP($R120,武学奇术!$A:$ZZ,29,FALSE)*(1+IF(OR($AH120=$F$4,$AH120=$F$5),$B$22,0))</f>
        <v>0</v>
      </c>
      <c r="AM120" s="27" cm="1">
        <f t="array" ref="AM120">$G$3+IFERROR(VLOOKUP($AH120,$F$4:$G$7,2,FALSE),0)+VLOOKUP($R120,武学奇术!$A:$ZZ,2,FALSE)+SUM(_xlfn.XLOOKUP($S120:$AG120,增益!$A:$A,增益!$B:$B,0))</f>
        <v>0.1837</v>
      </c>
      <c r="AN120" s="27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3888.382</v>
      </c>
      <c r="AP120" cm="1">
        <f t="array" ref="AP120">$E$10*(1+$AN120)+VLOOKUP($R120,武学奇术!$A:$ZZ,4,FALSE)+SUM(_xlfn.XLOOKUP($S120:$AG120,增益!$A:$A,增益!$D:$D,0))-$I$2</f>
        <v>3888.382</v>
      </c>
      <c r="AQ120" s="33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0.267</v>
      </c>
      <c r="AR120" s="33" cm="1">
        <f t="array" ref="AR120">$G$10+VLOOKUP($R120,武学奇术!$A:$ZZ,7,FALSE)+SUM(_xlfn.XLOOKUP(S120:AG120,增益!$A:$A,增益!$G:$G,0))</f>
        <v>0</v>
      </c>
      <c r="AS120" s="27" cm="1">
        <f t="array" ref="AS120">VLOOKUP($R120,武学奇术!$A:$ZZ,8,FALSE)+SUM(_xlfn.XLOOKUP(S120:AG120,增益!$A:$A,增益!$H:$H,0))</f>
        <v>0</v>
      </c>
      <c r="AT120">
        <f t="shared" si="34"/>
        <v>0</v>
      </c>
      <c r="AU120">
        <f t="shared" si="35"/>
        <v>0</v>
      </c>
      <c r="AV120" s="33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-0.3</v>
      </c>
      <c r="AW120" s="33" cm="1">
        <f t="array" ref="AW120">$G$11+VLOOKUP($R120,武学奇术!$A:$ZZ,10,FALSE)+SUM(_xlfn.XLOOKUP(S120:AG120,增益!$A:$A,增益!$J:$J,0))</f>
        <v>0</v>
      </c>
      <c r="AX120">
        <f t="shared" si="36"/>
        <v>0</v>
      </c>
      <c r="AY120">
        <f t="shared" si="37"/>
        <v>0</v>
      </c>
      <c r="AZ120" s="33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-0.3</v>
      </c>
      <c r="BA120" s="33" cm="1">
        <f t="array" ref="BA120">$G$12+VLOOKUP($R120,武学奇术!$A:$ZZ,12,FALSE)+SUM(_xlfn.XLOOKUP(S120:AG120,增益!$A:$A,增益!$L:$L,0))</f>
        <v>0</v>
      </c>
      <c r="BB120">
        <f t="shared" si="38"/>
        <v>0</v>
      </c>
      <c r="BC120">
        <f t="shared" si="39"/>
        <v>0</v>
      </c>
      <c r="BD120" s="33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-0.3</v>
      </c>
      <c r="BE120" s="33" cm="1">
        <f t="array" ref="BE120">$G$13+VLOOKUP($R120,武学奇术!$A:$ZZ,14,FALSE)+SUM(_xlfn.XLOOKUP(S120:AG120,增益!$A:$A,增益!$N:$N,0))</f>
        <v>0</v>
      </c>
      <c r="BF120">
        <f t="shared" si="40"/>
        <v>605.472</v>
      </c>
      <c r="BG120">
        <f t="shared" si="41"/>
        <v>1725.468</v>
      </c>
      <c r="BH120" s="33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0</v>
      </c>
      <c r="BI120" s="33" cm="1">
        <f t="array" ref="BI120">$G$14+VLOOKUP($R120,武学奇术!$A:$ZZ,16,FALSE)+SUM(_xlfn.XLOOKUP(S120:AG120,增益!$A:$A,增益!$P:$P,0))</f>
        <v>0.15</v>
      </c>
      <c r="BJ120" s="27">
        <f>MIN(IF(VLOOKUP($R120,武学奇术!$A:$ZZ,23,FALSE)=1,100%,$B$8),100%)</f>
        <v>1</v>
      </c>
      <c r="BK120" s="27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+MIN(IF(VLOOKUP($R120,武学奇术!$A:$ZZ,32,FALSE)=1,IF(VLOOKUP($R120,武学奇术!$A:$ZZ,24,FALSE)=1,100%,MIN(40%,$B$10+VLOOKUP($R120,武学奇术!$A:$ZZ,19,FALSE)+SUM(_xlfn.XLOOKUP(S120:AG120,增益!$A:$A,增益!$S:$S,0)))+$B$12+SUM(_xlfn.XLOOKUP(S120:AG120,增益!$A:$A,增益!$V:$V,0))),0),12%)</f>
        <v>0.9036</v>
      </c>
      <c r="BL120" s="27" cm="1">
        <f t="array" ref="BL120">1+$B$13+VLOOKUP($R120,武学奇术!$A:$ZZ,18,FALSE)+SUM(_xlfn.XLOOKUP(S120:AG120,增益!$A:$A,增益!$R:$R,0))</f>
        <v>1.54</v>
      </c>
      <c r="BM120" s="27" cm="1">
        <f t="array" ref="BM120">MAX(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-IF(VLOOKUP($R120,武学奇术!$A:$ZZ,32,FALSE)=1,12%,0),0)</f>
        <v>0.0929</v>
      </c>
      <c r="BN120" s="27" cm="1">
        <f t="array" ref="BN120">1+$B$14+VLOOKUP($R120,武学奇术!$A:$ZZ,20,FALSE)+SUM(_xlfn.XLOOKUP(S120:AG120,增益!$A:$A,增益!$T:$T,0))</f>
        <v>1.35</v>
      </c>
      <c r="BO120" s="27">
        <f t="shared" si="31"/>
        <v>0.9036</v>
      </c>
      <c r="BP120" s="27">
        <f t="shared" si="32"/>
        <v>0.00350000000000006</v>
      </c>
      <c r="BQ120" s="27">
        <f>IF(VLOOKUP($R120,武学奇术!$A:$ZZ,22,FALSE)=1,0,(1-$BJ120))*(1-$BM120)</f>
        <v>0</v>
      </c>
      <c r="BR120" s="27" cm="1">
        <f t="array" ref="BR120">SUM(_xlfn.XLOOKUP(S120:AG120,增益!$A:$A,增益!$W:$W,0))+$I$5</f>
        <v>0.11</v>
      </c>
    </row>
    <row r="121" spans="1:70">
      <c r="A121" s="4" t="s">
        <v>168</v>
      </c>
      <c r="B121" s="91">
        <v>1.16</v>
      </c>
      <c r="K121">
        <f>$L121*VLOOKUP($R121,武学奇术!$A:$ZZ,31,FALSE)</f>
        <v>0</v>
      </c>
      <c r="L121" s="39">
        <f t="shared" si="33"/>
        <v>0</v>
      </c>
      <c r="M121" s="39">
        <f>((($AO121+($AP121-$AO121)*IF(VLOOKUP($R121,武学奇术!$A:$ZZ,31,FALSE)=1,$F$18,0.5))*$AI121+$AJ121)*(1+$AQ121)*(1+$AR121)+(($AT121+($AU121-$AT121)*IF(VLOOKUP($R121,武学奇术!$A:$ZZ,31,FALSE)=1,$F$18,0.5))*IF($G$1="鸣金",$AK121,$AI121)+IF($G$1="鸣金",$AL121*1.5,0))*(1+$AV121)*(1+$AW121)+(($AX121+($AY121-$AX121)*IF(VLOOKUP($R121,武学奇术!$A:$ZZ,31,FALSE)=1,$F$18,0.5))*IF($G$1="裂石",$AK121,$AI121)+IF($G$1="裂石",$AL121*1.5,0))*(1+$AZ121)*(1+$BA121)+(($BB121+($BC121-$BB121)*IF(VLOOKUP($R121,武学奇术!$A:$ZZ,31,FALSE)=1,$F$18,0.5))*IF($G$1="牵丝",$AK121,$AI121)+IF($G$1="牵丝",$AL121*1.5,0))*(1+$BD121)*(1+$BE121)+(($BF121+($BG121-$BF121)*IF(VLOOKUP($R121,武学奇术!$A:$ZZ,31,FALSE)=1,$F$18,0.5))*IF($G$1="破竹",$AK121,$AI121)+IF($G$1="破竹",$AL121*1.5,0))*(1+$BH121)*(1+$BI121))*(1+$AM121)*$BL121*$Q121*(1+IF(VLOOKUP($R121,武学奇术!$A:$ZZ,30,FALSE)="蓄力技",$B$21,0))*(1+$BR121)</f>
        <v>0</v>
      </c>
      <c r="N121" s="39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蓄力技",$B$21,0))*(1+$BR121)</f>
        <v>0</v>
      </c>
      <c r="O121" s="39">
        <f>((($AO121+($AP121-$AO121)*IF(VLOOKUP($R121,武学奇术!$A:$ZZ,31,FALSE)=1,$F$18,0.5))*$AI121+$AJ121)*(1+$AQ121)*(1+$AR121)+(($AT121+($AU121-$AT121)*IF(VLOOKUP($R121,武学奇术!$A:$ZZ,31,FALSE)=1,$F$18,0.5))*IF($G$1="鸣金",$AK121,$AI121)+IF($G$1="鸣金",$AL121*1.5,0))*(1+$AV121)*(1+$AW121)+(($AX121+($AY121-$AX121)*IF(VLOOKUP($R121,武学奇术!$A:$ZZ,31,FALSE)=1,$F$18,0.5))*IF($G$1="裂石",$AK121,$AI121)+IF($G$1="裂石",$AL121*1.5,0))*(1+$AZ121)*(1+$BA121)+(($BB121+($BC121-$BB121)*IF(VLOOKUP($R121,武学奇术!$A:$ZZ,31,FALSE)=1,$F$18,0.5))*IF($G$1="牵丝",$AK121,$AI121)+IF($G$1="牵丝",$AL121*1.5,0))*(1+$BD121)*(1+$BE121)+(($BF121+($BG121-$BF121)*IF(VLOOKUP($R121,武学奇术!$A:$ZZ,31,FALSE)=1,$F$18,0.5))*IF($G$1="破竹",$AK121,$AI121)+IF($G$1="破竹",$AL121*1.5,0))*(1+$BH121)*(1+$BI121))*(1+$AM121)*$Q121*(1+IF(VLOOKUP($R121,武学奇术!$A:$ZZ,30,FALSE)="蓄力技",$B$21,0))*(1+$BR121)</f>
        <v>0</v>
      </c>
      <c r="P121" s="39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蓄力技",$B$21,0))*(1+$BR121)</f>
        <v>0</v>
      </c>
      <c r="Q121" s="40">
        <v>1</v>
      </c>
      <c r="R121" s="41" t="s">
        <v>73</v>
      </c>
      <c r="S121" s="41" t="s">
        <v>73</v>
      </c>
      <c r="T121" s="41" t="s">
        <v>73</v>
      </c>
      <c r="U121" s="41" t="s">
        <v>73</v>
      </c>
      <c r="V121" s="41" t="s">
        <v>73</v>
      </c>
      <c r="W121" s="41" t="s">
        <v>73</v>
      </c>
      <c r="X121" s="41" t="s">
        <v>73</v>
      </c>
      <c r="Y121" s="41" t="s">
        <v>73</v>
      </c>
      <c r="Z121" s="41" t="s">
        <v>73</v>
      </c>
      <c r="AA121" s="41" t="s">
        <v>73</v>
      </c>
      <c r="AB121" s="41" t="s">
        <v>73</v>
      </c>
      <c r="AC121" s="41" t="s">
        <v>73</v>
      </c>
      <c r="AD121" s="41" t="s">
        <v>73</v>
      </c>
      <c r="AE121" s="41" t="s">
        <v>76</v>
      </c>
      <c r="AF121" s="41" t="s">
        <v>77</v>
      </c>
      <c r="AG121" s="41" t="s">
        <v>73</v>
      </c>
      <c r="AH121" t="str">
        <f>VLOOKUP($R121,武学奇术!$A:$ZZ,25,FALSE)</f>
        <v>心法</v>
      </c>
      <c r="AI121" s="27">
        <f>VLOOKUP($R121,武学奇术!$A:$ZZ,26,FALSE)</f>
        <v>0</v>
      </c>
      <c r="AJ121" s="28">
        <f>VLOOKUP($R121,武学奇术!$A:$ZZ,27,FALSE)*(1+IF(OR($AH121=$F$4,$AH121=$F$5),$B$22,0))</f>
        <v>0</v>
      </c>
      <c r="AK121" s="27">
        <f>VLOOKUP($R121,武学奇术!$A:$ZZ,28,FALSE)</f>
        <v>0</v>
      </c>
      <c r="AL121" s="28">
        <f>VLOOKUP($R121,武学奇术!$A:$ZZ,29,FALSE)*(1+IF(OR($AH121=$F$4,$AH121=$F$5),$B$22,0))</f>
        <v>0</v>
      </c>
      <c r="AM121" s="27" cm="1">
        <f t="array" ref="AM121">$G$3+IFERROR(VLOOKUP($AH121,$F$4:$G$7,2,FALSE),0)+VLOOKUP($R121,武学奇术!$A:$ZZ,2,FALSE)+SUM(_xlfn.XLOOKUP($S121:$AG121,增益!$A:$A,增益!$B:$B,0))</f>
        <v>0.1837</v>
      </c>
      <c r="AN121" s="27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3888.382</v>
      </c>
      <c r="AP121" cm="1">
        <f t="array" ref="AP121">$E$10*(1+$AN121)+VLOOKUP($R121,武学奇术!$A:$ZZ,4,FALSE)+SUM(_xlfn.XLOOKUP($S121:$AG121,增益!$A:$A,增益!$D:$D,0))-$I$2</f>
        <v>3888.382</v>
      </c>
      <c r="AQ121" s="33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0.267</v>
      </c>
      <c r="AR121" s="33" cm="1">
        <f t="array" ref="AR121">$G$10+VLOOKUP($R121,武学奇术!$A:$ZZ,7,FALSE)+SUM(_xlfn.XLOOKUP(S121:AG121,增益!$A:$A,增益!$G:$G,0))</f>
        <v>0</v>
      </c>
      <c r="AS121" s="27" cm="1">
        <f t="array" ref="AS121">VLOOKUP($R121,武学奇术!$A:$ZZ,8,FALSE)+SUM(_xlfn.XLOOKUP(S121:AG121,增益!$A:$A,增益!$H:$H,0))</f>
        <v>0</v>
      </c>
      <c r="AT121">
        <f t="shared" si="34"/>
        <v>0</v>
      </c>
      <c r="AU121">
        <f t="shared" si="35"/>
        <v>0</v>
      </c>
      <c r="AV121" s="33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-0.3</v>
      </c>
      <c r="AW121" s="33" cm="1">
        <f t="array" ref="AW121">$G$11+VLOOKUP($R121,武学奇术!$A:$ZZ,10,FALSE)+SUM(_xlfn.XLOOKUP(S121:AG121,增益!$A:$A,增益!$J:$J,0))</f>
        <v>0</v>
      </c>
      <c r="AX121">
        <f t="shared" si="36"/>
        <v>0</v>
      </c>
      <c r="AY121">
        <f t="shared" si="37"/>
        <v>0</v>
      </c>
      <c r="AZ121" s="33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-0.3</v>
      </c>
      <c r="BA121" s="33" cm="1">
        <f t="array" ref="BA121">$G$12+VLOOKUP($R121,武学奇术!$A:$ZZ,12,FALSE)+SUM(_xlfn.XLOOKUP(S121:AG121,增益!$A:$A,增益!$L:$L,0))</f>
        <v>0</v>
      </c>
      <c r="BB121">
        <f t="shared" si="38"/>
        <v>0</v>
      </c>
      <c r="BC121">
        <f t="shared" si="39"/>
        <v>0</v>
      </c>
      <c r="BD121" s="33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-0.3</v>
      </c>
      <c r="BE121" s="33" cm="1">
        <f t="array" ref="BE121">$G$13+VLOOKUP($R121,武学奇术!$A:$ZZ,14,FALSE)+SUM(_xlfn.XLOOKUP(S121:AG121,增益!$A:$A,增益!$N:$N,0))</f>
        <v>0</v>
      </c>
      <c r="BF121">
        <f t="shared" si="40"/>
        <v>605.472</v>
      </c>
      <c r="BG121">
        <f t="shared" si="41"/>
        <v>1725.468</v>
      </c>
      <c r="BH121" s="33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0</v>
      </c>
      <c r="BI121" s="33" cm="1">
        <f t="array" ref="BI121">$G$14+VLOOKUP($R121,武学奇术!$A:$ZZ,16,FALSE)+SUM(_xlfn.XLOOKUP(S121:AG121,增益!$A:$A,增益!$P:$P,0))</f>
        <v>0.15</v>
      </c>
      <c r="BJ121" s="27">
        <f>MIN(IF(VLOOKUP($R121,武学奇术!$A:$ZZ,23,FALSE)=1,100%,$B$8),100%)</f>
        <v>1</v>
      </c>
      <c r="BK121" s="27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+MIN(IF(VLOOKUP($R121,武学奇术!$A:$ZZ,32,FALSE)=1,IF(VLOOKUP($R121,武学奇术!$A:$ZZ,24,FALSE)=1,100%,MIN(40%,$B$10+VLOOKUP($R121,武学奇术!$A:$ZZ,19,FALSE)+SUM(_xlfn.XLOOKUP(S121:AG121,增益!$A:$A,增益!$S:$S,0)))+$B$12+SUM(_xlfn.XLOOKUP(S121:AG121,增益!$A:$A,增益!$V:$V,0))),0),12%)</f>
        <v>0.9036</v>
      </c>
      <c r="BL121" s="27" cm="1">
        <f t="array" ref="BL121">1+$B$13+VLOOKUP($R121,武学奇术!$A:$ZZ,18,FALSE)+SUM(_xlfn.XLOOKUP(S121:AG121,增益!$A:$A,增益!$R:$R,0))</f>
        <v>1.54</v>
      </c>
      <c r="BM121" s="27" cm="1">
        <f t="array" ref="BM121">MAX(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-IF(VLOOKUP($R121,武学奇术!$A:$ZZ,32,FALSE)=1,12%,0),0)</f>
        <v>0.0929</v>
      </c>
      <c r="BN121" s="27" cm="1">
        <f t="array" ref="BN121">1+$B$14+VLOOKUP($R121,武学奇术!$A:$ZZ,20,FALSE)+SUM(_xlfn.XLOOKUP(S121:AG121,增益!$A:$A,增益!$T:$T,0))</f>
        <v>1.35</v>
      </c>
      <c r="BO121" s="27">
        <f t="shared" si="31"/>
        <v>0.9036</v>
      </c>
      <c r="BP121" s="27">
        <f t="shared" si="32"/>
        <v>0.00350000000000006</v>
      </c>
      <c r="BQ121" s="27">
        <f>IF(VLOOKUP($R121,武学奇术!$A:$ZZ,22,FALSE)=1,0,(1-$BJ121))*(1-$BM121)</f>
        <v>0</v>
      </c>
      <c r="BR121" s="27" cm="1">
        <f t="array" ref="BR121">SUM(_xlfn.XLOOKUP(S121:AG121,增益!$A:$A,增益!$W:$W,0))+$I$5</f>
        <v>0.11</v>
      </c>
    </row>
    <row r="122" spans="1:70">
      <c r="A122" t="s">
        <v>160</v>
      </c>
      <c r="B122">
        <v>0.1</v>
      </c>
      <c r="K122">
        <f>$L122*VLOOKUP($R122,武学奇术!$A:$ZZ,31,FALSE)</f>
        <v>0</v>
      </c>
      <c r="L122" s="39">
        <f t="shared" si="33"/>
        <v>0</v>
      </c>
      <c r="M122" s="39">
        <f>((($AO122+($AP122-$AO122)*IF(VLOOKUP($R122,武学奇术!$A:$ZZ,31,FALSE)=1,$F$18,0.5))*$AI122+$AJ122)*(1+$AQ122)*(1+$AR122)+(($AT122+($AU122-$AT122)*IF(VLOOKUP($R122,武学奇术!$A:$ZZ,31,FALSE)=1,$F$18,0.5))*IF($G$1="鸣金",$AK122,$AI122)+IF($G$1="鸣金",$AL122*1.5,0))*(1+$AV122)*(1+$AW122)+(($AX122+($AY122-$AX122)*IF(VLOOKUP($R122,武学奇术!$A:$ZZ,31,FALSE)=1,$F$18,0.5))*IF($G$1="裂石",$AK122,$AI122)+IF($G$1="裂石",$AL122*1.5,0))*(1+$AZ122)*(1+$BA122)+(($BB122+($BC122-$BB122)*IF(VLOOKUP($R122,武学奇术!$A:$ZZ,31,FALSE)=1,$F$18,0.5))*IF($G$1="牵丝",$AK122,$AI122)+IF($G$1="牵丝",$AL122*1.5,0))*(1+$BD122)*(1+$BE122)+(($BF122+($BG122-$BF122)*IF(VLOOKUP($R122,武学奇术!$A:$ZZ,31,FALSE)=1,$F$18,0.5))*IF($G$1="破竹",$AK122,$AI122)+IF($G$1="破竹",$AL122*1.5,0))*(1+$BH122)*(1+$BI122))*(1+$AM122)*$BL122*$Q122*(1+IF(VLOOKUP($R122,武学奇术!$A:$ZZ,30,FALSE)="蓄力技",$B$21,0))*(1+$BR122)</f>
        <v>0</v>
      </c>
      <c r="N122" s="39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蓄力技",$B$21,0))*(1+$BR122)</f>
        <v>0</v>
      </c>
      <c r="O122" s="39">
        <f>((($AO122+($AP122-$AO122)*IF(VLOOKUP($R122,武学奇术!$A:$ZZ,31,FALSE)=1,$F$18,0.5))*$AI122+$AJ122)*(1+$AQ122)*(1+$AR122)+(($AT122+($AU122-$AT122)*IF(VLOOKUP($R122,武学奇术!$A:$ZZ,31,FALSE)=1,$F$18,0.5))*IF($G$1="鸣金",$AK122,$AI122)+IF($G$1="鸣金",$AL122*1.5,0))*(1+$AV122)*(1+$AW122)+(($AX122+($AY122-$AX122)*IF(VLOOKUP($R122,武学奇术!$A:$ZZ,31,FALSE)=1,$F$18,0.5))*IF($G$1="裂石",$AK122,$AI122)+IF($G$1="裂石",$AL122*1.5,0))*(1+$AZ122)*(1+$BA122)+(($BB122+($BC122-$BB122)*IF(VLOOKUP($R122,武学奇术!$A:$ZZ,31,FALSE)=1,$F$18,0.5))*IF($G$1="牵丝",$AK122,$AI122)+IF($G$1="牵丝",$AL122*1.5,0))*(1+$BD122)*(1+$BE122)+(($BF122+($BG122-$BF122)*IF(VLOOKUP($R122,武学奇术!$A:$ZZ,31,FALSE)=1,$F$18,0.5))*IF($G$1="破竹",$AK122,$AI122)+IF($G$1="破竹",$AL122*1.5,0))*(1+$BH122)*(1+$BI122))*(1+$AM122)*$Q122*(1+IF(VLOOKUP($R122,武学奇术!$A:$ZZ,30,FALSE)="蓄力技",$B$21,0))*(1+$BR122)</f>
        <v>0</v>
      </c>
      <c r="P122" s="39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蓄力技",$B$21,0))*(1+$BR122)</f>
        <v>0</v>
      </c>
      <c r="Q122" s="40">
        <v>1</v>
      </c>
      <c r="R122" s="41" t="s">
        <v>73</v>
      </c>
      <c r="S122" s="41" t="s">
        <v>73</v>
      </c>
      <c r="T122" s="41" t="s">
        <v>73</v>
      </c>
      <c r="U122" s="41" t="s">
        <v>73</v>
      </c>
      <c r="V122" s="41" t="s">
        <v>73</v>
      </c>
      <c r="W122" s="41" t="s">
        <v>73</v>
      </c>
      <c r="X122" s="41" t="s">
        <v>73</v>
      </c>
      <c r="Y122" s="41" t="s">
        <v>73</v>
      </c>
      <c r="Z122" s="41" t="s">
        <v>73</v>
      </c>
      <c r="AA122" s="41" t="s">
        <v>73</v>
      </c>
      <c r="AB122" s="41" t="s">
        <v>73</v>
      </c>
      <c r="AC122" s="41" t="s">
        <v>73</v>
      </c>
      <c r="AD122" s="41" t="s">
        <v>73</v>
      </c>
      <c r="AE122" s="41" t="s">
        <v>76</v>
      </c>
      <c r="AF122" s="41" t="s">
        <v>77</v>
      </c>
      <c r="AG122" s="41" t="s">
        <v>73</v>
      </c>
      <c r="AH122" t="str">
        <f>VLOOKUP($R122,武学奇术!$A:$ZZ,25,FALSE)</f>
        <v>心法</v>
      </c>
      <c r="AI122" s="27">
        <f>VLOOKUP($R122,武学奇术!$A:$ZZ,26,FALSE)</f>
        <v>0</v>
      </c>
      <c r="AJ122" s="28">
        <f>VLOOKUP($R122,武学奇术!$A:$ZZ,27,FALSE)*(1+IF(OR($AH122=$F$4,$AH122=$F$5),$B$22,0))</f>
        <v>0</v>
      </c>
      <c r="AK122" s="27">
        <f>VLOOKUP($R122,武学奇术!$A:$ZZ,28,FALSE)</f>
        <v>0</v>
      </c>
      <c r="AL122" s="28">
        <f>VLOOKUP($R122,武学奇术!$A:$ZZ,29,FALSE)*(1+IF(OR($AH122=$F$4,$AH122=$F$5),$B$22,0))</f>
        <v>0</v>
      </c>
      <c r="AM122" s="27" cm="1">
        <f t="array" ref="AM122">$G$3+IFERROR(VLOOKUP($AH122,$F$4:$G$7,2,FALSE),0)+VLOOKUP($R122,武学奇术!$A:$ZZ,2,FALSE)+SUM(_xlfn.XLOOKUP($S122:$AG122,增益!$A:$A,增益!$B:$B,0))</f>
        <v>0.1837</v>
      </c>
      <c r="AN122" s="27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3888.382</v>
      </c>
      <c r="AP122" cm="1">
        <f t="array" ref="AP122">$E$10*(1+$AN122)+VLOOKUP($R122,武学奇术!$A:$ZZ,4,FALSE)+SUM(_xlfn.XLOOKUP($S122:$AG122,增益!$A:$A,增益!$D:$D,0))-$I$2</f>
        <v>3888.382</v>
      </c>
      <c r="AQ122" s="33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0.267</v>
      </c>
      <c r="AR122" s="33" cm="1">
        <f t="array" ref="AR122">$G$10+VLOOKUP($R122,武学奇术!$A:$ZZ,7,FALSE)+SUM(_xlfn.XLOOKUP(S122:AG122,增益!$A:$A,增益!$G:$G,0))</f>
        <v>0</v>
      </c>
      <c r="AS122" s="27" cm="1">
        <f t="array" ref="AS122">VLOOKUP($R122,武学奇术!$A:$ZZ,8,FALSE)+SUM(_xlfn.XLOOKUP(S122:AG122,增益!$A:$A,增益!$H:$H,0))</f>
        <v>0</v>
      </c>
      <c r="AT122">
        <f t="shared" si="34"/>
        <v>0</v>
      </c>
      <c r="AU122">
        <f t="shared" si="35"/>
        <v>0</v>
      </c>
      <c r="AV122" s="33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-0.3</v>
      </c>
      <c r="AW122" s="33" cm="1">
        <f t="array" ref="AW122">$G$11+VLOOKUP($R122,武学奇术!$A:$ZZ,10,FALSE)+SUM(_xlfn.XLOOKUP(S122:AG122,增益!$A:$A,增益!$J:$J,0))</f>
        <v>0</v>
      </c>
      <c r="AX122">
        <f t="shared" si="36"/>
        <v>0</v>
      </c>
      <c r="AY122">
        <f t="shared" si="37"/>
        <v>0</v>
      </c>
      <c r="AZ122" s="33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-0.3</v>
      </c>
      <c r="BA122" s="33" cm="1">
        <f t="array" ref="BA122">$G$12+VLOOKUP($R122,武学奇术!$A:$ZZ,12,FALSE)+SUM(_xlfn.XLOOKUP(S122:AG122,增益!$A:$A,增益!$L:$L,0))</f>
        <v>0</v>
      </c>
      <c r="BB122">
        <f t="shared" si="38"/>
        <v>0</v>
      </c>
      <c r="BC122">
        <f t="shared" si="39"/>
        <v>0</v>
      </c>
      <c r="BD122" s="33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-0.3</v>
      </c>
      <c r="BE122" s="33" cm="1">
        <f t="array" ref="BE122">$G$13+VLOOKUP($R122,武学奇术!$A:$ZZ,14,FALSE)+SUM(_xlfn.XLOOKUP(S122:AG122,增益!$A:$A,增益!$N:$N,0))</f>
        <v>0</v>
      </c>
      <c r="BF122">
        <f t="shared" si="40"/>
        <v>605.472</v>
      </c>
      <c r="BG122">
        <f t="shared" si="41"/>
        <v>1725.468</v>
      </c>
      <c r="BH122" s="33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0</v>
      </c>
      <c r="BI122" s="33" cm="1">
        <f t="array" ref="BI122">$G$14+VLOOKUP($R122,武学奇术!$A:$ZZ,16,FALSE)+SUM(_xlfn.XLOOKUP(S122:AG122,增益!$A:$A,增益!$P:$P,0))</f>
        <v>0.15</v>
      </c>
      <c r="BJ122" s="27">
        <f>MIN(IF(VLOOKUP($R122,武学奇术!$A:$ZZ,23,FALSE)=1,100%,$B$8),100%)</f>
        <v>1</v>
      </c>
      <c r="BK122" s="27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+MIN(IF(VLOOKUP($R122,武学奇术!$A:$ZZ,32,FALSE)=1,IF(VLOOKUP($R122,武学奇术!$A:$ZZ,24,FALSE)=1,100%,MIN(40%,$B$10+VLOOKUP($R122,武学奇术!$A:$ZZ,19,FALSE)+SUM(_xlfn.XLOOKUP(S122:AG122,增益!$A:$A,增益!$S:$S,0)))+$B$12+SUM(_xlfn.XLOOKUP(S122:AG122,增益!$A:$A,增益!$V:$V,0))),0),12%)</f>
        <v>0.9036</v>
      </c>
      <c r="BL122" s="27" cm="1">
        <f t="array" ref="BL122">1+$B$13+VLOOKUP($R122,武学奇术!$A:$ZZ,18,FALSE)+SUM(_xlfn.XLOOKUP(S122:AG122,增益!$A:$A,增益!$R:$R,0))</f>
        <v>1.54</v>
      </c>
      <c r="BM122" s="27" cm="1">
        <f t="array" ref="BM122">MAX(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-IF(VLOOKUP($R122,武学奇术!$A:$ZZ,32,FALSE)=1,12%,0),0)</f>
        <v>0.0929</v>
      </c>
      <c r="BN122" s="27" cm="1">
        <f t="array" ref="BN122">1+$B$14+VLOOKUP($R122,武学奇术!$A:$ZZ,20,FALSE)+SUM(_xlfn.XLOOKUP(S122:AG122,增益!$A:$A,增益!$T:$T,0))</f>
        <v>1.35</v>
      </c>
      <c r="BO122" s="27">
        <f t="shared" si="31"/>
        <v>0.9036</v>
      </c>
      <c r="BP122" s="27">
        <f t="shared" si="32"/>
        <v>0.00350000000000006</v>
      </c>
      <c r="BQ122" s="27">
        <f>IF(VLOOKUP($R122,武学奇术!$A:$ZZ,22,FALSE)=1,0,(1-$BJ122))*(1-$BM122)</f>
        <v>0</v>
      </c>
      <c r="BR122" s="27" cm="1">
        <f t="array" ref="BR122">SUM(_xlfn.XLOOKUP(S122:AG122,增益!$A:$A,增益!$W:$W,0))+$I$5</f>
        <v>0.11</v>
      </c>
    </row>
    <row r="123" spans="1:70">
      <c r="A123" t="s">
        <v>181</v>
      </c>
      <c r="B123">
        <v>1.7</v>
      </c>
      <c r="K123">
        <f>$L123*VLOOKUP($R123,武学奇术!$A:$ZZ,31,FALSE)</f>
        <v>0</v>
      </c>
      <c r="L123" s="39">
        <f t="shared" si="33"/>
        <v>0</v>
      </c>
      <c r="M123" s="39">
        <f>((($AO123+($AP123-$AO123)*IF(VLOOKUP($R123,武学奇术!$A:$ZZ,31,FALSE)=1,$F$18,0.5))*$AI123+$AJ123)*(1+$AQ123)*(1+$AR123)+(($AT123+($AU123-$AT123)*IF(VLOOKUP($R123,武学奇术!$A:$ZZ,31,FALSE)=1,$F$18,0.5))*IF($G$1="鸣金",$AK123,$AI123)+IF($G$1="鸣金",$AL123*1.5,0))*(1+$AV123)*(1+$AW123)+(($AX123+($AY123-$AX123)*IF(VLOOKUP($R123,武学奇术!$A:$ZZ,31,FALSE)=1,$F$18,0.5))*IF($G$1="裂石",$AK123,$AI123)+IF($G$1="裂石",$AL123*1.5,0))*(1+$AZ123)*(1+$BA123)+(($BB123+($BC123-$BB123)*IF(VLOOKUP($R123,武学奇术!$A:$ZZ,31,FALSE)=1,$F$18,0.5))*IF($G$1="牵丝",$AK123,$AI123)+IF($G$1="牵丝",$AL123*1.5,0))*(1+$BD123)*(1+$BE123)+(($BF123+($BG123-$BF123)*IF(VLOOKUP($R123,武学奇术!$A:$ZZ,31,FALSE)=1,$F$18,0.5))*IF($G$1="破竹",$AK123,$AI123)+IF($G$1="破竹",$AL123*1.5,0))*(1+$BH123)*(1+$BI123))*(1+$AM123)*$BL123*$Q123*(1+IF(VLOOKUP($R123,武学奇术!$A:$ZZ,30,FALSE)="蓄力技",$B$21,0))*(1+$BR123)</f>
        <v>0</v>
      </c>
      <c r="N123" s="39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蓄力技",$B$21,0))*(1+$BR123)</f>
        <v>0</v>
      </c>
      <c r="O123" s="39">
        <f>((($AO123+($AP123-$AO123)*IF(VLOOKUP($R123,武学奇术!$A:$ZZ,31,FALSE)=1,$F$18,0.5))*$AI123+$AJ123)*(1+$AQ123)*(1+$AR123)+(($AT123+($AU123-$AT123)*IF(VLOOKUP($R123,武学奇术!$A:$ZZ,31,FALSE)=1,$F$18,0.5))*IF($G$1="鸣金",$AK123,$AI123)+IF($G$1="鸣金",$AL123*1.5,0))*(1+$AV123)*(1+$AW123)+(($AX123+($AY123-$AX123)*IF(VLOOKUP($R123,武学奇术!$A:$ZZ,31,FALSE)=1,$F$18,0.5))*IF($G$1="裂石",$AK123,$AI123)+IF($G$1="裂石",$AL123*1.5,0))*(1+$AZ123)*(1+$BA123)+(($BB123+($BC123-$BB123)*IF(VLOOKUP($R123,武学奇术!$A:$ZZ,31,FALSE)=1,$F$18,0.5))*IF($G$1="牵丝",$AK123,$AI123)+IF($G$1="牵丝",$AL123*1.5,0))*(1+$BD123)*(1+$BE123)+(($BF123+($BG123-$BF123)*IF(VLOOKUP($R123,武学奇术!$A:$ZZ,31,FALSE)=1,$F$18,0.5))*IF($G$1="破竹",$AK123,$AI123)+IF($G$1="破竹",$AL123*1.5,0))*(1+$BH123)*(1+$BI123))*(1+$AM123)*$Q123*(1+IF(VLOOKUP($R123,武学奇术!$A:$ZZ,30,FALSE)="蓄力技",$B$21,0))*(1+$BR123)</f>
        <v>0</v>
      </c>
      <c r="P123" s="39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蓄力技",$B$21,0))*(1+$BR123)</f>
        <v>0</v>
      </c>
      <c r="Q123" s="40">
        <v>1</v>
      </c>
      <c r="R123" s="41" t="s">
        <v>73</v>
      </c>
      <c r="S123" s="41" t="s">
        <v>73</v>
      </c>
      <c r="T123" s="41" t="s">
        <v>73</v>
      </c>
      <c r="U123" s="41" t="s">
        <v>73</v>
      </c>
      <c r="V123" s="41" t="s">
        <v>73</v>
      </c>
      <c r="W123" s="41" t="s">
        <v>73</v>
      </c>
      <c r="X123" s="41" t="s">
        <v>73</v>
      </c>
      <c r="Y123" s="41" t="s">
        <v>73</v>
      </c>
      <c r="Z123" s="41" t="s">
        <v>73</v>
      </c>
      <c r="AA123" s="41" t="s">
        <v>73</v>
      </c>
      <c r="AB123" s="41" t="s">
        <v>73</v>
      </c>
      <c r="AC123" s="41" t="s">
        <v>73</v>
      </c>
      <c r="AD123" s="41" t="s">
        <v>73</v>
      </c>
      <c r="AE123" s="41" t="s">
        <v>76</v>
      </c>
      <c r="AF123" s="41" t="s">
        <v>77</v>
      </c>
      <c r="AG123" s="41" t="s">
        <v>73</v>
      </c>
      <c r="AH123" t="str">
        <f>VLOOKUP($R123,武学奇术!$A:$ZZ,25,FALSE)</f>
        <v>心法</v>
      </c>
      <c r="AI123" s="27">
        <f>VLOOKUP($R123,武学奇术!$A:$ZZ,26,FALSE)</f>
        <v>0</v>
      </c>
      <c r="AJ123" s="28">
        <f>VLOOKUP($R123,武学奇术!$A:$ZZ,27,FALSE)*(1+IF(OR($AH123=$F$4,$AH123=$F$5),$B$22,0))</f>
        <v>0</v>
      </c>
      <c r="AK123" s="27">
        <f>VLOOKUP($R123,武学奇术!$A:$ZZ,28,FALSE)</f>
        <v>0</v>
      </c>
      <c r="AL123" s="28">
        <f>VLOOKUP($R123,武学奇术!$A:$ZZ,29,FALSE)*(1+IF(OR($AH123=$F$4,$AH123=$F$5),$B$22,0))</f>
        <v>0</v>
      </c>
      <c r="AM123" s="27" cm="1">
        <f t="array" ref="AM123">$G$3+IFERROR(VLOOKUP($AH123,$F$4:$G$7,2,FALSE),0)+VLOOKUP($R123,武学奇术!$A:$ZZ,2,FALSE)+SUM(_xlfn.XLOOKUP($S123:$AG123,增益!$A:$A,增益!$B:$B,0))</f>
        <v>0.1837</v>
      </c>
      <c r="AN123" s="27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3888.382</v>
      </c>
      <c r="AP123" cm="1">
        <f t="array" ref="AP123">$E$10*(1+$AN123)+VLOOKUP($R123,武学奇术!$A:$ZZ,4,FALSE)+SUM(_xlfn.XLOOKUP($S123:$AG123,增益!$A:$A,增益!$D:$D,0))-$I$2</f>
        <v>3888.382</v>
      </c>
      <c r="AQ123" s="33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0.267</v>
      </c>
      <c r="AR123" s="33" cm="1">
        <f t="array" ref="AR123">$G$10+VLOOKUP($R123,武学奇术!$A:$ZZ,7,FALSE)+SUM(_xlfn.XLOOKUP(S123:AG123,增益!$A:$A,增益!$G:$G,0))</f>
        <v>0</v>
      </c>
      <c r="AS123" s="27" cm="1">
        <f t="array" ref="AS123">VLOOKUP($R123,武学奇术!$A:$ZZ,8,FALSE)+SUM(_xlfn.XLOOKUP(S123:AG123,增益!$A:$A,增益!$H:$H,0))</f>
        <v>0</v>
      </c>
      <c r="AT123">
        <f t="shared" si="34"/>
        <v>0</v>
      </c>
      <c r="AU123">
        <f t="shared" si="35"/>
        <v>0</v>
      </c>
      <c r="AV123" s="33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-0.3</v>
      </c>
      <c r="AW123" s="33" cm="1">
        <f t="array" ref="AW123">$G$11+VLOOKUP($R123,武学奇术!$A:$ZZ,10,FALSE)+SUM(_xlfn.XLOOKUP(S123:AG123,增益!$A:$A,增益!$J:$J,0))</f>
        <v>0</v>
      </c>
      <c r="AX123">
        <f t="shared" si="36"/>
        <v>0</v>
      </c>
      <c r="AY123">
        <f t="shared" si="37"/>
        <v>0</v>
      </c>
      <c r="AZ123" s="33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-0.3</v>
      </c>
      <c r="BA123" s="33" cm="1">
        <f t="array" ref="BA123">$G$12+VLOOKUP($R123,武学奇术!$A:$ZZ,12,FALSE)+SUM(_xlfn.XLOOKUP(S123:AG123,增益!$A:$A,增益!$L:$L,0))</f>
        <v>0</v>
      </c>
      <c r="BB123">
        <f t="shared" si="38"/>
        <v>0</v>
      </c>
      <c r="BC123">
        <f t="shared" si="39"/>
        <v>0</v>
      </c>
      <c r="BD123" s="33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-0.3</v>
      </c>
      <c r="BE123" s="33" cm="1">
        <f t="array" ref="BE123">$G$13+VLOOKUP($R123,武学奇术!$A:$ZZ,14,FALSE)+SUM(_xlfn.XLOOKUP(S123:AG123,增益!$A:$A,增益!$N:$N,0))</f>
        <v>0</v>
      </c>
      <c r="BF123">
        <f t="shared" si="40"/>
        <v>605.472</v>
      </c>
      <c r="BG123">
        <f t="shared" si="41"/>
        <v>1725.468</v>
      </c>
      <c r="BH123" s="33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0</v>
      </c>
      <c r="BI123" s="33" cm="1">
        <f t="array" ref="BI123">$G$14+VLOOKUP($R123,武学奇术!$A:$ZZ,16,FALSE)+SUM(_xlfn.XLOOKUP(S123:AG123,增益!$A:$A,增益!$P:$P,0))</f>
        <v>0.15</v>
      </c>
      <c r="BJ123" s="27">
        <f>MIN(IF(VLOOKUP($R123,武学奇术!$A:$ZZ,23,FALSE)=1,100%,$B$8),100%)</f>
        <v>1</v>
      </c>
      <c r="BK123" s="27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+MIN(IF(VLOOKUP($R123,武学奇术!$A:$ZZ,32,FALSE)=1,IF(VLOOKUP($R123,武学奇术!$A:$ZZ,24,FALSE)=1,100%,MIN(40%,$B$10+VLOOKUP($R123,武学奇术!$A:$ZZ,19,FALSE)+SUM(_xlfn.XLOOKUP(S123:AG123,增益!$A:$A,增益!$S:$S,0)))+$B$12+SUM(_xlfn.XLOOKUP(S123:AG123,增益!$A:$A,增益!$V:$V,0))),0),12%)</f>
        <v>0.9036</v>
      </c>
      <c r="BL123" s="27" cm="1">
        <f t="array" ref="BL123">1+$B$13+VLOOKUP($R123,武学奇术!$A:$ZZ,18,FALSE)+SUM(_xlfn.XLOOKUP(S123:AG123,增益!$A:$A,增益!$R:$R,0))</f>
        <v>1.54</v>
      </c>
      <c r="BM123" s="27" cm="1">
        <f t="array" ref="BM123">MAX(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-IF(VLOOKUP($R123,武学奇术!$A:$ZZ,32,FALSE)=1,12%,0),0)</f>
        <v>0.0929</v>
      </c>
      <c r="BN123" s="27" cm="1">
        <f t="array" ref="BN123">1+$B$14+VLOOKUP($R123,武学奇术!$A:$ZZ,20,FALSE)+SUM(_xlfn.XLOOKUP(S123:AG123,增益!$A:$A,增益!$T:$T,0))</f>
        <v>1.35</v>
      </c>
      <c r="BO123" s="27">
        <f t="shared" si="31"/>
        <v>0.9036</v>
      </c>
      <c r="BP123" s="27">
        <f t="shared" si="32"/>
        <v>0.00350000000000006</v>
      </c>
      <c r="BQ123" s="27">
        <f>IF(VLOOKUP($R123,武学奇术!$A:$ZZ,22,FALSE)=1,0,(1-$BJ123))*(1-$BM123)</f>
        <v>0</v>
      </c>
      <c r="BR123" s="27" cm="1">
        <f t="array" ref="BR123">SUM(_xlfn.XLOOKUP(S123:AG123,增益!$A:$A,增益!$W:$W,0))+$I$5</f>
        <v>0.11</v>
      </c>
    </row>
    <row r="124" spans="1:70">
      <c r="A124" s="4" t="s">
        <v>163</v>
      </c>
      <c r="B124" s="4">
        <v>0.9</v>
      </c>
      <c r="K124">
        <f>$L124*VLOOKUP($R124,武学奇术!$A:$ZZ,31,FALSE)</f>
        <v>0</v>
      </c>
      <c r="L124" s="39">
        <f t="shared" si="33"/>
        <v>0</v>
      </c>
      <c r="M124" s="39">
        <f>((($AO124+($AP124-$AO124)*IF(VLOOKUP($R124,武学奇术!$A:$ZZ,31,FALSE)=1,$F$18,0.5))*$AI124+$AJ124)*(1+$AQ124)*(1+$AR124)+(($AT124+($AU124-$AT124)*IF(VLOOKUP($R124,武学奇术!$A:$ZZ,31,FALSE)=1,$F$18,0.5))*IF($G$1="鸣金",$AK124,$AI124)+IF($G$1="鸣金",$AL124*1.5,0))*(1+$AV124)*(1+$AW124)+(($AX124+($AY124-$AX124)*IF(VLOOKUP($R124,武学奇术!$A:$ZZ,31,FALSE)=1,$F$18,0.5))*IF($G$1="裂石",$AK124,$AI124)+IF($G$1="裂石",$AL124*1.5,0))*(1+$AZ124)*(1+$BA124)+(($BB124+($BC124-$BB124)*IF(VLOOKUP($R124,武学奇术!$A:$ZZ,31,FALSE)=1,$F$18,0.5))*IF($G$1="牵丝",$AK124,$AI124)+IF($G$1="牵丝",$AL124*1.5,0))*(1+$BD124)*(1+$BE124)+(($BF124+($BG124-$BF124)*IF(VLOOKUP($R124,武学奇术!$A:$ZZ,31,FALSE)=1,$F$18,0.5))*IF($G$1="破竹",$AK124,$AI124)+IF($G$1="破竹",$AL124*1.5,0))*(1+$BH124)*(1+$BI124))*(1+$AM124)*$BL124*$Q124*(1+IF(VLOOKUP($R124,武学奇术!$A:$ZZ,30,FALSE)="蓄力技",$B$21,0))*(1+$BR124)</f>
        <v>0</v>
      </c>
      <c r="N124" s="39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蓄力技",$B$21,0))*(1+$BR124)</f>
        <v>0</v>
      </c>
      <c r="O124" s="39">
        <f>((($AO124+($AP124-$AO124)*IF(VLOOKUP($R124,武学奇术!$A:$ZZ,31,FALSE)=1,$F$18,0.5))*$AI124+$AJ124)*(1+$AQ124)*(1+$AR124)+(($AT124+($AU124-$AT124)*IF(VLOOKUP($R124,武学奇术!$A:$ZZ,31,FALSE)=1,$F$18,0.5))*IF($G$1="鸣金",$AK124,$AI124)+IF($G$1="鸣金",$AL124*1.5,0))*(1+$AV124)*(1+$AW124)+(($AX124+($AY124-$AX124)*IF(VLOOKUP($R124,武学奇术!$A:$ZZ,31,FALSE)=1,$F$18,0.5))*IF($G$1="裂石",$AK124,$AI124)+IF($G$1="裂石",$AL124*1.5,0))*(1+$AZ124)*(1+$BA124)+(($BB124+($BC124-$BB124)*IF(VLOOKUP($R124,武学奇术!$A:$ZZ,31,FALSE)=1,$F$18,0.5))*IF($G$1="牵丝",$AK124,$AI124)+IF($G$1="牵丝",$AL124*1.5,0))*(1+$BD124)*(1+$BE124)+(($BF124+($BG124-$BF124)*IF(VLOOKUP($R124,武学奇术!$A:$ZZ,31,FALSE)=1,$F$18,0.5))*IF($G$1="破竹",$AK124,$AI124)+IF($G$1="破竹",$AL124*1.5,0))*(1+$BH124)*(1+$BI124))*(1+$AM124)*$Q124*(1+IF(VLOOKUP($R124,武学奇术!$A:$ZZ,30,FALSE)="蓄力技",$B$21,0))*(1+$BR124)</f>
        <v>0</v>
      </c>
      <c r="P124" s="39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蓄力技",$B$21,0))*(1+$BR124)</f>
        <v>0</v>
      </c>
      <c r="Q124" s="40">
        <v>1</v>
      </c>
      <c r="R124" s="41" t="s">
        <v>73</v>
      </c>
      <c r="S124" s="41" t="s">
        <v>73</v>
      </c>
      <c r="T124" s="41" t="s">
        <v>73</v>
      </c>
      <c r="U124" s="41" t="s">
        <v>73</v>
      </c>
      <c r="V124" s="41" t="s">
        <v>73</v>
      </c>
      <c r="W124" s="41" t="s">
        <v>73</v>
      </c>
      <c r="X124" s="41" t="s">
        <v>73</v>
      </c>
      <c r="Y124" s="41" t="s">
        <v>73</v>
      </c>
      <c r="Z124" s="41" t="s">
        <v>73</v>
      </c>
      <c r="AA124" s="41" t="s">
        <v>73</v>
      </c>
      <c r="AB124" s="41" t="s">
        <v>73</v>
      </c>
      <c r="AC124" s="41" t="s">
        <v>73</v>
      </c>
      <c r="AD124" s="41" t="s">
        <v>73</v>
      </c>
      <c r="AE124" s="41" t="s">
        <v>76</v>
      </c>
      <c r="AF124" s="41" t="s">
        <v>77</v>
      </c>
      <c r="AG124" s="41" t="s">
        <v>73</v>
      </c>
      <c r="AH124" t="str">
        <f>VLOOKUP($R124,武学奇术!$A:$ZZ,25,FALSE)</f>
        <v>心法</v>
      </c>
      <c r="AI124" s="27">
        <f>VLOOKUP($R124,武学奇术!$A:$ZZ,26,FALSE)</f>
        <v>0</v>
      </c>
      <c r="AJ124" s="28">
        <f>VLOOKUP($R124,武学奇术!$A:$ZZ,27,FALSE)*(1+IF(OR($AH124=$F$4,$AH124=$F$5),$B$22,0))</f>
        <v>0</v>
      </c>
      <c r="AK124" s="27">
        <f>VLOOKUP($R124,武学奇术!$A:$ZZ,28,FALSE)</f>
        <v>0</v>
      </c>
      <c r="AL124" s="28">
        <f>VLOOKUP($R124,武学奇术!$A:$ZZ,29,FALSE)*(1+IF(OR($AH124=$F$4,$AH124=$F$5),$B$22,0))</f>
        <v>0</v>
      </c>
      <c r="AM124" s="27" cm="1">
        <f t="array" ref="AM124">$G$3+IFERROR(VLOOKUP($AH124,$F$4:$G$7,2,FALSE),0)+VLOOKUP($R124,武学奇术!$A:$ZZ,2,FALSE)+SUM(_xlfn.XLOOKUP($S124:$AG124,增益!$A:$A,增益!$B:$B,0))</f>
        <v>0.1837</v>
      </c>
      <c r="AN124" s="27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3888.382</v>
      </c>
      <c r="AP124" cm="1">
        <f t="array" ref="AP124">$E$10*(1+$AN124)+VLOOKUP($R124,武学奇术!$A:$ZZ,4,FALSE)+SUM(_xlfn.XLOOKUP($S124:$AG124,增益!$A:$A,增益!$D:$D,0))-$I$2</f>
        <v>3888.382</v>
      </c>
      <c r="AQ124" s="33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0.267</v>
      </c>
      <c r="AR124" s="33" cm="1">
        <f t="array" ref="AR124">$G$10+VLOOKUP($R124,武学奇术!$A:$ZZ,7,FALSE)+SUM(_xlfn.XLOOKUP(S124:AG124,增益!$A:$A,增益!$G:$G,0))</f>
        <v>0</v>
      </c>
      <c r="AS124" s="27" cm="1">
        <f t="array" ref="AS124">VLOOKUP($R124,武学奇术!$A:$ZZ,8,FALSE)+SUM(_xlfn.XLOOKUP(S124:AG124,增益!$A:$A,增益!$H:$H,0))</f>
        <v>0</v>
      </c>
      <c r="AT124">
        <f t="shared" si="34"/>
        <v>0</v>
      </c>
      <c r="AU124">
        <f t="shared" si="35"/>
        <v>0</v>
      </c>
      <c r="AV124" s="33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-0.3</v>
      </c>
      <c r="AW124" s="33" cm="1">
        <f t="array" ref="AW124">$G$11+VLOOKUP($R124,武学奇术!$A:$ZZ,10,FALSE)+SUM(_xlfn.XLOOKUP(S124:AG124,增益!$A:$A,增益!$J:$J,0))</f>
        <v>0</v>
      </c>
      <c r="AX124">
        <f t="shared" si="36"/>
        <v>0</v>
      </c>
      <c r="AY124">
        <f t="shared" si="37"/>
        <v>0</v>
      </c>
      <c r="AZ124" s="33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-0.3</v>
      </c>
      <c r="BA124" s="33" cm="1">
        <f t="array" ref="BA124">$G$12+VLOOKUP($R124,武学奇术!$A:$ZZ,12,FALSE)+SUM(_xlfn.XLOOKUP(S124:AG124,增益!$A:$A,增益!$L:$L,0))</f>
        <v>0</v>
      </c>
      <c r="BB124">
        <f t="shared" si="38"/>
        <v>0</v>
      </c>
      <c r="BC124">
        <f t="shared" si="39"/>
        <v>0</v>
      </c>
      <c r="BD124" s="33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-0.3</v>
      </c>
      <c r="BE124" s="33" cm="1">
        <f t="array" ref="BE124">$G$13+VLOOKUP($R124,武学奇术!$A:$ZZ,14,FALSE)+SUM(_xlfn.XLOOKUP(S124:AG124,增益!$A:$A,增益!$N:$N,0))</f>
        <v>0</v>
      </c>
      <c r="BF124">
        <f t="shared" si="40"/>
        <v>605.472</v>
      </c>
      <c r="BG124">
        <f t="shared" si="41"/>
        <v>1725.468</v>
      </c>
      <c r="BH124" s="33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0</v>
      </c>
      <c r="BI124" s="33" cm="1">
        <f t="array" ref="BI124">$G$14+VLOOKUP($R124,武学奇术!$A:$ZZ,16,FALSE)+SUM(_xlfn.XLOOKUP(S124:AG124,增益!$A:$A,增益!$P:$P,0))</f>
        <v>0.15</v>
      </c>
      <c r="BJ124" s="27">
        <f>MIN(IF(VLOOKUP($R124,武学奇术!$A:$ZZ,23,FALSE)=1,100%,$B$8),100%)</f>
        <v>1</v>
      </c>
      <c r="BK124" s="27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+MIN(IF(VLOOKUP($R124,武学奇术!$A:$ZZ,32,FALSE)=1,IF(VLOOKUP($R124,武学奇术!$A:$ZZ,24,FALSE)=1,100%,MIN(40%,$B$10+VLOOKUP($R124,武学奇术!$A:$ZZ,19,FALSE)+SUM(_xlfn.XLOOKUP(S124:AG124,增益!$A:$A,增益!$S:$S,0)))+$B$12+SUM(_xlfn.XLOOKUP(S124:AG124,增益!$A:$A,增益!$V:$V,0))),0),12%)</f>
        <v>0.9036</v>
      </c>
      <c r="BL124" s="27" cm="1">
        <f t="array" ref="BL124">1+$B$13+VLOOKUP($R124,武学奇术!$A:$ZZ,18,FALSE)+SUM(_xlfn.XLOOKUP(S124:AG124,增益!$A:$A,增益!$R:$R,0))</f>
        <v>1.54</v>
      </c>
      <c r="BM124" s="27" cm="1">
        <f t="array" ref="BM124">MAX(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-IF(VLOOKUP($R124,武学奇术!$A:$ZZ,32,FALSE)=1,12%,0),0)</f>
        <v>0.0929</v>
      </c>
      <c r="BN124" s="27" cm="1">
        <f t="array" ref="BN124">1+$B$14+VLOOKUP($R124,武学奇术!$A:$ZZ,20,FALSE)+SUM(_xlfn.XLOOKUP(S124:AG124,增益!$A:$A,增益!$T:$T,0))</f>
        <v>1.35</v>
      </c>
      <c r="BO124" s="27">
        <f t="shared" si="31"/>
        <v>0.9036</v>
      </c>
      <c r="BP124" s="27">
        <f t="shared" si="32"/>
        <v>0.00350000000000006</v>
      </c>
      <c r="BQ124" s="27">
        <f>IF(VLOOKUP($R124,武学奇术!$A:$ZZ,22,FALSE)=1,0,(1-$BJ124))*(1-$BM124)</f>
        <v>0</v>
      </c>
      <c r="BR124" s="27" cm="1">
        <f t="array" ref="BR124">SUM(_xlfn.XLOOKUP(S124:AG124,增益!$A:$A,增益!$W:$W,0))+$I$5</f>
        <v>0.11</v>
      </c>
    </row>
    <row r="125" spans="1:70">
      <c r="A125" t="s">
        <v>160</v>
      </c>
      <c r="B125">
        <v>0.1</v>
      </c>
      <c r="K125">
        <f>$L125*VLOOKUP($R125,武学奇术!$A:$ZZ,31,FALSE)</f>
        <v>0</v>
      </c>
      <c r="L125" s="39">
        <f t="shared" si="33"/>
        <v>0</v>
      </c>
      <c r="M125" s="39">
        <f>((($AO125+($AP125-$AO125)*IF(VLOOKUP($R125,武学奇术!$A:$ZZ,31,FALSE)=1,$F$18,0.5))*$AI125+$AJ125)*(1+$AQ125)*(1+$AR125)+(($AT125+($AU125-$AT125)*IF(VLOOKUP($R125,武学奇术!$A:$ZZ,31,FALSE)=1,$F$18,0.5))*IF($G$1="鸣金",$AK125,$AI125)+IF($G$1="鸣金",$AL125*1.5,0))*(1+$AV125)*(1+$AW125)+(($AX125+($AY125-$AX125)*IF(VLOOKUP($R125,武学奇术!$A:$ZZ,31,FALSE)=1,$F$18,0.5))*IF($G$1="裂石",$AK125,$AI125)+IF($G$1="裂石",$AL125*1.5,0))*(1+$AZ125)*(1+$BA125)+(($BB125+($BC125-$BB125)*IF(VLOOKUP($R125,武学奇术!$A:$ZZ,31,FALSE)=1,$F$18,0.5))*IF($G$1="牵丝",$AK125,$AI125)+IF($G$1="牵丝",$AL125*1.5,0))*(1+$BD125)*(1+$BE125)+(($BF125+($BG125-$BF125)*IF(VLOOKUP($R125,武学奇术!$A:$ZZ,31,FALSE)=1,$F$18,0.5))*IF($G$1="破竹",$AK125,$AI125)+IF($G$1="破竹",$AL125*1.5,0))*(1+$BH125)*(1+$BI125))*(1+$AM125)*$BL125*$Q125*(1+IF(VLOOKUP($R125,武学奇术!$A:$ZZ,30,FALSE)="蓄力技",$B$21,0))*(1+$BR125)</f>
        <v>0</v>
      </c>
      <c r="N125" s="39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蓄力技",$B$21,0))*(1+$BR125)</f>
        <v>0</v>
      </c>
      <c r="O125" s="39">
        <f>((($AO125+($AP125-$AO125)*IF(VLOOKUP($R125,武学奇术!$A:$ZZ,31,FALSE)=1,$F$18,0.5))*$AI125+$AJ125)*(1+$AQ125)*(1+$AR125)+(($AT125+($AU125-$AT125)*IF(VLOOKUP($R125,武学奇术!$A:$ZZ,31,FALSE)=1,$F$18,0.5))*IF($G$1="鸣金",$AK125,$AI125)+IF($G$1="鸣金",$AL125*1.5,0))*(1+$AV125)*(1+$AW125)+(($AX125+($AY125-$AX125)*IF(VLOOKUP($R125,武学奇术!$A:$ZZ,31,FALSE)=1,$F$18,0.5))*IF($G$1="裂石",$AK125,$AI125)+IF($G$1="裂石",$AL125*1.5,0))*(1+$AZ125)*(1+$BA125)+(($BB125+($BC125-$BB125)*IF(VLOOKUP($R125,武学奇术!$A:$ZZ,31,FALSE)=1,$F$18,0.5))*IF($G$1="牵丝",$AK125,$AI125)+IF($G$1="牵丝",$AL125*1.5,0))*(1+$BD125)*(1+$BE125)+(($BF125+($BG125-$BF125)*IF(VLOOKUP($R125,武学奇术!$A:$ZZ,31,FALSE)=1,$F$18,0.5))*IF($G$1="破竹",$AK125,$AI125)+IF($G$1="破竹",$AL125*1.5,0))*(1+$BH125)*(1+$BI125))*(1+$AM125)*$Q125*(1+IF(VLOOKUP($R125,武学奇术!$A:$ZZ,30,FALSE)="蓄力技",$B$21,0))*(1+$BR125)</f>
        <v>0</v>
      </c>
      <c r="P125" s="39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蓄力技",$B$21,0))*(1+$BR125)</f>
        <v>0</v>
      </c>
      <c r="Q125" s="40">
        <v>1</v>
      </c>
      <c r="R125" s="41" t="s">
        <v>73</v>
      </c>
      <c r="S125" s="41" t="s">
        <v>73</v>
      </c>
      <c r="T125" s="41" t="s">
        <v>73</v>
      </c>
      <c r="U125" s="41" t="s">
        <v>73</v>
      </c>
      <c r="V125" s="41" t="s">
        <v>73</v>
      </c>
      <c r="W125" s="41" t="s">
        <v>73</v>
      </c>
      <c r="X125" s="41" t="s">
        <v>73</v>
      </c>
      <c r="Y125" s="41" t="s">
        <v>73</v>
      </c>
      <c r="Z125" s="41" t="s">
        <v>73</v>
      </c>
      <c r="AA125" s="41" t="s">
        <v>73</v>
      </c>
      <c r="AB125" s="41" t="s">
        <v>73</v>
      </c>
      <c r="AC125" s="41" t="s">
        <v>73</v>
      </c>
      <c r="AD125" s="41" t="s">
        <v>73</v>
      </c>
      <c r="AE125" s="41" t="s">
        <v>76</v>
      </c>
      <c r="AF125" s="41" t="s">
        <v>77</v>
      </c>
      <c r="AG125" s="41" t="s">
        <v>73</v>
      </c>
      <c r="AH125" t="str">
        <f>VLOOKUP($R125,武学奇术!$A:$ZZ,25,FALSE)</f>
        <v>心法</v>
      </c>
      <c r="AI125" s="27">
        <f>VLOOKUP($R125,武学奇术!$A:$ZZ,26,FALSE)</f>
        <v>0</v>
      </c>
      <c r="AJ125" s="28">
        <f>VLOOKUP($R125,武学奇术!$A:$ZZ,27,FALSE)*(1+IF(OR($AH125=$F$4,$AH125=$F$5),$B$22,0))</f>
        <v>0</v>
      </c>
      <c r="AK125" s="27">
        <f>VLOOKUP($R125,武学奇术!$A:$ZZ,28,FALSE)</f>
        <v>0</v>
      </c>
      <c r="AL125" s="28">
        <f>VLOOKUP($R125,武学奇术!$A:$ZZ,29,FALSE)*(1+IF(OR($AH125=$F$4,$AH125=$F$5),$B$22,0))</f>
        <v>0</v>
      </c>
      <c r="AM125" s="27" cm="1">
        <f t="array" ref="AM125">$G$3+IFERROR(VLOOKUP($AH125,$F$4:$G$7,2,FALSE),0)+VLOOKUP($R125,武学奇术!$A:$ZZ,2,FALSE)+SUM(_xlfn.XLOOKUP($S125:$AG125,增益!$A:$A,增益!$B:$B,0))</f>
        <v>0.1837</v>
      </c>
      <c r="AN125" s="27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3888.382</v>
      </c>
      <c r="AP125" cm="1">
        <f t="array" ref="AP125">$E$10*(1+$AN125)+VLOOKUP($R125,武学奇术!$A:$ZZ,4,FALSE)+SUM(_xlfn.XLOOKUP($S125:$AG125,增益!$A:$A,增益!$D:$D,0))-$I$2</f>
        <v>3888.382</v>
      </c>
      <c r="AQ125" s="33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0.267</v>
      </c>
      <c r="AR125" s="33" cm="1">
        <f t="array" ref="AR125">$G$10+VLOOKUP($R125,武学奇术!$A:$ZZ,7,FALSE)+SUM(_xlfn.XLOOKUP(S125:AG125,增益!$A:$A,增益!$G:$G,0))</f>
        <v>0</v>
      </c>
      <c r="AS125" s="27" cm="1">
        <f t="array" ref="AS125">VLOOKUP($R125,武学奇术!$A:$ZZ,8,FALSE)+SUM(_xlfn.XLOOKUP(S125:AG125,增益!$A:$A,增益!$H:$H,0))</f>
        <v>0</v>
      </c>
      <c r="AT125">
        <f t="shared" si="34"/>
        <v>0</v>
      </c>
      <c r="AU125">
        <f t="shared" si="35"/>
        <v>0</v>
      </c>
      <c r="AV125" s="33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-0.3</v>
      </c>
      <c r="AW125" s="33" cm="1">
        <f t="array" ref="AW125">$G$11+VLOOKUP($R125,武学奇术!$A:$ZZ,10,FALSE)+SUM(_xlfn.XLOOKUP(S125:AG125,增益!$A:$A,增益!$J:$J,0))</f>
        <v>0</v>
      </c>
      <c r="AX125">
        <f t="shared" si="36"/>
        <v>0</v>
      </c>
      <c r="AY125">
        <f t="shared" si="37"/>
        <v>0</v>
      </c>
      <c r="AZ125" s="33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-0.3</v>
      </c>
      <c r="BA125" s="33" cm="1">
        <f t="array" ref="BA125">$G$12+VLOOKUP($R125,武学奇术!$A:$ZZ,12,FALSE)+SUM(_xlfn.XLOOKUP(S125:AG125,增益!$A:$A,增益!$L:$L,0))</f>
        <v>0</v>
      </c>
      <c r="BB125">
        <f t="shared" si="38"/>
        <v>0</v>
      </c>
      <c r="BC125">
        <f t="shared" si="39"/>
        <v>0</v>
      </c>
      <c r="BD125" s="33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-0.3</v>
      </c>
      <c r="BE125" s="33" cm="1">
        <f t="array" ref="BE125">$G$13+VLOOKUP($R125,武学奇术!$A:$ZZ,14,FALSE)+SUM(_xlfn.XLOOKUP(S125:AG125,增益!$A:$A,增益!$N:$N,0))</f>
        <v>0</v>
      </c>
      <c r="BF125">
        <f t="shared" si="40"/>
        <v>605.472</v>
      </c>
      <c r="BG125">
        <f t="shared" si="41"/>
        <v>1725.468</v>
      </c>
      <c r="BH125" s="33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0</v>
      </c>
      <c r="BI125" s="33" cm="1">
        <f t="array" ref="BI125">$G$14+VLOOKUP($R125,武学奇术!$A:$ZZ,16,FALSE)+SUM(_xlfn.XLOOKUP(S125:AG125,增益!$A:$A,增益!$P:$P,0))</f>
        <v>0.15</v>
      </c>
      <c r="BJ125" s="27">
        <f>MIN(IF(VLOOKUP($R125,武学奇术!$A:$ZZ,23,FALSE)=1,100%,$B$8),100%)</f>
        <v>1</v>
      </c>
      <c r="BK125" s="27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+MIN(IF(VLOOKUP($R125,武学奇术!$A:$ZZ,32,FALSE)=1,IF(VLOOKUP($R125,武学奇术!$A:$ZZ,24,FALSE)=1,100%,MIN(40%,$B$10+VLOOKUP($R125,武学奇术!$A:$ZZ,19,FALSE)+SUM(_xlfn.XLOOKUP(S125:AG125,增益!$A:$A,增益!$S:$S,0)))+$B$12+SUM(_xlfn.XLOOKUP(S125:AG125,增益!$A:$A,增益!$V:$V,0))),0),12%)</f>
        <v>0.9036</v>
      </c>
      <c r="BL125" s="27" cm="1">
        <f t="array" ref="BL125">1+$B$13+VLOOKUP($R125,武学奇术!$A:$ZZ,18,FALSE)+SUM(_xlfn.XLOOKUP(S125:AG125,增益!$A:$A,增益!$R:$R,0))</f>
        <v>1.54</v>
      </c>
      <c r="BM125" s="27" cm="1">
        <f t="array" ref="BM125">MAX(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-IF(VLOOKUP($R125,武学奇术!$A:$ZZ,32,FALSE)=1,12%,0),0)</f>
        <v>0.0929</v>
      </c>
      <c r="BN125" s="27" cm="1">
        <f t="array" ref="BN125">1+$B$14+VLOOKUP($R125,武学奇术!$A:$ZZ,20,FALSE)+SUM(_xlfn.XLOOKUP(S125:AG125,增益!$A:$A,增益!$T:$T,0))</f>
        <v>1.35</v>
      </c>
      <c r="BO125" s="27">
        <f t="shared" si="31"/>
        <v>0.9036</v>
      </c>
      <c r="BP125" s="27">
        <f t="shared" si="32"/>
        <v>0.00350000000000006</v>
      </c>
      <c r="BQ125" s="27">
        <f>IF(VLOOKUP($R125,武学奇术!$A:$ZZ,22,FALSE)=1,0,(1-$BJ125))*(1-$BM125)</f>
        <v>0</v>
      </c>
      <c r="BR125" s="27" cm="1">
        <f t="array" ref="BR125">SUM(_xlfn.XLOOKUP(S125:AG125,增益!$A:$A,增益!$W:$W,0))+$I$5</f>
        <v>0.11</v>
      </c>
    </row>
    <row r="126" spans="1:70">
      <c r="A126" t="s">
        <v>192</v>
      </c>
      <c r="B126">
        <v>1.3</v>
      </c>
      <c r="K126">
        <f>$L126*VLOOKUP($R126,武学奇术!$A:$ZZ,31,FALSE)</f>
        <v>0</v>
      </c>
      <c r="L126" s="39">
        <f t="shared" si="33"/>
        <v>0</v>
      </c>
      <c r="M126" s="39">
        <f>((($AO126+($AP126-$AO126)*IF(VLOOKUP($R126,武学奇术!$A:$ZZ,31,FALSE)=1,$F$18,0.5))*$AI126+$AJ126)*(1+$AQ126)*(1+$AR126)+(($AT126+($AU126-$AT126)*IF(VLOOKUP($R126,武学奇术!$A:$ZZ,31,FALSE)=1,$F$18,0.5))*IF($G$1="鸣金",$AK126,$AI126)+IF($G$1="鸣金",$AL126*1.5,0))*(1+$AV126)*(1+$AW126)+(($AX126+($AY126-$AX126)*IF(VLOOKUP($R126,武学奇术!$A:$ZZ,31,FALSE)=1,$F$18,0.5))*IF($G$1="裂石",$AK126,$AI126)+IF($G$1="裂石",$AL126*1.5,0))*(1+$AZ126)*(1+$BA126)+(($BB126+($BC126-$BB126)*IF(VLOOKUP($R126,武学奇术!$A:$ZZ,31,FALSE)=1,$F$18,0.5))*IF($G$1="牵丝",$AK126,$AI126)+IF($G$1="牵丝",$AL126*1.5,0))*(1+$BD126)*(1+$BE126)+(($BF126+($BG126-$BF126)*IF(VLOOKUP($R126,武学奇术!$A:$ZZ,31,FALSE)=1,$F$18,0.5))*IF($G$1="破竹",$AK126,$AI126)+IF($G$1="破竹",$AL126*1.5,0))*(1+$BH126)*(1+$BI126))*(1+$AM126)*$BL126*$Q126*(1+IF(VLOOKUP($R126,武学奇术!$A:$ZZ,30,FALSE)="蓄力技",$B$21,0))*(1+$BR126)</f>
        <v>0</v>
      </c>
      <c r="N126" s="39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蓄力技",$B$21,0))*(1+$BR126)</f>
        <v>0</v>
      </c>
      <c r="O126" s="39">
        <f>((($AO126+($AP126-$AO126)*IF(VLOOKUP($R126,武学奇术!$A:$ZZ,31,FALSE)=1,$F$18,0.5))*$AI126+$AJ126)*(1+$AQ126)*(1+$AR126)+(($AT126+($AU126-$AT126)*IF(VLOOKUP($R126,武学奇术!$A:$ZZ,31,FALSE)=1,$F$18,0.5))*IF($G$1="鸣金",$AK126,$AI126)+IF($G$1="鸣金",$AL126*1.5,0))*(1+$AV126)*(1+$AW126)+(($AX126+($AY126-$AX126)*IF(VLOOKUP($R126,武学奇术!$A:$ZZ,31,FALSE)=1,$F$18,0.5))*IF($G$1="裂石",$AK126,$AI126)+IF($G$1="裂石",$AL126*1.5,0))*(1+$AZ126)*(1+$BA126)+(($BB126+($BC126-$BB126)*IF(VLOOKUP($R126,武学奇术!$A:$ZZ,31,FALSE)=1,$F$18,0.5))*IF($G$1="牵丝",$AK126,$AI126)+IF($G$1="牵丝",$AL126*1.5,0))*(1+$BD126)*(1+$BE126)+(($BF126+($BG126-$BF126)*IF(VLOOKUP($R126,武学奇术!$A:$ZZ,31,FALSE)=1,$F$18,0.5))*IF($G$1="破竹",$AK126,$AI126)+IF($G$1="破竹",$AL126*1.5,0))*(1+$BH126)*(1+$BI126))*(1+$AM126)*$Q126*(1+IF(VLOOKUP($R126,武学奇术!$A:$ZZ,30,FALSE)="蓄力技",$B$21,0))*(1+$BR126)</f>
        <v>0</v>
      </c>
      <c r="P126" s="39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蓄力技",$B$21,0))*(1+$BR126)</f>
        <v>0</v>
      </c>
      <c r="Q126" s="40">
        <v>1</v>
      </c>
      <c r="R126" s="41" t="s">
        <v>73</v>
      </c>
      <c r="S126" s="41" t="s">
        <v>73</v>
      </c>
      <c r="T126" s="41" t="s">
        <v>73</v>
      </c>
      <c r="U126" s="41" t="s">
        <v>73</v>
      </c>
      <c r="V126" s="41" t="s">
        <v>73</v>
      </c>
      <c r="W126" s="41" t="s">
        <v>73</v>
      </c>
      <c r="X126" s="41" t="s">
        <v>73</v>
      </c>
      <c r="Y126" s="41" t="s">
        <v>73</v>
      </c>
      <c r="Z126" s="41" t="s">
        <v>73</v>
      </c>
      <c r="AA126" s="41" t="s">
        <v>73</v>
      </c>
      <c r="AB126" s="41" t="s">
        <v>73</v>
      </c>
      <c r="AC126" s="41" t="s">
        <v>73</v>
      </c>
      <c r="AD126" s="41" t="s">
        <v>73</v>
      </c>
      <c r="AE126" s="41" t="s">
        <v>76</v>
      </c>
      <c r="AF126" s="41" t="s">
        <v>77</v>
      </c>
      <c r="AG126" s="41" t="s">
        <v>73</v>
      </c>
      <c r="AH126" t="str">
        <f>VLOOKUP($R126,武学奇术!$A:$ZZ,25,FALSE)</f>
        <v>心法</v>
      </c>
      <c r="AI126" s="27">
        <f>VLOOKUP($R126,武学奇术!$A:$ZZ,26,FALSE)</f>
        <v>0</v>
      </c>
      <c r="AJ126" s="28">
        <f>VLOOKUP($R126,武学奇术!$A:$ZZ,27,FALSE)*(1+IF(OR($AH126=$F$4,$AH126=$F$5),$B$22,0))</f>
        <v>0</v>
      </c>
      <c r="AK126" s="27">
        <f>VLOOKUP($R126,武学奇术!$A:$ZZ,28,FALSE)</f>
        <v>0</v>
      </c>
      <c r="AL126" s="28">
        <f>VLOOKUP($R126,武学奇术!$A:$ZZ,29,FALSE)*(1+IF(OR($AH126=$F$4,$AH126=$F$5),$B$22,0))</f>
        <v>0</v>
      </c>
      <c r="AM126" s="27" cm="1">
        <f t="array" ref="AM126">$G$3+IFERROR(VLOOKUP($AH126,$F$4:$G$7,2,FALSE),0)+VLOOKUP($R126,武学奇术!$A:$ZZ,2,FALSE)+SUM(_xlfn.XLOOKUP($S126:$AG126,增益!$A:$A,增益!$B:$B,0))</f>
        <v>0.1837</v>
      </c>
      <c r="AN126" s="27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3888.382</v>
      </c>
      <c r="AP126" cm="1">
        <f t="array" ref="AP126">$E$10*(1+$AN126)+VLOOKUP($R126,武学奇术!$A:$ZZ,4,FALSE)+SUM(_xlfn.XLOOKUP($S126:$AG126,增益!$A:$A,增益!$D:$D,0))-$I$2</f>
        <v>3888.382</v>
      </c>
      <c r="AQ126" s="33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0.267</v>
      </c>
      <c r="AR126" s="33" cm="1">
        <f t="array" ref="AR126">$G$10+VLOOKUP($R126,武学奇术!$A:$ZZ,7,FALSE)+SUM(_xlfn.XLOOKUP(S126:AG126,增益!$A:$A,增益!$G:$G,0))</f>
        <v>0</v>
      </c>
      <c r="AS126" s="27" cm="1">
        <f t="array" ref="AS126">VLOOKUP($R126,武学奇术!$A:$ZZ,8,FALSE)+SUM(_xlfn.XLOOKUP(S126:AG126,增益!$A:$A,增益!$H:$H,0))</f>
        <v>0</v>
      </c>
      <c r="AT126">
        <f t="shared" si="34"/>
        <v>0</v>
      </c>
      <c r="AU126">
        <f t="shared" si="35"/>
        <v>0</v>
      </c>
      <c r="AV126" s="33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-0.3</v>
      </c>
      <c r="AW126" s="33" cm="1">
        <f t="array" ref="AW126">$G$11+VLOOKUP($R126,武学奇术!$A:$ZZ,10,FALSE)+SUM(_xlfn.XLOOKUP(S126:AG126,增益!$A:$A,增益!$J:$J,0))</f>
        <v>0</v>
      </c>
      <c r="AX126">
        <f t="shared" si="36"/>
        <v>0</v>
      </c>
      <c r="AY126">
        <f t="shared" si="37"/>
        <v>0</v>
      </c>
      <c r="AZ126" s="33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-0.3</v>
      </c>
      <c r="BA126" s="33" cm="1">
        <f t="array" ref="BA126">$G$12+VLOOKUP($R126,武学奇术!$A:$ZZ,12,FALSE)+SUM(_xlfn.XLOOKUP(S126:AG126,增益!$A:$A,增益!$L:$L,0))</f>
        <v>0</v>
      </c>
      <c r="BB126">
        <f t="shared" si="38"/>
        <v>0</v>
      </c>
      <c r="BC126">
        <f t="shared" si="39"/>
        <v>0</v>
      </c>
      <c r="BD126" s="33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-0.3</v>
      </c>
      <c r="BE126" s="33" cm="1">
        <f t="array" ref="BE126">$G$13+VLOOKUP($R126,武学奇术!$A:$ZZ,14,FALSE)+SUM(_xlfn.XLOOKUP(S126:AG126,增益!$A:$A,增益!$N:$N,0))</f>
        <v>0</v>
      </c>
      <c r="BF126">
        <f t="shared" si="40"/>
        <v>605.472</v>
      </c>
      <c r="BG126">
        <f t="shared" si="41"/>
        <v>1725.468</v>
      </c>
      <c r="BH126" s="33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0</v>
      </c>
      <c r="BI126" s="33" cm="1">
        <f t="array" ref="BI126">$G$14+VLOOKUP($R126,武学奇术!$A:$ZZ,16,FALSE)+SUM(_xlfn.XLOOKUP(S126:AG126,增益!$A:$A,增益!$P:$P,0))</f>
        <v>0.15</v>
      </c>
      <c r="BJ126" s="27">
        <f>MIN(IF(VLOOKUP($R126,武学奇术!$A:$ZZ,23,FALSE)=1,100%,$B$8),100%)</f>
        <v>1</v>
      </c>
      <c r="BK126" s="27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+MIN(IF(VLOOKUP($R126,武学奇术!$A:$ZZ,32,FALSE)=1,IF(VLOOKUP($R126,武学奇术!$A:$ZZ,24,FALSE)=1,100%,MIN(40%,$B$10+VLOOKUP($R126,武学奇术!$A:$ZZ,19,FALSE)+SUM(_xlfn.XLOOKUP(S126:AG126,增益!$A:$A,增益!$S:$S,0)))+$B$12+SUM(_xlfn.XLOOKUP(S126:AG126,增益!$A:$A,增益!$V:$V,0))),0),12%)</f>
        <v>0.9036</v>
      </c>
      <c r="BL126" s="27" cm="1">
        <f t="array" ref="BL126">1+$B$13+VLOOKUP($R126,武学奇术!$A:$ZZ,18,FALSE)+SUM(_xlfn.XLOOKUP(S126:AG126,增益!$A:$A,增益!$R:$R,0))</f>
        <v>1.54</v>
      </c>
      <c r="BM126" s="27" cm="1">
        <f t="array" ref="BM126">MAX(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-IF(VLOOKUP($R126,武学奇术!$A:$ZZ,32,FALSE)=1,12%,0),0)</f>
        <v>0.0929</v>
      </c>
      <c r="BN126" s="27" cm="1">
        <f t="array" ref="BN126">1+$B$14+VLOOKUP($R126,武学奇术!$A:$ZZ,20,FALSE)+SUM(_xlfn.XLOOKUP(S126:AG126,增益!$A:$A,增益!$T:$T,0))</f>
        <v>1.35</v>
      </c>
      <c r="BO126" s="27">
        <f t="shared" si="31"/>
        <v>0.9036</v>
      </c>
      <c r="BP126" s="27">
        <f t="shared" si="32"/>
        <v>0.00350000000000006</v>
      </c>
      <c r="BQ126" s="27">
        <f>IF(VLOOKUP($R126,武学奇术!$A:$ZZ,22,FALSE)=1,0,(1-$BJ126))*(1-$BM126)</f>
        <v>0</v>
      </c>
      <c r="BR126" s="27" cm="1">
        <f t="array" ref="BR126">SUM(_xlfn.XLOOKUP(S126:AG126,增益!$A:$A,增益!$W:$W,0))+$I$5</f>
        <v>0.11</v>
      </c>
    </row>
    <row r="127" spans="1:70">
      <c r="A127" t="s">
        <v>171</v>
      </c>
      <c r="B127">
        <v>0.5</v>
      </c>
      <c r="E127" s="40" t="s">
        <v>172</v>
      </c>
      <c r="F127" s="40" t="s">
        <v>166</v>
      </c>
      <c r="K127">
        <f>$L127*VLOOKUP($R127,武学奇术!$A:$ZZ,31,FALSE)</f>
        <v>19066.3272024833</v>
      </c>
      <c r="L127" s="39">
        <f t="shared" si="33"/>
        <v>19066.3272024833</v>
      </c>
      <c r="M127" s="39">
        <f>((($AO127+($AP127-$AO127)*IF(VLOOKUP($R127,武学奇术!$A:$ZZ,31,FALSE)=1,$F$18,0.5))*$AI127+$AJ127)*(1+$AQ127)*(1+$AR127)+(($AT127+($AU127-$AT127)*IF(VLOOKUP($R127,武学奇术!$A:$ZZ,31,FALSE)=1,$F$18,0.5))*IF($G$1="鸣金",$AK127,$AI127)+IF($G$1="鸣金",$AL127*1.5,0))*(1+$AV127)*(1+$AW127)+(($AX127+($AY127-$AX127)*IF(VLOOKUP($R127,武学奇术!$A:$ZZ,31,FALSE)=1,$F$18,0.5))*IF($G$1="裂石",$AK127,$AI127)+IF($G$1="裂石",$AL127*1.5,0))*(1+$AZ127)*(1+$BA127)+(($BB127+($BC127-$BB127)*IF(VLOOKUP($R127,武学奇术!$A:$ZZ,31,FALSE)=1,$F$18,0.5))*IF($G$1="牵丝",$AK127,$AI127)+IF($G$1="牵丝",$AL127*1.5,0))*(1+$BD127)*(1+$BE127)+(($BF127+($BG127-$BF127)*IF(VLOOKUP($R127,武学奇术!$A:$ZZ,31,FALSE)=1,$F$18,0.5))*IF($G$1="破竹",$AK127,$AI127)+IF($G$1="破竹",$AL127*1.5,0))*(1+$BH127)*(1+$BI127))*(1+$AM127)*$BL127*$Q127*(1+IF(VLOOKUP($R127,武学奇术!$A:$ZZ,30,FALSE)="蓄力技",$B$21,0))*(1+$BR127)</f>
        <v>19432.2760734432</v>
      </c>
      <c r="N127" s="39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蓄力技",$B$21,0))*(1+$BR127)</f>
        <v>15822.9578131361</v>
      </c>
      <c r="O127" s="39">
        <f>((($AO127+($AP127-$AO127)*IF(VLOOKUP($R127,武学奇术!$A:$ZZ,31,FALSE)=1,$F$18,0.5))*$AI127+$AJ127)*(1+$AQ127)*(1+$AR127)+(($AT127+($AU127-$AT127)*IF(VLOOKUP($R127,武学奇术!$A:$ZZ,31,FALSE)=1,$F$18,0.5))*IF($G$1="鸣金",$AK127,$AI127)+IF($G$1="鸣金",$AL127*1.5,0))*(1+$AV127)*(1+$AW127)+(($AX127+($AY127-$AX127)*IF(VLOOKUP($R127,武学奇术!$A:$ZZ,31,FALSE)=1,$F$18,0.5))*IF($G$1="裂石",$AK127,$AI127)+IF($G$1="裂石",$AL127*1.5,0))*(1+$AZ127)*(1+$BA127)+(($BB127+($BC127-$BB127)*IF(VLOOKUP($R127,武学奇术!$A:$ZZ,31,FALSE)=1,$F$18,0.5))*IF($G$1="牵丝",$AK127,$AI127)+IF($G$1="牵丝",$AL127*1.5,0))*(1+$BD127)*(1+$BE127)+(($BF127+($BG127-$BF127)*IF(VLOOKUP($R127,武学奇术!$A:$ZZ,31,FALSE)=1,$F$18,0.5))*IF($G$1="破竹",$AK127,$AI127)+IF($G$1="破竹",$AL127*1.5,0))*(1+$BH127)*(1+$BI127))*(1+$AM127)*$Q127*(1+IF(VLOOKUP($R127,武学奇术!$A:$ZZ,30,FALSE)="蓄力技",$B$21,0))*(1+$BR127)</f>
        <v>10677.0747656281</v>
      </c>
      <c r="P127" s="39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蓄力技",$B$21,0))*(1+$BR127)</f>
        <v>9633.44004004431</v>
      </c>
      <c r="Q127" s="40">
        <f t="shared" ref="Q127:Q136" si="42">IF($E$24="易水歌",1,0)</f>
        <v>1</v>
      </c>
      <c r="R127" s="41" t="s">
        <v>193</v>
      </c>
      <c r="S127" s="41" t="s">
        <v>97</v>
      </c>
      <c r="T127" s="41" t="s">
        <v>132</v>
      </c>
      <c r="U127" s="41" t="s">
        <v>73</v>
      </c>
      <c r="V127" s="41" t="s">
        <v>74</v>
      </c>
      <c r="W127" s="41" t="s">
        <v>73</v>
      </c>
      <c r="X127" s="41" t="s">
        <v>73</v>
      </c>
      <c r="Y127" s="41" t="s">
        <v>89</v>
      </c>
      <c r="Z127" s="41" t="s">
        <v>83</v>
      </c>
      <c r="AA127" s="41" t="s">
        <v>73</v>
      </c>
      <c r="AB127" s="41" t="s">
        <v>90</v>
      </c>
      <c r="AC127" s="41" t="s">
        <v>73</v>
      </c>
      <c r="AD127" s="41" t="s">
        <v>73</v>
      </c>
      <c r="AE127" s="41" t="s">
        <v>76</v>
      </c>
      <c r="AF127" s="41" t="s">
        <v>77</v>
      </c>
      <c r="AG127" s="41" t="s">
        <v>78</v>
      </c>
      <c r="AH127" t="str">
        <f>VLOOKUP($R127,武学奇术!$A:$ZZ,25,FALSE)</f>
        <v>心法</v>
      </c>
      <c r="AI127" s="27">
        <f>VLOOKUP($R127,武学奇术!$A:$ZZ,26,FALSE)</f>
        <v>1</v>
      </c>
      <c r="AJ127" s="28">
        <f>VLOOKUP($R127,武学奇术!$A:$ZZ,27,FALSE)*(1+IF(OR($AH127=$F$4,$AH127=$F$5),$B$22,0))</f>
        <v>0</v>
      </c>
      <c r="AK127" s="27">
        <f>VLOOKUP($R127,武学奇术!$A:$ZZ,28,FALSE)</f>
        <v>1</v>
      </c>
      <c r="AL127" s="28">
        <f>VLOOKUP($R127,武学奇术!$A:$ZZ,29,FALSE)*(1+IF(OR($AH127=$F$4,$AH127=$F$5),$B$22,0))</f>
        <v>0</v>
      </c>
      <c r="AM127" s="27" cm="1">
        <f t="array" ref="AM127">$G$3+IFERROR(VLOOKUP($AH127,$F$4:$G$7,2,FALSE),0)+VLOOKUP($R127,武学奇术!$A:$ZZ,2,FALSE)+SUM(_xlfn.XLOOKUP($S127:$AG127,增益!$A:$A,增益!$B:$B,0))</f>
        <v>0.2537</v>
      </c>
      <c r="AN127" s="27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3888.382</v>
      </c>
      <c r="AP127" cm="1">
        <f t="array" ref="AP127">$E$10*(1+$AN127)+VLOOKUP($R127,武学奇术!$A:$ZZ,4,FALSE)+SUM(_xlfn.XLOOKUP($S127:$AG127,增益!$A:$A,增益!$D:$D,0))-$I$2</f>
        <v>3888.382</v>
      </c>
      <c r="AQ127" s="33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0.442</v>
      </c>
      <c r="AR127" s="33" cm="1">
        <f t="array" ref="AR127">$G$10+VLOOKUP($R127,武学奇术!$A:$ZZ,7,FALSE)+SUM(_xlfn.XLOOKUP(S127:AG127,增益!$A:$A,增益!$G:$G,0))</f>
        <v>0.09</v>
      </c>
      <c r="AS127" s="27" cm="1">
        <f t="array" ref="AS127">VLOOKUP($R127,武学奇术!$A:$ZZ,8,FALSE)+SUM(_xlfn.XLOOKUP(S127:AG127,增益!$A:$A,增益!$H:$H,0))</f>
        <v>0</v>
      </c>
      <c r="AT127">
        <f t="shared" si="34"/>
        <v>0</v>
      </c>
      <c r="AU127">
        <f t="shared" si="35"/>
        <v>0</v>
      </c>
      <c r="AV127" s="33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-0.14</v>
      </c>
      <c r="AW127" s="33" cm="1">
        <f t="array" ref="AW127">$G$11+VLOOKUP($R127,武学奇术!$A:$ZZ,10,FALSE)+SUM(_xlfn.XLOOKUP(S127:AG127,增益!$A:$A,增益!$J:$J,0))</f>
        <v>0</v>
      </c>
      <c r="AX127">
        <f t="shared" si="36"/>
        <v>0</v>
      </c>
      <c r="AY127">
        <f t="shared" si="37"/>
        <v>0</v>
      </c>
      <c r="AZ127" s="33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-0.14</v>
      </c>
      <c r="BA127" s="33" cm="1">
        <f t="array" ref="BA127">$G$12+VLOOKUP($R127,武学奇术!$A:$ZZ,12,FALSE)+SUM(_xlfn.XLOOKUP(S127:AG127,增益!$A:$A,增益!$L:$L,0))</f>
        <v>0</v>
      </c>
      <c r="BB127">
        <f t="shared" si="38"/>
        <v>0</v>
      </c>
      <c r="BC127">
        <f t="shared" si="39"/>
        <v>0</v>
      </c>
      <c r="BD127" s="33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-0.14</v>
      </c>
      <c r="BE127" s="33" cm="1">
        <f t="array" ref="BE127">$G$13+VLOOKUP($R127,武学奇术!$A:$ZZ,14,FALSE)+SUM(_xlfn.XLOOKUP(S127:AG127,增益!$A:$A,增益!$N:$N,0))</f>
        <v>0</v>
      </c>
      <c r="BF127">
        <f t="shared" si="40"/>
        <v>605.472</v>
      </c>
      <c r="BG127">
        <f t="shared" si="41"/>
        <v>1725.468</v>
      </c>
      <c r="BH127" s="33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0.08</v>
      </c>
      <c r="BI127" s="33" cm="1">
        <f t="array" ref="BI127">$G$14+VLOOKUP($R127,武学奇术!$A:$ZZ,16,FALSE)+SUM(_xlfn.XLOOKUP(S127:AG127,增益!$A:$A,增益!$P:$P,0))</f>
        <v>0.24</v>
      </c>
      <c r="BJ127" s="27">
        <f>MIN(IF(VLOOKUP($R127,武学奇术!$A:$ZZ,23,FALSE)=1,100%,$B$8),100%)</f>
        <v>1</v>
      </c>
      <c r="BK127" s="27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+MIN(IF(VLOOKUP($R127,武学奇术!$A:$ZZ,32,FALSE)=1,IF(VLOOKUP($R127,武学奇术!$A:$ZZ,24,FALSE)=1,100%,MIN(40%,$B$10+VLOOKUP($R127,武学奇术!$A:$ZZ,19,FALSE)+SUM(_xlfn.XLOOKUP(S127:AG127,增益!$A:$A,增益!$S:$S,0)))+$B$12+SUM(_xlfn.XLOOKUP(S127:AG127,增益!$A:$A,增益!$V:$V,0))),0),12%)</f>
        <v>0.9036</v>
      </c>
      <c r="BL127" s="27" cm="1">
        <f t="array" ref="BL127">1+$B$13+VLOOKUP($R127,武学奇术!$A:$ZZ,18,FALSE)+SUM(_xlfn.XLOOKUP(S127:AG127,增益!$A:$A,增益!$R:$R,0))</f>
        <v>1.82</v>
      </c>
      <c r="BM127" s="27" cm="1">
        <f t="array" ref="BM127">MAX(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-IF(VLOOKUP($R127,武学奇术!$A:$ZZ,32,FALSE)=1,12%,0),0)</f>
        <v>0.0929</v>
      </c>
      <c r="BN127" s="27" cm="1">
        <f t="array" ref="BN127">1+$B$14+VLOOKUP($R127,武学奇术!$A:$ZZ,20,FALSE)+SUM(_xlfn.XLOOKUP(S127:AG127,增益!$A:$A,增益!$T:$T,0))</f>
        <v>1.35</v>
      </c>
      <c r="BO127" s="27">
        <f t="shared" si="31"/>
        <v>0.9036</v>
      </c>
      <c r="BP127" s="27">
        <f t="shared" si="32"/>
        <v>0.00350000000000006</v>
      </c>
      <c r="BQ127" s="27">
        <f>IF(VLOOKUP($R127,武学奇术!$A:$ZZ,22,FALSE)=1,0,(1-$BJ127))*(1-$BM127)</f>
        <v>0</v>
      </c>
      <c r="BR127" s="27" cm="1">
        <f t="array" ref="BR127">SUM(_xlfn.XLOOKUP(S127:AG127,增益!$A:$A,增益!$W:$W,0))+$I$5</f>
        <v>0.11</v>
      </c>
    </row>
    <row r="128" spans="1:70">
      <c r="A128" s="4" t="s">
        <v>173</v>
      </c>
      <c r="B128" s="91">
        <v>0.7</v>
      </c>
      <c r="E128" s="40"/>
      <c r="F128" s="40"/>
      <c r="G128" s="40" t="s">
        <v>169</v>
      </c>
      <c r="K128">
        <f>$L128*VLOOKUP($R128,武学奇术!$A:$ZZ,31,FALSE)</f>
        <v>15359.1850935467</v>
      </c>
      <c r="L128" s="39">
        <f t="shared" si="33"/>
        <v>15359.1850935467</v>
      </c>
      <c r="M128" s="39">
        <f>((($AO128+($AP128-$AO128)*IF(VLOOKUP($R128,武学奇术!$A:$ZZ,31,FALSE)=1,$F$18,0.5))*$AI128+$AJ128)*(1+$AQ128)*(1+$AR128)+(($AT128+($AU128-$AT128)*IF(VLOOKUP($R128,武学奇术!$A:$ZZ,31,FALSE)=1,$F$18,0.5))*IF($G$1="鸣金",$AK128,$AI128)+IF($G$1="鸣金",$AL128*1.5,0))*(1+$AV128)*(1+$AW128)+(($AX128+($AY128-$AX128)*IF(VLOOKUP($R128,武学奇术!$A:$ZZ,31,FALSE)=1,$F$18,0.5))*IF($G$1="裂石",$AK128,$AI128)+IF($G$1="裂石",$AL128*1.5,0))*(1+$AZ128)*(1+$BA128)+(($BB128+($BC128-$BB128)*IF(VLOOKUP($R128,武学奇术!$A:$ZZ,31,FALSE)=1,$F$18,0.5))*IF($G$1="牵丝",$AK128,$AI128)+IF($G$1="牵丝",$AL128*1.5,0))*(1+$BD128)*(1+$BE128)+(($BF128+($BG128-$BF128)*IF(VLOOKUP($R128,武学奇术!$A:$ZZ,31,FALSE)=1,$F$18,0.5))*IF($G$1="破竹",$AK128,$AI128)+IF($G$1="破竹",$AL128*1.5,0))*(1+$BH128)*(1+$BI128))*(1+$AM128)*$BL128*$Q128*(1+IF(VLOOKUP($R128,武学奇术!$A:$ZZ,30,FALSE)="蓄力技",$B$21,0))*(1+$BR128)</f>
        <v>15492.9033404715</v>
      </c>
      <c r="N128" s="39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蓄力技",$B$21,0))*(1+$BR128)</f>
        <v>14274.6761081107</v>
      </c>
      <c r="O128" s="39">
        <f>((($AO128+($AP128-$AO128)*IF(VLOOKUP($R128,武学奇术!$A:$ZZ,31,FALSE)=1,$F$18,0.5))*$AI128+$AJ128)*(1+$AQ128)*(1+$AR128)+(($AT128+($AU128-$AT128)*IF(VLOOKUP($R128,武学奇术!$A:$ZZ,31,FALSE)=1,$F$18,0.5))*IF($G$1="鸣金",$AK128,$AI128)+IF($G$1="鸣金",$AL128*1.5,0))*(1+$AV128)*(1+$AW128)+(($AX128+($AY128-$AX128)*IF(VLOOKUP($R128,武学奇术!$A:$ZZ,31,FALSE)=1,$F$18,0.5))*IF($G$1="裂石",$AK128,$AI128)+IF($G$1="裂石",$AL128*1.5,0))*(1+$AZ128)*(1+$BA128)+(($BB128+($BC128-$BB128)*IF(VLOOKUP($R128,武学奇术!$A:$ZZ,31,FALSE)=1,$F$18,0.5))*IF($G$1="牵丝",$AK128,$AI128)+IF($G$1="牵丝",$AL128*1.5,0))*(1+$BD128)*(1+$BE128)+(($BF128+($BG128-$BF128)*IF(VLOOKUP($R128,武学奇术!$A:$ZZ,31,FALSE)=1,$F$18,0.5))*IF($G$1="破竹",$AK128,$AI128)+IF($G$1="破竹",$AL128*1.5,0))*(1+$BH128)*(1+$BI128))*(1+$AM128)*$Q128*(1+IF(VLOOKUP($R128,武学奇术!$A:$ZZ,30,FALSE)="蓄力技",$B$21,0))*(1+$BR128)</f>
        <v>9622.92132948541</v>
      </c>
      <c r="P128" s="39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蓄力技",$B$21,0))*(1+$BR128)</f>
        <v>8672.00850481477</v>
      </c>
      <c r="Q128" s="40">
        <f t="shared" si="42"/>
        <v>1</v>
      </c>
      <c r="R128" s="41" t="s">
        <v>193</v>
      </c>
      <c r="S128" s="41" t="s">
        <v>97</v>
      </c>
      <c r="T128" s="41" t="s">
        <v>73</v>
      </c>
      <c r="U128" s="41" t="s">
        <v>73</v>
      </c>
      <c r="V128" s="41" t="s">
        <v>73</v>
      </c>
      <c r="W128" s="41" t="s">
        <v>73</v>
      </c>
      <c r="X128" s="41" t="s">
        <v>73</v>
      </c>
      <c r="Y128" s="41" t="s">
        <v>156</v>
      </c>
      <c r="Z128" s="41" t="s">
        <v>73</v>
      </c>
      <c r="AA128" s="41" t="s">
        <v>73</v>
      </c>
      <c r="AB128" s="41" t="s">
        <v>84</v>
      </c>
      <c r="AC128" s="41" t="s">
        <v>73</v>
      </c>
      <c r="AD128" s="41" t="s">
        <v>73</v>
      </c>
      <c r="AE128" s="41" t="s">
        <v>76</v>
      </c>
      <c r="AF128" s="41" t="s">
        <v>77</v>
      </c>
      <c r="AG128" s="41" t="s">
        <v>78</v>
      </c>
      <c r="AH128" t="str">
        <f>VLOOKUP($R128,武学奇术!$A:$ZZ,25,FALSE)</f>
        <v>心法</v>
      </c>
      <c r="AI128" s="27">
        <f>VLOOKUP($R128,武学奇术!$A:$ZZ,26,FALSE)</f>
        <v>1</v>
      </c>
      <c r="AJ128" s="28">
        <f>VLOOKUP($R128,武学奇术!$A:$ZZ,27,FALSE)*(1+IF(OR($AH128=$F$4,$AH128=$F$5),$B$22,0))</f>
        <v>0</v>
      </c>
      <c r="AK128" s="27">
        <f>VLOOKUP($R128,武学奇术!$A:$ZZ,28,FALSE)</f>
        <v>1</v>
      </c>
      <c r="AL128" s="28">
        <f>VLOOKUP($R128,武学奇术!$A:$ZZ,29,FALSE)*(1+IF(OR($AH128=$F$4,$AH128=$F$5),$B$22,0))</f>
        <v>0</v>
      </c>
      <c r="AM128" s="27" cm="1">
        <f t="array" ref="AM128">$G$3+IFERROR(VLOOKUP($AH128,$F$4:$G$7,2,FALSE),0)+VLOOKUP($R128,武学奇术!$A:$ZZ,2,FALSE)+SUM(_xlfn.XLOOKUP($S128:$AG128,增益!$A:$A,增益!$B:$B,0))</f>
        <v>0.2337</v>
      </c>
      <c r="AN128" s="27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3888.382</v>
      </c>
      <c r="AP128" cm="1">
        <f t="array" ref="AP128">$E$10*(1+$AN128)+VLOOKUP($R128,武学奇术!$A:$ZZ,4,FALSE)+SUM(_xlfn.XLOOKUP($S128:$AG128,增益!$A:$A,增益!$D:$D,0))-$I$2</f>
        <v>3888.382</v>
      </c>
      <c r="AQ128" s="33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0.317</v>
      </c>
      <c r="AR128" s="33" cm="1">
        <f t="array" ref="AR128">$G$10+VLOOKUP($R128,武学奇术!$A:$ZZ,7,FALSE)+SUM(_xlfn.XLOOKUP(S128:AG128,增益!$A:$A,增益!$G:$G,0))</f>
        <v>0.09</v>
      </c>
      <c r="AS128" s="27" cm="1">
        <f t="array" ref="AS128">VLOOKUP($R128,武学奇术!$A:$ZZ,8,FALSE)+SUM(_xlfn.XLOOKUP(S128:AG128,增益!$A:$A,增益!$H:$H,0))</f>
        <v>0</v>
      </c>
      <c r="AT128">
        <f t="shared" si="34"/>
        <v>0</v>
      </c>
      <c r="AU128">
        <f t="shared" si="35"/>
        <v>0</v>
      </c>
      <c r="AV128" s="33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-0.3</v>
      </c>
      <c r="AW128" s="33" cm="1">
        <f t="array" ref="AW128">$G$11+VLOOKUP($R128,武学奇术!$A:$ZZ,10,FALSE)+SUM(_xlfn.XLOOKUP(S128:AG128,增益!$A:$A,增益!$J:$J,0))</f>
        <v>0</v>
      </c>
      <c r="AX128">
        <f t="shared" si="36"/>
        <v>0</v>
      </c>
      <c r="AY128">
        <f t="shared" si="37"/>
        <v>0</v>
      </c>
      <c r="AZ128" s="33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-0.3</v>
      </c>
      <c r="BA128" s="33" cm="1">
        <f t="array" ref="BA128">$G$12+VLOOKUP($R128,武学奇术!$A:$ZZ,12,FALSE)+SUM(_xlfn.XLOOKUP(S128:AG128,增益!$A:$A,增益!$L:$L,0))</f>
        <v>0</v>
      </c>
      <c r="BB128">
        <f t="shared" si="38"/>
        <v>0</v>
      </c>
      <c r="BC128">
        <f t="shared" si="39"/>
        <v>0</v>
      </c>
      <c r="BD128" s="33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-0.3</v>
      </c>
      <c r="BE128" s="33" cm="1">
        <f t="array" ref="BE128">$G$13+VLOOKUP($R128,武学奇术!$A:$ZZ,14,FALSE)+SUM(_xlfn.XLOOKUP(S128:AG128,增益!$A:$A,增益!$N:$N,0))</f>
        <v>0</v>
      </c>
      <c r="BF128">
        <f t="shared" si="40"/>
        <v>605.472</v>
      </c>
      <c r="BG128">
        <f t="shared" si="41"/>
        <v>1725.468</v>
      </c>
      <c r="BH128" s="33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0</v>
      </c>
      <c r="BI128" s="33" cm="1">
        <f t="array" ref="BI128">$G$14+VLOOKUP($R128,武学奇术!$A:$ZZ,16,FALSE)+SUM(_xlfn.XLOOKUP(S128:AG128,增益!$A:$A,增益!$P:$P,0))</f>
        <v>0.24</v>
      </c>
      <c r="BJ128" s="27">
        <f>MIN(IF(VLOOKUP($R128,武学奇术!$A:$ZZ,23,FALSE)=1,100%,$B$8),100%)</f>
        <v>1</v>
      </c>
      <c r="BK128" s="27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+MIN(IF(VLOOKUP($R128,武学奇术!$A:$ZZ,32,FALSE)=1,IF(VLOOKUP($R128,武学奇术!$A:$ZZ,24,FALSE)=1,100%,MIN(40%,$B$10+VLOOKUP($R128,武学奇术!$A:$ZZ,19,FALSE)+SUM(_xlfn.XLOOKUP(S128:AG128,增益!$A:$A,增益!$S:$S,0)))+$B$12+SUM(_xlfn.XLOOKUP(S128:AG128,增益!$A:$A,增益!$V:$V,0))),0),12%)</f>
        <v>0.9036</v>
      </c>
      <c r="BL128" s="27" cm="1">
        <f t="array" ref="BL128">1+$B$13+VLOOKUP($R128,武学奇术!$A:$ZZ,18,FALSE)+SUM(_xlfn.XLOOKUP(S128:AG128,增益!$A:$A,增益!$R:$R,0))</f>
        <v>1.61</v>
      </c>
      <c r="BM128" s="27" cm="1">
        <f t="array" ref="BM128">MAX(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-IF(VLOOKUP($R128,武学奇术!$A:$ZZ,32,FALSE)=1,12%,0),0)</f>
        <v>0.0929</v>
      </c>
      <c r="BN128" s="27" cm="1">
        <f t="array" ref="BN128">1+$B$14+VLOOKUP($R128,武学奇术!$A:$ZZ,20,FALSE)+SUM(_xlfn.XLOOKUP(S128:AG128,增益!$A:$A,增益!$T:$T,0))</f>
        <v>1.35</v>
      </c>
      <c r="BO128" s="27">
        <f t="shared" si="31"/>
        <v>0.9036</v>
      </c>
      <c r="BP128" s="27">
        <f t="shared" si="32"/>
        <v>0.00350000000000006</v>
      </c>
      <c r="BQ128" s="27">
        <f>IF(VLOOKUP($R128,武学奇术!$A:$ZZ,22,FALSE)=1,0,(1-$BJ128))*(1-$BM128)</f>
        <v>0</v>
      </c>
      <c r="BR128" s="27" cm="1">
        <f t="array" ref="BR128">SUM(_xlfn.XLOOKUP(S128:AG128,增益!$A:$A,增益!$W:$W,0))+$I$5</f>
        <v>0.11</v>
      </c>
    </row>
    <row r="129" spans="1:70">
      <c r="A129" s="4" t="s">
        <v>174</v>
      </c>
      <c r="B129" s="4">
        <v>0.8</v>
      </c>
      <c r="E129" s="40"/>
      <c r="F129" s="40"/>
      <c r="G129" s="40"/>
      <c r="K129">
        <f>$L129*VLOOKUP($R129,武学奇术!$A:$ZZ,31,FALSE)</f>
        <v>15884.6144058321</v>
      </c>
      <c r="L129" s="39">
        <f t="shared" si="33"/>
        <v>15884.6144058321</v>
      </c>
      <c r="M129" s="39">
        <f>((($AO129+($AP129-$AO129)*IF(VLOOKUP($R129,武学奇术!$A:$ZZ,31,FALSE)=1,$F$18,0.5))*$AI129+$AJ129)*(1+$AQ129)*(1+$AR129)+(($AT129+($AU129-$AT129)*IF(VLOOKUP($R129,武学奇术!$A:$ZZ,31,FALSE)=1,$F$18,0.5))*IF($G$1="鸣金",$AK129,$AI129)+IF($G$1="鸣金",$AL129*1.5,0))*(1+$AV129)*(1+$AW129)+(($AX129+($AY129-$AX129)*IF(VLOOKUP($R129,武学奇术!$A:$ZZ,31,FALSE)=1,$F$18,0.5))*IF($G$1="裂石",$AK129,$AI129)+IF($G$1="裂石",$AL129*1.5,0))*(1+$AZ129)*(1+$BA129)+(($BB129+($BC129-$BB129)*IF(VLOOKUP($R129,武学奇术!$A:$ZZ,31,FALSE)=1,$F$18,0.5))*IF($G$1="牵丝",$AK129,$AI129)+IF($G$1="牵丝",$AL129*1.5,0))*(1+$BD129)*(1+$BE129)+(($BF129+($BG129-$BF129)*IF(VLOOKUP($R129,武学奇术!$A:$ZZ,31,FALSE)=1,$F$18,0.5))*IF($G$1="破竹",$AK129,$AI129)+IF($G$1="破竹",$AL129*1.5,0))*(1+$BH129)*(1+$BI129))*(1+$AM129)*$BL129*$Q129*(1+IF(VLOOKUP($R129,武学奇术!$A:$ZZ,30,FALSE)="蓄力技",$B$21,0))*(1+$BR129)</f>
        <v>16041.2414800251</v>
      </c>
      <c r="N129" s="39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蓄力技",$B$21,0))*(1+$BR129)</f>
        <v>14591.1113849759</v>
      </c>
      <c r="O129" s="39">
        <f>((($AO129+($AP129-$AO129)*IF(VLOOKUP($R129,武学奇术!$A:$ZZ,31,FALSE)=1,$F$18,0.5))*$AI129+$AJ129)*(1+$AQ129)*(1+$AR129)+(($AT129+($AU129-$AT129)*IF(VLOOKUP($R129,武学奇术!$A:$ZZ,31,FALSE)=1,$F$18,0.5))*IF($G$1="鸣金",$AK129,$AI129)+IF($G$1="鸣金",$AL129*1.5,0))*(1+$AV129)*(1+$AW129)+(($AX129+($AY129-$AX129)*IF(VLOOKUP($R129,武学奇术!$A:$ZZ,31,FALSE)=1,$F$18,0.5))*IF($G$1="裂石",$AK129,$AI129)+IF($G$1="裂石",$AL129*1.5,0))*(1+$AZ129)*(1+$BA129)+(($BB129+($BC129-$BB129)*IF(VLOOKUP($R129,武学奇术!$A:$ZZ,31,FALSE)=1,$F$18,0.5))*IF($G$1="牵丝",$AK129,$AI129)+IF($G$1="牵丝",$AL129*1.5,0))*(1+$BD129)*(1+$BE129)+(($BF129+($BG129-$BF129)*IF(VLOOKUP($R129,武学奇术!$A:$ZZ,31,FALSE)=1,$F$18,0.5))*IF($G$1="破竹",$AK129,$AI129)+IF($G$1="破竹",$AL129*1.5,0))*(1+$BH129)*(1+$BI129))*(1+$AM129)*$Q129*(1+IF(VLOOKUP($R129,武学奇术!$A:$ZZ,30,FALSE)="蓄力技",$B$21,0))*(1+$BR129)</f>
        <v>9781.24480489338</v>
      </c>
      <c r="P129" s="39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蓄力技",$B$21,0))*(1+$BR129)</f>
        <v>8754.25895424909</v>
      </c>
      <c r="Q129" s="40">
        <f t="shared" si="42"/>
        <v>1</v>
      </c>
      <c r="R129" s="41" t="s">
        <v>193</v>
      </c>
      <c r="S129" s="41" t="s">
        <v>97</v>
      </c>
      <c r="T129" s="41" t="s">
        <v>73</v>
      </c>
      <c r="U129" s="41" t="s">
        <v>73</v>
      </c>
      <c r="V129" s="41" t="s">
        <v>73</v>
      </c>
      <c r="W129" s="41" t="s">
        <v>73</v>
      </c>
      <c r="X129" s="41" t="s">
        <v>73</v>
      </c>
      <c r="Y129" s="41" t="s">
        <v>164</v>
      </c>
      <c r="Z129" s="41" t="s">
        <v>83</v>
      </c>
      <c r="AA129" s="41" t="s">
        <v>73</v>
      </c>
      <c r="AB129" s="41" t="s">
        <v>90</v>
      </c>
      <c r="AC129" s="41" t="s">
        <v>73</v>
      </c>
      <c r="AD129" s="41" t="s">
        <v>73</v>
      </c>
      <c r="AE129" s="41" t="s">
        <v>76</v>
      </c>
      <c r="AF129" s="41" t="s">
        <v>77</v>
      </c>
      <c r="AG129" s="41" t="s">
        <v>78</v>
      </c>
      <c r="AH129" t="str">
        <f>VLOOKUP($R129,武学奇术!$A:$ZZ,25,FALSE)</f>
        <v>心法</v>
      </c>
      <c r="AI129" s="27">
        <f>VLOOKUP($R129,武学奇术!$A:$ZZ,26,FALSE)</f>
        <v>1</v>
      </c>
      <c r="AJ129" s="28">
        <f>VLOOKUP($R129,武学奇术!$A:$ZZ,27,FALSE)*(1+IF(OR($AH129=$F$4,$AH129=$F$5),$B$22,0))</f>
        <v>0</v>
      </c>
      <c r="AK129" s="27">
        <f>VLOOKUP($R129,武学奇术!$A:$ZZ,28,FALSE)</f>
        <v>1</v>
      </c>
      <c r="AL129" s="28">
        <f>VLOOKUP($R129,武学奇术!$A:$ZZ,29,FALSE)*(1+IF(OR($AH129=$F$4,$AH129=$F$5),$B$22,0))</f>
        <v>0</v>
      </c>
      <c r="AM129" s="27" cm="1">
        <f t="array" ref="AM129">$G$3+IFERROR(VLOOKUP($AH129,$F$4:$G$7,2,FALSE),0)+VLOOKUP($R129,武学奇术!$A:$ZZ,2,FALSE)+SUM(_xlfn.XLOOKUP($S129:$AG129,增益!$A:$A,增益!$B:$B,0))</f>
        <v>0.2337</v>
      </c>
      <c r="AN129" s="27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3888.382</v>
      </c>
      <c r="AP129" cm="1">
        <f t="array" ref="AP129">$E$10*(1+$AN129)+VLOOKUP($R129,武学奇术!$A:$ZZ,4,FALSE)+SUM(_xlfn.XLOOKUP($S129:$AG129,增益!$A:$A,增益!$D:$D,0))-$I$2</f>
        <v>3888.382</v>
      </c>
      <c r="AQ129" s="33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0.317</v>
      </c>
      <c r="AR129" s="33" cm="1">
        <f t="array" ref="AR129">$G$10+VLOOKUP($R129,武学奇术!$A:$ZZ,7,FALSE)+SUM(_xlfn.XLOOKUP(S129:AG129,增益!$A:$A,增益!$G:$G,0))</f>
        <v>0.09</v>
      </c>
      <c r="AS129" s="27" cm="1">
        <f t="array" ref="AS129">VLOOKUP($R129,武学奇术!$A:$ZZ,8,FALSE)+SUM(_xlfn.XLOOKUP(S129:AG129,增益!$A:$A,增益!$H:$H,0))</f>
        <v>0</v>
      </c>
      <c r="AT129">
        <f t="shared" si="34"/>
        <v>0</v>
      </c>
      <c r="AU129">
        <f t="shared" si="35"/>
        <v>0</v>
      </c>
      <c r="AV129" s="33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-0.14</v>
      </c>
      <c r="AW129" s="33" cm="1">
        <f t="array" ref="AW129">$G$11+VLOOKUP($R129,武学奇术!$A:$ZZ,10,FALSE)+SUM(_xlfn.XLOOKUP(S129:AG129,增益!$A:$A,增益!$J:$J,0))</f>
        <v>0</v>
      </c>
      <c r="AX129">
        <f t="shared" si="36"/>
        <v>0</v>
      </c>
      <c r="AY129">
        <f t="shared" si="37"/>
        <v>0</v>
      </c>
      <c r="AZ129" s="33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-0.14</v>
      </c>
      <c r="BA129" s="33" cm="1">
        <f t="array" ref="BA129">$G$12+VLOOKUP($R129,武学奇术!$A:$ZZ,12,FALSE)+SUM(_xlfn.XLOOKUP(S129:AG129,增益!$A:$A,增益!$L:$L,0))</f>
        <v>0</v>
      </c>
      <c r="BB129">
        <f t="shared" si="38"/>
        <v>0</v>
      </c>
      <c r="BC129">
        <f t="shared" si="39"/>
        <v>0</v>
      </c>
      <c r="BD129" s="33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-0.14</v>
      </c>
      <c r="BE129" s="33" cm="1">
        <f t="array" ref="BE129">$G$13+VLOOKUP($R129,武学奇术!$A:$ZZ,14,FALSE)+SUM(_xlfn.XLOOKUP(S129:AG129,增益!$A:$A,增益!$N:$N,0))</f>
        <v>0</v>
      </c>
      <c r="BF129">
        <f t="shared" si="40"/>
        <v>605.472</v>
      </c>
      <c r="BG129">
        <f t="shared" si="41"/>
        <v>1725.468</v>
      </c>
      <c r="BH129" s="33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0.08</v>
      </c>
      <c r="BI129" s="33" cm="1">
        <f t="array" ref="BI129">$G$14+VLOOKUP($R129,武学奇术!$A:$ZZ,16,FALSE)+SUM(_xlfn.XLOOKUP(S129:AG129,增益!$A:$A,增益!$P:$P,0))</f>
        <v>0.24</v>
      </c>
      <c r="BJ129" s="27">
        <f>MIN(IF(VLOOKUP($R129,武学奇术!$A:$ZZ,23,FALSE)=1,100%,$B$8),100%)</f>
        <v>1</v>
      </c>
      <c r="BK129" s="27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+MIN(IF(VLOOKUP($R129,武学奇术!$A:$ZZ,32,FALSE)=1,IF(VLOOKUP($R129,武学奇术!$A:$ZZ,24,FALSE)=1,100%,MIN(40%,$B$10+VLOOKUP($R129,武学奇术!$A:$ZZ,19,FALSE)+SUM(_xlfn.XLOOKUP(S129:AG129,增益!$A:$A,增益!$S:$S,0)))+$B$12+SUM(_xlfn.XLOOKUP(S129:AG129,增益!$A:$A,增益!$V:$V,0))),0),12%)</f>
        <v>0.9036</v>
      </c>
      <c r="BL129" s="27" cm="1">
        <f t="array" ref="BL129">1+$B$13+VLOOKUP($R129,武学奇术!$A:$ZZ,18,FALSE)+SUM(_xlfn.XLOOKUP(S129:AG129,增益!$A:$A,增益!$R:$R,0))</f>
        <v>1.64</v>
      </c>
      <c r="BM129" s="27" cm="1">
        <f t="array" ref="BM129">MAX(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-IF(VLOOKUP($R129,武学奇术!$A:$ZZ,32,FALSE)=1,12%,0),0)</f>
        <v>0.0929</v>
      </c>
      <c r="BN129" s="27" cm="1">
        <f t="array" ref="BN129">1+$B$14+VLOOKUP($R129,武学奇术!$A:$ZZ,20,FALSE)+SUM(_xlfn.XLOOKUP(S129:AG129,增益!$A:$A,增益!$T:$T,0))</f>
        <v>1.35</v>
      </c>
      <c r="BO129" s="27">
        <f t="shared" si="31"/>
        <v>0.9036</v>
      </c>
      <c r="BP129" s="27">
        <f t="shared" si="32"/>
        <v>0.00350000000000006</v>
      </c>
      <c r="BQ129" s="27">
        <f>IF(VLOOKUP($R129,武学奇术!$A:$ZZ,22,FALSE)=1,0,(1-$BJ129))*(1-$BM129)</f>
        <v>0</v>
      </c>
      <c r="BR129" s="27" cm="1">
        <f t="array" ref="BR129">SUM(_xlfn.XLOOKUP(S129:AG129,增益!$A:$A,增益!$W:$W,0))+$I$5</f>
        <v>0.11</v>
      </c>
    </row>
    <row r="130" spans="1:70">
      <c r="A130" s="4" t="s">
        <v>175</v>
      </c>
      <c r="B130" s="4">
        <v>2.15</v>
      </c>
      <c r="E130" s="40"/>
      <c r="F130" s="40"/>
      <c r="G130" s="40"/>
      <c r="K130">
        <f>$L130*VLOOKUP($R130,武学奇术!$A:$ZZ,31,FALSE)</f>
        <v>15620.0432449464</v>
      </c>
      <c r="L130" s="39">
        <f t="shared" si="33"/>
        <v>15620.0432449464</v>
      </c>
      <c r="M130" s="39">
        <f>((($AO130+($AP130-$AO130)*IF(VLOOKUP($R130,武学奇术!$A:$ZZ,31,FALSE)=1,$F$18,0.5))*$AI130+$AJ130)*(1+$AQ130)*(1+$AR130)+(($AT130+($AU130-$AT130)*IF(VLOOKUP($R130,武学奇术!$A:$ZZ,31,FALSE)=1,$F$18,0.5))*IF($G$1="鸣金",$AK130,$AI130)+IF($G$1="鸣金",$AL130*1.5,0))*(1+$AV130)*(1+$AW130)+(($AX130+($AY130-$AX130)*IF(VLOOKUP($R130,武学奇术!$A:$ZZ,31,FALSE)=1,$F$18,0.5))*IF($G$1="裂石",$AK130,$AI130)+IF($G$1="裂石",$AL130*1.5,0))*(1+$AZ130)*(1+$BA130)+(($BB130+($BC130-$BB130)*IF(VLOOKUP($R130,武学奇术!$A:$ZZ,31,FALSE)=1,$F$18,0.5))*IF($G$1="牵丝",$AK130,$AI130)+IF($G$1="牵丝",$AL130*1.5,0))*(1+$BD130)*(1+$BE130)+(($BF130+($BG130-$BF130)*IF(VLOOKUP($R130,武学奇术!$A:$ZZ,31,FALSE)=1,$F$18,0.5))*IF($G$1="破竹",$AK130,$AI130)+IF($G$1="破竹",$AL130*1.5,0))*(1+$BH130)*(1+$BI130))*(1+$AM130)*$BL130*$Q130*(1+IF(VLOOKUP($R130,武学奇术!$A:$ZZ,30,FALSE)="蓄力技",$B$21,0))*(1+$BR130)</f>
        <v>15781.5909803561</v>
      </c>
      <c r="N130" s="39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蓄力技",$B$21,0))*(1+$BR130)</f>
        <v>14274.6761081107</v>
      </c>
      <c r="O130" s="39">
        <f>((($AO130+($AP130-$AO130)*IF(VLOOKUP($R130,武学奇术!$A:$ZZ,31,FALSE)=1,$F$18,0.5))*$AI130+$AJ130)*(1+$AQ130)*(1+$AR130)+(($AT130+($AU130-$AT130)*IF(VLOOKUP($R130,武学奇术!$A:$ZZ,31,FALSE)=1,$F$18,0.5))*IF($G$1="鸣金",$AK130,$AI130)+IF($G$1="鸣金",$AL130*1.5,0))*(1+$AV130)*(1+$AW130)+(($AX130+($AY130-$AX130)*IF(VLOOKUP($R130,武学奇术!$A:$ZZ,31,FALSE)=1,$F$18,0.5))*IF($G$1="裂石",$AK130,$AI130)+IF($G$1="裂石",$AL130*1.5,0))*(1+$AZ130)*(1+$BA130)+(($BB130+($BC130-$BB130)*IF(VLOOKUP($R130,武学奇术!$A:$ZZ,31,FALSE)=1,$F$18,0.5))*IF($G$1="牵丝",$AK130,$AI130)+IF($G$1="牵丝",$AL130*1.5,0))*(1+$BD130)*(1+$BE130)+(($BF130+($BG130-$BF130)*IF(VLOOKUP($R130,武学奇术!$A:$ZZ,31,FALSE)=1,$F$18,0.5))*IF($G$1="破竹",$AK130,$AI130)+IF($G$1="破竹",$AL130*1.5,0))*(1+$BH130)*(1+$BI130))*(1+$AM130)*$Q130*(1+IF(VLOOKUP($R130,武学奇术!$A:$ZZ,30,FALSE)="蓄力技",$B$21,0))*(1+$BR130)</f>
        <v>9622.92132948541</v>
      </c>
      <c r="P130" s="39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蓄力技",$B$21,0))*(1+$BR130)</f>
        <v>8672.00850481477</v>
      </c>
      <c r="Q130" s="40">
        <f t="shared" si="42"/>
        <v>1</v>
      </c>
      <c r="R130" s="41" t="s">
        <v>193</v>
      </c>
      <c r="S130" s="41" t="s">
        <v>97</v>
      </c>
      <c r="T130" s="41" t="s">
        <v>73</v>
      </c>
      <c r="U130" s="41" t="s">
        <v>73</v>
      </c>
      <c r="V130" s="41" t="s">
        <v>73</v>
      </c>
      <c r="W130" s="41" t="s">
        <v>73</v>
      </c>
      <c r="X130" s="41" t="s">
        <v>73</v>
      </c>
      <c r="Y130" s="41" t="s">
        <v>164</v>
      </c>
      <c r="Z130" s="41" t="s">
        <v>73</v>
      </c>
      <c r="AA130" s="41" t="s">
        <v>73</v>
      </c>
      <c r="AB130" s="41" t="s">
        <v>84</v>
      </c>
      <c r="AC130" s="41" t="s">
        <v>73</v>
      </c>
      <c r="AD130" s="41" t="s">
        <v>73</v>
      </c>
      <c r="AE130" s="41" t="s">
        <v>76</v>
      </c>
      <c r="AF130" s="41" t="s">
        <v>77</v>
      </c>
      <c r="AG130" s="41" t="s">
        <v>78</v>
      </c>
      <c r="AH130" t="str">
        <f>VLOOKUP($R130,武学奇术!$A:$ZZ,25,FALSE)</f>
        <v>心法</v>
      </c>
      <c r="AI130" s="27">
        <f>VLOOKUP($R130,武学奇术!$A:$ZZ,26,FALSE)</f>
        <v>1</v>
      </c>
      <c r="AJ130" s="28">
        <f>VLOOKUP($R130,武学奇术!$A:$ZZ,27,FALSE)*(1+IF(OR($AH130=$F$4,$AH130=$F$5),$B$22,0))</f>
        <v>0</v>
      </c>
      <c r="AK130" s="27">
        <f>VLOOKUP($R130,武学奇术!$A:$ZZ,28,FALSE)</f>
        <v>1</v>
      </c>
      <c r="AL130" s="28">
        <f>VLOOKUP($R130,武学奇术!$A:$ZZ,29,FALSE)*(1+IF(OR($AH130=$F$4,$AH130=$F$5),$B$22,0))</f>
        <v>0</v>
      </c>
      <c r="AM130" s="27" cm="1">
        <f t="array" ref="AM130">$G$3+IFERROR(VLOOKUP($AH130,$F$4:$G$7,2,FALSE),0)+VLOOKUP($R130,武学奇术!$A:$ZZ,2,FALSE)+SUM(_xlfn.XLOOKUP($S130:$AG130,增益!$A:$A,增益!$B:$B,0))</f>
        <v>0.2337</v>
      </c>
      <c r="AN130" s="27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3888.382</v>
      </c>
      <c r="AP130" cm="1">
        <f t="array" ref="AP130">$E$10*(1+$AN130)+VLOOKUP($R130,武学奇术!$A:$ZZ,4,FALSE)+SUM(_xlfn.XLOOKUP($S130:$AG130,增益!$A:$A,增益!$D:$D,0))-$I$2</f>
        <v>3888.382</v>
      </c>
      <c r="AQ130" s="33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0.317</v>
      </c>
      <c r="AR130" s="33" cm="1">
        <f t="array" ref="AR130">$G$10+VLOOKUP($R130,武学奇术!$A:$ZZ,7,FALSE)+SUM(_xlfn.XLOOKUP(S130:AG130,增益!$A:$A,增益!$G:$G,0))</f>
        <v>0.09</v>
      </c>
      <c r="AS130" s="27" cm="1">
        <f t="array" ref="AS130">VLOOKUP($R130,武学奇术!$A:$ZZ,8,FALSE)+SUM(_xlfn.XLOOKUP(S130:AG130,增益!$A:$A,增益!$H:$H,0))</f>
        <v>0</v>
      </c>
      <c r="AT130">
        <f t="shared" si="34"/>
        <v>0</v>
      </c>
      <c r="AU130">
        <f t="shared" si="35"/>
        <v>0</v>
      </c>
      <c r="AV130" s="33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-0.3</v>
      </c>
      <c r="AW130" s="33" cm="1">
        <f t="array" ref="AW130">$G$11+VLOOKUP($R130,武学奇术!$A:$ZZ,10,FALSE)+SUM(_xlfn.XLOOKUP(S130:AG130,增益!$A:$A,增益!$J:$J,0))</f>
        <v>0</v>
      </c>
      <c r="AX130">
        <f t="shared" si="36"/>
        <v>0</v>
      </c>
      <c r="AY130">
        <f t="shared" si="37"/>
        <v>0</v>
      </c>
      <c r="AZ130" s="33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-0.3</v>
      </c>
      <c r="BA130" s="33" cm="1">
        <f t="array" ref="BA130">$G$12+VLOOKUP($R130,武学奇术!$A:$ZZ,12,FALSE)+SUM(_xlfn.XLOOKUP(S130:AG130,增益!$A:$A,增益!$L:$L,0))</f>
        <v>0</v>
      </c>
      <c r="BB130">
        <f t="shared" si="38"/>
        <v>0</v>
      </c>
      <c r="BC130">
        <f t="shared" si="39"/>
        <v>0</v>
      </c>
      <c r="BD130" s="33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-0.3</v>
      </c>
      <c r="BE130" s="33" cm="1">
        <f t="array" ref="BE130">$G$13+VLOOKUP($R130,武学奇术!$A:$ZZ,14,FALSE)+SUM(_xlfn.XLOOKUP(S130:AG130,增益!$A:$A,增益!$N:$N,0))</f>
        <v>0</v>
      </c>
      <c r="BF130">
        <f t="shared" si="40"/>
        <v>605.472</v>
      </c>
      <c r="BG130">
        <f t="shared" si="41"/>
        <v>1725.468</v>
      </c>
      <c r="BH130" s="33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0</v>
      </c>
      <c r="BI130" s="33" cm="1">
        <f t="array" ref="BI130">$G$14+VLOOKUP($R130,武学奇术!$A:$ZZ,16,FALSE)+SUM(_xlfn.XLOOKUP(S130:AG130,增益!$A:$A,增益!$P:$P,0))</f>
        <v>0.24</v>
      </c>
      <c r="BJ130" s="27">
        <f>MIN(IF(VLOOKUP($R130,武学奇术!$A:$ZZ,23,FALSE)=1,100%,$B$8),100%)</f>
        <v>1</v>
      </c>
      <c r="BK130" s="27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+MIN(IF(VLOOKUP($R130,武学奇术!$A:$ZZ,32,FALSE)=1,IF(VLOOKUP($R130,武学奇术!$A:$ZZ,24,FALSE)=1,100%,MIN(40%,$B$10+VLOOKUP($R130,武学奇术!$A:$ZZ,19,FALSE)+SUM(_xlfn.XLOOKUP(S130:AG130,增益!$A:$A,增益!$S:$S,0)))+$B$12+SUM(_xlfn.XLOOKUP(S130:AG130,增益!$A:$A,增益!$V:$V,0))),0),12%)</f>
        <v>0.9036</v>
      </c>
      <c r="BL130" s="27" cm="1">
        <f t="array" ref="BL130">1+$B$13+VLOOKUP($R130,武学奇术!$A:$ZZ,18,FALSE)+SUM(_xlfn.XLOOKUP(S130:AG130,增益!$A:$A,增益!$R:$R,0))</f>
        <v>1.64</v>
      </c>
      <c r="BM130" s="27" cm="1">
        <f t="array" ref="BM130">MAX(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-IF(VLOOKUP($R130,武学奇术!$A:$ZZ,32,FALSE)=1,12%,0),0)</f>
        <v>0.0929</v>
      </c>
      <c r="BN130" s="27" cm="1">
        <f t="array" ref="BN130">1+$B$14+VLOOKUP($R130,武学奇术!$A:$ZZ,20,FALSE)+SUM(_xlfn.XLOOKUP(S130:AG130,增益!$A:$A,增益!$T:$T,0))</f>
        <v>1.35</v>
      </c>
      <c r="BO130" s="27">
        <f t="shared" si="31"/>
        <v>0.9036</v>
      </c>
      <c r="BP130" s="27">
        <f t="shared" si="32"/>
        <v>0.00350000000000006</v>
      </c>
      <c r="BQ130" s="27">
        <f>IF(VLOOKUP($R130,武学奇术!$A:$ZZ,22,FALSE)=1,0,(1-$BJ130))*(1-$BM130)</f>
        <v>0</v>
      </c>
      <c r="BR130" s="27" cm="1">
        <f t="array" ref="BR130">SUM(_xlfn.XLOOKUP(S130:AG130,增益!$A:$A,增益!$W:$W,0))+$I$5</f>
        <v>0.11</v>
      </c>
    </row>
    <row r="131" spans="1:70">
      <c r="A131" s="4" t="s">
        <v>194</v>
      </c>
      <c r="B131" s="4">
        <v>6</v>
      </c>
      <c r="D131" t="s">
        <v>188</v>
      </c>
      <c r="F131" s="40"/>
      <c r="G131" s="40"/>
      <c r="K131">
        <f>$L131*VLOOKUP($R131,武学奇术!$A:$ZZ,31,FALSE)</f>
        <v>22927.0522924021</v>
      </c>
      <c r="L131" s="39">
        <f t="shared" si="33"/>
        <v>22927.0522924021</v>
      </c>
      <c r="M131" s="39">
        <f>((($AO131+($AP131-$AO131)*IF(VLOOKUP($R131,武学奇术!$A:$ZZ,31,FALSE)=1,$F$18,0.5))*$AI131+$AJ131)*(1+$AQ131)*(1+$AR131)+(($AT131+($AU131-$AT131)*IF(VLOOKUP($R131,武学奇术!$A:$ZZ,31,FALSE)=1,$F$18,0.5))*IF($G$1="鸣金",$AK131,$AI131)+IF($G$1="鸣金",$AL131*1.5,0))*(1+$AV131)*(1+$AW131)+(($AX131+($AY131-$AX131)*IF(VLOOKUP($R131,武学奇术!$A:$ZZ,31,FALSE)=1,$F$18,0.5))*IF($G$1="裂石",$AK131,$AI131)+IF($G$1="裂石",$AL131*1.5,0))*(1+$AZ131)*(1+$BA131)+(($BB131+($BC131-$BB131)*IF(VLOOKUP($R131,武学奇术!$A:$ZZ,31,FALSE)=1,$F$18,0.5))*IF($G$1="牵丝",$AK131,$AI131)+IF($G$1="牵丝",$AL131*1.5,0))*(1+$BD131)*(1+$BE131)+(($BF131+($BG131-$BF131)*IF(VLOOKUP($R131,武学奇术!$A:$ZZ,31,FALSE)=1,$F$18,0.5))*IF($G$1="破竹",$AK131,$AI131)+IF($G$1="破竹",$AL131*1.5,0))*(1+$BH131)*(1+$BI131))*(1+$AM131)*$BL131*$Q131*(1+IF(VLOOKUP($R131,武学奇术!$A:$ZZ,30,FALSE)="蓄力技",$B$21,0))*(1+$BR131)</f>
        <v>23435.7223295472</v>
      </c>
      <c r="N131" s="39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蓄力技",$B$21,0))*(1+$BR131)</f>
        <v>18376.0399314077</v>
      </c>
      <c r="O131" s="39">
        <f>((($AO131+($AP131-$AO131)*IF(VLOOKUP($R131,武学奇术!$A:$ZZ,31,FALSE)=1,$F$18,0.5))*$AI131+$AJ131)*(1+$AQ131)*(1+$AR131)+(($AT131+($AU131-$AT131)*IF(VLOOKUP($R131,武学奇术!$A:$ZZ,31,FALSE)=1,$F$18,0.5))*IF($G$1="鸣金",$AK131,$AI131)+IF($G$1="鸣金",$AL131*1.5,0))*(1+$AV131)*(1+$AW131)+(($AX131+($AY131-$AX131)*IF(VLOOKUP($R131,武学奇术!$A:$ZZ,31,FALSE)=1,$F$18,0.5))*IF($G$1="裂石",$AK131,$AI131)+IF($G$1="裂石",$AL131*1.5,0))*(1+$AZ131)*(1+$BA131)+(($BB131+($BC131-$BB131)*IF(VLOOKUP($R131,武学奇术!$A:$ZZ,31,FALSE)=1,$F$18,0.5))*IF($G$1="牵丝",$AK131,$AI131)+IF($G$1="牵丝",$AL131*1.5,0))*(1+$BD131)*(1+$BE131)+(($BF131+($BG131-$BF131)*IF(VLOOKUP($R131,武学奇术!$A:$ZZ,31,FALSE)=1,$F$18,0.5))*IF($G$1="破竹",$AK131,$AI131)+IF($G$1="破竹",$AL131*1.5,0))*(1+$BH131)*(1+$BI131))*(1+$AM131)*$Q131*(1+IF(VLOOKUP($R131,武学奇术!$A:$ZZ,30,FALSE)="蓄力技",$B$21,0))*(1+$BR131)</f>
        <v>12399.8530844165</v>
      </c>
      <c r="P131" s="39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蓄力技",$B$21,0))*(1+$BR131)</f>
        <v>11187.8247381606</v>
      </c>
      <c r="Q131" s="40">
        <f t="shared" si="42"/>
        <v>1</v>
      </c>
      <c r="R131" s="41" t="s">
        <v>193</v>
      </c>
      <c r="S131" s="41" t="s">
        <v>97</v>
      </c>
      <c r="T131" s="41" t="s">
        <v>132</v>
      </c>
      <c r="U131" s="41" t="s">
        <v>73</v>
      </c>
      <c r="V131" s="41" t="s">
        <v>73</v>
      </c>
      <c r="W131" s="41" t="s">
        <v>179</v>
      </c>
      <c r="X131" s="41" t="s">
        <v>180</v>
      </c>
      <c r="Y131" s="41" t="s">
        <v>164</v>
      </c>
      <c r="Z131" s="41" t="s">
        <v>83</v>
      </c>
      <c r="AA131" s="41" t="s">
        <v>73</v>
      </c>
      <c r="AB131" s="41" t="s">
        <v>90</v>
      </c>
      <c r="AC131" s="41" t="s">
        <v>73</v>
      </c>
      <c r="AD131" s="41" t="s">
        <v>73</v>
      </c>
      <c r="AE131" s="41" t="s">
        <v>76</v>
      </c>
      <c r="AF131" s="41" t="s">
        <v>77</v>
      </c>
      <c r="AG131" s="41" t="s">
        <v>78</v>
      </c>
      <c r="AH131" t="str">
        <f>VLOOKUP($R131,武学奇术!$A:$ZZ,25,FALSE)</f>
        <v>心法</v>
      </c>
      <c r="AI131" s="27">
        <f>VLOOKUP($R131,武学奇术!$A:$ZZ,26,FALSE)</f>
        <v>1</v>
      </c>
      <c r="AJ131" s="28">
        <f>VLOOKUP($R131,武学奇术!$A:$ZZ,27,FALSE)*(1+IF(OR($AH131=$F$4,$AH131=$F$5),$B$22,0))</f>
        <v>0</v>
      </c>
      <c r="AK131" s="27">
        <f>VLOOKUP($R131,武学奇术!$A:$ZZ,28,FALSE)</f>
        <v>1</v>
      </c>
      <c r="AL131" s="28">
        <f>VLOOKUP($R131,武学奇术!$A:$ZZ,29,FALSE)*(1+IF(OR($AH131=$F$4,$AH131=$F$5),$B$22,0))</f>
        <v>0</v>
      </c>
      <c r="AM131" s="27" cm="1">
        <f t="array" ref="AM131">$G$3+IFERROR(VLOOKUP($AH131,$F$4:$G$7,2,FALSE),0)+VLOOKUP($R131,武学奇术!$A:$ZZ,2,FALSE)+SUM(_xlfn.XLOOKUP($S131:$AG131,增益!$A:$A,增益!$B:$B,0))</f>
        <v>0.2337</v>
      </c>
      <c r="AN131" s="27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3888.382</v>
      </c>
      <c r="AP131" cm="1">
        <f t="array" ref="AP131">$E$10*(1+$AN131)+VLOOKUP($R131,武学奇术!$A:$ZZ,4,FALSE)+SUM(_xlfn.XLOOKUP($S131:$AG131,增益!$A:$A,增益!$D:$D,0))-$I$2</f>
        <v>3888.382</v>
      </c>
      <c r="AQ131" s="33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0.442</v>
      </c>
      <c r="AR131" s="33" cm="1">
        <f t="array" ref="AR131">$G$10+VLOOKUP($R131,武学奇术!$A:$ZZ,7,FALSE)+SUM(_xlfn.XLOOKUP(S131:AG131,增益!$A:$A,增益!$G:$G,0))</f>
        <v>0.09</v>
      </c>
      <c r="AS131" s="27" cm="1">
        <f t="array" ref="AS131">VLOOKUP($R131,武学奇术!$A:$ZZ,8,FALSE)+SUM(_xlfn.XLOOKUP(S131:AG131,增益!$A:$A,增益!$H:$H,0))</f>
        <v>0</v>
      </c>
      <c r="AT131">
        <f t="shared" si="34"/>
        <v>0</v>
      </c>
      <c r="AU131">
        <f t="shared" si="35"/>
        <v>0</v>
      </c>
      <c r="AV131" s="33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-0.14</v>
      </c>
      <c r="AW131" s="33" cm="1">
        <f t="array" ref="AW131">$G$11+VLOOKUP($R131,武学奇术!$A:$ZZ,10,FALSE)+SUM(_xlfn.XLOOKUP(S131:AG131,增益!$A:$A,增益!$J:$J,0))</f>
        <v>0.1</v>
      </c>
      <c r="AX131">
        <f t="shared" si="36"/>
        <v>0</v>
      </c>
      <c r="AY131">
        <f t="shared" si="37"/>
        <v>0</v>
      </c>
      <c r="AZ131" s="33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-0.14</v>
      </c>
      <c r="BA131" s="33" cm="1">
        <f t="array" ref="BA131">$G$12+VLOOKUP($R131,武学奇术!$A:$ZZ,12,FALSE)+SUM(_xlfn.XLOOKUP(S131:AG131,增益!$A:$A,增益!$L:$L,0))</f>
        <v>0</v>
      </c>
      <c r="BB131">
        <f t="shared" si="38"/>
        <v>0</v>
      </c>
      <c r="BC131">
        <f t="shared" si="39"/>
        <v>0</v>
      </c>
      <c r="BD131" s="33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-0.14</v>
      </c>
      <c r="BE131" s="33" cm="1">
        <f t="array" ref="BE131">$G$13+VLOOKUP($R131,武学奇术!$A:$ZZ,14,FALSE)+SUM(_xlfn.XLOOKUP(S131:AG131,增益!$A:$A,增益!$N:$N,0))</f>
        <v>0</v>
      </c>
      <c r="BF131">
        <f t="shared" si="40"/>
        <v>605.472</v>
      </c>
      <c r="BG131">
        <f t="shared" si="41"/>
        <v>1725.468</v>
      </c>
      <c r="BH131" s="33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0.08</v>
      </c>
      <c r="BI131" s="33" cm="1">
        <f t="array" ref="BI131">$G$14+VLOOKUP($R131,武学奇术!$A:$ZZ,16,FALSE)+SUM(_xlfn.XLOOKUP(S131:AG131,增益!$A:$A,增益!$P:$P,0))</f>
        <v>0.24</v>
      </c>
      <c r="BJ131" s="27">
        <f>MIN(IF(VLOOKUP($R131,武学奇术!$A:$ZZ,23,FALSE)=1,100%,$B$8),100%)</f>
        <v>1</v>
      </c>
      <c r="BK131" s="27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+MIN(IF(VLOOKUP($R131,武学奇术!$A:$ZZ,32,FALSE)=1,IF(VLOOKUP($R131,武学奇术!$A:$ZZ,24,FALSE)=1,100%,MIN(40%,$B$10+VLOOKUP($R131,武学奇术!$A:$ZZ,19,FALSE)+SUM(_xlfn.XLOOKUP(S131:AG131,增益!$A:$A,增益!$S:$S,0)))+$B$12+SUM(_xlfn.XLOOKUP(S131:AG131,增益!$A:$A,增益!$V:$V,0))),0),12%)</f>
        <v>0.9036</v>
      </c>
      <c r="BL131" s="27" cm="1">
        <f t="array" ref="BL131">1+$B$13+VLOOKUP($R131,武学奇术!$A:$ZZ,18,FALSE)+SUM(_xlfn.XLOOKUP(S131:AG131,增益!$A:$A,增益!$R:$R,0))</f>
        <v>1.89</v>
      </c>
      <c r="BM131" s="27" cm="1">
        <f t="array" ref="BM131">MAX(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-IF(VLOOKUP($R131,武学奇术!$A:$ZZ,32,FALSE)=1,12%,0),0)</f>
        <v>0.0929</v>
      </c>
      <c r="BN131" s="27" cm="1">
        <f t="array" ref="BN131">1+$B$14+VLOOKUP($R131,武学奇术!$A:$ZZ,20,FALSE)+SUM(_xlfn.XLOOKUP(S131:AG131,增益!$A:$A,增益!$T:$T,0))</f>
        <v>1.35</v>
      </c>
      <c r="BO131" s="27">
        <f t="shared" ref="BO131:BO136" si="43">MIN((1-BM131)*BJ131,BJ131*BK131)</f>
        <v>0.9036</v>
      </c>
      <c r="BP131" s="27">
        <f t="shared" ref="BP131:BP136" si="44">1-BM131-BO131-BQ131</f>
        <v>0.00350000000000006</v>
      </c>
      <c r="BQ131" s="27">
        <f>IF(VLOOKUP($R131,武学奇术!$A:$ZZ,22,FALSE)=1,0,(1-$BJ131))*(1-$BM131)</f>
        <v>0</v>
      </c>
      <c r="BR131" s="27" cm="1">
        <f t="array" ref="BR131">SUM(_xlfn.XLOOKUP(S131:AG131,增益!$A:$A,增益!$W:$W,0))+$I$5</f>
        <v>0.31</v>
      </c>
    </row>
    <row r="132" spans="1:70">
      <c r="A132" s="4"/>
      <c r="B132" s="91"/>
      <c r="F132" s="40"/>
      <c r="K132">
        <f>$L132*VLOOKUP($R132,武学奇术!$A:$ZZ,31,FALSE)</f>
        <v>15884.6144058321</v>
      </c>
      <c r="L132" s="39">
        <f t="shared" si="33"/>
        <v>15884.6144058321</v>
      </c>
      <c r="M132" s="39">
        <f>((($AO132+($AP132-$AO132)*IF(VLOOKUP($R132,武学奇术!$A:$ZZ,31,FALSE)=1,$F$18,0.5))*$AI132+$AJ132)*(1+$AQ132)*(1+$AR132)+(($AT132+($AU132-$AT132)*IF(VLOOKUP($R132,武学奇术!$A:$ZZ,31,FALSE)=1,$F$18,0.5))*IF($G$1="鸣金",$AK132,$AI132)+IF($G$1="鸣金",$AL132*1.5,0))*(1+$AV132)*(1+$AW132)+(($AX132+($AY132-$AX132)*IF(VLOOKUP($R132,武学奇术!$A:$ZZ,31,FALSE)=1,$F$18,0.5))*IF($G$1="裂石",$AK132,$AI132)+IF($G$1="裂石",$AL132*1.5,0))*(1+$AZ132)*(1+$BA132)+(($BB132+($BC132-$BB132)*IF(VLOOKUP($R132,武学奇术!$A:$ZZ,31,FALSE)=1,$F$18,0.5))*IF($G$1="牵丝",$AK132,$AI132)+IF($G$1="牵丝",$AL132*1.5,0))*(1+$BD132)*(1+$BE132)+(($BF132+($BG132-$BF132)*IF(VLOOKUP($R132,武学奇术!$A:$ZZ,31,FALSE)=1,$F$18,0.5))*IF($G$1="破竹",$AK132,$AI132)+IF($G$1="破竹",$AL132*1.5,0))*(1+$BH132)*(1+$BI132))*(1+$AM132)*$BL132*$Q132*(1+IF(VLOOKUP($R132,武学奇术!$A:$ZZ,30,FALSE)="蓄力技",$B$21,0))*(1+$BR132)</f>
        <v>16041.2414800251</v>
      </c>
      <c r="N132" s="39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蓄力技",$B$21,0))*(1+$BR132)</f>
        <v>14591.1113849759</v>
      </c>
      <c r="O132" s="39">
        <f>((($AO132+($AP132-$AO132)*IF(VLOOKUP($R132,武学奇术!$A:$ZZ,31,FALSE)=1,$F$18,0.5))*$AI132+$AJ132)*(1+$AQ132)*(1+$AR132)+(($AT132+($AU132-$AT132)*IF(VLOOKUP($R132,武学奇术!$A:$ZZ,31,FALSE)=1,$F$18,0.5))*IF($G$1="鸣金",$AK132,$AI132)+IF($G$1="鸣金",$AL132*1.5,0))*(1+$AV132)*(1+$AW132)+(($AX132+($AY132-$AX132)*IF(VLOOKUP($R132,武学奇术!$A:$ZZ,31,FALSE)=1,$F$18,0.5))*IF($G$1="裂石",$AK132,$AI132)+IF($G$1="裂石",$AL132*1.5,0))*(1+$AZ132)*(1+$BA132)+(($BB132+($BC132-$BB132)*IF(VLOOKUP($R132,武学奇术!$A:$ZZ,31,FALSE)=1,$F$18,0.5))*IF($G$1="牵丝",$AK132,$AI132)+IF($G$1="牵丝",$AL132*1.5,0))*(1+$BD132)*(1+$BE132)+(($BF132+($BG132-$BF132)*IF(VLOOKUP($R132,武学奇术!$A:$ZZ,31,FALSE)=1,$F$18,0.5))*IF($G$1="破竹",$AK132,$AI132)+IF($G$1="破竹",$AL132*1.5,0))*(1+$BH132)*(1+$BI132))*(1+$AM132)*$Q132*(1+IF(VLOOKUP($R132,武学奇术!$A:$ZZ,30,FALSE)="蓄力技",$B$21,0))*(1+$BR132)</f>
        <v>9781.24480489338</v>
      </c>
      <c r="P132" s="39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蓄力技",$B$21,0))*(1+$BR132)</f>
        <v>8754.25895424909</v>
      </c>
      <c r="Q132" s="40">
        <f t="shared" si="42"/>
        <v>1</v>
      </c>
      <c r="R132" s="41" t="s">
        <v>193</v>
      </c>
      <c r="S132" s="41" t="s">
        <v>97</v>
      </c>
      <c r="T132" s="41" t="s">
        <v>73</v>
      </c>
      <c r="U132" s="41" t="s">
        <v>73</v>
      </c>
      <c r="V132" s="41" t="s">
        <v>73</v>
      </c>
      <c r="W132" s="41" t="s">
        <v>73</v>
      </c>
      <c r="X132" s="41" t="s">
        <v>73</v>
      </c>
      <c r="Y132" s="41" t="s">
        <v>164</v>
      </c>
      <c r="Z132" s="41" t="s">
        <v>83</v>
      </c>
      <c r="AA132" s="41" t="s">
        <v>73</v>
      </c>
      <c r="AB132" s="41" t="s">
        <v>84</v>
      </c>
      <c r="AC132" s="41" t="s">
        <v>73</v>
      </c>
      <c r="AD132" s="41" t="s">
        <v>73</v>
      </c>
      <c r="AE132" s="41" t="s">
        <v>76</v>
      </c>
      <c r="AF132" s="41" t="s">
        <v>77</v>
      </c>
      <c r="AG132" s="41" t="s">
        <v>78</v>
      </c>
      <c r="AH132" t="str">
        <f>VLOOKUP($R132,武学奇术!$A:$ZZ,25,FALSE)</f>
        <v>心法</v>
      </c>
      <c r="AI132" s="27">
        <f>VLOOKUP($R132,武学奇术!$A:$ZZ,26,FALSE)</f>
        <v>1</v>
      </c>
      <c r="AJ132" s="28">
        <f>VLOOKUP($R132,武学奇术!$A:$ZZ,27,FALSE)*(1+IF(OR($AH132=$F$4,$AH132=$F$5),$B$22,0))</f>
        <v>0</v>
      </c>
      <c r="AK132" s="27">
        <f>VLOOKUP($R132,武学奇术!$A:$ZZ,28,FALSE)</f>
        <v>1</v>
      </c>
      <c r="AL132" s="28">
        <f>VLOOKUP($R132,武学奇术!$A:$ZZ,29,FALSE)*(1+IF(OR($AH132=$F$4,$AH132=$F$5),$B$22,0))</f>
        <v>0</v>
      </c>
      <c r="AM132" s="27" cm="1">
        <f t="array" ref="AM132">$G$3+IFERROR(VLOOKUP($AH132,$F$4:$G$7,2,FALSE),0)+VLOOKUP($R132,武学奇术!$A:$ZZ,2,FALSE)+SUM(_xlfn.XLOOKUP($S132:$AG132,增益!$A:$A,增益!$B:$B,0))</f>
        <v>0.2337</v>
      </c>
      <c r="AN132" s="27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3888.382</v>
      </c>
      <c r="AP132" cm="1">
        <f t="array" ref="AP132">$E$10*(1+$AN132)+VLOOKUP($R132,武学奇术!$A:$ZZ,4,FALSE)+SUM(_xlfn.XLOOKUP($S132:$AG132,增益!$A:$A,增益!$D:$D,0))-$I$2</f>
        <v>3888.382</v>
      </c>
      <c r="AQ132" s="33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0.317</v>
      </c>
      <c r="AR132" s="33" cm="1">
        <f t="array" ref="AR132">$G$10+VLOOKUP($R132,武学奇术!$A:$ZZ,7,FALSE)+SUM(_xlfn.XLOOKUP(S132:AG132,增益!$A:$A,增益!$G:$G,0))</f>
        <v>0.09</v>
      </c>
      <c r="AS132" s="27" cm="1">
        <f t="array" ref="AS132">VLOOKUP($R132,武学奇术!$A:$ZZ,8,FALSE)+SUM(_xlfn.XLOOKUP(S132:AG132,增益!$A:$A,增益!$H:$H,0))</f>
        <v>0</v>
      </c>
      <c r="AT132">
        <f t="shared" si="34"/>
        <v>0</v>
      </c>
      <c r="AU132">
        <f t="shared" si="35"/>
        <v>0</v>
      </c>
      <c r="AV132" s="33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-0.14</v>
      </c>
      <c r="AW132" s="33" cm="1">
        <f t="array" ref="AW132">$G$11+VLOOKUP($R132,武学奇术!$A:$ZZ,10,FALSE)+SUM(_xlfn.XLOOKUP(S132:AG132,增益!$A:$A,增益!$J:$J,0))</f>
        <v>0</v>
      </c>
      <c r="AX132">
        <f t="shared" si="36"/>
        <v>0</v>
      </c>
      <c r="AY132">
        <f t="shared" si="37"/>
        <v>0</v>
      </c>
      <c r="AZ132" s="33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-0.14</v>
      </c>
      <c r="BA132" s="33" cm="1">
        <f t="array" ref="BA132">$G$12+VLOOKUP($R132,武学奇术!$A:$ZZ,12,FALSE)+SUM(_xlfn.XLOOKUP(S132:AG132,增益!$A:$A,增益!$L:$L,0))</f>
        <v>0</v>
      </c>
      <c r="BB132">
        <f t="shared" si="38"/>
        <v>0</v>
      </c>
      <c r="BC132">
        <f t="shared" si="39"/>
        <v>0</v>
      </c>
      <c r="BD132" s="33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-0.14</v>
      </c>
      <c r="BE132" s="33" cm="1">
        <f t="array" ref="BE132">$G$13+VLOOKUP($R132,武学奇术!$A:$ZZ,14,FALSE)+SUM(_xlfn.XLOOKUP(S132:AG132,增益!$A:$A,增益!$N:$N,0))</f>
        <v>0</v>
      </c>
      <c r="BF132">
        <f t="shared" si="40"/>
        <v>605.472</v>
      </c>
      <c r="BG132">
        <f t="shared" si="41"/>
        <v>1725.468</v>
      </c>
      <c r="BH132" s="33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0.08</v>
      </c>
      <c r="BI132" s="33" cm="1">
        <f t="array" ref="BI132">$G$14+VLOOKUP($R132,武学奇术!$A:$ZZ,16,FALSE)+SUM(_xlfn.XLOOKUP(S132:AG132,增益!$A:$A,增益!$P:$P,0))</f>
        <v>0.24</v>
      </c>
      <c r="BJ132" s="27">
        <f>MIN(IF(VLOOKUP($R132,武学奇术!$A:$ZZ,23,FALSE)=1,100%,$B$8),100%)</f>
        <v>1</v>
      </c>
      <c r="BK132" s="27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+MIN(IF(VLOOKUP($R132,武学奇术!$A:$ZZ,32,FALSE)=1,IF(VLOOKUP($R132,武学奇术!$A:$ZZ,24,FALSE)=1,100%,MIN(40%,$B$10+VLOOKUP($R132,武学奇术!$A:$ZZ,19,FALSE)+SUM(_xlfn.XLOOKUP(S132:AG132,增益!$A:$A,增益!$S:$S,0)))+$B$12+SUM(_xlfn.XLOOKUP(S132:AG132,增益!$A:$A,增益!$V:$V,0))),0),12%)</f>
        <v>0.9036</v>
      </c>
      <c r="BL132" s="27" cm="1">
        <f t="array" ref="BL132">1+$B$13+VLOOKUP($R132,武学奇术!$A:$ZZ,18,FALSE)+SUM(_xlfn.XLOOKUP(S132:AG132,增益!$A:$A,增益!$R:$R,0))</f>
        <v>1.64</v>
      </c>
      <c r="BM132" s="27" cm="1">
        <f t="array" ref="BM132">MAX(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-IF(VLOOKUP($R132,武学奇术!$A:$ZZ,32,FALSE)=1,12%,0),0)</f>
        <v>0.0929</v>
      </c>
      <c r="BN132" s="27" cm="1">
        <f t="array" ref="BN132">1+$B$14+VLOOKUP($R132,武学奇术!$A:$ZZ,20,FALSE)+SUM(_xlfn.XLOOKUP(S132:AG132,增益!$A:$A,增益!$T:$T,0))</f>
        <v>1.35</v>
      </c>
      <c r="BO132" s="27">
        <f t="shared" si="43"/>
        <v>0.9036</v>
      </c>
      <c r="BP132" s="27">
        <f t="shared" si="44"/>
        <v>0.00350000000000006</v>
      </c>
      <c r="BQ132" s="27">
        <f>IF(VLOOKUP($R132,武学奇术!$A:$ZZ,22,FALSE)=1,0,(1-$BJ132))*(1-$BM132)</f>
        <v>0</v>
      </c>
      <c r="BR132" s="27" cm="1">
        <f t="array" ref="BR132">SUM(_xlfn.XLOOKUP(S132:AG132,增益!$A:$A,增益!$W:$W,0))+$I$5</f>
        <v>0.11</v>
      </c>
    </row>
    <row r="133" spans="1:70">
      <c r="F133" s="40"/>
      <c r="K133">
        <f>$L133*VLOOKUP($R133,武学奇术!$A:$ZZ,31,FALSE)</f>
        <v>19426.7389653178</v>
      </c>
      <c r="L133" s="39">
        <f t="shared" si="33"/>
        <v>19426.7389653178</v>
      </c>
      <c r="M133" s="39">
        <f>((($AO133+($AP133-$AO133)*IF(VLOOKUP($R133,武学奇术!$A:$ZZ,31,FALSE)=1,$F$18,0.5))*$AI133+$AJ133)*(1+$AQ133)*(1+$AR133)+(($AT133+($AU133-$AT133)*IF(VLOOKUP($R133,武学奇术!$A:$ZZ,31,FALSE)=1,$F$18,0.5))*IF($G$1="鸣金",$AK133,$AI133)+IF($G$1="鸣金",$AL133*1.5,0))*(1+$AV133)*(1+$AW133)+(($AX133+($AY133-$AX133)*IF(VLOOKUP($R133,武学奇术!$A:$ZZ,31,FALSE)=1,$F$18,0.5))*IF($G$1="裂石",$AK133,$AI133)+IF($G$1="裂石",$AL133*1.5,0))*(1+$AZ133)*(1+$BA133)+(($BB133+($BC133-$BB133)*IF(VLOOKUP($R133,武学奇术!$A:$ZZ,31,FALSE)=1,$F$18,0.5))*IF($G$1="牵丝",$AK133,$AI133)+IF($G$1="牵丝",$AL133*1.5,0))*(1+$BD133)*(1+$BE133)+(($BF133+($BG133-$BF133)*IF(VLOOKUP($R133,武学奇术!$A:$ZZ,31,FALSE)=1,$F$18,0.5))*IF($G$1="破竹",$AK133,$AI133)+IF($G$1="破竹",$AL133*1.5,0))*(1+$BH133)*(1+$BI133))*(1+$AM133)*$BL133*$Q133*(1+IF(VLOOKUP($R133,武学奇术!$A:$ZZ,30,FALSE)="蓄力技",$B$21,0))*(1+$BR133)</f>
        <v>19857.7494548072</v>
      </c>
      <c r="N133" s="39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蓄力技",$B$21,0))*(1+$BR133)</f>
        <v>15570.5376518035</v>
      </c>
      <c r="O133" s="39">
        <f>((($AO133+($AP133-$AO133)*IF(VLOOKUP($R133,武学奇术!$A:$ZZ,31,FALSE)=1,$F$18,0.5))*$AI133+$AJ133)*(1+$AQ133)*(1+$AR133)+(($AT133+($AU133-$AT133)*IF(VLOOKUP($R133,武学奇术!$A:$ZZ,31,FALSE)=1,$F$18,0.5))*IF($G$1="鸣金",$AK133,$AI133)+IF($G$1="鸣金",$AL133*1.5,0))*(1+$AV133)*(1+$AW133)+(($AX133+($AY133-$AX133)*IF(VLOOKUP($R133,武学奇术!$A:$ZZ,31,FALSE)=1,$F$18,0.5))*IF($G$1="裂石",$AK133,$AI133)+IF($G$1="裂石",$AL133*1.5,0))*(1+$AZ133)*(1+$BA133)+(($BB133+($BC133-$BB133)*IF(VLOOKUP($R133,武学奇术!$A:$ZZ,31,FALSE)=1,$F$18,0.5))*IF($G$1="牵丝",$AK133,$AI133)+IF($G$1="牵丝",$AL133*1.5,0))*(1+$BD133)*(1+$BE133)+(($BF133+($BG133-$BF133)*IF(VLOOKUP($R133,武学奇术!$A:$ZZ,31,FALSE)=1,$F$18,0.5))*IF($G$1="破竹",$AK133,$AI133)+IF($G$1="破竹",$AL133*1.5,0))*(1+$BH133)*(1+$BI133))*(1+$AM133)*$Q133*(1+IF(VLOOKUP($R133,武学奇术!$A:$ZZ,30,FALSE)="蓄力技",$B$21,0))*(1+$BR133)</f>
        <v>10506.7457432842</v>
      </c>
      <c r="P133" s="39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蓄力技",$B$21,0))*(1+$BR133)</f>
        <v>9479.75989263992</v>
      </c>
      <c r="Q133" s="40">
        <f t="shared" si="42"/>
        <v>1</v>
      </c>
      <c r="R133" s="41" t="s">
        <v>193</v>
      </c>
      <c r="S133" s="41" t="s">
        <v>97</v>
      </c>
      <c r="T133" s="41" t="s">
        <v>132</v>
      </c>
      <c r="U133" s="41" t="s">
        <v>73</v>
      </c>
      <c r="V133" s="41" t="s">
        <v>73</v>
      </c>
      <c r="W133" s="41" t="s">
        <v>73</v>
      </c>
      <c r="X133" s="41" t="s">
        <v>73</v>
      </c>
      <c r="Y133" s="41" t="s">
        <v>164</v>
      </c>
      <c r="Z133" s="41" t="s">
        <v>83</v>
      </c>
      <c r="AA133" s="41" t="s">
        <v>73</v>
      </c>
      <c r="AB133" s="41" t="s">
        <v>90</v>
      </c>
      <c r="AC133" s="41" t="s">
        <v>73</v>
      </c>
      <c r="AD133" s="41" t="s">
        <v>73</v>
      </c>
      <c r="AE133" s="41" t="s">
        <v>76</v>
      </c>
      <c r="AF133" s="41" t="s">
        <v>77</v>
      </c>
      <c r="AG133" s="41" t="s">
        <v>78</v>
      </c>
      <c r="AH133" t="str">
        <f>VLOOKUP($R133,武学奇术!$A:$ZZ,25,FALSE)</f>
        <v>心法</v>
      </c>
      <c r="AI133" s="27">
        <f>VLOOKUP($R133,武学奇术!$A:$ZZ,26,FALSE)</f>
        <v>1</v>
      </c>
      <c r="AJ133" s="28">
        <f>VLOOKUP($R133,武学奇术!$A:$ZZ,27,FALSE)*(1+IF(OR($AH133=$F$4,$AH133=$F$5),$B$22,0))</f>
        <v>0</v>
      </c>
      <c r="AK133" s="27">
        <f>VLOOKUP($R133,武学奇术!$A:$ZZ,28,FALSE)</f>
        <v>1</v>
      </c>
      <c r="AL133" s="28">
        <f>VLOOKUP($R133,武学奇术!$A:$ZZ,29,FALSE)*(1+IF(OR($AH133=$F$4,$AH133=$F$5),$B$22,0))</f>
        <v>0</v>
      </c>
      <c r="AM133" s="27" cm="1">
        <f t="array" ref="AM133">$G$3+IFERROR(VLOOKUP($AH133,$F$4:$G$7,2,FALSE),0)+VLOOKUP($R133,武学奇术!$A:$ZZ,2,FALSE)+SUM(_xlfn.XLOOKUP($S133:$AG133,增益!$A:$A,增益!$B:$B,0))</f>
        <v>0.2337</v>
      </c>
      <c r="AN133" s="27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3888.382</v>
      </c>
      <c r="AP133" cm="1">
        <f t="array" ref="AP133">$E$10*(1+$AN133)+VLOOKUP($R133,武学奇术!$A:$ZZ,4,FALSE)+SUM(_xlfn.XLOOKUP($S133:$AG133,增益!$A:$A,增益!$D:$D,0))-$I$2</f>
        <v>3888.382</v>
      </c>
      <c r="AQ133" s="33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0.442</v>
      </c>
      <c r="AR133" s="33" cm="1">
        <f t="array" ref="AR133">$G$10+VLOOKUP($R133,武学奇术!$A:$ZZ,7,FALSE)+SUM(_xlfn.XLOOKUP(S133:AG133,增益!$A:$A,增益!$G:$G,0))</f>
        <v>0.09</v>
      </c>
      <c r="AS133" s="27" cm="1">
        <f t="array" ref="AS133">VLOOKUP($R133,武学奇术!$A:$ZZ,8,FALSE)+SUM(_xlfn.XLOOKUP(S133:AG133,增益!$A:$A,增益!$H:$H,0))</f>
        <v>0</v>
      </c>
      <c r="AT133">
        <f t="shared" si="34"/>
        <v>0</v>
      </c>
      <c r="AU133">
        <f t="shared" si="35"/>
        <v>0</v>
      </c>
      <c r="AV133" s="33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-0.14</v>
      </c>
      <c r="AW133" s="33" cm="1">
        <f t="array" ref="AW133">$G$11+VLOOKUP($R133,武学奇术!$A:$ZZ,10,FALSE)+SUM(_xlfn.XLOOKUP(S133:AG133,增益!$A:$A,增益!$J:$J,0))</f>
        <v>0</v>
      </c>
      <c r="AX133">
        <f t="shared" si="36"/>
        <v>0</v>
      </c>
      <c r="AY133">
        <f t="shared" si="37"/>
        <v>0</v>
      </c>
      <c r="AZ133" s="33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-0.14</v>
      </c>
      <c r="BA133" s="33" cm="1">
        <f t="array" ref="BA133">$G$12+VLOOKUP($R133,武学奇术!$A:$ZZ,12,FALSE)+SUM(_xlfn.XLOOKUP(S133:AG133,增益!$A:$A,增益!$L:$L,0))</f>
        <v>0</v>
      </c>
      <c r="BB133">
        <f t="shared" si="38"/>
        <v>0</v>
      </c>
      <c r="BC133">
        <f t="shared" si="39"/>
        <v>0</v>
      </c>
      <c r="BD133" s="33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-0.14</v>
      </c>
      <c r="BE133" s="33" cm="1">
        <f t="array" ref="BE133">$G$13+VLOOKUP($R133,武学奇术!$A:$ZZ,14,FALSE)+SUM(_xlfn.XLOOKUP(S133:AG133,增益!$A:$A,增益!$N:$N,0))</f>
        <v>0</v>
      </c>
      <c r="BF133">
        <f t="shared" si="40"/>
        <v>605.472</v>
      </c>
      <c r="BG133">
        <f t="shared" si="41"/>
        <v>1725.468</v>
      </c>
      <c r="BH133" s="33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0.08</v>
      </c>
      <c r="BI133" s="33" cm="1">
        <f t="array" ref="BI133">$G$14+VLOOKUP($R133,武学奇术!$A:$ZZ,16,FALSE)+SUM(_xlfn.XLOOKUP(S133:AG133,增益!$A:$A,增益!$P:$P,0))</f>
        <v>0.24</v>
      </c>
      <c r="BJ133" s="27">
        <f>MIN(IF(VLOOKUP($R133,武学奇术!$A:$ZZ,23,FALSE)=1,100%,$B$8),100%)</f>
        <v>1</v>
      </c>
      <c r="BK133" s="27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+MIN(IF(VLOOKUP($R133,武学奇术!$A:$ZZ,32,FALSE)=1,IF(VLOOKUP($R133,武学奇术!$A:$ZZ,24,FALSE)=1,100%,MIN(40%,$B$10+VLOOKUP($R133,武学奇术!$A:$ZZ,19,FALSE)+SUM(_xlfn.XLOOKUP(S133:AG133,增益!$A:$A,增益!$S:$S,0)))+$B$12+SUM(_xlfn.XLOOKUP(S133:AG133,增益!$A:$A,增益!$V:$V,0))),0),12%)</f>
        <v>0.9036</v>
      </c>
      <c r="BL133" s="27" cm="1">
        <f t="array" ref="BL133">1+$B$13+VLOOKUP($R133,武学奇术!$A:$ZZ,18,FALSE)+SUM(_xlfn.XLOOKUP(S133:AG133,增益!$A:$A,增益!$R:$R,0))</f>
        <v>1.89</v>
      </c>
      <c r="BM133" s="27" cm="1">
        <f t="array" ref="BM133">MAX(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-IF(VLOOKUP($R133,武学奇术!$A:$ZZ,32,FALSE)=1,12%,0),0)</f>
        <v>0.0929</v>
      </c>
      <c r="BN133" s="27" cm="1">
        <f t="array" ref="BN133">1+$B$14+VLOOKUP($R133,武学奇术!$A:$ZZ,20,FALSE)+SUM(_xlfn.XLOOKUP(S133:AG133,增益!$A:$A,增益!$T:$T,0))</f>
        <v>1.35</v>
      </c>
      <c r="BO133" s="27">
        <f t="shared" si="43"/>
        <v>0.9036</v>
      </c>
      <c r="BP133" s="27">
        <f t="shared" si="44"/>
        <v>0.00350000000000006</v>
      </c>
      <c r="BQ133" s="27">
        <f>IF(VLOOKUP($R133,武学奇术!$A:$ZZ,22,FALSE)=1,0,(1-$BJ133))*(1-$BM133)</f>
        <v>0</v>
      </c>
      <c r="BR133" s="27" cm="1">
        <f t="array" ref="BR133">SUM(_xlfn.XLOOKUP(S133:AG133,增益!$A:$A,增益!$W:$W,0))+$I$5</f>
        <v>0.11</v>
      </c>
    </row>
    <row r="134" spans="1:70">
      <c r="F134" s="40"/>
      <c r="K134">
        <f>$L134*VLOOKUP($R134,武学奇术!$A:$ZZ,31,FALSE)</f>
        <v>15884.6144058321</v>
      </c>
      <c r="L134" s="39">
        <f t="shared" si="33"/>
        <v>15884.6144058321</v>
      </c>
      <c r="M134" s="39">
        <f>((($AO134+($AP134-$AO134)*IF(VLOOKUP($R134,武学奇术!$A:$ZZ,31,FALSE)=1,$F$18,0.5))*$AI134+$AJ134)*(1+$AQ134)*(1+$AR134)+(($AT134+($AU134-$AT134)*IF(VLOOKUP($R134,武学奇术!$A:$ZZ,31,FALSE)=1,$F$18,0.5))*IF($G$1="鸣金",$AK134,$AI134)+IF($G$1="鸣金",$AL134*1.5,0))*(1+$AV134)*(1+$AW134)+(($AX134+($AY134-$AX134)*IF(VLOOKUP($R134,武学奇术!$A:$ZZ,31,FALSE)=1,$F$18,0.5))*IF($G$1="裂石",$AK134,$AI134)+IF($G$1="裂石",$AL134*1.5,0))*(1+$AZ134)*(1+$BA134)+(($BB134+($BC134-$BB134)*IF(VLOOKUP($R134,武学奇术!$A:$ZZ,31,FALSE)=1,$F$18,0.5))*IF($G$1="牵丝",$AK134,$AI134)+IF($G$1="牵丝",$AL134*1.5,0))*(1+$BD134)*(1+$BE134)+(($BF134+($BG134-$BF134)*IF(VLOOKUP($R134,武学奇术!$A:$ZZ,31,FALSE)=1,$F$18,0.5))*IF($G$1="破竹",$AK134,$AI134)+IF($G$1="破竹",$AL134*1.5,0))*(1+$BH134)*(1+$BI134))*(1+$AM134)*$BL134*$Q134*(1+IF(VLOOKUP($R134,武学奇术!$A:$ZZ,30,FALSE)="蓄力技",$B$21,0))*(1+$BR134)</f>
        <v>16041.2414800251</v>
      </c>
      <c r="N134" s="39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蓄力技",$B$21,0))*(1+$BR134)</f>
        <v>14591.1113849759</v>
      </c>
      <c r="O134" s="39">
        <f>((($AO134+($AP134-$AO134)*IF(VLOOKUP($R134,武学奇术!$A:$ZZ,31,FALSE)=1,$F$18,0.5))*$AI134+$AJ134)*(1+$AQ134)*(1+$AR134)+(($AT134+($AU134-$AT134)*IF(VLOOKUP($R134,武学奇术!$A:$ZZ,31,FALSE)=1,$F$18,0.5))*IF($G$1="鸣金",$AK134,$AI134)+IF($G$1="鸣金",$AL134*1.5,0))*(1+$AV134)*(1+$AW134)+(($AX134+($AY134-$AX134)*IF(VLOOKUP($R134,武学奇术!$A:$ZZ,31,FALSE)=1,$F$18,0.5))*IF($G$1="裂石",$AK134,$AI134)+IF($G$1="裂石",$AL134*1.5,0))*(1+$AZ134)*(1+$BA134)+(($BB134+($BC134-$BB134)*IF(VLOOKUP($R134,武学奇术!$A:$ZZ,31,FALSE)=1,$F$18,0.5))*IF($G$1="牵丝",$AK134,$AI134)+IF($G$1="牵丝",$AL134*1.5,0))*(1+$BD134)*(1+$BE134)+(($BF134+($BG134-$BF134)*IF(VLOOKUP($R134,武学奇术!$A:$ZZ,31,FALSE)=1,$F$18,0.5))*IF($G$1="破竹",$AK134,$AI134)+IF($G$1="破竹",$AL134*1.5,0))*(1+$BH134)*(1+$BI134))*(1+$AM134)*$Q134*(1+IF(VLOOKUP($R134,武学奇术!$A:$ZZ,30,FALSE)="蓄力技",$B$21,0))*(1+$BR134)</f>
        <v>9781.24480489338</v>
      </c>
      <c r="P134" s="39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蓄力技",$B$21,0))*(1+$BR134)</f>
        <v>8754.25895424909</v>
      </c>
      <c r="Q134" s="40">
        <f t="shared" si="42"/>
        <v>1</v>
      </c>
      <c r="R134" s="41" t="s">
        <v>193</v>
      </c>
      <c r="S134" s="41" t="s">
        <v>97</v>
      </c>
      <c r="T134" s="41" t="s">
        <v>73</v>
      </c>
      <c r="U134" s="41" t="s">
        <v>73</v>
      </c>
      <c r="V134" s="41" t="s">
        <v>73</v>
      </c>
      <c r="W134" s="41" t="s">
        <v>73</v>
      </c>
      <c r="X134" s="41" t="s">
        <v>73</v>
      </c>
      <c r="Y134" s="41" t="s">
        <v>164</v>
      </c>
      <c r="Z134" s="41" t="s">
        <v>83</v>
      </c>
      <c r="AA134" s="41" t="s">
        <v>73</v>
      </c>
      <c r="AB134" s="41" t="s">
        <v>90</v>
      </c>
      <c r="AC134" s="41" t="s">
        <v>73</v>
      </c>
      <c r="AD134" s="41" t="s">
        <v>73</v>
      </c>
      <c r="AE134" s="41" t="s">
        <v>76</v>
      </c>
      <c r="AF134" s="41" t="s">
        <v>77</v>
      </c>
      <c r="AG134" s="41" t="s">
        <v>78</v>
      </c>
      <c r="AH134" t="str">
        <f>VLOOKUP($R134,武学奇术!$A:$ZZ,25,FALSE)</f>
        <v>心法</v>
      </c>
      <c r="AI134" s="27">
        <f>VLOOKUP($R134,武学奇术!$A:$ZZ,26,FALSE)</f>
        <v>1</v>
      </c>
      <c r="AJ134" s="28">
        <f>VLOOKUP($R134,武学奇术!$A:$ZZ,27,FALSE)*(1+IF(OR($AH134=$F$4,$AH134=$F$5),$B$22,0))</f>
        <v>0</v>
      </c>
      <c r="AK134" s="27">
        <f>VLOOKUP($R134,武学奇术!$A:$ZZ,28,FALSE)</f>
        <v>1</v>
      </c>
      <c r="AL134" s="28">
        <f>VLOOKUP($R134,武学奇术!$A:$ZZ,29,FALSE)*(1+IF(OR($AH134=$F$4,$AH134=$F$5),$B$22,0))</f>
        <v>0</v>
      </c>
      <c r="AM134" s="27" cm="1">
        <f t="array" ref="AM134">$G$3+IFERROR(VLOOKUP($AH134,$F$4:$G$7,2,FALSE),0)+VLOOKUP($R134,武学奇术!$A:$ZZ,2,FALSE)+SUM(_xlfn.XLOOKUP($S134:$AG134,增益!$A:$A,增益!$B:$B,0))</f>
        <v>0.2337</v>
      </c>
      <c r="AN134" s="27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3888.382</v>
      </c>
      <c r="AP134" cm="1">
        <f t="array" ref="AP134">$E$10*(1+$AN134)+VLOOKUP($R134,武学奇术!$A:$ZZ,4,FALSE)+SUM(_xlfn.XLOOKUP($S134:$AG134,增益!$A:$A,增益!$D:$D,0))-$I$2</f>
        <v>3888.382</v>
      </c>
      <c r="AQ134" s="33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0.317</v>
      </c>
      <c r="AR134" s="33" cm="1">
        <f t="array" ref="AR134">$G$10+VLOOKUP($R134,武学奇术!$A:$ZZ,7,FALSE)+SUM(_xlfn.XLOOKUP(S134:AG134,增益!$A:$A,增益!$G:$G,0))</f>
        <v>0.09</v>
      </c>
      <c r="AS134" s="27" cm="1">
        <f t="array" ref="AS134">VLOOKUP($R134,武学奇术!$A:$ZZ,8,FALSE)+SUM(_xlfn.XLOOKUP(S134:AG134,增益!$A:$A,增益!$H:$H,0))</f>
        <v>0</v>
      </c>
      <c r="AT134">
        <f t="shared" si="34"/>
        <v>0</v>
      </c>
      <c r="AU134">
        <f t="shared" si="35"/>
        <v>0</v>
      </c>
      <c r="AV134" s="33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-0.14</v>
      </c>
      <c r="AW134" s="33" cm="1">
        <f t="array" ref="AW134">$G$11+VLOOKUP($R134,武学奇术!$A:$ZZ,10,FALSE)+SUM(_xlfn.XLOOKUP(S134:AG134,增益!$A:$A,增益!$J:$J,0))</f>
        <v>0</v>
      </c>
      <c r="AX134">
        <f t="shared" si="36"/>
        <v>0</v>
      </c>
      <c r="AY134">
        <f t="shared" si="37"/>
        <v>0</v>
      </c>
      <c r="AZ134" s="33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-0.14</v>
      </c>
      <c r="BA134" s="33" cm="1">
        <f t="array" ref="BA134">$G$12+VLOOKUP($R134,武学奇术!$A:$ZZ,12,FALSE)+SUM(_xlfn.XLOOKUP(S134:AG134,增益!$A:$A,增益!$L:$L,0))</f>
        <v>0</v>
      </c>
      <c r="BB134">
        <f t="shared" si="38"/>
        <v>0</v>
      </c>
      <c r="BC134">
        <f t="shared" si="39"/>
        <v>0</v>
      </c>
      <c r="BD134" s="33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-0.14</v>
      </c>
      <c r="BE134" s="33" cm="1">
        <f t="array" ref="BE134">$G$13+VLOOKUP($R134,武学奇术!$A:$ZZ,14,FALSE)+SUM(_xlfn.XLOOKUP(S134:AG134,增益!$A:$A,增益!$N:$N,0))</f>
        <v>0</v>
      </c>
      <c r="BF134">
        <f t="shared" si="40"/>
        <v>605.472</v>
      </c>
      <c r="BG134">
        <f t="shared" si="41"/>
        <v>1725.468</v>
      </c>
      <c r="BH134" s="33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0.08</v>
      </c>
      <c r="BI134" s="33" cm="1">
        <f t="array" ref="BI134">$G$14+VLOOKUP($R134,武学奇术!$A:$ZZ,16,FALSE)+SUM(_xlfn.XLOOKUP(S134:AG134,增益!$A:$A,增益!$P:$P,0))</f>
        <v>0.24</v>
      </c>
      <c r="BJ134" s="27">
        <f>MIN(IF(VLOOKUP($R134,武学奇术!$A:$ZZ,23,FALSE)=1,100%,$B$8),100%)</f>
        <v>1</v>
      </c>
      <c r="BK134" s="27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+MIN(IF(VLOOKUP($R134,武学奇术!$A:$ZZ,32,FALSE)=1,IF(VLOOKUP($R134,武学奇术!$A:$ZZ,24,FALSE)=1,100%,MIN(40%,$B$10+VLOOKUP($R134,武学奇术!$A:$ZZ,19,FALSE)+SUM(_xlfn.XLOOKUP(S134:AG134,增益!$A:$A,增益!$S:$S,0)))+$B$12+SUM(_xlfn.XLOOKUP(S134:AG134,增益!$A:$A,增益!$V:$V,0))),0),12%)</f>
        <v>0.9036</v>
      </c>
      <c r="BL134" s="27" cm="1">
        <f t="array" ref="BL134">1+$B$13+VLOOKUP($R134,武学奇术!$A:$ZZ,18,FALSE)+SUM(_xlfn.XLOOKUP(S134:AG134,增益!$A:$A,增益!$R:$R,0))</f>
        <v>1.64</v>
      </c>
      <c r="BM134" s="27" cm="1">
        <f t="array" ref="BM134">MAX(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-IF(VLOOKUP($R134,武学奇术!$A:$ZZ,32,FALSE)=1,12%,0),0)</f>
        <v>0.0929</v>
      </c>
      <c r="BN134" s="27" cm="1">
        <f t="array" ref="BN134">1+$B$14+VLOOKUP($R134,武学奇术!$A:$ZZ,20,FALSE)+SUM(_xlfn.XLOOKUP(S134:AG134,增益!$A:$A,增益!$T:$T,0))</f>
        <v>1.35</v>
      </c>
      <c r="BO134" s="27">
        <f t="shared" si="43"/>
        <v>0.9036</v>
      </c>
      <c r="BP134" s="27">
        <f t="shared" si="44"/>
        <v>0.00350000000000006</v>
      </c>
      <c r="BQ134" s="27">
        <f>IF(VLOOKUP($R134,武学奇术!$A:$ZZ,22,FALSE)=1,0,(1-$BJ134))*(1-$BM134)</f>
        <v>0</v>
      </c>
      <c r="BR134" s="27" cm="1">
        <f t="array" ref="BR134">SUM(_xlfn.XLOOKUP(S134:AG134,增益!$A:$A,增益!$W:$W,0))+$I$5</f>
        <v>0.11</v>
      </c>
    </row>
    <row r="135" spans="1:70">
      <c r="A135" s="4"/>
      <c r="B135" s="91"/>
      <c r="F135" s="40"/>
      <c r="K135">
        <f>$L135*VLOOKUP($R135,武学奇术!$A:$ZZ,31,FALSE)</f>
        <v>15620.0432449464</v>
      </c>
      <c r="L135" s="39">
        <f t="shared" si="33"/>
        <v>15620.0432449464</v>
      </c>
      <c r="M135" s="39">
        <f>((($AO135+($AP135-$AO135)*IF(VLOOKUP($R135,武学奇术!$A:$ZZ,31,FALSE)=1,$F$18,0.5))*$AI135+$AJ135)*(1+$AQ135)*(1+$AR135)+(($AT135+($AU135-$AT135)*IF(VLOOKUP($R135,武学奇术!$A:$ZZ,31,FALSE)=1,$F$18,0.5))*IF($G$1="鸣金",$AK135,$AI135)+IF($G$1="鸣金",$AL135*1.5,0))*(1+$AV135)*(1+$AW135)+(($AX135+($AY135-$AX135)*IF(VLOOKUP($R135,武学奇术!$A:$ZZ,31,FALSE)=1,$F$18,0.5))*IF($G$1="裂石",$AK135,$AI135)+IF($G$1="裂石",$AL135*1.5,0))*(1+$AZ135)*(1+$BA135)+(($BB135+($BC135-$BB135)*IF(VLOOKUP($R135,武学奇术!$A:$ZZ,31,FALSE)=1,$F$18,0.5))*IF($G$1="牵丝",$AK135,$AI135)+IF($G$1="牵丝",$AL135*1.5,0))*(1+$BD135)*(1+$BE135)+(($BF135+($BG135-$BF135)*IF(VLOOKUP($R135,武学奇术!$A:$ZZ,31,FALSE)=1,$F$18,0.5))*IF($G$1="破竹",$AK135,$AI135)+IF($G$1="破竹",$AL135*1.5,0))*(1+$BH135)*(1+$BI135))*(1+$AM135)*$BL135*$Q135*(1+IF(VLOOKUP($R135,武学奇术!$A:$ZZ,30,FALSE)="蓄力技",$B$21,0))*(1+$BR135)</f>
        <v>15781.5909803561</v>
      </c>
      <c r="N135" s="39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蓄力技",$B$21,0))*(1+$BR135)</f>
        <v>14274.6761081107</v>
      </c>
      <c r="O135" s="39">
        <f>((($AO135+($AP135-$AO135)*IF(VLOOKUP($R135,武学奇术!$A:$ZZ,31,FALSE)=1,$F$18,0.5))*$AI135+$AJ135)*(1+$AQ135)*(1+$AR135)+(($AT135+($AU135-$AT135)*IF(VLOOKUP($R135,武学奇术!$A:$ZZ,31,FALSE)=1,$F$18,0.5))*IF($G$1="鸣金",$AK135,$AI135)+IF($G$1="鸣金",$AL135*1.5,0))*(1+$AV135)*(1+$AW135)+(($AX135+($AY135-$AX135)*IF(VLOOKUP($R135,武学奇术!$A:$ZZ,31,FALSE)=1,$F$18,0.5))*IF($G$1="裂石",$AK135,$AI135)+IF($G$1="裂石",$AL135*1.5,0))*(1+$AZ135)*(1+$BA135)+(($BB135+($BC135-$BB135)*IF(VLOOKUP($R135,武学奇术!$A:$ZZ,31,FALSE)=1,$F$18,0.5))*IF($G$1="牵丝",$AK135,$AI135)+IF($G$1="牵丝",$AL135*1.5,0))*(1+$BD135)*(1+$BE135)+(($BF135+($BG135-$BF135)*IF(VLOOKUP($R135,武学奇术!$A:$ZZ,31,FALSE)=1,$F$18,0.5))*IF($G$1="破竹",$AK135,$AI135)+IF($G$1="破竹",$AL135*1.5,0))*(1+$BH135)*(1+$BI135))*(1+$AM135)*$Q135*(1+IF(VLOOKUP($R135,武学奇术!$A:$ZZ,30,FALSE)="蓄力技",$B$21,0))*(1+$BR135)</f>
        <v>9622.92132948541</v>
      </c>
      <c r="P135" s="39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蓄力技",$B$21,0))*(1+$BR135)</f>
        <v>8672.00850481477</v>
      </c>
      <c r="Q135" s="40">
        <f t="shared" si="42"/>
        <v>1</v>
      </c>
      <c r="R135" s="41" t="s">
        <v>193</v>
      </c>
      <c r="S135" s="41" t="s">
        <v>97</v>
      </c>
      <c r="T135" s="41" t="s">
        <v>73</v>
      </c>
      <c r="U135" s="41" t="s">
        <v>73</v>
      </c>
      <c r="V135" s="41" t="s">
        <v>73</v>
      </c>
      <c r="W135" s="41" t="s">
        <v>73</v>
      </c>
      <c r="X135" s="41" t="s">
        <v>73</v>
      </c>
      <c r="Y135" s="41" t="s">
        <v>164</v>
      </c>
      <c r="Z135" s="41" t="s">
        <v>73</v>
      </c>
      <c r="AA135" s="41" t="s">
        <v>73</v>
      </c>
      <c r="AB135" s="41" t="s">
        <v>84</v>
      </c>
      <c r="AC135" s="41" t="s">
        <v>73</v>
      </c>
      <c r="AD135" s="41" t="s">
        <v>73</v>
      </c>
      <c r="AE135" s="41" t="s">
        <v>76</v>
      </c>
      <c r="AF135" s="41" t="s">
        <v>77</v>
      </c>
      <c r="AG135" s="41" t="s">
        <v>78</v>
      </c>
      <c r="AH135" t="str">
        <f>VLOOKUP($R135,武学奇术!$A:$ZZ,25,FALSE)</f>
        <v>心法</v>
      </c>
      <c r="AI135" s="27">
        <f>VLOOKUP($R135,武学奇术!$A:$ZZ,26,FALSE)</f>
        <v>1</v>
      </c>
      <c r="AJ135" s="28">
        <f>VLOOKUP($R135,武学奇术!$A:$ZZ,27,FALSE)*(1+IF(OR($AH135=$F$4,$AH135=$F$5),$B$22,0))</f>
        <v>0</v>
      </c>
      <c r="AK135" s="27">
        <f>VLOOKUP($R135,武学奇术!$A:$ZZ,28,FALSE)</f>
        <v>1</v>
      </c>
      <c r="AL135" s="28">
        <f>VLOOKUP($R135,武学奇术!$A:$ZZ,29,FALSE)*(1+IF(OR($AH135=$F$4,$AH135=$F$5),$B$22,0))</f>
        <v>0</v>
      </c>
      <c r="AM135" s="27" cm="1">
        <f t="array" ref="AM135">$G$3+IFERROR(VLOOKUP($AH135,$F$4:$G$7,2,FALSE),0)+VLOOKUP($R135,武学奇术!$A:$ZZ,2,FALSE)+SUM(_xlfn.XLOOKUP($S135:$AG135,增益!$A:$A,增益!$B:$B,0))</f>
        <v>0.2337</v>
      </c>
      <c r="AN135" s="27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3888.382</v>
      </c>
      <c r="AP135" cm="1">
        <f t="array" ref="AP135">$E$10*(1+$AN135)+VLOOKUP($R135,武学奇术!$A:$ZZ,4,FALSE)+SUM(_xlfn.XLOOKUP($S135:$AG135,增益!$A:$A,增益!$D:$D,0))-$I$2</f>
        <v>3888.382</v>
      </c>
      <c r="AQ135" s="33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0.317</v>
      </c>
      <c r="AR135" s="33" cm="1">
        <f t="array" ref="AR135">$G$10+VLOOKUP($R135,武学奇术!$A:$ZZ,7,FALSE)+SUM(_xlfn.XLOOKUP(S135:AG135,增益!$A:$A,增益!$G:$G,0))</f>
        <v>0.09</v>
      </c>
      <c r="AS135" s="27" cm="1">
        <f t="array" ref="AS135">VLOOKUP($R135,武学奇术!$A:$ZZ,8,FALSE)+SUM(_xlfn.XLOOKUP(S135:AG135,增益!$A:$A,增益!$H:$H,0))</f>
        <v>0</v>
      </c>
      <c r="AT135">
        <f t="shared" si="34"/>
        <v>0</v>
      </c>
      <c r="AU135">
        <f t="shared" si="35"/>
        <v>0</v>
      </c>
      <c r="AV135" s="33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-0.3</v>
      </c>
      <c r="AW135" s="33" cm="1">
        <f t="array" ref="AW135">$G$11+VLOOKUP($R135,武学奇术!$A:$ZZ,10,FALSE)+SUM(_xlfn.XLOOKUP(S135:AG135,增益!$A:$A,增益!$J:$J,0))</f>
        <v>0</v>
      </c>
      <c r="AX135">
        <f t="shared" si="36"/>
        <v>0</v>
      </c>
      <c r="AY135">
        <f t="shared" si="37"/>
        <v>0</v>
      </c>
      <c r="AZ135" s="33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-0.3</v>
      </c>
      <c r="BA135" s="33" cm="1">
        <f t="array" ref="BA135">$G$12+VLOOKUP($R135,武学奇术!$A:$ZZ,12,FALSE)+SUM(_xlfn.XLOOKUP(S135:AG135,增益!$A:$A,增益!$L:$L,0))</f>
        <v>0</v>
      </c>
      <c r="BB135">
        <f t="shared" si="38"/>
        <v>0</v>
      </c>
      <c r="BC135">
        <f t="shared" si="39"/>
        <v>0</v>
      </c>
      <c r="BD135" s="33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-0.3</v>
      </c>
      <c r="BE135" s="33" cm="1">
        <f t="array" ref="BE135">$G$13+VLOOKUP($R135,武学奇术!$A:$ZZ,14,FALSE)+SUM(_xlfn.XLOOKUP(S135:AG135,增益!$A:$A,增益!$N:$N,0))</f>
        <v>0</v>
      </c>
      <c r="BF135">
        <f t="shared" si="40"/>
        <v>605.472</v>
      </c>
      <c r="BG135">
        <f t="shared" si="41"/>
        <v>1725.468</v>
      </c>
      <c r="BH135" s="33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0</v>
      </c>
      <c r="BI135" s="33" cm="1">
        <f t="array" ref="BI135">$G$14+VLOOKUP($R135,武学奇术!$A:$ZZ,16,FALSE)+SUM(_xlfn.XLOOKUP(S135:AG135,增益!$A:$A,增益!$P:$P,0))</f>
        <v>0.24</v>
      </c>
      <c r="BJ135" s="27">
        <f>MIN(IF(VLOOKUP($R135,武学奇术!$A:$ZZ,23,FALSE)=1,100%,$B$8),100%)</f>
        <v>1</v>
      </c>
      <c r="BK135" s="27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+MIN(IF(VLOOKUP($R135,武学奇术!$A:$ZZ,32,FALSE)=1,IF(VLOOKUP($R135,武学奇术!$A:$ZZ,24,FALSE)=1,100%,MIN(40%,$B$10+VLOOKUP($R135,武学奇术!$A:$ZZ,19,FALSE)+SUM(_xlfn.XLOOKUP(S135:AG135,增益!$A:$A,增益!$S:$S,0)))+$B$12+SUM(_xlfn.XLOOKUP(S135:AG135,增益!$A:$A,增益!$V:$V,0))),0),12%)</f>
        <v>0.9036</v>
      </c>
      <c r="BL135" s="27" cm="1">
        <f t="array" ref="BL135">1+$B$13+VLOOKUP($R135,武学奇术!$A:$ZZ,18,FALSE)+SUM(_xlfn.XLOOKUP(S135:AG135,增益!$A:$A,增益!$R:$R,0))</f>
        <v>1.64</v>
      </c>
      <c r="BM135" s="27" cm="1">
        <f t="array" ref="BM135">MAX(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-IF(VLOOKUP($R135,武学奇术!$A:$ZZ,32,FALSE)=1,12%,0),0)</f>
        <v>0.0929</v>
      </c>
      <c r="BN135" s="27" cm="1">
        <f t="array" ref="BN135">1+$B$14+VLOOKUP($R135,武学奇术!$A:$ZZ,20,FALSE)+SUM(_xlfn.XLOOKUP(S135:AG135,增益!$A:$A,增益!$T:$T,0))</f>
        <v>1.35</v>
      </c>
      <c r="BO135" s="27">
        <f t="shared" si="43"/>
        <v>0.9036</v>
      </c>
      <c r="BP135" s="27">
        <f t="shared" si="44"/>
        <v>0.00350000000000006</v>
      </c>
      <c r="BQ135" s="27">
        <f>IF(VLOOKUP($R135,武学奇术!$A:$ZZ,22,FALSE)=1,0,(1-$BJ135))*(1-$BM135)</f>
        <v>0</v>
      </c>
      <c r="BR135" s="27" cm="1">
        <f t="array" ref="BR135">SUM(_xlfn.XLOOKUP(S135:AG135,增益!$A:$A,增益!$W:$W,0))+$I$5</f>
        <v>0.11</v>
      </c>
    </row>
    <row r="136" spans="1:70">
      <c r="F136" s="40"/>
      <c r="K136">
        <f>$L136*VLOOKUP($R136,武学奇术!$A:$ZZ,31,FALSE)</f>
        <v>22927.0522924021</v>
      </c>
      <c r="L136" s="39">
        <f t="shared" si="33"/>
        <v>22927.0522924021</v>
      </c>
      <c r="M136" s="39">
        <f>((($AO136+($AP136-$AO136)*IF(VLOOKUP($R136,武学奇术!$A:$ZZ,31,FALSE)=1,$F$18,0.5))*$AI136+$AJ136)*(1+$AQ136)*(1+$AR136)+(($AT136+($AU136-$AT136)*IF(VLOOKUP($R136,武学奇术!$A:$ZZ,31,FALSE)=1,$F$18,0.5))*IF($G$1="鸣金",$AK136,$AI136)+IF($G$1="鸣金",$AL136*1.5,0))*(1+$AV136)*(1+$AW136)+(($AX136+($AY136-$AX136)*IF(VLOOKUP($R136,武学奇术!$A:$ZZ,31,FALSE)=1,$F$18,0.5))*IF($G$1="裂石",$AK136,$AI136)+IF($G$1="裂石",$AL136*1.5,0))*(1+$AZ136)*(1+$BA136)+(($BB136+($BC136-$BB136)*IF(VLOOKUP($R136,武学奇术!$A:$ZZ,31,FALSE)=1,$F$18,0.5))*IF($G$1="牵丝",$AK136,$AI136)+IF($G$1="牵丝",$AL136*1.5,0))*(1+$BD136)*(1+$BE136)+(($BF136+($BG136-$BF136)*IF(VLOOKUP($R136,武学奇术!$A:$ZZ,31,FALSE)=1,$F$18,0.5))*IF($G$1="破竹",$AK136,$AI136)+IF($G$1="破竹",$AL136*1.5,0))*(1+$BH136)*(1+$BI136))*(1+$AM136)*$BL136*$Q136*(1+IF(VLOOKUP($R136,武学奇术!$A:$ZZ,30,FALSE)="蓄力技",$B$21,0))*(1+$BR136)</f>
        <v>23435.7223295472</v>
      </c>
      <c r="N136" s="39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蓄力技",$B$21,0))*(1+$BR136)</f>
        <v>18376.0399314077</v>
      </c>
      <c r="O136" s="39">
        <f>((($AO136+($AP136-$AO136)*IF(VLOOKUP($R136,武学奇术!$A:$ZZ,31,FALSE)=1,$F$18,0.5))*$AI136+$AJ136)*(1+$AQ136)*(1+$AR136)+(($AT136+($AU136-$AT136)*IF(VLOOKUP($R136,武学奇术!$A:$ZZ,31,FALSE)=1,$F$18,0.5))*IF($G$1="鸣金",$AK136,$AI136)+IF($G$1="鸣金",$AL136*1.5,0))*(1+$AV136)*(1+$AW136)+(($AX136+($AY136-$AX136)*IF(VLOOKUP($R136,武学奇术!$A:$ZZ,31,FALSE)=1,$F$18,0.5))*IF($G$1="裂石",$AK136,$AI136)+IF($G$1="裂石",$AL136*1.5,0))*(1+$AZ136)*(1+$BA136)+(($BB136+($BC136-$BB136)*IF(VLOOKUP($R136,武学奇术!$A:$ZZ,31,FALSE)=1,$F$18,0.5))*IF($G$1="牵丝",$AK136,$AI136)+IF($G$1="牵丝",$AL136*1.5,0))*(1+$BD136)*(1+$BE136)+(($BF136+($BG136-$BF136)*IF(VLOOKUP($R136,武学奇术!$A:$ZZ,31,FALSE)=1,$F$18,0.5))*IF($G$1="破竹",$AK136,$AI136)+IF($G$1="破竹",$AL136*1.5,0))*(1+$BH136)*(1+$BI136))*(1+$AM136)*$Q136*(1+IF(VLOOKUP($R136,武学奇术!$A:$ZZ,30,FALSE)="蓄力技",$B$21,0))*(1+$BR136)</f>
        <v>12399.8530844165</v>
      </c>
      <c r="P136" s="39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蓄力技",$B$21,0))*(1+$BR136)</f>
        <v>11187.8247381606</v>
      </c>
      <c r="Q136" s="40">
        <f t="shared" si="42"/>
        <v>1</v>
      </c>
      <c r="R136" s="41" t="s">
        <v>193</v>
      </c>
      <c r="S136" s="41" t="s">
        <v>97</v>
      </c>
      <c r="T136" s="41" t="s">
        <v>132</v>
      </c>
      <c r="U136" s="41" t="s">
        <v>73</v>
      </c>
      <c r="V136" s="41" t="s">
        <v>73</v>
      </c>
      <c r="W136" s="41" t="s">
        <v>179</v>
      </c>
      <c r="X136" s="41" t="s">
        <v>180</v>
      </c>
      <c r="Y136" s="41" t="s">
        <v>164</v>
      </c>
      <c r="Z136" s="41" t="s">
        <v>83</v>
      </c>
      <c r="AA136" s="41" t="s">
        <v>73</v>
      </c>
      <c r="AB136" s="41" t="s">
        <v>90</v>
      </c>
      <c r="AC136" s="41" t="s">
        <v>73</v>
      </c>
      <c r="AD136" s="41" t="s">
        <v>73</v>
      </c>
      <c r="AE136" s="41" t="s">
        <v>76</v>
      </c>
      <c r="AF136" s="41" t="s">
        <v>77</v>
      </c>
      <c r="AG136" s="41" t="s">
        <v>78</v>
      </c>
      <c r="AH136" t="str">
        <f>VLOOKUP($R136,武学奇术!$A:$ZZ,25,FALSE)</f>
        <v>心法</v>
      </c>
      <c r="AI136" s="27">
        <f>VLOOKUP($R136,武学奇术!$A:$ZZ,26,FALSE)</f>
        <v>1</v>
      </c>
      <c r="AJ136" s="28">
        <f>VLOOKUP($R136,武学奇术!$A:$ZZ,27,FALSE)*(1+IF(OR($AH136=$F$4,$AH136=$F$5),$B$22,0))</f>
        <v>0</v>
      </c>
      <c r="AK136" s="27">
        <f>VLOOKUP($R136,武学奇术!$A:$ZZ,28,FALSE)</f>
        <v>1</v>
      </c>
      <c r="AL136" s="28">
        <f>VLOOKUP($R136,武学奇术!$A:$ZZ,29,FALSE)*(1+IF(OR($AH136=$F$4,$AH136=$F$5),$B$22,0))</f>
        <v>0</v>
      </c>
      <c r="AM136" s="27" cm="1">
        <f t="array" ref="AM136">$G$3+IFERROR(VLOOKUP($AH136,$F$4:$G$7,2,FALSE),0)+VLOOKUP($R136,武学奇术!$A:$ZZ,2,FALSE)+SUM(_xlfn.XLOOKUP($S136:$AG136,增益!$A:$A,增益!$B:$B,0))</f>
        <v>0.2337</v>
      </c>
      <c r="AN136" s="27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3888.382</v>
      </c>
      <c r="AP136" cm="1">
        <f t="array" ref="AP136">$E$10*(1+$AN136)+VLOOKUP($R136,武学奇术!$A:$ZZ,4,FALSE)+SUM(_xlfn.XLOOKUP($S136:$AG136,增益!$A:$A,增益!$D:$D,0))-$I$2</f>
        <v>3888.382</v>
      </c>
      <c r="AQ136" s="33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0.442</v>
      </c>
      <c r="AR136" s="33" cm="1">
        <f t="array" ref="AR136">$G$10+VLOOKUP($R136,武学奇术!$A:$ZZ,7,FALSE)+SUM(_xlfn.XLOOKUP(S136:AG136,增益!$A:$A,增益!$G:$G,0))</f>
        <v>0.09</v>
      </c>
      <c r="AS136" s="27" cm="1">
        <f t="array" ref="AS136">VLOOKUP($R136,武学奇术!$A:$ZZ,8,FALSE)+SUM(_xlfn.XLOOKUP(S136:AG136,增益!$A:$A,增益!$H:$H,0))</f>
        <v>0</v>
      </c>
      <c r="AT136">
        <f t="shared" si="34"/>
        <v>0</v>
      </c>
      <c r="AU136">
        <f t="shared" si="35"/>
        <v>0</v>
      </c>
      <c r="AV136" s="33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-0.14</v>
      </c>
      <c r="AW136" s="33" cm="1">
        <f t="array" ref="AW136">$G$11+VLOOKUP($R136,武学奇术!$A:$ZZ,10,FALSE)+SUM(_xlfn.XLOOKUP(S136:AG136,增益!$A:$A,增益!$J:$J,0))</f>
        <v>0.1</v>
      </c>
      <c r="AX136">
        <f t="shared" si="36"/>
        <v>0</v>
      </c>
      <c r="AY136">
        <f t="shared" si="37"/>
        <v>0</v>
      </c>
      <c r="AZ136" s="33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-0.14</v>
      </c>
      <c r="BA136" s="33" cm="1">
        <f t="array" ref="BA136">$G$12+VLOOKUP($R136,武学奇术!$A:$ZZ,12,FALSE)+SUM(_xlfn.XLOOKUP(S136:AG136,增益!$A:$A,增益!$L:$L,0))</f>
        <v>0</v>
      </c>
      <c r="BB136">
        <f t="shared" si="38"/>
        <v>0</v>
      </c>
      <c r="BC136">
        <f t="shared" si="39"/>
        <v>0</v>
      </c>
      <c r="BD136" s="33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-0.14</v>
      </c>
      <c r="BE136" s="33" cm="1">
        <f t="array" ref="BE136">$G$13+VLOOKUP($R136,武学奇术!$A:$ZZ,14,FALSE)+SUM(_xlfn.XLOOKUP(S136:AG136,增益!$A:$A,增益!$N:$N,0))</f>
        <v>0</v>
      </c>
      <c r="BF136">
        <f t="shared" si="40"/>
        <v>605.472</v>
      </c>
      <c r="BG136">
        <f t="shared" si="41"/>
        <v>1725.468</v>
      </c>
      <c r="BH136" s="33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0.08</v>
      </c>
      <c r="BI136" s="33" cm="1">
        <f t="array" ref="BI136">$G$14+VLOOKUP($R136,武学奇术!$A:$ZZ,16,FALSE)+SUM(_xlfn.XLOOKUP(S136:AG136,增益!$A:$A,增益!$P:$P,0))</f>
        <v>0.24</v>
      </c>
      <c r="BJ136" s="27">
        <f>MIN(IF(VLOOKUP($R136,武学奇术!$A:$ZZ,23,FALSE)=1,100%,$B$8),100%)</f>
        <v>1</v>
      </c>
      <c r="BK136" s="27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+MIN(IF(VLOOKUP($R136,武学奇术!$A:$ZZ,32,FALSE)=1,IF(VLOOKUP($R136,武学奇术!$A:$ZZ,24,FALSE)=1,100%,MIN(40%,$B$10+VLOOKUP($R136,武学奇术!$A:$ZZ,19,FALSE)+SUM(_xlfn.XLOOKUP(S136:AG136,增益!$A:$A,增益!$S:$S,0)))+$B$12+SUM(_xlfn.XLOOKUP(S136:AG136,增益!$A:$A,增益!$V:$V,0))),0),12%)</f>
        <v>0.9036</v>
      </c>
      <c r="BL136" s="27" cm="1">
        <f t="array" ref="BL136">1+$B$13+VLOOKUP($R136,武学奇术!$A:$ZZ,18,FALSE)+SUM(_xlfn.XLOOKUP(S136:AG136,增益!$A:$A,增益!$R:$R,0))</f>
        <v>1.89</v>
      </c>
      <c r="BM136" s="27" cm="1">
        <f t="array" ref="BM136">MAX(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-IF(VLOOKUP($R136,武学奇术!$A:$ZZ,32,FALSE)=1,12%,0),0)</f>
        <v>0.0929</v>
      </c>
      <c r="BN136" s="27" cm="1">
        <f t="array" ref="BN136">1+$B$14+VLOOKUP($R136,武学奇术!$A:$ZZ,20,FALSE)+SUM(_xlfn.XLOOKUP(S136:AG136,增益!$A:$A,增益!$T:$T,0))</f>
        <v>1.35</v>
      </c>
      <c r="BO136" s="27">
        <f t="shared" si="43"/>
        <v>0.9036</v>
      </c>
      <c r="BP136" s="27">
        <f t="shared" si="44"/>
        <v>0.00350000000000006</v>
      </c>
      <c r="BQ136" s="27">
        <f>IF(VLOOKUP($R136,武学奇术!$A:$ZZ,22,FALSE)=1,0,(1-$BJ136))*(1-$BM136)</f>
        <v>0</v>
      </c>
      <c r="BR136" s="27" cm="1">
        <f t="array" ref="BR136">SUM(_xlfn.XLOOKUP(S136:AG136,增益!$A:$A,增益!$W:$W,0))+$I$5</f>
        <v>0.31</v>
      </c>
    </row>
    <row r="137" spans="1:70">
      <c r="F137" s="40"/>
    </row>
    <row r="138" spans="1:70">
      <c r="A138" s="4"/>
      <c r="B138" s="4"/>
      <c r="F138" s="40"/>
    </row>
    <row r="139" spans="1:70">
      <c r="F139" s="40"/>
    </row>
    <row r="140" spans="1:70">
      <c r="A140" s="4"/>
      <c r="B140" s="91"/>
      <c r="F140" s="40"/>
    </row>
    <row r="141" spans="1:70">
      <c r="A141" s="4"/>
      <c r="B141" s="4"/>
      <c r="F141" s="40"/>
    </row>
    <row r="142" spans="1:70">
      <c r="A142" s="4"/>
      <c r="B142" s="4"/>
      <c r="F142" s="40"/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C40:C45"/>
    <mergeCell ref="C63:C71"/>
    <mergeCell ref="D36:D46"/>
    <mergeCell ref="D73:D81"/>
    <mergeCell ref="E40:E44"/>
    <mergeCell ref="E63:E68"/>
    <mergeCell ref="E95:E100"/>
    <mergeCell ref="E111:E114"/>
    <mergeCell ref="E127:E130"/>
    <mergeCell ref="F34:F47"/>
    <mergeCell ref="F53:F66"/>
    <mergeCell ref="F73:F81"/>
    <mergeCell ref="F90:F104"/>
    <mergeCell ref="F108:F119"/>
    <mergeCell ref="F127:F142"/>
    <mergeCell ref="G37:G43"/>
    <mergeCell ref="G56:G60"/>
    <mergeCell ref="G74:G78"/>
    <mergeCell ref="G92:G98"/>
    <mergeCell ref="G109:G114"/>
    <mergeCell ref="G128:G131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"断石之构,三穷致知"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G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36"/>
  <sheetViews>
    <sheetView workbookViewId="0">
      <selection activeCell="F29" sqref="F29"/>
    </sheetView>
  </sheetViews>
  <sheetFormatPr defaultColWidth="9" defaultRowHeight="13.5"/>
  <cols>
    <col min="1" max="1" width="12.875" customWidth="1"/>
    <col min="11" max="15" width="12.625" style="28" customWidth="1"/>
    <col min="16" max="16" width="9.375"/>
    <col min="17" max="17" width="24.625" style="32" customWidth="1"/>
    <col min="18" max="32" width="9" style="32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3"/>
    <col min="47" max="48" width="9" style="33"/>
    <col min="61" max="65" width="9" style="27"/>
    <col min="66" max="67" width="9.00833333333333" style="27" customWidth="1"/>
    <col min="68" max="69" width="9" style="27"/>
    <col min="70" max="70" width="12.625"/>
  </cols>
  <sheetData>
    <row r="1" spans="1:69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8</v>
      </c>
      <c r="L1" s="39" t="s">
        <v>9</v>
      </c>
      <c r="M1" s="39" t="s">
        <v>10</v>
      </c>
      <c r="N1" s="39" t="s">
        <v>11</v>
      </c>
      <c r="O1" s="39" t="s">
        <v>12</v>
      </c>
      <c r="P1" s="40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1" t="s">
        <v>23</v>
      </c>
      <c r="AA1" s="41" t="s">
        <v>24</v>
      </c>
      <c r="AB1" s="41" t="s">
        <v>25</v>
      </c>
      <c r="AC1" s="41" t="s">
        <v>26</v>
      </c>
      <c r="AD1" s="41" t="s">
        <v>27</v>
      </c>
      <c r="AE1" s="41" t="s">
        <v>28</v>
      </c>
      <c r="AF1" s="41" t="s">
        <v>29</v>
      </c>
      <c r="AG1" t="s">
        <v>30</v>
      </c>
      <c r="AH1" s="27" t="s">
        <v>31</v>
      </c>
      <c r="AI1" s="28" t="s">
        <v>32</v>
      </c>
      <c r="AJ1" s="27" t="s">
        <v>33</v>
      </c>
      <c r="AK1" s="28" t="s">
        <v>34</v>
      </c>
      <c r="AL1" s="27" t="s">
        <v>35</v>
      </c>
      <c r="AM1" s="27" t="s">
        <v>36</v>
      </c>
      <c r="AN1" t="s">
        <v>37</v>
      </c>
      <c r="AO1" t="s">
        <v>38</v>
      </c>
      <c r="AP1" s="33" t="s">
        <v>39</v>
      </c>
      <c r="AQ1" s="33" t="s">
        <v>40</v>
      </c>
      <c r="AR1" s="33" t="s">
        <v>41</v>
      </c>
      <c r="AS1" t="s">
        <v>42</v>
      </c>
      <c r="AT1" t="s">
        <v>43</v>
      </c>
      <c r="AU1" s="33" t="s">
        <v>44</v>
      </c>
      <c r="AV1" s="33" t="s">
        <v>45</v>
      </c>
      <c r="AW1" t="s">
        <v>46</v>
      </c>
      <c r="AX1" t="s">
        <v>47</v>
      </c>
      <c r="AY1" s="33" t="s">
        <v>48</v>
      </c>
      <c r="AZ1" s="33" t="s">
        <v>49</v>
      </c>
      <c r="BA1" t="s">
        <v>50</v>
      </c>
      <c r="BB1" t="s">
        <v>51</v>
      </c>
      <c r="BC1" s="33" t="s">
        <v>52</v>
      </c>
      <c r="BD1" s="33" t="s">
        <v>53</v>
      </c>
      <c r="BE1" t="s">
        <v>54</v>
      </c>
      <c r="BF1" t="s">
        <v>55</v>
      </c>
      <c r="BG1" s="33" t="s">
        <v>56</v>
      </c>
      <c r="BH1" s="33" t="s">
        <v>57</v>
      </c>
      <c r="BI1" s="27" t="s">
        <v>58</v>
      </c>
      <c r="BJ1" s="27" t="s">
        <v>59</v>
      </c>
      <c r="BK1" s="27" t="s">
        <v>60</v>
      </c>
      <c r="BL1" s="27" t="s">
        <v>61</v>
      </c>
      <c r="BM1" s="27" t="s">
        <v>62</v>
      </c>
      <c r="BN1" s="27" t="s">
        <v>63</v>
      </c>
      <c r="BO1" s="27" t="s">
        <v>64</v>
      </c>
      <c r="BP1" s="27" t="s">
        <v>65</v>
      </c>
      <c r="BQ1" s="27" t="s">
        <v>66</v>
      </c>
    </row>
    <row r="2" spans="1:69">
      <c r="A2" s="42" t="s">
        <v>67</v>
      </c>
      <c r="B2" s="32"/>
      <c r="C2" s="32"/>
      <c r="D2" s="32"/>
      <c r="E2" s="43"/>
      <c r="F2" s="44" t="s">
        <v>68</v>
      </c>
      <c r="G2" s="45" t="s">
        <v>69</v>
      </c>
      <c r="H2" s="46" t="s">
        <v>70</v>
      </c>
      <c r="I2" s="11">
        <f>620*(1-IF(F17="√",0.06,0)-IF(D20="√",0.04,0))</f>
        <v>620</v>
      </c>
      <c r="K2" s="39">
        <f t="shared" ref="K2:K65" si="0">($L2*$BN2+$M2*$BL2+$N2*$BO2+$O2*$BP2)</f>
        <v>21478.8685123593</v>
      </c>
      <c r="L2" s="39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BK2*$P2*(1+IF(VLOOKUP($Q2,武学奇术!$A:$ZZ,30,FALSE)="蓄力技",$B$21,0))*(1+$BQ2)</f>
        <v>21518.5340656438</v>
      </c>
      <c r="M2" s="39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21379.2345794486</v>
      </c>
      <c r="N2" s="39">
        <f>((($AN2+($AO2-$AN2)*IF(VLOOKUP($Q2,武学奇术!$A:$ZZ,31,FALSE)=1,$F$18,0.5))*$AH2+$AI2)*(1+$AP2)*(1+$AQ2)+(($AS2+($AT2-$AS2)*IF(VLOOKUP($Q2,武学奇术!$A:$ZZ,31,FALSE)=1,$F$18,0.5))*IF($G$1="鸣金",$AJ2,$AH2)+IF($G$1="鸣金",$AK2*1.5,0))*(1+$AU2)*(1+$AV2)+(($AW2+($AX2-$AW2)*IF(VLOOKUP($Q2,武学奇术!$A:$ZZ,31,FALSE)=1,$F$18,0.5))*IF($G$1="裂石",$AJ2,$AH2)+IF($G$1="裂石",$AK2*1.5,0))*(1+$AY2)*(1+$AZ2)+(($BA2+($BB2-$BA2)*IF(VLOOKUP($Q2,武学奇术!$A:$ZZ,31,FALSE)=1,$F$18,0.5))*IF($G$1="牵丝",$AJ2,$AH2)+IF($G$1="牵丝",$AK2*1.5,0))*(1+$BC2)*(1+$BD2)+(($BE2+($BF2-$BE2)*IF(VLOOKUP($Q2,武学奇术!$A:$ZZ,31,FALSE)=1,$F$18,0.5))*IF($G$1="破竹",$AJ2,$AH2)+IF($G$1="破竹",$AK2*1.5,0))*(1+$BG2)*(1+$BH2))*(1+$AL2)*$P2*(1+IF(VLOOKUP($Q2,武学奇术!$A:$ZZ,30,FALSE)="蓄力技",$B$21,0))*(1+$BQ2)</f>
        <v>13882.9252036412</v>
      </c>
      <c r="O2" s="39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11929.3803484315</v>
      </c>
      <c r="P2" s="40">
        <v>1</v>
      </c>
      <c r="Q2" s="41" t="s">
        <v>71</v>
      </c>
      <c r="R2" s="41" t="s">
        <v>72</v>
      </c>
      <c r="S2" s="41" t="s">
        <v>73</v>
      </c>
      <c r="T2" s="41" t="s">
        <v>73</v>
      </c>
      <c r="U2" s="41" t="s">
        <v>74</v>
      </c>
      <c r="V2" s="41" t="s">
        <v>73</v>
      </c>
      <c r="W2" s="41" t="s">
        <v>73</v>
      </c>
      <c r="X2" s="41" t="s">
        <v>75</v>
      </c>
      <c r="Y2" s="41" t="s">
        <v>73</v>
      </c>
      <c r="Z2" s="41" t="s">
        <v>73</v>
      </c>
      <c r="AA2" s="41" t="s">
        <v>73</v>
      </c>
      <c r="AB2" s="41" t="s">
        <v>73</v>
      </c>
      <c r="AC2" s="41" t="s">
        <v>73</v>
      </c>
      <c r="AD2" s="41" t="s">
        <v>73</v>
      </c>
      <c r="AE2" s="41" t="s">
        <v>77</v>
      </c>
      <c r="AF2" s="41" t="s">
        <v>78</v>
      </c>
      <c r="AG2" t="str">
        <f>VLOOKUP($Q2,武学奇术!$A:$ZZ,25,FALSE)</f>
        <v>群体奇术</v>
      </c>
      <c r="AH2" s="27">
        <f>VLOOKUP($Q2,武学奇术!$A:$ZZ,26,FALSE)</f>
        <v>1.4904</v>
      </c>
      <c r="AI2" s="28">
        <f>VLOOKUP($Q2,武学奇术!$A:$ZZ,27,FALSE)*(1+IF(OR($AG2=$F$4,$AG2=$F$5),$B$22,0))</f>
        <v>378</v>
      </c>
      <c r="AJ2" s="27">
        <f>VLOOKUP($Q2,武学奇术!$A:$ZZ,28,FALSE)</f>
        <v>2.2356</v>
      </c>
      <c r="AK2" s="28">
        <f>VLOOKUP($Q2,武学奇术!$A:$ZZ,29,FALSE)*(1+IF(OR($AG2=$F$4,$AG2=$F$5),$B$22,0))</f>
        <v>0</v>
      </c>
      <c r="AL2" s="27" cm="1">
        <f t="array" ref="AL2">$G$3+IFERROR(VLOOKUP($AG2,$F$4:$G$7,2,FALSE),0)+VLOOKUP($Q2,武学奇术!$A:$ZZ,2,FALSE)+SUM(_xlfn.XLOOKUP($R2:$AF2,增益!$A:$A,增益!$B:$B,0))</f>
        <v>0.1337</v>
      </c>
      <c r="AM2" s="27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3826.382</v>
      </c>
      <c r="AO2" cm="1">
        <f t="array" ref="AO2">$E$10*(1+$AM2)+VLOOKUP($Q2,武学奇术!$A:$ZZ,4,FALSE)+SUM(_xlfn.XLOOKUP($R2:$AF2,增益!$A:$A,增益!$D:$D,0))-$I$2</f>
        <v>3826.382</v>
      </c>
      <c r="AP2" s="33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0.177</v>
      </c>
      <c r="AQ2" s="33" cm="1">
        <f t="array" ref="AQ2">$G$10+VLOOKUP($Q2,武学奇术!$A:$ZZ,7,FALSE)+SUM(_xlfn.XLOOKUP(R2:AF2,增益!$A:$A,增益!$G:$G,0))</f>
        <v>0.09</v>
      </c>
      <c r="AR2" s="27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3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3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3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3" cm="1">
        <f t="array" ref="AZ2">$G$12+VLOOKUP($Q2,武学奇术!$A:$ZZ,12,FALSE)+SUM(_xlfn.XLOOKUP(R2:AF2,增益!$A:$A,增益!$L:$L,0))</f>
        <v>0</v>
      </c>
      <c r="BA2">
        <f t="shared" ref="BA2:BA65" si="5">$D$13*(1+$AR2)</f>
        <v>0</v>
      </c>
      <c r="BB2">
        <f t="shared" ref="BB2:BB65" si="6">$E$13*(1+$AR2)</f>
        <v>0</v>
      </c>
      <c r="BC2" s="33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3" cm="1">
        <f t="array" ref="BD2">$G$13+VLOOKUP($Q2,武学奇术!$A:$ZZ,14,FALSE)+SUM(_xlfn.XLOOKUP(R2:AF2,增益!$A:$A,增益!$N:$N,0))</f>
        <v>0</v>
      </c>
      <c r="BE2">
        <f t="shared" ref="BE2:BE65" si="7">$D$14*(1+$AR2)</f>
        <v>605.472</v>
      </c>
      <c r="BF2">
        <f t="shared" ref="BF2:BF65" si="8">$E$14*(1+$AR2)</f>
        <v>1725.468</v>
      </c>
      <c r="BG2" s="33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</v>
      </c>
      <c r="BH2" s="33" cm="1">
        <f t="array" ref="BH2">$G$14+VLOOKUP($Q2,武学奇术!$A:$ZZ,16,FALSE)+SUM(_xlfn.XLOOKUP(R2:AF2,增益!$A:$A,增益!$P:$P,0))</f>
        <v>0.24</v>
      </c>
      <c r="BI2" s="27">
        <f>MIN(IF(VLOOKUP($Q2,武学奇术!$A:$ZZ,23,FALSE)=1,100%,$B$8),100%)</f>
        <v>1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+MIN(IF(VLOOKUP($Q2,武学奇术!$A:$ZZ,32,FALSE)=1,IF(VLOOKUP($Q2,武学奇术!$A:$ZZ,24,FALSE)=1,100%,MIN(40%,$B$10+VLOOKUP($Q2,武学奇术!$A:$ZZ,19,FALSE)+SUM(_xlfn.XLOOKUP(R2:AF2,增益!$A:$A,增益!$S:$S,0)))+$B$12+SUM(_xlfn.XLOOKUP(R2:AF2,增益!$A:$A,增益!$V:$V,0))),0),12%)</f>
        <v>0.9036</v>
      </c>
      <c r="BK2" s="27" cm="1">
        <f t="array" ref="BK2">1+$B$13+VLOOKUP($Q2,武学奇术!$A:$ZZ,18,FALSE)+SUM(_xlfn.XLOOKUP(R2:AF2,增益!$A:$A,增益!$R:$R,0))</f>
        <v>1.55</v>
      </c>
      <c r="BL2" s="27" cm="1">
        <f t="array" ref="BL2">MAX(IF(VLOOKUP($Q2,武学奇术!$A:$ZZ,24,FALSE)=1,100%,MIN(40%,$B$10+VLOOKUP($Q2,武学奇术!$A:$ZZ,19,FALSE)+SUM(_xlfn.XLOOKUP(R2:AF2,增益!$A:$A,增益!$S:$S,0)))+$B$12+SUM(_xlfn.XLOOKUP(R2:AF2,增益!$A:$A,增益!$V:$V,0)))*IF(VLOOKUP($Q2,武学奇术!$A:$ZZ,23,FALSE)=1,0,1)-IF(VLOOKUP($Q2,武学奇术!$A:$ZZ,32,FALSE)=1,12%,0),0)</f>
        <v>0.0929</v>
      </c>
      <c r="BM2" s="27" cm="1">
        <f t="array" ref="BM2">1+$B$14+VLOOKUP($Q2,武学奇术!$A:$ZZ,20,FALSE)+SUM(_xlfn.XLOOKUP(R2:AF2,增益!$A:$A,增益!$T:$T,0))</f>
        <v>1.35</v>
      </c>
      <c r="BN2" s="27">
        <f t="shared" ref="BN2:BN65" si="9">MIN((1-BL2)*BI2,BI2*BJ2)</f>
        <v>0.9036</v>
      </c>
      <c r="BO2" s="27">
        <f t="shared" ref="BO2:BO65" si="10">1-BL2-BN2-BP2</f>
        <v>0.00350000000000006</v>
      </c>
      <c r="BP2" s="27">
        <f>IF(VLOOKUP($Q2,武学奇术!$A:$ZZ,22,FALSE)=1,0,(1-$BI2))*(1-$BL2)</f>
        <v>0</v>
      </c>
      <c r="BQ2" s="27" cm="1">
        <f t="array" ref="BQ2">SUM(_xlfn.XLOOKUP(R2:AF2,增益!$A:$A,增益!$W:$W,0))+$I$5</f>
        <v>0.11</v>
      </c>
    </row>
    <row r="3" spans="1:69">
      <c r="A3" s="47" t="s">
        <v>79</v>
      </c>
      <c r="B3" s="48"/>
      <c r="C3" s="48"/>
      <c r="D3" s="48"/>
      <c r="E3" s="49"/>
      <c r="F3" s="46" t="s">
        <v>35</v>
      </c>
      <c r="G3" s="50">
        <f>B16+1.5%+IF($D$16="√",8%,0)+IF($E$24="征人归",8%,0)</f>
        <v>0.1037</v>
      </c>
      <c r="H3" s="46" t="s">
        <v>80</v>
      </c>
      <c r="I3" s="11">
        <f>25-IF(D17="√",10,0)-IF(F17="√",10,0)</f>
        <v>25</v>
      </c>
      <c r="K3" s="39">
        <f t="shared" si="0"/>
        <v>21924.3380258656</v>
      </c>
      <c r="L3" s="39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BK3*$P3*(1+IF(VLOOKUP($Q3,武学奇术!$A:$ZZ,30,FALSE)="蓄力技",$B$21,0))*(1+$BQ3)</f>
        <v>21979.6611402254</v>
      </c>
      <c r="M3" s="39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21681.4087971604</v>
      </c>
      <c r="N3" s="39">
        <f>((($AN3+($AO3-$AN3)*IF(VLOOKUP($Q3,武学奇术!$A:$ZZ,31,FALSE)=1,$F$18,0.5))*$AH3+$AI3)*(1+$AP3)*(1+$AQ3)+(($AS3+($AT3-$AS3)*IF(VLOOKUP($Q3,武学奇术!$A:$ZZ,31,FALSE)=1,$F$18,0.5))*IF($G$1="鸣金",$AJ3,$AH3)+IF($G$1="鸣金",$AK3*1.5,0))*(1+$AU3)*(1+$AV3)+(($AW3+($AX3-$AW3)*IF(VLOOKUP($Q3,武学奇术!$A:$ZZ,31,FALSE)=1,$F$18,0.5))*IF($G$1="裂石",$AJ3,$AH3)+IF($G$1="裂石",$AK3*1.5,0))*(1+$AY3)*(1+$AZ3)+(($BA3+($BB3-$BA3)*IF(VLOOKUP($Q3,武学奇术!$A:$ZZ,31,FALSE)=1,$F$18,0.5))*IF($G$1="牵丝",$AJ3,$AH3)+IF($G$1="牵丝",$AK3*1.5,0))*(1+$BC3)*(1+$BD3)+(($BE3+($BF3-$BE3)*IF(VLOOKUP($Q3,武学奇术!$A:$ZZ,31,FALSE)=1,$F$18,0.5))*IF($G$1="破竹",$AJ3,$AH3)+IF($G$1="破竹",$AK3*1.5,0))*(1+$BG3)*(1+$BH3))*(1+$AL3)*$P3*(1+IF(VLOOKUP($Q3,武学奇术!$A:$ZZ,30,FALSE)="蓄力技",$B$21,0))*(1+$BQ3)</f>
        <v>14089.5263719393</v>
      </c>
      <c r="O3" s="39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12118.7499311673</v>
      </c>
      <c r="P3" s="40">
        <v>1</v>
      </c>
      <c r="Q3" s="41" t="s">
        <v>71</v>
      </c>
      <c r="R3" s="41" t="s">
        <v>81</v>
      </c>
      <c r="S3" s="41" t="s">
        <v>73</v>
      </c>
      <c r="T3" s="41" t="s">
        <v>73</v>
      </c>
      <c r="U3" s="41" t="s">
        <v>74</v>
      </c>
      <c r="V3" s="41" t="s">
        <v>73</v>
      </c>
      <c r="W3" s="41" t="s">
        <v>73</v>
      </c>
      <c r="X3" s="41" t="s">
        <v>82</v>
      </c>
      <c r="Y3" s="41" t="s">
        <v>73</v>
      </c>
      <c r="Z3" s="41" t="s">
        <v>73</v>
      </c>
      <c r="AA3" s="41" t="s">
        <v>73</v>
      </c>
      <c r="AB3" s="41" t="s">
        <v>73</v>
      </c>
      <c r="AC3" s="41" t="s">
        <v>73</v>
      </c>
      <c r="AD3" s="41" t="s">
        <v>73</v>
      </c>
      <c r="AE3" s="41" t="s">
        <v>77</v>
      </c>
      <c r="AF3" s="41" t="s">
        <v>78</v>
      </c>
      <c r="AG3" t="str">
        <f>VLOOKUP($Q3,武学奇术!$A:$ZZ,25,FALSE)</f>
        <v>群体奇术</v>
      </c>
      <c r="AH3" s="27">
        <f>VLOOKUP($Q3,武学奇术!$A:$ZZ,26,FALSE)</f>
        <v>1.4904</v>
      </c>
      <c r="AI3" s="28">
        <f>VLOOKUP($Q3,武学奇术!$A:$ZZ,27,FALSE)*(1+IF(OR($AG3=$F$4,$AG3=$F$5),$B$22,0))</f>
        <v>378</v>
      </c>
      <c r="AJ3" s="27">
        <f>VLOOKUP($Q3,武学奇术!$A:$ZZ,28,FALSE)</f>
        <v>2.2356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0.1437</v>
      </c>
      <c r="AM3" s="27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3826.382</v>
      </c>
      <c r="AO3" cm="1">
        <f t="array" ref="AO3">$E$10*(1+$AM3)+VLOOKUP($Q3,武学奇术!$A:$ZZ,4,FALSE)+SUM(_xlfn.XLOOKUP($R3:$AF3,增益!$A:$A,增益!$D:$D,0))-$I$2</f>
        <v>3826.382</v>
      </c>
      <c r="AP3" s="33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0.187</v>
      </c>
      <c r="AQ3" s="33" cm="1">
        <f t="array" ref="AQ3">$G$10+VLOOKUP($Q3,武学奇术!$A:$ZZ,7,FALSE)+SUM(_xlfn.XLOOKUP(R3:AF3,增益!$A:$A,增益!$G:$G,0))</f>
        <v>0.09</v>
      </c>
      <c r="AR3" s="27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3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33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3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-0.3</v>
      </c>
      <c r="AZ3" s="33" cm="1">
        <f t="array" ref="AZ3">$G$12+VLOOKUP($Q3,武学奇术!$A:$ZZ,12,FALSE)+SUM(_xlfn.XLOOKUP(R3:AF3,增益!$A:$A,增益!$L:$L,0))</f>
        <v>0</v>
      </c>
      <c r="BA3">
        <f t="shared" si="5"/>
        <v>0</v>
      </c>
      <c r="BB3">
        <f t="shared" si="6"/>
        <v>0</v>
      </c>
      <c r="BC3" s="33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-0.3</v>
      </c>
      <c r="BD3" s="33" cm="1">
        <f t="array" ref="BD3">$G$13+VLOOKUP($Q3,武学奇术!$A:$ZZ,14,FALSE)+SUM(_xlfn.XLOOKUP(R3:AF3,增益!$A:$A,增益!$N:$N,0))</f>
        <v>0</v>
      </c>
      <c r="BE3">
        <f t="shared" si="7"/>
        <v>605.472</v>
      </c>
      <c r="BF3">
        <f t="shared" si="8"/>
        <v>1725.468</v>
      </c>
      <c r="BG3" s="33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</v>
      </c>
      <c r="BH3" s="33" cm="1">
        <f t="array" ref="BH3">$G$14+VLOOKUP($Q3,武学奇术!$A:$ZZ,16,FALSE)+SUM(_xlfn.XLOOKUP(R3:AF3,增益!$A:$A,增益!$P:$P,0))</f>
        <v>0.24</v>
      </c>
      <c r="BI3" s="27">
        <f>MIN(IF(VLOOKUP($Q3,武学奇术!$A:$ZZ,23,FALSE)=1,100%,$B$8),100%)</f>
        <v>1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+MIN(IF(VLOOKUP($Q3,武学奇术!$A:$ZZ,32,FALSE)=1,IF(VLOOKUP($Q3,武学奇术!$A:$ZZ,24,FALSE)=1,100%,MIN(40%,$B$10+VLOOKUP($Q3,武学奇术!$A:$ZZ,19,FALSE)+SUM(_xlfn.XLOOKUP(R3:AF3,增益!$A:$A,增益!$S:$S,0)))+$B$12+SUM(_xlfn.XLOOKUP(R3:AF3,增益!$A:$A,增益!$V:$V,0))),0),12%)</f>
        <v>0.9036</v>
      </c>
      <c r="BK3" s="27" cm="1">
        <f t="array" ref="BK3">1+$B$13+VLOOKUP($Q3,武学奇术!$A:$ZZ,18,FALSE)+SUM(_xlfn.XLOOKUP(R3:AF3,增益!$A:$A,增益!$R:$R,0))</f>
        <v>1.56</v>
      </c>
      <c r="BL3" s="27" cm="1">
        <f t="array" ref="BL3">MAX(IF(VLOOKUP($Q3,武学奇术!$A:$ZZ,24,FALSE)=1,100%,MIN(40%,$B$10+VLOOKUP($Q3,武学奇术!$A:$ZZ,19,FALSE)+SUM(_xlfn.XLOOKUP(R3:AF3,增益!$A:$A,增益!$S:$S,0)))+$B$12+SUM(_xlfn.XLOOKUP(R3:AF3,增益!$A:$A,增益!$V:$V,0)))*IF(VLOOKUP($Q3,武学奇术!$A:$ZZ,23,FALSE)=1,0,1)-IF(VLOOKUP($Q3,武学奇术!$A:$ZZ,32,FALSE)=1,12%,0),0)</f>
        <v>0.0929</v>
      </c>
      <c r="BM3" s="27" cm="1">
        <f t="array" ref="BM3">1+$B$14+VLOOKUP($Q3,武学奇术!$A:$ZZ,20,FALSE)+SUM(_xlfn.XLOOKUP(R3:AF3,增益!$A:$A,增益!$T:$T,0))</f>
        <v>1.35</v>
      </c>
      <c r="BN3" s="27">
        <f t="shared" si="9"/>
        <v>0.9036</v>
      </c>
      <c r="BO3" s="27">
        <f t="shared" si="10"/>
        <v>0.00350000000000006</v>
      </c>
      <c r="BP3" s="27">
        <f>IF(VLOOKUP($Q3,武学奇术!$A:$ZZ,22,FALSE)=1,0,(1-$BI3))*(1-$BL3)</f>
        <v>0</v>
      </c>
      <c r="BQ3" s="27" cm="1">
        <f t="array" ref="BQ3">SUM(_xlfn.XLOOKUP(R3:AF3,增益!$A:$A,增益!$W:$W,0))+$I$5</f>
        <v>0.11</v>
      </c>
    </row>
    <row r="4" ht="14.25" spans="1:69">
      <c r="A4" s="51" t="s">
        <v>85</v>
      </c>
      <c r="B4" s="52"/>
      <c r="C4" s="52"/>
      <c r="D4" s="52"/>
      <c r="E4" s="53"/>
      <c r="F4" s="46" t="s">
        <v>86</v>
      </c>
      <c r="G4" s="50">
        <f>B15+B17</f>
        <v>0.1704</v>
      </c>
      <c r="H4" s="54" t="s">
        <v>87</v>
      </c>
      <c r="I4" s="15">
        <f>30</f>
        <v>30</v>
      </c>
      <c r="K4" s="39">
        <f t="shared" si="0"/>
        <v>22375.8183901458</v>
      </c>
      <c r="L4" s="39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BK4*$P4*(1+IF(VLOOKUP($Q4,武学奇术!$A:$ZZ,30,FALSE)="蓄力技",$B$21,0))*(1+$BQ4)</f>
        <v>22447.2304014826</v>
      </c>
      <c r="M4" s="39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21985.5694610302</v>
      </c>
      <c r="N4" s="39">
        <f>((($AN4+($AO4-$AN4)*IF(VLOOKUP($Q4,武学奇术!$A:$ZZ,31,FALSE)=1,$F$18,0.5))*$AH4+$AI4)*(1+$AP4)*(1+$AQ4)+(($AS4+($AT4-$AS4)*IF(VLOOKUP($Q4,武学奇术!$A:$ZZ,31,FALSE)=1,$F$18,0.5))*IF($G$1="鸣金",$AJ4,$AH4)+IF($G$1="鸣金",$AK4*1.5,0))*(1+$AU4)*(1+$AV4)+(($AW4+($AX4-$AW4)*IF(VLOOKUP($Q4,武学奇术!$A:$ZZ,31,FALSE)=1,$F$18,0.5))*IF($G$1="裂石",$AJ4,$AH4)+IF($G$1="裂石",$AK4*1.5,0))*(1+$AY4)*(1+$AZ4)+(($BA4+($BB4-$BA4)*IF(VLOOKUP($Q4,武学奇术!$A:$ZZ,31,FALSE)=1,$F$18,0.5))*IF($G$1="牵丝",$AJ4,$AH4)+IF($G$1="牵丝",$AK4*1.5,0))*(1+$BC4)*(1+$BD4)+(($BE4+($BF4-$BE4)*IF(VLOOKUP($Q4,武学奇术!$A:$ZZ,31,FALSE)=1,$F$18,0.5))*IF($G$1="破竹",$AJ4,$AH4)+IF($G$1="破竹",$AK4*1.5,0))*(1+$BG4)*(1+$BH4))*(1+$AL4)*$P4*(1+IF(VLOOKUP($Q4,武学奇术!$A:$ZZ,30,FALSE)="蓄力技",$B$21,0))*(1+$BQ4)</f>
        <v>14297.5989818361</v>
      </c>
      <c r="O4" s="39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12309.5909555016</v>
      </c>
      <c r="P4" s="40">
        <v>1</v>
      </c>
      <c r="Q4" s="41" t="s">
        <v>71</v>
      </c>
      <c r="R4" s="41" t="s">
        <v>88</v>
      </c>
      <c r="S4" s="41" t="s">
        <v>73</v>
      </c>
      <c r="T4" s="41" t="s">
        <v>73</v>
      </c>
      <c r="U4" s="41" t="s">
        <v>74</v>
      </c>
      <c r="V4" s="41" t="s">
        <v>73</v>
      </c>
      <c r="W4" s="41" t="s">
        <v>73</v>
      </c>
      <c r="X4" s="41" t="s">
        <v>89</v>
      </c>
      <c r="Y4" s="41" t="s">
        <v>73</v>
      </c>
      <c r="Z4" s="41" t="s">
        <v>73</v>
      </c>
      <c r="AA4" s="41" t="s">
        <v>73</v>
      </c>
      <c r="AB4" s="41" t="s">
        <v>73</v>
      </c>
      <c r="AC4" s="41" t="s">
        <v>73</v>
      </c>
      <c r="AD4" s="41" t="s">
        <v>73</v>
      </c>
      <c r="AE4" s="41" t="s">
        <v>77</v>
      </c>
      <c r="AF4" s="41" t="s">
        <v>78</v>
      </c>
      <c r="AG4" t="str">
        <f>VLOOKUP($Q4,武学奇术!$A:$ZZ,25,FALSE)</f>
        <v>群体奇术</v>
      </c>
      <c r="AH4" s="27">
        <f>VLOOKUP($Q4,武学奇术!$A:$ZZ,26,FALSE)</f>
        <v>1.4904</v>
      </c>
      <c r="AI4" s="28">
        <f>VLOOKUP($Q4,武学奇术!$A:$ZZ,27,FALSE)*(1+IF(OR($AG4=$F$4,$AG4=$F$5),$B$22,0))</f>
        <v>378</v>
      </c>
      <c r="AJ4" s="27">
        <f>VLOOKUP($Q4,武学奇术!$A:$ZZ,28,FALSE)</f>
        <v>2.2356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0.1537</v>
      </c>
      <c r="AM4" s="27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3826.382</v>
      </c>
      <c r="AO4" cm="1">
        <f t="array" ref="AO4">$E$10*(1+$AM4)+VLOOKUP($Q4,武学奇术!$A:$ZZ,4,FALSE)+SUM(_xlfn.XLOOKUP($R4:$AF4,增益!$A:$A,增益!$D:$D,0))-$I$2</f>
        <v>3826.382</v>
      </c>
      <c r="AP4" s="33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0.197</v>
      </c>
      <c r="AQ4" s="33" cm="1">
        <f t="array" ref="AQ4">$G$10+VLOOKUP($Q4,武学奇术!$A:$ZZ,7,FALSE)+SUM(_xlfn.XLOOKUP(R4:AF4,增益!$A:$A,增益!$G:$G,0))</f>
        <v>0.09</v>
      </c>
      <c r="AR4" s="27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3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33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3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-0.3</v>
      </c>
      <c r="AZ4" s="33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33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-0.3</v>
      </c>
      <c r="BD4" s="33" cm="1">
        <f t="array" ref="BD4">$G$13+VLOOKUP($Q4,武学奇术!$A:$ZZ,14,FALSE)+SUM(_xlfn.XLOOKUP(R4:AF4,增益!$A:$A,增益!$N:$N,0))</f>
        <v>0</v>
      </c>
      <c r="BE4">
        <f t="shared" si="7"/>
        <v>605.472</v>
      </c>
      <c r="BF4">
        <f t="shared" si="8"/>
        <v>1725.468</v>
      </c>
      <c r="BG4" s="33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</v>
      </c>
      <c r="BH4" s="33" cm="1">
        <f t="array" ref="BH4">$G$14+VLOOKUP($Q4,武学奇术!$A:$ZZ,16,FALSE)+SUM(_xlfn.XLOOKUP(R4:AF4,增益!$A:$A,增益!$P:$P,0))</f>
        <v>0.24</v>
      </c>
      <c r="BI4" s="27">
        <f>MIN(IF(VLOOKUP($Q4,武学奇术!$A:$ZZ,23,FALSE)=1,100%,$B$8),100%)</f>
        <v>1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+MIN(IF(VLOOKUP($Q4,武学奇术!$A:$ZZ,32,FALSE)=1,IF(VLOOKUP($Q4,武学奇术!$A:$ZZ,24,FALSE)=1,100%,MIN(40%,$B$10+VLOOKUP($Q4,武学奇术!$A:$ZZ,19,FALSE)+SUM(_xlfn.XLOOKUP(R4:AF4,增益!$A:$A,增益!$S:$S,0)))+$B$12+SUM(_xlfn.XLOOKUP(R4:AF4,增益!$A:$A,增益!$V:$V,0))),0),12%)</f>
        <v>0.9036</v>
      </c>
      <c r="BK4" s="27" cm="1">
        <f t="array" ref="BK4">1+$B$13+VLOOKUP($Q4,武学奇术!$A:$ZZ,18,FALSE)+SUM(_xlfn.XLOOKUP(R4:AF4,增益!$A:$A,增益!$R:$R,0))</f>
        <v>1.57</v>
      </c>
      <c r="BL4" s="27" cm="1">
        <f t="array" ref="BL4">MAX(IF(VLOOKUP($Q4,武学奇术!$A:$ZZ,24,FALSE)=1,100%,MIN(40%,$B$10+VLOOKUP($Q4,武学奇术!$A:$ZZ,19,FALSE)+SUM(_xlfn.XLOOKUP(R4:AF4,增益!$A:$A,增益!$S:$S,0)))+$B$12+SUM(_xlfn.XLOOKUP(R4:AF4,增益!$A:$A,增益!$V:$V,0)))*IF(VLOOKUP($Q4,武学奇术!$A:$ZZ,23,FALSE)=1,0,1)-IF(VLOOKUP($Q4,武学奇术!$A:$ZZ,32,FALSE)=1,12%,0),0)</f>
        <v>0.0929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0.9036</v>
      </c>
      <c r="BO4" s="27">
        <f t="shared" si="10"/>
        <v>0.00350000000000006</v>
      </c>
      <c r="BP4" s="27">
        <f>IF(VLOOKUP($Q4,武学奇术!$A:$ZZ,22,FALSE)=1,0,(1-$BI4))*(1-$BL4)</f>
        <v>0</v>
      </c>
      <c r="BQ4" s="27" cm="1">
        <f t="array" ref="BQ4">SUM(_xlfn.XLOOKUP(R4:AF4,增益!$A:$A,增益!$W:$W,0))+$I$5</f>
        <v>0.11</v>
      </c>
    </row>
    <row r="5" spans="1:69">
      <c r="A5" s="55" t="s">
        <v>91</v>
      </c>
      <c r="B5" s="56"/>
      <c r="C5" s="56"/>
      <c r="D5" s="56"/>
      <c r="E5" s="57"/>
      <c r="F5" s="46" t="s">
        <v>92</v>
      </c>
      <c r="G5" s="50">
        <f>B15+B18</f>
        <v>0.0852</v>
      </c>
      <c r="H5" t="s">
        <v>93</v>
      </c>
      <c r="I5" s="29">
        <v>0.06</v>
      </c>
      <c r="K5" s="39">
        <f t="shared" si="0"/>
        <v>22833.3494930387</v>
      </c>
      <c r="L5" s="39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BK5*$P5*(1+IF(VLOOKUP($Q5,武学奇术!$A:$ZZ,30,FALSE)="蓄力技",$B$21,0))*(1+$BQ5)</f>
        <v>22921.2859926635</v>
      </c>
      <c r="M5" s="39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22291.7165710581</v>
      </c>
      <c r="N5" s="39">
        <f>((($AN5+($AO5-$AN5)*IF(VLOOKUP($Q5,武学奇术!$A:$ZZ,31,FALSE)=1,$F$18,0.5))*$AH5+$AI5)*(1+$AP5)*(1+$AQ5)+(($AS5+($AT5-$AS5)*IF(VLOOKUP($Q5,武学奇术!$A:$ZZ,31,FALSE)=1,$F$18,0.5))*IF($G$1="鸣金",$AJ5,$AH5)+IF($G$1="鸣金",$AK5*1.5,0))*(1+$AU5)*(1+$AV5)+(($AW5+($AX5-$AW5)*IF(VLOOKUP($Q5,武学奇术!$A:$ZZ,31,FALSE)=1,$F$18,0.5))*IF($G$1="裂石",$AJ5,$AH5)+IF($G$1="裂石",$AK5*1.5,0))*(1+$AY5)*(1+$AZ5)+(($BA5+($BB5-$BA5)*IF(VLOOKUP($Q5,武学奇术!$A:$ZZ,31,FALSE)=1,$F$18,0.5))*IF($G$1="牵丝",$AJ5,$AH5)+IF($G$1="牵丝",$AK5*1.5,0))*(1+$BC5)*(1+$BD5)+(($BE5+($BF5-$BE5)*IF(VLOOKUP($Q5,武学奇术!$A:$ZZ,31,FALSE)=1,$F$18,0.5))*IF($G$1="破竹",$AJ5,$AH5)+IF($G$1="破竹",$AK5*1.5,0))*(1+$BG5)*(1+$BH5))*(1+$AL5)*$P5*(1+IF(VLOOKUP($Q5,武学奇术!$A:$ZZ,30,FALSE)="蓄力技",$B$21,0))*(1+$BQ5)</f>
        <v>14507.1430333313</v>
      </c>
      <c r="O5" s="39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12501.9034214345</v>
      </c>
      <c r="P5" s="40">
        <v>1</v>
      </c>
      <c r="Q5" s="41" t="s">
        <v>71</v>
      </c>
      <c r="R5" s="41" t="s">
        <v>94</v>
      </c>
      <c r="S5" s="41" t="s">
        <v>73</v>
      </c>
      <c r="T5" s="41" t="s">
        <v>73</v>
      </c>
      <c r="U5" s="41" t="s">
        <v>74</v>
      </c>
      <c r="V5" s="41" t="s">
        <v>73</v>
      </c>
      <c r="W5" s="41" t="s">
        <v>73</v>
      </c>
      <c r="X5" s="41" t="s">
        <v>95</v>
      </c>
      <c r="Y5" s="41" t="s">
        <v>73</v>
      </c>
      <c r="Z5" s="41" t="s">
        <v>73</v>
      </c>
      <c r="AA5" s="41" t="s">
        <v>73</v>
      </c>
      <c r="AB5" s="41" t="s">
        <v>73</v>
      </c>
      <c r="AC5" s="41" t="s">
        <v>73</v>
      </c>
      <c r="AD5" s="41" t="s">
        <v>73</v>
      </c>
      <c r="AE5" s="41" t="s">
        <v>77</v>
      </c>
      <c r="AF5" s="41" t="s">
        <v>78</v>
      </c>
      <c r="AG5" t="str">
        <f>VLOOKUP($Q5,武学奇术!$A:$ZZ,25,FALSE)</f>
        <v>群体奇术</v>
      </c>
      <c r="AH5" s="27">
        <f>VLOOKUP($Q5,武学奇术!$A:$ZZ,26,FALSE)</f>
        <v>1.4904</v>
      </c>
      <c r="AI5" s="28">
        <f>VLOOKUP($Q5,武学奇术!$A:$ZZ,27,FALSE)*(1+IF(OR($AG5=$F$4,$AG5=$F$5),$B$22,0))</f>
        <v>378</v>
      </c>
      <c r="AJ5" s="27">
        <f>VLOOKUP($Q5,武学奇术!$A:$ZZ,28,FALSE)</f>
        <v>2.2356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0.1637</v>
      </c>
      <c r="AM5" s="27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3826.382</v>
      </c>
      <c r="AO5" cm="1">
        <f t="array" ref="AO5">$E$10*(1+$AM5)+VLOOKUP($Q5,武学奇术!$A:$ZZ,4,FALSE)+SUM(_xlfn.XLOOKUP($R5:$AF5,增益!$A:$A,增益!$D:$D,0))-$I$2</f>
        <v>3826.382</v>
      </c>
      <c r="AP5" s="33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0.207</v>
      </c>
      <c r="AQ5" s="33" cm="1">
        <f t="array" ref="AQ5">$G$10+VLOOKUP($Q5,武学奇术!$A:$ZZ,7,FALSE)+SUM(_xlfn.XLOOKUP(R5:AF5,增益!$A:$A,增益!$G:$G,0))</f>
        <v>0.09</v>
      </c>
      <c r="AR5" s="27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3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33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3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-0.3</v>
      </c>
      <c r="AZ5" s="33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33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-0.3</v>
      </c>
      <c r="BD5" s="33" cm="1">
        <f t="array" ref="BD5">$G$13+VLOOKUP($Q5,武学奇术!$A:$ZZ,14,FALSE)+SUM(_xlfn.XLOOKUP(R5:AF5,增益!$A:$A,增益!$N:$N,0))</f>
        <v>0</v>
      </c>
      <c r="BE5">
        <f t="shared" si="7"/>
        <v>605.472</v>
      </c>
      <c r="BF5">
        <f t="shared" si="8"/>
        <v>1725.468</v>
      </c>
      <c r="BG5" s="33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</v>
      </c>
      <c r="BH5" s="33" cm="1">
        <f t="array" ref="BH5">$G$14+VLOOKUP($Q5,武学奇术!$A:$ZZ,16,FALSE)+SUM(_xlfn.XLOOKUP(R5:AF5,增益!$A:$A,增益!$P:$P,0))</f>
        <v>0.24</v>
      </c>
      <c r="BI5" s="27">
        <f>MIN(IF(VLOOKUP($Q5,武学奇术!$A:$ZZ,23,FALSE)=1,100%,$B$8),100%)</f>
        <v>1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+MIN(IF(VLOOKUP($Q5,武学奇术!$A:$ZZ,32,FALSE)=1,IF(VLOOKUP($Q5,武学奇术!$A:$ZZ,24,FALSE)=1,100%,MIN(40%,$B$10+VLOOKUP($Q5,武学奇术!$A:$ZZ,19,FALSE)+SUM(_xlfn.XLOOKUP(R5:AF5,增益!$A:$A,增益!$S:$S,0)))+$B$12+SUM(_xlfn.XLOOKUP(R5:AF5,增益!$A:$A,增益!$V:$V,0))),0),12%)</f>
        <v>0.9036</v>
      </c>
      <c r="BK5" s="27" cm="1">
        <f t="array" ref="BK5">1+$B$13+VLOOKUP($Q5,武学奇术!$A:$ZZ,18,FALSE)+SUM(_xlfn.XLOOKUP(R5:AF5,增益!$A:$A,增益!$R:$R,0))</f>
        <v>1.58</v>
      </c>
      <c r="BL5" s="27" cm="1">
        <f t="array" ref="BL5">MAX(IF(VLOOKUP($Q5,武学奇术!$A:$ZZ,24,FALSE)=1,100%,MIN(40%,$B$10+VLOOKUP($Q5,武学奇术!$A:$ZZ,19,FALSE)+SUM(_xlfn.XLOOKUP(R5:AF5,增益!$A:$A,增益!$S:$S,0)))+$B$12+SUM(_xlfn.XLOOKUP(R5:AF5,增益!$A:$A,增益!$V:$V,0)))*IF(VLOOKUP($Q5,武学奇术!$A:$ZZ,23,FALSE)=1,0,1)-IF(VLOOKUP($Q5,武学奇术!$A:$ZZ,32,FALSE)=1,12%,0),0)</f>
        <v>0.0929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0.9036</v>
      </c>
      <c r="BO5" s="27">
        <f t="shared" si="10"/>
        <v>0.00350000000000006</v>
      </c>
      <c r="BP5" s="27">
        <f>IF(VLOOKUP($Q5,武学奇术!$A:$ZZ,22,FALSE)=1,0,(1-$BI5))*(1-$BL5)</f>
        <v>0</v>
      </c>
      <c r="BQ5" s="27" cm="1">
        <f t="array" ref="BQ5">SUM(_xlfn.XLOOKUP(R5:AF5,增益!$A:$A,增益!$W:$W,0))+$I$5</f>
        <v>0.11</v>
      </c>
    </row>
    <row r="6" spans="1:69">
      <c r="A6" s="58" t="s">
        <v>5</v>
      </c>
      <c r="B6" s="59"/>
      <c r="C6" s="59"/>
      <c r="D6" s="59"/>
      <c r="E6" s="60"/>
      <c r="F6" s="46" t="s">
        <v>96</v>
      </c>
      <c r="G6" s="50">
        <f>B19</f>
        <v>0</v>
      </c>
      <c r="K6" s="39">
        <f t="shared" si="0"/>
        <v>23163.9779419383</v>
      </c>
      <c r="L6" s="39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BK6*$P6*(1+IF(VLOOKUP($Q6,武学奇术!$A:$ZZ,30,FALSE)="蓄力技",$B$21,0))*(1+$BQ6)</f>
        <v>23254.6904717517</v>
      </c>
      <c r="M6" s="39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22599.8501272439</v>
      </c>
      <c r="N6" s="39">
        <f>((($AN6+($AO6-$AN6)*IF(VLOOKUP($Q6,武学奇术!$A:$ZZ,31,FALSE)=1,$F$18,0.5))*$AH6+$AI6)*(1+$AP6)*(1+$AQ6)+(($AS6+($AT6-$AS6)*IF(VLOOKUP($Q6,武学奇术!$A:$ZZ,31,FALSE)=1,$F$18,0.5))*IF($G$1="鸣金",$AJ6,$AH6)+IF($G$1="鸣金",$AK6*1.5,0))*(1+$AU6)*(1+$AV6)+(($AW6+($AX6-$AW6)*IF(VLOOKUP($Q6,武学奇术!$A:$ZZ,31,FALSE)=1,$F$18,0.5))*IF($G$1="裂石",$AJ6,$AH6)+IF($G$1="裂石",$AK6*1.5,0))*(1+$AY6)*(1+$AZ6)+(($BA6+($BB6-$BA6)*IF(VLOOKUP($Q6,武学奇术!$A:$ZZ,31,FALSE)=1,$F$18,0.5))*IF($G$1="牵丝",$AJ6,$AH6)+IF($G$1="牵丝",$AK6*1.5,0))*(1+$BC6)*(1+$BD6)+(($BE6+($BF6-$BE6)*IF(VLOOKUP($Q6,武学奇术!$A:$ZZ,31,FALSE)=1,$F$18,0.5))*IF($G$1="破竹",$AJ6,$AH6)+IF($G$1="破竹",$AK6*1.5,0))*(1+$BG6)*(1+$BH6))*(1+$AL6)*$P6*(1+IF(VLOOKUP($Q6,武学奇术!$A:$ZZ,30,FALSE)="蓄力技",$B$21,0))*(1+$BQ6)</f>
        <v>14718.1585264251</v>
      </c>
      <c r="O6" s="39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12695.6873289659</v>
      </c>
      <c r="P6" s="40">
        <v>1</v>
      </c>
      <c r="Q6" s="41" t="s">
        <v>71</v>
      </c>
      <c r="R6" s="41" t="s">
        <v>97</v>
      </c>
      <c r="S6" s="41" t="s">
        <v>73</v>
      </c>
      <c r="T6" s="41" t="s">
        <v>73</v>
      </c>
      <c r="U6" s="41" t="s">
        <v>74</v>
      </c>
      <c r="V6" s="41" t="s">
        <v>73</v>
      </c>
      <c r="W6" s="41" t="s">
        <v>73</v>
      </c>
      <c r="X6" s="41" t="s">
        <v>95</v>
      </c>
      <c r="Y6" s="41" t="s">
        <v>73</v>
      </c>
      <c r="Z6" s="41" t="s">
        <v>73</v>
      </c>
      <c r="AA6" s="41" t="s">
        <v>73</v>
      </c>
      <c r="AB6" s="41" t="s">
        <v>73</v>
      </c>
      <c r="AC6" s="41" t="s">
        <v>73</v>
      </c>
      <c r="AD6" s="41" t="s">
        <v>73</v>
      </c>
      <c r="AE6" s="41" t="s">
        <v>77</v>
      </c>
      <c r="AF6" s="41" t="s">
        <v>78</v>
      </c>
      <c r="AG6" t="str">
        <f>VLOOKUP($Q6,武学奇术!$A:$ZZ,25,FALSE)</f>
        <v>群体奇术</v>
      </c>
      <c r="AH6" s="27">
        <f>VLOOKUP($Q6,武学奇术!$A:$ZZ,26,FALSE)</f>
        <v>1.4904</v>
      </c>
      <c r="AI6" s="28">
        <f>VLOOKUP($Q6,武学奇术!$A:$ZZ,27,FALSE)*(1+IF(OR($AG6=$F$4,$AG6=$F$5),$B$22,0))</f>
        <v>378</v>
      </c>
      <c r="AJ6" s="27">
        <f>VLOOKUP($Q6,武学奇术!$A:$ZZ,28,FALSE)</f>
        <v>2.2356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0.1737</v>
      </c>
      <c r="AM6" s="27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3826.382</v>
      </c>
      <c r="AO6" cm="1">
        <f t="array" ref="AO6">$E$10*(1+$AM6)+VLOOKUP($Q6,武学奇术!$A:$ZZ,4,FALSE)+SUM(_xlfn.XLOOKUP($R6:$AF6,增益!$A:$A,增益!$D:$D,0))-$I$2</f>
        <v>3826.382</v>
      </c>
      <c r="AP6" s="33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0.217</v>
      </c>
      <c r="AQ6" s="33" cm="1">
        <f t="array" ref="AQ6">$G$10+VLOOKUP($Q6,武学奇术!$A:$ZZ,7,FALSE)+SUM(_xlfn.XLOOKUP(R6:AF6,增益!$A:$A,增益!$G:$G,0))</f>
        <v>0.09</v>
      </c>
      <c r="AR6" s="27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3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33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3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-0.3</v>
      </c>
      <c r="AZ6" s="33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33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-0.3</v>
      </c>
      <c r="BD6" s="33" cm="1">
        <f t="array" ref="BD6">$G$13+VLOOKUP($Q6,武学奇术!$A:$ZZ,14,FALSE)+SUM(_xlfn.XLOOKUP(R6:AF6,增益!$A:$A,增益!$N:$N,0))</f>
        <v>0</v>
      </c>
      <c r="BE6">
        <f t="shared" si="7"/>
        <v>605.472</v>
      </c>
      <c r="BF6">
        <f t="shared" si="8"/>
        <v>1725.468</v>
      </c>
      <c r="BG6" s="33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</v>
      </c>
      <c r="BH6" s="33" cm="1">
        <f t="array" ref="BH6">$G$14+VLOOKUP($Q6,武学奇术!$A:$ZZ,16,FALSE)+SUM(_xlfn.XLOOKUP(R6:AF6,增益!$A:$A,增益!$P:$P,0))</f>
        <v>0.24</v>
      </c>
      <c r="BI6" s="27">
        <f>MIN(IF(VLOOKUP($Q6,武学奇术!$A:$ZZ,23,FALSE)=1,100%,$B$8),100%)</f>
        <v>1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+MIN(IF(VLOOKUP($Q6,武学奇术!$A:$ZZ,32,FALSE)=1,IF(VLOOKUP($Q6,武学奇术!$A:$ZZ,24,FALSE)=1,100%,MIN(40%,$B$10+VLOOKUP($Q6,武学奇术!$A:$ZZ,19,FALSE)+SUM(_xlfn.XLOOKUP(R6:AF6,增益!$A:$A,增益!$S:$S,0)))+$B$12+SUM(_xlfn.XLOOKUP(R6:AF6,增益!$A:$A,增益!$V:$V,0))),0),12%)</f>
        <v>0.9036</v>
      </c>
      <c r="BK6" s="27" cm="1">
        <f t="array" ref="BK6">1+$B$13+VLOOKUP($Q6,武学奇术!$A:$ZZ,18,FALSE)+SUM(_xlfn.XLOOKUP(R6:AF6,增益!$A:$A,增益!$R:$R,0))</f>
        <v>1.58</v>
      </c>
      <c r="BL6" s="27" cm="1">
        <f t="array" ref="BL6">MAX(IF(VLOOKUP($Q6,武学奇术!$A:$ZZ,24,FALSE)=1,100%,MIN(40%,$B$10+VLOOKUP($Q6,武学奇术!$A:$ZZ,19,FALSE)+SUM(_xlfn.XLOOKUP(R6:AF6,增益!$A:$A,增益!$S:$S,0)))+$B$12+SUM(_xlfn.XLOOKUP(R6:AF6,增益!$A:$A,增益!$V:$V,0)))*IF(VLOOKUP($Q6,武学奇术!$A:$ZZ,23,FALSE)=1,0,1)-IF(VLOOKUP($Q6,武学奇术!$A:$ZZ,32,FALSE)=1,12%,0),0)</f>
        <v>0.0929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0.9036</v>
      </c>
      <c r="BO6" s="27">
        <f t="shared" si="10"/>
        <v>0.00350000000000006</v>
      </c>
      <c r="BP6" s="27">
        <f>IF(VLOOKUP($Q6,武学奇术!$A:$ZZ,22,FALSE)=1,0,(1-$BI6))*(1-$BL6)</f>
        <v>0</v>
      </c>
      <c r="BQ6" s="27" cm="1">
        <f t="array" ref="BQ6">SUM(_xlfn.XLOOKUP(R6:AF6,增益!$A:$A,增益!$W:$W,0))+$I$5</f>
        <v>0.11</v>
      </c>
    </row>
    <row r="7" ht="14.25" spans="1:69">
      <c r="A7" s="42" t="s">
        <v>98</v>
      </c>
      <c r="B7" s="61"/>
      <c r="C7" s="61"/>
      <c r="D7" s="62"/>
      <c r="E7" s="63"/>
      <c r="F7" s="54" t="s">
        <v>99</v>
      </c>
      <c r="G7" s="64">
        <f>B20</f>
        <v>0</v>
      </c>
      <c r="K7" s="39">
        <f t="shared" si="0"/>
        <v>20251.4164498441</v>
      </c>
      <c r="L7" s="39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BK7*$P7*(1+IF(VLOOKUP($Q7,武学奇术!$A:$ZZ,30,FALSE)="蓄力技",$B$21,0))*(1+$BQ7)</f>
        <v>20293.370726535</v>
      </c>
      <c r="M7" s="39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20109.8532211119</v>
      </c>
      <c r="N7" s="39">
        <f>((($AN7+($AO7-$AN7)*IF(VLOOKUP($Q7,武学奇术!$A:$ZZ,31,FALSE)=1,$F$18,0.5))*$AH7+$AI7)*(1+$AP7)*(1+$AQ7)+(($AS7+($AT7-$AS7)*IF(VLOOKUP($Q7,武学奇术!$A:$ZZ,31,FALSE)=1,$F$18,0.5))*IF($G$1="鸣金",$AJ7,$AH7)+IF($G$1="鸣金",$AK7*1.5,0))*(1+$AU7)*(1+$AV7)+(($AW7+($AX7-$AW7)*IF(VLOOKUP($Q7,武学奇术!$A:$ZZ,31,FALSE)=1,$F$18,0.5))*IF($G$1="裂石",$AJ7,$AH7)+IF($G$1="裂石",$AK7*1.5,0))*(1+$AY7)*(1+$AZ7)+(($BA7+($BB7-$BA7)*IF(VLOOKUP($Q7,武学奇术!$A:$ZZ,31,FALSE)=1,$F$18,0.5))*IF($G$1="牵丝",$AJ7,$AH7)+IF($G$1="牵丝",$AK7*1.5,0))*(1+$BC7)*(1+$BD7)+(($BE7+($BF7-$BE7)*IF(VLOOKUP($Q7,武学奇术!$A:$ZZ,31,FALSE)=1,$F$18,0.5))*IF($G$1="破竹",$AJ7,$AH7)+IF($G$1="破竹",$AK7*1.5,0))*(1+$BG7)*(1+$BH7))*(1+$AL7)*$P7*(1+IF(VLOOKUP($Q7,武学奇术!$A:$ZZ,30,FALSE)="蓄力技",$B$21,0))*(1+$BQ7)</f>
        <v>13177.513458789</v>
      </c>
      <c r="O7" s="39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11458.8393463839</v>
      </c>
      <c r="P7" s="40">
        <v>1</v>
      </c>
      <c r="Q7" s="41" t="s">
        <v>100</v>
      </c>
      <c r="R7" s="41" t="s">
        <v>73</v>
      </c>
      <c r="S7" s="41" t="s">
        <v>73</v>
      </c>
      <c r="T7" s="41" t="s">
        <v>73</v>
      </c>
      <c r="U7" s="41" t="s">
        <v>73</v>
      </c>
      <c r="V7" s="41" t="s">
        <v>73</v>
      </c>
      <c r="W7" s="41" t="s">
        <v>73</v>
      </c>
      <c r="X7" s="41" t="s">
        <v>73</v>
      </c>
      <c r="Y7" s="41" t="s">
        <v>73</v>
      </c>
      <c r="Z7" s="41" t="s">
        <v>73</v>
      </c>
      <c r="AA7" s="41" t="s">
        <v>73</v>
      </c>
      <c r="AB7" s="41" t="s">
        <v>73</v>
      </c>
      <c r="AC7" s="41" t="s">
        <v>73</v>
      </c>
      <c r="AD7" s="41" t="s">
        <v>73</v>
      </c>
      <c r="AE7" s="41" t="s">
        <v>77</v>
      </c>
      <c r="AF7" s="41" t="s">
        <v>78</v>
      </c>
      <c r="AG7" t="str">
        <f>VLOOKUP($Q7,武学奇术!$A:$ZZ,25,FALSE)</f>
        <v>绳镖</v>
      </c>
      <c r="AH7" s="27">
        <f>VLOOKUP($Q7,武学奇术!$A:$ZZ,26,FALSE)</f>
        <v>1.2503</v>
      </c>
      <c r="AI7" s="28">
        <f>VLOOKUP($Q7,武学奇术!$A:$ZZ,27,FALSE)*(1+IF(OR($AG7=$F$4,$AG7=$F$5),$B$22,0))</f>
        <v>520.5</v>
      </c>
      <c r="AJ7" s="27">
        <f>VLOOKUP($Q7,武学奇术!$A:$ZZ,28,FALSE)</f>
        <v>1.8755</v>
      </c>
      <c r="AK7" s="28">
        <f>VLOOKUP($Q7,武学奇术!$A:$ZZ,29,FALSE)*(1+IF(OR($AG7=$F$4,$AG7=$F$5),$B$22,0))</f>
        <v>283.5</v>
      </c>
      <c r="AL7" s="27" cm="1">
        <f t="array" ref="AL7">$G$3+IFERROR(VLOOKUP($AG7,$F$4:$G$7,2,FALSE),0)+VLOOKUP($Q7,武学奇术!$A:$ZZ,2,FALSE)+SUM(_xlfn.XLOOKUP($R7:$AF7,增益!$A:$A,增益!$B:$B,0))</f>
        <v>0.1889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3826.382</v>
      </c>
      <c r="AO7" cm="1">
        <f t="array" ref="AO7">$E$10*(1+$AM7)+VLOOKUP($Q7,武学奇术!$A:$ZZ,4,FALSE)+SUM(_xlfn.XLOOKUP($R7:$AF7,增益!$A:$A,增益!$D:$D,0))-$I$2</f>
        <v>3826.382</v>
      </c>
      <c r="AP7" s="33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0.167</v>
      </c>
      <c r="AQ7" s="33" cm="1">
        <f t="array" ref="AQ7">$G$10+VLOOKUP($Q7,武学奇术!$A:$ZZ,7,FALSE)+SUM(_xlfn.XLOOKUP(R7:AF7,增益!$A:$A,增益!$G:$G,0))</f>
        <v>0.09</v>
      </c>
      <c r="AR7" s="27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3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3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3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3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33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3" cm="1">
        <f t="array" ref="BD7">$G$13+VLOOKUP($Q7,武学奇术!$A:$ZZ,14,FALSE)+SUM(_xlfn.XLOOKUP(R7:AF7,增益!$A:$A,增益!$N:$N,0))</f>
        <v>0</v>
      </c>
      <c r="BE7">
        <f t="shared" si="7"/>
        <v>605.472</v>
      </c>
      <c r="BF7">
        <f t="shared" si="8"/>
        <v>1725.468</v>
      </c>
      <c r="BG7" s="33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</v>
      </c>
      <c r="BH7" s="33" cm="1">
        <f t="array" ref="BH7">$G$14+VLOOKUP($Q7,武学奇术!$A:$ZZ,16,FALSE)+SUM(_xlfn.XLOOKUP(R7:AF7,增益!$A:$A,增益!$P:$P,0))</f>
        <v>0.24</v>
      </c>
      <c r="BI7" s="27">
        <f>MIN(IF(VLOOKUP($Q7,武学奇术!$A:$ZZ,23,FALSE)=1,100%,$B$8),100%)</f>
        <v>1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+MIN(IF(VLOOKUP($Q7,武学奇术!$A:$ZZ,32,FALSE)=1,IF(VLOOKUP($Q7,武学奇术!$A:$ZZ,24,FALSE)=1,100%,MIN(40%,$B$10+VLOOKUP($Q7,武学奇术!$A:$ZZ,19,FALSE)+SUM(_xlfn.XLOOKUP(R7:AF7,增益!$A:$A,增益!$S:$S,0)))+$B$12+SUM(_xlfn.XLOOKUP(R7:AF7,增益!$A:$A,增益!$V:$V,0))),0),12%)</f>
        <v>0.9036</v>
      </c>
      <c r="BK7" s="27" cm="1">
        <f t="array" ref="BK7">1+$B$13+VLOOKUP($Q7,武学奇术!$A:$ZZ,18,FALSE)+SUM(_xlfn.XLOOKUP(R7:AF7,增益!$A:$A,增益!$R:$R,0))</f>
        <v>1.54</v>
      </c>
      <c r="BL7" s="27" cm="1">
        <f t="array" ref="BL7">MAX(IF(VLOOKUP($Q7,武学奇术!$A:$ZZ,24,FALSE)=1,100%,MIN(40%,$B$10+VLOOKUP($Q7,武学奇术!$A:$ZZ,19,FALSE)+SUM(_xlfn.XLOOKUP(R7:AF7,增益!$A:$A,增益!$S:$S,0)))+$B$12+SUM(_xlfn.XLOOKUP(R7:AF7,增益!$A:$A,增益!$V:$V,0)))*IF(VLOOKUP($Q7,武学奇术!$A:$ZZ,23,FALSE)=1,0,1)-IF(VLOOKUP($Q7,武学奇术!$A:$ZZ,32,FALSE)=1,12%,0),0)</f>
        <v>0.0929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0.9036</v>
      </c>
      <c r="BO7" s="27">
        <f t="shared" si="10"/>
        <v>0.00350000000000006</v>
      </c>
      <c r="BP7" s="27">
        <f>IF(VLOOKUP($Q7,武学奇术!$A:$ZZ,22,FALSE)=1,0,(1-$BI7))*(1-$BL7)</f>
        <v>0</v>
      </c>
      <c r="BQ7" s="27" cm="1">
        <f t="array" ref="BQ7">SUM(_xlfn.XLOOKUP(R7:AF7,增益!$A:$A,增益!$W:$W,0))+$I$5</f>
        <v>0.11</v>
      </c>
    </row>
    <row r="8" spans="1:69">
      <c r="A8" s="65" t="s">
        <v>101</v>
      </c>
      <c r="B8" s="66">
        <f>期望!B8</f>
        <v>1.0063</v>
      </c>
      <c r="C8" s="67" t="s">
        <v>102</v>
      </c>
      <c r="D8" s="67"/>
      <c r="E8" s="67"/>
      <c r="F8" s="67"/>
      <c r="G8" s="38"/>
      <c r="H8" s="68" t="s">
        <v>103</v>
      </c>
      <c r="I8" s="19">
        <f>期望!I8</f>
        <v>100.8</v>
      </c>
      <c r="J8" s="69"/>
      <c r="K8" s="39">
        <f t="shared" si="0"/>
        <v>48366.9481781824</v>
      </c>
      <c r="L8" s="39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BK8*$P8*(1+IF(VLOOKUP($Q8,武学奇术!$A:$ZZ,30,FALSE)="蓄力技",$B$21,0))*(1+$BQ8)</f>
        <v>49188.7854323179</v>
      </c>
      <c r="M8" s="39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41193.7760732884</v>
      </c>
      <c r="N8" s="39">
        <f>((($AN8+($AO8-$AN8)*IF(VLOOKUP($Q8,武学奇术!$A:$ZZ,31,FALSE)=1,$F$18,0.5))*$AH8+$AI8)*(1+$AP8)*(1+$AQ8)+(($AS8+($AT8-$AS8)*IF(VLOOKUP($Q8,武学奇术!$A:$ZZ,31,FALSE)=1,$F$18,0.5))*IF($G$1="鸣金",$AJ8,$AH8)+IF($G$1="鸣金",$AK8*1.5,0))*(1+$AU8)*(1+$AV8)+(($AW8+($AX8-$AW8)*IF(VLOOKUP($Q8,武学奇术!$A:$ZZ,31,FALSE)=1,$F$18,0.5))*IF($G$1="裂石",$AJ8,$AH8)+IF($G$1="裂石",$AK8*1.5,0))*(1+$AY8)*(1+$AZ8)+(($BA8+($BB8-$BA8)*IF(VLOOKUP($Q8,武学奇术!$A:$ZZ,31,FALSE)=1,$F$18,0.5))*IF($G$1="牵丝",$AJ8,$AH8)+IF($G$1="牵丝",$AK8*1.5,0))*(1+$BC8)*(1+$BD8)+(($BE8+($BF8-$BE8)*IF(VLOOKUP($Q8,武学奇术!$A:$ZZ,31,FALSE)=1,$F$18,0.5))*IF($G$1="破竹",$AJ8,$AH8)+IF($G$1="破竹",$AK8*1.5,0))*(1+$BG8)*(1+$BH8))*(1+$AL8)*$P8*(1+IF(VLOOKUP($Q8,武学奇术!$A:$ZZ,30,FALSE)="蓄力技",$B$21,0))*(1+$BQ8)</f>
        <v>26588.5326661178</v>
      </c>
      <c r="O8" s="39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22663.1571297997</v>
      </c>
      <c r="P8" s="40">
        <v>1</v>
      </c>
      <c r="Q8" s="41" t="s">
        <v>104</v>
      </c>
      <c r="R8" s="41" t="s">
        <v>72</v>
      </c>
      <c r="S8" s="41" t="s">
        <v>73</v>
      </c>
      <c r="T8" s="41" t="s">
        <v>73</v>
      </c>
      <c r="U8" s="41" t="s">
        <v>73</v>
      </c>
      <c r="V8" s="41" t="s">
        <v>73</v>
      </c>
      <c r="W8" s="41" t="s">
        <v>73</v>
      </c>
      <c r="X8" s="41" t="s">
        <v>75</v>
      </c>
      <c r="Y8" s="41" t="s">
        <v>73</v>
      </c>
      <c r="Z8" s="41" t="s">
        <v>105</v>
      </c>
      <c r="AA8" s="41" t="s">
        <v>73</v>
      </c>
      <c r="AB8" s="41" t="s">
        <v>73</v>
      </c>
      <c r="AC8" s="41" t="s">
        <v>73</v>
      </c>
      <c r="AD8" s="41" t="s">
        <v>73</v>
      </c>
      <c r="AE8" s="41" t="s">
        <v>77</v>
      </c>
      <c r="AF8" s="41" t="s">
        <v>78</v>
      </c>
      <c r="AG8" t="str">
        <f>VLOOKUP($Q8,武学奇术!$A:$ZZ,25,FALSE)</f>
        <v>绳镖</v>
      </c>
      <c r="AH8" s="27">
        <f>VLOOKUP($Q8,武学奇术!$A:$ZZ,26,FALSE)</f>
        <v>2.19912</v>
      </c>
      <c r="AI8" s="28">
        <f>VLOOKUP($Q8,武学奇术!$A:$ZZ,27,FALSE)*(1+IF(OR($AG8=$F$4,$AG8=$F$5),$B$22,0))</f>
        <v>0</v>
      </c>
      <c r="AJ8" s="27">
        <f>VLOOKUP($Q8,武学奇术!$A:$ZZ,28,FALSE)</f>
        <v>3.29868</v>
      </c>
      <c r="AK8" s="28">
        <f>VLOOKUP($Q8,武学奇术!$A:$ZZ,29,FALSE)*(1+IF(OR($AG8=$F$4,$AG8=$F$5),$B$22,0))</f>
        <v>0</v>
      </c>
      <c r="AL8" s="27" cm="1">
        <f t="array" ref="AL8">$G$3+IFERROR(VLOOKUP($AG8,$F$4:$G$7,2,FALSE),0)+VLOOKUP($Q8,武学奇术!$A:$ZZ,2,FALSE)+SUM(_xlfn.XLOOKUP($R8:$AF8,增益!$A:$A,增益!$B:$B,0))</f>
        <v>0.4989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3826.382</v>
      </c>
      <c r="AO8" cm="1">
        <f t="array" ref="AO8">$E$10*(1+$AM8)+VLOOKUP($Q8,武学奇术!$A:$ZZ,4,FALSE)+SUM(_xlfn.XLOOKUP($R8:$AF8,增益!$A:$A,增益!$D:$D,0))-$I$2</f>
        <v>3826.382</v>
      </c>
      <c r="AP8" s="33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0.207</v>
      </c>
      <c r="AQ8" s="33" cm="1">
        <f t="array" ref="AQ8">$G$10+VLOOKUP($Q8,武学奇术!$A:$ZZ,7,FALSE)+SUM(_xlfn.XLOOKUP(R8:AF8,增益!$A:$A,增益!$G:$G,0))</f>
        <v>0.09</v>
      </c>
      <c r="AR8" s="27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3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33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3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-0.24</v>
      </c>
      <c r="AZ8" s="33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33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33" cm="1">
        <f t="array" ref="BD8">$G$13+VLOOKUP($Q8,武学奇术!$A:$ZZ,14,FALSE)+SUM(_xlfn.XLOOKUP(R8:AF8,增益!$A:$A,增益!$N:$N,0))</f>
        <v>0</v>
      </c>
      <c r="BE8">
        <f t="shared" si="7"/>
        <v>605.472</v>
      </c>
      <c r="BF8">
        <f t="shared" si="8"/>
        <v>1725.468</v>
      </c>
      <c r="BG8" s="33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0.03</v>
      </c>
      <c r="BH8" s="33" cm="1">
        <f t="array" ref="BH8">$G$14+VLOOKUP($Q8,武学奇术!$A:$ZZ,16,FALSE)+SUM(_xlfn.XLOOKUP(R8:AF8,增益!$A:$A,增益!$P:$P,0))</f>
        <v>0.24</v>
      </c>
      <c r="BI8" s="27">
        <f>MIN(IF(VLOOKUP($Q8,武学奇术!$A:$ZZ,23,FALSE)=1,100%,$B$8),100%)</f>
        <v>1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+MIN(IF(VLOOKUP($Q8,武学奇术!$A:$ZZ,32,FALSE)=1,IF(VLOOKUP($Q8,武学奇术!$A:$ZZ,24,FALSE)=1,100%,MIN(40%,$B$10+VLOOKUP($Q8,武学奇术!$A:$ZZ,19,FALSE)+SUM(_xlfn.XLOOKUP(R8:AF8,增益!$A:$A,增益!$S:$S,0)))+$B$12+SUM(_xlfn.XLOOKUP(R8:AF8,增益!$A:$A,增益!$V:$V,0))),0),12%)</f>
        <v>0.9036</v>
      </c>
      <c r="BK8" s="27" cm="1">
        <f t="array" ref="BK8">1+$B$13+VLOOKUP($Q8,武学奇术!$A:$ZZ,18,FALSE)+SUM(_xlfn.XLOOKUP(R8:AF8,增益!$A:$A,增益!$R:$R,0))</f>
        <v>1.85</v>
      </c>
      <c r="BL8" s="27" cm="1">
        <f t="array" ref="BL8">MAX(IF(VLOOKUP($Q8,武学奇术!$A:$ZZ,24,FALSE)=1,100%,MIN(40%,$B$10+VLOOKUP($Q8,武学奇术!$A:$ZZ,19,FALSE)+SUM(_xlfn.XLOOKUP(R8:AF8,增益!$A:$A,增益!$S:$S,0)))+$B$12+SUM(_xlfn.XLOOKUP(R8:AF8,增益!$A:$A,增益!$V:$V,0)))*IF(VLOOKUP($Q8,武学奇术!$A:$ZZ,23,FALSE)=1,0,1)-IF(VLOOKUP($Q8,武学奇术!$A:$ZZ,32,FALSE)=1,12%,0),0)</f>
        <v>0.0929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0.9036</v>
      </c>
      <c r="BO8" s="27">
        <f t="shared" si="10"/>
        <v>0.00350000000000006</v>
      </c>
      <c r="BP8" s="27">
        <f>IF(VLOOKUP($Q8,武学奇术!$A:$ZZ,22,FALSE)=1,0,(1-$BI8))*(1-$BL8)</f>
        <v>0</v>
      </c>
      <c r="BQ8" s="27" cm="1">
        <f t="array" ref="BQ8">SUM(_xlfn.XLOOKUP(R8:AF8,增益!$A:$A,增益!$W:$W,0))+$I$5</f>
        <v>0.11</v>
      </c>
    </row>
    <row r="9" ht="14.25" spans="1:69">
      <c r="A9" s="42" t="s">
        <v>106</v>
      </c>
      <c r="B9" s="70">
        <f>期望!B9</f>
        <v>0.7706</v>
      </c>
      <c r="C9" s="12"/>
      <c r="D9" t="s">
        <v>0</v>
      </c>
      <c r="E9" t="s">
        <v>1</v>
      </c>
      <c r="F9" s="40" t="s">
        <v>2</v>
      </c>
      <c r="G9" s="45" t="s">
        <v>3</v>
      </c>
      <c r="H9" s="71"/>
      <c r="I9" s="22"/>
      <c r="J9" s="72"/>
      <c r="K9" s="39">
        <f t="shared" si="0"/>
        <v>8215.24603175958</v>
      </c>
      <c r="L9" s="39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BK9*$P9*(1+IF(VLOOKUP($Q9,武学奇术!$A:$ZZ,30,FALSE)="蓄力技",$B$21,0))*(1+$BQ9)</f>
        <v>8237.73102522899</v>
      </c>
      <c r="M9" s="39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8105.82291971135</v>
      </c>
      <c r="N9" s="39">
        <f>((($AN9+($AO9-$AN9)*IF(VLOOKUP($Q9,武学奇术!$A:$ZZ,31,FALSE)=1,$F$18,0.5))*$AH9+$AI9)*(1+$AP9)*(1+$AQ9)+(($AS9+($AT9-$AS9)*IF(VLOOKUP($Q9,武学奇术!$A:$ZZ,31,FALSE)=1,$F$18,0.5))*IF($G$1="鸣金",$AJ9,$AH9)+IF($G$1="鸣金",$AK9*1.5,0))*(1+$AU9)*(1+$AV9)+(($AW9+($AX9-$AW9)*IF(VLOOKUP($Q9,武学奇术!$A:$ZZ,31,FALSE)=1,$F$18,0.5))*IF($G$1="裂石",$AJ9,$AH9)+IF($G$1="裂石",$AK9*1.5,0))*(1+$AY9)*(1+$AZ9)+(($BA9+($BB9-$BA9)*IF(VLOOKUP($Q9,武学奇术!$A:$ZZ,31,FALSE)=1,$F$18,0.5))*IF($G$1="牵丝",$AJ9,$AH9)+IF($G$1="牵丝",$AK9*1.5,0))*(1+$BC9)*(1+$BD9)+(($BE9+($BF9-$BE9)*IF(VLOOKUP($Q9,武学奇术!$A:$ZZ,31,FALSE)=1,$F$18,0.5))*IF($G$1="破竹",$AJ9,$AH9)+IF($G$1="破竹",$AK9*1.5,0))*(1+$BG9)*(1+$BH9))*(1+$AL9)*$P9*(1+IF(VLOOKUP($Q9,武学奇术!$A:$ZZ,30,FALSE)="蓄力技",$B$21,0))*(1+$BQ9)</f>
        <v>5314.66517756709</v>
      </c>
      <c r="O9" s="39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4625.01708127392</v>
      </c>
      <c r="P9" s="40">
        <v>1</v>
      </c>
      <c r="Q9" s="41" t="s">
        <v>107</v>
      </c>
      <c r="R9" s="41" t="s">
        <v>72</v>
      </c>
      <c r="S9" s="41" t="s">
        <v>73</v>
      </c>
      <c r="T9" s="41" t="s">
        <v>73</v>
      </c>
      <c r="U9" s="41" t="s">
        <v>73</v>
      </c>
      <c r="V9" s="41" t="s">
        <v>73</v>
      </c>
      <c r="W9" s="41" t="s">
        <v>73</v>
      </c>
      <c r="X9" s="41" t="s">
        <v>75</v>
      </c>
      <c r="Y9" s="41" t="s">
        <v>73</v>
      </c>
      <c r="Z9" s="41" t="s">
        <v>73</v>
      </c>
      <c r="AA9" s="41" t="s">
        <v>73</v>
      </c>
      <c r="AB9" s="41" t="s">
        <v>73</v>
      </c>
      <c r="AC9" s="41" t="s">
        <v>73</v>
      </c>
      <c r="AD9" s="41" t="s">
        <v>73</v>
      </c>
      <c r="AE9" s="41" t="s">
        <v>77</v>
      </c>
      <c r="AF9" s="41" t="s">
        <v>78</v>
      </c>
      <c r="AG9" t="str">
        <f>VLOOKUP($Q9,武学奇术!$A:$ZZ,25,FALSE)</f>
        <v>绳镖</v>
      </c>
      <c r="AH9" s="27">
        <f>VLOOKUP($Q9,武学奇术!$A:$ZZ,26,FALSE)</f>
        <v>0.4975</v>
      </c>
      <c r="AI9" s="28">
        <f>VLOOKUP($Q9,武学奇术!$A:$ZZ,27,FALSE)*(1+IF(OR($AG9=$F$4,$AG9=$F$5),$B$22,0))</f>
        <v>205.5</v>
      </c>
      <c r="AJ9" s="27">
        <f>VLOOKUP($Q9,武学奇术!$A:$ZZ,28,FALSE)</f>
        <v>0.7463</v>
      </c>
      <c r="AK9" s="28">
        <f>VLOOKUP($Q9,武学奇术!$A:$ZZ,29,FALSE)*(1+IF(OR($AG9=$F$4,$AG9=$F$5),$B$22,0))</f>
        <v>112.5</v>
      </c>
      <c r="AL9" s="27" cm="1">
        <f t="array" ref="AL9">$G$3+IFERROR(VLOOKUP($AG9,$F$4:$G$7,2,FALSE),0)+VLOOKUP($Q9,武学奇术!$A:$ZZ,2,FALSE)+SUM(_xlfn.XLOOKUP($R9:$AF9,增益!$A:$A,增益!$B:$B,0))</f>
        <v>0.1989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3826.382</v>
      </c>
      <c r="AO9" cm="1">
        <f t="array" ref="AO9">$E$10*(1+$AM9)+VLOOKUP($Q9,武学奇术!$A:$ZZ,4,FALSE)+SUM(_xlfn.XLOOKUP($R9:$AF9,增益!$A:$A,增益!$D:$D,0))-$I$2</f>
        <v>3826.382</v>
      </c>
      <c r="AP9" s="33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0.177</v>
      </c>
      <c r="AQ9" s="33" cm="1">
        <f t="array" ref="AQ9">$G$10+VLOOKUP($Q9,武学奇术!$A:$ZZ,7,FALSE)+SUM(_xlfn.XLOOKUP(R9:AF9,增益!$A:$A,增益!$G:$G,0))</f>
        <v>0.09</v>
      </c>
      <c r="AR9" s="27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3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33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3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-0.3</v>
      </c>
      <c r="AZ9" s="33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33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-0.3</v>
      </c>
      <c r="BD9" s="33" cm="1">
        <f t="array" ref="BD9">$G$13+VLOOKUP($Q9,武学奇术!$A:$ZZ,14,FALSE)+SUM(_xlfn.XLOOKUP(R9:AF9,增益!$A:$A,增益!$N:$N,0))</f>
        <v>0</v>
      </c>
      <c r="BE9">
        <f t="shared" si="7"/>
        <v>605.472</v>
      </c>
      <c r="BF9">
        <f t="shared" si="8"/>
        <v>1725.468</v>
      </c>
      <c r="BG9" s="33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</v>
      </c>
      <c r="BH9" s="33" cm="1">
        <f t="array" ref="BH9">$G$14+VLOOKUP($Q9,武学奇术!$A:$ZZ,16,FALSE)+SUM(_xlfn.XLOOKUP(R9:AF9,增益!$A:$A,增益!$P:$P,0))</f>
        <v>0.24</v>
      </c>
      <c r="BI9" s="27">
        <f>MIN(IF(VLOOKUP($Q9,武学奇术!$A:$ZZ,23,FALSE)=1,100%,$B$8),100%)</f>
        <v>1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+MIN(IF(VLOOKUP($Q9,武学奇术!$A:$ZZ,32,FALSE)=1,IF(VLOOKUP($Q9,武学奇术!$A:$ZZ,24,FALSE)=1,100%,MIN(40%,$B$10+VLOOKUP($Q9,武学奇术!$A:$ZZ,19,FALSE)+SUM(_xlfn.XLOOKUP(R9:AF9,增益!$A:$A,增益!$S:$S,0)))+$B$12+SUM(_xlfn.XLOOKUP(R9:AF9,增益!$A:$A,增益!$V:$V,0))),0),12%)</f>
        <v>0.9036</v>
      </c>
      <c r="BK9" s="27" cm="1">
        <f t="array" ref="BK9">1+$B$13+VLOOKUP($Q9,武学奇术!$A:$ZZ,18,FALSE)+SUM(_xlfn.XLOOKUP(R9:AF9,增益!$A:$A,增益!$R:$R,0))</f>
        <v>1.55</v>
      </c>
      <c r="BL9" s="27" cm="1">
        <f t="array" ref="BL9">MAX(IF(VLOOKUP($Q9,武学奇术!$A:$ZZ,24,FALSE)=1,100%,MIN(40%,$B$10+VLOOKUP($Q9,武学奇术!$A:$ZZ,19,FALSE)+SUM(_xlfn.XLOOKUP(R9:AF9,增益!$A:$A,增益!$S:$S,0)))+$B$12+SUM(_xlfn.XLOOKUP(R9:AF9,增益!$A:$A,增益!$V:$V,0)))*IF(VLOOKUP($Q9,武学奇术!$A:$ZZ,23,FALSE)=1,0,1)-IF(VLOOKUP($Q9,武学奇术!$A:$ZZ,32,FALSE)=1,12%,0),0)</f>
        <v>0.0929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0.9036</v>
      </c>
      <c r="BO9" s="27">
        <f t="shared" si="10"/>
        <v>0.00350000000000006</v>
      </c>
      <c r="BP9" s="27">
        <f>IF(VLOOKUP($Q9,武学奇术!$A:$ZZ,22,FALSE)=1,0,(1-$BI9))*(1-$BL9)</f>
        <v>0</v>
      </c>
      <c r="BQ9" s="27" cm="1">
        <f t="array" ref="BQ9">SUM(_xlfn.XLOOKUP(R9:AF9,增益!$A:$A,增益!$W:$W,0))+$I$5</f>
        <v>0.11</v>
      </c>
    </row>
    <row r="10" spans="1:69">
      <c r="A10" s="42" t="s">
        <v>108</v>
      </c>
      <c r="B10" s="70">
        <f>期望!B10</f>
        <v>0.0929</v>
      </c>
      <c r="C10" s="12" t="s">
        <v>67</v>
      </c>
      <c r="D10" s="28">
        <f>期望!D10</f>
        <v>4446.382</v>
      </c>
      <c r="E10" s="28">
        <f>期望!E10</f>
        <v>4446.382</v>
      </c>
      <c r="F10" s="28">
        <f>期望!F10</f>
        <v>58.4</v>
      </c>
      <c r="G10" s="50">
        <f>期望!G10</f>
        <v>0</v>
      </c>
      <c r="H10" s="68" t="s">
        <v>109</v>
      </c>
      <c r="I10" s="73">
        <f>SUM(K:K)</f>
        <v>12396101.6092035</v>
      </c>
      <c r="J10" s="74"/>
      <c r="K10" s="39">
        <f t="shared" si="0"/>
        <v>58040.3378138188</v>
      </c>
      <c r="L10" s="39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BK10*$P10*(1+IF(VLOOKUP($Q10,武学奇术!$A:$ZZ,30,FALSE)="蓄力技",$B$21,0))*(1+$BQ10)</f>
        <v>59026.5425187815</v>
      </c>
      <c r="M10" s="39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49432.5312879461</v>
      </c>
      <c r="N10" s="39">
        <f>((($AN10+($AO10-$AN10)*IF(VLOOKUP($Q10,武学奇术!$A:$ZZ,31,FALSE)=1,$F$18,0.5))*$AH10+$AI10)*(1+$AP10)*(1+$AQ10)+(($AS10+($AT10-$AS10)*IF(VLOOKUP($Q10,武学奇术!$A:$ZZ,31,FALSE)=1,$F$18,0.5))*IF($G$1="鸣金",$AJ10,$AH10)+IF($G$1="鸣金",$AK10*1.5,0))*(1+$AU10)*(1+$AV10)+(($AW10+($AX10-$AW10)*IF(VLOOKUP($Q10,武学奇术!$A:$ZZ,31,FALSE)=1,$F$18,0.5))*IF($G$1="裂石",$AJ10,$AH10)+IF($G$1="裂石",$AK10*1.5,0))*(1+$AY10)*(1+$AZ10)+(($BA10+($BB10-$BA10)*IF(VLOOKUP($Q10,武学奇术!$A:$ZZ,31,FALSE)=1,$F$18,0.5))*IF($G$1="牵丝",$AJ10,$AH10)+IF($G$1="牵丝",$AK10*1.5,0))*(1+$BC10)*(1+$BD10)+(($BE10+($BF10-$BE10)*IF(VLOOKUP($Q10,武学奇术!$A:$ZZ,31,FALSE)=1,$F$18,0.5))*IF($G$1="破竹",$AJ10,$AH10)+IF($G$1="破竹",$AK10*1.5,0))*(1+$BG10)*(1+$BH10))*(1+$AL10)*$P10*(1+IF(VLOOKUP($Q10,武学奇术!$A:$ZZ,30,FALSE)="蓄力技",$B$21,0))*(1+$BQ10)</f>
        <v>31906.2391993413</v>
      </c>
      <c r="O10" s="39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27195.7885557596</v>
      </c>
      <c r="P10" s="40">
        <v>1</v>
      </c>
      <c r="Q10" s="41" t="s">
        <v>110</v>
      </c>
      <c r="R10" s="41" t="s">
        <v>72</v>
      </c>
      <c r="S10" s="41" t="s">
        <v>73</v>
      </c>
      <c r="T10" s="41" t="s">
        <v>73</v>
      </c>
      <c r="U10" s="41" t="s">
        <v>73</v>
      </c>
      <c r="V10" s="41" t="s">
        <v>73</v>
      </c>
      <c r="W10" s="41" t="s">
        <v>73</v>
      </c>
      <c r="X10" s="41" t="s">
        <v>75</v>
      </c>
      <c r="Y10" s="41" t="s">
        <v>73</v>
      </c>
      <c r="Z10" s="41" t="s">
        <v>105</v>
      </c>
      <c r="AA10" s="41" t="s">
        <v>73</v>
      </c>
      <c r="AB10" s="41" t="s">
        <v>73</v>
      </c>
      <c r="AC10" s="41" t="s">
        <v>73</v>
      </c>
      <c r="AD10" s="41" t="s">
        <v>73</v>
      </c>
      <c r="AE10" s="41" t="s">
        <v>77</v>
      </c>
      <c r="AF10" s="41" t="s">
        <v>78</v>
      </c>
      <c r="AG10" t="str">
        <f>VLOOKUP($Q10,武学奇术!$A:$ZZ,25,FALSE)</f>
        <v>绳镖</v>
      </c>
      <c r="AH10" s="27">
        <f>VLOOKUP($Q10,武学奇术!$A:$ZZ,26,FALSE)</f>
        <v>2.638944</v>
      </c>
      <c r="AI10" s="28">
        <f>VLOOKUP($Q10,武学奇术!$A:$ZZ,27,FALSE)*(1+IF(OR($AG10=$F$4,$AG10=$F$5),$B$22,0))</f>
        <v>0</v>
      </c>
      <c r="AJ10" s="27">
        <f>VLOOKUP($Q10,武学奇术!$A:$ZZ,28,FALSE)</f>
        <v>3.958416</v>
      </c>
      <c r="AK10" s="28">
        <f>VLOOKUP($Q10,武学奇术!$A:$ZZ,29,FALSE)*(1+IF(OR($AG10=$F$4,$AG10=$F$5),$B$22,0))</f>
        <v>0</v>
      </c>
      <c r="AL10" s="27" cm="1">
        <f t="array" ref="AL10">$G$3+IFERROR(VLOOKUP($AG10,$F$4:$G$7,2,FALSE),0)+VLOOKUP($Q10,武学奇术!$A:$ZZ,2,FALSE)+SUM(_xlfn.XLOOKUP($R10:$AF10,增益!$A:$A,增益!$B:$B,0))</f>
        <v>0.4989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3826.382</v>
      </c>
      <c r="AO10" cm="1">
        <f t="array" ref="AO10">$E$10*(1+$AM10)+VLOOKUP($Q10,武学奇术!$A:$ZZ,4,FALSE)+SUM(_xlfn.XLOOKUP($R10:$AF10,增益!$A:$A,增益!$D:$D,0))-$I$2</f>
        <v>3826.382</v>
      </c>
      <c r="AP10" s="33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0.207</v>
      </c>
      <c r="AQ10" s="33" cm="1">
        <f t="array" ref="AQ10">$G$10+VLOOKUP($Q10,武学奇术!$A:$ZZ,7,FALSE)+SUM(_xlfn.XLOOKUP(R10:AF10,增益!$A:$A,增益!$G:$G,0))</f>
        <v>0.09</v>
      </c>
      <c r="AR10" s="27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3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-0.24</v>
      </c>
      <c r="AV10" s="33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3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-0.24</v>
      </c>
      <c r="AZ10" s="33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33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-0.24</v>
      </c>
      <c r="BD10" s="33" cm="1">
        <f t="array" ref="BD10">$G$13+VLOOKUP($Q10,武学奇术!$A:$ZZ,14,FALSE)+SUM(_xlfn.XLOOKUP(R10:AF10,增益!$A:$A,增益!$N:$N,0))</f>
        <v>0</v>
      </c>
      <c r="BE10">
        <f t="shared" si="7"/>
        <v>605.472</v>
      </c>
      <c r="BF10">
        <f t="shared" si="8"/>
        <v>1725.468</v>
      </c>
      <c r="BG10" s="33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0.03</v>
      </c>
      <c r="BH10" s="33" cm="1">
        <f t="array" ref="BH10">$G$14+VLOOKUP($Q10,武学奇术!$A:$ZZ,16,FALSE)+SUM(_xlfn.XLOOKUP(R10:AF10,增益!$A:$A,增益!$P:$P,0))</f>
        <v>0.24</v>
      </c>
      <c r="BI10" s="27">
        <f>MIN(IF(VLOOKUP($Q10,武学奇术!$A:$ZZ,23,FALSE)=1,100%,$B$8),100%)</f>
        <v>1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+MIN(IF(VLOOKUP($Q10,武学奇术!$A:$ZZ,32,FALSE)=1,IF(VLOOKUP($Q10,武学奇术!$A:$ZZ,24,FALSE)=1,100%,MIN(40%,$B$10+VLOOKUP($Q10,武学奇术!$A:$ZZ,19,FALSE)+SUM(_xlfn.XLOOKUP(R10:AF10,增益!$A:$A,增益!$S:$S,0)))+$B$12+SUM(_xlfn.XLOOKUP(R10:AF10,增益!$A:$A,增益!$V:$V,0))),0),12%)</f>
        <v>0.9036</v>
      </c>
      <c r="BK10" s="27" cm="1">
        <f t="array" ref="BK10">1+$B$13+VLOOKUP($Q10,武学奇术!$A:$ZZ,18,FALSE)+SUM(_xlfn.XLOOKUP(R10:AF10,增益!$A:$A,增益!$R:$R,0))</f>
        <v>1.85</v>
      </c>
      <c r="BL10" s="27" cm="1">
        <f t="array" ref="BL10">MAX(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-IF(VLOOKUP($Q10,武学奇术!$A:$ZZ,32,FALSE)=1,12%,0),0)</f>
        <v>0.0929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0.9036</v>
      </c>
      <c r="BO10" s="27">
        <f t="shared" si="10"/>
        <v>0.00350000000000006</v>
      </c>
      <c r="BP10" s="27">
        <f>IF(VLOOKUP($Q10,武学奇术!$A:$ZZ,22,FALSE)=1,0,(1-$BI10))*(1-$BL10)</f>
        <v>0</v>
      </c>
      <c r="BQ10" s="27" cm="1">
        <f t="array" ref="BQ10">SUM(_xlfn.XLOOKUP(R10:AF10,增益!$A:$A,增益!$W:$W,0))+$I$5</f>
        <v>0.11</v>
      </c>
    </row>
    <row r="11" ht="14.25" spans="1:69">
      <c r="A11" s="42" t="s">
        <v>111</v>
      </c>
      <c r="B11" s="70">
        <f>期望!B11</f>
        <v>0.133</v>
      </c>
      <c r="C11" s="12" t="s">
        <v>79</v>
      </c>
      <c r="D11" s="28">
        <f>期望!D11</f>
        <v>0</v>
      </c>
      <c r="E11" s="28">
        <f>期望!E11</f>
        <v>0</v>
      </c>
      <c r="F11" s="28">
        <f>期望!F11</f>
        <v>0</v>
      </c>
      <c r="G11" s="50">
        <f>期望!G11</f>
        <v>0</v>
      </c>
      <c r="H11" s="71"/>
      <c r="I11" s="75"/>
      <c r="J11" s="76"/>
      <c r="K11" s="39">
        <f t="shared" si="0"/>
        <v>76217.0595874024</v>
      </c>
      <c r="L11" s="39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BK11*$P11*(1+IF(VLOOKUP($Q11,武学奇术!$A:$ZZ,30,FALSE)="蓄力技",$B$21,0))*(1+$BQ11)</f>
        <v>77665.4607711263</v>
      </c>
      <c r="M11" s="39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63418.8867502663</v>
      </c>
      <c r="N11" s="39">
        <f>((($AN11+($AO11-$AN11)*IF(VLOOKUP($Q11,武学奇术!$A:$ZZ,31,FALSE)=1,$F$18,0.5))*$AH11+$AI11)*(1+$AP11)*(1+$AQ11)+(($AS11+($AT11-$AS11)*IF(VLOOKUP($Q11,武学奇术!$A:$ZZ,31,FALSE)=1,$F$18,0.5))*IF($G$1="鸣金",$AJ11,$AH11)+IF($G$1="鸣金",$AK11*1.5,0))*(1+$AU11)*(1+$AV11)+(($AW11+($AX11-$AW11)*IF(VLOOKUP($Q11,武学奇术!$A:$ZZ,31,FALSE)=1,$F$18,0.5))*IF($G$1="裂石",$AJ11,$AH11)+IF($G$1="裂石",$AK11*1.5,0))*(1+$AY11)*(1+$AZ11)+(($BA11+($BB11-$BA11)*IF(VLOOKUP($Q11,武学奇术!$A:$ZZ,31,FALSE)=1,$F$18,0.5))*IF($G$1="牵丝",$AJ11,$AH11)+IF($G$1="牵丝",$AK11*1.5,0))*(1+$BC11)*(1+$BD11)+(($BE11+($BF11-$BE11)*IF(VLOOKUP($Q11,武学奇术!$A:$ZZ,31,FALSE)=1,$F$18,0.5))*IF($G$1="破竹",$AJ11,$AH11)+IF($G$1="破竹",$AK11*1.5,0))*(1+$BG11)*(1+$BH11))*(1+$AL11)*$P11*(1+IF(VLOOKUP($Q11,武学奇术!$A:$ZZ,30,FALSE)="蓄力技",$B$21,0))*(1+$BQ11)</f>
        <v>41981.3301465548</v>
      </c>
      <c r="O11" s="39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36985.7071447641</v>
      </c>
      <c r="P11" s="40">
        <v>1</v>
      </c>
      <c r="Q11" s="41" t="s">
        <v>112</v>
      </c>
      <c r="R11" s="41" t="s">
        <v>81</v>
      </c>
      <c r="S11" s="41" t="s">
        <v>73</v>
      </c>
      <c r="T11" s="41" t="s">
        <v>73</v>
      </c>
      <c r="U11" s="41" t="s">
        <v>74</v>
      </c>
      <c r="V11" s="41" t="s">
        <v>73</v>
      </c>
      <c r="W11" s="41" t="s">
        <v>73</v>
      </c>
      <c r="X11" s="41" t="s">
        <v>75</v>
      </c>
      <c r="Y11" s="41" t="s">
        <v>73</v>
      </c>
      <c r="Z11" s="41" t="s">
        <v>105</v>
      </c>
      <c r="AA11" s="41" t="s">
        <v>73</v>
      </c>
      <c r="AB11" s="41" t="s">
        <v>73</v>
      </c>
      <c r="AC11" s="41" t="s">
        <v>73</v>
      </c>
      <c r="AD11" s="41" t="s">
        <v>73</v>
      </c>
      <c r="AE11" s="41" t="s">
        <v>77</v>
      </c>
      <c r="AF11" s="41" t="s">
        <v>78</v>
      </c>
      <c r="AG11" t="str">
        <f>VLOOKUP($Q11,武学奇术!$A:$ZZ,25,FALSE)</f>
        <v>拳甲</v>
      </c>
      <c r="AH11" s="27">
        <f>VLOOKUP($Q11,武学奇术!$A:$ZZ,26,FALSE)</f>
        <v>2.91176</v>
      </c>
      <c r="AI11" s="28">
        <f>VLOOKUP($Q11,武学奇术!$A:$ZZ,27,FALSE)*(1+IF(OR($AG11=$F$4,$AG11=$F$5),$B$22,0))</f>
        <v>1208.7</v>
      </c>
      <c r="AJ11" s="27">
        <f>VLOOKUP($Q11,武学奇术!$A:$ZZ,28,FALSE)</f>
        <v>3.89844</v>
      </c>
      <c r="AK11" s="28">
        <f>VLOOKUP($Q11,武学奇术!$A:$ZZ,29,FALSE)*(1+IF(OR($AG11=$F$4,$AG11=$F$5),$B$22,0))</f>
        <v>650.25</v>
      </c>
      <c r="AL11" s="27" cm="1">
        <f t="array" ref="AL11">$G$3+IFERROR(VLOOKUP($AG11,$F$4:$G$7,2,FALSE),0)+VLOOKUP($Q11,武学奇术!$A:$ZZ,2,FALSE)+SUM(_xlfn.XLOOKUP($R11:$AF11,增益!$A:$A,增益!$B:$B,0))</f>
        <v>0.6141</v>
      </c>
      <c r="AM11" s="27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3826.382</v>
      </c>
      <c r="AO11" cm="1">
        <f t="array" ref="AO11">$E$10*(1+$AM11)+VLOOKUP($Q11,武学奇术!$A:$ZZ,4,FALSE)+SUM(_xlfn.XLOOKUP($R11:$AF11,增益!$A:$A,增益!$D:$D,0))-$I$2</f>
        <v>3826.382</v>
      </c>
      <c r="AP11" s="33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0.217</v>
      </c>
      <c r="AQ11" s="33" cm="1">
        <f t="array" ref="AQ11">$G$10+VLOOKUP($Q11,武学奇术!$A:$ZZ,7,FALSE)+SUM(_xlfn.XLOOKUP(R11:AF11,增益!$A:$A,增益!$G:$G,0))</f>
        <v>0.09</v>
      </c>
      <c r="AR11" s="27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3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-0.24</v>
      </c>
      <c r="AV11" s="33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3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-0.24</v>
      </c>
      <c r="AZ11" s="33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33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-0.24</v>
      </c>
      <c r="BD11" s="33" cm="1">
        <f t="array" ref="BD11">$G$13+VLOOKUP($Q11,武学奇术!$A:$ZZ,14,FALSE)+SUM(_xlfn.XLOOKUP(R11:AF11,增益!$A:$A,增益!$N:$N,0))</f>
        <v>0</v>
      </c>
      <c r="BE11">
        <f t="shared" si="7"/>
        <v>605.472</v>
      </c>
      <c r="BF11">
        <f t="shared" si="8"/>
        <v>1725.468</v>
      </c>
      <c r="BG11" s="33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0.03</v>
      </c>
      <c r="BH11" s="33" cm="1">
        <f t="array" ref="BH11">$G$14+VLOOKUP($Q11,武学奇术!$A:$ZZ,16,FALSE)+SUM(_xlfn.XLOOKUP(R11:AF11,增益!$A:$A,增益!$P:$P,0))</f>
        <v>0.24</v>
      </c>
      <c r="BI11" s="27">
        <f>MIN(IF(VLOOKUP($Q11,武学奇术!$A:$ZZ,23,FALSE)=1,100%,$B$8),100%)</f>
        <v>1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+MIN(IF(VLOOKUP($Q11,武学奇术!$A:$ZZ,32,FALSE)=1,IF(VLOOKUP($Q11,武学奇术!$A:$ZZ,24,FALSE)=1,100%,MIN(40%,$B$10+VLOOKUP($Q11,武学奇术!$A:$ZZ,19,FALSE)+SUM(_xlfn.XLOOKUP(R11:AF11,增益!$A:$A,增益!$S:$S,0)))+$B$12+SUM(_xlfn.XLOOKUP(R11:AF11,增益!$A:$A,增益!$V:$V,0))),0),12%)</f>
        <v>0.9036</v>
      </c>
      <c r="BK11" s="27" cm="1">
        <f t="array" ref="BK11">1+$B$13+VLOOKUP($Q11,武学奇术!$A:$ZZ,18,FALSE)+SUM(_xlfn.XLOOKUP(R11:AF11,增益!$A:$A,增益!$R:$R,0))</f>
        <v>1.85</v>
      </c>
      <c r="BL11" s="27" cm="1">
        <f t="array" ref="BL11">MAX(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-IF(VLOOKUP($Q11,武学奇术!$A:$ZZ,32,FALSE)=1,12%,0),0)</f>
        <v>0.0929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0.9036</v>
      </c>
      <c r="BO11" s="27">
        <f t="shared" si="10"/>
        <v>0.00350000000000006</v>
      </c>
      <c r="BP11" s="27">
        <f>IF(VLOOKUP($Q11,武学奇术!$A:$ZZ,22,FALSE)=1,0,(1-$BI11))*(1-$BL11)</f>
        <v>0</v>
      </c>
      <c r="BQ11" s="27" cm="1">
        <f t="array" ref="BQ11">SUM(_xlfn.XLOOKUP(R11:AF11,增益!$A:$A,增益!$W:$W,0))+$I$5</f>
        <v>0.11</v>
      </c>
    </row>
    <row r="12" spans="1:69">
      <c r="A12" s="42" t="s">
        <v>113</v>
      </c>
      <c r="B12" s="70">
        <f>期望!B12</f>
        <v>0</v>
      </c>
      <c r="C12" s="12" t="s">
        <v>85</v>
      </c>
      <c r="D12" s="28">
        <f>期望!D12</f>
        <v>0</v>
      </c>
      <c r="E12" s="28">
        <f>期望!E12</f>
        <v>0</v>
      </c>
      <c r="F12" s="28">
        <f>期望!F12</f>
        <v>0</v>
      </c>
      <c r="G12" s="50">
        <f>期望!G12</f>
        <v>0</v>
      </c>
      <c r="H12" s="68" t="s">
        <v>114</v>
      </c>
      <c r="I12" s="39">
        <f>I10/I8</f>
        <v>122977.198504003</v>
      </c>
      <c r="J12" s="77"/>
      <c r="K12" s="39">
        <f t="shared" si="0"/>
        <v>23457.5981653648</v>
      </c>
      <c r="L12" s="39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BK12*$P12*(1+IF(VLOOKUP($Q12,武学奇术!$A:$ZZ,30,FALSE)="蓄力技",$B$21,0))*(1+$BQ12)</f>
        <v>23523.4561388428</v>
      </c>
      <c r="M12" s="39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23129.0174026107</v>
      </c>
      <c r="N12" s="39">
        <f>((($AN12+($AO12-$AN12)*IF(VLOOKUP($Q12,武学奇术!$A:$ZZ,31,FALSE)=1,$F$18,0.5))*$AH12+$AI12)*(1+$AP12)*(1+$AQ12)+(($AS12+($AT12-$AS12)*IF(VLOOKUP($Q12,武学奇术!$A:$ZZ,31,FALSE)=1,$F$18,0.5))*IF($G$1="鸣金",$AJ12,$AH12)+IF($G$1="鸣金",$AK12*1.5,0))*(1+$AU12)*(1+$AV12)+(($AW12+($AX12-$AW12)*IF(VLOOKUP($Q12,武学奇术!$A:$ZZ,31,FALSE)=1,$F$18,0.5))*IF($G$1="裂石",$AJ12,$AH12)+IF($G$1="裂石",$AK12*1.5,0))*(1+$AY12)*(1+$AZ12)+(($BA12+($BB12-$BA12)*IF(VLOOKUP($Q12,武学奇术!$A:$ZZ,31,FALSE)=1,$F$18,0.5))*IF($G$1="牵丝",$AJ12,$AH12)+IF($G$1="牵丝",$AK12*1.5,0))*(1+$BC12)*(1+$BD12)+(($BE12+($BF12-$BE12)*IF(VLOOKUP($Q12,武学奇术!$A:$ZZ,31,FALSE)=1,$F$18,0.5))*IF($G$1="破竹",$AJ12,$AH12)+IF($G$1="破竹",$AK12*1.5,0))*(1+$BG12)*(1+$BH12))*(1+$AL12)*$P12*(1+IF(VLOOKUP($Q12,武学奇术!$A:$ZZ,30,FALSE)="蓄力技",$B$21,0))*(1+$BQ12)</f>
        <v>15176.4233153825</v>
      </c>
      <c r="O12" s="39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13220.2411473496</v>
      </c>
      <c r="P12" s="40">
        <v>1</v>
      </c>
      <c r="Q12" s="41" t="s">
        <v>115</v>
      </c>
      <c r="R12" s="41" t="s">
        <v>81</v>
      </c>
      <c r="S12" s="41" t="s">
        <v>73</v>
      </c>
      <c r="T12" s="41" t="s">
        <v>73</v>
      </c>
      <c r="U12" s="41" t="s">
        <v>74</v>
      </c>
      <c r="V12" s="41" t="s">
        <v>73</v>
      </c>
      <c r="W12" s="41" t="s">
        <v>73</v>
      </c>
      <c r="X12" s="41" t="s">
        <v>75</v>
      </c>
      <c r="Y12" s="41" t="s">
        <v>73</v>
      </c>
      <c r="Z12" s="41" t="s">
        <v>73</v>
      </c>
      <c r="AA12" s="41" t="s">
        <v>73</v>
      </c>
      <c r="AB12" s="41" t="s">
        <v>73</v>
      </c>
      <c r="AC12" s="41" t="s">
        <v>73</v>
      </c>
      <c r="AD12" s="41" t="s">
        <v>73</v>
      </c>
      <c r="AE12" s="41" t="s">
        <v>77</v>
      </c>
      <c r="AF12" s="41" t="s">
        <v>78</v>
      </c>
      <c r="AG12" t="str">
        <f>VLOOKUP($Q12,武学奇术!$A:$ZZ,25,FALSE)</f>
        <v>拳甲</v>
      </c>
      <c r="AH12" s="27">
        <f>VLOOKUP($Q12,武学奇术!$A:$ZZ,26,FALSE)</f>
        <v>1.2876</v>
      </c>
      <c r="AI12" s="28">
        <f>VLOOKUP($Q12,武学奇术!$A:$ZZ,27,FALSE)*(1+IF(OR($AG12=$F$4,$AG12=$F$5),$B$22,0))</f>
        <v>537</v>
      </c>
      <c r="AJ12" s="27">
        <f>VLOOKUP($Q12,武学奇术!$A:$ZZ,28,FALSE)</f>
        <v>1.9313</v>
      </c>
      <c r="AK12" s="28">
        <f>VLOOKUP($Q12,武学奇术!$A:$ZZ,29,FALSE)*(1+IF(OR($AG12=$F$4,$AG12=$F$5),$B$22,0))</f>
        <v>292.5</v>
      </c>
      <c r="AL12" s="27" cm="1">
        <f t="array" ref="AL12">$G$3+IFERROR(VLOOKUP($AG12,$F$4:$G$7,2,FALSE),0)+VLOOKUP($Q12,武学奇术!$A:$ZZ,2,FALSE)+SUM(_xlfn.XLOOKUP($R12:$AF12,增益!$A:$A,增益!$B:$B,0))</f>
        <v>0.3141</v>
      </c>
      <c r="AM12" s="27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3826.382</v>
      </c>
      <c r="AO12" cm="1">
        <f t="array" ref="AO12">$E$10*(1+$AM12)+VLOOKUP($Q12,武学奇术!$A:$ZZ,4,FALSE)+SUM(_xlfn.XLOOKUP($R12:$AF12,增益!$A:$A,增益!$D:$D,0))-$I$2</f>
        <v>3826.382</v>
      </c>
      <c r="AP12" s="33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0.187</v>
      </c>
      <c r="AQ12" s="33" cm="1">
        <f t="array" ref="AQ12">$G$10+VLOOKUP($Q12,武学奇术!$A:$ZZ,7,FALSE)+SUM(_xlfn.XLOOKUP(R12:AF12,增益!$A:$A,增益!$G:$G,0))</f>
        <v>0.09</v>
      </c>
      <c r="AR12" s="27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3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3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3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3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33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-0.3</v>
      </c>
      <c r="BD12" s="33" cm="1">
        <f t="array" ref="BD12">$G$13+VLOOKUP($Q12,武学奇术!$A:$ZZ,14,FALSE)+SUM(_xlfn.XLOOKUP(R12:AF12,增益!$A:$A,增益!$N:$N,0))</f>
        <v>0</v>
      </c>
      <c r="BE12">
        <f t="shared" si="7"/>
        <v>605.472</v>
      </c>
      <c r="BF12">
        <f t="shared" si="8"/>
        <v>1725.468</v>
      </c>
      <c r="BG12" s="33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</v>
      </c>
      <c r="BH12" s="33" cm="1">
        <f t="array" ref="BH12">$G$14+VLOOKUP($Q12,武学奇术!$A:$ZZ,16,FALSE)+SUM(_xlfn.XLOOKUP(R12:AF12,增益!$A:$A,增益!$P:$P,0))</f>
        <v>0.24</v>
      </c>
      <c r="BI12" s="27">
        <f>MIN(IF(VLOOKUP($Q12,武学奇术!$A:$ZZ,23,FALSE)=1,100%,$B$8),100%)</f>
        <v>1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+MIN(IF(VLOOKUP($Q12,武学奇术!$A:$ZZ,32,FALSE)=1,IF(VLOOKUP($Q12,武学奇术!$A:$ZZ,24,FALSE)=1,100%,MIN(40%,$B$10+VLOOKUP($Q12,武学奇术!$A:$ZZ,19,FALSE)+SUM(_xlfn.XLOOKUP(R12:AF12,增益!$A:$A,增益!$S:$S,0)))+$B$12+SUM(_xlfn.XLOOKUP(R12:AF12,增益!$A:$A,增益!$V:$V,0))),0),12%)</f>
        <v>0.9036</v>
      </c>
      <c r="BK12" s="27" cm="1">
        <f t="array" ref="BK12">1+$B$13+VLOOKUP($Q12,武学奇术!$A:$ZZ,18,FALSE)+SUM(_xlfn.XLOOKUP(R12:AF12,增益!$A:$A,增益!$R:$R,0))</f>
        <v>1.55</v>
      </c>
      <c r="BL12" s="27" cm="1">
        <f t="array" ref="BL12">MAX(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-IF(VLOOKUP($Q12,武学奇术!$A:$ZZ,32,FALSE)=1,12%,0),0)</f>
        <v>0.0929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0.9036</v>
      </c>
      <c r="BO12" s="27">
        <f t="shared" si="10"/>
        <v>0.00350000000000006</v>
      </c>
      <c r="BP12" s="27">
        <f>IF(VLOOKUP($Q12,武学奇术!$A:$ZZ,22,FALSE)=1,0,(1-$BI12))*(1-$BL12)</f>
        <v>0</v>
      </c>
      <c r="BQ12" s="27" cm="1">
        <f t="array" ref="BQ12">SUM(_xlfn.XLOOKUP(R12:AF12,增益!$A:$A,增益!$W:$W,0))+$I$5</f>
        <v>0.11</v>
      </c>
    </row>
    <row r="13" ht="14.25" spans="1:69">
      <c r="A13" s="42" t="s">
        <v>116</v>
      </c>
      <c r="B13" s="70">
        <f>期望!B13</f>
        <v>0.54</v>
      </c>
      <c r="C13" s="12" t="s">
        <v>91</v>
      </c>
      <c r="D13" s="28">
        <f>期望!D13</f>
        <v>0</v>
      </c>
      <c r="E13" s="28">
        <f>期望!E13</f>
        <v>0</v>
      </c>
      <c r="F13" s="28">
        <f>期望!F13</f>
        <v>0</v>
      </c>
      <c r="G13" s="50">
        <f>期望!G13</f>
        <v>0</v>
      </c>
      <c r="H13" s="71"/>
      <c r="I13" s="78"/>
      <c r="J13" s="76"/>
      <c r="K13" s="39">
        <f t="shared" si="0"/>
        <v>63168.4181294289</v>
      </c>
      <c r="L13" s="39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BK13*$P13*(1+IF(VLOOKUP($Q13,武学奇术!$A:$ZZ,30,FALSE)="蓄力技",$B$21,0))*(1+$BQ13)</f>
        <v>64273.4769888573</v>
      </c>
      <c r="M13" s="39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53497.9505654837</v>
      </c>
      <c r="N13" s="39">
        <f>((($AN13+($AO13-$AN13)*IF(VLOOKUP($Q13,武学奇术!$A:$ZZ,31,FALSE)=1,$F$18,0.5))*$AH13+$AI13)*(1+$AP13)*(1+$AQ13)+(($AS13+($AT13-$AS13)*IF(VLOOKUP($Q13,武学奇术!$A:$ZZ,31,FALSE)=1,$F$18,0.5))*IF($G$1="鸣金",$AJ13,$AH13)+IF($G$1="鸣金",$AK13*1.5,0))*(1+$AU13)*(1+$AV13)+(($AW13+($AX13-$AW13)*IF(VLOOKUP($Q13,武学奇术!$A:$ZZ,31,FALSE)=1,$F$18,0.5))*IF($G$1="裂石",$AJ13,$AH13)+IF($G$1="裂石",$AK13*1.5,0))*(1+$AY13)*(1+$AZ13)+(($BA13+($BB13-$BA13)*IF(VLOOKUP($Q13,武学奇术!$A:$ZZ,31,FALSE)=1,$F$18,0.5))*IF($G$1="牵丝",$AJ13,$AH13)+IF($G$1="牵丝",$AK13*1.5,0))*(1+$BC13)*(1+$BD13)+(($BE13+($BF13-$BE13)*IF(VLOOKUP($Q13,武学奇术!$A:$ZZ,31,FALSE)=1,$F$18,0.5))*IF($G$1="破竹",$AJ13,$AH13)+IF($G$1="破竹",$AK13*1.5,0))*(1+$BG13)*(1+$BH13))*(1+$AL13)*$P13*(1+IF(VLOOKUP($Q13,武学奇术!$A:$ZZ,30,FALSE)="蓄力技",$B$21,0))*(1+$BQ13)</f>
        <v>34555.6327897082</v>
      </c>
      <c r="O13" s="39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29483.1540494285</v>
      </c>
      <c r="P13" s="40">
        <v>1</v>
      </c>
      <c r="Q13" s="41" t="s">
        <v>117</v>
      </c>
      <c r="R13" s="41" t="s">
        <v>81</v>
      </c>
      <c r="S13" s="41" t="s">
        <v>73</v>
      </c>
      <c r="T13" s="41" t="s">
        <v>73</v>
      </c>
      <c r="U13" s="41" t="s">
        <v>74</v>
      </c>
      <c r="V13" s="41" t="s">
        <v>73</v>
      </c>
      <c r="W13" s="41" t="s">
        <v>73</v>
      </c>
      <c r="X13" s="41" t="s">
        <v>82</v>
      </c>
      <c r="Y13" s="41" t="s">
        <v>73</v>
      </c>
      <c r="Z13" s="41" t="s">
        <v>105</v>
      </c>
      <c r="AA13" s="41" t="s">
        <v>73</v>
      </c>
      <c r="AB13" s="41" t="s">
        <v>73</v>
      </c>
      <c r="AC13" s="41" t="s">
        <v>73</v>
      </c>
      <c r="AD13" s="41" t="s">
        <v>73</v>
      </c>
      <c r="AE13" s="41" t="s">
        <v>77</v>
      </c>
      <c r="AF13" s="41" t="s">
        <v>78</v>
      </c>
      <c r="AG13" t="str">
        <f>VLOOKUP($Q13,武学奇术!$A:$ZZ,25,FALSE)</f>
        <v>拳甲</v>
      </c>
      <c r="AH13" s="27">
        <f>VLOOKUP($Q13,武学奇术!$A:$ZZ,26,FALSE)</f>
        <v>2.638944</v>
      </c>
      <c r="AI13" s="28">
        <f>VLOOKUP($Q13,武学奇术!$A:$ZZ,27,FALSE)*(1+IF(OR($AG13=$F$4,$AG13=$F$5),$B$22,0))</f>
        <v>0</v>
      </c>
      <c r="AJ13" s="27">
        <f>VLOOKUP($Q13,武学奇术!$A:$ZZ,28,FALSE)</f>
        <v>3.958416</v>
      </c>
      <c r="AK13" s="28">
        <f>VLOOKUP($Q13,武学奇术!$A:$ZZ,29,FALSE)*(1+IF(OR($AG13=$F$4,$AG13=$F$5),$B$22,0))</f>
        <v>0</v>
      </c>
      <c r="AL13" s="27" cm="1">
        <f t="array" ref="AL13">$G$3+IFERROR(VLOOKUP($AG13,$F$4:$G$7,2,FALSE),0)+VLOOKUP($Q13,武学奇术!$A:$ZZ,2,FALSE)+SUM(_xlfn.XLOOKUP($R13:$AF13,增益!$A:$A,增益!$B:$B,0))</f>
        <v>0.6141</v>
      </c>
      <c r="AM13" s="27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3826.382</v>
      </c>
      <c r="AO13" cm="1">
        <f t="array" ref="AO13">$E$10*(1+$AM13)+VLOOKUP($Q13,武学奇术!$A:$ZZ,4,FALSE)+SUM(_xlfn.XLOOKUP($R13:$AF13,增益!$A:$A,增益!$D:$D,0))-$I$2</f>
        <v>3826.382</v>
      </c>
      <c r="AP13" s="33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0.217</v>
      </c>
      <c r="AQ13" s="33" cm="1">
        <f t="array" ref="AQ13">$G$10+VLOOKUP($Q13,武学奇术!$A:$ZZ,7,FALSE)+SUM(_xlfn.XLOOKUP(R13:AF13,增益!$A:$A,增益!$G:$G,0))</f>
        <v>0.09</v>
      </c>
      <c r="AR13" s="27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3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-0.24</v>
      </c>
      <c r="AV13" s="33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3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-0.24</v>
      </c>
      <c r="AZ13" s="33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33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-0.24</v>
      </c>
      <c r="BD13" s="33" cm="1">
        <f t="array" ref="BD13">$G$13+VLOOKUP($Q13,武学奇术!$A:$ZZ,14,FALSE)+SUM(_xlfn.XLOOKUP(R13:AF13,增益!$A:$A,增益!$N:$N,0))</f>
        <v>0</v>
      </c>
      <c r="BE13">
        <f t="shared" si="7"/>
        <v>605.472</v>
      </c>
      <c r="BF13">
        <f t="shared" si="8"/>
        <v>1725.468</v>
      </c>
      <c r="BG13" s="33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0.03</v>
      </c>
      <c r="BH13" s="33" cm="1">
        <f t="array" ref="BH13">$G$14+VLOOKUP($Q13,武学奇术!$A:$ZZ,16,FALSE)+SUM(_xlfn.XLOOKUP(R13:AF13,增益!$A:$A,增益!$P:$P,0))</f>
        <v>0.24</v>
      </c>
      <c r="BI13" s="27">
        <f>MIN(IF(VLOOKUP($Q13,武学奇术!$A:$ZZ,23,FALSE)=1,100%,$B$8),100%)</f>
        <v>1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+MIN(IF(VLOOKUP($Q13,武学奇术!$A:$ZZ,32,FALSE)=1,IF(VLOOKUP($Q13,武学奇术!$A:$ZZ,24,FALSE)=1,100%,MIN(40%,$B$10+VLOOKUP($Q13,武学奇术!$A:$ZZ,19,FALSE)+SUM(_xlfn.XLOOKUP(R13:AF13,增益!$A:$A,增益!$S:$S,0)))+$B$12+SUM(_xlfn.XLOOKUP(R13:AF13,增益!$A:$A,增益!$V:$V,0))),0),12%)</f>
        <v>0.9036</v>
      </c>
      <c r="BK13" s="27" cm="1">
        <f t="array" ref="BK13">1+$B$13+VLOOKUP($Q13,武学奇术!$A:$ZZ,18,FALSE)+SUM(_xlfn.XLOOKUP(R13:AF13,增益!$A:$A,增益!$R:$R,0))</f>
        <v>1.86</v>
      </c>
      <c r="BL13" s="27" cm="1">
        <f t="array" ref="BL13">MAX(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-IF(VLOOKUP($Q13,武学奇术!$A:$ZZ,32,FALSE)=1,12%,0),0)</f>
        <v>0.0929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0.9036</v>
      </c>
      <c r="BO13" s="27">
        <f t="shared" si="10"/>
        <v>0.00350000000000006</v>
      </c>
      <c r="BP13" s="27">
        <f>IF(VLOOKUP($Q13,武学奇术!$A:$ZZ,22,FALSE)=1,0,(1-$BI13))*(1-$BL13)</f>
        <v>0</v>
      </c>
      <c r="BQ13" s="27" cm="1">
        <f t="array" ref="BQ13">SUM(_xlfn.XLOOKUP(R13:AF13,增益!$A:$A,增益!$W:$W,0))+$I$5</f>
        <v>0.11</v>
      </c>
    </row>
    <row r="14" ht="14.25" spans="1:69">
      <c r="A14" s="42" t="s">
        <v>118</v>
      </c>
      <c r="B14" s="70">
        <f>期望!B14</f>
        <v>0.35</v>
      </c>
      <c r="C14" s="14" t="s">
        <v>5</v>
      </c>
      <c r="D14" s="79">
        <f>期望!D14</f>
        <v>605.472</v>
      </c>
      <c r="E14" s="79">
        <f>期望!E14</f>
        <v>1725.468</v>
      </c>
      <c r="F14" s="79">
        <f>期望!F14</f>
        <v>30</v>
      </c>
      <c r="G14" s="64">
        <f>期望!G14</f>
        <v>0.15</v>
      </c>
      <c r="H14" s="37" t="s">
        <v>119</v>
      </c>
      <c r="I14" s="73">
        <f>I12</f>
        <v>122977.198504003</v>
      </c>
      <c r="J14" s="74"/>
      <c r="K14" s="39">
        <f t="shared" si="0"/>
        <v>45306.00236222</v>
      </c>
      <c r="L14" s="39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BK14*$P14*(1+IF(VLOOKUP($Q14,武学奇术!$A:$ZZ,30,FALSE)="蓄力技",$B$21,0))*(1+$BQ14)</f>
        <v>45462.7631122727</v>
      </c>
      <c r="M14" s="39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44390.2026365608</v>
      </c>
      <c r="N14" s="39">
        <f>((($AN14+($AO14-$AN14)*IF(VLOOKUP($Q14,武学奇术!$A:$ZZ,31,FALSE)=1,$F$18,0.5))*$AH14+$AI14)*(1+$AP14)*(1+$AQ14)+(($AS14+($AT14-$AS14)*IF(VLOOKUP($Q14,武学奇术!$A:$ZZ,31,FALSE)=1,$F$18,0.5))*IF($G$1="鸣金",$AJ14,$AH14)+IF($G$1="鸣金",$AK14*1.5,0))*(1+$AU14)*(1+$AV14)+(($AW14+($AX14-$AW14)*IF(VLOOKUP($Q14,武学奇术!$A:$ZZ,31,FALSE)=1,$F$18,0.5))*IF($G$1="裂石",$AJ14,$AH14)+IF($G$1="裂石",$AK14*1.5,0))*(1+$AY14)*(1+$AZ14)+(($BA14+($BB14-$BA14)*IF(VLOOKUP($Q14,武学奇术!$A:$ZZ,31,FALSE)=1,$F$18,0.5))*IF($G$1="牵丝",$AJ14,$AH14)+IF($G$1="牵丝",$AK14*1.5,0))*(1+$BC14)*(1+$BD14)+(($BE14+($BF14-$BE14)*IF(VLOOKUP($Q14,武学奇术!$A:$ZZ,31,FALSE)=1,$F$18,0.5))*IF($G$1="破竹",$AJ14,$AH14)+IF($G$1="破竹",$AK14*1.5,0))*(1+$BG14)*(1+$BH14))*(1+$AL14)*$P14*(1+IF(VLOOKUP($Q14,武学奇术!$A:$ZZ,30,FALSE)="蓄力技",$B$21,0))*(1+$BQ14)</f>
        <v>29142.7968668415</v>
      </c>
      <c r="O14" s="39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25403.9621510453</v>
      </c>
      <c r="P14" s="40">
        <v>1</v>
      </c>
      <c r="Q14" s="41" t="s">
        <v>120</v>
      </c>
      <c r="R14" s="41" t="s">
        <v>88</v>
      </c>
      <c r="S14" s="41" t="s">
        <v>73</v>
      </c>
      <c r="T14" s="41" t="s">
        <v>73</v>
      </c>
      <c r="U14" s="41" t="s">
        <v>74</v>
      </c>
      <c r="V14" s="41" t="s">
        <v>73</v>
      </c>
      <c r="W14" s="41" t="s">
        <v>73</v>
      </c>
      <c r="X14" s="41" t="s">
        <v>82</v>
      </c>
      <c r="Y14" s="41" t="s">
        <v>73</v>
      </c>
      <c r="Z14" s="41" t="s">
        <v>73</v>
      </c>
      <c r="AA14" s="41" t="s">
        <v>73</v>
      </c>
      <c r="AB14" s="41" t="s">
        <v>73</v>
      </c>
      <c r="AC14" s="41" t="s">
        <v>73</v>
      </c>
      <c r="AD14" s="41" t="s">
        <v>73</v>
      </c>
      <c r="AE14" s="41" t="s">
        <v>77</v>
      </c>
      <c r="AF14" s="41" t="s">
        <v>78</v>
      </c>
      <c r="AG14" t="str">
        <f>VLOOKUP($Q14,武学奇术!$A:$ZZ,25,FALSE)</f>
        <v>拳甲</v>
      </c>
      <c r="AH14" s="27">
        <f>VLOOKUP($Q14,武学奇术!$A:$ZZ,26,FALSE)</f>
        <v>2.4421</v>
      </c>
      <c r="AI14" s="28">
        <f>VLOOKUP($Q14,武学奇术!$A:$ZZ,27,FALSE)*(1+IF(OR($AG14=$F$4,$AG14=$F$5),$B$22,0))</f>
        <v>1012.5</v>
      </c>
      <c r="AJ14" s="27">
        <f>VLOOKUP($Q14,武学奇术!$A:$ZZ,28,FALSE)</f>
        <v>3.6634</v>
      </c>
      <c r="AK14" s="28">
        <f>VLOOKUP($Q14,武学奇术!$A:$ZZ,29,FALSE)*(1+IF(OR($AG14=$F$4,$AG14=$F$5),$B$22,0))</f>
        <v>549</v>
      </c>
      <c r="AL14" s="27" cm="1">
        <f t="array" ref="AL14">$G$3+IFERROR(VLOOKUP($AG14,$F$4:$G$7,2,FALSE),0)+VLOOKUP($Q14,武学奇术!$A:$ZZ,2,FALSE)+SUM(_xlfn.XLOOKUP($R14:$AF14,增益!$A:$A,增益!$B:$B,0))</f>
        <v>0.3241</v>
      </c>
      <c r="AM14" s="27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3826.382</v>
      </c>
      <c r="AO14" cm="1">
        <f t="array" ref="AO14">$E$10*(1+$AM14)+VLOOKUP($Q14,武学奇术!$A:$ZZ,4,FALSE)+SUM(_xlfn.XLOOKUP($R14:$AF14,增益!$A:$A,增益!$D:$D,0))-$I$2</f>
        <v>3826.382</v>
      </c>
      <c r="AP14" s="33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0.197</v>
      </c>
      <c r="AQ14" s="33" cm="1">
        <f t="array" ref="AQ14">$G$10+VLOOKUP($Q14,武学奇术!$A:$ZZ,7,FALSE)+SUM(_xlfn.XLOOKUP(R14:AF14,增益!$A:$A,增益!$G:$G,0))</f>
        <v>0.09</v>
      </c>
      <c r="AR14" s="27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3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3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3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3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33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-0.3</v>
      </c>
      <c r="BD14" s="33" cm="1">
        <f t="array" ref="BD14">$G$13+VLOOKUP($Q14,武学奇术!$A:$ZZ,14,FALSE)+SUM(_xlfn.XLOOKUP(R14:AF14,增益!$A:$A,增益!$N:$N,0))</f>
        <v>0</v>
      </c>
      <c r="BE14">
        <f t="shared" si="7"/>
        <v>605.472</v>
      </c>
      <c r="BF14">
        <f t="shared" si="8"/>
        <v>1725.468</v>
      </c>
      <c r="BG14" s="33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</v>
      </c>
      <c r="BH14" s="33" cm="1">
        <f t="array" ref="BH14">$G$14+VLOOKUP($Q14,武学奇术!$A:$ZZ,16,FALSE)+SUM(_xlfn.XLOOKUP(R14:AF14,增益!$A:$A,增益!$P:$P,0))</f>
        <v>0.24</v>
      </c>
      <c r="BI14" s="27">
        <f>MIN(IF(VLOOKUP($Q14,武学奇术!$A:$ZZ,23,FALSE)=1,100%,$B$8),100%)</f>
        <v>1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+MIN(IF(VLOOKUP($Q14,武学奇术!$A:$ZZ,32,FALSE)=1,IF(VLOOKUP($Q14,武学奇术!$A:$ZZ,24,FALSE)=1,100%,MIN(40%,$B$10+VLOOKUP($Q14,武学奇术!$A:$ZZ,19,FALSE)+SUM(_xlfn.XLOOKUP(R14:AF14,增益!$A:$A,增益!$S:$S,0)))+$B$12+SUM(_xlfn.XLOOKUP(R14:AF14,增益!$A:$A,增益!$V:$V,0))),0),12%)</f>
        <v>0.9036</v>
      </c>
      <c r="BK14" s="27" cm="1">
        <f t="array" ref="BK14">1+$B$13+VLOOKUP($Q14,武学奇术!$A:$ZZ,18,FALSE)+SUM(_xlfn.XLOOKUP(R14:AF14,增益!$A:$A,增益!$R:$R,0))</f>
        <v>1.56</v>
      </c>
      <c r="BL14" s="27" cm="1">
        <f t="array" ref="BL14">MAX(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-IF(VLOOKUP($Q14,武学奇术!$A:$ZZ,32,FALSE)=1,12%,0),0)</f>
        <v>0.0929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0.9036</v>
      </c>
      <c r="BO14" s="27">
        <f t="shared" si="10"/>
        <v>0.00350000000000006</v>
      </c>
      <c r="BP14" s="27">
        <f>IF(VLOOKUP($Q14,武学奇术!$A:$ZZ,22,FALSE)=1,0,(1-$BI14))*(1-$BL14)</f>
        <v>0</v>
      </c>
      <c r="BQ14" s="27" cm="1">
        <f t="array" ref="BQ14">SUM(_xlfn.XLOOKUP(R14:AF14,增益!$A:$A,增益!$W:$W,0))+$I$5</f>
        <v>0.11</v>
      </c>
    </row>
    <row r="15" ht="14.25" spans="1:69">
      <c r="A15" s="42" t="s">
        <v>121</v>
      </c>
      <c r="B15" s="70">
        <f>期望!B15</f>
        <v>0.0852</v>
      </c>
      <c r="C15" s="40" t="s">
        <v>122</v>
      </c>
      <c r="D15" s="40"/>
      <c r="F15" s="80"/>
      <c r="H15" s="81"/>
      <c r="I15" s="75"/>
      <c r="J15" s="76"/>
      <c r="K15" s="39">
        <f t="shared" si="0"/>
        <v>23908.9541928292</v>
      </c>
      <c r="L15" s="39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BK15*$P15*(1+IF(VLOOKUP($Q15,武学奇术!$A:$ZZ,30,FALSE)="蓄力技",$B$21,0))*(1+$BQ15)</f>
        <v>23991.9339677246</v>
      </c>
      <c r="M15" s="39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23423.1927084435</v>
      </c>
      <c r="N15" s="39">
        <f>((($AN15+($AO15-$AN15)*IF(VLOOKUP($Q15,武学奇术!$A:$ZZ,31,FALSE)=1,$F$18,0.5))*$AH15+$AI15)*(1+$AP15)*(1+$AQ15)+(($AS15+($AT15-$AS15)*IF(VLOOKUP($Q15,武学奇术!$A:$ZZ,31,FALSE)=1,$F$18,0.5))*IF($G$1="鸣金",$AJ15,$AH15)+IF($G$1="鸣金",$AK15*1.5,0))*(1+$AU15)*(1+$AV15)+(($AW15+($AX15-$AW15)*IF(VLOOKUP($Q15,武学奇术!$A:$ZZ,31,FALSE)=1,$F$18,0.5))*IF($G$1="裂石",$AJ15,$AH15)+IF($G$1="裂石",$AK15*1.5,0))*(1+$AY15)*(1+$AZ15)+(($BA15+($BB15-$BA15)*IF(VLOOKUP($Q15,武学奇术!$A:$ZZ,31,FALSE)=1,$F$18,0.5))*IF($G$1="牵丝",$AJ15,$AH15)+IF($G$1="牵丝",$AK15*1.5,0))*(1+$BC15)*(1+$BD15)+(($BE15+($BF15-$BE15)*IF(VLOOKUP($Q15,武学奇术!$A:$ZZ,31,FALSE)=1,$F$18,0.5))*IF($G$1="破竹",$AJ15,$AH15)+IF($G$1="破竹",$AK15*1.5,0))*(1+$BG15)*(1+$BH15))*(1+$AL15)*$P15*(1+IF(VLOOKUP($Q15,武学奇术!$A:$ZZ,30,FALSE)="蓄力技",$B$21,0))*(1+$BQ15)</f>
        <v>15379.4448511055</v>
      </c>
      <c r="O15" s="39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13408.3765848454</v>
      </c>
      <c r="P15" s="40">
        <v>1</v>
      </c>
      <c r="Q15" s="41" t="s">
        <v>115</v>
      </c>
      <c r="R15" s="41" t="s">
        <v>88</v>
      </c>
      <c r="S15" s="41" t="s">
        <v>73</v>
      </c>
      <c r="T15" s="41" t="s">
        <v>73</v>
      </c>
      <c r="U15" s="41" t="s">
        <v>74</v>
      </c>
      <c r="V15" s="41" t="s">
        <v>73</v>
      </c>
      <c r="W15" s="41" t="s">
        <v>73</v>
      </c>
      <c r="X15" s="41" t="s">
        <v>82</v>
      </c>
      <c r="Y15" s="41" t="s">
        <v>73</v>
      </c>
      <c r="Z15" s="41" t="s">
        <v>73</v>
      </c>
      <c r="AA15" s="41" t="s">
        <v>73</v>
      </c>
      <c r="AB15" s="41" t="s">
        <v>73</v>
      </c>
      <c r="AC15" s="41" t="s">
        <v>73</v>
      </c>
      <c r="AD15" s="41" t="s">
        <v>73</v>
      </c>
      <c r="AE15" s="41" t="s">
        <v>77</v>
      </c>
      <c r="AF15" s="41" t="s">
        <v>78</v>
      </c>
      <c r="AG15" t="str">
        <f>VLOOKUP($Q15,武学奇术!$A:$ZZ,25,FALSE)</f>
        <v>拳甲</v>
      </c>
      <c r="AH15" s="27">
        <f>VLOOKUP($Q15,武学奇术!$A:$ZZ,26,FALSE)</f>
        <v>1.2876</v>
      </c>
      <c r="AI15" s="28">
        <f>VLOOKUP($Q15,武学奇术!$A:$ZZ,27,FALSE)*(1+IF(OR($AG15=$F$4,$AG15=$F$5),$B$22,0))</f>
        <v>537</v>
      </c>
      <c r="AJ15" s="27">
        <f>VLOOKUP($Q15,武学奇术!$A:$ZZ,28,FALSE)</f>
        <v>1.9313</v>
      </c>
      <c r="AK15" s="28">
        <f>VLOOKUP($Q15,武学奇术!$A:$ZZ,29,FALSE)*(1+IF(OR($AG15=$F$4,$AG15=$F$5),$B$22,0))</f>
        <v>292.5</v>
      </c>
      <c r="AL15" s="27" cm="1">
        <f t="array" ref="AL15">$G$3+IFERROR(VLOOKUP($AG15,$F$4:$G$7,2,FALSE),0)+VLOOKUP($Q15,武学奇术!$A:$ZZ,2,FALSE)+SUM(_xlfn.XLOOKUP($R15:$AF15,增益!$A:$A,增益!$B:$B,0))</f>
        <v>0.3241</v>
      </c>
      <c r="AM15" s="27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3826.382</v>
      </c>
      <c r="AO15" cm="1">
        <f t="array" ref="AO15">$E$10*(1+$AM15)+VLOOKUP($Q15,武学奇术!$A:$ZZ,4,FALSE)+SUM(_xlfn.XLOOKUP($R15:$AF15,增益!$A:$A,增益!$D:$D,0))-$I$2</f>
        <v>3826.382</v>
      </c>
      <c r="AP15" s="33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0.197</v>
      </c>
      <c r="AQ15" s="33" cm="1">
        <f t="array" ref="AQ15">$G$10+VLOOKUP($Q15,武学奇术!$A:$ZZ,7,FALSE)+SUM(_xlfn.XLOOKUP(R15:AF15,增益!$A:$A,增益!$G:$G,0))</f>
        <v>0.09</v>
      </c>
      <c r="AR15" s="27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3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3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3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3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33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-0.3</v>
      </c>
      <c r="BD15" s="33" cm="1">
        <f t="array" ref="BD15">$G$13+VLOOKUP($Q15,武学奇术!$A:$ZZ,14,FALSE)+SUM(_xlfn.XLOOKUP(R15:AF15,增益!$A:$A,增益!$N:$N,0))</f>
        <v>0</v>
      </c>
      <c r="BE15">
        <f t="shared" si="7"/>
        <v>605.472</v>
      </c>
      <c r="BF15">
        <f t="shared" si="8"/>
        <v>1725.468</v>
      </c>
      <c r="BG15" s="33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</v>
      </c>
      <c r="BH15" s="33" cm="1">
        <f t="array" ref="BH15">$G$14+VLOOKUP($Q15,武学奇术!$A:$ZZ,16,FALSE)+SUM(_xlfn.XLOOKUP(R15:AF15,增益!$A:$A,增益!$P:$P,0))</f>
        <v>0.24</v>
      </c>
      <c r="BI15" s="27">
        <f>MIN(IF(VLOOKUP($Q15,武学奇术!$A:$ZZ,23,FALSE)=1,100%,$B$8),100%)</f>
        <v>1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+MIN(IF(VLOOKUP($Q15,武学奇术!$A:$ZZ,32,FALSE)=1,IF(VLOOKUP($Q15,武学奇术!$A:$ZZ,24,FALSE)=1,100%,MIN(40%,$B$10+VLOOKUP($Q15,武学奇术!$A:$ZZ,19,FALSE)+SUM(_xlfn.XLOOKUP(R15:AF15,增益!$A:$A,增益!$S:$S,0)))+$B$12+SUM(_xlfn.XLOOKUP(R15:AF15,增益!$A:$A,增益!$V:$V,0))),0),12%)</f>
        <v>0.9036</v>
      </c>
      <c r="BK15" s="27" cm="1">
        <f t="array" ref="BK15">1+$B$13+VLOOKUP($Q15,武学奇术!$A:$ZZ,18,FALSE)+SUM(_xlfn.XLOOKUP(R15:AF15,增益!$A:$A,增益!$R:$R,0))</f>
        <v>1.56</v>
      </c>
      <c r="BL15" s="27" cm="1">
        <f t="array" ref="BL15">MAX(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-IF(VLOOKUP($Q15,武学奇术!$A:$ZZ,32,FALSE)=1,12%,0),0)</f>
        <v>0.0929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0.9036</v>
      </c>
      <c r="BO15" s="27">
        <f t="shared" si="10"/>
        <v>0.00350000000000006</v>
      </c>
      <c r="BP15" s="27">
        <f>IF(VLOOKUP($Q15,武学奇术!$A:$ZZ,22,FALSE)=1,0,(1-$BI15))*(1-$BL15)</f>
        <v>0</v>
      </c>
      <c r="BQ15" s="27" cm="1">
        <f t="array" ref="BQ15">SUM(_xlfn.XLOOKUP(R15:AF15,增益!$A:$A,增益!$W:$W,0))+$I$5</f>
        <v>0.11</v>
      </c>
    </row>
    <row r="16" spans="1:69">
      <c r="A16" s="42" t="s">
        <v>123</v>
      </c>
      <c r="B16" s="70">
        <f>期望!B16</f>
        <v>0.0887</v>
      </c>
      <c r="C16" s="40" t="s">
        <v>124</v>
      </c>
      <c r="D16" s="80" t="s">
        <v>147</v>
      </c>
      <c r="E16" s="40" t="s">
        <v>126</v>
      </c>
      <c r="F16" s="80" t="s">
        <v>125</v>
      </c>
      <c r="H16" s="68" t="s">
        <v>127</v>
      </c>
      <c r="I16" s="82"/>
      <c r="J16" s="83"/>
      <c r="K16" s="39">
        <f t="shared" si="0"/>
        <v>64673.6656359499</v>
      </c>
      <c r="L16" s="39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BK16*$P16*(1+IF(VLOOKUP($Q16,武学奇术!$A:$ZZ,30,FALSE)="蓄力技",$B$21,0))*(1+$BQ16)</f>
        <v>65812.5363410136</v>
      </c>
      <c r="M16" s="39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54699.8601078575</v>
      </c>
      <c r="N16" s="39">
        <f>((($AN16+($AO16-$AN16)*IF(VLOOKUP($Q16,武学奇术!$A:$ZZ,31,FALSE)=1,$F$18,0.5))*$AH16+$AI16)*(1+$AP16)*(1+$AQ16)+(($AS16+($AT16-$AS16)*IF(VLOOKUP($Q16,武学奇术!$A:$ZZ,31,FALSE)=1,$F$18,0.5))*IF($G$1="鸣金",$AJ16,$AH16)+IF($G$1="鸣金",$AK16*1.5,0))*(1+$AU16)*(1+$AV16)+(($AW16+($AX16-$AW16)*IF(VLOOKUP($Q16,武学奇术!$A:$ZZ,31,FALSE)=1,$F$18,0.5))*IF($G$1="裂石",$AJ16,$AH16)+IF($G$1="裂石",$AK16*1.5,0))*(1+$AY16)*(1+$AZ16)+(($BA16+($BB16-$BA16)*IF(VLOOKUP($Q16,武学奇术!$A:$ZZ,31,FALSE)=1,$F$18,0.5))*IF($G$1="牵丝",$AJ16,$AH16)+IF($G$1="牵丝",$AK16*1.5,0))*(1+$BC16)*(1+$BD16)+(($BE16+($BF16-$BE16)*IF(VLOOKUP($Q16,武学奇术!$A:$ZZ,31,FALSE)=1,$F$18,0.5))*IF($G$1="破竹",$AJ16,$AH16)+IF($G$1="破竹",$AK16*1.5,0))*(1+$BG16)*(1+$BH16))*(1+$AL16)*$P16*(1+IF(VLOOKUP($Q16,武学奇术!$A:$ZZ,30,FALSE)="蓄力技",$B$21,0))*(1+$BQ16)</f>
        <v>35383.0840543084</v>
      </c>
      <c r="O16" s="39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30247.7532139075</v>
      </c>
      <c r="P16" s="40">
        <v>1</v>
      </c>
      <c r="Q16" s="41" t="s">
        <v>117</v>
      </c>
      <c r="R16" s="41" t="s">
        <v>94</v>
      </c>
      <c r="S16" s="41" t="s">
        <v>73</v>
      </c>
      <c r="T16" s="41" t="s">
        <v>73</v>
      </c>
      <c r="U16" s="41" t="s">
        <v>74</v>
      </c>
      <c r="V16" s="41" t="s">
        <v>73</v>
      </c>
      <c r="W16" s="41" t="s">
        <v>73</v>
      </c>
      <c r="X16" s="41" t="s">
        <v>82</v>
      </c>
      <c r="Y16" s="41" t="s">
        <v>73</v>
      </c>
      <c r="Z16" s="41" t="s">
        <v>105</v>
      </c>
      <c r="AA16" s="41" t="s">
        <v>73</v>
      </c>
      <c r="AB16" s="41" t="s">
        <v>73</v>
      </c>
      <c r="AC16" s="41" t="s">
        <v>73</v>
      </c>
      <c r="AD16" s="41" t="s">
        <v>73</v>
      </c>
      <c r="AE16" s="41" t="s">
        <v>77</v>
      </c>
      <c r="AF16" s="41" t="s">
        <v>78</v>
      </c>
      <c r="AG16" t="str">
        <f>VLOOKUP($Q16,武学奇术!$A:$ZZ,25,FALSE)</f>
        <v>拳甲</v>
      </c>
      <c r="AH16" s="27">
        <f>VLOOKUP($Q16,武学奇术!$A:$ZZ,26,FALSE)</f>
        <v>2.638944</v>
      </c>
      <c r="AI16" s="28">
        <f>VLOOKUP($Q16,武学奇术!$A:$ZZ,27,FALSE)*(1+IF(OR($AG16=$F$4,$AG16=$F$5),$B$22,0))</f>
        <v>0</v>
      </c>
      <c r="AJ16" s="27">
        <f>VLOOKUP($Q16,武学奇术!$A:$ZZ,28,FALSE)</f>
        <v>3.958416</v>
      </c>
      <c r="AK16" s="28">
        <f>VLOOKUP($Q16,武学奇术!$A:$ZZ,29,FALSE)*(1+IF(OR($AG16=$F$4,$AG16=$F$5),$B$22,0))</f>
        <v>0</v>
      </c>
      <c r="AL16" s="27" cm="1">
        <f t="array" ref="AL16">$G$3+IFERROR(VLOOKUP($AG16,$F$4:$G$7,2,FALSE),0)+VLOOKUP($Q16,武学奇术!$A:$ZZ,2,FALSE)+SUM(_xlfn.XLOOKUP($R16:$AF16,增益!$A:$A,增益!$B:$B,0))</f>
        <v>0.6341</v>
      </c>
      <c r="AM16" s="27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3826.382</v>
      </c>
      <c r="AO16" cm="1">
        <f t="array" ref="AO16">$E$10*(1+$AM16)+VLOOKUP($Q16,武学奇术!$A:$ZZ,4,FALSE)+SUM(_xlfn.XLOOKUP($R16:$AF16,增益!$A:$A,增益!$D:$D,0))-$I$2</f>
        <v>3826.382</v>
      </c>
      <c r="AP16" s="33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0.237</v>
      </c>
      <c r="AQ16" s="33" cm="1">
        <f t="array" ref="AQ16">$G$10+VLOOKUP($Q16,武学奇术!$A:$ZZ,7,FALSE)+SUM(_xlfn.XLOOKUP(R16:AF16,增益!$A:$A,增益!$G:$G,0))</f>
        <v>0.09</v>
      </c>
      <c r="AR16" s="27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3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-0.24</v>
      </c>
      <c r="AV16" s="33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3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-0.24</v>
      </c>
      <c r="AZ16" s="33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33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-0.24</v>
      </c>
      <c r="BD16" s="33" cm="1">
        <f t="array" ref="BD16">$G$13+VLOOKUP($Q16,武学奇术!$A:$ZZ,14,FALSE)+SUM(_xlfn.XLOOKUP(R16:AF16,增益!$A:$A,增益!$N:$N,0))</f>
        <v>0</v>
      </c>
      <c r="BE16">
        <f t="shared" si="7"/>
        <v>605.472</v>
      </c>
      <c r="BF16">
        <f t="shared" si="8"/>
        <v>1725.468</v>
      </c>
      <c r="BG16" s="33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0.03</v>
      </c>
      <c r="BH16" s="33" cm="1">
        <f t="array" ref="BH16">$G$14+VLOOKUP($Q16,武学奇术!$A:$ZZ,16,FALSE)+SUM(_xlfn.XLOOKUP(R16:AF16,增益!$A:$A,增益!$P:$P,0))</f>
        <v>0.24</v>
      </c>
      <c r="BI16" s="27">
        <f>MIN(IF(VLOOKUP($Q16,武学奇术!$A:$ZZ,23,FALSE)=1,100%,$B$8),100%)</f>
        <v>1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+MIN(IF(VLOOKUP($Q16,武学奇术!$A:$ZZ,32,FALSE)=1,IF(VLOOKUP($Q16,武学奇术!$A:$ZZ,24,FALSE)=1,100%,MIN(40%,$B$10+VLOOKUP($Q16,武学奇术!$A:$ZZ,19,FALSE)+SUM(_xlfn.XLOOKUP(R16:AF16,增益!$A:$A,增益!$S:$S,0)))+$B$12+SUM(_xlfn.XLOOKUP(R16:AF16,增益!$A:$A,增益!$V:$V,0))),0),12%)</f>
        <v>0.9036</v>
      </c>
      <c r="BK16" s="27" cm="1">
        <f t="array" ref="BK16">1+$B$13+VLOOKUP($Q16,武学奇术!$A:$ZZ,18,FALSE)+SUM(_xlfn.XLOOKUP(R16:AF16,增益!$A:$A,增益!$R:$R,0))</f>
        <v>1.86</v>
      </c>
      <c r="BL16" s="27" cm="1">
        <f t="array" ref="BL16">MAX(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-IF(VLOOKUP($Q16,武学奇术!$A:$ZZ,32,FALSE)=1,12%,0),0)</f>
        <v>0.0929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0.9036</v>
      </c>
      <c r="BO16" s="27">
        <f t="shared" si="10"/>
        <v>0.00350000000000006</v>
      </c>
      <c r="BP16" s="27">
        <f>IF(VLOOKUP($Q16,武学奇术!$A:$ZZ,22,FALSE)=1,0,(1-$BI16))*(1-$BL16)</f>
        <v>0</v>
      </c>
      <c r="BQ16" s="27" cm="1">
        <f t="array" ref="BQ16">SUM(_xlfn.XLOOKUP(R16:AF16,增益!$A:$A,增益!$W:$W,0))+$I$5</f>
        <v>0.11</v>
      </c>
    </row>
    <row r="17" ht="14.25" spans="1:69">
      <c r="A17" s="42" t="s">
        <v>128</v>
      </c>
      <c r="B17" s="70">
        <f>期望!B17</f>
        <v>0.0852</v>
      </c>
      <c r="C17" s="40" t="s">
        <v>129</v>
      </c>
      <c r="D17" s="80" t="s">
        <v>147</v>
      </c>
      <c r="E17" s="40" t="s">
        <v>130</v>
      </c>
      <c r="F17" s="80" t="s">
        <v>147</v>
      </c>
      <c r="H17" s="71"/>
      <c r="I17" s="84"/>
      <c r="J17" s="85"/>
      <c r="K17" s="39">
        <f t="shared" si="0"/>
        <v>921698.934068708</v>
      </c>
      <c r="L17" s="39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BK17*$P17*(1+IF(VLOOKUP($Q17,武学奇术!$A:$ZZ,30,FALSE)="蓄力技",$B$21,0))*(1+$BQ17)</f>
        <v>923538.048631068</v>
      </c>
      <c r="M17" s="39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601406.649734799</v>
      </c>
      <c r="N17" s="39">
        <f>((($AN17+($AO17-$AN17)*IF(VLOOKUP($Q17,武学奇术!$A:$ZZ,31,FALSE)=1,$F$18,0.5))*$AH17+$AI17)*(1+$AP17)*(1+$AQ17)+(($AS17+($AT17-$AS17)*IF(VLOOKUP($Q17,武学奇术!$A:$ZZ,31,FALSE)=1,$F$18,0.5))*IF($G$1="鸣金",$AJ17,$AH17)+IF($G$1="鸣金",$AK17*1.5,0))*(1+$AU17)*(1+$AV17)+(($AW17+($AX17-$AW17)*IF(VLOOKUP($Q17,武学奇术!$A:$ZZ,31,FALSE)=1,$F$18,0.5))*IF($G$1="裂石",$AJ17,$AH17)+IF($G$1="裂石",$AK17*1.5,0))*(1+$AY17)*(1+$AZ17)+(($BA17+($BB17-$BA17)*IF(VLOOKUP($Q17,武学奇术!$A:$ZZ,31,FALSE)=1,$F$18,0.5))*IF($G$1="牵丝",$AJ17,$AH17)+IF($G$1="牵丝",$AK17*1.5,0))*(1+$BC17)*(1+$BD17)+(($BE17+($BF17-$BE17)*IF(VLOOKUP($Q17,武学奇术!$A:$ZZ,31,FALSE)=1,$F$18,0.5))*IF($G$1="破竹",$AJ17,$AH17)+IF($G$1="破竹",$AK17*1.5,0))*(1+$BG17)*(1+$BH17))*(1+$AL17)*$P17*(1+IF(VLOOKUP($Q17,武学奇术!$A:$ZZ,30,FALSE)="蓄力技",$B$21,0))*(1+$BQ17)</f>
        <v>398076.745099598</v>
      </c>
      <c r="O17" s="39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350667.082988234</v>
      </c>
      <c r="P17" s="40">
        <v>1</v>
      </c>
      <c r="Q17" s="41" t="s">
        <v>131</v>
      </c>
      <c r="R17" s="41" t="s">
        <v>97</v>
      </c>
      <c r="S17" s="41" t="s">
        <v>132</v>
      </c>
      <c r="T17" s="41" t="s">
        <v>133</v>
      </c>
      <c r="U17" s="41" t="s">
        <v>74</v>
      </c>
      <c r="V17" s="41" t="s">
        <v>73</v>
      </c>
      <c r="W17" s="41" t="s">
        <v>73</v>
      </c>
      <c r="X17" s="41" t="s">
        <v>89</v>
      </c>
      <c r="Y17" s="41" t="s">
        <v>73</v>
      </c>
      <c r="Z17" s="41" t="s">
        <v>105</v>
      </c>
      <c r="AA17" s="41" t="s">
        <v>73</v>
      </c>
      <c r="AB17" s="41" t="s">
        <v>73</v>
      </c>
      <c r="AC17" s="41" t="s">
        <v>73</v>
      </c>
      <c r="AD17" s="41" t="s">
        <v>73</v>
      </c>
      <c r="AE17" s="41" t="s">
        <v>77</v>
      </c>
      <c r="AF17" s="41" t="s">
        <v>78</v>
      </c>
      <c r="AG17" t="str">
        <f>VLOOKUP($Q17,武学奇术!$A:$ZZ,25,FALSE)</f>
        <v>拳甲</v>
      </c>
      <c r="AH17" s="27">
        <f>VLOOKUP($Q17,武学奇术!$A:$ZZ,26,FALSE)</f>
        <v>16.8107</v>
      </c>
      <c r="AI17" s="28">
        <f>VLOOKUP($Q17,武学奇术!$A:$ZZ,27,FALSE)*(1+IF(OR($AG17=$F$4,$AG17=$F$5),$B$22,0))</f>
        <v>6970.5</v>
      </c>
      <c r="AJ17" s="27">
        <f>VLOOKUP($Q17,武学奇术!$A:$ZZ,28,FALSE)</f>
        <v>25.2161</v>
      </c>
      <c r="AK17" s="28">
        <f>VLOOKUP($Q17,武学奇术!$A:$ZZ,29,FALSE)*(1+IF(OR($AG17=$F$4,$AG17=$F$5),$B$22,0))</f>
        <v>3799.5</v>
      </c>
      <c r="AL17" s="27" cm="1">
        <f t="array" ref="AL17">$G$3+IFERROR(VLOOKUP($AG17,$F$4:$G$7,2,FALSE),0)+VLOOKUP($Q17,武学奇术!$A:$ZZ,2,FALSE)+SUM(_xlfn.XLOOKUP($R17:$AF17,增益!$A:$A,增益!$B:$B,0))</f>
        <v>0.7941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3826.382</v>
      </c>
      <c r="AO17" cm="1">
        <f t="array" ref="AO17">$E$10*(1+$AM17)+VLOOKUP($Q17,武学奇术!$A:$ZZ,4,FALSE)+SUM(_xlfn.XLOOKUP($R17:$AF17,增益!$A:$A,增益!$D:$D,0))-$I$2</f>
        <v>3826.382</v>
      </c>
      <c r="AP17" s="33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0.372</v>
      </c>
      <c r="AQ17" s="33" cm="1">
        <f t="array" ref="AQ17">$G$10+VLOOKUP($Q17,武学奇术!$A:$ZZ,7,FALSE)+SUM(_xlfn.XLOOKUP(R17:AF17,增益!$A:$A,增益!$G:$G,0))</f>
        <v>0.09</v>
      </c>
      <c r="AR17" s="27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3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-0.24</v>
      </c>
      <c r="AV17" s="33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3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-0.24</v>
      </c>
      <c r="AZ17" s="33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33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-0.24</v>
      </c>
      <c r="BD17" s="33" cm="1">
        <f t="array" ref="BD17">$G$13+VLOOKUP($Q17,武学奇术!$A:$ZZ,14,FALSE)+SUM(_xlfn.XLOOKUP(R17:AF17,增益!$A:$A,增益!$N:$N,0))</f>
        <v>0</v>
      </c>
      <c r="BE17">
        <f t="shared" si="7"/>
        <v>605.472</v>
      </c>
      <c r="BF17">
        <f t="shared" si="8"/>
        <v>1725.468</v>
      </c>
      <c r="BG17" s="33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0.03</v>
      </c>
      <c r="BH17" s="33" cm="1">
        <f t="array" ref="BH17">$G$14+VLOOKUP($Q17,武学奇术!$A:$ZZ,16,FALSE)+SUM(_xlfn.XLOOKUP(R17:AF17,增益!$A:$A,增益!$P:$P,0))</f>
        <v>0.24</v>
      </c>
      <c r="BI17" s="27">
        <f>MIN(IF(VLOOKUP($Q17,武学奇术!$A:$ZZ,23,FALSE)=1,100%,$B$8),100%)</f>
        <v>1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+MIN(IF(VLOOKUP($Q17,武学奇术!$A:$ZZ,32,FALSE)=1,IF(VLOOKUP($Q17,武学奇术!$A:$ZZ,24,FALSE)=1,100%,MIN(40%,$B$10+VLOOKUP($Q17,武学奇术!$A:$ZZ,19,FALSE)+SUM(_xlfn.XLOOKUP(R17:AF17,增益!$A:$A,增益!$S:$S,0)))+$B$12+SUM(_xlfn.XLOOKUP(R17:AF17,增益!$A:$A,增益!$V:$V,0))),0),12%)</f>
        <v>0.9965</v>
      </c>
      <c r="BK17" s="27" cm="1">
        <f t="array" ref="BK17">1+$B$13+VLOOKUP($Q17,武学奇术!$A:$ZZ,18,FALSE)+SUM(_xlfn.XLOOKUP(R17:AF17,增益!$A:$A,增益!$R:$R,0))</f>
        <v>2.32</v>
      </c>
      <c r="BL17" s="27" cm="1">
        <f t="array" ref="BL17">MAX(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-IF(VLOOKUP($Q17,武学奇术!$A:$ZZ,32,FALSE)=1,12%,0),0)</f>
        <v>0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0.9965</v>
      </c>
      <c r="BO17" s="27">
        <f t="shared" si="10"/>
        <v>0.00350000000000006</v>
      </c>
      <c r="BP17" s="27">
        <f>IF(VLOOKUP($Q17,武学奇术!$A:$ZZ,22,FALSE)=1,0,(1-$BI17))*(1-$BL17)</f>
        <v>0</v>
      </c>
      <c r="BQ17" s="27" cm="1">
        <f t="array" ref="BQ17">SUM(_xlfn.XLOOKUP(R17:AF17,增益!$A:$A,增益!$W:$W,0))+$I$5</f>
        <v>0.11</v>
      </c>
    </row>
    <row r="18" spans="1:69">
      <c r="A18" s="42" t="s">
        <v>134</v>
      </c>
      <c r="B18" s="70">
        <f>期望!B18</f>
        <v>0</v>
      </c>
      <c r="C18" s="40" t="s">
        <v>135</v>
      </c>
      <c r="D18" s="80" t="s">
        <v>147</v>
      </c>
      <c r="E18" s="40" t="s">
        <v>136</v>
      </c>
      <c r="F18" s="86">
        <v>0.5</v>
      </c>
      <c r="K18" s="39">
        <f t="shared" si="0"/>
        <v>354865.974121038</v>
      </c>
      <c r="L18" s="39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BK18*$P18*(1+IF(VLOOKUP($Q18,武学奇术!$A:$ZZ,30,FALSE)="蓄力技",$B$21,0))*(1+$BQ18)</f>
        <v>355574.056941326</v>
      </c>
      <c r="M18" s="39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231548.696360911</v>
      </c>
      <c r="N18" s="39">
        <f>((($AN18+($AO18-$AN18)*IF(VLOOKUP($Q18,武学奇术!$A:$ZZ,31,FALSE)=1,$F$18,0.5))*$AH18+$AI18)*(1+$AP18)*(1+$AQ18)+(($AS18+($AT18-$AS18)*IF(VLOOKUP($Q18,武学奇术!$A:$ZZ,31,FALSE)=1,$F$18,0.5))*IF($G$1="鸣金",$AJ18,$AH18)+IF($G$1="鸣金",$AK18*1.5,0))*(1+$AU18)*(1+$AV18)+(($AW18+($AX18-$AW18)*IF(VLOOKUP($Q18,武学奇术!$A:$ZZ,31,FALSE)=1,$F$18,0.5))*IF($G$1="裂石",$AJ18,$AH18)+IF($G$1="裂石",$AK18*1.5,0))*(1+$AY18)*(1+$AZ18)+(($BA18+($BB18-$BA18)*IF(VLOOKUP($Q18,武学奇术!$A:$ZZ,31,FALSE)=1,$F$18,0.5))*IF($G$1="牵丝",$AJ18,$AH18)+IF($G$1="牵丝",$AK18*1.5,0))*(1+$BC18)*(1+$BD18)+(($BE18+($BF18-$BE18)*IF(VLOOKUP($Q18,武学奇术!$A:$ZZ,31,FALSE)=1,$F$18,0.5))*IF($G$1="破竹",$AJ18,$AH18)+IF($G$1="破竹",$AK18*1.5,0))*(1+$BG18)*(1+$BH18))*(1+$AL18)*$P18*(1+IF(VLOOKUP($Q18,武学奇术!$A:$ZZ,30,FALSE)="蓄力技",$B$21,0))*(1+$BQ18)</f>
        <v>153264.679716089</v>
      </c>
      <c r="O18" s="39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135011.806572244</v>
      </c>
      <c r="P18" s="40">
        <v>1</v>
      </c>
      <c r="Q18" s="41" t="s">
        <v>138</v>
      </c>
      <c r="R18" s="41" t="s">
        <v>97</v>
      </c>
      <c r="S18" s="41" t="s">
        <v>132</v>
      </c>
      <c r="T18" s="41" t="s">
        <v>133</v>
      </c>
      <c r="U18" s="41" t="s">
        <v>74</v>
      </c>
      <c r="V18" s="41" t="s">
        <v>73</v>
      </c>
      <c r="W18" s="41" t="s">
        <v>73</v>
      </c>
      <c r="X18" s="41" t="s">
        <v>89</v>
      </c>
      <c r="Y18" s="41" t="s">
        <v>73</v>
      </c>
      <c r="Z18" s="41" t="s">
        <v>105</v>
      </c>
      <c r="AA18" s="41" t="s">
        <v>73</v>
      </c>
      <c r="AB18" s="41" t="s">
        <v>73</v>
      </c>
      <c r="AC18" s="41" t="s">
        <v>73</v>
      </c>
      <c r="AD18" s="41" t="s">
        <v>73</v>
      </c>
      <c r="AE18" s="41" t="s">
        <v>77</v>
      </c>
      <c r="AF18" s="41" t="s">
        <v>78</v>
      </c>
      <c r="AG18" t="str">
        <f>VLOOKUP($Q18,武学奇术!$A:$ZZ,25,FALSE)</f>
        <v>拳甲</v>
      </c>
      <c r="AH18" s="27">
        <f>VLOOKUP($Q18,武学奇术!$A:$ZZ,26,FALSE)</f>
        <v>6.4722</v>
      </c>
      <c r="AI18" s="28">
        <f>VLOOKUP($Q18,武学奇术!$A:$ZZ,27,FALSE)*(1+IF(OR($AG18=$F$4,$AG18=$F$5),$B$22,0))</f>
        <v>2683.8</v>
      </c>
      <c r="AJ18" s="27">
        <f>VLOOKUP($Q18,武学奇术!$A:$ZZ,28,FALSE)</f>
        <v>9.70828</v>
      </c>
      <c r="AK18" s="28">
        <f>VLOOKUP($Q18,武学奇术!$A:$ZZ,29,FALSE)*(1+IF(OR($AG18=$F$4,$AG18=$F$5),$B$22,0))</f>
        <v>1463.4</v>
      </c>
      <c r="AL18" s="27" cm="1">
        <f t="array" ref="AL18">$G$3+IFERROR(VLOOKUP($AG18,$F$4:$G$7,2,FALSE),0)+VLOOKUP($Q18,武学奇术!$A:$ZZ,2,FALSE)+SUM(_xlfn.XLOOKUP($R18:$AF18,增益!$A:$A,增益!$B:$B,0))</f>
        <v>0.7941</v>
      </c>
      <c r="AM18" s="27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3826.382</v>
      </c>
      <c r="AO18" cm="1">
        <f t="array" ref="AO18">$E$10*(1+$AM18)+VLOOKUP($Q18,武学奇术!$A:$ZZ,4,FALSE)+SUM(_xlfn.XLOOKUP($R18:$AF18,增益!$A:$A,增益!$D:$D,0))-$I$2</f>
        <v>3826.382</v>
      </c>
      <c r="AP18" s="33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0.372</v>
      </c>
      <c r="AQ18" s="33" cm="1">
        <f t="array" ref="AQ18">$G$10+VLOOKUP($Q18,武学奇术!$A:$ZZ,7,FALSE)+SUM(_xlfn.XLOOKUP(R18:AF18,增益!$A:$A,增益!$G:$G,0))</f>
        <v>0.09</v>
      </c>
      <c r="AR18" s="27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3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-0.24</v>
      </c>
      <c r="AV18" s="33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3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-0.24</v>
      </c>
      <c r="AZ18" s="33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33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-0.24</v>
      </c>
      <c r="BD18" s="33" cm="1">
        <f t="array" ref="BD18">$G$13+VLOOKUP($Q18,武学奇术!$A:$ZZ,14,FALSE)+SUM(_xlfn.XLOOKUP(R18:AF18,增益!$A:$A,增益!$N:$N,0))</f>
        <v>0</v>
      </c>
      <c r="BE18">
        <f t="shared" si="7"/>
        <v>605.472</v>
      </c>
      <c r="BF18">
        <f t="shared" si="8"/>
        <v>1725.468</v>
      </c>
      <c r="BG18" s="33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0.03</v>
      </c>
      <c r="BH18" s="33" cm="1">
        <f t="array" ref="BH18">$G$14+VLOOKUP($Q18,武学奇术!$A:$ZZ,16,FALSE)+SUM(_xlfn.XLOOKUP(R18:AF18,增益!$A:$A,增益!$P:$P,0))</f>
        <v>0.24</v>
      </c>
      <c r="BI18" s="27">
        <f>MIN(IF(VLOOKUP($Q18,武学奇术!$A:$ZZ,23,FALSE)=1,100%,$B$8),100%)</f>
        <v>1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+MIN(IF(VLOOKUP($Q18,武学奇术!$A:$ZZ,32,FALSE)=1,IF(VLOOKUP($Q18,武学奇术!$A:$ZZ,24,FALSE)=1,100%,MIN(40%,$B$10+VLOOKUP($Q18,武学奇术!$A:$ZZ,19,FALSE)+SUM(_xlfn.XLOOKUP(R18:AF18,增益!$A:$A,增益!$S:$S,0)))+$B$12+SUM(_xlfn.XLOOKUP(R18:AF18,增益!$A:$A,增益!$V:$V,0))),0),12%)</f>
        <v>0.9965</v>
      </c>
      <c r="BK18" s="27" cm="1">
        <f t="array" ref="BK18">1+$B$13+VLOOKUP($Q18,武学奇术!$A:$ZZ,18,FALSE)+SUM(_xlfn.XLOOKUP(R18:AF18,增益!$A:$A,增益!$R:$R,0))</f>
        <v>2.32</v>
      </c>
      <c r="BL18" s="27" cm="1">
        <f t="array" ref="BL18">MAX(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-IF(VLOOKUP($Q18,武学奇术!$A:$ZZ,32,FALSE)=1,12%,0),0)</f>
        <v>0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0.9965</v>
      </c>
      <c r="BO18" s="27">
        <f t="shared" si="10"/>
        <v>0.00350000000000006</v>
      </c>
      <c r="BP18" s="27">
        <f>IF(VLOOKUP($Q18,武学奇术!$A:$ZZ,22,FALSE)=1,0,(1-$BI18))*(1-$BL18)</f>
        <v>0</v>
      </c>
      <c r="BQ18" s="27" cm="1">
        <f t="array" ref="BQ18">SUM(_xlfn.XLOOKUP(R18:AF18,增益!$A:$A,增益!$W:$W,0))+$I$5</f>
        <v>0.11</v>
      </c>
    </row>
    <row r="19" spans="1:69">
      <c r="A19" s="42" t="s">
        <v>139</v>
      </c>
      <c r="B19" s="70">
        <f>期望!B19</f>
        <v>0</v>
      </c>
      <c r="C19" s="40" t="s">
        <v>140</v>
      </c>
      <c r="D19" s="80" t="s">
        <v>147</v>
      </c>
      <c r="K19" s="39">
        <f t="shared" si="0"/>
        <v>63984.6963184771</v>
      </c>
      <c r="L19" s="39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BK19*$P19*(1+IF(VLOOKUP($Q19,武学奇术!$A:$ZZ,30,FALSE)="蓄力技",$B$21,0))*(1+$BQ19)</f>
        <v>65146.4406799253</v>
      </c>
      <c r="M19" s="39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53754.3111130546</v>
      </c>
      <c r="N19" s="39">
        <f>((($AN19+($AO19-$AN19)*IF(VLOOKUP($Q19,武学奇术!$A:$ZZ,31,FALSE)=1,$F$18,0.5))*$AH19+$AI19)*(1+$AP19)*(1+$AQ19)+(($AS19+($AT19-$AS19)*IF(VLOOKUP($Q19,武学奇术!$A:$ZZ,31,FALSE)=1,$F$18,0.5))*IF($G$1="鸣金",$AJ19,$AH19)+IF($G$1="鸣金",$AK19*1.5,0))*(1+$AU19)*(1+$AV19)+(($AW19+($AX19-$AW19)*IF(VLOOKUP($Q19,武学奇术!$A:$ZZ,31,FALSE)=1,$F$18,0.5))*IF($G$1="裂石",$AJ19,$AH19)+IF($G$1="裂石",$AK19*1.5,0))*(1+$AY19)*(1+$AZ19)+(($BA19+($BB19-$BA19)*IF(VLOOKUP($Q19,武学奇术!$A:$ZZ,31,FALSE)=1,$F$18,0.5))*IF($G$1="牵丝",$AJ19,$AH19)+IF($G$1="牵丝",$AK19*1.5,0))*(1+$BC19)*(1+$BD19)+(($BE19+($BF19-$BE19)*IF(VLOOKUP($Q19,武学奇术!$A:$ZZ,31,FALSE)=1,$F$18,0.5))*IF($G$1="破竹",$AJ19,$AH19)+IF($G$1="破竹",$AK19*1.5,0))*(1+$BG19)*(1+$BH19))*(1+$AL19)*$P19*(1+IF(VLOOKUP($Q19,武学奇术!$A:$ZZ,30,FALSE)="蓄力技",$B$21,0))*(1+$BQ19)</f>
        <v>35599.1479125275</v>
      </c>
      <c r="O19" s="39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31380.2875931626</v>
      </c>
      <c r="P19" s="40">
        <v>1</v>
      </c>
      <c r="Q19" s="41" t="s">
        <v>120</v>
      </c>
      <c r="R19" s="41" t="s">
        <v>97</v>
      </c>
      <c r="S19" s="41" t="s">
        <v>132</v>
      </c>
      <c r="T19" s="41" t="s">
        <v>133</v>
      </c>
      <c r="U19" s="41" t="s">
        <v>74</v>
      </c>
      <c r="V19" s="41" t="s">
        <v>73</v>
      </c>
      <c r="W19" s="41" t="s">
        <v>73</v>
      </c>
      <c r="X19" s="41" t="s">
        <v>95</v>
      </c>
      <c r="Y19" s="41" t="s">
        <v>73</v>
      </c>
      <c r="Z19" s="41" t="s">
        <v>73</v>
      </c>
      <c r="AA19" s="41" t="s">
        <v>73</v>
      </c>
      <c r="AB19" s="41" t="s">
        <v>73</v>
      </c>
      <c r="AC19" s="41" t="s">
        <v>73</v>
      </c>
      <c r="AD19" s="41" t="s">
        <v>73</v>
      </c>
      <c r="AE19" s="41" t="s">
        <v>77</v>
      </c>
      <c r="AF19" s="41" t="s">
        <v>78</v>
      </c>
      <c r="AG19" t="str">
        <f>VLOOKUP($Q19,武学奇术!$A:$ZZ,25,FALSE)</f>
        <v>拳甲</v>
      </c>
      <c r="AH19" s="27">
        <f>VLOOKUP($Q19,武学奇术!$A:$ZZ,26,FALSE)</f>
        <v>2.4421</v>
      </c>
      <c r="AI19" s="28">
        <f>VLOOKUP($Q19,武学奇术!$A:$ZZ,27,FALSE)*(1+IF(OR($AG19=$F$4,$AG19=$F$5),$B$22,0))</f>
        <v>1012.5</v>
      </c>
      <c r="AJ19" s="27">
        <f>VLOOKUP($Q19,武学奇术!$A:$ZZ,28,FALSE)</f>
        <v>3.6634</v>
      </c>
      <c r="AK19" s="28">
        <f>VLOOKUP($Q19,武学奇术!$A:$ZZ,29,FALSE)*(1+IF(OR($AG19=$F$4,$AG19=$F$5),$B$22,0))</f>
        <v>549</v>
      </c>
      <c r="AL19" s="27" cm="1">
        <f t="array" ref="AL19">$G$3+IFERROR(VLOOKUP($AG19,$F$4:$G$7,2,FALSE),0)+VLOOKUP($Q19,武学奇术!$A:$ZZ,2,FALSE)+SUM(_xlfn.XLOOKUP($R19:$AF19,增益!$A:$A,增益!$B:$B,0))</f>
        <v>0.4941</v>
      </c>
      <c r="AM19" s="27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3826.382</v>
      </c>
      <c r="AO19" cm="1">
        <f t="array" ref="AO19">$E$10*(1+$AM19)+VLOOKUP($Q19,武学奇术!$A:$ZZ,4,FALSE)+SUM(_xlfn.XLOOKUP($R19:$AF19,增益!$A:$A,增益!$D:$D,0))-$I$2</f>
        <v>3826.382</v>
      </c>
      <c r="AP19" s="33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0.342</v>
      </c>
      <c r="AQ19" s="33" cm="1">
        <f t="array" ref="AQ19">$G$10+VLOOKUP($Q19,武学奇术!$A:$ZZ,7,FALSE)+SUM(_xlfn.XLOOKUP(R19:AF19,增益!$A:$A,增益!$G:$G,0))</f>
        <v>0.09</v>
      </c>
      <c r="AR19" s="27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3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3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3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3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33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-0.3</v>
      </c>
      <c r="BD19" s="33" cm="1">
        <f t="array" ref="BD19">$G$13+VLOOKUP($Q19,武学奇术!$A:$ZZ,14,FALSE)+SUM(_xlfn.XLOOKUP(R19:AF19,增益!$A:$A,增益!$N:$N,0))</f>
        <v>0</v>
      </c>
      <c r="BE19">
        <f t="shared" si="7"/>
        <v>605.472</v>
      </c>
      <c r="BF19">
        <f t="shared" si="8"/>
        <v>1725.468</v>
      </c>
      <c r="BG19" s="33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</v>
      </c>
      <c r="BH19" s="33" cm="1">
        <f t="array" ref="BH19">$G$14+VLOOKUP($Q19,武学奇术!$A:$ZZ,16,FALSE)+SUM(_xlfn.XLOOKUP(R19:AF19,增益!$A:$A,增益!$P:$P,0))</f>
        <v>0.24</v>
      </c>
      <c r="BI19" s="27">
        <f>MIN(IF(VLOOKUP($Q19,武学奇术!$A:$ZZ,23,FALSE)=1,100%,$B$8),100%)</f>
        <v>1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+MIN(IF(VLOOKUP($Q19,武学奇术!$A:$ZZ,32,FALSE)=1,IF(VLOOKUP($Q19,武学奇术!$A:$ZZ,24,FALSE)=1,100%,MIN(40%,$B$10+VLOOKUP($Q19,武学奇术!$A:$ZZ,19,FALSE)+SUM(_xlfn.XLOOKUP(R19:AF19,增益!$A:$A,增益!$S:$S,0)))+$B$12+SUM(_xlfn.XLOOKUP(R19:AF19,增益!$A:$A,增益!$V:$V,0))),0),12%)</f>
        <v>0.9036</v>
      </c>
      <c r="BK19" s="27" cm="1">
        <f t="array" ref="BK19">1+$B$13+VLOOKUP($Q19,武学奇术!$A:$ZZ,18,FALSE)+SUM(_xlfn.XLOOKUP(R19:AF19,增益!$A:$A,增益!$R:$R,0))</f>
        <v>1.83</v>
      </c>
      <c r="BL19" s="27" cm="1">
        <f t="array" ref="BL19">MAX(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-IF(VLOOKUP($Q19,武学奇术!$A:$ZZ,32,FALSE)=1,12%,0),0)</f>
        <v>0.0929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0.9036</v>
      </c>
      <c r="BO19" s="27">
        <f t="shared" si="10"/>
        <v>0.00350000000000006</v>
      </c>
      <c r="BP19" s="27">
        <f>IF(VLOOKUP($Q19,武学奇术!$A:$ZZ,22,FALSE)=1,0,(1-$BI19))*(1-$BL19)</f>
        <v>0</v>
      </c>
      <c r="BQ19" s="27" cm="1">
        <f t="array" ref="BQ19">SUM(_xlfn.XLOOKUP(R19:AF19,增益!$A:$A,增益!$W:$W,0))+$I$5</f>
        <v>0.11</v>
      </c>
    </row>
    <row r="20" spans="1:69">
      <c r="A20" s="42" t="s">
        <v>141</v>
      </c>
      <c r="B20" s="70">
        <f>期望!B20</f>
        <v>0</v>
      </c>
      <c r="C20" s="40" t="s">
        <v>142</v>
      </c>
      <c r="D20" s="80" t="s">
        <v>147</v>
      </c>
      <c r="K20" s="39">
        <f t="shared" si="0"/>
        <v>27758.3136773852</v>
      </c>
      <c r="L20" s="39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BK20*$P20*(1+IF(VLOOKUP($Q20,武学奇术!$A:$ZZ,30,FALSE)="蓄力技",$B$21,0))*(1+$BQ20)</f>
        <v>27906.9472153415</v>
      </c>
      <c r="M20" s="39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26697.1559381113</v>
      </c>
      <c r="N20" s="39">
        <f>((($AN20+($AO20-$AN20)*IF(VLOOKUP($Q20,武学奇术!$A:$ZZ,31,FALSE)=1,$F$18,0.5))*$AH20+$AI20)*(1+$AP20)*(1+$AQ20)+(($AS20+($AT20-$AS20)*IF(VLOOKUP($Q20,武学奇术!$A:$ZZ,31,FALSE)=1,$F$18,0.5))*IF($G$1="鸣金",$AJ20,$AH20)+IF($G$1="鸣金",$AK20*1.5,0))*(1+$AU20)*(1+$AV20)+(($AW20+($AX20-$AW20)*IF(VLOOKUP($Q20,武学奇术!$A:$ZZ,31,FALSE)=1,$F$18,0.5))*IF($G$1="裂石",$AJ20,$AH20)+IF($G$1="裂石",$AK20*1.5,0))*(1+$AY20)*(1+$AZ20)+(($BA20+($BB20-$BA20)*IF(VLOOKUP($Q20,武学奇术!$A:$ZZ,31,FALSE)=1,$F$18,0.5))*IF($G$1="牵丝",$AJ20,$AH20)+IF($G$1="牵丝",$AK20*1.5,0))*(1+$BC20)*(1+$BD20)+(($BE20+($BF20-$BE20)*IF(VLOOKUP($Q20,武学奇术!$A:$ZZ,31,FALSE)=1,$F$18,0.5))*IF($G$1="破竹",$AJ20,$AH20)+IF($G$1="破竹",$AK20*1.5,0))*(1+$BG20)*(1+$BH20))*(1+$AL20)*$P20*(1+IF(VLOOKUP($Q20,武学奇术!$A:$ZZ,30,FALSE)="蓄力技",$B$21,0))*(1+$BQ20)</f>
        <v>17551.5391291456</v>
      </c>
      <c r="O20" s="39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15327.4071930236</v>
      </c>
      <c r="P20" s="40">
        <v>1</v>
      </c>
      <c r="Q20" s="41" t="s">
        <v>115</v>
      </c>
      <c r="R20" s="41" t="s">
        <v>97</v>
      </c>
      <c r="S20" s="41" t="s">
        <v>73</v>
      </c>
      <c r="T20" s="41" t="s">
        <v>133</v>
      </c>
      <c r="U20" s="41" t="s">
        <v>74</v>
      </c>
      <c r="V20" s="41" t="s">
        <v>73</v>
      </c>
      <c r="W20" s="41" t="s">
        <v>73</v>
      </c>
      <c r="X20" s="41" t="s">
        <v>144</v>
      </c>
      <c r="Y20" s="41" t="s">
        <v>73</v>
      </c>
      <c r="Z20" s="41" t="s">
        <v>73</v>
      </c>
      <c r="AA20" s="41" t="s">
        <v>73</v>
      </c>
      <c r="AB20" s="41" t="s">
        <v>73</v>
      </c>
      <c r="AC20" s="41" t="s">
        <v>73</v>
      </c>
      <c r="AD20" s="41" t="s">
        <v>73</v>
      </c>
      <c r="AE20" s="41" t="s">
        <v>77</v>
      </c>
      <c r="AF20" s="41" t="s">
        <v>78</v>
      </c>
      <c r="AG20" t="str">
        <f>VLOOKUP($Q20,武学奇术!$A:$ZZ,25,FALSE)</f>
        <v>拳甲</v>
      </c>
      <c r="AH20" s="27">
        <f>VLOOKUP($Q20,武学奇术!$A:$ZZ,26,FALSE)</f>
        <v>1.2876</v>
      </c>
      <c r="AI20" s="28">
        <f>VLOOKUP($Q20,武学奇术!$A:$ZZ,27,FALSE)*(1+IF(OR($AG20=$F$4,$AG20=$F$5),$B$22,0))</f>
        <v>537</v>
      </c>
      <c r="AJ20" s="27">
        <f>VLOOKUP($Q20,武学奇术!$A:$ZZ,28,FALSE)</f>
        <v>1.9313</v>
      </c>
      <c r="AK20" s="28">
        <f>VLOOKUP($Q20,武学奇术!$A:$ZZ,29,FALSE)*(1+IF(OR($AG20=$F$4,$AG20=$F$5),$B$22,0))</f>
        <v>292.5</v>
      </c>
      <c r="AL20" s="27" cm="1">
        <f t="array" ref="AL20">$G$3+IFERROR(VLOOKUP($AG20,$F$4:$G$7,2,FALSE),0)+VLOOKUP($Q20,武学奇术!$A:$ZZ,2,FALSE)+SUM(_xlfn.XLOOKUP($R20:$AF20,增益!$A:$A,增益!$B:$B,0))</f>
        <v>0.4941</v>
      </c>
      <c r="AM20" s="27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3826.382</v>
      </c>
      <c r="AO20" cm="1">
        <f t="array" ref="AO20">$E$10*(1+$AM20)+VLOOKUP($Q20,武学奇术!$A:$ZZ,4,FALSE)+SUM(_xlfn.XLOOKUP($R20:$AF20,增益!$A:$A,增益!$D:$D,0))-$I$2</f>
        <v>3826.382</v>
      </c>
      <c r="AP20" s="33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0.217</v>
      </c>
      <c r="AQ20" s="33" cm="1">
        <f t="array" ref="AQ20">$G$10+VLOOKUP($Q20,武学奇术!$A:$ZZ,7,FALSE)+SUM(_xlfn.XLOOKUP(R20:AF20,增益!$A:$A,增益!$G:$G,0))</f>
        <v>0.09</v>
      </c>
      <c r="AR20" s="27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3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3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3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3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33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-0.3</v>
      </c>
      <c r="BD20" s="33" cm="1">
        <f t="array" ref="BD20">$G$13+VLOOKUP($Q20,武学奇术!$A:$ZZ,14,FALSE)+SUM(_xlfn.XLOOKUP(R20:AF20,增益!$A:$A,增益!$N:$N,0))</f>
        <v>0</v>
      </c>
      <c r="BE20">
        <f t="shared" si="7"/>
        <v>605.472</v>
      </c>
      <c r="BF20">
        <f t="shared" si="8"/>
        <v>1725.468</v>
      </c>
      <c r="BG20" s="33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</v>
      </c>
      <c r="BH20" s="33" cm="1">
        <f t="array" ref="BH20">$G$14+VLOOKUP($Q20,武学奇术!$A:$ZZ,16,FALSE)+SUM(_xlfn.XLOOKUP(R20:AF20,增益!$A:$A,增益!$P:$P,0))</f>
        <v>0.24</v>
      </c>
      <c r="BI20" s="27">
        <f>MIN(IF(VLOOKUP($Q20,武学奇术!$A:$ZZ,23,FALSE)=1,100%,$B$8),100%)</f>
        <v>1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+MIN(IF(VLOOKUP($Q20,武学奇术!$A:$ZZ,32,FALSE)=1,IF(VLOOKUP($Q20,武学奇术!$A:$ZZ,24,FALSE)=1,100%,MIN(40%,$B$10+VLOOKUP($Q20,武学奇术!$A:$ZZ,19,FALSE)+SUM(_xlfn.XLOOKUP(R20:AF20,增益!$A:$A,增益!$S:$S,0)))+$B$12+SUM(_xlfn.XLOOKUP(R20:AF20,增益!$A:$A,增益!$V:$V,0))),0),12%)</f>
        <v>0.9036</v>
      </c>
      <c r="BK20" s="27" cm="1">
        <f t="array" ref="BK20">1+$B$13+VLOOKUP($Q20,武学奇术!$A:$ZZ,18,FALSE)+SUM(_xlfn.XLOOKUP(R20:AF20,增益!$A:$A,增益!$R:$R,0))</f>
        <v>1.59</v>
      </c>
      <c r="BL20" s="27" cm="1">
        <f t="array" ref="BL20">MAX(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-IF(VLOOKUP($Q20,武学奇术!$A:$ZZ,32,FALSE)=1,12%,0),0)</f>
        <v>0.0929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0.9036</v>
      </c>
      <c r="BO20" s="27">
        <f t="shared" si="10"/>
        <v>0.00350000000000006</v>
      </c>
      <c r="BP20" s="27">
        <f>IF(VLOOKUP($Q20,武学奇术!$A:$ZZ,22,FALSE)=1,0,(1-$BI20))*(1-$BL20)</f>
        <v>0</v>
      </c>
      <c r="BQ20" s="27" cm="1">
        <f t="array" ref="BQ20">SUM(_xlfn.XLOOKUP(R20:AF20,增益!$A:$A,增益!$W:$W,0))+$I$5</f>
        <v>0.11</v>
      </c>
    </row>
    <row r="21" ht="14.25" spans="1:69">
      <c r="A21" s="87" t="s">
        <v>145</v>
      </c>
      <c r="B21" s="88">
        <f>期望!B21</f>
        <v>0.32</v>
      </c>
      <c r="E21" s="40" t="s">
        <v>148</v>
      </c>
      <c r="F21" s="40"/>
      <c r="K21" s="39">
        <f t="shared" si="0"/>
        <v>72461.7370873602</v>
      </c>
      <c r="L21" s="39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BK21*$P21*(1+IF(VLOOKUP($Q21,武学奇术!$A:$ZZ,30,FALSE)="蓄力技",$B$21,0))*(1+$BQ21)</f>
        <v>73836.1439249741</v>
      </c>
      <c r="M21" s="39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60351.6021194029</v>
      </c>
      <c r="N21" s="39">
        <f>((($AN21+($AO21-$AN21)*IF(VLOOKUP($Q21,武学奇术!$A:$ZZ,31,FALSE)=1,$F$18,0.5))*$AH21+$AI21)*(1+$AP21)*(1+$AQ21)+(($AS21+($AT21-$AS21)*IF(VLOOKUP($Q21,武学奇术!$A:$ZZ,31,FALSE)=1,$F$18,0.5))*IF($G$1="鸣金",$AJ21,$AH21)+IF($G$1="鸣金",$AK21*1.5,0))*(1+$AU21)*(1+$AV21)+(($AW21+($AX21-$AW21)*IF(VLOOKUP($Q21,武学奇术!$A:$ZZ,31,FALSE)=1,$F$18,0.5))*IF($G$1="裂石",$AJ21,$AH21)+IF($G$1="裂石",$AK21*1.5,0))*(1+$AY21)*(1+$AZ21)+(($BA21+($BB21-$BA21)*IF(VLOOKUP($Q21,武学奇术!$A:$ZZ,31,FALSE)=1,$F$18,0.5))*IF($G$1="牵丝",$AJ21,$AH21)+IF($G$1="牵丝",$AK21*1.5,0))*(1+$BC21)*(1+$BD21)+(($BE21+($BF21-$BE21)*IF(VLOOKUP($Q21,武学奇术!$A:$ZZ,31,FALSE)=1,$F$18,0.5))*IF($G$1="破竹",$AJ21,$AH21)+IF($G$1="破竹",$AK21*1.5,0))*(1+$BG21)*(1+$BH21))*(1+$AL21)*$P21*(1+IF(VLOOKUP($Q21,武学奇术!$A:$ZZ,30,FALSE)="蓄力技",$B$21,0))*(1+$BQ21)</f>
        <v>39066.7428174466</v>
      </c>
      <c r="O21" s="39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33428.5951760763</v>
      </c>
      <c r="P21" s="40">
        <v>1</v>
      </c>
      <c r="Q21" s="41" t="s">
        <v>117</v>
      </c>
      <c r="R21" s="41" t="s">
        <v>97</v>
      </c>
      <c r="S21" s="41" t="s">
        <v>73</v>
      </c>
      <c r="T21" s="41" t="s">
        <v>133</v>
      </c>
      <c r="U21" s="41" t="s">
        <v>74</v>
      </c>
      <c r="V21" s="41" t="s">
        <v>73</v>
      </c>
      <c r="W21" s="41" t="s">
        <v>73</v>
      </c>
      <c r="X21" s="41" t="s">
        <v>144</v>
      </c>
      <c r="Y21" s="41" t="s">
        <v>73</v>
      </c>
      <c r="Z21" s="41" t="s">
        <v>105</v>
      </c>
      <c r="AA21" s="41" t="s">
        <v>73</v>
      </c>
      <c r="AB21" s="41" t="s">
        <v>73</v>
      </c>
      <c r="AC21" s="41" t="s">
        <v>73</v>
      </c>
      <c r="AD21" s="41" t="s">
        <v>73</v>
      </c>
      <c r="AE21" s="41" t="s">
        <v>77</v>
      </c>
      <c r="AF21" s="41" t="s">
        <v>78</v>
      </c>
      <c r="AG21" t="str">
        <f>VLOOKUP($Q21,武学奇术!$A:$ZZ,25,FALSE)</f>
        <v>拳甲</v>
      </c>
      <c r="AH21" s="27">
        <f>VLOOKUP($Q21,武学奇术!$A:$ZZ,26,FALSE)</f>
        <v>2.638944</v>
      </c>
      <c r="AI21" s="28">
        <f>VLOOKUP($Q21,武学奇术!$A:$ZZ,27,FALSE)*(1+IF(OR($AG21=$F$4,$AG21=$F$5),$B$22,0))</f>
        <v>0</v>
      </c>
      <c r="AJ21" s="27">
        <f>VLOOKUP($Q21,武学奇术!$A:$ZZ,28,FALSE)</f>
        <v>3.958416</v>
      </c>
      <c r="AK21" s="28">
        <f>VLOOKUP($Q21,武学奇术!$A:$ZZ,29,FALSE)*(1+IF(OR($AG21=$F$4,$AG21=$F$5),$B$22,0))</f>
        <v>0</v>
      </c>
      <c r="AL21" s="27" cm="1">
        <f t="array" ref="AL21">$G$3+IFERROR(VLOOKUP($AG21,$F$4:$G$7,2,FALSE),0)+VLOOKUP($Q21,武学奇术!$A:$ZZ,2,FALSE)+SUM(_xlfn.XLOOKUP($R21:$AF21,增益!$A:$A,增益!$B:$B,0))</f>
        <v>0.7941</v>
      </c>
      <c r="AM21" s="27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3826.382</v>
      </c>
      <c r="AO21" cm="1">
        <f t="array" ref="AO21">$E$10*(1+$AM21)+VLOOKUP($Q21,武学奇术!$A:$ZZ,4,FALSE)+SUM(_xlfn.XLOOKUP($R21:$AF21,增益!$A:$A,增益!$D:$D,0))-$I$2</f>
        <v>3826.382</v>
      </c>
      <c r="AP21" s="33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0.247</v>
      </c>
      <c r="AQ21" s="33" cm="1">
        <f t="array" ref="AQ21">$G$10+VLOOKUP($Q21,武学奇术!$A:$ZZ,7,FALSE)+SUM(_xlfn.XLOOKUP(R21:AF21,增益!$A:$A,增益!$G:$G,0))</f>
        <v>0.09</v>
      </c>
      <c r="AR21" s="27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3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-0.24</v>
      </c>
      <c r="AV21" s="33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3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-0.24</v>
      </c>
      <c r="AZ21" s="33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33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-0.24</v>
      </c>
      <c r="BD21" s="33" cm="1">
        <f t="array" ref="BD21">$G$13+VLOOKUP($Q21,武学奇术!$A:$ZZ,14,FALSE)+SUM(_xlfn.XLOOKUP(R21:AF21,增益!$A:$A,增益!$N:$N,0))</f>
        <v>0</v>
      </c>
      <c r="BE21">
        <f t="shared" si="7"/>
        <v>605.472</v>
      </c>
      <c r="BF21">
        <f t="shared" si="8"/>
        <v>1725.468</v>
      </c>
      <c r="BG21" s="33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0.03</v>
      </c>
      <c r="BH21" s="33" cm="1">
        <f t="array" ref="BH21">$G$14+VLOOKUP($Q21,武学奇术!$A:$ZZ,16,FALSE)+SUM(_xlfn.XLOOKUP(R21:AF21,增益!$A:$A,增益!$P:$P,0))</f>
        <v>0.24</v>
      </c>
      <c r="BI21" s="27">
        <f>MIN(IF(VLOOKUP($Q21,武学奇术!$A:$ZZ,23,FALSE)=1,100%,$B$8),100%)</f>
        <v>1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+MIN(IF(VLOOKUP($Q21,武学奇术!$A:$ZZ,32,FALSE)=1,IF(VLOOKUP($Q21,武学奇术!$A:$ZZ,24,FALSE)=1,100%,MIN(40%,$B$10+VLOOKUP($Q21,武学奇术!$A:$ZZ,19,FALSE)+SUM(_xlfn.XLOOKUP(R21:AF21,增益!$A:$A,增益!$S:$S,0)))+$B$12+SUM(_xlfn.XLOOKUP(R21:AF21,增益!$A:$A,增益!$V:$V,0))),0),12%)</f>
        <v>0.9036</v>
      </c>
      <c r="BK21" s="27" cm="1">
        <f t="array" ref="BK21">1+$B$13+VLOOKUP($Q21,武学奇术!$A:$ZZ,18,FALSE)+SUM(_xlfn.XLOOKUP(R21:AF21,增益!$A:$A,增益!$R:$R,0))</f>
        <v>1.89</v>
      </c>
      <c r="BL21" s="27" cm="1">
        <f t="array" ref="BL21">MAX(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-IF(VLOOKUP($Q21,武学奇术!$A:$ZZ,32,FALSE)=1,12%,0),0)</f>
        <v>0.0929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0.9036</v>
      </c>
      <c r="BO21" s="27">
        <f t="shared" si="10"/>
        <v>0.00350000000000006</v>
      </c>
      <c r="BP21" s="27">
        <f>IF(VLOOKUP($Q21,武学奇术!$A:$ZZ,22,FALSE)=1,0,(1-$BI21))*(1-$BL21)</f>
        <v>0</v>
      </c>
      <c r="BQ21" s="27" cm="1">
        <f t="array" ref="BQ21">SUM(_xlfn.XLOOKUP(R21:AF21,增益!$A:$A,增益!$W:$W,0))+$I$5</f>
        <v>0.11</v>
      </c>
    </row>
    <row r="22" spans="1:69">
      <c r="A22" t="s">
        <v>149</v>
      </c>
      <c r="B22" s="29">
        <f>期望!B22</f>
        <v>0.5</v>
      </c>
      <c r="E22" s="40" t="str">
        <f>期望!E22</f>
        <v>断石之构</v>
      </c>
      <c r="F22" s="40"/>
      <c r="K22" s="39">
        <f t="shared" si="0"/>
        <v>21130.3432307099</v>
      </c>
      <c r="L22" s="39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BK22*$P22*(1+IF(VLOOKUP($Q22,武学奇术!$A:$ZZ,30,FALSE)="蓄力技",$B$21,0))*(1+$BQ22)</f>
        <v>21255.4923864685</v>
      </c>
      <c r="M22" s="39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20208.65361358</v>
      </c>
      <c r="N22" s="39">
        <f>((($AN22+($AO22-$AN22)*IF(VLOOKUP($Q22,武学奇术!$A:$ZZ,31,FALSE)=1,$F$18,0.5))*$AH22+$AI22)*(1+$AP22)*(1+$AQ22)+(($AS22+($AT22-$AS22)*IF(VLOOKUP($Q22,武学奇术!$A:$ZZ,31,FALSE)=1,$F$18,0.5))*IF($G$1="鸣金",$AJ22,$AH22)+IF($G$1="鸣金",$AK22*1.5,0))*(1+$AU22)*(1+$AV22)+(($AW22+($AX22-$AW22)*IF(VLOOKUP($Q22,武学奇术!$A:$ZZ,31,FALSE)=1,$F$18,0.5))*IF($G$1="裂石",$AJ22,$AH22)+IF($G$1="裂石",$AK22*1.5,0))*(1+$AY22)*(1+$AZ22)+(($BA22+($BB22-$BA22)*IF(VLOOKUP($Q22,武学奇术!$A:$ZZ,31,FALSE)=1,$F$18,0.5))*IF($G$1="牵丝",$AJ22,$AH22)+IF($G$1="牵丝",$AK22*1.5,0))*(1+$BC22)*(1+$BD22)+(($BE22+($BF22-$BE22)*IF(VLOOKUP($Q22,武学奇术!$A:$ZZ,31,FALSE)=1,$F$18,0.5))*IF($G$1="破竹",$AJ22,$AH22)+IF($G$1="破竹",$AK22*1.5,0))*(1+$BG22)*(1+$BH22))*(1+$AL22)*$P22*(1+IF(VLOOKUP($Q22,武学奇术!$A:$ZZ,30,FALSE)="蓄力技",$B$21,0))*(1+$BQ22)</f>
        <v>13284.6827415428</v>
      </c>
      <c r="O22" s="39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11599.9924359893</v>
      </c>
      <c r="P22" s="40">
        <v>1</v>
      </c>
      <c r="Q22" s="41" t="s">
        <v>151</v>
      </c>
      <c r="R22" s="41" t="s">
        <v>97</v>
      </c>
      <c r="S22" s="41" t="s">
        <v>73</v>
      </c>
      <c r="T22" s="41" t="s">
        <v>73</v>
      </c>
      <c r="U22" s="41" t="s">
        <v>73</v>
      </c>
      <c r="V22" s="41" t="s">
        <v>73</v>
      </c>
      <c r="W22" s="41" t="s">
        <v>73</v>
      </c>
      <c r="X22" s="41" t="s">
        <v>152</v>
      </c>
      <c r="Y22" s="41" t="s">
        <v>73</v>
      </c>
      <c r="Z22" s="41" t="s">
        <v>73</v>
      </c>
      <c r="AA22" s="41" t="s">
        <v>73</v>
      </c>
      <c r="AB22" s="41" t="s">
        <v>73</v>
      </c>
      <c r="AC22" s="41" t="s">
        <v>73</v>
      </c>
      <c r="AD22" s="41" t="s">
        <v>73</v>
      </c>
      <c r="AE22" s="41" t="s">
        <v>77</v>
      </c>
      <c r="AF22" s="41" t="s">
        <v>78</v>
      </c>
      <c r="AG22" t="str">
        <f>VLOOKUP($Q22,武学奇术!$A:$ZZ,25,FALSE)</f>
        <v>拳甲</v>
      </c>
      <c r="AH22" s="27">
        <f>VLOOKUP($Q22,武学奇术!$A:$ZZ,26,FALSE)</f>
        <v>1.1005</v>
      </c>
      <c r="AI22" s="28">
        <f>VLOOKUP($Q22,武学奇术!$A:$ZZ,27,FALSE)*(1+IF(OR($AG22=$F$4,$AG22=$F$5),$B$22,0))</f>
        <v>457.5</v>
      </c>
      <c r="AJ22" s="27">
        <f>VLOOKUP($Q22,武学奇术!$A:$ZZ,28,FALSE)</f>
        <v>1.6507</v>
      </c>
      <c r="AK22" s="28">
        <f>VLOOKUP($Q22,武学奇术!$A:$ZZ,29,FALSE)*(1+IF(OR($AG22=$F$4,$AG22=$F$5),$B$22,0))</f>
        <v>247.5</v>
      </c>
      <c r="AL22" s="27" cm="1">
        <f t="array" ref="AL22">$G$3+IFERROR(VLOOKUP($AG22,$F$4:$G$7,2,FALSE),0)+VLOOKUP($Q22,武学奇术!$A:$ZZ,2,FALSE)+SUM(_xlfn.XLOOKUP($R22:$AF22,增益!$A:$A,增益!$B:$B,0))</f>
        <v>0.3241</v>
      </c>
      <c r="AM22" s="27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3826.382</v>
      </c>
      <c r="AO22" cm="1">
        <f t="array" ref="AO22">$E$10*(1+$AM22)+VLOOKUP($Q22,武学奇术!$A:$ZZ,4,FALSE)+SUM(_xlfn.XLOOKUP($R22:$AF22,增益!$A:$A,增益!$D:$D,0))-$I$2</f>
        <v>3826.382</v>
      </c>
      <c r="AP22" s="33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0.217</v>
      </c>
      <c r="AQ22" s="33" cm="1">
        <f t="array" ref="AQ22">$G$10+VLOOKUP($Q22,武学奇术!$A:$ZZ,7,FALSE)+SUM(_xlfn.XLOOKUP(R22:AF22,增益!$A:$A,增益!$G:$G,0))</f>
        <v>0.09</v>
      </c>
      <c r="AR22" s="27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3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3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3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3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33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-0.3</v>
      </c>
      <c r="BD22" s="33" cm="1">
        <f t="array" ref="BD22">$G$13+VLOOKUP($Q22,武学奇术!$A:$ZZ,14,FALSE)+SUM(_xlfn.XLOOKUP(R22:AF22,增益!$A:$A,增益!$N:$N,0))</f>
        <v>0</v>
      </c>
      <c r="BE22">
        <f t="shared" si="7"/>
        <v>605.472</v>
      </c>
      <c r="BF22">
        <f t="shared" si="8"/>
        <v>1725.468</v>
      </c>
      <c r="BG22" s="33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</v>
      </c>
      <c r="BH22" s="33" cm="1">
        <f t="array" ref="BH22">$G$14+VLOOKUP($Q22,武学奇术!$A:$ZZ,16,FALSE)+SUM(_xlfn.XLOOKUP(R22:AF22,增益!$A:$A,增益!$P:$P,0))</f>
        <v>0.24</v>
      </c>
      <c r="BI22" s="27">
        <f>MIN(IF(VLOOKUP($Q22,武学奇术!$A:$ZZ,23,FALSE)=1,100%,$B$8),100%)</f>
        <v>1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+MIN(IF(VLOOKUP($Q22,武学奇术!$A:$ZZ,32,FALSE)=1,IF(VLOOKUP($Q22,武学奇术!$A:$ZZ,24,FALSE)=1,100%,MIN(40%,$B$10+VLOOKUP($Q22,武学奇术!$A:$ZZ,19,FALSE)+SUM(_xlfn.XLOOKUP(R22:AF22,增益!$A:$A,增益!$S:$S,0)))+$B$12+SUM(_xlfn.XLOOKUP(R22:AF22,增益!$A:$A,增益!$V:$V,0))),0),12%)</f>
        <v>0.9036</v>
      </c>
      <c r="BK22" s="27" cm="1">
        <f t="array" ref="BK22">1+$B$13+VLOOKUP($Q22,武学奇术!$A:$ZZ,18,FALSE)+SUM(_xlfn.XLOOKUP(R22:AF22,增益!$A:$A,增益!$R:$R,0))</f>
        <v>1.6</v>
      </c>
      <c r="BL22" s="27" cm="1">
        <f t="array" ref="BL22">MAX(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-IF(VLOOKUP($Q22,武学奇术!$A:$ZZ,32,FALSE)=1,12%,0),0)</f>
        <v>0.0929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0.9036</v>
      </c>
      <c r="BO22" s="27">
        <f t="shared" si="10"/>
        <v>0.00350000000000006</v>
      </c>
      <c r="BP22" s="27">
        <f>IF(VLOOKUP($Q22,武学奇术!$A:$ZZ,22,FALSE)=1,0,(1-$BI22))*(1-$BL22)</f>
        <v>0</v>
      </c>
      <c r="BQ22" s="27" cm="1">
        <f t="array" ref="BQ22">SUM(_xlfn.XLOOKUP(R22:AF22,增益!$A:$A,增益!$W:$W,0))+$I$5</f>
        <v>0.11</v>
      </c>
    </row>
    <row r="23" spans="1:69">
      <c r="A23" t="s">
        <v>153</v>
      </c>
      <c r="B23" s="89">
        <f>期望!B23</f>
        <v>200</v>
      </c>
      <c r="E23" s="40" t="s">
        <v>154</v>
      </c>
      <c r="F23" s="40"/>
      <c r="K23" s="39">
        <f t="shared" si="0"/>
        <v>79941.5134897464</v>
      </c>
      <c r="L23" s="39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BK23*$P23*(1+IF(VLOOKUP($Q23,武学奇术!$A:$ZZ,30,FALSE)="蓄力技",$B$21,0))*(1+$BQ23)</f>
        <v>81641.9845072272</v>
      </c>
      <c r="M23" s="39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64794.6518800912</v>
      </c>
      <c r="N23" s="39">
        <f>((($AN23+($AO23-$AN23)*IF(VLOOKUP($Q23,武学奇术!$A:$ZZ,31,FALSE)=1,$F$18,0.5))*$AH23+$AI23)*(1+$AP23)*(1+$AQ23)+(($AS23+($AT23-$AS23)*IF(VLOOKUP($Q23,武学奇术!$A:$ZZ,31,FALSE)=1,$F$18,0.5))*IF($G$1="鸣金",$AJ23,$AH23)+IF($G$1="鸣金",$AK23*1.5,0))*(1+$AU23)*(1+$AV23)+(($AW23+($AX23-$AW23)*IF(VLOOKUP($Q23,武学奇术!$A:$ZZ,31,FALSE)=1,$F$18,0.5))*IF($G$1="裂石",$AJ23,$AH23)+IF($G$1="裂石",$AK23*1.5,0))*(1+$AY23)*(1+$AZ23)+(($BA23+($BB23-$BA23)*IF(VLOOKUP($Q23,武学奇术!$A:$ZZ,31,FALSE)=1,$F$18,0.5))*IF($G$1="牵丝",$AJ23,$AH23)+IF($G$1="牵丝",$AK23*1.5,0))*(1+$BC23)*(1+$BD23)+(($BE23+($BF23-$BE23)*IF(VLOOKUP($Q23,武学奇术!$A:$ZZ,31,FALSE)=1,$F$18,0.5))*IF($G$1="破竹",$AJ23,$AH23)+IF($G$1="破竹",$AK23*1.5,0))*(1+$BG23)*(1+$BH23))*(1+$AL23)*$P23*(1+IF(VLOOKUP($Q23,武学奇术!$A:$ZZ,30,FALSE)="蓄力技",$B$21,0))*(1+$BQ23)</f>
        <v>42969.4655301196</v>
      </c>
      <c r="O23" s="39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37942.892630542</v>
      </c>
      <c r="P23" s="40">
        <v>1</v>
      </c>
      <c r="Q23" s="41" t="s">
        <v>112</v>
      </c>
      <c r="R23" s="41" t="s">
        <v>97</v>
      </c>
      <c r="S23" s="41" t="s">
        <v>73</v>
      </c>
      <c r="T23" s="41" t="s">
        <v>73</v>
      </c>
      <c r="U23" s="41" t="s">
        <v>73</v>
      </c>
      <c r="V23" s="41" t="s">
        <v>73</v>
      </c>
      <c r="W23" s="41" t="s">
        <v>73</v>
      </c>
      <c r="X23" s="41" t="s">
        <v>152</v>
      </c>
      <c r="Y23" s="41" t="s">
        <v>73</v>
      </c>
      <c r="Z23" s="41" t="s">
        <v>105</v>
      </c>
      <c r="AA23" s="41" t="s">
        <v>73</v>
      </c>
      <c r="AB23" s="41" t="s">
        <v>73</v>
      </c>
      <c r="AC23" s="41" t="s">
        <v>73</v>
      </c>
      <c r="AD23" s="41" t="s">
        <v>73</v>
      </c>
      <c r="AE23" s="41" t="s">
        <v>77</v>
      </c>
      <c r="AF23" s="41" t="s">
        <v>78</v>
      </c>
      <c r="AG23" t="str">
        <f>VLOOKUP($Q23,武学奇术!$A:$ZZ,25,FALSE)</f>
        <v>拳甲</v>
      </c>
      <c r="AH23" s="27">
        <f>VLOOKUP($Q23,武学奇术!$A:$ZZ,26,FALSE)</f>
        <v>2.91176</v>
      </c>
      <c r="AI23" s="28">
        <f>VLOOKUP($Q23,武学奇术!$A:$ZZ,27,FALSE)*(1+IF(OR($AG23=$F$4,$AG23=$F$5),$B$22,0))</f>
        <v>1208.7</v>
      </c>
      <c r="AJ23" s="27">
        <f>VLOOKUP($Q23,武学奇术!$A:$ZZ,28,FALSE)</f>
        <v>3.89844</v>
      </c>
      <c r="AK23" s="28">
        <f>VLOOKUP($Q23,武学奇术!$A:$ZZ,29,FALSE)*(1+IF(OR($AG23=$F$4,$AG23=$F$5),$B$22,0))</f>
        <v>650.25</v>
      </c>
      <c r="AL23" s="27" cm="1">
        <f t="array" ref="AL23">$G$3+IFERROR(VLOOKUP($AG23,$F$4:$G$7,2,FALSE),0)+VLOOKUP($Q23,武学奇术!$A:$ZZ,2,FALSE)+SUM(_xlfn.XLOOKUP($R23:$AF23,增益!$A:$A,增益!$B:$B,0))</f>
        <v>0.6241</v>
      </c>
      <c r="AM23" s="27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3826.382</v>
      </c>
      <c r="AO23" cm="1">
        <f t="array" ref="AO23">$E$10*(1+$AM23)+VLOOKUP($Q23,武学奇术!$A:$ZZ,4,FALSE)+SUM(_xlfn.XLOOKUP($R23:$AF23,增益!$A:$A,增益!$D:$D,0))-$I$2</f>
        <v>3826.382</v>
      </c>
      <c r="AP23" s="33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0.247</v>
      </c>
      <c r="AQ23" s="33" cm="1">
        <f t="array" ref="AQ23">$G$10+VLOOKUP($Q23,武学奇术!$A:$ZZ,7,FALSE)+SUM(_xlfn.XLOOKUP(R23:AF23,增益!$A:$A,增益!$G:$G,0))</f>
        <v>0.09</v>
      </c>
      <c r="AR23" s="27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3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-0.24</v>
      </c>
      <c r="AV23" s="33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3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-0.24</v>
      </c>
      <c r="AZ23" s="33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33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-0.24</v>
      </c>
      <c r="BD23" s="33" cm="1">
        <f t="array" ref="BD23">$G$13+VLOOKUP($Q23,武学奇术!$A:$ZZ,14,FALSE)+SUM(_xlfn.XLOOKUP(R23:AF23,增益!$A:$A,增益!$N:$N,0))</f>
        <v>0</v>
      </c>
      <c r="BE23">
        <f t="shared" si="7"/>
        <v>605.472</v>
      </c>
      <c r="BF23">
        <f t="shared" si="8"/>
        <v>1725.468</v>
      </c>
      <c r="BG23" s="33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0.03</v>
      </c>
      <c r="BH23" s="33" cm="1">
        <f t="array" ref="BH23">$G$14+VLOOKUP($Q23,武学奇术!$A:$ZZ,16,FALSE)+SUM(_xlfn.XLOOKUP(R23:AF23,增益!$A:$A,增益!$P:$P,0))</f>
        <v>0.24</v>
      </c>
      <c r="BI23" s="27">
        <f>MIN(IF(VLOOKUP($Q23,武学奇术!$A:$ZZ,23,FALSE)=1,100%,$B$8),100%)</f>
        <v>1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+MIN(IF(VLOOKUP($Q23,武学奇术!$A:$ZZ,32,FALSE)=1,IF(VLOOKUP($Q23,武学奇术!$A:$ZZ,24,FALSE)=1,100%,MIN(40%,$B$10+VLOOKUP($Q23,武学奇术!$A:$ZZ,19,FALSE)+SUM(_xlfn.XLOOKUP(R23:AF23,增益!$A:$A,增益!$S:$S,0)))+$B$12+SUM(_xlfn.XLOOKUP(R23:AF23,增益!$A:$A,增益!$V:$V,0))),0),12%)</f>
        <v>0.9036</v>
      </c>
      <c r="BK23" s="27" cm="1">
        <f t="array" ref="BK23">1+$B$13+VLOOKUP($Q23,武学奇术!$A:$ZZ,18,FALSE)+SUM(_xlfn.XLOOKUP(R23:AF23,增益!$A:$A,增益!$R:$R,0))</f>
        <v>1.9</v>
      </c>
      <c r="BL23" s="27" cm="1">
        <f t="array" ref="BL23">MAX(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-IF(VLOOKUP($Q23,武学奇术!$A:$ZZ,32,FALSE)=1,12%,0),0)</f>
        <v>0.0929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0.9036</v>
      </c>
      <c r="BO23" s="27">
        <f t="shared" si="10"/>
        <v>0.00350000000000006</v>
      </c>
      <c r="BP23" s="27">
        <f>IF(VLOOKUP($Q23,武学奇术!$A:$ZZ,22,FALSE)=1,0,(1-$BI23))*(1-$BL23)</f>
        <v>0</v>
      </c>
      <c r="BQ23" s="27" cm="1">
        <f t="array" ref="BQ23">SUM(_xlfn.XLOOKUP(R23:AF23,增益!$A:$A,增益!$W:$W,0))+$I$5</f>
        <v>0.11</v>
      </c>
    </row>
    <row r="24" spans="1:69">
      <c r="B24" s="89">
        <f>期望!B24</f>
        <v>400</v>
      </c>
      <c r="E24" s="90" t="str">
        <f>期望!E24</f>
        <v>易水歌</v>
      </c>
      <c r="F24" s="90"/>
      <c r="K24" s="39">
        <f t="shared" si="0"/>
        <v>24740.49910757</v>
      </c>
      <c r="L24" s="39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BK24*$P24*(1+IF(VLOOKUP($Q24,武学奇术!$A:$ZZ,30,FALSE)="蓄力技",$B$21,0))*(1+$BQ24)</f>
        <v>24887.2155394169</v>
      </c>
      <c r="M24" s="39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23659.5302708341</v>
      </c>
      <c r="N24" s="39">
        <f>((($AN24+($AO24-$AN24)*IF(VLOOKUP($Q24,武学奇术!$A:$ZZ,31,FALSE)=1,$F$18,0.5))*$AH24+$AI24)*(1+$AP24)*(1+$AQ24)+(($AS24+($AT24-$AS24)*IF(VLOOKUP($Q24,武学奇术!$A:$ZZ,31,FALSE)=1,$F$18,0.5))*IF($G$1="鸣金",$AJ24,$AH24)+IF($G$1="鸣金",$AK24*1.5,0))*(1+$AU24)*(1+$AV24)+(($AW24+($AX24-$AW24)*IF(VLOOKUP($Q24,武学奇术!$A:$ZZ,31,FALSE)=1,$F$18,0.5))*IF($G$1="裂石",$AJ24,$AH24)+IF($G$1="裂石",$AK24*1.5,0))*(1+$AY24)*(1+$AZ24)+(($BA24+($BB24-$BA24)*IF(VLOOKUP($Q24,武学奇术!$A:$ZZ,31,FALSE)=1,$F$18,0.5))*IF($G$1="牵丝",$AJ24,$AH24)+IF($G$1="牵丝",$AK24*1.5,0))*(1+$BC24)*(1+$BD24)+(($BE24+($BF24-$BE24)*IF(VLOOKUP($Q24,武学奇术!$A:$ZZ,31,FALSE)=1,$F$18,0.5))*IF($G$1="破竹",$AJ24,$AH24)+IF($G$1="破竹",$AK24*1.5,0))*(1+$BG24)*(1+$BH24))*(1+$AL24)*$P24*(1+IF(VLOOKUP($Q24,武学奇术!$A:$ZZ,30,FALSE)="蓄力技",$B$21,0))*(1+$BQ24)</f>
        <v>15554.5097121355</v>
      </c>
      <c r="O24" s="39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13583.4414458755</v>
      </c>
      <c r="P24" s="40">
        <v>1</v>
      </c>
      <c r="Q24" s="41" t="s">
        <v>115</v>
      </c>
      <c r="R24" s="41" t="s">
        <v>97</v>
      </c>
      <c r="S24" s="41" t="s">
        <v>73</v>
      </c>
      <c r="T24" s="41" t="s">
        <v>73</v>
      </c>
      <c r="U24" s="41" t="s">
        <v>73</v>
      </c>
      <c r="V24" s="41" t="s">
        <v>73</v>
      </c>
      <c r="W24" s="41" t="s">
        <v>73</v>
      </c>
      <c r="X24" s="41" t="s">
        <v>152</v>
      </c>
      <c r="Y24" s="41" t="s">
        <v>73</v>
      </c>
      <c r="Z24" s="41" t="s">
        <v>73</v>
      </c>
      <c r="AA24" s="41" t="s">
        <v>73</v>
      </c>
      <c r="AB24" s="41" t="s">
        <v>73</v>
      </c>
      <c r="AC24" s="41" t="s">
        <v>73</v>
      </c>
      <c r="AD24" s="41" t="s">
        <v>73</v>
      </c>
      <c r="AE24" s="41" t="s">
        <v>77</v>
      </c>
      <c r="AF24" s="41" t="s">
        <v>78</v>
      </c>
      <c r="AG24" t="str">
        <f>VLOOKUP($Q24,武学奇术!$A:$ZZ,25,FALSE)</f>
        <v>拳甲</v>
      </c>
      <c r="AH24" s="27">
        <f>VLOOKUP($Q24,武学奇术!$A:$ZZ,26,FALSE)</f>
        <v>1.2876</v>
      </c>
      <c r="AI24" s="28">
        <f>VLOOKUP($Q24,武学奇术!$A:$ZZ,27,FALSE)*(1+IF(OR($AG24=$F$4,$AG24=$F$5),$B$22,0))</f>
        <v>537</v>
      </c>
      <c r="AJ24" s="27">
        <f>VLOOKUP($Q24,武学奇术!$A:$ZZ,28,FALSE)</f>
        <v>1.9313</v>
      </c>
      <c r="AK24" s="28">
        <f>VLOOKUP($Q24,武学奇术!$A:$ZZ,29,FALSE)*(1+IF(OR($AG24=$F$4,$AG24=$F$5),$B$22,0))</f>
        <v>292.5</v>
      </c>
      <c r="AL24" s="27" cm="1">
        <f t="array" ref="AL24">$G$3+IFERROR(VLOOKUP($AG24,$F$4:$G$7,2,FALSE),0)+VLOOKUP($Q24,武学奇术!$A:$ZZ,2,FALSE)+SUM(_xlfn.XLOOKUP($R24:$AF24,增益!$A:$A,增益!$B:$B,0))</f>
        <v>0.3241</v>
      </c>
      <c r="AM24" s="27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3826.382</v>
      </c>
      <c r="AO24" cm="1">
        <f t="array" ref="AO24">$E$10*(1+$AM24)+VLOOKUP($Q24,武学奇术!$A:$ZZ,4,FALSE)+SUM(_xlfn.XLOOKUP($R24:$AF24,增益!$A:$A,增益!$D:$D,0))-$I$2</f>
        <v>3826.382</v>
      </c>
      <c r="AP24" s="33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0.217</v>
      </c>
      <c r="AQ24" s="33" cm="1">
        <f t="array" ref="AQ24">$G$10+VLOOKUP($Q24,武学奇术!$A:$ZZ,7,FALSE)+SUM(_xlfn.XLOOKUP(R24:AF24,增益!$A:$A,增益!$G:$G,0))</f>
        <v>0.09</v>
      </c>
      <c r="AR24" s="27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3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3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3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3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33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-0.3</v>
      </c>
      <c r="BD24" s="33" cm="1">
        <f t="array" ref="BD24">$G$13+VLOOKUP($Q24,武学奇术!$A:$ZZ,14,FALSE)+SUM(_xlfn.XLOOKUP(R24:AF24,增益!$A:$A,增益!$N:$N,0))</f>
        <v>0</v>
      </c>
      <c r="BE24">
        <f t="shared" si="7"/>
        <v>605.472</v>
      </c>
      <c r="BF24">
        <f t="shared" si="8"/>
        <v>1725.468</v>
      </c>
      <c r="BG24" s="33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</v>
      </c>
      <c r="BH24" s="33" cm="1">
        <f t="array" ref="BH24">$G$14+VLOOKUP($Q24,武学奇术!$A:$ZZ,16,FALSE)+SUM(_xlfn.XLOOKUP(R24:AF24,增益!$A:$A,增益!$P:$P,0))</f>
        <v>0.24</v>
      </c>
      <c r="BI24" s="27">
        <f>MIN(IF(VLOOKUP($Q24,武学奇术!$A:$ZZ,23,FALSE)=1,100%,$B$8),100%)</f>
        <v>1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+MIN(IF(VLOOKUP($Q24,武学奇术!$A:$ZZ,32,FALSE)=1,IF(VLOOKUP($Q24,武学奇术!$A:$ZZ,24,FALSE)=1,100%,MIN(40%,$B$10+VLOOKUP($Q24,武学奇术!$A:$ZZ,19,FALSE)+SUM(_xlfn.XLOOKUP(R24:AF24,增益!$A:$A,增益!$S:$S,0)))+$B$12+SUM(_xlfn.XLOOKUP(R24:AF24,增益!$A:$A,增益!$V:$V,0))),0),12%)</f>
        <v>0.9036</v>
      </c>
      <c r="BK24" s="27" cm="1">
        <f t="array" ref="BK24">1+$B$13+VLOOKUP($Q24,武学奇术!$A:$ZZ,18,FALSE)+SUM(_xlfn.XLOOKUP(R24:AF24,增益!$A:$A,增益!$R:$R,0))</f>
        <v>1.6</v>
      </c>
      <c r="BL24" s="27" cm="1">
        <f t="array" ref="BL24">MAX(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-IF(VLOOKUP($Q24,武学奇术!$A:$ZZ,32,FALSE)=1,12%,0),0)</f>
        <v>0.0929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0.9036</v>
      </c>
      <c r="BO24" s="27">
        <f t="shared" si="10"/>
        <v>0.00350000000000006</v>
      </c>
      <c r="BP24" s="27">
        <f>IF(VLOOKUP($Q24,武学奇术!$A:$ZZ,22,FALSE)=1,0,(1-$BI24))*(1-$BL24)</f>
        <v>0</v>
      </c>
      <c r="BQ24" s="27" cm="1">
        <f t="array" ref="BQ24">SUM(_xlfn.XLOOKUP(R24:AF24,增益!$A:$A,增益!$W:$W,0))+$I$5</f>
        <v>0.11</v>
      </c>
    </row>
    <row r="25" spans="1:69">
      <c r="K25" s="39">
        <f t="shared" si="0"/>
        <v>66234.7387699365</v>
      </c>
      <c r="L25" s="39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BK25*$P25*(1+IF(VLOOKUP($Q25,武学奇术!$A:$ZZ,30,FALSE)="蓄力技",$B$21,0))*(1+$BQ25)</f>
        <v>67547.0973127177</v>
      </c>
      <c r="M25" s="39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54632.9842272572</v>
      </c>
      <c r="N25" s="39">
        <f>((($AN25+($AO25-$AN25)*IF(VLOOKUP($Q25,武学奇术!$A:$ZZ,31,FALSE)=1,$F$18,0.5))*$AH25+$AI25)*(1+$AP25)*(1+$AQ25)+(($AS25+($AT25-$AS25)*IF(VLOOKUP($Q25,武学奇术!$A:$ZZ,31,FALSE)=1,$F$18,0.5))*IF($G$1="鸣金",$AJ25,$AH25)+IF($G$1="鸣金",$AK25*1.5,0))*(1+$AU25)*(1+$AV25)+(($AW25+($AX25-$AW25)*IF(VLOOKUP($Q25,武学奇术!$A:$ZZ,31,FALSE)=1,$F$18,0.5))*IF($G$1="裂石",$AJ25,$AH25)+IF($G$1="裂石",$AK25*1.5,0))*(1+$AY25)*(1+$AZ25)+(($BA25+($BB25-$BA25)*IF(VLOOKUP($Q25,武学奇术!$A:$ZZ,31,FALSE)=1,$F$18,0.5))*IF($G$1="牵丝",$AJ25,$AH25)+IF($G$1="牵丝",$AK25*1.5,0))*(1+$BC25)*(1+$BD25)+(($BE25+($BF25-$BE25)*IF(VLOOKUP($Q25,武学奇术!$A:$ZZ,31,FALSE)=1,$F$18,0.5))*IF($G$1="破竹",$AJ25,$AH25)+IF($G$1="破竹",$AK25*1.5,0))*(1+$BG25)*(1+$BH25))*(1+$AL25)*$P25*(1+IF(VLOOKUP($Q25,武学奇术!$A:$ZZ,30,FALSE)="蓄力技",$B$21,0))*(1+$BQ25)</f>
        <v>35364.9724150354</v>
      </c>
      <c r="O25" s="39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30261.0676246951</v>
      </c>
      <c r="P25" s="40">
        <v>1</v>
      </c>
      <c r="Q25" s="41" t="s">
        <v>117</v>
      </c>
      <c r="R25" s="41" t="s">
        <v>97</v>
      </c>
      <c r="S25" s="41" t="s">
        <v>73</v>
      </c>
      <c r="T25" s="41" t="s">
        <v>73</v>
      </c>
      <c r="U25" s="41" t="s">
        <v>73</v>
      </c>
      <c r="V25" s="41" t="s">
        <v>73</v>
      </c>
      <c r="W25" s="41" t="s">
        <v>73</v>
      </c>
      <c r="X25" s="41" t="s">
        <v>156</v>
      </c>
      <c r="Y25" s="41" t="s">
        <v>73</v>
      </c>
      <c r="Z25" s="41" t="s">
        <v>105</v>
      </c>
      <c r="AA25" s="41" t="s">
        <v>73</v>
      </c>
      <c r="AB25" s="41" t="s">
        <v>73</v>
      </c>
      <c r="AC25" s="41" t="s">
        <v>73</v>
      </c>
      <c r="AD25" s="41" t="s">
        <v>73</v>
      </c>
      <c r="AE25" s="41" t="s">
        <v>77</v>
      </c>
      <c r="AF25" s="41" t="s">
        <v>78</v>
      </c>
      <c r="AG25" t="str">
        <f>VLOOKUP($Q25,武学奇术!$A:$ZZ,25,FALSE)</f>
        <v>拳甲</v>
      </c>
      <c r="AH25" s="27">
        <f>VLOOKUP($Q25,武学奇术!$A:$ZZ,26,FALSE)</f>
        <v>2.638944</v>
      </c>
      <c r="AI25" s="28">
        <f>VLOOKUP($Q25,武学奇术!$A:$ZZ,27,FALSE)*(1+IF(OR($AG25=$F$4,$AG25=$F$5),$B$22,0))</f>
        <v>0</v>
      </c>
      <c r="AJ25" s="27">
        <f>VLOOKUP($Q25,武学奇术!$A:$ZZ,28,FALSE)</f>
        <v>3.958416</v>
      </c>
      <c r="AK25" s="28">
        <f>VLOOKUP($Q25,武学奇术!$A:$ZZ,29,FALSE)*(1+IF(OR($AG25=$F$4,$AG25=$F$5),$B$22,0))</f>
        <v>0</v>
      </c>
      <c r="AL25" s="27" cm="1">
        <f t="array" ref="AL25">$G$3+IFERROR(VLOOKUP($AG25,$F$4:$G$7,2,FALSE),0)+VLOOKUP($Q25,武学奇术!$A:$ZZ,2,FALSE)+SUM(_xlfn.XLOOKUP($R25:$AF25,增益!$A:$A,增益!$B:$B,0))</f>
        <v>0.6241</v>
      </c>
      <c r="AM25" s="27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3826.382</v>
      </c>
      <c r="AO25" cm="1">
        <f t="array" ref="AO25">$E$10*(1+$AM25)+VLOOKUP($Q25,武学奇术!$A:$ZZ,4,FALSE)+SUM(_xlfn.XLOOKUP($R25:$AF25,增益!$A:$A,增益!$D:$D,0))-$I$2</f>
        <v>3826.382</v>
      </c>
      <c r="AP25" s="33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0.247</v>
      </c>
      <c r="AQ25" s="33" cm="1">
        <f t="array" ref="AQ25">$G$10+VLOOKUP($Q25,武学奇术!$A:$ZZ,7,FALSE)+SUM(_xlfn.XLOOKUP(R25:AF25,增益!$A:$A,增益!$G:$G,0))</f>
        <v>0.09</v>
      </c>
      <c r="AR25" s="27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3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-0.24</v>
      </c>
      <c r="AV25" s="33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3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-0.24</v>
      </c>
      <c r="AZ25" s="33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33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-0.24</v>
      </c>
      <c r="BD25" s="33" cm="1">
        <f t="array" ref="BD25">$G$13+VLOOKUP($Q25,武学奇术!$A:$ZZ,14,FALSE)+SUM(_xlfn.XLOOKUP(R25:AF25,增益!$A:$A,增益!$N:$N,0))</f>
        <v>0</v>
      </c>
      <c r="BE25">
        <f t="shared" si="7"/>
        <v>605.472</v>
      </c>
      <c r="BF25">
        <f t="shared" si="8"/>
        <v>1725.468</v>
      </c>
      <c r="BG25" s="33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0.03</v>
      </c>
      <c r="BH25" s="33" cm="1">
        <f t="array" ref="BH25">$G$14+VLOOKUP($Q25,武学奇术!$A:$ZZ,16,FALSE)+SUM(_xlfn.XLOOKUP(R25:AF25,增益!$A:$A,增益!$P:$P,0))</f>
        <v>0.24</v>
      </c>
      <c r="BI25" s="27">
        <f>MIN(IF(VLOOKUP($Q25,武学奇术!$A:$ZZ,23,FALSE)=1,100%,$B$8),100%)</f>
        <v>1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+MIN(IF(VLOOKUP($Q25,武学奇术!$A:$ZZ,32,FALSE)=1,IF(VLOOKUP($Q25,武学奇术!$A:$ZZ,24,FALSE)=1,100%,MIN(40%,$B$10+VLOOKUP($Q25,武学奇术!$A:$ZZ,19,FALSE)+SUM(_xlfn.XLOOKUP(R25:AF25,增益!$A:$A,增益!$S:$S,0)))+$B$12+SUM(_xlfn.XLOOKUP(R25:AF25,增益!$A:$A,增益!$V:$V,0))),0),12%)</f>
        <v>0.9036</v>
      </c>
      <c r="BK25" s="27" cm="1">
        <f t="array" ref="BK25">1+$B$13+VLOOKUP($Q25,武学奇术!$A:$ZZ,18,FALSE)+SUM(_xlfn.XLOOKUP(R25:AF25,增益!$A:$A,增益!$R:$R,0))</f>
        <v>1.91</v>
      </c>
      <c r="BL25" s="27" cm="1">
        <f t="array" ref="BL25">MAX(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-IF(VLOOKUP($Q25,武学奇术!$A:$ZZ,32,FALSE)=1,12%,0),0)</f>
        <v>0.0929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0.9036</v>
      </c>
      <c r="BO25" s="27">
        <f t="shared" si="10"/>
        <v>0.00350000000000006</v>
      </c>
      <c r="BP25" s="27">
        <f>IF(VLOOKUP($Q25,武学奇术!$A:$ZZ,22,FALSE)=1,0,(1-$BI25))*(1-$BL25)</f>
        <v>0</v>
      </c>
      <c r="BQ25" s="27" cm="1">
        <f t="array" ref="BQ25">SUM(_xlfn.XLOOKUP(R25:AF25,增益!$A:$A,增益!$W:$W,0))+$I$5</f>
        <v>0.11</v>
      </c>
    </row>
    <row r="26" spans="1:69">
      <c r="F26" s="4"/>
      <c r="G26" s="4"/>
      <c r="K26" s="39">
        <f t="shared" si="0"/>
        <v>22601.292653434</v>
      </c>
      <c r="L26" s="39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BK26*$P26*(1+IF(VLOOKUP($Q26,武学奇术!$A:$ZZ,30,FALSE)="蓄力技",$B$21,0))*(1+$BQ26)</f>
        <v>22748.1245180489</v>
      </c>
      <c r="M26" s="39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21492.302414645</v>
      </c>
      <c r="N26" s="39">
        <f>((($AN26+($AO26-$AN26)*IF(VLOOKUP($Q26,武学奇术!$A:$ZZ,31,FALSE)=1,$F$18,0.5))*$AH26+$AI26)*(1+$AP26)*(1+$AQ26)+(($AS26+($AT26-$AS26)*IF(VLOOKUP($Q26,武学奇术!$A:$ZZ,31,FALSE)=1,$F$18,0.5))*IF($G$1="鸣金",$AJ26,$AH26)+IF($G$1="鸣金",$AK26*1.5,0))*(1+$AU26)*(1+$AV26)+(($AW26+($AX26-$AW26)*IF(VLOOKUP($Q26,武学奇术!$A:$ZZ,31,FALSE)=1,$F$18,0.5))*IF($G$1="裂石",$AJ26,$AH26)+IF($G$1="裂石",$AK26*1.5,0))*(1+$AY26)*(1+$AZ26)+(($BA26+($BB26-$BA26)*IF(VLOOKUP($Q26,武学奇术!$A:$ZZ,31,FALSE)=1,$F$18,0.5))*IF($G$1="牵丝",$AJ26,$AH26)+IF($G$1="牵丝",$AK26*1.5,0))*(1+$BC26)*(1+$BD26)+(($BE26+($BF26-$BE26)*IF(VLOOKUP($Q26,武学奇术!$A:$ZZ,31,FALSE)=1,$F$18,0.5))*IF($G$1="破竹",$AJ26,$AH26)+IF($G$1="破竹",$AK26*1.5,0))*(1+$BG26)*(1+$BH26))*(1+$AL26)*$P26*(1+IF(VLOOKUP($Q26,武学奇术!$A:$ZZ,30,FALSE)="蓄力技",$B$21,0))*(1+$BQ26)</f>
        <v>14129.2698869869</v>
      </c>
      <c r="O26" s="39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12338.3157631257</v>
      </c>
      <c r="P26" s="40">
        <v>1</v>
      </c>
      <c r="Q26" s="41" t="s">
        <v>100</v>
      </c>
      <c r="R26" s="41" t="s">
        <v>97</v>
      </c>
      <c r="S26" s="41" t="s">
        <v>73</v>
      </c>
      <c r="T26" s="41" t="s">
        <v>73</v>
      </c>
      <c r="U26" s="41" t="s">
        <v>73</v>
      </c>
      <c r="V26" s="41" t="s">
        <v>73</v>
      </c>
      <c r="W26" s="41" t="s">
        <v>73</v>
      </c>
      <c r="X26" s="41" t="s">
        <v>156</v>
      </c>
      <c r="Y26" s="41" t="s">
        <v>73</v>
      </c>
      <c r="Z26" s="41" t="s">
        <v>73</v>
      </c>
      <c r="AA26" s="41" t="s">
        <v>73</v>
      </c>
      <c r="AB26" s="41" t="s">
        <v>73</v>
      </c>
      <c r="AC26" s="41" t="s">
        <v>73</v>
      </c>
      <c r="AD26" s="41" t="s">
        <v>73</v>
      </c>
      <c r="AE26" s="41" t="s">
        <v>77</v>
      </c>
      <c r="AF26" s="41" t="s">
        <v>78</v>
      </c>
      <c r="AG26" t="str">
        <f>VLOOKUP($Q26,武学奇术!$A:$ZZ,25,FALSE)</f>
        <v>绳镖</v>
      </c>
      <c r="AH26" s="27">
        <f>VLOOKUP($Q26,武学奇术!$A:$ZZ,26,FALSE)</f>
        <v>1.2503</v>
      </c>
      <c r="AI26" s="28">
        <f>VLOOKUP($Q26,武学奇术!$A:$ZZ,27,FALSE)*(1+IF(OR($AG26=$F$4,$AG26=$F$5),$B$22,0))</f>
        <v>520.5</v>
      </c>
      <c r="AJ26" s="27">
        <f>VLOOKUP($Q26,武学奇术!$A:$ZZ,28,FALSE)</f>
        <v>1.8755</v>
      </c>
      <c r="AK26" s="28">
        <f>VLOOKUP($Q26,武学奇术!$A:$ZZ,29,FALSE)*(1+IF(OR($AG26=$F$4,$AG26=$F$5),$B$22,0))</f>
        <v>283.5</v>
      </c>
      <c r="AL26" s="27" cm="1">
        <f t="array" ref="AL26">$G$3+IFERROR(VLOOKUP($AG26,$F$4:$G$7,2,FALSE),0)+VLOOKUP($Q26,武学奇术!$A:$ZZ,2,FALSE)+SUM(_xlfn.XLOOKUP($R26:$AF26,增益!$A:$A,增益!$B:$B,0))</f>
        <v>0.2389</v>
      </c>
      <c r="AM26" s="27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3826.382</v>
      </c>
      <c r="AO26" cm="1">
        <f t="array" ref="AO26">$E$10*(1+$AM26)+VLOOKUP($Q26,武学奇术!$A:$ZZ,4,FALSE)+SUM(_xlfn.XLOOKUP($R26:$AF26,增益!$A:$A,增益!$D:$D,0))-$I$2</f>
        <v>3826.382</v>
      </c>
      <c r="AP26" s="33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0.217</v>
      </c>
      <c r="AQ26" s="33" cm="1">
        <f t="array" ref="AQ26">$G$10+VLOOKUP($Q26,武学奇术!$A:$ZZ,7,FALSE)+SUM(_xlfn.XLOOKUP(R26:AF26,增益!$A:$A,增益!$G:$G,0))</f>
        <v>0.09</v>
      </c>
      <c r="AR26" s="27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3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3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3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3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33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3" cm="1">
        <f t="array" ref="BD26">$G$13+VLOOKUP($Q26,武学奇术!$A:$ZZ,14,FALSE)+SUM(_xlfn.XLOOKUP(R26:AF26,增益!$A:$A,增益!$N:$N,0))</f>
        <v>0</v>
      </c>
      <c r="BE26">
        <f t="shared" si="7"/>
        <v>605.472</v>
      </c>
      <c r="BF26">
        <f t="shared" si="8"/>
        <v>1725.468</v>
      </c>
      <c r="BG26" s="33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</v>
      </c>
      <c r="BH26" s="33" cm="1">
        <f t="array" ref="BH26">$G$14+VLOOKUP($Q26,武学奇术!$A:$ZZ,16,FALSE)+SUM(_xlfn.XLOOKUP(R26:AF26,增益!$A:$A,增益!$P:$P,0))</f>
        <v>0.24</v>
      </c>
      <c r="BI26" s="27">
        <f>MIN(IF(VLOOKUP($Q26,武学奇术!$A:$ZZ,23,FALSE)=1,100%,$B$8),100%)</f>
        <v>1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+MIN(IF(VLOOKUP($Q26,武学奇术!$A:$ZZ,32,FALSE)=1,IF(VLOOKUP($Q26,武学奇术!$A:$ZZ,24,FALSE)=1,100%,MIN(40%,$B$10+VLOOKUP($Q26,武学奇术!$A:$ZZ,19,FALSE)+SUM(_xlfn.XLOOKUP(R26:AF26,增益!$A:$A,增益!$S:$S,0)))+$B$12+SUM(_xlfn.XLOOKUP(R26:AF26,增益!$A:$A,增益!$V:$V,0))),0),12%)</f>
        <v>0.9036</v>
      </c>
      <c r="BK26" s="27" cm="1">
        <f t="array" ref="BK26">1+$B$13+VLOOKUP($Q26,武学奇术!$A:$ZZ,18,FALSE)+SUM(_xlfn.XLOOKUP(R26:AF26,增益!$A:$A,增益!$R:$R,0))</f>
        <v>1.61</v>
      </c>
      <c r="BL26" s="27" cm="1">
        <f t="array" ref="BL26">MAX(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-IF(VLOOKUP($Q26,武学奇术!$A:$ZZ,32,FALSE)=1,12%,0),0)</f>
        <v>0.0929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0.9036</v>
      </c>
      <c r="BO26" s="27">
        <f t="shared" si="10"/>
        <v>0.00350000000000006</v>
      </c>
      <c r="BP26" s="27">
        <f>IF(VLOOKUP($Q26,武学奇术!$A:$ZZ,22,FALSE)=1,0,(1-$BI26))*(1-$BL26)</f>
        <v>0</v>
      </c>
      <c r="BQ26" s="27" cm="1">
        <f t="array" ref="BQ26">SUM(_xlfn.XLOOKUP(R26:AF26,增益!$A:$A,增益!$W:$W,0))+$I$5</f>
        <v>0.11</v>
      </c>
    </row>
    <row r="27" spans="1:69">
      <c r="K27" s="39">
        <f t="shared" si="0"/>
        <v>52300.0633648663</v>
      </c>
      <c r="L27" s="39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BK27*$P27*(1+IF(VLOOKUP($Q27,武学奇术!$A:$ZZ,30,FALSE)="蓄力技",$B$21,0))*(1+$BQ27)</f>
        <v>53336.3237354746</v>
      </c>
      <c r="M27" s="39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43139.1229128575</v>
      </c>
      <c r="N27" s="39">
        <f>((($AN27+($AO27-$AN27)*IF(VLOOKUP($Q27,武学奇术!$A:$ZZ,31,FALSE)=1,$F$18,0.5))*$AH27+$AI27)*(1+$AP27)*(1+$AQ27)+(($AS27+($AT27-$AS27)*IF(VLOOKUP($Q27,武学奇术!$A:$ZZ,31,FALSE)=1,$F$18,0.5))*IF($G$1="鸣金",$AJ27,$AH27)+IF($G$1="鸣金",$AK27*1.5,0))*(1+$AU27)*(1+$AV27)+(($AW27+($AX27-$AW27)*IF(VLOOKUP($Q27,武学奇术!$A:$ZZ,31,FALSE)=1,$F$18,0.5))*IF($G$1="裂石",$AJ27,$AH27)+IF($G$1="裂石",$AK27*1.5,0))*(1+$AY27)*(1+$AZ27)+(($BA27+($BB27-$BA27)*IF(VLOOKUP($Q27,武学奇术!$A:$ZZ,31,FALSE)=1,$F$18,0.5))*IF($G$1="牵丝",$AJ27,$AH27)+IF($G$1="牵丝",$AK27*1.5,0))*(1+$BC27)*(1+$BD27)+(($BE27+($BF27-$BE27)*IF(VLOOKUP($Q27,武学奇术!$A:$ZZ,31,FALSE)=1,$F$18,0.5))*IF($G$1="破竹",$AJ27,$AH27)+IF($G$1="破竹",$AK27*1.5,0))*(1+$BG27)*(1+$BH27))*(1+$AL27)*$P27*(1+IF(VLOOKUP($Q27,武学奇术!$A:$ZZ,30,FALSE)="蓄力技",$B$21,0))*(1+$BQ27)</f>
        <v>27924.7768248558</v>
      </c>
      <c r="O27" s="39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23894.6477883358</v>
      </c>
      <c r="P27" s="40">
        <v>1</v>
      </c>
      <c r="Q27" s="41" t="s">
        <v>104</v>
      </c>
      <c r="R27" s="41" t="s">
        <v>97</v>
      </c>
      <c r="S27" s="41" t="s">
        <v>73</v>
      </c>
      <c r="T27" s="41" t="s">
        <v>73</v>
      </c>
      <c r="U27" s="41" t="s">
        <v>73</v>
      </c>
      <c r="V27" s="41" t="s">
        <v>73</v>
      </c>
      <c r="W27" s="41" t="s">
        <v>73</v>
      </c>
      <c r="X27" s="41" t="s">
        <v>156</v>
      </c>
      <c r="Y27" s="41" t="s">
        <v>73</v>
      </c>
      <c r="Z27" s="41" t="s">
        <v>105</v>
      </c>
      <c r="AA27" s="41" t="s">
        <v>73</v>
      </c>
      <c r="AB27" s="41" t="s">
        <v>73</v>
      </c>
      <c r="AC27" s="41" t="s">
        <v>73</v>
      </c>
      <c r="AD27" s="41" t="s">
        <v>73</v>
      </c>
      <c r="AE27" s="41" t="s">
        <v>77</v>
      </c>
      <c r="AF27" s="41" t="s">
        <v>78</v>
      </c>
      <c r="AG27" t="str">
        <f>VLOOKUP($Q27,武学奇术!$A:$ZZ,25,FALSE)</f>
        <v>绳镖</v>
      </c>
      <c r="AH27" s="27">
        <f>VLOOKUP($Q27,武学奇术!$A:$ZZ,26,FALSE)</f>
        <v>2.19912</v>
      </c>
      <c r="AI27" s="28">
        <f>VLOOKUP($Q27,武学奇术!$A:$ZZ,27,FALSE)*(1+IF(OR($AG27=$F$4,$AG27=$F$5),$B$22,0))</f>
        <v>0</v>
      </c>
      <c r="AJ27" s="27">
        <f>VLOOKUP($Q27,武学奇术!$A:$ZZ,28,FALSE)</f>
        <v>3.29868</v>
      </c>
      <c r="AK27" s="28">
        <f>VLOOKUP($Q27,武学奇术!$A:$ZZ,29,FALSE)*(1+IF(OR($AG27=$F$4,$AG27=$F$5),$B$22,0))</f>
        <v>0</v>
      </c>
      <c r="AL27" s="27" cm="1">
        <f t="array" ref="AL27">$G$3+IFERROR(VLOOKUP($AG27,$F$4:$G$7,2,FALSE),0)+VLOOKUP($Q27,武学奇术!$A:$ZZ,2,FALSE)+SUM(_xlfn.XLOOKUP($R27:$AF27,增益!$A:$A,增益!$B:$B,0))</f>
        <v>0.5389</v>
      </c>
      <c r="AM27" s="27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3826.382</v>
      </c>
      <c r="AO27" cm="1">
        <f t="array" ref="AO27">$E$10*(1+$AM27)+VLOOKUP($Q27,武学奇术!$A:$ZZ,4,FALSE)+SUM(_xlfn.XLOOKUP($R27:$AF27,增益!$A:$A,增益!$D:$D,0))-$I$2</f>
        <v>3826.382</v>
      </c>
      <c r="AP27" s="33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0.247</v>
      </c>
      <c r="AQ27" s="33" cm="1">
        <f t="array" ref="AQ27">$G$10+VLOOKUP($Q27,武学奇术!$A:$ZZ,7,FALSE)+SUM(_xlfn.XLOOKUP(R27:AF27,增益!$A:$A,增益!$G:$G,0))</f>
        <v>0.09</v>
      </c>
      <c r="AR27" s="27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3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-0.24</v>
      </c>
      <c r="AV27" s="33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3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-0.24</v>
      </c>
      <c r="AZ27" s="33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33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-0.24</v>
      </c>
      <c r="BD27" s="33" cm="1">
        <f t="array" ref="BD27">$G$13+VLOOKUP($Q27,武学奇术!$A:$ZZ,14,FALSE)+SUM(_xlfn.XLOOKUP(R27:AF27,增益!$A:$A,增益!$N:$N,0))</f>
        <v>0</v>
      </c>
      <c r="BE27">
        <f t="shared" si="7"/>
        <v>605.472</v>
      </c>
      <c r="BF27">
        <f t="shared" si="8"/>
        <v>1725.468</v>
      </c>
      <c r="BG27" s="33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0.03</v>
      </c>
      <c r="BH27" s="33" cm="1">
        <f t="array" ref="BH27">$G$14+VLOOKUP($Q27,武学奇术!$A:$ZZ,16,FALSE)+SUM(_xlfn.XLOOKUP(R27:AF27,增益!$A:$A,增益!$P:$P,0))</f>
        <v>0.24</v>
      </c>
      <c r="BI27" s="27">
        <f>MIN(IF(VLOOKUP($Q27,武学奇术!$A:$ZZ,23,FALSE)=1,100%,$B$8),100%)</f>
        <v>1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+MIN(IF(VLOOKUP($Q27,武学奇术!$A:$ZZ,32,FALSE)=1,IF(VLOOKUP($Q27,武学奇术!$A:$ZZ,24,FALSE)=1,100%,MIN(40%,$B$10+VLOOKUP($Q27,武学奇术!$A:$ZZ,19,FALSE)+SUM(_xlfn.XLOOKUP(R27:AF27,增益!$A:$A,增益!$S:$S,0)))+$B$12+SUM(_xlfn.XLOOKUP(R27:AF27,增益!$A:$A,增益!$V:$V,0))),0),12%)</f>
        <v>0.9036</v>
      </c>
      <c r="BK27" s="27" cm="1">
        <f t="array" ref="BK27">1+$B$13+VLOOKUP($Q27,武学奇术!$A:$ZZ,18,FALSE)+SUM(_xlfn.XLOOKUP(R27:AF27,增益!$A:$A,增益!$R:$R,0))</f>
        <v>1.91</v>
      </c>
      <c r="BL27" s="27" cm="1">
        <f t="array" ref="BL27">MAX(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-IF(VLOOKUP($Q27,武学奇术!$A:$ZZ,32,FALSE)=1,12%,0),0)</f>
        <v>0.0929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0.9036</v>
      </c>
      <c r="BO27" s="27">
        <f t="shared" si="10"/>
        <v>0.00350000000000006</v>
      </c>
      <c r="BP27" s="27">
        <f>IF(VLOOKUP($Q27,武学奇术!$A:$ZZ,22,FALSE)=1,0,(1-$BI27))*(1-$BL27)</f>
        <v>0</v>
      </c>
      <c r="BQ27" s="27" cm="1">
        <f t="array" ref="BQ27">SUM(_xlfn.XLOOKUP(R27:AF27,增益!$A:$A,增益!$W:$W,0))+$I$5</f>
        <v>0.11</v>
      </c>
    </row>
    <row r="28" spans="1:69">
      <c r="A28" s="4"/>
      <c r="B28" s="4"/>
      <c r="K28" s="39">
        <f t="shared" si="0"/>
        <v>29964.1835807608</v>
      </c>
      <c r="L28" s="39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BK28*$P28*(1+IF(VLOOKUP($Q28,武学奇术!$A:$ZZ,30,FALSE)="蓄力技",$B$21,0))*(1+$BQ28)</f>
        <v>30158.713827427</v>
      </c>
      <c r="M28" s="39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28495.2351446042</v>
      </c>
      <c r="N28" s="39">
        <f>((($AN28+($AO28-$AN28)*IF(VLOOKUP($Q28,武学奇术!$A:$ZZ,31,FALSE)=1,$F$18,0.5))*$AH28+$AI28)*(1+$AP28)*(1+$AQ28)+(($AS28+($AT28-$AS28)*IF(VLOOKUP($Q28,武学奇术!$A:$ZZ,31,FALSE)=1,$F$18,0.5))*IF($G$1="鸣金",$AJ28,$AH28)+IF($G$1="鸣金",$AK28*1.5,0))*(1+$AU28)*(1+$AV28)+(($AW28+($AX28-$AW28)*IF(VLOOKUP($Q28,武学奇术!$A:$ZZ,31,FALSE)=1,$F$18,0.5))*IF($G$1="裂石",$AJ28,$AH28)+IF($G$1="裂石",$AK28*1.5,0))*(1+$AY28)*(1+$AZ28)+(($BA28+($BB28-$BA28)*IF(VLOOKUP($Q28,武学奇术!$A:$ZZ,31,FALSE)=1,$F$18,0.5))*IF($G$1="牵丝",$AJ28,$AH28)+IF($G$1="牵丝",$AK28*1.5,0))*(1+$BC28)*(1+$BD28)+(($BE28+($BF28-$BE28)*IF(VLOOKUP($Q28,武学奇术!$A:$ZZ,31,FALSE)=1,$F$18,0.5))*IF($G$1="破竹",$AJ28,$AH28)+IF($G$1="破竹",$AK28*1.5,0))*(1+$BG28)*(1+$BH28))*(1+$AL28)*$P28*(1+IF(VLOOKUP($Q28,武学奇术!$A:$ZZ,30,FALSE)="蓄力技",$B$21,0))*(1+$BQ28)</f>
        <v>18732.1203897062</v>
      </c>
      <c r="O28" s="39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16356.6591908168</v>
      </c>
      <c r="P28" s="40">
        <v>1</v>
      </c>
      <c r="Q28" s="41" t="s">
        <v>159</v>
      </c>
      <c r="R28" s="41" t="s">
        <v>97</v>
      </c>
      <c r="S28" s="41" t="s">
        <v>73</v>
      </c>
      <c r="T28" s="41" t="s">
        <v>73</v>
      </c>
      <c r="U28" s="41" t="s">
        <v>73</v>
      </c>
      <c r="V28" s="41" t="s">
        <v>73</v>
      </c>
      <c r="W28" s="41" t="s">
        <v>73</v>
      </c>
      <c r="X28" s="41" t="s">
        <v>156</v>
      </c>
      <c r="Y28" s="41" t="s">
        <v>73</v>
      </c>
      <c r="Z28" s="41" t="s">
        <v>73</v>
      </c>
      <c r="AA28" s="41" t="s">
        <v>73</v>
      </c>
      <c r="AB28" s="41" t="s">
        <v>73</v>
      </c>
      <c r="AC28" s="41" t="s">
        <v>73</v>
      </c>
      <c r="AD28" s="41" t="s">
        <v>73</v>
      </c>
      <c r="AE28" s="41" t="s">
        <v>77</v>
      </c>
      <c r="AF28" s="41" t="s">
        <v>78</v>
      </c>
      <c r="AG28" t="str">
        <f>VLOOKUP($Q28,武学奇术!$A:$ZZ,25,FALSE)</f>
        <v>绳镖</v>
      </c>
      <c r="AH28" s="27">
        <f>VLOOKUP($Q28,武学奇术!$A:$ZZ,26,FALSE)</f>
        <v>1.6584</v>
      </c>
      <c r="AI28" s="28">
        <f>VLOOKUP($Q28,武学奇术!$A:$ZZ,27,FALSE)*(1+IF(OR($AG28=$F$4,$AG28=$F$5),$B$22,0))</f>
        <v>687</v>
      </c>
      <c r="AJ28" s="27">
        <f>VLOOKUP($Q28,武学奇术!$A:$ZZ,28,FALSE)</f>
        <v>2.4876</v>
      </c>
      <c r="AK28" s="28">
        <f>VLOOKUP($Q28,武学奇术!$A:$ZZ,29,FALSE)*(1+IF(OR($AG28=$F$4,$AG28=$F$5),$B$22,0))</f>
        <v>375</v>
      </c>
      <c r="AL28" s="27" cm="1">
        <f t="array" ref="AL28">$G$3+IFERROR(VLOOKUP($AG28,$F$4:$G$7,2,FALSE),0)+VLOOKUP($Q28,武学奇术!$A:$ZZ,2,FALSE)+SUM(_xlfn.XLOOKUP($R28:$AF28,增益!$A:$A,增益!$B:$B,0))</f>
        <v>0.2389</v>
      </c>
      <c r="AM28" s="27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3826.382</v>
      </c>
      <c r="AO28" cm="1">
        <f t="array" ref="AO28">$E$10*(1+$AM28)+VLOOKUP($Q28,武学奇术!$A:$ZZ,4,FALSE)+SUM(_xlfn.XLOOKUP($R28:$AF28,增益!$A:$A,增益!$D:$D,0))-$I$2</f>
        <v>3826.382</v>
      </c>
      <c r="AP28" s="33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0.217</v>
      </c>
      <c r="AQ28" s="33" cm="1">
        <f t="array" ref="AQ28">$G$10+VLOOKUP($Q28,武学奇术!$A:$ZZ,7,FALSE)+SUM(_xlfn.XLOOKUP(R28:AF28,增益!$A:$A,增益!$G:$G,0))</f>
        <v>0.09</v>
      </c>
      <c r="AR28" s="27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3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3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3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3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33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3" cm="1">
        <f t="array" ref="BD28">$G$13+VLOOKUP($Q28,武学奇术!$A:$ZZ,14,FALSE)+SUM(_xlfn.XLOOKUP(R28:AF28,增益!$A:$A,增益!$N:$N,0))</f>
        <v>0</v>
      </c>
      <c r="BE28">
        <f t="shared" si="7"/>
        <v>605.472</v>
      </c>
      <c r="BF28">
        <f t="shared" si="8"/>
        <v>1725.468</v>
      </c>
      <c r="BG28" s="33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</v>
      </c>
      <c r="BH28" s="33" cm="1">
        <f t="array" ref="BH28">$G$14+VLOOKUP($Q28,武学奇术!$A:$ZZ,16,FALSE)+SUM(_xlfn.XLOOKUP(R28:AF28,增益!$A:$A,增益!$P:$P,0))</f>
        <v>0.24</v>
      </c>
      <c r="BI28" s="27">
        <f>MIN(IF(VLOOKUP($Q28,武学奇术!$A:$ZZ,23,FALSE)=1,100%,$B$8),100%)</f>
        <v>1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+MIN(IF(VLOOKUP($Q28,武学奇术!$A:$ZZ,32,FALSE)=1,IF(VLOOKUP($Q28,武学奇术!$A:$ZZ,24,FALSE)=1,100%,MIN(40%,$B$10+VLOOKUP($Q28,武学奇术!$A:$ZZ,19,FALSE)+SUM(_xlfn.XLOOKUP(R28:AF28,增益!$A:$A,增益!$S:$S,0)))+$B$12+SUM(_xlfn.XLOOKUP(R28:AF28,增益!$A:$A,增益!$V:$V,0))),0),12%)</f>
        <v>0.9036</v>
      </c>
      <c r="BK28" s="27" cm="1">
        <f t="array" ref="BK28">1+$B$13+VLOOKUP($Q28,武学奇术!$A:$ZZ,18,FALSE)+SUM(_xlfn.XLOOKUP(R28:AF28,增益!$A:$A,增益!$R:$R,0))</f>
        <v>1.61</v>
      </c>
      <c r="BL28" s="27" cm="1">
        <f t="array" ref="BL28">MAX(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-IF(VLOOKUP($Q28,武学奇术!$A:$ZZ,32,FALSE)=1,12%,0),0)</f>
        <v>0.0929</v>
      </c>
      <c r="BM28" s="27" cm="1">
        <f t="array" ref="BM28">1+$B$14+VLOOKUP($Q28,武学奇术!$A:$ZZ,20,FALSE)+SUM(_xlfn.XLOOKUP(R28:AF28,增益!$A:$A,增益!$T:$T,0))</f>
        <v>1.35</v>
      </c>
      <c r="BN28" s="27">
        <f t="shared" si="9"/>
        <v>0.9036</v>
      </c>
      <c r="BO28" s="27">
        <f t="shared" si="10"/>
        <v>0.00350000000000006</v>
      </c>
      <c r="BP28" s="27">
        <f>IF(VLOOKUP($Q28,武学奇术!$A:$ZZ,22,FALSE)=1,0,(1-$BI28))*(1-$BL28)</f>
        <v>0</v>
      </c>
      <c r="BQ28" s="27" cm="1">
        <f t="array" ref="BQ28">SUM(_xlfn.XLOOKUP(R28:AF28,增益!$A:$A,增益!$W:$W,0))+$I$5</f>
        <v>0.11</v>
      </c>
    </row>
    <row r="29" spans="1:69">
      <c r="K29" s="39">
        <f t="shared" si="0"/>
        <v>62760.0760378396</v>
      </c>
      <c r="L29" s="39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BK29*$P29*(1+IF(VLOOKUP($Q29,武学奇术!$A:$ZZ,30,FALSE)="蓄力技",$B$21,0))*(1+$BQ29)</f>
        <v>64003.5884825695</v>
      </c>
      <c r="M29" s="39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51766.947495429</v>
      </c>
      <c r="N29" s="39">
        <f>((($AN29+($AO29-$AN29)*IF(VLOOKUP($Q29,武学奇术!$A:$ZZ,31,FALSE)=1,$F$18,0.5))*$AH29+$AI29)*(1+$AP29)*(1+$AQ29)+(($AS29+($AT29-$AS29)*IF(VLOOKUP($Q29,武学奇术!$A:$ZZ,31,FALSE)=1,$F$18,0.5))*IF($G$1="鸣金",$AJ29,$AH29)+IF($G$1="鸣金",$AK29*1.5,0))*(1+$AU29)*(1+$AV29)+(($AW29+($AX29-$AW29)*IF(VLOOKUP($Q29,武学奇术!$A:$ZZ,31,FALSE)=1,$F$18,0.5))*IF($G$1="裂石",$AJ29,$AH29)+IF($G$1="裂石",$AK29*1.5,0))*(1+$AY29)*(1+$AZ29)+(($BA29+($BB29-$BA29)*IF(VLOOKUP($Q29,武学奇术!$A:$ZZ,31,FALSE)=1,$F$18,0.5))*IF($G$1="牵丝",$AJ29,$AH29)+IF($G$1="牵丝",$AK29*1.5,0))*(1+$BC29)*(1+$BD29)+(($BE29+($BF29-$BE29)*IF(VLOOKUP($Q29,武学奇术!$A:$ZZ,31,FALSE)=1,$F$18,0.5))*IF($G$1="破竹",$AJ29,$AH29)+IF($G$1="破竹",$AK29*1.5,0))*(1+$BG29)*(1+$BH29))*(1+$AL29)*$P29*(1+IF(VLOOKUP($Q29,武学奇术!$A:$ZZ,30,FALSE)="蓄力技",$B$21,0))*(1+$BQ29)</f>
        <v>33509.732189827</v>
      </c>
      <c r="O29" s="39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28673.5773460029</v>
      </c>
      <c r="P29" s="40">
        <v>1</v>
      </c>
      <c r="Q29" s="41" t="s">
        <v>110</v>
      </c>
      <c r="R29" s="41" t="s">
        <v>97</v>
      </c>
      <c r="S29" s="41" t="s">
        <v>73</v>
      </c>
      <c r="T29" s="41" t="s">
        <v>73</v>
      </c>
      <c r="U29" s="41" t="s">
        <v>73</v>
      </c>
      <c r="V29" s="41" t="s">
        <v>73</v>
      </c>
      <c r="W29" s="41" t="s">
        <v>73</v>
      </c>
      <c r="X29" s="41" t="s">
        <v>156</v>
      </c>
      <c r="Y29" s="41" t="s">
        <v>73</v>
      </c>
      <c r="Z29" s="41" t="s">
        <v>105</v>
      </c>
      <c r="AA29" s="41" t="s">
        <v>73</v>
      </c>
      <c r="AB29" s="41" t="s">
        <v>73</v>
      </c>
      <c r="AC29" s="41" t="s">
        <v>73</v>
      </c>
      <c r="AD29" s="41" t="s">
        <v>73</v>
      </c>
      <c r="AE29" s="41" t="s">
        <v>77</v>
      </c>
      <c r="AF29" s="41" t="s">
        <v>78</v>
      </c>
      <c r="AG29" t="str">
        <f>VLOOKUP($Q29,武学奇术!$A:$ZZ,25,FALSE)</f>
        <v>绳镖</v>
      </c>
      <c r="AH29" s="27">
        <f>VLOOKUP($Q29,武学奇术!$A:$ZZ,26,FALSE)</f>
        <v>2.638944</v>
      </c>
      <c r="AI29" s="28">
        <f>VLOOKUP($Q29,武学奇术!$A:$ZZ,27,FALSE)*(1+IF(OR($AG29=$F$4,$AG29=$F$5),$B$22,0))</f>
        <v>0</v>
      </c>
      <c r="AJ29" s="27">
        <f>VLOOKUP($Q29,武学奇术!$A:$ZZ,28,FALSE)</f>
        <v>3.958416</v>
      </c>
      <c r="AK29" s="28">
        <f>VLOOKUP($Q29,武学奇术!$A:$ZZ,29,FALSE)*(1+IF(OR($AG29=$F$4,$AG29=$F$5),$B$22,0))</f>
        <v>0</v>
      </c>
      <c r="AL29" s="27" cm="1">
        <f t="array" ref="AL29">$G$3+IFERROR(VLOOKUP($AG29,$F$4:$G$7,2,FALSE),0)+VLOOKUP($Q29,武学奇术!$A:$ZZ,2,FALSE)+SUM(_xlfn.XLOOKUP($R29:$AF29,增益!$A:$A,增益!$B:$B,0))</f>
        <v>0.5389</v>
      </c>
      <c r="AM29" s="27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3826.382</v>
      </c>
      <c r="AO29" cm="1">
        <f t="array" ref="AO29">$E$10*(1+$AM29)+VLOOKUP($Q29,武学奇术!$A:$ZZ,4,FALSE)+SUM(_xlfn.XLOOKUP($R29:$AF29,增益!$A:$A,增益!$D:$D,0))-$I$2</f>
        <v>3826.382</v>
      </c>
      <c r="AP29" s="33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0.247</v>
      </c>
      <c r="AQ29" s="33" cm="1">
        <f t="array" ref="AQ29">$G$10+VLOOKUP($Q29,武学奇术!$A:$ZZ,7,FALSE)+SUM(_xlfn.XLOOKUP(R29:AF29,增益!$A:$A,增益!$G:$G,0))</f>
        <v>0.09</v>
      </c>
      <c r="AR29" s="27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3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-0.24</v>
      </c>
      <c r="AV29" s="33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3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-0.24</v>
      </c>
      <c r="AZ29" s="33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33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-0.24</v>
      </c>
      <c r="BD29" s="33" cm="1">
        <f t="array" ref="BD29">$G$13+VLOOKUP($Q29,武学奇术!$A:$ZZ,14,FALSE)+SUM(_xlfn.XLOOKUP(R29:AF29,增益!$A:$A,增益!$N:$N,0))</f>
        <v>0</v>
      </c>
      <c r="BE29">
        <f t="shared" si="7"/>
        <v>605.472</v>
      </c>
      <c r="BF29">
        <f t="shared" si="8"/>
        <v>1725.468</v>
      </c>
      <c r="BG29" s="33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0.03</v>
      </c>
      <c r="BH29" s="33" cm="1">
        <f t="array" ref="BH29">$G$14+VLOOKUP($Q29,武学奇术!$A:$ZZ,16,FALSE)+SUM(_xlfn.XLOOKUP(R29:AF29,增益!$A:$A,增益!$P:$P,0))</f>
        <v>0.24</v>
      </c>
      <c r="BI29" s="27">
        <f>MIN(IF(VLOOKUP($Q29,武学奇术!$A:$ZZ,23,FALSE)=1,100%,$B$8),100%)</f>
        <v>1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+MIN(IF(VLOOKUP($Q29,武学奇术!$A:$ZZ,32,FALSE)=1,IF(VLOOKUP($Q29,武学奇术!$A:$ZZ,24,FALSE)=1,100%,MIN(40%,$B$10+VLOOKUP($Q29,武学奇术!$A:$ZZ,19,FALSE)+SUM(_xlfn.XLOOKUP(R29:AF29,增益!$A:$A,增益!$S:$S,0)))+$B$12+SUM(_xlfn.XLOOKUP(R29:AF29,增益!$A:$A,增益!$V:$V,0))),0),12%)</f>
        <v>0.9036</v>
      </c>
      <c r="BK29" s="27" cm="1">
        <f t="array" ref="BK29">1+$B$13+VLOOKUP($Q29,武学奇术!$A:$ZZ,18,FALSE)+SUM(_xlfn.XLOOKUP(R29:AF29,增益!$A:$A,增益!$R:$R,0))</f>
        <v>1.91</v>
      </c>
      <c r="BL29" s="27" cm="1">
        <f t="array" ref="BL29">MAX(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-IF(VLOOKUP($Q29,武学奇术!$A:$ZZ,32,FALSE)=1,12%,0),0)</f>
        <v>0.0929</v>
      </c>
      <c r="BM29" s="27" cm="1">
        <f t="array" ref="BM29">1+$B$14+VLOOKUP($Q29,武学奇术!$A:$ZZ,20,FALSE)+SUM(_xlfn.XLOOKUP(R29:AF29,增益!$A:$A,增益!$T:$T,0))</f>
        <v>1.35</v>
      </c>
      <c r="BN29" s="27">
        <f t="shared" si="9"/>
        <v>0.9036</v>
      </c>
      <c r="BO29" s="27">
        <f t="shared" si="10"/>
        <v>0.00350000000000006</v>
      </c>
      <c r="BP29" s="27">
        <f>IF(VLOOKUP($Q29,武学奇术!$A:$ZZ,22,FALSE)=1,0,(1-$BI29))*(1-$BL29)</f>
        <v>0</v>
      </c>
      <c r="BQ29" s="27" cm="1">
        <f t="array" ref="BQ29">SUM(_xlfn.XLOOKUP(R29:AF29,增益!$A:$A,增益!$W:$W,0))+$I$5</f>
        <v>0.11</v>
      </c>
    </row>
    <row r="30" spans="1:69">
      <c r="K30" s="39">
        <f t="shared" si="0"/>
        <v>47414.5473731499</v>
      </c>
      <c r="L30" s="39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BK30*$P30*(1+IF(VLOOKUP($Q30,武学奇术!$A:$ZZ,30,FALSE)="蓄力技",$B$21,0))*(1+$BQ30)</f>
        <v>47748.9137295344</v>
      </c>
      <c r="M30" s="39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44838.1883076034</v>
      </c>
      <c r="N30" s="39">
        <f>((($AN30+($AO30-$AN30)*IF(VLOOKUP($Q30,武学奇术!$A:$ZZ,31,FALSE)=1,$F$18,0.5))*$AH30+$AI30)*(1+$AP30)*(1+$AQ30)+(($AS30+($AT30-$AS30)*IF(VLOOKUP($Q30,武学奇术!$A:$ZZ,31,FALSE)=1,$F$18,0.5))*IF($G$1="鸣金",$AJ30,$AH30)+IF($G$1="鸣金",$AK30*1.5,0))*(1+$AU30)*(1+$AV30)+(($AW30+($AX30-$AW30)*IF(VLOOKUP($Q30,武学奇术!$A:$ZZ,31,FALSE)=1,$F$18,0.5))*IF($G$1="裂石",$AJ30,$AH30)+IF($G$1="裂石",$AK30*1.5,0))*(1+$AY30)*(1+$AZ30)+(($BA30+($BB30-$BA30)*IF(VLOOKUP($Q30,武学奇术!$A:$ZZ,31,FALSE)=1,$F$18,0.5))*IF($G$1="牵丝",$AJ30,$AH30)+IF($G$1="牵丝",$AK30*1.5,0))*(1+$BC30)*(1+$BD30)+(($BE30+($BF30-$BE30)*IF(VLOOKUP($Q30,武学奇术!$A:$ZZ,31,FALSE)=1,$F$18,0.5))*IF($G$1="破竹",$AJ30,$AH30)+IF($G$1="破竹",$AK30*1.5,0))*(1+$BG30)*(1+$BH30))*(1+$AL30)*$P30*(1+IF(VLOOKUP($Q30,武学奇术!$A:$ZZ,30,FALSE)="蓄力技",$B$21,0))*(1+$BQ30)</f>
        <v>29474.6381046509</v>
      </c>
      <c r="O30" s="39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25735.8033888547</v>
      </c>
      <c r="P30" s="40">
        <v>1</v>
      </c>
      <c r="Q30" s="41" t="s">
        <v>120</v>
      </c>
      <c r="R30" s="41" t="s">
        <v>97</v>
      </c>
      <c r="S30" s="41" t="s">
        <v>73</v>
      </c>
      <c r="T30" s="41" t="s">
        <v>73</v>
      </c>
      <c r="U30" s="41" t="s">
        <v>73</v>
      </c>
      <c r="V30" s="41" t="s">
        <v>73</v>
      </c>
      <c r="W30" s="41" t="s">
        <v>73</v>
      </c>
      <c r="X30" s="41" t="s">
        <v>161</v>
      </c>
      <c r="Y30" s="41" t="s">
        <v>73</v>
      </c>
      <c r="Z30" s="41" t="s">
        <v>73</v>
      </c>
      <c r="AA30" s="41" t="s">
        <v>73</v>
      </c>
      <c r="AB30" s="41" t="s">
        <v>73</v>
      </c>
      <c r="AC30" s="41" t="s">
        <v>73</v>
      </c>
      <c r="AD30" s="41" t="s">
        <v>73</v>
      </c>
      <c r="AE30" s="41" t="s">
        <v>77</v>
      </c>
      <c r="AF30" s="41" t="s">
        <v>78</v>
      </c>
      <c r="AG30" t="str">
        <f>VLOOKUP($Q30,武学奇术!$A:$ZZ,25,FALSE)</f>
        <v>拳甲</v>
      </c>
      <c r="AH30" s="27">
        <f>VLOOKUP($Q30,武学奇术!$A:$ZZ,26,FALSE)</f>
        <v>2.4421</v>
      </c>
      <c r="AI30" s="28">
        <f>VLOOKUP($Q30,武学奇术!$A:$ZZ,27,FALSE)*(1+IF(OR($AG30=$F$4,$AG30=$F$5),$B$22,0))</f>
        <v>1012.5</v>
      </c>
      <c r="AJ30" s="27">
        <f>VLOOKUP($Q30,武学奇术!$A:$ZZ,28,FALSE)</f>
        <v>3.6634</v>
      </c>
      <c r="AK30" s="28">
        <f>VLOOKUP($Q30,武学奇术!$A:$ZZ,29,FALSE)*(1+IF(OR($AG30=$F$4,$AG30=$F$5),$B$22,0))</f>
        <v>549</v>
      </c>
      <c r="AL30" s="27" cm="1">
        <f t="array" ref="AL30">$G$3+IFERROR(VLOOKUP($AG30,$F$4:$G$7,2,FALSE),0)+VLOOKUP($Q30,武学奇术!$A:$ZZ,2,FALSE)+SUM(_xlfn.XLOOKUP($R30:$AF30,增益!$A:$A,增益!$B:$B,0))</f>
        <v>0.3241</v>
      </c>
      <c r="AM30" s="27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3826.382</v>
      </c>
      <c r="AO30" cm="1">
        <f t="array" ref="AO30">$E$10*(1+$AM30)+VLOOKUP($Q30,武学奇术!$A:$ZZ,4,FALSE)+SUM(_xlfn.XLOOKUP($R30:$AF30,增益!$A:$A,增益!$D:$D,0))-$I$2</f>
        <v>3826.382</v>
      </c>
      <c r="AP30" s="33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0.217</v>
      </c>
      <c r="AQ30" s="33" cm="1">
        <f t="array" ref="AQ30">$G$10+VLOOKUP($Q30,武学奇术!$A:$ZZ,7,FALSE)+SUM(_xlfn.XLOOKUP(R30:AF30,增益!$A:$A,增益!$G:$G,0))</f>
        <v>0.09</v>
      </c>
      <c r="AR30" s="27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3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3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3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3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33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3" cm="1">
        <f t="array" ref="BD30">$G$13+VLOOKUP($Q30,武学奇术!$A:$ZZ,14,FALSE)+SUM(_xlfn.XLOOKUP(R30:AF30,增益!$A:$A,增益!$N:$N,0))</f>
        <v>0</v>
      </c>
      <c r="BE30">
        <f t="shared" si="7"/>
        <v>605.472</v>
      </c>
      <c r="BF30">
        <f t="shared" si="8"/>
        <v>1725.468</v>
      </c>
      <c r="BG30" s="33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</v>
      </c>
      <c r="BH30" s="33" cm="1">
        <f t="array" ref="BH30">$G$14+VLOOKUP($Q30,武学奇术!$A:$ZZ,16,FALSE)+SUM(_xlfn.XLOOKUP(R30:AF30,增益!$A:$A,增益!$P:$P,0))</f>
        <v>0.24</v>
      </c>
      <c r="BI30" s="27">
        <f>MIN(IF(VLOOKUP($Q30,武学奇术!$A:$ZZ,23,FALSE)=1,100%,$B$8),100%)</f>
        <v>1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+MIN(IF(VLOOKUP($Q30,武学奇术!$A:$ZZ,32,FALSE)=1,IF(VLOOKUP($Q30,武学奇术!$A:$ZZ,24,FALSE)=1,100%,MIN(40%,$B$10+VLOOKUP($Q30,武学奇术!$A:$ZZ,19,FALSE)+SUM(_xlfn.XLOOKUP(R30:AF30,增益!$A:$A,增益!$S:$S,0)))+$B$12+SUM(_xlfn.XLOOKUP(R30:AF30,增益!$A:$A,增益!$V:$V,0))),0),12%)</f>
        <v>0.9036</v>
      </c>
      <c r="BK30" s="27" cm="1">
        <f t="array" ref="BK30">1+$B$13+VLOOKUP($Q30,武学奇术!$A:$ZZ,18,FALSE)+SUM(_xlfn.XLOOKUP(R30:AF30,增益!$A:$A,增益!$R:$R,0))</f>
        <v>1.62</v>
      </c>
      <c r="BL30" s="27" cm="1">
        <f t="array" ref="BL30">MAX(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-IF(VLOOKUP($Q30,武学奇术!$A:$ZZ,32,FALSE)=1,12%,0),0)</f>
        <v>0.0929</v>
      </c>
      <c r="BM30" s="27" cm="1">
        <f t="array" ref="BM30">1+$B$14+VLOOKUP($Q30,武学奇术!$A:$ZZ,20,FALSE)+SUM(_xlfn.XLOOKUP(R30:AF30,增益!$A:$A,增益!$T:$T,0))</f>
        <v>1.35</v>
      </c>
      <c r="BN30" s="27">
        <f t="shared" si="9"/>
        <v>0.9036</v>
      </c>
      <c r="BO30" s="27">
        <f t="shared" si="10"/>
        <v>0.00350000000000006</v>
      </c>
      <c r="BP30" s="27">
        <f>IF(VLOOKUP($Q30,武学奇术!$A:$ZZ,22,FALSE)=1,0,(1-$BI30))*(1-$BL30)</f>
        <v>0</v>
      </c>
      <c r="BQ30" s="27" cm="1">
        <f t="array" ref="BQ30">SUM(_xlfn.XLOOKUP(R30:AF30,增益!$A:$A,增益!$W:$W,0))+$I$5</f>
        <v>0.11</v>
      </c>
    </row>
    <row r="31" spans="1:69">
      <c r="K31" s="39">
        <f t="shared" si="0"/>
        <v>25162.1507568466</v>
      </c>
      <c r="L31" s="39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BK31*$P31*(1+IF(VLOOKUP($Q31,武学奇术!$A:$ZZ,30,FALSE)="蓄力技",$B$21,0))*(1+$BQ31)</f>
        <v>25353.8508307809</v>
      </c>
      <c r="M31" s="39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23659.5302708341</v>
      </c>
      <c r="N31" s="39">
        <f>((($AN31+($AO31-$AN31)*IF(VLOOKUP($Q31,武学奇术!$A:$ZZ,31,FALSE)=1,$F$18,0.5))*$AH31+$AI31)*(1+$AP31)*(1+$AQ31)+(($AS31+($AT31-$AS31)*IF(VLOOKUP($Q31,武学奇术!$A:$ZZ,31,FALSE)=1,$F$18,0.5))*IF($G$1="鸣金",$AJ31,$AH31)+IF($G$1="鸣金",$AK31*1.5,0))*(1+$AU31)*(1+$AV31)+(($AW31+($AX31-$AW31)*IF(VLOOKUP($Q31,武学奇术!$A:$ZZ,31,FALSE)=1,$F$18,0.5))*IF($G$1="裂石",$AJ31,$AH31)+IF($G$1="裂石",$AK31*1.5,0))*(1+$AY31)*(1+$AZ31)+(($BA31+($BB31-$BA31)*IF(VLOOKUP($Q31,武学奇术!$A:$ZZ,31,FALSE)=1,$F$18,0.5))*IF($G$1="牵丝",$AJ31,$AH31)+IF($G$1="牵丝",$AK31*1.5,0))*(1+$BC31)*(1+$BD31)+(($BE31+($BF31-$BE31)*IF(VLOOKUP($Q31,武学奇术!$A:$ZZ,31,FALSE)=1,$F$18,0.5))*IF($G$1="破竹",$AJ31,$AH31)+IF($G$1="破竹",$AK31*1.5,0))*(1+$BG31)*(1+$BH31))*(1+$AL31)*$P31*(1+IF(VLOOKUP($Q31,武学奇术!$A:$ZZ,30,FALSE)="蓄力技",$B$21,0))*(1+$BQ31)</f>
        <v>15554.5097121355</v>
      </c>
      <c r="O31" s="39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13583.4414458755</v>
      </c>
      <c r="P31" s="40">
        <v>1</v>
      </c>
      <c r="Q31" s="41" t="s">
        <v>115</v>
      </c>
      <c r="R31" s="41" t="s">
        <v>97</v>
      </c>
      <c r="S31" s="41" t="s">
        <v>73</v>
      </c>
      <c r="T31" s="41" t="s">
        <v>73</v>
      </c>
      <c r="U31" s="41" t="s">
        <v>73</v>
      </c>
      <c r="V31" s="41" t="s">
        <v>73</v>
      </c>
      <c r="W31" s="41" t="s">
        <v>73</v>
      </c>
      <c r="X31" s="41" t="s">
        <v>162</v>
      </c>
      <c r="Y31" s="41" t="s">
        <v>73</v>
      </c>
      <c r="Z31" s="41" t="s">
        <v>73</v>
      </c>
      <c r="AA31" s="41" t="s">
        <v>73</v>
      </c>
      <c r="AB31" s="41" t="s">
        <v>73</v>
      </c>
      <c r="AC31" s="41" t="s">
        <v>73</v>
      </c>
      <c r="AD31" s="41" t="s">
        <v>73</v>
      </c>
      <c r="AE31" s="41" t="s">
        <v>77</v>
      </c>
      <c r="AF31" s="41" t="s">
        <v>78</v>
      </c>
      <c r="AG31" t="str">
        <f>VLOOKUP($Q31,武学奇术!$A:$ZZ,25,FALSE)</f>
        <v>拳甲</v>
      </c>
      <c r="AH31" s="27">
        <f>VLOOKUP($Q31,武学奇术!$A:$ZZ,26,FALSE)</f>
        <v>1.2876</v>
      </c>
      <c r="AI31" s="28">
        <f>VLOOKUP($Q31,武学奇术!$A:$ZZ,27,FALSE)*(1+IF(OR($AG31=$F$4,$AG31=$F$5),$B$22,0))</f>
        <v>537</v>
      </c>
      <c r="AJ31" s="27">
        <f>VLOOKUP($Q31,武学奇术!$A:$ZZ,28,FALSE)</f>
        <v>1.9313</v>
      </c>
      <c r="AK31" s="28">
        <f>VLOOKUP($Q31,武学奇术!$A:$ZZ,29,FALSE)*(1+IF(OR($AG31=$F$4,$AG31=$F$5),$B$22,0))</f>
        <v>292.5</v>
      </c>
      <c r="AL31" s="27" cm="1">
        <f t="array" ref="AL31">$G$3+IFERROR(VLOOKUP($AG31,$F$4:$G$7,2,FALSE),0)+VLOOKUP($Q31,武学奇术!$A:$ZZ,2,FALSE)+SUM(_xlfn.XLOOKUP($R31:$AF31,增益!$A:$A,增益!$B:$B,0))</f>
        <v>0.3241</v>
      </c>
      <c r="AM31" s="27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3826.382</v>
      </c>
      <c r="AO31" cm="1">
        <f t="array" ref="AO31">$E$10*(1+$AM31)+VLOOKUP($Q31,武学奇术!$A:$ZZ,4,FALSE)+SUM(_xlfn.XLOOKUP($R31:$AF31,增益!$A:$A,增益!$D:$D,0))-$I$2</f>
        <v>3826.382</v>
      </c>
      <c r="AP31" s="33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0.217</v>
      </c>
      <c r="AQ31" s="33" cm="1">
        <f t="array" ref="AQ31">$G$10+VLOOKUP($Q31,武学奇术!$A:$ZZ,7,FALSE)+SUM(_xlfn.XLOOKUP(R31:AF31,增益!$A:$A,增益!$G:$G,0))</f>
        <v>0.09</v>
      </c>
      <c r="AR31" s="27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3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3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3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3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33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-0.3</v>
      </c>
      <c r="BD31" s="33" cm="1">
        <f t="array" ref="BD31">$G$13+VLOOKUP($Q31,武学奇术!$A:$ZZ,14,FALSE)+SUM(_xlfn.XLOOKUP(R31:AF31,增益!$A:$A,增益!$N:$N,0))</f>
        <v>0</v>
      </c>
      <c r="BE31">
        <f t="shared" si="7"/>
        <v>605.472</v>
      </c>
      <c r="BF31">
        <f t="shared" si="8"/>
        <v>1725.468</v>
      </c>
      <c r="BG31" s="33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</v>
      </c>
      <c r="BH31" s="33" cm="1">
        <f t="array" ref="BH31">$G$14+VLOOKUP($Q31,武学奇术!$A:$ZZ,16,FALSE)+SUM(_xlfn.XLOOKUP(R31:AF31,增益!$A:$A,增益!$P:$P,0))</f>
        <v>0.24</v>
      </c>
      <c r="BI31" s="27">
        <f>MIN(IF(VLOOKUP($Q31,武学奇术!$A:$ZZ,23,FALSE)=1,100%,$B$8),100%)</f>
        <v>1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+MIN(IF(VLOOKUP($Q31,武学奇术!$A:$ZZ,32,FALSE)=1,IF(VLOOKUP($Q31,武学奇术!$A:$ZZ,24,FALSE)=1,100%,MIN(40%,$B$10+VLOOKUP($Q31,武学奇术!$A:$ZZ,19,FALSE)+SUM(_xlfn.XLOOKUP(R31:AF31,增益!$A:$A,增益!$S:$S,0)))+$B$12+SUM(_xlfn.XLOOKUP(R31:AF31,增益!$A:$A,增益!$V:$V,0))),0),12%)</f>
        <v>0.9036</v>
      </c>
      <c r="BK31" s="27" cm="1">
        <f t="array" ref="BK31">1+$B$13+VLOOKUP($Q31,武学奇术!$A:$ZZ,18,FALSE)+SUM(_xlfn.XLOOKUP(R31:AF31,增益!$A:$A,增益!$R:$R,0))</f>
        <v>1.63</v>
      </c>
      <c r="BL31" s="27" cm="1">
        <f t="array" ref="BL31">MAX(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-IF(VLOOKUP($Q31,武学奇术!$A:$ZZ,32,FALSE)=1,12%,0),0)</f>
        <v>0.0929</v>
      </c>
      <c r="BM31" s="27" cm="1">
        <f t="array" ref="BM31">1+$B$14+VLOOKUP($Q31,武学奇术!$A:$ZZ,20,FALSE)+SUM(_xlfn.XLOOKUP(R31:AF31,增益!$A:$A,增益!$T:$T,0))</f>
        <v>1.35</v>
      </c>
      <c r="BN31" s="27">
        <f t="shared" si="9"/>
        <v>0.9036</v>
      </c>
      <c r="BO31" s="27">
        <f t="shared" si="10"/>
        <v>0.00350000000000006</v>
      </c>
      <c r="BP31" s="27">
        <f>IF(VLOOKUP($Q31,武学奇术!$A:$ZZ,22,FALSE)=1,0,(1-$BI31))*(1-$BL31)</f>
        <v>0</v>
      </c>
      <c r="BQ31" s="27" cm="1">
        <f t="array" ref="BQ31">SUM(_xlfn.XLOOKUP(R31:AF31,增益!$A:$A,增益!$W:$W,0))+$I$5</f>
        <v>0.11</v>
      </c>
    </row>
    <row r="32" spans="1:69">
      <c r="K32" s="39">
        <f t="shared" si="0"/>
        <v>66873.854551421</v>
      </c>
      <c r="L32" s="39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BK32*$P32*(1+IF(VLOOKUP($Q32,武学奇术!$A:$ZZ,30,FALSE)="蓄力技",$B$21,0))*(1+$BQ32)</f>
        <v>68254.3967610184</v>
      </c>
      <c r="M32" s="39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54632.9842272572</v>
      </c>
      <c r="N32" s="39">
        <f>((($AN32+($AO32-$AN32)*IF(VLOOKUP($Q32,武学奇术!$A:$ZZ,31,FALSE)=1,$F$18,0.5))*$AH32+$AI32)*(1+$AP32)*(1+$AQ32)+(($AS32+($AT32-$AS32)*IF(VLOOKUP($Q32,武学奇术!$A:$ZZ,31,FALSE)=1,$F$18,0.5))*IF($G$1="鸣金",$AJ32,$AH32)+IF($G$1="鸣金",$AK32*1.5,0))*(1+$AU32)*(1+$AV32)+(($AW32+($AX32-$AW32)*IF(VLOOKUP($Q32,武学奇术!$A:$ZZ,31,FALSE)=1,$F$18,0.5))*IF($G$1="裂石",$AJ32,$AH32)+IF($G$1="裂石",$AK32*1.5,0))*(1+$AY32)*(1+$AZ32)+(($BA32+($BB32-$BA32)*IF(VLOOKUP($Q32,武学奇术!$A:$ZZ,31,FALSE)=1,$F$18,0.5))*IF($G$1="牵丝",$AJ32,$AH32)+IF($G$1="牵丝",$AK32*1.5,0))*(1+$BC32)*(1+$BD32)+(($BE32+($BF32-$BE32)*IF(VLOOKUP($Q32,武学奇术!$A:$ZZ,31,FALSE)=1,$F$18,0.5))*IF($G$1="破竹",$AJ32,$AH32)+IF($G$1="破竹",$AK32*1.5,0))*(1+$BG32)*(1+$BH32))*(1+$AL32)*$P32*(1+IF(VLOOKUP($Q32,武学奇术!$A:$ZZ,30,FALSE)="蓄力技",$B$21,0))*(1+$BQ32)</f>
        <v>35364.9724150354</v>
      </c>
      <c r="O32" s="39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30261.0676246951</v>
      </c>
      <c r="P32" s="40">
        <v>1</v>
      </c>
      <c r="Q32" s="41" t="s">
        <v>117</v>
      </c>
      <c r="R32" s="41" t="s">
        <v>97</v>
      </c>
      <c r="S32" s="41" t="s">
        <v>73</v>
      </c>
      <c r="T32" s="41" t="s">
        <v>73</v>
      </c>
      <c r="U32" s="41" t="s">
        <v>73</v>
      </c>
      <c r="V32" s="41" t="s">
        <v>73</v>
      </c>
      <c r="W32" s="41" t="s">
        <v>73</v>
      </c>
      <c r="X32" s="41" t="s">
        <v>162</v>
      </c>
      <c r="Y32" s="41" t="s">
        <v>73</v>
      </c>
      <c r="Z32" s="41" t="s">
        <v>105</v>
      </c>
      <c r="AA32" s="41" t="s">
        <v>73</v>
      </c>
      <c r="AB32" s="41" t="s">
        <v>73</v>
      </c>
      <c r="AC32" s="41" t="s">
        <v>73</v>
      </c>
      <c r="AD32" s="41" t="s">
        <v>73</v>
      </c>
      <c r="AE32" s="41" t="s">
        <v>77</v>
      </c>
      <c r="AF32" s="41" t="s">
        <v>78</v>
      </c>
      <c r="AG32" t="str">
        <f>VLOOKUP($Q32,武学奇术!$A:$ZZ,25,FALSE)</f>
        <v>拳甲</v>
      </c>
      <c r="AH32" s="27">
        <f>VLOOKUP($Q32,武学奇术!$A:$ZZ,26,FALSE)</f>
        <v>2.638944</v>
      </c>
      <c r="AI32" s="28">
        <f>VLOOKUP($Q32,武学奇术!$A:$ZZ,27,FALSE)*(1+IF(OR($AG32=$F$4,$AG32=$F$5),$B$22,0))</f>
        <v>0</v>
      </c>
      <c r="AJ32" s="27">
        <f>VLOOKUP($Q32,武学奇术!$A:$ZZ,28,FALSE)</f>
        <v>3.958416</v>
      </c>
      <c r="AK32" s="28">
        <f>VLOOKUP($Q32,武学奇术!$A:$ZZ,29,FALSE)*(1+IF(OR($AG32=$F$4,$AG32=$F$5),$B$22,0))</f>
        <v>0</v>
      </c>
      <c r="AL32" s="27" cm="1">
        <f t="array" ref="AL32">$G$3+IFERROR(VLOOKUP($AG32,$F$4:$G$7,2,FALSE),0)+VLOOKUP($Q32,武学奇术!$A:$ZZ,2,FALSE)+SUM(_xlfn.XLOOKUP($R32:$AF32,增益!$A:$A,增益!$B:$B,0))</f>
        <v>0.6241</v>
      </c>
      <c r="AM32" s="27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3826.382</v>
      </c>
      <c r="AO32" cm="1">
        <f t="array" ref="AO32">$E$10*(1+$AM32)+VLOOKUP($Q32,武学奇术!$A:$ZZ,4,FALSE)+SUM(_xlfn.XLOOKUP($R32:$AF32,增益!$A:$A,增益!$D:$D,0))-$I$2</f>
        <v>3826.382</v>
      </c>
      <c r="AP32" s="33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0.247</v>
      </c>
      <c r="AQ32" s="33" cm="1">
        <f t="array" ref="AQ32">$G$10+VLOOKUP($Q32,武学奇术!$A:$ZZ,7,FALSE)+SUM(_xlfn.XLOOKUP(R32:AF32,增益!$A:$A,增益!$G:$G,0))</f>
        <v>0.09</v>
      </c>
      <c r="AR32" s="27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3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-0.24</v>
      </c>
      <c r="AV32" s="33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3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-0.24</v>
      </c>
      <c r="AZ32" s="33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33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-0.24</v>
      </c>
      <c r="BD32" s="33" cm="1">
        <f t="array" ref="BD32">$G$13+VLOOKUP($Q32,武学奇术!$A:$ZZ,14,FALSE)+SUM(_xlfn.XLOOKUP(R32:AF32,增益!$A:$A,增益!$N:$N,0))</f>
        <v>0</v>
      </c>
      <c r="BE32">
        <f t="shared" si="7"/>
        <v>605.472</v>
      </c>
      <c r="BF32">
        <f t="shared" si="8"/>
        <v>1725.468</v>
      </c>
      <c r="BG32" s="33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0.03</v>
      </c>
      <c r="BH32" s="33" cm="1">
        <f t="array" ref="BH32">$G$14+VLOOKUP($Q32,武学奇术!$A:$ZZ,16,FALSE)+SUM(_xlfn.XLOOKUP(R32:AF32,增益!$A:$A,增益!$P:$P,0))</f>
        <v>0.24</v>
      </c>
      <c r="BI32" s="27">
        <f>MIN(IF(VLOOKUP($Q32,武学奇术!$A:$ZZ,23,FALSE)=1,100%,$B$8),100%)</f>
        <v>1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+MIN(IF(VLOOKUP($Q32,武学奇术!$A:$ZZ,32,FALSE)=1,IF(VLOOKUP($Q32,武学奇术!$A:$ZZ,24,FALSE)=1,100%,MIN(40%,$B$10+VLOOKUP($Q32,武学奇术!$A:$ZZ,19,FALSE)+SUM(_xlfn.XLOOKUP(R32:AF32,增益!$A:$A,增益!$S:$S,0)))+$B$12+SUM(_xlfn.XLOOKUP(R32:AF32,增益!$A:$A,增益!$V:$V,0))),0),12%)</f>
        <v>0.9036</v>
      </c>
      <c r="BK32" s="27" cm="1">
        <f t="array" ref="BK32">1+$B$13+VLOOKUP($Q32,武学奇术!$A:$ZZ,18,FALSE)+SUM(_xlfn.XLOOKUP(R32:AF32,增益!$A:$A,增益!$R:$R,0))</f>
        <v>1.93</v>
      </c>
      <c r="BL32" s="27" cm="1">
        <f t="array" ref="BL32">MAX(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-IF(VLOOKUP($Q32,武学奇术!$A:$ZZ,32,FALSE)=1,12%,0),0)</f>
        <v>0.0929</v>
      </c>
      <c r="BM32" s="27" cm="1">
        <f t="array" ref="BM32">1+$B$14+VLOOKUP($Q32,武学奇术!$A:$ZZ,20,FALSE)+SUM(_xlfn.XLOOKUP(R32:AF32,增益!$A:$A,增益!$T:$T,0))</f>
        <v>1.35</v>
      </c>
      <c r="BN32" s="27">
        <f t="shared" si="9"/>
        <v>0.9036</v>
      </c>
      <c r="BO32" s="27">
        <f t="shared" si="10"/>
        <v>0.00350000000000006</v>
      </c>
      <c r="BP32" s="27">
        <f>IF(VLOOKUP($Q32,武学奇术!$A:$ZZ,22,FALSE)=1,0,(1-$BI32))*(1-$BL32)</f>
        <v>0</v>
      </c>
      <c r="BQ32" s="27" cm="1">
        <f t="array" ref="BQ32">SUM(_xlfn.XLOOKUP(R32:AF32,增益!$A:$A,增益!$W:$W,0))+$I$5</f>
        <v>0.11</v>
      </c>
    </row>
    <row r="33" spans="1:69">
      <c r="K33" s="39">
        <f t="shared" si="0"/>
        <v>720351.16623987</v>
      </c>
      <c r="L33" s="39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BK33*$P33*(1+IF(VLOOKUP($Q33,武学奇术!$A:$ZZ,30,FALSE)="蓄力技",$B$21,0))*(1+$BQ33)</f>
        <v>721696.759731144</v>
      </c>
      <c r="M33" s="39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513214.426774398</v>
      </c>
      <c r="N33" s="39">
        <f>((($AN33+($AO33-$AN33)*IF(VLOOKUP($Q33,武学奇术!$A:$ZZ,31,FALSE)=1,$F$18,0.5))*$AH33+$AI33)*(1+$AP33)*(1+$AQ33)+(($AS33+($AT33-$AS33)*IF(VLOOKUP($Q33,武学奇术!$A:$ZZ,31,FALSE)=1,$F$18,0.5))*IF($G$1="鸣金",$AJ33,$AH33)+IF($G$1="鸣金",$AK33*1.5,0))*(1+$AU33)*(1+$AV33)+(($AW33+($AX33-$AW33)*IF(VLOOKUP($Q33,武学奇术!$A:$ZZ,31,FALSE)=1,$F$18,0.5))*IF($G$1="裂石",$AJ33,$AH33)+IF($G$1="裂石",$AK33*1.5,0))*(1+$AY33)*(1+$AZ33)+(($BA33+($BB33-$BA33)*IF(VLOOKUP($Q33,武学奇术!$A:$ZZ,31,FALSE)=1,$F$18,0.5))*IF($G$1="牵丝",$AJ33,$AH33)+IF($G$1="牵丝",$AK33*1.5,0))*(1+$BC33)*(1+$BD33)+(($BE33+($BF33-$BE33)*IF(VLOOKUP($Q33,武学奇术!$A:$ZZ,31,FALSE)=1,$F$18,0.5))*IF($G$1="破竹",$AJ33,$AH33)+IF($G$1="破竹",$AK33*1.5,0))*(1+$BG33)*(1+$BH33))*(1+$AL33)*$P33*(1+IF(VLOOKUP($Q33,武学奇术!$A:$ZZ,30,FALSE)="蓄力技",$B$21,0))*(1+$BQ33)</f>
        <v>337241.476509881</v>
      </c>
      <c r="O33" s="39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294324.118372059</v>
      </c>
      <c r="P33" s="40">
        <v>1</v>
      </c>
      <c r="Q33" s="41" t="s">
        <v>131</v>
      </c>
      <c r="R33" s="41" t="s">
        <v>97</v>
      </c>
      <c r="S33" s="41" t="s">
        <v>73</v>
      </c>
      <c r="T33" s="41" t="s">
        <v>73</v>
      </c>
      <c r="U33" s="41" t="s">
        <v>73</v>
      </c>
      <c r="V33" s="41" t="s">
        <v>73</v>
      </c>
      <c r="W33" s="41" t="s">
        <v>73</v>
      </c>
      <c r="X33" s="41" t="s">
        <v>164</v>
      </c>
      <c r="Y33" s="41" t="s">
        <v>73</v>
      </c>
      <c r="Z33" s="41" t="s">
        <v>105</v>
      </c>
      <c r="AA33" s="41" t="s">
        <v>73</v>
      </c>
      <c r="AB33" s="41" t="s">
        <v>73</v>
      </c>
      <c r="AC33" s="41" t="s">
        <v>73</v>
      </c>
      <c r="AD33" s="41" t="s">
        <v>73</v>
      </c>
      <c r="AE33" s="41" t="s">
        <v>77</v>
      </c>
      <c r="AF33" s="41" t="s">
        <v>78</v>
      </c>
      <c r="AG33" t="str">
        <f>VLOOKUP($Q33,武学奇术!$A:$ZZ,25,FALSE)</f>
        <v>拳甲</v>
      </c>
      <c r="AH33" s="27">
        <f>VLOOKUP($Q33,武学奇术!$A:$ZZ,26,FALSE)</f>
        <v>16.8107</v>
      </c>
      <c r="AI33" s="28">
        <f>VLOOKUP($Q33,武学奇术!$A:$ZZ,27,FALSE)*(1+IF(OR($AG33=$F$4,$AG33=$F$5),$B$22,0))</f>
        <v>6970.5</v>
      </c>
      <c r="AJ33" s="27">
        <f>VLOOKUP($Q33,武学奇术!$A:$ZZ,28,FALSE)</f>
        <v>25.2161</v>
      </c>
      <c r="AK33" s="28">
        <f>VLOOKUP($Q33,武学奇术!$A:$ZZ,29,FALSE)*(1+IF(OR($AG33=$F$4,$AG33=$F$5),$B$22,0))</f>
        <v>3799.5</v>
      </c>
      <c r="AL33" s="27" cm="1">
        <f t="array" ref="AL33">$G$3+IFERROR(VLOOKUP($AG33,$F$4:$G$7,2,FALSE),0)+VLOOKUP($Q33,武学奇术!$A:$ZZ,2,FALSE)+SUM(_xlfn.XLOOKUP($R33:$AF33,增益!$A:$A,增益!$B:$B,0))</f>
        <v>0.6241</v>
      </c>
      <c r="AM33" s="27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3826.382</v>
      </c>
      <c r="AO33" cm="1">
        <f t="array" ref="AO33">$E$10*(1+$AM33)+VLOOKUP($Q33,武学奇术!$A:$ZZ,4,FALSE)+SUM(_xlfn.XLOOKUP($R33:$AF33,增益!$A:$A,增益!$D:$D,0))-$I$2</f>
        <v>3826.382</v>
      </c>
      <c r="AP33" s="33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0.247</v>
      </c>
      <c r="AQ33" s="33" cm="1">
        <f t="array" ref="AQ33">$G$10+VLOOKUP($Q33,武学奇术!$A:$ZZ,7,FALSE)+SUM(_xlfn.XLOOKUP(R33:AF33,增益!$A:$A,增益!$G:$G,0))</f>
        <v>0.09</v>
      </c>
      <c r="AR33" s="27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3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-0.24</v>
      </c>
      <c r="AV33" s="33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3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-0.24</v>
      </c>
      <c r="AZ33" s="33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33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-0.24</v>
      </c>
      <c r="BD33" s="33" cm="1">
        <f t="array" ref="BD33">$G$13+VLOOKUP($Q33,武学奇术!$A:$ZZ,14,FALSE)+SUM(_xlfn.XLOOKUP(R33:AF33,增益!$A:$A,增益!$N:$N,0))</f>
        <v>0</v>
      </c>
      <c r="BE33">
        <f t="shared" si="7"/>
        <v>605.472</v>
      </c>
      <c r="BF33">
        <f t="shared" si="8"/>
        <v>1725.468</v>
      </c>
      <c r="BG33" s="33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0.03</v>
      </c>
      <c r="BH33" s="33" cm="1">
        <f t="array" ref="BH33">$G$14+VLOOKUP($Q33,武学奇术!$A:$ZZ,16,FALSE)+SUM(_xlfn.XLOOKUP(R33:AF33,增益!$A:$A,增益!$P:$P,0))</f>
        <v>0.24</v>
      </c>
      <c r="BI33" s="27">
        <f>MIN(IF(VLOOKUP($Q33,武学奇术!$A:$ZZ,23,FALSE)=1,100%,$B$8),100%)</f>
        <v>1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+MIN(IF(VLOOKUP($Q33,武学奇术!$A:$ZZ,32,FALSE)=1,IF(VLOOKUP($Q33,武学奇术!$A:$ZZ,24,FALSE)=1,100%,MIN(40%,$B$10+VLOOKUP($Q33,武学奇术!$A:$ZZ,19,FALSE)+SUM(_xlfn.XLOOKUP(R33:AF33,增益!$A:$A,增益!$S:$S,0)))+$B$12+SUM(_xlfn.XLOOKUP(R33:AF33,增益!$A:$A,增益!$V:$V,0))),0),12%)</f>
        <v>0.9965</v>
      </c>
      <c r="BK33" s="27" cm="1">
        <f t="array" ref="BK33">1+$B$13+VLOOKUP($Q33,武学奇术!$A:$ZZ,18,FALSE)+SUM(_xlfn.XLOOKUP(R33:AF33,增益!$A:$A,增益!$R:$R,0))</f>
        <v>2.14</v>
      </c>
      <c r="BL33" s="27" cm="1">
        <f t="array" ref="BL33">MAX(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-IF(VLOOKUP($Q33,武学奇术!$A:$ZZ,32,FALSE)=1,12%,0),0)</f>
        <v>0</v>
      </c>
      <c r="BM33" s="27" cm="1">
        <f t="array" ref="BM33">1+$B$14+VLOOKUP($Q33,武学奇术!$A:$ZZ,20,FALSE)+SUM(_xlfn.XLOOKUP(R33:AF33,增益!$A:$A,增益!$T:$T,0))</f>
        <v>1.35</v>
      </c>
      <c r="BN33" s="27">
        <f t="shared" si="9"/>
        <v>0.9965</v>
      </c>
      <c r="BO33" s="27">
        <f t="shared" si="10"/>
        <v>0.00350000000000006</v>
      </c>
      <c r="BP33" s="27">
        <f>IF(VLOOKUP($Q33,武学奇术!$A:$ZZ,22,FALSE)=1,0,(1-$BI33))*(1-$BL33)</f>
        <v>0</v>
      </c>
      <c r="BQ33" s="27" cm="1">
        <f t="array" ref="BQ33">SUM(_xlfn.XLOOKUP(R33:AF33,增益!$A:$A,增益!$W:$W,0))+$I$5</f>
        <v>0.11</v>
      </c>
    </row>
    <row r="34" spans="1:69">
      <c r="F34" s="4"/>
      <c r="G34" s="91"/>
      <c r="K34" s="39">
        <f t="shared" si="0"/>
        <v>277344.80155235</v>
      </c>
      <c r="L34" s="39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BK34*$P34*(1+IF(VLOOKUP($Q34,武学奇术!$A:$ZZ,30,FALSE)="蓄力技",$B$21,0))*(1+$BQ34)</f>
        <v>277862.872983754</v>
      </c>
      <c r="M34" s="39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197593.81056773</v>
      </c>
      <c r="N34" s="39">
        <f>((($AN34+($AO34-$AN34)*IF(VLOOKUP($Q34,武学奇术!$A:$ZZ,31,FALSE)=1,$F$18,0.5))*$AH34+$AI34)*(1+$AP34)*(1+$AQ34)+(($AS34+($AT34-$AS34)*IF(VLOOKUP($Q34,武学奇术!$A:$ZZ,31,FALSE)=1,$F$18,0.5))*IF($G$1="鸣金",$AJ34,$AH34)+IF($G$1="鸣金",$AK34*1.5,0))*(1+$AU34)*(1+$AV34)+(($AW34+($AX34-$AW34)*IF(VLOOKUP($Q34,武学奇术!$A:$ZZ,31,FALSE)=1,$F$18,0.5))*IF($G$1="裂石",$AJ34,$AH34)+IF($G$1="裂石",$AK34*1.5,0))*(1+$AY34)*(1+$AZ34)+(($BA34+($BB34-$BA34)*IF(VLOOKUP($Q34,武学奇术!$A:$ZZ,31,FALSE)=1,$F$18,0.5))*IF($G$1="牵丝",$AJ34,$AH34)+IF($G$1="牵丝",$AK34*1.5,0))*(1+$BC34)*(1+$BD34)+(($BE34+($BF34-$BE34)*IF(VLOOKUP($Q34,武学奇术!$A:$ZZ,31,FALSE)=1,$F$18,0.5))*IF($G$1="破竹",$AJ34,$AH34)+IF($G$1="破竹",$AK34*1.5,0))*(1+$BG34)*(1+$BH34))*(1+$AL34)*$P34*(1+IF(VLOOKUP($Q34,武学奇术!$A:$ZZ,30,FALSE)="蓄力技",$B$21,0))*(1+$BQ34)</f>
        <v>129842.4640111</v>
      </c>
      <c r="O34" s="39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113319.142416474</v>
      </c>
      <c r="P34" s="40">
        <v>1</v>
      </c>
      <c r="Q34" s="41" t="s">
        <v>138</v>
      </c>
      <c r="R34" s="41" t="s">
        <v>97</v>
      </c>
      <c r="S34" s="41" t="s">
        <v>73</v>
      </c>
      <c r="T34" s="41" t="s">
        <v>73</v>
      </c>
      <c r="U34" s="41" t="s">
        <v>73</v>
      </c>
      <c r="V34" s="41" t="s">
        <v>73</v>
      </c>
      <c r="W34" s="41" t="s">
        <v>73</v>
      </c>
      <c r="X34" s="41" t="s">
        <v>164</v>
      </c>
      <c r="Y34" s="41" t="s">
        <v>73</v>
      </c>
      <c r="Z34" s="41" t="s">
        <v>105</v>
      </c>
      <c r="AA34" s="41" t="s">
        <v>73</v>
      </c>
      <c r="AB34" s="41" t="s">
        <v>73</v>
      </c>
      <c r="AC34" s="41" t="s">
        <v>73</v>
      </c>
      <c r="AD34" s="41" t="s">
        <v>73</v>
      </c>
      <c r="AE34" s="41" t="s">
        <v>77</v>
      </c>
      <c r="AF34" s="41" t="s">
        <v>78</v>
      </c>
      <c r="AG34" t="str">
        <f>VLOOKUP($Q34,武学奇术!$A:$ZZ,25,FALSE)</f>
        <v>拳甲</v>
      </c>
      <c r="AH34" s="27">
        <f>VLOOKUP($Q34,武学奇术!$A:$ZZ,26,FALSE)</f>
        <v>6.4722</v>
      </c>
      <c r="AI34" s="28">
        <f>VLOOKUP($Q34,武学奇术!$A:$ZZ,27,FALSE)*(1+IF(OR($AG34=$F$4,$AG34=$F$5),$B$22,0))</f>
        <v>2683.8</v>
      </c>
      <c r="AJ34" s="27">
        <f>VLOOKUP($Q34,武学奇术!$A:$ZZ,28,FALSE)</f>
        <v>9.70828</v>
      </c>
      <c r="AK34" s="28">
        <f>VLOOKUP($Q34,武学奇术!$A:$ZZ,29,FALSE)*(1+IF(OR($AG34=$F$4,$AG34=$F$5),$B$22,0))</f>
        <v>1463.4</v>
      </c>
      <c r="AL34" s="27" cm="1">
        <f t="array" ref="AL34">$G$3+IFERROR(VLOOKUP($AG34,$F$4:$G$7,2,FALSE),0)+VLOOKUP($Q34,武学奇术!$A:$ZZ,2,FALSE)+SUM(_xlfn.XLOOKUP($R34:$AF34,增益!$A:$A,增益!$B:$B,0))</f>
        <v>0.6241</v>
      </c>
      <c r="AM34" s="27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3826.382</v>
      </c>
      <c r="AO34" cm="1">
        <f t="array" ref="AO34">$E$10*(1+$AM34)+VLOOKUP($Q34,武学奇术!$A:$ZZ,4,FALSE)+SUM(_xlfn.XLOOKUP($R34:$AF34,增益!$A:$A,增益!$D:$D,0))-$I$2</f>
        <v>3826.382</v>
      </c>
      <c r="AP34" s="33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0.247</v>
      </c>
      <c r="AQ34" s="33" cm="1">
        <f t="array" ref="AQ34">$G$10+VLOOKUP($Q34,武学奇术!$A:$ZZ,7,FALSE)+SUM(_xlfn.XLOOKUP(R34:AF34,增益!$A:$A,增益!$G:$G,0))</f>
        <v>0.09</v>
      </c>
      <c r="AR34" s="27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3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-0.24</v>
      </c>
      <c r="AV34" s="33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3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-0.24</v>
      </c>
      <c r="AZ34" s="33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33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-0.24</v>
      </c>
      <c r="BD34" s="33" cm="1">
        <f t="array" ref="BD34">$G$13+VLOOKUP($Q34,武学奇术!$A:$ZZ,14,FALSE)+SUM(_xlfn.XLOOKUP(R34:AF34,增益!$A:$A,增益!$N:$N,0))</f>
        <v>0</v>
      </c>
      <c r="BE34">
        <f t="shared" si="7"/>
        <v>605.472</v>
      </c>
      <c r="BF34">
        <f t="shared" si="8"/>
        <v>1725.468</v>
      </c>
      <c r="BG34" s="33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0.03</v>
      </c>
      <c r="BH34" s="33" cm="1">
        <f t="array" ref="BH34">$G$14+VLOOKUP($Q34,武学奇术!$A:$ZZ,16,FALSE)+SUM(_xlfn.XLOOKUP(R34:AF34,增益!$A:$A,增益!$P:$P,0))</f>
        <v>0.24</v>
      </c>
      <c r="BI34" s="27">
        <f>MIN(IF(VLOOKUP($Q34,武学奇术!$A:$ZZ,23,FALSE)=1,100%,$B$8),100%)</f>
        <v>1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+MIN(IF(VLOOKUP($Q34,武学奇术!$A:$ZZ,32,FALSE)=1,IF(VLOOKUP($Q34,武学奇术!$A:$ZZ,24,FALSE)=1,100%,MIN(40%,$B$10+VLOOKUP($Q34,武学奇术!$A:$ZZ,19,FALSE)+SUM(_xlfn.XLOOKUP(R34:AF34,增益!$A:$A,增益!$S:$S,0)))+$B$12+SUM(_xlfn.XLOOKUP(R34:AF34,增益!$A:$A,增益!$V:$V,0))),0),12%)</f>
        <v>0.9965</v>
      </c>
      <c r="BK34" s="27" cm="1">
        <f t="array" ref="BK34">1+$B$13+VLOOKUP($Q34,武学奇术!$A:$ZZ,18,FALSE)+SUM(_xlfn.XLOOKUP(R34:AF34,增益!$A:$A,增益!$R:$R,0))</f>
        <v>2.14</v>
      </c>
      <c r="BL34" s="27" cm="1">
        <f t="array" ref="BL34">MAX(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-IF(VLOOKUP($Q34,武学奇术!$A:$ZZ,32,FALSE)=1,12%,0),0)</f>
        <v>0</v>
      </c>
      <c r="BM34" s="27" cm="1">
        <f t="array" ref="BM34">1+$B$14+VLOOKUP($Q34,武学奇术!$A:$ZZ,20,FALSE)+SUM(_xlfn.XLOOKUP(R34:AF34,增益!$A:$A,增益!$T:$T,0))</f>
        <v>1.35</v>
      </c>
      <c r="BN34" s="27">
        <f t="shared" si="9"/>
        <v>0.9965</v>
      </c>
      <c r="BO34" s="27">
        <f t="shared" si="10"/>
        <v>0.00350000000000006</v>
      </c>
      <c r="BP34" s="27">
        <f>IF(VLOOKUP($Q34,武学奇术!$A:$ZZ,22,FALSE)=1,0,(1-$BI34))*(1-$BL34)</f>
        <v>0</v>
      </c>
      <c r="BQ34" s="27" cm="1">
        <f t="array" ref="BQ34">SUM(_xlfn.XLOOKUP(R34:AF34,增益!$A:$A,增益!$W:$W,0))+$I$5</f>
        <v>0.11</v>
      </c>
    </row>
    <row r="35" spans="1:69">
      <c r="F35" s="4"/>
      <c r="G35" s="4"/>
      <c r="K35" s="39">
        <f t="shared" si="0"/>
        <v>47947.2130329771</v>
      </c>
      <c r="L35" s="39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BK35*$P35*(1+IF(VLOOKUP($Q35,武学奇术!$A:$ZZ,30,FALSE)="蓄力技",$B$21,0))*(1+$BQ35)</f>
        <v>48338.4064916274</v>
      </c>
      <c r="M35" s="39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44838.1883076034</v>
      </c>
      <c r="N35" s="39">
        <f>((($AN35+($AO35-$AN35)*IF(VLOOKUP($Q35,武学奇术!$A:$ZZ,31,FALSE)=1,$F$18,0.5))*$AH35+$AI35)*(1+$AP35)*(1+$AQ35)+(($AS35+($AT35-$AS35)*IF(VLOOKUP($Q35,武学奇术!$A:$ZZ,31,FALSE)=1,$F$18,0.5))*IF($G$1="鸣金",$AJ35,$AH35)+IF($G$1="鸣金",$AK35*1.5,0))*(1+$AU35)*(1+$AV35)+(($AW35+($AX35-$AW35)*IF(VLOOKUP($Q35,武学奇术!$A:$ZZ,31,FALSE)=1,$F$18,0.5))*IF($G$1="裂石",$AJ35,$AH35)+IF($G$1="裂石",$AK35*1.5,0))*(1+$AY35)*(1+$AZ35)+(($BA35+($BB35-$BA35)*IF(VLOOKUP($Q35,武学奇术!$A:$ZZ,31,FALSE)=1,$F$18,0.5))*IF($G$1="牵丝",$AJ35,$AH35)+IF($G$1="牵丝",$AK35*1.5,0))*(1+$BC35)*(1+$BD35)+(($BE35+($BF35-$BE35)*IF(VLOOKUP($Q35,武学奇术!$A:$ZZ,31,FALSE)=1,$F$18,0.5))*IF($G$1="破竹",$AJ35,$AH35)+IF($G$1="破竹",$AK35*1.5,0))*(1+$BG35)*(1+$BH35))*(1+$AL35)*$P35*(1+IF(VLOOKUP($Q35,武学奇术!$A:$ZZ,30,FALSE)="蓄力技",$B$21,0))*(1+$BQ35)</f>
        <v>29474.6381046509</v>
      </c>
      <c r="O35" s="39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25735.8033888547</v>
      </c>
      <c r="P35" s="40">
        <v>1</v>
      </c>
      <c r="Q35" s="41" t="s">
        <v>120</v>
      </c>
      <c r="R35" s="41" t="s">
        <v>97</v>
      </c>
      <c r="S35" s="41" t="s">
        <v>73</v>
      </c>
      <c r="T35" s="41" t="s">
        <v>73</v>
      </c>
      <c r="U35" s="41" t="s">
        <v>73</v>
      </c>
      <c r="V35" s="41" t="s">
        <v>73</v>
      </c>
      <c r="W35" s="41" t="s">
        <v>73</v>
      </c>
      <c r="X35" s="41" t="s">
        <v>164</v>
      </c>
      <c r="Y35" s="41" t="s">
        <v>73</v>
      </c>
      <c r="Z35" s="41" t="s">
        <v>73</v>
      </c>
      <c r="AA35" s="41" t="s">
        <v>73</v>
      </c>
      <c r="AB35" s="41" t="s">
        <v>73</v>
      </c>
      <c r="AC35" s="41" t="s">
        <v>73</v>
      </c>
      <c r="AD35" s="41" t="s">
        <v>73</v>
      </c>
      <c r="AE35" s="41" t="s">
        <v>77</v>
      </c>
      <c r="AF35" s="41" t="s">
        <v>78</v>
      </c>
      <c r="AG35" t="str">
        <f>VLOOKUP($Q35,武学奇术!$A:$ZZ,25,FALSE)</f>
        <v>拳甲</v>
      </c>
      <c r="AH35" s="27">
        <f>VLOOKUP($Q35,武学奇术!$A:$ZZ,26,FALSE)</f>
        <v>2.4421</v>
      </c>
      <c r="AI35" s="28">
        <f>VLOOKUP($Q35,武学奇术!$A:$ZZ,27,FALSE)*(1+IF(OR($AG35=$F$4,$AG35=$F$5),$B$22,0))</f>
        <v>1012.5</v>
      </c>
      <c r="AJ35" s="27">
        <f>VLOOKUP($Q35,武学奇术!$A:$ZZ,28,FALSE)</f>
        <v>3.6634</v>
      </c>
      <c r="AK35" s="28">
        <f>VLOOKUP($Q35,武学奇术!$A:$ZZ,29,FALSE)*(1+IF(OR($AG35=$F$4,$AG35=$F$5),$B$22,0))</f>
        <v>549</v>
      </c>
      <c r="AL35" s="27" cm="1">
        <f t="array" ref="AL35">$G$3+IFERROR(VLOOKUP($AG35,$F$4:$G$7,2,FALSE),0)+VLOOKUP($Q35,武学奇术!$A:$ZZ,2,FALSE)+SUM(_xlfn.XLOOKUP($R35:$AF35,增益!$A:$A,增益!$B:$B,0))</f>
        <v>0.3241</v>
      </c>
      <c r="AM35" s="27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3826.382</v>
      </c>
      <c r="AO35" cm="1">
        <f t="array" ref="AO35">$E$10*(1+$AM35)+VLOOKUP($Q35,武学奇术!$A:$ZZ,4,FALSE)+SUM(_xlfn.XLOOKUP($R35:$AF35,增益!$A:$A,增益!$D:$D,0))-$I$2</f>
        <v>3826.382</v>
      </c>
      <c r="AP35" s="33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0.217</v>
      </c>
      <c r="AQ35" s="33" cm="1">
        <f t="array" ref="AQ35">$G$10+VLOOKUP($Q35,武学奇术!$A:$ZZ,7,FALSE)+SUM(_xlfn.XLOOKUP(R35:AF35,增益!$A:$A,增益!$G:$G,0))</f>
        <v>0.09</v>
      </c>
      <c r="AR35" s="27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3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3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3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3" cm="1">
        <f t="array" ref="AZ35">$G$12+VLOOKUP($Q35,武学奇术!$A:$ZZ,12,FALSE)+SUM(_xlfn.XLOOKUP(R35:AF35,增益!$A:$A,增益!$L:$L,0))</f>
        <v>0</v>
      </c>
      <c r="BA35">
        <f t="shared" si="5"/>
        <v>0</v>
      </c>
      <c r="BB35">
        <f t="shared" si="6"/>
        <v>0</v>
      </c>
      <c r="BC35" s="33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-0.3</v>
      </c>
      <c r="BD35" s="33" cm="1">
        <f t="array" ref="BD35">$G$13+VLOOKUP($Q35,武学奇术!$A:$ZZ,14,FALSE)+SUM(_xlfn.XLOOKUP(R35:AF35,增益!$A:$A,增益!$N:$N,0))</f>
        <v>0</v>
      </c>
      <c r="BE35">
        <f t="shared" si="7"/>
        <v>605.472</v>
      </c>
      <c r="BF35">
        <f t="shared" si="8"/>
        <v>1725.468</v>
      </c>
      <c r="BG35" s="33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</v>
      </c>
      <c r="BH35" s="33" cm="1">
        <f t="array" ref="BH35">$G$14+VLOOKUP($Q35,武学奇术!$A:$ZZ,16,FALSE)+SUM(_xlfn.XLOOKUP(R35:AF35,增益!$A:$A,增益!$P:$P,0))</f>
        <v>0.24</v>
      </c>
      <c r="BI35" s="27">
        <f>MIN(IF(VLOOKUP($Q35,武学奇术!$A:$ZZ,23,FALSE)=1,100%,$B$8),100%)</f>
        <v>1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+MIN(IF(VLOOKUP($Q35,武学奇术!$A:$ZZ,32,FALSE)=1,IF(VLOOKUP($Q35,武学奇术!$A:$ZZ,24,FALSE)=1,100%,MIN(40%,$B$10+VLOOKUP($Q35,武学奇术!$A:$ZZ,19,FALSE)+SUM(_xlfn.XLOOKUP(R35:AF35,增益!$A:$A,增益!$S:$S,0)))+$B$12+SUM(_xlfn.XLOOKUP(R35:AF35,增益!$A:$A,增益!$V:$V,0))),0),12%)</f>
        <v>0.9036</v>
      </c>
      <c r="BK35" s="27" cm="1">
        <f t="array" ref="BK35">1+$B$13+VLOOKUP($Q35,武学奇术!$A:$ZZ,18,FALSE)+SUM(_xlfn.XLOOKUP(R35:AF35,增益!$A:$A,增益!$R:$R,0))</f>
        <v>1.64</v>
      </c>
      <c r="BL35" s="27" cm="1">
        <f t="array" ref="BL35">MAX(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-IF(VLOOKUP($Q35,武学奇术!$A:$ZZ,32,FALSE)=1,12%,0),0)</f>
        <v>0.0929</v>
      </c>
      <c r="BM35" s="27" cm="1">
        <f t="array" ref="BM35">1+$B$14+VLOOKUP($Q35,武学奇术!$A:$ZZ,20,FALSE)+SUM(_xlfn.XLOOKUP(R35:AF35,增益!$A:$A,增益!$T:$T,0))</f>
        <v>1.35</v>
      </c>
      <c r="BN35" s="27">
        <f t="shared" si="9"/>
        <v>0.9036</v>
      </c>
      <c r="BO35" s="27">
        <f t="shared" si="10"/>
        <v>0.00350000000000006</v>
      </c>
      <c r="BP35" s="27">
        <f>IF(VLOOKUP($Q35,武学奇术!$A:$ZZ,22,FALSE)=1,0,(1-$BI35))*(1-$BL35)</f>
        <v>0</v>
      </c>
      <c r="BQ35" s="27" cm="1">
        <f t="array" ref="BQ35">SUM(_xlfn.XLOOKUP(R35:AF35,增益!$A:$A,增益!$W:$W,0))+$I$5</f>
        <v>0.11</v>
      </c>
    </row>
    <row r="36" spans="1:69">
      <c r="F36" s="4"/>
      <c r="G36" s="91"/>
      <c r="K36" s="39">
        <f t="shared" si="0"/>
        <v>25302.7013066055</v>
      </c>
      <c r="L36" s="39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BK36*$P36*(1+IF(VLOOKUP($Q36,武学奇术!$A:$ZZ,30,FALSE)="蓄力技",$B$21,0))*(1+$BQ36)</f>
        <v>25509.3959279023</v>
      </c>
      <c r="M36" s="39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23659.5302708341</v>
      </c>
      <c r="N36" s="39">
        <f>((($AN36+($AO36-$AN36)*IF(VLOOKUP($Q36,武学奇术!$A:$ZZ,31,FALSE)=1,$F$18,0.5))*$AH36+$AI36)*(1+$AP36)*(1+$AQ36)+(($AS36+($AT36-$AS36)*IF(VLOOKUP($Q36,武学奇术!$A:$ZZ,31,FALSE)=1,$F$18,0.5))*IF($G$1="鸣金",$AJ36,$AH36)+IF($G$1="鸣金",$AK36*1.5,0))*(1+$AU36)*(1+$AV36)+(($AW36+($AX36-$AW36)*IF(VLOOKUP($Q36,武学奇术!$A:$ZZ,31,FALSE)=1,$F$18,0.5))*IF($G$1="裂石",$AJ36,$AH36)+IF($G$1="裂石",$AK36*1.5,0))*(1+$AY36)*(1+$AZ36)+(($BA36+($BB36-$BA36)*IF(VLOOKUP($Q36,武学奇术!$A:$ZZ,31,FALSE)=1,$F$18,0.5))*IF($G$1="牵丝",$AJ36,$AH36)+IF($G$1="牵丝",$AK36*1.5,0))*(1+$BC36)*(1+$BD36)+(($BE36+($BF36-$BE36)*IF(VLOOKUP($Q36,武学奇术!$A:$ZZ,31,FALSE)=1,$F$18,0.5))*IF($G$1="破竹",$AJ36,$AH36)+IF($G$1="破竹",$AK36*1.5,0))*(1+$BG36)*(1+$BH36))*(1+$AL36)*$P36*(1+IF(VLOOKUP($Q36,武学奇术!$A:$ZZ,30,FALSE)="蓄力技",$B$21,0))*(1+$BQ36)</f>
        <v>15554.5097121355</v>
      </c>
      <c r="O36" s="39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13583.4414458755</v>
      </c>
      <c r="P36" s="40">
        <v>1</v>
      </c>
      <c r="Q36" s="41" t="s">
        <v>115</v>
      </c>
      <c r="R36" s="41" t="s">
        <v>97</v>
      </c>
      <c r="S36" s="41" t="s">
        <v>73</v>
      </c>
      <c r="T36" s="41" t="s">
        <v>73</v>
      </c>
      <c r="U36" s="41" t="s">
        <v>73</v>
      </c>
      <c r="V36" s="41" t="s">
        <v>73</v>
      </c>
      <c r="W36" s="41" t="s">
        <v>73</v>
      </c>
      <c r="X36" s="41" t="s">
        <v>164</v>
      </c>
      <c r="Y36" s="41" t="s">
        <v>73</v>
      </c>
      <c r="Z36" s="41" t="s">
        <v>73</v>
      </c>
      <c r="AA36" s="41" t="s">
        <v>73</v>
      </c>
      <c r="AB36" s="41" t="s">
        <v>73</v>
      </c>
      <c r="AC36" s="41" t="s">
        <v>73</v>
      </c>
      <c r="AD36" s="41" t="s">
        <v>73</v>
      </c>
      <c r="AE36" s="41" t="s">
        <v>77</v>
      </c>
      <c r="AF36" s="41" t="s">
        <v>78</v>
      </c>
      <c r="AG36" t="str">
        <f>VLOOKUP($Q36,武学奇术!$A:$ZZ,25,FALSE)</f>
        <v>拳甲</v>
      </c>
      <c r="AH36" s="27">
        <f>VLOOKUP($Q36,武学奇术!$A:$ZZ,26,FALSE)</f>
        <v>1.2876</v>
      </c>
      <c r="AI36" s="28">
        <f>VLOOKUP($Q36,武学奇术!$A:$ZZ,27,FALSE)*(1+IF(OR($AG36=$F$4,$AG36=$F$5),$B$22,0))</f>
        <v>537</v>
      </c>
      <c r="AJ36" s="27">
        <f>VLOOKUP($Q36,武学奇术!$A:$ZZ,28,FALSE)</f>
        <v>1.9313</v>
      </c>
      <c r="AK36" s="28">
        <f>VLOOKUP($Q36,武学奇术!$A:$ZZ,29,FALSE)*(1+IF(OR($AG36=$F$4,$AG36=$F$5),$B$22,0))</f>
        <v>292.5</v>
      </c>
      <c r="AL36" s="27" cm="1">
        <f t="array" ref="AL36">$G$3+IFERROR(VLOOKUP($AG36,$F$4:$G$7,2,FALSE),0)+VLOOKUP($Q36,武学奇术!$A:$ZZ,2,FALSE)+SUM(_xlfn.XLOOKUP($R36:$AF36,增益!$A:$A,增益!$B:$B,0))</f>
        <v>0.3241</v>
      </c>
      <c r="AM36" s="27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3826.382</v>
      </c>
      <c r="AO36" cm="1">
        <f t="array" ref="AO36">$E$10*(1+$AM36)+VLOOKUP($Q36,武学奇术!$A:$ZZ,4,FALSE)+SUM(_xlfn.XLOOKUP($R36:$AF36,增益!$A:$A,增益!$D:$D,0))-$I$2</f>
        <v>3826.382</v>
      </c>
      <c r="AP36" s="33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0.217</v>
      </c>
      <c r="AQ36" s="33" cm="1">
        <f t="array" ref="AQ36">$G$10+VLOOKUP($Q36,武学奇术!$A:$ZZ,7,FALSE)+SUM(_xlfn.XLOOKUP(R36:AF36,增益!$A:$A,增益!$G:$G,0))</f>
        <v>0.09</v>
      </c>
      <c r="AR36" s="27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3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3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3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3" cm="1">
        <f t="array" ref="AZ36">$G$12+VLOOKUP($Q36,武学奇术!$A:$ZZ,12,FALSE)+SUM(_xlfn.XLOOKUP(R36:AF36,增益!$A:$A,增益!$L:$L,0))</f>
        <v>0</v>
      </c>
      <c r="BA36">
        <f t="shared" si="5"/>
        <v>0</v>
      </c>
      <c r="BB36">
        <f t="shared" si="6"/>
        <v>0</v>
      </c>
      <c r="BC36" s="33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-0.3</v>
      </c>
      <c r="BD36" s="33" cm="1">
        <f t="array" ref="BD36">$G$13+VLOOKUP($Q36,武学奇术!$A:$ZZ,14,FALSE)+SUM(_xlfn.XLOOKUP(R36:AF36,增益!$A:$A,增益!$N:$N,0))</f>
        <v>0</v>
      </c>
      <c r="BE36">
        <f t="shared" si="7"/>
        <v>605.472</v>
      </c>
      <c r="BF36">
        <f t="shared" si="8"/>
        <v>1725.468</v>
      </c>
      <c r="BG36" s="33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</v>
      </c>
      <c r="BH36" s="33" cm="1">
        <f t="array" ref="BH36">$G$14+VLOOKUP($Q36,武学奇术!$A:$ZZ,16,FALSE)+SUM(_xlfn.XLOOKUP(R36:AF36,增益!$A:$A,增益!$P:$P,0))</f>
        <v>0.24</v>
      </c>
      <c r="BI36" s="27">
        <f>MIN(IF(VLOOKUP($Q36,武学奇术!$A:$ZZ,23,FALSE)=1,100%,$B$8),100%)</f>
        <v>1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+MIN(IF(VLOOKUP($Q36,武学奇术!$A:$ZZ,32,FALSE)=1,IF(VLOOKUP($Q36,武学奇术!$A:$ZZ,24,FALSE)=1,100%,MIN(40%,$B$10+VLOOKUP($Q36,武学奇术!$A:$ZZ,19,FALSE)+SUM(_xlfn.XLOOKUP(R36:AF36,增益!$A:$A,增益!$S:$S,0)))+$B$12+SUM(_xlfn.XLOOKUP(R36:AF36,增益!$A:$A,增益!$V:$V,0))),0),12%)</f>
        <v>0.9036</v>
      </c>
      <c r="BK36" s="27" cm="1">
        <f t="array" ref="BK36">1+$B$13+VLOOKUP($Q36,武学奇术!$A:$ZZ,18,FALSE)+SUM(_xlfn.XLOOKUP(R36:AF36,增益!$A:$A,增益!$R:$R,0))</f>
        <v>1.64</v>
      </c>
      <c r="BL36" s="27" cm="1">
        <f t="array" ref="BL36">MAX(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-IF(VLOOKUP($Q36,武学奇术!$A:$ZZ,32,FALSE)=1,12%,0),0)</f>
        <v>0.0929</v>
      </c>
      <c r="BM36" s="27" cm="1">
        <f t="array" ref="BM36">1+$B$14+VLOOKUP($Q36,武学奇术!$A:$ZZ,20,FALSE)+SUM(_xlfn.XLOOKUP(R36:AF36,增益!$A:$A,增益!$T:$T,0))</f>
        <v>1.35</v>
      </c>
      <c r="BN36" s="27">
        <f t="shared" si="9"/>
        <v>0.9036</v>
      </c>
      <c r="BO36" s="27">
        <f t="shared" si="10"/>
        <v>0.00350000000000006</v>
      </c>
      <c r="BP36" s="27">
        <f>IF(VLOOKUP($Q36,武学奇术!$A:$ZZ,22,FALSE)=1,0,(1-$BI36))*(1-$BL36)</f>
        <v>0</v>
      </c>
      <c r="BQ36" s="27" cm="1">
        <f t="array" ref="BQ36">SUM(_xlfn.XLOOKUP(R36:AF36,增益!$A:$A,增益!$W:$W,0))+$I$5</f>
        <v>0.11</v>
      </c>
    </row>
    <row r="37" spans="1:69">
      <c r="A37" s="4"/>
      <c r="B37" s="91"/>
      <c r="K37" s="39">
        <f t="shared" si="0"/>
        <v>67193.4124421633</v>
      </c>
      <c r="L37" s="39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BK37*$P37*(1+IF(VLOOKUP($Q37,武学奇术!$A:$ZZ,30,FALSE)="蓄力技",$B$21,0))*(1+$BQ37)</f>
        <v>68608.0464851687</v>
      </c>
      <c r="M37" s="39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54632.9842272572</v>
      </c>
      <c r="N37" s="39">
        <f>((($AN37+($AO37-$AN37)*IF(VLOOKUP($Q37,武学奇术!$A:$ZZ,31,FALSE)=1,$F$18,0.5))*$AH37+$AI37)*(1+$AP37)*(1+$AQ37)+(($AS37+($AT37-$AS37)*IF(VLOOKUP($Q37,武学奇术!$A:$ZZ,31,FALSE)=1,$F$18,0.5))*IF($G$1="鸣金",$AJ37,$AH37)+IF($G$1="鸣金",$AK37*1.5,0))*(1+$AU37)*(1+$AV37)+(($AW37+($AX37-$AW37)*IF(VLOOKUP($Q37,武学奇术!$A:$ZZ,31,FALSE)=1,$F$18,0.5))*IF($G$1="裂石",$AJ37,$AH37)+IF($G$1="裂石",$AK37*1.5,0))*(1+$AY37)*(1+$AZ37)+(($BA37+($BB37-$BA37)*IF(VLOOKUP($Q37,武学奇术!$A:$ZZ,31,FALSE)=1,$F$18,0.5))*IF($G$1="牵丝",$AJ37,$AH37)+IF($G$1="牵丝",$AK37*1.5,0))*(1+$BC37)*(1+$BD37)+(($BE37+($BF37-$BE37)*IF(VLOOKUP($Q37,武学奇术!$A:$ZZ,31,FALSE)=1,$F$18,0.5))*IF($G$1="破竹",$AJ37,$AH37)+IF($G$1="破竹",$AK37*1.5,0))*(1+$BG37)*(1+$BH37))*(1+$AL37)*$P37*(1+IF(VLOOKUP($Q37,武学奇术!$A:$ZZ,30,FALSE)="蓄力技",$B$21,0))*(1+$BQ37)</f>
        <v>35364.9724150354</v>
      </c>
      <c r="O37" s="39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30261.0676246951</v>
      </c>
      <c r="P37" s="40">
        <v>1</v>
      </c>
      <c r="Q37" s="41" t="s">
        <v>117</v>
      </c>
      <c r="R37" s="41" t="s">
        <v>97</v>
      </c>
      <c r="S37" s="41" t="s">
        <v>73</v>
      </c>
      <c r="T37" s="41" t="s">
        <v>73</v>
      </c>
      <c r="U37" s="41" t="s">
        <v>73</v>
      </c>
      <c r="V37" s="41" t="s">
        <v>73</v>
      </c>
      <c r="W37" s="41" t="s">
        <v>73</v>
      </c>
      <c r="X37" s="41" t="s">
        <v>164</v>
      </c>
      <c r="Y37" s="41" t="s">
        <v>73</v>
      </c>
      <c r="Z37" s="41" t="s">
        <v>105</v>
      </c>
      <c r="AA37" s="41" t="s">
        <v>73</v>
      </c>
      <c r="AB37" s="41" t="s">
        <v>73</v>
      </c>
      <c r="AC37" s="41" t="s">
        <v>73</v>
      </c>
      <c r="AD37" s="41" t="s">
        <v>73</v>
      </c>
      <c r="AE37" s="41" t="s">
        <v>77</v>
      </c>
      <c r="AF37" s="41" t="s">
        <v>78</v>
      </c>
      <c r="AG37" t="str">
        <f>VLOOKUP($Q37,武学奇术!$A:$ZZ,25,FALSE)</f>
        <v>拳甲</v>
      </c>
      <c r="AH37" s="27">
        <f>VLOOKUP($Q37,武学奇术!$A:$ZZ,26,FALSE)</f>
        <v>2.638944</v>
      </c>
      <c r="AI37" s="28">
        <f>VLOOKUP($Q37,武学奇术!$A:$ZZ,27,FALSE)*(1+IF(OR($AG37=$F$4,$AG37=$F$5),$B$22,0))</f>
        <v>0</v>
      </c>
      <c r="AJ37" s="27">
        <f>VLOOKUP($Q37,武学奇术!$A:$ZZ,28,FALSE)</f>
        <v>3.958416</v>
      </c>
      <c r="AK37" s="28">
        <f>VLOOKUP($Q37,武学奇术!$A:$ZZ,29,FALSE)*(1+IF(OR($AG37=$F$4,$AG37=$F$5),$B$22,0))</f>
        <v>0</v>
      </c>
      <c r="AL37" s="27" cm="1">
        <f t="array" ref="AL37">$G$3+IFERROR(VLOOKUP($AG37,$F$4:$G$7,2,FALSE),0)+VLOOKUP($Q37,武学奇术!$A:$ZZ,2,FALSE)+SUM(_xlfn.XLOOKUP($R37:$AF37,增益!$A:$A,增益!$B:$B,0))</f>
        <v>0.6241</v>
      </c>
      <c r="AM37" s="27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3826.382</v>
      </c>
      <c r="AO37" cm="1">
        <f t="array" ref="AO37">$E$10*(1+$AM37)+VLOOKUP($Q37,武学奇术!$A:$ZZ,4,FALSE)+SUM(_xlfn.XLOOKUP($R37:$AF37,增益!$A:$A,增益!$D:$D,0))-$I$2</f>
        <v>3826.382</v>
      </c>
      <c r="AP37" s="33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0.247</v>
      </c>
      <c r="AQ37" s="33" cm="1">
        <f t="array" ref="AQ37">$G$10+VLOOKUP($Q37,武学奇术!$A:$ZZ,7,FALSE)+SUM(_xlfn.XLOOKUP(R37:AF37,增益!$A:$A,增益!$G:$G,0))</f>
        <v>0.09</v>
      </c>
      <c r="AR37" s="27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3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-0.24</v>
      </c>
      <c r="AV37" s="33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3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-0.24</v>
      </c>
      <c r="AZ37" s="33" cm="1">
        <f t="array" ref="AZ37">$G$12+VLOOKUP($Q37,武学奇术!$A:$ZZ,12,FALSE)+SUM(_xlfn.XLOOKUP(R37:AF37,增益!$A:$A,增益!$L:$L,0))</f>
        <v>0</v>
      </c>
      <c r="BA37">
        <f t="shared" si="5"/>
        <v>0</v>
      </c>
      <c r="BB37">
        <f t="shared" si="6"/>
        <v>0</v>
      </c>
      <c r="BC37" s="33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-0.24</v>
      </c>
      <c r="BD37" s="33" cm="1">
        <f t="array" ref="BD37">$G$13+VLOOKUP($Q37,武学奇术!$A:$ZZ,14,FALSE)+SUM(_xlfn.XLOOKUP(R37:AF37,增益!$A:$A,增益!$N:$N,0))</f>
        <v>0</v>
      </c>
      <c r="BE37">
        <f t="shared" si="7"/>
        <v>605.472</v>
      </c>
      <c r="BF37">
        <f t="shared" si="8"/>
        <v>1725.468</v>
      </c>
      <c r="BG37" s="33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0.03</v>
      </c>
      <c r="BH37" s="33" cm="1">
        <f t="array" ref="BH37">$G$14+VLOOKUP($Q37,武学奇术!$A:$ZZ,16,FALSE)+SUM(_xlfn.XLOOKUP(R37:AF37,增益!$A:$A,增益!$P:$P,0))</f>
        <v>0.24</v>
      </c>
      <c r="BI37" s="27">
        <f>MIN(IF(VLOOKUP($Q37,武学奇术!$A:$ZZ,23,FALSE)=1,100%,$B$8),100%)</f>
        <v>1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+MIN(IF(VLOOKUP($Q37,武学奇术!$A:$ZZ,32,FALSE)=1,IF(VLOOKUP($Q37,武学奇术!$A:$ZZ,24,FALSE)=1,100%,MIN(40%,$B$10+VLOOKUP($Q37,武学奇术!$A:$ZZ,19,FALSE)+SUM(_xlfn.XLOOKUP(R37:AF37,增益!$A:$A,增益!$S:$S,0)))+$B$12+SUM(_xlfn.XLOOKUP(R37:AF37,增益!$A:$A,增益!$V:$V,0))),0),12%)</f>
        <v>0.9036</v>
      </c>
      <c r="BK37" s="27" cm="1">
        <f t="array" ref="BK37">1+$B$13+VLOOKUP($Q37,武学奇术!$A:$ZZ,18,FALSE)+SUM(_xlfn.XLOOKUP(R37:AF37,增益!$A:$A,增益!$R:$R,0))</f>
        <v>1.94</v>
      </c>
      <c r="BL37" s="27" cm="1">
        <f t="array" ref="BL37">MAX(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-IF(VLOOKUP($Q37,武学奇术!$A:$ZZ,32,FALSE)=1,12%,0),0)</f>
        <v>0.0929</v>
      </c>
      <c r="BM37" s="27" cm="1">
        <f t="array" ref="BM37">1+$B$14+VLOOKUP($Q37,武学奇术!$A:$ZZ,20,FALSE)+SUM(_xlfn.XLOOKUP(R37:AF37,增益!$A:$A,增益!$T:$T,0))</f>
        <v>1.35</v>
      </c>
      <c r="BN37" s="27">
        <f t="shared" si="9"/>
        <v>0.9036</v>
      </c>
      <c r="BO37" s="27">
        <f t="shared" si="10"/>
        <v>0.00350000000000006</v>
      </c>
      <c r="BP37" s="27">
        <f>IF(VLOOKUP($Q37,武学奇术!$A:$ZZ,22,FALSE)=1,0,(1-$BI37))*(1-$BL37)</f>
        <v>0</v>
      </c>
      <c r="BQ37" s="27" cm="1">
        <f t="array" ref="BQ37">SUM(_xlfn.XLOOKUP(R37:AF37,增益!$A:$A,增益!$W:$W,0))+$I$5</f>
        <v>0.11</v>
      </c>
    </row>
    <row r="38" spans="1:69">
      <c r="A38" s="4"/>
      <c r="B38" s="4"/>
      <c r="F38" s="4"/>
      <c r="G38" s="91"/>
      <c r="K38" s="39">
        <f t="shared" si="0"/>
        <v>21610.5048037203</v>
      </c>
      <c r="L38" s="39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BK38*$P38*(1+IF(VLOOKUP($Q38,武学奇术!$A:$ZZ,30,FALSE)="蓄力技",$B$21,0))*(1+$BQ38)</f>
        <v>21786.8796961302</v>
      </c>
      <c r="M38" s="39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20208.65361358</v>
      </c>
      <c r="N38" s="39">
        <f>((($AN38+($AO38-$AN38)*IF(VLOOKUP($Q38,武学奇术!$A:$ZZ,31,FALSE)=1,$F$18,0.5))*$AH38+$AI38)*(1+$AP38)*(1+$AQ38)+(($AS38+($AT38-$AS38)*IF(VLOOKUP($Q38,武学奇术!$A:$ZZ,31,FALSE)=1,$F$18,0.5))*IF($G$1="鸣金",$AJ38,$AH38)+IF($G$1="鸣金",$AK38*1.5,0))*(1+$AU38)*(1+$AV38)+(($AW38+($AX38-$AW38)*IF(VLOOKUP($Q38,武学奇术!$A:$ZZ,31,FALSE)=1,$F$18,0.5))*IF($G$1="裂石",$AJ38,$AH38)+IF($G$1="裂石",$AK38*1.5,0))*(1+$AY38)*(1+$AZ38)+(($BA38+($BB38-$BA38)*IF(VLOOKUP($Q38,武学奇术!$A:$ZZ,31,FALSE)=1,$F$18,0.5))*IF($G$1="牵丝",$AJ38,$AH38)+IF($G$1="牵丝",$AK38*1.5,0))*(1+$BC38)*(1+$BD38)+(($BE38+($BF38-$BE38)*IF(VLOOKUP($Q38,武学奇术!$A:$ZZ,31,FALSE)=1,$F$18,0.5))*IF($G$1="破竹",$AJ38,$AH38)+IF($G$1="破竹",$AK38*1.5,0))*(1+$BG38)*(1+$BH38))*(1+$AL38)*$P38*(1+IF(VLOOKUP($Q38,武学奇术!$A:$ZZ,30,FALSE)="蓄力技",$B$21,0))*(1+$BQ38)</f>
        <v>13284.6827415428</v>
      </c>
      <c r="O38" s="39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11599.9924359893</v>
      </c>
      <c r="P38" s="40">
        <v>1</v>
      </c>
      <c r="Q38" s="41" t="s">
        <v>151</v>
      </c>
      <c r="R38" s="41" t="s">
        <v>97</v>
      </c>
      <c r="S38" s="41" t="s">
        <v>73</v>
      </c>
      <c r="T38" s="41" t="s">
        <v>73</v>
      </c>
      <c r="U38" s="41" t="s">
        <v>73</v>
      </c>
      <c r="V38" s="41" t="s">
        <v>73</v>
      </c>
      <c r="W38" s="41" t="s">
        <v>73</v>
      </c>
      <c r="X38" s="41" t="s">
        <v>164</v>
      </c>
      <c r="Y38" s="41" t="s">
        <v>73</v>
      </c>
      <c r="Z38" s="41" t="s">
        <v>73</v>
      </c>
      <c r="AA38" s="41" t="s">
        <v>73</v>
      </c>
      <c r="AB38" s="41" t="s">
        <v>73</v>
      </c>
      <c r="AC38" s="41" t="s">
        <v>73</v>
      </c>
      <c r="AD38" s="41" t="s">
        <v>73</v>
      </c>
      <c r="AE38" s="41" t="s">
        <v>77</v>
      </c>
      <c r="AF38" s="41" t="s">
        <v>78</v>
      </c>
      <c r="AG38" t="str">
        <f>VLOOKUP($Q38,武学奇术!$A:$ZZ,25,FALSE)</f>
        <v>拳甲</v>
      </c>
      <c r="AH38" s="27">
        <f>VLOOKUP($Q38,武学奇术!$A:$ZZ,26,FALSE)</f>
        <v>1.1005</v>
      </c>
      <c r="AI38" s="28">
        <f>VLOOKUP($Q38,武学奇术!$A:$ZZ,27,FALSE)*(1+IF(OR($AG38=$F$4,$AG38=$F$5),$B$22,0))</f>
        <v>457.5</v>
      </c>
      <c r="AJ38" s="27">
        <f>VLOOKUP($Q38,武学奇术!$A:$ZZ,28,FALSE)</f>
        <v>1.6507</v>
      </c>
      <c r="AK38" s="28">
        <f>VLOOKUP($Q38,武学奇术!$A:$ZZ,29,FALSE)*(1+IF(OR($AG38=$F$4,$AG38=$F$5),$B$22,0))</f>
        <v>247.5</v>
      </c>
      <c r="AL38" s="27" cm="1">
        <f t="array" ref="AL38">$G$3+IFERROR(VLOOKUP($AG38,$F$4:$G$7,2,FALSE),0)+VLOOKUP($Q38,武学奇术!$A:$ZZ,2,FALSE)+SUM(_xlfn.XLOOKUP($R38:$AF38,增益!$A:$A,增益!$B:$B,0))</f>
        <v>0.3241</v>
      </c>
      <c r="AM38" s="27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3826.382</v>
      </c>
      <c r="AO38" cm="1">
        <f t="array" ref="AO38">$E$10*(1+$AM38)+VLOOKUP($Q38,武学奇术!$A:$ZZ,4,FALSE)+SUM(_xlfn.XLOOKUP($R38:$AF38,增益!$A:$A,增益!$D:$D,0))-$I$2</f>
        <v>3826.382</v>
      </c>
      <c r="AP38" s="33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0.217</v>
      </c>
      <c r="AQ38" s="33" cm="1">
        <f t="array" ref="AQ38">$G$10+VLOOKUP($Q38,武学奇术!$A:$ZZ,7,FALSE)+SUM(_xlfn.XLOOKUP(R38:AF38,增益!$A:$A,增益!$G:$G,0))</f>
        <v>0.09</v>
      </c>
      <c r="AR38" s="27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3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3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3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3" cm="1">
        <f t="array" ref="AZ38">$G$12+VLOOKUP($Q38,武学奇术!$A:$ZZ,12,FALSE)+SUM(_xlfn.XLOOKUP(R38:AF38,增益!$A:$A,增益!$L:$L,0))</f>
        <v>0</v>
      </c>
      <c r="BA38">
        <f t="shared" si="5"/>
        <v>0</v>
      </c>
      <c r="BB38">
        <f t="shared" si="6"/>
        <v>0</v>
      </c>
      <c r="BC38" s="33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-0.3</v>
      </c>
      <c r="BD38" s="33" cm="1">
        <f t="array" ref="BD38">$G$13+VLOOKUP($Q38,武学奇术!$A:$ZZ,14,FALSE)+SUM(_xlfn.XLOOKUP(R38:AF38,增益!$A:$A,增益!$N:$N,0))</f>
        <v>0</v>
      </c>
      <c r="BE38">
        <f t="shared" si="7"/>
        <v>605.472</v>
      </c>
      <c r="BF38">
        <f t="shared" si="8"/>
        <v>1725.468</v>
      </c>
      <c r="BG38" s="33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</v>
      </c>
      <c r="BH38" s="33" cm="1">
        <f t="array" ref="BH38">$G$14+VLOOKUP($Q38,武学奇术!$A:$ZZ,16,FALSE)+SUM(_xlfn.XLOOKUP(R38:AF38,增益!$A:$A,增益!$P:$P,0))</f>
        <v>0.24</v>
      </c>
      <c r="BI38" s="27">
        <f>MIN(IF(VLOOKUP($Q38,武学奇术!$A:$ZZ,23,FALSE)=1,100%,$B$8),100%)</f>
        <v>1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+MIN(IF(VLOOKUP($Q38,武学奇术!$A:$ZZ,32,FALSE)=1,IF(VLOOKUP($Q38,武学奇术!$A:$ZZ,24,FALSE)=1,100%,MIN(40%,$B$10+VLOOKUP($Q38,武学奇术!$A:$ZZ,19,FALSE)+SUM(_xlfn.XLOOKUP(R38:AF38,增益!$A:$A,增益!$S:$S,0)))+$B$12+SUM(_xlfn.XLOOKUP(R38:AF38,增益!$A:$A,增益!$V:$V,0))),0),12%)</f>
        <v>0.9036</v>
      </c>
      <c r="BK38" s="27" cm="1">
        <f t="array" ref="BK38">1+$B$13+VLOOKUP($Q38,武学奇术!$A:$ZZ,18,FALSE)+SUM(_xlfn.XLOOKUP(R38:AF38,增益!$A:$A,增益!$R:$R,0))</f>
        <v>1.64</v>
      </c>
      <c r="BL38" s="27" cm="1">
        <f t="array" ref="BL38">MAX(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-IF(VLOOKUP($Q38,武学奇术!$A:$ZZ,32,FALSE)=1,12%,0),0)</f>
        <v>0.0929</v>
      </c>
      <c r="BM38" s="27" cm="1">
        <f t="array" ref="BM38">1+$B$14+VLOOKUP($Q38,武学奇术!$A:$ZZ,20,FALSE)+SUM(_xlfn.XLOOKUP(R38:AF38,增益!$A:$A,增益!$T:$T,0))</f>
        <v>1.35</v>
      </c>
      <c r="BN38" s="27">
        <f t="shared" si="9"/>
        <v>0.9036</v>
      </c>
      <c r="BO38" s="27">
        <f t="shared" si="10"/>
        <v>0.00350000000000006</v>
      </c>
      <c r="BP38" s="27">
        <f>IF(VLOOKUP($Q38,武学奇术!$A:$ZZ,22,FALSE)=1,0,(1-$BI38))*(1-$BL38)</f>
        <v>0</v>
      </c>
      <c r="BQ38" s="27" cm="1">
        <f t="array" ref="BQ38">SUM(_xlfn.XLOOKUP(R38:AF38,增益!$A:$A,增益!$W:$W,0))+$I$5</f>
        <v>0.11</v>
      </c>
    </row>
    <row r="39" spans="1:69">
      <c r="A39" s="4"/>
      <c r="B39" s="91"/>
      <c r="F39" s="4"/>
      <c r="G39" s="91"/>
      <c r="K39" s="39">
        <f t="shared" si="0"/>
        <v>89021.3491443861</v>
      </c>
      <c r="L39" s="39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BK39*$P39*(1+IF(VLOOKUP($Q39,武学奇术!$A:$ZZ,30,FALSE)="蓄力技",$B$21,0))*(1+$BQ39)</f>
        <v>91059.8669208493</v>
      </c>
      <c r="M39" s="39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70779.0110833506</v>
      </c>
      <c r="N39" s="39">
        <f>((($AN39+($AO39-$AN39)*IF(VLOOKUP($Q39,武学奇术!$A:$ZZ,31,FALSE)=1,$F$18,0.5))*$AH39+$AI39)*(1+$AP39)*(1+$AQ39)+(($AS39+($AT39-$AS39)*IF(VLOOKUP($Q39,武学奇术!$A:$ZZ,31,FALSE)=1,$F$18,0.5))*IF($G$1="鸣金",$AJ39,$AH39)+IF($G$1="鸣金",$AK39*1.5,0))*(1+$AU39)*(1+$AV39)+(($AW39+($AX39-$AW39)*IF(VLOOKUP($Q39,武学奇术!$A:$ZZ,31,FALSE)=1,$F$18,0.5))*IF($G$1="裂石",$AJ39,$AH39)+IF($G$1="裂石",$AK39*1.5,0))*(1+$AY39)*(1+$AZ39)+(($BA39+($BB39-$BA39)*IF(VLOOKUP($Q39,武学奇术!$A:$ZZ,31,FALSE)=1,$F$18,0.5))*IF($G$1="牵丝",$AJ39,$AH39)+IF($G$1="牵丝",$AK39*1.5,0))*(1+$BC39)*(1+$BD39)+(($BE39+($BF39-$BE39)*IF(VLOOKUP($Q39,武学奇术!$A:$ZZ,31,FALSE)=1,$F$18,0.5))*IF($G$1="破竹",$AJ39,$AH39)+IF($G$1="破竹",$AK39*1.5,0))*(1+$BG39)*(1+$BH39))*(1+$AL39)*$P39*(1+IF(VLOOKUP($Q39,武学奇术!$A:$ZZ,30,FALSE)="蓄力技",$B$21,0))*(1+$BQ39)</f>
        <v>46938.0757323965</v>
      </c>
      <c r="O39" s="39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41447.2543660148</v>
      </c>
      <c r="P39" s="40">
        <v>1</v>
      </c>
      <c r="Q39" s="41" t="s">
        <v>112</v>
      </c>
      <c r="R39" s="41" t="s">
        <v>97</v>
      </c>
      <c r="S39" s="41" t="s">
        <v>73</v>
      </c>
      <c r="T39" s="41" t="s">
        <v>133</v>
      </c>
      <c r="U39" s="41" t="s">
        <v>73</v>
      </c>
      <c r="V39" s="41" t="s">
        <v>73</v>
      </c>
      <c r="W39" s="41" t="s">
        <v>73</v>
      </c>
      <c r="X39" s="41" t="s">
        <v>164</v>
      </c>
      <c r="Y39" s="41" t="s">
        <v>73</v>
      </c>
      <c r="Z39" s="41" t="s">
        <v>105</v>
      </c>
      <c r="AA39" s="41" t="s">
        <v>73</v>
      </c>
      <c r="AB39" s="41" t="s">
        <v>73</v>
      </c>
      <c r="AC39" s="41" t="s">
        <v>73</v>
      </c>
      <c r="AD39" s="41" t="s">
        <v>73</v>
      </c>
      <c r="AE39" s="41" t="s">
        <v>77</v>
      </c>
      <c r="AF39" s="41" t="s">
        <v>78</v>
      </c>
      <c r="AG39" t="str">
        <f>VLOOKUP($Q39,武学奇术!$A:$ZZ,25,FALSE)</f>
        <v>拳甲</v>
      </c>
      <c r="AH39" s="27">
        <f>VLOOKUP($Q39,武学奇术!$A:$ZZ,26,FALSE)</f>
        <v>2.91176</v>
      </c>
      <c r="AI39" s="28">
        <f>VLOOKUP($Q39,武学奇术!$A:$ZZ,27,FALSE)*(1+IF(OR($AG39=$F$4,$AG39=$F$5),$B$22,0))</f>
        <v>1208.7</v>
      </c>
      <c r="AJ39" s="27">
        <f>VLOOKUP($Q39,武学奇术!$A:$ZZ,28,FALSE)</f>
        <v>3.89844</v>
      </c>
      <c r="AK39" s="28">
        <f>VLOOKUP($Q39,武学奇术!$A:$ZZ,29,FALSE)*(1+IF(OR($AG39=$F$4,$AG39=$F$5),$B$22,0))</f>
        <v>650.25</v>
      </c>
      <c r="AL39" s="27" cm="1">
        <f t="array" ref="AL39">$G$3+IFERROR(VLOOKUP($AG39,$F$4:$G$7,2,FALSE),0)+VLOOKUP($Q39,武学奇术!$A:$ZZ,2,FALSE)+SUM(_xlfn.XLOOKUP($R39:$AF39,增益!$A:$A,增益!$B:$B,0))</f>
        <v>0.7741</v>
      </c>
      <c r="AM39" s="27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3826.382</v>
      </c>
      <c r="AO39" cm="1">
        <f t="array" ref="AO39">$E$10*(1+$AM39)+VLOOKUP($Q39,武学奇术!$A:$ZZ,4,FALSE)+SUM(_xlfn.XLOOKUP($R39:$AF39,增益!$A:$A,增益!$D:$D,0))-$I$2</f>
        <v>3826.382</v>
      </c>
      <c r="AP39" s="33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0.247</v>
      </c>
      <c r="AQ39" s="33" cm="1">
        <f t="array" ref="AQ39">$G$10+VLOOKUP($Q39,武学奇术!$A:$ZZ,7,FALSE)+SUM(_xlfn.XLOOKUP(R39:AF39,增益!$A:$A,增益!$G:$G,0))</f>
        <v>0.09</v>
      </c>
      <c r="AR39" s="27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3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-0.24</v>
      </c>
      <c r="AV39" s="33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3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-0.24</v>
      </c>
      <c r="AZ39" s="33" cm="1">
        <f t="array" ref="AZ39">$G$12+VLOOKUP($Q39,武学奇术!$A:$ZZ,12,FALSE)+SUM(_xlfn.XLOOKUP(R39:AF39,增益!$A:$A,增益!$L:$L,0))</f>
        <v>0</v>
      </c>
      <c r="BA39">
        <f t="shared" si="5"/>
        <v>0</v>
      </c>
      <c r="BB39">
        <f t="shared" si="6"/>
        <v>0</v>
      </c>
      <c r="BC39" s="33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-0.24</v>
      </c>
      <c r="BD39" s="33" cm="1">
        <f t="array" ref="BD39">$G$13+VLOOKUP($Q39,武学奇术!$A:$ZZ,14,FALSE)+SUM(_xlfn.XLOOKUP(R39:AF39,增益!$A:$A,增益!$N:$N,0))</f>
        <v>0</v>
      </c>
      <c r="BE39">
        <f t="shared" si="7"/>
        <v>605.472</v>
      </c>
      <c r="BF39">
        <f t="shared" si="8"/>
        <v>1725.468</v>
      </c>
      <c r="BG39" s="33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0.03</v>
      </c>
      <c r="BH39" s="33" cm="1">
        <f t="array" ref="BH39">$G$14+VLOOKUP($Q39,武学奇术!$A:$ZZ,16,FALSE)+SUM(_xlfn.XLOOKUP(R39:AF39,增益!$A:$A,增益!$P:$P,0))</f>
        <v>0.24</v>
      </c>
      <c r="BI39" s="27">
        <f>MIN(IF(VLOOKUP($Q39,武学奇术!$A:$ZZ,23,FALSE)=1,100%,$B$8),100%)</f>
        <v>1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+MIN(IF(VLOOKUP($Q39,武学奇术!$A:$ZZ,32,FALSE)=1,IF(VLOOKUP($Q39,武学奇术!$A:$ZZ,24,FALSE)=1,100%,MIN(40%,$B$10+VLOOKUP($Q39,武学奇术!$A:$ZZ,19,FALSE)+SUM(_xlfn.XLOOKUP(R39:AF39,增益!$A:$A,增益!$S:$S,0)))+$B$12+SUM(_xlfn.XLOOKUP(R39:AF39,增益!$A:$A,增益!$V:$V,0))),0),12%)</f>
        <v>0.9036</v>
      </c>
      <c r="BK39" s="27" cm="1">
        <f t="array" ref="BK39">1+$B$13+VLOOKUP($Q39,武学奇术!$A:$ZZ,18,FALSE)+SUM(_xlfn.XLOOKUP(R39:AF39,增益!$A:$A,增益!$R:$R,0))</f>
        <v>1.94</v>
      </c>
      <c r="BL39" s="27" cm="1">
        <f t="array" ref="BL39">MAX(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-IF(VLOOKUP($Q39,武学奇术!$A:$ZZ,32,FALSE)=1,12%,0),0)</f>
        <v>0.0929</v>
      </c>
      <c r="BM39" s="27" cm="1">
        <f t="array" ref="BM39">1+$B$14+VLOOKUP($Q39,武学奇术!$A:$ZZ,20,FALSE)+SUM(_xlfn.XLOOKUP(R39:AF39,增益!$A:$A,增益!$T:$T,0))</f>
        <v>1.35</v>
      </c>
      <c r="BN39" s="27">
        <f t="shared" si="9"/>
        <v>0.9036</v>
      </c>
      <c r="BO39" s="27">
        <f t="shared" si="10"/>
        <v>0.00350000000000006</v>
      </c>
      <c r="BP39" s="27">
        <f>IF(VLOOKUP($Q39,武学奇术!$A:$ZZ,22,FALSE)=1,0,(1-$BI39))*(1-$BL39)</f>
        <v>0</v>
      </c>
      <c r="BQ39" s="27" cm="1">
        <f t="array" ref="BQ39">SUM(_xlfn.XLOOKUP(R39:AF39,增益!$A:$A,增益!$W:$W,0))+$I$5</f>
        <v>0.11</v>
      </c>
    </row>
    <row r="40" spans="1:69">
      <c r="F40" s="4"/>
      <c r="G40" s="4"/>
      <c r="K40" s="39">
        <f t="shared" si="0"/>
        <v>28169.1050495183</v>
      </c>
      <c r="L40" s="39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BK40*$P40*(1+IF(VLOOKUP($Q40,武学奇术!$A:$ZZ,30,FALSE)="蓄力技",$B$21,0))*(1+$BQ40)</f>
        <v>28399.2149666345</v>
      </c>
      <c r="M40" s="39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26339.7882125493</v>
      </c>
      <c r="N40" s="39">
        <f>((($AN40+($AO40-$AN40)*IF(VLOOKUP($Q40,武学奇术!$A:$ZZ,31,FALSE)=1,$F$18,0.5))*$AH40+$AI40)*(1+$AP40)*(1+$AQ40)+(($AS40+($AT40-$AS40)*IF(VLOOKUP($Q40,武学奇术!$A:$ZZ,31,FALSE)=1,$F$18,0.5))*IF($G$1="鸣金",$AJ40,$AH40)+IF($G$1="鸣金",$AK40*1.5,0))*(1+$AU40)*(1+$AV40)+(($AW40+($AX40-$AW40)*IF(VLOOKUP($Q40,武学奇术!$A:$ZZ,31,FALSE)=1,$F$18,0.5))*IF($G$1="裂石",$AJ40,$AH40)+IF($G$1="裂石",$AK40*1.5,0))*(1+$AY40)*(1+$AZ40)+(($BA40+($BB40-$BA40)*IF(VLOOKUP($Q40,武学奇术!$A:$ZZ,31,FALSE)=1,$F$18,0.5))*IF($G$1="牵丝",$AJ40,$AH40)+IF($G$1="牵丝",$AK40*1.5,0))*(1+$BC40)*(1+$BD40)+(($BE40+($BF40-$BE40)*IF(VLOOKUP($Q40,武学奇术!$A:$ZZ,31,FALSE)=1,$F$18,0.5))*IF($G$1="破竹",$AJ40,$AH40)+IF($G$1="破竹",$AK40*1.5,0))*(1+$BG40)*(1+$BH40))*(1+$AL40)*$P40*(1+IF(VLOOKUP($Q40,武学奇术!$A:$ZZ,30,FALSE)="蓄力技",$B$21,0))*(1+$BQ40)</f>
        <v>17316.5944918503</v>
      </c>
      <c r="O40" s="39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15122.2347521827</v>
      </c>
      <c r="P40" s="40">
        <v>1</v>
      </c>
      <c r="Q40" s="41" t="s">
        <v>115</v>
      </c>
      <c r="R40" s="41" t="s">
        <v>97</v>
      </c>
      <c r="S40" s="41" t="s">
        <v>73</v>
      </c>
      <c r="T40" s="41" t="s">
        <v>133</v>
      </c>
      <c r="U40" s="41" t="s">
        <v>73</v>
      </c>
      <c r="V40" s="41" t="s">
        <v>73</v>
      </c>
      <c r="W40" s="41" t="s">
        <v>73</v>
      </c>
      <c r="X40" s="41" t="s">
        <v>164</v>
      </c>
      <c r="Y40" s="41" t="s">
        <v>73</v>
      </c>
      <c r="Z40" s="41" t="s">
        <v>73</v>
      </c>
      <c r="AA40" s="41" t="s">
        <v>73</v>
      </c>
      <c r="AB40" s="41" t="s">
        <v>73</v>
      </c>
      <c r="AC40" s="41" t="s">
        <v>73</v>
      </c>
      <c r="AD40" s="41" t="s">
        <v>73</v>
      </c>
      <c r="AE40" s="41" t="s">
        <v>77</v>
      </c>
      <c r="AF40" s="41" t="s">
        <v>78</v>
      </c>
      <c r="AG40" t="str">
        <f>VLOOKUP($Q40,武学奇术!$A:$ZZ,25,FALSE)</f>
        <v>拳甲</v>
      </c>
      <c r="AH40" s="27">
        <f>VLOOKUP($Q40,武学奇术!$A:$ZZ,26,FALSE)</f>
        <v>1.2876</v>
      </c>
      <c r="AI40" s="28">
        <f>VLOOKUP($Q40,武学奇术!$A:$ZZ,27,FALSE)*(1+IF(OR($AG40=$F$4,$AG40=$F$5),$B$22,0))</f>
        <v>537</v>
      </c>
      <c r="AJ40" s="27">
        <f>VLOOKUP($Q40,武学奇术!$A:$ZZ,28,FALSE)</f>
        <v>1.9313</v>
      </c>
      <c r="AK40" s="28">
        <f>VLOOKUP($Q40,武学奇术!$A:$ZZ,29,FALSE)*(1+IF(OR($AG40=$F$4,$AG40=$F$5),$B$22,0))</f>
        <v>292.5</v>
      </c>
      <c r="AL40" s="27" cm="1">
        <f t="array" ref="AL40">$G$3+IFERROR(VLOOKUP($AG40,$F$4:$G$7,2,FALSE),0)+VLOOKUP($Q40,武学奇术!$A:$ZZ,2,FALSE)+SUM(_xlfn.XLOOKUP($R40:$AF40,增益!$A:$A,增益!$B:$B,0))</f>
        <v>0.4741</v>
      </c>
      <c r="AM40" s="27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3826.382</v>
      </c>
      <c r="AO40" cm="1">
        <f t="array" ref="AO40">$E$10*(1+$AM40)+VLOOKUP($Q40,武学奇术!$A:$ZZ,4,FALSE)+SUM(_xlfn.XLOOKUP($R40:$AF40,增益!$A:$A,增益!$D:$D,0))-$I$2</f>
        <v>3826.382</v>
      </c>
      <c r="AP40" s="33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0.217</v>
      </c>
      <c r="AQ40" s="33" cm="1">
        <f t="array" ref="AQ40">$G$10+VLOOKUP($Q40,武学奇术!$A:$ZZ,7,FALSE)+SUM(_xlfn.XLOOKUP(R40:AF40,增益!$A:$A,增益!$G:$G,0))</f>
        <v>0.09</v>
      </c>
      <c r="AR40" s="27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3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3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3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3" cm="1">
        <f t="array" ref="AZ40">$G$12+VLOOKUP($Q40,武学奇术!$A:$ZZ,12,FALSE)+SUM(_xlfn.XLOOKUP(R40:AF40,增益!$A:$A,增益!$L:$L,0))</f>
        <v>0</v>
      </c>
      <c r="BA40">
        <f t="shared" si="5"/>
        <v>0</v>
      </c>
      <c r="BB40">
        <f t="shared" si="6"/>
        <v>0</v>
      </c>
      <c r="BC40" s="33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-0.3</v>
      </c>
      <c r="BD40" s="33" cm="1">
        <f t="array" ref="BD40">$G$13+VLOOKUP($Q40,武学奇术!$A:$ZZ,14,FALSE)+SUM(_xlfn.XLOOKUP(R40:AF40,增益!$A:$A,增益!$N:$N,0))</f>
        <v>0</v>
      </c>
      <c r="BE40">
        <f t="shared" si="7"/>
        <v>605.472</v>
      </c>
      <c r="BF40">
        <f t="shared" si="8"/>
        <v>1725.468</v>
      </c>
      <c r="BG40" s="33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</v>
      </c>
      <c r="BH40" s="33" cm="1">
        <f t="array" ref="BH40">$G$14+VLOOKUP($Q40,武学奇术!$A:$ZZ,16,FALSE)+SUM(_xlfn.XLOOKUP(R40:AF40,增益!$A:$A,增益!$P:$P,0))</f>
        <v>0.24</v>
      </c>
      <c r="BI40" s="27">
        <f>MIN(IF(VLOOKUP($Q40,武学奇术!$A:$ZZ,23,FALSE)=1,100%,$B$8),100%)</f>
        <v>1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+MIN(IF(VLOOKUP($Q40,武学奇术!$A:$ZZ,32,FALSE)=1,IF(VLOOKUP($Q40,武学奇术!$A:$ZZ,24,FALSE)=1,100%,MIN(40%,$B$10+VLOOKUP($Q40,武学奇术!$A:$ZZ,19,FALSE)+SUM(_xlfn.XLOOKUP(R40:AF40,增益!$A:$A,增益!$S:$S,0)))+$B$12+SUM(_xlfn.XLOOKUP(R40:AF40,增益!$A:$A,增益!$V:$V,0))),0),12%)</f>
        <v>0.9036</v>
      </c>
      <c r="BK40" s="27" cm="1">
        <f t="array" ref="BK40">1+$B$13+VLOOKUP($Q40,武学奇术!$A:$ZZ,18,FALSE)+SUM(_xlfn.XLOOKUP(R40:AF40,增益!$A:$A,增益!$R:$R,0))</f>
        <v>1.64</v>
      </c>
      <c r="BL40" s="27" cm="1">
        <f t="array" ref="BL40">MAX(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-IF(VLOOKUP($Q40,武学奇术!$A:$ZZ,32,FALSE)=1,12%,0),0)</f>
        <v>0.0929</v>
      </c>
      <c r="BM40" s="27" cm="1">
        <f t="array" ref="BM40">1+$B$14+VLOOKUP($Q40,武学奇术!$A:$ZZ,20,FALSE)+SUM(_xlfn.XLOOKUP(R40:AF40,增益!$A:$A,增益!$T:$T,0))</f>
        <v>1.35</v>
      </c>
      <c r="BN40" s="27">
        <f t="shared" si="9"/>
        <v>0.9036</v>
      </c>
      <c r="BO40" s="27">
        <f t="shared" si="10"/>
        <v>0.00350000000000006</v>
      </c>
      <c r="BP40" s="27">
        <f>IF(VLOOKUP($Q40,武学奇术!$A:$ZZ,22,FALSE)=1,0,(1-$BI40))*(1-$BL40)</f>
        <v>0</v>
      </c>
      <c r="BQ40" s="27" cm="1">
        <f t="array" ref="BQ40">SUM(_xlfn.XLOOKUP(R40:AF40,增益!$A:$A,增益!$W:$W,0))+$I$5</f>
        <v>0.11</v>
      </c>
    </row>
    <row r="41" spans="1:69">
      <c r="A41" s="4"/>
      <c r="B41" s="91"/>
      <c r="F41" s="4"/>
      <c r="G41" s="4"/>
      <c r="K41" s="39">
        <f t="shared" si="0"/>
        <v>73399.3184001243</v>
      </c>
      <c r="L41" s="39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BK41*$P41*(1+IF(VLOOKUP($Q41,武学奇术!$A:$ZZ,30,FALSE)="蓄力技",$B$21,0))*(1+$BQ41)</f>
        <v>74944.6064092961</v>
      </c>
      <c r="M41" s="39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59678.8235438563</v>
      </c>
      <c r="N41" s="39">
        <f>((($AN41+($AO41-$AN41)*IF(VLOOKUP($Q41,武学奇术!$A:$ZZ,31,FALSE)=1,$F$18,0.5))*$AH41+$AI41)*(1+$AP41)*(1+$AQ41)+(($AS41+($AT41-$AS41)*IF(VLOOKUP($Q41,武学奇术!$A:$ZZ,31,FALSE)=1,$F$18,0.5))*IF($G$1="鸣金",$AJ41,$AH41)+IF($G$1="鸣金",$AK41*1.5,0))*(1+$AU41)*(1+$AV41)+(($AW41+($AX41-$AW41)*IF(VLOOKUP($Q41,武学奇术!$A:$ZZ,31,FALSE)=1,$F$18,0.5))*IF($G$1="裂石",$AJ41,$AH41)+IF($G$1="裂石",$AK41*1.5,0))*(1+$AY41)*(1+$AZ41)+(($BA41+($BB41-$BA41)*IF(VLOOKUP($Q41,武学奇术!$A:$ZZ,31,FALSE)=1,$F$18,0.5))*IF($G$1="牵丝",$AJ41,$AH41)+IF($G$1="牵丝",$AK41*1.5,0))*(1+$BC41)*(1+$BD41)+(($BE41+($BF41-$BE41)*IF(VLOOKUP($Q41,武学奇术!$A:$ZZ,31,FALSE)=1,$F$18,0.5))*IF($G$1="破竹",$AJ41,$AH41)+IF($G$1="破竹",$AK41*1.5,0))*(1+$BG41)*(1+$BH41))*(1+$AL41)*$P41*(1+IF(VLOOKUP($Q41,武学奇术!$A:$ZZ,30,FALSE)="蓄力技",$B$21,0))*(1+$BQ41)</f>
        <v>38631.240417163</v>
      </c>
      <c r="O41" s="39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33055.9448759138</v>
      </c>
      <c r="P41" s="40">
        <v>1</v>
      </c>
      <c r="Q41" s="41" t="s">
        <v>117</v>
      </c>
      <c r="R41" s="41" t="s">
        <v>97</v>
      </c>
      <c r="S41" s="41" t="s">
        <v>73</v>
      </c>
      <c r="T41" s="41" t="s">
        <v>133</v>
      </c>
      <c r="U41" s="41" t="s">
        <v>73</v>
      </c>
      <c r="V41" s="41" t="s">
        <v>73</v>
      </c>
      <c r="W41" s="41" t="s">
        <v>73</v>
      </c>
      <c r="X41" s="41" t="s">
        <v>164</v>
      </c>
      <c r="Y41" s="41" t="s">
        <v>73</v>
      </c>
      <c r="Z41" s="41" t="s">
        <v>105</v>
      </c>
      <c r="AA41" s="41" t="s">
        <v>73</v>
      </c>
      <c r="AB41" s="41" t="s">
        <v>73</v>
      </c>
      <c r="AC41" s="41" t="s">
        <v>73</v>
      </c>
      <c r="AD41" s="41" t="s">
        <v>73</v>
      </c>
      <c r="AE41" s="41" t="s">
        <v>77</v>
      </c>
      <c r="AF41" s="41" t="s">
        <v>78</v>
      </c>
      <c r="AG41" t="str">
        <f>VLOOKUP($Q41,武学奇术!$A:$ZZ,25,FALSE)</f>
        <v>拳甲</v>
      </c>
      <c r="AH41" s="27">
        <f>VLOOKUP($Q41,武学奇术!$A:$ZZ,26,FALSE)</f>
        <v>2.638944</v>
      </c>
      <c r="AI41" s="28">
        <f>VLOOKUP($Q41,武学奇术!$A:$ZZ,27,FALSE)*(1+IF(OR($AG41=$F$4,$AG41=$F$5),$B$22,0))</f>
        <v>0</v>
      </c>
      <c r="AJ41" s="27">
        <f>VLOOKUP($Q41,武学奇术!$A:$ZZ,28,FALSE)</f>
        <v>3.958416</v>
      </c>
      <c r="AK41" s="28">
        <f>VLOOKUP($Q41,武学奇术!$A:$ZZ,29,FALSE)*(1+IF(OR($AG41=$F$4,$AG41=$F$5),$B$22,0))</f>
        <v>0</v>
      </c>
      <c r="AL41" s="27" cm="1">
        <f t="array" ref="AL41">$G$3+IFERROR(VLOOKUP($AG41,$F$4:$G$7,2,FALSE),0)+VLOOKUP($Q41,武学奇术!$A:$ZZ,2,FALSE)+SUM(_xlfn.XLOOKUP($R41:$AF41,增益!$A:$A,增益!$B:$B,0))</f>
        <v>0.7741</v>
      </c>
      <c r="AM41" s="27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3826.382</v>
      </c>
      <c r="AO41" cm="1">
        <f t="array" ref="AO41">$E$10*(1+$AM41)+VLOOKUP($Q41,武学奇术!$A:$ZZ,4,FALSE)+SUM(_xlfn.XLOOKUP($R41:$AF41,增益!$A:$A,增益!$D:$D,0))-$I$2</f>
        <v>3826.382</v>
      </c>
      <c r="AP41" s="33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0.247</v>
      </c>
      <c r="AQ41" s="33" cm="1">
        <f t="array" ref="AQ41">$G$10+VLOOKUP($Q41,武学奇术!$A:$ZZ,7,FALSE)+SUM(_xlfn.XLOOKUP(R41:AF41,增益!$A:$A,增益!$G:$G,0))</f>
        <v>0.09</v>
      </c>
      <c r="AR41" s="27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3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-0.24</v>
      </c>
      <c r="AV41" s="33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3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-0.24</v>
      </c>
      <c r="AZ41" s="33" cm="1">
        <f t="array" ref="AZ41">$G$12+VLOOKUP($Q41,武学奇术!$A:$ZZ,12,FALSE)+SUM(_xlfn.XLOOKUP(R41:AF41,增益!$A:$A,增益!$L:$L,0))</f>
        <v>0</v>
      </c>
      <c r="BA41">
        <f t="shared" si="5"/>
        <v>0</v>
      </c>
      <c r="BB41">
        <f t="shared" si="6"/>
        <v>0</v>
      </c>
      <c r="BC41" s="33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-0.24</v>
      </c>
      <c r="BD41" s="33" cm="1">
        <f t="array" ref="BD41">$G$13+VLOOKUP($Q41,武学奇术!$A:$ZZ,14,FALSE)+SUM(_xlfn.XLOOKUP(R41:AF41,增益!$A:$A,增益!$N:$N,0))</f>
        <v>0</v>
      </c>
      <c r="BE41">
        <f t="shared" si="7"/>
        <v>605.472</v>
      </c>
      <c r="BF41">
        <f t="shared" si="8"/>
        <v>1725.468</v>
      </c>
      <c r="BG41" s="33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0.03</v>
      </c>
      <c r="BH41" s="33" cm="1">
        <f t="array" ref="BH41">$G$14+VLOOKUP($Q41,武学奇术!$A:$ZZ,16,FALSE)+SUM(_xlfn.XLOOKUP(R41:AF41,增益!$A:$A,增益!$P:$P,0))</f>
        <v>0.24</v>
      </c>
      <c r="BI41" s="27">
        <f>MIN(IF(VLOOKUP($Q41,武学奇术!$A:$ZZ,23,FALSE)=1,100%,$B$8),100%)</f>
        <v>1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+MIN(IF(VLOOKUP($Q41,武学奇术!$A:$ZZ,32,FALSE)=1,IF(VLOOKUP($Q41,武学奇术!$A:$ZZ,24,FALSE)=1,100%,MIN(40%,$B$10+VLOOKUP($Q41,武学奇术!$A:$ZZ,19,FALSE)+SUM(_xlfn.XLOOKUP(R41:AF41,增益!$A:$A,增益!$S:$S,0)))+$B$12+SUM(_xlfn.XLOOKUP(R41:AF41,增益!$A:$A,增益!$V:$V,0))),0),12%)</f>
        <v>0.9036</v>
      </c>
      <c r="BK41" s="27" cm="1">
        <f t="array" ref="BK41">1+$B$13+VLOOKUP($Q41,武学奇术!$A:$ZZ,18,FALSE)+SUM(_xlfn.XLOOKUP(R41:AF41,增益!$A:$A,增益!$R:$R,0))</f>
        <v>1.94</v>
      </c>
      <c r="BL41" s="27" cm="1">
        <f t="array" ref="BL41">MAX(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-IF(VLOOKUP($Q41,武学奇术!$A:$ZZ,32,FALSE)=1,12%,0),0)</f>
        <v>0.0929</v>
      </c>
      <c r="BM41" s="27" cm="1">
        <f t="array" ref="BM41">1+$B$14+VLOOKUP($Q41,武学奇术!$A:$ZZ,20,FALSE)+SUM(_xlfn.XLOOKUP(R41:AF41,增益!$A:$A,增益!$T:$T,0))</f>
        <v>1.35</v>
      </c>
      <c r="BN41" s="27">
        <f t="shared" si="9"/>
        <v>0.9036</v>
      </c>
      <c r="BO41" s="27">
        <f t="shared" si="10"/>
        <v>0.00350000000000006</v>
      </c>
      <c r="BP41" s="27">
        <f>IF(VLOOKUP($Q41,武学奇术!$A:$ZZ,22,FALSE)=1,0,(1-$BI41))*(1-$BL41)</f>
        <v>0</v>
      </c>
      <c r="BQ41" s="27" cm="1">
        <f t="array" ref="BQ41">SUM(_xlfn.XLOOKUP(R41:AF41,增益!$A:$A,增益!$W:$W,0))+$I$5</f>
        <v>0.11</v>
      </c>
    </row>
    <row r="42" spans="1:69">
      <c r="A42" s="4"/>
      <c r="B42" s="91"/>
      <c r="F42" s="4"/>
      <c r="G42" s="4"/>
      <c r="K42" s="39">
        <f t="shared" si="0"/>
        <v>34161.3726290304</v>
      </c>
      <c r="L42" s="39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BK42*$P42*(1+IF(VLOOKUP($Q42,武学奇术!$A:$ZZ,30,FALSE)="蓄力技",$B$21,0))*(1+$BQ42)</f>
        <v>34440.1879854639</v>
      </c>
      <c r="M42" s="39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31945.299937316</v>
      </c>
      <c r="N42" s="39">
        <f>((($AN42+($AO42-$AN42)*IF(VLOOKUP($Q42,武学奇术!$A:$ZZ,31,FALSE)=1,$F$18,0.5))*$AH42+$AI42)*(1+$AP42)*(1+$AQ42)+(($AS42+($AT42-$AS42)*IF(VLOOKUP($Q42,武学奇术!$A:$ZZ,31,FALSE)=1,$F$18,0.5))*IF($G$1="鸣金",$AJ42,$AH42)+IF($G$1="鸣金",$AK42*1.5,0))*(1+$AU42)*(1+$AV42)+(($AW42+($AX42-$AW42)*IF(VLOOKUP($Q42,武学奇术!$A:$ZZ,31,FALSE)=1,$F$18,0.5))*IF($G$1="裂石",$AJ42,$AH42)+IF($G$1="裂石",$AK42*1.5,0))*(1+$AY42)*(1+$AZ42)+(($BA42+($BB42-$BA42)*IF(VLOOKUP($Q42,武学奇术!$A:$ZZ,31,FALSE)=1,$F$18,0.5))*IF($G$1="牵丝",$AJ42,$AH42)+IF($G$1="牵丝",$AK42*1.5,0))*(1+$BC42)*(1+$BD42)+(($BE42+($BF42-$BE42)*IF(VLOOKUP($Q42,武学奇术!$A:$ZZ,31,FALSE)=1,$F$18,0.5))*IF($G$1="破竹",$AJ42,$AH42)+IF($G$1="破竹",$AK42*1.5,0))*(1+$BG42)*(1+$BH42))*(1+$AL42)*$P42*(1+IF(VLOOKUP($Q42,武学奇术!$A:$ZZ,30,FALSE)="蓄力技",$B$21,0))*(1+$BQ42)</f>
        <v>21000.1146252829</v>
      </c>
      <c r="O42" s="39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18337.0441118132</v>
      </c>
      <c r="P42" s="40">
        <v>1</v>
      </c>
      <c r="Q42" s="41" t="s">
        <v>159</v>
      </c>
      <c r="R42" s="41" t="s">
        <v>97</v>
      </c>
      <c r="S42" s="41" t="s">
        <v>73</v>
      </c>
      <c r="T42" s="41" t="s">
        <v>133</v>
      </c>
      <c r="U42" s="41" t="s">
        <v>73</v>
      </c>
      <c r="V42" s="41" t="s">
        <v>73</v>
      </c>
      <c r="W42" s="41" t="s">
        <v>73</v>
      </c>
      <c r="X42" s="41" t="s">
        <v>164</v>
      </c>
      <c r="Y42" s="41" t="s">
        <v>73</v>
      </c>
      <c r="Z42" s="41" t="s">
        <v>73</v>
      </c>
      <c r="AA42" s="41" t="s">
        <v>73</v>
      </c>
      <c r="AB42" s="41" t="s">
        <v>73</v>
      </c>
      <c r="AC42" s="41" t="s">
        <v>73</v>
      </c>
      <c r="AD42" s="41" t="s">
        <v>73</v>
      </c>
      <c r="AE42" s="41" t="s">
        <v>77</v>
      </c>
      <c r="AF42" s="41" t="s">
        <v>78</v>
      </c>
      <c r="AG42" t="str">
        <f>VLOOKUP($Q42,武学奇术!$A:$ZZ,25,FALSE)</f>
        <v>绳镖</v>
      </c>
      <c r="AH42" s="27">
        <f>VLOOKUP($Q42,武学奇术!$A:$ZZ,26,FALSE)</f>
        <v>1.6584</v>
      </c>
      <c r="AI42" s="28">
        <f>VLOOKUP($Q42,武学奇术!$A:$ZZ,27,FALSE)*(1+IF(OR($AG42=$F$4,$AG42=$F$5),$B$22,0))</f>
        <v>687</v>
      </c>
      <c r="AJ42" s="27">
        <f>VLOOKUP($Q42,武学奇术!$A:$ZZ,28,FALSE)</f>
        <v>2.4876</v>
      </c>
      <c r="AK42" s="28">
        <f>VLOOKUP($Q42,武学奇术!$A:$ZZ,29,FALSE)*(1+IF(OR($AG42=$F$4,$AG42=$F$5),$B$22,0))</f>
        <v>375</v>
      </c>
      <c r="AL42" s="27" cm="1">
        <f t="array" ref="AL42">$G$3+IFERROR(VLOOKUP($AG42,$F$4:$G$7,2,FALSE),0)+VLOOKUP($Q42,武学奇术!$A:$ZZ,2,FALSE)+SUM(_xlfn.XLOOKUP($R42:$AF42,增益!$A:$A,增益!$B:$B,0))</f>
        <v>0.3889</v>
      </c>
      <c r="AM42" s="27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3826.382</v>
      </c>
      <c r="AO42" cm="1">
        <f t="array" ref="AO42">$E$10*(1+$AM42)+VLOOKUP($Q42,武学奇术!$A:$ZZ,4,FALSE)+SUM(_xlfn.XLOOKUP($R42:$AF42,增益!$A:$A,增益!$D:$D,0))-$I$2</f>
        <v>3826.382</v>
      </c>
      <c r="AP42" s="33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0.217</v>
      </c>
      <c r="AQ42" s="33" cm="1">
        <f t="array" ref="AQ42">$G$10+VLOOKUP($Q42,武学奇术!$A:$ZZ,7,FALSE)+SUM(_xlfn.XLOOKUP(R42:AF42,增益!$A:$A,增益!$G:$G,0))</f>
        <v>0.09</v>
      </c>
      <c r="AR42" s="27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3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3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3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3" cm="1">
        <f t="array" ref="AZ42">$G$12+VLOOKUP($Q42,武学奇术!$A:$ZZ,12,FALSE)+SUM(_xlfn.XLOOKUP(R42:AF42,增益!$A:$A,增益!$L:$L,0))</f>
        <v>0</v>
      </c>
      <c r="BA42">
        <f t="shared" si="5"/>
        <v>0</v>
      </c>
      <c r="BB42">
        <f t="shared" si="6"/>
        <v>0</v>
      </c>
      <c r="BC42" s="33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-0.3</v>
      </c>
      <c r="BD42" s="33" cm="1">
        <f t="array" ref="BD42">$G$13+VLOOKUP($Q42,武学奇术!$A:$ZZ,14,FALSE)+SUM(_xlfn.XLOOKUP(R42:AF42,增益!$A:$A,增益!$N:$N,0))</f>
        <v>0</v>
      </c>
      <c r="BE42">
        <f t="shared" si="7"/>
        <v>605.472</v>
      </c>
      <c r="BF42">
        <f t="shared" si="8"/>
        <v>1725.468</v>
      </c>
      <c r="BG42" s="33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</v>
      </c>
      <c r="BH42" s="33" cm="1">
        <f t="array" ref="BH42">$G$14+VLOOKUP($Q42,武学奇术!$A:$ZZ,16,FALSE)+SUM(_xlfn.XLOOKUP(R42:AF42,增益!$A:$A,增益!$P:$P,0))</f>
        <v>0.24</v>
      </c>
      <c r="BI42" s="27">
        <f>MIN(IF(VLOOKUP($Q42,武学奇术!$A:$ZZ,23,FALSE)=1,100%,$B$8),100%)</f>
        <v>1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+MIN(IF(VLOOKUP($Q42,武学奇术!$A:$ZZ,32,FALSE)=1,IF(VLOOKUP($Q42,武学奇术!$A:$ZZ,24,FALSE)=1,100%,MIN(40%,$B$10+VLOOKUP($Q42,武学奇术!$A:$ZZ,19,FALSE)+SUM(_xlfn.XLOOKUP(R42:AF42,增益!$A:$A,增益!$S:$S,0)))+$B$12+SUM(_xlfn.XLOOKUP(R42:AF42,增益!$A:$A,增益!$V:$V,0))),0),12%)</f>
        <v>0.9036</v>
      </c>
      <c r="BK42" s="27" cm="1">
        <f t="array" ref="BK42">1+$B$13+VLOOKUP($Q42,武学奇术!$A:$ZZ,18,FALSE)+SUM(_xlfn.XLOOKUP(R42:AF42,增益!$A:$A,增益!$R:$R,0))</f>
        <v>1.64</v>
      </c>
      <c r="BL42" s="27" cm="1">
        <f t="array" ref="BL42">MAX(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-IF(VLOOKUP($Q42,武学奇术!$A:$ZZ,32,FALSE)=1,12%,0),0)</f>
        <v>0.0929</v>
      </c>
      <c r="BM42" s="27" cm="1">
        <f t="array" ref="BM42">1+$B$14+VLOOKUP($Q42,武学奇术!$A:$ZZ,20,FALSE)+SUM(_xlfn.XLOOKUP(R42:AF42,增益!$A:$A,增益!$T:$T,0))</f>
        <v>1.35</v>
      </c>
      <c r="BN42" s="27">
        <f t="shared" si="9"/>
        <v>0.9036</v>
      </c>
      <c r="BO42" s="27">
        <f t="shared" si="10"/>
        <v>0.00350000000000006</v>
      </c>
      <c r="BP42" s="27">
        <f>IF(VLOOKUP($Q42,武学奇术!$A:$ZZ,22,FALSE)=1,0,(1-$BI42))*(1-$BL42)</f>
        <v>0</v>
      </c>
      <c r="BQ42" s="27" cm="1">
        <f t="array" ref="BQ42">SUM(_xlfn.XLOOKUP(R42:AF42,增益!$A:$A,增益!$W:$W,0))+$I$5</f>
        <v>0.11</v>
      </c>
    </row>
    <row r="43" spans="1:69">
      <c r="A43" s="4"/>
      <c r="B43" s="4"/>
      <c r="F43" s="4"/>
      <c r="G43" s="91"/>
      <c r="K43" s="39">
        <f t="shared" si="0"/>
        <v>69874.3638160024</v>
      </c>
      <c r="L43" s="39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BK43*$P43*(1+IF(VLOOKUP($Q43,武学奇术!$A:$ZZ,30,FALSE)="蓄力技",$B$21,0))*(1+$BQ43)</f>
        <v>71345.4403723917</v>
      </c>
      <c r="M43" s="39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56812.7868120281</v>
      </c>
      <c r="N43" s="39">
        <f>((($AN43+($AO43-$AN43)*IF(VLOOKUP($Q43,武学奇术!$A:$ZZ,31,FALSE)=1,$F$18,0.5))*$AH43+$AI43)*(1+$AP43)*(1+$AQ43)+(($AS43+($AT43-$AS43)*IF(VLOOKUP($Q43,武学奇术!$A:$ZZ,31,FALSE)=1,$F$18,0.5))*IF($G$1="鸣金",$AJ43,$AH43)+IF($G$1="鸣金",$AK43*1.5,0))*(1+$AU43)*(1+$AV43)+(($AW43+($AX43-$AW43)*IF(VLOOKUP($Q43,武学奇术!$A:$ZZ,31,FALSE)=1,$F$18,0.5))*IF($G$1="裂石",$AJ43,$AH43)+IF($G$1="裂石",$AK43*1.5,0))*(1+$AY43)*(1+$AZ43)+(($BA43+($BB43-$BA43)*IF(VLOOKUP($Q43,武学奇术!$A:$ZZ,31,FALSE)=1,$F$18,0.5))*IF($G$1="牵丝",$AJ43,$AH43)+IF($G$1="牵丝",$AK43*1.5,0))*(1+$BC43)*(1+$BD43)+(($BE43+($BF43-$BE43)*IF(VLOOKUP($Q43,武学奇术!$A:$ZZ,31,FALSE)=1,$F$18,0.5))*IF($G$1="破竹",$AJ43,$AH43)+IF($G$1="破竹",$AK43*1.5,0))*(1+$BG43)*(1+$BH43))*(1+$AL43)*$P43*(1+IF(VLOOKUP($Q43,武学奇术!$A:$ZZ,30,FALSE)="蓄力技",$B$21,0))*(1+$BQ43)</f>
        <v>36776.0001919545</v>
      </c>
      <c r="O43" s="39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31468.4545972216</v>
      </c>
      <c r="P43" s="40">
        <v>1</v>
      </c>
      <c r="Q43" s="41" t="s">
        <v>110</v>
      </c>
      <c r="R43" s="41" t="s">
        <v>97</v>
      </c>
      <c r="S43" s="41" t="s">
        <v>73</v>
      </c>
      <c r="T43" s="41" t="s">
        <v>133</v>
      </c>
      <c r="U43" s="41" t="s">
        <v>73</v>
      </c>
      <c r="V43" s="41" t="s">
        <v>73</v>
      </c>
      <c r="W43" s="41" t="s">
        <v>73</v>
      </c>
      <c r="X43" s="41" t="s">
        <v>164</v>
      </c>
      <c r="Y43" s="41" t="s">
        <v>73</v>
      </c>
      <c r="Z43" s="41" t="s">
        <v>105</v>
      </c>
      <c r="AA43" s="41" t="s">
        <v>73</v>
      </c>
      <c r="AB43" s="41" t="s">
        <v>73</v>
      </c>
      <c r="AC43" s="41" t="s">
        <v>73</v>
      </c>
      <c r="AD43" s="41" t="s">
        <v>73</v>
      </c>
      <c r="AE43" s="41" t="s">
        <v>77</v>
      </c>
      <c r="AF43" s="41" t="s">
        <v>78</v>
      </c>
      <c r="AG43" t="str">
        <f>VLOOKUP($Q43,武学奇术!$A:$ZZ,25,FALSE)</f>
        <v>绳镖</v>
      </c>
      <c r="AH43" s="27">
        <f>VLOOKUP($Q43,武学奇术!$A:$ZZ,26,FALSE)</f>
        <v>2.638944</v>
      </c>
      <c r="AI43" s="28">
        <f>VLOOKUP($Q43,武学奇术!$A:$ZZ,27,FALSE)*(1+IF(OR($AG43=$F$4,$AG43=$F$5),$B$22,0))</f>
        <v>0</v>
      </c>
      <c r="AJ43" s="27">
        <f>VLOOKUP($Q43,武学奇术!$A:$ZZ,28,FALSE)</f>
        <v>3.958416</v>
      </c>
      <c r="AK43" s="28">
        <f>VLOOKUP($Q43,武学奇术!$A:$ZZ,29,FALSE)*(1+IF(OR($AG43=$F$4,$AG43=$F$5),$B$22,0))</f>
        <v>0</v>
      </c>
      <c r="AL43" s="27" cm="1">
        <f t="array" ref="AL43">$G$3+IFERROR(VLOOKUP($AG43,$F$4:$G$7,2,FALSE),0)+VLOOKUP($Q43,武学奇术!$A:$ZZ,2,FALSE)+SUM(_xlfn.XLOOKUP($R43:$AF43,增益!$A:$A,增益!$B:$B,0))</f>
        <v>0.6889</v>
      </c>
      <c r="AM43" s="27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3826.382</v>
      </c>
      <c r="AO43" cm="1">
        <f t="array" ref="AO43">$E$10*(1+$AM43)+VLOOKUP($Q43,武学奇术!$A:$ZZ,4,FALSE)+SUM(_xlfn.XLOOKUP($R43:$AF43,增益!$A:$A,增益!$D:$D,0))-$I$2</f>
        <v>3826.382</v>
      </c>
      <c r="AP43" s="33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0.247</v>
      </c>
      <c r="AQ43" s="33" cm="1">
        <f t="array" ref="AQ43">$G$10+VLOOKUP($Q43,武学奇术!$A:$ZZ,7,FALSE)+SUM(_xlfn.XLOOKUP(R43:AF43,增益!$A:$A,增益!$G:$G,0))</f>
        <v>0.09</v>
      </c>
      <c r="AR43" s="27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3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-0.24</v>
      </c>
      <c r="AV43" s="33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3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-0.24</v>
      </c>
      <c r="AZ43" s="33" cm="1">
        <f t="array" ref="AZ43">$G$12+VLOOKUP($Q43,武学奇术!$A:$ZZ,12,FALSE)+SUM(_xlfn.XLOOKUP(R43:AF43,增益!$A:$A,增益!$L:$L,0))</f>
        <v>0</v>
      </c>
      <c r="BA43">
        <f t="shared" si="5"/>
        <v>0</v>
      </c>
      <c r="BB43">
        <f t="shared" si="6"/>
        <v>0</v>
      </c>
      <c r="BC43" s="33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-0.24</v>
      </c>
      <c r="BD43" s="33" cm="1">
        <f t="array" ref="BD43">$G$13+VLOOKUP($Q43,武学奇术!$A:$ZZ,14,FALSE)+SUM(_xlfn.XLOOKUP(R43:AF43,增益!$A:$A,增益!$N:$N,0))</f>
        <v>0</v>
      </c>
      <c r="BE43">
        <f t="shared" si="7"/>
        <v>605.472</v>
      </c>
      <c r="BF43">
        <f t="shared" si="8"/>
        <v>1725.468</v>
      </c>
      <c r="BG43" s="33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0.03</v>
      </c>
      <c r="BH43" s="33" cm="1">
        <f t="array" ref="BH43">$G$14+VLOOKUP($Q43,武学奇术!$A:$ZZ,16,FALSE)+SUM(_xlfn.XLOOKUP(R43:AF43,增益!$A:$A,增益!$P:$P,0))</f>
        <v>0.24</v>
      </c>
      <c r="BI43" s="27">
        <f>MIN(IF(VLOOKUP($Q43,武学奇术!$A:$ZZ,23,FALSE)=1,100%,$B$8),100%)</f>
        <v>1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+MIN(IF(VLOOKUP($Q43,武学奇术!$A:$ZZ,32,FALSE)=1,IF(VLOOKUP($Q43,武学奇术!$A:$ZZ,24,FALSE)=1,100%,MIN(40%,$B$10+VLOOKUP($Q43,武学奇术!$A:$ZZ,19,FALSE)+SUM(_xlfn.XLOOKUP(R43:AF43,增益!$A:$A,增益!$S:$S,0)))+$B$12+SUM(_xlfn.XLOOKUP(R43:AF43,增益!$A:$A,增益!$V:$V,0))),0),12%)</f>
        <v>0.9036</v>
      </c>
      <c r="BK43" s="27" cm="1">
        <f t="array" ref="BK43">1+$B$13+VLOOKUP($Q43,武学奇术!$A:$ZZ,18,FALSE)+SUM(_xlfn.XLOOKUP(R43:AF43,增益!$A:$A,增益!$R:$R,0))</f>
        <v>1.94</v>
      </c>
      <c r="BL43" s="27" cm="1">
        <f t="array" ref="BL43">MAX(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-IF(VLOOKUP($Q43,武学奇术!$A:$ZZ,32,FALSE)=1,12%,0),0)</f>
        <v>0.0929</v>
      </c>
      <c r="BM43" s="27" cm="1">
        <f t="array" ref="BM43">1+$B$14+VLOOKUP($Q43,武学奇术!$A:$ZZ,20,FALSE)+SUM(_xlfn.XLOOKUP(R43:AF43,增益!$A:$A,增益!$T:$T,0))</f>
        <v>1.35</v>
      </c>
      <c r="BN43" s="27">
        <f t="shared" si="9"/>
        <v>0.9036</v>
      </c>
      <c r="BO43" s="27">
        <f t="shared" si="10"/>
        <v>0.00350000000000006</v>
      </c>
      <c r="BP43" s="27">
        <f>IF(VLOOKUP($Q43,武学奇术!$A:$ZZ,22,FALSE)=1,0,(1-$BI43))*(1-$BL43)</f>
        <v>0</v>
      </c>
      <c r="BQ43" s="27" cm="1">
        <f t="array" ref="BQ43">SUM(_xlfn.XLOOKUP(R43:AF43,增益!$A:$A,增益!$W:$W,0))+$I$5</f>
        <v>0.11</v>
      </c>
    </row>
    <row r="44" spans="1:69">
      <c r="A44" s="4"/>
      <c r="B44" s="4"/>
      <c r="K44" s="39">
        <f t="shared" si="0"/>
        <v>25767.137487558</v>
      </c>
      <c r="L44" s="39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BK44*$P44*(1+IF(VLOOKUP($Q44,武学奇术!$A:$ZZ,30,FALSE)="蓄力技",$B$21,0))*(1+$BQ44)</f>
        <v>25977.5562446519</v>
      </c>
      <c r="M44" s="39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24094.4860954883</v>
      </c>
      <c r="N44" s="39">
        <f>((($AN44+($AO44-$AN44)*IF(VLOOKUP($Q44,武学奇术!$A:$ZZ,31,FALSE)=1,$F$18,0.5))*$AH44+$AI44)*(1+$AP44)*(1+$AQ44)+(($AS44+($AT44-$AS44)*IF(VLOOKUP($Q44,武学奇术!$A:$ZZ,31,FALSE)=1,$F$18,0.5))*IF($G$1="鸣金",$AJ44,$AH44)+IF($G$1="鸣金",$AK44*1.5,0))*(1+$AU44)*(1+$AV44)+(($AW44+($AX44-$AW44)*IF(VLOOKUP($Q44,武学奇术!$A:$ZZ,31,FALSE)=1,$F$18,0.5))*IF($G$1="裂石",$AJ44,$AH44)+IF($G$1="裂石",$AK44*1.5,0))*(1+$AY44)*(1+$AZ44)+(($BA44+($BB44-$BA44)*IF(VLOOKUP($Q44,武学奇术!$A:$ZZ,31,FALSE)=1,$F$18,0.5))*IF($G$1="牵丝",$AJ44,$AH44)+IF($G$1="牵丝",$AK44*1.5,0))*(1+$BC44)*(1+$BD44)+(($BE44+($BF44-$BE44)*IF(VLOOKUP($Q44,武学奇术!$A:$ZZ,31,FALSE)=1,$F$18,0.5))*IF($G$1="破竹",$AJ44,$AH44)+IF($G$1="破竹",$AK44*1.5,0))*(1+$BG44)*(1+$BH44))*(1+$AL44)*$P44*(1+IF(VLOOKUP($Q44,武学奇术!$A:$ZZ,30,FALSE)="蓄力技",$B$21,0))*(1+$BQ44)</f>
        <v>15839.9733199097</v>
      </c>
      <c r="O44" s="39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13832.1791616799</v>
      </c>
      <c r="P44" s="40">
        <v>1</v>
      </c>
      <c r="Q44" s="41" t="s">
        <v>100</v>
      </c>
      <c r="R44" s="41" t="s">
        <v>97</v>
      </c>
      <c r="S44" s="41" t="s">
        <v>73</v>
      </c>
      <c r="T44" s="41" t="s">
        <v>133</v>
      </c>
      <c r="U44" s="41" t="s">
        <v>73</v>
      </c>
      <c r="V44" s="41" t="s">
        <v>73</v>
      </c>
      <c r="W44" s="41" t="s">
        <v>73</v>
      </c>
      <c r="X44" s="41" t="s">
        <v>164</v>
      </c>
      <c r="Y44" s="41" t="s">
        <v>73</v>
      </c>
      <c r="Z44" s="41" t="s">
        <v>73</v>
      </c>
      <c r="AA44" s="41" t="s">
        <v>73</v>
      </c>
      <c r="AB44" s="41" t="s">
        <v>73</v>
      </c>
      <c r="AC44" s="41" t="s">
        <v>73</v>
      </c>
      <c r="AD44" s="41" t="s">
        <v>73</v>
      </c>
      <c r="AE44" s="41" t="s">
        <v>77</v>
      </c>
      <c r="AF44" s="41" t="s">
        <v>78</v>
      </c>
      <c r="AG44" t="str">
        <f>VLOOKUP($Q44,武学奇术!$A:$ZZ,25,FALSE)</f>
        <v>绳镖</v>
      </c>
      <c r="AH44" s="27">
        <f>VLOOKUP($Q44,武学奇术!$A:$ZZ,26,FALSE)</f>
        <v>1.2503</v>
      </c>
      <c r="AI44" s="28">
        <f>VLOOKUP($Q44,武学奇术!$A:$ZZ,27,FALSE)*(1+IF(OR($AG44=$F$4,$AG44=$F$5),$B$22,0))</f>
        <v>520.5</v>
      </c>
      <c r="AJ44" s="27">
        <f>VLOOKUP($Q44,武学奇术!$A:$ZZ,28,FALSE)</f>
        <v>1.8755</v>
      </c>
      <c r="AK44" s="28">
        <f>VLOOKUP($Q44,武学奇术!$A:$ZZ,29,FALSE)*(1+IF(OR($AG44=$F$4,$AG44=$F$5),$B$22,0))</f>
        <v>283.5</v>
      </c>
      <c r="AL44" s="27" cm="1">
        <f t="array" ref="AL44">$G$3+IFERROR(VLOOKUP($AG44,$F$4:$G$7,2,FALSE),0)+VLOOKUP($Q44,武学奇术!$A:$ZZ,2,FALSE)+SUM(_xlfn.XLOOKUP($R44:$AF44,增益!$A:$A,增益!$B:$B,0))</f>
        <v>0.3889</v>
      </c>
      <c r="AM44" s="27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3826.382</v>
      </c>
      <c r="AO44" cm="1">
        <f t="array" ref="AO44">$E$10*(1+$AM44)+VLOOKUP($Q44,武学奇术!$A:$ZZ,4,FALSE)+SUM(_xlfn.XLOOKUP($R44:$AF44,增益!$A:$A,增益!$D:$D,0))-$I$2</f>
        <v>3826.382</v>
      </c>
      <c r="AP44" s="33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0.217</v>
      </c>
      <c r="AQ44" s="33" cm="1">
        <f t="array" ref="AQ44">$G$10+VLOOKUP($Q44,武学奇术!$A:$ZZ,7,FALSE)+SUM(_xlfn.XLOOKUP(R44:AF44,增益!$A:$A,增益!$G:$G,0))</f>
        <v>0.09</v>
      </c>
      <c r="AR44" s="27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3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3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3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3" cm="1">
        <f t="array" ref="AZ44">$G$12+VLOOKUP($Q44,武学奇术!$A:$ZZ,12,FALSE)+SUM(_xlfn.XLOOKUP(R44:AF44,增益!$A:$A,增益!$L:$L,0))</f>
        <v>0</v>
      </c>
      <c r="BA44">
        <f t="shared" si="5"/>
        <v>0</v>
      </c>
      <c r="BB44">
        <f t="shared" si="6"/>
        <v>0</v>
      </c>
      <c r="BC44" s="33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-0.3</v>
      </c>
      <c r="BD44" s="33" cm="1">
        <f t="array" ref="BD44">$G$13+VLOOKUP($Q44,武学奇术!$A:$ZZ,14,FALSE)+SUM(_xlfn.XLOOKUP(R44:AF44,增益!$A:$A,增益!$N:$N,0))</f>
        <v>0</v>
      </c>
      <c r="BE44">
        <f t="shared" si="7"/>
        <v>605.472</v>
      </c>
      <c r="BF44">
        <f t="shared" si="8"/>
        <v>1725.468</v>
      </c>
      <c r="BG44" s="33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</v>
      </c>
      <c r="BH44" s="33" cm="1">
        <f t="array" ref="BH44">$G$14+VLOOKUP($Q44,武学奇术!$A:$ZZ,16,FALSE)+SUM(_xlfn.XLOOKUP(R44:AF44,增益!$A:$A,增益!$P:$P,0))</f>
        <v>0.24</v>
      </c>
      <c r="BI44" s="27">
        <f>MIN(IF(VLOOKUP($Q44,武学奇术!$A:$ZZ,23,FALSE)=1,100%,$B$8),100%)</f>
        <v>1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+MIN(IF(VLOOKUP($Q44,武学奇术!$A:$ZZ,32,FALSE)=1,IF(VLOOKUP($Q44,武学奇术!$A:$ZZ,24,FALSE)=1,100%,MIN(40%,$B$10+VLOOKUP($Q44,武学奇术!$A:$ZZ,19,FALSE)+SUM(_xlfn.XLOOKUP(R44:AF44,增益!$A:$A,增益!$S:$S,0)))+$B$12+SUM(_xlfn.XLOOKUP(R44:AF44,增益!$A:$A,增益!$V:$V,0))),0),12%)</f>
        <v>0.9036</v>
      </c>
      <c r="BK44" s="27" cm="1">
        <f t="array" ref="BK44">1+$B$13+VLOOKUP($Q44,武学奇术!$A:$ZZ,18,FALSE)+SUM(_xlfn.XLOOKUP(R44:AF44,增益!$A:$A,增益!$R:$R,0))</f>
        <v>1.64</v>
      </c>
      <c r="BL44" s="27" cm="1">
        <f t="array" ref="BL44">MAX(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-IF(VLOOKUP($Q44,武学奇术!$A:$ZZ,32,FALSE)=1,12%,0),0)</f>
        <v>0.0929</v>
      </c>
      <c r="BM44" s="27" cm="1">
        <f t="array" ref="BM44">1+$B$14+VLOOKUP($Q44,武学奇术!$A:$ZZ,20,FALSE)+SUM(_xlfn.XLOOKUP(R44:AF44,增益!$A:$A,增益!$T:$T,0))</f>
        <v>1.35</v>
      </c>
      <c r="BN44" s="27">
        <f t="shared" si="9"/>
        <v>0.9036</v>
      </c>
      <c r="BO44" s="27">
        <f t="shared" si="10"/>
        <v>0.00350000000000006</v>
      </c>
      <c r="BP44" s="27">
        <f>IF(VLOOKUP($Q44,武学奇术!$A:$ZZ,22,FALSE)=1,0,(1-$BI44))*(1-$BL44)</f>
        <v>0</v>
      </c>
      <c r="BQ44" s="27" cm="1">
        <f t="array" ref="BQ44">SUM(_xlfn.XLOOKUP(R44:AF44,增益!$A:$A,增益!$W:$W,0))+$I$5</f>
        <v>0.11</v>
      </c>
    </row>
    <row r="45" spans="1:69">
      <c r="A45" s="4"/>
      <c r="B45" s="4"/>
      <c r="K45" s="39">
        <f t="shared" si="0"/>
        <v>58228.6365133354</v>
      </c>
      <c r="L45" s="39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BK45*$P45*(1+IF(VLOOKUP($Q45,武学奇术!$A:$ZZ,30,FALSE)="蓄力技",$B$21,0))*(1+$BQ45)</f>
        <v>59454.5336436598</v>
      </c>
      <c r="M45" s="39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47343.9890100234</v>
      </c>
      <c r="N45" s="39">
        <f>((($AN45+($AO45-$AN45)*IF(VLOOKUP($Q45,武学奇术!$A:$ZZ,31,FALSE)=1,$F$18,0.5))*$AH45+$AI45)*(1+$AP45)*(1+$AQ45)+(($AS45+($AT45-$AS45)*IF(VLOOKUP($Q45,武学奇术!$A:$ZZ,31,FALSE)=1,$F$18,0.5))*IF($G$1="鸣金",$AJ45,$AH45)+IF($G$1="鸣金",$AK45*1.5,0))*(1+$AU45)*(1+$AV45)+(($AW45+($AX45-$AW45)*IF(VLOOKUP($Q45,武学奇术!$A:$ZZ,31,FALSE)=1,$F$18,0.5))*IF($G$1="裂石",$AJ45,$AH45)+IF($G$1="裂石",$AK45*1.5,0))*(1+$AY45)*(1+$AZ45)+(($BA45+($BB45-$BA45)*IF(VLOOKUP($Q45,武学奇术!$A:$ZZ,31,FALSE)=1,$F$18,0.5))*IF($G$1="牵丝",$AJ45,$AH45)+IF($G$1="牵丝",$AK45*1.5,0))*(1+$BC45)*(1+$BD45)+(($BE45+($BF45-$BE45)*IF(VLOOKUP($Q45,武学奇术!$A:$ZZ,31,FALSE)=1,$F$18,0.5))*IF($G$1="破竹",$AJ45,$AH45)+IF($G$1="破竹",$AK45*1.5,0))*(1+$BG45)*(1+$BH45))*(1+$AL45)*$P45*(1+IF(VLOOKUP($Q45,武学奇术!$A:$ZZ,30,FALSE)="蓄力技",$B$21,0))*(1+$BQ45)</f>
        <v>30646.6668266288</v>
      </c>
      <c r="O45" s="39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26223.7121643513</v>
      </c>
      <c r="P45" s="40">
        <v>1</v>
      </c>
      <c r="Q45" s="41" t="s">
        <v>104</v>
      </c>
      <c r="R45" s="41" t="s">
        <v>97</v>
      </c>
      <c r="S45" s="41" t="s">
        <v>73</v>
      </c>
      <c r="T45" s="41" t="s">
        <v>133</v>
      </c>
      <c r="U45" s="41" t="s">
        <v>73</v>
      </c>
      <c r="V45" s="41" t="s">
        <v>73</v>
      </c>
      <c r="W45" s="41" t="s">
        <v>73</v>
      </c>
      <c r="X45" s="41" t="s">
        <v>164</v>
      </c>
      <c r="Y45" s="41" t="s">
        <v>73</v>
      </c>
      <c r="Z45" s="41" t="s">
        <v>105</v>
      </c>
      <c r="AA45" s="41" t="s">
        <v>73</v>
      </c>
      <c r="AB45" s="41" t="s">
        <v>73</v>
      </c>
      <c r="AC45" s="41" t="s">
        <v>73</v>
      </c>
      <c r="AD45" s="41" t="s">
        <v>73</v>
      </c>
      <c r="AE45" s="41" t="s">
        <v>77</v>
      </c>
      <c r="AF45" s="41" t="s">
        <v>78</v>
      </c>
      <c r="AG45" t="str">
        <f>VLOOKUP($Q45,武学奇术!$A:$ZZ,25,FALSE)</f>
        <v>绳镖</v>
      </c>
      <c r="AH45" s="27">
        <f>VLOOKUP($Q45,武学奇术!$A:$ZZ,26,FALSE)</f>
        <v>2.19912</v>
      </c>
      <c r="AI45" s="28">
        <f>VLOOKUP($Q45,武学奇术!$A:$ZZ,27,FALSE)*(1+IF(OR($AG45=$F$4,$AG45=$F$5),$B$22,0))</f>
        <v>0</v>
      </c>
      <c r="AJ45" s="27">
        <f>VLOOKUP($Q45,武学奇术!$A:$ZZ,28,FALSE)</f>
        <v>3.29868</v>
      </c>
      <c r="AK45" s="28">
        <f>VLOOKUP($Q45,武学奇术!$A:$ZZ,29,FALSE)*(1+IF(OR($AG45=$F$4,$AG45=$F$5),$B$22,0))</f>
        <v>0</v>
      </c>
      <c r="AL45" s="27" cm="1">
        <f t="array" ref="AL45">$G$3+IFERROR(VLOOKUP($AG45,$F$4:$G$7,2,FALSE),0)+VLOOKUP($Q45,武学奇术!$A:$ZZ,2,FALSE)+SUM(_xlfn.XLOOKUP($R45:$AF45,增益!$A:$A,增益!$B:$B,0))</f>
        <v>0.6889</v>
      </c>
      <c r="AM45" s="27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3826.382</v>
      </c>
      <c r="AO45" cm="1">
        <f t="array" ref="AO45">$E$10*(1+$AM45)+VLOOKUP($Q45,武学奇术!$A:$ZZ,4,FALSE)+SUM(_xlfn.XLOOKUP($R45:$AF45,增益!$A:$A,增益!$D:$D,0))-$I$2</f>
        <v>3826.382</v>
      </c>
      <c r="AP45" s="33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0.247</v>
      </c>
      <c r="AQ45" s="33" cm="1">
        <f t="array" ref="AQ45">$G$10+VLOOKUP($Q45,武学奇术!$A:$ZZ,7,FALSE)+SUM(_xlfn.XLOOKUP(R45:AF45,增益!$A:$A,增益!$G:$G,0))</f>
        <v>0.09</v>
      </c>
      <c r="AR45" s="27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3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-0.24</v>
      </c>
      <c r="AV45" s="33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3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-0.24</v>
      </c>
      <c r="AZ45" s="33" cm="1">
        <f t="array" ref="AZ45">$G$12+VLOOKUP($Q45,武学奇术!$A:$ZZ,12,FALSE)+SUM(_xlfn.XLOOKUP(R45:AF45,增益!$A:$A,增益!$L:$L,0))</f>
        <v>0</v>
      </c>
      <c r="BA45">
        <f t="shared" si="5"/>
        <v>0</v>
      </c>
      <c r="BB45">
        <f t="shared" si="6"/>
        <v>0</v>
      </c>
      <c r="BC45" s="33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-0.24</v>
      </c>
      <c r="BD45" s="33" cm="1">
        <f t="array" ref="BD45">$G$13+VLOOKUP($Q45,武学奇术!$A:$ZZ,14,FALSE)+SUM(_xlfn.XLOOKUP(R45:AF45,增益!$A:$A,增益!$N:$N,0))</f>
        <v>0</v>
      </c>
      <c r="BE45">
        <f t="shared" si="7"/>
        <v>605.472</v>
      </c>
      <c r="BF45">
        <f t="shared" si="8"/>
        <v>1725.468</v>
      </c>
      <c r="BG45" s="33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0.03</v>
      </c>
      <c r="BH45" s="33" cm="1">
        <f t="array" ref="BH45">$G$14+VLOOKUP($Q45,武学奇术!$A:$ZZ,16,FALSE)+SUM(_xlfn.XLOOKUP(R45:AF45,增益!$A:$A,增益!$P:$P,0))</f>
        <v>0.24</v>
      </c>
      <c r="BI45" s="27">
        <f>MIN(IF(VLOOKUP($Q45,武学奇术!$A:$ZZ,23,FALSE)=1,100%,$B$8),100%)</f>
        <v>1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+MIN(IF(VLOOKUP($Q45,武学奇术!$A:$ZZ,32,FALSE)=1,IF(VLOOKUP($Q45,武学奇术!$A:$ZZ,24,FALSE)=1,100%,MIN(40%,$B$10+VLOOKUP($Q45,武学奇术!$A:$ZZ,19,FALSE)+SUM(_xlfn.XLOOKUP(R45:AF45,增益!$A:$A,增益!$S:$S,0)))+$B$12+SUM(_xlfn.XLOOKUP(R45:AF45,增益!$A:$A,增益!$V:$V,0))),0),12%)</f>
        <v>0.9036</v>
      </c>
      <c r="BK45" s="27" cm="1">
        <f t="array" ref="BK45">1+$B$13+VLOOKUP($Q45,武学奇术!$A:$ZZ,18,FALSE)+SUM(_xlfn.XLOOKUP(R45:AF45,增益!$A:$A,增益!$R:$R,0))</f>
        <v>1.94</v>
      </c>
      <c r="BL45" s="27" cm="1">
        <f t="array" ref="BL45">MAX(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-IF(VLOOKUP($Q45,武学奇术!$A:$ZZ,32,FALSE)=1,12%,0),0)</f>
        <v>0.0929</v>
      </c>
      <c r="BM45" s="27" cm="1">
        <f t="array" ref="BM45">1+$B$14+VLOOKUP($Q45,武学奇术!$A:$ZZ,20,FALSE)+SUM(_xlfn.XLOOKUP(R45:AF45,增益!$A:$A,增益!$T:$T,0))</f>
        <v>1.35</v>
      </c>
      <c r="BN45" s="27">
        <f t="shared" si="9"/>
        <v>0.9036</v>
      </c>
      <c r="BO45" s="27">
        <f t="shared" si="10"/>
        <v>0.00350000000000006</v>
      </c>
      <c r="BP45" s="27">
        <f>IF(VLOOKUP($Q45,武学奇术!$A:$ZZ,22,FALSE)=1,0,(1-$BI45))*(1-$BL45)</f>
        <v>0</v>
      </c>
      <c r="BQ45" s="27" cm="1">
        <f t="array" ref="BQ45">SUM(_xlfn.XLOOKUP(R45:AF45,增益!$A:$A,增益!$W:$W,0))+$I$5</f>
        <v>0.11</v>
      </c>
    </row>
    <row r="46" spans="1:69">
      <c r="A46" s="4"/>
      <c r="B46" s="91"/>
      <c r="F46" s="4"/>
      <c r="G46" s="91"/>
      <c r="K46" s="39">
        <f t="shared" si="0"/>
        <v>53378.8888542494</v>
      </c>
      <c r="L46" s="39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BK46*$P46*(1+IF(VLOOKUP($Q46,武学奇术!$A:$ZZ,30,FALSE)="蓄力技",$B$21,0))*(1+$BQ46)</f>
        <v>53814.3984663605</v>
      </c>
      <c r="M46" s="39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49917.6598325189</v>
      </c>
      <c r="N46" s="39">
        <f>((($AN46+($AO46-$AN46)*IF(VLOOKUP($Q46,武学奇术!$A:$ZZ,31,FALSE)=1,$F$18,0.5))*$AH46+$AI46)*(1+$AP46)*(1+$AQ46)+(($AS46+($AT46-$AS46)*IF(VLOOKUP($Q46,武学奇术!$A:$ZZ,31,FALSE)=1,$F$18,0.5))*IF($G$1="鸣金",$AJ46,$AH46)+IF($G$1="鸣金",$AK46*1.5,0))*(1+$AU46)*(1+$AV46)+(($AW46+($AX46-$AW46)*IF(VLOOKUP($Q46,武学奇术!$A:$ZZ,31,FALSE)=1,$F$18,0.5))*IF($G$1="裂石",$AJ46,$AH46)+IF($G$1="裂石",$AK46*1.5,0))*(1+$AY46)*(1+$AZ46)+(($BA46+($BB46-$BA46)*IF(VLOOKUP($Q46,武学奇术!$A:$ZZ,31,FALSE)=1,$F$18,0.5))*IF($G$1="牵丝",$AJ46,$AH46)+IF($G$1="牵丝",$AK46*1.5,0))*(1+$BC46)*(1+$BD46)+(($BE46+($BF46-$BE46)*IF(VLOOKUP($Q46,武学奇术!$A:$ZZ,31,FALSE)=1,$F$18,0.5))*IF($G$1="破竹",$AJ46,$AH46)+IF($G$1="破竹",$AK46*1.5,0))*(1+$BG46)*(1+$BH46))*(1+$AL46)*$P46*(1+IF(VLOOKUP($Q46,武学奇术!$A:$ZZ,30,FALSE)="蓄力技",$B$21,0))*(1+$BQ46)</f>
        <v>32813.6576014393</v>
      </c>
      <c r="O46" s="39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28651.2708824943</v>
      </c>
      <c r="P46" s="40">
        <v>1</v>
      </c>
      <c r="Q46" s="41" t="s">
        <v>120</v>
      </c>
      <c r="R46" s="41" t="s">
        <v>97</v>
      </c>
      <c r="S46" s="41" t="s">
        <v>73</v>
      </c>
      <c r="T46" s="41" t="s">
        <v>133</v>
      </c>
      <c r="U46" s="41" t="s">
        <v>73</v>
      </c>
      <c r="V46" s="41" t="s">
        <v>73</v>
      </c>
      <c r="W46" s="41" t="s">
        <v>73</v>
      </c>
      <c r="X46" s="41" t="s">
        <v>164</v>
      </c>
      <c r="Y46" s="41" t="s">
        <v>73</v>
      </c>
      <c r="Z46" s="41" t="s">
        <v>73</v>
      </c>
      <c r="AA46" s="41" t="s">
        <v>73</v>
      </c>
      <c r="AB46" s="41" t="s">
        <v>73</v>
      </c>
      <c r="AC46" s="41" t="s">
        <v>73</v>
      </c>
      <c r="AD46" s="41" t="s">
        <v>73</v>
      </c>
      <c r="AE46" s="41" t="s">
        <v>77</v>
      </c>
      <c r="AF46" s="41" t="s">
        <v>78</v>
      </c>
      <c r="AG46" t="str">
        <f>VLOOKUP($Q46,武学奇术!$A:$ZZ,25,FALSE)</f>
        <v>拳甲</v>
      </c>
      <c r="AH46" s="27">
        <f>VLOOKUP($Q46,武学奇术!$A:$ZZ,26,FALSE)</f>
        <v>2.4421</v>
      </c>
      <c r="AI46" s="28">
        <f>VLOOKUP($Q46,武学奇术!$A:$ZZ,27,FALSE)*(1+IF(OR($AG46=$F$4,$AG46=$F$5),$B$22,0))</f>
        <v>1012.5</v>
      </c>
      <c r="AJ46" s="27">
        <f>VLOOKUP($Q46,武学奇术!$A:$ZZ,28,FALSE)</f>
        <v>3.6634</v>
      </c>
      <c r="AK46" s="28">
        <f>VLOOKUP($Q46,武学奇术!$A:$ZZ,29,FALSE)*(1+IF(OR($AG46=$F$4,$AG46=$F$5),$B$22,0))</f>
        <v>549</v>
      </c>
      <c r="AL46" s="27" cm="1">
        <f t="array" ref="AL46">$G$3+IFERROR(VLOOKUP($AG46,$F$4:$G$7,2,FALSE),0)+VLOOKUP($Q46,武学奇术!$A:$ZZ,2,FALSE)+SUM(_xlfn.XLOOKUP($R46:$AF46,增益!$A:$A,增益!$B:$B,0))</f>
        <v>0.4741</v>
      </c>
      <c r="AM46" s="27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3826.382</v>
      </c>
      <c r="AO46" cm="1">
        <f t="array" ref="AO46">$E$10*(1+$AM46)+VLOOKUP($Q46,武学奇术!$A:$ZZ,4,FALSE)+SUM(_xlfn.XLOOKUP($R46:$AF46,增益!$A:$A,增益!$D:$D,0))-$I$2</f>
        <v>3826.382</v>
      </c>
      <c r="AP46" s="33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0.217</v>
      </c>
      <c r="AQ46" s="33" cm="1">
        <f t="array" ref="AQ46">$G$10+VLOOKUP($Q46,武学奇术!$A:$ZZ,7,FALSE)+SUM(_xlfn.XLOOKUP(R46:AF46,增益!$A:$A,增益!$G:$G,0))</f>
        <v>0.09</v>
      </c>
      <c r="AR46" s="27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3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3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3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3" cm="1">
        <f t="array" ref="AZ46">$G$12+VLOOKUP($Q46,武学奇术!$A:$ZZ,12,FALSE)+SUM(_xlfn.XLOOKUP(R46:AF46,增益!$A:$A,增益!$L:$L,0))</f>
        <v>0</v>
      </c>
      <c r="BA46">
        <f t="shared" si="5"/>
        <v>0</v>
      </c>
      <c r="BB46">
        <f t="shared" si="6"/>
        <v>0</v>
      </c>
      <c r="BC46" s="33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-0.3</v>
      </c>
      <c r="BD46" s="33" cm="1">
        <f t="array" ref="BD46">$G$13+VLOOKUP($Q46,武学奇术!$A:$ZZ,14,FALSE)+SUM(_xlfn.XLOOKUP(R46:AF46,增益!$A:$A,增益!$N:$N,0))</f>
        <v>0</v>
      </c>
      <c r="BE46">
        <f t="shared" si="7"/>
        <v>605.472</v>
      </c>
      <c r="BF46">
        <f t="shared" si="8"/>
        <v>1725.468</v>
      </c>
      <c r="BG46" s="33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</v>
      </c>
      <c r="BH46" s="33" cm="1">
        <f t="array" ref="BH46">$G$14+VLOOKUP($Q46,武学奇术!$A:$ZZ,16,FALSE)+SUM(_xlfn.XLOOKUP(R46:AF46,增益!$A:$A,增益!$P:$P,0))</f>
        <v>0.24</v>
      </c>
      <c r="BI46" s="27">
        <f>MIN(IF(VLOOKUP($Q46,武学奇术!$A:$ZZ,23,FALSE)=1,100%,$B$8),100%)</f>
        <v>1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+MIN(IF(VLOOKUP($Q46,武学奇术!$A:$ZZ,32,FALSE)=1,IF(VLOOKUP($Q46,武学奇术!$A:$ZZ,24,FALSE)=1,100%,MIN(40%,$B$10+VLOOKUP($Q46,武学奇术!$A:$ZZ,19,FALSE)+SUM(_xlfn.XLOOKUP(R46:AF46,增益!$A:$A,增益!$S:$S,0)))+$B$12+SUM(_xlfn.XLOOKUP(R46:AF46,增益!$A:$A,增益!$V:$V,0))),0),12%)</f>
        <v>0.9036</v>
      </c>
      <c r="BK46" s="27" cm="1">
        <f t="array" ref="BK46">1+$B$13+VLOOKUP($Q46,武学奇术!$A:$ZZ,18,FALSE)+SUM(_xlfn.XLOOKUP(R46:AF46,增益!$A:$A,增益!$R:$R,0))</f>
        <v>1.64</v>
      </c>
      <c r="BL46" s="27" cm="1">
        <f t="array" ref="BL46">MAX(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-IF(VLOOKUP($Q46,武学奇术!$A:$ZZ,32,FALSE)=1,12%,0),0)</f>
        <v>0.0929</v>
      </c>
      <c r="BM46" s="27" cm="1">
        <f t="array" ref="BM46">1+$B$14+VLOOKUP($Q46,武学奇术!$A:$ZZ,20,FALSE)+SUM(_xlfn.XLOOKUP(R46:AF46,增益!$A:$A,增益!$T:$T,0))</f>
        <v>1.35</v>
      </c>
      <c r="BN46" s="27">
        <f t="shared" si="9"/>
        <v>0.9036</v>
      </c>
      <c r="BO46" s="27">
        <f t="shared" si="10"/>
        <v>0.00350000000000006</v>
      </c>
      <c r="BP46" s="27">
        <f>IF(VLOOKUP($Q46,武学奇术!$A:$ZZ,22,FALSE)=1,0,(1-$BI46))*(1-$BL46)</f>
        <v>0</v>
      </c>
      <c r="BQ46" s="27" cm="1">
        <f t="array" ref="BQ46">SUM(_xlfn.XLOOKUP(R46:AF46,增益!$A:$A,增益!$W:$W,0))+$I$5</f>
        <v>0.11</v>
      </c>
    </row>
    <row r="47" spans="1:69">
      <c r="K47" s="39">
        <f t="shared" si="0"/>
        <v>28169.1050495183</v>
      </c>
      <c r="L47" s="39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BK47*$P47*(1+IF(VLOOKUP($Q47,武学奇术!$A:$ZZ,30,FALSE)="蓄力技",$B$21,0))*(1+$BQ47)</f>
        <v>28399.2149666345</v>
      </c>
      <c r="M47" s="39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26339.7882125493</v>
      </c>
      <c r="N47" s="39">
        <f>((($AN47+($AO47-$AN47)*IF(VLOOKUP($Q47,武学奇术!$A:$ZZ,31,FALSE)=1,$F$18,0.5))*$AH47+$AI47)*(1+$AP47)*(1+$AQ47)+(($AS47+($AT47-$AS47)*IF(VLOOKUP($Q47,武学奇术!$A:$ZZ,31,FALSE)=1,$F$18,0.5))*IF($G$1="鸣金",$AJ47,$AH47)+IF($G$1="鸣金",$AK47*1.5,0))*(1+$AU47)*(1+$AV47)+(($AW47+($AX47-$AW47)*IF(VLOOKUP($Q47,武学奇术!$A:$ZZ,31,FALSE)=1,$F$18,0.5))*IF($G$1="裂石",$AJ47,$AH47)+IF($G$1="裂石",$AK47*1.5,0))*(1+$AY47)*(1+$AZ47)+(($BA47+($BB47-$BA47)*IF(VLOOKUP($Q47,武学奇术!$A:$ZZ,31,FALSE)=1,$F$18,0.5))*IF($G$1="牵丝",$AJ47,$AH47)+IF($G$1="牵丝",$AK47*1.5,0))*(1+$BC47)*(1+$BD47)+(($BE47+($BF47-$BE47)*IF(VLOOKUP($Q47,武学奇术!$A:$ZZ,31,FALSE)=1,$F$18,0.5))*IF($G$1="破竹",$AJ47,$AH47)+IF($G$1="破竹",$AK47*1.5,0))*(1+$BG47)*(1+$BH47))*(1+$AL47)*$P47*(1+IF(VLOOKUP($Q47,武学奇术!$A:$ZZ,30,FALSE)="蓄力技",$B$21,0))*(1+$BQ47)</f>
        <v>17316.5944918503</v>
      </c>
      <c r="O47" s="39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15122.2347521827</v>
      </c>
      <c r="P47" s="40">
        <v>1</v>
      </c>
      <c r="Q47" s="41" t="s">
        <v>115</v>
      </c>
      <c r="R47" s="41" t="s">
        <v>97</v>
      </c>
      <c r="S47" s="41" t="s">
        <v>73</v>
      </c>
      <c r="T47" s="41" t="s">
        <v>133</v>
      </c>
      <c r="U47" s="41" t="s">
        <v>73</v>
      </c>
      <c r="V47" s="41" t="s">
        <v>73</v>
      </c>
      <c r="W47" s="41" t="s">
        <v>73</v>
      </c>
      <c r="X47" s="41" t="s">
        <v>164</v>
      </c>
      <c r="Y47" s="41" t="s">
        <v>73</v>
      </c>
      <c r="Z47" s="41" t="s">
        <v>73</v>
      </c>
      <c r="AA47" s="41" t="s">
        <v>73</v>
      </c>
      <c r="AB47" s="41" t="s">
        <v>73</v>
      </c>
      <c r="AC47" s="41" t="s">
        <v>73</v>
      </c>
      <c r="AD47" s="41" t="s">
        <v>73</v>
      </c>
      <c r="AE47" s="41" t="s">
        <v>77</v>
      </c>
      <c r="AF47" s="41" t="s">
        <v>78</v>
      </c>
      <c r="AG47" t="str">
        <f>VLOOKUP($Q47,武学奇术!$A:$ZZ,25,FALSE)</f>
        <v>拳甲</v>
      </c>
      <c r="AH47" s="27">
        <f>VLOOKUP($Q47,武学奇术!$A:$ZZ,26,FALSE)</f>
        <v>1.2876</v>
      </c>
      <c r="AI47" s="28">
        <f>VLOOKUP($Q47,武学奇术!$A:$ZZ,27,FALSE)*(1+IF(OR($AG47=$F$4,$AG47=$F$5),$B$22,0))</f>
        <v>537</v>
      </c>
      <c r="AJ47" s="27">
        <f>VLOOKUP($Q47,武学奇术!$A:$ZZ,28,FALSE)</f>
        <v>1.9313</v>
      </c>
      <c r="AK47" s="28">
        <f>VLOOKUP($Q47,武学奇术!$A:$ZZ,29,FALSE)*(1+IF(OR($AG47=$F$4,$AG47=$F$5),$B$22,0))</f>
        <v>292.5</v>
      </c>
      <c r="AL47" s="27" cm="1">
        <f t="array" ref="AL47">$G$3+IFERROR(VLOOKUP($AG47,$F$4:$G$7,2,FALSE),0)+VLOOKUP($Q47,武学奇术!$A:$ZZ,2,FALSE)+SUM(_xlfn.XLOOKUP($R47:$AF47,增益!$A:$A,增益!$B:$B,0))</f>
        <v>0.4741</v>
      </c>
      <c r="AM47" s="27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3826.382</v>
      </c>
      <c r="AO47" cm="1">
        <f t="array" ref="AO47">$E$10*(1+$AM47)+VLOOKUP($Q47,武学奇术!$A:$ZZ,4,FALSE)+SUM(_xlfn.XLOOKUP($R47:$AF47,增益!$A:$A,增益!$D:$D,0))-$I$2</f>
        <v>3826.382</v>
      </c>
      <c r="AP47" s="33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0.217</v>
      </c>
      <c r="AQ47" s="33" cm="1">
        <f t="array" ref="AQ47">$G$10+VLOOKUP($Q47,武学奇术!$A:$ZZ,7,FALSE)+SUM(_xlfn.XLOOKUP(R47:AF47,增益!$A:$A,增益!$G:$G,0))</f>
        <v>0.09</v>
      </c>
      <c r="AR47" s="27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3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3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3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3" cm="1">
        <f t="array" ref="AZ47">$G$12+VLOOKUP($Q47,武学奇术!$A:$ZZ,12,FALSE)+SUM(_xlfn.XLOOKUP(R47:AF47,增益!$A:$A,增益!$L:$L,0))</f>
        <v>0</v>
      </c>
      <c r="BA47">
        <f t="shared" si="5"/>
        <v>0</v>
      </c>
      <c r="BB47">
        <f t="shared" si="6"/>
        <v>0</v>
      </c>
      <c r="BC47" s="33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-0.3</v>
      </c>
      <c r="BD47" s="33" cm="1">
        <f t="array" ref="BD47">$G$13+VLOOKUP($Q47,武学奇术!$A:$ZZ,14,FALSE)+SUM(_xlfn.XLOOKUP(R47:AF47,增益!$A:$A,增益!$N:$N,0))</f>
        <v>0</v>
      </c>
      <c r="BE47">
        <f t="shared" si="7"/>
        <v>605.472</v>
      </c>
      <c r="BF47">
        <f t="shared" si="8"/>
        <v>1725.468</v>
      </c>
      <c r="BG47" s="33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</v>
      </c>
      <c r="BH47" s="33" cm="1">
        <f t="array" ref="BH47">$G$14+VLOOKUP($Q47,武学奇术!$A:$ZZ,16,FALSE)+SUM(_xlfn.XLOOKUP(R47:AF47,增益!$A:$A,增益!$P:$P,0))</f>
        <v>0.24</v>
      </c>
      <c r="BI47" s="27">
        <f>MIN(IF(VLOOKUP($Q47,武学奇术!$A:$ZZ,23,FALSE)=1,100%,$B$8),100%)</f>
        <v>1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+MIN(IF(VLOOKUP($Q47,武学奇术!$A:$ZZ,32,FALSE)=1,IF(VLOOKUP($Q47,武学奇术!$A:$ZZ,24,FALSE)=1,100%,MIN(40%,$B$10+VLOOKUP($Q47,武学奇术!$A:$ZZ,19,FALSE)+SUM(_xlfn.XLOOKUP(R47:AF47,增益!$A:$A,增益!$S:$S,0)))+$B$12+SUM(_xlfn.XLOOKUP(R47:AF47,增益!$A:$A,增益!$V:$V,0))),0),12%)</f>
        <v>0.9036</v>
      </c>
      <c r="BK47" s="27" cm="1">
        <f t="array" ref="BK47">1+$B$13+VLOOKUP($Q47,武学奇术!$A:$ZZ,18,FALSE)+SUM(_xlfn.XLOOKUP(R47:AF47,增益!$A:$A,增益!$R:$R,0))</f>
        <v>1.64</v>
      </c>
      <c r="BL47" s="27" cm="1">
        <f t="array" ref="BL47">MAX(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-IF(VLOOKUP($Q47,武学奇术!$A:$ZZ,32,FALSE)=1,12%,0),0)</f>
        <v>0.0929</v>
      </c>
      <c r="BM47" s="27" cm="1">
        <f t="array" ref="BM47">1+$B$14+VLOOKUP($Q47,武学奇术!$A:$ZZ,20,FALSE)+SUM(_xlfn.XLOOKUP(R47:AF47,增益!$A:$A,增益!$T:$T,0))</f>
        <v>1.35</v>
      </c>
      <c r="BN47" s="27">
        <f t="shared" si="9"/>
        <v>0.9036</v>
      </c>
      <c r="BO47" s="27">
        <f t="shared" si="10"/>
        <v>0.00350000000000006</v>
      </c>
      <c r="BP47" s="27">
        <f>IF(VLOOKUP($Q47,武学奇术!$A:$ZZ,22,FALSE)=1,0,(1-$BI47))*(1-$BL47)</f>
        <v>0</v>
      </c>
      <c r="BQ47" s="27" cm="1">
        <f t="array" ref="BQ47">SUM(_xlfn.XLOOKUP(R47:AF47,增益!$A:$A,增益!$W:$W,0))+$I$5</f>
        <v>0.11</v>
      </c>
    </row>
    <row r="48" spans="1:69">
      <c r="F48" s="4"/>
      <c r="G48" s="4"/>
      <c r="K48" s="39">
        <f t="shared" si="0"/>
        <v>73399.3184001243</v>
      </c>
      <c r="L48" s="39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BK48*$P48*(1+IF(VLOOKUP($Q48,武学奇术!$A:$ZZ,30,FALSE)="蓄力技",$B$21,0))*(1+$BQ48)</f>
        <v>74944.6064092961</v>
      </c>
      <c r="M48" s="39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59678.8235438563</v>
      </c>
      <c r="N48" s="39">
        <f>((($AN48+($AO48-$AN48)*IF(VLOOKUP($Q48,武学奇术!$A:$ZZ,31,FALSE)=1,$F$18,0.5))*$AH48+$AI48)*(1+$AP48)*(1+$AQ48)+(($AS48+($AT48-$AS48)*IF(VLOOKUP($Q48,武学奇术!$A:$ZZ,31,FALSE)=1,$F$18,0.5))*IF($G$1="鸣金",$AJ48,$AH48)+IF($G$1="鸣金",$AK48*1.5,0))*(1+$AU48)*(1+$AV48)+(($AW48+($AX48-$AW48)*IF(VLOOKUP($Q48,武学奇术!$A:$ZZ,31,FALSE)=1,$F$18,0.5))*IF($G$1="裂石",$AJ48,$AH48)+IF($G$1="裂石",$AK48*1.5,0))*(1+$AY48)*(1+$AZ48)+(($BA48+($BB48-$BA48)*IF(VLOOKUP($Q48,武学奇术!$A:$ZZ,31,FALSE)=1,$F$18,0.5))*IF($G$1="牵丝",$AJ48,$AH48)+IF($G$1="牵丝",$AK48*1.5,0))*(1+$BC48)*(1+$BD48)+(($BE48+($BF48-$BE48)*IF(VLOOKUP($Q48,武学奇术!$A:$ZZ,31,FALSE)=1,$F$18,0.5))*IF($G$1="破竹",$AJ48,$AH48)+IF($G$1="破竹",$AK48*1.5,0))*(1+$BG48)*(1+$BH48))*(1+$AL48)*$P48*(1+IF(VLOOKUP($Q48,武学奇术!$A:$ZZ,30,FALSE)="蓄力技",$B$21,0))*(1+$BQ48)</f>
        <v>38631.240417163</v>
      </c>
      <c r="O48" s="39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33055.9448759138</v>
      </c>
      <c r="P48" s="40">
        <v>1</v>
      </c>
      <c r="Q48" s="41" t="s">
        <v>117</v>
      </c>
      <c r="R48" s="41" t="s">
        <v>97</v>
      </c>
      <c r="S48" s="41" t="s">
        <v>73</v>
      </c>
      <c r="T48" s="41" t="s">
        <v>133</v>
      </c>
      <c r="U48" s="41" t="s">
        <v>73</v>
      </c>
      <c r="V48" s="41" t="s">
        <v>73</v>
      </c>
      <c r="W48" s="41" t="s">
        <v>73</v>
      </c>
      <c r="X48" s="41" t="s">
        <v>164</v>
      </c>
      <c r="Y48" s="41" t="s">
        <v>73</v>
      </c>
      <c r="Z48" s="41" t="s">
        <v>105</v>
      </c>
      <c r="AA48" s="41" t="s">
        <v>73</v>
      </c>
      <c r="AB48" s="41" t="s">
        <v>73</v>
      </c>
      <c r="AC48" s="41" t="s">
        <v>73</v>
      </c>
      <c r="AD48" s="41" t="s">
        <v>73</v>
      </c>
      <c r="AE48" s="41" t="s">
        <v>77</v>
      </c>
      <c r="AF48" s="41" t="s">
        <v>78</v>
      </c>
      <c r="AG48" t="str">
        <f>VLOOKUP($Q48,武学奇术!$A:$ZZ,25,FALSE)</f>
        <v>拳甲</v>
      </c>
      <c r="AH48" s="27">
        <f>VLOOKUP($Q48,武学奇术!$A:$ZZ,26,FALSE)</f>
        <v>2.638944</v>
      </c>
      <c r="AI48" s="28">
        <f>VLOOKUP($Q48,武学奇术!$A:$ZZ,27,FALSE)*(1+IF(OR($AG48=$F$4,$AG48=$F$5),$B$22,0))</f>
        <v>0</v>
      </c>
      <c r="AJ48" s="27">
        <f>VLOOKUP($Q48,武学奇术!$A:$ZZ,28,FALSE)</f>
        <v>3.958416</v>
      </c>
      <c r="AK48" s="28">
        <f>VLOOKUP($Q48,武学奇术!$A:$ZZ,29,FALSE)*(1+IF(OR($AG48=$F$4,$AG48=$F$5),$B$22,0))</f>
        <v>0</v>
      </c>
      <c r="AL48" s="27" cm="1">
        <f t="array" ref="AL48">$G$3+IFERROR(VLOOKUP($AG48,$F$4:$G$7,2,FALSE),0)+VLOOKUP($Q48,武学奇术!$A:$ZZ,2,FALSE)+SUM(_xlfn.XLOOKUP($R48:$AF48,增益!$A:$A,增益!$B:$B,0))</f>
        <v>0.7741</v>
      </c>
      <c r="AM48" s="27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3826.382</v>
      </c>
      <c r="AO48" cm="1">
        <f t="array" ref="AO48">$E$10*(1+$AM48)+VLOOKUP($Q48,武学奇术!$A:$ZZ,4,FALSE)+SUM(_xlfn.XLOOKUP($R48:$AF48,增益!$A:$A,增益!$D:$D,0))-$I$2</f>
        <v>3826.382</v>
      </c>
      <c r="AP48" s="33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0.247</v>
      </c>
      <c r="AQ48" s="33" cm="1">
        <f t="array" ref="AQ48">$G$10+VLOOKUP($Q48,武学奇术!$A:$ZZ,7,FALSE)+SUM(_xlfn.XLOOKUP(R48:AF48,增益!$A:$A,增益!$G:$G,0))</f>
        <v>0.09</v>
      </c>
      <c r="AR48" s="27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3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-0.24</v>
      </c>
      <c r="AV48" s="33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3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-0.24</v>
      </c>
      <c r="AZ48" s="33" cm="1">
        <f t="array" ref="AZ48">$G$12+VLOOKUP($Q48,武学奇术!$A:$ZZ,12,FALSE)+SUM(_xlfn.XLOOKUP(R48:AF48,增益!$A:$A,增益!$L:$L,0))</f>
        <v>0</v>
      </c>
      <c r="BA48">
        <f t="shared" si="5"/>
        <v>0</v>
      </c>
      <c r="BB48">
        <f t="shared" si="6"/>
        <v>0</v>
      </c>
      <c r="BC48" s="33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-0.24</v>
      </c>
      <c r="BD48" s="33" cm="1">
        <f t="array" ref="BD48">$G$13+VLOOKUP($Q48,武学奇术!$A:$ZZ,14,FALSE)+SUM(_xlfn.XLOOKUP(R48:AF48,增益!$A:$A,增益!$N:$N,0))</f>
        <v>0</v>
      </c>
      <c r="BE48">
        <f t="shared" si="7"/>
        <v>605.472</v>
      </c>
      <c r="BF48">
        <f t="shared" si="8"/>
        <v>1725.468</v>
      </c>
      <c r="BG48" s="33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0.03</v>
      </c>
      <c r="BH48" s="33" cm="1">
        <f t="array" ref="BH48">$G$14+VLOOKUP($Q48,武学奇术!$A:$ZZ,16,FALSE)+SUM(_xlfn.XLOOKUP(R48:AF48,增益!$A:$A,增益!$P:$P,0))</f>
        <v>0.24</v>
      </c>
      <c r="BI48" s="27">
        <f>MIN(IF(VLOOKUP($Q48,武学奇术!$A:$ZZ,23,FALSE)=1,100%,$B$8),100%)</f>
        <v>1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+MIN(IF(VLOOKUP($Q48,武学奇术!$A:$ZZ,32,FALSE)=1,IF(VLOOKUP($Q48,武学奇术!$A:$ZZ,24,FALSE)=1,100%,MIN(40%,$B$10+VLOOKUP($Q48,武学奇术!$A:$ZZ,19,FALSE)+SUM(_xlfn.XLOOKUP(R48:AF48,增益!$A:$A,增益!$S:$S,0)))+$B$12+SUM(_xlfn.XLOOKUP(R48:AF48,增益!$A:$A,增益!$V:$V,0))),0),12%)</f>
        <v>0.9036</v>
      </c>
      <c r="BK48" s="27" cm="1">
        <f t="array" ref="BK48">1+$B$13+VLOOKUP($Q48,武学奇术!$A:$ZZ,18,FALSE)+SUM(_xlfn.XLOOKUP(R48:AF48,增益!$A:$A,增益!$R:$R,0))</f>
        <v>1.94</v>
      </c>
      <c r="BL48" s="27" cm="1">
        <f t="array" ref="BL48">MAX(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-IF(VLOOKUP($Q48,武学奇术!$A:$ZZ,32,FALSE)=1,12%,0),0)</f>
        <v>0.0929</v>
      </c>
      <c r="BM48" s="27" cm="1">
        <f t="array" ref="BM48">1+$B$14+VLOOKUP($Q48,武学奇术!$A:$ZZ,20,FALSE)+SUM(_xlfn.XLOOKUP(R48:AF48,增益!$A:$A,增益!$T:$T,0))</f>
        <v>1.35</v>
      </c>
      <c r="BN48" s="27">
        <f t="shared" si="9"/>
        <v>0.9036</v>
      </c>
      <c r="BO48" s="27">
        <f t="shared" si="10"/>
        <v>0.00350000000000006</v>
      </c>
      <c r="BP48" s="27">
        <f>IF(VLOOKUP($Q48,武学奇术!$A:$ZZ,22,FALSE)=1,0,(1-$BI48))*(1-$BL48)</f>
        <v>0</v>
      </c>
      <c r="BQ48" s="27" cm="1">
        <f t="array" ref="BQ48">SUM(_xlfn.XLOOKUP(R48:AF48,增益!$A:$A,增益!$W:$W,0))+$I$5</f>
        <v>0.11</v>
      </c>
    </row>
    <row r="49" spans="1:69">
      <c r="A49" s="4"/>
      <c r="B49" s="91"/>
      <c r="K49" s="39">
        <f t="shared" si="0"/>
        <v>111150.811613099</v>
      </c>
      <c r="L49" s="39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BK49*$P49*(1+IF(VLOOKUP($Q49,武学奇术!$A:$ZZ,30,FALSE)="蓄力技",$B$21,0))*(1+$BQ49)</f>
        <v>111953.686342839</v>
      </c>
      <c r="M49" s="39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104957.320598365</v>
      </c>
      <c r="N49" s="39">
        <f>((($AN49+($AO49-$AN49)*IF(VLOOKUP($Q49,武学奇术!$A:$ZZ,31,FALSE)=1,$F$18,0.5))*$AH49+$AI49)*(1+$AP49)*(1+$AQ49)+(($AS49+($AT49-$AS49)*IF(VLOOKUP($Q49,武学奇术!$A:$ZZ,31,FALSE)=1,$F$18,0.5))*IF($G$1="鸣金",$AJ49,$AH49)+IF($G$1="鸣金",$AK49*1.5,0))*(1+$AU49)*(1+$AV49)+(($AW49+($AX49-$AW49)*IF(VLOOKUP($Q49,武学奇术!$A:$ZZ,31,FALSE)=1,$F$18,0.5))*IF($G$1="裂石",$AJ49,$AH49)+IF($G$1="裂石",$AK49*1.5,0))*(1+$AY49)*(1+$AZ49)+(($BA49+($BB49-$BA49)*IF(VLOOKUP($Q49,武学奇术!$A:$ZZ,31,FALSE)=1,$F$18,0.5))*IF($G$1="牵丝",$AJ49,$AH49)+IF($G$1="牵丝",$AK49*1.5,0))*(1+$BC49)*(1+$BD49)+(($BE49+($BF49-$BE49)*IF(VLOOKUP($Q49,武学奇术!$A:$ZZ,31,FALSE)=1,$F$18,0.5))*IF($G$1="破竹",$AJ49,$AH49)+IF($G$1="破竹",$AK49*1.5,0))*(1+$BG49)*(1+$BH49))*(1+$AL49)*$P49*(1+IF(VLOOKUP($Q49,武学奇术!$A:$ZZ,30,FALSE)="蓄力技",$B$21,0))*(1+$BQ49)</f>
        <v>68264.442891975</v>
      </c>
      <c r="O49" s="39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58782.7223777534</v>
      </c>
      <c r="P49" s="40">
        <v>1</v>
      </c>
      <c r="Q49" s="41" t="s">
        <v>177</v>
      </c>
      <c r="R49" s="41" t="s">
        <v>97</v>
      </c>
      <c r="S49" s="41" t="s">
        <v>73</v>
      </c>
      <c r="T49" s="41" t="s">
        <v>73</v>
      </c>
      <c r="U49" s="41" t="s">
        <v>73</v>
      </c>
      <c r="V49" s="41" t="s">
        <v>73</v>
      </c>
      <c r="W49" s="41" t="s">
        <v>73</v>
      </c>
      <c r="X49" s="41" t="s">
        <v>164</v>
      </c>
      <c r="Y49" s="41" t="s">
        <v>73</v>
      </c>
      <c r="Z49" s="41" t="s">
        <v>105</v>
      </c>
      <c r="AA49" s="41" t="s">
        <v>73</v>
      </c>
      <c r="AB49" s="41" t="s">
        <v>73</v>
      </c>
      <c r="AC49" s="41" t="s">
        <v>73</v>
      </c>
      <c r="AD49" s="41" t="s">
        <v>73</v>
      </c>
      <c r="AE49" s="41" t="s">
        <v>77</v>
      </c>
      <c r="AF49" s="41" t="s">
        <v>78</v>
      </c>
      <c r="AG49" t="str">
        <f>VLOOKUP($Q49,武学奇术!$A:$ZZ,25,FALSE)</f>
        <v>单体奇术</v>
      </c>
      <c r="AH49" s="27">
        <f>VLOOKUP($Q49,武学奇术!$A:$ZZ,26,FALSE)</f>
        <v>7.1084</v>
      </c>
      <c r="AI49" s="28">
        <f>VLOOKUP($Q49,武学奇术!$A:$ZZ,27,FALSE)*(1+IF(OR($AG49=$F$4,$AG49=$F$5),$B$22,0))</f>
        <v>1369</v>
      </c>
      <c r="AJ49" s="27">
        <f>VLOOKUP($Q49,武学奇术!$A:$ZZ,28,FALSE)</f>
        <v>10.6626</v>
      </c>
      <c r="AK49" s="28">
        <f>VLOOKUP($Q49,武学奇术!$A:$ZZ,29,FALSE)*(1+IF(OR($AG49=$F$4,$AG49=$F$5),$B$22,0))</f>
        <v>0</v>
      </c>
      <c r="AL49" s="27" cm="1">
        <f t="array" ref="AL49">$G$3+IFERROR(VLOOKUP($AG49,$F$4:$G$7,2,FALSE),0)+VLOOKUP($Q49,武学奇术!$A:$ZZ,2,FALSE)+SUM(_xlfn.XLOOKUP($R49:$AF49,增益!$A:$A,增益!$B:$B,0))</f>
        <v>0.1537</v>
      </c>
      <c r="AM49" s="27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3826.382</v>
      </c>
      <c r="AO49" cm="1">
        <f t="array" ref="AO49">$E$10*(1+$AM49)+VLOOKUP($Q49,武学奇术!$A:$ZZ,4,FALSE)+SUM(_xlfn.XLOOKUP($R49:$AF49,增益!$A:$A,增益!$D:$D,0))-$I$2</f>
        <v>3826.382</v>
      </c>
      <c r="AP49" s="33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0.217</v>
      </c>
      <c r="AQ49" s="33" cm="1">
        <f t="array" ref="AQ49">$G$10+VLOOKUP($Q49,武学奇术!$A:$ZZ,7,FALSE)+SUM(_xlfn.XLOOKUP(R49:AF49,增益!$A:$A,增益!$G:$G,0))</f>
        <v>0.09</v>
      </c>
      <c r="AR49" s="27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3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3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3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3" cm="1">
        <f t="array" ref="AZ49">$G$12+VLOOKUP($Q49,武学奇术!$A:$ZZ,12,FALSE)+SUM(_xlfn.XLOOKUP(R49:AF49,增益!$A:$A,增益!$L:$L,0))</f>
        <v>0</v>
      </c>
      <c r="BA49">
        <f t="shared" si="5"/>
        <v>0</v>
      </c>
      <c r="BB49">
        <f t="shared" si="6"/>
        <v>0</v>
      </c>
      <c r="BC49" s="33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-0.3</v>
      </c>
      <c r="BD49" s="33" cm="1">
        <f t="array" ref="BD49">$G$13+VLOOKUP($Q49,武学奇术!$A:$ZZ,14,FALSE)+SUM(_xlfn.XLOOKUP(R49:AF49,增益!$A:$A,增益!$N:$N,0))</f>
        <v>0</v>
      </c>
      <c r="BE49">
        <f t="shared" si="7"/>
        <v>605.472</v>
      </c>
      <c r="BF49">
        <f t="shared" si="8"/>
        <v>1725.468</v>
      </c>
      <c r="BG49" s="33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</v>
      </c>
      <c r="BH49" s="33" cm="1">
        <f t="array" ref="BH49">$G$14+VLOOKUP($Q49,武学奇术!$A:$ZZ,16,FALSE)+SUM(_xlfn.XLOOKUP(R49:AF49,增益!$A:$A,增益!$P:$P,0))</f>
        <v>0.24</v>
      </c>
      <c r="BI49" s="27">
        <f>MIN(IF(VLOOKUP($Q49,武学奇术!$A:$ZZ,23,FALSE)=1,100%,$B$8),100%)</f>
        <v>1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+MIN(IF(VLOOKUP($Q49,武学奇术!$A:$ZZ,32,FALSE)=1,IF(VLOOKUP($Q49,武学奇术!$A:$ZZ,24,FALSE)=1,100%,MIN(40%,$B$10+VLOOKUP($Q49,武学奇术!$A:$ZZ,19,FALSE)+SUM(_xlfn.XLOOKUP(R49:AF49,增益!$A:$A,增益!$S:$S,0)))+$B$12+SUM(_xlfn.XLOOKUP(R49:AF49,增益!$A:$A,增益!$V:$V,0))),0),12%)</f>
        <v>0.9036</v>
      </c>
      <c r="BK49" s="27" cm="1">
        <f t="array" ref="BK49">1+$B$13+VLOOKUP($Q49,武学奇术!$A:$ZZ,18,FALSE)+SUM(_xlfn.XLOOKUP(R49:AF49,增益!$A:$A,增益!$R:$R,0))</f>
        <v>1.64</v>
      </c>
      <c r="BL49" s="27" cm="1">
        <f t="array" ref="BL49">MAX(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-IF(VLOOKUP($Q49,武学奇术!$A:$ZZ,32,FALSE)=1,12%,0),0)</f>
        <v>0.0929</v>
      </c>
      <c r="BM49" s="27" cm="1">
        <f t="array" ref="BM49">1+$B$14+VLOOKUP($Q49,武学奇术!$A:$ZZ,20,FALSE)+SUM(_xlfn.XLOOKUP(R49:AF49,增益!$A:$A,增益!$T:$T,0))</f>
        <v>1.35</v>
      </c>
      <c r="BN49" s="27">
        <f t="shared" si="9"/>
        <v>0.9036</v>
      </c>
      <c r="BO49" s="27">
        <f t="shared" si="10"/>
        <v>0.00350000000000006</v>
      </c>
      <c r="BP49" s="27">
        <f>IF(VLOOKUP($Q49,武学奇术!$A:$ZZ,22,FALSE)=1,0,(1-$BI49))*(1-$BL49)</f>
        <v>0</v>
      </c>
      <c r="BQ49" s="27" cm="1">
        <f t="array" ref="BQ49">SUM(_xlfn.XLOOKUP(R49:AF49,增益!$A:$A,增益!$W:$W,0))+$I$5</f>
        <v>0.11</v>
      </c>
    </row>
    <row r="50" spans="1:69">
      <c r="K50" s="39">
        <f t="shared" si="0"/>
        <v>214735.243867881</v>
      </c>
      <c r="L50" s="39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BK50*$P50*(1+IF(VLOOKUP($Q50,武学奇术!$A:$ZZ,30,FALSE)="蓄力技",$B$21,0))*(1+$BQ50)</f>
        <v>219028.71286268</v>
      </c>
      <c r="M50" s="39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176698.495130674</v>
      </c>
      <c r="N50" s="39">
        <f>((($AN50+($AO50-$AN50)*IF(VLOOKUP($Q50,武学奇术!$A:$ZZ,31,FALSE)=1,$F$18,0.5))*$AH50+$AI50)*(1+$AP50)*(1+$AQ50)+(($AS50+($AT50-$AS50)*IF(VLOOKUP($Q50,武学奇术!$A:$ZZ,31,FALSE)=1,$F$18,0.5))*IF($G$1="鸣金",$AJ50,$AH50)+IF($G$1="鸣金",$AK50*1.5,0))*(1+$AU50)*(1+$AV50)+(($AW50+($AX50-$AW50)*IF(VLOOKUP($Q50,武学奇术!$A:$ZZ,31,FALSE)=1,$F$18,0.5))*IF($G$1="裂石",$AJ50,$AH50)+IF($G$1="裂石",$AK50*1.5,0))*(1+$AY50)*(1+$AZ50)+(($BA50+($BB50-$BA50)*IF(VLOOKUP($Q50,武学奇术!$A:$ZZ,31,FALSE)=1,$F$18,0.5))*IF($G$1="牵丝",$AJ50,$AH50)+IF($G$1="牵丝",$AK50*1.5,0))*(1+$BC50)*(1+$BD50)+(($BE50+($BF50-$BE50)*IF(VLOOKUP($Q50,武学奇术!$A:$ZZ,31,FALSE)=1,$F$18,0.5))*IF($G$1="破竹",$AJ50,$AH50)+IF($G$1="破竹",$AK50*1.5,0))*(1+$BG50)*(1+$BH50))*(1+$AL50)*$P50*(1+IF(VLOOKUP($Q50,武学奇术!$A:$ZZ,30,FALSE)="蓄力技",$B$21,0))*(1+$BQ50)</f>
        <v>115888.207863852</v>
      </c>
      <c r="O50" s="39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100888.641556834</v>
      </c>
      <c r="P50" s="40">
        <v>1</v>
      </c>
      <c r="Q50" s="41" t="s">
        <v>178</v>
      </c>
      <c r="R50" s="41" t="s">
        <v>97</v>
      </c>
      <c r="S50" s="41" t="s">
        <v>132</v>
      </c>
      <c r="T50" s="41" t="s">
        <v>73</v>
      </c>
      <c r="U50" s="41" t="s">
        <v>73</v>
      </c>
      <c r="V50" s="41" t="s">
        <v>179</v>
      </c>
      <c r="W50" s="41" t="s">
        <v>73</v>
      </c>
      <c r="X50" s="41" t="s">
        <v>164</v>
      </c>
      <c r="Y50" s="41" t="s">
        <v>73</v>
      </c>
      <c r="Z50" s="41" t="s">
        <v>73</v>
      </c>
      <c r="AA50" s="41" t="s">
        <v>73</v>
      </c>
      <c r="AB50" s="41" t="s">
        <v>73</v>
      </c>
      <c r="AC50" s="41" t="s">
        <v>73</v>
      </c>
      <c r="AD50" s="41" t="s">
        <v>73</v>
      </c>
      <c r="AE50" s="41" t="s">
        <v>77</v>
      </c>
      <c r="AF50" s="41" t="s">
        <v>78</v>
      </c>
      <c r="AG50" t="str">
        <f>VLOOKUP($Q50,武学奇术!$A:$ZZ,25,FALSE)</f>
        <v>群体奇术</v>
      </c>
      <c r="AH50" s="27">
        <f>VLOOKUP($Q50,武学奇术!$A:$ZZ,26,FALSE)</f>
        <v>10.315755</v>
      </c>
      <c r="AI50" s="28">
        <f>VLOOKUP($Q50,武学奇术!$A:$ZZ,27,FALSE)*(1+IF(OR($AG50=$F$4,$AG50=$F$5),$B$22,0))</f>
        <v>1992.6</v>
      </c>
      <c r="AJ50" s="27">
        <f>VLOOKUP($Q50,武学奇术!$A:$ZZ,28,FALSE)</f>
        <v>15.4736325</v>
      </c>
      <c r="AK50" s="28">
        <f>VLOOKUP($Q50,武学奇术!$A:$ZZ,29,FALSE)*(1+IF(OR($AG50=$F$4,$AG50=$F$5),$B$22,0))</f>
        <v>0</v>
      </c>
      <c r="AL50" s="27" cm="1">
        <f t="array" ref="AL50">$G$3+IFERROR(VLOOKUP($AG50,$F$4:$G$7,2,FALSE),0)+VLOOKUP($Q50,武学奇术!$A:$ZZ,2,FALSE)+SUM(_xlfn.XLOOKUP($R50:$AF50,增益!$A:$A,增益!$B:$B,0))</f>
        <v>0.1537</v>
      </c>
      <c r="AM50" s="27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3826.382</v>
      </c>
      <c r="AO50" cm="1">
        <f t="array" ref="AO50">$E$10*(1+$AM50)+VLOOKUP($Q50,武学奇术!$A:$ZZ,4,FALSE)+SUM(_xlfn.XLOOKUP($R50:$AF50,增益!$A:$A,增益!$D:$D,0))-$I$2</f>
        <v>3826.382</v>
      </c>
      <c r="AP50" s="33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0.342</v>
      </c>
      <c r="AQ50" s="33" cm="1">
        <f t="array" ref="AQ50">$G$10+VLOOKUP($Q50,武学奇术!$A:$ZZ,7,FALSE)+SUM(_xlfn.XLOOKUP(R50:AF50,增益!$A:$A,增益!$G:$G,0))</f>
        <v>0.09</v>
      </c>
      <c r="AR50" s="27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3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3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3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3" cm="1">
        <f t="array" ref="AZ50">$G$12+VLOOKUP($Q50,武学奇术!$A:$ZZ,12,FALSE)+SUM(_xlfn.XLOOKUP(R50:AF50,增益!$A:$A,增益!$L:$L,0))</f>
        <v>0</v>
      </c>
      <c r="BA50">
        <f t="shared" si="5"/>
        <v>0</v>
      </c>
      <c r="BB50">
        <f t="shared" si="6"/>
        <v>0</v>
      </c>
      <c r="BC50" s="33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-0.3</v>
      </c>
      <c r="BD50" s="33" cm="1">
        <f t="array" ref="BD50">$G$13+VLOOKUP($Q50,武学奇术!$A:$ZZ,14,FALSE)+SUM(_xlfn.XLOOKUP(R50:AF50,增益!$A:$A,增益!$N:$N,0))</f>
        <v>0</v>
      </c>
      <c r="BE50">
        <f t="shared" si="7"/>
        <v>605.472</v>
      </c>
      <c r="BF50">
        <f t="shared" si="8"/>
        <v>1725.468</v>
      </c>
      <c r="BG50" s="33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</v>
      </c>
      <c r="BH50" s="33" cm="1">
        <f t="array" ref="BH50">$G$14+VLOOKUP($Q50,武学奇术!$A:$ZZ,16,FALSE)+SUM(_xlfn.XLOOKUP(R50:AF50,增益!$A:$A,增益!$P:$P,0))</f>
        <v>0.24</v>
      </c>
      <c r="BI50" s="27">
        <f>MIN(IF(VLOOKUP($Q50,武学奇术!$A:$ZZ,23,FALSE)=1,100%,$B$8),100%)</f>
        <v>1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+MIN(IF(VLOOKUP($Q50,武学奇术!$A:$ZZ,32,FALSE)=1,IF(VLOOKUP($Q50,武学奇术!$A:$ZZ,24,FALSE)=1,100%,MIN(40%,$B$10+VLOOKUP($Q50,武学奇术!$A:$ZZ,19,FALSE)+SUM(_xlfn.XLOOKUP(R50:AF50,增益!$A:$A,增益!$S:$S,0)))+$B$12+SUM(_xlfn.XLOOKUP(R50:AF50,增益!$A:$A,增益!$V:$V,0))),0),12%)</f>
        <v>0.9036</v>
      </c>
      <c r="BK50" s="27" cm="1">
        <f t="array" ref="BK50">1+$B$13+VLOOKUP($Q50,武学奇术!$A:$ZZ,18,FALSE)+SUM(_xlfn.XLOOKUP(R50:AF50,增益!$A:$A,增益!$R:$R,0))</f>
        <v>1.89</v>
      </c>
      <c r="BL50" s="27" cm="1">
        <f t="array" ref="BL50">MAX(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-IF(VLOOKUP($Q50,武学奇术!$A:$ZZ,32,FALSE)=1,12%,0),0)</f>
        <v>0.0929</v>
      </c>
      <c r="BM50" s="27" cm="1">
        <f t="array" ref="BM50">1+$B$14+VLOOKUP($Q50,武学奇术!$A:$ZZ,20,FALSE)+SUM(_xlfn.XLOOKUP(R50:AF50,增益!$A:$A,增益!$T:$T,0))</f>
        <v>1.35</v>
      </c>
      <c r="BN50" s="27">
        <f t="shared" si="9"/>
        <v>0.9036</v>
      </c>
      <c r="BO50" s="27">
        <f t="shared" si="10"/>
        <v>0.00350000000000006</v>
      </c>
      <c r="BP50" s="27">
        <f>IF(VLOOKUP($Q50,武学奇术!$A:$ZZ,22,FALSE)=1,0,(1-$BI50))*(1-$BL50)</f>
        <v>0</v>
      </c>
      <c r="BQ50" s="27" cm="1">
        <f t="array" ref="BQ50">SUM(_xlfn.XLOOKUP(R50:AF50,增益!$A:$A,增益!$W:$W,0))+$I$5</f>
        <v>0.21</v>
      </c>
    </row>
    <row r="51" spans="1:69">
      <c r="A51" s="4"/>
      <c r="B51" s="4"/>
      <c r="F51" s="4"/>
      <c r="G51" s="4"/>
      <c r="K51" s="39">
        <f t="shared" si="0"/>
        <v>936932.458688472</v>
      </c>
      <c r="L51" s="39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BK51*$P51*(1+IF(VLOOKUP($Q51,武学奇术!$A:$ZZ,30,FALSE)="蓄力技",$B$21,0))*(1+$BQ51)</f>
        <v>938843.535592513</v>
      </c>
      <c r="M51" s="39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593467.222241214</v>
      </c>
      <c r="N51" s="39">
        <f>((($AN51+($AO51-$AN51)*IF(VLOOKUP($Q51,武学奇术!$A:$ZZ,31,FALSE)=1,$F$18,0.5))*$AH51+$AI51)*(1+$AP51)*(1+$AQ51)+(($AS51+($AT51-$AS51)*IF(VLOOKUP($Q51,武学奇术!$A:$ZZ,31,FALSE)=1,$F$18,0.5))*IF($G$1="鸣金",$AJ51,$AH51)+IF($G$1="鸣金",$AK51*1.5,0))*(1+$AU51)*(1+$AV51)+(($AW51+($AX51-$AW51)*IF(VLOOKUP($Q51,武学奇术!$A:$ZZ,31,FALSE)=1,$F$18,0.5))*IF($G$1="裂石",$AJ51,$AH51)+IF($G$1="裂石",$AK51*1.5,0))*(1+$AY51)*(1+$AZ51)+(($BA51+($BB51-$BA51)*IF(VLOOKUP($Q51,武学奇术!$A:$ZZ,31,FALSE)=1,$F$18,0.5))*IF($G$1="牵丝",$AJ51,$AH51)+IF($G$1="牵丝",$AK51*1.5,0))*(1+$BC51)*(1+$BD51)+(($BE51+($BF51-$BE51)*IF(VLOOKUP($Q51,武学奇术!$A:$ZZ,31,FALSE)=1,$F$18,0.5))*IF($G$1="破竹",$AJ51,$AH51)+IF($G$1="破竹",$AK51*1.5,0))*(1+$BG51)*(1+$BH51))*(1+$AL51)*$P51*(1+IF(VLOOKUP($Q51,武学奇术!$A:$ZZ,30,FALSE)="蓄力技",$B$21,0))*(1+$BQ51)</f>
        <v>392821.56300942</v>
      </c>
      <c r="O51" s="39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346037.776210533</v>
      </c>
      <c r="P51" s="40">
        <v>1</v>
      </c>
      <c r="Q51" s="41" t="s">
        <v>131</v>
      </c>
      <c r="R51" s="41" t="s">
        <v>97</v>
      </c>
      <c r="S51" s="41" t="s">
        <v>132</v>
      </c>
      <c r="T51" s="41" t="s">
        <v>73</v>
      </c>
      <c r="U51" s="41" t="s">
        <v>73</v>
      </c>
      <c r="V51" s="41" t="s">
        <v>179</v>
      </c>
      <c r="W51" s="41" t="s">
        <v>73</v>
      </c>
      <c r="X51" s="41" t="s">
        <v>164</v>
      </c>
      <c r="Y51" s="41" t="s">
        <v>73</v>
      </c>
      <c r="Z51" s="41" t="s">
        <v>105</v>
      </c>
      <c r="AA51" s="41" t="s">
        <v>73</v>
      </c>
      <c r="AB51" s="41" t="s">
        <v>73</v>
      </c>
      <c r="AC51" s="41" t="s">
        <v>73</v>
      </c>
      <c r="AD51" s="41" t="s">
        <v>73</v>
      </c>
      <c r="AE51" s="41" t="s">
        <v>77</v>
      </c>
      <c r="AF51" s="41" t="s">
        <v>78</v>
      </c>
      <c r="AG51" t="str">
        <f>VLOOKUP($Q51,武学奇术!$A:$ZZ,25,FALSE)</f>
        <v>拳甲</v>
      </c>
      <c r="AH51" s="27">
        <f>VLOOKUP($Q51,武学奇术!$A:$ZZ,26,FALSE)</f>
        <v>16.8107</v>
      </c>
      <c r="AI51" s="28">
        <f>VLOOKUP($Q51,武学奇术!$A:$ZZ,27,FALSE)*(1+IF(OR($AG51=$F$4,$AG51=$F$5),$B$22,0))</f>
        <v>6970.5</v>
      </c>
      <c r="AJ51" s="27">
        <f>VLOOKUP($Q51,武学奇术!$A:$ZZ,28,FALSE)</f>
        <v>25.2161</v>
      </c>
      <c r="AK51" s="28">
        <f>VLOOKUP($Q51,武学奇术!$A:$ZZ,29,FALSE)*(1+IF(OR($AG51=$F$4,$AG51=$F$5),$B$22,0))</f>
        <v>3799.5</v>
      </c>
      <c r="AL51" s="27" cm="1">
        <f t="array" ref="AL51">$G$3+IFERROR(VLOOKUP($AG51,$F$4:$G$7,2,FALSE),0)+VLOOKUP($Q51,武学奇术!$A:$ZZ,2,FALSE)+SUM(_xlfn.XLOOKUP($R51:$AF51,增益!$A:$A,增益!$B:$B,0))</f>
        <v>0.6241</v>
      </c>
      <c r="AM51" s="27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3826.382</v>
      </c>
      <c r="AO51" cm="1">
        <f t="array" ref="AO51">$E$10*(1+$AM51)+VLOOKUP($Q51,武学奇术!$A:$ZZ,4,FALSE)+SUM(_xlfn.XLOOKUP($R51:$AF51,增益!$A:$A,增益!$D:$D,0))-$I$2</f>
        <v>3826.382</v>
      </c>
      <c r="AP51" s="33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0.372</v>
      </c>
      <c r="AQ51" s="33" cm="1">
        <f t="array" ref="AQ51">$G$10+VLOOKUP($Q51,武学奇术!$A:$ZZ,7,FALSE)+SUM(_xlfn.XLOOKUP(R51:AF51,增益!$A:$A,增益!$G:$G,0))</f>
        <v>0.09</v>
      </c>
      <c r="AR51" s="27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3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-0.24</v>
      </c>
      <c r="AV51" s="33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3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-0.24</v>
      </c>
      <c r="AZ51" s="33" cm="1">
        <f t="array" ref="AZ51">$G$12+VLOOKUP($Q51,武学奇术!$A:$ZZ,12,FALSE)+SUM(_xlfn.XLOOKUP(R51:AF51,增益!$A:$A,增益!$L:$L,0))</f>
        <v>0</v>
      </c>
      <c r="BA51">
        <f t="shared" si="5"/>
        <v>0</v>
      </c>
      <c r="BB51">
        <f t="shared" si="6"/>
        <v>0</v>
      </c>
      <c r="BC51" s="33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-0.24</v>
      </c>
      <c r="BD51" s="33" cm="1">
        <f t="array" ref="BD51">$G$13+VLOOKUP($Q51,武学奇术!$A:$ZZ,14,FALSE)+SUM(_xlfn.XLOOKUP(R51:AF51,增益!$A:$A,增益!$N:$N,0))</f>
        <v>0</v>
      </c>
      <c r="BE51">
        <f t="shared" si="7"/>
        <v>605.472</v>
      </c>
      <c r="BF51">
        <f t="shared" si="8"/>
        <v>1725.468</v>
      </c>
      <c r="BG51" s="33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0.03</v>
      </c>
      <c r="BH51" s="33" cm="1">
        <f t="array" ref="BH51">$G$14+VLOOKUP($Q51,武学奇术!$A:$ZZ,16,FALSE)+SUM(_xlfn.XLOOKUP(R51:AF51,增益!$A:$A,增益!$P:$P,0))</f>
        <v>0.24</v>
      </c>
      <c r="BI51" s="27">
        <f>MIN(IF(VLOOKUP($Q51,武学奇术!$A:$ZZ,23,FALSE)=1,100%,$B$8),100%)</f>
        <v>1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+MIN(IF(VLOOKUP($Q51,武学奇术!$A:$ZZ,32,FALSE)=1,IF(VLOOKUP($Q51,武学奇术!$A:$ZZ,24,FALSE)=1,100%,MIN(40%,$B$10+VLOOKUP($Q51,武学奇术!$A:$ZZ,19,FALSE)+SUM(_xlfn.XLOOKUP(R51:AF51,增益!$A:$A,增益!$S:$S,0)))+$B$12+SUM(_xlfn.XLOOKUP(R51:AF51,增益!$A:$A,增益!$V:$V,0))),0),12%)</f>
        <v>0.9965</v>
      </c>
      <c r="BK51" s="27" cm="1">
        <f t="array" ref="BK51">1+$B$13+VLOOKUP($Q51,武学奇术!$A:$ZZ,18,FALSE)+SUM(_xlfn.XLOOKUP(R51:AF51,增益!$A:$A,增益!$R:$R,0))</f>
        <v>2.39</v>
      </c>
      <c r="BL51" s="27" cm="1">
        <f t="array" ref="BL51">MAX(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-IF(VLOOKUP($Q51,武学奇术!$A:$ZZ,32,FALSE)=1,12%,0),0)</f>
        <v>0</v>
      </c>
      <c r="BM51" s="27" cm="1">
        <f t="array" ref="BM51">1+$B$14+VLOOKUP($Q51,武学奇术!$A:$ZZ,20,FALSE)+SUM(_xlfn.XLOOKUP(R51:AF51,增益!$A:$A,增益!$T:$T,0))</f>
        <v>1.35</v>
      </c>
      <c r="BN51" s="27">
        <f t="shared" si="9"/>
        <v>0.9965</v>
      </c>
      <c r="BO51" s="27">
        <f t="shared" si="10"/>
        <v>0.00350000000000006</v>
      </c>
      <c r="BP51" s="27">
        <f>IF(VLOOKUP($Q51,武学奇术!$A:$ZZ,22,FALSE)=1,0,(1-$BI51))*(1-$BL51)</f>
        <v>0</v>
      </c>
      <c r="BQ51" s="27" cm="1">
        <f t="array" ref="BQ51">SUM(_xlfn.XLOOKUP(R51:AF51,增益!$A:$A,增益!$W:$W,0))+$I$5</f>
        <v>0.21</v>
      </c>
    </row>
    <row r="52" spans="1:69">
      <c r="F52" s="4"/>
      <c r="G52" s="91"/>
      <c r="K52" s="39">
        <f t="shared" si="0"/>
        <v>360731.077522673</v>
      </c>
      <c r="L52" s="39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BK52*$P52*(1+IF(VLOOKUP($Q52,武学奇术!$A:$ZZ,30,FALSE)="蓄力技",$B$21,0))*(1+$BQ52)</f>
        <v>361466.8667724</v>
      </c>
      <c r="M52" s="39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228491.922567667</v>
      </c>
      <c r="N52" s="39">
        <f>((($AN52+($AO52-$AN52)*IF(VLOOKUP($Q52,武学奇术!$A:$ZZ,31,FALSE)=1,$F$18,0.5))*$AH52+$AI52)*(1+$AP52)*(1+$AQ52)+(($AS52+($AT52-$AS52)*IF(VLOOKUP($Q52,武学奇术!$A:$ZZ,31,FALSE)=1,$F$18,0.5))*IF($G$1="鸣金",$AJ52,$AH52)+IF($G$1="鸣金",$AK52*1.5,0))*(1+$AU52)*(1+$AV52)+(($AW52+($AX52-$AW52)*IF(VLOOKUP($Q52,武学奇术!$A:$ZZ,31,FALSE)=1,$F$18,0.5))*IF($G$1="裂石",$AJ52,$AH52)+IF($G$1="裂石",$AK52*1.5,0))*(1+$AY52)*(1+$AZ52)+(($BA52+($BB52-$BA52)*IF(VLOOKUP($Q52,武学奇术!$A:$ZZ,31,FALSE)=1,$F$18,0.5))*IF($G$1="牵丝",$AJ52,$AH52)+IF($G$1="牵丝",$AK52*1.5,0))*(1+$BC52)*(1+$BD52)+(($BE52+($BF52-$BE52)*IF(VLOOKUP($Q52,武学奇术!$A:$ZZ,31,FALSE)=1,$F$18,0.5))*IF($G$1="破竹",$AJ52,$AH52)+IF($G$1="破竹",$AK52*1.5,0))*(1+$BG52)*(1+$BH52))*(1+$AL52)*$P52*(1+IF(VLOOKUP($Q52,武学奇术!$A:$ZZ,30,FALSE)="蓄力技",$B$21,0))*(1+$BQ52)</f>
        <v>151241.366850376</v>
      </c>
      <c r="O52" s="39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133229.457724703</v>
      </c>
      <c r="P52" s="40">
        <v>1</v>
      </c>
      <c r="Q52" s="41" t="s">
        <v>138</v>
      </c>
      <c r="R52" s="41" t="s">
        <v>97</v>
      </c>
      <c r="S52" s="41" t="s">
        <v>132</v>
      </c>
      <c r="T52" s="41" t="s">
        <v>73</v>
      </c>
      <c r="U52" s="41" t="s">
        <v>73</v>
      </c>
      <c r="V52" s="41" t="s">
        <v>179</v>
      </c>
      <c r="W52" s="41" t="s">
        <v>73</v>
      </c>
      <c r="X52" s="41" t="s">
        <v>164</v>
      </c>
      <c r="Y52" s="41" t="s">
        <v>73</v>
      </c>
      <c r="Z52" s="41" t="s">
        <v>105</v>
      </c>
      <c r="AA52" s="41" t="s">
        <v>73</v>
      </c>
      <c r="AB52" s="41" t="s">
        <v>73</v>
      </c>
      <c r="AC52" s="41" t="s">
        <v>73</v>
      </c>
      <c r="AD52" s="41" t="s">
        <v>73</v>
      </c>
      <c r="AE52" s="41" t="s">
        <v>77</v>
      </c>
      <c r="AF52" s="41" t="s">
        <v>78</v>
      </c>
      <c r="AG52" t="str">
        <f>VLOOKUP($Q52,武学奇术!$A:$ZZ,25,FALSE)</f>
        <v>拳甲</v>
      </c>
      <c r="AH52" s="27">
        <f>VLOOKUP($Q52,武学奇术!$A:$ZZ,26,FALSE)</f>
        <v>6.4722</v>
      </c>
      <c r="AI52" s="28">
        <f>VLOOKUP($Q52,武学奇术!$A:$ZZ,27,FALSE)*(1+IF(OR($AG52=$F$4,$AG52=$F$5),$B$22,0))</f>
        <v>2683.8</v>
      </c>
      <c r="AJ52" s="27">
        <f>VLOOKUP($Q52,武学奇术!$A:$ZZ,28,FALSE)</f>
        <v>9.70828</v>
      </c>
      <c r="AK52" s="28">
        <f>VLOOKUP($Q52,武学奇术!$A:$ZZ,29,FALSE)*(1+IF(OR($AG52=$F$4,$AG52=$F$5),$B$22,0))</f>
        <v>1463.4</v>
      </c>
      <c r="AL52" s="27" cm="1">
        <f t="array" ref="AL52">$G$3+IFERROR(VLOOKUP($AG52,$F$4:$G$7,2,FALSE),0)+VLOOKUP($Q52,武学奇术!$A:$ZZ,2,FALSE)+SUM(_xlfn.XLOOKUP($R52:$AF52,增益!$A:$A,增益!$B:$B,0))</f>
        <v>0.6241</v>
      </c>
      <c r="AM52" s="27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3826.382</v>
      </c>
      <c r="AO52" cm="1">
        <f t="array" ref="AO52">$E$10*(1+$AM52)+VLOOKUP($Q52,武学奇术!$A:$ZZ,4,FALSE)+SUM(_xlfn.XLOOKUP($R52:$AF52,增益!$A:$A,增益!$D:$D,0))-$I$2</f>
        <v>3826.382</v>
      </c>
      <c r="AP52" s="33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0.372</v>
      </c>
      <c r="AQ52" s="33" cm="1">
        <f t="array" ref="AQ52">$G$10+VLOOKUP($Q52,武学奇术!$A:$ZZ,7,FALSE)+SUM(_xlfn.XLOOKUP(R52:AF52,增益!$A:$A,增益!$G:$G,0))</f>
        <v>0.09</v>
      </c>
      <c r="AR52" s="27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3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-0.24</v>
      </c>
      <c r="AV52" s="33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3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-0.24</v>
      </c>
      <c r="AZ52" s="33" cm="1">
        <f t="array" ref="AZ52">$G$12+VLOOKUP($Q52,武学奇术!$A:$ZZ,12,FALSE)+SUM(_xlfn.XLOOKUP(R52:AF52,增益!$A:$A,增益!$L:$L,0))</f>
        <v>0</v>
      </c>
      <c r="BA52">
        <f t="shared" si="5"/>
        <v>0</v>
      </c>
      <c r="BB52">
        <f t="shared" si="6"/>
        <v>0</v>
      </c>
      <c r="BC52" s="33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-0.24</v>
      </c>
      <c r="BD52" s="33" cm="1">
        <f t="array" ref="BD52">$G$13+VLOOKUP($Q52,武学奇术!$A:$ZZ,14,FALSE)+SUM(_xlfn.XLOOKUP(R52:AF52,增益!$A:$A,增益!$N:$N,0))</f>
        <v>0</v>
      </c>
      <c r="BE52">
        <f t="shared" si="7"/>
        <v>605.472</v>
      </c>
      <c r="BF52">
        <f t="shared" si="8"/>
        <v>1725.468</v>
      </c>
      <c r="BG52" s="33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0.03</v>
      </c>
      <c r="BH52" s="33" cm="1">
        <f t="array" ref="BH52">$G$14+VLOOKUP($Q52,武学奇术!$A:$ZZ,16,FALSE)+SUM(_xlfn.XLOOKUP(R52:AF52,增益!$A:$A,增益!$P:$P,0))</f>
        <v>0.24</v>
      </c>
      <c r="BI52" s="27">
        <f>MIN(IF(VLOOKUP($Q52,武学奇术!$A:$ZZ,23,FALSE)=1,100%,$B$8),100%)</f>
        <v>1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+MIN(IF(VLOOKUP($Q52,武学奇术!$A:$ZZ,32,FALSE)=1,IF(VLOOKUP($Q52,武学奇术!$A:$ZZ,24,FALSE)=1,100%,MIN(40%,$B$10+VLOOKUP($Q52,武学奇术!$A:$ZZ,19,FALSE)+SUM(_xlfn.XLOOKUP(R52:AF52,增益!$A:$A,增益!$S:$S,0)))+$B$12+SUM(_xlfn.XLOOKUP(R52:AF52,增益!$A:$A,增益!$V:$V,0))),0),12%)</f>
        <v>0.9965</v>
      </c>
      <c r="BK52" s="27" cm="1">
        <f t="array" ref="BK52">1+$B$13+VLOOKUP($Q52,武学奇术!$A:$ZZ,18,FALSE)+SUM(_xlfn.XLOOKUP(R52:AF52,增益!$A:$A,增益!$R:$R,0))</f>
        <v>2.39</v>
      </c>
      <c r="BL52" s="27" cm="1">
        <f t="array" ref="BL52">MAX(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-IF(VLOOKUP($Q52,武学奇术!$A:$ZZ,32,FALSE)=1,12%,0),0)</f>
        <v>0</v>
      </c>
      <c r="BM52" s="27" cm="1">
        <f t="array" ref="BM52">1+$B$14+VLOOKUP($Q52,武学奇术!$A:$ZZ,20,FALSE)+SUM(_xlfn.XLOOKUP(R52:AF52,增益!$A:$A,增益!$T:$T,0))</f>
        <v>1.35</v>
      </c>
      <c r="BN52" s="27">
        <f t="shared" si="9"/>
        <v>0.9965</v>
      </c>
      <c r="BO52" s="27">
        <f t="shared" si="10"/>
        <v>0.00350000000000006</v>
      </c>
      <c r="BP52" s="27">
        <f>IF(VLOOKUP($Q52,武学奇术!$A:$ZZ,22,FALSE)=1,0,(1-$BI52))*(1-$BL52)</f>
        <v>0</v>
      </c>
      <c r="BQ52" s="27" cm="1">
        <f t="array" ref="BQ52">SUM(_xlfn.XLOOKUP(R52:AF52,增益!$A:$A,增益!$W:$W,0))+$I$5</f>
        <v>0.21</v>
      </c>
    </row>
    <row r="53" spans="1:69">
      <c r="K53" s="39">
        <f t="shared" si="0"/>
        <v>28700.5557463865</v>
      </c>
      <c r="L53" s="39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BK53*$P53*(1+IF(VLOOKUP($Q53,武学奇术!$A:$ZZ,30,FALSE)="蓄力技",$B$21,0))*(1+$BQ53)</f>
        <v>29296.1227390128</v>
      </c>
      <c r="M53" s="39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23405.0286358266</v>
      </c>
      <c r="N53" s="39">
        <f>((($AN53+($AO53-$AN53)*IF(VLOOKUP($Q53,武学奇术!$A:$ZZ,31,FALSE)=1,$F$18,0.5))*$AH53+$AI53)*(1+$AP53)*(1+$AQ53)+(($AS53+($AT53-$AS53)*IF(VLOOKUP($Q53,武学奇术!$A:$ZZ,31,FALSE)=1,$F$18,0.5))*IF($G$1="鸣金",$AJ53,$AH53)+IF($G$1="鸣金",$AK53*1.5,0))*(1+$AU53)*(1+$AV53)+(($AW53+($AX53-$AW53)*IF(VLOOKUP($Q53,武学奇术!$A:$ZZ,31,FALSE)=1,$F$18,0.5))*IF($G$1="裂石",$AJ53,$AH53)+IF($G$1="裂石",$AK53*1.5,0))*(1+$AY53)*(1+$AZ53)+(($BA53+($BB53-$BA53)*IF(VLOOKUP($Q53,武学奇术!$A:$ZZ,31,FALSE)=1,$F$18,0.5))*IF($G$1="牵丝",$AJ53,$AH53)+IF($G$1="牵丝",$AK53*1.5,0))*(1+$BC53)*(1+$BD53)+(($BE53+($BF53-$BE53)*IF(VLOOKUP($Q53,武学奇术!$A:$ZZ,31,FALSE)=1,$F$18,0.5))*IF($G$1="破竹",$AJ53,$AH53)+IF($G$1="破竹",$AK53*1.5,0))*(1+$BG53)*(1+$BH53))*(1+$AL53)*$P53*(1+IF(VLOOKUP($Q53,武学奇术!$A:$ZZ,30,FALSE)="蓄力技",$B$21,0))*(1+$BQ53)</f>
        <v>15500.5940418057</v>
      </c>
      <c r="O53" s="39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13664.129834851</v>
      </c>
      <c r="P53" s="40">
        <v>1</v>
      </c>
      <c r="Q53" s="41" t="s">
        <v>151</v>
      </c>
      <c r="R53" s="41" t="s">
        <v>97</v>
      </c>
      <c r="S53" s="41" t="s">
        <v>132</v>
      </c>
      <c r="T53" s="41" t="s">
        <v>73</v>
      </c>
      <c r="U53" s="41" t="s">
        <v>73</v>
      </c>
      <c r="V53" s="41" t="s">
        <v>179</v>
      </c>
      <c r="W53" s="41" t="s">
        <v>73</v>
      </c>
      <c r="X53" s="41" t="s">
        <v>164</v>
      </c>
      <c r="Y53" s="41" t="s">
        <v>73</v>
      </c>
      <c r="Z53" s="41" t="s">
        <v>73</v>
      </c>
      <c r="AA53" s="41" t="s">
        <v>73</v>
      </c>
      <c r="AB53" s="41" t="s">
        <v>73</v>
      </c>
      <c r="AC53" s="41" t="s">
        <v>73</v>
      </c>
      <c r="AD53" s="41" t="s">
        <v>73</v>
      </c>
      <c r="AE53" s="41" t="s">
        <v>77</v>
      </c>
      <c r="AF53" s="41" t="s">
        <v>78</v>
      </c>
      <c r="AG53" t="str">
        <f>VLOOKUP($Q53,武学奇术!$A:$ZZ,25,FALSE)</f>
        <v>拳甲</v>
      </c>
      <c r="AH53" s="27">
        <f>VLOOKUP($Q53,武学奇术!$A:$ZZ,26,FALSE)</f>
        <v>1.1005</v>
      </c>
      <c r="AI53" s="28">
        <f>VLOOKUP($Q53,武学奇术!$A:$ZZ,27,FALSE)*(1+IF(OR($AG53=$F$4,$AG53=$F$5),$B$22,0))</f>
        <v>457.5</v>
      </c>
      <c r="AJ53" s="27">
        <f>VLOOKUP($Q53,武学奇术!$A:$ZZ,28,FALSE)</f>
        <v>1.6507</v>
      </c>
      <c r="AK53" s="28">
        <f>VLOOKUP($Q53,武学奇术!$A:$ZZ,29,FALSE)*(1+IF(OR($AG53=$F$4,$AG53=$F$5),$B$22,0))</f>
        <v>247.5</v>
      </c>
      <c r="AL53" s="27" cm="1">
        <f t="array" ref="AL53">$G$3+IFERROR(VLOOKUP($AG53,$F$4:$G$7,2,FALSE),0)+VLOOKUP($Q53,武学奇术!$A:$ZZ,2,FALSE)+SUM(_xlfn.XLOOKUP($R53:$AF53,增益!$A:$A,增益!$B:$B,0))</f>
        <v>0.3241</v>
      </c>
      <c r="AM53" s="27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3826.382</v>
      </c>
      <c r="AO53" cm="1">
        <f t="array" ref="AO53">$E$10*(1+$AM53)+VLOOKUP($Q53,武学奇术!$A:$ZZ,4,FALSE)+SUM(_xlfn.XLOOKUP($R53:$AF53,增益!$A:$A,增益!$D:$D,0))-$I$2</f>
        <v>3826.382</v>
      </c>
      <c r="AP53" s="33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0.342</v>
      </c>
      <c r="AQ53" s="33" cm="1">
        <f t="array" ref="AQ53">$G$10+VLOOKUP($Q53,武学奇术!$A:$ZZ,7,FALSE)+SUM(_xlfn.XLOOKUP(R53:AF53,增益!$A:$A,增益!$G:$G,0))</f>
        <v>0.09</v>
      </c>
      <c r="AR53" s="27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3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3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3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3" cm="1">
        <f t="array" ref="AZ53">$G$12+VLOOKUP($Q53,武学奇术!$A:$ZZ,12,FALSE)+SUM(_xlfn.XLOOKUP(R53:AF53,增益!$A:$A,增益!$L:$L,0))</f>
        <v>0</v>
      </c>
      <c r="BA53">
        <f t="shared" si="5"/>
        <v>0</v>
      </c>
      <c r="BB53">
        <f t="shared" si="6"/>
        <v>0</v>
      </c>
      <c r="BC53" s="33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-0.3</v>
      </c>
      <c r="BD53" s="33" cm="1">
        <f t="array" ref="BD53">$G$13+VLOOKUP($Q53,武学奇术!$A:$ZZ,14,FALSE)+SUM(_xlfn.XLOOKUP(R53:AF53,增益!$A:$A,增益!$N:$N,0))</f>
        <v>0</v>
      </c>
      <c r="BE53">
        <f t="shared" si="7"/>
        <v>605.472</v>
      </c>
      <c r="BF53">
        <f t="shared" si="8"/>
        <v>1725.468</v>
      </c>
      <c r="BG53" s="33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</v>
      </c>
      <c r="BH53" s="33" cm="1">
        <f t="array" ref="BH53">$G$14+VLOOKUP($Q53,武学奇术!$A:$ZZ,16,FALSE)+SUM(_xlfn.XLOOKUP(R53:AF53,增益!$A:$A,增益!$P:$P,0))</f>
        <v>0.24</v>
      </c>
      <c r="BI53" s="27">
        <f>MIN(IF(VLOOKUP($Q53,武学奇术!$A:$ZZ,23,FALSE)=1,100%,$B$8),100%)</f>
        <v>1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+MIN(IF(VLOOKUP($Q53,武学奇术!$A:$ZZ,32,FALSE)=1,IF(VLOOKUP($Q53,武学奇术!$A:$ZZ,24,FALSE)=1,100%,MIN(40%,$B$10+VLOOKUP($Q53,武学奇术!$A:$ZZ,19,FALSE)+SUM(_xlfn.XLOOKUP(R53:AF53,增益!$A:$A,增益!$S:$S,0)))+$B$12+SUM(_xlfn.XLOOKUP(R53:AF53,增益!$A:$A,增益!$V:$V,0))),0),12%)</f>
        <v>0.9036</v>
      </c>
      <c r="BK53" s="27" cm="1">
        <f t="array" ref="BK53">1+$B$13+VLOOKUP($Q53,武学奇术!$A:$ZZ,18,FALSE)+SUM(_xlfn.XLOOKUP(R53:AF53,增益!$A:$A,增益!$R:$R,0))</f>
        <v>1.89</v>
      </c>
      <c r="BL53" s="27" cm="1">
        <f t="array" ref="BL53">MAX(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-IF(VLOOKUP($Q53,武学奇术!$A:$ZZ,32,FALSE)=1,12%,0),0)</f>
        <v>0.0929</v>
      </c>
      <c r="BM53" s="27" cm="1">
        <f t="array" ref="BM53">1+$B$14+VLOOKUP($Q53,武学奇术!$A:$ZZ,20,FALSE)+SUM(_xlfn.XLOOKUP(R53:AF53,增益!$A:$A,增益!$T:$T,0))</f>
        <v>1.35</v>
      </c>
      <c r="BN53" s="27">
        <f t="shared" si="9"/>
        <v>0.9036</v>
      </c>
      <c r="BO53" s="27">
        <f t="shared" si="10"/>
        <v>0.00350000000000006</v>
      </c>
      <c r="BP53" s="27">
        <f>IF(VLOOKUP($Q53,武学奇术!$A:$ZZ,22,FALSE)=1,0,(1-$BI53))*(1-$BL53)</f>
        <v>0</v>
      </c>
      <c r="BQ53" s="27" cm="1">
        <f t="array" ref="BQ53">SUM(_xlfn.XLOOKUP(R53:AF53,增益!$A:$A,增益!$W:$W,0))+$I$5</f>
        <v>0.21</v>
      </c>
    </row>
    <row r="54" spans="1:69">
      <c r="A54" s="4"/>
      <c r="B54" s="4"/>
      <c r="K54" s="39">
        <f t="shared" si="0"/>
        <v>106387.831360995</v>
      </c>
      <c r="L54" s="39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BK54*$P54*(1+IF(VLOOKUP($Q54,武学奇术!$A:$ZZ,30,FALSE)="蓄力技",$B$21,0))*(1+$BQ54)</f>
        <v>109822.796303126</v>
      </c>
      <c r="M54" s="39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75096.1973841508</v>
      </c>
      <c r="N54" s="39">
        <f>((($AN54+($AO54-$AN54)*IF(VLOOKUP($Q54,武学奇术!$A:$ZZ,31,FALSE)=1,$F$18,0.5))*$AH54+$AI54)*(1+$AP54)*(1+$AQ54)+(($AS54+($AT54-$AS54)*IF(VLOOKUP($Q54,武学奇术!$A:$ZZ,31,FALSE)=1,$F$18,0.5))*IF($G$1="鸣金",$AJ54,$AH54)+IF($G$1="鸣金",$AK54*1.5,0))*(1+$AU54)*(1+$AV54)+(($AW54+($AX54-$AW54)*IF(VLOOKUP($Q54,武学奇术!$A:$ZZ,31,FALSE)=1,$F$18,0.5))*IF($G$1="裂石",$AJ54,$AH54)+IF($G$1="裂石",$AK54*1.5,0))*(1+$AY54)*(1+$AZ54)+(($BA54+($BB54-$BA54)*IF(VLOOKUP($Q54,武学奇术!$A:$ZZ,31,FALSE)=1,$F$18,0.5))*IF($G$1="牵丝",$AJ54,$AH54)+IF($G$1="牵丝",$AK54*1.5,0))*(1+$BC54)*(1+$BD54)+(($BE54+($BF54-$BE54)*IF(VLOOKUP($Q54,武学奇术!$A:$ZZ,31,FALSE)=1,$F$18,0.5))*IF($G$1="破竹",$AJ54,$AH54)+IF($G$1="破竹",$AK54*1.5,0))*(1+$BG54)*(1+$BH54))*(1+$AL54)*$P54*(1+IF(VLOOKUP($Q54,武学奇术!$A:$ZZ,30,FALSE)="蓄力技",$B$21,0))*(1+$BQ54)</f>
        <v>50147.3955722038</v>
      </c>
      <c r="O54" s="39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44667.9782672589</v>
      </c>
      <c r="P54" s="40">
        <v>1</v>
      </c>
      <c r="Q54" s="41" t="s">
        <v>112</v>
      </c>
      <c r="R54" s="41" t="s">
        <v>97</v>
      </c>
      <c r="S54" s="41" t="s">
        <v>132</v>
      </c>
      <c r="T54" s="41" t="s">
        <v>73</v>
      </c>
      <c r="U54" s="41" t="s">
        <v>73</v>
      </c>
      <c r="V54" s="41" t="s">
        <v>179</v>
      </c>
      <c r="W54" s="41" t="s">
        <v>73</v>
      </c>
      <c r="X54" s="41" t="s">
        <v>164</v>
      </c>
      <c r="Y54" s="41" t="s">
        <v>73</v>
      </c>
      <c r="Z54" s="41" t="s">
        <v>73</v>
      </c>
      <c r="AA54" s="41" t="s">
        <v>73</v>
      </c>
      <c r="AB54" s="41" t="s">
        <v>73</v>
      </c>
      <c r="AC54" s="41" t="s">
        <v>73</v>
      </c>
      <c r="AD54" s="41" t="s">
        <v>73</v>
      </c>
      <c r="AE54" s="41" t="s">
        <v>77</v>
      </c>
      <c r="AF54" s="41" t="s">
        <v>78</v>
      </c>
      <c r="AG54" t="str">
        <f>VLOOKUP($Q54,武学奇术!$A:$ZZ,25,FALSE)</f>
        <v>拳甲</v>
      </c>
      <c r="AH54" s="27">
        <f>VLOOKUP($Q54,武学奇术!$A:$ZZ,26,FALSE)</f>
        <v>2.91176</v>
      </c>
      <c r="AI54" s="28">
        <f>VLOOKUP($Q54,武学奇术!$A:$ZZ,27,FALSE)*(1+IF(OR($AG54=$F$4,$AG54=$F$5),$B$22,0))</f>
        <v>1208.7</v>
      </c>
      <c r="AJ54" s="27">
        <f>VLOOKUP($Q54,武学奇术!$A:$ZZ,28,FALSE)</f>
        <v>3.89844</v>
      </c>
      <c r="AK54" s="28">
        <f>VLOOKUP($Q54,武学奇术!$A:$ZZ,29,FALSE)*(1+IF(OR($AG54=$F$4,$AG54=$F$5),$B$22,0))</f>
        <v>650.25</v>
      </c>
      <c r="AL54" s="27" cm="1">
        <f t="array" ref="AL54">$G$3+IFERROR(VLOOKUP($AG54,$F$4:$G$7,2,FALSE),0)+VLOOKUP($Q54,武学奇术!$A:$ZZ,2,FALSE)+SUM(_xlfn.XLOOKUP($R54:$AF54,增益!$A:$A,增益!$B:$B,0))</f>
        <v>0.6241</v>
      </c>
      <c r="AM54" s="27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3826.382</v>
      </c>
      <c r="AO54" cm="1">
        <f t="array" ref="AO54">$E$10*(1+$AM54)+VLOOKUP($Q54,武学奇术!$A:$ZZ,4,FALSE)+SUM(_xlfn.XLOOKUP($R54:$AF54,增益!$A:$A,增益!$D:$D,0))-$I$2</f>
        <v>3826.382</v>
      </c>
      <c r="AP54" s="33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0.372</v>
      </c>
      <c r="AQ54" s="33" cm="1">
        <f t="array" ref="AQ54">$G$10+VLOOKUP($Q54,武学奇术!$A:$ZZ,7,FALSE)+SUM(_xlfn.XLOOKUP(R54:AF54,增益!$A:$A,增益!$G:$G,0))</f>
        <v>0.09</v>
      </c>
      <c r="AR54" s="27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3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33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3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-0.24</v>
      </c>
      <c r="AZ54" s="33" cm="1">
        <f t="array" ref="AZ54">$G$12+VLOOKUP($Q54,武学奇术!$A:$ZZ,12,FALSE)+SUM(_xlfn.XLOOKUP(R54:AF54,增益!$A:$A,增益!$L:$L,0))</f>
        <v>0</v>
      </c>
      <c r="BA54">
        <f t="shared" si="5"/>
        <v>0</v>
      </c>
      <c r="BB54">
        <f t="shared" si="6"/>
        <v>0</v>
      </c>
      <c r="BC54" s="33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-0.24</v>
      </c>
      <c r="BD54" s="33" cm="1">
        <f t="array" ref="BD54">$G$13+VLOOKUP($Q54,武学奇术!$A:$ZZ,14,FALSE)+SUM(_xlfn.XLOOKUP(R54:AF54,增益!$A:$A,增益!$N:$N,0))</f>
        <v>0</v>
      </c>
      <c r="BE54">
        <f t="shared" si="7"/>
        <v>605.472</v>
      </c>
      <c r="BF54">
        <f t="shared" si="8"/>
        <v>1725.468</v>
      </c>
      <c r="BG54" s="33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0.03</v>
      </c>
      <c r="BH54" s="33" cm="1">
        <f t="array" ref="BH54">$G$14+VLOOKUP($Q54,武学奇术!$A:$ZZ,16,FALSE)+SUM(_xlfn.XLOOKUP(R54:AF54,增益!$A:$A,增益!$P:$P,0))</f>
        <v>0.24</v>
      </c>
      <c r="BI54" s="27">
        <f>MIN(IF(VLOOKUP($Q54,武学奇术!$A:$ZZ,23,FALSE)=1,100%,$B$8),100%)</f>
        <v>1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+MIN(IF(VLOOKUP($Q54,武学奇术!$A:$ZZ,32,FALSE)=1,IF(VLOOKUP($Q54,武学奇术!$A:$ZZ,24,FALSE)=1,100%,MIN(40%,$B$10+VLOOKUP($Q54,武学奇术!$A:$ZZ,19,FALSE)+SUM(_xlfn.XLOOKUP(R54:AF54,增益!$A:$A,增益!$S:$S,0)))+$B$12+SUM(_xlfn.XLOOKUP(R54:AF54,增益!$A:$A,增益!$V:$V,0))),0),12%)</f>
        <v>0.9036</v>
      </c>
      <c r="BK54" s="27" cm="1">
        <f t="array" ref="BK54">1+$B$13+VLOOKUP($Q54,武学奇术!$A:$ZZ,18,FALSE)+SUM(_xlfn.XLOOKUP(R54:AF54,增益!$A:$A,增益!$R:$R,0))</f>
        <v>2.19</v>
      </c>
      <c r="BL54" s="27" cm="1">
        <f t="array" ref="BL54">MAX(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-IF(VLOOKUP($Q54,武学奇术!$A:$ZZ,32,FALSE)=1,12%,0),0)</f>
        <v>0.0929</v>
      </c>
      <c r="BM54" s="27" cm="1">
        <f t="array" ref="BM54">1+$B$14+VLOOKUP($Q54,武学奇术!$A:$ZZ,20,FALSE)+SUM(_xlfn.XLOOKUP(R54:AF54,增益!$A:$A,增益!$T:$T,0))</f>
        <v>1.35</v>
      </c>
      <c r="BN54" s="27">
        <f t="shared" si="9"/>
        <v>0.9036</v>
      </c>
      <c r="BO54" s="27">
        <f t="shared" si="10"/>
        <v>0.00350000000000006</v>
      </c>
      <c r="BP54" s="27">
        <f>IF(VLOOKUP($Q54,武学奇术!$A:$ZZ,22,FALSE)=1,0,(1-$BI54))*(1-$BL54)</f>
        <v>0</v>
      </c>
      <c r="BQ54" s="27" cm="1">
        <f t="array" ref="BQ54">SUM(_xlfn.XLOOKUP(R54:AF54,增益!$A:$A,增益!$W:$W,0))+$I$5</f>
        <v>0.21</v>
      </c>
    </row>
    <row r="55" spans="1:69">
      <c r="A55" s="4"/>
      <c r="B55" s="91"/>
      <c r="F55" s="4"/>
      <c r="G55" s="91"/>
      <c r="K55" s="39">
        <f t="shared" si="0"/>
        <v>33603.249049212</v>
      </c>
      <c r="L55" s="39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BK55*$P55*(1+IF(VLOOKUP($Q55,武学奇术!$A:$ZZ,30,FALSE)="蓄力技",$B$21,0))*(1+$BQ55)</f>
        <v>34300.7497319756</v>
      </c>
      <c r="M55" s="39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27401.2022011603</v>
      </c>
      <c r="N55" s="39">
        <f>((($AN55+($AO55-$AN55)*IF(VLOOKUP($Q55,武学奇术!$A:$ZZ,31,FALSE)=1,$F$18,0.5))*$AH55+$AI55)*(1+$AP55)*(1+$AQ55)+(($AS55+($AT55-$AS55)*IF(VLOOKUP($Q55,武学奇术!$A:$ZZ,31,FALSE)=1,$F$18,0.5))*IF($G$1="鸣金",$AJ55,$AH55)+IF($G$1="鸣金",$AK55*1.5,0))*(1+$AU55)*(1+$AV55)+(($AW55+($AX55-$AW55)*IF(VLOOKUP($Q55,武学奇术!$A:$ZZ,31,FALSE)=1,$F$18,0.5))*IF($G$1="裂石",$AJ55,$AH55)+IF($G$1="裂石",$AK55*1.5,0))*(1+$AY55)*(1+$AZ55)+(($BA55+($BB55-$BA55)*IF(VLOOKUP($Q55,武学奇术!$A:$ZZ,31,FALSE)=1,$F$18,0.5))*IF($G$1="牵丝",$AJ55,$AH55)+IF($G$1="牵丝",$AK55*1.5,0))*(1+$BC55)*(1+$BD55)+(($BE55+($BF55-$BE55)*IF(VLOOKUP($Q55,武学奇术!$A:$ZZ,31,FALSE)=1,$F$18,0.5))*IF($G$1="破竹",$AJ55,$AH55)+IF($G$1="破竹",$AK55*1.5,0))*(1+$BG55)*(1+$BH55))*(1+$AL55)*$P55*(1+IF(VLOOKUP($Q55,武学奇术!$A:$ZZ,30,FALSE)="蓄力技",$B$21,0))*(1+$BQ55)</f>
        <v>18148.5448317331</v>
      </c>
      <c r="O55" s="39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15999.902847792</v>
      </c>
      <c r="P55" s="40">
        <v>1</v>
      </c>
      <c r="Q55" s="41" t="s">
        <v>115</v>
      </c>
      <c r="R55" s="41" t="s">
        <v>97</v>
      </c>
      <c r="S55" s="41" t="s">
        <v>132</v>
      </c>
      <c r="T55" s="41" t="s">
        <v>73</v>
      </c>
      <c r="U55" s="41" t="s">
        <v>73</v>
      </c>
      <c r="V55" s="41" t="s">
        <v>179</v>
      </c>
      <c r="W55" s="41" t="s">
        <v>73</v>
      </c>
      <c r="X55" s="41" t="s">
        <v>164</v>
      </c>
      <c r="Y55" s="41" t="s">
        <v>73</v>
      </c>
      <c r="Z55" s="41" t="s">
        <v>73</v>
      </c>
      <c r="AA55" s="41" t="s">
        <v>73</v>
      </c>
      <c r="AB55" s="41" t="s">
        <v>73</v>
      </c>
      <c r="AC55" s="41" t="s">
        <v>73</v>
      </c>
      <c r="AD55" s="41" t="s">
        <v>73</v>
      </c>
      <c r="AE55" s="41" t="s">
        <v>77</v>
      </c>
      <c r="AF55" s="41" t="s">
        <v>78</v>
      </c>
      <c r="AG55" t="str">
        <f>VLOOKUP($Q55,武学奇术!$A:$ZZ,25,FALSE)</f>
        <v>拳甲</v>
      </c>
      <c r="AH55" s="27">
        <f>VLOOKUP($Q55,武学奇术!$A:$ZZ,26,FALSE)</f>
        <v>1.2876</v>
      </c>
      <c r="AI55" s="28">
        <f>VLOOKUP($Q55,武学奇术!$A:$ZZ,27,FALSE)*(1+IF(OR($AG55=$F$4,$AG55=$F$5),$B$22,0))</f>
        <v>537</v>
      </c>
      <c r="AJ55" s="27">
        <f>VLOOKUP($Q55,武学奇术!$A:$ZZ,28,FALSE)</f>
        <v>1.9313</v>
      </c>
      <c r="AK55" s="28">
        <f>VLOOKUP($Q55,武学奇术!$A:$ZZ,29,FALSE)*(1+IF(OR($AG55=$F$4,$AG55=$F$5),$B$22,0))</f>
        <v>292.5</v>
      </c>
      <c r="AL55" s="27" cm="1">
        <f t="array" ref="AL55">$G$3+IFERROR(VLOOKUP($AG55,$F$4:$G$7,2,FALSE),0)+VLOOKUP($Q55,武学奇术!$A:$ZZ,2,FALSE)+SUM(_xlfn.XLOOKUP($R55:$AF55,增益!$A:$A,增益!$B:$B,0))</f>
        <v>0.3241</v>
      </c>
      <c r="AM55" s="27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3826.382</v>
      </c>
      <c r="AO55" cm="1">
        <f t="array" ref="AO55">$E$10*(1+$AM55)+VLOOKUP($Q55,武学奇术!$A:$ZZ,4,FALSE)+SUM(_xlfn.XLOOKUP($R55:$AF55,增益!$A:$A,增益!$D:$D,0))-$I$2</f>
        <v>3826.382</v>
      </c>
      <c r="AP55" s="33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0.342</v>
      </c>
      <c r="AQ55" s="33" cm="1">
        <f t="array" ref="AQ55">$G$10+VLOOKUP($Q55,武学奇术!$A:$ZZ,7,FALSE)+SUM(_xlfn.XLOOKUP(R55:AF55,增益!$A:$A,增益!$G:$G,0))</f>
        <v>0.09</v>
      </c>
      <c r="AR55" s="27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3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3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3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3" cm="1">
        <f t="array" ref="AZ55">$G$12+VLOOKUP($Q55,武学奇术!$A:$ZZ,12,FALSE)+SUM(_xlfn.XLOOKUP(R55:AF55,增益!$A:$A,增益!$L:$L,0))</f>
        <v>0</v>
      </c>
      <c r="BA55">
        <f t="shared" si="5"/>
        <v>0</v>
      </c>
      <c r="BB55">
        <f t="shared" si="6"/>
        <v>0</v>
      </c>
      <c r="BC55" s="33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3" cm="1">
        <f t="array" ref="BD55">$G$13+VLOOKUP($Q55,武学奇术!$A:$ZZ,14,FALSE)+SUM(_xlfn.XLOOKUP(R55:AF55,增益!$A:$A,增益!$N:$N,0))</f>
        <v>0</v>
      </c>
      <c r="BE55">
        <f t="shared" si="7"/>
        <v>605.472</v>
      </c>
      <c r="BF55">
        <f t="shared" si="8"/>
        <v>1725.468</v>
      </c>
      <c r="BG55" s="33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</v>
      </c>
      <c r="BH55" s="33" cm="1">
        <f t="array" ref="BH55">$G$14+VLOOKUP($Q55,武学奇术!$A:$ZZ,16,FALSE)+SUM(_xlfn.XLOOKUP(R55:AF55,增益!$A:$A,增益!$P:$P,0))</f>
        <v>0.24</v>
      </c>
      <c r="BI55" s="27">
        <f>MIN(IF(VLOOKUP($Q55,武学奇术!$A:$ZZ,23,FALSE)=1,100%,$B$8),100%)</f>
        <v>1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+MIN(IF(VLOOKUP($Q55,武学奇术!$A:$ZZ,32,FALSE)=1,IF(VLOOKUP($Q55,武学奇术!$A:$ZZ,24,FALSE)=1,100%,MIN(40%,$B$10+VLOOKUP($Q55,武学奇术!$A:$ZZ,19,FALSE)+SUM(_xlfn.XLOOKUP(R55:AF55,增益!$A:$A,增益!$S:$S,0)))+$B$12+SUM(_xlfn.XLOOKUP(R55:AF55,增益!$A:$A,增益!$V:$V,0))),0),12%)</f>
        <v>0.9036</v>
      </c>
      <c r="BK55" s="27" cm="1">
        <f t="array" ref="BK55">1+$B$13+VLOOKUP($Q55,武学奇术!$A:$ZZ,18,FALSE)+SUM(_xlfn.XLOOKUP(R55:AF55,增益!$A:$A,增益!$R:$R,0))</f>
        <v>1.89</v>
      </c>
      <c r="BL55" s="27" cm="1">
        <f t="array" ref="BL55">MAX(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-IF(VLOOKUP($Q55,武学奇术!$A:$ZZ,32,FALSE)=1,12%,0),0)</f>
        <v>0.0929</v>
      </c>
      <c r="BM55" s="27" cm="1">
        <f t="array" ref="BM55">1+$B$14+VLOOKUP($Q55,武学奇术!$A:$ZZ,20,FALSE)+SUM(_xlfn.XLOOKUP(R55:AF55,增益!$A:$A,增益!$T:$T,0))</f>
        <v>1.35</v>
      </c>
      <c r="BN55" s="27">
        <f t="shared" si="9"/>
        <v>0.9036</v>
      </c>
      <c r="BO55" s="27">
        <f t="shared" si="10"/>
        <v>0.00350000000000006</v>
      </c>
      <c r="BP55" s="27">
        <f>IF(VLOOKUP($Q55,武学奇术!$A:$ZZ,22,FALSE)=1,0,(1-$BI55))*(1-$BL55)</f>
        <v>0</v>
      </c>
      <c r="BQ55" s="27" cm="1">
        <f t="array" ref="BQ55">SUM(_xlfn.XLOOKUP(R55:AF55,增益!$A:$A,增益!$W:$W,0))+$I$5</f>
        <v>0.21</v>
      </c>
    </row>
    <row r="56" spans="1:69">
      <c r="K56" s="39">
        <f t="shared" si="0"/>
        <v>87654.3311682722</v>
      </c>
      <c r="L56" s="39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BK56*$P56*(1+IF(VLOOKUP($Q56,武学奇术!$A:$ZZ,30,FALSE)="蓄力技",$B$21,0))*(1+$BQ56)</f>
        <v>90347.7330671684</v>
      </c>
      <c r="M56" s="39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63204.8246992668</v>
      </c>
      <c r="N56" s="39">
        <f>((($AN56+($AO56-$AN56)*IF(VLOOKUP($Q56,武学奇术!$A:$ZZ,31,FALSE)=1,$F$18,0.5))*$AH56+$AI56)*(1+$AP56)*(1+$AQ56)+(($AS56+($AT56-$AS56)*IF(VLOOKUP($Q56,武学奇术!$A:$ZZ,31,FALSE)=1,$F$18,0.5))*IF($G$1="鸣金",$AJ56,$AH56)+IF($G$1="鸣金",$AK56*1.5,0))*(1+$AU56)*(1+$AV56)+(($AW56+($AX56-$AW56)*IF(VLOOKUP($Q56,武学奇术!$A:$ZZ,31,FALSE)=1,$F$18,0.5))*IF($G$1="裂石",$AJ56,$AH56)+IF($G$1="裂石",$AK56*1.5,0))*(1+$AY56)*(1+$AZ56)+(($BA56+($BB56-$BA56)*IF(VLOOKUP($Q56,武学奇术!$A:$ZZ,31,FALSE)=1,$F$18,0.5))*IF($G$1="牵丝",$AJ56,$AH56)+IF($G$1="牵丝",$AK56*1.5,0))*(1+$BC56)*(1+$BD56)+(($BE56+($BF56-$BE56)*IF(VLOOKUP($Q56,武学奇术!$A:$ZZ,31,FALSE)=1,$F$18,0.5))*IF($G$1="破竹",$AJ56,$AH56)+IF($G$1="破竹",$AK56*1.5,0))*(1+$BG56)*(1+$BH56))*(1+$AL56)*$P56*(1+IF(VLOOKUP($Q56,武学奇术!$A:$ZZ,30,FALSE)="蓄力技",$B$21,0))*(1+$BQ56)</f>
        <v>41254.6726334102</v>
      </c>
      <c r="O56" s="39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35690.9566006969</v>
      </c>
      <c r="P56" s="40">
        <v>1</v>
      </c>
      <c r="Q56" s="41" t="s">
        <v>117</v>
      </c>
      <c r="R56" s="41" t="s">
        <v>97</v>
      </c>
      <c r="S56" s="41" t="s">
        <v>132</v>
      </c>
      <c r="T56" s="41" t="s">
        <v>73</v>
      </c>
      <c r="U56" s="41" t="s">
        <v>73</v>
      </c>
      <c r="V56" s="41" t="s">
        <v>179</v>
      </c>
      <c r="W56" s="41" t="s">
        <v>73</v>
      </c>
      <c r="X56" s="41" t="s">
        <v>164</v>
      </c>
      <c r="Y56" s="41" t="s">
        <v>73</v>
      </c>
      <c r="Z56" s="41" t="s">
        <v>73</v>
      </c>
      <c r="AA56" s="41" t="s">
        <v>73</v>
      </c>
      <c r="AB56" s="41" t="s">
        <v>73</v>
      </c>
      <c r="AC56" s="41" t="s">
        <v>73</v>
      </c>
      <c r="AD56" s="41" t="s">
        <v>73</v>
      </c>
      <c r="AE56" s="41" t="s">
        <v>77</v>
      </c>
      <c r="AF56" s="41" t="s">
        <v>78</v>
      </c>
      <c r="AG56" t="str">
        <f>VLOOKUP($Q56,武学奇术!$A:$ZZ,25,FALSE)</f>
        <v>拳甲</v>
      </c>
      <c r="AH56" s="27">
        <f>VLOOKUP($Q56,武学奇术!$A:$ZZ,26,FALSE)</f>
        <v>2.638944</v>
      </c>
      <c r="AI56" s="28">
        <f>VLOOKUP($Q56,武学奇术!$A:$ZZ,27,FALSE)*(1+IF(OR($AG56=$F$4,$AG56=$F$5),$B$22,0))</f>
        <v>0</v>
      </c>
      <c r="AJ56" s="27">
        <f>VLOOKUP($Q56,武学奇术!$A:$ZZ,28,FALSE)</f>
        <v>3.958416</v>
      </c>
      <c r="AK56" s="28">
        <f>VLOOKUP($Q56,武学奇术!$A:$ZZ,29,FALSE)*(1+IF(OR($AG56=$F$4,$AG56=$F$5),$B$22,0))</f>
        <v>0</v>
      </c>
      <c r="AL56" s="27" cm="1">
        <f t="array" ref="AL56">$G$3+IFERROR(VLOOKUP($AG56,$F$4:$G$7,2,FALSE),0)+VLOOKUP($Q56,武学奇术!$A:$ZZ,2,FALSE)+SUM(_xlfn.XLOOKUP($R56:$AF56,增益!$A:$A,增益!$B:$B,0))</f>
        <v>0.6241</v>
      </c>
      <c r="AM56" s="27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3826.382</v>
      </c>
      <c r="AO56" cm="1">
        <f t="array" ref="AO56">$E$10*(1+$AM56)+VLOOKUP($Q56,武学奇术!$A:$ZZ,4,FALSE)+SUM(_xlfn.XLOOKUP($R56:$AF56,增益!$A:$A,增益!$D:$D,0))-$I$2</f>
        <v>3826.382</v>
      </c>
      <c r="AP56" s="33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0.372</v>
      </c>
      <c r="AQ56" s="33" cm="1">
        <f t="array" ref="AQ56">$G$10+VLOOKUP($Q56,武学奇术!$A:$ZZ,7,FALSE)+SUM(_xlfn.XLOOKUP(R56:AF56,增益!$A:$A,增益!$G:$G,0))</f>
        <v>0.09</v>
      </c>
      <c r="AR56" s="27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3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33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3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-0.24</v>
      </c>
      <c r="AZ56" s="33" cm="1">
        <f t="array" ref="AZ56">$G$12+VLOOKUP($Q56,武学奇术!$A:$ZZ,12,FALSE)+SUM(_xlfn.XLOOKUP(R56:AF56,增益!$A:$A,增益!$L:$L,0))</f>
        <v>0</v>
      </c>
      <c r="BA56">
        <f t="shared" si="5"/>
        <v>0</v>
      </c>
      <c r="BB56">
        <f t="shared" si="6"/>
        <v>0</v>
      </c>
      <c r="BC56" s="33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-0.24</v>
      </c>
      <c r="BD56" s="33" cm="1">
        <f t="array" ref="BD56">$G$13+VLOOKUP($Q56,武学奇术!$A:$ZZ,14,FALSE)+SUM(_xlfn.XLOOKUP(R56:AF56,增益!$A:$A,增益!$N:$N,0))</f>
        <v>0</v>
      </c>
      <c r="BE56">
        <f t="shared" si="7"/>
        <v>605.472</v>
      </c>
      <c r="BF56">
        <f t="shared" si="8"/>
        <v>1725.468</v>
      </c>
      <c r="BG56" s="33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0.03</v>
      </c>
      <c r="BH56" s="33" cm="1">
        <f t="array" ref="BH56">$G$14+VLOOKUP($Q56,武学奇术!$A:$ZZ,16,FALSE)+SUM(_xlfn.XLOOKUP(R56:AF56,增益!$A:$A,增益!$P:$P,0))</f>
        <v>0.24</v>
      </c>
      <c r="BI56" s="27">
        <f>MIN(IF(VLOOKUP($Q56,武学奇术!$A:$ZZ,23,FALSE)=1,100%,$B$8),100%)</f>
        <v>1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+MIN(IF(VLOOKUP($Q56,武学奇术!$A:$ZZ,32,FALSE)=1,IF(VLOOKUP($Q56,武学奇术!$A:$ZZ,24,FALSE)=1,100%,MIN(40%,$B$10+VLOOKUP($Q56,武学奇术!$A:$ZZ,19,FALSE)+SUM(_xlfn.XLOOKUP(R56:AF56,增益!$A:$A,增益!$S:$S,0)))+$B$12+SUM(_xlfn.XLOOKUP(R56:AF56,增益!$A:$A,增益!$V:$V,0))),0),12%)</f>
        <v>0.9036</v>
      </c>
      <c r="BK56" s="27" cm="1">
        <f t="array" ref="BK56">1+$B$13+VLOOKUP($Q56,武学奇术!$A:$ZZ,18,FALSE)+SUM(_xlfn.XLOOKUP(R56:AF56,增益!$A:$A,增益!$R:$R,0))</f>
        <v>2.19</v>
      </c>
      <c r="BL56" s="27" cm="1">
        <f t="array" ref="BL56">MAX(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-IF(VLOOKUP($Q56,武学奇术!$A:$ZZ,32,FALSE)=1,12%,0),0)</f>
        <v>0.0929</v>
      </c>
      <c r="BM56" s="27" cm="1">
        <f t="array" ref="BM56">1+$B$14+VLOOKUP($Q56,武学奇术!$A:$ZZ,20,FALSE)+SUM(_xlfn.XLOOKUP(R56:AF56,增益!$A:$A,增益!$T:$T,0))</f>
        <v>1.35</v>
      </c>
      <c r="BN56" s="27">
        <f t="shared" si="9"/>
        <v>0.9036</v>
      </c>
      <c r="BO56" s="27">
        <f t="shared" si="10"/>
        <v>0.00350000000000006</v>
      </c>
      <c r="BP56" s="27">
        <f>IF(VLOOKUP($Q56,武学奇术!$A:$ZZ,22,FALSE)=1,0,(1-$BI56))*(1-$BL56)</f>
        <v>0</v>
      </c>
      <c r="BQ56" s="27" cm="1">
        <f t="array" ref="BQ56">SUM(_xlfn.XLOOKUP(R56:AF56,增益!$A:$A,增益!$W:$W,0))+$I$5</f>
        <v>0.21</v>
      </c>
    </row>
    <row r="57" spans="1:69">
      <c r="D57" s="4"/>
      <c r="E57" s="4"/>
      <c r="F57" s="4"/>
      <c r="G57" s="91"/>
      <c r="K57" s="39">
        <f t="shared" si="0"/>
        <v>12137.8440410532</v>
      </c>
      <c r="L57" s="39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BK57*$P57*(1+IF(VLOOKUP($Q57,武学奇术!$A:$ZZ,30,FALSE)="蓄力技",$B$21,0))*(1+$BQ57)</f>
        <v>12389.6919099079</v>
      </c>
      <c r="M57" s="39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9898.54205977568</v>
      </c>
      <c r="N57" s="39">
        <f>((($AN57+($AO57-$AN57)*IF(VLOOKUP($Q57,武学奇术!$A:$ZZ,31,FALSE)=1,$F$18,0.5))*$AH57+$AI57)*(1+$AP57)*(1+$AQ57)+(($AS57+($AT57-$AS57)*IF(VLOOKUP($Q57,武学奇术!$A:$ZZ,31,FALSE)=1,$F$18,0.5))*IF($G$1="鸣金",$AJ57,$AH57)+IF($G$1="鸣金",$AK57*1.5,0))*(1+$AU57)*(1+$AV57)+(($AW57+($AX57-$AW57)*IF(VLOOKUP($Q57,武学奇术!$A:$ZZ,31,FALSE)=1,$F$18,0.5))*IF($G$1="裂石",$AJ57,$AH57)+IF($G$1="裂石",$AK57*1.5,0))*(1+$AY57)*(1+$AZ57)+(($BA57+($BB57-$BA57)*IF(VLOOKUP($Q57,武学奇术!$A:$ZZ,31,FALSE)=1,$F$18,0.5))*IF($G$1="牵丝",$AJ57,$AH57)+IF($G$1="牵丝",$AK57*1.5,0))*(1+$BC57)*(1+$BD57)+(($BE57+($BF57-$BE57)*IF(VLOOKUP($Q57,武学奇术!$A:$ZZ,31,FALSE)=1,$F$18,0.5))*IF($G$1="破竹",$AJ57,$AH57)+IF($G$1="破竹",$AK57*1.5,0))*(1+$BG57)*(1+$BH57))*(1+$AL57)*$P57*(1+IF(VLOOKUP($Q57,武学奇术!$A:$ZZ,30,FALSE)="蓄力技",$B$21,0))*(1+$BQ57)</f>
        <v>6555.39254492482</v>
      </c>
      <c r="O57" s="39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5778.53171223802</v>
      </c>
      <c r="P57" s="40">
        <v>1</v>
      </c>
      <c r="Q57" s="41" t="s">
        <v>107</v>
      </c>
      <c r="R57" s="41" t="s">
        <v>97</v>
      </c>
      <c r="S57" s="41" t="s">
        <v>132</v>
      </c>
      <c r="T57" s="41" t="s">
        <v>73</v>
      </c>
      <c r="U57" s="41" t="s">
        <v>73</v>
      </c>
      <c r="V57" s="41" t="s">
        <v>179</v>
      </c>
      <c r="W57" s="41" t="s">
        <v>73</v>
      </c>
      <c r="X57" s="41" t="s">
        <v>164</v>
      </c>
      <c r="Y57" s="41" t="s">
        <v>73</v>
      </c>
      <c r="Z57" s="41" t="s">
        <v>73</v>
      </c>
      <c r="AA57" s="41" t="s">
        <v>73</v>
      </c>
      <c r="AB57" s="41" t="s">
        <v>73</v>
      </c>
      <c r="AC57" s="41" t="s">
        <v>73</v>
      </c>
      <c r="AD57" s="41" t="s">
        <v>73</v>
      </c>
      <c r="AE57" s="41" t="s">
        <v>77</v>
      </c>
      <c r="AF57" s="41" t="s">
        <v>78</v>
      </c>
      <c r="AG57" t="str">
        <f>VLOOKUP($Q57,武学奇术!$A:$ZZ,25,FALSE)</f>
        <v>绳镖</v>
      </c>
      <c r="AH57" s="27">
        <f>VLOOKUP($Q57,武学奇术!$A:$ZZ,26,FALSE)</f>
        <v>0.4975</v>
      </c>
      <c r="AI57" s="28">
        <f>VLOOKUP($Q57,武学奇术!$A:$ZZ,27,FALSE)*(1+IF(OR($AG57=$F$4,$AG57=$F$5),$B$22,0))</f>
        <v>205.5</v>
      </c>
      <c r="AJ57" s="27">
        <f>VLOOKUP($Q57,武学奇术!$A:$ZZ,28,FALSE)</f>
        <v>0.7463</v>
      </c>
      <c r="AK57" s="28">
        <f>VLOOKUP($Q57,武学奇术!$A:$ZZ,29,FALSE)*(1+IF(OR($AG57=$F$4,$AG57=$F$5),$B$22,0))</f>
        <v>112.5</v>
      </c>
      <c r="AL57" s="27" cm="1">
        <f t="array" ref="AL57">$G$3+IFERROR(VLOOKUP($AG57,$F$4:$G$7,2,FALSE),0)+VLOOKUP($Q57,武学奇术!$A:$ZZ,2,FALSE)+SUM(_xlfn.XLOOKUP($R57:$AF57,增益!$A:$A,增益!$B:$B,0))</f>
        <v>0.2389</v>
      </c>
      <c r="AM57" s="27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3826.382</v>
      </c>
      <c r="AO57" cm="1">
        <f t="array" ref="AO57">$E$10*(1+$AM57)+VLOOKUP($Q57,武学奇术!$A:$ZZ,4,FALSE)+SUM(_xlfn.XLOOKUP($R57:$AF57,增益!$A:$A,增益!$D:$D,0))-$I$2</f>
        <v>3826.382</v>
      </c>
      <c r="AP57" s="33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0.342</v>
      </c>
      <c r="AQ57" s="33" cm="1">
        <f t="array" ref="AQ57">$G$10+VLOOKUP($Q57,武学奇术!$A:$ZZ,7,FALSE)+SUM(_xlfn.XLOOKUP(R57:AF57,增益!$A:$A,增益!$G:$G,0))</f>
        <v>0.09</v>
      </c>
      <c r="AR57" s="27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3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3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3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3" cm="1">
        <f t="array" ref="AZ57">$G$12+VLOOKUP($Q57,武学奇术!$A:$ZZ,12,FALSE)+SUM(_xlfn.XLOOKUP(R57:AF57,增益!$A:$A,增益!$L:$L,0))</f>
        <v>0</v>
      </c>
      <c r="BA57">
        <f t="shared" si="5"/>
        <v>0</v>
      </c>
      <c r="BB57">
        <f t="shared" si="6"/>
        <v>0</v>
      </c>
      <c r="BC57" s="33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3" cm="1">
        <f t="array" ref="BD57">$G$13+VLOOKUP($Q57,武学奇术!$A:$ZZ,14,FALSE)+SUM(_xlfn.XLOOKUP(R57:AF57,增益!$A:$A,增益!$N:$N,0))</f>
        <v>0</v>
      </c>
      <c r="BE57">
        <f t="shared" si="7"/>
        <v>605.472</v>
      </c>
      <c r="BF57">
        <f t="shared" si="8"/>
        <v>1725.468</v>
      </c>
      <c r="BG57" s="33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</v>
      </c>
      <c r="BH57" s="33" cm="1">
        <f t="array" ref="BH57">$G$14+VLOOKUP($Q57,武学奇术!$A:$ZZ,16,FALSE)+SUM(_xlfn.XLOOKUP(R57:AF57,增益!$A:$A,增益!$P:$P,0))</f>
        <v>0.24</v>
      </c>
      <c r="BI57" s="27">
        <f>MIN(IF(VLOOKUP($Q57,武学奇术!$A:$ZZ,23,FALSE)=1,100%,$B$8),100%)</f>
        <v>1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+MIN(IF(VLOOKUP($Q57,武学奇术!$A:$ZZ,32,FALSE)=1,IF(VLOOKUP($Q57,武学奇术!$A:$ZZ,24,FALSE)=1,100%,MIN(40%,$B$10+VLOOKUP($Q57,武学奇术!$A:$ZZ,19,FALSE)+SUM(_xlfn.XLOOKUP(R57:AF57,增益!$A:$A,增益!$S:$S,0)))+$B$12+SUM(_xlfn.XLOOKUP(R57:AF57,增益!$A:$A,增益!$V:$V,0))),0),12%)</f>
        <v>0.9036</v>
      </c>
      <c r="BK57" s="27" cm="1">
        <f t="array" ref="BK57">1+$B$13+VLOOKUP($Q57,武学奇术!$A:$ZZ,18,FALSE)+SUM(_xlfn.XLOOKUP(R57:AF57,增益!$A:$A,增益!$R:$R,0))</f>
        <v>1.89</v>
      </c>
      <c r="BL57" s="27" cm="1">
        <f t="array" ref="BL57">MAX(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-IF(VLOOKUP($Q57,武学奇术!$A:$ZZ,32,FALSE)=1,12%,0),0)</f>
        <v>0.0929</v>
      </c>
      <c r="BM57" s="27" cm="1">
        <f t="array" ref="BM57">1+$B$14+VLOOKUP($Q57,武学奇术!$A:$ZZ,20,FALSE)+SUM(_xlfn.XLOOKUP(R57:AF57,增益!$A:$A,增益!$T:$T,0))</f>
        <v>1.35</v>
      </c>
      <c r="BN57" s="27">
        <f t="shared" si="9"/>
        <v>0.9036</v>
      </c>
      <c r="BO57" s="27">
        <f t="shared" si="10"/>
        <v>0.00350000000000006</v>
      </c>
      <c r="BP57" s="27">
        <f>IF(VLOOKUP($Q57,武学奇术!$A:$ZZ,22,FALSE)=1,0,(1-$BI57))*(1-$BL57)</f>
        <v>0</v>
      </c>
      <c r="BQ57" s="27" cm="1">
        <f t="array" ref="BQ57">SUM(_xlfn.XLOOKUP(R57:AF57,增益!$A:$A,增益!$W:$W,0))+$I$5</f>
        <v>0.21</v>
      </c>
    </row>
    <row r="58" spans="1:69">
      <c r="A58" s="4"/>
      <c r="B58" s="91"/>
      <c r="F58" s="4"/>
      <c r="G58" s="4"/>
      <c r="K58" s="39">
        <f t="shared" si="0"/>
        <v>83056.0003908959</v>
      </c>
      <c r="L58" s="39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BK58*$P58*(1+IF(VLOOKUP($Q58,武学奇术!$A:$ZZ,30,FALSE)="蓄力技",$B$21,0))*(1+$BQ58)</f>
        <v>85608.1069004774</v>
      </c>
      <c r="M58" s="39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59889.1107257568</v>
      </c>
      <c r="N58" s="39">
        <f>((($AN58+($AO58-$AN58)*IF(VLOOKUP($Q58,武学奇术!$A:$ZZ,31,FALSE)=1,$F$18,0.5))*$AH58+$AI58)*(1+$AP58)*(1+$AQ58)+(($AS58+($AT58-$AS58)*IF(VLOOKUP($Q58,武学奇术!$A:$ZZ,31,FALSE)=1,$F$18,0.5))*IF($G$1="鸣金",$AJ58,$AH58)+IF($G$1="鸣金",$AK58*1.5,0))*(1+$AU58)*(1+$AV58)+(($AW58+($AX58-$AW58)*IF(VLOOKUP($Q58,武学奇术!$A:$ZZ,31,FALSE)=1,$F$18,0.5))*IF($G$1="裂石",$AJ58,$AH58)+IF($G$1="裂石",$AK58*1.5,0))*(1+$AY58)*(1+$AZ58)+(($BA58+($BB58-$BA58)*IF(VLOOKUP($Q58,武学奇术!$A:$ZZ,31,FALSE)=1,$F$18,0.5))*IF($G$1="牵丝",$AJ58,$AH58)+IF($G$1="牵丝",$AK58*1.5,0))*(1+$BC58)*(1+$BD58)+(($BE58+($BF58-$BE58)*IF(VLOOKUP($Q58,武学奇术!$A:$ZZ,31,FALSE)=1,$F$18,0.5))*IF($G$1="破竹",$AJ58,$AH58)+IF($G$1="破竹",$AK58*1.5,0))*(1+$BG58)*(1+$BH58))*(1+$AL58)*$P58*(1+IF(VLOOKUP($Q58,武学奇术!$A:$ZZ,30,FALSE)="蓄力技",$B$21,0))*(1+$BQ58)</f>
        <v>39090.4597719075</v>
      </c>
      <c r="O58" s="39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33818.6153025137</v>
      </c>
      <c r="P58" s="40">
        <v>1</v>
      </c>
      <c r="Q58" s="41" t="s">
        <v>110</v>
      </c>
      <c r="R58" s="41" t="s">
        <v>97</v>
      </c>
      <c r="S58" s="41" t="s">
        <v>132</v>
      </c>
      <c r="T58" s="41" t="s">
        <v>73</v>
      </c>
      <c r="U58" s="41" t="s">
        <v>73</v>
      </c>
      <c r="V58" s="41" t="s">
        <v>179</v>
      </c>
      <c r="W58" s="41" t="s">
        <v>73</v>
      </c>
      <c r="X58" s="41" t="s">
        <v>164</v>
      </c>
      <c r="Y58" s="41" t="s">
        <v>73</v>
      </c>
      <c r="Z58" s="41" t="s">
        <v>105</v>
      </c>
      <c r="AA58" s="41" t="s">
        <v>73</v>
      </c>
      <c r="AB58" s="41" t="s">
        <v>73</v>
      </c>
      <c r="AC58" s="41" t="s">
        <v>73</v>
      </c>
      <c r="AD58" s="41" t="s">
        <v>73</v>
      </c>
      <c r="AE58" s="41" t="s">
        <v>77</v>
      </c>
      <c r="AF58" s="41" t="s">
        <v>78</v>
      </c>
      <c r="AG58" t="str">
        <f>VLOOKUP($Q58,武学奇术!$A:$ZZ,25,FALSE)</f>
        <v>绳镖</v>
      </c>
      <c r="AH58" s="27">
        <f>VLOOKUP($Q58,武学奇术!$A:$ZZ,26,FALSE)</f>
        <v>2.638944</v>
      </c>
      <c r="AI58" s="28">
        <f>VLOOKUP($Q58,武学奇术!$A:$ZZ,27,FALSE)*(1+IF(OR($AG58=$F$4,$AG58=$F$5),$B$22,0))</f>
        <v>0</v>
      </c>
      <c r="AJ58" s="27">
        <f>VLOOKUP($Q58,武学奇术!$A:$ZZ,28,FALSE)</f>
        <v>3.958416</v>
      </c>
      <c r="AK58" s="28">
        <f>VLOOKUP($Q58,武学奇术!$A:$ZZ,29,FALSE)*(1+IF(OR($AG58=$F$4,$AG58=$F$5),$B$22,0))</f>
        <v>0</v>
      </c>
      <c r="AL58" s="27" cm="1">
        <f t="array" ref="AL58">$G$3+IFERROR(VLOOKUP($AG58,$F$4:$G$7,2,FALSE),0)+VLOOKUP($Q58,武学奇术!$A:$ZZ,2,FALSE)+SUM(_xlfn.XLOOKUP($R58:$AF58,增益!$A:$A,增益!$B:$B,0))</f>
        <v>0.5389</v>
      </c>
      <c r="AM58" s="27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3826.382</v>
      </c>
      <c r="AO58" cm="1">
        <f t="array" ref="AO58">$E$10*(1+$AM58)+VLOOKUP($Q58,武学奇术!$A:$ZZ,4,FALSE)+SUM(_xlfn.XLOOKUP($R58:$AF58,增益!$A:$A,增益!$D:$D,0))-$I$2</f>
        <v>3826.382</v>
      </c>
      <c r="AP58" s="33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0.372</v>
      </c>
      <c r="AQ58" s="33" cm="1">
        <f t="array" ref="AQ58">$G$10+VLOOKUP($Q58,武学奇术!$A:$ZZ,7,FALSE)+SUM(_xlfn.XLOOKUP(R58:AF58,增益!$A:$A,增益!$G:$G,0))</f>
        <v>0.09</v>
      </c>
      <c r="AR58" s="27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3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-0.24</v>
      </c>
      <c r="AV58" s="33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3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-0.24</v>
      </c>
      <c r="AZ58" s="33" cm="1">
        <f t="array" ref="AZ58">$G$12+VLOOKUP($Q58,武学奇术!$A:$ZZ,12,FALSE)+SUM(_xlfn.XLOOKUP(R58:AF58,增益!$A:$A,增益!$L:$L,0))</f>
        <v>0</v>
      </c>
      <c r="BA58">
        <f t="shared" si="5"/>
        <v>0</v>
      </c>
      <c r="BB58">
        <f t="shared" si="6"/>
        <v>0</v>
      </c>
      <c r="BC58" s="33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-0.24</v>
      </c>
      <c r="BD58" s="33" cm="1">
        <f t="array" ref="BD58">$G$13+VLOOKUP($Q58,武学奇术!$A:$ZZ,14,FALSE)+SUM(_xlfn.XLOOKUP(R58:AF58,增益!$A:$A,增益!$N:$N,0))</f>
        <v>0</v>
      </c>
      <c r="BE58">
        <f t="shared" si="7"/>
        <v>605.472</v>
      </c>
      <c r="BF58">
        <f t="shared" si="8"/>
        <v>1725.468</v>
      </c>
      <c r="BG58" s="33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0.03</v>
      </c>
      <c r="BH58" s="33" cm="1">
        <f t="array" ref="BH58">$G$14+VLOOKUP($Q58,武学奇术!$A:$ZZ,16,FALSE)+SUM(_xlfn.XLOOKUP(R58:AF58,增益!$A:$A,增益!$P:$P,0))</f>
        <v>0.24</v>
      </c>
      <c r="BI58" s="27">
        <f>MIN(IF(VLOOKUP($Q58,武学奇术!$A:$ZZ,23,FALSE)=1,100%,$B$8),100%)</f>
        <v>1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+MIN(IF(VLOOKUP($Q58,武学奇术!$A:$ZZ,32,FALSE)=1,IF(VLOOKUP($Q58,武学奇术!$A:$ZZ,24,FALSE)=1,100%,MIN(40%,$B$10+VLOOKUP($Q58,武学奇术!$A:$ZZ,19,FALSE)+SUM(_xlfn.XLOOKUP(R58:AF58,增益!$A:$A,增益!$S:$S,0)))+$B$12+SUM(_xlfn.XLOOKUP(R58:AF58,增益!$A:$A,增益!$V:$V,0))),0),12%)</f>
        <v>0.9036</v>
      </c>
      <c r="BK58" s="27" cm="1">
        <f t="array" ref="BK58">1+$B$13+VLOOKUP($Q58,武学奇术!$A:$ZZ,18,FALSE)+SUM(_xlfn.XLOOKUP(R58:AF58,增益!$A:$A,增益!$R:$R,0))</f>
        <v>2.19</v>
      </c>
      <c r="BL58" s="27" cm="1">
        <f t="array" ref="BL58">MAX(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-IF(VLOOKUP($Q58,武学奇术!$A:$ZZ,32,FALSE)=1,12%,0),0)</f>
        <v>0.0929</v>
      </c>
      <c r="BM58" s="27" cm="1">
        <f t="array" ref="BM58">1+$B$14+VLOOKUP($Q58,武学奇术!$A:$ZZ,20,FALSE)+SUM(_xlfn.XLOOKUP(R58:AF58,增益!$A:$A,增益!$T:$T,0))</f>
        <v>1.35</v>
      </c>
      <c r="BN58" s="27">
        <f t="shared" si="9"/>
        <v>0.9036</v>
      </c>
      <c r="BO58" s="27">
        <f t="shared" si="10"/>
        <v>0.00350000000000006</v>
      </c>
      <c r="BP58" s="27">
        <f>IF(VLOOKUP($Q58,武学奇术!$A:$ZZ,22,FALSE)=1,0,(1-$BI58))*(1-$BL58)</f>
        <v>0</v>
      </c>
      <c r="BQ58" s="27" cm="1">
        <f t="array" ref="BQ58">SUM(_xlfn.XLOOKUP(R58:AF58,增益!$A:$A,增益!$W:$W,0))+$I$5</f>
        <v>0.21</v>
      </c>
    </row>
    <row r="59" spans="1:69">
      <c r="F59" s="4"/>
      <c r="G59" s="4"/>
      <c r="K59" s="39">
        <f t="shared" si="0"/>
        <v>0</v>
      </c>
      <c r="L59" s="39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BK59*$P59*(1+IF(VLOOKUP($Q59,武学奇术!$A:$ZZ,30,FALSE)="蓄力技",$B$21,0))*(1+$BQ59)</f>
        <v>0</v>
      </c>
      <c r="M59" s="39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9">
        <f>((($AN59+($AO59-$AN59)*IF(VLOOKUP($Q59,武学奇术!$A:$ZZ,31,FALSE)=1,$F$18,0.5))*$AH59+$AI59)*(1+$AP59)*(1+$AQ59)+(($AS59+($AT59-$AS59)*IF(VLOOKUP($Q59,武学奇术!$A:$ZZ,31,FALSE)=1,$F$18,0.5))*IF($G$1="鸣金",$AJ59,$AH59)+IF($G$1="鸣金",$AK59*1.5,0))*(1+$AU59)*(1+$AV59)+(($AW59+($AX59-$AW59)*IF(VLOOKUP($Q59,武学奇术!$A:$ZZ,31,FALSE)=1,$F$18,0.5))*IF($G$1="裂石",$AJ59,$AH59)+IF($G$1="裂石",$AK59*1.5,0))*(1+$AY59)*(1+$AZ59)+(($BA59+($BB59-$BA59)*IF(VLOOKUP($Q59,武学奇术!$A:$ZZ,31,FALSE)=1,$F$18,0.5))*IF($G$1="牵丝",$AJ59,$AH59)+IF($G$1="牵丝",$AK59*1.5,0))*(1+$BC59)*(1+$BD59)+(($BE59+($BF59-$BE59)*IF(VLOOKUP($Q59,武学奇术!$A:$ZZ,31,FALSE)=1,$F$18,0.5))*IF($G$1="破竹",$AJ59,$AH59)+IF($G$1="破竹",$AK59*1.5,0))*(1+$BG59)*(1+$BH59))*(1+$AL59)*$P59*(1+IF(VLOOKUP($Q59,武学奇术!$A:$ZZ,30,FALSE)="蓄力技",$B$21,0))*(1+$BQ59)</f>
        <v>0</v>
      </c>
      <c r="O59" s="39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40">
        <v>1</v>
      </c>
      <c r="Q59" s="41" t="s">
        <v>73</v>
      </c>
      <c r="R59" s="41" t="s">
        <v>73</v>
      </c>
      <c r="S59" s="41" t="s">
        <v>73</v>
      </c>
      <c r="T59" s="41" t="s">
        <v>73</v>
      </c>
      <c r="U59" s="41" t="s">
        <v>73</v>
      </c>
      <c r="V59" s="41" t="s">
        <v>73</v>
      </c>
      <c r="W59" s="41" t="s">
        <v>73</v>
      </c>
      <c r="X59" s="41" t="s">
        <v>73</v>
      </c>
      <c r="Y59" s="41" t="s">
        <v>73</v>
      </c>
      <c r="Z59" s="41" t="s">
        <v>73</v>
      </c>
      <c r="AA59" s="41" t="s">
        <v>73</v>
      </c>
      <c r="AB59" s="41" t="s">
        <v>73</v>
      </c>
      <c r="AC59" s="41" t="s">
        <v>73</v>
      </c>
      <c r="AD59" s="41" t="s">
        <v>73</v>
      </c>
      <c r="AE59" s="41" t="s">
        <v>77</v>
      </c>
      <c r="AF59" s="41" t="s">
        <v>78</v>
      </c>
      <c r="AG59" t="str">
        <f>VLOOKUP($Q59,武学奇术!$A:$ZZ,25,FALSE)</f>
        <v>心法</v>
      </c>
      <c r="AH59" s="27">
        <f>VLOOKUP($Q59,武学奇术!$A:$ZZ,26,FALSE)</f>
        <v>0</v>
      </c>
      <c r="AI59" s="28">
        <f>VLOOKUP($Q59,武学奇术!$A:$ZZ,27,FALSE)*(1+IF(OR($AG59=$F$4,$AG59=$F$5),$B$22,0))</f>
        <v>0</v>
      </c>
      <c r="AJ59" s="27">
        <f>VLOOKUP($Q59,武学奇术!$A:$ZZ,28,FALSE)</f>
        <v>0</v>
      </c>
      <c r="AK59" s="28">
        <f>VLOOKUP($Q59,武学奇术!$A:$ZZ,29,FALSE)*(1+IF(OR($AG59=$F$4,$AG59=$F$5),$B$22,0))</f>
        <v>0</v>
      </c>
      <c r="AL59" s="27" cm="1">
        <f t="array" ref="AL59">$G$3+IFERROR(VLOOKUP($AG59,$F$4:$G$7,2,FALSE),0)+VLOOKUP($Q59,武学奇术!$A:$ZZ,2,FALSE)+SUM(_xlfn.XLOOKUP($R59:$AF59,增益!$A:$A,增益!$B:$B,0))</f>
        <v>0.1037</v>
      </c>
      <c r="AM59" s="27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3826.382</v>
      </c>
      <c r="AO59" cm="1">
        <f t="array" ref="AO59">$E$10*(1+$AM59)+VLOOKUP($Q59,武学奇术!$A:$ZZ,4,FALSE)+SUM(_xlfn.XLOOKUP($R59:$AF59,增益!$A:$A,增益!$D:$D,0))-$I$2</f>
        <v>3826.382</v>
      </c>
      <c r="AP59" s="33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0.167</v>
      </c>
      <c r="AQ59" s="33" cm="1">
        <f t="array" ref="AQ59">$G$10+VLOOKUP($Q59,武学奇术!$A:$ZZ,7,FALSE)+SUM(_xlfn.XLOOKUP(R59:AF59,增益!$A:$A,增益!$G:$G,0))</f>
        <v>0.09</v>
      </c>
      <c r="AR59" s="27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3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3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3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3" cm="1">
        <f t="array" ref="AZ59">$G$12+VLOOKUP($Q59,武学奇术!$A:$ZZ,12,FALSE)+SUM(_xlfn.XLOOKUP(R59:AF59,增益!$A:$A,增益!$L:$L,0))</f>
        <v>0</v>
      </c>
      <c r="BA59">
        <f t="shared" si="5"/>
        <v>0</v>
      </c>
      <c r="BB59">
        <f t="shared" si="6"/>
        <v>0</v>
      </c>
      <c r="BC59" s="33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3" cm="1">
        <f t="array" ref="BD59">$G$13+VLOOKUP($Q59,武学奇术!$A:$ZZ,14,FALSE)+SUM(_xlfn.XLOOKUP(R59:AF59,增益!$A:$A,增益!$N:$N,0))</f>
        <v>0</v>
      </c>
      <c r="BE59">
        <f t="shared" si="7"/>
        <v>605.472</v>
      </c>
      <c r="BF59">
        <f t="shared" si="8"/>
        <v>1725.468</v>
      </c>
      <c r="BG59" s="33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</v>
      </c>
      <c r="BH59" s="33" cm="1">
        <f t="array" ref="BH59">$G$14+VLOOKUP($Q59,武学奇术!$A:$ZZ,16,FALSE)+SUM(_xlfn.XLOOKUP(R59:AF59,增益!$A:$A,增益!$P:$P,0))</f>
        <v>0.24</v>
      </c>
      <c r="BI59" s="27">
        <f>MIN(IF(VLOOKUP($Q59,武学奇术!$A:$ZZ,23,FALSE)=1,100%,$B$8),100%)</f>
        <v>1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+MIN(IF(VLOOKUP($Q59,武学奇术!$A:$ZZ,32,FALSE)=1,IF(VLOOKUP($Q59,武学奇术!$A:$ZZ,24,FALSE)=1,100%,MIN(40%,$B$10+VLOOKUP($Q59,武学奇术!$A:$ZZ,19,FALSE)+SUM(_xlfn.XLOOKUP(R59:AF59,增益!$A:$A,增益!$S:$S,0)))+$B$12+SUM(_xlfn.XLOOKUP(R59:AF59,增益!$A:$A,增益!$V:$V,0))),0),12%)</f>
        <v>0.9036</v>
      </c>
      <c r="BK59" s="27" cm="1">
        <f t="array" ref="BK59">1+$B$13+VLOOKUP($Q59,武学奇术!$A:$ZZ,18,FALSE)+SUM(_xlfn.XLOOKUP(R59:AF59,增益!$A:$A,增益!$R:$R,0))</f>
        <v>1.54</v>
      </c>
      <c r="BL59" s="27" cm="1">
        <f t="array" ref="BL59">MAX(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-IF(VLOOKUP($Q59,武学奇术!$A:$ZZ,32,FALSE)=1,12%,0),0)</f>
        <v>0.0929</v>
      </c>
      <c r="BM59" s="27" cm="1">
        <f t="array" ref="BM59">1+$B$14+VLOOKUP($Q59,武学奇术!$A:$ZZ,20,FALSE)+SUM(_xlfn.XLOOKUP(R59:AF59,增益!$A:$A,增益!$T:$T,0))</f>
        <v>1.35</v>
      </c>
      <c r="BN59" s="27">
        <f t="shared" si="9"/>
        <v>0.9036</v>
      </c>
      <c r="BO59" s="27">
        <f t="shared" si="10"/>
        <v>0.00350000000000006</v>
      </c>
      <c r="BP59" s="27">
        <f>IF(VLOOKUP($Q59,武学奇术!$A:$ZZ,22,FALSE)=1,0,(1-$BI59))*(1-$BL59)</f>
        <v>0</v>
      </c>
      <c r="BQ59" s="27" cm="1">
        <f t="array" ref="BQ59">SUM(_xlfn.XLOOKUP(R59:AF59,增益!$A:$A,增益!$W:$W,0))+$I$5</f>
        <v>0.11</v>
      </c>
    </row>
    <row r="60" spans="1:69">
      <c r="A60" s="4"/>
      <c r="B60" s="91"/>
      <c r="F60" s="4"/>
      <c r="G60" s="4"/>
      <c r="K60" s="39">
        <f t="shared" si="0"/>
        <v>21610.5048037203</v>
      </c>
      <c r="L60" s="39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BK60*$P60*(1+IF(VLOOKUP($Q60,武学奇术!$A:$ZZ,30,FALSE)="蓄力技",$B$21,0))*(1+$BQ60)</f>
        <v>21786.8796961302</v>
      </c>
      <c r="M60" s="39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20208.65361358</v>
      </c>
      <c r="N60" s="39">
        <f>((($AN60+($AO60-$AN60)*IF(VLOOKUP($Q60,武学奇术!$A:$ZZ,31,FALSE)=1,$F$18,0.5))*$AH60+$AI60)*(1+$AP60)*(1+$AQ60)+(($AS60+($AT60-$AS60)*IF(VLOOKUP($Q60,武学奇术!$A:$ZZ,31,FALSE)=1,$F$18,0.5))*IF($G$1="鸣金",$AJ60,$AH60)+IF($G$1="鸣金",$AK60*1.5,0))*(1+$AU60)*(1+$AV60)+(($AW60+($AX60-$AW60)*IF(VLOOKUP($Q60,武学奇术!$A:$ZZ,31,FALSE)=1,$F$18,0.5))*IF($G$1="裂石",$AJ60,$AH60)+IF($G$1="裂石",$AK60*1.5,0))*(1+$AY60)*(1+$AZ60)+(($BA60+($BB60-$BA60)*IF(VLOOKUP($Q60,武学奇术!$A:$ZZ,31,FALSE)=1,$F$18,0.5))*IF($G$1="牵丝",$AJ60,$AH60)+IF($G$1="牵丝",$AK60*1.5,0))*(1+$BC60)*(1+$BD60)+(($BE60+($BF60-$BE60)*IF(VLOOKUP($Q60,武学奇术!$A:$ZZ,31,FALSE)=1,$F$18,0.5))*IF($G$1="破竹",$AJ60,$AH60)+IF($G$1="破竹",$AK60*1.5,0))*(1+$BG60)*(1+$BH60))*(1+$AL60)*$P60*(1+IF(VLOOKUP($Q60,武学奇术!$A:$ZZ,30,FALSE)="蓄力技",$B$21,0))*(1+$BQ60)</f>
        <v>13284.6827415428</v>
      </c>
      <c r="O60" s="39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11599.9924359893</v>
      </c>
      <c r="P60" s="40">
        <v>1</v>
      </c>
      <c r="Q60" s="41" t="s">
        <v>151</v>
      </c>
      <c r="R60" s="41" t="s">
        <v>97</v>
      </c>
      <c r="S60" s="41" t="s">
        <v>73</v>
      </c>
      <c r="T60" s="41" t="s">
        <v>73</v>
      </c>
      <c r="U60" s="41" t="s">
        <v>73</v>
      </c>
      <c r="V60" s="41" t="s">
        <v>73</v>
      </c>
      <c r="W60" s="41" t="s">
        <v>73</v>
      </c>
      <c r="X60" s="41" t="s">
        <v>164</v>
      </c>
      <c r="Y60" s="41" t="s">
        <v>73</v>
      </c>
      <c r="Z60" s="41" t="s">
        <v>73</v>
      </c>
      <c r="AA60" s="41" t="s">
        <v>73</v>
      </c>
      <c r="AB60" s="41" t="s">
        <v>73</v>
      </c>
      <c r="AC60" s="41" t="s">
        <v>73</v>
      </c>
      <c r="AD60" s="41" t="s">
        <v>73</v>
      </c>
      <c r="AE60" s="41" t="s">
        <v>77</v>
      </c>
      <c r="AF60" s="41" t="s">
        <v>78</v>
      </c>
      <c r="AG60" t="str">
        <f>VLOOKUP($Q60,武学奇术!$A:$ZZ,25,FALSE)</f>
        <v>拳甲</v>
      </c>
      <c r="AH60" s="27">
        <f>VLOOKUP($Q60,武学奇术!$A:$ZZ,26,FALSE)</f>
        <v>1.1005</v>
      </c>
      <c r="AI60" s="28">
        <f>VLOOKUP($Q60,武学奇术!$A:$ZZ,27,FALSE)*(1+IF(OR($AG60=$F$4,$AG60=$F$5),$B$22,0))</f>
        <v>457.5</v>
      </c>
      <c r="AJ60" s="27">
        <f>VLOOKUP($Q60,武学奇术!$A:$ZZ,28,FALSE)</f>
        <v>1.6507</v>
      </c>
      <c r="AK60" s="28">
        <f>VLOOKUP($Q60,武学奇术!$A:$ZZ,29,FALSE)*(1+IF(OR($AG60=$F$4,$AG60=$F$5),$B$22,0))</f>
        <v>247.5</v>
      </c>
      <c r="AL60" s="27" cm="1">
        <f t="array" ref="AL60">$G$3+IFERROR(VLOOKUP($AG60,$F$4:$G$7,2,FALSE),0)+VLOOKUP($Q60,武学奇术!$A:$ZZ,2,FALSE)+SUM(_xlfn.XLOOKUP($R60:$AF60,增益!$A:$A,增益!$B:$B,0))</f>
        <v>0.3241</v>
      </c>
      <c r="AM60" s="27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3826.382</v>
      </c>
      <c r="AO60" cm="1">
        <f t="array" ref="AO60">$E$10*(1+$AM60)+VLOOKUP($Q60,武学奇术!$A:$ZZ,4,FALSE)+SUM(_xlfn.XLOOKUP($R60:$AF60,增益!$A:$A,增益!$D:$D,0))-$I$2</f>
        <v>3826.382</v>
      </c>
      <c r="AP60" s="33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0.217</v>
      </c>
      <c r="AQ60" s="33" cm="1">
        <f t="array" ref="AQ60">$G$10+VLOOKUP($Q60,武学奇术!$A:$ZZ,7,FALSE)+SUM(_xlfn.XLOOKUP(R60:AF60,增益!$A:$A,增益!$G:$G,0))</f>
        <v>0.09</v>
      </c>
      <c r="AR60" s="27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3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3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3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3" cm="1">
        <f t="array" ref="AZ60">$G$12+VLOOKUP($Q60,武学奇术!$A:$ZZ,12,FALSE)+SUM(_xlfn.XLOOKUP(R60:AF60,增益!$A:$A,增益!$L:$L,0))</f>
        <v>0</v>
      </c>
      <c r="BA60">
        <f t="shared" si="5"/>
        <v>0</v>
      </c>
      <c r="BB60">
        <f t="shared" si="6"/>
        <v>0</v>
      </c>
      <c r="BC60" s="33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3" cm="1">
        <f t="array" ref="BD60">$G$13+VLOOKUP($Q60,武学奇术!$A:$ZZ,14,FALSE)+SUM(_xlfn.XLOOKUP(R60:AF60,增益!$A:$A,增益!$N:$N,0))</f>
        <v>0</v>
      </c>
      <c r="BE60">
        <f t="shared" si="7"/>
        <v>605.472</v>
      </c>
      <c r="BF60">
        <f t="shared" si="8"/>
        <v>1725.468</v>
      </c>
      <c r="BG60" s="33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</v>
      </c>
      <c r="BH60" s="33" cm="1">
        <f t="array" ref="BH60">$G$14+VLOOKUP($Q60,武学奇术!$A:$ZZ,16,FALSE)+SUM(_xlfn.XLOOKUP(R60:AF60,增益!$A:$A,增益!$P:$P,0))</f>
        <v>0.24</v>
      </c>
      <c r="BI60" s="27">
        <f>MIN(IF(VLOOKUP($Q60,武学奇术!$A:$ZZ,23,FALSE)=1,100%,$B$8),100%)</f>
        <v>1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+MIN(IF(VLOOKUP($Q60,武学奇术!$A:$ZZ,32,FALSE)=1,IF(VLOOKUP($Q60,武学奇术!$A:$ZZ,24,FALSE)=1,100%,MIN(40%,$B$10+VLOOKUP($Q60,武学奇术!$A:$ZZ,19,FALSE)+SUM(_xlfn.XLOOKUP(R60:AF60,增益!$A:$A,增益!$S:$S,0)))+$B$12+SUM(_xlfn.XLOOKUP(R60:AF60,增益!$A:$A,增益!$V:$V,0))),0),12%)</f>
        <v>0.9036</v>
      </c>
      <c r="BK60" s="27" cm="1">
        <f t="array" ref="BK60">1+$B$13+VLOOKUP($Q60,武学奇术!$A:$ZZ,18,FALSE)+SUM(_xlfn.XLOOKUP(R60:AF60,增益!$A:$A,增益!$R:$R,0))</f>
        <v>1.64</v>
      </c>
      <c r="BL60" s="27" cm="1">
        <f t="array" ref="BL60">MAX(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-IF(VLOOKUP($Q60,武学奇术!$A:$ZZ,32,FALSE)=1,12%,0),0)</f>
        <v>0.0929</v>
      </c>
      <c r="BM60" s="27" cm="1">
        <f t="array" ref="BM60">1+$B$14+VLOOKUP($Q60,武学奇术!$A:$ZZ,20,FALSE)+SUM(_xlfn.XLOOKUP(R60:AF60,增益!$A:$A,增益!$T:$T,0))</f>
        <v>1.35</v>
      </c>
      <c r="BN60" s="27">
        <f t="shared" si="9"/>
        <v>0.9036</v>
      </c>
      <c r="BO60" s="27">
        <f t="shared" si="10"/>
        <v>0.00350000000000006</v>
      </c>
      <c r="BP60" s="27">
        <f>IF(VLOOKUP($Q60,武学奇术!$A:$ZZ,22,FALSE)=1,0,(1-$BI60))*(1-$BL60)</f>
        <v>0</v>
      </c>
      <c r="BQ60" s="27" cm="1">
        <f t="array" ref="BQ60">SUM(_xlfn.XLOOKUP(R60:AF60,增益!$A:$A,增益!$W:$W,0))+$I$5</f>
        <v>0.11</v>
      </c>
    </row>
    <row r="61" spans="1:69">
      <c r="A61" s="4"/>
      <c r="B61" s="4"/>
      <c r="F61" s="4"/>
      <c r="G61" s="91"/>
      <c r="K61" s="39">
        <f t="shared" si="0"/>
        <v>47947.2130329771</v>
      </c>
      <c r="L61" s="39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BK61*$P61*(1+IF(VLOOKUP($Q61,武学奇术!$A:$ZZ,30,FALSE)="蓄力技",$B$21,0))*(1+$BQ61)</f>
        <v>48338.4064916274</v>
      </c>
      <c r="M61" s="39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44838.1883076034</v>
      </c>
      <c r="N61" s="39">
        <f>((($AN61+($AO61-$AN61)*IF(VLOOKUP($Q61,武学奇术!$A:$ZZ,31,FALSE)=1,$F$18,0.5))*$AH61+$AI61)*(1+$AP61)*(1+$AQ61)+(($AS61+($AT61-$AS61)*IF(VLOOKUP($Q61,武学奇术!$A:$ZZ,31,FALSE)=1,$F$18,0.5))*IF($G$1="鸣金",$AJ61,$AH61)+IF($G$1="鸣金",$AK61*1.5,0))*(1+$AU61)*(1+$AV61)+(($AW61+($AX61-$AW61)*IF(VLOOKUP($Q61,武学奇术!$A:$ZZ,31,FALSE)=1,$F$18,0.5))*IF($G$1="裂石",$AJ61,$AH61)+IF($G$1="裂石",$AK61*1.5,0))*(1+$AY61)*(1+$AZ61)+(($BA61+($BB61-$BA61)*IF(VLOOKUP($Q61,武学奇术!$A:$ZZ,31,FALSE)=1,$F$18,0.5))*IF($G$1="牵丝",$AJ61,$AH61)+IF($G$1="牵丝",$AK61*1.5,0))*(1+$BC61)*(1+$BD61)+(($BE61+($BF61-$BE61)*IF(VLOOKUP($Q61,武学奇术!$A:$ZZ,31,FALSE)=1,$F$18,0.5))*IF($G$1="破竹",$AJ61,$AH61)+IF($G$1="破竹",$AK61*1.5,0))*(1+$BG61)*(1+$BH61))*(1+$AL61)*$P61*(1+IF(VLOOKUP($Q61,武学奇术!$A:$ZZ,30,FALSE)="蓄力技",$B$21,0))*(1+$BQ61)</f>
        <v>29474.6381046509</v>
      </c>
      <c r="O61" s="39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25735.8033888547</v>
      </c>
      <c r="P61" s="40">
        <v>1</v>
      </c>
      <c r="Q61" s="41" t="s">
        <v>120</v>
      </c>
      <c r="R61" s="41" t="s">
        <v>97</v>
      </c>
      <c r="S61" s="41" t="s">
        <v>73</v>
      </c>
      <c r="T61" s="41" t="s">
        <v>73</v>
      </c>
      <c r="U61" s="41" t="s">
        <v>73</v>
      </c>
      <c r="V61" s="41" t="s">
        <v>73</v>
      </c>
      <c r="W61" s="41" t="s">
        <v>73</v>
      </c>
      <c r="X61" s="41" t="s">
        <v>164</v>
      </c>
      <c r="Y61" s="41" t="s">
        <v>73</v>
      </c>
      <c r="Z61" s="41" t="s">
        <v>73</v>
      </c>
      <c r="AA61" s="41" t="s">
        <v>73</v>
      </c>
      <c r="AB61" s="41" t="s">
        <v>73</v>
      </c>
      <c r="AC61" s="41" t="s">
        <v>73</v>
      </c>
      <c r="AD61" s="41" t="s">
        <v>73</v>
      </c>
      <c r="AE61" s="41" t="s">
        <v>77</v>
      </c>
      <c r="AF61" s="41" t="s">
        <v>78</v>
      </c>
      <c r="AG61" t="str">
        <f>VLOOKUP($Q61,武学奇术!$A:$ZZ,25,FALSE)</f>
        <v>拳甲</v>
      </c>
      <c r="AH61" s="27">
        <f>VLOOKUP($Q61,武学奇术!$A:$ZZ,26,FALSE)</f>
        <v>2.4421</v>
      </c>
      <c r="AI61" s="28">
        <f>VLOOKUP($Q61,武学奇术!$A:$ZZ,27,FALSE)*(1+IF(OR($AG61=$F$4,$AG61=$F$5),$B$22,0))</f>
        <v>1012.5</v>
      </c>
      <c r="AJ61" s="27">
        <f>VLOOKUP($Q61,武学奇术!$A:$ZZ,28,FALSE)</f>
        <v>3.6634</v>
      </c>
      <c r="AK61" s="28">
        <f>VLOOKUP($Q61,武学奇术!$A:$ZZ,29,FALSE)*(1+IF(OR($AG61=$F$4,$AG61=$F$5),$B$22,0))</f>
        <v>549</v>
      </c>
      <c r="AL61" s="27" cm="1">
        <f t="array" ref="AL61">$G$3+IFERROR(VLOOKUP($AG61,$F$4:$G$7,2,FALSE),0)+VLOOKUP($Q61,武学奇术!$A:$ZZ,2,FALSE)+SUM(_xlfn.XLOOKUP($R61:$AF61,增益!$A:$A,增益!$B:$B,0))</f>
        <v>0.3241</v>
      </c>
      <c r="AM61" s="27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3826.382</v>
      </c>
      <c r="AO61" cm="1">
        <f t="array" ref="AO61">$E$10*(1+$AM61)+VLOOKUP($Q61,武学奇术!$A:$ZZ,4,FALSE)+SUM(_xlfn.XLOOKUP($R61:$AF61,增益!$A:$A,增益!$D:$D,0))-$I$2</f>
        <v>3826.382</v>
      </c>
      <c r="AP61" s="33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0.217</v>
      </c>
      <c r="AQ61" s="33" cm="1">
        <f t="array" ref="AQ61">$G$10+VLOOKUP($Q61,武学奇术!$A:$ZZ,7,FALSE)+SUM(_xlfn.XLOOKUP(R61:AF61,增益!$A:$A,增益!$G:$G,0))</f>
        <v>0.09</v>
      </c>
      <c r="AR61" s="27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3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3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3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3" cm="1">
        <f t="array" ref="AZ61">$G$12+VLOOKUP($Q61,武学奇术!$A:$ZZ,12,FALSE)+SUM(_xlfn.XLOOKUP(R61:AF61,增益!$A:$A,增益!$L:$L,0))</f>
        <v>0</v>
      </c>
      <c r="BA61">
        <f t="shared" si="5"/>
        <v>0</v>
      </c>
      <c r="BB61">
        <f t="shared" si="6"/>
        <v>0</v>
      </c>
      <c r="BC61" s="33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-0.3</v>
      </c>
      <c r="BD61" s="33" cm="1">
        <f t="array" ref="BD61">$G$13+VLOOKUP($Q61,武学奇术!$A:$ZZ,14,FALSE)+SUM(_xlfn.XLOOKUP(R61:AF61,增益!$A:$A,增益!$N:$N,0))</f>
        <v>0</v>
      </c>
      <c r="BE61">
        <f t="shared" si="7"/>
        <v>605.472</v>
      </c>
      <c r="BF61">
        <f t="shared" si="8"/>
        <v>1725.468</v>
      </c>
      <c r="BG61" s="33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</v>
      </c>
      <c r="BH61" s="33" cm="1">
        <f t="array" ref="BH61">$G$14+VLOOKUP($Q61,武学奇术!$A:$ZZ,16,FALSE)+SUM(_xlfn.XLOOKUP(R61:AF61,增益!$A:$A,增益!$P:$P,0))</f>
        <v>0.24</v>
      </c>
      <c r="BI61" s="27">
        <f>MIN(IF(VLOOKUP($Q61,武学奇术!$A:$ZZ,23,FALSE)=1,100%,$B$8),100%)</f>
        <v>1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+MIN(IF(VLOOKUP($Q61,武学奇术!$A:$ZZ,32,FALSE)=1,IF(VLOOKUP($Q61,武学奇术!$A:$ZZ,24,FALSE)=1,100%,MIN(40%,$B$10+VLOOKUP($Q61,武学奇术!$A:$ZZ,19,FALSE)+SUM(_xlfn.XLOOKUP(R61:AF61,增益!$A:$A,增益!$S:$S,0)))+$B$12+SUM(_xlfn.XLOOKUP(R61:AF61,增益!$A:$A,增益!$V:$V,0))),0),12%)</f>
        <v>0.9036</v>
      </c>
      <c r="BK61" s="27" cm="1">
        <f t="array" ref="BK61">1+$B$13+VLOOKUP($Q61,武学奇术!$A:$ZZ,18,FALSE)+SUM(_xlfn.XLOOKUP(R61:AF61,增益!$A:$A,增益!$R:$R,0))</f>
        <v>1.64</v>
      </c>
      <c r="BL61" s="27" cm="1">
        <f t="array" ref="BL61">MAX(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-IF(VLOOKUP($Q61,武学奇术!$A:$ZZ,32,FALSE)=1,12%,0),0)</f>
        <v>0.0929</v>
      </c>
      <c r="BM61" s="27" cm="1">
        <f t="array" ref="BM61">1+$B$14+VLOOKUP($Q61,武学奇术!$A:$ZZ,20,FALSE)+SUM(_xlfn.XLOOKUP(R61:AF61,增益!$A:$A,增益!$T:$T,0))</f>
        <v>1.35</v>
      </c>
      <c r="BN61" s="27">
        <f t="shared" si="9"/>
        <v>0.9036</v>
      </c>
      <c r="BO61" s="27">
        <f t="shared" si="10"/>
        <v>0.00350000000000006</v>
      </c>
      <c r="BP61" s="27">
        <f>IF(VLOOKUP($Q61,武学奇术!$A:$ZZ,22,FALSE)=1,0,(1-$BI61))*(1-$BL61)</f>
        <v>0</v>
      </c>
      <c r="BQ61" s="27" cm="1">
        <f t="array" ref="BQ61">SUM(_xlfn.XLOOKUP(R61:AF61,增益!$A:$A,增益!$W:$W,0))+$I$5</f>
        <v>0.11</v>
      </c>
    </row>
    <row r="62" spans="1:69">
      <c r="A62" s="4"/>
      <c r="B62" s="4"/>
      <c r="K62" s="39">
        <f t="shared" si="0"/>
        <v>25302.7013066055</v>
      </c>
      <c r="L62" s="39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BK62*$P62*(1+IF(VLOOKUP($Q62,武学奇术!$A:$ZZ,30,FALSE)="蓄力技",$B$21,0))*(1+$BQ62)</f>
        <v>25509.3959279023</v>
      </c>
      <c r="M62" s="39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23659.5302708341</v>
      </c>
      <c r="N62" s="39">
        <f>((($AN62+($AO62-$AN62)*IF(VLOOKUP($Q62,武学奇术!$A:$ZZ,31,FALSE)=1,$F$18,0.5))*$AH62+$AI62)*(1+$AP62)*(1+$AQ62)+(($AS62+($AT62-$AS62)*IF(VLOOKUP($Q62,武学奇术!$A:$ZZ,31,FALSE)=1,$F$18,0.5))*IF($G$1="鸣金",$AJ62,$AH62)+IF($G$1="鸣金",$AK62*1.5,0))*(1+$AU62)*(1+$AV62)+(($AW62+($AX62-$AW62)*IF(VLOOKUP($Q62,武学奇术!$A:$ZZ,31,FALSE)=1,$F$18,0.5))*IF($G$1="裂石",$AJ62,$AH62)+IF($G$1="裂石",$AK62*1.5,0))*(1+$AY62)*(1+$AZ62)+(($BA62+($BB62-$BA62)*IF(VLOOKUP($Q62,武学奇术!$A:$ZZ,31,FALSE)=1,$F$18,0.5))*IF($G$1="牵丝",$AJ62,$AH62)+IF($G$1="牵丝",$AK62*1.5,0))*(1+$BC62)*(1+$BD62)+(($BE62+($BF62-$BE62)*IF(VLOOKUP($Q62,武学奇术!$A:$ZZ,31,FALSE)=1,$F$18,0.5))*IF($G$1="破竹",$AJ62,$AH62)+IF($G$1="破竹",$AK62*1.5,0))*(1+$BG62)*(1+$BH62))*(1+$AL62)*$P62*(1+IF(VLOOKUP($Q62,武学奇术!$A:$ZZ,30,FALSE)="蓄力技",$B$21,0))*(1+$BQ62)</f>
        <v>15554.5097121355</v>
      </c>
      <c r="O62" s="39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13583.4414458755</v>
      </c>
      <c r="P62" s="40">
        <v>1</v>
      </c>
      <c r="Q62" s="41" t="s">
        <v>115</v>
      </c>
      <c r="R62" s="41" t="s">
        <v>97</v>
      </c>
      <c r="S62" s="41" t="s">
        <v>73</v>
      </c>
      <c r="T62" s="41" t="s">
        <v>73</v>
      </c>
      <c r="U62" s="41" t="s">
        <v>73</v>
      </c>
      <c r="V62" s="41" t="s">
        <v>73</v>
      </c>
      <c r="W62" s="41" t="s">
        <v>73</v>
      </c>
      <c r="X62" s="41" t="s">
        <v>164</v>
      </c>
      <c r="Y62" s="41" t="s">
        <v>73</v>
      </c>
      <c r="Z62" s="41" t="s">
        <v>73</v>
      </c>
      <c r="AA62" s="41" t="s">
        <v>73</v>
      </c>
      <c r="AB62" s="41" t="s">
        <v>73</v>
      </c>
      <c r="AC62" s="41" t="s">
        <v>73</v>
      </c>
      <c r="AD62" s="41" t="s">
        <v>73</v>
      </c>
      <c r="AE62" s="41" t="s">
        <v>77</v>
      </c>
      <c r="AF62" s="41" t="s">
        <v>78</v>
      </c>
      <c r="AG62" t="str">
        <f>VLOOKUP($Q62,武学奇术!$A:$ZZ,25,FALSE)</f>
        <v>拳甲</v>
      </c>
      <c r="AH62" s="27">
        <f>VLOOKUP($Q62,武学奇术!$A:$ZZ,26,FALSE)</f>
        <v>1.2876</v>
      </c>
      <c r="AI62" s="28">
        <f>VLOOKUP($Q62,武学奇术!$A:$ZZ,27,FALSE)*(1+IF(OR($AG62=$F$4,$AG62=$F$5),$B$22,0))</f>
        <v>537</v>
      </c>
      <c r="AJ62" s="27">
        <f>VLOOKUP($Q62,武学奇术!$A:$ZZ,28,FALSE)</f>
        <v>1.9313</v>
      </c>
      <c r="AK62" s="28">
        <f>VLOOKUP($Q62,武学奇术!$A:$ZZ,29,FALSE)*(1+IF(OR($AG62=$F$4,$AG62=$F$5),$B$22,0))</f>
        <v>292.5</v>
      </c>
      <c r="AL62" s="27" cm="1">
        <f t="array" ref="AL62">$G$3+IFERROR(VLOOKUP($AG62,$F$4:$G$7,2,FALSE),0)+VLOOKUP($Q62,武学奇术!$A:$ZZ,2,FALSE)+SUM(_xlfn.XLOOKUP($R62:$AF62,增益!$A:$A,增益!$B:$B,0))</f>
        <v>0.3241</v>
      </c>
      <c r="AM62" s="27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3826.382</v>
      </c>
      <c r="AO62" cm="1">
        <f t="array" ref="AO62">$E$10*(1+$AM62)+VLOOKUP($Q62,武学奇术!$A:$ZZ,4,FALSE)+SUM(_xlfn.XLOOKUP($R62:$AF62,增益!$A:$A,增益!$D:$D,0))-$I$2</f>
        <v>3826.382</v>
      </c>
      <c r="AP62" s="33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0.217</v>
      </c>
      <c r="AQ62" s="33" cm="1">
        <f t="array" ref="AQ62">$G$10+VLOOKUP($Q62,武学奇术!$A:$ZZ,7,FALSE)+SUM(_xlfn.XLOOKUP(R62:AF62,增益!$A:$A,增益!$G:$G,0))</f>
        <v>0.09</v>
      </c>
      <c r="AR62" s="27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3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3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3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3" cm="1">
        <f t="array" ref="AZ62">$G$12+VLOOKUP($Q62,武学奇术!$A:$ZZ,12,FALSE)+SUM(_xlfn.XLOOKUP(R62:AF62,增益!$A:$A,增益!$L:$L,0))</f>
        <v>0</v>
      </c>
      <c r="BA62">
        <f t="shared" si="5"/>
        <v>0</v>
      </c>
      <c r="BB62">
        <f t="shared" si="6"/>
        <v>0</v>
      </c>
      <c r="BC62" s="33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3" cm="1">
        <f t="array" ref="BD62">$G$13+VLOOKUP($Q62,武学奇术!$A:$ZZ,14,FALSE)+SUM(_xlfn.XLOOKUP(R62:AF62,增益!$A:$A,增益!$N:$N,0))</f>
        <v>0</v>
      </c>
      <c r="BE62">
        <f t="shared" si="7"/>
        <v>605.472</v>
      </c>
      <c r="BF62">
        <f t="shared" si="8"/>
        <v>1725.468</v>
      </c>
      <c r="BG62" s="33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</v>
      </c>
      <c r="BH62" s="33" cm="1">
        <f t="array" ref="BH62">$G$14+VLOOKUP($Q62,武学奇术!$A:$ZZ,16,FALSE)+SUM(_xlfn.XLOOKUP(R62:AF62,增益!$A:$A,增益!$P:$P,0))</f>
        <v>0.24</v>
      </c>
      <c r="BI62" s="27">
        <f>MIN(IF(VLOOKUP($Q62,武学奇术!$A:$ZZ,23,FALSE)=1,100%,$B$8),100%)</f>
        <v>1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+MIN(IF(VLOOKUP($Q62,武学奇术!$A:$ZZ,32,FALSE)=1,IF(VLOOKUP($Q62,武学奇术!$A:$ZZ,24,FALSE)=1,100%,MIN(40%,$B$10+VLOOKUP($Q62,武学奇术!$A:$ZZ,19,FALSE)+SUM(_xlfn.XLOOKUP(R62:AF62,增益!$A:$A,增益!$S:$S,0)))+$B$12+SUM(_xlfn.XLOOKUP(R62:AF62,增益!$A:$A,增益!$V:$V,0))),0),12%)</f>
        <v>0.9036</v>
      </c>
      <c r="BK62" s="27" cm="1">
        <f t="array" ref="BK62">1+$B$13+VLOOKUP($Q62,武学奇术!$A:$ZZ,18,FALSE)+SUM(_xlfn.XLOOKUP(R62:AF62,增益!$A:$A,增益!$R:$R,0))</f>
        <v>1.64</v>
      </c>
      <c r="BL62" s="27" cm="1">
        <f t="array" ref="BL62">MAX(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-IF(VLOOKUP($Q62,武学奇术!$A:$ZZ,32,FALSE)=1,12%,0),0)</f>
        <v>0.0929</v>
      </c>
      <c r="BM62" s="27" cm="1">
        <f t="array" ref="BM62">1+$B$14+VLOOKUP($Q62,武学奇术!$A:$ZZ,20,FALSE)+SUM(_xlfn.XLOOKUP(R62:AF62,增益!$A:$A,增益!$T:$T,0))</f>
        <v>1.35</v>
      </c>
      <c r="BN62" s="27">
        <f t="shared" si="9"/>
        <v>0.9036</v>
      </c>
      <c r="BO62" s="27">
        <f t="shared" si="10"/>
        <v>0.00350000000000006</v>
      </c>
      <c r="BP62" s="27">
        <f>IF(VLOOKUP($Q62,武学奇术!$A:$ZZ,22,FALSE)=1,0,(1-$BI62))*(1-$BL62)</f>
        <v>0</v>
      </c>
      <c r="BQ62" s="27" cm="1">
        <f t="array" ref="BQ62">SUM(_xlfn.XLOOKUP(R62:AF62,增益!$A:$A,增益!$W:$W,0))+$I$5</f>
        <v>0.11</v>
      </c>
    </row>
    <row r="63" spans="1:69">
      <c r="A63" s="4"/>
      <c r="B63" s="4"/>
      <c r="K63" s="39">
        <f t="shared" si="0"/>
        <v>67193.4124421633</v>
      </c>
      <c r="L63" s="39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BK63*$P63*(1+IF(VLOOKUP($Q63,武学奇术!$A:$ZZ,30,FALSE)="蓄力技",$B$21,0))*(1+$BQ63)</f>
        <v>68608.0464851687</v>
      </c>
      <c r="M63" s="39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54632.9842272572</v>
      </c>
      <c r="N63" s="39">
        <f>((($AN63+($AO63-$AN63)*IF(VLOOKUP($Q63,武学奇术!$A:$ZZ,31,FALSE)=1,$F$18,0.5))*$AH63+$AI63)*(1+$AP63)*(1+$AQ63)+(($AS63+($AT63-$AS63)*IF(VLOOKUP($Q63,武学奇术!$A:$ZZ,31,FALSE)=1,$F$18,0.5))*IF($G$1="鸣金",$AJ63,$AH63)+IF($G$1="鸣金",$AK63*1.5,0))*(1+$AU63)*(1+$AV63)+(($AW63+($AX63-$AW63)*IF(VLOOKUP($Q63,武学奇术!$A:$ZZ,31,FALSE)=1,$F$18,0.5))*IF($G$1="裂石",$AJ63,$AH63)+IF($G$1="裂石",$AK63*1.5,0))*(1+$AY63)*(1+$AZ63)+(($BA63+($BB63-$BA63)*IF(VLOOKUP($Q63,武学奇术!$A:$ZZ,31,FALSE)=1,$F$18,0.5))*IF($G$1="牵丝",$AJ63,$AH63)+IF($G$1="牵丝",$AK63*1.5,0))*(1+$BC63)*(1+$BD63)+(($BE63+($BF63-$BE63)*IF(VLOOKUP($Q63,武学奇术!$A:$ZZ,31,FALSE)=1,$F$18,0.5))*IF($G$1="破竹",$AJ63,$AH63)+IF($G$1="破竹",$AK63*1.5,0))*(1+$BG63)*(1+$BH63))*(1+$AL63)*$P63*(1+IF(VLOOKUP($Q63,武学奇术!$A:$ZZ,30,FALSE)="蓄力技",$B$21,0))*(1+$BQ63)</f>
        <v>35364.9724150354</v>
      </c>
      <c r="O63" s="39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30261.0676246951</v>
      </c>
      <c r="P63" s="40">
        <v>1</v>
      </c>
      <c r="Q63" s="41" t="s">
        <v>117</v>
      </c>
      <c r="R63" s="41" t="s">
        <v>97</v>
      </c>
      <c r="S63" s="41" t="s">
        <v>73</v>
      </c>
      <c r="T63" s="41" t="s">
        <v>73</v>
      </c>
      <c r="U63" s="41" t="s">
        <v>73</v>
      </c>
      <c r="V63" s="41" t="s">
        <v>73</v>
      </c>
      <c r="W63" s="41" t="s">
        <v>73</v>
      </c>
      <c r="X63" s="41" t="s">
        <v>164</v>
      </c>
      <c r="Y63" s="41" t="s">
        <v>73</v>
      </c>
      <c r="Z63" s="41" t="s">
        <v>105</v>
      </c>
      <c r="AA63" s="41" t="s">
        <v>73</v>
      </c>
      <c r="AB63" s="41" t="s">
        <v>73</v>
      </c>
      <c r="AC63" s="41" t="s">
        <v>73</v>
      </c>
      <c r="AD63" s="41" t="s">
        <v>73</v>
      </c>
      <c r="AE63" s="41" t="s">
        <v>77</v>
      </c>
      <c r="AF63" s="41" t="s">
        <v>78</v>
      </c>
      <c r="AG63" t="str">
        <f>VLOOKUP($Q63,武学奇术!$A:$ZZ,25,FALSE)</f>
        <v>拳甲</v>
      </c>
      <c r="AH63" s="27">
        <f>VLOOKUP($Q63,武学奇术!$A:$ZZ,26,FALSE)</f>
        <v>2.638944</v>
      </c>
      <c r="AI63" s="28">
        <f>VLOOKUP($Q63,武学奇术!$A:$ZZ,27,FALSE)*(1+IF(OR($AG63=$F$4,$AG63=$F$5),$B$22,0))</f>
        <v>0</v>
      </c>
      <c r="AJ63" s="27">
        <f>VLOOKUP($Q63,武学奇术!$A:$ZZ,28,FALSE)</f>
        <v>3.958416</v>
      </c>
      <c r="AK63" s="28">
        <f>VLOOKUP($Q63,武学奇术!$A:$ZZ,29,FALSE)*(1+IF(OR($AG63=$F$4,$AG63=$F$5),$B$22,0))</f>
        <v>0</v>
      </c>
      <c r="AL63" s="27" cm="1">
        <f t="array" ref="AL63">$G$3+IFERROR(VLOOKUP($AG63,$F$4:$G$7,2,FALSE),0)+VLOOKUP($Q63,武学奇术!$A:$ZZ,2,FALSE)+SUM(_xlfn.XLOOKUP($R63:$AF63,增益!$A:$A,增益!$B:$B,0))</f>
        <v>0.6241</v>
      </c>
      <c r="AM63" s="27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3826.382</v>
      </c>
      <c r="AO63" cm="1">
        <f t="array" ref="AO63">$E$10*(1+$AM63)+VLOOKUP($Q63,武学奇术!$A:$ZZ,4,FALSE)+SUM(_xlfn.XLOOKUP($R63:$AF63,增益!$A:$A,增益!$D:$D,0))-$I$2</f>
        <v>3826.382</v>
      </c>
      <c r="AP63" s="33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0.247</v>
      </c>
      <c r="AQ63" s="33" cm="1">
        <f t="array" ref="AQ63">$G$10+VLOOKUP($Q63,武学奇术!$A:$ZZ,7,FALSE)+SUM(_xlfn.XLOOKUP(R63:AF63,增益!$A:$A,增益!$G:$G,0))</f>
        <v>0.09</v>
      </c>
      <c r="AR63" s="27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3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-0.24</v>
      </c>
      <c r="AV63" s="33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3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-0.24</v>
      </c>
      <c r="AZ63" s="33" cm="1">
        <f t="array" ref="AZ63">$G$12+VLOOKUP($Q63,武学奇术!$A:$ZZ,12,FALSE)+SUM(_xlfn.XLOOKUP(R63:AF63,增益!$A:$A,增益!$L:$L,0))</f>
        <v>0</v>
      </c>
      <c r="BA63">
        <f t="shared" si="5"/>
        <v>0</v>
      </c>
      <c r="BB63">
        <f t="shared" si="6"/>
        <v>0</v>
      </c>
      <c r="BC63" s="33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-0.24</v>
      </c>
      <c r="BD63" s="33" cm="1">
        <f t="array" ref="BD63">$G$13+VLOOKUP($Q63,武学奇术!$A:$ZZ,14,FALSE)+SUM(_xlfn.XLOOKUP(R63:AF63,增益!$A:$A,增益!$N:$N,0))</f>
        <v>0</v>
      </c>
      <c r="BE63">
        <f t="shared" si="7"/>
        <v>605.472</v>
      </c>
      <c r="BF63">
        <f t="shared" si="8"/>
        <v>1725.468</v>
      </c>
      <c r="BG63" s="33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0.03</v>
      </c>
      <c r="BH63" s="33" cm="1">
        <f t="array" ref="BH63">$G$14+VLOOKUP($Q63,武学奇术!$A:$ZZ,16,FALSE)+SUM(_xlfn.XLOOKUP(R63:AF63,增益!$A:$A,增益!$P:$P,0))</f>
        <v>0.24</v>
      </c>
      <c r="BI63" s="27">
        <f>MIN(IF(VLOOKUP($Q63,武学奇术!$A:$ZZ,23,FALSE)=1,100%,$B$8),100%)</f>
        <v>1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+MIN(IF(VLOOKUP($Q63,武学奇术!$A:$ZZ,32,FALSE)=1,IF(VLOOKUP($Q63,武学奇术!$A:$ZZ,24,FALSE)=1,100%,MIN(40%,$B$10+VLOOKUP($Q63,武学奇术!$A:$ZZ,19,FALSE)+SUM(_xlfn.XLOOKUP(R63:AF63,增益!$A:$A,增益!$S:$S,0)))+$B$12+SUM(_xlfn.XLOOKUP(R63:AF63,增益!$A:$A,增益!$V:$V,0))),0),12%)</f>
        <v>0.9036</v>
      </c>
      <c r="BK63" s="27" cm="1">
        <f t="array" ref="BK63">1+$B$13+VLOOKUP($Q63,武学奇术!$A:$ZZ,18,FALSE)+SUM(_xlfn.XLOOKUP(R63:AF63,增益!$A:$A,增益!$R:$R,0))</f>
        <v>1.94</v>
      </c>
      <c r="BL63" s="27" cm="1">
        <f t="array" ref="BL63">MAX(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-IF(VLOOKUP($Q63,武学奇术!$A:$ZZ,32,FALSE)=1,12%,0),0)</f>
        <v>0.0929</v>
      </c>
      <c r="BM63" s="27" cm="1">
        <f t="array" ref="BM63">1+$B$14+VLOOKUP($Q63,武学奇术!$A:$ZZ,20,FALSE)+SUM(_xlfn.XLOOKUP(R63:AF63,增益!$A:$A,增益!$T:$T,0))</f>
        <v>1.35</v>
      </c>
      <c r="BN63" s="27">
        <f t="shared" si="9"/>
        <v>0.9036</v>
      </c>
      <c r="BO63" s="27">
        <f t="shared" si="10"/>
        <v>0.00350000000000006</v>
      </c>
      <c r="BP63" s="27">
        <f>IF(VLOOKUP($Q63,武学奇术!$A:$ZZ,22,FALSE)=1,0,(1-$BI63))*(1-$BL63)</f>
        <v>0</v>
      </c>
      <c r="BQ63" s="27" cm="1">
        <f t="array" ref="BQ63">SUM(_xlfn.XLOOKUP(R63:AF63,增益!$A:$A,增益!$W:$W,0))+$I$5</f>
        <v>0.11</v>
      </c>
    </row>
    <row r="64" spans="1:69">
      <c r="A64" s="4"/>
      <c r="B64" s="91"/>
      <c r="F64" s="4"/>
      <c r="G64" s="91"/>
      <c r="K64" s="39">
        <f t="shared" si="0"/>
        <v>81494.6018518671</v>
      </c>
      <c r="L64" s="39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BK64*$P64*(1+IF(VLOOKUP($Q64,武学奇术!$A:$ZZ,30,FALSE)="蓄力技",$B$21,0))*(1+$BQ64)</f>
        <v>83360.763128432</v>
      </c>
      <c r="M64" s="39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64794.6518800912</v>
      </c>
      <c r="N64" s="39">
        <f>((($AN64+($AO64-$AN64)*IF(VLOOKUP($Q64,武学奇术!$A:$ZZ,31,FALSE)=1,$F$18,0.5))*$AH64+$AI64)*(1+$AP64)*(1+$AQ64)+(($AS64+($AT64-$AS64)*IF(VLOOKUP($Q64,武学奇术!$A:$ZZ,31,FALSE)=1,$F$18,0.5))*IF($G$1="鸣金",$AJ64,$AH64)+IF($G$1="鸣金",$AK64*1.5,0))*(1+$AU64)*(1+$AV64)+(($AW64+($AX64-$AW64)*IF(VLOOKUP($Q64,武学奇术!$A:$ZZ,31,FALSE)=1,$F$18,0.5))*IF($G$1="裂石",$AJ64,$AH64)+IF($G$1="裂石",$AK64*1.5,0))*(1+$AY64)*(1+$AZ64)+(($BA64+($BB64-$BA64)*IF(VLOOKUP($Q64,武学奇术!$A:$ZZ,31,FALSE)=1,$F$18,0.5))*IF($G$1="牵丝",$AJ64,$AH64)+IF($G$1="牵丝",$AK64*1.5,0))*(1+$BC64)*(1+$BD64)+(($BE64+($BF64-$BE64)*IF(VLOOKUP($Q64,武学奇术!$A:$ZZ,31,FALSE)=1,$F$18,0.5))*IF($G$1="破竹",$AJ64,$AH64)+IF($G$1="破竹",$AK64*1.5,0))*(1+$BG64)*(1+$BH64))*(1+$AL64)*$P64*(1+IF(VLOOKUP($Q64,武学奇术!$A:$ZZ,30,FALSE)="蓄力技",$B$21,0))*(1+$BQ64)</f>
        <v>42969.4655301196</v>
      </c>
      <c r="O64" s="39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37942.892630542</v>
      </c>
      <c r="P64" s="40">
        <v>1</v>
      </c>
      <c r="Q64" s="41" t="s">
        <v>112</v>
      </c>
      <c r="R64" s="41" t="s">
        <v>97</v>
      </c>
      <c r="S64" s="41" t="s">
        <v>73</v>
      </c>
      <c r="T64" s="41" t="s">
        <v>73</v>
      </c>
      <c r="U64" s="41" t="s">
        <v>73</v>
      </c>
      <c r="V64" s="41" t="s">
        <v>73</v>
      </c>
      <c r="W64" s="41" t="s">
        <v>73</v>
      </c>
      <c r="X64" s="41" t="s">
        <v>164</v>
      </c>
      <c r="Y64" s="41" t="s">
        <v>73</v>
      </c>
      <c r="Z64" s="41" t="s">
        <v>105</v>
      </c>
      <c r="AA64" s="41" t="s">
        <v>73</v>
      </c>
      <c r="AB64" s="41" t="s">
        <v>73</v>
      </c>
      <c r="AC64" s="41" t="s">
        <v>73</v>
      </c>
      <c r="AD64" s="41" t="s">
        <v>73</v>
      </c>
      <c r="AE64" s="41" t="s">
        <v>77</v>
      </c>
      <c r="AF64" s="41" t="s">
        <v>78</v>
      </c>
      <c r="AG64" t="str">
        <f>VLOOKUP($Q64,武学奇术!$A:$ZZ,25,FALSE)</f>
        <v>拳甲</v>
      </c>
      <c r="AH64" s="27">
        <f>VLOOKUP($Q64,武学奇术!$A:$ZZ,26,FALSE)</f>
        <v>2.91176</v>
      </c>
      <c r="AI64" s="28">
        <f>VLOOKUP($Q64,武学奇术!$A:$ZZ,27,FALSE)*(1+IF(OR($AG64=$F$4,$AG64=$F$5),$B$22,0))</f>
        <v>1208.7</v>
      </c>
      <c r="AJ64" s="27">
        <f>VLOOKUP($Q64,武学奇术!$A:$ZZ,28,FALSE)</f>
        <v>3.89844</v>
      </c>
      <c r="AK64" s="28">
        <f>VLOOKUP($Q64,武学奇术!$A:$ZZ,29,FALSE)*(1+IF(OR($AG64=$F$4,$AG64=$F$5),$B$22,0))</f>
        <v>650.25</v>
      </c>
      <c r="AL64" s="27" cm="1">
        <f t="array" ref="AL64">$G$3+IFERROR(VLOOKUP($AG64,$F$4:$G$7,2,FALSE),0)+VLOOKUP($Q64,武学奇术!$A:$ZZ,2,FALSE)+SUM(_xlfn.XLOOKUP($R64:$AF64,增益!$A:$A,增益!$B:$B,0))</f>
        <v>0.6241</v>
      </c>
      <c r="AM64" s="27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3826.382</v>
      </c>
      <c r="AO64" cm="1">
        <f t="array" ref="AO64">$E$10*(1+$AM64)+VLOOKUP($Q64,武学奇术!$A:$ZZ,4,FALSE)+SUM(_xlfn.XLOOKUP($R64:$AF64,增益!$A:$A,增益!$D:$D,0))-$I$2</f>
        <v>3826.382</v>
      </c>
      <c r="AP64" s="33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0.247</v>
      </c>
      <c r="AQ64" s="33" cm="1">
        <f t="array" ref="AQ64">$G$10+VLOOKUP($Q64,武学奇术!$A:$ZZ,7,FALSE)+SUM(_xlfn.XLOOKUP(R64:AF64,增益!$A:$A,增益!$G:$G,0))</f>
        <v>0.09</v>
      </c>
      <c r="AR64" s="27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3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-0.24</v>
      </c>
      <c r="AV64" s="33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3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-0.24</v>
      </c>
      <c r="AZ64" s="33" cm="1">
        <f t="array" ref="AZ64">$G$12+VLOOKUP($Q64,武学奇术!$A:$ZZ,12,FALSE)+SUM(_xlfn.XLOOKUP(R64:AF64,增益!$A:$A,增益!$L:$L,0))</f>
        <v>0</v>
      </c>
      <c r="BA64">
        <f t="shared" si="5"/>
        <v>0</v>
      </c>
      <c r="BB64">
        <f t="shared" si="6"/>
        <v>0</v>
      </c>
      <c r="BC64" s="33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-0.24</v>
      </c>
      <c r="BD64" s="33" cm="1">
        <f t="array" ref="BD64">$G$13+VLOOKUP($Q64,武学奇术!$A:$ZZ,14,FALSE)+SUM(_xlfn.XLOOKUP(R64:AF64,增益!$A:$A,增益!$N:$N,0))</f>
        <v>0</v>
      </c>
      <c r="BE64">
        <f t="shared" si="7"/>
        <v>605.472</v>
      </c>
      <c r="BF64">
        <f t="shared" si="8"/>
        <v>1725.468</v>
      </c>
      <c r="BG64" s="33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0.03</v>
      </c>
      <c r="BH64" s="33" cm="1">
        <f t="array" ref="BH64">$G$14+VLOOKUP($Q64,武学奇术!$A:$ZZ,16,FALSE)+SUM(_xlfn.XLOOKUP(R64:AF64,增益!$A:$A,增益!$P:$P,0))</f>
        <v>0.24</v>
      </c>
      <c r="BI64" s="27">
        <f>MIN(IF(VLOOKUP($Q64,武学奇术!$A:$ZZ,23,FALSE)=1,100%,$B$8),100%)</f>
        <v>1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+MIN(IF(VLOOKUP($Q64,武学奇术!$A:$ZZ,32,FALSE)=1,IF(VLOOKUP($Q64,武学奇术!$A:$ZZ,24,FALSE)=1,100%,MIN(40%,$B$10+VLOOKUP($Q64,武学奇术!$A:$ZZ,19,FALSE)+SUM(_xlfn.XLOOKUP(R64:AF64,增益!$A:$A,增益!$S:$S,0)))+$B$12+SUM(_xlfn.XLOOKUP(R64:AF64,增益!$A:$A,增益!$V:$V,0))),0),12%)</f>
        <v>0.9036</v>
      </c>
      <c r="BK64" s="27" cm="1">
        <f t="array" ref="BK64">1+$B$13+VLOOKUP($Q64,武学奇术!$A:$ZZ,18,FALSE)+SUM(_xlfn.XLOOKUP(R64:AF64,增益!$A:$A,增益!$R:$R,0))</f>
        <v>1.94</v>
      </c>
      <c r="BL64" s="27" cm="1">
        <f t="array" ref="BL64">MAX(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-IF(VLOOKUP($Q64,武学奇术!$A:$ZZ,32,FALSE)=1,12%,0),0)</f>
        <v>0.0929</v>
      </c>
      <c r="BM64" s="27" cm="1">
        <f t="array" ref="BM64">1+$B$14+VLOOKUP($Q64,武学奇术!$A:$ZZ,20,FALSE)+SUM(_xlfn.XLOOKUP(R64:AF64,增益!$A:$A,增益!$T:$T,0))</f>
        <v>1.35</v>
      </c>
      <c r="BN64" s="27">
        <f t="shared" si="9"/>
        <v>0.9036</v>
      </c>
      <c r="BO64" s="27">
        <f t="shared" si="10"/>
        <v>0.00350000000000006</v>
      </c>
      <c r="BP64" s="27">
        <f>IF(VLOOKUP($Q64,武学奇术!$A:$ZZ,22,FALSE)=1,0,(1-$BI64))*(1-$BL64)</f>
        <v>0</v>
      </c>
      <c r="BQ64" s="27" cm="1">
        <f t="array" ref="BQ64">SUM(_xlfn.XLOOKUP(R64:AF64,增益!$A:$A,增益!$W:$W,0))+$I$5</f>
        <v>0.11</v>
      </c>
    </row>
    <row r="65" spans="1:69">
      <c r="K65" s="39">
        <f t="shared" si="0"/>
        <v>25302.7013066055</v>
      </c>
      <c r="L65" s="39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BK65*$P65*(1+IF(VLOOKUP($Q65,武学奇术!$A:$ZZ,30,FALSE)="蓄力技",$B$21,0))*(1+$BQ65)</f>
        <v>25509.3959279023</v>
      </c>
      <c r="M65" s="39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23659.5302708341</v>
      </c>
      <c r="N65" s="39">
        <f>((($AN65+($AO65-$AN65)*IF(VLOOKUP($Q65,武学奇术!$A:$ZZ,31,FALSE)=1,$F$18,0.5))*$AH65+$AI65)*(1+$AP65)*(1+$AQ65)+(($AS65+($AT65-$AS65)*IF(VLOOKUP($Q65,武学奇术!$A:$ZZ,31,FALSE)=1,$F$18,0.5))*IF($G$1="鸣金",$AJ65,$AH65)+IF($G$1="鸣金",$AK65*1.5,0))*(1+$AU65)*(1+$AV65)+(($AW65+($AX65-$AW65)*IF(VLOOKUP($Q65,武学奇术!$A:$ZZ,31,FALSE)=1,$F$18,0.5))*IF($G$1="裂石",$AJ65,$AH65)+IF($G$1="裂石",$AK65*1.5,0))*(1+$AY65)*(1+$AZ65)+(($BA65+($BB65-$BA65)*IF(VLOOKUP($Q65,武学奇术!$A:$ZZ,31,FALSE)=1,$F$18,0.5))*IF($G$1="牵丝",$AJ65,$AH65)+IF($G$1="牵丝",$AK65*1.5,0))*(1+$BC65)*(1+$BD65)+(($BE65+($BF65-$BE65)*IF(VLOOKUP($Q65,武学奇术!$A:$ZZ,31,FALSE)=1,$F$18,0.5))*IF($G$1="破竹",$AJ65,$AH65)+IF($G$1="破竹",$AK65*1.5,0))*(1+$BG65)*(1+$BH65))*(1+$AL65)*$P65*(1+IF(VLOOKUP($Q65,武学奇术!$A:$ZZ,30,FALSE)="蓄力技",$B$21,0))*(1+$BQ65)</f>
        <v>15554.5097121355</v>
      </c>
      <c r="O65" s="39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13583.4414458755</v>
      </c>
      <c r="P65" s="40">
        <v>1</v>
      </c>
      <c r="Q65" s="41" t="s">
        <v>115</v>
      </c>
      <c r="R65" s="41" t="s">
        <v>97</v>
      </c>
      <c r="S65" s="41" t="s">
        <v>73</v>
      </c>
      <c r="T65" s="41" t="s">
        <v>73</v>
      </c>
      <c r="U65" s="41" t="s">
        <v>73</v>
      </c>
      <c r="V65" s="41" t="s">
        <v>73</v>
      </c>
      <c r="W65" s="41" t="s">
        <v>73</v>
      </c>
      <c r="X65" s="41" t="s">
        <v>164</v>
      </c>
      <c r="Y65" s="41" t="s">
        <v>73</v>
      </c>
      <c r="Z65" s="41" t="s">
        <v>73</v>
      </c>
      <c r="AA65" s="41" t="s">
        <v>73</v>
      </c>
      <c r="AB65" s="41" t="s">
        <v>73</v>
      </c>
      <c r="AC65" s="41" t="s">
        <v>73</v>
      </c>
      <c r="AD65" s="41" t="s">
        <v>73</v>
      </c>
      <c r="AE65" s="41" t="s">
        <v>77</v>
      </c>
      <c r="AF65" s="41" t="s">
        <v>78</v>
      </c>
      <c r="AG65" t="str">
        <f>VLOOKUP($Q65,武学奇术!$A:$ZZ,25,FALSE)</f>
        <v>拳甲</v>
      </c>
      <c r="AH65" s="27">
        <f>VLOOKUP($Q65,武学奇术!$A:$ZZ,26,FALSE)</f>
        <v>1.2876</v>
      </c>
      <c r="AI65" s="28">
        <f>VLOOKUP($Q65,武学奇术!$A:$ZZ,27,FALSE)*(1+IF(OR($AG65=$F$4,$AG65=$F$5),$B$22,0))</f>
        <v>537</v>
      </c>
      <c r="AJ65" s="27">
        <f>VLOOKUP($Q65,武学奇术!$A:$ZZ,28,FALSE)</f>
        <v>1.9313</v>
      </c>
      <c r="AK65" s="28">
        <f>VLOOKUP($Q65,武学奇术!$A:$ZZ,29,FALSE)*(1+IF(OR($AG65=$F$4,$AG65=$F$5),$B$22,0))</f>
        <v>292.5</v>
      </c>
      <c r="AL65" s="27" cm="1">
        <f t="array" ref="AL65">$G$3+IFERROR(VLOOKUP($AG65,$F$4:$G$7,2,FALSE),0)+VLOOKUP($Q65,武学奇术!$A:$ZZ,2,FALSE)+SUM(_xlfn.XLOOKUP($R65:$AF65,增益!$A:$A,增益!$B:$B,0))</f>
        <v>0.3241</v>
      </c>
      <c r="AM65" s="27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3826.382</v>
      </c>
      <c r="AO65" cm="1">
        <f t="array" ref="AO65">$E$10*(1+$AM65)+VLOOKUP($Q65,武学奇术!$A:$ZZ,4,FALSE)+SUM(_xlfn.XLOOKUP($R65:$AF65,增益!$A:$A,增益!$D:$D,0))-$I$2</f>
        <v>3826.382</v>
      </c>
      <c r="AP65" s="33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0.217</v>
      </c>
      <c r="AQ65" s="33" cm="1">
        <f t="array" ref="AQ65">$G$10+VLOOKUP($Q65,武学奇术!$A:$ZZ,7,FALSE)+SUM(_xlfn.XLOOKUP(R65:AF65,增益!$A:$A,增益!$G:$G,0))</f>
        <v>0.09</v>
      </c>
      <c r="AR65" s="27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3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3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3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3" cm="1">
        <f t="array" ref="AZ65">$G$12+VLOOKUP($Q65,武学奇术!$A:$ZZ,12,FALSE)+SUM(_xlfn.XLOOKUP(R65:AF65,增益!$A:$A,增益!$L:$L,0))</f>
        <v>0</v>
      </c>
      <c r="BA65">
        <f t="shared" si="5"/>
        <v>0</v>
      </c>
      <c r="BB65">
        <f t="shared" si="6"/>
        <v>0</v>
      </c>
      <c r="BC65" s="33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-0.3</v>
      </c>
      <c r="BD65" s="33" cm="1">
        <f t="array" ref="BD65">$G$13+VLOOKUP($Q65,武学奇术!$A:$ZZ,14,FALSE)+SUM(_xlfn.XLOOKUP(R65:AF65,增益!$A:$A,增益!$N:$N,0))</f>
        <v>0</v>
      </c>
      <c r="BE65">
        <f t="shared" si="7"/>
        <v>605.472</v>
      </c>
      <c r="BF65">
        <f t="shared" si="8"/>
        <v>1725.468</v>
      </c>
      <c r="BG65" s="33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</v>
      </c>
      <c r="BH65" s="33" cm="1">
        <f t="array" ref="BH65">$G$14+VLOOKUP($Q65,武学奇术!$A:$ZZ,16,FALSE)+SUM(_xlfn.XLOOKUP(R65:AF65,增益!$A:$A,增益!$P:$P,0))</f>
        <v>0.24</v>
      </c>
      <c r="BI65" s="27">
        <f>MIN(IF(VLOOKUP($Q65,武学奇术!$A:$ZZ,23,FALSE)=1,100%,$B$8),100%)</f>
        <v>1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+MIN(IF(VLOOKUP($Q65,武学奇术!$A:$ZZ,32,FALSE)=1,IF(VLOOKUP($Q65,武学奇术!$A:$ZZ,24,FALSE)=1,100%,MIN(40%,$B$10+VLOOKUP($Q65,武学奇术!$A:$ZZ,19,FALSE)+SUM(_xlfn.XLOOKUP(R65:AF65,增益!$A:$A,增益!$S:$S,0)))+$B$12+SUM(_xlfn.XLOOKUP(R65:AF65,增益!$A:$A,增益!$V:$V,0))),0),12%)</f>
        <v>0.9036</v>
      </c>
      <c r="BK65" s="27" cm="1">
        <f t="array" ref="BK65">1+$B$13+VLOOKUP($Q65,武学奇术!$A:$ZZ,18,FALSE)+SUM(_xlfn.XLOOKUP(R65:AF65,增益!$A:$A,增益!$R:$R,0))</f>
        <v>1.64</v>
      </c>
      <c r="BL65" s="27" cm="1">
        <f t="array" ref="BL65">MAX(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-IF(VLOOKUP($Q65,武学奇术!$A:$ZZ,32,FALSE)=1,12%,0),0)</f>
        <v>0.0929</v>
      </c>
      <c r="BM65" s="27" cm="1">
        <f t="array" ref="BM65">1+$B$14+VLOOKUP($Q65,武学奇术!$A:$ZZ,20,FALSE)+SUM(_xlfn.XLOOKUP(R65:AF65,增益!$A:$A,增益!$T:$T,0))</f>
        <v>1.35</v>
      </c>
      <c r="BN65" s="27">
        <f t="shared" si="9"/>
        <v>0.9036</v>
      </c>
      <c r="BO65" s="27">
        <f t="shared" si="10"/>
        <v>0.00350000000000006</v>
      </c>
      <c r="BP65" s="27">
        <f>IF(VLOOKUP($Q65,武学奇术!$A:$ZZ,22,FALSE)=1,0,(1-$BI65))*(1-$BL65)</f>
        <v>0</v>
      </c>
      <c r="BQ65" s="27" cm="1">
        <f t="array" ref="BQ65">SUM(_xlfn.XLOOKUP(R65:AF65,增益!$A:$A,增益!$W:$W,0))+$I$5</f>
        <v>0.11</v>
      </c>
    </row>
    <row r="66" spans="1:69">
      <c r="F66" s="4"/>
      <c r="G66" s="4"/>
      <c r="K66" s="39">
        <f t="shared" ref="K66:K129" si="11">($L66*$BN66+$M66*$BL66+$N66*$BO66+$O66*$BP66)</f>
        <v>67193.4124421633</v>
      </c>
      <c r="L66" s="39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BK66*$P66*(1+IF(VLOOKUP($Q66,武学奇术!$A:$ZZ,30,FALSE)="蓄力技",$B$21,0))*(1+$BQ66)</f>
        <v>68608.0464851687</v>
      </c>
      <c r="M66" s="39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54632.9842272572</v>
      </c>
      <c r="N66" s="39">
        <f>((($AN66+($AO66-$AN66)*IF(VLOOKUP($Q66,武学奇术!$A:$ZZ,31,FALSE)=1,$F$18,0.5))*$AH66+$AI66)*(1+$AP66)*(1+$AQ66)+(($AS66+($AT66-$AS66)*IF(VLOOKUP($Q66,武学奇术!$A:$ZZ,31,FALSE)=1,$F$18,0.5))*IF($G$1="鸣金",$AJ66,$AH66)+IF($G$1="鸣金",$AK66*1.5,0))*(1+$AU66)*(1+$AV66)+(($AW66+($AX66-$AW66)*IF(VLOOKUP($Q66,武学奇术!$A:$ZZ,31,FALSE)=1,$F$18,0.5))*IF($G$1="裂石",$AJ66,$AH66)+IF($G$1="裂石",$AK66*1.5,0))*(1+$AY66)*(1+$AZ66)+(($BA66+($BB66-$BA66)*IF(VLOOKUP($Q66,武学奇术!$A:$ZZ,31,FALSE)=1,$F$18,0.5))*IF($G$1="牵丝",$AJ66,$AH66)+IF($G$1="牵丝",$AK66*1.5,0))*(1+$BC66)*(1+$BD66)+(($BE66+($BF66-$BE66)*IF(VLOOKUP($Q66,武学奇术!$A:$ZZ,31,FALSE)=1,$F$18,0.5))*IF($G$1="破竹",$AJ66,$AH66)+IF($G$1="破竹",$AK66*1.5,0))*(1+$BG66)*(1+$BH66))*(1+$AL66)*$P66*(1+IF(VLOOKUP($Q66,武学奇术!$A:$ZZ,30,FALSE)="蓄力技",$B$21,0))*(1+$BQ66)</f>
        <v>35364.9724150354</v>
      </c>
      <c r="O66" s="39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30261.0676246951</v>
      </c>
      <c r="P66" s="40">
        <v>1</v>
      </c>
      <c r="Q66" s="41" t="s">
        <v>117</v>
      </c>
      <c r="R66" s="41" t="s">
        <v>97</v>
      </c>
      <c r="S66" s="41" t="s">
        <v>73</v>
      </c>
      <c r="T66" s="41" t="s">
        <v>73</v>
      </c>
      <c r="U66" s="41" t="s">
        <v>73</v>
      </c>
      <c r="V66" s="41" t="s">
        <v>73</v>
      </c>
      <c r="W66" s="41" t="s">
        <v>73</v>
      </c>
      <c r="X66" s="41" t="s">
        <v>164</v>
      </c>
      <c r="Y66" s="41" t="s">
        <v>73</v>
      </c>
      <c r="Z66" s="41" t="s">
        <v>105</v>
      </c>
      <c r="AA66" s="41" t="s">
        <v>73</v>
      </c>
      <c r="AB66" s="41" t="s">
        <v>73</v>
      </c>
      <c r="AC66" s="41" t="s">
        <v>73</v>
      </c>
      <c r="AD66" s="41" t="s">
        <v>73</v>
      </c>
      <c r="AE66" s="41" t="s">
        <v>77</v>
      </c>
      <c r="AF66" s="41" t="s">
        <v>78</v>
      </c>
      <c r="AG66" t="str">
        <f>VLOOKUP($Q66,武学奇术!$A:$ZZ,25,FALSE)</f>
        <v>拳甲</v>
      </c>
      <c r="AH66" s="27">
        <f>VLOOKUP($Q66,武学奇术!$A:$ZZ,26,FALSE)</f>
        <v>2.638944</v>
      </c>
      <c r="AI66" s="28">
        <f>VLOOKUP($Q66,武学奇术!$A:$ZZ,27,FALSE)*(1+IF(OR($AG66=$F$4,$AG66=$F$5),$B$22,0))</f>
        <v>0</v>
      </c>
      <c r="AJ66" s="27">
        <f>VLOOKUP($Q66,武学奇术!$A:$ZZ,28,FALSE)</f>
        <v>3.958416</v>
      </c>
      <c r="AK66" s="28">
        <f>VLOOKUP($Q66,武学奇术!$A:$ZZ,29,FALSE)*(1+IF(OR($AG66=$F$4,$AG66=$F$5),$B$22,0))</f>
        <v>0</v>
      </c>
      <c r="AL66" s="27" cm="1">
        <f t="array" ref="AL66">$G$3+IFERROR(VLOOKUP($AG66,$F$4:$G$7,2,FALSE),0)+VLOOKUP($Q66,武学奇术!$A:$ZZ,2,FALSE)+SUM(_xlfn.XLOOKUP($R66:$AF66,增益!$A:$A,增益!$B:$B,0))</f>
        <v>0.6241</v>
      </c>
      <c r="AM66" s="27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3826.382</v>
      </c>
      <c r="AO66" cm="1">
        <f t="array" ref="AO66">$E$10*(1+$AM66)+VLOOKUP($Q66,武学奇术!$A:$ZZ,4,FALSE)+SUM(_xlfn.XLOOKUP($R66:$AF66,增益!$A:$A,增益!$D:$D,0))-$I$2</f>
        <v>3826.382</v>
      </c>
      <c r="AP66" s="33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0.247</v>
      </c>
      <c r="AQ66" s="33" cm="1">
        <f t="array" ref="AQ66">$G$10+VLOOKUP($Q66,武学奇术!$A:$ZZ,7,FALSE)+SUM(_xlfn.XLOOKUP(R66:AF66,增益!$A:$A,增益!$G:$G,0))</f>
        <v>0.09</v>
      </c>
      <c r="AR66" s="27" cm="1">
        <f t="array" ref="AR66">VLOOKUP($Q66,武学奇术!$A:$ZZ,8,FALSE)+SUM(_xlfn.XLOOKUP(R66:AF66,增益!$A:$A,增益!$H:$H,0))</f>
        <v>0</v>
      </c>
      <c r="AS66">
        <f t="shared" ref="AS66:AS129" si="12">$D$11*(1+$AR66)</f>
        <v>0</v>
      </c>
      <c r="AT66">
        <f t="shared" ref="AT66:AT129" si="13">$E$11*(1+$AR66)</f>
        <v>0</v>
      </c>
      <c r="AU66" s="33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33" cm="1">
        <f t="array" ref="AV66">$G$11+VLOOKUP($Q66,武学奇术!$A:$ZZ,10,FALSE)+SUM(_xlfn.XLOOKUP(R66:AF66,增益!$A:$A,增益!$J:$J,0))</f>
        <v>0</v>
      </c>
      <c r="AW66">
        <f t="shared" ref="AW66:AW129" si="14">$D$12*(1+$AR66)</f>
        <v>0</v>
      </c>
      <c r="AX66">
        <f t="shared" ref="AX66:AX129" si="15">$E$12*(1+$AR66)</f>
        <v>0</v>
      </c>
      <c r="AY66" s="33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-0.24</v>
      </c>
      <c r="AZ66" s="33" cm="1">
        <f t="array" ref="AZ66">$G$12+VLOOKUP($Q66,武学奇术!$A:$ZZ,12,FALSE)+SUM(_xlfn.XLOOKUP(R66:AF66,增益!$A:$A,增益!$L:$L,0))</f>
        <v>0</v>
      </c>
      <c r="BA66">
        <f t="shared" ref="BA66:BA129" si="16">$D$13*(1+$AR66)</f>
        <v>0</v>
      </c>
      <c r="BB66">
        <f t="shared" ref="BB66:BB129" si="17">$E$13*(1+$AR66)</f>
        <v>0</v>
      </c>
      <c r="BC66" s="33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-0.24</v>
      </c>
      <c r="BD66" s="33" cm="1">
        <f t="array" ref="BD66">$G$13+VLOOKUP($Q66,武学奇术!$A:$ZZ,14,FALSE)+SUM(_xlfn.XLOOKUP(R66:AF66,增益!$A:$A,增益!$N:$N,0))</f>
        <v>0</v>
      </c>
      <c r="BE66">
        <f t="shared" ref="BE66:BE129" si="18">$D$14*(1+$AR66)</f>
        <v>605.472</v>
      </c>
      <c r="BF66">
        <f t="shared" ref="BF66:BF129" si="19">$E$14*(1+$AR66)</f>
        <v>1725.468</v>
      </c>
      <c r="BG66" s="33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0.03</v>
      </c>
      <c r="BH66" s="33" cm="1">
        <f t="array" ref="BH66">$G$14+VLOOKUP($Q66,武学奇术!$A:$ZZ,16,FALSE)+SUM(_xlfn.XLOOKUP(R66:AF66,增益!$A:$A,增益!$P:$P,0))</f>
        <v>0.24</v>
      </c>
      <c r="BI66" s="27">
        <f>MIN(IF(VLOOKUP($Q66,武学奇术!$A:$ZZ,23,FALSE)=1,100%,$B$8),100%)</f>
        <v>1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+MIN(IF(VLOOKUP($Q66,武学奇术!$A:$ZZ,32,FALSE)=1,IF(VLOOKUP($Q66,武学奇术!$A:$ZZ,24,FALSE)=1,100%,MIN(40%,$B$10+VLOOKUP($Q66,武学奇术!$A:$ZZ,19,FALSE)+SUM(_xlfn.XLOOKUP(R66:AF66,增益!$A:$A,增益!$S:$S,0)))+$B$12+SUM(_xlfn.XLOOKUP(R66:AF66,增益!$A:$A,增益!$V:$V,0))),0),12%)</f>
        <v>0.9036</v>
      </c>
      <c r="BK66" s="27" cm="1">
        <f t="array" ref="BK66">1+$B$13+VLOOKUP($Q66,武学奇术!$A:$ZZ,18,FALSE)+SUM(_xlfn.XLOOKUP(R66:AF66,增益!$A:$A,增益!$R:$R,0))</f>
        <v>1.94</v>
      </c>
      <c r="BL66" s="27" cm="1">
        <f t="array" ref="BL66">MAX(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-IF(VLOOKUP($Q66,武学奇术!$A:$ZZ,32,FALSE)=1,12%,0),0)</f>
        <v>0.0929</v>
      </c>
      <c r="BM66" s="27" cm="1">
        <f t="array" ref="BM66">1+$B$14+VLOOKUP($Q66,武学奇术!$A:$ZZ,20,FALSE)+SUM(_xlfn.XLOOKUP(R66:AF66,增益!$A:$A,增益!$T:$T,0))</f>
        <v>1.35</v>
      </c>
      <c r="BN66" s="27">
        <f t="shared" ref="BN66:BN129" si="20">MIN((1-BL66)*BI66,BI66*BJ66)</f>
        <v>0.9036</v>
      </c>
      <c r="BO66" s="27">
        <f t="shared" ref="BO66:BO129" si="21">1-BL66-BN66-BP66</f>
        <v>0.00350000000000006</v>
      </c>
      <c r="BP66" s="27">
        <f>IF(VLOOKUP($Q66,武学奇术!$A:$ZZ,22,FALSE)=1,0,(1-$BI66))*(1-$BL66)</f>
        <v>0</v>
      </c>
      <c r="BQ66" s="27" cm="1">
        <f t="array" ref="BQ66">SUM(_xlfn.XLOOKUP(R66:AF66,增益!$A:$A,增益!$W:$W,0))+$I$5</f>
        <v>0.11</v>
      </c>
    </row>
    <row r="67" spans="1:69">
      <c r="A67" s="4"/>
      <c r="B67" s="91"/>
      <c r="K67" s="39">
        <f t="shared" si="11"/>
        <v>161318.900999776</v>
      </c>
      <c r="L67" s="39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BK67*$P67*(1+IF(VLOOKUP($Q67,武学奇术!$A:$ZZ,30,FALSE)="蓄力技",$B$21,0))*(1+$BQ67)</f>
        <v>162484.330281797</v>
      </c>
      <c r="M67" s="39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152328.254231739</v>
      </c>
      <c r="N67" s="39">
        <f>((($AN67+($AO67-$AN67)*IF(VLOOKUP($Q67,武学奇术!$A:$ZZ,31,FALSE)=1,$F$18,0.5))*$AH67+$AI67)*(1+$AP67)*(1+$AQ67)+(($AS67+($AT67-$AS67)*IF(VLOOKUP($Q67,武学奇术!$A:$ZZ,31,FALSE)=1,$F$18,0.5))*IF($G$1="鸣金",$AJ67,$AH67)+IF($G$1="鸣金",$AK67*1.5,0))*(1+$AU67)*(1+$AV67)+(($AW67+($AX67-$AW67)*IF(VLOOKUP($Q67,武学奇术!$A:$ZZ,31,FALSE)=1,$F$18,0.5))*IF($G$1="裂石",$AJ67,$AH67)+IF($G$1="裂石",$AK67*1.5,0))*(1+$AY67)*(1+$AZ67)+(($BA67+($BB67-$BA67)*IF(VLOOKUP($Q67,武学奇术!$A:$ZZ,31,FALSE)=1,$F$18,0.5))*IF($G$1="牵丝",$AJ67,$AH67)+IF($G$1="牵丝",$AK67*1.5,0))*(1+$BC67)*(1+$BD67)+(($BE67+($BF67-$BE67)*IF(VLOOKUP($Q67,武学奇术!$A:$ZZ,31,FALSE)=1,$F$18,0.5))*IF($G$1="破竹",$AJ67,$AH67)+IF($G$1="破竹",$AK67*1.5,0))*(1+$BG67)*(1+$BH67))*(1+$AL67)*$P67*(1+IF(VLOOKUP($Q67,武学奇术!$A:$ZZ,30,FALSE)="蓄力技",$B$21,0))*(1+$BQ67)</f>
        <v>99075.8111474372</v>
      </c>
      <c r="O67" s="39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85315.8784195119</v>
      </c>
      <c r="P67" s="40">
        <v>1</v>
      </c>
      <c r="Q67" s="41" t="s">
        <v>178</v>
      </c>
      <c r="R67" s="41" t="s">
        <v>97</v>
      </c>
      <c r="S67" s="41" t="s">
        <v>73</v>
      </c>
      <c r="T67" s="41" t="s">
        <v>73</v>
      </c>
      <c r="U67" s="41" t="s">
        <v>73</v>
      </c>
      <c r="V67" s="41" t="s">
        <v>73</v>
      </c>
      <c r="W67" s="41" t="s">
        <v>73</v>
      </c>
      <c r="X67" s="41" t="s">
        <v>164</v>
      </c>
      <c r="Y67" s="41" t="s">
        <v>73</v>
      </c>
      <c r="Z67" s="41" t="s">
        <v>73</v>
      </c>
      <c r="AA67" s="41" t="s">
        <v>73</v>
      </c>
      <c r="AB67" s="41" t="s">
        <v>73</v>
      </c>
      <c r="AC67" s="41" t="s">
        <v>73</v>
      </c>
      <c r="AD67" s="41" t="s">
        <v>73</v>
      </c>
      <c r="AE67" s="41" t="s">
        <v>77</v>
      </c>
      <c r="AF67" s="41" t="s">
        <v>78</v>
      </c>
      <c r="AG67" t="str">
        <f>VLOOKUP($Q67,武学奇术!$A:$ZZ,25,FALSE)</f>
        <v>群体奇术</v>
      </c>
      <c r="AH67" s="27">
        <f>VLOOKUP($Q67,武学奇术!$A:$ZZ,26,FALSE)</f>
        <v>10.315755</v>
      </c>
      <c r="AI67" s="28">
        <f>VLOOKUP($Q67,武学奇术!$A:$ZZ,27,FALSE)*(1+IF(OR($AG67=$F$4,$AG67=$F$5),$B$22,0))</f>
        <v>1992.6</v>
      </c>
      <c r="AJ67" s="27">
        <f>VLOOKUP($Q67,武学奇术!$A:$ZZ,28,FALSE)</f>
        <v>15.4736325</v>
      </c>
      <c r="AK67" s="28">
        <f>VLOOKUP($Q67,武学奇术!$A:$ZZ,29,FALSE)*(1+IF(OR($AG67=$F$4,$AG67=$F$5),$B$22,0))</f>
        <v>0</v>
      </c>
      <c r="AL67" s="27" cm="1">
        <f t="array" ref="AL67">$G$3+IFERROR(VLOOKUP($AG67,$F$4:$G$7,2,FALSE),0)+VLOOKUP($Q67,武学奇术!$A:$ZZ,2,FALSE)+SUM(_xlfn.XLOOKUP($R67:$AF67,增益!$A:$A,增益!$B:$B,0))</f>
        <v>0.1537</v>
      </c>
      <c r="AM67" s="27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3826.382</v>
      </c>
      <c r="AO67" cm="1">
        <f t="array" ref="AO67">$E$10*(1+$AM67)+VLOOKUP($Q67,武学奇术!$A:$ZZ,4,FALSE)+SUM(_xlfn.XLOOKUP($R67:$AF67,增益!$A:$A,增益!$D:$D,0))-$I$2</f>
        <v>3826.382</v>
      </c>
      <c r="AP67" s="33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0.217</v>
      </c>
      <c r="AQ67" s="33" cm="1">
        <f t="array" ref="AQ67">$G$10+VLOOKUP($Q67,武学奇术!$A:$ZZ,7,FALSE)+SUM(_xlfn.XLOOKUP(R67:AF67,增益!$A:$A,增益!$G:$G,0))</f>
        <v>0.09</v>
      </c>
      <c r="AR67" s="27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3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3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3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3" cm="1">
        <f t="array" ref="AZ67">$G$12+VLOOKUP($Q67,武学奇术!$A:$ZZ,12,FALSE)+SUM(_xlfn.XLOOKUP(R67:AF67,增益!$A:$A,增益!$L:$L,0))</f>
        <v>0</v>
      </c>
      <c r="BA67">
        <f t="shared" si="16"/>
        <v>0</v>
      </c>
      <c r="BB67">
        <f t="shared" si="17"/>
        <v>0</v>
      </c>
      <c r="BC67" s="33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-0.3</v>
      </c>
      <c r="BD67" s="33" cm="1">
        <f t="array" ref="BD67">$G$13+VLOOKUP($Q67,武学奇术!$A:$ZZ,14,FALSE)+SUM(_xlfn.XLOOKUP(R67:AF67,增益!$A:$A,增益!$N:$N,0))</f>
        <v>0</v>
      </c>
      <c r="BE67">
        <f t="shared" si="18"/>
        <v>605.472</v>
      </c>
      <c r="BF67">
        <f t="shared" si="19"/>
        <v>1725.468</v>
      </c>
      <c r="BG67" s="33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</v>
      </c>
      <c r="BH67" s="33" cm="1">
        <f t="array" ref="BH67">$G$14+VLOOKUP($Q67,武学奇术!$A:$ZZ,16,FALSE)+SUM(_xlfn.XLOOKUP(R67:AF67,增益!$A:$A,增益!$P:$P,0))</f>
        <v>0.24</v>
      </c>
      <c r="BI67" s="27">
        <f>MIN(IF(VLOOKUP($Q67,武学奇术!$A:$ZZ,23,FALSE)=1,100%,$B$8),100%)</f>
        <v>1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+MIN(IF(VLOOKUP($Q67,武学奇术!$A:$ZZ,32,FALSE)=1,IF(VLOOKUP($Q67,武学奇术!$A:$ZZ,24,FALSE)=1,100%,MIN(40%,$B$10+VLOOKUP($Q67,武学奇术!$A:$ZZ,19,FALSE)+SUM(_xlfn.XLOOKUP(R67:AF67,增益!$A:$A,增益!$S:$S,0)))+$B$12+SUM(_xlfn.XLOOKUP(R67:AF67,增益!$A:$A,增益!$V:$V,0))),0),12%)</f>
        <v>0.9036</v>
      </c>
      <c r="BK67" s="27" cm="1">
        <f t="array" ref="BK67">1+$B$13+VLOOKUP($Q67,武学奇术!$A:$ZZ,18,FALSE)+SUM(_xlfn.XLOOKUP(R67:AF67,增益!$A:$A,增益!$R:$R,0))</f>
        <v>1.64</v>
      </c>
      <c r="BL67" s="27" cm="1">
        <f t="array" ref="BL67">MAX(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-IF(VLOOKUP($Q67,武学奇术!$A:$ZZ,32,FALSE)=1,12%,0),0)</f>
        <v>0.0929</v>
      </c>
      <c r="BM67" s="27" cm="1">
        <f t="array" ref="BM67">1+$B$14+VLOOKUP($Q67,武学奇术!$A:$ZZ,20,FALSE)+SUM(_xlfn.XLOOKUP(R67:AF67,增益!$A:$A,增益!$T:$T,0))</f>
        <v>1.35</v>
      </c>
      <c r="BN67" s="27">
        <f t="shared" si="20"/>
        <v>0.9036</v>
      </c>
      <c r="BO67" s="27">
        <f t="shared" si="21"/>
        <v>0.00350000000000006</v>
      </c>
      <c r="BP67" s="27">
        <f>IF(VLOOKUP($Q67,武学奇术!$A:$ZZ,22,FALSE)=1,0,(1-$BI67))*(1-$BL67)</f>
        <v>0</v>
      </c>
      <c r="BQ67" s="27" cm="1">
        <f t="array" ref="BQ67">SUM(_xlfn.XLOOKUP(R67:AF67,增益!$A:$A,增益!$W:$W,0))+$I$5</f>
        <v>0.11</v>
      </c>
    </row>
    <row r="68" spans="1:69">
      <c r="K68" s="39">
        <f t="shared" si="11"/>
        <v>859500.024086119</v>
      </c>
      <c r="L68" s="39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BK68*$P68*(1+IF(VLOOKUP($Q68,武学奇术!$A:$ZZ,30,FALSE)="蓄力技",$B$21,0))*(1+$BQ68)</f>
        <v>861253.160750157</v>
      </c>
      <c r="M68" s="39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544420.344370039</v>
      </c>
      <c r="N68" s="39">
        <f>((($AN68+($AO68-$AN68)*IF(VLOOKUP($Q68,武学奇术!$A:$ZZ,31,FALSE)=1,$F$18,0.5))*$AH68+$AI68)*(1+$AP68)*(1+$AQ68)+(($AS68+($AT68-$AS68)*IF(VLOOKUP($Q68,武学奇术!$A:$ZZ,31,FALSE)=1,$F$18,0.5))*IF($G$1="鸣金",$AJ68,$AH68)+IF($G$1="鸣金",$AK68*1.5,0))*(1+$AU68)*(1+$AV68)+(($AW68+($AX68-$AW68)*IF(VLOOKUP($Q68,武学奇术!$A:$ZZ,31,FALSE)=1,$F$18,0.5))*IF($G$1="裂石",$AJ68,$AH68)+IF($G$1="裂石",$AK68*1.5,0))*(1+$AY68)*(1+$AZ68)+(($BA68+($BB68-$BA68)*IF(VLOOKUP($Q68,武学奇术!$A:$ZZ,31,FALSE)=1,$F$18,0.5))*IF($G$1="牵丝",$AJ68,$AH68)+IF($G$1="牵丝",$AK68*1.5,0))*(1+$BC68)*(1+$BD68)+(($BE68+($BF68-$BE68)*IF(VLOOKUP($Q68,武学奇术!$A:$ZZ,31,FALSE)=1,$F$18,0.5))*IF($G$1="破竹",$AJ68,$AH68)+IF($G$1="破竹",$AK68*1.5,0))*(1+$BG68)*(1+$BH68))*(1+$AL68)*$P68*(1+IF(VLOOKUP($Q68,武学奇术!$A:$ZZ,30,FALSE)="蓄力技",$B$21,0))*(1+$BQ68)</f>
        <v>360356.97102517</v>
      </c>
      <c r="O68" s="39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317439.612887348</v>
      </c>
      <c r="P68" s="40">
        <v>1</v>
      </c>
      <c r="Q68" s="41" t="s">
        <v>131</v>
      </c>
      <c r="R68" s="41" t="s">
        <v>97</v>
      </c>
      <c r="S68" s="41" t="s">
        <v>132</v>
      </c>
      <c r="T68" s="41" t="s">
        <v>73</v>
      </c>
      <c r="U68" s="41" t="s">
        <v>73</v>
      </c>
      <c r="V68" s="41" t="s">
        <v>73</v>
      </c>
      <c r="W68" s="41" t="s">
        <v>73</v>
      </c>
      <c r="X68" s="41" t="s">
        <v>164</v>
      </c>
      <c r="Y68" s="41" t="s">
        <v>73</v>
      </c>
      <c r="Z68" s="41" t="s">
        <v>105</v>
      </c>
      <c r="AA68" s="41" t="s">
        <v>73</v>
      </c>
      <c r="AB68" s="41" t="s">
        <v>73</v>
      </c>
      <c r="AC68" s="41" t="s">
        <v>73</v>
      </c>
      <c r="AD68" s="41" t="s">
        <v>73</v>
      </c>
      <c r="AE68" s="41" t="s">
        <v>77</v>
      </c>
      <c r="AF68" s="41" t="s">
        <v>78</v>
      </c>
      <c r="AG68" t="str">
        <f>VLOOKUP($Q68,武学奇术!$A:$ZZ,25,FALSE)</f>
        <v>拳甲</v>
      </c>
      <c r="AH68" s="27">
        <f>VLOOKUP($Q68,武学奇术!$A:$ZZ,26,FALSE)</f>
        <v>16.8107</v>
      </c>
      <c r="AI68" s="28">
        <f>VLOOKUP($Q68,武学奇术!$A:$ZZ,27,FALSE)*(1+IF(OR($AG68=$F$4,$AG68=$F$5),$B$22,0))</f>
        <v>6970.5</v>
      </c>
      <c r="AJ68" s="27">
        <f>VLOOKUP($Q68,武学奇术!$A:$ZZ,28,FALSE)</f>
        <v>25.2161</v>
      </c>
      <c r="AK68" s="28">
        <f>VLOOKUP($Q68,武学奇术!$A:$ZZ,29,FALSE)*(1+IF(OR($AG68=$F$4,$AG68=$F$5),$B$22,0))</f>
        <v>3799.5</v>
      </c>
      <c r="AL68" s="27" cm="1">
        <f t="array" ref="AL68">$G$3+IFERROR(VLOOKUP($AG68,$F$4:$G$7,2,FALSE),0)+VLOOKUP($Q68,武学奇术!$A:$ZZ,2,FALSE)+SUM(_xlfn.XLOOKUP($R68:$AF68,增益!$A:$A,增益!$B:$B,0))</f>
        <v>0.6241</v>
      </c>
      <c r="AM68" s="27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3826.382</v>
      </c>
      <c r="AO68" cm="1">
        <f t="array" ref="AO68">$E$10*(1+$AM68)+VLOOKUP($Q68,武学奇术!$A:$ZZ,4,FALSE)+SUM(_xlfn.XLOOKUP($R68:$AF68,增益!$A:$A,增益!$D:$D,0))-$I$2</f>
        <v>3826.382</v>
      </c>
      <c r="AP68" s="33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0.372</v>
      </c>
      <c r="AQ68" s="33" cm="1">
        <f t="array" ref="AQ68">$G$10+VLOOKUP($Q68,武学奇术!$A:$ZZ,7,FALSE)+SUM(_xlfn.XLOOKUP(R68:AF68,增益!$A:$A,增益!$G:$G,0))</f>
        <v>0.09</v>
      </c>
      <c r="AR68" s="27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3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-0.24</v>
      </c>
      <c r="AV68" s="33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3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-0.24</v>
      </c>
      <c r="AZ68" s="33" cm="1">
        <f t="array" ref="AZ68">$G$12+VLOOKUP($Q68,武学奇术!$A:$ZZ,12,FALSE)+SUM(_xlfn.XLOOKUP(R68:AF68,增益!$A:$A,增益!$L:$L,0))</f>
        <v>0</v>
      </c>
      <c r="BA68">
        <f t="shared" si="16"/>
        <v>0</v>
      </c>
      <c r="BB68">
        <f t="shared" si="17"/>
        <v>0</v>
      </c>
      <c r="BC68" s="33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-0.24</v>
      </c>
      <c r="BD68" s="33" cm="1">
        <f t="array" ref="BD68">$G$13+VLOOKUP($Q68,武学奇术!$A:$ZZ,14,FALSE)+SUM(_xlfn.XLOOKUP(R68:AF68,增益!$A:$A,增益!$N:$N,0))</f>
        <v>0</v>
      </c>
      <c r="BE68">
        <f t="shared" si="18"/>
        <v>605.472</v>
      </c>
      <c r="BF68">
        <f t="shared" si="19"/>
        <v>1725.468</v>
      </c>
      <c r="BG68" s="33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0.03</v>
      </c>
      <c r="BH68" s="33" cm="1">
        <f t="array" ref="BH68">$G$14+VLOOKUP($Q68,武学奇术!$A:$ZZ,16,FALSE)+SUM(_xlfn.XLOOKUP(R68:AF68,增益!$A:$A,增益!$P:$P,0))</f>
        <v>0.24</v>
      </c>
      <c r="BI68" s="27">
        <f>MIN(IF(VLOOKUP($Q68,武学奇术!$A:$ZZ,23,FALSE)=1,100%,$B$8),100%)</f>
        <v>1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+MIN(IF(VLOOKUP($Q68,武学奇术!$A:$ZZ,32,FALSE)=1,IF(VLOOKUP($Q68,武学奇术!$A:$ZZ,24,FALSE)=1,100%,MIN(40%,$B$10+VLOOKUP($Q68,武学奇术!$A:$ZZ,19,FALSE)+SUM(_xlfn.XLOOKUP(R68:AF68,增益!$A:$A,增益!$S:$S,0)))+$B$12+SUM(_xlfn.XLOOKUP(R68:AF68,增益!$A:$A,增益!$V:$V,0))),0),12%)</f>
        <v>0.9965</v>
      </c>
      <c r="BK68" s="27" cm="1">
        <f t="array" ref="BK68">1+$B$13+VLOOKUP($Q68,武学奇术!$A:$ZZ,18,FALSE)+SUM(_xlfn.XLOOKUP(R68:AF68,增益!$A:$A,增益!$R:$R,0))</f>
        <v>2.39</v>
      </c>
      <c r="BL68" s="27" cm="1">
        <f t="array" ref="BL68">MAX(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-IF(VLOOKUP($Q68,武学奇术!$A:$ZZ,32,FALSE)=1,12%,0),0)</f>
        <v>0</v>
      </c>
      <c r="BM68" s="27" cm="1">
        <f t="array" ref="BM68">1+$B$14+VLOOKUP($Q68,武学奇术!$A:$ZZ,20,FALSE)+SUM(_xlfn.XLOOKUP(R68:AF68,增益!$A:$A,增益!$T:$T,0))</f>
        <v>1.35</v>
      </c>
      <c r="BN68" s="27">
        <f t="shared" si="20"/>
        <v>0.9965</v>
      </c>
      <c r="BO68" s="27">
        <f t="shared" si="21"/>
        <v>0.00350000000000006</v>
      </c>
      <c r="BP68" s="27">
        <f>IF(VLOOKUP($Q68,武学奇术!$A:$ZZ,22,FALSE)=1,0,(1-$BI68))*(1-$BL68)</f>
        <v>0</v>
      </c>
      <c r="BQ68" s="27" cm="1">
        <f t="array" ref="BQ68">SUM(_xlfn.XLOOKUP(R68:AF68,增益!$A:$A,增益!$W:$W,0))+$I$5</f>
        <v>0.11</v>
      </c>
    </row>
    <row r="69" spans="1:69">
      <c r="A69" s="4"/>
      <c r="B69" s="4"/>
      <c r="F69" s="4"/>
      <c r="G69" s="4"/>
      <c r="K69" s="39">
        <f t="shared" si="11"/>
        <v>330918.591776997</v>
      </c>
      <c r="L69" s="39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BK69*$P69*(1+IF(VLOOKUP($Q69,武学奇术!$A:$ZZ,30,FALSE)="蓄力技",$B$21,0))*(1+$BQ69)</f>
        <v>331593.571997821</v>
      </c>
      <c r="M69" s="39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209608.292603397</v>
      </c>
      <c r="N69" s="39">
        <f>((($AN69+($AO69-$AN69)*IF(VLOOKUP($Q69,武学奇术!$A:$ZZ,31,FALSE)=1,$F$18,0.5))*$AH69+$AI69)*(1+$AP69)*(1+$AQ69)+(($AS69+($AT69-$AS69)*IF(VLOOKUP($Q69,武学奇术!$A:$ZZ,31,FALSE)=1,$F$18,0.5))*IF($G$1="鸣金",$AJ69,$AH69)+IF($G$1="鸣金",$AK69*1.5,0))*(1+$AU69)*(1+$AV69)+(($AW69+($AX69-$AW69)*IF(VLOOKUP($Q69,武学奇术!$A:$ZZ,31,FALSE)=1,$F$18,0.5))*IF($G$1="裂石",$AJ69,$AH69)+IF($G$1="裂石",$AK69*1.5,0))*(1+$AY69)*(1+$AZ69)+(($BA69+($BB69-$BA69)*IF(VLOOKUP($Q69,武学奇术!$A:$ZZ,31,FALSE)=1,$F$18,0.5))*IF($G$1="牵丝",$AJ69,$AH69)+IF($G$1="牵丝",$AK69*1.5,0))*(1+$BC69)*(1+$BD69)+(($BE69+($BF69-$BE69)*IF(VLOOKUP($Q69,武学奇术!$A:$ZZ,31,FALSE)=1,$F$18,0.5))*IF($G$1="破竹",$AJ69,$AH69)+IF($G$1="破竹",$AK69*1.5,0))*(1+$BG69)*(1+$BH69))*(1+$AL69)*$P69*(1+IF(VLOOKUP($Q69,武学奇术!$A:$ZZ,30,FALSE)="蓄力技",$B$21,0))*(1+$BQ69)</f>
        <v>138742.080333816</v>
      </c>
      <c r="O69" s="39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122218.75873919</v>
      </c>
      <c r="P69" s="40">
        <v>1</v>
      </c>
      <c r="Q69" s="41" t="s">
        <v>138</v>
      </c>
      <c r="R69" s="41" t="s">
        <v>97</v>
      </c>
      <c r="S69" s="41" t="s">
        <v>132</v>
      </c>
      <c r="T69" s="41" t="s">
        <v>73</v>
      </c>
      <c r="U69" s="41" t="s">
        <v>73</v>
      </c>
      <c r="V69" s="41" t="s">
        <v>73</v>
      </c>
      <c r="W69" s="41" t="s">
        <v>73</v>
      </c>
      <c r="X69" s="41" t="s">
        <v>164</v>
      </c>
      <c r="Y69" s="41" t="s">
        <v>73</v>
      </c>
      <c r="Z69" s="41" t="s">
        <v>105</v>
      </c>
      <c r="AA69" s="41" t="s">
        <v>73</v>
      </c>
      <c r="AB69" s="41" t="s">
        <v>73</v>
      </c>
      <c r="AC69" s="41" t="s">
        <v>73</v>
      </c>
      <c r="AD69" s="41" t="s">
        <v>73</v>
      </c>
      <c r="AE69" s="41" t="s">
        <v>77</v>
      </c>
      <c r="AF69" s="41" t="s">
        <v>78</v>
      </c>
      <c r="AG69" t="str">
        <f>VLOOKUP($Q69,武学奇术!$A:$ZZ,25,FALSE)</f>
        <v>拳甲</v>
      </c>
      <c r="AH69" s="27">
        <f>VLOOKUP($Q69,武学奇术!$A:$ZZ,26,FALSE)</f>
        <v>6.4722</v>
      </c>
      <c r="AI69" s="28">
        <f>VLOOKUP($Q69,武学奇术!$A:$ZZ,27,FALSE)*(1+IF(OR($AG69=$F$4,$AG69=$F$5),$B$22,0))</f>
        <v>2683.8</v>
      </c>
      <c r="AJ69" s="27">
        <f>VLOOKUP($Q69,武学奇术!$A:$ZZ,28,FALSE)</f>
        <v>9.70828</v>
      </c>
      <c r="AK69" s="28">
        <f>VLOOKUP($Q69,武学奇术!$A:$ZZ,29,FALSE)*(1+IF(OR($AG69=$F$4,$AG69=$F$5),$B$22,0))</f>
        <v>1463.4</v>
      </c>
      <c r="AL69" s="27" cm="1">
        <f t="array" ref="AL69">$G$3+IFERROR(VLOOKUP($AG69,$F$4:$G$7,2,FALSE),0)+VLOOKUP($Q69,武学奇术!$A:$ZZ,2,FALSE)+SUM(_xlfn.XLOOKUP($R69:$AF69,增益!$A:$A,增益!$B:$B,0))</f>
        <v>0.6241</v>
      </c>
      <c r="AM69" s="27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3826.382</v>
      </c>
      <c r="AO69" cm="1">
        <f t="array" ref="AO69">$E$10*(1+$AM69)+VLOOKUP($Q69,武学奇术!$A:$ZZ,4,FALSE)+SUM(_xlfn.XLOOKUP($R69:$AF69,增益!$A:$A,增益!$D:$D,0))-$I$2</f>
        <v>3826.382</v>
      </c>
      <c r="AP69" s="33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0.372</v>
      </c>
      <c r="AQ69" s="33" cm="1">
        <f t="array" ref="AQ69">$G$10+VLOOKUP($Q69,武学奇术!$A:$ZZ,7,FALSE)+SUM(_xlfn.XLOOKUP(R69:AF69,增益!$A:$A,增益!$G:$G,0))</f>
        <v>0.09</v>
      </c>
      <c r="AR69" s="27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3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33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3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-0.24</v>
      </c>
      <c r="AZ69" s="33" cm="1">
        <f t="array" ref="AZ69">$G$12+VLOOKUP($Q69,武学奇术!$A:$ZZ,12,FALSE)+SUM(_xlfn.XLOOKUP(R69:AF69,增益!$A:$A,增益!$L:$L,0))</f>
        <v>0</v>
      </c>
      <c r="BA69">
        <f t="shared" si="16"/>
        <v>0</v>
      </c>
      <c r="BB69">
        <f t="shared" si="17"/>
        <v>0</v>
      </c>
      <c r="BC69" s="33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-0.24</v>
      </c>
      <c r="BD69" s="33" cm="1">
        <f t="array" ref="BD69">$G$13+VLOOKUP($Q69,武学奇术!$A:$ZZ,14,FALSE)+SUM(_xlfn.XLOOKUP(R69:AF69,增益!$A:$A,增益!$N:$N,0))</f>
        <v>0</v>
      </c>
      <c r="BE69">
        <f t="shared" si="18"/>
        <v>605.472</v>
      </c>
      <c r="BF69">
        <f t="shared" si="19"/>
        <v>1725.468</v>
      </c>
      <c r="BG69" s="33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0.03</v>
      </c>
      <c r="BH69" s="33" cm="1">
        <f t="array" ref="BH69">$G$14+VLOOKUP($Q69,武学奇术!$A:$ZZ,16,FALSE)+SUM(_xlfn.XLOOKUP(R69:AF69,增益!$A:$A,增益!$P:$P,0))</f>
        <v>0.24</v>
      </c>
      <c r="BI69" s="27">
        <f>MIN(IF(VLOOKUP($Q69,武学奇术!$A:$ZZ,23,FALSE)=1,100%,$B$8),100%)</f>
        <v>1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+MIN(IF(VLOOKUP($Q69,武学奇术!$A:$ZZ,32,FALSE)=1,IF(VLOOKUP($Q69,武学奇术!$A:$ZZ,24,FALSE)=1,100%,MIN(40%,$B$10+VLOOKUP($Q69,武学奇术!$A:$ZZ,19,FALSE)+SUM(_xlfn.XLOOKUP(R69:AF69,增益!$A:$A,增益!$S:$S,0)))+$B$12+SUM(_xlfn.XLOOKUP(R69:AF69,增益!$A:$A,增益!$V:$V,0))),0),12%)</f>
        <v>0.9965</v>
      </c>
      <c r="BK69" s="27" cm="1">
        <f t="array" ref="BK69">1+$B$13+VLOOKUP($Q69,武学奇术!$A:$ZZ,18,FALSE)+SUM(_xlfn.XLOOKUP(R69:AF69,增益!$A:$A,增益!$R:$R,0))</f>
        <v>2.39</v>
      </c>
      <c r="BL69" s="27" cm="1">
        <f t="array" ref="BL69">MAX(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-IF(VLOOKUP($Q69,武学奇术!$A:$ZZ,32,FALSE)=1,12%,0),0)</f>
        <v>0</v>
      </c>
      <c r="BM69" s="27" cm="1">
        <f t="array" ref="BM69">1+$B$14+VLOOKUP($Q69,武学奇术!$A:$ZZ,20,FALSE)+SUM(_xlfn.XLOOKUP(R69:AF69,增益!$A:$A,增益!$T:$T,0))</f>
        <v>1.35</v>
      </c>
      <c r="BN69" s="27">
        <f t="shared" si="20"/>
        <v>0.9965</v>
      </c>
      <c r="BO69" s="27">
        <f t="shared" si="21"/>
        <v>0.00350000000000006</v>
      </c>
      <c r="BP69" s="27">
        <f>IF(VLOOKUP($Q69,武学奇术!$A:$ZZ,22,FALSE)=1,0,(1-$BI69))*(1-$BL69)</f>
        <v>0</v>
      </c>
      <c r="BQ69" s="27" cm="1">
        <f t="array" ref="BQ69">SUM(_xlfn.XLOOKUP(R69:AF69,增益!$A:$A,增益!$W:$W,0))+$I$5</f>
        <v>0.11</v>
      </c>
    </row>
    <row r="70" spans="1:69">
      <c r="F70" s="4"/>
      <c r="G70" s="91"/>
      <c r="K70" s="39">
        <f t="shared" si="11"/>
        <v>28001.6586596167</v>
      </c>
      <c r="L70" s="39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BK70*$P70*(1+IF(VLOOKUP($Q70,武学奇术!$A:$ZZ,30,FALSE)="蓄力技",$B$21,0))*(1+$BQ70)</f>
        <v>28582.8247108274</v>
      </c>
      <c r="M70" s="39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22834.0914320894</v>
      </c>
      <c r="N70" s="39">
        <f>((($AN70+($AO70-$AN70)*IF(VLOOKUP($Q70,武学奇术!$A:$ZZ,31,FALSE)=1,$F$18,0.5))*$AH70+$AI70)*(1+$AP70)*(1+$AQ70)+(($AS70+($AT70-$AS70)*IF(VLOOKUP($Q70,武学奇术!$A:$ZZ,31,FALSE)=1,$F$18,0.5))*IF($G$1="鸣金",$AJ70,$AH70)+IF($G$1="鸣金",$AK70*1.5,0))*(1+$AU70)*(1+$AV70)+(($AW70+($AX70-$AW70)*IF(VLOOKUP($Q70,武学奇术!$A:$ZZ,31,FALSE)=1,$F$18,0.5))*IF($G$1="裂石",$AJ70,$AH70)+IF($G$1="裂石",$AK70*1.5,0))*(1+$AY70)*(1+$AZ70)+(($BA70+($BB70-$BA70)*IF(VLOOKUP($Q70,武学奇术!$A:$ZZ,31,FALSE)=1,$F$18,0.5))*IF($G$1="牵丝",$AJ70,$AH70)+IF($G$1="牵丝",$AK70*1.5,0))*(1+$BC70)*(1+$BD70)+(($BE70+($BF70-$BE70)*IF(VLOOKUP($Q70,武学奇术!$A:$ZZ,31,FALSE)=1,$F$18,0.5))*IF($G$1="破竹",$AJ70,$AH70)+IF($G$1="破竹",$AK70*1.5,0))*(1+$BG70)*(1+$BH70))*(1+$AL70)*$P70*(1+IF(VLOOKUP($Q70,武学奇术!$A:$ZZ,30,FALSE)="蓄力技",$B$21,0))*(1+$BQ70)</f>
        <v>15123.1876776865</v>
      </c>
      <c r="O70" s="39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13332.2335538252</v>
      </c>
      <c r="P70" s="40">
        <v>1</v>
      </c>
      <c r="Q70" s="41" t="s">
        <v>100</v>
      </c>
      <c r="R70" s="41" t="s">
        <v>97</v>
      </c>
      <c r="S70" s="41" t="s">
        <v>132</v>
      </c>
      <c r="T70" s="41" t="s">
        <v>73</v>
      </c>
      <c r="U70" s="41" t="s">
        <v>73</v>
      </c>
      <c r="V70" s="41" t="s">
        <v>73</v>
      </c>
      <c r="W70" s="41" t="s">
        <v>73</v>
      </c>
      <c r="X70" s="41" t="s">
        <v>164</v>
      </c>
      <c r="Y70" s="41" t="s">
        <v>73</v>
      </c>
      <c r="Z70" s="41" t="s">
        <v>73</v>
      </c>
      <c r="AA70" s="41" t="s">
        <v>73</v>
      </c>
      <c r="AB70" s="41" t="s">
        <v>73</v>
      </c>
      <c r="AC70" s="41" t="s">
        <v>73</v>
      </c>
      <c r="AD70" s="41" t="s">
        <v>73</v>
      </c>
      <c r="AE70" s="41" t="s">
        <v>77</v>
      </c>
      <c r="AF70" s="41" t="s">
        <v>78</v>
      </c>
      <c r="AG70" t="str">
        <f>VLOOKUP($Q70,武学奇术!$A:$ZZ,25,FALSE)</f>
        <v>绳镖</v>
      </c>
      <c r="AH70" s="27">
        <f>VLOOKUP($Q70,武学奇术!$A:$ZZ,26,FALSE)</f>
        <v>1.2503</v>
      </c>
      <c r="AI70" s="28">
        <f>VLOOKUP($Q70,武学奇术!$A:$ZZ,27,FALSE)*(1+IF(OR($AG70=$F$4,$AG70=$F$5),$B$22,0))</f>
        <v>520.5</v>
      </c>
      <c r="AJ70" s="27">
        <f>VLOOKUP($Q70,武学奇术!$A:$ZZ,28,FALSE)</f>
        <v>1.8755</v>
      </c>
      <c r="AK70" s="28">
        <f>VLOOKUP($Q70,武学奇术!$A:$ZZ,29,FALSE)*(1+IF(OR($AG70=$F$4,$AG70=$F$5),$B$22,0))</f>
        <v>283.5</v>
      </c>
      <c r="AL70" s="27" cm="1">
        <f t="array" ref="AL70">$G$3+IFERROR(VLOOKUP($AG70,$F$4:$G$7,2,FALSE),0)+VLOOKUP($Q70,武学奇术!$A:$ZZ,2,FALSE)+SUM(_xlfn.XLOOKUP($R70:$AF70,增益!$A:$A,增益!$B:$B,0))</f>
        <v>0.2389</v>
      </c>
      <c r="AM70" s="27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3826.382</v>
      </c>
      <c r="AO70" cm="1">
        <f t="array" ref="AO70">$E$10*(1+$AM70)+VLOOKUP($Q70,武学奇术!$A:$ZZ,4,FALSE)+SUM(_xlfn.XLOOKUP($R70:$AF70,增益!$A:$A,增益!$D:$D,0))-$I$2</f>
        <v>3826.382</v>
      </c>
      <c r="AP70" s="33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0.342</v>
      </c>
      <c r="AQ70" s="33" cm="1">
        <f t="array" ref="AQ70">$G$10+VLOOKUP($Q70,武学奇术!$A:$ZZ,7,FALSE)+SUM(_xlfn.XLOOKUP(R70:AF70,增益!$A:$A,增益!$G:$G,0))</f>
        <v>0.09</v>
      </c>
      <c r="AR70" s="27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3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3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3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3" cm="1">
        <f t="array" ref="AZ70">$G$12+VLOOKUP($Q70,武学奇术!$A:$ZZ,12,FALSE)+SUM(_xlfn.XLOOKUP(R70:AF70,增益!$A:$A,增益!$L:$L,0))</f>
        <v>0</v>
      </c>
      <c r="BA70">
        <f t="shared" si="16"/>
        <v>0</v>
      </c>
      <c r="BB70">
        <f t="shared" si="17"/>
        <v>0</v>
      </c>
      <c r="BC70" s="33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-0.3</v>
      </c>
      <c r="BD70" s="33" cm="1">
        <f t="array" ref="BD70">$G$13+VLOOKUP($Q70,武学奇术!$A:$ZZ,14,FALSE)+SUM(_xlfn.XLOOKUP(R70:AF70,增益!$A:$A,增益!$N:$N,0))</f>
        <v>0</v>
      </c>
      <c r="BE70">
        <f t="shared" si="18"/>
        <v>605.472</v>
      </c>
      <c r="BF70">
        <f t="shared" si="19"/>
        <v>1725.468</v>
      </c>
      <c r="BG70" s="33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</v>
      </c>
      <c r="BH70" s="33" cm="1">
        <f t="array" ref="BH70">$G$14+VLOOKUP($Q70,武学奇术!$A:$ZZ,16,FALSE)+SUM(_xlfn.XLOOKUP(R70:AF70,增益!$A:$A,增益!$P:$P,0))</f>
        <v>0.24</v>
      </c>
      <c r="BI70" s="27">
        <f>MIN(IF(VLOOKUP($Q70,武学奇术!$A:$ZZ,23,FALSE)=1,100%,$B$8),100%)</f>
        <v>1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+MIN(IF(VLOOKUP($Q70,武学奇术!$A:$ZZ,32,FALSE)=1,IF(VLOOKUP($Q70,武学奇术!$A:$ZZ,24,FALSE)=1,100%,MIN(40%,$B$10+VLOOKUP($Q70,武学奇术!$A:$ZZ,19,FALSE)+SUM(_xlfn.XLOOKUP(R70:AF70,增益!$A:$A,增益!$S:$S,0)))+$B$12+SUM(_xlfn.XLOOKUP(R70:AF70,增益!$A:$A,增益!$V:$V,0))),0),12%)</f>
        <v>0.9036</v>
      </c>
      <c r="BK70" s="27" cm="1">
        <f t="array" ref="BK70">1+$B$13+VLOOKUP($Q70,武学奇术!$A:$ZZ,18,FALSE)+SUM(_xlfn.XLOOKUP(R70:AF70,增益!$A:$A,增益!$R:$R,0))</f>
        <v>1.89</v>
      </c>
      <c r="BL70" s="27" cm="1">
        <f t="array" ref="BL70">MAX(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-IF(VLOOKUP($Q70,武学奇术!$A:$ZZ,32,FALSE)=1,12%,0),0)</f>
        <v>0.0929</v>
      </c>
      <c r="BM70" s="27" cm="1">
        <f t="array" ref="BM70">1+$B$14+VLOOKUP($Q70,武学奇术!$A:$ZZ,20,FALSE)+SUM(_xlfn.XLOOKUP(R70:AF70,增益!$A:$A,增益!$T:$T,0))</f>
        <v>1.35</v>
      </c>
      <c r="BN70" s="27">
        <f t="shared" si="20"/>
        <v>0.9036</v>
      </c>
      <c r="BO70" s="27">
        <f t="shared" si="21"/>
        <v>0.00350000000000006</v>
      </c>
      <c r="BP70" s="27">
        <f>IF(VLOOKUP($Q70,武学奇术!$A:$ZZ,22,FALSE)=1,0,(1-$BI70))*(1-$BL70)</f>
        <v>0</v>
      </c>
      <c r="BQ70" s="27" cm="1">
        <f t="array" ref="BQ70">SUM(_xlfn.XLOOKUP(R70:AF70,增益!$A:$A,增益!$W:$W,0))+$I$5</f>
        <v>0.11</v>
      </c>
    </row>
    <row r="71" spans="1:69">
      <c r="K71" s="39">
        <f t="shared" si="11"/>
        <v>63493.2234393213</v>
      </c>
      <c r="L71" s="39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BK71*$P71*(1+IF(VLOOKUP($Q71,武学奇术!$A:$ZZ,30,FALSE)="蓄力技",$B$21,0))*(1+$BQ71)</f>
        <v>65444.2139528443</v>
      </c>
      <c r="M71" s="39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45782.9978688637</v>
      </c>
      <c r="N71" s="39">
        <f>((($AN71+($AO71-$AN71)*IF(VLOOKUP($Q71,武学奇术!$A:$ZZ,31,FALSE)=1,$F$18,0.5))*$AH71+$AI71)*(1+$AP71)*(1+$AQ71)+(($AS71+($AT71-$AS71)*IF(VLOOKUP($Q71,武学奇术!$A:$ZZ,31,FALSE)=1,$F$18,0.5))*IF($G$1="鸣金",$AJ71,$AH71)+IF($G$1="鸣金",$AK71*1.5,0))*(1+$AU71)*(1+$AV71)+(($AW71+($AX71-$AW71)*IF(VLOOKUP($Q71,武学奇术!$A:$ZZ,31,FALSE)=1,$F$18,0.5))*IF($G$1="裂石",$AJ71,$AH71)+IF($G$1="裂石",$AK71*1.5,0))*(1+$AY71)*(1+$AZ71)+(($BA71+($BB71-$BA71)*IF(VLOOKUP($Q71,武学奇术!$A:$ZZ,31,FALSE)=1,$F$18,0.5))*IF($G$1="牵丝",$AJ71,$AH71)+IF($G$1="牵丝",$AK71*1.5,0))*(1+$BC71)*(1+$BD71)+(($BE71+($BF71-$BE71)*IF(VLOOKUP($Q71,武学奇术!$A:$ZZ,31,FALSE)=1,$F$18,0.5))*IF($G$1="破竹",$AJ71,$AH71)+IF($G$1="破竹",$AK71*1.5,0))*(1+$BG71)*(1+$BH71))*(1+$AL71)*$P71*(1+IF(VLOOKUP($Q71,武学奇术!$A:$ZZ,30,FALSE)="蓄力技",$B$21,0))*(1+$BQ71)</f>
        <v>29883.2027181938</v>
      </c>
      <c r="O71" s="39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25853.0736816737</v>
      </c>
      <c r="P71" s="40">
        <v>1</v>
      </c>
      <c r="Q71" s="41" t="s">
        <v>104</v>
      </c>
      <c r="R71" s="41" t="s">
        <v>97</v>
      </c>
      <c r="S71" s="41" t="s">
        <v>132</v>
      </c>
      <c r="T71" s="41" t="s">
        <v>73</v>
      </c>
      <c r="U71" s="41" t="s">
        <v>73</v>
      </c>
      <c r="V71" s="41" t="s">
        <v>73</v>
      </c>
      <c r="W71" s="41" t="s">
        <v>73</v>
      </c>
      <c r="X71" s="41" t="s">
        <v>164</v>
      </c>
      <c r="Y71" s="41" t="s">
        <v>73</v>
      </c>
      <c r="Z71" s="41" t="s">
        <v>105</v>
      </c>
      <c r="AA71" s="41" t="s">
        <v>73</v>
      </c>
      <c r="AB71" s="41" t="s">
        <v>73</v>
      </c>
      <c r="AC71" s="41" t="s">
        <v>73</v>
      </c>
      <c r="AD71" s="41" t="s">
        <v>73</v>
      </c>
      <c r="AE71" s="41" t="s">
        <v>77</v>
      </c>
      <c r="AF71" s="41" t="s">
        <v>78</v>
      </c>
      <c r="AG71" t="str">
        <f>VLOOKUP($Q71,武学奇术!$A:$ZZ,25,FALSE)</f>
        <v>绳镖</v>
      </c>
      <c r="AH71" s="27">
        <f>VLOOKUP($Q71,武学奇术!$A:$ZZ,26,FALSE)</f>
        <v>2.19912</v>
      </c>
      <c r="AI71" s="28">
        <f>VLOOKUP($Q71,武学奇术!$A:$ZZ,27,FALSE)*(1+IF(OR($AG71=$F$4,$AG71=$F$5),$B$22,0))</f>
        <v>0</v>
      </c>
      <c r="AJ71" s="27">
        <f>VLOOKUP($Q71,武学奇术!$A:$ZZ,28,FALSE)</f>
        <v>3.29868</v>
      </c>
      <c r="AK71" s="28">
        <f>VLOOKUP($Q71,武学奇术!$A:$ZZ,29,FALSE)*(1+IF(OR($AG71=$F$4,$AG71=$F$5),$B$22,0))</f>
        <v>0</v>
      </c>
      <c r="AL71" s="27" cm="1">
        <f t="array" ref="AL71">$G$3+IFERROR(VLOOKUP($AG71,$F$4:$G$7,2,FALSE),0)+VLOOKUP($Q71,武学奇术!$A:$ZZ,2,FALSE)+SUM(_xlfn.XLOOKUP($R71:$AF71,增益!$A:$A,增益!$B:$B,0))</f>
        <v>0.5389</v>
      </c>
      <c r="AM71" s="27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3826.382</v>
      </c>
      <c r="AO71" cm="1">
        <f t="array" ref="AO71">$E$10*(1+$AM71)+VLOOKUP($Q71,武学奇术!$A:$ZZ,4,FALSE)+SUM(_xlfn.XLOOKUP($R71:$AF71,增益!$A:$A,增益!$D:$D,0))-$I$2</f>
        <v>3826.382</v>
      </c>
      <c r="AP71" s="33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0.372</v>
      </c>
      <c r="AQ71" s="33" cm="1">
        <f t="array" ref="AQ71">$G$10+VLOOKUP($Q71,武学奇术!$A:$ZZ,7,FALSE)+SUM(_xlfn.XLOOKUP(R71:AF71,增益!$A:$A,增益!$G:$G,0))</f>
        <v>0.09</v>
      </c>
      <c r="AR71" s="27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3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33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3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-0.24</v>
      </c>
      <c r="AZ71" s="33" cm="1">
        <f t="array" ref="AZ71">$G$12+VLOOKUP($Q71,武学奇术!$A:$ZZ,12,FALSE)+SUM(_xlfn.XLOOKUP(R71:AF71,增益!$A:$A,增益!$L:$L,0))</f>
        <v>0</v>
      </c>
      <c r="BA71">
        <f t="shared" si="16"/>
        <v>0</v>
      </c>
      <c r="BB71">
        <f t="shared" si="17"/>
        <v>0</v>
      </c>
      <c r="BC71" s="33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-0.24</v>
      </c>
      <c r="BD71" s="33" cm="1">
        <f t="array" ref="BD71">$G$13+VLOOKUP($Q71,武学奇术!$A:$ZZ,14,FALSE)+SUM(_xlfn.XLOOKUP(R71:AF71,增益!$A:$A,增益!$N:$N,0))</f>
        <v>0</v>
      </c>
      <c r="BE71">
        <f t="shared" si="18"/>
        <v>605.472</v>
      </c>
      <c r="BF71">
        <f t="shared" si="19"/>
        <v>1725.468</v>
      </c>
      <c r="BG71" s="33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0.03</v>
      </c>
      <c r="BH71" s="33" cm="1">
        <f t="array" ref="BH71">$G$14+VLOOKUP($Q71,武学奇术!$A:$ZZ,16,FALSE)+SUM(_xlfn.XLOOKUP(R71:AF71,增益!$A:$A,增益!$P:$P,0))</f>
        <v>0.24</v>
      </c>
      <c r="BI71" s="27">
        <f>MIN(IF(VLOOKUP($Q71,武学奇术!$A:$ZZ,23,FALSE)=1,100%,$B$8),100%)</f>
        <v>1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+MIN(IF(VLOOKUP($Q71,武学奇术!$A:$ZZ,32,FALSE)=1,IF(VLOOKUP($Q71,武学奇术!$A:$ZZ,24,FALSE)=1,100%,MIN(40%,$B$10+VLOOKUP($Q71,武学奇术!$A:$ZZ,19,FALSE)+SUM(_xlfn.XLOOKUP(R71:AF71,增益!$A:$A,增益!$S:$S,0)))+$B$12+SUM(_xlfn.XLOOKUP(R71:AF71,增益!$A:$A,增益!$V:$V,0))),0),12%)</f>
        <v>0.9036</v>
      </c>
      <c r="BK71" s="27" cm="1">
        <f t="array" ref="BK71">1+$B$13+VLOOKUP($Q71,武学奇术!$A:$ZZ,18,FALSE)+SUM(_xlfn.XLOOKUP(R71:AF71,增益!$A:$A,增益!$R:$R,0))</f>
        <v>2.19</v>
      </c>
      <c r="BL71" s="27" cm="1">
        <f t="array" ref="BL71">MAX(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-IF(VLOOKUP($Q71,武学奇术!$A:$ZZ,32,FALSE)=1,12%,0),0)</f>
        <v>0.0929</v>
      </c>
      <c r="BM71" s="27" cm="1">
        <f t="array" ref="BM71">1+$B$14+VLOOKUP($Q71,武学奇术!$A:$ZZ,20,FALSE)+SUM(_xlfn.XLOOKUP(R71:AF71,增益!$A:$A,增益!$T:$T,0))</f>
        <v>1.35</v>
      </c>
      <c r="BN71" s="27">
        <f t="shared" si="20"/>
        <v>0.9036</v>
      </c>
      <c r="BO71" s="27">
        <f t="shared" si="21"/>
        <v>0.00350000000000006</v>
      </c>
      <c r="BP71" s="27">
        <f>IF(VLOOKUP($Q71,武学奇术!$A:$ZZ,22,FALSE)=1,0,(1-$BI71))*(1-$BL71)</f>
        <v>0</v>
      </c>
      <c r="BQ71" s="27" cm="1">
        <f t="array" ref="BQ71">SUM(_xlfn.XLOOKUP(R71:AF71,增益!$A:$A,增益!$W:$W,0))+$I$5</f>
        <v>0.11</v>
      </c>
    </row>
    <row r="72" spans="1:69">
      <c r="A72" s="4"/>
      <c r="B72" s="4"/>
      <c r="F72" s="4"/>
      <c r="G72" s="91"/>
      <c r="K72" s="39">
        <f t="shared" si="11"/>
        <v>9139.67062729586</v>
      </c>
      <c r="L72" s="39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BK72*$P72*(1+IF(VLOOKUP($Q72,武学奇术!$A:$ZZ,30,FALSE)="蓄力技",$B$21,0))*(1+$BQ72)</f>
        <v>9214.24444036971</v>
      </c>
      <c r="M72" s="39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8546.9839065234</v>
      </c>
      <c r="N72" s="39">
        <f>((($AN72+($AO72-$AN72)*IF(VLOOKUP($Q72,武学奇术!$A:$ZZ,31,FALSE)=1,$F$18,0.5))*$AH72+$AI72)*(1+$AP72)*(1+$AQ72)+(($AS72+($AT72-$AS72)*IF(VLOOKUP($Q72,武学奇术!$A:$ZZ,31,FALSE)=1,$F$18,0.5))*IF($G$1="鸣金",$AJ72,$AH72)+IF($G$1="鸣金",$AK72*1.5,0))*(1+$AU72)*(1+$AV72)+(($AW72+($AX72-$AW72)*IF(VLOOKUP($Q72,武学奇术!$A:$ZZ,31,FALSE)=1,$F$18,0.5))*IF($G$1="裂石",$AJ72,$AH72)+IF($G$1="裂石",$AK72*1.5,0))*(1+$AY72)*(1+$AZ72)+(($BA72+($BB72-$BA72)*IF(VLOOKUP($Q72,武学奇术!$A:$ZZ,31,FALSE)=1,$F$18,0.5))*IF($G$1="牵丝",$AJ72,$AH72)+IF($G$1="牵丝",$AK72*1.5,0))*(1+$BC72)*(1+$BD72)+(($BE72+($BF72-$BE72)*IF(VLOOKUP($Q72,武学奇术!$A:$ZZ,31,FALSE)=1,$F$18,0.5))*IF($G$1="破竹",$AJ72,$AH72)+IF($G$1="破竹",$AK72*1.5,0))*(1+$BG72)*(1+$BH72))*(1+$AL72)*$P72*(1+IF(VLOOKUP($Q72,武学奇术!$A:$ZZ,30,FALSE)="蓄力技",$B$21,0))*(1+$BQ72)</f>
        <v>5618.44173193275</v>
      </c>
      <c r="O72" s="39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4905.78427384817</v>
      </c>
      <c r="P72" s="40">
        <v>1</v>
      </c>
      <c r="Q72" s="41" t="s">
        <v>107</v>
      </c>
      <c r="R72" s="41" t="s">
        <v>97</v>
      </c>
      <c r="S72" s="41" t="s">
        <v>73</v>
      </c>
      <c r="T72" s="41" t="s">
        <v>73</v>
      </c>
      <c r="U72" s="41" t="s">
        <v>73</v>
      </c>
      <c r="V72" s="41" t="s">
        <v>73</v>
      </c>
      <c r="W72" s="41" t="s">
        <v>73</v>
      </c>
      <c r="X72" s="41" t="s">
        <v>164</v>
      </c>
      <c r="Y72" s="41" t="s">
        <v>73</v>
      </c>
      <c r="Z72" s="41" t="s">
        <v>73</v>
      </c>
      <c r="AA72" s="41" t="s">
        <v>73</v>
      </c>
      <c r="AB72" s="41" t="s">
        <v>73</v>
      </c>
      <c r="AC72" s="41" t="s">
        <v>73</v>
      </c>
      <c r="AD72" s="41" t="s">
        <v>73</v>
      </c>
      <c r="AE72" s="41" t="s">
        <v>77</v>
      </c>
      <c r="AF72" s="41" t="s">
        <v>78</v>
      </c>
      <c r="AG72" t="str">
        <f>VLOOKUP($Q72,武学奇术!$A:$ZZ,25,FALSE)</f>
        <v>绳镖</v>
      </c>
      <c r="AH72" s="27">
        <f>VLOOKUP($Q72,武学奇术!$A:$ZZ,26,FALSE)</f>
        <v>0.4975</v>
      </c>
      <c r="AI72" s="28">
        <f>VLOOKUP($Q72,武学奇术!$A:$ZZ,27,FALSE)*(1+IF(OR($AG72=$F$4,$AG72=$F$5),$B$22,0))</f>
        <v>205.5</v>
      </c>
      <c r="AJ72" s="27">
        <f>VLOOKUP($Q72,武学奇术!$A:$ZZ,28,FALSE)</f>
        <v>0.7463</v>
      </c>
      <c r="AK72" s="28">
        <f>VLOOKUP($Q72,武学奇术!$A:$ZZ,29,FALSE)*(1+IF(OR($AG72=$F$4,$AG72=$F$5),$B$22,0))</f>
        <v>112.5</v>
      </c>
      <c r="AL72" s="27" cm="1">
        <f t="array" ref="AL72">$G$3+IFERROR(VLOOKUP($AG72,$F$4:$G$7,2,FALSE),0)+VLOOKUP($Q72,武学奇术!$A:$ZZ,2,FALSE)+SUM(_xlfn.XLOOKUP($R72:$AF72,增益!$A:$A,增益!$B:$B,0))</f>
        <v>0.2389</v>
      </c>
      <c r="AM72" s="27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3826.382</v>
      </c>
      <c r="AO72" cm="1">
        <f t="array" ref="AO72">$E$10*(1+$AM72)+VLOOKUP($Q72,武学奇术!$A:$ZZ,4,FALSE)+SUM(_xlfn.XLOOKUP($R72:$AF72,增益!$A:$A,增益!$D:$D,0))-$I$2</f>
        <v>3826.382</v>
      </c>
      <c r="AP72" s="33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0.217</v>
      </c>
      <c r="AQ72" s="33" cm="1">
        <f t="array" ref="AQ72">$G$10+VLOOKUP($Q72,武学奇术!$A:$ZZ,7,FALSE)+SUM(_xlfn.XLOOKUP(R72:AF72,增益!$A:$A,增益!$G:$G,0))</f>
        <v>0.09</v>
      </c>
      <c r="AR72" s="27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3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3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3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3" cm="1">
        <f t="array" ref="AZ72">$G$12+VLOOKUP($Q72,武学奇术!$A:$ZZ,12,FALSE)+SUM(_xlfn.XLOOKUP(R72:AF72,增益!$A:$A,增益!$L:$L,0))</f>
        <v>0</v>
      </c>
      <c r="BA72">
        <f t="shared" si="16"/>
        <v>0</v>
      </c>
      <c r="BB72">
        <f t="shared" si="17"/>
        <v>0</v>
      </c>
      <c r="BC72" s="33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3" cm="1">
        <f t="array" ref="BD72">$G$13+VLOOKUP($Q72,武学奇术!$A:$ZZ,14,FALSE)+SUM(_xlfn.XLOOKUP(R72:AF72,增益!$A:$A,增益!$N:$N,0))</f>
        <v>0</v>
      </c>
      <c r="BE72">
        <f t="shared" si="18"/>
        <v>605.472</v>
      </c>
      <c r="BF72">
        <f t="shared" si="19"/>
        <v>1725.468</v>
      </c>
      <c r="BG72" s="33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</v>
      </c>
      <c r="BH72" s="33" cm="1">
        <f t="array" ref="BH72">$G$14+VLOOKUP($Q72,武学奇术!$A:$ZZ,16,FALSE)+SUM(_xlfn.XLOOKUP(R72:AF72,增益!$A:$A,增益!$P:$P,0))</f>
        <v>0.24</v>
      </c>
      <c r="BI72" s="27">
        <f>MIN(IF(VLOOKUP($Q72,武学奇术!$A:$ZZ,23,FALSE)=1,100%,$B$8),100%)</f>
        <v>1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+MIN(IF(VLOOKUP($Q72,武学奇术!$A:$ZZ,32,FALSE)=1,IF(VLOOKUP($Q72,武学奇术!$A:$ZZ,24,FALSE)=1,100%,MIN(40%,$B$10+VLOOKUP($Q72,武学奇术!$A:$ZZ,19,FALSE)+SUM(_xlfn.XLOOKUP(R72:AF72,增益!$A:$A,增益!$S:$S,0)))+$B$12+SUM(_xlfn.XLOOKUP(R72:AF72,增益!$A:$A,增益!$V:$V,0))),0),12%)</f>
        <v>0.9036</v>
      </c>
      <c r="BK72" s="27" cm="1">
        <f t="array" ref="BK72">1+$B$13+VLOOKUP($Q72,武学奇术!$A:$ZZ,18,FALSE)+SUM(_xlfn.XLOOKUP(R72:AF72,增益!$A:$A,增益!$R:$R,0))</f>
        <v>1.64</v>
      </c>
      <c r="BL72" s="27" cm="1">
        <f t="array" ref="BL72">MAX(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-IF(VLOOKUP($Q72,武学奇术!$A:$ZZ,32,FALSE)=1,12%,0),0)</f>
        <v>0.0929</v>
      </c>
      <c r="BM72" s="27" cm="1">
        <f t="array" ref="BM72">1+$B$14+VLOOKUP($Q72,武学奇术!$A:$ZZ,20,FALSE)+SUM(_xlfn.XLOOKUP(R72:AF72,增益!$A:$A,增益!$T:$T,0))</f>
        <v>1.35</v>
      </c>
      <c r="BN72" s="27">
        <f t="shared" si="20"/>
        <v>0.9036</v>
      </c>
      <c r="BO72" s="27">
        <f t="shared" si="21"/>
        <v>0.00350000000000006</v>
      </c>
      <c r="BP72" s="27">
        <f>IF(VLOOKUP($Q72,武学奇术!$A:$ZZ,22,FALSE)=1,0,(1-$BI72))*(1-$BL72)</f>
        <v>0</v>
      </c>
      <c r="BQ72" s="27" cm="1">
        <f t="array" ref="BQ72">SUM(_xlfn.XLOOKUP(R72:AF72,增益!$A:$A,增益!$W:$W,0))+$I$5</f>
        <v>0.11</v>
      </c>
    </row>
    <row r="73" spans="1:69">
      <c r="A73" s="4"/>
      <c r="B73" s="91"/>
      <c r="K73" s="39">
        <f t="shared" si="11"/>
        <v>63668.4578580414</v>
      </c>
      <c r="L73" s="39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BK73*$P73*(1+IF(VLOOKUP($Q73,武学奇术!$A:$ZZ,30,FALSE)="蓄力技",$B$21,0))*(1+$BQ73)</f>
        <v>65008.8804482644</v>
      </c>
      <c r="M73" s="39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51766.947495429</v>
      </c>
      <c r="N73" s="39">
        <f>((($AN73+($AO73-$AN73)*IF(VLOOKUP($Q73,武学奇术!$A:$ZZ,31,FALSE)=1,$F$18,0.5))*$AH73+$AI73)*(1+$AP73)*(1+$AQ73)+(($AS73+($AT73-$AS73)*IF(VLOOKUP($Q73,武学奇术!$A:$ZZ,31,FALSE)=1,$F$18,0.5))*IF($G$1="鸣金",$AJ73,$AH73)+IF($G$1="鸣金",$AK73*1.5,0))*(1+$AU73)*(1+$AV73)+(($AW73+($AX73-$AW73)*IF(VLOOKUP($Q73,武学奇术!$A:$ZZ,31,FALSE)=1,$F$18,0.5))*IF($G$1="裂石",$AJ73,$AH73)+IF($G$1="裂石",$AK73*1.5,0))*(1+$AY73)*(1+$AZ73)+(($BA73+($BB73-$BA73)*IF(VLOOKUP($Q73,武学奇术!$A:$ZZ,31,FALSE)=1,$F$18,0.5))*IF($G$1="牵丝",$AJ73,$AH73)+IF($G$1="牵丝",$AK73*1.5,0))*(1+$BC73)*(1+$BD73)+(($BE73+($BF73-$BE73)*IF(VLOOKUP($Q73,武学奇术!$A:$ZZ,31,FALSE)=1,$F$18,0.5))*IF($G$1="破竹",$AJ73,$AH73)+IF($G$1="破竹",$AK73*1.5,0))*(1+$BG73)*(1+$BH73))*(1+$AL73)*$P73*(1+IF(VLOOKUP($Q73,武学奇术!$A:$ZZ,30,FALSE)="蓄力技",$B$21,0))*(1+$BQ73)</f>
        <v>33509.732189827</v>
      </c>
      <c r="O73" s="39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28673.5773460029</v>
      </c>
      <c r="P73" s="40">
        <v>1</v>
      </c>
      <c r="Q73" s="41" t="s">
        <v>110</v>
      </c>
      <c r="R73" s="41" t="s">
        <v>97</v>
      </c>
      <c r="S73" s="41" t="s">
        <v>73</v>
      </c>
      <c r="T73" s="41" t="s">
        <v>73</v>
      </c>
      <c r="U73" s="41" t="s">
        <v>73</v>
      </c>
      <c r="V73" s="41" t="s">
        <v>73</v>
      </c>
      <c r="W73" s="41" t="s">
        <v>73</v>
      </c>
      <c r="X73" s="41" t="s">
        <v>164</v>
      </c>
      <c r="Y73" s="41" t="s">
        <v>73</v>
      </c>
      <c r="Z73" s="41" t="s">
        <v>105</v>
      </c>
      <c r="AA73" s="41" t="s">
        <v>73</v>
      </c>
      <c r="AB73" s="41" t="s">
        <v>73</v>
      </c>
      <c r="AC73" s="41" t="s">
        <v>73</v>
      </c>
      <c r="AD73" s="41" t="s">
        <v>73</v>
      </c>
      <c r="AE73" s="41" t="s">
        <v>77</v>
      </c>
      <c r="AF73" s="41" t="s">
        <v>78</v>
      </c>
      <c r="AG73" t="str">
        <f>VLOOKUP($Q73,武学奇术!$A:$ZZ,25,FALSE)</f>
        <v>绳镖</v>
      </c>
      <c r="AH73" s="27">
        <f>VLOOKUP($Q73,武学奇术!$A:$ZZ,26,FALSE)</f>
        <v>2.638944</v>
      </c>
      <c r="AI73" s="28">
        <f>VLOOKUP($Q73,武学奇术!$A:$ZZ,27,FALSE)*(1+IF(OR($AG73=$F$4,$AG73=$F$5),$B$22,0))</f>
        <v>0</v>
      </c>
      <c r="AJ73" s="27">
        <f>VLOOKUP($Q73,武学奇术!$A:$ZZ,28,FALSE)</f>
        <v>3.958416</v>
      </c>
      <c r="AK73" s="28">
        <f>VLOOKUP($Q73,武学奇术!$A:$ZZ,29,FALSE)*(1+IF(OR($AG73=$F$4,$AG73=$F$5),$B$22,0))</f>
        <v>0</v>
      </c>
      <c r="AL73" s="27" cm="1">
        <f t="array" ref="AL73">$G$3+IFERROR(VLOOKUP($AG73,$F$4:$G$7,2,FALSE),0)+VLOOKUP($Q73,武学奇术!$A:$ZZ,2,FALSE)+SUM(_xlfn.XLOOKUP($R73:$AF73,增益!$A:$A,增益!$B:$B,0))</f>
        <v>0.5389</v>
      </c>
      <c r="AM73" s="27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3826.382</v>
      </c>
      <c r="AO73" cm="1">
        <f t="array" ref="AO73">$E$10*(1+$AM73)+VLOOKUP($Q73,武学奇术!$A:$ZZ,4,FALSE)+SUM(_xlfn.XLOOKUP($R73:$AF73,增益!$A:$A,增益!$D:$D,0))-$I$2</f>
        <v>3826.382</v>
      </c>
      <c r="AP73" s="33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0.247</v>
      </c>
      <c r="AQ73" s="33" cm="1">
        <f t="array" ref="AQ73">$G$10+VLOOKUP($Q73,武学奇术!$A:$ZZ,7,FALSE)+SUM(_xlfn.XLOOKUP(R73:AF73,增益!$A:$A,增益!$G:$G,0))</f>
        <v>0.09</v>
      </c>
      <c r="AR73" s="27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3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33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3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-0.24</v>
      </c>
      <c r="AZ73" s="33" cm="1">
        <f t="array" ref="AZ73">$G$12+VLOOKUP($Q73,武学奇术!$A:$ZZ,12,FALSE)+SUM(_xlfn.XLOOKUP(R73:AF73,增益!$A:$A,增益!$L:$L,0))</f>
        <v>0</v>
      </c>
      <c r="BA73">
        <f t="shared" si="16"/>
        <v>0</v>
      </c>
      <c r="BB73">
        <f t="shared" si="17"/>
        <v>0</v>
      </c>
      <c r="BC73" s="33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-0.24</v>
      </c>
      <c r="BD73" s="33" cm="1">
        <f t="array" ref="BD73">$G$13+VLOOKUP($Q73,武学奇术!$A:$ZZ,14,FALSE)+SUM(_xlfn.XLOOKUP(R73:AF73,增益!$A:$A,增益!$N:$N,0))</f>
        <v>0</v>
      </c>
      <c r="BE73">
        <f t="shared" si="18"/>
        <v>605.472</v>
      </c>
      <c r="BF73">
        <f t="shared" si="19"/>
        <v>1725.468</v>
      </c>
      <c r="BG73" s="33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0.03</v>
      </c>
      <c r="BH73" s="33" cm="1">
        <f t="array" ref="BH73">$G$14+VLOOKUP($Q73,武学奇术!$A:$ZZ,16,FALSE)+SUM(_xlfn.XLOOKUP(R73:AF73,增益!$A:$A,增益!$P:$P,0))</f>
        <v>0.24</v>
      </c>
      <c r="BI73" s="27">
        <f>MIN(IF(VLOOKUP($Q73,武学奇术!$A:$ZZ,23,FALSE)=1,100%,$B$8),100%)</f>
        <v>1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+MIN(IF(VLOOKUP($Q73,武学奇术!$A:$ZZ,32,FALSE)=1,IF(VLOOKUP($Q73,武学奇术!$A:$ZZ,24,FALSE)=1,100%,MIN(40%,$B$10+VLOOKUP($Q73,武学奇术!$A:$ZZ,19,FALSE)+SUM(_xlfn.XLOOKUP(R73:AF73,增益!$A:$A,增益!$S:$S,0)))+$B$12+SUM(_xlfn.XLOOKUP(R73:AF73,增益!$A:$A,增益!$V:$V,0))),0),12%)</f>
        <v>0.9036</v>
      </c>
      <c r="BK73" s="27" cm="1">
        <f t="array" ref="BK73">1+$B$13+VLOOKUP($Q73,武学奇术!$A:$ZZ,18,FALSE)+SUM(_xlfn.XLOOKUP(R73:AF73,增益!$A:$A,增益!$R:$R,0))</f>
        <v>1.94</v>
      </c>
      <c r="BL73" s="27" cm="1">
        <f t="array" ref="BL73">MAX(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-IF(VLOOKUP($Q73,武学奇术!$A:$ZZ,32,FALSE)=1,12%,0),0)</f>
        <v>0.0929</v>
      </c>
      <c r="BM73" s="27" cm="1">
        <f t="array" ref="BM73">1+$B$14+VLOOKUP($Q73,武学奇术!$A:$ZZ,20,FALSE)+SUM(_xlfn.XLOOKUP(R73:AF73,增益!$A:$A,增益!$T:$T,0))</f>
        <v>1.35</v>
      </c>
      <c r="BN73" s="27">
        <f t="shared" si="20"/>
        <v>0.9036</v>
      </c>
      <c r="BO73" s="27">
        <f t="shared" si="21"/>
        <v>0.00350000000000006</v>
      </c>
      <c r="BP73" s="27">
        <f>IF(VLOOKUP($Q73,武学奇术!$A:$ZZ,22,FALSE)=1,0,(1-$BI73))*(1-$BL73)</f>
        <v>0</v>
      </c>
      <c r="BQ73" s="27" cm="1">
        <f t="array" ref="BQ73">SUM(_xlfn.XLOOKUP(R73:AF73,增益!$A:$A,增益!$W:$W,0))+$I$5</f>
        <v>0.11</v>
      </c>
    </row>
    <row r="74" spans="1:69">
      <c r="F74" s="4"/>
      <c r="G74" s="91"/>
      <c r="K74" s="39">
        <f t="shared" si="11"/>
        <v>47947.2130329771</v>
      </c>
      <c r="L74" s="39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BK74*$P74*(1+IF(VLOOKUP($Q74,武学奇术!$A:$ZZ,30,FALSE)="蓄力技",$B$21,0))*(1+$BQ74)</f>
        <v>48338.4064916274</v>
      </c>
      <c r="M74" s="39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44838.1883076034</v>
      </c>
      <c r="N74" s="39">
        <f>((($AN74+($AO74-$AN74)*IF(VLOOKUP($Q74,武学奇术!$A:$ZZ,31,FALSE)=1,$F$18,0.5))*$AH74+$AI74)*(1+$AP74)*(1+$AQ74)+(($AS74+($AT74-$AS74)*IF(VLOOKUP($Q74,武学奇术!$A:$ZZ,31,FALSE)=1,$F$18,0.5))*IF($G$1="鸣金",$AJ74,$AH74)+IF($G$1="鸣金",$AK74*1.5,0))*(1+$AU74)*(1+$AV74)+(($AW74+($AX74-$AW74)*IF(VLOOKUP($Q74,武学奇术!$A:$ZZ,31,FALSE)=1,$F$18,0.5))*IF($G$1="裂石",$AJ74,$AH74)+IF($G$1="裂石",$AK74*1.5,0))*(1+$AY74)*(1+$AZ74)+(($BA74+($BB74-$BA74)*IF(VLOOKUP($Q74,武学奇术!$A:$ZZ,31,FALSE)=1,$F$18,0.5))*IF($G$1="牵丝",$AJ74,$AH74)+IF($G$1="牵丝",$AK74*1.5,0))*(1+$BC74)*(1+$BD74)+(($BE74+($BF74-$BE74)*IF(VLOOKUP($Q74,武学奇术!$A:$ZZ,31,FALSE)=1,$F$18,0.5))*IF($G$1="破竹",$AJ74,$AH74)+IF($G$1="破竹",$AK74*1.5,0))*(1+$BG74)*(1+$BH74))*(1+$AL74)*$P74*(1+IF(VLOOKUP($Q74,武学奇术!$A:$ZZ,30,FALSE)="蓄力技",$B$21,0))*(1+$BQ74)</f>
        <v>29474.6381046509</v>
      </c>
      <c r="O74" s="39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25735.8033888547</v>
      </c>
      <c r="P74" s="40">
        <v>1</v>
      </c>
      <c r="Q74" s="41" t="s">
        <v>120</v>
      </c>
      <c r="R74" s="41" t="s">
        <v>97</v>
      </c>
      <c r="S74" s="41" t="s">
        <v>73</v>
      </c>
      <c r="T74" s="41" t="s">
        <v>73</v>
      </c>
      <c r="U74" s="41" t="s">
        <v>73</v>
      </c>
      <c r="V74" s="41" t="s">
        <v>73</v>
      </c>
      <c r="W74" s="41" t="s">
        <v>73</v>
      </c>
      <c r="X74" s="41" t="s">
        <v>164</v>
      </c>
      <c r="Y74" s="41" t="s">
        <v>73</v>
      </c>
      <c r="Z74" s="41" t="s">
        <v>73</v>
      </c>
      <c r="AA74" s="41" t="s">
        <v>73</v>
      </c>
      <c r="AB74" s="41" t="s">
        <v>73</v>
      </c>
      <c r="AC74" s="41" t="s">
        <v>73</v>
      </c>
      <c r="AD74" s="41" t="s">
        <v>73</v>
      </c>
      <c r="AE74" s="41" t="s">
        <v>77</v>
      </c>
      <c r="AF74" s="41" t="s">
        <v>78</v>
      </c>
      <c r="AG74" t="str">
        <f>VLOOKUP($Q74,武学奇术!$A:$ZZ,25,FALSE)</f>
        <v>拳甲</v>
      </c>
      <c r="AH74" s="27">
        <f>VLOOKUP($Q74,武学奇术!$A:$ZZ,26,FALSE)</f>
        <v>2.4421</v>
      </c>
      <c r="AI74" s="28">
        <f>VLOOKUP($Q74,武学奇术!$A:$ZZ,27,FALSE)*(1+IF(OR($AG74=$F$4,$AG74=$F$5),$B$22,0))</f>
        <v>1012.5</v>
      </c>
      <c r="AJ74" s="27">
        <f>VLOOKUP($Q74,武学奇术!$A:$ZZ,28,FALSE)</f>
        <v>3.6634</v>
      </c>
      <c r="AK74" s="28">
        <f>VLOOKUP($Q74,武学奇术!$A:$ZZ,29,FALSE)*(1+IF(OR($AG74=$F$4,$AG74=$F$5),$B$22,0))</f>
        <v>549</v>
      </c>
      <c r="AL74" s="27" cm="1">
        <f t="array" ref="AL74">$G$3+IFERROR(VLOOKUP($AG74,$F$4:$G$7,2,FALSE),0)+VLOOKUP($Q74,武学奇术!$A:$ZZ,2,FALSE)+SUM(_xlfn.XLOOKUP($R74:$AF74,增益!$A:$A,增益!$B:$B,0))</f>
        <v>0.3241</v>
      </c>
      <c r="AM74" s="27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3826.382</v>
      </c>
      <c r="AO74" cm="1">
        <f t="array" ref="AO74">$E$10*(1+$AM74)+VLOOKUP($Q74,武学奇术!$A:$ZZ,4,FALSE)+SUM(_xlfn.XLOOKUP($R74:$AF74,增益!$A:$A,增益!$D:$D,0))-$I$2</f>
        <v>3826.382</v>
      </c>
      <c r="AP74" s="33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0.217</v>
      </c>
      <c r="AQ74" s="33" cm="1">
        <f t="array" ref="AQ74">$G$10+VLOOKUP($Q74,武学奇术!$A:$ZZ,7,FALSE)+SUM(_xlfn.XLOOKUP(R74:AF74,增益!$A:$A,增益!$G:$G,0))</f>
        <v>0.09</v>
      </c>
      <c r="AR74" s="27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3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3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3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3" cm="1">
        <f t="array" ref="AZ74">$G$12+VLOOKUP($Q74,武学奇术!$A:$ZZ,12,FALSE)+SUM(_xlfn.XLOOKUP(R74:AF74,增益!$A:$A,增益!$L:$L,0))</f>
        <v>0</v>
      </c>
      <c r="BA74">
        <f t="shared" si="16"/>
        <v>0</v>
      </c>
      <c r="BB74">
        <f t="shared" si="17"/>
        <v>0</v>
      </c>
      <c r="BC74" s="33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-0.3</v>
      </c>
      <c r="BD74" s="33" cm="1">
        <f t="array" ref="BD74">$G$13+VLOOKUP($Q74,武学奇术!$A:$ZZ,14,FALSE)+SUM(_xlfn.XLOOKUP(R74:AF74,增益!$A:$A,增益!$N:$N,0))</f>
        <v>0</v>
      </c>
      <c r="BE74">
        <f t="shared" si="18"/>
        <v>605.472</v>
      </c>
      <c r="BF74">
        <f t="shared" si="19"/>
        <v>1725.468</v>
      </c>
      <c r="BG74" s="33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</v>
      </c>
      <c r="BH74" s="33" cm="1">
        <f t="array" ref="BH74">$G$14+VLOOKUP($Q74,武学奇术!$A:$ZZ,16,FALSE)+SUM(_xlfn.XLOOKUP(R74:AF74,增益!$A:$A,增益!$P:$P,0))</f>
        <v>0.24</v>
      </c>
      <c r="BI74" s="27">
        <f>MIN(IF(VLOOKUP($Q74,武学奇术!$A:$ZZ,23,FALSE)=1,100%,$B$8),100%)</f>
        <v>1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+MIN(IF(VLOOKUP($Q74,武学奇术!$A:$ZZ,32,FALSE)=1,IF(VLOOKUP($Q74,武学奇术!$A:$ZZ,24,FALSE)=1,100%,MIN(40%,$B$10+VLOOKUP($Q74,武学奇术!$A:$ZZ,19,FALSE)+SUM(_xlfn.XLOOKUP(R74:AF74,增益!$A:$A,增益!$S:$S,0)))+$B$12+SUM(_xlfn.XLOOKUP(R74:AF74,增益!$A:$A,增益!$V:$V,0))),0),12%)</f>
        <v>0.9036</v>
      </c>
      <c r="BK74" s="27" cm="1">
        <f t="array" ref="BK74">1+$B$13+VLOOKUP($Q74,武学奇术!$A:$ZZ,18,FALSE)+SUM(_xlfn.XLOOKUP(R74:AF74,增益!$A:$A,增益!$R:$R,0))</f>
        <v>1.64</v>
      </c>
      <c r="BL74" s="27" cm="1">
        <f t="array" ref="BL74">MAX(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-IF(VLOOKUP($Q74,武学奇术!$A:$ZZ,32,FALSE)=1,12%,0),0)</f>
        <v>0.0929</v>
      </c>
      <c r="BM74" s="27" cm="1">
        <f t="array" ref="BM74">1+$B$14+VLOOKUP($Q74,武学奇术!$A:$ZZ,20,FALSE)+SUM(_xlfn.XLOOKUP(R74:AF74,增益!$A:$A,增益!$T:$T,0))</f>
        <v>1.35</v>
      </c>
      <c r="BN74" s="27">
        <f t="shared" si="20"/>
        <v>0.9036</v>
      </c>
      <c r="BO74" s="27">
        <f t="shared" si="21"/>
        <v>0.00350000000000006</v>
      </c>
      <c r="BP74" s="27">
        <f>IF(VLOOKUP($Q74,武学奇术!$A:$ZZ,22,FALSE)=1,0,(1-$BI74))*(1-$BL74)</f>
        <v>0</v>
      </c>
      <c r="BQ74" s="27" cm="1">
        <f t="array" ref="BQ74">SUM(_xlfn.XLOOKUP(R74:AF74,增益!$A:$A,增益!$W:$W,0))+$I$5</f>
        <v>0.11</v>
      </c>
    </row>
    <row r="75" spans="1:69">
      <c r="A75" s="4"/>
      <c r="B75" s="91"/>
      <c r="F75" s="4"/>
      <c r="G75" s="4"/>
      <c r="K75" s="39">
        <f t="shared" si="11"/>
        <v>25302.7013066055</v>
      </c>
      <c r="L75" s="39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BK75*$P75*(1+IF(VLOOKUP($Q75,武学奇术!$A:$ZZ,30,FALSE)="蓄力技",$B$21,0))*(1+$BQ75)</f>
        <v>25509.3959279023</v>
      </c>
      <c r="M75" s="39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23659.5302708341</v>
      </c>
      <c r="N75" s="39">
        <f>((($AN75+($AO75-$AN75)*IF(VLOOKUP($Q75,武学奇术!$A:$ZZ,31,FALSE)=1,$F$18,0.5))*$AH75+$AI75)*(1+$AP75)*(1+$AQ75)+(($AS75+($AT75-$AS75)*IF(VLOOKUP($Q75,武学奇术!$A:$ZZ,31,FALSE)=1,$F$18,0.5))*IF($G$1="鸣金",$AJ75,$AH75)+IF($G$1="鸣金",$AK75*1.5,0))*(1+$AU75)*(1+$AV75)+(($AW75+($AX75-$AW75)*IF(VLOOKUP($Q75,武学奇术!$A:$ZZ,31,FALSE)=1,$F$18,0.5))*IF($G$1="裂石",$AJ75,$AH75)+IF($G$1="裂石",$AK75*1.5,0))*(1+$AY75)*(1+$AZ75)+(($BA75+($BB75-$BA75)*IF(VLOOKUP($Q75,武学奇术!$A:$ZZ,31,FALSE)=1,$F$18,0.5))*IF($G$1="牵丝",$AJ75,$AH75)+IF($G$1="牵丝",$AK75*1.5,0))*(1+$BC75)*(1+$BD75)+(($BE75+($BF75-$BE75)*IF(VLOOKUP($Q75,武学奇术!$A:$ZZ,31,FALSE)=1,$F$18,0.5))*IF($G$1="破竹",$AJ75,$AH75)+IF($G$1="破竹",$AK75*1.5,0))*(1+$BG75)*(1+$BH75))*(1+$AL75)*$P75*(1+IF(VLOOKUP($Q75,武学奇术!$A:$ZZ,30,FALSE)="蓄力技",$B$21,0))*(1+$BQ75)</f>
        <v>15554.5097121355</v>
      </c>
      <c r="O75" s="39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13583.4414458755</v>
      </c>
      <c r="P75" s="40">
        <v>1</v>
      </c>
      <c r="Q75" s="41" t="s">
        <v>115</v>
      </c>
      <c r="R75" s="41" t="s">
        <v>97</v>
      </c>
      <c r="S75" s="41" t="s">
        <v>73</v>
      </c>
      <c r="T75" s="41" t="s">
        <v>73</v>
      </c>
      <c r="U75" s="41" t="s">
        <v>73</v>
      </c>
      <c r="V75" s="41" t="s">
        <v>73</v>
      </c>
      <c r="W75" s="41" t="s">
        <v>73</v>
      </c>
      <c r="X75" s="41" t="s">
        <v>164</v>
      </c>
      <c r="Y75" s="41" t="s">
        <v>73</v>
      </c>
      <c r="Z75" s="41" t="s">
        <v>73</v>
      </c>
      <c r="AA75" s="41" t="s">
        <v>73</v>
      </c>
      <c r="AB75" s="41" t="s">
        <v>73</v>
      </c>
      <c r="AC75" s="41" t="s">
        <v>73</v>
      </c>
      <c r="AD75" s="41" t="s">
        <v>73</v>
      </c>
      <c r="AE75" s="41" t="s">
        <v>77</v>
      </c>
      <c r="AF75" s="41" t="s">
        <v>78</v>
      </c>
      <c r="AG75" t="str">
        <f>VLOOKUP($Q75,武学奇术!$A:$ZZ,25,FALSE)</f>
        <v>拳甲</v>
      </c>
      <c r="AH75" s="27">
        <f>VLOOKUP($Q75,武学奇术!$A:$ZZ,26,FALSE)</f>
        <v>1.2876</v>
      </c>
      <c r="AI75" s="28">
        <f>VLOOKUP($Q75,武学奇术!$A:$ZZ,27,FALSE)*(1+IF(OR($AG75=$F$4,$AG75=$F$5),$B$22,0))</f>
        <v>537</v>
      </c>
      <c r="AJ75" s="27">
        <f>VLOOKUP($Q75,武学奇术!$A:$ZZ,28,FALSE)</f>
        <v>1.9313</v>
      </c>
      <c r="AK75" s="28">
        <f>VLOOKUP($Q75,武学奇术!$A:$ZZ,29,FALSE)*(1+IF(OR($AG75=$F$4,$AG75=$F$5),$B$22,0))</f>
        <v>292.5</v>
      </c>
      <c r="AL75" s="27" cm="1">
        <f t="array" ref="AL75">$G$3+IFERROR(VLOOKUP($AG75,$F$4:$G$7,2,FALSE),0)+VLOOKUP($Q75,武学奇术!$A:$ZZ,2,FALSE)+SUM(_xlfn.XLOOKUP($R75:$AF75,增益!$A:$A,增益!$B:$B,0))</f>
        <v>0.3241</v>
      </c>
      <c r="AM75" s="27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3826.382</v>
      </c>
      <c r="AO75" cm="1">
        <f t="array" ref="AO75">$E$10*(1+$AM75)+VLOOKUP($Q75,武学奇术!$A:$ZZ,4,FALSE)+SUM(_xlfn.XLOOKUP($R75:$AF75,增益!$A:$A,增益!$D:$D,0))-$I$2</f>
        <v>3826.382</v>
      </c>
      <c r="AP75" s="33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0.217</v>
      </c>
      <c r="AQ75" s="33" cm="1">
        <f t="array" ref="AQ75">$G$10+VLOOKUP($Q75,武学奇术!$A:$ZZ,7,FALSE)+SUM(_xlfn.XLOOKUP(R75:AF75,增益!$A:$A,增益!$G:$G,0))</f>
        <v>0.09</v>
      </c>
      <c r="AR75" s="27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3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3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3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3" cm="1">
        <f t="array" ref="AZ75">$G$12+VLOOKUP($Q75,武学奇术!$A:$ZZ,12,FALSE)+SUM(_xlfn.XLOOKUP(R75:AF75,增益!$A:$A,增益!$L:$L,0))</f>
        <v>0</v>
      </c>
      <c r="BA75">
        <f t="shared" si="16"/>
        <v>0</v>
      </c>
      <c r="BB75">
        <f t="shared" si="17"/>
        <v>0</v>
      </c>
      <c r="BC75" s="33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-0.3</v>
      </c>
      <c r="BD75" s="33" cm="1">
        <f t="array" ref="BD75">$G$13+VLOOKUP($Q75,武学奇术!$A:$ZZ,14,FALSE)+SUM(_xlfn.XLOOKUP(R75:AF75,增益!$A:$A,增益!$N:$N,0))</f>
        <v>0</v>
      </c>
      <c r="BE75">
        <f t="shared" si="18"/>
        <v>605.472</v>
      </c>
      <c r="BF75">
        <f t="shared" si="19"/>
        <v>1725.468</v>
      </c>
      <c r="BG75" s="33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</v>
      </c>
      <c r="BH75" s="33" cm="1">
        <f t="array" ref="BH75">$G$14+VLOOKUP($Q75,武学奇术!$A:$ZZ,16,FALSE)+SUM(_xlfn.XLOOKUP(R75:AF75,增益!$A:$A,增益!$P:$P,0))</f>
        <v>0.24</v>
      </c>
      <c r="BI75" s="27">
        <f>MIN(IF(VLOOKUP($Q75,武学奇术!$A:$ZZ,23,FALSE)=1,100%,$B$8),100%)</f>
        <v>1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+MIN(IF(VLOOKUP($Q75,武学奇术!$A:$ZZ,32,FALSE)=1,IF(VLOOKUP($Q75,武学奇术!$A:$ZZ,24,FALSE)=1,100%,MIN(40%,$B$10+VLOOKUP($Q75,武学奇术!$A:$ZZ,19,FALSE)+SUM(_xlfn.XLOOKUP(R75:AF75,增益!$A:$A,增益!$S:$S,0)))+$B$12+SUM(_xlfn.XLOOKUP(R75:AF75,增益!$A:$A,增益!$V:$V,0))),0),12%)</f>
        <v>0.9036</v>
      </c>
      <c r="BK75" s="27" cm="1">
        <f t="array" ref="BK75">1+$B$13+VLOOKUP($Q75,武学奇术!$A:$ZZ,18,FALSE)+SUM(_xlfn.XLOOKUP(R75:AF75,增益!$A:$A,增益!$R:$R,0))</f>
        <v>1.64</v>
      </c>
      <c r="BL75" s="27" cm="1">
        <f t="array" ref="BL75">MAX(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-IF(VLOOKUP($Q75,武学奇术!$A:$ZZ,32,FALSE)=1,12%,0),0)</f>
        <v>0.0929</v>
      </c>
      <c r="BM75" s="27" cm="1">
        <f t="array" ref="BM75">1+$B$14+VLOOKUP($Q75,武学奇术!$A:$ZZ,20,FALSE)+SUM(_xlfn.XLOOKUP(R75:AF75,增益!$A:$A,增益!$T:$T,0))</f>
        <v>1.35</v>
      </c>
      <c r="BN75" s="27">
        <f t="shared" si="20"/>
        <v>0.9036</v>
      </c>
      <c r="BO75" s="27">
        <f t="shared" si="21"/>
        <v>0.00350000000000006</v>
      </c>
      <c r="BP75" s="27">
        <f>IF(VLOOKUP($Q75,武学奇术!$A:$ZZ,22,FALSE)=1,0,(1-$BI75))*(1-$BL75)</f>
        <v>0</v>
      </c>
      <c r="BQ75" s="27" cm="1">
        <f t="array" ref="BQ75">SUM(_xlfn.XLOOKUP(R75:AF75,增益!$A:$A,增益!$W:$W,0))+$I$5</f>
        <v>0.11</v>
      </c>
    </row>
    <row r="76" spans="1:69">
      <c r="F76" s="4"/>
      <c r="G76" s="4"/>
      <c r="K76" s="39">
        <f t="shared" si="11"/>
        <v>67193.4124421633</v>
      </c>
      <c r="L76" s="39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BK76*$P76*(1+IF(VLOOKUP($Q76,武学奇术!$A:$ZZ,30,FALSE)="蓄力技",$B$21,0))*(1+$BQ76)</f>
        <v>68608.0464851687</v>
      </c>
      <c r="M76" s="39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54632.9842272572</v>
      </c>
      <c r="N76" s="39">
        <f>((($AN76+($AO76-$AN76)*IF(VLOOKUP($Q76,武学奇术!$A:$ZZ,31,FALSE)=1,$F$18,0.5))*$AH76+$AI76)*(1+$AP76)*(1+$AQ76)+(($AS76+($AT76-$AS76)*IF(VLOOKUP($Q76,武学奇术!$A:$ZZ,31,FALSE)=1,$F$18,0.5))*IF($G$1="鸣金",$AJ76,$AH76)+IF($G$1="鸣金",$AK76*1.5,0))*(1+$AU76)*(1+$AV76)+(($AW76+($AX76-$AW76)*IF(VLOOKUP($Q76,武学奇术!$A:$ZZ,31,FALSE)=1,$F$18,0.5))*IF($G$1="裂石",$AJ76,$AH76)+IF($G$1="裂石",$AK76*1.5,0))*(1+$AY76)*(1+$AZ76)+(($BA76+($BB76-$BA76)*IF(VLOOKUP($Q76,武学奇术!$A:$ZZ,31,FALSE)=1,$F$18,0.5))*IF($G$1="牵丝",$AJ76,$AH76)+IF($G$1="牵丝",$AK76*1.5,0))*(1+$BC76)*(1+$BD76)+(($BE76+($BF76-$BE76)*IF(VLOOKUP($Q76,武学奇术!$A:$ZZ,31,FALSE)=1,$F$18,0.5))*IF($G$1="破竹",$AJ76,$AH76)+IF($G$1="破竹",$AK76*1.5,0))*(1+$BG76)*(1+$BH76))*(1+$AL76)*$P76*(1+IF(VLOOKUP($Q76,武学奇术!$A:$ZZ,30,FALSE)="蓄力技",$B$21,0))*(1+$BQ76)</f>
        <v>35364.9724150354</v>
      </c>
      <c r="O76" s="39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30261.0676246951</v>
      </c>
      <c r="P76" s="40">
        <v>1</v>
      </c>
      <c r="Q76" s="41" t="s">
        <v>117</v>
      </c>
      <c r="R76" s="41" t="s">
        <v>97</v>
      </c>
      <c r="S76" s="41" t="s">
        <v>73</v>
      </c>
      <c r="T76" s="41" t="s">
        <v>73</v>
      </c>
      <c r="U76" s="41" t="s">
        <v>73</v>
      </c>
      <c r="V76" s="41" t="s">
        <v>73</v>
      </c>
      <c r="W76" s="41" t="s">
        <v>73</v>
      </c>
      <c r="X76" s="41" t="s">
        <v>164</v>
      </c>
      <c r="Y76" s="41" t="s">
        <v>73</v>
      </c>
      <c r="Z76" s="41" t="s">
        <v>105</v>
      </c>
      <c r="AA76" s="41" t="s">
        <v>73</v>
      </c>
      <c r="AB76" s="41" t="s">
        <v>73</v>
      </c>
      <c r="AC76" s="41" t="s">
        <v>73</v>
      </c>
      <c r="AD76" s="41" t="s">
        <v>73</v>
      </c>
      <c r="AE76" s="41" t="s">
        <v>77</v>
      </c>
      <c r="AF76" s="41" t="s">
        <v>78</v>
      </c>
      <c r="AG76" t="str">
        <f>VLOOKUP($Q76,武学奇术!$A:$ZZ,25,FALSE)</f>
        <v>拳甲</v>
      </c>
      <c r="AH76" s="27">
        <f>VLOOKUP($Q76,武学奇术!$A:$ZZ,26,FALSE)</f>
        <v>2.638944</v>
      </c>
      <c r="AI76" s="28">
        <f>VLOOKUP($Q76,武学奇术!$A:$ZZ,27,FALSE)*(1+IF(OR($AG76=$F$4,$AG76=$F$5),$B$22,0))</f>
        <v>0</v>
      </c>
      <c r="AJ76" s="27">
        <f>VLOOKUP($Q76,武学奇术!$A:$ZZ,28,FALSE)</f>
        <v>3.958416</v>
      </c>
      <c r="AK76" s="28">
        <f>VLOOKUP($Q76,武学奇术!$A:$ZZ,29,FALSE)*(1+IF(OR($AG76=$F$4,$AG76=$F$5),$B$22,0))</f>
        <v>0</v>
      </c>
      <c r="AL76" s="27" cm="1">
        <f t="array" ref="AL76">$G$3+IFERROR(VLOOKUP($AG76,$F$4:$G$7,2,FALSE),0)+VLOOKUP($Q76,武学奇术!$A:$ZZ,2,FALSE)+SUM(_xlfn.XLOOKUP($R76:$AF76,增益!$A:$A,增益!$B:$B,0))</f>
        <v>0.6241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3826.382</v>
      </c>
      <c r="AO76" cm="1">
        <f t="array" ref="AO76">$E$10*(1+$AM76)+VLOOKUP($Q76,武学奇术!$A:$ZZ,4,FALSE)+SUM(_xlfn.XLOOKUP($R76:$AF76,增益!$A:$A,增益!$D:$D,0))-$I$2</f>
        <v>3826.382</v>
      </c>
      <c r="AP76" s="33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0.247</v>
      </c>
      <c r="AQ76" s="33" cm="1">
        <f t="array" ref="AQ76">$G$10+VLOOKUP($Q76,武学奇术!$A:$ZZ,7,FALSE)+SUM(_xlfn.XLOOKUP(R76:AF76,增益!$A:$A,增益!$G:$G,0))</f>
        <v>0.09</v>
      </c>
      <c r="AR76" s="27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3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-0.24</v>
      </c>
      <c r="AV76" s="33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3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-0.24</v>
      </c>
      <c r="AZ76" s="33" cm="1">
        <f t="array" ref="AZ76">$G$12+VLOOKUP($Q76,武学奇术!$A:$ZZ,12,FALSE)+SUM(_xlfn.XLOOKUP(R76:AF76,增益!$A:$A,增益!$L:$L,0))</f>
        <v>0</v>
      </c>
      <c r="BA76">
        <f t="shared" si="16"/>
        <v>0</v>
      </c>
      <c r="BB76">
        <f t="shared" si="17"/>
        <v>0</v>
      </c>
      <c r="BC76" s="33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-0.24</v>
      </c>
      <c r="BD76" s="33" cm="1">
        <f t="array" ref="BD76">$G$13+VLOOKUP($Q76,武学奇术!$A:$ZZ,14,FALSE)+SUM(_xlfn.XLOOKUP(R76:AF76,增益!$A:$A,增益!$N:$N,0))</f>
        <v>0</v>
      </c>
      <c r="BE76">
        <f t="shared" si="18"/>
        <v>605.472</v>
      </c>
      <c r="BF76">
        <f t="shared" si="19"/>
        <v>1725.468</v>
      </c>
      <c r="BG76" s="33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0.03</v>
      </c>
      <c r="BH76" s="33" cm="1">
        <f t="array" ref="BH76">$G$14+VLOOKUP($Q76,武学奇术!$A:$ZZ,16,FALSE)+SUM(_xlfn.XLOOKUP(R76:AF76,增益!$A:$A,增益!$P:$P,0))</f>
        <v>0.24</v>
      </c>
      <c r="BI76" s="27">
        <f>MIN(IF(VLOOKUP($Q76,武学奇术!$A:$ZZ,23,FALSE)=1,100%,$B$8),100%)</f>
        <v>1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+MIN(IF(VLOOKUP($Q76,武学奇术!$A:$ZZ,32,FALSE)=1,IF(VLOOKUP($Q76,武学奇术!$A:$ZZ,24,FALSE)=1,100%,MIN(40%,$B$10+VLOOKUP($Q76,武学奇术!$A:$ZZ,19,FALSE)+SUM(_xlfn.XLOOKUP(R76:AF76,增益!$A:$A,增益!$S:$S,0)))+$B$12+SUM(_xlfn.XLOOKUP(R76:AF76,增益!$A:$A,增益!$V:$V,0))),0),12%)</f>
        <v>0.9036</v>
      </c>
      <c r="BK76" s="27" cm="1">
        <f t="array" ref="BK76">1+$B$13+VLOOKUP($Q76,武学奇术!$A:$ZZ,18,FALSE)+SUM(_xlfn.XLOOKUP(R76:AF76,增益!$A:$A,增益!$R:$R,0))</f>
        <v>1.94</v>
      </c>
      <c r="BL76" s="27" cm="1">
        <f t="array" ref="BL76">MAX(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-IF(VLOOKUP($Q76,武学奇术!$A:$ZZ,32,FALSE)=1,12%,0),0)</f>
        <v>0.0929</v>
      </c>
      <c r="BM76" s="27" cm="1">
        <f t="array" ref="BM76">1+$B$14+VLOOKUP($Q76,武学奇术!$A:$ZZ,20,FALSE)+SUM(_xlfn.XLOOKUP(R76:AF76,增益!$A:$A,增益!$T:$T,0))</f>
        <v>1.35</v>
      </c>
      <c r="BN76" s="27">
        <f t="shared" si="20"/>
        <v>0.9036</v>
      </c>
      <c r="BO76" s="27">
        <f t="shared" si="21"/>
        <v>0.00350000000000006</v>
      </c>
      <c r="BP76" s="27">
        <f>IF(VLOOKUP($Q76,武学奇术!$A:$ZZ,22,FALSE)=1,0,(1-$BI76))*(1-$BL76)</f>
        <v>0</v>
      </c>
      <c r="BQ76" s="27" cm="1">
        <f t="array" ref="BQ76">SUM(_xlfn.XLOOKUP(R76:AF76,增益!$A:$A,增益!$W:$W,0))+$I$5</f>
        <v>0.11</v>
      </c>
    </row>
    <row r="77" spans="1:69">
      <c r="A77" s="4"/>
      <c r="B77" s="91"/>
      <c r="K77" s="39">
        <f t="shared" si="11"/>
        <v>21610.5048037203</v>
      </c>
      <c r="L77" s="39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BK77*$P77*(1+IF(VLOOKUP($Q77,武学奇术!$A:$ZZ,30,FALSE)="蓄力技",$B$21,0))*(1+$BQ77)</f>
        <v>21786.8796961302</v>
      </c>
      <c r="M77" s="39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20208.65361358</v>
      </c>
      <c r="N77" s="39">
        <f>((($AN77+($AO77-$AN77)*IF(VLOOKUP($Q77,武学奇术!$A:$ZZ,31,FALSE)=1,$F$18,0.5))*$AH77+$AI77)*(1+$AP77)*(1+$AQ77)+(($AS77+($AT77-$AS77)*IF(VLOOKUP($Q77,武学奇术!$A:$ZZ,31,FALSE)=1,$F$18,0.5))*IF($G$1="鸣金",$AJ77,$AH77)+IF($G$1="鸣金",$AK77*1.5,0))*(1+$AU77)*(1+$AV77)+(($AW77+($AX77-$AW77)*IF(VLOOKUP($Q77,武学奇术!$A:$ZZ,31,FALSE)=1,$F$18,0.5))*IF($G$1="裂石",$AJ77,$AH77)+IF($G$1="裂石",$AK77*1.5,0))*(1+$AY77)*(1+$AZ77)+(($BA77+($BB77-$BA77)*IF(VLOOKUP($Q77,武学奇术!$A:$ZZ,31,FALSE)=1,$F$18,0.5))*IF($G$1="牵丝",$AJ77,$AH77)+IF($G$1="牵丝",$AK77*1.5,0))*(1+$BC77)*(1+$BD77)+(($BE77+($BF77-$BE77)*IF(VLOOKUP($Q77,武学奇术!$A:$ZZ,31,FALSE)=1,$F$18,0.5))*IF($G$1="破竹",$AJ77,$AH77)+IF($G$1="破竹",$AK77*1.5,0))*(1+$BG77)*(1+$BH77))*(1+$AL77)*$P77*(1+IF(VLOOKUP($Q77,武学奇术!$A:$ZZ,30,FALSE)="蓄力技",$B$21,0))*(1+$BQ77)</f>
        <v>13284.6827415428</v>
      </c>
      <c r="O77" s="39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11599.9924359893</v>
      </c>
      <c r="P77" s="40">
        <v>1</v>
      </c>
      <c r="Q77" s="41" t="s">
        <v>151</v>
      </c>
      <c r="R77" s="41" t="s">
        <v>97</v>
      </c>
      <c r="S77" s="41" t="s">
        <v>73</v>
      </c>
      <c r="T77" s="41" t="s">
        <v>73</v>
      </c>
      <c r="U77" s="41" t="s">
        <v>73</v>
      </c>
      <c r="V77" s="41" t="s">
        <v>73</v>
      </c>
      <c r="W77" s="41" t="s">
        <v>73</v>
      </c>
      <c r="X77" s="41" t="s">
        <v>164</v>
      </c>
      <c r="Y77" s="41" t="s">
        <v>73</v>
      </c>
      <c r="Z77" s="41" t="s">
        <v>73</v>
      </c>
      <c r="AA77" s="41" t="s">
        <v>73</v>
      </c>
      <c r="AB77" s="41" t="s">
        <v>73</v>
      </c>
      <c r="AC77" s="41" t="s">
        <v>73</v>
      </c>
      <c r="AD77" s="41" t="s">
        <v>73</v>
      </c>
      <c r="AE77" s="41" t="s">
        <v>77</v>
      </c>
      <c r="AF77" s="41" t="s">
        <v>78</v>
      </c>
      <c r="AG77" t="str">
        <f>VLOOKUP($Q77,武学奇术!$A:$ZZ,25,FALSE)</f>
        <v>拳甲</v>
      </c>
      <c r="AH77" s="27">
        <f>VLOOKUP($Q77,武学奇术!$A:$ZZ,26,FALSE)</f>
        <v>1.1005</v>
      </c>
      <c r="AI77" s="28">
        <f>VLOOKUP($Q77,武学奇术!$A:$ZZ,27,FALSE)*(1+IF(OR($AG77=$F$4,$AG77=$F$5),$B$22,0))</f>
        <v>457.5</v>
      </c>
      <c r="AJ77" s="27">
        <f>VLOOKUP($Q77,武学奇术!$A:$ZZ,28,FALSE)</f>
        <v>1.6507</v>
      </c>
      <c r="AK77" s="28">
        <f>VLOOKUP($Q77,武学奇术!$A:$ZZ,29,FALSE)*(1+IF(OR($AG77=$F$4,$AG77=$F$5),$B$22,0))</f>
        <v>247.5</v>
      </c>
      <c r="AL77" s="27" cm="1">
        <f t="array" ref="AL77">$G$3+IFERROR(VLOOKUP($AG77,$F$4:$G$7,2,FALSE),0)+VLOOKUP($Q77,武学奇术!$A:$ZZ,2,FALSE)+SUM(_xlfn.XLOOKUP($R77:$AF77,增益!$A:$A,增益!$B:$B,0))</f>
        <v>0.3241</v>
      </c>
      <c r="AM77" s="27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3826.382</v>
      </c>
      <c r="AO77" cm="1">
        <f t="array" ref="AO77">$E$10*(1+$AM77)+VLOOKUP($Q77,武学奇术!$A:$ZZ,4,FALSE)+SUM(_xlfn.XLOOKUP($R77:$AF77,增益!$A:$A,增益!$D:$D,0))-$I$2</f>
        <v>3826.382</v>
      </c>
      <c r="AP77" s="33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0.217</v>
      </c>
      <c r="AQ77" s="33" cm="1">
        <f t="array" ref="AQ77">$G$10+VLOOKUP($Q77,武学奇术!$A:$ZZ,7,FALSE)+SUM(_xlfn.XLOOKUP(R77:AF77,增益!$A:$A,增益!$G:$G,0))</f>
        <v>0.09</v>
      </c>
      <c r="AR77" s="27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3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3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3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3" cm="1">
        <f t="array" ref="AZ77">$G$12+VLOOKUP($Q77,武学奇术!$A:$ZZ,12,FALSE)+SUM(_xlfn.XLOOKUP(R77:AF77,增益!$A:$A,增益!$L:$L,0))</f>
        <v>0</v>
      </c>
      <c r="BA77">
        <f t="shared" si="16"/>
        <v>0</v>
      </c>
      <c r="BB77">
        <f t="shared" si="17"/>
        <v>0</v>
      </c>
      <c r="BC77" s="33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3" cm="1">
        <f t="array" ref="BD77">$G$13+VLOOKUP($Q77,武学奇术!$A:$ZZ,14,FALSE)+SUM(_xlfn.XLOOKUP(R77:AF77,增益!$A:$A,增益!$N:$N,0))</f>
        <v>0</v>
      </c>
      <c r="BE77">
        <f t="shared" si="18"/>
        <v>605.472</v>
      </c>
      <c r="BF77">
        <f t="shared" si="19"/>
        <v>1725.468</v>
      </c>
      <c r="BG77" s="33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</v>
      </c>
      <c r="BH77" s="33" cm="1">
        <f t="array" ref="BH77">$G$14+VLOOKUP($Q77,武学奇术!$A:$ZZ,16,FALSE)+SUM(_xlfn.XLOOKUP(R77:AF77,增益!$A:$A,增益!$P:$P,0))</f>
        <v>0.24</v>
      </c>
      <c r="BI77" s="27">
        <f>MIN(IF(VLOOKUP($Q77,武学奇术!$A:$ZZ,23,FALSE)=1,100%,$B$8),100%)</f>
        <v>1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+MIN(IF(VLOOKUP($Q77,武学奇术!$A:$ZZ,32,FALSE)=1,IF(VLOOKUP($Q77,武学奇术!$A:$ZZ,24,FALSE)=1,100%,MIN(40%,$B$10+VLOOKUP($Q77,武学奇术!$A:$ZZ,19,FALSE)+SUM(_xlfn.XLOOKUP(R77:AF77,增益!$A:$A,增益!$S:$S,0)))+$B$12+SUM(_xlfn.XLOOKUP(R77:AF77,增益!$A:$A,增益!$V:$V,0))),0),12%)</f>
        <v>0.9036</v>
      </c>
      <c r="BK77" s="27" cm="1">
        <f t="array" ref="BK77">1+$B$13+VLOOKUP($Q77,武学奇术!$A:$ZZ,18,FALSE)+SUM(_xlfn.XLOOKUP(R77:AF77,增益!$A:$A,增益!$R:$R,0))</f>
        <v>1.64</v>
      </c>
      <c r="BL77" s="27" cm="1">
        <f t="array" ref="BL77">MAX(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-IF(VLOOKUP($Q77,武学奇术!$A:$ZZ,32,FALSE)=1,12%,0),0)</f>
        <v>0.0929</v>
      </c>
      <c r="BM77" s="27" cm="1">
        <f t="array" ref="BM77">1+$B$14+VLOOKUP($Q77,武学奇术!$A:$ZZ,20,FALSE)+SUM(_xlfn.XLOOKUP(R77:AF77,增益!$A:$A,增益!$T:$T,0))</f>
        <v>1.35</v>
      </c>
      <c r="BN77" s="27">
        <f t="shared" si="20"/>
        <v>0.9036</v>
      </c>
      <c r="BO77" s="27">
        <f t="shared" si="21"/>
        <v>0.00350000000000006</v>
      </c>
      <c r="BP77" s="27">
        <f>IF(VLOOKUP($Q77,武学奇术!$A:$ZZ,22,FALSE)=1,0,(1-$BI77))*(1-$BL77)</f>
        <v>0</v>
      </c>
      <c r="BQ77" s="27" cm="1">
        <f t="array" ref="BQ77">SUM(_xlfn.XLOOKUP(R77:AF77,增益!$A:$A,增益!$W:$W,0))+$I$5</f>
        <v>0.11</v>
      </c>
    </row>
    <row r="78" spans="1:69">
      <c r="A78" s="4"/>
      <c r="B78" s="4"/>
      <c r="K78" s="39">
        <f t="shared" si="11"/>
        <v>0</v>
      </c>
      <c r="L78" s="39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BK78*$P78*(1+IF(VLOOKUP($Q78,武学奇术!$A:$ZZ,30,FALSE)="蓄力技",$B$21,0))*(1+$BQ78)</f>
        <v>0</v>
      </c>
      <c r="M78" s="39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9">
        <f>((($AN78+($AO78-$AN78)*IF(VLOOKUP($Q78,武学奇术!$A:$ZZ,31,FALSE)=1,$F$18,0.5))*$AH78+$AI78)*(1+$AP78)*(1+$AQ78)+(($AS78+($AT78-$AS78)*IF(VLOOKUP($Q78,武学奇术!$A:$ZZ,31,FALSE)=1,$F$18,0.5))*IF($G$1="鸣金",$AJ78,$AH78)+IF($G$1="鸣金",$AK78*1.5,0))*(1+$AU78)*(1+$AV78)+(($AW78+($AX78-$AW78)*IF(VLOOKUP($Q78,武学奇术!$A:$ZZ,31,FALSE)=1,$F$18,0.5))*IF($G$1="裂石",$AJ78,$AH78)+IF($G$1="裂石",$AK78*1.5,0))*(1+$AY78)*(1+$AZ78)+(($BA78+($BB78-$BA78)*IF(VLOOKUP($Q78,武学奇术!$A:$ZZ,31,FALSE)=1,$F$18,0.5))*IF($G$1="牵丝",$AJ78,$AH78)+IF($G$1="牵丝",$AK78*1.5,0))*(1+$BC78)*(1+$BD78)+(($BE78+($BF78-$BE78)*IF(VLOOKUP($Q78,武学奇术!$A:$ZZ,31,FALSE)=1,$F$18,0.5))*IF($G$1="破竹",$AJ78,$AH78)+IF($G$1="破竹",$AK78*1.5,0))*(1+$BG78)*(1+$BH78))*(1+$AL78)*$P78*(1+IF(VLOOKUP($Q78,武学奇术!$A:$ZZ,30,FALSE)="蓄力技",$B$21,0))*(1+$BQ78)</f>
        <v>0</v>
      </c>
      <c r="O78" s="39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40">
        <v>1</v>
      </c>
      <c r="Q78" s="41" t="s">
        <v>73</v>
      </c>
      <c r="R78" s="41" t="s">
        <v>73</v>
      </c>
      <c r="S78" s="41" t="s">
        <v>73</v>
      </c>
      <c r="T78" s="41" t="s">
        <v>73</v>
      </c>
      <c r="U78" s="41" t="s">
        <v>73</v>
      </c>
      <c r="V78" s="41" t="s">
        <v>73</v>
      </c>
      <c r="W78" s="41" t="s">
        <v>73</v>
      </c>
      <c r="X78" s="41" t="s">
        <v>73</v>
      </c>
      <c r="Y78" s="41" t="s">
        <v>73</v>
      </c>
      <c r="Z78" s="41" t="s">
        <v>73</v>
      </c>
      <c r="AA78" s="41" t="s">
        <v>73</v>
      </c>
      <c r="AB78" s="41" t="s">
        <v>73</v>
      </c>
      <c r="AC78" s="41" t="s">
        <v>73</v>
      </c>
      <c r="AD78" s="41" t="s">
        <v>73</v>
      </c>
      <c r="AE78" s="41" t="s">
        <v>77</v>
      </c>
      <c r="AF78" s="41" t="s">
        <v>78</v>
      </c>
      <c r="AG78" t="str">
        <f>VLOOKUP($Q78,武学奇术!$A:$ZZ,25,FALSE)</f>
        <v>心法</v>
      </c>
      <c r="AH78" s="27">
        <f>VLOOKUP($Q78,武学奇术!$A:$ZZ,26,FALSE)</f>
        <v>0</v>
      </c>
      <c r="AI78" s="28">
        <f>VLOOKUP($Q78,武学奇术!$A:$ZZ,27,FALSE)*(1+IF(OR($AG78=$F$4,$AG78=$F$5),$B$22,0))</f>
        <v>0</v>
      </c>
      <c r="AJ78" s="27">
        <f>VLOOKUP($Q78,武学奇术!$A:$ZZ,28,FALSE)</f>
        <v>0</v>
      </c>
      <c r="AK78" s="28">
        <f>VLOOKUP($Q78,武学奇术!$A:$ZZ,29,FALSE)*(1+IF(OR($AG78=$F$4,$AG78=$F$5),$B$22,0))</f>
        <v>0</v>
      </c>
      <c r="AL78" s="27" cm="1">
        <f t="array" ref="AL78">$G$3+IFERROR(VLOOKUP($AG78,$F$4:$G$7,2,FALSE),0)+VLOOKUP($Q78,武学奇术!$A:$ZZ,2,FALSE)+SUM(_xlfn.XLOOKUP($R78:$AF78,增益!$A:$A,增益!$B:$B,0))</f>
        <v>0.1037</v>
      </c>
      <c r="AM78" s="27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3826.382</v>
      </c>
      <c r="AO78" cm="1">
        <f t="array" ref="AO78">$E$10*(1+$AM78)+VLOOKUP($Q78,武学奇术!$A:$ZZ,4,FALSE)+SUM(_xlfn.XLOOKUP($R78:$AF78,增益!$A:$A,增益!$D:$D,0))-$I$2</f>
        <v>3826.382</v>
      </c>
      <c r="AP78" s="33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0.167</v>
      </c>
      <c r="AQ78" s="33" cm="1">
        <f t="array" ref="AQ78">$G$10+VLOOKUP($Q78,武学奇术!$A:$ZZ,7,FALSE)+SUM(_xlfn.XLOOKUP(R78:AF78,增益!$A:$A,增益!$G:$G,0))</f>
        <v>0.09</v>
      </c>
      <c r="AR78" s="27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3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3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3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3" cm="1">
        <f t="array" ref="AZ78">$G$12+VLOOKUP($Q78,武学奇术!$A:$ZZ,12,FALSE)+SUM(_xlfn.XLOOKUP(R78:AF78,增益!$A:$A,增益!$L:$L,0))</f>
        <v>0</v>
      </c>
      <c r="BA78">
        <f t="shared" si="16"/>
        <v>0</v>
      </c>
      <c r="BB78">
        <f t="shared" si="17"/>
        <v>0</v>
      </c>
      <c r="BC78" s="33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3" cm="1">
        <f t="array" ref="BD78">$G$13+VLOOKUP($Q78,武学奇术!$A:$ZZ,14,FALSE)+SUM(_xlfn.XLOOKUP(R78:AF78,增益!$A:$A,增益!$N:$N,0))</f>
        <v>0</v>
      </c>
      <c r="BE78">
        <f t="shared" si="18"/>
        <v>605.472</v>
      </c>
      <c r="BF78">
        <f t="shared" si="19"/>
        <v>1725.468</v>
      </c>
      <c r="BG78" s="33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</v>
      </c>
      <c r="BH78" s="33" cm="1">
        <f t="array" ref="BH78">$G$14+VLOOKUP($Q78,武学奇术!$A:$ZZ,16,FALSE)+SUM(_xlfn.XLOOKUP(R78:AF78,增益!$A:$A,增益!$P:$P,0))</f>
        <v>0.24</v>
      </c>
      <c r="BI78" s="27">
        <f>MIN(IF(VLOOKUP($Q78,武学奇术!$A:$ZZ,23,FALSE)=1,100%,$B$8),100%)</f>
        <v>1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+MIN(IF(VLOOKUP($Q78,武学奇术!$A:$ZZ,32,FALSE)=1,IF(VLOOKUP($Q78,武学奇术!$A:$ZZ,24,FALSE)=1,100%,MIN(40%,$B$10+VLOOKUP($Q78,武学奇术!$A:$ZZ,19,FALSE)+SUM(_xlfn.XLOOKUP(R78:AF78,增益!$A:$A,增益!$S:$S,0)))+$B$12+SUM(_xlfn.XLOOKUP(R78:AF78,增益!$A:$A,增益!$V:$V,0))),0),12%)</f>
        <v>0.9036</v>
      </c>
      <c r="BK78" s="27" cm="1">
        <f t="array" ref="BK78">1+$B$13+VLOOKUP($Q78,武学奇术!$A:$ZZ,18,FALSE)+SUM(_xlfn.XLOOKUP(R78:AF78,增益!$A:$A,增益!$R:$R,0))</f>
        <v>1.54</v>
      </c>
      <c r="BL78" s="27" cm="1">
        <f t="array" ref="BL78">MAX(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-IF(VLOOKUP($Q78,武学奇术!$A:$ZZ,32,FALSE)=1,12%,0),0)</f>
        <v>0.0929</v>
      </c>
      <c r="BM78" s="27" cm="1">
        <f t="array" ref="BM78">1+$B$14+VLOOKUP($Q78,武学奇术!$A:$ZZ,20,FALSE)+SUM(_xlfn.XLOOKUP(R78:AF78,增益!$A:$A,增益!$T:$T,0))</f>
        <v>1.35</v>
      </c>
      <c r="BN78" s="27">
        <f t="shared" si="20"/>
        <v>0.9036</v>
      </c>
      <c r="BO78" s="27">
        <f t="shared" si="21"/>
        <v>0.00350000000000006</v>
      </c>
      <c r="BP78" s="27">
        <f>IF(VLOOKUP($Q78,武学奇术!$A:$ZZ,22,FALSE)=1,0,(1-$BI78))*(1-$BL78)</f>
        <v>0</v>
      </c>
      <c r="BQ78" s="27" cm="1">
        <f t="array" ref="BQ78">SUM(_xlfn.XLOOKUP(R78:AF78,增益!$A:$A,增益!$W:$W,0))+$I$5</f>
        <v>0.11</v>
      </c>
    </row>
    <row r="79" spans="1:69">
      <c r="A79" s="4"/>
      <c r="B79" s="4"/>
      <c r="K79" s="39">
        <f t="shared" si="11"/>
        <v>103261.080584267</v>
      </c>
      <c r="L79" s="39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BK79*$P79*(1+IF(VLOOKUP($Q79,武学奇术!$A:$ZZ,30,FALSE)="蓄力技",$B$21,0))*(1+$BQ79)</f>
        <v>103973.497844726</v>
      </c>
      <c r="M79" s="39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97833.5120746799</v>
      </c>
      <c r="N79" s="39">
        <f>((($AN79+($AO79-$AN79)*IF(VLOOKUP($Q79,武学奇术!$A:$ZZ,31,FALSE)=1,$F$18,0.5))*$AH79+$AI79)*(1+$AP79)*(1+$AQ79)+(($AS79+($AT79-$AS79)*IF(VLOOKUP($Q79,武学奇术!$A:$ZZ,31,FALSE)=1,$F$18,0.5))*IF($G$1="鸣金",$AJ79,$AH79)+IF($G$1="鸣金",$AK79*1.5,0))*(1+$AU79)*(1+$AV79)+(($AW79+($AX79-$AW79)*IF(VLOOKUP($Q79,武学奇术!$A:$ZZ,31,FALSE)=1,$F$18,0.5))*IF($G$1="裂石",$AJ79,$AH79)+IF($G$1="裂石",$AK79*1.5,0))*(1+$AY79)*(1+$AZ79)+(($BA79+($BB79-$BA79)*IF(VLOOKUP($Q79,武学奇术!$A:$ZZ,31,FALSE)=1,$F$18,0.5))*IF($G$1="牵丝",$AJ79,$AH79)+IF($G$1="牵丝",$AK79*1.5,0))*(1+$BC79)*(1+$BD79)+(($BE79+($BF79-$BE79)*IF(VLOOKUP($Q79,武学奇术!$A:$ZZ,31,FALSE)=1,$F$18,0.5))*IF($G$1="破竹",$AJ79,$AH79)+IF($G$1="破竹",$AK79*1.5,0))*(1+$BG79)*(1+$BH79))*(1+$AL79)*$P79*(1+IF(VLOOKUP($Q79,武学奇术!$A:$ZZ,30,FALSE)="蓄力技",$B$21,0))*(1+$BQ79)</f>
        <v>63398.4742955648</v>
      </c>
      <c r="O79" s="39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54327.6803876629</v>
      </c>
      <c r="P79" s="40">
        <v>1</v>
      </c>
      <c r="Q79" s="41" t="s">
        <v>177</v>
      </c>
      <c r="R79" s="41" t="s">
        <v>73</v>
      </c>
      <c r="S79" s="41" t="s">
        <v>73</v>
      </c>
      <c r="T79" s="41" t="s">
        <v>73</v>
      </c>
      <c r="U79" s="41" t="s">
        <v>73</v>
      </c>
      <c r="V79" s="41" t="s">
        <v>73</v>
      </c>
      <c r="W79" s="41" t="s">
        <v>73</v>
      </c>
      <c r="X79" s="41" t="s">
        <v>164</v>
      </c>
      <c r="Y79" s="41" t="s">
        <v>73</v>
      </c>
      <c r="Z79" s="41" t="s">
        <v>73</v>
      </c>
      <c r="AA79" s="41" t="s">
        <v>73</v>
      </c>
      <c r="AB79" s="41" t="s">
        <v>73</v>
      </c>
      <c r="AC79" s="41" t="s">
        <v>73</v>
      </c>
      <c r="AD79" s="41" t="s">
        <v>73</v>
      </c>
      <c r="AE79" s="41" t="s">
        <v>77</v>
      </c>
      <c r="AF79" s="41" t="s">
        <v>78</v>
      </c>
      <c r="AG79" t="str">
        <f>VLOOKUP($Q79,武学奇术!$A:$ZZ,25,FALSE)</f>
        <v>单体奇术</v>
      </c>
      <c r="AH79" s="27">
        <f>VLOOKUP($Q79,武学奇术!$A:$ZZ,26,FALSE)</f>
        <v>7.1084</v>
      </c>
      <c r="AI79" s="28">
        <f>VLOOKUP($Q79,武学奇术!$A:$ZZ,27,FALSE)*(1+IF(OR($AG79=$F$4,$AG79=$F$5),$B$22,0))</f>
        <v>1369</v>
      </c>
      <c r="AJ79" s="27">
        <f>VLOOKUP($Q79,武学奇术!$A:$ZZ,28,FALSE)</f>
        <v>10.6626</v>
      </c>
      <c r="AK79" s="28">
        <f>VLOOKUP($Q79,武学奇术!$A:$ZZ,29,FALSE)*(1+IF(OR($AG79=$F$4,$AG79=$F$5),$B$22,0))</f>
        <v>0</v>
      </c>
      <c r="AL79" s="27" cm="1">
        <f t="array" ref="AL79">$G$3+IFERROR(VLOOKUP($AG79,$F$4:$G$7,2,FALSE),0)+VLOOKUP($Q79,武学奇术!$A:$ZZ,2,FALSE)+SUM(_xlfn.XLOOKUP($R79:$AF79,增益!$A:$A,增益!$B:$B,0))</f>
        <v>0.1037</v>
      </c>
      <c r="AM79" s="27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3826.382</v>
      </c>
      <c r="AO79" cm="1">
        <f t="array" ref="AO79">$E$10*(1+$AM79)+VLOOKUP($Q79,武学奇术!$A:$ZZ,4,FALSE)+SUM(_xlfn.XLOOKUP($R79:$AF79,增益!$A:$A,增益!$D:$D,0))-$I$2</f>
        <v>3826.382</v>
      </c>
      <c r="AP79" s="33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0.167</v>
      </c>
      <c r="AQ79" s="33" cm="1">
        <f t="array" ref="AQ79">$G$10+VLOOKUP($Q79,武学奇术!$A:$ZZ,7,FALSE)+SUM(_xlfn.XLOOKUP(R79:AF79,增益!$A:$A,增益!$G:$G,0))</f>
        <v>0.09</v>
      </c>
      <c r="AR79" s="27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3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3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3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3" cm="1">
        <f t="array" ref="AZ79">$G$12+VLOOKUP($Q79,武学奇术!$A:$ZZ,12,FALSE)+SUM(_xlfn.XLOOKUP(R79:AF79,增益!$A:$A,增益!$L:$L,0))</f>
        <v>0</v>
      </c>
      <c r="BA79">
        <f t="shared" si="16"/>
        <v>0</v>
      </c>
      <c r="BB79">
        <f t="shared" si="17"/>
        <v>0</v>
      </c>
      <c r="BC79" s="33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3" cm="1">
        <f t="array" ref="BD79">$G$13+VLOOKUP($Q79,武学奇术!$A:$ZZ,14,FALSE)+SUM(_xlfn.XLOOKUP(R79:AF79,增益!$A:$A,增益!$N:$N,0))</f>
        <v>0</v>
      </c>
      <c r="BE79">
        <f t="shared" si="18"/>
        <v>605.472</v>
      </c>
      <c r="BF79">
        <f t="shared" si="19"/>
        <v>1725.468</v>
      </c>
      <c r="BG79" s="33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</v>
      </c>
      <c r="BH79" s="33" cm="1">
        <f t="array" ref="BH79">$G$14+VLOOKUP($Q79,武学奇术!$A:$ZZ,16,FALSE)+SUM(_xlfn.XLOOKUP(R79:AF79,增益!$A:$A,增益!$P:$P,0))</f>
        <v>0.24</v>
      </c>
      <c r="BI79" s="27">
        <f>MIN(IF(VLOOKUP($Q79,武学奇术!$A:$ZZ,23,FALSE)=1,100%,$B$8),100%)</f>
        <v>1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+MIN(IF(VLOOKUP($Q79,武学奇术!$A:$ZZ,32,FALSE)=1,IF(VLOOKUP($Q79,武学奇术!$A:$ZZ,24,FALSE)=1,100%,MIN(40%,$B$10+VLOOKUP($Q79,武学奇术!$A:$ZZ,19,FALSE)+SUM(_xlfn.XLOOKUP(R79:AF79,增益!$A:$A,增益!$S:$S,0)))+$B$12+SUM(_xlfn.XLOOKUP(R79:AF79,增益!$A:$A,增益!$V:$V,0))),0),12%)</f>
        <v>0.9036</v>
      </c>
      <c r="BK79" s="27" cm="1">
        <f t="array" ref="BK79">1+$B$13+VLOOKUP($Q79,武学奇术!$A:$ZZ,18,FALSE)+SUM(_xlfn.XLOOKUP(R79:AF79,增益!$A:$A,增益!$R:$R,0))</f>
        <v>1.64</v>
      </c>
      <c r="BL79" s="27" cm="1">
        <f t="array" ref="BL79">MAX(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-IF(VLOOKUP($Q79,武学奇术!$A:$ZZ,32,FALSE)=1,12%,0),0)</f>
        <v>0.0929</v>
      </c>
      <c r="BM79" s="27" cm="1">
        <f t="array" ref="BM79">1+$B$14+VLOOKUP($Q79,武学奇术!$A:$ZZ,20,FALSE)+SUM(_xlfn.XLOOKUP(R79:AF79,增益!$A:$A,增益!$T:$T,0))</f>
        <v>1.35</v>
      </c>
      <c r="BN79" s="27">
        <f t="shared" si="20"/>
        <v>0.9036</v>
      </c>
      <c r="BO79" s="27">
        <f t="shared" si="21"/>
        <v>0.00350000000000006</v>
      </c>
      <c r="BP79" s="27">
        <f>IF(VLOOKUP($Q79,武学奇术!$A:$ZZ,22,FALSE)=1,0,(1-$BI79))*(1-$BL79)</f>
        <v>0</v>
      </c>
      <c r="BQ79" s="27" cm="1">
        <f t="array" ref="BQ79">SUM(_xlfn.XLOOKUP(R79:AF79,增益!$A:$A,增益!$W:$W,0))+$I$5</f>
        <v>0.11</v>
      </c>
    </row>
    <row r="80" spans="1:69">
      <c r="A80" s="4"/>
      <c r="B80" s="91"/>
      <c r="K80" s="39">
        <f t="shared" si="11"/>
        <v>21746.4356958416</v>
      </c>
      <c r="L80" s="39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BK80*$P80*(1+IF(VLOOKUP($Q80,武学奇术!$A:$ZZ,30,FALSE)="蓄力技",$B$21,0))*(1+$BQ80)</f>
        <v>21919.0879293772</v>
      </c>
      <c r="M80" s="39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20382.8773040224</v>
      </c>
      <c r="N80" s="39">
        <f>((($AN80+($AO80-$AN80)*IF(VLOOKUP($Q80,武学奇术!$A:$ZZ,31,FALSE)=1,$F$18,0.5))*$AH80+$AI80)*(1+$AP80)*(1+$AQ80)+(($AS80+($AT80-$AS80)*IF(VLOOKUP($Q80,武学奇术!$A:$ZZ,31,FALSE)=1,$F$18,0.5))*IF($G$1="鸣金",$AJ80,$AH80)+IF($G$1="鸣金",$AK80*1.5,0))*(1+$AU80)*(1+$AV80)+(($AW80+($AX80-$AW80)*IF(VLOOKUP($Q80,武学奇术!$A:$ZZ,31,FALSE)=1,$F$18,0.5))*IF($G$1="裂石",$AJ80,$AH80)+IF($G$1="裂石",$AK80*1.5,0))*(1+$AY80)*(1+$AZ80)+(($BA80+($BB80-$BA80)*IF(VLOOKUP($Q80,武学奇术!$A:$ZZ,31,FALSE)=1,$F$18,0.5))*IF($G$1="牵丝",$AJ80,$AH80)+IF($G$1="牵丝",$AK80*1.5,0))*(1+$BC80)*(1+$BD80)+(($BE80+($BF80-$BE80)*IF(VLOOKUP($Q80,武学奇术!$A:$ZZ,31,FALSE)=1,$F$18,0.5))*IF($G$1="破竹",$AJ80,$AH80)+IF($G$1="破竹",$AK80*1.5,0))*(1+$BG80)*(1+$BH80))*(1+$AL80)*$P80*(1+IF(VLOOKUP($Q80,武学奇术!$A:$ZZ,30,FALSE)="蓄力技",$B$21,0))*(1+$BQ80)</f>
        <v>13365.2975179129</v>
      </c>
      <c r="O80" s="39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11632.1674032166</v>
      </c>
      <c r="P80" s="40">
        <v>1</v>
      </c>
      <c r="Q80" s="41" t="s">
        <v>100</v>
      </c>
      <c r="R80" s="41" t="s">
        <v>72</v>
      </c>
      <c r="S80" s="41" t="s">
        <v>73</v>
      </c>
      <c r="T80" s="41" t="s">
        <v>73</v>
      </c>
      <c r="U80" s="41" t="s">
        <v>73</v>
      </c>
      <c r="V80" s="41" t="s">
        <v>73</v>
      </c>
      <c r="W80" s="41" t="s">
        <v>73</v>
      </c>
      <c r="X80" s="41" t="s">
        <v>164</v>
      </c>
      <c r="Y80" s="41" t="s">
        <v>73</v>
      </c>
      <c r="Z80" s="41" t="s">
        <v>73</v>
      </c>
      <c r="AA80" s="41" t="s">
        <v>73</v>
      </c>
      <c r="AB80" s="41" t="s">
        <v>73</v>
      </c>
      <c r="AC80" s="41" t="s">
        <v>73</v>
      </c>
      <c r="AD80" s="41" t="s">
        <v>73</v>
      </c>
      <c r="AE80" s="41" t="s">
        <v>77</v>
      </c>
      <c r="AF80" s="41" t="s">
        <v>78</v>
      </c>
      <c r="AG80" t="str">
        <f>VLOOKUP($Q80,武学奇术!$A:$ZZ,25,FALSE)</f>
        <v>绳镖</v>
      </c>
      <c r="AH80" s="27">
        <f>VLOOKUP($Q80,武学奇术!$A:$ZZ,26,FALSE)</f>
        <v>1.2503</v>
      </c>
      <c r="AI80" s="28">
        <f>VLOOKUP($Q80,武学奇术!$A:$ZZ,27,FALSE)*(1+IF(OR($AG80=$F$4,$AG80=$F$5),$B$22,0))</f>
        <v>520.5</v>
      </c>
      <c r="AJ80" s="27">
        <f>VLOOKUP($Q80,武学奇术!$A:$ZZ,28,FALSE)</f>
        <v>1.8755</v>
      </c>
      <c r="AK80" s="28">
        <f>VLOOKUP($Q80,武学奇术!$A:$ZZ,29,FALSE)*(1+IF(OR($AG80=$F$4,$AG80=$F$5),$B$22,0))</f>
        <v>283.5</v>
      </c>
      <c r="AL80" s="27" cm="1">
        <f t="array" ref="AL80">$G$3+IFERROR(VLOOKUP($AG80,$F$4:$G$7,2,FALSE),0)+VLOOKUP($Q80,武学奇术!$A:$ZZ,2,FALSE)+SUM(_xlfn.XLOOKUP($R80:$AF80,增益!$A:$A,增益!$B:$B,0))</f>
        <v>0.1989</v>
      </c>
      <c r="AM80" s="27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3826.382</v>
      </c>
      <c r="AO80" cm="1">
        <f t="array" ref="AO80">$E$10*(1+$AM80)+VLOOKUP($Q80,武学奇术!$A:$ZZ,4,FALSE)+SUM(_xlfn.XLOOKUP($R80:$AF80,增益!$A:$A,增益!$D:$D,0))-$I$2</f>
        <v>3826.382</v>
      </c>
      <c r="AP80" s="33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0.177</v>
      </c>
      <c r="AQ80" s="33" cm="1">
        <f t="array" ref="AQ80">$G$10+VLOOKUP($Q80,武学奇术!$A:$ZZ,7,FALSE)+SUM(_xlfn.XLOOKUP(R80:AF80,增益!$A:$A,增益!$G:$G,0))</f>
        <v>0.09</v>
      </c>
      <c r="AR80" s="27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3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3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3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3" cm="1">
        <f t="array" ref="AZ80">$G$12+VLOOKUP($Q80,武学奇术!$A:$ZZ,12,FALSE)+SUM(_xlfn.XLOOKUP(R80:AF80,增益!$A:$A,增益!$L:$L,0))</f>
        <v>0</v>
      </c>
      <c r="BA80">
        <f t="shared" si="16"/>
        <v>0</v>
      </c>
      <c r="BB80">
        <f t="shared" si="17"/>
        <v>0</v>
      </c>
      <c r="BC80" s="33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3" cm="1">
        <f t="array" ref="BD80">$G$13+VLOOKUP($Q80,武学奇术!$A:$ZZ,14,FALSE)+SUM(_xlfn.XLOOKUP(R80:AF80,增益!$A:$A,增益!$N:$N,0))</f>
        <v>0</v>
      </c>
      <c r="BE80">
        <f t="shared" si="18"/>
        <v>605.472</v>
      </c>
      <c r="BF80">
        <f t="shared" si="19"/>
        <v>1725.468</v>
      </c>
      <c r="BG80" s="33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</v>
      </c>
      <c r="BH80" s="33" cm="1">
        <f t="array" ref="BH80">$G$14+VLOOKUP($Q80,武学奇术!$A:$ZZ,16,FALSE)+SUM(_xlfn.XLOOKUP(R80:AF80,增益!$A:$A,增益!$P:$P,0))</f>
        <v>0.24</v>
      </c>
      <c r="BI80" s="27">
        <f>MIN(IF(VLOOKUP($Q80,武学奇术!$A:$ZZ,23,FALSE)=1,100%,$B$8),100%)</f>
        <v>1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+MIN(IF(VLOOKUP($Q80,武学奇术!$A:$ZZ,32,FALSE)=1,IF(VLOOKUP($Q80,武学奇术!$A:$ZZ,24,FALSE)=1,100%,MIN(40%,$B$10+VLOOKUP($Q80,武学奇术!$A:$ZZ,19,FALSE)+SUM(_xlfn.XLOOKUP(R80:AF80,增益!$A:$A,增益!$S:$S,0)))+$B$12+SUM(_xlfn.XLOOKUP(R80:AF80,增益!$A:$A,增益!$V:$V,0))),0),12%)</f>
        <v>0.9036</v>
      </c>
      <c r="BK80" s="27" cm="1">
        <f t="array" ref="BK80">1+$B$13+VLOOKUP($Q80,武学奇术!$A:$ZZ,18,FALSE)+SUM(_xlfn.XLOOKUP(R80:AF80,增益!$A:$A,增益!$R:$R,0))</f>
        <v>1.64</v>
      </c>
      <c r="BL80" s="27" cm="1">
        <f t="array" ref="BL80">MAX(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-IF(VLOOKUP($Q80,武学奇术!$A:$ZZ,32,FALSE)=1,12%,0),0)</f>
        <v>0.0929</v>
      </c>
      <c r="BM80" s="27" cm="1">
        <f t="array" ref="BM80">1+$B$14+VLOOKUP($Q80,武学奇术!$A:$ZZ,20,FALSE)+SUM(_xlfn.XLOOKUP(R80:AF80,增益!$A:$A,增益!$T:$T,0))</f>
        <v>1.35</v>
      </c>
      <c r="BN80" s="27">
        <f t="shared" si="20"/>
        <v>0.9036</v>
      </c>
      <c r="BO80" s="27">
        <f t="shared" si="21"/>
        <v>0.00350000000000006</v>
      </c>
      <c r="BP80" s="27">
        <f>IF(VLOOKUP($Q80,武学奇术!$A:$ZZ,22,FALSE)=1,0,(1-$BI80))*(1-$BL80)</f>
        <v>0</v>
      </c>
      <c r="BQ80" s="27" cm="1">
        <f t="array" ref="BQ80">SUM(_xlfn.XLOOKUP(R80:AF80,增益!$A:$A,增益!$W:$W,0))+$I$5</f>
        <v>0.11</v>
      </c>
    </row>
    <row r="81" spans="1:69">
      <c r="K81" s="39">
        <f t="shared" si="11"/>
        <v>50529.2340087217</v>
      </c>
      <c r="L81" s="39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BK81*$P81*(1+IF(VLOOKUP($Q81,武学奇术!$A:$ZZ,30,FALSE)="蓄力技",$B$21,0))*(1+$BQ81)</f>
        <v>51581.7533722685</v>
      </c>
      <c r="M81" s="39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41193.7760732884</v>
      </c>
      <c r="N81" s="39">
        <f>((($AN81+($AO81-$AN81)*IF(VLOOKUP($Q81,武学奇术!$A:$ZZ,31,FALSE)=1,$F$18,0.5))*$AH81+$AI81)*(1+$AP81)*(1+$AQ81)+(($AS81+($AT81-$AS81)*IF(VLOOKUP($Q81,武学奇术!$A:$ZZ,31,FALSE)=1,$F$18,0.5))*IF($G$1="鸣金",$AJ81,$AH81)+IF($G$1="鸣金",$AK81*1.5,0))*(1+$AU81)*(1+$AV81)+(($AW81+($AX81-$AW81)*IF(VLOOKUP($Q81,武学奇术!$A:$ZZ,31,FALSE)=1,$F$18,0.5))*IF($G$1="裂石",$AJ81,$AH81)+IF($G$1="裂石",$AK81*1.5,0))*(1+$AY81)*(1+$AZ81)+(($BA81+($BB81-$BA81)*IF(VLOOKUP($Q81,武学奇术!$A:$ZZ,31,FALSE)=1,$F$18,0.5))*IF($G$1="牵丝",$AJ81,$AH81)+IF($G$1="牵丝",$AK81*1.5,0))*(1+$BC81)*(1+$BD81)+(($BE81+($BF81-$BE81)*IF(VLOOKUP($Q81,武学奇术!$A:$ZZ,31,FALSE)=1,$F$18,0.5))*IF($G$1="破竹",$AJ81,$AH81)+IF($G$1="破竹",$AK81*1.5,0))*(1+$BG81)*(1+$BH81))*(1+$AL81)*$P81*(1+IF(VLOOKUP($Q81,武学奇术!$A:$ZZ,30,FALSE)="蓄力技",$B$21,0))*(1+$BQ81)</f>
        <v>26588.5326661178</v>
      </c>
      <c r="O81" s="39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22663.1571297997</v>
      </c>
      <c r="P81" s="40">
        <v>1</v>
      </c>
      <c r="Q81" s="41" t="s">
        <v>104</v>
      </c>
      <c r="R81" s="41" t="s">
        <v>72</v>
      </c>
      <c r="S81" s="41" t="s">
        <v>73</v>
      </c>
      <c r="T81" s="41" t="s">
        <v>73</v>
      </c>
      <c r="U81" s="41" t="s">
        <v>73</v>
      </c>
      <c r="V81" s="41" t="s">
        <v>73</v>
      </c>
      <c r="W81" s="41" t="s">
        <v>73</v>
      </c>
      <c r="X81" s="41" t="s">
        <v>164</v>
      </c>
      <c r="Y81" s="41" t="s">
        <v>73</v>
      </c>
      <c r="Z81" s="41" t="s">
        <v>105</v>
      </c>
      <c r="AA81" s="41" t="s">
        <v>73</v>
      </c>
      <c r="AB81" s="41" t="s">
        <v>73</v>
      </c>
      <c r="AC81" s="41" t="s">
        <v>73</v>
      </c>
      <c r="AD81" s="41" t="s">
        <v>73</v>
      </c>
      <c r="AE81" s="41" t="s">
        <v>77</v>
      </c>
      <c r="AF81" s="41" t="s">
        <v>78</v>
      </c>
      <c r="AG81" t="str">
        <f>VLOOKUP($Q81,武学奇术!$A:$ZZ,25,FALSE)</f>
        <v>绳镖</v>
      </c>
      <c r="AH81" s="27">
        <f>VLOOKUP($Q81,武学奇术!$A:$ZZ,26,FALSE)</f>
        <v>2.19912</v>
      </c>
      <c r="AI81" s="28">
        <f>VLOOKUP($Q81,武学奇术!$A:$ZZ,27,FALSE)*(1+IF(OR($AG81=$F$4,$AG81=$F$5),$B$22,0))</f>
        <v>0</v>
      </c>
      <c r="AJ81" s="27">
        <f>VLOOKUP($Q81,武学奇术!$A:$ZZ,28,FALSE)</f>
        <v>3.29868</v>
      </c>
      <c r="AK81" s="28">
        <f>VLOOKUP($Q81,武学奇术!$A:$ZZ,29,FALSE)*(1+IF(OR($AG81=$F$4,$AG81=$F$5),$B$22,0))</f>
        <v>0</v>
      </c>
      <c r="AL81" s="27" cm="1">
        <f t="array" ref="AL81">$G$3+IFERROR(VLOOKUP($AG81,$F$4:$G$7,2,FALSE),0)+VLOOKUP($Q81,武学奇术!$A:$ZZ,2,FALSE)+SUM(_xlfn.XLOOKUP($R81:$AF81,增益!$A:$A,增益!$B:$B,0))</f>
        <v>0.4989</v>
      </c>
      <c r="AM81" s="27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3826.382</v>
      </c>
      <c r="AO81" cm="1">
        <f t="array" ref="AO81">$E$10*(1+$AM81)+VLOOKUP($Q81,武学奇术!$A:$ZZ,4,FALSE)+SUM(_xlfn.XLOOKUP($R81:$AF81,增益!$A:$A,增益!$D:$D,0))-$I$2</f>
        <v>3826.382</v>
      </c>
      <c r="AP81" s="33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0.207</v>
      </c>
      <c r="AQ81" s="33" cm="1">
        <f t="array" ref="AQ81">$G$10+VLOOKUP($Q81,武学奇术!$A:$ZZ,7,FALSE)+SUM(_xlfn.XLOOKUP(R81:AF81,增益!$A:$A,增益!$G:$G,0))</f>
        <v>0.09</v>
      </c>
      <c r="AR81" s="27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3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-0.24</v>
      </c>
      <c r="AV81" s="33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3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-0.24</v>
      </c>
      <c r="AZ81" s="33" cm="1">
        <f t="array" ref="AZ81">$G$12+VLOOKUP($Q81,武学奇术!$A:$ZZ,12,FALSE)+SUM(_xlfn.XLOOKUP(R81:AF81,增益!$A:$A,增益!$L:$L,0))</f>
        <v>0</v>
      </c>
      <c r="BA81">
        <f t="shared" si="16"/>
        <v>0</v>
      </c>
      <c r="BB81">
        <f t="shared" si="17"/>
        <v>0</v>
      </c>
      <c r="BC81" s="33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-0.24</v>
      </c>
      <c r="BD81" s="33" cm="1">
        <f t="array" ref="BD81">$G$13+VLOOKUP($Q81,武学奇术!$A:$ZZ,14,FALSE)+SUM(_xlfn.XLOOKUP(R81:AF81,增益!$A:$A,增益!$N:$N,0))</f>
        <v>0</v>
      </c>
      <c r="BE81">
        <f t="shared" si="18"/>
        <v>605.472</v>
      </c>
      <c r="BF81">
        <f t="shared" si="19"/>
        <v>1725.468</v>
      </c>
      <c r="BG81" s="33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0.03</v>
      </c>
      <c r="BH81" s="33" cm="1">
        <f t="array" ref="BH81">$G$14+VLOOKUP($Q81,武学奇术!$A:$ZZ,16,FALSE)+SUM(_xlfn.XLOOKUP(R81:AF81,增益!$A:$A,增益!$P:$P,0))</f>
        <v>0.24</v>
      </c>
      <c r="BI81" s="27">
        <f>MIN(IF(VLOOKUP($Q81,武学奇术!$A:$ZZ,23,FALSE)=1,100%,$B$8),100%)</f>
        <v>1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+MIN(IF(VLOOKUP($Q81,武学奇术!$A:$ZZ,32,FALSE)=1,IF(VLOOKUP($Q81,武学奇术!$A:$ZZ,24,FALSE)=1,100%,MIN(40%,$B$10+VLOOKUP($Q81,武学奇术!$A:$ZZ,19,FALSE)+SUM(_xlfn.XLOOKUP(R81:AF81,增益!$A:$A,增益!$S:$S,0)))+$B$12+SUM(_xlfn.XLOOKUP(R81:AF81,增益!$A:$A,增益!$V:$V,0))),0),12%)</f>
        <v>0.9036</v>
      </c>
      <c r="BK81" s="27" cm="1">
        <f t="array" ref="BK81">1+$B$13+VLOOKUP($Q81,武学奇术!$A:$ZZ,18,FALSE)+SUM(_xlfn.XLOOKUP(R81:AF81,增益!$A:$A,增益!$R:$R,0))</f>
        <v>1.94</v>
      </c>
      <c r="BL81" s="27" cm="1">
        <f t="array" ref="BL81">MAX(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-IF(VLOOKUP($Q81,武学奇术!$A:$ZZ,32,FALSE)=1,12%,0),0)</f>
        <v>0.0929</v>
      </c>
      <c r="BM81" s="27" cm="1">
        <f t="array" ref="BM81">1+$B$14+VLOOKUP($Q81,武学奇术!$A:$ZZ,20,FALSE)+SUM(_xlfn.XLOOKUP(R81:AF81,增益!$A:$A,增益!$T:$T,0))</f>
        <v>1.35</v>
      </c>
      <c r="BN81" s="27">
        <f t="shared" si="20"/>
        <v>0.9036</v>
      </c>
      <c r="BO81" s="27">
        <f t="shared" si="21"/>
        <v>0.00350000000000006</v>
      </c>
      <c r="BP81" s="27">
        <f>IF(VLOOKUP($Q81,武学奇术!$A:$ZZ,22,FALSE)=1,0,(1-$BI81))*(1-$BL81)</f>
        <v>0</v>
      </c>
      <c r="BQ81" s="27" cm="1">
        <f t="array" ref="BQ81">SUM(_xlfn.XLOOKUP(R81:AF81,增益!$A:$A,增益!$W:$W,0))+$I$5</f>
        <v>0.11</v>
      </c>
    </row>
    <row r="82" spans="1:69">
      <c r="A82" s="4"/>
      <c r="B82" s="4"/>
      <c r="K82" s="39">
        <f t="shared" si="11"/>
        <v>28830.8404497973</v>
      </c>
      <c r="L82" s="39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BK82*$P82*(1+IF(VLOOKUP($Q82,武学奇术!$A:$ZZ,30,FALSE)="蓄力技",$B$21,0))*(1+$BQ82)</f>
        <v>29059.6068799207</v>
      </c>
      <c r="M82" s="39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27024.3511237232</v>
      </c>
      <c r="N82" s="39">
        <f>((($AN82+($AO82-$AN82)*IF(VLOOKUP($Q82,武学奇术!$A:$ZZ,31,FALSE)=1,$F$18,0.5))*$AH82+$AI82)*(1+$AP82)*(1+$AQ82)+(($AS82+($AT82-$AS82)*IF(VLOOKUP($Q82,武学奇术!$A:$ZZ,31,FALSE)=1,$F$18,0.5))*IF($G$1="鸣金",$AJ82,$AH82)+IF($G$1="鸣金",$AK82*1.5,0))*(1+$AU82)*(1+$AV82)+(($AW82+($AX82-$AW82)*IF(VLOOKUP($Q82,武学奇术!$A:$ZZ,31,FALSE)=1,$F$18,0.5))*IF($G$1="裂石",$AJ82,$AH82)+IF($G$1="裂石",$AK82*1.5,0))*(1+$AY82)*(1+$AZ82)+(($BA82+($BB82-$BA82)*IF(VLOOKUP($Q82,武学奇术!$A:$ZZ,31,FALSE)=1,$F$18,0.5))*IF($G$1="牵丝",$AJ82,$AH82)+IF($G$1="牵丝",$AK82*1.5,0))*(1+$BC82)*(1+$BD82)+(($BE82+($BF82-$BE82)*IF(VLOOKUP($Q82,武学奇术!$A:$ZZ,31,FALSE)=1,$F$18,0.5))*IF($G$1="破竹",$AJ82,$AH82)+IF($G$1="破竹",$AK82*1.5,0))*(1+$BG82)*(1+$BH82))*(1+$AL82)*$P82*(1+IF(VLOOKUP($Q82,武学奇术!$A:$ZZ,30,FALSE)="蓄力技",$B$21,0))*(1+$BQ82)</f>
        <v>17719.2724877565</v>
      </c>
      <c r="O82" s="39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15420.5071060884</v>
      </c>
      <c r="P82" s="40">
        <v>1</v>
      </c>
      <c r="Q82" s="41" t="s">
        <v>159</v>
      </c>
      <c r="R82" s="41" t="s">
        <v>72</v>
      </c>
      <c r="S82" s="41" t="s">
        <v>73</v>
      </c>
      <c r="T82" s="41" t="s">
        <v>73</v>
      </c>
      <c r="U82" s="41" t="s">
        <v>73</v>
      </c>
      <c r="V82" s="41" t="s">
        <v>73</v>
      </c>
      <c r="W82" s="41" t="s">
        <v>73</v>
      </c>
      <c r="X82" s="41" t="s">
        <v>164</v>
      </c>
      <c r="Y82" s="41" t="s">
        <v>73</v>
      </c>
      <c r="Z82" s="41" t="s">
        <v>73</v>
      </c>
      <c r="AA82" s="41" t="s">
        <v>73</v>
      </c>
      <c r="AB82" s="41" t="s">
        <v>73</v>
      </c>
      <c r="AC82" s="41" t="s">
        <v>73</v>
      </c>
      <c r="AD82" s="41" t="s">
        <v>73</v>
      </c>
      <c r="AE82" s="41" t="s">
        <v>77</v>
      </c>
      <c r="AF82" s="41" t="s">
        <v>78</v>
      </c>
      <c r="AG82" t="str">
        <f>VLOOKUP($Q82,武学奇术!$A:$ZZ,25,FALSE)</f>
        <v>绳镖</v>
      </c>
      <c r="AH82" s="27">
        <f>VLOOKUP($Q82,武学奇术!$A:$ZZ,26,FALSE)</f>
        <v>1.6584</v>
      </c>
      <c r="AI82" s="28">
        <f>VLOOKUP($Q82,武学奇术!$A:$ZZ,27,FALSE)*(1+IF(OR($AG82=$F$4,$AG82=$F$5),$B$22,0))</f>
        <v>687</v>
      </c>
      <c r="AJ82" s="27">
        <f>VLOOKUP($Q82,武学奇术!$A:$ZZ,28,FALSE)</f>
        <v>2.4876</v>
      </c>
      <c r="AK82" s="28">
        <f>VLOOKUP($Q82,武学奇术!$A:$ZZ,29,FALSE)*(1+IF(OR($AG82=$F$4,$AG82=$F$5),$B$22,0))</f>
        <v>375</v>
      </c>
      <c r="AL82" s="27" cm="1">
        <f t="array" ref="AL82">$G$3+IFERROR(VLOOKUP($AG82,$F$4:$G$7,2,FALSE),0)+VLOOKUP($Q82,武学奇术!$A:$ZZ,2,FALSE)+SUM(_xlfn.XLOOKUP($R82:$AF82,增益!$A:$A,增益!$B:$B,0))</f>
        <v>0.1989</v>
      </c>
      <c r="AM82" s="27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3826.382</v>
      </c>
      <c r="AO82" cm="1">
        <f t="array" ref="AO82">$E$10*(1+$AM82)+VLOOKUP($Q82,武学奇术!$A:$ZZ,4,FALSE)+SUM(_xlfn.XLOOKUP($R82:$AF82,增益!$A:$A,增益!$D:$D,0))-$I$2</f>
        <v>3826.382</v>
      </c>
      <c r="AP82" s="33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0.177</v>
      </c>
      <c r="AQ82" s="33" cm="1">
        <f t="array" ref="AQ82">$G$10+VLOOKUP($Q82,武学奇术!$A:$ZZ,7,FALSE)+SUM(_xlfn.XLOOKUP(R82:AF82,增益!$A:$A,增益!$G:$G,0))</f>
        <v>0.09</v>
      </c>
      <c r="AR82" s="27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3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3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3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3" cm="1">
        <f t="array" ref="AZ82">$G$12+VLOOKUP($Q82,武学奇术!$A:$ZZ,12,FALSE)+SUM(_xlfn.XLOOKUP(R82:AF82,增益!$A:$A,增益!$L:$L,0))</f>
        <v>0</v>
      </c>
      <c r="BA82">
        <f t="shared" si="16"/>
        <v>0</v>
      </c>
      <c r="BB82">
        <f t="shared" si="17"/>
        <v>0</v>
      </c>
      <c r="BC82" s="33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-0.3</v>
      </c>
      <c r="BD82" s="33" cm="1">
        <f t="array" ref="BD82">$G$13+VLOOKUP($Q82,武学奇术!$A:$ZZ,14,FALSE)+SUM(_xlfn.XLOOKUP(R82:AF82,增益!$A:$A,增益!$N:$N,0))</f>
        <v>0</v>
      </c>
      <c r="BE82">
        <f t="shared" si="18"/>
        <v>605.472</v>
      </c>
      <c r="BF82">
        <f t="shared" si="19"/>
        <v>1725.468</v>
      </c>
      <c r="BG82" s="33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</v>
      </c>
      <c r="BH82" s="33" cm="1">
        <f t="array" ref="BH82">$G$14+VLOOKUP($Q82,武学奇术!$A:$ZZ,16,FALSE)+SUM(_xlfn.XLOOKUP(R82:AF82,增益!$A:$A,增益!$P:$P,0))</f>
        <v>0.24</v>
      </c>
      <c r="BI82" s="27">
        <f>MIN(IF(VLOOKUP($Q82,武学奇术!$A:$ZZ,23,FALSE)=1,100%,$B$8),100%)</f>
        <v>1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+MIN(IF(VLOOKUP($Q82,武学奇术!$A:$ZZ,32,FALSE)=1,IF(VLOOKUP($Q82,武学奇术!$A:$ZZ,24,FALSE)=1,100%,MIN(40%,$B$10+VLOOKUP($Q82,武学奇术!$A:$ZZ,19,FALSE)+SUM(_xlfn.XLOOKUP(R82:AF82,增益!$A:$A,增益!$S:$S,0)))+$B$12+SUM(_xlfn.XLOOKUP(R82:AF82,增益!$A:$A,增益!$V:$V,0))),0),12%)</f>
        <v>0.9036</v>
      </c>
      <c r="BK82" s="27" cm="1">
        <f t="array" ref="BK82">1+$B$13+VLOOKUP($Q82,武学奇术!$A:$ZZ,18,FALSE)+SUM(_xlfn.XLOOKUP(R82:AF82,增益!$A:$A,增益!$R:$R,0))</f>
        <v>1.64</v>
      </c>
      <c r="BL82" s="27" cm="1">
        <f t="array" ref="BL82">MAX(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-IF(VLOOKUP($Q82,武学奇术!$A:$ZZ,32,FALSE)=1,12%,0),0)</f>
        <v>0.0929</v>
      </c>
      <c r="BM82" s="27" cm="1">
        <f t="array" ref="BM82">1+$B$14+VLOOKUP($Q82,武学奇术!$A:$ZZ,20,FALSE)+SUM(_xlfn.XLOOKUP(R82:AF82,增益!$A:$A,增益!$T:$T,0))</f>
        <v>1.35</v>
      </c>
      <c r="BN82" s="27">
        <f t="shared" si="20"/>
        <v>0.9036</v>
      </c>
      <c r="BO82" s="27">
        <f t="shared" si="21"/>
        <v>0.00350000000000006</v>
      </c>
      <c r="BP82" s="27">
        <f>IF(VLOOKUP($Q82,武学奇术!$A:$ZZ,22,FALSE)=1,0,(1-$BI82))*(1-$BL82)</f>
        <v>0</v>
      </c>
      <c r="BQ82" s="27" cm="1">
        <f t="array" ref="BQ82">SUM(_xlfn.XLOOKUP(R82:AF82,增益!$A:$A,增益!$W:$W,0))+$I$5</f>
        <v>0.11</v>
      </c>
    </row>
    <row r="83" spans="1:69">
      <c r="A83" s="4"/>
      <c r="B83" s="91"/>
      <c r="K83" s="39">
        <f t="shared" si="11"/>
        <v>61386.5276703045</v>
      </c>
      <c r="L83" s="39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BK83*$P83*(1+IF(VLOOKUP($Q83,武学奇术!$A:$ZZ,30,FALSE)="蓄力技",$B$21,0))*(1+$BQ83)</f>
        <v>62668.6877974091</v>
      </c>
      <c r="M83" s="39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50011.1874160575</v>
      </c>
      <c r="N83" s="39">
        <f>((($AN83+($AO83-$AN83)*IF(VLOOKUP($Q83,武学奇术!$A:$ZZ,31,FALSE)=1,$F$18,0.5))*$AH83+$AI83)*(1+$AP83)*(1+$AQ83)+(($AS83+($AT83-$AS83)*IF(VLOOKUP($Q83,武学奇术!$A:$ZZ,31,FALSE)=1,$F$18,0.5))*IF($G$1="鸣金",$AJ83,$AH83)+IF($G$1="鸣金",$AK83*1.5,0))*(1+$AU83)*(1+$AV83)+(($AW83+($AX83-$AW83)*IF(VLOOKUP($Q83,武学奇术!$A:$ZZ,31,FALSE)=1,$F$18,0.5))*IF($G$1="裂石",$AJ83,$AH83)+IF($G$1="裂石",$AK83*1.5,0))*(1+$AY83)*(1+$AZ83)+(($BA83+($BB83-$BA83)*IF(VLOOKUP($Q83,武学奇术!$A:$ZZ,31,FALSE)=1,$F$18,0.5))*IF($G$1="牵丝",$AJ83,$AH83)+IF($G$1="牵丝",$AK83*1.5,0))*(1+$BC83)*(1+$BD83)+(($BE83+($BF83-$BE83)*IF(VLOOKUP($Q83,武学奇术!$A:$ZZ,31,FALSE)=1,$F$18,0.5))*IF($G$1="破竹",$AJ83,$AH83)+IF($G$1="破竹",$AK83*1.5,0))*(1+$BG83)*(1+$BH83))*(1+$AL83)*$P83*(1+IF(VLOOKUP($Q83,武学奇术!$A:$ZZ,30,FALSE)="蓄力技",$B$21,0))*(1+$BQ83)</f>
        <v>32303.4473182521</v>
      </c>
      <c r="O83" s="39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27561.5706246098</v>
      </c>
      <c r="P83" s="40">
        <v>1</v>
      </c>
      <c r="Q83" s="41" t="s">
        <v>110</v>
      </c>
      <c r="R83" s="41" t="s">
        <v>81</v>
      </c>
      <c r="S83" s="41" t="s">
        <v>73</v>
      </c>
      <c r="T83" s="41" t="s">
        <v>73</v>
      </c>
      <c r="U83" s="41" t="s">
        <v>73</v>
      </c>
      <c r="V83" s="41" t="s">
        <v>73</v>
      </c>
      <c r="W83" s="41" t="s">
        <v>73</v>
      </c>
      <c r="X83" s="41" t="s">
        <v>164</v>
      </c>
      <c r="Y83" s="41" t="s">
        <v>73</v>
      </c>
      <c r="Z83" s="41" t="s">
        <v>105</v>
      </c>
      <c r="AA83" s="41" t="s">
        <v>73</v>
      </c>
      <c r="AB83" s="41" t="s">
        <v>73</v>
      </c>
      <c r="AC83" s="41" t="s">
        <v>73</v>
      </c>
      <c r="AD83" s="41" t="s">
        <v>73</v>
      </c>
      <c r="AE83" s="41" t="s">
        <v>77</v>
      </c>
      <c r="AF83" s="41" t="s">
        <v>78</v>
      </c>
      <c r="AG83" t="str">
        <f>VLOOKUP($Q83,武学奇术!$A:$ZZ,25,FALSE)</f>
        <v>绳镖</v>
      </c>
      <c r="AH83" s="27">
        <f>VLOOKUP($Q83,武学奇术!$A:$ZZ,26,FALSE)</f>
        <v>2.638944</v>
      </c>
      <c r="AI83" s="28">
        <f>VLOOKUP($Q83,武学奇术!$A:$ZZ,27,FALSE)*(1+IF(OR($AG83=$F$4,$AG83=$F$5),$B$22,0))</f>
        <v>0</v>
      </c>
      <c r="AJ83" s="27">
        <f>VLOOKUP($Q83,武学奇术!$A:$ZZ,28,FALSE)</f>
        <v>3.958416</v>
      </c>
      <c r="AK83" s="28">
        <f>VLOOKUP($Q83,武学奇术!$A:$ZZ,29,FALSE)*(1+IF(OR($AG83=$F$4,$AG83=$F$5),$B$22,0))</f>
        <v>0</v>
      </c>
      <c r="AL83" s="27" cm="1">
        <f t="array" ref="AL83">$G$3+IFERROR(VLOOKUP($AG83,$F$4:$G$7,2,FALSE),0)+VLOOKUP($Q83,武学奇术!$A:$ZZ,2,FALSE)+SUM(_xlfn.XLOOKUP($R83:$AF83,增益!$A:$A,增益!$B:$B,0))</f>
        <v>0.5089</v>
      </c>
      <c r="AM83" s="27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3826.382</v>
      </c>
      <c r="AO83" cm="1">
        <f t="array" ref="AO83">$E$10*(1+$AM83)+VLOOKUP($Q83,武学奇术!$A:$ZZ,4,FALSE)+SUM(_xlfn.XLOOKUP($R83:$AF83,增益!$A:$A,增益!$D:$D,0))-$I$2</f>
        <v>3826.382</v>
      </c>
      <c r="AP83" s="33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0.217</v>
      </c>
      <c r="AQ83" s="33" cm="1">
        <f t="array" ref="AQ83">$G$10+VLOOKUP($Q83,武学奇术!$A:$ZZ,7,FALSE)+SUM(_xlfn.XLOOKUP(R83:AF83,增益!$A:$A,增益!$G:$G,0))</f>
        <v>0.09</v>
      </c>
      <c r="AR83" s="27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3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-0.24</v>
      </c>
      <c r="AV83" s="33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3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-0.24</v>
      </c>
      <c r="AZ83" s="33" cm="1">
        <f t="array" ref="AZ83">$G$12+VLOOKUP($Q83,武学奇术!$A:$ZZ,12,FALSE)+SUM(_xlfn.XLOOKUP(R83:AF83,增益!$A:$A,增益!$L:$L,0))</f>
        <v>0</v>
      </c>
      <c r="BA83">
        <f t="shared" si="16"/>
        <v>0</v>
      </c>
      <c r="BB83">
        <f t="shared" si="17"/>
        <v>0</v>
      </c>
      <c r="BC83" s="33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-0.24</v>
      </c>
      <c r="BD83" s="33" cm="1">
        <f t="array" ref="BD83">$G$13+VLOOKUP($Q83,武学奇术!$A:$ZZ,14,FALSE)+SUM(_xlfn.XLOOKUP(R83:AF83,增益!$A:$A,增益!$N:$N,0))</f>
        <v>0</v>
      </c>
      <c r="BE83">
        <f t="shared" si="18"/>
        <v>605.472</v>
      </c>
      <c r="BF83">
        <f t="shared" si="19"/>
        <v>1725.468</v>
      </c>
      <c r="BG83" s="33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0.03</v>
      </c>
      <c r="BH83" s="33" cm="1">
        <f t="array" ref="BH83">$G$14+VLOOKUP($Q83,武学奇术!$A:$ZZ,16,FALSE)+SUM(_xlfn.XLOOKUP(R83:AF83,增益!$A:$A,增益!$P:$P,0))</f>
        <v>0.24</v>
      </c>
      <c r="BI83" s="27">
        <f>MIN(IF(VLOOKUP($Q83,武学奇术!$A:$ZZ,23,FALSE)=1,100%,$B$8),100%)</f>
        <v>1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+MIN(IF(VLOOKUP($Q83,武学奇术!$A:$ZZ,32,FALSE)=1,IF(VLOOKUP($Q83,武学奇术!$A:$ZZ,24,FALSE)=1,100%,MIN(40%,$B$10+VLOOKUP($Q83,武学奇术!$A:$ZZ,19,FALSE)+SUM(_xlfn.XLOOKUP(R83:AF83,增益!$A:$A,增益!$S:$S,0)))+$B$12+SUM(_xlfn.XLOOKUP(R83:AF83,增益!$A:$A,增益!$V:$V,0))),0),12%)</f>
        <v>0.9036</v>
      </c>
      <c r="BK83" s="27" cm="1">
        <f t="array" ref="BK83">1+$B$13+VLOOKUP($Q83,武学奇术!$A:$ZZ,18,FALSE)+SUM(_xlfn.XLOOKUP(R83:AF83,增益!$A:$A,增益!$R:$R,0))</f>
        <v>1.94</v>
      </c>
      <c r="BL83" s="27" cm="1">
        <f t="array" ref="BL83">MAX(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-IF(VLOOKUP($Q83,武学奇术!$A:$ZZ,32,FALSE)=1,12%,0),0)</f>
        <v>0.0929</v>
      </c>
      <c r="BM83" s="27" cm="1">
        <f t="array" ref="BM83">1+$B$14+VLOOKUP($Q83,武学奇术!$A:$ZZ,20,FALSE)+SUM(_xlfn.XLOOKUP(R83:AF83,增益!$A:$A,增益!$T:$T,0))</f>
        <v>1.35</v>
      </c>
      <c r="BN83" s="27">
        <f t="shared" si="20"/>
        <v>0.9036</v>
      </c>
      <c r="BO83" s="27">
        <f t="shared" si="21"/>
        <v>0.00350000000000006</v>
      </c>
      <c r="BP83" s="27">
        <f>IF(VLOOKUP($Q83,武学奇术!$A:$ZZ,22,FALSE)=1,0,(1-$BI83))*(1-$BL83)</f>
        <v>0</v>
      </c>
      <c r="BQ83" s="27" cm="1">
        <f t="array" ref="BQ83">SUM(_xlfn.XLOOKUP(R83:AF83,增益!$A:$A,增益!$W:$W,0))+$I$5</f>
        <v>0.11</v>
      </c>
    </row>
    <row r="84" spans="1:69">
      <c r="K84" s="39">
        <f t="shared" si="11"/>
        <v>830635.899719094</v>
      </c>
      <c r="L84" s="39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BK84*$P84*(1+IF(VLOOKUP($Q84,武学奇术!$A:$ZZ,30,FALSE)="蓄力技",$B$21,0))*(1+$BQ84)</f>
        <v>832330.161742892</v>
      </c>
      <c r="M84" s="39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527012.860158161</v>
      </c>
      <c r="N84" s="39">
        <f>((($AN84+($AO84-$AN84)*IF(VLOOKUP($Q84,武学奇术!$A:$ZZ,31,FALSE)=1,$F$18,0.5))*$AH84+$AI84)*(1+$AP84)*(1+$AQ84)+(($AS84+($AT84-$AS84)*IF(VLOOKUP($Q84,武学奇术!$A:$ZZ,31,FALSE)=1,$F$18,0.5))*IF($G$1="鸣金",$AJ84,$AH84)+IF($G$1="鸣金",$AK84*1.5,0))*(1+$AU84)*(1+$AV84)+(($AW84+($AX84-$AW84)*IF(VLOOKUP($Q84,武学奇术!$A:$ZZ,31,FALSE)=1,$F$18,0.5))*IF($G$1="裂石",$AJ84,$AH84)+IF($G$1="裂石",$AK84*1.5,0))*(1+$AY84)*(1+$AZ84)+(($BA84+($BB84-$BA84)*IF(VLOOKUP($Q84,武学奇术!$A:$ZZ,31,FALSE)=1,$F$18,0.5))*IF($G$1="牵丝",$AJ84,$AH84)+IF($G$1="牵丝",$AK84*1.5,0))*(1+$BC84)*(1+$BD84)+(($BE84+($BF84-$BE84)*IF(VLOOKUP($Q84,武学奇术!$A:$ZZ,31,FALSE)=1,$F$18,0.5))*IF($G$1="破竹",$AJ84,$AH84)+IF($G$1="破竹",$AK84*1.5,0))*(1+$BG84)*(1+$BH84))*(1+$AL84)*$P84*(1+IF(VLOOKUP($Q84,武学奇术!$A:$ZZ,30,FALSE)="蓄力技",$B$21,0))*(1+$BQ84)</f>
        <v>348255.297800373</v>
      </c>
      <c r="O84" s="39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306130.699187294</v>
      </c>
      <c r="P84" s="40">
        <v>1</v>
      </c>
      <c r="Q84" s="41" t="s">
        <v>131</v>
      </c>
      <c r="R84" s="41" t="s">
        <v>81</v>
      </c>
      <c r="S84" s="41" t="s">
        <v>132</v>
      </c>
      <c r="T84" s="41" t="s">
        <v>73</v>
      </c>
      <c r="U84" s="41" t="s">
        <v>73</v>
      </c>
      <c r="V84" s="41" t="s">
        <v>73</v>
      </c>
      <c r="W84" s="41" t="s">
        <v>73</v>
      </c>
      <c r="X84" s="41" t="s">
        <v>164</v>
      </c>
      <c r="Y84" s="41" t="s">
        <v>73</v>
      </c>
      <c r="Z84" s="41" t="s">
        <v>105</v>
      </c>
      <c r="AA84" s="41" t="s">
        <v>73</v>
      </c>
      <c r="AB84" s="41" t="s">
        <v>73</v>
      </c>
      <c r="AC84" s="41" t="s">
        <v>73</v>
      </c>
      <c r="AD84" s="41" t="s">
        <v>73</v>
      </c>
      <c r="AE84" s="41" t="s">
        <v>77</v>
      </c>
      <c r="AF84" s="41" t="s">
        <v>78</v>
      </c>
      <c r="AG84" t="str">
        <f>VLOOKUP($Q84,武学奇术!$A:$ZZ,25,FALSE)</f>
        <v>拳甲</v>
      </c>
      <c r="AH84" s="27">
        <f>VLOOKUP($Q84,武学奇术!$A:$ZZ,26,FALSE)</f>
        <v>16.8107</v>
      </c>
      <c r="AI84" s="28">
        <f>VLOOKUP($Q84,武学奇术!$A:$ZZ,27,FALSE)*(1+IF(OR($AG84=$F$4,$AG84=$F$5),$B$22,0))</f>
        <v>6970.5</v>
      </c>
      <c r="AJ84" s="27">
        <f>VLOOKUP($Q84,武学奇术!$A:$ZZ,28,FALSE)</f>
        <v>25.2161</v>
      </c>
      <c r="AK84" s="28">
        <f>VLOOKUP($Q84,武学奇术!$A:$ZZ,29,FALSE)*(1+IF(OR($AG84=$F$4,$AG84=$F$5),$B$22,0))</f>
        <v>3799.5</v>
      </c>
      <c r="AL84" s="27" cm="1">
        <f t="array" ref="AL84">$G$3+IFERROR(VLOOKUP($AG84,$F$4:$G$7,2,FALSE),0)+VLOOKUP($Q84,武学奇术!$A:$ZZ,2,FALSE)+SUM(_xlfn.XLOOKUP($R84:$AF84,增益!$A:$A,增益!$B:$B,0))</f>
        <v>0.5941</v>
      </c>
      <c r="AM84" s="27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3826.382</v>
      </c>
      <c r="AO84" cm="1">
        <f t="array" ref="AO84">$E$10*(1+$AM84)+VLOOKUP($Q84,武学奇术!$A:$ZZ,4,FALSE)+SUM(_xlfn.XLOOKUP($R84:$AF84,增益!$A:$A,增益!$D:$D,0))-$I$2</f>
        <v>3826.382</v>
      </c>
      <c r="AP84" s="33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0.342</v>
      </c>
      <c r="AQ84" s="33" cm="1">
        <f t="array" ref="AQ84">$G$10+VLOOKUP($Q84,武学奇术!$A:$ZZ,7,FALSE)+SUM(_xlfn.XLOOKUP(R84:AF84,增益!$A:$A,增益!$G:$G,0))</f>
        <v>0.09</v>
      </c>
      <c r="AR84" s="27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3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33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3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-0.24</v>
      </c>
      <c r="AZ84" s="33" cm="1">
        <f t="array" ref="AZ84">$G$12+VLOOKUP($Q84,武学奇术!$A:$ZZ,12,FALSE)+SUM(_xlfn.XLOOKUP(R84:AF84,增益!$A:$A,增益!$L:$L,0))</f>
        <v>0</v>
      </c>
      <c r="BA84">
        <f t="shared" si="16"/>
        <v>0</v>
      </c>
      <c r="BB84">
        <f t="shared" si="17"/>
        <v>0</v>
      </c>
      <c r="BC84" s="33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-0.24</v>
      </c>
      <c r="BD84" s="33" cm="1">
        <f t="array" ref="BD84">$G$13+VLOOKUP($Q84,武学奇术!$A:$ZZ,14,FALSE)+SUM(_xlfn.XLOOKUP(R84:AF84,增益!$A:$A,增益!$N:$N,0))</f>
        <v>0</v>
      </c>
      <c r="BE84">
        <f t="shared" si="18"/>
        <v>605.472</v>
      </c>
      <c r="BF84">
        <f t="shared" si="19"/>
        <v>1725.468</v>
      </c>
      <c r="BG84" s="33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0.03</v>
      </c>
      <c r="BH84" s="33" cm="1">
        <f t="array" ref="BH84">$G$14+VLOOKUP($Q84,武学奇术!$A:$ZZ,16,FALSE)+SUM(_xlfn.XLOOKUP(R84:AF84,增益!$A:$A,增益!$P:$P,0))</f>
        <v>0.24</v>
      </c>
      <c r="BI84" s="27">
        <f>MIN(IF(VLOOKUP($Q84,武学奇术!$A:$ZZ,23,FALSE)=1,100%,$B$8),100%)</f>
        <v>1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+MIN(IF(VLOOKUP($Q84,武学奇术!$A:$ZZ,32,FALSE)=1,IF(VLOOKUP($Q84,武学奇术!$A:$ZZ,24,FALSE)=1,100%,MIN(40%,$B$10+VLOOKUP($Q84,武学奇术!$A:$ZZ,19,FALSE)+SUM(_xlfn.XLOOKUP(R84:AF84,增益!$A:$A,增益!$S:$S,0)))+$B$12+SUM(_xlfn.XLOOKUP(R84:AF84,增益!$A:$A,增益!$V:$V,0))),0),12%)</f>
        <v>0.9965</v>
      </c>
      <c r="BK84" s="27" cm="1">
        <f t="array" ref="BK84">1+$B$13+VLOOKUP($Q84,武学奇术!$A:$ZZ,18,FALSE)+SUM(_xlfn.XLOOKUP(R84:AF84,增益!$A:$A,增益!$R:$R,0))</f>
        <v>2.39</v>
      </c>
      <c r="BL84" s="27" cm="1">
        <f t="array" ref="BL84">MAX(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-IF(VLOOKUP($Q84,武学奇术!$A:$ZZ,32,FALSE)=1,12%,0),0)</f>
        <v>0</v>
      </c>
      <c r="BM84" s="27" cm="1">
        <f t="array" ref="BM84">1+$B$14+VLOOKUP($Q84,武学奇术!$A:$ZZ,20,FALSE)+SUM(_xlfn.XLOOKUP(R84:AF84,增益!$A:$A,增益!$T:$T,0))</f>
        <v>1.35</v>
      </c>
      <c r="BN84" s="27">
        <f t="shared" si="20"/>
        <v>0.9965</v>
      </c>
      <c r="BO84" s="27">
        <f t="shared" si="21"/>
        <v>0.00350000000000006</v>
      </c>
      <c r="BP84" s="27">
        <f>IF(VLOOKUP($Q84,武学奇术!$A:$ZZ,22,FALSE)=1,0,(1-$BI84))*(1-$BL84)</f>
        <v>0</v>
      </c>
      <c r="BQ84" s="27" cm="1">
        <f t="array" ref="BQ84">SUM(_xlfn.XLOOKUP(R84:AF84,增益!$A:$A,增益!$W:$W,0))+$I$5</f>
        <v>0.11</v>
      </c>
    </row>
    <row r="85" spans="1:69">
      <c r="A85" s="4"/>
      <c r="B85" s="4"/>
      <c r="K85" s="39">
        <f t="shared" si="11"/>
        <v>319805.614378496</v>
      </c>
      <c r="L85" s="39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BK85*$P85*(1+IF(VLOOKUP($Q85,武学奇术!$A:$ZZ,30,FALSE)="蓄力技",$B$21,0))*(1+$BQ85)</f>
        <v>320457.927272295</v>
      </c>
      <c r="M85" s="39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202906.243854407</v>
      </c>
      <c r="N85" s="39">
        <f>((($AN85+($AO85-$AN85)*IF(VLOOKUP($Q85,武学奇术!$A:$ZZ,31,FALSE)=1,$F$18,0.5))*$AH85+$AI85)*(1+$AP85)*(1+$AQ85)+(($AS85+($AT85-$AS85)*IF(VLOOKUP($Q85,武学奇术!$A:$ZZ,31,FALSE)=1,$F$18,0.5))*IF($G$1="鸣金",$AJ85,$AH85)+IF($G$1="鸣金",$AK85*1.5,0))*(1+$AU85)*(1+$AV85)+(($AW85+($AX85-$AW85)*IF(VLOOKUP($Q85,武学奇术!$A:$ZZ,31,FALSE)=1,$F$18,0.5))*IF($G$1="裂石",$AJ85,$AH85)+IF($G$1="裂石",$AK85*1.5,0))*(1+$AY85)*(1+$AZ85)+(($BA85+($BB85-$BA85)*IF(VLOOKUP($Q85,武学奇术!$A:$ZZ,31,FALSE)=1,$F$18,0.5))*IF($G$1="牵丝",$AJ85,$AH85)+IF($G$1="牵丝",$AK85*1.5,0))*(1+$BC85)*(1+$BD85)+(($BE85+($BF85-$BE85)*IF(VLOOKUP($Q85,武学奇术!$A:$ZZ,31,FALSE)=1,$F$18,0.5))*IF($G$1="破竹",$AJ85,$AH85)+IF($G$1="破竹",$AK85*1.5,0))*(1+$BG85)*(1+$BH85))*(1+$AL85)*$P85*(1+IF(VLOOKUP($Q85,武学奇术!$A:$ZZ,30,FALSE)="蓄力技",$B$21,0))*(1+$BQ85)</f>
        <v>134082.814758283</v>
      </c>
      <c r="O85" s="39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117864.70814293</v>
      </c>
      <c r="P85" s="40">
        <v>1</v>
      </c>
      <c r="Q85" s="41" t="s">
        <v>138</v>
      </c>
      <c r="R85" s="41" t="s">
        <v>81</v>
      </c>
      <c r="S85" s="41" t="s">
        <v>132</v>
      </c>
      <c r="T85" s="41" t="s">
        <v>73</v>
      </c>
      <c r="U85" s="41" t="s">
        <v>73</v>
      </c>
      <c r="V85" s="41" t="s">
        <v>73</v>
      </c>
      <c r="W85" s="41" t="s">
        <v>73</v>
      </c>
      <c r="X85" s="41" t="s">
        <v>164</v>
      </c>
      <c r="Y85" s="41" t="s">
        <v>73</v>
      </c>
      <c r="Z85" s="41" t="s">
        <v>105</v>
      </c>
      <c r="AA85" s="41" t="s">
        <v>73</v>
      </c>
      <c r="AB85" s="41" t="s">
        <v>73</v>
      </c>
      <c r="AC85" s="41" t="s">
        <v>73</v>
      </c>
      <c r="AD85" s="41" t="s">
        <v>73</v>
      </c>
      <c r="AE85" s="41" t="s">
        <v>77</v>
      </c>
      <c r="AF85" s="41" t="s">
        <v>78</v>
      </c>
      <c r="AG85" t="str">
        <f>VLOOKUP($Q85,武学奇术!$A:$ZZ,25,FALSE)</f>
        <v>拳甲</v>
      </c>
      <c r="AH85" s="27">
        <f>VLOOKUP($Q85,武学奇术!$A:$ZZ,26,FALSE)</f>
        <v>6.4722</v>
      </c>
      <c r="AI85" s="28">
        <f>VLOOKUP($Q85,武学奇术!$A:$ZZ,27,FALSE)*(1+IF(OR($AG85=$F$4,$AG85=$F$5),$B$22,0))</f>
        <v>2683.8</v>
      </c>
      <c r="AJ85" s="27">
        <f>VLOOKUP($Q85,武学奇术!$A:$ZZ,28,FALSE)</f>
        <v>9.70828</v>
      </c>
      <c r="AK85" s="28">
        <f>VLOOKUP($Q85,武学奇术!$A:$ZZ,29,FALSE)*(1+IF(OR($AG85=$F$4,$AG85=$F$5),$B$22,0))</f>
        <v>1463.4</v>
      </c>
      <c r="AL85" s="27" cm="1">
        <f t="array" ref="AL85">$G$3+IFERROR(VLOOKUP($AG85,$F$4:$G$7,2,FALSE),0)+VLOOKUP($Q85,武学奇术!$A:$ZZ,2,FALSE)+SUM(_xlfn.XLOOKUP($R85:$AF85,增益!$A:$A,增益!$B:$B,0))</f>
        <v>0.5941</v>
      </c>
      <c r="AM85" s="27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3826.382</v>
      </c>
      <c r="AO85" cm="1">
        <f t="array" ref="AO85">$E$10*(1+$AM85)+VLOOKUP($Q85,武学奇术!$A:$ZZ,4,FALSE)+SUM(_xlfn.XLOOKUP($R85:$AF85,增益!$A:$A,增益!$D:$D,0))-$I$2</f>
        <v>3826.382</v>
      </c>
      <c r="AP85" s="33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0.342</v>
      </c>
      <c r="AQ85" s="33" cm="1">
        <f t="array" ref="AQ85">$G$10+VLOOKUP($Q85,武学奇术!$A:$ZZ,7,FALSE)+SUM(_xlfn.XLOOKUP(R85:AF85,增益!$A:$A,增益!$G:$G,0))</f>
        <v>0.09</v>
      </c>
      <c r="AR85" s="27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3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33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3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-0.24</v>
      </c>
      <c r="AZ85" s="33" cm="1">
        <f t="array" ref="AZ85">$G$12+VLOOKUP($Q85,武学奇术!$A:$ZZ,12,FALSE)+SUM(_xlfn.XLOOKUP(R85:AF85,增益!$A:$A,增益!$L:$L,0))</f>
        <v>0</v>
      </c>
      <c r="BA85">
        <f t="shared" si="16"/>
        <v>0</v>
      </c>
      <c r="BB85">
        <f t="shared" si="17"/>
        <v>0</v>
      </c>
      <c r="BC85" s="33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-0.24</v>
      </c>
      <c r="BD85" s="33" cm="1">
        <f t="array" ref="BD85">$G$13+VLOOKUP($Q85,武学奇术!$A:$ZZ,14,FALSE)+SUM(_xlfn.XLOOKUP(R85:AF85,增益!$A:$A,增益!$N:$N,0))</f>
        <v>0</v>
      </c>
      <c r="BE85">
        <f t="shared" si="18"/>
        <v>605.472</v>
      </c>
      <c r="BF85">
        <f t="shared" si="19"/>
        <v>1725.468</v>
      </c>
      <c r="BG85" s="33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0.03</v>
      </c>
      <c r="BH85" s="33" cm="1">
        <f t="array" ref="BH85">$G$14+VLOOKUP($Q85,武学奇术!$A:$ZZ,16,FALSE)+SUM(_xlfn.XLOOKUP(R85:AF85,增益!$A:$A,增益!$P:$P,0))</f>
        <v>0.24</v>
      </c>
      <c r="BI85" s="27">
        <f>MIN(IF(VLOOKUP($Q85,武学奇术!$A:$ZZ,23,FALSE)=1,100%,$B$8),100%)</f>
        <v>1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+MIN(IF(VLOOKUP($Q85,武学奇术!$A:$ZZ,32,FALSE)=1,IF(VLOOKUP($Q85,武学奇术!$A:$ZZ,24,FALSE)=1,100%,MIN(40%,$B$10+VLOOKUP($Q85,武学奇术!$A:$ZZ,19,FALSE)+SUM(_xlfn.XLOOKUP(R85:AF85,增益!$A:$A,增益!$S:$S,0)))+$B$12+SUM(_xlfn.XLOOKUP(R85:AF85,增益!$A:$A,增益!$V:$V,0))),0),12%)</f>
        <v>0.9965</v>
      </c>
      <c r="BK85" s="27" cm="1">
        <f t="array" ref="BK85">1+$B$13+VLOOKUP($Q85,武学奇术!$A:$ZZ,18,FALSE)+SUM(_xlfn.XLOOKUP(R85:AF85,增益!$A:$A,增益!$R:$R,0))</f>
        <v>2.39</v>
      </c>
      <c r="BL85" s="27" cm="1">
        <f t="array" ref="BL85">MAX(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-IF(VLOOKUP($Q85,武学奇术!$A:$ZZ,32,FALSE)=1,12%,0),0)</f>
        <v>0</v>
      </c>
      <c r="BM85" s="27" cm="1">
        <f t="array" ref="BM85">1+$B$14+VLOOKUP($Q85,武学奇术!$A:$ZZ,20,FALSE)+SUM(_xlfn.XLOOKUP(R85:AF85,增益!$A:$A,增益!$T:$T,0))</f>
        <v>1.35</v>
      </c>
      <c r="BN85" s="27">
        <f t="shared" si="20"/>
        <v>0.9965</v>
      </c>
      <c r="BO85" s="27">
        <f t="shared" si="21"/>
        <v>0.00350000000000006</v>
      </c>
      <c r="BP85" s="27">
        <f>IF(VLOOKUP($Q85,武学奇术!$A:$ZZ,22,FALSE)=1,0,(1-$BI85))*(1-$BL85)</f>
        <v>0</v>
      </c>
      <c r="BQ85" s="27" cm="1">
        <f t="array" ref="BQ85">SUM(_xlfn.XLOOKUP(R85:AF85,增益!$A:$A,增益!$W:$W,0))+$I$5</f>
        <v>0.11</v>
      </c>
    </row>
    <row r="86" spans="1:69">
      <c r="K86" s="39">
        <f t="shared" si="11"/>
        <v>25660.3405669229</v>
      </c>
      <c r="L86" s="39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BK86*$P86*(1+IF(VLOOKUP($Q86,武学奇术!$A:$ZZ,30,FALSE)="蓄力技",$B$21,0))*(1+$BQ86)</f>
        <v>26190.5854470022</v>
      </c>
      <c r="M86" s="39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20947.5400737419</v>
      </c>
      <c r="N86" s="39">
        <f>((($AN86+($AO86-$AN86)*IF(VLOOKUP($Q86,武学奇术!$A:$ZZ,31,FALSE)=1,$F$18,0.5))*$AH86+$AI86)*(1+$AP86)*(1+$AQ86)+(($AS86+($AT86-$AS86)*IF(VLOOKUP($Q86,武学奇术!$A:$ZZ,31,FALSE)=1,$F$18,0.5))*IF($G$1="鸣金",$AJ86,$AH86)+IF($G$1="鸣金",$AK86*1.5,0))*(1+$AU86)*(1+$AV86)+(($AW86+($AX86-$AW86)*IF(VLOOKUP($Q86,武学奇术!$A:$ZZ,31,FALSE)=1,$F$18,0.5))*IF($G$1="裂石",$AJ86,$AH86)+IF($G$1="裂石",$AK86*1.5,0))*(1+$AY86)*(1+$AZ86)+(($BA86+($BB86-$BA86)*IF(VLOOKUP($Q86,武学奇术!$A:$ZZ,31,FALSE)=1,$F$18,0.5))*IF($G$1="牵丝",$AJ86,$AH86)+IF($G$1="牵丝",$AK86*1.5,0))*(1+$BC86)*(1+$BD86)+(($BE86+($BF86-$BE86)*IF(VLOOKUP($Q86,武学奇术!$A:$ZZ,31,FALSE)=1,$F$18,0.5))*IF($G$1="破竹",$AJ86,$AH86)+IF($G$1="破竹",$AK86*1.5,0))*(1+$BG86)*(1+$BH86))*(1+$AL86)*$P86*(1+IF(VLOOKUP($Q86,武学奇术!$A:$ZZ,30,FALSE)="蓄力技",$B$21,0))*(1+$BQ86)</f>
        <v>13857.4526174615</v>
      </c>
      <c r="O86" s="39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12198.208884003</v>
      </c>
      <c r="P86" s="40">
        <v>1</v>
      </c>
      <c r="Q86" s="41" t="s">
        <v>151</v>
      </c>
      <c r="R86" s="41" t="s">
        <v>88</v>
      </c>
      <c r="S86" s="41" t="s">
        <v>132</v>
      </c>
      <c r="T86" s="41" t="s">
        <v>73</v>
      </c>
      <c r="U86" s="41" t="s">
        <v>73</v>
      </c>
      <c r="V86" s="41" t="s">
        <v>73</v>
      </c>
      <c r="W86" s="41" t="s">
        <v>73</v>
      </c>
      <c r="X86" s="41" t="s">
        <v>164</v>
      </c>
      <c r="Y86" s="41" t="s">
        <v>73</v>
      </c>
      <c r="Z86" s="41" t="s">
        <v>73</v>
      </c>
      <c r="AA86" s="41" t="s">
        <v>73</v>
      </c>
      <c r="AB86" s="41" t="s">
        <v>73</v>
      </c>
      <c r="AC86" s="41" t="s">
        <v>73</v>
      </c>
      <c r="AD86" s="41" t="s">
        <v>73</v>
      </c>
      <c r="AE86" s="41" t="s">
        <v>77</v>
      </c>
      <c r="AF86" s="41" t="s">
        <v>78</v>
      </c>
      <c r="AG86" t="str">
        <f>VLOOKUP($Q86,武学奇术!$A:$ZZ,25,FALSE)</f>
        <v>拳甲</v>
      </c>
      <c r="AH86" s="27">
        <f>VLOOKUP($Q86,武学奇术!$A:$ZZ,26,FALSE)</f>
        <v>1.1005</v>
      </c>
      <c r="AI86" s="28">
        <f>VLOOKUP($Q86,武学奇术!$A:$ZZ,27,FALSE)*(1+IF(OR($AG86=$F$4,$AG86=$F$5),$B$22,0))</f>
        <v>457.5</v>
      </c>
      <c r="AJ86" s="27">
        <f>VLOOKUP($Q86,武学奇术!$A:$ZZ,28,FALSE)</f>
        <v>1.6507</v>
      </c>
      <c r="AK86" s="28">
        <f>VLOOKUP($Q86,武学奇术!$A:$ZZ,29,FALSE)*(1+IF(OR($AG86=$F$4,$AG86=$F$5),$B$22,0))</f>
        <v>247.5</v>
      </c>
      <c r="AL86" s="27" cm="1">
        <f t="array" ref="AL86">$G$3+IFERROR(VLOOKUP($AG86,$F$4:$G$7,2,FALSE),0)+VLOOKUP($Q86,武学奇术!$A:$ZZ,2,FALSE)+SUM(_xlfn.XLOOKUP($R86:$AF86,增益!$A:$A,增益!$B:$B,0))</f>
        <v>0.3041</v>
      </c>
      <c r="AM86" s="27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3826.382</v>
      </c>
      <c r="AO86" cm="1">
        <f t="array" ref="AO86">$E$10*(1+$AM86)+VLOOKUP($Q86,武学奇术!$A:$ZZ,4,FALSE)+SUM(_xlfn.XLOOKUP($R86:$AF86,增益!$A:$A,增益!$D:$D,0))-$I$2</f>
        <v>3826.382</v>
      </c>
      <c r="AP86" s="33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0.322</v>
      </c>
      <c r="AQ86" s="33" cm="1">
        <f t="array" ref="AQ86">$G$10+VLOOKUP($Q86,武学奇术!$A:$ZZ,7,FALSE)+SUM(_xlfn.XLOOKUP(R86:AF86,增益!$A:$A,增益!$G:$G,0))</f>
        <v>0.09</v>
      </c>
      <c r="AR86" s="27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3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3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3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3" cm="1">
        <f t="array" ref="AZ86">$G$12+VLOOKUP($Q86,武学奇术!$A:$ZZ,12,FALSE)+SUM(_xlfn.XLOOKUP(R86:AF86,增益!$A:$A,增益!$L:$L,0))</f>
        <v>0</v>
      </c>
      <c r="BA86">
        <f t="shared" si="16"/>
        <v>0</v>
      </c>
      <c r="BB86">
        <f t="shared" si="17"/>
        <v>0</v>
      </c>
      <c r="BC86" s="33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-0.3</v>
      </c>
      <c r="BD86" s="33" cm="1">
        <f t="array" ref="BD86">$G$13+VLOOKUP($Q86,武学奇术!$A:$ZZ,14,FALSE)+SUM(_xlfn.XLOOKUP(R86:AF86,增益!$A:$A,增益!$N:$N,0))</f>
        <v>0</v>
      </c>
      <c r="BE86">
        <f t="shared" si="18"/>
        <v>605.472</v>
      </c>
      <c r="BF86">
        <f t="shared" si="19"/>
        <v>1725.468</v>
      </c>
      <c r="BG86" s="33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</v>
      </c>
      <c r="BH86" s="33" cm="1">
        <f t="array" ref="BH86">$G$14+VLOOKUP($Q86,武学奇术!$A:$ZZ,16,FALSE)+SUM(_xlfn.XLOOKUP(R86:AF86,增益!$A:$A,增益!$P:$P,0))</f>
        <v>0.24</v>
      </c>
      <c r="BI86" s="27">
        <f>MIN(IF(VLOOKUP($Q86,武学奇术!$A:$ZZ,23,FALSE)=1,100%,$B$8),100%)</f>
        <v>1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+MIN(IF(VLOOKUP($Q86,武学奇术!$A:$ZZ,32,FALSE)=1,IF(VLOOKUP($Q86,武学奇术!$A:$ZZ,24,FALSE)=1,100%,MIN(40%,$B$10+VLOOKUP($Q86,武学奇术!$A:$ZZ,19,FALSE)+SUM(_xlfn.XLOOKUP(R86:AF86,增益!$A:$A,增益!$S:$S,0)))+$B$12+SUM(_xlfn.XLOOKUP(R86:AF86,增益!$A:$A,增益!$V:$V,0))),0),12%)</f>
        <v>0.9036</v>
      </c>
      <c r="BK86" s="27" cm="1">
        <f t="array" ref="BK86">1+$B$13+VLOOKUP($Q86,武学奇术!$A:$ZZ,18,FALSE)+SUM(_xlfn.XLOOKUP(R86:AF86,增益!$A:$A,增益!$R:$R,0))</f>
        <v>1.89</v>
      </c>
      <c r="BL86" s="27" cm="1">
        <f t="array" ref="BL86">MAX(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-IF(VLOOKUP($Q86,武学奇术!$A:$ZZ,32,FALSE)=1,12%,0),0)</f>
        <v>0.0929</v>
      </c>
      <c r="BM86" s="27" cm="1">
        <f t="array" ref="BM86">1+$B$14+VLOOKUP($Q86,武学奇术!$A:$ZZ,20,FALSE)+SUM(_xlfn.XLOOKUP(R86:AF86,增益!$A:$A,增益!$T:$T,0))</f>
        <v>1.35</v>
      </c>
      <c r="BN86" s="27">
        <f t="shared" si="20"/>
        <v>0.9036</v>
      </c>
      <c r="BO86" s="27">
        <f t="shared" si="21"/>
        <v>0.00350000000000006</v>
      </c>
      <c r="BP86" s="27">
        <f>IF(VLOOKUP($Q86,武学奇术!$A:$ZZ,22,FALSE)=1,0,(1-$BI86))*(1-$BL86)</f>
        <v>0</v>
      </c>
      <c r="BQ86" s="27" cm="1">
        <f t="array" ref="BQ86">SUM(_xlfn.XLOOKUP(R86:AF86,增益!$A:$A,增益!$W:$W,0))+$I$5</f>
        <v>0.11</v>
      </c>
    </row>
    <row r="87" spans="1:69">
      <c r="K87" s="39">
        <f t="shared" si="11"/>
        <v>47319.8517148103</v>
      </c>
      <c r="L87" s="39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BK87*$P87*(1+IF(VLOOKUP($Q87,武学奇术!$A:$ZZ,30,FALSE)="蓄力技",$B$21,0))*(1+$BQ87)</f>
        <v>47703.2855998423</v>
      </c>
      <c r="M87" s="39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44277.2556981067</v>
      </c>
      <c r="N87" s="39">
        <f>((($AN87+($AO87-$AN87)*IF(VLOOKUP($Q87,武学奇术!$A:$ZZ,31,FALSE)=1,$F$18,0.5))*$AH87+$AI87)*(1+$AP87)*(1+$AQ87)+(($AS87+($AT87-$AS87)*IF(VLOOKUP($Q87,武学奇术!$A:$ZZ,31,FALSE)=1,$F$18,0.5))*IF($G$1="鸣金",$AJ87,$AH87)+IF($G$1="鸣金",$AK87*1.5,0))*(1+$AU87)*(1+$AV87)+(($AW87+($AX87-$AW87)*IF(VLOOKUP($Q87,武学奇术!$A:$ZZ,31,FALSE)=1,$F$18,0.5))*IF($G$1="裂石",$AJ87,$AH87)+IF($G$1="裂石",$AK87*1.5,0))*(1+$AY87)*(1+$AZ87)+(($BA87+($BB87-$BA87)*IF(VLOOKUP($Q87,武学奇术!$A:$ZZ,31,FALSE)=1,$F$18,0.5))*IF($G$1="牵丝",$AJ87,$AH87)+IF($G$1="牵丝",$AK87*1.5,0))*(1+$BC87)*(1+$BD87)+(($BE87+($BF87-$BE87)*IF(VLOOKUP($Q87,武学奇术!$A:$ZZ,31,FALSE)=1,$F$18,0.5))*IF($G$1="破竹",$AJ87,$AH87)+IF($G$1="破竹",$AK87*1.5,0))*(1+$BG87)*(1+$BH87))*(1+$AL87)*$P87*(1+IF(VLOOKUP($Q87,武学奇术!$A:$ZZ,30,FALSE)="蓄力技",$B$21,0))*(1+$BQ87)</f>
        <v>29087.3692681965</v>
      </c>
      <c r="O87" s="39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25376.7713526103</v>
      </c>
      <c r="P87" s="40">
        <v>1</v>
      </c>
      <c r="Q87" s="41" t="s">
        <v>120</v>
      </c>
      <c r="R87" s="41" t="s">
        <v>94</v>
      </c>
      <c r="S87" s="41" t="s">
        <v>73</v>
      </c>
      <c r="T87" s="41" t="s">
        <v>73</v>
      </c>
      <c r="U87" s="41" t="s">
        <v>73</v>
      </c>
      <c r="V87" s="41" t="s">
        <v>73</v>
      </c>
      <c r="W87" s="41" t="s">
        <v>73</v>
      </c>
      <c r="X87" s="41" t="s">
        <v>164</v>
      </c>
      <c r="Y87" s="41" t="s">
        <v>73</v>
      </c>
      <c r="Z87" s="41" t="s">
        <v>73</v>
      </c>
      <c r="AA87" s="41" t="s">
        <v>73</v>
      </c>
      <c r="AB87" s="41" t="s">
        <v>73</v>
      </c>
      <c r="AC87" s="41" t="s">
        <v>73</v>
      </c>
      <c r="AD87" s="41" t="s">
        <v>73</v>
      </c>
      <c r="AE87" s="41" t="s">
        <v>77</v>
      </c>
      <c r="AF87" s="41" t="s">
        <v>78</v>
      </c>
      <c r="AG87" t="str">
        <f>VLOOKUP($Q87,武学奇术!$A:$ZZ,25,FALSE)</f>
        <v>拳甲</v>
      </c>
      <c r="AH87" s="27">
        <f>VLOOKUP($Q87,武学奇术!$A:$ZZ,26,FALSE)</f>
        <v>2.4421</v>
      </c>
      <c r="AI87" s="28">
        <f>VLOOKUP($Q87,武学奇术!$A:$ZZ,27,FALSE)*(1+IF(OR($AG87=$F$4,$AG87=$F$5),$B$22,0))</f>
        <v>1012.5</v>
      </c>
      <c r="AJ87" s="27">
        <f>VLOOKUP($Q87,武学奇术!$A:$ZZ,28,FALSE)</f>
        <v>3.6634</v>
      </c>
      <c r="AK87" s="28">
        <f>VLOOKUP($Q87,武学奇术!$A:$ZZ,29,FALSE)*(1+IF(OR($AG87=$F$4,$AG87=$F$5),$B$22,0))</f>
        <v>549</v>
      </c>
      <c r="AL87" s="27" cm="1">
        <f t="array" ref="AL87">$G$3+IFERROR(VLOOKUP($AG87,$F$4:$G$7,2,FALSE),0)+VLOOKUP($Q87,武学奇术!$A:$ZZ,2,FALSE)+SUM(_xlfn.XLOOKUP($R87:$AF87,增益!$A:$A,增益!$B:$B,0))</f>
        <v>0.3141</v>
      </c>
      <c r="AM87" s="27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3826.382</v>
      </c>
      <c r="AO87" cm="1">
        <f t="array" ref="AO87">$E$10*(1+$AM87)+VLOOKUP($Q87,武学奇术!$A:$ZZ,4,FALSE)+SUM(_xlfn.XLOOKUP($R87:$AF87,增益!$A:$A,增益!$D:$D,0))-$I$2</f>
        <v>3826.382</v>
      </c>
      <c r="AP87" s="33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0.207</v>
      </c>
      <c r="AQ87" s="33" cm="1">
        <f t="array" ref="AQ87">$G$10+VLOOKUP($Q87,武学奇术!$A:$ZZ,7,FALSE)+SUM(_xlfn.XLOOKUP(R87:AF87,增益!$A:$A,增益!$G:$G,0))</f>
        <v>0.09</v>
      </c>
      <c r="AR87" s="27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3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3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3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3" cm="1">
        <f t="array" ref="AZ87">$G$12+VLOOKUP($Q87,武学奇术!$A:$ZZ,12,FALSE)+SUM(_xlfn.XLOOKUP(R87:AF87,增益!$A:$A,增益!$L:$L,0))</f>
        <v>0</v>
      </c>
      <c r="BA87">
        <f t="shared" si="16"/>
        <v>0</v>
      </c>
      <c r="BB87">
        <f t="shared" si="17"/>
        <v>0</v>
      </c>
      <c r="BC87" s="33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-0.3</v>
      </c>
      <c r="BD87" s="33" cm="1">
        <f t="array" ref="BD87">$G$13+VLOOKUP($Q87,武学奇术!$A:$ZZ,14,FALSE)+SUM(_xlfn.XLOOKUP(R87:AF87,增益!$A:$A,增益!$N:$N,0))</f>
        <v>0</v>
      </c>
      <c r="BE87">
        <f t="shared" si="18"/>
        <v>605.472</v>
      </c>
      <c r="BF87">
        <f t="shared" si="19"/>
        <v>1725.468</v>
      </c>
      <c r="BG87" s="33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</v>
      </c>
      <c r="BH87" s="33" cm="1">
        <f t="array" ref="BH87">$G$14+VLOOKUP($Q87,武学奇术!$A:$ZZ,16,FALSE)+SUM(_xlfn.XLOOKUP(R87:AF87,增益!$A:$A,增益!$P:$P,0))</f>
        <v>0.24</v>
      </c>
      <c r="BI87" s="27">
        <f>MIN(IF(VLOOKUP($Q87,武学奇术!$A:$ZZ,23,FALSE)=1,100%,$B$8),100%)</f>
        <v>1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+MIN(IF(VLOOKUP($Q87,武学奇术!$A:$ZZ,32,FALSE)=1,IF(VLOOKUP($Q87,武学奇术!$A:$ZZ,24,FALSE)=1,100%,MIN(40%,$B$10+VLOOKUP($Q87,武学奇术!$A:$ZZ,19,FALSE)+SUM(_xlfn.XLOOKUP(R87:AF87,增益!$A:$A,增益!$S:$S,0)))+$B$12+SUM(_xlfn.XLOOKUP(R87:AF87,增益!$A:$A,增益!$V:$V,0))),0),12%)</f>
        <v>0.9036</v>
      </c>
      <c r="BK87" s="27" cm="1">
        <f t="array" ref="BK87">1+$B$13+VLOOKUP($Q87,武学奇术!$A:$ZZ,18,FALSE)+SUM(_xlfn.XLOOKUP(R87:AF87,增益!$A:$A,增益!$R:$R,0))</f>
        <v>1.64</v>
      </c>
      <c r="BL87" s="27" cm="1">
        <f t="array" ref="BL87">MAX(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-IF(VLOOKUP($Q87,武学奇术!$A:$ZZ,32,FALSE)=1,12%,0),0)</f>
        <v>0.0929</v>
      </c>
      <c r="BM87" s="27" cm="1">
        <f t="array" ref="BM87">1+$B$14+VLOOKUP($Q87,武学奇术!$A:$ZZ,20,FALSE)+SUM(_xlfn.XLOOKUP(R87:AF87,增益!$A:$A,增益!$T:$T,0))</f>
        <v>1.35</v>
      </c>
      <c r="BN87" s="27">
        <f t="shared" si="20"/>
        <v>0.9036</v>
      </c>
      <c r="BO87" s="27">
        <f t="shared" si="21"/>
        <v>0.00350000000000006</v>
      </c>
      <c r="BP87" s="27">
        <f>IF(VLOOKUP($Q87,武学奇术!$A:$ZZ,22,FALSE)=1,0,(1-$BI87))*(1-$BL87)</f>
        <v>0</v>
      </c>
      <c r="BQ87" s="27" cm="1">
        <f t="array" ref="BQ87">SUM(_xlfn.XLOOKUP(R87:AF87,增益!$A:$A,增益!$W:$W,0))+$I$5</f>
        <v>0.11</v>
      </c>
    </row>
    <row r="88" spans="1:69">
      <c r="A88" s="4"/>
      <c r="B88" s="91"/>
      <c r="K88" s="39">
        <f t="shared" si="11"/>
        <v>24971.673687518</v>
      </c>
      <c r="L88" s="39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BK88*$P88*(1+IF(VLOOKUP($Q88,武学奇术!$A:$ZZ,30,FALSE)="蓄力技",$B$21,0))*(1+$BQ88)</f>
        <v>25174.2722959558</v>
      </c>
      <c r="M88" s="39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23363.5700729056</v>
      </c>
      <c r="N88" s="39">
        <f>((($AN88+($AO88-$AN88)*IF(VLOOKUP($Q88,武学奇术!$A:$ZZ,31,FALSE)=1,$F$18,0.5))*$AH88+$AI88)*(1+$AP88)*(1+$AQ88)+(($AS88+($AT88-$AS88)*IF(VLOOKUP($Q88,武学奇术!$A:$ZZ,31,FALSE)=1,$F$18,0.5))*IF($G$1="鸣金",$AJ88,$AH88)+IF($G$1="鸣金",$AK88*1.5,0))*(1+$AU88)*(1+$AV88)+(($AW88+($AX88-$AW88)*IF(VLOOKUP($Q88,武学奇术!$A:$ZZ,31,FALSE)=1,$F$18,0.5))*IF($G$1="裂石",$AJ88,$AH88)+IF($G$1="裂石",$AK88*1.5,0))*(1+$AY88)*(1+$AZ88)+(($BA88+($BB88-$BA88)*IF(VLOOKUP($Q88,武学奇术!$A:$ZZ,31,FALSE)=1,$F$18,0.5))*IF($G$1="牵丝",$AJ88,$AH88)+IF($G$1="牵丝",$AK88*1.5,0))*(1+$BC88)*(1+$BD88)+(($BE88+($BF88-$BE88)*IF(VLOOKUP($Q88,武学奇术!$A:$ZZ,31,FALSE)=1,$F$18,0.5))*IF($G$1="破竹",$AJ88,$AH88)+IF($G$1="破竹",$AK88*1.5,0))*(1+$BG88)*(1+$BH88))*(1+$AL88)*$P88*(1+IF(VLOOKUP($Q88,武学奇术!$A:$ZZ,30,FALSE)="蓄力技",$B$21,0))*(1+$BQ88)</f>
        <v>15350.1660341194</v>
      </c>
      <c r="O88" s="39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13393.9838660865</v>
      </c>
      <c r="P88" s="40">
        <v>1</v>
      </c>
      <c r="Q88" s="41" t="s">
        <v>115</v>
      </c>
      <c r="R88" s="41" t="s">
        <v>94</v>
      </c>
      <c r="S88" s="41" t="s">
        <v>73</v>
      </c>
      <c r="T88" s="41" t="s">
        <v>73</v>
      </c>
      <c r="U88" s="41" t="s">
        <v>73</v>
      </c>
      <c r="V88" s="41" t="s">
        <v>73</v>
      </c>
      <c r="W88" s="41" t="s">
        <v>73</v>
      </c>
      <c r="X88" s="41" t="s">
        <v>164</v>
      </c>
      <c r="Y88" s="41" t="s">
        <v>73</v>
      </c>
      <c r="Z88" s="41" t="s">
        <v>73</v>
      </c>
      <c r="AA88" s="41" t="s">
        <v>73</v>
      </c>
      <c r="AB88" s="41" t="s">
        <v>73</v>
      </c>
      <c r="AC88" s="41" t="s">
        <v>73</v>
      </c>
      <c r="AD88" s="41" t="s">
        <v>73</v>
      </c>
      <c r="AE88" s="41" t="s">
        <v>77</v>
      </c>
      <c r="AF88" s="41" t="s">
        <v>78</v>
      </c>
      <c r="AG88" t="str">
        <f>VLOOKUP($Q88,武学奇术!$A:$ZZ,25,FALSE)</f>
        <v>拳甲</v>
      </c>
      <c r="AH88" s="27">
        <f>VLOOKUP($Q88,武学奇术!$A:$ZZ,26,FALSE)</f>
        <v>1.2876</v>
      </c>
      <c r="AI88" s="28">
        <f>VLOOKUP($Q88,武学奇术!$A:$ZZ,27,FALSE)*(1+IF(OR($AG88=$F$4,$AG88=$F$5),$B$22,0))</f>
        <v>537</v>
      </c>
      <c r="AJ88" s="27">
        <f>VLOOKUP($Q88,武学奇术!$A:$ZZ,28,FALSE)</f>
        <v>1.9313</v>
      </c>
      <c r="AK88" s="28">
        <f>VLOOKUP($Q88,武学奇术!$A:$ZZ,29,FALSE)*(1+IF(OR($AG88=$F$4,$AG88=$F$5),$B$22,0))</f>
        <v>292.5</v>
      </c>
      <c r="AL88" s="27" cm="1">
        <f t="array" ref="AL88">$G$3+IFERROR(VLOOKUP($AG88,$F$4:$G$7,2,FALSE),0)+VLOOKUP($Q88,武学奇术!$A:$ZZ,2,FALSE)+SUM(_xlfn.XLOOKUP($R88:$AF88,增益!$A:$A,增益!$B:$B,0))</f>
        <v>0.3141</v>
      </c>
      <c r="AM88" s="27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3826.382</v>
      </c>
      <c r="AO88" cm="1">
        <f t="array" ref="AO88">$E$10*(1+$AM88)+VLOOKUP($Q88,武学奇术!$A:$ZZ,4,FALSE)+SUM(_xlfn.XLOOKUP($R88:$AF88,增益!$A:$A,增益!$D:$D,0))-$I$2</f>
        <v>3826.382</v>
      </c>
      <c r="AP88" s="33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0.207</v>
      </c>
      <c r="AQ88" s="33" cm="1">
        <f t="array" ref="AQ88">$G$10+VLOOKUP($Q88,武学奇术!$A:$ZZ,7,FALSE)+SUM(_xlfn.XLOOKUP(R88:AF88,增益!$A:$A,增益!$G:$G,0))</f>
        <v>0.09</v>
      </c>
      <c r="AR88" s="27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3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3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3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3" cm="1">
        <f t="array" ref="AZ88">$G$12+VLOOKUP($Q88,武学奇术!$A:$ZZ,12,FALSE)+SUM(_xlfn.XLOOKUP(R88:AF88,增益!$A:$A,增益!$L:$L,0))</f>
        <v>0</v>
      </c>
      <c r="BA88">
        <f t="shared" si="16"/>
        <v>0</v>
      </c>
      <c r="BB88">
        <f t="shared" si="17"/>
        <v>0</v>
      </c>
      <c r="BC88" s="33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-0.3</v>
      </c>
      <c r="BD88" s="33" cm="1">
        <f t="array" ref="BD88">$G$13+VLOOKUP($Q88,武学奇术!$A:$ZZ,14,FALSE)+SUM(_xlfn.XLOOKUP(R88:AF88,增益!$A:$A,增益!$N:$N,0))</f>
        <v>0</v>
      </c>
      <c r="BE88">
        <f t="shared" si="18"/>
        <v>605.472</v>
      </c>
      <c r="BF88">
        <f t="shared" si="19"/>
        <v>1725.468</v>
      </c>
      <c r="BG88" s="33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</v>
      </c>
      <c r="BH88" s="33" cm="1">
        <f t="array" ref="BH88">$G$14+VLOOKUP($Q88,武学奇术!$A:$ZZ,16,FALSE)+SUM(_xlfn.XLOOKUP(R88:AF88,增益!$A:$A,增益!$P:$P,0))</f>
        <v>0.24</v>
      </c>
      <c r="BI88" s="27">
        <f>MIN(IF(VLOOKUP($Q88,武学奇术!$A:$ZZ,23,FALSE)=1,100%,$B$8),100%)</f>
        <v>1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+MIN(IF(VLOOKUP($Q88,武学奇术!$A:$ZZ,32,FALSE)=1,IF(VLOOKUP($Q88,武学奇术!$A:$ZZ,24,FALSE)=1,100%,MIN(40%,$B$10+VLOOKUP($Q88,武学奇术!$A:$ZZ,19,FALSE)+SUM(_xlfn.XLOOKUP(R88:AF88,增益!$A:$A,增益!$S:$S,0)))+$B$12+SUM(_xlfn.XLOOKUP(R88:AF88,增益!$A:$A,增益!$V:$V,0))),0),12%)</f>
        <v>0.9036</v>
      </c>
      <c r="BK88" s="27" cm="1">
        <f t="array" ref="BK88">1+$B$13+VLOOKUP($Q88,武学奇术!$A:$ZZ,18,FALSE)+SUM(_xlfn.XLOOKUP(R88:AF88,增益!$A:$A,增益!$R:$R,0))</f>
        <v>1.64</v>
      </c>
      <c r="BL88" s="27" cm="1">
        <f t="array" ref="BL88">MAX(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-IF(VLOOKUP($Q88,武学奇术!$A:$ZZ,32,FALSE)=1,12%,0),0)</f>
        <v>0.0929</v>
      </c>
      <c r="BM88" s="27" cm="1">
        <f t="array" ref="BM88">1+$B$14+VLOOKUP($Q88,武学奇术!$A:$ZZ,20,FALSE)+SUM(_xlfn.XLOOKUP(R88:AF88,增益!$A:$A,增益!$T:$T,0))</f>
        <v>1.35</v>
      </c>
      <c r="BN88" s="27">
        <f t="shared" si="20"/>
        <v>0.9036</v>
      </c>
      <c r="BO88" s="27">
        <f t="shared" si="21"/>
        <v>0.00350000000000006</v>
      </c>
      <c r="BP88" s="27">
        <f>IF(VLOOKUP($Q88,武学奇术!$A:$ZZ,22,FALSE)=1,0,(1-$BI88))*(1-$BL88)</f>
        <v>0</v>
      </c>
      <c r="BQ88" s="27" cm="1">
        <f t="array" ref="BQ88">SUM(_xlfn.XLOOKUP(R88:AF88,增益!$A:$A,增益!$W:$W,0))+$I$5</f>
        <v>0.11</v>
      </c>
    </row>
    <row r="89" spans="1:69">
      <c r="A89" s="4"/>
      <c r="B89" s="4"/>
      <c r="K89" s="39">
        <f t="shared" si="11"/>
        <v>67193.4124421633</v>
      </c>
      <c r="L89" s="39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BK89*$P89*(1+IF(VLOOKUP($Q89,武学奇术!$A:$ZZ,30,FALSE)="蓄力技",$B$21,0))*(1+$BQ89)</f>
        <v>68608.0464851687</v>
      </c>
      <c r="M89" s="39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54632.9842272572</v>
      </c>
      <c r="N89" s="39">
        <f>((($AN89+($AO89-$AN89)*IF(VLOOKUP($Q89,武学奇术!$A:$ZZ,31,FALSE)=1,$F$18,0.5))*$AH89+$AI89)*(1+$AP89)*(1+$AQ89)+(($AS89+($AT89-$AS89)*IF(VLOOKUP($Q89,武学奇术!$A:$ZZ,31,FALSE)=1,$F$18,0.5))*IF($G$1="鸣金",$AJ89,$AH89)+IF($G$1="鸣金",$AK89*1.5,0))*(1+$AU89)*(1+$AV89)+(($AW89+($AX89-$AW89)*IF(VLOOKUP($Q89,武学奇术!$A:$ZZ,31,FALSE)=1,$F$18,0.5))*IF($G$1="裂石",$AJ89,$AH89)+IF($G$1="裂石",$AK89*1.5,0))*(1+$AY89)*(1+$AZ89)+(($BA89+($BB89-$BA89)*IF(VLOOKUP($Q89,武学奇术!$A:$ZZ,31,FALSE)=1,$F$18,0.5))*IF($G$1="牵丝",$AJ89,$AH89)+IF($G$1="牵丝",$AK89*1.5,0))*(1+$BC89)*(1+$BD89)+(($BE89+($BF89-$BE89)*IF(VLOOKUP($Q89,武学奇术!$A:$ZZ,31,FALSE)=1,$F$18,0.5))*IF($G$1="破竹",$AJ89,$AH89)+IF($G$1="破竹",$AK89*1.5,0))*(1+$BG89)*(1+$BH89))*(1+$AL89)*$P89*(1+IF(VLOOKUP($Q89,武学奇术!$A:$ZZ,30,FALSE)="蓄力技",$B$21,0))*(1+$BQ89)</f>
        <v>35364.9724150354</v>
      </c>
      <c r="O89" s="39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30261.0676246951</v>
      </c>
      <c r="P89" s="40">
        <v>1</v>
      </c>
      <c r="Q89" s="41" t="s">
        <v>117</v>
      </c>
      <c r="R89" s="41" t="s">
        <v>97</v>
      </c>
      <c r="S89" s="41" t="s">
        <v>73</v>
      </c>
      <c r="T89" s="41" t="s">
        <v>73</v>
      </c>
      <c r="U89" s="41" t="s">
        <v>73</v>
      </c>
      <c r="V89" s="41" t="s">
        <v>73</v>
      </c>
      <c r="W89" s="41" t="s">
        <v>73</v>
      </c>
      <c r="X89" s="41" t="s">
        <v>164</v>
      </c>
      <c r="Y89" s="41" t="s">
        <v>73</v>
      </c>
      <c r="Z89" s="41" t="s">
        <v>105</v>
      </c>
      <c r="AA89" s="41" t="s">
        <v>73</v>
      </c>
      <c r="AB89" s="41" t="s">
        <v>73</v>
      </c>
      <c r="AC89" s="41" t="s">
        <v>73</v>
      </c>
      <c r="AD89" s="41" t="s">
        <v>73</v>
      </c>
      <c r="AE89" s="41" t="s">
        <v>77</v>
      </c>
      <c r="AF89" s="41" t="s">
        <v>78</v>
      </c>
      <c r="AG89" t="str">
        <f>VLOOKUP($Q89,武学奇术!$A:$ZZ,25,FALSE)</f>
        <v>拳甲</v>
      </c>
      <c r="AH89" s="27">
        <f>VLOOKUP($Q89,武学奇术!$A:$ZZ,26,FALSE)</f>
        <v>2.638944</v>
      </c>
      <c r="AI89" s="28">
        <f>VLOOKUP($Q89,武学奇术!$A:$ZZ,27,FALSE)*(1+IF(OR($AG89=$F$4,$AG89=$F$5),$B$22,0))</f>
        <v>0</v>
      </c>
      <c r="AJ89" s="27">
        <f>VLOOKUP($Q89,武学奇术!$A:$ZZ,28,FALSE)</f>
        <v>3.958416</v>
      </c>
      <c r="AK89" s="28">
        <f>VLOOKUP($Q89,武学奇术!$A:$ZZ,29,FALSE)*(1+IF(OR($AG89=$F$4,$AG89=$F$5),$B$22,0))</f>
        <v>0</v>
      </c>
      <c r="AL89" s="27" cm="1">
        <f t="array" ref="AL89">$G$3+IFERROR(VLOOKUP($AG89,$F$4:$G$7,2,FALSE),0)+VLOOKUP($Q89,武学奇术!$A:$ZZ,2,FALSE)+SUM(_xlfn.XLOOKUP($R89:$AF89,增益!$A:$A,增益!$B:$B,0))</f>
        <v>0.6241</v>
      </c>
      <c r="AM89" s="27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3826.382</v>
      </c>
      <c r="AO89" cm="1">
        <f t="array" ref="AO89">$E$10*(1+$AM89)+VLOOKUP($Q89,武学奇术!$A:$ZZ,4,FALSE)+SUM(_xlfn.XLOOKUP($R89:$AF89,增益!$A:$A,增益!$D:$D,0))-$I$2</f>
        <v>3826.382</v>
      </c>
      <c r="AP89" s="33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0.247</v>
      </c>
      <c r="AQ89" s="33" cm="1">
        <f t="array" ref="AQ89">$G$10+VLOOKUP($Q89,武学奇术!$A:$ZZ,7,FALSE)+SUM(_xlfn.XLOOKUP(R89:AF89,增益!$A:$A,增益!$G:$G,0))</f>
        <v>0.09</v>
      </c>
      <c r="AR89" s="27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3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33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3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-0.24</v>
      </c>
      <c r="AZ89" s="33" cm="1">
        <f t="array" ref="AZ89">$G$12+VLOOKUP($Q89,武学奇术!$A:$ZZ,12,FALSE)+SUM(_xlfn.XLOOKUP(R89:AF89,增益!$A:$A,增益!$L:$L,0))</f>
        <v>0</v>
      </c>
      <c r="BA89">
        <f t="shared" si="16"/>
        <v>0</v>
      </c>
      <c r="BB89">
        <f t="shared" si="17"/>
        <v>0</v>
      </c>
      <c r="BC89" s="33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-0.24</v>
      </c>
      <c r="BD89" s="33" cm="1">
        <f t="array" ref="BD89">$G$13+VLOOKUP($Q89,武学奇术!$A:$ZZ,14,FALSE)+SUM(_xlfn.XLOOKUP(R89:AF89,增益!$A:$A,增益!$N:$N,0))</f>
        <v>0</v>
      </c>
      <c r="BE89">
        <f t="shared" si="18"/>
        <v>605.472</v>
      </c>
      <c r="BF89">
        <f t="shared" si="19"/>
        <v>1725.468</v>
      </c>
      <c r="BG89" s="33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0.03</v>
      </c>
      <c r="BH89" s="33" cm="1">
        <f t="array" ref="BH89">$G$14+VLOOKUP($Q89,武学奇术!$A:$ZZ,16,FALSE)+SUM(_xlfn.XLOOKUP(R89:AF89,增益!$A:$A,增益!$P:$P,0))</f>
        <v>0.24</v>
      </c>
      <c r="BI89" s="27">
        <f>MIN(IF(VLOOKUP($Q89,武学奇术!$A:$ZZ,23,FALSE)=1,100%,$B$8),100%)</f>
        <v>1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+MIN(IF(VLOOKUP($Q89,武学奇术!$A:$ZZ,32,FALSE)=1,IF(VLOOKUP($Q89,武学奇术!$A:$ZZ,24,FALSE)=1,100%,MIN(40%,$B$10+VLOOKUP($Q89,武学奇术!$A:$ZZ,19,FALSE)+SUM(_xlfn.XLOOKUP(R89:AF89,增益!$A:$A,增益!$S:$S,0)))+$B$12+SUM(_xlfn.XLOOKUP(R89:AF89,增益!$A:$A,增益!$V:$V,0))),0),12%)</f>
        <v>0.9036</v>
      </c>
      <c r="BK89" s="27" cm="1">
        <f t="array" ref="BK89">1+$B$13+VLOOKUP($Q89,武学奇术!$A:$ZZ,18,FALSE)+SUM(_xlfn.XLOOKUP(R89:AF89,增益!$A:$A,增益!$R:$R,0))</f>
        <v>1.94</v>
      </c>
      <c r="BL89" s="27" cm="1">
        <f t="array" ref="BL89">MAX(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-IF(VLOOKUP($Q89,武学奇术!$A:$ZZ,32,FALSE)=1,12%,0),0)</f>
        <v>0.0929</v>
      </c>
      <c r="BM89" s="27" cm="1">
        <f t="array" ref="BM89">1+$B$14+VLOOKUP($Q89,武学奇术!$A:$ZZ,20,FALSE)+SUM(_xlfn.XLOOKUP(R89:AF89,增益!$A:$A,增益!$T:$T,0))</f>
        <v>1.35</v>
      </c>
      <c r="BN89" s="27">
        <f t="shared" si="20"/>
        <v>0.9036</v>
      </c>
      <c r="BO89" s="27">
        <f t="shared" si="21"/>
        <v>0.00350000000000006</v>
      </c>
      <c r="BP89" s="27">
        <f>IF(VLOOKUP($Q89,武学奇术!$A:$ZZ,22,FALSE)=1,0,(1-$BI89))*(1-$BL89)</f>
        <v>0</v>
      </c>
      <c r="BQ89" s="27" cm="1">
        <f t="array" ref="BQ89">SUM(_xlfn.XLOOKUP(R89:AF89,增益!$A:$A,增益!$W:$W,0))+$I$5</f>
        <v>0.11</v>
      </c>
    </row>
    <row r="90" spans="1:69">
      <c r="A90" s="4"/>
      <c r="B90" s="4"/>
      <c r="K90" s="39">
        <f t="shared" si="11"/>
        <v>81494.6018518671</v>
      </c>
      <c r="L90" s="39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BK90*$P90*(1+IF(VLOOKUP($Q90,武学奇术!$A:$ZZ,30,FALSE)="蓄力技",$B$21,0))*(1+$BQ90)</f>
        <v>83360.763128432</v>
      </c>
      <c r="M90" s="39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64794.6518800912</v>
      </c>
      <c r="N90" s="39">
        <f>((($AN90+($AO90-$AN90)*IF(VLOOKUP($Q90,武学奇术!$A:$ZZ,31,FALSE)=1,$F$18,0.5))*$AH90+$AI90)*(1+$AP90)*(1+$AQ90)+(($AS90+($AT90-$AS90)*IF(VLOOKUP($Q90,武学奇术!$A:$ZZ,31,FALSE)=1,$F$18,0.5))*IF($G$1="鸣金",$AJ90,$AH90)+IF($G$1="鸣金",$AK90*1.5,0))*(1+$AU90)*(1+$AV90)+(($AW90+($AX90-$AW90)*IF(VLOOKUP($Q90,武学奇术!$A:$ZZ,31,FALSE)=1,$F$18,0.5))*IF($G$1="裂石",$AJ90,$AH90)+IF($G$1="裂石",$AK90*1.5,0))*(1+$AY90)*(1+$AZ90)+(($BA90+($BB90-$BA90)*IF(VLOOKUP($Q90,武学奇术!$A:$ZZ,31,FALSE)=1,$F$18,0.5))*IF($G$1="牵丝",$AJ90,$AH90)+IF($G$1="牵丝",$AK90*1.5,0))*(1+$BC90)*(1+$BD90)+(($BE90+($BF90-$BE90)*IF(VLOOKUP($Q90,武学奇术!$A:$ZZ,31,FALSE)=1,$F$18,0.5))*IF($G$1="破竹",$AJ90,$AH90)+IF($G$1="破竹",$AK90*1.5,0))*(1+$BG90)*(1+$BH90))*(1+$AL90)*$P90*(1+IF(VLOOKUP($Q90,武学奇术!$A:$ZZ,30,FALSE)="蓄力技",$B$21,0))*(1+$BQ90)</f>
        <v>42969.4655301196</v>
      </c>
      <c r="O90" s="39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37942.892630542</v>
      </c>
      <c r="P90" s="40">
        <v>1</v>
      </c>
      <c r="Q90" s="41" t="s">
        <v>112</v>
      </c>
      <c r="R90" s="41" t="s">
        <v>97</v>
      </c>
      <c r="S90" s="41" t="s">
        <v>73</v>
      </c>
      <c r="T90" s="41" t="s">
        <v>73</v>
      </c>
      <c r="U90" s="41" t="s">
        <v>73</v>
      </c>
      <c r="V90" s="41" t="s">
        <v>73</v>
      </c>
      <c r="W90" s="41" t="s">
        <v>73</v>
      </c>
      <c r="X90" s="41" t="s">
        <v>164</v>
      </c>
      <c r="Y90" s="41" t="s">
        <v>73</v>
      </c>
      <c r="Z90" s="41" t="s">
        <v>105</v>
      </c>
      <c r="AA90" s="41" t="s">
        <v>73</v>
      </c>
      <c r="AB90" s="41" t="s">
        <v>73</v>
      </c>
      <c r="AC90" s="41" t="s">
        <v>73</v>
      </c>
      <c r="AD90" s="41" t="s">
        <v>73</v>
      </c>
      <c r="AE90" s="41" t="s">
        <v>77</v>
      </c>
      <c r="AF90" s="41" t="s">
        <v>78</v>
      </c>
      <c r="AG90" t="str">
        <f>VLOOKUP($Q90,武学奇术!$A:$ZZ,25,FALSE)</f>
        <v>拳甲</v>
      </c>
      <c r="AH90" s="27">
        <f>VLOOKUP($Q90,武学奇术!$A:$ZZ,26,FALSE)</f>
        <v>2.91176</v>
      </c>
      <c r="AI90" s="28">
        <f>VLOOKUP($Q90,武学奇术!$A:$ZZ,27,FALSE)*(1+IF(OR($AG90=$F$4,$AG90=$F$5),$B$22,0))</f>
        <v>1208.7</v>
      </c>
      <c r="AJ90" s="27">
        <f>VLOOKUP($Q90,武学奇术!$A:$ZZ,28,FALSE)</f>
        <v>3.89844</v>
      </c>
      <c r="AK90" s="28">
        <f>VLOOKUP($Q90,武学奇术!$A:$ZZ,29,FALSE)*(1+IF(OR($AG90=$F$4,$AG90=$F$5),$B$22,0))</f>
        <v>650.25</v>
      </c>
      <c r="AL90" s="27" cm="1">
        <f t="array" ref="AL90">$G$3+IFERROR(VLOOKUP($AG90,$F$4:$G$7,2,FALSE),0)+VLOOKUP($Q90,武学奇术!$A:$ZZ,2,FALSE)+SUM(_xlfn.XLOOKUP($R90:$AF90,增益!$A:$A,增益!$B:$B,0))</f>
        <v>0.6241</v>
      </c>
      <c r="AM90" s="27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3826.382</v>
      </c>
      <c r="AO90" cm="1">
        <f t="array" ref="AO90">$E$10*(1+$AM90)+VLOOKUP($Q90,武学奇术!$A:$ZZ,4,FALSE)+SUM(_xlfn.XLOOKUP($R90:$AF90,增益!$A:$A,增益!$D:$D,0))-$I$2</f>
        <v>3826.382</v>
      </c>
      <c r="AP90" s="33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0.247</v>
      </c>
      <c r="AQ90" s="33" cm="1">
        <f t="array" ref="AQ90">$G$10+VLOOKUP($Q90,武学奇术!$A:$ZZ,7,FALSE)+SUM(_xlfn.XLOOKUP(R90:AF90,增益!$A:$A,增益!$G:$G,0))</f>
        <v>0.09</v>
      </c>
      <c r="AR90" s="27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3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-0.24</v>
      </c>
      <c r="AV90" s="33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3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-0.24</v>
      </c>
      <c r="AZ90" s="33" cm="1">
        <f t="array" ref="AZ90">$G$12+VLOOKUP($Q90,武学奇术!$A:$ZZ,12,FALSE)+SUM(_xlfn.XLOOKUP(R90:AF90,增益!$A:$A,增益!$L:$L,0))</f>
        <v>0</v>
      </c>
      <c r="BA90">
        <f t="shared" si="16"/>
        <v>0</v>
      </c>
      <c r="BB90">
        <f t="shared" si="17"/>
        <v>0</v>
      </c>
      <c r="BC90" s="33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-0.24</v>
      </c>
      <c r="BD90" s="33" cm="1">
        <f t="array" ref="BD90">$G$13+VLOOKUP($Q90,武学奇术!$A:$ZZ,14,FALSE)+SUM(_xlfn.XLOOKUP(R90:AF90,增益!$A:$A,增益!$N:$N,0))</f>
        <v>0</v>
      </c>
      <c r="BE90">
        <f t="shared" si="18"/>
        <v>605.472</v>
      </c>
      <c r="BF90">
        <f t="shared" si="19"/>
        <v>1725.468</v>
      </c>
      <c r="BG90" s="33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0.03</v>
      </c>
      <c r="BH90" s="33" cm="1">
        <f t="array" ref="BH90">$G$14+VLOOKUP($Q90,武学奇术!$A:$ZZ,16,FALSE)+SUM(_xlfn.XLOOKUP(R90:AF90,增益!$A:$A,增益!$P:$P,0))</f>
        <v>0.24</v>
      </c>
      <c r="BI90" s="27">
        <f>MIN(IF(VLOOKUP($Q90,武学奇术!$A:$ZZ,23,FALSE)=1,100%,$B$8),100%)</f>
        <v>1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+MIN(IF(VLOOKUP($Q90,武学奇术!$A:$ZZ,32,FALSE)=1,IF(VLOOKUP($Q90,武学奇术!$A:$ZZ,24,FALSE)=1,100%,MIN(40%,$B$10+VLOOKUP($Q90,武学奇术!$A:$ZZ,19,FALSE)+SUM(_xlfn.XLOOKUP(R90:AF90,增益!$A:$A,增益!$S:$S,0)))+$B$12+SUM(_xlfn.XLOOKUP(R90:AF90,增益!$A:$A,增益!$V:$V,0))),0),12%)</f>
        <v>0.9036</v>
      </c>
      <c r="BK90" s="27" cm="1">
        <f t="array" ref="BK90">1+$B$13+VLOOKUP($Q90,武学奇术!$A:$ZZ,18,FALSE)+SUM(_xlfn.XLOOKUP(R90:AF90,增益!$A:$A,增益!$R:$R,0))</f>
        <v>1.94</v>
      </c>
      <c r="BL90" s="27" cm="1">
        <f t="array" ref="BL90">MAX(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-IF(VLOOKUP($Q90,武学奇术!$A:$ZZ,32,FALSE)=1,12%,0),0)</f>
        <v>0.0929</v>
      </c>
      <c r="BM90" s="27" cm="1">
        <f t="array" ref="BM90">1+$B$14+VLOOKUP($Q90,武学奇术!$A:$ZZ,20,FALSE)+SUM(_xlfn.XLOOKUP(R90:AF90,增益!$A:$A,增益!$T:$T,0))</f>
        <v>1.35</v>
      </c>
      <c r="BN90" s="27">
        <f t="shared" si="20"/>
        <v>0.9036</v>
      </c>
      <c r="BO90" s="27">
        <f t="shared" si="21"/>
        <v>0.00350000000000006</v>
      </c>
      <c r="BP90" s="27">
        <f>IF(VLOOKUP($Q90,武学奇术!$A:$ZZ,22,FALSE)=1,0,(1-$BI90))*(1-$BL90)</f>
        <v>0</v>
      </c>
      <c r="BQ90" s="27" cm="1">
        <f t="array" ref="BQ90">SUM(_xlfn.XLOOKUP(R90:AF90,增益!$A:$A,增益!$W:$W,0))+$I$5</f>
        <v>0.11</v>
      </c>
    </row>
    <row r="91" spans="1:69">
      <c r="K91" s="39">
        <f t="shared" si="11"/>
        <v>25302.7013066055</v>
      </c>
      <c r="L91" s="39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BK91*$P91*(1+IF(VLOOKUP($Q91,武学奇术!$A:$ZZ,30,FALSE)="蓄力技",$B$21,0))*(1+$BQ91)</f>
        <v>25509.3959279023</v>
      </c>
      <c r="M91" s="39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23659.5302708341</v>
      </c>
      <c r="N91" s="39">
        <f>((($AN91+($AO91-$AN91)*IF(VLOOKUP($Q91,武学奇术!$A:$ZZ,31,FALSE)=1,$F$18,0.5))*$AH91+$AI91)*(1+$AP91)*(1+$AQ91)+(($AS91+($AT91-$AS91)*IF(VLOOKUP($Q91,武学奇术!$A:$ZZ,31,FALSE)=1,$F$18,0.5))*IF($G$1="鸣金",$AJ91,$AH91)+IF($G$1="鸣金",$AK91*1.5,0))*(1+$AU91)*(1+$AV91)+(($AW91+($AX91-$AW91)*IF(VLOOKUP($Q91,武学奇术!$A:$ZZ,31,FALSE)=1,$F$18,0.5))*IF($G$1="裂石",$AJ91,$AH91)+IF($G$1="裂石",$AK91*1.5,0))*(1+$AY91)*(1+$AZ91)+(($BA91+($BB91-$BA91)*IF(VLOOKUP($Q91,武学奇术!$A:$ZZ,31,FALSE)=1,$F$18,0.5))*IF($G$1="牵丝",$AJ91,$AH91)+IF($G$1="牵丝",$AK91*1.5,0))*(1+$BC91)*(1+$BD91)+(($BE91+($BF91-$BE91)*IF(VLOOKUP($Q91,武学奇术!$A:$ZZ,31,FALSE)=1,$F$18,0.5))*IF($G$1="破竹",$AJ91,$AH91)+IF($G$1="破竹",$AK91*1.5,0))*(1+$BG91)*(1+$BH91))*(1+$AL91)*$P91*(1+IF(VLOOKUP($Q91,武学奇术!$A:$ZZ,30,FALSE)="蓄力技",$B$21,0))*(1+$BQ91)</f>
        <v>15554.5097121355</v>
      </c>
      <c r="O91" s="39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13583.4414458755</v>
      </c>
      <c r="P91" s="40">
        <v>1</v>
      </c>
      <c r="Q91" s="41" t="s">
        <v>115</v>
      </c>
      <c r="R91" s="41" t="s">
        <v>97</v>
      </c>
      <c r="S91" s="41" t="s">
        <v>73</v>
      </c>
      <c r="T91" s="41" t="s">
        <v>73</v>
      </c>
      <c r="U91" s="41" t="s">
        <v>73</v>
      </c>
      <c r="V91" s="41" t="s">
        <v>73</v>
      </c>
      <c r="W91" s="41" t="s">
        <v>73</v>
      </c>
      <c r="X91" s="41" t="s">
        <v>164</v>
      </c>
      <c r="Y91" s="41" t="s">
        <v>73</v>
      </c>
      <c r="Z91" s="41" t="s">
        <v>73</v>
      </c>
      <c r="AA91" s="41" t="s">
        <v>73</v>
      </c>
      <c r="AB91" s="41" t="s">
        <v>73</v>
      </c>
      <c r="AC91" s="41" t="s">
        <v>73</v>
      </c>
      <c r="AD91" s="41" t="s">
        <v>73</v>
      </c>
      <c r="AE91" s="41" t="s">
        <v>77</v>
      </c>
      <c r="AF91" s="41" t="s">
        <v>78</v>
      </c>
      <c r="AG91" t="str">
        <f>VLOOKUP($Q91,武学奇术!$A:$ZZ,25,FALSE)</f>
        <v>拳甲</v>
      </c>
      <c r="AH91" s="27">
        <f>VLOOKUP($Q91,武学奇术!$A:$ZZ,26,FALSE)</f>
        <v>1.2876</v>
      </c>
      <c r="AI91" s="28">
        <f>VLOOKUP($Q91,武学奇术!$A:$ZZ,27,FALSE)*(1+IF(OR($AG91=$F$4,$AG91=$F$5),$B$22,0))</f>
        <v>537</v>
      </c>
      <c r="AJ91" s="27">
        <f>VLOOKUP($Q91,武学奇术!$A:$ZZ,28,FALSE)</f>
        <v>1.9313</v>
      </c>
      <c r="AK91" s="28">
        <f>VLOOKUP($Q91,武学奇术!$A:$ZZ,29,FALSE)*(1+IF(OR($AG91=$F$4,$AG91=$F$5),$B$22,0))</f>
        <v>292.5</v>
      </c>
      <c r="AL91" s="27" cm="1">
        <f t="array" ref="AL91">$G$3+IFERROR(VLOOKUP($AG91,$F$4:$G$7,2,FALSE),0)+VLOOKUP($Q91,武学奇术!$A:$ZZ,2,FALSE)+SUM(_xlfn.XLOOKUP($R91:$AF91,增益!$A:$A,增益!$B:$B,0))</f>
        <v>0.3241</v>
      </c>
      <c r="AM91" s="27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3826.382</v>
      </c>
      <c r="AO91" cm="1">
        <f t="array" ref="AO91">$E$10*(1+$AM91)+VLOOKUP($Q91,武学奇术!$A:$ZZ,4,FALSE)+SUM(_xlfn.XLOOKUP($R91:$AF91,增益!$A:$A,增益!$D:$D,0))-$I$2</f>
        <v>3826.382</v>
      </c>
      <c r="AP91" s="33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0.217</v>
      </c>
      <c r="AQ91" s="33" cm="1">
        <f t="array" ref="AQ91">$G$10+VLOOKUP($Q91,武学奇术!$A:$ZZ,7,FALSE)+SUM(_xlfn.XLOOKUP(R91:AF91,增益!$A:$A,增益!$G:$G,0))</f>
        <v>0.09</v>
      </c>
      <c r="AR91" s="27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3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3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3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3" cm="1">
        <f t="array" ref="AZ91">$G$12+VLOOKUP($Q91,武学奇术!$A:$ZZ,12,FALSE)+SUM(_xlfn.XLOOKUP(R91:AF91,增益!$A:$A,增益!$L:$L,0))</f>
        <v>0</v>
      </c>
      <c r="BA91">
        <f t="shared" si="16"/>
        <v>0</v>
      </c>
      <c r="BB91">
        <f t="shared" si="17"/>
        <v>0</v>
      </c>
      <c r="BC91" s="33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-0.3</v>
      </c>
      <c r="BD91" s="33" cm="1">
        <f t="array" ref="BD91">$G$13+VLOOKUP($Q91,武学奇术!$A:$ZZ,14,FALSE)+SUM(_xlfn.XLOOKUP(R91:AF91,增益!$A:$A,增益!$N:$N,0))</f>
        <v>0</v>
      </c>
      <c r="BE91">
        <f t="shared" si="18"/>
        <v>605.472</v>
      </c>
      <c r="BF91">
        <f t="shared" si="19"/>
        <v>1725.468</v>
      </c>
      <c r="BG91" s="33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</v>
      </c>
      <c r="BH91" s="33" cm="1">
        <f t="array" ref="BH91">$G$14+VLOOKUP($Q91,武学奇术!$A:$ZZ,16,FALSE)+SUM(_xlfn.XLOOKUP(R91:AF91,增益!$A:$A,增益!$P:$P,0))</f>
        <v>0.24</v>
      </c>
      <c r="BI91" s="27">
        <f>MIN(IF(VLOOKUP($Q91,武学奇术!$A:$ZZ,23,FALSE)=1,100%,$B$8),100%)</f>
        <v>1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+MIN(IF(VLOOKUP($Q91,武学奇术!$A:$ZZ,32,FALSE)=1,IF(VLOOKUP($Q91,武学奇术!$A:$ZZ,24,FALSE)=1,100%,MIN(40%,$B$10+VLOOKUP($Q91,武学奇术!$A:$ZZ,19,FALSE)+SUM(_xlfn.XLOOKUP(R91:AF91,增益!$A:$A,增益!$S:$S,0)))+$B$12+SUM(_xlfn.XLOOKUP(R91:AF91,增益!$A:$A,增益!$V:$V,0))),0),12%)</f>
        <v>0.9036</v>
      </c>
      <c r="BK91" s="27" cm="1">
        <f t="array" ref="BK91">1+$B$13+VLOOKUP($Q91,武学奇术!$A:$ZZ,18,FALSE)+SUM(_xlfn.XLOOKUP(R91:AF91,增益!$A:$A,增益!$R:$R,0))</f>
        <v>1.64</v>
      </c>
      <c r="BL91" s="27" cm="1">
        <f t="array" ref="BL91">MAX(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-IF(VLOOKUP($Q91,武学奇术!$A:$ZZ,32,FALSE)=1,12%,0),0)</f>
        <v>0.0929</v>
      </c>
      <c r="BM91" s="27" cm="1">
        <f t="array" ref="BM91">1+$B$14+VLOOKUP($Q91,武学奇术!$A:$ZZ,20,FALSE)+SUM(_xlfn.XLOOKUP(R91:AF91,增益!$A:$A,增益!$T:$T,0))</f>
        <v>1.35</v>
      </c>
      <c r="BN91" s="27">
        <f t="shared" si="20"/>
        <v>0.9036</v>
      </c>
      <c r="BO91" s="27">
        <f t="shared" si="21"/>
        <v>0.00350000000000006</v>
      </c>
      <c r="BP91" s="27">
        <f>IF(VLOOKUP($Q91,武学奇术!$A:$ZZ,22,FALSE)=1,0,(1-$BI91))*(1-$BL91)</f>
        <v>0</v>
      </c>
      <c r="BQ91" s="27" cm="1">
        <f t="array" ref="BQ91">SUM(_xlfn.XLOOKUP(R91:AF91,增益!$A:$A,增益!$W:$W,0))+$I$5</f>
        <v>0.11</v>
      </c>
    </row>
    <row r="92" spans="1:69">
      <c r="K92" s="39">
        <f t="shared" si="11"/>
        <v>67193.4124421633</v>
      </c>
      <c r="L92" s="39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BK92*$P92*(1+IF(VLOOKUP($Q92,武学奇术!$A:$ZZ,30,FALSE)="蓄力技",$B$21,0))*(1+$BQ92)</f>
        <v>68608.0464851687</v>
      </c>
      <c r="M92" s="39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54632.9842272572</v>
      </c>
      <c r="N92" s="39">
        <f>((($AN92+($AO92-$AN92)*IF(VLOOKUP($Q92,武学奇术!$A:$ZZ,31,FALSE)=1,$F$18,0.5))*$AH92+$AI92)*(1+$AP92)*(1+$AQ92)+(($AS92+($AT92-$AS92)*IF(VLOOKUP($Q92,武学奇术!$A:$ZZ,31,FALSE)=1,$F$18,0.5))*IF($G$1="鸣金",$AJ92,$AH92)+IF($G$1="鸣金",$AK92*1.5,0))*(1+$AU92)*(1+$AV92)+(($AW92+($AX92-$AW92)*IF(VLOOKUP($Q92,武学奇术!$A:$ZZ,31,FALSE)=1,$F$18,0.5))*IF($G$1="裂石",$AJ92,$AH92)+IF($G$1="裂石",$AK92*1.5,0))*(1+$AY92)*(1+$AZ92)+(($BA92+($BB92-$BA92)*IF(VLOOKUP($Q92,武学奇术!$A:$ZZ,31,FALSE)=1,$F$18,0.5))*IF($G$1="牵丝",$AJ92,$AH92)+IF($G$1="牵丝",$AK92*1.5,0))*(1+$BC92)*(1+$BD92)+(($BE92+($BF92-$BE92)*IF(VLOOKUP($Q92,武学奇术!$A:$ZZ,31,FALSE)=1,$F$18,0.5))*IF($G$1="破竹",$AJ92,$AH92)+IF($G$1="破竹",$AK92*1.5,0))*(1+$BG92)*(1+$BH92))*(1+$AL92)*$P92*(1+IF(VLOOKUP($Q92,武学奇术!$A:$ZZ,30,FALSE)="蓄力技",$B$21,0))*(1+$BQ92)</f>
        <v>35364.9724150354</v>
      </c>
      <c r="O92" s="39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30261.0676246951</v>
      </c>
      <c r="P92" s="40">
        <v>1</v>
      </c>
      <c r="Q92" s="41" t="s">
        <v>117</v>
      </c>
      <c r="R92" s="41" t="s">
        <v>97</v>
      </c>
      <c r="S92" s="41" t="s">
        <v>73</v>
      </c>
      <c r="T92" s="41" t="s">
        <v>73</v>
      </c>
      <c r="U92" s="41" t="s">
        <v>73</v>
      </c>
      <c r="V92" s="41" t="s">
        <v>73</v>
      </c>
      <c r="W92" s="41" t="s">
        <v>73</v>
      </c>
      <c r="X92" s="41" t="s">
        <v>164</v>
      </c>
      <c r="Y92" s="41" t="s">
        <v>73</v>
      </c>
      <c r="Z92" s="41" t="s">
        <v>105</v>
      </c>
      <c r="AA92" s="41" t="s">
        <v>73</v>
      </c>
      <c r="AB92" s="41" t="s">
        <v>73</v>
      </c>
      <c r="AC92" s="41" t="s">
        <v>73</v>
      </c>
      <c r="AD92" s="41" t="s">
        <v>73</v>
      </c>
      <c r="AE92" s="41" t="s">
        <v>77</v>
      </c>
      <c r="AF92" s="41" t="s">
        <v>78</v>
      </c>
      <c r="AG92" t="str">
        <f>VLOOKUP($Q92,武学奇术!$A:$ZZ,25,FALSE)</f>
        <v>拳甲</v>
      </c>
      <c r="AH92" s="27">
        <f>VLOOKUP($Q92,武学奇术!$A:$ZZ,26,FALSE)</f>
        <v>2.638944</v>
      </c>
      <c r="AI92" s="28">
        <f>VLOOKUP($Q92,武学奇术!$A:$ZZ,27,FALSE)*(1+IF(OR($AG92=$F$4,$AG92=$F$5),$B$22,0))</f>
        <v>0</v>
      </c>
      <c r="AJ92" s="27">
        <f>VLOOKUP($Q92,武学奇术!$A:$ZZ,28,FALSE)</f>
        <v>3.958416</v>
      </c>
      <c r="AK92" s="28">
        <f>VLOOKUP($Q92,武学奇术!$A:$ZZ,29,FALSE)*(1+IF(OR($AG92=$F$4,$AG92=$F$5),$B$22,0))</f>
        <v>0</v>
      </c>
      <c r="AL92" s="27" cm="1">
        <f t="array" ref="AL92">$G$3+IFERROR(VLOOKUP($AG92,$F$4:$G$7,2,FALSE),0)+VLOOKUP($Q92,武学奇术!$A:$ZZ,2,FALSE)+SUM(_xlfn.XLOOKUP($R92:$AF92,增益!$A:$A,增益!$B:$B,0))</f>
        <v>0.6241</v>
      </c>
      <c r="AM92" s="27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3826.382</v>
      </c>
      <c r="AO92" cm="1">
        <f t="array" ref="AO92">$E$10*(1+$AM92)+VLOOKUP($Q92,武学奇术!$A:$ZZ,4,FALSE)+SUM(_xlfn.XLOOKUP($R92:$AF92,增益!$A:$A,增益!$D:$D,0))-$I$2</f>
        <v>3826.382</v>
      </c>
      <c r="AP92" s="33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0.247</v>
      </c>
      <c r="AQ92" s="33" cm="1">
        <f t="array" ref="AQ92">$G$10+VLOOKUP($Q92,武学奇术!$A:$ZZ,7,FALSE)+SUM(_xlfn.XLOOKUP(R92:AF92,增益!$A:$A,增益!$G:$G,0))</f>
        <v>0.09</v>
      </c>
      <c r="AR92" s="27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3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-0.24</v>
      </c>
      <c r="AV92" s="33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3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-0.24</v>
      </c>
      <c r="AZ92" s="33" cm="1">
        <f t="array" ref="AZ92">$G$12+VLOOKUP($Q92,武学奇术!$A:$ZZ,12,FALSE)+SUM(_xlfn.XLOOKUP(R92:AF92,增益!$A:$A,增益!$L:$L,0))</f>
        <v>0</v>
      </c>
      <c r="BA92">
        <f t="shared" si="16"/>
        <v>0</v>
      </c>
      <c r="BB92">
        <f t="shared" si="17"/>
        <v>0</v>
      </c>
      <c r="BC92" s="33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-0.24</v>
      </c>
      <c r="BD92" s="33" cm="1">
        <f t="array" ref="BD92">$G$13+VLOOKUP($Q92,武学奇术!$A:$ZZ,14,FALSE)+SUM(_xlfn.XLOOKUP(R92:AF92,增益!$A:$A,增益!$N:$N,0))</f>
        <v>0</v>
      </c>
      <c r="BE92">
        <f t="shared" si="18"/>
        <v>605.472</v>
      </c>
      <c r="BF92">
        <f t="shared" si="19"/>
        <v>1725.468</v>
      </c>
      <c r="BG92" s="33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0.03</v>
      </c>
      <c r="BH92" s="33" cm="1">
        <f t="array" ref="BH92">$G$14+VLOOKUP($Q92,武学奇术!$A:$ZZ,16,FALSE)+SUM(_xlfn.XLOOKUP(R92:AF92,增益!$A:$A,增益!$P:$P,0))</f>
        <v>0.24</v>
      </c>
      <c r="BI92" s="27">
        <f>MIN(IF(VLOOKUP($Q92,武学奇术!$A:$ZZ,23,FALSE)=1,100%,$B$8),100%)</f>
        <v>1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+MIN(IF(VLOOKUP($Q92,武学奇术!$A:$ZZ,32,FALSE)=1,IF(VLOOKUP($Q92,武学奇术!$A:$ZZ,24,FALSE)=1,100%,MIN(40%,$B$10+VLOOKUP($Q92,武学奇术!$A:$ZZ,19,FALSE)+SUM(_xlfn.XLOOKUP(R92:AF92,增益!$A:$A,增益!$S:$S,0)))+$B$12+SUM(_xlfn.XLOOKUP(R92:AF92,增益!$A:$A,增益!$V:$V,0))),0),12%)</f>
        <v>0.9036</v>
      </c>
      <c r="BK92" s="27" cm="1">
        <f t="array" ref="BK92">1+$B$13+VLOOKUP($Q92,武学奇术!$A:$ZZ,18,FALSE)+SUM(_xlfn.XLOOKUP(R92:AF92,增益!$A:$A,增益!$R:$R,0))</f>
        <v>1.94</v>
      </c>
      <c r="BL92" s="27" cm="1">
        <f t="array" ref="BL92">MAX(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-IF(VLOOKUP($Q92,武学奇术!$A:$ZZ,32,FALSE)=1,12%,0),0)</f>
        <v>0.0929</v>
      </c>
      <c r="BM92" s="27" cm="1">
        <f t="array" ref="BM92">1+$B$14+VLOOKUP($Q92,武学奇术!$A:$ZZ,20,FALSE)+SUM(_xlfn.XLOOKUP(R92:AF92,增益!$A:$A,增益!$T:$T,0))</f>
        <v>1.35</v>
      </c>
      <c r="BN92" s="27">
        <f t="shared" si="20"/>
        <v>0.9036</v>
      </c>
      <c r="BO92" s="27">
        <f t="shared" si="21"/>
        <v>0.00350000000000006</v>
      </c>
      <c r="BP92" s="27">
        <f>IF(VLOOKUP($Q92,武学奇术!$A:$ZZ,22,FALSE)=1,0,(1-$BI92))*(1-$BL92)</f>
        <v>0</v>
      </c>
      <c r="BQ92" s="27" cm="1">
        <f t="array" ref="BQ92">SUM(_xlfn.XLOOKUP(R92:AF92,增益!$A:$A,增益!$W:$W,0))+$I$5</f>
        <v>0.11</v>
      </c>
    </row>
    <row r="93" spans="1:69">
      <c r="A93" s="4"/>
      <c r="B93" s="91"/>
      <c r="K93" s="39">
        <f t="shared" si="11"/>
        <v>111150.811613099</v>
      </c>
      <c r="L93" s="39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BK93*$P93*(1+IF(VLOOKUP($Q93,武学奇术!$A:$ZZ,30,FALSE)="蓄力技",$B$21,0))*(1+$BQ93)</f>
        <v>111953.686342839</v>
      </c>
      <c r="M93" s="39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104957.320598365</v>
      </c>
      <c r="N93" s="39">
        <f>((($AN93+($AO93-$AN93)*IF(VLOOKUP($Q93,武学奇术!$A:$ZZ,31,FALSE)=1,$F$18,0.5))*$AH93+$AI93)*(1+$AP93)*(1+$AQ93)+(($AS93+($AT93-$AS93)*IF(VLOOKUP($Q93,武学奇术!$A:$ZZ,31,FALSE)=1,$F$18,0.5))*IF($G$1="鸣金",$AJ93,$AH93)+IF($G$1="鸣金",$AK93*1.5,0))*(1+$AU93)*(1+$AV93)+(($AW93+($AX93-$AW93)*IF(VLOOKUP($Q93,武学奇术!$A:$ZZ,31,FALSE)=1,$F$18,0.5))*IF($G$1="裂石",$AJ93,$AH93)+IF($G$1="裂石",$AK93*1.5,0))*(1+$AY93)*(1+$AZ93)+(($BA93+($BB93-$BA93)*IF(VLOOKUP($Q93,武学奇术!$A:$ZZ,31,FALSE)=1,$F$18,0.5))*IF($G$1="牵丝",$AJ93,$AH93)+IF($G$1="牵丝",$AK93*1.5,0))*(1+$BC93)*(1+$BD93)+(($BE93+($BF93-$BE93)*IF(VLOOKUP($Q93,武学奇术!$A:$ZZ,31,FALSE)=1,$F$18,0.5))*IF($G$1="破竹",$AJ93,$AH93)+IF($G$1="破竹",$AK93*1.5,0))*(1+$BG93)*(1+$BH93))*(1+$AL93)*$P93*(1+IF(VLOOKUP($Q93,武学奇术!$A:$ZZ,30,FALSE)="蓄力技",$B$21,0))*(1+$BQ93)</f>
        <v>68264.442891975</v>
      </c>
      <c r="O93" s="39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58782.7223777534</v>
      </c>
      <c r="P93" s="40">
        <v>1</v>
      </c>
      <c r="Q93" s="41" t="s">
        <v>177</v>
      </c>
      <c r="R93" s="41" t="s">
        <v>97</v>
      </c>
      <c r="S93" s="41" t="s">
        <v>73</v>
      </c>
      <c r="T93" s="41" t="s">
        <v>73</v>
      </c>
      <c r="U93" s="41" t="s">
        <v>73</v>
      </c>
      <c r="V93" s="41" t="s">
        <v>73</v>
      </c>
      <c r="W93" s="41" t="s">
        <v>73</v>
      </c>
      <c r="X93" s="41" t="s">
        <v>164</v>
      </c>
      <c r="Y93" s="41" t="s">
        <v>73</v>
      </c>
      <c r="Z93" s="41" t="s">
        <v>73</v>
      </c>
      <c r="AA93" s="41" t="s">
        <v>73</v>
      </c>
      <c r="AB93" s="41" t="s">
        <v>73</v>
      </c>
      <c r="AC93" s="41" t="s">
        <v>73</v>
      </c>
      <c r="AD93" s="41" t="s">
        <v>73</v>
      </c>
      <c r="AE93" s="41" t="s">
        <v>77</v>
      </c>
      <c r="AF93" s="41" t="s">
        <v>78</v>
      </c>
      <c r="AG93" t="str">
        <f>VLOOKUP($Q93,武学奇术!$A:$ZZ,25,FALSE)</f>
        <v>单体奇术</v>
      </c>
      <c r="AH93" s="27">
        <f>VLOOKUP($Q93,武学奇术!$A:$ZZ,26,FALSE)</f>
        <v>7.1084</v>
      </c>
      <c r="AI93" s="28">
        <f>VLOOKUP($Q93,武学奇术!$A:$ZZ,27,FALSE)*(1+IF(OR($AG93=$F$4,$AG93=$F$5),$B$22,0))</f>
        <v>1369</v>
      </c>
      <c r="AJ93" s="27">
        <f>VLOOKUP($Q93,武学奇术!$A:$ZZ,28,FALSE)</f>
        <v>10.6626</v>
      </c>
      <c r="AK93" s="28">
        <f>VLOOKUP($Q93,武学奇术!$A:$ZZ,29,FALSE)*(1+IF(OR($AG93=$F$4,$AG93=$F$5),$B$22,0))</f>
        <v>0</v>
      </c>
      <c r="AL93" s="27" cm="1">
        <f t="array" ref="AL93">$G$3+IFERROR(VLOOKUP($AG93,$F$4:$G$7,2,FALSE),0)+VLOOKUP($Q93,武学奇术!$A:$ZZ,2,FALSE)+SUM(_xlfn.XLOOKUP($R93:$AF93,增益!$A:$A,增益!$B:$B,0))</f>
        <v>0.1537</v>
      </c>
      <c r="AM93" s="27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3826.382</v>
      </c>
      <c r="AO93" cm="1">
        <f t="array" ref="AO93">$E$10*(1+$AM93)+VLOOKUP($Q93,武学奇术!$A:$ZZ,4,FALSE)+SUM(_xlfn.XLOOKUP($R93:$AF93,增益!$A:$A,增益!$D:$D,0))-$I$2</f>
        <v>3826.382</v>
      </c>
      <c r="AP93" s="33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0.217</v>
      </c>
      <c r="AQ93" s="33" cm="1">
        <f t="array" ref="AQ93">$G$10+VLOOKUP($Q93,武学奇术!$A:$ZZ,7,FALSE)+SUM(_xlfn.XLOOKUP(R93:AF93,增益!$A:$A,增益!$G:$G,0))</f>
        <v>0.09</v>
      </c>
      <c r="AR93" s="27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3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3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3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3" cm="1">
        <f t="array" ref="AZ93">$G$12+VLOOKUP($Q93,武学奇术!$A:$ZZ,12,FALSE)+SUM(_xlfn.XLOOKUP(R93:AF93,增益!$A:$A,增益!$L:$L,0))</f>
        <v>0</v>
      </c>
      <c r="BA93">
        <f t="shared" si="16"/>
        <v>0</v>
      </c>
      <c r="BB93">
        <f t="shared" si="17"/>
        <v>0</v>
      </c>
      <c r="BC93" s="33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-0.3</v>
      </c>
      <c r="BD93" s="33" cm="1">
        <f t="array" ref="BD93">$G$13+VLOOKUP($Q93,武学奇术!$A:$ZZ,14,FALSE)+SUM(_xlfn.XLOOKUP(R93:AF93,增益!$A:$A,增益!$N:$N,0))</f>
        <v>0</v>
      </c>
      <c r="BE93">
        <f t="shared" si="18"/>
        <v>605.472</v>
      </c>
      <c r="BF93">
        <f t="shared" si="19"/>
        <v>1725.468</v>
      </c>
      <c r="BG93" s="33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</v>
      </c>
      <c r="BH93" s="33" cm="1">
        <f t="array" ref="BH93">$G$14+VLOOKUP($Q93,武学奇术!$A:$ZZ,16,FALSE)+SUM(_xlfn.XLOOKUP(R93:AF93,增益!$A:$A,增益!$P:$P,0))</f>
        <v>0.24</v>
      </c>
      <c r="BI93" s="27">
        <f>MIN(IF(VLOOKUP($Q93,武学奇术!$A:$ZZ,23,FALSE)=1,100%,$B$8),100%)</f>
        <v>1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+MIN(IF(VLOOKUP($Q93,武学奇术!$A:$ZZ,32,FALSE)=1,IF(VLOOKUP($Q93,武学奇术!$A:$ZZ,24,FALSE)=1,100%,MIN(40%,$B$10+VLOOKUP($Q93,武学奇术!$A:$ZZ,19,FALSE)+SUM(_xlfn.XLOOKUP(R93:AF93,增益!$A:$A,增益!$S:$S,0)))+$B$12+SUM(_xlfn.XLOOKUP(R93:AF93,增益!$A:$A,增益!$V:$V,0))),0),12%)</f>
        <v>0.9036</v>
      </c>
      <c r="BK93" s="27" cm="1">
        <f t="array" ref="BK93">1+$B$13+VLOOKUP($Q93,武学奇术!$A:$ZZ,18,FALSE)+SUM(_xlfn.XLOOKUP(R93:AF93,增益!$A:$A,增益!$R:$R,0))</f>
        <v>1.64</v>
      </c>
      <c r="BL93" s="27" cm="1">
        <f t="array" ref="BL93">MAX(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-IF(VLOOKUP($Q93,武学奇术!$A:$ZZ,32,FALSE)=1,12%,0),0)</f>
        <v>0.0929</v>
      </c>
      <c r="BM93" s="27" cm="1">
        <f t="array" ref="BM93">1+$B$14+VLOOKUP($Q93,武学奇术!$A:$ZZ,20,FALSE)+SUM(_xlfn.XLOOKUP(R93:AF93,增益!$A:$A,增益!$T:$T,0))</f>
        <v>1.35</v>
      </c>
      <c r="BN93" s="27">
        <f t="shared" si="20"/>
        <v>0.9036</v>
      </c>
      <c r="BO93" s="27">
        <f t="shared" si="21"/>
        <v>0.00350000000000006</v>
      </c>
      <c r="BP93" s="27">
        <f>IF(VLOOKUP($Q93,武学奇术!$A:$ZZ,22,FALSE)=1,0,(1-$BI93))*(1-$BL93)</f>
        <v>0</v>
      </c>
      <c r="BQ93" s="27" cm="1">
        <f t="array" ref="BQ93">SUM(_xlfn.XLOOKUP(R93:AF93,增益!$A:$A,增益!$W:$W,0))+$I$5</f>
        <v>0.11</v>
      </c>
    </row>
    <row r="94" spans="1:69">
      <c r="A94" s="4"/>
      <c r="B94" s="91"/>
      <c r="K94" s="39">
        <f t="shared" si="11"/>
        <v>47947.2130329771</v>
      </c>
      <c r="L94" s="39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BK94*$P94*(1+IF(VLOOKUP($Q94,武学奇术!$A:$ZZ,30,FALSE)="蓄力技",$B$21,0))*(1+$BQ94)</f>
        <v>48338.4064916274</v>
      </c>
      <c r="M94" s="39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44838.1883076034</v>
      </c>
      <c r="N94" s="39">
        <f>((($AN94+($AO94-$AN94)*IF(VLOOKUP($Q94,武学奇术!$A:$ZZ,31,FALSE)=1,$F$18,0.5))*$AH94+$AI94)*(1+$AP94)*(1+$AQ94)+(($AS94+($AT94-$AS94)*IF(VLOOKUP($Q94,武学奇术!$A:$ZZ,31,FALSE)=1,$F$18,0.5))*IF($G$1="鸣金",$AJ94,$AH94)+IF($G$1="鸣金",$AK94*1.5,0))*(1+$AU94)*(1+$AV94)+(($AW94+($AX94-$AW94)*IF(VLOOKUP($Q94,武学奇术!$A:$ZZ,31,FALSE)=1,$F$18,0.5))*IF($G$1="裂石",$AJ94,$AH94)+IF($G$1="裂石",$AK94*1.5,0))*(1+$AY94)*(1+$AZ94)+(($BA94+($BB94-$BA94)*IF(VLOOKUP($Q94,武学奇术!$A:$ZZ,31,FALSE)=1,$F$18,0.5))*IF($G$1="牵丝",$AJ94,$AH94)+IF($G$1="牵丝",$AK94*1.5,0))*(1+$BC94)*(1+$BD94)+(($BE94+($BF94-$BE94)*IF(VLOOKUP($Q94,武学奇术!$A:$ZZ,31,FALSE)=1,$F$18,0.5))*IF($G$1="破竹",$AJ94,$AH94)+IF($G$1="破竹",$AK94*1.5,0))*(1+$BG94)*(1+$BH94))*(1+$AL94)*$P94*(1+IF(VLOOKUP($Q94,武学奇术!$A:$ZZ,30,FALSE)="蓄力技",$B$21,0))*(1+$BQ94)</f>
        <v>29474.6381046509</v>
      </c>
      <c r="O94" s="39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25735.8033888547</v>
      </c>
      <c r="P94" s="40">
        <v>1</v>
      </c>
      <c r="Q94" s="41" t="s">
        <v>120</v>
      </c>
      <c r="R94" s="41" t="s">
        <v>97</v>
      </c>
      <c r="S94" s="41" t="s">
        <v>73</v>
      </c>
      <c r="T94" s="41" t="s">
        <v>73</v>
      </c>
      <c r="U94" s="41" t="s">
        <v>73</v>
      </c>
      <c r="V94" s="41" t="s">
        <v>73</v>
      </c>
      <c r="W94" s="41" t="s">
        <v>73</v>
      </c>
      <c r="X94" s="41" t="s">
        <v>164</v>
      </c>
      <c r="Y94" s="41" t="s">
        <v>73</v>
      </c>
      <c r="Z94" s="41" t="s">
        <v>73</v>
      </c>
      <c r="AA94" s="41" t="s">
        <v>73</v>
      </c>
      <c r="AB94" s="41" t="s">
        <v>73</v>
      </c>
      <c r="AC94" s="41" t="s">
        <v>73</v>
      </c>
      <c r="AD94" s="41" t="s">
        <v>73</v>
      </c>
      <c r="AE94" s="41" t="s">
        <v>77</v>
      </c>
      <c r="AF94" s="41" t="s">
        <v>78</v>
      </c>
      <c r="AG94" t="str">
        <f>VLOOKUP($Q94,武学奇术!$A:$ZZ,25,FALSE)</f>
        <v>拳甲</v>
      </c>
      <c r="AH94" s="27">
        <f>VLOOKUP($Q94,武学奇术!$A:$ZZ,26,FALSE)</f>
        <v>2.4421</v>
      </c>
      <c r="AI94" s="28">
        <f>VLOOKUP($Q94,武学奇术!$A:$ZZ,27,FALSE)*(1+IF(OR($AG94=$F$4,$AG94=$F$5),$B$22,0))</f>
        <v>1012.5</v>
      </c>
      <c r="AJ94" s="27">
        <f>VLOOKUP($Q94,武学奇术!$A:$ZZ,28,FALSE)</f>
        <v>3.6634</v>
      </c>
      <c r="AK94" s="28">
        <f>VLOOKUP($Q94,武学奇术!$A:$ZZ,29,FALSE)*(1+IF(OR($AG94=$F$4,$AG94=$F$5),$B$22,0))</f>
        <v>549</v>
      </c>
      <c r="AL94" s="27" cm="1">
        <f t="array" ref="AL94">$G$3+IFERROR(VLOOKUP($AG94,$F$4:$G$7,2,FALSE),0)+VLOOKUP($Q94,武学奇术!$A:$ZZ,2,FALSE)+SUM(_xlfn.XLOOKUP($R94:$AF94,增益!$A:$A,增益!$B:$B,0))</f>
        <v>0.3241</v>
      </c>
      <c r="AM94" s="27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3826.382</v>
      </c>
      <c r="AO94" cm="1">
        <f t="array" ref="AO94">$E$10*(1+$AM94)+VLOOKUP($Q94,武学奇术!$A:$ZZ,4,FALSE)+SUM(_xlfn.XLOOKUP($R94:$AF94,增益!$A:$A,增益!$D:$D,0))-$I$2</f>
        <v>3826.382</v>
      </c>
      <c r="AP94" s="33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0.217</v>
      </c>
      <c r="AQ94" s="33" cm="1">
        <f t="array" ref="AQ94">$G$10+VLOOKUP($Q94,武学奇术!$A:$ZZ,7,FALSE)+SUM(_xlfn.XLOOKUP(R94:AF94,增益!$A:$A,增益!$G:$G,0))</f>
        <v>0.09</v>
      </c>
      <c r="AR94" s="27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3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3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3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3" cm="1">
        <f t="array" ref="AZ94">$G$12+VLOOKUP($Q94,武学奇术!$A:$ZZ,12,FALSE)+SUM(_xlfn.XLOOKUP(R94:AF94,增益!$A:$A,增益!$L:$L,0))</f>
        <v>0</v>
      </c>
      <c r="BA94">
        <f t="shared" si="16"/>
        <v>0</v>
      </c>
      <c r="BB94">
        <f t="shared" si="17"/>
        <v>0</v>
      </c>
      <c r="BC94" s="33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-0.3</v>
      </c>
      <c r="BD94" s="33" cm="1">
        <f t="array" ref="BD94">$G$13+VLOOKUP($Q94,武学奇术!$A:$ZZ,14,FALSE)+SUM(_xlfn.XLOOKUP(R94:AF94,增益!$A:$A,增益!$N:$N,0))</f>
        <v>0</v>
      </c>
      <c r="BE94">
        <f t="shared" si="18"/>
        <v>605.472</v>
      </c>
      <c r="BF94">
        <f t="shared" si="19"/>
        <v>1725.468</v>
      </c>
      <c r="BG94" s="33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</v>
      </c>
      <c r="BH94" s="33" cm="1">
        <f t="array" ref="BH94">$G$14+VLOOKUP($Q94,武学奇术!$A:$ZZ,16,FALSE)+SUM(_xlfn.XLOOKUP(R94:AF94,增益!$A:$A,增益!$P:$P,0))</f>
        <v>0.24</v>
      </c>
      <c r="BI94" s="27">
        <f>MIN(IF(VLOOKUP($Q94,武学奇术!$A:$ZZ,23,FALSE)=1,100%,$B$8),100%)</f>
        <v>1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+MIN(IF(VLOOKUP($Q94,武学奇术!$A:$ZZ,32,FALSE)=1,IF(VLOOKUP($Q94,武学奇术!$A:$ZZ,24,FALSE)=1,100%,MIN(40%,$B$10+VLOOKUP($Q94,武学奇术!$A:$ZZ,19,FALSE)+SUM(_xlfn.XLOOKUP(R94:AF94,增益!$A:$A,增益!$S:$S,0)))+$B$12+SUM(_xlfn.XLOOKUP(R94:AF94,增益!$A:$A,增益!$V:$V,0))),0),12%)</f>
        <v>0.9036</v>
      </c>
      <c r="BK94" s="27" cm="1">
        <f t="array" ref="BK94">1+$B$13+VLOOKUP($Q94,武学奇术!$A:$ZZ,18,FALSE)+SUM(_xlfn.XLOOKUP(R94:AF94,增益!$A:$A,增益!$R:$R,0))</f>
        <v>1.64</v>
      </c>
      <c r="BL94" s="27" cm="1">
        <f t="array" ref="BL94">MAX(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-IF(VLOOKUP($Q94,武学奇术!$A:$ZZ,32,FALSE)=1,12%,0),0)</f>
        <v>0.0929</v>
      </c>
      <c r="BM94" s="27" cm="1">
        <f t="array" ref="BM94">1+$B$14+VLOOKUP($Q94,武学奇术!$A:$ZZ,20,FALSE)+SUM(_xlfn.XLOOKUP(R94:AF94,增益!$A:$A,增益!$T:$T,0))</f>
        <v>1.35</v>
      </c>
      <c r="BN94" s="27">
        <f t="shared" si="20"/>
        <v>0.9036</v>
      </c>
      <c r="BO94" s="27">
        <f t="shared" si="21"/>
        <v>0.00350000000000006</v>
      </c>
      <c r="BP94" s="27">
        <f>IF(VLOOKUP($Q94,武学奇术!$A:$ZZ,22,FALSE)=1,0,(1-$BI94))*(1-$BL94)</f>
        <v>0</v>
      </c>
      <c r="BQ94" s="27" cm="1">
        <f t="array" ref="BQ94">SUM(_xlfn.XLOOKUP(R94:AF94,增益!$A:$A,增益!$W:$W,0))+$I$5</f>
        <v>0.11</v>
      </c>
    </row>
    <row r="95" spans="1:69">
      <c r="A95" s="4"/>
      <c r="B95" s="4"/>
      <c r="K95" s="39">
        <f t="shared" si="11"/>
        <v>25302.7013066055</v>
      </c>
      <c r="L95" s="39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BK95*$P95*(1+IF(VLOOKUP($Q95,武学奇术!$A:$ZZ,30,FALSE)="蓄力技",$B$21,0))*(1+$BQ95)</f>
        <v>25509.3959279023</v>
      </c>
      <c r="M95" s="39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23659.5302708341</v>
      </c>
      <c r="N95" s="39">
        <f>((($AN95+($AO95-$AN95)*IF(VLOOKUP($Q95,武学奇术!$A:$ZZ,31,FALSE)=1,$F$18,0.5))*$AH95+$AI95)*(1+$AP95)*(1+$AQ95)+(($AS95+($AT95-$AS95)*IF(VLOOKUP($Q95,武学奇术!$A:$ZZ,31,FALSE)=1,$F$18,0.5))*IF($G$1="鸣金",$AJ95,$AH95)+IF($G$1="鸣金",$AK95*1.5,0))*(1+$AU95)*(1+$AV95)+(($AW95+($AX95-$AW95)*IF(VLOOKUP($Q95,武学奇术!$A:$ZZ,31,FALSE)=1,$F$18,0.5))*IF($G$1="裂石",$AJ95,$AH95)+IF($G$1="裂石",$AK95*1.5,0))*(1+$AY95)*(1+$AZ95)+(($BA95+($BB95-$BA95)*IF(VLOOKUP($Q95,武学奇术!$A:$ZZ,31,FALSE)=1,$F$18,0.5))*IF($G$1="牵丝",$AJ95,$AH95)+IF($G$1="牵丝",$AK95*1.5,0))*(1+$BC95)*(1+$BD95)+(($BE95+($BF95-$BE95)*IF(VLOOKUP($Q95,武学奇术!$A:$ZZ,31,FALSE)=1,$F$18,0.5))*IF($G$1="破竹",$AJ95,$AH95)+IF($G$1="破竹",$AK95*1.5,0))*(1+$BG95)*(1+$BH95))*(1+$AL95)*$P95*(1+IF(VLOOKUP($Q95,武学奇术!$A:$ZZ,30,FALSE)="蓄力技",$B$21,0))*(1+$BQ95)</f>
        <v>15554.5097121355</v>
      </c>
      <c r="O95" s="39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13583.4414458755</v>
      </c>
      <c r="P95" s="40">
        <v>1</v>
      </c>
      <c r="Q95" s="41" t="s">
        <v>115</v>
      </c>
      <c r="R95" s="41" t="s">
        <v>97</v>
      </c>
      <c r="S95" s="41" t="s">
        <v>73</v>
      </c>
      <c r="T95" s="41" t="s">
        <v>73</v>
      </c>
      <c r="U95" s="41" t="s">
        <v>73</v>
      </c>
      <c r="V95" s="41" t="s">
        <v>73</v>
      </c>
      <c r="W95" s="41" t="s">
        <v>73</v>
      </c>
      <c r="X95" s="41" t="s">
        <v>164</v>
      </c>
      <c r="Y95" s="41" t="s">
        <v>73</v>
      </c>
      <c r="Z95" s="41" t="s">
        <v>73</v>
      </c>
      <c r="AA95" s="41" t="s">
        <v>73</v>
      </c>
      <c r="AB95" s="41" t="s">
        <v>73</v>
      </c>
      <c r="AC95" s="41" t="s">
        <v>73</v>
      </c>
      <c r="AD95" s="41" t="s">
        <v>73</v>
      </c>
      <c r="AE95" s="41" t="s">
        <v>77</v>
      </c>
      <c r="AF95" s="41" t="s">
        <v>78</v>
      </c>
      <c r="AG95" t="str">
        <f>VLOOKUP($Q95,武学奇术!$A:$ZZ,25,FALSE)</f>
        <v>拳甲</v>
      </c>
      <c r="AH95" s="27">
        <f>VLOOKUP($Q95,武学奇术!$A:$ZZ,26,FALSE)</f>
        <v>1.2876</v>
      </c>
      <c r="AI95" s="28">
        <f>VLOOKUP($Q95,武学奇术!$A:$ZZ,27,FALSE)*(1+IF(OR($AG95=$F$4,$AG95=$F$5),$B$22,0))</f>
        <v>537</v>
      </c>
      <c r="AJ95" s="27">
        <f>VLOOKUP($Q95,武学奇术!$A:$ZZ,28,FALSE)</f>
        <v>1.9313</v>
      </c>
      <c r="AK95" s="28">
        <f>VLOOKUP($Q95,武学奇术!$A:$ZZ,29,FALSE)*(1+IF(OR($AG95=$F$4,$AG95=$F$5),$B$22,0))</f>
        <v>292.5</v>
      </c>
      <c r="AL95" s="27" cm="1">
        <f t="array" ref="AL95">$G$3+IFERROR(VLOOKUP($AG95,$F$4:$G$7,2,FALSE),0)+VLOOKUP($Q95,武学奇术!$A:$ZZ,2,FALSE)+SUM(_xlfn.XLOOKUP($R95:$AF95,增益!$A:$A,增益!$B:$B,0))</f>
        <v>0.3241</v>
      </c>
      <c r="AM95" s="27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3826.382</v>
      </c>
      <c r="AO95" cm="1">
        <f t="array" ref="AO95">$E$10*(1+$AM95)+VLOOKUP($Q95,武学奇术!$A:$ZZ,4,FALSE)+SUM(_xlfn.XLOOKUP($R95:$AF95,增益!$A:$A,增益!$D:$D,0))-$I$2</f>
        <v>3826.382</v>
      </c>
      <c r="AP95" s="33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0.217</v>
      </c>
      <c r="AQ95" s="33" cm="1">
        <f t="array" ref="AQ95">$G$10+VLOOKUP($Q95,武学奇术!$A:$ZZ,7,FALSE)+SUM(_xlfn.XLOOKUP(R95:AF95,增益!$A:$A,增益!$G:$G,0))</f>
        <v>0.09</v>
      </c>
      <c r="AR95" s="27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3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3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3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3" cm="1">
        <f t="array" ref="AZ95">$G$12+VLOOKUP($Q95,武学奇术!$A:$ZZ,12,FALSE)+SUM(_xlfn.XLOOKUP(R95:AF95,增益!$A:$A,增益!$L:$L,0))</f>
        <v>0</v>
      </c>
      <c r="BA95">
        <f t="shared" si="16"/>
        <v>0</v>
      </c>
      <c r="BB95">
        <f t="shared" si="17"/>
        <v>0</v>
      </c>
      <c r="BC95" s="33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-0.3</v>
      </c>
      <c r="BD95" s="33" cm="1">
        <f t="array" ref="BD95">$G$13+VLOOKUP($Q95,武学奇术!$A:$ZZ,14,FALSE)+SUM(_xlfn.XLOOKUP(R95:AF95,增益!$A:$A,增益!$N:$N,0))</f>
        <v>0</v>
      </c>
      <c r="BE95">
        <f t="shared" si="18"/>
        <v>605.472</v>
      </c>
      <c r="BF95">
        <f t="shared" si="19"/>
        <v>1725.468</v>
      </c>
      <c r="BG95" s="33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</v>
      </c>
      <c r="BH95" s="33" cm="1">
        <f t="array" ref="BH95">$G$14+VLOOKUP($Q95,武学奇术!$A:$ZZ,16,FALSE)+SUM(_xlfn.XLOOKUP(R95:AF95,增益!$A:$A,增益!$P:$P,0))</f>
        <v>0.24</v>
      </c>
      <c r="BI95" s="27">
        <f>MIN(IF(VLOOKUP($Q95,武学奇术!$A:$ZZ,23,FALSE)=1,100%,$B$8),100%)</f>
        <v>1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+MIN(IF(VLOOKUP($Q95,武学奇术!$A:$ZZ,32,FALSE)=1,IF(VLOOKUP($Q95,武学奇术!$A:$ZZ,24,FALSE)=1,100%,MIN(40%,$B$10+VLOOKUP($Q95,武学奇术!$A:$ZZ,19,FALSE)+SUM(_xlfn.XLOOKUP(R95:AF95,增益!$A:$A,增益!$S:$S,0)))+$B$12+SUM(_xlfn.XLOOKUP(R95:AF95,增益!$A:$A,增益!$V:$V,0))),0),12%)</f>
        <v>0.9036</v>
      </c>
      <c r="BK95" s="27" cm="1">
        <f t="array" ref="BK95">1+$B$13+VLOOKUP($Q95,武学奇术!$A:$ZZ,18,FALSE)+SUM(_xlfn.XLOOKUP(R95:AF95,增益!$A:$A,增益!$R:$R,0))</f>
        <v>1.64</v>
      </c>
      <c r="BL95" s="27" cm="1">
        <f t="array" ref="BL95">MAX(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-IF(VLOOKUP($Q95,武学奇术!$A:$ZZ,32,FALSE)=1,12%,0),0)</f>
        <v>0.0929</v>
      </c>
      <c r="BM95" s="27" cm="1">
        <f t="array" ref="BM95">1+$B$14+VLOOKUP($Q95,武学奇术!$A:$ZZ,20,FALSE)+SUM(_xlfn.XLOOKUP(R95:AF95,增益!$A:$A,增益!$T:$T,0))</f>
        <v>1.35</v>
      </c>
      <c r="BN95" s="27">
        <f t="shared" si="20"/>
        <v>0.9036</v>
      </c>
      <c r="BO95" s="27">
        <f t="shared" si="21"/>
        <v>0.00350000000000006</v>
      </c>
      <c r="BP95" s="27">
        <f>IF(VLOOKUP($Q95,武学奇术!$A:$ZZ,22,FALSE)=1,0,(1-$BI95))*(1-$BL95)</f>
        <v>0</v>
      </c>
      <c r="BQ95" s="27" cm="1">
        <f t="array" ref="BQ95">SUM(_xlfn.XLOOKUP(R95:AF95,增益!$A:$A,增益!$W:$W,0))+$I$5</f>
        <v>0.11</v>
      </c>
    </row>
    <row r="96" spans="1:69">
      <c r="A96" s="4"/>
      <c r="B96" s="4"/>
      <c r="K96" s="39">
        <f t="shared" si="11"/>
        <v>67193.4124421633</v>
      </c>
      <c r="L96" s="39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BK96*$P96*(1+IF(VLOOKUP($Q96,武学奇术!$A:$ZZ,30,FALSE)="蓄力技",$B$21,0))*(1+$BQ96)</f>
        <v>68608.0464851687</v>
      </c>
      <c r="M96" s="39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54632.9842272572</v>
      </c>
      <c r="N96" s="39">
        <f>((($AN96+($AO96-$AN96)*IF(VLOOKUP($Q96,武学奇术!$A:$ZZ,31,FALSE)=1,$F$18,0.5))*$AH96+$AI96)*(1+$AP96)*(1+$AQ96)+(($AS96+($AT96-$AS96)*IF(VLOOKUP($Q96,武学奇术!$A:$ZZ,31,FALSE)=1,$F$18,0.5))*IF($G$1="鸣金",$AJ96,$AH96)+IF($G$1="鸣金",$AK96*1.5,0))*(1+$AU96)*(1+$AV96)+(($AW96+($AX96-$AW96)*IF(VLOOKUP($Q96,武学奇术!$A:$ZZ,31,FALSE)=1,$F$18,0.5))*IF($G$1="裂石",$AJ96,$AH96)+IF($G$1="裂石",$AK96*1.5,0))*(1+$AY96)*(1+$AZ96)+(($BA96+($BB96-$BA96)*IF(VLOOKUP($Q96,武学奇术!$A:$ZZ,31,FALSE)=1,$F$18,0.5))*IF($G$1="牵丝",$AJ96,$AH96)+IF($G$1="牵丝",$AK96*1.5,0))*(1+$BC96)*(1+$BD96)+(($BE96+($BF96-$BE96)*IF(VLOOKUP($Q96,武学奇术!$A:$ZZ,31,FALSE)=1,$F$18,0.5))*IF($G$1="破竹",$AJ96,$AH96)+IF($G$1="破竹",$AK96*1.5,0))*(1+$BG96)*(1+$BH96))*(1+$AL96)*$P96*(1+IF(VLOOKUP($Q96,武学奇术!$A:$ZZ,30,FALSE)="蓄力技",$B$21,0))*(1+$BQ96)</f>
        <v>35364.9724150354</v>
      </c>
      <c r="O96" s="39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30261.0676246951</v>
      </c>
      <c r="P96" s="40">
        <v>1</v>
      </c>
      <c r="Q96" s="41" t="s">
        <v>117</v>
      </c>
      <c r="R96" s="41" t="s">
        <v>97</v>
      </c>
      <c r="S96" s="41" t="s">
        <v>73</v>
      </c>
      <c r="T96" s="41" t="s">
        <v>73</v>
      </c>
      <c r="U96" s="41" t="s">
        <v>73</v>
      </c>
      <c r="V96" s="41" t="s">
        <v>73</v>
      </c>
      <c r="W96" s="41" t="s">
        <v>73</v>
      </c>
      <c r="X96" s="41" t="s">
        <v>164</v>
      </c>
      <c r="Y96" s="41" t="s">
        <v>73</v>
      </c>
      <c r="Z96" s="41" t="s">
        <v>105</v>
      </c>
      <c r="AA96" s="41" t="s">
        <v>73</v>
      </c>
      <c r="AB96" s="41" t="s">
        <v>73</v>
      </c>
      <c r="AC96" s="41" t="s">
        <v>73</v>
      </c>
      <c r="AD96" s="41" t="s">
        <v>73</v>
      </c>
      <c r="AE96" s="41" t="s">
        <v>77</v>
      </c>
      <c r="AF96" s="41" t="s">
        <v>78</v>
      </c>
      <c r="AG96" t="str">
        <f>VLOOKUP($Q96,武学奇术!$A:$ZZ,25,FALSE)</f>
        <v>拳甲</v>
      </c>
      <c r="AH96" s="27">
        <f>VLOOKUP($Q96,武学奇术!$A:$ZZ,26,FALSE)</f>
        <v>2.638944</v>
      </c>
      <c r="AI96" s="28">
        <f>VLOOKUP($Q96,武学奇术!$A:$ZZ,27,FALSE)*(1+IF(OR($AG96=$F$4,$AG96=$F$5),$B$22,0))</f>
        <v>0</v>
      </c>
      <c r="AJ96" s="27">
        <f>VLOOKUP($Q96,武学奇术!$A:$ZZ,28,FALSE)</f>
        <v>3.958416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0.6241</v>
      </c>
      <c r="AM96" s="27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3826.382</v>
      </c>
      <c r="AO96" cm="1">
        <f t="array" ref="AO96">$E$10*(1+$AM96)+VLOOKUP($Q96,武学奇术!$A:$ZZ,4,FALSE)+SUM(_xlfn.XLOOKUP($R96:$AF96,增益!$A:$A,增益!$D:$D,0))-$I$2</f>
        <v>3826.382</v>
      </c>
      <c r="AP96" s="33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0.247</v>
      </c>
      <c r="AQ96" s="33" cm="1">
        <f t="array" ref="AQ96">$G$10+VLOOKUP($Q96,武学奇术!$A:$ZZ,7,FALSE)+SUM(_xlfn.XLOOKUP(R96:AF96,增益!$A:$A,增益!$G:$G,0))</f>
        <v>0.09</v>
      </c>
      <c r="AR96" s="27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3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-0.24</v>
      </c>
      <c r="AV96" s="33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3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-0.24</v>
      </c>
      <c r="AZ96" s="33" cm="1">
        <f t="array" ref="AZ96">$G$12+VLOOKUP($Q96,武学奇术!$A:$ZZ,12,FALSE)+SUM(_xlfn.XLOOKUP(R96:AF96,增益!$A:$A,增益!$L:$L,0))</f>
        <v>0</v>
      </c>
      <c r="BA96">
        <f t="shared" si="16"/>
        <v>0</v>
      </c>
      <c r="BB96">
        <f t="shared" si="17"/>
        <v>0</v>
      </c>
      <c r="BC96" s="33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-0.24</v>
      </c>
      <c r="BD96" s="33" cm="1">
        <f t="array" ref="BD96">$G$13+VLOOKUP($Q96,武学奇术!$A:$ZZ,14,FALSE)+SUM(_xlfn.XLOOKUP(R96:AF96,增益!$A:$A,增益!$N:$N,0))</f>
        <v>0</v>
      </c>
      <c r="BE96">
        <f t="shared" si="18"/>
        <v>605.472</v>
      </c>
      <c r="BF96">
        <f t="shared" si="19"/>
        <v>1725.468</v>
      </c>
      <c r="BG96" s="33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0.03</v>
      </c>
      <c r="BH96" s="33" cm="1">
        <f t="array" ref="BH96">$G$14+VLOOKUP($Q96,武学奇术!$A:$ZZ,16,FALSE)+SUM(_xlfn.XLOOKUP(R96:AF96,增益!$A:$A,增益!$P:$P,0))</f>
        <v>0.24</v>
      </c>
      <c r="BI96" s="27">
        <f>MIN(IF(VLOOKUP($Q96,武学奇术!$A:$ZZ,23,FALSE)=1,100%,$B$8),100%)</f>
        <v>1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+MIN(IF(VLOOKUP($Q96,武学奇术!$A:$ZZ,32,FALSE)=1,IF(VLOOKUP($Q96,武学奇术!$A:$ZZ,24,FALSE)=1,100%,MIN(40%,$B$10+VLOOKUP($Q96,武学奇术!$A:$ZZ,19,FALSE)+SUM(_xlfn.XLOOKUP(R96:AF96,增益!$A:$A,增益!$S:$S,0)))+$B$12+SUM(_xlfn.XLOOKUP(R96:AF96,增益!$A:$A,增益!$V:$V,0))),0),12%)</f>
        <v>0.9036</v>
      </c>
      <c r="BK96" s="27" cm="1">
        <f t="array" ref="BK96">1+$B$13+VLOOKUP($Q96,武学奇术!$A:$ZZ,18,FALSE)+SUM(_xlfn.XLOOKUP(R96:AF96,增益!$A:$A,增益!$R:$R,0))</f>
        <v>1.94</v>
      </c>
      <c r="BL96" s="27" cm="1">
        <f t="array" ref="BL96">MAX(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-IF(VLOOKUP($Q96,武学奇术!$A:$ZZ,32,FALSE)=1,12%,0),0)</f>
        <v>0.0929</v>
      </c>
      <c r="BM96" s="27" cm="1">
        <f t="array" ref="BM96">1+$B$14+VLOOKUP($Q96,武学奇术!$A:$ZZ,20,FALSE)+SUM(_xlfn.XLOOKUP(R96:AF96,增益!$A:$A,增益!$T:$T,0))</f>
        <v>1.35</v>
      </c>
      <c r="BN96" s="27">
        <f t="shared" si="20"/>
        <v>0.9036</v>
      </c>
      <c r="BO96" s="27">
        <f t="shared" si="21"/>
        <v>0.00350000000000006</v>
      </c>
      <c r="BP96" s="27">
        <f>IF(VLOOKUP($Q96,武学奇术!$A:$ZZ,22,FALSE)=1,0,(1-$BI96))*(1-$BL96)</f>
        <v>0</v>
      </c>
      <c r="BQ96" s="27" cm="1">
        <f t="array" ref="BQ96">SUM(_xlfn.XLOOKUP(R96:AF96,增益!$A:$A,增益!$W:$W,0))+$I$5</f>
        <v>0.11</v>
      </c>
    </row>
    <row r="97" spans="11:69">
      <c r="K97" s="39">
        <f t="shared" si="11"/>
        <v>30471.9739002849</v>
      </c>
      <c r="L97" s="39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BK97*$P97*(1+IF(VLOOKUP($Q97,武学奇术!$A:$ZZ,30,FALSE)="蓄力技",$B$21,0))*(1+$BQ97)</f>
        <v>30720.6774391182</v>
      </c>
      <c r="M97" s="39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28495.2351446042</v>
      </c>
      <c r="N97" s="39">
        <f>((($AN97+($AO97-$AN97)*IF(VLOOKUP($Q97,武学奇术!$A:$ZZ,31,FALSE)=1,$F$18,0.5))*$AH97+$AI97)*(1+$AP97)*(1+$AQ97)+(($AS97+($AT97-$AS97)*IF(VLOOKUP($Q97,武学奇术!$A:$ZZ,31,FALSE)=1,$F$18,0.5))*IF($G$1="鸣金",$AJ97,$AH97)+IF($G$1="鸣金",$AK97*1.5,0))*(1+$AU97)*(1+$AV97)+(($AW97+($AX97-$AW97)*IF(VLOOKUP($Q97,武学奇术!$A:$ZZ,31,FALSE)=1,$F$18,0.5))*IF($G$1="裂石",$AJ97,$AH97)+IF($G$1="裂石",$AK97*1.5,0))*(1+$AY97)*(1+$AZ97)+(($BA97+($BB97-$BA97)*IF(VLOOKUP($Q97,武学奇术!$A:$ZZ,31,FALSE)=1,$F$18,0.5))*IF($G$1="牵丝",$AJ97,$AH97)+IF($G$1="牵丝",$AK97*1.5,0))*(1+$BC97)*(1+$BD97)+(($BE97+($BF97-$BE97)*IF(VLOOKUP($Q97,武学奇术!$A:$ZZ,31,FALSE)=1,$F$18,0.5))*IF($G$1="破竹",$AJ97,$AH97)+IF($G$1="破竹",$AK97*1.5,0))*(1+$BG97)*(1+$BH97))*(1+$AL97)*$P97*(1+IF(VLOOKUP($Q97,武学奇术!$A:$ZZ,30,FALSE)="蓄力技",$B$21,0))*(1+$BQ97)</f>
        <v>18732.1203897062</v>
      </c>
      <c r="O97" s="39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16356.6591908168</v>
      </c>
      <c r="P97" s="40">
        <v>1</v>
      </c>
      <c r="Q97" s="41" t="s">
        <v>159</v>
      </c>
      <c r="R97" s="41" t="s">
        <v>97</v>
      </c>
      <c r="S97" s="41" t="s">
        <v>73</v>
      </c>
      <c r="T97" s="41" t="s">
        <v>73</v>
      </c>
      <c r="U97" s="41" t="s">
        <v>73</v>
      </c>
      <c r="V97" s="41" t="s">
        <v>73</v>
      </c>
      <c r="W97" s="41" t="s">
        <v>73</v>
      </c>
      <c r="X97" s="41" t="s">
        <v>164</v>
      </c>
      <c r="Y97" s="41" t="s">
        <v>73</v>
      </c>
      <c r="Z97" s="41" t="s">
        <v>73</v>
      </c>
      <c r="AA97" s="41" t="s">
        <v>73</v>
      </c>
      <c r="AB97" s="41" t="s">
        <v>73</v>
      </c>
      <c r="AC97" s="41" t="s">
        <v>73</v>
      </c>
      <c r="AD97" s="41" t="s">
        <v>73</v>
      </c>
      <c r="AE97" s="41" t="s">
        <v>77</v>
      </c>
      <c r="AF97" s="41" t="s">
        <v>78</v>
      </c>
      <c r="AG97" t="str">
        <f>VLOOKUP($Q97,武学奇术!$A:$ZZ,25,FALSE)</f>
        <v>绳镖</v>
      </c>
      <c r="AH97" s="27">
        <f>VLOOKUP($Q97,武学奇术!$A:$ZZ,26,FALSE)</f>
        <v>1.6584</v>
      </c>
      <c r="AI97" s="28">
        <f>VLOOKUP($Q97,武学奇术!$A:$ZZ,27,FALSE)*(1+IF(OR($AG97=$F$4,$AG97=$F$5),$B$22,0))</f>
        <v>687</v>
      </c>
      <c r="AJ97" s="27">
        <f>VLOOKUP($Q97,武学奇术!$A:$ZZ,28,FALSE)</f>
        <v>2.4876</v>
      </c>
      <c r="AK97" s="28">
        <f>VLOOKUP($Q97,武学奇术!$A:$ZZ,29,FALSE)*(1+IF(OR($AG97=$F$4,$AG97=$F$5),$B$22,0))</f>
        <v>375</v>
      </c>
      <c r="AL97" s="27" cm="1">
        <f t="array" ref="AL97">$G$3+IFERROR(VLOOKUP($AG97,$F$4:$G$7,2,FALSE),0)+VLOOKUP($Q97,武学奇术!$A:$ZZ,2,FALSE)+SUM(_xlfn.XLOOKUP($R97:$AF97,增益!$A:$A,增益!$B:$B,0))</f>
        <v>0.2389</v>
      </c>
      <c r="AM97" s="27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3826.382</v>
      </c>
      <c r="AO97" cm="1">
        <f t="array" ref="AO97">$E$10*(1+$AM97)+VLOOKUP($Q97,武学奇术!$A:$ZZ,4,FALSE)+SUM(_xlfn.XLOOKUP($R97:$AF97,增益!$A:$A,增益!$D:$D,0))-$I$2</f>
        <v>3826.382</v>
      </c>
      <c r="AP97" s="33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0.217</v>
      </c>
      <c r="AQ97" s="33" cm="1">
        <f t="array" ref="AQ97">$G$10+VLOOKUP($Q97,武学奇术!$A:$ZZ,7,FALSE)+SUM(_xlfn.XLOOKUP(R97:AF97,增益!$A:$A,增益!$G:$G,0))</f>
        <v>0.09</v>
      </c>
      <c r="AR97" s="27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3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3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3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3" cm="1">
        <f t="array" ref="AZ97">$G$12+VLOOKUP($Q97,武学奇术!$A:$ZZ,12,FALSE)+SUM(_xlfn.XLOOKUP(R97:AF97,增益!$A:$A,增益!$L:$L,0))</f>
        <v>0</v>
      </c>
      <c r="BA97">
        <f t="shared" si="16"/>
        <v>0</v>
      </c>
      <c r="BB97">
        <f t="shared" si="17"/>
        <v>0</v>
      </c>
      <c r="BC97" s="33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-0.3</v>
      </c>
      <c r="BD97" s="33" cm="1">
        <f t="array" ref="BD97">$G$13+VLOOKUP($Q97,武学奇术!$A:$ZZ,14,FALSE)+SUM(_xlfn.XLOOKUP(R97:AF97,增益!$A:$A,增益!$N:$N,0))</f>
        <v>0</v>
      </c>
      <c r="BE97">
        <f t="shared" si="18"/>
        <v>605.472</v>
      </c>
      <c r="BF97">
        <f t="shared" si="19"/>
        <v>1725.468</v>
      </c>
      <c r="BG97" s="33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</v>
      </c>
      <c r="BH97" s="33" cm="1">
        <f t="array" ref="BH97">$G$14+VLOOKUP($Q97,武学奇术!$A:$ZZ,16,FALSE)+SUM(_xlfn.XLOOKUP(R97:AF97,增益!$A:$A,增益!$P:$P,0))</f>
        <v>0.24</v>
      </c>
      <c r="BI97" s="27">
        <f>MIN(IF(VLOOKUP($Q97,武学奇术!$A:$ZZ,23,FALSE)=1,100%,$B$8),100%)</f>
        <v>1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+MIN(IF(VLOOKUP($Q97,武学奇术!$A:$ZZ,32,FALSE)=1,IF(VLOOKUP($Q97,武学奇术!$A:$ZZ,24,FALSE)=1,100%,MIN(40%,$B$10+VLOOKUP($Q97,武学奇术!$A:$ZZ,19,FALSE)+SUM(_xlfn.XLOOKUP(R97:AF97,增益!$A:$A,增益!$S:$S,0)))+$B$12+SUM(_xlfn.XLOOKUP(R97:AF97,增益!$A:$A,增益!$V:$V,0))),0),12%)</f>
        <v>0.9036</v>
      </c>
      <c r="BK97" s="27" cm="1">
        <f t="array" ref="BK97">1+$B$13+VLOOKUP($Q97,武学奇术!$A:$ZZ,18,FALSE)+SUM(_xlfn.XLOOKUP(R97:AF97,增益!$A:$A,增益!$R:$R,0))</f>
        <v>1.64</v>
      </c>
      <c r="BL97" s="27" cm="1">
        <f t="array" ref="BL97">MAX(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-IF(VLOOKUP($Q97,武学奇术!$A:$ZZ,32,FALSE)=1,12%,0),0)</f>
        <v>0.0929</v>
      </c>
      <c r="BM97" s="27" cm="1">
        <f t="array" ref="BM97">1+$B$14+VLOOKUP($Q97,武学奇术!$A:$ZZ,20,FALSE)+SUM(_xlfn.XLOOKUP(R97:AF97,增益!$A:$A,增益!$T:$T,0))</f>
        <v>1.35</v>
      </c>
      <c r="BN97" s="27">
        <f t="shared" si="20"/>
        <v>0.9036</v>
      </c>
      <c r="BO97" s="27">
        <f t="shared" si="21"/>
        <v>0.00350000000000006</v>
      </c>
      <c r="BP97" s="27">
        <f>IF(VLOOKUP($Q97,武学奇术!$A:$ZZ,22,FALSE)=1,0,(1-$BI97))*(1-$BL97)</f>
        <v>0</v>
      </c>
      <c r="BQ97" s="27" cm="1">
        <f t="array" ref="BQ97">SUM(_xlfn.XLOOKUP(R97:AF97,增益!$A:$A,增益!$W:$W,0))+$I$5</f>
        <v>0.11</v>
      </c>
    </row>
    <row r="98" spans="11:69">
      <c r="K98" s="39">
        <f t="shared" si="11"/>
        <v>63668.4578580414</v>
      </c>
      <c r="L98" s="39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BK98*$P98*(1+IF(VLOOKUP($Q98,武学奇术!$A:$ZZ,30,FALSE)="蓄力技",$B$21,0))*(1+$BQ98)</f>
        <v>65008.8804482644</v>
      </c>
      <c r="M98" s="39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51766.947495429</v>
      </c>
      <c r="N98" s="39">
        <f>((($AN98+($AO98-$AN98)*IF(VLOOKUP($Q98,武学奇术!$A:$ZZ,31,FALSE)=1,$F$18,0.5))*$AH98+$AI98)*(1+$AP98)*(1+$AQ98)+(($AS98+($AT98-$AS98)*IF(VLOOKUP($Q98,武学奇术!$A:$ZZ,31,FALSE)=1,$F$18,0.5))*IF($G$1="鸣金",$AJ98,$AH98)+IF($G$1="鸣金",$AK98*1.5,0))*(1+$AU98)*(1+$AV98)+(($AW98+($AX98-$AW98)*IF(VLOOKUP($Q98,武学奇术!$A:$ZZ,31,FALSE)=1,$F$18,0.5))*IF($G$1="裂石",$AJ98,$AH98)+IF($G$1="裂石",$AK98*1.5,0))*(1+$AY98)*(1+$AZ98)+(($BA98+($BB98-$BA98)*IF(VLOOKUP($Q98,武学奇术!$A:$ZZ,31,FALSE)=1,$F$18,0.5))*IF($G$1="牵丝",$AJ98,$AH98)+IF($G$1="牵丝",$AK98*1.5,0))*(1+$BC98)*(1+$BD98)+(($BE98+($BF98-$BE98)*IF(VLOOKUP($Q98,武学奇术!$A:$ZZ,31,FALSE)=1,$F$18,0.5))*IF($G$1="破竹",$AJ98,$AH98)+IF($G$1="破竹",$AK98*1.5,0))*(1+$BG98)*(1+$BH98))*(1+$AL98)*$P98*(1+IF(VLOOKUP($Q98,武学奇术!$A:$ZZ,30,FALSE)="蓄力技",$B$21,0))*(1+$BQ98)</f>
        <v>33509.732189827</v>
      </c>
      <c r="O98" s="39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28673.5773460029</v>
      </c>
      <c r="P98" s="40">
        <v>1</v>
      </c>
      <c r="Q98" s="41" t="s">
        <v>110</v>
      </c>
      <c r="R98" s="41" t="s">
        <v>97</v>
      </c>
      <c r="S98" s="41" t="s">
        <v>73</v>
      </c>
      <c r="T98" s="41" t="s">
        <v>73</v>
      </c>
      <c r="U98" s="41" t="s">
        <v>73</v>
      </c>
      <c r="V98" s="41" t="s">
        <v>73</v>
      </c>
      <c r="W98" s="41" t="s">
        <v>73</v>
      </c>
      <c r="X98" s="41" t="s">
        <v>164</v>
      </c>
      <c r="Y98" s="41" t="s">
        <v>73</v>
      </c>
      <c r="Z98" s="41" t="s">
        <v>105</v>
      </c>
      <c r="AA98" s="41" t="s">
        <v>73</v>
      </c>
      <c r="AB98" s="41" t="s">
        <v>73</v>
      </c>
      <c r="AC98" s="41" t="s">
        <v>73</v>
      </c>
      <c r="AD98" s="41" t="s">
        <v>73</v>
      </c>
      <c r="AE98" s="41" t="s">
        <v>77</v>
      </c>
      <c r="AF98" s="41" t="s">
        <v>78</v>
      </c>
      <c r="AG98" t="str">
        <f>VLOOKUP($Q98,武学奇术!$A:$ZZ,25,FALSE)</f>
        <v>绳镖</v>
      </c>
      <c r="AH98" s="27">
        <f>VLOOKUP($Q98,武学奇术!$A:$ZZ,26,FALSE)</f>
        <v>2.638944</v>
      </c>
      <c r="AI98" s="28">
        <f>VLOOKUP($Q98,武学奇术!$A:$ZZ,27,FALSE)*(1+IF(OR($AG98=$F$4,$AG98=$F$5),$B$22,0))</f>
        <v>0</v>
      </c>
      <c r="AJ98" s="27">
        <f>VLOOKUP($Q98,武学奇术!$A:$ZZ,28,FALSE)</f>
        <v>3.958416</v>
      </c>
      <c r="AK98" s="28">
        <f>VLOOKUP($Q98,武学奇术!$A:$ZZ,29,FALSE)*(1+IF(OR($AG98=$F$4,$AG98=$F$5),$B$22,0))</f>
        <v>0</v>
      </c>
      <c r="AL98" s="27" cm="1">
        <f t="array" ref="AL98">$G$3+IFERROR(VLOOKUP($AG98,$F$4:$G$7,2,FALSE),0)+VLOOKUP($Q98,武学奇术!$A:$ZZ,2,FALSE)+SUM(_xlfn.XLOOKUP($R98:$AF98,增益!$A:$A,增益!$B:$B,0))</f>
        <v>0.5389</v>
      </c>
      <c r="AM98" s="27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3826.382</v>
      </c>
      <c r="AO98" cm="1">
        <f t="array" ref="AO98">$E$10*(1+$AM98)+VLOOKUP($Q98,武学奇术!$A:$ZZ,4,FALSE)+SUM(_xlfn.XLOOKUP($R98:$AF98,增益!$A:$A,增益!$D:$D,0))-$I$2</f>
        <v>3826.382</v>
      </c>
      <c r="AP98" s="33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0.247</v>
      </c>
      <c r="AQ98" s="33" cm="1">
        <f t="array" ref="AQ98">$G$10+VLOOKUP($Q98,武学奇术!$A:$ZZ,7,FALSE)+SUM(_xlfn.XLOOKUP(R98:AF98,增益!$A:$A,增益!$G:$G,0))</f>
        <v>0.09</v>
      </c>
      <c r="AR98" s="27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3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-0.24</v>
      </c>
      <c r="AV98" s="33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3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-0.24</v>
      </c>
      <c r="AZ98" s="33" cm="1">
        <f t="array" ref="AZ98">$G$12+VLOOKUP($Q98,武学奇术!$A:$ZZ,12,FALSE)+SUM(_xlfn.XLOOKUP(R98:AF98,增益!$A:$A,增益!$L:$L,0))</f>
        <v>0</v>
      </c>
      <c r="BA98">
        <f t="shared" si="16"/>
        <v>0</v>
      </c>
      <c r="BB98">
        <f t="shared" si="17"/>
        <v>0</v>
      </c>
      <c r="BC98" s="33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-0.24</v>
      </c>
      <c r="BD98" s="33" cm="1">
        <f t="array" ref="BD98">$G$13+VLOOKUP($Q98,武学奇术!$A:$ZZ,14,FALSE)+SUM(_xlfn.XLOOKUP(R98:AF98,增益!$A:$A,增益!$N:$N,0))</f>
        <v>0</v>
      </c>
      <c r="BE98">
        <f t="shared" si="18"/>
        <v>605.472</v>
      </c>
      <c r="BF98">
        <f t="shared" si="19"/>
        <v>1725.468</v>
      </c>
      <c r="BG98" s="33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0.03</v>
      </c>
      <c r="BH98" s="33" cm="1">
        <f t="array" ref="BH98">$G$14+VLOOKUP($Q98,武学奇术!$A:$ZZ,16,FALSE)+SUM(_xlfn.XLOOKUP(R98:AF98,增益!$A:$A,增益!$P:$P,0))</f>
        <v>0.24</v>
      </c>
      <c r="BI98" s="27">
        <f>MIN(IF(VLOOKUP($Q98,武学奇术!$A:$ZZ,23,FALSE)=1,100%,$B$8),100%)</f>
        <v>1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+MIN(IF(VLOOKUP($Q98,武学奇术!$A:$ZZ,32,FALSE)=1,IF(VLOOKUP($Q98,武学奇术!$A:$ZZ,24,FALSE)=1,100%,MIN(40%,$B$10+VLOOKUP($Q98,武学奇术!$A:$ZZ,19,FALSE)+SUM(_xlfn.XLOOKUP(R98:AF98,增益!$A:$A,增益!$S:$S,0)))+$B$12+SUM(_xlfn.XLOOKUP(R98:AF98,增益!$A:$A,增益!$V:$V,0))),0),12%)</f>
        <v>0.9036</v>
      </c>
      <c r="BK98" s="27" cm="1">
        <f t="array" ref="BK98">1+$B$13+VLOOKUP($Q98,武学奇术!$A:$ZZ,18,FALSE)+SUM(_xlfn.XLOOKUP(R98:AF98,增益!$A:$A,增益!$R:$R,0))</f>
        <v>1.94</v>
      </c>
      <c r="BL98" s="27" cm="1">
        <f t="array" ref="BL98">MAX(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-IF(VLOOKUP($Q98,武学奇术!$A:$ZZ,32,FALSE)=1,12%,0),0)</f>
        <v>0.0929</v>
      </c>
      <c r="BM98" s="27" cm="1">
        <f t="array" ref="BM98">1+$B$14+VLOOKUP($Q98,武学奇术!$A:$ZZ,20,FALSE)+SUM(_xlfn.XLOOKUP(R98:AF98,增益!$A:$A,增益!$T:$T,0))</f>
        <v>1.35</v>
      </c>
      <c r="BN98" s="27">
        <f t="shared" si="20"/>
        <v>0.9036</v>
      </c>
      <c r="BO98" s="27">
        <f t="shared" si="21"/>
        <v>0.00350000000000006</v>
      </c>
      <c r="BP98" s="27">
        <f>IF(VLOOKUP($Q98,武学奇术!$A:$ZZ,22,FALSE)=1,0,(1-$BI98))*(1-$BL98)</f>
        <v>0</v>
      </c>
      <c r="BQ98" s="27" cm="1">
        <f t="array" ref="BQ98">SUM(_xlfn.XLOOKUP(R98:AF98,增益!$A:$A,增益!$W:$W,0))+$I$5</f>
        <v>0.11</v>
      </c>
    </row>
    <row r="99" spans="11:69">
      <c r="K99" s="39">
        <f t="shared" si="11"/>
        <v>22984.3089015304</v>
      </c>
      <c r="L99" s="39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BK99*$P99*(1+IF(VLOOKUP($Q99,武学奇术!$A:$ZZ,30,FALSE)="蓄力技",$B$21,0))*(1+$BQ99)</f>
        <v>23172.0026146586</v>
      </c>
      <c r="M99" s="39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21492.302414645</v>
      </c>
      <c r="N99" s="39">
        <f>((($AN99+($AO99-$AN99)*IF(VLOOKUP($Q99,武学奇术!$A:$ZZ,31,FALSE)=1,$F$18,0.5))*$AH99+$AI99)*(1+$AP99)*(1+$AQ99)+(($AS99+($AT99-$AS99)*IF(VLOOKUP($Q99,武学奇术!$A:$ZZ,31,FALSE)=1,$F$18,0.5))*IF($G$1="鸣金",$AJ99,$AH99)+IF($G$1="鸣金",$AK99*1.5,0))*(1+$AU99)*(1+$AV99)+(($AW99+($AX99-$AW99)*IF(VLOOKUP($Q99,武学奇术!$A:$ZZ,31,FALSE)=1,$F$18,0.5))*IF($G$1="裂石",$AJ99,$AH99)+IF($G$1="裂石",$AK99*1.5,0))*(1+$AY99)*(1+$AZ99)+(($BA99+($BB99-$BA99)*IF(VLOOKUP($Q99,武学奇术!$A:$ZZ,31,FALSE)=1,$F$18,0.5))*IF($G$1="牵丝",$AJ99,$AH99)+IF($G$1="牵丝",$AK99*1.5,0))*(1+$BC99)*(1+$BD99)+(($BE99+($BF99-$BE99)*IF(VLOOKUP($Q99,武学奇术!$A:$ZZ,31,FALSE)=1,$F$18,0.5))*IF($G$1="破竹",$AJ99,$AH99)+IF($G$1="破竹",$AK99*1.5,0))*(1+$BG99)*(1+$BH99))*(1+$AL99)*$P99*(1+IF(VLOOKUP($Q99,武学奇术!$A:$ZZ,30,FALSE)="蓄力技",$B$21,0))*(1+$BQ99)</f>
        <v>14129.2698869869</v>
      </c>
      <c r="O99" s="39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12338.3157631257</v>
      </c>
      <c r="P99" s="40">
        <v>1</v>
      </c>
      <c r="Q99" s="41" t="s">
        <v>100</v>
      </c>
      <c r="R99" s="41" t="s">
        <v>97</v>
      </c>
      <c r="S99" s="41" t="s">
        <v>73</v>
      </c>
      <c r="T99" s="41" t="s">
        <v>73</v>
      </c>
      <c r="U99" s="41" t="s">
        <v>73</v>
      </c>
      <c r="V99" s="41" t="s">
        <v>73</v>
      </c>
      <c r="W99" s="41" t="s">
        <v>73</v>
      </c>
      <c r="X99" s="41" t="s">
        <v>164</v>
      </c>
      <c r="Y99" s="41" t="s">
        <v>73</v>
      </c>
      <c r="Z99" s="41" t="s">
        <v>73</v>
      </c>
      <c r="AA99" s="41" t="s">
        <v>73</v>
      </c>
      <c r="AB99" s="41" t="s">
        <v>73</v>
      </c>
      <c r="AC99" s="41" t="s">
        <v>73</v>
      </c>
      <c r="AD99" s="41" t="s">
        <v>73</v>
      </c>
      <c r="AE99" s="41" t="s">
        <v>77</v>
      </c>
      <c r="AF99" s="41" t="s">
        <v>78</v>
      </c>
      <c r="AG99" t="str">
        <f>VLOOKUP($Q99,武学奇术!$A:$ZZ,25,FALSE)</f>
        <v>绳镖</v>
      </c>
      <c r="AH99" s="27">
        <f>VLOOKUP($Q99,武学奇术!$A:$ZZ,26,FALSE)</f>
        <v>1.2503</v>
      </c>
      <c r="AI99" s="28">
        <f>VLOOKUP($Q99,武学奇术!$A:$ZZ,27,FALSE)*(1+IF(OR($AG99=$F$4,$AG99=$F$5),$B$22,0))</f>
        <v>520.5</v>
      </c>
      <c r="AJ99" s="27">
        <f>VLOOKUP($Q99,武学奇术!$A:$ZZ,28,FALSE)</f>
        <v>1.8755</v>
      </c>
      <c r="AK99" s="28">
        <f>VLOOKUP($Q99,武学奇术!$A:$ZZ,29,FALSE)*(1+IF(OR($AG99=$F$4,$AG99=$F$5),$B$22,0))</f>
        <v>283.5</v>
      </c>
      <c r="AL99" s="27" cm="1">
        <f t="array" ref="AL99">$G$3+IFERROR(VLOOKUP($AG99,$F$4:$G$7,2,FALSE),0)+VLOOKUP($Q99,武学奇术!$A:$ZZ,2,FALSE)+SUM(_xlfn.XLOOKUP($R99:$AF99,增益!$A:$A,增益!$B:$B,0))</f>
        <v>0.2389</v>
      </c>
      <c r="AM99" s="27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3826.382</v>
      </c>
      <c r="AO99" cm="1">
        <f t="array" ref="AO99">$E$10*(1+$AM99)+VLOOKUP($Q99,武学奇术!$A:$ZZ,4,FALSE)+SUM(_xlfn.XLOOKUP($R99:$AF99,增益!$A:$A,增益!$D:$D,0))-$I$2</f>
        <v>3826.382</v>
      </c>
      <c r="AP99" s="33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0.217</v>
      </c>
      <c r="AQ99" s="33" cm="1">
        <f t="array" ref="AQ99">$G$10+VLOOKUP($Q99,武学奇术!$A:$ZZ,7,FALSE)+SUM(_xlfn.XLOOKUP(R99:AF99,增益!$A:$A,增益!$G:$G,0))</f>
        <v>0.09</v>
      </c>
      <c r="AR99" s="27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3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3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3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3" cm="1">
        <f t="array" ref="AZ99">$G$12+VLOOKUP($Q99,武学奇术!$A:$ZZ,12,FALSE)+SUM(_xlfn.XLOOKUP(R99:AF99,增益!$A:$A,增益!$L:$L,0))</f>
        <v>0</v>
      </c>
      <c r="BA99">
        <f t="shared" si="16"/>
        <v>0</v>
      </c>
      <c r="BB99">
        <f t="shared" si="17"/>
        <v>0</v>
      </c>
      <c r="BC99" s="33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-0.3</v>
      </c>
      <c r="BD99" s="33" cm="1">
        <f t="array" ref="BD99">$G$13+VLOOKUP($Q99,武学奇术!$A:$ZZ,14,FALSE)+SUM(_xlfn.XLOOKUP(R99:AF99,增益!$A:$A,增益!$N:$N,0))</f>
        <v>0</v>
      </c>
      <c r="BE99">
        <f t="shared" si="18"/>
        <v>605.472</v>
      </c>
      <c r="BF99">
        <f t="shared" si="19"/>
        <v>1725.468</v>
      </c>
      <c r="BG99" s="33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</v>
      </c>
      <c r="BH99" s="33" cm="1">
        <f t="array" ref="BH99">$G$14+VLOOKUP($Q99,武学奇术!$A:$ZZ,16,FALSE)+SUM(_xlfn.XLOOKUP(R99:AF99,增益!$A:$A,增益!$P:$P,0))</f>
        <v>0.24</v>
      </c>
      <c r="BI99" s="27">
        <f>MIN(IF(VLOOKUP($Q99,武学奇术!$A:$ZZ,23,FALSE)=1,100%,$B$8),100%)</f>
        <v>1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+MIN(IF(VLOOKUP($Q99,武学奇术!$A:$ZZ,32,FALSE)=1,IF(VLOOKUP($Q99,武学奇术!$A:$ZZ,24,FALSE)=1,100%,MIN(40%,$B$10+VLOOKUP($Q99,武学奇术!$A:$ZZ,19,FALSE)+SUM(_xlfn.XLOOKUP(R99:AF99,增益!$A:$A,增益!$S:$S,0)))+$B$12+SUM(_xlfn.XLOOKUP(R99:AF99,增益!$A:$A,增益!$V:$V,0))),0),12%)</f>
        <v>0.9036</v>
      </c>
      <c r="BK99" s="27" cm="1">
        <f t="array" ref="BK99">1+$B$13+VLOOKUP($Q99,武学奇术!$A:$ZZ,18,FALSE)+SUM(_xlfn.XLOOKUP(R99:AF99,增益!$A:$A,增益!$R:$R,0))</f>
        <v>1.64</v>
      </c>
      <c r="BL99" s="27" cm="1">
        <f t="array" ref="BL99">MAX(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-IF(VLOOKUP($Q99,武学奇术!$A:$ZZ,32,FALSE)=1,12%,0),0)</f>
        <v>0.0929</v>
      </c>
      <c r="BM99" s="27" cm="1">
        <f t="array" ref="BM99">1+$B$14+VLOOKUP($Q99,武学奇术!$A:$ZZ,20,FALSE)+SUM(_xlfn.XLOOKUP(R99:AF99,增益!$A:$A,增益!$T:$T,0))</f>
        <v>1.35</v>
      </c>
      <c r="BN99" s="27">
        <f t="shared" si="20"/>
        <v>0.9036</v>
      </c>
      <c r="BO99" s="27">
        <f t="shared" si="21"/>
        <v>0.00350000000000006</v>
      </c>
      <c r="BP99" s="27">
        <f>IF(VLOOKUP($Q99,武学奇术!$A:$ZZ,22,FALSE)=1,0,(1-$BI99))*(1-$BL99)</f>
        <v>0</v>
      </c>
      <c r="BQ99" s="27" cm="1">
        <f t="array" ref="BQ99">SUM(_xlfn.XLOOKUP(R99:AF99,增益!$A:$A,增益!$W:$W,0))+$I$5</f>
        <v>0.11</v>
      </c>
    </row>
    <row r="100" spans="11:69">
      <c r="K100" s="39">
        <f t="shared" si="11"/>
        <v>53057.0482150345</v>
      </c>
      <c r="L100" s="39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BK100*$P100*(1+IF(VLOOKUP($Q100,武学奇术!$A:$ZZ,30,FALSE)="蓄力技",$B$21,0))*(1+$BQ100)</f>
        <v>54174.0670402203</v>
      </c>
      <c r="M100" s="39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43139.1229128575</v>
      </c>
      <c r="N100" s="39">
        <f>((($AN100+($AO100-$AN100)*IF(VLOOKUP($Q100,武学奇术!$A:$ZZ,31,FALSE)=1,$F$18,0.5))*$AH100+$AI100)*(1+$AP100)*(1+$AQ100)+(($AS100+($AT100-$AS100)*IF(VLOOKUP($Q100,武学奇术!$A:$ZZ,31,FALSE)=1,$F$18,0.5))*IF($G$1="鸣金",$AJ100,$AH100)+IF($G$1="鸣金",$AK100*1.5,0))*(1+$AU100)*(1+$AV100)+(($AW100+($AX100-$AW100)*IF(VLOOKUP($Q100,武学奇术!$A:$ZZ,31,FALSE)=1,$F$18,0.5))*IF($G$1="裂石",$AJ100,$AH100)+IF($G$1="裂石",$AK100*1.5,0))*(1+$AY100)*(1+$AZ100)+(($BA100+($BB100-$BA100)*IF(VLOOKUP($Q100,武学奇术!$A:$ZZ,31,FALSE)=1,$F$18,0.5))*IF($G$1="牵丝",$AJ100,$AH100)+IF($G$1="牵丝",$AK100*1.5,0))*(1+$BC100)*(1+$BD100)+(($BE100+($BF100-$BE100)*IF(VLOOKUP($Q100,武学奇术!$A:$ZZ,31,FALSE)=1,$F$18,0.5))*IF($G$1="破竹",$AJ100,$AH100)+IF($G$1="破竹",$AK100*1.5,0))*(1+$BG100)*(1+$BH100))*(1+$AL100)*$P100*(1+IF(VLOOKUP($Q100,武学奇术!$A:$ZZ,30,FALSE)="蓄力技",$B$21,0))*(1+$BQ100)</f>
        <v>27924.7768248558</v>
      </c>
      <c r="O100" s="39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23894.6477883358</v>
      </c>
      <c r="P100" s="40">
        <v>1</v>
      </c>
      <c r="Q100" s="41" t="s">
        <v>104</v>
      </c>
      <c r="R100" s="41" t="s">
        <v>97</v>
      </c>
      <c r="S100" s="41" t="s">
        <v>73</v>
      </c>
      <c r="T100" s="41" t="s">
        <v>73</v>
      </c>
      <c r="U100" s="41" t="s">
        <v>73</v>
      </c>
      <c r="V100" s="41" t="s">
        <v>73</v>
      </c>
      <c r="W100" s="41" t="s">
        <v>73</v>
      </c>
      <c r="X100" s="41" t="s">
        <v>164</v>
      </c>
      <c r="Y100" s="41" t="s">
        <v>73</v>
      </c>
      <c r="Z100" s="41" t="s">
        <v>105</v>
      </c>
      <c r="AA100" s="41" t="s">
        <v>73</v>
      </c>
      <c r="AB100" s="41" t="s">
        <v>73</v>
      </c>
      <c r="AC100" s="41" t="s">
        <v>73</v>
      </c>
      <c r="AD100" s="41" t="s">
        <v>73</v>
      </c>
      <c r="AE100" s="41" t="s">
        <v>77</v>
      </c>
      <c r="AF100" s="41" t="s">
        <v>78</v>
      </c>
      <c r="AG100" t="str">
        <f>VLOOKUP($Q100,武学奇术!$A:$ZZ,25,FALSE)</f>
        <v>绳镖</v>
      </c>
      <c r="AH100" s="27">
        <f>VLOOKUP($Q100,武学奇术!$A:$ZZ,26,FALSE)</f>
        <v>2.19912</v>
      </c>
      <c r="AI100" s="28">
        <f>VLOOKUP($Q100,武学奇术!$A:$ZZ,27,FALSE)*(1+IF(OR($AG100=$F$4,$AG100=$F$5),$B$22,0))</f>
        <v>0</v>
      </c>
      <c r="AJ100" s="27">
        <f>VLOOKUP($Q100,武学奇术!$A:$ZZ,28,FALSE)</f>
        <v>3.29868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0.5389</v>
      </c>
      <c r="AM100" s="27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3826.382</v>
      </c>
      <c r="AO100" cm="1">
        <f t="array" ref="AO100">$E$10*(1+$AM100)+VLOOKUP($Q100,武学奇术!$A:$ZZ,4,FALSE)+SUM(_xlfn.XLOOKUP($R100:$AF100,增益!$A:$A,增益!$D:$D,0))-$I$2</f>
        <v>3826.382</v>
      </c>
      <c r="AP100" s="33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0.247</v>
      </c>
      <c r="AQ100" s="33" cm="1">
        <f t="array" ref="AQ100">$G$10+VLOOKUP($Q100,武学奇术!$A:$ZZ,7,FALSE)+SUM(_xlfn.XLOOKUP(R100:AF100,增益!$A:$A,增益!$G:$G,0))</f>
        <v>0.09</v>
      </c>
      <c r="AR100" s="27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3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-0.24</v>
      </c>
      <c r="AV100" s="33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3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-0.24</v>
      </c>
      <c r="AZ100" s="33" cm="1">
        <f t="array" ref="AZ100">$G$12+VLOOKUP($Q100,武学奇术!$A:$ZZ,12,FALSE)+SUM(_xlfn.XLOOKUP(R100:AF100,增益!$A:$A,增益!$L:$L,0))</f>
        <v>0</v>
      </c>
      <c r="BA100">
        <f t="shared" si="16"/>
        <v>0</v>
      </c>
      <c r="BB100">
        <f t="shared" si="17"/>
        <v>0</v>
      </c>
      <c r="BC100" s="33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-0.24</v>
      </c>
      <c r="BD100" s="33" cm="1">
        <f t="array" ref="BD100">$G$13+VLOOKUP($Q100,武学奇术!$A:$ZZ,14,FALSE)+SUM(_xlfn.XLOOKUP(R100:AF100,增益!$A:$A,增益!$N:$N,0))</f>
        <v>0</v>
      </c>
      <c r="BE100">
        <f t="shared" si="18"/>
        <v>605.472</v>
      </c>
      <c r="BF100">
        <f t="shared" si="19"/>
        <v>1725.468</v>
      </c>
      <c r="BG100" s="33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0.03</v>
      </c>
      <c r="BH100" s="33" cm="1">
        <f t="array" ref="BH100">$G$14+VLOOKUP($Q100,武学奇术!$A:$ZZ,16,FALSE)+SUM(_xlfn.XLOOKUP(R100:AF100,增益!$A:$A,增益!$P:$P,0))</f>
        <v>0.24</v>
      </c>
      <c r="BI100" s="27">
        <f>MIN(IF(VLOOKUP($Q100,武学奇术!$A:$ZZ,23,FALSE)=1,100%,$B$8),100%)</f>
        <v>1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+MIN(IF(VLOOKUP($Q100,武学奇术!$A:$ZZ,32,FALSE)=1,IF(VLOOKUP($Q100,武学奇术!$A:$ZZ,24,FALSE)=1,100%,MIN(40%,$B$10+VLOOKUP($Q100,武学奇术!$A:$ZZ,19,FALSE)+SUM(_xlfn.XLOOKUP(R100:AF100,增益!$A:$A,增益!$S:$S,0)))+$B$12+SUM(_xlfn.XLOOKUP(R100:AF100,增益!$A:$A,增益!$V:$V,0))),0),12%)</f>
        <v>0.9036</v>
      </c>
      <c r="BK100" s="27" cm="1">
        <f t="array" ref="BK100">1+$B$13+VLOOKUP($Q100,武学奇术!$A:$ZZ,18,FALSE)+SUM(_xlfn.XLOOKUP(R100:AF100,增益!$A:$A,增益!$R:$R,0))</f>
        <v>1.94</v>
      </c>
      <c r="BL100" s="27" cm="1">
        <f t="array" ref="BL100">MAX(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-IF(VLOOKUP($Q100,武学奇术!$A:$ZZ,32,FALSE)=1,12%,0),0)</f>
        <v>0.0929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20"/>
        <v>0.9036</v>
      </c>
      <c r="BO100" s="27">
        <f t="shared" si="21"/>
        <v>0.00350000000000006</v>
      </c>
      <c r="BP100" s="27">
        <f>IF(VLOOKUP($Q100,武学奇术!$A:$ZZ,22,FALSE)=1,0,(1-$BI100))*(1-$BL100)</f>
        <v>0</v>
      </c>
      <c r="BQ100" s="27" cm="1">
        <f t="array" ref="BQ100">SUM(_xlfn.XLOOKUP(R100:AF100,增益!$A:$A,增益!$W:$W,0))+$I$5</f>
        <v>0.11</v>
      </c>
    </row>
    <row r="101" spans="11:69">
      <c r="K101" s="39">
        <f t="shared" si="11"/>
        <v>107545.933999851</v>
      </c>
      <c r="L101" s="39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BK101*$P101*(1+IF(VLOOKUP($Q101,武学奇术!$A:$ZZ,30,FALSE)="蓄力技",$B$21,0))*(1+$BQ101)</f>
        <v>108322.886854531</v>
      </c>
      <c r="M101" s="39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101552.169487826</v>
      </c>
      <c r="N101" s="39">
        <f>((($AN101+($AO101-$AN101)*IF(VLOOKUP($Q101,武学奇术!$A:$ZZ,31,FALSE)=1,$F$18,0.5))*$AH101+$AI101)*(1+$AP101)*(1+$AQ101)+(($AS101+($AT101-$AS101)*IF(VLOOKUP($Q101,武学奇术!$A:$ZZ,31,FALSE)=1,$F$18,0.5))*IF($G$1="鸣金",$AJ101,$AH101)+IF($G$1="鸣金",$AK101*1.5,0))*(1+$AU101)*(1+$AV101)+(($AW101+($AX101-$AW101)*IF(VLOOKUP($Q101,武学奇术!$A:$ZZ,31,FALSE)=1,$F$18,0.5))*IF($G$1="裂石",$AJ101,$AH101)+IF($G$1="裂石",$AK101*1.5,0))*(1+$AY101)*(1+$AZ101)+(($BA101+($BB101-$BA101)*IF(VLOOKUP($Q101,武学奇术!$A:$ZZ,31,FALSE)=1,$F$18,0.5))*IF($G$1="牵丝",$AJ101,$AH101)+IF($G$1="牵丝",$AK101*1.5,0))*(1+$BC101)*(1+$BD101)+(($BE101+($BF101-$BE101)*IF(VLOOKUP($Q101,武学奇术!$A:$ZZ,31,FALSE)=1,$F$18,0.5))*IF($G$1="破竹",$AJ101,$AH101)+IF($G$1="破竹",$AK101*1.5,0))*(1+$BG101)*(1+$BH101))*(1+$AL101)*$P101*(1+IF(VLOOKUP($Q101,武学奇术!$A:$ZZ,30,FALSE)="蓄力技",$B$21,0))*(1+$BQ101)</f>
        <v>66050.5407649581</v>
      </c>
      <c r="O101" s="39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56877.2522796746</v>
      </c>
      <c r="P101" s="40">
        <v>1</v>
      </c>
      <c r="Q101" s="41" t="s">
        <v>190</v>
      </c>
      <c r="R101" s="41" t="s">
        <v>97</v>
      </c>
      <c r="S101" s="41" t="s">
        <v>73</v>
      </c>
      <c r="T101" s="41" t="s">
        <v>73</v>
      </c>
      <c r="U101" s="41" t="s">
        <v>73</v>
      </c>
      <c r="V101" s="41" t="s">
        <v>73</v>
      </c>
      <c r="W101" s="41" t="s">
        <v>73</v>
      </c>
      <c r="X101" s="41" t="s">
        <v>164</v>
      </c>
      <c r="Y101" s="41" t="s">
        <v>73</v>
      </c>
      <c r="Z101" s="41" t="s">
        <v>73</v>
      </c>
      <c r="AA101" s="41" t="s">
        <v>73</v>
      </c>
      <c r="AB101" s="41" t="s">
        <v>73</v>
      </c>
      <c r="AC101" s="41" t="s">
        <v>73</v>
      </c>
      <c r="AD101" s="41" t="s">
        <v>73</v>
      </c>
      <c r="AE101" s="41" t="s">
        <v>77</v>
      </c>
      <c r="AF101" s="41" t="s">
        <v>78</v>
      </c>
      <c r="AG101" t="str">
        <f>VLOOKUP($Q101,武学奇术!$A:$ZZ,25,FALSE)</f>
        <v>群体奇术</v>
      </c>
      <c r="AH101" s="27">
        <f>VLOOKUP($Q101,武学奇术!$A:$ZZ,26,FALSE)</f>
        <v>6.87717</v>
      </c>
      <c r="AI101" s="28">
        <f>VLOOKUP($Q101,武学奇术!$A:$ZZ,27,FALSE)*(1+IF(OR($AG101=$F$4,$AG101=$F$5),$B$22,0))</f>
        <v>1328.4</v>
      </c>
      <c r="AJ101" s="27">
        <f>VLOOKUP($Q101,武学奇术!$A:$ZZ,28,FALSE)</f>
        <v>10.315755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0.1537</v>
      </c>
      <c r="AM101" s="27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3826.382</v>
      </c>
      <c r="AO101" cm="1">
        <f t="array" ref="AO101">$E$10*(1+$AM101)+VLOOKUP($Q101,武学奇术!$A:$ZZ,4,FALSE)+SUM(_xlfn.XLOOKUP($R101:$AF101,增益!$A:$A,增益!$D:$D,0))-$I$2</f>
        <v>3826.382</v>
      </c>
      <c r="AP101" s="33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0.217</v>
      </c>
      <c r="AQ101" s="33" cm="1">
        <f t="array" ref="AQ101">$G$10+VLOOKUP($Q101,武学奇术!$A:$ZZ,7,FALSE)+SUM(_xlfn.XLOOKUP(R101:AF101,增益!$A:$A,增益!$G:$G,0))</f>
        <v>0.09</v>
      </c>
      <c r="AR101" s="27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3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3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3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3" cm="1">
        <f t="array" ref="AZ101">$G$12+VLOOKUP($Q101,武学奇术!$A:$ZZ,12,FALSE)+SUM(_xlfn.XLOOKUP(R101:AF101,增益!$A:$A,增益!$L:$L,0))</f>
        <v>0</v>
      </c>
      <c r="BA101">
        <f t="shared" si="16"/>
        <v>0</v>
      </c>
      <c r="BB101">
        <f t="shared" si="17"/>
        <v>0</v>
      </c>
      <c r="BC101" s="33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3" cm="1">
        <f t="array" ref="BD101">$G$13+VLOOKUP($Q101,武学奇术!$A:$ZZ,14,FALSE)+SUM(_xlfn.XLOOKUP(R101:AF101,增益!$A:$A,增益!$N:$N,0))</f>
        <v>0</v>
      </c>
      <c r="BE101">
        <f t="shared" si="18"/>
        <v>605.472</v>
      </c>
      <c r="BF101">
        <f t="shared" si="19"/>
        <v>1725.468</v>
      </c>
      <c r="BG101" s="33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</v>
      </c>
      <c r="BH101" s="33" cm="1">
        <f t="array" ref="BH101">$G$14+VLOOKUP($Q101,武学奇术!$A:$ZZ,16,FALSE)+SUM(_xlfn.XLOOKUP(R101:AF101,增益!$A:$A,增益!$P:$P,0))</f>
        <v>0.24</v>
      </c>
      <c r="BI101" s="27">
        <f>MIN(IF(VLOOKUP($Q101,武学奇术!$A:$ZZ,23,FALSE)=1,100%,$B$8),100%)</f>
        <v>1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+MIN(IF(VLOOKUP($Q101,武学奇术!$A:$ZZ,32,FALSE)=1,IF(VLOOKUP($Q101,武学奇术!$A:$ZZ,24,FALSE)=1,100%,MIN(40%,$B$10+VLOOKUP($Q101,武学奇术!$A:$ZZ,19,FALSE)+SUM(_xlfn.XLOOKUP(R101:AF101,增益!$A:$A,增益!$S:$S,0)))+$B$12+SUM(_xlfn.XLOOKUP(R101:AF101,增益!$A:$A,增益!$V:$V,0))),0),12%)</f>
        <v>0.9036</v>
      </c>
      <c r="BK101" s="27" cm="1">
        <f t="array" ref="BK101">1+$B$13+VLOOKUP($Q101,武学奇术!$A:$ZZ,18,FALSE)+SUM(_xlfn.XLOOKUP(R101:AF101,增益!$A:$A,增益!$R:$R,0))</f>
        <v>1.64</v>
      </c>
      <c r="BL101" s="27" cm="1">
        <f t="array" ref="BL101">MAX(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-IF(VLOOKUP($Q101,武学奇术!$A:$ZZ,32,FALSE)=1,12%,0),0)</f>
        <v>0.0929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20"/>
        <v>0.9036</v>
      </c>
      <c r="BO101" s="27">
        <f t="shared" si="21"/>
        <v>0.00350000000000006</v>
      </c>
      <c r="BP101" s="27">
        <f>IF(VLOOKUP($Q101,武学奇术!$A:$ZZ,22,FALSE)=1,0,(1-$BI101))*(1-$BL101)</f>
        <v>0</v>
      </c>
      <c r="BQ101" s="27" cm="1">
        <f t="array" ref="BQ101">SUM(_xlfn.XLOOKUP(R101:AF101,增益!$A:$A,增益!$W:$W,0))+$I$5</f>
        <v>0.11</v>
      </c>
    </row>
    <row r="102" spans="11:69">
      <c r="K102" s="39">
        <f t="shared" si="11"/>
        <v>859500.024086119</v>
      </c>
      <c r="L102" s="39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BK102*$P102*(1+IF(VLOOKUP($Q102,武学奇术!$A:$ZZ,30,FALSE)="蓄力技",$B$21,0))*(1+$BQ102)</f>
        <v>861253.160750157</v>
      </c>
      <c r="M102" s="39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544420.344370039</v>
      </c>
      <c r="N102" s="39">
        <f>((($AN102+($AO102-$AN102)*IF(VLOOKUP($Q102,武学奇术!$A:$ZZ,31,FALSE)=1,$F$18,0.5))*$AH102+$AI102)*(1+$AP102)*(1+$AQ102)+(($AS102+($AT102-$AS102)*IF(VLOOKUP($Q102,武学奇术!$A:$ZZ,31,FALSE)=1,$F$18,0.5))*IF($G$1="鸣金",$AJ102,$AH102)+IF($G$1="鸣金",$AK102*1.5,0))*(1+$AU102)*(1+$AV102)+(($AW102+($AX102-$AW102)*IF(VLOOKUP($Q102,武学奇术!$A:$ZZ,31,FALSE)=1,$F$18,0.5))*IF($G$1="裂石",$AJ102,$AH102)+IF($G$1="裂石",$AK102*1.5,0))*(1+$AY102)*(1+$AZ102)+(($BA102+($BB102-$BA102)*IF(VLOOKUP($Q102,武学奇术!$A:$ZZ,31,FALSE)=1,$F$18,0.5))*IF($G$1="牵丝",$AJ102,$AH102)+IF($G$1="牵丝",$AK102*1.5,0))*(1+$BC102)*(1+$BD102)+(($BE102+($BF102-$BE102)*IF(VLOOKUP($Q102,武学奇术!$A:$ZZ,31,FALSE)=1,$F$18,0.5))*IF($G$1="破竹",$AJ102,$AH102)+IF($G$1="破竹",$AK102*1.5,0))*(1+$BG102)*(1+$BH102))*(1+$AL102)*$P102*(1+IF(VLOOKUP($Q102,武学奇术!$A:$ZZ,30,FALSE)="蓄力技",$B$21,0))*(1+$BQ102)</f>
        <v>360356.97102517</v>
      </c>
      <c r="O102" s="39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317439.612887348</v>
      </c>
      <c r="P102" s="40">
        <v>1</v>
      </c>
      <c r="Q102" s="41" t="s">
        <v>131</v>
      </c>
      <c r="R102" s="41" t="s">
        <v>97</v>
      </c>
      <c r="S102" s="41" t="s">
        <v>132</v>
      </c>
      <c r="T102" s="41" t="s">
        <v>73</v>
      </c>
      <c r="U102" s="41" t="s">
        <v>73</v>
      </c>
      <c r="V102" s="41" t="s">
        <v>73</v>
      </c>
      <c r="W102" s="41" t="s">
        <v>73</v>
      </c>
      <c r="X102" s="41" t="s">
        <v>164</v>
      </c>
      <c r="Y102" s="41" t="s">
        <v>73</v>
      </c>
      <c r="Z102" s="41" t="s">
        <v>105</v>
      </c>
      <c r="AA102" s="41" t="s">
        <v>73</v>
      </c>
      <c r="AB102" s="41" t="s">
        <v>73</v>
      </c>
      <c r="AC102" s="41" t="s">
        <v>73</v>
      </c>
      <c r="AD102" s="41" t="s">
        <v>73</v>
      </c>
      <c r="AE102" s="41" t="s">
        <v>77</v>
      </c>
      <c r="AF102" s="41" t="s">
        <v>78</v>
      </c>
      <c r="AG102" t="str">
        <f>VLOOKUP($Q102,武学奇术!$A:$ZZ,25,FALSE)</f>
        <v>拳甲</v>
      </c>
      <c r="AH102" s="27">
        <f>VLOOKUP($Q102,武学奇术!$A:$ZZ,26,FALSE)</f>
        <v>16.8107</v>
      </c>
      <c r="AI102" s="28">
        <f>VLOOKUP($Q102,武学奇术!$A:$ZZ,27,FALSE)*(1+IF(OR($AG102=$F$4,$AG102=$F$5),$B$22,0))</f>
        <v>6970.5</v>
      </c>
      <c r="AJ102" s="27">
        <f>VLOOKUP($Q102,武学奇术!$A:$ZZ,28,FALSE)</f>
        <v>25.2161</v>
      </c>
      <c r="AK102" s="28">
        <f>VLOOKUP($Q102,武学奇术!$A:$ZZ,29,FALSE)*(1+IF(OR($AG102=$F$4,$AG102=$F$5),$B$22,0))</f>
        <v>3799.5</v>
      </c>
      <c r="AL102" s="27" cm="1">
        <f t="array" ref="AL102">$G$3+IFERROR(VLOOKUP($AG102,$F$4:$G$7,2,FALSE),0)+VLOOKUP($Q102,武学奇术!$A:$ZZ,2,FALSE)+SUM(_xlfn.XLOOKUP($R102:$AF102,增益!$A:$A,增益!$B:$B,0))</f>
        <v>0.6241</v>
      </c>
      <c r="AM102" s="27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3826.382</v>
      </c>
      <c r="AO102" cm="1">
        <f t="array" ref="AO102">$E$10*(1+$AM102)+VLOOKUP($Q102,武学奇术!$A:$ZZ,4,FALSE)+SUM(_xlfn.XLOOKUP($R102:$AF102,增益!$A:$A,增益!$D:$D,0))-$I$2</f>
        <v>3826.382</v>
      </c>
      <c r="AP102" s="33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0.372</v>
      </c>
      <c r="AQ102" s="33" cm="1">
        <f t="array" ref="AQ102">$G$10+VLOOKUP($Q102,武学奇术!$A:$ZZ,7,FALSE)+SUM(_xlfn.XLOOKUP(R102:AF102,增益!$A:$A,增益!$G:$G,0))</f>
        <v>0.09</v>
      </c>
      <c r="AR102" s="27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33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-0.24</v>
      </c>
      <c r="AV102" s="33" cm="1">
        <f t="array" ref="AV102">$G$11+VLOOKUP($Q102,武学奇术!$A:$ZZ,10,FALSE)+SUM(_xlfn.XLOOKUP(R102:AF102,增益!$A:$A,增益!$J:$J,0))</f>
        <v>0</v>
      </c>
      <c r="AW102">
        <f t="shared" si="14"/>
        <v>0</v>
      </c>
      <c r="AX102">
        <f t="shared" si="15"/>
        <v>0</v>
      </c>
      <c r="AY102" s="33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-0.24</v>
      </c>
      <c r="AZ102" s="33" cm="1">
        <f t="array" ref="AZ102">$G$12+VLOOKUP($Q102,武学奇术!$A:$ZZ,12,FALSE)+SUM(_xlfn.XLOOKUP(R102:AF102,增益!$A:$A,增益!$L:$L,0))</f>
        <v>0</v>
      </c>
      <c r="BA102">
        <f t="shared" si="16"/>
        <v>0</v>
      </c>
      <c r="BB102">
        <f t="shared" si="17"/>
        <v>0</v>
      </c>
      <c r="BC102" s="33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-0.24</v>
      </c>
      <c r="BD102" s="33" cm="1">
        <f t="array" ref="BD102">$G$13+VLOOKUP($Q102,武学奇术!$A:$ZZ,14,FALSE)+SUM(_xlfn.XLOOKUP(R102:AF102,增益!$A:$A,增益!$N:$N,0))</f>
        <v>0</v>
      </c>
      <c r="BE102">
        <f t="shared" si="18"/>
        <v>605.472</v>
      </c>
      <c r="BF102">
        <f t="shared" si="19"/>
        <v>1725.468</v>
      </c>
      <c r="BG102" s="33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0.03</v>
      </c>
      <c r="BH102" s="33" cm="1">
        <f t="array" ref="BH102">$G$14+VLOOKUP($Q102,武学奇术!$A:$ZZ,16,FALSE)+SUM(_xlfn.XLOOKUP(R102:AF102,增益!$A:$A,增益!$P:$P,0))</f>
        <v>0.24</v>
      </c>
      <c r="BI102" s="27">
        <f>MIN(IF(VLOOKUP($Q102,武学奇术!$A:$ZZ,23,FALSE)=1,100%,$B$8),100%)</f>
        <v>1</v>
      </c>
      <c r="BJ102" s="27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+MIN(IF(VLOOKUP($Q102,武学奇术!$A:$ZZ,32,FALSE)=1,IF(VLOOKUP($Q102,武学奇术!$A:$ZZ,24,FALSE)=1,100%,MIN(40%,$B$10+VLOOKUP($Q102,武学奇术!$A:$ZZ,19,FALSE)+SUM(_xlfn.XLOOKUP(R102:AF102,增益!$A:$A,增益!$S:$S,0)))+$B$12+SUM(_xlfn.XLOOKUP(R102:AF102,增益!$A:$A,增益!$V:$V,0))),0),12%)</f>
        <v>0.9965</v>
      </c>
      <c r="BK102" s="27" cm="1">
        <f t="array" ref="BK102">1+$B$13+VLOOKUP($Q102,武学奇术!$A:$ZZ,18,FALSE)+SUM(_xlfn.XLOOKUP(R102:AF102,增益!$A:$A,增益!$R:$R,0))</f>
        <v>2.39</v>
      </c>
      <c r="BL102" s="27" cm="1">
        <f t="array" ref="BL102">MAX(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-IF(VLOOKUP($Q102,武学奇术!$A:$ZZ,32,FALSE)=1,12%,0),0)</f>
        <v>0</v>
      </c>
      <c r="BM102" s="27" cm="1">
        <f t="array" ref="BM102">1+$B$14+VLOOKUP($Q102,武学奇术!$A:$ZZ,20,FALSE)+SUM(_xlfn.XLOOKUP(R102:AF102,增益!$A:$A,增益!$T:$T,0))</f>
        <v>1.35</v>
      </c>
      <c r="BN102" s="27">
        <f t="shared" si="20"/>
        <v>0.9965</v>
      </c>
      <c r="BO102" s="27">
        <f t="shared" si="21"/>
        <v>0.00350000000000006</v>
      </c>
      <c r="BP102" s="27">
        <f>IF(VLOOKUP($Q102,武学奇术!$A:$ZZ,22,FALSE)=1,0,(1-$BI102))*(1-$BL102)</f>
        <v>0</v>
      </c>
      <c r="BQ102" s="27" cm="1">
        <f t="array" ref="BQ102">SUM(_xlfn.XLOOKUP(R102:AF102,增益!$A:$A,增益!$W:$W,0))+$I$5</f>
        <v>0.11</v>
      </c>
    </row>
    <row r="103" spans="11:69">
      <c r="K103" s="39">
        <f t="shared" si="11"/>
        <v>330918.591776997</v>
      </c>
      <c r="L103" s="39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BK103*$P103*(1+IF(VLOOKUP($Q103,武学奇术!$A:$ZZ,30,FALSE)="蓄力技",$B$21,0))*(1+$BQ103)</f>
        <v>331593.571997821</v>
      </c>
      <c r="M103" s="39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蓄力技",$B$21,0))*(1+$BQ103)</f>
        <v>209608.292603397</v>
      </c>
      <c r="N103" s="39">
        <f>((($AN103+($AO103-$AN103)*IF(VLOOKUP($Q103,武学奇术!$A:$ZZ,31,FALSE)=1,$F$18,0.5))*$AH103+$AI103)*(1+$AP103)*(1+$AQ103)+(($AS103+($AT103-$AS103)*IF(VLOOKUP($Q103,武学奇术!$A:$ZZ,31,FALSE)=1,$F$18,0.5))*IF($G$1="鸣金",$AJ103,$AH103)+IF($G$1="鸣金",$AK103*1.5,0))*(1+$AU103)*(1+$AV103)+(($AW103+($AX103-$AW103)*IF(VLOOKUP($Q103,武学奇术!$A:$ZZ,31,FALSE)=1,$F$18,0.5))*IF($G$1="裂石",$AJ103,$AH103)+IF($G$1="裂石",$AK103*1.5,0))*(1+$AY103)*(1+$AZ103)+(($BA103+($BB103-$BA103)*IF(VLOOKUP($Q103,武学奇术!$A:$ZZ,31,FALSE)=1,$F$18,0.5))*IF($G$1="牵丝",$AJ103,$AH103)+IF($G$1="牵丝",$AK103*1.5,0))*(1+$BC103)*(1+$BD103)+(($BE103+($BF103-$BE103)*IF(VLOOKUP($Q103,武学奇术!$A:$ZZ,31,FALSE)=1,$F$18,0.5))*IF($G$1="破竹",$AJ103,$AH103)+IF($G$1="破竹",$AK103*1.5,0))*(1+$BG103)*(1+$BH103))*(1+$AL103)*$P103*(1+IF(VLOOKUP($Q103,武学奇术!$A:$ZZ,30,FALSE)="蓄力技",$B$21,0))*(1+$BQ103)</f>
        <v>138742.080333816</v>
      </c>
      <c r="O103" s="39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蓄力技",$B$21,0))*(1+$BQ103)</f>
        <v>122218.75873919</v>
      </c>
      <c r="P103" s="40">
        <v>1</v>
      </c>
      <c r="Q103" s="41" t="s">
        <v>138</v>
      </c>
      <c r="R103" s="41" t="s">
        <v>97</v>
      </c>
      <c r="S103" s="41" t="s">
        <v>132</v>
      </c>
      <c r="T103" s="41" t="s">
        <v>73</v>
      </c>
      <c r="U103" s="41" t="s">
        <v>73</v>
      </c>
      <c r="V103" s="41" t="s">
        <v>73</v>
      </c>
      <c r="W103" s="41" t="s">
        <v>73</v>
      </c>
      <c r="X103" s="41" t="s">
        <v>164</v>
      </c>
      <c r="Y103" s="41" t="s">
        <v>73</v>
      </c>
      <c r="Z103" s="41" t="s">
        <v>105</v>
      </c>
      <c r="AA103" s="41" t="s">
        <v>73</v>
      </c>
      <c r="AB103" s="41" t="s">
        <v>73</v>
      </c>
      <c r="AC103" s="41" t="s">
        <v>73</v>
      </c>
      <c r="AD103" s="41" t="s">
        <v>73</v>
      </c>
      <c r="AE103" s="41" t="s">
        <v>77</v>
      </c>
      <c r="AF103" s="41" t="s">
        <v>78</v>
      </c>
      <c r="AG103" t="str">
        <f>VLOOKUP($Q103,武学奇术!$A:$ZZ,25,FALSE)</f>
        <v>拳甲</v>
      </c>
      <c r="AH103" s="27">
        <f>VLOOKUP($Q103,武学奇术!$A:$ZZ,26,FALSE)</f>
        <v>6.4722</v>
      </c>
      <c r="AI103" s="28">
        <f>VLOOKUP($Q103,武学奇术!$A:$ZZ,27,FALSE)*(1+IF(OR($AG103=$F$4,$AG103=$F$5),$B$22,0))</f>
        <v>2683.8</v>
      </c>
      <c r="AJ103" s="27">
        <f>VLOOKUP($Q103,武学奇术!$A:$ZZ,28,FALSE)</f>
        <v>9.70828</v>
      </c>
      <c r="AK103" s="28">
        <f>VLOOKUP($Q103,武学奇术!$A:$ZZ,29,FALSE)*(1+IF(OR($AG103=$F$4,$AG103=$F$5),$B$22,0))</f>
        <v>1463.4</v>
      </c>
      <c r="AL103" s="27" cm="1">
        <f t="array" ref="AL103">$G$3+IFERROR(VLOOKUP($AG103,$F$4:$G$7,2,FALSE),0)+VLOOKUP($Q103,武学奇术!$A:$ZZ,2,FALSE)+SUM(_xlfn.XLOOKUP($R103:$AF103,增益!$A:$A,增益!$B:$B,0))</f>
        <v>0.6241</v>
      </c>
      <c r="AM103" s="27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3826.382</v>
      </c>
      <c r="AO103" cm="1">
        <f t="array" ref="AO103">$E$10*(1+$AM103)+VLOOKUP($Q103,武学奇术!$A:$ZZ,4,FALSE)+SUM(_xlfn.XLOOKUP($R103:$AF103,增益!$A:$A,增益!$D:$D,0))-$I$2</f>
        <v>3826.382</v>
      </c>
      <c r="AP103" s="33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0.372</v>
      </c>
      <c r="AQ103" s="33" cm="1">
        <f t="array" ref="AQ103">$G$10+VLOOKUP($Q103,武学奇术!$A:$ZZ,7,FALSE)+SUM(_xlfn.XLOOKUP(R103:AF103,增益!$A:$A,增益!$G:$G,0))</f>
        <v>0.09</v>
      </c>
      <c r="AR103" s="27" cm="1">
        <f t="array" ref="AR103">VLOOKUP($Q103,武学奇术!$A:$ZZ,8,FALSE)+SUM(_xlfn.XLOOKUP(R103:AF103,增益!$A:$A,增益!$H:$H,0))</f>
        <v>0</v>
      </c>
      <c r="AS103">
        <f t="shared" si="12"/>
        <v>0</v>
      </c>
      <c r="AT103">
        <f t="shared" si="13"/>
        <v>0</v>
      </c>
      <c r="AU103" s="33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-0.24</v>
      </c>
      <c r="AV103" s="33" cm="1">
        <f t="array" ref="AV103">$G$11+VLOOKUP($Q103,武学奇术!$A:$ZZ,10,FALSE)+SUM(_xlfn.XLOOKUP(R103:AF103,增益!$A:$A,增益!$J:$J,0))</f>
        <v>0</v>
      </c>
      <c r="AW103">
        <f t="shared" si="14"/>
        <v>0</v>
      </c>
      <c r="AX103">
        <f t="shared" si="15"/>
        <v>0</v>
      </c>
      <c r="AY103" s="33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-0.24</v>
      </c>
      <c r="AZ103" s="33" cm="1">
        <f t="array" ref="AZ103">$G$12+VLOOKUP($Q103,武学奇术!$A:$ZZ,12,FALSE)+SUM(_xlfn.XLOOKUP(R103:AF103,增益!$A:$A,增益!$L:$L,0))</f>
        <v>0</v>
      </c>
      <c r="BA103">
        <f t="shared" si="16"/>
        <v>0</v>
      </c>
      <c r="BB103">
        <f t="shared" si="17"/>
        <v>0</v>
      </c>
      <c r="BC103" s="33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-0.24</v>
      </c>
      <c r="BD103" s="33" cm="1">
        <f t="array" ref="BD103">$G$13+VLOOKUP($Q103,武学奇术!$A:$ZZ,14,FALSE)+SUM(_xlfn.XLOOKUP(R103:AF103,增益!$A:$A,增益!$N:$N,0))</f>
        <v>0</v>
      </c>
      <c r="BE103">
        <f t="shared" si="18"/>
        <v>605.472</v>
      </c>
      <c r="BF103">
        <f t="shared" si="19"/>
        <v>1725.468</v>
      </c>
      <c r="BG103" s="33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0.03</v>
      </c>
      <c r="BH103" s="33" cm="1">
        <f t="array" ref="BH103">$G$14+VLOOKUP($Q103,武学奇术!$A:$ZZ,16,FALSE)+SUM(_xlfn.XLOOKUP(R103:AF103,增益!$A:$A,增益!$P:$P,0))</f>
        <v>0.24</v>
      </c>
      <c r="BI103" s="27">
        <f>MIN(IF(VLOOKUP($Q103,武学奇术!$A:$ZZ,23,FALSE)=1,100%,$B$8),100%)</f>
        <v>1</v>
      </c>
      <c r="BJ103" s="27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+MIN(IF(VLOOKUP($Q103,武学奇术!$A:$ZZ,32,FALSE)=1,IF(VLOOKUP($Q103,武学奇术!$A:$ZZ,24,FALSE)=1,100%,MIN(40%,$B$10+VLOOKUP($Q103,武学奇术!$A:$ZZ,19,FALSE)+SUM(_xlfn.XLOOKUP(R103:AF103,增益!$A:$A,增益!$S:$S,0)))+$B$12+SUM(_xlfn.XLOOKUP(R103:AF103,增益!$A:$A,增益!$V:$V,0))),0),12%)</f>
        <v>0.9965</v>
      </c>
      <c r="BK103" s="27" cm="1">
        <f t="array" ref="BK103">1+$B$13+VLOOKUP($Q103,武学奇术!$A:$ZZ,18,FALSE)+SUM(_xlfn.XLOOKUP(R103:AF103,增益!$A:$A,增益!$R:$R,0))</f>
        <v>2.39</v>
      </c>
      <c r="BL103" s="27" cm="1">
        <f t="array" ref="BL103">MAX(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-IF(VLOOKUP($Q103,武学奇术!$A:$ZZ,32,FALSE)=1,12%,0),0)</f>
        <v>0</v>
      </c>
      <c r="BM103" s="27" cm="1">
        <f t="array" ref="BM103">1+$B$14+VLOOKUP($Q103,武学奇术!$A:$ZZ,20,FALSE)+SUM(_xlfn.XLOOKUP(R103:AF103,增益!$A:$A,增益!$T:$T,0))</f>
        <v>1.35</v>
      </c>
      <c r="BN103" s="27">
        <f t="shared" si="20"/>
        <v>0.9965</v>
      </c>
      <c r="BO103" s="27">
        <f t="shared" si="21"/>
        <v>0.00350000000000006</v>
      </c>
      <c r="BP103" s="27">
        <f>IF(VLOOKUP($Q103,武学奇术!$A:$ZZ,22,FALSE)=1,0,(1-$BI103))*(1-$BL103)</f>
        <v>0</v>
      </c>
      <c r="BQ103" s="27" cm="1">
        <f t="array" ref="BQ103">SUM(_xlfn.XLOOKUP(R103:AF103,增益!$A:$A,增益!$W:$W,0))+$I$5</f>
        <v>0.11</v>
      </c>
    </row>
    <row r="104" spans="11:69">
      <c r="K104" s="39">
        <f t="shared" si="11"/>
        <v>604637.964022461</v>
      </c>
      <c r="L104" s="39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BK104*$P104*(1+IF(VLOOKUP($Q104,武学奇术!$A:$ZZ,30,FALSE)="蓄力技",$B$21,0))*(1+$BQ104)</f>
        <v>609006.167026692</v>
      </c>
      <c r="M104" s="39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蓄力技",$B$21,0))*(1+$BQ104)</f>
        <v>570939.539438672</v>
      </c>
      <c r="N104" s="39">
        <f>((($AN104+($AO104-$AN104)*IF(VLOOKUP($Q104,武学奇术!$A:$ZZ,31,FALSE)=1,$F$18,0.5))*$AH104+$AI104)*(1+$AP104)*(1+$AQ104)+(($AS104+($AT104-$AS104)*IF(VLOOKUP($Q104,武学奇术!$A:$ZZ,31,FALSE)=1,$F$18,0.5))*IF($G$1="鸣金",$AJ104,$AH104)+IF($G$1="鸣金",$AK104*1.5,0))*(1+$AU104)*(1+$AV104)+(($AW104+($AX104-$AW104)*IF(VLOOKUP($Q104,武学奇术!$A:$ZZ,31,FALSE)=1,$F$18,0.5))*IF($G$1="裂石",$AJ104,$AH104)+IF($G$1="裂石",$AK104*1.5,0))*(1+$AY104)*(1+$AZ104)+(($BA104+($BB104-$BA104)*IF(VLOOKUP($Q104,武学奇术!$A:$ZZ,31,FALSE)=1,$F$18,0.5))*IF($G$1="牵丝",$AJ104,$AH104)+IF($G$1="牵丝",$AK104*1.5,0))*(1+$BC104)*(1+$BD104)+(($BE104+($BF104-$BE104)*IF(VLOOKUP($Q104,武学奇术!$A:$ZZ,31,FALSE)=1,$F$18,0.5))*IF($G$1="破竹",$AJ104,$AH104)+IF($G$1="破竹",$AK104*1.5,0))*(1+$BG104)*(1+$BH104))*(1+$AL104)*$P104*(1+IF(VLOOKUP($Q104,武学奇术!$A:$ZZ,30,FALSE)="蓄力技",$B$21,0))*(1+$BQ104)</f>
        <v>371345.223796764</v>
      </c>
      <c r="O104" s="39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蓄力技",$B$21,0))*(1+$BQ104)</f>
        <v>319772.270231548</v>
      </c>
      <c r="P104" s="40">
        <v>1</v>
      </c>
      <c r="Q104" s="41" t="s">
        <v>191</v>
      </c>
      <c r="R104" s="41" t="s">
        <v>97</v>
      </c>
      <c r="S104" s="41" t="s">
        <v>73</v>
      </c>
      <c r="T104" s="41" t="s">
        <v>73</v>
      </c>
      <c r="U104" s="41" t="s">
        <v>73</v>
      </c>
      <c r="V104" s="41" t="s">
        <v>179</v>
      </c>
      <c r="W104" s="41" t="s">
        <v>73</v>
      </c>
      <c r="X104" s="41" t="s">
        <v>164</v>
      </c>
      <c r="Y104" s="41" t="s">
        <v>73</v>
      </c>
      <c r="Z104" s="41" t="s">
        <v>73</v>
      </c>
      <c r="AA104" s="41" t="s">
        <v>73</v>
      </c>
      <c r="AB104" s="41" t="s">
        <v>73</v>
      </c>
      <c r="AC104" s="41" t="s">
        <v>73</v>
      </c>
      <c r="AD104" s="41" t="s">
        <v>73</v>
      </c>
      <c r="AE104" s="41" t="s">
        <v>77</v>
      </c>
      <c r="AF104" s="41" t="s">
        <v>78</v>
      </c>
      <c r="AG104" t="str">
        <f>VLOOKUP($Q104,武学奇术!$A:$ZZ,25,FALSE)</f>
        <v>单体奇术</v>
      </c>
      <c r="AH104" s="27">
        <f>VLOOKUP($Q104,武学奇术!$A:$ZZ,26,FALSE)</f>
        <v>25.201792</v>
      </c>
      <c r="AI104" s="28">
        <f>VLOOKUP($Q104,武学奇术!$A:$ZZ,27,FALSE)*(1+IF(OR($AG104=$F$4,$AG104=$F$5),$B$22,0))</f>
        <v>4869.48</v>
      </c>
      <c r="AJ104" s="27">
        <f>VLOOKUP($Q104,武学奇术!$A:$ZZ,28,FALSE)</f>
        <v>37.802688</v>
      </c>
      <c r="AK104" s="28">
        <f>VLOOKUP($Q104,武学奇术!$A:$ZZ,29,FALSE)*(1+IF(OR($AG104=$F$4,$AG104=$F$5),$B$22,0))</f>
        <v>0</v>
      </c>
      <c r="AL104" s="27" cm="1">
        <f t="array" ref="AL104">$G$3+IFERROR(VLOOKUP($AG104,$F$4:$G$7,2,FALSE),0)+VLOOKUP($Q104,武学奇术!$A:$ZZ,2,FALSE)+SUM(_xlfn.XLOOKUP($R104:$AF104,增益!$A:$A,增益!$B:$B,0))</f>
        <v>0.6237</v>
      </c>
      <c r="AM104" s="27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3826.382</v>
      </c>
      <c r="AO104" cm="1">
        <f t="array" ref="AO104">$E$10*(1+$AM104)+VLOOKUP($Q104,武学奇术!$A:$ZZ,4,FALSE)+SUM(_xlfn.XLOOKUP($R104:$AF104,增益!$A:$A,增益!$D:$D,0))-$I$2</f>
        <v>3826.382</v>
      </c>
      <c r="AP104" s="33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0.217</v>
      </c>
      <c r="AQ104" s="33" cm="1">
        <f t="array" ref="AQ104">$G$10+VLOOKUP($Q104,武学奇术!$A:$ZZ,7,FALSE)+SUM(_xlfn.XLOOKUP(R104:AF104,增益!$A:$A,增益!$G:$G,0))</f>
        <v>0.09</v>
      </c>
      <c r="AR104" s="27" cm="1">
        <f t="array" ref="AR104">VLOOKUP($Q104,武学奇术!$A:$ZZ,8,FALSE)+SUM(_xlfn.XLOOKUP(R104:AF104,增益!$A:$A,增益!$H:$H,0))</f>
        <v>0</v>
      </c>
      <c r="AS104">
        <f t="shared" si="12"/>
        <v>0</v>
      </c>
      <c r="AT104">
        <f t="shared" si="13"/>
        <v>0</v>
      </c>
      <c r="AU104" s="33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-0.3</v>
      </c>
      <c r="AV104" s="33" cm="1">
        <f t="array" ref="AV104">$G$11+VLOOKUP($Q104,武学奇术!$A:$ZZ,10,FALSE)+SUM(_xlfn.XLOOKUP(R104:AF104,增益!$A:$A,增益!$J:$J,0))</f>
        <v>0</v>
      </c>
      <c r="AW104">
        <f t="shared" si="14"/>
        <v>0</v>
      </c>
      <c r="AX104">
        <f t="shared" si="15"/>
        <v>0</v>
      </c>
      <c r="AY104" s="33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-0.3</v>
      </c>
      <c r="AZ104" s="33" cm="1">
        <f t="array" ref="AZ104">$G$12+VLOOKUP($Q104,武学奇术!$A:$ZZ,12,FALSE)+SUM(_xlfn.XLOOKUP(R104:AF104,增益!$A:$A,增益!$L:$L,0))</f>
        <v>0</v>
      </c>
      <c r="BA104">
        <f t="shared" si="16"/>
        <v>0</v>
      </c>
      <c r="BB104">
        <f t="shared" si="17"/>
        <v>0</v>
      </c>
      <c r="BC104" s="33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-0.3</v>
      </c>
      <c r="BD104" s="33" cm="1">
        <f t="array" ref="BD104">$G$13+VLOOKUP($Q104,武学奇术!$A:$ZZ,14,FALSE)+SUM(_xlfn.XLOOKUP(R104:AF104,增益!$A:$A,增益!$N:$N,0))</f>
        <v>0</v>
      </c>
      <c r="BE104">
        <f t="shared" si="18"/>
        <v>605.472</v>
      </c>
      <c r="BF104">
        <f t="shared" si="19"/>
        <v>1725.468</v>
      </c>
      <c r="BG104" s="33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0</v>
      </c>
      <c r="BH104" s="33" cm="1">
        <f t="array" ref="BH104">$G$14+VLOOKUP($Q104,武学奇术!$A:$ZZ,16,FALSE)+SUM(_xlfn.XLOOKUP(R104:AF104,增益!$A:$A,增益!$P:$P,0))</f>
        <v>0.24</v>
      </c>
      <c r="BI104" s="27">
        <f>MIN(IF(VLOOKUP($Q104,武学奇术!$A:$ZZ,23,FALSE)=1,100%,$B$8),100%)</f>
        <v>1</v>
      </c>
      <c r="BJ104" s="27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+MIN(IF(VLOOKUP($Q104,武学奇术!$A:$ZZ,32,FALSE)=1,IF(VLOOKUP($Q104,武学奇术!$A:$ZZ,24,FALSE)=1,100%,MIN(40%,$B$10+VLOOKUP($Q104,武学奇术!$A:$ZZ,19,FALSE)+SUM(_xlfn.XLOOKUP(R104:AF104,增益!$A:$A,增益!$S:$S,0)))+$B$12+SUM(_xlfn.XLOOKUP(R104:AF104,增益!$A:$A,增益!$V:$V,0))),0),12%)</f>
        <v>0.9036</v>
      </c>
      <c r="BK104" s="27" cm="1">
        <f t="array" ref="BK104">1+$B$13+VLOOKUP($Q104,武学奇术!$A:$ZZ,18,FALSE)+SUM(_xlfn.XLOOKUP(R104:AF104,增益!$A:$A,增益!$R:$R,0))</f>
        <v>1.64</v>
      </c>
      <c r="BL104" s="27" cm="1">
        <f t="array" ref="BL104">MAX(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-IF(VLOOKUP($Q104,武学奇术!$A:$ZZ,32,FALSE)=1,12%,0),0)</f>
        <v>0.0929</v>
      </c>
      <c r="BM104" s="27" cm="1">
        <f t="array" ref="BM104">1+$B$14+VLOOKUP($Q104,武学奇术!$A:$ZZ,20,FALSE)+SUM(_xlfn.XLOOKUP(R104:AF104,增益!$A:$A,增益!$T:$T,0))</f>
        <v>1.35</v>
      </c>
      <c r="BN104" s="27">
        <f t="shared" si="20"/>
        <v>0.9036</v>
      </c>
      <c r="BO104" s="27">
        <f t="shared" si="21"/>
        <v>0.00350000000000006</v>
      </c>
      <c r="BP104" s="27">
        <f>IF(VLOOKUP($Q104,武学奇术!$A:$ZZ,22,FALSE)=1,0,(1-$BI104))*(1-$BL104)</f>
        <v>0</v>
      </c>
      <c r="BQ104" s="27" cm="1">
        <f t="array" ref="BQ104">SUM(_xlfn.XLOOKUP(R104:AF104,增益!$A:$A,增益!$W:$W,0))+$I$5</f>
        <v>0.21</v>
      </c>
    </row>
    <row r="105" spans="11:69">
      <c r="K105" s="39">
        <f t="shared" si="11"/>
        <v>0</v>
      </c>
      <c r="L105" s="39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BK105*$P105*(1+IF(VLOOKUP($Q105,武学奇术!$A:$ZZ,30,FALSE)="蓄力技",$B$21,0))*(1+$BQ105)</f>
        <v>0</v>
      </c>
      <c r="M105" s="39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蓄力技",$B$21,0))*(1+$BQ105)</f>
        <v>0</v>
      </c>
      <c r="N105" s="39">
        <f>((($AN105+($AO105-$AN105)*IF(VLOOKUP($Q105,武学奇术!$A:$ZZ,31,FALSE)=1,$F$18,0.5))*$AH105+$AI105)*(1+$AP105)*(1+$AQ105)+(($AS105+($AT105-$AS105)*IF(VLOOKUP($Q105,武学奇术!$A:$ZZ,31,FALSE)=1,$F$18,0.5))*IF($G$1="鸣金",$AJ105,$AH105)+IF($G$1="鸣金",$AK105*1.5,0))*(1+$AU105)*(1+$AV105)+(($AW105+($AX105-$AW105)*IF(VLOOKUP($Q105,武学奇术!$A:$ZZ,31,FALSE)=1,$F$18,0.5))*IF($G$1="裂石",$AJ105,$AH105)+IF($G$1="裂石",$AK105*1.5,0))*(1+$AY105)*(1+$AZ105)+(($BA105+($BB105-$BA105)*IF(VLOOKUP($Q105,武学奇术!$A:$ZZ,31,FALSE)=1,$F$18,0.5))*IF($G$1="牵丝",$AJ105,$AH105)+IF($G$1="牵丝",$AK105*1.5,0))*(1+$BC105)*(1+$BD105)+(($BE105+($BF105-$BE105)*IF(VLOOKUP($Q105,武学奇术!$A:$ZZ,31,FALSE)=1,$F$18,0.5))*IF($G$1="破竹",$AJ105,$AH105)+IF($G$1="破竹",$AK105*1.5,0))*(1+$BG105)*(1+$BH105))*(1+$AL105)*$P105*(1+IF(VLOOKUP($Q105,武学奇术!$A:$ZZ,30,FALSE)="蓄力技",$B$21,0))*(1+$BQ105)</f>
        <v>0</v>
      </c>
      <c r="O105" s="39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蓄力技",$B$21,0))*(1+$BQ105)</f>
        <v>0</v>
      </c>
      <c r="P105" s="40">
        <v>1</v>
      </c>
      <c r="Q105" s="41" t="s">
        <v>73</v>
      </c>
      <c r="R105" s="41" t="s">
        <v>73</v>
      </c>
      <c r="S105" s="41" t="s">
        <v>73</v>
      </c>
      <c r="T105" s="41" t="s">
        <v>73</v>
      </c>
      <c r="U105" s="41" t="s">
        <v>73</v>
      </c>
      <c r="V105" s="41" t="s">
        <v>73</v>
      </c>
      <c r="W105" s="41" t="s">
        <v>73</v>
      </c>
      <c r="X105" s="41" t="s">
        <v>73</v>
      </c>
      <c r="Y105" s="41" t="s">
        <v>73</v>
      </c>
      <c r="Z105" s="41" t="s">
        <v>73</v>
      </c>
      <c r="AA105" s="41" t="s">
        <v>73</v>
      </c>
      <c r="AB105" s="41" t="s">
        <v>73</v>
      </c>
      <c r="AC105" s="41" t="s">
        <v>73</v>
      </c>
      <c r="AD105" s="41" t="s">
        <v>73</v>
      </c>
      <c r="AE105" s="41" t="s">
        <v>77</v>
      </c>
      <c r="AF105" s="41" t="s">
        <v>78</v>
      </c>
      <c r="AG105" t="str">
        <f>VLOOKUP($Q105,武学奇术!$A:$ZZ,25,FALSE)</f>
        <v>心法</v>
      </c>
      <c r="AH105" s="27">
        <f>VLOOKUP($Q105,武学奇术!$A:$ZZ,26,FALSE)</f>
        <v>0</v>
      </c>
      <c r="AI105" s="28">
        <f>VLOOKUP($Q105,武学奇术!$A:$ZZ,27,FALSE)*(1+IF(OR($AG105=$F$4,$AG105=$F$5),$B$22,0))</f>
        <v>0</v>
      </c>
      <c r="AJ105" s="27">
        <f>VLOOKUP($Q105,武学奇术!$A:$ZZ,28,FALSE)</f>
        <v>0</v>
      </c>
      <c r="AK105" s="28">
        <f>VLOOKUP($Q105,武学奇术!$A:$ZZ,29,FALSE)*(1+IF(OR($AG105=$F$4,$AG105=$F$5),$B$22,0))</f>
        <v>0</v>
      </c>
      <c r="AL105" s="27" cm="1">
        <f t="array" ref="AL105">$G$3+IFERROR(VLOOKUP($AG105,$F$4:$G$7,2,FALSE),0)+VLOOKUP($Q105,武学奇术!$A:$ZZ,2,FALSE)+SUM(_xlfn.XLOOKUP($R105:$AF105,增益!$A:$A,增益!$B:$B,0))</f>
        <v>0.1037</v>
      </c>
      <c r="AM105" s="27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3826.382</v>
      </c>
      <c r="AO105" cm="1">
        <f t="array" ref="AO105">$E$10*(1+$AM105)+VLOOKUP($Q105,武学奇术!$A:$ZZ,4,FALSE)+SUM(_xlfn.XLOOKUP($R105:$AF105,增益!$A:$A,增益!$D:$D,0))-$I$2</f>
        <v>3826.382</v>
      </c>
      <c r="AP105" s="33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0.167</v>
      </c>
      <c r="AQ105" s="33" cm="1">
        <f t="array" ref="AQ105">$G$10+VLOOKUP($Q105,武学奇术!$A:$ZZ,7,FALSE)+SUM(_xlfn.XLOOKUP(R105:AF105,增益!$A:$A,增益!$G:$G,0))</f>
        <v>0.09</v>
      </c>
      <c r="AR105" s="27" cm="1">
        <f t="array" ref="AR105">VLOOKUP($Q105,武学奇术!$A:$ZZ,8,FALSE)+SUM(_xlfn.XLOOKUP(R105:AF105,增益!$A:$A,增益!$H:$H,0))</f>
        <v>0</v>
      </c>
      <c r="AS105">
        <f t="shared" si="12"/>
        <v>0</v>
      </c>
      <c r="AT105">
        <f t="shared" si="13"/>
        <v>0</v>
      </c>
      <c r="AU105" s="33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-0.3</v>
      </c>
      <c r="AV105" s="33" cm="1">
        <f t="array" ref="AV105">$G$11+VLOOKUP($Q105,武学奇术!$A:$ZZ,10,FALSE)+SUM(_xlfn.XLOOKUP(R105:AF105,增益!$A:$A,增益!$J:$J,0))</f>
        <v>0</v>
      </c>
      <c r="AW105">
        <f t="shared" si="14"/>
        <v>0</v>
      </c>
      <c r="AX105">
        <f t="shared" si="15"/>
        <v>0</v>
      </c>
      <c r="AY105" s="33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-0.3</v>
      </c>
      <c r="AZ105" s="33" cm="1">
        <f t="array" ref="AZ105">$G$12+VLOOKUP($Q105,武学奇术!$A:$ZZ,12,FALSE)+SUM(_xlfn.XLOOKUP(R105:AF105,增益!$A:$A,增益!$L:$L,0))</f>
        <v>0</v>
      </c>
      <c r="BA105">
        <f t="shared" si="16"/>
        <v>0</v>
      </c>
      <c r="BB105">
        <f t="shared" si="17"/>
        <v>0</v>
      </c>
      <c r="BC105" s="33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-0.3</v>
      </c>
      <c r="BD105" s="33" cm="1">
        <f t="array" ref="BD105">$G$13+VLOOKUP($Q105,武学奇术!$A:$ZZ,14,FALSE)+SUM(_xlfn.XLOOKUP(R105:AF105,增益!$A:$A,增益!$N:$N,0))</f>
        <v>0</v>
      </c>
      <c r="BE105">
        <f t="shared" si="18"/>
        <v>605.472</v>
      </c>
      <c r="BF105">
        <f t="shared" si="19"/>
        <v>1725.468</v>
      </c>
      <c r="BG105" s="33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0</v>
      </c>
      <c r="BH105" s="33" cm="1">
        <f t="array" ref="BH105">$G$14+VLOOKUP($Q105,武学奇术!$A:$ZZ,16,FALSE)+SUM(_xlfn.XLOOKUP(R105:AF105,增益!$A:$A,增益!$P:$P,0))</f>
        <v>0.24</v>
      </c>
      <c r="BI105" s="27">
        <f>MIN(IF(VLOOKUP($Q105,武学奇术!$A:$ZZ,23,FALSE)=1,100%,$B$8),100%)</f>
        <v>1</v>
      </c>
      <c r="BJ105" s="27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+MIN(IF(VLOOKUP($Q105,武学奇术!$A:$ZZ,32,FALSE)=1,IF(VLOOKUP($Q105,武学奇术!$A:$ZZ,24,FALSE)=1,100%,MIN(40%,$B$10+VLOOKUP($Q105,武学奇术!$A:$ZZ,19,FALSE)+SUM(_xlfn.XLOOKUP(R105:AF105,增益!$A:$A,增益!$S:$S,0)))+$B$12+SUM(_xlfn.XLOOKUP(R105:AF105,增益!$A:$A,增益!$V:$V,0))),0),12%)</f>
        <v>0.9036</v>
      </c>
      <c r="BK105" s="27" cm="1">
        <f t="array" ref="BK105">1+$B$13+VLOOKUP($Q105,武学奇术!$A:$ZZ,18,FALSE)+SUM(_xlfn.XLOOKUP(R105:AF105,增益!$A:$A,增益!$R:$R,0))</f>
        <v>1.54</v>
      </c>
      <c r="BL105" s="27" cm="1">
        <f t="array" ref="BL105">MAX(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-IF(VLOOKUP($Q105,武学奇术!$A:$ZZ,32,FALSE)=1,12%,0),0)</f>
        <v>0.0929</v>
      </c>
      <c r="BM105" s="27" cm="1">
        <f t="array" ref="BM105">1+$B$14+VLOOKUP($Q105,武学奇术!$A:$ZZ,20,FALSE)+SUM(_xlfn.XLOOKUP(R105:AF105,增益!$A:$A,增益!$T:$T,0))</f>
        <v>1.35</v>
      </c>
      <c r="BN105" s="27">
        <f t="shared" si="20"/>
        <v>0.9036</v>
      </c>
      <c r="BO105" s="27">
        <f t="shared" si="21"/>
        <v>0.00350000000000006</v>
      </c>
      <c r="BP105" s="27">
        <f>IF(VLOOKUP($Q105,武学奇术!$A:$ZZ,22,FALSE)=1,0,(1-$BI105))*(1-$BL105)</f>
        <v>0</v>
      </c>
      <c r="BQ105" s="27" cm="1">
        <f t="array" ref="BQ105">SUM(_xlfn.XLOOKUP(R105:AF105,增益!$A:$A,增益!$W:$W,0))+$I$5</f>
        <v>0.11</v>
      </c>
    </row>
    <row r="106" spans="11:69">
      <c r="K106" s="39">
        <f t="shared" si="11"/>
        <v>0</v>
      </c>
      <c r="L106" s="39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BK106*$P106*(1+IF(VLOOKUP($Q106,武学奇术!$A:$ZZ,30,FALSE)="蓄力技",$B$21,0))*(1+$BQ106)</f>
        <v>0</v>
      </c>
      <c r="M106" s="39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蓄力技",$B$21,0))*(1+$BQ106)</f>
        <v>0</v>
      </c>
      <c r="N106" s="39">
        <f>((($AN106+($AO106-$AN106)*IF(VLOOKUP($Q106,武学奇术!$A:$ZZ,31,FALSE)=1,$F$18,0.5))*$AH106+$AI106)*(1+$AP106)*(1+$AQ106)+(($AS106+($AT106-$AS106)*IF(VLOOKUP($Q106,武学奇术!$A:$ZZ,31,FALSE)=1,$F$18,0.5))*IF($G$1="鸣金",$AJ106,$AH106)+IF($G$1="鸣金",$AK106*1.5,0))*(1+$AU106)*(1+$AV106)+(($AW106+($AX106-$AW106)*IF(VLOOKUP($Q106,武学奇术!$A:$ZZ,31,FALSE)=1,$F$18,0.5))*IF($G$1="裂石",$AJ106,$AH106)+IF($G$1="裂石",$AK106*1.5,0))*(1+$AY106)*(1+$AZ106)+(($BA106+($BB106-$BA106)*IF(VLOOKUP($Q106,武学奇术!$A:$ZZ,31,FALSE)=1,$F$18,0.5))*IF($G$1="牵丝",$AJ106,$AH106)+IF($G$1="牵丝",$AK106*1.5,0))*(1+$BC106)*(1+$BD106)+(($BE106+($BF106-$BE106)*IF(VLOOKUP($Q106,武学奇术!$A:$ZZ,31,FALSE)=1,$F$18,0.5))*IF($G$1="破竹",$AJ106,$AH106)+IF($G$1="破竹",$AK106*1.5,0))*(1+$BG106)*(1+$BH106))*(1+$AL106)*$P106*(1+IF(VLOOKUP($Q106,武学奇术!$A:$ZZ,30,FALSE)="蓄力技",$B$21,0))*(1+$BQ106)</f>
        <v>0</v>
      </c>
      <c r="O106" s="39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蓄力技",$B$21,0))*(1+$BQ106)</f>
        <v>0</v>
      </c>
      <c r="P106" s="40">
        <v>1</v>
      </c>
      <c r="Q106" s="41" t="s">
        <v>73</v>
      </c>
      <c r="R106" s="41" t="s">
        <v>73</v>
      </c>
      <c r="S106" s="41" t="s">
        <v>73</v>
      </c>
      <c r="T106" s="41" t="s">
        <v>73</v>
      </c>
      <c r="U106" s="41" t="s">
        <v>73</v>
      </c>
      <c r="V106" s="41" t="s">
        <v>73</v>
      </c>
      <c r="W106" s="41" t="s">
        <v>73</v>
      </c>
      <c r="X106" s="41" t="s">
        <v>73</v>
      </c>
      <c r="Y106" s="41" t="s">
        <v>73</v>
      </c>
      <c r="Z106" s="41" t="s">
        <v>73</v>
      </c>
      <c r="AA106" s="41" t="s">
        <v>73</v>
      </c>
      <c r="AB106" s="41" t="s">
        <v>73</v>
      </c>
      <c r="AC106" s="41" t="s">
        <v>73</v>
      </c>
      <c r="AD106" s="41" t="s">
        <v>73</v>
      </c>
      <c r="AE106" s="41" t="s">
        <v>77</v>
      </c>
      <c r="AF106" s="41" t="s">
        <v>78</v>
      </c>
      <c r="AG106" t="str">
        <f>VLOOKUP($Q106,武学奇术!$A:$ZZ,25,FALSE)</f>
        <v>心法</v>
      </c>
      <c r="AH106" s="27">
        <f>VLOOKUP($Q106,武学奇术!$A:$ZZ,26,FALSE)</f>
        <v>0</v>
      </c>
      <c r="AI106" s="28">
        <f>VLOOKUP($Q106,武学奇术!$A:$ZZ,27,FALSE)*(1+IF(OR($AG106=$F$4,$AG106=$F$5),$B$22,0))</f>
        <v>0</v>
      </c>
      <c r="AJ106" s="27">
        <f>VLOOKUP($Q106,武学奇术!$A:$ZZ,28,FALSE)</f>
        <v>0</v>
      </c>
      <c r="AK106" s="28">
        <f>VLOOKUP($Q106,武学奇术!$A:$ZZ,29,FALSE)*(1+IF(OR($AG106=$F$4,$AG106=$F$5),$B$22,0))</f>
        <v>0</v>
      </c>
      <c r="AL106" s="27" cm="1">
        <f t="array" ref="AL106">$G$3+IFERROR(VLOOKUP($AG106,$F$4:$G$7,2,FALSE),0)+VLOOKUP($Q106,武学奇术!$A:$ZZ,2,FALSE)+SUM(_xlfn.XLOOKUP($R106:$AF106,增益!$A:$A,增益!$B:$B,0))</f>
        <v>0.1037</v>
      </c>
      <c r="AM106" s="27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3826.382</v>
      </c>
      <c r="AO106" cm="1">
        <f t="array" ref="AO106">$E$10*(1+$AM106)+VLOOKUP($Q106,武学奇术!$A:$ZZ,4,FALSE)+SUM(_xlfn.XLOOKUP($R106:$AF106,增益!$A:$A,增益!$D:$D,0))-$I$2</f>
        <v>3826.382</v>
      </c>
      <c r="AP106" s="33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0.167</v>
      </c>
      <c r="AQ106" s="33" cm="1">
        <f t="array" ref="AQ106">$G$10+VLOOKUP($Q106,武学奇术!$A:$ZZ,7,FALSE)+SUM(_xlfn.XLOOKUP(R106:AF106,增益!$A:$A,增益!$G:$G,0))</f>
        <v>0.09</v>
      </c>
      <c r="AR106" s="27" cm="1">
        <f t="array" ref="AR106">VLOOKUP($Q106,武学奇术!$A:$ZZ,8,FALSE)+SUM(_xlfn.XLOOKUP(R106:AF106,增益!$A:$A,增益!$H:$H,0))</f>
        <v>0</v>
      </c>
      <c r="AS106">
        <f t="shared" si="12"/>
        <v>0</v>
      </c>
      <c r="AT106">
        <f t="shared" si="13"/>
        <v>0</v>
      </c>
      <c r="AU106" s="33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-0.3</v>
      </c>
      <c r="AV106" s="33" cm="1">
        <f t="array" ref="AV106">$G$11+VLOOKUP($Q106,武学奇术!$A:$ZZ,10,FALSE)+SUM(_xlfn.XLOOKUP(R106:AF106,增益!$A:$A,增益!$J:$J,0))</f>
        <v>0</v>
      </c>
      <c r="AW106">
        <f t="shared" si="14"/>
        <v>0</v>
      </c>
      <c r="AX106">
        <f t="shared" si="15"/>
        <v>0</v>
      </c>
      <c r="AY106" s="33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-0.3</v>
      </c>
      <c r="AZ106" s="33" cm="1">
        <f t="array" ref="AZ106">$G$12+VLOOKUP($Q106,武学奇术!$A:$ZZ,12,FALSE)+SUM(_xlfn.XLOOKUP(R106:AF106,增益!$A:$A,增益!$L:$L,0))</f>
        <v>0</v>
      </c>
      <c r="BA106">
        <f t="shared" si="16"/>
        <v>0</v>
      </c>
      <c r="BB106">
        <f t="shared" si="17"/>
        <v>0</v>
      </c>
      <c r="BC106" s="33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-0.3</v>
      </c>
      <c r="BD106" s="33" cm="1">
        <f t="array" ref="BD106">$G$13+VLOOKUP($Q106,武学奇术!$A:$ZZ,14,FALSE)+SUM(_xlfn.XLOOKUP(R106:AF106,增益!$A:$A,增益!$N:$N,0))</f>
        <v>0</v>
      </c>
      <c r="BE106">
        <f t="shared" si="18"/>
        <v>605.472</v>
      </c>
      <c r="BF106">
        <f t="shared" si="19"/>
        <v>1725.468</v>
      </c>
      <c r="BG106" s="33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0</v>
      </c>
      <c r="BH106" s="33" cm="1">
        <f t="array" ref="BH106">$G$14+VLOOKUP($Q106,武学奇术!$A:$ZZ,16,FALSE)+SUM(_xlfn.XLOOKUP(R106:AF106,增益!$A:$A,增益!$P:$P,0))</f>
        <v>0.24</v>
      </c>
      <c r="BI106" s="27">
        <f>MIN(IF(VLOOKUP($Q106,武学奇术!$A:$ZZ,23,FALSE)=1,100%,$B$8),100%)</f>
        <v>1</v>
      </c>
      <c r="BJ106" s="27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+MIN(IF(VLOOKUP($Q106,武学奇术!$A:$ZZ,32,FALSE)=1,IF(VLOOKUP($Q106,武学奇术!$A:$ZZ,24,FALSE)=1,100%,MIN(40%,$B$10+VLOOKUP($Q106,武学奇术!$A:$ZZ,19,FALSE)+SUM(_xlfn.XLOOKUP(R106:AF106,增益!$A:$A,增益!$S:$S,0)))+$B$12+SUM(_xlfn.XLOOKUP(R106:AF106,增益!$A:$A,增益!$V:$V,0))),0),12%)</f>
        <v>0.9036</v>
      </c>
      <c r="BK106" s="27" cm="1">
        <f t="array" ref="BK106">1+$B$13+VLOOKUP($Q106,武学奇术!$A:$ZZ,18,FALSE)+SUM(_xlfn.XLOOKUP(R106:AF106,增益!$A:$A,增益!$R:$R,0))</f>
        <v>1.54</v>
      </c>
      <c r="BL106" s="27" cm="1">
        <f t="array" ref="BL106">MAX(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-IF(VLOOKUP($Q106,武学奇术!$A:$ZZ,32,FALSE)=1,12%,0),0)</f>
        <v>0.0929</v>
      </c>
      <c r="BM106" s="27" cm="1">
        <f t="array" ref="BM106">1+$B$14+VLOOKUP($Q106,武学奇术!$A:$ZZ,20,FALSE)+SUM(_xlfn.XLOOKUP(R106:AF106,增益!$A:$A,增益!$T:$T,0))</f>
        <v>1.35</v>
      </c>
      <c r="BN106" s="27">
        <f t="shared" si="20"/>
        <v>0.9036</v>
      </c>
      <c r="BO106" s="27">
        <f t="shared" si="21"/>
        <v>0.00350000000000006</v>
      </c>
      <c r="BP106" s="27">
        <f>IF(VLOOKUP($Q106,武学奇术!$A:$ZZ,22,FALSE)=1,0,(1-$BI106))*(1-$BL106)</f>
        <v>0</v>
      </c>
      <c r="BQ106" s="27" cm="1">
        <f t="array" ref="BQ106">SUM(_xlfn.XLOOKUP(R106:AF106,增益!$A:$A,增益!$W:$W,0))+$I$5</f>
        <v>0.11</v>
      </c>
    </row>
    <row r="107" spans="11:69">
      <c r="K107" s="39">
        <f t="shared" si="11"/>
        <v>0</v>
      </c>
      <c r="L107" s="39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BK107*$P107*(1+IF(VLOOKUP($Q107,武学奇术!$A:$ZZ,30,FALSE)="蓄力技",$B$21,0))*(1+$BQ107)</f>
        <v>0</v>
      </c>
      <c r="M107" s="39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蓄力技",$B$21,0))*(1+$BQ107)</f>
        <v>0</v>
      </c>
      <c r="N107" s="39">
        <f>((($AN107+($AO107-$AN107)*IF(VLOOKUP($Q107,武学奇术!$A:$ZZ,31,FALSE)=1,$F$18,0.5))*$AH107+$AI107)*(1+$AP107)*(1+$AQ107)+(($AS107+($AT107-$AS107)*IF(VLOOKUP($Q107,武学奇术!$A:$ZZ,31,FALSE)=1,$F$18,0.5))*IF($G$1="鸣金",$AJ107,$AH107)+IF($G$1="鸣金",$AK107*1.5,0))*(1+$AU107)*(1+$AV107)+(($AW107+($AX107-$AW107)*IF(VLOOKUP($Q107,武学奇术!$A:$ZZ,31,FALSE)=1,$F$18,0.5))*IF($G$1="裂石",$AJ107,$AH107)+IF($G$1="裂石",$AK107*1.5,0))*(1+$AY107)*(1+$AZ107)+(($BA107+($BB107-$BA107)*IF(VLOOKUP($Q107,武学奇术!$A:$ZZ,31,FALSE)=1,$F$18,0.5))*IF($G$1="牵丝",$AJ107,$AH107)+IF($G$1="牵丝",$AK107*1.5,0))*(1+$BC107)*(1+$BD107)+(($BE107+($BF107-$BE107)*IF(VLOOKUP($Q107,武学奇术!$A:$ZZ,31,FALSE)=1,$F$18,0.5))*IF($G$1="破竹",$AJ107,$AH107)+IF($G$1="破竹",$AK107*1.5,0))*(1+$BG107)*(1+$BH107))*(1+$AL107)*$P107*(1+IF(VLOOKUP($Q107,武学奇术!$A:$ZZ,30,FALSE)="蓄力技",$B$21,0))*(1+$BQ107)</f>
        <v>0</v>
      </c>
      <c r="O107" s="39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蓄力技",$B$21,0))*(1+$BQ107)</f>
        <v>0</v>
      </c>
      <c r="P107" s="40">
        <v>1</v>
      </c>
      <c r="Q107" s="41" t="s">
        <v>73</v>
      </c>
      <c r="R107" s="41" t="s">
        <v>73</v>
      </c>
      <c r="S107" s="41" t="s">
        <v>73</v>
      </c>
      <c r="T107" s="41" t="s">
        <v>73</v>
      </c>
      <c r="U107" s="41" t="s">
        <v>73</v>
      </c>
      <c r="V107" s="41" t="s">
        <v>73</v>
      </c>
      <c r="W107" s="41" t="s">
        <v>73</v>
      </c>
      <c r="X107" s="41" t="s">
        <v>73</v>
      </c>
      <c r="Y107" s="41" t="s">
        <v>73</v>
      </c>
      <c r="Z107" s="41" t="s">
        <v>73</v>
      </c>
      <c r="AA107" s="41" t="s">
        <v>73</v>
      </c>
      <c r="AB107" s="41" t="s">
        <v>73</v>
      </c>
      <c r="AC107" s="41" t="s">
        <v>73</v>
      </c>
      <c r="AD107" s="41" t="s">
        <v>73</v>
      </c>
      <c r="AE107" s="41" t="s">
        <v>77</v>
      </c>
      <c r="AF107" s="41" t="s">
        <v>78</v>
      </c>
      <c r="AG107" t="str">
        <f>VLOOKUP($Q107,武学奇术!$A:$ZZ,25,FALSE)</f>
        <v>心法</v>
      </c>
      <c r="AH107" s="27">
        <f>VLOOKUP($Q107,武学奇术!$A:$ZZ,26,FALSE)</f>
        <v>0</v>
      </c>
      <c r="AI107" s="28">
        <f>VLOOKUP($Q107,武学奇术!$A:$ZZ,27,FALSE)*(1+IF(OR($AG107=$F$4,$AG107=$F$5),$B$22,0))</f>
        <v>0</v>
      </c>
      <c r="AJ107" s="27">
        <f>VLOOKUP($Q107,武学奇术!$A:$ZZ,28,FALSE)</f>
        <v>0</v>
      </c>
      <c r="AK107" s="28">
        <f>VLOOKUP($Q107,武学奇术!$A:$ZZ,29,FALSE)*(1+IF(OR($AG107=$F$4,$AG107=$F$5),$B$22,0))</f>
        <v>0</v>
      </c>
      <c r="AL107" s="27" cm="1">
        <f t="array" ref="AL107">$G$3+IFERROR(VLOOKUP($AG107,$F$4:$G$7,2,FALSE),0)+VLOOKUP($Q107,武学奇术!$A:$ZZ,2,FALSE)+SUM(_xlfn.XLOOKUP($R107:$AF107,增益!$A:$A,增益!$B:$B,0))</f>
        <v>0.1037</v>
      </c>
      <c r="AM107" s="27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3826.382</v>
      </c>
      <c r="AO107" cm="1">
        <f t="array" ref="AO107">$E$10*(1+$AM107)+VLOOKUP($Q107,武学奇术!$A:$ZZ,4,FALSE)+SUM(_xlfn.XLOOKUP($R107:$AF107,增益!$A:$A,增益!$D:$D,0))-$I$2</f>
        <v>3826.382</v>
      </c>
      <c r="AP107" s="33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0.167</v>
      </c>
      <c r="AQ107" s="33" cm="1">
        <f t="array" ref="AQ107">$G$10+VLOOKUP($Q107,武学奇术!$A:$ZZ,7,FALSE)+SUM(_xlfn.XLOOKUP(R107:AF107,增益!$A:$A,增益!$G:$G,0))</f>
        <v>0.09</v>
      </c>
      <c r="AR107" s="27" cm="1">
        <f t="array" ref="AR107">VLOOKUP($Q107,武学奇术!$A:$ZZ,8,FALSE)+SUM(_xlfn.XLOOKUP(R107:AF107,增益!$A:$A,增益!$H:$H,0))</f>
        <v>0</v>
      </c>
      <c r="AS107">
        <f t="shared" si="12"/>
        <v>0</v>
      </c>
      <c r="AT107">
        <f t="shared" si="13"/>
        <v>0</v>
      </c>
      <c r="AU107" s="33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-0.3</v>
      </c>
      <c r="AV107" s="33" cm="1">
        <f t="array" ref="AV107">$G$11+VLOOKUP($Q107,武学奇术!$A:$ZZ,10,FALSE)+SUM(_xlfn.XLOOKUP(R107:AF107,增益!$A:$A,增益!$J:$J,0))</f>
        <v>0</v>
      </c>
      <c r="AW107">
        <f t="shared" si="14"/>
        <v>0</v>
      </c>
      <c r="AX107">
        <f t="shared" si="15"/>
        <v>0</v>
      </c>
      <c r="AY107" s="33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-0.3</v>
      </c>
      <c r="AZ107" s="33" cm="1">
        <f t="array" ref="AZ107">$G$12+VLOOKUP($Q107,武学奇术!$A:$ZZ,12,FALSE)+SUM(_xlfn.XLOOKUP(R107:AF107,增益!$A:$A,增益!$L:$L,0))</f>
        <v>0</v>
      </c>
      <c r="BA107">
        <f t="shared" si="16"/>
        <v>0</v>
      </c>
      <c r="BB107">
        <f t="shared" si="17"/>
        <v>0</v>
      </c>
      <c r="BC107" s="33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-0.3</v>
      </c>
      <c r="BD107" s="33" cm="1">
        <f t="array" ref="BD107">$G$13+VLOOKUP($Q107,武学奇术!$A:$ZZ,14,FALSE)+SUM(_xlfn.XLOOKUP(R107:AF107,增益!$A:$A,增益!$N:$N,0))</f>
        <v>0</v>
      </c>
      <c r="BE107">
        <f t="shared" si="18"/>
        <v>605.472</v>
      </c>
      <c r="BF107">
        <f t="shared" si="19"/>
        <v>1725.468</v>
      </c>
      <c r="BG107" s="33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0</v>
      </c>
      <c r="BH107" s="33" cm="1">
        <f t="array" ref="BH107">$G$14+VLOOKUP($Q107,武学奇术!$A:$ZZ,16,FALSE)+SUM(_xlfn.XLOOKUP(R107:AF107,增益!$A:$A,增益!$P:$P,0))</f>
        <v>0.24</v>
      </c>
      <c r="BI107" s="27">
        <f>MIN(IF(VLOOKUP($Q107,武学奇术!$A:$ZZ,23,FALSE)=1,100%,$B$8),100%)</f>
        <v>1</v>
      </c>
      <c r="BJ107" s="27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+MIN(IF(VLOOKUP($Q107,武学奇术!$A:$ZZ,32,FALSE)=1,IF(VLOOKUP($Q107,武学奇术!$A:$ZZ,24,FALSE)=1,100%,MIN(40%,$B$10+VLOOKUP($Q107,武学奇术!$A:$ZZ,19,FALSE)+SUM(_xlfn.XLOOKUP(R107:AF107,增益!$A:$A,增益!$S:$S,0)))+$B$12+SUM(_xlfn.XLOOKUP(R107:AF107,增益!$A:$A,增益!$V:$V,0))),0),12%)</f>
        <v>0.9036</v>
      </c>
      <c r="BK107" s="27" cm="1">
        <f t="array" ref="BK107">1+$B$13+VLOOKUP($Q107,武学奇术!$A:$ZZ,18,FALSE)+SUM(_xlfn.XLOOKUP(R107:AF107,增益!$A:$A,增益!$R:$R,0))</f>
        <v>1.54</v>
      </c>
      <c r="BL107" s="27" cm="1">
        <f t="array" ref="BL107">MAX(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-IF(VLOOKUP($Q107,武学奇术!$A:$ZZ,32,FALSE)=1,12%,0),0)</f>
        <v>0.0929</v>
      </c>
      <c r="BM107" s="27" cm="1">
        <f t="array" ref="BM107">1+$B$14+VLOOKUP($Q107,武学奇术!$A:$ZZ,20,FALSE)+SUM(_xlfn.XLOOKUP(R107:AF107,增益!$A:$A,增益!$T:$T,0))</f>
        <v>1.35</v>
      </c>
      <c r="BN107" s="27">
        <f t="shared" si="20"/>
        <v>0.9036</v>
      </c>
      <c r="BO107" s="27">
        <f t="shared" si="21"/>
        <v>0.00350000000000006</v>
      </c>
      <c r="BP107" s="27">
        <f>IF(VLOOKUP($Q107,武学奇术!$A:$ZZ,22,FALSE)=1,0,(1-$BI107))*(1-$BL107)</f>
        <v>0</v>
      </c>
      <c r="BQ107" s="27" cm="1">
        <f t="array" ref="BQ107">SUM(_xlfn.XLOOKUP(R107:AF107,增益!$A:$A,增益!$W:$W,0))+$I$5</f>
        <v>0.11</v>
      </c>
    </row>
    <row r="108" spans="11:69">
      <c r="K108" s="39">
        <f t="shared" si="11"/>
        <v>0</v>
      </c>
      <c r="L108" s="39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BK108*$P108*(1+IF(VLOOKUP($Q108,武学奇术!$A:$ZZ,30,FALSE)="蓄力技",$B$21,0))*(1+$BQ108)</f>
        <v>0</v>
      </c>
      <c r="M108" s="39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蓄力技",$B$21,0))*(1+$BQ108)</f>
        <v>0</v>
      </c>
      <c r="N108" s="39">
        <f>((($AN108+($AO108-$AN108)*IF(VLOOKUP($Q108,武学奇术!$A:$ZZ,31,FALSE)=1,$F$18,0.5))*$AH108+$AI108)*(1+$AP108)*(1+$AQ108)+(($AS108+($AT108-$AS108)*IF(VLOOKUP($Q108,武学奇术!$A:$ZZ,31,FALSE)=1,$F$18,0.5))*IF($G$1="鸣金",$AJ108,$AH108)+IF($G$1="鸣金",$AK108*1.5,0))*(1+$AU108)*(1+$AV108)+(($AW108+($AX108-$AW108)*IF(VLOOKUP($Q108,武学奇术!$A:$ZZ,31,FALSE)=1,$F$18,0.5))*IF($G$1="裂石",$AJ108,$AH108)+IF($G$1="裂石",$AK108*1.5,0))*(1+$AY108)*(1+$AZ108)+(($BA108+($BB108-$BA108)*IF(VLOOKUP($Q108,武学奇术!$A:$ZZ,31,FALSE)=1,$F$18,0.5))*IF($G$1="牵丝",$AJ108,$AH108)+IF($G$1="牵丝",$AK108*1.5,0))*(1+$BC108)*(1+$BD108)+(($BE108+($BF108-$BE108)*IF(VLOOKUP($Q108,武学奇术!$A:$ZZ,31,FALSE)=1,$F$18,0.5))*IF($G$1="破竹",$AJ108,$AH108)+IF($G$1="破竹",$AK108*1.5,0))*(1+$BG108)*(1+$BH108))*(1+$AL108)*$P108*(1+IF(VLOOKUP($Q108,武学奇术!$A:$ZZ,30,FALSE)="蓄力技",$B$21,0))*(1+$BQ108)</f>
        <v>0</v>
      </c>
      <c r="O108" s="39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蓄力技",$B$21,0))*(1+$BQ108)</f>
        <v>0</v>
      </c>
      <c r="P108" s="40">
        <v>1</v>
      </c>
      <c r="Q108" s="41" t="s">
        <v>73</v>
      </c>
      <c r="R108" s="41" t="s">
        <v>73</v>
      </c>
      <c r="S108" s="41" t="s">
        <v>73</v>
      </c>
      <c r="T108" s="41" t="s">
        <v>73</v>
      </c>
      <c r="U108" s="41" t="s">
        <v>73</v>
      </c>
      <c r="V108" s="41" t="s">
        <v>73</v>
      </c>
      <c r="W108" s="41" t="s">
        <v>73</v>
      </c>
      <c r="X108" s="41" t="s">
        <v>73</v>
      </c>
      <c r="Y108" s="41" t="s">
        <v>73</v>
      </c>
      <c r="Z108" s="41" t="s">
        <v>73</v>
      </c>
      <c r="AA108" s="41" t="s">
        <v>73</v>
      </c>
      <c r="AB108" s="41" t="s">
        <v>73</v>
      </c>
      <c r="AC108" s="41" t="s">
        <v>73</v>
      </c>
      <c r="AD108" s="41" t="s">
        <v>73</v>
      </c>
      <c r="AE108" s="41" t="s">
        <v>77</v>
      </c>
      <c r="AF108" s="41" t="s">
        <v>78</v>
      </c>
      <c r="AG108" t="str">
        <f>VLOOKUP($Q108,武学奇术!$A:$ZZ,25,FALSE)</f>
        <v>心法</v>
      </c>
      <c r="AH108" s="27">
        <f>VLOOKUP($Q108,武学奇术!$A:$ZZ,26,FALSE)</f>
        <v>0</v>
      </c>
      <c r="AI108" s="28">
        <f>VLOOKUP($Q108,武学奇术!$A:$ZZ,27,FALSE)*(1+IF(OR($AG108=$F$4,$AG108=$F$5),$B$22,0))</f>
        <v>0</v>
      </c>
      <c r="AJ108" s="27">
        <f>VLOOKUP($Q108,武学奇术!$A:$ZZ,28,FALSE)</f>
        <v>0</v>
      </c>
      <c r="AK108" s="28">
        <f>VLOOKUP($Q108,武学奇术!$A:$ZZ,29,FALSE)*(1+IF(OR($AG108=$F$4,$AG108=$F$5),$B$22,0))</f>
        <v>0</v>
      </c>
      <c r="AL108" s="27" cm="1">
        <f t="array" ref="AL108">$G$3+IFERROR(VLOOKUP($AG108,$F$4:$G$7,2,FALSE),0)+VLOOKUP($Q108,武学奇术!$A:$ZZ,2,FALSE)+SUM(_xlfn.XLOOKUP($R108:$AF108,增益!$A:$A,增益!$B:$B,0))</f>
        <v>0.1037</v>
      </c>
      <c r="AM108" s="27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3826.382</v>
      </c>
      <c r="AO108" cm="1">
        <f t="array" ref="AO108">$E$10*(1+$AM108)+VLOOKUP($Q108,武学奇术!$A:$ZZ,4,FALSE)+SUM(_xlfn.XLOOKUP($R108:$AF108,增益!$A:$A,增益!$D:$D,0))-$I$2</f>
        <v>3826.382</v>
      </c>
      <c r="AP108" s="33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0.167</v>
      </c>
      <c r="AQ108" s="33" cm="1">
        <f t="array" ref="AQ108">$G$10+VLOOKUP($Q108,武学奇术!$A:$ZZ,7,FALSE)+SUM(_xlfn.XLOOKUP(R108:AF108,增益!$A:$A,增益!$G:$G,0))</f>
        <v>0.09</v>
      </c>
      <c r="AR108" s="27" cm="1">
        <f t="array" ref="AR108">VLOOKUP($Q108,武学奇术!$A:$ZZ,8,FALSE)+SUM(_xlfn.XLOOKUP(R108:AF108,增益!$A:$A,增益!$H:$H,0))</f>
        <v>0</v>
      </c>
      <c r="AS108">
        <f t="shared" si="12"/>
        <v>0</v>
      </c>
      <c r="AT108">
        <f t="shared" si="13"/>
        <v>0</v>
      </c>
      <c r="AU108" s="33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-0.3</v>
      </c>
      <c r="AV108" s="33" cm="1">
        <f t="array" ref="AV108">$G$11+VLOOKUP($Q108,武学奇术!$A:$ZZ,10,FALSE)+SUM(_xlfn.XLOOKUP(R108:AF108,增益!$A:$A,增益!$J:$J,0))</f>
        <v>0</v>
      </c>
      <c r="AW108">
        <f t="shared" si="14"/>
        <v>0</v>
      </c>
      <c r="AX108">
        <f t="shared" si="15"/>
        <v>0</v>
      </c>
      <c r="AY108" s="33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-0.3</v>
      </c>
      <c r="AZ108" s="33" cm="1">
        <f t="array" ref="AZ108">$G$12+VLOOKUP($Q108,武学奇术!$A:$ZZ,12,FALSE)+SUM(_xlfn.XLOOKUP(R108:AF108,增益!$A:$A,增益!$L:$L,0))</f>
        <v>0</v>
      </c>
      <c r="BA108">
        <f t="shared" si="16"/>
        <v>0</v>
      </c>
      <c r="BB108">
        <f t="shared" si="17"/>
        <v>0</v>
      </c>
      <c r="BC108" s="33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-0.3</v>
      </c>
      <c r="BD108" s="33" cm="1">
        <f t="array" ref="BD108">$G$13+VLOOKUP($Q108,武学奇术!$A:$ZZ,14,FALSE)+SUM(_xlfn.XLOOKUP(R108:AF108,增益!$A:$A,增益!$N:$N,0))</f>
        <v>0</v>
      </c>
      <c r="BE108">
        <f t="shared" si="18"/>
        <v>605.472</v>
      </c>
      <c r="BF108">
        <f t="shared" si="19"/>
        <v>1725.468</v>
      </c>
      <c r="BG108" s="33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0</v>
      </c>
      <c r="BH108" s="33" cm="1">
        <f t="array" ref="BH108">$G$14+VLOOKUP($Q108,武学奇术!$A:$ZZ,16,FALSE)+SUM(_xlfn.XLOOKUP(R108:AF108,增益!$A:$A,增益!$P:$P,0))</f>
        <v>0.24</v>
      </c>
      <c r="BI108" s="27">
        <f>MIN(IF(VLOOKUP($Q108,武学奇术!$A:$ZZ,23,FALSE)=1,100%,$B$8),100%)</f>
        <v>1</v>
      </c>
      <c r="BJ108" s="27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+MIN(IF(VLOOKUP($Q108,武学奇术!$A:$ZZ,32,FALSE)=1,IF(VLOOKUP($Q108,武学奇术!$A:$ZZ,24,FALSE)=1,100%,MIN(40%,$B$10+VLOOKUP($Q108,武学奇术!$A:$ZZ,19,FALSE)+SUM(_xlfn.XLOOKUP(R108:AF108,增益!$A:$A,增益!$S:$S,0)))+$B$12+SUM(_xlfn.XLOOKUP(R108:AF108,增益!$A:$A,增益!$V:$V,0))),0),12%)</f>
        <v>0.9036</v>
      </c>
      <c r="BK108" s="27" cm="1">
        <f t="array" ref="BK108">1+$B$13+VLOOKUP($Q108,武学奇术!$A:$ZZ,18,FALSE)+SUM(_xlfn.XLOOKUP(R108:AF108,增益!$A:$A,增益!$R:$R,0))</f>
        <v>1.54</v>
      </c>
      <c r="BL108" s="27" cm="1">
        <f t="array" ref="BL108">MAX(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-IF(VLOOKUP($Q108,武学奇术!$A:$ZZ,32,FALSE)=1,12%,0),0)</f>
        <v>0.0929</v>
      </c>
      <c r="BM108" s="27" cm="1">
        <f t="array" ref="BM108">1+$B$14+VLOOKUP($Q108,武学奇术!$A:$ZZ,20,FALSE)+SUM(_xlfn.XLOOKUP(R108:AF108,增益!$A:$A,增益!$T:$T,0))</f>
        <v>1.35</v>
      </c>
      <c r="BN108" s="27">
        <f t="shared" si="20"/>
        <v>0.9036</v>
      </c>
      <c r="BO108" s="27">
        <f t="shared" si="21"/>
        <v>0.00350000000000006</v>
      </c>
      <c r="BP108" s="27">
        <f>IF(VLOOKUP($Q108,武学奇术!$A:$ZZ,22,FALSE)=1,0,(1-$BI108))*(1-$BL108)</f>
        <v>0</v>
      </c>
      <c r="BQ108" s="27" cm="1">
        <f t="array" ref="BQ108">SUM(_xlfn.XLOOKUP(R108:AF108,增益!$A:$A,增益!$W:$W,0))+$I$5</f>
        <v>0.11</v>
      </c>
    </row>
    <row r="109" spans="11:69">
      <c r="K109" s="39">
        <f t="shared" si="11"/>
        <v>0</v>
      </c>
      <c r="L109" s="39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BK109*$P109*(1+IF(VLOOKUP($Q109,武学奇术!$A:$ZZ,30,FALSE)="蓄力技",$B$21,0))*(1+$BQ109)</f>
        <v>0</v>
      </c>
      <c r="M109" s="39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蓄力技",$B$21,0))*(1+$BQ109)</f>
        <v>0</v>
      </c>
      <c r="N109" s="39">
        <f>((($AN109+($AO109-$AN109)*IF(VLOOKUP($Q109,武学奇术!$A:$ZZ,31,FALSE)=1,$F$18,0.5))*$AH109+$AI109)*(1+$AP109)*(1+$AQ109)+(($AS109+($AT109-$AS109)*IF(VLOOKUP($Q109,武学奇术!$A:$ZZ,31,FALSE)=1,$F$18,0.5))*IF($G$1="鸣金",$AJ109,$AH109)+IF($G$1="鸣金",$AK109*1.5,0))*(1+$AU109)*(1+$AV109)+(($AW109+($AX109-$AW109)*IF(VLOOKUP($Q109,武学奇术!$A:$ZZ,31,FALSE)=1,$F$18,0.5))*IF($G$1="裂石",$AJ109,$AH109)+IF($G$1="裂石",$AK109*1.5,0))*(1+$AY109)*(1+$AZ109)+(($BA109+($BB109-$BA109)*IF(VLOOKUP($Q109,武学奇术!$A:$ZZ,31,FALSE)=1,$F$18,0.5))*IF($G$1="牵丝",$AJ109,$AH109)+IF($G$1="牵丝",$AK109*1.5,0))*(1+$BC109)*(1+$BD109)+(($BE109+($BF109-$BE109)*IF(VLOOKUP($Q109,武学奇术!$A:$ZZ,31,FALSE)=1,$F$18,0.5))*IF($G$1="破竹",$AJ109,$AH109)+IF($G$1="破竹",$AK109*1.5,0))*(1+$BG109)*(1+$BH109))*(1+$AL109)*$P109*(1+IF(VLOOKUP($Q109,武学奇术!$A:$ZZ,30,FALSE)="蓄力技",$B$21,0))*(1+$BQ109)</f>
        <v>0</v>
      </c>
      <c r="O109" s="39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蓄力技",$B$21,0))*(1+$BQ109)</f>
        <v>0</v>
      </c>
      <c r="P109" s="40">
        <v>1</v>
      </c>
      <c r="Q109" s="41" t="s">
        <v>73</v>
      </c>
      <c r="R109" s="41" t="s">
        <v>73</v>
      </c>
      <c r="S109" s="41" t="s">
        <v>73</v>
      </c>
      <c r="T109" s="41" t="s">
        <v>73</v>
      </c>
      <c r="U109" s="41" t="s">
        <v>73</v>
      </c>
      <c r="V109" s="41" t="s">
        <v>73</v>
      </c>
      <c r="W109" s="41" t="s">
        <v>73</v>
      </c>
      <c r="X109" s="41" t="s">
        <v>73</v>
      </c>
      <c r="Y109" s="41" t="s">
        <v>73</v>
      </c>
      <c r="Z109" s="41" t="s">
        <v>73</v>
      </c>
      <c r="AA109" s="41" t="s">
        <v>73</v>
      </c>
      <c r="AB109" s="41" t="s">
        <v>73</v>
      </c>
      <c r="AC109" s="41" t="s">
        <v>73</v>
      </c>
      <c r="AD109" s="41" t="s">
        <v>73</v>
      </c>
      <c r="AE109" s="41" t="s">
        <v>77</v>
      </c>
      <c r="AF109" s="41" t="s">
        <v>78</v>
      </c>
      <c r="AG109" t="str">
        <f>VLOOKUP($Q109,武学奇术!$A:$ZZ,25,FALSE)</f>
        <v>心法</v>
      </c>
      <c r="AH109" s="27">
        <f>VLOOKUP($Q109,武学奇术!$A:$ZZ,26,FALSE)</f>
        <v>0</v>
      </c>
      <c r="AI109" s="28">
        <f>VLOOKUP($Q109,武学奇术!$A:$ZZ,27,FALSE)*(1+IF(OR($AG109=$F$4,$AG109=$F$5),$B$22,0))</f>
        <v>0</v>
      </c>
      <c r="AJ109" s="27">
        <f>VLOOKUP($Q109,武学奇术!$A:$ZZ,28,FALSE)</f>
        <v>0</v>
      </c>
      <c r="AK109" s="28">
        <f>VLOOKUP($Q109,武学奇术!$A:$ZZ,29,FALSE)*(1+IF(OR($AG109=$F$4,$AG109=$F$5),$B$22,0))</f>
        <v>0</v>
      </c>
      <c r="AL109" s="27" cm="1">
        <f t="array" ref="AL109">$G$3+IFERROR(VLOOKUP($AG109,$F$4:$G$7,2,FALSE),0)+VLOOKUP($Q109,武学奇术!$A:$ZZ,2,FALSE)+SUM(_xlfn.XLOOKUP($R109:$AF109,增益!$A:$A,增益!$B:$B,0))</f>
        <v>0.1037</v>
      </c>
      <c r="AM109" s="27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3826.382</v>
      </c>
      <c r="AO109" cm="1">
        <f t="array" ref="AO109">$E$10*(1+$AM109)+VLOOKUP($Q109,武学奇术!$A:$ZZ,4,FALSE)+SUM(_xlfn.XLOOKUP($R109:$AF109,增益!$A:$A,增益!$D:$D,0))-$I$2</f>
        <v>3826.382</v>
      </c>
      <c r="AP109" s="33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0.167</v>
      </c>
      <c r="AQ109" s="33" cm="1">
        <f t="array" ref="AQ109">$G$10+VLOOKUP($Q109,武学奇术!$A:$ZZ,7,FALSE)+SUM(_xlfn.XLOOKUP(R109:AF109,增益!$A:$A,增益!$G:$G,0))</f>
        <v>0.09</v>
      </c>
      <c r="AR109" s="27" cm="1">
        <f t="array" ref="AR109">VLOOKUP($Q109,武学奇术!$A:$ZZ,8,FALSE)+SUM(_xlfn.XLOOKUP(R109:AF109,增益!$A:$A,增益!$H:$H,0))</f>
        <v>0</v>
      </c>
      <c r="AS109">
        <f t="shared" si="12"/>
        <v>0</v>
      </c>
      <c r="AT109">
        <f t="shared" si="13"/>
        <v>0</v>
      </c>
      <c r="AU109" s="33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-0.3</v>
      </c>
      <c r="AV109" s="33" cm="1">
        <f t="array" ref="AV109">$G$11+VLOOKUP($Q109,武学奇术!$A:$ZZ,10,FALSE)+SUM(_xlfn.XLOOKUP(R109:AF109,增益!$A:$A,增益!$J:$J,0))</f>
        <v>0</v>
      </c>
      <c r="AW109">
        <f t="shared" si="14"/>
        <v>0</v>
      </c>
      <c r="AX109">
        <f t="shared" si="15"/>
        <v>0</v>
      </c>
      <c r="AY109" s="33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-0.3</v>
      </c>
      <c r="AZ109" s="33" cm="1">
        <f t="array" ref="AZ109">$G$12+VLOOKUP($Q109,武学奇术!$A:$ZZ,12,FALSE)+SUM(_xlfn.XLOOKUP(R109:AF109,增益!$A:$A,增益!$L:$L,0))</f>
        <v>0</v>
      </c>
      <c r="BA109">
        <f t="shared" si="16"/>
        <v>0</v>
      </c>
      <c r="BB109">
        <f t="shared" si="17"/>
        <v>0</v>
      </c>
      <c r="BC109" s="33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-0.3</v>
      </c>
      <c r="BD109" s="33" cm="1">
        <f t="array" ref="BD109">$G$13+VLOOKUP($Q109,武学奇术!$A:$ZZ,14,FALSE)+SUM(_xlfn.XLOOKUP(R109:AF109,增益!$A:$A,增益!$N:$N,0))</f>
        <v>0</v>
      </c>
      <c r="BE109">
        <f t="shared" si="18"/>
        <v>605.472</v>
      </c>
      <c r="BF109">
        <f t="shared" si="19"/>
        <v>1725.468</v>
      </c>
      <c r="BG109" s="33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0</v>
      </c>
      <c r="BH109" s="33" cm="1">
        <f t="array" ref="BH109">$G$14+VLOOKUP($Q109,武学奇术!$A:$ZZ,16,FALSE)+SUM(_xlfn.XLOOKUP(R109:AF109,增益!$A:$A,增益!$P:$P,0))</f>
        <v>0.24</v>
      </c>
      <c r="BI109" s="27">
        <f>MIN(IF(VLOOKUP($Q109,武学奇术!$A:$ZZ,23,FALSE)=1,100%,$B$8),100%)</f>
        <v>1</v>
      </c>
      <c r="BJ109" s="27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+MIN(IF(VLOOKUP($Q109,武学奇术!$A:$ZZ,32,FALSE)=1,IF(VLOOKUP($Q109,武学奇术!$A:$ZZ,24,FALSE)=1,100%,MIN(40%,$B$10+VLOOKUP($Q109,武学奇术!$A:$ZZ,19,FALSE)+SUM(_xlfn.XLOOKUP(R109:AF109,增益!$A:$A,增益!$S:$S,0)))+$B$12+SUM(_xlfn.XLOOKUP(R109:AF109,增益!$A:$A,增益!$V:$V,0))),0),12%)</f>
        <v>0.9036</v>
      </c>
      <c r="BK109" s="27" cm="1">
        <f t="array" ref="BK109">1+$B$13+VLOOKUP($Q109,武学奇术!$A:$ZZ,18,FALSE)+SUM(_xlfn.XLOOKUP(R109:AF109,增益!$A:$A,增益!$R:$R,0))</f>
        <v>1.54</v>
      </c>
      <c r="BL109" s="27" cm="1">
        <f t="array" ref="BL109">MAX(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-IF(VLOOKUP($Q109,武学奇术!$A:$ZZ,32,FALSE)=1,12%,0),0)</f>
        <v>0.0929</v>
      </c>
      <c r="BM109" s="27" cm="1">
        <f t="array" ref="BM109">1+$B$14+VLOOKUP($Q109,武学奇术!$A:$ZZ,20,FALSE)+SUM(_xlfn.XLOOKUP(R109:AF109,增益!$A:$A,增益!$T:$T,0))</f>
        <v>1.35</v>
      </c>
      <c r="BN109" s="27">
        <f t="shared" si="20"/>
        <v>0.9036</v>
      </c>
      <c r="BO109" s="27">
        <f t="shared" si="21"/>
        <v>0.00350000000000006</v>
      </c>
      <c r="BP109" s="27">
        <f>IF(VLOOKUP($Q109,武学奇术!$A:$ZZ,22,FALSE)=1,0,(1-$BI109))*(1-$BL109)</f>
        <v>0</v>
      </c>
      <c r="BQ109" s="27" cm="1">
        <f t="array" ref="BQ109">SUM(_xlfn.XLOOKUP(R109:AF109,增益!$A:$A,增益!$W:$W,0))+$I$5</f>
        <v>0.11</v>
      </c>
    </row>
    <row r="110" spans="11:69">
      <c r="K110" s="39">
        <f t="shared" si="11"/>
        <v>0</v>
      </c>
      <c r="L110" s="39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BK110*$P110*(1+IF(VLOOKUP($Q110,武学奇术!$A:$ZZ,30,FALSE)="蓄力技",$B$21,0))*(1+$BQ110)</f>
        <v>0</v>
      </c>
      <c r="M110" s="39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蓄力技",$B$21,0))*(1+$BQ110)</f>
        <v>0</v>
      </c>
      <c r="N110" s="39">
        <f>((($AN110+($AO110-$AN110)*IF(VLOOKUP($Q110,武学奇术!$A:$ZZ,31,FALSE)=1,$F$18,0.5))*$AH110+$AI110)*(1+$AP110)*(1+$AQ110)+(($AS110+($AT110-$AS110)*IF(VLOOKUP($Q110,武学奇术!$A:$ZZ,31,FALSE)=1,$F$18,0.5))*IF($G$1="鸣金",$AJ110,$AH110)+IF($G$1="鸣金",$AK110*1.5,0))*(1+$AU110)*(1+$AV110)+(($AW110+($AX110-$AW110)*IF(VLOOKUP($Q110,武学奇术!$A:$ZZ,31,FALSE)=1,$F$18,0.5))*IF($G$1="裂石",$AJ110,$AH110)+IF($G$1="裂石",$AK110*1.5,0))*(1+$AY110)*(1+$AZ110)+(($BA110+($BB110-$BA110)*IF(VLOOKUP($Q110,武学奇术!$A:$ZZ,31,FALSE)=1,$F$18,0.5))*IF($G$1="牵丝",$AJ110,$AH110)+IF($G$1="牵丝",$AK110*1.5,0))*(1+$BC110)*(1+$BD110)+(($BE110+($BF110-$BE110)*IF(VLOOKUP($Q110,武学奇术!$A:$ZZ,31,FALSE)=1,$F$18,0.5))*IF($G$1="破竹",$AJ110,$AH110)+IF($G$1="破竹",$AK110*1.5,0))*(1+$BG110)*(1+$BH110))*(1+$AL110)*$P110*(1+IF(VLOOKUP($Q110,武学奇术!$A:$ZZ,30,FALSE)="蓄力技",$B$21,0))*(1+$BQ110)</f>
        <v>0</v>
      </c>
      <c r="O110" s="39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蓄力技",$B$21,0))*(1+$BQ110)</f>
        <v>0</v>
      </c>
      <c r="P110" s="40">
        <v>1</v>
      </c>
      <c r="Q110" s="41" t="s">
        <v>73</v>
      </c>
      <c r="R110" s="41" t="s">
        <v>73</v>
      </c>
      <c r="S110" s="41" t="s">
        <v>73</v>
      </c>
      <c r="T110" s="41" t="s">
        <v>73</v>
      </c>
      <c r="U110" s="41" t="s">
        <v>73</v>
      </c>
      <c r="V110" s="41" t="s">
        <v>73</v>
      </c>
      <c r="W110" s="41" t="s">
        <v>73</v>
      </c>
      <c r="X110" s="41" t="s">
        <v>73</v>
      </c>
      <c r="Y110" s="41" t="s">
        <v>73</v>
      </c>
      <c r="Z110" s="41" t="s">
        <v>73</v>
      </c>
      <c r="AA110" s="41" t="s">
        <v>73</v>
      </c>
      <c r="AB110" s="41" t="s">
        <v>73</v>
      </c>
      <c r="AC110" s="41" t="s">
        <v>73</v>
      </c>
      <c r="AD110" s="41" t="s">
        <v>73</v>
      </c>
      <c r="AE110" s="41" t="s">
        <v>77</v>
      </c>
      <c r="AF110" s="41" t="s">
        <v>78</v>
      </c>
      <c r="AG110" t="str">
        <f>VLOOKUP($Q110,武学奇术!$A:$ZZ,25,FALSE)</f>
        <v>心法</v>
      </c>
      <c r="AH110" s="27">
        <f>VLOOKUP($Q110,武学奇术!$A:$ZZ,26,FALSE)</f>
        <v>0</v>
      </c>
      <c r="AI110" s="28">
        <f>VLOOKUP($Q110,武学奇术!$A:$ZZ,27,FALSE)*(1+IF(OR($AG110=$F$4,$AG110=$F$5),$B$22,0))</f>
        <v>0</v>
      </c>
      <c r="AJ110" s="27">
        <f>VLOOKUP($Q110,武学奇术!$A:$ZZ,28,FALSE)</f>
        <v>0</v>
      </c>
      <c r="AK110" s="28">
        <f>VLOOKUP($Q110,武学奇术!$A:$ZZ,29,FALSE)*(1+IF(OR($AG110=$F$4,$AG110=$F$5),$B$22,0))</f>
        <v>0</v>
      </c>
      <c r="AL110" s="27" cm="1">
        <f t="array" ref="AL110">$G$3+IFERROR(VLOOKUP($AG110,$F$4:$G$7,2,FALSE),0)+VLOOKUP($Q110,武学奇术!$A:$ZZ,2,FALSE)+SUM(_xlfn.XLOOKUP($R110:$AF110,增益!$A:$A,增益!$B:$B,0))</f>
        <v>0.1037</v>
      </c>
      <c r="AM110" s="27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3826.382</v>
      </c>
      <c r="AO110" cm="1">
        <f t="array" ref="AO110">$E$10*(1+$AM110)+VLOOKUP($Q110,武学奇术!$A:$ZZ,4,FALSE)+SUM(_xlfn.XLOOKUP($R110:$AF110,增益!$A:$A,增益!$D:$D,0))-$I$2</f>
        <v>3826.382</v>
      </c>
      <c r="AP110" s="33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0.167</v>
      </c>
      <c r="AQ110" s="33" cm="1">
        <f t="array" ref="AQ110">$G$10+VLOOKUP($Q110,武学奇术!$A:$ZZ,7,FALSE)+SUM(_xlfn.XLOOKUP(R110:AF110,增益!$A:$A,增益!$G:$G,0))</f>
        <v>0.09</v>
      </c>
      <c r="AR110" s="27" cm="1">
        <f t="array" ref="AR110">VLOOKUP($Q110,武学奇术!$A:$ZZ,8,FALSE)+SUM(_xlfn.XLOOKUP(R110:AF110,增益!$A:$A,增益!$H:$H,0))</f>
        <v>0</v>
      </c>
      <c r="AS110">
        <f t="shared" si="12"/>
        <v>0</v>
      </c>
      <c r="AT110">
        <f t="shared" si="13"/>
        <v>0</v>
      </c>
      <c r="AU110" s="33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3" cm="1">
        <f t="array" ref="AV110">$G$11+VLOOKUP($Q110,武学奇术!$A:$ZZ,10,FALSE)+SUM(_xlfn.XLOOKUP(R110:AF110,增益!$A:$A,增益!$J:$J,0))</f>
        <v>0</v>
      </c>
      <c r="AW110">
        <f t="shared" si="14"/>
        <v>0</v>
      </c>
      <c r="AX110">
        <f t="shared" si="15"/>
        <v>0</v>
      </c>
      <c r="AY110" s="33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3" cm="1">
        <f t="array" ref="AZ110">$G$12+VLOOKUP($Q110,武学奇术!$A:$ZZ,12,FALSE)+SUM(_xlfn.XLOOKUP(R110:AF110,增益!$A:$A,增益!$L:$L,0))</f>
        <v>0</v>
      </c>
      <c r="BA110">
        <f t="shared" si="16"/>
        <v>0</v>
      </c>
      <c r="BB110">
        <f t="shared" si="17"/>
        <v>0</v>
      </c>
      <c r="BC110" s="33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-0.3</v>
      </c>
      <c r="BD110" s="33" cm="1">
        <f t="array" ref="BD110">$G$13+VLOOKUP($Q110,武学奇术!$A:$ZZ,14,FALSE)+SUM(_xlfn.XLOOKUP(R110:AF110,增益!$A:$A,增益!$N:$N,0))</f>
        <v>0</v>
      </c>
      <c r="BE110">
        <f t="shared" si="18"/>
        <v>605.472</v>
      </c>
      <c r="BF110">
        <f t="shared" si="19"/>
        <v>1725.468</v>
      </c>
      <c r="BG110" s="33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0</v>
      </c>
      <c r="BH110" s="33" cm="1">
        <f t="array" ref="BH110">$G$14+VLOOKUP($Q110,武学奇术!$A:$ZZ,16,FALSE)+SUM(_xlfn.XLOOKUP(R110:AF110,增益!$A:$A,增益!$P:$P,0))</f>
        <v>0.24</v>
      </c>
      <c r="BI110" s="27">
        <f>MIN(IF(VLOOKUP($Q110,武学奇术!$A:$ZZ,23,FALSE)=1,100%,$B$8),100%)</f>
        <v>1</v>
      </c>
      <c r="BJ110" s="27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+MIN(IF(VLOOKUP($Q110,武学奇术!$A:$ZZ,32,FALSE)=1,IF(VLOOKUP($Q110,武学奇术!$A:$ZZ,24,FALSE)=1,100%,MIN(40%,$B$10+VLOOKUP($Q110,武学奇术!$A:$ZZ,19,FALSE)+SUM(_xlfn.XLOOKUP(R110:AF110,增益!$A:$A,增益!$S:$S,0)))+$B$12+SUM(_xlfn.XLOOKUP(R110:AF110,增益!$A:$A,增益!$V:$V,0))),0),12%)</f>
        <v>0.9036</v>
      </c>
      <c r="BK110" s="27" cm="1">
        <f t="array" ref="BK110">1+$B$13+VLOOKUP($Q110,武学奇术!$A:$ZZ,18,FALSE)+SUM(_xlfn.XLOOKUP(R110:AF110,增益!$A:$A,增益!$R:$R,0))</f>
        <v>1.54</v>
      </c>
      <c r="BL110" s="27" cm="1">
        <f t="array" ref="BL110">MAX(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-IF(VLOOKUP($Q110,武学奇术!$A:$ZZ,32,FALSE)=1,12%,0),0)</f>
        <v>0.0929</v>
      </c>
      <c r="BM110" s="27" cm="1">
        <f t="array" ref="BM110">1+$B$14+VLOOKUP($Q110,武学奇术!$A:$ZZ,20,FALSE)+SUM(_xlfn.XLOOKUP(R110:AF110,增益!$A:$A,增益!$T:$T,0))</f>
        <v>1.35</v>
      </c>
      <c r="BN110" s="27">
        <f t="shared" si="20"/>
        <v>0.9036</v>
      </c>
      <c r="BO110" s="27">
        <f t="shared" si="21"/>
        <v>0.00350000000000006</v>
      </c>
      <c r="BP110" s="27">
        <f>IF(VLOOKUP($Q110,武学奇术!$A:$ZZ,22,FALSE)=1,0,(1-$BI110))*(1-$BL110)</f>
        <v>0</v>
      </c>
      <c r="BQ110" s="27" cm="1">
        <f t="array" ref="BQ110">SUM(_xlfn.XLOOKUP(R110:AF110,增益!$A:$A,增益!$W:$W,0))+$I$5</f>
        <v>0.11</v>
      </c>
    </row>
    <row r="111" spans="11:69">
      <c r="K111" s="39">
        <f t="shared" si="11"/>
        <v>0</v>
      </c>
      <c r="L111" s="39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BK111*$P111*(1+IF(VLOOKUP($Q111,武学奇术!$A:$ZZ,30,FALSE)="蓄力技",$B$21,0))*(1+$BQ111)</f>
        <v>0</v>
      </c>
      <c r="M111" s="39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蓄力技",$B$21,0))*(1+$BQ111)</f>
        <v>0</v>
      </c>
      <c r="N111" s="39">
        <f>((($AN111+($AO111-$AN111)*IF(VLOOKUP($Q111,武学奇术!$A:$ZZ,31,FALSE)=1,$F$18,0.5))*$AH111+$AI111)*(1+$AP111)*(1+$AQ111)+(($AS111+($AT111-$AS111)*IF(VLOOKUP($Q111,武学奇术!$A:$ZZ,31,FALSE)=1,$F$18,0.5))*IF($G$1="鸣金",$AJ111,$AH111)+IF($G$1="鸣金",$AK111*1.5,0))*(1+$AU111)*(1+$AV111)+(($AW111+($AX111-$AW111)*IF(VLOOKUP($Q111,武学奇术!$A:$ZZ,31,FALSE)=1,$F$18,0.5))*IF($G$1="裂石",$AJ111,$AH111)+IF($G$1="裂石",$AK111*1.5,0))*(1+$AY111)*(1+$AZ111)+(($BA111+($BB111-$BA111)*IF(VLOOKUP($Q111,武学奇术!$A:$ZZ,31,FALSE)=1,$F$18,0.5))*IF($G$1="牵丝",$AJ111,$AH111)+IF($G$1="牵丝",$AK111*1.5,0))*(1+$BC111)*(1+$BD111)+(($BE111+($BF111-$BE111)*IF(VLOOKUP($Q111,武学奇术!$A:$ZZ,31,FALSE)=1,$F$18,0.5))*IF($G$1="破竹",$AJ111,$AH111)+IF($G$1="破竹",$AK111*1.5,0))*(1+$BG111)*(1+$BH111))*(1+$AL111)*$P111*(1+IF(VLOOKUP($Q111,武学奇术!$A:$ZZ,30,FALSE)="蓄力技",$B$21,0))*(1+$BQ111)</f>
        <v>0</v>
      </c>
      <c r="O111" s="39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蓄力技",$B$21,0))*(1+$BQ111)</f>
        <v>0</v>
      </c>
      <c r="P111" s="40">
        <v>1</v>
      </c>
      <c r="Q111" s="41" t="s">
        <v>73</v>
      </c>
      <c r="R111" s="41" t="s">
        <v>73</v>
      </c>
      <c r="S111" s="41" t="s">
        <v>73</v>
      </c>
      <c r="T111" s="41" t="s">
        <v>73</v>
      </c>
      <c r="U111" s="41" t="s">
        <v>73</v>
      </c>
      <c r="V111" s="41" t="s">
        <v>73</v>
      </c>
      <c r="W111" s="41" t="s">
        <v>73</v>
      </c>
      <c r="X111" s="41" t="s">
        <v>73</v>
      </c>
      <c r="Y111" s="41" t="s">
        <v>73</v>
      </c>
      <c r="Z111" s="41" t="s">
        <v>73</v>
      </c>
      <c r="AA111" s="41" t="s">
        <v>73</v>
      </c>
      <c r="AB111" s="41" t="s">
        <v>73</v>
      </c>
      <c r="AC111" s="41" t="s">
        <v>73</v>
      </c>
      <c r="AD111" s="41" t="s">
        <v>73</v>
      </c>
      <c r="AE111" s="41" t="s">
        <v>77</v>
      </c>
      <c r="AF111" s="41" t="s">
        <v>78</v>
      </c>
      <c r="AG111" t="str">
        <f>VLOOKUP($Q111,武学奇术!$A:$ZZ,25,FALSE)</f>
        <v>心法</v>
      </c>
      <c r="AH111" s="27">
        <f>VLOOKUP($Q111,武学奇术!$A:$ZZ,26,FALSE)</f>
        <v>0</v>
      </c>
      <c r="AI111" s="28">
        <f>VLOOKUP($Q111,武学奇术!$A:$ZZ,27,FALSE)*(1+IF(OR($AG111=$F$4,$AG111=$F$5),$B$22,0))</f>
        <v>0</v>
      </c>
      <c r="AJ111" s="27">
        <f>VLOOKUP($Q111,武学奇术!$A:$ZZ,28,FALSE)</f>
        <v>0</v>
      </c>
      <c r="AK111" s="28">
        <f>VLOOKUP($Q111,武学奇术!$A:$ZZ,29,FALSE)*(1+IF(OR($AG111=$F$4,$AG111=$F$5),$B$22,0))</f>
        <v>0</v>
      </c>
      <c r="AL111" s="27" cm="1">
        <f t="array" ref="AL111">$G$3+IFERROR(VLOOKUP($AG111,$F$4:$G$7,2,FALSE),0)+VLOOKUP($Q111,武学奇术!$A:$ZZ,2,FALSE)+SUM(_xlfn.XLOOKUP($R111:$AF111,增益!$A:$A,增益!$B:$B,0))</f>
        <v>0.1037</v>
      </c>
      <c r="AM111" s="27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3826.382</v>
      </c>
      <c r="AO111" cm="1">
        <f t="array" ref="AO111">$E$10*(1+$AM111)+VLOOKUP($Q111,武学奇术!$A:$ZZ,4,FALSE)+SUM(_xlfn.XLOOKUP($R111:$AF111,增益!$A:$A,增益!$D:$D,0))-$I$2</f>
        <v>3826.382</v>
      </c>
      <c r="AP111" s="33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0.167</v>
      </c>
      <c r="AQ111" s="33" cm="1">
        <f t="array" ref="AQ111">$G$10+VLOOKUP($Q111,武学奇术!$A:$ZZ,7,FALSE)+SUM(_xlfn.XLOOKUP(R111:AF111,增益!$A:$A,增益!$G:$G,0))</f>
        <v>0.09</v>
      </c>
      <c r="AR111" s="27" cm="1">
        <f t="array" ref="AR111">VLOOKUP($Q111,武学奇术!$A:$ZZ,8,FALSE)+SUM(_xlfn.XLOOKUP(R111:AF111,增益!$A:$A,增益!$H:$H,0))</f>
        <v>0</v>
      </c>
      <c r="AS111">
        <f t="shared" si="12"/>
        <v>0</v>
      </c>
      <c r="AT111">
        <f t="shared" si="13"/>
        <v>0</v>
      </c>
      <c r="AU111" s="33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-0.3</v>
      </c>
      <c r="AV111" s="33" cm="1">
        <f t="array" ref="AV111">$G$11+VLOOKUP($Q111,武学奇术!$A:$ZZ,10,FALSE)+SUM(_xlfn.XLOOKUP(R111:AF111,增益!$A:$A,增益!$J:$J,0))</f>
        <v>0</v>
      </c>
      <c r="AW111">
        <f t="shared" si="14"/>
        <v>0</v>
      </c>
      <c r="AX111">
        <f t="shared" si="15"/>
        <v>0</v>
      </c>
      <c r="AY111" s="33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-0.3</v>
      </c>
      <c r="AZ111" s="33" cm="1">
        <f t="array" ref="AZ111">$G$12+VLOOKUP($Q111,武学奇术!$A:$ZZ,12,FALSE)+SUM(_xlfn.XLOOKUP(R111:AF111,增益!$A:$A,增益!$L:$L,0))</f>
        <v>0</v>
      </c>
      <c r="BA111">
        <f t="shared" si="16"/>
        <v>0</v>
      </c>
      <c r="BB111">
        <f t="shared" si="17"/>
        <v>0</v>
      </c>
      <c r="BC111" s="33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-0.3</v>
      </c>
      <c r="BD111" s="33" cm="1">
        <f t="array" ref="BD111">$G$13+VLOOKUP($Q111,武学奇术!$A:$ZZ,14,FALSE)+SUM(_xlfn.XLOOKUP(R111:AF111,增益!$A:$A,增益!$N:$N,0))</f>
        <v>0</v>
      </c>
      <c r="BE111">
        <f t="shared" si="18"/>
        <v>605.472</v>
      </c>
      <c r="BF111">
        <f t="shared" si="19"/>
        <v>1725.468</v>
      </c>
      <c r="BG111" s="33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0</v>
      </c>
      <c r="BH111" s="33" cm="1">
        <f t="array" ref="BH111">$G$14+VLOOKUP($Q111,武学奇术!$A:$ZZ,16,FALSE)+SUM(_xlfn.XLOOKUP(R111:AF111,增益!$A:$A,增益!$P:$P,0))</f>
        <v>0.24</v>
      </c>
      <c r="BI111" s="27">
        <f>MIN(IF(VLOOKUP($Q111,武学奇术!$A:$ZZ,23,FALSE)=1,100%,$B$8),100%)</f>
        <v>1</v>
      </c>
      <c r="BJ111" s="27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+MIN(IF(VLOOKUP($Q111,武学奇术!$A:$ZZ,32,FALSE)=1,IF(VLOOKUP($Q111,武学奇术!$A:$ZZ,24,FALSE)=1,100%,MIN(40%,$B$10+VLOOKUP($Q111,武学奇术!$A:$ZZ,19,FALSE)+SUM(_xlfn.XLOOKUP(R111:AF111,增益!$A:$A,增益!$S:$S,0)))+$B$12+SUM(_xlfn.XLOOKUP(R111:AF111,增益!$A:$A,增益!$V:$V,0))),0),12%)</f>
        <v>0.9036</v>
      </c>
      <c r="BK111" s="27" cm="1">
        <f t="array" ref="BK111">1+$B$13+VLOOKUP($Q111,武学奇术!$A:$ZZ,18,FALSE)+SUM(_xlfn.XLOOKUP(R111:AF111,增益!$A:$A,增益!$R:$R,0))</f>
        <v>1.54</v>
      </c>
      <c r="BL111" s="27" cm="1">
        <f t="array" ref="BL111">MAX(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-IF(VLOOKUP($Q111,武学奇术!$A:$ZZ,32,FALSE)=1,12%,0),0)</f>
        <v>0.0929</v>
      </c>
      <c r="BM111" s="27" cm="1">
        <f t="array" ref="BM111">1+$B$14+VLOOKUP($Q111,武学奇术!$A:$ZZ,20,FALSE)+SUM(_xlfn.XLOOKUP(R111:AF111,增益!$A:$A,增益!$T:$T,0))</f>
        <v>1.35</v>
      </c>
      <c r="BN111" s="27">
        <f t="shared" si="20"/>
        <v>0.9036</v>
      </c>
      <c r="BO111" s="27">
        <f t="shared" si="21"/>
        <v>0.00350000000000006</v>
      </c>
      <c r="BP111" s="27">
        <f>IF(VLOOKUP($Q111,武学奇术!$A:$ZZ,22,FALSE)=1,0,(1-$BI111))*(1-$BL111)</f>
        <v>0</v>
      </c>
      <c r="BQ111" s="27" cm="1">
        <f t="array" ref="BQ111">SUM(_xlfn.XLOOKUP(R111:AF111,增益!$A:$A,增益!$W:$W,0))+$I$5</f>
        <v>0.11</v>
      </c>
    </row>
    <row r="112" spans="11:69">
      <c r="K112" s="39">
        <f t="shared" si="11"/>
        <v>0</v>
      </c>
      <c r="L112" s="39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BK112*$P112*(1+IF(VLOOKUP($Q112,武学奇术!$A:$ZZ,30,FALSE)="蓄力技",$B$21,0))*(1+$BQ112)</f>
        <v>0</v>
      </c>
      <c r="M112" s="39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蓄力技",$B$21,0))*(1+$BQ112)</f>
        <v>0</v>
      </c>
      <c r="N112" s="39">
        <f>((($AN112+($AO112-$AN112)*IF(VLOOKUP($Q112,武学奇术!$A:$ZZ,31,FALSE)=1,$F$18,0.5))*$AH112+$AI112)*(1+$AP112)*(1+$AQ112)+(($AS112+($AT112-$AS112)*IF(VLOOKUP($Q112,武学奇术!$A:$ZZ,31,FALSE)=1,$F$18,0.5))*IF($G$1="鸣金",$AJ112,$AH112)+IF($G$1="鸣金",$AK112*1.5,0))*(1+$AU112)*(1+$AV112)+(($AW112+($AX112-$AW112)*IF(VLOOKUP($Q112,武学奇术!$A:$ZZ,31,FALSE)=1,$F$18,0.5))*IF($G$1="裂石",$AJ112,$AH112)+IF($G$1="裂石",$AK112*1.5,0))*(1+$AY112)*(1+$AZ112)+(($BA112+($BB112-$BA112)*IF(VLOOKUP($Q112,武学奇术!$A:$ZZ,31,FALSE)=1,$F$18,0.5))*IF($G$1="牵丝",$AJ112,$AH112)+IF($G$1="牵丝",$AK112*1.5,0))*(1+$BC112)*(1+$BD112)+(($BE112+($BF112-$BE112)*IF(VLOOKUP($Q112,武学奇术!$A:$ZZ,31,FALSE)=1,$F$18,0.5))*IF($G$1="破竹",$AJ112,$AH112)+IF($G$1="破竹",$AK112*1.5,0))*(1+$BG112)*(1+$BH112))*(1+$AL112)*$P112*(1+IF(VLOOKUP($Q112,武学奇术!$A:$ZZ,30,FALSE)="蓄力技",$B$21,0))*(1+$BQ112)</f>
        <v>0</v>
      </c>
      <c r="O112" s="39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蓄力技",$B$21,0))*(1+$BQ112)</f>
        <v>0</v>
      </c>
      <c r="P112" s="40">
        <v>1</v>
      </c>
      <c r="Q112" s="41" t="s">
        <v>73</v>
      </c>
      <c r="R112" s="41" t="s">
        <v>73</v>
      </c>
      <c r="S112" s="41" t="s">
        <v>73</v>
      </c>
      <c r="T112" s="41" t="s">
        <v>73</v>
      </c>
      <c r="U112" s="41" t="s">
        <v>73</v>
      </c>
      <c r="V112" s="41" t="s">
        <v>73</v>
      </c>
      <c r="W112" s="41" t="s">
        <v>73</v>
      </c>
      <c r="X112" s="41" t="s">
        <v>73</v>
      </c>
      <c r="Y112" s="41" t="s">
        <v>73</v>
      </c>
      <c r="Z112" s="41" t="s">
        <v>73</v>
      </c>
      <c r="AA112" s="41" t="s">
        <v>73</v>
      </c>
      <c r="AB112" s="41" t="s">
        <v>73</v>
      </c>
      <c r="AC112" s="41" t="s">
        <v>73</v>
      </c>
      <c r="AD112" s="41" t="s">
        <v>73</v>
      </c>
      <c r="AE112" s="41" t="s">
        <v>77</v>
      </c>
      <c r="AF112" s="41" t="s">
        <v>78</v>
      </c>
      <c r="AG112" t="str">
        <f>VLOOKUP($Q112,武学奇术!$A:$ZZ,25,FALSE)</f>
        <v>心法</v>
      </c>
      <c r="AH112" s="27">
        <f>VLOOKUP($Q112,武学奇术!$A:$ZZ,26,FALSE)</f>
        <v>0</v>
      </c>
      <c r="AI112" s="28">
        <f>VLOOKUP($Q112,武学奇术!$A:$ZZ,27,FALSE)*(1+IF(OR($AG112=$F$4,$AG112=$F$5),$B$22,0))</f>
        <v>0</v>
      </c>
      <c r="AJ112" s="27">
        <f>VLOOKUP($Q112,武学奇术!$A:$ZZ,28,FALSE)</f>
        <v>0</v>
      </c>
      <c r="AK112" s="28">
        <f>VLOOKUP($Q112,武学奇术!$A:$ZZ,29,FALSE)*(1+IF(OR($AG112=$F$4,$AG112=$F$5),$B$22,0))</f>
        <v>0</v>
      </c>
      <c r="AL112" s="27" cm="1">
        <f t="array" ref="AL112">$G$3+IFERROR(VLOOKUP($AG112,$F$4:$G$7,2,FALSE),0)+VLOOKUP($Q112,武学奇术!$A:$ZZ,2,FALSE)+SUM(_xlfn.XLOOKUP($R112:$AF112,增益!$A:$A,增益!$B:$B,0))</f>
        <v>0.1037</v>
      </c>
      <c r="AM112" s="27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3826.382</v>
      </c>
      <c r="AO112" cm="1">
        <f t="array" ref="AO112">$E$10*(1+$AM112)+VLOOKUP($Q112,武学奇术!$A:$ZZ,4,FALSE)+SUM(_xlfn.XLOOKUP($R112:$AF112,增益!$A:$A,增益!$D:$D,0))-$I$2</f>
        <v>3826.382</v>
      </c>
      <c r="AP112" s="33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0.167</v>
      </c>
      <c r="AQ112" s="33" cm="1">
        <f t="array" ref="AQ112">$G$10+VLOOKUP($Q112,武学奇术!$A:$ZZ,7,FALSE)+SUM(_xlfn.XLOOKUP(R112:AF112,增益!$A:$A,增益!$G:$G,0))</f>
        <v>0.09</v>
      </c>
      <c r="AR112" s="27" cm="1">
        <f t="array" ref="AR112">VLOOKUP($Q112,武学奇术!$A:$ZZ,8,FALSE)+SUM(_xlfn.XLOOKUP(R112:AF112,增益!$A:$A,增益!$H:$H,0))</f>
        <v>0</v>
      </c>
      <c r="AS112">
        <f t="shared" si="12"/>
        <v>0</v>
      </c>
      <c r="AT112">
        <f t="shared" si="13"/>
        <v>0</v>
      </c>
      <c r="AU112" s="33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-0.3</v>
      </c>
      <c r="AV112" s="33" cm="1">
        <f t="array" ref="AV112">$G$11+VLOOKUP($Q112,武学奇术!$A:$ZZ,10,FALSE)+SUM(_xlfn.XLOOKUP(R112:AF112,增益!$A:$A,增益!$J:$J,0))</f>
        <v>0</v>
      </c>
      <c r="AW112">
        <f t="shared" si="14"/>
        <v>0</v>
      </c>
      <c r="AX112">
        <f t="shared" si="15"/>
        <v>0</v>
      </c>
      <c r="AY112" s="33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-0.3</v>
      </c>
      <c r="AZ112" s="33" cm="1">
        <f t="array" ref="AZ112">$G$12+VLOOKUP($Q112,武学奇术!$A:$ZZ,12,FALSE)+SUM(_xlfn.XLOOKUP(R112:AF112,增益!$A:$A,增益!$L:$L,0))</f>
        <v>0</v>
      </c>
      <c r="BA112">
        <f t="shared" si="16"/>
        <v>0</v>
      </c>
      <c r="BB112">
        <f t="shared" si="17"/>
        <v>0</v>
      </c>
      <c r="BC112" s="33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-0.3</v>
      </c>
      <c r="BD112" s="33" cm="1">
        <f t="array" ref="BD112">$G$13+VLOOKUP($Q112,武学奇术!$A:$ZZ,14,FALSE)+SUM(_xlfn.XLOOKUP(R112:AF112,增益!$A:$A,增益!$N:$N,0))</f>
        <v>0</v>
      </c>
      <c r="BE112">
        <f t="shared" si="18"/>
        <v>605.472</v>
      </c>
      <c r="BF112">
        <f t="shared" si="19"/>
        <v>1725.468</v>
      </c>
      <c r="BG112" s="33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0</v>
      </c>
      <c r="BH112" s="33" cm="1">
        <f t="array" ref="BH112">$G$14+VLOOKUP($Q112,武学奇术!$A:$ZZ,16,FALSE)+SUM(_xlfn.XLOOKUP(R112:AF112,增益!$A:$A,增益!$P:$P,0))</f>
        <v>0.24</v>
      </c>
      <c r="BI112" s="27">
        <f>MIN(IF(VLOOKUP($Q112,武学奇术!$A:$ZZ,23,FALSE)=1,100%,$B$8),100%)</f>
        <v>1</v>
      </c>
      <c r="BJ112" s="27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+MIN(IF(VLOOKUP($Q112,武学奇术!$A:$ZZ,32,FALSE)=1,IF(VLOOKUP($Q112,武学奇术!$A:$ZZ,24,FALSE)=1,100%,MIN(40%,$B$10+VLOOKUP($Q112,武学奇术!$A:$ZZ,19,FALSE)+SUM(_xlfn.XLOOKUP(R112:AF112,增益!$A:$A,增益!$S:$S,0)))+$B$12+SUM(_xlfn.XLOOKUP(R112:AF112,增益!$A:$A,增益!$V:$V,0))),0),12%)</f>
        <v>0.9036</v>
      </c>
      <c r="BK112" s="27" cm="1">
        <f t="array" ref="BK112">1+$B$13+VLOOKUP($Q112,武学奇术!$A:$ZZ,18,FALSE)+SUM(_xlfn.XLOOKUP(R112:AF112,增益!$A:$A,增益!$R:$R,0))</f>
        <v>1.54</v>
      </c>
      <c r="BL112" s="27" cm="1">
        <f t="array" ref="BL112">MAX(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-IF(VLOOKUP($Q112,武学奇术!$A:$ZZ,32,FALSE)=1,12%,0),0)</f>
        <v>0.0929</v>
      </c>
      <c r="BM112" s="27" cm="1">
        <f t="array" ref="BM112">1+$B$14+VLOOKUP($Q112,武学奇术!$A:$ZZ,20,FALSE)+SUM(_xlfn.XLOOKUP(R112:AF112,增益!$A:$A,增益!$T:$T,0))</f>
        <v>1.35</v>
      </c>
      <c r="BN112" s="27">
        <f t="shared" si="20"/>
        <v>0.9036</v>
      </c>
      <c r="BO112" s="27">
        <f t="shared" si="21"/>
        <v>0.00350000000000006</v>
      </c>
      <c r="BP112" s="27">
        <f>IF(VLOOKUP($Q112,武学奇术!$A:$ZZ,22,FALSE)=1,0,(1-$BI112))*(1-$BL112)</f>
        <v>0</v>
      </c>
      <c r="BQ112" s="27" cm="1">
        <f t="array" ref="BQ112">SUM(_xlfn.XLOOKUP(R112:AF112,增益!$A:$A,增益!$W:$W,0))+$I$5</f>
        <v>0.11</v>
      </c>
    </row>
    <row r="113" spans="11:69">
      <c r="K113" s="39">
        <f t="shared" si="11"/>
        <v>0</v>
      </c>
      <c r="L113" s="39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BK113*$P113*(1+IF(VLOOKUP($Q113,武学奇术!$A:$ZZ,30,FALSE)="蓄力技",$B$21,0))*(1+$BQ113)</f>
        <v>0</v>
      </c>
      <c r="M113" s="39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蓄力技",$B$21,0))*(1+$BQ113)</f>
        <v>0</v>
      </c>
      <c r="N113" s="39">
        <f>((($AN113+($AO113-$AN113)*IF(VLOOKUP($Q113,武学奇术!$A:$ZZ,31,FALSE)=1,$F$18,0.5))*$AH113+$AI113)*(1+$AP113)*(1+$AQ113)+(($AS113+($AT113-$AS113)*IF(VLOOKUP($Q113,武学奇术!$A:$ZZ,31,FALSE)=1,$F$18,0.5))*IF($G$1="鸣金",$AJ113,$AH113)+IF($G$1="鸣金",$AK113*1.5,0))*(1+$AU113)*(1+$AV113)+(($AW113+($AX113-$AW113)*IF(VLOOKUP($Q113,武学奇术!$A:$ZZ,31,FALSE)=1,$F$18,0.5))*IF($G$1="裂石",$AJ113,$AH113)+IF($G$1="裂石",$AK113*1.5,0))*(1+$AY113)*(1+$AZ113)+(($BA113+($BB113-$BA113)*IF(VLOOKUP($Q113,武学奇术!$A:$ZZ,31,FALSE)=1,$F$18,0.5))*IF($G$1="牵丝",$AJ113,$AH113)+IF($G$1="牵丝",$AK113*1.5,0))*(1+$BC113)*(1+$BD113)+(($BE113+($BF113-$BE113)*IF(VLOOKUP($Q113,武学奇术!$A:$ZZ,31,FALSE)=1,$F$18,0.5))*IF($G$1="破竹",$AJ113,$AH113)+IF($G$1="破竹",$AK113*1.5,0))*(1+$BG113)*(1+$BH113))*(1+$AL113)*$P113*(1+IF(VLOOKUP($Q113,武学奇术!$A:$ZZ,30,FALSE)="蓄力技",$B$21,0))*(1+$BQ113)</f>
        <v>0</v>
      </c>
      <c r="O113" s="39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蓄力技",$B$21,0))*(1+$BQ113)</f>
        <v>0</v>
      </c>
      <c r="P113" s="40">
        <v>1</v>
      </c>
      <c r="Q113" s="41" t="s">
        <v>73</v>
      </c>
      <c r="R113" s="41" t="s">
        <v>73</v>
      </c>
      <c r="S113" s="41" t="s">
        <v>73</v>
      </c>
      <c r="T113" s="41" t="s">
        <v>73</v>
      </c>
      <c r="U113" s="41" t="s">
        <v>73</v>
      </c>
      <c r="V113" s="41" t="s">
        <v>73</v>
      </c>
      <c r="W113" s="41" t="s">
        <v>73</v>
      </c>
      <c r="X113" s="41" t="s">
        <v>73</v>
      </c>
      <c r="Y113" s="41" t="s">
        <v>73</v>
      </c>
      <c r="Z113" s="41" t="s">
        <v>73</v>
      </c>
      <c r="AA113" s="41" t="s">
        <v>73</v>
      </c>
      <c r="AB113" s="41" t="s">
        <v>73</v>
      </c>
      <c r="AC113" s="41" t="s">
        <v>73</v>
      </c>
      <c r="AD113" s="41" t="s">
        <v>73</v>
      </c>
      <c r="AE113" s="41" t="s">
        <v>77</v>
      </c>
      <c r="AF113" s="41" t="s">
        <v>78</v>
      </c>
      <c r="AG113" t="str">
        <f>VLOOKUP($Q113,武学奇术!$A:$ZZ,25,FALSE)</f>
        <v>心法</v>
      </c>
      <c r="AH113" s="27">
        <f>VLOOKUP($Q113,武学奇术!$A:$ZZ,26,FALSE)</f>
        <v>0</v>
      </c>
      <c r="AI113" s="28">
        <f>VLOOKUP($Q113,武学奇术!$A:$ZZ,27,FALSE)*(1+IF(OR($AG113=$F$4,$AG113=$F$5),$B$22,0))</f>
        <v>0</v>
      </c>
      <c r="AJ113" s="27">
        <f>VLOOKUP($Q113,武学奇术!$A:$ZZ,28,FALSE)</f>
        <v>0</v>
      </c>
      <c r="AK113" s="28">
        <f>VLOOKUP($Q113,武学奇术!$A:$ZZ,29,FALSE)*(1+IF(OR($AG113=$F$4,$AG113=$F$5),$B$22,0))</f>
        <v>0</v>
      </c>
      <c r="AL113" s="27" cm="1">
        <f t="array" ref="AL113">$G$3+IFERROR(VLOOKUP($AG113,$F$4:$G$7,2,FALSE),0)+VLOOKUP($Q113,武学奇术!$A:$ZZ,2,FALSE)+SUM(_xlfn.XLOOKUP($R113:$AF113,增益!$A:$A,增益!$B:$B,0))</f>
        <v>0.1037</v>
      </c>
      <c r="AM113" s="27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3826.382</v>
      </c>
      <c r="AO113" cm="1">
        <f t="array" ref="AO113">$E$10*(1+$AM113)+VLOOKUP($Q113,武学奇术!$A:$ZZ,4,FALSE)+SUM(_xlfn.XLOOKUP($R113:$AF113,增益!$A:$A,增益!$D:$D,0))-$I$2</f>
        <v>3826.382</v>
      </c>
      <c r="AP113" s="33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0.167</v>
      </c>
      <c r="AQ113" s="33" cm="1">
        <f t="array" ref="AQ113">$G$10+VLOOKUP($Q113,武学奇术!$A:$ZZ,7,FALSE)+SUM(_xlfn.XLOOKUP(R113:AF113,增益!$A:$A,增益!$G:$G,0))</f>
        <v>0.09</v>
      </c>
      <c r="AR113" s="27" cm="1">
        <f t="array" ref="AR113">VLOOKUP($Q113,武学奇术!$A:$ZZ,8,FALSE)+SUM(_xlfn.XLOOKUP(R113:AF113,增益!$A:$A,增益!$H:$H,0))</f>
        <v>0</v>
      </c>
      <c r="AS113">
        <f t="shared" si="12"/>
        <v>0</v>
      </c>
      <c r="AT113">
        <f t="shared" si="13"/>
        <v>0</v>
      </c>
      <c r="AU113" s="33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-0.3</v>
      </c>
      <c r="AV113" s="33" cm="1">
        <f t="array" ref="AV113">$G$11+VLOOKUP($Q113,武学奇术!$A:$ZZ,10,FALSE)+SUM(_xlfn.XLOOKUP(R113:AF113,增益!$A:$A,增益!$J:$J,0))</f>
        <v>0</v>
      </c>
      <c r="AW113">
        <f t="shared" si="14"/>
        <v>0</v>
      </c>
      <c r="AX113">
        <f t="shared" si="15"/>
        <v>0</v>
      </c>
      <c r="AY113" s="33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-0.3</v>
      </c>
      <c r="AZ113" s="33" cm="1">
        <f t="array" ref="AZ113">$G$12+VLOOKUP($Q113,武学奇术!$A:$ZZ,12,FALSE)+SUM(_xlfn.XLOOKUP(R113:AF113,增益!$A:$A,增益!$L:$L,0))</f>
        <v>0</v>
      </c>
      <c r="BA113">
        <f t="shared" si="16"/>
        <v>0</v>
      </c>
      <c r="BB113">
        <f t="shared" si="17"/>
        <v>0</v>
      </c>
      <c r="BC113" s="33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-0.3</v>
      </c>
      <c r="BD113" s="33" cm="1">
        <f t="array" ref="BD113">$G$13+VLOOKUP($Q113,武学奇术!$A:$ZZ,14,FALSE)+SUM(_xlfn.XLOOKUP(R113:AF113,增益!$A:$A,增益!$N:$N,0))</f>
        <v>0</v>
      </c>
      <c r="BE113">
        <f t="shared" si="18"/>
        <v>605.472</v>
      </c>
      <c r="BF113">
        <f t="shared" si="19"/>
        <v>1725.468</v>
      </c>
      <c r="BG113" s="33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0</v>
      </c>
      <c r="BH113" s="33" cm="1">
        <f t="array" ref="BH113">$G$14+VLOOKUP($Q113,武学奇术!$A:$ZZ,16,FALSE)+SUM(_xlfn.XLOOKUP(R113:AF113,增益!$A:$A,增益!$P:$P,0))</f>
        <v>0.24</v>
      </c>
      <c r="BI113" s="27">
        <f>MIN(IF(VLOOKUP($Q113,武学奇术!$A:$ZZ,23,FALSE)=1,100%,$B$8),100%)</f>
        <v>1</v>
      </c>
      <c r="BJ113" s="27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+MIN(IF(VLOOKUP($Q113,武学奇术!$A:$ZZ,32,FALSE)=1,IF(VLOOKUP($Q113,武学奇术!$A:$ZZ,24,FALSE)=1,100%,MIN(40%,$B$10+VLOOKUP($Q113,武学奇术!$A:$ZZ,19,FALSE)+SUM(_xlfn.XLOOKUP(R113:AF113,增益!$A:$A,增益!$S:$S,0)))+$B$12+SUM(_xlfn.XLOOKUP(R113:AF113,增益!$A:$A,增益!$V:$V,0))),0),12%)</f>
        <v>0.9036</v>
      </c>
      <c r="BK113" s="27" cm="1">
        <f t="array" ref="BK113">1+$B$13+VLOOKUP($Q113,武学奇术!$A:$ZZ,18,FALSE)+SUM(_xlfn.XLOOKUP(R113:AF113,增益!$A:$A,增益!$R:$R,0))</f>
        <v>1.54</v>
      </c>
      <c r="BL113" s="27" cm="1">
        <f t="array" ref="BL113">MAX(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-IF(VLOOKUP($Q113,武学奇术!$A:$ZZ,32,FALSE)=1,12%,0),0)</f>
        <v>0.0929</v>
      </c>
      <c r="BM113" s="27" cm="1">
        <f t="array" ref="BM113">1+$B$14+VLOOKUP($Q113,武学奇术!$A:$ZZ,20,FALSE)+SUM(_xlfn.XLOOKUP(R113:AF113,增益!$A:$A,增益!$T:$T,0))</f>
        <v>1.35</v>
      </c>
      <c r="BN113" s="27">
        <f t="shared" si="20"/>
        <v>0.9036</v>
      </c>
      <c r="BO113" s="27">
        <f t="shared" si="21"/>
        <v>0.00350000000000006</v>
      </c>
      <c r="BP113" s="27">
        <f>IF(VLOOKUP($Q113,武学奇术!$A:$ZZ,22,FALSE)=1,0,(1-$BI113))*(1-$BL113)</f>
        <v>0</v>
      </c>
      <c r="BQ113" s="27" cm="1">
        <f t="array" ref="BQ113">SUM(_xlfn.XLOOKUP(R113:AF113,增益!$A:$A,增益!$W:$W,0))+$I$5</f>
        <v>0.11</v>
      </c>
    </row>
    <row r="114" spans="11:69">
      <c r="K114" s="39">
        <f t="shared" si="11"/>
        <v>0</v>
      </c>
      <c r="L114" s="39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BK114*$P114*(1+IF(VLOOKUP($Q114,武学奇术!$A:$ZZ,30,FALSE)="蓄力技",$B$21,0))*(1+$BQ114)</f>
        <v>0</v>
      </c>
      <c r="M114" s="39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蓄力技",$B$21,0))*(1+$BQ114)</f>
        <v>0</v>
      </c>
      <c r="N114" s="39">
        <f>((($AN114+($AO114-$AN114)*IF(VLOOKUP($Q114,武学奇术!$A:$ZZ,31,FALSE)=1,$F$18,0.5))*$AH114+$AI114)*(1+$AP114)*(1+$AQ114)+(($AS114+($AT114-$AS114)*IF(VLOOKUP($Q114,武学奇术!$A:$ZZ,31,FALSE)=1,$F$18,0.5))*IF($G$1="鸣金",$AJ114,$AH114)+IF($G$1="鸣金",$AK114*1.5,0))*(1+$AU114)*(1+$AV114)+(($AW114+($AX114-$AW114)*IF(VLOOKUP($Q114,武学奇术!$A:$ZZ,31,FALSE)=1,$F$18,0.5))*IF($G$1="裂石",$AJ114,$AH114)+IF($G$1="裂石",$AK114*1.5,0))*(1+$AY114)*(1+$AZ114)+(($BA114+($BB114-$BA114)*IF(VLOOKUP($Q114,武学奇术!$A:$ZZ,31,FALSE)=1,$F$18,0.5))*IF($G$1="牵丝",$AJ114,$AH114)+IF($G$1="牵丝",$AK114*1.5,0))*(1+$BC114)*(1+$BD114)+(($BE114+($BF114-$BE114)*IF(VLOOKUP($Q114,武学奇术!$A:$ZZ,31,FALSE)=1,$F$18,0.5))*IF($G$1="破竹",$AJ114,$AH114)+IF($G$1="破竹",$AK114*1.5,0))*(1+$BG114)*(1+$BH114))*(1+$AL114)*$P114*(1+IF(VLOOKUP($Q114,武学奇术!$A:$ZZ,30,FALSE)="蓄力技",$B$21,0))*(1+$BQ114)</f>
        <v>0</v>
      </c>
      <c r="O114" s="39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蓄力技",$B$21,0))*(1+$BQ114)</f>
        <v>0</v>
      </c>
      <c r="P114" s="40">
        <v>1</v>
      </c>
      <c r="Q114" s="41" t="s">
        <v>73</v>
      </c>
      <c r="R114" s="41" t="s">
        <v>73</v>
      </c>
      <c r="S114" s="41" t="s">
        <v>73</v>
      </c>
      <c r="T114" s="41" t="s">
        <v>73</v>
      </c>
      <c r="U114" s="41" t="s">
        <v>73</v>
      </c>
      <c r="V114" s="41" t="s">
        <v>73</v>
      </c>
      <c r="W114" s="41" t="s">
        <v>73</v>
      </c>
      <c r="X114" s="41" t="s">
        <v>73</v>
      </c>
      <c r="Y114" s="41" t="s">
        <v>73</v>
      </c>
      <c r="Z114" s="41" t="s">
        <v>73</v>
      </c>
      <c r="AA114" s="41" t="s">
        <v>73</v>
      </c>
      <c r="AB114" s="41" t="s">
        <v>73</v>
      </c>
      <c r="AC114" s="41" t="s">
        <v>73</v>
      </c>
      <c r="AD114" s="41" t="s">
        <v>73</v>
      </c>
      <c r="AE114" s="41" t="s">
        <v>77</v>
      </c>
      <c r="AF114" s="41" t="s">
        <v>78</v>
      </c>
      <c r="AG114" t="str">
        <f>VLOOKUP($Q114,武学奇术!$A:$ZZ,25,FALSE)</f>
        <v>心法</v>
      </c>
      <c r="AH114" s="27">
        <f>VLOOKUP($Q114,武学奇术!$A:$ZZ,26,FALSE)</f>
        <v>0</v>
      </c>
      <c r="AI114" s="28">
        <f>VLOOKUP($Q114,武学奇术!$A:$ZZ,27,FALSE)*(1+IF(OR($AG114=$F$4,$AG114=$F$5),$B$22,0))</f>
        <v>0</v>
      </c>
      <c r="AJ114" s="27">
        <f>VLOOKUP($Q114,武学奇术!$A:$ZZ,28,FALSE)</f>
        <v>0</v>
      </c>
      <c r="AK114" s="28">
        <f>VLOOKUP($Q114,武学奇术!$A:$ZZ,29,FALSE)*(1+IF(OR($AG114=$F$4,$AG114=$F$5),$B$22,0))</f>
        <v>0</v>
      </c>
      <c r="AL114" s="27" cm="1">
        <f t="array" ref="AL114">$G$3+IFERROR(VLOOKUP($AG114,$F$4:$G$7,2,FALSE),0)+VLOOKUP($Q114,武学奇术!$A:$ZZ,2,FALSE)+SUM(_xlfn.XLOOKUP($R114:$AF114,增益!$A:$A,增益!$B:$B,0))</f>
        <v>0.1037</v>
      </c>
      <c r="AM114" s="27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3826.382</v>
      </c>
      <c r="AO114" cm="1">
        <f t="array" ref="AO114">$E$10*(1+$AM114)+VLOOKUP($Q114,武学奇术!$A:$ZZ,4,FALSE)+SUM(_xlfn.XLOOKUP($R114:$AF114,增益!$A:$A,增益!$D:$D,0))-$I$2</f>
        <v>3826.382</v>
      </c>
      <c r="AP114" s="33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0.167</v>
      </c>
      <c r="AQ114" s="33" cm="1">
        <f t="array" ref="AQ114">$G$10+VLOOKUP($Q114,武学奇术!$A:$ZZ,7,FALSE)+SUM(_xlfn.XLOOKUP(R114:AF114,增益!$A:$A,增益!$G:$G,0))</f>
        <v>0.09</v>
      </c>
      <c r="AR114" s="27" cm="1">
        <f t="array" ref="AR114">VLOOKUP($Q114,武学奇术!$A:$ZZ,8,FALSE)+SUM(_xlfn.XLOOKUP(R114:AF114,增益!$A:$A,增益!$H:$H,0))</f>
        <v>0</v>
      </c>
      <c r="AS114">
        <f t="shared" si="12"/>
        <v>0</v>
      </c>
      <c r="AT114">
        <f t="shared" si="13"/>
        <v>0</v>
      </c>
      <c r="AU114" s="33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-0.3</v>
      </c>
      <c r="AV114" s="33" cm="1">
        <f t="array" ref="AV114">$G$11+VLOOKUP($Q114,武学奇术!$A:$ZZ,10,FALSE)+SUM(_xlfn.XLOOKUP(R114:AF114,增益!$A:$A,增益!$J:$J,0))</f>
        <v>0</v>
      </c>
      <c r="AW114">
        <f t="shared" si="14"/>
        <v>0</v>
      </c>
      <c r="AX114">
        <f t="shared" si="15"/>
        <v>0</v>
      </c>
      <c r="AY114" s="33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-0.3</v>
      </c>
      <c r="AZ114" s="33" cm="1">
        <f t="array" ref="AZ114">$G$12+VLOOKUP($Q114,武学奇术!$A:$ZZ,12,FALSE)+SUM(_xlfn.XLOOKUP(R114:AF114,增益!$A:$A,增益!$L:$L,0))</f>
        <v>0</v>
      </c>
      <c r="BA114">
        <f t="shared" si="16"/>
        <v>0</v>
      </c>
      <c r="BB114">
        <f t="shared" si="17"/>
        <v>0</v>
      </c>
      <c r="BC114" s="33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-0.3</v>
      </c>
      <c r="BD114" s="33" cm="1">
        <f t="array" ref="BD114">$G$13+VLOOKUP($Q114,武学奇术!$A:$ZZ,14,FALSE)+SUM(_xlfn.XLOOKUP(R114:AF114,增益!$A:$A,增益!$N:$N,0))</f>
        <v>0</v>
      </c>
      <c r="BE114">
        <f t="shared" si="18"/>
        <v>605.472</v>
      </c>
      <c r="BF114">
        <f t="shared" si="19"/>
        <v>1725.468</v>
      </c>
      <c r="BG114" s="33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0</v>
      </c>
      <c r="BH114" s="33" cm="1">
        <f t="array" ref="BH114">$G$14+VLOOKUP($Q114,武学奇术!$A:$ZZ,16,FALSE)+SUM(_xlfn.XLOOKUP(R114:AF114,增益!$A:$A,增益!$P:$P,0))</f>
        <v>0.24</v>
      </c>
      <c r="BI114" s="27">
        <f>MIN(IF(VLOOKUP($Q114,武学奇术!$A:$ZZ,23,FALSE)=1,100%,$B$8),100%)</f>
        <v>1</v>
      </c>
      <c r="BJ114" s="27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+MIN(IF(VLOOKUP($Q114,武学奇术!$A:$ZZ,32,FALSE)=1,IF(VLOOKUP($Q114,武学奇术!$A:$ZZ,24,FALSE)=1,100%,MIN(40%,$B$10+VLOOKUP($Q114,武学奇术!$A:$ZZ,19,FALSE)+SUM(_xlfn.XLOOKUP(R114:AF114,增益!$A:$A,增益!$S:$S,0)))+$B$12+SUM(_xlfn.XLOOKUP(R114:AF114,增益!$A:$A,增益!$V:$V,0))),0),12%)</f>
        <v>0.9036</v>
      </c>
      <c r="BK114" s="27" cm="1">
        <f t="array" ref="BK114">1+$B$13+VLOOKUP($Q114,武学奇术!$A:$ZZ,18,FALSE)+SUM(_xlfn.XLOOKUP(R114:AF114,增益!$A:$A,增益!$R:$R,0))</f>
        <v>1.54</v>
      </c>
      <c r="BL114" s="27" cm="1">
        <f t="array" ref="BL114">MAX(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-IF(VLOOKUP($Q114,武学奇术!$A:$ZZ,32,FALSE)=1,12%,0),0)</f>
        <v>0.0929</v>
      </c>
      <c r="BM114" s="27" cm="1">
        <f t="array" ref="BM114">1+$B$14+VLOOKUP($Q114,武学奇术!$A:$ZZ,20,FALSE)+SUM(_xlfn.XLOOKUP(R114:AF114,增益!$A:$A,增益!$T:$T,0))</f>
        <v>1.35</v>
      </c>
      <c r="BN114" s="27">
        <f t="shared" si="20"/>
        <v>0.9036</v>
      </c>
      <c r="BO114" s="27">
        <f t="shared" si="21"/>
        <v>0.00350000000000006</v>
      </c>
      <c r="BP114" s="27">
        <f>IF(VLOOKUP($Q114,武学奇术!$A:$ZZ,22,FALSE)=1,0,(1-$BI114))*(1-$BL114)</f>
        <v>0</v>
      </c>
      <c r="BQ114" s="27" cm="1">
        <f t="array" ref="BQ114">SUM(_xlfn.XLOOKUP(R114:AF114,增益!$A:$A,增益!$W:$W,0))+$I$5</f>
        <v>0.11</v>
      </c>
    </row>
    <row r="115" spans="11:69">
      <c r="K115" s="39">
        <f t="shared" si="11"/>
        <v>0</v>
      </c>
      <c r="L115" s="39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BK115*$P115*(1+IF(VLOOKUP($Q115,武学奇术!$A:$ZZ,30,FALSE)="蓄力技",$B$21,0))*(1+$BQ115)</f>
        <v>0</v>
      </c>
      <c r="M115" s="39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蓄力技",$B$21,0))*(1+$BQ115)</f>
        <v>0</v>
      </c>
      <c r="N115" s="39">
        <f>((($AN115+($AO115-$AN115)*IF(VLOOKUP($Q115,武学奇术!$A:$ZZ,31,FALSE)=1,$F$18,0.5))*$AH115+$AI115)*(1+$AP115)*(1+$AQ115)+(($AS115+($AT115-$AS115)*IF(VLOOKUP($Q115,武学奇术!$A:$ZZ,31,FALSE)=1,$F$18,0.5))*IF($G$1="鸣金",$AJ115,$AH115)+IF($G$1="鸣金",$AK115*1.5,0))*(1+$AU115)*(1+$AV115)+(($AW115+($AX115-$AW115)*IF(VLOOKUP($Q115,武学奇术!$A:$ZZ,31,FALSE)=1,$F$18,0.5))*IF($G$1="裂石",$AJ115,$AH115)+IF($G$1="裂石",$AK115*1.5,0))*(1+$AY115)*(1+$AZ115)+(($BA115+($BB115-$BA115)*IF(VLOOKUP($Q115,武学奇术!$A:$ZZ,31,FALSE)=1,$F$18,0.5))*IF($G$1="牵丝",$AJ115,$AH115)+IF($G$1="牵丝",$AK115*1.5,0))*(1+$BC115)*(1+$BD115)+(($BE115+($BF115-$BE115)*IF(VLOOKUP($Q115,武学奇术!$A:$ZZ,31,FALSE)=1,$F$18,0.5))*IF($G$1="破竹",$AJ115,$AH115)+IF($G$1="破竹",$AK115*1.5,0))*(1+$BG115)*(1+$BH115))*(1+$AL115)*$P115*(1+IF(VLOOKUP($Q115,武学奇术!$A:$ZZ,30,FALSE)="蓄力技",$B$21,0))*(1+$BQ115)</f>
        <v>0</v>
      </c>
      <c r="O115" s="39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蓄力技",$B$21,0))*(1+$BQ115)</f>
        <v>0</v>
      </c>
      <c r="P115" s="40">
        <v>1</v>
      </c>
      <c r="Q115" s="41" t="s">
        <v>73</v>
      </c>
      <c r="R115" s="41" t="s">
        <v>73</v>
      </c>
      <c r="S115" s="41" t="s">
        <v>73</v>
      </c>
      <c r="T115" s="41" t="s">
        <v>73</v>
      </c>
      <c r="U115" s="41" t="s">
        <v>73</v>
      </c>
      <c r="V115" s="41" t="s">
        <v>73</v>
      </c>
      <c r="W115" s="41" t="s">
        <v>73</v>
      </c>
      <c r="X115" s="41" t="s">
        <v>73</v>
      </c>
      <c r="Y115" s="41" t="s">
        <v>73</v>
      </c>
      <c r="Z115" s="41" t="s">
        <v>73</v>
      </c>
      <c r="AA115" s="41" t="s">
        <v>73</v>
      </c>
      <c r="AB115" s="41" t="s">
        <v>73</v>
      </c>
      <c r="AC115" s="41" t="s">
        <v>73</v>
      </c>
      <c r="AD115" s="41" t="s">
        <v>73</v>
      </c>
      <c r="AE115" s="41" t="s">
        <v>77</v>
      </c>
      <c r="AF115" s="41" t="s">
        <v>73</v>
      </c>
      <c r="AG115" t="str">
        <f>VLOOKUP($Q115,武学奇术!$A:$ZZ,25,FALSE)</f>
        <v>心法</v>
      </c>
      <c r="AH115" s="27">
        <f>VLOOKUP($Q115,武学奇术!$A:$ZZ,26,FALSE)</f>
        <v>0</v>
      </c>
      <c r="AI115" s="28">
        <f>VLOOKUP($Q115,武学奇术!$A:$ZZ,27,FALSE)*(1+IF(OR($AG115=$F$4,$AG115=$F$5),$B$22,0))</f>
        <v>0</v>
      </c>
      <c r="AJ115" s="27">
        <f>VLOOKUP($Q115,武学奇术!$A:$ZZ,28,FALSE)</f>
        <v>0</v>
      </c>
      <c r="AK115" s="28">
        <f>VLOOKUP($Q115,武学奇术!$A:$ZZ,29,FALSE)*(1+IF(OR($AG115=$F$4,$AG115=$F$5),$B$22,0))</f>
        <v>0</v>
      </c>
      <c r="AL115" s="27" cm="1">
        <f t="array" ref="AL115">$G$3+IFERROR(VLOOKUP($AG115,$F$4:$G$7,2,FALSE),0)+VLOOKUP($Q115,武学奇术!$A:$ZZ,2,FALSE)+SUM(_xlfn.XLOOKUP($R115:$AF115,增益!$A:$A,增益!$B:$B,0))</f>
        <v>0.1037</v>
      </c>
      <c r="AM115" s="27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3826.382</v>
      </c>
      <c r="AO115" cm="1">
        <f t="array" ref="AO115">$E$10*(1+$AM115)+VLOOKUP($Q115,武学奇术!$A:$ZZ,4,FALSE)+SUM(_xlfn.XLOOKUP($R115:$AF115,增益!$A:$A,增益!$D:$D,0))-$I$2</f>
        <v>3826.382</v>
      </c>
      <c r="AP115" s="33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0.167</v>
      </c>
      <c r="AQ115" s="33" cm="1">
        <f t="array" ref="AQ115">$G$10+VLOOKUP($Q115,武学奇术!$A:$ZZ,7,FALSE)+SUM(_xlfn.XLOOKUP(R115:AF115,增益!$A:$A,增益!$G:$G,0))</f>
        <v>0</v>
      </c>
      <c r="AR115" s="27" cm="1">
        <f t="array" ref="AR115">VLOOKUP($Q115,武学奇术!$A:$ZZ,8,FALSE)+SUM(_xlfn.XLOOKUP(R115:AF115,增益!$A:$A,增益!$H:$H,0))</f>
        <v>0</v>
      </c>
      <c r="AS115">
        <f t="shared" si="12"/>
        <v>0</v>
      </c>
      <c r="AT115">
        <f t="shared" si="13"/>
        <v>0</v>
      </c>
      <c r="AU115" s="33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-0.3</v>
      </c>
      <c r="AV115" s="33" cm="1">
        <f t="array" ref="AV115">$G$11+VLOOKUP($Q115,武学奇术!$A:$ZZ,10,FALSE)+SUM(_xlfn.XLOOKUP(R115:AF115,增益!$A:$A,增益!$J:$J,0))</f>
        <v>0</v>
      </c>
      <c r="AW115">
        <f t="shared" si="14"/>
        <v>0</v>
      </c>
      <c r="AX115">
        <f t="shared" si="15"/>
        <v>0</v>
      </c>
      <c r="AY115" s="33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-0.3</v>
      </c>
      <c r="AZ115" s="33" cm="1">
        <f t="array" ref="AZ115">$G$12+VLOOKUP($Q115,武学奇术!$A:$ZZ,12,FALSE)+SUM(_xlfn.XLOOKUP(R115:AF115,增益!$A:$A,增益!$L:$L,0))</f>
        <v>0</v>
      </c>
      <c r="BA115">
        <f t="shared" si="16"/>
        <v>0</v>
      </c>
      <c r="BB115">
        <f t="shared" si="17"/>
        <v>0</v>
      </c>
      <c r="BC115" s="33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-0.3</v>
      </c>
      <c r="BD115" s="33" cm="1">
        <f t="array" ref="BD115">$G$13+VLOOKUP($Q115,武学奇术!$A:$ZZ,14,FALSE)+SUM(_xlfn.XLOOKUP(R115:AF115,增益!$A:$A,增益!$N:$N,0))</f>
        <v>0</v>
      </c>
      <c r="BE115">
        <f t="shared" si="18"/>
        <v>605.472</v>
      </c>
      <c r="BF115">
        <f t="shared" si="19"/>
        <v>1725.468</v>
      </c>
      <c r="BG115" s="33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0</v>
      </c>
      <c r="BH115" s="33" cm="1">
        <f t="array" ref="BH115">$G$14+VLOOKUP($Q115,武学奇术!$A:$ZZ,16,FALSE)+SUM(_xlfn.XLOOKUP(R115:AF115,增益!$A:$A,增益!$P:$P,0))</f>
        <v>0.15</v>
      </c>
      <c r="BI115" s="27">
        <f>MIN(IF(VLOOKUP($Q115,武学奇术!$A:$ZZ,23,FALSE)=1,100%,$B$8),100%)</f>
        <v>1</v>
      </c>
      <c r="BJ115" s="27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+MIN(IF(VLOOKUP($Q115,武学奇术!$A:$ZZ,32,FALSE)=1,IF(VLOOKUP($Q115,武学奇术!$A:$ZZ,24,FALSE)=1,100%,MIN(40%,$B$10+VLOOKUP($Q115,武学奇术!$A:$ZZ,19,FALSE)+SUM(_xlfn.XLOOKUP(R115:AF115,增益!$A:$A,增益!$S:$S,0)))+$B$12+SUM(_xlfn.XLOOKUP(R115:AF115,增益!$A:$A,增益!$V:$V,0))),0),12%)</f>
        <v>0.9036</v>
      </c>
      <c r="BK115" s="27" cm="1">
        <f t="array" ref="BK115">1+$B$13+VLOOKUP($Q115,武学奇术!$A:$ZZ,18,FALSE)+SUM(_xlfn.XLOOKUP(R115:AF115,增益!$A:$A,增益!$R:$R,0))</f>
        <v>1.54</v>
      </c>
      <c r="BL115" s="27" cm="1">
        <f t="array" ref="BL115">MAX(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-IF(VLOOKUP($Q115,武学奇术!$A:$ZZ,32,FALSE)=1,12%,0),0)</f>
        <v>0.0929</v>
      </c>
      <c r="BM115" s="27" cm="1">
        <f t="array" ref="BM115">1+$B$14+VLOOKUP($Q115,武学奇术!$A:$ZZ,20,FALSE)+SUM(_xlfn.XLOOKUP(R115:AF115,增益!$A:$A,增益!$T:$T,0))</f>
        <v>1.35</v>
      </c>
      <c r="BN115" s="27">
        <f t="shared" si="20"/>
        <v>0.9036</v>
      </c>
      <c r="BO115" s="27">
        <f t="shared" si="21"/>
        <v>0.00350000000000006</v>
      </c>
      <c r="BP115" s="27">
        <f>IF(VLOOKUP($Q115,武学奇术!$A:$ZZ,22,FALSE)=1,0,(1-$BI115))*(1-$BL115)</f>
        <v>0</v>
      </c>
      <c r="BQ115" s="27" cm="1">
        <f t="array" ref="BQ115">SUM(_xlfn.XLOOKUP(R115:AF115,增益!$A:$A,增益!$W:$W,0))+$I$5</f>
        <v>0.11</v>
      </c>
    </row>
    <row r="116" spans="11:69">
      <c r="K116" s="39">
        <f t="shared" si="11"/>
        <v>0</v>
      </c>
      <c r="L116" s="39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BK116*$P116*(1+IF(VLOOKUP($Q116,武学奇术!$A:$ZZ,30,FALSE)="蓄力技",$B$21,0))*(1+$BQ116)</f>
        <v>0</v>
      </c>
      <c r="M116" s="39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蓄力技",$B$21,0))*(1+$BQ116)</f>
        <v>0</v>
      </c>
      <c r="N116" s="39">
        <f>((($AN116+($AO116-$AN116)*IF(VLOOKUP($Q116,武学奇术!$A:$ZZ,31,FALSE)=1,$F$18,0.5))*$AH116+$AI116)*(1+$AP116)*(1+$AQ116)+(($AS116+($AT116-$AS116)*IF(VLOOKUP($Q116,武学奇术!$A:$ZZ,31,FALSE)=1,$F$18,0.5))*IF($G$1="鸣金",$AJ116,$AH116)+IF($G$1="鸣金",$AK116*1.5,0))*(1+$AU116)*(1+$AV116)+(($AW116+($AX116-$AW116)*IF(VLOOKUP($Q116,武学奇术!$A:$ZZ,31,FALSE)=1,$F$18,0.5))*IF($G$1="裂石",$AJ116,$AH116)+IF($G$1="裂石",$AK116*1.5,0))*(1+$AY116)*(1+$AZ116)+(($BA116+($BB116-$BA116)*IF(VLOOKUP($Q116,武学奇术!$A:$ZZ,31,FALSE)=1,$F$18,0.5))*IF($G$1="牵丝",$AJ116,$AH116)+IF($G$1="牵丝",$AK116*1.5,0))*(1+$BC116)*(1+$BD116)+(($BE116+($BF116-$BE116)*IF(VLOOKUP($Q116,武学奇术!$A:$ZZ,31,FALSE)=1,$F$18,0.5))*IF($G$1="破竹",$AJ116,$AH116)+IF($G$1="破竹",$AK116*1.5,0))*(1+$BG116)*(1+$BH116))*(1+$AL116)*$P116*(1+IF(VLOOKUP($Q116,武学奇术!$A:$ZZ,30,FALSE)="蓄力技",$B$21,0))*(1+$BQ116)</f>
        <v>0</v>
      </c>
      <c r="O116" s="39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蓄力技",$B$21,0))*(1+$BQ116)</f>
        <v>0</v>
      </c>
      <c r="P116" s="40">
        <v>1</v>
      </c>
      <c r="Q116" s="41" t="s">
        <v>73</v>
      </c>
      <c r="R116" s="41" t="s">
        <v>73</v>
      </c>
      <c r="S116" s="41" t="s">
        <v>73</v>
      </c>
      <c r="T116" s="41" t="s">
        <v>73</v>
      </c>
      <c r="U116" s="41" t="s">
        <v>73</v>
      </c>
      <c r="V116" s="41" t="s">
        <v>73</v>
      </c>
      <c r="W116" s="41" t="s">
        <v>73</v>
      </c>
      <c r="X116" s="41" t="s">
        <v>73</v>
      </c>
      <c r="Y116" s="41" t="s">
        <v>73</v>
      </c>
      <c r="Z116" s="41" t="s">
        <v>73</v>
      </c>
      <c r="AA116" s="41" t="s">
        <v>73</v>
      </c>
      <c r="AB116" s="41" t="s">
        <v>73</v>
      </c>
      <c r="AC116" s="41" t="s">
        <v>73</v>
      </c>
      <c r="AD116" s="41" t="s">
        <v>73</v>
      </c>
      <c r="AE116" s="41" t="s">
        <v>77</v>
      </c>
      <c r="AF116" s="41" t="s">
        <v>73</v>
      </c>
      <c r="AG116" t="str">
        <f>VLOOKUP($Q116,武学奇术!$A:$ZZ,25,FALSE)</f>
        <v>心法</v>
      </c>
      <c r="AH116" s="27">
        <f>VLOOKUP($Q116,武学奇术!$A:$ZZ,26,FALSE)</f>
        <v>0</v>
      </c>
      <c r="AI116" s="28">
        <f>VLOOKUP($Q116,武学奇术!$A:$ZZ,27,FALSE)*(1+IF(OR($AG116=$F$4,$AG116=$F$5),$B$22,0))</f>
        <v>0</v>
      </c>
      <c r="AJ116" s="27">
        <f>VLOOKUP($Q116,武学奇术!$A:$ZZ,28,FALSE)</f>
        <v>0</v>
      </c>
      <c r="AK116" s="28">
        <f>VLOOKUP($Q116,武学奇术!$A:$ZZ,29,FALSE)*(1+IF(OR($AG116=$F$4,$AG116=$F$5),$B$22,0))</f>
        <v>0</v>
      </c>
      <c r="AL116" s="27" cm="1">
        <f t="array" ref="AL116">$G$3+IFERROR(VLOOKUP($AG116,$F$4:$G$7,2,FALSE),0)+VLOOKUP($Q116,武学奇术!$A:$ZZ,2,FALSE)+SUM(_xlfn.XLOOKUP($R116:$AF116,增益!$A:$A,增益!$B:$B,0))</f>
        <v>0.1037</v>
      </c>
      <c r="AM116" s="27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3826.382</v>
      </c>
      <c r="AO116" cm="1">
        <f t="array" ref="AO116">$E$10*(1+$AM116)+VLOOKUP($Q116,武学奇术!$A:$ZZ,4,FALSE)+SUM(_xlfn.XLOOKUP($R116:$AF116,增益!$A:$A,增益!$D:$D,0))-$I$2</f>
        <v>3826.382</v>
      </c>
      <c r="AP116" s="33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0.167</v>
      </c>
      <c r="AQ116" s="33" cm="1">
        <f t="array" ref="AQ116">$G$10+VLOOKUP($Q116,武学奇术!$A:$ZZ,7,FALSE)+SUM(_xlfn.XLOOKUP(R116:AF116,增益!$A:$A,增益!$G:$G,0))</f>
        <v>0</v>
      </c>
      <c r="AR116" s="27" cm="1">
        <f t="array" ref="AR116">VLOOKUP($Q116,武学奇术!$A:$ZZ,8,FALSE)+SUM(_xlfn.XLOOKUP(R116:AF116,增益!$A:$A,增益!$H:$H,0))</f>
        <v>0</v>
      </c>
      <c r="AS116">
        <f t="shared" si="12"/>
        <v>0</v>
      </c>
      <c r="AT116">
        <f t="shared" si="13"/>
        <v>0</v>
      </c>
      <c r="AU116" s="33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-0.3</v>
      </c>
      <c r="AV116" s="33" cm="1">
        <f t="array" ref="AV116">$G$11+VLOOKUP($Q116,武学奇术!$A:$ZZ,10,FALSE)+SUM(_xlfn.XLOOKUP(R116:AF116,增益!$A:$A,增益!$J:$J,0))</f>
        <v>0</v>
      </c>
      <c r="AW116">
        <f t="shared" si="14"/>
        <v>0</v>
      </c>
      <c r="AX116">
        <f t="shared" si="15"/>
        <v>0</v>
      </c>
      <c r="AY116" s="33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-0.3</v>
      </c>
      <c r="AZ116" s="33" cm="1">
        <f t="array" ref="AZ116">$G$12+VLOOKUP($Q116,武学奇术!$A:$ZZ,12,FALSE)+SUM(_xlfn.XLOOKUP(R116:AF116,增益!$A:$A,增益!$L:$L,0))</f>
        <v>0</v>
      </c>
      <c r="BA116">
        <f t="shared" si="16"/>
        <v>0</v>
      </c>
      <c r="BB116">
        <f t="shared" si="17"/>
        <v>0</v>
      </c>
      <c r="BC116" s="33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-0.3</v>
      </c>
      <c r="BD116" s="33" cm="1">
        <f t="array" ref="BD116">$G$13+VLOOKUP($Q116,武学奇术!$A:$ZZ,14,FALSE)+SUM(_xlfn.XLOOKUP(R116:AF116,增益!$A:$A,增益!$N:$N,0))</f>
        <v>0</v>
      </c>
      <c r="BE116">
        <f t="shared" si="18"/>
        <v>605.472</v>
      </c>
      <c r="BF116">
        <f t="shared" si="19"/>
        <v>1725.468</v>
      </c>
      <c r="BG116" s="33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0</v>
      </c>
      <c r="BH116" s="33" cm="1">
        <f t="array" ref="BH116">$G$14+VLOOKUP($Q116,武学奇术!$A:$ZZ,16,FALSE)+SUM(_xlfn.XLOOKUP(R116:AF116,增益!$A:$A,增益!$P:$P,0))</f>
        <v>0.15</v>
      </c>
      <c r="BI116" s="27">
        <f>MIN(IF(VLOOKUP($Q116,武学奇术!$A:$ZZ,23,FALSE)=1,100%,$B$8),100%)</f>
        <v>1</v>
      </c>
      <c r="BJ116" s="27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+MIN(IF(VLOOKUP($Q116,武学奇术!$A:$ZZ,32,FALSE)=1,IF(VLOOKUP($Q116,武学奇术!$A:$ZZ,24,FALSE)=1,100%,MIN(40%,$B$10+VLOOKUP($Q116,武学奇术!$A:$ZZ,19,FALSE)+SUM(_xlfn.XLOOKUP(R116:AF116,增益!$A:$A,增益!$S:$S,0)))+$B$12+SUM(_xlfn.XLOOKUP(R116:AF116,增益!$A:$A,增益!$V:$V,0))),0),12%)</f>
        <v>0.9036</v>
      </c>
      <c r="BK116" s="27" cm="1">
        <f t="array" ref="BK116">1+$B$13+VLOOKUP($Q116,武学奇术!$A:$ZZ,18,FALSE)+SUM(_xlfn.XLOOKUP(R116:AF116,增益!$A:$A,增益!$R:$R,0))</f>
        <v>1.54</v>
      </c>
      <c r="BL116" s="27" cm="1">
        <f t="array" ref="BL116">MAX(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-IF(VLOOKUP($Q116,武学奇术!$A:$ZZ,32,FALSE)=1,12%,0),0)</f>
        <v>0.0929</v>
      </c>
      <c r="BM116" s="27" cm="1">
        <f t="array" ref="BM116">1+$B$14+VLOOKUP($Q116,武学奇术!$A:$ZZ,20,FALSE)+SUM(_xlfn.XLOOKUP(R116:AF116,增益!$A:$A,增益!$T:$T,0))</f>
        <v>1.35</v>
      </c>
      <c r="BN116" s="27">
        <f t="shared" si="20"/>
        <v>0.9036</v>
      </c>
      <c r="BO116" s="27">
        <f t="shared" si="21"/>
        <v>0.00350000000000006</v>
      </c>
      <c r="BP116" s="27">
        <f>IF(VLOOKUP($Q116,武学奇术!$A:$ZZ,22,FALSE)=1,0,(1-$BI116))*(1-$BL116)</f>
        <v>0</v>
      </c>
      <c r="BQ116" s="27" cm="1">
        <f t="array" ref="BQ116">SUM(_xlfn.XLOOKUP(R116:AF116,增益!$A:$A,增益!$W:$W,0))+$I$5</f>
        <v>0.11</v>
      </c>
    </row>
    <row r="117" spans="11:69">
      <c r="K117" s="39">
        <f t="shared" si="11"/>
        <v>0</v>
      </c>
      <c r="L117" s="39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BK117*$P117*(1+IF(VLOOKUP($Q117,武学奇术!$A:$ZZ,30,FALSE)="蓄力技",$B$21,0))*(1+$BQ117)</f>
        <v>0</v>
      </c>
      <c r="M117" s="39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蓄力技",$B$21,0))*(1+$BQ117)</f>
        <v>0</v>
      </c>
      <c r="N117" s="39">
        <f>((($AN117+($AO117-$AN117)*IF(VLOOKUP($Q117,武学奇术!$A:$ZZ,31,FALSE)=1,$F$18,0.5))*$AH117+$AI117)*(1+$AP117)*(1+$AQ117)+(($AS117+($AT117-$AS117)*IF(VLOOKUP($Q117,武学奇术!$A:$ZZ,31,FALSE)=1,$F$18,0.5))*IF($G$1="鸣金",$AJ117,$AH117)+IF($G$1="鸣金",$AK117*1.5,0))*(1+$AU117)*(1+$AV117)+(($AW117+($AX117-$AW117)*IF(VLOOKUP($Q117,武学奇术!$A:$ZZ,31,FALSE)=1,$F$18,0.5))*IF($G$1="裂石",$AJ117,$AH117)+IF($G$1="裂石",$AK117*1.5,0))*(1+$AY117)*(1+$AZ117)+(($BA117+($BB117-$BA117)*IF(VLOOKUP($Q117,武学奇术!$A:$ZZ,31,FALSE)=1,$F$18,0.5))*IF($G$1="牵丝",$AJ117,$AH117)+IF($G$1="牵丝",$AK117*1.5,0))*(1+$BC117)*(1+$BD117)+(($BE117+($BF117-$BE117)*IF(VLOOKUP($Q117,武学奇术!$A:$ZZ,31,FALSE)=1,$F$18,0.5))*IF($G$1="破竹",$AJ117,$AH117)+IF($G$1="破竹",$AK117*1.5,0))*(1+$BG117)*(1+$BH117))*(1+$AL117)*$P117*(1+IF(VLOOKUP($Q117,武学奇术!$A:$ZZ,30,FALSE)="蓄力技",$B$21,0))*(1+$BQ117)</f>
        <v>0</v>
      </c>
      <c r="O117" s="39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蓄力技",$B$21,0))*(1+$BQ117)</f>
        <v>0</v>
      </c>
      <c r="P117" s="40">
        <v>1</v>
      </c>
      <c r="Q117" s="41" t="s">
        <v>73</v>
      </c>
      <c r="R117" s="41" t="s">
        <v>73</v>
      </c>
      <c r="S117" s="41" t="s">
        <v>73</v>
      </c>
      <c r="T117" s="41" t="s">
        <v>73</v>
      </c>
      <c r="U117" s="41" t="s">
        <v>73</v>
      </c>
      <c r="V117" s="41" t="s">
        <v>73</v>
      </c>
      <c r="W117" s="41" t="s">
        <v>73</v>
      </c>
      <c r="X117" s="41" t="s">
        <v>73</v>
      </c>
      <c r="Y117" s="41" t="s">
        <v>73</v>
      </c>
      <c r="Z117" s="41" t="s">
        <v>73</v>
      </c>
      <c r="AA117" s="41" t="s">
        <v>73</v>
      </c>
      <c r="AB117" s="41" t="s">
        <v>73</v>
      </c>
      <c r="AC117" s="41" t="s">
        <v>73</v>
      </c>
      <c r="AD117" s="41" t="s">
        <v>73</v>
      </c>
      <c r="AE117" s="41" t="s">
        <v>77</v>
      </c>
      <c r="AF117" s="41" t="s">
        <v>73</v>
      </c>
      <c r="AG117" t="str">
        <f>VLOOKUP($Q117,武学奇术!$A:$ZZ,25,FALSE)</f>
        <v>心法</v>
      </c>
      <c r="AH117" s="27">
        <f>VLOOKUP($Q117,武学奇术!$A:$ZZ,26,FALSE)</f>
        <v>0</v>
      </c>
      <c r="AI117" s="28">
        <f>VLOOKUP($Q117,武学奇术!$A:$ZZ,27,FALSE)*(1+IF(OR($AG117=$F$4,$AG117=$F$5),$B$22,0))</f>
        <v>0</v>
      </c>
      <c r="AJ117" s="27">
        <f>VLOOKUP($Q117,武学奇术!$A:$ZZ,28,FALSE)</f>
        <v>0</v>
      </c>
      <c r="AK117" s="28">
        <f>VLOOKUP($Q117,武学奇术!$A:$ZZ,29,FALSE)*(1+IF(OR($AG117=$F$4,$AG117=$F$5),$B$22,0))</f>
        <v>0</v>
      </c>
      <c r="AL117" s="27" cm="1">
        <f t="array" ref="AL117">$G$3+IFERROR(VLOOKUP($AG117,$F$4:$G$7,2,FALSE),0)+VLOOKUP($Q117,武学奇术!$A:$ZZ,2,FALSE)+SUM(_xlfn.XLOOKUP($R117:$AF117,增益!$A:$A,增益!$B:$B,0))</f>
        <v>0.1037</v>
      </c>
      <c r="AM117" s="27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3826.382</v>
      </c>
      <c r="AO117" cm="1">
        <f t="array" ref="AO117">$E$10*(1+$AM117)+VLOOKUP($Q117,武学奇术!$A:$ZZ,4,FALSE)+SUM(_xlfn.XLOOKUP($R117:$AF117,增益!$A:$A,增益!$D:$D,0))-$I$2</f>
        <v>3826.382</v>
      </c>
      <c r="AP117" s="33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0.167</v>
      </c>
      <c r="AQ117" s="33" cm="1">
        <f t="array" ref="AQ117">$G$10+VLOOKUP($Q117,武学奇术!$A:$ZZ,7,FALSE)+SUM(_xlfn.XLOOKUP(R117:AF117,增益!$A:$A,增益!$G:$G,0))</f>
        <v>0</v>
      </c>
      <c r="AR117" s="27" cm="1">
        <f t="array" ref="AR117">VLOOKUP($Q117,武学奇术!$A:$ZZ,8,FALSE)+SUM(_xlfn.XLOOKUP(R117:AF117,增益!$A:$A,增益!$H:$H,0))</f>
        <v>0</v>
      </c>
      <c r="AS117">
        <f t="shared" si="12"/>
        <v>0</v>
      </c>
      <c r="AT117">
        <f t="shared" si="13"/>
        <v>0</v>
      </c>
      <c r="AU117" s="33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-0.3</v>
      </c>
      <c r="AV117" s="33" cm="1">
        <f t="array" ref="AV117">$G$11+VLOOKUP($Q117,武学奇术!$A:$ZZ,10,FALSE)+SUM(_xlfn.XLOOKUP(R117:AF117,增益!$A:$A,增益!$J:$J,0))</f>
        <v>0</v>
      </c>
      <c r="AW117">
        <f t="shared" si="14"/>
        <v>0</v>
      </c>
      <c r="AX117">
        <f t="shared" si="15"/>
        <v>0</v>
      </c>
      <c r="AY117" s="33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-0.3</v>
      </c>
      <c r="AZ117" s="33" cm="1">
        <f t="array" ref="AZ117">$G$12+VLOOKUP($Q117,武学奇术!$A:$ZZ,12,FALSE)+SUM(_xlfn.XLOOKUP(R117:AF117,增益!$A:$A,增益!$L:$L,0))</f>
        <v>0</v>
      </c>
      <c r="BA117">
        <f t="shared" si="16"/>
        <v>0</v>
      </c>
      <c r="BB117">
        <f t="shared" si="17"/>
        <v>0</v>
      </c>
      <c r="BC117" s="33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-0.3</v>
      </c>
      <c r="BD117" s="33" cm="1">
        <f t="array" ref="BD117">$G$13+VLOOKUP($Q117,武学奇术!$A:$ZZ,14,FALSE)+SUM(_xlfn.XLOOKUP(R117:AF117,增益!$A:$A,增益!$N:$N,0))</f>
        <v>0</v>
      </c>
      <c r="BE117">
        <f t="shared" si="18"/>
        <v>605.472</v>
      </c>
      <c r="BF117">
        <f t="shared" si="19"/>
        <v>1725.468</v>
      </c>
      <c r="BG117" s="33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0</v>
      </c>
      <c r="BH117" s="33" cm="1">
        <f t="array" ref="BH117">$G$14+VLOOKUP($Q117,武学奇术!$A:$ZZ,16,FALSE)+SUM(_xlfn.XLOOKUP(R117:AF117,增益!$A:$A,增益!$P:$P,0))</f>
        <v>0.15</v>
      </c>
      <c r="BI117" s="27">
        <f>MIN(IF(VLOOKUP($Q117,武学奇术!$A:$ZZ,23,FALSE)=1,100%,$B$8),100%)</f>
        <v>1</v>
      </c>
      <c r="BJ117" s="27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+MIN(IF(VLOOKUP($Q117,武学奇术!$A:$ZZ,32,FALSE)=1,IF(VLOOKUP($Q117,武学奇术!$A:$ZZ,24,FALSE)=1,100%,MIN(40%,$B$10+VLOOKUP($Q117,武学奇术!$A:$ZZ,19,FALSE)+SUM(_xlfn.XLOOKUP(R117:AF117,增益!$A:$A,增益!$S:$S,0)))+$B$12+SUM(_xlfn.XLOOKUP(R117:AF117,增益!$A:$A,增益!$V:$V,0))),0),12%)</f>
        <v>0.9036</v>
      </c>
      <c r="BK117" s="27" cm="1">
        <f t="array" ref="BK117">1+$B$13+VLOOKUP($Q117,武学奇术!$A:$ZZ,18,FALSE)+SUM(_xlfn.XLOOKUP(R117:AF117,增益!$A:$A,增益!$R:$R,0))</f>
        <v>1.54</v>
      </c>
      <c r="BL117" s="27" cm="1">
        <f t="array" ref="BL117">MAX(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-IF(VLOOKUP($Q117,武学奇术!$A:$ZZ,32,FALSE)=1,12%,0),0)</f>
        <v>0.0929</v>
      </c>
      <c r="BM117" s="27" cm="1">
        <f t="array" ref="BM117">1+$B$14+VLOOKUP($Q117,武学奇术!$A:$ZZ,20,FALSE)+SUM(_xlfn.XLOOKUP(R117:AF117,增益!$A:$A,增益!$T:$T,0))</f>
        <v>1.35</v>
      </c>
      <c r="BN117" s="27">
        <f t="shared" si="20"/>
        <v>0.9036</v>
      </c>
      <c r="BO117" s="27">
        <f t="shared" si="21"/>
        <v>0.00350000000000006</v>
      </c>
      <c r="BP117" s="27">
        <f>IF(VLOOKUP($Q117,武学奇术!$A:$ZZ,22,FALSE)=1,0,(1-$BI117))*(1-$BL117)</f>
        <v>0</v>
      </c>
      <c r="BQ117" s="27" cm="1">
        <f t="array" ref="BQ117">SUM(_xlfn.XLOOKUP(R117:AF117,增益!$A:$A,增益!$W:$W,0))+$I$5</f>
        <v>0.11</v>
      </c>
    </row>
    <row r="118" spans="11:69">
      <c r="K118" s="39">
        <f t="shared" si="11"/>
        <v>0</v>
      </c>
      <c r="L118" s="39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BK118*$P118*(1+IF(VLOOKUP($Q118,武学奇术!$A:$ZZ,30,FALSE)="蓄力技",$B$21,0))*(1+$BQ118)</f>
        <v>0</v>
      </c>
      <c r="M118" s="39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蓄力技",$B$21,0))*(1+$BQ118)</f>
        <v>0</v>
      </c>
      <c r="N118" s="39">
        <f>((($AN118+($AO118-$AN118)*IF(VLOOKUP($Q118,武学奇术!$A:$ZZ,31,FALSE)=1,$F$18,0.5))*$AH118+$AI118)*(1+$AP118)*(1+$AQ118)+(($AS118+($AT118-$AS118)*IF(VLOOKUP($Q118,武学奇术!$A:$ZZ,31,FALSE)=1,$F$18,0.5))*IF($G$1="鸣金",$AJ118,$AH118)+IF($G$1="鸣金",$AK118*1.5,0))*(1+$AU118)*(1+$AV118)+(($AW118+($AX118-$AW118)*IF(VLOOKUP($Q118,武学奇术!$A:$ZZ,31,FALSE)=1,$F$18,0.5))*IF($G$1="裂石",$AJ118,$AH118)+IF($G$1="裂石",$AK118*1.5,0))*(1+$AY118)*(1+$AZ118)+(($BA118+($BB118-$BA118)*IF(VLOOKUP($Q118,武学奇术!$A:$ZZ,31,FALSE)=1,$F$18,0.5))*IF($G$1="牵丝",$AJ118,$AH118)+IF($G$1="牵丝",$AK118*1.5,0))*(1+$BC118)*(1+$BD118)+(($BE118+($BF118-$BE118)*IF(VLOOKUP($Q118,武学奇术!$A:$ZZ,31,FALSE)=1,$F$18,0.5))*IF($G$1="破竹",$AJ118,$AH118)+IF($G$1="破竹",$AK118*1.5,0))*(1+$BG118)*(1+$BH118))*(1+$AL118)*$P118*(1+IF(VLOOKUP($Q118,武学奇术!$A:$ZZ,30,FALSE)="蓄力技",$B$21,0))*(1+$BQ118)</f>
        <v>0</v>
      </c>
      <c r="O118" s="39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蓄力技",$B$21,0))*(1+$BQ118)</f>
        <v>0</v>
      </c>
      <c r="P118" s="40">
        <v>1</v>
      </c>
      <c r="Q118" s="41" t="s">
        <v>73</v>
      </c>
      <c r="R118" s="41" t="s">
        <v>73</v>
      </c>
      <c r="S118" s="41" t="s">
        <v>73</v>
      </c>
      <c r="T118" s="41" t="s">
        <v>73</v>
      </c>
      <c r="U118" s="41" t="s">
        <v>73</v>
      </c>
      <c r="V118" s="41" t="s">
        <v>73</v>
      </c>
      <c r="W118" s="41" t="s">
        <v>73</v>
      </c>
      <c r="X118" s="41" t="s">
        <v>73</v>
      </c>
      <c r="Y118" s="41" t="s">
        <v>73</v>
      </c>
      <c r="Z118" s="41" t="s">
        <v>73</v>
      </c>
      <c r="AA118" s="41" t="s">
        <v>73</v>
      </c>
      <c r="AB118" s="41" t="s">
        <v>73</v>
      </c>
      <c r="AC118" s="41" t="s">
        <v>73</v>
      </c>
      <c r="AD118" s="41" t="s">
        <v>73</v>
      </c>
      <c r="AE118" s="41" t="s">
        <v>77</v>
      </c>
      <c r="AF118" s="41" t="s">
        <v>73</v>
      </c>
      <c r="AG118" t="str">
        <f>VLOOKUP($Q118,武学奇术!$A:$ZZ,25,FALSE)</f>
        <v>心法</v>
      </c>
      <c r="AH118" s="27">
        <f>VLOOKUP($Q118,武学奇术!$A:$ZZ,26,FALSE)</f>
        <v>0</v>
      </c>
      <c r="AI118" s="28">
        <f>VLOOKUP($Q118,武学奇术!$A:$ZZ,27,FALSE)*(1+IF(OR($AG118=$F$4,$AG118=$F$5),$B$22,0))</f>
        <v>0</v>
      </c>
      <c r="AJ118" s="27">
        <f>VLOOKUP($Q118,武学奇术!$A:$ZZ,28,FALSE)</f>
        <v>0</v>
      </c>
      <c r="AK118" s="28">
        <f>VLOOKUP($Q118,武学奇术!$A:$ZZ,29,FALSE)*(1+IF(OR($AG118=$F$4,$AG118=$F$5),$B$22,0))</f>
        <v>0</v>
      </c>
      <c r="AL118" s="27" cm="1">
        <f t="array" ref="AL118">$G$3+IFERROR(VLOOKUP($AG118,$F$4:$G$7,2,FALSE),0)+VLOOKUP($Q118,武学奇术!$A:$ZZ,2,FALSE)+SUM(_xlfn.XLOOKUP($R118:$AF118,增益!$A:$A,增益!$B:$B,0))</f>
        <v>0.1037</v>
      </c>
      <c r="AM118" s="27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3826.382</v>
      </c>
      <c r="AO118" cm="1">
        <f t="array" ref="AO118">$E$10*(1+$AM118)+VLOOKUP($Q118,武学奇术!$A:$ZZ,4,FALSE)+SUM(_xlfn.XLOOKUP($R118:$AF118,增益!$A:$A,增益!$D:$D,0))-$I$2</f>
        <v>3826.382</v>
      </c>
      <c r="AP118" s="33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0.167</v>
      </c>
      <c r="AQ118" s="33" cm="1">
        <f t="array" ref="AQ118">$G$10+VLOOKUP($Q118,武学奇术!$A:$ZZ,7,FALSE)+SUM(_xlfn.XLOOKUP(R118:AF118,增益!$A:$A,增益!$G:$G,0))</f>
        <v>0</v>
      </c>
      <c r="AR118" s="27" cm="1">
        <f t="array" ref="AR118">VLOOKUP($Q118,武学奇术!$A:$ZZ,8,FALSE)+SUM(_xlfn.XLOOKUP(R118:AF118,增益!$A:$A,增益!$H:$H,0))</f>
        <v>0</v>
      </c>
      <c r="AS118">
        <f t="shared" si="12"/>
        <v>0</v>
      </c>
      <c r="AT118">
        <f t="shared" si="13"/>
        <v>0</v>
      </c>
      <c r="AU118" s="33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-0.3</v>
      </c>
      <c r="AV118" s="33" cm="1">
        <f t="array" ref="AV118">$G$11+VLOOKUP($Q118,武学奇术!$A:$ZZ,10,FALSE)+SUM(_xlfn.XLOOKUP(R118:AF118,增益!$A:$A,增益!$J:$J,0))</f>
        <v>0</v>
      </c>
      <c r="AW118">
        <f t="shared" si="14"/>
        <v>0</v>
      </c>
      <c r="AX118">
        <f t="shared" si="15"/>
        <v>0</v>
      </c>
      <c r="AY118" s="33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-0.3</v>
      </c>
      <c r="AZ118" s="33" cm="1">
        <f t="array" ref="AZ118">$G$12+VLOOKUP($Q118,武学奇术!$A:$ZZ,12,FALSE)+SUM(_xlfn.XLOOKUP(R118:AF118,增益!$A:$A,增益!$L:$L,0))</f>
        <v>0</v>
      </c>
      <c r="BA118">
        <f t="shared" si="16"/>
        <v>0</v>
      </c>
      <c r="BB118">
        <f t="shared" si="17"/>
        <v>0</v>
      </c>
      <c r="BC118" s="33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-0.3</v>
      </c>
      <c r="BD118" s="33" cm="1">
        <f t="array" ref="BD118">$G$13+VLOOKUP($Q118,武学奇术!$A:$ZZ,14,FALSE)+SUM(_xlfn.XLOOKUP(R118:AF118,增益!$A:$A,增益!$N:$N,0))</f>
        <v>0</v>
      </c>
      <c r="BE118">
        <f t="shared" si="18"/>
        <v>605.472</v>
      </c>
      <c r="BF118">
        <f t="shared" si="19"/>
        <v>1725.468</v>
      </c>
      <c r="BG118" s="33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0</v>
      </c>
      <c r="BH118" s="33" cm="1">
        <f t="array" ref="BH118">$G$14+VLOOKUP($Q118,武学奇术!$A:$ZZ,16,FALSE)+SUM(_xlfn.XLOOKUP(R118:AF118,增益!$A:$A,增益!$P:$P,0))</f>
        <v>0.15</v>
      </c>
      <c r="BI118" s="27">
        <f>MIN(IF(VLOOKUP($Q118,武学奇术!$A:$ZZ,23,FALSE)=1,100%,$B$8),100%)</f>
        <v>1</v>
      </c>
      <c r="BJ118" s="27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+MIN(IF(VLOOKUP($Q118,武学奇术!$A:$ZZ,32,FALSE)=1,IF(VLOOKUP($Q118,武学奇术!$A:$ZZ,24,FALSE)=1,100%,MIN(40%,$B$10+VLOOKUP($Q118,武学奇术!$A:$ZZ,19,FALSE)+SUM(_xlfn.XLOOKUP(R118:AF118,增益!$A:$A,增益!$S:$S,0)))+$B$12+SUM(_xlfn.XLOOKUP(R118:AF118,增益!$A:$A,增益!$V:$V,0))),0),12%)</f>
        <v>0.9036</v>
      </c>
      <c r="BK118" s="27" cm="1">
        <f t="array" ref="BK118">1+$B$13+VLOOKUP($Q118,武学奇术!$A:$ZZ,18,FALSE)+SUM(_xlfn.XLOOKUP(R118:AF118,增益!$A:$A,增益!$R:$R,0))</f>
        <v>1.54</v>
      </c>
      <c r="BL118" s="27" cm="1">
        <f t="array" ref="BL118">MAX(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-IF(VLOOKUP($Q118,武学奇术!$A:$ZZ,32,FALSE)=1,12%,0),0)</f>
        <v>0.0929</v>
      </c>
      <c r="BM118" s="27" cm="1">
        <f t="array" ref="BM118">1+$B$14+VLOOKUP($Q118,武学奇术!$A:$ZZ,20,FALSE)+SUM(_xlfn.XLOOKUP(R118:AF118,增益!$A:$A,增益!$T:$T,0))</f>
        <v>1.35</v>
      </c>
      <c r="BN118" s="27">
        <f t="shared" si="20"/>
        <v>0.9036</v>
      </c>
      <c r="BO118" s="27">
        <f t="shared" si="21"/>
        <v>0.00350000000000006</v>
      </c>
      <c r="BP118" s="27">
        <f>IF(VLOOKUP($Q118,武学奇术!$A:$ZZ,22,FALSE)=1,0,(1-$BI118))*(1-$BL118)</f>
        <v>0</v>
      </c>
      <c r="BQ118" s="27" cm="1">
        <f t="array" ref="BQ118">SUM(_xlfn.XLOOKUP(R118:AF118,增益!$A:$A,增益!$W:$W,0))+$I$5</f>
        <v>0.11</v>
      </c>
    </row>
    <row r="119" spans="11:69">
      <c r="K119" s="39">
        <f t="shared" si="11"/>
        <v>0</v>
      </c>
      <c r="L119" s="39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BK119*$P119*(1+IF(VLOOKUP($Q119,武学奇术!$A:$ZZ,30,FALSE)="蓄力技",$B$21,0))*(1+$BQ119)</f>
        <v>0</v>
      </c>
      <c r="M119" s="39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蓄力技",$B$21,0))*(1+$BQ119)</f>
        <v>0</v>
      </c>
      <c r="N119" s="39">
        <f>((($AN119+($AO119-$AN119)*IF(VLOOKUP($Q119,武学奇术!$A:$ZZ,31,FALSE)=1,$F$18,0.5))*$AH119+$AI119)*(1+$AP119)*(1+$AQ119)+(($AS119+($AT119-$AS119)*IF(VLOOKUP($Q119,武学奇术!$A:$ZZ,31,FALSE)=1,$F$18,0.5))*IF($G$1="鸣金",$AJ119,$AH119)+IF($G$1="鸣金",$AK119*1.5,0))*(1+$AU119)*(1+$AV119)+(($AW119+($AX119-$AW119)*IF(VLOOKUP($Q119,武学奇术!$A:$ZZ,31,FALSE)=1,$F$18,0.5))*IF($G$1="裂石",$AJ119,$AH119)+IF($G$1="裂石",$AK119*1.5,0))*(1+$AY119)*(1+$AZ119)+(($BA119+($BB119-$BA119)*IF(VLOOKUP($Q119,武学奇术!$A:$ZZ,31,FALSE)=1,$F$18,0.5))*IF($G$1="牵丝",$AJ119,$AH119)+IF($G$1="牵丝",$AK119*1.5,0))*(1+$BC119)*(1+$BD119)+(($BE119+($BF119-$BE119)*IF(VLOOKUP($Q119,武学奇术!$A:$ZZ,31,FALSE)=1,$F$18,0.5))*IF($G$1="破竹",$AJ119,$AH119)+IF($G$1="破竹",$AK119*1.5,0))*(1+$BG119)*(1+$BH119))*(1+$AL119)*$P119*(1+IF(VLOOKUP($Q119,武学奇术!$A:$ZZ,30,FALSE)="蓄力技",$B$21,0))*(1+$BQ119)</f>
        <v>0</v>
      </c>
      <c r="O119" s="39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蓄力技",$B$21,0))*(1+$BQ119)</f>
        <v>0</v>
      </c>
      <c r="P119" s="40">
        <v>1</v>
      </c>
      <c r="Q119" s="41" t="s">
        <v>73</v>
      </c>
      <c r="R119" s="41" t="s">
        <v>73</v>
      </c>
      <c r="S119" s="41" t="s">
        <v>73</v>
      </c>
      <c r="T119" s="41" t="s">
        <v>73</v>
      </c>
      <c r="U119" s="41" t="s">
        <v>73</v>
      </c>
      <c r="V119" s="41" t="s">
        <v>73</v>
      </c>
      <c r="W119" s="41" t="s">
        <v>73</v>
      </c>
      <c r="X119" s="41" t="s">
        <v>73</v>
      </c>
      <c r="Y119" s="41" t="s">
        <v>73</v>
      </c>
      <c r="Z119" s="41" t="s">
        <v>73</v>
      </c>
      <c r="AA119" s="41" t="s">
        <v>73</v>
      </c>
      <c r="AB119" s="41" t="s">
        <v>73</v>
      </c>
      <c r="AC119" s="41" t="s">
        <v>73</v>
      </c>
      <c r="AD119" s="41" t="s">
        <v>73</v>
      </c>
      <c r="AE119" s="41" t="s">
        <v>77</v>
      </c>
      <c r="AF119" s="41" t="s">
        <v>73</v>
      </c>
      <c r="AG119" t="str">
        <f>VLOOKUP($Q119,武学奇术!$A:$ZZ,25,FALSE)</f>
        <v>心法</v>
      </c>
      <c r="AH119" s="27">
        <f>VLOOKUP($Q119,武学奇术!$A:$ZZ,26,FALSE)</f>
        <v>0</v>
      </c>
      <c r="AI119" s="28">
        <f>VLOOKUP($Q119,武学奇术!$A:$ZZ,27,FALSE)*(1+IF(OR($AG119=$F$4,$AG119=$F$5),$B$22,0))</f>
        <v>0</v>
      </c>
      <c r="AJ119" s="27">
        <f>VLOOKUP($Q119,武学奇术!$A:$ZZ,28,FALSE)</f>
        <v>0</v>
      </c>
      <c r="AK119" s="28">
        <f>VLOOKUP($Q119,武学奇术!$A:$ZZ,29,FALSE)*(1+IF(OR($AG119=$F$4,$AG119=$F$5),$B$22,0))</f>
        <v>0</v>
      </c>
      <c r="AL119" s="27" cm="1">
        <f t="array" ref="AL119">$G$3+IFERROR(VLOOKUP($AG119,$F$4:$G$7,2,FALSE),0)+VLOOKUP($Q119,武学奇术!$A:$ZZ,2,FALSE)+SUM(_xlfn.XLOOKUP($R119:$AF119,增益!$A:$A,增益!$B:$B,0))</f>
        <v>0.1037</v>
      </c>
      <c r="AM119" s="27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3826.382</v>
      </c>
      <c r="AO119" cm="1">
        <f t="array" ref="AO119">$E$10*(1+$AM119)+VLOOKUP($Q119,武学奇术!$A:$ZZ,4,FALSE)+SUM(_xlfn.XLOOKUP($R119:$AF119,增益!$A:$A,增益!$D:$D,0))-$I$2</f>
        <v>3826.382</v>
      </c>
      <c r="AP119" s="33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0.167</v>
      </c>
      <c r="AQ119" s="33" cm="1">
        <f t="array" ref="AQ119">$G$10+VLOOKUP($Q119,武学奇术!$A:$ZZ,7,FALSE)+SUM(_xlfn.XLOOKUP(R119:AF119,增益!$A:$A,增益!$G:$G,0))</f>
        <v>0</v>
      </c>
      <c r="AR119" s="27" cm="1">
        <f t="array" ref="AR119">VLOOKUP($Q119,武学奇术!$A:$ZZ,8,FALSE)+SUM(_xlfn.XLOOKUP(R119:AF119,增益!$A:$A,增益!$H:$H,0))</f>
        <v>0</v>
      </c>
      <c r="AS119">
        <f t="shared" si="12"/>
        <v>0</v>
      </c>
      <c r="AT119">
        <f t="shared" si="13"/>
        <v>0</v>
      </c>
      <c r="AU119" s="33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-0.3</v>
      </c>
      <c r="AV119" s="33" cm="1">
        <f t="array" ref="AV119">$G$11+VLOOKUP($Q119,武学奇术!$A:$ZZ,10,FALSE)+SUM(_xlfn.XLOOKUP(R119:AF119,增益!$A:$A,增益!$J:$J,0))</f>
        <v>0</v>
      </c>
      <c r="AW119">
        <f t="shared" si="14"/>
        <v>0</v>
      </c>
      <c r="AX119">
        <f t="shared" si="15"/>
        <v>0</v>
      </c>
      <c r="AY119" s="33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-0.3</v>
      </c>
      <c r="AZ119" s="33" cm="1">
        <f t="array" ref="AZ119">$G$12+VLOOKUP($Q119,武学奇术!$A:$ZZ,12,FALSE)+SUM(_xlfn.XLOOKUP(R119:AF119,增益!$A:$A,增益!$L:$L,0))</f>
        <v>0</v>
      </c>
      <c r="BA119">
        <f t="shared" si="16"/>
        <v>0</v>
      </c>
      <c r="BB119">
        <f t="shared" si="17"/>
        <v>0</v>
      </c>
      <c r="BC119" s="33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-0.3</v>
      </c>
      <c r="BD119" s="33" cm="1">
        <f t="array" ref="BD119">$G$13+VLOOKUP($Q119,武学奇术!$A:$ZZ,14,FALSE)+SUM(_xlfn.XLOOKUP(R119:AF119,增益!$A:$A,增益!$N:$N,0))</f>
        <v>0</v>
      </c>
      <c r="BE119">
        <f t="shared" si="18"/>
        <v>605.472</v>
      </c>
      <c r="BF119">
        <f t="shared" si="19"/>
        <v>1725.468</v>
      </c>
      <c r="BG119" s="33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0</v>
      </c>
      <c r="BH119" s="33" cm="1">
        <f t="array" ref="BH119">$G$14+VLOOKUP($Q119,武学奇术!$A:$ZZ,16,FALSE)+SUM(_xlfn.XLOOKUP(R119:AF119,增益!$A:$A,增益!$P:$P,0))</f>
        <v>0.15</v>
      </c>
      <c r="BI119" s="27">
        <f>MIN(IF(VLOOKUP($Q119,武学奇术!$A:$ZZ,23,FALSE)=1,100%,$B$8),100%)</f>
        <v>1</v>
      </c>
      <c r="BJ119" s="27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+MIN(IF(VLOOKUP($Q119,武学奇术!$A:$ZZ,32,FALSE)=1,IF(VLOOKUP($Q119,武学奇术!$A:$ZZ,24,FALSE)=1,100%,MIN(40%,$B$10+VLOOKUP($Q119,武学奇术!$A:$ZZ,19,FALSE)+SUM(_xlfn.XLOOKUP(R119:AF119,增益!$A:$A,增益!$S:$S,0)))+$B$12+SUM(_xlfn.XLOOKUP(R119:AF119,增益!$A:$A,增益!$V:$V,0))),0),12%)</f>
        <v>0.9036</v>
      </c>
      <c r="BK119" s="27" cm="1">
        <f t="array" ref="BK119">1+$B$13+VLOOKUP($Q119,武学奇术!$A:$ZZ,18,FALSE)+SUM(_xlfn.XLOOKUP(R119:AF119,增益!$A:$A,增益!$R:$R,0))</f>
        <v>1.54</v>
      </c>
      <c r="BL119" s="27" cm="1">
        <f t="array" ref="BL119">MAX(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-IF(VLOOKUP($Q119,武学奇术!$A:$ZZ,32,FALSE)=1,12%,0),0)</f>
        <v>0.0929</v>
      </c>
      <c r="BM119" s="27" cm="1">
        <f t="array" ref="BM119">1+$B$14+VLOOKUP($Q119,武学奇术!$A:$ZZ,20,FALSE)+SUM(_xlfn.XLOOKUP(R119:AF119,增益!$A:$A,增益!$T:$T,0))</f>
        <v>1.35</v>
      </c>
      <c r="BN119" s="27">
        <f t="shared" si="20"/>
        <v>0.9036</v>
      </c>
      <c r="BO119" s="27">
        <f t="shared" si="21"/>
        <v>0.00350000000000006</v>
      </c>
      <c r="BP119" s="27">
        <f>IF(VLOOKUP($Q119,武学奇术!$A:$ZZ,22,FALSE)=1,0,(1-$BI119))*(1-$BL119)</f>
        <v>0</v>
      </c>
      <c r="BQ119" s="27" cm="1">
        <f t="array" ref="BQ119">SUM(_xlfn.XLOOKUP(R119:AF119,增益!$A:$A,增益!$W:$W,0))+$I$5</f>
        <v>0.11</v>
      </c>
    </row>
    <row r="120" spans="11:69">
      <c r="K120" s="39">
        <f t="shared" si="11"/>
        <v>0</v>
      </c>
      <c r="L120" s="39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BK120*$P120*(1+IF(VLOOKUP($Q120,武学奇术!$A:$ZZ,30,FALSE)="蓄力技",$B$21,0))*(1+$BQ120)</f>
        <v>0</v>
      </c>
      <c r="M120" s="39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蓄力技",$B$21,0))*(1+$BQ120)</f>
        <v>0</v>
      </c>
      <c r="N120" s="39">
        <f>((($AN120+($AO120-$AN120)*IF(VLOOKUP($Q120,武学奇术!$A:$ZZ,31,FALSE)=1,$F$18,0.5))*$AH120+$AI120)*(1+$AP120)*(1+$AQ120)+(($AS120+($AT120-$AS120)*IF(VLOOKUP($Q120,武学奇术!$A:$ZZ,31,FALSE)=1,$F$18,0.5))*IF($G$1="鸣金",$AJ120,$AH120)+IF($G$1="鸣金",$AK120*1.5,0))*(1+$AU120)*(1+$AV120)+(($AW120+($AX120-$AW120)*IF(VLOOKUP($Q120,武学奇术!$A:$ZZ,31,FALSE)=1,$F$18,0.5))*IF($G$1="裂石",$AJ120,$AH120)+IF($G$1="裂石",$AK120*1.5,0))*(1+$AY120)*(1+$AZ120)+(($BA120+($BB120-$BA120)*IF(VLOOKUP($Q120,武学奇术!$A:$ZZ,31,FALSE)=1,$F$18,0.5))*IF($G$1="牵丝",$AJ120,$AH120)+IF($G$1="牵丝",$AK120*1.5,0))*(1+$BC120)*(1+$BD120)+(($BE120+($BF120-$BE120)*IF(VLOOKUP($Q120,武学奇术!$A:$ZZ,31,FALSE)=1,$F$18,0.5))*IF($G$1="破竹",$AJ120,$AH120)+IF($G$1="破竹",$AK120*1.5,0))*(1+$BG120)*(1+$BH120))*(1+$AL120)*$P120*(1+IF(VLOOKUP($Q120,武学奇术!$A:$ZZ,30,FALSE)="蓄力技",$B$21,0))*(1+$BQ120)</f>
        <v>0</v>
      </c>
      <c r="O120" s="39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蓄力技",$B$21,0))*(1+$BQ120)</f>
        <v>0</v>
      </c>
      <c r="P120" s="40">
        <v>1</v>
      </c>
      <c r="Q120" s="41" t="s">
        <v>73</v>
      </c>
      <c r="R120" s="41" t="s">
        <v>73</v>
      </c>
      <c r="S120" s="41" t="s">
        <v>73</v>
      </c>
      <c r="T120" s="41" t="s">
        <v>73</v>
      </c>
      <c r="U120" s="41" t="s">
        <v>73</v>
      </c>
      <c r="V120" s="41" t="s">
        <v>73</v>
      </c>
      <c r="W120" s="41" t="s">
        <v>73</v>
      </c>
      <c r="X120" s="41" t="s">
        <v>73</v>
      </c>
      <c r="Y120" s="41" t="s">
        <v>73</v>
      </c>
      <c r="Z120" s="41" t="s">
        <v>73</v>
      </c>
      <c r="AA120" s="41" t="s">
        <v>73</v>
      </c>
      <c r="AB120" s="41" t="s">
        <v>73</v>
      </c>
      <c r="AC120" s="41" t="s">
        <v>73</v>
      </c>
      <c r="AD120" s="41" t="s">
        <v>73</v>
      </c>
      <c r="AE120" s="41" t="s">
        <v>77</v>
      </c>
      <c r="AF120" s="41" t="s">
        <v>73</v>
      </c>
      <c r="AG120" t="str">
        <f>VLOOKUP($Q120,武学奇术!$A:$ZZ,25,FALSE)</f>
        <v>心法</v>
      </c>
      <c r="AH120" s="27">
        <f>VLOOKUP($Q120,武学奇术!$A:$ZZ,26,FALSE)</f>
        <v>0</v>
      </c>
      <c r="AI120" s="28">
        <f>VLOOKUP($Q120,武学奇术!$A:$ZZ,27,FALSE)*(1+IF(OR($AG120=$F$4,$AG120=$F$5),$B$22,0))</f>
        <v>0</v>
      </c>
      <c r="AJ120" s="27">
        <f>VLOOKUP($Q120,武学奇术!$A:$ZZ,28,FALSE)</f>
        <v>0</v>
      </c>
      <c r="AK120" s="28">
        <f>VLOOKUP($Q120,武学奇术!$A:$ZZ,29,FALSE)*(1+IF(OR($AG120=$F$4,$AG120=$F$5),$B$22,0))</f>
        <v>0</v>
      </c>
      <c r="AL120" s="27" cm="1">
        <f t="array" ref="AL120">$G$3+IFERROR(VLOOKUP($AG120,$F$4:$G$7,2,FALSE),0)+VLOOKUP($Q120,武学奇术!$A:$ZZ,2,FALSE)+SUM(_xlfn.XLOOKUP($R120:$AF120,增益!$A:$A,增益!$B:$B,0))</f>
        <v>0.1037</v>
      </c>
      <c r="AM120" s="27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3826.382</v>
      </c>
      <c r="AO120" cm="1">
        <f t="array" ref="AO120">$E$10*(1+$AM120)+VLOOKUP($Q120,武学奇术!$A:$ZZ,4,FALSE)+SUM(_xlfn.XLOOKUP($R120:$AF120,增益!$A:$A,增益!$D:$D,0))-$I$2</f>
        <v>3826.382</v>
      </c>
      <c r="AP120" s="33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0.167</v>
      </c>
      <c r="AQ120" s="33" cm="1">
        <f t="array" ref="AQ120">$G$10+VLOOKUP($Q120,武学奇术!$A:$ZZ,7,FALSE)+SUM(_xlfn.XLOOKUP(R120:AF120,增益!$A:$A,增益!$G:$G,0))</f>
        <v>0</v>
      </c>
      <c r="AR120" s="27" cm="1">
        <f t="array" ref="AR120">VLOOKUP($Q120,武学奇术!$A:$ZZ,8,FALSE)+SUM(_xlfn.XLOOKUP(R120:AF120,增益!$A:$A,增益!$H:$H,0))</f>
        <v>0</v>
      </c>
      <c r="AS120">
        <f t="shared" si="12"/>
        <v>0</v>
      </c>
      <c r="AT120">
        <f t="shared" si="13"/>
        <v>0</v>
      </c>
      <c r="AU120" s="33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-0.3</v>
      </c>
      <c r="AV120" s="33" cm="1">
        <f t="array" ref="AV120">$G$11+VLOOKUP($Q120,武学奇术!$A:$ZZ,10,FALSE)+SUM(_xlfn.XLOOKUP(R120:AF120,增益!$A:$A,增益!$J:$J,0))</f>
        <v>0</v>
      </c>
      <c r="AW120">
        <f t="shared" si="14"/>
        <v>0</v>
      </c>
      <c r="AX120">
        <f t="shared" si="15"/>
        <v>0</v>
      </c>
      <c r="AY120" s="33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-0.3</v>
      </c>
      <c r="AZ120" s="33" cm="1">
        <f t="array" ref="AZ120">$G$12+VLOOKUP($Q120,武学奇术!$A:$ZZ,12,FALSE)+SUM(_xlfn.XLOOKUP(R120:AF120,增益!$A:$A,增益!$L:$L,0))</f>
        <v>0</v>
      </c>
      <c r="BA120">
        <f t="shared" si="16"/>
        <v>0</v>
      </c>
      <c r="BB120">
        <f t="shared" si="17"/>
        <v>0</v>
      </c>
      <c r="BC120" s="33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-0.3</v>
      </c>
      <c r="BD120" s="33" cm="1">
        <f t="array" ref="BD120">$G$13+VLOOKUP($Q120,武学奇术!$A:$ZZ,14,FALSE)+SUM(_xlfn.XLOOKUP(R120:AF120,增益!$A:$A,增益!$N:$N,0))</f>
        <v>0</v>
      </c>
      <c r="BE120">
        <f t="shared" si="18"/>
        <v>605.472</v>
      </c>
      <c r="BF120">
        <f t="shared" si="19"/>
        <v>1725.468</v>
      </c>
      <c r="BG120" s="33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0</v>
      </c>
      <c r="BH120" s="33" cm="1">
        <f t="array" ref="BH120">$G$14+VLOOKUP($Q120,武学奇术!$A:$ZZ,16,FALSE)+SUM(_xlfn.XLOOKUP(R120:AF120,增益!$A:$A,增益!$P:$P,0))</f>
        <v>0.15</v>
      </c>
      <c r="BI120" s="27">
        <f>MIN(IF(VLOOKUP($Q120,武学奇术!$A:$ZZ,23,FALSE)=1,100%,$B$8),100%)</f>
        <v>1</v>
      </c>
      <c r="BJ120" s="27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+MIN(IF(VLOOKUP($Q120,武学奇术!$A:$ZZ,32,FALSE)=1,IF(VLOOKUP($Q120,武学奇术!$A:$ZZ,24,FALSE)=1,100%,MIN(40%,$B$10+VLOOKUP($Q120,武学奇术!$A:$ZZ,19,FALSE)+SUM(_xlfn.XLOOKUP(R120:AF120,增益!$A:$A,增益!$S:$S,0)))+$B$12+SUM(_xlfn.XLOOKUP(R120:AF120,增益!$A:$A,增益!$V:$V,0))),0),12%)</f>
        <v>0.9036</v>
      </c>
      <c r="BK120" s="27" cm="1">
        <f t="array" ref="BK120">1+$B$13+VLOOKUP($Q120,武学奇术!$A:$ZZ,18,FALSE)+SUM(_xlfn.XLOOKUP(R120:AF120,增益!$A:$A,增益!$R:$R,0))</f>
        <v>1.54</v>
      </c>
      <c r="BL120" s="27" cm="1">
        <f t="array" ref="BL120">MAX(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-IF(VLOOKUP($Q120,武学奇术!$A:$ZZ,32,FALSE)=1,12%,0),0)</f>
        <v>0.0929</v>
      </c>
      <c r="BM120" s="27" cm="1">
        <f t="array" ref="BM120">1+$B$14+VLOOKUP($Q120,武学奇术!$A:$ZZ,20,FALSE)+SUM(_xlfn.XLOOKUP(R120:AF120,增益!$A:$A,增益!$T:$T,0))</f>
        <v>1.35</v>
      </c>
      <c r="BN120" s="27">
        <f t="shared" si="20"/>
        <v>0.9036</v>
      </c>
      <c r="BO120" s="27">
        <f t="shared" si="21"/>
        <v>0.00350000000000006</v>
      </c>
      <c r="BP120" s="27">
        <f>IF(VLOOKUP($Q120,武学奇术!$A:$ZZ,22,FALSE)=1,0,(1-$BI120))*(1-$BL120)</f>
        <v>0</v>
      </c>
      <c r="BQ120" s="27" cm="1">
        <f t="array" ref="BQ120">SUM(_xlfn.XLOOKUP(R120:AF120,增益!$A:$A,增益!$W:$W,0))+$I$5</f>
        <v>0.11</v>
      </c>
    </row>
    <row r="121" spans="11:69">
      <c r="K121" s="39">
        <f t="shared" si="11"/>
        <v>0</v>
      </c>
      <c r="L121" s="39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BK121*$P121*(1+IF(VLOOKUP($Q121,武学奇术!$A:$ZZ,30,FALSE)="蓄力技",$B$21,0))*(1+$BQ121)</f>
        <v>0</v>
      </c>
      <c r="M121" s="39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蓄力技",$B$21,0))*(1+$BQ121)</f>
        <v>0</v>
      </c>
      <c r="N121" s="39">
        <f>((($AN121+($AO121-$AN121)*IF(VLOOKUP($Q121,武学奇术!$A:$ZZ,31,FALSE)=1,$F$18,0.5))*$AH121+$AI121)*(1+$AP121)*(1+$AQ121)+(($AS121+($AT121-$AS121)*IF(VLOOKUP($Q121,武学奇术!$A:$ZZ,31,FALSE)=1,$F$18,0.5))*IF($G$1="鸣金",$AJ121,$AH121)+IF($G$1="鸣金",$AK121*1.5,0))*(1+$AU121)*(1+$AV121)+(($AW121+($AX121-$AW121)*IF(VLOOKUP($Q121,武学奇术!$A:$ZZ,31,FALSE)=1,$F$18,0.5))*IF($G$1="裂石",$AJ121,$AH121)+IF($G$1="裂石",$AK121*1.5,0))*(1+$AY121)*(1+$AZ121)+(($BA121+($BB121-$BA121)*IF(VLOOKUP($Q121,武学奇术!$A:$ZZ,31,FALSE)=1,$F$18,0.5))*IF($G$1="牵丝",$AJ121,$AH121)+IF($G$1="牵丝",$AK121*1.5,0))*(1+$BC121)*(1+$BD121)+(($BE121+($BF121-$BE121)*IF(VLOOKUP($Q121,武学奇术!$A:$ZZ,31,FALSE)=1,$F$18,0.5))*IF($G$1="破竹",$AJ121,$AH121)+IF($G$1="破竹",$AK121*1.5,0))*(1+$BG121)*(1+$BH121))*(1+$AL121)*$P121*(1+IF(VLOOKUP($Q121,武学奇术!$A:$ZZ,30,FALSE)="蓄力技",$B$21,0))*(1+$BQ121)</f>
        <v>0</v>
      </c>
      <c r="O121" s="39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蓄力技",$B$21,0))*(1+$BQ121)</f>
        <v>0</v>
      </c>
      <c r="P121" s="40">
        <v>1</v>
      </c>
      <c r="Q121" s="41" t="s">
        <v>73</v>
      </c>
      <c r="R121" s="41" t="s">
        <v>73</v>
      </c>
      <c r="S121" s="41" t="s">
        <v>73</v>
      </c>
      <c r="T121" s="41" t="s">
        <v>73</v>
      </c>
      <c r="U121" s="41" t="s">
        <v>73</v>
      </c>
      <c r="V121" s="41" t="s">
        <v>73</v>
      </c>
      <c r="W121" s="41" t="s">
        <v>73</v>
      </c>
      <c r="X121" s="41" t="s">
        <v>73</v>
      </c>
      <c r="Y121" s="41" t="s">
        <v>73</v>
      </c>
      <c r="Z121" s="41" t="s">
        <v>73</v>
      </c>
      <c r="AA121" s="41" t="s">
        <v>73</v>
      </c>
      <c r="AB121" s="41" t="s">
        <v>73</v>
      </c>
      <c r="AC121" s="41" t="s">
        <v>73</v>
      </c>
      <c r="AD121" s="41" t="s">
        <v>73</v>
      </c>
      <c r="AE121" s="41" t="s">
        <v>77</v>
      </c>
      <c r="AF121" s="41" t="s">
        <v>73</v>
      </c>
      <c r="AG121" t="str">
        <f>VLOOKUP($Q121,武学奇术!$A:$ZZ,25,FALSE)</f>
        <v>心法</v>
      </c>
      <c r="AH121" s="27">
        <f>VLOOKUP($Q121,武学奇术!$A:$ZZ,26,FALSE)</f>
        <v>0</v>
      </c>
      <c r="AI121" s="28">
        <f>VLOOKUP($Q121,武学奇术!$A:$ZZ,27,FALSE)*(1+IF(OR($AG121=$F$4,$AG121=$F$5),$B$22,0))</f>
        <v>0</v>
      </c>
      <c r="AJ121" s="27">
        <f>VLOOKUP($Q121,武学奇术!$A:$ZZ,28,FALSE)</f>
        <v>0</v>
      </c>
      <c r="AK121" s="28">
        <f>VLOOKUP($Q121,武学奇术!$A:$ZZ,29,FALSE)*(1+IF(OR($AG121=$F$4,$AG121=$F$5),$B$22,0))</f>
        <v>0</v>
      </c>
      <c r="AL121" s="27" cm="1">
        <f t="array" ref="AL121">$G$3+IFERROR(VLOOKUP($AG121,$F$4:$G$7,2,FALSE),0)+VLOOKUP($Q121,武学奇术!$A:$ZZ,2,FALSE)+SUM(_xlfn.XLOOKUP($R121:$AF121,增益!$A:$A,增益!$B:$B,0))</f>
        <v>0.1037</v>
      </c>
      <c r="AM121" s="27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3826.382</v>
      </c>
      <c r="AO121" cm="1">
        <f t="array" ref="AO121">$E$10*(1+$AM121)+VLOOKUP($Q121,武学奇术!$A:$ZZ,4,FALSE)+SUM(_xlfn.XLOOKUP($R121:$AF121,增益!$A:$A,增益!$D:$D,0))-$I$2</f>
        <v>3826.382</v>
      </c>
      <c r="AP121" s="33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0.167</v>
      </c>
      <c r="AQ121" s="33" cm="1">
        <f t="array" ref="AQ121">$G$10+VLOOKUP($Q121,武学奇术!$A:$ZZ,7,FALSE)+SUM(_xlfn.XLOOKUP(R121:AF121,增益!$A:$A,增益!$G:$G,0))</f>
        <v>0</v>
      </c>
      <c r="AR121" s="27" cm="1">
        <f t="array" ref="AR121">VLOOKUP($Q121,武学奇术!$A:$ZZ,8,FALSE)+SUM(_xlfn.XLOOKUP(R121:AF121,增益!$A:$A,增益!$H:$H,0))</f>
        <v>0</v>
      </c>
      <c r="AS121">
        <f t="shared" si="12"/>
        <v>0</v>
      </c>
      <c r="AT121">
        <f t="shared" si="13"/>
        <v>0</v>
      </c>
      <c r="AU121" s="33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-0.3</v>
      </c>
      <c r="AV121" s="33" cm="1">
        <f t="array" ref="AV121">$G$11+VLOOKUP($Q121,武学奇术!$A:$ZZ,10,FALSE)+SUM(_xlfn.XLOOKUP(R121:AF121,增益!$A:$A,增益!$J:$J,0))</f>
        <v>0</v>
      </c>
      <c r="AW121">
        <f t="shared" si="14"/>
        <v>0</v>
      </c>
      <c r="AX121">
        <f t="shared" si="15"/>
        <v>0</v>
      </c>
      <c r="AY121" s="33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-0.3</v>
      </c>
      <c r="AZ121" s="33" cm="1">
        <f t="array" ref="AZ121">$G$12+VLOOKUP($Q121,武学奇术!$A:$ZZ,12,FALSE)+SUM(_xlfn.XLOOKUP(R121:AF121,增益!$A:$A,增益!$L:$L,0))</f>
        <v>0</v>
      </c>
      <c r="BA121">
        <f t="shared" si="16"/>
        <v>0</v>
      </c>
      <c r="BB121">
        <f t="shared" si="17"/>
        <v>0</v>
      </c>
      <c r="BC121" s="33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-0.3</v>
      </c>
      <c r="BD121" s="33" cm="1">
        <f t="array" ref="BD121">$G$13+VLOOKUP($Q121,武学奇术!$A:$ZZ,14,FALSE)+SUM(_xlfn.XLOOKUP(R121:AF121,增益!$A:$A,增益!$N:$N,0))</f>
        <v>0</v>
      </c>
      <c r="BE121">
        <f t="shared" si="18"/>
        <v>605.472</v>
      </c>
      <c r="BF121">
        <f t="shared" si="19"/>
        <v>1725.468</v>
      </c>
      <c r="BG121" s="33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0</v>
      </c>
      <c r="BH121" s="33" cm="1">
        <f t="array" ref="BH121">$G$14+VLOOKUP($Q121,武学奇术!$A:$ZZ,16,FALSE)+SUM(_xlfn.XLOOKUP(R121:AF121,增益!$A:$A,增益!$P:$P,0))</f>
        <v>0.15</v>
      </c>
      <c r="BI121" s="27">
        <f>MIN(IF(VLOOKUP($Q121,武学奇术!$A:$ZZ,23,FALSE)=1,100%,$B$8),100%)</f>
        <v>1</v>
      </c>
      <c r="BJ121" s="27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+MIN(IF(VLOOKUP($Q121,武学奇术!$A:$ZZ,32,FALSE)=1,IF(VLOOKUP($Q121,武学奇术!$A:$ZZ,24,FALSE)=1,100%,MIN(40%,$B$10+VLOOKUP($Q121,武学奇术!$A:$ZZ,19,FALSE)+SUM(_xlfn.XLOOKUP(R121:AF121,增益!$A:$A,增益!$S:$S,0)))+$B$12+SUM(_xlfn.XLOOKUP(R121:AF121,增益!$A:$A,增益!$V:$V,0))),0),12%)</f>
        <v>0.9036</v>
      </c>
      <c r="BK121" s="27" cm="1">
        <f t="array" ref="BK121">1+$B$13+VLOOKUP($Q121,武学奇术!$A:$ZZ,18,FALSE)+SUM(_xlfn.XLOOKUP(R121:AF121,增益!$A:$A,增益!$R:$R,0))</f>
        <v>1.54</v>
      </c>
      <c r="BL121" s="27" cm="1">
        <f t="array" ref="BL121">MAX(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-IF(VLOOKUP($Q121,武学奇术!$A:$ZZ,32,FALSE)=1,12%,0),0)</f>
        <v>0.0929</v>
      </c>
      <c r="BM121" s="27" cm="1">
        <f t="array" ref="BM121">1+$B$14+VLOOKUP($Q121,武学奇术!$A:$ZZ,20,FALSE)+SUM(_xlfn.XLOOKUP(R121:AF121,增益!$A:$A,增益!$T:$T,0))</f>
        <v>1.35</v>
      </c>
      <c r="BN121" s="27">
        <f t="shared" si="20"/>
        <v>0.9036</v>
      </c>
      <c r="BO121" s="27">
        <f t="shared" si="21"/>
        <v>0.00350000000000006</v>
      </c>
      <c r="BP121" s="27">
        <f>IF(VLOOKUP($Q121,武学奇术!$A:$ZZ,22,FALSE)=1,0,(1-$BI121))*(1-$BL121)</f>
        <v>0</v>
      </c>
      <c r="BQ121" s="27" cm="1">
        <f t="array" ref="BQ121">SUM(_xlfn.XLOOKUP(R121:AF121,增益!$A:$A,增益!$W:$W,0))+$I$5</f>
        <v>0.11</v>
      </c>
    </row>
    <row r="122" spans="11:69">
      <c r="K122" s="39">
        <f t="shared" si="11"/>
        <v>0</v>
      </c>
      <c r="L122" s="39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BK122*$P122*(1+IF(VLOOKUP($Q122,武学奇术!$A:$ZZ,30,FALSE)="蓄力技",$B$21,0))*(1+$BQ122)</f>
        <v>0</v>
      </c>
      <c r="M122" s="39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蓄力技",$B$21,0))*(1+$BQ122)</f>
        <v>0</v>
      </c>
      <c r="N122" s="39">
        <f>((($AN122+($AO122-$AN122)*IF(VLOOKUP($Q122,武学奇术!$A:$ZZ,31,FALSE)=1,$F$18,0.5))*$AH122+$AI122)*(1+$AP122)*(1+$AQ122)+(($AS122+($AT122-$AS122)*IF(VLOOKUP($Q122,武学奇术!$A:$ZZ,31,FALSE)=1,$F$18,0.5))*IF($G$1="鸣金",$AJ122,$AH122)+IF($G$1="鸣金",$AK122*1.5,0))*(1+$AU122)*(1+$AV122)+(($AW122+($AX122-$AW122)*IF(VLOOKUP($Q122,武学奇术!$A:$ZZ,31,FALSE)=1,$F$18,0.5))*IF($G$1="裂石",$AJ122,$AH122)+IF($G$1="裂石",$AK122*1.5,0))*(1+$AY122)*(1+$AZ122)+(($BA122+($BB122-$BA122)*IF(VLOOKUP($Q122,武学奇术!$A:$ZZ,31,FALSE)=1,$F$18,0.5))*IF($G$1="牵丝",$AJ122,$AH122)+IF($G$1="牵丝",$AK122*1.5,0))*(1+$BC122)*(1+$BD122)+(($BE122+($BF122-$BE122)*IF(VLOOKUP($Q122,武学奇术!$A:$ZZ,31,FALSE)=1,$F$18,0.5))*IF($G$1="破竹",$AJ122,$AH122)+IF($G$1="破竹",$AK122*1.5,0))*(1+$BG122)*(1+$BH122))*(1+$AL122)*$P122*(1+IF(VLOOKUP($Q122,武学奇术!$A:$ZZ,30,FALSE)="蓄力技",$B$21,0))*(1+$BQ122)</f>
        <v>0</v>
      </c>
      <c r="O122" s="39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蓄力技",$B$21,0))*(1+$BQ122)</f>
        <v>0</v>
      </c>
      <c r="P122" s="40">
        <v>1</v>
      </c>
      <c r="Q122" s="41" t="s">
        <v>73</v>
      </c>
      <c r="R122" s="41" t="s">
        <v>73</v>
      </c>
      <c r="S122" s="41" t="s">
        <v>73</v>
      </c>
      <c r="T122" s="41" t="s">
        <v>73</v>
      </c>
      <c r="U122" s="41" t="s">
        <v>73</v>
      </c>
      <c r="V122" s="41" t="s">
        <v>73</v>
      </c>
      <c r="W122" s="41" t="s">
        <v>73</v>
      </c>
      <c r="X122" s="41" t="s">
        <v>73</v>
      </c>
      <c r="Y122" s="41" t="s">
        <v>73</v>
      </c>
      <c r="Z122" s="41" t="s">
        <v>73</v>
      </c>
      <c r="AA122" s="41" t="s">
        <v>73</v>
      </c>
      <c r="AB122" s="41" t="s">
        <v>73</v>
      </c>
      <c r="AC122" s="41" t="s">
        <v>73</v>
      </c>
      <c r="AD122" s="41" t="s">
        <v>73</v>
      </c>
      <c r="AE122" s="41" t="s">
        <v>77</v>
      </c>
      <c r="AF122" s="41" t="s">
        <v>73</v>
      </c>
      <c r="AG122" t="str">
        <f>VLOOKUP($Q122,武学奇术!$A:$ZZ,25,FALSE)</f>
        <v>心法</v>
      </c>
      <c r="AH122" s="27">
        <f>VLOOKUP($Q122,武学奇术!$A:$ZZ,26,FALSE)</f>
        <v>0</v>
      </c>
      <c r="AI122" s="28">
        <f>VLOOKUP($Q122,武学奇术!$A:$ZZ,27,FALSE)*(1+IF(OR($AG122=$F$4,$AG122=$F$5),$B$22,0))</f>
        <v>0</v>
      </c>
      <c r="AJ122" s="27">
        <f>VLOOKUP($Q122,武学奇术!$A:$ZZ,28,FALSE)</f>
        <v>0</v>
      </c>
      <c r="AK122" s="28">
        <f>VLOOKUP($Q122,武学奇术!$A:$ZZ,29,FALSE)*(1+IF(OR($AG122=$F$4,$AG122=$F$5),$B$22,0))</f>
        <v>0</v>
      </c>
      <c r="AL122" s="27" cm="1">
        <f t="array" ref="AL122">$G$3+IFERROR(VLOOKUP($AG122,$F$4:$G$7,2,FALSE),0)+VLOOKUP($Q122,武学奇术!$A:$ZZ,2,FALSE)+SUM(_xlfn.XLOOKUP($R122:$AF122,增益!$A:$A,增益!$B:$B,0))</f>
        <v>0.1037</v>
      </c>
      <c r="AM122" s="27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3826.382</v>
      </c>
      <c r="AO122" cm="1">
        <f t="array" ref="AO122">$E$10*(1+$AM122)+VLOOKUP($Q122,武学奇术!$A:$ZZ,4,FALSE)+SUM(_xlfn.XLOOKUP($R122:$AF122,增益!$A:$A,增益!$D:$D,0))-$I$2</f>
        <v>3826.382</v>
      </c>
      <c r="AP122" s="33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0.167</v>
      </c>
      <c r="AQ122" s="33" cm="1">
        <f t="array" ref="AQ122">$G$10+VLOOKUP($Q122,武学奇术!$A:$ZZ,7,FALSE)+SUM(_xlfn.XLOOKUP(R122:AF122,增益!$A:$A,增益!$G:$G,0))</f>
        <v>0</v>
      </c>
      <c r="AR122" s="27" cm="1">
        <f t="array" ref="AR122">VLOOKUP($Q122,武学奇术!$A:$ZZ,8,FALSE)+SUM(_xlfn.XLOOKUP(R122:AF122,增益!$A:$A,增益!$H:$H,0))</f>
        <v>0</v>
      </c>
      <c r="AS122">
        <f t="shared" si="12"/>
        <v>0</v>
      </c>
      <c r="AT122">
        <f t="shared" si="13"/>
        <v>0</v>
      </c>
      <c r="AU122" s="33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-0.3</v>
      </c>
      <c r="AV122" s="33" cm="1">
        <f t="array" ref="AV122">$G$11+VLOOKUP($Q122,武学奇术!$A:$ZZ,10,FALSE)+SUM(_xlfn.XLOOKUP(R122:AF122,增益!$A:$A,增益!$J:$J,0))</f>
        <v>0</v>
      </c>
      <c r="AW122">
        <f t="shared" si="14"/>
        <v>0</v>
      </c>
      <c r="AX122">
        <f t="shared" si="15"/>
        <v>0</v>
      </c>
      <c r="AY122" s="33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-0.3</v>
      </c>
      <c r="AZ122" s="33" cm="1">
        <f t="array" ref="AZ122">$G$12+VLOOKUP($Q122,武学奇术!$A:$ZZ,12,FALSE)+SUM(_xlfn.XLOOKUP(R122:AF122,增益!$A:$A,增益!$L:$L,0))</f>
        <v>0</v>
      </c>
      <c r="BA122">
        <f t="shared" si="16"/>
        <v>0</v>
      </c>
      <c r="BB122">
        <f t="shared" si="17"/>
        <v>0</v>
      </c>
      <c r="BC122" s="33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-0.3</v>
      </c>
      <c r="BD122" s="33" cm="1">
        <f t="array" ref="BD122">$G$13+VLOOKUP($Q122,武学奇术!$A:$ZZ,14,FALSE)+SUM(_xlfn.XLOOKUP(R122:AF122,增益!$A:$A,增益!$N:$N,0))</f>
        <v>0</v>
      </c>
      <c r="BE122">
        <f t="shared" si="18"/>
        <v>605.472</v>
      </c>
      <c r="BF122">
        <f t="shared" si="19"/>
        <v>1725.468</v>
      </c>
      <c r="BG122" s="33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0</v>
      </c>
      <c r="BH122" s="33" cm="1">
        <f t="array" ref="BH122">$G$14+VLOOKUP($Q122,武学奇术!$A:$ZZ,16,FALSE)+SUM(_xlfn.XLOOKUP(R122:AF122,增益!$A:$A,增益!$P:$P,0))</f>
        <v>0.15</v>
      </c>
      <c r="BI122" s="27">
        <f>MIN(IF(VLOOKUP($Q122,武学奇术!$A:$ZZ,23,FALSE)=1,100%,$B$8),100%)</f>
        <v>1</v>
      </c>
      <c r="BJ122" s="27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+MIN(IF(VLOOKUP($Q122,武学奇术!$A:$ZZ,32,FALSE)=1,IF(VLOOKUP($Q122,武学奇术!$A:$ZZ,24,FALSE)=1,100%,MIN(40%,$B$10+VLOOKUP($Q122,武学奇术!$A:$ZZ,19,FALSE)+SUM(_xlfn.XLOOKUP(R122:AF122,增益!$A:$A,增益!$S:$S,0)))+$B$12+SUM(_xlfn.XLOOKUP(R122:AF122,增益!$A:$A,增益!$V:$V,0))),0),12%)</f>
        <v>0.9036</v>
      </c>
      <c r="BK122" s="27" cm="1">
        <f t="array" ref="BK122">1+$B$13+VLOOKUP($Q122,武学奇术!$A:$ZZ,18,FALSE)+SUM(_xlfn.XLOOKUP(R122:AF122,增益!$A:$A,增益!$R:$R,0))</f>
        <v>1.54</v>
      </c>
      <c r="BL122" s="27" cm="1">
        <f t="array" ref="BL122">MAX(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-IF(VLOOKUP($Q122,武学奇术!$A:$ZZ,32,FALSE)=1,12%,0),0)</f>
        <v>0.0929</v>
      </c>
      <c r="BM122" s="27" cm="1">
        <f t="array" ref="BM122">1+$B$14+VLOOKUP($Q122,武学奇术!$A:$ZZ,20,FALSE)+SUM(_xlfn.XLOOKUP(R122:AF122,增益!$A:$A,增益!$T:$T,0))</f>
        <v>1.35</v>
      </c>
      <c r="BN122" s="27">
        <f t="shared" si="20"/>
        <v>0.9036</v>
      </c>
      <c r="BO122" s="27">
        <f t="shared" si="21"/>
        <v>0.00350000000000006</v>
      </c>
      <c r="BP122" s="27">
        <f>IF(VLOOKUP($Q122,武学奇术!$A:$ZZ,22,FALSE)=1,0,(1-$BI122))*(1-$BL122)</f>
        <v>0</v>
      </c>
      <c r="BQ122" s="27" cm="1">
        <f t="array" ref="BQ122">SUM(_xlfn.XLOOKUP(R122:AF122,增益!$A:$A,增益!$W:$W,0))+$I$5</f>
        <v>0.11</v>
      </c>
    </row>
    <row r="123" spans="11:69">
      <c r="K123" s="39">
        <f t="shared" si="11"/>
        <v>0</v>
      </c>
      <c r="L123" s="39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BK123*$P123*(1+IF(VLOOKUP($Q123,武学奇术!$A:$ZZ,30,FALSE)="蓄力技",$B$21,0))*(1+$BQ123)</f>
        <v>0</v>
      </c>
      <c r="M123" s="39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蓄力技",$B$21,0))*(1+$BQ123)</f>
        <v>0</v>
      </c>
      <c r="N123" s="39">
        <f>((($AN123+($AO123-$AN123)*IF(VLOOKUP($Q123,武学奇术!$A:$ZZ,31,FALSE)=1,$F$18,0.5))*$AH123+$AI123)*(1+$AP123)*(1+$AQ123)+(($AS123+($AT123-$AS123)*IF(VLOOKUP($Q123,武学奇术!$A:$ZZ,31,FALSE)=1,$F$18,0.5))*IF($G$1="鸣金",$AJ123,$AH123)+IF($G$1="鸣金",$AK123*1.5,0))*(1+$AU123)*(1+$AV123)+(($AW123+($AX123-$AW123)*IF(VLOOKUP($Q123,武学奇术!$A:$ZZ,31,FALSE)=1,$F$18,0.5))*IF($G$1="裂石",$AJ123,$AH123)+IF($G$1="裂石",$AK123*1.5,0))*(1+$AY123)*(1+$AZ123)+(($BA123+($BB123-$BA123)*IF(VLOOKUP($Q123,武学奇术!$A:$ZZ,31,FALSE)=1,$F$18,0.5))*IF($G$1="牵丝",$AJ123,$AH123)+IF($G$1="牵丝",$AK123*1.5,0))*(1+$BC123)*(1+$BD123)+(($BE123+($BF123-$BE123)*IF(VLOOKUP($Q123,武学奇术!$A:$ZZ,31,FALSE)=1,$F$18,0.5))*IF($G$1="破竹",$AJ123,$AH123)+IF($G$1="破竹",$AK123*1.5,0))*(1+$BG123)*(1+$BH123))*(1+$AL123)*$P123*(1+IF(VLOOKUP($Q123,武学奇术!$A:$ZZ,30,FALSE)="蓄力技",$B$21,0))*(1+$BQ123)</f>
        <v>0</v>
      </c>
      <c r="O123" s="39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蓄力技",$B$21,0))*(1+$BQ123)</f>
        <v>0</v>
      </c>
      <c r="P123" s="40">
        <v>1</v>
      </c>
      <c r="Q123" s="41" t="s">
        <v>73</v>
      </c>
      <c r="R123" s="41" t="s">
        <v>73</v>
      </c>
      <c r="S123" s="41" t="s">
        <v>73</v>
      </c>
      <c r="T123" s="41" t="s">
        <v>73</v>
      </c>
      <c r="U123" s="41" t="s">
        <v>73</v>
      </c>
      <c r="V123" s="41" t="s">
        <v>73</v>
      </c>
      <c r="W123" s="41" t="s">
        <v>73</v>
      </c>
      <c r="X123" s="41" t="s">
        <v>73</v>
      </c>
      <c r="Y123" s="41" t="s">
        <v>73</v>
      </c>
      <c r="Z123" s="41" t="s">
        <v>73</v>
      </c>
      <c r="AA123" s="41" t="s">
        <v>73</v>
      </c>
      <c r="AB123" s="41" t="s">
        <v>73</v>
      </c>
      <c r="AC123" s="41" t="s">
        <v>73</v>
      </c>
      <c r="AD123" s="41" t="s">
        <v>73</v>
      </c>
      <c r="AE123" s="41" t="s">
        <v>77</v>
      </c>
      <c r="AF123" s="41" t="s">
        <v>73</v>
      </c>
      <c r="AG123" t="str">
        <f>VLOOKUP($Q123,武学奇术!$A:$ZZ,25,FALSE)</f>
        <v>心法</v>
      </c>
      <c r="AH123" s="27">
        <f>VLOOKUP($Q123,武学奇术!$A:$ZZ,26,FALSE)</f>
        <v>0</v>
      </c>
      <c r="AI123" s="28">
        <f>VLOOKUP($Q123,武学奇术!$A:$ZZ,27,FALSE)*(1+IF(OR($AG123=$F$4,$AG123=$F$5),$B$22,0))</f>
        <v>0</v>
      </c>
      <c r="AJ123" s="27">
        <f>VLOOKUP($Q123,武学奇术!$A:$ZZ,28,FALSE)</f>
        <v>0</v>
      </c>
      <c r="AK123" s="28">
        <f>VLOOKUP($Q123,武学奇术!$A:$ZZ,29,FALSE)*(1+IF(OR($AG123=$F$4,$AG123=$F$5),$B$22,0))</f>
        <v>0</v>
      </c>
      <c r="AL123" s="27" cm="1">
        <f t="array" ref="AL123">$G$3+IFERROR(VLOOKUP($AG123,$F$4:$G$7,2,FALSE),0)+VLOOKUP($Q123,武学奇术!$A:$ZZ,2,FALSE)+SUM(_xlfn.XLOOKUP($R123:$AF123,增益!$A:$A,增益!$B:$B,0))</f>
        <v>0.1037</v>
      </c>
      <c r="AM123" s="27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3826.382</v>
      </c>
      <c r="AO123" cm="1">
        <f t="array" ref="AO123">$E$10*(1+$AM123)+VLOOKUP($Q123,武学奇术!$A:$ZZ,4,FALSE)+SUM(_xlfn.XLOOKUP($R123:$AF123,增益!$A:$A,增益!$D:$D,0))-$I$2</f>
        <v>3826.382</v>
      </c>
      <c r="AP123" s="33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0.167</v>
      </c>
      <c r="AQ123" s="33" cm="1">
        <f t="array" ref="AQ123">$G$10+VLOOKUP($Q123,武学奇术!$A:$ZZ,7,FALSE)+SUM(_xlfn.XLOOKUP(R123:AF123,增益!$A:$A,增益!$G:$G,0))</f>
        <v>0</v>
      </c>
      <c r="AR123" s="27" cm="1">
        <f t="array" ref="AR123">VLOOKUP($Q123,武学奇术!$A:$ZZ,8,FALSE)+SUM(_xlfn.XLOOKUP(R123:AF123,增益!$A:$A,增益!$H:$H,0))</f>
        <v>0</v>
      </c>
      <c r="AS123">
        <f t="shared" si="12"/>
        <v>0</v>
      </c>
      <c r="AT123">
        <f t="shared" si="13"/>
        <v>0</v>
      </c>
      <c r="AU123" s="33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-0.3</v>
      </c>
      <c r="AV123" s="33" cm="1">
        <f t="array" ref="AV123">$G$11+VLOOKUP($Q123,武学奇术!$A:$ZZ,10,FALSE)+SUM(_xlfn.XLOOKUP(R123:AF123,增益!$A:$A,增益!$J:$J,0))</f>
        <v>0</v>
      </c>
      <c r="AW123">
        <f t="shared" si="14"/>
        <v>0</v>
      </c>
      <c r="AX123">
        <f t="shared" si="15"/>
        <v>0</v>
      </c>
      <c r="AY123" s="33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-0.3</v>
      </c>
      <c r="AZ123" s="33" cm="1">
        <f t="array" ref="AZ123">$G$12+VLOOKUP($Q123,武学奇术!$A:$ZZ,12,FALSE)+SUM(_xlfn.XLOOKUP(R123:AF123,增益!$A:$A,增益!$L:$L,0))</f>
        <v>0</v>
      </c>
      <c r="BA123">
        <f t="shared" si="16"/>
        <v>0</v>
      </c>
      <c r="BB123">
        <f t="shared" si="17"/>
        <v>0</v>
      </c>
      <c r="BC123" s="33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-0.3</v>
      </c>
      <c r="BD123" s="33" cm="1">
        <f t="array" ref="BD123">$G$13+VLOOKUP($Q123,武学奇术!$A:$ZZ,14,FALSE)+SUM(_xlfn.XLOOKUP(R123:AF123,增益!$A:$A,增益!$N:$N,0))</f>
        <v>0</v>
      </c>
      <c r="BE123">
        <f t="shared" si="18"/>
        <v>605.472</v>
      </c>
      <c r="BF123">
        <f t="shared" si="19"/>
        <v>1725.468</v>
      </c>
      <c r="BG123" s="33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0</v>
      </c>
      <c r="BH123" s="33" cm="1">
        <f t="array" ref="BH123">$G$14+VLOOKUP($Q123,武学奇术!$A:$ZZ,16,FALSE)+SUM(_xlfn.XLOOKUP(R123:AF123,增益!$A:$A,增益!$P:$P,0))</f>
        <v>0.15</v>
      </c>
      <c r="BI123" s="27">
        <f>MIN(IF(VLOOKUP($Q123,武学奇术!$A:$ZZ,23,FALSE)=1,100%,$B$8),100%)</f>
        <v>1</v>
      </c>
      <c r="BJ123" s="27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+MIN(IF(VLOOKUP($Q123,武学奇术!$A:$ZZ,32,FALSE)=1,IF(VLOOKUP($Q123,武学奇术!$A:$ZZ,24,FALSE)=1,100%,MIN(40%,$B$10+VLOOKUP($Q123,武学奇术!$A:$ZZ,19,FALSE)+SUM(_xlfn.XLOOKUP(R123:AF123,增益!$A:$A,增益!$S:$S,0)))+$B$12+SUM(_xlfn.XLOOKUP(R123:AF123,增益!$A:$A,增益!$V:$V,0))),0),12%)</f>
        <v>0.9036</v>
      </c>
      <c r="BK123" s="27" cm="1">
        <f t="array" ref="BK123">1+$B$13+VLOOKUP($Q123,武学奇术!$A:$ZZ,18,FALSE)+SUM(_xlfn.XLOOKUP(R123:AF123,增益!$A:$A,增益!$R:$R,0))</f>
        <v>1.54</v>
      </c>
      <c r="BL123" s="27" cm="1">
        <f t="array" ref="BL123">MAX(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-IF(VLOOKUP($Q123,武学奇术!$A:$ZZ,32,FALSE)=1,12%,0),0)</f>
        <v>0.0929</v>
      </c>
      <c r="BM123" s="27" cm="1">
        <f t="array" ref="BM123">1+$B$14+VLOOKUP($Q123,武学奇术!$A:$ZZ,20,FALSE)+SUM(_xlfn.XLOOKUP(R123:AF123,增益!$A:$A,增益!$T:$T,0))</f>
        <v>1.35</v>
      </c>
      <c r="BN123" s="27">
        <f t="shared" si="20"/>
        <v>0.9036</v>
      </c>
      <c r="BO123" s="27">
        <f t="shared" si="21"/>
        <v>0.00350000000000006</v>
      </c>
      <c r="BP123" s="27">
        <f>IF(VLOOKUP($Q123,武学奇术!$A:$ZZ,22,FALSE)=1,0,(1-$BI123))*(1-$BL123)</f>
        <v>0</v>
      </c>
      <c r="BQ123" s="27" cm="1">
        <f t="array" ref="BQ123">SUM(_xlfn.XLOOKUP(R123:AF123,增益!$A:$A,增益!$W:$W,0))+$I$5</f>
        <v>0.11</v>
      </c>
    </row>
    <row r="124" spans="11:69">
      <c r="K124" s="39">
        <f t="shared" si="11"/>
        <v>0</v>
      </c>
      <c r="L124" s="39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BK124*$P124*(1+IF(VLOOKUP($Q124,武学奇术!$A:$ZZ,30,FALSE)="蓄力技",$B$21,0))*(1+$BQ124)</f>
        <v>0</v>
      </c>
      <c r="M124" s="39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蓄力技",$B$21,0))*(1+$BQ124)</f>
        <v>0</v>
      </c>
      <c r="N124" s="39">
        <f>((($AN124+($AO124-$AN124)*IF(VLOOKUP($Q124,武学奇术!$A:$ZZ,31,FALSE)=1,$F$18,0.5))*$AH124+$AI124)*(1+$AP124)*(1+$AQ124)+(($AS124+($AT124-$AS124)*IF(VLOOKUP($Q124,武学奇术!$A:$ZZ,31,FALSE)=1,$F$18,0.5))*IF($G$1="鸣金",$AJ124,$AH124)+IF($G$1="鸣金",$AK124*1.5,0))*(1+$AU124)*(1+$AV124)+(($AW124+($AX124-$AW124)*IF(VLOOKUP($Q124,武学奇术!$A:$ZZ,31,FALSE)=1,$F$18,0.5))*IF($G$1="裂石",$AJ124,$AH124)+IF($G$1="裂石",$AK124*1.5,0))*(1+$AY124)*(1+$AZ124)+(($BA124+($BB124-$BA124)*IF(VLOOKUP($Q124,武学奇术!$A:$ZZ,31,FALSE)=1,$F$18,0.5))*IF($G$1="牵丝",$AJ124,$AH124)+IF($G$1="牵丝",$AK124*1.5,0))*(1+$BC124)*(1+$BD124)+(($BE124+($BF124-$BE124)*IF(VLOOKUP($Q124,武学奇术!$A:$ZZ,31,FALSE)=1,$F$18,0.5))*IF($G$1="破竹",$AJ124,$AH124)+IF($G$1="破竹",$AK124*1.5,0))*(1+$BG124)*(1+$BH124))*(1+$AL124)*$P124*(1+IF(VLOOKUP($Q124,武学奇术!$A:$ZZ,30,FALSE)="蓄力技",$B$21,0))*(1+$BQ124)</f>
        <v>0</v>
      </c>
      <c r="O124" s="39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蓄力技",$B$21,0))*(1+$BQ124)</f>
        <v>0</v>
      </c>
      <c r="P124" s="40">
        <v>1</v>
      </c>
      <c r="Q124" s="41" t="s">
        <v>73</v>
      </c>
      <c r="R124" s="41" t="s">
        <v>73</v>
      </c>
      <c r="S124" s="41" t="s">
        <v>73</v>
      </c>
      <c r="T124" s="41" t="s">
        <v>73</v>
      </c>
      <c r="U124" s="41" t="s">
        <v>73</v>
      </c>
      <c r="V124" s="41" t="s">
        <v>73</v>
      </c>
      <c r="W124" s="41" t="s">
        <v>73</v>
      </c>
      <c r="X124" s="41" t="s">
        <v>73</v>
      </c>
      <c r="Y124" s="41" t="s">
        <v>73</v>
      </c>
      <c r="Z124" s="41" t="s">
        <v>73</v>
      </c>
      <c r="AA124" s="41" t="s">
        <v>73</v>
      </c>
      <c r="AB124" s="41" t="s">
        <v>73</v>
      </c>
      <c r="AC124" s="41" t="s">
        <v>73</v>
      </c>
      <c r="AD124" s="41" t="s">
        <v>73</v>
      </c>
      <c r="AE124" s="41" t="s">
        <v>77</v>
      </c>
      <c r="AF124" s="41" t="s">
        <v>73</v>
      </c>
      <c r="AG124" t="str">
        <f>VLOOKUP($Q124,武学奇术!$A:$ZZ,25,FALSE)</f>
        <v>心法</v>
      </c>
      <c r="AH124" s="27">
        <f>VLOOKUP($Q124,武学奇术!$A:$ZZ,26,FALSE)</f>
        <v>0</v>
      </c>
      <c r="AI124" s="28">
        <f>VLOOKUP($Q124,武学奇术!$A:$ZZ,27,FALSE)*(1+IF(OR($AG124=$F$4,$AG124=$F$5),$B$22,0))</f>
        <v>0</v>
      </c>
      <c r="AJ124" s="27">
        <f>VLOOKUP($Q124,武学奇术!$A:$ZZ,28,FALSE)</f>
        <v>0</v>
      </c>
      <c r="AK124" s="28">
        <f>VLOOKUP($Q124,武学奇术!$A:$ZZ,29,FALSE)*(1+IF(OR($AG124=$F$4,$AG124=$F$5),$B$22,0))</f>
        <v>0</v>
      </c>
      <c r="AL124" s="27" cm="1">
        <f t="array" ref="AL124">$G$3+IFERROR(VLOOKUP($AG124,$F$4:$G$7,2,FALSE),0)+VLOOKUP($Q124,武学奇术!$A:$ZZ,2,FALSE)+SUM(_xlfn.XLOOKUP($R124:$AF124,增益!$A:$A,增益!$B:$B,0))</f>
        <v>0.1037</v>
      </c>
      <c r="AM124" s="27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3826.382</v>
      </c>
      <c r="AO124" cm="1">
        <f t="array" ref="AO124">$E$10*(1+$AM124)+VLOOKUP($Q124,武学奇术!$A:$ZZ,4,FALSE)+SUM(_xlfn.XLOOKUP($R124:$AF124,增益!$A:$A,增益!$D:$D,0))-$I$2</f>
        <v>3826.382</v>
      </c>
      <c r="AP124" s="33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0.167</v>
      </c>
      <c r="AQ124" s="33" cm="1">
        <f t="array" ref="AQ124">$G$10+VLOOKUP($Q124,武学奇术!$A:$ZZ,7,FALSE)+SUM(_xlfn.XLOOKUP(R124:AF124,增益!$A:$A,增益!$G:$G,0))</f>
        <v>0</v>
      </c>
      <c r="AR124" s="27" cm="1">
        <f t="array" ref="AR124">VLOOKUP($Q124,武学奇术!$A:$ZZ,8,FALSE)+SUM(_xlfn.XLOOKUP(R124:AF124,增益!$A:$A,增益!$H:$H,0))</f>
        <v>0</v>
      </c>
      <c r="AS124">
        <f t="shared" si="12"/>
        <v>0</v>
      </c>
      <c r="AT124">
        <f t="shared" si="13"/>
        <v>0</v>
      </c>
      <c r="AU124" s="33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-0.3</v>
      </c>
      <c r="AV124" s="33" cm="1">
        <f t="array" ref="AV124">$G$11+VLOOKUP($Q124,武学奇术!$A:$ZZ,10,FALSE)+SUM(_xlfn.XLOOKUP(R124:AF124,增益!$A:$A,增益!$J:$J,0))</f>
        <v>0</v>
      </c>
      <c r="AW124">
        <f t="shared" si="14"/>
        <v>0</v>
      </c>
      <c r="AX124">
        <f t="shared" si="15"/>
        <v>0</v>
      </c>
      <c r="AY124" s="33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-0.3</v>
      </c>
      <c r="AZ124" s="33" cm="1">
        <f t="array" ref="AZ124">$G$12+VLOOKUP($Q124,武学奇术!$A:$ZZ,12,FALSE)+SUM(_xlfn.XLOOKUP(R124:AF124,增益!$A:$A,增益!$L:$L,0))</f>
        <v>0</v>
      </c>
      <c r="BA124">
        <f t="shared" si="16"/>
        <v>0</v>
      </c>
      <c r="BB124">
        <f t="shared" si="17"/>
        <v>0</v>
      </c>
      <c r="BC124" s="33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-0.3</v>
      </c>
      <c r="BD124" s="33" cm="1">
        <f t="array" ref="BD124">$G$13+VLOOKUP($Q124,武学奇术!$A:$ZZ,14,FALSE)+SUM(_xlfn.XLOOKUP(R124:AF124,增益!$A:$A,增益!$N:$N,0))</f>
        <v>0</v>
      </c>
      <c r="BE124">
        <f t="shared" si="18"/>
        <v>605.472</v>
      </c>
      <c r="BF124">
        <f t="shared" si="19"/>
        <v>1725.468</v>
      </c>
      <c r="BG124" s="33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0</v>
      </c>
      <c r="BH124" s="33" cm="1">
        <f t="array" ref="BH124">$G$14+VLOOKUP($Q124,武学奇术!$A:$ZZ,16,FALSE)+SUM(_xlfn.XLOOKUP(R124:AF124,增益!$A:$A,增益!$P:$P,0))</f>
        <v>0.15</v>
      </c>
      <c r="BI124" s="27">
        <f>MIN(IF(VLOOKUP($Q124,武学奇术!$A:$ZZ,23,FALSE)=1,100%,$B$8),100%)</f>
        <v>1</v>
      </c>
      <c r="BJ124" s="27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+MIN(IF(VLOOKUP($Q124,武学奇术!$A:$ZZ,32,FALSE)=1,IF(VLOOKUP($Q124,武学奇术!$A:$ZZ,24,FALSE)=1,100%,MIN(40%,$B$10+VLOOKUP($Q124,武学奇术!$A:$ZZ,19,FALSE)+SUM(_xlfn.XLOOKUP(R124:AF124,增益!$A:$A,增益!$S:$S,0)))+$B$12+SUM(_xlfn.XLOOKUP(R124:AF124,增益!$A:$A,增益!$V:$V,0))),0),12%)</f>
        <v>0.9036</v>
      </c>
      <c r="BK124" s="27" cm="1">
        <f t="array" ref="BK124">1+$B$13+VLOOKUP($Q124,武学奇术!$A:$ZZ,18,FALSE)+SUM(_xlfn.XLOOKUP(R124:AF124,增益!$A:$A,增益!$R:$R,0))</f>
        <v>1.54</v>
      </c>
      <c r="BL124" s="27" cm="1">
        <f t="array" ref="BL124">MAX(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-IF(VLOOKUP($Q124,武学奇术!$A:$ZZ,32,FALSE)=1,12%,0),0)</f>
        <v>0.0929</v>
      </c>
      <c r="BM124" s="27" cm="1">
        <f t="array" ref="BM124">1+$B$14+VLOOKUP($Q124,武学奇术!$A:$ZZ,20,FALSE)+SUM(_xlfn.XLOOKUP(R124:AF124,增益!$A:$A,增益!$T:$T,0))</f>
        <v>1.35</v>
      </c>
      <c r="BN124" s="27">
        <f t="shared" si="20"/>
        <v>0.9036</v>
      </c>
      <c r="BO124" s="27">
        <f t="shared" si="21"/>
        <v>0.00350000000000006</v>
      </c>
      <c r="BP124" s="27">
        <f>IF(VLOOKUP($Q124,武学奇术!$A:$ZZ,22,FALSE)=1,0,(1-$BI124))*(1-$BL124)</f>
        <v>0</v>
      </c>
      <c r="BQ124" s="27" cm="1">
        <f t="array" ref="BQ124">SUM(_xlfn.XLOOKUP(R124:AF124,增益!$A:$A,增益!$W:$W,0))+$I$5</f>
        <v>0.11</v>
      </c>
    </row>
    <row r="125" spans="11:69">
      <c r="K125" s="39">
        <f t="shared" si="11"/>
        <v>0</v>
      </c>
      <c r="L125" s="39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BK125*$P125*(1+IF(VLOOKUP($Q125,武学奇术!$A:$ZZ,30,FALSE)="蓄力技",$B$21,0))*(1+$BQ125)</f>
        <v>0</v>
      </c>
      <c r="M125" s="39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蓄力技",$B$21,0))*(1+$BQ125)</f>
        <v>0</v>
      </c>
      <c r="N125" s="39">
        <f>((($AN125+($AO125-$AN125)*IF(VLOOKUP($Q125,武学奇术!$A:$ZZ,31,FALSE)=1,$F$18,0.5))*$AH125+$AI125)*(1+$AP125)*(1+$AQ125)+(($AS125+($AT125-$AS125)*IF(VLOOKUP($Q125,武学奇术!$A:$ZZ,31,FALSE)=1,$F$18,0.5))*IF($G$1="鸣金",$AJ125,$AH125)+IF($G$1="鸣金",$AK125*1.5,0))*(1+$AU125)*(1+$AV125)+(($AW125+($AX125-$AW125)*IF(VLOOKUP($Q125,武学奇术!$A:$ZZ,31,FALSE)=1,$F$18,0.5))*IF($G$1="裂石",$AJ125,$AH125)+IF($G$1="裂石",$AK125*1.5,0))*(1+$AY125)*(1+$AZ125)+(($BA125+($BB125-$BA125)*IF(VLOOKUP($Q125,武学奇术!$A:$ZZ,31,FALSE)=1,$F$18,0.5))*IF($G$1="牵丝",$AJ125,$AH125)+IF($G$1="牵丝",$AK125*1.5,0))*(1+$BC125)*(1+$BD125)+(($BE125+($BF125-$BE125)*IF(VLOOKUP($Q125,武学奇术!$A:$ZZ,31,FALSE)=1,$F$18,0.5))*IF($G$1="破竹",$AJ125,$AH125)+IF($G$1="破竹",$AK125*1.5,0))*(1+$BG125)*(1+$BH125))*(1+$AL125)*$P125*(1+IF(VLOOKUP($Q125,武学奇术!$A:$ZZ,30,FALSE)="蓄力技",$B$21,0))*(1+$BQ125)</f>
        <v>0</v>
      </c>
      <c r="O125" s="39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蓄力技",$B$21,0))*(1+$BQ125)</f>
        <v>0</v>
      </c>
      <c r="P125" s="40">
        <v>1</v>
      </c>
      <c r="Q125" s="41" t="s">
        <v>73</v>
      </c>
      <c r="R125" s="41" t="s">
        <v>73</v>
      </c>
      <c r="S125" s="41" t="s">
        <v>73</v>
      </c>
      <c r="T125" s="41" t="s">
        <v>73</v>
      </c>
      <c r="U125" s="41" t="s">
        <v>73</v>
      </c>
      <c r="V125" s="41" t="s">
        <v>73</v>
      </c>
      <c r="W125" s="41" t="s">
        <v>73</v>
      </c>
      <c r="X125" s="41" t="s">
        <v>73</v>
      </c>
      <c r="Y125" s="41" t="s">
        <v>73</v>
      </c>
      <c r="Z125" s="41" t="s">
        <v>73</v>
      </c>
      <c r="AA125" s="41" t="s">
        <v>73</v>
      </c>
      <c r="AB125" s="41" t="s">
        <v>73</v>
      </c>
      <c r="AC125" s="41" t="s">
        <v>73</v>
      </c>
      <c r="AD125" s="41" t="s">
        <v>73</v>
      </c>
      <c r="AE125" s="41" t="s">
        <v>77</v>
      </c>
      <c r="AF125" s="41" t="s">
        <v>73</v>
      </c>
      <c r="AG125" t="str">
        <f>VLOOKUP($Q125,武学奇术!$A:$ZZ,25,FALSE)</f>
        <v>心法</v>
      </c>
      <c r="AH125" s="27">
        <f>VLOOKUP($Q125,武学奇术!$A:$ZZ,26,FALSE)</f>
        <v>0</v>
      </c>
      <c r="AI125" s="28">
        <f>VLOOKUP($Q125,武学奇术!$A:$ZZ,27,FALSE)*(1+IF(OR($AG125=$F$4,$AG125=$F$5),$B$22,0))</f>
        <v>0</v>
      </c>
      <c r="AJ125" s="27">
        <f>VLOOKUP($Q125,武学奇术!$A:$ZZ,28,FALSE)</f>
        <v>0</v>
      </c>
      <c r="AK125" s="28">
        <f>VLOOKUP($Q125,武学奇术!$A:$ZZ,29,FALSE)*(1+IF(OR($AG125=$F$4,$AG125=$F$5),$B$22,0))</f>
        <v>0</v>
      </c>
      <c r="AL125" s="27" cm="1">
        <f t="array" ref="AL125">$G$3+IFERROR(VLOOKUP($AG125,$F$4:$G$7,2,FALSE),0)+VLOOKUP($Q125,武学奇术!$A:$ZZ,2,FALSE)+SUM(_xlfn.XLOOKUP($R125:$AF125,增益!$A:$A,增益!$B:$B,0))</f>
        <v>0.1037</v>
      </c>
      <c r="AM125" s="27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3826.382</v>
      </c>
      <c r="AO125" cm="1">
        <f t="array" ref="AO125">$E$10*(1+$AM125)+VLOOKUP($Q125,武学奇术!$A:$ZZ,4,FALSE)+SUM(_xlfn.XLOOKUP($R125:$AF125,增益!$A:$A,增益!$D:$D,0))-$I$2</f>
        <v>3826.382</v>
      </c>
      <c r="AP125" s="33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0.167</v>
      </c>
      <c r="AQ125" s="33" cm="1">
        <f t="array" ref="AQ125">$G$10+VLOOKUP($Q125,武学奇术!$A:$ZZ,7,FALSE)+SUM(_xlfn.XLOOKUP(R125:AF125,增益!$A:$A,增益!$G:$G,0))</f>
        <v>0</v>
      </c>
      <c r="AR125" s="27" cm="1">
        <f t="array" ref="AR125">VLOOKUP($Q125,武学奇术!$A:$ZZ,8,FALSE)+SUM(_xlfn.XLOOKUP(R125:AF125,增益!$A:$A,增益!$H:$H,0))</f>
        <v>0</v>
      </c>
      <c r="AS125">
        <f t="shared" si="12"/>
        <v>0</v>
      </c>
      <c r="AT125">
        <f t="shared" si="13"/>
        <v>0</v>
      </c>
      <c r="AU125" s="33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-0.3</v>
      </c>
      <c r="AV125" s="33" cm="1">
        <f t="array" ref="AV125">$G$11+VLOOKUP($Q125,武学奇术!$A:$ZZ,10,FALSE)+SUM(_xlfn.XLOOKUP(R125:AF125,增益!$A:$A,增益!$J:$J,0))</f>
        <v>0</v>
      </c>
      <c r="AW125">
        <f t="shared" si="14"/>
        <v>0</v>
      </c>
      <c r="AX125">
        <f t="shared" si="15"/>
        <v>0</v>
      </c>
      <c r="AY125" s="33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-0.3</v>
      </c>
      <c r="AZ125" s="33" cm="1">
        <f t="array" ref="AZ125">$G$12+VLOOKUP($Q125,武学奇术!$A:$ZZ,12,FALSE)+SUM(_xlfn.XLOOKUP(R125:AF125,增益!$A:$A,增益!$L:$L,0))</f>
        <v>0</v>
      </c>
      <c r="BA125">
        <f t="shared" si="16"/>
        <v>0</v>
      </c>
      <c r="BB125">
        <f t="shared" si="17"/>
        <v>0</v>
      </c>
      <c r="BC125" s="33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-0.3</v>
      </c>
      <c r="BD125" s="33" cm="1">
        <f t="array" ref="BD125">$G$13+VLOOKUP($Q125,武学奇术!$A:$ZZ,14,FALSE)+SUM(_xlfn.XLOOKUP(R125:AF125,增益!$A:$A,增益!$N:$N,0))</f>
        <v>0</v>
      </c>
      <c r="BE125">
        <f t="shared" si="18"/>
        <v>605.472</v>
      </c>
      <c r="BF125">
        <f t="shared" si="19"/>
        <v>1725.468</v>
      </c>
      <c r="BG125" s="33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0</v>
      </c>
      <c r="BH125" s="33" cm="1">
        <f t="array" ref="BH125">$G$14+VLOOKUP($Q125,武学奇术!$A:$ZZ,16,FALSE)+SUM(_xlfn.XLOOKUP(R125:AF125,增益!$A:$A,增益!$P:$P,0))</f>
        <v>0.15</v>
      </c>
      <c r="BI125" s="27">
        <f>MIN(IF(VLOOKUP($Q125,武学奇术!$A:$ZZ,23,FALSE)=1,100%,$B$8),100%)</f>
        <v>1</v>
      </c>
      <c r="BJ125" s="27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+MIN(IF(VLOOKUP($Q125,武学奇术!$A:$ZZ,32,FALSE)=1,IF(VLOOKUP($Q125,武学奇术!$A:$ZZ,24,FALSE)=1,100%,MIN(40%,$B$10+VLOOKUP($Q125,武学奇术!$A:$ZZ,19,FALSE)+SUM(_xlfn.XLOOKUP(R125:AF125,增益!$A:$A,增益!$S:$S,0)))+$B$12+SUM(_xlfn.XLOOKUP(R125:AF125,增益!$A:$A,增益!$V:$V,0))),0),12%)</f>
        <v>0.9036</v>
      </c>
      <c r="BK125" s="27" cm="1">
        <f t="array" ref="BK125">1+$B$13+VLOOKUP($Q125,武学奇术!$A:$ZZ,18,FALSE)+SUM(_xlfn.XLOOKUP(R125:AF125,增益!$A:$A,增益!$R:$R,0))</f>
        <v>1.54</v>
      </c>
      <c r="BL125" s="27" cm="1">
        <f t="array" ref="BL125">MAX(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-IF(VLOOKUP($Q125,武学奇术!$A:$ZZ,32,FALSE)=1,12%,0),0)</f>
        <v>0.0929</v>
      </c>
      <c r="BM125" s="27" cm="1">
        <f t="array" ref="BM125">1+$B$14+VLOOKUP($Q125,武学奇术!$A:$ZZ,20,FALSE)+SUM(_xlfn.XLOOKUP(R125:AF125,增益!$A:$A,增益!$T:$T,0))</f>
        <v>1.35</v>
      </c>
      <c r="BN125" s="27">
        <f t="shared" si="20"/>
        <v>0.9036</v>
      </c>
      <c r="BO125" s="27">
        <f t="shared" si="21"/>
        <v>0.00350000000000006</v>
      </c>
      <c r="BP125" s="27">
        <f>IF(VLOOKUP($Q125,武学奇术!$A:$ZZ,22,FALSE)=1,0,(1-$BI125))*(1-$BL125)</f>
        <v>0</v>
      </c>
      <c r="BQ125" s="27" cm="1">
        <f t="array" ref="BQ125">SUM(_xlfn.XLOOKUP(R125:AF125,增益!$A:$A,增益!$W:$W,0))+$I$5</f>
        <v>0.11</v>
      </c>
    </row>
    <row r="126" spans="11:69">
      <c r="K126" s="39">
        <f t="shared" si="11"/>
        <v>0</v>
      </c>
      <c r="L126" s="39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BK126*$P126*(1+IF(VLOOKUP($Q126,武学奇术!$A:$ZZ,30,FALSE)="蓄力技",$B$21,0))*(1+$BQ126)</f>
        <v>0</v>
      </c>
      <c r="M126" s="39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蓄力技",$B$21,0))*(1+$BQ126)</f>
        <v>0</v>
      </c>
      <c r="N126" s="39">
        <f>((($AN126+($AO126-$AN126)*IF(VLOOKUP($Q126,武学奇术!$A:$ZZ,31,FALSE)=1,$F$18,0.5))*$AH126+$AI126)*(1+$AP126)*(1+$AQ126)+(($AS126+($AT126-$AS126)*IF(VLOOKUP($Q126,武学奇术!$A:$ZZ,31,FALSE)=1,$F$18,0.5))*IF($G$1="鸣金",$AJ126,$AH126)+IF($G$1="鸣金",$AK126*1.5,0))*(1+$AU126)*(1+$AV126)+(($AW126+($AX126-$AW126)*IF(VLOOKUP($Q126,武学奇术!$A:$ZZ,31,FALSE)=1,$F$18,0.5))*IF($G$1="裂石",$AJ126,$AH126)+IF($G$1="裂石",$AK126*1.5,0))*(1+$AY126)*(1+$AZ126)+(($BA126+($BB126-$BA126)*IF(VLOOKUP($Q126,武学奇术!$A:$ZZ,31,FALSE)=1,$F$18,0.5))*IF($G$1="牵丝",$AJ126,$AH126)+IF($G$1="牵丝",$AK126*1.5,0))*(1+$BC126)*(1+$BD126)+(($BE126+($BF126-$BE126)*IF(VLOOKUP($Q126,武学奇术!$A:$ZZ,31,FALSE)=1,$F$18,0.5))*IF($G$1="破竹",$AJ126,$AH126)+IF($G$1="破竹",$AK126*1.5,0))*(1+$BG126)*(1+$BH126))*(1+$AL126)*$P126*(1+IF(VLOOKUP($Q126,武学奇术!$A:$ZZ,30,FALSE)="蓄力技",$B$21,0))*(1+$BQ126)</f>
        <v>0</v>
      </c>
      <c r="O126" s="39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蓄力技",$B$21,0))*(1+$BQ126)</f>
        <v>0</v>
      </c>
      <c r="P126" s="40">
        <v>1</v>
      </c>
      <c r="Q126" s="41" t="s">
        <v>73</v>
      </c>
      <c r="R126" s="41" t="s">
        <v>73</v>
      </c>
      <c r="S126" s="41" t="s">
        <v>73</v>
      </c>
      <c r="T126" s="41" t="s">
        <v>73</v>
      </c>
      <c r="U126" s="41" t="s">
        <v>73</v>
      </c>
      <c r="V126" s="41" t="s">
        <v>73</v>
      </c>
      <c r="W126" s="41" t="s">
        <v>73</v>
      </c>
      <c r="X126" s="41" t="s">
        <v>73</v>
      </c>
      <c r="Y126" s="41" t="s">
        <v>73</v>
      </c>
      <c r="Z126" s="41" t="s">
        <v>73</v>
      </c>
      <c r="AA126" s="41" t="s">
        <v>73</v>
      </c>
      <c r="AB126" s="41" t="s">
        <v>73</v>
      </c>
      <c r="AC126" s="41" t="s">
        <v>73</v>
      </c>
      <c r="AD126" s="41" t="s">
        <v>73</v>
      </c>
      <c r="AE126" s="41" t="s">
        <v>77</v>
      </c>
      <c r="AF126" s="41" t="s">
        <v>73</v>
      </c>
      <c r="AG126" t="str">
        <f>VLOOKUP($Q126,武学奇术!$A:$ZZ,25,FALSE)</f>
        <v>心法</v>
      </c>
      <c r="AH126" s="27">
        <f>VLOOKUP($Q126,武学奇术!$A:$ZZ,26,FALSE)</f>
        <v>0</v>
      </c>
      <c r="AI126" s="28">
        <f>VLOOKUP($Q126,武学奇术!$A:$ZZ,27,FALSE)*(1+IF(OR($AG126=$F$4,$AG126=$F$5),$B$22,0))</f>
        <v>0</v>
      </c>
      <c r="AJ126" s="27">
        <f>VLOOKUP($Q126,武学奇术!$A:$ZZ,28,FALSE)</f>
        <v>0</v>
      </c>
      <c r="AK126" s="28">
        <f>VLOOKUP($Q126,武学奇术!$A:$ZZ,29,FALSE)*(1+IF(OR($AG126=$F$4,$AG126=$F$5),$B$22,0))</f>
        <v>0</v>
      </c>
      <c r="AL126" s="27" cm="1">
        <f t="array" ref="AL126">$G$3+IFERROR(VLOOKUP($AG126,$F$4:$G$7,2,FALSE),0)+VLOOKUP($Q126,武学奇术!$A:$ZZ,2,FALSE)+SUM(_xlfn.XLOOKUP($R126:$AF126,增益!$A:$A,增益!$B:$B,0))</f>
        <v>0.1037</v>
      </c>
      <c r="AM126" s="27" cm="1">
        <f t="array" ref="AM126">VLOOKUP($Q126,武学奇术!$A:$ZZ,5,FALSE)+SUM(_xlfn.XLOOKUP($R126:$AF126,增益!$A:$A,增益!$E:$E,0))</f>
        <v>0</v>
      </c>
      <c r="AN126" cm="1">
        <f t="array" ref="AN126">$D$10*(1+$AM126)+VLOOKUP($Q126,武学奇术!$A:$ZZ,3,FALSE)+SUM(_xlfn.XLOOKUP($R126:$AF126,增益!$A:$A,增益!$C:$C,0))-$I$2</f>
        <v>3826.382</v>
      </c>
      <c r="AO126" cm="1">
        <f t="array" ref="AO126">$E$10*(1+$AM126)+VLOOKUP($Q126,武学奇术!$A:$ZZ,4,FALSE)+SUM(_xlfn.XLOOKUP($R126:$AF126,增益!$A:$A,增益!$D:$D,0))-$I$2</f>
        <v>3826.382</v>
      </c>
      <c r="AP126" s="33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0.167</v>
      </c>
      <c r="AQ126" s="33" cm="1">
        <f t="array" ref="AQ126">$G$10+VLOOKUP($Q126,武学奇术!$A:$ZZ,7,FALSE)+SUM(_xlfn.XLOOKUP(R126:AF126,增益!$A:$A,增益!$G:$G,0))</f>
        <v>0</v>
      </c>
      <c r="AR126" s="27" cm="1">
        <f t="array" ref="AR126">VLOOKUP($Q126,武学奇术!$A:$ZZ,8,FALSE)+SUM(_xlfn.XLOOKUP(R126:AF126,增益!$A:$A,增益!$H:$H,0))</f>
        <v>0</v>
      </c>
      <c r="AS126">
        <f t="shared" si="12"/>
        <v>0</v>
      </c>
      <c r="AT126">
        <f t="shared" si="13"/>
        <v>0</v>
      </c>
      <c r="AU126" s="33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-0.3</v>
      </c>
      <c r="AV126" s="33" cm="1">
        <f t="array" ref="AV126">$G$11+VLOOKUP($Q126,武学奇术!$A:$ZZ,10,FALSE)+SUM(_xlfn.XLOOKUP(R126:AF126,增益!$A:$A,增益!$J:$J,0))</f>
        <v>0</v>
      </c>
      <c r="AW126">
        <f t="shared" si="14"/>
        <v>0</v>
      </c>
      <c r="AX126">
        <f t="shared" si="15"/>
        <v>0</v>
      </c>
      <c r="AY126" s="33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-0.3</v>
      </c>
      <c r="AZ126" s="33" cm="1">
        <f t="array" ref="AZ126">$G$12+VLOOKUP($Q126,武学奇术!$A:$ZZ,12,FALSE)+SUM(_xlfn.XLOOKUP(R126:AF126,增益!$A:$A,增益!$L:$L,0))</f>
        <v>0</v>
      </c>
      <c r="BA126">
        <f t="shared" si="16"/>
        <v>0</v>
      </c>
      <c r="BB126">
        <f t="shared" si="17"/>
        <v>0</v>
      </c>
      <c r="BC126" s="33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-0.3</v>
      </c>
      <c r="BD126" s="33" cm="1">
        <f t="array" ref="BD126">$G$13+VLOOKUP($Q126,武学奇术!$A:$ZZ,14,FALSE)+SUM(_xlfn.XLOOKUP(R126:AF126,增益!$A:$A,增益!$N:$N,0))</f>
        <v>0</v>
      </c>
      <c r="BE126">
        <f t="shared" si="18"/>
        <v>605.472</v>
      </c>
      <c r="BF126">
        <f t="shared" si="19"/>
        <v>1725.468</v>
      </c>
      <c r="BG126" s="33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0</v>
      </c>
      <c r="BH126" s="33" cm="1">
        <f t="array" ref="BH126">$G$14+VLOOKUP($Q126,武学奇术!$A:$ZZ,16,FALSE)+SUM(_xlfn.XLOOKUP(R126:AF126,增益!$A:$A,增益!$P:$P,0))</f>
        <v>0.15</v>
      </c>
      <c r="BI126" s="27">
        <f>MIN(IF(VLOOKUP($Q126,武学奇术!$A:$ZZ,23,FALSE)=1,100%,$B$8),100%)</f>
        <v>1</v>
      </c>
      <c r="BJ126" s="27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+MIN(IF(VLOOKUP($Q126,武学奇术!$A:$ZZ,32,FALSE)=1,IF(VLOOKUP($Q126,武学奇术!$A:$ZZ,24,FALSE)=1,100%,MIN(40%,$B$10+VLOOKUP($Q126,武学奇术!$A:$ZZ,19,FALSE)+SUM(_xlfn.XLOOKUP(R126:AF126,增益!$A:$A,增益!$S:$S,0)))+$B$12+SUM(_xlfn.XLOOKUP(R126:AF126,增益!$A:$A,增益!$V:$V,0))),0),12%)</f>
        <v>0.9036</v>
      </c>
      <c r="BK126" s="27" cm="1">
        <f t="array" ref="BK126">1+$B$13+VLOOKUP($Q126,武学奇术!$A:$ZZ,18,FALSE)+SUM(_xlfn.XLOOKUP(R126:AF126,增益!$A:$A,增益!$R:$R,0))</f>
        <v>1.54</v>
      </c>
      <c r="BL126" s="27" cm="1">
        <f t="array" ref="BL126">MAX(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-IF(VLOOKUP($Q126,武学奇术!$A:$ZZ,32,FALSE)=1,12%,0),0)</f>
        <v>0.0929</v>
      </c>
      <c r="BM126" s="27" cm="1">
        <f t="array" ref="BM126">1+$B$14+VLOOKUP($Q126,武学奇术!$A:$ZZ,20,FALSE)+SUM(_xlfn.XLOOKUP(R126:AF126,增益!$A:$A,增益!$T:$T,0))</f>
        <v>1.35</v>
      </c>
      <c r="BN126" s="27">
        <f t="shared" si="20"/>
        <v>0.9036</v>
      </c>
      <c r="BO126" s="27">
        <f t="shared" si="21"/>
        <v>0.00350000000000006</v>
      </c>
      <c r="BP126" s="27">
        <f>IF(VLOOKUP($Q126,武学奇术!$A:$ZZ,22,FALSE)=1,0,(1-$BI126))*(1-$BL126)</f>
        <v>0</v>
      </c>
      <c r="BQ126" s="27" cm="1">
        <f t="array" ref="BQ126">SUM(_xlfn.XLOOKUP(R126:AF126,增益!$A:$A,增益!$W:$W,0))+$I$5</f>
        <v>0.11</v>
      </c>
    </row>
    <row r="127" spans="11:69">
      <c r="K127" s="39">
        <f t="shared" si="11"/>
        <v>16384.6762375661</v>
      </c>
      <c r="L127" s="39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BK127*$P127*(1+IF(VLOOKUP($Q127,武学奇术!$A:$ZZ,30,FALSE)="蓄力技",$B$21,0))*(1+$BQ127)</f>
        <v>16698.1488545263</v>
      </c>
      <c r="M127" s="39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蓄力技",$B$21,0))*(1+$BQ127)</f>
        <v>13607.288567233</v>
      </c>
      <c r="N127" s="39">
        <f>((($AN127+($AO127-$AN127)*IF(VLOOKUP($Q127,武学奇术!$A:$ZZ,31,FALSE)=1,$F$18,0.5))*$AH127+$AI127)*(1+$AP127)*(1+$AQ127)+(($AS127+($AT127-$AS127)*IF(VLOOKUP($Q127,武学奇术!$A:$ZZ,31,FALSE)=1,$F$18,0.5))*IF($G$1="鸣金",$AJ127,$AH127)+IF($G$1="鸣金",$AK127*1.5,0))*(1+$AU127)*(1+$AV127)+(($AW127+($AX127-$AW127)*IF(VLOOKUP($Q127,武学奇术!$A:$ZZ,31,FALSE)=1,$F$18,0.5))*IF($G$1="裂石",$AJ127,$AH127)+IF($G$1="裂石",$AK127*1.5,0))*(1+$AY127)*(1+$AZ127)+(($BA127+($BB127-$BA127)*IF(VLOOKUP($Q127,武学奇术!$A:$ZZ,31,FALSE)=1,$F$18,0.5))*IF($G$1="牵丝",$AJ127,$AH127)+IF($G$1="牵丝",$AK127*1.5,0))*(1+$BC127)*(1+$BD127)+(($BE127+($BF127-$BE127)*IF(VLOOKUP($Q127,武学奇术!$A:$ZZ,31,FALSE)=1,$F$18,0.5))*IF($G$1="破竹",$AJ127,$AH127)+IF($G$1="破竹",$AK127*1.5,0))*(1+$BG127)*(1+$BH127))*(1+$AL127)*$P127*(1+IF(VLOOKUP($Q127,武学奇术!$A:$ZZ,30,FALSE)="蓄力技",$B$21,0))*(1+$BQ127)</f>
        <v>9174.80706292652</v>
      </c>
      <c r="O127" s="39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蓄力技",$B$21,0))*(1+$BQ127)</f>
        <v>8270.14111308788</v>
      </c>
      <c r="P127" s="40">
        <f>IF($E$24="易水歌",1,0)</f>
        <v>1</v>
      </c>
      <c r="Q127" s="41" t="s">
        <v>193</v>
      </c>
      <c r="R127" s="41" t="s">
        <v>97</v>
      </c>
      <c r="S127" s="41" t="s">
        <v>132</v>
      </c>
      <c r="T127" s="41" t="s">
        <v>73</v>
      </c>
      <c r="U127" s="41" t="s">
        <v>74</v>
      </c>
      <c r="V127" s="41" t="s">
        <v>73</v>
      </c>
      <c r="W127" s="41" t="s">
        <v>73</v>
      </c>
      <c r="X127" s="41" t="s">
        <v>89</v>
      </c>
      <c r="Y127" s="41" t="s">
        <v>73</v>
      </c>
      <c r="Z127" s="41" t="s">
        <v>73</v>
      </c>
      <c r="AA127" s="41" t="s">
        <v>73</v>
      </c>
      <c r="AB127" s="41" t="s">
        <v>73</v>
      </c>
      <c r="AC127" s="41" t="s">
        <v>73</v>
      </c>
      <c r="AD127" s="41" t="s">
        <v>73</v>
      </c>
      <c r="AE127" s="41" t="s">
        <v>77</v>
      </c>
      <c r="AF127" s="41" t="s">
        <v>78</v>
      </c>
      <c r="AG127" t="str">
        <f>VLOOKUP($Q127,武学奇术!$A:$ZZ,25,FALSE)</f>
        <v>心法</v>
      </c>
      <c r="AH127" s="27">
        <f>VLOOKUP($Q127,武学奇术!$A:$ZZ,26,FALSE)</f>
        <v>1</v>
      </c>
      <c r="AI127" s="28">
        <f>VLOOKUP($Q127,武学奇术!$A:$ZZ,27,FALSE)*(1+IF(OR($AG127=$F$4,$AG127=$F$5),$B$22,0))</f>
        <v>0</v>
      </c>
      <c r="AJ127" s="27">
        <f>VLOOKUP($Q127,武学奇术!$A:$ZZ,28,FALSE)</f>
        <v>1</v>
      </c>
      <c r="AK127" s="28">
        <f>VLOOKUP($Q127,武学奇术!$A:$ZZ,29,FALSE)*(1+IF(OR($AG127=$F$4,$AG127=$F$5),$B$22,0))</f>
        <v>0</v>
      </c>
      <c r="AL127" s="27" cm="1">
        <f t="array" ref="AL127">$G$3+IFERROR(VLOOKUP($AG127,$F$4:$G$7,2,FALSE),0)+VLOOKUP($Q127,武学奇术!$A:$ZZ,2,FALSE)+SUM(_xlfn.XLOOKUP($R127:$AF127,增益!$A:$A,增益!$B:$B,0))</f>
        <v>0.1737</v>
      </c>
      <c r="AM127" s="27" cm="1">
        <f t="array" ref="AM127">VLOOKUP($Q127,武学奇术!$A:$ZZ,5,FALSE)+SUM(_xlfn.XLOOKUP($R127:$AF127,增益!$A:$A,增益!$E:$E,0))</f>
        <v>0</v>
      </c>
      <c r="AN127" cm="1">
        <f t="array" ref="AN127">$D$10*(1+$AM127)+VLOOKUP($Q127,武学奇术!$A:$ZZ,3,FALSE)+SUM(_xlfn.XLOOKUP($R127:$AF127,增益!$A:$A,增益!$C:$C,0))-$I$2</f>
        <v>3826.382</v>
      </c>
      <c r="AO127" cm="1">
        <f t="array" ref="AO127">$E$10*(1+$AM127)+VLOOKUP($Q127,武学奇术!$A:$ZZ,4,FALSE)+SUM(_xlfn.XLOOKUP($R127:$AF127,增益!$A:$A,增益!$D:$D,0))-$I$2</f>
        <v>3826.382</v>
      </c>
      <c r="AP127" s="33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0.342</v>
      </c>
      <c r="AQ127" s="33" cm="1">
        <f t="array" ref="AQ127">$G$10+VLOOKUP($Q127,武学奇术!$A:$ZZ,7,FALSE)+SUM(_xlfn.XLOOKUP(R127:AF127,增益!$A:$A,增益!$G:$G,0))</f>
        <v>0.09</v>
      </c>
      <c r="AR127" s="27" cm="1">
        <f t="array" ref="AR127">VLOOKUP($Q127,武学奇术!$A:$ZZ,8,FALSE)+SUM(_xlfn.XLOOKUP(R127:AF127,增益!$A:$A,增益!$H:$H,0))</f>
        <v>0</v>
      </c>
      <c r="AS127">
        <f t="shared" si="12"/>
        <v>0</v>
      </c>
      <c r="AT127">
        <f t="shared" si="13"/>
        <v>0</v>
      </c>
      <c r="AU127" s="33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-0.3</v>
      </c>
      <c r="AV127" s="33" cm="1">
        <f t="array" ref="AV127">$G$11+VLOOKUP($Q127,武学奇术!$A:$ZZ,10,FALSE)+SUM(_xlfn.XLOOKUP(R127:AF127,增益!$A:$A,增益!$J:$J,0))</f>
        <v>0</v>
      </c>
      <c r="AW127">
        <f t="shared" si="14"/>
        <v>0</v>
      </c>
      <c r="AX127">
        <f t="shared" si="15"/>
        <v>0</v>
      </c>
      <c r="AY127" s="33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-0.3</v>
      </c>
      <c r="AZ127" s="33" cm="1">
        <f t="array" ref="AZ127">$G$12+VLOOKUP($Q127,武学奇术!$A:$ZZ,12,FALSE)+SUM(_xlfn.XLOOKUP(R127:AF127,增益!$A:$A,增益!$L:$L,0))</f>
        <v>0</v>
      </c>
      <c r="BA127">
        <f t="shared" si="16"/>
        <v>0</v>
      </c>
      <c r="BB127">
        <f t="shared" si="17"/>
        <v>0</v>
      </c>
      <c r="BC127" s="33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-0.3</v>
      </c>
      <c r="BD127" s="33" cm="1">
        <f t="array" ref="BD127">$G$13+VLOOKUP($Q127,武学奇术!$A:$ZZ,14,FALSE)+SUM(_xlfn.XLOOKUP(R127:AF127,增益!$A:$A,增益!$N:$N,0))</f>
        <v>0</v>
      </c>
      <c r="BE127">
        <f t="shared" si="18"/>
        <v>605.472</v>
      </c>
      <c r="BF127">
        <f t="shared" si="19"/>
        <v>1725.468</v>
      </c>
      <c r="BG127" s="33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0</v>
      </c>
      <c r="BH127" s="33" cm="1">
        <f t="array" ref="BH127">$G$14+VLOOKUP($Q127,武学奇术!$A:$ZZ,16,FALSE)+SUM(_xlfn.XLOOKUP(R127:AF127,增益!$A:$A,增益!$P:$P,0))</f>
        <v>0.24</v>
      </c>
      <c r="BI127" s="27">
        <f>MIN(IF(VLOOKUP($Q127,武学奇术!$A:$ZZ,23,FALSE)=1,100%,$B$8),100%)</f>
        <v>1</v>
      </c>
      <c r="BJ127" s="27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+MIN(IF(VLOOKUP($Q127,武学奇术!$A:$ZZ,32,FALSE)=1,IF(VLOOKUP($Q127,武学奇术!$A:$ZZ,24,FALSE)=1,100%,MIN(40%,$B$10+VLOOKUP($Q127,武学奇术!$A:$ZZ,19,FALSE)+SUM(_xlfn.XLOOKUP(R127:AF127,增益!$A:$A,增益!$S:$S,0)))+$B$12+SUM(_xlfn.XLOOKUP(R127:AF127,增益!$A:$A,增益!$V:$V,0))),0),12%)</f>
        <v>0.9036</v>
      </c>
      <c r="BK127" s="27" cm="1">
        <f t="array" ref="BK127">1+$B$13+VLOOKUP($Q127,武学奇术!$A:$ZZ,18,FALSE)+SUM(_xlfn.XLOOKUP(R127:AF127,增益!$A:$A,增益!$R:$R,0))</f>
        <v>1.82</v>
      </c>
      <c r="BL127" s="27" cm="1">
        <f t="array" ref="BL127">MAX(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-IF(VLOOKUP($Q127,武学奇术!$A:$ZZ,32,FALSE)=1,12%,0),0)</f>
        <v>0.0929</v>
      </c>
      <c r="BM127" s="27" cm="1">
        <f t="array" ref="BM127">1+$B$14+VLOOKUP($Q127,武学奇术!$A:$ZZ,20,FALSE)+SUM(_xlfn.XLOOKUP(R127:AF127,增益!$A:$A,增益!$T:$T,0))</f>
        <v>1.35</v>
      </c>
      <c r="BN127" s="27">
        <f t="shared" si="20"/>
        <v>0.9036</v>
      </c>
      <c r="BO127" s="27">
        <f t="shared" si="21"/>
        <v>0.00350000000000006</v>
      </c>
      <c r="BP127" s="27">
        <f>IF(VLOOKUP($Q127,武学奇术!$A:$ZZ,22,FALSE)=1,0,(1-$BI127))*(1-$BL127)</f>
        <v>0</v>
      </c>
      <c r="BQ127" s="27" cm="1">
        <f t="array" ref="BQ127">SUM(_xlfn.XLOOKUP(R127:AF127,增益!$A:$A,增益!$W:$W,0))+$I$5</f>
        <v>0.11</v>
      </c>
    </row>
    <row r="128" spans="11:69">
      <c r="K128" s="39">
        <f t="shared" si="11"/>
        <v>13336.8261614714</v>
      </c>
      <c r="L128" s="39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BK128*$P128*(1+IF(VLOOKUP($Q128,武学奇术!$A:$ZZ,30,FALSE)="蓄力技",$B$21,0))*(1+$BQ128)</f>
        <v>13444.8357935756</v>
      </c>
      <c r="M128" s="39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蓄力技",$B$21,0))*(1+$BQ128)</f>
        <v>12474.1080139662</v>
      </c>
      <c r="N128" s="39">
        <f>((($AN128+($AO128-$AN128)*IF(VLOOKUP($Q128,武学奇术!$A:$ZZ,31,FALSE)=1,$F$18,0.5))*$AH128+$AI128)*(1+$AP128)*(1+$AQ128)+(($AS128+($AT128-$AS128)*IF(VLOOKUP($Q128,武学奇术!$A:$ZZ,31,FALSE)=1,$F$18,0.5))*IF($G$1="鸣金",$AJ128,$AH128)+IF($G$1="鸣金",$AK128*1.5,0))*(1+$AU128)*(1+$AV128)+(($AW128+($AX128-$AW128)*IF(VLOOKUP($Q128,武学奇术!$A:$ZZ,31,FALSE)=1,$F$18,0.5))*IF($G$1="裂石",$AJ128,$AH128)+IF($G$1="裂石",$AK128*1.5,0))*(1+$AY128)*(1+$AZ128)+(($BA128+($BB128-$BA128)*IF(VLOOKUP($Q128,武学奇术!$A:$ZZ,31,FALSE)=1,$F$18,0.5))*IF($G$1="牵丝",$AJ128,$AH128)+IF($G$1="牵丝",$AK128*1.5,0))*(1+$BC128)*(1+$BD128)+(($BE128+($BF128-$BE128)*IF(VLOOKUP($Q128,武学奇术!$A:$ZZ,31,FALSE)=1,$F$18,0.5))*IF($G$1="破竹",$AJ128,$AH128)+IF($G$1="破竹",$AK128*1.5,0))*(1+$BG128)*(1+$BH128))*(1+$AL128)*$P128*(1+IF(VLOOKUP($Q128,武学奇术!$A:$ZZ,30,FALSE)="蓄力技",$B$21,0))*(1+$BQ128)</f>
        <v>8350.82968545068</v>
      </c>
      <c r="O128" s="39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蓄力技",$B$21,0))*(1+$BQ128)</f>
        <v>7461.57936055604</v>
      </c>
      <c r="P128" s="40">
        <f t="shared" ref="P128:P136" si="22">IF($E$24="易水歌",1,0)</f>
        <v>1</v>
      </c>
      <c r="Q128" s="41" t="s">
        <v>193</v>
      </c>
      <c r="R128" s="41" t="s">
        <v>97</v>
      </c>
      <c r="S128" s="41" t="s">
        <v>73</v>
      </c>
      <c r="T128" s="41" t="s">
        <v>73</v>
      </c>
      <c r="U128" s="41" t="s">
        <v>73</v>
      </c>
      <c r="V128" s="41" t="s">
        <v>73</v>
      </c>
      <c r="W128" s="41" t="s">
        <v>73</v>
      </c>
      <c r="X128" s="41" t="s">
        <v>156</v>
      </c>
      <c r="Y128" s="41" t="s">
        <v>73</v>
      </c>
      <c r="Z128" s="41" t="s">
        <v>73</v>
      </c>
      <c r="AA128" s="41" t="s">
        <v>73</v>
      </c>
      <c r="AB128" s="41" t="s">
        <v>73</v>
      </c>
      <c r="AC128" s="41" t="s">
        <v>73</v>
      </c>
      <c r="AD128" s="41" t="s">
        <v>73</v>
      </c>
      <c r="AE128" s="41" t="s">
        <v>77</v>
      </c>
      <c r="AF128" s="41" t="s">
        <v>78</v>
      </c>
      <c r="AG128" t="str">
        <f>VLOOKUP($Q128,武学奇术!$A:$ZZ,25,FALSE)</f>
        <v>心法</v>
      </c>
      <c r="AH128" s="27">
        <f>VLOOKUP($Q128,武学奇术!$A:$ZZ,26,FALSE)</f>
        <v>1</v>
      </c>
      <c r="AI128" s="28">
        <f>VLOOKUP($Q128,武学奇术!$A:$ZZ,27,FALSE)*(1+IF(OR($AG128=$F$4,$AG128=$F$5),$B$22,0))</f>
        <v>0</v>
      </c>
      <c r="AJ128" s="27">
        <f>VLOOKUP($Q128,武学奇术!$A:$ZZ,28,FALSE)</f>
        <v>1</v>
      </c>
      <c r="AK128" s="28">
        <f>VLOOKUP($Q128,武学奇术!$A:$ZZ,29,FALSE)*(1+IF(OR($AG128=$F$4,$AG128=$F$5),$B$22,0))</f>
        <v>0</v>
      </c>
      <c r="AL128" s="27" cm="1">
        <f t="array" ref="AL128">$G$3+IFERROR(VLOOKUP($AG128,$F$4:$G$7,2,FALSE),0)+VLOOKUP($Q128,武学奇术!$A:$ZZ,2,FALSE)+SUM(_xlfn.XLOOKUP($R128:$AF128,增益!$A:$A,增益!$B:$B,0))</f>
        <v>0.1537</v>
      </c>
      <c r="AM128" s="27" cm="1">
        <f t="array" ref="AM128">VLOOKUP($Q128,武学奇术!$A:$ZZ,5,FALSE)+SUM(_xlfn.XLOOKUP($R128:$AF128,增益!$A:$A,增益!$E:$E,0))</f>
        <v>0</v>
      </c>
      <c r="AN128" cm="1">
        <f t="array" ref="AN128">$D$10*(1+$AM128)+VLOOKUP($Q128,武学奇术!$A:$ZZ,3,FALSE)+SUM(_xlfn.XLOOKUP($R128:$AF128,增益!$A:$A,增益!$C:$C,0))-$I$2</f>
        <v>3826.382</v>
      </c>
      <c r="AO128" cm="1">
        <f t="array" ref="AO128">$E$10*(1+$AM128)+VLOOKUP($Q128,武学奇术!$A:$ZZ,4,FALSE)+SUM(_xlfn.XLOOKUP($R128:$AF128,增益!$A:$A,增益!$D:$D,0))-$I$2</f>
        <v>3826.382</v>
      </c>
      <c r="AP128" s="33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0.217</v>
      </c>
      <c r="AQ128" s="33" cm="1">
        <f t="array" ref="AQ128">$G$10+VLOOKUP($Q128,武学奇术!$A:$ZZ,7,FALSE)+SUM(_xlfn.XLOOKUP(R128:AF128,增益!$A:$A,增益!$G:$G,0))</f>
        <v>0.09</v>
      </c>
      <c r="AR128" s="27" cm="1">
        <f t="array" ref="AR128">VLOOKUP($Q128,武学奇术!$A:$ZZ,8,FALSE)+SUM(_xlfn.XLOOKUP(R128:AF128,增益!$A:$A,增益!$H:$H,0))</f>
        <v>0</v>
      </c>
      <c r="AS128">
        <f t="shared" si="12"/>
        <v>0</v>
      </c>
      <c r="AT128">
        <f t="shared" si="13"/>
        <v>0</v>
      </c>
      <c r="AU128" s="33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-0.3</v>
      </c>
      <c r="AV128" s="33" cm="1">
        <f t="array" ref="AV128">$G$11+VLOOKUP($Q128,武学奇术!$A:$ZZ,10,FALSE)+SUM(_xlfn.XLOOKUP(R128:AF128,增益!$A:$A,增益!$J:$J,0))</f>
        <v>0</v>
      </c>
      <c r="AW128">
        <f t="shared" si="14"/>
        <v>0</v>
      </c>
      <c r="AX128">
        <f t="shared" si="15"/>
        <v>0</v>
      </c>
      <c r="AY128" s="33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-0.3</v>
      </c>
      <c r="AZ128" s="33" cm="1">
        <f t="array" ref="AZ128">$G$12+VLOOKUP($Q128,武学奇术!$A:$ZZ,12,FALSE)+SUM(_xlfn.XLOOKUP(R128:AF128,增益!$A:$A,增益!$L:$L,0))</f>
        <v>0</v>
      </c>
      <c r="BA128">
        <f t="shared" si="16"/>
        <v>0</v>
      </c>
      <c r="BB128">
        <f t="shared" si="17"/>
        <v>0</v>
      </c>
      <c r="BC128" s="33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-0.3</v>
      </c>
      <c r="BD128" s="33" cm="1">
        <f t="array" ref="BD128">$G$13+VLOOKUP($Q128,武学奇术!$A:$ZZ,14,FALSE)+SUM(_xlfn.XLOOKUP(R128:AF128,增益!$A:$A,增益!$N:$N,0))</f>
        <v>0</v>
      </c>
      <c r="BE128">
        <f t="shared" si="18"/>
        <v>605.472</v>
      </c>
      <c r="BF128">
        <f t="shared" si="19"/>
        <v>1725.468</v>
      </c>
      <c r="BG128" s="33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0</v>
      </c>
      <c r="BH128" s="33" cm="1">
        <f t="array" ref="BH128">$G$14+VLOOKUP($Q128,武学奇术!$A:$ZZ,16,FALSE)+SUM(_xlfn.XLOOKUP(R128:AF128,增益!$A:$A,增益!$P:$P,0))</f>
        <v>0.24</v>
      </c>
      <c r="BI128" s="27">
        <f>MIN(IF(VLOOKUP($Q128,武学奇术!$A:$ZZ,23,FALSE)=1,100%,$B$8),100%)</f>
        <v>1</v>
      </c>
      <c r="BJ128" s="27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+MIN(IF(VLOOKUP($Q128,武学奇术!$A:$ZZ,32,FALSE)=1,IF(VLOOKUP($Q128,武学奇术!$A:$ZZ,24,FALSE)=1,100%,MIN(40%,$B$10+VLOOKUP($Q128,武学奇术!$A:$ZZ,19,FALSE)+SUM(_xlfn.XLOOKUP(R128:AF128,增益!$A:$A,增益!$S:$S,0)))+$B$12+SUM(_xlfn.XLOOKUP(R128:AF128,增益!$A:$A,增益!$V:$V,0))),0),12%)</f>
        <v>0.9036</v>
      </c>
      <c r="BK128" s="27" cm="1">
        <f t="array" ref="BK128">1+$B$13+VLOOKUP($Q128,武学奇术!$A:$ZZ,18,FALSE)+SUM(_xlfn.XLOOKUP(R128:AF128,增益!$A:$A,增益!$R:$R,0))</f>
        <v>1.61</v>
      </c>
      <c r="BL128" s="27" cm="1">
        <f t="array" ref="BL128">MAX(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-IF(VLOOKUP($Q128,武学奇术!$A:$ZZ,32,FALSE)=1,12%,0),0)</f>
        <v>0.0929</v>
      </c>
      <c r="BM128" s="27" cm="1">
        <f t="array" ref="BM128">1+$B$14+VLOOKUP($Q128,武学奇术!$A:$ZZ,20,FALSE)+SUM(_xlfn.XLOOKUP(R128:AF128,增益!$A:$A,增益!$T:$T,0))</f>
        <v>1.35</v>
      </c>
      <c r="BN128" s="27">
        <f t="shared" si="20"/>
        <v>0.9036</v>
      </c>
      <c r="BO128" s="27">
        <f t="shared" si="21"/>
        <v>0.00350000000000006</v>
      </c>
      <c r="BP128" s="27">
        <f>IF(VLOOKUP($Q128,武学奇术!$A:$ZZ,22,FALSE)=1,0,(1-$BI128))*(1-$BL128)</f>
        <v>0</v>
      </c>
      <c r="BQ128" s="27" cm="1">
        <f t="array" ref="BQ128">SUM(_xlfn.XLOOKUP(R128:AF128,增益!$A:$A,增益!$W:$W,0))+$I$5</f>
        <v>0.11</v>
      </c>
    </row>
    <row r="129" spans="11:69">
      <c r="K129" s="39">
        <f t="shared" si="11"/>
        <v>13563.2004525846</v>
      </c>
      <c r="L129" s="39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BK129*$P129*(1+IF(VLOOKUP($Q129,武学奇术!$A:$ZZ,30,FALSE)="蓄力技",$B$21,0))*(1+$BQ129)</f>
        <v>13695.3606841391</v>
      </c>
      <c r="M129" s="39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蓄力技",$B$21,0))*(1+$BQ129)</f>
        <v>12474.1080139662</v>
      </c>
      <c r="N129" s="39">
        <f>((($AN129+($AO129-$AN129)*IF(VLOOKUP($Q129,武学奇术!$A:$ZZ,31,FALSE)=1,$F$18,0.5))*$AH129+$AI129)*(1+$AP129)*(1+$AQ129)+(($AS129+($AT129-$AS129)*IF(VLOOKUP($Q129,武学奇术!$A:$ZZ,31,FALSE)=1,$F$18,0.5))*IF($G$1="鸣金",$AJ129,$AH129)+IF($G$1="鸣金",$AK129*1.5,0))*(1+$AU129)*(1+$AV129)+(($AW129+($AX129-$AW129)*IF(VLOOKUP($Q129,武学奇术!$A:$ZZ,31,FALSE)=1,$F$18,0.5))*IF($G$1="裂石",$AJ129,$AH129)+IF($G$1="裂石",$AK129*1.5,0))*(1+$AY129)*(1+$AZ129)+(($BA129+($BB129-$BA129)*IF(VLOOKUP($Q129,武学奇术!$A:$ZZ,31,FALSE)=1,$F$18,0.5))*IF($G$1="牵丝",$AJ129,$AH129)+IF($G$1="牵丝",$AK129*1.5,0))*(1+$BC129)*(1+$BD129)+(($BE129+($BF129-$BE129)*IF(VLOOKUP($Q129,武学奇术!$A:$ZZ,31,FALSE)=1,$F$18,0.5))*IF($G$1="破竹",$AJ129,$AH129)+IF($G$1="破竹",$AK129*1.5,0))*(1+$BG129)*(1+$BH129))*(1+$AL129)*$P129*(1+IF(VLOOKUP($Q129,武学奇术!$A:$ZZ,30,FALSE)="蓄力技",$B$21,0))*(1+$BQ129)</f>
        <v>8350.82968545068</v>
      </c>
      <c r="O129" s="39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蓄力技",$B$21,0))*(1+$BQ129)</f>
        <v>7461.57936055604</v>
      </c>
      <c r="P129" s="40">
        <f t="shared" si="22"/>
        <v>1</v>
      </c>
      <c r="Q129" s="41" t="s">
        <v>193</v>
      </c>
      <c r="R129" s="41" t="s">
        <v>97</v>
      </c>
      <c r="S129" s="41" t="s">
        <v>73</v>
      </c>
      <c r="T129" s="41" t="s">
        <v>73</v>
      </c>
      <c r="U129" s="41" t="s">
        <v>73</v>
      </c>
      <c r="V129" s="41" t="s">
        <v>73</v>
      </c>
      <c r="W129" s="41" t="s">
        <v>73</v>
      </c>
      <c r="X129" s="41" t="s">
        <v>164</v>
      </c>
      <c r="Y129" s="41" t="s">
        <v>73</v>
      </c>
      <c r="Z129" s="41" t="s">
        <v>73</v>
      </c>
      <c r="AA129" s="41" t="s">
        <v>73</v>
      </c>
      <c r="AB129" s="41" t="s">
        <v>73</v>
      </c>
      <c r="AC129" s="41" t="s">
        <v>73</v>
      </c>
      <c r="AD129" s="41" t="s">
        <v>73</v>
      </c>
      <c r="AE129" s="41" t="s">
        <v>77</v>
      </c>
      <c r="AF129" s="41" t="s">
        <v>78</v>
      </c>
      <c r="AG129" t="str">
        <f>VLOOKUP($Q129,武学奇术!$A:$ZZ,25,FALSE)</f>
        <v>心法</v>
      </c>
      <c r="AH129" s="27">
        <f>VLOOKUP($Q129,武学奇术!$A:$ZZ,26,FALSE)</f>
        <v>1</v>
      </c>
      <c r="AI129" s="28">
        <f>VLOOKUP($Q129,武学奇术!$A:$ZZ,27,FALSE)*(1+IF(OR($AG129=$F$4,$AG129=$F$5),$B$22,0))</f>
        <v>0</v>
      </c>
      <c r="AJ129" s="27">
        <f>VLOOKUP($Q129,武学奇术!$A:$ZZ,28,FALSE)</f>
        <v>1</v>
      </c>
      <c r="AK129" s="28">
        <f>VLOOKUP($Q129,武学奇术!$A:$ZZ,29,FALSE)*(1+IF(OR($AG129=$F$4,$AG129=$F$5),$B$22,0))</f>
        <v>0</v>
      </c>
      <c r="AL129" s="27" cm="1">
        <f t="array" ref="AL129">$G$3+IFERROR(VLOOKUP($AG129,$F$4:$G$7,2,FALSE),0)+VLOOKUP($Q129,武学奇术!$A:$ZZ,2,FALSE)+SUM(_xlfn.XLOOKUP($R129:$AF129,增益!$A:$A,增益!$B:$B,0))</f>
        <v>0.1537</v>
      </c>
      <c r="AM129" s="27" cm="1">
        <f t="array" ref="AM129">VLOOKUP($Q129,武学奇术!$A:$ZZ,5,FALSE)+SUM(_xlfn.XLOOKUP($R129:$AF129,增益!$A:$A,增益!$E:$E,0))</f>
        <v>0</v>
      </c>
      <c r="AN129" cm="1">
        <f t="array" ref="AN129">$D$10*(1+$AM129)+VLOOKUP($Q129,武学奇术!$A:$ZZ,3,FALSE)+SUM(_xlfn.XLOOKUP($R129:$AF129,增益!$A:$A,增益!$C:$C,0))-$I$2</f>
        <v>3826.382</v>
      </c>
      <c r="AO129" cm="1">
        <f t="array" ref="AO129">$E$10*(1+$AM129)+VLOOKUP($Q129,武学奇术!$A:$ZZ,4,FALSE)+SUM(_xlfn.XLOOKUP($R129:$AF129,增益!$A:$A,增益!$D:$D,0))-$I$2</f>
        <v>3826.382</v>
      </c>
      <c r="AP129" s="33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0.217</v>
      </c>
      <c r="AQ129" s="33" cm="1">
        <f t="array" ref="AQ129">$G$10+VLOOKUP($Q129,武学奇术!$A:$ZZ,7,FALSE)+SUM(_xlfn.XLOOKUP(R129:AF129,增益!$A:$A,增益!$G:$G,0))</f>
        <v>0.09</v>
      </c>
      <c r="AR129" s="27" cm="1">
        <f t="array" ref="AR129">VLOOKUP($Q129,武学奇术!$A:$ZZ,8,FALSE)+SUM(_xlfn.XLOOKUP(R129:AF129,增益!$A:$A,增益!$H:$H,0))</f>
        <v>0</v>
      </c>
      <c r="AS129">
        <f t="shared" si="12"/>
        <v>0</v>
      </c>
      <c r="AT129">
        <f t="shared" si="13"/>
        <v>0</v>
      </c>
      <c r="AU129" s="33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-0.3</v>
      </c>
      <c r="AV129" s="33" cm="1">
        <f t="array" ref="AV129">$G$11+VLOOKUP($Q129,武学奇术!$A:$ZZ,10,FALSE)+SUM(_xlfn.XLOOKUP(R129:AF129,增益!$A:$A,增益!$J:$J,0))</f>
        <v>0</v>
      </c>
      <c r="AW129">
        <f t="shared" si="14"/>
        <v>0</v>
      </c>
      <c r="AX129">
        <f t="shared" si="15"/>
        <v>0</v>
      </c>
      <c r="AY129" s="33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-0.3</v>
      </c>
      <c r="AZ129" s="33" cm="1">
        <f t="array" ref="AZ129">$G$12+VLOOKUP($Q129,武学奇术!$A:$ZZ,12,FALSE)+SUM(_xlfn.XLOOKUP(R129:AF129,增益!$A:$A,增益!$L:$L,0))</f>
        <v>0</v>
      </c>
      <c r="BA129">
        <f t="shared" si="16"/>
        <v>0</v>
      </c>
      <c r="BB129">
        <f t="shared" si="17"/>
        <v>0</v>
      </c>
      <c r="BC129" s="33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-0.3</v>
      </c>
      <c r="BD129" s="33" cm="1">
        <f t="array" ref="BD129">$G$13+VLOOKUP($Q129,武学奇术!$A:$ZZ,14,FALSE)+SUM(_xlfn.XLOOKUP(R129:AF129,增益!$A:$A,增益!$N:$N,0))</f>
        <v>0</v>
      </c>
      <c r="BE129">
        <f t="shared" si="18"/>
        <v>605.472</v>
      </c>
      <c r="BF129">
        <f t="shared" si="19"/>
        <v>1725.468</v>
      </c>
      <c r="BG129" s="33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0</v>
      </c>
      <c r="BH129" s="33" cm="1">
        <f t="array" ref="BH129">$G$14+VLOOKUP($Q129,武学奇术!$A:$ZZ,16,FALSE)+SUM(_xlfn.XLOOKUP(R129:AF129,增益!$A:$A,增益!$P:$P,0))</f>
        <v>0.24</v>
      </c>
      <c r="BI129" s="27">
        <f>MIN(IF(VLOOKUP($Q129,武学奇术!$A:$ZZ,23,FALSE)=1,100%,$B$8),100%)</f>
        <v>1</v>
      </c>
      <c r="BJ129" s="27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+MIN(IF(VLOOKUP($Q129,武学奇术!$A:$ZZ,32,FALSE)=1,IF(VLOOKUP($Q129,武学奇术!$A:$ZZ,24,FALSE)=1,100%,MIN(40%,$B$10+VLOOKUP($Q129,武学奇术!$A:$ZZ,19,FALSE)+SUM(_xlfn.XLOOKUP(R129:AF129,增益!$A:$A,增益!$S:$S,0)))+$B$12+SUM(_xlfn.XLOOKUP(R129:AF129,增益!$A:$A,增益!$V:$V,0))),0),12%)</f>
        <v>0.9036</v>
      </c>
      <c r="BK129" s="27" cm="1">
        <f t="array" ref="BK129">1+$B$13+VLOOKUP($Q129,武学奇术!$A:$ZZ,18,FALSE)+SUM(_xlfn.XLOOKUP(R129:AF129,增益!$A:$A,增益!$R:$R,0))</f>
        <v>1.64</v>
      </c>
      <c r="BL129" s="27" cm="1">
        <f t="array" ref="BL129">MAX(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-IF(VLOOKUP($Q129,武学奇术!$A:$ZZ,32,FALSE)=1,12%,0),0)</f>
        <v>0.0929</v>
      </c>
      <c r="BM129" s="27" cm="1">
        <f t="array" ref="BM129">1+$B$14+VLOOKUP($Q129,武学奇术!$A:$ZZ,20,FALSE)+SUM(_xlfn.XLOOKUP(R129:AF129,增益!$A:$A,增益!$T:$T,0))</f>
        <v>1.35</v>
      </c>
      <c r="BN129" s="27">
        <f t="shared" si="20"/>
        <v>0.9036</v>
      </c>
      <c r="BO129" s="27">
        <f t="shared" si="21"/>
        <v>0.00350000000000006</v>
      </c>
      <c r="BP129" s="27">
        <f>IF(VLOOKUP($Q129,武学奇术!$A:$ZZ,22,FALSE)=1,0,(1-$BI129))*(1-$BL129)</f>
        <v>0</v>
      </c>
      <c r="BQ129" s="27" cm="1">
        <f t="array" ref="BQ129">SUM(_xlfn.XLOOKUP(R129:AF129,增益!$A:$A,增益!$W:$W,0))+$I$5</f>
        <v>0.11</v>
      </c>
    </row>
    <row r="130" spans="11:69">
      <c r="K130" s="39">
        <f t="shared" ref="K130:K136" si="23">($L130*$BN130+$M130*$BL130+$N130*$BO130+$O130*$BP130)</f>
        <v>13563.2004525846</v>
      </c>
      <c r="L130" s="39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BK130*$P130*(1+IF(VLOOKUP($Q130,武学奇术!$A:$ZZ,30,FALSE)="蓄力技",$B$21,0))*(1+$BQ130)</f>
        <v>13695.3606841391</v>
      </c>
      <c r="M130" s="39">
        <f>(($AO130*$AH130+$AI130)*(1+$AP130)*(1+$AQ130)+($AT130*IF($G$1="鸣金",$AJ130,$AH130)+IF($G$1="鸣金",$AK130*1.5,0))*(1+$AU130)*(1+$AV130)+($AX130*IF($G$1="裂石",$AJ130,$AH130)+IF($G$1="裂石",$AK130*1.5,0))*(1+$AY130)*(1+$AZ130)+($BB130*IF($G$1="牵丝",$AJ130,$AH130)+IF($G$1="牵丝",$AK130*1.5,0))*(1+$BC130)*(1+$BD130)+($BF130*IF($G$1="破竹",$AJ130,$AH130)+IF($G$1="破竹",$AK130*1.5,0))*(1+$BG130)*(1+$BH130))*(1+$AL130)*$BM130*$P130*(1+IF(VLOOKUP($Q130,武学奇术!$A:$ZZ,30,FALSE)="蓄力技",$B$21,0))*(1+$BQ130)</f>
        <v>12474.1080139662</v>
      </c>
      <c r="N130" s="39">
        <f>((($AN130+($AO130-$AN130)*IF(VLOOKUP($Q130,武学奇术!$A:$ZZ,31,FALSE)=1,$F$18,0.5))*$AH130+$AI130)*(1+$AP130)*(1+$AQ130)+(($AS130+($AT130-$AS130)*IF(VLOOKUP($Q130,武学奇术!$A:$ZZ,31,FALSE)=1,$F$18,0.5))*IF($G$1="鸣金",$AJ130,$AH130)+IF($G$1="鸣金",$AK130*1.5,0))*(1+$AU130)*(1+$AV130)+(($AW130+($AX130-$AW130)*IF(VLOOKUP($Q130,武学奇术!$A:$ZZ,31,FALSE)=1,$F$18,0.5))*IF($G$1="裂石",$AJ130,$AH130)+IF($G$1="裂石",$AK130*1.5,0))*(1+$AY130)*(1+$AZ130)+(($BA130+($BB130-$BA130)*IF(VLOOKUP($Q130,武学奇术!$A:$ZZ,31,FALSE)=1,$F$18,0.5))*IF($G$1="牵丝",$AJ130,$AH130)+IF($G$1="牵丝",$AK130*1.5,0))*(1+$BC130)*(1+$BD130)+(($BE130+($BF130-$BE130)*IF(VLOOKUP($Q130,武学奇术!$A:$ZZ,31,FALSE)=1,$F$18,0.5))*IF($G$1="破竹",$AJ130,$AH130)+IF($G$1="破竹",$AK130*1.5,0))*(1+$BG130)*(1+$BH130))*(1+$AL130)*$P130*(1+IF(VLOOKUP($Q130,武学奇术!$A:$ZZ,30,FALSE)="蓄力技",$B$21,0))*(1+$BQ130)</f>
        <v>8350.82968545068</v>
      </c>
      <c r="O130" s="39">
        <f>((($AN130*$AH130+$AI130)*(1+$AP130)*(1+$AQ130)+($AS130*IF($G$1="鸣金",$AJ130,$AH130)+IF($G$1="鸣金",$AK130*1.5,0))*(1+$AU130)*(1+$AV130)+($AW130*IF($G$1="裂石",$AJ130,$AH130)+IF($G$1="裂石",$AK130*1.5,0))*(1+$AY130)*(1+$AZ130)+($BA130*IF($G$1="牵丝",$AJ130,$AH130)+IF($G$1="牵丝",$AK130*1.5,0))*(1+$BC130)*(1+$BD130)+($BE130*IF($G$1="破竹",$AJ130,$AH130)+IF($G$1="破竹",$AK130*1.5,0))*(1+$BG130)*(1+$BH130))*(1+$AL130))*$P130*(1+IF(VLOOKUP($Q130,武学奇术!$A:$ZZ,30,FALSE)="蓄力技",$B$21,0))*(1+$BQ130)</f>
        <v>7461.57936055604</v>
      </c>
      <c r="P130" s="40">
        <f t="shared" si="22"/>
        <v>1</v>
      </c>
      <c r="Q130" s="41" t="s">
        <v>193</v>
      </c>
      <c r="R130" s="41" t="s">
        <v>97</v>
      </c>
      <c r="S130" s="41" t="s">
        <v>73</v>
      </c>
      <c r="T130" s="41" t="s">
        <v>73</v>
      </c>
      <c r="U130" s="41" t="s">
        <v>73</v>
      </c>
      <c r="V130" s="41" t="s">
        <v>73</v>
      </c>
      <c r="W130" s="41" t="s">
        <v>73</v>
      </c>
      <c r="X130" s="41" t="s">
        <v>164</v>
      </c>
      <c r="Y130" s="41" t="s">
        <v>73</v>
      </c>
      <c r="Z130" s="41" t="s">
        <v>73</v>
      </c>
      <c r="AA130" s="41" t="s">
        <v>73</v>
      </c>
      <c r="AB130" s="41" t="s">
        <v>73</v>
      </c>
      <c r="AC130" s="41" t="s">
        <v>73</v>
      </c>
      <c r="AD130" s="41" t="s">
        <v>73</v>
      </c>
      <c r="AE130" s="41" t="s">
        <v>77</v>
      </c>
      <c r="AF130" s="41" t="s">
        <v>78</v>
      </c>
      <c r="AG130" t="str">
        <f>VLOOKUP($Q130,武学奇术!$A:$ZZ,25,FALSE)</f>
        <v>心法</v>
      </c>
      <c r="AH130" s="27">
        <f>VLOOKUP($Q130,武学奇术!$A:$ZZ,26,FALSE)</f>
        <v>1</v>
      </c>
      <c r="AI130" s="28">
        <f>VLOOKUP($Q130,武学奇术!$A:$ZZ,27,FALSE)*(1+IF(OR($AG130=$F$4,$AG130=$F$5),$B$22,0))</f>
        <v>0</v>
      </c>
      <c r="AJ130" s="27">
        <f>VLOOKUP($Q130,武学奇术!$A:$ZZ,28,FALSE)</f>
        <v>1</v>
      </c>
      <c r="AK130" s="28">
        <f>VLOOKUP($Q130,武学奇术!$A:$ZZ,29,FALSE)*(1+IF(OR($AG130=$F$4,$AG130=$F$5),$B$22,0))</f>
        <v>0</v>
      </c>
      <c r="AL130" s="27" cm="1">
        <f t="array" ref="AL130">$G$3+IFERROR(VLOOKUP($AG130,$F$4:$G$7,2,FALSE),0)+VLOOKUP($Q130,武学奇术!$A:$ZZ,2,FALSE)+SUM(_xlfn.XLOOKUP($R130:$AF130,增益!$A:$A,增益!$B:$B,0))</f>
        <v>0.1537</v>
      </c>
      <c r="AM130" s="27" cm="1">
        <f t="array" ref="AM130">VLOOKUP($Q130,武学奇术!$A:$ZZ,5,FALSE)+SUM(_xlfn.XLOOKUP($R130:$AF130,增益!$A:$A,增益!$E:$E,0))</f>
        <v>0</v>
      </c>
      <c r="AN130" cm="1">
        <f t="array" ref="AN130">$D$10*(1+$AM130)+VLOOKUP($Q130,武学奇术!$A:$ZZ,3,FALSE)+SUM(_xlfn.XLOOKUP($R130:$AF130,增益!$A:$A,增益!$C:$C,0))-$I$2</f>
        <v>3826.382</v>
      </c>
      <c r="AO130" cm="1">
        <f t="array" ref="AO130">$E$10*(1+$AM130)+VLOOKUP($Q130,武学奇术!$A:$ZZ,4,FALSE)+SUM(_xlfn.XLOOKUP($R130:$AF130,增益!$A:$A,增益!$D:$D,0))-$I$2</f>
        <v>3826.382</v>
      </c>
      <c r="AP130" s="33" cm="1">
        <f t="array" ref="AP130">IF($F$10-$I$3+VLOOKUP($Q130,武学奇术!$A:$ZZ,6,FALSE)+SUM(_xlfn.XLOOKUP(R130:AF130,增益!$A:$A,增益!$F:$F,0))&gt;0,($F$10-$I$3+VLOOKUP($Q130,武学奇术!$A:$ZZ,6,FALSE)+SUM(_xlfn.XLOOKUP(R130:AF130,增益!$A:$A,增益!$F:$F,0)))/200,($F$10-$I$3+VLOOKUP($Q130,武学奇术!$A:$ZZ,6,FALSE)+SUM(_xlfn.XLOOKUP(R130:AF130,增益!$A:$A,增益!$F:$F,0)))/100)</f>
        <v>0.217</v>
      </c>
      <c r="AQ130" s="33" cm="1">
        <f t="array" ref="AQ130">$G$10+VLOOKUP($Q130,武学奇术!$A:$ZZ,7,FALSE)+SUM(_xlfn.XLOOKUP(R130:AF130,增益!$A:$A,增益!$G:$G,0))</f>
        <v>0.09</v>
      </c>
      <c r="AR130" s="27" cm="1">
        <f t="array" ref="AR130">VLOOKUP($Q130,武学奇术!$A:$ZZ,8,FALSE)+SUM(_xlfn.XLOOKUP(R130:AF130,增益!$A:$A,增益!$H:$H,0))</f>
        <v>0</v>
      </c>
      <c r="AS130">
        <f t="shared" ref="AS130:AS136" si="24">$D$11*(1+$AR130)</f>
        <v>0</v>
      </c>
      <c r="AT130">
        <f t="shared" ref="AT130:AT136" si="25">$E$11*(1+$AR130)</f>
        <v>0</v>
      </c>
      <c r="AU130" s="33" cm="1">
        <f t="array" ref="AU130">IF($F$11-$I$4+VLOOKUP($Q130,武学奇术!$A:$ZZ,9,FALSE)+SUM(_xlfn.XLOOKUP(R130:AF130,增益!$A:$A,增益!$I:$I,0))&gt;0,($F$11-$I$4+VLOOKUP($Q130,武学奇术!$A:$ZZ,9,FALSE)+SUM(_xlfn.XLOOKUP(R130:AF130,增益!$A:$A,增益!$I:$I,0)))/200,($F$11-$I$4+VLOOKUP($Q130,武学奇术!$A:$ZZ,9,FALSE)+SUM(_xlfn.XLOOKUP(R130:AF130,增益!$A:$A,增益!$I:$I,0)))/100)</f>
        <v>-0.3</v>
      </c>
      <c r="AV130" s="33" cm="1">
        <f t="array" ref="AV130">$G$11+VLOOKUP($Q130,武学奇术!$A:$ZZ,10,FALSE)+SUM(_xlfn.XLOOKUP(R130:AF130,增益!$A:$A,增益!$J:$J,0))</f>
        <v>0</v>
      </c>
      <c r="AW130">
        <f t="shared" ref="AW130:AW136" si="26">$D$12*(1+$AR130)</f>
        <v>0</v>
      </c>
      <c r="AX130">
        <f t="shared" ref="AX130:AX136" si="27">$E$12*(1+$AR130)</f>
        <v>0</v>
      </c>
      <c r="AY130" s="33" cm="1">
        <f t="array" ref="AY130">IF($F$12-$I$4+VLOOKUP($Q130,武学奇术!$A:$ZZ,11,FALSE)+SUM(_xlfn.XLOOKUP(R130:AF130,增益!$A:$A,增益!$K:$K,0))&gt;0,($F$12-$I$4+VLOOKUP($Q130,武学奇术!$A:$ZZ,11,FALSE)+SUM(_xlfn.XLOOKUP(R130:AF130,增益!$A:$A,增益!$K:$K,0)))/200,($F$12-$I$4+VLOOKUP($Q130,武学奇术!$A:$ZZ,11,FALSE)+SUM(_xlfn.XLOOKUP(R130:AF130,增益!$A:$A,增益!$K:$K,0)))/100)</f>
        <v>-0.3</v>
      </c>
      <c r="AZ130" s="33" cm="1">
        <f t="array" ref="AZ130">$G$12+VLOOKUP($Q130,武学奇术!$A:$ZZ,12,FALSE)+SUM(_xlfn.XLOOKUP(R130:AF130,增益!$A:$A,增益!$L:$L,0))</f>
        <v>0</v>
      </c>
      <c r="BA130">
        <f t="shared" ref="BA130:BA136" si="28">$D$13*(1+$AR130)</f>
        <v>0</v>
      </c>
      <c r="BB130">
        <f t="shared" ref="BB130:BB136" si="29">$E$13*(1+$AR130)</f>
        <v>0</v>
      </c>
      <c r="BC130" s="33" cm="1">
        <f t="array" ref="BC130">IF($F$13-$I$4+VLOOKUP($Q130,武学奇术!$A:$ZZ,13,FALSE)+SUM(_xlfn.XLOOKUP(R130:AF130,增益!$A:$A,增益!$M:$M,0))&gt;0,($F$13-$I$4+VLOOKUP($Q130,武学奇术!$A:$ZZ,13,FALSE)+SUM(_xlfn.XLOOKUP(R130:AF130,增益!$A:$A,增益!$K:$K,0)))/200,($F$13-$I$4+VLOOKUP($Q130,武学奇术!$A:$ZZ,13,FALSE)+SUM(_xlfn.XLOOKUP(R130:AF130,增益!$A:$A,增益!$M:$M,0)))/100)</f>
        <v>-0.3</v>
      </c>
      <c r="BD130" s="33" cm="1">
        <f t="array" ref="BD130">$G$13+VLOOKUP($Q130,武学奇术!$A:$ZZ,14,FALSE)+SUM(_xlfn.XLOOKUP(R130:AF130,增益!$A:$A,增益!$N:$N,0))</f>
        <v>0</v>
      </c>
      <c r="BE130">
        <f t="shared" ref="BE130:BE136" si="30">$D$14*(1+$AR130)</f>
        <v>605.472</v>
      </c>
      <c r="BF130">
        <f t="shared" ref="BF130:BF136" si="31">$E$14*(1+$AR130)</f>
        <v>1725.468</v>
      </c>
      <c r="BG130" s="33" cm="1">
        <f t="array" ref="BG130">IF($F$14-$I$4+VLOOKUP($Q130,武学奇术!$A:$ZZ,15,FALSE)+SUM(_xlfn.XLOOKUP(R130:AF130,增益!$A:$A,增益!$O:$O,0))&gt;0,($F$14-$I$4+VLOOKUP($Q130,武学奇术!$A:$ZZ,15,FALSE)+SUM(_xlfn.XLOOKUP(R130:AF130,增益!$A:$A,增益!$O:$O,0)))/200,($F$14-$I$4+VLOOKUP($Q130,武学奇术!$A:$ZZ,15,FALSE)+SUM(_xlfn.XLOOKUP(R130:AF130,增益!$A:$A,增益!$O:$O,0)))/100)</f>
        <v>0</v>
      </c>
      <c r="BH130" s="33" cm="1">
        <f t="array" ref="BH130">$G$14+VLOOKUP($Q130,武学奇术!$A:$ZZ,16,FALSE)+SUM(_xlfn.XLOOKUP(R130:AF130,增益!$A:$A,增益!$P:$P,0))</f>
        <v>0.24</v>
      </c>
      <c r="BI130" s="27">
        <f>MIN(IF(VLOOKUP($Q130,武学奇术!$A:$ZZ,23,FALSE)=1,100%,$B$8),100%)</f>
        <v>1</v>
      </c>
      <c r="BJ130" s="27" cm="1">
        <f t="array" ref="BJ130">IF(VLOOKUP($Q130,武学奇术!$A:$ZZ,23,FALSE)=1,100%,MIN(80%,$B$9+VLOOKUP($Q130,武学奇术!$A:$ZZ,17,FALSE)+SUM(_xlfn.XLOOKUP(R130:AF130,增益!$A:$A,增益!$Q:$Q,0)))+$B$11+SUM(_xlfn.XLOOKUP(R130:AF130,增益!$A:$A,增益!$U:$U,0)))*IF(VLOOKUP($Q130,武学奇术!$A:$ZZ,24,FALSE)=1,0,1)+MIN(IF(VLOOKUP($Q130,武学奇术!$A:$ZZ,32,FALSE)=1,IF(VLOOKUP($Q130,武学奇术!$A:$ZZ,24,FALSE)=1,100%,MIN(40%,$B$10+VLOOKUP($Q130,武学奇术!$A:$ZZ,19,FALSE)+SUM(_xlfn.XLOOKUP(R130:AF130,增益!$A:$A,增益!$S:$S,0)))+$B$12+SUM(_xlfn.XLOOKUP(R130:AF130,增益!$A:$A,增益!$V:$V,0))),0),12%)</f>
        <v>0.9036</v>
      </c>
      <c r="BK130" s="27" cm="1">
        <f t="array" ref="BK130">1+$B$13+VLOOKUP($Q130,武学奇术!$A:$ZZ,18,FALSE)+SUM(_xlfn.XLOOKUP(R130:AF130,增益!$A:$A,增益!$R:$R,0))</f>
        <v>1.64</v>
      </c>
      <c r="BL130" s="27" cm="1">
        <f t="array" ref="BL130">MAX(IF(VLOOKUP($Q130,武学奇术!$A:$ZZ,24,FALSE)=1,100%,MIN(40%,$B$10+VLOOKUP($Q130,武学奇术!$A:$ZZ,19,FALSE)+SUM(_xlfn.XLOOKUP(R130:AF130,增益!$A:$A,增益!$S:$S,0)))+$B$12+SUM(_xlfn.XLOOKUP(R130:AF130,增益!$A:$A,增益!$V:$V,0)))*IF(VLOOKUP($Q130,武学奇术!$A:$ZZ,23,FALSE)=1,0,1)-IF(VLOOKUP($Q130,武学奇术!$A:$ZZ,32,FALSE)=1,12%,0),0)</f>
        <v>0.0929</v>
      </c>
      <c r="BM130" s="27" cm="1">
        <f t="array" ref="BM130">1+$B$14+VLOOKUP($Q130,武学奇术!$A:$ZZ,20,FALSE)+SUM(_xlfn.XLOOKUP(R130:AF130,增益!$A:$A,增益!$T:$T,0))</f>
        <v>1.35</v>
      </c>
      <c r="BN130" s="27">
        <f t="shared" ref="BN130:BN136" si="32">MIN((1-BL130)*BI130,BI130*BJ130)</f>
        <v>0.9036</v>
      </c>
      <c r="BO130" s="27">
        <f t="shared" ref="BO130:BO136" si="33">1-BL130-BN130-BP130</f>
        <v>0.00350000000000006</v>
      </c>
      <c r="BP130" s="27">
        <f>IF(VLOOKUP($Q130,武学奇术!$A:$ZZ,22,FALSE)=1,0,(1-$BI130))*(1-$BL130)</f>
        <v>0</v>
      </c>
      <c r="BQ130" s="27" cm="1">
        <f t="array" ref="BQ130">SUM(_xlfn.XLOOKUP(R130:AF130,增益!$A:$A,增益!$W:$W,0))+$I$5</f>
        <v>0.11</v>
      </c>
    </row>
    <row r="131" spans="11:69">
      <c r="K131" s="39">
        <f t="shared" si="23"/>
        <v>18178.2500308279</v>
      </c>
      <c r="L131" s="39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BK131*$P131*(1+IF(VLOOKUP($Q131,武学奇术!$A:$ZZ,30,FALSE)="蓄力技",$B$21,0))*(1+$BQ131)</f>
        <v>18580.4797780829</v>
      </c>
      <c r="M131" s="39">
        <f>(($AO131*$AH131+$AI131)*(1+$AP131)*(1+$AQ131)+($AT131*IF($G$1="鸣金",$AJ131,$AH131)+IF($G$1="鸣金",$AK131*1.5,0))*(1+$AU131)*(1+$AV131)+($AX131*IF($G$1="裂石",$AJ131,$AH131)+IF($G$1="裂石",$AK131*1.5,0))*(1+$AY131)*(1+$AZ131)+($BB131*IF($G$1="牵丝",$AJ131,$AH131)+IF($G$1="牵丝",$AK131*1.5,0))*(1+$BC131)*(1+$BD131)+($BF131*IF($G$1="破竹",$AJ131,$AH131)+IF($G$1="破竹",$AK131*1.5,0))*(1+$BG131)*(1+$BH131))*(1+$AL131)*$BM131*$P131*(1+IF(VLOOKUP($Q131,武学奇术!$A:$ZZ,30,FALSE)="蓄力技",$B$21,0))*(1+$BQ131)</f>
        <v>14580.4112752082</v>
      </c>
      <c r="N131" s="39">
        <f>((($AN131+($AO131-$AN131)*IF(VLOOKUP($Q131,武学奇术!$A:$ZZ,31,FALSE)=1,$F$18,0.5))*$AH131+$AI131)*(1+$AP131)*(1+$AQ131)+(($AS131+($AT131-$AS131)*IF(VLOOKUP($Q131,武学奇术!$A:$ZZ,31,FALSE)=1,$F$18,0.5))*IF($G$1="鸣金",$AJ131,$AH131)+IF($G$1="鸣金",$AK131*1.5,0))*(1+$AU131)*(1+$AV131)+(($AW131+($AX131-$AW131)*IF(VLOOKUP($Q131,武学奇术!$A:$ZZ,31,FALSE)=1,$F$18,0.5))*IF($G$1="裂石",$AJ131,$AH131)+IF($G$1="裂石",$AK131*1.5,0))*(1+$AY131)*(1+$AZ131)+(($BA131+($BB131-$BA131)*IF(VLOOKUP($Q131,武学奇术!$A:$ZZ,31,FALSE)=1,$F$18,0.5))*IF($G$1="牵丝",$AJ131,$AH131)+IF($G$1="牵丝",$AK131*1.5,0))*(1+$BC131)*(1+$BD131)+(($BE131+($BF131-$BE131)*IF(VLOOKUP($Q131,武学奇术!$A:$ZZ,31,FALSE)=1,$F$18,0.5))*IF($G$1="破竹",$AJ131,$AH131)+IF($G$1="破竹",$AK131*1.5,0))*(1+$BG131)*(1+$BH131))*(1+$AL131)*$P131*(1+IF(VLOOKUP($Q131,武学奇术!$A:$ZZ,30,FALSE)="蓄力技",$B$21,0))*(1+$BQ131)</f>
        <v>9830.94168152534</v>
      </c>
      <c r="O131" s="39">
        <f>((($AN131*$AH131+$AI131)*(1+$AP131)*(1+$AQ131)+($AS131*IF($G$1="鸣金",$AJ131,$AH131)+IF($G$1="鸣金",$AK131*1.5,0))*(1+$AU131)*(1+$AV131)+($AW131*IF($G$1="裂石",$AJ131,$AH131)+IF($G$1="裂石",$AK131*1.5,0))*(1+$AY131)*(1+$AZ131)+($BA131*IF($G$1="牵丝",$AJ131,$AH131)+IF($G$1="牵丝",$AK131*1.5,0))*(1+$BC131)*(1+$BD131)+($BE131*IF($G$1="破竹",$AJ131,$AH131)+IF($G$1="破竹",$AK131*1.5,0))*(1+$BG131)*(1+$BH131))*(1+$AL131))*$P131*(1+IF(VLOOKUP($Q131,武学奇术!$A:$ZZ,30,FALSE)="蓄力技",$B$21,0))*(1+$BQ131)</f>
        <v>8861.5787147483</v>
      </c>
      <c r="P131" s="40">
        <f t="shared" si="22"/>
        <v>1</v>
      </c>
      <c r="Q131" s="41" t="s">
        <v>193</v>
      </c>
      <c r="R131" s="41" t="s">
        <v>97</v>
      </c>
      <c r="S131" s="41" t="s">
        <v>132</v>
      </c>
      <c r="T131" s="41" t="s">
        <v>73</v>
      </c>
      <c r="U131" s="41" t="s">
        <v>73</v>
      </c>
      <c r="V131" s="41" t="s">
        <v>179</v>
      </c>
      <c r="W131" s="41" t="s">
        <v>73</v>
      </c>
      <c r="X131" s="41" t="s">
        <v>164</v>
      </c>
      <c r="Y131" s="41" t="s">
        <v>73</v>
      </c>
      <c r="Z131" s="41" t="s">
        <v>73</v>
      </c>
      <c r="AA131" s="41" t="s">
        <v>73</v>
      </c>
      <c r="AB131" s="41" t="s">
        <v>73</v>
      </c>
      <c r="AC131" s="41" t="s">
        <v>73</v>
      </c>
      <c r="AD131" s="41" t="s">
        <v>73</v>
      </c>
      <c r="AE131" s="41" t="s">
        <v>77</v>
      </c>
      <c r="AF131" s="41" t="s">
        <v>78</v>
      </c>
      <c r="AG131" t="str">
        <f>VLOOKUP($Q131,武学奇术!$A:$ZZ,25,FALSE)</f>
        <v>心法</v>
      </c>
      <c r="AH131" s="27">
        <f>VLOOKUP($Q131,武学奇术!$A:$ZZ,26,FALSE)</f>
        <v>1</v>
      </c>
      <c r="AI131" s="28">
        <f>VLOOKUP($Q131,武学奇术!$A:$ZZ,27,FALSE)*(1+IF(OR($AG131=$F$4,$AG131=$F$5),$B$22,0))</f>
        <v>0</v>
      </c>
      <c r="AJ131" s="27">
        <f>VLOOKUP($Q131,武学奇术!$A:$ZZ,28,FALSE)</f>
        <v>1</v>
      </c>
      <c r="AK131" s="28">
        <f>VLOOKUP($Q131,武学奇术!$A:$ZZ,29,FALSE)*(1+IF(OR($AG131=$F$4,$AG131=$F$5),$B$22,0))</f>
        <v>0</v>
      </c>
      <c r="AL131" s="27" cm="1">
        <f t="array" ref="AL131">$G$3+IFERROR(VLOOKUP($AG131,$F$4:$G$7,2,FALSE),0)+VLOOKUP($Q131,武学奇术!$A:$ZZ,2,FALSE)+SUM(_xlfn.XLOOKUP($R131:$AF131,增益!$A:$A,增益!$B:$B,0))</f>
        <v>0.1537</v>
      </c>
      <c r="AM131" s="27" cm="1">
        <f t="array" ref="AM131">VLOOKUP($Q131,武学奇术!$A:$ZZ,5,FALSE)+SUM(_xlfn.XLOOKUP($R131:$AF131,增益!$A:$A,增益!$E:$E,0))</f>
        <v>0</v>
      </c>
      <c r="AN131" cm="1">
        <f t="array" ref="AN131">$D$10*(1+$AM131)+VLOOKUP($Q131,武学奇术!$A:$ZZ,3,FALSE)+SUM(_xlfn.XLOOKUP($R131:$AF131,增益!$A:$A,增益!$C:$C,0))-$I$2</f>
        <v>3826.382</v>
      </c>
      <c r="AO131" cm="1">
        <f t="array" ref="AO131">$E$10*(1+$AM131)+VLOOKUP($Q131,武学奇术!$A:$ZZ,4,FALSE)+SUM(_xlfn.XLOOKUP($R131:$AF131,增益!$A:$A,增益!$D:$D,0))-$I$2</f>
        <v>3826.382</v>
      </c>
      <c r="AP131" s="33" cm="1">
        <f t="array" ref="AP131">IF($F$10-$I$3+VLOOKUP($Q131,武学奇术!$A:$ZZ,6,FALSE)+SUM(_xlfn.XLOOKUP(R131:AF131,增益!$A:$A,增益!$F:$F,0))&gt;0,($F$10-$I$3+VLOOKUP($Q131,武学奇术!$A:$ZZ,6,FALSE)+SUM(_xlfn.XLOOKUP(R131:AF131,增益!$A:$A,增益!$F:$F,0)))/200,($F$10-$I$3+VLOOKUP($Q131,武学奇术!$A:$ZZ,6,FALSE)+SUM(_xlfn.XLOOKUP(R131:AF131,增益!$A:$A,增益!$F:$F,0)))/100)</f>
        <v>0.342</v>
      </c>
      <c r="AQ131" s="33" cm="1">
        <f t="array" ref="AQ131">$G$10+VLOOKUP($Q131,武学奇术!$A:$ZZ,7,FALSE)+SUM(_xlfn.XLOOKUP(R131:AF131,增益!$A:$A,增益!$G:$G,0))</f>
        <v>0.09</v>
      </c>
      <c r="AR131" s="27" cm="1">
        <f t="array" ref="AR131">VLOOKUP($Q131,武学奇术!$A:$ZZ,8,FALSE)+SUM(_xlfn.XLOOKUP(R131:AF131,增益!$A:$A,增益!$H:$H,0))</f>
        <v>0</v>
      </c>
      <c r="AS131">
        <f t="shared" si="24"/>
        <v>0</v>
      </c>
      <c r="AT131">
        <f t="shared" si="25"/>
        <v>0</v>
      </c>
      <c r="AU131" s="33" cm="1">
        <f t="array" ref="AU131">IF($F$11-$I$4+VLOOKUP($Q131,武学奇术!$A:$ZZ,9,FALSE)+SUM(_xlfn.XLOOKUP(R131:AF131,增益!$A:$A,增益!$I:$I,0))&gt;0,($F$11-$I$4+VLOOKUP($Q131,武学奇术!$A:$ZZ,9,FALSE)+SUM(_xlfn.XLOOKUP(R131:AF131,增益!$A:$A,增益!$I:$I,0)))/200,($F$11-$I$4+VLOOKUP($Q131,武学奇术!$A:$ZZ,9,FALSE)+SUM(_xlfn.XLOOKUP(R131:AF131,增益!$A:$A,增益!$I:$I,0)))/100)</f>
        <v>-0.3</v>
      </c>
      <c r="AV131" s="33" cm="1">
        <f t="array" ref="AV131">$G$11+VLOOKUP($Q131,武学奇术!$A:$ZZ,10,FALSE)+SUM(_xlfn.XLOOKUP(R131:AF131,增益!$A:$A,增益!$J:$J,0))</f>
        <v>0</v>
      </c>
      <c r="AW131">
        <f t="shared" si="26"/>
        <v>0</v>
      </c>
      <c r="AX131">
        <f t="shared" si="27"/>
        <v>0</v>
      </c>
      <c r="AY131" s="33" cm="1">
        <f t="array" ref="AY131">IF($F$12-$I$4+VLOOKUP($Q131,武学奇术!$A:$ZZ,11,FALSE)+SUM(_xlfn.XLOOKUP(R131:AF131,增益!$A:$A,增益!$K:$K,0))&gt;0,($F$12-$I$4+VLOOKUP($Q131,武学奇术!$A:$ZZ,11,FALSE)+SUM(_xlfn.XLOOKUP(R131:AF131,增益!$A:$A,增益!$K:$K,0)))/200,($F$12-$I$4+VLOOKUP($Q131,武学奇术!$A:$ZZ,11,FALSE)+SUM(_xlfn.XLOOKUP(R131:AF131,增益!$A:$A,增益!$K:$K,0)))/100)</f>
        <v>-0.3</v>
      </c>
      <c r="AZ131" s="33" cm="1">
        <f t="array" ref="AZ131">$G$12+VLOOKUP($Q131,武学奇术!$A:$ZZ,12,FALSE)+SUM(_xlfn.XLOOKUP(R131:AF131,增益!$A:$A,增益!$L:$L,0))</f>
        <v>0</v>
      </c>
      <c r="BA131">
        <f t="shared" si="28"/>
        <v>0</v>
      </c>
      <c r="BB131">
        <f t="shared" si="29"/>
        <v>0</v>
      </c>
      <c r="BC131" s="33" cm="1">
        <f t="array" ref="BC131">IF($F$13-$I$4+VLOOKUP($Q131,武学奇术!$A:$ZZ,13,FALSE)+SUM(_xlfn.XLOOKUP(R131:AF131,增益!$A:$A,增益!$M:$M,0))&gt;0,($F$13-$I$4+VLOOKUP($Q131,武学奇术!$A:$ZZ,13,FALSE)+SUM(_xlfn.XLOOKUP(R131:AF131,增益!$A:$A,增益!$K:$K,0)))/200,($F$13-$I$4+VLOOKUP($Q131,武学奇术!$A:$ZZ,13,FALSE)+SUM(_xlfn.XLOOKUP(R131:AF131,增益!$A:$A,增益!$M:$M,0)))/100)</f>
        <v>-0.3</v>
      </c>
      <c r="BD131" s="33" cm="1">
        <f t="array" ref="BD131">$G$13+VLOOKUP($Q131,武学奇术!$A:$ZZ,14,FALSE)+SUM(_xlfn.XLOOKUP(R131:AF131,增益!$A:$A,增益!$N:$N,0))</f>
        <v>0</v>
      </c>
      <c r="BE131">
        <f t="shared" si="30"/>
        <v>605.472</v>
      </c>
      <c r="BF131">
        <f t="shared" si="31"/>
        <v>1725.468</v>
      </c>
      <c r="BG131" s="33" cm="1">
        <f t="array" ref="BG131">IF($F$14-$I$4+VLOOKUP($Q131,武学奇术!$A:$ZZ,15,FALSE)+SUM(_xlfn.XLOOKUP(R131:AF131,增益!$A:$A,增益!$O:$O,0))&gt;0,($F$14-$I$4+VLOOKUP($Q131,武学奇术!$A:$ZZ,15,FALSE)+SUM(_xlfn.XLOOKUP(R131:AF131,增益!$A:$A,增益!$O:$O,0)))/200,($F$14-$I$4+VLOOKUP($Q131,武学奇术!$A:$ZZ,15,FALSE)+SUM(_xlfn.XLOOKUP(R131:AF131,增益!$A:$A,增益!$O:$O,0)))/100)</f>
        <v>0</v>
      </c>
      <c r="BH131" s="33" cm="1">
        <f t="array" ref="BH131">$G$14+VLOOKUP($Q131,武学奇术!$A:$ZZ,16,FALSE)+SUM(_xlfn.XLOOKUP(R131:AF131,增益!$A:$A,增益!$P:$P,0))</f>
        <v>0.24</v>
      </c>
      <c r="BI131" s="27">
        <f>MIN(IF(VLOOKUP($Q131,武学奇术!$A:$ZZ,23,FALSE)=1,100%,$B$8),100%)</f>
        <v>1</v>
      </c>
      <c r="BJ131" s="27" cm="1">
        <f t="array" ref="BJ131">IF(VLOOKUP($Q131,武学奇术!$A:$ZZ,23,FALSE)=1,100%,MIN(80%,$B$9+VLOOKUP($Q131,武学奇术!$A:$ZZ,17,FALSE)+SUM(_xlfn.XLOOKUP(R131:AF131,增益!$A:$A,增益!$Q:$Q,0)))+$B$11+SUM(_xlfn.XLOOKUP(R131:AF131,增益!$A:$A,增益!$U:$U,0)))*IF(VLOOKUP($Q131,武学奇术!$A:$ZZ,24,FALSE)=1,0,1)+MIN(IF(VLOOKUP($Q131,武学奇术!$A:$ZZ,32,FALSE)=1,IF(VLOOKUP($Q131,武学奇术!$A:$ZZ,24,FALSE)=1,100%,MIN(40%,$B$10+VLOOKUP($Q131,武学奇术!$A:$ZZ,19,FALSE)+SUM(_xlfn.XLOOKUP(R131:AF131,增益!$A:$A,增益!$S:$S,0)))+$B$12+SUM(_xlfn.XLOOKUP(R131:AF131,增益!$A:$A,增益!$V:$V,0))),0),12%)</f>
        <v>0.9036</v>
      </c>
      <c r="BK131" s="27" cm="1">
        <f t="array" ref="BK131">1+$B$13+VLOOKUP($Q131,武学奇术!$A:$ZZ,18,FALSE)+SUM(_xlfn.XLOOKUP(R131:AF131,增益!$A:$A,增益!$R:$R,0))</f>
        <v>1.89</v>
      </c>
      <c r="BL131" s="27" cm="1">
        <f t="array" ref="BL131">MAX(IF(VLOOKUP($Q131,武学奇术!$A:$ZZ,24,FALSE)=1,100%,MIN(40%,$B$10+VLOOKUP($Q131,武学奇术!$A:$ZZ,19,FALSE)+SUM(_xlfn.XLOOKUP(R131:AF131,增益!$A:$A,增益!$S:$S,0)))+$B$12+SUM(_xlfn.XLOOKUP(R131:AF131,增益!$A:$A,增益!$V:$V,0)))*IF(VLOOKUP($Q131,武学奇术!$A:$ZZ,23,FALSE)=1,0,1)-IF(VLOOKUP($Q131,武学奇术!$A:$ZZ,32,FALSE)=1,12%,0),0)</f>
        <v>0.0929</v>
      </c>
      <c r="BM131" s="27" cm="1">
        <f t="array" ref="BM131">1+$B$14+VLOOKUP($Q131,武学奇术!$A:$ZZ,20,FALSE)+SUM(_xlfn.XLOOKUP(R131:AF131,增益!$A:$A,增益!$T:$T,0))</f>
        <v>1.35</v>
      </c>
      <c r="BN131" s="27">
        <f t="shared" si="32"/>
        <v>0.9036</v>
      </c>
      <c r="BO131" s="27">
        <f t="shared" si="33"/>
        <v>0.00350000000000006</v>
      </c>
      <c r="BP131" s="27">
        <f>IF(VLOOKUP($Q131,武学奇术!$A:$ZZ,22,FALSE)=1,0,(1-$BI131))*(1-$BL131)</f>
        <v>0</v>
      </c>
      <c r="BQ131" s="27" cm="1">
        <f t="array" ref="BQ131">SUM(_xlfn.XLOOKUP(R131:AF131,增益!$A:$A,增益!$W:$W,0))+$I$5</f>
        <v>0.21</v>
      </c>
    </row>
    <row r="132" spans="11:69">
      <c r="K132" s="39">
        <f t="shared" si="23"/>
        <v>13563.2004525846</v>
      </c>
      <c r="L132" s="39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BK132*$P132*(1+IF(VLOOKUP($Q132,武学奇术!$A:$ZZ,30,FALSE)="蓄力技",$B$21,0))*(1+$BQ132)</f>
        <v>13695.3606841391</v>
      </c>
      <c r="M132" s="39">
        <f>(($AO132*$AH132+$AI132)*(1+$AP132)*(1+$AQ132)+($AT132*IF($G$1="鸣金",$AJ132,$AH132)+IF($G$1="鸣金",$AK132*1.5,0))*(1+$AU132)*(1+$AV132)+($AX132*IF($G$1="裂石",$AJ132,$AH132)+IF($G$1="裂石",$AK132*1.5,0))*(1+$AY132)*(1+$AZ132)+($BB132*IF($G$1="牵丝",$AJ132,$AH132)+IF($G$1="牵丝",$AK132*1.5,0))*(1+$BC132)*(1+$BD132)+($BF132*IF($G$1="破竹",$AJ132,$AH132)+IF($G$1="破竹",$AK132*1.5,0))*(1+$BG132)*(1+$BH132))*(1+$AL132)*$BM132*$P132*(1+IF(VLOOKUP($Q132,武学奇术!$A:$ZZ,30,FALSE)="蓄力技",$B$21,0))*(1+$BQ132)</f>
        <v>12474.1080139662</v>
      </c>
      <c r="N132" s="39">
        <f>((($AN132+($AO132-$AN132)*IF(VLOOKUP($Q132,武学奇术!$A:$ZZ,31,FALSE)=1,$F$18,0.5))*$AH132+$AI132)*(1+$AP132)*(1+$AQ132)+(($AS132+($AT132-$AS132)*IF(VLOOKUP($Q132,武学奇术!$A:$ZZ,31,FALSE)=1,$F$18,0.5))*IF($G$1="鸣金",$AJ132,$AH132)+IF($G$1="鸣金",$AK132*1.5,0))*(1+$AU132)*(1+$AV132)+(($AW132+($AX132-$AW132)*IF(VLOOKUP($Q132,武学奇术!$A:$ZZ,31,FALSE)=1,$F$18,0.5))*IF($G$1="裂石",$AJ132,$AH132)+IF($G$1="裂石",$AK132*1.5,0))*(1+$AY132)*(1+$AZ132)+(($BA132+($BB132-$BA132)*IF(VLOOKUP($Q132,武学奇术!$A:$ZZ,31,FALSE)=1,$F$18,0.5))*IF($G$1="牵丝",$AJ132,$AH132)+IF($G$1="牵丝",$AK132*1.5,0))*(1+$BC132)*(1+$BD132)+(($BE132+($BF132-$BE132)*IF(VLOOKUP($Q132,武学奇术!$A:$ZZ,31,FALSE)=1,$F$18,0.5))*IF($G$1="破竹",$AJ132,$AH132)+IF($G$1="破竹",$AK132*1.5,0))*(1+$BG132)*(1+$BH132))*(1+$AL132)*$P132*(1+IF(VLOOKUP($Q132,武学奇术!$A:$ZZ,30,FALSE)="蓄力技",$B$21,0))*(1+$BQ132)</f>
        <v>8350.82968545068</v>
      </c>
      <c r="O132" s="39">
        <f>((($AN132*$AH132+$AI132)*(1+$AP132)*(1+$AQ132)+($AS132*IF($G$1="鸣金",$AJ132,$AH132)+IF($G$1="鸣金",$AK132*1.5,0))*(1+$AU132)*(1+$AV132)+($AW132*IF($G$1="裂石",$AJ132,$AH132)+IF($G$1="裂石",$AK132*1.5,0))*(1+$AY132)*(1+$AZ132)+($BA132*IF($G$1="牵丝",$AJ132,$AH132)+IF($G$1="牵丝",$AK132*1.5,0))*(1+$BC132)*(1+$BD132)+($BE132*IF($G$1="破竹",$AJ132,$AH132)+IF($G$1="破竹",$AK132*1.5,0))*(1+$BG132)*(1+$BH132))*(1+$AL132))*$P132*(1+IF(VLOOKUP($Q132,武学奇术!$A:$ZZ,30,FALSE)="蓄力技",$B$21,0))*(1+$BQ132)</f>
        <v>7461.57936055604</v>
      </c>
      <c r="P132" s="40">
        <f t="shared" si="22"/>
        <v>1</v>
      </c>
      <c r="Q132" s="41" t="s">
        <v>193</v>
      </c>
      <c r="R132" s="41" t="s">
        <v>97</v>
      </c>
      <c r="S132" s="41" t="s">
        <v>73</v>
      </c>
      <c r="T132" s="41" t="s">
        <v>73</v>
      </c>
      <c r="U132" s="41" t="s">
        <v>73</v>
      </c>
      <c r="V132" s="41" t="s">
        <v>73</v>
      </c>
      <c r="W132" s="41" t="s">
        <v>73</v>
      </c>
      <c r="X132" s="41" t="s">
        <v>164</v>
      </c>
      <c r="Y132" s="41" t="s">
        <v>73</v>
      </c>
      <c r="Z132" s="41" t="s">
        <v>73</v>
      </c>
      <c r="AA132" s="41" t="s">
        <v>73</v>
      </c>
      <c r="AB132" s="41" t="s">
        <v>73</v>
      </c>
      <c r="AC132" s="41" t="s">
        <v>73</v>
      </c>
      <c r="AD132" s="41" t="s">
        <v>73</v>
      </c>
      <c r="AE132" s="41" t="s">
        <v>77</v>
      </c>
      <c r="AF132" s="41" t="s">
        <v>78</v>
      </c>
      <c r="AG132" t="str">
        <f>VLOOKUP($Q132,武学奇术!$A:$ZZ,25,FALSE)</f>
        <v>心法</v>
      </c>
      <c r="AH132" s="27">
        <f>VLOOKUP($Q132,武学奇术!$A:$ZZ,26,FALSE)</f>
        <v>1</v>
      </c>
      <c r="AI132" s="28">
        <f>VLOOKUP($Q132,武学奇术!$A:$ZZ,27,FALSE)*(1+IF(OR($AG132=$F$4,$AG132=$F$5),$B$22,0))</f>
        <v>0</v>
      </c>
      <c r="AJ132" s="27">
        <f>VLOOKUP($Q132,武学奇术!$A:$ZZ,28,FALSE)</f>
        <v>1</v>
      </c>
      <c r="AK132" s="28">
        <f>VLOOKUP($Q132,武学奇术!$A:$ZZ,29,FALSE)*(1+IF(OR($AG132=$F$4,$AG132=$F$5),$B$22,0))</f>
        <v>0</v>
      </c>
      <c r="AL132" s="27" cm="1">
        <f t="array" ref="AL132">$G$3+IFERROR(VLOOKUP($AG132,$F$4:$G$7,2,FALSE),0)+VLOOKUP($Q132,武学奇术!$A:$ZZ,2,FALSE)+SUM(_xlfn.XLOOKUP($R132:$AF132,增益!$A:$A,增益!$B:$B,0))</f>
        <v>0.1537</v>
      </c>
      <c r="AM132" s="27" cm="1">
        <f t="array" ref="AM132">VLOOKUP($Q132,武学奇术!$A:$ZZ,5,FALSE)+SUM(_xlfn.XLOOKUP($R132:$AF132,增益!$A:$A,增益!$E:$E,0))</f>
        <v>0</v>
      </c>
      <c r="AN132" cm="1">
        <f t="array" ref="AN132">$D$10*(1+$AM132)+VLOOKUP($Q132,武学奇术!$A:$ZZ,3,FALSE)+SUM(_xlfn.XLOOKUP($R132:$AF132,增益!$A:$A,增益!$C:$C,0))-$I$2</f>
        <v>3826.382</v>
      </c>
      <c r="AO132" cm="1">
        <f t="array" ref="AO132">$E$10*(1+$AM132)+VLOOKUP($Q132,武学奇术!$A:$ZZ,4,FALSE)+SUM(_xlfn.XLOOKUP($R132:$AF132,增益!$A:$A,增益!$D:$D,0))-$I$2</f>
        <v>3826.382</v>
      </c>
      <c r="AP132" s="33" cm="1">
        <f t="array" ref="AP132">IF($F$10-$I$3+VLOOKUP($Q132,武学奇术!$A:$ZZ,6,FALSE)+SUM(_xlfn.XLOOKUP(R132:AF132,增益!$A:$A,增益!$F:$F,0))&gt;0,($F$10-$I$3+VLOOKUP($Q132,武学奇术!$A:$ZZ,6,FALSE)+SUM(_xlfn.XLOOKUP(R132:AF132,增益!$A:$A,增益!$F:$F,0)))/200,($F$10-$I$3+VLOOKUP($Q132,武学奇术!$A:$ZZ,6,FALSE)+SUM(_xlfn.XLOOKUP(R132:AF132,增益!$A:$A,增益!$F:$F,0)))/100)</f>
        <v>0.217</v>
      </c>
      <c r="AQ132" s="33" cm="1">
        <f t="array" ref="AQ132">$G$10+VLOOKUP($Q132,武学奇术!$A:$ZZ,7,FALSE)+SUM(_xlfn.XLOOKUP(R132:AF132,增益!$A:$A,增益!$G:$G,0))</f>
        <v>0.09</v>
      </c>
      <c r="AR132" s="27" cm="1">
        <f t="array" ref="AR132">VLOOKUP($Q132,武学奇术!$A:$ZZ,8,FALSE)+SUM(_xlfn.XLOOKUP(R132:AF132,增益!$A:$A,增益!$H:$H,0))</f>
        <v>0</v>
      </c>
      <c r="AS132">
        <f t="shared" si="24"/>
        <v>0</v>
      </c>
      <c r="AT132">
        <f t="shared" si="25"/>
        <v>0</v>
      </c>
      <c r="AU132" s="33" cm="1">
        <f t="array" ref="AU132">IF($F$11-$I$4+VLOOKUP($Q132,武学奇术!$A:$ZZ,9,FALSE)+SUM(_xlfn.XLOOKUP(R132:AF132,增益!$A:$A,增益!$I:$I,0))&gt;0,($F$11-$I$4+VLOOKUP($Q132,武学奇术!$A:$ZZ,9,FALSE)+SUM(_xlfn.XLOOKUP(R132:AF132,增益!$A:$A,增益!$I:$I,0)))/200,($F$11-$I$4+VLOOKUP($Q132,武学奇术!$A:$ZZ,9,FALSE)+SUM(_xlfn.XLOOKUP(R132:AF132,增益!$A:$A,增益!$I:$I,0)))/100)</f>
        <v>-0.3</v>
      </c>
      <c r="AV132" s="33" cm="1">
        <f t="array" ref="AV132">$G$11+VLOOKUP($Q132,武学奇术!$A:$ZZ,10,FALSE)+SUM(_xlfn.XLOOKUP(R132:AF132,增益!$A:$A,增益!$J:$J,0))</f>
        <v>0</v>
      </c>
      <c r="AW132">
        <f t="shared" si="26"/>
        <v>0</v>
      </c>
      <c r="AX132">
        <f t="shared" si="27"/>
        <v>0</v>
      </c>
      <c r="AY132" s="33" cm="1">
        <f t="array" ref="AY132">IF($F$12-$I$4+VLOOKUP($Q132,武学奇术!$A:$ZZ,11,FALSE)+SUM(_xlfn.XLOOKUP(R132:AF132,增益!$A:$A,增益!$K:$K,0))&gt;0,($F$12-$I$4+VLOOKUP($Q132,武学奇术!$A:$ZZ,11,FALSE)+SUM(_xlfn.XLOOKUP(R132:AF132,增益!$A:$A,增益!$K:$K,0)))/200,($F$12-$I$4+VLOOKUP($Q132,武学奇术!$A:$ZZ,11,FALSE)+SUM(_xlfn.XLOOKUP(R132:AF132,增益!$A:$A,增益!$K:$K,0)))/100)</f>
        <v>-0.3</v>
      </c>
      <c r="AZ132" s="33" cm="1">
        <f t="array" ref="AZ132">$G$12+VLOOKUP($Q132,武学奇术!$A:$ZZ,12,FALSE)+SUM(_xlfn.XLOOKUP(R132:AF132,增益!$A:$A,增益!$L:$L,0))</f>
        <v>0</v>
      </c>
      <c r="BA132">
        <f t="shared" si="28"/>
        <v>0</v>
      </c>
      <c r="BB132">
        <f t="shared" si="29"/>
        <v>0</v>
      </c>
      <c r="BC132" s="33" cm="1">
        <f t="array" ref="BC132">IF($F$13-$I$4+VLOOKUP($Q132,武学奇术!$A:$ZZ,13,FALSE)+SUM(_xlfn.XLOOKUP(R132:AF132,增益!$A:$A,增益!$M:$M,0))&gt;0,($F$13-$I$4+VLOOKUP($Q132,武学奇术!$A:$ZZ,13,FALSE)+SUM(_xlfn.XLOOKUP(R132:AF132,增益!$A:$A,增益!$K:$K,0)))/200,($F$13-$I$4+VLOOKUP($Q132,武学奇术!$A:$ZZ,13,FALSE)+SUM(_xlfn.XLOOKUP(R132:AF132,增益!$A:$A,增益!$M:$M,0)))/100)</f>
        <v>-0.3</v>
      </c>
      <c r="BD132" s="33" cm="1">
        <f t="array" ref="BD132">$G$13+VLOOKUP($Q132,武学奇术!$A:$ZZ,14,FALSE)+SUM(_xlfn.XLOOKUP(R132:AF132,增益!$A:$A,增益!$N:$N,0))</f>
        <v>0</v>
      </c>
      <c r="BE132">
        <f t="shared" si="30"/>
        <v>605.472</v>
      </c>
      <c r="BF132">
        <f t="shared" si="31"/>
        <v>1725.468</v>
      </c>
      <c r="BG132" s="33" cm="1">
        <f t="array" ref="BG132">IF($F$14-$I$4+VLOOKUP($Q132,武学奇术!$A:$ZZ,15,FALSE)+SUM(_xlfn.XLOOKUP(R132:AF132,增益!$A:$A,增益!$O:$O,0))&gt;0,($F$14-$I$4+VLOOKUP($Q132,武学奇术!$A:$ZZ,15,FALSE)+SUM(_xlfn.XLOOKUP(R132:AF132,增益!$A:$A,增益!$O:$O,0)))/200,($F$14-$I$4+VLOOKUP($Q132,武学奇术!$A:$ZZ,15,FALSE)+SUM(_xlfn.XLOOKUP(R132:AF132,增益!$A:$A,增益!$O:$O,0)))/100)</f>
        <v>0</v>
      </c>
      <c r="BH132" s="33" cm="1">
        <f t="array" ref="BH132">$G$14+VLOOKUP($Q132,武学奇术!$A:$ZZ,16,FALSE)+SUM(_xlfn.XLOOKUP(R132:AF132,增益!$A:$A,增益!$P:$P,0))</f>
        <v>0.24</v>
      </c>
      <c r="BI132" s="27">
        <f>MIN(IF(VLOOKUP($Q132,武学奇术!$A:$ZZ,23,FALSE)=1,100%,$B$8),100%)</f>
        <v>1</v>
      </c>
      <c r="BJ132" s="27" cm="1">
        <f t="array" ref="BJ132">IF(VLOOKUP($Q132,武学奇术!$A:$ZZ,23,FALSE)=1,100%,MIN(80%,$B$9+VLOOKUP($Q132,武学奇术!$A:$ZZ,17,FALSE)+SUM(_xlfn.XLOOKUP(R132:AF132,增益!$A:$A,增益!$Q:$Q,0)))+$B$11+SUM(_xlfn.XLOOKUP(R132:AF132,增益!$A:$A,增益!$U:$U,0)))*IF(VLOOKUP($Q132,武学奇术!$A:$ZZ,24,FALSE)=1,0,1)+MIN(IF(VLOOKUP($Q132,武学奇术!$A:$ZZ,32,FALSE)=1,IF(VLOOKUP($Q132,武学奇术!$A:$ZZ,24,FALSE)=1,100%,MIN(40%,$B$10+VLOOKUP($Q132,武学奇术!$A:$ZZ,19,FALSE)+SUM(_xlfn.XLOOKUP(R132:AF132,增益!$A:$A,增益!$S:$S,0)))+$B$12+SUM(_xlfn.XLOOKUP(R132:AF132,增益!$A:$A,增益!$V:$V,0))),0),12%)</f>
        <v>0.9036</v>
      </c>
      <c r="BK132" s="27" cm="1">
        <f t="array" ref="BK132">1+$B$13+VLOOKUP($Q132,武学奇术!$A:$ZZ,18,FALSE)+SUM(_xlfn.XLOOKUP(R132:AF132,增益!$A:$A,增益!$R:$R,0))</f>
        <v>1.64</v>
      </c>
      <c r="BL132" s="27" cm="1">
        <f t="array" ref="BL132">MAX(IF(VLOOKUP($Q132,武学奇术!$A:$ZZ,24,FALSE)=1,100%,MIN(40%,$B$10+VLOOKUP($Q132,武学奇术!$A:$ZZ,19,FALSE)+SUM(_xlfn.XLOOKUP(R132:AF132,增益!$A:$A,增益!$S:$S,0)))+$B$12+SUM(_xlfn.XLOOKUP(R132:AF132,增益!$A:$A,增益!$V:$V,0)))*IF(VLOOKUP($Q132,武学奇术!$A:$ZZ,23,FALSE)=1,0,1)-IF(VLOOKUP($Q132,武学奇术!$A:$ZZ,32,FALSE)=1,12%,0),0)</f>
        <v>0.0929</v>
      </c>
      <c r="BM132" s="27" cm="1">
        <f t="array" ref="BM132">1+$B$14+VLOOKUP($Q132,武学奇术!$A:$ZZ,20,FALSE)+SUM(_xlfn.XLOOKUP(R132:AF132,增益!$A:$A,增益!$T:$T,0))</f>
        <v>1.35</v>
      </c>
      <c r="BN132" s="27">
        <f t="shared" si="32"/>
        <v>0.9036</v>
      </c>
      <c r="BO132" s="27">
        <f t="shared" si="33"/>
        <v>0.00350000000000006</v>
      </c>
      <c r="BP132" s="27">
        <f>IF(VLOOKUP($Q132,武学奇术!$A:$ZZ,22,FALSE)=1,0,(1-$BI132))*(1-$BL132)</f>
        <v>0</v>
      </c>
      <c r="BQ132" s="27" cm="1">
        <f t="array" ref="BQ132">SUM(_xlfn.XLOOKUP(R132:AF132,增益!$A:$A,增益!$W:$W,0))+$I$5</f>
        <v>0.11</v>
      </c>
    </row>
    <row r="133" spans="11:69">
      <c r="K133" s="39">
        <f t="shared" si="23"/>
        <v>16675.9153175363</v>
      </c>
      <c r="L133" s="39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BK133*$P133*(1+IF(VLOOKUP($Q133,武学奇术!$A:$ZZ,30,FALSE)="蓄力技",$B$21,0))*(1+$BQ133)</f>
        <v>17044.902936919</v>
      </c>
      <c r="M133" s="39">
        <f>(($AO133*$AH133+$AI133)*(1+$AP133)*(1+$AQ133)+($AT133*IF($G$1="鸣金",$AJ133,$AH133)+IF($G$1="鸣金",$AK133*1.5,0))*(1+$AU133)*(1+$AV133)+($AX133*IF($G$1="裂石",$AJ133,$AH133)+IF($G$1="裂石",$AK133*1.5,0))*(1+$AY133)*(1+$AZ133)+($BB133*IF($G$1="牵丝",$AJ133,$AH133)+IF($G$1="牵丝",$AK133*1.5,0))*(1+$BC133)*(1+$BD133)+($BF133*IF($G$1="破竹",$AJ133,$AH133)+IF($G$1="破竹",$AK133*1.5,0))*(1+$BG133)*(1+$BH133))*(1+$AL133)*$BM133*$P133*(1+IF(VLOOKUP($Q133,武学奇术!$A:$ZZ,30,FALSE)="蓄力技",$B$21,0))*(1+$BQ133)</f>
        <v>13375.4186078356</v>
      </c>
      <c r="N133" s="39">
        <f>((($AN133+($AO133-$AN133)*IF(VLOOKUP($Q133,武学奇术!$A:$ZZ,31,FALSE)=1,$F$18,0.5))*$AH133+$AI133)*(1+$AP133)*(1+$AQ133)+(($AS133+($AT133-$AS133)*IF(VLOOKUP($Q133,武学奇术!$A:$ZZ,31,FALSE)=1,$F$18,0.5))*IF($G$1="鸣金",$AJ133,$AH133)+IF($G$1="鸣金",$AK133*1.5,0))*(1+$AU133)*(1+$AV133)+(($AW133+($AX133-$AW133)*IF(VLOOKUP($Q133,武学奇术!$A:$ZZ,31,FALSE)=1,$F$18,0.5))*IF($G$1="裂石",$AJ133,$AH133)+IF($G$1="裂石",$AK133*1.5,0))*(1+$AY133)*(1+$AZ133)+(($BA133+($BB133-$BA133)*IF(VLOOKUP($Q133,武学奇术!$A:$ZZ,31,FALSE)=1,$F$18,0.5))*IF($G$1="牵丝",$AJ133,$AH133)+IF($G$1="牵丝",$AK133*1.5,0))*(1+$BC133)*(1+$BD133)+(($BE133+($BF133-$BE133)*IF(VLOOKUP($Q133,武学奇术!$A:$ZZ,31,FALSE)=1,$F$18,0.5))*IF($G$1="破竹",$AJ133,$AH133)+IF($G$1="破竹",$AK133*1.5,0))*(1+$BG133)*(1+$BH133))*(1+$AL133)*$P133*(1+IF(VLOOKUP($Q133,武学奇术!$A:$ZZ,30,FALSE)="蓄力技",$B$21,0))*(1+$BQ133)</f>
        <v>9018.46716239101</v>
      </c>
      <c r="O133" s="39">
        <f>((($AN133*$AH133+$AI133)*(1+$AP133)*(1+$AQ133)+($AS133*IF($G$1="鸣金",$AJ133,$AH133)+IF($G$1="鸣金",$AK133*1.5,0))*(1+$AU133)*(1+$AV133)+($AW133*IF($G$1="裂石",$AJ133,$AH133)+IF($G$1="裂石",$AK133*1.5,0))*(1+$AY133)*(1+$AZ133)+($BA133*IF($G$1="牵丝",$AJ133,$AH133)+IF($G$1="牵丝",$AK133*1.5,0))*(1+$BC133)*(1+$BD133)+($BE133*IF($G$1="破竹",$AJ133,$AH133)+IF($G$1="破竹",$AK133*1.5,0))*(1+$BG133)*(1+$BH133))*(1+$AL133))*$P133*(1+IF(VLOOKUP($Q133,武学奇术!$A:$ZZ,30,FALSE)="蓄力技",$B$21,0))*(1+$BQ133)</f>
        <v>8129.21683749637</v>
      </c>
      <c r="P133" s="40">
        <f t="shared" si="22"/>
        <v>1</v>
      </c>
      <c r="Q133" s="41" t="s">
        <v>193</v>
      </c>
      <c r="R133" s="41" t="s">
        <v>97</v>
      </c>
      <c r="S133" s="41" t="s">
        <v>132</v>
      </c>
      <c r="T133" s="41" t="s">
        <v>73</v>
      </c>
      <c r="U133" s="41" t="s">
        <v>73</v>
      </c>
      <c r="V133" s="41" t="s">
        <v>73</v>
      </c>
      <c r="W133" s="41" t="s">
        <v>73</v>
      </c>
      <c r="X133" s="41" t="s">
        <v>164</v>
      </c>
      <c r="Y133" s="41" t="s">
        <v>73</v>
      </c>
      <c r="Z133" s="41" t="s">
        <v>73</v>
      </c>
      <c r="AA133" s="41" t="s">
        <v>73</v>
      </c>
      <c r="AB133" s="41" t="s">
        <v>73</v>
      </c>
      <c r="AC133" s="41" t="s">
        <v>73</v>
      </c>
      <c r="AD133" s="41" t="s">
        <v>73</v>
      </c>
      <c r="AE133" s="41" t="s">
        <v>77</v>
      </c>
      <c r="AF133" s="41" t="s">
        <v>78</v>
      </c>
      <c r="AG133" t="str">
        <f>VLOOKUP($Q133,武学奇术!$A:$ZZ,25,FALSE)</f>
        <v>心法</v>
      </c>
      <c r="AH133" s="27">
        <f>VLOOKUP($Q133,武学奇术!$A:$ZZ,26,FALSE)</f>
        <v>1</v>
      </c>
      <c r="AI133" s="28">
        <f>VLOOKUP($Q133,武学奇术!$A:$ZZ,27,FALSE)*(1+IF(OR($AG133=$F$4,$AG133=$F$5),$B$22,0))</f>
        <v>0</v>
      </c>
      <c r="AJ133" s="27">
        <f>VLOOKUP($Q133,武学奇术!$A:$ZZ,28,FALSE)</f>
        <v>1</v>
      </c>
      <c r="AK133" s="28">
        <f>VLOOKUP($Q133,武学奇术!$A:$ZZ,29,FALSE)*(1+IF(OR($AG133=$F$4,$AG133=$F$5),$B$22,0))</f>
        <v>0</v>
      </c>
      <c r="AL133" s="27" cm="1">
        <f t="array" ref="AL133">$G$3+IFERROR(VLOOKUP($AG133,$F$4:$G$7,2,FALSE),0)+VLOOKUP($Q133,武学奇术!$A:$ZZ,2,FALSE)+SUM(_xlfn.XLOOKUP($R133:$AF133,增益!$A:$A,增益!$B:$B,0))</f>
        <v>0.1537</v>
      </c>
      <c r="AM133" s="27" cm="1">
        <f t="array" ref="AM133">VLOOKUP($Q133,武学奇术!$A:$ZZ,5,FALSE)+SUM(_xlfn.XLOOKUP($R133:$AF133,增益!$A:$A,增益!$E:$E,0))</f>
        <v>0</v>
      </c>
      <c r="AN133" cm="1">
        <f t="array" ref="AN133">$D$10*(1+$AM133)+VLOOKUP($Q133,武学奇术!$A:$ZZ,3,FALSE)+SUM(_xlfn.XLOOKUP($R133:$AF133,增益!$A:$A,增益!$C:$C,0))-$I$2</f>
        <v>3826.382</v>
      </c>
      <c r="AO133" cm="1">
        <f t="array" ref="AO133">$E$10*(1+$AM133)+VLOOKUP($Q133,武学奇术!$A:$ZZ,4,FALSE)+SUM(_xlfn.XLOOKUP($R133:$AF133,增益!$A:$A,增益!$D:$D,0))-$I$2</f>
        <v>3826.382</v>
      </c>
      <c r="AP133" s="33" cm="1">
        <f t="array" ref="AP133">IF($F$10-$I$3+VLOOKUP($Q133,武学奇术!$A:$ZZ,6,FALSE)+SUM(_xlfn.XLOOKUP(R133:AF133,增益!$A:$A,增益!$F:$F,0))&gt;0,($F$10-$I$3+VLOOKUP($Q133,武学奇术!$A:$ZZ,6,FALSE)+SUM(_xlfn.XLOOKUP(R133:AF133,增益!$A:$A,增益!$F:$F,0)))/200,($F$10-$I$3+VLOOKUP($Q133,武学奇术!$A:$ZZ,6,FALSE)+SUM(_xlfn.XLOOKUP(R133:AF133,增益!$A:$A,增益!$F:$F,0)))/100)</f>
        <v>0.342</v>
      </c>
      <c r="AQ133" s="33" cm="1">
        <f t="array" ref="AQ133">$G$10+VLOOKUP($Q133,武学奇术!$A:$ZZ,7,FALSE)+SUM(_xlfn.XLOOKUP(R133:AF133,增益!$A:$A,增益!$G:$G,0))</f>
        <v>0.09</v>
      </c>
      <c r="AR133" s="27" cm="1">
        <f t="array" ref="AR133">VLOOKUP($Q133,武学奇术!$A:$ZZ,8,FALSE)+SUM(_xlfn.XLOOKUP(R133:AF133,增益!$A:$A,增益!$H:$H,0))</f>
        <v>0</v>
      </c>
      <c r="AS133">
        <f t="shared" si="24"/>
        <v>0</v>
      </c>
      <c r="AT133">
        <f t="shared" si="25"/>
        <v>0</v>
      </c>
      <c r="AU133" s="33" cm="1">
        <f t="array" ref="AU133">IF($F$11-$I$4+VLOOKUP($Q133,武学奇术!$A:$ZZ,9,FALSE)+SUM(_xlfn.XLOOKUP(R133:AF133,增益!$A:$A,增益!$I:$I,0))&gt;0,($F$11-$I$4+VLOOKUP($Q133,武学奇术!$A:$ZZ,9,FALSE)+SUM(_xlfn.XLOOKUP(R133:AF133,增益!$A:$A,增益!$I:$I,0)))/200,($F$11-$I$4+VLOOKUP($Q133,武学奇术!$A:$ZZ,9,FALSE)+SUM(_xlfn.XLOOKUP(R133:AF133,增益!$A:$A,增益!$I:$I,0)))/100)</f>
        <v>-0.3</v>
      </c>
      <c r="AV133" s="33" cm="1">
        <f t="array" ref="AV133">$G$11+VLOOKUP($Q133,武学奇术!$A:$ZZ,10,FALSE)+SUM(_xlfn.XLOOKUP(R133:AF133,增益!$A:$A,增益!$J:$J,0))</f>
        <v>0</v>
      </c>
      <c r="AW133">
        <f t="shared" si="26"/>
        <v>0</v>
      </c>
      <c r="AX133">
        <f t="shared" si="27"/>
        <v>0</v>
      </c>
      <c r="AY133" s="33" cm="1">
        <f t="array" ref="AY133">IF($F$12-$I$4+VLOOKUP($Q133,武学奇术!$A:$ZZ,11,FALSE)+SUM(_xlfn.XLOOKUP(R133:AF133,增益!$A:$A,增益!$K:$K,0))&gt;0,($F$12-$I$4+VLOOKUP($Q133,武学奇术!$A:$ZZ,11,FALSE)+SUM(_xlfn.XLOOKUP(R133:AF133,增益!$A:$A,增益!$K:$K,0)))/200,($F$12-$I$4+VLOOKUP($Q133,武学奇术!$A:$ZZ,11,FALSE)+SUM(_xlfn.XLOOKUP(R133:AF133,增益!$A:$A,增益!$K:$K,0)))/100)</f>
        <v>-0.3</v>
      </c>
      <c r="AZ133" s="33" cm="1">
        <f t="array" ref="AZ133">$G$12+VLOOKUP($Q133,武学奇术!$A:$ZZ,12,FALSE)+SUM(_xlfn.XLOOKUP(R133:AF133,增益!$A:$A,增益!$L:$L,0))</f>
        <v>0</v>
      </c>
      <c r="BA133">
        <f t="shared" si="28"/>
        <v>0</v>
      </c>
      <c r="BB133">
        <f t="shared" si="29"/>
        <v>0</v>
      </c>
      <c r="BC133" s="33" cm="1">
        <f t="array" ref="BC133">IF($F$13-$I$4+VLOOKUP($Q133,武学奇术!$A:$ZZ,13,FALSE)+SUM(_xlfn.XLOOKUP(R133:AF133,增益!$A:$A,增益!$M:$M,0))&gt;0,($F$13-$I$4+VLOOKUP($Q133,武学奇术!$A:$ZZ,13,FALSE)+SUM(_xlfn.XLOOKUP(R133:AF133,增益!$A:$A,增益!$K:$K,0)))/200,($F$13-$I$4+VLOOKUP($Q133,武学奇术!$A:$ZZ,13,FALSE)+SUM(_xlfn.XLOOKUP(R133:AF133,增益!$A:$A,增益!$M:$M,0)))/100)</f>
        <v>-0.3</v>
      </c>
      <c r="BD133" s="33" cm="1">
        <f t="array" ref="BD133">$G$13+VLOOKUP($Q133,武学奇术!$A:$ZZ,14,FALSE)+SUM(_xlfn.XLOOKUP(R133:AF133,增益!$A:$A,增益!$N:$N,0))</f>
        <v>0</v>
      </c>
      <c r="BE133">
        <f t="shared" si="30"/>
        <v>605.472</v>
      </c>
      <c r="BF133">
        <f t="shared" si="31"/>
        <v>1725.468</v>
      </c>
      <c r="BG133" s="33" cm="1">
        <f t="array" ref="BG133">IF($F$14-$I$4+VLOOKUP($Q133,武学奇术!$A:$ZZ,15,FALSE)+SUM(_xlfn.XLOOKUP(R133:AF133,增益!$A:$A,增益!$O:$O,0))&gt;0,($F$14-$I$4+VLOOKUP($Q133,武学奇术!$A:$ZZ,15,FALSE)+SUM(_xlfn.XLOOKUP(R133:AF133,增益!$A:$A,增益!$O:$O,0)))/200,($F$14-$I$4+VLOOKUP($Q133,武学奇术!$A:$ZZ,15,FALSE)+SUM(_xlfn.XLOOKUP(R133:AF133,增益!$A:$A,增益!$O:$O,0)))/100)</f>
        <v>0</v>
      </c>
      <c r="BH133" s="33" cm="1">
        <f t="array" ref="BH133">$G$14+VLOOKUP($Q133,武学奇术!$A:$ZZ,16,FALSE)+SUM(_xlfn.XLOOKUP(R133:AF133,增益!$A:$A,增益!$P:$P,0))</f>
        <v>0.24</v>
      </c>
      <c r="BI133" s="27">
        <f>MIN(IF(VLOOKUP($Q133,武学奇术!$A:$ZZ,23,FALSE)=1,100%,$B$8),100%)</f>
        <v>1</v>
      </c>
      <c r="BJ133" s="27" cm="1">
        <f t="array" ref="BJ133">IF(VLOOKUP($Q133,武学奇术!$A:$ZZ,23,FALSE)=1,100%,MIN(80%,$B$9+VLOOKUP($Q133,武学奇术!$A:$ZZ,17,FALSE)+SUM(_xlfn.XLOOKUP(R133:AF133,增益!$A:$A,增益!$Q:$Q,0)))+$B$11+SUM(_xlfn.XLOOKUP(R133:AF133,增益!$A:$A,增益!$U:$U,0)))*IF(VLOOKUP($Q133,武学奇术!$A:$ZZ,24,FALSE)=1,0,1)+MIN(IF(VLOOKUP($Q133,武学奇术!$A:$ZZ,32,FALSE)=1,IF(VLOOKUP($Q133,武学奇术!$A:$ZZ,24,FALSE)=1,100%,MIN(40%,$B$10+VLOOKUP($Q133,武学奇术!$A:$ZZ,19,FALSE)+SUM(_xlfn.XLOOKUP(R133:AF133,增益!$A:$A,增益!$S:$S,0)))+$B$12+SUM(_xlfn.XLOOKUP(R133:AF133,增益!$A:$A,增益!$V:$V,0))),0),12%)</f>
        <v>0.9036</v>
      </c>
      <c r="BK133" s="27" cm="1">
        <f t="array" ref="BK133">1+$B$13+VLOOKUP($Q133,武学奇术!$A:$ZZ,18,FALSE)+SUM(_xlfn.XLOOKUP(R133:AF133,增益!$A:$A,增益!$R:$R,0))</f>
        <v>1.89</v>
      </c>
      <c r="BL133" s="27" cm="1">
        <f t="array" ref="BL133">MAX(IF(VLOOKUP($Q133,武学奇术!$A:$ZZ,24,FALSE)=1,100%,MIN(40%,$B$10+VLOOKUP($Q133,武学奇术!$A:$ZZ,19,FALSE)+SUM(_xlfn.XLOOKUP(R133:AF133,增益!$A:$A,增益!$S:$S,0)))+$B$12+SUM(_xlfn.XLOOKUP(R133:AF133,增益!$A:$A,增益!$V:$V,0)))*IF(VLOOKUP($Q133,武学奇术!$A:$ZZ,23,FALSE)=1,0,1)-IF(VLOOKUP($Q133,武学奇术!$A:$ZZ,32,FALSE)=1,12%,0),0)</f>
        <v>0.0929</v>
      </c>
      <c r="BM133" s="27" cm="1">
        <f t="array" ref="BM133">1+$B$14+VLOOKUP($Q133,武学奇术!$A:$ZZ,20,FALSE)+SUM(_xlfn.XLOOKUP(R133:AF133,增益!$A:$A,增益!$T:$T,0))</f>
        <v>1.35</v>
      </c>
      <c r="BN133" s="27">
        <f t="shared" si="32"/>
        <v>0.9036</v>
      </c>
      <c r="BO133" s="27">
        <f t="shared" si="33"/>
        <v>0.00350000000000006</v>
      </c>
      <c r="BP133" s="27">
        <f>IF(VLOOKUP($Q133,武学奇术!$A:$ZZ,22,FALSE)=1,0,(1-$BI133))*(1-$BL133)</f>
        <v>0</v>
      </c>
      <c r="BQ133" s="27" cm="1">
        <f t="array" ref="BQ133">SUM(_xlfn.XLOOKUP(R133:AF133,增益!$A:$A,增益!$W:$W,0))+$I$5</f>
        <v>0.11</v>
      </c>
    </row>
    <row r="134" spans="11:69">
      <c r="K134" s="39">
        <f t="shared" si="23"/>
        <v>13563.2004525846</v>
      </c>
      <c r="L134" s="39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BK134*$P134*(1+IF(VLOOKUP($Q134,武学奇术!$A:$ZZ,30,FALSE)="蓄力技",$B$21,0))*(1+$BQ134)</f>
        <v>13695.3606841391</v>
      </c>
      <c r="M134" s="39">
        <f>(($AO134*$AH134+$AI134)*(1+$AP134)*(1+$AQ134)+($AT134*IF($G$1="鸣金",$AJ134,$AH134)+IF($G$1="鸣金",$AK134*1.5,0))*(1+$AU134)*(1+$AV134)+($AX134*IF($G$1="裂石",$AJ134,$AH134)+IF($G$1="裂石",$AK134*1.5,0))*(1+$AY134)*(1+$AZ134)+($BB134*IF($G$1="牵丝",$AJ134,$AH134)+IF($G$1="牵丝",$AK134*1.5,0))*(1+$BC134)*(1+$BD134)+($BF134*IF($G$1="破竹",$AJ134,$AH134)+IF($G$1="破竹",$AK134*1.5,0))*(1+$BG134)*(1+$BH134))*(1+$AL134)*$BM134*$P134*(1+IF(VLOOKUP($Q134,武学奇术!$A:$ZZ,30,FALSE)="蓄力技",$B$21,0))*(1+$BQ134)</f>
        <v>12474.1080139662</v>
      </c>
      <c r="N134" s="39">
        <f>((($AN134+($AO134-$AN134)*IF(VLOOKUP($Q134,武学奇术!$A:$ZZ,31,FALSE)=1,$F$18,0.5))*$AH134+$AI134)*(1+$AP134)*(1+$AQ134)+(($AS134+($AT134-$AS134)*IF(VLOOKUP($Q134,武学奇术!$A:$ZZ,31,FALSE)=1,$F$18,0.5))*IF($G$1="鸣金",$AJ134,$AH134)+IF($G$1="鸣金",$AK134*1.5,0))*(1+$AU134)*(1+$AV134)+(($AW134+($AX134-$AW134)*IF(VLOOKUP($Q134,武学奇术!$A:$ZZ,31,FALSE)=1,$F$18,0.5))*IF($G$1="裂石",$AJ134,$AH134)+IF($G$1="裂石",$AK134*1.5,0))*(1+$AY134)*(1+$AZ134)+(($BA134+($BB134-$BA134)*IF(VLOOKUP($Q134,武学奇术!$A:$ZZ,31,FALSE)=1,$F$18,0.5))*IF($G$1="牵丝",$AJ134,$AH134)+IF($G$1="牵丝",$AK134*1.5,0))*(1+$BC134)*(1+$BD134)+(($BE134+($BF134-$BE134)*IF(VLOOKUP($Q134,武学奇术!$A:$ZZ,31,FALSE)=1,$F$18,0.5))*IF($G$1="破竹",$AJ134,$AH134)+IF($G$1="破竹",$AK134*1.5,0))*(1+$BG134)*(1+$BH134))*(1+$AL134)*$P134*(1+IF(VLOOKUP($Q134,武学奇术!$A:$ZZ,30,FALSE)="蓄力技",$B$21,0))*(1+$BQ134)</f>
        <v>8350.82968545068</v>
      </c>
      <c r="O134" s="39">
        <f>((($AN134*$AH134+$AI134)*(1+$AP134)*(1+$AQ134)+($AS134*IF($G$1="鸣金",$AJ134,$AH134)+IF($G$1="鸣金",$AK134*1.5,0))*(1+$AU134)*(1+$AV134)+($AW134*IF($G$1="裂石",$AJ134,$AH134)+IF($G$1="裂石",$AK134*1.5,0))*(1+$AY134)*(1+$AZ134)+($BA134*IF($G$1="牵丝",$AJ134,$AH134)+IF($G$1="牵丝",$AK134*1.5,0))*(1+$BC134)*(1+$BD134)+($BE134*IF($G$1="破竹",$AJ134,$AH134)+IF($G$1="破竹",$AK134*1.5,0))*(1+$BG134)*(1+$BH134))*(1+$AL134))*$P134*(1+IF(VLOOKUP($Q134,武学奇术!$A:$ZZ,30,FALSE)="蓄力技",$B$21,0))*(1+$BQ134)</f>
        <v>7461.57936055604</v>
      </c>
      <c r="P134" s="40">
        <f t="shared" si="22"/>
        <v>1</v>
      </c>
      <c r="Q134" s="41" t="s">
        <v>193</v>
      </c>
      <c r="R134" s="41" t="s">
        <v>97</v>
      </c>
      <c r="S134" s="41" t="s">
        <v>73</v>
      </c>
      <c r="T134" s="41" t="s">
        <v>73</v>
      </c>
      <c r="U134" s="41" t="s">
        <v>73</v>
      </c>
      <c r="V134" s="41" t="s">
        <v>73</v>
      </c>
      <c r="W134" s="41" t="s">
        <v>73</v>
      </c>
      <c r="X134" s="41" t="s">
        <v>164</v>
      </c>
      <c r="Y134" s="41" t="s">
        <v>73</v>
      </c>
      <c r="Z134" s="41" t="s">
        <v>73</v>
      </c>
      <c r="AA134" s="41" t="s">
        <v>73</v>
      </c>
      <c r="AB134" s="41" t="s">
        <v>73</v>
      </c>
      <c r="AC134" s="41" t="s">
        <v>73</v>
      </c>
      <c r="AD134" s="41" t="s">
        <v>73</v>
      </c>
      <c r="AE134" s="41" t="s">
        <v>77</v>
      </c>
      <c r="AF134" s="41" t="s">
        <v>78</v>
      </c>
      <c r="AG134" t="str">
        <f>VLOOKUP($Q134,武学奇术!$A:$ZZ,25,FALSE)</f>
        <v>心法</v>
      </c>
      <c r="AH134" s="27">
        <f>VLOOKUP($Q134,武学奇术!$A:$ZZ,26,FALSE)</f>
        <v>1</v>
      </c>
      <c r="AI134" s="28">
        <f>VLOOKUP($Q134,武学奇术!$A:$ZZ,27,FALSE)*(1+IF(OR($AG134=$F$4,$AG134=$F$5),$B$22,0))</f>
        <v>0</v>
      </c>
      <c r="AJ134" s="27">
        <f>VLOOKUP($Q134,武学奇术!$A:$ZZ,28,FALSE)</f>
        <v>1</v>
      </c>
      <c r="AK134" s="28">
        <f>VLOOKUP($Q134,武学奇术!$A:$ZZ,29,FALSE)*(1+IF(OR($AG134=$F$4,$AG134=$F$5),$B$22,0))</f>
        <v>0</v>
      </c>
      <c r="AL134" s="27" cm="1">
        <f t="array" ref="AL134">$G$3+IFERROR(VLOOKUP($AG134,$F$4:$G$7,2,FALSE),0)+VLOOKUP($Q134,武学奇术!$A:$ZZ,2,FALSE)+SUM(_xlfn.XLOOKUP($R134:$AF134,增益!$A:$A,增益!$B:$B,0))</f>
        <v>0.1537</v>
      </c>
      <c r="AM134" s="27" cm="1">
        <f t="array" ref="AM134">VLOOKUP($Q134,武学奇术!$A:$ZZ,5,FALSE)+SUM(_xlfn.XLOOKUP($R134:$AF134,增益!$A:$A,增益!$E:$E,0))</f>
        <v>0</v>
      </c>
      <c r="AN134" cm="1">
        <f t="array" ref="AN134">$D$10*(1+$AM134)+VLOOKUP($Q134,武学奇术!$A:$ZZ,3,FALSE)+SUM(_xlfn.XLOOKUP($R134:$AF134,增益!$A:$A,增益!$C:$C,0))-$I$2</f>
        <v>3826.382</v>
      </c>
      <c r="AO134" cm="1">
        <f t="array" ref="AO134">$E$10*(1+$AM134)+VLOOKUP($Q134,武学奇术!$A:$ZZ,4,FALSE)+SUM(_xlfn.XLOOKUP($R134:$AF134,增益!$A:$A,增益!$D:$D,0))-$I$2</f>
        <v>3826.382</v>
      </c>
      <c r="AP134" s="33" cm="1">
        <f t="array" ref="AP134">IF($F$10-$I$3+VLOOKUP($Q134,武学奇术!$A:$ZZ,6,FALSE)+SUM(_xlfn.XLOOKUP(R134:AF134,增益!$A:$A,增益!$F:$F,0))&gt;0,($F$10-$I$3+VLOOKUP($Q134,武学奇术!$A:$ZZ,6,FALSE)+SUM(_xlfn.XLOOKUP(R134:AF134,增益!$A:$A,增益!$F:$F,0)))/200,($F$10-$I$3+VLOOKUP($Q134,武学奇术!$A:$ZZ,6,FALSE)+SUM(_xlfn.XLOOKUP(R134:AF134,增益!$A:$A,增益!$F:$F,0)))/100)</f>
        <v>0.217</v>
      </c>
      <c r="AQ134" s="33" cm="1">
        <f t="array" ref="AQ134">$G$10+VLOOKUP($Q134,武学奇术!$A:$ZZ,7,FALSE)+SUM(_xlfn.XLOOKUP(R134:AF134,增益!$A:$A,增益!$G:$G,0))</f>
        <v>0.09</v>
      </c>
      <c r="AR134" s="27" cm="1">
        <f t="array" ref="AR134">VLOOKUP($Q134,武学奇术!$A:$ZZ,8,FALSE)+SUM(_xlfn.XLOOKUP(R134:AF134,增益!$A:$A,增益!$H:$H,0))</f>
        <v>0</v>
      </c>
      <c r="AS134">
        <f t="shared" si="24"/>
        <v>0</v>
      </c>
      <c r="AT134">
        <f t="shared" si="25"/>
        <v>0</v>
      </c>
      <c r="AU134" s="33" cm="1">
        <f t="array" ref="AU134">IF($F$11-$I$4+VLOOKUP($Q134,武学奇术!$A:$ZZ,9,FALSE)+SUM(_xlfn.XLOOKUP(R134:AF134,增益!$A:$A,增益!$I:$I,0))&gt;0,($F$11-$I$4+VLOOKUP($Q134,武学奇术!$A:$ZZ,9,FALSE)+SUM(_xlfn.XLOOKUP(R134:AF134,增益!$A:$A,增益!$I:$I,0)))/200,($F$11-$I$4+VLOOKUP($Q134,武学奇术!$A:$ZZ,9,FALSE)+SUM(_xlfn.XLOOKUP(R134:AF134,增益!$A:$A,增益!$I:$I,0)))/100)</f>
        <v>-0.3</v>
      </c>
      <c r="AV134" s="33" cm="1">
        <f t="array" ref="AV134">$G$11+VLOOKUP($Q134,武学奇术!$A:$ZZ,10,FALSE)+SUM(_xlfn.XLOOKUP(R134:AF134,增益!$A:$A,增益!$J:$J,0))</f>
        <v>0</v>
      </c>
      <c r="AW134">
        <f t="shared" si="26"/>
        <v>0</v>
      </c>
      <c r="AX134">
        <f t="shared" si="27"/>
        <v>0</v>
      </c>
      <c r="AY134" s="33" cm="1">
        <f t="array" ref="AY134">IF($F$12-$I$4+VLOOKUP($Q134,武学奇术!$A:$ZZ,11,FALSE)+SUM(_xlfn.XLOOKUP(R134:AF134,增益!$A:$A,增益!$K:$K,0))&gt;0,($F$12-$I$4+VLOOKUP($Q134,武学奇术!$A:$ZZ,11,FALSE)+SUM(_xlfn.XLOOKUP(R134:AF134,增益!$A:$A,增益!$K:$K,0)))/200,($F$12-$I$4+VLOOKUP($Q134,武学奇术!$A:$ZZ,11,FALSE)+SUM(_xlfn.XLOOKUP(R134:AF134,增益!$A:$A,增益!$K:$K,0)))/100)</f>
        <v>-0.3</v>
      </c>
      <c r="AZ134" s="33" cm="1">
        <f t="array" ref="AZ134">$G$12+VLOOKUP($Q134,武学奇术!$A:$ZZ,12,FALSE)+SUM(_xlfn.XLOOKUP(R134:AF134,增益!$A:$A,增益!$L:$L,0))</f>
        <v>0</v>
      </c>
      <c r="BA134">
        <f t="shared" si="28"/>
        <v>0</v>
      </c>
      <c r="BB134">
        <f t="shared" si="29"/>
        <v>0</v>
      </c>
      <c r="BC134" s="33" cm="1">
        <f t="array" ref="BC134">IF($F$13-$I$4+VLOOKUP($Q134,武学奇术!$A:$ZZ,13,FALSE)+SUM(_xlfn.XLOOKUP(R134:AF134,增益!$A:$A,增益!$M:$M,0))&gt;0,($F$13-$I$4+VLOOKUP($Q134,武学奇术!$A:$ZZ,13,FALSE)+SUM(_xlfn.XLOOKUP(R134:AF134,增益!$A:$A,增益!$K:$K,0)))/200,($F$13-$I$4+VLOOKUP($Q134,武学奇术!$A:$ZZ,13,FALSE)+SUM(_xlfn.XLOOKUP(R134:AF134,增益!$A:$A,增益!$M:$M,0)))/100)</f>
        <v>-0.3</v>
      </c>
      <c r="BD134" s="33" cm="1">
        <f t="array" ref="BD134">$G$13+VLOOKUP($Q134,武学奇术!$A:$ZZ,14,FALSE)+SUM(_xlfn.XLOOKUP(R134:AF134,增益!$A:$A,增益!$N:$N,0))</f>
        <v>0</v>
      </c>
      <c r="BE134">
        <f t="shared" si="30"/>
        <v>605.472</v>
      </c>
      <c r="BF134">
        <f t="shared" si="31"/>
        <v>1725.468</v>
      </c>
      <c r="BG134" s="33" cm="1">
        <f t="array" ref="BG134">IF($F$14-$I$4+VLOOKUP($Q134,武学奇术!$A:$ZZ,15,FALSE)+SUM(_xlfn.XLOOKUP(R134:AF134,增益!$A:$A,增益!$O:$O,0))&gt;0,($F$14-$I$4+VLOOKUP($Q134,武学奇术!$A:$ZZ,15,FALSE)+SUM(_xlfn.XLOOKUP(R134:AF134,增益!$A:$A,增益!$O:$O,0)))/200,($F$14-$I$4+VLOOKUP($Q134,武学奇术!$A:$ZZ,15,FALSE)+SUM(_xlfn.XLOOKUP(R134:AF134,增益!$A:$A,增益!$O:$O,0)))/100)</f>
        <v>0</v>
      </c>
      <c r="BH134" s="33" cm="1">
        <f t="array" ref="BH134">$G$14+VLOOKUP($Q134,武学奇术!$A:$ZZ,16,FALSE)+SUM(_xlfn.XLOOKUP(R134:AF134,增益!$A:$A,增益!$P:$P,0))</f>
        <v>0.24</v>
      </c>
      <c r="BI134" s="27">
        <f>MIN(IF(VLOOKUP($Q134,武学奇术!$A:$ZZ,23,FALSE)=1,100%,$B$8),100%)</f>
        <v>1</v>
      </c>
      <c r="BJ134" s="27" cm="1">
        <f t="array" ref="BJ134">IF(VLOOKUP($Q134,武学奇术!$A:$ZZ,23,FALSE)=1,100%,MIN(80%,$B$9+VLOOKUP($Q134,武学奇术!$A:$ZZ,17,FALSE)+SUM(_xlfn.XLOOKUP(R134:AF134,增益!$A:$A,增益!$Q:$Q,0)))+$B$11+SUM(_xlfn.XLOOKUP(R134:AF134,增益!$A:$A,增益!$U:$U,0)))*IF(VLOOKUP($Q134,武学奇术!$A:$ZZ,24,FALSE)=1,0,1)+MIN(IF(VLOOKUP($Q134,武学奇术!$A:$ZZ,32,FALSE)=1,IF(VLOOKUP($Q134,武学奇术!$A:$ZZ,24,FALSE)=1,100%,MIN(40%,$B$10+VLOOKUP($Q134,武学奇术!$A:$ZZ,19,FALSE)+SUM(_xlfn.XLOOKUP(R134:AF134,增益!$A:$A,增益!$S:$S,0)))+$B$12+SUM(_xlfn.XLOOKUP(R134:AF134,增益!$A:$A,增益!$V:$V,0))),0),12%)</f>
        <v>0.9036</v>
      </c>
      <c r="BK134" s="27" cm="1">
        <f t="array" ref="BK134">1+$B$13+VLOOKUP($Q134,武学奇术!$A:$ZZ,18,FALSE)+SUM(_xlfn.XLOOKUP(R134:AF134,增益!$A:$A,增益!$R:$R,0))</f>
        <v>1.64</v>
      </c>
      <c r="BL134" s="27" cm="1">
        <f t="array" ref="BL134">MAX(IF(VLOOKUP($Q134,武学奇术!$A:$ZZ,24,FALSE)=1,100%,MIN(40%,$B$10+VLOOKUP($Q134,武学奇术!$A:$ZZ,19,FALSE)+SUM(_xlfn.XLOOKUP(R134:AF134,增益!$A:$A,增益!$S:$S,0)))+$B$12+SUM(_xlfn.XLOOKUP(R134:AF134,增益!$A:$A,增益!$V:$V,0)))*IF(VLOOKUP($Q134,武学奇术!$A:$ZZ,23,FALSE)=1,0,1)-IF(VLOOKUP($Q134,武学奇术!$A:$ZZ,32,FALSE)=1,12%,0),0)</f>
        <v>0.0929</v>
      </c>
      <c r="BM134" s="27" cm="1">
        <f t="array" ref="BM134">1+$B$14+VLOOKUP($Q134,武学奇术!$A:$ZZ,20,FALSE)+SUM(_xlfn.XLOOKUP(R134:AF134,增益!$A:$A,增益!$T:$T,0))</f>
        <v>1.35</v>
      </c>
      <c r="BN134" s="27">
        <f t="shared" si="32"/>
        <v>0.9036</v>
      </c>
      <c r="BO134" s="27">
        <f t="shared" si="33"/>
        <v>0.00350000000000006</v>
      </c>
      <c r="BP134" s="27">
        <f>IF(VLOOKUP($Q134,武学奇术!$A:$ZZ,22,FALSE)=1,0,(1-$BI134))*(1-$BL134)</f>
        <v>0</v>
      </c>
      <c r="BQ134" s="27" cm="1">
        <f t="array" ref="BQ134">SUM(_xlfn.XLOOKUP(R134:AF134,增益!$A:$A,增益!$W:$W,0))+$I$5</f>
        <v>0.11</v>
      </c>
    </row>
    <row r="135" spans="11:69">
      <c r="K135" s="39">
        <f t="shared" si="23"/>
        <v>13563.2004525846</v>
      </c>
      <c r="L135" s="39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BK135*$P135*(1+IF(VLOOKUP($Q135,武学奇术!$A:$ZZ,30,FALSE)="蓄力技",$B$21,0))*(1+$BQ135)</f>
        <v>13695.3606841391</v>
      </c>
      <c r="M135" s="39">
        <f>(($AO135*$AH135+$AI135)*(1+$AP135)*(1+$AQ135)+($AT135*IF($G$1="鸣金",$AJ135,$AH135)+IF($G$1="鸣金",$AK135*1.5,0))*(1+$AU135)*(1+$AV135)+($AX135*IF($G$1="裂石",$AJ135,$AH135)+IF($G$1="裂石",$AK135*1.5,0))*(1+$AY135)*(1+$AZ135)+($BB135*IF($G$1="牵丝",$AJ135,$AH135)+IF($G$1="牵丝",$AK135*1.5,0))*(1+$BC135)*(1+$BD135)+($BF135*IF($G$1="破竹",$AJ135,$AH135)+IF($G$1="破竹",$AK135*1.5,0))*(1+$BG135)*(1+$BH135))*(1+$AL135)*$BM135*$P135*(1+IF(VLOOKUP($Q135,武学奇术!$A:$ZZ,30,FALSE)="蓄力技",$B$21,0))*(1+$BQ135)</f>
        <v>12474.1080139662</v>
      </c>
      <c r="N135" s="39">
        <f>((($AN135+($AO135-$AN135)*IF(VLOOKUP($Q135,武学奇术!$A:$ZZ,31,FALSE)=1,$F$18,0.5))*$AH135+$AI135)*(1+$AP135)*(1+$AQ135)+(($AS135+($AT135-$AS135)*IF(VLOOKUP($Q135,武学奇术!$A:$ZZ,31,FALSE)=1,$F$18,0.5))*IF($G$1="鸣金",$AJ135,$AH135)+IF($G$1="鸣金",$AK135*1.5,0))*(1+$AU135)*(1+$AV135)+(($AW135+($AX135-$AW135)*IF(VLOOKUP($Q135,武学奇术!$A:$ZZ,31,FALSE)=1,$F$18,0.5))*IF($G$1="裂石",$AJ135,$AH135)+IF($G$1="裂石",$AK135*1.5,0))*(1+$AY135)*(1+$AZ135)+(($BA135+($BB135-$BA135)*IF(VLOOKUP($Q135,武学奇术!$A:$ZZ,31,FALSE)=1,$F$18,0.5))*IF($G$1="牵丝",$AJ135,$AH135)+IF($G$1="牵丝",$AK135*1.5,0))*(1+$BC135)*(1+$BD135)+(($BE135+($BF135-$BE135)*IF(VLOOKUP($Q135,武学奇术!$A:$ZZ,31,FALSE)=1,$F$18,0.5))*IF($G$1="破竹",$AJ135,$AH135)+IF($G$1="破竹",$AK135*1.5,0))*(1+$BG135)*(1+$BH135))*(1+$AL135)*$P135*(1+IF(VLOOKUP($Q135,武学奇术!$A:$ZZ,30,FALSE)="蓄力技",$B$21,0))*(1+$BQ135)</f>
        <v>8350.82968545068</v>
      </c>
      <c r="O135" s="39">
        <f>((($AN135*$AH135+$AI135)*(1+$AP135)*(1+$AQ135)+($AS135*IF($G$1="鸣金",$AJ135,$AH135)+IF($G$1="鸣金",$AK135*1.5,0))*(1+$AU135)*(1+$AV135)+($AW135*IF($G$1="裂石",$AJ135,$AH135)+IF($G$1="裂石",$AK135*1.5,0))*(1+$AY135)*(1+$AZ135)+($BA135*IF($G$1="牵丝",$AJ135,$AH135)+IF($G$1="牵丝",$AK135*1.5,0))*(1+$BC135)*(1+$BD135)+($BE135*IF($G$1="破竹",$AJ135,$AH135)+IF($G$1="破竹",$AK135*1.5,0))*(1+$BG135)*(1+$BH135))*(1+$AL135))*$P135*(1+IF(VLOOKUP($Q135,武学奇术!$A:$ZZ,30,FALSE)="蓄力技",$B$21,0))*(1+$BQ135)</f>
        <v>7461.57936055604</v>
      </c>
      <c r="P135" s="40">
        <f t="shared" si="22"/>
        <v>1</v>
      </c>
      <c r="Q135" s="41" t="s">
        <v>193</v>
      </c>
      <c r="R135" s="41" t="s">
        <v>97</v>
      </c>
      <c r="S135" s="41" t="s">
        <v>73</v>
      </c>
      <c r="T135" s="41" t="s">
        <v>73</v>
      </c>
      <c r="U135" s="41" t="s">
        <v>73</v>
      </c>
      <c r="V135" s="41" t="s">
        <v>73</v>
      </c>
      <c r="W135" s="41" t="s">
        <v>73</v>
      </c>
      <c r="X135" s="41" t="s">
        <v>164</v>
      </c>
      <c r="Y135" s="41" t="s">
        <v>73</v>
      </c>
      <c r="Z135" s="41" t="s">
        <v>73</v>
      </c>
      <c r="AA135" s="41" t="s">
        <v>73</v>
      </c>
      <c r="AB135" s="41" t="s">
        <v>73</v>
      </c>
      <c r="AC135" s="41" t="s">
        <v>73</v>
      </c>
      <c r="AD135" s="41" t="s">
        <v>73</v>
      </c>
      <c r="AE135" s="41" t="s">
        <v>77</v>
      </c>
      <c r="AF135" s="41" t="s">
        <v>78</v>
      </c>
      <c r="AG135" t="str">
        <f>VLOOKUP($Q135,武学奇术!$A:$ZZ,25,FALSE)</f>
        <v>心法</v>
      </c>
      <c r="AH135" s="27">
        <f>VLOOKUP($Q135,武学奇术!$A:$ZZ,26,FALSE)</f>
        <v>1</v>
      </c>
      <c r="AI135" s="28">
        <f>VLOOKUP($Q135,武学奇术!$A:$ZZ,27,FALSE)*(1+IF(OR($AG135=$F$4,$AG135=$F$5),$B$22,0))</f>
        <v>0</v>
      </c>
      <c r="AJ135" s="27">
        <f>VLOOKUP($Q135,武学奇术!$A:$ZZ,28,FALSE)</f>
        <v>1</v>
      </c>
      <c r="AK135" s="28">
        <f>VLOOKUP($Q135,武学奇术!$A:$ZZ,29,FALSE)*(1+IF(OR($AG135=$F$4,$AG135=$F$5),$B$22,0))</f>
        <v>0</v>
      </c>
      <c r="AL135" s="27" cm="1">
        <f t="array" ref="AL135">$G$3+IFERROR(VLOOKUP($AG135,$F$4:$G$7,2,FALSE),0)+VLOOKUP($Q135,武学奇术!$A:$ZZ,2,FALSE)+SUM(_xlfn.XLOOKUP($R135:$AF135,增益!$A:$A,增益!$B:$B,0))</f>
        <v>0.1537</v>
      </c>
      <c r="AM135" s="27" cm="1">
        <f t="array" ref="AM135">VLOOKUP($Q135,武学奇术!$A:$ZZ,5,FALSE)+SUM(_xlfn.XLOOKUP($R135:$AF135,增益!$A:$A,增益!$E:$E,0))</f>
        <v>0</v>
      </c>
      <c r="AN135" cm="1">
        <f t="array" ref="AN135">$D$10*(1+$AM135)+VLOOKUP($Q135,武学奇术!$A:$ZZ,3,FALSE)+SUM(_xlfn.XLOOKUP($R135:$AF135,增益!$A:$A,增益!$C:$C,0))-$I$2</f>
        <v>3826.382</v>
      </c>
      <c r="AO135" cm="1">
        <f t="array" ref="AO135">$E$10*(1+$AM135)+VLOOKUP($Q135,武学奇术!$A:$ZZ,4,FALSE)+SUM(_xlfn.XLOOKUP($R135:$AF135,增益!$A:$A,增益!$D:$D,0))-$I$2</f>
        <v>3826.382</v>
      </c>
      <c r="AP135" s="33" cm="1">
        <f t="array" ref="AP135">IF($F$10-$I$3+VLOOKUP($Q135,武学奇术!$A:$ZZ,6,FALSE)+SUM(_xlfn.XLOOKUP(R135:AF135,增益!$A:$A,增益!$F:$F,0))&gt;0,($F$10-$I$3+VLOOKUP($Q135,武学奇术!$A:$ZZ,6,FALSE)+SUM(_xlfn.XLOOKUP(R135:AF135,增益!$A:$A,增益!$F:$F,0)))/200,($F$10-$I$3+VLOOKUP($Q135,武学奇术!$A:$ZZ,6,FALSE)+SUM(_xlfn.XLOOKUP(R135:AF135,增益!$A:$A,增益!$F:$F,0)))/100)</f>
        <v>0.217</v>
      </c>
      <c r="AQ135" s="33" cm="1">
        <f t="array" ref="AQ135">$G$10+VLOOKUP($Q135,武学奇术!$A:$ZZ,7,FALSE)+SUM(_xlfn.XLOOKUP(R135:AF135,增益!$A:$A,增益!$G:$G,0))</f>
        <v>0.09</v>
      </c>
      <c r="AR135" s="27" cm="1">
        <f t="array" ref="AR135">VLOOKUP($Q135,武学奇术!$A:$ZZ,8,FALSE)+SUM(_xlfn.XLOOKUP(R135:AF135,增益!$A:$A,增益!$H:$H,0))</f>
        <v>0</v>
      </c>
      <c r="AS135">
        <f t="shared" si="24"/>
        <v>0</v>
      </c>
      <c r="AT135">
        <f t="shared" si="25"/>
        <v>0</v>
      </c>
      <c r="AU135" s="33" cm="1">
        <f t="array" ref="AU135">IF($F$11-$I$4+VLOOKUP($Q135,武学奇术!$A:$ZZ,9,FALSE)+SUM(_xlfn.XLOOKUP(R135:AF135,增益!$A:$A,增益!$I:$I,0))&gt;0,($F$11-$I$4+VLOOKUP($Q135,武学奇术!$A:$ZZ,9,FALSE)+SUM(_xlfn.XLOOKUP(R135:AF135,增益!$A:$A,增益!$I:$I,0)))/200,($F$11-$I$4+VLOOKUP($Q135,武学奇术!$A:$ZZ,9,FALSE)+SUM(_xlfn.XLOOKUP(R135:AF135,增益!$A:$A,增益!$I:$I,0)))/100)</f>
        <v>-0.3</v>
      </c>
      <c r="AV135" s="33" cm="1">
        <f t="array" ref="AV135">$G$11+VLOOKUP($Q135,武学奇术!$A:$ZZ,10,FALSE)+SUM(_xlfn.XLOOKUP(R135:AF135,增益!$A:$A,增益!$J:$J,0))</f>
        <v>0</v>
      </c>
      <c r="AW135">
        <f t="shared" si="26"/>
        <v>0</v>
      </c>
      <c r="AX135">
        <f t="shared" si="27"/>
        <v>0</v>
      </c>
      <c r="AY135" s="33" cm="1">
        <f t="array" ref="AY135">IF($F$12-$I$4+VLOOKUP($Q135,武学奇术!$A:$ZZ,11,FALSE)+SUM(_xlfn.XLOOKUP(R135:AF135,增益!$A:$A,增益!$K:$K,0))&gt;0,($F$12-$I$4+VLOOKUP($Q135,武学奇术!$A:$ZZ,11,FALSE)+SUM(_xlfn.XLOOKUP(R135:AF135,增益!$A:$A,增益!$K:$K,0)))/200,($F$12-$I$4+VLOOKUP($Q135,武学奇术!$A:$ZZ,11,FALSE)+SUM(_xlfn.XLOOKUP(R135:AF135,增益!$A:$A,增益!$K:$K,0)))/100)</f>
        <v>-0.3</v>
      </c>
      <c r="AZ135" s="33" cm="1">
        <f t="array" ref="AZ135">$G$12+VLOOKUP($Q135,武学奇术!$A:$ZZ,12,FALSE)+SUM(_xlfn.XLOOKUP(R135:AF135,增益!$A:$A,增益!$L:$L,0))</f>
        <v>0</v>
      </c>
      <c r="BA135">
        <f t="shared" si="28"/>
        <v>0</v>
      </c>
      <c r="BB135">
        <f t="shared" si="29"/>
        <v>0</v>
      </c>
      <c r="BC135" s="33" cm="1">
        <f t="array" ref="BC135">IF($F$13-$I$4+VLOOKUP($Q135,武学奇术!$A:$ZZ,13,FALSE)+SUM(_xlfn.XLOOKUP(R135:AF135,增益!$A:$A,增益!$M:$M,0))&gt;0,($F$13-$I$4+VLOOKUP($Q135,武学奇术!$A:$ZZ,13,FALSE)+SUM(_xlfn.XLOOKUP(R135:AF135,增益!$A:$A,增益!$K:$K,0)))/200,($F$13-$I$4+VLOOKUP($Q135,武学奇术!$A:$ZZ,13,FALSE)+SUM(_xlfn.XLOOKUP(R135:AF135,增益!$A:$A,增益!$M:$M,0)))/100)</f>
        <v>-0.3</v>
      </c>
      <c r="BD135" s="33" cm="1">
        <f t="array" ref="BD135">$G$13+VLOOKUP($Q135,武学奇术!$A:$ZZ,14,FALSE)+SUM(_xlfn.XLOOKUP(R135:AF135,增益!$A:$A,增益!$N:$N,0))</f>
        <v>0</v>
      </c>
      <c r="BE135">
        <f t="shared" si="30"/>
        <v>605.472</v>
      </c>
      <c r="BF135">
        <f t="shared" si="31"/>
        <v>1725.468</v>
      </c>
      <c r="BG135" s="33" cm="1">
        <f t="array" ref="BG135">IF($F$14-$I$4+VLOOKUP($Q135,武学奇术!$A:$ZZ,15,FALSE)+SUM(_xlfn.XLOOKUP(R135:AF135,增益!$A:$A,增益!$O:$O,0))&gt;0,($F$14-$I$4+VLOOKUP($Q135,武学奇术!$A:$ZZ,15,FALSE)+SUM(_xlfn.XLOOKUP(R135:AF135,增益!$A:$A,增益!$O:$O,0)))/200,($F$14-$I$4+VLOOKUP($Q135,武学奇术!$A:$ZZ,15,FALSE)+SUM(_xlfn.XLOOKUP(R135:AF135,增益!$A:$A,增益!$O:$O,0)))/100)</f>
        <v>0</v>
      </c>
      <c r="BH135" s="33" cm="1">
        <f t="array" ref="BH135">$G$14+VLOOKUP($Q135,武学奇术!$A:$ZZ,16,FALSE)+SUM(_xlfn.XLOOKUP(R135:AF135,增益!$A:$A,增益!$P:$P,0))</f>
        <v>0.24</v>
      </c>
      <c r="BI135" s="27">
        <f>MIN(IF(VLOOKUP($Q135,武学奇术!$A:$ZZ,23,FALSE)=1,100%,$B$8),100%)</f>
        <v>1</v>
      </c>
      <c r="BJ135" s="27" cm="1">
        <f t="array" ref="BJ135">IF(VLOOKUP($Q135,武学奇术!$A:$ZZ,23,FALSE)=1,100%,MIN(80%,$B$9+VLOOKUP($Q135,武学奇术!$A:$ZZ,17,FALSE)+SUM(_xlfn.XLOOKUP(R135:AF135,增益!$A:$A,增益!$Q:$Q,0)))+$B$11+SUM(_xlfn.XLOOKUP(R135:AF135,增益!$A:$A,增益!$U:$U,0)))*IF(VLOOKUP($Q135,武学奇术!$A:$ZZ,24,FALSE)=1,0,1)+MIN(IF(VLOOKUP($Q135,武学奇术!$A:$ZZ,32,FALSE)=1,IF(VLOOKUP($Q135,武学奇术!$A:$ZZ,24,FALSE)=1,100%,MIN(40%,$B$10+VLOOKUP($Q135,武学奇术!$A:$ZZ,19,FALSE)+SUM(_xlfn.XLOOKUP(R135:AF135,增益!$A:$A,增益!$S:$S,0)))+$B$12+SUM(_xlfn.XLOOKUP(R135:AF135,增益!$A:$A,增益!$V:$V,0))),0),12%)</f>
        <v>0.9036</v>
      </c>
      <c r="BK135" s="27" cm="1">
        <f t="array" ref="BK135">1+$B$13+VLOOKUP($Q135,武学奇术!$A:$ZZ,18,FALSE)+SUM(_xlfn.XLOOKUP(R135:AF135,增益!$A:$A,增益!$R:$R,0))</f>
        <v>1.64</v>
      </c>
      <c r="BL135" s="27" cm="1">
        <f t="array" ref="BL135">MAX(IF(VLOOKUP($Q135,武学奇术!$A:$ZZ,24,FALSE)=1,100%,MIN(40%,$B$10+VLOOKUP($Q135,武学奇术!$A:$ZZ,19,FALSE)+SUM(_xlfn.XLOOKUP(R135:AF135,增益!$A:$A,增益!$S:$S,0)))+$B$12+SUM(_xlfn.XLOOKUP(R135:AF135,增益!$A:$A,增益!$V:$V,0)))*IF(VLOOKUP($Q135,武学奇术!$A:$ZZ,23,FALSE)=1,0,1)-IF(VLOOKUP($Q135,武学奇术!$A:$ZZ,32,FALSE)=1,12%,0),0)</f>
        <v>0.0929</v>
      </c>
      <c r="BM135" s="27" cm="1">
        <f t="array" ref="BM135">1+$B$14+VLOOKUP($Q135,武学奇术!$A:$ZZ,20,FALSE)+SUM(_xlfn.XLOOKUP(R135:AF135,增益!$A:$A,增益!$T:$T,0))</f>
        <v>1.35</v>
      </c>
      <c r="BN135" s="27">
        <f t="shared" si="32"/>
        <v>0.9036</v>
      </c>
      <c r="BO135" s="27">
        <f t="shared" si="33"/>
        <v>0.00350000000000006</v>
      </c>
      <c r="BP135" s="27">
        <f>IF(VLOOKUP($Q135,武学奇术!$A:$ZZ,22,FALSE)=1,0,(1-$BI135))*(1-$BL135)</f>
        <v>0</v>
      </c>
      <c r="BQ135" s="27" cm="1">
        <f t="array" ref="BQ135">SUM(_xlfn.XLOOKUP(R135:AF135,增益!$A:$A,增益!$W:$W,0))+$I$5</f>
        <v>0.11</v>
      </c>
    </row>
    <row r="136" spans="11:69">
      <c r="K136" s="39">
        <f t="shared" si="23"/>
        <v>18178.2500308279</v>
      </c>
      <c r="L136" s="39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BK136*$P136*(1+IF(VLOOKUP($Q136,武学奇术!$A:$ZZ,30,FALSE)="蓄力技",$B$21,0))*(1+$BQ136)</f>
        <v>18580.4797780829</v>
      </c>
      <c r="M136" s="39">
        <f>(($AO136*$AH136+$AI136)*(1+$AP136)*(1+$AQ136)+($AT136*IF($G$1="鸣金",$AJ136,$AH136)+IF($G$1="鸣金",$AK136*1.5,0))*(1+$AU136)*(1+$AV136)+($AX136*IF($G$1="裂石",$AJ136,$AH136)+IF($G$1="裂石",$AK136*1.5,0))*(1+$AY136)*(1+$AZ136)+($BB136*IF($G$1="牵丝",$AJ136,$AH136)+IF($G$1="牵丝",$AK136*1.5,0))*(1+$BC136)*(1+$BD136)+($BF136*IF($G$1="破竹",$AJ136,$AH136)+IF($G$1="破竹",$AK136*1.5,0))*(1+$BG136)*(1+$BH136))*(1+$AL136)*$BM136*$P136*(1+IF(VLOOKUP($Q136,武学奇术!$A:$ZZ,30,FALSE)="蓄力技",$B$21,0))*(1+$BQ136)</f>
        <v>14580.4112752082</v>
      </c>
      <c r="N136" s="39">
        <f>((($AN136+($AO136-$AN136)*IF(VLOOKUP($Q136,武学奇术!$A:$ZZ,31,FALSE)=1,$F$18,0.5))*$AH136+$AI136)*(1+$AP136)*(1+$AQ136)+(($AS136+($AT136-$AS136)*IF(VLOOKUP($Q136,武学奇术!$A:$ZZ,31,FALSE)=1,$F$18,0.5))*IF($G$1="鸣金",$AJ136,$AH136)+IF($G$1="鸣金",$AK136*1.5,0))*(1+$AU136)*(1+$AV136)+(($AW136+($AX136-$AW136)*IF(VLOOKUP($Q136,武学奇术!$A:$ZZ,31,FALSE)=1,$F$18,0.5))*IF($G$1="裂石",$AJ136,$AH136)+IF($G$1="裂石",$AK136*1.5,0))*(1+$AY136)*(1+$AZ136)+(($BA136+($BB136-$BA136)*IF(VLOOKUP($Q136,武学奇术!$A:$ZZ,31,FALSE)=1,$F$18,0.5))*IF($G$1="牵丝",$AJ136,$AH136)+IF($G$1="牵丝",$AK136*1.5,0))*(1+$BC136)*(1+$BD136)+(($BE136+($BF136-$BE136)*IF(VLOOKUP($Q136,武学奇术!$A:$ZZ,31,FALSE)=1,$F$18,0.5))*IF($G$1="破竹",$AJ136,$AH136)+IF($G$1="破竹",$AK136*1.5,0))*(1+$BG136)*(1+$BH136))*(1+$AL136)*$P136*(1+IF(VLOOKUP($Q136,武学奇术!$A:$ZZ,30,FALSE)="蓄力技",$B$21,0))*(1+$BQ136)</f>
        <v>9830.94168152534</v>
      </c>
      <c r="O136" s="39">
        <f>((($AN136*$AH136+$AI136)*(1+$AP136)*(1+$AQ136)+($AS136*IF($G$1="鸣金",$AJ136,$AH136)+IF($G$1="鸣金",$AK136*1.5,0))*(1+$AU136)*(1+$AV136)+($AW136*IF($G$1="裂石",$AJ136,$AH136)+IF($G$1="裂石",$AK136*1.5,0))*(1+$AY136)*(1+$AZ136)+($BA136*IF($G$1="牵丝",$AJ136,$AH136)+IF($G$1="牵丝",$AK136*1.5,0))*(1+$BC136)*(1+$BD136)+($BE136*IF($G$1="破竹",$AJ136,$AH136)+IF($G$1="破竹",$AK136*1.5,0))*(1+$BG136)*(1+$BH136))*(1+$AL136))*$P136*(1+IF(VLOOKUP($Q136,武学奇术!$A:$ZZ,30,FALSE)="蓄力技",$B$21,0))*(1+$BQ136)</f>
        <v>8861.5787147483</v>
      </c>
      <c r="P136" s="40">
        <f t="shared" si="22"/>
        <v>1</v>
      </c>
      <c r="Q136" s="41" t="s">
        <v>193</v>
      </c>
      <c r="R136" s="41" t="s">
        <v>97</v>
      </c>
      <c r="S136" s="41" t="s">
        <v>132</v>
      </c>
      <c r="T136" s="41" t="s">
        <v>73</v>
      </c>
      <c r="U136" s="41" t="s">
        <v>73</v>
      </c>
      <c r="V136" s="41" t="s">
        <v>179</v>
      </c>
      <c r="W136" s="41" t="s">
        <v>73</v>
      </c>
      <c r="X136" s="41" t="s">
        <v>164</v>
      </c>
      <c r="Y136" s="41" t="s">
        <v>73</v>
      </c>
      <c r="Z136" s="41" t="s">
        <v>73</v>
      </c>
      <c r="AA136" s="41" t="s">
        <v>73</v>
      </c>
      <c r="AB136" s="41" t="s">
        <v>73</v>
      </c>
      <c r="AC136" s="41" t="s">
        <v>73</v>
      </c>
      <c r="AD136" s="41" t="s">
        <v>73</v>
      </c>
      <c r="AE136" s="41" t="s">
        <v>77</v>
      </c>
      <c r="AF136" s="41" t="s">
        <v>78</v>
      </c>
      <c r="AG136" t="str">
        <f>VLOOKUP($Q136,武学奇术!$A:$ZZ,25,FALSE)</f>
        <v>心法</v>
      </c>
      <c r="AH136" s="27">
        <f>VLOOKUP($Q136,武学奇术!$A:$ZZ,26,FALSE)</f>
        <v>1</v>
      </c>
      <c r="AI136" s="28">
        <f>VLOOKUP($Q136,武学奇术!$A:$ZZ,27,FALSE)*(1+IF(OR($AG136=$F$4,$AG136=$F$5),$B$22,0))</f>
        <v>0</v>
      </c>
      <c r="AJ136" s="27">
        <f>VLOOKUP($Q136,武学奇术!$A:$ZZ,28,FALSE)</f>
        <v>1</v>
      </c>
      <c r="AK136" s="28">
        <f>VLOOKUP($Q136,武学奇术!$A:$ZZ,29,FALSE)*(1+IF(OR($AG136=$F$4,$AG136=$F$5),$B$22,0))</f>
        <v>0</v>
      </c>
      <c r="AL136" s="27" cm="1">
        <f t="array" ref="AL136">$G$3+IFERROR(VLOOKUP($AG136,$F$4:$G$7,2,FALSE),0)+VLOOKUP($Q136,武学奇术!$A:$ZZ,2,FALSE)+SUM(_xlfn.XLOOKUP($R136:$AF136,增益!$A:$A,增益!$B:$B,0))</f>
        <v>0.1537</v>
      </c>
      <c r="AM136" s="27" cm="1">
        <f t="array" ref="AM136">VLOOKUP($Q136,武学奇术!$A:$ZZ,5,FALSE)+SUM(_xlfn.XLOOKUP($R136:$AF136,增益!$A:$A,增益!$E:$E,0))</f>
        <v>0</v>
      </c>
      <c r="AN136" cm="1">
        <f t="array" ref="AN136">$D$10*(1+$AM136)+VLOOKUP($Q136,武学奇术!$A:$ZZ,3,FALSE)+SUM(_xlfn.XLOOKUP($R136:$AF136,增益!$A:$A,增益!$C:$C,0))-$I$2</f>
        <v>3826.382</v>
      </c>
      <c r="AO136" cm="1">
        <f t="array" ref="AO136">$E$10*(1+$AM136)+VLOOKUP($Q136,武学奇术!$A:$ZZ,4,FALSE)+SUM(_xlfn.XLOOKUP($R136:$AF136,增益!$A:$A,增益!$D:$D,0))-$I$2</f>
        <v>3826.382</v>
      </c>
      <c r="AP136" s="33" cm="1">
        <f t="array" ref="AP136">IF($F$10-$I$3+VLOOKUP($Q136,武学奇术!$A:$ZZ,6,FALSE)+SUM(_xlfn.XLOOKUP(R136:AF136,增益!$A:$A,增益!$F:$F,0))&gt;0,($F$10-$I$3+VLOOKUP($Q136,武学奇术!$A:$ZZ,6,FALSE)+SUM(_xlfn.XLOOKUP(R136:AF136,增益!$A:$A,增益!$F:$F,0)))/200,($F$10-$I$3+VLOOKUP($Q136,武学奇术!$A:$ZZ,6,FALSE)+SUM(_xlfn.XLOOKUP(R136:AF136,增益!$A:$A,增益!$F:$F,0)))/100)</f>
        <v>0.342</v>
      </c>
      <c r="AQ136" s="33" cm="1">
        <f t="array" ref="AQ136">$G$10+VLOOKUP($Q136,武学奇术!$A:$ZZ,7,FALSE)+SUM(_xlfn.XLOOKUP(R136:AF136,增益!$A:$A,增益!$G:$G,0))</f>
        <v>0.09</v>
      </c>
      <c r="AR136" s="27" cm="1">
        <f t="array" ref="AR136">VLOOKUP($Q136,武学奇术!$A:$ZZ,8,FALSE)+SUM(_xlfn.XLOOKUP(R136:AF136,增益!$A:$A,增益!$H:$H,0))</f>
        <v>0</v>
      </c>
      <c r="AS136">
        <f t="shared" si="24"/>
        <v>0</v>
      </c>
      <c r="AT136">
        <f t="shared" si="25"/>
        <v>0</v>
      </c>
      <c r="AU136" s="33" cm="1">
        <f t="array" ref="AU136">IF($F$11-$I$4+VLOOKUP($Q136,武学奇术!$A:$ZZ,9,FALSE)+SUM(_xlfn.XLOOKUP(R136:AF136,增益!$A:$A,增益!$I:$I,0))&gt;0,($F$11-$I$4+VLOOKUP($Q136,武学奇术!$A:$ZZ,9,FALSE)+SUM(_xlfn.XLOOKUP(R136:AF136,增益!$A:$A,增益!$I:$I,0)))/200,($F$11-$I$4+VLOOKUP($Q136,武学奇术!$A:$ZZ,9,FALSE)+SUM(_xlfn.XLOOKUP(R136:AF136,增益!$A:$A,增益!$I:$I,0)))/100)</f>
        <v>-0.3</v>
      </c>
      <c r="AV136" s="33" cm="1">
        <f t="array" ref="AV136">$G$11+VLOOKUP($Q136,武学奇术!$A:$ZZ,10,FALSE)+SUM(_xlfn.XLOOKUP(R136:AF136,增益!$A:$A,增益!$J:$J,0))</f>
        <v>0</v>
      </c>
      <c r="AW136">
        <f t="shared" si="26"/>
        <v>0</v>
      </c>
      <c r="AX136">
        <f t="shared" si="27"/>
        <v>0</v>
      </c>
      <c r="AY136" s="33" cm="1">
        <f t="array" ref="AY136">IF($F$12-$I$4+VLOOKUP($Q136,武学奇术!$A:$ZZ,11,FALSE)+SUM(_xlfn.XLOOKUP(R136:AF136,增益!$A:$A,增益!$K:$K,0))&gt;0,($F$12-$I$4+VLOOKUP($Q136,武学奇术!$A:$ZZ,11,FALSE)+SUM(_xlfn.XLOOKUP(R136:AF136,增益!$A:$A,增益!$K:$K,0)))/200,($F$12-$I$4+VLOOKUP($Q136,武学奇术!$A:$ZZ,11,FALSE)+SUM(_xlfn.XLOOKUP(R136:AF136,增益!$A:$A,增益!$K:$K,0)))/100)</f>
        <v>-0.3</v>
      </c>
      <c r="AZ136" s="33" cm="1">
        <f t="array" ref="AZ136">$G$12+VLOOKUP($Q136,武学奇术!$A:$ZZ,12,FALSE)+SUM(_xlfn.XLOOKUP(R136:AF136,增益!$A:$A,增益!$L:$L,0))</f>
        <v>0</v>
      </c>
      <c r="BA136">
        <f t="shared" si="28"/>
        <v>0</v>
      </c>
      <c r="BB136">
        <f t="shared" si="29"/>
        <v>0</v>
      </c>
      <c r="BC136" s="33" cm="1">
        <f t="array" ref="BC136">IF($F$13-$I$4+VLOOKUP($Q136,武学奇术!$A:$ZZ,13,FALSE)+SUM(_xlfn.XLOOKUP(R136:AF136,增益!$A:$A,增益!$M:$M,0))&gt;0,($F$13-$I$4+VLOOKUP($Q136,武学奇术!$A:$ZZ,13,FALSE)+SUM(_xlfn.XLOOKUP(R136:AF136,增益!$A:$A,增益!$K:$K,0)))/200,($F$13-$I$4+VLOOKUP($Q136,武学奇术!$A:$ZZ,13,FALSE)+SUM(_xlfn.XLOOKUP(R136:AF136,增益!$A:$A,增益!$M:$M,0)))/100)</f>
        <v>-0.3</v>
      </c>
      <c r="BD136" s="33" cm="1">
        <f t="array" ref="BD136">$G$13+VLOOKUP($Q136,武学奇术!$A:$ZZ,14,FALSE)+SUM(_xlfn.XLOOKUP(R136:AF136,增益!$A:$A,增益!$N:$N,0))</f>
        <v>0</v>
      </c>
      <c r="BE136">
        <f t="shared" si="30"/>
        <v>605.472</v>
      </c>
      <c r="BF136">
        <f t="shared" si="31"/>
        <v>1725.468</v>
      </c>
      <c r="BG136" s="33" cm="1">
        <f t="array" ref="BG136">IF($F$14-$I$4+VLOOKUP($Q136,武学奇术!$A:$ZZ,15,FALSE)+SUM(_xlfn.XLOOKUP(R136:AF136,增益!$A:$A,增益!$O:$O,0))&gt;0,($F$14-$I$4+VLOOKUP($Q136,武学奇术!$A:$ZZ,15,FALSE)+SUM(_xlfn.XLOOKUP(R136:AF136,增益!$A:$A,增益!$O:$O,0)))/200,($F$14-$I$4+VLOOKUP($Q136,武学奇术!$A:$ZZ,15,FALSE)+SUM(_xlfn.XLOOKUP(R136:AF136,增益!$A:$A,增益!$O:$O,0)))/100)</f>
        <v>0</v>
      </c>
      <c r="BH136" s="33" cm="1">
        <f t="array" ref="BH136">$G$14+VLOOKUP($Q136,武学奇术!$A:$ZZ,16,FALSE)+SUM(_xlfn.XLOOKUP(R136:AF136,增益!$A:$A,增益!$P:$P,0))</f>
        <v>0.24</v>
      </c>
      <c r="BI136" s="27">
        <f>MIN(IF(VLOOKUP($Q136,武学奇术!$A:$ZZ,23,FALSE)=1,100%,$B$8),100%)</f>
        <v>1</v>
      </c>
      <c r="BJ136" s="27" cm="1">
        <f t="array" ref="BJ136">IF(VLOOKUP($Q136,武学奇术!$A:$ZZ,23,FALSE)=1,100%,MIN(80%,$B$9+VLOOKUP($Q136,武学奇术!$A:$ZZ,17,FALSE)+SUM(_xlfn.XLOOKUP(R136:AF136,增益!$A:$A,增益!$Q:$Q,0)))+$B$11+SUM(_xlfn.XLOOKUP(R136:AF136,增益!$A:$A,增益!$U:$U,0)))*IF(VLOOKUP($Q136,武学奇术!$A:$ZZ,24,FALSE)=1,0,1)+MIN(IF(VLOOKUP($Q136,武学奇术!$A:$ZZ,32,FALSE)=1,IF(VLOOKUP($Q136,武学奇术!$A:$ZZ,24,FALSE)=1,100%,MIN(40%,$B$10+VLOOKUP($Q136,武学奇术!$A:$ZZ,19,FALSE)+SUM(_xlfn.XLOOKUP(R136:AF136,增益!$A:$A,增益!$S:$S,0)))+$B$12+SUM(_xlfn.XLOOKUP(R136:AF136,增益!$A:$A,增益!$V:$V,0))),0),12%)</f>
        <v>0.9036</v>
      </c>
      <c r="BK136" s="27" cm="1">
        <f t="array" ref="BK136">1+$B$13+VLOOKUP($Q136,武学奇术!$A:$ZZ,18,FALSE)+SUM(_xlfn.XLOOKUP(R136:AF136,增益!$A:$A,增益!$R:$R,0))</f>
        <v>1.89</v>
      </c>
      <c r="BL136" s="27" cm="1">
        <f t="array" ref="BL136">MAX(IF(VLOOKUP($Q136,武学奇术!$A:$ZZ,24,FALSE)=1,100%,MIN(40%,$B$10+VLOOKUP($Q136,武学奇术!$A:$ZZ,19,FALSE)+SUM(_xlfn.XLOOKUP(R136:AF136,增益!$A:$A,增益!$S:$S,0)))+$B$12+SUM(_xlfn.XLOOKUP(R136:AF136,增益!$A:$A,增益!$V:$V,0)))*IF(VLOOKUP($Q136,武学奇术!$A:$ZZ,23,FALSE)=1,0,1)-IF(VLOOKUP($Q136,武学奇术!$A:$ZZ,32,FALSE)=1,12%,0),0)</f>
        <v>0.0929</v>
      </c>
      <c r="BM136" s="27" cm="1">
        <f t="array" ref="BM136">1+$B$14+VLOOKUP($Q136,武学奇术!$A:$ZZ,20,FALSE)+SUM(_xlfn.XLOOKUP(R136:AF136,增益!$A:$A,增益!$T:$T,0))</f>
        <v>1.35</v>
      </c>
      <c r="BN136" s="27">
        <f t="shared" si="32"/>
        <v>0.9036</v>
      </c>
      <c r="BO136" s="27">
        <f t="shared" si="33"/>
        <v>0.00350000000000006</v>
      </c>
      <c r="BP136" s="27">
        <f>IF(VLOOKUP($Q136,武学奇术!$A:$ZZ,22,FALSE)=1,0,(1-$BI136))*(1-$BL136)</f>
        <v>0</v>
      </c>
      <c r="BQ136" s="27" cm="1">
        <f t="array" ref="BQ136">SUM(_xlfn.XLOOKUP(R136:AF136,增益!$A:$A,增益!$W:$W,0))+$I$5</f>
        <v>0.21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Q2:Q136">
      <formula1>武学奇术!$A:$A</formula1>
    </dataValidation>
    <dataValidation type="list" allowBlank="1" showInputMessage="1" showErrorMessage="1" sqref="R2:AF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A18" sqref="A18:AE35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7"/>
    <col min="27" max="27" width="9" style="28"/>
    <col min="28" max="28" width="9.375" style="27"/>
    <col min="29" max="29" width="9" style="28"/>
  </cols>
  <sheetData>
    <row r="1" spans="1:32">
      <c r="B1" t="s">
        <v>35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106</v>
      </c>
      <c r="R1" t="s">
        <v>201</v>
      </c>
      <c r="S1" t="s">
        <v>108</v>
      </c>
      <c r="T1" t="s">
        <v>202</v>
      </c>
      <c r="U1" t="s">
        <v>203</v>
      </c>
      <c r="V1" t="s">
        <v>204</v>
      </c>
      <c r="W1" t="s">
        <v>205</v>
      </c>
      <c r="X1" t="s">
        <v>206</v>
      </c>
      <c r="Y1" t="s">
        <v>30</v>
      </c>
      <c r="Z1" s="27" t="s">
        <v>31</v>
      </c>
      <c r="AA1" s="28" t="s">
        <v>32</v>
      </c>
      <c r="AB1" s="27" t="s">
        <v>33</v>
      </c>
      <c r="AC1" s="28" t="s">
        <v>34</v>
      </c>
      <c r="AD1" t="s">
        <v>207</v>
      </c>
      <c r="AF1" t="s">
        <v>208</v>
      </c>
    </row>
    <row r="2" spans="1:32">
      <c r="A2" t="s">
        <v>117</v>
      </c>
      <c r="B2" s="29">
        <v>0.3</v>
      </c>
      <c r="F2">
        <f>IF(期望!$G$2="撼天",6,0)</f>
        <v>6</v>
      </c>
      <c r="I2">
        <f>IF(期望!$G$2="撼天",6,0)</f>
        <v>6</v>
      </c>
      <c r="K2">
        <f>IF(期望!$G$2="撼天",6,0)</f>
        <v>6</v>
      </c>
      <c r="M2">
        <f>IF(期望!$G$2="撼天",6,0)</f>
        <v>6</v>
      </c>
      <c r="O2">
        <f>IF(期望!$G$2="撼天",6,0)</f>
        <v>6</v>
      </c>
      <c r="R2" s="29">
        <v>0.3</v>
      </c>
      <c r="Y2" s="30" t="s">
        <v>86</v>
      </c>
      <c r="Z2" s="30">
        <f>132%*1.12*1.7*(1+期望!$B$22/10)</f>
        <v>2.638944</v>
      </c>
      <c r="AA2" s="4"/>
      <c r="AB2" s="30">
        <f>Z2*1.5</f>
        <v>3.958416</v>
      </c>
      <c r="AE2">
        <v>1.3</v>
      </c>
    </row>
    <row r="3" spans="1:32">
      <c r="A3" t="s">
        <v>110</v>
      </c>
      <c r="B3" s="29">
        <v>0.3</v>
      </c>
      <c r="F3">
        <f>IF(期望!$G$2="撼天",6,0)</f>
        <v>6</v>
      </c>
      <c r="I3">
        <f>IF(期望!$G$2="撼天",6,0)</f>
        <v>6</v>
      </c>
      <c r="K3">
        <f>IF(期望!$G$2="撼天",6,0)</f>
        <v>6</v>
      </c>
      <c r="M3">
        <f>IF(期望!$G$2="撼天",6,0)</f>
        <v>6</v>
      </c>
      <c r="O3">
        <f>IF(期望!$G$2="撼天",6,0)</f>
        <v>6</v>
      </c>
      <c r="R3" s="29">
        <v>0.3</v>
      </c>
      <c r="Y3" s="30" t="s">
        <v>92</v>
      </c>
      <c r="Z3" s="30">
        <f>132%*1.12*1.7*(1+期望!$B$22/10)</f>
        <v>2.638944</v>
      </c>
      <c r="AA3" s="4"/>
      <c r="AB3" s="30">
        <f>Z3*1.5</f>
        <v>3.958416</v>
      </c>
      <c r="AE3">
        <v>1.3</v>
      </c>
    </row>
    <row r="4" spans="1:32">
      <c r="A4" t="s">
        <v>104</v>
      </c>
      <c r="B4" s="29">
        <v>0.3</v>
      </c>
      <c r="F4">
        <f>IF(期望!$G$2="撼天",6,0)</f>
        <v>6</v>
      </c>
      <c r="I4">
        <f>IF(期望!$G$2="撼天",6,0)</f>
        <v>6</v>
      </c>
      <c r="K4">
        <f>IF(期望!$G$2="撼天",6,0)</f>
        <v>6</v>
      </c>
      <c r="M4">
        <f>IF(期望!$G$2="撼天",6,0)</f>
        <v>6</v>
      </c>
      <c r="O4">
        <f>IF(期望!$G$2="撼天",6,0)</f>
        <v>6</v>
      </c>
      <c r="R4" s="29">
        <v>0.3</v>
      </c>
      <c r="Y4" s="30" t="s">
        <v>92</v>
      </c>
      <c r="Z4" s="30">
        <f>110%*1.12*1.7*(1+期望!$B$22/10)</f>
        <v>2.19912</v>
      </c>
      <c r="AA4" s="4"/>
      <c r="AB4" s="30">
        <f>Z4*1.5</f>
        <v>3.29868</v>
      </c>
      <c r="AE4">
        <v>1.3</v>
      </c>
    </row>
    <row r="5" spans="1:32">
      <c r="A5" t="s">
        <v>120</v>
      </c>
      <c r="R5" s="29"/>
      <c r="Y5" s="30" t="s">
        <v>86</v>
      </c>
      <c r="Z5" s="27">
        <f>48.84%*3+97.69%</f>
        <v>2.4421</v>
      </c>
      <c r="AA5" s="28">
        <f>135*3+270</f>
        <v>675</v>
      </c>
      <c r="AB5" s="27">
        <f>73.27%*3+146.53%</f>
        <v>3.6634</v>
      </c>
      <c r="AC5" s="28">
        <f>73*3+147</f>
        <v>366</v>
      </c>
      <c r="AE5">
        <v>1</v>
      </c>
    </row>
    <row r="6" spans="1:32">
      <c r="A6" t="s">
        <v>151</v>
      </c>
      <c r="R6" s="29"/>
      <c r="Y6" s="30" t="s">
        <v>86</v>
      </c>
      <c r="Z6" s="27">
        <f>22.01%+88.04%</f>
        <v>1.1005</v>
      </c>
      <c r="AA6" s="28">
        <f>61+244</f>
        <v>305</v>
      </c>
      <c r="AB6" s="27">
        <f>33.01%+132.06%</f>
        <v>1.6507</v>
      </c>
      <c r="AC6" s="28">
        <f>33+132</f>
        <v>165</v>
      </c>
      <c r="AE6">
        <v>1</v>
      </c>
    </row>
    <row r="7" spans="1:32">
      <c r="A7" t="s">
        <v>112</v>
      </c>
      <c r="B7" s="29">
        <v>0.3</v>
      </c>
      <c r="F7">
        <f>IF(期望!$G$2="撼天",6,0)</f>
        <v>6</v>
      </c>
      <c r="I7">
        <f>IF(期望!$G$2="撼天",6,0)</f>
        <v>6</v>
      </c>
      <c r="K7">
        <f>IF(期望!$G$2="撼天",6,0)</f>
        <v>6</v>
      </c>
      <c r="M7">
        <f>IF(期望!$G$2="撼天",6,0)</f>
        <v>6</v>
      </c>
      <c r="O7">
        <f>IF(期望!$G$2="撼天",6,0)</f>
        <v>6</v>
      </c>
      <c r="R7" s="29">
        <v>0.3</v>
      </c>
      <c r="Y7" s="30" t="s">
        <v>86</v>
      </c>
      <c r="Z7" s="27">
        <f>(25.69%*4+68.52%)*1.7</f>
        <v>2.91176</v>
      </c>
      <c r="AA7" s="28">
        <f>(71*4+190)*1.7</f>
        <v>805.8</v>
      </c>
      <c r="AB7" s="27">
        <f>(34.4%*4+91.72%)*1.7</f>
        <v>3.89844</v>
      </c>
      <c r="AC7" s="28">
        <f>(38*4+103)*1.7</f>
        <v>433.5</v>
      </c>
      <c r="AE7">
        <v>1.3</v>
      </c>
    </row>
    <row r="8" spans="1:32">
      <c r="A8" t="s">
        <v>209</v>
      </c>
      <c r="R8" s="29"/>
      <c r="Y8" s="30" t="s">
        <v>86</v>
      </c>
      <c r="Z8" s="27">
        <v>0.4349</v>
      </c>
      <c r="AA8" s="28">
        <v>121</v>
      </c>
      <c r="AB8" s="27">
        <v>0.6523</v>
      </c>
      <c r="AC8" s="28">
        <v>66</v>
      </c>
      <c r="AE8">
        <v>1</v>
      </c>
    </row>
    <row r="9" spans="1:32">
      <c r="A9" t="s">
        <v>210</v>
      </c>
      <c r="R9" s="29"/>
      <c r="Y9" s="30" t="s">
        <v>86</v>
      </c>
      <c r="Z9" s="27">
        <f>25.29%+31.83%</f>
        <v>0.5712</v>
      </c>
      <c r="AA9" s="28">
        <f>71+89</f>
        <v>160</v>
      </c>
      <c r="AB9" s="27">
        <f>37.94%+47.74%</f>
        <v>0.8568</v>
      </c>
      <c r="AC9" s="28">
        <f>39+48</f>
        <v>87</v>
      </c>
      <c r="AE9">
        <v>1</v>
      </c>
    </row>
    <row r="10" spans="1:32">
      <c r="A10" t="s">
        <v>115</v>
      </c>
      <c r="R10" s="29"/>
      <c r="Y10" s="30" t="s">
        <v>86</v>
      </c>
      <c r="Z10" s="27">
        <f>46.74%+82.02%</f>
        <v>1.2876</v>
      </c>
      <c r="AA10" s="28">
        <f>130+228</f>
        <v>358</v>
      </c>
      <c r="AB10" s="27">
        <f>70.1%+123.03%</f>
        <v>1.9313</v>
      </c>
      <c r="AC10" s="28">
        <f>71+124</f>
        <v>195</v>
      </c>
      <c r="AE10">
        <v>1</v>
      </c>
    </row>
    <row r="11" customFormat="1" spans="1:32">
      <c r="A11" t="s">
        <v>211</v>
      </c>
      <c r="B11" s="29"/>
      <c r="R11" s="29"/>
      <c r="Y11" s="30" t="s">
        <v>86</v>
      </c>
      <c r="Z11" s="27">
        <v>1.209</v>
      </c>
      <c r="AA11" s="28">
        <v>335</v>
      </c>
      <c r="AB11" s="27">
        <v>1.8135</v>
      </c>
      <c r="AC11" s="28">
        <v>183</v>
      </c>
      <c r="AE11">
        <v>1</v>
      </c>
    </row>
    <row r="12" customFormat="1" spans="1:32">
      <c r="A12" t="s">
        <v>212</v>
      </c>
      <c r="B12" s="29">
        <v>0.3</v>
      </c>
      <c r="F12">
        <f>IF(期望!$G$2="撼天",6,0)</f>
        <v>6</v>
      </c>
      <c r="I12">
        <f>IF(期望!$G$2="撼天",6,0)</f>
        <v>6</v>
      </c>
      <c r="K12">
        <f>IF(期望!$G$2="撼天",6,0)</f>
        <v>6</v>
      </c>
      <c r="M12">
        <f>IF(期望!$G$2="撼天",6,0)</f>
        <v>6</v>
      </c>
      <c r="O12">
        <f>IF(期望!$G$2="撼天",6,0)</f>
        <v>6</v>
      </c>
      <c r="R12" s="29">
        <v>0.5</v>
      </c>
      <c r="V12">
        <v>1</v>
      </c>
      <c r="Y12" s="30" t="s">
        <v>86</v>
      </c>
      <c r="Z12" s="27">
        <v>7.9363</v>
      </c>
      <c r="AA12" s="28">
        <v>2194</v>
      </c>
      <c r="AB12" s="27">
        <v>11.9044</v>
      </c>
      <c r="AC12" s="28">
        <v>1196</v>
      </c>
      <c r="AD12" t="s">
        <v>213</v>
      </c>
      <c r="AE12">
        <v>0.845</v>
      </c>
      <c r="AF12">
        <v>1</v>
      </c>
    </row>
    <row r="13" spans="1:32">
      <c r="A13" t="s">
        <v>131</v>
      </c>
      <c r="B13" s="29">
        <v>0.3</v>
      </c>
      <c r="F13">
        <f>IF(期望!$G$2="撼天",6,0)</f>
        <v>6</v>
      </c>
      <c r="I13">
        <f>IF(期望!$G$2="撼天",6,0)</f>
        <v>6</v>
      </c>
      <c r="K13">
        <f>IF(期望!$G$2="撼天",6,0)</f>
        <v>6</v>
      </c>
      <c r="M13">
        <f>IF(期望!$G$2="撼天",6,0)</f>
        <v>6</v>
      </c>
      <c r="O13">
        <f>IF(期望!$G$2="撼天",6,0)</f>
        <v>6</v>
      </c>
      <c r="R13" s="29">
        <v>0.5</v>
      </c>
      <c r="V13">
        <v>1</v>
      </c>
      <c r="Y13" s="30" t="s">
        <v>86</v>
      </c>
      <c r="Z13" s="27">
        <v>16.8107</v>
      </c>
      <c r="AA13" s="28">
        <v>4647</v>
      </c>
      <c r="AB13" s="27">
        <v>25.2161</v>
      </c>
      <c r="AC13" s="28">
        <v>2533</v>
      </c>
      <c r="AD13" t="s">
        <v>213</v>
      </c>
      <c r="AE13">
        <v>0.845</v>
      </c>
      <c r="AF13">
        <v>1</v>
      </c>
    </row>
    <row r="14" customFormat="1" spans="1:32">
      <c r="A14" t="s">
        <v>138</v>
      </c>
      <c r="B14" s="29">
        <v>0.3</v>
      </c>
      <c r="F14">
        <f>IF(期望!$G$2="撼天",6,0)</f>
        <v>6</v>
      </c>
      <c r="I14">
        <f>IF(期望!$G$2="撼天",6,0)</f>
        <v>6</v>
      </c>
      <c r="K14">
        <f>IF(期望!$G$2="撼天",6,0)</f>
        <v>6</v>
      </c>
      <c r="M14">
        <f>IF(期望!$G$2="撼天",6,0)</f>
        <v>6</v>
      </c>
      <c r="O14">
        <f>IF(期望!$G$2="撼天",6,0)</f>
        <v>6</v>
      </c>
      <c r="R14" s="29">
        <v>0.5</v>
      </c>
      <c r="V14">
        <v>1</v>
      </c>
      <c r="Y14" s="30" t="s">
        <v>86</v>
      </c>
      <c r="Z14" s="27">
        <f>1618.05%*0.4</f>
        <v>6.4722</v>
      </c>
      <c r="AA14" s="28">
        <f>4473*0.4</f>
        <v>1789.2</v>
      </c>
      <c r="AB14" s="27">
        <f>2427.07%*0.4</f>
        <v>9.70828</v>
      </c>
      <c r="AC14" s="28">
        <f>2439*0.4</f>
        <v>975.6</v>
      </c>
      <c r="AD14" t="s">
        <v>213</v>
      </c>
      <c r="AE14">
        <v>0.5</v>
      </c>
      <c r="AF14">
        <v>1</v>
      </c>
    </row>
    <row r="15" spans="1:32">
      <c r="A15" t="s">
        <v>107</v>
      </c>
      <c r="R15" s="29"/>
      <c r="Y15" s="30" t="s">
        <v>92</v>
      </c>
      <c r="Z15" s="30">
        <v>0.4975</v>
      </c>
      <c r="AA15" s="31">
        <v>137</v>
      </c>
      <c r="AB15" s="30">
        <v>0.7463</v>
      </c>
      <c r="AC15" s="28">
        <v>75</v>
      </c>
      <c r="AE15">
        <v>1</v>
      </c>
    </row>
    <row r="16" spans="1:32">
      <c r="A16" t="s">
        <v>159</v>
      </c>
      <c r="R16" s="29"/>
      <c r="Y16" s="30" t="s">
        <v>92</v>
      </c>
      <c r="Z16" s="30">
        <f>49.75%+116.09%</f>
        <v>1.6584</v>
      </c>
      <c r="AA16" s="31">
        <f>137+321</f>
        <v>458</v>
      </c>
      <c r="AB16" s="30">
        <f>74.63%+174.13%</f>
        <v>2.4876</v>
      </c>
      <c r="AC16" s="28">
        <f>75+175</f>
        <v>250</v>
      </c>
      <c r="AE16">
        <v>1</v>
      </c>
    </row>
    <row r="17" customFormat="1" spans="1:31">
      <c r="A17" t="s">
        <v>100</v>
      </c>
      <c r="R17" s="29"/>
      <c r="Y17" s="30" t="s">
        <v>92</v>
      </c>
      <c r="Z17" s="30">
        <v>1.2503</v>
      </c>
      <c r="AA17" s="31">
        <v>347</v>
      </c>
      <c r="AB17" s="30">
        <v>1.8755</v>
      </c>
      <c r="AC17" s="28">
        <v>189</v>
      </c>
      <c r="AE17">
        <v>1</v>
      </c>
    </row>
    <row r="18" customFormat="1" spans="1:31">
      <c r="A18" t="s">
        <v>214</v>
      </c>
      <c r="Q18" s="27"/>
      <c r="R18" s="29"/>
      <c r="Y18" t="s">
        <v>99</v>
      </c>
      <c r="Z18" s="27">
        <f>198.73%*2</f>
        <v>3.9746</v>
      </c>
      <c r="AA18" s="28">
        <f>504*2</f>
        <v>1008</v>
      </c>
      <c r="AB18" s="27">
        <f>Z18*1.5</f>
        <v>5.9619</v>
      </c>
      <c r="AC18" s="28"/>
      <c r="AE18">
        <v>1</v>
      </c>
    </row>
    <row r="19" customFormat="1" spans="1:31">
      <c r="A19" t="s">
        <v>71</v>
      </c>
      <c r="Q19" s="27"/>
      <c r="R19" s="29"/>
      <c r="Y19" t="s">
        <v>99</v>
      </c>
      <c r="Z19" s="27">
        <f>74.52%*2</f>
        <v>1.4904</v>
      </c>
      <c r="AA19" s="28">
        <f>189*2</f>
        <v>378</v>
      </c>
      <c r="AB19" s="27">
        <f>Z19*1.5</f>
        <v>2.2356</v>
      </c>
      <c r="AC19" s="28"/>
      <c r="AE19">
        <v>1</v>
      </c>
    </row>
    <row r="20" customFormat="1" spans="1:31">
      <c r="A20" t="s">
        <v>178</v>
      </c>
      <c r="B20" s="29"/>
      <c r="E20" s="29"/>
      <c r="G20" s="29"/>
      <c r="N20" s="29"/>
      <c r="R20" s="29"/>
      <c r="Y20" t="s">
        <v>99</v>
      </c>
      <c r="Z20" s="27">
        <f>254.71%*2.7*1.5</f>
        <v>10.315755</v>
      </c>
      <c r="AA20" s="28">
        <f>492*2.7*1.5</f>
        <v>1992.6</v>
      </c>
      <c r="AB20" s="27">
        <f t="shared" ref="AB20:AB35" si="0">Z20*1.5</f>
        <v>15.4736325</v>
      </c>
      <c r="AC20" s="28"/>
      <c r="AE20">
        <v>1</v>
      </c>
    </row>
    <row r="21" customFormat="1" spans="1:31">
      <c r="A21" t="s">
        <v>177</v>
      </c>
      <c r="B21" s="29"/>
      <c r="Q21" s="27"/>
      <c r="R21" s="29"/>
      <c r="Y21" t="s">
        <v>96</v>
      </c>
      <c r="Z21" s="27">
        <f>319.88%+390.96%</f>
        <v>7.1084</v>
      </c>
      <c r="AA21" s="28">
        <f>616+753</f>
        <v>1369</v>
      </c>
      <c r="AB21" s="27">
        <f t="shared" si="0"/>
        <v>10.6626</v>
      </c>
      <c r="AC21" s="28"/>
      <c r="AE21">
        <v>1</v>
      </c>
    </row>
    <row r="22" customFormat="1" spans="1:31">
      <c r="A22" t="s">
        <v>191</v>
      </c>
      <c r="B22" s="29">
        <v>0.47</v>
      </c>
      <c r="Q22" s="27"/>
      <c r="R22" s="29"/>
      <c r="V22">
        <v>1</v>
      </c>
      <c r="Y22" t="s">
        <v>96</v>
      </c>
      <c r="Z22" s="27">
        <f>1636.48%*2.2*0.7</f>
        <v>25.201792</v>
      </c>
      <c r="AA22" s="28">
        <f>3162*2.2*0.7</f>
        <v>4869.48</v>
      </c>
      <c r="AB22" s="27">
        <f t="shared" si="0"/>
        <v>37.802688</v>
      </c>
      <c r="AC22" s="28"/>
      <c r="AE22">
        <v>1</v>
      </c>
    </row>
    <row r="23" customFormat="1" spans="1:31">
      <c r="A23" t="s">
        <v>215</v>
      </c>
      <c r="Q23" s="27"/>
      <c r="R23" s="29"/>
      <c r="Y23" t="s">
        <v>99</v>
      </c>
      <c r="Z23" s="27">
        <f>(416.02%+772.61%)*2</f>
        <v>23.7726</v>
      </c>
      <c r="AA23" s="28">
        <f>(803+1493)*2</f>
        <v>4592</v>
      </c>
      <c r="AB23" s="27">
        <f t="shared" si="0"/>
        <v>35.6589</v>
      </c>
      <c r="AC23" s="28"/>
      <c r="AE23">
        <v>1</v>
      </c>
    </row>
    <row r="24" customFormat="1" spans="1:31">
      <c r="A24" t="s">
        <v>216</v>
      </c>
      <c r="B24" s="29"/>
      <c r="Q24" s="27"/>
      <c r="R24" s="29"/>
      <c r="Y24" t="s">
        <v>96</v>
      </c>
      <c r="Z24" s="27">
        <f>257.01%/2</f>
        <v>1.28505</v>
      </c>
      <c r="AA24" s="28">
        <f>502/2</f>
        <v>251</v>
      </c>
      <c r="AB24" s="27">
        <f t="shared" si="0"/>
        <v>1.927575</v>
      </c>
      <c r="AC24" s="28"/>
      <c r="AE24">
        <v>1</v>
      </c>
    </row>
    <row r="25" customFormat="1" spans="1:31">
      <c r="A25" t="s">
        <v>217</v>
      </c>
      <c r="Q25" s="27"/>
      <c r="R25" s="29"/>
      <c r="Y25" t="s">
        <v>96</v>
      </c>
      <c r="Z25" s="27">
        <f>257.01%+141.62%</f>
        <v>3.9863</v>
      </c>
      <c r="AA25" s="28">
        <f>502+276</f>
        <v>778</v>
      </c>
      <c r="AB25" s="27">
        <f t="shared" si="0"/>
        <v>5.97945</v>
      </c>
      <c r="AC25" s="28"/>
      <c r="AE25">
        <v>1</v>
      </c>
    </row>
    <row r="26" customFormat="1" spans="1:31">
      <c r="A26" t="s">
        <v>218</v>
      </c>
      <c r="B26" s="29"/>
      <c r="Q26" s="27"/>
      <c r="R26" s="29"/>
      <c r="T26" s="29"/>
      <c r="Y26" t="s">
        <v>96</v>
      </c>
      <c r="Z26" s="27">
        <v>0.236</v>
      </c>
      <c r="AA26" s="28">
        <v>46</v>
      </c>
      <c r="AB26" s="27">
        <f t="shared" si="0"/>
        <v>0.354</v>
      </c>
      <c r="AC26" s="28"/>
      <c r="AE26">
        <v>0.5</v>
      </c>
    </row>
    <row r="27" customFormat="1" spans="1:31">
      <c r="A27" t="s">
        <v>219</v>
      </c>
      <c r="B27" s="29"/>
      <c r="Q27" s="27"/>
      <c r="R27" s="29"/>
      <c r="Y27" t="s">
        <v>96</v>
      </c>
      <c r="Z27" s="27">
        <f>272.42%/2</f>
        <v>1.3621</v>
      </c>
      <c r="AA27" s="28">
        <f>528/2</f>
        <v>264</v>
      </c>
      <c r="AB27" s="27">
        <f t="shared" si="0"/>
        <v>2.04315</v>
      </c>
      <c r="AC27" s="28"/>
      <c r="AE27">
        <v>1</v>
      </c>
    </row>
    <row r="28" customFormat="1" spans="1:31">
      <c r="A28" t="s">
        <v>220</v>
      </c>
      <c r="Q28" s="27"/>
      <c r="R28" s="29"/>
      <c r="Y28" t="s">
        <v>96</v>
      </c>
      <c r="Z28" s="27">
        <f>272.42%+150.11%</f>
        <v>4.2253</v>
      </c>
      <c r="AA28" s="28">
        <f>528+291</f>
        <v>819</v>
      </c>
      <c r="AB28" s="27">
        <f t="shared" si="0"/>
        <v>6.33795</v>
      </c>
      <c r="AC28" s="28"/>
      <c r="AE28">
        <v>1</v>
      </c>
    </row>
    <row r="29" customFormat="1" spans="1:31">
      <c r="A29" t="s">
        <v>221</v>
      </c>
      <c r="B29" s="29"/>
      <c r="Q29" s="27"/>
      <c r="R29" s="29"/>
      <c r="T29" s="29"/>
      <c r="Y29" t="s">
        <v>96</v>
      </c>
      <c r="Z29" s="27">
        <v>0.2958</v>
      </c>
      <c r="AA29" s="28">
        <v>57</v>
      </c>
      <c r="AB29" s="27">
        <f t="shared" si="0"/>
        <v>0.4437</v>
      </c>
      <c r="AC29" s="28"/>
      <c r="AE29">
        <v>0.5</v>
      </c>
    </row>
    <row r="30" customFormat="1" spans="1:31">
      <c r="A30" t="s">
        <v>222</v>
      </c>
      <c r="Q30" s="27"/>
      <c r="R30" s="29"/>
      <c r="Y30" t="s">
        <v>96</v>
      </c>
      <c r="Z30" s="27">
        <v>1.0239</v>
      </c>
      <c r="AA30" s="28">
        <v>196</v>
      </c>
      <c r="AB30" s="27">
        <f t="shared" si="0"/>
        <v>1.53585</v>
      </c>
      <c r="AC30" s="28"/>
      <c r="AE30">
        <v>1</v>
      </c>
    </row>
    <row r="31" customFormat="1" spans="1:31">
      <c r="A31" t="s">
        <v>223</v>
      </c>
      <c r="B31" s="29">
        <v>0.8</v>
      </c>
      <c r="Q31" s="27"/>
      <c r="R31" s="29"/>
      <c r="Y31" t="s">
        <v>96</v>
      </c>
      <c r="Z31" s="27">
        <v>1.7065</v>
      </c>
      <c r="AA31" s="28">
        <v>327</v>
      </c>
      <c r="AB31" s="27">
        <f t="shared" si="0"/>
        <v>2.55975</v>
      </c>
      <c r="AC31" s="28"/>
      <c r="AE31">
        <v>1</v>
      </c>
    </row>
    <row r="32" customFormat="1" spans="1:31">
      <c r="A32" t="s">
        <v>224</v>
      </c>
      <c r="Q32" s="27"/>
      <c r="R32" s="29"/>
      <c r="Y32" t="s">
        <v>96</v>
      </c>
      <c r="Z32" s="27">
        <v>0.7021</v>
      </c>
      <c r="AA32" s="28">
        <v>134</v>
      </c>
      <c r="AB32" s="27">
        <f t="shared" si="0"/>
        <v>1.05315</v>
      </c>
      <c r="AC32" s="28"/>
      <c r="AE32">
        <v>1</v>
      </c>
    </row>
    <row r="33" customFormat="1" spans="1:31">
      <c r="A33" t="s">
        <v>225</v>
      </c>
      <c r="Q33" s="27"/>
      <c r="R33" s="29"/>
      <c r="Y33" t="s">
        <v>96</v>
      </c>
      <c r="Z33" s="27">
        <v>1.609</v>
      </c>
      <c r="AA33" s="28">
        <v>308</v>
      </c>
      <c r="AB33" s="27">
        <f t="shared" si="0"/>
        <v>2.4135</v>
      </c>
      <c r="AC33" s="28"/>
      <c r="AE33">
        <v>1</v>
      </c>
    </row>
    <row r="34" customFormat="1" spans="1:31">
      <c r="A34" t="s">
        <v>193</v>
      </c>
      <c r="Q34" s="27"/>
      <c r="R34" s="29"/>
      <c r="Y34" t="s">
        <v>226</v>
      </c>
      <c r="Z34" s="27">
        <v>1</v>
      </c>
      <c r="AA34" s="28"/>
      <c r="AB34" s="27">
        <v>1</v>
      </c>
      <c r="AC34" s="28"/>
      <c r="AE34">
        <v>1</v>
      </c>
    </row>
    <row r="35" customFormat="1" spans="1:31">
      <c r="A35" t="s">
        <v>190</v>
      </c>
      <c r="B35" s="29"/>
      <c r="E35" s="29"/>
      <c r="G35" s="29"/>
      <c r="N35" s="29"/>
      <c r="R35" s="29"/>
      <c r="Y35" t="s">
        <v>99</v>
      </c>
      <c r="Z35" s="27">
        <f>254.71%*2.7</f>
        <v>6.87717</v>
      </c>
      <c r="AA35" s="28">
        <f>492*2.7</f>
        <v>1328.4</v>
      </c>
      <c r="AB35" s="27">
        <f t="shared" si="0"/>
        <v>10.315755</v>
      </c>
      <c r="AC35" s="28"/>
      <c r="AE35">
        <v>1</v>
      </c>
    </row>
    <row r="36" customFormat="1" spans="1:31">
      <c r="A36" t="s">
        <v>73</v>
      </c>
      <c r="Q36" s="27"/>
      <c r="Y36" t="s">
        <v>226</v>
      </c>
      <c r="Z36" s="27">
        <v>0</v>
      </c>
      <c r="AA36" s="28"/>
      <c r="AB36" s="27">
        <v>0</v>
      </c>
      <c r="AC36" s="28"/>
      <c r="AE36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workbookViewId="0">
      <selection activeCell="A3" sqref="$A3:$XFD6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6">
      <c r="B1" t="s">
        <v>35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106</v>
      </c>
      <c r="R1" t="s">
        <v>201</v>
      </c>
      <c r="S1" t="s">
        <v>108</v>
      </c>
      <c r="T1" t="s">
        <v>202</v>
      </c>
      <c r="U1" t="s">
        <v>227</v>
      </c>
      <c r="V1" t="s">
        <v>228</v>
      </c>
      <c r="W1" s="27" t="s">
        <v>66</v>
      </c>
    </row>
    <row r="2" spans="1:26">
      <c r="A2" t="s">
        <v>83</v>
      </c>
      <c r="B2" s="29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0"/>
      <c r="X2" s="30"/>
      <c r="Y2" s="31"/>
      <c r="Z2" s="30"/>
    </row>
    <row r="3" spans="1:26">
      <c r="A3" t="s">
        <v>229</v>
      </c>
      <c r="B3" s="29">
        <f>IF(期望!$D$20="√",25%,0)</f>
        <v>0.25</v>
      </c>
      <c r="W3" s="30"/>
      <c r="X3" s="30"/>
      <c r="Y3" s="31"/>
      <c r="Z3" s="30"/>
    </row>
    <row r="4" spans="1:26">
      <c r="A4" t="s">
        <v>90</v>
      </c>
      <c r="B4" s="29"/>
      <c r="E4" s="29">
        <f>IF(期望!$D$21="√",12%,0)</f>
        <v>0</v>
      </c>
      <c r="H4" s="29">
        <f>IF(期望!$D$21="√",12%,0)</f>
        <v>0</v>
      </c>
      <c r="I4" s="29"/>
      <c r="W4" s="30"/>
      <c r="X4" s="30"/>
      <c r="Y4" s="31"/>
      <c r="Z4" s="30"/>
    </row>
    <row r="5" spans="1:26">
      <c r="A5" t="s">
        <v>84</v>
      </c>
      <c r="B5" s="29"/>
      <c r="H5" s="29">
        <f>IF(期望!$D$21="√",6%,0)</f>
        <v>0</v>
      </c>
      <c r="W5" s="30"/>
      <c r="X5" s="30"/>
      <c r="Y5" s="31"/>
      <c r="Z5" s="30"/>
    </row>
    <row r="6" spans="1:26">
      <c r="A6" t="s">
        <v>76</v>
      </c>
      <c r="B6" s="29"/>
      <c r="G6" s="29">
        <f>IF(期望!$D$21="√",2%,0)</f>
        <v>0</v>
      </c>
      <c r="J6" s="29">
        <f>IF(期望!$D$21="√",2%,0)</f>
        <v>0</v>
      </c>
      <c r="L6" s="29">
        <f>IF(期望!$D$21="√",2%,0)</f>
        <v>0</v>
      </c>
      <c r="N6" s="29">
        <f>IF(期望!$D$21="√",2%,0)</f>
        <v>0</v>
      </c>
      <c r="P6" s="29">
        <f>IF(期望!$D$21="√",2%,0)</f>
        <v>0</v>
      </c>
      <c r="W6" s="30"/>
      <c r="X6" s="30"/>
      <c r="Y6" s="31"/>
      <c r="Z6" s="30"/>
    </row>
    <row r="7" spans="1:26">
      <c r="A7" t="s">
        <v>77</v>
      </c>
      <c r="B7" s="29"/>
      <c r="W7" s="30">
        <v>0.05</v>
      </c>
      <c r="X7" s="30"/>
      <c r="Y7" s="31"/>
      <c r="Z7" s="30"/>
    </row>
    <row r="8" spans="1:26">
      <c r="A8" t="s">
        <v>105</v>
      </c>
      <c r="B8" s="29"/>
      <c r="F8">
        <f>IF(期望!$E$22="三穷致知",20,0)</f>
        <v>0</v>
      </c>
      <c r="I8">
        <f>IF(期望!$E$22="三穷致知",20,0)</f>
        <v>0</v>
      </c>
      <c r="K8">
        <f>IF(期望!$E$22="三穷致知",20,0)</f>
        <v>0</v>
      </c>
      <c r="M8">
        <f>IF(期望!$E$22="三穷致知",20,0)</f>
        <v>0</v>
      </c>
      <c r="O8">
        <f>IF(期望!$E$22="三穷致知",20,0)</f>
        <v>0</v>
      </c>
      <c r="W8" s="30"/>
      <c r="X8" s="30"/>
      <c r="Y8" s="31"/>
      <c r="Z8" s="30"/>
    </row>
    <row r="9" spans="1:26">
      <c r="A9" t="s">
        <v>179</v>
      </c>
      <c r="B9" s="29"/>
      <c r="W9" s="30">
        <v>0.1</v>
      </c>
    </row>
    <row r="10" spans="1:26">
      <c r="A10" t="s">
        <v>74</v>
      </c>
      <c r="B10" s="29">
        <v>0.02</v>
      </c>
      <c r="W10" s="30"/>
    </row>
    <row r="11" spans="1:26">
      <c r="A11" t="s">
        <v>133</v>
      </c>
      <c r="B11" s="29">
        <v>0.15</v>
      </c>
      <c r="W11" s="30"/>
    </row>
    <row r="12" spans="1:26">
      <c r="A12" t="s">
        <v>132</v>
      </c>
      <c r="B12" s="29"/>
      <c r="F12">
        <f>IF(期望!$E$22="断石之构",25,0)</f>
        <v>25</v>
      </c>
      <c r="J12" s="29"/>
      <c r="R12" s="29">
        <f>IF(期望!$E$22="断石之构",25%,0)</f>
        <v>0.25</v>
      </c>
      <c r="X12" s="30"/>
      <c r="Y12" s="31"/>
      <c r="Z12" s="30"/>
    </row>
    <row r="13" spans="1:26">
      <c r="A13" t="s">
        <v>180</v>
      </c>
      <c r="B13" s="29"/>
      <c r="J13" s="29">
        <f>IF(期望!$D$18="√",10%,0)</f>
        <v>0.1</v>
      </c>
      <c r="W13" s="27">
        <f>IF(期望!$D$18="√",10%,0)</f>
        <v>0.1</v>
      </c>
      <c r="X13" s="30"/>
      <c r="Y13" s="31"/>
      <c r="Z13" s="30"/>
    </row>
    <row r="14" spans="1:26">
      <c r="A14" t="s">
        <v>78</v>
      </c>
      <c r="B14" s="29"/>
      <c r="G14" s="29">
        <v>0.09</v>
      </c>
      <c r="P14" s="29">
        <v>0.09</v>
      </c>
      <c r="X14" s="30"/>
      <c r="Y14" s="31"/>
      <c r="Z14" s="30"/>
    </row>
    <row r="15" spans="1:26">
      <c r="A15" t="s">
        <v>75</v>
      </c>
      <c r="R15" s="29">
        <f>IF(期望!$F$16="√",1%,0)</f>
        <v>0.01</v>
      </c>
      <c r="X15" s="30"/>
      <c r="Y15" s="31"/>
      <c r="Z15" s="30"/>
    </row>
    <row r="16" spans="1:26">
      <c r="A16" t="s">
        <v>82</v>
      </c>
      <c r="R16" s="29">
        <f>IF(期望!$F$16="√",2%,0)</f>
        <v>0.02</v>
      </c>
      <c r="X16" s="30"/>
      <c r="Y16" s="31"/>
      <c r="Z16" s="30"/>
    </row>
    <row r="17" spans="1:26">
      <c r="A17" t="s">
        <v>89</v>
      </c>
      <c r="R17" s="29">
        <f>IF(期望!$F$16="√",3%,0)</f>
        <v>0.03</v>
      </c>
      <c r="X17" s="30"/>
      <c r="Y17" s="31"/>
      <c r="Z17" s="30"/>
    </row>
    <row r="18" spans="1:26">
      <c r="A18" t="s">
        <v>95</v>
      </c>
      <c r="R18" s="29">
        <f>IF(期望!$F$16="√",4%,0)</f>
        <v>0.04</v>
      </c>
      <c r="X18" s="30"/>
      <c r="Y18" s="31"/>
      <c r="Z18" s="30"/>
    </row>
    <row r="19" spans="1:26">
      <c r="A19" t="s">
        <v>144</v>
      </c>
      <c r="R19" s="29">
        <f>IF(期望!$F$16="√",5%,0)</f>
        <v>0.05</v>
      </c>
      <c r="X19" s="30"/>
      <c r="Y19" s="31"/>
      <c r="Z19" s="30"/>
    </row>
    <row r="20" spans="1:26">
      <c r="A20" t="s">
        <v>152</v>
      </c>
      <c r="R20" s="29">
        <f>IF(期望!$F$16="√",6%,0)</f>
        <v>0.06</v>
      </c>
      <c r="X20" s="30"/>
      <c r="Y20" s="31"/>
      <c r="Z20" s="30"/>
    </row>
    <row r="21" spans="1:26">
      <c r="A21" t="s">
        <v>156</v>
      </c>
      <c r="R21" s="29">
        <f>IF(期望!$F$16="√",7%,0)</f>
        <v>0.07</v>
      </c>
      <c r="X21" s="30"/>
      <c r="Y21" s="31"/>
      <c r="Z21" s="30"/>
    </row>
    <row r="22" spans="1:26">
      <c r="A22" t="s">
        <v>161</v>
      </c>
      <c r="R22" s="29">
        <f>IF(期望!$F$16="√",8%,0)</f>
        <v>0.08</v>
      </c>
      <c r="X22" s="30"/>
      <c r="Y22" s="31"/>
      <c r="Z22" s="30"/>
    </row>
    <row r="23" spans="1:26">
      <c r="A23" t="s">
        <v>162</v>
      </c>
      <c r="R23" s="29">
        <f>IF(期望!$F$16="√",9%,0)</f>
        <v>0.09</v>
      </c>
      <c r="X23" s="30"/>
      <c r="Y23" s="31"/>
      <c r="Z23" s="30"/>
    </row>
    <row r="24" spans="1:26">
      <c r="A24" t="s">
        <v>164</v>
      </c>
      <c r="R24" s="29">
        <f>IF(期望!$F$16="√",10%,0)</f>
        <v>0.1</v>
      </c>
      <c r="X24" s="30"/>
      <c r="Y24" s="31"/>
      <c r="Z24" s="30"/>
    </row>
    <row r="25" spans="1:26">
      <c r="A25" t="s">
        <v>230</v>
      </c>
      <c r="R25" s="29">
        <f>IF(期望!$F$16="√",10%,0)</f>
        <v>0.1</v>
      </c>
      <c r="X25" s="30"/>
      <c r="Y25" s="31"/>
      <c r="Z25" s="30"/>
    </row>
    <row r="26" spans="1:26">
      <c r="A26" t="s">
        <v>72</v>
      </c>
      <c r="B26" s="29">
        <f>1%*IF(期望!$E$24="易水歌",1,0)</f>
        <v>0.01</v>
      </c>
      <c r="F26">
        <f>2*IF(期望!$E$24="易水歌",1,0)</f>
        <v>2</v>
      </c>
      <c r="X26" s="30"/>
      <c r="Y26" s="31"/>
      <c r="Z26" s="30"/>
    </row>
    <row r="27" spans="1:26">
      <c r="A27" t="s">
        <v>81</v>
      </c>
      <c r="B27" s="29">
        <f>2%*IF(期望!$E$24="易水歌",1,0)</f>
        <v>0.02</v>
      </c>
      <c r="F27">
        <f>4*IF(期望!$E$24="易水歌",1,0)</f>
        <v>4</v>
      </c>
      <c r="X27" s="30"/>
      <c r="Y27" s="31"/>
      <c r="Z27" s="30"/>
    </row>
    <row r="28" spans="1:26">
      <c r="A28" t="s">
        <v>88</v>
      </c>
      <c r="B28" s="29">
        <f>3%*IF(期望!$E$24="易水歌",1,0)</f>
        <v>0.03</v>
      </c>
      <c r="F28">
        <f>6*IF(期望!$E$24="易水歌",1,0)</f>
        <v>6</v>
      </c>
      <c r="X28" s="30"/>
      <c r="Y28" s="31"/>
      <c r="Z28" s="30"/>
    </row>
    <row r="29" spans="1:26">
      <c r="A29" t="s">
        <v>94</v>
      </c>
      <c r="B29" s="29">
        <f>4%*IF(期望!$E$24="易水歌",1,0)</f>
        <v>0.04</v>
      </c>
      <c r="F29">
        <f>8*IF(期望!$E$24="易水歌",1,0)</f>
        <v>8</v>
      </c>
      <c r="X29" s="30"/>
      <c r="Y29" s="31"/>
      <c r="Z29" s="30"/>
    </row>
    <row r="30" spans="1:26">
      <c r="A30" t="s">
        <v>97</v>
      </c>
      <c r="B30" s="29">
        <f>5%*IF(期望!$E$24="易水歌",1,0)</f>
        <v>0.05</v>
      </c>
      <c r="F30">
        <f>10*IF(期望!$E$24="易水歌",1,0)</f>
        <v>10</v>
      </c>
      <c r="X30" s="30"/>
      <c r="Y30" s="31"/>
      <c r="Z30" s="30"/>
    </row>
    <row r="31" spans="1:26">
      <c r="A31" t="s">
        <v>73</v>
      </c>
      <c r="X31" s="30"/>
      <c r="Y31" s="31"/>
      <c r="Z31" s="30"/>
    </row>
    <row r="32" spans="1:26">
      <c r="X32" s="30"/>
      <c r="Y32" s="31"/>
      <c r="Z32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topLeftCell="A10" workbookViewId="0">
      <selection activeCell="F42" sqref="F42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231</v>
      </c>
      <c r="B1" s="3" t="s">
        <v>232</v>
      </c>
      <c r="C1" s="4" t="s">
        <v>233</v>
      </c>
      <c r="D1" s="5" t="s">
        <v>234</v>
      </c>
    </row>
    <row r="2" spans="1:4">
      <c r="A2" s="6">
        <v>0.1</v>
      </c>
      <c r="B2" s="7">
        <v>1</v>
      </c>
      <c r="C2" s="8" t="s">
        <v>235</v>
      </c>
      <c r="D2" s="4" t="s">
        <v>236</v>
      </c>
    </row>
    <row r="3" spans="1:4">
      <c r="A3" s="9"/>
      <c r="B3" s="10">
        <v>2</v>
      </c>
      <c r="C3" s="11" t="s">
        <v>237</v>
      </c>
    </row>
    <row r="4" spans="1:4">
      <c r="A4" s="9"/>
      <c r="B4" s="12">
        <v>3</v>
      </c>
      <c r="C4" s="11" t="s">
        <v>238</v>
      </c>
    </row>
    <row r="5" ht="14.25" spans="1:4">
      <c r="A5" s="13"/>
      <c r="B5" s="14">
        <v>4</v>
      </c>
      <c r="C5" s="15" t="s">
        <v>239</v>
      </c>
    </row>
    <row r="6" ht="14.25" spans="1:4">
      <c r="A6" s="16">
        <v>0.2</v>
      </c>
      <c r="B6" s="17">
        <v>1</v>
      </c>
      <c r="C6" s="18" t="s">
        <v>240</v>
      </c>
    </row>
    <row r="7" ht="14.25" spans="1:4">
      <c r="A7" s="16">
        <v>0.3</v>
      </c>
      <c r="B7" s="17">
        <v>1</v>
      </c>
      <c r="C7" s="18" t="s">
        <v>241</v>
      </c>
    </row>
    <row r="8" ht="14.25" spans="1:4">
      <c r="A8" s="16">
        <v>0.4</v>
      </c>
      <c r="B8" s="17">
        <v>1</v>
      </c>
      <c r="C8" s="18" t="s">
        <v>242</v>
      </c>
    </row>
    <row r="9" ht="14.25" spans="1:4">
      <c r="A9" s="19">
        <v>0.5</v>
      </c>
      <c r="B9" s="20">
        <v>1</v>
      </c>
      <c r="C9" s="8" t="s">
        <v>243</v>
      </c>
    </row>
    <row r="10" spans="1:4">
      <c r="A10" s="19">
        <v>0.6</v>
      </c>
      <c r="B10" s="20">
        <v>1</v>
      </c>
      <c r="C10" s="8" t="s">
        <v>244</v>
      </c>
    </row>
    <row r="11" spans="1:4">
      <c r="A11" s="21"/>
      <c r="B11" s="12">
        <v>2</v>
      </c>
      <c r="C11" s="11" t="s">
        <v>245</v>
      </c>
    </row>
    <row r="12" ht="14.25" spans="1:4">
      <c r="A12" s="22"/>
      <c r="B12" s="14">
        <v>3</v>
      </c>
      <c r="C12" s="15" t="s">
        <v>246</v>
      </c>
    </row>
    <row r="13" ht="14.25" spans="1:4">
      <c r="A13" s="23">
        <v>0.7</v>
      </c>
      <c r="B13" s="17">
        <v>1</v>
      </c>
      <c r="C13" s="18" t="s">
        <v>247</v>
      </c>
    </row>
    <row r="14" ht="14.25" spans="1:4">
      <c r="A14" s="16">
        <v>0.8</v>
      </c>
      <c r="B14" s="17">
        <v>1</v>
      </c>
      <c r="C14" s="18" t="s">
        <v>248</v>
      </c>
    </row>
    <row r="15" ht="14.25" spans="1:4">
      <c r="A15" s="16">
        <v>0.9</v>
      </c>
      <c r="B15" s="17">
        <v>1</v>
      </c>
      <c r="C15" s="18" t="s">
        <v>248</v>
      </c>
    </row>
    <row r="16" ht="14.25" spans="1:4">
      <c r="A16" s="16">
        <v>1</v>
      </c>
      <c r="B16" s="17">
        <v>1</v>
      </c>
      <c r="C16" s="18" t="s">
        <v>249</v>
      </c>
    </row>
    <row r="17" spans="1:3">
      <c r="A17" s="19">
        <v>1.1</v>
      </c>
      <c r="B17" s="20">
        <v>1</v>
      </c>
      <c r="C17" s="8" t="s">
        <v>250</v>
      </c>
    </row>
    <row r="18" ht="14.25" spans="1:3">
      <c r="A18" s="22"/>
      <c r="B18" s="14">
        <v>2</v>
      </c>
      <c r="C18" s="15" t="s">
        <v>251</v>
      </c>
    </row>
    <row r="19" ht="14.25" spans="1:3">
      <c r="A19" s="19">
        <v>1.2</v>
      </c>
      <c r="B19" s="20">
        <v>1</v>
      </c>
      <c r="C19" s="8" t="s">
        <v>252</v>
      </c>
    </row>
    <row r="20" spans="1:3">
      <c r="A20" s="19">
        <v>1.3</v>
      </c>
      <c r="B20" s="20">
        <v>1</v>
      </c>
      <c r="C20" s="8" t="s">
        <v>253</v>
      </c>
    </row>
    <row r="21" ht="14.25" spans="1:3">
      <c r="A21" s="22"/>
      <c r="B21" s="14">
        <v>2</v>
      </c>
      <c r="C21" s="15" t="s">
        <v>254</v>
      </c>
    </row>
    <row r="22" spans="1:3">
      <c r="A22" s="19">
        <v>1.4</v>
      </c>
      <c r="B22" s="20">
        <v>1</v>
      </c>
      <c r="C22" s="8" t="s">
        <v>255</v>
      </c>
    </row>
    <row r="23" ht="14.25" spans="1:3">
      <c r="A23" s="22"/>
      <c r="B23" s="14">
        <v>2</v>
      </c>
      <c r="C23" s="15" t="s">
        <v>256</v>
      </c>
    </row>
    <row r="24" ht="14.25" spans="1:3">
      <c r="A24" s="16">
        <v>1.5</v>
      </c>
      <c r="B24" s="17">
        <v>1</v>
      </c>
      <c r="C24" s="18" t="s">
        <v>257</v>
      </c>
    </row>
    <row r="25" ht="14.25" spans="1:3">
      <c r="A25" s="16">
        <v>1.6</v>
      </c>
      <c r="B25" s="17">
        <v>1</v>
      </c>
      <c r="C25" s="18" t="s">
        <v>258</v>
      </c>
    </row>
    <row r="26" ht="14.25" spans="1:3">
      <c r="A26" s="16">
        <v>1.7</v>
      </c>
      <c r="B26" s="17">
        <v>1</v>
      </c>
      <c r="C26" s="18" t="s">
        <v>258</v>
      </c>
    </row>
    <row r="27" ht="14.25" spans="1:3">
      <c r="A27" s="16">
        <v>1.8</v>
      </c>
      <c r="B27" s="17">
        <v>1</v>
      </c>
      <c r="C27" s="18" t="s">
        <v>259</v>
      </c>
    </row>
    <row r="28" spans="1:3">
      <c r="A28" s="19">
        <v>1.9</v>
      </c>
      <c r="B28" s="20">
        <v>1</v>
      </c>
      <c r="C28" s="8" t="s">
        <v>260</v>
      </c>
    </row>
    <row r="29" ht="14.25" spans="1:3">
      <c r="A29" s="22"/>
      <c r="B29" s="14">
        <v>2</v>
      </c>
      <c r="C29" s="15" t="s">
        <v>261</v>
      </c>
    </row>
    <row r="30" spans="1:3">
      <c r="A30" s="19">
        <v>2</v>
      </c>
      <c r="B30" s="20">
        <v>1</v>
      </c>
      <c r="C30" s="8" t="s">
        <v>262</v>
      </c>
    </row>
    <row r="31" spans="1:3">
      <c r="A31" s="21"/>
      <c r="B31">
        <v>2</v>
      </c>
      <c r="C31" s="11" t="s">
        <v>263</v>
      </c>
    </row>
    <row r="32" ht="14.25" spans="1:3">
      <c r="A32" s="22"/>
      <c r="B32" s="14">
        <v>3</v>
      </c>
      <c r="C32" s="15" t="s">
        <v>264</v>
      </c>
    </row>
    <row r="33" spans="1:3">
      <c r="A33" s="19">
        <v>2.1</v>
      </c>
      <c r="B33" s="20">
        <v>1</v>
      </c>
      <c r="C33" s="8" t="s">
        <v>265</v>
      </c>
    </row>
    <row r="34" spans="1:3">
      <c r="A34" s="21"/>
      <c r="B34">
        <v>2</v>
      </c>
      <c r="C34" s="11" t="s">
        <v>266</v>
      </c>
    </row>
    <row r="35" spans="1:3">
      <c r="A35" s="21"/>
      <c r="C35" s="11" t="s">
        <v>267</v>
      </c>
    </row>
    <row r="36" spans="1:3">
      <c r="A36" s="21"/>
      <c r="B36">
        <v>3</v>
      </c>
      <c r="C36" s="11" t="s">
        <v>268</v>
      </c>
    </row>
    <row r="37" spans="1:3">
      <c r="A37" s="21"/>
      <c r="B37">
        <v>4</v>
      </c>
      <c r="C37" s="11" t="s">
        <v>269</v>
      </c>
    </row>
    <row r="38" spans="1:3">
      <c r="A38" s="21"/>
      <c r="B38">
        <v>5</v>
      </c>
      <c r="C38" s="11" t="s">
        <v>270</v>
      </c>
    </row>
    <row r="39" spans="1:3">
      <c r="A39" s="21"/>
      <c r="B39">
        <v>6</v>
      </c>
      <c r="C39" s="11" t="s">
        <v>271</v>
      </c>
    </row>
    <row r="40" ht="14.25" spans="1:3">
      <c r="A40" s="22"/>
      <c r="B40" s="14">
        <v>7</v>
      </c>
      <c r="C40" s="15" t="s">
        <v>272</v>
      </c>
    </row>
    <row r="41" spans="1:3">
      <c r="A41" s="19">
        <v>2.2</v>
      </c>
      <c r="B41" s="20">
        <v>1</v>
      </c>
      <c r="C41" s="8" t="s">
        <v>273</v>
      </c>
    </row>
    <row r="42" ht="14.25" spans="1:3">
      <c r="A42" s="22"/>
      <c r="B42" s="14">
        <v>2</v>
      </c>
      <c r="C42" s="15" t="s">
        <v>274</v>
      </c>
    </row>
    <row r="43" spans="1:3">
      <c r="A43" s="19">
        <v>2.3</v>
      </c>
      <c r="B43" s="20">
        <v>1</v>
      </c>
      <c r="C43" s="8" t="s">
        <v>248</v>
      </c>
    </row>
    <row r="44" ht="14.25" spans="1:3">
      <c r="A44" s="22"/>
      <c r="B44" s="14">
        <v>2</v>
      </c>
      <c r="C44" s="15" t="s">
        <v>275</v>
      </c>
    </row>
    <row r="45" ht="14.25" spans="1:3">
      <c r="A45" s="24">
        <v>2.4</v>
      </c>
      <c r="B45" s="25">
        <v>1</v>
      </c>
      <c r="C45" s="26" t="s">
        <v>276</v>
      </c>
    </row>
  </sheetData>
  <mergeCells count="10">
    <mergeCell ref="A2:A5"/>
    <mergeCell ref="A10:A12"/>
    <mergeCell ref="A17:A18"/>
    <mergeCell ref="A20:A21"/>
    <mergeCell ref="A22:A23"/>
    <mergeCell ref="A28:A29"/>
    <mergeCell ref="A30:A32"/>
    <mergeCell ref="A33:A40"/>
    <mergeCell ref="A41:A42"/>
    <mergeCell ref="A43:A44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2026-08-09T13:08:25Z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