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<sst xmlns="http://schemas.openxmlformats.org/spreadsheetml/2006/main" count="6331" uniqueCount="280">
  <si>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</si>
  <si>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</si>
  <si>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</si>
  <si>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</si>
  <si>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</si>
  <si>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</si>
  <si>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</si>
  <si>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</si>
  <si>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</si>
  <si>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</si>
  <si>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</si>
  <si>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</si>
  <si>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</si>
  <si>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</si>
  <si>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</si>
  <si>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</si>
  <si>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</si>
  <si>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</si>
  <si>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</si>
  <si>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</si>
  <si>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</si>
  <si>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</si>
  <si>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</si>
  <si>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</si>
  <si>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</si>
  <si>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</si>
  <si>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</si>
  <si>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</si>
  <si>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</si>
  <si>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</si>
  <si>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</si>
  <si>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</si>
  <si>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</si>
  <si>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</si>
  <si>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</si>
  <si>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</si>
  <si>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</si>
  <si>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</si>
  <si>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</si>
  <si>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</si>
  <si>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</si>
  <si>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</si>
  <si>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</si>
  <si>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</si>
  <si>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</si>
  <si>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</si>
  <si>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</si>
  <si>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</si>
  <si>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</si>
  <si>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</si>
  <si>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</si>
  <si>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</si>
  <si>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</si>
  <si>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</si>
  <si>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</si>
  <si>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</si>
  <si>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</si>
  <si>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</si>
  <si>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</si>
  <si>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</si>
  <si>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</si>
  <si>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</si>
  <si>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</si>
  <si>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</si>
  <si>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</si>
  <si>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</si>
  <si>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</si>
  <si>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</si>
  <si>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</si>
  <si>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</si>
  <si>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</si>
  <si>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</si>
  <si>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</si>
  <si>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</si>
  <si>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</si>
  <si>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萧呤千浪流星</t>
  </si>
  <si>
    <t>易水歌1层</t>
  </si>
  <si>
    <t>沧海帖1层</t>
  </si>
  <si>
    <t>N/a</t>
  </si>
  <si>
    <t>近战笛</t>
  </si>
  <si>
    <t>鸣金</t>
  </si>
  <si>
    <t>外抗</t>
  </si>
  <si>
    <t>易水歌2层</t>
  </si>
  <si>
    <t>沧海帖2层</t>
  </si>
  <si>
    <t>惧刃(拐)</t>
  </si>
  <si>
    <t>裂石</t>
  </si>
  <si>
    <t>伞</t>
  </si>
  <si>
    <t>属抗</t>
  </si>
  <si>
    <t>易水歌3层</t>
  </si>
  <si>
    <t>沧海帖3层</t>
  </si>
  <si>
    <t>小纵地</t>
  </si>
  <si>
    <t>扇</t>
  </si>
  <si>
    <t>副本天赋</t>
  </si>
  <si>
    <t>易水歌4层</t>
  </si>
  <si>
    <t>沧海帖4层</t>
  </si>
  <si>
    <t>破竹</t>
  </si>
  <si>
    <t>单体奇术</t>
  </si>
  <si>
    <t>易水歌5层</t>
  </si>
  <si>
    <t>沧海帖5层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</si>
  <si>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</si>
  <si>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</si>
  <si>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</si>
  <si>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</si>
  <si>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</si>
  <si>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</si>
  <si>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</si>
  <si>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连中</t>
  </si>
  <si>
    <t>会心率</t>
  </si>
  <si>
    <t>伞重击派生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</si>
  <si>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</si>
  <si>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</si>
  <si>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</si>
  <si>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</si>
  <si>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</si>
  <si>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</si>
  <si>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</si>
  <si>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</si>
  <si>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伞增(拐)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</si>
  <si>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</si>
  <si>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</si>
  <si>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</si>
  <si>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</si>
  <si>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</si>
  <si>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</si>
  <si>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</si>
  <si>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</si>
  <si>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</si>
  <si>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</si>
  <si>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</si>
  <si>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×</t>
  </si>
  <si>
    <t>所恨年年</t>
  </si>
  <si>
    <t>扇～</t>
  </si>
  <si>
    <t>扇增</t>
  </si>
  <si>
    <t>虹</t>
  </si>
  <si>
    <t>神龙吐火暗灼2hit</t>
  </si>
  <si>
    <t>单体奇术增</t>
  </si>
  <si>
    <t>钧</t>
  </si>
  <si>
    <t>神龙吐火暗灼dot</t>
  </si>
  <si>
    <t>惊神(拐)</t>
  </si>
  <si>
    <t>群体奇术增</t>
  </si>
  <si>
    <t>影</t>
  </si>
  <si>
    <t>弹道定音</t>
  </si>
  <si>
    <t>翊</t>
  </si>
  <si>
    <t>第四心法</t>
  </si>
  <si>
    <t>固伤加成</t>
  </si>
  <si>
    <t>樽</t>
  </si>
  <si>
    <t>易水歌</t>
  </si>
  <si>
    <t>食物加成</t>
  </si>
  <si>
    <t>霖</t>
  </si>
  <si>
    <t>断石覆盖</t>
  </si>
  <si>
    <t>全蹭</t>
  </si>
  <si>
    <t>断石5额外</t>
  </si>
  <si>
    <t>沧海帖6层</t>
  </si>
  <si>
    <t>太白醉月1-4</t>
  </si>
  <si>
    <t>笛</t>
  </si>
  <si>
    <t>太白醉月暗灼</t>
  </si>
  <si>
    <t>风墙切武</t>
  </si>
  <si>
    <t>抬手</t>
  </si>
  <si>
    <t>惧</t>
  </si>
  <si>
    <t>伞派生</t>
  </si>
  <si>
    <t>扇Q</t>
  </si>
  <si>
    <t>切武器</t>
  </si>
  <si>
    <t>喷火</t>
  </si>
  <si>
    <t>拳4</t>
  </si>
  <si>
    <t>太白醉月5</t>
  </si>
  <si>
    <t>风墙</t>
  </si>
  <si>
    <t>断</t>
  </si>
  <si>
    <t>沧海帖7层</t>
  </si>
  <si>
    <t>拳1-4</t>
  </si>
  <si>
    <t>扇左蓄</t>
  </si>
  <si>
    <t>沧海帖8层</t>
  </si>
  <si>
    <t>大纵地</t>
  </si>
  <si>
    <t>拳5</t>
  </si>
  <si>
    <t>沧海帖9层</t>
  </si>
  <si>
    <t>移动药叉</t>
  </si>
  <si>
    <t>扇强化重击派生</t>
  </si>
  <si>
    <t>沧海帖10层</t>
  </si>
  <si>
    <t>风墙(追击)</t>
  </si>
  <si>
    <t>龙卷/额外奇术</t>
  </si>
  <si>
    <t>调轴点</t>
  </si>
  <si>
    <t>龙卷风+后摇打断</t>
  </si>
  <si>
    <t>风墙+强化派生</t>
  </si>
  <si>
    <t>喝酒</t>
  </si>
  <si>
    <t>连中(气竭)</t>
  </si>
  <si>
    <t>断石5</t>
  </si>
  <si>
    <t>气竭</t>
  </si>
  <si>
    <t>真气失衡</t>
  </si>
  <si>
    <t>伞增气竭额外(拐)</t>
  </si>
  <si>
    <t>气竭强化</t>
  </si>
  <si>
    <t>气</t>
  </si>
  <si>
    <t>射箭</t>
  </si>
  <si>
    <t>机制</t>
  </si>
  <si>
    <t>衍九矢9hit</t>
  </si>
  <si>
    <t>骑龙</t>
  </si>
  <si>
    <t>喝酒风墙</t>
  </si>
  <si>
    <t>骑龙回马</t>
  </si>
  <si>
    <t>拳2</t>
  </si>
  <si>
    <t>易水歌6重</t>
  </si>
  <si>
    <t>特殊技定音</t>
  </si>
  <si>
    <t>闪避</t>
  </si>
  <si>
    <t>强化派生</t>
  </si>
  <si>
    <t>移动闪避</t>
  </si>
  <si>
    <t>酒</t>
  </si>
  <si>
    <t>移动</t>
  </si>
  <si>
    <t>空中左蓄</t>
  </si>
  <si>
    <t>龙卷风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</si>
  <si>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</si>
  <si>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</si>
  <si>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</si>
  <si>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</si>
  <si>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</si>
  <si>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</si>
  <si>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</si>
  <si>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</si>
  <si>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</si>
  <si>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</si>
  <si>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</si>
  <si>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</si>
  <si>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</si>
  <si>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</si>
  <si>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伞左蓄每秒</t>
  </si>
  <si>
    <t>弹道</t>
  </si>
  <si>
    <t>扇普通重击派生</t>
  </si>
  <si>
    <t>萧呤千浪AOE</t>
  </si>
  <si>
    <t>叶龙骧首(40层+100%HP)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</si>
  <si>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</si>
  <si>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</si>
  <si>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</si>
  <si>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</si>
  <si>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</si>
  <si>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</si>
  <si>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</si>
  <si>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</si>
  <si>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烁鼓(拐)</t>
  </si>
  <si>
    <t>扶风(拐)</t>
  </si>
  <si>
    <t>裁云(拐)</t>
  </si>
  <si>
    <t>离猎(拐)</t>
  </si>
  <si>
    <t>远程笛</t>
  </si>
  <si>
    <t>无惧</t>
  </si>
  <si>
    <t>断石1</t>
  </si>
  <si>
    <t>断石2</t>
  </si>
  <si>
    <t>断石3</t>
  </si>
  <si>
    <t>断石4</t>
  </si>
  <si>
    <t>阴阳</t>
  </si>
  <si>
    <t>5惊春</t>
  </si>
  <si>
    <t>低真气追击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</si>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</sst>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36"/>
  <sheetViews>
    <sheetView workbookViewId="0">
      <selection activeCell="H47" sqref="H47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31" customWidth="1"/>
    <col min="18" max="37" width="9" style="31"/>
    <col min="39" max="39" width="9" style="24"/>
    <col min="40" max="40" width="9" style="25"/>
    <col min="41" max="41" width="9" style="24"/>
    <col min="42" max="42" width="9" style="25"/>
    <col min="43" max="44" width="9" style="24"/>
    <col min="45" max="46" width="10.375"/>
    <col min="47" max="49" width="9" style="32"/>
    <col min="52" max="53" width="9" style="32"/>
    <col min="59" max="59" width="9.375"/>
    <col min="66" max="70" width="9" style="24"/>
    <col min="71" max="72" width="9.00833333333333" style="24" customWidth="1"/>
    <col min="73" max="74" width="9" style="24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4" t="s">
        <v>35</v>
      </c>
      <c r="AN1" s="25" t="s">
        <v>36</v>
      </c>
      <c r="AO1" s="24" t="s">
        <v>37</v>
      </c>
      <c r="AP1" s="25" t="s">
        <v>38</v>
      </c>
      <c r="AQ1" s="24" t="s">
        <v>39</v>
      </c>
      <c r="AR1" s="24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</row>
    <row r="2" spans="1:74">
      <c r="A2" s="41" t="s">
        <v>71</v>
      </c>
      <c r="B2" s="31">
        <v>3909.8</v>
      </c>
      <c r="C2" s="31">
        <v>3144.7</v>
      </c>
      <c r="D2" s="31">
        <v>63.5</v>
      </c>
      <c r="E2" s="42"/>
      <c r="F2" s="43" t="s">
        <v>72</v>
      </c>
      <c r="G2" s="44" t="s">
        <v>73</v>
      </c>
      <c r="H2" s="45" t="s">
        <v>74</v>
      </c>
      <c r="I2" s="11">
        <f>620*(1-IF(F17="√",0.06,0)-IF(D20="√",0.04,0))</f>
        <v>582.8</v>
      </c>
      <c r="K2" s="38">
        <f>($L2*$BS2+$M2*$BQ2+$N2*$BT2+$O2*$BU2)</f>
        <v>20065.4454441016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弹道",$B$21,0))*(1+$BV2)</f>
        <v>20060.8729410878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弹道",$B$21,0))*(1+$BV2)</f>
        <v>20110.0925644875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弹道",$B$21,0))*(1+$BV2)</f>
        <v>13285.3463186012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弹道",$B$21,0))*(1+$BV2)</f>
        <v>11674.3277746191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78</v>
      </c>
      <c r="V2" s="40" t="s">
        <v>78</v>
      </c>
      <c r="W2" s="40" t="s">
        <v>78</v>
      </c>
      <c r="X2" s="40" t="s">
        <v>78</v>
      </c>
      <c r="Y2" s="40" t="s">
        <v>78</v>
      </c>
      <c r="Z2" s="40" t="s">
        <v>78</v>
      </c>
      <c r="AA2" s="40" t="s">
        <v>79</v>
      </c>
      <c r="AB2" s="40" t="s">
        <v>78</v>
      </c>
      <c r="AC2" s="40" t="s">
        <v>78</v>
      </c>
      <c r="AD2" s="40" t="s">
        <v>78</v>
      </c>
      <c r="AE2" s="40" t="s">
        <v>78</v>
      </c>
      <c r="AF2" s="40" t="s">
        <v>78</v>
      </c>
      <c r="AG2" s="40" t="s">
        <v>78</v>
      </c>
      <c r="AH2" s="40" t="s">
        <v>78</v>
      </c>
      <c r="AI2" s="40" t="s">
        <v>78</v>
      </c>
      <c r="AJ2" s="40" t="s">
        <v>78</v>
      </c>
      <c r="AK2" s="40" t="s">
        <v>78</v>
      </c>
      <c r="AL2" t="str">
        <f>VLOOKUP($Q2,武学奇术!$A:$ZZ,25,FALSE)</f>
        <v>群体奇术</v>
      </c>
      <c r="AM2" s="24">
        <f>VLOOKUP($Q2,武学奇术!$A:$ZZ,26,FALSE)</f>
        <v>1.4904</v>
      </c>
      <c r="AN2" s="25">
        <f>VLOOKUP($Q2,武学奇术!$A:$ZZ,27,FALSE)*(1+IF(OR($AL2=$F$4,$AL2=$F$5),$B$22,0))</f>
        <v>378</v>
      </c>
      <c r="AO2" s="24">
        <f>VLOOKUP($Q2,武学奇术!$A:$ZZ,28,FALSE)</f>
        <v>2.2356</v>
      </c>
      <c r="AP2" s="25">
        <f>VLOOKUP($Q2,武学奇术!$A:$ZZ,29,FALSE)*(1+IF(OR($AL2=$F$4,$AL2=$F$5),$B$22,0))</f>
        <v>0</v>
      </c>
      <c r="AQ2" s="24" cm="1">
        <f t="array" ref="AQ2">$G$3+IFERROR(VLOOKUP($AL2,$F$4:$G$7,2,FALSE),0)+VLOOKUP($Q2,武学奇术!$A:$ZZ,2,FALSE)+SUM(_xlfn.XLOOKUP($R2:$AK2,增益!$A:$A,增益!$B:$B,0))</f>
        <v>0.2137</v>
      </c>
      <c r="AR2" s="24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3773.588</v>
      </c>
      <c r="AT2" cm="1">
        <f t="array" ref="AT2">$E$10*(1+$AR2)+VLOOKUP($Q2,武学奇术!$A:$ZZ,4,FALSE)+SUM(_xlfn.XLOOKUP($R2:$AK2,增益!$A:$A,增益!$D:$D,0))-$I$2</f>
        <v>3773.588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0.2525</v>
      </c>
      <c r="AV2" s="32" cm="1">
        <f t="array" ref="AV2">$G$10+VLOOKUP($Q2,武学奇术!$A:$ZZ,7,FALSE)+SUM(_xlfn.XLOOKUP($R2:$AK2,增益!$A:$A,增益!$G:$G,0))</f>
        <v>0</v>
      </c>
      <c r="AW2" s="24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2" cm="1">
        <f t="array" ref="BA2">$G$11+VLOOKUP($Q2,武学奇术!$A:$ZZ,10,FALSE)+SUM(_xlfn.XLOOKUP($R2:$AK2,增益!$A:$A,增益!$J:$J,0))</f>
        <v>0</v>
      </c>
      <c r="BB2">
        <f>$D$12*(1+$AW2)</f>
        <v>0</v>
      </c>
      <c r="BC2">
        <f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-0.3</v>
      </c>
      <c r="BE2" s="32" cm="1">
        <f t="array" ref="BE2">$G$12+VLOOKUP($Q2,武学奇术!$A:$ZZ,12,FALSE)+SUM(_xlfn.XLOOKUP($R2:$AK2,增益!$A:$A,增益!$L:$L,0))</f>
        <v>0</v>
      </c>
      <c r="BF2">
        <f>$D$13*(1+$AW2)</f>
        <v>605.472</v>
      </c>
      <c r="BG2">
        <f>$E$13*(1+$AW2)</f>
        <v>1579.612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</v>
      </c>
      <c r="BI2" s="32" cm="1">
        <f t="array" ref="BI2">$G$13+VLOOKUP($Q2,武学奇术!$A:$ZZ,14,FALSE)+SUM(_xlfn.XLOOKUP($R2:$AK2,增益!$A:$A,增益!$N:$N,0))</f>
        <v>0.15</v>
      </c>
      <c r="BJ2">
        <f>$D$14*(1+$AW2)</f>
        <v>0</v>
      </c>
      <c r="BK2">
        <f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2" cm="1">
        <f t="array" ref="BM2">$G$14+VLOOKUP($Q2,武学奇术!$A:$ZZ,16,FALSE)+SUM(_xlfn.XLOOKUP($R2:$AK2,增益!$A:$A,增益!$P:$P,0))</f>
        <v>0</v>
      </c>
      <c r="BN2" s="24">
        <f>MIN(IF(VLOOKUP($Q2,武学奇术!$A:$ZZ,23,FALSE)=1,100%,$B$8),100%)</f>
        <v>1</v>
      </c>
      <c r="BO2" s="24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0.9093</v>
      </c>
      <c r="BP2" s="24" cm="1">
        <f t="array" ref="BP2">1+$B$13+VLOOKUP($Q2,武学奇术!$A:$ZZ,18,FALSE)+SUM(_xlfn.XLOOKUP($R2:$AK2,增益!$A:$A,增益!$R:$R,0))</f>
        <v>1.51</v>
      </c>
      <c r="BQ2" s="24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4" cm="1">
        <f t="array" ref="BR2">1+$B$14+VLOOKUP($Q2,武学奇术!$A:$ZZ,20,FALSE)+SUM(_xlfn.XLOOKUP($R2:$AK2,增益!$A:$A,增益!$T:$T,0))</f>
        <v>1.35</v>
      </c>
      <c r="BS2" s="24">
        <f>MIN((1-BQ2)*BN2,BN2*BO2)</f>
        <v>0.9071</v>
      </c>
      <c r="BT2" s="24">
        <f>1-BQ2-BS2-BU2</f>
        <v>0</v>
      </c>
      <c r="BU2" s="24">
        <f>IF(VLOOKUP($Q2,武学奇术!$A:$ZZ,22,FALSE)=1,0,(1-$BN2))*(1-$BQ2)</f>
        <v>0</v>
      </c>
      <c r="BV2" s="24" cm="1">
        <f t="array" ref="BV2">SUM(_xlfn.XLOOKUP($R2:$AK2,增益!$A:$A,增益!$W:$W,0))+$I$5</f>
        <v>0.06</v>
      </c>
    </row>
    <row r="3" spans="1:74">
      <c r="A3" s="46" t="s">
        <v>80</v>
      </c>
      <c r="B3" s="47"/>
      <c r="C3" s="47"/>
      <c r="D3" s="47"/>
      <c r="E3" s="48"/>
      <c r="F3" s="45" t="s">
        <v>39</v>
      </c>
      <c r="G3" s="49">
        <f>B16+1.5%+IF($D$16="√",8%,0)+IF($E$22="征人归",8%,0)</f>
        <v>0.1837</v>
      </c>
      <c r="H3" s="45" t="s">
        <v>81</v>
      </c>
      <c r="I3" s="11">
        <f>25-IF(D17="√",10,0)-IF(F17="√",10,0)</f>
        <v>15</v>
      </c>
      <c r="K3" s="38">
        <f t="shared" ref="K3:K34" si="0">($L3*$BS3+$M3*$BQ3+$N3*$BT3+$O3*$BU3)</f>
        <v>20469.3847931985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弹道",$B$21,0))*(1+$BV3)</f>
        <v>20478.4479610398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弹道",$B$21,0))*(1+$BV3)</f>
        <v>20380.8896419733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弹道",$B$21,0))*(1+$BV3)</f>
        <v>13472.663132263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弹道",$B$21,0))*(1+$BV3)</f>
        <v>11848.3709741754</v>
      </c>
      <c r="P3" s="39">
        <v>1</v>
      </c>
      <c r="Q3" s="40" t="s">
        <v>75</v>
      </c>
      <c r="R3" s="40" t="s">
        <v>82</v>
      </c>
      <c r="S3" s="40" t="s">
        <v>83</v>
      </c>
      <c r="T3" s="40" t="s">
        <v>78</v>
      </c>
      <c r="U3" s="40" t="s">
        <v>78</v>
      </c>
      <c r="V3" s="40" t="s">
        <v>78</v>
      </c>
      <c r="W3" s="40" t="s">
        <v>78</v>
      </c>
      <c r="X3" s="40" t="s">
        <v>78</v>
      </c>
      <c r="Y3" s="40" t="s">
        <v>78</v>
      </c>
      <c r="Z3" s="40" t="s">
        <v>78</v>
      </c>
      <c r="AA3" s="40" t="s">
        <v>79</v>
      </c>
      <c r="AB3" s="40" t="s">
        <v>84</v>
      </c>
      <c r="AC3" s="40" t="s">
        <v>78</v>
      </c>
      <c r="AD3" s="40" t="s">
        <v>78</v>
      </c>
      <c r="AE3" s="40" t="s">
        <v>78</v>
      </c>
      <c r="AF3" s="40" t="s">
        <v>78</v>
      </c>
      <c r="AG3" s="40" t="s">
        <v>78</v>
      </c>
      <c r="AH3" s="40" t="s">
        <v>78</v>
      </c>
      <c r="AI3" s="40" t="s">
        <v>78</v>
      </c>
      <c r="AJ3" s="40" t="s">
        <v>78</v>
      </c>
      <c r="AK3" s="40" t="s">
        <v>78</v>
      </c>
      <c r="AL3" t="str">
        <f>VLOOKUP($Q3,武学奇术!$A:$ZZ,25,FALSE)</f>
        <v>群体奇术</v>
      </c>
      <c r="AM3" s="24">
        <f>VLOOKUP($Q3,武学奇术!$A:$ZZ,26,FALSE)</f>
        <v>1.4904</v>
      </c>
      <c r="AN3" s="25">
        <f>VLOOKUP($Q3,武学奇术!$A:$ZZ,27,FALSE)*(1+IF(OR($AL3=$F$4,$AL3=$F$5),$B$22,0))</f>
        <v>378</v>
      </c>
      <c r="AO3" s="24">
        <f>VLOOKUP($Q3,武学奇术!$A:$ZZ,28,FALSE)</f>
        <v>2.2356</v>
      </c>
      <c r="AP3" s="25">
        <f>VLOOKUP($Q3,武学奇术!$A:$ZZ,29,FALSE)*(1+IF(OR($AL3=$F$4,$AL3=$F$5),$B$22,0))</f>
        <v>0</v>
      </c>
      <c r="AQ3" s="24" cm="1">
        <f t="array" ref="AQ3">$G$3+IFERROR(VLOOKUP($AL3,$F$4:$G$7,2,FALSE),0)+VLOOKUP($Q3,武学奇术!$A:$ZZ,2,FALSE)+SUM(_xlfn.XLOOKUP($R3:$AK3,增益!$A:$A,增益!$B:$B,0))</f>
        <v>0.2237</v>
      </c>
      <c r="AR3" s="24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3773.588</v>
      </c>
      <c r="AT3" cm="1">
        <f t="array" ref="AT3">$E$10*(1+$AR3)+VLOOKUP($Q3,武学奇术!$A:$ZZ,4,FALSE)+SUM(_xlfn.XLOOKUP($R3:$AK3,增益!$A:$A,增益!$D:$D,0))-$I$2</f>
        <v>3773.588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0.2625</v>
      </c>
      <c r="AV3" s="32" cm="1">
        <f t="array" ref="AV3">$G$10+VLOOKUP($Q3,武学奇术!$A:$ZZ,7,FALSE)+SUM(_xlfn.XLOOKUP($R3:$AK3,增益!$A:$A,增益!$G:$G,0))</f>
        <v>0</v>
      </c>
      <c r="AW3" s="24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2" cm="1">
        <f t="array" ref="BA3">$G$11+VLOOKUP($Q3,武学奇术!$A:$ZZ,10,FALSE)+SUM(_xlfn.XLOOKUP($R3:$AK3,增益!$A:$A,增益!$J:$J,0))</f>
        <v>0</v>
      </c>
      <c r="BB3">
        <f t="shared" ref="BB3:BB34" si="3">$D$12*(1+$AW3)</f>
        <v>0</v>
      </c>
      <c r="BC3">
        <f t="shared" ref="BC3:BC34" si="4">$E$12*(1+$AW3)</f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-0.3</v>
      </c>
      <c r="BE3" s="32" cm="1">
        <f t="array" ref="BE3">$G$12+VLOOKUP($Q3,武学奇术!$A:$ZZ,12,FALSE)+SUM(_xlfn.XLOOKUP($R3:$AK3,增益!$A:$A,增益!$L:$L,0))</f>
        <v>0</v>
      </c>
      <c r="BF3">
        <f t="shared" ref="BF3:BF34" si="5">$D$13*(1+$AW3)</f>
        <v>605.472</v>
      </c>
      <c r="BG3">
        <f t="shared" ref="BG3:BG34" si="6">$E$13*(1+$AW3)</f>
        <v>1579.612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</v>
      </c>
      <c r="BI3" s="32" cm="1">
        <f t="array" ref="BI3">$G$13+VLOOKUP($Q3,武学奇术!$A:$ZZ,14,FALSE)+SUM(_xlfn.XLOOKUP($R3:$AK3,增益!$A:$A,增益!$N:$N,0))</f>
        <v>0.15</v>
      </c>
      <c r="BJ3">
        <f t="shared" ref="BJ3:BJ34" si="7">$D$14*(1+$AW3)</f>
        <v>0</v>
      </c>
      <c r="BK3">
        <f t="shared" ref="BK3:BK34" si="8">$E$14*(1+$AW3)</f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2" cm="1">
        <f t="array" ref="BM3">$G$14+VLOOKUP($Q3,武学奇术!$A:$ZZ,16,FALSE)+SUM(_xlfn.XLOOKUP($R3:$AK3,增益!$A:$A,增益!$P:$P,0))</f>
        <v>0</v>
      </c>
      <c r="BN3" s="24">
        <f>MIN(IF(VLOOKUP($Q3,武学奇术!$A:$ZZ,23,FALSE)=1,100%,$B$8),100%)</f>
        <v>1</v>
      </c>
      <c r="BO3" s="24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0.9093</v>
      </c>
      <c r="BP3" s="24" cm="1">
        <f t="array" ref="BP3">1+$B$13+VLOOKUP($Q3,武学奇术!$A:$ZZ,18,FALSE)+SUM(_xlfn.XLOOKUP($R3:$AK3,增益!$A:$A,增益!$R:$R,0))</f>
        <v>1.52</v>
      </c>
      <c r="BQ3" s="24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4" cm="1">
        <f t="array" ref="BR3">1+$B$14+VLOOKUP($Q3,武学奇术!$A:$ZZ,20,FALSE)+SUM(_xlfn.XLOOKUP($R3:$AK3,增益!$A:$A,增益!$T:$T,0))</f>
        <v>1.35</v>
      </c>
      <c r="BS3" s="24">
        <f t="shared" ref="BS3:BS34" si="9">MIN((1-BQ3)*BN3,BN3*BO3)</f>
        <v>0.9071</v>
      </c>
      <c r="BT3" s="24">
        <f t="shared" ref="BT3:BT34" si="10">1-BQ3-BS3-BU3</f>
        <v>0</v>
      </c>
      <c r="BU3" s="24">
        <f>IF(VLOOKUP($Q3,武学奇术!$A:$ZZ,22,FALSE)=1,0,(1-$BN3))*(1-$BQ3)</f>
        <v>0</v>
      </c>
      <c r="BV3" s="24" cm="1">
        <f t="array" ref="BV3">SUM(_xlfn.XLOOKUP($R3:$AK3,增益!$A:$A,增益!$W:$W,0))+$I$5</f>
        <v>0.06</v>
      </c>
    </row>
    <row r="4" ht="14.25" spans="1:74">
      <c r="A4" s="50" t="s">
        <v>85</v>
      </c>
      <c r="B4" s="51"/>
      <c r="C4" s="51"/>
      <c r="D4" s="51"/>
      <c r="E4" s="52"/>
      <c r="F4" s="45" t="s">
        <v>86</v>
      </c>
      <c r="G4" s="49">
        <f>B15+B17</f>
        <v>0.1704</v>
      </c>
      <c r="H4" s="53" t="s">
        <v>87</v>
      </c>
      <c r="I4" s="15">
        <f>30</f>
        <v>30</v>
      </c>
      <c r="K4" s="38">
        <f t="shared" si="0"/>
        <v>22104.9081258786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弹道",$B$21,0))*(1+$BV4)</f>
        <v>22141.526676708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弹道",$B$21,0))*(1+$BV4)</f>
        <v>21747.3549777912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弹道",$B$21,0))*(1+$BV4)</f>
        <v>14471.5860632078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弹道",$B$21,0))*(1+$BV4)</f>
        <v>12834.0202910148</v>
      </c>
      <c r="P4" s="39">
        <v>1</v>
      </c>
      <c r="Q4" s="40" t="s">
        <v>75</v>
      </c>
      <c r="R4" s="40" t="s">
        <v>88</v>
      </c>
      <c r="S4" s="40" t="s">
        <v>89</v>
      </c>
      <c r="T4" s="40" t="s">
        <v>78</v>
      </c>
      <c r="U4" s="40" t="s">
        <v>90</v>
      </c>
      <c r="V4" s="40" t="s">
        <v>78</v>
      </c>
      <c r="W4" s="40" t="s">
        <v>78</v>
      </c>
      <c r="X4" s="40" t="s">
        <v>78</v>
      </c>
      <c r="Y4" s="40" t="s">
        <v>78</v>
      </c>
      <c r="Z4" s="40" t="s">
        <v>78</v>
      </c>
      <c r="AA4" s="40" t="s">
        <v>79</v>
      </c>
      <c r="AB4" s="40" t="s">
        <v>84</v>
      </c>
      <c r="AC4" s="40" t="s">
        <v>78</v>
      </c>
      <c r="AD4" s="40" t="s">
        <v>78</v>
      </c>
      <c r="AE4" s="40" t="s">
        <v>78</v>
      </c>
      <c r="AF4" s="40" t="s">
        <v>78</v>
      </c>
      <c r="AG4" s="40" t="s">
        <v>78</v>
      </c>
      <c r="AH4" s="40" t="s">
        <v>78</v>
      </c>
      <c r="AI4" s="40" t="s">
        <v>78</v>
      </c>
      <c r="AJ4" s="40" t="s">
        <v>78</v>
      </c>
      <c r="AK4" s="40" t="s">
        <v>78</v>
      </c>
      <c r="AL4" t="str">
        <f>VLOOKUP($Q4,武学奇术!$A:$ZZ,25,FALSE)</f>
        <v>群体奇术</v>
      </c>
      <c r="AM4" s="24">
        <f>VLOOKUP($Q4,武学奇术!$A:$ZZ,26,FALSE)</f>
        <v>1.4904</v>
      </c>
      <c r="AN4" s="25">
        <f>VLOOKUP($Q4,武学奇术!$A:$ZZ,27,FALSE)*(1+IF(OR($AL4=$F$4,$AL4=$F$5),$B$22,0))</f>
        <v>378</v>
      </c>
      <c r="AO4" s="24">
        <f>VLOOKUP($Q4,武学奇术!$A:$ZZ,28,FALSE)</f>
        <v>2.2356</v>
      </c>
      <c r="AP4" s="25">
        <f>VLOOKUP($Q4,武学奇术!$A:$ZZ,29,FALSE)*(1+IF(OR($AL4=$F$4,$AL4=$F$5),$B$22,0))</f>
        <v>0</v>
      </c>
      <c r="AQ4" s="24" cm="1">
        <f t="array" ref="AQ4">$G$3+IFERROR(VLOOKUP($AL4,$F$4:$G$7,2,FALSE),0)+VLOOKUP($Q4,武学奇术!$A:$ZZ,2,FALSE)+SUM(_xlfn.XLOOKUP($R4:$AK4,增益!$A:$A,增益!$B:$B,0))</f>
        <v>0.2337</v>
      </c>
      <c r="AR4" s="24" cm="1">
        <f t="array" ref="AR4">VLOOKUP($Q4,武学奇术!$A:$ZZ,5,FALSE)+SUM(_xlfn.XLOOKUP($R4:$AK4,增益!$A:$A,增益!$E:$E,0))</f>
        <v>0.075</v>
      </c>
      <c r="AS4" cm="1">
        <f t="array" ref="AS4">$D$10*(1+$AR4)+VLOOKUP($Q4,武学奇术!$A:$ZZ,3,FALSE)+SUM(_xlfn.XLOOKUP($R4:$AK4,增益!$A:$A,增益!$C:$C,0))-$I$2</f>
        <v>4100.3171</v>
      </c>
      <c r="AT4" cm="1">
        <f t="array" ref="AT4">$E$10*(1+$AR4)+VLOOKUP($Q4,武学奇术!$A:$ZZ,4,FALSE)+SUM(_xlfn.XLOOKUP($R4:$AK4,增益!$A:$A,增益!$D:$D,0))-$I$2</f>
        <v>4100.3171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0.2725</v>
      </c>
      <c r="AV4" s="32" cm="1">
        <f t="array" ref="AV4">$G$10+VLOOKUP($Q4,武学奇术!$A:$ZZ,7,FALSE)+SUM(_xlfn.XLOOKUP($R4:$AK4,增益!$A:$A,增益!$G:$G,0))</f>
        <v>0</v>
      </c>
      <c r="AW4" s="24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2" cm="1">
        <f t="array" ref="BA4">$G$11+VLOOKUP($Q4,武学奇术!$A:$ZZ,10,FALSE)+SUM(_xlfn.XLOOKUP($R4:$AK4,增益!$A:$A,增益!$J:$J,0))</f>
        <v>0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-0.3</v>
      </c>
      <c r="BE4" s="32" cm="1">
        <f t="array" ref="BE4">$G$12+VLOOKUP($Q4,武学奇术!$A:$ZZ,12,FALSE)+SUM(_xlfn.XLOOKUP($R4:$AK4,增益!$A:$A,增益!$L:$L,0))</f>
        <v>0</v>
      </c>
      <c r="BF4">
        <f t="shared" si="5"/>
        <v>605.472</v>
      </c>
      <c r="BG4">
        <f t="shared" si="6"/>
        <v>1579.612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</v>
      </c>
      <c r="BI4" s="32" cm="1">
        <f t="array" ref="BI4">$G$13+VLOOKUP($Q4,武学奇术!$A:$ZZ,14,FALSE)+SUM(_xlfn.XLOOKUP($R4:$AK4,增益!$A:$A,增益!$N:$N,0))</f>
        <v>0.15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2" cm="1">
        <f t="array" ref="BM4">$G$14+VLOOKUP($Q4,武学奇术!$A:$ZZ,16,FALSE)+SUM(_xlfn.XLOOKUP($R4:$AK4,增益!$A:$A,增益!$P:$P,0))</f>
        <v>0</v>
      </c>
      <c r="BN4" s="24">
        <f>MIN(IF(VLOOKUP($Q4,武学奇术!$A:$ZZ,23,FALSE)=1,100%,$B$8),100%)</f>
        <v>1</v>
      </c>
      <c r="BO4" s="24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0.9093</v>
      </c>
      <c r="BP4" s="24" cm="1">
        <f t="array" ref="BP4">1+$B$13+VLOOKUP($Q4,武学奇术!$A:$ZZ,18,FALSE)+SUM(_xlfn.XLOOKUP($R4:$AK4,增益!$A:$A,增益!$R:$R,0))</f>
        <v>1.53</v>
      </c>
      <c r="BQ4" s="24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4" cm="1">
        <f t="array" ref="BR4">1+$B$14+VLOOKUP($Q4,武学奇术!$A:$ZZ,20,FALSE)+SUM(_xlfn.XLOOKUP($R4:$AK4,增益!$A:$A,增益!$T:$T,0))</f>
        <v>1.35</v>
      </c>
      <c r="BS4" s="24">
        <f t="shared" si="9"/>
        <v>0.9071</v>
      </c>
      <c r="BT4" s="24">
        <f t="shared" si="10"/>
        <v>0</v>
      </c>
      <c r="BU4" s="24">
        <f>IF(VLOOKUP($Q4,武学奇术!$A:$ZZ,22,FALSE)=1,0,(1-$BN4))*(1-$BQ4)</f>
        <v>0</v>
      </c>
      <c r="BV4" s="24" cm="1">
        <f t="array" ref="BV4">SUM(_xlfn.XLOOKUP($R4:$AK4,增益!$A:$A,增益!$W:$W,0))+$I$5</f>
        <v>0.06</v>
      </c>
    </row>
    <row r="5" spans="1:74">
      <c r="A5" s="54" t="s">
        <v>5</v>
      </c>
      <c r="B5" s="55">
        <v>492</v>
      </c>
      <c r="C5" s="55">
        <v>1260.2</v>
      </c>
      <c r="D5" s="55">
        <v>30</v>
      </c>
      <c r="E5" s="56">
        <v>0.15</v>
      </c>
      <c r="F5" s="45" t="s">
        <v>91</v>
      </c>
      <c r="G5" s="49">
        <f>B15+B18</f>
        <v>0.0852</v>
      </c>
      <c r="H5" t="s">
        <v>92</v>
      </c>
      <c r="I5" s="27">
        <v>0.06</v>
      </c>
      <c r="K5" s="38">
        <f t="shared" si="0"/>
        <v>22546.6526461195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弹道",$B$21,0))*(1+$BV5)</f>
        <v>22598.6310903149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弹道",$B$21,0))*(1+$BV5)</f>
        <v>22039.1214649609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弹道",$B$21,0))*(1+$BV5)</f>
        <v>14674.4357729318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弹道",$B$21,0))*(1+$BV5)</f>
        <v>13023.5963866332</v>
      </c>
      <c r="P5" s="39">
        <v>1</v>
      </c>
      <c r="Q5" s="40" t="s">
        <v>75</v>
      </c>
      <c r="R5" s="40" t="s">
        <v>93</v>
      </c>
      <c r="S5" s="40" t="s">
        <v>94</v>
      </c>
      <c r="T5" s="40" t="s">
        <v>78</v>
      </c>
      <c r="U5" s="40" t="s">
        <v>90</v>
      </c>
      <c r="V5" s="40" t="s">
        <v>78</v>
      </c>
      <c r="W5" s="40" t="s">
        <v>78</v>
      </c>
      <c r="X5" s="40" t="s">
        <v>78</v>
      </c>
      <c r="Y5" s="40" t="s">
        <v>78</v>
      </c>
      <c r="Z5" s="40" t="s">
        <v>78</v>
      </c>
      <c r="AA5" s="40" t="s">
        <v>79</v>
      </c>
      <c r="AB5" s="40" t="s">
        <v>84</v>
      </c>
      <c r="AC5" s="40" t="s">
        <v>78</v>
      </c>
      <c r="AD5" s="40" t="s">
        <v>78</v>
      </c>
      <c r="AE5" s="40" t="s">
        <v>78</v>
      </c>
      <c r="AF5" s="40" t="s">
        <v>78</v>
      </c>
      <c r="AG5" s="40" t="s">
        <v>78</v>
      </c>
      <c r="AH5" s="40" t="s">
        <v>78</v>
      </c>
      <c r="AI5" s="40" t="s">
        <v>78</v>
      </c>
      <c r="AJ5" s="40" t="s">
        <v>78</v>
      </c>
      <c r="AK5" s="40" t="s">
        <v>78</v>
      </c>
      <c r="AL5" t="str">
        <f>VLOOKUP($Q5,武学奇术!$A:$ZZ,25,FALSE)</f>
        <v>群体奇术</v>
      </c>
      <c r="AM5" s="24">
        <f>VLOOKUP($Q5,武学奇术!$A:$ZZ,26,FALSE)</f>
        <v>1.4904</v>
      </c>
      <c r="AN5" s="25">
        <f>VLOOKUP($Q5,武学奇术!$A:$ZZ,27,FALSE)*(1+IF(OR($AL5=$F$4,$AL5=$F$5),$B$22,0))</f>
        <v>378</v>
      </c>
      <c r="AO5" s="24">
        <f>VLOOKUP($Q5,武学奇术!$A:$ZZ,28,FALSE)</f>
        <v>2.2356</v>
      </c>
      <c r="AP5" s="25">
        <f>VLOOKUP($Q5,武学奇术!$A:$ZZ,29,FALSE)*(1+IF(OR($AL5=$F$4,$AL5=$F$5),$B$22,0))</f>
        <v>0</v>
      </c>
      <c r="AQ5" s="24" cm="1">
        <f t="array" ref="AQ5">$G$3+IFERROR(VLOOKUP($AL5,$F$4:$G$7,2,FALSE),0)+VLOOKUP($Q5,武学奇术!$A:$ZZ,2,FALSE)+SUM(_xlfn.XLOOKUP($R5:$AK5,增益!$A:$A,增益!$B:$B,0))</f>
        <v>0.2437</v>
      </c>
      <c r="AR5" s="24" cm="1">
        <f t="array" ref="AR5">VLOOKUP($Q5,武学奇术!$A:$ZZ,5,FALSE)+SUM(_xlfn.XLOOKUP($R5:$AK5,增益!$A:$A,增益!$E:$E,0))</f>
        <v>0.075</v>
      </c>
      <c r="AS5" cm="1">
        <f t="array" ref="AS5">$D$10*(1+$AR5)+VLOOKUP($Q5,武学奇术!$A:$ZZ,3,FALSE)+SUM(_xlfn.XLOOKUP($R5:$AK5,增益!$A:$A,增益!$C:$C,0))-$I$2</f>
        <v>4100.3171</v>
      </c>
      <c r="AT5" cm="1">
        <f t="array" ref="AT5">$E$10*(1+$AR5)+VLOOKUP($Q5,武学奇术!$A:$ZZ,4,FALSE)+SUM(_xlfn.XLOOKUP($R5:$AK5,增益!$A:$A,增益!$D:$D,0))-$I$2</f>
        <v>4100.3171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0.2825</v>
      </c>
      <c r="AV5" s="32" cm="1">
        <f t="array" ref="AV5">$G$10+VLOOKUP($Q5,武学奇术!$A:$ZZ,7,FALSE)+SUM(_xlfn.XLOOKUP($R5:$AK5,增益!$A:$A,增益!$G:$G,0))</f>
        <v>0</v>
      </c>
      <c r="AW5" s="24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2" cm="1">
        <f t="array" ref="BA5">$G$11+VLOOKUP($Q5,武学奇术!$A:$ZZ,10,FALSE)+SUM(_xlfn.XLOOKUP($R5:$AK5,增益!$A:$A,增益!$J:$J,0))</f>
        <v>0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-0.3</v>
      </c>
      <c r="BE5" s="32" cm="1">
        <f t="array" ref="BE5">$G$12+VLOOKUP($Q5,武学奇术!$A:$ZZ,12,FALSE)+SUM(_xlfn.XLOOKUP($R5:$AK5,增益!$A:$A,增益!$L:$L,0))</f>
        <v>0</v>
      </c>
      <c r="BF5">
        <f t="shared" si="5"/>
        <v>605.472</v>
      </c>
      <c r="BG5">
        <f t="shared" si="6"/>
        <v>1579.612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</v>
      </c>
      <c r="BI5" s="32" cm="1">
        <f t="array" ref="BI5">$G$13+VLOOKUP($Q5,武学奇术!$A:$ZZ,14,FALSE)+SUM(_xlfn.XLOOKUP($R5:$AK5,增益!$A:$A,增益!$N:$N,0))</f>
        <v>0.15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2" cm="1">
        <f t="array" ref="BM5">$G$14+VLOOKUP($Q5,武学奇术!$A:$ZZ,16,FALSE)+SUM(_xlfn.XLOOKUP($R5:$AK5,增益!$A:$A,增益!$P:$P,0))</f>
        <v>0</v>
      </c>
      <c r="BN5" s="24">
        <f>MIN(IF(VLOOKUP($Q5,武学奇术!$A:$ZZ,23,FALSE)=1,100%,$B$8),100%)</f>
        <v>1</v>
      </c>
      <c r="BO5" s="24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0.9093</v>
      </c>
      <c r="BP5" s="24" cm="1">
        <f t="array" ref="BP5">1+$B$13+VLOOKUP($Q5,武学奇术!$A:$ZZ,18,FALSE)+SUM(_xlfn.XLOOKUP($R5:$AK5,增益!$A:$A,增益!$R:$R,0))</f>
        <v>1.54</v>
      </c>
      <c r="BQ5" s="24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4" cm="1">
        <f t="array" ref="BR5">1+$B$14+VLOOKUP($Q5,武学奇术!$A:$ZZ,20,FALSE)+SUM(_xlfn.XLOOKUP($R5:$AK5,增益!$A:$A,增益!$T:$T,0))</f>
        <v>1.35</v>
      </c>
      <c r="BS5" s="24">
        <f t="shared" si="9"/>
        <v>0.9071</v>
      </c>
      <c r="BT5" s="24">
        <f t="shared" si="10"/>
        <v>0</v>
      </c>
      <c r="BU5" s="24">
        <f>IF(VLOOKUP($Q5,武学奇术!$A:$ZZ,22,FALSE)=1,0,(1-$BN5))*(1-$BQ5)</f>
        <v>0</v>
      </c>
      <c r="BV5" s="24" cm="1">
        <f t="array" ref="BV5">SUM(_xlfn.XLOOKUP($R5:$AK5,增益!$A:$A,增益!$W:$W,0))+$I$5</f>
        <v>0.06</v>
      </c>
    </row>
    <row r="6" spans="1:74">
      <c r="A6" s="57" t="s">
        <v>95</v>
      </c>
      <c r="B6" s="58"/>
      <c r="C6" s="58"/>
      <c r="D6" s="58"/>
      <c r="E6" s="59"/>
      <c r="F6" s="45" t="s">
        <v>96</v>
      </c>
      <c r="G6" s="49">
        <f>B19</f>
        <v>0.2678</v>
      </c>
      <c r="K6" s="38">
        <f t="shared" si="0"/>
        <v>22994.1840278415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弹道",$B$21,0))*(1+$BV6)</f>
        <v>23061.9248205186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弹道",$B$21,0))*(1+$BV6)</f>
        <v>22332.7451361584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弹道",$B$21,0))*(1+$BV6)</f>
        <v>14878.6611745281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弹道",$B$21,0))*(1+$BV6)</f>
        <v>13214.5481741241</v>
      </c>
      <c r="P6" s="39">
        <v>1</v>
      </c>
      <c r="Q6" s="40" t="s">
        <v>75</v>
      </c>
      <c r="R6" s="40" t="s">
        <v>97</v>
      </c>
      <c r="S6" s="40" t="s">
        <v>98</v>
      </c>
      <c r="T6" s="40" t="s">
        <v>78</v>
      </c>
      <c r="U6" s="40" t="s">
        <v>90</v>
      </c>
      <c r="V6" s="40" t="s">
        <v>78</v>
      </c>
      <c r="W6" s="40" t="s">
        <v>78</v>
      </c>
      <c r="X6" s="40" t="s">
        <v>78</v>
      </c>
      <c r="Y6" s="40" t="s">
        <v>78</v>
      </c>
      <c r="Z6" s="40" t="s">
        <v>78</v>
      </c>
      <c r="AA6" s="40" t="s">
        <v>79</v>
      </c>
      <c r="AB6" s="40" t="s">
        <v>84</v>
      </c>
      <c r="AC6" s="40" t="s">
        <v>78</v>
      </c>
      <c r="AD6" s="40" t="s">
        <v>78</v>
      </c>
      <c r="AE6" s="40" t="s">
        <v>78</v>
      </c>
      <c r="AF6" s="40" t="s">
        <v>78</v>
      </c>
      <c r="AG6" s="40" t="s">
        <v>78</v>
      </c>
      <c r="AH6" s="40" t="s">
        <v>78</v>
      </c>
      <c r="AI6" s="40" t="s">
        <v>78</v>
      </c>
      <c r="AJ6" s="40" t="s">
        <v>78</v>
      </c>
      <c r="AK6" s="40" t="s">
        <v>78</v>
      </c>
      <c r="AL6" t="str">
        <f>VLOOKUP($Q6,武学奇术!$A:$ZZ,25,FALSE)</f>
        <v>群体奇术</v>
      </c>
      <c r="AM6" s="24">
        <f>VLOOKUP($Q6,武学奇术!$A:$ZZ,26,FALSE)</f>
        <v>1.4904</v>
      </c>
      <c r="AN6" s="25">
        <f>VLOOKUP($Q6,武学奇术!$A:$ZZ,27,FALSE)*(1+IF(OR($AL6=$F$4,$AL6=$F$5),$B$22,0))</f>
        <v>378</v>
      </c>
      <c r="AO6" s="24">
        <f>VLOOKUP($Q6,武学奇术!$A:$ZZ,28,FALSE)</f>
        <v>2.2356</v>
      </c>
      <c r="AP6" s="25">
        <f>VLOOKUP($Q6,武学奇术!$A:$ZZ,29,FALSE)*(1+IF(OR($AL6=$F$4,$AL6=$F$5),$B$22,0))</f>
        <v>0</v>
      </c>
      <c r="AQ6" s="24" cm="1">
        <f t="array" ref="AQ6">$G$3+IFERROR(VLOOKUP($AL6,$F$4:$G$7,2,FALSE),0)+VLOOKUP($Q6,武学奇术!$A:$ZZ,2,FALSE)+SUM(_xlfn.XLOOKUP($R6:$AK6,增益!$A:$A,增益!$B:$B,0))</f>
        <v>0.2537</v>
      </c>
      <c r="AR6" s="24" cm="1">
        <f t="array" ref="AR6">VLOOKUP($Q6,武学奇术!$A:$ZZ,5,FALSE)+SUM(_xlfn.XLOOKUP($R6:$AK6,增益!$A:$A,增益!$E:$E,0))</f>
        <v>0.075</v>
      </c>
      <c r="AS6" cm="1">
        <f t="array" ref="AS6">$D$10*(1+$AR6)+VLOOKUP($Q6,武学奇术!$A:$ZZ,3,FALSE)+SUM(_xlfn.XLOOKUP($R6:$AK6,增益!$A:$A,增益!$C:$C,0))-$I$2</f>
        <v>4100.3171</v>
      </c>
      <c r="AT6" cm="1">
        <f t="array" ref="AT6">$E$10*(1+$AR6)+VLOOKUP($Q6,武学奇术!$A:$ZZ,4,FALSE)+SUM(_xlfn.XLOOKUP($R6:$AK6,增益!$A:$A,增益!$D:$D,0))-$I$2</f>
        <v>4100.3171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0.2925</v>
      </c>
      <c r="AV6" s="32" cm="1">
        <f t="array" ref="AV6">$G$10+VLOOKUP($Q6,武学奇术!$A:$ZZ,7,FALSE)+SUM(_xlfn.XLOOKUP($R6:$AK6,增益!$A:$A,增益!$G:$G,0))</f>
        <v>0</v>
      </c>
      <c r="AW6" s="24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2" cm="1">
        <f t="array" ref="BA6">$G$11+VLOOKUP($Q6,武学奇术!$A:$ZZ,10,FALSE)+SUM(_xlfn.XLOOKUP($R6:$AK6,增益!$A:$A,增益!$J:$J,0))</f>
        <v>0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-0.3</v>
      </c>
      <c r="BE6" s="32" cm="1">
        <f t="array" ref="BE6">$G$12+VLOOKUP($Q6,武学奇术!$A:$ZZ,12,FALSE)+SUM(_xlfn.XLOOKUP($R6:$AK6,增益!$A:$A,增益!$L:$L,0))</f>
        <v>0</v>
      </c>
      <c r="BF6">
        <f t="shared" si="5"/>
        <v>605.472</v>
      </c>
      <c r="BG6">
        <f t="shared" si="6"/>
        <v>1579.612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</v>
      </c>
      <c r="BI6" s="32" cm="1">
        <f t="array" ref="BI6">$G$13+VLOOKUP($Q6,武学奇术!$A:$ZZ,14,FALSE)+SUM(_xlfn.XLOOKUP($R6:$AK6,增益!$A:$A,增益!$N:$N,0))</f>
        <v>0.15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2" cm="1">
        <f t="array" ref="BM6">$G$14+VLOOKUP($Q6,武学奇术!$A:$ZZ,16,FALSE)+SUM(_xlfn.XLOOKUP($R6:$AK6,增益!$A:$A,增益!$P:$P,0))</f>
        <v>0</v>
      </c>
      <c r="BN6" s="24">
        <f>MIN(IF(VLOOKUP($Q6,武学奇术!$A:$ZZ,23,FALSE)=1,100%,$B$8),100%)</f>
        <v>1</v>
      </c>
      <c r="BO6" s="24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0.9093</v>
      </c>
      <c r="BP6" s="24" cm="1">
        <f t="array" ref="BP6">1+$B$13+VLOOKUP($Q6,武学奇术!$A:$ZZ,18,FALSE)+SUM(_xlfn.XLOOKUP($R6:$AK6,增益!$A:$A,增益!$R:$R,0))</f>
        <v>1.55</v>
      </c>
      <c r="BQ6" s="24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4" cm="1">
        <f t="array" ref="BR6">1+$B$14+VLOOKUP($Q6,武学奇术!$A:$ZZ,20,FALSE)+SUM(_xlfn.XLOOKUP($R6:$AK6,增益!$A:$A,增益!$T:$T,0))</f>
        <v>1.35</v>
      </c>
      <c r="BS6" s="24">
        <f t="shared" si="9"/>
        <v>0.9071</v>
      </c>
      <c r="BT6" s="24">
        <f t="shared" si="10"/>
        <v>0</v>
      </c>
      <c r="BU6" s="24">
        <f>IF(VLOOKUP($Q6,武学奇术!$A:$ZZ,22,FALSE)=1,0,(1-$BN6))*(1-$BQ6)</f>
        <v>0</v>
      </c>
      <c r="BV6" s="24" cm="1">
        <f t="array" ref="BV6">SUM(_xlfn.XLOOKUP($R6:$AK6,增益!$A:$A,增益!$W:$W,0))+$I$5</f>
        <v>0.06</v>
      </c>
    </row>
    <row r="7" ht="14.25" spans="1:74">
      <c r="A7" s="85" t="s">
        <v>99</v>
      </c>
      <c r="B7" s="61">
        <v>79.2</v>
      </c>
      <c r="C7" s="61">
        <f>92.4+68.8*2</f>
        <v>230</v>
      </c>
      <c r="D7" s="62"/>
      <c r="E7" s="63"/>
      <c r="F7" s="53" t="s">
        <v>100</v>
      </c>
      <c r="G7" s="64">
        <f>B20</f>
        <v>0</v>
      </c>
      <c r="K7" s="38">
        <f t="shared" si="0"/>
        <v>60565.69150346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弹道",$B$21,0))*(1+$BV7)</f>
        <v>61701.2294004366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弹道",$B$21,0))*(1+$BV7)</f>
        <v>49478.0012306128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弹道",$B$21,0))*(1+$BV7)</f>
        <v>32995.3098398057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弹道",$B$21,0))*(1+$BV7)</f>
        <v>29340.248397676</v>
      </c>
      <c r="P7" s="39">
        <v>1</v>
      </c>
      <c r="Q7" s="40" t="s">
        <v>101</v>
      </c>
      <c r="R7" s="40" t="s">
        <v>78</v>
      </c>
      <c r="S7" s="40" t="s">
        <v>77</v>
      </c>
      <c r="T7" s="40" t="s">
        <v>78</v>
      </c>
      <c r="U7" s="40" t="s">
        <v>78</v>
      </c>
      <c r="V7" s="40" t="s">
        <v>102</v>
      </c>
      <c r="W7" s="40" t="s">
        <v>78</v>
      </c>
      <c r="X7" s="40" t="s">
        <v>78</v>
      </c>
      <c r="Y7" s="40" t="s">
        <v>78</v>
      </c>
      <c r="Z7" s="40" t="s">
        <v>78</v>
      </c>
      <c r="AA7" s="40" t="s">
        <v>78</v>
      </c>
      <c r="AB7" s="40" t="s">
        <v>78</v>
      </c>
      <c r="AC7" s="40" t="s">
        <v>78</v>
      </c>
      <c r="AD7" s="40" t="s">
        <v>78</v>
      </c>
      <c r="AE7" s="40" t="s">
        <v>78</v>
      </c>
      <c r="AF7" s="40" t="s">
        <v>78</v>
      </c>
      <c r="AG7" s="40" t="s">
        <v>78</v>
      </c>
      <c r="AH7" s="40" t="s">
        <v>78</v>
      </c>
      <c r="AI7" s="40" t="s">
        <v>78</v>
      </c>
      <c r="AJ7" s="40" t="s">
        <v>78</v>
      </c>
      <c r="AK7" s="40" t="s">
        <v>78</v>
      </c>
      <c r="AL7" t="str">
        <f>VLOOKUP($Q7,武学奇术!$A:$ZZ,25,FALSE)</f>
        <v>伞</v>
      </c>
      <c r="AM7" s="24">
        <f>VLOOKUP($Q7,武学奇术!$A:$ZZ,26,FALSE)</f>
        <v>2.3397</v>
      </c>
      <c r="AN7" s="25">
        <f>VLOOKUP($Q7,武学奇术!$A:$ZZ,27,FALSE)*(1+IF(OR($AL7=$F$4,$AL7=$F$5),$B$22,0))</f>
        <v>972</v>
      </c>
      <c r="AO7" s="24">
        <f>VLOOKUP($Q7,武学奇术!$A:$ZZ,28,FALSE)</f>
        <v>3.5095</v>
      </c>
      <c r="AP7" s="25">
        <f>VLOOKUP($Q7,武学奇术!$A:$ZZ,29,FALSE)*(1+IF(OR($AL7=$F$4,$AL7=$F$5),$B$22,0))</f>
        <v>529.5</v>
      </c>
      <c r="AQ7" s="24" cm="1">
        <f t="array" ref="AQ7">$G$3+IFERROR(VLOOKUP($AL7,$F$4:$G$7,2,FALSE),0)+VLOOKUP($Q7,武学奇术!$A:$ZZ,2,FALSE)+SUM(_xlfn.XLOOKUP($R7:$AK7,增益!$A:$A,增益!$B:$B,0))</f>
        <v>0.7541</v>
      </c>
      <c r="AR7" s="24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3773.588</v>
      </c>
      <c r="AT7" cm="1">
        <f t="array" ref="AT7">$E$10*(1+$AR7)+VLOOKUP($Q7,武学奇术!$A:$ZZ,4,FALSE)+SUM(_xlfn.XLOOKUP($R7:$AK7,增益!$A:$A,增益!$D:$D,0))-$I$2</f>
        <v>3773.588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0.2675</v>
      </c>
      <c r="AV7" s="32" cm="1">
        <f t="array" ref="AV7">$G$10+VLOOKUP($Q7,武学奇术!$A:$ZZ,7,FALSE)+SUM(_xlfn.XLOOKUP($R7:$AK7,增益!$A:$A,增益!$G:$G,0))</f>
        <v>0</v>
      </c>
      <c r="AW7" s="24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2" cm="1">
        <f t="array" ref="BA7">$G$11+VLOOKUP($Q7,武学奇术!$A:$ZZ,10,FALSE)+SUM(_xlfn.XLOOKUP($R7:$AK7,增益!$A:$A,增益!$J:$J,0))</f>
        <v>0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2" cm="1">
        <f t="array" ref="BE7">$G$12+VLOOKUP($Q7,武学奇术!$A:$ZZ,12,FALSE)+SUM(_xlfn.XLOOKUP($R7:$AK7,增益!$A:$A,增益!$L:$L,0))</f>
        <v>0</v>
      </c>
      <c r="BF7">
        <f t="shared" si="5"/>
        <v>605.472</v>
      </c>
      <c r="BG7">
        <f t="shared" si="6"/>
        <v>1579.612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2" cm="1">
        <f t="array" ref="BI7">$G$13+VLOOKUP($Q7,武学奇术!$A:$ZZ,14,FALSE)+SUM(_xlfn.XLOOKUP($R7:$AK7,增益!$A:$A,增益!$N:$N,0))</f>
        <v>0.15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2" cm="1">
        <f t="array" ref="BM7">$G$14+VLOOKUP($Q7,武学奇术!$A:$ZZ,16,FALSE)+SUM(_xlfn.XLOOKUP($R7:$AK7,增益!$A:$A,增益!$P:$P,0))</f>
        <v>0</v>
      </c>
      <c r="BN7" s="24">
        <f>MIN(IF(VLOOKUP($Q7,武学奇术!$A:$ZZ,23,FALSE)=1,100%,$B$8),100%)</f>
        <v>1</v>
      </c>
      <c r="BO7" s="24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0.9093</v>
      </c>
      <c r="BP7" s="24" cm="1">
        <f t="array" ref="BP7">1+$B$13+VLOOKUP($Q7,武学奇术!$A:$ZZ,18,FALSE)+SUM(_xlfn.XLOOKUP($R7:$AK7,增益!$A:$A,增益!$R:$R,0))</f>
        <v>1.87</v>
      </c>
      <c r="BQ7" s="24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4" cm="1">
        <f t="array" ref="BR7">1+$B$14+VLOOKUP($Q7,武学奇术!$A:$ZZ,20,FALSE)+SUM(_xlfn.XLOOKUP($R7:$AK7,增益!$A:$A,增益!$T:$T,0))</f>
        <v>1.35</v>
      </c>
      <c r="BS7" s="24">
        <f t="shared" si="9"/>
        <v>0.9071</v>
      </c>
      <c r="BT7" s="24">
        <f t="shared" si="10"/>
        <v>0</v>
      </c>
      <c r="BU7" s="24">
        <f>IF(VLOOKUP($Q7,武学奇术!$A:$ZZ,22,FALSE)=1,0,(1-$BN7))*(1-$BQ7)</f>
        <v>0</v>
      </c>
      <c r="BV7" s="24" cm="1">
        <f t="array" ref="BV7">SUM(_xlfn.XLOOKUP($R7:$AK7,增益!$A:$A,增益!$W:$W,0))+$I$5</f>
        <v>0.06</v>
      </c>
    </row>
    <row r="8" spans="1:74">
      <c r="A8" s="65" t="s">
        <v>103</v>
      </c>
      <c r="B8" s="66">
        <v>1.0067</v>
      </c>
      <c r="C8" s="36" t="s">
        <v>104</v>
      </c>
      <c r="D8" s="67"/>
      <c r="E8" s="67"/>
      <c r="F8" s="67"/>
      <c r="G8" s="37"/>
      <c r="H8" s="68" t="s">
        <v>105</v>
      </c>
      <c r="I8" s="20">
        <v>91.6</v>
      </c>
      <c r="J8" s="69"/>
      <c r="K8" s="38">
        <f t="shared" si="0"/>
        <v>70618.5212387038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弹道",$B$21,0))*(1+$BV8)</f>
        <v>71945.5292296299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弹道",$B$21,0))*(1+$BV8)</f>
        <v>57661.266679295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弹道",$B$21,0))*(1+$BV8)</f>
        <v>38473.5450425829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弹道",$B$21,0))*(1+$BV8)</f>
        <v>34235.0406930953</v>
      </c>
      <c r="P8" s="39">
        <v>1</v>
      </c>
      <c r="Q8" s="40" t="s">
        <v>101</v>
      </c>
      <c r="R8" s="40" t="s">
        <v>76</v>
      </c>
      <c r="S8" s="40" t="s">
        <v>77</v>
      </c>
      <c r="T8" s="40" t="s">
        <v>106</v>
      </c>
      <c r="U8" s="40" t="s">
        <v>78</v>
      </c>
      <c r="V8" s="40" t="s">
        <v>102</v>
      </c>
      <c r="W8" s="40" t="s">
        <v>78</v>
      </c>
      <c r="X8" s="40" t="s">
        <v>78</v>
      </c>
      <c r="Y8" s="40" t="s">
        <v>78</v>
      </c>
      <c r="Z8" s="40" t="s">
        <v>78</v>
      </c>
      <c r="AA8" s="40" t="s">
        <v>79</v>
      </c>
      <c r="AB8" s="40" t="s">
        <v>78</v>
      </c>
      <c r="AC8" s="40" t="s">
        <v>78</v>
      </c>
      <c r="AD8" s="40" t="s">
        <v>78</v>
      </c>
      <c r="AE8" s="40" t="s">
        <v>78</v>
      </c>
      <c r="AF8" s="40" t="s">
        <v>78</v>
      </c>
      <c r="AG8" s="40" t="s">
        <v>78</v>
      </c>
      <c r="AH8" s="40" t="s">
        <v>78</v>
      </c>
      <c r="AI8" s="40" t="s">
        <v>78</v>
      </c>
      <c r="AJ8" s="40" t="s">
        <v>78</v>
      </c>
      <c r="AK8" s="40" t="s">
        <v>78</v>
      </c>
      <c r="AL8" t="str">
        <f>VLOOKUP($Q8,武学奇术!$A:$ZZ,25,FALSE)</f>
        <v>伞</v>
      </c>
      <c r="AM8" s="24">
        <f>VLOOKUP($Q8,武学奇术!$A:$ZZ,26,FALSE)</f>
        <v>2.3397</v>
      </c>
      <c r="AN8" s="25">
        <f>VLOOKUP($Q8,武学奇术!$A:$ZZ,27,FALSE)*(1+IF(OR($AL8=$F$4,$AL8=$F$5),$B$22,0))</f>
        <v>972</v>
      </c>
      <c r="AO8" s="24">
        <f>VLOOKUP($Q8,武学奇术!$A:$ZZ,28,FALSE)</f>
        <v>3.5095</v>
      </c>
      <c r="AP8" s="25">
        <f>VLOOKUP($Q8,武学奇术!$A:$ZZ,29,FALSE)*(1+IF(OR($AL8=$F$4,$AL8=$F$5),$B$22,0))</f>
        <v>529.5</v>
      </c>
      <c r="AQ8" s="24" cm="1">
        <f t="array" ref="AQ8">$G$3+IFERROR(VLOOKUP($AL8,$F$4:$G$7,2,FALSE),0)+VLOOKUP($Q8,武学奇术!$A:$ZZ,2,FALSE)+SUM(_xlfn.XLOOKUP($R8:$AK8,增益!$A:$A,增益!$B:$B,0))</f>
        <v>1.0341</v>
      </c>
      <c r="AR8" s="24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3773.588</v>
      </c>
      <c r="AT8" cm="1">
        <f t="array" ref="AT8">$E$10*(1+$AR8)+VLOOKUP($Q8,武学奇术!$A:$ZZ,4,FALSE)+SUM(_xlfn.XLOOKUP($R8:$AK8,增益!$A:$A,增益!$D:$D,0))-$I$2</f>
        <v>3773.588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0.2775</v>
      </c>
      <c r="AV8" s="32" cm="1">
        <f t="array" ref="AV8">$G$10+VLOOKUP($Q8,武学奇术!$A:$ZZ,7,FALSE)+SUM(_xlfn.XLOOKUP($R8:$AK8,增益!$A:$A,增益!$G:$G,0))</f>
        <v>0</v>
      </c>
      <c r="AW8" s="24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2" cm="1">
        <f t="array" ref="BA8">$G$11+VLOOKUP($Q8,武学奇术!$A:$ZZ,10,FALSE)+SUM(_xlfn.XLOOKUP($R8:$AK8,增益!$A:$A,增益!$J:$J,0))</f>
        <v>0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2" cm="1">
        <f t="array" ref="BE8">$G$12+VLOOKUP($Q8,武学奇术!$A:$ZZ,12,FALSE)+SUM(_xlfn.XLOOKUP($R8:$AK8,增益!$A:$A,增益!$L:$L,0))</f>
        <v>0</v>
      </c>
      <c r="BF8">
        <f t="shared" si="5"/>
        <v>605.472</v>
      </c>
      <c r="BG8">
        <f t="shared" si="6"/>
        <v>1579.612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2" cm="1">
        <f t="array" ref="BI8">$G$13+VLOOKUP($Q8,武学奇术!$A:$ZZ,14,FALSE)+SUM(_xlfn.XLOOKUP($R8:$AK8,增益!$A:$A,增益!$N:$N,0))</f>
        <v>0.15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2" cm="1">
        <f t="array" ref="BM8">$G$14+VLOOKUP($Q8,武学奇术!$A:$ZZ,16,FALSE)+SUM(_xlfn.XLOOKUP($R8:$AK8,增益!$A:$A,增益!$P:$P,0))</f>
        <v>0</v>
      </c>
      <c r="BN8" s="24">
        <f>MIN(IF(VLOOKUP($Q8,武学奇术!$A:$ZZ,23,FALSE)=1,100%,$B$8),100%)</f>
        <v>1</v>
      </c>
      <c r="BO8" s="24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0.9093</v>
      </c>
      <c r="BP8" s="24" cm="1">
        <f t="array" ref="BP8">1+$B$13+VLOOKUP($Q8,武学奇术!$A:$ZZ,18,FALSE)+SUM(_xlfn.XLOOKUP($R8:$AK8,增益!$A:$A,增益!$R:$R,0))</f>
        <v>1.87</v>
      </c>
      <c r="BQ8" s="24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4" cm="1">
        <f t="array" ref="BR8">1+$B$14+VLOOKUP($Q8,武学奇术!$A:$ZZ,20,FALSE)+SUM(_xlfn.XLOOKUP($R8:$AK8,增益!$A:$A,增益!$T:$T,0))</f>
        <v>1.35</v>
      </c>
      <c r="BS8" s="24">
        <f t="shared" si="9"/>
        <v>0.9071</v>
      </c>
      <c r="BT8" s="24">
        <f t="shared" si="10"/>
        <v>0</v>
      </c>
      <c r="BU8" s="24">
        <f>IF(VLOOKUP($Q8,武学奇术!$A:$ZZ,22,FALSE)=1,0,(1-$BN8))*(1-$BQ8)</f>
        <v>0</v>
      </c>
      <c r="BV8" s="24" cm="1">
        <f t="array" ref="BV8">SUM(_xlfn.XLOOKUP($R8:$AK8,增益!$A:$A,增益!$W:$W,0))+$I$5</f>
        <v>0.06</v>
      </c>
    </row>
    <row r="9" ht="14.25" spans="1:74">
      <c r="A9" s="41" t="s">
        <v>107</v>
      </c>
      <c r="B9" s="70">
        <v>0.7763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3"/>
      <c r="J9" s="72"/>
      <c r="K9" s="38">
        <f t="shared" si="0"/>
        <v>28673.6615601391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弹道",$B$21,0))*(1+$BV9)</f>
        <v>28691.3550604634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弹道",$B$21,0))*(1+$BV9)</f>
        <v>28500.8975758102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弹道",$B$21,0))*(1+$BV9)</f>
        <v>19000.8973910353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弹道",$B$21,0))*(1+$BV9)</f>
        <v>16890.018799989</v>
      </c>
      <c r="P9" s="39">
        <v>1</v>
      </c>
      <c r="Q9" s="40" t="s">
        <v>108</v>
      </c>
      <c r="R9" s="40" t="s">
        <v>82</v>
      </c>
      <c r="S9" s="40" t="s">
        <v>77</v>
      </c>
      <c r="T9" s="40" t="s">
        <v>78</v>
      </c>
      <c r="U9" s="40" t="s">
        <v>78</v>
      </c>
      <c r="V9" s="40" t="s">
        <v>78</v>
      </c>
      <c r="W9" s="40" t="s">
        <v>78</v>
      </c>
      <c r="X9" s="40" t="s">
        <v>78</v>
      </c>
      <c r="Y9" s="40" t="s">
        <v>78</v>
      </c>
      <c r="Z9" s="40" t="s">
        <v>78</v>
      </c>
      <c r="AA9" s="40" t="s">
        <v>79</v>
      </c>
      <c r="AB9" s="40" t="s">
        <v>84</v>
      </c>
      <c r="AC9" s="40" t="s">
        <v>78</v>
      </c>
      <c r="AD9" s="40" t="s">
        <v>78</v>
      </c>
      <c r="AE9" s="40" t="s">
        <v>78</v>
      </c>
      <c r="AF9" s="40" t="s">
        <v>78</v>
      </c>
      <c r="AG9" s="40" t="s">
        <v>78</v>
      </c>
      <c r="AH9" s="40" t="s">
        <v>78</v>
      </c>
      <c r="AI9" s="40" t="s">
        <v>78</v>
      </c>
      <c r="AJ9" s="40" t="s">
        <v>78</v>
      </c>
      <c r="AK9" s="40" t="s">
        <v>78</v>
      </c>
      <c r="AL9" t="str">
        <f>VLOOKUP($Q9,武学奇术!$A:$ZZ,25,FALSE)</f>
        <v>伞</v>
      </c>
      <c r="AM9" s="24">
        <f>VLOOKUP($Q9,武学奇术!$A:$ZZ,26,FALSE)</f>
        <v>1.7001</v>
      </c>
      <c r="AN9" s="25">
        <f>VLOOKUP($Q9,武学奇术!$A:$ZZ,27,FALSE)*(1+IF(OR($AL9=$F$4,$AL9=$F$5),$B$22,0))</f>
        <v>706.5</v>
      </c>
      <c r="AO9" s="24">
        <f>VLOOKUP($Q9,武学奇术!$A:$ZZ,28,FALSE)</f>
        <v>2.5502</v>
      </c>
      <c r="AP9" s="25">
        <f>VLOOKUP($Q9,武学奇术!$A:$ZZ,29,FALSE)*(1+IF(OR($AL9=$F$4,$AL9=$F$5),$B$22,0))</f>
        <v>384</v>
      </c>
      <c r="AQ9" s="24" cm="1">
        <f t="array" ref="AQ9">$G$3+IFERROR(VLOOKUP($AL9,$F$4:$G$7,2,FALSE),0)+VLOOKUP($Q9,武学奇术!$A:$ZZ,2,FALSE)+SUM(_xlfn.XLOOKUP($R9:$AK9,增益!$A:$A,增益!$B:$B,0))</f>
        <v>0.3941</v>
      </c>
      <c r="AR9" s="24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3773.588</v>
      </c>
      <c r="AT9" cm="1">
        <f t="array" ref="AT9">$E$10*(1+$AR9)+VLOOKUP($Q9,武学奇术!$A:$ZZ,4,FALSE)+SUM(_xlfn.XLOOKUP($R9:$AK9,增益!$A:$A,增益!$D:$D,0))-$I$2</f>
        <v>3773.588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0.2625</v>
      </c>
      <c r="AV9" s="32" cm="1">
        <f t="array" ref="AV9">$G$10+VLOOKUP($Q9,武学奇术!$A:$ZZ,7,FALSE)+SUM(_xlfn.XLOOKUP($R9:$AK9,增益!$A:$A,增益!$G:$G,0))</f>
        <v>0</v>
      </c>
      <c r="AW9" s="24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2" cm="1">
        <f t="array" ref="BA9">$G$11+VLOOKUP($Q9,武学奇术!$A:$ZZ,10,FALSE)+SUM(_xlfn.XLOOKUP($R9:$AK9,增益!$A:$A,增益!$J:$J,0))</f>
        <v>0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2" cm="1">
        <f t="array" ref="BE9">$G$12+VLOOKUP($Q9,武学奇术!$A:$ZZ,12,FALSE)+SUM(_xlfn.XLOOKUP($R9:$AK9,增益!$A:$A,增益!$L:$L,0))</f>
        <v>0</v>
      </c>
      <c r="BF9">
        <f t="shared" si="5"/>
        <v>605.472</v>
      </c>
      <c r="BG9">
        <f t="shared" si="6"/>
        <v>1579.612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2" cm="1">
        <f t="array" ref="BI9">$G$13+VLOOKUP($Q9,武学奇术!$A:$ZZ,14,FALSE)+SUM(_xlfn.XLOOKUP($R9:$AK9,增益!$A:$A,增益!$N:$N,0))</f>
        <v>0.15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2" cm="1">
        <f t="array" ref="BM9">$G$14+VLOOKUP($Q9,武学奇术!$A:$ZZ,16,FALSE)+SUM(_xlfn.XLOOKUP($R9:$AK9,增益!$A:$A,增益!$P:$P,0))</f>
        <v>0</v>
      </c>
      <c r="BN9" s="24">
        <f>MIN(IF(VLOOKUP($Q9,武学奇术!$A:$ZZ,23,FALSE)=1,100%,$B$8),100%)</f>
        <v>1</v>
      </c>
      <c r="BO9" s="24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0.9093</v>
      </c>
      <c r="BP9" s="24" cm="1">
        <f t="array" ref="BP9">1+$B$13+VLOOKUP($Q9,武学奇术!$A:$ZZ,18,FALSE)+SUM(_xlfn.XLOOKUP($R9:$AK9,增益!$A:$A,增益!$R:$R,0))</f>
        <v>1.51</v>
      </c>
      <c r="BQ9" s="24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4" cm="1">
        <f t="array" ref="BR9">1+$B$14+VLOOKUP($Q9,武学奇术!$A:$ZZ,20,FALSE)+SUM(_xlfn.XLOOKUP($R9:$AK9,增益!$A:$A,增益!$T:$T,0))</f>
        <v>1.35</v>
      </c>
      <c r="BS9" s="24">
        <f t="shared" si="9"/>
        <v>0.9071</v>
      </c>
      <c r="BT9" s="24">
        <f t="shared" si="10"/>
        <v>0</v>
      </c>
      <c r="BU9" s="24">
        <f>IF(VLOOKUP($Q9,武学奇术!$A:$ZZ,22,FALSE)=1,0,(1-$BN9))*(1-$BQ9)</f>
        <v>0</v>
      </c>
      <c r="BV9" s="24" cm="1">
        <f t="array" ref="BV9">SUM(_xlfn.XLOOKUP($R9:$AK9,增益!$A:$A,增益!$W:$W,0))+$I$5</f>
        <v>0.06</v>
      </c>
    </row>
    <row r="10" spans="1:74">
      <c r="A10" s="41" t="s">
        <v>109</v>
      </c>
      <c r="B10" s="70">
        <v>0.0929</v>
      </c>
      <c r="C10" s="45" t="s">
        <v>71</v>
      </c>
      <c r="D10">
        <f>(B2+B23)*IF($G$2="撼天",1.06,1)</f>
        <v>4356.388</v>
      </c>
      <c r="E10">
        <f>MAX(B2+B23,C2+B24)*IF($G$2="撼天",1.06,1)</f>
        <v>4356.388</v>
      </c>
      <c r="F10">
        <f>D2</f>
        <v>63.5</v>
      </c>
      <c r="G10" s="89">
        <f>E2</f>
        <v>0</v>
      </c>
      <c r="H10" s="68" t="s">
        <v>110</v>
      </c>
      <c r="I10" s="73">
        <f>SUM(K:K)</f>
        <v>15323521.0723623</v>
      </c>
      <c r="J10" s="74"/>
      <c r="K10" s="38">
        <f t="shared" si="0"/>
        <v>12086.7076363435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弹道",$B$21,0))*(1+$BV10)</f>
        <v>12101.4498178053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弹道",$B$21,0))*(1+$BV10)</f>
        <v>11942.7611045459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弹道",$B$21,0))*(1+$BV10)</f>
        <v>7961.48014329298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弹道",$B$21,0))*(1+$BV10)</f>
        <v>7076.47057951495</v>
      </c>
      <c r="P10" s="39">
        <v>1</v>
      </c>
      <c r="Q10" s="40" t="s">
        <v>111</v>
      </c>
      <c r="R10" s="40" t="s">
        <v>82</v>
      </c>
      <c r="S10" s="40" t="s">
        <v>83</v>
      </c>
      <c r="T10" s="40" t="s">
        <v>78</v>
      </c>
      <c r="U10" s="40" t="s">
        <v>78</v>
      </c>
      <c r="V10" s="40" t="s">
        <v>78</v>
      </c>
      <c r="W10" s="40" t="s">
        <v>78</v>
      </c>
      <c r="X10" s="40" t="s">
        <v>78</v>
      </c>
      <c r="Y10" s="40" t="s">
        <v>78</v>
      </c>
      <c r="Z10" s="40" t="s">
        <v>78</v>
      </c>
      <c r="AA10" s="40" t="s">
        <v>79</v>
      </c>
      <c r="AB10" s="40" t="s">
        <v>84</v>
      </c>
      <c r="AC10" s="40" t="s">
        <v>78</v>
      </c>
      <c r="AD10" s="40" t="s">
        <v>78</v>
      </c>
      <c r="AE10" s="40" t="s">
        <v>78</v>
      </c>
      <c r="AF10" s="40" t="s">
        <v>78</v>
      </c>
      <c r="AG10" s="40" t="s">
        <v>78</v>
      </c>
      <c r="AH10" s="40" t="s">
        <v>78</v>
      </c>
      <c r="AI10" s="40" t="s">
        <v>78</v>
      </c>
      <c r="AJ10" s="40" t="s">
        <v>78</v>
      </c>
      <c r="AK10" s="40" t="s">
        <v>78</v>
      </c>
      <c r="AL10" t="str">
        <f>VLOOKUP($Q10,武学奇术!$A:$ZZ,25,FALSE)</f>
        <v>伞</v>
      </c>
      <c r="AM10" s="24">
        <f>VLOOKUP($Q10,武学奇术!$A:$ZZ,26,FALSE)</f>
        <v>0.54</v>
      </c>
      <c r="AN10" s="25">
        <f>VLOOKUP($Q10,武学奇术!$A:$ZZ,27,FALSE)*(1+IF(OR($AL10=$F$4,$AL10=$F$5),$B$22,0))</f>
        <v>222</v>
      </c>
      <c r="AO10" s="24">
        <f>VLOOKUP($Q10,武学奇术!$A:$ZZ,28,FALSE)</f>
        <v>0.81</v>
      </c>
      <c r="AP10" s="25">
        <f>VLOOKUP($Q10,武学奇术!$A:$ZZ,29,FALSE)*(1+IF(OR($AL10=$F$4,$AL10=$F$5),$B$22,0))</f>
        <v>122.25</v>
      </c>
      <c r="AQ10" s="24" cm="1">
        <f t="array" ref="AQ10">$G$3+IFERROR(VLOOKUP($AL10,$F$4:$G$7,2,FALSE),0)+VLOOKUP($Q10,武学奇术!$A:$ZZ,2,FALSE)+SUM(_xlfn.XLOOKUP($R10:$AK10,增益!$A:$A,增益!$B:$B,0))</f>
        <v>0.3941</v>
      </c>
      <c r="AR10" s="24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3773.588</v>
      </c>
      <c r="AT10" cm="1">
        <f t="array" ref="AT10">$E$10*(1+$AR10)+VLOOKUP($Q10,武学奇术!$A:$ZZ,4,FALSE)+SUM(_xlfn.XLOOKUP($R10:$AK10,增益!$A:$A,增益!$D:$D,0))-$I$2</f>
        <v>3773.588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0.2625</v>
      </c>
      <c r="AV10" s="32" cm="1">
        <f t="array" ref="AV10">$G$10+VLOOKUP($Q10,武学奇术!$A:$ZZ,7,FALSE)+SUM(_xlfn.XLOOKUP($R10:$AK10,增益!$A:$A,增益!$G:$G,0))</f>
        <v>0</v>
      </c>
      <c r="AW10" s="24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2" cm="1">
        <f t="array" ref="BA10">$G$11+VLOOKUP($Q10,武学奇术!$A:$ZZ,10,FALSE)+SUM(_xlfn.XLOOKUP($R10:$AK10,增益!$A:$A,增益!$J:$J,0))</f>
        <v>0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-0.3</v>
      </c>
      <c r="BE10" s="32" cm="1">
        <f t="array" ref="BE10">$G$12+VLOOKUP($Q10,武学奇术!$A:$ZZ,12,FALSE)+SUM(_xlfn.XLOOKUP($R10:$AK10,增益!$A:$A,增益!$L:$L,0))</f>
        <v>0</v>
      </c>
      <c r="BF10">
        <f t="shared" si="5"/>
        <v>605.472</v>
      </c>
      <c r="BG10">
        <f t="shared" si="6"/>
        <v>1579.612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</v>
      </c>
      <c r="BI10" s="32" cm="1">
        <f t="array" ref="BI10">$G$13+VLOOKUP($Q10,武学奇术!$A:$ZZ,14,FALSE)+SUM(_xlfn.XLOOKUP($R10:$AK10,增益!$A:$A,增益!$N:$N,0))</f>
        <v>0.15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2" cm="1">
        <f t="array" ref="BM10">$G$14+VLOOKUP($Q10,武学奇术!$A:$ZZ,16,FALSE)+SUM(_xlfn.XLOOKUP($R10:$AK10,增益!$A:$A,增益!$P:$P,0))</f>
        <v>0</v>
      </c>
      <c r="BN10" s="24">
        <f>MIN(IF(VLOOKUP($Q10,武学奇术!$A:$ZZ,23,FALSE)=1,100%,$B$8),100%)</f>
        <v>1</v>
      </c>
      <c r="BO10" s="24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0.9093</v>
      </c>
      <c r="BP10" s="24" cm="1">
        <f t="array" ref="BP10">1+$B$13+VLOOKUP($Q10,武学奇术!$A:$ZZ,18,FALSE)+SUM(_xlfn.XLOOKUP($R10:$AK10,增益!$A:$A,增益!$R:$R,0))</f>
        <v>1.52</v>
      </c>
      <c r="BQ10" s="24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4" cm="1">
        <f t="array" ref="BR10">1+$B$14+VLOOKUP($Q10,武学奇术!$A:$ZZ,20,FALSE)+SUM(_xlfn.XLOOKUP($R10:$AK10,增益!$A:$A,增益!$T:$T,0))</f>
        <v>1.35</v>
      </c>
      <c r="BS10" s="24">
        <f t="shared" si="9"/>
        <v>0.9071</v>
      </c>
      <c r="BT10" s="24">
        <f t="shared" si="10"/>
        <v>0</v>
      </c>
      <c r="BU10" s="24">
        <f>IF(VLOOKUP($Q10,武学奇术!$A:$ZZ,22,FALSE)=1,0,(1-$BN10))*(1-$BQ10)</f>
        <v>0</v>
      </c>
      <c r="BV10" s="24" cm="1">
        <f t="array" ref="BV10">SUM(_xlfn.XLOOKUP($R10:$AK10,增益!$A:$A,增益!$W:$W,0))+$I$5</f>
        <v>0.06</v>
      </c>
    </row>
    <row r="11" ht="14.25" spans="1:74">
      <c r="A11" s="41" t="s">
        <v>112</v>
      </c>
      <c r="B11" s="70">
        <v>0.133</v>
      </c>
      <c r="C11" s="45" t="s">
        <v>80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9">
        <f>E3</f>
        <v>0</v>
      </c>
      <c r="H11" s="71"/>
      <c r="I11" s="75"/>
      <c r="J11" s="76"/>
      <c r="K11" s="38">
        <f t="shared" si="0"/>
        <v>24004.7571141848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弹道",$B$21,0))*(1+$BV11)</f>
        <v>24467.6489387675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弹道",$B$21,0))*(1+$BV11)</f>
        <v>19484.9597613426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弹道",$B$21,0))*(1+$BV11)</f>
        <v>13014.7068823232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弹道",$B$21,0))*(1+$BV11)</f>
        <v>11596.1102377259</v>
      </c>
      <c r="P11" s="39">
        <v>0.5</v>
      </c>
      <c r="Q11" s="40" t="s">
        <v>113</v>
      </c>
      <c r="R11" s="40" t="s">
        <v>88</v>
      </c>
      <c r="S11" s="40" t="s">
        <v>83</v>
      </c>
      <c r="T11" s="40" t="s">
        <v>106</v>
      </c>
      <c r="U11" s="40" t="s">
        <v>78</v>
      </c>
      <c r="V11" s="40" t="s">
        <v>102</v>
      </c>
      <c r="W11" s="40" t="s">
        <v>78</v>
      </c>
      <c r="X11" s="40" t="s">
        <v>78</v>
      </c>
      <c r="Y11" s="40" t="s">
        <v>78</v>
      </c>
      <c r="Z11" s="40" t="s">
        <v>78</v>
      </c>
      <c r="AA11" s="40" t="s">
        <v>79</v>
      </c>
      <c r="AB11" s="40" t="s">
        <v>84</v>
      </c>
      <c r="AC11" s="40" t="s">
        <v>78</v>
      </c>
      <c r="AD11" s="40" t="s">
        <v>78</v>
      </c>
      <c r="AE11" s="40" t="s">
        <v>78</v>
      </c>
      <c r="AF11" s="40" t="s">
        <v>78</v>
      </c>
      <c r="AG11" s="40" t="s">
        <v>78</v>
      </c>
      <c r="AH11" s="40" t="s">
        <v>78</v>
      </c>
      <c r="AI11" s="40" t="s">
        <v>78</v>
      </c>
      <c r="AJ11" s="40" t="s">
        <v>78</v>
      </c>
      <c r="AK11" s="40" t="s">
        <v>78</v>
      </c>
      <c r="AL11" t="str">
        <f>VLOOKUP($Q11,武学奇术!$A:$ZZ,25,FALSE)</f>
        <v>伞</v>
      </c>
      <c r="AM11" s="24">
        <f>VLOOKUP($Q11,武学奇术!$A:$ZZ,26,FALSE)</f>
        <v>1.174955</v>
      </c>
      <c r="AN11" s="25">
        <f>VLOOKUP($Q11,武学奇术!$A:$ZZ,27,FALSE)*(1+IF(OR($AL11=$F$4,$AL11=$F$5),$B$22,0))</f>
        <v>486.45</v>
      </c>
      <c r="AO11" s="24">
        <f>VLOOKUP($Q11,武学奇术!$A:$ZZ,28,FALSE)</f>
        <v>1.762375</v>
      </c>
      <c r="AP11" s="25">
        <f>VLOOKUP($Q11,武学奇术!$A:$ZZ,29,FALSE)*(1+IF(OR($AL11=$F$4,$AL11=$F$5),$B$22,0))</f>
        <v>265.65</v>
      </c>
      <c r="AQ11" s="24" cm="1">
        <f t="array" ref="AQ11">$G$3+IFERROR(VLOOKUP($AL11,$F$4:$G$7,2,FALSE),0)+VLOOKUP($Q11,武学奇术!$A:$ZZ,2,FALSE)+SUM(_xlfn.XLOOKUP($R11:$AK11,增益!$A:$A,增益!$B:$B,0))</f>
        <v>1.0541</v>
      </c>
      <c r="AR11" s="24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3773.588</v>
      </c>
      <c r="AT11" cm="1">
        <f t="array" ref="AT11">$E$10*(1+$AR11)+VLOOKUP($Q11,武学奇术!$A:$ZZ,4,FALSE)+SUM(_xlfn.XLOOKUP($R11:$AK11,增益!$A:$A,增益!$D:$D,0))-$I$2</f>
        <v>3773.588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0.2975</v>
      </c>
      <c r="AV11" s="32" cm="1">
        <f t="array" ref="AV11">$G$10+VLOOKUP($Q11,武学奇术!$A:$ZZ,7,FALSE)+SUM(_xlfn.XLOOKUP($R11:$AK11,增益!$A:$A,增益!$G:$G,0))</f>
        <v>0</v>
      </c>
      <c r="AW11" s="24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2" cm="1">
        <f t="array" ref="BA11">$G$11+VLOOKUP($Q11,武学奇术!$A:$ZZ,10,FALSE)+SUM(_xlfn.XLOOKUP($R11:$AK11,增益!$A:$A,增益!$J:$J,0))</f>
        <v>0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-0.3</v>
      </c>
      <c r="BE11" s="32" cm="1">
        <f t="array" ref="BE11">$G$12+VLOOKUP($Q11,武学奇术!$A:$ZZ,12,FALSE)+SUM(_xlfn.XLOOKUP($R11:$AK11,增益!$A:$A,增益!$L:$L,0))</f>
        <v>0</v>
      </c>
      <c r="BF11">
        <f t="shared" si="5"/>
        <v>605.472</v>
      </c>
      <c r="BG11">
        <f t="shared" si="6"/>
        <v>1579.612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</v>
      </c>
      <c r="BI11" s="32" cm="1">
        <f t="array" ref="BI11">$G$13+VLOOKUP($Q11,武学奇术!$A:$ZZ,14,FALSE)+SUM(_xlfn.XLOOKUP($R11:$AK11,增益!$A:$A,增益!$N:$N,0))</f>
        <v>0.15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2" cm="1">
        <f t="array" ref="BM11">$G$14+VLOOKUP($Q11,武学奇术!$A:$ZZ,16,FALSE)+SUM(_xlfn.XLOOKUP($R11:$AK11,增益!$A:$A,增益!$P:$P,0))</f>
        <v>0</v>
      </c>
      <c r="BN11" s="24">
        <f>MIN(IF(VLOOKUP($Q11,武学奇术!$A:$ZZ,23,FALSE)=1,100%,$B$8),100%)</f>
        <v>1</v>
      </c>
      <c r="BO11" s="24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0.9093</v>
      </c>
      <c r="BP11" s="24" cm="1">
        <f t="array" ref="BP11">1+$B$13+VLOOKUP($Q11,武学奇术!$A:$ZZ,18,FALSE)+SUM(_xlfn.XLOOKUP($R11:$AK11,增益!$A:$A,增益!$R:$R,0))</f>
        <v>1.88</v>
      </c>
      <c r="BQ11" s="24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4" cm="1">
        <f t="array" ref="BR11">1+$B$14+VLOOKUP($Q11,武学奇术!$A:$ZZ,20,FALSE)+SUM(_xlfn.XLOOKUP($R11:$AK11,增益!$A:$A,增益!$T:$T,0))</f>
        <v>1.35</v>
      </c>
      <c r="BS11" s="24">
        <f t="shared" si="9"/>
        <v>0.9071</v>
      </c>
      <c r="BT11" s="24">
        <f t="shared" si="10"/>
        <v>0</v>
      </c>
      <c r="BU11" s="24">
        <f>IF(VLOOKUP($Q11,武学奇术!$A:$ZZ,22,FALSE)=1,0,(1-$BN11))*(1-$BQ11)</f>
        <v>0</v>
      </c>
      <c r="BV11" s="24" cm="1">
        <f t="array" ref="BV11">SUM(_xlfn.XLOOKUP($R11:$AK11,增益!$A:$A,增益!$W:$W,0))+$I$5</f>
        <v>0.06</v>
      </c>
    </row>
    <row r="12" spans="1:74">
      <c r="A12" s="41" t="s">
        <v>114</v>
      </c>
      <c r="B12" s="70">
        <v>0</v>
      </c>
      <c r="C12" s="45" t="s">
        <v>85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9">
        <f>E4</f>
        <v>0</v>
      </c>
      <c r="H12" s="68" t="s">
        <v>115</v>
      </c>
      <c r="I12" s="38">
        <f>I10/I8</f>
        <v>167287.347951554</v>
      </c>
      <c r="J12" s="77"/>
      <c r="K12" s="38">
        <f t="shared" si="0"/>
        <v>24004.7571141848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弹道",$B$21,0))*(1+$BV12)</f>
        <v>24467.6489387675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弹道",$B$21,0))*(1+$BV12)</f>
        <v>19484.9597613426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弹道",$B$21,0))*(1+$BV12)</f>
        <v>13014.7068823232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弹道",$B$21,0))*(1+$BV12)</f>
        <v>11596.1102377259</v>
      </c>
      <c r="P12" s="39">
        <v>0.5</v>
      </c>
      <c r="Q12" s="40" t="s">
        <v>113</v>
      </c>
      <c r="R12" s="40" t="s">
        <v>88</v>
      </c>
      <c r="S12" s="40" t="s">
        <v>83</v>
      </c>
      <c r="T12" s="40" t="s">
        <v>106</v>
      </c>
      <c r="U12" s="40" t="s">
        <v>78</v>
      </c>
      <c r="V12" s="40" t="s">
        <v>102</v>
      </c>
      <c r="W12" s="40" t="s">
        <v>78</v>
      </c>
      <c r="X12" s="40" t="s">
        <v>78</v>
      </c>
      <c r="Y12" s="40" t="s">
        <v>78</v>
      </c>
      <c r="Z12" s="40" t="s">
        <v>78</v>
      </c>
      <c r="AA12" s="40" t="s">
        <v>79</v>
      </c>
      <c r="AB12" s="40" t="s">
        <v>84</v>
      </c>
      <c r="AC12" s="40" t="s">
        <v>78</v>
      </c>
      <c r="AD12" s="40" t="s">
        <v>78</v>
      </c>
      <c r="AE12" s="40" t="s">
        <v>78</v>
      </c>
      <c r="AF12" s="40" t="s">
        <v>78</v>
      </c>
      <c r="AG12" s="40" t="s">
        <v>78</v>
      </c>
      <c r="AH12" s="40" t="s">
        <v>78</v>
      </c>
      <c r="AI12" s="40" t="s">
        <v>78</v>
      </c>
      <c r="AJ12" s="40" t="s">
        <v>78</v>
      </c>
      <c r="AK12" s="40" t="s">
        <v>78</v>
      </c>
      <c r="AL12" t="str">
        <f>VLOOKUP($Q12,武学奇术!$A:$ZZ,25,FALSE)</f>
        <v>伞</v>
      </c>
      <c r="AM12" s="24">
        <f>VLOOKUP($Q12,武学奇术!$A:$ZZ,26,FALSE)</f>
        <v>1.174955</v>
      </c>
      <c r="AN12" s="25">
        <f>VLOOKUP($Q12,武学奇术!$A:$ZZ,27,FALSE)*(1+IF(OR($AL12=$F$4,$AL12=$F$5),$B$22,0))</f>
        <v>486.45</v>
      </c>
      <c r="AO12" s="24">
        <f>VLOOKUP($Q12,武学奇术!$A:$ZZ,28,FALSE)</f>
        <v>1.762375</v>
      </c>
      <c r="AP12" s="25">
        <f>VLOOKUP($Q12,武学奇术!$A:$ZZ,29,FALSE)*(1+IF(OR($AL12=$F$4,$AL12=$F$5),$B$22,0))</f>
        <v>265.65</v>
      </c>
      <c r="AQ12" s="24" cm="1">
        <f t="array" ref="AQ12">$G$3+IFERROR(VLOOKUP($AL12,$F$4:$G$7,2,FALSE),0)+VLOOKUP($Q12,武学奇术!$A:$ZZ,2,FALSE)+SUM(_xlfn.XLOOKUP($R12:$AK12,增益!$A:$A,增益!$B:$B,0))</f>
        <v>1.0541</v>
      </c>
      <c r="AR12" s="24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3773.588</v>
      </c>
      <c r="AT12" cm="1">
        <f t="array" ref="AT12">$E$10*(1+$AR12)+VLOOKUP($Q12,武学奇术!$A:$ZZ,4,FALSE)+SUM(_xlfn.XLOOKUP($R12:$AK12,增益!$A:$A,增益!$D:$D,0))-$I$2</f>
        <v>3773.588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0.2975</v>
      </c>
      <c r="AV12" s="32" cm="1">
        <f t="array" ref="AV12">$G$10+VLOOKUP($Q12,武学奇术!$A:$ZZ,7,FALSE)+SUM(_xlfn.XLOOKUP($R12:$AK12,增益!$A:$A,增益!$G:$G,0))</f>
        <v>0</v>
      </c>
      <c r="AW12" s="24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2" cm="1">
        <f t="array" ref="BA12">$G$11+VLOOKUP($Q12,武学奇术!$A:$ZZ,10,FALSE)+SUM(_xlfn.XLOOKUP($R12:$AK12,增益!$A:$A,增益!$J:$J,0))</f>
        <v>0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-0.3</v>
      </c>
      <c r="BE12" s="32" cm="1">
        <f t="array" ref="BE12">$G$12+VLOOKUP($Q12,武学奇术!$A:$ZZ,12,FALSE)+SUM(_xlfn.XLOOKUP($R12:$AK12,增益!$A:$A,增益!$L:$L,0))</f>
        <v>0</v>
      </c>
      <c r="BF12">
        <f t="shared" si="5"/>
        <v>605.472</v>
      </c>
      <c r="BG12">
        <f t="shared" si="6"/>
        <v>1579.612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</v>
      </c>
      <c r="BI12" s="32" cm="1">
        <f t="array" ref="BI12">$G$13+VLOOKUP($Q12,武学奇术!$A:$ZZ,14,FALSE)+SUM(_xlfn.XLOOKUP($R12:$AK12,增益!$A:$A,增益!$N:$N,0))</f>
        <v>0.15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2" cm="1">
        <f t="array" ref="BM12">$G$14+VLOOKUP($Q12,武学奇术!$A:$ZZ,16,FALSE)+SUM(_xlfn.XLOOKUP($R12:$AK12,增益!$A:$A,增益!$P:$P,0))</f>
        <v>0</v>
      </c>
      <c r="BN12" s="24">
        <f>MIN(IF(VLOOKUP($Q12,武学奇术!$A:$ZZ,23,FALSE)=1,100%,$B$8),100%)</f>
        <v>1</v>
      </c>
      <c r="BO12" s="24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0.9093</v>
      </c>
      <c r="BP12" s="24" cm="1">
        <f t="array" ref="BP12">1+$B$13+VLOOKUP($Q12,武学奇术!$A:$ZZ,18,FALSE)+SUM(_xlfn.XLOOKUP($R12:$AK12,增益!$A:$A,增益!$R:$R,0))</f>
        <v>1.88</v>
      </c>
      <c r="BQ12" s="24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4" cm="1">
        <f t="array" ref="BR12">1+$B$14+VLOOKUP($Q12,武学奇术!$A:$ZZ,20,FALSE)+SUM(_xlfn.XLOOKUP($R12:$AK12,增益!$A:$A,增益!$T:$T,0))</f>
        <v>1.35</v>
      </c>
      <c r="BS12" s="24">
        <f t="shared" si="9"/>
        <v>0.9071</v>
      </c>
      <c r="BT12" s="24">
        <f t="shared" si="10"/>
        <v>0</v>
      </c>
      <c r="BU12" s="24">
        <f>IF(VLOOKUP($Q12,武学奇术!$A:$ZZ,22,FALSE)=1,0,(1-$BN12))*(1-$BQ12)</f>
        <v>0</v>
      </c>
      <c r="BV12" s="24" cm="1">
        <f t="array" ref="BV12">SUM(_xlfn.XLOOKUP($R12:$AK12,增益!$A:$A,增益!$W:$W,0))+$I$5</f>
        <v>0.06</v>
      </c>
    </row>
    <row r="13" ht="14.25" spans="1:74">
      <c r="A13" s="41" t="s">
        <v>116</v>
      </c>
      <c r="B13" s="70">
        <f>50%+IF(G2="时雨",10%,0)</f>
        <v>0.5</v>
      </c>
      <c r="C13" s="45" t="s">
        <v>5</v>
      </c>
      <c r="D13">
        <f>(B5+IF($G$1=$C13,$B$7,0))*IF($G$2="撼天",1.06,1)</f>
        <v>605.472</v>
      </c>
      <c r="E13">
        <f>(MAX(B5,C5)+IF($G$1=$C13,$C$7,0))*IF($G$2="撼天",1.06,1)</f>
        <v>1579.612</v>
      </c>
      <c r="F13">
        <f>D5</f>
        <v>30</v>
      </c>
      <c r="G13" s="89">
        <f>E5</f>
        <v>0.15</v>
      </c>
      <c r="H13" s="71"/>
      <c r="I13" s="78"/>
      <c r="J13" s="76"/>
      <c r="K13" s="38">
        <f t="shared" si="0"/>
        <v>141365.10633167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弹道",$B$21,0))*(1+$BV13)</f>
        <v>144146.792505026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弹道",$B$21,0))*(1+$BV13)</f>
        <v>114203.991930684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弹道",$B$21,0))*(1+$BV13)</f>
        <v>76673.8258005458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弹道",$B$21,0))*(1+$BV13)</f>
        <v>68752.102022807</v>
      </c>
      <c r="P13" s="39">
        <v>2.5</v>
      </c>
      <c r="Q13" s="40" t="s">
        <v>113</v>
      </c>
      <c r="R13" s="40" t="s">
        <v>88</v>
      </c>
      <c r="S13" s="40" t="s">
        <v>83</v>
      </c>
      <c r="T13" s="40" t="s">
        <v>106</v>
      </c>
      <c r="U13" s="40" t="s">
        <v>90</v>
      </c>
      <c r="V13" s="40" t="s">
        <v>102</v>
      </c>
      <c r="W13" s="40" t="s">
        <v>78</v>
      </c>
      <c r="X13" s="40" t="s">
        <v>78</v>
      </c>
      <c r="Y13" s="40" t="s">
        <v>78</v>
      </c>
      <c r="Z13" s="40" t="s">
        <v>78</v>
      </c>
      <c r="AA13" s="40" t="s">
        <v>79</v>
      </c>
      <c r="AB13" s="40" t="s">
        <v>84</v>
      </c>
      <c r="AC13" s="40" t="s">
        <v>78</v>
      </c>
      <c r="AD13" s="40" t="s">
        <v>78</v>
      </c>
      <c r="AE13" s="40" t="s">
        <v>78</v>
      </c>
      <c r="AF13" s="40" t="s">
        <v>117</v>
      </c>
      <c r="AG13" s="40" t="s">
        <v>78</v>
      </c>
      <c r="AH13" s="40" t="s">
        <v>78</v>
      </c>
      <c r="AI13" s="40" t="s">
        <v>78</v>
      </c>
      <c r="AJ13" s="40" t="s">
        <v>78</v>
      </c>
      <c r="AK13" s="40" t="s">
        <v>78</v>
      </c>
      <c r="AL13" t="str">
        <f>VLOOKUP($Q13,武学奇术!$A:$ZZ,25,FALSE)</f>
        <v>伞</v>
      </c>
      <c r="AM13" s="24">
        <f>VLOOKUP($Q13,武学奇术!$A:$ZZ,26,FALSE)</f>
        <v>1.174955</v>
      </c>
      <c r="AN13" s="25">
        <f>VLOOKUP($Q13,武学奇术!$A:$ZZ,27,FALSE)*(1+IF(OR($AL13=$F$4,$AL13=$F$5),$B$22,0))</f>
        <v>486.45</v>
      </c>
      <c r="AO13" s="24">
        <f>VLOOKUP($Q13,武学奇术!$A:$ZZ,28,FALSE)</f>
        <v>1.762375</v>
      </c>
      <c r="AP13" s="25">
        <f>VLOOKUP($Q13,武学奇术!$A:$ZZ,29,FALSE)*(1+IF(OR($AL13=$F$4,$AL13=$F$5),$B$22,0))</f>
        <v>265.65</v>
      </c>
      <c r="AQ13" s="24" cm="1">
        <f t="array" ref="AQ13">$G$3+IFERROR(VLOOKUP($AL13,$F$4:$G$7,2,FALSE),0)+VLOOKUP($Q13,武学奇术!$A:$ZZ,2,FALSE)+SUM(_xlfn.XLOOKUP($R13:$AK13,增益!$A:$A,增益!$B:$B,0))</f>
        <v>1.2941</v>
      </c>
      <c r="AR13" s="24" cm="1">
        <f t="array" ref="AR13">VLOOKUP($Q13,武学奇术!$A:$ZZ,5,FALSE)+SUM(_xlfn.XLOOKUP($R13:$AK13,增益!$A:$A,增益!$E:$E,0))</f>
        <v>0.075</v>
      </c>
      <c r="AS13" cm="1">
        <f t="array" ref="AS13">$D$10*(1+$AR13)+VLOOKUP($Q13,武学奇术!$A:$ZZ,3,FALSE)+SUM(_xlfn.XLOOKUP($R13:$AK13,增益!$A:$A,增益!$C:$C,0))-$I$2</f>
        <v>4100.3171</v>
      </c>
      <c r="AT13" cm="1">
        <f t="array" ref="AT13">$E$10*(1+$AR13)+VLOOKUP($Q13,武学奇术!$A:$ZZ,4,FALSE)+SUM(_xlfn.XLOOKUP($R13:$AK13,增益!$A:$A,增益!$D:$D,0))-$I$2</f>
        <v>4100.3171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0.2975</v>
      </c>
      <c r="AV13" s="32" cm="1">
        <f t="array" ref="AV13">$G$10+VLOOKUP($Q13,武学奇术!$A:$ZZ,7,FALSE)+SUM(_xlfn.XLOOKUP($R13:$AK13,增益!$A:$A,增益!$G:$G,0))</f>
        <v>0</v>
      </c>
      <c r="AW13" s="24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2" cm="1">
        <f t="array" ref="BA13">$G$11+VLOOKUP($Q13,武学奇术!$A:$ZZ,10,FALSE)+SUM(_xlfn.XLOOKUP($R13:$AK13,增益!$A:$A,增益!$J:$J,0))</f>
        <v>0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-0.3</v>
      </c>
      <c r="BE13" s="32" cm="1">
        <f t="array" ref="BE13">$G$12+VLOOKUP($Q13,武学奇术!$A:$ZZ,12,FALSE)+SUM(_xlfn.XLOOKUP($R13:$AK13,增益!$A:$A,增益!$L:$L,0))</f>
        <v>0</v>
      </c>
      <c r="BF13">
        <f t="shared" si="5"/>
        <v>605.472</v>
      </c>
      <c r="BG13">
        <f t="shared" si="6"/>
        <v>1579.612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</v>
      </c>
      <c r="BI13" s="32" cm="1">
        <f t="array" ref="BI13">$G$13+VLOOKUP($Q13,武学奇术!$A:$ZZ,14,FALSE)+SUM(_xlfn.XLOOKUP($R13:$AK13,增益!$A:$A,增益!$N:$N,0))</f>
        <v>0.15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2" cm="1">
        <f t="array" ref="BM13">$G$14+VLOOKUP($Q13,武学奇术!$A:$ZZ,16,FALSE)+SUM(_xlfn.XLOOKUP($R13:$AK13,增益!$A:$A,增益!$P:$P,0))</f>
        <v>0</v>
      </c>
      <c r="BN13" s="24">
        <f>MIN(IF(VLOOKUP($Q13,武学奇术!$A:$ZZ,23,FALSE)=1,100%,$B$8),100%)</f>
        <v>1</v>
      </c>
      <c r="BO13" s="24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0.9093</v>
      </c>
      <c r="BP13" s="24" cm="1">
        <f t="array" ref="BP13">1+$B$13+VLOOKUP($Q13,武学奇术!$A:$ZZ,18,FALSE)+SUM(_xlfn.XLOOKUP($R13:$AK13,增益!$A:$A,增益!$R:$R,0))</f>
        <v>1.88</v>
      </c>
      <c r="BQ13" s="24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4" cm="1">
        <f t="array" ref="BR13">1+$B$14+VLOOKUP($Q13,武学奇术!$A:$ZZ,20,FALSE)+SUM(_xlfn.XLOOKUP($R13:$AK13,增益!$A:$A,增益!$T:$T,0))</f>
        <v>1.35</v>
      </c>
      <c r="BS13" s="24">
        <f t="shared" si="9"/>
        <v>0.9071</v>
      </c>
      <c r="BT13" s="24">
        <f t="shared" si="10"/>
        <v>0</v>
      </c>
      <c r="BU13" s="24">
        <f>IF(VLOOKUP($Q13,武学奇术!$A:$ZZ,22,FALSE)=1,0,(1-$BN13))*(1-$BQ13)</f>
        <v>0</v>
      </c>
      <c r="BV13" s="24" cm="1">
        <f t="array" ref="BV13">SUM(_xlfn.XLOOKUP($R13:$AK13,增益!$A:$A,增益!$W:$W,0))+$I$5</f>
        <v>0.06</v>
      </c>
    </row>
    <row r="14" ht="14.25" spans="1:74">
      <c r="A14" s="41" t="s">
        <v>118</v>
      </c>
      <c r="B14" s="70">
        <v>0.35</v>
      </c>
      <c r="C14" s="53" t="s">
        <v>95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0">
        <f>E6</f>
        <v>0</v>
      </c>
      <c r="H14" s="36" t="s">
        <v>119</v>
      </c>
      <c r="I14" s="73">
        <f>RD!I14</f>
        <v>141932.220345243</v>
      </c>
      <c r="J14" s="74"/>
      <c r="K14" s="38">
        <f t="shared" si="0"/>
        <v>229546.218679457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弹道",$B$21,0))*(1+$BV14)</f>
        <v>234165.095476622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弹道",$B$21,0))*(1+$BV14)</f>
        <v>184446.292493145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弹道",$B$21,0))*(1+$BV14)</f>
        <v>123896.875913556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弹道",$B$21,0))*(1+$BV14)</f>
        <v>111166.868498857</v>
      </c>
      <c r="P14" s="39">
        <v>4</v>
      </c>
      <c r="Q14" s="40" t="s">
        <v>113</v>
      </c>
      <c r="R14" s="40" t="s">
        <v>93</v>
      </c>
      <c r="S14" s="40" t="s">
        <v>89</v>
      </c>
      <c r="T14" s="40" t="s">
        <v>106</v>
      </c>
      <c r="U14" s="40" t="s">
        <v>90</v>
      </c>
      <c r="V14" s="40" t="s">
        <v>102</v>
      </c>
      <c r="W14" s="40" t="s">
        <v>78</v>
      </c>
      <c r="X14" s="40" t="s">
        <v>78</v>
      </c>
      <c r="Y14" s="40" t="s">
        <v>78</v>
      </c>
      <c r="Z14" s="40" t="s">
        <v>78</v>
      </c>
      <c r="AA14" s="40" t="s">
        <v>79</v>
      </c>
      <c r="AB14" s="40" t="s">
        <v>84</v>
      </c>
      <c r="AC14" s="40" t="s">
        <v>78</v>
      </c>
      <c r="AD14" s="40" t="s">
        <v>78</v>
      </c>
      <c r="AE14" s="40" t="s">
        <v>78</v>
      </c>
      <c r="AF14" s="40" t="s">
        <v>117</v>
      </c>
      <c r="AG14" s="40" t="s">
        <v>78</v>
      </c>
      <c r="AH14" s="40" t="s">
        <v>78</v>
      </c>
      <c r="AI14" s="40" t="s">
        <v>78</v>
      </c>
      <c r="AJ14" s="40" t="s">
        <v>78</v>
      </c>
      <c r="AK14" s="40" t="s">
        <v>78</v>
      </c>
      <c r="AL14" t="str">
        <f>VLOOKUP($Q14,武学奇术!$A:$ZZ,25,FALSE)</f>
        <v>伞</v>
      </c>
      <c r="AM14" s="24">
        <f>VLOOKUP($Q14,武学奇术!$A:$ZZ,26,FALSE)</f>
        <v>1.174955</v>
      </c>
      <c r="AN14" s="25">
        <f>VLOOKUP($Q14,武学奇术!$A:$ZZ,27,FALSE)*(1+IF(OR($AL14=$F$4,$AL14=$F$5),$B$22,0))</f>
        <v>486.45</v>
      </c>
      <c r="AO14" s="24">
        <f>VLOOKUP($Q14,武学奇术!$A:$ZZ,28,FALSE)</f>
        <v>1.762375</v>
      </c>
      <c r="AP14" s="25">
        <f>VLOOKUP($Q14,武学奇术!$A:$ZZ,29,FALSE)*(1+IF(OR($AL14=$F$4,$AL14=$F$5),$B$22,0))</f>
        <v>265.65</v>
      </c>
      <c r="AQ14" s="24" cm="1">
        <f t="array" ref="AQ14">$G$3+IFERROR(VLOOKUP($AL14,$F$4:$G$7,2,FALSE),0)+VLOOKUP($Q14,武学奇术!$A:$ZZ,2,FALSE)+SUM(_xlfn.XLOOKUP($R14:$AK14,增益!$A:$A,增益!$B:$B,0))</f>
        <v>1.3041</v>
      </c>
      <c r="AR14" s="24" cm="1">
        <f t="array" ref="AR14">VLOOKUP($Q14,武学奇术!$A:$ZZ,5,FALSE)+SUM(_xlfn.XLOOKUP($R14:$AK14,增益!$A:$A,增益!$E:$E,0))</f>
        <v>0.075</v>
      </c>
      <c r="AS14" cm="1">
        <f t="array" ref="AS14">$D$10*(1+$AR14)+VLOOKUP($Q14,武学奇术!$A:$ZZ,3,FALSE)+SUM(_xlfn.XLOOKUP($R14:$AK14,增益!$A:$A,增益!$C:$C,0))-$I$2</f>
        <v>4100.3171</v>
      </c>
      <c r="AT14" cm="1">
        <f t="array" ref="AT14">$E$10*(1+$AR14)+VLOOKUP($Q14,武学奇术!$A:$ZZ,4,FALSE)+SUM(_xlfn.XLOOKUP($R14:$AK14,增益!$A:$A,增益!$D:$D,0))-$I$2</f>
        <v>4100.3171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0.3075</v>
      </c>
      <c r="AV14" s="32" cm="1">
        <f t="array" ref="AV14">$G$10+VLOOKUP($Q14,武学奇术!$A:$ZZ,7,FALSE)+SUM(_xlfn.XLOOKUP($R14:$AK14,增益!$A:$A,增益!$G:$G,0))</f>
        <v>0</v>
      </c>
      <c r="AW14" s="24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2" cm="1">
        <f t="array" ref="BA14">$G$11+VLOOKUP($Q14,武学奇术!$A:$ZZ,10,FALSE)+SUM(_xlfn.XLOOKUP($R14:$AK14,增益!$A:$A,增益!$J:$J,0))</f>
        <v>0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-0.3</v>
      </c>
      <c r="BE14" s="32" cm="1">
        <f t="array" ref="BE14">$G$12+VLOOKUP($Q14,武学奇术!$A:$ZZ,12,FALSE)+SUM(_xlfn.XLOOKUP($R14:$AK14,增益!$A:$A,增益!$L:$L,0))</f>
        <v>0</v>
      </c>
      <c r="BF14">
        <f t="shared" si="5"/>
        <v>605.472</v>
      </c>
      <c r="BG14">
        <f t="shared" si="6"/>
        <v>1579.612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</v>
      </c>
      <c r="BI14" s="32" cm="1">
        <f t="array" ref="BI14">$G$13+VLOOKUP($Q14,武学奇术!$A:$ZZ,14,FALSE)+SUM(_xlfn.XLOOKUP($R14:$AK14,增益!$A:$A,增益!$N:$N,0))</f>
        <v>0.15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2" cm="1">
        <f t="array" ref="BM14">$G$14+VLOOKUP($Q14,武学奇术!$A:$ZZ,16,FALSE)+SUM(_xlfn.XLOOKUP($R14:$AK14,增益!$A:$A,增益!$P:$P,0))</f>
        <v>0</v>
      </c>
      <c r="BN14" s="24">
        <f>MIN(IF(VLOOKUP($Q14,武学奇术!$A:$ZZ,23,FALSE)=1,100%,$B$8),100%)</f>
        <v>1</v>
      </c>
      <c r="BO14" s="24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0.9093</v>
      </c>
      <c r="BP14" s="24" cm="1">
        <f t="array" ref="BP14">1+$B$13+VLOOKUP($Q14,武学奇术!$A:$ZZ,18,FALSE)+SUM(_xlfn.XLOOKUP($R14:$AK14,增益!$A:$A,增益!$R:$R,0))</f>
        <v>1.89</v>
      </c>
      <c r="BQ14" s="24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4" cm="1">
        <f t="array" ref="BR14">1+$B$14+VLOOKUP($Q14,武学奇术!$A:$ZZ,20,FALSE)+SUM(_xlfn.XLOOKUP($R14:$AK14,增益!$A:$A,增益!$T:$T,0))</f>
        <v>1.35</v>
      </c>
      <c r="BS14" s="24">
        <f t="shared" si="9"/>
        <v>0.9071</v>
      </c>
      <c r="BT14" s="24">
        <f t="shared" si="10"/>
        <v>0</v>
      </c>
      <c r="BU14" s="24">
        <f>IF(VLOOKUP($Q14,武学奇术!$A:$ZZ,22,FALSE)=1,0,(1-$BN14))*(1-$BQ14)</f>
        <v>0</v>
      </c>
      <c r="BV14" s="24" cm="1">
        <f t="array" ref="BV14">SUM(_xlfn.XLOOKUP($R14:$AK14,增益!$A:$A,增益!$W:$W,0))+$I$5</f>
        <v>0.06</v>
      </c>
    </row>
    <row r="15" spans="1:74">
      <c r="A15" s="41" t="s">
        <v>120</v>
      </c>
      <c r="B15" s="70">
        <v>0.0852</v>
      </c>
      <c r="C15" s="39" t="s">
        <v>121</v>
      </c>
      <c r="D15" s="39"/>
      <c r="F15" s="79"/>
      <c r="H15" s="80"/>
      <c r="I15" s="75"/>
      <c r="J15" s="76"/>
      <c r="K15" s="38">
        <f t="shared" si="0"/>
        <v>115903.18876306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弹道",$B$21,0))*(1+$BV15)</f>
        <v>118239.881557996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弹道",$B$21,0))*(1+$BV15)</f>
        <v>93087.1065855968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弹道",$B$21,0))*(1+$BV15)</f>
        <v>62560.7838931193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弹道",$B$21,0))*(1+$BV15)</f>
        <v>56168.1555006115</v>
      </c>
      <c r="P15" s="39">
        <v>2</v>
      </c>
      <c r="Q15" s="40" t="s">
        <v>113</v>
      </c>
      <c r="R15" s="40" t="s">
        <v>97</v>
      </c>
      <c r="S15" s="40" t="s">
        <v>89</v>
      </c>
      <c r="T15" s="40" t="s">
        <v>106</v>
      </c>
      <c r="U15" s="40" t="s">
        <v>90</v>
      </c>
      <c r="V15" s="40" t="s">
        <v>102</v>
      </c>
      <c r="W15" s="40" t="s">
        <v>78</v>
      </c>
      <c r="X15" s="40" t="s">
        <v>78</v>
      </c>
      <c r="Y15" s="40" t="s">
        <v>78</v>
      </c>
      <c r="Z15" s="40" t="s">
        <v>78</v>
      </c>
      <c r="AA15" s="40" t="s">
        <v>79</v>
      </c>
      <c r="AB15" s="40" t="s">
        <v>84</v>
      </c>
      <c r="AC15" s="40" t="s">
        <v>78</v>
      </c>
      <c r="AD15" s="40" t="s">
        <v>78</v>
      </c>
      <c r="AE15" s="40" t="s">
        <v>78</v>
      </c>
      <c r="AF15" s="40" t="s">
        <v>117</v>
      </c>
      <c r="AG15" s="40" t="s">
        <v>78</v>
      </c>
      <c r="AH15" s="40" t="s">
        <v>78</v>
      </c>
      <c r="AI15" s="40" t="s">
        <v>78</v>
      </c>
      <c r="AJ15" s="40" t="s">
        <v>78</v>
      </c>
      <c r="AK15" s="40" t="s">
        <v>78</v>
      </c>
      <c r="AL15" t="str">
        <f>VLOOKUP($Q15,武学奇术!$A:$ZZ,25,FALSE)</f>
        <v>伞</v>
      </c>
      <c r="AM15" s="24">
        <f>VLOOKUP($Q15,武学奇术!$A:$ZZ,26,FALSE)</f>
        <v>1.174955</v>
      </c>
      <c r="AN15" s="25">
        <f>VLOOKUP($Q15,武学奇术!$A:$ZZ,27,FALSE)*(1+IF(OR($AL15=$F$4,$AL15=$F$5),$B$22,0))</f>
        <v>486.45</v>
      </c>
      <c r="AO15" s="24">
        <f>VLOOKUP($Q15,武学奇术!$A:$ZZ,28,FALSE)</f>
        <v>1.762375</v>
      </c>
      <c r="AP15" s="25">
        <f>VLOOKUP($Q15,武学奇术!$A:$ZZ,29,FALSE)*(1+IF(OR($AL15=$F$4,$AL15=$F$5),$B$22,0))</f>
        <v>265.65</v>
      </c>
      <c r="AQ15" s="24" cm="1">
        <f t="array" ref="AQ15">$G$3+IFERROR(VLOOKUP($AL15,$F$4:$G$7,2,FALSE),0)+VLOOKUP($Q15,武学奇术!$A:$ZZ,2,FALSE)+SUM(_xlfn.XLOOKUP($R15:$AK15,增益!$A:$A,增益!$B:$B,0))</f>
        <v>1.3141</v>
      </c>
      <c r="AR15" s="24" cm="1">
        <f t="array" ref="AR15">VLOOKUP($Q15,武学奇术!$A:$ZZ,5,FALSE)+SUM(_xlfn.XLOOKUP($R15:$AK15,增益!$A:$A,增益!$E:$E,0))</f>
        <v>0.075</v>
      </c>
      <c r="AS15" cm="1">
        <f t="array" ref="AS15">$D$10*(1+$AR15)+VLOOKUP($Q15,武学奇术!$A:$ZZ,3,FALSE)+SUM(_xlfn.XLOOKUP($R15:$AK15,增益!$A:$A,增益!$C:$C,0))-$I$2</f>
        <v>4100.3171</v>
      </c>
      <c r="AT15" cm="1">
        <f t="array" ref="AT15">$E$10*(1+$AR15)+VLOOKUP($Q15,武学奇术!$A:$ZZ,4,FALSE)+SUM(_xlfn.XLOOKUP($R15:$AK15,增益!$A:$A,增益!$D:$D,0))-$I$2</f>
        <v>4100.3171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0.3175</v>
      </c>
      <c r="AV15" s="32" cm="1">
        <f t="array" ref="AV15">$G$10+VLOOKUP($Q15,武学奇术!$A:$ZZ,7,FALSE)+SUM(_xlfn.XLOOKUP($R15:$AK15,增益!$A:$A,增益!$G:$G,0))</f>
        <v>0</v>
      </c>
      <c r="AW15" s="24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2" cm="1">
        <f t="array" ref="BA15">$G$11+VLOOKUP($Q15,武学奇术!$A:$ZZ,10,FALSE)+SUM(_xlfn.XLOOKUP($R15:$AK15,增益!$A:$A,增益!$J:$J,0))</f>
        <v>0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-0.3</v>
      </c>
      <c r="BE15" s="32" cm="1">
        <f t="array" ref="BE15">$G$12+VLOOKUP($Q15,武学奇术!$A:$ZZ,12,FALSE)+SUM(_xlfn.XLOOKUP($R15:$AK15,增益!$A:$A,增益!$L:$L,0))</f>
        <v>0</v>
      </c>
      <c r="BF15">
        <f t="shared" si="5"/>
        <v>605.472</v>
      </c>
      <c r="BG15">
        <f t="shared" si="6"/>
        <v>1579.612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</v>
      </c>
      <c r="BI15" s="32" cm="1">
        <f t="array" ref="BI15">$G$13+VLOOKUP($Q15,武学奇术!$A:$ZZ,14,FALSE)+SUM(_xlfn.XLOOKUP($R15:$AK15,增益!$A:$A,增益!$N:$N,0))</f>
        <v>0.15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2" cm="1">
        <f t="array" ref="BM15">$G$14+VLOOKUP($Q15,武学奇术!$A:$ZZ,16,FALSE)+SUM(_xlfn.XLOOKUP($R15:$AK15,增益!$A:$A,增益!$P:$P,0))</f>
        <v>0</v>
      </c>
      <c r="BN15" s="24">
        <f>MIN(IF(VLOOKUP($Q15,武学奇术!$A:$ZZ,23,FALSE)=1,100%,$B$8),100%)</f>
        <v>1</v>
      </c>
      <c r="BO15" s="24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0.9093</v>
      </c>
      <c r="BP15" s="24" cm="1">
        <f t="array" ref="BP15">1+$B$13+VLOOKUP($Q15,武学奇术!$A:$ZZ,18,FALSE)+SUM(_xlfn.XLOOKUP($R15:$AK15,增益!$A:$A,增益!$R:$R,0))</f>
        <v>1.89</v>
      </c>
      <c r="BQ15" s="24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4" cm="1">
        <f t="array" ref="BR15">1+$B$14+VLOOKUP($Q15,武学奇术!$A:$ZZ,20,FALSE)+SUM(_xlfn.XLOOKUP($R15:$AK15,增益!$A:$A,增益!$T:$T,0))</f>
        <v>1.35</v>
      </c>
      <c r="BS15" s="24">
        <f t="shared" si="9"/>
        <v>0.9071</v>
      </c>
      <c r="BT15" s="24">
        <f t="shared" si="10"/>
        <v>0</v>
      </c>
      <c r="BU15" s="24">
        <f>IF(VLOOKUP($Q15,武学奇术!$A:$ZZ,22,FALSE)=1,0,(1-$BN15))*(1-$BQ15)</f>
        <v>0</v>
      </c>
      <c r="BV15" s="24" cm="1">
        <f t="array" ref="BV15">SUM(_xlfn.XLOOKUP($R15:$AK15,增益!$A:$A,增益!$W:$W,0))+$I$5</f>
        <v>0.06</v>
      </c>
    </row>
    <row r="16" spans="1:74">
      <c r="A16" s="41" t="s">
        <v>122</v>
      </c>
      <c r="B16" s="70">
        <v>0.0887</v>
      </c>
      <c r="C16" s="39" t="s">
        <v>123</v>
      </c>
      <c r="D16" s="79" t="s">
        <v>124</v>
      </c>
      <c r="E16" s="39" t="s">
        <v>125</v>
      </c>
      <c r="F16" s="79" t="s">
        <v>124</v>
      </c>
      <c r="H16" s="68" t="s">
        <v>126</v>
      </c>
      <c r="I16" s="81">
        <f>I12/167287.35</f>
        <v>0.999999987754926</v>
      </c>
      <c r="J16" s="82"/>
      <c r="K16" s="38">
        <f t="shared" si="0"/>
        <v>29117.6694084386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弹道",$B$21,0))*(1+$BV16)</f>
        <v>29716.3723492317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弹道",$B$21,0))*(1+$BV16)</f>
        <v>23271.7766463992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弹道",$B$21,0))*(1+$BV16)</f>
        <v>15640.1959732798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弹道",$B$21,0))*(1+$BV16)</f>
        <v>14042.0388751529</v>
      </c>
      <c r="P16" s="39">
        <v>0.5</v>
      </c>
      <c r="Q16" s="40" t="s">
        <v>113</v>
      </c>
      <c r="R16" s="40" t="s">
        <v>97</v>
      </c>
      <c r="S16" s="40" t="s">
        <v>94</v>
      </c>
      <c r="T16" s="40" t="s">
        <v>106</v>
      </c>
      <c r="U16" s="40" t="s">
        <v>90</v>
      </c>
      <c r="V16" s="40" t="s">
        <v>102</v>
      </c>
      <c r="W16" s="40" t="s">
        <v>78</v>
      </c>
      <c r="X16" s="40" t="s">
        <v>78</v>
      </c>
      <c r="Y16" s="40" t="s">
        <v>78</v>
      </c>
      <c r="Z16" s="40" t="s">
        <v>78</v>
      </c>
      <c r="AA16" s="40" t="s">
        <v>79</v>
      </c>
      <c r="AB16" s="40" t="s">
        <v>84</v>
      </c>
      <c r="AC16" s="40" t="s">
        <v>78</v>
      </c>
      <c r="AD16" s="40" t="s">
        <v>78</v>
      </c>
      <c r="AE16" s="40" t="s">
        <v>78</v>
      </c>
      <c r="AF16" s="40" t="s">
        <v>117</v>
      </c>
      <c r="AG16" s="40" t="s">
        <v>78</v>
      </c>
      <c r="AH16" s="40" t="s">
        <v>78</v>
      </c>
      <c r="AI16" s="40" t="s">
        <v>78</v>
      </c>
      <c r="AJ16" s="40" t="s">
        <v>78</v>
      </c>
      <c r="AK16" s="40" t="s">
        <v>78</v>
      </c>
      <c r="AL16" t="str">
        <f>VLOOKUP($Q16,武学奇术!$A:$ZZ,25,FALSE)</f>
        <v>伞</v>
      </c>
      <c r="AM16" s="24">
        <f>VLOOKUP($Q16,武学奇术!$A:$ZZ,26,FALSE)</f>
        <v>1.174955</v>
      </c>
      <c r="AN16" s="25">
        <f>VLOOKUP($Q16,武学奇术!$A:$ZZ,27,FALSE)*(1+IF(OR($AL16=$F$4,$AL16=$F$5),$B$22,0))</f>
        <v>486.45</v>
      </c>
      <c r="AO16" s="24">
        <f>VLOOKUP($Q16,武学奇术!$A:$ZZ,28,FALSE)</f>
        <v>1.762375</v>
      </c>
      <c r="AP16" s="25">
        <f>VLOOKUP($Q16,武学奇术!$A:$ZZ,29,FALSE)*(1+IF(OR($AL16=$F$4,$AL16=$F$5),$B$22,0))</f>
        <v>265.65</v>
      </c>
      <c r="AQ16" s="24" cm="1">
        <f t="array" ref="AQ16">$G$3+IFERROR(VLOOKUP($AL16,$F$4:$G$7,2,FALSE),0)+VLOOKUP($Q16,武学奇术!$A:$ZZ,2,FALSE)+SUM(_xlfn.XLOOKUP($R16:$AK16,增益!$A:$A,增益!$B:$B,0))</f>
        <v>1.3141</v>
      </c>
      <c r="AR16" s="24" cm="1">
        <f t="array" ref="AR16">VLOOKUP($Q16,武学奇术!$A:$ZZ,5,FALSE)+SUM(_xlfn.XLOOKUP($R16:$AK16,增益!$A:$A,增益!$E:$E,0))</f>
        <v>0.075</v>
      </c>
      <c r="AS16" cm="1">
        <f t="array" ref="AS16">$D$10*(1+$AR16)+VLOOKUP($Q16,武学奇术!$A:$ZZ,3,FALSE)+SUM(_xlfn.XLOOKUP($R16:$AK16,增益!$A:$A,增益!$C:$C,0))-$I$2</f>
        <v>4100.3171</v>
      </c>
      <c r="AT16" cm="1">
        <f t="array" ref="AT16">$E$10*(1+$AR16)+VLOOKUP($Q16,武学奇术!$A:$ZZ,4,FALSE)+SUM(_xlfn.XLOOKUP($R16:$AK16,增益!$A:$A,增益!$D:$D,0))-$I$2</f>
        <v>4100.3171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0.3175</v>
      </c>
      <c r="AV16" s="32" cm="1">
        <f t="array" ref="AV16">$G$10+VLOOKUP($Q16,武学奇术!$A:$ZZ,7,FALSE)+SUM(_xlfn.XLOOKUP($R16:$AK16,增益!$A:$A,增益!$G:$G,0))</f>
        <v>0</v>
      </c>
      <c r="AW16" s="24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2" cm="1">
        <f t="array" ref="BA16">$G$11+VLOOKUP($Q16,武学奇术!$A:$ZZ,10,FALSE)+SUM(_xlfn.XLOOKUP($R16:$AK16,增益!$A:$A,增益!$J:$J,0))</f>
        <v>0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-0.3</v>
      </c>
      <c r="BE16" s="32" cm="1">
        <f t="array" ref="BE16">$G$12+VLOOKUP($Q16,武学奇术!$A:$ZZ,12,FALSE)+SUM(_xlfn.XLOOKUP($R16:$AK16,增益!$A:$A,增益!$L:$L,0))</f>
        <v>0</v>
      </c>
      <c r="BF16">
        <f t="shared" si="5"/>
        <v>605.472</v>
      </c>
      <c r="BG16">
        <f t="shared" si="6"/>
        <v>1579.612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</v>
      </c>
      <c r="BI16" s="32" cm="1">
        <f t="array" ref="BI16">$G$13+VLOOKUP($Q16,武学奇术!$A:$ZZ,14,FALSE)+SUM(_xlfn.XLOOKUP($R16:$AK16,增益!$A:$A,增益!$N:$N,0))</f>
        <v>0.15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2" cm="1">
        <f t="array" ref="BM16">$G$14+VLOOKUP($Q16,武学奇术!$A:$ZZ,16,FALSE)+SUM(_xlfn.XLOOKUP($R16:$AK16,增益!$A:$A,增益!$P:$P,0))</f>
        <v>0</v>
      </c>
      <c r="BN16" s="24">
        <f>MIN(IF(VLOOKUP($Q16,武学奇术!$A:$ZZ,23,FALSE)=1,100%,$B$8),100%)</f>
        <v>1</v>
      </c>
      <c r="BO16" s="24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0.9093</v>
      </c>
      <c r="BP16" s="24" cm="1">
        <f t="array" ref="BP16">1+$B$13+VLOOKUP($Q16,武学奇术!$A:$ZZ,18,FALSE)+SUM(_xlfn.XLOOKUP($R16:$AK16,增益!$A:$A,增益!$R:$R,0))</f>
        <v>1.9</v>
      </c>
      <c r="BQ16" s="24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4" cm="1">
        <f t="array" ref="BR16">1+$B$14+VLOOKUP($Q16,武学奇术!$A:$ZZ,20,FALSE)+SUM(_xlfn.XLOOKUP($R16:$AK16,增益!$A:$A,增益!$T:$T,0))</f>
        <v>1.35</v>
      </c>
      <c r="BS16" s="24">
        <f t="shared" si="9"/>
        <v>0.9071</v>
      </c>
      <c r="BT16" s="24">
        <f t="shared" si="10"/>
        <v>0</v>
      </c>
      <c r="BU16" s="24">
        <f>IF(VLOOKUP($Q16,武学奇术!$A:$ZZ,22,FALSE)=1,0,(1-$BN16))*(1-$BQ16)</f>
        <v>0</v>
      </c>
      <c r="BV16" s="24" cm="1">
        <f t="array" ref="BV16">SUM(_xlfn.XLOOKUP($R16:$AK16,增益!$A:$A,增益!$W:$W,0))+$I$5</f>
        <v>0.06</v>
      </c>
    </row>
    <row r="17" spans="1:74">
      <c r="A17" s="41" t="s">
        <v>127</v>
      </c>
      <c r="B17" s="70">
        <v>0.0852</v>
      </c>
      <c r="C17" s="39" t="s">
        <v>128</v>
      </c>
      <c r="D17" s="79" t="s">
        <v>129</v>
      </c>
      <c r="E17" s="39" t="s">
        <v>130</v>
      </c>
      <c r="F17" s="79" t="s">
        <v>124</v>
      </c>
      <c r="H17" s="71"/>
      <c r="I17" s="83"/>
      <c r="J17" s="84"/>
      <c r="K17" s="38">
        <f t="shared" si="0"/>
        <v>24418.7165119373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弹道",$B$21,0))*(1+$BV17)</f>
        <v>24449.9127621376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弹道",$B$21,0))*(1+$BV17)</f>
        <v>24114.1081313482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弹道",$B$21,0))*(1+$BV17)</f>
        <v>16085.468922459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弹道",$B$21,0))*(1+$BV17)</f>
        <v>14308.6355254007</v>
      </c>
      <c r="P17" s="39">
        <v>1</v>
      </c>
      <c r="Q17" s="40" t="s">
        <v>131</v>
      </c>
      <c r="R17" s="40" t="s">
        <v>88</v>
      </c>
      <c r="S17" s="40" t="s">
        <v>83</v>
      </c>
      <c r="T17" s="40" t="s">
        <v>78</v>
      </c>
      <c r="U17" s="40" t="s">
        <v>78</v>
      </c>
      <c r="V17" s="40" t="s">
        <v>78</v>
      </c>
      <c r="W17" s="40" t="s">
        <v>78</v>
      </c>
      <c r="X17" s="40" t="s">
        <v>78</v>
      </c>
      <c r="Y17" s="40" t="s">
        <v>78</v>
      </c>
      <c r="Z17" s="40" t="s">
        <v>78</v>
      </c>
      <c r="AA17" s="40" t="s">
        <v>79</v>
      </c>
      <c r="AB17" s="40" t="s">
        <v>84</v>
      </c>
      <c r="AC17" s="40" t="s">
        <v>78</v>
      </c>
      <c r="AD17" s="40" t="s">
        <v>78</v>
      </c>
      <c r="AE17" s="40" t="s">
        <v>78</v>
      </c>
      <c r="AF17" s="40" t="s">
        <v>117</v>
      </c>
      <c r="AG17" s="40" t="s">
        <v>78</v>
      </c>
      <c r="AH17" s="40" t="s">
        <v>78</v>
      </c>
      <c r="AI17" s="40" t="s">
        <v>78</v>
      </c>
      <c r="AJ17" s="40" t="s">
        <v>78</v>
      </c>
      <c r="AK17" s="40" t="s">
        <v>78</v>
      </c>
      <c r="AL17" t="str">
        <f>VLOOKUP($Q17,武学奇术!$A:$ZZ,25,FALSE)</f>
        <v>扇</v>
      </c>
      <c r="AM17" s="24">
        <f>VLOOKUP($Q17,武学奇术!$A:$ZZ,26,FALSE)</f>
        <v>1.2798</v>
      </c>
      <c r="AN17" s="25">
        <f>VLOOKUP($Q17,武学奇术!$A:$ZZ,27,FALSE)*(1+IF(OR($AL17=$F$4,$AL17=$F$5),$B$22,0))</f>
        <v>532.5</v>
      </c>
      <c r="AO17" s="24">
        <f>VLOOKUP($Q17,武学奇术!$A:$ZZ,28,FALSE)</f>
        <v>1.9197</v>
      </c>
      <c r="AP17" s="25">
        <f>VLOOKUP($Q17,武学奇术!$A:$ZZ,29,FALSE)*(1+IF(OR($AL17=$F$4,$AL17=$F$5),$B$22,0))</f>
        <v>289.5</v>
      </c>
      <c r="AQ17" s="24" cm="1">
        <f t="array" ref="AQ17">$G$3+IFERROR(VLOOKUP($AL17,$F$4:$G$7,2,FALSE),0)+VLOOKUP($Q17,武学奇术!$A:$ZZ,2,FALSE)+SUM(_xlfn.XLOOKUP($R17:$AK17,增益!$A:$A,增益!$B:$B,0))</f>
        <v>0.5589</v>
      </c>
      <c r="AR17" s="24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3773.588</v>
      </c>
      <c r="AT17" cm="1">
        <f t="array" ref="AT17">$E$10*(1+$AR17)+VLOOKUP($Q17,武学奇术!$A:$ZZ,4,FALSE)+SUM(_xlfn.XLOOKUP($R17:$AK17,增益!$A:$A,增益!$D:$D,0))-$I$2</f>
        <v>3773.588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0.2725</v>
      </c>
      <c r="AV17" s="32" cm="1">
        <f t="array" ref="AV17">$G$10+VLOOKUP($Q17,武学奇术!$A:$ZZ,7,FALSE)+SUM(_xlfn.XLOOKUP($R17:$AK17,增益!$A:$A,增益!$G:$G,0))</f>
        <v>0</v>
      </c>
      <c r="AW17" s="24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2" cm="1">
        <f t="array" ref="BA17">$G$11+VLOOKUP($Q17,武学奇术!$A:$ZZ,10,FALSE)+SUM(_xlfn.XLOOKUP($R17:$AK17,增益!$A:$A,增益!$J:$J,0))</f>
        <v>0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-0.3</v>
      </c>
      <c r="BE17" s="32" cm="1">
        <f t="array" ref="BE17">$G$12+VLOOKUP($Q17,武学奇术!$A:$ZZ,12,FALSE)+SUM(_xlfn.XLOOKUP($R17:$AK17,增益!$A:$A,增益!$L:$L,0))</f>
        <v>0</v>
      </c>
      <c r="BF17">
        <f t="shared" si="5"/>
        <v>605.472</v>
      </c>
      <c r="BG17">
        <f t="shared" si="6"/>
        <v>1579.612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</v>
      </c>
      <c r="BI17" s="32" cm="1">
        <f t="array" ref="BI17">$G$13+VLOOKUP($Q17,武学奇术!$A:$ZZ,14,FALSE)+SUM(_xlfn.XLOOKUP($R17:$AK17,增益!$A:$A,增益!$N:$N,0))</f>
        <v>0.15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2" cm="1">
        <f t="array" ref="BM17">$G$14+VLOOKUP($Q17,武学奇术!$A:$ZZ,16,FALSE)+SUM(_xlfn.XLOOKUP($R17:$AK17,增益!$A:$A,增益!$P:$P,0))</f>
        <v>0</v>
      </c>
      <c r="BN17" s="24">
        <f>MIN(IF(VLOOKUP($Q17,武学奇术!$A:$ZZ,23,FALSE)=1,100%,$B$8),100%)</f>
        <v>1</v>
      </c>
      <c r="BO17" s="24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0.9093</v>
      </c>
      <c r="BP17" s="24" cm="1">
        <f t="array" ref="BP17">1+$B$13+VLOOKUP($Q17,武学奇术!$A:$ZZ,18,FALSE)+SUM(_xlfn.XLOOKUP($R17:$AK17,增益!$A:$A,增益!$R:$R,0))</f>
        <v>1.52</v>
      </c>
      <c r="BQ17" s="24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4" cm="1">
        <f t="array" ref="BR17">1+$B$14+VLOOKUP($Q17,武学奇术!$A:$ZZ,20,FALSE)+SUM(_xlfn.XLOOKUP($R17:$AK17,增益!$A:$A,增益!$T:$T,0))</f>
        <v>1.35</v>
      </c>
      <c r="BS17" s="24">
        <f t="shared" si="9"/>
        <v>0.9071</v>
      </c>
      <c r="BT17" s="24">
        <f t="shared" si="10"/>
        <v>0</v>
      </c>
      <c r="BU17" s="24">
        <f>IF(VLOOKUP($Q17,武学奇术!$A:$ZZ,22,FALSE)=1,0,(1-$BN17))*(1-$BQ17)</f>
        <v>0</v>
      </c>
      <c r="BV17" s="24" cm="1">
        <f t="array" ref="BV17">SUM(_xlfn.XLOOKUP($R17:$AK17,增益!$A:$A,增益!$W:$W,0))+$I$5</f>
        <v>0.06</v>
      </c>
    </row>
    <row r="18" spans="1:74">
      <c r="A18" s="41" t="s">
        <v>132</v>
      </c>
      <c r="B18" s="70">
        <v>0</v>
      </c>
      <c r="C18" s="39" t="s">
        <v>133</v>
      </c>
      <c r="D18" s="79" t="s">
        <v>129</v>
      </c>
      <c r="K18" s="38">
        <f t="shared" si="0"/>
        <v>83585.5853569383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弹道",$B$21,0))*(1+$BV18)</f>
        <v>83720.7451031776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弹道",$B$21,0))*(1+$BV18)</f>
        <v>82265.8500952204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弹道",$B$21,0))*(1+$BV18)</f>
        <v>54719.4412439069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弹道",$B$21,0))*(1+$BV18)</f>
        <v>48501.2157506135</v>
      </c>
      <c r="P18" s="39">
        <v>1</v>
      </c>
      <c r="Q18" s="40" t="s">
        <v>134</v>
      </c>
      <c r="R18" s="40" t="s">
        <v>93</v>
      </c>
      <c r="S18" s="40" t="s">
        <v>89</v>
      </c>
      <c r="T18" s="40" t="s">
        <v>78</v>
      </c>
      <c r="U18" s="40" t="s">
        <v>90</v>
      </c>
      <c r="V18" s="40" t="s">
        <v>78</v>
      </c>
      <c r="W18" s="40" t="s">
        <v>78</v>
      </c>
      <c r="X18" s="40" t="s">
        <v>78</v>
      </c>
      <c r="Y18" s="40" t="s">
        <v>78</v>
      </c>
      <c r="Z18" s="40" t="s">
        <v>78</v>
      </c>
      <c r="AA18" s="40" t="s">
        <v>79</v>
      </c>
      <c r="AB18" s="40" t="s">
        <v>84</v>
      </c>
      <c r="AC18" s="40" t="s">
        <v>78</v>
      </c>
      <c r="AD18" s="40" t="s">
        <v>78</v>
      </c>
      <c r="AE18" s="40" t="s">
        <v>78</v>
      </c>
      <c r="AF18" s="40" t="s">
        <v>117</v>
      </c>
      <c r="AG18" s="40" t="s">
        <v>78</v>
      </c>
      <c r="AH18" s="40" t="s">
        <v>78</v>
      </c>
      <c r="AI18" s="40" t="s">
        <v>78</v>
      </c>
      <c r="AJ18" s="40" t="s">
        <v>78</v>
      </c>
      <c r="AK18" s="40" t="s">
        <v>78</v>
      </c>
      <c r="AL18" t="str">
        <f>VLOOKUP($Q18,武学奇术!$A:$ZZ,25,FALSE)</f>
        <v>单体奇术</v>
      </c>
      <c r="AM18" s="24">
        <f>VLOOKUP($Q18,武学奇术!$A:$ZZ,26,FALSE)</f>
        <v>3.9863</v>
      </c>
      <c r="AN18" s="25">
        <f>VLOOKUP($Q18,武学奇术!$A:$ZZ,27,FALSE)*(1+IF(OR($AL18=$F$4,$AL18=$F$5),$B$22,0))</f>
        <v>778</v>
      </c>
      <c r="AO18" s="24">
        <f>VLOOKUP($Q18,武学奇术!$A:$ZZ,28,FALSE)</f>
        <v>5.97945</v>
      </c>
      <c r="AP18" s="25">
        <f>VLOOKUP($Q18,武学奇术!$A:$ZZ,29,FALSE)*(1+IF(OR($AL18=$F$4,$AL18=$F$5),$B$22,0))</f>
        <v>0</v>
      </c>
      <c r="AQ18" s="24" cm="1">
        <f t="array" ref="AQ18">$G$3+IFERROR(VLOOKUP($AL18,$F$4:$G$7,2,FALSE),0)+VLOOKUP($Q18,武学奇术!$A:$ZZ,2,FALSE)+SUM(_xlfn.XLOOKUP($R18:$AK18,增益!$A:$A,增益!$B:$B,0))</f>
        <v>0.7515</v>
      </c>
      <c r="AR18" s="24" cm="1">
        <f t="array" ref="AR18">VLOOKUP($Q18,武学奇术!$A:$ZZ,5,FALSE)+SUM(_xlfn.XLOOKUP($R18:$AK18,增益!$A:$A,增益!$E:$E,0))</f>
        <v>0.075</v>
      </c>
      <c r="AS18" cm="1">
        <f t="array" ref="AS18">$D$10*(1+$AR18)+VLOOKUP($Q18,武学奇术!$A:$ZZ,3,FALSE)+SUM(_xlfn.XLOOKUP($R18:$AK18,增益!$A:$A,增益!$C:$C,0))-$I$2</f>
        <v>4100.3171</v>
      </c>
      <c r="AT18" cm="1">
        <f t="array" ref="AT18">$E$10*(1+$AR18)+VLOOKUP($Q18,武学奇术!$A:$ZZ,4,FALSE)+SUM(_xlfn.XLOOKUP($R18:$AK18,增益!$A:$A,增益!$D:$D,0))-$I$2</f>
        <v>4100.3171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0.2825</v>
      </c>
      <c r="AV18" s="32" cm="1">
        <f t="array" ref="AV18">$G$10+VLOOKUP($Q18,武学奇术!$A:$ZZ,7,FALSE)+SUM(_xlfn.XLOOKUP($R18:$AK18,增益!$A:$A,增益!$G:$G,0))</f>
        <v>0</v>
      </c>
      <c r="AW18" s="24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2" cm="1">
        <f t="array" ref="BA18">$G$11+VLOOKUP($Q18,武学奇术!$A:$ZZ,10,FALSE)+SUM(_xlfn.XLOOKUP($R18:$AK18,增益!$A:$A,增益!$J:$J,0))</f>
        <v>0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-0.3</v>
      </c>
      <c r="BE18" s="32" cm="1">
        <f t="array" ref="BE18">$G$12+VLOOKUP($Q18,武学奇术!$A:$ZZ,12,FALSE)+SUM(_xlfn.XLOOKUP($R18:$AK18,增益!$A:$A,增益!$L:$L,0))</f>
        <v>0</v>
      </c>
      <c r="BF18">
        <f t="shared" si="5"/>
        <v>605.472</v>
      </c>
      <c r="BG18">
        <f t="shared" si="6"/>
        <v>1579.612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</v>
      </c>
      <c r="BI18" s="32" cm="1">
        <f t="array" ref="BI18">$G$13+VLOOKUP($Q18,武学奇术!$A:$ZZ,14,FALSE)+SUM(_xlfn.XLOOKUP($R18:$AK18,增益!$A:$A,增益!$N:$N,0))</f>
        <v>0.15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2" cm="1">
        <f t="array" ref="BM18">$G$14+VLOOKUP($Q18,武学奇术!$A:$ZZ,16,FALSE)+SUM(_xlfn.XLOOKUP($R18:$AK18,增益!$A:$A,增益!$P:$P,0))</f>
        <v>0</v>
      </c>
      <c r="BN18" s="24">
        <f>MIN(IF(VLOOKUP($Q18,武学奇术!$A:$ZZ,23,FALSE)=1,100%,$B$8),100%)</f>
        <v>1</v>
      </c>
      <c r="BO18" s="24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0.9093</v>
      </c>
      <c r="BP18" s="24" cm="1">
        <f t="array" ref="BP18">1+$B$13+VLOOKUP($Q18,武学奇术!$A:$ZZ,18,FALSE)+SUM(_xlfn.XLOOKUP($R18:$AK18,增益!$A:$A,增益!$R:$R,0))</f>
        <v>1.53</v>
      </c>
      <c r="BQ18" s="24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4" cm="1">
        <f t="array" ref="BR18">1+$B$14+VLOOKUP($Q18,武学奇术!$A:$ZZ,20,FALSE)+SUM(_xlfn.XLOOKUP($R18:$AK18,增益!$A:$A,增益!$T:$T,0))</f>
        <v>1.35</v>
      </c>
      <c r="BS18" s="24">
        <f t="shared" si="9"/>
        <v>0.9071</v>
      </c>
      <c r="BT18" s="24">
        <f t="shared" si="10"/>
        <v>0</v>
      </c>
      <c r="BU18" s="24">
        <f>IF(VLOOKUP($Q18,武学奇术!$A:$ZZ,22,FALSE)=1,0,(1-$BN18))*(1-$BQ18)</f>
        <v>0</v>
      </c>
      <c r="BV18" s="24" cm="1">
        <f t="array" ref="BV18">SUM(_xlfn.XLOOKUP($R18:$AK18,增益!$A:$A,增益!$W:$W,0))+$I$5</f>
        <v>0.06</v>
      </c>
    </row>
    <row r="19" spans="1:74">
      <c r="A19" s="41" t="s">
        <v>135</v>
      </c>
      <c r="B19" s="70">
        <v>0.2678</v>
      </c>
      <c r="C19" s="39" t="s">
        <v>136</v>
      </c>
      <c r="D19" s="79" t="s">
        <v>129</v>
      </c>
      <c r="K19" s="38">
        <f t="shared" si="0"/>
        <v>19793.1313294288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弹道",$B$21,0))*(1+$BV19)</f>
        <v>19825.1291377769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弹道",$B$21,0))*(1+$BV19)</f>
        <v>19480.6963245572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弹道",$B$21,0))*(1+$BV19)</f>
        <v>12957.600743645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弹道",$B$21,0))*(1+$BV19)</f>
        <v>11485.0560616921</v>
      </c>
      <c r="P19" s="39">
        <v>4</v>
      </c>
      <c r="Q19" s="40" t="s">
        <v>137</v>
      </c>
      <c r="R19" s="40" t="s">
        <v>93</v>
      </c>
      <c r="S19" s="40" t="s">
        <v>89</v>
      </c>
      <c r="T19" s="40" t="s">
        <v>78</v>
      </c>
      <c r="U19" s="40" t="s">
        <v>90</v>
      </c>
      <c r="V19" s="40" t="s">
        <v>78</v>
      </c>
      <c r="W19" s="40" t="s">
        <v>78</v>
      </c>
      <c r="X19" s="40" t="s">
        <v>78</v>
      </c>
      <c r="Y19" s="40" t="s">
        <v>78</v>
      </c>
      <c r="Z19" s="40" t="s">
        <v>78</v>
      </c>
      <c r="AA19" s="40" t="s">
        <v>79</v>
      </c>
      <c r="AB19" s="40" t="s">
        <v>84</v>
      </c>
      <c r="AC19" s="40" t="s">
        <v>78</v>
      </c>
      <c r="AD19" s="40" t="s">
        <v>78</v>
      </c>
      <c r="AE19" s="40" t="s">
        <v>138</v>
      </c>
      <c r="AF19" s="40" t="s">
        <v>117</v>
      </c>
      <c r="AG19" s="40" t="s">
        <v>78</v>
      </c>
      <c r="AH19" s="40" t="s">
        <v>78</v>
      </c>
      <c r="AI19" s="40" t="s">
        <v>78</v>
      </c>
      <c r="AJ19" s="40" t="s">
        <v>78</v>
      </c>
      <c r="AK19" s="40" t="s">
        <v>78</v>
      </c>
      <c r="AL19" t="str">
        <f>VLOOKUP($Q19,武学奇术!$A:$ZZ,25,FALSE)</f>
        <v>单体奇术</v>
      </c>
      <c r="AM19" s="24">
        <f>VLOOKUP($Q19,武学奇术!$A:$ZZ,26,FALSE)</f>
        <v>0.236</v>
      </c>
      <c r="AN19" s="25">
        <f>VLOOKUP($Q19,武学奇术!$A:$ZZ,27,FALSE)*(1+IF(OR($AL19=$F$4,$AL19=$F$5),$B$22,0))</f>
        <v>46</v>
      </c>
      <c r="AO19" s="24">
        <f>VLOOKUP($Q19,武学奇术!$A:$ZZ,28,FALSE)</f>
        <v>0.354</v>
      </c>
      <c r="AP19" s="25">
        <f>VLOOKUP($Q19,武学奇术!$A:$ZZ,29,FALSE)*(1+IF(OR($AL19=$F$4,$AL19=$F$5),$B$22,0))</f>
        <v>0</v>
      </c>
      <c r="AQ19" s="24" cm="1">
        <f t="array" ref="AQ19">$G$3+IFERROR(VLOOKUP($AL19,$F$4:$G$7,2,FALSE),0)+VLOOKUP($Q19,武学奇术!$A:$ZZ,2,FALSE)+SUM(_xlfn.XLOOKUP($R19:$AK19,增益!$A:$A,增益!$B:$B,0))</f>
        <v>0.7515</v>
      </c>
      <c r="AR19" s="24" cm="1">
        <f t="array" ref="AR19">VLOOKUP($Q19,武学奇术!$A:$ZZ,5,FALSE)+SUM(_xlfn.XLOOKUP($R19:$AK19,增益!$A:$A,增益!$E:$E,0))</f>
        <v>0.075</v>
      </c>
      <c r="AS19" cm="1">
        <f t="array" ref="AS19">$D$10*(1+$AR19)+VLOOKUP($Q19,武学奇术!$A:$ZZ,3,FALSE)+SUM(_xlfn.XLOOKUP($R19:$AK19,增益!$A:$A,增益!$C:$C,0))-$I$2</f>
        <v>4100.3171</v>
      </c>
      <c r="AT19" cm="1">
        <f t="array" ref="AT19">$E$10*(1+$AR19)+VLOOKUP($Q19,武学奇术!$A:$ZZ,4,FALSE)+SUM(_xlfn.XLOOKUP($R19:$AK19,增益!$A:$A,增益!$D:$D,0))-$I$2</f>
        <v>4100.3171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0.2825</v>
      </c>
      <c r="AV19" s="32" cm="1">
        <f t="array" ref="AV19">$G$10+VLOOKUP($Q19,武学奇术!$A:$ZZ,7,FALSE)+SUM(_xlfn.XLOOKUP($R19:$AK19,增益!$A:$A,增益!$G:$G,0))</f>
        <v>0</v>
      </c>
      <c r="AW19" s="24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2" cm="1">
        <f t="array" ref="BA19">$G$11+VLOOKUP($Q19,武学奇术!$A:$ZZ,10,FALSE)+SUM(_xlfn.XLOOKUP($R19:$AK19,增益!$A:$A,增益!$J:$J,0))</f>
        <v>0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-0.3</v>
      </c>
      <c r="BE19" s="32" cm="1">
        <f t="array" ref="BE19">$G$12+VLOOKUP($Q19,武学奇术!$A:$ZZ,12,FALSE)+SUM(_xlfn.XLOOKUP($R19:$AK19,增益!$A:$A,增益!$L:$L,0))</f>
        <v>0</v>
      </c>
      <c r="BF19">
        <f t="shared" si="5"/>
        <v>605.472</v>
      </c>
      <c r="BG19">
        <f t="shared" si="6"/>
        <v>1579.612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</v>
      </c>
      <c r="BI19" s="32" cm="1">
        <f t="array" ref="BI19">$G$13+VLOOKUP($Q19,武学奇术!$A:$ZZ,14,FALSE)+SUM(_xlfn.XLOOKUP($R19:$AK19,增益!$A:$A,增益!$N:$N,0))</f>
        <v>0.15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2" cm="1">
        <f t="array" ref="BM19">$G$14+VLOOKUP($Q19,武学奇术!$A:$ZZ,16,FALSE)+SUM(_xlfn.XLOOKUP($R19:$AK19,增益!$A:$A,增益!$P:$P,0))</f>
        <v>0</v>
      </c>
      <c r="BN19" s="24">
        <f>MIN(IF(VLOOKUP($Q19,武学奇术!$A:$ZZ,23,FALSE)=1,100%,$B$8),100%)</f>
        <v>1</v>
      </c>
      <c r="BO19" s="24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0.9093</v>
      </c>
      <c r="BP19" s="24" cm="1">
        <f t="array" ref="BP19">1+$B$13+VLOOKUP($Q19,武学奇术!$A:$ZZ,18,FALSE)+SUM(_xlfn.XLOOKUP($R19:$AK19,增益!$A:$A,增益!$R:$R,0))</f>
        <v>1.53</v>
      </c>
      <c r="BQ19" s="24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4" cm="1">
        <f t="array" ref="BR19">1+$B$14+VLOOKUP($Q19,武学奇术!$A:$ZZ,20,FALSE)+SUM(_xlfn.XLOOKUP($R19:$AK19,增益!$A:$A,增益!$T:$T,0))</f>
        <v>1.35</v>
      </c>
      <c r="BS19" s="24">
        <f t="shared" si="9"/>
        <v>0.9071</v>
      </c>
      <c r="BT19" s="24">
        <f t="shared" si="10"/>
        <v>0</v>
      </c>
      <c r="BU19" s="24">
        <f>IF(VLOOKUP($Q19,武学奇术!$A:$ZZ,22,FALSE)=1,0,(1-$BN19))*(1-$BQ19)</f>
        <v>0</v>
      </c>
      <c r="BV19" s="24" cm="1">
        <f t="array" ref="BV19">SUM(_xlfn.XLOOKUP($R19:$AK19,增益!$A:$A,增益!$W:$W,0))+$I$5</f>
        <v>0.06</v>
      </c>
    </row>
    <row r="20" spans="1:74">
      <c r="A20" s="41" t="s">
        <v>139</v>
      </c>
      <c r="B20" s="70">
        <v>0</v>
      </c>
      <c r="C20" s="39" t="s">
        <v>140</v>
      </c>
      <c r="D20" s="79" t="s">
        <v>129</v>
      </c>
      <c r="K20" s="38">
        <f t="shared" si="0"/>
        <v>10010.3533741963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弹道",$B$21,0))*(1+$BV20)</f>
        <v>10027.0766248378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弹道",$B$21,0))*(1+$BV20)</f>
        <v>9847.06316260383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弹道",$B$21,0))*(1+$BV20)</f>
        <v>6553.64485283516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弹道",$B$21,0))*(1+$BV20)</f>
        <v>5813.1688444823</v>
      </c>
      <c r="P20" s="39">
        <v>2</v>
      </c>
      <c r="Q20" s="40" t="s">
        <v>137</v>
      </c>
      <c r="R20" s="40" t="s">
        <v>97</v>
      </c>
      <c r="S20" s="40" t="s">
        <v>89</v>
      </c>
      <c r="T20" s="40" t="s">
        <v>78</v>
      </c>
      <c r="U20" s="40" t="s">
        <v>90</v>
      </c>
      <c r="V20" s="40" t="s">
        <v>78</v>
      </c>
      <c r="W20" s="40" t="s">
        <v>78</v>
      </c>
      <c r="X20" s="40" t="s">
        <v>78</v>
      </c>
      <c r="Y20" s="40" t="s">
        <v>78</v>
      </c>
      <c r="Z20" s="40" t="s">
        <v>78</v>
      </c>
      <c r="AA20" s="40" t="s">
        <v>79</v>
      </c>
      <c r="AB20" s="40" t="s">
        <v>84</v>
      </c>
      <c r="AC20" s="40" t="s">
        <v>78</v>
      </c>
      <c r="AD20" s="40" t="s">
        <v>78</v>
      </c>
      <c r="AE20" s="40" t="s">
        <v>138</v>
      </c>
      <c r="AF20" s="40" t="s">
        <v>117</v>
      </c>
      <c r="AG20" s="40" t="s">
        <v>78</v>
      </c>
      <c r="AH20" s="40" t="s">
        <v>78</v>
      </c>
      <c r="AI20" s="40" t="s">
        <v>78</v>
      </c>
      <c r="AJ20" s="40" t="s">
        <v>78</v>
      </c>
      <c r="AK20" s="40" t="s">
        <v>78</v>
      </c>
      <c r="AL20" t="str">
        <f>VLOOKUP($Q20,武学奇术!$A:$ZZ,25,FALSE)</f>
        <v>单体奇术</v>
      </c>
      <c r="AM20" s="24">
        <f>VLOOKUP($Q20,武学奇术!$A:$ZZ,26,FALSE)</f>
        <v>0.236</v>
      </c>
      <c r="AN20" s="25">
        <f>VLOOKUP($Q20,武学奇术!$A:$ZZ,27,FALSE)*(1+IF(OR($AL20=$F$4,$AL20=$F$5),$B$22,0))</f>
        <v>46</v>
      </c>
      <c r="AO20" s="24">
        <f>VLOOKUP($Q20,武学奇术!$A:$ZZ,28,FALSE)</f>
        <v>0.354</v>
      </c>
      <c r="AP20" s="25">
        <f>VLOOKUP($Q20,武学奇术!$A:$ZZ,29,FALSE)*(1+IF(OR($AL20=$F$4,$AL20=$F$5),$B$22,0))</f>
        <v>0</v>
      </c>
      <c r="AQ20" s="24" cm="1">
        <f t="array" ref="AQ20">$G$3+IFERROR(VLOOKUP($AL20,$F$4:$G$7,2,FALSE),0)+VLOOKUP($Q20,武学奇术!$A:$ZZ,2,FALSE)+SUM(_xlfn.XLOOKUP($R20:$AK20,增益!$A:$A,增益!$B:$B,0))</f>
        <v>0.7615</v>
      </c>
      <c r="AR20" s="24" cm="1">
        <f t="array" ref="AR20">VLOOKUP($Q20,武学奇术!$A:$ZZ,5,FALSE)+SUM(_xlfn.XLOOKUP($R20:$AK20,增益!$A:$A,增益!$E:$E,0))</f>
        <v>0.075</v>
      </c>
      <c r="AS20" cm="1">
        <f t="array" ref="AS20">$D$10*(1+$AR20)+VLOOKUP($Q20,武学奇术!$A:$ZZ,3,FALSE)+SUM(_xlfn.XLOOKUP($R20:$AK20,增益!$A:$A,增益!$C:$C,0))-$I$2</f>
        <v>4100.3171</v>
      </c>
      <c r="AT20" cm="1">
        <f t="array" ref="AT20">$E$10*(1+$AR20)+VLOOKUP($Q20,武学奇术!$A:$ZZ,4,FALSE)+SUM(_xlfn.XLOOKUP($R20:$AK20,增益!$A:$A,增益!$D:$D,0))-$I$2</f>
        <v>4100.3171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0.2925</v>
      </c>
      <c r="AV20" s="32" cm="1">
        <f t="array" ref="AV20">$G$10+VLOOKUP($Q20,武学奇术!$A:$ZZ,7,FALSE)+SUM(_xlfn.XLOOKUP($R20:$AK20,增益!$A:$A,增益!$G:$G,0))</f>
        <v>0</v>
      </c>
      <c r="AW20" s="24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2" cm="1">
        <f t="array" ref="BA20">$G$11+VLOOKUP($Q20,武学奇术!$A:$ZZ,10,FALSE)+SUM(_xlfn.XLOOKUP($R20:$AK20,增益!$A:$A,增益!$J:$J,0))</f>
        <v>0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-0.3</v>
      </c>
      <c r="BE20" s="32" cm="1">
        <f t="array" ref="BE20">$G$12+VLOOKUP($Q20,武学奇术!$A:$ZZ,12,FALSE)+SUM(_xlfn.XLOOKUP($R20:$AK20,增益!$A:$A,增益!$L:$L,0))</f>
        <v>0</v>
      </c>
      <c r="BF20">
        <f t="shared" si="5"/>
        <v>605.472</v>
      </c>
      <c r="BG20">
        <f t="shared" si="6"/>
        <v>1579.612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</v>
      </c>
      <c r="BI20" s="32" cm="1">
        <f t="array" ref="BI20">$G$13+VLOOKUP($Q20,武学奇术!$A:$ZZ,14,FALSE)+SUM(_xlfn.XLOOKUP($R20:$AK20,增益!$A:$A,增益!$N:$N,0))</f>
        <v>0.15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2" cm="1">
        <f t="array" ref="BM20">$G$14+VLOOKUP($Q20,武学奇术!$A:$ZZ,16,FALSE)+SUM(_xlfn.XLOOKUP($R20:$AK20,增益!$A:$A,增益!$P:$P,0))</f>
        <v>0</v>
      </c>
      <c r="BN20" s="24">
        <f>MIN(IF(VLOOKUP($Q20,武学奇术!$A:$ZZ,23,FALSE)=1,100%,$B$8),100%)</f>
        <v>1</v>
      </c>
      <c r="BO20" s="24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0.9093</v>
      </c>
      <c r="BP20" s="24" cm="1">
        <f t="array" ref="BP20">1+$B$13+VLOOKUP($Q20,武学奇术!$A:$ZZ,18,FALSE)+SUM(_xlfn.XLOOKUP($R20:$AK20,增益!$A:$A,增益!$R:$R,0))</f>
        <v>1.53</v>
      </c>
      <c r="BQ20" s="24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4" cm="1">
        <f t="array" ref="BR20">1+$B$14+VLOOKUP($Q20,武学奇术!$A:$ZZ,20,FALSE)+SUM(_xlfn.XLOOKUP($R20:$AK20,增益!$A:$A,增益!$T:$T,0))</f>
        <v>1.35</v>
      </c>
      <c r="BS20" s="24">
        <f t="shared" si="9"/>
        <v>0.9071</v>
      </c>
      <c r="BT20" s="24">
        <f t="shared" si="10"/>
        <v>0</v>
      </c>
      <c r="BU20" s="24">
        <f>IF(VLOOKUP($Q20,武学奇术!$A:$ZZ,22,FALSE)=1,0,(1-$BN20))*(1-$BQ20)</f>
        <v>0</v>
      </c>
      <c r="BV20" s="24" cm="1">
        <f t="array" ref="BV20">SUM(_xlfn.XLOOKUP($R20:$AK20,增益!$A:$A,增益!$W:$W,0))+$I$5</f>
        <v>0.06</v>
      </c>
    </row>
    <row r="21" ht="14.25" spans="1:74">
      <c r="A21" s="85" t="s">
        <v>141</v>
      </c>
      <c r="B21" s="91">
        <v>0.32</v>
      </c>
      <c r="C21" s="39" t="s">
        <v>142</v>
      </c>
      <c r="D21" s="79" t="s">
        <v>129</v>
      </c>
      <c r="E21" s="39" t="s">
        <v>143</v>
      </c>
      <c r="F21" s="39"/>
      <c r="K21" s="38">
        <f t="shared" si="0"/>
        <v>30209.404459969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弹道",$B$21,0))*(1+$BV21)</f>
        <v>30277.8392200985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弹道",$B$21,0))*(1+$BV21)</f>
        <v>29541.1894878115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弹道",$B$21,0))*(1+$BV21)</f>
        <v>19660.9345585055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弹道",$B$21,0))*(1+$BV21)</f>
        <v>17439.5065334469</v>
      </c>
      <c r="P21" s="39">
        <v>6</v>
      </c>
      <c r="Q21" s="40" t="s">
        <v>137</v>
      </c>
      <c r="R21" s="40" t="s">
        <v>97</v>
      </c>
      <c r="S21" s="40" t="s">
        <v>94</v>
      </c>
      <c r="T21" s="40" t="s">
        <v>78</v>
      </c>
      <c r="U21" s="40" t="s">
        <v>90</v>
      </c>
      <c r="V21" s="40" t="s">
        <v>78</v>
      </c>
      <c r="W21" s="40" t="s">
        <v>78</v>
      </c>
      <c r="X21" s="40" t="s">
        <v>78</v>
      </c>
      <c r="Y21" s="40" t="s">
        <v>78</v>
      </c>
      <c r="Z21" s="40" t="s">
        <v>78</v>
      </c>
      <c r="AA21" s="40" t="s">
        <v>79</v>
      </c>
      <c r="AB21" s="40" t="s">
        <v>84</v>
      </c>
      <c r="AC21" s="40" t="s">
        <v>78</v>
      </c>
      <c r="AD21" s="40" t="s">
        <v>78</v>
      </c>
      <c r="AE21" s="40" t="s">
        <v>138</v>
      </c>
      <c r="AF21" s="40" t="s">
        <v>117</v>
      </c>
      <c r="AG21" s="40" t="s">
        <v>78</v>
      </c>
      <c r="AH21" s="40" t="s">
        <v>78</v>
      </c>
      <c r="AI21" s="40" t="s">
        <v>78</v>
      </c>
      <c r="AJ21" s="40" t="s">
        <v>78</v>
      </c>
      <c r="AK21" s="40" t="s">
        <v>78</v>
      </c>
      <c r="AL21" t="str">
        <f>VLOOKUP($Q21,武学奇术!$A:$ZZ,25,FALSE)</f>
        <v>单体奇术</v>
      </c>
      <c r="AM21" s="24">
        <f>VLOOKUP($Q21,武学奇术!$A:$ZZ,26,FALSE)</f>
        <v>0.236</v>
      </c>
      <c r="AN21" s="25">
        <f>VLOOKUP($Q21,武学奇术!$A:$ZZ,27,FALSE)*(1+IF(OR($AL21=$F$4,$AL21=$F$5),$B$22,0))</f>
        <v>46</v>
      </c>
      <c r="AO21" s="24">
        <f>VLOOKUP($Q21,武学奇术!$A:$ZZ,28,FALSE)</f>
        <v>0.354</v>
      </c>
      <c r="AP21" s="25">
        <f>VLOOKUP($Q21,武学奇术!$A:$ZZ,29,FALSE)*(1+IF(OR($AL21=$F$4,$AL21=$F$5),$B$22,0))</f>
        <v>0</v>
      </c>
      <c r="AQ21" s="24" cm="1">
        <f t="array" ref="AQ21">$G$3+IFERROR(VLOOKUP($AL21,$F$4:$G$7,2,FALSE),0)+VLOOKUP($Q21,武学奇术!$A:$ZZ,2,FALSE)+SUM(_xlfn.XLOOKUP($R21:$AK21,增益!$A:$A,增益!$B:$B,0))</f>
        <v>0.7615</v>
      </c>
      <c r="AR21" s="24" cm="1">
        <f t="array" ref="AR21">VLOOKUP($Q21,武学奇术!$A:$ZZ,5,FALSE)+SUM(_xlfn.XLOOKUP($R21:$AK21,增益!$A:$A,增益!$E:$E,0))</f>
        <v>0.075</v>
      </c>
      <c r="AS21" cm="1">
        <f t="array" ref="AS21">$D$10*(1+$AR21)+VLOOKUP($Q21,武学奇术!$A:$ZZ,3,FALSE)+SUM(_xlfn.XLOOKUP($R21:$AK21,增益!$A:$A,增益!$C:$C,0))-$I$2</f>
        <v>4100.3171</v>
      </c>
      <c r="AT21" cm="1">
        <f t="array" ref="AT21">$E$10*(1+$AR21)+VLOOKUP($Q21,武学奇术!$A:$ZZ,4,FALSE)+SUM(_xlfn.XLOOKUP($R21:$AK21,增益!$A:$A,增益!$D:$D,0))-$I$2</f>
        <v>4100.3171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0.2925</v>
      </c>
      <c r="AV21" s="32" cm="1">
        <f t="array" ref="AV21">$G$10+VLOOKUP($Q21,武学奇术!$A:$ZZ,7,FALSE)+SUM(_xlfn.XLOOKUP($R21:$AK21,增益!$A:$A,增益!$G:$G,0))</f>
        <v>0</v>
      </c>
      <c r="AW21" s="24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2" cm="1">
        <f t="array" ref="BA21">$G$11+VLOOKUP($Q21,武学奇术!$A:$ZZ,10,FALSE)+SUM(_xlfn.XLOOKUP($R21:$AK21,增益!$A:$A,增益!$J:$J,0))</f>
        <v>0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-0.3</v>
      </c>
      <c r="BE21" s="32" cm="1">
        <f t="array" ref="BE21">$G$12+VLOOKUP($Q21,武学奇术!$A:$ZZ,12,FALSE)+SUM(_xlfn.XLOOKUP($R21:$AK21,增益!$A:$A,增益!$L:$L,0))</f>
        <v>0</v>
      </c>
      <c r="BF21">
        <f t="shared" si="5"/>
        <v>605.472</v>
      </c>
      <c r="BG21">
        <f t="shared" si="6"/>
        <v>1579.612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</v>
      </c>
      <c r="BI21" s="32" cm="1">
        <f t="array" ref="BI21">$G$13+VLOOKUP($Q21,武学奇术!$A:$ZZ,14,FALSE)+SUM(_xlfn.XLOOKUP($R21:$AK21,增益!$A:$A,增益!$N:$N,0))</f>
        <v>0.15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2" cm="1">
        <f t="array" ref="BM21">$G$14+VLOOKUP($Q21,武学奇术!$A:$ZZ,16,FALSE)+SUM(_xlfn.XLOOKUP($R21:$AK21,增益!$A:$A,增益!$P:$P,0))</f>
        <v>0</v>
      </c>
      <c r="BN21" s="24">
        <f>MIN(IF(VLOOKUP($Q21,武学奇术!$A:$ZZ,23,FALSE)=1,100%,$B$8),100%)</f>
        <v>1</v>
      </c>
      <c r="BO21" s="24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0.9093</v>
      </c>
      <c r="BP21" s="24" cm="1">
        <f t="array" ref="BP21">1+$B$13+VLOOKUP($Q21,武学奇术!$A:$ZZ,18,FALSE)+SUM(_xlfn.XLOOKUP($R21:$AK21,增益!$A:$A,增益!$R:$R,0))</f>
        <v>1.54</v>
      </c>
      <c r="BQ21" s="24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4" cm="1">
        <f t="array" ref="BR21">1+$B$14+VLOOKUP($Q21,武学奇术!$A:$ZZ,20,FALSE)+SUM(_xlfn.XLOOKUP($R21:$AK21,增益!$A:$A,增益!$T:$T,0))</f>
        <v>1.35</v>
      </c>
      <c r="BS21" s="24">
        <f t="shared" si="9"/>
        <v>0.9071</v>
      </c>
      <c r="BT21" s="24">
        <f t="shared" si="10"/>
        <v>0</v>
      </c>
      <c r="BU21" s="24">
        <f>IF(VLOOKUP($Q21,武学奇术!$A:$ZZ,22,FALSE)=1,0,(1-$BN21))*(1-$BQ21)</f>
        <v>0</v>
      </c>
      <c r="BV21" s="24" cm="1">
        <f t="array" ref="BV21">SUM(_xlfn.XLOOKUP($R21:$AK21,增益!$A:$A,增益!$W:$W,0))+$I$5</f>
        <v>0.06</v>
      </c>
    </row>
    <row r="22" spans="1:74">
      <c r="A22" t="s">
        <v>144</v>
      </c>
      <c r="B22" s="27">
        <v>0.5</v>
      </c>
      <c r="C22" s="39" t="s">
        <v>145</v>
      </c>
      <c r="D22" s="79" t="s">
        <v>129</v>
      </c>
      <c r="E22" s="40" t="s">
        <v>146</v>
      </c>
      <c r="F22" s="40"/>
      <c r="K22" s="38">
        <f t="shared" si="0"/>
        <v>10129.2495991164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弹道",$B$21,0))*(1+$BV22)</f>
        <v>10158.1495218945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弹道",$B$21,0))*(1+$BV22)</f>
        <v>9847.06316260383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弹道",$B$21,0))*(1+$BV22)</f>
        <v>6553.64485283516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弹道",$B$21,0))*(1+$BV22)</f>
        <v>5813.1688444823</v>
      </c>
      <c r="P22" s="39">
        <v>2</v>
      </c>
      <c r="Q22" s="40" t="s">
        <v>137</v>
      </c>
      <c r="R22" s="40" t="s">
        <v>97</v>
      </c>
      <c r="S22" s="40" t="s">
        <v>98</v>
      </c>
      <c r="T22" s="40" t="s">
        <v>78</v>
      </c>
      <c r="U22" s="40" t="s">
        <v>90</v>
      </c>
      <c r="V22" s="40" t="s">
        <v>78</v>
      </c>
      <c r="W22" s="40" t="s">
        <v>78</v>
      </c>
      <c r="X22" s="40" t="s">
        <v>78</v>
      </c>
      <c r="Y22" s="40" t="s">
        <v>78</v>
      </c>
      <c r="Z22" s="40" t="s">
        <v>78</v>
      </c>
      <c r="AA22" s="40" t="s">
        <v>79</v>
      </c>
      <c r="AB22" s="40" t="s">
        <v>84</v>
      </c>
      <c r="AC22" s="40" t="s">
        <v>78</v>
      </c>
      <c r="AD22" s="40" t="s">
        <v>78</v>
      </c>
      <c r="AE22" s="40" t="s">
        <v>138</v>
      </c>
      <c r="AF22" s="40" t="s">
        <v>117</v>
      </c>
      <c r="AG22" s="40" t="s">
        <v>78</v>
      </c>
      <c r="AH22" s="40" t="s">
        <v>78</v>
      </c>
      <c r="AI22" s="40" t="s">
        <v>78</v>
      </c>
      <c r="AJ22" s="40" t="s">
        <v>78</v>
      </c>
      <c r="AK22" s="40" t="s">
        <v>78</v>
      </c>
      <c r="AL22" t="str">
        <f>VLOOKUP($Q22,武学奇术!$A:$ZZ,25,FALSE)</f>
        <v>单体奇术</v>
      </c>
      <c r="AM22" s="24">
        <f>VLOOKUP($Q22,武学奇术!$A:$ZZ,26,FALSE)</f>
        <v>0.236</v>
      </c>
      <c r="AN22" s="25">
        <f>VLOOKUP($Q22,武学奇术!$A:$ZZ,27,FALSE)*(1+IF(OR($AL22=$F$4,$AL22=$F$5),$B$22,0))</f>
        <v>46</v>
      </c>
      <c r="AO22" s="24">
        <f>VLOOKUP($Q22,武学奇术!$A:$ZZ,28,FALSE)</f>
        <v>0.354</v>
      </c>
      <c r="AP22" s="25">
        <f>VLOOKUP($Q22,武学奇术!$A:$ZZ,29,FALSE)*(1+IF(OR($AL22=$F$4,$AL22=$F$5),$B$22,0))</f>
        <v>0</v>
      </c>
      <c r="AQ22" s="24" cm="1">
        <f t="array" ref="AQ22">$G$3+IFERROR(VLOOKUP($AL22,$F$4:$G$7,2,FALSE),0)+VLOOKUP($Q22,武学奇术!$A:$ZZ,2,FALSE)+SUM(_xlfn.XLOOKUP($R22:$AK22,增益!$A:$A,增益!$B:$B,0))</f>
        <v>0.7615</v>
      </c>
      <c r="AR22" s="24" cm="1">
        <f t="array" ref="AR22">VLOOKUP($Q22,武学奇术!$A:$ZZ,5,FALSE)+SUM(_xlfn.XLOOKUP($R22:$AK22,增益!$A:$A,增益!$E:$E,0))</f>
        <v>0.075</v>
      </c>
      <c r="AS22" cm="1">
        <f t="array" ref="AS22">$D$10*(1+$AR22)+VLOOKUP($Q22,武学奇术!$A:$ZZ,3,FALSE)+SUM(_xlfn.XLOOKUP($R22:$AK22,增益!$A:$A,增益!$C:$C,0))-$I$2</f>
        <v>4100.3171</v>
      </c>
      <c r="AT22" cm="1">
        <f t="array" ref="AT22">$E$10*(1+$AR22)+VLOOKUP($Q22,武学奇术!$A:$ZZ,4,FALSE)+SUM(_xlfn.XLOOKUP($R22:$AK22,增益!$A:$A,增益!$D:$D,0))-$I$2</f>
        <v>4100.3171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0.2925</v>
      </c>
      <c r="AV22" s="32" cm="1">
        <f t="array" ref="AV22">$G$10+VLOOKUP($Q22,武学奇术!$A:$ZZ,7,FALSE)+SUM(_xlfn.XLOOKUP($R22:$AK22,增益!$A:$A,增益!$G:$G,0))</f>
        <v>0</v>
      </c>
      <c r="AW22" s="24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2" cm="1">
        <f t="array" ref="BA22">$G$11+VLOOKUP($Q22,武学奇术!$A:$ZZ,10,FALSE)+SUM(_xlfn.XLOOKUP($R22:$AK22,增益!$A:$A,增益!$J:$J,0))</f>
        <v>0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2" cm="1">
        <f t="array" ref="BE22">$G$12+VLOOKUP($Q22,武学奇术!$A:$ZZ,12,FALSE)+SUM(_xlfn.XLOOKUP($R22:$AK22,增益!$A:$A,增益!$L:$L,0))</f>
        <v>0</v>
      </c>
      <c r="BF22">
        <f t="shared" si="5"/>
        <v>605.472</v>
      </c>
      <c r="BG22">
        <f t="shared" si="6"/>
        <v>1579.612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2" cm="1">
        <f t="array" ref="BI22">$G$13+VLOOKUP($Q22,武学奇术!$A:$ZZ,14,FALSE)+SUM(_xlfn.XLOOKUP($R22:$AK22,增益!$A:$A,增益!$N:$N,0))</f>
        <v>0.15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2" cm="1">
        <f t="array" ref="BM22">$G$14+VLOOKUP($Q22,武学奇术!$A:$ZZ,16,FALSE)+SUM(_xlfn.XLOOKUP($R22:$AK22,增益!$A:$A,增益!$P:$P,0))</f>
        <v>0</v>
      </c>
      <c r="BN22" s="24">
        <f>MIN(IF(VLOOKUP($Q22,武学奇术!$A:$ZZ,23,FALSE)=1,100%,$B$8),100%)</f>
        <v>1</v>
      </c>
      <c r="BO22" s="24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0.9093</v>
      </c>
      <c r="BP22" s="24" cm="1">
        <f t="array" ref="BP22">1+$B$13+VLOOKUP($Q22,武学奇术!$A:$ZZ,18,FALSE)+SUM(_xlfn.XLOOKUP($R22:$AK22,增益!$A:$A,增益!$R:$R,0))</f>
        <v>1.55</v>
      </c>
      <c r="BQ22" s="24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4" cm="1">
        <f t="array" ref="BR22">1+$B$14+VLOOKUP($Q22,武学奇术!$A:$ZZ,20,FALSE)+SUM(_xlfn.XLOOKUP($R22:$AK22,增益!$A:$A,增益!$T:$T,0))</f>
        <v>1.35</v>
      </c>
      <c r="BS22" s="24">
        <f t="shared" si="9"/>
        <v>0.9071</v>
      </c>
      <c r="BT22" s="24">
        <f t="shared" si="10"/>
        <v>0</v>
      </c>
      <c r="BU22" s="24">
        <f>IF(VLOOKUP($Q22,武学奇术!$A:$ZZ,22,FALSE)=1,0,(1-$BN22))*(1-$BQ22)</f>
        <v>0</v>
      </c>
      <c r="BV22" s="24" cm="1">
        <f t="array" ref="BV22">SUM(_xlfn.XLOOKUP($R22:$AK22,增益!$A:$A,增益!$W:$W,0))+$I$5</f>
        <v>0.06</v>
      </c>
    </row>
    <row r="23" spans="1:74">
      <c r="A23" s="39" t="s">
        <v>147</v>
      </c>
      <c r="B23">
        <v>200</v>
      </c>
      <c r="C23" s="39" t="s">
        <v>148</v>
      </c>
      <c r="D23" s="79" t="s">
        <v>124</v>
      </c>
      <c r="E23" s="39" t="s">
        <v>149</v>
      </c>
      <c r="F23" s="40" t="s">
        <v>150</v>
      </c>
      <c r="K23" s="38">
        <f t="shared" si="0"/>
        <v>24612.1388525178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弹道",$B$21,0))*(1+$BV23)</f>
        <v>25009.3563687837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弹道",$B$21,0))*(1+$BV23)</f>
        <v>20733.6026953079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弹道",$B$21,0))*(1+$BV23)</f>
        <v>13894.0868715465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弹道",$B$21,0))*(1+$BV23)</f>
        <v>12429.9495243464</v>
      </c>
      <c r="P23" s="39">
        <v>4</v>
      </c>
      <c r="Q23" s="40" t="s">
        <v>137</v>
      </c>
      <c r="R23" s="40" t="s">
        <v>97</v>
      </c>
      <c r="S23" s="40" t="s">
        <v>98</v>
      </c>
      <c r="T23" s="40" t="s">
        <v>78</v>
      </c>
      <c r="U23" s="40" t="s">
        <v>90</v>
      </c>
      <c r="V23" s="40" t="s">
        <v>78</v>
      </c>
      <c r="W23" s="40" t="s">
        <v>78</v>
      </c>
      <c r="X23" s="40" t="s">
        <v>78</v>
      </c>
      <c r="Y23" s="40" t="s">
        <v>151</v>
      </c>
      <c r="Z23" s="40" t="s">
        <v>78</v>
      </c>
      <c r="AA23" s="40" t="s">
        <v>78</v>
      </c>
      <c r="AB23" s="40" t="s">
        <v>84</v>
      </c>
      <c r="AC23" s="40" t="s">
        <v>78</v>
      </c>
      <c r="AD23" s="40" t="s">
        <v>78</v>
      </c>
      <c r="AE23" s="40" t="s">
        <v>138</v>
      </c>
      <c r="AF23" s="40" t="s">
        <v>117</v>
      </c>
      <c r="AG23" s="40" t="s">
        <v>78</v>
      </c>
      <c r="AH23" s="40" t="s">
        <v>78</v>
      </c>
      <c r="AI23" s="40" t="s">
        <v>78</v>
      </c>
      <c r="AJ23" s="40" t="s">
        <v>78</v>
      </c>
      <c r="AK23" s="40" t="s">
        <v>78</v>
      </c>
      <c r="AL23" t="str">
        <f>VLOOKUP($Q23,武学奇术!$A:$ZZ,25,FALSE)</f>
        <v>单体奇术</v>
      </c>
      <c r="AM23" s="24">
        <f>VLOOKUP($Q23,武学奇术!$A:$ZZ,26,FALSE)</f>
        <v>0.236</v>
      </c>
      <c r="AN23" s="25">
        <f>VLOOKUP($Q23,武学奇术!$A:$ZZ,27,FALSE)*(1+IF(OR($AL23=$F$4,$AL23=$F$5),$B$22,0))</f>
        <v>46</v>
      </c>
      <c r="AO23" s="24">
        <f>VLOOKUP($Q23,武学奇术!$A:$ZZ,28,FALSE)</f>
        <v>0.354</v>
      </c>
      <c r="AP23" s="25">
        <f>VLOOKUP($Q23,武学奇术!$A:$ZZ,29,FALSE)*(1+IF(OR($AL23=$F$4,$AL23=$F$5),$B$22,0))</f>
        <v>0</v>
      </c>
      <c r="AQ23" s="24" cm="1">
        <f t="array" ref="AQ23">$G$3+IFERROR(VLOOKUP($AL23,$F$4:$G$7,2,FALSE),0)+VLOOKUP($Q23,武学奇术!$A:$ZZ,2,FALSE)+SUM(_xlfn.XLOOKUP($R23:$AK23,增益!$A:$A,增益!$B:$B,0))</f>
        <v>0.7415</v>
      </c>
      <c r="AR23" s="24" cm="1">
        <f t="array" ref="AR23">VLOOKUP($Q23,武学奇术!$A:$ZZ,5,FALSE)+SUM(_xlfn.XLOOKUP($R23:$AK23,增益!$A:$A,增益!$E:$E,0))</f>
        <v>0.075</v>
      </c>
      <c r="AS23" cm="1">
        <f t="array" ref="AS23">$D$10*(1+$AR23)+VLOOKUP($Q23,武学奇术!$A:$ZZ,3,FALSE)+SUM(_xlfn.XLOOKUP($R23:$AK23,增益!$A:$A,增益!$C:$C,0))-$I$2</f>
        <v>4100.3171</v>
      </c>
      <c r="AT23" cm="1">
        <f t="array" ref="AT23">$E$10*(1+$AR23)+VLOOKUP($Q23,武学奇术!$A:$ZZ,4,FALSE)+SUM(_xlfn.XLOOKUP($R23:$AK23,增益!$A:$A,增益!$D:$D,0))-$I$2</f>
        <v>4100.3171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0.4175</v>
      </c>
      <c r="AV23" s="32" cm="1">
        <f t="array" ref="AV23">$G$10+VLOOKUP($Q23,武学奇术!$A:$ZZ,7,FALSE)+SUM(_xlfn.XLOOKUP($R23:$AK23,增益!$A:$A,增益!$G:$G,0))</f>
        <v>0</v>
      </c>
      <c r="AW23" s="24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2" cm="1">
        <f t="array" ref="BA23">$G$11+VLOOKUP($Q23,武学奇术!$A:$ZZ,10,FALSE)+SUM(_xlfn.XLOOKUP($R23:$AK23,增益!$A:$A,增益!$J:$J,0))</f>
        <v>0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2" cm="1">
        <f t="array" ref="BE23">$G$12+VLOOKUP($Q23,武学奇术!$A:$ZZ,12,FALSE)+SUM(_xlfn.XLOOKUP($R23:$AK23,增益!$A:$A,增益!$L:$L,0))</f>
        <v>0</v>
      </c>
      <c r="BF23">
        <f t="shared" si="5"/>
        <v>605.472</v>
      </c>
      <c r="BG23">
        <f t="shared" si="6"/>
        <v>1579.612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2" cm="1">
        <f t="array" ref="BI23">$G$13+VLOOKUP($Q23,武学奇术!$A:$ZZ,14,FALSE)+SUM(_xlfn.XLOOKUP($R23:$AK23,增益!$A:$A,增益!$N:$N,0))</f>
        <v>0.15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2" cm="1">
        <f t="array" ref="BM23">$G$14+VLOOKUP($Q23,武学奇术!$A:$ZZ,16,FALSE)+SUM(_xlfn.XLOOKUP($R23:$AK23,增益!$A:$A,增益!$P:$P,0))</f>
        <v>0</v>
      </c>
      <c r="BN23" s="24">
        <f>MIN(IF(VLOOKUP($Q23,武学奇术!$A:$ZZ,23,FALSE)=1,100%,$B$8),100%)</f>
        <v>1</v>
      </c>
      <c r="BO23" s="24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0.9093</v>
      </c>
      <c r="BP23" s="24" cm="1">
        <f t="array" ref="BP23">1+$B$13+VLOOKUP($Q23,武学奇术!$A:$ZZ,18,FALSE)+SUM(_xlfn.XLOOKUP($R23:$AK23,增益!$A:$A,增益!$R:$R,0))</f>
        <v>1.8</v>
      </c>
      <c r="BQ23" s="24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4" cm="1">
        <f t="array" ref="BR23">1+$B$14+VLOOKUP($Q23,武学奇术!$A:$ZZ,20,FALSE)+SUM(_xlfn.XLOOKUP($R23:$AK23,增益!$A:$A,增益!$T:$T,0))</f>
        <v>1.35</v>
      </c>
      <c r="BS23" s="24">
        <f t="shared" si="9"/>
        <v>0.9071</v>
      </c>
      <c r="BT23" s="24">
        <f t="shared" si="10"/>
        <v>0</v>
      </c>
      <c r="BU23" s="24">
        <f>IF(VLOOKUP($Q23,武学奇术!$A:$ZZ,22,FALSE)=1,0,(1-$BN23))*(1-$BQ23)</f>
        <v>0</v>
      </c>
      <c r="BV23" s="24" cm="1">
        <f t="array" ref="BV23">SUM(_xlfn.XLOOKUP($R23:$AK23,增益!$A:$A,增益!$W:$W,0))+$I$5</f>
        <v>0.06</v>
      </c>
    </row>
    <row r="24" spans="1:74">
      <c r="A24" s="39"/>
      <c r="B24">
        <v>400</v>
      </c>
      <c r="E24" s="39"/>
      <c r="F24" s="40"/>
      <c r="K24" s="38">
        <f t="shared" si="0"/>
        <v>12369.0860572648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弹道",$B$21,0))*(1+$BV24)</f>
        <v>12574.1486187496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弹道",$B$21,0))*(1+$BV24)</f>
        <v>10366.801347654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弹道",$B$21,0))*(1+$BV24)</f>
        <v>6947.04343577324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弹道",$B$21,0))*(1+$BV24)</f>
        <v>6214.97476217318</v>
      </c>
      <c r="P24" s="39">
        <v>2</v>
      </c>
      <c r="Q24" s="40" t="s">
        <v>137</v>
      </c>
      <c r="R24" s="40" t="s">
        <v>97</v>
      </c>
      <c r="S24" s="40" t="s">
        <v>152</v>
      </c>
      <c r="T24" s="40" t="s">
        <v>78</v>
      </c>
      <c r="U24" s="40" t="s">
        <v>90</v>
      </c>
      <c r="V24" s="40" t="s">
        <v>78</v>
      </c>
      <c r="W24" s="40" t="s">
        <v>78</v>
      </c>
      <c r="X24" s="40" t="s">
        <v>78</v>
      </c>
      <c r="Y24" s="40" t="s">
        <v>151</v>
      </c>
      <c r="Z24" s="40" t="s">
        <v>78</v>
      </c>
      <c r="AA24" s="40" t="s">
        <v>78</v>
      </c>
      <c r="AB24" s="40" t="s">
        <v>84</v>
      </c>
      <c r="AC24" s="40" t="s">
        <v>78</v>
      </c>
      <c r="AD24" s="40" t="s">
        <v>78</v>
      </c>
      <c r="AE24" s="40" t="s">
        <v>138</v>
      </c>
      <c r="AF24" s="40" t="s">
        <v>117</v>
      </c>
      <c r="AG24" s="40" t="s">
        <v>78</v>
      </c>
      <c r="AH24" s="40" t="s">
        <v>78</v>
      </c>
      <c r="AI24" s="40" t="s">
        <v>78</v>
      </c>
      <c r="AJ24" s="40" t="s">
        <v>78</v>
      </c>
      <c r="AK24" s="40" t="s">
        <v>78</v>
      </c>
      <c r="AL24" t="str">
        <f>VLOOKUP($Q24,武学奇术!$A:$ZZ,25,FALSE)</f>
        <v>单体奇术</v>
      </c>
      <c r="AM24" s="24">
        <f>VLOOKUP($Q24,武学奇术!$A:$ZZ,26,FALSE)</f>
        <v>0.236</v>
      </c>
      <c r="AN24" s="25">
        <f>VLOOKUP($Q24,武学奇术!$A:$ZZ,27,FALSE)*(1+IF(OR($AL24=$F$4,$AL24=$F$5),$B$22,0))</f>
        <v>46</v>
      </c>
      <c r="AO24" s="24">
        <f>VLOOKUP($Q24,武学奇术!$A:$ZZ,28,FALSE)</f>
        <v>0.354</v>
      </c>
      <c r="AP24" s="25">
        <f>VLOOKUP($Q24,武学奇术!$A:$ZZ,29,FALSE)*(1+IF(OR($AL24=$F$4,$AL24=$F$5),$B$22,0))</f>
        <v>0</v>
      </c>
      <c r="AQ24" s="24" cm="1">
        <f t="array" ref="AQ24">$G$3+IFERROR(VLOOKUP($AL24,$F$4:$G$7,2,FALSE),0)+VLOOKUP($Q24,武学奇术!$A:$ZZ,2,FALSE)+SUM(_xlfn.XLOOKUP($R24:$AK24,增益!$A:$A,增益!$B:$B,0))</f>
        <v>0.7415</v>
      </c>
      <c r="AR24" s="24" cm="1">
        <f t="array" ref="AR24">VLOOKUP($Q24,武学奇术!$A:$ZZ,5,FALSE)+SUM(_xlfn.XLOOKUP($R24:$AK24,增益!$A:$A,增益!$E:$E,0))</f>
        <v>0.075</v>
      </c>
      <c r="AS24" cm="1">
        <f t="array" ref="AS24">$D$10*(1+$AR24)+VLOOKUP($Q24,武学奇术!$A:$ZZ,3,FALSE)+SUM(_xlfn.XLOOKUP($R24:$AK24,增益!$A:$A,增益!$C:$C,0))-$I$2</f>
        <v>4100.3171</v>
      </c>
      <c r="AT24" cm="1">
        <f t="array" ref="AT24">$E$10*(1+$AR24)+VLOOKUP($Q24,武学奇术!$A:$ZZ,4,FALSE)+SUM(_xlfn.XLOOKUP($R24:$AK24,增益!$A:$A,增益!$D:$D,0))-$I$2</f>
        <v>4100.3171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0.4175</v>
      </c>
      <c r="AV24" s="32" cm="1">
        <f t="array" ref="AV24">$G$10+VLOOKUP($Q24,武学奇术!$A:$ZZ,7,FALSE)+SUM(_xlfn.XLOOKUP($R24:$AK24,增益!$A:$A,增益!$G:$G,0))</f>
        <v>0</v>
      </c>
      <c r="AW24" s="24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2" cm="1">
        <f t="array" ref="BA24">$G$11+VLOOKUP($Q24,武学奇术!$A:$ZZ,10,FALSE)+SUM(_xlfn.XLOOKUP($R24:$AK24,增益!$A:$A,增益!$J:$J,0))</f>
        <v>0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2" cm="1">
        <f t="array" ref="BE24">$G$12+VLOOKUP($Q24,武学奇术!$A:$ZZ,12,FALSE)+SUM(_xlfn.XLOOKUP($R24:$AK24,增益!$A:$A,增益!$L:$L,0))</f>
        <v>0</v>
      </c>
      <c r="BF24">
        <f t="shared" si="5"/>
        <v>605.472</v>
      </c>
      <c r="BG24">
        <f t="shared" si="6"/>
        <v>1579.612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2" cm="1">
        <f t="array" ref="BI24">$G$13+VLOOKUP($Q24,武学奇术!$A:$ZZ,14,FALSE)+SUM(_xlfn.XLOOKUP($R24:$AK24,增益!$A:$A,增益!$N:$N,0))</f>
        <v>0.15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2" cm="1">
        <f t="array" ref="BM24">$G$14+VLOOKUP($Q24,武学奇术!$A:$ZZ,16,FALSE)+SUM(_xlfn.XLOOKUP($R24:$AK24,增益!$A:$A,增益!$P:$P,0))</f>
        <v>0</v>
      </c>
      <c r="BN24" s="24">
        <f>MIN(IF(VLOOKUP($Q24,武学奇术!$A:$ZZ,23,FALSE)=1,100%,$B$8),100%)</f>
        <v>1</v>
      </c>
      <c r="BO24" s="24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0.9093</v>
      </c>
      <c r="BP24" s="24" cm="1">
        <f t="array" ref="BP24">1+$B$13+VLOOKUP($Q24,武学奇术!$A:$ZZ,18,FALSE)+SUM(_xlfn.XLOOKUP($R24:$AK24,增益!$A:$A,增益!$R:$R,0))</f>
        <v>1.81</v>
      </c>
      <c r="BQ24" s="24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4" cm="1">
        <f t="array" ref="BR24">1+$B$14+VLOOKUP($Q24,武学奇术!$A:$ZZ,20,FALSE)+SUM(_xlfn.XLOOKUP($R24:$AK24,增益!$A:$A,增益!$T:$T,0))</f>
        <v>1.35</v>
      </c>
      <c r="BS24" s="24">
        <f t="shared" si="9"/>
        <v>0.9071</v>
      </c>
      <c r="BT24" s="24">
        <f t="shared" si="10"/>
        <v>0</v>
      </c>
      <c r="BU24" s="24">
        <f>IF(VLOOKUP($Q24,武学奇术!$A:$ZZ,22,FALSE)=1,0,(1-$BN24))*(1-$BQ24)</f>
        <v>0</v>
      </c>
      <c r="BV24" s="24" cm="1">
        <f t="array" ref="BV24">SUM(_xlfn.XLOOKUP($R24:$AK24,增益!$A:$A,增益!$W:$W,0))+$I$5</f>
        <v>0.06</v>
      </c>
    </row>
    <row r="25" spans="1:74">
      <c r="K25" s="38">
        <f t="shared" si="0"/>
        <v>18553.6290858972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弹道",$B$21,0))*(1+$BV25)</f>
        <v>18861.2229281244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弹道",$B$21,0))*(1+$BV25)</f>
        <v>15550.2020214809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弹道",$B$21,0))*(1+$BV25)</f>
        <v>10420.5651536599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弹道",$B$21,0))*(1+$BV25)</f>
        <v>9322.46214325978</v>
      </c>
      <c r="P25" s="39">
        <v>3</v>
      </c>
      <c r="Q25" s="40" t="s">
        <v>137</v>
      </c>
      <c r="R25" s="40" t="s">
        <v>97</v>
      </c>
      <c r="S25" s="40" t="s">
        <v>152</v>
      </c>
      <c r="T25" s="40" t="s">
        <v>78</v>
      </c>
      <c r="U25" s="40" t="s">
        <v>90</v>
      </c>
      <c r="V25" s="40" t="s">
        <v>78</v>
      </c>
      <c r="W25" s="40" t="s">
        <v>78</v>
      </c>
      <c r="X25" s="40" t="s">
        <v>78</v>
      </c>
      <c r="Y25" s="40" t="s">
        <v>151</v>
      </c>
      <c r="Z25" s="40" t="s">
        <v>78</v>
      </c>
      <c r="AA25" s="40" t="s">
        <v>78</v>
      </c>
      <c r="AB25" s="40" t="s">
        <v>78</v>
      </c>
      <c r="AC25" s="40" t="s">
        <v>78</v>
      </c>
      <c r="AD25" s="40" t="s">
        <v>78</v>
      </c>
      <c r="AE25" s="40" t="s">
        <v>138</v>
      </c>
      <c r="AF25" s="40" t="s">
        <v>117</v>
      </c>
      <c r="AG25" s="40" t="s">
        <v>78</v>
      </c>
      <c r="AH25" s="40" t="s">
        <v>78</v>
      </c>
      <c r="AI25" s="40" t="s">
        <v>78</v>
      </c>
      <c r="AJ25" s="40" t="s">
        <v>78</v>
      </c>
      <c r="AK25" s="40" t="s">
        <v>78</v>
      </c>
      <c r="AL25" t="str">
        <f>VLOOKUP($Q25,武学奇术!$A:$ZZ,25,FALSE)</f>
        <v>单体奇术</v>
      </c>
      <c r="AM25" s="24">
        <f>VLOOKUP($Q25,武学奇术!$A:$ZZ,26,FALSE)</f>
        <v>0.236</v>
      </c>
      <c r="AN25" s="25">
        <f>VLOOKUP($Q25,武学奇术!$A:$ZZ,27,FALSE)*(1+IF(OR($AL25=$F$4,$AL25=$F$5),$B$22,0))</f>
        <v>46</v>
      </c>
      <c r="AO25" s="24">
        <f>VLOOKUP($Q25,武学奇术!$A:$ZZ,28,FALSE)</f>
        <v>0.354</v>
      </c>
      <c r="AP25" s="25">
        <f>VLOOKUP($Q25,武学奇术!$A:$ZZ,29,FALSE)*(1+IF(OR($AL25=$F$4,$AL25=$F$5),$B$22,0))</f>
        <v>0</v>
      </c>
      <c r="AQ25" s="24" cm="1">
        <f t="array" ref="AQ25">$G$3+IFERROR(VLOOKUP($AL25,$F$4:$G$7,2,FALSE),0)+VLOOKUP($Q25,武学奇术!$A:$ZZ,2,FALSE)+SUM(_xlfn.XLOOKUP($R25:$AK25,增益!$A:$A,增益!$B:$B,0))</f>
        <v>0.7415</v>
      </c>
      <c r="AR25" s="24" cm="1">
        <f t="array" ref="AR25">VLOOKUP($Q25,武学奇术!$A:$ZZ,5,FALSE)+SUM(_xlfn.XLOOKUP($R25:$AK25,增益!$A:$A,增益!$E:$E,0))</f>
        <v>0.075</v>
      </c>
      <c r="AS25" cm="1">
        <f t="array" ref="AS25">$D$10*(1+$AR25)+VLOOKUP($Q25,武学奇术!$A:$ZZ,3,FALSE)+SUM(_xlfn.XLOOKUP($R25:$AK25,增益!$A:$A,增益!$C:$C,0))-$I$2</f>
        <v>4100.3171</v>
      </c>
      <c r="AT25" cm="1">
        <f t="array" ref="AT25">$E$10*(1+$AR25)+VLOOKUP($Q25,武学奇术!$A:$ZZ,4,FALSE)+SUM(_xlfn.XLOOKUP($R25:$AK25,增益!$A:$A,增益!$D:$D,0))-$I$2</f>
        <v>4100.3171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0.4175</v>
      </c>
      <c r="AV25" s="32" cm="1">
        <f t="array" ref="AV25">$G$10+VLOOKUP($Q25,武学奇术!$A:$ZZ,7,FALSE)+SUM(_xlfn.XLOOKUP($R25:$AK25,增益!$A:$A,增益!$G:$G,0))</f>
        <v>0</v>
      </c>
      <c r="AW25" s="24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2" cm="1">
        <f t="array" ref="BA25">$G$11+VLOOKUP($Q25,武学奇术!$A:$ZZ,10,FALSE)+SUM(_xlfn.XLOOKUP($R25:$AK25,增益!$A:$A,增益!$J:$J,0))</f>
        <v>0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2" cm="1">
        <f t="array" ref="BE25">$G$12+VLOOKUP($Q25,武学奇术!$A:$ZZ,12,FALSE)+SUM(_xlfn.XLOOKUP($R25:$AK25,增益!$A:$A,增益!$L:$L,0))</f>
        <v>0</v>
      </c>
      <c r="BF25">
        <f t="shared" si="5"/>
        <v>605.472</v>
      </c>
      <c r="BG25">
        <f t="shared" si="6"/>
        <v>1579.612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2" cm="1">
        <f t="array" ref="BI25">$G$13+VLOOKUP($Q25,武学奇术!$A:$ZZ,14,FALSE)+SUM(_xlfn.XLOOKUP($R25:$AK25,增益!$A:$A,增益!$N:$N,0))</f>
        <v>0.15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2" cm="1">
        <f t="array" ref="BM25">$G$14+VLOOKUP($Q25,武学奇术!$A:$ZZ,16,FALSE)+SUM(_xlfn.XLOOKUP($R25:$AK25,增益!$A:$A,增益!$P:$P,0))</f>
        <v>0</v>
      </c>
      <c r="BN25" s="24">
        <f>MIN(IF(VLOOKUP($Q25,武学奇术!$A:$ZZ,23,FALSE)=1,100%,$B$8),100%)</f>
        <v>1</v>
      </c>
      <c r="BO25" s="24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0.9093</v>
      </c>
      <c r="BP25" s="24" cm="1">
        <f t="array" ref="BP25">1+$B$13+VLOOKUP($Q25,武学奇术!$A:$ZZ,18,FALSE)+SUM(_xlfn.XLOOKUP($R25:$AK25,增益!$A:$A,增益!$R:$R,0))</f>
        <v>1.81</v>
      </c>
      <c r="BQ25" s="24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4" cm="1">
        <f t="array" ref="BR25">1+$B$14+VLOOKUP($Q25,武学奇术!$A:$ZZ,20,FALSE)+SUM(_xlfn.XLOOKUP($R25:$AK25,增益!$A:$A,增益!$T:$T,0))</f>
        <v>1.35</v>
      </c>
      <c r="BS25" s="24">
        <f t="shared" si="9"/>
        <v>0.9071</v>
      </c>
      <c r="BT25" s="24">
        <f t="shared" si="10"/>
        <v>0</v>
      </c>
      <c r="BU25" s="24">
        <f>IF(VLOOKUP($Q25,武学奇术!$A:$ZZ,22,FALSE)=1,0,(1-$BN25))*(1-$BQ25)</f>
        <v>0</v>
      </c>
      <c r="BV25" s="24" cm="1">
        <f t="array" ref="BV25">SUM(_xlfn.XLOOKUP($R25:$AK25,增益!$A:$A,增益!$W:$W,0))+$I$5</f>
        <v>0.06</v>
      </c>
    </row>
    <row r="26" spans="1:74">
      <c r="F26">
        <v>100</v>
      </c>
      <c r="K26" s="38">
        <f t="shared" si="0"/>
        <v>42911.0832802415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弹道",$B$21,0))*(1+$BV26)</f>
        <v>42980.2108893124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弹道",$B$21,0))*(1+$BV26)</f>
        <v>42236.1031490437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弹道",$B$21,0))*(1+$BV26)</f>
        <v>28091.6411041258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弹道",$B$21,0))*(1+$BV26)</f>
        <v>24897.2798756266</v>
      </c>
      <c r="P26" s="39">
        <v>2</v>
      </c>
      <c r="Q26" s="40" t="s">
        <v>153</v>
      </c>
      <c r="R26" s="40" t="s">
        <v>93</v>
      </c>
      <c r="S26" s="40" t="s">
        <v>89</v>
      </c>
      <c r="T26" s="40" t="s">
        <v>78</v>
      </c>
      <c r="U26" s="40" t="s">
        <v>90</v>
      </c>
      <c r="V26" s="40" t="s">
        <v>78</v>
      </c>
      <c r="W26" s="40" t="s">
        <v>78</v>
      </c>
      <c r="X26" s="40" t="s">
        <v>78</v>
      </c>
      <c r="Y26" s="40" t="s">
        <v>78</v>
      </c>
      <c r="Z26" s="40" t="s">
        <v>78</v>
      </c>
      <c r="AA26" s="40" t="s">
        <v>79</v>
      </c>
      <c r="AB26" s="40" t="s">
        <v>84</v>
      </c>
      <c r="AC26" s="40" t="s">
        <v>78</v>
      </c>
      <c r="AD26" s="40" t="s">
        <v>78</v>
      </c>
      <c r="AE26" s="40" t="s">
        <v>78</v>
      </c>
      <c r="AF26" s="40" t="s">
        <v>117</v>
      </c>
      <c r="AG26" s="40" t="s">
        <v>78</v>
      </c>
      <c r="AH26" s="40" t="s">
        <v>78</v>
      </c>
      <c r="AI26" s="40" t="s">
        <v>78</v>
      </c>
      <c r="AJ26" s="40" t="s">
        <v>78</v>
      </c>
      <c r="AK26" s="40" t="s">
        <v>78</v>
      </c>
      <c r="AL26" t="str">
        <f>VLOOKUP($Q26,武学奇术!$A:$ZZ,25,FALSE)</f>
        <v>单体奇术</v>
      </c>
      <c r="AM26" s="24">
        <f>VLOOKUP($Q26,武学奇术!$A:$ZZ,26,FALSE)</f>
        <v>1.0239</v>
      </c>
      <c r="AN26" s="25">
        <f>VLOOKUP($Q26,武学奇术!$A:$ZZ,27,FALSE)*(1+IF(OR($AL26=$F$4,$AL26=$F$5),$B$22,0))</f>
        <v>196</v>
      </c>
      <c r="AO26" s="24">
        <f>VLOOKUP($Q26,武学奇术!$A:$ZZ,28,FALSE)</f>
        <v>1.53585</v>
      </c>
      <c r="AP26" s="25">
        <f>VLOOKUP($Q26,武学奇术!$A:$ZZ,29,FALSE)*(1+IF(OR($AL26=$F$4,$AL26=$F$5),$B$22,0))</f>
        <v>0</v>
      </c>
      <c r="AQ26" s="24" cm="1">
        <f t="array" ref="AQ26">$G$3+IFERROR(VLOOKUP($AL26,$F$4:$G$7,2,FALSE),0)+VLOOKUP($Q26,武学奇术!$A:$ZZ,2,FALSE)+SUM(_xlfn.XLOOKUP($R26:$AK26,增益!$A:$A,增益!$B:$B,0))</f>
        <v>0.7515</v>
      </c>
      <c r="AR26" s="24" cm="1">
        <f t="array" ref="AR26">VLOOKUP($Q26,武学奇术!$A:$ZZ,5,FALSE)+SUM(_xlfn.XLOOKUP($R26:$AK26,增益!$A:$A,增益!$E:$E,0))</f>
        <v>0.075</v>
      </c>
      <c r="AS26" cm="1">
        <f t="array" ref="AS26">$D$10*(1+$AR26)+VLOOKUP($Q26,武学奇术!$A:$ZZ,3,FALSE)+SUM(_xlfn.XLOOKUP($R26:$AK26,增益!$A:$A,增益!$C:$C,0))-$I$2</f>
        <v>4100.3171</v>
      </c>
      <c r="AT26" cm="1">
        <f t="array" ref="AT26">$E$10*(1+$AR26)+VLOOKUP($Q26,武学奇术!$A:$ZZ,4,FALSE)+SUM(_xlfn.XLOOKUP($R26:$AK26,增益!$A:$A,增益!$D:$D,0))-$I$2</f>
        <v>4100.3171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0.2825</v>
      </c>
      <c r="AV26" s="32" cm="1">
        <f t="array" ref="AV26">$G$10+VLOOKUP($Q26,武学奇术!$A:$ZZ,7,FALSE)+SUM(_xlfn.XLOOKUP($R26:$AK26,增益!$A:$A,增益!$G:$G,0))</f>
        <v>0</v>
      </c>
      <c r="AW26" s="24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2" cm="1">
        <f t="array" ref="BA26">$G$11+VLOOKUP($Q26,武学奇术!$A:$ZZ,10,FALSE)+SUM(_xlfn.XLOOKUP($R26:$AK26,增益!$A:$A,增益!$J:$J,0))</f>
        <v>0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2" cm="1">
        <f t="array" ref="BE26">$G$12+VLOOKUP($Q26,武学奇术!$A:$ZZ,12,FALSE)+SUM(_xlfn.XLOOKUP($R26:$AK26,增益!$A:$A,增益!$L:$L,0))</f>
        <v>0</v>
      </c>
      <c r="BF26">
        <f t="shared" si="5"/>
        <v>605.472</v>
      </c>
      <c r="BG26">
        <f t="shared" si="6"/>
        <v>1579.612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2" cm="1">
        <f t="array" ref="BI26">$G$13+VLOOKUP($Q26,武学奇术!$A:$ZZ,14,FALSE)+SUM(_xlfn.XLOOKUP($R26:$AK26,增益!$A:$A,增益!$N:$N,0))</f>
        <v>0.15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2" cm="1">
        <f t="array" ref="BM26">$G$14+VLOOKUP($Q26,武学奇术!$A:$ZZ,16,FALSE)+SUM(_xlfn.XLOOKUP($R26:$AK26,增益!$A:$A,增益!$P:$P,0))</f>
        <v>0</v>
      </c>
      <c r="BN26" s="24">
        <f>MIN(IF(VLOOKUP($Q26,武学奇术!$A:$ZZ,23,FALSE)=1,100%,$B$8),100%)</f>
        <v>1</v>
      </c>
      <c r="BO26" s="24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0.9093</v>
      </c>
      <c r="BP26" s="24" cm="1">
        <f t="array" ref="BP26">1+$B$13+VLOOKUP($Q26,武学奇术!$A:$ZZ,18,FALSE)+SUM(_xlfn.XLOOKUP($R26:$AK26,增益!$A:$A,增益!$R:$R,0))</f>
        <v>1.53</v>
      </c>
      <c r="BQ26" s="24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4" cm="1">
        <f t="array" ref="BR26">1+$B$14+VLOOKUP($Q26,武学奇术!$A:$ZZ,20,FALSE)+SUM(_xlfn.XLOOKUP($R26:$AK26,增益!$A:$A,增益!$T:$T,0))</f>
        <v>1.35</v>
      </c>
      <c r="BS26" s="24">
        <f t="shared" si="9"/>
        <v>0.9071</v>
      </c>
      <c r="BT26" s="24">
        <f t="shared" si="10"/>
        <v>0</v>
      </c>
      <c r="BU26" s="24">
        <f>IF(VLOOKUP($Q26,武学奇术!$A:$ZZ,22,FALSE)=1,0,(1-$BN26))*(1-$BQ26)</f>
        <v>0</v>
      </c>
      <c r="BV26" s="24" cm="1">
        <f t="array" ref="BV26">SUM(_xlfn.XLOOKUP($R26:$AK26,增益!$A:$A,增益!$W:$W,0))+$I$5</f>
        <v>0.06</v>
      </c>
    </row>
    <row r="27" spans="1:74">
      <c r="A27" t="s">
        <v>154</v>
      </c>
      <c r="B27">
        <v>1.3</v>
      </c>
      <c r="F27">
        <v>-50</v>
      </c>
      <c r="K27" s="38">
        <f t="shared" si="0"/>
        <v>67432.2812968212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弹道",$B$21,0))*(1+$BV27)</f>
        <v>67540.9111435089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弹道",$B$21,0))*(1+$BV27)</f>
        <v>66371.5909423494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弹道",$B$21,0))*(1+$BV27)</f>
        <v>44144.3863683065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弹道",$B$21,0))*(1+$BV27)</f>
        <v>39124.6312978356</v>
      </c>
      <c r="P27" s="39">
        <v>2</v>
      </c>
      <c r="Q27" s="40" t="s">
        <v>155</v>
      </c>
      <c r="R27" s="40" t="s">
        <v>93</v>
      </c>
      <c r="S27" s="40" t="s">
        <v>89</v>
      </c>
      <c r="T27" s="40" t="s">
        <v>78</v>
      </c>
      <c r="U27" s="40" t="s">
        <v>90</v>
      </c>
      <c r="V27" s="40" t="s">
        <v>78</v>
      </c>
      <c r="W27" s="40" t="s">
        <v>78</v>
      </c>
      <c r="X27" s="40" t="s">
        <v>78</v>
      </c>
      <c r="Y27" s="40" t="s">
        <v>78</v>
      </c>
      <c r="Z27" s="40" t="s">
        <v>78</v>
      </c>
      <c r="AA27" s="40" t="s">
        <v>79</v>
      </c>
      <c r="AB27" s="40" t="s">
        <v>84</v>
      </c>
      <c r="AC27" s="40" t="s">
        <v>78</v>
      </c>
      <c r="AD27" s="40" t="s">
        <v>78</v>
      </c>
      <c r="AE27" s="40" t="s">
        <v>78</v>
      </c>
      <c r="AF27" s="40" t="s">
        <v>117</v>
      </c>
      <c r="AG27" s="40" t="s">
        <v>78</v>
      </c>
      <c r="AH27" s="40" t="s">
        <v>78</v>
      </c>
      <c r="AI27" s="40" t="s">
        <v>78</v>
      </c>
      <c r="AJ27" s="40" t="s">
        <v>78</v>
      </c>
      <c r="AK27" s="40" t="s">
        <v>78</v>
      </c>
      <c r="AL27" t="str">
        <f>VLOOKUP($Q27,武学奇术!$A:$ZZ,25,FALSE)</f>
        <v>单体奇术</v>
      </c>
      <c r="AM27" s="24">
        <f>VLOOKUP($Q27,武学奇术!$A:$ZZ,26,FALSE)</f>
        <v>1.609</v>
      </c>
      <c r="AN27" s="25">
        <f>VLOOKUP($Q27,武学奇术!$A:$ZZ,27,FALSE)*(1+IF(OR($AL27=$F$4,$AL27=$F$5),$B$22,0))</f>
        <v>308</v>
      </c>
      <c r="AO27" s="24">
        <f>VLOOKUP($Q27,武学奇术!$A:$ZZ,28,FALSE)</f>
        <v>2.4135</v>
      </c>
      <c r="AP27" s="25">
        <f>VLOOKUP($Q27,武学奇术!$A:$ZZ,29,FALSE)*(1+IF(OR($AL27=$F$4,$AL27=$F$5),$B$22,0))</f>
        <v>0</v>
      </c>
      <c r="AQ27" s="24" cm="1">
        <f t="array" ref="AQ27">$G$3+IFERROR(VLOOKUP($AL27,$F$4:$G$7,2,FALSE),0)+VLOOKUP($Q27,武学奇术!$A:$ZZ,2,FALSE)+SUM(_xlfn.XLOOKUP($R27:$AK27,增益!$A:$A,增益!$B:$B,0))</f>
        <v>0.7515</v>
      </c>
      <c r="AR27" s="24" cm="1">
        <f t="array" ref="AR27">VLOOKUP($Q27,武学奇术!$A:$ZZ,5,FALSE)+SUM(_xlfn.XLOOKUP($R27:$AK27,增益!$A:$A,增益!$E:$E,0))</f>
        <v>0.075</v>
      </c>
      <c r="AS27" cm="1">
        <f t="array" ref="AS27">$D$10*(1+$AR27)+VLOOKUP($Q27,武学奇术!$A:$ZZ,3,FALSE)+SUM(_xlfn.XLOOKUP($R27:$AK27,增益!$A:$A,增益!$C:$C,0))-$I$2</f>
        <v>4100.3171</v>
      </c>
      <c r="AT27" cm="1">
        <f t="array" ref="AT27">$E$10*(1+$AR27)+VLOOKUP($Q27,武学奇术!$A:$ZZ,4,FALSE)+SUM(_xlfn.XLOOKUP($R27:$AK27,增益!$A:$A,增益!$D:$D,0))-$I$2</f>
        <v>4100.3171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0.2825</v>
      </c>
      <c r="AV27" s="32" cm="1">
        <f t="array" ref="AV27">$G$10+VLOOKUP($Q27,武学奇术!$A:$ZZ,7,FALSE)+SUM(_xlfn.XLOOKUP($R27:$AK27,增益!$A:$A,增益!$G:$G,0))</f>
        <v>0</v>
      </c>
      <c r="AW27" s="24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2" cm="1">
        <f t="array" ref="BA27">$G$11+VLOOKUP($Q27,武学奇术!$A:$ZZ,10,FALSE)+SUM(_xlfn.XLOOKUP($R27:$AK27,增益!$A:$A,增益!$J:$J,0))</f>
        <v>0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-0.3</v>
      </c>
      <c r="BE27" s="32" cm="1">
        <f t="array" ref="BE27">$G$12+VLOOKUP($Q27,武学奇术!$A:$ZZ,12,FALSE)+SUM(_xlfn.XLOOKUP($R27:$AK27,增益!$A:$A,增益!$L:$L,0))</f>
        <v>0</v>
      </c>
      <c r="BF27">
        <f t="shared" si="5"/>
        <v>605.472</v>
      </c>
      <c r="BG27">
        <f t="shared" si="6"/>
        <v>1579.612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</v>
      </c>
      <c r="BI27" s="32" cm="1">
        <f t="array" ref="BI27">$G$13+VLOOKUP($Q27,武学奇术!$A:$ZZ,14,FALSE)+SUM(_xlfn.XLOOKUP($R27:$AK27,增益!$A:$A,增益!$N:$N,0))</f>
        <v>0.15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2" cm="1">
        <f t="array" ref="BM27">$G$14+VLOOKUP($Q27,武学奇术!$A:$ZZ,16,FALSE)+SUM(_xlfn.XLOOKUP($R27:$AK27,增益!$A:$A,增益!$P:$P,0))</f>
        <v>0</v>
      </c>
      <c r="BN27" s="24">
        <f>MIN(IF(VLOOKUP($Q27,武学奇术!$A:$ZZ,23,FALSE)=1,100%,$B$8),100%)</f>
        <v>1</v>
      </c>
      <c r="BO27" s="24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0.9093</v>
      </c>
      <c r="BP27" s="24" cm="1">
        <f t="array" ref="BP27">1+$B$13+VLOOKUP($Q27,武学奇术!$A:$ZZ,18,FALSE)+SUM(_xlfn.XLOOKUP($R27:$AK27,增益!$A:$A,增益!$R:$R,0))</f>
        <v>1.53</v>
      </c>
      <c r="BQ27" s="24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4" cm="1">
        <f t="array" ref="BR27">1+$B$14+VLOOKUP($Q27,武学奇术!$A:$ZZ,20,FALSE)+SUM(_xlfn.XLOOKUP($R27:$AK27,增益!$A:$A,增益!$T:$T,0))</f>
        <v>1.35</v>
      </c>
      <c r="BS27" s="24">
        <f t="shared" si="9"/>
        <v>0.9071</v>
      </c>
      <c r="BT27" s="24">
        <f t="shared" si="10"/>
        <v>0</v>
      </c>
      <c r="BU27" s="24">
        <f>IF(VLOOKUP($Q27,武学奇术!$A:$ZZ,22,FALSE)=1,0,(1-$BN27))*(1-$BQ27)</f>
        <v>0</v>
      </c>
      <c r="BV27" s="24" cm="1">
        <f t="array" ref="BV27">SUM(_xlfn.XLOOKUP($R27:$AK27,增益!$A:$A,增益!$W:$W,0))+$I$5</f>
        <v>0.06</v>
      </c>
    </row>
    <row r="28" spans="1:74">
      <c r="A28" t="s">
        <v>156</v>
      </c>
      <c r="B28">
        <v>1.1</v>
      </c>
      <c r="F28">
        <v>-10</v>
      </c>
      <c r="I28">
        <v>2.5</v>
      </c>
      <c r="K28" s="38">
        <f t="shared" si="0"/>
        <v>43404.4090116482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弹道",$B$21,0))*(1+$BV28)</f>
        <v>43476.6753843648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弹道",$B$21,0))*(1+$BV28)</f>
        <v>42698.7811678243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弹道",$B$21,0))*(1+$BV28)</f>
        <v>28416.1277021992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弹道",$B$21,0))*(1+$BV28)</f>
        <v>25203.5286134175</v>
      </c>
      <c r="P28" s="39">
        <v>2</v>
      </c>
      <c r="Q28" s="40" t="s">
        <v>153</v>
      </c>
      <c r="R28" s="40" t="s">
        <v>97</v>
      </c>
      <c r="S28" s="40" t="s">
        <v>89</v>
      </c>
      <c r="T28" s="40" t="s">
        <v>78</v>
      </c>
      <c r="U28" s="40" t="s">
        <v>90</v>
      </c>
      <c r="V28" s="40" t="s">
        <v>78</v>
      </c>
      <c r="W28" s="40" t="s">
        <v>78</v>
      </c>
      <c r="X28" s="40" t="s">
        <v>78</v>
      </c>
      <c r="Y28" s="40" t="s">
        <v>78</v>
      </c>
      <c r="Z28" s="40" t="s">
        <v>78</v>
      </c>
      <c r="AA28" s="40" t="s">
        <v>79</v>
      </c>
      <c r="AB28" s="40" t="s">
        <v>84</v>
      </c>
      <c r="AC28" s="40" t="s">
        <v>78</v>
      </c>
      <c r="AD28" s="40" t="s">
        <v>78</v>
      </c>
      <c r="AE28" s="40" t="s">
        <v>78</v>
      </c>
      <c r="AF28" s="40" t="s">
        <v>117</v>
      </c>
      <c r="AG28" s="40" t="s">
        <v>78</v>
      </c>
      <c r="AH28" s="40" t="s">
        <v>78</v>
      </c>
      <c r="AI28" s="40" t="s">
        <v>78</v>
      </c>
      <c r="AJ28" s="40" t="s">
        <v>78</v>
      </c>
      <c r="AK28" s="40" t="s">
        <v>78</v>
      </c>
      <c r="AL28" t="str">
        <f>VLOOKUP($Q28,武学奇术!$A:$ZZ,25,FALSE)</f>
        <v>单体奇术</v>
      </c>
      <c r="AM28" s="24">
        <f>VLOOKUP($Q28,武学奇术!$A:$ZZ,26,FALSE)</f>
        <v>1.0239</v>
      </c>
      <c r="AN28" s="25">
        <f>VLOOKUP($Q28,武学奇术!$A:$ZZ,27,FALSE)*(1+IF(OR($AL28=$F$4,$AL28=$F$5),$B$22,0))</f>
        <v>196</v>
      </c>
      <c r="AO28" s="24">
        <f>VLOOKUP($Q28,武学奇术!$A:$ZZ,28,FALSE)</f>
        <v>1.53585</v>
      </c>
      <c r="AP28" s="25">
        <f>VLOOKUP($Q28,武学奇术!$A:$ZZ,29,FALSE)*(1+IF(OR($AL28=$F$4,$AL28=$F$5),$B$22,0))</f>
        <v>0</v>
      </c>
      <c r="AQ28" s="24" cm="1">
        <f t="array" ref="AQ28">$G$3+IFERROR(VLOOKUP($AL28,$F$4:$G$7,2,FALSE),0)+VLOOKUP($Q28,武学奇术!$A:$ZZ,2,FALSE)+SUM(_xlfn.XLOOKUP($R28:$AK28,增益!$A:$A,增益!$B:$B,0))</f>
        <v>0.7615</v>
      </c>
      <c r="AR28" s="24" cm="1">
        <f t="array" ref="AR28">VLOOKUP($Q28,武学奇术!$A:$ZZ,5,FALSE)+SUM(_xlfn.XLOOKUP($R28:$AK28,增益!$A:$A,增益!$E:$E,0))</f>
        <v>0.075</v>
      </c>
      <c r="AS28" cm="1">
        <f t="array" ref="AS28">$D$10*(1+$AR28)+VLOOKUP($Q28,武学奇术!$A:$ZZ,3,FALSE)+SUM(_xlfn.XLOOKUP($R28:$AK28,增益!$A:$A,增益!$C:$C,0))-$I$2</f>
        <v>4100.3171</v>
      </c>
      <c r="AT28" cm="1">
        <f t="array" ref="AT28">$E$10*(1+$AR28)+VLOOKUP($Q28,武学奇术!$A:$ZZ,4,FALSE)+SUM(_xlfn.XLOOKUP($R28:$AK28,增益!$A:$A,增益!$D:$D,0))-$I$2</f>
        <v>4100.3171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0.2925</v>
      </c>
      <c r="AV28" s="32" cm="1">
        <f t="array" ref="AV28">$G$10+VLOOKUP($Q28,武学奇术!$A:$ZZ,7,FALSE)+SUM(_xlfn.XLOOKUP($R28:$AK28,增益!$A:$A,增益!$G:$G,0))</f>
        <v>0</v>
      </c>
      <c r="AW28" s="24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2" cm="1">
        <f t="array" ref="BA28">$G$11+VLOOKUP($Q28,武学奇术!$A:$ZZ,10,FALSE)+SUM(_xlfn.XLOOKUP($R28:$AK28,增益!$A:$A,增益!$J:$J,0))</f>
        <v>0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-0.3</v>
      </c>
      <c r="BE28" s="32" cm="1">
        <f t="array" ref="BE28">$G$12+VLOOKUP($Q28,武学奇术!$A:$ZZ,12,FALSE)+SUM(_xlfn.XLOOKUP($R28:$AK28,增益!$A:$A,增益!$L:$L,0))</f>
        <v>0</v>
      </c>
      <c r="BF28">
        <f t="shared" si="5"/>
        <v>605.472</v>
      </c>
      <c r="BG28">
        <f t="shared" si="6"/>
        <v>1579.612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</v>
      </c>
      <c r="BI28" s="32" cm="1">
        <f t="array" ref="BI28">$G$13+VLOOKUP($Q28,武学奇术!$A:$ZZ,14,FALSE)+SUM(_xlfn.XLOOKUP($R28:$AK28,增益!$A:$A,增益!$N:$N,0))</f>
        <v>0.15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2" cm="1">
        <f t="array" ref="BM28">$G$14+VLOOKUP($Q28,武学奇术!$A:$ZZ,16,FALSE)+SUM(_xlfn.XLOOKUP($R28:$AK28,增益!$A:$A,增益!$P:$P,0))</f>
        <v>0</v>
      </c>
      <c r="BN28" s="24">
        <f>MIN(IF(VLOOKUP($Q28,武学奇术!$A:$ZZ,23,FALSE)=1,100%,$B$8),100%)</f>
        <v>1</v>
      </c>
      <c r="BO28" s="24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0.9093</v>
      </c>
      <c r="BP28" s="24" cm="1">
        <f t="array" ref="BP28">1+$B$13+VLOOKUP($Q28,武学奇术!$A:$ZZ,18,FALSE)+SUM(_xlfn.XLOOKUP($R28:$AK28,增益!$A:$A,增益!$R:$R,0))</f>
        <v>1.53</v>
      </c>
      <c r="BQ28" s="24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4" cm="1">
        <f t="array" ref="BR28">1+$B$14+VLOOKUP($Q28,武学奇术!$A:$ZZ,20,FALSE)+SUM(_xlfn.XLOOKUP($R28:$AK28,增益!$A:$A,增益!$T:$T,0))</f>
        <v>1.35</v>
      </c>
      <c r="BS28" s="24">
        <f t="shared" si="9"/>
        <v>0.9071</v>
      </c>
      <c r="BT28" s="24">
        <f t="shared" si="10"/>
        <v>0</v>
      </c>
      <c r="BU28" s="24">
        <f>IF(VLOOKUP($Q28,武学奇术!$A:$ZZ,22,FALSE)=1,0,(1-$BN28))*(1-$BQ28)</f>
        <v>0</v>
      </c>
      <c r="BV28" s="24" cm="1">
        <f t="array" ref="BV28">SUM(_xlfn.XLOOKUP($R28:$AK28,增益!$A:$A,增益!$W:$W,0))+$I$5</f>
        <v>0.06</v>
      </c>
    </row>
    <row r="29" spans="1:74">
      <c r="A29" s="4" t="s">
        <v>157</v>
      </c>
      <c r="B29" s="4">
        <v>0.3</v>
      </c>
      <c r="I29">
        <v>22.5</v>
      </c>
      <c r="K29" s="38">
        <f t="shared" si="0"/>
        <v>68207.5140621268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弹道",$B$21,0))*(1+$BV29)</f>
        <v>68321.0762925281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弹道",$B$21,0))*(1+$BV29)</f>
        <v>67098.6626175951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弹道",$B$21,0))*(1+$BV29)</f>
        <v>44654.2982304105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弹道",$B$21,0))*(1+$BV29)</f>
        <v>39605.8834107505</v>
      </c>
      <c r="P29" s="39">
        <v>2</v>
      </c>
      <c r="Q29" s="40" t="s">
        <v>155</v>
      </c>
      <c r="R29" s="40" t="s">
        <v>97</v>
      </c>
      <c r="S29" s="40" t="s">
        <v>89</v>
      </c>
      <c r="T29" s="40" t="s">
        <v>78</v>
      </c>
      <c r="U29" s="40" t="s">
        <v>90</v>
      </c>
      <c r="V29" s="40" t="s">
        <v>78</v>
      </c>
      <c r="W29" s="40" t="s">
        <v>78</v>
      </c>
      <c r="X29" s="40" t="s">
        <v>78</v>
      </c>
      <c r="Y29" s="40" t="s">
        <v>78</v>
      </c>
      <c r="Z29" s="40" t="s">
        <v>78</v>
      </c>
      <c r="AA29" s="40" t="s">
        <v>79</v>
      </c>
      <c r="AB29" s="40" t="s">
        <v>84</v>
      </c>
      <c r="AC29" s="40" t="s">
        <v>78</v>
      </c>
      <c r="AD29" s="40" t="s">
        <v>78</v>
      </c>
      <c r="AE29" s="40" t="s">
        <v>78</v>
      </c>
      <c r="AF29" s="40" t="s">
        <v>117</v>
      </c>
      <c r="AG29" s="40" t="s">
        <v>78</v>
      </c>
      <c r="AH29" s="40" t="s">
        <v>78</v>
      </c>
      <c r="AI29" s="40" t="s">
        <v>78</v>
      </c>
      <c r="AJ29" s="40" t="s">
        <v>78</v>
      </c>
      <c r="AK29" s="40" t="s">
        <v>78</v>
      </c>
      <c r="AL29" t="str">
        <f>VLOOKUP($Q29,武学奇术!$A:$ZZ,25,FALSE)</f>
        <v>单体奇术</v>
      </c>
      <c r="AM29" s="24">
        <f>VLOOKUP($Q29,武学奇术!$A:$ZZ,26,FALSE)</f>
        <v>1.609</v>
      </c>
      <c r="AN29" s="25">
        <f>VLOOKUP($Q29,武学奇术!$A:$ZZ,27,FALSE)*(1+IF(OR($AL29=$F$4,$AL29=$F$5),$B$22,0))</f>
        <v>308</v>
      </c>
      <c r="AO29" s="24">
        <f>VLOOKUP($Q29,武学奇术!$A:$ZZ,28,FALSE)</f>
        <v>2.4135</v>
      </c>
      <c r="AP29" s="25">
        <f>VLOOKUP($Q29,武学奇术!$A:$ZZ,29,FALSE)*(1+IF(OR($AL29=$F$4,$AL29=$F$5),$B$22,0))</f>
        <v>0</v>
      </c>
      <c r="AQ29" s="24" cm="1">
        <f t="array" ref="AQ29">$G$3+IFERROR(VLOOKUP($AL29,$F$4:$G$7,2,FALSE),0)+VLOOKUP($Q29,武学奇术!$A:$ZZ,2,FALSE)+SUM(_xlfn.XLOOKUP($R29:$AK29,增益!$A:$A,增益!$B:$B,0))</f>
        <v>0.7615</v>
      </c>
      <c r="AR29" s="24" cm="1">
        <f t="array" ref="AR29">VLOOKUP($Q29,武学奇术!$A:$ZZ,5,FALSE)+SUM(_xlfn.XLOOKUP($R29:$AK29,增益!$A:$A,增益!$E:$E,0))</f>
        <v>0.075</v>
      </c>
      <c r="AS29" cm="1">
        <f t="array" ref="AS29">$D$10*(1+$AR29)+VLOOKUP($Q29,武学奇术!$A:$ZZ,3,FALSE)+SUM(_xlfn.XLOOKUP($R29:$AK29,增益!$A:$A,增益!$C:$C,0))-$I$2</f>
        <v>4100.3171</v>
      </c>
      <c r="AT29" cm="1">
        <f t="array" ref="AT29">$E$10*(1+$AR29)+VLOOKUP($Q29,武学奇术!$A:$ZZ,4,FALSE)+SUM(_xlfn.XLOOKUP($R29:$AK29,增益!$A:$A,增益!$D:$D,0))-$I$2</f>
        <v>4100.3171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0.2925</v>
      </c>
      <c r="AV29" s="32" cm="1">
        <f t="array" ref="AV29">$G$10+VLOOKUP($Q29,武学奇术!$A:$ZZ,7,FALSE)+SUM(_xlfn.XLOOKUP($R29:$AK29,增益!$A:$A,增益!$G:$G,0))</f>
        <v>0</v>
      </c>
      <c r="AW29" s="24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2" cm="1">
        <f t="array" ref="BA29">$G$11+VLOOKUP($Q29,武学奇术!$A:$ZZ,10,FALSE)+SUM(_xlfn.XLOOKUP($R29:$AK29,增益!$A:$A,增益!$J:$J,0))</f>
        <v>0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-0.3</v>
      </c>
      <c r="BE29" s="32" cm="1">
        <f t="array" ref="BE29">$G$12+VLOOKUP($Q29,武学奇术!$A:$ZZ,12,FALSE)+SUM(_xlfn.XLOOKUP($R29:$AK29,增益!$A:$A,增益!$L:$L,0))</f>
        <v>0</v>
      </c>
      <c r="BF29">
        <f t="shared" si="5"/>
        <v>605.472</v>
      </c>
      <c r="BG29">
        <f t="shared" si="6"/>
        <v>1579.612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</v>
      </c>
      <c r="BI29" s="32" cm="1">
        <f t="array" ref="BI29">$G$13+VLOOKUP($Q29,武学奇术!$A:$ZZ,14,FALSE)+SUM(_xlfn.XLOOKUP($R29:$AK29,增益!$A:$A,增益!$N:$N,0))</f>
        <v>0.15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2" cm="1">
        <f t="array" ref="BM29">$G$14+VLOOKUP($Q29,武学奇术!$A:$ZZ,16,FALSE)+SUM(_xlfn.XLOOKUP($R29:$AK29,增益!$A:$A,增益!$P:$P,0))</f>
        <v>0</v>
      </c>
      <c r="BN29" s="24">
        <f>MIN(IF(VLOOKUP($Q29,武学奇术!$A:$ZZ,23,FALSE)=1,100%,$B$8),100%)</f>
        <v>1</v>
      </c>
      <c r="BO29" s="24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0.9093</v>
      </c>
      <c r="BP29" s="24" cm="1">
        <f t="array" ref="BP29">1+$B$13+VLOOKUP($Q29,武学奇术!$A:$ZZ,18,FALSE)+SUM(_xlfn.XLOOKUP($R29:$AK29,增益!$A:$A,增益!$R:$R,0))</f>
        <v>1.53</v>
      </c>
      <c r="BQ29" s="24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4" cm="1">
        <f t="array" ref="BR29">1+$B$14+VLOOKUP($Q29,武学奇术!$A:$ZZ,20,FALSE)+SUM(_xlfn.XLOOKUP($R29:$AK29,增益!$A:$A,增益!$T:$T,0))</f>
        <v>1.35</v>
      </c>
      <c r="BS29" s="24">
        <f t="shared" si="9"/>
        <v>0.9071</v>
      </c>
      <c r="BT29" s="24">
        <f t="shared" si="10"/>
        <v>0</v>
      </c>
      <c r="BU29" s="24">
        <f>IF(VLOOKUP($Q29,武学奇术!$A:$ZZ,22,FALSE)=1,0,(1-$BN29))*(1-$BQ29)</f>
        <v>0</v>
      </c>
      <c r="BV29" s="24" cm="1">
        <f t="array" ref="BV29">SUM(_xlfn.XLOOKUP($R29:$AK29,增益!$A:$A,增益!$W:$W,0))+$I$5</f>
        <v>0.06</v>
      </c>
    </row>
    <row r="30" spans="1:74">
      <c r="A30" s="4" t="s">
        <v>101</v>
      </c>
      <c r="B30" s="4">
        <v>0.95</v>
      </c>
      <c r="I30">
        <v>43.3</v>
      </c>
      <c r="K30" s="38">
        <f t="shared" si="0"/>
        <v>37345.8826817057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弹道",$B$21,0))*(1+$BV30)</f>
        <v>37459.2204793085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弹道",$B$21,0))*(1+$BV30)</f>
        <v>36239.2226579646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弹道",$B$21,0))*(1+$BV30)</f>
        <v>24324.1691424082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弹道",$B$21,0))*(1+$BV30)</f>
        <v>21804.469649287</v>
      </c>
      <c r="P30" s="39">
        <v>1</v>
      </c>
      <c r="Q30" s="40" t="s">
        <v>108</v>
      </c>
      <c r="R30" s="40" t="s">
        <v>97</v>
      </c>
      <c r="S30" s="40" t="s">
        <v>94</v>
      </c>
      <c r="T30" s="40" t="s">
        <v>78</v>
      </c>
      <c r="U30" s="40" t="s">
        <v>90</v>
      </c>
      <c r="V30" s="40" t="s">
        <v>78</v>
      </c>
      <c r="W30" s="40" t="s">
        <v>78</v>
      </c>
      <c r="X30" s="40" t="s">
        <v>78</v>
      </c>
      <c r="Y30" s="40" t="s">
        <v>78</v>
      </c>
      <c r="Z30" s="40" t="s">
        <v>78</v>
      </c>
      <c r="AA30" s="40" t="s">
        <v>79</v>
      </c>
      <c r="AB30" s="40" t="s">
        <v>84</v>
      </c>
      <c r="AC30" s="40" t="s">
        <v>78</v>
      </c>
      <c r="AD30" s="40" t="s">
        <v>78</v>
      </c>
      <c r="AE30" s="40" t="s">
        <v>78</v>
      </c>
      <c r="AF30" s="40" t="s">
        <v>117</v>
      </c>
      <c r="AG30" s="40" t="s">
        <v>78</v>
      </c>
      <c r="AH30" s="40" t="s">
        <v>78</v>
      </c>
      <c r="AI30" s="40" t="s">
        <v>78</v>
      </c>
      <c r="AJ30" s="40" t="s">
        <v>78</v>
      </c>
      <c r="AK30" s="40" t="s">
        <v>78</v>
      </c>
      <c r="AL30" t="str">
        <f>VLOOKUP($Q30,武学奇术!$A:$ZZ,25,FALSE)</f>
        <v>伞</v>
      </c>
      <c r="AM30" s="24">
        <f>VLOOKUP($Q30,武学奇术!$A:$ZZ,26,FALSE)</f>
        <v>1.7001</v>
      </c>
      <c r="AN30" s="25">
        <f>VLOOKUP($Q30,武学奇术!$A:$ZZ,27,FALSE)*(1+IF(OR($AL30=$F$4,$AL30=$F$5),$B$22,0))</f>
        <v>706.5</v>
      </c>
      <c r="AO30" s="24">
        <f>VLOOKUP($Q30,武学奇术!$A:$ZZ,28,FALSE)</f>
        <v>2.5502</v>
      </c>
      <c r="AP30" s="25">
        <f>VLOOKUP($Q30,武学奇术!$A:$ZZ,29,FALSE)*(1+IF(OR($AL30=$F$4,$AL30=$F$5),$B$22,0))</f>
        <v>384</v>
      </c>
      <c r="AQ30" s="24" cm="1">
        <f t="array" ref="AQ30">$G$3+IFERROR(VLOOKUP($AL30,$F$4:$G$7,2,FALSE),0)+VLOOKUP($Q30,武学奇术!$A:$ZZ,2,FALSE)+SUM(_xlfn.XLOOKUP($R30:$AK30,增益!$A:$A,增益!$B:$B,0))</f>
        <v>0.6641</v>
      </c>
      <c r="AR30" s="24" cm="1">
        <f t="array" ref="AR30">VLOOKUP($Q30,武学奇术!$A:$ZZ,5,FALSE)+SUM(_xlfn.XLOOKUP($R30:$AK30,增益!$A:$A,增益!$E:$E,0))</f>
        <v>0.075</v>
      </c>
      <c r="AS30" cm="1">
        <f t="array" ref="AS30">$D$10*(1+$AR30)+VLOOKUP($Q30,武学奇术!$A:$ZZ,3,FALSE)+SUM(_xlfn.XLOOKUP($R30:$AK30,增益!$A:$A,增益!$C:$C,0))-$I$2</f>
        <v>4100.3171</v>
      </c>
      <c r="AT30" cm="1">
        <f t="array" ref="AT30">$E$10*(1+$AR30)+VLOOKUP($Q30,武学奇术!$A:$ZZ,4,FALSE)+SUM(_xlfn.XLOOKUP($R30:$AK30,增益!$A:$A,增益!$D:$D,0))-$I$2</f>
        <v>4100.3171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0.2925</v>
      </c>
      <c r="AV30" s="32" cm="1">
        <f t="array" ref="AV30">$G$10+VLOOKUP($Q30,武学奇术!$A:$ZZ,7,FALSE)+SUM(_xlfn.XLOOKUP($R30:$AK30,增益!$A:$A,增益!$G:$G,0))</f>
        <v>0</v>
      </c>
      <c r="AW30" s="24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2" cm="1">
        <f t="array" ref="BA30">$G$11+VLOOKUP($Q30,武学奇术!$A:$ZZ,10,FALSE)+SUM(_xlfn.XLOOKUP($R30:$AK30,增益!$A:$A,增益!$J:$J,0))</f>
        <v>0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-0.3</v>
      </c>
      <c r="BE30" s="32" cm="1">
        <f t="array" ref="BE30">$G$12+VLOOKUP($Q30,武学奇术!$A:$ZZ,12,FALSE)+SUM(_xlfn.XLOOKUP($R30:$AK30,增益!$A:$A,增益!$L:$L,0))</f>
        <v>0</v>
      </c>
      <c r="BF30">
        <f t="shared" si="5"/>
        <v>605.472</v>
      </c>
      <c r="BG30">
        <f t="shared" si="6"/>
        <v>1579.612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</v>
      </c>
      <c r="BI30" s="32" cm="1">
        <f t="array" ref="BI30">$G$13+VLOOKUP($Q30,武学奇术!$A:$ZZ,14,FALSE)+SUM(_xlfn.XLOOKUP($R30:$AK30,增益!$A:$A,增益!$N:$N,0))</f>
        <v>0.15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2" cm="1">
        <f t="array" ref="BM30">$G$14+VLOOKUP($Q30,武学奇术!$A:$ZZ,16,FALSE)+SUM(_xlfn.XLOOKUP($R30:$AK30,增益!$A:$A,增益!$P:$P,0))</f>
        <v>0</v>
      </c>
      <c r="BN30" s="24">
        <f>MIN(IF(VLOOKUP($Q30,武学奇术!$A:$ZZ,23,FALSE)=1,100%,$B$8),100%)</f>
        <v>1</v>
      </c>
      <c r="BO30" s="24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0.9093</v>
      </c>
      <c r="BP30" s="24" cm="1">
        <f t="array" ref="BP30">1+$B$13+VLOOKUP($Q30,武学奇术!$A:$ZZ,18,FALSE)+SUM(_xlfn.XLOOKUP($R30:$AK30,增益!$A:$A,增益!$R:$R,0))</f>
        <v>1.54</v>
      </c>
      <c r="BQ30" s="24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4" cm="1">
        <f t="array" ref="BR30">1+$B$14+VLOOKUP($Q30,武学奇术!$A:$ZZ,20,FALSE)+SUM(_xlfn.XLOOKUP($R30:$AK30,增益!$A:$A,增益!$T:$T,0))</f>
        <v>1.35</v>
      </c>
      <c r="BS30" s="24">
        <f t="shared" si="9"/>
        <v>0.9071</v>
      </c>
      <c r="BT30" s="24">
        <f t="shared" si="10"/>
        <v>0</v>
      </c>
      <c r="BU30" s="24">
        <f>IF(VLOOKUP($Q30,武学奇术!$A:$ZZ,22,FALSE)=1,0,(1-$BN30))*(1-$BQ30)</f>
        <v>0</v>
      </c>
      <c r="BV30" s="24" cm="1">
        <f t="array" ref="BV30">SUM(_xlfn.XLOOKUP($R30:$AK30,增益!$A:$A,增益!$W:$W,0))+$I$5</f>
        <v>0.06</v>
      </c>
    </row>
    <row r="31" spans="1:74">
      <c r="A31" s="4" t="s">
        <v>101</v>
      </c>
      <c r="B31" s="4">
        <v>1.25</v>
      </c>
      <c r="C31" s="39" t="s">
        <v>154</v>
      </c>
      <c r="G31" s="39" t="s">
        <v>158</v>
      </c>
      <c r="I31">
        <v>75.5</v>
      </c>
      <c r="K31" s="38">
        <f t="shared" si="0"/>
        <v>87876.2289766605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弹道",$B$21,0))*(1+$BV31)</f>
        <v>89683.2560227497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弹道",$B$21,0))*(1+$BV31)</f>
        <v>70231.9422865896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弹道",$B$21,0))*(1+$BV31)</f>
        <v>47201.7136961841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弹道",$B$21,0))*(1+$BV31)</f>
        <v>42379.7664393388</v>
      </c>
      <c r="P31" s="39">
        <v>1</v>
      </c>
      <c r="Q31" s="40" t="s">
        <v>101</v>
      </c>
      <c r="R31" s="40" t="s">
        <v>97</v>
      </c>
      <c r="S31" s="40" t="s">
        <v>94</v>
      </c>
      <c r="T31" s="40" t="s">
        <v>106</v>
      </c>
      <c r="U31" s="40" t="s">
        <v>90</v>
      </c>
      <c r="V31" s="40" t="s">
        <v>102</v>
      </c>
      <c r="W31" s="40" t="s">
        <v>78</v>
      </c>
      <c r="X31" s="40" t="s">
        <v>78</v>
      </c>
      <c r="Y31" s="40" t="s">
        <v>78</v>
      </c>
      <c r="Z31" s="40" t="s">
        <v>78</v>
      </c>
      <c r="AA31" s="40" t="s">
        <v>79</v>
      </c>
      <c r="AB31" s="40" t="s">
        <v>84</v>
      </c>
      <c r="AC31" s="40" t="s">
        <v>78</v>
      </c>
      <c r="AD31" s="40" t="s">
        <v>78</v>
      </c>
      <c r="AE31" s="40" t="s">
        <v>78</v>
      </c>
      <c r="AF31" s="40" t="s">
        <v>117</v>
      </c>
      <c r="AG31" s="40" t="s">
        <v>78</v>
      </c>
      <c r="AH31" s="40" t="s">
        <v>78</v>
      </c>
      <c r="AI31" s="40" t="s">
        <v>78</v>
      </c>
      <c r="AJ31" s="40" t="s">
        <v>78</v>
      </c>
      <c r="AK31" s="40" t="s">
        <v>78</v>
      </c>
      <c r="AL31" t="str">
        <f>VLOOKUP($Q31,武学奇术!$A:$ZZ,25,FALSE)</f>
        <v>伞</v>
      </c>
      <c r="AM31" s="24">
        <f>VLOOKUP($Q31,武学奇术!$A:$ZZ,26,FALSE)</f>
        <v>2.3397</v>
      </c>
      <c r="AN31" s="25">
        <f>VLOOKUP($Q31,武学奇术!$A:$ZZ,27,FALSE)*(1+IF(OR($AL31=$F$4,$AL31=$F$5),$B$22,0))</f>
        <v>972</v>
      </c>
      <c r="AO31" s="24">
        <f>VLOOKUP($Q31,武学奇术!$A:$ZZ,28,FALSE)</f>
        <v>3.5095</v>
      </c>
      <c r="AP31" s="25">
        <f>VLOOKUP($Q31,武学奇术!$A:$ZZ,29,FALSE)*(1+IF(OR($AL31=$F$4,$AL31=$F$5),$B$22,0))</f>
        <v>529.5</v>
      </c>
      <c r="AQ31" s="24" cm="1">
        <f t="array" ref="AQ31">$G$3+IFERROR(VLOOKUP($AL31,$F$4:$G$7,2,FALSE),0)+VLOOKUP($Q31,武学奇术!$A:$ZZ,2,FALSE)+SUM(_xlfn.XLOOKUP($R31:$AK31,增益!$A:$A,增益!$B:$B,0))</f>
        <v>1.3141</v>
      </c>
      <c r="AR31" s="24" cm="1">
        <f t="array" ref="AR31">VLOOKUP($Q31,武学奇术!$A:$ZZ,5,FALSE)+SUM(_xlfn.XLOOKUP($R31:$AK31,增益!$A:$A,增益!$E:$E,0))</f>
        <v>0.075</v>
      </c>
      <c r="AS31" cm="1">
        <f t="array" ref="AS31">$D$10*(1+$AR31)+VLOOKUP($Q31,武学奇术!$A:$ZZ,3,FALSE)+SUM(_xlfn.XLOOKUP($R31:$AK31,增益!$A:$A,增益!$C:$C,0))-$I$2</f>
        <v>4100.3171</v>
      </c>
      <c r="AT31" cm="1">
        <f t="array" ref="AT31">$E$10*(1+$AR31)+VLOOKUP($Q31,武学奇术!$A:$ZZ,4,FALSE)+SUM(_xlfn.XLOOKUP($R31:$AK31,增益!$A:$A,增益!$D:$D,0))-$I$2</f>
        <v>4100.3171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0.3175</v>
      </c>
      <c r="AV31" s="32" cm="1">
        <f t="array" ref="AV31">$G$10+VLOOKUP($Q31,武学奇术!$A:$ZZ,7,FALSE)+SUM(_xlfn.XLOOKUP($R31:$AK31,增益!$A:$A,增益!$G:$G,0))</f>
        <v>0</v>
      </c>
      <c r="AW31" s="24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2" cm="1">
        <f t="array" ref="BA31">$G$11+VLOOKUP($Q31,武学奇术!$A:$ZZ,10,FALSE)+SUM(_xlfn.XLOOKUP($R31:$AK31,增益!$A:$A,增益!$J:$J,0))</f>
        <v>0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-0.3</v>
      </c>
      <c r="BE31" s="32" cm="1">
        <f t="array" ref="BE31">$G$12+VLOOKUP($Q31,武学奇术!$A:$ZZ,12,FALSE)+SUM(_xlfn.XLOOKUP($R31:$AK31,增益!$A:$A,增益!$L:$L,0))</f>
        <v>0</v>
      </c>
      <c r="BF31">
        <f t="shared" si="5"/>
        <v>605.472</v>
      </c>
      <c r="BG31">
        <f t="shared" si="6"/>
        <v>1579.612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</v>
      </c>
      <c r="BI31" s="32" cm="1">
        <f t="array" ref="BI31">$G$13+VLOOKUP($Q31,武学奇术!$A:$ZZ,14,FALSE)+SUM(_xlfn.XLOOKUP($R31:$AK31,增益!$A:$A,增益!$N:$N,0))</f>
        <v>0.15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2" cm="1">
        <f t="array" ref="BM31">$G$14+VLOOKUP($Q31,武学奇术!$A:$ZZ,16,FALSE)+SUM(_xlfn.XLOOKUP($R31:$AK31,增益!$A:$A,增益!$P:$P,0))</f>
        <v>0</v>
      </c>
      <c r="BN31" s="24">
        <f>MIN(IF(VLOOKUP($Q31,武学奇术!$A:$ZZ,23,FALSE)=1,100%,$B$8),100%)</f>
        <v>1</v>
      </c>
      <c r="BO31" s="24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0.9093</v>
      </c>
      <c r="BP31" s="24" cm="1">
        <f t="array" ref="BP31">1+$B$13+VLOOKUP($Q31,武学奇术!$A:$ZZ,18,FALSE)+SUM(_xlfn.XLOOKUP($R31:$AK31,增益!$A:$A,增益!$R:$R,0))</f>
        <v>1.9</v>
      </c>
      <c r="BQ31" s="24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4" cm="1">
        <f t="array" ref="BR31">1+$B$14+VLOOKUP($Q31,武学奇术!$A:$ZZ,20,FALSE)+SUM(_xlfn.XLOOKUP($R31:$AK31,增益!$A:$A,增益!$T:$T,0))</f>
        <v>1.35</v>
      </c>
      <c r="BS31" s="24">
        <f t="shared" si="9"/>
        <v>0.9071</v>
      </c>
      <c r="BT31" s="24">
        <f t="shared" si="10"/>
        <v>0</v>
      </c>
      <c r="BU31" s="24">
        <f>IF(VLOOKUP($Q31,武学奇术!$A:$ZZ,22,FALSE)=1,0,(1-$BN31))*(1-$BQ31)</f>
        <v>0</v>
      </c>
      <c r="BV31" s="24" cm="1">
        <f t="array" ref="BV31">SUM(_xlfn.XLOOKUP($R31:$AK31,增益!$A:$A,增益!$W:$W,0))+$I$5</f>
        <v>0.06</v>
      </c>
    </row>
    <row r="32" spans="1:74">
      <c r="A32" s="4" t="s">
        <v>159</v>
      </c>
      <c r="B32" s="88">
        <v>1.3</v>
      </c>
      <c r="C32" s="39"/>
      <c r="G32" s="39"/>
      <c r="I32">
        <v>95.5</v>
      </c>
      <c r="K32" s="38">
        <f t="shared" si="0"/>
        <v>15741.0687160834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弹道",$B$21,0))*(1+$BV32)</f>
        <v>15797.9503243632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弹道",$B$21,0))*(1+$BV32)</f>
        <v>15185.6617529978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弹道",$B$21,0))*(1+$BV32)</f>
        <v>10192.2260157182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弹道",$B$21,0))*(1+$BV32)</f>
        <v>9135.81369588245</v>
      </c>
      <c r="P32" s="39">
        <v>1</v>
      </c>
      <c r="Q32" s="40" t="s">
        <v>111</v>
      </c>
      <c r="R32" s="40" t="s">
        <v>97</v>
      </c>
      <c r="S32" s="40" t="s">
        <v>98</v>
      </c>
      <c r="T32" s="40" t="s">
        <v>78</v>
      </c>
      <c r="U32" s="40" t="s">
        <v>90</v>
      </c>
      <c r="V32" s="40" t="s">
        <v>78</v>
      </c>
      <c r="W32" s="40" t="s">
        <v>78</v>
      </c>
      <c r="X32" s="40" t="s">
        <v>78</v>
      </c>
      <c r="Y32" s="40" t="s">
        <v>78</v>
      </c>
      <c r="Z32" s="40" t="s">
        <v>78</v>
      </c>
      <c r="AA32" s="40" t="s">
        <v>79</v>
      </c>
      <c r="AB32" s="40" t="s">
        <v>84</v>
      </c>
      <c r="AC32" s="40" t="s">
        <v>78</v>
      </c>
      <c r="AD32" s="40" t="s">
        <v>78</v>
      </c>
      <c r="AE32" s="40" t="s">
        <v>78</v>
      </c>
      <c r="AF32" s="40" t="s">
        <v>117</v>
      </c>
      <c r="AG32" s="40" t="s">
        <v>78</v>
      </c>
      <c r="AH32" s="40" t="s">
        <v>78</v>
      </c>
      <c r="AI32" s="40" t="s">
        <v>78</v>
      </c>
      <c r="AJ32" s="40" t="s">
        <v>78</v>
      </c>
      <c r="AK32" s="40" t="s">
        <v>78</v>
      </c>
      <c r="AL32" t="str">
        <f>VLOOKUP($Q32,武学奇术!$A:$ZZ,25,FALSE)</f>
        <v>伞</v>
      </c>
      <c r="AM32" s="24">
        <f>VLOOKUP($Q32,武学奇术!$A:$ZZ,26,FALSE)</f>
        <v>0.54</v>
      </c>
      <c r="AN32" s="25">
        <f>VLOOKUP($Q32,武学奇术!$A:$ZZ,27,FALSE)*(1+IF(OR($AL32=$F$4,$AL32=$F$5),$B$22,0))</f>
        <v>222</v>
      </c>
      <c r="AO32" s="24">
        <f>VLOOKUP($Q32,武学奇术!$A:$ZZ,28,FALSE)</f>
        <v>0.81</v>
      </c>
      <c r="AP32" s="25">
        <f>VLOOKUP($Q32,武学奇术!$A:$ZZ,29,FALSE)*(1+IF(OR($AL32=$F$4,$AL32=$F$5),$B$22,0))</f>
        <v>122.25</v>
      </c>
      <c r="AQ32" s="24" cm="1">
        <f t="array" ref="AQ32">$G$3+IFERROR(VLOOKUP($AL32,$F$4:$G$7,2,FALSE),0)+VLOOKUP($Q32,武学奇术!$A:$ZZ,2,FALSE)+SUM(_xlfn.XLOOKUP($R32:$AK32,增益!$A:$A,增益!$B:$B,0))</f>
        <v>0.6641</v>
      </c>
      <c r="AR32" s="24" cm="1">
        <f t="array" ref="AR32">VLOOKUP($Q32,武学奇术!$A:$ZZ,5,FALSE)+SUM(_xlfn.XLOOKUP($R32:$AK32,增益!$A:$A,增益!$E:$E,0))</f>
        <v>0.075</v>
      </c>
      <c r="AS32" cm="1">
        <f t="array" ref="AS32">$D$10*(1+$AR32)+VLOOKUP($Q32,武学奇术!$A:$ZZ,3,FALSE)+SUM(_xlfn.XLOOKUP($R32:$AK32,增益!$A:$A,增益!$C:$C,0))-$I$2</f>
        <v>4100.3171</v>
      </c>
      <c r="AT32" cm="1">
        <f t="array" ref="AT32">$E$10*(1+$AR32)+VLOOKUP($Q32,武学奇术!$A:$ZZ,4,FALSE)+SUM(_xlfn.XLOOKUP($R32:$AK32,增益!$A:$A,增益!$D:$D,0))-$I$2</f>
        <v>4100.3171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0.2925</v>
      </c>
      <c r="AV32" s="32" cm="1">
        <f t="array" ref="AV32">$G$10+VLOOKUP($Q32,武学奇术!$A:$ZZ,7,FALSE)+SUM(_xlfn.XLOOKUP($R32:$AK32,增益!$A:$A,增益!$G:$G,0))</f>
        <v>0</v>
      </c>
      <c r="AW32" s="24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2" cm="1">
        <f t="array" ref="BA32">$G$11+VLOOKUP($Q32,武学奇术!$A:$ZZ,10,FALSE)+SUM(_xlfn.XLOOKUP($R32:$AK32,增益!$A:$A,增益!$J:$J,0))</f>
        <v>0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-0.3</v>
      </c>
      <c r="BE32" s="32" cm="1">
        <f t="array" ref="BE32">$G$12+VLOOKUP($Q32,武学奇术!$A:$ZZ,12,FALSE)+SUM(_xlfn.XLOOKUP($R32:$AK32,增益!$A:$A,增益!$L:$L,0))</f>
        <v>0</v>
      </c>
      <c r="BF32">
        <f t="shared" si="5"/>
        <v>605.472</v>
      </c>
      <c r="BG32">
        <f t="shared" si="6"/>
        <v>1579.612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</v>
      </c>
      <c r="BI32" s="32" cm="1">
        <f t="array" ref="BI32">$G$13+VLOOKUP($Q32,武学奇术!$A:$ZZ,14,FALSE)+SUM(_xlfn.XLOOKUP($R32:$AK32,增益!$A:$A,增益!$N:$N,0))</f>
        <v>0.15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2" cm="1">
        <f t="array" ref="BM32">$G$14+VLOOKUP($Q32,武学奇术!$A:$ZZ,16,FALSE)+SUM(_xlfn.XLOOKUP($R32:$AK32,增益!$A:$A,增益!$P:$P,0))</f>
        <v>0</v>
      </c>
      <c r="BN32" s="24">
        <f>MIN(IF(VLOOKUP($Q32,武学奇术!$A:$ZZ,23,FALSE)=1,100%,$B$8),100%)</f>
        <v>1</v>
      </c>
      <c r="BO32" s="24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0.9093</v>
      </c>
      <c r="BP32" s="24" cm="1">
        <f t="array" ref="BP32">1+$B$13+VLOOKUP($Q32,武学奇术!$A:$ZZ,18,FALSE)+SUM(_xlfn.XLOOKUP($R32:$AK32,增益!$A:$A,增益!$R:$R,0))</f>
        <v>1.55</v>
      </c>
      <c r="BQ32" s="24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4" cm="1">
        <f t="array" ref="BR32">1+$B$14+VLOOKUP($Q32,武学奇术!$A:$ZZ,20,FALSE)+SUM(_xlfn.XLOOKUP($R32:$AK32,增益!$A:$A,增益!$T:$T,0))</f>
        <v>1.35</v>
      </c>
      <c r="BS32" s="24">
        <f t="shared" si="9"/>
        <v>0.9071</v>
      </c>
      <c r="BT32" s="24">
        <f t="shared" si="10"/>
        <v>0</v>
      </c>
      <c r="BU32" s="24">
        <f>IF(VLOOKUP($Q32,武学奇术!$A:$ZZ,22,FALSE)=1,0,(1-$BN32))*(1-$BQ32)</f>
        <v>0</v>
      </c>
      <c r="BV32" s="24" cm="1">
        <f t="array" ref="BV32">SUM(_xlfn.XLOOKUP($R32:$AK32,增益!$A:$A,增益!$W:$W,0))+$I$5</f>
        <v>0.06</v>
      </c>
    </row>
    <row r="33" spans="1:74">
      <c r="A33" s="4" t="s">
        <v>111</v>
      </c>
      <c r="B33" s="88">
        <v>1.16</v>
      </c>
      <c r="C33" s="39"/>
      <c r="G33" s="39"/>
      <c r="K33" s="38">
        <f t="shared" si="0"/>
        <v>23533.1133305544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弹道",$B$21,0))*(1+$BV33)</f>
        <v>23927.3925493259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弹道",$B$21,0))*(1+$BV33)</f>
        <v>19683.2674818178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弹道",$B$21,0))*(1+$BV33)</f>
        <v>13292.9958607366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弹道",$B$21,0))*(1+$BV33)</f>
        <v>12005.7935867933</v>
      </c>
      <c r="P33" s="39">
        <v>1</v>
      </c>
      <c r="Q33" s="40" t="s">
        <v>160</v>
      </c>
      <c r="R33" s="40" t="s">
        <v>97</v>
      </c>
      <c r="S33" s="40" t="s">
        <v>98</v>
      </c>
      <c r="T33" s="40" t="s">
        <v>78</v>
      </c>
      <c r="U33" s="40" t="s">
        <v>90</v>
      </c>
      <c r="V33" s="40" t="s">
        <v>78</v>
      </c>
      <c r="W33" s="40" t="s">
        <v>78</v>
      </c>
      <c r="X33" s="40" t="s">
        <v>78</v>
      </c>
      <c r="Y33" s="40" t="s">
        <v>151</v>
      </c>
      <c r="Z33" s="40" t="s">
        <v>78</v>
      </c>
      <c r="AA33" s="40" t="s">
        <v>78</v>
      </c>
      <c r="AB33" s="40" t="s">
        <v>84</v>
      </c>
      <c r="AC33" s="40" t="s">
        <v>78</v>
      </c>
      <c r="AD33" s="40" t="s">
        <v>78</v>
      </c>
      <c r="AE33" s="40" t="s">
        <v>78</v>
      </c>
      <c r="AF33" s="40" t="s">
        <v>117</v>
      </c>
      <c r="AG33" s="40" t="s">
        <v>78</v>
      </c>
      <c r="AH33" s="40" t="s">
        <v>78</v>
      </c>
      <c r="AI33" s="40" t="s">
        <v>78</v>
      </c>
      <c r="AJ33" s="40" t="s">
        <v>78</v>
      </c>
      <c r="AK33" s="40" t="s">
        <v>78</v>
      </c>
      <c r="AL33" t="str">
        <f>VLOOKUP($Q33,武学奇术!$A:$ZZ,25,FALSE)</f>
        <v>扇</v>
      </c>
      <c r="AM33" s="24">
        <f>VLOOKUP($Q33,武学奇术!$A:$ZZ,26,FALSE)</f>
        <v>0.9271</v>
      </c>
      <c r="AN33" s="25">
        <f>VLOOKUP($Q33,武学奇术!$A:$ZZ,27,FALSE)*(1+IF(OR($AL33=$F$4,$AL33=$F$5),$B$22,0))</f>
        <v>385.5</v>
      </c>
      <c r="AO33" s="24">
        <f>VLOOKUP($Q33,武学奇术!$A:$ZZ,28,FALSE)</f>
        <v>1.3907</v>
      </c>
      <c r="AP33" s="25">
        <f>VLOOKUP($Q33,武学奇术!$A:$ZZ,29,FALSE)*(1+IF(OR($AL33=$F$4,$AL33=$F$5),$B$22,0))</f>
        <v>210</v>
      </c>
      <c r="AQ33" s="24" cm="1">
        <f t="array" ref="AQ33">$G$3+IFERROR(VLOOKUP($AL33,$F$4:$G$7,2,FALSE),0)+VLOOKUP($Q33,武学奇术!$A:$ZZ,2,FALSE)+SUM(_xlfn.XLOOKUP($R33:$AK33,增益!$A:$A,增益!$B:$B,0))</f>
        <v>0.5589</v>
      </c>
      <c r="AR33" s="24" cm="1">
        <f t="array" ref="AR33">VLOOKUP($Q33,武学奇术!$A:$ZZ,5,FALSE)+SUM(_xlfn.XLOOKUP($R33:$AK33,增益!$A:$A,增益!$E:$E,0))</f>
        <v>0.075</v>
      </c>
      <c r="AS33" cm="1">
        <f t="array" ref="AS33">$D$10*(1+$AR33)+VLOOKUP($Q33,武学奇术!$A:$ZZ,3,FALSE)+SUM(_xlfn.XLOOKUP($R33:$AK33,增益!$A:$A,增益!$C:$C,0))-$I$2</f>
        <v>4100.3171</v>
      </c>
      <c r="AT33" cm="1">
        <f t="array" ref="AT33">$E$10*(1+$AR33)+VLOOKUP($Q33,武学奇术!$A:$ZZ,4,FALSE)+SUM(_xlfn.XLOOKUP($R33:$AK33,增益!$A:$A,增益!$D:$D,0))-$I$2</f>
        <v>4100.3171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0.4175</v>
      </c>
      <c r="AV33" s="32" cm="1">
        <f t="array" ref="AV33">$G$10+VLOOKUP($Q33,武学奇术!$A:$ZZ,7,FALSE)+SUM(_xlfn.XLOOKUP($R33:$AK33,增益!$A:$A,增益!$G:$G,0))</f>
        <v>0</v>
      </c>
      <c r="AW33" s="24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2" cm="1">
        <f t="array" ref="BA33">$G$11+VLOOKUP($Q33,武学奇术!$A:$ZZ,10,FALSE)+SUM(_xlfn.XLOOKUP($R33:$AK33,增益!$A:$A,增益!$J:$J,0))</f>
        <v>0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-0.3</v>
      </c>
      <c r="BE33" s="32" cm="1">
        <f t="array" ref="BE33">$G$12+VLOOKUP($Q33,武学奇术!$A:$ZZ,12,FALSE)+SUM(_xlfn.XLOOKUP($R33:$AK33,增益!$A:$A,增益!$L:$L,0))</f>
        <v>0</v>
      </c>
      <c r="BF33">
        <f t="shared" si="5"/>
        <v>605.472</v>
      </c>
      <c r="BG33">
        <f t="shared" si="6"/>
        <v>1579.612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</v>
      </c>
      <c r="BI33" s="32" cm="1">
        <f t="array" ref="BI33">$G$13+VLOOKUP($Q33,武学奇术!$A:$ZZ,14,FALSE)+SUM(_xlfn.XLOOKUP($R33:$AK33,增益!$A:$A,增益!$N:$N,0))</f>
        <v>0.15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2" cm="1">
        <f t="array" ref="BM33">$G$14+VLOOKUP($Q33,武学奇术!$A:$ZZ,16,FALSE)+SUM(_xlfn.XLOOKUP($R33:$AK33,增益!$A:$A,增益!$P:$P,0))</f>
        <v>0</v>
      </c>
      <c r="BN33" s="24">
        <f>MIN(IF(VLOOKUP($Q33,武学奇术!$A:$ZZ,23,FALSE)=1,100%,$B$8),100%)</f>
        <v>1</v>
      </c>
      <c r="BO33" s="24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0.9093</v>
      </c>
      <c r="BP33" s="24" cm="1">
        <f t="array" ref="BP33">1+$B$13+VLOOKUP($Q33,武学奇术!$A:$ZZ,18,FALSE)+SUM(_xlfn.XLOOKUP($R33:$AK33,增益!$A:$A,增益!$R:$R,0))</f>
        <v>1.8</v>
      </c>
      <c r="BQ33" s="24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4" cm="1">
        <f t="array" ref="BR33">1+$B$14+VLOOKUP($Q33,武学奇术!$A:$ZZ,20,FALSE)+SUM(_xlfn.XLOOKUP($R33:$AK33,增益!$A:$A,增益!$T:$T,0))</f>
        <v>1.35</v>
      </c>
      <c r="BS33" s="24">
        <f t="shared" si="9"/>
        <v>0.9071</v>
      </c>
      <c r="BT33" s="24">
        <f t="shared" si="10"/>
        <v>0</v>
      </c>
      <c r="BU33" s="24">
        <f>IF(VLOOKUP($Q33,武学奇术!$A:$ZZ,22,FALSE)=1,0,(1-$BN33))*(1-$BQ33)</f>
        <v>0</v>
      </c>
      <c r="BV33" s="24" cm="1">
        <f t="array" ref="BV33">SUM(_xlfn.XLOOKUP($R33:$AK33,增益!$A:$A,增益!$W:$W,0))+$I$5</f>
        <v>0.06</v>
      </c>
    </row>
    <row r="34" spans="1:74">
      <c r="A34" s="4" t="s">
        <v>161</v>
      </c>
      <c r="B34" s="4">
        <v>0.1</v>
      </c>
      <c r="C34" s="39"/>
      <c r="G34" s="39"/>
      <c r="K34" s="38">
        <f t="shared" si="0"/>
        <v>53357.7292564824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弹道",$B$21,0))*(1+$BV34)</f>
        <v>54218.6232696962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弹道",$B$21,0))*(1+$BV34)</f>
        <v>44951.7339993645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弹道",$B$21,0))*(1+$BV34)</f>
        <v>30121.4573720534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弹道",$B$21,0))*(1+$BV34)</f>
        <v>26945.3340038369</v>
      </c>
      <c r="P34" s="39">
        <v>2</v>
      </c>
      <c r="Q34" s="40" t="s">
        <v>153</v>
      </c>
      <c r="R34" s="40" t="s">
        <v>97</v>
      </c>
      <c r="S34" s="40" t="s">
        <v>98</v>
      </c>
      <c r="T34" s="40" t="s">
        <v>78</v>
      </c>
      <c r="U34" s="40" t="s">
        <v>90</v>
      </c>
      <c r="V34" s="40" t="s">
        <v>78</v>
      </c>
      <c r="W34" s="40" t="s">
        <v>78</v>
      </c>
      <c r="X34" s="40" t="s">
        <v>78</v>
      </c>
      <c r="Y34" s="40" t="s">
        <v>151</v>
      </c>
      <c r="Z34" s="40" t="s">
        <v>78</v>
      </c>
      <c r="AA34" s="40" t="s">
        <v>78</v>
      </c>
      <c r="AB34" s="40" t="s">
        <v>84</v>
      </c>
      <c r="AC34" s="40" t="s">
        <v>78</v>
      </c>
      <c r="AD34" s="40" t="s">
        <v>78</v>
      </c>
      <c r="AE34" s="40" t="s">
        <v>78</v>
      </c>
      <c r="AF34" s="40" t="s">
        <v>117</v>
      </c>
      <c r="AG34" s="40" t="s">
        <v>78</v>
      </c>
      <c r="AH34" s="40" t="s">
        <v>78</v>
      </c>
      <c r="AI34" s="40" t="s">
        <v>78</v>
      </c>
      <c r="AJ34" s="40" t="s">
        <v>78</v>
      </c>
      <c r="AK34" s="40" t="s">
        <v>78</v>
      </c>
      <c r="AL34" t="str">
        <f>VLOOKUP($Q34,武学奇术!$A:$ZZ,25,FALSE)</f>
        <v>单体奇术</v>
      </c>
      <c r="AM34" s="24">
        <f>VLOOKUP($Q34,武学奇术!$A:$ZZ,26,FALSE)</f>
        <v>1.0239</v>
      </c>
      <c r="AN34" s="25">
        <f>VLOOKUP($Q34,武学奇术!$A:$ZZ,27,FALSE)*(1+IF(OR($AL34=$F$4,$AL34=$F$5),$B$22,0))</f>
        <v>196</v>
      </c>
      <c r="AO34" s="24">
        <f>VLOOKUP($Q34,武学奇术!$A:$ZZ,28,FALSE)</f>
        <v>1.53585</v>
      </c>
      <c r="AP34" s="25">
        <f>VLOOKUP($Q34,武学奇术!$A:$ZZ,29,FALSE)*(1+IF(OR($AL34=$F$4,$AL34=$F$5),$B$22,0))</f>
        <v>0</v>
      </c>
      <c r="AQ34" s="24" cm="1">
        <f t="array" ref="AQ34">$G$3+IFERROR(VLOOKUP($AL34,$F$4:$G$7,2,FALSE),0)+VLOOKUP($Q34,武学奇术!$A:$ZZ,2,FALSE)+SUM(_xlfn.XLOOKUP($R34:$AK34,增益!$A:$A,增益!$B:$B,0))</f>
        <v>0.7415</v>
      </c>
      <c r="AR34" s="24" cm="1">
        <f t="array" ref="AR34">VLOOKUP($Q34,武学奇术!$A:$ZZ,5,FALSE)+SUM(_xlfn.XLOOKUP($R34:$AK34,增益!$A:$A,增益!$E:$E,0))</f>
        <v>0.075</v>
      </c>
      <c r="AS34" cm="1">
        <f t="array" ref="AS34">$D$10*(1+$AR34)+VLOOKUP($Q34,武学奇术!$A:$ZZ,3,FALSE)+SUM(_xlfn.XLOOKUP($R34:$AK34,增益!$A:$A,增益!$C:$C,0))-$I$2</f>
        <v>4100.3171</v>
      </c>
      <c r="AT34" cm="1">
        <f t="array" ref="AT34">$E$10*(1+$AR34)+VLOOKUP($Q34,武学奇术!$A:$ZZ,4,FALSE)+SUM(_xlfn.XLOOKUP($R34:$AK34,增益!$A:$A,增益!$D:$D,0))-$I$2</f>
        <v>4100.3171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0.4175</v>
      </c>
      <c r="AV34" s="32" cm="1">
        <f t="array" ref="AV34">$G$10+VLOOKUP($Q34,武学奇术!$A:$ZZ,7,FALSE)+SUM(_xlfn.XLOOKUP($R34:$AK34,增益!$A:$A,增益!$G:$G,0))</f>
        <v>0</v>
      </c>
      <c r="AW34" s="24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2" cm="1">
        <f t="array" ref="BA34">$G$11+VLOOKUP($Q34,武学奇术!$A:$ZZ,10,FALSE)+SUM(_xlfn.XLOOKUP($R34:$AK34,增益!$A:$A,增益!$J:$J,0))</f>
        <v>0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-0.3</v>
      </c>
      <c r="BE34" s="32" cm="1">
        <f t="array" ref="BE34">$G$12+VLOOKUP($Q34,武学奇术!$A:$ZZ,12,FALSE)+SUM(_xlfn.XLOOKUP($R34:$AK34,增益!$A:$A,增益!$L:$L,0))</f>
        <v>0</v>
      </c>
      <c r="BF34">
        <f t="shared" si="5"/>
        <v>605.472</v>
      </c>
      <c r="BG34">
        <f t="shared" si="6"/>
        <v>1579.612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</v>
      </c>
      <c r="BI34" s="32" cm="1">
        <f t="array" ref="BI34">$G$13+VLOOKUP($Q34,武学奇术!$A:$ZZ,14,FALSE)+SUM(_xlfn.XLOOKUP($R34:$AK34,增益!$A:$A,增益!$N:$N,0))</f>
        <v>0.15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2" cm="1">
        <f t="array" ref="BM34">$G$14+VLOOKUP($Q34,武学奇术!$A:$ZZ,16,FALSE)+SUM(_xlfn.XLOOKUP($R34:$AK34,增益!$A:$A,增益!$P:$P,0))</f>
        <v>0</v>
      </c>
      <c r="BN34" s="24">
        <f>MIN(IF(VLOOKUP($Q34,武学奇术!$A:$ZZ,23,FALSE)=1,100%,$B$8),100%)</f>
        <v>1</v>
      </c>
      <c r="BO34" s="24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0.9093</v>
      </c>
      <c r="BP34" s="24" cm="1">
        <f t="array" ref="BP34">1+$B$13+VLOOKUP($Q34,武学奇术!$A:$ZZ,18,FALSE)+SUM(_xlfn.XLOOKUP($R34:$AK34,增益!$A:$A,增益!$R:$R,0))</f>
        <v>1.8</v>
      </c>
      <c r="BQ34" s="24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4" cm="1">
        <f t="array" ref="BR34">1+$B$14+VLOOKUP($Q34,武学奇术!$A:$ZZ,20,FALSE)+SUM(_xlfn.XLOOKUP($R34:$AK34,增益!$A:$A,增益!$T:$T,0))</f>
        <v>1.35</v>
      </c>
      <c r="BS34" s="24">
        <f t="shared" si="9"/>
        <v>0.9071</v>
      </c>
      <c r="BT34" s="24">
        <f t="shared" si="10"/>
        <v>0</v>
      </c>
      <c r="BU34" s="24">
        <f>IF(VLOOKUP($Q34,武学奇术!$A:$ZZ,22,FALSE)=1,0,(1-$BN34))*(1-$BQ34)</f>
        <v>0</v>
      </c>
      <c r="BV34" s="24" cm="1">
        <f t="array" ref="BV34">SUM(_xlfn.XLOOKUP($R34:$AK34,增益!$A:$A,增益!$W:$W,0))+$I$5</f>
        <v>0.06</v>
      </c>
    </row>
    <row r="35" spans="1:74">
      <c r="A35" s="4" t="s">
        <v>131</v>
      </c>
      <c r="B35" s="4">
        <v>0.8</v>
      </c>
      <c r="C35" s="39"/>
      <c r="G35" s="39"/>
      <c r="K35" s="38">
        <f t="shared" ref="K35:K60" si="11">($L35*$BS35+$M35*$BQ35+$N35*$BT35+$O35*$BU35)</f>
        <v>83848.579558575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弹道",$B$21,0))*(1+$BV35)</f>
        <v>85201.4244210349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弹道",$B$21,0))*(1+$BV35)</f>
        <v>70639.0469995066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弹道",$B$21,0))*(1+$BV35)</f>
        <v>47334.1246783527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弹道",$B$21,0))*(1+$BV35)</f>
        <v>42343.029357071</v>
      </c>
      <c r="P35" s="39">
        <v>2</v>
      </c>
      <c r="Q35" s="40" t="s">
        <v>155</v>
      </c>
      <c r="R35" s="40" t="s">
        <v>97</v>
      </c>
      <c r="S35" s="40" t="s">
        <v>98</v>
      </c>
      <c r="T35" s="40" t="s">
        <v>78</v>
      </c>
      <c r="U35" s="40" t="s">
        <v>90</v>
      </c>
      <c r="V35" s="40" t="s">
        <v>78</v>
      </c>
      <c r="W35" s="40" t="s">
        <v>78</v>
      </c>
      <c r="X35" s="40" t="s">
        <v>78</v>
      </c>
      <c r="Y35" s="40" t="s">
        <v>151</v>
      </c>
      <c r="Z35" s="40" t="s">
        <v>78</v>
      </c>
      <c r="AA35" s="40" t="s">
        <v>78</v>
      </c>
      <c r="AB35" s="40" t="s">
        <v>84</v>
      </c>
      <c r="AC35" s="40" t="s">
        <v>78</v>
      </c>
      <c r="AD35" s="40" t="s">
        <v>78</v>
      </c>
      <c r="AE35" s="40" t="s">
        <v>78</v>
      </c>
      <c r="AF35" s="40" t="s">
        <v>117</v>
      </c>
      <c r="AG35" s="40" t="s">
        <v>78</v>
      </c>
      <c r="AH35" s="40" t="s">
        <v>78</v>
      </c>
      <c r="AI35" s="40" t="s">
        <v>78</v>
      </c>
      <c r="AJ35" s="40" t="s">
        <v>78</v>
      </c>
      <c r="AK35" s="40" t="s">
        <v>78</v>
      </c>
      <c r="AL35" t="str">
        <f>VLOOKUP($Q35,武学奇术!$A:$ZZ,25,FALSE)</f>
        <v>单体奇术</v>
      </c>
      <c r="AM35" s="24">
        <f>VLOOKUP($Q35,武学奇术!$A:$ZZ,26,FALSE)</f>
        <v>1.609</v>
      </c>
      <c r="AN35" s="25">
        <f>VLOOKUP($Q35,武学奇术!$A:$ZZ,27,FALSE)*(1+IF(OR($AL35=$F$4,$AL35=$F$5),$B$22,0))</f>
        <v>308</v>
      </c>
      <c r="AO35" s="24">
        <f>VLOOKUP($Q35,武学奇术!$A:$ZZ,28,FALSE)</f>
        <v>2.4135</v>
      </c>
      <c r="AP35" s="25">
        <f>VLOOKUP($Q35,武学奇术!$A:$ZZ,29,FALSE)*(1+IF(OR($AL35=$F$4,$AL35=$F$5),$B$22,0))</f>
        <v>0</v>
      </c>
      <c r="AQ35" s="24" cm="1">
        <f t="array" ref="AQ35">$G$3+IFERROR(VLOOKUP($AL35,$F$4:$G$7,2,FALSE),0)+VLOOKUP($Q35,武学奇术!$A:$ZZ,2,FALSE)+SUM(_xlfn.XLOOKUP($R35:$AK35,增益!$A:$A,增益!$B:$B,0))</f>
        <v>0.7415</v>
      </c>
      <c r="AR35" s="24" cm="1">
        <f t="array" ref="AR35">VLOOKUP($Q35,武学奇术!$A:$ZZ,5,FALSE)+SUM(_xlfn.XLOOKUP($R35:$AK35,增益!$A:$A,增益!$E:$E,0))</f>
        <v>0.075</v>
      </c>
      <c r="AS35" cm="1">
        <f t="array" ref="AS35">$D$10*(1+$AR35)+VLOOKUP($Q35,武学奇术!$A:$ZZ,3,FALSE)+SUM(_xlfn.XLOOKUP($R35:$AK35,增益!$A:$A,增益!$C:$C,0))-$I$2</f>
        <v>4100.3171</v>
      </c>
      <c r="AT35" cm="1">
        <f t="array" ref="AT35">$E$10*(1+$AR35)+VLOOKUP($Q35,武学奇术!$A:$ZZ,4,FALSE)+SUM(_xlfn.XLOOKUP($R35:$AK35,增益!$A:$A,增益!$D:$D,0))-$I$2</f>
        <v>4100.3171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0.4175</v>
      </c>
      <c r="AV35" s="32" cm="1">
        <f t="array" ref="AV35">$G$10+VLOOKUP($Q35,武学奇术!$A:$ZZ,7,FALSE)+SUM(_xlfn.XLOOKUP($R35:$AK35,增益!$A:$A,增益!$G:$G,0))</f>
        <v>0</v>
      </c>
      <c r="AW35" s="24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2" cm="1">
        <f t="array" ref="BA35">$G$11+VLOOKUP($Q35,武学奇术!$A:$ZZ,10,FALSE)+SUM(_xlfn.XLOOKUP($R35:$AK35,增益!$A:$A,增益!$J:$J,0))</f>
        <v>0</v>
      </c>
      <c r="BB35">
        <f t="shared" ref="BB35:BB66" si="14">$D$12*(1+$AW35)</f>
        <v>0</v>
      </c>
      <c r="BC35">
        <f t="shared" ref="BC35:BC66" si="15">$E$12*(1+$AW35)</f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-0.3</v>
      </c>
      <c r="BE35" s="32" cm="1">
        <f t="array" ref="BE35">$G$12+VLOOKUP($Q35,武学奇术!$A:$ZZ,12,FALSE)+SUM(_xlfn.XLOOKUP($R35:$AK35,增益!$A:$A,增益!$L:$L,0))</f>
        <v>0</v>
      </c>
      <c r="BF35">
        <f t="shared" ref="BF35:BF66" si="16">$D$13*(1+$AW35)</f>
        <v>605.472</v>
      </c>
      <c r="BG35">
        <f t="shared" ref="BG35:BG66" si="17">$E$13*(1+$AW35)</f>
        <v>1579.612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</v>
      </c>
      <c r="BI35" s="32" cm="1">
        <f t="array" ref="BI35">$G$13+VLOOKUP($Q35,武学奇术!$A:$ZZ,14,FALSE)+SUM(_xlfn.XLOOKUP($R35:$AK35,增益!$A:$A,增益!$N:$N,0))</f>
        <v>0.15</v>
      </c>
      <c r="BJ35">
        <f t="shared" ref="BJ35:BJ66" si="18">$D$14*(1+$AW35)</f>
        <v>0</v>
      </c>
      <c r="BK35">
        <f t="shared" ref="BK35:BK66" si="19">$E$14*(1+$AW35)</f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2" cm="1">
        <f t="array" ref="BM35">$G$14+VLOOKUP($Q35,武学奇术!$A:$ZZ,16,FALSE)+SUM(_xlfn.XLOOKUP($R35:$AK35,增益!$A:$A,增益!$P:$P,0))</f>
        <v>0</v>
      </c>
      <c r="BN35" s="24">
        <f>MIN(IF(VLOOKUP($Q35,武学奇术!$A:$ZZ,23,FALSE)=1,100%,$B$8),100%)</f>
        <v>1</v>
      </c>
      <c r="BO35" s="24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0.9093</v>
      </c>
      <c r="BP35" s="24" cm="1">
        <f t="array" ref="BP35">1+$B$13+VLOOKUP($Q35,武学奇术!$A:$ZZ,18,FALSE)+SUM(_xlfn.XLOOKUP($R35:$AK35,增益!$A:$A,增益!$R:$R,0))</f>
        <v>1.8</v>
      </c>
      <c r="BQ35" s="24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4" cm="1">
        <f t="array" ref="BR35">1+$B$14+VLOOKUP($Q35,武学奇术!$A:$ZZ,20,FALSE)+SUM(_xlfn.XLOOKUP($R35:$AK35,增益!$A:$A,增益!$T:$T,0))</f>
        <v>1.35</v>
      </c>
      <c r="BS35" s="24">
        <f t="shared" ref="BS35:BS66" si="20">MIN((1-BQ35)*BN35,BN35*BO35)</f>
        <v>0.9071</v>
      </c>
      <c r="BT35" s="24">
        <f t="shared" ref="BT35:BT66" si="21">1-BQ35-BS35-BU35</f>
        <v>0</v>
      </c>
      <c r="BU35" s="24">
        <f>IF(VLOOKUP($Q35,武学奇术!$A:$ZZ,22,FALSE)=1,0,(1-$BN35))*(1-$BQ35)</f>
        <v>0</v>
      </c>
      <c r="BV35" s="24" cm="1">
        <f t="array" ref="BV35">SUM(_xlfn.XLOOKUP($R35:$AK35,增益!$A:$A,增益!$W:$W,0))+$I$5</f>
        <v>0.06</v>
      </c>
    </row>
    <row r="36" spans="1:74">
      <c r="A36" s="4" t="s">
        <v>161</v>
      </c>
      <c r="B36" s="4">
        <v>0.1</v>
      </c>
      <c r="C36" s="39"/>
      <c r="E36" s="39" t="s">
        <v>127</v>
      </c>
      <c r="G36" s="39"/>
      <c r="K36" s="38">
        <f t="shared" si="11"/>
        <v>53630.9609963043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弹道",$B$21,0))*(1+$BV36)</f>
        <v>54519.8378434167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弹道",$B$21,0))*(1+$BV36)</f>
        <v>44951.7339993645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弹道",$B$21,0))*(1+$BV36)</f>
        <v>30121.4573720534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弹道",$B$21,0))*(1+$BV36)</f>
        <v>26945.3340038369</v>
      </c>
      <c r="P36" s="39">
        <v>2</v>
      </c>
      <c r="Q36" s="40" t="s">
        <v>153</v>
      </c>
      <c r="R36" s="40" t="s">
        <v>97</v>
      </c>
      <c r="S36" s="40" t="s">
        <v>152</v>
      </c>
      <c r="T36" s="40" t="s">
        <v>78</v>
      </c>
      <c r="U36" s="40" t="s">
        <v>90</v>
      </c>
      <c r="V36" s="40" t="s">
        <v>78</v>
      </c>
      <c r="W36" s="40" t="s">
        <v>78</v>
      </c>
      <c r="X36" s="40" t="s">
        <v>78</v>
      </c>
      <c r="Y36" s="40" t="s">
        <v>151</v>
      </c>
      <c r="Z36" s="40" t="s">
        <v>78</v>
      </c>
      <c r="AA36" s="40" t="s">
        <v>78</v>
      </c>
      <c r="AB36" s="40" t="s">
        <v>84</v>
      </c>
      <c r="AC36" s="40" t="s">
        <v>78</v>
      </c>
      <c r="AD36" s="40" t="s">
        <v>78</v>
      </c>
      <c r="AE36" s="40" t="s">
        <v>78</v>
      </c>
      <c r="AF36" s="40" t="s">
        <v>117</v>
      </c>
      <c r="AG36" s="40" t="s">
        <v>78</v>
      </c>
      <c r="AH36" s="40" t="s">
        <v>78</v>
      </c>
      <c r="AI36" s="40" t="s">
        <v>78</v>
      </c>
      <c r="AJ36" s="40" t="s">
        <v>78</v>
      </c>
      <c r="AK36" s="40" t="s">
        <v>78</v>
      </c>
      <c r="AL36" t="str">
        <f>VLOOKUP($Q36,武学奇术!$A:$ZZ,25,FALSE)</f>
        <v>单体奇术</v>
      </c>
      <c r="AM36" s="24">
        <f>VLOOKUP($Q36,武学奇术!$A:$ZZ,26,FALSE)</f>
        <v>1.0239</v>
      </c>
      <c r="AN36" s="25">
        <f>VLOOKUP($Q36,武学奇术!$A:$ZZ,27,FALSE)*(1+IF(OR($AL36=$F$4,$AL36=$F$5),$B$22,0))</f>
        <v>196</v>
      </c>
      <c r="AO36" s="24">
        <f>VLOOKUP($Q36,武学奇术!$A:$ZZ,28,FALSE)</f>
        <v>1.53585</v>
      </c>
      <c r="AP36" s="25">
        <f>VLOOKUP($Q36,武学奇术!$A:$ZZ,29,FALSE)*(1+IF(OR($AL36=$F$4,$AL36=$F$5),$B$22,0))</f>
        <v>0</v>
      </c>
      <c r="AQ36" s="24" cm="1">
        <f t="array" ref="AQ36">$G$3+IFERROR(VLOOKUP($AL36,$F$4:$G$7,2,FALSE),0)+VLOOKUP($Q36,武学奇术!$A:$ZZ,2,FALSE)+SUM(_xlfn.XLOOKUP($R36:$AK36,增益!$A:$A,增益!$B:$B,0))</f>
        <v>0.7415</v>
      </c>
      <c r="AR36" s="24" cm="1">
        <f t="array" ref="AR36">VLOOKUP($Q36,武学奇术!$A:$ZZ,5,FALSE)+SUM(_xlfn.XLOOKUP($R36:$AK36,增益!$A:$A,增益!$E:$E,0))</f>
        <v>0.075</v>
      </c>
      <c r="AS36" cm="1">
        <f t="array" ref="AS36">$D$10*(1+$AR36)+VLOOKUP($Q36,武学奇术!$A:$ZZ,3,FALSE)+SUM(_xlfn.XLOOKUP($R36:$AK36,增益!$A:$A,增益!$C:$C,0))-$I$2</f>
        <v>4100.3171</v>
      </c>
      <c r="AT36" cm="1">
        <f t="array" ref="AT36">$E$10*(1+$AR36)+VLOOKUP($Q36,武学奇术!$A:$ZZ,4,FALSE)+SUM(_xlfn.XLOOKUP($R36:$AK36,增益!$A:$A,增益!$D:$D,0))-$I$2</f>
        <v>4100.3171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0.4175</v>
      </c>
      <c r="AV36" s="32" cm="1">
        <f t="array" ref="AV36">$G$10+VLOOKUP($Q36,武学奇术!$A:$ZZ,7,FALSE)+SUM(_xlfn.XLOOKUP($R36:$AK36,增益!$A:$A,增益!$G:$G,0))</f>
        <v>0</v>
      </c>
      <c r="AW36" s="24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2" cm="1">
        <f t="array" ref="BA36">$G$11+VLOOKUP($Q36,武学奇术!$A:$ZZ,10,FALSE)+SUM(_xlfn.XLOOKUP($R36:$AK36,增益!$A:$A,增益!$J:$J,0))</f>
        <v>0</v>
      </c>
      <c r="BB36">
        <f t="shared" si="14"/>
        <v>0</v>
      </c>
      <c r="BC36">
        <f t="shared" si="15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-0.3</v>
      </c>
      <c r="BE36" s="32" cm="1">
        <f t="array" ref="BE36">$G$12+VLOOKUP($Q36,武学奇术!$A:$ZZ,12,FALSE)+SUM(_xlfn.XLOOKUP($R36:$AK36,增益!$A:$A,增益!$L:$L,0))</f>
        <v>0</v>
      </c>
      <c r="BF36">
        <f t="shared" si="16"/>
        <v>605.472</v>
      </c>
      <c r="BG36">
        <f t="shared" si="17"/>
        <v>1579.612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</v>
      </c>
      <c r="BI36" s="32" cm="1">
        <f t="array" ref="BI36">$G$13+VLOOKUP($Q36,武学奇术!$A:$ZZ,14,FALSE)+SUM(_xlfn.XLOOKUP($R36:$AK36,增益!$A:$A,增益!$N:$N,0))</f>
        <v>0.15</v>
      </c>
      <c r="BJ36">
        <f t="shared" si="18"/>
        <v>0</v>
      </c>
      <c r="BK36">
        <f t="shared" si="19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2" cm="1">
        <f t="array" ref="BM36">$G$14+VLOOKUP($Q36,武学奇术!$A:$ZZ,16,FALSE)+SUM(_xlfn.XLOOKUP($R36:$AK36,增益!$A:$A,增益!$P:$P,0))</f>
        <v>0</v>
      </c>
      <c r="BN36" s="24">
        <f>MIN(IF(VLOOKUP($Q36,武学奇术!$A:$ZZ,23,FALSE)=1,100%,$B$8),100%)</f>
        <v>1</v>
      </c>
      <c r="BO36" s="24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0.9093</v>
      </c>
      <c r="BP36" s="24" cm="1">
        <f t="array" ref="BP36">1+$B$13+VLOOKUP($Q36,武学奇术!$A:$ZZ,18,FALSE)+SUM(_xlfn.XLOOKUP($R36:$AK36,增益!$A:$A,增益!$R:$R,0))</f>
        <v>1.81</v>
      </c>
      <c r="BQ36" s="24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4" cm="1">
        <f t="array" ref="BR36">1+$B$14+VLOOKUP($Q36,武学奇术!$A:$ZZ,20,FALSE)+SUM(_xlfn.XLOOKUP($R36:$AK36,增益!$A:$A,增益!$T:$T,0))</f>
        <v>1.35</v>
      </c>
      <c r="BS36" s="24">
        <f t="shared" si="20"/>
        <v>0.9071</v>
      </c>
      <c r="BT36" s="24">
        <f t="shared" si="21"/>
        <v>0</v>
      </c>
      <c r="BU36" s="24">
        <f>IF(VLOOKUP($Q36,武学奇术!$A:$ZZ,22,FALSE)=1,0,(1-$BN36))*(1-$BQ36)</f>
        <v>0</v>
      </c>
      <c r="BV36" s="24" cm="1">
        <f t="array" ref="BV36">SUM(_xlfn.XLOOKUP($R36:$AK36,增益!$A:$A,增益!$W:$W,0))+$I$5</f>
        <v>0.06</v>
      </c>
    </row>
    <row r="37" spans="1:74">
      <c r="A37" s="4" t="s">
        <v>162</v>
      </c>
      <c r="B37" s="4">
        <v>1.5</v>
      </c>
      <c r="C37" s="39"/>
      <c r="E37" s="39"/>
      <c r="F37">
        <v>-20</v>
      </c>
      <c r="G37" s="39"/>
      <c r="K37" s="38">
        <f t="shared" si="11"/>
        <v>84277.9474035323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弹道",$B$21,0))*(1+$BV37)</f>
        <v>85674.7656678185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弹道",$B$21,0))*(1+$BV37)</f>
        <v>70639.0469995066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弹道",$B$21,0))*(1+$BV37)</f>
        <v>47334.1246783527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弹道",$B$21,0))*(1+$BV37)</f>
        <v>42343.029357071</v>
      </c>
      <c r="P37" s="39">
        <v>2</v>
      </c>
      <c r="Q37" s="40" t="s">
        <v>155</v>
      </c>
      <c r="R37" s="40" t="s">
        <v>97</v>
      </c>
      <c r="S37" s="40" t="s">
        <v>152</v>
      </c>
      <c r="T37" s="40" t="s">
        <v>78</v>
      </c>
      <c r="U37" s="40" t="s">
        <v>90</v>
      </c>
      <c r="V37" s="40" t="s">
        <v>78</v>
      </c>
      <c r="W37" s="40" t="s">
        <v>78</v>
      </c>
      <c r="X37" s="40" t="s">
        <v>78</v>
      </c>
      <c r="Y37" s="40" t="s">
        <v>151</v>
      </c>
      <c r="Z37" s="40" t="s">
        <v>78</v>
      </c>
      <c r="AA37" s="40" t="s">
        <v>78</v>
      </c>
      <c r="AB37" s="40" t="s">
        <v>78</v>
      </c>
      <c r="AC37" s="40" t="s">
        <v>78</v>
      </c>
      <c r="AD37" s="40" t="s">
        <v>78</v>
      </c>
      <c r="AE37" s="40" t="s">
        <v>78</v>
      </c>
      <c r="AF37" s="40" t="s">
        <v>117</v>
      </c>
      <c r="AG37" s="40" t="s">
        <v>78</v>
      </c>
      <c r="AH37" s="40" t="s">
        <v>78</v>
      </c>
      <c r="AI37" s="40" t="s">
        <v>78</v>
      </c>
      <c r="AJ37" s="40" t="s">
        <v>78</v>
      </c>
      <c r="AK37" s="40" t="s">
        <v>78</v>
      </c>
      <c r="AL37" t="str">
        <f>VLOOKUP($Q37,武学奇术!$A:$ZZ,25,FALSE)</f>
        <v>单体奇术</v>
      </c>
      <c r="AM37" s="24">
        <f>VLOOKUP($Q37,武学奇术!$A:$ZZ,26,FALSE)</f>
        <v>1.609</v>
      </c>
      <c r="AN37" s="25">
        <f>VLOOKUP($Q37,武学奇术!$A:$ZZ,27,FALSE)*(1+IF(OR($AL37=$F$4,$AL37=$F$5),$B$22,0))</f>
        <v>308</v>
      </c>
      <c r="AO37" s="24">
        <f>VLOOKUP($Q37,武学奇术!$A:$ZZ,28,FALSE)</f>
        <v>2.4135</v>
      </c>
      <c r="AP37" s="25">
        <f>VLOOKUP($Q37,武学奇术!$A:$ZZ,29,FALSE)*(1+IF(OR($AL37=$F$4,$AL37=$F$5),$B$22,0))</f>
        <v>0</v>
      </c>
      <c r="AQ37" s="24" cm="1">
        <f t="array" ref="AQ37">$G$3+IFERROR(VLOOKUP($AL37,$F$4:$G$7,2,FALSE),0)+VLOOKUP($Q37,武学奇术!$A:$ZZ,2,FALSE)+SUM(_xlfn.XLOOKUP($R37:$AK37,增益!$A:$A,增益!$B:$B,0))</f>
        <v>0.7415</v>
      </c>
      <c r="AR37" s="24" cm="1">
        <f t="array" ref="AR37">VLOOKUP($Q37,武学奇术!$A:$ZZ,5,FALSE)+SUM(_xlfn.XLOOKUP($R37:$AK37,增益!$A:$A,增益!$E:$E,0))</f>
        <v>0.075</v>
      </c>
      <c r="AS37" cm="1">
        <f t="array" ref="AS37">$D$10*(1+$AR37)+VLOOKUP($Q37,武学奇术!$A:$ZZ,3,FALSE)+SUM(_xlfn.XLOOKUP($R37:$AK37,增益!$A:$A,增益!$C:$C,0))-$I$2</f>
        <v>4100.3171</v>
      </c>
      <c r="AT37" cm="1">
        <f t="array" ref="AT37">$E$10*(1+$AR37)+VLOOKUP($Q37,武学奇术!$A:$ZZ,4,FALSE)+SUM(_xlfn.XLOOKUP($R37:$AK37,增益!$A:$A,增益!$D:$D,0))-$I$2</f>
        <v>4100.3171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0.4175</v>
      </c>
      <c r="AV37" s="32" cm="1">
        <f t="array" ref="AV37">$G$10+VLOOKUP($Q37,武学奇术!$A:$ZZ,7,FALSE)+SUM(_xlfn.XLOOKUP($R37:$AK37,增益!$A:$A,增益!$G:$G,0))</f>
        <v>0</v>
      </c>
      <c r="AW37" s="24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2" cm="1">
        <f t="array" ref="BA37">$G$11+VLOOKUP($Q37,武学奇术!$A:$ZZ,10,FALSE)+SUM(_xlfn.XLOOKUP($R37:$AK37,增益!$A:$A,增益!$J:$J,0))</f>
        <v>0</v>
      </c>
      <c r="BB37">
        <f t="shared" si="14"/>
        <v>0</v>
      </c>
      <c r="BC37">
        <f t="shared" si="15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-0.3</v>
      </c>
      <c r="BE37" s="32" cm="1">
        <f t="array" ref="BE37">$G$12+VLOOKUP($Q37,武学奇术!$A:$ZZ,12,FALSE)+SUM(_xlfn.XLOOKUP($R37:$AK37,增益!$A:$A,增益!$L:$L,0))</f>
        <v>0</v>
      </c>
      <c r="BF37">
        <f t="shared" si="16"/>
        <v>605.472</v>
      </c>
      <c r="BG37">
        <f t="shared" si="17"/>
        <v>1579.612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</v>
      </c>
      <c r="BI37" s="32" cm="1">
        <f t="array" ref="BI37">$G$13+VLOOKUP($Q37,武学奇术!$A:$ZZ,14,FALSE)+SUM(_xlfn.XLOOKUP($R37:$AK37,增益!$A:$A,增益!$N:$N,0))</f>
        <v>0.15</v>
      </c>
      <c r="BJ37">
        <f t="shared" si="18"/>
        <v>0</v>
      </c>
      <c r="BK37">
        <f t="shared" si="19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2" cm="1">
        <f t="array" ref="BM37">$G$14+VLOOKUP($Q37,武学奇术!$A:$ZZ,16,FALSE)+SUM(_xlfn.XLOOKUP($R37:$AK37,增益!$A:$A,增益!$P:$P,0))</f>
        <v>0</v>
      </c>
      <c r="BN37" s="24">
        <f>MIN(IF(VLOOKUP($Q37,武学奇术!$A:$ZZ,23,FALSE)=1,100%,$B$8),100%)</f>
        <v>1</v>
      </c>
      <c r="BO37" s="24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0.9093</v>
      </c>
      <c r="BP37" s="24" cm="1">
        <f t="array" ref="BP37">1+$B$13+VLOOKUP($Q37,武学奇术!$A:$ZZ,18,FALSE)+SUM(_xlfn.XLOOKUP($R37:$AK37,增益!$A:$A,增益!$R:$R,0))</f>
        <v>1.81</v>
      </c>
      <c r="BQ37" s="24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4" cm="1">
        <f t="array" ref="BR37">1+$B$14+VLOOKUP($Q37,武学奇术!$A:$ZZ,20,FALSE)+SUM(_xlfn.XLOOKUP($R37:$AK37,增益!$A:$A,增益!$T:$T,0))</f>
        <v>1.35</v>
      </c>
      <c r="BS37" s="24">
        <f t="shared" si="20"/>
        <v>0.9071</v>
      </c>
      <c r="BT37" s="24">
        <f t="shared" si="21"/>
        <v>0</v>
      </c>
      <c r="BU37" s="24">
        <f>IF(VLOOKUP($Q37,武学奇术!$A:$ZZ,22,FALSE)=1,0,(1-$BN37))*(1-$BQ37)</f>
        <v>0</v>
      </c>
      <c r="BV37" s="24" cm="1">
        <f t="array" ref="BV37">SUM(_xlfn.XLOOKUP($R37:$AK37,增益!$A:$A,增益!$W:$W,0))+$I$5</f>
        <v>0.06</v>
      </c>
    </row>
    <row r="38" spans="1:74">
      <c r="A38" t="s">
        <v>163</v>
      </c>
      <c r="B38">
        <v>2.1</v>
      </c>
      <c r="C38" s="39"/>
      <c r="E38" s="39"/>
      <c r="F38">
        <v>-24</v>
      </c>
      <c r="G38" s="39"/>
      <c r="K38" s="38">
        <f t="shared" si="11"/>
        <v>65225.2792256138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弹道",$B$21,0))*(1+$BV38)</f>
        <v>66306.3368315291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弹道",$B$21,0))*(1+$BV38)</f>
        <v>54669.54882383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弹道",$B$21,0))*(1+$BV38)</f>
        <v>36633.3352660381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弹道",$B$21,0))*(1+$BV38)</f>
        <v>32770.7084403504</v>
      </c>
      <c r="P38" s="39">
        <v>1</v>
      </c>
      <c r="Q38" s="40" t="s">
        <v>164</v>
      </c>
      <c r="R38" s="40" t="s">
        <v>97</v>
      </c>
      <c r="S38" s="40" t="s">
        <v>152</v>
      </c>
      <c r="T38" s="40" t="s">
        <v>78</v>
      </c>
      <c r="U38" s="40" t="s">
        <v>90</v>
      </c>
      <c r="V38" s="40" t="s">
        <v>78</v>
      </c>
      <c r="W38" s="40" t="s">
        <v>78</v>
      </c>
      <c r="X38" s="40" t="s">
        <v>78</v>
      </c>
      <c r="Y38" s="40" t="s">
        <v>151</v>
      </c>
      <c r="Z38" s="40" t="s">
        <v>78</v>
      </c>
      <c r="AA38" s="40" t="s">
        <v>78</v>
      </c>
      <c r="AB38" s="40" t="s">
        <v>78</v>
      </c>
      <c r="AC38" s="40" t="s">
        <v>78</v>
      </c>
      <c r="AD38" s="40" t="s">
        <v>78</v>
      </c>
      <c r="AE38" s="40" t="s">
        <v>78</v>
      </c>
      <c r="AF38" s="40" t="s">
        <v>117</v>
      </c>
      <c r="AG38" s="40" t="s">
        <v>78</v>
      </c>
      <c r="AH38" s="40" t="s">
        <v>78</v>
      </c>
      <c r="AI38" s="40" t="s">
        <v>78</v>
      </c>
      <c r="AJ38" s="40" t="s">
        <v>78</v>
      </c>
      <c r="AK38" s="40" t="s">
        <v>78</v>
      </c>
      <c r="AL38" t="str">
        <f>VLOOKUP($Q38,武学奇术!$A:$ZZ,25,FALSE)</f>
        <v>单体奇术</v>
      </c>
      <c r="AM38" s="24">
        <f>VLOOKUP($Q38,武学奇术!$A:$ZZ,26,FALSE)</f>
        <v>1.7065</v>
      </c>
      <c r="AN38" s="25">
        <f>VLOOKUP($Q38,武学奇术!$A:$ZZ,27,FALSE)*(1+IF(OR($AL38=$F$4,$AL38=$F$5),$B$22,0))</f>
        <v>327</v>
      </c>
      <c r="AO38" s="24">
        <f>VLOOKUP($Q38,武学奇术!$A:$ZZ,28,FALSE)</f>
        <v>2.55975</v>
      </c>
      <c r="AP38" s="25">
        <f>VLOOKUP($Q38,武学奇术!$A:$ZZ,29,FALSE)*(1+IF(OR($AL38=$F$4,$AL38=$F$5),$B$22,0))</f>
        <v>0</v>
      </c>
      <c r="AQ38" s="24" cm="1">
        <f t="array" ref="AQ38">$G$3+IFERROR(VLOOKUP($AL38,$F$4:$G$7,2,FALSE),0)+VLOOKUP($Q38,武学奇术!$A:$ZZ,2,FALSE)+SUM(_xlfn.XLOOKUP($R38:$AK38,增益!$A:$A,增益!$B:$B,0))</f>
        <v>1.5415</v>
      </c>
      <c r="AR38" s="24" cm="1">
        <f t="array" ref="AR38">VLOOKUP($Q38,武学奇术!$A:$ZZ,5,FALSE)+SUM(_xlfn.XLOOKUP($R38:$AK38,增益!$A:$A,增益!$E:$E,0))</f>
        <v>0.075</v>
      </c>
      <c r="AS38" cm="1">
        <f t="array" ref="AS38">$D$10*(1+$AR38)+VLOOKUP($Q38,武学奇术!$A:$ZZ,3,FALSE)+SUM(_xlfn.XLOOKUP($R38:$AK38,增益!$A:$A,增益!$C:$C,0))-$I$2</f>
        <v>4100.3171</v>
      </c>
      <c r="AT38" cm="1">
        <f t="array" ref="AT38">$E$10*(1+$AR38)+VLOOKUP($Q38,武学奇术!$A:$ZZ,4,FALSE)+SUM(_xlfn.XLOOKUP($R38:$AK38,增益!$A:$A,增益!$D:$D,0))-$I$2</f>
        <v>4100.3171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0.4175</v>
      </c>
      <c r="AV38" s="32" cm="1">
        <f t="array" ref="AV38">$G$10+VLOOKUP($Q38,武学奇术!$A:$ZZ,7,FALSE)+SUM(_xlfn.XLOOKUP($R38:$AK38,增益!$A:$A,增益!$G:$G,0))</f>
        <v>0</v>
      </c>
      <c r="AW38" s="24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2" cm="1">
        <f t="array" ref="BA38">$G$11+VLOOKUP($Q38,武学奇术!$A:$ZZ,10,FALSE)+SUM(_xlfn.XLOOKUP($R38:$AK38,增益!$A:$A,增益!$J:$J,0))</f>
        <v>0</v>
      </c>
      <c r="BB38">
        <f t="shared" si="14"/>
        <v>0</v>
      </c>
      <c r="BC38">
        <f t="shared" si="15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-0.3</v>
      </c>
      <c r="BE38" s="32" cm="1">
        <f t="array" ref="BE38">$G$12+VLOOKUP($Q38,武学奇术!$A:$ZZ,12,FALSE)+SUM(_xlfn.XLOOKUP($R38:$AK38,增益!$A:$A,增益!$L:$L,0))</f>
        <v>0</v>
      </c>
      <c r="BF38">
        <f t="shared" si="16"/>
        <v>605.472</v>
      </c>
      <c r="BG38">
        <f t="shared" si="17"/>
        <v>1579.612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</v>
      </c>
      <c r="BI38" s="32" cm="1">
        <f t="array" ref="BI38">$G$13+VLOOKUP($Q38,武学奇术!$A:$ZZ,14,FALSE)+SUM(_xlfn.XLOOKUP($R38:$AK38,增益!$A:$A,增益!$N:$N,0))</f>
        <v>0.15</v>
      </c>
      <c r="BJ38">
        <f t="shared" si="18"/>
        <v>0</v>
      </c>
      <c r="BK38">
        <f t="shared" si="19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2" cm="1">
        <f t="array" ref="BM38">$G$14+VLOOKUP($Q38,武学奇术!$A:$ZZ,16,FALSE)+SUM(_xlfn.XLOOKUP($R38:$AK38,增益!$A:$A,增益!$P:$P,0))</f>
        <v>0</v>
      </c>
      <c r="BN38" s="24">
        <f>MIN(IF(VLOOKUP($Q38,武学奇术!$A:$ZZ,23,FALSE)=1,100%,$B$8),100%)</f>
        <v>1</v>
      </c>
      <c r="BO38" s="24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0.9093</v>
      </c>
      <c r="BP38" s="24" cm="1">
        <f t="array" ref="BP38">1+$B$13+VLOOKUP($Q38,武学奇术!$A:$ZZ,18,FALSE)+SUM(_xlfn.XLOOKUP($R38:$AK38,增益!$A:$A,增益!$R:$R,0))</f>
        <v>1.81</v>
      </c>
      <c r="BQ38" s="24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4" cm="1">
        <f t="array" ref="BR38">1+$B$14+VLOOKUP($Q38,武学奇术!$A:$ZZ,20,FALSE)+SUM(_xlfn.XLOOKUP($R38:$AK38,增益!$A:$A,增益!$T:$T,0))</f>
        <v>1.35</v>
      </c>
      <c r="BS38" s="24">
        <f t="shared" si="20"/>
        <v>0.9071</v>
      </c>
      <c r="BT38" s="24">
        <f t="shared" si="21"/>
        <v>0</v>
      </c>
      <c r="BU38" s="24">
        <f>IF(VLOOKUP($Q38,武学奇术!$A:$ZZ,22,FALSE)=1,0,(1-$BN38))*(1-$BQ38)</f>
        <v>0</v>
      </c>
      <c r="BV38" s="24" cm="1">
        <f t="array" ref="BV38">SUM(_xlfn.XLOOKUP($R38:$AK38,增益!$A:$A,增益!$W:$W,0))+$I$5</f>
        <v>0.06</v>
      </c>
    </row>
    <row r="39" spans="1:74">
      <c r="A39" s="4" t="s">
        <v>101</v>
      </c>
      <c r="B39" s="4">
        <v>1.25</v>
      </c>
      <c r="C39" s="39"/>
      <c r="E39" s="39"/>
      <c r="F39" s="4"/>
      <c r="G39" s="39"/>
      <c r="K39" s="38">
        <f t="shared" si="11"/>
        <v>42138.9737017661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弹道",$B$21,0))*(1+$BV39)</f>
        <v>42837.3828339092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弹道",$B$21,0))*(1+$BV39)</f>
        <v>35319.5234997533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弹道",$B$21,0))*(1+$BV39)</f>
        <v>23667.0623391764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弹道",$B$21,0))*(1+$BV39)</f>
        <v>21171.5146785355</v>
      </c>
      <c r="P39" s="39">
        <v>1</v>
      </c>
      <c r="Q39" s="40" t="s">
        <v>155</v>
      </c>
      <c r="R39" s="40" t="s">
        <v>97</v>
      </c>
      <c r="S39" s="40" t="s">
        <v>152</v>
      </c>
      <c r="T39" s="40" t="s">
        <v>78</v>
      </c>
      <c r="U39" s="40" t="s">
        <v>90</v>
      </c>
      <c r="V39" s="40" t="s">
        <v>78</v>
      </c>
      <c r="W39" s="40" t="s">
        <v>78</v>
      </c>
      <c r="X39" s="40" t="s">
        <v>78</v>
      </c>
      <c r="Y39" s="40" t="s">
        <v>151</v>
      </c>
      <c r="Z39" s="40" t="s">
        <v>78</v>
      </c>
      <c r="AA39" s="40" t="s">
        <v>78</v>
      </c>
      <c r="AB39" s="40" t="s">
        <v>78</v>
      </c>
      <c r="AC39" s="40" t="s">
        <v>78</v>
      </c>
      <c r="AD39" s="40" t="s">
        <v>78</v>
      </c>
      <c r="AE39" s="40" t="s">
        <v>78</v>
      </c>
      <c r="AF39" s="40" t="s">
        <v>117</v>
      </c>
      <c r="AG39" s="40" t="s">
        <v>78</v>
      </c>
      <c r="AH39" s="40" t="s">
        <v>78</v>
      </c>
      <c r="AI39" s="40" t="s">
        <v>78</v>
      </c>
      <c r="AJ39" s="40" t="s">
        <v>78</v>
      </c>
      <c r="AK39" s="40" t="s">
        <v>78</v>
      </c>
      <c r="AL39" t="str">
        <f>VLOOKUP($Q39,武学奇术!$A:$ZZ,25,FALSE)</f>
        <v>单体奇术</v>
      </c>
      <c r="AM39" s="24">
        <f>VLOOKUP($Q39,武学奇术!$A:$ZZ,26,FALSE)</f>
        <v>1.609</v>
      </c>
      <c r="AN39" s="25">
        <f>VLOOKUP($Q39,武学奇术!$A:$ZZ,27,FALSE)*(1+IF(OR($AL39=$F$4,$AL39=$F$5),$B$22,0))</f>
        <v>308</v>
      </c>
      <c r="AO39" s="24">
        <f>VLOOKUP($Q39,武学奇术!$A:$ZZ,28,FALSE)</f>
        <v>2.4135</v>
      </c>
      <c r="AP39" s="25">
        <f>VLOOKUP($Q39,武学奇术!$A:$ZZ,29,FALSE)*(1+IF(OR($AL39=$F$4,$AL39=$F$5),$B$22,0))</f>
        <v>0</v>
      </c>
      <c r="AQ39" s="24" cm="1">
        <f t="array" ref="AQ39">$G$3+IFERROR(VLOOKUP($AL39,$F$4:$G$7,2,FALSE),0)+VLOOKUP($Q39,武学奇术!$A:$ZZ,2,FALSE)+SUM(_xlfn.XLOOKUP($R39:$AK39,增益!$A:$A,增益!$B:$B,0))</f>
        <v>0.7415</v>
      </c>
      <c r="AR39" s="24" cm="1">
        <f t="array" ref="AR39">VLOOKUP($Q39,武学奇术!$A:$ZZ,5,FALSE)+SUM(_xlfn.XLOOKUP($R39:$AK39,增益!$A:$A,增益!$E:$E,0))</f>
        <v>0.075</v>
      </c>
      <c r="AS39" cm="1">
        <f t="array" ref="AS39">$D$10*(1+$AR39)+VLOOKUP($Q39,武学奇术!$A:$ZZ,3,FALSE)+SUM(_xlfn.XLOOKUP($R39:$AK39,增益!$A:$A,增益!$C:$C,0))-$I$2</f>
        <v>4100.3171</v>
      </c>
      <c r="AT39" cm="1">
        <f t="array" ref="AT39">$E$10*(1+$AR39)+VLOOKUP($Q39,武学奇术!$A:$ZZ,4,FALSE)+SUM(_xlfn.XLOOKUP($R39:$AK39,增益!$A:$A,增益!$D:$D,0))-$I$2</f>
        <v>4100.3171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0.4175</v>
      </c>
      <c r="AV39" s="32" cm="1">
        <f t="array" ref="AV39">$G$10+VLOOKUP($Q39,武学奇术!$A:$ZZ,7,FALSE)+SUM(_xlfn.XLOOKUP($R39:$AK39,增益!$A:$A,增益!$G:$G,0))</f>
        <v>0</v>
      </c>
      <c r="AW39" s="24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2" cm="1">
        <f t="array" ref="BA39">$G$11+VLOOKUP($Q39,武学奇术!$A:$ZZ,10,FALSE)+SUM(_xlfn.XLOOKUP($R39:$AK39,增益!$A:$A,增益!$J:$J,0))</f>
        <v>0</v>
      </c>
      <c r="BB39">
        <f t="shared" si="14"/>
        <v>0</v>
      </c>
      <c r="BC39">
        <f t="shared" si="15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2" cm="1">
        <f t="array" ref="BE39">$G$12+VLOOKUP($Q39,武学奇术!$A:$ZZ,12,FALSE)+SUM(_xlfn.XLOOKUP($R39:$AK39,增益!$A:$A,增益!$L:$L,0))</f>
        <v>0</v>
      </c>
      <c r="BF39">
        <f t="shared" si="16"/>
        <v>605.472</v>
      </c>
      <c r="BG39">
        <f t="shared" si="17"/>
        <v>1579.612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2" cm="1">
        <f t="array" ref="BI39">$G$13+VLOOKUP($Q39,武学奇术!$A:$ZZ,14,FALSE)+SUM(_xlfn.XLOOKUP($R39:$AK39,增益!$A:$A,增益!$N:$N,0))</f>
        <v>0.15</v>
      </c>
      <c r="BJ39">
        <f t="shared" si="18"/>
        <v>0</v>
      </c>
      <c r="BK39">
        <f t="shared" si="19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2" cm="1">
        <f t="array" ref="BM39">$G$14+VLOOKUP($Q39,武学奇术!$A:$ZZ,16,FALSE)+SUM(_xlfn.XLOOKUP($R39:$AK39,增益!$A:$A,增益!$P:$P,0))</f>
        <v>0</v>
      </c>
      <c r="BN39" s="24">
        <f>MIN(IF(VLOOKUP($Q39,武学奇术!$A:$ZZ,23,FALSE)=1,100%,$B$8),100%)</f>
        <v>1</v>
      </c>
      <c r="BO39" s="24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0.9093</v>
      </c>
      <c r="BP39" s="24" cm="1">
        <f t="array" ref="BP39">1+$B$13+VLOOKUP($Q39,武学奇术!$A:$ZZ,18,FALSE)+SUM(_xlfn.XLOOKUP($R39:$AK39,增益!$A:$A,增益!$R:$R,0))</f>
        <v>1.81</v>
      </c>
      <c r="BQ39" s="24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4" cm="1">
        <f t="array" ref="BR39">1+$B$14+VLOOKUP($Q39,武学奇术!$A:$ZZ,20,FALSE)+SUM(_xlfn.XLOOKUP($R39:$AK39,增益!$A:$A,增益!$T:$T,0))</f>
        <v>1.35</v>
      </c>
      <c r="BS39" s="24">
        <f t="shared" si="20"/>
        <v>0.9071</v>
      </c>
      <c r="BT39" s="24">
        <f t="shared" si="21"/>
        <v>0</v>
      </c>
      <c r="BU39" s="24">
        <f>IF(VLOOKUP($Q39,武学奇术!$A:$ZZ,22,FALSE)=1,0,(1-$BN39))*(1-$BQ39)</f>
        <v>0</v>
      </c>
      <c r="BV39" s="24" cm="1">
        <f t="array" ref="BV39">SUM(_xlfn.XLOOKUP($R39:$AK39,增益!$A:$A,增益!$W:$W,0))+$I$5</f>
        <v>0.06</v>
      </c>
    </row>
    <row r="40" spans="1:74">
      <c r="A40" s="4" t="s">
        <v>159</v>
      </c>
      <c r="B40" s="88">
        <v>1.3</v>
      </c>
      <c r="C40" s="39"/>
      <c r="E40" s="39"/>
      <c r="G40" s="39"/>
      <c r="K40" s="38">
        <f t="shared" si="11"/>
        <v>58519.0832522244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弹道",$B$21,0))*(1+$BV40)</f>
        <v>59745.548617929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弹道",$B$21,0))*(1+$BV40)</f>
        <v>46543.5532927984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弹道",$B$21,0))*(1+$BV40)</f>
        <v>31280.3919465597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弹道",$B$21,0))*(1+$BV40)</f>
        <v>28084.0777503057</v>
      </c>
      <c r="P40" s="39">
        <v>1</v>
      </c>
      <c r="Q40" s="40" t="s">
        <v>113</v>
      </c>
      <c r="R40" s="40" t="s">
        <v>97</v>
      </c>
      <c r="S40" s="40" t="s">
        <v>98</v>
      </c>
      <c r="T40" s="40" t="s">
        <v>106</v>
      </c>
      <c r="U40" s="40" t="s">
        <v>90</v>
      </c>
      <c r="V40" s="40" t="s">
        <v>102</v>
      </c>
      <c r="W40" s="40" t="s">
        <v>78</v>
      </c>
      <c r="X40" s="40" t="s">
        <v>78</v>
      </c>
      <c r="Y40" s="40" t="s">
        <v>78</v>
      </c>
      <c r="Z40" s="40" t="s">
        <v>78</v>
      </c>
      <c r="AA40" s="40" t="s">
        <v>79</v>
      </c>
      <c r="AB40" s="40" t="s">
        <v>78</v>
      </c>
      <c r="AC40" s="40" t="s">
        <v>78</v>
      </c>
      <c r="AD40" s="40" t="s">
        <v>78</v>
      </c>
      <c r="AE40" s="40" t="s">
        <v>78</v>
      </c>
      <c r="AF40" s="40" t="s">
        <v>117</v>
      </c>
      <c r="AG40" s="40" t="s">
        <v>78</v>
      </c>
      <c r="AH40" s="40" t="s">
        <v>78</v>
      </c>
      <c r="AI40" s="40" t="s">
        <v>78</v>
      </c>
      <c r="AJ40" s="40" t="s">
        <v>78</v>
      </c>
      <c r="AK40" s="40" t="s">
        <v>78</v>
      </c>
      <c r="AL40" t="str">
        <f>VLOOKUP($Q40,武学奇术!$A:$ZZ,25,FALSE)</f>
        <v>伞</v>
      </c>
      <c r="AM40" s="24">
        <f>VLOOKUP($Q40,武学奇术!$A:$ZZ,26,FALSE)</f>
        <v>1.174955</v>
      </c>
      <c r="AN40" s="25">
        <f>VLOOKUP($Q40,武学奇术!$A:$ZZ,27,FALSE)*(1+IF(OR($AL40=$F$4,$AL40=$F$5),$B$22,0))</f>
        <v>486.45</v>
      </c>
      <c r="AO40" s="24">
        <f>VLOOKUP($Q40,武学奇术!$A:$ZZ,28,FALSE)</f>
        <v>1.762375</v>
      </c>
      <c r="AP40" s="25">
        <f>VLOOKUP($Q40,武学奇术!$A:$ZZ,29,FALSE)*(1+IF(OR($AL40=$F$4,$AL40=$F$5),$B$22,0))</f>
        <v>265.65</v>
      </c>
      <c r="AQ40" s="24" cm="1">
        <f t="array" ref="AQ40">$G$3+IFERROR(VLOOKUP($AL40,$F$4:$G$7,2,FALSE),0)+VLOOKUP($Q40,武学奇术!$A:$ZZ,2,FALSE)+SUM(_xlfn.XLOOKUP($R40:$AK40,增益!$A:$A,增益!$B:$B,0))</f>
        <v>1.3141</v>
      </c>
      <c r="AR40" s="24" cm="1">
        <f t="array" ref="AR40">VLOOKUP($Q40,武学奇术!$A:$ZZ,5,FALSE)+SUM(_xlfn.XLOOKUP($R40:$AK40,增益!$A:$A,增益!$E:$E,0))</f>
        <v>0.075</v>
      </c>
      <c r="AS40" cm="1">
        <f t="array" ref="AS40">$D$10*(1+$AR40)+VLOOKUP($Q40,武学奇术!$A:$ZZ,3,FALSE)+SUM(_xlfn.XLOOKUP($R40:$AK40,增益!$A:$A,增益!$C:$C,0))-$I$2</f>
        <v>4100.3171</v>
      </c>
      <c r="AT40" cm="1">
        <f t="array" ref="AT40">$E$10*(1+$AR40)+VLOOKUP($Q40,武学奇术!$A:$ZZ,4,FALSE)+SUM(_xlfn.XLOOKUP($R40:$AK40,增益!$A:$A,增益!$D:$D,0))-$I$2</f>
        <v>4100.3171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0.3175</v>
      </c>
      <c r="AV40" s="32" cm="1">
        <f t="array" ref="AV40">$G$10+VLOOKUP($Q40,武学奇术!$A:$ZZ,7,FALSE)+SUM(_xlfn.XLOOKUP($R40:$AK40,增益!$A:$A,增益!$G:$G,0))</f>
        <v>0</v>
      </c>
      <c r="AW40" s="24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2" cm="1">
        <f t="array" ref="BA40">$G$11+VLOOKUP($Q40,武学奇术!$A:$ZZ,10,FALSE)+SUM(_xlfn.XLOOKUP($R40:$AK40,增益!$A:$A,增益!$J:$J,0))</f>
        <v>0</v>
      </c>
      <c r="BB40">
        <f t="shared" si="14"/>
        <v>0</v>
      </c>
      <c r="BC40">
        <f t="shared" si="15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2" cm="1">
        <f t="array" ref="BE40">$G$12+VLOOKUP($Q40,武学奇术!$A:$ZZ,12,FALSE)+SUM(_xlfn.XLOOKUP($R40:$AK40,增益!$A:$A,增益!$L:$L,0))</f>
        <v>0</v>
      </c>
      <c r="BF40">
        <f t="shared" si="16"/>
        <v>605.472</v>
      </c>
      <c r="BG40">
        <f t="shared" si="17"/>
        <v>1579.612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2" cm="1">
        <f t="array" ref="BI40">$G$13+VLOOKUP($Q40,武学奇术!$A:$ZZ,14,FALSE)+SUM(_xlfn.XLOOKUP($R40:$AK40,增益!$A:$A,增益!$N:$N,0))</f>
        <v>0.15</v>
      </c>
      <c r="BJ40">
        <f t="shared" si="18"/>
        <v>0</v>
      </c>
      <c r="BK40">
        <f t="shared" si="19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2" cm="1">
        <f t="array" ref="BM40">$G$14+VLOOKUP($Q40,武学奇术!$A:$ZZ,16,FALSE)+SUM(_xlfn.XLOOKUP($R40:$AK40,增益!$A:$A,增益!$P:$P,0))</f>
        <v>0</v>
      </c>
      <c r="BN40" s="24">
        <f>MIN(IF(VLOOKUP($Q40,武学奇术!$A:$ZZ,23,FALSE)=1,100%,$B$8),100%)</f>
        <v>1</v>
      </c>
      <c r="BO40" s="24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0.9093</v>
      </c>
      <c r="BP40" s="24" cm="1">
        <f t="array" ref="BP40">1+$B$13+VLOOKUP($Q40,武学奇术!$A:$ZZ,18,FALSE)+SUM(_xlfn.XLOOKUP($R40:$AK40,增益!$A:$A,增益!$R:$R,0))</f>
        <v>1.91</v>
      </c>
      <c r="BQ40" s="24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4" cm="1">
        <f t="array" ref="BR40">1+$B$14+VLOOKUP($Q40,武学奇术!$A:$ZZ,20,FALSE)+SUM(_xlfn.XLOOKUP($R40:$AK40,增益!$A:$A,增益!$T:$T,0))</f>
        <v>1.35</v>
      </c>
      <c r="BS40" s="24">
        <f t="shared" si="20"/>
        <v>0.9071</v>
      </c>
      <c r="BT40" s="24">
        <f t="shared" si="21"/>
        <v>0</v>
      </c>
      <c r="BU40" s="24">
        <f>IF(VLOOKUP($Q40,武学奇术!$A:$ZZ,22,FALSE)=1,0,(1-$BN40))*(1-$BQ40)</f>
        <v>0</v>
      </c>
      <c r="BV40" s="24" cm="1">
        <f t="array" ref="BV40">SUM(_xlfn.XLOOKUP($R40:$AK40,增益!$A:$A,增益!$W:$W,0))+$I$5</f>
        <v>0.06</v>
      </c>
    </row>
    <row r="41" spans="1:74">
      <c r="A41" s="4" t="s">
        <v>111</v>
      </c>
      <c r="B41" s="88">
        <v>1.16</v>
      </c>
      <c r="C41" s="39"/>
      <c r="E41" s="39"/>
      <c r="G41" s="39"/>
      <c r="K41" s="38">
        <f t="shared" si="11"/>
        <v>277929.755093165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弹道",$B$21,0))*(1+$BV41)</f>
        <v>286314.636460729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弹道",$B$21,0))*(1+$BV41)</f>
        <v>196057.571147872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弹道",$B$21,0))*(1+$BV41)</f>
        <v>132553.072435523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弹道",$B$21,0))*(1+$BV41)</f>
        <v>119878.314391141</v>
      </c>
      <c r="P41" s="39">
        <v>4</v>
      </c>
      <c r="Q41" s="40" t="s">
        <v>113</v>
      </c>
      <c r="R41" s="40" t="s">
        <v>97</v>
      </c>
      <c r="S41" s="40" t="s">
        <v>98</v>
      </c>
      <c r="T41" s="40" t="s">
        <v>106</v>
      </c>
      <c r="U41" s="40" t="s">
        <v>90</v>
      </c>
      <c r="V41" s="40" t="s">
        <v>102</v>
      </c>
      <c r="W41" s="40" t="s">
        <v>78</v>
      </c>
      <c r="X41" s="40" t="s">
        <v>78</v>
      </c>
      <c r="Y41" s="40" t="s">
        <v>151</v>
      </c>
      <c r="Z41" s="40" t="s">
        <v>78</v>
      </c>
      <c r="AA41" s="40" t="s">
        <v>78</v>
      </c>
      <c r="AB41" s="40" t="s">
        <v>78</v>
      </c>
      <c r="AC41" s="40" t="s">
        <v>78</v>
      </c>
      <c r="AD41" s="40" t="s">
        <v>78</v>
      </c>
      <c r="AE41" s="40" t="s">
        <v>78</v>
      </c>
      <c r="AF41" s="40" t="s">
        <v>117</v>
      </c>
      <c r="AG41" s="40" t="s">
        <v>78</v>
      </c>
      <c r="AH41" s="40" t="s">
        <v>78</v>
      </c>
      <c r="AI41" s="40" t="s">
        <v>78</v>
      </c>
      <c r="AJ41" s="40" t="s">
        <v>78</v>
      </c>
      <c r="AK41" s="40" t="s">
        <v>78</v>
      </c>
      <c r="AL41" t="str">
        <f>VLOOKUP($Q41,武学奇术!$A:$ZZ,25,FALSE)</f>
        <v>伞</v>
      </c>
      <c r="AM41" s="24">
        <f>VLOOKUP($Q41,武学奇术!$A:$ZZ,26,FALSE)</f>
        <v>1.174955</v>
      </c>
      <c r="AN41" s="25">
        <f>VLOOKUP($Q41,武学奇术!$A:$ZZ,27,FALSE)*(1+IF(OR($AL41=$F$4,$AL41=$F$5),$B$22,0))</f>
        <v>486.45</v>
      </c>
      <c r="AO41" s="24">
        <f>VLOOKUP($Q41,武学奇术!$A:$ZZ,28,FALSE)</f>
        <v>1.762375</v>
      </c>
      <c r="AP41" s="25">
        <f>VLOOKUP($Q41,武学奇术!$A:$ZZ,29,FALSE)*(1+IF(OR($AL41=$F$4,$AL41=$F$5),$B$22,0))</f>
        <v>265.65</v>
      </c>
      <c r="AQ41" s="24" cm="1">
        <f t="array" ref="AQ41">$G$3+IFERROR(VLOOKUP($AL41,$F$4:$G$7,2,FALSE),0)+VLOOKUP($Q41,武学奇术!$A:$ZZ,2,FALSE)+SUM(_xlfn.XLOOKUP($R41:$AK41,增益!$A:$A,增益!$B:$B,0))</f>
        <v>1.2941</v>
      </c>
      <c r="AR41" s="24" cm="1">
        <f t="array" ref="AR41">VLOOKUP($Q41,武学奇术!$A:$ZZ,5,FALSE)+SUM(_xlfn.XLOOKUP($R41:$AK41,增益!$A:$A,增益!$E:$E,0))</f>
        <v>0.075</v>
      </c>
      <c r="AS41" cm="1">
        <f t="array" ref="AS41">$D$10*(1+$AR41)+VLOOKUP($Q41,武学奇术!$A:$ZZ,3,FALSE)+SUM(_xlfn.XLOOKUP($R41:$AK41,增益!$A:$A,增益!$C:$C,0))-$I$2</f>
        <v>4100.3171</v>
      </c>
      <c r="AT41" cm="1">
        <f t="array" ref="AT41">$E$10*(1+$AR41)+VLOOKUP($Q41,武学奇术!$A:$ZZ,4,FALSE)+SUM(_xlfn.XLOOKUP($R41:$AK41,增益!$A:$A,增益!$D:$D,0))-$I$2</f>
        <v>4100.3171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0.4425</v>
      </c>
      <c r="AV41" s="32" cm="1">
        <f t="array" ref="AV41">$G$10+VLOOKUP($Q41,武学奇术!$A:$ZZ,7,FALSE)+SUM(_xlfn.XLOOKUP($R41:$AK41,增益!$A:$A,增益!$G:$G,0))</f>
        <v>0</v>
      </c>
      <c r="AW41" s="24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2" cm="1">
        <f t="array" ref="BA41">$G$11+VLOOKUP($Q41,武学奇术!$A:$ZZ,10,FALSE)+SUM(_xlfn.XLOOKUP($R41:$AK41,增益!$A:$A,增益!$J:$J,0))</f>
        <v>0</v>
      </c>
      <c r="BB41">
        <f t="shared" si="14"/>
        <v>0</v>
      </c>
      <c r="BC41">
        <f t="shared" si="15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2" cm="1">
        <f t="array" ref="BE41">$G$12+VLOOKUP($Q41,武学奇术!$A:$ZZ,12,FALSE)+SUM(_xlfn.XLOOKUP($R41:$AK41,增益!$A:$A,增益!$L:$L,0))</f>
        <v>0</v>
      </c>
      <c r="BF41">
        <f t="shared" si="16"/>
        <v>605.472</v>
      </c>
      <c r="BG41">
        <f t="shared" si="17"/>
        <v>1579.612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2" cm="1">
        <f t="array" ref="BI41">$G$13+VLOOKUP($Q41,武学奇术!$A:$ZZ,14,FALSE)+SUM(_xlfn.XLOOKUP($R41:$AK41,增益!$A:$A,增益!$N:$N,0))</f>
        <v>0.15</v>
      </c>
      <c r="BJ41">
        <f t="shared" si="18"/>
        <v>0</v>
      </c>
      <c r="BK41">
        <f t="shared" si="19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2" cm="1">
        <f t="array" ref="BM41">$G$14+VLOOKUP($Q41,武学奇术!$A:$ZZ,16,FALSE)+SUM(_xlfn.XLOOKUP($R41:$AK41,增益!$A:$A,增益!$P:$P,0))</f>
        <v>0</v>
      </c>
      <c r="BN41" s="24">
        <f>MIN(IF(VLOOKUP($Q41,武学奇术!$A:$ZZ,23,FALSE)=1,100%,$B$8),100%)</f>
        <v>1</v>
      </c>
      <c r="BO41" s="24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0.9093</v>
      </c>
      <c r="BP41" s="24" cm="1">
        <f t="array" ref="BP41">1+$B$13+VLOOKUP($Q41,武学奇术!$A:$ZZ,18,FALSE)+SUM(_xlfn.XLOOKUP($R41:$AK41,增益!$A:$A,增益!$R:$R,0))</f>
        <v>2.16</v>
      </c>
      <c r="BQ41" s="24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4" cm="1">
        <f t="array" ref="BR41">1+$B$14+VLOOKUP($Q41,武学奇术!$A:$ZZ,20,FALSE)+SUM(_xlfn.XLOOKUP($R41:$AK41,增益!$A:$A,增益!$T:$T,0))</f>
        <v>1.35</v>
      </c>
      <c r="BS41" s="24">
        <f t="shared" si="20"/>
        <v>0.9071</v>
      </c>
      <c r="BT41" s="24">
        <f t="shared" si="21"/>
        <v>0</v>
      </c>
      <c r="BU41" s="24">
        <f>IF(VLOOKUP($Q41,武学奇术!$A:$ZZ,22,FALSE)=1,0,(1-$BN41))*(1-$BQ41)</f>
        <v>0</v>
      </c>
      <c r="BV41" s="24" cm="1">
        <f t="array" ref="BV41">SUM(_xlfn.XLOOKUP($R41:$AK41,增益!$A:$A,增益!$W:$W,0))+$I$5</f>
        <v>0.06</v>
      </c>
    </row>
    <row r="42" spans="1:74">
      <c r="A42" s="4" t="s">
        <v>161</v>
      </c>
      <c r="B42" s="4">
        <v>0.1</v>
      </c>
      <c r="E42" s="39"/>
      <c r="G42" s="39"/>
      <c r="K42" s="38">
        <f t="shared" si="11"/>
        <v>348915.180016534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弹道",$B$21,0))*(1+$BV42)</f>
        <v>359550.208981355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弹道",$B$21,0))*(1+$BV42)</f>
        <v>245071.963934839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弹道",$B$21,0))*(1+$BV42)</f>
        <v>165691.340544403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弹道",$B$21,0))*(1+$BV42)</f>
        <v>149847.892988926</v>
      </c>
      <c r="P42" s="39">
        <v>5</v>
      </c>
      <c r="Q42" s="40" t="s">
        <v>113</v>
      </c>
      <c r="R42" s="40" t="s">
        <v>97</v>
      </c>
      <c r="S42" s="40" t="s">
        <v>152</v>
      </c>
      <c r="T42" s="40" t="s">
        <v>106</v>
      </c>
      <c r="U42" s="40" t="s">
        <v>90</v>
      </c>
      <c r="V42" s="40" t="s">
        <v>102</v>
      </c>
      <c r="W42" s="40" t="s">
        <v>78</v>
      </c>
      <c r="X42" s="40" t="s">
        <v>78</v>
      </c>
      <c r="Y42" s="40" t="s">
        <v>151</v>
      </c>
      <c r="Z42" s="40" t="s">
        <v>78</v>
      </c>
      <c r="AA42" s="40" t="s">
        <v>78</v>
      </c>
      <c r="AB42" s="40" t="s">
        <v>78</v>
      </c>
      <c r="AC42" s="40" t="s">
        <v>78</v>
      </c>
      <c r="AD42" s="40" t="s">
        <v>78</v>
      </c>
      <c r="AE42" s="40" t="s">
        <v>78</v>
      </c>
      <c r="AF42" s="40" t="s">
        <v>117</v>
      </c>
      <c r="AG42" s="40" t="s">
        <v>78</v>
      </c>
      <c r="AH42" s="40" t="s">
        <v>78</v>
      </c>
      <c r="AI42" s="40" t="s">
        <v>78</v>
      </c>
      <c r="AJ42" s="40" t="s">
        <v>78</v>
      </c>
      <c r="AK42" s="40" t="s">
        <v>78</v>
      </c>
      <c r="AL42" t="str">
        <f>VLOOKUP($Q42,武学奇术!$A:$ZZ,25,FALSE)</f>
        <v>伞</v>
      </c>
      <c r="AM42" s="24">
        <f>VLOOKUP($Q42,武学奇术!$A:$ZZ,26,FALSE)</f>
        <v>1.174955</v>
      </c>
      <c r="AN42" s="25">
        <f>VLOOKUP($Q42,武学奇术!$A:$ZZ,27,FALSE)*(1+IF(OR($AL42=$F$4,$AL42=$F$5),$B$22,0))</f>
        <v>486.45</v>
      </c>
      <c r="AO42" s="24">
        <f>VLOOKUP($Q42,武学奇术!$A:$ZZ,28,FALSE)</f>
        <v>1.762375</v>
      </c>
      <c r="AP42" s="25">
        <f>VLOOKUP($Q42,武学奇术!$A:$ZZ,29,FALSE)*(1+IF(OR($AL42=$F$4,$AL42=$F$5),$B$22,0))</f>
        <v>265.65</v>
      </c>
      <c r="AQ42" s="24" cm="1">
        <f t="array" ref="AQ42">$G$3+IFERROR(VLOOKUP($AL42,$F$4:$G$7,2,FALSE),0)+VLOOKUP($Q42,武学奇术!$A:$ZZ,2,FALSE)+SUM(_xlfn.XLOOKUP($R42:$AK42,增益!$A:$A,增益!$B:$B,0))</f>
        <v>1.2941</v>
      </c>
      <c r="AR42" s="24" cm="1">
        <f t="array" ref="AR42">VLOOKUP($Q42,武学奇术!$A:$ZZ,5,FALSE)+SUM(_xlfn.XLOOKUP($R42:$AK42,增益!$A:$A,增益!$E:$E,0))</f>
        <v>0.075</v>
      </c>
      <c r="AS42" cm="1">
        <f t="array" ref="AS42">$D$10*(1+$AR42)+VLOOKUP($Q42,武学奇术!$A:$ZZ,3,FALSE)+SUM(_xlfn.XLOOKUP($R42:$AK42,增益!$A:$A,增益!$C:$C,0))-$I$2</f>
        <v>4100.3171</v>
      </c>
      <c r="AT42" cm="1">
        <f t="array" ref="AT42">$E$10*(1+$AR42)+VLOOKUP($Q42,武学奇术!$A:$ZZ,4,FALSE)+SUM(_xlfn.XLOOKUP($R42:$AK42,增益!$A:$A,增益!$D:$D,0))-$I$2</f>
        <v>4100.3171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0.4425</v>
      </c>
      <c r="AV42" s="32" cm="1">
        <f t="array" ref="AV42">$G$10+VLOOKUP($Q42,武学奇术!$A:$ZZ,7,FALSE)+SUM(_xlfn.XLOOKUP($R42:$AK42,增益!$A:$A,增益!$G:$G,0))</f>
        <v>0</v>
      </c>
      <c r="AW42" s="24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2" cm="1">
        <f t="array" ref="BA42">$G$11+VLOOKUP($Q42,武学奇术!$A:$ZZ,10,FALSE)+SUM(_xlfn.XLOOKUP($R42:$AK42,增益!$A:$A,增益!$J:$J,0))</f>
        <v>0</v>
      </c>
      <c r="BB42">
        <f t="shared" si="14"/>
        <v>0</v>
      </c>
      <c r="BC42">
        <f t="shared" si="15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2" cm="1">
        <f t="array" ref="BE42">$G$12+VLOOKUP($Q42,武学奇术!$A:$ZZ,12,FALSE)+SUM(_xlfn.XLOOKUP($R42:$AK42,增益!$A:$A,增益!$L:$L,0))</f>
        <v>0</v>
      </c>
      <c r="BF42">
        <f t="shared" si="16"/>
        <v>605.472</v>
      </c>
      <c r="BG42">
        <f t="shared" si="17"/>
        <v>1579.612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2" cm="1">
        <f t="array" ref="BI42">$G$13+VLOOKUP($Q42,武学奇术!$A:$ZZ,14,FALSE)+SUM(_xlfn.XLOOKUP($R42:$AK42,增益!$A:$A,增益!$N:$N,0))</f>
        <v>0.15</v>
      </c>
      <c r="BJ42">
        <f t="shared" si="18"/>
        <v>0</v>
      </c>
      <c r="BK42">
        <f t="shared" si="19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2" cm="1">
        <f t="array" ref="BM42">$G$14+VLOOKUP($Q42,武学奇术!$A:$ZZ,16,FALSE)+SUM(_xlfn.XLOOKUP($R42:$AK42,增益!$A:$A,增益!$P:$P,0))</f>
        <v>0</v>
      </c>
      <c r="BN42" s="24">
        <f>MIN(IF(VLOOKUP($Q42,武学奇术!$A:$ZZ,23,FALSE)=1,100%,$B$8),100%)</f>
        <v>1</v>
      </c>
      <c r="BO42" s="24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0.9093</v>
      </c>
      <c r="BP42" s="24" cm="1">
        <f t="array" ref="BP42">1+$B$13+VLOOKUP($Q42,武学奇术!$A:$ZZ,18,FALSE)+SUM(_xlfn.XLOOKUP($R42:$AK42,增益!$A:$A,增益!$R:$R,0))</f>
        <v>2.17</v>
      </c>
      <c r="BQ42" s="24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4" cm="1">
        <f t="array" ref="BR42">1+$B$14+VLOOKUP($Q42,武学奇术!$A:$ZZ,20,FALSE)+SUM(_xlfn.XLOOKUP($R42:$AK42,增益!$A:$A,增益!$T:$T,0))</f>
        <v>1.35</v>
      </c>
      <c r="BS42" s="24">
        <f t="shared" si="20"/>
        <v>0.9071</v>
      </c>
      <c r="BT42" s="24">
        <f t="shared" si="21"/>
        <v>0</v>
      </c>
      <c r="BU42" s="24">
        <f>IF(VLOOKUP($Q42,武学奇术!$A:$ZZ,22,FALSE)=1,0,(1-$BN42))*(1-$BQ42)</f>
        <v>0</v>
      </c>
      <c r="BV42" s="24" cm="1">
        <f t="array" ref="BV42">SUM(_xlfn.XLOOKUP($R42:$AK42,增益!$A:$A,增益!$W:$W,0))+$I$5</f>
        <v>0.06</v>
      </c>
    </row>
    <row r="43" spans="1:74">
      <c r="A43" t="s">
        <v>165</v>
      </c>
      <c r="B43">
        <v>1</v>
      </c>
      <c r="D43" s="39" t="s">
        <v>166</v>
      </c>
      <c r="E43" s="39"/>
      <c r="F43">
        <v>3</v>
      </c>
      <c r="G43" s="39"/>
      <c r="K43" s="38">
        <f t="shared" si="11"/>
        <v>78763.042462518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弹道",$B$21,0))*(1+$BV43)</f>
        <v>80444.8887249457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弹道",$B$21,0))*(1+$BV43)</f>
        <v>62341.0538226022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弹道",$B$21,0))*(1+$BV43)</f>
        <v>41898.3795442425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弹道",$B$21,0))*(1+$BV43)</f>
        <v>37618.2007013723</v>
      </c>
      <c r="P43" s="39">
        <v>1</v>
      </c>
      <c r="Q43" s="40" t="s">
        <v>101</v>
      </c>
      <c r="R43" s="40" t="s">
        <v>97</v>
      </c>
      <c r="S43" s="40" t="s">
        <v>152</v>
      </c>
      <c r="T43" s="40" t="s">
        <v>106</v>
      </c>
      <c r="U43" s="40" t="s">
        <v>90</v>
      </c>
      <c r="V43" s="40" t="s">
        <v>102</v>
      </c>
      <c r="W43" s="40" t="s">
        <v>78</v>
      </c>
      <c r="X43" s="40" t="s">
        <v>78</v>
      </c>
      <c r="Y43" s="40" t="s">
        <v>78</v>
      </c>
      <c r="Z43" s="40" t="s">
        <v>78</v>
      </c>
      <c r="AA43" s="40" t="s">
        <v>78</v>
      </c>
      <c r="AB43" s="40" t="s">
        <v>78</v>
      </c>
      <c r="AC43" s="40" t="s">
        <v>78</v>
      </c>
      <c r="AD43" s="40" t="s">
        <v>78</v>
      </c>
      <c r="AE43" s="40" t="s">
        <v>78</v>
      </c>
      <c r="AF43" s="40" t="s">
        <v>78</v>
      </c>
      <c r="AG43" s="40" t="s">
        <v>78</v>
      </c>
      <c r="AH43" s="40" t="s">
        <v>78</v>
      </c>
      <c r="AI43" s="40" t="s">
        <v>78</v>
      </c>
      <c r="AJ43" s="40" t="s">
        <v>78</v>
      </c>
      <c r="AK43" s="40" t="s">
        <v>78</v>
      </c>
      <c r="AL43" t="str">
        <f>VLOOKUP($Q43,武学奇术!$A:$ZZ,25,FALSE)</f>
        <v>伞</v>
      </c>
      <c r="AM43" s="24">
        <f>VLOOKUP($Q43,武学奇术!$A:$ZZ,26,FALSE)</f>
        <v>2.3397</v>
      </c>
      <c r="AN43" s="25">
        <f>VLOOKUP($Q43,武学奇术!$A:$ZZ,27,FALSE)*(1+IF(OR($AL43=$F$4,$AL43=$F$5),$B$22,0))</f>
        <v>972</v>
      </c>
      <c r="AO43" s="24">
        <f>VLOOKUP($Q43,武学奇术!$A:$ZZ,28,FALSE)</f>
        <v>3.5095</v>
      </c>
      <c r="AP43" s="25">
        <f>VLOOKUP($Q43,武学奇术!$A:$ZZ,29,FALSE)*(1+IF(OR($AL43=$F$4,$AL43=$F$5),$B$22,0))</f>
        <v>529.5</v>
      </c>
      <c r="AQ43" s="24" cm="1">
        <f t="array" ref="AQ43">$G$3+IFERROR(VLOOKUP($AL43,$F$4:$G$7,2,FALSE),0)+VLOOKUP($Q43,武学奇术!$A:$ZZ,2,FALSE)+SUM(_xlfn.XLOOKUP($R43:$AK43,增益!$A:$A,增益!$B:$B,0))</f>
        <v>1.0541</v>
      </c>
      <c r="AR43" s="24" cm="1">
        <f t="array" ref="AR43">VLOOKUP($Q43,武学奇术!$A:$ZZ,5,FALSE)+SUM(_xlfn.XLOOKUP($R43:$AK43,增益!$A:$A,增益!$E:$E,0))</f>
        <v>0.075</v>
      </c>
      <c r="AS43" cm="1">
        <f t="array" ref="AS43">$D$10*(1+$AR43)+VLOOKUP($Q43,武学奇术!$A:$ZZ,3,FALSE)+SUM(_xlfn.XLOOKUP($R43:$AK43,增益!$A:$A,增益!$C:$C,0))-$I$2</f>
        <v>4100.3171</v>
      </c>
      <c r="AT43" cm="1">
        <f t="array" ref="AT43">$E$10*(1+$AR43)+VLOOKUP($Q43,武学奇术!$A:$ZZ,4,FALSE)+SUM(_xlfn.XLOOKUP($R43:$AK43,增益!$A:$A,增益!$D:$D,0))-$I$2</f>
        <v>4100.3171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0.3175</v>
      </c>
      <c r="AV43" s="32" cm="1">
        <f t="array" ref="AV43">$G$10+VLOOKUP($Q43,武学奇术!$A:$ZZ,7,FALSE)+SUM(_xlfn.XLOOKUP($R43:$AK43,增益!$A:$A,增益!$G:$G,0))</f>
        <v>0</v>
      </c>
      <c r="AW43" s="24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2" cm="1">
        <f t="array" ref="BA43">$G$11+VLOOKUP($Q43,武学奇术!$A:$ZZ,10,FALSE)+SUM(_xlfn.XLOOKUP($R43:$AK43,增益!$A:$A,增益!$J:$J,0))</f>
        <v>0</v>
      </c>
      <c r="BB43">
        <f t="shared" si="14"/>
        <v>0</v>
      </c>
      <c r="BC43">
        <f t="shared" si="15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2" cm="1">
        <f t="array" ref="BE43">$G$12+VLOOKUP($Q43,武学奇术!$A:$ZZ,12,FALSE)+SUM(_xlfn.XLOOKUP($R43:$AK43,增益!$A:$A,增益!$L:$L,0))</f>
        <v>0</v>
      </c>
      <c r="BF43">
        <f t="shared" si="16"/>
        <v>605.472</v>
      </c>
      <c r="BG43">
        <f t="shared" si="17"/>
        <v>1579.612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2" cm="1">
        <f t="array" ref="BI43">$G$13+VLOOKUP($Q43,武学奇术!$A:$ZZ,14,FALSE)+SUM(_xlfn.XLOOKUP($R43:$AK43,增益!$A:$A,增益!$N:$N,0))</f>
        <v>0.15</v>
      </c>
      <c r="BJ43">
        <f t="shared" si="18"/>
        <v>0</v>
      </c>
      <c r="BK43">
        <f t="shared" si="19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2" cm="1">
        <f t="array" ref="BM43">$G$14+VLOOKUP($Q43,武学奇术!$A:$ZZ,16,FALSE)+SUM(_xlfn.XLOOKUP($R43:$AK43,增益!$A:$A,增益!$P:$P,0))</f>
        <v>0</v>
      </c>
      <c r="BN43" s="24">
        <f>MIN(IF(VLOOKUP($Q43,武学奇术!$A:$ZZ,23,FALSE)=1,100%,$B$8),100%)</f>
        <v>1</v>
      </c>
      <c r="BO43" s="24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0.9093</v>
      </c>
      <c r="BP43" s="24" cm="1">
        <f t="array" ref="BP43">1+$B$13+VLOOKUP($Q43,武学奇术!$A:$ZZ,18,FALSE)+SUM(_xlfn.XLOOKUP($R43:$AK43,增益!$A:$A,增益!$R:$R,0))</f>
        <v>1.92</v>
      </c>
      <c r="BQ43" s="24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4" cm="1">
        <f t="array" ref="BR43">1+$B$14+VLOOKUP($Q43,武学奇术!$A:$ZZ,20,FALSE)+SUM(_xlfn.XLOOKUP($R43:$AK43,增益!$A:$A,增益!$T:$T,0))</f>
        <v>1.35</v>
      </c>
      <c r="BS43" s="24">
        <f t="shared" si="20"/>
        <v>0.9071</v>
      </c>
      <c r="BT43" s="24">
        <f t="shared" si="21"/>
        <v>0</v>
      </c>
      <c r="BU43" s="24">
        <f>IF(VLOOKUP($Q43,武学奇术!$A:$ZZ,22,FALSE)=1,0,(1-$BN43))*(1-$BQ43)</f>
        <v>0</v>
      </c>
      <c r="BV43" s="24" cm="1">
        <f t="array" ref="BV43">SUM(_xlfn.XLOOKUP($R43:$AK43,增益!$A:$A,增益!$W:$W,0))+$I$5</f>
        <v>0.06</v>
      </c>
    </row>
    <row r="44" spans="1:74">
      <c r="A44" s="4" t="s">
        <v>161</v>
      </c>
      <c r="B44" s="4">
        <v>0.1</v>
      </c>
      <c r="C44" s="4"/>
      <c r="D44" s="39"/>
      <c r="E44" s="39"/>
      <c r="G44" s="39"/>
      <c r="K44" s="38">
        <f t="shared" si="11"/>
        <v>32069.4518730997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弹道",$B$21,0))*(1+$BV44)</f>
        <v>32222.2813844017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弹道",$B$21,0))*(1+$BV44)</f>
        <v>30577.1843843808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弹道",$B$21,0))*(1+$BV44)</f>
        <v>20523.7461047144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弹道",$B$21,0))*(1+$BV44)</f>
        <v>18397.7259987764</v>
      </c>
      <c r="P44" s="39">
        <v>1</v>
      </c>
      <c r="Q44" s="40" t="s">
        <v>108</v>
      </c>
      <c r="R44" s="40" t="s">
        <v>97</v>
      </c>
      <c r="S44" s="40" t="s">
        <v>167</v>
      </c>
      <c r="T44" s="40" t="s">
        <v>78</v>
      </c>
      <c r="U44" s="40" t="s">
        <v>90</v>
      </c>
      <c r="V44" s="40" t="s">
        <v>78</v>
      </c>
      <c r="W44" s="40" t="s">
        <v>78</v>
      </c>
      <c r="X44" s="40" t="s">
        <v>78</v>
      </c>
      <c r="Y44" s="40" t="s">
        <v>78</v>
      </c>
      <c r="Z44" s="40" t="s">
        <v>78</v>
      </c>
      <c r="AA44" s="40" t="s">
        <v>78</v>
      </c>
      <c r="AB44" s="40" t="s">
        <v>78</v>
      </c>
      <c r="AC44" s="40" t="s">
        <v>78</v>
      </c>
      <c r="AD44" s="40" t="s">
        <v>78</v>
      </c>
      <c r="AE44" s="40" t="s">
        <v>78</v>
      </c>
      <c r="AF44" s="40" t="s">
        <v>78</v>
      </c>
      <c r="AG44" s="40" t="s">
        <v>78</v>
      </c>
      <c r="AH44" s="40" t="s">
        <v>78</v>
      </c>
      <c r="AI44" s="40" t="s">
        <v>78</v>
      </c>
      <c r="AJ44" s="40" t="s">
        <v>78</v>
      </c>
      <c r="AK44" s="40" t="s">
        <v>78</v>
      </c>
      <c r="AL44" t="str">
        <f>VLOOKUP($Q44,武学奇术!$A:$ZZ,25,FALSE)</f>
        <v>伞</v>
      </c>
      <c r="AM44" s="24">
        <f>VLOOKUP($Q44,武学奇术!$A:$ZZ,26,FALSE)</f>
        <v>1.7001</v>
      </c>
      <c r="AN44" s="25">
        <f>VLOOKUP($Q44,武学奇术!$A:$ZZ,27,FALSE)*(1+IF(OR($AL44=$F$4,$AL44=$F$5),$B$22,0))</f>
        <v>706.5</v>
      </c>
      <c r="AO44" s="24">
        <f>VLOOKUP($Q44,武学奇术!$A:$ZZ,28,FALSE)</f>
        <v>2.5502</v>
      </c>
      <c r="AP44" s="25">
        <f>VLOOKUP($Q44,武学奇术!$A:$ZZ,29,FALSE)*(1+IF(OR($AL44=$F$4,$AL44=$F$5),$B$22,0))</f>
        <v>384</v>
      </c>
      <c r="AQ44" s="24" cm="1">
        <f t="array" ref="AQ44">$G$3+IFERROR(VLOOKUP($AL44,$F$4:$G$7,2,FALSE),0)+VLOOKUP($Q44,武学奇术!$A:$ZZ,2,FALSE)+SUM(_xlfn.XLOOKUP($R44:$AK44,增益!$A:$A,增益!$B:$B,0))</f>
        <v>0.4041</v>
      </c>
      <c r="AR44" s="24" cm="1">
        <f t="array" ref="AR44">VLOOKUP($Q44,武学奇术!$A:$ZZ,5,FALSE)+SUM(_xlfn.XLOOKUP($R44:$AK44,增益!$A:$A,增益!$E:$E,0))</f>
        <v>0.075</v>
      </c>
      <c r="AS44" cm="1">
        <f t="array" ref="AS44">$D$10*(1+$AR44)+VLOOKUP($Q44,武学奇术!$A:$ZZ,3,FALSE)+SUM(_xlfn.XLOOKUP($R44:$AK44,增益!$A:$A,增益!$C:$C,0))-$I$2</f>
        <v>4100.3171</v>
      </c>
      <c r="AT44" cm="1">
        <f t="array" ref="AT44">$E$10*(1+$AR44)+VLOOKUP($Q44,武学奇术!$A:$ZZ,4,FALSE)+SUM(_xlfn.XLOOKUP($R44:$AK44,增益!$A:$A,增益!$D:$D,0))-$I$2</f>
        <v>4100.3171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0.2925</v>
      </c>
      <c r="AV44" s="32" cm="1">
        <f t="array" ref="AV44">$G$10+VLOOKUP($Q44,武学奇术!$A:$ZZ,7,FALSE)+SUM(_xlfn.XLOOKUP($R44:$AK44,增益!$A:$A,增益!$G:$G,0))</f>
        <v>0</v>
      </c>
      <c r="AW44" s="24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2" cm="1">
        <f t="array" ref="BA44">$G$11+VLOOKUP($Q44,武学奇术!$A:$ZZ,10,FALSE)+SUM(_xlfn.XLOOKUP($R44:$AK44,增益!$A:$A,增益!$J:$J,0))</f>
        <v>0</v>
      </c>
      <c r="BB44">
        <f t="shared" si="14"/>
        <v>0</v>
      </c>
      <c r="BC44">
        <f t="shared" si="15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2" cm="1">
        <f t="array" ref="BE44">$G$12+VLOOKUP($Q44,武学奇术!$A:$ZZ,12,FALSE)+SUM(_xlfn.XLOOKUP($R44:$AK44,增益!$A:$A,增益!$L:$L,0))</f>
        <v>0</v>
      </c>
      <c r="BF44">
        <f t="shared" si="16"/>
        <v>605.472</v>
      </c>
      <c r="BG44">
        <f t="shared" si="17"/>
        <v>1579.612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2" cm="1">
        <f t="array" ref="BI44">$G$13+VLOOKUP($Q44,武学奇术!$A:$ZZ,14,FALSE)+SUM(_xlfn.XLOOKUP($R44:$AK44,增益!$A:$A,增益!$N:$N,0))</f>
        <v>0.15</v>
      </c>
      <c r="BJ44">
        <f t="shared" si="18"/>
        <v>0</v>
      </c>
      <c r="BK44">
        <f t="shared" si="19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2" cm="1">
        <f t="array" ref="BM44">$G$14+VLOOKUP($Q44,武学奇术!$A:$ZZ,16,FALSE)+SUM(_xlfn.XLOOKUP($R44:$AK44,增益!$A:$A,增益!$P:$P,0))</f>
        <v>0</v>
      </c>
      <c r="BN44" s="24">
        <f>MIN(IF(VLOOKUP($Q44,武学奇术!$A:$ZZ,23,FALSE)=1,100%,$B$8),100%)</f>
        <v>1</v>
      </c>
      <c r="BO44" s="24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0.9093</v>
      </c>
      <c r="BP44" s="24" cm="1">
        <f t="array" ref="BP44">1+$B$13+VLOOKUP($Q44,武学奇术!$A:$ZZ,18,FALSE)+SUM(_xlfn.XLOOKUP($R44:$AK44,增益!$A:$A,增益!$R:$R,0))</f>
        <v>1.57</v>
      </c>
      <c r="BQ44" s="24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4" cm="1">
        <f t="array" ref="BR44">1+$B$14+VLOOKUP($Q44,武学奇术!$A:$ZZ,20,FALSE)+SUM(_xlfn.XLOOKUP($R44:$AK44,增益!$A:$A,增益!$T:$T,0))</f>
        <v>1.35</v>
      </c>
      <c r="BS44" s="24">
        <f t="shared" si="20"/>
        <v>0.9071</v>
      </c>
      <c r="BT44" s="24">
        <f t="shared" si="21"/>
        <v>0</v>
      </c>
      <c r="BU44" s="24">
        <f>IF(VLOOKUP($Q44,武学奇术!$A:$ZZ,22,FALSE)=1,0,(1-$BN44))*(1-$BQ44)</f>
        <v>0</v>
      </c>
      <c r="BV44" s="24" cm="1">
        <f t="array" ref="BV44">SUM(_xlfn.XLOOKUP($R44:$AK44,增益!$A:$A,增益!$W:$W,0))+$I$5</f>
        <v>0.06</v>
      </c>
    </row>
    <row r="45" spans="1:74">
      <c r="A45" t="s">
        <v>168</v>
      </c>
      <c r="B45">
        <v>2.1</v>
      </c>
      <c r="D45" s="39"/>
      <c r="E45" s="39"/>
      <c r="F45">
        <v>-24</v>
      </c>
      <c r="G45" s="39"/>
      <c r="K45" s="38">
        <f t="shared" si="11"/>
        <v>67446.2441566695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弹道",$B$21,0))*(1+$BV45)</f>
        <v>67833.4168826589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弹道",$B$21,0))*(1+$BV45)</f>
        <v>63665.7879699637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弹道",$B$21,0))*(1+$BV45)</f>
        <v>42932.5423307968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弹道",$B$21,0))*(1+$BV45)</f>
        <v>38705.2417208796</v>
      </c>
      <c r="P45" s="39">
        <v>1</v>
      </c>
      <c r="Q45" s="40" t="s">
        <v>169</v>
      </c>
      <c r="R45" s="40" t="s">
        <v>97</v>
      </c>
      <c r="S45" s="40" t="s">
        <v>170</v>
      </c>
      <c r="T45" s="40" t="s">
        <v>78</v>
      </c>
      <c r="U45" s="40" t="s">
        <v>171</v>
      </c>
      <c r="V45" s="40" t="s">
        <v>102</v>
      </c>
      <c r="W45" s="40" t="s">
        <v>78</v>
      </c>
      <c r="X45" s="40" t="s">
        <v>78</v>
      </c>
      <c r="Y45" s="40" t="s">
        <v>78</v>
      </c>
      <c r="Z45" s="40" t="s">
        <v>78</v>
      </c>
      <c r="AA45" s="40" t="s">
        <v>78</v>
      </c>
      <c r="AB45" s="40" t="s">
        <v>84</v>
      </c>
      <c r="AC45" s="40" t="s">
        <v>78</v>
      </c>
      <c r="AD45" s="40" t="s">
        <v>78</v>
      </c>
      <c r="AE45" s="40" t="s">
        <v>78</v>
      </c>
      <c r="AF45" s="40" t="s">
        <v>78</v>
      </c>
      <c r="AG45" s="40" t="s">
        <v>78</v>
      </c>
      <c r="AH45" s="40" t="s">
        <v>78</v>
      </c>
      <c r="AI45" s="40" t="s">
        <v>78</v>
      </c>
      <c r="AJ45" s="40" t="s">
        <v>78</v>
      </c>
      <c r="AK45" s="40" t="s">
        <v>78</v>
      </c>
      <c r="AL45" t="str">
        <f>VLOOKUP($Q45,武学奇术!$A:$ZZ,25,FALSE)</f>
        <v>扇</v>
      </c>
      <c r="AM45" s="24">
        <f>VLOOKUP($Q45,武学奇术!$A:$ZZ,26,FALSE)</f>
        <v>2.76138</v>
      </c>
      <c r="AN45" s="25">
        <f>VLOOKUP($Q45,武学奇术!$A:$ZZ,27,FALSE)*(1+IF(OR($AL45=$F$4,$AL45=$F$5),$B$22,0))</f>
        <v>1146.225</v>
      </c>
      <c r="AO45" s="24">
        <f>VLOOKUP($Q45,武学奇术!$A:$ZZ,28,FALSE)</f>
        <v>4.14207</v>
      </c>
      <c r="AP45" s="25">
        <f>VLOOKUP($Q45,武学奇术!$A:$ZZ,29,FALSE)*(1+IF(OR($AL45=$F$4,$AL45=$F$5),$B$22,0))</f>
        <v>624.225</v>
      </c>
      <c r="AQ45" s="24" cm="1">
        <f t="array" ref="AQ45">$G$3+IFERROR(VLOOKUP($AL45,$F$4:$G$7,2,FALSE),0)+VLOOKUP($Q45,武学奇术!$A:$ZZ,2,FALSE)+SUM(_xlfn.XLOOKUP($R45:$AK45,增益!$A:$A,增益!$B:$B,0))</f>
        <v>0.7189</v>
      </c>
      <c r="AR45" s="24" cm="1">
        <f t="array" ref="AR45">VLOOKUP($Q45,武学奇术!$A:$ZZ,5,FALSE)+SUM(_xlfn.XLOOKUP($R45:$AK45,增益!$A:$A,增益!$E:$E,0))</f>
        <v>0.15</v>
      </c>
      <c r="AS45" cm="1">
        <f t="array" ref="AS45">$D$10*(1+$AR45)+VLOOKUP($Q45,武学奇术!$A:$ZZ,3,FALSE)+SUM(_xlfn.XLOOKUP($R45:$AK45,增益!$A:$A,增益!$C:$C,0))-$I$2</f>
        <v>4427.0462</v>
      </c>
      <c r="AT45" cm="1">
        <f t="array" ref="AT45">$E$10*(1+$AR45)+VLOOKUP($Q45,武学奇术!$A:$ZZ,4,FALSE)+SUM(_xlfn.XLOOKUP($R45:$AK45,增益!$A:$A,增益!$D:$D,0))-$I$2</f>
        <v>4427.0462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0.2925</v>
      </c>
      <c r="AV45" s="32" cm="1">
        <f t="array" ref="AV45">$G$10+VLOOKUP($Q45,武学奇术!$A:$ZZ,7,FALSE)+SUM(_xlfn.XLOOKUP($R45:$AK45,增益!$A:$A,增益!$G:$G,0))</f>
        <v>0</v>
      </c>
      <c r="AW45" s="24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16"/>
        <v>605.472</v>
      </c>
      <c r="BG45">
        <f t="shared" si="17"/>
        <v>1579.612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4">
        <f>MIN(IF(VLOOKUP($Q45,武学奇术!$A:$ZZ,23,FALSE)=1,100%,$B$8),100%)</f>
        <v>1</v>
      </c>
      <c r="BO45" s="24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0.9093</v>
      </c>
      <c r="BP45" s="24" cm="1">
        <f t="array" ref="BP45">1+$B$13+VLOOKUP($Q45,武学奇术!$A:$ZZ,18,FALSE)+SUM(_xlfn.XLOOKUP($R45:$AK45,增益!$A:$A,增益!$R:$R,0))</f>
        <v>1.58</v>
      </c>
      <c r="BQ45" s="24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4" cm="1">
        <f t="array" ref="BR45">1+$B$14+VLOOKUP($Q45,武学奇术!$A:$ZZ,20,FALSE)+SUM(_xlfn.XLOOKUP($R45:$AK45,增益!$A:$A,增益!$T:$T,0))</f>
        <v>1.35</v>
      </c>
      <c r="BS45" s="24">
        <f t="shared" si="20"/>
        <v>0.9071</v>
      </c>
      <c r="BT45" s="24">
        <f t="shared" si="21"/>
        <v>0</v>
      </c>
      <c r="BU45" s="24">
        <f>IF(VLOOKUP($Q45,武学奇术!$A:$ZZ,22,FALSE)=1,0,(1-$BN45))*(1-$BQ45)</f>
        <v>0</v>
      </c>
      <c r="BV45" s="24" cm="1">
        <f t="array" ref="BV45">SUM(_xlfn.XLOOKUP($R45:$AK45,增益!$A:$A,增益!$W:$W,0))+$I$5</f>
        <v>0.06</v>
      </c>
    </row>
    <row r="46" spans="1:74">
      <c r="A46" s="4" t="s">
        <v>172</v>
      </c>
      <c r="B46" s="4">
        <v>1.2</v>
      </c>
      <c r="D46" s="39"/>
      <c r="E46" s="39"/>
      <c r="F46">
        <v>-2</v>
      </c>
      <c r="K46" s="38">
        <f t="shared" si="11"/>
        <v>14213.9873141572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弹道",$B$21,0))*(1+$BV46)</f>
        <v>14295.5219893229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弹道",$B$21,0))*(1+$BV46)</f>
        <v>13417.8613309196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弹道",$B$21,0))*(1+$BV46)</f>
        <v>9047.79872741956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弹道",$B$21,0))*(1+$BV46)</f>
        <v>8156.44091341717</v>
      </c>
      <c r="P46" s="39">
        <v>1</v>
      </c>
      <c r="Q46" s="40" t="s">
        <v>111</v>
      </c>
      <c r="R46" s="40" t="s">
        <v>97</v>
      </c>
      <c r="S46" s="40" t="s">
        <v>170</v>
      </c>
      <c r="T46" s="40" t="s">
        <v>78</v>
      </c>
      <c r="U46" s="40" t="s">
        <v>171</v>
      </c>
      <c r="V46" s="40" t="s">
        <v>78</v>
      </c>
      <c r="W46" s="40" t="s">
        <v>78</v>
      </c>
      <c r="X46" s="40" t="s">
        <v>78</v>
      </c>
      <c r="Y46" s="40" t="s">
        <v>78</v>
      </c>
      <c r="Z46" s="40" t="s">
        <v>78</v>
      </c>
      <c r="AA46" s="40" t="s">
        <v>78</v>
      </c>
      <c r="AB46" s="40" t="s">
        <v>84</v>
      </c>
      <c r="AC46" s="40" t="s">
        <v>78</v>
      </c>
      <c r="AD46" s="40" t="s">
        <v>78</v>
      </c>
      <c r="AE46" s="40" t="s">
        <v>78</v>
      </c>
      <c r="AF46" s="40" t="s">
        <v>78</v>
      </c>
      <c r="AG46" s="40" t="s">
        <v>78</v>
      </c>
      <c r="AH46" s="40" t="s">
        <v>78</v>
      </c>
      <c r="AI46" s="40" t="s">
        <v>78</v>
      </c>
      <c r="AJ46" s="40" t="s">
        <v>78</v>
      </c>
      <c r="AK46" s="40" t="s">
        <v>78</v>
      </c>
      <c r="AL46" t="str">
        <f>VLOOKUP($Q46,武学奇术!$A:$ZZ,25,FALSE)</f>
        <v>伞</v>
      </c>
      <c r="AM46" s="24">
        <f>VLOOKUP($Q46,武学奇术!$A:$ZZ,26,FALSE)</f>
        <v>0.54</v>
      </c>
      <c r="AN46" s="25">
        <f>VLOOKUP($Q46,武学奇术!$A:$ZZ,27,FALSE)*(1+IF(OR($AL46=$F$4,$AL46=$F$5),$B$22,0))</f>
        <v>222</v>
      </c>
      <c r="AO46" s="24">
        <f>VLOOKUP($Q46,武学奇术!$A:$ZZ,28,FALSE)</f>
        <v>0.81</v>
      </c>
      <c r="AP46" s="25">
        <f>VLOOKUP($Q46,武学奇术!$A:$ZZ,29,FALSE)*(1+IF(OR($AL46=$F$4,$AL46=$F$5),$B$22,0))</f>
        <v>122.25</v>
      </c>
      <c r="AQ46" s="24" cm="1">
        <f t="array" ref="AQ46">$G$3+IFERROR(VLOOKUP($AL46,$F$4:$G$7,2,FALSE),0)+VLOOKUP($Q46,武学奇术!$A:$ZZ,2,FALSE)+SUM(_xlfn.XLOOKUP($R46:$AK46,增益!$A:$A,增益!$B:$B,0))</f>
        <v>0.4041</v>
      </c>
      <c r="AR46" s="24" cm="1">
        <f t="array" ref="AR46">VLOOKUP($Q46,武学奇术!$A:$ZZ,5,FALSE)+SUM(_xlfn.XLOOKUP($R46:$AK46,增益!$A:$A,增益!$E:$E,0))</f>
        <v>0.15</v>
      </c>
      <c r="AS46" cm="1">
        <f t="array" ref="AS46">$D$10*(1+$AR46)+VLOOKUP($Q46,武学奇术!$A:$ZZ,3,FALSE)+SUM(_xlfn.XLOOKUP($R46:$AK46,增益!$A:$A,增益!$C:$C,0))-$I$2</f>
        <v>4427.0462</v>
      </c>
      <c r="AT46" cm="1">
        <f t="array" ref="AT46">$E$10*(1+$AR46)+VLOOKUP($Q46,武学奇术!$A:$ZZ,4,FALSE)+SUM(_xlfn.XLOOKUP($R46:$AK46,增益!$A:$A,增益!$D:$D,0))-$I$2</f>
        <v>4427.0462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0.2925</v>
      </c>
      <c r="AV46" s="32" cm="1">
        <f t="array" ref="AV46">$G$10+VLOOKUP($Q46,武学奇术!$A:$ZZ,7,FALSE)+SUM(_xlfn.XLOOKUP($R46:$AK46,增益!$A:$A,增益!$G:$G,0))</f>
        <v>0</v>
      </c>
      <c r="AW46" s="24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2" cm="1">
        <f t="array" ref="BA46">$G$11+VLOOKUP($Q46,武学奇术!$A:$ZZ,10,FALSE)+SUM(_xlfn.XLOOKUP($R46:$AK46,增益!$A:$A,增益!$J:$J,0))</f>
        <v>0</v>
      </c>
      <c r="BB46">
        <f t="shared" si="14"/>
        <v>0</v>
      </c>
      <c r="BC46">
        <f t="shared" si="15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-0.3</v>
      </c>
      <c r="BE46" s="32" cm="1">
        <f t="array" ref="BE46">$G$12+VLOOKUP($Q46,武学奇术!$A:$ZZ,12,FALSE)+SUM(_xlfn.XLOOKUP($R46:$AK46,增益!$A:$A,增益!$L:$L,0))</f>
        <v>0</v>
      </c>
      <c r="BF46">
        <f t="shared" si="16"/>
        <v>605.472</v>
      </c>
      <c r="BG46">
        <f t="shared" si="17"/>
        <v>1579.612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</v>
      </c>
      <c r="BI46" s="32" cm="1">
        <f t="array" ref="BI46">$G$13+VLOOKUP($Q46,武学奇术!$A:$ZZ,14,FALSE)+SUM(_xlfn.XLOOKUP($R46:$AK46,增益!$A:$A,增益!$N:$N,0))</f>
        <v>0.15</v>
      </c>
      <c r="BJ46">
        <f t="shared" si="18"/>
        <v>0</v>
      </c>
      <c r="BK46">
        <f t="shared" si="19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2" cm="1">
        <f t="array" ref="BM46">$G$14+VLOOKUP($Q46,武学奇术!$A:$ZZ,16,FALSE)+SUM(_xlfn.XLOOKUP($R46:$AK46,增益!$A:$A,增益!$P:$P,0))</f>
        <v>0</v>
      </c>
      <c r="BN46" s="24">
        <f>MIN(IF(VLOOKUP($Q46,武学奇术!$A:$ZZ,23,FALSE)=1,100%,$B$8),100%)</f>
        <v>1</v>
      </c>
      <c r="BO46" s="24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0.9093</v>
      </c>
      <c r="BP46" s="24" cm="1">
        <f t="array" ref="BP46">1+$B$13+VLOOKUP($Q46,武学奇术!$A:$ZZ,18,FALSE)+SUM(_xlfn.XLOOKUP($R46:$AK46,增益!$A:$A,增益!$R:$R,0))</f>
        <v>1.58</v>
      </c>
      <c r="BQ46" s="24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4" cm="1">
        <f t="array" ref="BR46">1+$B$14+VLOOKUP($Q46,武学奇术!$A:$ZZ,20,FALSE)+SUM(_xlfn.XLOOKUP($R46:$AK46,增益!$A:$A,增益!$T:$T,0))</f>
        <v>1.35</v>
      </c>
      <c r="BS46" s="24">
        <f t="shared" si="20"/>
        <v>0.9071</v>
      </c>
      <c r="BT46" s="24">
        <f t="shared" si="21"/>
        <v>0</v>
      </c>
      <c r="BU46" s="24">
        <f>IF(VLOOKUP($Q46,武学奇术!$A:$ZZ,22,FALSE)=1,0,(1-$BN46))*(1-$BQ46)</f>
        <v>0</v>
      </c>
      <c r="BV46" s="24" cm="1">
        <f t="array" ref="BV46">SUM(_xlfn.XLOOKUP($R46:$AK46,增益!$A:$A,增益!$W:$W,0))+$I$5</f>
        <v>0.06</v>
      </c>
    </row>
    <row r="47" spans="1:74">
      <c r="A47" s="4" t="s">
        <v>159</v>
      </c>
      <c r="B47" s="88">
        <v>1.3</v>
      </c>
      <c r="F47">
        <v>25</v>
      </c>
      <c r="K47" s="38">
        <f t="shared" si="11"/>
        <v>24127.5478455656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弹道",$B$21,0))*(1+$BV47)</f>
        <v>24279.4761838267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弹道",$B$21,0))*(1+$BV47)</f>
        <v>22644.0796471094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弹道",$B$21,0))*(1+$BV47)</f>
        <v>15270.1108074382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弹道",$B$21,0))*(1+$BV47)</f>
        <v>13766.8292836841</v>
      </c>
      <c r="P47" s="39">
        <v>1</v>
      </c>
      <c r="Q47" s="40" t="s">
        <v>131</v>
      </c>
      <c r="R47" s="40" t="s">
        <v>97</v>
      </c>
      <c r="S47" s="40" t="s">
        <v>173</v>
      </c>
      <c r="T47" s="40" t="s">
        <v>78</v>
      </c>
      <c r="U47" s="40" t="s">
        <v>171</v>
      </c>
      <c r="V47" s="40" t="s">
        <v>78</v>
      </c>
      <c r="W47" s="40" t="s">
        <v>78</v>
      </c>
      <c r="X47" s="40" t="s">
        <v>78</v>
      </c>
      <c r="Y47" s="40" t="s">
        <v>78</v>
      </c>
      <c r="Z47" s="40" t="s">
        <v>78</v>
      </c>
      <c r="AA47" s="40" t="s">
        <v>78</v>
      </c>
      <c r="AB47" s="40" t="s">
        <v>84</v>
      </c>
      <c r="AC47" s="40" t="s">
        <v>78</v>
      </c>
      <c r="AD47" s="40" t="s">
        <v>78</v>
      </c>
      <c r="AE47" s="40" t="s">
        <v>78</v>
      </c>
      <c r="AF47" s="40" t="s">
        <v>78</v>
      </c>
      <c r="AG47" s="40" t="s">
        <v>78</v>
      </c>
      <c r="AH47" s="40" t="s">
        <v>78</v>
      </c>
      <c r="AI47" s="40" t="s">
        <v>78</v>
      </c>
      <c r="AJ47" s="40" t="s">
        <v>78</v>
      </c>
      <c r="AK47" s="40" t="s">
        <v>78</v>
      </c>
      <c r="AL47" t="str">
        <f>VLOOKUP($Q47,武学奇术!$A:$ZZ,25,FALSE)</f>
        <v>扇</v>
      </c>
      <c r="AM47" s="24">
        <f>VLOOKUP($Q47,武学奇术!$A:$ZZ,26,FALSE)</f>
        <v>1.2798</v>
      </c>
      <c r="AN47" s="25">
        <f>VLOOKUP($Q47,武学奇术!$A:$ZZ,27,FALSE)*(1+IF(OR($AL47=$F$4,$AL47=$F$5),$B$22,0))</f>
        <v>532.5</v>
      </c>
      <c r="AO47" s="24">
        <f>VLOOKUP($Q47,武学奇术!$A:$ZZ,28,FALSE)</f>
        <v>1.9197</v>
      </c>
      <c r="AP47" s="25">
        <f>VLOOKUP($Q47,武学奇术!$A:$ZZ,29,FALSE)*(1+IF(OR($AL47=$F$4,$AL47=$F$5),$B$22,0))</f>
        <v>289.5</v>
      </c>
      <c r="AQ47" s="24" cm="1">
        <f t="array" ref="AQ47">$G$3+IFERROR(VLOOKUP($AL47,$F$4:$G$7,2,FALSE),0)+VLOOKUP($Q47,武学奇术!$A:$ZZ,2,FALSE)+SUM(_xlfn.XLOOKUP($R47:$AK47,增益!$A:$A,增益!$B:$B,0))</f>
        <v>0.3189</v>
      </c>
      <c r="AR47" s="24" cm="1">
        <f t="array" ref="AR47">VLOOKUP($Q47,武学奇术!$A:$ZZ,5,FALSE)+SUM(_xlfn.XLOOKUP($R47:$AK47,增益!$A:$A,增益!$E:$E,0))</f>
        <v>0.15</v>
      </c>
      <c r="AS47" cm="1">
        <f t="array" ref="AS47">$D$10*(1+$AR47)+VLOOKUP($Q47,武学奇术!$A:$ZZ,3,FALSE)+SUM(_xlfn.XLOOKUP($R47:$AK47,增益!$A:$A,增益!$C:$C,0))-$I$2</f>
        <v>4427.0462</v>
      </c>
      <c r="AT47" cm="1">
        <f t="array" ref="AT47">$E$10*(1+$AR47)+VLOOKUP($Q47,武学奇术!$A:$ZZ,4,FALSE)+SUM(_xlfn.XLOOKUP($R47:$AK47,增益!$A:$A,增益!$D:$D,0))-$I$2</f>
        <v>4427.0462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0.2925</v>
      </c>
      <c r="AV47" s="32" cm="1">
        <f t="array" ref="AV47">$G$10+VLOOKUP($Q47,武学奇术!$A:$ZZ,7,FALSE)+SUM(_xlfn.XLOOKUP($R47:$AK47,增益!$A:$A,增益!$G:$G,0))</f>
        <v>0</v>
      </c>
      <c r="AW47" s="24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2" cm="1">
        <f t="array" ref="BA47">$G$11+VLOOKUP($Q47,武学奇术!$A:$ZZ,10,FALSE)+SUM(_xlfn.XLOOKUP($R47:$AK47,增益!$A:$A,增益!$J:$J,0))</f>
        <v>0</v>
      </c>
      <c r="BB47">
        <f t="shared" si="14"/>
        <v>0</v>
      </c>
      <c r="BC47">
        <f t="shared" si="15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-0.3</v>
      </c>
      <c r="BE47" s="32" cm="1">
        <f t="array" ref="BE47">$G$12+VLOOKUP($Q47,武学奇术!$A:$ZZ,12,FALSE)+SUM(_xlfn.XLOOKUP($R47:$AK47,增益!$A:$A,增益!$L:$L,0))</f>
        <v>0</v>
      </c>
      <c r="BF47">
        <f t="shared" si="16"/>
        <v>605.472</v>
      </c>
      <c r="BG47">
        <f t="shared" si="17"/>
        <v>1579.612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</v>
      </c>
      <c r="BI47" s="32" cm="1">
        <f t="array" ref="BI47">$G$13+VLOOKUP($Q47,武学奇术!$A:$ZZ,14,FALSE)+SUM(_xlfn.XLOOKUP($R47:$AK47,增益!$A:$A,增益!$N:$N,0))</f>
        <v>0.15</v>
      </c>
      <c r="BJ47">
        <f t="shared" si="18"/>
        <v>0</v>
      </c>
      <c r="BK47">
        <f t="shared" si="19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2" cm="1">
        <f t="array" ref="BM47">$G$14+VLOOKUP($Q47,武学奇术!$A:$ZZ,16,FALSE)+SUM(_xlfn.XLOOKUP($R47:$AK47,增益!$A:$A,增益!$P:$P,0))</f>
        <v>0</v>
      </c>
      <c r="BN47" s="24">
        <f>MIN(IF(VLOOKUP($Q47,武学奇术!$A:$ZZ,23,FALSE)=1,100%,$B$8),100%)</f>
        <v>1</v>
      </c>
      <c r="BO47" s="24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0.9093</v>
      </c>
      <c r="BP47" s="24" cm="1">
        <f t="array" ref="BP47">1+$B$13+VLOOKUP($Q47,武学奇术!$A:$ZZ,18,FALSE)+SUM(_xlfn.XLOOKUP($R47:$AK47,增益!$A:$A,增益!$R:$R,0))</f>
        <v>1.59</v>
      </c>
      <c r="BQ47" s="24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4" cm="1">
        <f t="array" ref="BR47">1+$B$14+VLOOKUP($Q47,武学奇术!$A:$ZZ,20,FALSE)+SUM(_xlfn.XLOOKUP($R47:$AK47,增益!$A:$A,增益!$T:$T,0))</f>
        <v>1.35</v>
      </c>
      <c r="BS47" s="24">
        <f t="shared" si="20"/>
        <v>0.9071</v>
      </c>
      <c r="BT47" s="24">
        <f t="shared" si="21"/>
        <v>0</v>
      </c>
      <c r="BU47" s="24">
        <f>IF(VLOOKUP($Q47,武学奇术!$A:$ZZ,22,FALSE)=1,0,(1-$BN47))*(1-$BQ47)</f>
        <v>0</v>
      </c>
      <c r="BV47" s="24" cm="1">
        <f t="array" ref="BV47">SUM(_xlfn.XLOOKUP($R47:$AK47,增益!$A:$A,增益!$W:$W,0))+$I$5</f>
        <v>0.06</v>
      </c>
    </row>
    <row r="48" spans="1:74">
      <c r="A48" s="4" t="s">
        <v>101</v>
      </c>
      <c r="B48" s="4">
        <v>1.25</v>
      </c>
      <c r="F48">
        <v>20</v>
      </c>
      <c r="K48" s="38">
        <f t="shared" si="11"/>
        <v>67835.6852481521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弹道",$B$21,0))*(1+$BV48)</f>
        <v>68262.7423059668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弹道",$B$21,0))*(1+$BV48)</f>
        <v>63665.7879699637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弹道",$B$21,0))*(1+$BV48)</f>
        <v>42932.5423307968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弹道",$B$21,0))*(1+$BV48)</f>
        <v>38705.2417208796</v>
      </c>
      <c r="P48" s="39">
        <v>1</v>
      </c>
      <c r="Q48" s="40" t="s">
        <v>169</v>
      </c>
      <c r="R48" s="40" t="s">
        <v>97</v>
      </c>
      <c r="S48" s="40" t="s">
        <v>173</v>
      </c>
      <c r="T48" s="40" t="s">
        <v>78</v>
      </c>
      <c r="U48" s="40" t="s">
        <v>171</v>
      </c>
      <c r="V48" s="40" t="s">
        <v>102</v>
      </c>
      <c r="W48" s="40" t="s">
        <v>78</v>
      </c>
      <c r="X48" s="40" t="s">
        <v>78</v>
      </c>
      <c r="Y48" s="40" t="s">
        <v>78</v>
      </c>
      <c r="Z48" s="40" t="s">
        <v>78</v>
      </c>
      <c r="AA48" s="40" t="s">
        <v>78</v>
      </c>
      <c r="AB48" s="40" t="s">
        <v>84</v>
      </c>
      <c r="AC48" s="40" t="s">
        <v>78</v>
      </c>
      <c r="AD48" s="40" t="s">
        <v>78</v>
      </c>
      <c r="AE48" s="40" t="s">
        <v>78</v>
      </c>
      <c r="AF48" s="40" t="s">
        <v>78</v>
      </c>
      <c r="AG48" s="40" t="s">
        <v>78</v>
      </c>
      <c r="AH48" s="40" t="s">
        <v>78</v>
      </c>
      <c r="AI48" s="40" t="s">
        <v>78</v>
      </c>
      <c r="AJ48" s="40" t="s">
        <v>78</v>
      </c>
      <c r="AK48" s="40" t="s">
        <v>78</v>
      </c>
      <c r="AL48" t="str">
        <f>VLOOKUP($Q48,武学奇术!$A:$ZZ,25,FALSE)</f>
        <v>扇</v>
      </c>
      <c r="AM48" s="24">
        <f>VLOOKUP($Q48,武学奇术!$A:$ZZ,26,FALSE)</f>
        <v>2.76138</v>
      </c>
      <c r="AN48" s="25">
        <f>VLOOKUP($Q48,武学奇术!$A:$ZZ,27,FALSE)*(1+IF(OR($AL48=$F$4,$AL48=$F$5),$B$22,0))</f>
        <v>1146.225</v>
      </c>
      <c r="AO48" s="24">
        <f>VLOOKUP($Q48,武学奇术!$A:$ZZ,28,FALSE)</f>
        <v>4.14207</v>
      </c>
      <c r="AP48" s="25">
        <f>VLOOKUP($Q48,武学奇术!$A:$ZZ,29,FALSE)*(1+IF(OR($AL48=$F$4,$AL48=$F$5),$B$22,0))</f>
        <v>624.225</v>
      </c>
      <c r="AQ48" s="24" cm="1">
        <f t="array" ref="AQ48">$G$3+IFERROR(VLOOKUP($AL48,$F$4:$G$7,2,FALSE),0)+VLOOKUP($Q48,武学奇术!$A:$ZZ,2,FALSE)+SUM(_xlfn.XLOOKUP($R48:$AK48,增益!$A:$A,增益!$B:$B,0))</f>
        <v>0.7189</v>
      </c>
      <c r="AR48" s="24" cm="1">
        <f t="array" ref="AR48">VLOOKUP($Q48,武学奇术!$A:$ZZ,5,FALSE)+SUM(_xlfn.XLOOKUP($R48:$AK48,增益!$A:$A,增益!$E:$E,0))</f>
        <v>0.15</v>
      </c>
      <c r="AS48" cm="1">
        <f t="array" ref="AS48">$D$10*(1+$AR48)+VLOOKUP($Q48,武学奇术!$A:$ZZ,3,FALSE)+SUM(_xlfn.XLOOKUP($R48:$AK48,增益!$A:$A,增益!$C:$C,0))-$I$2</f>
        <v>4427.0462</v>
      </c>
      <c r="AT48" cm="1">
        <f t="array" ref="AT48">$E$10*(1+$AR48)+VLOOKUP($Q48,武学奇术!$A:$ZZ,4,FALSE)+SUM(_xlfn.XLOOKUP($R48:$AK48,增益!$A:$A,增益!$D:$D,0))-$I$2</f>
        <v>4427.0462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0.2925</v>
      </c>
      <c r="AV48" s="32" cm="1">
        <f t="array" ref="AV48">$G$10+VLOOKUP($Q48,武学奇术!$A:$ZZ,7,FALSE)+SUM(_xlfn.XLOOKUP($R48:$AK48,增益!$A:$A,增益!$G:$G,0))</f>
        <v>0</v>
      </c>
      <c r="AW48" s="24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2" cm="1">
        <f t="array" ref="BA48">$G$11+VLOOKUP($Q48,武学奇术!$A:$ZZ,10,FALSE)+SUM(_xlfn.XLOOKUP($R48:$AK48,增益!$A:$A,增益!$J:$J,0))</f>
        <v>0</v>
      </c>
      <c r="BB48">
        <f t="shared" si="14"/>
        <v>0</v>
      </c>
      <c r="BC48">
        <f t="shared" si="15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-0.3</v>
      </c>
      <c r="BE48" s="32" cm="1">
        <f t="array" ref="BE48">$G$12+VLOOKUP($Q48,武学奇术!$A:$ZZ,12,FALSE)+SUM(_xlfn.XLOOKUP($R48:$AK48,增益!$A:$A,增益!$L:$L,0))</f>
        <v>0</v>
      </c>
      <c r="BF48">
        <f t="shared" si="16"/>
        <v>605.472</v>
      </c>
      <c r="BG48">
        <f t="shared" si="17"/>
        <v>1579.612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</v>
      </c>
      <c r="BI48" s="32" cm="1">
        <f t="array" ref="BI48">$G$13+VLOOKUP($Q48,武学奇术!$A:$ZZ,14,FALSE)+SUM(_xlfn.XLOOKUP($R48:$AK48,增益!$A:$A,增益!$N:$N,0))</f>
        <v>0.15</v>
      </c>
      <c r="BJ48">
        <f t="shared" si="18"/>
        <v>0</v>
      </c>
      <c r="BK48">
        <f t="shared" si="19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2" cm="1">
        <f t="array" ref="BM48">$G$14+VLOOKUP($Q48,武学奇术!$A:$ZZ,16,FALSE)+SUM(_xlfn.XLOOKUP($R48:$AK48,增益!$A:$A,增益!$P:$P,0))</f>
        <v>0</v>
      </c>
      <c r="BN48" s="24">
        <f>MIN(IF(VLOOKUP($Q48,武学奇术!$A:$ZZ,23,FALSE)=1,100%,$B$8),100%)</f>
        <v>1</v>
      </c>
      <c r="BO48" s="24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0.9093</v>
      </c>
      <c r="BP48" s="24" cm="1">
        <f t="array" ref="BP48">1+$B$13+VLOOKUP($Q48,武学奇术!$A:$ZZ,18,FALSE)+SUM(_xlfn.XLOOKUP($R48:$AK48,增益!$A:$A,增益!$R:$R,0))</f>
        <v>1.59</v>
      </c>
      <c r="BQ48" s="24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4" cm="1">
        <f t="array" ref="BR48">1+$B$14+VLOOKUP($Q48,武学奇术!$A:$ZZ,20,FALSE)+SUM(_xlfn.XLOOKUP($R48:$AK48,增益!$A:$A,增益!$T:$T,0))</f>
        <v>1.35</v>
      </c>
      <c r="BS48" s="24">
        <f t="shared" si="20"/>
        <v>0.9071</v>
      </c>
      <c r="BT48" s="24">
        <f t="shared" si="21"/>
        <v>0</v>
      </c>
      <c r="BU48" s="24">
        <f>IF(VLOOKUP($Q48,武学奇术!$A:$ZZ,22,FALSE)=1,0,(1-$BN48))*(1-$BQ48)</f>
        <v>0</v>
      </c>
      <c r="BV48" s="24" cm="1">
        <f t="array" ref="BV48">SUM(_xlfn.XLOOKUP($R48:$AK48,增益!$A:$A,增益!$W:$W,0))+$I$5</f>
        <v>0.06</v>
      </c>
    </row>
    <row r="49" spans="1:74">
      <c r="A49" s="4" t="s">
        <v>174</v>
      </c>
      <c r="B49" s="88">
        <v>1.8</v>
      </c>
      <c r="F49">
        <v>-15</v>
      </c>
      <c r="K49" s="38">
        <f t="shared" si="11"/>
        <v>107606.713909495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弹道",$B$21,0))*(1+$BV49)</f>
        <v>110096.231389286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弹道",$B$21,0))*(1+$BV49)</f>
        <v>83298.4113700042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弹道",$B$21,0))*(1+$BV49)</f>
        <v>56171.5466271868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弹道",$B$21,0))*(1+$BV49)</f>
        <v>50640.5663136298</v>
      </c>
      <c r="P49" s="39">
        <v>1</v>
      </c>
      <c r="Q49" s="40" t="s">
        <v>175</v>
      </c>
      <c r="R49" s="40" t="s">
        <v>97</v>
      </c>
      <c r="S49" s="40" t="s">
        <v>176</v>
      </c>
      <c r="T49" s="40" t="s">
        <v>78</v>
      </c>
      <c r="U49" s="40" t="s">
        <v>171</v>
      </c>
      <c r="V49" s="40" t="s">
        <v>177</v>
      </c>
      <c r="W49" s="40" t="s">
        <v>78</v>
      </c>
      <c r="X49" s="40" t="s">
        <v>78</v>
      </c>
      <c r="Y49" s="40" t="s">
        <v>78</v>
      </c>
      <c r="Z49" s="40" t="s">
        <v>78</v>
      </c>
      <c r="AA49" s="40" t="s">
        <v>78</v>
      </c>
      <c r="AB49" s="40" t="s">
        <v>84</v>
      </c>
      <c r="AC49" s="40" t="s">
        <v>78</v>
      </c>
      <c r="AD49" s="40" t="s">
        <v>78</v>
      </c>
      <c r="AE49" s="40" t="s">
        <v>78</v>
      </c>
      <c r="AF49" s="40" t="s">
        <v>78</v>
      </c>
      <c r="AG49" s="40" t="s">
        <v>78</v>
      </c>
      <c r="AH49" s="40" t="s">
        <v>78</v>
      </c>
      <c r="AI49" s="40" t="s">
        <v>78</v>
      </c>
      <c r="AJ49" s="40" t="s">
        <v>78</v>
      </c>
      <c r="AK49" s="40" t="s">
        <v>78</v>
      </c>
      <c r="AL49" t="str">
        <f>VLOOKUP($Q49,武学奇术!$A:$ZZ,25,FALSE)</f>
        <v>扇</v>
      </c>
      <c r="AM49" s="24">
        <f>VLOOKUP($Q49,武学奇术!$A:$ZZ,26,FALSE)</f>
        <v>4.376825</v>
      </c>
      <c r="AN49" s="25">
        <f>VLOOKUP($Q49,武学奇术!$A:$ZZ,27,FALSE)*(1+IF(OR($AL49=$F$4,$AL49=$F$5),$B$22,0))</f>
        <v>1816.125</v>
      </c>
      <c r="AO49" s="24">
        <f>VLOOKUP($Q49,武学奇术!$A:$ZZ,28,FALSE)</f>
        <v>6.56531</v>
      </c>
      <c r="AP49" s="25">
        <f>VLOOKUP($Q49,武学奇术!$A:$ZZ,29,FALSE)*(1+IF(OR($AL49=$F$4,$AL49=$F$5),$B$22,0))</f>
        <v>989.625</v>
      </c>
      <c r="AQ49" s="24" cm="1">
        <f t="array" ref="AQ49">$G$3+IFERROR(VLOOKUP($AL49,$F$4:$G$7,2,FALSE),0)+VLOOKUP($Q49,武学奇术!$A:$ZZ,2,FALSE)+SUM(_xlfn.XLOOKUP($R49:$AK49,增益!$A:$A,增益!$B:$B,0))</f>
        <v>0.4189</v>
      </c>
      <c r="AR49" s="24" cm="1">
        <f t="array" ref="AR49">VLOOKUP($Q49,武学奇术!$A:$ZZ,5,FALSE)+SUM(_xlfn.XLOOKUP($R49:$AK49,增益!$A:$A,增益!$E:$E,0))</f>
        <v>0.15</v>
      </c>
      <c r="AS49" cm="1">
        <f t="array" ref="AS49">$D$10*(1+$AR49)+VLOOKUP($Q49,武学奇术!$A:$ZZ,3,FALSE)+SUM(_xlfn.XLOOKUP($R49:$AK49,增益!$A:$A,增益!$C:$C,0))-$I$2</f>
        <v>4427.0462</v>
      </c>
      <c r="AT49" cm="1">
        <f t="array" ref="AT49">$E$10*(1+$AR49)+VLOOKUP($Q49,武学奇术!$A:$ZZ,4,FALSE)+SUM(_xlfn.XLOOKUP($R49:$AK49,增益!$A:$A,增益!$D:$D,0))-$I$2</f>
        <v>4427.0462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0.2925</v>
      </c>
      <c r="AV49" s="32" cm="1">
        <f t="array" ref="AV49">$G$10+VLOOKUP($Q49,武学奇术!$A:$ZZ,7,FALSE)+SUM(_xlfn.XLOOKUP($R49:$AK49,增益!$A:$A,增益!$G:$G,0))</f>
        <v>0</v>
      </c>
      <c r="AW49" s="24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2" cm="1">
        <f t="array" ref="BA49">$G$11+VLOOKUP($Q49,武学奇术!$A:$ZZ,10,FALSE)+SUM(_xlfn.XLOOKUP($R49:$AK49,增益!$A:$A,增益!$J:$J,0))</f>
        <v>0</v>
      </c>
      <c r="BB49">
        <f t="shared" si="14"/>
        <v>0</v>
      </c>
      <c r="BC49">
        <f t="shared" si="15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-0.3</v>
      </c>
      <c r="BE49" s="32" cm="1">
        <f t="array" ref="BE49">$G$12+VLOOKUP($Q49,武学奇术!$A:$ZZ,12,FALSE)+SUM(_xlfn.XLOOKUP($R49:$AK49,增益!$A:$A,增益!$L:$L,0))</f>
        <v>0</v>
      </c>
      <c r="BF49">
        <f t="shared" si="16"/>
        <v>605.472</v>
      </c>
      <c r="BG49">
        <f t="shared" si="17"/>
        <v>1579.612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</v>
      </c>
      <c r="BI49" s="32" cm="1">
        <f t="array" ref="BI49">$G$13+VLOOKUP($Q49,武学奇术!$A:$ZZ,14,FALSE)+SUM(_xlfn.XLOOKUP($R49:$AK49,增益!$A:$A,增益!$N:$N,0))</f>
        <v>0.15</v>
      </c>
      <c r="BJ49">
        <f t="shared" si="18"/>
        <v>0</v>
      </c>
      <c r="BK49">
        <f t="shared" si="19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2" cm="1">
        <f t="array" ref="BM49">$G$14+VLOOKUP($Q49,武学奇术!$A:$ZZ,16,FALSE)+SUM(_xlfn.XLOOKUP($R49:$AK49,增益!$A:$A,增益!$P:$P,0))</f>
        <v>0</v>
      </c>
      <c r="BN49" s="24">
        <f>MIN(IF(VLOOKUP($Q49,武学奇术!$A:$ZZ,23,FALSE)=1,100%,$B$8),100%)</f>
        <v>1</v>
      </c>
      <c r="BO49" s="24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0.9093</v>
      </c>
      <c r="BP49" s="24" cm="1">
        <f t="array" ref="BP49">1+$B$13+VLOOKUP($Q49,武学奇术!$A:$ZZ,18,FALSE)+SUM(_xlfn.XLOOKUP($R49:$AK49,增益!$A:$A,增益!$R:$R,0))</f>
        <v>1.96</v>
      </c>
      <c r="BQ49" s="24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4" cm="1">
        <f t="array" ref="BR49">1+$B$14+VLOOKUP($Q49,武学奇术!$A:$ZZ,20,FALSE)+SUM(_xlfn.XLOOKUP($R49:$AK49,增益!$A:$A,增益!$T:$T,0))</f>
        <v>1.35</v>
      </c>
      <c r="BS49" s="24">
        <f t="shared" si="20"/>
        <v>0.9071</v>
      </c>
      <c r="BT49" s="24">
        <f t="shared" si="21"/>
        <v>0</v>
      </c>
      <c r="BU49" s="24">
        <f>IF(VLOOKUP($Q49,武学奇术!$A:$ZZ,22,FALSE)=1,0,(1-$BN49))*(1-$BQ49)</f>
        <v>0</v>
      </c>
      <c r="BV49" s="24" cm="1">
        <f t="array" ref="BV49">SUM(_xlfn.XLOOKUP($R49:$AK49,增益!$A:$A,增益!$W:$W,0))+$I$5</f>
        <v>0.06</v>
      </c>
    </row>
    <row r="50" spans="1:74">
      <c r="A50" s="4" t="s">
        <v>178</v>
      </c>
      <c r="B50" s="88">
        <v>1.7</v>
      </c>
      <c r="C50" t="s">
        <v>179</v>
      </c>
      <c r="E50" s="27">
        <v>0.3</v>
      </c>
      <c r="G50" s="39" t="s">
        <v>158</v>
      </c>
      <c r="K50" s="38">
        <f t="shared" si="11"/>
        <v>27720.0976533727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弹道",$B$21,0))*(1+$BV50)</f>
        <v>28342.960652258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弹道",$B$21,0))*(1+$BV50)</f>
        <v>21638.2997385302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弹道",$B$21,0))*(1+$BV50)</f>
        <v>14609.7735320917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弹道",$B$21,0))*(1+$BV50)</f>
        <v>13191.1768874944</v>
      </c>
      <c r="P50" s="39">
        <v>0.5</v>
      </c>
      <c r="Q50" s="40" t="s">
        <v>113</v>
      </c>
      <c r="R50" s="40" t="s">
        <v>97</v>
      </c>
      <c r="S50" s="40" t="s">
        <v>170</v>
      </c>
      <c r="T50" s="40" t="s">
        <v>106</v>
      </c>
      <c r="U50" s="40" t="s">
        <v>171</v>
      </c>
      <c r="V50" s="40" t="s">
        <v>102</v>
      </c>
      <c r="W50" s="40" t="s">
        <v>78</v>
      </c>
      <c r="X50" s="40" t="s">
        <v>78</v>
      </c>
      <c r="Y50" s="40" t="s">
        <v>78</v>
      </c>
      <c r="Z50" s="40" t="s">
        <v>78</v>
      </c>
      <c r="AA50" s="40" t="s">
        <v>78</v>
      </c>
      <c r="AB50" s="40" t="s">
        <v>84</v>
      </c>
      <c r="AC50" s="40" t="s">
        <v>78</v>
      </c>
      <c r="AD50" s="40" t="s">
        <v>78</v>
      </c>
      <c r="AE50" s="40" t="s">
        <v>78</v>
      </c>
      <c r="AF50" s="40" t="s">
        <v>78</v>
      </c>
      <c r="AG50" s="40" t="s">
        <v>78</v>
      </c>
      <c r="AH50" s="40" t="s">
        <v>78</v>
      </c>
      <c r="AI50" s="40" t="s">
        <v>78</v>
      </c>
      <c r="AJ50" s="40" t="s">
        <v>78</v>
      </c>
      <c r="AK50" s="40" t="s">
        <v>78</v>
      </c>
      <c r="AL50" t="str">
        <f>VLOOKUP($Q50,武学奇术!$A:$ZZ,25,FALSE)</f>
        <v>伞</v>
      </c>
      <c r="AM50" s="24">
        <f>VLOOKUP($Q50,武学奇术!$A:$ZZ,26,FALSE)</f>
        <v>1.174955</v>
      </c>
      <c r="AN50" s="25">
        <f>VLOOKUP($Q50,武学奇术!$A:$ZZ,27,FALSE)*(1+IF(OR($AL50=$F$4,$AL50=$F$5),$B$22,0))</f>
        <v>486.45</v>
      </c>
      <c r="AO50" s="24">
        <f>VLOOKUP($Q50,武学奇术!$A:$ZZ,28,FALSE)</f>
        <v>1.762375</v>
      </c>
      <c r="AP50" s="25">
        <f>VLOOKUP($Q50,武学奇术!$A:$ZZ,29,FALSE)*(1+IF(OR($AL50=$F$4,$AL50=$F$5),$B$22,0))</f>
        <v>265.65</v>
      </c>
      <c r="AQ50" s="24" cm="1">
        <f t="array" ref="AQ50">$G$3+IFERROR(VLOOKUP($AL50,$F$4:$G$7,2,FALSE),0)+VLOOKUP($Q50,武学奇术!$A:$ZZ,2,FALSE)+SUM(_xlfn.XLOOKUP($R50:$AK50,增益!$A:$A,增益!$B:$B,0))</f>
        <v>1.0541</v>
      </c>
      <c r="AR50" s="24" cm="1">
        <f t="array" ref="AR50">VLOOKUP($Q50,武学奇术!$A:$ZZ,5,FALSE)+SUM(_xlfn.XLOOKUP($R50:$AK50,增益!$A:$A,增益!$E:$E,0))</f>
        <v>0.15</v>
      </c>
      <c r="AS50" cm="1">
        <f t="array" ref="AS50">$D$10*(1+$AR50)+VLOOKUP($Q50,武学奇术!$A:$ZZ,3,FALSE)+SUM(_xlfn.XLOOKUP($R50:$AK50,增益!$A:$A,增益!$C:$C,0))-$I$2</f>
        <v>4427.0462</v>
      </c>
      <c r="AT50" cm="1">
        <f t="array" ref="AT50">$E$10*(1+$AR50)+VLOOKUP($Q50,武学奇术!$A:$ZZ,4,FALSE)+SUM(_xlfn.XLOOKUP($R50:$AK50,增益!$A:$A,增益!$D:$D,0))-$I$2</f>
        <v>4427.0462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0.3175</v>
      </c>
      <c r="AV50" s="32" cm="1">
        <f t="array" ref="AV50">$G$10+VLOOKUP($Q50,武学奇术!$A:$ZZ,7,FALSE)+SUM(_xlfn.XLOOKUP($R50:$AK50,增益!$A:$A,增益!$G:$G,0))</f>
        <v>0</v>
      </c>
      <c r="AW50" s="24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2" cm="1">
        <f t="array" ref="BA50">$G$11+VLOOKUP($Q50,武学奇术!$A:$ZZ,10,FALSE)+SUM(_xlfn.XLOOKUP($R50:$AK50,增益!$A:$A,增益!$J:$J,0))</f>
        <v>0</v>
      </c>
      <c r="BB50">
        <f t="shared" si="14"/>
        <v>0</v>
      </c>
      <c r="BC50">
        <f t="shared" si="15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-0.3</v>
      </c>
      <c r="BE50" s="32" cm="1">
        <f t="array" ref="BE50">$G$12+VLOOKUP($Q50,武学奇术!$A:$ZZ,12,FALSE)+SUM(_xlfn.XLOOKUP($R50:$AK50,增益!$A:$A,增益!$L:$L,0))</f>
        <v>0</v>
      </c>
      <c r="BF50">
        <f t="shared" si="16"/>
        <v>605.472</v>
      </c>
      <c r="BG50">
        <f t="shared" si="17"/>
        <v>1579.612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</v>
      </c>
      <c r="BI50" s="32" cm="1">
        <f t="array" ref="BI50">$G$13+VLOOKUP($Q50,武学奇术!$A:$ZZ,14,FALSE)+SUM(_xlfn.XLOOKUP($R50:$AK50,增益!$A:$A,增益!$N:$N,0))</f>
        <v>0.15</v>
      </c>
      <c r="BJ50">
        <f t="shared" si="18"/>
        <v>0</v>
      </c>
      <c r="BK50">
        <f t="shared" si="19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2" cm="1">
        <f t="array" ref="BM50">$G$14+VLOOKUP($Q50,武学奇术!$A:$ZZ,16,FALSE)+SUM(_xlfn.XLOOKUP($R50:$AK50,增益!$A:$A,增益!$P:$P,0))</f>
        <v>0</v>
      </c>
      <c r="BN50" s="24">
        <f>MIN(IF(VLOOKUP($Q50,武学奇术!$A:$ZZ,23,FALSE)=1,100%,$B$8),100%)</f>
        <v>1</v>
      </c>
      <c r="BO50" s="24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0.9093</v>
      </c>
      <c r="BP50" s="24" cm="1">
        <f t="array" ref="BP50">1+$B$13+VLOOKUP($Q50,武学奇术!$A:$ZZ,18,FALSE)+SUM(_xlfn.XLOOKUP($R50:$AK50,增益!$A:$A,增益!$R:$R,0))</f>
        <v>1.94</v>
      </c>
      <c r="BQ50" s="24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4" cm="1">
        <f t="array" ref="BR50">1+$B$14+VLOOKUP($Q50,武学奇术!$A:$ZZ,20,FALSE)+SUM(_xlfn.XLOOKUP($R50:$AK50,增益!$A:$A,增益!$T:$T,0))</f>
        <v>1.35</v>
      </c>
      <c r="BS50" s="24">
        <f t="shared" si="20"/>
        <v>0.9071</v>
      </c>
      <c r="BT50" s="24">
        <f t="shared" si="21"/>
        <v>0</v>
      </c>
      <c r="BU50" s="24">
        <f>IF(VLOOKUP($Q50,武学奇术!$A:$ZZ,22,FALSE)=1,0,(1-$BN50))*(1-$BQ50)</f>
        <v>0</v>
      </c>
      <c r="BV50" s="24" cm="1">
        <f t="array" ref="BV50">SUM(_xlfn.XLOOKUP($R50:$AK50,增益!$A:$A,增益!$W:$W,0))+$I$5</f>
        <v>0.06</v>
      </c>
    </row>
    <row r="51" spans="1:74">
      <c r="A51" s="4" t="s">
        <v>111</v>
      </c>
      <c r="B51" s="88">
        <v>1.16</v>
      </c>
      <c r="G51" s="39"/>
      <c r="K51" s="38">
        <f t="shared" si="11"/>
        <v>111410.491636329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弹道",$B$21,0))*(1+$BV51)</f>
        <v>113956.233550316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弹道",$B$21,0))*(1+$BV51)</f>
        <v>86553.1989541208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弹道",$B$21,0))*(1+$BV51)</f>
        <v>58439.094128367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弹道",$B$21,0))*(1+$BV51)</f>
        <v>52764.7075499778</v>
      </c>
      <c r="P51" s="39">
        <v>2</v>
      </c>
      <c r="Q51" s="40" t="s">
        <v>113</v>
      </c>
      <c r="R51" s="40" t="s">
        <v>97</v>
      </c>
      <c r="S51" s="40" t="s">
        <v>173</v>
      </c>
      <c r="T51" s="40" t="s">
        <v>106</v>
      </c>
      <c r="U51" s="40" t="s">
        <v>171</v>
      </c>
      <c r="V51" s="40" t="s">
        <v>102</v>
      </c>
      <c r="W51" s="40" t="s">
        <v>78</v>
      </c>
      <c r="X51" s="40" t="s">
        <v>78</v>
      </c>
      <c r="Y51" s="40" t="s">
        <v>78</v>
      </c>
      <c r="Z51" s="40" t="s">
        <v>78</v>
      </c>
      <c r="AA51" s="40" t="s">
        <v>78</v>
      </c>
      <c r="AB51" s="40" t="s">
        <v>84</v>
      </c>
      <c r="AC51" s="40" t="s">
        <v>78</v>
      </c>
      <c r="AD51" s="40" t="s">
        <v>78</v>
      </c>
      <c r="AE51" s="40" t="s">
        <v>78</v>
      </c>
      <c r="AF51" s="40" t="s">
        <v>78</v>
      </c>
      <c r="AG51" s="40" t="s">
        <v>78</v>
      </c>
      <c r="AH51" s="40" t="s">
        <v>78</v>
      </c>
      <c r="AI51" s="40" t="s">
        <v>78</v>
      </c>
      <c r="AJ51" s="40" t="s">
        <v>78</v>
      </c>
      <c r="AK51" s="40" t="s">
        <v>78</v>
      </c>
      <c r="AL51" t="str">
        <f>VLOOKUP($Q51,武学奇术!$A:$ZZ,25,FALSE)</f>
        <v>伞</v>
      </c>
      <c r="AM51" s="24">
        <f>VLOOKUP($Q51,武学奇术!$A:$ZZ,26,FALSE)</f>
        <v>1.174955</v>
      </c>
      <c r="AN51" s="25">
        <f>VLOOKUP($Q51,武学奇术!$A:$ZZ,27,FALSE)*(1+IF(OR($AL51=$F$4,$AL51=$F$5),$B$22,0))</f>
        <v>486.45</v>
      </c>
      <c r="AO51" s="24">
        <f>VLOOKUP($Q51,武学奇术!$A:$ZZ,28,FALSE)</f>
        <v>1.762375</v>
      </c>
      <c r="AP51" s="25">
        <f>VLOOKUP($Q51,武学奇术!$A:$ZZ,29,FALSE)*(1+IF(OR($AL51=$F$4,$AL51=$F$5),$B$22,0))</f>
        <v>265.65</v>
      </c>
      <c r="AQ51" s="24" cm="1">
        <f t="array" ref="AQ51">$G$3+IFERROR(VLOOKUP($AL51,$F$4:$G$7,2,FALSE),0)+VLOOKUP($Q51,武学奇术!$A:$ZZ,2,FALSE)+SUM(_xlfn.XLOOKUP($R51:$AK51,增益!$A:$A,增益!$B:$B,0))</f>
        <v>1.0541</v>
      </c>
      <c r="AR51" s="24" cm="1">
        <f t="array" ref="AR51">VLOOKUP($Q51,武学奇术!$A:$ZZ,5,FALSE)+SUM(_xlfn.XLOOKUP($R51:$AK51,增益!$A:$A,增益!$E:$E,0))</f>
        <v>0.15</v>
      </c>
      <c r="AS51" cm="1">
        <f t="array" ref="AS51">$D$10*(1+$AR51)+VLOOKUP($Q51,武学奇术!$A:$ZZ,3,FALSE)+SUM(_xlfn.XLOOKUP($R51:$AK51,增益!$A:$A,增益!$C:$C,0))-$I$2</f>
        <v>4427.0462</v>
      </c>
      <c r="AT51" cm="1">
        <f t="array" ref="AT51">$E$10*(1+$AR51)+VLOOKUP($Q51,武学奇术!$A:$ZZ,4,FALSE)+SUM(_xlfn.XLOOKUP($R51:$AK51,增益!$A:$A,增益!$D:$D,0))-$I$2</f>
        <v>4427.0462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0.3175</v>
      </c>
      <c r="AV51" s="32" cm="1">
        <f t="array" ref="AV51">$G$10+VLOOKUP($Q51,武学奇术!$A:$ZZ,7,FALSE)+SUM(_xlfn.XLOOKUP($R51:$AK51,增益!$A:$A,增益!$G:$G,0))</f>
        <v>0</v>
      </c>
      <c r="AW51" s="24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2" cm="1">
        <f t="array" ref="BA51">$G$11+VLOOKUP($Q51,武学奇术!$A:$ZZ,10,FALSE)+SUM(_xlfn.XLOOKUP($R51:$AK51,增益!$A:$A,增益!$J:$J,0))</f>
        <v>0</v>
      </c>
      <c r="BB51">
        <f t="shared" si="14"/>
        <v>0</v>
      </c>
      <c r="BC51">
        <f t="shared" si="15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-0.3</v>
      </c>
      <c r="BE51" s="32" cm="1">
        <f t="array" ref="BE51">$G$12+VLOOKUP($Q51,武学奇术!$A:$ZZ,12,FALSE)+SUM(_xlfn.XLOOKUP($R51:$AK51,增益!$A:$A,增益!$L:$L,0))</f>
        <v>0</v>
      </c>
      <c r="BF51">
        <f t="shared" si="16"/>
        <v>605.472</v>
      </c>
      <c r="BG51">
        <f t="shared" si="17"/>
        <v>1579.612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</v>
      </c>
      <c r="BI51" s="32" cm="1">
        <f t="array" ref="BI51">$G$13+VLOOKUP($Q51,武学奇术!$A:$ZZ,14,FALSE)+SUM(_xlfn.XLOOKUP($R51:$AK51,增益!$A:$A,增益!$N:$N,0))</f>
        <v>0.15</v>
      </c>
      <c r="BJ51">
        <f t="shared" si="18"/>
        <v>0</v>
      </c>
      <c r="BK51">
        <f t="shared" si="19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2" cm="1">
        <f t="array" ref="BM51">$G$14+VLOOKUP($Q51,武学奇术!$A:$ZZ,16,FALSE)+SUM(_xlfn.XLOOKUP($R51:$AK51,增益!$A:$A,增益!$P:$P,0))</f>
        <v>0</v>
      </c>
      <c r="BN51" s="24">
        <f>MIN(IF(VLOOKUP($Q51,武学奇术!$A:$ZZ,23,FALSE)=1,100%,$B$8),100%)</f>
        <v>1</v>
      </c>
      <c r="BO51" s="24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0.9093</v>
      </c>
      <c r="BP51" s="24" cm="1">
        <f t="array" ref="BP51">1+$B$13+VLOOKUP($Q51,武学奇术!$A:$ZZ,18,FALSE)+SUM(_xlfn.XLOOKUP($R51:$AK51,增益!$A:$A,增益!$R:$R,0))</f>
        <v>1.95</v>
      </c>
      <c r="BQ51" s="24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4" cm="1">
        <f t="array" ref="BR51">1+$B$14+VLOOKUP($Q51,武学奇术!$A:$ZZ,20,FALSE)+SUM(_xlfn.XLOOKUP($R51:$AK51,增益!$A:$A,增益!$T:$T,0))</f>
        <v>1.35</v>
      </c>
      <c r="BS51" s="24">
        <f t="shared" si="20"/>
        <v>0.9071</v>
      </c>
      <c r="BT51" s="24">
        <f t="shared" si="21"/>
        <v>0</v>
      </c>
      <c r="BU51" s="24">
        <f>IF(VLOOKUP($Q51,武学奇术!$A:$ZZ,22,FALSE)=1,0,(1-$BN51))*(1-$BQ51)</f>
        <v>0</v>
      </c>
      <c r="BV51" s="24" cm="1">
        <f t="array" ref="BV51">SUM(_xlfn.XLOOKUP($R51:$AK51,增益!$A:$A,增益!$W:$W,0))+$I$5</f>
        <v>0.06</v>
      </c>
    </row>
    <row r="52" spans="1:74">
      <c r="A52" s="4" t="s">
        <v>161</v>
      </c>
      <c r="B52" s="4">
        <v>0.1</v>
      </c>
      <c r="G52" s="39"/>
      <c r="K52" s="38">
        <f t="shared" si="11"/>
        <v>335821.777977503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弹道",$B$21,0))*(1+$BV52)</f>
        <v>343621.873474798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弹道",$B$21,0))*(1+$BV52)</f>
        <v>259659.596862363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弹道",$B$21,0))*(1+$BV52)</f>
        <v>175317.282385101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弹道",$B$21,0))*(1+$BV52)</f>
        <v>158294.122649933</v>
      </c>
      <c r="P52" s="39">
        <v>6</v>
      </c>
      <c r="Q52" s="40" t="s">
        <v>113</v>
      </c>
      <c r="R52" s="40" t="s">
        <v>97</v>
      </c>
      <c r="S52" s="40" t="s">
        <v>176</v>
      </c>
      <c r="T52" s="40" t="s">
        <v>106</v>
      </c>
      <c r="U52" s="40" t="s">
        <v>171</v>
      </c>
      <c r="V52" s="40" t="s">
        <v>102</v>
      </c>
      <c r="W52" s="40" t="s">
        <v>78</v>
      </c>
      <c r="X52" s="40" t="s">
        <v>78</v>
      </c>
      <c r="Y52" s="40" t="s">
        <v>78</v>
      </c>
      <c r="Z52" s="40" t="s">
        <v>78</v>
      </c>
      <c r="AA52" s="40" t="s">
        <v>78</v>
      </c>
      <c r="AB52" s="40" t="s">
        <v>84</v>
      </c>
      <c r="AC52" s="40" t="s">
        <v>78</v>
      </c>
      <c r="AD52" s="40" t="s">
        <v>78</v>
      </c>
      <c r="AE52" s="40" t="s">
        <v>78</v>
      </c>
      <c r="AF52" s="40" t="s">
        <v>78</v>
      </c>
      <c r="AG52" s="40" t="s">
        <v>78</v>
      </c>
      <c r="AH52" s="40" t="s">
        <v>78</v>
      </c>
      <c r="AI52" s="40" t="s">
        <v>78</v>
      </c>
      <c r="AJ52" s="40" t="s">
        <v>78</v>
      </c>
      <c r="AK52" s="40" t="s">
        <v>78</v>
      </c>
      <c r="AL52" t="str">
        <f>VLOOKUP($Q52,武学奇术!$A:$ZZ,25,FALSE)</f>
        <v>伞</v>
      </c>
      <c r="AM52" s="24">
        <f>VLOOKUP($Q52,武学奇术!$A:$ZZ,26,FALSE)</f>
        <v>1.174955</v>
      </c>
      <c r="AN52" s="25">
        <f>VLOOKUP($Q52,武学奇术!$A:$ZZ,27,FALSE)*(1+IF(OR($AL52=$F$4,$AL52=$F$5),$B$22,0))</f>
        <v>486.45</v>
      </c>
      <c r="AO52" s="24">
        <f>VLOOKUP($Q52,武学奇术!$A:$ZZ,28,FALSE)</f>
        <v>1.762375</v>
      </c>
      <c r="AP52" s="25">
        <f>VLOOKUP($Q52,武学奇术!$A:$ZZ,29,FALSE)*(1+IF(OR($AL52=$F$4,$AL52=$F$5),$B$22,0))</f>
        <v>265.65</v>
      </c>
      <c r="AQ52" s="24" cm="1">
        <f t="array" ref="AQ52">$G$3+IFERROR(VLOOKUP($AL52,$F$4:$G$7,2,FALSE),0)+VLOOKUP($Q52,武学奇术!$A:$ZZ,2,FALSE)+SUM(_xlfn.XLOOKUP($R52:$AK52,增益!$A:$A,增益!$B:$B,0))</f>
        <v>1.0541</v>
      </c>
      <c r="AR52" s="24" cm="1">
        <f t="array" ref="AR52">VLOOKUP($Q52,武学奇术!$A:$ZZ,5,FALSE)+SUM(_xlfn.XLOOKUP($R52:$AK52,增益!$A:$A,增益!$E:$E,0))</f>
        <v>0.15</v>
      </c>
      <c r="AS52" cm="1">
        <f t="array" ref="AS52">$D$10*(1+$AR52)+VLOOKUP($Q52,武学奇术!$A:$ZZ,3,FALSE)+SUM(_xlfn.XLOOKUP($R52:$AK52,增益!$A:$A,增益!$C:$C,0))-$I$2</f>
        <v>4427.0462</v>
      </c>
      <c r="AT52" cm="1">
        <f t="array" ref="AT52">$E$10*(1+$AR52)+VLOOKUP($Q52,武学奇术!$A:$ZZ,4,FALSE)+SUM(_xlfn.XLOOKUP($R52:$AK52,增益!$A:$A,增益!$D:$D,0))-$I$2</f>
        <v>4427.0462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0.3175</v>
      </c>
      <c r="AV52" s="32" cm="1">
        <f t="array" ref="AV52">$G$10+VLOOKUP($Q52,武学奇术!$A:$ZZ,7,FALSE)+SUM(_xlfn.XLOOKUP($R52:$AK52,增益!$A:$A,增益!$G:$G,0))</f>
        <v>0</v>
      </c>
      <c r="AW52" s="24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2" cm="1">
        <f t="array" ref="BA52">$G$11+VLOOKUP($Q52,武学奇术!$A:$ZZ,10,FALSE)+SUM(_xlfn.XLOOKUP($R52:$AK52,增益!$A:$A,增益!$J:$J,0))</f>
        <v>0</v>
      </c>
      <c r="BB52">
        <f t="shared" si="14"/>
        <v>0</v>
      </c>
      <c r="BC52">
        <f t="shared" si="15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-0.3</v>
      </c>
      <c r="BE52" s="32" cm="1">
        <f t="array" ref="BE52">$G$12+VLOOKUP($Q52,武学奇术!$A:$ZZ,12,FALSE)+SUM(_xlfn.XLOOKUP($R52:$AK52,增益!$A:$A,增益!$L:$L,0))</f>
        <v>0</v>
      </c>
      <c r="BF52">
        <f t="shared" si="16"/>
        <v>605.472</v>
      </c>
      <c r="BG52">
        <f t="shared" si="17"/>
        <v>1579.612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</v>
      </c>
      <c r="BI52" s="32" cm="1">
        <f t="array" ref="BI52">$G$13+VLOOKUP($Q52,武学奇术!$A:$ZZ,14,FALSE)+SUM(_xlfn.XLOOKUP($R52:$AK52,增益!$A:$A,增益!$N:$N,0))</f>
        <v>0.15</v>
      </c>
      <c r="BJ52">
        <f t="shared" si="18"/>
        <v>0</v>
      </c>
      <c r="BK52">
        <f t="shared" si="19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2" cm="1">
        <f t="array" ref="BM52">$G$14+VLOOKUP($Q52,武学奇术!$A:$ZZ,16,FALSE)+SUM(_xlfn.XLOOKUP($R52:$AK52,增益!$A:$A,增益!$P:$P,0))</f>
        <v>0</v>
      </c>
      <c r="BN52" s="24">
        <f>MIN(IF(VLOOKUP($Q52,武学奇术!$A:$ZZ,23,FALSE)=1,100%,$B$8),100%)</f>
        <v>1</v>
      </c>
      <c r="BO52" s="24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0.9093</v>
      </c>
      <c r="BP52" s="24" cm="1">
        <f t="array" ref="BP52">1+$B$13+VLOOKUP($Q52,武学奇术!$A:$ZZ,18,FALSE)+SUM(_xlfn.XLOOKUP($R52:$AK52,增益!$A:$A,增益!$R:$R,0))</f>
        <v>1.96</v>
      </c>
      <c r="BQ52" s="24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4" cm="1">
        <f t="array" ref="BR52">1+$B$14+VLOOKUP($Q52,武学奇术!$A:$ZZ,20,FALSE)+SUM(_xlfn.XLOOKUP($R52:$AK52,增益!$A:$A,增益!$T:$T,0))</f>
        <v>1.35</v>
      </c>
      <c r="BS52" s="24">
        <f t="shared" si="20"/>
        <v>0.9071</v>
      </c>
      <c r="BT52" s="24">
        <f t="shared" si="21"/>
        <v>0</v>
      </c>
      <c r="BU52" s="24">
        <f>IF(VLOOKUP($Q52,武学奇术!$A:$ZZ,22,FALSE)=1,0,(1-$BN52))*(1-$BQ52)</f>
        <v>0</v>
      </c>
      <c r="BV52" s="24" cm="1">
        <f t="array" ref="BV52">SUM(_xlfn.XLOOKUP($R52:$AK52,增益!$A:$A,增益!$W:$W,0))+$I$5</f>
        <v>0.06</v>
      </c>
    </row>
    <row r="53" spans="1:74">
      <c r="A53" s="4" t="s">
        <v>131</v>
      </c>
      <c r="B53" s="4">
        <v>0.8</v>
      </c>
      <c r="G53" s="39"/>
      <c r="K53" s="38">
        <f t="shared" si="11"/>
        <v>83955.4444943756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弹道",$B$21,0))*(1+$BV53)</f>
        <v>85905.4683686995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弹道",$B$21,0))*(1+$BV53)</f>
        <v>64914.8992155906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弹道",$B$21,0))*(1+$BV53)</f>
        <v>43829.3205962752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弹道",$B$21,0))*(1+$BV53)</f>
        <v>39573.5306624833</v>
      </c>
      <c r="P53" s="39">
        <v>1.5</v>
      </c>
      <c r="Q53" s="40" t="s">
        <v>113</v>
      </c>
      <c r="R53" s="40" t="s">
        <v>97</v>
      </c>
      <c r="S53" s="40" t="s">
        <v>176</v>
      </c>
      <c r="T53" s="40" t="s">
        <v>106</v>
      </c>
      <c r="U53" s="40" t="s">
        <v>171</v>
      </c>
      <c r="V53" s="40" t="s">
        <v>102</v>
      </c>
      <c r="W53" s="40" t="s">
        <v>78</v>
      </c>
      <c r="X53" s="40" t="s">
        <v>78</v>
      </c>
      <c r="Y53" s="40" t="s">
        <v>78</v>
      </c>
      <c r="Z53" s="40" t="s">
        <v>78</v>
      </c>
      <c r="AA53" s="40" t="s">
        <v>78</v>
      </c>
      <c r="AB53" s="40" t="s">
        <v>84</v>
      </c>
      <c r="AC53" s="40" t="s">
        <v>78</v>
      </c>
      <c r="AD53" s="40" t="s">
        <v>78</v>
      </c>
      <c r="AE53" s="40" t="s">
        <v>78</v>
      </c>
      <c r="AF53" s="40" t="s">
        <v>78</v>
      </c>
      <c r="AG53" s="40" t="s">
        <v>78</v>
      </c>
      <c r="AH53" s="40" t="s">
        <v>78</v>
      </c>
      <c r="AI53" s="40" t="s">
        <v>78</v>
      </c>
      <c r="AJ53" s="40" t="s">
        <v>78</v>
      </c>
      <c r="AK53" s="40" t="s">
        <v>78</v>
      </c>
      <c r="AL53" t="str">
        <f>VLOOKUP($Q53,武学奇术!$A:$ZZ,25,FALSE)</f>
        <v>伞</v>
      </c>
      <c r="AM53" s="24">
        <f>VLOOKUP($Q53,武学奇术!$A:$ZZ,26,FALSE)</f>
        <v>1.174955</v>
      </c>
      <c r="AN53" s="25">
        <f>VLOOKUP($Q53,武学奇术!$A:$ZZ,27,FALSE)*(1+IF(OR($AL53=$F$4,$AL53=$F$5),$B$22,0))</f>
        <v>486.45</v>
      </c>
      <c r="AO53" s="24">
        <f>VLOOKUP($Q53,武学奇术!$A:$ZZ,28,FALSE)</f>
        <v>1.762375</v>
      </c>
      <c r="AP53" s="25">
        <f>VLOOKUP($Q53,武学奇术!$A:$ZZ,29,FALSE)*(1+IF(OR($AL53=$F$4,$AL53=$F$5),$B$22,0))</f>
        <v>265.65</v>
      </c>
      <c r="AQ53" s="24" cm="1">
        <f t="array" ref="AQ53">$G$3+IFERROR(VLOOKUP($AL53,$F$4:$G$7,2,FALSE),0)+VLOOKUP($Q53,武学奇术!$A:$ZZ,2,FALSE)+SUM(_xlfn.XLOOKUP($R53:$AK53,增益!$A:$A,增益!$B:$B,0))</f>
        <v>1.0541</v>
      </c>
      <c r="AR53" s="24" cm="1">
        <f t="array" ref="AR53">VLOOKUP($Q53,武学奇术!$A:$ZZ,5,FALSE)+SUM(_xlfn.XLOOKUP($R53:$AK53,增益!$A:$A,增益!$E:$E,0))</f>
        <v>0.15</v>
      </c>
      <c r="AS53" cm="1">
        <f t="array" ref="AS53">$D$10*(1+$AR53)+VLOOKUP($Q53,武学奇术!$A:$ZZ,3,FALSE)+SUM(_xlfn.XLOOKUP($R53:$AK53,增益!$A:$A,增益!$C:$C,0))-$I$2</f>
        <v>4427.0462</v>
      </c>
      <c r="AT53" cm="1">
        <f t="array" ref="AT53">$E$10*(1+$AR53)+VLOOKUP($Q53,武学奇术!$A:$ZZ,4,FALSE)+SUM(_xlfn.XLOOKUP($R53:$AK53,增益!$A:$A,增益!$D:$D,0))-$I$2</f>
        <v>4427.0462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0.3175</v>
      </c>
      <c r="AV53" s="32" cm="1">
        <f t="array" ref="AV53">$G$10+VLOOKUP($Q53,武学奇术!$A:$ZZ,7,FALSE)+SUM(_xlfn.XLOOKUP($R53:$AK53,增益!$A:$A,增益!$G:$G,0))</f>
        <v>0</v>
      </c>
      <c r="AW53" s="24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2" cm="1">
        <f t="array" ref="BA53">$G$11+VLOOKUP($Q53,武学奇术!$A:$ZZ,10,FALSE)+SUM(_xlfn.XLOOKUP($R53:$AK53,增益!$A:$A,增益!$J:$J,0))</f>
        <v>0</v>
      </c>
      <c r="BB53">
        <f t="shared" si="14"/>
        <v>0</v>
      </c>
      <c r="BC53">
        <f t="shared" si="15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-0.3</v>
      </c>
      <c r="BE53" s="32" cm="1">
        <f t="array" ref="BE53">$G$12+VLOOKUP($Q53,武学奇术!$A:$ZZ,12,FALSE)+SUM(_xlfn.XLOOKUP($R53:$AK53,增益!$A:$A,增益!$L:$L,0))</f>
        <v>0</v>
      </c>
      <c r="BF53">
        <f t="shared" si="16"/>
        <v>605.472</v>
      </c>
      <c r="BG53">
        <f t="shared" si="17"/>
        <v>1579.612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</v>
      </c>
      <c r="BI53" s="32" cm="1">
        <f t="array" ref="BI53">$G$13+VLOOKUP($Q53,武学奇术!$A:$ZZ,14,FALSE)+SUM(_xlfn.XLOOKUP($R53:$AK53,增益!$A:$A,增益!$N:$N,0))</f>
        <v>0.15</v>
      </c>
      <c r="BJ53">
        <f t="shared" si="18"/>
        <v>0</v>
      </c>
      <c r="BK53">
        <f t="shared" si="19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2" cm="1">
        <f t="array" ref="BM53">$G$14+VLOOKUP($Q53,武学奇术!$A:$ZZ,16,FALSE)+SUM(_xlfn.XLOOKUP($R53:$AK53,增益!$A:$A,增益!$P:$P,0))</f>
        <v>0</v>
      </c>
      <c r="BN53" s="24">
        <f>MIN(IF(VLOOKUP($Q53,武学奇术!$A:$ZZ,23,FALSE)=1,100%,$B$8),100%)</f>
        <v>1</v>
      </c>
      <c r="BO53" s="24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0.9093</v>
      </c>
      <c r="BP53" s="24" cm="1">
        <f t="array" ref="BP53">1+$B$13+VLOOKUP($Q53,武学奇术!$A:$ZZ,18,FALSE)+SUM(_xlfn.XLOOKUP($R53:$AK53,增益!$A:$A,增益!$R:$R,0))</f>
        <v>1.96</v>
      </c>
      <c r="BQ53" s="24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4" cm="1">
        <f t="array" ref="BR53">1+$B$14+VLOOKUP($Q53,武学奇术!$A:$ZZ,20,FALSE)+SUM(_xlfn.XLOOKUP($R53:$AK53,增益!$A:$A,增益!$T:$T,0))</f>
        <v>1.35</v>
      </c>
      <c r="BS53" s="24">
        <f t="shared" si="20"/>
        <v>0.9071</v>
      </c>
      <c r="BT53" s="24">
        <f t="shared" si="21"/>
        <v>0</v>
      </c>
      <c r="BU53" s="24">
        <f>IF(VLOOKUP($Q53,武学奇术!$A:$ZZ,22,FALSE)=1,0,(1-$BN53))*(1-$BQ53)</f>
        <v>0</v>
      </c>
      <c r="BV53" s="24" cm="1">
        <f t="array" ref="BV53">SUM(_xlfn.XLOOKUP($R53:$AK53,增益!$A:$A,增益!$W:$W,0))+$I$5</f>
        <v>0.06</v>
      </c>
    </row>
    <row r="54" spans="1:74">
      <c r="A54" s="4" t="s">
        <v>180</v>
      </c>
      <c r="B54" s="4">
        <v>1.4</v>
      </c>
      <c r="G54" s="39"/>
      <c r="K54" s="38">
        <f t="shared" si="11"/>
        <v>17579.0932583074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弹道",$B$21,0))*(1+$BV54)</f>
        <v>17699.4306813759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弹道",$B$21,0))*(1+$BV54)</f>
        <v>16404.0870530823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弹道",$B$21,0))*(1+$BV54)</f>
        <v>11062.1441758599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弹道",$B$21,0))*(1+$BV54)</f>
        <v>9973.11275684411</v>
      </c>
      <c r="P54" s="39">
        <v>1</v>
      </c>
      <c r="Q54" s="40" t="s">
        <v>160</v>
      </c>
      <c r="R54" s="40" t="s">
        <v>97</v>
      </c>
      <c r="S54" s="40" t="s">
        <v>176</v>
      </c>
      <c r="T54" s="40" t="s">
        <v>78</v>
      </c>
      <c r="U54" s="40" t="s">
        <v>171</v>
      </c>
      <c r="V54" s="40" t="s">
        <v>78</v>
      </c>
      <c r="W54" s="40" t="s">
        <v>78</v>
      </c>
      <c r="X54" s="40" t="s">
        <v>78</v>
      </c>
      <c r="Y54" s="40" t="s">
        <v>78</v>
      </c>
      <c r="Z54" s="40" t="s">
        <v>78</v>
      </c>
      <c r="AA54" s="40" t="s">
        <v>78</v>
      </c>
      <c r="AB54" s="40" t="s">
        <v>84</v>
      </c>
      <c r="AC54" s="40" t="s">
        <v>78</v>
      </c>
      <c r="AD54" s="40" t="s">
        <v>78</v>
      </c>
      <c r="AE54" s="40" t="s">
        <v>78</v>
      </c>
      <c r="AF54" s="40" t="s">
        <v>78</v>
      </c>
      <c r="AG54" s="40" t="s">
        <v>78</v>
      </c>
      <c r="AH54" s="40" t="s">
        <v>78</v>
      </c>
      <c r="AI54" s="40" t="s">
        <v>78</v>
      </c>
      <c r="AJ54" s="40" t="s">
        <v>78</v>
      </c>
      <c r="AK54" s="40" t="s">
        <v>78</v>
      </c>
      <c r="AL54" t="str">
        <f>VLOOKUP($Q54,武学奇术!$A:$ZZ,25,FALSE)</f>
        <v>扇</v>
      </c>
      <c r="AM54" s="24">
        <f>VLOOKUP($Q54,武学奇术!$A:$ZZ,26,FALSE)</f>
        <v>0.9271</v>
      </c>
      <c r="AN54" s="25">
        <f>VLOOKUP($Q54,武学奇术!$A:$ZZ,27,FALSE)*(1+IF(OR($AL54=$F$4,$AL54=$F$5),$B$22,0))</f>
        <v>385.5</v>
      </c>
      <c r="AO54" s="24">
        <f>VLOOKUP($Q54,武学奇术!$A:$ZZ,28,FALSE)</f>
        <v>1.3907</v>
      </c>
      <c r="AP54" s="25">
        <f>VLOOKUP($Q54,武学奇术!$A:$ZZ,29,FALSE)*(1+IF(OR($AL54=$F$4,$AL54=$F$5),$B$22,0))</f>
        <v>210</v>
      </c>
      <c r="AQ54" s="24" cm="1">
        <f t="array" ref="AQ54">$G$3+IFERROR(VLOOKUP($AL54,$F$4:$G$7,2,FALSE),0)+VLOOKUP($Q54,武学奇术!$A:$ZZ,2,FALSE)+SUM(_xlfn.XLOOKUP($R54:$AK54,增益!$A:$A,增益!$B:$B,0))</f>
        <v>0.3189</v>
      </c>
      <c r="AR54" s="24" cm="1">
        <f t="array" ref="AR54">VLOOKUP($Q54,武学奇术!$A:$ZZ,5,FALSE)+SUM(_xlfn.XLOOKUP($R54:$AK54,增益!$A:$A,增益!$E:$E,0))</f>
        <v>0.15</v>
      </c>
      <c r="AS54" cm="1">
        <f t="array" ref="AS54">$D$10*(1+$AR54)+VLOOKUP($Q54,武学奇术!$A:$ZZ,3,FALSE)+SUM(_xlfn.XLOOKUP($R54:$AK54,增益!$A:$A,增益!$C:$C,0))-$I$2</f>
        <v>4427.0462</v>
      </c>
      <c r="AT54" cm="1">
        <f t="array" ref="AT54">$E$10*(1+$AR54)+VLOOKUP($Q54,武学奇术!$A:$ZZ,4,FALSE)+SUM(_xlfn.XLOOKUP($R54:$AK54,增益!$A:$A,增益!$D:$D,0))-$I$2</f>
        <v>4427.0462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0.2925</v>
      </c>
      <c r="AV54" s="32" cm="1">
        <f t="array" ref="AV54">$G$10+VLOOKUP($Q54,武学奇术!$A:$ZZ,7,FALSE)+SUM(_xlfn.XLOOKUP($R54:$AK54,增益!$A:$A,增益!$G:$G,0))</f>
        <v>0</v>
      </c>
      <c r="AW54" s="24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2" cm="1">
        <f t="array" ref="BA54">$G$11+VLOOKUP($Q54,武学奇术!$A:$ZZ,10,FALSE)+SUM(_xlfn.XLOOKUP($R54:$AK54,增益!$A:$A,增益!$J:$J,0))</f>
        <v>0</v>
      </c>
      <c r="BB54">
        <f t="shared" si="14"/>
        <v>0</v>
      </c>
      <c r="BC54">
        <f t="shared" si="15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-0.3</v>
      </c>
      <c r="BE54" s="32" cm="1">
        <f t="array" ref="BE54">$G$12+VLOOKUP($Q54,武学奇术!$A:$ZZ,12,FALSE)+SUM(_xlfn.XLOOKUP($R54:$AK54,增益!$A:$A,增益!$L:$L,0))</f>
        <v>0</v>
      </c>
      <c r="BF54">
        <f t="shared" si="16"/>
        <v>605.472</v>
      </c>
      <c r="BG54">
        <f t="shared" si="17"/>
        <v>1579.612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</v>
      </c>
      <c r="BI54" s="32" cm="1">
        <f t="array" ref="BI54">$G$13+VLOOKUP($Q54,武学奇术!$A:$ZZ,14,FALSE)+SUM(_xlfn.XLOOKUP($R54:$AK54,增益!$A:$A,增益!$N:$N,0))</f>
        <v>0.15</v>
      </c>
      <c r="BJ54">
        <f t="shared" si="18"/>
        <v>0</v>
      </c>
      <c r="BK54">
        <f t="shared" si="19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2" cm="1">
        <f t="array" ref="BM54">$G$14+VLOOKUP($Q54,武学奇术!$A:$ZZ,16,FALSE)+SUM(_xlfn.XLOOKUP($R54:$AK54,增益!$A:$A,增益!$P:$P,0))</f>
        <v>0</v>
      </c>
      <c r="BN54" s="24">
        <f>MIN(IF(VLOOKUP($Q54,武学奇术!$A:$ZZ,23,FALSE)=1,100%,$B$8),100%)</f>
        <v>1</v>
      </c>
      <c r="BO54" s="24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0.9093</v>
      </c>
      <c r="BP54" s="24" cm="1">
        <f t="array" ref="BP54">1+$B$13+VLOOKUP($Q54,武学奇术!$A:$ZZ,18,FALSE)+SUM(_xlfn.XLOOKUP($R54:$AK54,增益!$A:$A,增益!$R:$R,0))</f>
        <v>1.6</v>
      </c>
      <c r="BQ54" s="24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4" cm="1">
        <f t="array" ref="BR54">1+$B$14+VLOOKUP($Q54,武学奇术!$A:$ZZ,20,FALSE)+SUM(_xlfn.XLOOKUP($R54:$AK54,增益!$A:$A,增益!$T:$T,0))</f>
        <v>1.35</v>
      </c>
      <c r="BS54" s="24">
        <f t="shared" si="20"/>
        <v>0.9071</v>
      </c>
      <c r="BT54" s="24">
        <f t="shared" si="21"/>
        <v>0</v>
      </c>
      <c r="BU54" s="24">
        <f>IF(VLOOKUP($Q54,武学奇术!$A:$ZZ,22,FALSE)=1,0,(1-$BN54))*(1-$BQ54)</f>
        <v>0</v>
      </c>
      <c r="BV54" s="24" cm="1">
        <f t="array" ref="BV54">SUM(_xlfn.XLOOKUP($R54:$AK54,增益!$A:$A,增益!$W:$W,0))+$I$5</f>
        <v>0.06</v>
      </c>
    </row>
    <row r="55" spans="1:74">
      <c r="A55" t="s">
        <v>181</v>
      </c>
      <c r="B55">
        <v>2.5</v>
      </c>
      <c r="G55" s="39"/>
      <c r="K55" s="38">
        <f t="shared" si="11"/>
        <v>84457.1673556107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弹道",$B$21,0))*(1+$BV55)</f>
        <v>86418.9795169747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弹道",$B$21,0))*(1+$BV55)</f>
        <v>65301.5181459951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弹道",$B$21,0))*(1+$BV55)</f>
        <v>44091.3160800891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弹道",$B$21,0))*(1+$BV55)</f>
        <v>39811.1372372189</v>
      </c>
      <c r="P55" s="39">
        <v>1</v>
      </c>
      <c r="Q55" s="40" t="s">
        <v>101</v>
      </c>
      <c r="R55" s="40" t="s">
        <v>97</v>
      </c>
      <c r="S55" s="40" t="s">
        <v>176</v>
      </c>
      <c r="T55" s="40" t="s">
        <v>106</v>
      </c>
      <c r="U55" s="40" t="s">
        <v>171</v>
      </c>
      <c r="V55" s="40" t="s">
        <v>102</v>
      </c>
      <c r="W55" s="40" t="s">
        <v>78</v>
      </c>
      <c r="X55" s="40" t="s">
        <v>78</v>
      </c>
      <c r="Y55" s="40" t="s">
        <v>78</v>
      </c>
      <c r="Z55" s="40" t="s">
        <v>78</v>
      </c>
      <c r="AA55" s="40" t="s">
        <v>78</v>
      </c>
      <c r="AB55" s="40" t="s">
        <v>84</v>
      </c>
      <c r="AC55" s="40" t="s">
        <v>78</v>
      </c>
      <c r="AD55" s="40" t="s">
        <v>78</v>
      </c>
      <c r="AE55" s="40" t="s">
        <v>78</v>
      </c>
      <c r="AF55" s="40" t="s">
        <v>78</v>
      </c>
      <c r="AG55" s="40" t="s">
        <v>78</v>
      </c>
      <c r="AH55" s="40" t="s">
        <v>78</v>
      </c>
      <c r="AI55" s="40" t="s">
        <v>78</v>
      </c>
      <c r="AJ55" s="40" t="s">
        <v>78</v>
      </c>
      <c r="AK55" s="40" t="s">
        <v>78</v>
      </c>
      <c r="AL55" t="str">
        <f>VLOOKUP($Q55,武学奇术!$A:$ZZ,25,FALSE)</f>
        <v>伞</v>
      </c>
      <c r="AM55" s="24">
        <f>VLOOKUP($Q55,武学奇术!$A:$ZZ,26,FALSE)</f>
        <v>2.3397</v>
      </c>
      <c r="AN55" s="25">
        <f>VLOOKUP($Q55,武学奇术!$A:$ZZ,27,FALSE)*(1+IF(OR($AL55=$F$4,$AL55=$F$5),$B$22,0))</f>
        <v>972</v>
      </c>
      <c r="AO55" s="24">
        <f>VLOOKUP($Q55,武学奇术!$A:$ZZ,28,FALSE)</f>
        <v>3.5095</v>
      </c>
      <c r="AP55" s="25">
        <f>VLOOKUP($Q55,武学奇术!$A:$ZZ,29,FALSE)*(1+IF(OR($AL55=$F$4,$AL55=$F$5),$B$22,0))</f>
        <v>529.5</v>
      </c>
      <c r="AQ55" s="24" cm="1">
        <f t="array" ref="AQ55">$G$3+IFERROR(VLOOKUP($AL55,$F$4:$G$7,2,FALSE),0)+VLOOKUP($Q55,武学奇术!$A:$ZZ,2,FALSE)+SUM(_xlfn.XLOOKUP($R55:$AK55,增益!$A:$A,增益!$B:$B,0))</f>
        <v>1.0541</v>
      </c>
      <c r="AR55" s="24" cm="1">
        <f t="array" ref="AR55">VLOOKUP($Q55,武学奇术!$A:$ZZ,5,FALSE)+SUM(_xlfn.XLOOKUP($R55:$AK55,增益!$A:$A,增益!$E:$E,0))</f>
        <v>0.15</v>
      </c>
      <c r="AS55" cm="1">
        <f t="array" ref="AS55">$D$10*(1+$AR55)+VLOOKUP($Q55,武学奇术!$A:$ZZ,3,FALSE)+SUM(_xlfn.XLOOKUP($R55:$AK55,增益!$A:$A,增益!$C:$C,0))-$I$2</f>
        <v>4427.0462</v>
      </c>
      <c r="AT55" cm="1">
        <f t="array" ref="AT55">$E$10*(1+$AR55)+VLOOKUP($Q55,武学奇术!$A:$ZZ,4,FALSE)+SUM(_xlfn.XLOOKUP($R55:$AK55,增益!$A:$A,增益!$D:$D,0))-$I$2</f>
        <v>4427.0462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0.3175</v>
      </c>
      <c r="AV55" s="32" cm="1">
        <f t="array" ref="AV55">$G$10+VLOOKUP($Q55,武学奇术!$A:$ZZ,7,FALSE)+SUM(_xlfn.XLOOKUP($R55:$AK55,增益!$A:$A,增益!$G:$G,0))</f>
        <v>0</v>
      </c>
      <c r="AW55" s="24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2" cm="1">
        <f t="array" ref="BA55">$G$11+VLOOKUP($Q55,武学奇术!$A:$ZZ,10,FALSE)+SUM(_xlfn.XLOOKUP($R55:$AK55,增益!$A:$A,增益!$J:$J,0))</f>
        <v>0</v>
      </c>
      <c r="BB55">
        <f t="shared" si="14"/>
        <v>0</v>
      </c>
      <c r="BC55">
        <f t="shared" si="15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-0.3</v>
      </c>
      <c r="BE55" s="32" cm="1">
        <f t="array" ref="BE55">$G$12+VLOOKUP($Q55,武学奇术!$A:$ZZ,12,FALSE)+SUM(_xlfn.XLOOKUP($R55:$AK55,增益!$A:$A,增益!$L:$L,0))</f>
        <v>0</v>
      </c>
      <c r="BF55">
        <f t="shared" si="16"/>
        <v>605.472</v>
      </c>
      <c r="BG55">
        <f t="shared" si="17"/>
        <v>1579.612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</v>
      </c>
      <c r="BI55" s="32" cm="1">
        <f t="array" ref="BI55">$G$13+VLOOKUP($Q55,武学奇术!$A:$ZZ,14,FALSE)+SUM(_xlfn.XLOOKUP($R55:$AK55,增益!$A:$A,增益!$N:$N,0))</f>
        <v>0.15</v>
      </c>
      <c r="BJ55">
        <f t="shared" si="18"/>
        <v>0</v>
      </c>
      <c r="BK55">
        <f t="shared" si="19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2" cm="1">
        <f t="array" ref="BM55">$G$14+VLOOKUP($Q55,武学奇术!$A:$ZZ,16,FALSE)+SUM(_xlfn.XLOOKUP($R55:$AK55,增益!$A:$A,增益!$P:$P,0))</f>
        <v>0</v>
      </c>
      <c r="BN55" s="24">
        <f>MIN(IF(VLOOKUP($Q55,武学奇术!$A:$ZZ,23,FALSE)=1,100%,$B$8),100%)</f>
        <v>1</v>
      </c>
      <c r="BO55" s="24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0.9093</v>
      </c>
      <c r="BP55" s="24" cm="1">
        <f t="array" ref="BP55">1+$B$13+VLOOKUP($Q55,武学奇术!$A:$ZZ,18,FALSE)+SUM(_xlfn.XLOOKUP($R55:$AK55,增益!$A:$A,增益!$R:$R,0))</f>
        <v>1.96</v>
      </c>
      <c r="BQ55" s="24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4" cm="1">
        <f t="array" ref="BR55">1+$B$14+VLOOKUP($Q55,武学奇术!$A:$ZZ,20,FALSE)+SUM(_xlfn.XLOOKUP($R55:$AK55,增益!$A:$A,增益!$T:$T,0))</f>
        <v>1.35</v>
      </c>
      <c r="BS55" s="24">
        <f t="shared" si="20"/>
        <v>0.9071</v>
      </c>
      <c r="BT55" s="24">
        <f t="shared" si="21"/>
        <v>0</v>
      </c>
      <c r="BU55" s="24">
        <f>IF(VLOOKUP($Q55,武学奇术!$A:$ZZ,22,FALSE)=1,0,(1-$BN55))*(1-$BQ55)</f>
        <v>0</v>
      </c>
      <c r="BV55" s="24" cm="1">
        <f t="array" ref="BV55">SUM(_xlfn.XLOOKUP($R55:$AK55,增益!$A:$A,增益!$W:$W,0))+$I$5</f>
        <v>0.06</v>
      </c>
    </row>
    <row r="56" spans="1:74">
      <c r="A56" t="s">
        <v>182</v>
      </c>
      <c r="B56">
        <v>1</v>
      </c>
      <c r="E56" s="27"/>
      <c r="F56">
        <v>-10</v>
      </c>
      <c r="G56" s="39"/>
      <c r="K56" s="38">
        <f t="shared" si="11"/>
        <v>14378.1324786701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弹道",$B$21,0))*(1+$BV56)</f>
        <v>14476.4779638713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弹道",$B$21,0))*(1+$BV56)</f>
        <v>13417.8613309196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弹道",$B$21,0))*(1+$BV56)</f>
        <v>9047.79872741956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弹道",$B$21,0))*(1+$BV56)</f>
        <v>8156.44091341717</v>
      </c>
      <c r="P56" s="39">
        <v>1</v>
      </c>
      <c r="Q56" s="40" t="s">
        <v>111</v>
      </c>
      <c r="R56" s="40" t="s">
        <v>97</v>
      </c>
      <c r="S56" s="40" t="s">
        <v>176</v>
      </c>
      <c r="T56" s="40" t="s">
        <v>78</v>
      </c>
      <c r="U56" s="40" t="s">
        <v>171</v>
      </c>
      <c r="V56" s="40" t="s">
        <v>78</v>
      </c>
      <c r="W56" s="40" t="s">
        <v>78</v>
      </c>
      <c r="X56" s="40" t="s">
        <v>78</v>
      </c>
      <c r="Y56" s="40" t="s">
        <v>78</v>
      </c>
      <c r="Z56" s="40" t="s">
        <v>78</v>
      </c>
      <c r="AA56" s="40" t="s">
        <v>78</v>
      </c>
      <c r="AB56" s="40" t="s">
        <v>84</v>
      </c>
      <c r="AC56" s="40" t="s">
        <v>78</v>
      </c>
      <c r="AD56" s="40" t="s">
        <v>78</v>
      </c>
      <c r="AE56" s="40" t="s">
        <v>78</v>
      </c>
      <c r="AF56" s="40" t="s">
        <v>78</v>
      </c>
      <c r="AG56" s="40" t="s">
        <v>78</v>
      </c>
      <c r="AH56" s="40" t="s">
        <v>78</v>
      </c>
      <c r="AI56" s="40" t="s">
        <v>78</v>
      </c>
      <c r="AJ56" s="40" t="s">
        <v>78</v>
      </c>
      <c r="AK56" s="40" t="s">
        <v>78</v>
      </c>
      <c r="AL56" t="str">
        <f>VLOOKUP($Q56,武学奇术!$A:$ZZ,25,FALSE)</f>
        <v>伞</v>
      </c>
      <c r="AM56" s="24">
        <f>VLOOKUP($Q56,武学奇术!$A:$ZZ,26,FALSE)</f>
        <v>0.54</v>
      </c>
      <c r="AN56" s="25">
        <f>VLOOKUP($Q56,武学奇术!$A:$ZZ,27,FALSE)*(1+IF(OR($AL56=$F$4,$AL56=$F$5),$B$22,0))</f>
        <v>222</v>
      </c>
      <c r="AO56" s="24">
        <f>VLOOKUP($Q56,武学奇术!$A:$ZZ,28,FALSE)</f>
        <v>0.81</v>
      </c>
      <c r="AP56" s="25">
        <f>VLOOKUP($Q56,武学奇术!$A:$ZZ,29,FALSE)*(1+IF(OR($AL56=$F$4,$AL56=$F$5),$B$22,0))</f>
        <v>122.25</v>
      </c>
      <c r="AQ56" s="24" cm="1">
        <f t="array" ref="AQ56">$G$3+IFERROR(VLOOKUP($AL56,$F$4:$G$7,2,FALSE),0)+VLOOKUP($Q56,武学奇术!$A:$ZZ,2,FALSE)+SUM(_xlfn.XLOOKUP($R56:$AK56,增益!$A:$A,增益!$B:$B,0))</f>
        <v>0.4041</v>
      </c>
      <c r="AR56" s="24" cm="1">
        <f t="array" ref="AR56">VLOOKUP($Q56,武学奇术!$A:$ZZ,5,FALSE)+SUM(_xlfn.XLOOKUP($R56:$AK56,增益!$A:$A,增益!$E:$E,0))</f>
        <v>0.15</v>
      </c>
      <c r="AS56" cm="1">
        <f t="array" ref="AS56">$D$10*(1+$AR56)+VLOOKUP($Q56,武学奇术!$A:$ZZ,3,FALSE)+SUM(_xlfn.XLOOKUP($R56:$AK56,增益!$A:$A,增益!$C:$C,0))-$I$2</f>
        <v>4427.0462</v>
      </c>
      <c r="AT56" cm="1">
        <f t="array" ref="AT56">$E$10*(1+$AR56)+VLOOKUP($Q56,武学奇术!$A:$ZZ,4,FALSE)+SUM(_xlfn.XLOOKUP($R56:$AK56,增益!$A:$A,增益!$D:$D,0))-$I$2</f>
        <v>4427.0462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0.2925</v>
      </c>
      <c r="AV56" s="32" cm="1">
        <f t="array" ref="AV56">$G$10+VLOOKUP($Q56,武学奇术!$A:$ZZ,7,FALSE)+SUM(_xlfn.XLOOKUP($R56:$AK56,增益!$A:$A,增益!$G:$G,0))</f>
        <v>0</v>
      </c>
      <c r="AW56" s="24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2" cm="1">
        <f t="array" ref="BA56">$G$11+VLOOKUP($Q56,武学奇术!$A:$ZZ,10,FALSE)+SUM(_xlfn.XLOOKUP($R56:$AK56,增益!$A:$A,增益!$J:$J,0))</f>
        <v>0</v>
      </c>
      <c r="BB56">
        <f t="shared" si="14"/>
        <v>0</v>
      </c>
      <c r="BC56">
        <f t="shared" si="15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2" cm="1">
        <f t="array" ref="BE56">$G$12+VLOOKUP($Q56,武学奇术!$A:$ZZ,12,FALSE)+SUM(_xlfn.XLOOKUP($R56:$AK56,增益!$A:$A,增益!$L:$L,0))</f>
        <v>0</v>
      </c>
      <c r="BF56">
        <f t="shared" si="16"/>
        <v>605.472</v>
      </c>
      <c r="BG56">
        <f t="shared" si="17"/>
        <v>1579.612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2" cm="1">
        <f t="array" ref="BI56">$G$13+VLOOKUP($Q56,武学奇术!$A:$ZZ,14,FALSE)+SUM(_xlfn.XLOOKUP($R56:$AK56,增益!$A:$A,增益!$N:$N,0))</f>
        <v>0.15</v>
      </c>
      <c r="BJ56">
        <f t="shared" si="18"/>
        <v>0</v>
      </c>
      <c r="BK56">
        <f t="shared" si="19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2" cm="1">
        <f t="array" ref="BM56">$G$14+VLOOKUP($Q56,武学奇术!$A:$ZZ,16,FALSE)+SUM(_xlfn.XLOOKUP($R56:$AK56,增益!$A:$A,增益!$P:$P,0))</f>
        <v>0</v>
      </c>
      <c r="BN56" s="24">
        <f>MIN(IF(VLOOKUP($Q56,武学奇术!$A:$ZZ,23,FALSE)=1,100%,$B$8),100%)</f>
        <v>1</v>
      </c>
      <c r="BO56" s="24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0.9093</v>
      </c>
      <c r="BP56" s="24" cm="1">
        <f t="array" ref="BP56">1+$B$13+VLOOKUP($Q56,武学奇术!$A:$ZZ,18,FALSE)+SUM(_xlfn.XLOOKUP($R56:$AK56,增益!$A:$A,增益!$R:$R,0))</f>
        <v>1.6</v>
      </c>
      <c r="BQ56" s="24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4" cm="1">
        <f t="array" ref="BR56">1+$B$14+VLOOKUP($Q56,武学奇术!$A:$ZZ,20,FALSE)+SUM(_xlfn.XLOOKUP($R56:$AK56,增益!$A:$A,增益!$T:$T,0))</f>
        <v>1.35</v>
      </c>
      <c r="BS56" s="24">
        <f t="shared" si="20"/>
        <v>0.9071</v>
      </c>
      <c r="BT56" s="24">
        <f t="shared" si="21"/>
        <v>0</v>
      </c>
      <c r="BU56" s="24">
        <f>IF(VLOOKUP($Q56,武学奇术!$A:$ZZ,22,FALSE)=1,0,(1-$BN56))*(1-$BQ56)</f>
        <v>0</v>
      </c>
      <c r="BV56" s="24" cm="1">
        <f t="array" ref="BV56">SUM(_xlfn.XLOOKUP($R56:$AK56,增益!$A:$A,增益!$W:$W,0))+$I$5</f>
        <v>0.06</v>
      </c>
    </row>
    <row r="57" spans="1:74">
      <c r="A57" s="4" t="s">
        <v>101</v>
      </c>
      <c r="B57" s="4">
        <v>1.25</v>
      </c>
      <c r="D57" s="4"/>
      <c r="E57" s="4"/>
      <c r="F57">
        <v>30</v>
      </c>
      <c r="G57" s="39"/>
      <c r="K57" s="38">
        <f t="shared" si="11"/>
        <v>463769.504553114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弹道",$B$21,0))*(1+$BV57)</f>
        <v>478606.813546621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弹道",$B$21,0))*(1+$BV57)</f>
        <v>318894.122550842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弹道",$B$21,0))*(1+$BV57)</f>
        <v>216564.169025621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弹道",$B$21,0))*(1+$BV57)</f>
        <v>196910.469495062</v>
      </c>
      <c r="P57" s="39">
        <v>5</v>
      </c>
      <c r="Q57" s="40" t="s">
        <v>113</v>
      </c>
      <c r="R57" s="40" t="s">
        <v>97</v>
      </c>
      <c r="S57" s="40" t="s">
        <v>176</v>
      </c>
      <c r="T57" s="40" t="s">
        <v>183</v>
      </c>
      <c r="U57" s="40" t="s">
        <v>171</v>
      </c>
      <c r="V57" s="40" t="s">
        <v>102</v>
      </c>
      <c r="W57" s="40" t="s">
        <v>78</v>
      </c>
      <c r="X57" s="40" t="s">
        <v>78</v>
      </c>
      <c r="Y57" s="40" t="s">
        <v>184</v>
      </c>
      <c r="Z57" s="40" t="s">
        <v>78</v>
      </c>
      <c r="AA57" s="40" t="s">
        <v>78</v>
      </c>
      <c r="AB57" s="40" t="s">
        <v>84</v>
      </c>
      <c r="AC57" s="40" t="s">
        <v>185</v>
      </c>
      <c r="AD57" s="40" t="s">
        <v>186</v>
      </c>
      <c r="AE57" s="40" t="s">
        <v>78</v>
      </c>
      <c r="AF57" s="40" t="s">
        <v>187</v>
      </c>
      <c r="AG57" s="40" t="s">
        <v>78</v>
      </c>
      <c r="AH57" s="40" t="s">
        <v>78</v>
      </c>
      <c r="AI57" s="40" t="s">
        <v>78</v>
      </c>
      <c r="AJ57" s="40" t="s">
        <v>78</v>
      </c>
      <c r="AK57" s="40" t="s">
        <v>188</v>
      </c>
      <c r="AL57" t="str">
        <f>VLOOKUP($Q57,武学奇术!$A:$ZZ,25,FALSE)</f>
        <v>伞</v>
      </c>
      <c r="AM57" s="24">
        <f>VLOOKUP($Q57,武学奇术!$A:$ZZ,26,FALSE)</f>
        <v>1.174955</v>
      </c>
      <c r="AN57" s="25">
        <f>VLOOKUP($Q57,武学奇术!$A:$ZZ,27,FALSE)*(1+IF(OR($AL57=$F$4,$AL57=$F$5),$B$22,0))</f>
        <v>486.45</v>
      </c>
      <c r="AO57" s="24">
        <f>VLOOKUP($Q57,武学奇术!$A:$ZZ,28,FALSE)</f>
        <v>1.762375</v>
      </c>
      <c r="AP57" s="25">
        <f>VLOOKUP($Q57,武学奇术!$A:$ZZ,29,FALSE)*(1+IF(OR($AL57=$F$4,$AL57=$F$5),$B$22,0))</f>
        <v>265.65</v>
      </c>
      <c r="AQ57" s="24" cm="1">
        <f t="array" ref="AQ57">$G$3+IFERROR(VLOOKUP($AL57,$F$4:$G$7,2,FALSE),0)+VLOOKUP($Q57,武学奇术!$A:$ZZ,2,FALSE)+SUM(_xlfn.XLOOKUP($R57:$AK57,增益!$A:$A,增益!$B:$B,0))</f>
        <v>1.3941</v>
      </c>
      <c r="AR57" s="24" cm="1">
        <f t="array" ref="AR57">VLOOKUP($Q57,武学奇术!$A:$ZZ,5,FALSE)+SUM(_xlfn.XLOOKUP($R57:$AK57,增益!$A:$A,增益!$E:$E,0))</f>
        <v>0.15</v>
      </c>
      <c r="AS57" cm="1">
        <f t="array" ref="AS57">$D$10*(1+$AR57)+VLOOKUP($Q57,武学奇术!$A:$ZZ,3,FALSE)+SUM(_xlfn.XLOOKUP($R57:$AK57,增益!$A:$A,增益!$C:$C,0))-$I$2</f>
        <v>4427.0462</v>
      </c>
      <c r="AT57" cm="1">
        <f t="array" ref="AT57">$E$10*(1+$AR57)+VLOOKUP($Q57,武学奇术!$A:$ZZ,4,FALSE)+SUM(_xlfn.XLOOKUP($R57:$AK57,增益!$A:$A,增益!$D:$D,0))-$I$2</f>
        <v>4427.0462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0.4425</v>
      </c>
      <c r="AV57" s="32" cm="1">
        <f t="array" ref="AV57">$G$10+VLOOKUP($Q57,武学奇术!$A:$ZZ,7,FALSE)+SUM(_xlfn.XLOOKUP($R57:$AK57,增益!$A:$A,增益!$G:$G,0))</f>
        <v>0</v>
      </c>
      <c r="AW57" s="24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2" cm="1">
        <f t="array" ref="BA57">$G$11+VLOOKUP($Q57,武学奇术!$A:$ZZ,10,FALSE)+SUM(_xlfn.XLOOKUP($R57:$AK57,增益!$A:$A,增益!$J:$J,0))</f>
        <v>0</v>
      </c>
      <c r="BB57">
        <f t="shared" si="14"/>
        <v>0</v>
      </c>
      <c r="BC57">
        <f t="shared" si="15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2" cm="1">
        <f t="array" ref="BE57">$G$12+VLOOKUP($Q57,武学奇术!$A:$ZZ,12,FALSE)+SUM(_xlfn.XLOOKUP($R57:$AK57,增益!$A:$A,增益!$L:$L,0))</f>
        <v>0</v>
      </c>
      <c r="BF57">
        <f t="shared" si="16"/>
        <v>605.472</v>
      </c>
      <c r="BG57">
        <f t="shared" si="17"/>
        <v>1579.612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2" cm="1">
        <f t="array" ref="BI57">$G$13+VLOOKUP($Q57,武学奇术!$A:$ZZ,14,FALSE)+SUM(_xlfn.XLOOKUP($R57:$AK57,增益!$A:$A,增益!$N:$N,0))</f>
        <v>0.15</v>
      </c>
      <c r="BJ57">
        <f t="shared" si="18"/>
        <v>0</v>
      </c>
      <c r="BK57">
        <f t="shared" si="19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2" cm="1">
        <f t="array" ref="BM57">$G$14+VLOOKUP($Q57,武学奇术!$A:$ZZ,16,FALSE)+SUM(_xlfn.XLOOKUP($R57:$AK57,增益!$A:$A,增益!$P:$P,0))</f>
        <v>0</v>
      </c>
      <c r="BN57" s="24">
        <f>MIN(IF(VLOOKUP($Q57,武学奇术!$A:$ZZ,23,FALSE)=1,100%,$B$8),100%)</f>
        <v>1</v>
      </c>
      <c r="BO57" s="24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0.9093</v>
      </c>
      <c r="BP57" s="24" cm="1">
        <f t="array" ref="BP57">1+$B$13+VLOOKUP($Q57,武学奇术!$A:$ZZ,18,FALSE)+SUM(_xlfn.XLOOKUP($R57:$AK57,增益!$A:$A,增益!$R:$R,0))</f>
        <v>2.21</v>
      </c>
      <c r="BQ57" s="24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4" cm="1">
        <f t="array" ref="BR57">1+$B$14+VLOOKUP($Q57,武学奇术!$A:$ZZ,20,FALSE)+SUM(_xlfn.XLOOKUP($R57:$AK57,增益!$A:$A,增益!$T:$T,0))</f>
        <v>1.35</v>
      </c>
      <c r="BS57" s="24">
        <f t="shared" si="20"/>
        <v>0.9071</v>
      </c>
      <c r="BT57" s="24">
        <f t="shared" si="21"/>
        <v>0</v>
      </c>
      <c r="BU57" s="24">
        <f>IF(VLOOKUP($Q57,武学奇术!$A:$ZZ,22,FALSE)=1,0,(1-$BN57))*(1-$BQ57)</f>
        <v>0</v>
      </c>
      <c r="BV57" s="24" cm="1">
        <f t="array" ref="BV57">SUM(_xlfn.XLOOKUP($R57:$AK57,增益!$A:$A,增益!$W:$W,0))+$I$5</f>
        <v>0.26</v>
      </c>
    </row>
    <row r="58" spans="1:74">
      <c r="A58" s="4" t="s">
        <v>101</v>
      </c>
      <c r="B58" s="4">
        <v>1.25</v>
      </c>
      <c r="G58" s="39"/>
      <c r="K58" s="38">
        <f t="shared" si="11"/>
        <v>463769.504553114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弹道",$B$21,0))*(1+$BV58)</f>
        <v>478606.813546621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弹道",$B$21,0))*(1+$BV58)</f>
        <v>318894.122550842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弹道",$B$21,0))*(1+$BV58)</f>
        <v>216564.169025621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弹道",$B$21,0))*(1+$BV58)</f>
        <v>196910.469495062</v>
      </c>
      <c r="P58" s="39">
        <v>5</v>
      </c>
      <c r="Q58" s="40" t="s">
        <v>113</v>
      </c>
      <c r="R58" s="40" t="s">
        <v>97</v>
      </c>
      <c r="S58" s="40" t="s">
        <v>176</v>
      </c>
      <c r="T58" s="40" t="s">
        <v>183</v>
      </c>
      <c r="U58" s="40" t="s">
        <v>171</v>
      </c>
      <c r="V58" s="40" t="s">
        <v>102</v>
      </c>
      <c r="W58" s="40" t="s">
        <v>78</v>
      </c>
      <c r="X58" s="40" t="s">
        <v>78</v>
      </c>
      <c r="Y58" s="40" t="s">
        <v>184</v>
      </c>
      <c r="Z58" s="40" t="s">
        <v>78</v>
      </c>
      <c r="AA58" s="40" t="s">
        <v>78</v>
      </c>
      <c r="AB58" s="40" t="s">
        <v>78</v>
      </c>
      <c r="AC58" s="40" t="s">
        <v>185</v>
      </c>
      <c r="AD58" s="40" t="s">
        <v>186</v>
      </c>
      <c r="AE58" s="40" t="s">
        <v>78</v>
      </c>
      <c r="AF58" s="40" t="s">
        <v>187</v>
      </c>
      <c r="AG58" s="40" t="s">
        <v>78</v>
      </c>
      <c r="AH58" s="40" t="s">
        <v>78</v>
      </c>
      <c r="AI58" s="40" t="s">
        <v>78</v>
      </c>
      <c r="AJ58" s="40" t="s">
        <v>78</v>
      </c>
      <c r="AK58" s="40" t="s">
        <v>188</v>
      </c>
      <c r="AL58" t="str">
        <f>VLOOKUP($Q58,武学奇术!$A:$ZZ,25,FALSE)</f>
        <v>伞</v>
      </c>
      <c r="AM58" s="24">
        <f>VLOOKUP($Q58,武学奇术!$A:$ZZ,26,FALSE)</f>
        <v>1.174955</v>
      </c>
      <c r="AN58" s="25">
        <f>VLOOKUP($Q58,武学奇术!$A:$ZZ,27,FALSE)*(1+IF(OR($AL58=$F$4,$AL58=$F$5),$B$22,0))</f>
        <v>486.45</v>
      </c>
      <c r="AO58" s="24">
        <f>VLOOKUP($Q58,武学奇术!$A:$ZZ,28,FALSE)</f>
        <v>1.762375</v>
      </c>
      <c r="AP58" s="25">
        <f>VLOOKUP($Q58,武学奇术!$A:$ZZ,29,FALSE)*(1+IF(OR($AL58=$F$4,$AL58=$F$5),$B$22,0))</f>
        <v>265.65</v>
      </c>
      <c r="AQ58" s="24" cm="1">
        <f t="array" ref="AQ58">$G$3+IFERROR(VLOOKUP($AL58,$F$4:$G$7,2,FALSE),0)+VLOOKUP($Q58,武学奇术!$A:$ZZ,2,FALSE)+SUM(_xlfn.XLOOKUP($R58:$AK58,增益!$A:$A,增益!$B:$B,0))</f>
        <v>1.3941</v>
      </c>
      <c r="AR58" s="24" cm="1">
        <f t="array" ref="AR58">VLOOKUP($Q58,武学奇术!$A:$ZZ,5,FALSE)+SUM(_xlfn.XLOOKUP($R58:$AK58,增益!$A:$A,增益!$E:$E,0))</f>
        <v>0.15</v>
      </c>
      <c r="AS58" cm="1">
        <f t="array" ref="AS58">$D$10*(1+$AR58)+VLOOKUP($Q58,武学奇术!$A:$ZZ,3,FALSE)+SUM(_xlfn.XLOOKUP($R58:$AK58,增益!$A:$A,增益!$C:$C,0))-$I$2</f>
        <v>4427.0462</v>
      </c>
      <c r="AT58" cm="1">
        <f t="array" ref="AT58">$E$10*(1+$AR58)+VLOOKUP($Q58,武学奇术!$A:$ZZ,4,FALSE)+SUM(_xlfn.XLOOKUP($R58:$AK58,增益!$A:$A,增益!$D:$D,0))-$I$2</f>
        <v>4427.0462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0.4425</v>
      </c>
      <c r="AV58" s="32" cm="1">
        <f t="array" ref="AV58">$G$10+VLOOKUP($Q58,武学奇术!$A:$ZZ,7,FALSE)+SUM(_xlfn.XLOOKUP($R58:$AK58,增益!$A:$A,增益!$G:$G,0))</f>
        <v>0</v>
      </c>
      <c r="AW58" s="24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2" cm="1">
        <f t="array" ref="BA58">$G$11+VLOOKUP($Q58,武学奇术!$A:$ZZ,10,FALSE)+SUM(_xlfn.XLOOKUP($R58:$AK58,增益!$A:$A,增益!$J:$J,0))</f>
        <v>0</v>
      </c>
      <c r="BB58">
        <f t="shared" si="14"/>
        <v>0</v>
      </c>
      <c r="BC58">
        <f t="shared" si="15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-0.3</v>
      </c>
      <c r="BE58" s="32" cm="1">
        <f t="array" ref="BE58">$G$12+VLOOKUP($Q58,武学奇术!$A:$ZZ,12,FALSE)+SUM(_xlfn.XLOOKUP($R58:$AK58,增益!$A:$A,增益!$L:$L,0))</f>
        <v>0</v>
      </c>
      <c r="BF58">
        <f t="shared" si="16"/>
        <v>605.472</v>
      </c>
      <c r="BG58">
        <f t="shared" si="17"/>
        <v>1579.612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</v>
      </c>
      <c r="BI58" s="32" cm="1">
        <f t="array" ref="BI58">$G$13+VLOOKUP($Q58,武学奇术!$A:$ZZ,14,FALSE)+SUM(_xlfn.XLOOKUP($R58:$AK58,增益!$A:$A,增益!$N:$N,0))</f>
        <v>0.15</v>
      </c>
      <c r="BJ58">
        <f t="shared" si="18"/>
        <v>0</v>
      </c>
      <c r="BK58">
        <f t="shared" si="19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2" cm="1">
        <f t="array" ref="BM58">$G$14+VLOOKUP($Q58,武学奇术!$A:$ZZ,16,FALSE)+SUM(_xlfn.XLOOKUP($R58:$AK58,增益!$A:$A,增益!$P:$P,0))</f>
        <v>0</v>
      </c>
      <c r="BN58" s="24">
        <f>MIN(IF(VLOOKUP($Q58,武学奇术!$A:$ZZ,23,FALSE)=1,100%,$B$8),100%)</f>
        <v>1</v>
      </c>
      <c r="BO58" s="24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0.9093</v>
      </c>
      <c r="BP58" s="24" cm="1">
        <f t="array" ref="BP58">1+$B$13+VLOOKUP($Q58,武学奇术!$A:$ZZ,18,FALSE)+SUM(_xlfn.XLOOKUP($R58:$AK58,增益!$A:$A,增益!$R:$R,0))</f>
        <v>2.21</v>
      </c>
      <c r="BQ58" s="24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4" cm="1">
        <f t="array" ref="BR58">1+$B$14+VLOOKUP($Q58,武学奇术!$A:$ZZ,20,FALSE)+SUM(_xlfn.XLOOKUP($R58:$AK58,增益!$A:$A,增益!$T:$T,0))</f>
        <v>1.35</v>
      </c>
      <c r="BS58" s="24">
        <f t="shared" si="20"/>
        <v>0.9071</v>
      </c>
      <c r="BT58" s="24">
        <f t="shared" si="21"/>
        <v>0</v>
      </c>
      <c r="BU58" s="24">
        <f>IF(VLOOKUP($Q58,武学奇术!$A:$ZZ,22,FALSE)=1,0,(1-$BN58))*(1-$BQ58)</f>
        <v>0</v>
      </c>
      <c r="BV58" s="24" cm="1">
        <f t="array" ref="BV58">SUM(_xlfn.XLOOKUP($R58:$AK58,增益!$A:$A,增益!$W:$W,0))+$I$5</f>
        <v>0.26</v>
      </c>
    </row>
    <row r="59" spans="1:74">
      <c r="A59" s="4" t="s">
        <v>111</v>
      </c>
      <c r="B59" s="88">
        <v>1.16</v>
      </c>
      <c r="F59" s="4"/>
      <c r="G59" s="39"/>
      <c r="K59" s="38">
        <f t="shared" si="11"/>
        <v>908167.658512973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弹道",$B$21,0))*(1+$BV59)</f>
        <v>937222.531752755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弹道",$B$21,0))*(1+$BV59)</f>
        <v>624468.244995136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弹道",$B$21,0))*(1+$BV59)</f>
        <v>424082.593553283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弹道",$B$21,0))*(1+$BV59)</f>
        <v>385596.116739798</v>
      </c>
      <c r="P59" s="39">
        <v>10</v>
      </c>
      <c r="Q59" s="40" t="s">
        <v>113</v>
      </c>
      <c r="R59" s="40" t="s">
        <v>97</v>
      </c>
      <c r="S59" s="40" t="s">
        <v>176</v>
      </c>
      <c r="T59" s="40" t="s">
        <v>183</v>
      </c>
      <c r="U59" s="40" t="s">
        <v>171</v>
      </c>
      <c r="V59" s="40" t="s">
        <v>102</v>
      </c>
      <c r="W59" s="40" t="s">
        <v>78</v>
      </c>
      <c r="X59" s="40" t="s">
        <v>78</v>
      </c>
      <c r="Y59" s="40" t="s">
        <v>184</v>
      </c>
      <c r="Z59" s="40" t="s">
        <v>78</v>
      </c>
      <c r="AA59" s="40" t="s">
        <v>78</v>
      </c>
      <c r="AB59" s="40" t="s">
        <v>78</v>
      </c>
      <c r="AC59" s="40" t="s">
        <v>185</v>
      </c>
      <c r="AD59" s="40" t="s">
        <v>186</v>
      </c>
      <c r="AE59" s="40" t="s">
        <v>78</v>
      </c>
      <c r="AF59" s="40" t="s">
        <v>117</v>
      </c>
      <c r="AG59" s="40" t="s">
        <v>78</v>
      </c>
      <c r="AH59" s="40" t="s">
        <v>78</v>
      </c>
      <c r="AI59" s="40" t="s">
        <v>78</v>
      </c>
      <c r="AJ59" s="40" t="s">
        <v>78</v>
      </c>
      <c r="AK59" s="40" t="s">
        <v>188</v>
      </c>
      <c r="AL59" t="str">
        <f>VLOOKUP($Q59,武学奇术!$A:$ZZ,25,FALSE)</f>
        <v>伞</v>
      </c>
      <c r="AM59" s="24">
        <f>VLOOKUP($Q59,武学奇术!$A:$ZZ,26,FALSE)</f>
        <v>1.174955</v>
      </c>
      <c r="AN59" s="25">
        <f>VLOOKUP($Q59,武学奇术!$A:$ZZ,27,FALSE)*(1+IF(OR($AL59=$F$4,$AL59=$F$5),$B$22,0))</f>
        <v>486.45</v>
      </c>
      <c r="AO59" s="24">
        <f>VLOOKUP($Q59,武学奇术!$A:$ZZ,28,FALSE)</f>
        <v>1.762375</v>
      </c>
      <c r="AP59" s="25">
        <f>VLOOKUP($Q59,武学奇术!$A:$ZZ,29,FALSE)*(1+IF(OR($AL59=$F$4,$AL59=$F$5),$B$22,0))</f>
        <v>265.65</v>
      </c>
      <c r="AQ59" s="24" cm="1">
        <f t="array" ref="AQ59">$G$3+IFERROR(VLOOKUP($AL59,$F$4:$G$7,2,FALSE),0)+VLOOKUP($Q59,武学奇术!$A:$ZZ,2,FALSE)+SUM(_xlfn.XLOOKUP($R59:$AK59,增益!$A:$A,增益!$B:$B,0))</f>
        <v>1.3441</v>
      </c>
      <c r="AR59" s="24" cm="1">
        <f t="array" ref="AR59">VLOOKUP($Q59,武学奇术!$A:$ZZ,5,FALSE)+SUM(_xlfn.XLOOKUP($R59:$AK59,增益!$A:$A,增益!$E:$E,0))</f>
        <v>0.15</v>
      </c>
      <c r="AS59" cm="1">
        <f t="array" ref="AS59">$D$10*(1+$AR59)+VLOOKUP($Q59,武学奇术!$A:$ZZ,3,FALSE)+SUM(_xlfn.XLOOKUP($R59:$AK59,增益!$A:$A,增益!$C:$C,0))-$I$2</f>
        <v>4427.0462</v>
      </c>
      <c r="AT59" cm="1">
        <f t="array" ref="AT59">$E$10*(1+$AR59)+VLOOKUP($Q59,武学奇术!$A:$ZZ,4,FALSE)+SUM(_xlfn.XLOOKUP($R59:$AK59,增益!$A:$A,增益!$D:$D,0))-$I$2</f>
        <v>4427.0462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0.4425</v>
      </c>
      <c r="AV59" s="32" cm="1">
        <f t="array" ref="AV59">$G$10+VLOOKUP($Q59,武学奇术!$A:$ZZ,7,FALSE)+SUM(_xlfn.XLOOKUP($R59:$AK59,增益!$A:$A,增益!$G:$G,0))</f>
        <v>0</v>
      </c>
      <c r="AW59" s="24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2" cm="1">
        <f t="array" ref="BA59">$G$11+VLOOKUP($Q59,武学奇术!$A:$ZZ,10,FALSE)+SUM(_xlfn.XLOOKUP($R59:$AK59,增益!$A:$A,增益!$J:$J,0))</f>
        <v>0</v>
      </c>
      <c r="BB59">
        <f t="shared" si="14"/>
        <v>0</v>
      </c>
      <c r="BC59">
        <f t="shared" si="15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-0.3</v>
      </c>
      <c r="BE59" s="32" cm="1">
        <f t="array" ref="BE59">$G$12+VLOOKUP($Q59,武学奇术!$A:$ZZ,12,FALSE)+SUM(_xlfn.XLOOKUP($R59:$AK59,增益!$A:$A,增益!$L:$L,0))</f>
        <v>0</v>
      </c>
      <c r="BF59">
        <f t="shared" si="16"/>
        <v>605.472</v>
      </c>
      <c r="BG59">
        <f t="shared" si="17"/>
        <v>1579.612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</v>
      </c>
      <c r="BI59" s="32" cm="1">
        <f t="array" ref="BI59">$G$13+VLOOKUP($Q59,武学奇术!$A:$ZZ,14,FALSE)+SUM(_xlfn.XLOOKUP($R59:$AK59,增益!$A:$A,增益!$N:$N,0))</f>
        <v>0.15</v>
      </c>
      <c r="BJ59">
        <f t="shared" si="18"/>
        <v>0</v>
      </c>
      <c r="BK59">
        <f t="shared" si="19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2" cm="1">
        <f t="array" ref="BM59">$G$14+VLOOKUP($Q59,武学奇术!$A:$ZZ,16,FALSE)+SUM(_xlfn.XLOOKUP($R59:$AK59,增益!$A:$A,增益!$P:$P,0))</f>
        <v>0</v>
      </c>
      <c r="BN59" s="24">
        <f>MIN(IF(VLOOKUP($Q59,武学奇术!$A:$ZZ,23,FALSE)=1,100%,$B$8),100%)</f>
        <v>1</v>
      </c>
      <c r="BO59" s="24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0.9093</v>
      </c>
      <c r="BP59" s="24" cm="1">
        <f t="array" ref="BP59">1+$B$13+VLOOKUP($Q59,武学奇术!$A:$ZZ,18,FALSE)+SUM(_xlfn.XLOOKUP($R59:$AK59,增益!$A:$A,增益!$R:$R,0))</f>
        <v>2.21</v>
      </c>
      <c r="BQ59" s="24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4" cm="1">
        <f t="array" ref="BR59">1+$B$14+VLOOKUP($Q59,武学奇术!$A:$ZZ,20,FALSE)+SUM(_xlfn.XLOOKUP($R59:$AK59,增益!$A:$A,增益!$T:$T,0))</f>
        <v>1.35</v>
      </c>
      <c r="BS59" s="24">
        <f t="shared" si="20"/>
        <v>0.9071</v>
      </c>
      <c r="BT59" s="24">
        <f t="shared" si="21"/>
        <v>0</v>
      </c>
      <c r="BU59" s="24">
        <f>IF(VLOOKUP($Q59,武学奇术!$A:$ZZ,22,FALSE)=1,0,(1-$BN59))*(1-$BQ59)</f>
        <v>0</v>
      </c>
      <c r="BV59" s="24" cm="1">
        <f t="array" ref="BV59">SUM(_xlfn.XLOOKUP($R59:$AK59,增益!$A:$A,增益!$W:$W,0))+$I$5</f>
        <v>0.26</v>
      </c>
    </row>
    <row r="60" spans="1:74">
      <c r="A60" s="4" t="s">
        <v>162</v>
      </c>
      <c r="B60" s="4">
        <v>1.5</v>
      </c>
      <c r="C60" s="39" t="s">
        <v>189</v>
      </c>
      <c r="D60" s="4"/>
      <c r="E60" s="39" t="s">
        <v>127</v>
      </c>
      <c r="F60">
        <v>160</v>
      </c>
      <c r="G60" s="39"/>
      <c r="K60" s="38">
        <f t="shared" si="11"/>
        <v>137864.18078895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弹道",$B$21,0))*(1+$BV60)</f>
        <v>140442.247543571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弹道",$B$21,0))*(1+$BV60)</f>
        <v>112691.259872734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弹道",$B$21,0))*(1+$BV60)</f>
        <v>75914.7284019301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弹道",$B$21,0))*(1+$BV60)</f>
        <v>68354.449490724</v>
      </c>
      <c r="P60" s="39">
        <v>1</v>
      </c>
      <c r="Q60" s="40" t="s">
        <v>134</v>
      </c>
      <c r="R60" s="40" t="s">
        <v>97</v>
      </c>
      <c r="S60" s="40" t="s">
        <v>176</v>
      </c>
      <c r="T60" s="40" t="s">
        <v>78</v>
      </c>
      <c r="U60" s="40" t="s">
        <v>171</v>
      </c>
      <c r="V60" s="40" t="s">
        <v>78</v>
      </c>
      <c r="W60" s="40" t="s">
        <v>78</v>
      </c>
      <c r="X60" s="40" t="s">
        <v>78</v>
      </c>
      <c r="Y60" s="40" t="s">
        <v>184</v>
      </c>
      <c r="Z60" s="40" t="s">
        <v>78</v>
      </c>
      <c r="AA60" s="40" t="s">
        <v>78</v>
      </c>
      <c r="AB60" s="40" t="s">
        <v>78</v>
      </c>
      <c r="AC60" s="40" t="s">
        <v>185</v>
      </c>
      <c r="AD60" s="40" t="s">
        <v>186</v>
      </c>
      <c r="AE60" s="40" t="s">
        <v>78</v>
      </c>
      <c r="AF60" s="40" t="s">
        <v>187</v>
      </c>
      <c r="AG60" s="40" t="s">
        <v>78</v>
      </c>
      <c r="AH60" s="40" t="s">
        <v>78</v>
      </c>
      <c r="AI60" s="40" t="s">
        <v>78</v>
      </c>
      <c r="AJ60" s="40" t="s">
        <v>78</v>
      </c>
      <c r="AK60" s="40" t="s">
        <v>188</v>
      </c>
      <c r="AL60" t="str">
        <f>VLOOKUP($Q60,武学奇术!$A:$ZZ,25,FALSE)</f>
        <v>单体奇术</v>
      </c>
      <c r="AM60" s="24">
        <f>VLOOKUP($Q60,武学奇术!$A:$ZZ,26,FALSE)</f>
        <v>3.9863</v>
      </c>
      <c r="AN60" s="25">
        <f>VLOOKUP($Q60,武学奇术!$A:$ZZ,27,FALSE)*(1+IF(OR($AL60=$F$4,$AL60=$F$5),$B$22,0))</f>
        <v>778</v>
      </c>
      <c r="AO60" s="24">
        <f>VLOOKUP($Q60,武学奇术!$A:$ZZ,28,FALSE)</f>
        <v>5.97945</v>
      </c>
      <c r="AP60" s="25">
        <f>VLOOKUP($Q60,武学奇术!$A:$ZZ,29,FALSE)*(1+IF(OR($AL60=$F$4,$AL60=$F$5),$B$22,0))</f>
        <v>0</v>
      </c>
      <c r="AQ60" s="24" cm="1">
        <f t="array" ref="AQ60">$G$3+IFERROR(VLOOKUP($AL60,$F$4:$G$7,2,FALSE),0)+VLOOKUP($Q60,武学奇术!$A:$ZZ,2,FALSE)+SUM(_xlfn.XLOOKUP($R60:$AK60,增益!$A:$A,增益!$B:$B,0))</f>
        <v>0.7915</v>
      </c>
      <c r="AR60" s="24" cm="1">
        <f t="array" ref="AR60">VLOOKUP($Q60,武学奇术!$A:$ZZ,5,FALSE)+SUM(_xlfn.XLOOKUP($R60:$AK60,增益!$A:$A,增益!$E:$E,0))</f>
        <v>0.15</v>
      </c>
      <c r="AS60" cm="1">
        <f t="array" ref="AS60">$D$10*(1+$AR60)+VLOOKUP($Q60,武学奇术!$A:$ZZ,3,FALSE)+SUM(_xlfn.XLOOKUP($R60:$AK60,增益!$A:$A,增益!$C:$C,0))-$I$2</f>
        <v>4427.0462</v>
      </c>
      <c r="AT60" cm="1">
        <f t="array" ref="AT60">$E$10*(1+$AR60)+VLOOKUP($Q60,武学奇术!$A:$ZZ,4,FALSE)+SUM(_xlfn.XLOOKUP($R60:$AK60,增益!$A:$A,增益!$D:$D,0))-$I$2</f>
        <v>4427.0462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0.4175</v>
      </c>
      <c r="AV60" s="32" cm="1">
        <f t="array" ref="AV60">$G$10+VLOOKUP($Q60,武学奇术!$A:$ZZ,7,FALSE)+SUM(_xlfn.XLOOKUP($R60:$AK60,增益!$A:$A,增益!$G:$G,0))</f>
        <v>0</v>
      </c>
      <c r="AW60" s="24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16"/>
        <v>605.472</v>
      </c>
      <c r="BG60">
        <f t="shared" si="17"/>
        <v>1579.612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4">
        <f>MIN(IF(VLOOKUP($Q60,武学奇术!$A:$ZZ,23,FALSE)=1,100%,$B$8),100%)</f>
        <v>1</v>
      </c>
      <c r="BO60" s="24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0.9093</v>
      </c>
      <c r="BP60" s="24" cm="1">
        <f t="array" ref="BP60">1+$B$13+VLOOKUP($Q60,武学奇术!$A:$ZZ,18,FALSE)+SUM(_xlfn.XLOOKUP($R60:$AK60,增益!$A:$A,增益!$R:$R,0))</f>
        <v>1.85</v>
      </c>
      <c r="BQ60" s="24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4" cm="1">
        <f t="array" ref="BR60">1+$B$14+VLOOKUP($Q60,武学奇术!$A:$ZZ,20,FALSE)+SUM(_xlfn.XLOOKUP($R60:$AK60,增益!$A:$A,增益!$T:$T,0))</f>
        <v>1.35</v>
      </c>
      <c r="BS60" s="24">
        <f t="shared" si="20"/>
        <v>0.9071</v>
      </c>
      <c r="BT60" s="24">
        <f t="shared" si="21"/>
        <v>0</v>
      </c>
      <c r="BU60" s="24">
        <f>IF(VLOOKUP($Q60,武学奇术!$A:$ZZ,22,FALSE)=1,0,(1-$BN60))*(1-$BQ60)</f>
        <v>0</v>
      </c>
      <c r="BV60" s="24" cm="1">
        <f t="array" ref="BV60">SUM(_xlfn.XLOOKUP($R60:$AK60,增益!$A:$A,增益!$W:$W,0))+$I$5</f>
        <v>0.26</v>
      </c>
    </row>
    <row r="61" spans="1:74">
      <c r="A61" s="4" t="s">
        <v>163</v>
      </c>
      <c r="B61" s="4">
        <v>2.1</v>
      </c>
      <c r="C61" s="39"/>
      <c r="E61" s="39"/>
      <c r="F61">
        <v>-24</v>
      </c>
      <c r="K61" s="38">
        <f t="shared" ref="K61:K73" si="22">($L61*$BS61+$M61*$BQ61+$N61*$BT61+$O61*$BU61)</f>
        <v>81615.9648130798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弹道",$B$21,0))*(1+$BV61)</f>
        <v>83142.1629197625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弹道",$B$21,0))*(1+$BV61)</f>
        <v>66713.7656465362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弹道",$B$21,0))*(1+$BV61)</f>
        <v>44941.7096863581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弹道",$B$21,0))*(1+$BV61)</f>
        <v>40465.8151900968</v>
      </c>
      <c r="P61" s="39">
        <v>10</v>
      </c>
      <c r="Q61" s="40" t="s">
        <v>137</v>
      </c>
      <c r="R61" s="40" t="s">
        <v>97</v>
      </c>
      <c r="S61" s="40" t="s">
        <v>176</v>
      </c>
      <c r="T61" s="40" t="s">
        <v>78</v>
      </c>
      <c r="U61" s="40" t="s">
        <v>171</v>
      </c>
      <c r="V61" s="40" t="s">
        <v>78</v>
      </c>
      <c r="W61" s="40" t="s">
        <v>78</v>
      </c>
      <c r="X61" s="40" t="s">
        <v>78</v>
      </c>
      <c r="Y61" s="40" t="s">
        <v>184</v>
      </c>
      <c r="Z61" s="40" t="s">
        <v>78</v>
      </c>
      <c r="AA61" s="40" t="s">
        <v>78</v>
      </c>
      <c r="AB61" s="40" t="s">
        <v>78</v>
      </c>
      <c r="AC61" s="40" t="s">
        <v>185</v>
      </c>
      <c r="AD61" s="40" t="s">
        <v>186</v>
      </c>
      <c r="AE61" s="40" t="s">
        <v>138</v>
      </c>
      <c r="AF61" s="40" t="s">
        <v>187</v>
      </c>
      <c r="AG61" s="40" t="s">
        <v>78</v>
      </c>
      <c r="AH61" s="40" t="s">
        <v>78</v>
      </c>
      <c r="AI61" s="40" t="s">
        <v>78</v>
      </c>
      <c r="AJ61" s="40" t="s">
        <v>78</v>
      </c>
      <c r="AK61" s="40" t="s">
        <v>188</v>
      </c>
      <c r="AL61" t="str">
        <f>VLOOKUP($Q61,武学奇术!$A:$ZZ,25,FALSE)</f>
        <v>单体奇术</v>
      </c>
      <c r="AM61" s="24">
        <f>VLOOKUP($Q61,武学奇术!$A:$ZZ,26,FALSE)</f>
        <v>0.236</v>
      </c>
      <c r="AN61" s="25">
        <f>VLOOKUP($Q61,武学奇术!$A:$ZZ,27,FALSE)*(1+IF(OR($AL61=$F$4,$AL61=$F$5),$B$22,0))</f>
        <v>46</v>
      </c>
      <c r="AO61" s="24">
        <f>VLOOKUP($Q61,武学奇术!$A:$ZZ,28,FALSE)</f>
        <v>0.354</v>
      </c>
      <c r="AP61" s="25">
        <f>VLOOKUP($Q61,武学奇术!$A:$ZZ,29,FALSE)*(1+IF(OR($AL61=$F$4,$AL61=$F$5),$B$22,0))</f>
        <v>0</v>
      </c>
      <c r="AQ61" s="24" cm="1">
        <f t="array" ref="AQ61">$G$3+IFERROR(VLOOKUP($AL61,$F$4:$G$7,2,FALSE),0)+VLOOKUP($Q61,武学奇术!$A:$ZZ,2,FALSE)+SUM(_xlfn.XLOOKUP($R61:$AK61,增益!$A:$A,增益!$B:$B,0))</f>
        <v>0.7915</v>
      </c>
      <c r="AR61" s="24" cm="1">
        <f t="array" ref="AR61">VLOOKUP($Q61,武学奇术!$A:$ZZ,5,FALSE)+SUM(_xlfn.XLOOKUP($R61:$AK61,增益!$A:$A,增益!$E:$E,0))</f>
        <v>0.15</v>
      </c>
      <c r="AS61" cm="1">
        <f t="array" ref="AS61">$D$10*(1+$AR61)+VLOOKUP($Q61,武学奇术!$A:$ZZ,3,FALSE)+SUM(_xlfn.XLOOKUP($R61:$AK61,增益!$A:$A,增益!$C:$C,0))-$I$2</f>
        <v>4427.0462</v>
      </c>
      <c r="AT61" cm="1">
        <f t="array" ref="AT61">$E$10*(1+$AR61)+VLOOKUP($Q61,武学奇术!$A:$ZZ,4,FALSE)+SUM(_xlfn.XLOOKUP($R61:$AK61,增益!$A:$A,增益!$D:$D,0))-$I$2</f>
        <v>4427.0462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0.4175</v>
      </c>
      <c r="AV61" s="32" cm="1">
        <f t="array" ref="AV61">$G$10+VLOOKUP($Q61,武学奇术!$A:$ZZ,7,FALSE)+SUM(_xlfn.XLOOKUP($R61:$AK61,增益!$A:$A,增益!$G:$G,0))</f>
        <v>0</v>
      </c>
      <c r="AW61" s="24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2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2" cm="1">
        <f t="array" ref="BE61">$G$12+VLOOKUP($Q61,武学奇术!$A:$ZZ,12,FALSE)+SUM(_xlfn.XLOOKUP($R61:$AK61,增益!$A:$A,增益!$L:$L,0))</f>
        <v>0</v>
      </c>
      <c r="BF61">
        <f t="shared" si="16"/>
        <v>605.472</v>
      </c>
      <c r="BG61">
        <f t="shared" si="17"/>
        <v>1579.612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2" cm="1">
        <f t="array" ref="BI61">$G$13+VLOOKUP($Q61,武学奇术!$A:$ZZ,14,FALSE)+SUM(_xlfn.XLOOKUP($R61:$AK61,增益!$A:$A,增益!$N:$N,0))</f>
        <v>0.15</v>
      </c>
      <c r="BJ61">
        <f t="shared" si="18"/>
        <v>0</v>
      </c>
      <c r="BK61">
        <f t="shared" si="19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2" cm="1">
        <f t="array" ref="BM61">$G$14+VLOOKUP($Q61,武学奇术!$A:$ZZ,16,FALSE)+SUM(_xlfn.XLOOKUP($R61:$AK61,增益!$A:$A,增益!$P:$P,0))</f>
        <v>0</v>
      </c>
      <c r="BN61" s="24">
        <f>MIN(IF(VLOOKUP($Q61,武学奇术!$A:$ZZ,23,FALSE)=1,100%,$B$8),100%)</f>
        <v>1</v>
      </c>
      <c r="BO61" s="24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0.9093</v>
      </c>
      <c r="BP61" s="24" cm="1">
        <f t="array" ref="BP61">1+$B$13+VLOOKUP($Q61,武学奇术!$A:$ZZ,18,FALSE)+SUM(_xlfn.XLOOKUP($R61:$AK61,增益!$A:$A,增益!$R:$R,0))</f>
        <v>1.85</v>
      </c>
      <c r="BQ61" s="24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4" cm="1">
        <f t="array" ref="BR61">1+$B$14+VLOOKUP($Q61,武学奇术!$A:$ZZ,20,FALSE)+SUM(_xlfn.XLOOKUP($R61:$AK61,增益!$A:$A,增益!$T:$T,0))</f>
        <v>1.35</v>
      </c>
      <c r="BS61" s="24">
        <f t="shared" si="20"/>
        <v>0.9071</v>
      </c>
      <c r="BT61" s="24">
        <f t="shared" si="21"/>
        <v>0</v>
      </c>
      <c r="BU61" s="24">
        <f>IF(VLOOKUP($Q61,武学奇术!$A:$ZZ,22,FALSE)=1,0,(1-$BN61))*(1-$BQ61)</f>
        <v>0</v>
      </c>
      <c r="BV61" s="24" cm="1">
        <f t="array" ref="BV61">SUM(_xlfn.XLOOKUP($R61:$AK61,增益!$A:$A,增益!$W:$W,0))+$I$5</f>
        <v>0.26</v>
      </c>
    </row>
    <row r="62" spans="1:74">
      <c r="A62" s="4" t="s">
        <v>190</v>
      </c>
      <c r="B62" s="88">
        <v>1.7</v>
      </c>
      <c r="C62" s="39"/>
      <c r="E62" s="39"/>
      <c r="F62">
        <v>-30</v>
      </c>
      <c r="K62" s="38">
        <f t="shared" si="22"/>
        <v>79338.0980865077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弹道",$B$21,0))*(1+$BV62)</f>
        <v>80821.7006557446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弹道",$B$21,0))*(1+$BV62)</f>
        <v>64851.8129352179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弹道",$B$21,0))*(1+$BV62)</f>
        <v>43687.4057598619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弹道",$B$21,0))*(1+$BV62)</f>
        <v>39336.4315677106</v>
      </c>
      <c r="P62" s="39">
        <v>10</v>
      </c>
      <c r="Q62" s="40" t="s">
        <v>137</v>
      </c>
      <c r="R62" s="40" t="s">
        <v>97</v>
      </c>
      <c r="S62" s="40" t="s">
        <v>176</v>
      </c>
      <c r="T62" s="40" t="s">
        <v>78</v>
      </c>
      <c r="U62" s="40" t="s">
        <v>171</v>
      </c>
      <c r="V62" s="40" t="s">
        <v>78</v>
      </c>
      <c r="W62" s="40" t="s">
        <v>78</v>
      </c>
      <c r="X62" s="40" t="s">
        <v>78</v>
      </c>
      <c r="Y62" s="40" t="s">
        <v>184</v>
      </c>
      <c r="Z62" s="40" t="s">
        <v>78</v>
      </c>
      <c r="AA62" s="40" t="s">
        <v>78</v>
      </c>
      <c r="AB62" s="40" t="s">
        <v>78</v>
      </c>
      <c r="AC62" s="40" t="s">
        <v>185</v>
      </c>
      <c r="AD62" s="40" t="s">
        <v>186</v>
      </c>
      <c r="AE62" s="40" t="s">
        <v>138</v>
      </c>
      <c r="AF62" s="40" t="s">
        <v>117</v>
      </c>
      <c r="AG62" s="40" t="s">
        <v>78</v>
      </c>
      <c r="AH62" s="40" t="s">
        <v>78</v>
      </c>
      <c r="AI62" s="40" t="s">
        <v>78</v>
      </c>
      <c r="AJ62" s="40" t="s">
        <v>78</v>
      </c>
      <c r="AK62" s="40" t="s">
        <v>188</v>
      </c>
      <c r="AL62" t="str">
        <f>VLOOKUP($Q62,武学奇术!$A:$ZZ,25,FALSE)</f>
        <v>单体奇术</v>
      </c>
      <c r="AM62" s="24">
        <f>VLOOKUP($Q62,武学奇术!$A:$ZZ,26,FALSE)</f>
        <v>0.236</v>
      </c>
      <c r="AN62" s="25">
        <f>VLOOKUP($Q62,武学奇术!$A:$ZZ,27,FALSE)*(1+IF(OR($AL62=$F$4,$AL62=$F$5),$B$22,0))</f>
        <v>46</v>
      </c>
      <c r="AO62" s="24">
        <f>VLOOKUP($Q62,武学奇术!$A:$ZZ,28,FALSE)</f>
        <v>0.354</v>
      </c>
      <c r="AP62" s="25">
        <f>VLOOKUP($Q62,武学奇术!$A:$ZZ,29,FALSE)*(1+IF(OR($AL62=$F$4,$AL62=$F$5),$B$22,0))</f>
        <v>0</v>
      </c>
      <c r="AQ62" s="24" cm="1">
        <f t="array" ref="AQ62">$G$3+IFERROR(VLOOKUP($AL62,$F$4:$G$7,2,FALSE),0)+VLOOKUP($Q62,武学奇术!$A:$ZZ,2,FALSE)+SUM(_xlfn.XLOOKUP($R62:$AK62,增益!$A:$A,增益!$B:$B,0))</f>
        <v>0.7415</v>
      </c>
      <c r="AR62" s="24" cm="1">
        <f t="array" ref="AR62">VLOOKUP($Q62,武学奇术!$A:$ZZ,5,FALSE)+SUM(_xlfn.XLOOKUP($R62:$AK62,增益!$A:$A,增益!$E:$E,0))</f>
        <v>0.15</v>
      </c>
      <c r="AS62" cm="1">
        <f t="array" ref="AS62">$D$10*(1+$AR62)+VLOOKUP($Q62,武学奇术!$A:$ZZ,3,FALSE)+SUM(_xlfn.XLOOKUP($R62:$AK62,增益!$A:$A,增益!$C:$C,0))-$I$2</f>
        <v>4427.0462</v>
      </c>
      <c r="AT62" cm="1">
        <f t="array" ref="AT62">$E$10*(1+$AR62)+VLOOKUP($Q62,武学奇术!$A:$ZZ,4,FALSE)+SUM(_xlfn.XLOOKUP($R62:$AK62,增益!$A:$A,增益!$D:$D,0))-$I$2</f>
        <v>4427.0462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0.4175</v>
      </c>
      <c r="AV62" s="32" cm="1">
        <f t="array" ref="AV62">$G$10+VLOOKUP($Q62,武学奇术!$A:$ZZ,7,FALSE)+SUM(_xlfn.XLOOKUP($R62:$AK62,增益!$A:$A,增益!$G:$G,0))</f>
        <v>0</v>
      </c>
      <c r="AW62" s="24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2" cm="1">
        <f t="array" ref="BA62">$G$11+VLOOKUP($Q62,武学奇术!$A:$ZZ,10,FALSE)+SUM(_xlfn.XLOOKUP($R62:$AK62,增益!$A:$A,增益!$J:$J,0))</f>
        <v>0</v>
      </c>
      <c r="BB62">
        <f t="shared" si="14"/>
        <v>0</v>
      </c>
      <c r="BC62">
        <f t="shared" si="15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2" cm="1">
        <f t="array" ref="BE62">$G$12+VLOOKUP($Q62,武学奇术!$A:$ZZ,12,FALSE)+SUM(_xlfn.XLOOKUP($R62:$AK62,增益!$A:$A,增益!$L:$L,0))</f>
        <v>0</v>
      </c>
      <c r="BF62">
        <f t="shared" si="16"/>
        <v>605.472</v>
      </c>
      <c r="BG62">
        <f t="shared" si="17"/>
        <v>1579.612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2" cm="1">
        <f t="array" ref="BI62">$G$13+VLOOKUP($Q62,武学奇术!$A:$ZZ,14,FALSE)+SUM(_xlfn.XLOOKUP($R62:$AK62,增益!$A:$A,增益!$N:$N,0))</f>
        <v>0.15</v>
      </c>
      <c r="BJ62">
        <f t="shared" si="18"/>
        <v>0</v>
      </c>
      <c r="BK62">
        <f t="shared" si="19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2" cm="1">
        <f t="array" ref="BM62">$G$14+VLOOKUP($Q62,武学奇术!$A:$ZZ,16,FALSE)+SUM(_xlfn.XLOOKUP($R62:$AK62,增益!$A:$A,增益!$P:$P,0))</f>
        <v>0</v>
      </c>
      <c r="BN62" s="24">
        <f>MIN(IF(VLOOKUP($Q62,武学奇术!$A:$ZZ,23,FALSE)=1,100%,$B$8),100%)</f>
        <v>1</v>
      </c>
      <c r="BO62" s="24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0.9093</v>
      </c>
      <c r="BP62" s="24" cm="1">
        <f t="array" ref="BP62">1+$B$13+VLOOKUP($Q62,武学奇术!$A:$ZZ,18,FALSE)+SUM(_xlfn.XLOOKUP($R62:$AK62,增益!$A:$A,增益!$R:$R,0))</f>
        <v>1.85</v>
      </c>
      <c r="BQ62" s="24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4" cm="1">
        <f t="array" ref="BR62">1+$B$14+VLOOKUP($Q62,武学奇术!$A:$ZZ,20,FALSE)+SUM(_xlfn.XLOOKUP($R62:$AK62,增益!$A:$A,增益!$T:$T,0))</f>
        <v>1.35</v>
      </c>
      <c r="BS62" s="24">
        <f t="shared" si="20"/>
        <v>0.9071</v>
      </c>
      <c r="BT62" s="24">
        <f t="shared" si="21"/>
        <v>0</v>
      </c>
      <c r="BU62" s="24">
        <f>IF(VLOOKUP($Q62,武学奇术!$A:$ZZ,22,FALSE)=1,0,(1-$BN62))*(1-$BQ62)</f>
        <v>0</v>
      </c>
      <c r="BV62" s="24" cm="1">
        <f t="array" ref="BV62">SUM(_xlfn.XLOOKUP($R62:$AK62,增益!$A:$A,增益!$W:$W,0))+$I$5</f>
        <v>0.26</v>
      </c>
    </row>
    <row r="63" spans="1:74">
      <c r="A63" s="4" t="s">
        <v>163</v>
      </c>
      <c r="B63" s="4">
        <v>2.1</v>
      </c>
      <c r="C63" s="39"/>
      <c r="E63" s="39"/>
      <c r="F63">
        <v>-24</v>
      </c>
      <c r="K63" s="38">
        <f t="shared" si="22"/>
        <v>141555.788397931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弹道",$B$21,0))*(1+$BV63)</f>
        <v>144202.264204441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弹道",$B$21,0))*(1+$BV63)</f>
        <v>115714.903531567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弹道",$B$21,0))*(1+$BV63)</f>
        <v>77947.1698402382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弹道",$B$21,0))*(1+$BV63)</f>
        <v>70179.5963237603</v>
      </c>
      <c r="P63" s="39">
        <v>4</v>
      </c>
      <c r="Q63" s="40" t="s">
        <v>153</v>
      </c>
      <c r="R63" s="40" t="s">
        <v>97</v>
      </c>
      <c r="S63" s="40" t="s">
        <v>176</v>
      </c>
      <c r="T63" s="40" t="s">
        <v>78</v>
      </c>
      <c r="U63" s="40" t="s">
        <v>171</v>
      </c>
      <c r="V63" s="40" t="s">
        <v>78</v>
      </c>
      <c r="W63" s="40" t="s">
        <v>78</v>
      </c>
      <c r="X63" s="40" t="s">
        <v>78</v>
      </c>
      <c r="Y63" s="40" t="s">
        <v>184</v>
      </c>
      <c r="Z63" s="40" t="s">
        <v>78</v>
      </c>
      <c r="AA63" s="40" t="s">
        <v>78</v>
      </c>
      <c r="AB63" s="40" t="s">
        <v>78</v>
      </c>
      <c r="AC63" s="40" t="s">
        <v>185</v>
      </c>
      <c r="AD63" s="40" t="s">
        <v>186</v>
      </c>
      <c r="AE63" s="40" t="s">
        <v>78</v>
      </c>
      <c r="AF63" s="40" t="s">
        <v>187</v>
      </c>
      <c r="AG63" s="40" t="s">
        <v>78</v>
      </c>
      <c r="AH63" s="40" t="s">
        <v>78</v>
      </c>
      <c r="AI63" s="40" t="s">
        <v>78</v>
      </c>
      <c r="AJ63" s="40" t="s">
        <v>78</v>
      </c>
      <c r="AK63" s="40" t="s">
        <v>188</v>
      </c>
      <c r="AL63" t="str">
        <f>VLOOKUP($Q63,武学奇术!$A:$ZZ,25,FALSE)</f>
        <v>单体奇术</v>
      </c>
      <c r="AM63" s="24">
        <f>VLOOKUP($Q63,武学奇术!$A:$ZZ,26,FALSE)</f>
        <v>1.0239</v>
      </c>
      <c r="AN63" s="25">
        <f>VLOOKUP($Q63,武学奇术!$A:$ZZ,27,FALSE)*(1+IF(OR($AL63=$F$4,$AL63=$F$5),$B$22,0))</f>
        <v>196</v>
      </c>
      <c r="AO63" s="24">
        <f>VLOOKUP($Q63,武学奇术!$A:$ZZ,28,FALSE)</f>
        <v>1.53585</v>
      </c>
      <c r="AP63" s="25">
        <f>VLOOKUP($Q63,武学奇术!$A:$ZZ,29,FALSE)*(1+IF(OR($AL63=$F$4,$AL63=$F$5),$B$22,0))</f>
        <v>0</v>
      </c>
      <c r="AQ63" s="24" cm="1">
        <f t="array" ref="AQ63">$G$3+IFERROR(VLOOKUP($AL63,$F$4:$G$7,2,FALSE),0)+VLOOKUP($Q63,武学奇术!$A:$ZZ,2,FALSE)+SUM(_xlfn.XLOOKUP($R63:$AK63,增益!$A:$A,增益!$B:$B,0))</f>
        <v>0.7915</v>
      </c>
      <c r="AR63" s="24" cm="1">
        <f t="array" ref="AR63">VLOOKUP($Q63,武学奇术!$A:$ZZ,5,FALSE)+SUM(_xlfn.XLOOKUP($R63:$AK63,增益!$A:$A,增益!$E:$E,0))</f>
        <v>0.15</v>
      </c>
      <c r="AS63" cm="1">
        <f t="array" ref="AS63">$D$10*(1+$AR63)+VLOOKUP($Q63,武学奇术!$A:$ZZ,3,FALSE)+SUM(_xlfn.XLOOKUP($R63:$AK63,增益!$A:$A,增益!$C:$C,0))-$I$2</f>
        <v>4427.0462</v>
      </c>
      <c r="AT63" cm="1">
        <f t="array" ref="AT63">$E$10*(1+$AR63)+VLOOKUP($Q63,武学奇术!$A:$ZZ,4,FALSE)+SUM(_xlfn.XLOOKUP($R63:$AK63,增益!$A:$A,增益!$D:$D,0))-$I$2</f>
        <v>4427.0462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0.4175</v>
      </c>
      <c r="AV63" s="32" cm="1">
        <f t="array" ref="AV63">$G$10+VLOOKUP($Q63,武学奇术!$A:$ZZ,7,FALSE)+SUM(_xlfn.XLOOKUP($R63:$AK63,增益!$A:$A,增益!$G:$G,0))</f>
        <v>0</v>
      </c>
      <c r="AW63" s="24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2" cm="1">
        <f t="array" ref="BA63">$G$11+VLOOKUP($Q63,武学奇术!$A:$ZZ,10,FALSE)+SUM(_xlfn.XLOOKUP($R63:$AK63,增益!$A:$A,增益!$J:$J,0))</f>
        <v>0</v>
      </c>
      <c r="BB63">
        <f t="shared" si="14"/>
        <v>0</v>
      </c>
      <c r="BC63">
        <f t="shared" si="15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2" cm="1">
        <f t="array" ref="BE63">$G$12+VLOOKUP($Q63,武学奇术!$A:$ZZ,12,FALSE)+SUM(_xlfn.XLOOKUP($R63:$AK63,增益!$A:$A,增益!$L:$L,0))</f>
        <v>0</v>
      </c>
      <c r="BF63">
        <f t="shared" si="16"/>
        <v>605.472</v>
      </c>
      <c r="BG63">
        <f t="shared" si="17"/>
        <v>1579.612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2" cm="1">
        <f t="array" ref="BI63">$G$13+VLOOKUP($Q63,武学奇术!$A:$ZZ,14,FALSE)+SUM(_xlfn.XLOOKUP($R63:$AK63,增益!$A:$A,增益!$N:$N,0))</f>
        <v>0.15</v>
      </c>
      <c r="BJ63">
        <f t="shared" si="18"/>
        <v>0</v>
      </c>
      <c r="BK63">
        <f t="shared" si="19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2" cm="1">
        <f t="array" ref="BM63">$G$14+VLOOKUP($Q63,武学奇术!$A:$ZZ,16,FALSE)+SUM(_xlfn.XLOOKUP($R63:$AK63,增益!$A:$A,增益!$P:$P,0))</f>
        <v>0</v>
      </c>
      <c r="BN63" s="24">
        <f>MIN(IF(VLOOKUP($Q63,武学奇术!$A:$ZZ,23,FALSE)=1,100%,$B$8),100%)</f>
        <v>1</v>
      </c>
      <c r="BO63" s="24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0.9093</v>
      </c>
      <c r="BP63" s="24" cm="1">
        <f t="array" ref="BP63">1+$B$13+VLOOKUP($Q63,武学奇术!$A:$ZZ,18,FALSE)+SUM(_xlfn.XLOOKUP($R63:$AK63,增益!$A:$A,增益!$R:$R,0))</f>
        <v>1.85</v>
      </c>
      <c r="BQ63" s="24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4" cm="1">
        <f t="array" ref="BR63">1+$B$14+VLOOKUP($Q63,武学奇术!$A:$ZZ,20,FALSE)+SUM(_xlfn.XLOOKUP($R63:$AK63,增益!$A:$A,增益!$T:$T,0))</f>
        <v>1.35</v>
      </c>
      <c r="BS63" s="24">
        <f t="shared" si="20"/>
        <v>0.9071</v>
      </c>
      <c r="BT63" s="24">
        <f t="shared" si="21"/>
        <v>0</v>
      </c>
      <c r="BU63" s="24">
        <f>IF(VLOOKUP($Q63,武学奇术!$A:$ZZ,22,FALSE)=1,0,(1-$BN63))*(1-$BQ63)</f>
        <v>0</v>
      </c>
      <c r="BV63" s="24" cm="1">
        <f t="array" ref="BV63">SUM(_xlfn.XLOOKUP($R63:$AK63,增益!$A:$A,增益!$W:$W,0))+$I$5</f>
        <v>0.26</v>
      </c>
    </row>
    <row r="64" spans="1:74">
      <c r="A64" s="4" t="s">
        <v>165</v>
      </c>
      <c r="B64" s="88">
        <v>1</v>
      </c>
      <c r="C64" s="39"/>
      <c r="E64" s="39"/>
      <c r="K64" s="38">
        <f t="shared" si="22"/>
        <v>222446.72223745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弹道",$B$21,0))*(1+$BV64)</f>
        <v>226605.50523194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弹道",$B$21,0))*(1+$BV64)</f>
        <v>181839.272783179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弹道",$B$21,0))*(1+$BV64)</f>
        <v>122489.462287535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弹道",$B$21,0))*(1+$BV64)</f>
        <v>110283.1669579</v>
      </c>
      <c r="P64" s="39">
        <v>4</v>
      </c>
      <c r="Q64" s="40" t="s">
        <v>155</v>
      </c>
      <c r="R64" s="40" t="s">
        <v>97</v>
      </c>
      <c r="S64" s="40" t="s">
        <v>176</v>
      </c>
      <c r="T64" s="40" t="s">
        <v>78</v>
      </c>
      <c r="U64" s="40" t="s">
        <v>171</v>
      </c>
      <c r="V64" s="40" t="s">
        <v>78</v>
      </c>
      <c r="W64" s="40" t="s">
        <v>78</v>
      </c>
      <c r="X64" s="40" t="s">
        <v>78</v>
      </c>
      <c r="Y64" s="40" t="s">
        <v>184</v>
      </c>
      <c r="Z64" s="40" t="s">
        <v>78</v>
      </c>
      <c r="AA64" s="40" t="s">
        <v>78</v>
      </c>
      <c r="AB64" s="40" t="s">
        <v>78</v>
      </c>
      <c r="AC64" s="40" t="s">
        <v>185</v>
      </c>
      <c r="AD64" s="40" t="s">
        <v>186</v>
      </c>
      <c r="AE64" s="40" t="s">
        <v>78</v>
      </c>
      <c r="AF64" s="40" t="s">
        <v>187</v>
      </c>
      <c r="AG64" s="40" t="s">
        <v>78</v>
      </c>
      <c r="AH64" s="40" t="s">
        <v>78</v>
      </c>
      <c r="AI64" s="40" t="s">
        <v>78</v>
      </c>
      <c r="AJ64" s="40" t="s">
        <v>78</v>
      </c>
      <c r="AK64" s="40" t="s">
        <v>188</v>
      </c>
      <c r="AL64" t="str">
        <f>VLOOKUP($Q64,武学奇术!$A:$ZZ,25,FALSE)</f>
        <v>单体奇术</v>
      </c>
      <c r="AM64" s="24">
        <f>VLOOKUP($Q64,武学奇术!$A:$ZZ,26,FALSE)</f>
        <v>1.609</v>
      </c>
      <c r="AN64" s="25">
        <f>VLOOKUP($Q64,武学奇术!$A:$ZZ,27,FALSE)*(1+IF(OR($AL64=$F$4,$AL64=$F$5),$B$22,0))</f>
        <v>308</v>
      </c>
      <c r="AO64" s="24">
        <f>VLOOKUP($Q64,武学奇术!$A:$ZZ,28,FALSE)</f>
        <v>2.4135</v>
      </c>
      <c r="AP64" s="25">
        <f>VLOOKUP($Q64,武学奇术!$A:$ZZ,29,FALSE)*(1+IF(OR($AL64=$F$4,$AL64=$F$5),$B$22,0))</f>
        <v>0</v>
      </c>
      <c r="AQ64" s="24" cm="1">
        <f t="array" ref="AQ64">$G$3+IFERROR(VLOOKUP($AL64,$F$4:$G$7,2,FALSE),0)+VLOOKUP($Q64,武学奇术!$A:$ZZ,2,FALSE)+SUM(_xlfn.XLOOKUP($R64:$AK64,增益!$A:$A,增益!$B:$B,0))</f>
        <v>0.7915</v>
      </c>
      <c r="AR64" s="24" cm="1">
        <f t="array" ref="AR64">VLOOKUP($Q64,武学奇术!$A:$ZZ,5,FALSE)+SUM(_xlfn.XLOOKUP($R64:$AK64,增益!$A:$A,增益!$E:$E,0))</f>
        <v>0.15</v>
      </c>
      <c r="AS64" cm="1">
        <f t="array" ref="AS64">$D$10*(1+$AR64)+VLOOKUP($Q64,武学奇术!$A:$ZZ,3,FALSE)+SUM(_xlfn.XLOOKUP($R64:$AK64,增益!$A:$A,增益!$C:$C,0))-$I$2</f>
        <v>4427.0462</v>
      </c>
      <c r="AT64" cm="1">
        <f t="array" ref="AT64">$E$10*(1+$AR64)+VLOOKUP($Q64,武学奇术!$A:$ZZ,4,FALSE)+SUM(_xlfn.XLOOKUP($R64:$AK64,增益!$A:$A,增益!$D:$D,0))-$I$2</f>
        <v>4427.0462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0.4175</v>
      </c>
      <c r="AV64" s="32" cm="1">
        <f t="array" ref="AV64">$G$10+VLOOKUP($Q64,武学奇术!$A:$ZZ,7,FALSE)+SUM(_xlfn.XLOOKUP($R64:$AK64,增益!$A:$A,增益!$G:$G,0))</f>
        <v>0</v>
      </c>
      <c r="AW64" s="24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2" cm="1">
        <f t="array" ref="BA64">$G$11+VLOOKUP($Q64,武学奇术!$A:$ZZ,10,FALSE)+SUM(_xlfn.XLOOKUP($R64:$AK64,增益!$A:$A,增益!$J:$J,0))</f>
        <v>0</v>
      </c>
      <c r="BB64">
        <f t="shared" si="14"/>
        <v>0</v>
      </c>
      <c r="BC64">
        <f t="shared" si="15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-0.3</v>
      </c>
      <c r="BE64" s="32" cm="1">
        <f t="array" ref="BE64">$G$12+VLOOKUP($Q64,武学奇术!$A:$ZZ,12,FALSE)+SUM(_xlfn.XLOOKUP($R64:$AK64,增益!$A:$A,增益!$L:$L,0))</f>
        <v>0</v>
      </c>
      <c r="BF64">
        <f t="shared" si="16"/>
        <v>605.472</v>
      </c>
      <c r="BG64">
        <f t="shared" si="17"/>
        <v>1579.612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</v>
      </c>
      <c r="BI64" s="32" cm="1">
        <f t="array" ref="BI64">$G$13+VLOOKUP($Q64,武学奇术!$A:$ZZ,14,FALSE)+SUM(_xlfn.XLOOKUP($R64:$AK64,增益!$A:$A,增益!$N:$N,0))</f>
        <v>0.15</v>
      </c>
      <c r="BJ64">
        <f t="shared" si="18"/>
        <v>0</v>
      </c>
      <c r="BK64">
        <f t="shared" si="19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2" cm="1">
        <f t="array" ref="BM64">$G$14+VLOOKUP($Q64,武学奇术!$A:$ZZ,16,FALSE)+SUM(_xlfn.XLOOKUP($R64:$AK64,增益!$A:$A,增益!$P:$P,0))</f>
        <v>0</v>
      </c>
      <c r="BN64" s="24">
        <f>MIN(IF(VLOOKUP($Q64,武学奇术!$A:$ZZ,23,FALSE)=1,100%,$B$8),100%)</f>
        <v>1</v>
      </c>
      <c r="BO64" s="24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0.9093</v>
      </c>
      <c r="BP64" s="24" cm="1">
        <f t="array" ref="BP64">1+$B$13+VLOOKUP($Q64,武学奇术!$A:$ZZ,18,FALSE)+SUM(_xlfn.XLOOKUP($R64:$AK64,增益!$A:$A,增益!$R:$R,0))</f>
        <v>1.85</v>
      </c>
      <c r="BQ64" s="24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4" cm="1">
        <f t="array" ref="BR64">1+$B$14+VLOOKUP($Q64,武学奇术!$A:$ZZ,20,FALSE)+SUM(_xlfn.XLOOKUP($R64:$AK64,增益!$A:$A,增益!$T:$T,0))</f>
        <v>1.35</v>
      </c>
      <c r="BS64" s="24">
        <f t="shared" si="20"/>
        <v>0.9071</v>
      </c>
      <c r="BT64" s="24">
        <f t="shared" si="21"/>
        <v>0</v>
      </c>
      <c r="BU64" s="24">
        <f>IF(VLOOKUP($Q64,武学奇术!$A:$ZZ,22,FALSE)=1,0,(1-$BN64))*(1-$BQ64)</f>
        <v>0</v>
      </c>
      <c r="BV64" s="24" cm="1">
        <f t="array" ref="BV64">SUM(_xlfn.XLOOKUP($R64:$AK64,增益!$A:$A,增益!$W:$W,0))+$I$5</f>
        <v>0.26</v>
      </c>
    </row>
    <row r="65" spans="1:74">
      <c r="A65" s="4" t="s">
        <v>163</v>
      </c>
      <c r="B65" s="4">
        <v>2.1</v>
      </c>
      <c r="C65" s="39"/>
      <c r="E65" s="39"/>
      <c r="F65">
        <v>-24</v>
      </c>
      <c r="K65" s="38">
        <f t="shared" si="22"/>
        <v>275210.053580794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弹道",$B$21,0))*(1+$BV65)</f>
        <v>280355.281174472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弹道",$B$21,0))*(1+$BV65)</f>
        <v>224970.69997234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弹道",$B$21,0))*(1+$BV65)</f>
        <v>151543.395229444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弹道",$B$21,0))*(1+$BV65)</f>
        <v>136441.827516415</v>
      </c>
      <c r="P65" s="39">
        <v>8</v>
      </c>
      <c r="Q65" s="40" t="s">
        <v>153</v>
      </c>
      <c r="R65" s="40" t="s">
        <v>97</v>
      </c>
      <c r="S65" s="40" t="s">
        <v>176</v>
      </c>
      <c r="T65" s="40" t="s">
        <v>78</v>
      </c>
      <c r="U65" s="40" t="s">
        <v>171</v>
      </c>
      <c r="V65" s="40" t="s">
        <v>78</v>
      </c>
      <c r="W65" s="40" t="s">
        <v>78</v>
      </c>
      <c r="X65" s="40" t="s">
        <v>78</v>
      </c>
      <c r="Y65" s="40" t="s">
        <v>184</v>
      </c>
      <c r="Z65" s="40" t="s">
        <v>78</v>
      </c>
      <c r="AA65" s="40" t="s">
        <v>78</v>
      </c>
      <c r="AB65" s="40" t="s">
        <v>78</v>
      </c>
      <c r="AC65" s="40" t="s">
        <v>185</v>
      </c>
      <c r="AD65" s="40" t="s">
        <v>186</v>
      </c>
      <c r="AE65" s="40" t="s">
        <v>78</v>
      </c>
      <c r="AF65" s="40" t="s">
        <v>117</v>
      </c>
      <c r="AG65" s="40" t="s">
        <v>78</v>
      </c>
      <c r="AH65" s="40" t="s">
        <v>78</v>
      </c>
      <c r="AI65" s="40" t="s">
        <v>78</v>
      </c>
      <c r="AJ65" s="40" t="s">
        <v>78</v>
      </c>
      <c r="AK65" s="40" t="s">
        <v>188</v>
      </c>
      <c r="AL65" t="str">
        <f>VLOOKUP($Q65,武学奇术!$A:$ZZ,25,FALSE)</f>
        <v>单体奇术</v>
      </c>
      <c r="AM65" s="24">
        <f>VLOOKUP($Q65,武学奇术!$A:$ZZ,26,FALSE)</f>
        <v>1.0239</v>
      </c>
      <c r="AN65" s="25">
        <f>VLOOKUP($Q65,武学奇术!$A:$ZZ,27,FALSE)*(1+IF(OR($AL65=$F$4,$AL65=$F$5),$B$22,0))</f>
        <v>196</v>
      </c>
      <c r="AO65" s="24">
        <f>VLOOKUP($Q65,武学奇术!$A:$ZZ,28,FALSE)</f>
        <v>1.53585</v>
      </c>
      <c r="AP65" s="25">
        <f>VLOOKUP($Q65,武学奇术!$A:$ZZ,29,FALSE)*(1+IF(OR($AL65=$F$4,$AL65=$F$5),$B$22,0))</f>
        <v>0</v>
      </c>
      <c r="AQ65" s="24" cm="1">
        <f t="array" ref="AQ65">$G$3+IFERROR(VLOOKUP($AL65,$F$4:$G$7,2,FALSE),0)+VLOOKUP($Q65,武学奇术!$A:$ZZ,2,FALSE)+SUM(_xlfn.XLOOKUP($R65:$AK65,增益!$A:$A,增益!$B:$B,0))</f>
        <v>0.7415</v>
      </c>
      <c r="AR65" s="24" cm="1">
        <f t="array" ref="AR65">VLOOKUP($Q65,武学奇术!$A:$ZZ,5,FALSE)+SUM(_xlfn.XLOOKUP($R65:$AK65,增益!$A:$A,增益!$E:$E,0))</f>
        <v>0.15</v>
      </c>
      <c r="AS65" cm="1">
        <f t="array" ref="AS65">$D$10*(1+$AR65)+VLOOKUP($Q65,武学奇术!$A:$ZZ,3,FALSE)+SUM(_xlfn.XLOOKUP($R65:$AK65,增益!$A:$A,增益!$C:$C,0))-$I$2</f>
        <v>4427.0462</v>
      </c>
      <c r="AT65" cm="1">
        <f t="array" ref="AT65">$E$10*(1+$AR65)+VLOOKUP($Q65,武学奇术!$A:$ZZ,4,FALSE)+SUM(_xlfn.XLOOKUP($R65:$AK65,增益!$A:$A,增益!$D:$D,0))-$I$2</f>
        <v>4427.0462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0.4175</v>
      </c>
      <c r="AV65" s="32" cm="1">
        <f t="array" ref="AV65">$G$10+VLOOKUP($Q65,武学奇术!$A:$ZZ,7,FALSE)+SUM(_xlfn.XLOOKUP($R65:$AK65,增益!$A:$A,增益!$G:$G,0))</f>
        <v>0</v>
      </c>
      <c r="AW65" s="24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2" cm="1">
        <f t="array" ref="BA65">$G$11+VLOOKUP($Q65,武学奇术!$A:$ZZ,10,FALSE)+SUM(_xlfn.XLOOKUP($R65:$AK65,增益!$A:$A,增益!$J:$J,0))</f>
        <v>0</v>
      </c>
      <c r="BB65">
        <f t="shared" si="14"/>
        <v>0</v>
      </c>
      <c r="BC65">
        <f t="shared" si="15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-0.3</v>
      </c>
      <c r="BE65" s="32" cm="1">
        <f t="array" ref="BE65">$G$12+VLOOKUP($Q65,武学奇术!$A:$ZZ,12,FALSE)+SUM(_xlfn.XLOOKUP($R65:$AK65,增益!$A:$A,增益!$L:$L,0))</f>
        <v>0</v>
      </c>
      <c r="BF65">
        <f t="shared" si="16"/>
        <v>605.472</v>
      </c>
      <c r="BG65">
        <f t="shared" si="17"/>
        <v>1579.612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</v>
      </c>
      <c r="BI65" s="32" cm="1">
        <f t="array" ref="BI65">$G$13+VLOOKUP($Q65,武学奇术!$A:$ZZ,14,FALSE)+SUM(_xlfn.XLOOKUP($R65:$AK65,增益!$A:$A,增益!$N:$N,0))</f>
        <v>0.15</v>
      </c>
      <c r="BJ65">
        <f t="shared" si="18"/>
        <v>0</v>
      </c>
      <c r="BK65">
        <f t="shared" si="19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2" cm="1">
        <f t="array" ref="BM65">$G$14+VLOOKUP($Q65,武学奇术!$A:$ZZ,16,FALSE)+SUM(_xlfn.XLOOKUP($R65:$AK65,增益!$A:$A,增益!$P:$P,0))</f>
        <v>0</v>
      </c>
      <c r="BN65" s="24">
        <f>MIN(IF(VLOOKUP($Q65,武学奇术!$A:$ZZ,23,FALSE)=1,100%,$B$8),100%)</f>
        <v>1</v>
      </c>
      <c r="BO65" s="24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0.9093</v>
      </c>
      <c r="BP65" s="24" cm="1">
        <f t="array" ref="BP65">1+$B$13+VLOOKUP($Q65,武学奇术!$A:$ZZ,18,FALSE)+SUM(_xlfn.XLOOKUP($R65:$AK65,增益!$A:$A,增益!$R:$R,0))</f>
        <v>1.85</v>
      </c>
      <c r="BQ65" s="24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4" cm="1">
        <f t="array" ref="BR65">1+$B$14+VLOOKUP($Q65,武学奇术!$A:$ZZ,20,FALSE)+SUM(_xlfn.XLOOKUP($R65:$AK65,增益!$A:$A,增益!$T:$T,0))</f>
        <v>1.35</v>
      </c>
      <c r="BS65" s="24">
        <f t="shared" si="20"/>
        <v>0.9071</v>
      </c>
      <c r="BT65" s="24">
        <f t="shared" si="21"/>
        <v>0</v>
      </c>
      <c r="BU65" s="24">
        <f>IF(VLOOKUP($Q65,武学奇术!$A:$ZZ,22,FALSE)=1,0,(1-$BN65))*(1-$BQ65)</f>
        <v>0</v>
      </c>
      <c r="BV65" s="24" cm="1">
        <f t="array" ref="BV65">SUM(_xlfn.XLOOKUP($R65:$AK65,增益!$A:$A,增益!$W:$W,0))+$I$5</f>
        <v>0.26</v>
      </c>
    </row>
    <row r="66" spans="1:74">
      <c r="A66" s="4"/>
      <c r="B66" s="4"/>
      <c r="F66">
        <v>40</v>
      </c>
      <c r="K66" s="38">
        <f t="shared" si="22"/>
        <v>432476.658416432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弹道",$B$21,0))*(1+$BV66)</f>
        <v>440562.084690397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弹道",$B$21,0))*(1+$BV66)</f>
        <v>353528.432656329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弹道",$B$21,0))*(1+$BV66)</f>
        <v>238141.667400215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弹道",$B$21,0))*(1+$BV66)</f>
        <v>214410.421721668</v>
      </c>
      <c r="P66" s="39">
        <v>8</v>
      </c>
      <c r="Q66" s="40" t="s">
        <v>155</v>
      </c>
      <c r="R66" s="40" t="s">
        <v>97</v>
      </c>
      <c r="S66" s="40" t="s">
        <v>176</v>
      </c>
      <c r="T66" s="40" t="s">
        <v>78</v>
      </c>
      <c r="U66" s="40" t="s">
        <v>171</v>
      </c>
      <c r="V66" s="40" t="s">
        <v>78</v>
      </c>
      <c r="W66" s="40" t="s">
        <v>78</v>
      </c>
      <c r="X66" s="40" t="s">
        <v>78</v>
      </c>
      <c r="Y66" s="40" t="s">
        <v>184</v>
      </c>
      <c r="Z66" s="40" t="s">
        <v>78</v>
      </c>
      <c r="AA66" s="40" t="s">
        <v>78</v>
      </c>
      <c r="AB66" s="40" t="s">
        <v>78</v>
      </c>
      <c r="AC66" s="40" t="s">
        <v>185</v>
      </c>
      <c r="AD66" s="40" t="s">
        <v>186</v>
      </c>
      <c r="AE66" s="40" t="s">
        <v>78</v>
      </c>
      <c r="AF66" s="40" t="s">
        <v>117</v>
      </c>
      <c r="AG66" s="40" t="s">
        <v>78</v>
      </c>
      <c r="AH66" s="40" t="s">
        <v>78</v>
      </c>
      <c r="AI66" s="40" t="s">
        <v>78</v>
      </c>
      <c r="AJ66" s="40" t="s">
        <v>78</v>
      </c>
      <c r="AK66" s="40" t="s">
        <v>188</v>
      </c>
      <c r="AL66" t="str">
        <f>VLOOKUP($Q66,武学奇术!$A:$ZZ,25,FALSE)</f>
        <v>单体奇术</v>
      </c>
      <c r="AM66" s="24">
        <f>VLOOKUP($Q66,武学奇术!$A:$ZZ,26,FALSE)</f>
        <v>1.609</v>
      </c>
      <c r="AN66" s="25">
        <f>VLOOKUP($Q66,武学奇术!$A:$ZZ,27,FALSE)*(1+IF(OR($AL66=$F$4,$AL66=$F$5),$B$22,0))</f>
        <v>308</v>
      </c>
      <c r="AO66" s="24">
        <f>VLOOKUP($Q66,武学奇术!$A:$ZZ,28,FALSE)</f>
        <v>2.4135</v>
      </c>
      <c r="AP66" s="25">
        <f>VLOOKUP($Q66,武学奇术!$A:$ZZ,29,FALSE)*(1+IF(OR($AL66=$F$4,$AL66=$F$5),$B$22,0))</f>
        <v>0</v>
      </c>
      <c r="AQ66" s="24" cm="1">
        <f t="array" ref="AQ66">$G$3+IFERROR(VLOOKUP($AL66,$F$4:$G$7,2,FALSE),0)+VLOOKUP($Q66,武学奇术!$A:$ZZ,2,FALSE)+SUM(_xlfn.XLOOKUP($R66:$AK66,增益!$A:$A,增益!$B:$B,0))</f>
        <v>0.7415</v>
      </c>
      <c r="AR66" s="24" cm="1">
        <f t="array" ref="AR66">VLOOKUP($Q66,武学奇术!$A:$ZZ,5,FALSE)+SUM(_xlfn.XLOOKUP($R66:$AK66,增益!$A:$A,增益!$E:$E,0))</f>
        <v>0.15</v>
      </c>
      <c r="AS66" cm="1">
        <f t="array" ref="AS66">$D$10*(1+$AR66)+VLOOKUP($Q66,武学奇术!$A:$ZZ,3,FALSE)+SUM(_xlfn.XLOOKUP($R66:$AK66,增益!$A:$A,增益!$C:$C,0))-$I$2</f>
        <v>4427.0462</v>
      </c>
      <c r="AT66" cm="1">
        <f t="array" ref="AT66">$E$10*(1+$AR66)+VLOOKUP($Q66,武学奇术!$A:$ZZ,4,FALSE)+SUM(_xlfn.XLOOKUP($R66:$AK66,增益!$A:$A,增益!$D:$D,0))-$I$2</f>
        <v>4427.0462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0.4175</v>
      </c>
      <c r="AV66" s="32" cm="1">
        <f t="array" ref="AV66">$G$10+VLOOKUP($Q66,武学奇术!$A:$ZZ,7,FALSE)+SUM(_xlfn.XLOOKUP($R66:$AK66,增益!$A:$A,增益!$G:$G,0))</f>
        <v>0</v>
      </c>
      <c r="AW66" s="24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2" cm="1">
        <f t="array" ref="BA66">$G$11+VLOOKUP($Q66,武学奇术!$A:$ZZ,10,FALSE)+SUM(_xlfn.XLOOKUP($R66:$AK66,增益!$A:$A,增益!$J:$J,0))</f>
        <v>0</v>
      </c>
      <c r="BB66">
        <f t="shared" si="14"/>
        <v>0</v>
      </c>
      <c r="BC66">
        <f t="shared" si="15"/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-0.3</v>
      </c>
      <c r="BE66" s="32" cm="1">
        <f t="array" ref="BE66">$G$12+VLOOKUP($Q66,武学奇术!$A:$ZZ,12,FALSE)+SUM(_xlfn.XLOOKUP($R66:$AK66,增益!$A:$A,增益!$L:$L,0))</f>
        <v>0</v>
      </c>
      <c r="BF66">
        <f t="shared" si="16"/>
        <v>605.472</v>
      </c>
      <c r="BG66">
        <f t="shared" si="17"/>
        <v>1579.612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</v>
      </c>
      <c r="BI66" s="32" cm="1">
        <f t="array" ref="BI66">$G$13+VLOOKUP($Q66,武学奇术!$A:$ZZ,14,FALSE)+SUM(_xlfn.XLOOKUP($R66:$AK66,增益!$A:$A,增益!$N:$N,0))</f>
        <v>0.15</v>
      </c>
      <c r="BJ66">
        <f t="shared" si="18"/>
        <v>0</v>
      </c>
      <c r="BK66">
        <f t="shared" si="19"/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2" cm="1">
        <f t="array" ref="BM66">$G$14+VLOOKUP($Q66,武学奇术!$A:$ZZ,16,FALSE)+SUM(_xlfn.XLOOKUP($R66:$AK66,增益!$A:$A,增益!$P:$P,0))</f>
        <v>0</v>
      </c>
      <c r="BN66" s="24">
        <f>MIN(IF(VLOOKUP($Q66,武学奇术!$A:$ZZ,23,FALSE)=1,100%,$B$8),100%)</f>
        <v>1</v>
      </c>
      <c r="BO66" s="24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0.9093</v>
      </c>
      <c r="BP66" s="24" cm="1">
        <f t="array" ref="BP66">1+$B$13+VLOOKUP($Q66,武学奇术!$A:$ZZ,18,FALSE)+SUM(_xlfn.XLOOKUP($R66:$AK66,增益!$A:$A,增益!$R:$R,0))</f>
        <v>1.85</v>
      </c>
      <c r="BQ66" s="24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4" cm="1">
        <f t="array" ref="BR66">1+$B$14+VLOOKUP($Q66,武学奇术!$A:$ZZ,20,FALSE)+SUM(_xlfn.XLOOKUP($R66:$AK66,增益!$A:$A,增益!$T:$T,0))</f>
        <v>1.35</v>
      </c>
      <c r="BS66" s="24">
        <f t="shared" si="20"/>
        <v>0.9071</v>
      </c>
      <c r="BT66" s="24">
        <f t="shared" si="21"/>
        <v>0</v>
      </c>
      <c r="BU66" s="24">
        <f>IF(VLOOKUP($Q66,武学奇术!$A:$ZZ,22,FALSE)=1,0,(1-$BN66))*(1-$BQ66)</f>
        <v>0</v>
      </c>
      <c r="BV66" s="24" cm="1">
        <f t="array" ref="BV66">SUM(_xlfn.XLOOKUP($R66:$AK66,增益!$A:$A,增益!$W:$W,0))+$I$5</f>
        <v>0.26</v>
      </c>
    </row>
    <row r="67" spans="1:74">
      <c r="A67" s="4" t="s">
        <v>191</v>
      </c>
      <c r="B67" s="4">
        <v>20</v>
      </c>
      <c r="F67">
        <v>-25</v>
      </c>
      <c r="H67">
        <v>8.1</v>
      </c>
      <c r="K67" s="38">
        <f t="shared" si="22"/>
        <v>303332.978320559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弹道",$B$21,0))*(1+$BV67)</f>
        <v>309004.602379743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弹道",$B$21,0))*(1+$BV67)</f>
        <v>247953.751365919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弹道",$B$21,0))*(1+$BV67)</f>
        <v>167029.514799861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弹道",$B$21,0))*(1+$BV67)</f>
        <v>150389.584143486</v>
      </c>
      <c r="P67" s="39">
        <v>1</v>
      </c>
      <c r="Q67" s="40" t="s">
        <v>192</v>
      </c>
      <c r="R67" s="40" t="s">
        <v>97</v>
      </c>
      <c r="S67" s="40" t="s">
        <v>176</v>
      </c>
      <c r="T67" s="40" t="s">
        <v>78</v>
      </c>
      <c r="U67" s="40" t="s">
        <v>171</v>
      </c>
      <c r="V67" s="40" t="s">
        <v>78</v>
      </c>
      <c r="W67" s="40" t="s">
        <v>78</v>
      </c>
      <c r="X67" s="40" t="s">
        <v>78</v>
      </c>
      <c r="Y67" s="40" t="s">
        <v>184</v>
      </c>
      <c r="Z67" s="40" t="s">
        <v>78</v>
      </c>
      <c r="AA67" s="40" t="s">
        <v>78</v>
      </c>
      <c r="AB67" s="40" t="s">
        <v>78</v>
      </c>
      <c r="AC67" s="40" t="s">
        <v>185</v>
      </c>
      <c r="AD67" s="40" t="s">
        <v>186</v>
      </c>
      <c r="AE67" s="40" t="s">
        <v>78</v>
      </c>
      <c r="AF67" s="40" t="s">
        <v>187</v>
      </c>
      <c r="AG67" s="40" t="s">
        <v>78</v>
      </c>
      <c r="AH67" s="40" t="s">
        <v>78</v>
      </c>
      <c r="AI67" s="40" t="s">
        <v>78</v>
      </c>
      <c r="AJ67" s="40" t="s">
        <v>78</v>
      </c>
      <c r="AK67" s="40" t="s">
        <v>188</v>
      </c>
      <c r="AL67" t="str">
        <f>VLOOKUP($Q67,武学奇术!$A:$ZZ,25,FALSE)</f>
        <v>群体奇术</v>
      </c>
      <c r="AM67" s="24">
        <f>VLOOKUP($Q67,武学奇术!$A:$ZZ,26,FALSE)</f>
        <v>10.315755</v>
      </c>
      <c r="AN67" s="25">
        <f>VLOOKUP($Q67,武学奇术!$A:$ZZ,27,FALSE)*(1+IF(OR($AL67=$F$4,$AL67=$F$5),$B$22,0))</f>
        <v>1992.6</v>
      </c>
      <c r="AO67" s="24">
        <f>VLOOKUP($Q67,武学奇术!$A:$ZZ,28,FALSE)</f>
        <v>15.4736325</v>
      </c>
      <c r="AP67" s="25">
        <f>VLOOKUP($Q67,武学奇术!$A:$ZZ,29,FALSE)*(1+IF(OR($AL67=$F$4,$AL67=$F$5),$B$22,0))</f>
        <v>0</v>
      </c>
      <c r="AQ67" s="24" cm="1">
        <f t="array" ref="AQ67">$G$3+IFERROR(VLOOKUP($AL67,$F$4:$G$7,2,FALSE),0)+VLOOKUP($Q67,武学奇术!$A:$ZZ,2,FALSE)+SUM(_xlfn.XLOOKUP($R67:$AK67,增益!$A:$A,增益!$B:$B,0))</f>
        <v>0.5237</v>
      </c>
      <c r="AR67" s="24" cm="1">
        <f t="array" ref="AR67">VLOOKUP($Q67,武学奇术!$A:$ZZ,5,FALSE)+SUM(_xlfn.XLOOKUP($R67:$AK67,增益!$A:$A,增益!$E:$E,0))</f>
        <v>0.15</v>
      </c>
      <c r="AS67" cm="1">
        <f t="array" ref="AS67">$D$10*(1+$AR67)+VLOOKUP($Q67,武学奇术!$A:$ZZ,3,FALSE)+SUM(_xlfn.XLOOKUP($R67:$AK67,增益!$A:$A,增益!$C:$C,0))-$I$2</f>
        <v>4427.0462</v>
      </c>
      <c r="AT67" cm="1">
        <f t="array" ref="AT67">$E$10*(1+$AR67)+VLOOKUP($Q67,武学奇术!$A:$ZZ,4,FALSE)+SUM(_xlfn.XLOOKUP($R67:$AK67,增益!$A:$A,增益!$D:$D,0))-$I$2</f>
        <v>4427.0462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0.4175</v>
      </c>
      <c r="AV67" s="32" cm="1">
        <f t="array" ref="AV67">$G$10+VLOOKUP($Q67,武学奇术!$A:$ZZ,7,FALSE)+SUM(_xlfn.XLOOKUP($R67:$AK67,增益!$A:$A,增益!$G:$G,0))</f>
        <v>0</v>
      </c>
      <c r="AW67" s="24" cm="1">
        <f t="array" ref="AW67">VLOOKUP($Q67,武学奇术!$A:$ZZ,8,FALSE)+SUM(_xlfn.XLOOKUP($R67:$AK67,增益!$A:$A,增益!$H:$H,0))</f>
        <v>0</v>
      </c>
      <c r="AX67">
        <f t="shared" ref="AX67:AX98" si="23">$D$11*(1+$AW67)</f>
        <v>0</v>
      </c>
      <c r="AY67">
        <f t="shared" ref="AY67:AY98" si="24">$E$11*(1+$AW67)</f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2" cm="1">
        <f t="array" ref="BA67">$G$11+VLOOKUP($Q67,武学奇术!$A:$ZZ,10,FALSE)+SUM(_xlfn.XLOOKUP($R67:$AK67,增益!$A:$A,增益!$J:$J,0))</f>
        <v>0</v>
      </c>
      <c r="BB67">
        <f t="shared" ref="BB67:BB98" si="25">$D$12*(1+$AW67)</f>
        <v>0</v>
      </c>
      <c r="BC67">
        <f t="shared" ref="BC67:BC98" si="26">$E$12*(1+$AW67)</f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-0.3</v>
      </c>
      <c r="BE67" s="32" cm="1">
        <f t="array" ref="BE67">$G$12+VLOOKUP($Q67,武学奇术!$A:$ZZ,12,FALSE)+SUM(_xlfn.XLOOKUP($R67:$AK67,增益!$A:$A,增益!$L:$L,0))</f>
        <v>0</v>
      </c>
      <c r="BF67">
        <f t="shared" ref="BF67:BF98" si="27">$D$13*(1+$AW67)</f>
        <v>605.472</v>
      </c>
      <c r="BG67">
        <f t="shared" ref="BG67:BG98" si="28">$E$13*(1+$AW67)</f>
        <v>1579.612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</v>
      </c>
      <c r="BI67" s="32" cm="1">
        <f t="array" ref="BI67">$G$13+VLOOKUP($Q67,武学奇术!$A:$ZZ,14,FALSE)+SUM(_xlfn.XLOOKUP($R67:$AK67,增益!$A:$A,增益!$N:$N,0))</f>
        <v>0.15</v>
      </c>
      <c r="BJ67">
        <f t="shared" ref="BJ67:BJ98" si="29">$D$14*(1+$AW67)</f>
        <v>0</v>
      </c>
      <c r="BK67">
        <f t="shared" ref="BK67:BK98" si="30">$E$14*(1+$AW67)</f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2" cm="1">
        <f t="array" ref="BM67">$G$14+VLOOKUP($Q67,武学奇术!$A:$ZZ,16,FALSE)+SUM(_xlfn.XLOOKUP($R67:$AK67,增益!$A:$A,增益!$P:$P,0))</f>
        <v>0</v>
      </c>
      <c r="BN67" s="24">
        <f>MIN(IF(VLOOKUP($Q67,武学奇术!$A:$ZZ,23,FALSE)=1,100%,$B$8),100%)</f>
        <v>1</v>
      </c>
      <c r="BO67" s="24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0.9093</v>
      </c>
      <c r="BP67" s="24" cm="1">
        <f t="array" ref="BP67">1+$B$13+VLOOKUP($Q67,武学奇术!$A:$ZZ,18,FALSE)+SUM(_xlfn.XLOOKUP($R67:$AK67,增益!$A:$A,增益!$R:$R,0))</f>
        <v>1.85</v>
      </c>
      <c r="BQ67" s="24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4" cm="1">
        <f t="array" ref="BR67">1+$B$14+VLOOKUP($Q67,武学奇术!$A:$ZZ,20,FALSE)+SUM(_xlfn.XLOOKUP($R67:$AK67,增益!$A:$A,增益!$T:$T,0))</f>
        <v>1.35</v>
      </c>
      <c r="BS67" s="24">
        <f t="shared" ref="BS67:BS98" si="31">MIN((1-BQ67)*BN67,BN67*BO67)</f>
        <v>0.9071</v>
      </c>
      <c r="BT67" s="24">
        <f t="shared" ref="BT67:BT98" si="32">1-BQ67-BS67-BU67</f>
        <v>0</v>
      </c>
      <c r="BU67" s="24">
        <f>IF(VLOOKUP($Q67,武学奇术!$A:$ZZ,22,FALSE)=1,0,(1-$BN67))*(1-$BQ67)</f>
        <v>0</v>
      </c>
      <c r="BV67" s="24" cm="1">
        <f t="array" ref="BV67">SUM(_xlfn.XLOOKUP($R67:$AK67,增益!$A:$A,增益!$W:$W,0))+$I$5</f>
        <v>0.26</v>
      </c>
    </row>
    <row r="68" spans="1:74">
      <c r="A68" s="4" t="s">
        <v>131</v>
      </c>
      <c r="B68" s="4">
        <v>0.8</v>
      </c>
      <c r="H68">
        <v>8.6</v>
      </c>
      <c r="K68" s="38">
        <f t="shared" si="22"/>
        <v>30211.0710583094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弹道",$B$21,0))*(1+$BV68)</f>
        <v>30792.3139993539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弹道",$B$21,0))*(1+$BV68)</f>
        <v>24535.6623196501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弹道",$B$21,0))*(1+$BV68)</f>
        <v>16644.4940537048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弹道",$B$21,0))*(1+$BV68)</f>
        <v>15114.4234261873</v>
      </c>
      <c r="P68" s="39">
        <v>1</v>
      </c>
      <c r="Q68" s="40" t="s">
        <v>160</v>
      </c>
      <c r="R68" s="40" t="s">
        <v>97</v>
      </c>
      <c r="S68" s="40" t="s">
        <v>176</v>
      </c>
      <c r="T68" s="40" t="s">
        <v>78</v>
      </c>
      <c r="U68" s="40" t="s">
        <v>171</v>
      </c>
      <c r="V68" s="40" t="s">
        <v>78</v>
      </c>
      <c r="W68" s="40" t="s">
        <v>78</v>
      </c>
      <c r="X68" s="40" t="s">
        <v>78</v>
      </c>
      <c r="Y68" s="40" t="s">
        <v>184</v>
      </c>
      <c r="Z68" s="40" t="s">
        <v>78</v>
      </c>
      <c r="AA68" s="40" t="s">
        <v>78</v>
      </c>
      <c r="AB68" s="40" t="s">
        <v>78</v>
      </c>
      <c r="AC68" s="40" t="s">
        <v>185</v>
      </c>
      <c r="AD68" s="40" t="s">
        <v>186</v>
      </c>
      <c r="AE68" s="40" t="s">
        <v>78</v>
      </c>
      <c r="AF68" s="40" t="s">
        <v>117</v>
      </c>
      <c r="AG68" s="40" t="s">
        <v>78</v>
      </c>
      <c r="AH68" s="40" t="s">
        <v>78</v>
      </c>
      <c r="AI68" s="40" t="s">
        <v>78</v>
      </c>
      <c r="AJ68" s="40" t="s">
        <v>78</v>
      </c>
      <c r="AK68" s="40" t="s">
        <v>188</v>
      </c>
      <c r="AL68" t="str">
        <f>VLOOKUP($Q68,武学奇术!$A:$ZZ,25,FALSE)</f>
        <v>扇</v>
      </c>
      <c r="AM68" s="24">
        <f>VLOOKUP($Q68,武学奇术!$A:$ZZ,26,FALSE)</f>
        <v>0.9271</v>
      </c>
      <c r="AN68" s="25">
        <f>VLOOKUP($Q68,武学奇术!$A:$ZZ,27,FALSE)*(1+IF(OR($AL68=$F$4,$AL68=$F$5),$B$22,0))</f>
        <v>385.5</v>
      </c>
      <c r="AO68" s="24">
        <f>VLOOKUP($Q68,武学奇术!$A:$ZZ,28,FALSE)</f>
        <v>1.3907</v>
      </c>
      <c r="AP68" s="25">
        <f>VLOOKUP($Q68,武学奇术!$A:$ZZ,29,FALSE)*(1+IF(OR($AL68=$F$4,$AL68=$F$5),$B$22,0))</f>
        <v>210</v>
      </c>
      <c r="AQ68" s="24" cm="1">
        <f t="array" ref="AQ68">$G$3+IFERROR(VLOOKUP($AL68,$F$4:$G$7,2,FALSE),0)+VLOOKUP($Q68,武学奇术!$A:$ZZ,2,FALSE)+SUM(_xlfn.XLOOKUP($R68:$AK68,增益!$A:$A,增益!$B:$B,0))</f>
        <v>0.5589</v>
      </c>
      <c r="AR68" s="24" cm="1">
        <f t="array" ref="AR68">VLOOKUP($Q68,武学奇术!$A:$ZZ,5,FALSE)+SUM(_xlfn.XLOOKUP($R68:$AK68,增益!$A:$A,增益!$E:$E,0))</f>
        <v>0.15</v>
      </c>
      <c r="AS68" cm="1">
        <f t="array" ref="AS68">$D$10*(1+$AR68)+VLOOKUP($Q68,武学奇术!$A:$ZZ,3,FALSE)+SUM(_xlfn.XLOOKUP($R68:$AK68,增益!$A:$A,增益!$C:$C,0))-$I$2</f>
        <v>4427.0462</v>
      </c>
      <c r="AT68" cm="1">
        <f t="array" ref="AT68">$E$10*(1+$AR68)+VLOOKUP($Q68,武学奇术!$A:$ZZ,4,FALSE)+SUM(_xlfn.XLOOKUP($R68:$AK68,增益!$A:$A,增益!$D:$D,0))-$I$2</f>
        <v>4427.0462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0.4175</v>
      </c>
      <c r="AV68" s="32" cm="1">
        <f t="array" ref="AV68">$G$10+VLOOKUP($Q68,武学奇术!$A:$ZZ,7,FALSE)+SUM(_xlfn.XLOOKUP($R68:$AK68,增益!$A:$A,增益!$G:$G,0))</f>
        <v>0</v>
      </c>
      <c r="AW68" s="24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2" cm="1">
        <f t="array" ref="BA68">$G$11+VLOOKUP($Q68,武学奇术!$A:$ZZ,10,FALSE)+SUM(_xlfn.XLOOKUP($R68:$AK68,增益!$A:$A,增益!$J:$J,0))</f>
        <v>0</v>
      </c>
      <c r="BB68">
        <f t="shared" si="25"/>
        <v>0</v>
      </c>
      <c r="BC68">
        <f t="shared" si="26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-0.3</v>
      </c>
      <c r="BE68" s="32" cm="1">
        <f t="array" ref="BE68">$G$12+VLOOKUP($Q68,武学奇术!$A:$ZZ,12,FALSE)+SUM(_xlfn.XLOOKUP($R68:$AK68,增益!$A:$A,增益!$L:$L,0))</f>
        <v>0</v>
      </c>
      <c r="BF68">
        <f t="shared" si="27"/>
        <v>605.472</v>
      </c>
      <c r="BG68">
        <f t="shared" si="28"/>
        <v>1579.612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</v>
      </c>
      <c r="BI68" s="32" cm="1">
        <f t="array" ref="BI68">$G$13+VLOOKUP($Q68,武学奇术!$A:$ZZ,14,FALSE)+SUM(_xlfn.XLOOKUP($R68:$AK68,增益!$A:$A,增益!$N:$N,0))</f>
        <v>0.15</v>
      </c>
      <c r="BJ68">
        <f t="shared" si="29"/>
        <v>0</v>
      </c>
      <c r="BK68">
        <f t="shared" si="30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2" cm="1">
        <f t="array" ref="BM68">$G$14+VLOOKUP($Q68,武学奇术!$A:$ZZ,16,FALSE)+SUM(_xlfn.XLOOKUP($R68:$AK68,增益!$A:$A,增益!$P:$P,0))</f>
        <v>0</v>
      </c>
      <c r="BN68" s="24">
        <f>MIN(IF(VLOOKUP($Q68,武学奇术!$A:$ZZ,23,FALSE)=1,100%,$B$8),100%)</f>
        <v>1</v>
      </c>
      <c r="BO68" s="24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0.9093</v>
      </c>
      <c r="BP68" s="24" cm="1">
        <f t="array" ref="BP68">1+$B$13+VLOOKUP($Q68,武学奇术!$A:$ZZ,18,FALSE)+SUM(_xlfn.XLOOKUP($R68:$AK68,增益!$A:$A,增益!$R:$R,0))</f>
        <v>1.85</v>
      </c>
      <c r="BQ68" s="24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4" cm="1">
        <f t="array" ref="BR68">1+$B$14+VLOOKUP($Q68,武学奇术!$A:$ZZ,20,FALSE)+SUM(_xlfn.XLOOKUP($R68:$AK68,增益!$A:$A,增益!$T:$T,0))</f>
        <v>1.35</v>
      </c>
      <c r="BS68" s="24">
        <f t="shared" si="31"/>
        <v>0.9071</v>
      </c>
      <c r="BT68" s="24">
        <f t="shared" si="32"/>
        <v>0</v>
      </c>
      <c r="BU68" s="24">
        <f>IF(VLOOKUP($Q68,武学奇术!$A:$ZZ,22,FALSE)=1,0,(1-$BN68))*(1-$BQ68)</f>
        <v>0</v>
      </c>
      <c r="BV68" s="24" cm="1">
        <f t="array" ref="BV68">SUM(_xlfn.XLOOKUP($R68:$AK68,增益!$A:$A,增益!$W:$W,0))+$I$5</f>
        <v>0.26</v>
      </c>
    </row>
    <row r="69" spans="1:74">
      <c r="A69" s="4" t="s">
        <v>111</v>
      </c>
      <c r="B69" s="88">
        <v>1.16</v>
      </c>
      <c r="H69">
        <v>9.6</v>
      </c>
      <c r="K69" s="38">
        <f t="shared" si="22"/>
        <v>0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弹道",$B$21,0))*(1+$BV69)</f>
        <v>0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弹道",$B$21,0))*(1+$BV69)</f>
        <v>0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弹道",$B$21,0))*(1+$BV69)</f>
        <v>0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弹道",$B$21,0))*(1+$BV69)</f>
        <v>0</v>
      </c>
      <c r="P69" s="39">
        <v>1</v>
      </c>
      <c r="Q69" s="40" t="s">
        <v>78</v>
      </c>
      <c r="R69" s="40" t="s">
        <v>78</v>
      </c>
      <c r="S69" s="40" t="s">
        <v>78</v>
      </c>
      <c r="T69" s="40" t="s">
        <v>78</v>
      </c>
      <c r="U69" s="40" t="s">
        <v>78</v>
      </c>
      <c r="V69" s="40" t="s">
        <v>78</v>
      </c>
      <c r="W69" s="40" t="s">
        <v>78</v>
      </c>
      <c r="X69" s="40" t="s">
        <v>78</v>
      </c>
      <c r="Y69" s="40" t="s">
        <v>78</v>
      </c>
      <c r="Z69" s="40" t="s">
        <v>78</v>
      </c>
      <c r="AA69" s="40" t="s">
        <v>78</v>
      </c>
      <c r="AB69" s="40" t="s">
        <v>78</v>
      </c>
      <c r="AC69" s="40" t="s">
        <v>78</v>
      </c>
      <c r="AD69" s="40" t="s">
        <v>78</v>
      </c>
      <c r="AE69" s="40" t="s">
        <v>78</v>
      </c>
      <c r="AF69" s="40" t="s">
        <v>78</v>
      </c>
      <c r="AG69" s="40" t="s">
        <v>78</v>
      </c>
      <c r="AH69" s="40" t="s">
        <v>78</v>
      </c>
      <c r="AI69" s="40" t="s">
        <v>78</v>
      </c>
      <c r="AJ69" s="40" t="s">
        <v>78</v>
      </c>
      <c r="AK69" s="40" t="s">
        <v>78</v>
      </c>
      <c r="AL69" t="str">
        <f>VLOOKUP($Q69,武学奇术!$A:$ZZ,25,FALSE)</f>
        <v>心法</v>
      </c>
      <c r="AM69" s="24">
        <f>VLOOKUP($Q69,武学奇术!$A:$ZZ,26,FALSE)</f>
        <v>0</v>
      </c>
      <c r="AN69" s="25">
        <f>VLOOKUP($Q69,武学奇术!$A:$ZZ,27,FALSE)*(1+IF(OR($AL69=$F$4,$AL69=$F$5),$B$22,0))</f>
        <v>0</v>
      </c>
      <c r="AO69" s="24">
        <f>VLOOKUP($Q69,武学奇术!$A:$ZZ,28,FALSE)</f>
        <v>0</v>
      </c>
      <c r="AP69" s="25">
        <f>VLOOKUP($Q69,武学奇术!$A:$ZZ,29,FALSE)*(1+IF(OR($AL69=$F$4,$AL69=$F$5),$B$22,0))</f>
        <v>0</v>
      </c>
      <c r="AQ69" s="24" cm="1">
        <f t="array" ref="AQ69">$G$3+IFERROR(VLOOKUP($AL69,$F$4:$G$7,2,FALSE),0)+VLOOKUP($Q69,武学奇术!$A:$ZZ,2,FALSE)+SUM(_xlfn.XLOOKUP($R69:$AK69,增益!$A:$A,增益!$B:$B,0))</f>
        <v>0.1837</v>
      </c>
      <c r="AR69" s="24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3773.588</v>
      </c>
      <c r="AT69" cm="1">
        <f t="array" ref="AT69">$E$10*(1+$AR69)+VLOOKUP($Q69,武学奇术!$A:$ZZ,4,FALSE)+SUM(_xlfn.XLOOKUP($R69:$AK69,增益!$A:$A,增益!$D:$D,0))-$I$2</f>
        <v>3773.588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0.2425</v>
      </c>
      <c r="AV69" s="32" cm="1">
        <f t="array" ref="AV69">$G$10+VLOOKUP($Q69,武学奇术!$A:$ZZ,7,FALSE)+SUM(_xlfn.XLOOKUP($R69:$AK69,增益!$A:$A,增益!$G:$G,0))</f>
        <v>0</v>
      </c>
      <c r="AW69" s="24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2" cm="1">
        <f t="array" ref="BA69">$G$11+VLOOKUP($Q69,武学奇术!$A:$ZZ,10,FALSE)+SUM(_xlfn.XLOOKUP($R69:$AK69,增益!$A:$A,增益!$J:$J,0))</f>
        <v>0</v>
      </c>
      <c r="BB69">
        <f t="shared" si="25"/>
        <v>0</v>
      </c>
      <c r="BC69">
        <f t="shared" si="26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-0.3</v>
      </c>
      <c r="BE69" s="32" cm="1">
        <f t="array" ref="BE69">$G$12+VLOOKUP($Q69,武学奇术!$A:$ZZ,12,FALSE)+SUM(_xlfn.XLOOKUP($R69:$AK69,增益!$A:$A,增益!$L:$L,0))</f>
        <v>0</v>
      </c>
      <c r="BF69">
        <f t="shared" si="27"/>
        <v>605.472</v>
      </c>
      <c r="BG69">
        <f t="shared" si="28"/>
        <v>1579.612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</v>
      </c>
      <c r="BI69" s="32" cm="1">
        <f t="array" ref="BI69">$G$13+VLOOKUP($Q69,武学奇术!$A:$ZZ,14,FALSE)+SUM(_xlfn.XLOOKUP($R69:$AK69,增益!$A:$A,增益!$N:$N,0))</f>
        <v>0.15</v>
      </c>
      <c r="BJ69">
        <f t="shared" si="29"/>
        <v>0</v>
      </c>
      <c r="BK69">
        <f t="shared" si="30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2" cm="1">
        <f t="array" ref="BM69">$G$14+VLOOKUP($Q69,武学奇术!$A:$ZZ,16,FALSE)+SUM(_xlfn.XLOOKUP($R69:$AK69,增益!$A:$A,增益!$P:$P,0))</f>
        <v>0</v>
      </c>
      <c r="BN69" s="24">
        <f>MIN(IF(VLOOKUP($Q69,武学奇术!$A:$ZZ,23,FALSE)=1,100%,$B$8),100%)</f>
        <v>1</v>
      </c>
      <c r="BO69" s="24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0.9093</v>
      </c>
      <c r="BP69" s="24" cm="1">
        <f t="array" ref="BP69">1+$B$13+VLOOKUP($Q69,武学奇术!$A:$ZZ,18,FALSE)+SUM(_xlfn.XLOOKUP($R69:$AK69,增益!$A:$A,增益!$R:$R,0))</f>
        <v>1.5</v>
      </c>
      <c r="BQ69" s="24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4" cm="1">
        <f t="array" ref="BR69">1+$B$14+VLOOKUP($Q69,武学奇术!$A:$ZZ,20,FALSE)+SUM(_xlfn.XLOOKUP($R69:$AK69,增益!$A:$A,增益!$T:$T,0))</f>
        <v>1.35</v>
      </c>
      <c r="BS69" s="24">
        <f t="shared" si="31"/>
        <v>0.9071</v>
      </c>
      <c r="BT69" s="24">
        <f t="shared" si="32"/>
        <v>0</v>
      </c>
      <c r="BU69" s="24">
        <f>IF(VLOOKUP($Q69,武学奇术!$A:$ZZ,22,FALSE)=1,0,(1-$BN69))*(1-$BQ69)</f>
        <v>0</v>
      </c>
      <c r="BV69" s="24" cm="1">
        <f t="array" ref="BV69">SUM(_xlfn.XLOOKUP($R69:$AK69,增益!$A:$A,增益!$W:$W,0))+$I$5</f>
        <v>0.06</v>
      </c>
    </row>
    <row r="70" spans="1:74">
      <c r="A70" s="4" t="s">
        <v>165</v>
      </c>
      <c r="B70" s="88">
        <v>1</v>
      </c>
      <c r="E70" s="39" t="s">
        <v>127</v>
      </c>
      <c r="K70" s="38">
        <f t="shared" si="22"/>
        <v>23074.6895279573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弹道",$B$21,0))*(1+$BV70)</f>
        <v>23223.2555444176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弹道",$B$21,0))*(1+$BV70)</f>
        <v>21624.0519226703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弹道",$B$21,0))*(1+$BV70)</f>
        <v>14514.534715261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弹道",$B$21,0))*(1+$BV70)</f>
        <v>13011.253191507</v>
      </c>
      <c r="P70" s="39">
        <v>1</v>
      </c>
      <c r="Q70" s="40" t="s">
        <v>131</v>
      </c>
      <c r="R70" s="40" t="s">
        <v>97</v>
      </c>
      <c r="S70" s="40" t="s">
        <v>176</v>
      </c>
      <c r="T70" s="40" t="s">
        <v>78</v>
      </c>
      <c r="U70" s="40" t="s">
        <v>90</v>
      </c>
      <c r="V70" s="40" t="s">
        <v>78</v>
      </c>
      <c r="W70" s="40" t="s">
        <v>78</v>
      </c>
      <c r="X70" s="40" t="s">
        <v>78</v>
      </c>
      <c r="Y70" s="40" t="s">
        <v>78</v>
      </c>
      <c r="Z70" s="40" t="s">
        <v>78</v>
      </c>
      <c r="AA70" s="40" t="s">
        <v>78</v>
      </c>
      <c r="AB70" s="40" t="s">
        <v>78</v>
      </c>
      <c r="AC70" s="40" t="s">
        <v>78</v>
      </c>
      <c r="AD70" s="40" t="s">
        <v>78</v>
      </c>
      <c r="AE70" s="40" t="s">
        <v>78</v>
      </c>
      <c r="AF70" s="40" t="s">
        <v>78</v>
      </c>
      <c r="AG70" s="40" t="s">
        <v>78</v>
      </c>
      <c r="AH70" s="40" t="s">
        <v>78</v>
      </c>
      <c r="AI70" s="40" t="s">
        <v>78</v>
      </c>
      <c r="AJ70" s="40" t="s">
        <v>78</v>
      </c>
      <c r="AK70" s="40" t="s">
        <v>78</v>
      </c>
      <c r="AL70" t="str">
        <f>VLOOKUP($Q70,武学奇术!$A:$ZZ,25,FALSE)</f>
        <v>扇</v>
      </c>
      <c r="AM70" s="24">
        <f>VLOOKUP($Q70,武学奇术!$A:$ZZ,26,FALSE)</f>
        <v>1.2798</v>
      </c>
      <c r="AN70" s="25">
        <f>VLOOKUP($Q70,武学奇术!$A:$ZZ,27,FALSE)*(1+IF(OR($AL70=$F$4,$AL70=$F$5),$B$22,0))</f>
        <v>532.5</v>
      </c>
      <c r="AO70" s="24">
        <f>VLOOKUP($Q70,武学奇术!$A:$ZZ,28,FALSE)</f>
        <v>1.9197</v>
      </c>
      <c r="AP70" s="25">
        <f>VLOOKUP($Q70,武学奇术!$A:$ZZ,29,FALSE)*(1+IF(OR($AL70=$F$4,$AL70=$F$5),$B$22,0))</f>
        <v>289.5</v>
      </c>
      <c r="AQ70" s="24" cm="1">
        <f t="array" ref="AQ70">$G$3+IFERROR(VLOOKUP($AL70,$F$4:$G$7,2,FALSE),0)+VLOOKUP($Q70,武学奇术!$A:$ZZ,2,FALSE)+SUM(_xlfn.XLOOKUP($R70:$AK70,增益!$A:$A,增益!$B:$B,0))</f>
        <v>0.3189</v>
      </c>
      <c r="AR70" s="24" cm="1">
        <f t="array" ref="AR70">VLOOKUP($Q70,武学奇术!$A:$ZZ,5,FALSE)+SUM(_xlfn.XLOOKUP($R70:$AK70,增益!$A:$A,增益!$E:$E,0))</f>
        <v>0.075</v>
      </c>
      <c r="AS70" cm="1">
        <f t="array" ref="AS70">$D$10*(1+$AR70)+VLOOKUP($Q70,武学奇术!$A:$ZZ,3,FALSE)+SUM(_xlfn.XLOOKUP($R70:$AK70,增益!$A:$A,增益!$C:$C,0))-$I$2</f>
        <v>4100.3171</v>
      </c>
      <c r="AT70" cm="1">
        <f t="array" ref="AT70">$E$10*(1+$AR70)+VLOOKUP($Q70,武学奇术!$A:$ZZ,4,FALSE)+SUM(_xlfn.XLOOKUP($R70:$AK70,增益!$A:$A,增益!$D:$D,0))-$I$2</f>
        <v>4100.3171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0.2925</v>
      </c>
      <c r="AV70" s="32" cm="1">
        <f t="array" ref="AV70">$G$10+VLOOKUP($Q70,武学奇术!$A:$ZZ,7,FALSE)+SUM(_xlfn.XLOOKUP($R70:$AK70,增益!$A:$A,增益!$G:$G,0))</f>
        <v>0</v>
      </c>
      <c r="AW70" s="24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2" cm="1">
        <f t="array" ref="BA70">$G$11+VLOOKUP($Q70,武学奇术!$A:$ZZ,10,FALSE)+SUM(_xlfn.XLOOKUP($R70:$AK70,增益!$A:$A,增益!$J:$J,0))</f>
        <v>0</v>
      </c>
      <c r="BB70">
        <f t="shared" si="25"/>
        <v>0</v>
      </c>
      <c r="BC70">
        <f t="shared" si="26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-0.3</v>
      </c>
      <c r="BE70" s="32" cm="1">
        <f t="array" ref="BE70">$G$12+VLOOKUP($Q70,武学奇术!$A:$ZZ,12,FALSE)+SUM(_xlfn.XLOOKUP($R70:$AK70,增益!$A:$A,增益!$L:$L,0))</f>
        <v>0</v>
      </c>
      <c r="BF70">
        <f t="shared" si="27"/>
        <v>605.472</v>
      </c>
      <c r="BG70">
        <f t="shared" si="28"/>
        <v>1579.612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</v>
      </c>
      <c r="BI70" s="32" cm="1">
        <f t="array" ref="BI70">$G$13+VLOOKUP($Q70,武学奇术!$A:$ZZ,14,FALSE)+SUM(_xlfn.XLOOKUP($R70:$AK70,增益!$A:$A,增益!$N:$N,0))</f>
        <v>0.15</v>
      </c>
      <c r="BJ70">
        <f t="shared" si="29"/>
        <v>0</v>
      </c>
      <c r="BK70">
        <f t="shared" si="30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2" cm="1">
        <f t="array" ref="BM70">$G$14+VLOOKUP($Q70,武学奇术!$A:$ZZ,16,FALSE)+SUM(_xlfn.XLOOKUP($R70:$AK70,增益!$A:$A,增益!$P:$P,0))</f>
        <v>0</v>
      </c>
      <c r="BN70" s="24">
        <f>MIN(IF(VLOOKUP($Q70,武学奇术!$A:$ZZ,23,FALSE)=1,100%,$B$8),100%)</f>
        <v>1</v>
      </c>
      <c r="BO70" s="24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0.9093</v>
      </c>
      <c r="BP70" s="24" cm="1">
        <f t="array" ref="BP70">1+$B$13+VLOOKUP($Q70,武学奇术!$A:$ZZ,18,FALSE)+SUM(_xlfn.XLOOKUP($R70:$AK70,增益!$A:$A,增益!$R:$R,0))</f>
        <v>1.6</v>
      </c>
      <c r="BQ70" s="24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4" cm="1">
        <f t="array" ref="BR70">1+$B$14+VLOOKUP($Q70,武学奇术!$A:$ZZ,20,FALSE)+SUM(_xlfn.XLOOKUP($R70:$AK70,增益!$A:$A,增益!$T:$T,0))</f>
        <v>1.35</v>
      </c>
      <c r="BS70" s="24">
        <f t="shared" si="31"/>
        <v>0.9071</v>
      </c>
      <c r="BT70" s="24">
        <f t="shared" si="32"/>
        <v>0</v>
      </c>
      <c r="BU70" s="24">
        <f>IF(VLOOKUP($Q70,武学奇术!$A:$ZZ,22,FALSE)=1,0,(1-$BN70))*(1-$BQ70)</f>
        <v>0</v>
      </c>
      <c r="BV70" s="24" cm="1">
        <f t="array" ref="BV70">SUM(_xlfn.XLOOKUP($R70:$AK70,增益!$A:$A,增益!$W:$W,0))+$I$5</f>
        <v>0.06</v>
      </c>
    </row>
    <row r="71" spans="1:74">
      <c r="A71" s="4" t="s">
        <v>162</v>
      </c>
      <c r="B71" s="88">
        <v>1.5</v>
      </c>
      <c r="C71" s="4"/>
      <c r="E71" s="39"/>
      <c r="K71" s="38">
        <f t="shared" si="22"/>
        <v>13671.7178415105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弹道",$B$21,0))*(1+$BV71)</f>
        <v>13759.6582404134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弹道",$B$21,0))*(1+$BV71)</f>
        <v>12813.044689252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弹道",$B$21,0))*(1+$BV71)</f>
        <v>8599.78640025835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弹道",$B$21,0))*(1+$BV71)</f>
        <v>7708.42858625597</v>
      </c>
      <c r="P71" s="39">
        <v>1</v>
      </c>
      <c r="Q71" s="40" t="s">
        <v>111</v>
      </c>
      <c r="R71" s="40" t="s">
        <v>97</v>
      </c>
      <c r="S71" s="40" t="s">
        <v>176</v>
      </c>
      <c r="T71" s="40" t="s">
        <v>78</v>
      </c>
      <c r="U71" s="40" t="s">
        <v>90</v>
      </c>
      <c r="V71" s="40" t="s">
        <v>78</v>
      </c>
      <c r="W71" s="40" t="s">
        <v>78</v>
      </c>
      <c r="X71" s="40" t="s">
        <v>78</v>
      </c>
      <c r="Y71" s="40" t="s">
        <v>78</v>
      </c>
      <c r="Z71" s="40" t="s">
        <v>78</v>
      </c>
      <c r="AA71" s="40" t="s">
        <v>78</v>
      </c>
      <c r="AB71" s="40" t="s">
        <v>84</v>
      </c>
      <c r="AC71" s="40" t="s">
        <v>78</v>
      </c>
      <c r="AD71" s="40" t="s">
        <v>78</v>
      </c>
      <c r="AE71" s="40" t="s">
        <v>78</v>
      </c>
      <c r="AF71" s="40" t="s">
        <v>78</v>
      </c>
      <c r="AG71" s="40" t="s">
        <v>78</v>
      </c>
      <c r="AH71" s="40" t="s">
        <v>78</v>
      </c>
      <c r="AI71" s="40" t="s">
        <v>78</v>
      </c>
      <c r="AJ71" s="40" t="s">
        <v>78</v>
      </c>
      <c r="AK71" s="40" t="s">
        <v>78</v>
      </c>
      <c r="AL71" t="str">
        <f>VLOOKUP($Q71,武学奇术!$A:$ZZ,25,FALSE)</f>
        <v>伞</v>
      </c>
      <c r="AM71" s="24">
        <f>VLOOKUP($Q71,武学奇术!$A:$ZZ,26,FALSE)</f>
        <v>0.54</v>
      </c>
      <c r="AN71" s="25">
        <f>VLOOKUP($Q71,武学奇术!$A:$ZZ,27,FALSE)*(1+IF(OR($AL71=$F$4,$AL71=$F$5),$B$22,0))</f>
        <v>222</v>
      </c>
      <c r="AO71" s="24">
        <f>VLOOKUP($Q71,武学奇术!$A:$ZZ,28,FALSE)</f>
        <v>0.81</v>
      </c>
      <c r="AP71" s="25">
        <f>VLOOKUP($Q71,武学奇术!$A:$ZZ,29,FALSE)*(1+IF(OR($AL71=$F$4,$AL71=$F$5),$B$22,0))</f>
        <v>122.25</v>
      </c>
      <c r="AQ71" s="24" cm="1">
        <f t="array" ref="AQ71">$G$3+IFERROR(VLOOKUP($AL71,$F$4:$G$7,2,FALSE),0)+VLOOKUP($Q71,武学奇术!$A:$ZZ,2,FALSE)+SUM(_xlfn.XLOOKUP($R71:$AK71,增益!$A:$A,增益!$B:$B,0))</f>
        <v>0.4041</v>
      </c>
      <c r="AR71" s="24" cm="1">
        <f t="array" ref="AR71">VLOOKUP($Q71,武学奇术!$A:$ZZ,5,FALSE)+SUM(_xlfn.XLOOKUP($R71:$AK71,增益!$A:$A,增益!$E:$E,0))</f>
        <v>0.075</v>
      </c>
      <c r="AS71" cm="1">
        <f t="array" ref="AS71">$D$10*(1+$AR71)+VLOOKUP($Q71,武学奇术!$A:$ZZ,3,FALSE)+SUM(_xlfn.XLOOKUP($R71:$AK71,增益!$A:$A,增益!$C:$C,0))-$I$2</f>
        <v>4100.3171</v>
      </c>
      <c r="AT71" cm="1">
        <f t="array" ref="AT71">$E$10*(1+$AR71)+VLOOKUP($Q71,武学奇术!$A:$ZZ,4,FALSE)+SUM(_xlfn.XLOOKUP($R71:$AK71,增益!$A:$A,增益!$D:$D,0))-$I$2</f>
        <v>4100.3171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0.2925</v>
      </c>
      <c r="AV71" s="32" cm="1">
        <f t="array" ref="AV71">$G$10+VLOOKUP($Q71,武学奇术!$A:$ZZ,7,FALSE)+SUM(_xlfn.XLOOKUP($R71:$AK71,增益!$A:$A,增益!$G:$G,0))</f>
        <v>0</v>
      </c>
      <c r="AW71" s="24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2" cm="1">
        <f t="array" ref="BA71">$G$11+VLOOKUP($Q71,武学奇术!$A:$ZZ,10,FALSE)+SUM(_xlfn.XLOOKUP($R71:$AK71,增益!$A:$A,增益!$J:$J,0))</f>
        <v>0</v>
      </c>
      <c r="BB71">
        <f t="shared" si="25"/>
        <v>0</v>
      </c>
      <c r="BC71">
        <f t="shared" si="26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-0.3</v>
      </c>
      <c r="BE71" s="32" cm="1">
        <f t="array" ref="BE71">$G$12+VLOOKUP($Q71,武学奇术!$A:$ZZ,12,FALSE)+SUM(_xlfn.XLOOKUP($R71:$AK71,增益!$A:$A,增益!$L:$L,0))</f>
        <v>0</v>
      </c>
      <c r="BF71">
        <f t="shared" si="27"/>
        <v>605.472</v>
      </c>
      <c r="BG71">
        <f t="shared" si="28"/>
        <v>1579.612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</v>
      </c>
      <c r="BI71" s="32" cm="1">
        <f t="array" ref="BI71">$G$13+VLOOKUP($Q71,武学奇术!$A:$ZZ,14,FALSE)+SUM(_xlfn.XLOOKUP($R71:$AK71,增益!$A:$A,增益!$N:$N,0))</f>
        <v>0.15</v>
      </c>
      <c r="BJ71">
        <f t="shared" si="29"/>
        <v>0</v>
      </c>
      <c r="BK71">
        <f t="shared" si="30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2" cm="1">
        <f t="array" ref="BM71">$G$14+VLOOKUP($Q71,武学奇术!$A:$ZZ,16,FALSE)+SUM(_xlfn.XLOOKUP($R71:$AK71,增益!$A:$A,增益!$P:$P,0))</f>
        <v>0</v>
      </c>
      <c r="BN71" s="24">
        <f>MIN(IF(VLOOKUP($Q71,武学奇术!$A:$ZZ,23,FALSE)=1,100%,$B$8),100%)</f>
        <v>1</v>
      </c>
      <c r="BO71" s="24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0.9093</v>
      </c>
      <c r="BP71" s="24" cm="1">
        <f t="array" ref="BP71">1+$B$13+VLOOKUP($Q71,武学奇术!$A:$ZZ,18,FALSE)+SUM(_xlfn.XLOOKUP($R71:$AK71,增益!$A:$A,增益!$R:$R,0))</f>
        <v>1.6</v>
      </c>
      <c r="BQ71" s="24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4" cm="1">
        <f t="array" ref="BR71">1+$B$14+VLOOKUP($Q71,武学奇术!$A:$ZZ,20,FALSE)+SUM(_xlfn.XLOOKUP($R71:$AK71,增益!$A:$A,增益!$T:$T,0))</f>
        <v>1.35</v>
      </c>
      <c r="BS71" s="24">
        <f t="shared" si="31"/>
        <v>0.9071</v>
      </c>
      <c r="BT71" s="24">
        <f t="shared" si="32"/>
        <v>0</v>
      </c>
      <c r="BU71" s="24">
        <f>IF(VLOOKUP($Q71,武学奇术!$A:$ZZ,22,FALSE)=1,0,(1-$BN71))*(1-$BQ71)</f>
        <v>0</v>
      </c>
      <c r="BV71" s="24" cm="1">
        <f t="array" ref="BV71">SUM(_xlfn.XLOOKUP($R71:$AK71,增益!$A:$A,增益!$W:$W,0))+$I$5</f>
        <v>0.06</v>
      </c>
    </row>
    <row r="72" spans="1:74">
      <c r="A72" s="4" t="s">
        <v>163</v>
      </c>
      <c r="B72" s="88">
        <v>2.1</v>
      </c>
      <c r="C72" s="4"/>
      <c r="E72" s="39"/>
      <c r="F72">
        <v>-24</v>
      </c>
      <c r="K72" s="38">
        <f t="shared" si="22"/>
        <v>16716.0503100955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弹道",$B$21,0))*(1+$BV72)</f>
        <v>16823.6756008228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弹道",$B$21,0))*(1+$BV72)</f>
        <v>15665.1687038656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弹道",$B$21,0))*(1+$BV72)</f>
        <v>10514.7972505142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弹道",$B$21,0))*(1+$BV72)</f>
        <v>9425.76583149841</v>
      </c>
      <c r="P72" s="39">
        <v>1</v>
      </c>
      <c r="Q72" s="40" t="s">
        <v>160</v>
      </c>
      <c r="R72" s="40" t="s">
        <v>97</v>
      </c>
      <c r="S72" s="40" t="s">
        <v>176</v>
      </c>
      <c r="T72" s="40" t="s">
        <v>78</v>
      </c>
      <c r="U72" s="40" t="s">
        <v>90</v>
      </c>
      <c r="V72" s="40" t="s">
        <v>78</v>
      </c>
      <c r="W72" s="40" t="s">
        <v>78</v>
      </c>
      <c r="X72" s="40" t="s">
        <v>78</v>
      </c>
      <c r="Y72" s="40" t="s">
        <v>78</v>
      </c>
      <c r="Z72" s="40" t="s">
        <v>78</v>
      </c>
      <c r="AA72" s="40" t="s">
        <v>78</v>
      </c>
      <c r="AB72" s="40" t="s">
        <v>84</v>
      </c>
      <c r="AC72" s="40" t="s">
        <v>78</v>
      </c>
      <c r="AD72" s="40" t="s">
        <v>78</v>
      </c>
      <c r="AE72" s="40" t="s">
        <v>78</v>
      </c>
      <c r="AF72" s="40" t="s">
        <v>78</v>
      </c>
      <c r="AG72" s="40" t="s">
        <v>78</v>
      </c>
      <c r="AH72" s="40" t="s">
        <v>78</v>
      </c>
      <c r="AI72" s="40" t="s">
        <v>78</v>
      </c>
      <c r="AJ72" s="40" t="s">
        <v>78</v>
      </c>
      <c r="AK72" s="40" t="s">
        <v>78</v>
      </c>
      <c r="AL72" t="str">
        <f>VLOOKUP($Q72,武学奇术!$A:$ZZ,25,FALSE)</f>
        <v>扇</v>
      </c>
      <c r="AM72" s="24">
        <f>VLOOKUP($Q72,武学奇术!$A:$ZZ,26,FALSE)</f>
        <v>0.9271</v>
      </c>
      <c r="AN72" s="25">
        <f>VLOOKUP($Q72,武学奇术!$A:$ZZ,27,FALSE)*(1+IF(OR($AL72=$F$4,$AL72=$F$5),$B$22,0))</f>
        <v>385.5</v>
      </c>
      <c r="AO72" s="24">
        <f>VLOOKUP($Q72,武学奇术!$A:$ZZ,28,FALSE)</f>
        <v>1.3907</v>
      </c>
      <c r="AP72" s="25">
        <f>VLOOKUP($Q72,武学奇术!$A:$ZZ,29,FALSE)*(1+IF(OR($AL72=$F$4,$AL72=$F$5),$B$22,0))</f>
        <v>210</v>
      </c>
      <c r="AQ72" s="24" cm="1">
        <f t="array" ref="AQ72">$G$3+IFERROR(VLOOKUP($AL72,$F$4:$G$7,2,FALSE),0)+VLOOKUP($Q72,武学奇术!$A:$ZZ,2,FALSE)+SUM(_xlfn.XLOOKUP($R72:$AK72,增益!$A:$A,增益!$B:$B,0))</f>
        <v>0.3189</v>
      </c>
      <c r="AR72" s="24" cm="1">
        <f t="array" ref="AR72">VLOOKUP($Q72,武学奇术!$A:$ZZ,5,FALSE)+SUM(_xlfn.XLOOKUP($R72:$AK72,增益!$A:$A,增益!$E:$E,0))</f>
        <v>0.075</v>
      </c>
      <c r="AS72" cm="1">
        <f t="array" ref="AS72">$D$10*(1+$AR72)+VLOOKUP($Q72,武学奇术!$A:$ZZ,3,FALSE)+SUM(_xlfn.XLOOKUP($R72:$AK72,增益!$A:$A,增益!$C:$C,0))-$I$2</f>
        <v>4100.3171</v>
      </c>
      <c r="AT72" cm="1">
        <f t="array" ref="AT72">$E$10*(1+$AR72)+VLOOKUP($Q72,武学奇术!$A:$ZZ,4,FALSE)+SUM(_xlfn.XLOOKUP($R72:$AK72,增益!$A:$A,增益!$D:$D,0))-$I$2</f>
        <v>4100.3171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0.2925</v>
      </c>
      <c r="AV72" s="32" cm="1">
        <f t="array" ref="AV72">$G$10+VLOOKUP($Q72,武学奇术!$A:$ZZ,7,FALSE)+SUM(_xlfn.XLOOKUP($R72:$AK72,增益!$A:$A,增益!$G:$G,0))</f>
        <v>0</v>
      </c>
      <c r="AW72" s="24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2" cm="1">
        <f t="array" ref="BA72">$G$11+VLOOKUP($Q72,武学奇术!$A:$ZZ,10,FALSE)+SUM(_xlfn.XLOOKUP($R72:$AK72,增益!$A:$A,增益!$J:$J,0))</f>
        <v>0</v>
      </c>
      <c r="BB72">
        <f t="shared" si="25"/>
        <v>0</v>
      </c>
      <c r="BC72">
        <f t="shared" si="26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-0.3</v>
      </c>
      <c r="BE72" s="32" cm="1">
        <f t="array" ref="BE72">$G$12+VLOOKUP($Q72,武学奇术!$A:$ZZ,12,FALSE)+SUM(_xlfn.XLOOKUP($R72:$AK72,增益!$A:$A,增益!$L:$L,0))</f>
        <v>0</v>
      </c>
      <c r="BF72">
        <f t="shared" si="27"/>
        <v>605.472</v>
      </c>
      <c r="BG72">
        <f t="shared" si="28"/>
        <v>1579.612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</v>
      </c>
      <c r="BI72" s="32" cm="1">
        <f t="array" ref="BI72">$G$13+VLOOKUP($Q72,武学奇术!$A:$ZZ,14,FALSE)+SUM(_xlfn.XLOOKUP($R72:$AK72,增益!$A:$A,增益!$N:$N,0))</f>
        <v>0.15</v>
      </c>
      <c r="BJ72">
        <f t="shared" si="29"/>
        <v>0</v>
      </c>
      <c r="BK72">
        <f t="shared" si="30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2" cm="1">
        <f t="array" ref="BM72">$G$14+VLOOKUP($Q72,武学奇术!$A:$ZZ,16,FALSE)+SUM(_xlfn.XLOOKUP($R72:$AK72,增益!$A:$A,增益!$P:$P,0))</f>
        <v>0</v>
      </c>
      <c r="BN72" s="24">
        <f>MIN(IF(VLOOKUP($Q72,武学奇术!$A:$ZZ,23,FALSE)=1,100%,$B$8),100%)</f>
        <v>1</v>
      </c>
      <c r="BO72" s="24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0.9093</v>
      </c>
      <c r="BP72" s="24" cm="1">
        <f t="array" ref="BP72">1+$B$13+VLOOKUP($Q72,武学奇术!$A:$ZZ,18,FALSE)+SUM(_xlfn.XLOOKUP($R72:$AK72,增益!$A:$A,增益!$R:$R,0))</f>
        <v>1.6</v>
      </c>
      <c r="BQ72" s="24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4" cm="1">
        <f t="array" ref="BR72">1+$B$14+VLOOKUP($Q72,武学奇术!$A:$ZZ,20,FALSE)+SUM(_xlfn.XLOOKUP($R72:$AK72,增益!$A:$A,增益!$T:$T,0))</f>
        <v>1.35</v>
      </c>
      <c r="BS72" s="24">
        <f t="shared" si="31"/>
        <v>0.9071</v>
      </c>
      <c r="BT72" s="24">
        <f t="shared" si="32"/>
        <v>0</v>
      </c>
      <c r="BU72" s="24">
        <f>IF(VLOOKUP($Q72,武学奇术!$A:$ZZ,22,FALSE)=1,0,(1-$BN72))*(1-$BQ72)</f>
        <v>0</v>
      </c>
      <c r="BV72" s="24" cm="1">
        <f t="array" ref="BV72">SUM(_xlfn.XLOOKUP($R72:$AK72,增益!$A:$A,增益!$W:$W,0))+$I$5</f>
        <v>0.06</v>
      </c>
    </row>
    <row r="73" spans="1:74">
      <c r="A73" s="4" t="s">
        <v>101</v>
      </c>
      <c r="B73" s="4">
        <v>1.25</v>
      </c>
      <c r="C73" s="4"/>
      <c r="E73" s="39"/>
      <c r="K73" s="38">
        <f t="shared" si="22"/>
        <v>42843.0594875086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弹道",$B$21,0))*(1+$BV73)</f>
        <v>43823.5844539374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弹道",$B$21,0))*(1+$BV73)</f>
        <v>33268.956182368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弹道",$B$21,0))*(1+$BV73)</f>
        <v>22358.9716601721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弹道",$B$21,0))*(1+$BV73)</f>
        <v>20074.2720741458</v>
      </c>
      <c r="P73" s="39">
        <v>1</v>
      </c>
      <c r="Q73" s="40" t="s">
        <v>113</v>
      </c>
      <c r="R73" s="40" t="s">
        <v>97</v>
      </c>
      <c r="S73" s="40" t="s">
        <v>176</v>
      </c>
      <c r="T73" s="40" t="s">
        <v>106</v>
      </c>
      <c r="U73" s="40" t="s">
        <v>90</v>
      </c>
      <c r="V73" s="40" t="s">
        <v>78</v>
      </c>
      <c r="W73" s="40" t="s">
        <v>78</v>
      </c>
      <c r="X73" s="40" t="s">
        <v>78</v>
      </c>
      <c r="Y73" s="40" t="s">
        <v>78</v>
      </c>
      <c r="Z73" s="40" t="s">
        <v>78</v>
      </c>
      <c r="AA73" s="40" t="s">
        <v>78</v>
      </c>
      <c r="AB73" s="40" t="s">
        <v>84</v>
      </c>
      <c r="AC73" s="40" t="s">
        <v>78</v>
      </c>
      <c r="AD73" s="40" t="s">
        <v>78</v>
      </c>
      <c r="AE73" s="40" t="s">
        <v>78</v>
      </c>
      <c r="AF73" s="40" t="s">
        <v>78</v>
      </c>
      <c r="AG73" s="40" t="s">
        <v>78</v>
      </c>
      <c r="AH73" s="40" t="s">
        <v>78</v>
      </c>
      <c r="AI73" s="40" t="s">
        <v>78</v>
      </c>
      <c r="AJ73" s="40" t="s">
        <v>78</v>
      </c>
      <c r="AK73" s="40" t="s">
        <v>78</v>
      </c>
      <c r="AL73" t="str">
        <f>VLOOKUP($Q73,武学奇术!$A:$ZZ,25,FALSE)</f>
        <v>伞</v>
      </c>
      <c r="AM73" s="24">
        <f>VLOOKUP($Q73,武学奇术!$A:$ZZ,26,FALSE)</f>
        <v>1.174955</v>
      </c>
      <c r="AN73" s="25">
        <f>VLOOKUP($Q73,武学奇术!$A:$ZZ,27,FALSE)*(1+IF(OR($AL73=$F$4,$AL73=$F$5),$B$22,0))</f>
        <v>486.45</v>
      </c>
      <c r="AO73" s="24">
        <f>VLOOKUP($Q73,武学奇术!$A:$ZZ,28,FALSE)</f>
        <v>1.762375</v>
      </c>
      <c r="AP73" s="25">
        <f>VLOOKUP($Q73,武学奇术!$A:$ZZ,29,FALSE)*(1+IF(OR($AL73=$F$4,$AL73=$F$5),$B$22,0))</f>
        <v>265.65</v>
      </c>
      <c r="AQ73" s="24" cm="1">
        <f t="array" ref="AQ73">$G$3+IFERROR(VLOOKUP($AL73,$F$4:$G$7,2,FALSE),0)+VLOOKUP($Q73,武学奇术!$A:$ZZ,2,FALSE)+SUM(_xlfn.XLOOKUP($R73:$AK73,增益!$A:$A,增益!$B:$B,0))</f>
        <v>0.6541</v>
      </c>
      <c r="AR73" s="24" cm="1">
        <f t="array" ref="AR73">VLOOKUP($Q73,武学奇术!$A:$ZZ,5,FALSE)+SUM(_xlfn.XLOOKUP($R73:$AK73,增益!$A:$A,增益!$E:$E,0))</f>
        <v>0.075</v>
      </c>
      <c r="AS73" cm="1">
        <f t="array" ref="AS73">$D$10*(1+$AR73)+VLOOKUP($Q73,武学奇术!$A:$ZZ,3,FALSE)+SUM(_xlfn.XLOOKUP($R73:$AK73,增益!$A:$A,增益!$C:$C,0))-$I$2</f>
        <v>4100.3171</v>
      </c>
      <c r="AT73" cm="1">
        <f t="array" ref="AT73">$E$10*(1+$AR73)+VLOOKUP($Q73,武学奇术!$A:$ZZ,4,FALSE)+SUM(_xlfn.XLOOKUP($R73:$AK73,增益!$A:$A,增益!$D:$D,0))-$I$2</f>
        <v>4100.3171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0.3175</v>
      </c>
      <c r="AV73" s="32" cm="1">
        <f t="array" ref="AV73">$G$10+VLOOKUP($Q73,武学奇术!$A:$ZZ,7,FALSE)+SUM(_xlfn.XLOOKUP($R73:$AK73,增益!$A:$A,增益!$G:$G,0))</f>
        <v>0</v>
      </c>
      <c r="AW73" s="24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2" cm="1">
        <f t="array" ref="BA73">$G$11+VLOOKUP($Q73,武学奇术!$A:$ZZ,10,FALSE)+SUM(_xlfn.XLOOKUP($R73:$AK73,增益!$A:$A,增益!$J:$J,0))</f>
        <v>0</v>
      </c>
      <c r="BB73">
        <f t="shared" si="25"/>
        <v>0</v>
      </c>
      <c r="BC73">
        <f t="shared" si="26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-0.3</v>
      </c>
      <c r="BE73" s="32" cm="1">
        <f t="array" ref="BE73">$G$12+VLOOKUP($Q73,武学奇术!$A:$ZZ,12,FALSE)+SUM(_xlfn.XLOOKUP($R73:$AK73,增益!$A:$A,增益!$L:$L,0))</f>
        <v>0</v>
      </c>
      <c r="BF73">
        <f t="shared" si="27"/>
        <v>605.472</v>
      </c>
      <c r="BG73">
        <f t="shared" si="28"/>
        <v>1579.612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</v>
      </c>
      <c r="BI73" s="32" cm="1">
        <f t="array" ref="BI73">$G$13+VLOOKUP($Q73,武学奇术!$A:$ZZ,14,FALSE)+SUM(_xlfn.XLOOKUP($R73:$AK73,增益!$A:$A,增益!$N:$N,0))</f>
        <v>0.15</v>
      </c>
      <c r="BJ73">
        <f t="shared" si="29"/>
        <v>0</v>
      </c>
      <c r="BK73">
        <f t="shared" si="30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2" cm="1">
        <f t="array" ref="BM73">$G$14+VLOOKUP($Q73,武学奇术!$A:$ZZ,16,FALSE)+SUM(_xlfn.XLOOKUP($R73:$AK73,增益!$A:$A,增益!$P:$P,0))</f>
        <v>0</v>
      </c>
      <c r="BN73" s="24">
        <f>MIN(IF(VLOOKUP($Q73,武学奇术!$A:$ZZ,23,FALSE)=1,100%,$B$8),100%)</f>
        <v>1</v>
      </c>
      <c r="BO73" s="24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0.9093</v>
      </c>
      <c r="BP73" s="24" cm="1">
        <f t="array" ref="BP73">1+$B$13+VLOOKUP($Q73,武学奇术!$A:$ZZ,18,FALSE)+SUM(_xlfn.XLOOKUP($R73:$AK73,增益!$A:$A,增益!$R:$R,0))</f>
        <v>1.96</v>
      </c>
      <c r="BQ73" s="24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4" cm="1">
        <f t="array" ref="BR73">1+$B$14+VLOOKUP($Q73,武学奇术!$A:$ZZ,20,FALSE)+SUM(_xlfn.XLOOKUP($R73:$AK73,增益!$A:$A,增益!$T:$T,0))</f>
        <v>1.35</v>
      </c>
      <c r="BS73" s="24">
        <f t="shared" si="31"/>
        <v>0.9071</v>
      </c>
      <c r="BT73" s="24">
        <f t="shared" si="32"/>
        <v>0</v>
      </c>
      <c r="BU73" s="24">
        <f>IF(VLOOKUP($Q73,武学奇术!$A:$ZZ,22,FALSE)=1,0,(1-$BN73))*(1-$BQ73)</f>
        <v>0</v>
      </c>
      <c r="BV73" s="24" cm="1">
        <f t="array" ref="BV73">SUM(_xlfn.XLOOKUP($R73:$AK73,增益!$A:$A,增益!$W:$W,0))+$I$5</f>
        <v>0.06</v>
      </c>
    </row>
    <row r="74" spans="1:74">
      <c r="A74" s="4" t="s">
        <v>159</v>
      </c>
      <c r="B74" s="88">
        <v>1.3</v>
      </c>
      <c r="C74" s="4"/>
      <c r="D74" s="39" t="s">
        <v>166</v>
      </c>
      <c r="E74" s="39"/>
      <c r="F74">
        <v>3</v>
      </c>
      <c r="K74" s="38">
        <f t="shared" ref="K74:K86" si="33">($L74*$BS74+$M74*$BQ74+$N74*$BT74+$O74*$BU74)</f>
        <v>534778.045422067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弹道",$B$21,0))*(1+$BV74)</f>
        <v>547017.209275134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弹道",$B$21,0))*(1+$BV74)</f>
        <v>415271.634968704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弹道",$B$21,0))*(1+$BV74)</f>
        <v>279090.412895477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弹道",$B$21,0))*(1+$BV74)</f>
        <v>250572.207295617</v>
      </c>
      <c r="P74" s="39">
        <v>9</v>
      </c>
      <c r="Q74" s="40" t="s">
        <v>113</v>
      </c>
      <c r="R74" s="40" t="s">
        <v>97</v>
      </c>
      <c r="S74" s="40" t="s">
        <v>176</v>
      </c>
      <c r="T74" s="40" t="s">
        <v>106</v>
      </c>
      <c r="U74" s="40" t="s">
        <v>90</v>
      </c>
      <c r="V74" s="40" t="s">
        <v>102</v>
      </c>
      <c r="W74" s="40" t="s">
        <v>78</v>
      </c>
      <c r="X74" s="40" t="s">
        <v>78</v>
      </c>
      <c r="Y74" s="40" t="s">
        <v>78</v>
      </c>
      <c r="Z74" s="40" t="s">
        <v>78</v>
      </c>
      <c r="AA74" s="40" t="s">
        <v>78</v>
      </c>
      <c r="AB74" s="40" t="s">
        <v>84</v>
      </c>
      <c r="AC74" s="40" t="s">
        <v>78</v>
      </c>
      <c r="AD74" s="40" t="s">
        <v>78</v>
      </c>
      <c r="AE74" s="40" t="s">
        <v>78</v>
      </c>
      <c r="AF74" s="40" t="s">
        <v>117</v>
      </c>
      <c r="AG74" s="40" t="s">
        <v>78</v>
      </c>
      <c r="AH74" s="40" t="s">
        <v>78</v>
      </c>
      <c r="AI74" s="40" t="s">
        <v>78</v>
      </c>
      <c r="AJ74" s="40" t="s">
        <v>78</v>
      </c>
      <c r="AK74" s="40" t="s">
        <v>78</v>
      </c>
      <c r="AL74" t="str">
        <f>VLOOKUP($Q74,武学奇术!$A:$ZZ,25,FALSE)</f>
        <v>伞</v>
      </c>
      <c r="AM74" s="24">
        <f>VLOOKUP($Q74,武学奇术!$A:$ZZ,26,FALSE)</f>
        <v>1.174955</v>
      </c>
      <c r="AN74" s="25">
        <f>VLOOKUP($Q74,武学奇术!$A:$ZZ,27,FALSE)*(1+IF(OR($AL74=$F$4,$AL74=$F$5),$B$22,0))</f>
        <v>486.45</v>
      </c>
      <c r="AO74" s="24">
        <f>VLOOKUP($Q74,武学奇术!$A:$ZZ,28,FALSE)</f>
        <v>1.762375</v>
      </c>
      <c r="AP74" s="25">
        <f>VLOOKUP($Q74,武学奇术!$A:$ZZ,29,FALSE)*(1+IF(OR($AL74=$F$4,$AL74=$F$5),$B$22,0))</f>
        <v>265.65</v>
      </c>
      <c r="AQ74" s="24" cm="1">
        <f t="array" ref="AQ74">$G$3+IFERROR(VLOOKUP($AL74,$F$4:$G$7,2,FALSE),0)+VLOOKUP($Q74,武学奇术!$A:$ZZ,2,FALSE)+SUM(_xlfn.XLOOKUP($R74:$AK74,增益!$A:$A,增益!$B:$B,0))</f>
        <v>1.2941</v>
      </c>
      <c r="AR74" s="24" cm="1">
        <f t="array" ref="AR74">VLOOKUP($Q74,武学奇术!$A:$ZZ,5,FALSE)+SUM(_xlfn.XLOOKUP($R74:$AK74,增益!$A:$A,增益!$E:$E,0))</f>
        <v>0.075</v>
      </c>
      <c r="AS74" cm="1">
        <f t="array" ref="AS74">$D$10*(1+$AR74)+VLOOKUP($Q74,武学奇术!$A:$ZZ,3,FALSE)+SUM(_xlfn.XLOOKUP($R74:$AK74,增益!$A:$A,增益!$C:$C,0))-$I$2</f>
        <v>4100.3171</v>
      </c>
      <c r="AT74" cm="1">
        <f t="array" ref="AT74">$E$10*(1+$AR74)+VLOOKUP($Q74,武学奇术!$A:$ZZ,4,FALSE)+SUM(_xlfn.XLOOKUP($R74:$AK74,增益!$A:$A,增益!$D:$D,0))-$I$2</f>
        <v>4100.3171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0.3175</v>
      </c>
      <c r="AV74" s="32" cm="1">
        <f t="array" ref="AV74">$G$10+VLOOKUP($Q74,武学奇术!$A:$ZZ,7,FALSE)+SUM(_xlfn.XLOOKUP($R74:$AK74,增益!$A:$A,增益!$G:$G,0))</f>
        <v>0</v>
      </c>
      <c r="AW74" s="24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2" cm="1">
        <f t="array" ref="BA74">$G$11+VLOOKUP($Q74,武学奇术!$A:$ZZ,10,FALSE)+SUM(_xlfn.XLOOKUP($R74:$AK74,增益!$A:$A,增益!$J:$J,0))</f>
        <v>0</v>
      </c>
      <c r="BB74">
        <f t="shared" si="25"/>
        <v>0</v>
      </c>
      <c r="BC74">
        <f t="shared" si="26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2" cm="1">
        <f t="array" ref="BE74">$G$12+VLOOKUP($Q74,武学奇术!$A:$ZZ,12,FALSE)+SUM(_xlfn.XLOOKUP($R74:$AK74,增益!$A:$A,增益!$L:$L,0))</f>
        <v>0</v>
      </c>
      <c r="BF74">
        <f t="shared" si="27"/>
        <v>605.472</v>
      </c>
      <c r="BG74">
        <f t="shared" si="28"/>
        <v>1579.612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2" cm="1">
        <f t="array" ref="BI74">$G$13+VLOOKUP($Q74,武学奇术!$A:$ZZ,14,FALSE)+SUM(_xlfn.XLOOKUP($R74:$AK74,增益!$A:$A,增益!$N:$N,0))</f>
        <v>0.15</v>
      </c>
      <c r="BJ74">
        <f t="shared" si="29"/>
        <v>0</v>
      </c>
      <c r="BK74">
        <f t="shared" si="30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2" cm="1">
        <f t="array" ref="BM74">$G$14+VLOOKUP($Q74,武学奇术!$A:$ZZ,16,FALSE)+SUM(_xlfn.XLOOKUP($R74:$AK74,增益!$A:$A,增益!$P:$P,0))</f>
        <v>0</v>
      </c>
      <c r="BN74" s="24">
        <f>MIN(IF(VLOOKUP($Q74,武学奇术!$A:$ZZ,23,FALSE)=1,100%,$B$8),100%)</f>
        <v>1</v>
      </c>
      <c r="BO74" s="24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0.9093</v>
      </c>
      <c r="BP74" s="24" cm="1">
        <f t="array" ref="BP74">1+$B$13+VLOOKUP($Q74,武学奇术!$A:$ZZ,18,FALSE)+SUM(_xlfn.XLOOKUP($R74:$AK74,增益!$A:$A,增益!$R:$R,0))</f>
        <v>1.96</v>
      </c>
      <c r="BQ74" s="24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4" cm="1">
        <f t="array" ref="BR74">1+$B$14+VLOOKUP($Q74,武学奇术!$A:$ZZ,20,FALSE)+SUM(_xlfn.XLOOKUP($R74:$AK74,增益!$A:$A,增益!$T:$T,0))</f>
        <v>1.35</v>
      </c>
      <c r="BS74" s="24">
        <f t="shared" si="31"/>
        <v>0.9071</v>
      </c>
      <c r="BT74" s="24">
        <f t="shared" si="32"/>
        <v>0</v>
      </c>
      <c r="BU74" s="24">
        <f>IF(VLOOKUP($Q74,武学奇术!$A:$ZZ,22,FALSE)=1,0,(1-$BN74))*(1-$BQ74)</f>
        <v>0</v>
      </c>
      <c r="BV74" s="24" cm="1">
        <f t="array" ref="BV74">SUM(_xlfn.XLOOKUP($R74:$AK74,增益!$A:$A,增益!$W:$W,0))+$I$5</f>
        <v>0.06</v>
      </c>
    </row>
    <row r="75" spans="1:74">
      <c r="A75" s="4" t="s">
        <v>111</v>
      </c>
      <c r="B75" s="88">
        <v>1.16</v>
      </c>
      <c r="D75" s="39"/>
      <c r="E75" s="39"/>
      <c r="F75">
        <v>20</v>
      </c>
      <c r="K75" s="38">
        <f t="shared" si="33"/>
        <v>87061.4492129316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弹道",$B$21,0))*(1+$BV75)</f>
        <v>87556.987376853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弹道",$B$21,0))*(1+$BV75)</f>
        <v>82222.8844282919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弹道",$B$21,0))*(1+$BV75)</f>
        <v>54723.1171105331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弹道",$B$21,0))*(1+$BV75)</f>
        <v>48540.3939038129</v>
      </c>
      <c r="P75" s="39">
        <v>1</v>
      </c>
      <c r="Q75" s="40" t="s">
        <v>134</v>
      </c>
      <c r="R75" s="40" t="s">
        <v>97</v>
      </c>
      <c r="S75" s="40" t="s">
        <v>176</v>
      </c>
      <c r="T75" s="40" t="s">
        <v>78</v>
      </c>
      <c r="U75" s="40" t="s">
        <v>90</v>
      </c>
      <c r="V75" s="40" t="s">
        <v>78</v>
      </c>
      <c r="W75" s="40" t="s">
        <v>78</v>
      </c>
      <c r="X75" s="40" t="s">
        <v>78</v>
      </c>
      <c r="Y75" s="40" t="s">
        <v>78</v>
      </c>
      <c r="Z75" s="40" t="s">
        <v>78</v>
      </c>
      <c r="AA75" s="40" t="s">
        <v>78</v>
      </c>
      <c r="AB75" s="40" t="s">
        <v>84</v>
      </c>
      <c r="AC75" s="40" t="s">
        <v>78</v>
      </c>
      <c r="AD75" s="40" t="s">
        <v>78</v>
      </c>
      <c r="AE75" s="40" t="s">
        <v>78</v>
      </c>
      <c r="AF75" s="40" t="s">
        <v>117</v>
      </c>
      <c r="AG75" s="40" t="s">
        <v>78</v>
      </c>
      <c r="AH75" s="40" t="s">
        <v>78</v>
      </c>
      <c r="AI75" s="40" t="s">
        <v>78</v>
      </c>
      <c r="AJ75" s="40" t="s">
        <v>78</v>
      </c>
      <c r="AK75" s="40" t="s">
        <v>78</v>
      </c>
      <c r="AL75" t="str">
        <f>VLOOKUP($Q75,武学奇术!$A:$ZZ,25,FALSE)</f>
        <v>单体奇术</v>
      </c>
      <c r="AM75" s="24">
        <f>VLOOKUP($Q75,武学奇术!$A:$ZZ,26,FALSE)</f>
        <v>3.9863</v>
      </c>
      <c r="AN75" s="25">
        <f>VLOOKUP($Q75,武学奇术!$A:$ZZ,27,FALSE)*(1+IF(OR($AL75=$F$4,$AL75=$F$5),$B$22,0))</f>
        <v>778</v>
      </c>
      <c r="AO75" s="24">
        <f>VLOOKUP($Q75,武学奇术!$A:$ZZ,28,FALSE)</f>
        <v>5.97945</v>
      </c>
      <c r="AP75" s="25">
        <f>VLOOKUP($Q75,武学奇术!$A:$ZZ,29,FALSE)*(1+IF(OR($AL75=$F$4,$AL75=$F$5),$B$22,0))</f>
        <v>0</v>
      </c>
      <c r="AQ75" s="24" cm="1">
        <f t="array" ref="AQ75">$G$3+IFERROR(VLOOKUP($AL75,$F$4:$G$7,2,FALSE),0)+VLOOKUP($Q75,武学奇术!$A:$ZZ,2,FALSE)+SUM(_xlfn.XLOOKUP($R75:$AK75,增益!$A:$A,增益!$B:$B,0))</f>
        <v>0.7415</v>
      </c>
      <c r="AR75" s="24" cm="1">
        <f t="array" ref="AR75">VLOOKUP($Q75,武学奇术!$A:$ZZ,5,FALSE)+SUM(_xlfn.XLOOKUP($R75:$AK75,增益!$A:$A,增益!$E:$E,0))</f>
        <v>0.075</v>
      </c>
      <c r="AS75" cm="1">
        <f t="array" ref="AS75">$D$10*(1+$AR75)+VLOOKUP($Q75,武学奇术!$A:$ZZ,3,FALSE)+SUM(_xlfn.XLOOKUP($R75:$AK75,增益!$A:$A,增益!$C:$C,0))-$I$2</f>
        <v>4100.3171</v>
      </c>
      <c r="AT75" cm="1">
        <f t="array" ref="AT75">$E$10*(1+$AR75)+VLOOKUP($Q75,武学奇术!$A:$ZZ,4,FALSE)+SUM(_xlfn.XLOOKUP($R75:$AK75,增益!$A:$A,增益!$D:$D,0))-$I$2</f>
        <v>4100.3171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0.2925</v>
      </c>
      <c r="AV75" s="32" cm="1">
        <f t="array" ref="AV75">$G$10+VLOOKUP($Q75,武学奇术!$A:$ZZ,7,FALSE)+SUM(_xlfn.XLOOKUP($R75:$AK75,增益!$A:$A,增益!$G:$G,0))</f>
        <v>0</v>
      </c>
      <c r="AW75" s="24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2" cm="1">
        <f t="array" ref="BA75">$G$11+VLOOKUP($Q75,武学奇术!$A:$ZZ,10,FALSE)+SUM(_xlfn.XLOOKUP($R75:$AK75,增益!$A:$A,增益!$J:$J,0))</f>
        <v>0</v>
      </c>
      <c r="BB75">
        <f t="shared" si="25"/>
        <v>0</v>
      </c>
      <c r="BC75">
        <f t="shared" si="26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-0.3</v>
      </c>
      <c r="BE75" s="32" cm="1">
        <f t="array" ref="BE75">$G$12+VLOOKUP($Q75,武学奇术!$A:$ZZ,12,FALSE)+SUM(_xlfn.XLOOKUP($R75:$AK75,增益!$A:$A,增益!$L:$L,0))</f>
        <v>0</v>
      </c>
      <c r="BF75">
        <f t="shared" si="27"/>
        <v>605.472</v>
      </c>
      <c r="BG75">
        <f t="shared" si="28"/>
        <v>1579.612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</v>
      </c>
      <c r="BI75" s="32" cm="1">
        <f t="array" ref="BI75">$G$13+VLOOKUP($Q75,武学奇术!$A:$ZZ,14,FALSE)+SUM(_xlfn.XLOOKUP($R75:$AK75,增益!$A:$A,增益!$N:$N,0))</f>
        <v>0.15</v>
      </c>
      <c r="BJ75">
        <f t="shared" si="29"/>
        <v>0</v>
      </c>
      <c r="BK75">
        <f t="shared" si="30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2" cm="1">
        <f t="array" ref="BM75">$G$14+VLOOKUP($Q75,武学奇术!$A:$ZZ,16,FALSE)+SUM(_xlfn.XLOOKUP($R75:$AK75,增益!$A:$A,增益!$P:$P,0))</f>
        <v>0</v>
      </c>
      <c r="BN75" s="24">
        <f>MIN(IF(VLOOKUP($Q75,武学奇术!$A:$ZZ,23,FALSE)=1,100%,$B$8),100%)</f>
        <v>1</v>
      </c>
      <c r="BO75" s="24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0.9093</v>
      </c>
      <c r="BP75" s="24" cm="1">
        <f t="array" ref="BP75">1+$B$13+VLOOKUP($Q75,武学奇术!$A:$ZZ,18,FALSE)+SUM(_xlfn.XLOOKUP($R75:$AK75,增益!$A:$A,增益!$R:$R,0))</f>
        <v>1.6</v>
      </c>
      <c r="BQ75" s="24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4" cm="1">
        <f t="array" ref="BR75">1+$B$14+VLOOKUP($Q75,武学奇术!$A:$ZZ,20,FALSE)+SUM(_xlfn.XLOOKUP($R75:$AK75,增益!$A:$A,增益!$T:$T,0))</f>
        <v>1.35</v>
      </c>
      <c r="BS75" s="24">
        <f t="shared" si="31"/>
        <v>0.9071</v>
      </c>
      <c r="BT75" s="24">
        <f t="shared" si="32"/>
        <v>0</v>
      </c>
      <c r="BU75" s="24">
        <f>IF(VLOOKUP($Q75,武学奇术!$A:$ZZ,22,FALSE)=1,0,(1-$BN75))*(1-$BQ75)</f>
        <v>0</v>
      </c>
      <c r="BV75" s="24" cm="1">
        <f t="array" ref="BV75">SUM(_xlfn.XLOOKUP($R75:$AK75,增益!$A:$A,增益!$W:$W,0))+$I$5</f>
        <v>0.06</v>
      </c>
    </row>
    <row r="76" spans="1:74">
      <c r="A76" s="4" t="s">
        <v>163</v>
      </c>
      <c r="B76" s="4">
        <v>2.1</v>
      </c>
      <c r="D76" s="39"/>
      <c r="E76" s="39"/>
      <c r="F76">
        <v>-24</v>
      </c>
      <c r="K76" s="38">
        <f t="shared" si="33"/>
        <v>56694.5951680896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弹道",$B$21,0))*(1+$BV76)</f>
        <v>57017.2682933122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弹道",$B$21,0))*(1+$BV76)</f>
        <v>53543.9300239626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弹道",$B$21,0))*(1+$BV76)</f>
        <v>35635.7926833201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弹道",$B$21,0))*(1+$BV76)</f>
        <v>31609.4149785198</v>
      </c>
      <c r="P76" s="39">
        <v>11</v>
      </c>
      <c r="Q76" s="40" t="s">
        <v>137</v>
      </c>
      <c r="R76" s="40" t="s">
        <v>97</v>
      </c>
      <c r="S76" s="40" t="s">
        <v>176</v>
      </c>
      <c r="T76" s="40" t="s">
        <v>78</v>
      </c>
      <c r="U76" s="40" t="s">
        <v>90</v>
      </c>
      <c r="V76" s="40" t="s">
        <v>78</v>
      </c>
      <c r="W76" s="40" t="s">
        <v>78</v>
      </c>
      <c r="X76" s="40" t="s">
        <v>78</v>
      </c>
      <c r="Y76" s="40" t="s">
        <v>78</v>
      </c>
      <c r="Z76" s="40" t="s">
        <v>78</v>
      </c>
      <c r="AA76" s="40" t="s">
        <v>78</v>
      </c>
      <c r="AB76" s="40" t="s">
        <v>84</v>
      </c>
      <c r="AC76" s="40" t="s">
        <v>78</v>
      </c>
      <c r="AD76" s="40" t="s">
        <v>78</v>
      </c>
      <c r="AE76" s="40" t="s">
        <v>138</v>
      </c>
      <c r="AF76" s="40" t="s">
        <v>117</v>
      </c>
      <c r="AG76" s="40" t="s">
        <v>78</v>
      </c>
      <c r="AH76" s="40" t="s">
        <v>78</v>
      </c>
      <c r="AI76" s="40" t="s">
        <v>78</v>
      </c>
      <c r="AJ76" s="40" t="s">
        <v>78</v>
      </c>
      <c r="AK76" s="40" t="s">
        <v>78</v>
      </c>
      <c r="AL76" t="str">
        <f>VLOOKUP($Q76,武学奇术!$A:$ZZ,25,FALSE)</f>
        <v>单体奇术</v>
      </c>
      <c r="AM76" s="24">
        <f>VLOOKUP($Q76,武学奇术!$A:$ZZ,26,FALSE)</f>
        <v>0.236</v>
      </c>
      <c r="AN76" s="25">
        <f>VLOOKUP($Q76,武学奇术!$A:$ZZ,27,FALSE)*(1+IF(OR($AL76=$F$4,$AL76=$F$5),$B$22,0))</f>
        <v>46</v>
      </c>
      <c r="AO76" s="24">
        <f>VLOOKUP($Q76,武学奇术!$A:$ZZ,28,FALSE)</f>
        <v>0.354</v>
      </c>
      <c r="AP76" s="25">
        <f>VLOOKUP($Q76,武学奇术!$A:$ZZ,29,FALSE)*(1+IF(OR($AL76=$F$4,$AL76=$F$5),$B$22,0))</f>
        <v>0</v>
      </c>
      <c r="AQ76" s="24" cm="1">
        <f t="array" ref="AQ76">$G$3+IFERROR(VLOOKUP($AL76,$F$4:$G$7,2,FALSE),0)+VLOOKUP($Q76,武学奇术!$A:$ZZ,2,FALSE)+SUM(_xlfn.XLOOKUP($R76:$AK76,增益!$A:$A,增益!$B:$B,0))</f>
        <v>0.7415</v>
      </c>
      <c r="AR76" s="24" cm="1">
        <f t="array" ref="AR76">VLOOKUP($Q76,武学奇术!$A:$ZZ,5,FALSE)+SUM(_xlfn.XLOOKUP($R76:$AK76,增益!$A:$A,增益!$E:$E,0))</f>
        <v>0.075</v>
      </c>
      <c r="AS76" cm="1">
        <f t="array" ref="AS76">$D$10*(1+$AR76)+VLOOKUP($Q76,武学奇术!$A:$ZZ,3,FALSE)+SUM(_xlfn.XLOOKUP($R76:$AK76,增益!$A:$A,增益!$C:$C,0))-$I$2</f>
        <v>4100.3171</v>
      </c>
      <c r="AT76" cm="1">
        <f t="array" ref="AT76">$E$10*(1+$AR76)+VLOOKUP($Q76,武学奇术!$A:$ZZ,4,FALSE)+SUM(_xlfn.XLOOKUP($R76:$AK76,增益!$A:$A,增益!$D:$D,0))-$I$2</f>
        <v>4100.3171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0.2925</v>
      </c>
      <c r="AV76" s="32" cm="1">
        <f t="array" ref="AV76">$G$10+VLOOKUP($Q76,武学奇术!$A:$ZZ,7,FALSE)+SUM(_xlfn.XLOOKUP($R76:$AK76,增益!$A:$A,增益!$G:$G,0))</f>
        <v>0</v>
      </c>
      <c r="AW76" s="24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2" cm="1">
        <f t="array" ref="BA76">$G$11+VLOOKUP($Q76,武学奇术!$A:$ZZ,10,FALSE)+SUM(_xlfn.XLOOKUP($R76:$AK76,增益!$A:$A,增益!$J:$J,0))</f>
        <v>0</v>
      </c>
      <c r="BB76">
        <f t="shared" si="25"/>
        <v>0</v>
      </c>
      <c r="BC76">
        <f t="shared" si="26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-0.3</v>
      </c>
      <c r="BE76" s="32" cm="1">
        <f t="array" ref="BE76">$G$12+VLOOKUP($Q76,武学奇术!$A:$ZZ,12,FALSE)+SUM(_xlfn.XLOOKUP($R76:$AK76,增益!$A:$A,增益!$L:$L,0))</f>
        <v>0</v>
      </c>
      <c r="BF76">
        <f t="shared" si="27"/>
        <v>605.472</v>
      </c>
      <c r="BG76">
        <f t="shared" si="28"/>
        <v>1579.612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</v>
      </c>
      <c r="BI76" s="32" cm="1">
        <f t="array" ref="BI76">$G$13+VLOOKUP($Q76,武学奇术!$A:$ZZ,14,FALSE)+SUM(_xlfn.XLOOKUP($R76:$AK76,增益!$A:$A,增益!$N:$N,0))</f>
        <v>0.15</v>
      </c>
      <c r="BJ76">
        <f t="shared" si="29"/>
        <v>0</v>
      </c>
      <c r="BK76">
        <f t="shared" si="30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2" cm="1">
        <f t="array" ref="BM76">$G$14+VLOOKUP($Q76,武学奇术!$A:$ZZ,16,FALSE)+SUM(_xlfn.XLOOKUP($R76:$AK76,增益!$A:$A,增益!$P:$P,0))</f>
        <v>0</v>
      </c>
      <c r="BN76" s="24">
        <f>MIN(IF(VLOOKUP($Q76,武学奇术!$A:$ZZ,23,FALSE)=1,100%,$B$8),100%)</f>
        <v>1</v>
      </c>
      <c r="BO76" s="24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0.9093</v>
      </c>
      <c r="BP76" s="24" cm="1">
        <f t="array" ref="BP76">1+$B$13+VLOOKUP($Q76,武学奇术!$A:$ZZ,18,FALSE)+SUM(_xlfn.XLOOKUP($R76:$AK76,增益!$A:$A,增益!$R:$R,0))</f>
        <v>1.6</v>
      </c>
      <c r="BQ76" s="24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4" cm="1">
        <f t="array" ref="BR76">1+$B$14+VLOOKUP($Q76,武学奇术!$A:$ZZ,20,FALSE)+SUM(_xlfn.XLOOKUP($R76:$AK76,增益!$A:$A,增益!$T:$T,0))</f>
        <v>1.35</v>
      </c>
      <c r="BS76" s="24">
        <f t="shared" si="31"/>
        <v>0.9071</v>
      </c>
      <c r="BT76" s="24">
        <f t="shared" si="32"/>
        <v>0</v>
      </c>
      <c r="BU76" s="24">
        <f>IF(VLOOKUP($Q76,武学奇术!$A:$ZZ,22,FALSE)=1,0,(1-$BN76))*(1-$BQ76)</f>
        <v>0</v>
      </c>
      <c r="BV76" s="24" cm="1">
        <f t="array" ref="BV76">SUM(_xlfn.XLOOKUP($R76:$AK76,增益!$A:$A,增益!$W:$W,0))+$I$5</f>
        <v>0.06</v>
      </c>
    </row>
    <row r="77" spans="1:74">
      <c r="A77" s="4" t="s">
        <v>193</v>
      </c>
      <c r="B77" s="88">
        <v>2</v>
      </c>
      <c r="E77" s="39"/>
      <c r="F77">
        <v>-15</v>
      </c>
      <c r="K77" s="38">
        <f t="shared" si="33"/>
        <v>63105.7629064419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弹道",$B$21,0))*(1+$BV77)</f>
        <v>64260.1517809025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弹道",$B$21,0))*(1+$BV77)</f>
        <v>51834.0067382698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弹道",$B$21,0))*(1+$BV77)</f>
        <v>34735.2171788662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弹道",$B$21,0))*(1+$BV77)</f>
        <v>31074.8738108659</v>
      </c>
      <c r="P77" s="39">
        <v>10</v>
      </c>
      <c r="Q77" s="40" t="s">
        <v>137</v>
      </c>
      <c r="R77" s="40" t="s">
        <v>97</v>
      </c>
      <c r="S77" s="40" t="s">
        <v>176</v>
      </c>
      <c r="T77" s="40" t="s">
        <v>78</v>
      </c>
      <c r="U77" s="40" t="s">
        <v>90</v>
      </c>
      <c r="V77" s="40" t="s">
        <v>78</v>
      </c>
      <c r="W77" s="40" t="s">
        <v>78</v>
      </c>
      <c r="X77" s="40" t="s">
        <v>78</v>
      </c>
      <c r="Y77" s="40" t="s">
        <v>151</v>
      </c>
      <c r="Z77" s="40" t="s">
        <v>78</v>
      </c>
      <c r="AA77" s="40" t="s">
        <v>78</v>
      </c>
      <c r="AB77" s="40" t="s">
        <v>84</v>
      </c>
      <c r="AC77" s="40" t="s">
        <v>78</v>
      </c>
      <c r="AD77" s="40" t="s">
        <v>78</v>
      </c>
      <c r="AE77" s="40" t="s">
        <v>138</v>
      </c>
      <c r="AF77" s="40" t="s">
        <v>117</v>
      </c>
      <c r="AG77" s="40" t="s">
        <v>78</v>
      </c>
      <c r="AH77" s="40" t="s">
        <v>78</v>
      </c>
      <c r="AI77" s="40" t="s">
        <v>78</v>
      </c>
      <c r="AJ77" s="40" t="s">
        <v>78</v>
      </c>
      <c r="AK77" s="40" t="s">
        <v>78</v>
      </c>
      <c r="AL77" t="str">
        <f>VLOOKUP($Q77,武学奇术!$A:$ZZ,25,FALSE)</f>
        <v>单体奇术</v>
      </c>
      <c r="AM77" s="24">
        <f>VLOOKUP($Q77,武学奇术!$A:$ZZ,26,FALSE)</f>
        <v>0.236</v>
      </c>
      <c r="AN77" s="25">
        <f>VLOOKUP($Q77,武学奇术!$A:$ZZ,27,FALSE)*(1+IF(OR($AL77=$F$4,$AL77=$F$5),$B$22,0))</f>
        <v>46</v>
      </c>
      <c r="AO77" s="24">
        <f>VLOOKUP($Q77,武学奇术!$A:$ZZ,28,FALSE)</f>
        <v>0.354</v>
      </c>
      <c r="AP77" s="25">
        <f>VLOOKUP($Q77,武学奇术!$A:$ZZ,29,FALSE)*(1+IF(OR($AL77=$F$4,$AL77=$F$5),$B$22,0))</f>
        <v>0</v>
      </c>
      <c r="AQ77" s="24" cm="1">
        <f t="array" ref="AQ77">$G$3+IFERROR(VLOOKUP($AL77,$F$4:$G$7,2,FALSE),0)+VLOOKUP($Q77,武学奇术!$A:$ZZ,2,FALSE)+SUM(_xlfn.XLOOKUP($R77:$AK77,增益!$A:$A,增益!$B:$B,0))</f>
        <v>0.7415</v>
      </c>
      <c r="AR77" s="24" cm="1">
        <f t="array" ref="AR77">VLOOKUP($Q77,武学奇术!$A:$ZZ,5,FALSE)+SUM(_xlfn.XLOOKUP($R77:$AK77,增益!$A:$A,增益!$E:$E,0))</f>
        <v>0.075</v>
      </c>
      <c r="AS77" cm="1">
        <f t="array" ref="AS77">$D$10*(1+$AR77)+VLOOKUP($Q77,武学奇术!$A:$ZZ,3,FALSE)+SUM(_xlfn.XLOOKUP($R77:$AK77,增益!$A:$A,增益!$C:$C,0))-$I$2</f>
        <v>4100.3171</v>
      </c>
      <c r="AT77" cm="1">
        <f t="array" ref="AT77">$E$10*(1+$AR77)+VLOOKUP($Q77,武学奇术!$A:$ZZ,4,FALSE)+SUM(_xlfn.XLOOKUP($R77:$AK77,增益!$A:$A,增益!$D:$D,0))-$I$2</f>
        <v>4100.3171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0.4175</v>
      </c>
      <c r="AV77" s="32" cm="1">
        <f t="array" ref="AV77">$G$10+VLOOKUP($Q77,武学奇术!$A:$ZZ,7,FALSE)+SUM(_xlfn.XLOOKUP($R77:$AK77,增益!$A:$A,增益!$G:$G,0))</f>
        <v>0</v>
      </c>
      <c r="AW77" s="24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2" cm="1">
        <f t="array" ref="BA77">$G$11+VLOOKUP($Q77,武学奇术!$A:$ZZ,10,FALSE)+SUM(_xlfn.XLOOKUP($R77:$AK77,增益!$A:$A,增益!$J:$J,0))</f>
        <v>0</v>
      </c>
      <c r="BB77">
        <f t="shared" si="25"/>
        <v>0</v>
      </c>
      <c r="BC77">
        <f t="shared" si="26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-0.3</v>
      </c>
      <c r="BE77" s="32" cm="1">
        <f t="array" ref="BE77">$G$12+VLOOKUP($Q77,武学奇术!$A:$ZZ,12,FALSE)+SUM(_xlfn.XLOOKUP($R77:$AK77,增益!$A:$A,增益!$L:$L,0))</f>
        <v>0</v>
      </c>
      <c r="BF77">
        <f t="shared" si="27"/>
        <v>605.472</v>
      </c>
      <c r="BG77">
        <f t="shared" si="28"/>
        <v>1579.612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</v>
      </c>
      <c r="BI77" s="32" cm="1">
        <f t="array" ref="BI77">$G$13+VLOOKUP($Q77,武学奇术!$A:$ZZ,14,FALSE)+SUM(_xlfn.XLOOKUP($R77:$AK77,增益!$A:$A,增益!$N:$N,0))</f>
        <v>0.15</v>
      </c>
      <c r="BJ77">
        <f t="shared" si="29"/>
        <v>0</v>
      </c>
      <c r="BK77">
        <f t="shared" si="30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2" cm="1">
        <f t="array" ref="BM77">$G$14+VLOOKUP($Q77,武学奇术!$A:$ZZ,16,FALSE)+SUM(_xlfn.XLOOKUP($R77:$AK77,增益!$A:$A,增益!$P:$P,0))</f>
        <v>0</v>
      </c>
      <c r="BN77" s="24">
        <f>MIN(IF(VLOOKUP($Q77,武学奇术!$A:$ZZ,23,FALSE)=1,100%,$B$8),100%)</f>
        <v>1</v>
      </c>
      <c r="BO77" s="24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0.9093</v>
      </c>
      <c r="BP77" s="24" cm="1">
        <f t="array" ref="BP77">1+$B$13+VLOOKUP($Q77,武学奇术!$A:$ZZ,18,FALSE)+SUM(_xlfn.XLOOKUP($R77:$AK77,增益!$A:$A,增益!$R:$R,0))</f>
        <v>1.85</v>
      </c>
      <c r="BQ77" s="24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4" cm="1">
        <f t="array" ref="BR77">1+$B$14+VLOOKUP($Q77,武学奇术!$A:$ZZ,20,FALSE)+SUM(_xlfn.XLOOKUP($R77:$AK77,增益!$A:$A,增益!$T:$T,0))</f>
        <v>1.35</v>
      </c>
      <c r="BS77" s="24">
        <f t="shared" si="31"/>
        <v>0.9071</v>
      </c>
      <c r="BT77" s="24">
        <f t="shared" si="32"/>
        <v>0</v>
      </c>
      <c r="BU77" s="24">
        <f>IF(VLOOKUP($Q77,武学奇术!$A:$ZZ,22,FALSE)=1,0,(1-$BN77))*(1-$BQ77)</f>
        <v>0</v>
      </c>
      <c r="BV77" s="24" cm="1">
        <f t="array" ref="BV77">SUM(_xlfn.XLOOKUP($R77:$AK77,增益!$A:$A,增益!$W:$W,0))+$I$5</f>
        <v>0.06</v>
      </c>
    </row>
    <row r="78" spans="1:74">
      <c r="A78" s="4" t="s">
        <v>163</v>
      </c>
      <c r="B78" s="4">
        <v>2.1</v>
      </c>
      <c r="F78">
        <v>-24</v>
      </c>
      <c r="K78" s="38">
        <f t="shared" si="33"/>
        <v>8887.52482393825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弹道",$B$21,0))*(1+$BV78)</f>
        <v>8938.10751884825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弹道",$B$21,0))*(1+$BV78)</f>
        <v>8393.62210539293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弹道",$B$21,0))*(1+$BV78)</f>
        <v>5586.31719928016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弹道",$B$21,0))*(1+$BV78)</f>
        <v>4955.1365427137</v>
      </c>
      <c r="P78" s="39">
        <v>2</v>
      </c>
      <c r="Q78" s="40" t="s">
        <v>137</v>
      </c>
      <c r="R78" s="40" t="s">
        <v>97</v>
      </c>
      <c r="S78" s="40" t="s">
        <v>176</v>
      </c>
      <c r="T78" s="40" t="s">
        <v>78</v>
      </c>
      <c r="U78" s="40" t="s">
        <v>90</v>
      </c>
      <c r="V78" s="40" t="s">
        <v>78</v>
      </c>
      <c r="W78" s="40" t="s">
        <v>78</v>
      </c>
      <c r="X78" s="40" t="s">
        <v>78</v>
      </c>
      <c r="Y78" s="40" t="s">
        <v>78</v>
      </c>
      <c r="Z78" s="40" t="s">
        <v>78</v>
      </c>
      <c r="AA78" s="40" t="s">
        <v>78</v>
      </c>
      <c r="AB78" s="40" t="s">
        <v>84</v>
      </c>
      <c r="AC78" s="40" t="s">
        <v>78</v>
      </c>
      <c r="AD78" s="40" t="s">
        <v>78</v>
      </c>
      <c r="AE78" s="40" t="s">
        <v>138</v>
      </c>
      <c r="AF78" s="40" t="s">
        <v>78</v>
      </c>
      <c r="AG78" s="40" t="s">
        <v>78</v>
      </c>
      <c r="AH78" s="40" t="s">
        <v>78</v>
      </c>
      <c r="AI78" s="40" t="s">
        <v>78</v>
      </c>
      <c r="AJ78" s="40" t="s">
        <v>78</v>
      </c>
      <c r="AK78" s="40" t="s">
        <v>78</v>
      </c>
      <c r="AL78" t="str">
        <f>VLOOKUP($Q78,武学奇术!$A:$ZZ,25,FALSE)</f>
        <v>单体奇术</v>
      </c>
      <c r="AM78" s="24">
        <f>VLOOKUP($Q78,武学奇术!$A:$ZZ,26,FALSE)</f>
        <v>0.236</v>
      </c>
      <c r="AN78" s="25">
        <f>VLOOKUP($Q78,武学奇术!$A:$ZZ,27,FALSE)*(1+IF(OR($AL78=$F$4,$AL78=$F$5),$B$22,0))</f>
        <v>46</v>
      </c>
      <c r="AO78" s="24">
        <f>VLOOKUP($Q78,武学奇术!$A:$ZZ,28,FALSE)</f>
        <v>0.354</v>
      </c>
      <c r="AP78" s="25">
        <f>VLOOKUP($Q78,武学奇术!$A:$ZZ,29,FALSE)*(1+IF(OR($AL78=$F$4,$AL78=$F$5),$B$22,0))</f>
        <v>0</v>
      </c>
      <c r="AQ78" s="24" cm="1">
        <f t="array" ref="AQ78">$G$3+IFERROR(VLOOKUP($AL78,$F$4:$G$7,2,FALSE),0)+VLOOKUP($Q78,武学奇术!$A:$ZZ,2,FALSE)+SUM(_xlfn.XLOOKUP($R78:$AK78,增益!$A:$A,增益!$B:$B,0))</f>
        <v>0.5015</v>
      </c>
      <c r="AR78" s="24" cm="1">
        <f t="array" ref="AR78">VLOOKUP($Q78,武学奇术!$A:$ZZ,5,FALSE)+SUM(_xlfn.XLOOKUP($R78:$AK78,增益!$A:$A,增益!$E:$E,0))</f>
        <v>0.075</v>
      </c>
      <c r="AS78" cm="1">
        <f t="array" ref="AS78">$D$10*(1+$AR78)+VLOOKUP($Q78,武学奇术!$A:$ZZ,3,FALSE)+SUM(_xlfn.XLOOKUP($R78:$AK78,增益!$A:$A,增益!$C:$C,0))-$I$2</f>
        <v>4100.3171</v>
      </c>
      <c r="AT78" cm="1">
        <f t="array" ref="AT78">$E$10*(1+$AR78)+VLOOKUP($Q78,武学奇术!$A:$ZZ,4,FALSE)+SUM(_xlfn.XLOOKUP($R78:$AK78,增益!$A:$A,增益!$D:$D,0))-$I$2</f>
        <v>4100.3171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0.2925</v>
      </c>
      <c r="AV78" s="32" cm="1">
        <f t="array" ref="AV78">$G$10+VLOOKUP($Q78,武学奇术!$A:$ZZ,7,FALSE)+SUM(_xlfn.XLOOKUP($R78:$AK78,增益!$A:$A,增益!$G:$G,0))</f>
        <v>0</v>
      </c>
      <c r="AW78" s="24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2" cm="1">
        <f t="array" ref="BA78">$G$11+VLOOKUP($Q78,武学奇术!$A:$ZZ,10,FALSE)+SUM(_xlfn.XLOOKUP($R78:$AK78,增益!$A:$A,增益!$J:$J,0))</f>
        <v>0</v>
      </c>
      <c r="BB78">
        <f t="shared" si="25"/>
        <v>0</v>
      </c>
      <c r="BC78">
        <f t="shared" si="26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-0.3</v>
      </c>
      <c r="BE78" s="32" cm="1">
        <f t="array" ref="BE78">$G$12+VLOOKUP($Q78,武学奇术!$A:$ZZ,12,FALSE)+SUM(_xlfn.XLOOKUP($R78:$AK78,增益!$A:$A,增益!$L:$L,0))</f>
        <v>0</v>
      </c>
      <c r="BF78">
        <f t="shared" si="27"/>
        <v>605.472</v>
      </c>
      <c r="BG78">
        <f t="shared" si="28"/>
        <v>1579.612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</v>
      </c>
      <c r="BI78" s="32" cm="1">
        <f t="array" ref="BI78">$G$13+VLOOKUP($Q78,武学奇术!$A:$ZZ,14,FALSE)+SUM(_xlfn.XLOOKUP($R78:$AK78,增益!$A:$A,增益!$N:$N,0))</f>
        <v>0.15</v>
      </c>
      <c r="BJ78">
        <f t="shared" si="29"/>
        <v>0</v>
      </c>
      <c r="BK78">
        <f t="shared" si="30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2" cm="1">
        <f t="array" ref="BM78">$G$14+VLOOKUP($Q78,武学奇术!$A:$ZZ,16,FALSE)+SUM(_xlfn.XLOOKUP($R78:$AK78,增益!$A:$A,增益!$P:$P,0))</f>
        <v>0</v>
      </c>
      <c r="BN78" s="24">
        <f>MIN(IF(VLOOKUP($Q78,武学奇术!$A:$ZZ,23,FALSE)=1,100%,$B$8),100%)</f>
        <v>1</v>
      </c>
      <c r="BO78" s="24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0.9093</v>
      </c>
      <c r="BP78" s="24" cm="1">
        <f t="array" ref="BP78">1+$B$13+VLOOKUP($Q78,武学奇术!$A:$ZZ,18,FALSE)+SUM(_xlfn.XLOOKUP($R78:$AK78,增益!$A:$A,增益!$R:$R,0))</f>
        <v>1.6</v>
      </c>
      <c r="BQ78" s="24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4" cm="1">
        <f t="array" ref="BR78">1+$B$14+VLOOKUP($Q78,武学奇术!$A:$ZZ,20,FALSE)+SUM(_xlfn.XLOOKUP($R78:$AK78,增益!$A:$A,增益!$T:$T,0))</f>
        <v>1.35</v>
      </c>
      <c r="BS78" s="24">
        <f t="shared" si="31"/>
        <v>0.9071</v>
      </c>
      <c r="BT78" s="24">
        <f t="shared" si="32"/>
        <v>0</v>
      </c>
      <c r="BU78" s="24">
        <f>IF(VLOOKUP($Q78,武学奇术!$A:$ZZ,22,FALSE)=1,0,(1-$BN78))*(1-$BQ78)</f>
        <v>0</v>
      </c>
      <c r="BV78" s="24" cm="1">
        <f t="array" ref="BV78">SUM(_xlfn.XLOOKUP($R78:$AK78,增益!$A:$A,增益!$W:$W,0))+$I$5</f>
        <v>0.06</v>
      </c>
    </row>
    <row r="79" spans="1:74">
      <c r="A79" s="4"/>
      <c r="B79" s="4"/>
      <c r="K79" s="38">
        <f t="shared" si="33"/>
        <v>89390.899142442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弹道",$B$21,0))*(1+$BV79)</f>
        <v>89899.1748275991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弹道",$B$21,0))*(1+$BV79)</f>
        <v>84427.9618549714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弹道",$B$21,0))*(1+$BV79)</f>
        <v>56186.9842672494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弹道",$B$21,0))*(1+$BV79)</f>
        <v>49834.7375308164</v>
      </c>
      <c r="P79" s="39">
        <v>4</v>
      </c>
      <c r="Q79" s="40" t="s">
        <v>153</v>
      </c>
      <c r="R79" s="40" t="s">
        <v>97</v>
      </c>
      <c r="S79" s="40" t="s">
        <v>176</v>
      </c>
      <c r="T79" s="40" t="s">
        <v>78</v>
      </c>
      <c r="U79" s="40" t="s">
        <v>90</v>
      </c>
      <c r="V79" s="40" t="s">
        <v>78</v>
      </c>
      <c r="W79" s="40" t="s">
        <v>78</v>
      </c>
      <c r="X79" s="40" t="s">
        <v>78</v>
      </c>
      <c r="Y79" s="40" t="s">
        <v>78</v>
      </c>
      <c r="Z79" s="40" t="s">
        <v>78</v>
      </c>
      <c r="AA79" s="40" t="s">
        <v>78</v>
      </c>
      <c r="AB79" s="40" t="s">
        <v>84</v>
      </c>
      <c r="AC79" s="40" t="s">
        <v>78</v>
      </c>
      <c r="AD79" s="40" t="s">
        <v>78</v>
      </c>
      <c r="AE79" s="40" t="s">
        <v>78</v>
      </c>
      <c r="AF79" s="40" t="s">
        <v>117</v>
      </c>
      <c r="AG79" s="40" t="s">
        <v>78</v>
      </c>
      <c r="AH79" s="40" t="s">
        <v>78</v>
      </c>
      <c r="AI79" s="40" t="s">
        <v>78</v>
      </c>
      <c r="AJ79" s="40" t="s">
        <v>78</v>
      </c>
      <c r="AK79" s="40" t="s">
        <v>78</v>
      </c>
      <c r="AL79" t="str">
        <f>VLOOKUP($Q79,武学奇术!$A:$ZZ,25,FALSE)</f>
        <v>单体奇术</v>
      </c>
      <c r="AM79" s="24">
        <f>VLOOKUP($Q79,武学奇术!$A:$ZZ,26,FALSE)</f>
        <v>1.0239</v>
      </c>
      <c r="AN79" s="25">
        <f>VLOOKUP($Q79,武学奇术!$A:$ZZ,27,FALSE)*(1+IF(OR($AL79=$F$4,$AL79=$F$5),$B$22,0))</f>
        <v>196</v>
      </c>
      <c r="AO79" s="24">
        <f>VLOOKUP($Q79,武学奇术!$A:$ZZ,28,FALSE)</f>
        <v>1.53585</v>
      </c>
      <c r="AP79" s="25">
        <f>VLOOKUP($Q79,武学奇术!$A:$ZZ,29,FALSE)*(1+IF(OR($AL79=$F$4,$AL79=$F$5),$B$22,0))</f>
        <v>0</v>
      </c>
      <c r="AQ79" s="24" cm="1">
        <f t="array" ref="AQ79">$G$3+IFERROR(VLOOKUP($AL79,$F$4:$G$7,2,FALSE),0)+VLOOKUP($Q79,武学奇术!$A:$ZZ,2,FALSE)+SUM(_xlfn.XLOOKUP($R79:$AK79,增益!$A:$A,增益!$B:$B,0))</f>
        <v>0.7415</v>
      </c>
      <c r="AR79" s="24" cm="1">
        <f t="array" ref="AR79">VLOOKUP($Q79,武学奇术!$A:$ZZ,5,FALSE)+SUM(_xlfn.XLOOKUP($R79:$AK79,增益!$A:$A,增益!$E:$E,0))</f>
        <v>0.075</v>
      </c>
      <c r="AS79" cm="1">
        <f t="array" ref="AS79">$D$10*(1+$AR79)+VLOOKUP($Q79,武学奇术!$A:$ZZ,3,FALSE)+SUM(_xlfn.XLOOKUP($R79:$AK79,增益!$A:$A,增益!$C:$C,0))-$I$2</f>
        <v>4100.3171</v>
      </c>
      <c r="AT79" cm="1">
        <f t="array" ref="AT79">$E$10*(1+$AR79)+VLOOKUP($Q79,武学奇术!$A:$ZZ,4,FALSE)+SUM(_xlfn.XLOOKUP($R79:$AK79,增益!$A:$A,增益!$D:$D,0))-$I$2</f>
        <v>4100.3171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0.2925</v>
      </c>
      <c r="AV79" s="32" cm="1">
        <f t="array" ref="AV79">$G$10+VLOOKUP($Q79,武学奇术!$A:$ZZ,7,FALSE)+SUM(_xlfn.XLOOKUP($R79:$AK79,增益!$A:$A,增益!$G:$G,0))</f>
        <v>0</v>
      </c>
      <c r="AW79" s="24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2" cm="1">
        <f t="array" ref="BA79">$G$11+VLOOKUP($Q79,武学奇术!$A:$ZZ,10,FALSE)+SUM(_xlfn.XLOOKUP($R79:$AK79,增益!$A:$A,增益!$J:$J,0))</f>
        <v>0</v>
      </c>
      <c r="BB79">
        <f t="shared" si="25"/>
        <v>0</v>
      </c>
      <c r="BC79">
        <f t="shared" si="26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2" cm="1">
        <f t="array" ref="BE79">$G$12+VLOOKUP($Q79,武学奇术!$A:$ZZ,12,FALSE)+SUM(_xlfn.XLOOKUP($R79:$AK79,增益!$A:$A,增益!$L:$L,0))</f>
        <v>0</v>
      </c>
      <c r="BF79">
        <f t="shared" si="27"/>
        <v>605.472</v>
      </c>
      <c r="BG79">
        <f t="shared" si="28"/>
        <v>1579.612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2" cm="1">
        <f t="array" ref="BI79">$G$13+VLOOKUP($Q79,武学奇术!$A:$ZZ,14,FALSE)+SUM(_xlfn.XLOOKUP($R79:$AK79,增益!$A:$A,增益!$N:$N,0))</f>
        <v>0.15</v>
      </c>
      <c r="BJ79">
        <f t="shared" si="29"/>
        <v>0</v>
      </c>
      <c r="BK79">
        <f t="shared" si="30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2" cm="1">
        <f t="array" ref="BM79">$G$14+VLOOKUP($Q79,武学奇术!$A:$ZZ,16,FALSE)+SUM(_xlfn.XLOOKUP($R79:$AK79,增益!$A:$A,增益!$P:$P,0))</f>
        <v>0</v>
      </c>
      <c r="BN79" s="24">
        <f>MIN(IF(VLOOKUP($Q79,武学奇术!$A:$ZZ,23,FALSE)=1,100%,$B$8),100%)</f>
        <v>1</v>
      </c>
      <c r="BO79" s="24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0.9093</v>
      </c>
      <c r="BP79" s="24" cm="1">
        <f t="array" ref="BP79">1+$B$13+VLOOKUP($Q79,武学奇术!$A:$ZZ,18,FALSE)+SUM(_xlfn.XLOOKUP($R79:$AK79,增益!$A:$A,增益!$R:$R,0))</f>
        <v>1.6</v>
      </c>
      <c r="BQ79" s="24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4" cm="1">
        <f t="array" ref="BR79">1+$B$14+VLOOKUP($Q79,武学奇术!$A:$ZZ,20,FALSE)+SUM(_xlfn.XLOOKUP($R79:$AK79,增益!$A:$A,增益!$T:$T,0))</f>
        <v>1.35</v>
      </c>
      <c r="BS79" s="24">
        <f t="shared" si="31"/>
        <v>0.9071</v>
      </c>
      <c r="BT79" s="24">
        <f t="shared" si="32"/>
        <v>0</v>
      </c>
      <c r="BU79" s="24">
        <f>IF(VLOOKUP($Q79,武学奇术!$A:$ZZ,22,FALSE)=1,0,(1-$BN79))*(1-$BQ79)</f>
        <v>0</v>
      </c>
      <c r="BV79" s="24" cm="1">
        <f t="array" ref="BV79">SUM(_xlfn.XLOOKUP($R79:$AK79,增益!$A:$A,增益!$W:$W,0))+$I$5</f>
        <v>0.06</v>
      </c>
    </row>
    <row r="80" spans="1:74">
      <c r="A80" s="4" t="s">
        <v>191</v>
      </c>
      <c r="B80" s="4">
        <v>30</v>
      </c>
      <c r="F80">
        <v>50</v>
      </c>
      <c r="H80">
        <v>6</v>
      </c>
      <c r="K80" s="38">
        <f t="shared" si="33"/>
        <v>140472.618990857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弹道",$B$21,0))*(1+$BV80)</f>
        <v>141271.344410123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弹道",$B$21,0))*(1+$BV80)</f>
        <v>132673.654213502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弹道",$B$21,0))*(1+$BV80)</f>
        <v>88294.5902563269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弹道",$B$21,0))*(1+$BV80)</f>
        <v>78312.3996137633</v>
      </c>
      <c r="P80" s="39">
        <v>4</v>
      </c>
      <c r="Q80" s="40" t="s">
        <v>155</v>
      </c>
      <c r="R80" s="40" t="s">
        <v>97</v>
      </c>
      <c r="S80" s="40" t="s">
        <v>176</v>
      </c>
      <c r="T80" s="40" t="s">
        <v>78</v>
      </c>
      <c r="U80" s="40" t="s">
        <v>90</v>
      </c>
      <c r="V80" s="40" t="s">
        <v>78</v>
      </c>
      <c r="W80" s="40" t="s">
        <v>78</v>
      </c>
      <c r="X80" s="40" t="s">
        <v>78</v>
      </c>
      <c r="Y80" s="40" t="s">
        <v>78</v>
      </c>
      <c r="Z80" s="40" t="s">
        <v>78</v>
      </c>
      <c r="AA80" s="40" t="s">
        <v>78</v>
      </c>
      <c r="AB80" s="40" t="s">
        <v>84</v>
      </c>
      <c r="AC80" s="40" t="s">
        <v>78</v>
      </c>
      <c r="AD80" s="40" t="s">
        <v>78</v>
      </c>
      <c r="AE80" s="40" t="s">
        <v>78</v>
      </c>
      <c r="AF80" s="40" t="s">
        <v>117</v>
      </c>
      <c r="AG80" s="40" t="s">
        <v>78</v>
      </c>
      <c r="AH80" s="40" t="s">
        <v>78</v>
      </c>
      <c r="AI80" s="40" t="s">
        <v>78</v>
      </c>
      <c r="AJ80" s="40" t="s">
        <v>78</v>
      </c>
      <c r="AK80" s="40" t="s">
        <v>78</v>
      </c>
      <c r="AL80" t="str">
        <f>VLOOKUP($Q80,武学奇术!$A:$ZZ,25,FALSE)</f>
        <v>单体奇术</v>
      </c>
      <c r="AM80" s="24">
        <f>VLOOKUP($Q80,武学奇术!$A:$ZZ,26,FALSE)</f>
        <v>1.609</v>
      </c>
      <c r="AN80" s="25">
        <f>VLOOKUP($Q80,武学奇术!$A:$ZZ,27,FALSE)*(1+IF(OR($AL80=$F$4,$AL80=$F$5),$B$22,0))</f>
        <v>308</v>
      </c>
      <c r="AO80" s="24">
        <f>VLOOKUP($Q80,武学奇术!$A:$ZZ,28,FALSE)</f>
        <v>2.4135</v>
      </c>
      <c r="AP80" s="25">
        <f>VLOOKUP($Q80,武学奇术!$A:$ZZ,29,FALSE)*(1+IF(OR($AL80=$F$4,$AL80=$F$5),$B$22,0))</f>
        <v>0</v>
      </c>
      <c r="AQ80" s="24" cm="1">
        <f t="array" ref="AQ80">$G$3+IFERROR(VLOOKUP($AL80,$F$4:$G$7,2,FALSE),0)+VLOOKUP($Q80,武学奇术!$A:$ZZ,2,FALSE)+SUM(_xlfn.XLOOKUP($R80:$AK80,增益!$A:$A,增益!$B:$B,0))</f>
        <v>0.7415</v>
      </c>
      <c r="AR80" s="24" cm="1">
        <f t="array" ref="AR80">VLOOKUP($Q80,武学奇术!$A:$ZZ,5,FALSE)+SUM(_xlfn.XLOOKUP($R80:$AK80,增益!$A:$A,增益!$E:$E,0))</f>
        <v>0.075</v>
      </c>
      <c r="AS80" cm="1">
        <f t="array" ref="AS80">$D$10*(1+$AR80)+VLOOKUP($Q80,武学奇术!$A:$ZZ,3,FALSE)+SUM(_xlfn.XLOOKUP($R80:$AK80,增益!$A:$A,增益!$C:$C,0))-$I$2</f>
        <v>4100.3171</v>
      </c>
      <c r="AT80" cm="1">
        <f t="array" ref="AT80">$E$10*(1+$AR80)+VLOOKUP($Q80,武学奇术!$A:$ZZ,4,FALSE)+SUM(_xlfn.XLOOKUP($R80:$AK80,增益!$A:$A,增益!$D:$D,0))-$I$2</f>
        <v>4100.3171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0.2925</v>
      </c>
      <c r="AV80" s="32" cm="1">
        <f t="array" ref="AV80">$G$10+VLOOKUP($Q80,武学奇术!$A:$ZZ,7,FALSE)+SUM(_xlfn.XLOOKUP($R80:$AK80,增益!$A:$A,增益!$G:$G,0))</f>
        <v>0</v>
      </c>
      <c r="AW80" s="24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2" cm="1">
        <f t="array" ref="BA80">$G$11+VLOOKUP($Q80,武学奇术!$A:$ZZ,10,FALSE)+SUM(_xlfn.XLOOKUP($R80:$AK80,增益!$A:$A,增益!$J:$J,0))</f>
        <v>0</v>
      </c>
      <c r="BB80">
        <f t="shared" si="25"/>
        <v>0</v>
      </c>
      <c r="BC80">
        <f t="shared" si="26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2" cm="1">
        <f t="array" ref="BE80">$G$12+VLOOKUP($Q80,武学奇术!$A:$ZZ,12,FALSE)+SUM(_xlfn.XLOOKUP($R80:$AK80,增益!$A:$A,增益!$L:$L,0))</f>
        <v>0</v>
      </c>
      <c r="BF80">
        <f t="shared" si="27"/>
        <v>605.472</v>
      </c>
      <c r="BG80">
        <f t="shared" si="28"/>
        <v>1579.612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2" cm="1">
        <f t="array" ref="BI80">$G$13+VLOOKUP($Q80,武学奇术!$A:$ZZ,14,FALSE)+SUM(_xlfn.XLOOKUP($R80:$AK80,增益!$A:$A,增益!$N:$N,0))</f>
        <v>0.15</v>
      </c>
      <c r="BJ80">
        <f t="shared" si="29"/>
        <v>0</v>
      </c>
      <c r="BK80">
        <f t="shared" si="30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2" cm="1">
        <f t="array" ref="BM80">$G$14+VLOOKUP($Q80,武学奇术!$A:$ZZ,16,FALSE)+SUM(_xlfn.XLOOKUP($R80:$AK80,增益!$A:$A,增益!$P:$P,0))</f>
        <v>0</v>
      </c>
      <c r="BN80" s="24">
        <f>MIN(IF(VLOOKUP($Q80,武学奇术!$A:$ZZ,23,FALSE)=1,100%,$B$8),100%)</f>
        <v>1</v>
      </c>
      <c r="BO80" s="24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0.9093</v>
      </c>
      <c r="BP80" s="24" cm="1">
        <f t="array" ref="BP80">1+$B$13+VLOOKUP($Q80,武学奇术!$A:$ZZ,18,FALSE)+SUM(_xlfn.XLOOKUP($R80:$AK80,增益!$A:$A,增益!$R:$R,0))</f>
        <v>1.6</v>
      </c>
      <c r="BQ80" s="24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4" cm="1">
        <f t="array" ref="BR80">1+$B$14+VLOOKUP($Q80,武学奇术!$A:$ZZ,20,FALSE)+SUM(_xlfn.XLOOKUP($R80:$AK80,增益!$A:$A,增益!$T:$T,0))</f>
        <v>1.35</v>
      </c>
      <c r="BS80" s="24">
        <f t="shared" si="31"/>
        <v>0.9071</v>
      </c>
      <c r="BT80" s="24">
        <f t="shared" si="32"/>
        <v>0</v>
      </c>
      <c r="BU80" s="24">
        <f>IF(VLOOKUP($Q80,武学奇术!$A:$ZZ,22,FALSE)=1,0,(1-$BN80))*(1-$BQ80)</f>
        <v>0</v>
      </c>
      <c r="BV80" s="24" cm="1">
        <f t="array" ref="BV80">SUM(_xlfn.XLOOKUP($R80:$AK80,增益!$A:$A,增益!$W:$W,0))+$I$5</f>
        <v>0.06</v>
      </c>
    </row>
    <row r="81" spans="1:74">
      <c r="A81" s="4" t="s">
        <v>194</v>
      </c>
      <c r="B81" s="88">
        <v>1</v>
      </c>
      <c r="H81">
        <v>7.1</v>
      </c>
      <c r="K81" s="38">
        <f t="shared" si="33"/>
        <v>89663.5412785668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弹道",$B$21,0))*(1+$BV81)</f>
        <v>91715.7792339203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弹道",$B$21,0))*(1+$BV81)</f>
        <v>69624.9508662829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弹道",$B$21,0))*(1+$BV81)</f>
        <v>46793.7649152655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弹道",$B$21,0))*(1+$BV81)</f>
        <v>42013.4921518029</v>
      </c>
      <c r="P81" s="39">
        <v>1</v>
      </c>
      <c r="Q81" s="40" t="s">
        <v>101</v>
      </c>
      <c r="R81" s="40" t="s">
        <v>97</v>
      </c>
      <c r="S81" s="40" t="s">
        <v>176</v>
      </c>
      <c r="T81" s="40" t="s">
        <v>106</v>
      </c>
      <c r="U81" s="40" t="s">
        <v>90</v>
      </c>
      <c r="V81" s="40" t="s">
        <v>102</v>
      </c>
      <c r="W81" s="40" t="s">
        <v>78</v>
      </c>
      <c r="X81" s="40" t="s">
        <v>78</v>
      </c>
      <c r="Y81" s="40" t="s">
        <v>78</v>
      </c>
      <c r="Z81" s="40" t="s">
        <v>78</v>
      </c>
      <c r="AA81" s="40" t="s">
        <v>78</v>
      </c>
      <c r="AB81" s="40" t="s">
        <v>84</v>
      </c>
      <c r="AC81" s="40" t="s">
        <v>78</v>
      </c>
      <c r="AD81" s="40" t="s">
        <v>78</v>
      </c>
      <c r="AE81" s="40" t="s">
        <v>78</v>
      </c>
      <c r="AF81" s="40" t="s">
        <v>117</v>
      </c>
      <c r="AG81" s="40" t="s">
        <v>78</v>
      </c>
      <c r="AH81" s="40" t="s">
        <v>78</v>
      </c>
      <c r="AI81" s="40" t="s">
        <v>78</v>
      </c>
      <c r="AJ81" s="40" t="s">
        <v>78</v>
      </c>
      <c r="AK81" s="40" t="s">
        <v>78</v>
      </c>
      <c r="AL81" t="str">
        <f>VLOOKUP($Q81,武学奇术!$A:$ZZ,25,FALSE)</f>
        <v>伞</v>
      </c>
      <c r="AM81" s="24">
        <f>VLOOKUP($Q81,武学奇术!$A:$ZZ,26,FALSE)</f>
        <v>2.3397</v>
      </c>
      <c r="AN81" s="25">
        <f>VLOOKUP($Q81,武学奇术!$A:$ZZ,27,FALSE)*(1+IF(OR($AL81=$F$4,$AL81=$F$5),$B$22,0))</f>
        <v>972</v>
      </c>
      <c r="AO81" s="24">
        <f>VLOOKUP($Q81,武学奇术!$A:$ZZ,28,FALSE)</f>
        <v>3.5095</v>
      </c>
      <c r="AP81" s="25">
        <f>VLOOKUP($Q81,武学奇术!$A:$ZZ,29,FALSE)*(1+IF(OR($AL81=$F$4,$AL81=$F$5),$B$22,0))</f>
        <v>529.5</v>
      </c>
      <c r="AQ81" s="24" cm="1">
        <f t="array" ref="AQ81">$G$3+IFERROR(VLOOKUP($AL81,$F$4:$G$7,2,FALSE),0)+VLOOKUP($Q81,武学奇术!$A:$ZZ,2,FALSE)+SUM(_xlfn.XLOOKUP($R81:$AK81,增益!$A:$A,增益!$B:$B,0))</f>
        <v>1.2941</v>
      </c>
      <c r="AR81" s="24" cm="1">
        <f t="array" ref="AR81">VLOOKUP($Q81,武学奇术!$A:$ZZ,5,FALSE)+SUM(_xlfn.XLOOKUP($R81:$AK81,增益!$A:$A,增益!$E:$E,0))</f>
        <v>0.075</v>
      </c>
      <c r="AS81" cm="1">
        <f t="array" ref="AS81">$D$10*(1+$AR81)+VLOOKUP($Q81,武学奇术!$A:$ZZ,3,FALSE)+SUM(_xlfn.XLOOKUP($R81:$AK81,增益!$A:$A,增益!$C:$C,0))-$I$2</f>
        <v>4100.3171</v>
      </c>
      <c r="AT81" cm="1">
        <f t="array" ref="AT81">$E$10*(1+$AR81)+VLOOKUP($Q81,武学奇术!$A:$ZZ,4,FALSE)+SUM(_xlfn.XLOOKUP($R81:$AK81,增益!$A:$A,增益!$D:$D,0))-$I$2</f>
        <v>4100.3171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0.3175</v>
      </c>
      <c r="AV81" s="32" cm="1">
        <f t="array" ref="AV81">$G$10+VLOOKUP($Q81,武学奇术!$A:$ZZ,7,FALSE)+SUM(_xlfn.XLOOKUP($R81:$AK81,增益!$A:$A,增益!$G:$G,0))</f>
        <v>0</v>
      </c>
      <c r="AW81" s="24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2" cm="1">
        <f t="array" ref="BA81">$G$11+VLOOKUP($Q81,武学奇术!$A:$ZZ,10,FALSE)+SUM(_xlfn.XLOOKUP($R81:$AK81,增益!$A:$A,增益!$J:$J,0))</f>
        <v>0</v>
      </c>
      <c r="BB81">
        <f t="shared" si="25"/>
        <v>0</v>
      </c>
      <c r="BC81">
        <f t="shared" si="26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2" cm="1">
        <f t="array" ref="BE81">$G$12+VLOOKUP($Q81,武学奇术!$A:$ZZ,12,FALSE)+SUM(_xlfn.XLOOKUP($R81:$AK81,增益!$A:$A,增益!$L:$L,0))</f>
        <v>0</v>
      </c>
      <c r="BF81">
        <f t="shared" si="27"/>
        <v>605.472</v>
      </c>
      <c r="BG81">
        <f t="shared" si="28"/>
        <v>1579.612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2" cm="1">
        <f t="array" ref="BI81">$G$13+VLOOKUP($Q81,武学奇术!$A:$ZZ,14,FALSE)+SUM(_xlfn.XLOOKUP($R81:$AK81,增益!$A:$A,增益!$N:$N,0))</f>
        <v>0.15</v>
      </c>
      <c r="BJ81">
        <f t="shared" si="29"/>
        <v>0</v>
      </c>
      <c r="BK81">
        <f t="shared" si="30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2" cm="1">
        <f t="array" ref="BM81">$G$14+VLOOKUP($Q81,武学奇术!$A:$ZZ,16,FALSE)+SUM(_xlfn.XLOOKUP($R81:$AK81,增益!$A:$A,增益!$P:$P,0))</f>
        <v>0</v>
      </c>
      <c r="BN81" s="24">
        <f>MIN(IF(VLOOKUP($Q81,武学奇术!$A:$ZZ,23,FALSE)=1,100%,$B$8),100%)</f>
        <v>1</v>
      </c>
      <c r="BO81" s="24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0.9093</v>
      </c>
      <c r="BP81" s="24" cm="1">
        <f t="array" ref="BP81">1+$B$13+VLOOKUP($Q81,武学奇术!$A:$ZZ,18,FALSE)+SUM(_xlfn.XLOOKUP($R81:$AK81,增益!$A:$A,增益!$R:$R,0))</f>
        <v>1.96</v>
      </c>
      <c r="BQ81" s="24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4" cm="1">
        <f t="array" ref="BR81">1+$B$14+VLOOKUP($Q81,武学奇术!$A:$ZZ,20,FALSE)+SUM(_xlfn.XLOOKUP($R81:$AK81,增益!$A:$A,增益!$T:$T,0))</f>
        <v>1.35</v>
      </c>
      <c r="BS81" s="24">
        <f t="shared" si="31"/>
        <v>0.9071</v>
      </c>
      <c r="BT81" s="24">
        <f t="shared" si="32"/>
        <v>0</v>
      </c>
      <c r="BU81" s="24">
        <f>IF(VLOOKUP($Q81,武学奇术!$A:$ZZ,22,FALSE)=1,0,(1-$BN81))*(1-$BQ81)</f>
        <v>0</v>
      </c>
      <c r="BV81" s="24" cm="1">
        <f t="array" ref="BV81">SUM(_xlfn.XLOOKUP($R81:$AK81,增益!$A:$A,增益!$W:$W,0))+$I$5</f>
        <v>0.06</v>
      </c>
    </row>
    <row r="82" spans="1:74">
      <c r="A82" s="4" t="s">
        <v>101</v>
      </c>
      <c r="B82" s="4">
        <v>1.25</v>
      </c>
      <c r="G82" s="39" t="s">
        <v>158</v>
      </c>
      <c r="H82">
        <v>7.75</v>
      </c>
      <c r="K82" s="38">
        <f t="shared" si="33"/>
        <v>38204.9971933271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弹道",$B$21,0))*(1+$BV82)</f>
        <v>38450.926253983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弹道",$B$21,0))*(1+$BV82)</f>
        <v>35803.6812523043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弹道",$B$21,0))*(1+$BV82)</f>
        <v>24031.8289087394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弹道",$B$21,0))*(1+$BV82)</f>
        <v>21542.4124454016</v>
      </c>
      <c r="P82" s="39">
        <v>1</v>
      </c>
      <c r="Q82" s="40" t="s">
        <v>108</v>
      </c>
      <c r="R82" s="40" t="s">
        <v>97</v>
      </c>
      <c r="S82" s="40" t="s">
        <v>176</v>
      </c>
      <c r="T82" s="40" t="s">
        <v>78</v>
      </c>
      <c r="U82" s="40" t="s">
        <v>90</v>
      </c>
      <c r="V82" s="40" t="s">
        <v>78</v>
      </c>
      <c r="W82" s="40" t="s">
        <v>78</v>
      </c>
      <c r="X82" s="40" t="s">
        <v>78</v>
      </c>
      <c r="Y82" s="40" t="s">
        <v>78</v>
      </c>
      <c r="Z82" s="40" t="s">
        <v>78</v>
      </c>
      <c r="AA82" s="40" t="s">
        <v>78</v>
      </c>
      <c r="AB82" s="40" t="s">
        <v>84</v>
      </c>
      <c r="AC82" s="40" t="s">
        <v>78</v>
      </c>
      <c r="AD82" s="40" t="s">
        <v>78</v>
      </c>
      <c r="AE82" s="40" t="s">
        <v>78</v>
      </c>
      <c r="AF82" s="40" t="s">
        <v>117</v>
      </c>
      <c r="AG82" s="40" t="s">
        <v>78</v>
      </c>
      <c r="AH82" s="40" t="s">
        <v>78</v>
      </c>
      <c r="AI82" s="40" t="s">
        <v>78</v>
      </c>
      <c r="AJ82" s="40" t="s">
        <v>78</v>
      </c>
      <c r="AK82" s="40" t="s">
        <v>78</v>
      </c>
      <c r="AL82" t="str">
        <f>VLOOKUP($Q82,武学奇术!$A:$ZZ,25,FALSE)</f>
        <v>伞</v>
      </c>
      <c r="AM82" s="24">
        <f>VLOOKUP($Q82,武学奇术!$A:$ZZ,26,FALSE)</f>
        <v>1.7001</v>
      </c>
      <c r="AN82" s="25">
        <f>VLOOKUP($Q82,武学奇术!$A:$ZZ,27,FALSE)*(1+IF(OR($AL82=$F$4,$AL82=$F$5),$B$22,0))</f>
        <v>706.5</v>
      </c>
      <c r="AO82" s="24">
        <f>VLOOKUP($Q82,武学奇术!$A:$ZZ,28,FALSE)</f>
        <v>2.5502</v>
      </c>
      <c r="AP82" s="25">
        <f>VLOOKUP($Q82,武学奇术!$A:$ZZ,29,FALSE)*(1+IF(OR($AL82=$F$4,$AL82=$F$5),$B$22,0))</f>
        <v>384</v>
      </c>
      <c r="AQ82" s="24" cm="1">
        <f t="array" ref="AQ82">$G$3+IFERROR(VLOOKUP($AL82,$F$4:$G$7,2,FALSE),0)+VLOOKUP($Q82,武学奇术!$A:$ZZ,2,FALSE)+SUM(_xlfn.XLOOKUP($R82:$AK82,增益!$A:$A,增益!$B:$B,0))</f>
        <v>0.6441</v>
      </c>
      <c r="AR82" s="24" cm="1">
        <f t="array" ref="AR82">VLOOKUP($Q82,武学奇术!$A:$ZZ,5,FALSE)+SUM(_xlfn.XLOOKUP($R82:$AK82,增益!$A:$A,增益!$E:$E,0))</f>
        <v>0.075</v>
      </c>
      <c r="AS82" cm="1">
        <f t="array" ref="AS82">$D$10*(1+$AR82)+VLOOKUP($Q82,武学奇术!$A:$ZZ,3,FALSE)+SUM(_xlfn.XLOOKUP($R82:$AK82,增益!$A:$A,增益!$C:$C,0))-$I$2</f>
        <v>4100.3171</v>
      </c>
      <c r="AT82" cm="1">
        <f t="array" ref="AT82">$E$10*(1+$AR82)+VLOOKUP($Q82,武学奇术!$A:$ZZ,4,FALSE)+SUM(_xlfn.XLOOKUP($R82:$AK82,增益!$A:$A,增益!$D:$D,0))-$I$2</f>
        <v>4100.3171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0.2925</v>
      </c>
      <c r="AV82" s="32" cm="1">
        <f t="array" ref="AV82">$G$10+VLOOKUP($Q82,武学奇术!$A:$ZZ,7,FALSE)+SUM(_xlfn.XLOOKUP($R82:$AK82,增益!$A:$A,增益!$G:$G,0))</f>
        <v>0</v>
      </c>
      <c r="AW82" s="24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2" cm="1">
        <f t="array" ref="BA82">$G$11+VLOOKUP($Q82,武学奇术!$A:$ZZ,10,FALSE)+SUM(_xlfn.XLOOKUP($R82:$AK82,增益!$A:$A,增益!$J:$J,0))</f>
        <v>0</v>
      </c>
      <c r="BB82">
        <f t="shared" si="25"/>
        <v>0</v>
      </c>
      <c r="BC82">
        <f t="shared" si="26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2" cm="1">
        <f t="array" ref="BE82">$G$12+VLOOKUP($Q82,武学奇术!$A:$ZZ,12,FALSE)+SUM(_xlfn.XLOOKUP($R82:$AK82,增益!$A:$A,增益!$L:$L,0))</f>
        <v>0</v>
      </c>
      <c r="BF82">
        <f t="shared" si="27"/>
        <v>605.472</v>
      </c>
      <c r="BG82">
        <f t="shared" si="28"/>
        <v>1579.612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2" cm="1">
        <f t="array" ref="BI82">$G$13+VLOOKUP($Q82,武学奇术!$A:$ZZ,14,FALSE)+SUM(_xlfn.XLOOKUP($R82:$AK82,增益!$A:$A,增益!$N:$N,0))</f>
        <v>0.15</v>
      </c>
      <c r="BJ82">
        <f t="shared" si="29"/>
        <v>0</v>
      </c>
      <c r="BK82">
        <f t="shared" si="30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2" cm="1">
        <f t="array" ref="BM82">$G$14+VLOOKUP($Q82,武学奇术!$A:$ZZ,16,FALSE)+SUM(_xlfn.XLOOKUP($R82:$AK82,增益!$A:$A,增益!$P:$P,0))</f>
        <v>0</v>
      </c>
      <c r="BN82" s="24">
        <f>MIN(IF(VLOOKUP($Q82,武学奇术!$A:$ZZ,23,FALSE)=1,100%,$B$8),100%)</f>
        <v>1</v>
      </c>
      <c r="BO82" s="24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0.9093</v>
      </c>
      <c r="BP82" s="24" cm="1">
        <f t="array" ref="BP82">1+$B$13+VLOOKUP($Q82,武学奇术!$A:$ZZ,18,FALSE)+SUM(_xlfn.XLOOKUP($R82:$AK82,增益!$A:$A,增益!$R:$R,0))</f>
        <v>1.6</v>
      </c>
      <c r="BQ82" s="24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4" cm="1">
        <f t="array" ref="BR82">1+$B$14+VLOOKUP($Q82,武学奇术!$A:$ZZ,20,FALSE)+SUM(_xlfn.XLOOKUP($R82:$AK82,增益!$A:$A,增益!$T:$T,0))</f>
        <v>1.35</v>
      </c>
      <c r="BS82" s="24">
        <f t="shared" si="31"/>
        <v>0.9071</v>
      </c>
      <c r="BT82" s="24">
        <f t="shared" si="32"/>
        <v>0</v>
      </c>
      <c r="BU82" s="24">
        <f>IF(VLOOKUP($Q82,武学奇术!$A:$ZZ,22,FALSE)=1,0,(1-$BN82))*(1-$BQ82)</f>
        <v>0</v>
      </c>
      <c r="BV82" s="24" cm="1">
        <f t="array" ref="BV82">SUM(_xlfn.XLOOKUP($R82:$AK82,增益!$A:$A,增益!$W:$W,0))+$I$5</f>
        <v>0.06</v>
      </c>
    </row>
    <row r="83" spans="1:74">
      <c r="A83" s="4" t="s">
        <v>111</v>
      </c>
      <c r="B83" s="88">
        <v>1.16</v>
      </c>
      <c r="G83" s="39"/>
      <c r="K83" s="38">
        <f t="shared" si="33"/>
        <v>16008.5971819866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弹道",$B$21,0))*(1+$BV83)</f>
        <v>16111.5690570925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弹道",$B$21,0))*(1+$BV83)</f>
        <v>15003.1527480943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弹道",$B$21,0))*(1+$BV83)</f>
        <v>10069.7306606828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弹道",$B$21,0))*(1+$BV83)</f>
        <v>9026.0148412958</v>
      </c>
      <c r="P83" s="39">
        <v>1</v>
      </c>
      <c r="Q83" s="40" t="s">
        <v>111</v>
      </c>
      <c r="R83" s="40" t="s">
        <v>97</v>
      </c>
      <c r="S83" s="40" t="s">
        <v>176</v>
      </c>
      <c r="T83" s="40" t="s">
        <v>78</v>
      </c>
      <c r="U83" s="40" t="s">
        <v>90</v>
      </c>
      <c r="V83" s="40" t="s">
        <v>78</v>
      </c>
      <c r="W83" s="40" t="s">
        <v>78</v>
      </c>
      <c r="X83" s="40" t="s">
        <v>78</v>
      </c>
      <c r="Y83" s="40" t="s">
        <v>78</v>
      </c>
      <c r="Z83" s="40" t="s">
        <v>78</v>
      </c>
      <c r="AA83" s="40" t="s">
        <v>78</v>
      </c>
      <c r="AB83" s="40" t="s">
        <v>84</v>
      </c>
      <c r="AC83" s="40" t="s">
        <v>78</v>
      </c>
      <c r="AD83" s="40" t="s">
        <v>78</v>
      </c>
      <c r="AE83" s="40" t="s">
        <v>78</v>
      </c>
      <c r="AF83" s="40" t="s">
        <v>117</v>
      </c>
      <c r="AG83" s="40" t="s">
        <v>78</v>
      </c>
      <c r="AH83" s="40" t="s">
        <v>78</v>
      </c>
      <c r="AI83" s="40" t="s">
        <v>78</v>
      </c>
      <c r="AJ83" s="40" t="s">
        <v>78</v>
      </c>
      <c r="AK83" s="40" t="s">
        <v>78</v>
      </c>
      <c r="AL83" t="str">
        <f>VLOOKUP($Q83,武学奇术!$A:$ZZ,25,FALSE)</f>
        <v>伞</v>
      </c>
      <c r="AM83" s="24">
        <f>VLOOKUP($Q83,武学奇术!$A:$ZZ,26,FALSE)</f>
        <v>0.54</v>
      </c>
      <c r="AN83" s="25">
        <f>VLOOKUP($Q83,武学奇术!$A:$ZZ,27,FALSE)*(1+IF(OR($AL83=$F$4,$AL83=$F$5),$B$22,0))</f>
        <v>222</v>
      </c>
      <c r="AO83" s="24">
        <f>VLOOKUP($Q83,武学奇术!$A:$ZZ,28,FALSE)</f>
        <v>0.81</v>
      </c>
      <c r="AP83" s="25">
        <f>VLOOKUP($Q83,武学奇术!$A:$ZZ,29,FALSE)*(1+IF(OR($AL83=$F$4,$AL83=$F$5),$B$22,0))</f>
        <v>122.25</v>
      </c>
      <c r="AQ83" s="24" cm="1">
        <f t="array" ref="AQ83">$G$3+IFERROR(VLOOKUP($AL83,$F$4:$G$7,2,FALSE),0)+VLOOKUP($Q83,武学奇术!$A:$ZZ,2,FALSE)+SUM(_xlfn.XLOOKUP($R83:$AK83,增益!$A:$A,增益!$B:$B,0))</f>
        <v>0.6441</v>
      </c>
      <c r="AR83" s="24" cm="1">
        <f t="array" ref="AR83">VLOOKUP($Q83,武学奇术!$A:$ZZ,5,FALSE)+SUM(_xlfn.XLOOKUP($R83:$AK83,增益!$A:$A,增益!$E:$E,0))</f>
        <v>0.075</v>
      </c>
      <c r="AS83" cm="1">
        <f t="array" ref="AS83">$D$10*(1+$AR83)+VLOOKUP($Q83,武学奇术!$A:$ZZ,3,FALSE)+SUM(_xlfn.XLOOKUP($R83:$AK83,增益!$A:$A,增益!$C:$C,0))-$I$2</f>
        <v>4100.3171</v>
      </c>
      <c r="AT83" cm="1">
        <f t="array" ref="AT83">$E$10*(1+$AR83)+VLOOKUP($Q83,武学奇术!$A:$ZZ,4,FALSE)+SUM(_xlfn.XLOOKUP($R83:$AK83,增益!$A:$A,增益!$D:$D,0))-$I$2</f>
        <v>4100.3171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0.2925</v>
      </c>
      <c r="AV83" s="32" cm="1">
        <f t="array" ref="AV83">$G$10+VLOOKUP($Q83,武学奇术!$A:$ZZ,7,FALSE)+SUM(_xlfn.XLOOKUP($R83:$AK83,增益!$A:$A,增益!$G:$G,0))</f>
        <v>0</v>
      </c>
      <c r="AW83" s="24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2" cm="1">
        <f t="array" ref="BA83">$G$11+VLOOKUP($Q83,武学奇术!$A:$ZZ,10,FALSE)+SUM(_xlfn.XLOOKUP($R83:$AK83,增益!$A:$A,增益!$J:$J,0))</f>
        <v>0</v>
      </c>
      <c r="BB83">
        <f t="shared" si="25"/>
        <v>0</v>
      </c>
      <c r="BC83">
        <f t="shared" si="26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2" cm="1">
        <f t="array" ref="BE83">$G$12+VLOOKUP($Q83,武学奇术!$A:$ZZ,12,FALSE)+SUM(_xlfn.XLOOKUP($R83:$AK83,增益!$A:$A,增益!$L:$L,0))</f>
        <v>0</v>
      </c>
      <c r="BF83">
        <f t="shared" si="27"/>
        <v>605.472</v>
      </c>
      <c r="BG83">
        <f t="shared" si="28"/>
        <v>1579.612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2" cm="1">
        <f t="array" ref="BI83">$G$13+VLOOKUP($Q83,武学奇术!$A:$ZZ,14,FALSE)+SUM(_xlfn.XLOOKUP($R83:$AK83,增益!$A:$A,增益!$N:$N,0))</f>
        <v>0.15</v>
      </c>
      <c r="BJ83">
        <f t="shared" si="29"/>
        <v>0</v>
      </c>
      <c r="BK83">
        <f t="shared" si="30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2" cm="1">
        <f t="array" ref="BM83">$G$14+VLOOKUP($Q83,武学奇术!$A:$ZZ,16,FALSE)+SUM(_xlfn.XLOOKUP($R83:$AK83,增益!$A:$A,增益!$P:$P,0))</f>
        <v>0</v>
      </c>
      <c r="BN83" s="24">
        <f>MIN(IF(VLOOKUP($Q83,武学奇术!$A:$ZZ,23,FALSE)=1,100%,$B$8),100%)</f>
        <v>1</v>
      </c>
      <c r="BO83" s="24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0.9093</v>
      </c>
      <c r="BP83" s="24" cm="1">
        <f t="array" ref="BP83">1+$B$13+VLOOKUP($Q83,武学奇术!$A:$ZZ,18,FALSE)+SUM(_xlfn.XLOOKUP($R83:$AK83,增益!$A:$A,增益!$R:$R,0))</f>
        <v>1.6</v>
      </c>
      <c r="BQ83" s="24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4" cm="1">
        <f t="array" ref="BR83">1+$B$14+VLOOKUP($Q83,武学奇术!$A:$ZZ,20,FALSE)+SUM(_xlfn.XLOOKUP($R83:$AK83,增益!$A:$A,增益!$T:$T,0))</f>
        <v>1.35</v>
      </c>
      <c r="BS83" s="24">
        <f t="shared" si="31"/>
        <v>0.9071</v>
      </c>
      <c r="BT83" s="24">
        <f t="shared" si="32"/>
        <v>0</v>
      </c>
      <c r="BU83" s="24">
        <f>IF(VLOOKUP($Q83,武学奇术!$A:$ZZ,22,FALSE)=1,0,(1-$BN83))*(1-$BQ83)</f>
        <v>0</v>
      </c>
      <c r="BV83" s="24" cm="1">
        <f t="array" ref="BV83">SUM(_xlfn.XLOOKUP($R83:$AK83,增益!$A:$A,增益!$W:$W,0))+$I$5</f>
        <v>0.06</v>
      </c>
    </row>
    <row r="84" spans="1:74">
      <c r="A84" s="4" t="s">
        <v>161</v>
      </c>
      <c r="B84" s="4">
        <v>0.1</v>
      </c>
      <c r="G84" s="39"/>
      <c r="K84" s="38">
        <f t="shared" si="33"/>
        <v>425912.549540217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弹道",$B$21,0))*(1+$BV84)</f>
        <v>439413.435123758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弹道",$B$21,0))*(1+$BV84)</f>
        <v>294086.356721807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弹道",$B$21,0))*(1+$BV84)</f>
        <v>198829.608653284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弹道",$B$21,0))*(1+$BV84)</f>
        <v>179817.471586711</v>
      </c>
      <c r="P84" s="39">
        <v>6</v>
      </c>
      <c r="Q84" s="40" t="s">
        <v>113</v>
      </c>
      <c r="R84" s="40" t="s">
        <v>97</v>
      </c>
      <c r="S84" s="40" t="s">
        <v>176</v>
      </c>
      <c r="T84" s="40" t="s">
        <v>106</v>
      </c>
      <c r="U84" s="40" t="s">
        <v>90</v>
      </c>
      <c r="V84" s="40" t="s">
        <v>102</v>
      </c>
      <c r="W84" s="40" t="s">
        <v>78</v>
      </c>
      <c r="X84" s="40" t="s">
        <v>78</v>
      </c>
      <c r="Y84" s="40" t="s">
        <v>151</v>
      </c>
      <c r="Z84" s="40" t="s">
        <v>78</v>
      </c>
      <c r="AA84" s="40" t="s">
        <v>78</v>
      </c>
      <c r="AB84" s="40" t="s">
        <v>84</v>
      </c>
      <c r="AC84" s="40" t="s">
        <v>78</v>
      </c>
      <c r="AD84" s="40" t="s">
        <v>78</v>
      </c>
      <c r="AE84" s="40" t="s">
        <v>78</v>
      </c>
      <c r="AF84" s="40" t="s">
        <v>117</v>
      </c>
      <c r="AG84" s="40" t="s">
        <v>78</v>
      </c>
      <c r="AH84" s="40" t="s">
        <v>78</v>
      </c>
      <c r="AI84" s="40" t="s">
        <v>78</v>
      </c>
      <c r="AJ84" s="40" t="s">
        <v>78</v>
      </c>
      <c r="AK84" s="40" t="s">
        <v>78</v>
      </c>
      <c r="AL84" t="str">
        <f>VLOOKUP($Q84,武学奇术!$A:$ZZ,25,FALSE)</f>
        <v>伞</v>
      </c>
      <c r="AM84" s="24">
        <f>VLOOKUP($Q84,武学奇术!$A:$ZZ,26,FALSE)</f>
        <v>1.174955</v>
      </c>
      <c r="AN84" s="25">
        <f>VLOOKUP($Q84,武学奇术!$A:$ZZ,27,FALSE)*(1+IF(OR($AL84=$F$4,$AL84=$F$5),$B$22,0))</f>
        <v>486.45</v>
      </c>
      <c r="AO84" s="24">
        <f>VLOOKUP($Q84,武学奇术!$A:$ZZ,28,FALSE)</f>
        <v>1.762375</v>
      </c>
      <c r="AP84" s="25">
        <f>VLOOKUP($Q84,武学奇术!$A:$ZZ,29,FALSE)*(1+IF(OR($AL84=$F$4,$AL84=$F$5),$B$22,0))</f>
        <v>265.65</v>
      </c>
      <c r="AQ84" s="24" cm="1">
        <f t="array" ref="AQ84">$G$3+IFERROR(VLOOKUP($AL84,$F$4:$G$7,2,FALSE),0)+VLOOKUP($Q84,武学奇术!$A:$ZZ,2,FALSE)+SUM(_xlfn.XLOOKUP($R84:$AK84,增益!$A:$A,增益!$B:$B,0))</f>
        <v>1.2941</v>
      </c>
      <c r="AR84" s="24" cm="1">
        <f t="array" ref="AR84">VLOOKUP($Q84,武学奇术!$A:$ZZ,5,FALSE)+SUM(_xlfn.XLOOKUP($R84:$AK84,增益!$A:$A,增益!$E:$E,0))</f>
        <v>0.075</v>
      </c>
      <c r="AS84" cm="1">
        <f t="array" ref="AS84">$D$10*(1+$AR84)+VLOOKUP($Q84,武学奇术!$A:$ZZ,3,FALSE)+SUM(_xlfn.XLOOKUP($R84:$AK84,增益!$A:$A,增益!$C:$C,0))-$I$2</f>
        <v>4100.3171</v>
      </c>
      <c r="AT84" cm="1">
        <f t="array" ref="AT84">$E$10*(1+$AR84)+VLOOKUP($Q84,武学奇术!$A:$ZZ,4,FALSE)+SUM(_xlfn.XLOOKUP($R84:$AK84,增益!$A:$A,增益!$D:$D,0))-$I$2</f>
        <v>4100.3171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0.4425</v>
      </c>
      <c r="AV84" s="32" cm="1">
        <f t="array" ref="AV84">$G$10+VLOOKUP($Q84,武学奇术!$A:$ZZ,7,FALSE)+SUM(_xlfn.XLOOKUP($R84:$AK84,增益!$A:$A,增益!$G:$G,0))</f>
        <v>0</v>
      </c>
      <c r="AW84" s="24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2" cm="1">
        <f t="array" ref="BA84">$G$11+VLOOKUP($Q84,武学奇术!$A:$ZZ,10,FALSE)+SUM(_xlfn.XLOOKUP($R84:$AK84,增益!$A:$A,增益!$J:$J,0))</f>
        <v>0</v>
      </c>
      <c r="BB84">
        <f t="shared" si="25"/>
        <v>0</v>
      </c>
      <c r="BC84">
        <f t="shared" si="26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2" cm="1">
        <f t="array" ref="BE84">$G$12+VLOOKUP($Q84,武学奇术!$A:$ZZ,12,FALSE)+SUM(_xlfn.XLOOKUP($R84:$AK84,增益!$A:$A,增益!$L:$L,0))</f>
        <v>0</v>
      </c>
      <c r="BF84">
        <f t="shared" si="27"/>
        <v>605.472</v>
      </c>
      <c r="BG84">
        <f t="shared" si="28"/>
        <v>1579.612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2" cm="1">
        <f t="array" ref="BI84">$G$13+VLOOKUP($Q84,武学奇术!$A:$ZZ,14,FALSE)+SUM(_xlfn.XLOOKUP($R84:$AK84,增益!$A:$A,增益!$N:$N,0))</f>
        <v>0.15</v>
      </c>
      <c r="BJ84">
        <f t="shared" si="29"/>
        <v>0</v>
      </c>
      <c r="BK84">
        <f t="shared" si="30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2" cm="1">
        <f t="array" ref="BM84">$G$14+VLOOKUP($Q84,武学奇术!$A:$ZZ,16,FALSE)+SUM(_xlfn.XLOOKUP($R84:$AK84,增益!$A:$A,增益!$P:$P,0))</f>
        <v>0</v>
      </c>
      <c r="BN84" s="24">
        <f>MIN(IF(VLOOKUP($Q84,武学奇术!$A:$ZZ,23,FALSE)=1,100%,$B$8),100%)</f>
        <v>1</v>
      </c>
      <c r="BO84" s="24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0.9093</v>
      </c>
      <c r="BP84" s="24" cm="1">
        <f t="array" ref="BP84">1+$B$13+VLOOKUP($Q84,武学奇术!$A:$ZZ,18,FALSE)+SUM(_xlfn.XLOOKUP($R84:$AK84,增益!$A:$A,增益!$R:$R,0))</f>
        <v>2.21</v>
      </c>
      <c r="BQ84" s="24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4" cm="1">
        <f t="array" ref="BR84">1+$B$14+VLOOKUP($Q84,武学奇术!$A:$ZZ,20,FALSE)+SUM(_xlfn.XLOOKUP($R84:$AK84,增益!$A:$A,增益!$T:$T,0))</f>
        <v>1.35</v>
      </c>
      <c r="BS84" s="24">
        <f t="shared" si="31"/>
        <v>0.9071</v>
      </c>
      <c r="BT84" s="24">
        <f t="shared" si="32"/>
        <v>0</v>
      </c>
      <c r="BU84" s="24">
        <f>IF(VLOOKUP($Q84,武学奇术!$A:$ZZ,22,FALSE)=1,0,(1-$BN84))*(1-$BQ84)</f>
        <v>0</v>
      </c>
      <c r="BV84" s="24" cm="1">
        <f t="array" ref="BV84">SUM(_xlfn.XLOOKUP($R84:$AK84,增益!$A:$A,增益!$W:$W,0))+$I$5</f>
        <v>0.06</v>
      </c>
    </row>
    <row r="85" spans="1:74">
      <c r="A85" s="4" t="s">
        <v>131</v>
      </c>
      <c r="B85" s="4">
        <v>0.8</v>
      </c>
      <c r="G85" s="39"/>
      <c r="K85" s="38">
        <f t="shared" si="33"/>
        <v>237679.131298697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弹道",$B$21,0))*(1+$BV85)</f>
        <v>243118.759677838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弹道",$B$21,0))*(1+$BV85)</f>
        <v>184565.171097202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弹道",$B$21,0))*(1+$BV85)</f>
        <v>124040.183509101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弹道",$B$21,0))*(1+$BV85)</f>
        <v>111365.425464719</v>
      </c>
      <c r="P85" s="39">
        <v>4</v>
      </c>
      <c r="Q85" s="40" t="s">
        <v>113</v>
      </c>
      <c r="R85" s="40" t="s">
        <v>97</v>
      </c>
      <c r="S85" s="40" t="s">
        <v>176</v>
      </c>
      <c r="T85" s="40" t="s">
        <v>106</v>
      </c>
      <c r="U85" s="40" t="s">
        <v>90</v>
      </c>
      <c r="V85" s="40" t="s">
        <v>102</v>
      </c>
      <c r="W85" s="40" t="s">
        <v>78</v>
      </c>
      <c r="X85" s="40" t="s">
        <v>78</v>
      </c>
      <c r="Y85" s="40" t="s">
        <v>78</v>
      </c>
      <c r="Z85" s="40" t="s">
        <v>78</v>
      </c>
      <c r="AA85" s="40" t="s">
        <v>78</v>
      </c>
      <c r="AB85" s="40" t="s">
        <v>84</v>
      </c>
      <c r="AC85" s="40" t="s">
        <v>78</v>
      </c>
      <c r="AD85" s="40" t="s">
        <v>78</v>
      </c>
      <c r="AE85" s="40" t="s">
        <v>78</v>
      </c>
      <c r="AF85" s="40" t="s">
        <v>117</v>
      </c>
      <c r="AG85" s="40" t="s">
        <v>78</v>
      </c>
      <c r="AH85" s="40" t="s">
        <v>78</v>
      </c>
      <c r="AI85" s="40" t="s">
        <v>78</v>
      </c>
      <c r="AJ85" s="40" t="s">
        <v>78</v>
      </c>
      <c r="AK85" s="40" t="s">
        <v>78</v>
      </c>
      <c r="AL85" t="str">
        <f>VLOOKUP($Q85,武学奇术!$A:$ZZ,25,FALSE)</f>
        <v>伞</v>
      </c>
      <c r="AM85" s="24">
        <f>VLOOKUP($Q85,武学奇术!$A:$ZZ,26,FALSE)</f>
        <v>1.174955</v>
      </c>
      <c r="AN85" s="25">
        <f>VLOOKUP($Q85,武学奇术!$A:$ZZ,27,FALSE)*(1+IF(OR($AL85=$F$4,$AL85=$F$5),$B$22,0))</f>
        <v>486.45</v>
      </c>
      <c r="AO85" s="24">
        <f>VLOOKUP($Q85,武学奇术!$A:$ZZ,28,FALSE)</f>
        <v>1.762375</v>
      </c>
      <c r="AP85" s="25">
        <f>VLOOKUP($Q85,武学奇术!$A:$ZZ,29,FALSE)*(1+IF(OR($AL85=$F$4,$AL85=$F$5),$B$22,0))</f>
        <v>265.65</v>
      </c>
      <c r="AQ85" s="24" cm="1">
        <f t="array" ref="AQ85">$G$3+IFERROR(VLOOKUP($AL85,$F$4:$G$7,2,FALSE),0)+VLOOKUP($Q85,武学奇术!$A:$ZZ,2,FALSE)+SUM(_xlfn.XLOOKUP($R85:$AK85,增益!$A:$A,增益!$B:$B,0))</f>
        <v>1.2941</v>
      </c>
      <c r="AR85" s="24" cm="1">
        <f t="array" ref="AR85">VLOOKUP($Q85,武学奇术!$A:$ZZ,5,FALSE)+SUM(_xlfn.XLOOKUP($R85:$AK85,增益!$A:$A,增益!$E:$E,0))</f>
        <v>0.075</v>
      </c>
      <c r="AS85" cm="1">
        <f t="array" ref="AS85">$D$10*(1+$AR85)+VLOOKUP($Q85,武学奇术!$A:$ZZ,3,FALSE)+SUM(_xlfn.XLOOKUP($R85:$AK85,增益!$A:$A,增益!$C:$C,0))-$I$2</f>
        <v>4100.3171</v>
      </c>
      <c r="AT85" cm="1">
        <f t="array" ref="AT85">$E$10*(1+$AR85)+VLOOKUP($Q85,武学奇术!$A:$ZZ,4,FALSE)+SUM(_xlfn.XLOOKUP($R85:$AK85,增益!$A:$A,增益!$D:$D,0))-$I$2</f>
        <v>4100.3171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0.3175</v>
      </c>
      <c r="AV85" s="32" cm="1">
        <f t="array" ref="AV85">$G$10+VLOOKUP($Q85,武学奇术!$A:$ZZ,7,FALSE)+SUM(_xlfn.XLOOKUP($R85:$AK85,增益!$A:$A,增益!$G:$G,0))</f>
        <v>0</v>
      </c>
      <c r="AW85" s="24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2" cm="1">
        <f t="array" ref="BA85">$G$11+VLOOKUP($Q85,武学奇术!$A:$ZZ,10,FALSE)+SUM(_xlfn.XLOOKUP($R85:$AK85,增益!$A:$A,增益!$J:$J,0))</f>
        <v>0</v>
      </c>
      <c r="BB85">
        <f t="shared" si="25"/>
        <v>0</v>
      </c>
      <c r="BC85">
        <f t="shared" si="26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2" cm="1">
        <f t="array" ref="BE85">$G$12+VLOOKUP($Q85,武学奇术!$A:$ZZ,12,FALSE)+SUM(_xlfn.XLOOKUP($R85:$AK85,增益!$A:$A,增益!$L:$L,0))</f>
        <v>0</v>
      </c>
      <c r="BF85">
        <f t="shared" si="27"/>
        <v>605.472</v>
      </c>
      <c r="BG85">
        <f t="shared" si="28"/>
        <v>1579.612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2" cm="1">
        <f t="array" ref="BI85">$G$13+VLOOKUP($Q85,武学奇术!$A:$ZZ,14,FALSE)+SUM(_xlfn.XLOOKUP($R85:$AK85,增益!$A:$A,增益!$N:$N,0))</f>
        <v>0.15</v>
      </c>
      <c r="BJ85">
        <f t="shared" si="29"/>
        <v>0</v>
      </c>
      <c r="BK85">
        <f t="shared" si="30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2" cm="1">
        <f t="array" ref="BM85">$G$14+VLOOKUP($Q85,武学奇术!$A:$ZZ,16,FALSE)+SUM(_xlfn.XLOOKUP($R85:$AK85,增益!$A:$A,增益!$P:$P,0))</f>
        <v>0</v>
      </c>
      <c r="BN85" s="24">
        <f>MIN(IF(VLOOKUP($Q85,武学奇术!$A:$ZZ,23,FALSE)=1,100%,$B$8),100%)</f>
        <v>1</v>
      </c>
      <c r="BO85" s="24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0.9093</v>
      </c>
      <c r="BP85" s="24" cm="1">
        <f t="array" ref="BP85">1+$B$13+VLOOKUP($Q85,武学奇术!$A:$ZZ,18,FALSE)+SUM(_xlfn.XLOOKUP($R85:$AK85,增益!$A:$A,增益!$R:$R,0))</f>
        <v>1.96</v>
      </c>
      <c r="BQ85" s="24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4" cm="1">
        <f t="array" ref="BR85">1+$B$14+VLOOKUP($Q85,武学奇术!$A:$ZZ,20,FALSE)+SUM(_xlfn.XLOOKUP($R85:$AK85,增益!$A:$A,增益!$T:$T,0))</f>
        <v>1.35</v>
      </c>
      <c r="BS85" s="24">
        <f t="shared" si="31"/>
        <v>0.9071</v>
      </c>
      <c r="BT85" s="24">
        <f t="shared" si="32"/>
        <v>0</v>
      </c>
      <c r="BU85" s="24">
        <f>IF(VLOOKUP($Q85,武学奇术!$A:$ZZ,22,FALSE)=1,0,(1-$BN85))*(1-$BQ85)</f>
        <v>0</v>
      </c>
      <c r="BV85" s="24" cm="1">
        <f t="array" ref="BV85">SUM(_xlfn.XLOOKUP($R85:$AK85,增益!$A:$A,增益!$W:$W,0))+$I$5</f>
        <v>0.06</v>
      </c>
    </row>
    <row r="86" spans="1:74">
      <c r="A86" s="4" t="s">
        <v>161</v>
      </c>
      <c r="B86" s="4">
        <v>0.1</v>
      </c>
      <c r="E86" s="39" t="s">
        <v>127</v>
      </c>
      <c r="G86" s="39"/>
      <c r="K86" s="38">
        <f t="shared" si="33"/>
        <v>109447.775911184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弹道",$B$21,0))*(1+$BV86)</f>
        <v>111449.392276598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弹道",$B$21,0))*(1+$BV86)</f>
        <v>89903.467998729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弹道",$B$21,0))*(1+$BV86)</f>
        <v>60242.9147441069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弹道",$B$21,0))*(1+$BV86)</f>
        <v>53890.6680076738</v>
      </c>
      <c r="P86" s="39">
        <v>4</v>
      </c>
      <c r="Q86" s="40" t="s">
        <v>153</v>
      </c>
      <c r="R86" s="40" t="s">
        <v>97</v>
      </c>
      <c r="S86" s="40" t="s">
        <v>176</v>
      </c>
      <c r="T86" s="40" t="s">
        <v>78</v>
      </c>
      <c r="U86" s="40" t="s">
        <v>90</v>
      </c>
      <c r="V86" s="40" t="s">
        <v>78</v>
      </c>
      <c r="W86" s="40" t="s">
        <v>78</v>
      </c>
      <c r="X86" s="40" t="s">
        <v>78</v>
      </c>
      <c r="Y86" s="40" t="s">
        <v>151</v>
      </c>
      <c r="Z86" s="40" t="s">
        <v>78</v>
      </c>
      <c r="AA86" s="40" t="s">
        <v>78</v>
      </c>
      <c r="AB86" s="40" t="s">
        <v>84</v>
      </c>
      <c r="AC86" s="40" t="s">
        <v>78</v>
      </c>
      <c r="AD86" s="40" t="s">
        <v>78</v>
      </c>
      <c r="AE86" s="40" t="s">
        <v>78</v>
      </c>
      <c r="AF86" s="40" t="s">
        <v>117</v>
      </c>
      <c r="AG86" s="40" t="s">
        <v>78</v>
      </c>
      <c r="AH86" s="40" t="s">
        <v>78</v>
      </c>
      <c r="AI86" s="40" t="s">
        <v>78</v>
      </c>
      <c r="AJ86" s="40" t="s">
        <v>78</v>
      </c>
      <c r="AK86" s="40" t="s">
        <v>78</v>
      </c>
      <c r="AL86" t="str">
        <f>VLOOKUP($Q86,武学奇术!$A:$ZZ,25,FALSE)</f>
        <v>单体奇术</v>
      </c>
      <c r="AM86" s="24">
        <f>VLOOKUP($Q86,武学奇术!$A:$ZZ,26,FALSE)</f>
        <v>1.0239</v>
      </c>
      <c r="AN86" s="25">
        <f>VLOOKUP($Q86,武学奇术!$A:$ZZ,27,FALSE)*(1+IF(OR($AL86=$F$4,$AL86=$F$5),$B$22,0))</f>
        <v>196</v>
      </c>
      <c r="AO86" s="24">
        <f>VLOOKUP($Q86,武学奇术!$A:$ZZ,28,FALSE)</f>
        <v>1.53585</v>
      </c>
      <c r="AP86" s="25">
        <f>VLOOKUP($Q86,武学奇术!$A:$ZZ,29,FALSE)*(1+IF(OR($AL86=$F$4,$AL86=$F$5),$B$22,0))</f>
        <v>0</v>
      </c>
      <c r="AQ86" s="24" cm="1">
        <f t="array" ref="AQ86">$G$3+IFERROR(VLOOKUP($AL86,$F$4:$G$7,2,FALSE),0)+VLOOKUP($Q86,武学奇术!$A:$ZZ,2,FALSE)+SUM(_xlfn.XLOOKUP($R86:$AK86,增益!$A:$A,增益!$B:$B,0))</f>
        <v>0.7415</v>
      </c>
      <c r="AR86" s="24" cm="1">
        <f t="array" ref="AR86">VLOOKUP($Q86,武学奇术!$A:$ZZ,5,FALSE)+SUM(_xlfn.XLOOKUP($R86:$AK86,增益!$A:$A,增益!$E:$E,0))</f>
        <v>0.075</v>
      </c>
      <c r="AS86" cm="1">
        <f t="array" ref="AS86">$D$10*(1+$AR86)+VLOOKUP($Q86,武学奇术!$A:$ZZ,3,FALSE)+SUM(_xlfn.XLOOKUP($R86:$AK86,增益!$A:$A,增益!$C:$C,0))-$I$2</f>
        <v>4100.3171</v>
      </c>
      <c r="AT86" cm="1">
        <f t="array" ref="AT86">$E$10*(1+$AR86)+VLOOKUP($Q86,武学奇术!$A:$ZZ,4,FALSE)+SUM(_xlfn.XLOOKUP($R86:$AK86,增益!$A:$A,增益!$D:$D,0))-$I$2</f>
        <v>4100.3171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0.4175</v>
      </c>
      <c r="AV86" s="32" cm="1">
        <f t="array" ref="AV86">$G$10+VLOOKUP($Q86,武学奇术!$A:$ZZ,7,FALSE)+SUM(_xlfn.XLOOKUP($R86:$AK86,增益!$A:$A,增益!$G:$G,0))</f>
        <v>0</v>
      </c>
      <c r="AW86" s="24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2" cm="1">
        <f t="array" ref="BA86">$G$11+VLOOKUP($Q86,武学奇术!$A:$ZZ,10,FALSE)+SUM(_xlfn.XLOOKUP($R86:$AK86,增益!$A:$A,增益!$J:$J,0))</f>
        <v>0</v>
      </c>
      <c r="BB86">
        <f t="shared" si="25"/>
        <v>0</v>
      </c>
      <c r="BC86">
        <f t="shared" si="26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2" cm="1">
        <f t="array" ref="BE86">$G$12+VLOOKUP($Q86,武学奇术!$A:$ZZ,12,FALSE)+SUM(_xlfn.XLOOKUP($R86:$AK86,增益!$A:$A,增益!$L:$L,0))</f>
        <v>0</v>
      </c>
      <c r="BF86">
        <f t="shared" si="27"/>
        <v>605.472</v>
      </c>
      <c r="BG86">
        <f t="shared" si="28"/>
        <v>1579.612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2" cm="1">
        <f t="array" ref="BI86">$G$13+VLOOKUP($Q86,武学奇术!$A:$ZZ,14,FALSE)+SUM(_xlfn.XLOOKUP($R86:$AK86,增益!$A:$A,增益!$N:$N,0))</f>
        <v>0.15</v>
      </c>
      <c r="BJ86">
        <f t="shared" si="29"/>
        <v>0</v>
      </c>
      <c r="BK86">
        <f t="shared" si="30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2" cm="1">
        <f t="array" ref="BM86">$G$14+VLOOKUP($Q86,武学奇术!$A:$ZZ,16,FALSE)+SUM(_xlfn.XLOOKUP($R86:$AK86,增益!$A:$A,增益!$P:$P,0))</f>
        <v>0</v>
      </c>
      <c r="BN86" s="24">
        <f>MIN(IF(VLOOKUP($Q86,武学奇术!$A:$ZZ,23,FALSE)=1,100%,$B$8),100%)</f>
        <v>1</v>
      </c>
      <c r="BO86" s="24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0.9093</v>
      </c>
      <c r="BP86" s="24" cm="1">
        <f t="array" ref="BP86">1+$B$13+VLOOKUP($Q86,武学奇术!$A:$ZZ,18,FALSE)+SUM(_xlfn.XLOOKUP($R86:$AK86,增益!$A:$A,增益!$R:$R,0))</f>
        <v>1.85</v>
      </c>
      <c r="BQ86" s="24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4" cm="1">
        <f t="array" ref="BR86">1+$B$14+VLOOKUP($Q86,武学奇术!$A:$ZZ,20,FALSE)+SUM(_xlfn.XLOOKUP($R86:$AK86,增益!$A:$A,增益!$T:$T,0))</f>
        <v>1.35</v>
      </c>
      <c r="BS86" s="24">
        <f t="shared" si="31"/>
        <v>0.9071</v>
      </c>
      <c r="BT86" s="24">
        <f t="shared" si="32"/>
        <v>0</v>
      </c>
      <c r="BU86" s="24">
        <f>IF(VLOOKUP($Q86,武学奇术!$A:$ZZ,22,FALSE)=1,0,(1-$BN86))*(1-$BQ86)</f>
        <v>0</v>
      </c>
      <c r="BV86" s="24" cm="1">
        <f t="array" ref="BV86">SUM(_xlfn.XLOOKUP($R86:$AK86,增益!$A:$A,增益!$W:$W,0))+$I$5</f>
        <v>0.06</v>
      </c>
    </row>
    <row r="87" spans="1:74">
      <c r="A87" s="4" t="s">
        <v>162</v>
      </c>
      <c r="B87" s="88">
        <v>1.5</v>
      </c>
      <c r="E87" s="39"/>
      <c r="F87">
        <v>-18</v>
      </c>
      <c r="G87" s="39"/>
      <c r="K87" s="38">
        <f t="shared" ref="K87:K136" si="34">($L87*$BS87+$M87*$BQ87+$N87*$BT87+$O87*$BU87)</f>
        <v>171990.837566723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弹道",$B$21,0))*(1+$BV87)</f>
        <v>175136.261309905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弹道",$B$21,0))*(1+$BV87)</f>
        <v>141278.093999013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弹道",$B$21,0))*(1+$BV87)</f>
        <v>94668.2493567055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弹道",$B$21,0))*(1+$BV87)</f>
        <v>84686.058714142</v>
      </c>
      <c r="P87" s="39">
        <v>4</v>
      </c>
      <c r="Q87" s="40" t="s">
        <v>155</v>
      </c>
      <c r="R87" s="40" t="s">
        <v>97</v>
      </c>
      <c r="S87" s="40" t="s">
        <v>176</v>
      </c>
      <c r="T87" s="40" t="s">
        <v>78</v>
      </c>
      <c r="U87" s="40" t="s">
        <v>90</v>
      </c>
      <c r="V87" s="40" t="s">
        <v>78</v>
      </c>
      <c r="W87" s="40" t="s">
        <v>78</v>
      </c>
      <c r="X87" s="40" t="s">
        <v>78</v>
      </c>
      <c r="Y87" s="40" t="s">
        <v>151</v>
      </c>
      <c r="Z87" s="40" t="s">
        <v>78</v>
      </c>
      <c r="AA87" s="40" t="s">
        <v>78</v>
      </c>
      <c r="AB87" s="40" t="s">
        <v>84</v>
      </c>
      <c r="AC87" s="40" t="s">
        <v>78</v>
      </c>
      <c r="AD87" s="40" t="s">
        <v>78</v>
      </c>
      <c r="AE87" s="40" t="s">
        <v>78</v>
      </c>
      <c r="AF87" s="40" t="s">
        <v>117</v>
      </c>
      <c r="AG87" s="40" t="s">
        <v>78</v>
      </c>
      <c r="AH87" s="40" t="s">
        <v>78</v>
      </c>
      <c r="AI87" s="40" t="s">
        <v>78</v>
      </c>
      <c r="AJ87" s="40" t="s">
        <v>78</v>
      </c>
      <c r="AK87" s="40" t="s">
        <v>78</v>
      </c>
      <c r="AL87" t="str">
        <f>VLOOKUP($Q87,武学奇术!$A:$ZZ,25,FALSE)</f>
        <v>单体奇术</v>
      </c>
      <c r="AM87" s="24">
        <f>VLOOKUP($Q87,武学奇术!$A:$ZZ,26,FALSE)</f>
        <v>1.609</v>
      </c>
      <c r="AN87" s="25">
        <f>VLOOKUP($Q87,武学奇术!$A:$ZZ,27,FALSE)*(1+IF(OR($AL87=$F$4,$AL87=$F$5),$B$22,0))</f>
        <v>308</v>
      </c>
      <c r="AO87" s="24">
        <f>VLOOKUP($Q87,武学奇术!$A:$ZZ,28,FALSE)</f>
        <v>2.4135</v>
      </c>
      <c r="AP87" s="25">
        <f>VLOOKUP($Q87,武学奇术!$A:$ZZ,29,FALSE)*(1+IF(OR($AL87=$F$4,$AL87=$F$5),$B$22,0))</f>
        <v>0</v>
      </c>
      <c r="AQ87" s="24" cm="1">
        <f t="array" ref="AQ87">$G$3+IFERROR(VLOOKUP($AL87,$F$4:$G$7,2,FALSE),0)+VLOOKUP($Q87,武学奇术!$A:$ZZ,2,FALSE)+SUM(_xlfn.XLOOKUP($R87:$AK87,增益!$A:$A,增益!$B:$B,0))</f>
        <v>0.7415</v>
      </c>
      <c r="AR87" s="24" cm="1">
        <f t="array" ref="AR87">VLOOKUP($Q87,武学奇术!$A:$ZZ,5,FALSE)+SUM(_xlfn.XLOOKUP($R87:$AK87,增益!$A:$A,增益!$E:$E,0))</f>
        <v>0.075</v>
      </c>
      <c r="AS87" cm="1">
        <f t="array" ref="AS87">$D$10*(1+$AR87)+VLOOKUP($Q87,武学奇术!$A:$ZZ,3,FALSE)+SUM(_xlfn.XLOOKUP($R87:$AK87,增益!$A:$A,增益!$C:$C,0))-$I$2</f>
        <v>4100.3171</v>
      </c>
      <c r="AT87" cm="1">
        <f t="array" ref="AT87">$E$10*(1+$AR87)+VLOOKUP($Q87,武学奇术!$A:$ZZ,4,FALSE)+SUM(_xlfn.XLOOKUP($R87:$AK87,增益!$A:$A,增益!$D:$D,0))-$I$2</f>
        <v>4100.3171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0.4175</v>
      </c>
      <c r="AV87" s="32" cm="1">
        <f t="array" ref="AV87">$G$10+VLOOKUP($Q87,武学奇术!$A:$ZZ,7,FALSE)+SUM(_xlfn.XLOOKUP($R87:$AK87,增益!$A:$A,增益!$G:$G,0))</f>
        <v>0</v>
      </c>
      <c r="AW87" s="24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2" cm="1">
        <f t="array" ref="BA87">$G$11+VLOOKUP($Q87,武学奇术!$A:$ZZ,10,FALSE)+SUM(_xlfn.XLOOKUP($R87:$AK87,增益!$A:$A,增益!$J:$J,0))</f>
        <v>0</v>
      </c>
      <c r="BB87">
        <f t="shared" si="25"/>
        <v>0</v>
      </c>
      <c r="BC87">
        <f t="shared" si="26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2" cm="1">
        <f t="array" ref="BE87">$G$12+VLOOKUP($Q87,武学奇术!$A:$ZZ,12,FALSE)+SUM(_xlfn.XLOOKUP($R87:$AK87,增益!$A:$A,增益!$L:$L,0))</f>
        <v>0</v>
      </c>
      <c r="BF87">
        <f t="shared" si="27"/>
        <v>605.472</v>
      </c>
      <c r="BG87">
        <f t="shared" si="28"/>
        <v>1579.612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2" cm="1">
        <f t="array" ref="BI87">$G$13+VLOOKUP($Q87,武学奇术!$A:$ZZ,14,FALSE)+SUM(_xlfn.XLOOKUP($R87:$AK87,增益!$A:$A,增益!$N:$N,0))</f>
        <v>0.15</v>
      </c>
      <c r="BJ87">
        <f t="shared" si="29"/>
        <v>0</v>
      </c>
      <c r="BK87">
        <f t="shared" si="30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2" cm="1">
        <f t="array" ref="BM87">$G$14+VLOOKUP($Q87,武学奇术!$A:$ZZ,16,FALSE)+SUM(_xlfn.XLOOKUP($R87:$AK87,增益!$A:$A,增益!$P:$P,0))</f>
        <v>0</v>
      </c>
      <c r="BN87" s="24">
        <f>MIN(IF(VLOOKUP($Q87,武学奇术!$A:$ZZ,23,FALSE)=1,100%,$B$8),100%)</f>
        <v>1</v>
      </c>
      <c r="BO87" s="24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0.9093</v>
      </c>
      <c r="BP87" s="24" cm="1">
        <f t="array" ref="BP87">1+$B$13+VLOOKUP($Q87,武学奇术!$A:$ZZ,18,FALSE)+SUM(_xlfn.XLOOKUP($R87:$AK87,增益!$A:$A,增益!$R:$R,0))</f>
        <v>1.85</v>
      </c>
      <c r="BQ87" s="24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4" cm="1">
        <f t="array" ref="BR87">1+$B$14+VLOOKUP($Q87,武学奇术!$A:$ZZ,20,FALSE)+SUM(_xlfn.XLOOKUP($R87:$AK87,增益!$A:$A,增益!$T:$T,0))</f>
        <v>1.35</v>
      </c>
      <c r="BS87" s="24">
        <f t="shared" si="31"/>
        <v>0.9071</v>
      </c>
      <c r="BT87" s="24">
        <f t="shared" si="32"/>
        <v>0</v>
      </c>
      <c r="BU87" s="24">
        <f>IF(VLOOKUP($Q87,武学奇术!$A:$ZZ,22,FALSE)=1,0,(1-$BN87))*(1-$BQ87)</f>
        <v>0</v>
      </c>
      <c r="BV87" s="24" cm="1">
        <f t="array" ref="BV87">SUM(_xlfn.XLOOKUP($R87:$AK87,增益!$A:$A,增益!$W:$W,0))+$I$5</f>
        <v>0.06</v>
      </c>
    </row>
    <row r="88" spans="1:74">
      <c r="A88" s="4" t="s">
        <v>193</v>
      </c>
      <c r="B88" s="88">
        <v>2</v>
      </c>
      <c r="D88" s="39" t="s">
        <v>166</v>
      </c>
      <c r="E88" s="39"/>
      <c r="F88">
        <v>-15</v>
      </c>
      <c r="G88" s="39"/>
      <c r="K88" s="38">
        <f t="shared" si="34"/>
        <v>155179.64836244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弹道",$B$21,0))*(1+$BV88)</f>
        <v>156062.27969567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弹道",$B$21,0))*(1+$BV88)</f>
        <v>146561.404203423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弹道",$B$21,0))*(1+$BV88)</f>
        <v>97538.9248097937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弹道",$B$21,0))*(1+$BV88)</f>
        <v>86513.8465059406</v>
      </c>
      <c r="P88" s="39">
        <v>1</v>
      </c>
      <c r="Q88" s="40" t="s">
        <v>195</v>
      </c>
      <c r="R88" s="40" t="s">
        <v>97</v>
      </c>
      <c r="S88" s="40" t="s">
        <v>176</v>
      </c>
      <c r="T88" s="40" t="s">
        <v>78</v>
      </c>
      <c r="U88" s="40" t="s">
        <v>90</v>
      </c>
      <c r="V88" s="40" t="s">
        <v>78</v>
      </c>
      <c r="W88" s="40" t="s">
        <v>78</v>
      </c>
      <c r="X88" s="40" t="s">
        <v>78</v>
      </c>
      <c r="Y88" s="40" t="s">
        <v>78</v>
      </c>
      <c r="Z88" s="40" t="s">
        <v>78</v>
      </c>
      <c r="AA88" s="40" t="s">
        <v>78</v>
      </c>
      <c r="AB88" s="40" t="s">
        <v>84</v>
      </c>
      <c r="AC88" s="40" t="s">
        <v>78</v>
      </c>
      <c r="AD88" s="40" t="s">
        <v>78</v>
      </c>
      <c r="AE88" s="40" t="s">
        <v>78</v>
      </c>
      <c r="AF88" s="40" t="s">
        <v>117</v>
      </c>
      <c r="AG88" s="40" t="s">
        <v>78</v>
      </c>
      <c r="AH88" s="40" t="s">
        <v>78</v>
      </c>
      <c r="AI88" s="40" t="s">
        <v>78</v>
      </c>
      <c r="AJ88" s="40" t="s">
        <v>78</v>
      </c>
      <c r="AK88" s="40" t="s">
        <v>78</v>
      </c>
      <c r="AL88" t="str">
        <f>VLOOKUP($Q88,武学奇术!$A:$ZZ,25,FALSE)</f>
        <v>单体奇术</v>
      </c>
      <c r="AM88" s="24">
        <f>VLOOKUP($Q88,武学奇术!$A:$ZZ,26,FALSE)</f>
        <v>7.1084</v>
      </c>
      <c r="AN88" s="25">
        <f>VLOOKUP($Q88,武学奇术!$A:$ZZ,27,FALSE)*(1+IF(OR($AL88=$F$4,$AL88=$F$5),$B$22,0))</f>
        <v>1369</v>
      </c>
      <c r="AO88" s="24">
        <f>VLOOKUP($Q88,武学奇术!$A:$ZZ,28,FALSE)</f>
        <v>10.6626</v>
      </c>
      <c r="AP88" s="25">
        <f>VLOOKUP($Q88,武学奇术!$A:$ZZ,29,FALSE)*(1+IF(OR($AL88=$F$4,$AL88=$F$5),$B$22,0))</f>
        <v>0</v>
      </c>
      <c r="AQ88" s="24" cm="1">
        <f t="array" ref="AQ88">$G$3+IFERROR(VLOOKUP($AL88,$F$4:$G$7,2,FALSE),0)+VLOOKUP($Q88,武学奇术!$A:$ZZ,2,FALSE)+SUM(_xlfn.XLOOKUP($R88:$AK88,增益!$A:$A,增益!$B:$B,0))</f>
        <v>0.7415</v>
      </c>
      <c r="AR88" s="24" cm="1">
        <f t="array" ref="AR88">VLOOKUP($Q88,武学奇术!$A:$ZZ,5,FALSE)+SUM(_xlfn.XLOOKUP($R88:$AK88,增益!$A:$A,增益!$E:$E,0))</f>
        <v>0.075</v>
      </c>
      <c r="AS88" cm="1">
        <f t="array" ref="AS88">$D$10*(1+$AR88)+VLOOKUP($Q88,武学奇术!$A:$ZZ,3,FALSE)+SUM(_xlfn.XLOOKUP($R88:$AK88,增益!$A:$A,增益!$C:$C,0))-$I$2</f>
        <v>4100.3171</v>
      </c>
      <c r="AT88" cm="1">
        <f t="array" ref="AT88">$E$10*(1+$AR88)+VLOOKUP($Q88,武学奇术!$A:$ZZ,4,FALSE)+SUM(_xlfn.XLOOKUP($R88:$AK88,增益!$A:$A,增益!$D:$D,0))-$I$2</f>
        <v>4100.3171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0.2925</v>
      </c>
      <c r="AV88" s="32" cm="1">
        <f t="array" ref="AV88">$G$10+VLOOKUP($Q88,武学奇术!$A:$ZZ,7,FALSE)+SUM(_xlfn.XLOOKUP($R88:$AK88,增益!$A:$A,增益!$G:$G,0))</f>
        <v>0</v>
      </c>
      <c r="AW88" s="24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27"/>
        <v>605.472</v>
      </c>
      <c r="BG88">
        <f t="shared" si="28"/>
        <v>1579.612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4">
        <f>MIN(IF(VLOOKUP($Q88,武学奇术!$A:$ZZ,23,FALSE)=1,100%,$B$8),100%)</f>
        <v>1</v>
      </c>
      <c r="BO88" s="24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0.9093</v>
      </c>
      <c r="BP88" s="24" cm="1">
        <f t="array" ref="BP88">1+$B$13+VLOOKUP($Q88,武学奇术!$A:$ZZ,18,FALSE)+SUM(_xlfn.XLOOKUP($R88:$AK88,增益!$A:$A,增益!$R:$R,0))</f>
        <v>1.6</v>
      </c>
      <c r="BQ88" s="24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4" cm="1">
        <f t="array" ref="BR88">1+$B$14+VLOOKUP($Q88,武学奇术!$A:$ZZ,20,FALSE)+SUM(_xlfn.XLOOKUP($R88:$AK88,增益!$A:$A,增益!$T:$T,0))</f>
        <v>1.35</v>
      </c>
      <c r="BS88" s="24">
        <f t="shared" si="31"/>
        <v>0.9071</v>
      </c>
      <c r="BT88" s="24">
        <f t="shared" si="32"/>
        <v>0</v>
      </c>
      <c r="BU88" s="24">
        <f>IF(VLOOKUP($Q88,武学奇术!$A:$ZZ,22,FALSE)=1,0,(1-$BN88))*(1-$BQ88)</f>
        <v>0</v>
      </c>
      <c r="BV88" s="24" cm="1">
        <f t="array" ref="BV88">SUM(_xlfn.XLOOKUP($R88:$AK88,增益!$A:$A,增益!$W:$W,0))+$I$5</f>
        <v>0.06</v>
      </c>
    </row>
    <row r="89" spans="1:74">
      <c r="A89" s="4" t="s">
        <v>101</v>
      </c>
      <c r="B89" s="4">
        <v>1.25</v>
      </c>
      <c r="C89" s="27">
        <v>0.3</v>
      </c>
      <c r="D89" s="39"/>
      <c r="E89" s="39"/>
      <c r="G89" s="39"/>
      <c r="K89" s="38">
        <f t="shared" si="34"/>
        <v>77071.739915232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弹道",$B$21,0))*(1+$BV89)</f>
        <v>77509.9689943382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弹道",$B$21,0))*(1+$BV89)</f>
        <v>72792.7560868444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弹道",$B$21,0))*(1+$BV89)</f>
        <v>48443.7306214614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弹道",$B$21,0))*(1+$BV89)</f>
        <v>42966.9011785936</v>
      </c>
      <c r="P89" s="39">
        <v>4</v>
      </c>
      <c r="Q89" s="40" t="s">
        <v>153</v>
      </c>
      <c r="R89" s="40" t="s">
        <v>97</v>
      </c>
      <c r="S89" s="40" t="s">
        <v>176</v>
      </c>
      <c r="T89" s="40" t="s">
        <v>78</v>
      </c>
      <c r="U89" s="40" t="s">
        <v>90</v>
      </c>
      <c r="V89" s="40" t="s">
        <v>78</v>
      </c>
      <c r="W89" s="40" t="s">
        <v>78</v>
      </c>
      <c r="X89" s="40" t="s">
        <v>78</v>
      </c>
      <c r="Y89" s="40" t="s">
        <v>78</v>
      </c>
      <c r="Z89" s="40" t="s">
        <v>78</v>
      </c>
      <c r="AA89" s="40" t="s">
        <v>78</v>
      </c>
      <c r="AB89" s="40" t="s">
        <v>84</v>
      </c>
      <c r="AC89" s="40" t="s">
        <v>78</v>
      </c>
      <c r="AD89" s="40" t="s">
        <v>78</v>
      </c>
      <c r="AE89" s="40" t="s">
        <v>78</v>
      </c>
      <c r="AF89" s="40" t="s">
        <v>78</v>
      </c>
      <c r="AG89" s="40" t="s">
        <v>78</v>
      </c>
      <c r="AH89" s="40" t="s">
        <v>78</v>
      </c>
      <c r="AI89" s="40" t="s">
        <v>78</v>
      </c>
      <c r="AJ89" s="40" t="s">
        <v>78</v>
      </c>
      <c r="AK89" s="40" t="s">
        <v>78</v>
      </c>
      <c r="AL89" t="str">
        <f>VLOOKUP($Q89,武学奇术!$A:$ZZ,25,FALSE)</f>
        <v>单体奇术</v>
      </c>
      <c r="AM89" s="24">
        <f>VLOOKUP($Q89,武学奇术!$A:$ZZ,26,FALSE)</f>
        <v>1.0239</v>
      </c>
      <c r="AN89" s="25">
        <f>VLOOKUP($Q89,武学奇术!$A:$ZZ,27,FALSE)*(1+IF(OR($AL89=$F$4,$AL89=$F$5),$B$22,0))</f>
        <v>196</v>
      </c>
      <c r="AO89" s="24">
        <f>VLOOKUP($Q89,武学奇术!$A:$ZZ,28,FALSE)</f>
        <v>1.53585</v>
      </c>
      <c r="AP89" s="25">
        <f>VLOOKUP($Q89,武学奇术!$A:$ZZ,29,FALSE)*(1+IF(OR($AL89=$F$4,$AL89=$F$5),$B$22,0))</f>
        <v>0</v>
      </c>
      <c r="AQ89" s="24" cm="1">
        <f t="array" ref="AQ89">$G$3+IFERROR(VLOOKUP($AL89,$F$4:$G$7,2,FALSE),0)+VLOOKUP($Q89,武学奇术!$A:$ZZ,2,FALSE)+SUM(_xlfn.XLOOKUP($R89:$AK89,增益!$A:$A,增益!$B:$B,0))</f>
        <v>0.5015</v>
      </c>
      <c r="AR89" s="24" cm="1">
        <f t="array" ref="AR89">VLOOKUP($Q89,武学奇术!$A:$ZZ,5,FALSE)+SUM(_xlfn.XLOOKUP($R89:$AK89,增益!$A:$A,增益!$E:$E,0))</f>
        <v>0.075</v>
      </c>
      <c r="AS89" cm="1">
        <f t="array" ref="AS89">$D$10*(1+$AR89)+VLOOKUP($Q89,武学奇术!$A:$ZZ,3,FALSE)+SUM(_xlfn.XLOOKUP($R89:$AK89,增益!$A:$A,增益!$C:$C,0))-$I$2</f>
        <v>4100.3171</v>
      </c>
      <c r="AT89" cm="1">
        <f t="array" ref="AT89">$E$10*(1+$AR89)+VLOOKUP($Q89,武学奇术!$A:$ZZ,4,FALSE)+SUM(_xlfn.XLOOKUP($R89:$AK89,增益!$A:$A,增益!$D:$D,0))-$I$2</f>
        <v>4100.3171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0.2925</v>
      </c>
      <c r="AV89" s="32" cm="1">
        <f t="array" ref="AV89">$G$10+VLOOKUP($Q89,武学奇术!$A:$ZZ,7,FALSE)+SUM(_xlfn.XLOOKUP($R89:$AK89,增益!$A:$A,增益!$G:$G,0))</f>
        <v>0</v>
      </c>
      <c r="AW89" s="24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27"/>
        <v>605.472</v>
      </c>
      <c r="BG89">
        <f t="shared" si="28"/>
        <v>1579.612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4">
        <f>MIN(IF(VLOOKUP($Q89,武学奇术!$A:$ZZ,23,FALSE)=1,100%,$B$8),100%)</f>
        <v>1</v>
      </c>
      <c r="BO89" s="24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0.9093</v>
      </c>
      <c r="BP89" s="24" cm="1">
        <f t="array" ref="BP89">1+$B$13+VLOOKUP($Q89,武学奇术!$A:$ZZ,18,FALSE)+SUM(_xlfn.XLOOKUP($R89:$AK89,增益!$A:$A,增益!$R:$R,0))</f>
        <v>1.6</v>
      </c>
      <c r="BQ89" s="24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4" cm="1">
        <f t="array" ref="BR89">1+$B$14+VLOOKUP($Q89,武学奇术!$A:$ZZ,20,FALSE)+SUM(_xlfn.XLOOKUP($R89:$AK89,增益!$A:$A,增益!$T:$T,0))</f>
        <v>1.35</v>
      </c>
      <c r="BS89" s="24">
        <f t="shared" si="31"/>
        <v>0.9071</v>
      </c>
      <c r="BT89" s="24">
        <f t="shared" si="32"/>
        <v>0</v>
      </c>
      <c r="BU89" s="24">
        <f>IF(VLOOKUP($Q89,武学奇术!$A:$ZZ,22,FALSE)=1,0,(1-$BN89))*(1-$BQ89)</f>
        <v>0</v>
      </c>
      <c r="BV89" s="24" cm="1">
        <f t="array" ref="BV89">SUM(_xlfn.XLOOKUP($R89:$AK89,增益!$A:$A,增益!$W:$W,0))+$I$5</f>
        <v>0.06</v>
      </c>
    </row>
    <row r="90" spans="1:74">
      <c r="A90" s="4" t="s">
        <v>159</v>
      </c>
      <c r="B90" s="88">
        <v>1.3</v>
      </c>
      <c r="C90" s="4"/>
      <c r="D90" s="39"/>
      <c r="E90" s="39"/>
      <c r="G90" s="39"/>
      <c r="K90" s="38">
        <f t="shared" si="34"/>
        <v>121113.773996424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弹道",$B$21,0))*(1+$BV90)</f>
        <v>121802.425283836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弹道",$B$21,0))*(1+$BV90)</f>
        <v>114389.601953243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弹道",$B$21,0))*(1+$BV90)</f>
        <v>76126.5158023972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弹道",$B$21,0))*(1+$BV90)</f>
        <v>67519.9931209105</v>
      </c>
      <c r="P90" s="39">
        <v>4</v>
      </c>
      <c r="Q90" s="40" t="s">
        <v>155</v>
      </c>
      <c r="R90" s="40" t="s">
        <v>97</v>
      </c>
      <c r="S90" s="40" t="s">
        <v>176</v>
      </c>
      <c r="T90" s="40" t="s">
        <v>78</v>
      </c>
      <c r="U90" s="40" t="s">
        <v>90</v>
      </c>
      <c r="V90" s="40" t="s">
        <v>78</v>
      </c>
      <c r="W90" s="40" t="s">
        <v>78</v>
      </c>
      <c r="X90" s="40" t="s">
        <v>78</v>
      </c>
      <c r="Y90" s="40" t="s">
        <v>78</v>
      </c>
      <c r="Z90" s="40" t="s">
        <v>78</v>
      </c>
      <c r="AA90" s="40" t="s">
        <v>78</v>
      </c>
      <c r="AB90" s="40" t="s">
        <v>84</v>
      </c>
      <c r="AC90" s="40" t="s">
        <v>78</v>
      </c>
      <c r="AD90" s="40" t="s">
        <v>78</v>
      </c>
      <c r="AE90" s="40" t="s">
        <v>78</v>
      </c>
      <c r="AF90" s="40" t="s">
        <v>78</v>
      </c>
      <c r="AG90" s="40" t="s">
        <v>78</v>
      </c>
      <c r="AH90" s="40" t="s">
        <v>78</v>
      </c>
      <c r="AI90" s="40" t="s">
        <v>78</v>
      </c>
      <c r="AJ90" s="40" t="s">
        <v>78</v>
      </c>
      <c r="AK90" s="40" t="s">
        <v>78</v>
      </c>
      <c r="AL90" t="str">
        <f>VLOOKUP($Q90,武学奇术!$A:$ZZ,25,FALSE)</f>
        <v>单体奇术</v>
      </c>
      <c r="AM90" s="24">
        <f>VLOOKUP($Q90,武学奇术!$A:$ZZ,26,FALSE)</f>
        <v>1.609</v>
      </c>
      <c r="AN90" s="25">
        <f>VLOOKUP($Q90,武学奇术!$A:$ZZ,27,FALSE)*(1+IF(OR($AL90=$F$4,$AL90=$F$5),$B$22,0))</f>
        <v>308</v>
      </c>
      <c r="AO90" s="24">
        <f>VLOOKUP($Q90,武学奇术!$A:$ZZ,28,FALSE)</f>
        <v>2.4135</v>
      </c>
      <c r="AP90" s="25">
        <f>VLOOKUP($Q90,武学奇术!$A:$ZZ,29,FALSE)*(1+IF(OR($AL90=$F$4,$AL90=$F$5),$B$22,0))</f>
        <v>0</v>
      </c>
      <c r="AQ90" s="24" cm="1">
        <f t="array" ref="AQ90">$G$3+IFERROR(VLOOKUP($AL90,$F$4:$G$7,2,FALSE),0)+VLOOKUP($Q90,武学奇术!$A:$ZZ,2,FALSE)+SUM(_xlfn.XLOOKUP($R90:$AK90,增益!$A:$A,增益!$B:$B,0))</f>
        <v>0.5015</v>
      </c>
      <c r="AR90" s="24" cm="1">
        <f t="array" ref="AR90">VLOOKUP($Q90,武学奇术!$A:$ZZ,5,FALSE)+SUM(_xlfn.XLOOKUP($R90:$AK90,增益!$A:$A,增益!$E:$E,0))</f>
        <v>0.075</v>
      </c>
      <c r="AS90" cm="1">
        <f t="array" ref="AS90">$D$10*(1+$AR90)+VLOOKUP($Q90,武学奇术!$A:$ZZ,3,FALSE)+SUM(_xlfn.XLOOKUP($R90:$AK90,增益!$A:$A,增益!$C:$C,0))-$I$2</f>
        <v>4100.3171</v>
      </c>
      <c r="AT90" cm="1">
        <f t="array" ref="AT90">$E$10*(1+$AR90)+VLOOKUP($Q90,武学奇术!$A:$ZZ,4,FALSE)+SUM(_xlfn.XLOOKUP($R90:$AK90,增益!$A:$A,增益!$D:$D,0))-$I$2</f>
        <v>4100.3171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0.2925</v>
      </c>
      <c r="AV90" s="32" cm="1">
        <f t="array" ref="AV90">$G$10+VLOOKUP($Q90,武学奇术!$A:$ZZ,7,FALSE)+SUM(_xlfn.XLOOKUP($R90:$AK90,增益!$A:$A,增益!$G:$G,0))</f>
        <v>0</v>
      </c>
      <c r="AW90" s="24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27"/>
        <v>605.472</v>
      </c>
      <c r="BG90">
        <f t="shared" si="28"/>
        <v>1579.612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4">
        <f>MIN(IF(VLOOKUP($Q90,武学奇术!$A:$ZZ,23,FALSE)=1,100%,$B$8),100%)</f>
        <v>1</v>
      </c>
      <c r="BO90" s="24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0.9093</v>
      </c>
      <c r="BP90" s="24" cm="1">
        <f t="array" ref="BP90">1+$B$13+VLOOKUP($Q90,武学奇术!$A:$ZZ,18,FALSE)+SUM(_xlfn.XLOOKUP($R90:$AK90,增益!$A:$A,增益!$R:$R,0))</f>
        <v>1.6</v>
      </c>
      <c r="BQ90" s="24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4" cm="1">
        <f t="array" ref="BR90">1+$B$14+VLOOKUP($Q90,武学奇术!$A:$ZZ,20,FALSE)+SUM(_xlfn.XLOOKUP($R90:$AK90,增益!$A:$A,增益!$T:$T,0))</f>
        <v>1.35</v>
      </c>
      <c r="BS90" s="24">
        <f t="shared" si="31"/>
        <v>0.9071</v>
      </c>
      <c r="BT90" s="24">
        <f t="shared" si="32"/>
        <v>0</v>
      </c>
      <c r="BU90" s="24">
        <f>IF(VLOOKUP($Q90,武学奇术!$A:$ZZ,22,FALSE)=1,0,(1-$BN90))*(1-$BQ90)</f>
        <v>0</v>
      </c>
      <c r="BV90" s="24" cm="1">
        <f t="array" ref="BV90">SUM(_xlfn.XLOOKUP($R90:$AK90,增益!$A:$A,增益!$W:$W,0))+$I$5</f>
        <v>0.06</v>
      </c>
    </row>
    <row r="91" spans="1:74">
      <c r="A91" s="4" t="s">
        <v>111</v>
      </c>
      <c r="B91" s="88">
        <v>1.16</v>
      </c>
      <c r="E91" s="39"/>
      <c r="G91" s="39"/>
      <c r="K91" s="38">
        <f t="shared" si="34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弹道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弹道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弹道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弹道",$B$21,0))*(1+$BV91)</f>
        <v>0</v>
      </c>
      <c r="P91" s="39">
        <v>1</v>
      </c>
      <c r="Q91" s="40" t="s">
        <v>78</v>
      </c>
      <c r="R91" s="40" t="s">
        <v>78</v>
      </c>
      <c r="S91" s="40" t="s">
        <v>78</v>
      </c>
      <c r="T91" s="40" t="s">
        <v>78</v>
      </c>
      <c r="U91" s="40" t="s">
        <v>78</v>
      </c>
      <c r="V91" s="40" t="s">
        <v>78</v>
      </c>
      <c r="W91" s="40" t="s">
        <v>78</v>
      </c>
      <c r="X91" s="40" t="s">
        <v>78</v>
      </c>
      <c r="Y91" s="40" t="s">
        <v>78</v>
      </c>
      <c r="Z91" s="40" t="s">
        <v>78</v>
      </c>
      <c r="AA91" s="40" t="s">
        <v>78</v>
      </c>
      <c r="AB91" s="40" t="s">
        <v>78</v>
      </c>
      <c r="AC91" s="40" t="s">
        <v>78</v>
      </c>
      <c r="AD91" s="40" t="s">
        <v>78</v>
      </c>
      <c r="AE91" s="40" t="s">
        <v>78</v>
      </c>
      <c r="AF91" s="40" t="s">
        <v>78</v>
      </c>
      <c r="AG91" s="40" t="s">
        <v>78</v>
      </c>
      <c r="AH91" s="40" t="s">
        <v>78</v>
      </c>
      <c r="AI91" s="40" t="s">
        <v>78</v>
      </c>
      <c r="AJ91" s="40" t="s">
        <v>78</v>
      </c>
      <c r="AK91" s="40" t="s">
        <v>78</v>
      </c>
      <c r="AL91" t="str">
        <f>VLOOKUP($Q91,武学奇术!$A:$ZZ,25,FALSE)</f>
        <v>心法</v>
      </c>
      <c r="AM91" s="24">
        <f>VLOOKUP($Q91,武学奇术!$A:$ZZ,26,FALSE)</f>
        <v>0</v>
      </c>
      <c r="AN91" s="25">
        <f>VLOOKUP($Q91,武学奇术!$A:$ZZ,27,FALSE)*(1+IF(OR($AL91=$F$4,$AL91=$F$5),$B$22,0))</f>
        <v>0</v>
      </c>
      <c r="AO91" s="24">
        <f>VLOOKUP($Q91,武学奇术!$A:$ZZ,28,FALSE)</f>
        <v>0</v>
      </c>
      <c r="AP91" s="25">
        <f>VLOOKUP($Q91,武学奇术!$A:$ZZ,29,FALSE)*(1+IF(OR($AL91=$F$4,$AL91=$F$5),$B$22,0))</f>
        <v>0</v>
      </c>
      <c r="AQ91" s="24" cm="1">
        <f t="array" ref="AQ91">$G$3+IFERROR(VLOOKUP($AL91,$F$4:$G$7,2,FALSE),0)+VLOOKUP($Q91,武学奇术!$A:$ZZ,2,FALSE)+SUM(_xlfn.XLOOKUP($R91:$AK91,增益!$A:$A,增益!$B:$B,0))</f>
        <v>0.1837</v>
      </c>
      <c r="AR91" s="24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3773.588</v>
      </c>
      <c r="AT91" cm="1">
        <f t="array" ref="AT91">$E$10*(1+$AR91)+VLOOKUP($Q91,武学奇术!$A:$ZZ,4,FALSE)+SUM(_xlfn.XLOOKUP($R91:$AK91,增益!$A:$A,增益!$D:$D,0))-$I$2</f>
        <v>3773.588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0.2425</v>
      </c>
      <c r="AV91" s="32" cm="1">
        <f t="array" ref="AV91">$G$10+VLOOKUP($Q91,武学奇术!$A:$ZZ,7,FALSE)+SUM(_xlfn.XLOOKUP($R91:$AK91,增益!$A:$A,增益!$G:$G,0))</f>
        <v>0</v>
      </c>
      <c r="AW91" s="24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27"/>
        <v>605.472</v>
      </c>
      <c r="BG91">
        <f t="shared" si="28"/>
        <v>1579.612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4">
        <f>MIN(IF(VLOOKUP($Q91,武学奇术!$A:$ZZ,23,FALSE)=1,100%,$B$8),100%)</f>
        <v>1</v>
      </c>
      <c r="BO91" s="24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0.9093</v>
      </c>
      <c r="BP91" s="24" cm="1">
        <f t="array" ref="BP91">1+$B$13+VLOOKUP($Q91,武学奇术!$A:$ZZ,18,FALSE)+SUM(_xlfn.XLOOKUP($R91:$AK91,增益!$A:$A,增益!$R:$R,0))</f>
        <v>1.5</v>
      </c>
      <c r="BQ91" s="24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4" cm="1">
        <f t="array" ref="BR91">1+$B$14+VLOOKUP($Q91,武学奇术!$A:$ZZ,20,FALSE)+SUM(_xlfn.XLOOKUP($R91:$AK91,增益!$A:$A,增益!$T:$T,0))</f>
        <v>1.35</v>
      </c>
      <c r="BS91" s="24">
        <f t="shared" si="31"/>
        <v>0.9071</v>
      </c>
      <c r="BT91" s="24">
        <f t="shared" si="32"/>
        <v>0</v>
      </c>
      <c r="BU91" s="24">
        <f>IF(VLOOKUP($Q91,武学奇术!$A:$ZZ,22,FALSE)=1,0,(1-$BN91))*(1-$BQ91)</f>
        <v>0</v>
      </c>
      <c r="BV91" s="24" cm="1">
        <f t="array" ref="BV91">SUM(_xlfn.XLOOKUP($R91:$AK91,增益!$A:$A,增益!$W:$W,0))+$I$5</f>
        <v>0.06</v>
      </c>
    </row>
    <row r="92" spans="1:74">
      <c r="A92" s="4" t="s">
        <v>161</v>
      </c>
      <c r="B92" s="4">
        <v>0.1</v>
      </c>
      <c r="E92" s="39"/>
      <c r="G92" s="39"/>
      <c r="K92" s="38">
        <f t="shared" si="34"/>
        <v>66688.4193641164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弹道",$B$21,0))*(1+$BV92)</f>
        <v>68201.9253999275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弹道",$B$21,0))*(1+$BV92)</f>
        <v>51910.1489111109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弹道",$B$21,0))*(1+$BV92)</f>
        <v>34796.9007142487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弹道",$B$21,0))*(1+$BV92)</f>
        <v>31141.839272119</v>
      </c>
      <c r="P92" s="39">
        <v>1</v>
      </c>
      <c r="Q92" s="40" t="s">
        <v>101</v>
      </c>
      <c r="R92" s="40" t="s">
        <v>78</v>
      </c>
      <c r="S92" s="40" t="s">
        <v>176</v>
      </c>
      <c r="T92" s="40" t="s">
        <v>78</v>
      </c>
      <c r="U92" s="40" t="s">
        <v>90</v>
      </c>
      <c r="V92" s="40" t="s">
        <v>102</v>
      </c>
      <c r="W92" s="40" t="s">
        <v>78</v>
      </c>
      <c r="X92" s="40" t="s">
        <v>78</v>
      </c>
      <c r="Y92" s="40" t="s">
        <v>78</v>
      </c>
      <c r="Z92" s="40" t="s">
        <v>78</v>
      </c>
      <c r="AA92" s="40" t="s">
        <v>78</v>
      </c>
      <c r="AB92" s="40" t="s">
        <v>84</v>
      </c>
      <c r="AC92" s="40" t="s">
        <v>78</v>
      </c>
      <c r="AD92" s="40" t="s">
        <v>78</v>
      </c>
      <c r="AE92" s="40" t="s">
        <v>78</v>
      </c>
      <c r="AF92" s="40" t="s">
        <v>78</v>
      </c>
      <c r="AG92" s="40" t="s">
        <v>78</v>
      </c>
      <c r="AH92" s="40" t="s">
        <v>78</v>
      </c>
      <c r="AI92" s="40" t="s">
        <v>78</v>
      </c>
      <c r="AJ92" s="40" t="s">
        <v>78</v>
      </c>
      <c r="AK92" s="40" t="s">
        <v>78</v>
      </c>
      <c r="AL92" t="str">
        <f>VLOOKUP($Q92,武学奇术!$A:$ZZ,25,FALSE)</f>
        <v>伞</v>
      </c>
      <c r="AM92" s="24">
        <f>VLOOKUP($Q92,武学奇术!$A:$ZZ,26,FALSE)</f>
        <v>2.3397</v>
      </c>
      <c r="AN92" s="25">
        <f>VLOOKUP($Q92,武学奇术!$A:$ZZ,27,FALSE)*(1+IF(OR($AL92=$F$4,$AL92=$F$5),$B$22,0))</f>
        <v>972</v>
      </c>
      <c r="AO92" s="24">
        <f>VLOOKUP($Q92,武学奇术!$A:$ZZ,28,FALSE)</f>
        <v>3.5095</v>
      </c>
      <c r="AP92" s="25">
        <f>VLOOKUP($Q92,武学奇术!$A:$ZZ,29,FALSE)*(1+IF(OR($AL92=$F$4,$AL92=$F$5),$B$22,0))</f>
        <v>529.5</v>
      </c>
      <c r="AQ92" s="24" cm="1">
        <f t="array" ref="AQ92">$G$3+IFERROR(VLOOKUP($AL92,$F$4:$G$7,2,FALSE),0)+VLOOKUP($Q92,武学奇术!$A:$ZZ,2,FALSE)+SUM(_xlfn.XLOOKUP($R92:$AK92,增益!$A:$A,增益!$B:$B,0))</f>
        <v>0.7541</v>
      </c>
      <c r="AR92" s="24" cm="1">
        <f t="array" ref="AR92">VLOOKUP($Q92,武学奇术!$A:$ZZ,5,FALSE)+SUM(_xlfn.XLOOKUP($R92:$AK92,增益!$A:$A,增益!$E:$E,0))</f>
        <v>0.075</v>
      </c>
      <c r="AS92" cm="1">
        <f t="array" ref="AS92">$D$10*(1+$AR92)+VLOOKUP($Q92,武学奇术!$A:$ZZ,3,FALSE)+SUM(_xlfn.XLOOKUP($R92:$AK92,增益!$A:$A,增益!$C:$C,0))-$I$2</f>
        <v>4100.3171</v>
      </c>
      <c r="AT92" cm="1">
        <f t="array" ref="AT92">$E$10*(1+$AR92)+VLOOKUP($Q92,武学奇术!$A:$ZZ,4,FALSE)+SUM(_xlfn.XLOOKUP($R92:$AK92,增益!$A:$A,增益!$D:$D,0))-$I$2</f>
        <v>4100.3171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0.2675</v>
      </c>
      <c r="AV92" s="32" cm="1">
        <f t="array" ref="AV92">$G$10+VLOOKUP($Q92,武学奇术!$A:$ZZ,7,FALSE)+SUM(_xlfn.XLOOKUP($R92:$AK92,增益!$A:$A,增益!$G:$G,0))</f>
        <v>0</v>
      </c>
      <c r="AW92" s="24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27"/>
        <v>605.472</v>
      </c>
      <c r="BG92">
        <f t="shared" si="28"/>
        <v>1579.612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4">
        <f>MIN(IF(VLOOKUP($Q92,武学奇术!$A:$ZZ,23,FALSE)=1,100%,$B$8),100%)</f>
        <v>1</v>
      </c>
      <c r="BO92" s="24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0.9093</v>
      </c>
      <c r="BP92" s="24" cm="1">
        <f t="array" ref="BP92">1+$B$13+VLOOKUP($Q92,武学奇术!$A:$ZZ,18,FALSE)+SUM(_xlfn.XLOOKUP($R92:$AK92,增益!$A:$A,增益!$R:$R,0))</f>
        <v>1.96</v>
      </c>
      <c r="BQ92" s="24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4" cm="1">
        <f t="array" ref="BR92">1+$B$14+VLOOKUP($Q92,武学奇术!$A:$ZZ,20,FALSE)+SUM(_xlfn.XLOOKUP($R92:$AK92,增益!$A:$A,增益!$T:$T,0))</f>
        <v>1.35</v>
      </c>
      <c r="BS92" s="24">
        <f t="shared" si="31"/>
        <v>0.9071</v>
      </c>
      <c r="BT92" s="24">
        <f t="shared" si="32"/>
        <v>0</v>
      </c>
      <c r="BU92" s="24">
        <f>IF(VLOOKUP($Q92,武学奇术!$A:$ZZ,22,FALSE)=1,0,(1-$BN92))*(1-$BQ92)</f>
        <v>0</v>
      </c>
      <c r="BV92" s="24" cm="1">
        <f t="array" ref="BV92">SUM(_xlfn.XLOOKUP($R92:$AK92,增益!$A:$A,增益!$W:$W,0))+$I$5</f>
        <v>0.06</v>
      </c>
    </row>
    <row r="93" spans="1:74">
      <c r="A93" s="4" t="s">
        <v>163</v>
      </c>
      <c r="B93" s="88">
        <v>2.1</v>
      </c>
      <c r="E93" s="39"/>
      <c r="F93">
        <v>-24</v>
      </c>
      <c r="G93" s="39"/>
      <c r="K93" s="38">
        <f t="shared" si="34"/>
        <v>21880.6691038503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弹道",$B$21,0))*(1+$BV93)</f>
        <v>22017.4500174906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弹道",$B$21,0))*(1+$BV93)</f>
        <v>20545.1043378321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弹道",$B$21,0))*(1+$BV93)</f>
        <v>13760.9062609316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弹道",$B$21,0))*(1+$BV93)</f>
        <v>12303.2167160616</v>
      </c>
      <c r="P93" s="39">
        <v>1</v>
      </c>
      <c r="Q93" s="40" t="s">
        <v>131</v>
      </c>
      <c r="R93" s="40" t="s">
        <v>76</v>
      </c>
      <c r="S93" s="40" t="s">
        <v>176</v>
      </c>
      <c r="T93" s="40" t="s">
        <v>78</v>
      </c>
      <c r="U93" s="40" t="s">
        <v>90</v>
      </c>
      <c r="V93" s="40" t="s">
        <v>78</v>
      </c>
      <c r="W93" s="40" t="s">
        <v>78</v>
      </c>
      <c r="X93" s="40" t="s">
        <v>78</v>
      </c>
      <c r="Y93" s="40" t="s">
        <v>78</v>
      </c>
      <c r="Z93" s="40" t="s">
        <v>78</v>
      </c>
      <c r="AA93" s="40" t="s">
        <v>78</v>
      </c>
      <c r="AB93" s="40" t="s">
        <v>84</v>
      </c>
      <c r="AC93" s="40" t="s">
        <v>78</v>
      </c>
      <c r="AD93" s="40" t="s">
        <v>78</v>
      </c>
      <c r="AE93" s="40" t="s">
        <v>78</v>
      </c>
      <c r="AF93" s="40" t="s">
        <v>78</v>
      </c>
      <c r="AG93" s="40" t="s">
        <v>78</v>
      </c>
      <c r="AH93" s="40" t="s">
        <v>78</v>
      </c>
      <c r="AI93" s="40" t="s">
        <v>78</v>
      </c>
      <c r="AJ93" s="40" t="s">
        <v>78</v>
      </c>
      <c r="AK93" s="40" t="s">
        <v>78</v>
      </c>
      <c r="AL93" t="str">
        <f>VLOOKUP($Q93,武学奇术!$A:$ZZ,25,FALSE)</f>
        <v>扇</v>
      </c>
      <c r="AM93" s="24">
        <f>VLOOKUP($Q93,武学奇术!$A:$ZZ,26,FALSE)</f>
        <v>1.2798</v>
      </c>
      <c r="AN93" s="25">
        <f>VLOOKUP($Q93,武学奇术!$A:$ZZ,27,FALSE)*(1+IF(OR($AL93=$F$4,$AL93=$F$5),$B$22,0))</f>
        <v>532.5</v>
      </c>
      <c r="AO93" s="24">
        <f>VLOOKUP($Q93,武学奇术!$A:$ZZ,28,FALSE)</f>
        <v>1.9197</v>
      </c>
      <c r="AP93" s="25">
        <f>VLOOKUP($Q93,武学奇术!$A:$ZZ,29,FALSE)*(1+IF(OR($AL93=$F$4,$AL93=$F$5),$B$22,0))</f>
        <v>289.5</v>
      </c>
      <c r="AQ93" s="24" cm="1">
        <f t="array" ref="AQ93">$G$3+IFERROR(VLOOKUP($AL93,$F$4:$G$7,2,FALSE),0)+VLOOKUP($Q93,武学奇术!$A:$ZZ,2,FALSE)+SUM(_xlfn.XLOOKUP($R93:$AK93,增益!$A:$A,增益!$B:$B,0))</f>
        <v>0.2789</v>
      </c>
      <c r="AR93" s="24" cm="1">
        <f t="array" ref="AR93">VLOOKUP($Q93,武学奇术!$A:$ZZ,5,FALSE)+SUM(_xlfn.XLOOKUP($R93:$AK93,增益!$A:$A,增益!$E:$E,0))</f>
        <v>0.075</v>
      </c>
      <c r="AS93" cm="1">
        <f t="array" ref="AS93">$D$10*(1+$AR93)+VLOOKUP($Q93,武学奇术!$A:$ZZ,3,FALSE)+SUM(_xlfn.XLOOKUP($R93:$AK93,增益!$A:$A,增益!$C:$C,0))-$I$2</f>
        <v>4100.3171</v>
      </c>
      <c r="AT93" cm="1">
        <f t="array" ref="AT93">$E$10*(1+$AR93)+VLOOKUP($Q93,武学奇术!$A:$ZZ,4,FALSE)+SUM(_xlfn.XLOOKUP($R93:$AK93,增益!$A:$A,增益!$D:$D,0))-$I$2</f>
        <v>4100.3171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0.2525</v>
      </c>
      <c r="AV93" s="32" cm="1">
        <f t="array" ref="AV93">$G$10+VLOOKUP($Q93,武学奇术!$A:$ZZ,7,FALSE)+SUM(_xlfn.XLOOKUP($R93:$AK93,增益!$A:$A,增益!$G:$G,0))</f>
        <v>0</v>
      </c>
      <c r="AW93" s="24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27"/>
        <v>605.472</v>
      </c>
      <c r="BG93">
        <f t="shared" si="28"/>
        <v>1579.612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4">
        <f>MIN(IF(VLOOKUP($Q93,武学奇术!$A:$ZZ,23,FALSE)=1,100%,$B$8),100%)</f>
        <v>1</v>
      </c>
      <c r="BO93" s="24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0.9093</v>
      </c>
      <c r="BP93" s="24" cm="1">
        <f t="array" ref="BP93">1+$B$13+VLOOKUP($Q93,武学奇术!$A:$ZZ,18,FALSE)+SUM(_xlfn.XLOOKUP($R93:$AK93,增益!$A:$A,增益!$R:$R,0))</f>
        <v>1.6</v>
      </c>
      <c r="BQ93" s="24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4" cm="1">
        <f t="array" ref="BR93">1+$B$14+VLOOKUP($Q93,武学奇术!$A:$ZZ,20,FALSE)+SUM(_xlfn.XLOOKUP($R93:$AK93,增益!$A:$A,增益!$T:$T,0))</f>
        <v>1.35</v>
      </c>
      <c r="BS93" s="24">
        <f t="shared" si="31"/>
        <v>0.9071</v>
      </c>
      <c r="BT93" s="24">
        <f t="shared" si="32"/>
        <v>0</v>
      </c>
      <c r="BU93" s="24">
        <f>IF(VLOOKUP($Q93,武学奇术!$A:$ZZ,22,FALSE)=1,0,(1-$BN93))*(1-$BQ93)</f>
        <v>0</v>
      </c>
      <c r="BV93" s="24" cm="1">
        <f t="array" ref="BV93">SUM(_xlfn.XLOOKUP($R93:$AK93,增益!$A:$A,增益!$W:$W,0))+$I$5</f>
        <v>0.06</v>
      </c>
    </row>
    <row r="94" spans="1:74">
      <c r="A94" s="4" t="s">
        <v>165</v>
      </c>
      <c r="B94" s="88">
        <v>1</v>
      </c>
      <c r="E94" s="39"/>
      <c r="G94" s="39"/>
      <c r="K94" s="38">
        <f t="shared" si="34"/>
        <v>25514.7230972185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弹道",$B$21,0))*(1+$BV94)</f>
        <v>26094.745330105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弹道",$B$21,0))*(1+$BV94)</f>
        <v>19851.2336736311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弹道",$B$21,0))*(1+$BV94)</f>
        <v>13313.6455765842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弹道",$B$21,0))*(1+$BV94)</f>
        <v>11922.6736171453</v>
      </c>
      <c r="P94" s="39">
        <v>0.5</v>
      </c>
      <c r="Q94" s="40" t="s">
        <v>113</v>
      </c>
      <c r="R94" s="40" t="s">
        <v>76</v>
      </c>
      <c r="S94" s="40" t="s">
        <v>176</v>
      </c>
      <c r="T94" s="40" t="s">
        <v>106</v>
      </c>
      <c r="U94" s="40" t="s">
        <v>90</v>
      </c>
      <c r="V94" s="40" t="s">
        <v>102</v>
      </c>
      <c r="W94" s="40" t="s">
        <v>78</v>
      </c>
      <c r="X94" s="40" t="s">
        <v>78</v>
      </c>
      <c r="Y94" s="40" t="s">
        <v>78</v>
      </c>
      <c r="Z94" s="40" t="s">
        <v>78</v>
      </c>
      <c r="AA94" s="40" t="s">
        <v>78</v>
      </c>
      <c r="AB94" s="40" t="s">
        <v>84</v>
      </c>
      <c r="AC94" s="40" t="s">
        <v>78</v>
      </c>
      <c r="AD94" s="40" t="s">
        <v>78</v>
      </c>
      <c r="AE94" s="40" t="s">
        <v>78</v>
      </c>
      <c r="AF94" s="40" t="s">
        <v>78</v>
      </c>
      <c r="AG94" s="40" t="s">
        <v>78</v>
      </c>
      <c r="AH94" s="40" t="s">
        <v>78</v>
      </c>
      <c r="AI94" s="40" t="s">
        <v>78</v>
      </c>
      <c r="AJ94" s="40" t="s">
        <v>78</v>
      </c>
      <c r="AK94" s="40" t="s">
        <v>78</v>
      </c>
      <c r="AL94" t="str">
        <f>VLOOKUP($Q94,武学奇术!$A:$ZZ,25,FALSE)</f>
        <v>伞</v>
      </c>
      <c r="AM94" s="24">
        <f>VLOOKUP($Q94,武学奇术!$A:$ZZ,26,FALSE)</f>
        <v>1.174955</v>
      </c>
      <c r="AN94" s="25">
        <f>VLOOKUP($Q94,武学奇术!$A:$ZZ,27,FALSE)*(1+IF(OR($AL94=$F$4,$AL94=$F$5),$B$22,0))</f>
        <v>486.45</v>
      </c>
      <c r="AO94" s="24">
        <f>VLOOKUP($Q94,武学奇术!$A:$ZZ,28,FALSE)</f>
        <v>1.762375</v>
      </c>
      <c r="AP94" s="25">
        <f>VLOOKUP($Q94,武学奇术!$A:$ZZ,29,FALSE)*(1+IF(OR($AL94=$F$4,$AL94=$F$5),$B$22,0))</f>
        <v>265.65</v>
      </c>
      <c r="AQ94" s="24" cm="1">
        <f t="array" ref="AQ94">$G$3+IFERROR(VLOOKUP($AL94,$F$4:$G$7,2,FALSE),0)+VLOOKUP($Q94,武学奇术!$A:$ZZ,2,FALSE)+SUM(_xlfn.XLOOKUP($R94:$AK94,增益!$A:$A,增益!$B:$B,0))</f>
        <v>1.0141</v>
      </c>
      <c r="AR94" s="24" cm="1">
        <f t="array" ref="AR94">VLOOKUP($Q94,武学奇术!$A:$ZZ,5,FALSE)+SUM(_xlfn.XLOOKUP($R94:$AK94,增益!$A:$A,增益!$E:$E,0))</f>
        <v>0.075</v>
      </c>
      <c r="AS94" cm="1">
        <f t="array" ref="AS94">$D$10*(1+$AR94)+VLOOKUP($Q94,武学奇术!$A:$ZZ,3,FALSE)+SUM(_xlfn.XLOOKUP($R94:$AK94,增益!$A:$A,增益!$C:$C,0))-$I$2</f>
        <v>4100.3171</v>
      </c>
      <c r="AT94" cm="1">
        <f t="array" ref="AT94">$E$10*(1+$AR94)+VLOOKUP($Q94,武学奇术!$A:$ZZ,4,FALSE)+SUM(_xlfn.XLOOKUP($R94:$AK94,增益!$A:$A,增益!$D:$D,0))-$I$2</f>
        <v>4100.3171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0.2775</v>
      </c>
      <c r="AV94" s="32" cm="1">
        <f t="array" ref="AV94">$G$10+VLOOKUP($Q94,武学奇术!$A:$ZZ,7,FALSE)+SUM(_xlfn.XLOOKUP($R94:$AK94,增益!$A:$A,增益!$G:$G,0))</f>
        <v>0</v>
      </c>
      <c r="AW94" s="24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27"/>
        <v>605.472</v>
      </c>
      <c r="BG94">
        <f t="shared" si="28"/>
        <v>1579.612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4">
        <f>MIN(IF(VLOOKUP($Q94,武学奇术!$A:$ZZ,23,FALSE)=1,100%,$B$8),100%)</f>
        <v>1</v>
      </c>
      <c r="BO94" s="24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0.9093</v>
      </c>
      <c r="BP94" s="24" cm="1">
        <f t="array" ref="BP94">1+$B$13+VLOOKUP($Q94,武学奇术!$A:$ZZ,18,FALSE)+SUM(_xlfn.XLOOKUP($R94:$AK94,增益!$A:$A,增益!$R:$R,0))</f>
        <v>1.96</v>
      </c>
      <c r="BQ94" s="24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4" cm="1">
        <f t="array" ref="BR94">1+$B$14+VLOOKUP($Q94,武学奇术!$A:$ZZ,20,FALSE)+SUM(_xlfn.XLOOKUP($R94:$AK94,增益!$A:$A,增益!$T:$T,0))</f>
        <v>1.35</v>
      </c>
      <c r="BS94" s="24">
        <f t="shared" si="31"/>
        <v>0.9071</v>
      </c>
      <c r="BT94" s="24">
        <f t="shared" si="32"/>
        <v>0</v>
      </c>
      <c r="BU94" s="24">
        <f>IF(VLOOKUP($Q94,武学奇术!$A:$ZZ,22,FALSE)=1,0,(1-$BN94))*(1-$BQ94)</f>
        <v>0</v>
      </c>
      <c r="BV94" s="24" cm="1">
        <f t="array" ref="BV94">SUM(_xlfn.XLOOKUP($R94:$AK94,增益!$A:$A,增益!$W:$W,0))+$I$5</f>
        <v>0.06</v>
      </c>
    </row>
    <row r="95" spans="1:74">
      <c r="A95" s="4" t="s">
        <v>161</v>
      </c>
      <c r="B95" s="4">
        <v>0.1</v>
      </c>
      <c r="E95" s="39"/>
      <c r="G95" s="39"/>
      <c r="K95" s="38">
        <f t="shared" si="34"/>
        <v>103137.449678565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弹道",$B$21,0))*(1+$BV95)</f>
        <v>105486.08343246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弹道",$B$21,0))*(1+$BV95)</f>
        <v>80204.7728415571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弹道",$B$21,0))*(1+$BV95)</f>
        <v>53819.4303226838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弹道",$B$21,0))*(1+$BV95)</f>
        <v>48227.9177997699</v>
      </c>
      <c r="P95" s="39">
        <v>2</v>
      </c>
      <c r="Q95" s="40" t="s">
        <v>113</v>
      </c>
      <c r="R95" s="40" t="s">
        <v>82</v>
      </c>
      <c r="S95" s="40" t="s">
        <v>176</v>
      </c>
      <c r="T95" s="40" t="s">
        <v>106</v>
      </c>
      <c r="U95" s="40" t="s">
        <v>90</v>
      </c>
      <c r="V95" s="40" t="s">
        <v>102</v>
      </c>
      <c r="W95" s="40" t="s">
        <v>78</v>
      </c>
      <c r="X95" s="40" t="s">
        <v>78</v>
      </c>
      <c r="Y95" s="40" t="s">
        <v>78</v>
      </c>
      <c r="Z95" s="40" t="s">
        <v>78</v>
      </c>
      <c r="AA95" s="40" t="s">
        <v>78</v>
      </c>
      <c r="AB95" s="40" t="s">
        <v>84</v>
      </c>
      <c r="AC95" s="40" t="s">
        <v>78</v>
      </c>
      <c r="AD95" s="40" t="s">
        <v>78</v>
      </c>
      <c r="AE95" s="40" t="s">
        <v>78</v>
      </c>
      <c r="AF95" s="40" t="s">
        <v>78</v>
      </c>
      <c r="AG95" s="40" t="s">
        <v>78</v>
      </c>
      <c r="AH95" s="40" t="s">
        <v>78</v>
      </c>
      <c r="AI95" s="40" t="s">
        <v>78</v>
      </c>
      <c r="AJ95" s="40" t="s">
        <v>78</v>
      </c>
      <c r="AK95" s="40" t="s">
        <v>78</v>
      </c>
      <c r="AL95" t="str">
        <f>VLOOKUP($Q95,武学奇术!$A:$ZZ,25,FALSE)</f>
        <v>伞</v>
      </c>
      <c r="AM95" s="24">
        <f>VLOOKUP($Q95,武学奇术!$A:$ZZ,26,FALSE)</f>
        <v>1.174955</v>
      </c>
      <c r="AN95" s="25">
        <f>VLOOKUP($Q95,武学奇术!$A:$ZZ,27,FALSE)*(1+IF(OR($AL95=$F$4,$AL95=$F$5),$B$22,0))</f>
        <v>486.45</v>
      </c>
      <c r="AO95" s="24">
        <f>VLOOKUP($Q95,武学奇术!$A:$ZZ,28,FALSE)</f>
        <v>1.762375</v>
      </c>
      <c r="AP95" s="25">
        <f>VLOOKUP($Q95,武学奇术!$A:$ZZ,29,FALSE)*(1+IF(OR($AL95=$F$4,$AL95=$F$5),$B$22,0))</f>
        <v>265.65</v>
      </c>
      <c r="AQ95" s="24" cm="1">
        <f t="array" ref="AQ95">$G$3+IFERROR(VLOOKUP($AL95,$F$4:$G$7,2,FALSE),0)+VLOOKUP($Q95,武学奇术!$A:$ZZ,2,FALSE)+SUM(_xlfn.XLOOKUP($R95:$AK95,增益!$A:$A,增益!$B:$B,0))</f>
        <v>1.0241</v>
      </c>
      <c r="AR95" s="24" cm="1">
        <f t="array" ref="AR95">VLOOKUP($Q95,武学奇术!$A:$ZZ,5,FALSE)+SUM(_xlfn.XLOOKUP($R95:$AK95,增益!$A:$A,增益!$E:$E,0))</f>
        <v>0.075</v>
      </c>
      <c r="AS95" cm="1">
        <f t="array" ref="AS95">$D$10*(1+$AR95)+VLOOKUP($Q95,武学奇术!$A:$ZZ,3,FALSE)+SUM(_xlfn.XLOOKUP($R95:$AK95,增益!$A:$A,增益!$C:$C,0))-$I$2</f>
        <v>4100.3171</v>
      </c>
      <c r="AT95" cm="1">
        <f t="array" ref="AT95">$E$10*(1+$AR95)+VLOOKUP($Q95,武学奇术!$A:$ZZ,4,FALSE)+SUM(_xlfn.XLOOKUP($R95:$AK95,增益!$A:$A,增益!$D:$D,0))-$I$2</f>
        <v>4100.3171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0.2875</v>
      </c>
      <c r="AV95" s="32" cm="1">
        <f t="array" ref="AV95">$G$10+VLOOKUP($Q95,武学奇术!$A:$ZZ,7,FALSE)+SUM(_xlfn.XLOOKUP($R95:$AK95,增益!$A:$A,增益!$G:$G,0))</f>
        <v>0</v>
      </c>
      <c r="AW95" s="24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27"/>
        <v>605.472</v>
      </c>
      <c r="BG95">
        <f t="shared" si="28"/>
        <v>1579.612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4">
        <f>MIN(IF(VLOOKUP($Q95,武学奇术!$A:$ZZ,23,FALSE)=1,100%,$B$8),100%)</f>
        <v>1</v>
      </c>
      <c r="BO95" s="24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0.9093</v>
      </c>
      <c r="BP95" s="24" cm="1">
        <f t="array" ref="BP95">1+$B$13+VLOOKUP($Q95,武学奇术!$A:$ZZ,18,FALSE)+SUM(_xlfn.XLOOKUP($R95:$AK95,增益!$A:$A,增益!$R:$R,0))</f>
        <v>1.96</v>
      </c>
      <c r="BQ95" s="24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4" cm="1">
        <f t="array" ref="BR95">1+$B$14+VLOOKUP($Q95,武学奇术!$A:$ZZ,20,FALSE)+SUM(_xlfn.XLOOKUP($R95:$AK95,增益!$A:$A,增益!$T:$T,0))</f>
        <v>1.35</v>
      </c>
      <c r="BS95" s="24">
        <f t="shared" si="31"/>
        <v>0.9071</v>
      </c>
      <c r="BT95" s="24">
        <f t="shared" si="32"/>
        <v>0</v>
      </c>
      <c r="BU95" s="24">
        <f>IF(VLOOKUP($Q95,武学奇术!$A:$ZZ,22,FALSE)=1,0,(1-$BN95))*(1-$BQ95)</f>
        <v>0</v>
      </c>
      <c r="BV95" s="24" cm="1">
        <f t="array" ref="BV95">SUM(_xlfn.XLOOKUP($R95:$AK95,增益!$A:$A,增益!$W:$W,0))+$I$5</f>
        <v>0.06</v>
      </c>
    </row>
    <row r="96" spans="1:74">
      <c r="A96" s="4" t="s">
        <v>196</v>
      </c>
      <c r="B96" s="88">
        <v>1.1</v>
      </c>
      <c r="E96" s="39"/>
      <c r="F96">
        <v>-12</v>
      </c>
      <c r="K96" s="38">
        <f t="shared" si="34"/>
        <v>233037.186684526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弹道",$B$21,0))*(1+$BV96)</f>
        <v>238352.878508118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弹道",$B$21,0))*(1+$BV96)</f>
        <v>181133.375563101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弹道",$B$21,0))*(1+$BV96)</f>
        <v>121608.611483734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弹道",$B$21,0))*(1+$BV96)</f>
        <v>109044.352179985</v>
      </c>
      <c r="P96" s="39">
        <v>4</v>
      </c>
      <c r="Q96" s="40" t="s">
        <v>113</v>
      </c>
      <c r="R96" s="40" t="s">
        <v>88</v>
      </c>
      <c r="S96" s="40" t="s">
        <v>176</v>
      </c>
      <c r="T96" s="40" t="s">
        <v>106</v>
      </c>
      <c r="U96" s="40" t="s">
        <v>90</v>
      </c>
      <c r="V96" s="40" t="s">
        <v>102</v>
      </c>
      <c r="W96" s="40" t="s">
        <v>78</v>
      </c>
      <c r="X96" s="40" t="s">
        <v>78</v>
      </c>
      <c r="Y96" s="40" t="s">
        <v>78</v>
      </c>
      <c r="Z96" s="40" t="s">
        <v>78</v>
      </c>
      <c r="AA96" s="40" t="s">
        <v>78</v>
      </c>
      <c r="AB96" s="40" t="s">
        <v>84</v>
      </c>
      <c r="AC96" s="40" t="s">
        <v>78</v>
      </c>
      <c r="AD96" s="40" t="s">
        <v>78</v>
      </c>
      <c r="AE96" s="40" t="s">
        <v>78</v>
      </c>
      <c r="AF96" s="40" t="s">
        <v>117</v>
      </c>
      <c r="AG96" s="40" t="s">
        <v>78</v>
      </c>
      <c r="AH96" s="40" t="s">
        <v>78</v>
      </c>
      <c r="AI96" s="40" t="s">
        <v>78</v>
      </c>
      <c r="AJ96" s="40" t="s">
        <v>78</v>
      </c>
      <c r="AK96" s="40" t="s">
        <v>78</v>
      </c>
      <c r="AL96" t="str">
        <f>VLOOKUP($Q96,武学奇术!$A:$ZZ,25,FALSE)</f>
        <v>伞</v>
      </c>
      <c r="AM96" s="24">
        <f>VLOOKUP($Q96,武学奇术!$A:$ZZ,26,FALSE)</f>
        <v>1.174955</v>
      </c>
      <c r="AN96" s="25">
        <f>VLOOKUP($Q96,武学奇术!$A:$ZZ,27,FALSE)*(1+IF(OR($AL96=$F$4,$AL96=$F$5),$B$22,0))</f>
        <v>486.45</v>
      </c>
      <c r="AO96" s="24">
        <f>VLOOKUP($Q96,武学奇术!$A:$ZZ,28,FALSE)</f>
        <v>1.762375</v>
      </c>
      <c r="AP96" s="25">
        <f>VLOOKUP($Q96,武学奇术!$A:$ZZ,29,FALSE)*(1+IF(OR($AL96=$F$4,$AL96=$F$5),$B$22,0))</f>
        <v>265.65</v>
      </c>
      <c r="AQ96" s="24" cm="1">
        <f t="array" ref="AQ96">$G$3+IFERROR(VLOOKUP($AL96,$F$4:$G$7,2,FALSE),0)+VLOOKUP($Q96,武学奇术!$A:$ZZ,2,FALSE)+SUM(_xlfn.XLOOKUP($R96:$AK96,增益!$A:$A,增益!$B:$B,0))</f>
        <v>1.2741</v>
      </c>
      <c r="AR96" s="24" cm="1">
        <f t="array" ref="AR96">VLOOKUP($Q96,武学奇术!$A:$ZZ,5,FALSE)+SUM(_xlfn.XLOOKUP($R96:$AK96,增益!$A:$A,增益!$E:$E,0))</f>
        <v>0.075</v>
      </c>
      <c r="AS96" cm="1">
        <f t="array" ref="AS96">$D$10*(1+$AR96)+VLOOKUP($Q96,武学奇术!$A:$ZZ,3,FALSE)+SUM(_xlfn.XLOOKUP($R96:$AK96,增益!$A:$A,增益!$C:$C,0))-$I$2</f>
        <v>4100.3171</v>
      </c>
      <c r="AT96" cm="1">
        <f t="array" ref="AT96">$E$10*(1+$AR96)+VLOOKUP($Q96,武学奇术!$A:$ZZ,4,FALSE)+SUM(_xlfn.XLOOKUP($R96:$AK96,增益!$A:$A,增益!$D:$D,0))-$I$2</f>
        <v>4100.3171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0.2975</v>
      </c>
      <c r="AV96" s="32" cm="1">
        <f t="array" ref="AV96">$G$10+VLOOKUP($Q96,武学奇术!$A:$ZZ,7,FALSE)+SUM(_xlfn.XLOOKUP($R96:$AK96,增益!$A:$A,增益!$G:$G,0))</f>
        <v>0</v>
      </c>
      <c r="AW96" s="24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27"/>
        <v>605.472</v>
      </c>
      <c r="BG96">
        <f t="shared" si="28"/>
        <v>1579.612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4">
        <f>MIN(IF(VLOOKUP($Q96,武学奇术!$A:$ZZ,23,FALSE)=1,100%,$B$8),100%)</f>
        <v>1</v>
      </c>
      <c r="BO96" s="24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0.9093</v>
      </c>
      <c r="BP96" s="24" cm="1">
        <f t="array" ref="BP96">1+$B$13+VLOOKUP($Q96,武学奇术!$A:$ZZ,18,FALSE)+SUM(_xlfn.XLOOKUP($R96:$AK96,增益!$A:$A,增益!$R:$R,0))</f>
        <v>1.96</v>
      </c>
      <c r="BQ96" s="24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4" cm="1">
        <f t="array" ref="BR96">1+$B$14+VLOOKUP($Q96,武学奇术!$A:$ZZ,20,FALSE)+SUM(_xlfn.XLOOKUP($R96:$AK96,增益!$A:$A,增益!$T:$T,0))</f>
        <v>1.35</v>
      </c>
      <c r="BS96" s="24">
        <f t="shared" si="31"/>
        <v>0.9071</v>
      </c>
      <c r="BT96" s="24">
        <f t="shared" si="32"/>
        <v>0</v>
      </c>
      <c r="BU96" s="24">
        <f>IF(VLOOKUP($Q96,武学奇术!$A:$ZZ,22,FALSE)=1,0,(1-$BN96))*(1-$BQ96)</f>
        <v>0</v>
      </c>
      <c r="BV96" s="24" cm="1">
        <f t="array" ref="BV96">SUM(_xlfn.XLOOKUP($R96:$AK96,增益!$A:$A,增益!$W:$W,0))+$I$5</f>
        <v>0.06</v>
      </c>
    </row>
    <row r="97" spans="1:74">
      <c r="A97" s="4" t="s">
        <v>101</v>
      </c>
      <c r="B97" s="4">
        <v>1.25</v>
      </c>
      <c r="C97" t="s">
        <v>179</v>
      </c>
      <c r="K97" s="38">
        <f t="shared" si="34"/>
        <v>246102.194272534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弹道",$B$21,0))*(1+$BV97)</f>
        <v>253895.979939688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弹道",$B$21,0))*(1+$BV97)</f>
        <v>170001.623996162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弹道",$B$21,0))*(1+$BV97)</f>
        <v>114885.058796239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弹道",$B$21,0))*(1+$BV97)</f>
        <v>103842.988706432</v>
      </c>
      <c r="P97" s="39">
        <v>3.5</v>
      </c>
      <c r="Q97" s="40" t="s">
        <v>113</v>
      </c>
      <c r="R97" s="40" t="s">
        <v>93</v>
      </c>
      <c r="S97" s="40" t="s">
        <v>176</v>
      </c>
      <c r="T97" s="40" t="s">
        <v>106</v>
      </c>
      <c r="U97" s="40" t="s">
        <v>90</v>
      </c>
      <c r="V97" s="40" t="s">
        <v>102</v>
      </c>
      <c r="W97" s="40" t="s">
        <v>78</v>
      </c>
      <c r="X97" s="40" t="s">
        <v>78</v>
      </c>
      <c r="Y97" s="40" t="s">
        <v>151</v>
      </c>
      <c r="Z97" s="40" t="s">
        <v>78</v>
      </c>
      <c r="AA97" s="40" t="s">
        <v>78</v>
      </c>
      <c r="AB97" s="40" t="s">
        <v>84</v>
      </c>
      <c r="AC97" s="40" t="s">
        <v>78</v>
      </c>
      <c r="AD97" s="40" t="s">
        <v>78</v>
      </c>
      <c r="AE97" s="40" t="s">
        <v>78</v>
      </c>
      <c r="AF97" s="40" t="s">
        <v>117</v>
      </c>
      <c r="AG97" s="40" t="s">
        <v>78</v>
      </c>
      <c r="AH97" s="40" t="s">
        <v>78</v>
      </c>
      <c r="AI97" s="40" t="s">
        <v>78</v>
      </c>
      <c r="AJ97" s="40" t="s">
        <v>78</v>
      </c>
      <c r="AK97" s="40" t="s">
        <v>78</v>
      </c>
      <c r="AL97" t="str">
        <f>VLOOKUP($Q97,武学奇术!$A:$ZZ,25,FALSE)</f>
        <v>伞</v>
      </c>
      <c r="AM97" s="24">
        <f>VLOOKUP($Q97,武学奇术!$A:$ZZ,26,FALSE)</f>
        <v>1.174955</v>
      </c>
      <c r="AN97" s="25">
        <f>VLOOKUP($Q97,武学奇术!$A:$ZZ,27,FALSE)*(1+IF(OR($AL97=$F$4,$AL97=$F$5),$B$22,0))</f>
        <v>486.45</v>
      </c>
      <c r="AO97" s="24">
        <f>VLOOKUP($Q97,武学奇术!$A:$ZZ,28,FALSE)</f>
        <v>1.762375</v>
      </c>
      <c r="AP97" s="25">
        <f>VLOOKUP($Q97,武学奇术!$A:$ZZ,29,FALSE)*(1+IF(OR($AL97=$F$4,$AL97=$F$5),$B$22,0))</f>
        <v>265.65</v>
      </c>
      <c r="AQ97" s="24" cm="1">
        <f t="array" ref="AQ97">$G$3+IFERROR(VLOOKUP($AL97,$F$4:$G$7,2,FALSE),0)+VLOOKUP($Q97,武学奇术!$A:$ZZ,2,FALSE)+SUM(_xlfn.XLOOKUP($R97:$AK97,增益!$A:$A,增益!$B:$B,0))</f>
        <v>1.2841</v>
      </c>
      <c r="AR97" s="24" cm="1">
        <f t="array" ref="AR97">VLOOKUP($Q97,武学奇术!$A:$ZZ,5,FALSE)+SUM(_xlfn.XLOOKUP($R97:$AK97,增益!$A:$A,增益!$E:$E,0))</f>
        <v>0.075</v>
      </c>
      <c r="AS97" cm="1">
        <f t="array" ref="AS97">$D$10*(1+$AR97)+VLOOKUP($Q97,武学奇术!$A:$ZZ,3,FALSE)+SUM(_xlfn.XLOOKUP($R97:$AK97,增益!$A:$A,增益!$C:$C,0))-$I$2</f>
        <v>4100.3171</v>
      </c>
      <c r="AT97" cm="1">
        <f t="array" ref="AT97">$E$10*(1+$AR97)+VLOOKUP($Q97,武学奇术!$A:$ZZ,4,FALSE)+SUM(_xlfn.XLOOKUP($R97:$AK97,增益!$A:$A,增益!$D:$D,0))-$I$2</f>
        <v>4100.3171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0.4325</v>
      </c>
      <c r="AV97" s="32" cm="1">
        <f t="array" ref="AV97">$G$10+VLOOKUP($Q97,武学奇术!$A:$ZZ,7,FALSE)+SUM(_xlfn.XLOOKUP($R97:$AK97,增益!$A:$A,增益!$G:$G,0))</f>
        <v>0</v>
      </c>
      <c r="AW97" s="24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27"/>
        <v>605.472</v>
      </c>
      <c r="BG97">
        <f t="shared" si="28"/>
        <v>1579.612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4">
        <f>MIN(IF(VLOOKUP($Q97,武学奇术!$A:$ZZ,23,FALSE)=1,100%,$B$8),100%)</f>
        <v>1</v>
      </c>
      <c r="BO97" s="24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0.9093</v>
      </c>
      <c r="BP97" s="24" cm="1">
        <f t="array" ref="BP97">1+$B$13+VLOOKUP($Q97,武学奇术!$A:$ZZ,18,FALSE)+SUM(_xlfn.XLOOKUP($R97:$AK97,增益!$A:$A,增益!$R:$R,0))</f>
        <v>2.21</v>
      </c>
      <c r="BQ97" s="24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4" cm="1">
        <f t="array" ref="BR97">1+$B$14+VLOOKUP($Q97,武学奇术!$A:$ZZ,20,FALSE)+SUM(_xlfn.XLOOKUP($R97:$AK97,增益!$A:$A,增益!$T:$T,0))</f>
        <v>1.35</v>
      </c>
      <c r="BS97" s="24">
        <f t="shared" si="31"/>
        <v>0.9071</v>
      </c>
      <c r="BT97" s="24">
        <f t="shared" si="32"/>
        <v>0</v>
      </c>
      <c r="BU97" s="24">
        <f>IF(VLOOKUP($Q97,武学奇术!$A:$ZZ,22,FALSE)=1,0,(1-$BN97))*(1-$BQ97)</f>
        <v>0</v>
      </c>
      <c r="BV97" s="24" cm="1">
        <f t="array" ref="BV97">SUM(_xlfn.XLOOKUP($R97:$AK97,增益!$A:$A,增益!$W:$W,0))+$I$5</f>
        <v>0.06</v>
      </c>
    </row>
    <row r="98" spans="1:74">
      <c r="A98" s="4" t="s">
        <v>101</v>
      </c>
      <c r="B98" s="4">
        <v>1.25</v>
      </c>
      <c r="K98" s="38">
        <f t="shared" si="34"/>
        <v>84092.2286601467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弹道",$B$21,0))*(1+$BV98)</f>
        <v>84557.5861991598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弹道",$B$21,0))*(1+$BV98)</f>
        <v>79548.3554239919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弹道",$B$21,0))*(1+$BV98)</f>
        <v>52848.4913744749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弹道",$B$21,0))*(1+$BV98)</f>
        <v>46772.2750274743</v>
      </c>
      <c r="P98" s="39">
        <v>1</v>
      </c>
      <c r="Q98" s="40" t="s">
        <v>134</v>
      </c>
      <c r="R98" s="40" t="s">
        <v>82</v>
      </c>
      <c r="S98" s="40" t="s">
        <v>176</v>
      </c>
      <c r="T98" s="40" t="s">
        <v>78</v>
      </c>
      <c r="U98" s="40" t="s">
        <v>90</v>
      </c>
      <c r="V98" s="40" t="s">
        <v>78</v>
      </c>
      <c r="W98" s="40" t="s">
        <v>78</v>
      </c>
      <c r="X98" s="40" t="s">
        <v>78</v>
      </c>
      <c r="Y98" s="40" t="s">
        <v>78</v>
      </c>
      <c r="Z98" s="40" t="s">
        <v>78</v>
      </c>
      <c r="AA98" s="40" t="s">
        <v>78</v>
      </c>
      <c r="AB98" s="40" t="s">
        <v>84</v>
      </c>
      <c r="AC98" s="40" t="s">
        <v>78</v>
      </c>
      <c r="AD98" s="40" t="s">
        <v>78</v>
      </c>
      <c r="AE98" s="40" t="s">
        <v>78</v>
      </c>
      <c r="AF98" s="40" t="s">
        <v>117</v>
      </c>
      <c r="AG98" s="40" t="s">
        <v>78</v>
      </c>
      <c r="AH98" s="40" t="s">
        <v>78</v>
      </c>
      <c r="AI98" s="40" t="s">
        <v>78</v>
      </c>
      <c r="AJ98" s="40" t="s">
        <v>78</v>
      </c>
      <c r="AK98" s="40" t="s">
        <v>78</v>
      </c>
      <c r="AL98" t="str">
        <f>VLOOKUP($Q98,武学奇术!$A:$ZZ,25,FALSE)</f>
        <v>单体奇术</v>
      </c>
      <c r="AM98" s="24">
        <f>VLOOKUP($Q98,武学奇术!$A:$ZZ,26,FALSE)</f>
        <v>3.9863</v>
      </c>
      <c r="AN98" s="25">
        <f>VLOOKUP($Q98,武学奇术!$A:$ZZ,27,FALSE)*(1+IF(OR($AL98=$F$4,$AL98=$F$5),$B$22,0))</f>
        <v>778</v>
      </c>
      <c r="AO98" s="24">
        <f>VLOOKUP($Q98,武学奇术!$A:$ZZ,28,FALSE)</f>
        <v>5.97945</v>
      </c>
      <c r="AP98" s="25">
        <f>VLOOKUP($Q98,武学奇术!$A:$ZZ,29,FALSE)*(1+IF(OR($AL98=$F$4,$AL98=$F$5),$B$22,0))</f>
        <v>0</v>
      </c>
      <c r="AQ98" s="24" cm="1">
        <f t="array" ref="AQ98">$G$3+IFERROR(VLOOKUP($AL98,$F$4:$G$7,2,FALSE),0)+VLOOKUP($Q98,武学奇术!$A:$ZZ,2,FALSE)+SUM(_xlfn.XLOOKUP($R98:$AK98,增益!$A:$A,增益!$B:$B,0))</f>
        <v>0.7115</v>
      </c>
      <c r="AR98" s="24" cm="1">
        <f t="array" ref="AR98">VLOOKUP($Q98,武学奇术!$A:$ZZ,5,FALSE)+SUM(_xlfn.XLOOKUP($R98:$AK98,增益!$A:$A,增益!$E:$E,0))</f>
        <v>0.075</v>
      </c>
      <c r="AS98" cm="1">
        <f t="array" ref="AS98">$D$10*(1+$AR98)+VLOOKUP($Q98,武学奇术!$A:$ZZ,3,FALSE)+SUM(_xlfn.XLOOKUP($R98:$AK98,增益!$A:$A,增益!$C:$C,0))-$I$2</f>
        <v>4100.3171</v>
      </c>
      <c r="AT98" cm="1">
        <f t="array" ref="AT98">$E$10*(1+$AR98)+VLOOKUP($Q98,武学奇术!$A:$ZZ,4,FALSE)+SUM(_xlfn.XLOOKUP($R98:$AK98,增益!$A:$A,增益!$D:$D,0))-$I$2</f>
        <v>4100.3171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0.2625</v>
      </c>
      <c r="AV98" s="32" cm="1">
        <f t="array" ref="AV98">$G$10+VLOOKUP($Q98,武学奇术!$A:$ZZ,7,FALSE)+SUM(_xlfn.XLOOKUP($R98:$AK98,增益!$A:$A,增益!$G:$G,0))</f>
        <v>0</v>
      </c>
      <c r="AW98" s="24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27"/>
        <v>605.472</v>
      </c>
      <c r="BG98">
        <f t="shared" si="28"/>
        <v>1579.612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4">
        <f>MIN(IF(VLOOKUP($Q98,武学奇术!$A:$ZZ,23,FALSE)=1,100%,$B$8),100%)</f>
        <v>1</v>
      </c>
      <c r="BO98" s="24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0.9093</v>
      </c>
      <c r="BP98" s="24" cm="1">
        <f t="array" ref="BP98">1+$B$13+VLOOKUP($Q98,武学奇术!$A:$ZZ,18,FALSE)+SUM(_xlfn.XLOOKUP($R98:$AK98,增益!$A:$A,增益!$R:$R,0))</f>
        <v>1.6</v>
      </c>
      <c r="BQ98" s="24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4" cm="1">
        <f t="array" ref="BR98">1+$B$14+VLOOKUP($Q98,武学奇术!$A:$ZZ,20,FALSE)+SUM(_xlfn.XLOOKUP($R98:$AK98,增益!$A:$A,增益!$T:$T,0))</f>
        <v>1.35</v>
      </c>
      <c r="BS98" s="24">
        <f t="shared" si="31"/>
        <v>0.9071</v>
      </c>
      <c r="BT98" s="24">
        <f t="shared" si="32"/>
        <v>0</v>
      </c>
      <c r="BU98" s="24">
        <f>IF(VLOOKUP($Q98,武学奇术!$A:$ZZ,22,FALSE)=1,0,(1-$BN98))*(1-$BQ98)</f>
        <v>0</v>
      </c>
      <c r="BV98" s="24" cm="1">
        <f t="array" ref="BV98">SUM(_xlfn.XLOOKUP($R98:$AK98,增益!$A:$A,增益!$W:$W,0))+$I$5</f>
        <v>0.06</v>
      </c>
    </row>
    <row r="99" spans="1:74">
      <c r="A99" s="4" t="s">
        <v>111</v>
      </c>
      <c r="B99" s="88">
        <v>1.16</v>
      </c>
      <c r="E99" s="27"/>
      <c r="K99" s="38">
        <f t="shared" si="34"/>
        <v>19913.1081071662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弹道",$B$21,0))*(1+$BV99)</f>
        <v>20023.2972130392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弹道",$B$21,0))*(1+$BV99)</f>
        <v>18837.1927364732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弹道",$B$21,0))*(1+$BV99)</f>
        <v>12514.5607581495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弹道",$B$21,0))*(1+$BV99)</f>
        <v>11075.6454152078</v>
      </c>
      <c r="P99" s="39">
        <v>4</v>
      </c>
      <c r="Q99" s="40" t="s">
        <v>137</v>
      </c>
      <c r="R99" s="40" t="s">
        <v>82</v>
      </c>
      <c r="S99" s="40" t="s">
        <v>176</v>
      </c>
      <c r="T99" s="40" t="s">
        <v>78</v>
      </c>
      <c r="U99" s="40" t="s">
        <v>90</v>
      </c>
      <c r="V99" s="40" t="s">
        <v>78</v>
      </c>
      <c r="W99" s="40" t="s">
        <v>78</v>
      </c>
      <c r="X99" s="40" t="s">
        <v>78</v>
      </c>
      <c r="Y99" s="40" t="s">
        <v>78</v>
      </c>
      <c r="Z99" s="40" t="s">
        <v>78</v>
      </c>
      <c r="AA99" s="40" t="s">
        <v>78</v>
      </c>
      <c r="AB99" s="40" t="s">
        <v>84</v>
      </c>
      <c r="AC99" s="40" t="s">
        <v>78</v>
      </c>
      <c r="AD99" s="40" t="s">
        <v>78</v>
      </c>
      <c r="AE99" s="40" t="s">
        <v>138</v>
      </c>
      <c r="AF99" s="40" t="s">
        <v>117</v>
      </c>
      <c r="AG99" s="40" t="s">
        <v>78</v>
      </c>
      <c r="AH99" s="40" t="s">
        <v>78</v>
      </c>
      <c r="AI99" s="40" t="s">
        <v>78</v>
      </c>
      <c r="AJ99" s="40" t="s">
        <v>78</v>
      </c>
      <c r="AK99" s="40" t="s">
        <v>78</v>
      </c>
      <c r="AL99" t="str">
        <f>VLOOKUP($Q99,武学奇术!$A:$ZZ,25,FALSE)</f>
        <v>单体奇术</v>
      </c>
      <c r="AM99" s="24">
        <f>VLOOKUP($Q99,武学奇术!$A:$ZZ,26,FALSE)</f>
        <v>0.236</v>
      </c>
      <c r="AN99" s="25">
        <f>VLOOKUP($Q99,武学奇术!$A:$ZZ,27,FALSE)*(1+IF(OR($AL99=$F$4,$AL99=$F$5),$B$22,0))</f>
        <v>46</v>
      </c>
      <c r="AO99" s="24">
        <f>VLOOKUP($Q99,武学奇术!$A:$ZZ,28,FALSE)</f>
        <v>0.354</v>
      </c>
      <c r="AP99" s="25">
        <f>VLOOKUP($Q99,武学奇术!$A:$ZZ,29,FALSE)*(1+IF(OR($AL99=$F$4,$AL99=$F$5),$B$22,0))</f>
        <v>0</v>
      </c>
      <c r="AQ99" s="24" cm="1">
        <f t="array" ref="AQ99">$G$3+IFERROR(VLOOKUP($AL99,$F$4:$G$7,2,FALSE),0)+VLOOKUP($Q99,武学奇术!$A:$ZZ,2,FALSE)+SUM(_xlfn.XLOOKUP($R99:$AK99,增益!$A:$A,增益!$B:$B,0))</f>
        <v>0.7115</v>
      </c>
      <c r="AR99" s="24" cm="1">
        <f t="array" ref="AR99">VLOOKUP($Q99,武学奇术!$A:$ZZ,5,FALSE)+SUM(_xlfn.XLOOKUP($R99:$AK99,增益!$A:$A,增益!$E:$E,0))</f>
        <v>0.075</v>
      </c>
      <c r="AS99" cm="1">
        <f t="array" ref="AS99">$D$10*(1+$AR99)+VLOOKUP($Q99,武学奇术!$A:$ZZ,3,FALSE)+SUM(_xlfn.XLOOKUP($R99:$AK99,增益!$A:$A,增益!$C:$C,0))-$I$2</f>
        <v>4100.3171</v>
      </c>
      <c r="AT99" cm="1">
        <f t="array" ref="AT99">$E$10*(1+$AR99)+VLOOKUP($Q99,武学奇术!$A:$ZZ,4,FALSE)+SUM(_xlfn.XLOOKUP($R99:$AK99,增益!$A:$A,增益!$D:$D,0))-$I$2</f>
        <v>4100.3171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0.2625</v>
      </c>
      <c r="AV99" s="32" cm="1">
        <f t="array" ref="AV99">$G$10+VLOOKUP($Q99,武学奇术!$A:$ZZ,7,FALSE)+SUM(_xlfn.XLOOKUP($R99:$AK99,增益!$A:$A,增益!$G:$G,0))</f>
        <v>0</v>
      </c>
      <c r="AW99" s="24" cm="1">
        <f t="array" ref="AW99">VLOOKUP($Q99,武学奇术!$A:$ZZ,8,FALSE)+SUM(_xlfn.XLOOKUP($R99:$AK99,增益!$A:$A,增益!$H:$H,0))</f>
        <v>0</v>
      </c>
      <c r="AX99">
        <f t="shared" ref="AX99:AX136" si="35">$D$11*(1+$AW99)</f>
        <v>0</v>
      </c>
      <c r="AY99">
        <f t="shared" ref="AY99:AY136" si="36">$E$11*(1+$AW99)</f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ref="BB99:BB136" si="37">$D$12*(1+$AW99)</f>
        <v>0</v>
      </c>
      <c r="BC99">
        <f t="shared" ref="BC99:BC136" si="38">$E$12*(1+$AW99)</f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ref="BF99:BF136" si="39">$D$13*(1+$AW99)</f>
        <v>605.472</v>
      </c>
      <c r="BG99">
        <f t="shared" ref="BG99:BG136" si="40">$E$13*(1+$AW99)</f>
        <v>1579.612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ref="BJ99:BJ136" si="41">$D$14*(1+$AW99)</f>
        <v>0</v>
      </c>
      <c r="BK99">
        <f t="shared" ref="BK99:BK136" si="42">$E$14*(1+$AW99)</f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4">
        <f>MIN(IF(VLOOKUP($Q99,武学奇术!$A:$ZZ,23,FALSE)=1,100%,$B$8),100%)</f>
        <v>1</v>
      </c>
      <c r="BO99" s="24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0.9093</v>
      </c>
      <c r="BP99" s="24" cm="1">
        <f t="array" ref="BP99">1+$B$13+VLOOKUP($Q99,武学奇术!$A:$ZZ,18,FALSE)+SUM(_xlfn.XLOOKUP($R99:$AK99,增益!$A:$A,增益!$R:$R,0))</f>
        <v>1.6</v>
      </c>
      <c r="BQ99" s="24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4" cm="1">
        <f t="array" ref="BR99">1+$B$14+VLOOKUP($Q99,武学奇术!$A:$ZZ,20,FALSE)+SUM(_xlfn.XLOOKUP($R99:$AK99,增益!$A:$A,增益!$T:$T,0))</f>
        <v>1.35</v>
      </c>
      <c r="BS99" s="24">
        <f t="shared" ref="BS99:BS136" si="43">MIN((1-BQ99)*BN99,BN99*BO99)</f>
        <v>0.9071</v>
      </c>
      <c r="BT99" s="24">
        <f t="shared" ref="BT99:BT136" si="44">1-BQ99-BS99-BU99</f>
        <v>0</v>
      </c>
      <c r="BU99" s="24">
        <f>IF(VLOOKUP($Q99,武学奇术!$A:$ZZ,22,FALSE)=1,0,(1-$BN99))*(1-$BQ99)</f>
        <v>0</v>
      </c>
      <c r="BV99" s="24" cm="1">
        <f t="array" ref="BV99">SUM(_xlfn.XLOOKUP($R99:$AK99,增益!$A:$A,增益!$W:$W,0))+$I$5</f>
        <v>0.06</v>
      </c>
    </row>
    <row r="100" spans="1:74">
      <c r="A100" s="4" t="s">
        <v>162</v>
      </c>
      <c r="B100" s="4">
        <v>1.5</v>
      </c>
      <c r="C100" s="39" t="s">
        <v>189</v>
      </c>
      <c r="E100" s="27"/>
      <c r="K100" s="38">
        <f t="shared" si="34"/>
        <v>26104.101531425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弹道",$B$21,0))*(1+$BV100)</f>
        <v>26590.2155648214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弹道",$B$21,0))*(1+$BV100)</f>
        <v>21357.55643246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弹道",$B$21,0))*(1+$BV100)</f>
        <v>14373.089494498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弹道",$B$21,0))*(1+$BV100)</f>
        <v>12925.7668168035</v>
      </c>
      <c r="P100" s="39">
        <v>4</v>
      </c>
      <c r="Q100" s="40" t="s">
        <v>137</v>
      </c>
      <c r="R100" s="40" t="s">
        <v>88</v>
      </c>
      <c r="S100" s="40" t="s">
        <v>176</v>
      </c>
      <c r="T100" s="40" t="s">
        <v>78</v>
      </c>
      <c r="U100" s="40" t="s">
        <v>171</v>
      </c>
      <c r="V100" s="40" t="s">
        <v>78</v>
      </c>
      <c r="W100" s="40" t="s">
        <v>78</v>
      </c>
      <c r="X100" s="40" t="s">
        <v>78</v>
      </c>
      <c r="Y100" s="40" t="s">
        <v>151</v>
      </c>
      <c r="Z100" s="40" t="s">
        <v>78</v>
      </c>
      <c r="AA100" s="40" t="s">
        <v>78</v>
      </c>
      <c r="AB100" s="40" t="s">
        <v>84</v>
      </c>
      <c r="AC100" s="40" t="s">
        <v>78</v>
      </c>
      <c r="AD100" s="40" t="s">
        <v>78</v>
      </c>
      <c r="AE100" s="40" t="s">
        <v>138</v>
      </c>
      <c r="AF100" s="40" t="s">
        <v>117</v>
      </c>
      <c r="AG100" s="40" t="s">
        <v>78</v>
      </c>
      <c r="AH100" s="40" t="s">
        <v>78</v>
      </c>
      <c r="AI100" s="40" t="s">
        <v>78</v>
      </c>
      <c r="AJ100" s="40" t="s">
        <v>78</v>
      </c>
      <c r="AK100" s="40" t="s">
        <v>78</v>
      </c>
      <c r="AL100" t="str">
        <f>VLOOKUP($Q100,武学奇术!$A:$ZZ,25,FALSE)</f>
        <v>单体奇术</v>
      </c>
      <c r="AM100" s="24">
        <f>VLOOKUP($Q100,武学奇术!$A:$ZZ,26,FALSE)</f>
        <v>0.236</v>
      </c>
      <c r="AN100" s="25">
        <f>VLOOKUP($Q100,武学奇术!$A:$ZZ,27,FALSE)*(1+IF(OR($AL100=$F$4,$AL100=$F$5),$B$22,0))</f>
        <v>46</v>
      </c>
      <c r="AO100" s="24">
        <f>VLOOKUP($Q100,武学奇术!$A:$ZZ,28,FALSE)</f>
        <v>0.354</v>
      </c>
      <c r="AP100" s="25">
        <f>VLOOKUP($Q100,武学奇术!$A:$ZZ,29,FALSE)*(1+IF(OR($AL100=$F$4,$AL100=$F$5),$B$22,0))</f>
        <v>0</v>
      </c>
      <c r="AQ100" s="24" cm="1">
        <f t="array" ref="AQ100">$G$3+IFERROR(VLOOKUP($AL100,$F$4:$G$7,2,FALSE),0)+VLOOKUP($Q100,武学奇术!$A:$ZZ,2,FALSE)+SUM(_xlfn.XLOOKUP($R100:$AK100,增益!$A:$A,增益!$B:$B,0))</f>
        <v>0.7215</v>
      </c>
      <c r="AR100" s="24" cm="1">
        <f t="array" ref="AR100">VLOOKUP($Q100,武学奇术!$A:$ZZ,5,FALSE)+SUM(_xlfn.XLOOKUP($R100:$AK100,增益!$A:$A,增益!$E:$E,0))</f>
        <v>0.15</v>
      </c>
      <c r="AS100" cm="1">
        <f t="array" ref="AS100">$D$10*(1+$AR100)+VLOOKUP($Q100,武学奇术!$A:$ZZ,3,FALSE)+SUM(_xlfn.XLOOKUP($R100:$AK100,增益!$A:$A,增益!$C:$C,0))-$I$2</f>
        <v>4427.0462</v>
      </c>
      <c r="AT100" cm="1">
        <f t="array" ref="AT100">$E$10*(1+$AR100)+VLOOKUP($Q100,武学奇术!$A:$ZZ,4,FALSE)+SUM(_xlfn.XLOOKUP($R100:$AK100,增益!$A:$A,增益!$D:$D,0))-$I$2</f>
        <v>4427.0462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0.3975</v>
      </c>
      <c r="AV100" s="32" cm="1">
        <f t="array" ref="AV100">$G$10+VLOOKUP($Q100,武学奇术!$A:$ZZ,7,FALSE)+SUM(_xlfn.XLOOKUP($R100:$AK100,增益!$A:$A,增益!$G:$G,0))</f>
        <v>0</v>
      </c>
      <c r="AW100" s="24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39"/>
        <v>605.472</v>
      </c>
      <c r="BG100">
        <f t="shared" si="40"/>
        <v>1579.612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4">
        <f>MIN(IF(VLOOKUP($Q100,武学奇术!$A:$ZZ,23,FALSE)=1,100%,$B$8),100%)</f>
        <v>1</v>
      </c>
      <c r="BO100" s="24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0.9093</v>
      </c>
      <c r="BP100" s="24" cm="1">
        <f t="array" ref="BP100">1+$B$13+VLOOKUP($Q100,武学奇术!$A:$ZZ,18,FALSE)+SUM(_xlfn.XLOOKUP($R100:$AK100,增益!$A:$A,增益!$R:$R,0))</f>
        <v>1.85</v>
      </c>
      <c r="BQ100" s="24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4" cm="1">
        <f t="array" ref="BR100">1+$B$14+VLOOKUP($Q100,武学奇术!$A:$ZZ,20,FALSE)+SUM(_xlfn.XLOOKUP($R100:$AK100,增益!$A:$A,增益!$T:$T,0))</f>
        <v>1.35</v>
      </c>
      <c r="BS100" s="24">
        <f t="shared" si="43"/>
        <v>0.9071</v>
      </c>
      <c r="BT100" s="24">
        <f t="shared" si="44"/>
        <v>0</v>
      </c>
      <c r="BU100" s="24">
        <f>IF(VLOOKUP($Q100,武学奇术!$A:$ZZ,22,FALSE)=1,0,(1-$BN100))*(1-$BQ100)</f>
        <v>0</v>
      </c>
      <c r="BV100" s="24" cm="1">
        <f t="array" ref="BV100">SUM(_xlfn.XLOOKUP($R100:$AK100,增益!$A:$A,增益!$W:$W,0))+$I$5</f>
        <v>0.06</v>
      </c>
    </row>
    <row r="101" spans="1:74">
      <c r="A101" s="4" t="s">
        <v>163</v>
      </c>
      <c r="B101" s="4">
        <v>2.1</v>
      </c>
      <c r="C101" s="39"/>
      <c r="E101" s="27"/>
      <c r="K101" s="38">
        <f t="shared" si="34"/>
        <v>26400.1664751318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弹道",$B$21,0))*(1+$BV101)</f>
        <v>26892.8240286648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弹道",$B$21,0))*(1+$BV101)</f>
        <v>21589.7287269106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弹道",$B$21,0))*(1+$BV101)</f>
        <v>14536.6616371161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弹道",$B$21,0))*(1+$BV101)</f>
        <v>13080.9316246688</v>
      </c>
      <c r="P101" s="39">
        <v>4</v>
      </c>
      <c r="Q101" s="40" t="s">
        <v>137</v>
      </c>
      <c r="R101" s="40" t="s">
        <v>93</v>
      </c>
      <c r="S101" s="40" t="s">
        <v>176</v>
      </c>
      <c r="T101" s="40" t="s">
        <v>78</v>
      </c>
      <c r="U101" s="40" t="s">
        <v>171</v>
      </c>
      <c r="V101" s="40" t="s">
        <v>78</v>
      </c>
      <c r="W101" s="40" t="s">
        <v>78</v>
      </c>
      <c r="X101" s="40" t="s">
        <v>78</v>
      </c>
      <c r="Y101" s="40" t="s">
        <v>151</v>
      </c>
      <c r="Z101" s="40" t="s">
        <v>78</v>
      </c>
      <c r="AA101" s="40" t="s">
        <v>78</v>
      </c>
      <c r="AB101" s="40" t="s">
        <v>84</v>
      </c>
      <c r="AC101" s="40" t="s">
        <v>78</v>
      </c>
      <c r="AD101" s="40" t="s">
        <v>78</v>
      </c>
      <c r="AE101" s="40" t="s">
        <v>138</v>
      </c>
      <c r="AF101" s="40" t="s">
        <v>117</v>
      </c>
      <c r="AG101" s="40" t="s">
        <v>78</v>
      </c>
      <c r="AH101" s="40" t="s">
        <v>78</v>
      </c>
      <c r="AI101" s="40" t="s">
        <v>78</v>
      </c>
      <c r="AJ101" s="40" t="s">
        <v>78</v>
      </c>
      <c r="AK101" s="40" t="s">
        <v>78</v>
      </c>
      <c r="AL101" t="str">
        <f>VLOOKUP($Q101,武学奇术!$A:$ZZ,25,FALSE)</f>
        <v>单体奇术</v>
      </c>
      <c r="AM101" s="24">
        <f>VLOOKUP($Q101,武学奇术!$A:$ZZ,26,FALSE)</f>
        <v>0.236</v>
      </c>
      <c r="AN101" s="25">
        <f>VLOOKUP($Q101,武学奇术!$A:$ZZ,27,FALSE)*(1+IF(OR($AL101=$F$4,$AL101=$F$5),$B$22,0))</f>
        <v>46</v>
      </c>
      <c r="AO101" s="24">
        <f>VLOOKUP($Q101,武学奇术!$A:$ZZ,28,FALSE)</f>
        <v>0.354</v>
      </c>
      <c r="AP101" s="25">
        <f>VLOOKUP($Q101,武学奇术!$A:$ZZ,29,FALSE)*(1+IF(OR($AL101=$F$4,$AL101=$F$5),$B$22,0))</f>
        <v>0</v>
      </c>
      <c r="AQ101" s="24" cm="1">
        <f t="array" ref="AQ101">$G$3+IFERROR(VLOOKUP($AL101,$F$4:$G$7,2,FALSE),0)+VLOOKUP($Q101,武学奇术!$A:$ZZ,2,FALSE)+SUM(_xlfn.XLOOKUP($R101:$AK101,增益!$A:$A,增益!$B:$B,0))</f>
        <v>0.7315</v>
      </c>
      <c r="AR101" s="24" cm="1">
        <f t="array" ref="AR101">VLOOKUP($Q101,武学奇术!$A:$ZZ,5,FALSE)+SUM(_xlfn.XLOOKUP($R101:$AK101,增益!$A:$A,增益!$E:$E,0))</f>
        <v>0.15</v>
      </c>
      <c r="AS101" cm="1">
        <f t="array" ref="AS101">$D$10*(1+$AR101)+VLOOKUP($Q101,武学奇术!$A:$ZZ,3,FALSE)+SUM(_xlfn.XLOOKUP($R101:$AK101,增益!$A:$A,增益!$C:$C,0))-$I$2</f>
        <v>4427.0462</v>
      </c>
      <c r="AT101" cm="1">
        <f t="array" ref="AT101">$E$10*(1+$AR101)+VLOOKUP($Q101,武学奇术!$A:$ZZ,4,FALSE)+SUM(_xlfn.XLOOKUP($R101:$AK101,增益!$A:$A,增益!$D:$D,0))-$I$2</f>
        <v>4427.0462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0.4075</v>
      </c>
      <c r="AV101" s="32" cm="1">
        <f t="array" ref="AV101">$G$10+VLOOKUP($Q101,武学奇术!$A:$ZZ,7,FALSE)+SUM(_xlfn.XLOOKUP($R101:$AK101,增益!$A:$A,增益!$G:$G,0))</f>
        <v>0</v>
      </c>
      <c r="AW101" s="24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39"/>
        <v>605.472</v>
      </c>
      <c r="BG101">
        <f t="shared" si="40"/>
        <v>1579.612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4">
        <f>MIN(IF(VLOOKUP($Q101,武学奇术!$A:$ZZ,23,FALSE)=1,100%,$B$8),100%)</f>
        <v>1</v>
      </c>
      <c r="BO101" s="24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0.9093</v>
      </c>
      <c r="BP101" s="24" cm="1">
        <f t="array" ref="BP101">1+$B$13+VLOOKUP($Q101,武学奇术!$A:$ZZ,18,FALSE)+SUM(_xlfn.XLOOKUP($R101:$AK101,增益!$A:$A,增益!$R:$R,0))</f>
        <v>1.85</v>
      </c>
      <c r="BQ101" s="24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4" cm="1">
        <f t="array" ref="BR101">1+$B$14+VLOOKUP($Q101,武学奇术!$A:$ZZ,20,FALSE)+SUM(_xlfn.XLOOKUP($R101:$AK101,增益!$A:$A,增益!$T:$T,0))</f>
        <v>1.35</v>
      </c>
      <c r="BS101" s="24">
        <f t="shared" si="43"/>
        <v>0.9071</v>
      </c>
      <c r="BT101" s="24">
        <f t="shared" si="44"/>
        <v>0</v>
      </c>
      <c r="BU101" s="24">
        <f>IF(VLOOKUP($Q101,武学奇术!$A:$ZZ,22,FALSE)=1,0,(1-$BN101))*(1-$BQ101)</f>
        <v>0</v>
      </c>
      <c r="BV101" s="24" cm="1">
        <f t="array" ref="BV101">SUM(_xlfn.XLOOKUP($R101:$AK101,增益!$A:$A,增益!$W:$W,0))+$I$5</f>
        <v>0.06</v>
      </c>
    </row>
    <row r="102" spans="1:74">
      <c r="A102" s="4" t="s">
        <v>190</v>
      </c>
      <c r="B102" s="88">
        <v>1.7</v>
      </c>
      <c r="C102" s="39"/>
      <c r="E102" s="27"/>
      <c r="K102" s="38">
        <f t="shared" si="34"/>
        <v>13348.9498367775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弹道",$B$21,0))*(1+$BV102)</f>
        <v>13598.5718563634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弹道",$B$21,0))*(1+$BV102)</f>
        <v>10911.5748748144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弹道",$B$21,0))*(1+$BV102)</f>
        <v>7350.57938181804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弹道",$B$21,0))*(1+$BV102)</f>
        <v>6618.51070821798</v>
      </c>
      <c r="P102" s="39">
        <v>2</v>
      </c>
      <c r="Q102" s="40" t="s">
        <v>137</v>
      </c>
      <c r="R102" s="40" t="s">
        <v>97</v>
      </c>
      <c r="S102" s="40" t="s">
        <v>176</v>
      </c>
      <c r="T102" s="40" t="s">
        <v>78</v>
      </c>
      <c r="U102" s="40" t="s">
        <v>171</v>
      </c>
      <c r="V102" s="40" t="s">
        <v>78</v>
      </c>
      <c r="W102" s="40" t="s">
        <v>78</v>
      </c>
      <c r="X102" s="40" t="s">
        <v>78</v>
      </c>
      <c r="Y102" s="40" t="s">
        <v>151</v>
      </c>
      <c r="Z102" s="40" t="s">
        <v>78</v>
      </c>
      <c r="AA102" s="40" t="s">
        <v>78</v>
      </c>
      <c r="AB102" s="40" t="s">
        <v>84</v>
      </c>
      <c r="AC102" s="40" t="s">
        <v>78</v>
      </c>
      <c r="AD102" s="40" t="s">
        <v>78</v>
      </c>
      <c r="AE102" s="40" t="s">
        <v>138</v>
      </c>
      <c r="AF102" s="40" t="s">
        <v>117</v>
      </c>
      <c r="AG102" s="40" t="s">
        <v>78</v>
      </c>
      <c r="AH102" s="40" t="s">
        <v>78</v>
      </c>
      <c r="AI102" s="40" t="s">
        <v>78</v>
      </c>
      <c r="AJ102" s="40" t="s">
        <v>78</v>
      </c>
      <c r="AK102" s="40" t="s">
        <v>78</v>
      </c>
      <c r="AL102" t="str">
        <f>VLOOKUP($Q102,武学奇术!$A:$ZZ,25,FALSE)</f>
        <v>单体奇术</v>
      </c>
      <c r="AM102" s="24">
        <f>VLOOKUP($Q102,武学奇术!$A:$ZZ,26,FALSE)</f>
        <v>0.236</v>
      </c>
      <c r="AN102" s="25">
        <f>VLOOKUP($Q102,武学奇术!$A:$ZZ,27,FALSE)*(1+IF(OR($AL102=$F$4,$AL102=$F$5),$B$22,0))</f>
        <v>46</v>
      </c>
      <c r="AO102" s="24">
        <f>VLOOKUP($Q102,武学奇术!$A:$ZZ,28,FALSE)</f>
        <v>0.354</v>
      </c>
      <c r="AP102" s="25">
        <f>VLOOKUP($Q102,武学奇术!$A:$ZZ,29,FALSE)*(1+IF(OR($AL102=$F$4,$AL102=$F$5),$B$22,0))</f>
        <v>0</v>
      </c>
      <c r="AQ102" s="24" cm="1">
        <f t="array" ref="AQ102">$G$3+IFERROR(VLOOKUP($AL102,$F$4:$G$7,2,FALSE),0)+VLOOKUP($Q102,武学奇术!$A:$ZZ,2,FALSE)+SUM(_xlfn.XLOOKUP($R102:$AK102,增益!$A:$A,增益!$B:$B,0))</f>
        <v>0.7415</v>
      </c>
      <c r="AR102" s="24" cm="1">
        <f t="array" ref="AR102">VLOOKUP($Q102,武学奇术!$A:$ZZ,5,FALSE)+SUM(_xlfn.XLOOKUP($R102:$AK102,增益!$A:$A,增益!$E:$E,0))</f>
        <v>0.15</v>
      </c>
      <c r="AS102" cm="1">
        <f t="array" ref="AS102">$D$10*(1+$AR102)+VLOOKUP($Q102,武学奇术!$A:$ZZ,3,FALSE)+SUM(_xlfn.XLOOKUP($R102:$AK102,增益!$A:$A,增益!$C:$C,0))-$I$2</f>
        <v>4427.0462</v>
      </c>
      <c r="AT102" cm="1">
        <f t="array" ref="AT102">$E$10*(1+$AR102)+VLOOKUP($Q102,武学奇术!$A:$ZZ,4,FALSE)+SUM(_xlfn.XLOOKUP($R102:$AK102,增益!$A:$A,增益!$D:$D,0))-$I$2</f>
        <v>4427.0462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0.4175</v>
      </c>
      <c r="AV102" s="32" cm="1">
        <f t="array" ref="AV102">$G$10+VLOOKUP($Q102,武学奇术!$A:$ZZ,7,FALSE)+SUM(_xlfn.XLOOKUP($R102:$AK102,增益!$A:$A,增益!$G:$G,0))</f>
        <v>0</v>
      </c>
      <c r="AW102" s="24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39"/>
        <v>605.472</v>
      </c>
      <c r="BG102">
        <f t="shared" si="40"/>
        <v>1579.612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4">
        <f>MIN(IF(VLOOKUP($Q102,武学奇术!$A:$ZZ,23,FALSE)=1,100%,$B$8),100%)</f>
        <v>1</v>
      </c>
      <c r="BO102" s="24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0.9093</v>
      </c>
      <c r="BP102" s="24" cm="1">
        <f t="array" ref="BP102">1+$B$13+VLOOKUP($Q102,武学奇术!$A:$ZZ,18,FALSE)+SUM(_xlfn.XLOOKUP($R102:$AK102,增益!$A:$A,增益!$R:$R,0))</f>
        <v>1.85</v>
      </c>
      <c r="BQ102" s="24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4" cm="1">
        <f t="array" ref="BR102">1+$B$14+VLOOKUP($Q102,武学奇术!$A:$ZZ,20,FALSE)+SUM(_xlfn.XLOOKUP($R102:$AK102,增益!$A:$A,增益!$T:$T,0))</f>
        <v>1.35</v>
      </c>
      <c r="BS102" s="24">
        <f t="shared" si="43"/>
        <v>0.9071</v>
      </c>
      <c r="BT102" s="24">
        <f t="shared" si="44"/>
        <v>0</v>
      </c>
      <c r="BU102" s="24">
        <f>IF(VLOOKUP($Q102,武学奇术!$A:$ZZ,22,FALSE)=1,0,(1-$BN102))*(1-$BQ102)</f>
        <v>0</v>
      </c>
      <c r="BV102" s="24" cm="1">
        <f t="array" ref="BV102">SUM(_xlfn.XLOOKUP($R102:$AK102,增益!$A:$A,增益!$W:$W,0))+$I$5</f>
        <v>0.06</v>
      </c>
    </row>
    <row r="103" spans="1:74">
      <c r="A103" s="4" t="s">
        <v>163</v>
      </c>
      <c r="B103" s="4">
        <v>2.1</v>
      </c>
      <c r="C103" s="39"/>
      <c r="E103" s="27"/>
      <c r="K103" s="38">
        <f t="shared" si="34"/>
        <v>27220.7094520914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弹道",$B$21,0))*(1+$BV103)</f>
        <v>27388.743195794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弹道",$B$21,0))*(1+$BV103)</f>
        <v>25579.9838448514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弹道",$B$21,0))*(1+$BV103)</f>
        <v>17117.9644973713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弹道",$B$21,0))*(1+$BV103)</f>
        <v>15287.7928133711</v>
      </c>
      <c r="P103" s="39">
        <v>5</v>
      </c>
      <c r="Q103" s="40" t="s">
        <v>137</v>
      </c>
      <c r="R103" s="40" t="s">
        <v>97</v>
      </c>
      <c r="S103" s="40" t="s">
        <v>176</v>
      </c>
      <c r="T103" s="40" t="s">
        <v>78</v>
      </c>
      <c r="U103" s="40" t="s">
        <v>171</v>
      </c>
      <c r="V103" s="40" t="s">
        <v>78</v>
      </c>
      <c r="W103" s="40" t="s">
        <v>78</v>
      </c>
      <c r="X103" s="40" t="s">
        <v>78</v>
      </c>
      <c r="Y103" s="40" t="s">
        <v>78</v>
      </c>
      <c r="Z103" s="40" t="s">
        <v>78</v>
      </c>
      <c r="AA103" s="40" t="s">
        <v>78</v>
      </c>
      <c r="AB103" s="40" t="s">
        <v>84</v>
      </c>
      <c r="AC103" s="40" t="s">
        <v>78</v>
      </c>
      <c r="AD103" s="40" t="s">
        <v>78</v>
      </c>
      <c r="AE103" s="40" t="s">
        <v>138</v>
      </c>
      <c r="AF103" s="40" t="s">
        <v>117</v>
      </c>
      <c r="AG103" s="40" t="s">
        <v>78</v>
      </c>
      <c r="AH103" s="40" t="s">
        <v>78</v>
      </c>
      <c r="AI103" s="40" t="s">
        <v>78</v>
      </c>
      <c r="AJ103" s="40" t="s">
        <v>78</v>
      </c>
      <c r="AK103" s="40" t="s">
        <v>78</v>
      </c>
      <c r="AL103" t="str">
        <f>VLOOKUP($Q103,武学奇术!$A:$ZZ,25,FALSE)</f>
        <v>单体奇术</v>
      </c>
      <c r="AM103" s="24">
        <f>VLOOKUP($Q103,武学奇术!$A:$ZZ,26,FALSE)</f>
        <v>0.236</v>
      </c>
      <c r="AN103" s="25">
        <f>VLOOKUP($Q103,武学奇术!$A:$ZZ,27,FALSE)*(1+IF(OR($AL103=$F$4,$AL103=$F$5),$B$22,0))</f>
        <v>46</v>
      </c>
      <c r="AO103" s="24">
        <f>VLOOKUP($Q103,武学奇术!$A:$ZZ,28,FALSE)</f>
        <v>0.354</v>
      </c>
      <c r="AP103" s="25">
        <f>VLOOKUP($Q103,武学奇术!$A:$ZZ,29,FALSE)*(1+IF(OR($AL103=$F$4,$AL103=$F$5),$B$22,0))</f>
        <v>0</v>
      </c>
      <c r="AQ103" s="24" cm="1">
        <f t="array" ref="AQ103">$G$3+IFERROR(VLOOKUP($AL103,$F$4:$G$7,2,FALSE),0)+VLOOKUP($Q103,武学奇术!$A:$ZZ,2,FALSE)+SUM(_xlfn.XLOOKUP($R103:$AK103,增益!$A:$A,增益!$B:$B,0))</f>
        <v>0.7415</v>
      </c>
      <c r="AR103" s="24" cm="1">
        <f t="array" ref="AR103">VLOOKUP($Q103,武学奇术!$A:$ZZ,5,FALSE)+SUM(_xlfn.XLOOKUP($R103:$AK103,增益!$A:$A,增益!$E:$E,0))</f>
        <v>0.15</v>
      </c>
      <c r="AS103" cm="1">
        <f t="array" ref="AS103">$D$10*(1+$AR103)+VLOOKUP($Q103,武学奇术!$A:$ZZ,3,FALSE)+SUM(_xlfn.XLOOKUP($R103:$AK103,增益!$A:$A,增益!$C:$C,0))-$I$2</f>
        <v>4427.0462</v>
      </c>
      <c r="AT103" cm="1">
        <f t="array" ref="AT103">$E$10*(1+$AR103)+VLOOKUP($Q103,武学奇术!$A:$ZZ,4,FALSE)+SUM(_xlfn.XLOOKUP($R103:$AK103,增益!$A:$A,增益!$D:$D,0))-$I$2</f>
        <v>4427.0462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0.2925</v>
      </c>
      <c r="AV103" s="32" cm="1">
        <f t="array" ref="AV103">$G$10+VLOOKUP($Q103,武学奇术!$A:$ZZ,7,FALSE)+SUM(_xlfn.XLOOKUP($R103:$AK103,增益!$A:$A,增益!$G:$G,0))</f>
        <v>0</v>
      </c>
      <c r="AW103" s="24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39"/>
        <v>605.472</v>
      </c>
      <c r="BG103">
        <f t="shared" si="40"/>
        <v>1579.612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4">
        <f>MIN(IF(VLOOKUP($Q103,武学奇术!$A:$ZZ,23,FALSE)=1,100%,$B$8),100%)</f>
        <v>1</v>
      </c>
      <c r="BO103" s="24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0.9093</v>
      </c>
      <c r="BP103" s="24" cm="1">
        <f t="array" ref="BP103">1+$B$13+VLOOKUP($Q103,武学奇术!$A:$ZZ,18,FALSE)+SUM(_xlfn.XLOOKUP($R103:$AK103,增益!$A:$A,增益!$R:$R,0))</f>
        <v>1.6</v>
      </c>
      <c r="BQ103" s="24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4" cm="1">
        <f t="array" ref="BR103">1+$B$14+VLOOKUP($Q103,武学奇术!$A:$ZZ,20,FALSE)+SUM(_xlfn.XLOOKUP($R103:$AK103,增益!$A:$A,增益!$T:$T,0))</f>
        <v>1.35</v>
      </c>
      <c r="BS103" s="24">
        <f t="shared" si="43"/>
        <v>0.9071</v>
      </c>
      <c r="BT103" s="24">
        <f t="shared" si="44"/>
        <v>0</v>
      </c>
      <c r="BU103" s="24">
        <f>IF(VLOOKUP($Q103,武学奇术!$A:$ZZ,22,FALSE)=1,0,(1-$BN103))*(1-$BQ103)</f>
        <v>0</v>
      </c>
      <c r="BV103" s="24" cm="1">
        <f t="array" ref="BV103">SUM(_xlfn.XLOOKUP($R103:$AK103,增益!$A:$A,增益!$W:$W,0))+$I$5</f>
        <v>0.06</v>
      </c>
    </row>
    <row r="104" spans="1:74">
      <c r="A104" s="4" t="s">
        <v>165</v>
      </c>
      <c r="B104" s="88">
        <v>1</v>
      </c>
      <c r="C104" s="39"/>
      <c r="E104" s="27"/>
      <c r="K104" s="38">
        <f t="shared" si="34"/>
        <v>21776.5675616732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弹道",$B$21,0))*(1+$BV104)</f>
        <v>21910.9945566352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弹道",$B$21,0))*(1+$BV104)</f>
        <v>20463.9870758811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弹道",$B$21,0))*(1+$BV104)</f>
        <v>13694.371597897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弹道",$B$21,0))*(1+$BV104)</f>
        <v>12230.2342506969</v>
      </c>
      <c r="P104" s="39">
        <v>4</v>
      </c>
      <c r="Q104" s="40" t="s">
        <v>137</v>
      </c>
      <c r="R104" s="40" t="s">
        <v>97</v>
      </c>
      <c r="S104" s="40" t="s">
        <v>176</v>
      </c>
      <c r="T104" s="40" t="s">
        <v>78</v>
      </c>
      <c r="U104" s="40" t="s">
        <v>171</v>
      </c>
      <c r="V104" s="40" t="s">
        <v>78</v>
      </c>
      <c r="W104" s="40" t="s">
        <v>78</v>
      </c>
      <c r="X104" s="40" t="s">
        <v>78</v>
      </c>
      <c r="Y104" s="40" t="s">
        <v>78</v>
      </c>
      <c r="Z104" s="40" t="s">
        <v>78</v>
      </c>
      <c r="AA104" s="40" t="s">
        <v>78</v>
      </c>
      <c r="AB104" s="40" t="s">
        <v>78</v>
      </c>
      <c r="AC104" s="40" t="s">
        <v>78</v>
      </c>
      <c r="AD104" s="40" t="s">
        <v>78</v>
      </c>
      <c r="AE104" s="40" t="s">
        <v>138</v>
      </c>
      <c r="AF104" s="40" t="s">
        <v>117</v>
      </c>
      <c r="AG104" s="40" t="s">
        <v>78</v>
      </c>
      <c r="AH104" s="40" t="s">
        <v>78</v>
      </c>
      <c r="AI104" s="40" t="s">
        <v>78</v>
      </c>
      <c r="AJ104" s="40" t="s">
        <v>78</v>
      </c>
      <c r="AK104" s="40" t="s">
        <v>78</v>
      </c>
      <c r="AL104" t="str">
        <f>VLOOKUP($Q104,武学奇术!$A:$ZZ,25,FALSE)</f>
        <v>单体奇术</v>
      </c>
      <c r="AM104" s="24">
        <f>VLOOKUP($Q104,武学奇术!$A:$ZZ,26,FALSE)</f>
        <v>0.236</v>
      </c>
      <c r="AN104" s="25">
        <f>VLOOKUP($Q104,武学奇术!$A:$ZZ,27,FALSE)*(1+IF(OR($AL104=$F$4,$AL104=$F$5),$B$22,0))</f>
        <v>46</v>
      </c>
      <c r="AO104" s="24">
        <f>VLOOKUP($Q104,武学奇术!$A:$ZZ,28,FALSE)</f>
        <v>0.354</v>
      </c>
      <c r="AP104" s="25">
        <f>VLOOKUP($Q104,武学奇术!$A:$ZZ,29,FALSE)*(1+IF(OR($AL104=$F$4,$AL104=$F$5),$B$22,0))</f>
        <v>0</v>
      </c>
      <c r="AQ104" s="24" cm="1">
        <f t="array" ref="AQ104">$G$3+IFERROR(VLOOKUP($AL104,$F$4:$G$7,2,FALSE),0)+VLOOKUP($Q104,武学奇术!$A:$ZZ,2,FALSE)+SUM(_xlfn.XLOOKUP($R104:$AK104,增益!$A:$A,增益!$B:$B,0))</f>
        <v>0.7415</v>
      </c>
      <c r="AR104" s="24" cm="1">
        <f t="array" ref="AR104">VLOOKUP($Q104,武学奇术!$A:$ZZ,5,FALSE)+SUM(_xlfn.XLOOKUP($R104:$AK104,增益!$A:$A,增益!$E:$E,0))</f>
        <v>0.15</v>
      </c>
      <c r="AS104" cm="1">
        <f t="array" ref="AS104">$D$10*(1+$AR104)+VLOOKUP($Q104,武学奇术!$A:$ZZ,3,FALSE)+SUM(_xlfn.XLOOKUP($R104:$AK104,增益!$A:$A,增益!$C:$C,0))-$I$2</f>
        <v>4427.0462</v>
      </c>
      <c r="AT104" cm="1">
        <f t="array" ref="AT104">$E$10*(1+$AR104)+VLOOKUP($Q104,武学奇术!$A:$ZZ,4,FALSE)+SUM(_xlfn.XLOOKUP($R104:$AK104,增益!$A:$A,增益!$D:$D,0))-$I$2</f>
        <v>4427.0462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0.2925</v>
      </c>
      <c r="AV104" s="32" cm="1">
        <f t="array" ref="AV104">$G$10+VLOOKUP($Q104,武学奇术!$A:$ZZ,7,FALSE)+SUM(_xlfn.XLOOKUP($R104:$AK104,增益!$A:$A,增益!$G:$G,0))</f>
        <v>0</v>
      </c>
      <c r="AW104" s="24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39"/>
        <v>605.472</v>
      </c>
      <c r="BG104">
        <f t="shared" si="40"/>
        <v>1579.612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4">
        <f>MIN(IF(VLOOKUP($Q104,武学奇术!$A:$ZZ,23,FALSE)=1,100%,$B$8),100%)</f>
        <v>1</v>
      </c>
      <c r="BO104" s="24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0.9093</v>
      </c>
      <c r="BP104" s="24" cm="1">
        <f t="array" ref="BP104">1+$B$13+VLOOKUP($Q104,武学奇术!$A:$ZZ,18,FALSE)+SUM(_xlfn.XLOOKUP($R104:$AK104,增益!$A:$A,增益!$R:$R,0))</f>
        <v>1.6</v>
      </c>
      <c r="BQ104" s="24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4" cm="1">
        <f t="array" ref="BR104">1+$B$14+VLOOKUP($Q104,武学奇术!$A:$ZZ,20,FALSE)+SUM(_xlfn.XLOOKUP($R104:$AK104,增益!$A:$A,增益!$T:$T,0))</f>
        <v>1.35</v>
      </c>
      <c r="BS104" s="24">
        <f t="shared" si="43"/>
        <v>0.9071</v>
      </c>
      <c r="BT104" s="24">
        <f t="shared" si="44"/>
        <v>0</v>
      </c>
      <c r="BU104" s="24">
        <f>IF(VLOOKUP($Q104,武学奇术!$A:$ZZ,22,FALSE)=1,0,(1-$BN104))*(1-$BQ104)</f>
        <v>0</v>
      </c>
      <c r="BV104" s="24" cm="1">
        <f t="array" ref="BV104">SUM(_xlfn.XLOOKUP($R104:$AK104,增益!$A:$A,增益!$W:$W,0))+$I$5</f>
        <v>0.06</v>
      </c>
    </row>
    <row r="105" spans="1:74">
      <c r="A105" s="4" t="s">
        <v>163</v>
      </c>
      <c r="B105" s="4">
        <v>2.1</v>
      </c>
      <c r="C105" s="39"/>
      <c r="E105" s="27"/>
      <c r="K105" s="38">
        <f t="shared" si="34"/>
        <v>189998.660086189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弹道",$B$21,0))*(1+$BV105)</f>
        <v>193473.708684437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弹道",$B$21,0))*(1+$BV105)</f>
        <v>156067.372858304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弹道",$B$21,0))*(1+$BV105)</f>
        <v>104580.383072669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弹道",$B$21,0))*(1+$BV105)</f>
        <v>93555.3047688154</v>
      </c>
      <c r="P105" s="39">
        <v>1</v>
      </c>
      <c r="Q105" s="40" t="s">
        <v>195</v>
      </c>
      <c r="R105" s="40" t="s">
        <v>97</v>
      </c>
      <c r="S105" s="40" t="s">
        <v>176</v>
      </c>
      <c r="T105" s="40" t="s">
        <v>78</v>
      </c>
      <c r="U105" s="40" t="s">
        <v>90</v>
      </c>
      <c r="V105" s="40" t="s">
        <v>78</v>
      </c>
      <c r="W105" s="40" t="s">
        <v>78</v>
      </c>
      <c r="X105" s="40" t="s">
        <v>78</v>
      </c>
      <c r="Y105" s="40" t="s">
        <v>151</v>
      </c>
      <c r="Z105" s="40" t="s">
        <v>78</v>
      </c>
      <c r="AA105" s="40" t="s">
        <v>78</v>
      </c>
      <c r="AB105" s="40" t="s">
        <v>84</v>
      </c>
      <c r="AC105" s="40" t="s">
        <v>78</v>
      </c>
      <c r="AD105" s="40" t="s">
        <v>78</v>
      </c>
      <c r="AE105" s="40" t="s">
        <v>78</v>
      </c>
      <c r="AF105" s="40" t="s">
        <v>117</v>
      </c>
      <c r="AG105" s="40" t="s">
        <v>78</v>
      </c>
      <c r="AH105" s="40" t="s">
        <v>78</v>
      </c>
      <c r="AI105" s="40" t="s">
        <v>78</v>
      </c>
      <c r="AJ105" s="40" t="s">
        <v>78</v>
      </c>
      <c r="AK105" s="40" t="s">
        <v>78</v>
      </c>
      <c r="AL105" t="str">
        <f>VLOOKUP($Q105,武学奇术!$A:$ZZ,25,FALSE)</f>
        <v>单体奇术</v>
      </c>
      <c r="AM105" s="24">
        <f>VLOOKUP($Q105,武学奇术!$A:$ZZ,26,FALSE)</f>
        <v>7.1084</v>
      </c>
      <c r="AN105" s="25">
        <f>VLOOKUP($Q105,武学奇术!$A:$ZZ,27,FALSE)*(1+IF(OR($AL105=$F$4,$AL105=$F$5),$B$22,0))</f>
        <v>1369</v>
      </c>
      <c r="AO105" s="24">
        <f>VLOOKUP($Q105,武学奇术!$A:$ZZ,28,FALSE)</f>
        <v>10.6626</v>
      </c>
      <c r="AP105" s="25">
        <f>VLOOKUP($Q105,武学奇术!$A:$ZZ,29,FALSE)*(1+IF(OR($AL105=$F$4,$AL105=$F$5),$B$22,0))</f>
        <v>0</v>
      </c>
      <c r="AQ105" s="24" cm="1">
        <f t="array" ref="AQ105">$G$3+IFERROR(VLOOKUP($AL105,$F$4:$G$7,2,FALSE),0)+VLOOKUP($Q105,武学奇术!$A:$ZZ,2,FALSE)+SUM(_xlfn.XLOOKUP($R105:$AK105,增益!$A:$A,增益!$B:$B,0))</f>
        <v>0.7415</v>
      </c>
      <c r="AR105" s="24" cm="1">
        <f t="array" ref="AR105">VLOOKUP($Q105,武学奇术!$A:$ZZ,5,FALSE)+SUM(_xlfn.XLOOKUP($R105:$AK105,增益!$A:$A,增益!$E:$E,0))</f>
        <v>0.075</v>
      </c>
      <c r="AS105" cm="1">
        <f t="array" ref="AS105">$D$10*(1+$AR105)+VLOOKUP($Q105,武学奇术!$A:$ZZ,3,FALSE)+SUM(_xlfn.XLOOKUP($R105:$AK105,增益!$A:$A,增益!$C:$C,0))-$I$2</f>
        <v>4100.3171</v>
      </c>
      <c r="AT105" cm="1">
        <f t="array" ref="AT105">$E$10*(1+$AR105)+VLOOKUP($Q105,武学奇术!$A:$ZZ,4,FALSE)+SUM(_xlfn.XLOOKUP($R105:$AK105,增益!$A:$A,增益!$D:$D,0))-$I$2</f>
        <v>4100.3171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0.4175</v>
      </c>
      <c r="AV105" s="32" cm="1">
        <f t="array" ref="AV105">$G$10+VLOOKUP($Q105,武学奇术!$A:$ZZ,7,FALSE)+SUM(_xlfn.XLOOKUP($R105:$AK105,增益!$A:$A,增益!$G:$G,0))</f>
        <v>0</v>
      </c>
      <c r="AW105" s="24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39"/>
        <v>605.472</v>
      </c>
      <c r="BG105">
        <f t="shared" si="40"/>
        <v>1579.612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4">
        <f>MIN(IF(VLOOKUP($Q105,武学奇术!$A:$ZZ,23,FALSE)=1,100%,$B$8),100%)</f>
        <v>1</v>
      </c>
      <c r="BO105" s="24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0.9093</v>
      </c>
      <c r="BP105" s="24" cm="1">
        <f t="array" ref="BP105">1+$B$13+VLOOKUP($Q105,武学奇术!$A:$ZZ,18,FALSE)+SUM(_xlfn.XLOOKUP($R105:$AK105,增益!$A:$A,增益!$R:$R,0))</f>
        <v>1.85</v>
      </c>
      <c r="BQ105" s="24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4" cm="1">
        <f t="array" ref="BR105">1+$B$14+VLOOKUP($Q105,武学奇术!$A:$ZZ,20,FALSE)+SUM(_xlfn.XLOOKUP($R105:$AK105,增益!$A:$A,增益!$T:$T,0))</f>
        <v>1.35</v>
      </c>
      <c r="BS105" s="24">
        <f t="shared" si="43"/>
        <v>0.9071</v>
      </c>
      <c r="BT105" s="24">
        <f t="shared" si="44"/>
        <v>0</v>
      </c>
      <c r="BU105" s="24">
        <f>IF(VLOOKUP($Q105,武学奇术!$A:$ZZ,22,FALSE)=1,0,(1-$BN105))*(1-$BQ105)</f>
        <v>0</v>
      </c>
      <c r="BV105" s="24" cm="1">
        <f t="array" ref="BV105">SUM(_xlfn.XLOOKUP($R105:$AK105,增益!$A:$A,增益!$W:$W,0))+$I$5</f>
        <v>0.06</v>
      </c>
    </row>
    <row r="106" spans="1:74">
      <c r="A106" s="4"/>
      <c r="B106" s="4"/>
      <c r="K106" s="38">
        <f t="shared" si="34"/>
        <v>94325.0998639338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弹道",$B$21,0))*(1+$BV106)</f>
        <v>96516.1291611371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弹道",$B$21,0))*(1+$BV106)</f>
        <v>72931.3143365597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弹道",$B$21,0))*(1+$BV106)</f>
        <v>49242.9230413965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弹道",$B$21,0))*(1+$BV106)</f>
        <v>44462.6502779339</v>
      </c>
      <c r="P106" s="39">
        <v>1</v>
      </c>
      <c r="Q106" s="40" t="s">
        <v>101</v>
      </c>
      <c r="R106" s="40" t="s">
        <v>97</v>
      </c>
      <c r="S106" s="40" t="s">
        <v>176</v>
      </c>
      <c r="T106" s="40" t="s">
        <v>106</v>
      </c>
      <c r="U106" s="40" t="s">
        <v>171</v>
      </c>
      <c r="V106" s="40" t="s">
        <v>102</v>
      </c>
      <c r="W106" s="40" t="s">
        <v>78</v>
      </c>
      <c r="X106" s="40" t="s">
        <v>78</v>
      </c>
      <c r="Y106" s="40" t="s">
        <v>78</v>
      </c>
      <c r="Z106" s="40" t="s">
        <v>78</v>
      </c>
      <c r="AA106" s="40" t="s">
        <v>78</v>
      </c>
      <c r="AB106" s="40" t="s">
        <v>84</v>
      </c>
      <c r="AC106" s="40" t="s">
        <v>78</v>
      </c>
      <c r="AD106" s="40" t="s">
        <v>78</v>
      </c>
      <c r="AE106" s="40" t="s">
        <v>78</v>
      </c>
      <c r="AF106" s="40" t="s">
        <v>117</v>
      </c>
      <c r="AG106" s="40" t="s">
        <v>78</v>
      </c>
      <c r="AH106" s="40" t="s">
        <v>78</v>
      </c>
      <c r="AI106" s="40" t="s">
        <v>78</v>
      </c>
      <c r="AJ106" s="40" t="s">
        <v>78</v>
      </c>
      <c r="AK106" s="40" t="s">
        <v>78</v>
      </c>
      <c r="AL106" t="str">
        <f>VLOOKUP($Q106,武学奇术!$A:$ZZ,25,FALSE)</f>
        <v>伞</v>
      </c>
      <c r="AM106" s="24">
        <f>VLOOKUP($Q106,武学奇术!$A:$ZZ,26,FALSE)</f>
        <v>2.3397</v>
      </c>
      <c r="AN106" s="25">
        <f>VLOOKUP($Q106,武学奇术!$A:$ZZ,27,FALSE)*(1+IF(OR($AL106=$F$4,$AL106=$F$5),$B$22,0))</f>
        <v>972</v>
      </c>
      <c r="AO106" s="24">
        <f>VLOOKUP($Q106,武学奇术!$A:$ZZ,28,FALSE)</f>
        <v>3.5095</v>
      </c>
      <c r="AP106" s="25">
        <f>VLOOKUP($Q106,武学奇术!$A:$ZZ,29,FALSE)*(1+IF(OR($AL106=$F$4,$AL106=$F$5),$B$22,0))</f>
        <v>529.5</v>
      </c>
      <c r="AQ106" s="24" cm="1">
        <f t="array" ref="AQ106">$G$3+IFERROR(VLOOKUP($AL106,$F$4:$G$7,2,FALSE),0)+VLOOKUP($Q106,武学奇术!$A:$ZZ,2,FALSE)+SUM(_xlfn.XLOOKUP($R106:$AK106,增益!$A:$A,增益!$B:$B,0))</f>
        <v>1.2941</v>
      </c>
      <c r="AR106" s="24" cm="1">
        <f t="array" ref="AR106">VLOOKUP($Q106,武学奇术!$A:$ZZ,5,FALSE)+SUM(_xlfn.XLOOKUP($R106:$AK106,增益!$A:$A,增益!$E:$E,0))</f>
        <v>0.15</v>
      </c>
      <c r="AS106" cm="1">
        <f t="array" ref="AS106">$D$10*(1+$AR106)+VLOOKUP($Q106,武学奇术!$A:$ZZ,3,FALSE)+SUM(_xlfn.XLOOKUP($R106:$AK106,增益!$A:$A,增益!$C:$C,0))-$I$2</f>
        <v>4427.0462</v>
      </c>
      <c r="AT106" cm="1">
        <f t="array" ref="AT106">$E$10*(1+$AR106)+VLOOKUP($Q106,武学奇术!$A:$ZZ,4,FALSE)+SUM(_xlfn.XLOOKUP($R106:$AK106,增益!$A:$A,增益!$D:$D,0))-$I$2</f>
        <v>4427.0462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0.3175</v>
      </c>
      <c r="AV106" s="32" cm="1">
        <f t="array" ref="AV106">$G$10+VLOOKUP($Q106,武学奇术!$A:$ZZ,7,FALSE)+SUM(_xlfn.XLOOKUP($R106:$AK106,增益!$A:$A,增益!$G:$G,0))</f>
        <v>0</v>
      </c>
      <c r="AW106" s="24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39"/>
        <v>605.472</v>
      </c>
      <c r="BG106">
        <f t="shared" si="40"/>
        <v>1579.612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4">
        <f>MIN(IF(VLOOKUP($Q106,武学奇术!$A:$ZZ,23,FALSE)=1,100%,$B$8),100%)</f>
        <v>1</v>
      </c>
      <c r="BO106" s="24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0.9093</v>
      </c>
      <c r="BP106" s="24" cm="1">
        <f t="array" ref="BP106">1+$B$13+VLOOKUP($Q106,武学奇术!$A:$ZZ,18,FALSE)+SUM(_xlfn.XLOOKUP($R106:$AK106,增益!$A:$A,增益!$R:$R,0))</f>
        <v>1.96</v>
      </c>
      <c r="BQ106" s="24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4" cm="1">
        <f t="array" ref="BR106">1+$B$14+VLOOKUP($Q106,武学奇术!$A:$ZZ,20,FALSE)+SUM(_xlfn.XLOOKUP($R106:$AK106,增益!$A:$A,增益!$T:$T,0))</f>
        <v>1.35</v>
      </c>
      <c r="BS106" s="24">
        <f t="shared" si="43"/>
        <v>0.9071</v>
      </c>
      <c r="BT106" s="24">
        <f t="shared" si="44"/>
        <v>0</v>
      </c>
      <c r="BU106" s="24">
        <f>IF(VLOOKUP($Q106,武学奇术!$A:$ZZ,22,FALSE)=1,0,(1-$BN106))*(1-$BQ106)</f>
        <v>0</v>
      </c>
      <c r="BV106" s="24" cm="1">
        <f t="array" ref="BV106">SUM(_xlfn.XLOOKUP($R106:$AK106,增益!$A:$A,增益!$W:$W,0))+$I$5</f>
        <v>0.06</v>
      </c>
    </row>
    <row r="107" spans="1:74">
      <c r="A107" s="4"/>
      <c r="B107" s="4"/>
      <c r="K107" s="38">
        <f t="shared" si="34"/>
        <v>40177.8589568011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弹道",$B$21,0))*(1+$BV107)</f>
        <v>40452.8471504701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弹道",$B$21,0))*(1+$BV107)</f>
        <v>37492.8020087152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弹道",$B$21,0))*(1+$BV107)</f>
        <v>25283.0294690438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弹道",$B$21,0))*(1+$BV107)</f>
        <v>22793.613005706</v>
      </c>
      <c r="P107" s="39">
        <v>1</v>
      </c>
      <c r="Q107" s="40" t="s">
        <v>108</v>
      </c>
      <c r="R107" s="40" t="s">
        <v>97</v>
      </c>
      <c r="S107" s="40" t="s">
        <v>176</v>
      </c>
      <c r="T107" s="40" t="s">
        <v>78</v>
      </c>
      <c r="U107" s="40" t="s">
        <v>171</v>
      </c>
      <c r="V107" s="40" t="s">
        <v>78</v>
      </c>
      <c r="W107" s="40" t="s">
        <v>78</v>
      </c>
      <c r="X107" s="40" t="s">
        <v>78</v>
      </c>
      <c r="Y107" s="40" t="s">
        <v>78</v>
      </c>
      <c r="Z107" s="40" t="s">
        <v>78</v>
      </c>
      <c r="AA107" s="40" t="s">
        <v>78</v>
      </c>
      <c r="AB107" s="40" t="s">
        <v>84</v>
      </c>
      <c r="AC107" s="40" t="s">
        <v>78</v>
      </c>
      <c r="AD107" s="40" t="s">
        <v>78</v>
      </c>
      <c r="AE107" s="40" t="s">
        <v>78</v>
      </c>
      <c r="AF107" s="40" t="s">
        <v>117</v>
      </c>
      <c r="AG107" s="40" t="s">
        <v>78</v>
      </c>
      <c r="AH107" s="40" t="s">
        <v>78</v>
      </c>
      <c r="AI107" s="40" t="s">
        <v>78</v>
      </c>
      <c r="AJ107" s="40" t="s">
        <v>78</v>
      </c>
      <c r="AK107" s="40" t="s">
        <v>78</v>
      </c>
      <c r="AL107" t="str">
        <f>VLOOKUP($Q107,武学奇术!$A:$ZZ,25,FALSE)</f>
        <v>伞</v>
      </c>
      <c r="AM107" s="24">
        <f>VLOOKUP($Q107,武学奇术!$A:$ZZ,26,FALSE)</f>
        <v>1.7001</v>
      </c>
      <c r="AN107" s="25">
        <f>VLOOKUP($Q107,武学奇术!$A:$ZZ,27,FALSE)*(1+IF(OR($AL107=$F$4,$AL107=$F$5),$B$22,0))</f>
        <v>706.5</v>
      </c>
      <c r="AO107" s="24">
        <f>VLOOKUP($Q107,武学奇术!$A:$ZZ,28,FALSE)</f>
        <v>2.5502</v>
      </c>
      <c r="AP107" s="25">
        <f>VLOOKUP($Q107,武学奇术!$A:$ZZ,29,FALSE)*(1+IF(OR($AL107=$F$4,$AL107=$F$5),$B$22,0))</f>
        <v>384</v>
      </c>
      <c r="AQ107" s="24" cm="1">
        <f t="array" ref="AQ107">$G$3+IFERROR(VLOOKUP($AL107,$F$4:$G$7,2,FALSE),0)+VLOOKUP($Q107,武学奇术!$A:$ZZ,2,FALSE)+SUM(_xlfn.XLOOKUP($R107:$AK107,增益!$A:$A,增益!$B:$B,0))</f>
        <v>0.6441</v>
      </c>
      <c r="AR107" s="24" cm="1">
        <f t="array" ref="AR107">VLOOKUP($Q107,武学奇术!$A:$ZZ,5,FALSE)+SUM(_xlfn.XLOOKUP($R107:$AK107,增益!$A:$A,增益!$E:$E,0))</f>
        <v>0.15</v>
      </c>
      <c r="AS107" cm="1">
        <f t="array" ref="AS107">$D$10*(1+$AR107)+VLOOKUP($Q107,武学奇术!$A:$ZZ,3,FALSE)+SUM(_xlfn.XLOOKUP($R107:$AK107,增益!$A:$A,增益!$C:$C,0))-$I$2</f>
        <v>4427.0462</v>
      </c>
      <c r="AT107" cm="1">
        <f t="array" ref="AT107">$E$10*(1+$AR107)+VLOOKUP($Q107,武学奇术!$A:$ZZ,4,FALSE)+SUM(_xlfn.XLOOKUP($R107:$AK107,增益!$A:$A,增益!$D:$D,0))-$I$2</f>
        <v>4427.0462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0.2925</v>
      </c>
      <c r="AV107" s="32" cm="1">
        <f t="array" ref="AV107">$G$10+VLOOKUP($Q107,武学奇术!$A:$ZZ,7,FALSE)+SUM(_xlfn.XLOOKUP($R107:$AK107,增益!$A:$A,增益!$G:$G,0))</f>
        <v>0</v>
      </c>
      <c r="AW107" s="24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39"/>
        <v>605.472</v>
      </c>
      <c r="BG107">
        <f t="shared" si="40"/>
        <v>1579.612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4">
        <f>MIN(IF(VLOOKUP($Q107,武学奇术!$A:$ZZ,23,FALSE)=1,100%,$B$8),100%)</f>
        <v>1</v>
      </c>
      <c r="BO107" s="24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0.9093</v>
      </c>
      <c r="BP107" s="24" cm="1">
        <f t="array" ref="BP107">1+$B$13+VLOOKUP($Q107,武学奇术!$A:$ZZ,18,FALSE)+SUM(_xlfn.XLOOKUP($R107:$AK107,增益!$A:$A,增益!$R:$R,0))</f>
        <v>1.6</v>
      </c>
      <c r="BQ107" s="24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4" cm="1">
        <f t="array" ref="BR107">1+$B$14+VLOOKUP($Q107,武学奇术!$A:$ZZ,20,FALSE)+SUM(_xlfn.XLOOKUP($R107:$AK107,增益!$A:$A,增益!$T:$T,0))</f>
        <v>1.35</v>
      </c>
      <c r="BS107" s="24">
        <f t="shared" si="43"/>
        <v>0.9071</v>
      </c>
      <c r="BT107" s="24">
        <f t="shared" si="44"/>
        <v>0</v>
      </c>
      <c r="BU107" s="24">
        <f>IF(VLOOKUP($Q107,武学奇术!$A:$ZZ,22,FALSE)=1,0,(1-$BN107))*(1-$BQ107)</f>
        <v>0</v>
      </c>
      <c r="BV107" s="24" cm="1">
        <f t="array" ref="BV107">SUM(_xlfn.XLOOKUP($R107:$AK107,增益!$A:$A,增益!$W:$W,0))+$I$5</f>
        <v>0.06</v>
      </c>
    </row>
    <row r="108" spans="1:74">
      <c r="A108" s="4"/>
      <c r="B108" s="4"/>
      <c r="K108" s="38">
        <f t="shared" si="34"/>
        <v>16835.7578578317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弹道",$B$21,0))*(1+$BV108)</f>
        <v>16950.9133397912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弹道",$B$21,0))*(1+$BV108)</f>
        <v>15711.3494866213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弹道",$B$21,0))*(1+$BV108)</f>
        <v>10594.3208373695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弹道",$B$21,0))*(1+$BV108)</f>
        <v>9550.60501798246</v>
      </c>
      <c r="P108" s="39">
        <v>1</v>
      </c>
      <c r="Q108" s="40" t="s">
        <v>111</v>
      </c>
      <c r="R108" s="40" t="s">
        <v>97</v>
      </c>
      <c r="S108" s="40" t="s">
        <v>176</v>
      </c>
      <c r="T108" s="40" t="s">
        <v>78</v>
      </c>
      <c r="U108" s="40" t="s">
        <v>171</v>
      </c>
      <c r="V108" s="40" t="s">
        <v>78</v>
      </c>
      <c r="W108" s="40" t="s">
        <v>78</v>
      </c>
      <c r="X108" s="40" t="s">
        <v>78</v>
      </c>
      <c r="Y108" s="40" t="s">
        <v>78</v>
      </c>
      <c r="Z108" s="40" t="s">
        <v>78</v>
      </c>
      <c r="AA108" s="40" t="s">
        <v>78</v>
      </c>
      <c r="AB108" s="40" t="s">
        <v>84</v>
      </c>
      <c r="AC108" s="40" t="s">
        <v>78</v>
      </c>
      <c r="AD108" s="40" t="s">
        <v>78</v>
      </c>
      <c r="AE108" s="40" t="s">
        <v>78</v>
      </c>
      <c r="AF108" s="40" t="s">
        <v>117</v>
      </c>
      <c r="AG108" s="40" t="s">
        <v>78</v>
      </c>
      <c r="AH108" s="40" t="s">
        <v>78</v>
      </c>
      <c r="AI108" s="40" t="s">
        <v>78</v>
      </c>
      <c r="AJ108" s="40" t="s">
        <v>78</v>
      </c>
      <c r="AK108" s="40" t="s">
        <v>78</v>
      </c>
      <c r="AL108" t="str">
        <f>VLOOKUP($Q108,武学奇术!$A:$ZZ,25,FALSE)</f>
        <v>伞</v>
      </c>
      <c r="AM108" s="24">
        <f>VLOOKUP($Q108,武学奇术!$A:$ZZ,26,FALSE)</f>
        <v>0.54</v>
      </c>
      <c r="AN108" s="25">
        <f>VLOOKUP($Q108,武学奇术!$A:$ZZ,27,FALSE)*(1+IF(OR($AL108=$F$4,$AL108=$F$5),$B$22,0))</f>
        <v>222</v>
      </c>
      <c r="AO108" s="24">
        <f>VLOOKUP($Q108,武学奇术!$A:$ZZ,28,FALSE)</f>
        <v>0.81</v>
      </c>
      <c r="AP108" s="25">
        <f>VLOOKUP($Q108,武学奇术!$A:$ZZ,29,FALSE)*(1+IF(OR($AL108=$F$4,$AL108=$F$5),$B$22,0))</f>
        <v>122.25</v>
      </c>
      <c r="AQ108" s="24" cm="1">
        <f t="array" ref="AQ108">$G$3+IFERROR(VLOOKUP($AL108,$F$4:$G$7,2,FALSE),0)+VLOOKUP($Q108,武学奇术!$A:$ZZ,2,FALSE)+SUM(_xlfn.XLOOKUP($R108:$AK108,增益!$A:$A,增益!$B:$B,0))</f>
        <v>0.6441</v>
      </c>
      <c r="AR108" s="24" cm="1">
        <f t="array" ref="AR108">VLOOKUP($Q108,武学奇术!$A:$ZZ,5,FALSE)+SUM(_xlfn.XLOOKUP($R108:$AK108,增益!$A:$A,增益!$E:$E,0))</f>
        <v>0.15</v>
      </c>
      <c r="AS108" cm="1">
        <f t="array" ref="AS108">$D$10*(1+$AR108)+VLOOKUP($Q108,武学奇术!$A:$ZZ,3,FALSE)+SUM(_xlfn.XLOOKUP($R108:$AK108,增益!$A:$A,增益!$C:$C,0))-$I$2</f>
        <v>4427.0462</v>
      </c>
      <c r="AT108" cm="1">
        <f t="array" ref="AT108">$E$10*(1+$AR108)+VLOOKUP($Q108,武学奇术!$A:$ZZ,4,FALSE)+SUM(_xlfn.XLOOKUP($R108:$AK108,增益!$A:$A,增益!$D:$D,0))-$I$2</f>
        <v>4427.0462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0.2925</v>
      </c>
      <c r="AV108" s="32" cm="1">
        <f t="array" ref="AV108">$G$10+VLOOKUP($Q108,武学奇术!$A:$ZZ,7,FALSE)+SUM(_xlfn.XLOOKUP($R108:$AK108,增益!$A:$A,增益!$G:$G,0))</f>
        <v>0</v>
      </c>
      <c r="AW108" s="24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39"/>
        <v>605.472</v>
      </c>
      <c r="BG108">
        <f t="shared" si="40"/>
        <v>1579.612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4">
        <f>MIN(IF(VLOOKUP($Q108,武学奇术!$A:$ZZ,23,FALSE)=1,100%,$B$8),100%)</f>
        <v>1</v>
      </c>
      <c r="BO108" s="24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0.9093</v>
      </c>
      <c r="BP108" s="24" cm="1">
        <f t="array" ref="BP108">1+$B$13+VLOOKUP($Q108,武学奇术!$A:$ZZ,18,FALSE)+SUM(_xlfn.XLOOKUP($R108:$AK108,增益!$A:$A,增益!$R:$R,0))</f>
        <v>1.6</v>
      </c>
      <c r="BQ108" s="24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4" cm="1">
        <f t="array" ref="BR108">1+$B$14+VLOOKUP($Q108,武学奇术!$A:$ZZ,20,FALSE)+SUM(_xlfn.XLOOKUP($R108:$AK108,增益!$A:$A,增益!$T:$T,0))</f>
        <v>1.35</v>
      </c>
      <c r="BS108" s="24">
        <f t="shared" si="43"/>
        <v>0.9071</v>
      </c>
      <c r="BT108" s="24">
        <f t="shared" si="44"/>
        <v>0</v>
      </c>
      <c r="BU108" s="24">
        <f>IF(VLOOKUP($Q108,武学奇术!$A:$ZZ,22,FALSE)=1,0,(1-$BN108))*(1-$BQ108)</f>
        <v>0</v>
      </c>
      <c r="BV108" s="24" cm="1">
        <f t="array" ref="BV108">SUM(_xlfn.XLOOKUP($R108:$AK108,增益!$A:$A,增益!$W:$W,0))+$I$5</f>
        <v>0.06</v>
      </c>
    </row>
    <row r="109" spans="1:74">
      <c r="A109" s="4"/>
      <c r="B109" s="4"/>
      <c r="K109" s="38">
        <f t="shared" si="34"/>
        <v>625098.373057291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弹道",$B$21,0))*(1+$BV109)</f>
        <v>639617.464208602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弹道",$B$21,0))*(1+$BV109)</f>
        <v>483330.15364551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弹道",$B$21,0))*(1+$BV109)</f>
        <v>326335.440922756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弹道",$B$21,0))*(1+$BV109)</f>
        <v>294648.545811801</v>
      </c>
      <c r="P109" s="39">
        <v>10</v>
      </c>
      <c r="Q109" s="40" t="s">
        <v>113</v>
      </c>
      <c r="R109" s="40" t="s">
        <v>97</v>
      </c>
      <c r="S109" s="40" t="s">
        <v>176</v>
      </c>
      <c r="T109" s="40" t="s">
        <v>106</v>
      </c>
      <c r="U109" s="40" t="s">
        <v>171</v>
      </c>
      <c r="V109" s="40" t="s">
        <v>102</v>
      </c>
      <c r="W109" s="40" t="s">
        <v>78</v>
      </c>
      <c r="X109" s="40" t="s">
        <v>78</v>
      </c>
      <c r="Y109" s="40" t="s">
        <v>78</v>
      </c>
      <c r="Z109" s="40" t="s">
        <v>78</v>
      </c>
      <c r="AA109" s="40" t="s">
        <v>78</v>
      </c>
      <c r="AB109" s="40" t="s">
        <v>84</v>
      </c>
      <c r="AC109" s="40" t="s">
        <v>78</v>
      </c>
      <c r="AD109" s="40" t="s">
        <v>78</v>
      </c>
      <c r="AE109" s="40" t="s">
        <v>78</v>
      </c>
      <c r="AF109" s="40" t="s">
        <v>117</v>
      </c>
      <c r="AG109" s="40" t="s">
        <v>78</v>
      </c>
      <c r="AH109" s="40" t="s">
        <v>78</v>
      </c>
      <c r="AI109" s="40" t="s">
        <v>78</v>
      </c>
      <c r="AJ109" s="40" t="s">
        <v>78</v>
      </c>
      <c r="AK109" s="40" t="s">
        <v>78</v>
      </c>
      <c r="AL109" t="str">
        <f>VLOOKUP($Q109,武学奇术!$A:$ZZ,25,FALSE)</f>
        <v>伞</v>
      </c>
      <c r="AM109" s="24">
        <f>VLOOKUP($Q109,武学奇术!$A:$ZZ,26,FALSE)</f>
        <v>1.174955</v>
      </c>
      <c r="AN109" s="25">
        <f>VLOOKUP($Q109,武学奇术!$A:$ZZ,27,FALSE)*(1+IF(OR($AL109=$F$4,$AL109=$F$5),$B$22,0))</f>
        <v>486.45</v>
      </c>
      <c r="AO109" s="24">
        <f>VLOOKUP($Q109,武学奇术!$A:$ZZ,28,FALSE)</f>
        <v>1.762375</v>
      </c>
      <c r="AP109" s="25">
        <f>VLOOKUP($Q109,武学奇术!$A:$ZZ,29,FALSE)*(1+IF(OR($AL109=$F$4,$AL109=$F$5),$B$22,0))</f>
        <v>265.65</v>
      </c>
      <c r="AQ109" s="24" cm="1">
        <f t="array" ref="AQ109">$G$3+IFERROR(VLOOKUP($AL109,$F$4:$G$7,2,FALSE),0)+VLOOKUP($Q109,武学奇术!$A:$ZZ,2,FALSE)+SUM(_xlfn.XLOOKUP($R109:$AK109,增益!$A:$A,增益!$B:$B,0))</f>
        <v>1.2941</v>
      </c>
      <c r="AR109" s="24" cm="1">
        <f t="array" ref="AR109">VLOOKUP($Q109,武学奇术!$A:$ZZ,5,FALSE)+SUM(_xlfn.XLOOKUP($R109:$AK109,增益!$A:$A,增益!$E:$E,0))</f>
        <v>0.15</v>
      </c>
      <c r="AS109" cm="1">
        <f t="array" ref="AS109">$D$10*(1+$AR109)+VLOOKUP($Q109,武学奇术!$A:$ZZ,3,FALSE)+SUM(_xlfn.XLOOKUP($R109:$AK109,增益!$A:$A,增益!$C:$C,0))-$I$2</f>
        <v>4427.0462</v>
      </c>
      <c r="AT109" cm="1">
        <f t="array" ref="AT109">$E$10*(1+$AR109)+VLOOKUP($Q109,武学奇术!$A:$ZZ,4,FALSE)+SUM(_xlfn.XLOOKUP($R109:$AK109,增益!$A:$A,增益!$D:$D,0))-$I$2</f>
        <v>4427.0462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0.3175</v>
      </c>
      <c r="AV109" s="32" cm="1">
        <f t="array" ref="AV109">$G$10+VLOOKUP($Q109,武学奇术!$A:$ZZ,7,FALSE)+SUM(_xlfn.XLOOKUP($R109:$AK109,增益!$A:$A,增益!$G:$G,0))</f>
        <v>0</v>
      </c>
      <c r="AW109" s="24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39"/>
        <v>605.472</v>
      </c>
      <c r="BG109">
        <f t="shared" si="40"/>
        <v>1579.612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4">
        <f>MIN(IF(VLOOKUP($Q109,武学奇术!$A:$ZZ,23,FALSE)=1,100%,$B$8),100%)</f>
        <v>1</v>
      </c>
      <c r="BO109" s="24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0.9093</v>
      </c>
      <c r="BP109" s="24" cm="1">
        <f t="array" ref="BP109">1+$B$13+VLOOKUP($Q109,武学奇术!$A:$ZZ,18,FALSE)+SUM(_xlfn.XLOOKUP($R109:$AK109,增益!$A:$A,增益!$R:$R,0))</f>
        <v>1.96</v>
      </c>
      <c r="BQ109" s="24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4" cm="1">
        <f t="array" ref="BR109">1+$B$14+VLOOKUP($Q109,武学奇术!$A:$ZZ,20,FALSE)+SUM(_xlfn.XLOOKUP($R109:$AK109,增益!$A:$A,增益!$T:$T,0))</f>
        <v>1.35</v>
      </c>
      <c r="BS109" s="24">
        <f t="shared" si="43"/>
        <v>0.9071</v>
      </c>
      <c r="BT109" s="24">
        <f t="shared" si="44"/>
        <v>0</v>
      </c>
      <c r="BU109" s="24">
        <f>IF(VLOOKUP($Q109,武学奇术!$A:$ZZ,22,FALSE)=1,0,(1-$BN109))*(1-$BQ109)</f>
        <v>0</v>
      </c>
      <c r="BV109" s="24" cm="1">
        <f t="array" ref="BV109">SUM(_xlfn.XLOOKUP($R109:$AK109,增益!$A:$A,增益!$W:$W,0))+$I$5</f>
        <v>0.06</v>
      </c>
    </row>
    <row r="110" spans="1:74">
      <c r="A110" s="4"/>
      <c r="B110" s="88"/>
      <c r="K110" s="38">
        <f t="shared" si="34"/>
        <v>94425.1513843297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弹道",$B$21,0))*(1+$BV110)</f>
        <v>95007.5787451018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弹道",$B$21,0))*(1+$BV110)</f>
        <v>88738.1776603643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弹道",$B$21,0))*(1+$BV110)</f>
        <v>59379.7367156886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弹道",$B$21,0))*(1+$BV110)</f>
        <v>53027.4899792556</v>
      </c>
      <c r="P110" s="39">
        <v>4</v>
      </c>
      <c r="Q110" s="40" t="s">
        <v>153</v>
      </c>
      <c r="R110" s="40" t="s">
        <v>97</v>
      </c>
      <c r="S110" s="40" t="s">
        <v>176</v>
      </c>
      <c r="T110" s="40" t="s">
        <v>78</v>
      </c>
      <c r="U110" s="40" t="s">
        <v>171</v>
      </c>
      <c r="V110" s="40" t="s">
        <v>78</v>
      </c>
      <c r="W110" s="40" t="s">
        <v>78</v>
      </c>
      <c r="X110" s="40" t="s">
        <v>78</v>
      </c>
      <c r="Y110" s="40" t="s">
        <v>78</v>
      </c>
      <c r="Z110" s="40" t="s">
        <v>78</v>
      </c>
      <c r="AA110" s="40" t="s">
        <v>78</v>
      </c>
      <c r="AB110" s="40" t="s">
        <v>84</v>
      </c>
      <c r="AC110" s="40" t="s">
        <v>78</v>
      </c>
      <c r="AD110" s="40" t="s">
        <v>78</v>
      </c>
      <c r="AE110" s="40" t="s">
        <v>78</v>
      </c>
      <c r="AF110" s="40" t="s">
        <v>117</v>
      </c>
      <c r="AG110" s="40" t="s">
        <v>78</v>
      </c>
      <c r="AH110" s="40" t="s">
        <v>78</v>
      </c>
      <c r="AI110" s="40" t="s">
        <v>78</v>
      </c>
      <c r="AJ110" s="40" t="s">
        <v>78</v>
      </c>
      <c r="AK110" s="40" t="s">
        <v>78</v>
      </c>
      <c r="AL110" t="str">
        <f>VLOOKUP($Q110,武学奇术!$A:$ZZ,25,FALSE)</f>
        <v>单体奇术</v>
      </c>
      <c r="AM110" s="24">
        <f>VLOOKUP($Q110,武学奇术!$A:$ZZ,26,FALSE)</f>
        <v>1.0239</v>
      </c>
      <c r="AN110" s="25">
        <f>VLOOKUP($Q110,武学奇术!$A:$ZZ,27,FALSE)*(1+IF(OR($AL110=$F$4,$AL110=$F$5),$B$22,0))</f>
        <v>196</v>
      </c>
      <c r="AO110" s="24">
        <f>VLOOKUP($Q110,武学奇术!$A:$ZZ,28,FALSE)</f>
        <v>1.53585</v>
      </c>
      <c r="AP110" s="25">
        <f>VLOOKUP($Q110,武学奇术!$A:$ZZ,29,FALSE)*(1+IF(OR($AL110=$F$4,$AL110=$F$5),$B$22,0))</f>
        <v>0</v>
      </c>
      <c r="AQ110" s="24" cm="1">
        <f t="array" ref="AQ110">$G$3+IFERROR(VLOOKUP($AL110,$F$4:$G$7,2,FALSE),0)+VLOOKUP($Q110,武学奇术!$A:$ZZ,2,FALSE)+SUM(_xlfn.XLOOKUP($R110:$AK110,增益!$A:$A,增益!$B:$B,0))</f>
        <v>0.7415</v>
      </c>
      <c r="AR110" s="24" cm="1">
        <f t="array" ref="AR110">VLOOKUP($Q110,武学奇术!$A:$ZZ,5,FALSE)+SUM(_xlfn.XLOOKUP($R110:$AK110,增益!$A:$A,增益!$E:$E,0))</f>
        <v>0.15</v>
      </c>
      <c r="AS110" cm="1">
        <f t="array" ref="AS110">$D$10*(1+$AR110)+VLOOKUP($Q110,武学奇术!$A:$ZZ,3,FALSE)+SUM(_xlfn.XLOOKUP($R110:$AK110,增益!$A:$A,增益!$C:$C,0))-$I$2</f>
        <v>4427.0462</v>
      </c>
      <c r="AT110" cm="1">
        <f t="array" ref="AT110">$E$10*(1+$AR110)+VLOOKUP($Q110,武学奇术!$A:$ZZ,4,FALSE)+SUM(_xlfn.XLOOKUP($R110:$AK110,增益!$A:$A,增益!$D:$D,0))-$I$2</f>
        <v>4427.0462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0.2925</v>
      </c>
      <c r="AV110" s="32" cm="1">
        <f t="array" ref="AV110">$G$10+VLOOKUP($Q110,武学奇术!$A:$ZZ,7,FALSE)+SUM(_xlfn.XLOOKUP($R110:$AK110,增益!$A:$A,增益!$G:$G,0))</f>
        <v>0</v>
      </c>
      <c r="AW110" s="24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39"/>
        <v>605.472</v>
      </c>
      <c r="BG110">
        <f t="shared" si="40"/>
        <v>1579.612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4">
        <f>MIN(IF(VLOOKUP($Q110,武学奇术!$A:$ZZ,23,FALSE)=1,100%,$B$8),100%)</f>
        <v>1</v>
      </c>
      <c r="BO110" s="24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0.9093</v>
      </c>
      <c r="BP110" s="24" cm="1">
        <f t="array" ref="BP110">1+$B$13+VLOOKUP($Q110,武学奇术!$A:$ZZ,18,FALSE)+SUM(_xlfn.XLOOKUP($R110:$AK110,增益!$A:$A,增益!$R:$R,0))</f>
        <v>1.6</v>
      </c>
      <c r="BQ110" s="24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4" cm="1">
        <f t="array" ref="BR110">1+$B$14+VLOOKUP($Q110,武学奇术!$A:$ZZ,20,FALSE)+SUM(_xlfn.XLOOKUP($R110:$AK110,增益!$A:$A,增益!$T:$T,0))</f>
        <v>1.35</v>
      </c>
      <c r="BS110" s="24">
        <f t="shared" si="43"/>
        <v>0.9071</v>
      </c>
      <c r="BT110" s="24">
        <f t="shared" si="44"/>
        <v>0</v>
      </c>
      <c r="BU110" s="24">
        <f>IF(VLOOKUP($Q110,武学奇术!$A:$ZZ,22,FALSE)=1,0,(1-$BN110))*(1-$BQ110)</f>
        <v>0</v>
      </c>
      <c r="BV110" s="24" cm="1">
        <f t="array" ref="BV110">SUM(_xlfn.XLOOKUP($R110:$AK110,增益!$A:$A,增益!$W:$W,0))+$I$5</f>
        <v>0.06</v>
      </c>
    </row>
    <row r="111" spans="1:74">
      <c r="A111" s="4"/>
      <c r="B111" s="4"/>
      <c r="K111" s="38">
        <f t="shared" si="34"/>
        <v>148383.657038711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弹道",$B$21,0))*(1+$BV111)</f>
        <v>149298.90755424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弹道",$B$21,0))*(1+$BV111)</f>
        <v>139446.910616351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弹道",$B$21,0))*(1+$BV111)</f>
        <v>93311.8172214003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弹道",$B$21,0))*(1+$BV111)</f>
        <v>83329.6265788368</v>
      </c>
      <c r="P111" s="39">
        <v>4</v>
      </c>
      <c r="Q111" s="40" t="s">
        <v>155</v>
      </c>
      <c r="R111" s="40" t="s">
        <v>97</v>
      </c>
      <c r="S111" s="40" t="s">
        <v>176</v>
      </c>
      <c r="T111" s="40" t="s">
        <v>78</v>
      </c>
      <c r="U111" s="40" t="s">
        <v>171</v>
      </c>
      <c r="V111" s="40" t="s">
        <v>78</v>
      </c>
      <c r="W111" s="40" t="s">
        <v>78</v>
      </c>
      <c r="X111" s="40" t="s">
        <v>78</v>
      </c>
      <c r="Y111" s="40" t="s">
        <v>78</v>
      </c>
      <c r="Z111" s="40" t="s">
        <v>78</v>
      </c>
      <c r="AA111" s="40" t="s">
        <v>78</v>
      </c>
      <c r="AB111" s="40" t="s">
        <v>84</v>
      </c>
      <c r="AC111" s="40" t="s">
        <v>78</v>
      </c>
      <c r="AD111" s="40" t="s">
        <v>78</v>
      </c>
      <c r="AE111" s="40" t="s">
        <v>78</v>
      </c>
      <c r="AF111" s="40" t="s">
        <v>117</v>
      </c>
      <c r="AG111" s="40" t="s">
        <v>78</v>
      </c>
      <c r="AH111" s="40" t="s">
        <v>78</v>
      </c>
      <c r="AI111" s="40" t="s">
        <v>78</v>
      </c>
      <c r="AJ111" s="40" t="s">
        <v>78</v>
      </c>
      <c r="AK111" s="40" t="s">
        <v>78</v>
      </c>
      <c r="AL111" t="str">
        <f>VLOOKUP($Q111,武学奇术!$A:$ZZ,25,FALSE)</f>
        <v>单体奇术</v>
      </c>
      <c r="AM111" s="24">
        <f>VLOOKUP($Q111,武学奇术!$A:$ZZ,26,FALSE)</f>
        <v>1.609</v>
      </c>
      <c r="AN111" s="25">
        <f>VLOOKUP($Q111,武学奇术!$A:$ZZ,27,FALSE)*(1+IF(OR($AL111=$F$4,$AL111=$F$5),$B$22,0))</f>
        <v>308</v>
      </c>
      <c r="AO111" s="24">
        <f>VLOOKUP($Q111,武学奇术!$A:$ZZ,28,FALSE)</f>
        <v>2.4135</v>
      </c>
      <c r="AP111" s="25">
        <f>VLOOKUP($Q111,武学奇术!$A:$ZZ,29,FALSE)*(1+IF(OR($AL111=$F$4,$AL111=$F$5),$B$22,0))</f>
        <v>0</v>
      </c>
      <c r="AQ111" s="24" cm="1">
        <f t="array" ref="AQ111">$G$3+IFERROR(VLOOKUP($AL111,$F$4:$G$7,2,FALSE),0)+VLOOKUP($Q111,武学奇术!$A:$ZZ,2,FALSE)+SUM(_xlfn.XLOOKUP($R111:$AK111,增益!$A:$A,增益!$B:$B,0))</f>
        <v>0.7415</v>
      </c>
      <c r="AR111" s="24" cm="1">
        <f t="array" ref="AR111">VLOOKUP($Q111,武学奇术!$A:$ZZ,5,FALSE)+SUM(_xlfn.XLOOKUP($R111:$AK111,增益!$A:$A,增益!$E:$E,0))</f>
        <v>0.15</v>
      </c>
      <c r="AS111" cm="1">
        <f t="array" ref="AS111">$D$10*(1+$AR111)+VLOOKUP($Q111,武学奇术!$A:$ZZ,3,FALSE)+SUM(_xlfn.XLOOKUP($R111:$AK111,增益!$A:$A,增益!$C:$C,0))-$I$2</f>
        <v>4427.0462</v>
      </c>
      <c r="AT111" cm="1">
        <f t="array" ref="AT111">$E$10*(1+$AR111)+VLOOKUP($Q111,武学奇术!$A:$ZZ,4,FALSE)+SUM(_xlfn.XLOOKUP($R111:$AK111,增益!$A:$A,增益!$D:$D,0))-$I$2</f>
        <v>4427.0462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0.2925</v>
      </c>
      <c r="AV111" s="32" cm="1">
        <f t="array" ref="AV111">$G$10+VLOOKUP($Q111,武学奇术!$A:$ZZ,7,FALSE)+SUM(_xlfn.XLOOKUP($R111:$AK111,增益!$A:$A,增益!$G:$G,0))</f>
        <v>0</v>
      </c>
      <c r="AW111" s="24" cm="1">
        <f t="array" ref="AW111">VLOOKUP($Q111,武学奇术!$A:$ZZ,8,FALSE)+SUM(_xlfn.XLOOKUP($R111:$AK111,增益!$A:$A,增益!$H:$H,0))</f>
        <v>0</v>
      </c>
      <c r="AX111">
        <f t="shared" si="35"/>
        <v>0</v>
      </c>
      <c r="AY111">
        <f t="shared" si="36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-0.3</v>
      </c>
      <c r="BA111" s="32" cm="1">
        <f t="array" ref="BA111">$G$11+VLOOKUP($Q111,武学奇术!$A:$ZZ,10,FALSE)+SUM(_xlfn.XLOOKUP($R111:$AK111,增益!$A:$A,增益!$J:$J,0))</f>
        <v>0</v>
      </c>
      <c r="BB111">
        <f t="shared" si="37"/>
        <v>0</v>
      </c>
      <c r="BC111">
        <f t="shared" si="38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-0.3</v>
      </c>
      <c r="BE111" s="32" cm="1">
        <f t="array" ref="BE111">$G$12+VLOOKUP($Q111,武学奇术!$A:$ZZ,12,FALSE)+SUM(_xlfn.XLOOKUP($R111:$AK111,增益!$A:$A,增益!$L:$L,0))</f>
        <v>0</v>
      </c>
      <c r="BF111">
        <f t="shared" si="39"/>
        <v>605.472</v>
      </c>
      <c r="BG111">
        <f t="shared" si="40"/>
        <v>1579.612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</v>
      </c>
      <c r="BI111" s="32" cm="1">
        <f t="array" ref="BI111">$G$13+VLOOKUP($Q111,武学奇术!$A:$ZZ,14,FALSE)+SUM(_xlfn.XLOOKUP($R111:$AK111,增益!$A:$A,增益!$N:$N,0))</f>
        <v>0.15</v>
      </c>
      <c r="BJ111">
        <f t="shared" si="41"/>
        <v>0</v>
      </c>
      <c r="BK111">
        <f t="shared" si="42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-0.3</v>
      </c>
      <c r="BM111" s="32" cm="1">
        <f t="array" ref="BM111">$G$14+VLOOKUP($Q111,武学奇术!$A:$ZZ,16,FALSE)+SUM(_xlfn.XLOOKUP($R111:$AK111,增益!$A:$A,增益!$P:$P,0))</f>
        <v>0</v>
      </c>
      <c r="BN111" s="24">
        <f>MIN(IF(VLOOKUP($Q111,武学奇术!$A:$ZZ,23,FALSE)=1,100%,$B$8),100%)</f>
        <v>1</v>
      </c>
      <c r="BO111" s="24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0.9093</v>
      </c>
      <c r="BP111" s="24" cm="1">
        <f t="array" ref="BP111">1+$B$13+VLOOKUP($Q111,武学奇术!$A:$ZZ,18,FALSE)+SUM(_xlfn.XLOOKUP($R111:$AK111,增益!$A:$A,增益!$R:$R,0))</f>
        <v>1.6</v>
      </c>
      <c r="BQ111" s="24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4" cm="1">
        <f t="array" ref="BR111">1+$B$14+VLOOKUP($Q111,武学奇术!$A:$ZZ,20,FALSE)+SUM(_xlfn.XLOOKUP($R111:$AK111,增益!$A:$A,增益!$T:$T,0))</f>
        <v>1.35</v>
      </c>
      <c r="BS111" s="24">
        <f t="shared" si="43"/>
        <v>0.9071</v>
      </c>
      <c r="BT111" s="24">
        <f t="shared" si="44"/>
        <v>0</v>
      </c>
      <c r="BU111" s="24">
        <f>IF(VLOOKUP($Q111,武学奇术!$A:$ZZ,22,FALSE)=1,0,(1-$BN111))*(1-$BQ111)</f>
        <v>0</v>
      </c>
      <c r="BV111" s="24" cm="1">
        <f t="array" ref="BV111">SUM(_xlfn.XLOOKUP($R111:$AK111,增益!$A:$A,增益!$W:$W,0))+$I$5</f>
        <v>0.06</v>
      </c>
    </row>
    <row r="112" spans="1:74">
      <c r="A112" s="4"/>
      <c r="B112" s="4"/>
      <c r="K112" s="38">
        <f t="shared" si="34"/>
        <v>20777.9577529574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弹道",$B$21,0))*(1+$BV112)</f>
        <v>20920.1929556425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弹道",$B$21,0))*(1+$BV112)</f>
        <v>19389.1358761468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弹道",$B$21,0))*(1+$BV112)</f>
        <v>13075.1205972766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弹道",$B$21,0))*(1+$BV112)</f>
        <v>11787.9183233333</v>
      </c>
      <c r="P112" s="39">
        <v>1</v>
      </c>
      <c r="Q112" s="40" t="s">
        <v>160</v>
      </c>
      <c r="R112" s="40" t="s">
        <v>97</v>
      </c>
      <c r="S112" s="40" t="s">
        <v>176</v>
      </c>
      <c r="T112" s="40" t="s">
        <v>78</v>
      </c>
      <c r="U112" s="40" t="s">
        <v>171</v>
      </c>
      <c r="V112" s="40" t="s">
        <v>78</v>
      </c>
      <c r="W112" s="40" t="s">
        <v>78</v>
      </c>
      <c r="X112" s="40" t="s">
        <v>78</v>
      </c>
      <c r="Y112" s="40" t="s">
        <v>78</v>
      </c>
      <c r="Z112" s="40" t="s">
        <v>78</v>
      </c>
      <c r="AA112" s="40" t="s">
        <v>78</v>
      </c>
      <c r="AB112" s="40" t="s">
        <v>84</v>
      </c>
      <c r="AC112" s="40" t="s">
        <v>78</v>
      </c>
      <c r="AD112" s="40" t="s">
        <v>78</v>
      </c>
      <c r="AE112" s="40" t="s">
        <v>78</v>
      </c>
      <c r="AF112" s="40" t="s">
        <v>117</v>
      </c>
      <c r="AG112" s="40" t="s">
        <v>78</v>
      </c>
      <c r="AH112" s="40" t="s">
        <v>78</v>
      </c>
      <c r="AI112" s="40" t="s">
        <v>78</v>
      </c>
      <c r="AJ112" s="40" t="s">
        <v>78</v>
      </c>
      <c r="AK112" s="40" t="s">
        <v>78</v>
      </c>
      <c r="AL112" t="str">
        <f>VLOOKUP($Q112,武学奇术!$A:$ZZ,25,FALSE)</f>
        <v>扇</v>
      </c>
      <c r="AM112" s="24">
        <f>VLOOKUP($Q112,武学奇术!$A:$ZZ,26,FALSE)</f>
        <v>0.9271</v>
      </c>
      <c r="AN112" s="25">
        <f>VLOOKUP($Q112,武学奇术!$A:$ZZ,27,FALSE)*(1+IF(OR($AL112=$F$4,$AL112=$F$5),$B$22,0))</f>
        <v>385.5</v>
      </c>
      <c r="AO112" s="24">
        <f>VLOOKUP($Q112,武学奇术!$A:$ZZ,28,FALSE)</f>
        <v>1.3907</v>
      </c>
      <c r="AP112" s="25">
        <f>VLOOKUP($Q112,武学奇术!$A:$ZZ,29,FALSE)*(1+IF(OR($AL112=$F$4,$AL112=$F$5),$B$22,0))</f>
        <v>210</v>
      </c>
      <c r="AQ112" s="24" cm="1">
        <f t="array" ref="AQ112">$G$3+IFERROR(VLOOKUP($AL112,$F$4:$G$7,2,FALSE),0)+VLOOKUP($Q112,武学奇术!$A:$ZZ,2,FALSE)+SUM(_xlfn.XLOOKUP($R112:$AK112,增益!$A:$A,增益!$B:$B,0))</f>
        <v>0.5589</v>
      </c>
      <c r="AR112" s="24" cm="1">
        <f t="array" ref="AR112">VLOOKUP($Q112,武学奇术!$A:$ZZ,5,FALSE)+SUM(_xlfn.XLOOKUP($R112:$AK112,增益!$A:$A,增益!$E:$E,0))</f>
        <v>0.15</v>
      </c>
      <c r="AS112" cm="1">
        <f t="array" ref="AS112">$D$10*(1+$AR112)+VLOOKUP($Q112,武学奇术!$A:$ZZ,3,FALSE)+SUM(_xlfn.XLOOKUP($R112:$AK112,增益!$A:$A,增益!$C:$C,0))-$I$2</f>
        <v>4427.0462</v>
      </c>
      <c r="AT112" cm="1">
        <f t="array" ref="AT112">$E$10*(1+$AR112)+VLOOKUP($Q112,武学奇术!$A:$ZZ,4,FALSE)+SUM(_xlfn.XLOOKUP($R112:$AK112,增益!$A:$A,增益!$D:$D,0))-$I$2</f>
        <v>4427.0462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0.2925</v>
      </c>
      <c r="AV112" s="32" cm="1">
        <f t="array" ref="AV112">$G$10+VLOOKUP($Q112,武学奇术!$A:$ZZ,7,FALSE)+SUM(_xlfn.XLOOKUP($R112:$AK112,增益!$A:$A,增益!$G:$G,0))</f>
        <v>0</v>
      </c>
      <c r="AW112" s="24" cm="1">
        <f t="array" ref="AW112">VLOOKUP($Q112,武学奇术!$A:$ZZ,8,FALSE)+SUM(_xlfn.XLOOKUP($R112:$AK112,增益!$A:$A,增益!$H:$H,0))</f>
        <v>0</v>
      </c>
      <c r="AX112">
        <f t="shared" si="35"/>
        <v>0</v>
      </c>
      <c r="AY112">
        <f t="shared" si="36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2" cm="1">
        <f t="array" ref="BA112">$G$11+VLOOKUP($Q112,武学奇术!$A:$ZZ,10,FALSE)+SUM(_xlfn.XLOOKUP($R112:$AK112,增益!$A:$A,增益!$J:$J,0))</f>
        <v>0</v>
      </c>
      <c r="BB112">
        <f t="shared" si="37"/>
        <v>0</v>
      </c>
      <c r="BC112">
        <f t="shared" si="38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2" cm="1">
        <f t="array" ref="BE112">$G$12+VLOOKUP($Q112,武学奇术!$A:$ZZ,12,FALSE)+SUM(_xlfn.XLOOKUP($R112:$AK112,增益!$A:$A,增益!$L:$L,0))</f>
        <v>0</v>
      </c>
      <c r="BF112">
        <f t="shared" si="39"/>
        <v>605.472</v>
      </c>
      <c r="BG112">
        <f t="shared" si="40"/>
        <v>1579.612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2" cm="1">
        <f t="array" ref="BI112">$G$13+VLOOKUP($Q112,武学奇术!$A:$ZZ,14,FALSE)+SUM(_xlfn.XLOOKUP($R112:$AK112,增益!$A:$A,增益!$N:$N,0))</f>
        <v>0.15</v>
      </c>
      <c r="BJ112">
        <f t="shared" si="41"/>
        <v>0</v>
      </c>
      <c r="BK112">
        <f t="shared" si="42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2" cm="1">
        <f t="array" ref="BM112">$G$14+VLOOKUP($Q112,武学奇术!$A:$ZZ,16,FALSE)+SUM(_xlfn.XLOOKUP($R112:$AK112,增益!$A:$A,增益!$P:$P,0))</f>
        <v>0</v>
      </c>
      <c r="BN112" s="24">
        <f>MIN(IF(VLOOKUP($Q112,武学奇术!$A:$ZZ,23,FALSE)=1,100%,$B$8),100%)</f>
        <v>1</v>
      </c>
      <c r="BO112" s="24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0.9093</v>
      </c>
      <c r="BP112" s="24" cm="1">
        <f t="array" ref="BP112">1+$B$13+VLOOKUP($Q112,武学奇术!$A:$ZZ,18,FALSE)+SUM(_xlfn.XLOOKUP($R112:$AK112,增益!$A:$A,增益!$R:$R,0))</f>
        <v>1.6</v>
      </c>
      <c r="BQ112" s="24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4" cm="1">
        <f t="array" ref="BR112">1+$B$14+VLOOKUP($Q112,武学奇术!$A:$ZZ,20,FALSE)+SUM(_xlfn.XLOOKUP($R112:$AK112,增益!$A:$A,增益!$T:$T,0))</f>
        <v>1.35</v>
      </c>
      <c r="BS112" s="24">
        <f t="shared" si="43"/>
        <v>0.9071</v>
      </c>
      <c r="BT112" s="24">
        <f t="shared" si="44"/>
        <v>0</v>
      </c>
      <c r="BU112" s="24">
        <f>IF(VLOOKUP($Q112,武学奇术!$A:$ZZ,22,FALSE)=1,0,(1-$BN112))*(1-$BQ112)</f>
        <v>0</v>
      </c>
      <c r="BV112" s="24" cm="1">
        <f t="array" ref="BV112">SUM(_xlfn.XLOOKUP($R112:$AK112,增益!$A:$A,增益!$W:$W,0))+$I$5</f>
        <v>0.06</v>
      </c>
    </row>
    <row r="113" spans="1:74">
      <c r="A113" s="4"/>
      <c r="B113" s="4"/>
      <c r="K113" s="38">
        <f t="shared" si="34"/>
        <v>47212.5756921649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弹道",$B$21,0))*(1+$BV113)</f>
        <v>47503.7893725509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弹道",$B$21,0))*(1+$BV113)</f>
        <v>44369.0888301821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弹道",$B$21,0))*(1+$BV113)</f>
        <v>29689.8683578443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弹道",$B$21,0))*(1+$BV113)</f>
        <v>26513.7449896278</v>
      </c>
      <c r="P113" s="39">
        <v>2</v>
      </c>
      <c r="Q113" s="40" t="s">
        <v>153</v>
      </c>
      <c r="R113" s="40" t="s">
        <v>97</v>
      </c>
      <c r="S113" s="40" t="s">
        <v>176</v>
      </c>
      <c r="T113" s="40" t="s">
        <v>78</v>
      </c>
      <c r="U113" s="40" t="s">
        <v>171</v>
      </c>
      <c r="V113" s="40" t="s">
        <v>78</v>
      </c>
      <c r="W113" s="40" t="s">
        <v>78</v>
      </c>
      <c r="X113" s="40" t="s">
        <v>78</v>
      </c>
      <c r="Y113" s="40" t="s">
        <v>78</v>
      </c>
      <c r="Z113" s="40" t="s">
        <v>78</v>
      </c>
      <c r="AA113" s="40" t="s">
        <v>78</v>
      </c>
      <c r="AB113" s="40" t="s">
        <v>78</v>
      </c>
      <c r="AC113" s="40" t="s">
        <v>78</v>
      </c>
      <c r="AD113" s="40" t="s">
        <v>78</v>
      </c>
      <c r="AE113" s="40" t="s">
        <v>78</v>
      </c>
      <c r="AF113" s="40" t="s">
        <v>117</v>
      </c>
      <c r="AG113" s="40" t="s">
        <v>78</v>
      </c>
      <c r="AH113" s="40" t="s">
        <v>78</v>
      </c>
      <c r="AI113" s="40" t="s">
        <v>78</v>
      </c>
      <c r="AJ113" s="40" t="s">
        <v>78</v>
      </c>
      <c r="AK113" s="40" t="s">
        <v>78</v>
      </c>
      <c r="AL113" t="str">
        <f>VLOOKUP($Q113,武学奇术!$A:$ZZ,25,FALSE)</f>
        <v>单体奇术</v>
      </c>
      <c r="AM113" s="24">
        <f>VLOOKUP($Q113,武学奇术!$A:$ZZ,26,FALSE)</f>
        <v>1.0239</v>
      </c>
      <c r="AN113" s="25">
        <f>VLOOKUP($Q113,武学奇术!$A:$ZZ,27,FALSE)*(1+IF(OR($AL113=$F$4,$AL113=$F$5),$B$22,0))</f>
        <v>196</v>
      </c>
      <c r="AO113" s="24">
        <f>VLOOKUP($Q113,武学奇术!$A:$ZZ,28,FALSE)</f>
        <v>1.53585</v>
      </c>
      <c r="AP113" s="25">
        <f>VLOOKUP($Q113,武学奇术!$A:$ZZ,29,FALSE)*(1+IF(OR($AL113=$F$4,$AL113=$F$5),$B$22,0))</f>
        <v>0</v>
      </c>
      <c r="AQ113" s="24" cm="1">
        <f t="array" ref="AQ113">$G$3+IFERROR(VLOOKUP($AL113,$F$4:$G$7,2,FALSE),0)+VLOOKUP($Q113,武学奇术!$A:$ZZ,2,FALSE)+SUM(_xlfn.XLOOKUP($R113:$AK113,增益!$A:$A,增益!$B:$B,0))</f>
        <v>0.7415</v>
      </c>
      <c r="AR113" s="24" cm="1">
        <f t="array" ref="AR113">VLOOKUP($Q113,武学奇术!$A:$ZZ,5,FALSE)+SUM(_xlfn.XLOOKUP($R113:$AK113,增益!$A:$A,增益!$E:$E,0))</f>
        <v>0.15</v>
      </c>
      <c r="AS113" cm="1">
        <f t="array" ref="AS113">$D$10*(1+$AR113)+VLOOKUP($Q113,武学奇术!$A:$ZZ,3,FALSE)+SUM(_xlfn.XLOOKUP($R113:$AK113,增益!$A:$A,增益!$C:$C,0))-$I$2</f>
        <v>4427.0462</v>
      </c>
      <c r="AT113" cm="1">
        <f t="array" ref="AT113">$E$10*(1+$AR113)+VLOOKUP($Q113,武学奇术!$A:$ZZ,4,FALSE)+SUM(_xlfn.XLOOKUP($R113:$AK113,增益!$A:$A,增益!$D:$D,0))-$I$2</f>
        <v>4427.0462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0.2925</v>
      </c>
      <c r="AV113" s="32" cm="1">
        <f t="array" ref="AV113">$G$10+VLOOKUP($Q113,武学奇术!$A:$ZZ,7,FALSE)+SUM(_xlfn.XLOOKUP($R113:$AK113,增益!$A:$A,增益!$G:$G,0))</f>
        <v>0</v>
      </c>
      <c r="AW113" s="24" cm="1">
        <f t="array" ref="AW113">VLOOKUP($Q113,武学奇术!$A:$ZZ,8,FALSE)+SUM(_xlfn.XLOOKUP($R113:$AK113,增益!$A:$A,增益!$H:$H,0))</f>
        <v>0</v>
      </c>
      <c r="AX113">
        <f t="shared" si="35"/>
        <v>0</v>
      </c>
      <c r="AY113">
        <f t="shared" si="36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2" cm="1">
        <f t="array" ref="BA113">$G$11+VLOOKUP($Q113,武学奇术!$A:$ZZ,10,FALSE)+SUM(_xlfn.XLOOKUP($R113:$AK113,增益!$A:$A,增益!$J:$J,0))</f>
        <v>0</v>
      </c>
      <c r="BB113">
        <f t="shared" si="37"/>
        <v>0</v>
      </c>
      <c r="BC113">
        <f t="shared" si="38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-0.3</v>
      </c>
      <c r="BE113" s="32" cm="1">
        <f t="array" ref="BE113">$G$12+VLOOKUP($Q113,武学奇术!$A:$ZZ,12,FALSE)+SUM(_xlfn.XLOOKUP($R113:$AK113,增益!$A:$A,增益!$L:$L,0))</f>
        <v>0</v>
      </c>
      <c r="BF113">
        <f t="shared" si="39"/>
        <v>605.472</v>
      </c>
      <c r="BG113">
        <f t="shared" si="40"/>
        <v>1579.612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</v>
      </c>
      <c r="BI113" s="32" cm="1">
        <f t="array" ref="BI113">$G$13+VLOOKUP($Q113,武学奇术!$A:$ZZ,14,FALSE)+SUM(_xlfn.XLOOKUP($R113:$AK113,增益!$A:$A,增益!$N:$N,0))</f>
        <v>0.15</v>
      </c>
      <c r="BJ113">
        <f t="shared" si="41"/>
        <v>0</v>
      </c>
      <c r="BK113">
        <f t="shared" si="42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2" cm="1">
        <f t="array" ref="BM113">$G$14+VLOOKUP($Q113,武学奇术!$A:$ZZ,16,FALSE)+SUM(_xlfn.XLOOKUP($R113:$AK113,增益!$A:$A,增益!$P:$P,0))</f>
        <v>0</v>
      </c>
      <c r="BN113" s="24">
        <f>MIN(IF(VLOOKUP($Q113,武学奇术!$A:$ZZ,23,FALSE)=1,100%,$B$8),100%)</f>
        <v>1</v>
      </c>
      <c r="BO113" s="24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0.9093</v>
      </c>
      <c r="BP113" s="24" cm="1">
        <f t="array" ref="BP113">1+$B$13+VLOOKUP($Q113,武学奇术!$A:$ZZ,18,FALSE)+SUM(_xlfn.XLOOKUP($R113:$AK113,增益!$A:$A,增益!$R:$R,0))</f>
        <v>1.6</v>
      </c>
      <c r="BQ113" s="24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4" cm="1">
        <f t="array" ref="BR113">1+$B$14+VLOOKUP($Q113,武学奇术!$A:$ZZ,20,FALSE)+SUM(_xlfn.XLOOKUP($R113:$AK113,增益!$A:$A,增益!$T:$T,0))</f>
        <v>1.35</v>
      </c>
      <c r="BS113" s="24">
        <f t="shared" si="43"/>
        <v>0.9071</v>
      </c>
      <c r="BT113" s="24">
        <f t="shared" si="44"/>
        <v>0</v>
      </c>
      <c r="BU113" s="24">
        <f>IF(VLOOKUP($Q113,武学奇术!$A:$ZZ,22,FALSE)=1,0,(1-$BN113))*(1-$BQ113)</f>
        <v>0</v>
      </c>
      <c r="BV113" s="24" cm="1">
        <f t="array" ref="BV113">SUM(_xlfn.XLOOKUP($R113:$AK113,增益!$A:$A,增益!$W:$W,0))+$I$5</f>
        <v>0.06</v>
      </c>
    </row>
    <row r="114" spans="1:74">
      <c r="A114" s="4"/>
      <c r="B114" s="4"/>
      <c r="K114" s="38">
        <f t="shared" si="34"/>
        <v>74191.8285193553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弹道",$B$21,0))*(1+$BV114)</f>
        <v>74649.4537771202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弹道",$B$21,0))*(1+$BV114)</f>
        <v>69723.4553081756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弹道",$B$21,0))*(1+$BV114)</f>
        <v>46655.9086107002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弹道",$B$21,0))*(1+$BV114)</f>
        <v>41664.8132894184</v>
      </c>
      <c r="P114" s="39">
        <v>2</v>
      </c>
      <c r="Q114" s="40" t="s">
        <v>155</v>
      </c>
      <c r="R114" s="40" t="s">
        <v>97</v>
      </c>
      <c r="S114" s="40" t="s">
        <v>176</v>
      </c>
      <c r="T114" s="40" t="s">
        <v>78</v>
      </c>
      <c r="U114" s="40" t="s">
        <v>171</v>
      </c>
      <c r="V114" s="40" t="s">
        <v>78</v>
      </c>
      <c r="W114" s="40" t="s">
        <v>78</v>
      </c>
      <c r="X114" s="40" t="s">
        <v>78</v>
      </c>
      <c r="Y114" s="40" t="s">
        <v>78</v>
      </c>
      <c r="Z114" s="40" t="s">
        <v>78</v>
      </c>
      <c r="AA114" s="40" t="s">
        <v>78</v>
      </c>
      <c r="AB114" s="40" t="s">
        <v>78</v>
      </c>
      <c r="AC114" s="40" t="s">
        <v>78</v>
      </c>
      <c r="AD114" s="40" t="s">
        <v>78</v>
      </c>
      <c r="AE114" s="40" t="s">
        <v>78</v>
      </c>
      <c r="AF114" s="40" t="s">
        <v>117</v>
      </c>
      <c r="AG114" s="40" t="s">
        <v>78</v>
      </c>
      <c r="AH114" s="40" t="s">
        <v>78</v>
      </c>
      <c r="AI114" s="40" t="s">
        <v>78</v>
      </c>
      <c r="AJ114" s="40" t="s">
        <v>78</v>
      </c>
      <c r="AK114" s="40" t="s">
        <v>78</v>
      </c>
      <c r="AL114" t="str">
        <f>VLOOKUP($Q114,武学奇术!$A:$ZZ,25,FALSE)</f>
        <v>单体奇术</v>
      </c>
      <c r="AM114" s="24">
        <f>VLOOKUP($Q114,武学奇术!$A:$ZZ,26,FALSE)</f>
        <v>1.609</v>
      </c>
      <c r="AN114" s="25">
        <f>VLOOKUP($Q114,武学奇术!$A:$ZZ,27,FALSE)*(1+IF(OR($AL114=$F$4,$AL114=$F$5),$B$22,0))</f>
        <v>308</v>
      </c>
      <c r="AO114" s="24">
        <f>VLOOKUP($Q114,武学奇术!$A:$ZZ,28,FALSE)</f>
        <v>2.4135</v>
      </c>
      <c r="AP114" s="25">
        <f>VLOOKUP($Q114,武学奇术!$A:$ZZ,29,FALSE)*(1+IF(OR($AL114=$F$4,$AL114=$F$5),$B$22,0))</f>
        <v>0</v>
      </c>
      <c r="AQ114" s="24" cm="1">
        <f t="array" ref="AQ114">$G$3+IFERROR(VLOOKUP($AL114,$F$4:$G$7,2,FALSE),0)+VLOOKUP($Q114,武学奇术!$A:$ZZ,2,FALSE)+SUM(_xlfn.XLOOKUP($R114:$AK114,增益!$A:$A,增益!$B:$B,0))</f>
        <v>0.7415</v>
      </c>
      <c r="AR114" s="24" cm="1">
        <f t="array" ref="AR114">VLOOKUP($Q114,武学奇术!$A:$ZZ,5,FALSE)+SUM(_xlfn.XLOOKUP($R114:$AK114,增益!$A:$A,增益!$E:$E,0))</f>
        <v>0.15</v>
      </c>
      <c r="AS114" cm="1">
        <f t="array" ref="AS114">$D$10*(1+$AR114)+VLOOKUP($Q114,武学奇术!$A:$ZZ,3,FALSE)+SUM(_xlfn.XLOOKUP($R114:$AK114,增益!$A:$A,增益!$C:$C,0))-$I$2</f>
        <v>4427.0462</v>
      </c>
      <c r="AT114" cm="1">
        <f t="array" ref="AT114">$E$10*(1+$AR114)+VLOOKUP($Q114,武学奇术!$A:$ZZ,4,FALSE)+SUM(_xlfn.XLOOKUP($R114:$AK114,增益!$A:$A,增益!$D:$D,0))-$I$2</f>
        <v>4427.0462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0.2925</v>
      </c>
      <c r="AV114" s="32" cm="1">
        <f t="array" ref="AV114">$G$10+VLOOKUP($Q114,武学奇术!$A:$ZZ,7,FALSE)+SUM(_xlfn.XLOOKUP($R114:$AK114,增益!$A:$A,增益!$G:$G,0))</f>
        <v>0</v>
      </c>
      <c r="AW114" s="24" cm="1">
        <f t="array" ref="AW114">VLOOKUP($Q114,武学奇术!$A:$ZZ,8,FALSE)+SUM(_xlfn.XLOOKUP($R114:$AK114,增益!$A:$A,增益!$H:$H,0))</f>
        <v>0</v>
      </c>
      <c r="AX114">
        <f t="shared" si="35"/>
        <v>0</v>
      </c>
      <c r="AY114">
        <f t="shared" si="36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2" cm="1">
        <f t="array" ref="BA114">$G$11+VLOOKUP($Q114,武学奇术!$A:$ZZ,10,FALSE)+SUM(_xlfn.XLOOKUP($R114:$AK114,增益!$A:$A,增益!$J:$J,0))</f>
        <v>0</v>
      </c>
      <c r="BB114">
        <f t="shared" si="37"/>
        <v>0</v>
      </c>
      <c r="BC114">
        <f t="shared" si="38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2" cm="1">
        <f t="array" ref="BE114">$G$12+VLOOKUP($Q114,武学奇术!$A:$ZZ,12,FALSE)+SUM(_xlfn.XLOOKUP($R114:$AK114,增益!$A:$A,增益!$L:$L,0))</f>
        <v>0</v>
      </c>
      <c r="BF114">
        <f t="shared" si="39"/>
        <v>605.472</v>
      </c>
      <c r="BG114">
        <f t="shared" si="40"/>
        <v>1579.612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2" cm="1">
        <f t="array" ref="BI114">$G$13+VLOOKUP($Q114,武学奇术!$A:$ZZ,14,FALSE)+SUM(_xlfn.XLOOKUP($R114:$AK114,增益!$A:$A,增益!$N:$N,0))</f>
        <v>0.15</v>
      </c>
      <c r="BJ114">
        <f t="shared" si="41"/>
        <v>0</v>
      </c>
      <c r="BK114">
        <f t="shared" si="42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2" cm="1">
        <f t="array" ref="BM114">$G$14+VLOOKUP($Q114,武学奇术!$A:$ZZ,16,FALSE)+SUM(_xlfn.XLOOKUP($R114:$AK114,增益!$A:$A,增益!$P:$P,0))</f>
        <v>0</v>
      </c>
      <c r="BN114" s="24">
        <f>MIN(IF(VLOOKUP($Q114,武学奇术!$A:$ZZ,23,FALSE)=1,100%,$B$8),100%)</f>
        <v>1</v>
      </c>
      <c r="BO114" s="24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0.9093</v>
      </c>
      <c r="BP114" s="24" cm="1">
        <f t="array" ref="BP114">1+$B$13+VLOOKUP($Q114,武学奇术!$A:$ZZ,18,FALSE)+SUM(_xlfn.XLOOKUP($R114:$AK114,增益!$A:$A,增益!$R:$R,0))</f>
        <v>1.6</v>
      </c>
      <c r="BQ114" s="24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4" cm="1">
        <f t="array" ref="BR114">1+$B$14+VLOOKUP($Q114,武学奇术!$A:$ZZ,20,FALSE)+SUM(_xlfn.XLOOKUP($R114:$AK114,增益!$A:$A,增益!$T:$T,0))</f>
        <v>1.35</v>
      </c>
      <c r="BS114" s="24">
        <f t="shared" si="43"/>
        <v>0.9071</v>
      </c>
      <c r="BT114" s="24">
        <f t="shared" si="44"/>
        <v>0</v>
      </c>
      <c r="BU114" s="24">
        <f>IF(VLOOKUP($Q114,武学奇术!$A:$ZZ,22,FALSE)=1,0,(1-$BN114))*(1-$BQ114)</f>
        <v>0</v>
      </c>
      <c r="BV114" s="24" cm="1">
        <f t="array" ref="BV114">SUM(_xlfn.XLOOKUP($R114:$AK114,增益!$A:$A,增益!$W:$W,0))+$I$5</f>
        <v>0.06</v>
      </c>
    </row>
    <row r="115" spans="1:74">
      <c r="A115" s="4"/>
      <c r="B115" s="4"/>
      <c r="K115" s="38">
        <f t="shared" si="34"/>
        <v>168914.334711221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弹道",$B$21,0))*(1+$BV115)</f>
        <v>172837.959033949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弹道",$B$21,0))*(1+$BV115)</f>
        <v>130603.03629199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弹道",$B$21,0))*(1+$BV115)</f>
        <v>88182.6321601783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弹道",$B$21,0))*(1+$BV115)</f>
        <v>79622.2744744378</v>
      </c>
      <c r="P115" s="39">
        <v>2</v>
      </c>
      <c r="Q115" s="40" t="s">
        <v>101</v>
      </c>
      <c r="R115" s="40" t="s">
        <v>97</v>
      </c>
      <c r="S115" s="40" t="s">
        <v>176</v>
      </c>
      <c r="T115" s="40" t="s">
        <v>106</v>
      </c>
      <c r="U115" s="40" t="s">
        <v>171</v>
      </c>
      <c r="V115" s="40" t="s">
        <v>102</v>
      </c>
      <c r="W115" s="40" t="s">
        <v>78</v>
      </c>
      <c r="X115" s="40" t="s">
        <v>78</v>
      </c>
      <c r="Y115" s="40" t="s">
        <v>78</v>
      </c>
      <c r="Z115" s="40" t="s">
        <v>78</v>
      </c>
      <c r="AA115" s="40" t="s">
        <v>78</v>
      </c>
      <c r="AB115" s="40" t="s">
        <v>78</v>
      </c>
      <c r="AC115" s="40" t="s">
        <v>78</v>
      </c>
      <c r="AD115" s="40" t="s">
        <v>78</v>
      </c>
      <c r="AE115" s="40" t="s">
        <v>78</v>
      </c>
      <c r="AF115" s="40" t="s">
        <v>78</v>
      </c>
      <c r="AG115" s="40" t="s">
        <v>78</v>
      </c>
      <c r="AH115" s="40" t="s">
        <v>78</v>
      </c>
      <c r="AI115" s="40" t="s">
        <v>78</v>
      </c>
      <c r="AJ115" s="40" t="s">
        <v>78</v>
      </c>
      <c r="AK115" s="40" t="s">
        <v>78</v>
      </c>
      <c r="AL115" t="str">
        <f>VLOOKUP($Q115,武学奇术!$A:$ZZ,25,FALSE)</f>
        <v>伞</v>
      </c>
      <c r="AM115" s="24">
        <f>VLOOKUP($Q115,武学奇术!$A:$ZZ,26,FALSE)</f>
        <v>2.3397</v>
      </c>
      <c r="AN115" s="25">
        <f>VLOOKUP($Q115,武学奇术!$A:$ZZ,27,FALSE)*(1+IF(OR($AL115=$F$4,$AL115=$F$5),$B$22,0))</f>
        <v>972</v>
      </c>
      <c r="AO115" s="24">
        <f>VLOOKUP($Q115,武学奇术!$A:$ZZ,28,FALSE)</f>
        <v>3.5095</v>
      </c>
      <c r="AP115" s="25">
        <f>VLOOKUP($Q115,武学奇术!$A:$ZZ,29,FALSE)*(1+IF(OR($AL115=$F$4,$AL115=$F$5),$B$22,0))</f>
        <v>529.5</v>
      </c>
      <c r="AQ115" s="24" cm="1">
        <f t="array" ref="AQ115">$G$3+IFERROR(VLOOKUP($AL115,$F$4:$G$7,2,FALSE),0)+VLOOKUP($Q115,武学奇术!$A:$ZZ,2,FALSE)+SUM(_xlfn.XLOOKUP($R115:$AK115,增益!$A:$A,增益!$B:$B,0))</f>
        <v>1.0541</v>
      </c>
      <c r="AR115" s="24" cm="1">
        <f t="array" ref="AR115">VLOOKUP($Q115,武学奇术!$A:$ZZ,5,FALSE)+SUM(_xlfn.XLOOKUP($R115:$AK115,增益!$A:$A,增益!$E:$E,0))</f>
        <v>0.15</v>
      </c>
      <c r="AS115" cm="1">
        <f t="array" ref="AS115">$D$10*(1+$AR115)+VLOOKUP($Q115,武学奇术!$A:$ZZ,3,FALSE)+SUM(_xlfn.XLOOKUP($R115:$AK115,增益!$A:$A,增益!$C:$C,0))-$I$2</f>
        <v>4427.0462</v>
      </c>
      <c r="AT115" cm="1">
        <f t="array" ref="AT115">$E$10*(1+$AR115)+VLOOKUP($Q115,武学奇术!$A:$ZZ,4,FALSE)+SUM(_xlfn.XLOOKUP($R115:$AK115,增益!$A:$A,增益!$D:$D,0))-$I$2</f>
        <v>4427.0462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0.3175</v>
      </c>
      <c r="AV115" s="32" cm="1">
        <f t="array" ref="AV115">$G$10+VLOOKUP($Q115,武学奇术!$A:$ZZ,7,FALSE)+SUM(_xlfn.XLOOKUP($R115:$AK115,增益!$A:$A,增益!$G:$G,0))</f>
        <v>0</v>
      </c>
      <c r="AW115" s="24" cm="1">
        <f t="array" ref="AW115">VLOOKUP($Q115,武学奇术!$A:$ZZ,8,FALSE)+SUM(_xlfn.XLOOKUP($R115:$AK115,增益!$A:$A,增益!$H:$H,0))</f>
        <v>0</v>
      </c>
      <c r="AX115">
        <f t="shared" si="35"/>
        <v>0</v>
      </c>
      <c r="AY115">
        <f t="shared" si="36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2" cm="1">
        <f t="array" ref="BA115">$G$11+VLOOKUP($Q115,武学奇术!$A:$ZZ,10,FALSE)+SUM(_xlfn.XLOOKUP($R115:$AK115,增益!$A:$A,增益!$J:$J,0))</f>
        <v>0</v>
      </c>
      <c r="BB115">
        <f t="shared" si="37"/>
        <v>0</v>
      </c>
      <c r="BC115">
        <f t="shared" si="38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-0.3</v>
      </c>
      <c r="BE115" s="32" cm="1">
        <f t="array" ref="BE115">$G$12+VLOOKUP($Q115,武学奇术!$A:$ZZ,12,FALSE)+SUM(_xlfn.XLOOKUP($R115:$AK115,增益!$A:$A,增益!$L:$L,0))</f>
        <v>0</v>
      </c>
      <c r="BF115">
        <f t="shared" si="39"/>
        <v>605.472</v>
      </c>
      <c r="BG115">
        <f t="shared" si="40"/>
        <v>1579.612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</v>
      </c>
      <c r="BI115" s="32" cm="1">
        <f t="array" ref="BI115">$G$13+VLOOKUP($Q115,武学奇术!$A:$ZZ,14,FALSE)+SUM(_xlfn.XLOOKUP($R115:$AK115,增益!$A:$A,增益!$N:$N,0))</f>
        <v>0.15</v>
      </c>
      <c r="BJ115">
        <f t="shared" si="41"/>
        <v>0</v>
      </c>
      <c r="BK115">
        <f t="shared" si="42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2" cm="1">
        <f t="array" ref="BM115">$G$14+VLOOKUP($Q115,武学奇术!$A:$ZZ,16,FALSE)+SUM(_xlfn.XLOOKUP($R115:$AK115,增益!$A:$A,增益!$P:$P,0))</f>
        <v>0</v>
      </c>
      <c r="BN115" s="24">
        <f>MIN(IF(VLOOKUP($Q115,武学奇术!$A:$ZZ,23,FALSE)=1,100%,$B$8),100%)</f>
        <v>1</v>
      </c>
      <c r="BO115" s="24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0.9093</v>
      </c>
      <c r="BP115" s="24" cm="1">
        <f t="array" ref="BP115">1+$B$13+VLOOKUP($Q115,武学奇术!$A:$ZZ,18,FALSE)+SUM(_xlfn.XLOOKUP($R115:$AK115,增益!$A:$A,增益!$R:$R,0))</f>
        <v>1.96</v>
      </c>
      <c r="BQ115" s="24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4" cm="1">
        <f t="array" ref="BR115">1+$B$14+VLOOKUP($Q115,武学奇术!$A:$ZZ,20,FALSE)+SUM(_xlfn.XLOOKUP($R115:$AK115,增益!$A:$A,增益!$T:$T,0))</f>
        <v>1.35</v>
      </c>
      <c r="BS115" s="24">
        <f t="shared" si="43"/>
        <v>0.9071</v>
      </c>
      <c r="BT115" s="24">
        <f t="shared" si="44"/>
        <v>0</v>
      </c>
      <c r="BU115" s="24">
        <f>IF(VLOOKUP($Q115,武学奇术!$A:$ZZ,22,FALSE)=1,0,(1-$BN115))*(1-$BQ115)</f>
        <v>0</v>
      </c>
      <c r="BV115" s="24" cm="1">
        <f t="array" ref="BV115">SUM(_xlfn.XLOOKUP($R115:$AK115,增益!$A:$A,增益!$W:$W,0))+$I$5</f>
        <v>0.06</v>
      </c>
    </row>
    <row r="116" spans="1:74">
      <c r="A116" s="4"/>
      <c r="B116" s="4"/>
      <c r="K116" s="38">
        <f t="shared" si="34"/>
        <v>14378.1324786701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弹道",$B$21,0))*(1+$BV116)</f>
        <v>14476.4779638713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弹道",$B$21,0))*(1+$BV116)</f>
        <v>13417.8613309196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弹道",$B$21,0))*(1+$BV116)</f>
        <v>9047.79872741956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弹道",$B$21,0))*(1+$BV116)</f>
        <v>8156.44091341717</v>
      </c>
      <c r="P116" s="39">
        <v>1</v>
      </c>
      <c r="Q116" s="40" t="s">
        <v>111</v>
      </c>
      <c r="R116" s="40" t="s">
        <v>97</v>
      </c>
      <c r="S116" s="40" t="s">
        <v>176</v>
      </c>
      <c r="T116" s="40" t="s">
        <v>78</v>
      </c>
      <c r="U116" s="40" t="s">
        <v>171</v>
      </c>
      <c r="V116" s="40" t="s">
        <v>78</v>
      </c>
      <c r="W116" s="40" t="s">
        <v>78</v>
      </c>
      <c r="X116" s="40" t="s">
        <v>78</v>
      </c>
      <c r="Y116" s="40" t="s">
        <v>78</v>
      </c>
      <c r="Z116" s="40" t="s">
        <v>78</v>
      </c>
      <c r="AA116" s="40" t="s">
        <v>78</v>
      </c>
      <c r="AB116" s="40" t="s">
        <v>78</v>
      </c>
      <c r="AC116" s="40" t="s">
        <v>78</v>
      </c>
      <c r="AD116" s="40" t="s">
        <v>78</v>
      </c>
      <c r="AE116" s="40" t="s">
        <v>78</v>
      </c>
      <c r="AF116" s="40" t="s">
        <v>78</v>
      </c>
      <c r="AG116" s="40" t="s">
        <v>78</v>
      </c>
      <c r="AH116" s="40" t="s">
        <v>78</v>
      </c>
      <c r="AI116" s="40" t="s">
        <v>78</v>
      </c>
      <c r="AJ116" s="40" t="s">
        <v>78</v>
      </c>
      <c r="AK116" s="40" t="s">
        <v>78</v>
      </c>
      <c r="AL116" t="str">
        <f>VLOOKUP($Q116,武学奇术!$A:$ZZ,25,FALSE)</f>
        <v>伞</v>
      </c>
      <c r="AM116" s="24">
        <f>VLOOKUP($Q116,武学奇术!$A:$ZZ,26,FALSE)</f>
        <v>0.54</v>
      </c>
      <c r="AN116" s="25">
        <f>VLOOKUP($Q116,武学奇术!$A:$ZZ,27,FALSE)*(1+IF(OR($AL116=$F$4,$AL116=$F$5),$B$22,0))</f>
        <v>222</v>
      </c>
      <c r="AO116" s="24">
        <f>VLOOKUP($Q116,武学奇术!$A:$ZZ,28,FALSE)</f>
        <v>0.81</v>
      </c>
      <c r="AP116" s="25">
        <f>VLOOKUP($Q116,武学奇术!$A:$ZZ,29,FALSE)*(1+IF(OR($AL116=$F$4,$AL116=$F$5),$B$22,0))</f>
        <v>122.25</v>
      </c>
      <c r="AQ116" s="24" cm="1">
        <f t="array" ref="AQ116">$G$3+IFERROR(VLOOKUP($AL116,$F$4:$G$7,2,FALSE),0)+VLOOKUP($Q116,武学奇术!$A:$ZZ,2,FALSE)+SUM(_xlfn.XLOOKUP($R116:$AK116,增益!$A:$A,增益!$B:$B,0))</f>
        <v>0.4041</v>
      </c>
      <c r="AR116" s="24" cm="1">
        <f t="array" ref="AR116">VLOOKUP($Q116,武学奇术!$A:$ZZ,5,FALSE)+SUM(_xlfn.XLOOKUP($R116:$AK116,增益!$A:$A,增益!$E:$E,0))</f>
        <v>0.15</v>
      </c>
      <c r="AS116" cm="1">
        <f t="array" ref="AS116">$D$10*(1+$AR116)+VLOOKUP($Q116,武学奇术!$A:$ZZ,3,FALSE)+SUM(_xlfn.XLOOKUP($R116:$AK116,增益!$A:$A,增益!$C:$C,0))-$I$2</f>
        <v>4427.0462</v>
      </c>
      <c r="AT116" cm="1">
        <f t="array" ref="AT116">$E$10*(1+$AR116)+VLOOKUP($Q116,武学奇术!$A:$ZZ,4,FALSE)+SUM(_xlfn.XLOOKUP($R116:$AK116,增益!$A:$A,增益!$D:$D,0))-$I$2</f>
        <v>4427.0462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0.2925</v>
      </c>
      <c r="AV116" s="32" cm="1">
        <f t="array" ref="AV116">$G$10+VLOOKUP($Q116,武学奇术!$A:$ZZ,7,FALSE)+SUM(_xlfn.XLOOKUP($R116:$AK116,增益!$A:$A,增益!$G:$G,0))</f>
        <v>0</v>
      </c>
      <c r="AW116" s="24" cm="1">
        <f t="array" ref="AW116">VLOOKUP($Q116,武学奇术!$A:$ZZ,8,FALSE)+SUM(_xlfn.XLOOKUP($R116:$AK116,增益!$A:$A,增益!$H:$H,0))</f>
        <v>0</v>
      </c>
      <c r="AX116">
        <f t="shared" si="35"/>
        <v>0</v>
      </c>
      <c r="AY116">
        <f t="shared" si="36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2" cm="1">
        <f t="array" ref="BA116">$G$11+VLOOKUP($Q116,武学奇术!$A:$ZZ,10,FALSE)+SUM(_xlfn.XLOOKUP($R116:$AK116,增益!$A:$A,增益!$J:$J,0))</f>
        <v>0</v>
      </c>
      <c r="BB116">
        <f t="shared" si="37"/>
        <v>0</v>
      </c>
      <c r="BC116">
        <f t="shared" si="38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2" cm="1">
        <f t="array" ref="BE116">$G$12+VLOOKUP($Q116,武学奇术!$A:$ZZ,12,FALSE)+SUM(_xlfn.XLOOKUP($R116:$AK116,增益!$A:$A,增益!$L:$L,0))</f>
        <v>0</v>
      </c>
      <c r="BF116">
        <f t="shared" si="39"/>
        <v>605.472</v>
      </c>
      <c r="BG116">
        <f t="shared" si="40"/>
        <v>1579.612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2" cm="1">
        <f t="array" ref="BI116">$G$13+VLOOKUP($Q116,武学奇术!$A:$ZZ,14,FALSE)+SUM(_xlfn.XLOOKUP($R116:$AK116,增益!$A:$A,增益!$N:$N,0))</f>
        <v>0.15</v>
      </c>
      <c r="BJ116">
        <f t="shared" si="41"/>
        <v>0</v>
      </c>
      <c r="BK116">
        <f t="shared" si="42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2" cm="1">
        <f t="array" ref="BM116">$G$14+VLOOKUP($Q116,武学奇术!$A:$ZZ,16,FALSE)+SUM(_xlfn.XLOOKUP($R116:$AK116,增益!$A:$A,增益!$P:$P,0))</f>
        <v>0</v>
      </c>
      <c r="BN116" s="24">
        <f>MIN(IF(VLOOKUP($Q116,武学奇术!$A:$ZZ,23,FALSE)=1,100%,$B$8),100%)</f>
        <v>1</v>
      </c>
      <c r="BO116" s="24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0.9093</v>
      </c>
      <c r="BP116" s="24" cm="1">
        <f t="array" ref="BP116">1+$B$13+VLOOKUP($Q116,武学奇术!$A:$ZZ,18,FALSE)+SUM(_xlfn.XLOOKUP($R116:$AK116,增益!$A:$A,增益!$R:$R,0))</f>
        <v>1.6</v>
      </c>
      <c r="BQ116" s="24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4" cm="1">
        <f t="array" ref="BR116">1+$B$14+VLOOKUP($Q116,武学奇术!$A:$ZZ,20,FALSE)+SUM(_xlfn.XLOOKUP($R116:$AK116,增益!$A:$A,增益!$T:$T,0))</f>
        <v>1.35</v>
      </c>
      <c r="BS116" s="24">
        <f t="shared" si="43"/>
        <v>0.9071</v>
      </c>
      <c r="BT116" s="24">
        <f t="shared" si="44"/>
        <v>0</v>
      </c>
      <c r="BU116" s="24">
        <f>IF(VLOOKUP($Q116,武学奇术!$A:$ZZ,22,FALSE)=1,0,(1-$BN116))*(1-$BQ116)</f>
        <v>0</v>
      </c>
      <c r="BV116" s="24" cm="1">
        <f t="array" ref="BV116">SUM(_xlfn.XLOOKUP($R116:$AK116,增益!$A:$A,增益!$W:$W,0))+$I$5</f>
        <v>0.06</v>
      </c>
    </row>
    <row r="117" spans="1:74">
      <c r="A117" s="4"/>
      <c r="B117" s="4"/>
      <c r="K117" s="38">
        <f t="shared" si="34"/>
        <v>407592.587832675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弹道",$B$21,0))*(1+$BV117)</f>
        <v>420632.637059206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弹道",$B$21,0))*(1+$BV117)</f>
        <v>280266.122241855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弹道",$B$21,0))*(1+$BV117)</f>
        <v>190331.509981541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弹道",$B$21,0))*(1+$BV117)</f>
        <v>173058.484969116</v>
      </c>
      <c r="P117" s="39">
        <v>5</v>
      </c>
      <c r="Q117" s="40" t="s">
        <v>113</v>
      </c>
      <c r="R117" s="40" t="s">
        <v>97</v>
      </c>
      <c r="S117" s="40" t="s">
        <v>176</v>
      </c>
      <c r="T117" s="40" t="s">
        <v>183</v>
      </c>
      <c r="U117" s="40" t="s">
        <v>171</v>
      </c>
      <c r="V117" s="40" t="s">
        <v>102</v>
      </c>
      <c r="W117" s="40" t="s">
        <v>78</v>
      </c>
      <c r="X117" s="40" t="s">
        <v>78</v>
      </c>
      <c r="Y117" s="40" t="s">
        <v>184</v>
      </c>
      <c r="Z117" s="40" t="s">
        <v>78</v>
      </c>
      <c r="AA117" s="40" t="s">
        <v>78</v>
      </c>
      <c r="AB117" s="40" t="s">
        <v>78</v>
      </c>
      <c r="AC117" s="40" t="s">
        <v>185</v>
      </c>
      <c r="AD117" s="40" t="s">
        <v>186</v>
      </c>
      <c r="AE117" s="40" t="s">
        <v>78</v>
      </c>
      <c r="AF117" s="40" t="s">
        <v>78</v>
      </c>
      <c r="AG117" s="40" t="s">
        <v>78</v>
      </c>
      <c r="AH117" s="40" t="s">
        <v>78</v>
      </c>
      <c r="AI117" s="40" t="s">
        <v>78</v>
      </c>
      <c r="AJ117" s="40" t="s">
        <v>78</v>
      </c>
      <c r="AK117" s="40" t="s">
        <v>188</v>
      </c>
      <c r="AL117" t="str">
        <f>VLOOKUP($Q117,武学奇术!$A:$ZZ,25,FALSE)</f>
        <v>伞</v>
      </c>
      <c r="AM117" s="24">
        <f>VLOOKUP($Q117,武学奇术!$A:$ZZ,26,FALSE)</f>
        <v>1.174955</v>
      </c>
      <c r="AN117" s="25">
        <f>VLOOKUP($Q117,武学奇术!$A:$ZZ,27,FALSE)*(1+IF(OR($AL117=$F$4,$AL117=$F$5),$B$22,0))</f>
        <v>486.45</v>
      </c>
      <c r="AO117" s="24">
        <f>VLOOKUP($Q117,武学奇术!$A:$ZZ,28,FALSE)</f>
        <v>1.762375</v>
      </c>
      <c r="AP117" s="25">
        <f>VLOOKUP($Q117,武学奇术!$A:$ZZ,29,FALSE)*(1+IF(OR($AL117=$F$4,$AL117=$F$5),$B$22,0))</f>
        <v>265.65</v>
      </c>
      <c r="AQ117" s="24" cm="1">
        <f t="array" ref="AQ117">$G$3+IFERROR(VLOOKUP($AL117,$F$4:$G$7,2,FALSE),0)+VLOOKUP($Q117,武学奇术!$A:$ZZ,2,FALSE)+SUM(_xlfn.XLOOKUP($R117:$AK117,增益!$A:$A,增益!$B:$B,0))</f>
        <v>1.1041</v>
      </c>
      <c r="AR117" s="24" cm="1">
        <f t="array" ref="AR117">VLOOKUP($Q117,武学奇术!$A:$ZZ,5,FALSE)+SUM(_xlfn.XLOOKUP($R117:$AK117,增益!$A:$A,增益!$E:$E,0))</f>
        <v>0.15</v>
      </c>
      <c r="AS117" cm="1">
        <f t="array" ref="AS117">$D$10*(1+$AR117)+VLOOKUP($Q117,武学奇术!$A:$ZZ,3,FALSE)+SUM(_xlfn.XLOOKUP($R117:$AK117,增益!$A:$A,增益!$C:$C,0))-$I$2</f>
        <v>4427.0462</v>
      </c>
      <c r="AT117" cm="1">
        <f t="array" ref="AT117">$E$10*(1+$AR117)+VLOOKUP($Q117,武学奇术!$A:$ZZ,4,FALSE)+SUM(_xlfn.XLOOKUP($R117:$AK117,增益!$A:$A,增益!$D:$D,0))-$I$2</f>
        <v>4427.0462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0.4425</v>
      </c>
      <c r="AV117" s="32" cm="1">
        <f t="array" ref="AV117">$G$10+VLOOKUP($Q117,武学奇术!$A:$ZZ,7,FALSE)+SUM(_xlfn.XLOOKUP($R117:$AK117,增益!$A:$A,增益!$G:$G,0))</f>
        <v>0</v>
      </c>
      <c r="AW117" s="24" cm="1">
        <f t="array" ref="AW117">VLOOKUP($Q117,武学奇术!$A:$ZZ,8,FALSE)+SUM(_xlfn.XLOOKUP($R117:$AK117,增益!$A:$A,增益!$H:$H,0))</f>
        <v>0</v>
      </c>
      <c r="AX117">
        <f t="shared" si="35"/>
        <v>0</v>
      </c>
      <c r="AY117">
        <f t="shared" si="36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2" cm="1">
        <f t="array" ref="BA117">$G$11+VLOOKUP($Q117,武学奇术!$A:$ZZ,10,FALSE)+SUM(_xlfn.XLOOKUP($R117:$AK117,增益!$A:$A,增益!$J:$J,0))</f>
        <v>0</v>
      </c>
      <c r="BB117">
        <f t="shared" si="37"/>
        <v>0</v>
      </c>
      <c r="BC117">
        <f t="shared" si="38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-0.3</v>
      </c>
      <c r="BE117" s="32" cm="1">
        <f t="array" ref="BE117">$G$12+VLOOKUP($Q117,武学奇术!$A:$ZZ,12,FALSE)+SUM(_xlfn.XLOOKUP($R117:$AK117,增益!$A:$A,增益!$L:$L,0))</f>
        <v>0</v>
      </c>
      <c r="BF117">
        <f t="shared" si="39"/>
        <v>605.472</v>
      </c>
      <c r="BG117">
        <f t="shared" si="40"/>
        <v>1579.612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</v>
      </c>
      <c r="BI117" s="32" cm="1">
        <f t="array" ref="BI117">$G$13+VLOOKUP($Q117,武学奇术!$A:$ZZ,14,FALSE)+SUM(_xlfn.XLOOKUP($R117:$AK117,增益!$A:$A,增益!$N:$N,0))</f>
        <v>0.15</v>
      </c>
      <c r="BJ117">
        <f t="shared" si="41"/>
        <v>0</v>
      </c>
      <c r="BK117">
        <f t="shared" si="42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2" cm="1">
        <f t="array" ref="BM117">$G$14+VLOOKUP($Q117,武学奇术!$A:$ZZ,16,FALSE)+SUM(_xlfn.XLOOKUP($R117:$AK117,增益!$A:$A,增益!$P:$P,0))</f>
        <v>0</v>
      </c>
      <c r="BN117" s="24">
        <f>MIN(IF(VLOOKUP($Q117,武学奇术!$A:$ZZ,23,FALSE)=1,100%,$B$8),100%)</f>
        <v>1</v>
      </c>
      <c r="BO117" s="24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0.9093</v>
      </c>
      <c r="BP117" s="24" cm="1">
        <f t="array" ref="BP117">1+$B$13+VLOOKUP($Q117,武学奇术!$A:$ZZ,18,FALSE)+SUM(_xlfn.XLOOKUP($R117:$AK117,增益!$A:$A,增益!$R:$R,0))</f>
        <v>2.21</v>
      </c>
      <c r="BQ117" s="24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4" cm="1">
        <f t="array" ref="BR117">1+$B$14+VLOOKUP($Q117,武学奇术!$A:$ZZ,20,FALSE)+SUM(_xlfn.XLOOKUP($R117:$AK117,增益!$A:$A,增益!$T:$T,0))</f>
        <v>1.35</v>
      </c>
      <c r="BS117" s="24">
        <f t="shared" si="43"/>
        <v>0.9071</v>
      </c>
      <c r="BT117" s="24">
        <f t="shared" si="44"/>
        <v>0</v>
      </c>
      <c r="BU117" s="24">
        <f>IF(VLOOKUP($Q117,武学奇术!$A:$ZZ,22,FALSE)=1,0,(1-$BN117))*(1-$BQ117)</f>
        <v>0</v>
      </c>
      <c r="BV117" s="24" cm="1">
        <f t="array" ref="BV117">SUM(_xlfn.XLOOKUP($R117:$AK117,增益!$A:$A,增益!$W:$W,0))+$I$5</f>
        <v>0.26</v>
      </c>
    </row>
    <row r="118" spans="1:74">
      <c r="K118" s="38">
        <f t="shared" si="34"/>
        <v>1222777.76349802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弹道",$B$21,0))*(1+$BV118)</f>
        <v>1261897.91117762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弹道",$B$21,0))*(1+$BV118)</f>
        <v>840798.366725566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弹道",$B$21,0))*(1+$BV118)</f>
        <v>570994.529944624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弹道",$B$21,0))*(1+$BV118)</f>
        <v>519175.454907348</v>
      </c>
      <c r="P118" s="39">
        <v>15</v>
      </c>
      <c r="Q118" s="40" t="s">
        <v>113</v>
      </c>
      <c r="R118" s="40" t="s">
        <v>97</v>
      </c>
      <c r="S118" s="40" t="s">
        <v>176</v>
      </c>
      <c r="T118" s="40" t="s">
        <v>183</v>
      </c>
      <c r="U118" s="40" t="s">
        <v>171</v>
      </c>
      <c r="V118" s="40" t="s">
        <v>102</v>
      </c>
      <c r="W118" s="40" t="s">
        <v>78</v>
      </c>
      <c r="X118" s="40" t="s">
        <v>78</v>
      </c>
      <c r="Y118" s="40" t="s">
        <v>184</v>
      </c>
      <c r="Z118" s="40" t="s">
        <v>78</v>
      </c>
      <c r="AA118" s="40" t="s">
        <v>78</v>
      </c>
      <c r="AB118" s="40" t="s">
        <v>78</v>
      </c>
      <c r="AC118" s="40" t="s">
        <v>185</v>
      </c>
      <c r="AD118" s="40" t="s">
        <v>186</v>
      </c>
      <c r="AE118" s="40" t="s">
        <v>78</v>
      </c>
      <c r="AF118" s="40" t="s">
        <v>78</v>
      </c>
      <c r="AG118" s="40" t="s">
        <v>78</v>
      </c>
      <c r="AH118" s="40" t="s">
        <v>78</v>
      </c>
      <c r="AI118" s="40" t="s">
        <v>78</v>
      </c>
      <c r="AJ118" s="40" t="s">
        <v>78</v>
      </c>
      <c r="AK118" s="40" t="s">
        <v>188</v>
      </c>
      <c r="AL118" t="str">
        <f>VLOOKUP($Q118,武学奇术!$A:$ZZ,25,FALSE)</f>
        <v>伞</v>
      </c>
      <c r="AM118" s="24">
        <f>VLOOKUP($Q118,武学奇术!$A:$ZZ,26,FALSE)</f>
        <v>1.174955</v>
      </c>
      <c r="AN118" s="25">
        <f>VLOOKUP($Q118,武学奇术!$A:$ZZ,27,FALSE)*(1+IF(OR($AL118=$F$4,$AL118=$F$5),$B$22,0))</f>
        <v>486.45</v>
      </c>
      <c r="AO118" s="24">
        <f>VLOOKUP($Q118,武学奇术!$A:$ZZ,28,FALSE)</f>
        <v>1.762375</v>
      </c>
      <c r="AP118" s="25">
        <f>VLOOKUP($Q118,武学奇术!$A:$ZZ,29,FALSE)*(1+IF(OR($AL118=$F$4,$AL118=$F$5),$B$22,0))</f>
        <v>265.65</v>
      </c>
      <c r="AQ118" s="24" cm="1">
        <f t="array" ref="AQ118">$G$3+IFERROR(VLOOKUP($AL118,$F$4:$G$7,2,FALSE),0)+VLOOKUP($Q118,武学奇术!$A:$ZZ,2,FALSE)+SUM(_xlfn.XLOOKUP($R118:$AK118,增益!$A:$A,增益!$B:$B,0))</f>
        <v>1.1041</v>
      </c>
      <c r="AR118" s="24" cm="1">
        <f t="array" ref="AR118">VLOOKUP($Q118,武学奇术!$A:$ZZ,5,FALSE)+SUM(_xlfn.XLOOKUP($R118:$AK118,增益!$A:$A,增益!$E:$E,0))</f>
        <v>0.15</v>
      </c>
      <c r="AS118" cm="1">
        <f t="array" ref="AS118">$D$10*(1+$AR118)+VLOOKUP($Q118,武学奇术!$A:$ZZ,3,FALSE)+SUM(_xlfn.XLOOKUP($R118:$AK118,增益!$A:$A,增益!$C:$C,0))-$I$2</f>
        <v>4427.0462</v>
      </c>
      <c r="AT118" cm="1">
        <f t="array" ref="AT118">$E$10*(1+$AR118)+VLOOKUP($Q118,武学奇术!$A:$ZZ,4,FALSE)+SUM(_xlfn.XLOOKUP($R118:$AK118,增益!$A:$A,增益!$D:$D,0))-$I$2</f>
        <v>4427.0462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0.4425</v>
      </c>
      <c r="AV118" s="32" cm="1">
        <f t="array" ref="AV118">$G$10+VLOOKUP($Q118,武学奇术!$A:$ZZ,7,FALSE)+SUM(_xlfn.XLOOKUP($R118:$AK118,增益!$A:$A,增益!$G:$G,0))</f>
        <v>0</v>
      </c>
      <c r="AW118" s="24" cm="1">
        <f t="array" ref="AW118">VLOOKUP($Q118,武学奇术!$A:$ZZ,8,FALSE)+SUM(_xlfn.XLOOKUP($R118:$AK118,增益!$A:$A,增益!$H:$H,0))</f>
        <v>0</v>
      </c>
      <c r="AX118">
        <f t="shared" si="35"/>
        <v>0</v>
      </c>
      <c r="AY118">
        <f t="shared" si="36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2" cm="1">
        <f t="array" ref="BA118">$G$11+VLOOKUP($Q118,武学奇术!$A:$ZZ,10,FALSE)+SUM(_xlfn.XLOOKUP($R118:$AK118,增益!$A:$A,增益!$J:$J,0))</f>
        <v>0</v>
      </c>
      <c r="BB118">
        <f t="shared" si="37"/>
        <v>0</v>
      </c>
      <c r="BC118">
        <f t="shared" si="38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2" cm="1">
        <f t="array" ref="BE118">$G$12+VLOOKUP($Q118,武学奇术!$A:$ZZ,12,FALSE)+SUM(_xlfn.XLOOKUP($R118:$AK118,增益!$A:$A,增益!$L:$L,0))</f>
        <v>0</v>
      </c>
      <c r="BF118">
        <f t="shared" si="39"/>
        <v>605.472</v>
      </c>
      <c r="BG118">
        <f t="shared" si="40"/>
        <v>1579.612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2" cm="1">
        <f t="array" ref="BI118">$G$13+VLOOKUP($Q118,武学奇术!$A:$ZZ,14,FALSE)+SUM(_xlfn.XLOOKUP($R118:$AK118,增益!$A:$A,增益!$N:$N,0))</f>
        <v>0.15</v>
      </c>
      <c r="BJ118">
        <f t="shared" si="41"/>
        <v>0</v>
      </c>
      <c r="BK118">
        <f t="shared" si="42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2" cm="1">
        <f t="array" ref="BM118">$G$14+VLOOKUP($Q118,武学奇术!$A:$ZZ,16,FALSE)+SUM(_xlfn.XLOOKUP($R118:$AK118,增益!$A:$A,增益!$P:$P,0))</f>
        <v>0</v>
      </c>
      <c r="BN118" s="24">
        <f>MIN(IF(VLOOKUP($Q118,武学奇术!$A:$ZZ,23,FALSE)=1,100%,$B$8),100%)</f>
        <v>1</v>
      </c>
      <c r="BO118" s="24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0.9093</v>
      </c>
      <c r="BP118" s="24" cm="1">
        <f t="array" ref="BP118">1+$B$13+VLOOKUP($Q118,武学奇术!$A:$ZZ,18,FALSE)+SUM(_xlfn.XLOOKUP($R118:$AK118,增益!$A:$A,增益!$R:$R,0))</f>
        <v>2.21</v>
      </c>
      <c r="BQ118" s="24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4" cm="1">
        <f t="array" ref="BR118">1+$B$14+VLOOKUP($Q118,武学奇术!$A:$ZZ,20,FALSE)+SUM(_xlfn.XLOOKUP($R118:$AK118,增益!$A:$A,增益!$T:$T,0))</f>
        <v>1.35</v>
      </c>
      <c r="BS118" s="24">
        <f t="shared" si="43"/>
        <v>0.9071</v>
      </c>
      <c r="BT118" s="24">
        <f t="shared" si="44"/>
        <v>0</v>
      </c>
      <c r="BU118" s="24">
        <f>IF(VLOOKUP($Q118,武学奇术!$A:$ZZ,22,FALSE)=1,0,(1-$BN118))*(1-$BQ118)</f>
        <v>0</v>
      </c>
      <c r="BV118" s="24" cm="1">
        <f t="array" ref="BV118">SUM(_xlfn.XLOOKUP($R118:$AK118,增益!$A:$A,增益!$W:$W,0))+$I$5</f>
        <v>0.26</v>
      </c>
    </row>
    <row r="119" spans="1:74">
      <c r="K119" s="38">
        <f t="shared" si="34"/>
        <v>115547.344378793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弹道",$B$21,0))*(1+$BV119)</f>
        <v>117708.085228396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弹道",$B$21,0))*(1+$BV119)</f>
        <v>94449.3032089925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弹道",$B$21,0))*(1+$BV119)</f>
        <v>63625.9920153492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弹道",$B$21,0))*(1+$BV119)</f>
        <v>57289.5372092225</v>
      </c>
      <c r="P119" s="39">
        <v>1</v>
      </c>
      <c r="Q119" s="40" t="s">
        <v>134</v>
      </c>
      <c r="R119" s="40" t="s">
        <v>97</v>
      </c>
      <c r="S119" s="40" t="s">
        <v>176</v>
      </c>
      <c r="T119" s="40" t="s">
        <v>78</v>
      </c>
      <c r="U119" s="40" t="s">
        <v>171</v>
      </c>
      <c r="V119" s="40" t="s">
        <v>78</v>
      </c>
      <c r="W119" s="40" t="s">
        <v>78</v>
      </c>
      <c r="X119" s="40" t="s">
        <v>78</v>
      </c>
      <c r="Y119" s="40" t="s">
        <v>184</v>
      </c>
      <c r="Z119" s="40" t="s">
        <v>78</v>
      </c>
      <c r="AA119" s="40" t="s">
        <v>78</v>
      </c>
      <c r="AB119" s="40" t="s">
        <v>78</v>
      </c>
      <c r="AC119" s="40" t="s">
        <v>185</v>
      </c>
      <c r="AD119" s="40" t="s">
        <v>186</v>
      </c>
      <c r="AE119" s="40" t="s">
        <v>78</v>
      </c>
      <c r="AF119" s="40" t="s">
        <v>78</v>
      </c>
      <c r="AG119" s="40" t="s">
        <v>78</v>
      </c>
      <c r="AH119" s="40" t="s">
        <v>78</v>
      </c>
      <c r="AI119" s="40" t="s">
        <v>78</v>
      </c>
      <c r="AJ119" s="40" t="s">
        <v>78</v>
      </c>
      <c r="AK119" s="40" t="s">
        <v>188</v>
      </c>
      <c r="AL119" t="str">
        <f>VLOOKUP($Q119,武学奇术!$A:$ZZ,25,FALSE)</f>
        <v>单体奇术</v>
      </c>
      <c r="AM119" s="24">
        <f>VLOOKUP($Q119,武学奇术!$A:$ZZ,26,FALSE)</f>
        <v>3.9863</v>
      </c>
      <c r="AN119" s="25">
        <f>VLOOKUP($Q119,武学奇术!$A:$ZZ,27,FALSE)*(1+IF(OR($AL119=$F$4,$AL119=$F$5),$B$22,0))</f>
        <v>778</v>
      </c>
      <c r="AO119" s="24">
        <f>VLOOKUP($Q119,武学奇术!$A:$ZZ,28,FALSE)</f>
        <v>5.97945</v>
      </c>
      <c r="AP119" s="25">
        <f>VLOOKUP($Q119,武学奇术!$A:$ZZ,29,FALSE)*(1+IF(OR($AL119=$F$4,$AL119=$F$5),$B$22,0))</f>
        <v>0</v>
      </c>
      <c r="AQ119" s="24" cm="1">
        <f t="array" ref="AQ119">$G$3+IFERROR(VLOOKUP($AL119,$F$4:$G$7,2,FALSE),0)+VLOOKUP($Q119,武学奇术!$A:$ZZ,2,FALSE)+SUM(_xlfn.XLOOKUP($R119:$AK119,增益!$A:$A,增益!$B:$B,0))</f>
        <v>0.5015</v>
      </c>
      <c r="AR119" s="24" cm="1">
        <f t="array" ref="AR119">VLOOKUP($Q119,武学奇术!$A:$ZZ,5,FALSE)+SUM(_xlfn.XLOOKUP($R119:$AK119,增益!$A:$A,增益!$E:$E,0))</f>
        <v>0.15</v>
      </c>
      <c r="AS119" cm="1">
        <f t="array" ref="AS119">$D$10*(1+$AR119)+VLOOKUP($Q119,武学奇术!$A:$ZZ,3,FALSE)+SUM(_xlfn.XLOOKUP($R119:$AK119,增益!$A:$A,增益!$C:$C,0))-$I$2</f>
        <v>4427.0462</v>
      </c>
      <c r="AT119" cm="1">
        <f t="array" ref="AT119">$E$10*(1+$AR119)+VLOOKUP($Q119,武学奇术!$A:$ZZ,4,FALSE)+SUM(_xlfn.XLOOKUP($R119:$AK119,增益!$A:$A,增益!$D:$D,0))-$I$2</f>
        <v>4427.0462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0.4175</v>
      </c>
      <c r="AV119" s="32" cm="1">
        <f t="array" ref="AV119">$G$10+VLOOKUP($Q119,武学奇术!$A:$ZZ,7,FALSE)+SUM(_xlfn.XLOOKUP($R119:$AK119,增益!$A:$A,增益!$G:$G,0))</f>
        <v>0</v>
      </c>
      <c r="AW119" s="24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2" cm="1">
        <f t="array" ref="BA119">$G$11+VLOOKUP($Q119,武学奇术!$A:$ZZ,10,FALSE)+SUM(_xlfn.XLOOKUP($R119:$AK119,增益!$A:$A,增益!$J:$J,0))</f>
        <v>0</v>
      </c>
      <c r="BB119">
        <f t="shared" si="37"/>
        <v>0</v>
      </c>
      <c r="BC119">
        <f t="shared" si="38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2" cm="1">
        <f t="array" ref="BE119">$G$12+VLOOKUP($Q119,武学奇术!$A:$ZZ,12,FALSE)+SUM(_xlfn.XLOOKUP($R119:$AK119,增益!$A:$A,增益!$L:$L,0))</f>
        <v>0</v>
      </c>
      <c r="BF119">
        <f t="shared" si="39"/>
        <v>605.472</v>
      </c>
      <c r="BG119">
        <f t="shared" si="40"/>
        <v>1579.612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2" cm="1">
        <f t="array" ref="BI119">$G$13+VLOOKUP($Q119,武学奇术!$A:$ZZ,14,FALSE)+SUM(_xlfn.XLOOKUP($R119:$AK119,增益!$A:$A,增益!$N:$N,0))</f>
        <v>0.15</v>
      </c>
      <c r="BJ119">
        <f t="shared" si="41"/>
        <v>0</v>
      </c>
      <c r="BK119">
        <f t="shared" si="42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2" cm="1">
        <f t="array" ref="BM119">$G$14+VLOOKUP($Q119,武学奇术!$A:$ZZ,16,FALSE)+SUM(_xlfn.XLOOKUP($R119:$AK119,增益!$A:$A,增益!$P:$P,0))</f>
        <v>0</v>
      </c>
      <c r="BN119" s="24">
        <f>MIN(IF(VLOOKUP($Q119,武学奇术!$A:$ZZ,23,FALSE)=1,100%,$B$8),100%)</f>
        <v>1</v>
      </c>
      <c r="BO119" s="24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0.9093</v>
      </c>
      <c r="BP119" s="24" cm="1">
        <f t="array" ref="BP119">1+$B$13+VLOOKUP($Q119,武学奇术!$A:$ZZ,18,FALSE)+SUM(_xlfn.XLOOKUP($R119:$AK119,增益!$A:$A,增益!$R:$R,0))</f>
        <v>1.85</v>
      </c>
      <c r="BQ119" s="24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4" cm="1">
        <f t="array" ref="BR119">1+$B$14+VLOOKUP($Q119,武学奇术!$A:$ZZ,20,FALSE)+SUM(_xlfn.XLOOKUP($R119:$AK119,增益!$A:$A,增益!$T:$T,0))</f>
        <v>1.35</v>
      </c>
      <c r="BS119" s="24">
        <f t="shared" si="43"/>
        <v>0.9071</v>
      </c>
      <c r="BT119" s="24">
        <f t="shared" si="44"/>
        <v>0</v>
      </c>
      <c r="BU119" s="24">
        <f>IF(VLOOKUP($Q119,武学奇术!$A:$ZZ,22,FALSE)=1,0,(1-$BN119))*(1-$BQ119)</f>
        <v>0</v>
      </c>
      <c r="BV119" s="24" cm="1">
        <f t="array" ref="BV119">SUM(_xlfn.XLOOKUP($R119:$AK119,增益!$A:$A,增益!$W:$W,0))+$I$5</f>
        <v>0.26</v>
      </c>
    </row>
    <row r="120" spans="1:74">
      <c r="K120" s="38">
        <f t="shared" si="34"/>
        <v>136808.675597923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弹道",$B$21,0))*(1+$BV120)</f>
        <v>139366.963576917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弹道",$B$21,0))*(1+$BV120)</f>
        <v>111828.87984178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弹道",$B$21,0))*(1+$BV120)</f>
        <v>75333.4938253606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弹道",$B$21,0))*(1+$BV120)</f>
        <v>67830.780360514</v>
      </c>
      <c r="P120" s="39">
        <v>20</v>
      </c>
      <c r="Q120" s="40" t="s">
        <v>137</v>
      </c>
      <c r="R120" s="40" t="s">
        <v>97</v>
      </c>
      <c r="S120" s="40" t="s">
        <v>176</v>
      </c>
      <c r="T120" s="40" t="s">
        <v>78</v>
      </c>
      <c r="U120" s="40" t="s">
        <v>171</v>
      </c>
      <c r="V120" s="40" t="s">
        <v>78</v>
      </c>
      <c r="W120" s="40" t="s">
        <v>78</v>
      </c>
      <c r="X120" s="40" t="s">
        <v>78</v>
      </c>
      <c r="Y120" s="40" t="s">
        <v>184</v>
      </c>
      <c r="Z120" s="40" t="s">
        <v>78</v>
      </c>
      <c r="AA120" s="40" t="s">
        <v>78</v>
      </c>
      <c r="AB120" s="40" t="s">
        <v>78</v>
      </c>
      <c r="AC120" s="40" t="s">
        <v>185</v>
      </c>
      <c r="AD120" s="40" t="s">
        <v>186</v>
      </c>
      <c r="AE120" s="40" t="s">
        <v>138</v>
      </c>
      <c r="AF120" s="40" t="s">
        <v>78</v>
      </c>
      <c r="AG120" s="40" t="s">
        <v>78</v>
      </c>
      <c r="AH120" s="40" t="s">
        <v>78</v>
      </c>
      <c r="AI120" s="40" t="s">
        <v>78</v>
      </c>
      <c r="AJ120" s="40" t="s">
        <v>78</v>
      </c>
      <c r="AK120" s="40" t="s">
        <v>188</v>
      </c>
      <c r="AL120" t="str">
        <f>VLOOKUP($Q120,武学奇术!$A:$ZZ,25,FALSE)</f>
        <v>单体奇术</v>
      </c>
      <c r="AM120" s="24">
        <f>VLOOKUP($Q120,武学奇术!$A:$ZZ,26,FALSE)</f>
        <v>0.236</v>
      </c>
      <c r="AN120" s="25">
        <f>VLOOKUP($Q120,武学奇术!$A:$ZZ,27,FALSE)*(1+IF(OR($AL120=$F$4,$AL120=$F$5),$B$22,0))</f>
        <v>46</v>
      </c>
      <c r="AO120" s="24">
        <f>VLOOKUP($Q120,武学奇术!$A:$ZZ,28,FALSE)</f>
        <v>0.354</v>
      </c>
      <c r="AP120" s="25">
        <f>VLOOKUP($Q120,武学奇术!$A:$ZZ,29,FALSE)*(1+IF(OR($AL120=$F$4,$AL120=$F$5),$B$22,0))</f>
        <v>0</v>
      </c>
      <c r="AQ120" s="24" cm="1">
        <f t="array" ref="AQ120">$G$3+IFERROR(VLOOKUP($AL120,$F$4:$G$7,2,FALSE),0)+VLOOKUP($Q120,武学奇术!$A:$ZZ,2,FALSE)+SUM(_xlfn.XLOOKUP($R120:$AK120,增益!$A:$A,增益!$B:$B,0))</f>
        <v>0.5015</v>
      </c>
      <c r="AR120" s="24" cm="1">
        <f t="array" ref="AR120">VLOOKUP($Q120,武学奇术!$A:$ZZ,5,FALSE)+SUM(_xlfn.XLOOKUP($R120:$AK120,增益!$A:$A,增益!$E:$E,0))</f>
        <v>0.15</v>
      </c>
      <c r="AS120" cm="1">
        <f t="array" ref="AS120">$D$10*(1+$AR120)+VLOOKUP($Q120,武学奇术!$A:$ZZ,3,FALSE)+SUM(_xlfn.XLOOKUP($R120:$AK120,增益!$A:$A,增益!$C:$C,0))-$I$2</f>
        <v>4427.0462</v>
      </c>
      <c r="AT120" cm="1">
        <f t="array" ref="AT120">$E$10*(1+$AR120)+VLOOKUP($Q120,武学奇术!$A:$ZZ,4,FALSE)+SUM(_xlfn.XLOOKUP($R120:$AK120,增益!$A:$A,增益!$D:$D,0))-$I$2</f>
        <v>4427.0462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0.4175</v>
      </c>
      <c r="AV120" s="32" cm="1">
        <f t="array" ref="AV120">$G$10+VLOOKUP($Q120,武学奇术!$A:$ZZ,7,FALSE)+SUM(_xlfn.XLOOKUP($R120:$AK120,增益!$A:$A,增益!$G:$G,0))</f>
        <v>0</v>
      </c>
      <c r="AW120" s="24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2" cm="1">
        <f t="array" ref="BA120">$G$11+VLOOKUP($Q120,武学奇术!$A:$ZZ,10,FALSE)+SUM(_xlfn.XLOOKUP($R120:$AK120,增益!$A:$A,增益!$J:$J,0))</f>
        <v>0</v>
      </c>
      <c r="BB120">
        <f t="shared" si="37"/>
        <v>0</v>
      </c>
      <c r="BC120">
        <f t="shared" si="38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2" cm="1">
        <f t="array" ref="BE120">$G$12+VLOOKUP($Q120,武学奇术!$A:$ZZ,12,FALSE)+SUM(_xlfn.XLOOKUP($R120:$AK120,增益!$A:$A,增益!$L:$L,0))</f>
        <v>0</v>
      </c>
      <c r="BF120">
        <f t="shared" si="39"/>
        <v>605.472</v>
      </c>
      <c r="BG120">
        <f t="shared" si="40"/>
        <v>1579.612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2" cm="1">
        <f t="array" ref="BI120">$G$13+VLOOKUP($Q120,武学奇术!$A:$ZZ,14,FALSE)+SUM(_xlfn.XLOOKUP($R120:$AK120,增益!$A:$A,增益!$N:$N,0))</f>
        <v>0.15</v>
      </c>
      <c r="BJ120">
        <f t="shared" si="41"/>
        <v>0</v>
      </c>
      <c r="BK120">
        <f t="shared" si="42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2" cm="1">
        <f t="array" ref="BM120">$G$14+VLOOKUP($Q120,武学奇术!$A:$ZZ,16,FALSE)+SUM(_xlfn.XLOOKUP($R120:$AK120,增益!$A:$A,增益!$P:$P,0))</f>
        <v>0</v>
      </c>
      <c r="BN120" s="24">
        <f>MIN(IF(VLOOKUP($Q120,武学奇术!$A:$ZZ,23,FALSE)=1,100%,$B$8),100%)</f>
        <v>1</v>
      </c>
      <c r="BO120" s="24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0.9093</v>
      </c>
      <c r="BP120" s="24" cm="1">
        <f t="array" ref="BP120">1+$B$13+VLOOKUP($Q120,武学奇术!$A:$ZZ,18,FALSE)+SUM(_xlfn.XLOOKUP($R120:$AK120,增益!$A:$A,增益!$R:$R,0))</f>
        <v>1.85</v>
      </c>
      <c r="BQ120" s="24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4" cm="1">
        <f t="array" ref="BR120">1+$B$14+VLOOKUP($Q120,武学奇术!$A:$ZZ,20,FALSE)+SUM(_xlfn.XLOOKUP($R120:$AK120,增益!$A:$A,增益!$T:$T,0))</f>
        <v>1.35</v>
      </c>
      <c r="BS120" s="24">
        <f t="shared" si="43"/>
        <v>0.9071</v>
      </c>
      <c r="BT120" s="24">
        <f t="shared" si="44"/>
        <v>0</v>
      </c>
      <c r="BU120" s="24">
        <f>IF(VLOOKUP($Q120,武学奇术!$A:$ZZ,22,FALSE)=1,0,(1-$BN120))*(1-$BQ120)</f>
        <v>0</v>
      </c>
      <c r="BV120" s="24" cm="1">
        <f t="array" ref="BV120">SUM(_xlfn.XLOOKUP($R120:$AK120,增益!$A:$A,增益!$W:$W,0))+$I$5</f>
        <v>0.26</v>
      </c>
    </row>
    <row r="121" spans="1:74">
      <c r="K121" s="38">
        <f t="shared" si="34"/>
        <v>355924.113222707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弹道",$B$21,0))*(1+$BV121)</f>
        <v>362578.341673962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弹道",$B$21,0))*(1+$BV121)</f>
        <v>290950.478904796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弹道",$B$21,0))*(1+$BV121)</f>
        <v>195988.292796736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弹道",$B$21,0))*(1+$BV121)</f>
        <v>176457.712330661</v>
      </c>
      <c r="P121" s="39">
        <v>12</v>
      </c>
      <c r="Q121" s="40" t="s">
        <v>153</v>
      </c>
      <c r="R121" s="40" t="s">
        <v>97</v>
      </c>
      <c r="S121" s="40" t="s">
        <v>176</v>
      </c>
      <c r="T121" s="40" t="s">
        <v>78</v>
      </c>
      <c r="U121" s="40" t="s">
        <v>171</v>
      </c>
      <c r="V121" s="40" t="s">
        <v>78</v>
      </c>
      <c r="W121" s="40" t="s">
        <v>78</v>
      </c>
      <c r="X121" s="40" t="s">
        <v>78</v>
      </c>
      <c r="Y121" s="40" t="s">
        <v>184</v>
      </c>
      <c r="Z121" s="40" t="s">
        <v>78</v>
      </c>
      <c r="AA121" s="40" t="s">
        <v>78</v>
      </c>
      <c r="AB121" s="40" t="s">
        <v>78</v>
      </c>
      <c r="AC121" s="40" t="s">
        <v>185</v>
      </c>
      <c r="AD121" s="40" t="s">
        <v>186</v>
      </c>
      <c r="AE121" s="40" t="s">
        <v>78</v>
      </c>
      <c r="AF121" s="40" t="s">
        <v>78</v>
      </c>
      <c r="AG121" s="40" t="s">
        <v>78</v>
      </c>
      <c r="AH121" s="40" t="s">
        <v>78</v>
      </c>
      <c r="AI121" s="40" t="s">
        <v>78</v>
      </c>
      <c r="AJ121" s="40" t="s">
        <v>78</v>
      </c>
      <c r="AK121" s="40" t="s">
        <v>188</v>
      </c>
      <c r="AL121" t="str">
        <f>VLOOKUP($Q121,武学奇术!$A:$ZZ,25,FALSE)</f>
        <v>单体奇术</v>
      </c>
      <c r="AM121" s="24">
        <f>VLOOKUP($Q121,武学奇术!$A:$ZZ,26,FALSE)</f>
        <v>1.0239</v>
      </c>
      <c r="AN121" s="25">
        <f>VLOOKUP($Q121,武学奇术!$A:$ZZ,27,FALSE)*(1+IF(OR($AL121=$F$4,$AL121=$F$5),$B$22,0))</f>
        <v>196</v>
      </c>
      <c r="AO121" s="24">
        <f>VLOOKUP($Q121,武学奇术!$A:$ZZ,28,FALSE)</f>
        <v>1.53585</v>
      </c>
      <c r="AP121" s="25">
        <f>VLOOKUP($Q121,武学奇术!$A:$ZZ,29,FALSE)*(1+IF(OR($AL121=$F$4,$AL121=$F$5),$B$22,0))</f>
        <v>0</v>
      </c>
      <c r="AQ121" s="24" cm="1">
        <f t="array" ref="AQ121">$G$3+IFERROR(VLOOKUP($AL121,$F$4:$G$7,2,FALSE),0)+VLOOKUP($Q121,武学奇术!$A:$ZZ,2,FALSE)+SUM(_xlfn.XLOOKUP($R121:$AK121,增益!$A:$A,增益!$B:$B,0))</f>
        <v>0.5015</v>
      </c>
      <c r="AR121" s="24" cm="1">
        <f t="array" ref="AR121">VLOOKUP($Q121,武学奇术!$A:$ZZ,5,FALSE)+SUM(_xlfn.XLOOKUP($R121:$AK121,增益!$A:$A,增益!$E:$E,0))</f>
        <v>0.15</v>
      </c>
      <c r="AS121" cm="1">
        <f t="array" ref="AS121">$D$10*(1+$AR121)+VLOOKUP($Q121,武学奇术!$A:$ZZ,3,FALSE)+SUM(_xlfn.XLOOKUP($R121:$AK121,增益!$A:$A,增益!$C:$C,0))-$I$2</f>
        <v>4427.0462</v>
      </c>
      <c r="AT121" cm="1">
        <f t="array" ref="AT121">$E$10*(1+$AR121)+VLOOKUP($Q121,武学奇术!$A:$ZZ,4,FALSE)+SUM(_xlfn.XLOOKUP($R121:$AK121,增益!$A:$A,增益!$D:$D,0))-$I$2</f>
        <v>4427.0462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0.4175</v>
      </c>
      <c r="AV121" s="32" cm="1">
        <f t="array" ref="AV121">$G$10+VLOOKUP($Q121,武学奇术!$A:$ZZ,7,FALSE)+SUM(_xlfn.XLOOKUP($R121:$AK121,增益!$A:$A,增益!$G:$G,0))</f>
        <v>0</v>
      </c>
      <c r="AW121" s="24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39"/>
        <v>605.472</v>
      </c>
      <c r="BG121">
        <f t="shared" si="40"/>
        <v>1579.612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4">
        <f>MIN(IF(VLOOKUP($Q121,武学奇术!$A:$ZZ,23,FALSE)=1,100%,$B$8),100%)</f>
        <v>1</v>
      </c>
      <c r="BO121" s="24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0.9093</v>
      </c>
      <c r="BP121" s="24" cm="1">
        <f t="array" ref="BP121">1+$B$13+VLOOKUP($Q121,武学奇术!$A:$ZZ,18,FALSE)+SUM(_xlfn.XLOOKUP($R121:$AK121,增益!$A:$A,增益!$R:$R,0))</f>
        <v>1.85</v>
      </c>
      <c r="BQ121" s="24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4" cm="1">
        <f t="array" ref="BR121">1+$B$14+VLOOKUP($Q121,武学奇术!$A:$ZZ,20,FALSE)+SUM(_xlfn.XLOOKUP($R121:$AK121,增益!$A:$A,增益!$T:$T,0))</f>
        <v>1.35</v>
      </c>
      <c r="BS121" s="24">
        <f t="shared" si="43"/>
        <v>0.9071</v>
      </c>
      <c r="BT121" s="24">
        <f t="shared" si="44"/>
        <v>0</v>
      </c>
      <c r="BU121" s="24">
        <f>IF(VLOOKUP($Q121,武学奇术!$A:$ZZ,22,FALSE)=1,0,(1-$BN121))*(1-$BQ121)</f>
        <v>0</v>
      </c>
      <c r="BV121" s="24" cm="1">
        <f t="array" ref="BV121">SUM(_xlfn.XLOOKUP($R121:$AK121,增益!$A:$A,增益!$W:$W,0))+$I$5</f>
        <v>0.26</v>
      </c>
    </row>
    <row r="122" spans="1:74">
      <c r="K122" s="38">
        <f t="shared" si="34"/>
        <v>559314.128003681</v>
      </c>
      <c r="L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弹道",$B$21,0))*(1+$BV122)</f>
        <v>569770.861466522</v>
      </c>
      <c r="M122" s="38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弹道",$B$21,0))*(1+$BV122)</f>
        <v>457211.836032281</v>
      </c>
      <c r="N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弹道",$B$21,0))*(1+$BV122)</f>
        <v>307984.249441363</v>
      </c>
      <c r="O122" s="38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弹道",$B$21,0))*(1+$BV122)</f>
        <v>277293.064784741</v>
      </c>
      <c r="P122" s="39">
        <v>12</v>
      </c>
      <c r="Q122" s="40" t="s">
        <v>155</v>
      </c>
      <c r="R122" s="40" t="s">
        <v>97</v>
      </c>
      <c r="S122" s="40" t="s">
        <v>176</v>
      </c>
      <c r="T122" s="40" t="s">
        <v>78</v>
      </c>
      <c r="U122" s="40" t="s">
        <v>171</v>
      </c>
      <c r="V122" s="40" t="s">
        <v>78</v>
      </c>
      <c r="W122" s="40" t="s">
        <v>78</v>
      </c>
      <c r="X122" s="40" t="s">
        <v>78</v>
      </c>
      <c r="Y122" s="40" t="s">
        <v>184</v>
      </c>
      <c r="Z122" s="40" t="s">
        <v>78</v>
      </c>
      <c r="AA122" s="40" t="s">
        <v>78</v>
      </c>
      <c r="AB122" s="40" t="s">
        <v>78</v>
      </c>
      <c r="AC122" s="40" t="s">
        <v>185</v>
      </c>
      <c r="AD122" s="40" t="s">
        <v>186</v>
      </c>
      <c r="AE122" s="40" t="s">
        <v>78</v>
      </c>
      <c r="AF122" s="40" t="s">
        <v>78</v>
      </c>
      <c r="AG122" s="40" t="s">
        <v>78</v>
      </c>
      <c r="AH122" s="40" t="s">
        <v>78</v>
      </c>
      <c r="AI122" s="40" t="s">
        <v>78</v>
      </c>
      <c r="AJ122" s="40" t="s">
        <v>78</v>
      </c>
      <c r="AK122" s="40" t="s">
        <v>188</v>
      </c>
      <c r="AL122" t="str">
        <f>VLOOKUP($Q122,武学奇术!$A:$ZZ,25,FALSE)</f>
        <v>单体奇术</v>
      </c>
      <c r="AM122" s="24">
        <f>VLOOKUP($Q122,武学奇术!$A:$ZZ,26,FALSE)</f>
        <v>1.609</v>
      </c>
      <c r="AN122" s="25">
        <f>VLOOKUP($Q122,武学奇术!$A:$ZZ,27,FALSE)*(1+IF(OR($AL122=$F$4,$AL122=$F$5),$B$22,0))</f>
        <v>308</v>
      </c>
      <c r="AO122" s="24">
        <f>VLOOKUP($Q122,武学奇术!$A:$ZZ,28,FALSE)</f>
        <v>2.4135</v>
      </c>
      <c r="AP122" s="25">
        <f>VLOOKUP($Q122,武学奇术!$A:$ZZ,29,FALSE)*(1+IF(OR($AL122=$F$4,$AL122=$F$5),$B$22,0))</f>
        <v>0</v>
      </c>
      <c r="AQ122" s="24" cm="1">
        <f t="array" ref="AQ122">$G$3+IFERROR(VLOOKUP($AL122,$F$4:$G$7,2,FALSE),0)+VLOOKUP($Q122,武学奇术!$A:$ZZ,2,FALSE)+SUM(_xlfn.XLOOKUP($R122:$AK122,增益!$A:$A,增益!$B:$B,0))</f>
        <v>0.5015</v>
      </c>
      <c r="AR122" s="24" cm="1">
        <f t="array" ref="AR122">VLOOKUP($Q122,武学奇术!$A:$ZZ,5,FALSE)+SUM(_xlfn.XLOOKUP($R122:$AK122,增益!$A:$A,增益!$E:$E,0))</f>
        <v>0.15</v>
      </c>
      <c r="AS122" cm="1">
        <f t="array" ref="AS122">$D$10*(1+$AR122)+VLOOKUP($Q122,武学奇术!$A:$ZZ,3,FALSE)+SUM(_xlfn.XLOOKUP($R122:$AK122,增益!$A:$A,增益!$C:$C,0))-$I$2</f>
        <v>4427.0462</v>
      </c>
      <c r="AT122" cm="1">
        <f t="array" ref="AT122">$E$10*(1+$AR122)+VLOOKUP($Q122,武学奇术!$A:$ZZ,4,FALSE)+SUM(_xlfn.XLOOKUP($R122:$AK122,增益!$A:$A,增益!$D:$D,0))-$I$2</f>
        <v>4427.0462</v>
      </c>
      <c r="AU122" s="32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0.4175</v>
      </c>
      <c r="AV122" s="32" cm="1">
        <f t="array" ref="AV122">$G$10+VLOOKUP($Q122,武学奇术!$A:$ZZ,7,FALSE)+SUM(_xlfn.XLOOKUP($R122:$AK122,增益!$A:$A,增益!$G:$G,0))</f>
        <v>0</v>
      </c>
      <c r="AW122" s="24" cm="1">
        <f t="array" ref="AW122">VLOOKUP($Q122,武学奇术!$A:$ZZ,8,FALSE)+SUM(_xlfn.XLOOKUP($R122:$AK122,增益!$A:$A,增益!$H:$H,0))</f>
        <v>0</v>
      </c>
      <c r="AX122">
        <f t="shared" si="35"/>
        <v>0</v>
      </c>
      <c r="AY122">
        <f t="shared" si="36"/>
        <v>0</v>
      </c>
      <c r="AZ122" s="32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-0.3</v>
      </c>
      <c r="BA122" s="32" cm="1">
        <f t="array" ref="BA122">$G$11+VLOOKUP($Q122,武学奇术!$A:$ZZ,10,FALSE)+SUM(_xlfn.XLOOKUP($R122:$AK122,增益!$A:$A,增益!$J:$J,0))</f>
        <v>0</v>
      </c>
      <c r="BB122">
        <f t="shared" si="37"/>
        <v>0</v>
      </c>
      <c r="BC122">
        <f t="shared" si="38"/>
        <v>0</v>
      </c>
      <c r="BD122" s="32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-0.3</v>
      </c>
      <c r="BE122" s="32" cm="1">
        <f t="array" ref="BE122">$G$12+VLOOKUP($Q122,武学奇术!$A:$ZZ,12,FALSE)+SUM(_xlfn.XLOOKUP($R122:$AK122,增益!$A:$A,增益!$L:$L,0))</f>
        <v>0</v>
      </c>
      <c r="BF122">
        <f t="shared" si="39"/>
        <v>605.472</v>
      </c>
      <c r="BG122">
        <f t="shared" si="40"/>
        <v>1579.612</v>
      </c>
      <c r="BH122" s="32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0</v>
      </c>
      <c r="BI122" s="32" cm="1">
        <f t="array" ref="BI122">$G$13+VLOOKUP($Q122,武学奇术!$A:$ZZ,14,FALSE)+SUM(_xlfn.XLOOKUP($R122:$AK122,增益!$A:$A,增益!$N:$N,0))</f>
        <v>0.15</v>
      </c>
      <c r="BJ122">
        <f t="shared" si="41"/>
        <v>0</v>
      </c>
      <c r="BK122">
        <f t="shared" si="42"/>
        <v>0</v>
      </c>
      <c r="BL122" s="32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-0.3</v>
      </c>
      <c r="BM122" s="32" cm="1">
        <f t="array" ref="BM122">$G$14+VLOOKUP($Q122,武学奇术!$A:$ZZ,16,FALSE)+SUM(_xlfn.XLOOKUP($R122:$AK122,增益!$A:$A,增益!$P:$P,0))</f>
        <v>0</v>
      </c>
      <c r="BN122" s="24">
        <f>MIN(IF(VLOOKUP($Q122,武学奇术!$A:$ZZ,23,FALSE)=1,100%,$B$8),100%)</f>
        <v>1</v>
      </c>
      <c r="BO122" s="24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0.9093</v>
      </c>
      <c r="BP122" s="24" cm="1">
        <f t="array" ref="BP122">1+$B$13+VLOOKUP($Q122,武学奇术!$A:$ZZ,18,FALSE)+SUM(_xlfn.XLOOKUP($R122:$AK122,增益!$A:$A,增益!$R:$R,0))</f>
        <v>1.85</v>
      </c>
      <c r="BQ122" s="24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4" cm="1">
        <f t="array" ref="BR122">1+$B$14+VLOOKUP($Q122,武学奇术!$A:$ZZ,20,FALSE)+SUM(_xlfn.XLOOKUP($R122:$AK122,增益!$A:$A,增益!$T:$T,0))</f>
        <v>1.35</v>
      </c>
      <c r="BS122" s="24">
        <f t="shared" si="43"/>
        <v>0.9071</v>
      </c>
      <c r="BT122" s="24">
        <f t="shared" si="44"/>
        <v>0</v>
      </c>
      <c r="BU122" s="24">
        <f>IF(VLOOKUP($Q122,武学奇术!$A:$ZZ,22,FALSE)=1,0,(1-$BN122))*(1-$BQ122)</f>
        <v>0</v>
      </c>
      <c r="BV122" s="24" cm="1">
        <f t="array" ref="BV122">SUM(_xlfn.XLOOKUP($R122:$AK122,增益!$A:$A,增益!$W:$W,0))+$I$5</f>
        <v>0.26</v>
      </c>
    </row>
    <row r="123" spans="1:74">
      <c r="K123" s="38">
        <f t="shared" si="34"/>
        <v>245600.771381554</v>
      </c>
      <c r="L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弹道",$B$21,0))*(1+$BV123)</f>
        <v>250192.936900892</v>
      </c>
      <c r="M123" s="38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弹道",$B$21,0))*(1+$BV123)</f>
        <v>200761.661127606</v>
      </c>
      <c r="N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弹道",$B$21,0))*(1+$BV123)</f>
        <v>135239.425351833</v>
      </c>
      <c r="O123" s="38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弹道",$B$21,0))*(1+$BV123)</f>
        <v>121766.509127662</v>
      </c>
      <c r="P123" s="39">
        <v>1</v>
      </c>
      <c r="Q123" s="40" t="s">
        <v>192</v>
      </c>
      <c r="R123" s="40" t="s">
        <v>97</v>
      </c>
      <c r="S123" s="40" t="s">
        <v>176</v>
      </c>
      <c r="T123" s="40" t="s">
        <v>78</v>
      </c>
      <c r="U123" s="40" t="s">
        <v>171</v>
      </c>
      <c r="V123" s="40" t="s">
        <v>78</v>
      </c>
      <c r="W123" s="40" t="s">
        <v>78</v>
      </c>
      <c r="X123" s="40" t="s">
        <v>78</v>
      </c>
      <c r="Y123" s="40" t="s">
        <v>184</v>
      </c>
      <c r="Z123" s="40" t="s">
        <v>78</v>
      </c>
      <c r="AA123" s="40" t="s">
        <v>78</v>
      </c>
      <c r="AB123" s="40" t="s">
        <v>78</v>
      </c>
      <c r="AC123" s="40" t="s">
        <v>185</v>
      </c>
      <c r="AD123" s="40" t="s">
        <v>186</v>
      </c>
      <c r="AE123" s="40" t="s">
        <v>78</v>
      </c>
      <c r="AF123" s="40" t="s">
        <v>78</v>
      </c>
      <c r="AG123" s="40" t="s">
        <v>78</v>
      </c>
      <c r="AH123" s="40" t="s">
        <v>78</v>
      </c>
      <c r="AI123" s="40" t="s">
        <v>78</v>
      </c>
      <c r="AJ123" s="40" t="s">
        <v>78</v>
      </c>
      <c r="AK123" s="40" t="s">
        <v>188</v>
      </c>
      <c r="AL123" t="str">
        <f>VLOOKUP($Q123,武学奇术!$A:$ZZ,25,FALSE)</f>
        <v>群体奇术</v>
      </c>
      <c r="AM123" s="24">
        <f>VLOOKUP($Q123,武学奇术!$A:$ZZ,26,FALSE)</f>
        <v>10.315755</v>
      </c>
      <c r="AN123" s="25">
        <f>VLOOKUP($Q123,武学奇术!$A:$ZZ,27,FALSE)*(1+IF(OR($AL123=$F$4,$AL123=$F$5),$B$22,0))</f>
        <v>1992.6</v>
      </c>
      <c r="AO123" s="24">
        <f>VLOOKUP($Q123,武学奇术!$A:$ZZ,28,FALSE)</f>
        <v>15.4736325</v>
      </c>
      <c r="AP123" s="25">
        <f>VLOOKUP($Q123,武学奇术!$A:$ZZ,29,FALSE)*(1+IF(OR($AL123=$F$4,$AL123=$F$5),$B$22,0))</f>
        <v>0</v>
      </c>
      <c r="AQ123" s="24" cm="1">
        <f t="array" ref="AQ123">$G$3+IFERROR(VLOOKUP($AL123,$F$4:$G$7,2,FALSE),0)+VLOOKUP($Q123,武学奇术!$A:$ZZ,2,FALSE)+SUM(_xlfn.XLOOKUP($R123:$AK123,增益!$A:$A,增益!$B:$B,0))</f>
        <v>0.2337</v>
      </c>
      <c r="AR123" s="24" cm="1">
        <f t="array" ref="AR123">VLOOKUP($Q123,武学奇术!$A:$ZZ,5,FALSE)+SUM(_xlfn.XLOOKUP($R123:$AK123,增益!$A:$A,增益!$E:$E,0))</f>
        <v>0.15</v>
      </c>
      <c r="AS123" cm="1">
        <f t="array" ref="AS123">$D$10*(1+$AR123)+VLOOKUP($Q123,武学奇术!$A:$ZZ,3,FALSE)+SUM(_xlfn.XLOOKUP($R123:$AK123,增益!$A:$A,增益!$C:$C,0))-$I$2</f>
        <v>4427.0462</v>
      </c>
      <c r="AT123" cm="1">
        <f t="array" ref="AT123">$E$10*(1+$AR123)+VLOOKUP($Q123,武学奇术!$A:$ZZ,4,FALSE)+SUM(_xlfn.XLOOKUP($R123:$AK123,增益!$A:$A,增益!$D:$D,0))-$I$2</f>
        <v>4427.0462</v>
      </c>
      <c r="AU123" s="32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0.4175</v>
      </c>
      <c r="AV123" s="32" cm="1">
        <f t="array" ref="AV123">$G$10+VLOOKUP($Q123,武学奇术!$A:$ZZ,7,FALSE)+SUM(_xlfn.XLOOKUP($R123:$AK123,增益!$A:$A,增益!$G:$G,0))</f>
        <v>0</v>
      </c>
      <c r="AW123" s="24" cm="1">
        <f t="array" ref="AW123">VLOOKUP($Q123,武学奇术!$A:$ZZ,8,FALSE)+SUM(_xlfn.XLOOKUP($R123:$AK123,增益!$A:$A,增益!$H:$H,0))</f>
        <v>0</v>
      </c>
      <c r="AX123">
        <f t="shared" si="35"/>
        <v>0</v>
      </c>
      <c r="AY123">
        <f t="shared" si="36"/>
        <v>0</v>
      </c>
      <c r="AZ123" s="32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-0.3</v>
      </c>
      <c r="BA123" s="32" cm="1">
        <f t="array" ref="BA123">$G$11+VLOOKUP($Q123,武学奇术!$A:$ZZ,10,FALSE)+SUM(_xlfn.XLOOKUP($R123:$AK123,增益!$A:$A,增益!$J:$J,0))</f>
        <v>0</v>
      </c>
      <c r="BB123">
        <f t="shared" si="37"/>
        <v>0</v>
      </c>
      <c r="BC123">
        <f t="shared" si="38"/>
        <v>0</v>
      </c>
      <c r="BD123" s="32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-0.3</v>
      </c>
      <c r="BE123" s="32" cm="1">
        <f t="array" ref="BE123">$G$12+VLOOKUP($Q123,武学奇术!$A:$ZZ,12,FALSE)+SUM(_xlfn.XLOOKUP($R123:$AK123,增益!$A:$A,增益!$L:$L,0))</f>
        <v>0</v>
      </c>
      <c r="BF123">
        <f t="shared" si="39"/>
        <v>605.472</v>
      </c>
      <c r="BG123">
        <f t="shared" si="40"/>
        <v>1579.612</v>
      </c>
      <c r="BH123" s="32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0</v>
      </c>
      <c r="BI123" s="32" cm="1">
        <f t="array" ref="BI123">$G$13+VLOOKUP($Q123,武学奇术!$A:$ZZ,14,FALSE)+SUM(_xlfn.XLOOKUP($R123:$AK123,增益!$A:$A,增益!$N:$N,0))</f>
        <v>0.15</v>
      </c>
      <c r="BJ123">
        <f t="shared" si="41"/>
        <v>0</v>
      </c>
      <c r="BK123">
        <f t="shared" si="42"/>
        <v>0</v>
      </c>
      <c r="BL123" s="32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-0.3</v>
      </c>
      <c r="BM123" s="32" cm="1">
        <f t="array" ref="BM123">$G$14+VLOOKUP($Q123,武学奇术!$A:$ZZ,16,FALSE)+SUM(_xlfn.XLOOKUP($R123:$AK123,增益!$A:$A,增益!$P:$P,0))</f>
        <v>0</v>
      </c>
      <c r="BN123" s="24">
        <f>MIN(IF(VLOOKUP($Q123,武学奇术!$A:$ZZ,23,FALSE)=1,100%,$B$8),100%)</f>
        <v>1</v>
      </c>
      <c r="BO123" s="24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0.9093</v>
      </c>
      <c r="BP123" s="24" cm="1">
        <f t="array" ref="BP123">1+$B$13+VLOOKUP($Q123,武学奇术!$A:$ZZ,18,FALSE)+SUM(_xlfn.XLOOKUP($R123:$AK123,增益!$A:$A,增益!$R:$R,0))</f>
        <v>1.85</v>
      </c>
      <c r="BQ123" s="24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4" cm="1">
        <f t="array" ref="BR123">1+$B$14+VLOOKUP($Q123,武学奇术!$A:$ZZ,20,FALSE)+SUM(_xlfn.XLOOKUP($R123:$AK123,增益!$A:$A,增益!$T:$T,0))</f>
        <v>1.35</v>
      </c>
      <c r="BS123" s="24">
        <f t="shared" si="43"/>
        <v>0.9071</v>
      </c>
      <c r="BT123" s="24">
        <f t="shared" si="44"/>
        <v>0</v>
      </c>
      <c r="BU123" s="24">
        <f>IF(VLOOKUP($Q123,武学奇术!$A:$ZZ,22,FALSE)=1,0,(1-$BN123))*(1-$BQ123)</f>
        <v>0</v>
      </c>
      <c r="BV123" s="24" cm="1">
        <f t="array" ref="BV123">SUM(_xlfn.XLOOKUP($R123:$AK123,增益!$A:$A,增益!$W:$W,0))+$I$5</f>
        <v>0.26</v>
      </c>
    </row>
    <row r="124" spans="1:74">
      <c r="K124" s="38">
        <f t="shared" si="34"/>
        <v>25559.9343247189</v>
      </c>
      <c r="L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弹道",$B$21,0))*(1+$BV124)</f>
        <v>26051.692176373</v>
      </c>
      <c r="M124" s="38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弹道",$B$21,0))*(1+$BV124)</f>
        <v>20758.2815019478</v>
      </c>
      <c r="N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弹道",$B$21,0))*(1+$BV124)</f>
        <v>14081.9957710124</v>
      </c>
      <c r="O124" s="38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弹道",$B$21,0))*(1+$BV124)</f>
        <v>12787.4867257672</v>
      </c>
      <c r="P124" s="39">
        <v>1</v>
      </c>
      <c r="Q124" s="40" t="s">
        <v>160</v>
      </c>
      <c r="R124" s="40" t="s">
        <v>97</v>
      </c>
      <c r="S124" s="40" t="s">
        <v>176</v>
      </c>
      <c r="T124" s="40" t="s">
        <v>78</v>
      </c>
      <c r="U124" s="40" t="s">
        <v>171</v>
      </c>
      <c r="V124" s="40" t="s">
        <v>78</v>
      </c>
      <c r="W124" s="40" t="s">
        <v>78</v>
      </c>
      <c r="X124" s="40" t="s">
        <v>78</v>
      </c>
      <c r="Y124" s="40" t="s">
        <v>184</v>
      </c>
      <c r="Z124" s="40" t="s">
        <v>78</v>
      </c>
      <c r="AA124" s="40" t="s">
        <v>78</v>
      </c>
      <c r="AB124" s="40" t="s">
        <v>78</v>
      </c>
      <c r="AC124" s="40" t="s">
        <v>185</v>
      </c>
      <c r="AD124" s="40" t="s">
        <v>186</v>
      </c>
      <c r="AE124" s="40" t="s">
        <v>78</v>
      </c>
      <c r="AF124" s="40" t="s">
        <v>78</v>
      </c>
      <c r="AG124" s="40" t="s">
        <v>78</v>
      </c>
      <c r="AH124" s="40" t="s">
        <v>78</v>
      </c>
      <c r="AI124" s="40" t="s">
        <v>78</v>
      </c>
      <c r="AJ124" s="40" t="s">
        <v>78</v>
      </c>
      <c r="AK124" s="40" t="s">
        <v>188</v>
      </c>
      <c r="AL124" t="str">
        <f>VLOOKUP($Q124,武学奇术!$A:$ZZ,25,FALSE)</f>
        <v>扇</v>
      </c>
      <c r="AM124" s="24">
        <f>VLOOKUP($Q124,武学奇术!$A:$ZZ,26,FALSE)</f>
        <v>0.9271</v>
      </c>
      <c r="AN124" s="25">
        <f>VLOOKUP($Q124,武学奇术!$A:$ZZ,27,FALSE)*(1+IF(OR($AL124=$F$4,$AL124=$F$5),$B$22,0))</f>
        <v>385.5</v>
      </c>
      <c r="AO124" s="24">
        <f>VLOOKUP($Q124,武学奇术!$A:$ZZ,28,FALSE)</f>
        <v>1.3907</v>
      </c>
      <c r="AP124" s="25">
        <f>VLOOKUP($Q124,武学奇术!$A:$ZZ,29,FALSE)*(1+IF(OR($AL124=$F$4,$AL124=$F$5),$B$22,0))</f>
        <v>210</v>
      </c>
      <c r="AQ124" s="24" cm="1">
        <f t="array" ref="AQ124">$G$3+IFERROR(VLOOKUP($AL124,$F$4:$G$7,2,FALSE),0)+VLOOKUP($Q124,武学奇术!$A:$ZZ,2,FALSE)+SUM(_xlfn.XLOOKUP($R124:$AK124,增益!$A:$A,增益!$B:$B,0))</f>
        <v>0.3189</v>
      </c>
      <c r="AR124" s="24" cm="1">
        <f t="array" ref="AR124">VLOOKUP($Q124,武学奇术!$A:$ZZ,5,FALSE)+SUM(_xlfn.XLOOKUP($R124:$AK124,增益!$A:$A,增益!$E:$E,0))</f>
        <v>0.15</v>
      </c>
      <c r="AS124" cm="1">
        <f t="array" ref="AS124">$D$10*(1+$AR124)+VLOOKUP($Q124,武学奇术!$A:$ZZ,3,FALSE)+SUM(_xlfn.XLOOKUP($R124:$AK124,增益!$A:$A,增益!$C:$C,0))-$I$2</f>
        <v>4427.0462</v>
      </c>
      <c r="AT124" cm="1">
        <f t="array" ref="AT124">$E$10*(1+$AR124)+VLOOKUP($Q124,武学奇术!$A:$ZZ,4,FALSE)+SUM(_xlfn.XLOOKUP($R124:$AK124,增益!$A:$A,增益!$D:$D,0))-$I$2</f>
        <v>4427.0462</v>
      </c>
      <c r="AU124" s="32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0.4175</v>
      </c>
      <c r="AV124" s="32" cm="1">
        <f t="array" ref="AV124">$G$10+VLOOKUP($Q124,武学奇术!$A:$ZZ,7,FALSE)+SUM(_xlfn.XLOOKUP($R124:$AK124,增益!$A:$A,增益!$G:$G,0))</f>
        <v>0</v>
      </c>
      <c r="AW124" s="24" cm="1">
        <f t="array" ref="AW124">VLOOKUP($Q124,武学奇术!$A:$ZZ,8,FALSE)+SUM(_xlfn.XLOOKUP($R124:$AK124,增益!$A:$A,增益!$H:$H,0))</f>
        <v>0</v>
      </c>
      <c r="AX124">
        <f t="shared" si="35"/>
        <v>0</v>
      </c>
      <c r="AY124">
        <f t="shared" si="36"/>
        <v>0</v>
      </c>
      <c r="AZ124" s="32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-0.3</v>
      </c>
      <c r="BA124" s="32" cm="1">
        <f t="array" ref="BA124">$G$11+VLOOKUP($Q124,武学奇术!$A:$ZZ,10,FALSE)+SUM(_xlfn.XLOOKUP($R124:$AK124,增益!$A:$A,增益!$J:$J,0))</f>
        <v>0</v>
      </c>
      <c r="BB124">
        <f t="shared" si="37"/>
        <v>0</v>
      </c>
      <c r="BC124">
        <f t="shared" si="38"/>
        <v>0</v>
      </c>
      <c r="BD124" s="32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-0.3</v>
      </c>
      <c r="BE124" s="32" cm="1">
        <f t="array" ref="BE124">$G$12+VLOOKUP($Q124,武学奇术!$A:$ZZ,12,FALSE)+SUM(_xlfn.XLOOKUP($R124:$AK124,增益!$A:$A,增益!$L:$L,0))</f>
        <v>0</v>
      </c>
      <c r="BF124">
        <f t="shared" si="39"/>
        <v>605.472</v>
      </c>
      <c r="BG124">
        <f t="shared" si="40"/>
        <v>1579.612</v>
      </c>
      <c r="BH124" s="32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0</v>
      </c>
      <c r="BI124" s="32" cm="1">
        <f t="array" ref="BI124">$G$13+VLOOKUP($Q124,武学奇术!$A:$ZZ,14,FALSE)+SUM(_xlfn.XLOOKUP($R124:$AK124,增益!$A:$A,增益!$N:$N,0))</f>
        <v>0.15</v>
      </c>
      <c r="BJ124">
        <f t="shared" si="41"/>
        <v>0</v>
      </c>
      <c r="BK124">
        <f t="shared" si="42"/>
        <v>0</v>
      </c>
      <c r="BL124" s="32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-0.3</v>
      </c>
      <c r="BM124" s="32" cm="1">
        <f t="array" ref="BM124">$G$14+VLOOKUP($Q124,武学奇术!$A:$ZZ,16,FALSE)+SUM(_xlfn.XLOOKUP($R124:$AK124,增益!$A:$A,增益!$P:$P,0))</f>
        <v>0</v>
      </c>
      <c r="BN124" s="24">
        <f>MIN(IF(VLOOKUP($Q124,武学奇术!$A:$ZZ,23,FALSE)=1,100%,$B$8),100%)</f>
        <v>1</v>
      </c>
      <c r="BO124" s="24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0.9093</v>
      </c>
      <c r="BP124" s="24" cm="1">
        <f t="array" ref="BP124">1+$B$13+VLOOKUP($Q124,武学奇术!$A:$ZZ,18,FALSE)+SUM(_xlfn.XLOOKUP($R124:$AK124,增益!$A:$A,增益!$R:$R,0))</f>
        <v>1.85</v>
      </c>
      <c r="BQ124" s="24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4" cm="1">
        <f t="array" ref="BR124">1+$B$14+VLOOKUP($Q124,武学奇术!$A:$ZZ,20,FALSE)+SUM(_xlfn.XLOOKUP($R124:$AK124,增益!$A:$A,增益!$T:$T,0))</f>
        <v>1.35</v>
      </c>
      <c r="BS124" s="24">
        <f t="shared" si="43"/>
        <v>0.9071</v>
      </c>
      <c r="BT124" s="24">
        <f t="shared" si="44"/>
        <v>0</v>
      </c>
      <c r="BU124" s="24">
        <f>IF(VLOOKUP($Q124,武学奇术!$A:$ZZ,22,FALSE)=1,0,(1-$BN124))*(1-$BQ124)</f>
        <v>0</v>
      </c>
      <c r="BV124" s="24" cm="1">
        <f t="array" ref="BV124">SUM(_xlfn.XLOOKUP($R124:$AK124,增益!$A:$A,增益!$W:$W,0))+$I$5</f>
        <v>0.26</v>
      </c>
    </row>
    <row r="125" spans="1:74">
      <c r="K125" s="38">
        <f t="shared" si="34"/>
        <v>0</v>
      </c>
      <c r="L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弹道",$B$21,0))*(1+$BV125)</f>
        <v>0</v>
      </c>
      <c r="M125" s="38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弹道",$B$21,0))*(1+$BV125)</f>
        <v>0</v>
      </c>
      <c r="N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弹道",$B$21,0))*(1+$BV125)</f>
        <v>0</v>
      </c>
      <c r="O125" s="38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弹道",$B$21,0))*(1+$BV125)</f>
        <v>0</v>
      </c>
      <c r="P125" s="39">
        <v>1</v>
      </c>
      <c r="Q125" s="40" t="s">
        <v>78</v>
      </c>
      <c r="R125" s="40" t="s">
        <v>78</v>
      </c>
      <c r="S125" s="40" t="s">
        <v>78</v>
      </c>
      <c r="T125" s="40" t="s">
        <v>78</v>
      </c>
      <c r="U125" s="40" t="s">
        <v>78</v>
      </c>
      <c r="V125" s="40" t="s">
        <v>78</v>
      </c>
      <c r="W125" s="40" t="s">
        <v>78</v>
      </c>
      <c r="X125" s="40" t="s">
        <v>78</v>
      </c>
      <c r="Y125" s="40" t="s">
        <v>78</v>
      </c>
      <c r="Z125" s="40" t="s">
        <v>78</v>
      </c>
      <c r="AA125" s="40" t="s">
        <v>78</v>
      </c>
      <c r="AB125" s="40" t="s">
        <v>78</v>
      </c>
      <c r="AC125" s="40" t="s">
        <v>78</v>
      </c>
      <c r="AD125" s="40" t="s">
        <v>78</v>
      </c>
      <c r="AE125" s="40" t="s">
        <v>78</v>
      </c>
      <c r="AF125" s="40" t="s">
        <v>78</v>
      </c>
      <c r="AG125" s="40" t="s">
        <v>78</v>
      </c>
      <c r="AH125" s="40" t="s">
        <v>78</v>
      </c>
      <c r="AI125" s="40" t="s">
        <v>78</v>
      </c>
      <c r="AJ125" s="40" t="s">
        <v>78</v>
      </c>
      <c r="AK125" s="40" t="s">
        <v>78</v>
      </c>
      <c r="AL125" t="str">
        <f>VLOOKUP($Q125,武学奇术!$A:$ZZ,25,FALSE)</f>
        <v>心法</v>
      </c>
      <c r="AM125" s="24">
        <f>VLOOKUP($Q125,武学奇术!$A:$ZZ,26,FALSE)</f>
        <v>0</v>
      </c>
      <c r="AN125" s="25">
        <f>VLOOKUP($Q125,武学奇术!$A:$ZZ,27,FALSE)*(1+IF(OR($AL125=$F$4,$AL125=$F$5),$B$22,0))</f>
        <v>0</v>
      </c>
      <c r="AO125" s="24">
        <f>VLOOKUP($Q125,武学奇术!$A:$ZZ,28,FALSE)</f>
        <v>0</v>
      </c>
      <c r="AP125" s="25">
        <f>VLOOKUP($Q125,武学奇术!$A:$ZZ,29,FALSE)*(1+IF(OR($AL125=$F$4,$AL125=$F$5),$B$22,0))</f>
        <v>0</v>
      </c>
      <c r="AQ125" s="24" cm="1">
        <f t="array" ref="AQ125">$G$3+IFERROR(VLOOKUP($AL125,$F$4:$G$7,2,FALSE),0)+VLOOKUP($Q125,武学奇术!$A:$ZZ,2,FALSE)+SUM(_xlfn.XLOOKUP($R125:$AK125,增益!$A:$A,增益!$B:$B,0))</f>
        <v>0.1837</v>
      </c>
      <c r="AR125" s="24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3773.588</v>
      </c>
      <c r="AT125" cm="1">
        <f t="array" ref="AT125">$E$10*(1+$AR125)+VLOOKUP($Q125,武学奇术!$A:$ZZ,4,FALSE)+SUM(_xlfn.XLOOKUP($R125:$AK125,增益!$A:$A,增益!$D:$D,0))-$I$2</f>
        <v>3773.588</v>
      </c>
      <c r="AU125" s="32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0.2425</v>
      </c>
      <c r="AV125" s="32" cm="1">
        <f t="array" ref="AV125">$G$10+VLOOKUP($Q125,武学奇术!$A:$ZZ,7,FALSE)+SUM(_xlfn.XLOOKUP($R125:$AK125,增益!$A:$A,增益!$G:$G,0))</f>
        <v>0</v>
      </c>
      <c r="AW125" s="24" cm="1">
        <f t="array" ref="AW125">VLOOKUP($Q125,武学奇术!$A:$ZZ,8,FALSE)+SUM(_xlfn.XLOOKUP($R125:$AK125,增益!$A:$A,增益!$H:$H,0))</f>
        <v>0</v>
      </c>
      <c r="AX125">
        <f t="shared" si="35"/>
        <v>0</v>
      </c>
      <c r="AY125">
        <f t="shared" si="36"/>
        <v>0</v>
      </c>
      <c r="AZ125" s="32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-0.3</v>
      </c>
      <c r="BA125" s="32" cm="1">
        <f t="array" ref="BA125">$G$11+VLOOKUP($Q125,武学奇术!$A:$ZZ,10,FALSE)+SUM(_xlfn.XLOOKUP($R125:$AK125,增益!$A:$A,增益!$J:$J,0))</f>
        <v>0</v>
      </c>
      <c r="BB125">
        <f t="shared" si="37"/>
        <v>0</v>
      </c>
      <c r="BC125">
        <f t="shared" si="38"/>
        <v>0</v>
      </c>
      <c r="BD125" s="32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-0.3</v>
      </c>
      <c r="BE125" s="32" cm="1">
        <f t="array" ref="BE125">$G$12+VLOOKUP($Q125,武学奇术!$A:$ZZ,12,FALSE)+SUM(_xlfn.XLOOKUP($R125:$AK125,增益!$A:$A,增益!$L:$L,0))</f>
        <v>0</v>
      </c>
      <c r="BF125">
        <f t="shared" si="39"/>
        <v>605.472</v>
      </c>
      <c r="BG125">
        <f t="shared" si="40"/>
        <v>1579.612</v>
      </c>
      <c r="BH125" s="32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0</v>
      </c>
      <c r="BI125" s="32" cm="1">
        <f t="array" ref="BI125">$G$13+VLOOKUP($Q125,武学奇术!$A:$ZZ,14,FALSE)+SUM(_xlfn.XLOOKUP($R125:$AK125,增益!$A:$A,增益!$N:$N,0))</f>
        <v>0.15</v>
      </c>
      <c r="BJ125">
        <f t="shared" si="41"/>
        <v>0</v>
      </c>
      <c r="BK125">
        <f t="shared" si="42"/>
        <v>0</v>
      </c>
      <c r="BL125" s="32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-0.3</v>
      </c>
      <c r="BM125" s="32" cm="1">
        <f t="array" ref="BM125">$G$14+VLOOKUP($Q125,武学奇术!$A:$ZZ,16,FALSE)+SUM(_xlfn.XLOOKUP($R125:$AK125,增益!$A:$A,增益!$P:$P,0))</f>
        <v>0</v>
      </c>
      <c r="BN125" s="24">
        <f>MIN(IF(VLOOKUP($Q125,武学奇术!$A:$ZZ,23,FALSE)=1,100%,$B$8),100%)</f>
        <v>1</v>
      </c>
      <c r="BO125" s="24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0.9093</v>
      </c>
      <c r="BP125" s="24" cm="1">
        <f t="array" ref="BP125">1+$B$13+VLOOKUP($Q125,武学奇术!$A:$ZZ,18,FALSE)+SUM(_xlfn.XLOOKUP($R125:$AK125,增益!$A:$A,增益!$R:$R,0))</f>
        <v>1.5</v>
      </c>
      <c r="BQ125" s="24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4" cm="1">
        <f t="array" ref="BR125">1+$B$14+VLOOKUP($Q125,武学奇术!$A:$ZZ,20,FALSE)+SUM(_xlfn.XLOOKUP($R125:$AK125,增益!$A:$A,增益!$T:$T,0))</f>
        <v>1.35</v>
      </c>
      <c r="BS125" s="24">
        <f t="shared" si="43"/>
        <v>0.9071</v>
      </c>
      <c r="BT125" s="24">
        <f t="shared" si="44"/>
        <v>0</v>
      </c>
      <c r="BU125" s="24">
        <f>IF(VLOOKUP($Q125,武学奇术!$A:$ZZ,22,FALSE)=1,0,(1-$BN125))*(1-$BQ125)</f>
        <v>0</v>
      </c>
      <c r="BV125" s="24" cm="1">
        <f t="array" ref="BV125">SUM(_xlfn.XLOOKUP($R125:$AK125,增益!$A:$A,增益!$W:$W,0))+$I$5</f>
        <v>0.06</v>
      </c>
    </row>
    <row r="126" spans="1:74">
      <c r="K126" s="38">
        <f t="shared" si="34"/>
        <v>16438.8010965898</v>
      </c>
      <c r="L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弹道",$B$21,0))*(1+$BV126)</f>
        <v>16720.6940351175</v>
      </c>
      <c r="M126" s="38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弹道",$B$21,0))*(1+$BV126)</f>
        <v>13686.3244061865</v>
      </c>
      <c r="N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弹道",$B$21,0))*(1+$BV126)</f>
        <v>9393.64833433569</v>
      </c>
      <c r="O126" s="38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弹道",$B$21,0))*(1+$BV126)</f>
        <v>8649.27859001469</v>
      </c>
      <c r="P126" s="39">
        <f t="shared" ref="P123:P136" si="45">IF($E$22="易水歌",1,0)</f>
        <v>1</v>
      </c>
      <c r="Q126" s="40" t="s">
        <v>197</v>
      </c>
      <c r="R126" s="40" t="s">
        <v>97</v>
      </c>
      <c r="S126" s="40" t="s">
        <v>89</v>
      </c>
      <c r="T126" s="40" t="s">
        <v>78</v>
      </c>
      <c r="U126" s="40" t="s">
        <v>90</v>
      </c>
      <c r="V126" s="40" t="s">
        <v>79</v>
      </c>
      <c r="W126" s="40" t="s">
        <v>78</v>
      </c>
      <c r="X126" s="40" t="s">
        <v>78</v>
      </c>
      <c r="Y126" s="40" t="s">
        <v>151</v>
      </c>
      <c r="Z126" s="40" t="s">
        <v>78</v>
      </c>
      <c r="AA126" s="40" t="s">
        <v>78</v>
      </c>
      <c r="AB126" s="40" t="s">
        <v>84</v>
      </c>
      <c r="AC126" s="40" t="s">
        <v>78</v>
      </c>
      <c r="AD126" s="40" t="s">
        <v>78</v>
      </c>
      <c r="AE126" s="40" t="s">
        <v>78</v>
      </c>
      <c r="AF126" s="40" t="s">
        <v>78</v>
      </c>
      <c r="AG126" s="40" t="s">
        <v>78</v>
      </c>
      <c r="AH126" s="40" t="s">
        <v>78</v>
      </c>
      <c r="AI126" s="40" t="s">
        <v>78</v>
      </c>
      <c r="AJ126" s="40" t="s">
        <v>78</v>
      </c>
      <c r="AK126" s="40" t="s">
        <v>78</v>
      </c>
      <c r="AL126" t="str">
        <f>VLOOKUP($Q126,武学奇术!$A:$ZZ,25,FALSE)</f>
        <v>心法</v>
      </c>
      <c r="AM126" s="24">
        <f>VLOOKUP($Q126,武学奇术!$A:$ZZ,26,FALSE)</f>
        <v>1</v>
      </c>
      <c r="AN126" s="25">
        <f>VLOOKUP($Q126,武学奇术!$A:$ZZ,27,FALSE)*(1+IF(OR($AL126=$F$4,$AL126=$F$5),$B$22,0))</f>
        <v>0</v>
      </c>
      <c r="AO126" s="24">
        <f>VLOOKUP($Q126,武学奇术!$A:$ZZ,28,FALSE)</f>
        <v>1</v>
      </c>
      <c r="AP126" s="25">
        <f>VLOOKUP($Q126,武学奇术!$A:$ZZ,29,FALSE)*(1+IF(OR($AL126=$F$4,$AL126=$F$5),$B$22,0))</f>
        <v>0</v>
      </c>
      <c r="AQ126" s="24" cm="1">
        <f t="array" ref="AQ126">$G$3+IFERROR(VLOOKUP($AL126,$F$4:$G$7,2,FALSE),0)+VLOOKUP($Q126,武学奇术!$A:$ZZ,2,FALSE)+SUM(_xlfn.XLOOKUP($R126:$AK126,增益!$A:$A,增益!$B:$B,0))</f>
        <v>0.2537</v>
      </c>
      <c r="AR126" s="24" cm="1">
        <f t="array" ref="AR126">VLOOKUP($Q126,武学奇术!$A:$ZZ,5,FALSE)+SUM(_xlfn.XLOOKUP($R126:$AK126,增益!$A:$A,增益!$E:$E,0))</f>
        <v>0.075</v>
      </c>
      <c r="AS126" cm="1">
        <f t="array" ref="AS126">$D$10*(1+$AR126)+VLOOKUP($Q126,武学奇术!$A:$ZZ,3,FALSE)+SUM(_xlfn.XLOOKUP($R126:$AK126,增益!$A:$A,增益!$C:$C,0))-$I$2</f>
        <v>4100.3171</v>
      </c>
      <c r="AT126" cm="1">
        <f t="array" ref="AT126">$E$10*(1+$AR126)+VLOOKUP($Q126,武学奇术!$A:$ZZ,4,FALSE)+SUM(_xlfn.XLOOKUP($R126:$AK126,增益!$A:$A,增益!$D:$D,0))-$I$2</f>
        <v>4100.3171</v>
      </c>
      <c r="AU126" s="32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0.4175</v>
      </c>
      <c r="AV126" s="32" cm="1">
        <f t="array" ref="AV126">$G$10+VLOOKUP($Q126,武学奇术!$A:$ZZ,7,FALSE)+SUM(_xlfn.XLOOKUP($R126:$AK126,增益!$A:$A,增益!$G:$G,0))</f>
        <v>0</v>
      </c>
      <c r="AW126" s="24" cm="1">
        <f t="array" ref="AW126">VLOOKUP($Q126,武学奇术!$A:$ZZ,8,FALSE)+SUM(_xlfn.XLOOKUP($R126:$AK126,增益!$A:$A,增益!$H:$H,0))</f>
        <v>0</v>
      </c>
      <c r="AX126">
        <f t="shared" si="35"/>
        <v>0</v>
      </c>
      <c r="AY126">
        <f t="shared" si="36"/>
        <v>0</v>
      </c>
      <c r="AZ126" s="32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2" cm="1">
        <f t="array" ref="BA126">$G$11+VLOOKUP($Q126,武学奇术!$A:$ZZ,10,FALSE)+SUM(_xlfn.XLOOKUP($R126:$AK126,增益!$A:$A,增益!$J:$J,0))</f>
        <v>0</v>
      </c>
      <c r="BB126">
        <f t="shared" si="37"/>
        <v>0</v>
      </c>
      <c r="BC126">
        <f t="shared" si="38"/>
        <v>0</v>
      </c>
      <c r="BD126" s="32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-0.3</v>
      </c>
      <c r="BE126" s="32" cm="1">
        <f t="array" ref="BE126">$G$12+VLOOKUP($Q126,武学奇术!$A:$ZZ,12,FALSE)+SUM(_xlfn.XLOOKUP($R126:$AK126,增益!$A:$A,增益!$L:$L,0))</f>
        <v>0</v>
      </c>
      <c r="BF126">
        <f t="shared" si="39"/>
        <v>605.472</v>
      </c>
      <c r="BG126">
        <f t="shared" si="40"/>
        <v>1579.612</v>
      </c>
      <c r="BH126" s="32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0</v>
      </c>
      <c r="BI126" s="32" cm="1">
        <f t="array" ref="BI126">$G$13+VLOOKUP($Q126,武学奇术!$A:$ZZ,14,FALSE)+SUM(_xlfn.XLOOKUP($R126:$AK126,增益!$A:$A,增益!$N:$N,0))</f>
        <v>0.15</v>
      </c>
      <c r="BJ126">
        <f t="shared" si="41"/>
        <v>0</v>
      </c>
      <c r="BK126">
        <f t="shared" si="42"/>
        <v>0</v>
      </c>
      <c r="BL126" s="32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2" cm="1">
        <f t="array" ref="BM126">$G$14+VLOOKUP($Q126,武学奇术!$A:$ZZ,16,FALSE)+SUM(_xlfn.XLOOKUP($R126:$AK126,增益!$A:$A,增益!$P:$P,0))</f>
        <v>0</v>
      </c>
      <c r="BN126" s="24">
        <f>MIN(IF(VLOOKUP($Q126,武学奇术!$A:$ZZ,23,FALSE)=1,100%,$B$8),100%)</f>
        <v>1</v>
      </c>
      <c r="BO126" s="24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0.9093</v>
      </c>
      <c r="BP126" s="24" cm="1">
        <f t="array" ref="BP126">1+$B$13+VLOOKUP($Q126,武学奇术!$A:$ZZ,18,FALSE)+SUM(_xlfn.XLOOKUP($R126:$AK126,增益!$A:$A,增益!$R:$R,0))</f>
        <v>1.78</v>
      </c>
      <c r="BQ126" s="24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4" cm="1">
        <f t="array" ref="BR126">1+$B$14+VLOOKUP($Q126,武学奇术!$A:$ZZ,20,FALSE)+SUM(_xlfn.XLOOKUP($R126:$AK126,增益!$A:$A,增益!$T:$T,0))</f>
        <v>1.35</v>
      </c>
      <c r="BS126" s="24">
        <f t="shared" si="43"/>
        <v>0.9071</v>
      </c>
      <c r="BT126" s="24">
        <f t="shared" si="44"/>
        <v>0</v>
      </c>
      <c r="BU126" s="24">
        <f>IF(VLOOKUP($Q126,武学奇术!$A:$ZZ,22,FALSE)=1,0,(1-$BN126))*(1-$BQ126)</f>
        <v>0</v>
      </c>
      <c r="BV126" s="24" cm="1">
        <f t="array" ref="BV126">SUM(_xlfn.XLOOKUP($R126:$AK126,增益!$A:$A,增益!$W:$W,0))+$I$5</f>
        <v>0.06</v>
      </c>
    </row>
    <row r="127" spans="1:74">
      <c r="K127" s="38">
        <f t="shared" si="34"/>
        <v>13377.0886152917</v>
      </c>
      <c r="L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弹道",$B$21,0))*(1+$BV127)</f>
        <v>13460.4486490553</v>
      </c>
      <c r="M127" s="38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弹道",$B$21,0))*(1+$BV127)</f>
        <v>12563.1393512766</v>
      </c>
      <c r="N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弹道",$B$21,0))*(1+$BV127)</f>
        <v>8573.53417137281</v>
      </c>
      <c r="O127" s="38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弹道",$B$21,0))*(1+$BV127)</f>
        <v>7841.03919365181</v>
      </c>
      <c r="P127" s="39">
        <f t="shared" si="45"/>
        <v>1</v>
      </c>
      <c r="Q127" s="40" t="s">
        <v>197</v>
      </c>
      <c r="R127" s="40" t="s">
        <v>97</v>
      </c>
      <c r="S127" s="40" t="s">
        <v>167</v>
      </c>
      <c r="T127" s="40" t="s">
        <v>78</v>
      </c>
      <c r="U127" s="40" t="s">
        <v>90</v>
      </c>
      <c r="V127" s="40" t="s">
        <v>78</v>
      </c>
      <c r="W127" s="40" t="s">
        <v>78</v>
      </c>
      <c r="X127" s="40" t="s">
        <v>78</v>
      </c>
      <c r="Y127" s="40" t="s">
        <v>78</v>
      </c>
      <c r="Z127" s="40" t="s">
        <v>78</v>
      </c>
      <c r="AA127" s="40" t="s">
        <v>78</v>
      </c>
      <c r="AB127" s="40" t="s">
        <v>78</v>
      </c>
      <c r="AC127" s="40" t="s">
        <v>78</v>
      </c>
      <c r="AD127" s="40" t="s">
        <v>78</v>
      </c>
      <c r="AE127" s="40" t="s">
        <v>78</v>
      </c>
      <c r="AF127" s="40" t="s">
        <v>78</v>
      </c>
      <c r="AG127" s="40" t="s">
        <v>78</v>
      </c>
      <c r="AH127" s="40" t="s">
        <v>78</v>
      </c>
      <c r="AI127" s="40" t="s">
        <v>78</v>
      </c>
      <c r="AJ127" s="40" t="s">
        <v>78</v>
      </c>
      <c r="AK127" s="40" t="s">
        <v>78</v>
      </c>
      <c r="AL127" t="str">
        <f>VLOOKUP($Q127,武学奇术!$A:$ZZ,25,FALSE)</f>
        <v>心法</v>
      </c>
      <c r="AM127" s="24">
        <f>VLOOKUP($Q127,武学奇术!$A:$ZZ,26,FALSE)</f>
        <v>1</v>
      </c>
      <c r="AN127" s="25">
        <f>VLOOKUP($Q127,武学奇术!$A:$ZZ,27,FALSE)*(1+IF(OR($AL127=$F$4,$AL127=$F$5),$B$22,0))</f>
        <v>0</v>
      </c>
      <c r="AO127" s="24">
        <f>VLOOKUP($Q127,武学奇术!$A:$ZZ,28,FALSE)</f>
        <v>1</v>
      </c>
      <c r="AP127" s="25">
        <f>VLOOKUP($Q127,武学奇术!$A:$ZZ,29,FALSE)*(1+IF(OR($AL127=$F$4,$AL127=$F$5),$B$22,0))</f>
        <v>0</v>
      </c>
      <c r="AQ127" s="24" cm="1">
        <f t="array" ref="AQ127">$G$3+IFERROR(VLOOKUP($AL127,$F$4:$G$7,2,FALSE),0)+VLOOKUP($Q127,武学奇术!$A:$ZZ,2,FALSE)+SUM(_xlfn.XLOOKUP($R127:$AK127,增益!$A:$A,增益!$B:$B,0))</f>
        <v>0.2337</v>
      </c>
      <c r="AR127" s="24" cm="1">
        <f t="array" ref="AR127">VLOOKUP($Q127,武学奇术!$A:$ZZ,5,FALSE)+SUM(_xlfn.XLOOKUP($R127:$AK127,增益!$A:$A,增益!$E:$E,0))</f>
        <v>0.075</v>
      </c>
      <c r="AS127" cm="1">
        <f t="array" ref="AS127">$D$10*(1+$AR127)+VLOOKUP($Q127,武学奇术!$A:$ZZ,3,FALSE)+SUM(_xlfn.XLOOKUP($R127:$AK127,增益!$A:$A,增益!$C:$C,0))-$I$2</f>
        <v>4100.3171</v>
      </c>
      <c r="AT127" cm="1">
        <f t="array" ref="AT127">$E$10*(1+$AR127)+VLOOKUP($Q127,武学奇术!$A:$ZZ,4,FALSE)+SUM(_xlfn.XLOOKUP($R127:$AK127,增益!$A:$A,增益!$D:$D,0))-$I$2</f>
        <v>4100.3171</v>
      </c>
      <c r="AU127" s="32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0.2925</v>
      </c>
      <c r="AV127" s="32" cm="1">
        <f t="array" ref="AV127">$G$10+VLOOKUP($Q127,武学奇术!$A:$ZZ,7,FALSE)+SUM(_xlfn.XLOOKUP($R127:$AK127,增益!$A:$A,增益!$G:$G,0))</f>
        <v>0</v>
      </c>
      <c r="AW127" s="24" cm="1">
        <f t="array" ref="AW127">VLOOKUP($Q127,武学奇术!$A:$ZZ,8,FALSE)+SUM(_xlfn.XLOOKUP($R127:$AK127,增益!$A:$A,增益!$H:$H,0))</f>
        <v>0</v>
      </c>
      <c r="AX127">
        <f t="shared" si="35"/>
        <v>0</v>
      </c>
      <c r="AY127">
        <f t="shared" si="36"/>
        <v>0</v>
      </c>
      <c r="AZ127" s="32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-0.3</v>
      </c>
      <c r="BA127" s="32" cm="1">
        <f t="array" ref="BA127">$G$11+VLOOKUP($Q127,武学奇术!$A:$ZZ,10,FALSE)+SUM(_xlfn.XLOOKUP($R127:$AK127,增益!$A:$A,增益!$J:$J,0))</f>
        <v>0</v>
      </c>
      <c r="BB127">
        <f t="shared" si="37"/>
        <v>0</v>
      </c>
      <c r="BC127">
        <f t="shared" si="38"/>
        <v>0</v>
      </c>
      <c r="BD127" s="32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-0.3</v>
      </c>
      <c r="BE127" s="32" cm="1">
        <f t="array" ref="BE127">$G$12+VLOOKUP($Q127,武学奇术!$A:$ZZ,12,FALSE)+SUM(_xlfn.XLOOKUP($R127:$AK127,增益!$A:$A,增益!$L:$L,0))</f>
        <v>0</v>
      </c>
      <c r="BF127">
        <f t="shared" si="39"/>
        <v>605.472</v>
      </c>
      <c r="BG127">
        <f t="shared" si="40"/>
        <v>1579.612</v>
      </c>
      <c r="BH127" s="32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0</v>
      </c>
      <c r="BI127" s="32" cm="1">
        <f t="array" ref="BI127">$G$13+VLOOKUP($Q127,武学奇术!$A:$ZZ,14,FALSE)+SUM(_xlfn.XLOOKUP($R127:$AK127,增益!$A:$A,增益!$N:$N,0))</f>
        <v>0.15</v>
      </c>
      <c r="BJ127">
        <f t="shared" si="41"/>
        <v>0</v>
      </c>
      <c r="BK127">
        <f t="shared" si="42"/>
        <v>0</v>
      </c>
      <c r="BL127" s="32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-0.3</v>
      </c>
      <c r="BM127" s="32" cm="1">
        <f t="array" ref="BM127">$G$14+VLOOKUP($Q127,武学奇术!$A:$ZZ,16,FALSE)+SUM(_xlfn.XLOOKUP($R127:$AK127,增益!$A:$A,增益!$P:$P,0))</f>
        <v>0</v>
      </c>
      <c r="BN127" s="24">
        <f>MIN(IF(VLOOKUP($Q127,武学奇术!$A:$ZZ,23,FALSE)=1,100%,$B$8),100%)</f>
        <v>1</v>
      </c>
      <c r="BO127" s="24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0.9093</v>
      </c>
      <c r="BP127" s="24" cm="1">
        <f t="array" ref="BP127">1+$B$13+VLOOKUP($Q127,武学奇术!$A:$ZZ,18,FALSE)+SUM(_xlfn.XLOOKUP($R127:$AK127,增益!$A:$A,增益!$R:$R,0))</f>
        <v>1.57</v>
      </c>
      <c r="BQ127" s="24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4" cm="1">
        <f t="array" ref="BR127">1+$B$14+VLOOKUP($Q127,武学奇术!$A:$ZZ,20,FALSE)+SUM(_xlfn.XLOOKUP($R127:$AK127,增益!$A:$A,增益!$T:$T,0))</f>
        <v>1.35</v>
      </c>
      <c r="BS127" s="24">
        <f t="shared" si="43"/>
        <v>0.9071</v>
      </c>
      <c r="BT127" s="24">
        <f t="shared" si="44"/>
        <v>0</v>
      </c>
      <c r="BU127" s="24">
        <f>IF(VLOOKUP($Q127,武学奇术!$A:$ZZ,22,FALSE)=1,0,(1-$BN127))*(1-$BQ127)</f>
        <v>0</v>
      </c>
      <c r="BV127" s="24" cm="1">
        <f t="array" ref="BV127">SUM(_xlfn.XLOOKUP($R127:$AK127,增益!$A:$A,增益!$W:$W,0))+$I$5</f>
        <v>0.06</v>
      </c>
    </row>
    <row r="128" spans="1:74">
      <c r="K128" s="38">
        <f t="shared" si="34"/>
        <v>14481.1703321407</v>
      </c>
      <c r="L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BP128*$P128*(1+IF(VLOOKUP($Q128,武学奇术!$A:$ZZ,30,FALSE)="弹道",$B$21,0))*(1+$BV128)</f>
        <v>14601.2507550004</v>
      </c>
      <c r="M128" s="38">
        <f>(($AT128*$AM128+$AN128)*(1+$AU128)*(1+$AV128)+($AY128*IF($G$1="鸣金",$AO128,$AM128)+IF($G$1="鸣金",$AP128*1.5,0))*(1+$AZ128)*(1+$BA128)+($BC128*IF($G$1="裂石",$AO128,$AM128)+IF($G$1="裂石",$AP128*1.5,0))*(1+$BD128)*(1+$BE128)+($BG128*IF($G$1="牵丝",$AO128,$AM128)+IF($G$1="牵丝",$AP128*1.5,0))*(1+$BH128)*(1+$BI128)+($BK128*IF($G$1="破竹",$AO128,$AM128)+IF($G$1="破竹",$AP128*1.5,0))*(1+$BL128)*(1+$BM128))*(1+$AQ128)*$BR128*$P128*(1+IF(VLOOKUP($Q128,武学奇术!$A:$ZZ,30,FALSE)="弹道",$B$21,0))*(1+$BV128)</f>
        <v>13308.6735444549</v>
      </c>
      <c r="N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P128*(1+IF(VLOOKUP($Q128,武学奇术!$A:$ZZ,30,FALSE)="弹道",$B$21,0))*(1+$BV128)</f>
        <v>9125.78172187525</v>
      </c>
      <c r="O128" s="38">
        <f>((($AS128*$AM128+$AN128)*(1+$AU128)*(1+$AV128)+($AX128*IF($G$1="鸣金",$AO128,$AM128)+IF($G$1="鸣金",$AP128*1.5,0))*(1+$AZ128)*(1+$BA128)+($BB128*IF($G$1="裂石",$AO128,$AM128)+IF($G$1="裂石",$AP128*1.5,0))*(1+$BD128)*(1+$BE128)+($BF128*IF($G$1="牵丝",$AO128,$AM128)+IF($G$1="牵丝",$AP128*1.5,0))*(1+$BH128)*(1+$BI128)+($BJ128*IF($G$1="破竹",$AO128,$AM128)+IF($G$1="破竹",$AP128*1.5,0))*(1+$BL128)*(1+$BM128))*(1+$AQ128))*$P128*(1+IF(VLOOKUP($Q128,武学奇术!$A:$ZZ,30,FALSE)="弹道",$B$21,0))*(1+$BV128)</f>
        <v>8393.28674415425</v>
      </c>
      <c r="P128" s="39">
        <f t="shared" si="45"/>
        <v>1</v>
      </c>
      <c r="Q128" s="40" t="s">
        <v>197</v>
      </c>
      <c r="R128" s="40" t="s">
        <v>97</v>
      </c>
      <c r="S128" s="40" t="s">
        <v>176</v>
      </c>
      <c r="T128" s="40" t="s">
        <v>78</v>
      </c>
      <c r="U128" s="40" t="s">
        <v>171</v>
      </c>
      <c r="V128" s="40" t="s">
        <v>78</v>
      </c>
      <c r="W128" s="40" t="s">
        <v>78</v>
      </c>
      <c r="X128" s="40" t="s">
        <v>78</v>
      </c>
      <c r="Y128" s="40" t="s">
        <v>78</v>
      </c>
      <c r="Z128" s="40" t="s">
        <v>78</v>
      </c>
      <c r="AA128" s="40" t="s">
        <v>78</v>
      </c>
      <c r="AB128" s="40" t="s">
        <v>84</v>
      </c>
      <c r="AC128" s="40" t="s">
        <v>78</v>
      </c>
      <c r="AD128" s="40" t="s">
        <v>78</v>
      </c>
      <c r="AE128" s="40" t="s">
        <v>78</v>
      </c>
      <c r="AF128" s="40" t="s">
        <v>78</v>
      </c>
      <c r="AG128" s="40" t="s">
        <v>78</v>
      </c>
      <c r="AH128" s="40" t="s">
        <v>78</v>
      </c>
      <c r="AI128" s="40" t="s">
        <v>78</v>
      </c>
      <c r="AJ128" s="40" t="s">
        <v>78</v>
      </c>
      <c r="AK128" s="40" t="s">
        <v>78</v>
      </c>
      <c r="AL128" t="str">
        <f>VLOOKUP($Q128,武学奇术!$A:$ZZ,25,FALSE)</f>
        <v>心法</v>
      </c>
      <c r="AM128" s="24">
        <f>VLOOKUP($Q128,武学奇术!$A:$ZZ,26,FALSE)</f>
        <v>1</v>
      </c>
      <c r="AN128" s="25">
        <f>VLOOKUP($Q128,武学奇术!$A:$ZZ,27,FALSE)*(1+IF(OR($AL128=$F$4,$AL128=$F$5),$B$22,0))</f>
        <v>0</v>
      </c>
      <c r="AO128" s="24">
        <f>VLOOKUP($Q128,武学奇术!$A:$ZZ,28,FALSE)</f>
        <v>1</v>
      </c>
      <c r="AP128" s="25">
        <f>VLOOKUP($Q128,武学奇术!$A:$ZZ,29,FALSE)*(1+IF(OR($AL128=$F$4,$AL128=$F$5),$B$22,0))</f>
        <v>0</v>
      </c>
      <c r="AQ128" s="24" cm="1">
        <f t="array" ref="AQ128">$G$3+IFERROR(VLOOKUP($AL128,$F$4:$G$7,2,FALSE),0)+VLOOKUP($Q128,武学奇术!$A:$ZZ,2,FALSE)+SUM(_xlfn.XLOOKUP($R128:$AK128,增益!$A:$A,增益!$B:$B,0))</f>
        <v>0.2337</v>
      </c>
      <c r="AR128" s="24" cm="1">
        <f t="array" ref="AR128">VLOOKUP($Q128,武学奇术!$A:$ZZ,5,FALSE)+SUM(_xlfn.XLOOKUP($R128:$AK128,增益!$A:$A,增益!$E:$E,0))</f>
        <v>0.15</v>
      </c>
      <c r="AS128" cm="1">
        <f t="array" ref="AS128">$D$10*(1+$AR128)+VLOOKUP($Q128,武学奇术!$A:$ZZ,3,FALSE)+SUM(_xlfn.XLOOKUP($R128:$AK128,增益!$A:$A,增益!$C:$C,0))-$I$2</f>
        <v>4427.0462</v>
      </c>
      <c r="AT128" cm="1">
        <f t="array" ref="AT128">$E$10*(1+$AR128)+VLOOKUP($Q128,武学奇术!$A:$ZZ,4,FALSE)+SUM(_xlfn.XLOOKUP($R128:$AK128,增益!$A:$A,增益!$D:$D,0))-$I$2</f>
        <v>4427.0462</v>
      </c>
      <c r="AU128" s="32" cm="1">
        <f t="array" ref="AU128">IF($F$10-$I$3+VLOOKUP($Q128,武学奇术!$A:$ZZ,6,FALSE)+SUM(_xlfn.XLOOKUP($R128:$AK128,增益!$A:$A,增益!$F:$F,0))&gt;0,($F$10-$I$3+VLOOKUP($Q128,武学奇术!$A:$ZZ,6,FALSE)+SUM(_xlfn.XLOOKUP($R128:$AK128,增益!$A:$A,增益!$F:$F,0)))/200,($F$10-$I$3+VLOOKUP($Q128,武学奇术!$A:$ZZ,6,FALSE)+SUM(_xlfn.XLOOKUP($R128:$AK128,增益!$A:$A,增益!$F:$F,0)))/100)</f>
        <v>0.2925</v>
      </c>
      <c r="AV128" s="32" cm="1">
        <f t="array" ref="AV128">$G$10+VLOOKUP($Q128,武学奇术!$A:$ZZ,7,FALSE)+SUM(_xlfn.XLOOKUP($R128:$AK128,增益!$A:$A,增益!$G:$G,0))</f>
        <v>0</v>
      </c>
      <c r="AW128" s="24" cm="1">
        <f t="array" ref="AW128">VLOOKUP($Q128,武学奇术!$A:$ZZ,8,FALSE)+SUM(_xlfn.XLOOKUP($R128:$AK128,增益!$A:$A,增益!$H:$H,0))</f>
        <v>0</v>
      </c>
      <c r="AX128">
        <f t="shared" si="35"/>
        <v>0</v>
      </c>
      <c r="AY128">
        <f t="shared" si="36"/>
        <v>0</v>
      </c>
      <c r="AZ128" s="32" cm="1">
        <f t="array" ref="AZ128">IF($F$11-$I$4+VLOOKUP($Q128,武学奇术!$A:$ZZ,9,FALSE)+SUM(_xlfn.XLOOKUP($R128:$AK128,增益!$A:$A,增益!$I:$I,0))&gt;0,($F$11-$I$4+VLOOKUP($Q128,武学奇术!$A:$ZZ,9,FALSE)+SUM(_xlfn.XLOOKUP($R128:$AK128,增益!$A:$A,增益!$I:$I,0)))/200,($F$11-$I$4+VLOOKUP($Q128,武学奇术!$A:$ZZ,9,FALSE)+SUM(_xlfn.XLOOKUP($R128:$AK128,增益!$A:$A,增益!$I:$I,0)))/100)</f>
        <v>-0.3</v>
      </c>
      <c r="BA128" s="32" cm="1">
        <f t="array" ref="BA128">$G$11+VLOOKUP($Q128,武学奇术!$A:$ZZ,10,FALSE)+SUM(_xlfn.XLOOKUP($R128:$AK128,增益!$A:$A,增益!$J:$J,0))</f>
        <v>0</v>
      </c>
      <c r="BB128">
        <f t="shared" si="37"/>
        <v>0</v>
      </c>
      <c r="BC128">
        <f t="shared" si="38"/>
        <v>0</v>
      </c>
      <c r="BD128" s="32" cm="1">
        <f t="array" ref="BD128">IF($F$12-$I$4+VLOOKUP($Q128,武学奇术!$A:$ZZ,11,FALSE)+SUM(_xlfn.XLOOKUP($R128:$AK128,增益!$A:$A,增益!$K:$K,0))&gt;0,($F$12-$I$4+VLOOKUP($Q128,武学奇术!$A:$ZZ,11,FALSE)+SUM(_xlfn.XLOOKUP($R128:$AK128,增益!$A:$A,增益!$K:$K,0)))/200,($F$12-$I$4+VLOOKUP($Q128,武学奇术!$A:$ZZ,11,FALSE)+SUM(_xlfn.XLOOKUP($R128:$AK128,增益!$A:$A,增益!$K:$K,0)))/100)</f>
        <v>-0.3</v>
      </c>
      <c r="BE128" s="32" cm="1">
        <f t="array" ref="BE128">$G$12+VLOOKUP($Q128,武学奇术!$A:$ZZ,12,FALSE)+SUM(_xlfn.XLOOKUP($R128:$AK128,增益!$A:$A,增益!$L:$L,0))</f>
        <v>0</v>
      </c>
      <c r="BF128">
        <f t="shared" si="39"/>
        <v>605.472</v>
      </c>
      <c r="BG128">
        <f t="shared" si="40"/>
        <v>1579.612</v>
      </c>
      <c r="BH128" s="32" cm="1">
        <f t="array" ref="BH128">IF($F$13-$I$4+VLOOKUP($Q128,武学奇术!$A:$ZZ,13,FALSE)+SUM(_xlfn.XLOOKUP($R128:$AK128,增益!$A:$A,增益!$M:$M,0))&gt;0,($F$13-$I$4+VLOOKUP($Q128,武学奇术!$A:$ZZ,13,FALSE)+SUM(_xlfn.XLOOKUP($R128:$AK128,增益!$A:$A,增益!$K:$K,0)))/200,($F$13-$I$4+VLOOKUP($Q128,武学奇术!$A:$ZZ,13,FALSE)+SUM(_xlfn.XLOOKUP($R128:$AK128,增益!$A:$A,增益!$M:$M,0)))/100)</f>
        <v>0</v>
      </c>
      <c r="BI128" s="32" cm="1">
        <f t="array" ref="BI128">$G$13+VLOOKUP($Q128,武学奇术!$A:$ZZ,14,FALSE)+SUM(_xlfn.XLOOKUP($R128:$AK128,增益!$A:$A,增益!$N:$N,0))</f>
        <v>0.15</v>
      </c>
      <c r="BJ128">
        <f t="shared" si="41"/>
        <v>0</v>
      </c>
      <c r="BK128">
        <f t="shared" si="42"/>
        <v>0</v>
      </c>
      <c r="BL128" s="32" cm="1">
        <f t="array" ref="BL128">IF($F$14-$I$4+VLOOKUP($Q128,武学奇术!$A:$ZZ,15,FALSE)+SUM(_xlfn.XLOOKUP($R128:$AK128,增益!$A:$A,增益!$O:$O,0))&gt;0,($F$14-$I$4+VLOOKUP($Q128,武学奇术!$A:$ZZ,15,FALSE)+SUM(_xlfn.XLOOKUP($R128:$AK128,增益!$A:$A,增益!$O:$O,0)))/200,($F$14-$I$4+VLOOKUP($Q128,武学奇术!$A:$ZZ,15,FALSE)+SUM(_xlfn.XLOOKUP($R128:$AK128,增益!$A:$A,增益!$O:$O,0)))/100)</f>
        <v>-0.3</v>
      </c>
      <c r="BM128" s="32" cm="1">
        <f t="array" ref="BM128">$G$14+VLOOKUP($Q128,武学奇术!$A:$ZZ,16,FALSE)+SUM(_xlfn.XLOOKUP($R128:$AK128,增益!$A:$A,增益!$P:$P,0))</f>
        <v>0</v>
      </c>
      <c r="BN128" s="24">
        <f>MIN(IF(VLOOKUP($Q128,武学奇术!$A:$ZZ,23,FALSE)=1,100%,$B$8),100%)</f>
        <v>1</v>
      </c>
      <c r="BO128" s="24" cm="1">
        <f t="array" ref="BO128">IF(VLOOKUP($Q128,武学奇术!$A:$ZZ,23,FALSE)=1,100%,MIN(80%,$B$9+VLOOKUP($Q128,武学奇术!$A:$ZZ,17,FALSE)+SUM(_xlfn.XLOOKUP($R128:$AK128,增益!$A:$A,增益!$Q:$Q,0)))+$B$11+SUM(_xlfn.XLOOKUP($R128:$AK128,增益!$A:$A,增益!$U:$U,0)))*IF(VLOOKUP($Q128,武学奇术!$A:$ZZ,24,FALSE)=1,0,1)</f>
        <v>0.9093</v>
      </c>
      <c r="BP128" s="24" cm="1">
        <f t="array" ref="BP128">1+$B$13+VLOOKUP($Q128,武学奇术!$A:$ZZ,18,FALSE)+SUM(_xlfn.XLOOKUP($R128:$AK128,增益!$A:$A,增益!$R:$R,0))</f>
        <v>1.6</v>
      </c>
      <c r="BQ128" s="24" cm="1">
        <f t="array" ref="BQ128">IF(VLOOKUP($Q128,武学奇术!$A:$ZZ,24,FALSE)=1,100%,MIN(40%,$B$10+VLOOKUP($Q128,武学奇术!$A:$ZZ,19,FALSE)+SUM(_xlfn.XLOOKUP($R128:$AK128,增益!$A:$A,增益!$S:$S,0)))+$B$12+SUM(_xlfn.XLOOKUP($R128:$AK128,增益!$A:$A,增益!$V:$V,0)))*IF(VLOOKUP($Q128,武学奇术!$A:$ZZ,23,FALSE)=1,0,1)</f>
        <v>0.0929</v>
      </c>
      <c r="BR128" s="24" cm="1">
        <f t="array" ref="BR128">1+$B$14+VLOOKUP($Q128,武学奇术!$A:$ZZ,20,FALSE)+SUM(_xlfn.XLOOKUP($R128:$AK128,增益!$A:$A,增益!$T:$T,0))</f>
        <v>1.35</v>
      </c>
      <c r="BS128" s="24">
        <f t="shared" si="43"/>
        <v>0.9071</v>
      </c>
      <c r="BT128" s="24">
        <f t="shared" si="44"/>
        <v>0</v>
      </c>
      <c r="BU128" s="24">
        <f>IF(VLOOKUP($Q128,武学奇术!$A:$ZZ,22,FALSE)=1,0,(1-$BN128))*(1-$BQ128)</f>
        <v>0</v>
      </c>
      <c r="BV128" s="24" cm="1">
        <f t="array" ref="BV128">SUM(_xlfn.XLOOKUP($R128:$AK128,增益!$A:$A,增益!$W:$W,0))+$I$5</f>
        <v>0.06</v>
      </c>
    </row>
    <row r="129" spans="11:74">
      <c r="K129" s="38">
        <f t="shared" si="34"/>
        <v>21224.8679475376</v>
      </c>
      <c r="L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BP129*$P129*(1+IF(VLOOKUP($Q129,武学奇术!$A:$ZZ,30,FALSE)="弹道",$B$21,0))*(1+$BV129)</f>
        <v>21659.4979246819</v>
      </c>
      <c r="M129" s="38">
        <f>(($AT129*$AM129+$AN129)*(1+$AU129)*(1+$AV129)+($AY129*IF($G$1="鸣金",$AO129,$AM129)+IF($G$1="鸣金",$AP129*1.5,0))*(1+$AZ129)*(1+$BA129)+($BC129*IF($G$1="裂石",$AO129,$AM129)+IF($G$1="裂石",$AP129*1.5,0))*(1+$BD129)*(1+$BE129)+($BG129*IF($G$1="牵丝",$AO129,$AM129)+IF($G$1="牵丝",$AP129*1.5,0))*(1+$BH129)*(1+$BI129)+($BK129*IF($G$1="破竹",$AO129,$AM129)+IF($G$1="破竹",$AP129*1.5,0))*(1+$BL129)*(1+$BM129))*(1+$AQ129)*$BR129*$P129*(1+IF(VLOOKUP($Q129,武学奇术!$A:$ZZ,30,FALSE)="弹道",$B$21,0))*(1+$BV129)</f>
        <v>16981.0266960026</v>
      </c>
      <c r="N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P129*(1+IF(VLOOKUP($Q129,武学奇术!$A:$ZZ,30,FALSE)="弹道",$B$21,0))*(1+$BV129)</f>
        <v>11707.8367160443</v>
      </c>
      <c r="O129" s="38">
        <f>((($AS129*$AM129+$AN129)*(1+$AU129)*(1+$AV129)+($AX129*IF($G$1="鸣金",$AO129,$AM129)+IF($G$1="鸣金",$AP129*1.5,0))*(1+$AZ129)*(1+$BA129)+($BB129*IF($G$1="裂石",$AO129,$AM129)+IF($G$1="裂石",$AP129*1.5,0))*(1+$BD129)*(1+$BE129)+($BF129*IF($G$1="牵丝",$AO129,$AM129)+IF($G$1="牵丝",$AP129*1.5,0))*(1+$BH129)*(1+$BI129)+($BJ129*IF($G$1="破竹",$AO129,$AM129)+IF($G$1="破竹",$AP129*1.5,0))*(1+$BL129)*(1+$BM129))*(1+$AQ129))*$P129*(1+IF(VLOOKUP($Q129,武学奇术!$A:$ZZ,30,FALSE)="弹道",$B$21,0))*(1+$BV129)</f>
        <v>10837.1351387533</v>
      </c>
      <c r="P129" s="39">
        <f t="shared" si="45"/>
        <v>1</v>
      </c>
      <c r="Q129" s="40" t="s">
        <v>197</v>
      </c>
      <c r="R129" s="40" t="s">
        <v>97</v>
      </c>
      <c r="S129" s="40" t="s">
        <v>176</v>
      </c>
      <c r="T129" s="40" t="s">
        <v>78</v>
      </c>
      <c r="U129" s="40" t="s">
        <v>171</v>
      </c>
      <c r="V129" s="40" t="s">
        <v>78</v>
      </c>
      <c r="W129" s="40" t="s">
        <v>78</v>
      </c>
      <c r="X129" s="40" t="s">
        <v>78</v>
      </c>
      <c r="Y129" s="40" t="s">
        <v>184</v>
      </c>
      <c r="Z129" s="40" t="s">
        <v>78</v>
      </c>
      <c r="AA129" s="40" t="s">
        <v>78</v>
      </c>
      <c r="AB129" s="40" t="s">
        <v>78</v>
      </c>
      <c r="AC129" s="40" t="s">
        <v>185</v>
      </c>
      <c r="AD129" s="40" t="s">
        <v>186</v>
      </c>
      <c r="AE129" s="40" t="s">
        <v>78</v>
      </c>
      <c r="AF129" s="40" t="s">
        <v>78</v>
      </c>
      <c r="AG129" s="40" t="s">
        <v>78</v>
      </c>
      <c r="AH129" s="40" t="s">
        <v>78</v>
      </c>
      <c r="AI129" s="40" t="s">
        <v>78</v>
      </c>
      <c r="AJ129" s="40" t="s">
        <v>78</v>
      </c>
      <c r="AK129" s="40" t="s">
        <v>188</v>
      </c>
      <c r="AL129" t="str">
        <f>VLOOKUP($Q129,武学奇术!$A:$ZZ,25,FALSE)</f>
        <v>心法</v>
      </c>
      <c r="AM129" s="24">
        <f>VLOOKUP($Q129,武学奇术!$A:$ZZ,26,FALSE)</f>
        <v>1</v>
      </c>
      <c r="AN129" s="25">
        <f>VLOOKUP($Q129,武学奇术!$A:$ZZ,27,FALSE)*(1+IF(OR($AL129=$F$4,$AL129=$F$5),$B$22,0))</f>
        <v>0</v>
      </c>
      <c r="AO129" s="24">
        <f>VLOOKUP($Q129,武学奇术!$A:$ZZ,28,FALSE)</f>
        <v>1</v>
      </c>
      <c r="AP129" s="25">
        <f>VLOOKUP($Q129,武学奇术!$A:$ZZ,29,FALSE)*(1+IF(OR($AL129=$F$4,$AL129=$F$5),$B$22,0))</f>
        <v>0</v>
      </c>
      <c r="AQ129" s="24" cm="1">
        <f t="array" ref="AQ129">$G$3+IFERROR(VLOOKUP($AL129,$F$4:$G$7,2,FALSE),0)+VLOOKUP($Q129,武学奇术!$A:$ZZ,2,FALSE)+SUM(_xlfn.XLOOKUP($R129:$AK129,增益!$A:$A,增益!$B:$B,0))</f>
        <v>0.2337</v>
      </c>
      <c r="AR129" s="24" cm="1">
        <f t="array" ref="AR129">VLOOKUP($Q129,武学奇术!$A:$ZZ,5,FALSE)+SUM(_xlfn.XLOOKUP($R129:$AK129,增益!$A:$A,增益!$E:$E,0))</f>
        <v>0.15</v>
      </c>
      <c r="AS129" cm="1">
        <f t="array" ref="AS129">$D$10*(1+$AR129)+VLOOKUP($Q129,武学奇术!$A:$ZZ,3,FALSE)+SUM(_xlfn.XLOOKUP($R129:$AK129,增益!$A:$A,增益!$C:$C,0))-$I$2</f>
        <v>4427.0462</v>
      </c>
      <c r="AT129" cm="1">
        <f t="array" ref="AT129">$E$10*(1+$AR129)+VLOOKUP($Q129,武学奇术!$A:$ZZ,4,FALSE)+SUM(_xlfn.XLOOKUP($R129:$AK129,增益!$A:$A,增益!$D:$D,0))-$I$2</f>
        <v>4427.0462</v>
      </c>
      <c r="AU129" s="32" cm="1">
        <f t="array" ref="AU129">IF($F$10-$I$3+VLOOKUP($Q129,武学奇术!$A:$ZZ,6,FALSE)+SUM(_xlfn.XLOOKUP($R129:$AK129,增益!$A:$A,增益!$F:$F,0))&gt;0,($F$10-$I$3+VLOOKUP($Q129,武学奇术!$A:$ZZ,6,FALSE)+SUM(_xlfn.XLOOKUP($R129:$AK129,增益!$A:$A,增益!$F:$F,0)))/200,($F$10-$I$3+VLOOKUP($Q129,武学奇术!$A:$ZZ,6,FALSE)+SUM(_xlfn.XLOOKUP($R129:$AK129,增益!$A:$A,增益!$F:$F,0)))/100)</f>
        <v>0.4175</v>
      </c>
      <c r="AV129" s="32" cm="1">
        <f t="array" ref="AV129">$G$10+VLOOKUP($Q129,武学奇术!$A:$ZZ,7,FALSE)+SUM(_xlfn.XLOOKUP($R129:$AK129,增益!$A:$A,增益!$G:$G,0))</f>
        <v>0</v>
      </c>
      <c r="AW129" s="24" cm="1">
        <f t="array" ref="AW129">VLOOKUP($Q129,武学奇术!$A:$ZZ,8,FALSE)+SUM(_xlfn.XLOOKUP($R129:$AK129,增益!$A:$A,增益!$H:$H,0))</f>
        <v>0</v>
      </c>
      <c r="AX129">
        <f t="shared" si="35"/>
        <v>0</v>
      </c>
      <c r="AY129">
        <f t="shared" si="36"/>
        <v>0</v>
      </c>
      <c r="AZ129" s="32" cm="1">
        <f t="array" ref="AZ129">IF($F$11-$I$4+VLOOKUP($Q129,武学奇术!$A:$ZZ,9,FALSE)+SUM(_xlfn.XLOOKUP($R129:$AK129,增益!$A:$A,增益!$I:$I,0))&gt;0,($F$11-$I$4+VLOOKUP($Q129,武学奇术!$A:$ZZ,9,FALSE)+SUM(_xlfn.XLOOKUP($R129:$AK129,增益!$A:$A,增益!$I:$I,0)))/200,($F$11-$I$4+VLOOKUP($Q129,武学奇术!$A:$ZZ,9,FALSE)+SUM(_xlfn.XLOOKUP($R129:$AK129,增益!$A:$A,增益!$I:$I,0)))/100)</f>
        <v>-0.3</v>
      </c>
      <c r="BA129" s="32" cm="1">
        <f t="array" ref="BA129">$G$11+VLOOKUP($Q129,武学奇术!$A:$ZZ,10,FALSE)+SUM(_xlfn.XLOOKUP($R129:$AK129,增益!$A:$A,增益!$J:$J,0))</f>
        <v>0</v>
      </c>
      <c r="BB129">
        <f t="shared" si="37"/>
        <v>0</v>
      </c>
      <c r="BC129">
        <f t="shared" si="38"/>
        <v>0</v>
      </c>
      <c r="BD129" s="32" cm="1">
        <f t="array" ref="BD129">IF($F$12-$I$4+VLOOKUP($Q129,武学奇术!$A:$ZZ,11,FALSE)+SUM(_xlfn.XLOOKUP($R129:$AK129,增益!$A:$A,增益!$K:$K,0))&gt;0,($F$12-$I$4+VLOOKUP($Q129,武学奇术!$A:$ZZ,11,FALSE)+SUM(_xlfn.XLOOKUP($R129:$AK129,增益!$A:$A,增益!$K:$K,0)))/200,($F$12-$I$4+VLOOKUP($Q129,武学奇术!$A:$ZZ,11,FALSE)+SUM(_xlfn.XLOOKUP($R129:$AK129,增益!$A:$A,增益!$K:$K,0)))/100)</f>
        <v>-0.3</v>
      </c>
      <c r="BE129" s="32" cm="1">
        <f t="array" ref="BE129">$G$12+VLOOKUP($Q129,武学奇术!$A:$ZZ,12,FALSE)+SUM(_xlfn.XLOOKUP($R129:$AK129,增益!$A:$A,增益!$L:$L,0))</f>
        <v>0</v>
      </c>
      <c r="BF129">
        <f t="shared" si="39"/>
        <v>605.472</v>
      </c>
      <c r="BG129">
        <f t="shared" si="40"/>
        <v>1579.612</v>
      </c>
      <c r="BH129" s="32" cm="1">
        <f t="array" ref="BH129">IF($F$13-$I$4+VLOOKUP($Q129,武学奇术!$A:$ZZ,13,FALSE)+SUM(_xlfn.XLOOKUP($R129:$AK129,增益!$A:$A,增益!$M:$M,0))&gt;0,($F$13-$I$4+VLOOKUP($Q129,武学奇术!$A:$ZZ,13,FALSE)+SUM(_xlfn.XLOOKUP($R129:$AK129,增益!$A:$A,增益!$K:$K,0)))/200,($F$13-$I$4+VLOOKUP($Q129,武学奇术!$A:$ZZ,13,FALSE)+SUM(_xlfn.XLOOKUP($R129:$AK129,增益!$A:$A,增益!$M:$M,0)))/100)</f>
        <v>0</v>
      </c>
      <c r="BI129" s="32" cm="1">
        <f t="array" ref="BI129">$G$13+VLOOKUP($Q129,武学奇术!$A:$ZZ,14,FALSE)+SUM(_xlfn.XLOOKUP($R129:$AK129,增益!$A:$A,增益!$N:$N,0))</f>
        <v>0.15</v>
      </c>
      <c r="BJ129">
        <f t="shared" si="41"/>
        <v>0</v>
      </c>
      <c r="BK129">
        <f t="shared" si="42"/>
        <v>0</v>
      </c>
      <c r="BL129" s="32" cm="1">
        <f t="array" ref="BL129">IF($F$14-$I$4+VLOOKUP($Q129,武学奇术!$A:$ZZ,15,FALSE)+SUM(_xlfn.XLOOKUP($R129:$AK129,增益!$A:$A,增益!$O:$O,0))&gt;0,($F$14-$I$4+VLOOKUP($Q129,武学奇术!$A:$ZZ,15,FALSE)+SUM(_xlfn.XLOOKUP($R129:$AK129,增益!$A:$A,增益!$O:$O,0)))/200,($F$14-$I$4+VLOOKUP($Q129,武学奇术!$A:$ZZ,15,FALSE)+SUM(_xlfn.XLOOKUP($R129:$AK129,增益!$A:$A,增益!$O:$O,0)))/100)</f>
        <v>-0.3</v>
      </c>
      <c r="BM129" s="32" cm="1">
        <f t="array" ref="BM129">$G$14+VLOOKUP($Q129,武学奇术!$A:$ZZ,16,FALSE)+SUM(_xlfn.XLOOKUP($R129:$AK129,增益!$A:$A,增益!$P:$P,0))</f>
        <v>0</v>
      </c>
      <c r="BN129" s="24">
        <f>MIN(IF(VLOOKUP($Q129,武学奇术!$A:$ZZ,23,FALSE)=1,100%,$B$8),100%)</f>
        <v>1</v>
      </c>
      <c r="BO129" s="24" cm="1">
        <f t="array" ref="BO129">IF(VLOOKUP($Q129,武学奇术!$A:$ZZ,23,FALSE)=1,100%,MIN(80%,$B$9+VLOOKUP($Q129,武学奇术!$A:$ZZ,17,FALSE)+SUM(_xlfn.XLOOKUP($R129:$AK129,增益!$A:$A,增益!$Q:$Q,0)))+$B$11+SUM(_xlfn.XLOOKUP($R129:$AK129,增益!$A:$A,增益!$U:$U,0)))*IF(VLOOKUP($Q129,武学奇术!$A:$ZZ,24,FALSE)=1,0,1)</f>
        <v>0.9093</v>
      </c>
      <c r="BP129" s="24" cm="1">
        <f t="array" ref="BP129">1+$B$13+VLOOKUP($Q129,武学奇术!$A:$ZZ,18,FALSE)+SUM(_xlfn.XLOOKUP($R129:$AK129,增益!$A:$A,增益!$R:$R,0))</f>
        <v>1.85</v>
      </c>
      <c r="BQ129" s="24" cm="1">
        <f t="array" ref="BQ129">IF(VLOOKUP($Q129,武学奇术!$A:$ZZ,24,FALSE)=1,100%,MIN(40%,$B$10+VLOOKUP($Q129,武学奇术!$A:$ZZ,19,FALSE)+SUM(_xlfn.XLOOKUP($R129:$AK129,增益!$A:$A,增益!$S:$S,0)))+$B$12+SUM(_xlfn.XLOOKUP($R129:$AK129,增益!$A:$A,增益!$V:$V,0)))*IF(VLOOKUP($Q129,武学奇术!$A:$ZZ,23,FALSE)=1,0,1)</f>
        <v>0.0929</v>
      </c>
      <c r="BR129" s="24" cm="1">
        <f t="array" ref="BR129">1+$B$14+VLOOKUP($Q129,武学奇术!$A:$ZZ,20,FALSE)+SUM(_xlfn.XLOOKUP($R129:$AK129,增益!$A:$A,增益!$T:$T,0))</f>
        <v>1.35</v>
      </c>
      <c r="BS129" s="24">
        <f t="shared" si="43"/>
        <v>0.9071</v>
      </c>
      <c r="BT129" s="24">
        <f t="shared" si="44"/>
        <v>0</v>
      </c>
      <c r="BU129" s="24">
        <f>IF(VLOOKUP($Q129,武学奇术!$A:$ZZ,22,FALSE)=1,0,(1-$BN129))*(1-$BQ129)</f>
        <v>0</v>
      </c>
      <c r="BV129" s="24" cm="1">
        <f t="array" ref="BV129">SUM(_xlfn.XLOOKUP($R129:$AK129,增益!$A:$A,增益!$W:$W,0))+$I$5</f>
        <v>0.26</v>
      </c>
    </row>
    <row r="130" spans="11:74">
      <c r="K130" s="38">
        <f t="shared" si="34"/>
        <v>13610.4002006972</v>
      </c>
      <c r="L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BP130*$P130*(1+IF(VLOOKUP($Q130,武学奇术!$A:$ZZ,30,FALSE)="弹道",$B$21,0))*(1+$BV130)</f>
        <v>13717.6546741965</v>
      </c>
      <c r="M130" s="38">
        <f>(($AT130*$AM130+$AN130)*(1+$AU130)*(1+$AV130)+($AY130*IF($G$1="鸣金",$AO130,$AM130)+IF($G$1="鸣金",$AP130*1.5,0))*(1+$AZ130)*(1+$BA130)+($BC130*IF($G$1="裂石",$AO130,$AM130)+IF($G$1="裂石",$AP130*1.5,0))*(1+$BD130)*(1+$BE130)+($BG130*IF($G$1="牵丝",$AO130,$AM130)+IF($G$1="牵丝",$AP130*1.5,0))*(1+$BH130)*(1+$BI130)+($BK130*IF($G$1="破竹",$AO130,$AM130)+IF($G$1="破竹",$AP130*1.5,0))*(1+$BL130)*(1+$BM130))*(1+$AQ130)*$BR130*$P130*(1+IF(VLOOKUP($Q130,武学奇术!$A:$ZZ,30,FALSE)="弹道",$B$21,0))*(1+$BV130)</f>
        <v>12563.1393512766</v>
      </c>
      <c r="N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P130*(1+IF(VLOOKUP($Q130,武学奇术!$A:$ZZ,30,FALSE)="弹道",$B$21,0))*(1+$BV130)</f>
        <v>8573.53417137281</v>
      </c>
      <c r="O130" s="38">
        <f>((($AS130*$AM130+$AN130)*(1+$AU130)*(1+$AV130)+($AX130*IF($G$1="鸣金",$AO130,$AM130)+IF($G$1="鸣金",$AP130*1.5,0))*(1+$AZ130)*(1+$BA130)+($BB130*IF($G$1="裂石",$AO130,$AM130)+IF($G$1="裂石",$AP130*1.5,0))*(1+$BD130)*(1+$BE130)+($BF130*IF($G$1="牵丝",$AO130,$AM130)+IF($G$1="牵丝",$AP130*1.5,0))*(1+$BH130)*(1+$BI130)+($BJ130*IF($G$1="破竹",$AO130,$AM130)+IF($G$1="破竹",$AP130*1.5,0))*(1+$BL130)*(1+$BM130))*(1+$AQ130))*$P130*(1+IF(VLOOKUP($Q130,武学奇术!$A:$ZZ,30,FALSE)="弹道",$B$21,0))*(1+$BV130)</f>
        <v>7841.03919365181</v>
      </c>
      <c r="P130" s="39">
        <f t="shared" si="45"/>
        <v>1</v>
      </c>
      <c r="Q130" s="40" t="s">
        <v>197</v>
      </c>
      <c r="R130" s="40" t="s">
        <v>97</v>
      </c>
      <c r="S130" s="40" t="s">
        <v>176</v>
      </c>
      <c r="T130" s="40" t="s">
        <v>78</v>
      </c>
      <c r="U130" s="40" t="s">
        <v>90</v>
      </c>
      <c r="V130" s="40" t="s">
        <v>78</v>
      </c>
      <c r="W130" s="40" t="s">
        <v>78</v>
      </c>
      <c r="X130" s="40" t="s">
        <v>78</v>
      </c>
      <c r="Y130" s="40" t="s">
        <v>78</v>
      </c>
      <c r="Z130" s="40" t="s">
        <v>78</v>
      </c>
      <c r="AA130" s="40" t="s">
        <v>78</v>
      </c>
      <c r="AB130" s="40" t="s">
        <v>84</v>
      </c>
      <c r="AC130" s="40" t="s">
        <v>78</v>
      </c>
      <c r="AD130" s="40" t="s">
        <v>78</v>
      </c>
      <c r="AE130" s="40" t="s">
        <v>78</v>
      </c>
      <c r="AF130" s="40" t="s">
        <v>78</v>
      </c>
      <c r="AG130" s="40" t="s">
        <v>78</v>
      </c>
      <c r="AH130" s="40" t="s">
        <v>78</v>
      </c>
      <c r="AI130" s="40" t="s">
        <v>78</v>
      </c>
      <c r="AJ130" s="40" t="s">
        <v>78</v>
      </c>
      <c r="AK130" s="40" t="s">
        <v>78</v>
      </c>
      <c r="AL130" t="str">
        <f>VLOOKUP($Q130,武学奇术!$A:$ZZ,25,FALSE)</f>
        <v>心法</v>
      </c>
      <c r="AM130" s="24">
        <f>VLOOKUP($Q130,武学奇术!$A:$ZZ,26,FALSE)</f>
        <v>1</v>
      </c>
      <c r="AN130" s="25">
        <f>VLOOKUP($Q130,武学奇术!$A:$ZZ,27,FALSE)*(1+IF(OR($AL130=$F$4,$AL130=$F$5),$B$22,0))</f>
        <v>0</v>
      </c>
      <c r="AO130" s="24">
        <f>VLOOKUP($Q130,武学奇术!$A:$ZZ,28,FALSE)</f>
        <v>1</v>
      </c>
      <c r="AP130" s="25">
        <f>VLOOKUP($Q130,武学奇术!$A:$ZZ,29,FALSE)*(1+IF(OR($AL130=$F$4,$AL130=$F$5),$B$22,0))</f>
        <v>0</v>
      </c>
      <c r="AQ130" s="24" cm="1">
        <f t="array" ref="AQ130">$G$3+IFERROR(VLOOKUP($AL130,$F$4:$G$7,2,FALSE),0)+VLOOKUP($Q130,武学奇术!$A:$ZZ,2,FALSE)+SUM(_xlfn.XLOOKUP($R130:$AK130,增益!$A:$A,增益!$B:$B,0))</f>
        <v>0.2337</v>
      </c>
      <c r="AR130" s="24" cm="1">
        <f t="array" ref="AR130">VLOOKUP($Q130,武学奇术!$A:$ZZ,5,FALSE)+SUM(_xlfn.XLOOKUP($R130:$AK130,增益!$A:$A,增益!$E:$E,0))</f>
        <v>0.075</v>
      </c>
      <c r="AS130" cm="1">
        <f t="array" ref="AS130">$D$10*(1+$AR130)+VLOOKUP($Q130,武学奇术!$A:$ZZ,3,FALSE)+SUM(_xlfn.XLOOKUP($R130:$AK130,增益!$A:$A,增益!$C:$C,0))-$I$2</f>
        <v>4100.3171</v>
      </c>
      <c r="AT130" cm="1">
        <f t="array" ref="AT130">$E$10*(1+$AR130)+VLOOKUP($Q130,武学奇术!$A:$ZZ,4,FALSE)+SUM(_xlfn.XLOOKUP($R130:$AK130,增益!$A:$A,增益!$D:$D,0))-$I$2</f>
        <v>4100.3171</v>
      </c>
      <c r="AU130" s="32" cm="1">
        <f t="array" ref="AU130">IF($F$10-$I$3+VLOOKUP($Q130,武学奇术!$A:$ZZ,6,FALSE)+SUM(_xlfn.XLOOKUP($R130:$AK130,增益!$A:$A,增益!$F:$F,0))&gt;0,($F$10-$I$3+VLOOKUP($Q130,武学奇术!$A:$ZZ,6,FALSE)+SUM(_xlfn.XLOOKUP($R130:$AK130,增益!$A:$A,增益!$F:$F,0)))/200,($F$10-$I$3+VLOOKUP($Q130,武学奇术!$A:$ZZ,6,FALSE)+SUM(_xlfn.XLOOKUP($R130:$AK130,增益!$A:$A,增益!$F:$F,0)))/100)</f>
        <v>0.2925</v>
      </c>
      <c r="AV130" s="32" cm="1">
        <f t="array" ref="AV130">$G$10+VLOOKUP($Q130,武学奇术!$A:$ZZ,7,FALSE)+SUM(_xlfn.XLOOKUP($R130:$AK130,增益!$A:$A,增益!$G:$G,0))</f>
        <v>0</v>
      </c>
      <c r="AW130" s="24" cm="1">
        <f t="array" ref="AW130">VLOOKUP($Q130,武学奇术!$A:$ZZ,8,FALSE)+SUM(_xlfn.XLOOKUP($R130:$AK130,增益!$A:$A,增益!$H:$H,0))</f>
        <v>0</v>
      </c>
      <c r="AX130">
        <f t="shared" si="35"/>
        <v>0</v>
      </c>
      <c r="AY130">
        <f t="shared" si="36"/>
        <v>0</v>
      </c>
      <c r="AZ130" s="32" cm="1">
        <f t="array" ref="AZ130">IF($F$11-$I$4+VLOOKUP($Q130,武学奇术!$A:$ZZ,9,FALSE)+SUM(_xlfn.XLOOKUP($R130:$AK130,增益!$A:$A,增益!$I:$I,0))&gt;0,($F$11-$I$4+VLOOKUP($Q130,武学奇术!$A:$ZZ,9,FALSE)+SUM(_xlfn.XLOOKUP($R130:$AK130,增益!$A:$A,增益!$I:$I,0)))/200,($F$11-$I$4+VLOOKUP($Q130,武学奇术!$A:$ZZ,9,FALSE)+SUM(_xlfn.XLOOKUP($R130:$AK130,增益!$A:$A,增益!$I:$I,0)))/100)</f>
        <v>-0.3</v>
      </c>
      <c r="BA130" s="32" cm="1">
        <f t="array" ref="BA130">$G$11+VLOOKUP($Q130,武学奇术!$A:$ZZ,10,FALSE)+SUM(_xlfn.XLOOKUP($R130:$AK130,增益!$A:$A,增益!$J:$J,0))</f>
        <v>0</v>
      </c>
      <c r="BB130">
        <f t="shared" si="37"/>
        <v>0</v>
      </c>
      <c r="BC130">
        <f t="shared" si="38"/>
        <v>0</v>
      </c>
      <c r="BD130" s="32" cm="1">
        <f t="array" ref="BD130">IF($F$12-$I$4+VLOOKUP($Q130,武学奇术!$A:$ZZ,11,FALSE)+SUM(_xlfn.XLOOKUP($R130:$AK130,增益!$A:$A,增益!$K:$K,0))&gt;0,($F$12-$I$4+VLOOKUP($Q130,武学奇术!$A:$ZZ,11,FALSE)+SUM(_xlfn.XLOOKUP($R130:$AK130,增益!$A:$A,增益!$K:$K,0)))/200,($F$12-$I$4+VLOOKUP($Q130,武学奇术!$A:$ZZ,11,FALSE)+SUM(_xlfn.XLOOKUP($R130:$AK130,增益!$A:$A,增益!$K:$K,0)))/100)</f>
        <v>-0.3</v>
      </c>
      <c r="BE130" s="32" cm="1">
        <f t="array" ref="BE130">$G$12+VLOOKUP($Q130,武学奇术!$A:$ZZ,12,FALSE)+SUM(_xlfn.XLOOKUP($R130:$AK130,增益!$A:$A,增益!$L:$L,0))</f>
        <v>0</v>
      </c>
      <c r="BF130">
        <f t="shared" si="39"/>
        <v>605.472</v>
      </c>
      <c r="BG130">
        <f t="shared" si="40"/>
        <v>1579.612</v>
      </c>
      <c r="BH130" s="32" cm="1">
        <f t="array" ref="BH130">IF($F$13-$I$4+VLOOKUP($Q130,武学奇术!$A:$ZZ,13,FALSE)+SUM(_xlfn.XLOOKUP($R130:$AK130,增益!$A:$A,增益!$M:$M,0))&gt;0,($F$13-$I$4+VLOOKUP($Q130,武学奇术!$A:$ZZ,13,FALSE)+SUM(_xlfn.XLOOKUP($R130:$AK130,增益!$A:$A,增益!$K:$K,0)))/200,($F$13-$I$4+VLOOKUP($Q130,武学奇术!$A:$ZZ,13,FALSE)+SUM(_xlfn.XLOOKUP($R130:$AK130,增益!$A:$A,增益!$M:$M,0)))/100)</f>
        <v>0</v>
      </c>
      <c r="BI130" s="32" cm="1">
        <f t="array" ref="BI130">$G$13+VLOOKUP($Q130,武学奇术!$A:$ZZ,14,FALSE)+SUM(_xlfn.XLOOKUP($R130:$AK130,增益!$A:$A,增益!$N:$N,0))</f>
        <v>0.15</v>
      </c>
      <c r="BJ130">
        <f t="shared" si="41"/>
        <v>0</v>
      </c>
      <c r="BK130">
        <f t="shared" si="42"/>
        <v>0</v>
      </c>
      <c r="BL130" s="32" cm="1">
        <f t="array" ref="BL130">IF($F$14-$I$4+VLOOKUP($Q130,武学奇术!$A:$ZZ,15,FALSE)+SUM(_xlfn.XLOOKUP($R130:$AK130,增益!$A:$A,增益!$O:$O,0))&gt;0,($F$14-$I$4+VLOOKUP($Q130,武学奇术!$A:$ZZ,15,FALSE)+SUM(_xlfn.XLOOKUP($R130:$AK130,增益!$A:$A,增益!$O:$O,0)))/200,($F$14-$I$4+VLOOKUP($Q130,武学奇术!$A:$ZZ,15,FALSE)+SUM(_xlfn.XLOOKUP($R130:$AK130,增益!$A:$A,增益!$O:$O,0)))/100)</f>
        <v>-0.3</v>
      </c>
      <c r="BM130" s="32" cm="1">
        <f t="array" ref="BM130">$G$14+VLOOKUP($Q130,武学奇术!$A:$ZZ,16,FALSE)+SUM(_xlfn.XLOOKUP($R130:$AK130,增益!$A:$A,增益!$P:$P,0))</f>
        <v>0</v>
      </c>
      <c r="BN130" s="24">
        <f>MIN(IF(VLOOKUP($Q130,武学奇术!$A:$ZZ,23,FALSE)=1,100%,$B$8),100%)</f>
        <v>1</v>
      </c>
      <c r="BO130" s="24" cm="1">
        <f t="array" ref="BO130">IF(VLOOKUP($Q130,武学奇术!$A:$ZZ,23,FALSE)=1,100%,MIN(80%,$B$9+VLOOKUP($Q130,武学奇术!$A:$ZZ,17,FALSE)+SUM(_xlfn.XLOOKUP($R130:$AK130,增益!$A:$A,增益!$Q:$Q,0)))+$B$11+SUM(_xlfn.XLOOKUP($R130:$AK130,增益!$A:$A,增益!$U:$U,0)))*IF(VLOOKUP($Q130,武学奇术!$A:$ZZ,24,FALSE)=1,0,1)</f>
        <v>0.9093</v>
      </c>
      <c r="BP130" s="24" cm="1">
        <f t="array" ref="BP130">1+$B$13+VLOOKUP($Q130,武学奇术!$A:$ZZ,18,FALSE)+SUM(_xlfn.XLOOKUP($R130:$AK130,增益!$A:$A,增益!$R:$R,0))</f>
        <v>1.6</v>
      </c>
      <c r="BQ130" s="24" cm="1">
        <f t="array" ref="BQ130">IF(VLOOKUP($Q130,武学奇术!$A:$ZZ,24,FALSE)=1,100%,MIN(40%,$B$10+VLOOKUP($Q130,武学奇术!$A:$ZZ,19,FALSE)+SUM(_xlfn.XLOOKUP($R130:$AK130,增益!$A:$A,增益!$S:$S,0)))+$B$12+SUM(_xlfn.XLOOKUP($R130:$AK130,增益!$A:$A,增益!$V:$V,0)))*IF(VLOOKUP($Q130,武学奇术!$A:$ZZ,23,FALSE)=1,0,1)</f>
        <v>0.0929</v>
      </c>
      <c r="BR130" s="24" cm="1">
        <f t="array" ref="BR130">1+$B$14+VLOOKUP($Q130,武学奇术!$A:$ZZ,20,FALSE)+SUM(_xlfn.XLOOKUP($R130:$AK130,增益!$A:$A,增益!$T:$T,0))</f>
        <v>1.35</v>
      </c>
      <c r="BS130" s="24">
        <f t="shared" si="43"/>
        <v>0.9071</v>
      </c>
      <c r="BT130" s="24">
        <f t="shared" si="44"/>
        <v>0</v>
      </c>
      <c r="BU130" s="24">
        <f>IF(VLOOKUP($Q130,武学奇术!$A:$ZZ,22,FALSE)=1,0,(1-$BN130))*(1-$BQ130)</f>
        <v>0</v>
      </c>
      <c r="BV130" s="24" cm="1">
        <f t="array" ref="BV130">SUM(_xlfn.XLOOKUP($R130:$AK130,增益!$A:$A,增益!$W:$W,0))+$I$5</f>
        <v>0.06</v>
      </c>
    </row>
    <row r="131" spans="11:74">
      <c r="K131" s="38">
        <f t="shared" si="34"/>
        <v>13610.4002006972</v>
      </c>
      <c r="L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BP131*$P131*(1+IF(VLOOKUP($Q131,武学奇术!$A:$ZZ,30,FALSE)="弹道",$B$21,0))*(1+$BV131)</f>
        <v>13717.6546741965</v>
      </c>
      <c r="M131" s="38">
        <f>(($AT131*$AM131+$AN131)*(1+$AU131)*(1+$AV131)+($AY131*IF($G$1="鸣金",$AO131,$AM131)+IF($G$1="鸣金",$AP131*1.5,0))*(1+$AZ131)*(1+$BA131)+($BC131*IF($G$1="裂石",$AO131,$AM131)+IF($G$1="裂石",$AP131*1.5,0))*(1+$BD131)*(1+$BE131)+($BG131*IF($G$1="牵丝",$AO131,$AM131)+IF($G$1="牵丝",$AP131*1.5,0))*(1+$BH131)*(1+$BI131)+($BK131*IF($G$1="破竹",$AO131,$AM131)+IF($G$1="破竹",$AP131*1.5,0))*(1+$BL131)*(1+$BM131))*(1+$AQ131)*$BR131*$P131*(1+IF(VLOOKUP($Q131,武学奇术!$A:$ZZ,30,FALSE)="弹道",$B$21,0))*(1+$BV131)</f>
        <v>12563.1393512766</v>
      </c>
      <c r="N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P131*(1+IF(VLOOKUP($Q131,武学奇术!$A:$ZZ,30,FALSE)="弹道",$B$21,0))*(1+$BV131)</f>
        <v>8573.53417137281</v>
      </c>
      <c r="O131" s="38">
        <f>((($AS131*$AM131+$AN131)*(1+$AU131)*(1+$AV131)+($AX131*IF($G$1="鸣金",$AO131,$AM131)+IF($G$1="鸣金",$AP131*1.5,0))*(1+$AZ131)*(1+$BA131)+($BB131*IF($G$1="裂石",$AO131,$AM131)+IF($G$1="裂石",$AP131*1.5,0))*(1+$BD131)*(1+$BE131)+($BF131*IF($G$1="牵丝",$AO131,$AM131)+IF($G$1="牵丝",$AP131*1.5,0))*(1+$BH131)*(1+$BI131)+($BJ131*IF($G$1="破竹",$AO131,$AM131)+IF($G$1="破竹",$AP131*1.5,0))*(1+$BL131)*(1+$BM131))*(1+$AQ131))*$P131*(1+IF(VLOOKUP($Q131,武学奇术!$A:$ZZ,30,FALSE)="弹道",$B$21,0))*(1+$BV131)</f>
        <v>7841.03919365181</v>
      </c>
      <c r="P131" s="39">
        <f t="shared" si="45"/>
        <v>1</v>
      </c>
      <c r="Q131" s="40" t="s">
        <v>197</v>
      </c>
      <c r="R131" s="40" t="s">
        <v>97</v>
      </c>
      <c r="S131" s="40" t="s">
        <v>176</v>
      </c>
      <c r="T131" s="40" t="s">
        <v>78</v>
      </c>
      <c r="U131" s="40" t="s">
        <v>90</v>
      </c>
      <c r="V131" s="40" t="s">
        <v>78</v>
      </c>
      <c r="W131" s="40" t="s">
        <v>78</v>
      </c>
      <c r="X131" s="40" t="s">
        <v>78</v>
      </c>
      <c r="Y131" s="40" t="s">
        <v>78</v>
      </c>
      <c r="Z131" s="40" t="s">
        <v>78</v>
      </c>
      <c r="AA131" s="40" t="s">
        <v>78</v>
      </c>
      <c r="AB131" s="40" t="s">
        <v>84</v>
      </c>
      <c r="AC131" s="40" t="s">
        <v>78</v>
      </c>
      <c r="AD131" s="40" t="s">
        <v>78</v>
      </c>
      <c r="AE131" s="40" t="s">
        <v>78</v>
      </c>
      <c r="AF131" s="40" t="s">
        <v>78</v>
      </c>
      <c r="AG131" s="40" t="s">
        <v>78</v>
      </c>
      <c r="AH131" s="40" t="s">
        <v>78</v>
      </c>
      <c r="AI131" s="40" t="s">
        <v>78</v>
      </c>
      <c r="AJ131" s="40" t="s">
        <v>78</v>
      </c>
      <c r="AK131" s="40" t="s">
        <v>78</v>
      </c>
      <c r="AL131" t="str">
        <f>VLOOKUP($Q131,武学奇术!$A:$ZZ,25,FALSE)</f>
        <v>心法</v>
      </c>
      <c r="AM131" s="24">
        <f>VLOOKUP($Q131,武学奇术!$A:$ZZ,26,FALSE)</f>
        <v>1</v>
      </c>
      <c r="AN131" s="25">
        <f>VLOOKUP($Q131,武学奇术!$A:$ZZ,27,FALSE)*(1+IF(OR($AL131=$F$4,$AL131=$F$5),$B$22,0))</f>
        <v>0</v>
      </c>
      <c r="AO131" s="24">
        <f>VLOOKUP($Q131,武学奇术!$A:$ZZ,28,FALSE)</f>
        <v>1</v>
      </c>
      <c r="AP131" s="25">
        <f>VLOOKUP($Q131,武学奇术!$A:$ZZ,29,FALSE)*(1+IF(OR($AL131=$F$4,$AL131=$F$5),$B$22,0))</f>
        <v>0</v>
      </c>
      <c r="AQ131" s="24" cm="1">
        <f t="array" ref="AQ131">$G$3+IFERROR(VLOOKUP($AL131,$F$4:$G$7,2,FALSE),0)+VLOOKUP($Q131,武学奇术!$A:$ZZ,2,FALSE)+SUM(_xlfn.XLOOKUP($R131:$AK131,增益!$A:$A,增益!$B:$B,0))</f>
        <v>0.2337</v>
      </c>
      <c r="AR131" s="24" cm="1">
        <f t="array" ref="AR131">VLOOKUP($Q131,武学奇术!$A:$ZZ,5,FALSE)+SUM(_xlfn.XLOOKUP($R131:$AK131,增益!$A:$A,增益!$E:$E,0))</f>
        <v>0.075</v>
      </c>
      <c r="AS131" cm="1">
        <f t="array" ref="AS131">$D$10*(1+$AR131)+VLOOKUP($Q131,武学奇术!$A:$ZZ,3,FALSE)+SUM(_xlfn.XLOOKUP($R131:$AK131,增益!$A:$A,增益!$C:$C,0))-$I$2</f>
        <v>4100.3171</v>
      </c>
      <c r="AT131" cm="1">
        <f t="array" ref="AT131">$E$10*(1+$AR131)+VLOOKUP($Q131,武学奇术!$A:$ZZ,4,FALSE)+SUM(_xlfn.XLOOKUP($R131:$AK131,增益!$A:$A,增益!$D:$D,0))-$I$2</f>
        <v>4100.3171</v>
      </c>
      <c r="AU131" s="32" cm="1">
        <f t="array" ref="AU131">IF($F$10-$I$3+VLOOKUP($Q131,武学奇术!$A:$ZZ,6,FALSE)+SUM(_xlfn.XLOOKUP($R131:$AK131,增益!$A:$A,增益!$F:$F,0))&gt;0,($F$10-$I$3+VLOOKUP($Q131,武学奇术!$A:$ZZ,6,FALSE)+SUM(_xlfn.XLOOKUP($R131:$AK131,增益!$A:$A,增益!$F:$F,0)))/200,($F$10-$I$3+VLOOKUP($Q131,武学奇术!$A:$ZZ,6,FALSE)+SUM(_xlfn.XLOOKUP($R131:$AK131,增益!$A:$A,增益!$F:$F,0)))/100)</f>
        <v>0.2925</v>
      </c>
      <c r="AV131" s="32" cm="1">
        <f t="array" ref="AV131">$G$10+VLOOKUP($Q131,武学奇术!$A:$ZZ,7,FALSE)+SUM(_xlfn.XLOOKUP($R131:$AK131,增益!$A:$A,增益!$G:$G,0))</f>
        <v>0</v>
      </c>
      <c r="AW131" s="24" cm="1">
        <f t="array" ref="AW131">VLOOKUP($Q131,武学奇术!$A:$ZZ,8,FALSE)+SUM(_xlfn.XLOOKUP($R131:$AK131,增益!$A:$A,增益!$H:$H,0))</f>
        <v>0</v>
      </c>
      <c r="AX131">
        <f t="shared" si="35"/>
        <v>0</v>
      </c>
      <c r="AY131">
        <f t="shared" si="36"/>
        <v>0</v>
      </c>
      <c r="AZ131" s="32" cm="1">
        <f t="array" ref="AZ131">IF($F$11-$I$4+VLOOKUP($Q131,武学奇术!$A:$ZZ,9,FALSE)+SUM(_xlfn.XLOOKUP($R131:$AK131,增益!$A:$A,增益!$I:$I,0))&gt;0,($F$11-$I$4+VLOOKUP($Q131,武学奇术!$A:$ZZ,9,FALSE)+SUM(_xlfn.XLOOKUP($R131:$AK131,增益!$A:$A,增益!$I:$I,0)))/200,($F$11-$I$4+VLOOKUP($Q131,武学奇术!$A:$ZZ,9,FALSE)+SUM(_xlfn.XLOOKUP($R131:$AK131,增益!$A:$A,增益!$I:$I,0)))/100)</f>
        <v>-0.3</v>
      </c>
      <c r="BA131" s="32" cm="1">
        <f t="array" ref="BA131">$G$11+VLOOKUP($Q131,武学奇术!$A:$ZZ,10,FALSE)+SUM(_xlfn.XLOOKUP($R131:$AK131,增益!$A:$A,增益!$J:$J,0))</f>
        <v>0</v>
      </c>
      <c r="BB131">
        <f t="shared" si="37"/>
        <v>0</v>
      </c>
      <c r="BC131">
        <f t="shared" si="38"/>
        <v>0</v>
      </c>
      <c r="BD131" s="32" cm="1">
        <f t="array" ref="BD131">IF($F$12-$I$4+VLOOKUP($Q131,武学奇术!$A:$ZZ,11,FALSE)+SUM(_xlfn.XLOOKUP($R131:$AK131,增益!$A:$A,增益!$K:$K,0))&gt;0,($F$12-$I$4+VLOOKUP($Q131,武学奇术!$A:$ZZ,11,FALSE)+SUM(_xlfn.XLOOKUP($R131:$AK131,增益!$A:$A,增益!$K:$K,0)))/200,($F$12-$I$4+VLOOKUP($Q131,武学奇术!$A:$ZZ,11,FALSE)+SUM(_xlfn.XLOOKUP($R131:$AK131,增益!$A:$A,增益!$K:$K,0)))/100)</f>
        <v>-0.3</v>
      </c>
      <c r="BE131" s="32" cm="1">
        <f t="array" ref="BE131">$G$12+VLOOKUP($Q131,武学奇术!$A:$ZZ,12,FALSE)+SUM(_xlfn.XLOOKUP($R131:$AK131,增益!$A:$A,增益!$L:$L,0))</f>
        <v>0</v>
      </c>
      <c r="BF131">
        <f t="shared" si="39"/>
        <v>605.472</v>
      </c>
      <c r="BG131">
        <f t="shared" si="40"/>
        <v>1579.612</v>
      </c>
      <c r="BH131" s="32" cm="1">
        <f t="array" ref="BH131">IF($F$13-$I$4+VLOOKUP($Q131,武学奇术!$A:$ZZ,13,FALSE)+SUM(_xlfn.XLOOKUP($R131:$AK131,增益!$A:$A,增益!$M:$M,0))&gt;0,($F$13-$I$4+VLOOKUP($Q131,武学奇术!$A:$ZZ,13,FALSE)+SUM(_xlfn.XLOOKUP($R131:$AK131,增益!$A:$A,增益!$K:$K,0)))/200,($F$13-$I$4+VLOOKUP($Q131,武学奇术!$A:$ZZ,13,FALSE)+SUM(_xlfn.XLOOKUP($R131:$AK131,增益!$A:$A,增益!$M:$M,0)))/100)</f>
        <v>0</v>
      </c>
      <c r="BI131" s="32" cm="1">
        <f t="array" ref="BI131">$G$13+VLOOKUP($Q131,武学奇术!$A:$ZZ,14,FALSE)+SUM(_xlfn.XLOOKUP($R131:$AK131,增益!$A:$A,增益!$N:$N,0))</f>
        <v>0.15</v>
      </c>
      <c r="BJ131">
        <f t="shared" si="41"/>
        <v>0</v>
      </c>
      <c r="BK131">
        <f t="shared" si="42"/>
        <v>0</v>
      </c>
      <c r="BL131" s="32" cm="1">
        <f t="array" ref="BL131">IF($F$14-$I$4+VLOOKUP($Q131,武学奇术!$A:$ZZ,15,FALSE)+SUM(_xlfn.XLOOKUP($R131:$AK131,增益!$A:$A,增益!$O:$O,0))&gt;0,($F$14-$I$4+VLOOKUP($Q131,武学奇术!$A:$ZZ,15,FALSE)+SUM(_xlfn.XLOOKUP($R131:$AK131,增益!$A:$A,增益!$O:$O,0)))/200,($F$14-$I$4+VLOOKUP($Q131,武学奇术!$A:$ZZ,15,FALSE)+SUM(_xlfn.XLOOKUP($R131:$AK131,增益!$A:$A,增益!$O:$O,0)))/100)</f>
        <v>-0.3</v>
      </c>
      <c r="BM131" s="32" cm="1">
        <f t="array" ref="BM131">$G$14+VLOOKUP($Q131,武学奇术!$A:$ZZ,16,FALSE)+SUM(_xlfn.XLOOKUP($R131:$AK131,增益!$A:$A,增益!$P:$P,0))</f>
        <v>0</v>
      </c>
      <c r="BN131" s="24">
        <f>MIN(IF(VLOOKUP($Q131,武学奇术!$A:$ZZ,23,FALSE)=1,100%,$B$8),100%)</f>
        <v>1</v>
      </c>
      <c r="BO131" s="24" cm="1">
        <f t="array" ref="BO131">IF(VLOOKUP($Q131,武学奇术!$A:$ZZ,23,FALSE)=1,100%,MIN(80%,$B$9+VLOOKUP($Q131,武学奇术!$A:$ZZ,17,FALSE)+SUM(_xlfn.XLOOKUP($R131:$AK131,增益!$A:$A,增益!$Q:$Q,0)))+$B$11+SUM(_xlfn.XLOOKUP($R131:$AK131,增益!$A:$A,增益!$U:$U,0)))*IF(VLOOKUP($Q131,武学奇术!$A:$ZZ,24,FALSE)=1,0,1)</f>
        <v>0.9093</v>
      </c>
      <c r="BP131" s="24" cm="1">
        <f t="array" ref="BP131">1+$B$13+VLOOKUP($Q131,武学奇术!$A:$ZZ,18,FALSE)+SUM(_xlfn.XLOOKUP($R131:$AK131,增益!$A:$A,增益!$R:$R,0))</f>
        <v>1.6</v>
      </c>
      <c r="BQ131" s="24" cm="1">
        <f t="array" ref="BQ131">IF(VLOOKUP($Q131,武学奇术!$A:$ZZ,24,FALSE)=1,100%,MIN(40%,$B$10+VLOOKUP($Q131,武学奇术!$A:$ZZ,19,FALSE)+SUM(_xlfn.XLOOKUP($R131:$AK131,增益!$A:$A,增益!$S:$S,0)))+$B$12+SUM(_xlfn.XLOOKUP($R131:$AK131,增益!$A:$A,增益!$V:$V,0)))*IF(VLOOKUP($Q131,武学奇术!$A:$ZZ,23,FALSE)=1,0,1)</f>
        <v>0.0929</v>
      </c>
      <c r="BR131" s="24" cm="1">
        <f t="array" ref="BR131">1+$B$14+VLOOKUP($Q131,武学奇术!$A:$ZZ,20,FALSE)+SUM(_xlfn.XLOOKUP($R131:$AK131,增益!$A:$A,增益!$T:$T,0))</f>
        <v>1.35</v>
      </c>
      <c r="BS131" s="24">
        <f t="shared" si="43"/>
        <v>0.9071</v>
      </c>
      <c r="BT131" s="24">
        <f t="shared" si="44"/>
        <v>0</v>
      </c>
      <c r="BU131" s="24">
        <f>IF(VLOOKUP($Q131,武学奇术!$A:$ZZ,22,FALSE)=1,0,(1-$BN131))*(1-$BQ131)</f>
        <v>0</v>
      </c>
      <c r="BV131" s="24" cm="1">
        <f t="array" ref="BV131">SUM(_xlfn.XLOOKUP($R131:$AK131,增益!$A:$A,增益!$W:$W,0))+$I$5</f>
        <v>0.06</v>
      </c>
    </row>
    <row r="132" spans="11:74">
      <c r="K132" s="38">
        <f t="shared" si="34"/>
        <v>17855.8412891983</v>
      </c>
      <c r="L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BP132*$P132*(1+IF(VLOOKUP($Q132,武学奇术!$A:$ZZ,30,FALSE)="弹道",$B$21,0))*(1+$BV132)</f>
        <v>18221.4823810816</v>
      </c>
      <c r="M132" s="38">
        <f>(($AT132*$AM132+$AN132)*(1+$AU132)*(1+$AV132)+($AY132*IF($G$1="鸣金",$AO132,$AM132)+IF($G$1="鸣金",$AP132*1.5,0))*(1+$AZ132)*(1+$BA132)+($BC132*IF($G$1="裂石",$AO132,$AM132)+IF($G$1="裂石",$AP132*1.5,0))*(1+$BD132)*(1+$BE132)+($BG132*IF($G$1="牵丝",$AO132,$AM132)+IF($G$1="牵丝",$AP132*1.5,0))*(1+$BH132)*(1+$BI132)+($BK132*IF($G$1="破竹",$AO132,$AM132)+IF($G$1="破竹",$AP132*1.5,0))*(1+$BL132)*(1+$BM132))*(1+$AQ132)*$BR132*$P132*(1+IF(VLOOKUP($Q132,武学奇术!$A:$ZZ,30,FALSE)="弹道",$B$21,0))*(1+$BV132)</f>
        <v>14285.6256331451</v>
      </c>
      <c r="N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P132*(1+IF(VLOOKUP($Q132,武学奇术!$A:$ZZ,30,FALSE)="弹道",$B$21,0))*(1+$BV132)</f>
        <v>9849.4499357198</v>
      </c>
      <c r="O132" s="38">
        <f>((($AS132*$AM132+$AN132)*(1+$AU132)*(1+$AV132)+($AX132*IF($G$1="鸣金",$AO132,$AM132)+IF($G$1="鸣金",$AP132*1.5,0))*(1+$AZ132)*(1+$BA132)+($BB132*IF($G$1="裂石",$AO132,$AM132)+IF($G$1="裂石",$AP132*1.5,0))*(1+$BD132)*(1+$BE132)+($BF132*IF($G$1="牵丝",$AO132,$AM132)+IF($G$1="牵丝",$AP132*1.5,0))*(1+$BH132)*(1+$BI132)+($BJ132*IF($G$1="破竹",$AO132,$AM132)+IF($G$1="破竹",$AP132*1.5,0))*(1+$BL132)*(1+$BM132))*(1+$AQ132))*$P132*(1+IF(VLOOKUP($Q132,武学奇术!$A:$ZZ,30,FALSE)="弹道",$B$21,0))*(1+$BV132)</f>
        <v>9116.9549579988</v>
      </c>
      <c r="P132" s="39">
        <f t="shared" si="45"/>
        <v>1</v>
      </c>
      <c r="Q132" s="40" t="s">
        <v>197</v>
      </c>
      <c r="R132" s="40" t="s">
        <v>97</v>
      </c>
      <c r="S132" s="40" t="s">
        <v>176</v>
      </c>
      <c r="T132" s="40" t="s">
        <v>78</v>
      </c>
      <c r="U132" s="40" t="s">
        <v>171</v>
      </c>
      <c r="V132" s="40" t="s">
        <v>78</v>
      </c>
      <c r="W132" s="40" t="s">
        <v>78</v>
      </c>
      <c r="X132" s="40" t="s">
        <v>78</v>
      </c>
      <c r="Y132" s="40" t="s">
        <v>151</v>
      </c>
      <c r="Z132" s="40" t="s">
        <v>78</v>
      </c>
      <c r="AA132" s="40" t="s">
        <v>78</v>
      </c>
      <c r="AB132" s="40" t="s">
        <v>84</v>
      </c>
      <c r="AC132" s="40" t="s">
        <v>78</v>
      </c>
      <c r="AD132" s="40" t="s">
        <v>78</v>
      </c>
      <c r="AE132" s="40" t="s">
        <v>78</v>
      </c>
      <c r="AF132" s="40" t="s">
        <v>78</v>
      </c>
      <c r="AG132" s="40" t="s">
        <v>78</v>
      </c>
      <c r="AH132" s="40" t="s">
        <v>78</v>
      </c>
      <c r="AI132" s="40" t="s">
        <v>78</v>
      </c>
      <c r="AJ132" s="40" t="s">
        <v>78</v>
      </c>
      <c r="AK132" s="40" t="s">
        <v>78</v>
      </c>
      <c r="AL132" t="str">
        <f>VLOOKUP($Q132,武学奇术!$A:$ZZ,25,FALSE)</f>
        <v>心法</v>
      </c>
      <c r="AM132" s="24">
        <f>VLOOKUP($Q132,武学奇术!$A:$ZZ,26,FALSE)</f>
        <v>1</v>
      </c>
      <c r="AN132" s="25">
        <f>VLOOKUP($Q132,武学奇术!$A:$ZZ,27,FALSE)*(1+IF(OR($AL132=$F$4,$AL132=$F$5),$B$22,0))</f>
        <v>0</v>
      </c>
      <c r="AO132" s="24">
        <f>VLOOKUP($Q132,武学奇术!$A:$ZZ,28,FALSE)</f>
        <v>1</v>
      </c>
      <c r="AP132" s="25">
        <f>VLOOKUP($Q132,武学奇术!$A:$ZZ,29,FALSE)*(1+IF(OR($AL132=$F$4,$AL132=$F$5),$B$22,0))</f>
        <v>0</v>
      </c>
      <c r="AQ132" s="24" cm="1">
        <f t="array" ref="AQ132">$G$3+IFERROR(VLOOKUP($AL132,$F$4:$G$7,2,FALSE),0)+VLOOKUP($Q132,武学奇术!$A:$ZZ,2,FALSE)+SUM(_xlfn.XLOOKUP($R132:$AK132,增益!$A:$A,增益!$B:$B,0))</f>
        <v>0.2337</v>
      </c>
      <c r="AR132" s="24" cm="1">
        <f t="array" ref="AR132">VLOOKUP($Q132,武学奇术!$A:$ZZ,5,FALSE)+SUM(_xlfn.XLOOKUP($R132:$AK132,增益!$A:$A,增益!$E:$E,0))</f>
        <v>0.15</v>
      </c>
      <c r="AS132" cm="1">
        <f t="array" ref="AS132">$D$10*(1+$AR132)+VLOOKUP($Q132,武学奇术!$A:$ZZ,3,FALSE)+SUM(_xlfn.XLOOKUP($R132:$AK132,增益!$A:$A,增益!$C:$C,0))-$I$2</f>
        <v>4427.0462</v>
      </c>
      <c r="AT132" cm="1">
        <f t="array" ref="AT132">$E$10*(1+$AR132)+VLOOKUP($Q132,武学奇术!$A:$ZZ,4,FALSE)+SUM(_xlfn.XLOOKUP($R132:$AK132,增益!$A:$A,增益!$D:$D,0))-$I$2</f>
        <v>4427.0462</v>
      </c>
      <c r="AU132" s="32" cm="1">
        <f t="array" ref="AU132">IF($F$10-$I$3+VLOOKUP($Q132,武学奇术!$A:$ZZ,6,FALSE)+SUM(_xlfn.XLOOKUP($R132:$AK132,增益!$A:$A,增益!$F:$F,0))&gt;0,($F$10-$I$3+VLOOKUP($Q132,武学奇术!$A:$ZZ,6,FALSE)+SUM(_xlfn.XLOOKUP($R132:$AK132,增益!$A:$A,增益!$F:$F,0)))/200,($F$10-$I$3+VLOOKUP($Q132,武学奇术!$A:$ZZ,6,FALSE)+SUM(_xlfn.XLOOKUP($R132:$AK132,增益!$A:$A,增益!$F:$F,0)))/100)</f>
        <v>0.4175</v>
      </c>
      <c r="AV132" s="32" cm="1">
        <f t="array" ref="AV132">$G$10+VLOOKUP($Q132,武学奇术!$A:$ZZ,7,FALSE)+SUM(_xlfn.XLOOKUP($R132:$AK132,增益!$A:$A,增益!$G:$G,0))</f>
        <v>0</v>
      </c>
      <c r="AW132" s="24" cm="1">
        <f t="array" ref="AW132">VLOOKUP($Q132,武学奇术!$A:$ZZ,8,FALSE)+SUM(_xlfn.XLOOKUP($R132:$AK132,增益!$A:$A,增益!$H:$H,0))</f>
        <v>0</v>
      </c>
      <c r="AX132">
        <f t="shared" si="35"/>
        <v>0</v>
      </c>
      <c r="AY132">
        <f t="shared" si="36"/>
        <v>0</v>
      </c>
      <c r="AZ132" s="32" cm="1">
        <f t="array" ref="AZ132">IF($F$11-$I$4+VLOOKUP($Q132,武学奇术!$A:$ZZ,9,FALSE)+SUM(_xlfn.XLOOKUP($R132:$AK132,增益!$A:$A,增益!$I:$I,0))&gt;0,($F$11-$I$4+VLOOKUP($Q132,武学奇术!$A:$ZZ,9,FALSE)+SUM(_xlfn.XLOOKUP($R132:$AK132,增益!$A:$A,增益!$I:$I,0)))/200,($F$11-$I$4+VLOOKUP($Q132,武学奇术!$A:$ZZ,9,FALSE)+SUM(_xlfn.XLOOKUP($R132:$AK132,增益!$A:$A,增益!$I:$I,0)))/100)</f>
        <v>-0.3</v>
      </c>
      <c r="BA132" s="32" cm="1">
        <f t="array" ref="BA132">$G$11+VLOOKUP($Q132,武学奇术!$A:$ZZ,10,FALSE)+SUM(_xlfn.XLOOKUP($R132:$AK132,增益!$A:$A,增益!$J:$J,0))</f>
        <v>0</v>
      </c>
      <c r="BB132">
        <f t="shared" si="37"/>
        <v>0</v>
      </c>
      <c r="BC132">
        <f t="shared" si="38"/>
        <v>0</v>
      </c>
      <c r="BD132" s="32" cm="1">
        <f t="array" ref="BD132">IF($F$12-$I$4+VLOOKUP($Q132,武学奇术!$A:$ZZ,11,FALSE)+SUM(_xlfn.XLOOKUP($R132:$AK132,增益!$A:$A,增益!$K:$K,0))&gt;0,($F$12-$I$4+VLOOKUP($Q132,武学奇术!$A:$ZZ,11,FALSE)+SUM(_xlfn.XLOOKUP($R132:$AK132,增益!$A:$A,增益!$K:$K,0)))/200,($F$12-$I$4+VLOOKUP($Q132,武学奇术!$A:$ZZ,11,FALSE)+SUM(_xlfn.XLOOKUP($R132:$AK132,增益!$A:$A,增益!$K:$K,0)))/100)</f>
        <v>-0.3</v>
      </c>
      <c r="BE132" s="32" cm="1">
        <f t="array" ref="BE132">$G$12+VLOOKUP($Q132,武学奇术!$A:$ZZ,12,FALSE)+SUM(_xlfn.XLOOKUP($R132:$AK132,增益!$A:$A,增益!$L:$L,0))</f>
        <v>0</v>
      </c>
      <c r="BF132">
        <f t="shared" si="39"/>
        <v>605.472</v>
      </c>
      <c r="BG132">
        <f t="shared" si="40"/>
        <v>1579.612</v>
      </c>
      <c r="BH132" s="32" cm="1">
        <f t="array" ref="BH132">IF($F$13-$I$4+VLOOKUP($Q132,武学奇术!$A:$ZZ,13,FALSE)+SUM(_xlfn.XLOOKUP($R132:$AK132,增益!$A:$A,增益!$M:$M,0))&gt;0,($F$13-$I$4+VLOOKUP($Q132,武学奇术!$A:$ZZ,13,FALSE)+SUM(_xlfn.XLOOKUP($R132:$AK132,增益!$A:$A,增益!$K:$K,0)))/200,($F$13-$I$4+VLOOKUP($Q132,武学奇术!$A:$ZZ,13,FALSE)+SUM(_xlfn.XLOOKUP($R132:$AK132,增益!$A:$A,增益!$M:$M,0)))/100)</f>
        <v>0</v>
      </c>
      <c r="BI132" s="32" cm="1">
        <f t="array" ref="BI132">$G$13+VLOOKUP($Q132,武学奇术!$A:$ZZ,14,FALSE)+SUM(_xlfn.XLOOKUP($R132:$AK132,增益!$A:$A,增益!$N:$N,0))</f>
        <v>0.15</v>
      </c>
      <c r="BJ132">
        <f t="shared" si="41"/>
        <v>0</v>
      </c>
      <c r="BK132">
        <f t="shared" si="42"/>
        <v>0</v>
      </c>
      <c r="BL132" s="32" cm="1">
        <f t="array" ref="BL132">IF($F$14-$I$4+VLOOKUP($Q132,武学奇术!$A:$ZZ,15,FALSE)+SUM(_xlfn.XLOOKUP($R132:$AK132,增益!$A:$A,增益!$O:$O,0))&gt;0,($F$14-$I$4+VLOOKUP($Q132,武学奇术!$A:$ZZ,15,FALSE)+SUM(_xlfn.XLOOKUP($R132:$AK132,增益!$A:$A,增益!$O:$O,0)))/200,($F$14-$I$4+VLOOKUP($Q132,武学奇术!$A:$ZZ,15,FALSE)+SUM(_xlfn.XLOOKUP($R132:$AK132,增益!$A:$A,增益!$O:$O,0)))/100)</f>
        <v>-0.3</v>
      </c>
      <c r="BM132" s="32" cm="1">
        <f t="array" ref="BM132">$G$14+VLOOKUP($Q132,武学奇术!$A:$ZZ,16,FALSE)+SUM(_xlfn.XLOOKUP($R132:$AK132,增益!$A:$A,增益!$P:$P,0))</f>
        <v>0</v>
      </c>
      <c r="BN132" s="24">
        <f>MIN(IF(VLOOKUP($Q132,武学奇术!$A:$ZZ,23,FALSE)=1,100%,$B$8),100%)</f>
        <v>1</v>
      </c>
      <c r="BO132" s="24" cm="1">
        <f t="array" ref="BO132">IF(VLOOKUP($Q132,武学奇术!$A:$ZZ,23,FALSE)=1,100%,MIN(80%,$B$9+VLOOKUP($Q132,武学奇术!$A:$ZZ,17,FALSE)+SUM(_xlfn.XLOOKUP($R132:$AK132,增益!$A:$A,增益!$Q:$Q,0)))+$B$11+SUM(_xlfn.XLOOKUP($R132:$AK132,增益!$A:$A,增益!$U:$U,0)))*IF(VLOOKUP($Q132,武学奇术!$A:$ZZ,24,FALSE)=1,0,1)</f>
        <v>0.9093</v>
      </c>
      <c r="BP132" s="24" cm="1">
        <f t="array" ref="BP132">1+$B$13+VLOOKUP($Q132,武学奇术!$A:$ZZ,18,FALSE)+SUM(_xlfn.XLOOKUP($R132:$AK132,增益!$A:$A,增益!$R:$R,0))</f>
        <v>1.85</v>
      </c>
      <c r="BQ132" s="24" cm="1">
        <f t="array" ref="BQ132">IF(VLOOKUP($Q132,武学奇术!$A:$ZZ,24,FALSE)=1,100%,MIN(40%,$B$10+VLOOKUP($Q132,武学奇术!$A:$ZZ,19,FALSE)+SUM(_xlfn.XLOOKUP($R132:$AK132,增益!$A:$A,增益!$S:$S,0)))+$B$12+SUM(_xlfn.XLOOKUP($R132:$AK132,增益!$A:$A,增益!$V:$V,0)))*IF(VLOOKUP($Q132,武学奇术!$A:$ZZ,23,FALSE)=1,0,1)</f>
        <v>0.0929</v>
      </c>
      <c r="BR132" s="24" cm="1">
        <f t="array" ref="BR132">1+$B$14+VLOOKUP($Q132,武学奇术!$A:$ZZ,20,FALSE)+SUM(_xlfn.XLOOKUP($R132:$AK132,增益!$A:$A,增益!$T:$T,0))</f>
        <v>1.35</v>
      </c>
      <c r="BS132" s="24">
        <f t="shared" si="43"/>
        <v>0.9071</v>
      </c>
      <c r="BT132" s="24">
        <f t="shared" si="44"/>
        <v>0</v>
      </c>
      <c r="BU132" s="24">
        <f>IF(VLOOKUP($Q132,武学奇术!$A:$ZZ,22,FALSE)=1,0,(1-$BN132))*(1-$BQ132)</f>
        <v>0</v>
      </c>
      <c r="BV132" s="24" cm="1">
        <f t="array" ref="BV132">SUM(_xlfn.XLOOKUP($R132:$AK132,增益!$A:$A,增益!$W:$W,0))+$I$5</f>
        <v>0.06</v>
      </c>
    </row>
    <row r="133" spans="11:74">
      <c r="K133" s="38">
        <f t="shared" si="34"/>
        <v>14481.1703321407</v>
      </c>
      <c r="L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BP133*$P133*(1+IF(VLOOKUP($Q133,武学奇术!$A:$ZZ,30,FALSE)="弹道",$B$21,0))*(1+$BV133)</f>
        <v>14601.2507550004</v>
      </c>
      <c r="M133" s="38">
        <f>(($AT133*$AM133+$AN133)*(1+$AU133)*(1+$AV133)+($AY133*IF($G$1="鸣金",$AO133,$AM133)+IF($G$1="鸣金",$AP133*1.5,0))*(1+$AZ133)*(1+$BA133)+($BC133*IF($G$1="裂石",$AO133,$AM133)+IF($G$1="裂石",$AP133*1.5,0))*(1+$BD133)*(1+$BE133)+($BG133*IF($G$1="牵丝",$AO133,$AM133)+IF($G$1="牵丝",$AP133*1.5,0))*(1+$BH133)*(1+$BI133)+($BK133*IF($G$1="破竹",$AO133,$AM133)+IF($G$1="破竹",$AP133*1.5,0))*(1+$BL133)*(1+$BM133))*(1+$AQ133)*$BR133*$P133*(1+IF(VLOOKUP($Q133,武学奇术!$A:$ZZ,30,FALSE)="弹道",$B$21,0))*(1+$BV133)</f>
        <v>13308.6735444549</v>
      </c>
      <c r="N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P133*(1+IF(VLOOKUP($Q133,武学奇术!$A:$ZZ,30,FALSE)="弹道",$B$21,0))*(1+$BV133)</f>
        <v>9125.78172187525</v>
      </c>
      <c r="O133" s="38">
        <f>((($AS133*$AM133+$AN133)*(1+$AU133)*(1+$AV133)+($AX133*IF($G$1="鸣金",$AO133,$AM133)+IF($G$1="鸣金",$AP133*1.5,0))*(1+$AZ133)*(1+$BA133)+($BB133*IF($G$1="裂石",$AO133,$AM133)+IF($G$1="裂石",$AP133*1.5,0))*(1+$BD133)*(1+$BE133)+($BF133*IF($G$1="牵丝",$AO133,$AM133)+IF($G$1="牵丝",$AP133*1.5,0))*(1+$BH133)*(1+$BI133)+($BJ133*IF($G$1="破竹",$AO133,$AM133)+IF($G$1="破竹",$AP133*1.5,0))*(1+$BL133)*(1+$BM133))*(1+$AQ133))*$P133*(1+IF(VLOOKUP($Q133,武学奇术!$A:$ZZ,30,FALSE)="弹道",$B$21,0))*(1+$BV133)</f>
        <v>8393.28674415425</v>
      </c>
      <c r="P133" s="39">
        <f t="shared" si="45"/>
        <v>1</v>
      </c>
      <c r="Q133" s="40" t="s">
        <v>197</v>
      </c>
      <c r="R133" s="40" t="s">
        <v>97</v>
      </c>
      <c r="S133" s="40" t="s">
        <v>176</v>
      </c>
      <c r="T133" s="40" t="s">
        <v>78</v>
      </c>
      <c r="U133" s="40" t="s">
        <v>171</v>
      </c>
      <c r="V133" s="40" t="s">
        <v>78</v>
      </c>
      <c r="W133" s="40" t="s">
        <v>78</v>
      </c>
      <c r="X133" s="40" t="s">
        <v>78</v>
      </c>
      <c r="Y133" s="40" t="s">
        <v>78</v>
      </c>
      <c r="Z133" s="40" t="s">
        <v>78</v>
      </c>
      <c r="AA133" s="40" t="s">
        <v>78</v>
      </c>
      <c r="AB133" s="40" t="s">
        <v>78</v>
      </c>
      <c r="AC133" s="40" t="s">
        <v>78</v>
      </c>
      <c r="AD133" s="40" t="s">
        <v>78</v>
      </c>
      <c r="AE133" s="40" t="s">
        <v>78</v>
      </c>
      <c r="AF133" s="40" t="s">
        <v>78</v>
      </c>
      <c r="AG133" s="40" t="s">
        <v>78</v>
      </c>
      <c r="AH133" s="40" t="s">
        <v>78</v>
      </c>
      <c r="AI133" s="40" t="s">
        <v>78</v>
      </c>
      <c r="AJ133" s="40" t="s">
        <v>78</v>
      </c>
      <c r="AK133" s="40" t="s">
        <v>78</v>
      </c>
      <c r="AL133" t="str">
        <f>VLOOKUP($Q133,武学奇术!$A:$ZZ,25,FALSE)</f>
        <v>心法</v>
      </c>
      <c r="AM133" s="24">
        <f>VLOOKUP($Q133,武学奇术!$A:$ZZ,26,FALSE)</f>
        <v>1</v>
      </c>
      <c r="AN133" s="25">
        <f>VLOOKUP($Q133,武学奇术!$A:$ZZ,27,FALSE)*(1+IF(OR($AL133=$F$4,$AL133=$F$5),$B$22,0))</f>
        <v>0</v>
      </c>
      <c r="AO133" s="24">
        <f>VLOOKUP($Q133,武学奇术!$A:$ZZ,28,FALSE)</f>
        <v>1</v>
      </c>
      <c r="AP133" s="25">
        <f>VLOOKUP($Q133,武学奇术!$A:$ZZ,29,FALSE)*(1+IF(OR($AL133=$F$4,$AL133=$F$5),$B$22,0))</f>
        <v>0</v>
      </c>
      <c r="AQ133" s="24" cm="1">
        <f t="array" ref="AQ133">$G$3+IFERROR(VLOOKUP($AL133,$F$4:$G$7,2,FALSE),0)+VLOOKUP($Q133,武学奇术!$A:$ZZ,2,FALSE)+SUM(_xlfn.XLOOKUP($R133:$AK133,增益!$A:$A,增益!$B:$B,0))</f>
        <v>0.2337</v>
      </c>
      <c r="AR133" s="24" cm="1">
        <f t="array" ref="AR133">VLOOKUP($Q133,武学奇术!$A:$ZZ,5,FALSE)+SUM(_xlfn.XLOOKUP($R133:$AK133,增益!$A:$A,增益!$E:$E,0))</f>
        <v>0.15</v>
      </c>
      <c r="AS133" cm="1">
        <f t="array" ref="AS133">$D$10*(1+$AR133)+VLOOKUP($Q133,武学奇术!$A:$ZZ,3,FALSE)+SUM(_xlfn.XLOOKUP($R133:$AK133,增益!$A:$A,增益!$C:$C,0))-$I$2</f>
        <v>4427.0462</v>
      </c>
      <c r="AT133" cm="1">
        <f t="array" ref="AT133">$E$10*(1+$AR133)+VLOOKUP($Q133,武学奇术!$A:$ZZ,4,FALSE)+SUM(_xlfn.XLOOKUP($R133:$AK133,增益!$A:$A,增益!$D:$D,0))-$I$2</f>
        <v>4427.0462</v>
      </c>
      <c r="AU133" s="32" cm="1">
        <f t="array" ref="AU133">IF($F$10-$I$3+VLOOKUP($Q133,武学奇术!$A:$ZZ,6,FALSE)+SUM(_xlfn.XLOOKUP($R133:$AK133,增益!$A:$A,增益!$F:$F,0))&gt;0,($F$10-$I$3+VLOOKUP($Q133,武学奇术!$A:$ZZ,6,FALSE)+SUM(_xlfn.XLOOKUP($R133:$AK133,增益!$A:$A,增益!$F:$F,0)))/200,($F$10-$I$3+VLOOKUP($Q133,武学奇术!$A:$ZZ,6,FALSE)+SUM(_xlfn.XLOOKUP($R133:$AK133,增益!$A:$A,增益!$F:$F,0)))/100)</f>
        <v>0.2925</v>
      </c>
      <c r="AV133" s="32" cm="1">
        <f t="array" ref="AV133">$G$10+VLOOKUP($Q133,武学奇术!$A:$ZZ,7,FALSE)+SUM(_xlfn.XLOOKUP($R133:$AK133,增益!$A:$A,增益!$G:$G,0))</f>
        <v>0</v>
      </c>
      <c r="AW133" s="24" cm="1">
        <f t="array" ref="AW133">VLOOKUP($Q133,武学奇术!$A:$ZZ,8,FALSE)+SUM(_xlfn.XLOOKUP($R133:$AK133,增益!$A:$A,增益!$H:$H,0))</f>
        <v>0</v>
      </c>
      <c r="AX133">
        <f t="shared" si="35"/>
        <v>0</v>
      </c>
      <c r="AY133">
        <f t="shared" si="36"/>
        <v>0</v>
      </c>
      <c r="AZ133" s="32" cm="1">
        <f t="array" ref="AZ133">IF($F$11-$I$4+VLOOKUP($Q133,武学奇术!$A:$ZZ,9,FALSE)+SUM(_xlfn.XLOOKUP($R133:$AK133,增益!$A:$A,增益!$I:$I,0))&gt;0,($F$11-$I$4+VLOOKUP($Q133,武学奇术!$A:$ZZ,9,FALSE)+SUM(_xlfn.XLOOKUP($R133:$AK133,增益!$A:$A,增益!$I:$I,0)))/200,($F$11-$I$4+VLOOKUP($Q133,武学奇术!$A:$ZZ,9,FALSE)+SUM(_xlfn.XLOOKUP($R133:$AK133,增益!$A:$A,增益!$I:$I,0)))/100)</f>
        <v>-0.3</v>
      </c>
      <c r="BA133" s="32" cm="1">
        <f t="array" ref="BA133">$G$11+VLOOKUP($Q133,武学奇术!$A:$ZZ,10,FALSE)+SUM(_xlfn.XLOOKUP($R133:$AK133,增益!$A:$A,增益!$J:$J,0))</f>
        <v>0</v>
      </c>
      <c r="BB133">
        <f t="shared" si="37"/>
        <v>0</v>
      </c>
      <c r="BC133">
        <f t="shared" si="38"/>
        <v>0</v>
      </c>
      <c r="BD133" s="32" cm="1">
        <f t="array" ref="BD133">IF($F$12-$I$4+VLOOKUP($Q133,武学奇术!$A:$ZZ,11,FALSE)+SUM(_xlfn.XLOOKUP($R133:$AK133,增益!$A:$A,增益!$K:$K,0))&gt;0,($F$12-$I$4+VLOOKUP($Q133,武学奇术!$A:$ZZ,11,FALSE)+SUM(_xlfn.XLOOKUP($R133:$AK133,增益!$A:$A,增益!$K:$K,0)))/200,($F$12-$I$4+VLOOKUP($Q133,武学奇术!$A:$ZZ,11,FALSE)+SUM(_xlfn.XLOOKUP($R133:$AK133,增益!$A:$A,增益!$K:$K,0)))/100)</f>
        <v>-0.3</v>
      </c>
      <c r="BE133" s="32" cm="1">
        <f t="array" ref="BE133">$G$12+VLOOKUP($Q133,武学奇术!$A:$ZZ,12,FALSE)+SUM(_xlfn.XLOOKUP($R133:$AK133,增益!$A:$A,增益!$L:$L,0))</f>
        <v>0</v>
      </c>
      <c r="BF133">
        <f t="shared" si="39"/>
        <v>605.472</v>
      </c>
      <c r="BG133">
        <f t="shared" si="40"/>
        <v>1579.612</v>
      </c>
      <c r="BH133" s="32" cm="1">
        <f t="array" ref="BH133">IF($F$13-$I$4+VLOOKUP($Q133,武学奇术!$A:$ZZ,13,FALSE)+SUM(_xlfn.XLOOKUP($R133:$AK133,增益!$A:$A,增益!$M:$M,0))&gt;0,($F$13-$I$4+VLOOKUP($Q133,武学奇术!$A:$ZZ,13,FALSE)+SUM(_xlfn.XLOOKUP($R133:$AK133,增益!$A:$A,增益!$K:$K,0)))/200,($F$13-$I$4+VLOOKUP($Q133,武学奇术!$A:$ZZ,13,FALSE)+SUM(_xlfn.XLOOKUP($R133:$AK133,增益!$A:$A,增益!$M:$M,0)))/100)</f>
        <v>0</v>
      </c>
      <c r="BI133" s="32" cm="1">
        <f t="array" ref="BI133">$G$13+VLOOKUP($Q133,武学奇术!$A:$ZZ,14,FALSE)+SUM(_xlfn.XLOOKUP($R133:$AK133,增益!$A:$A,增益!$N:$N,0))</f>
        <v>0.15</v>
      </c>
      <c r="BJ133">
        <f t="shared" si="41"/>
        <v>0</v>
      </c>
      <c r="BK133">
        <f t="shared" si="42"/>
        <v>0</v>
      </c>
      <c r="BL133" s="32" cm="1">
        <f t="array" ref="BL133">IF($F$14-$I$4+VLOOKUP($Q133,武学奇术!$A:$ZZ,15,FALSE)+SUM(_xlfn.XLOOKUP($R133:$AK133,增益!$A:$A,增益!$O:$O,0))&gt;0,($F$14-$I$4+VLOOKUP($Q133,武学奇术!$A:$ZZ,15,FALSE)+SUM(_xlfn.XLOOKUP($R133:$AK133,增益!$A:$A,增益!$O:$O,0)))/200,($F$14-$I$4+VLOOKUP($Q133,武学奇术!$A:$ZZ,15,FALSE)+SUM(_xlfn.XLOOKUP($R133:$AK133,增益!$A:$A,增益!$O:$O,0)))/100)</f>
        <v>-0.3</v>
      </c>
      <c r="BM133" s="32" cm="1">
        <f t="array" ref="BM133">$G$14+VLOOKUP($Q133,武学奇术!$A:$ZZ,16,FALSE)+SUM(_xlfn.XLOOKUP($R133:$AK133,增益!$A:$A,增益!$P:$P,0))</f>
        <v>0</v>
      </c>
      <c r="BN133" s="24">
        <f>MIN(IF(VLOOKUP($Q133,武学奇术!$A:$ZZ,23,FALSE)=1,100%,$B$8),100%)</f>
        <v>1</v>
      </c>
      <c r="BO133" s="24" cm="1">
        <f t="array" ref="BO133">IF(VLOOKUP($Q133,武学奇术!$A:$ZZ,23,FALSE)=1,100%,MIN(80%,$B$9+VLOOKUP($Q133,武学奇术!$A:$ZZ,17,FALSE)+SUM(_xlfn.XLOOKUP($R133:$AK133,增益!$A:$A,增益!$Q:$Q,0)))+$B$11+SUM(_xlfn.XLOOKUP($R133:$AK133,增益!$A:$A,增益!$U:$U,0)))*IF(VLOOKUP($Q133,武学奇术!$A:$ZZ,24,FALSE)=1,0,1)</f>
        <v>0.9093</v>
      </c>
      <c r="BP133" s="24" cm="1">
        <f t="array" ref="BP133">1+$B$13+VLOOKUP($Q133,武学奇术!$A:$ZZ,18,FALSE)+SUM(_xlfn.XLOOKUP($R133:$AK133,增益!$A:$A,增益!$R:$R,0))</f>
        <v>1.6</v>
      </c>
      <c r="BQ133" s="24" cm="1">
        <f t="array" ref="BQ133">IF(VLOOKUP($Q133,武学奇术!$A:$ZZ,24,FALSE)=1,100%,MIN(40%,$B$10+VLOOKUP($Q133,武学奇术!$A:$ZZ,19,FALSE)+SUM(_xlfn.XLOOKUP($R133:$AK133,增益!$A:$A,增益!$S:$S,0)))+$B$12+SUM(_xlfn.XLOOKUP($R133:$AK133,增益!$A:$A,增益!$V:$V,0)))*IF(VLOOKUP($Q133,武学奇术!$A:$ZZ,23,FALSE)=1,0,1)</f>
        <v>0.0929</v>
      </c>
      <c r="BR133" s="24" cm="1">
        <f t="array" ref="BR133">1+$B$14+VLOOKUP($Q133,武学奇术!$A:$ZZ,20,FALSE)+SUM(_xlfn.XLOOKUP($R133:$AK133,增益!$A:$A,增益!$T:$T,0))</f>
        <v>1.35</v>
      </c>
      <c r="BS133" s="24">
        <f t="shared" si="43"/>
        <v>0.9071</v>
      </c>
      <c r="BT133" s="24">
        <f t="shared" si="44"/>
        <v>0</v>
      </c>
      <c r="BU133" s="24">
        <f>IF(VLOOKUP($Q133,武学奇术!$A:$ZZ,22,FALSE)=1,0,(1-$BN133))*(1-$BQ133)</f>
        <v>0</v>
      </c>
      <c r="BV133" s="24" cm="1">
        <f t="array" ref="BV133">SUM(_xlfn.XLOOKUP($R133:$AK133,增益!$A:$A,增益!$W:$W,0))+$I$5</f>
        <v>0.06</v>
      </c>
    </row>
    <row r="134" spans="11:74">
      <c r="K134" s="38">
        <f t="shared" si="34"/>
        <v>21224.8679475376</v>
      </c>
      <c r="L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BP134*$P134*(1+IF(VLOOKUP($Q134,武学奇术!$A:$ZZ,30,FALSE)="弹道",$B$21,0))*(1+$BV134)</f>
        <v>21659.4979246819</v>
      </c>
      <c r="M134" s="38">
        <f>(($AT134*$AM134+$AN134)*(1+$AU134)*(1+$AV134)+($AY134*IF($G$1="鸣金",$AO134,$AM134)+IF($G$1="鸣金",$AP134*1.5,0))*(1+$AZ134)*(1+$BA134)+($BC134*IF($G$1="裂石",$AO134,$AM134)+IF($G$1="裂石",$AP134*1.5,0))*(1+$BD134)*(1+$BE134)+($BG134*IF($G$1="牵丝",$AO134,$AM134)+IF($G$1="牵丝",$AP134*1.5,0))*(1+$BH134)*(1+$BI134)+($BK134*IF($G$1="破竹",$AO134,$AM134)+IF($G$1="破竹",$AP134*1.5,0))*(1+$BL134)*(1+$BM134))*(1+$AQ134)*$BR134*$P134*(1+IF(VLOOKUP($Q134,武学奇术!$A:$ZZ,30,FALSE)="弹道",$B$21,0))*(1+$BV134)</f>
        <v>16981.0266960026</v>
      </c>
      <c r="N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P134*(1+IF(VLOOKUP($Q134,武学奇术!$A:$ZZ,30,FALSE)="弹道",$B$21,0))*(1+$BV134)</f>
        <v>11707.8367160443</v>
      </c>
      <c r="O134" s="38">
        <f>((($AS134*$AM134+$AN134)*(1+$AU134)*(1+$AV134)+($AX134*IF($G$1="鸣金",$AO134,$AM134)+IF($G$1="鸣金",$AP134*1.5,0))*(1+$AZ134)*(1+$BA134)+($BB134*IF($G$1="裂石",$AO134,$AM134)+IF($G$1="裂石",$AP134*1.5,0))*(1+$BD134)*(1+$BE134)+($BF134*IF($G$1="牵丝",$AO134,$AM134)+IF($G$1="牵丝",$AP134*1.5,0))*(1+$BH134)*(1+$BI134)+($BJ134*IF($G$1="破竹",$AO134,$AM134)+IF($G$1="破竹",$AP134*1.5,0))*(1+$BL134)*(1+$BM134))*(1+$AQ134))*$P134*(1+IF(VLOOKUP($Q134,武学奇术!$A:$ZZ,30,FALSE)="弹道",$B$21,0))*(1+$BV134)</f>
        <v>10837.1351387533</v>
      </c>
      <c r="P134" s="39">
        <f t="shared" si="45"/>
        <v>1</v>
      </c>
      <c r="Q134" s="40" t="s">
        <v>197</v>
      </c>
      <c r="R134" s="40" t="s">
        <v>97</v>
      </c>
      <c r="S134" s="40" t="s">
        <v>176</v>
      </c>
      <c r="T134" s="40" t="s">
        <v>78</v>
      </c>
      <c r="U134" s="40" t="s">
        <v>171</v>
      </c>
      <c r="V134" s="40" t="s">
        <v>78</v>
      </c>
      <c r="W134" s="40" t="s">
        <v>78</v>
      </c>
      <c r="X134" s="40" t="s">
        <v>78</v>
      </c>
      <c r="Y134" s="40" t="s">
        <v>184</v>
      </c>
      <c r="Z134" s="40" t="s">
        <v>78</v>
      </c>
      <c r="AA134" s="40" t="s">
        <v>78</v>
      </c>
      <c r="AB134" s="40" t="s">
        <v>78</v>
      </c>
      <c r="AC134" s="40" t="s">
        <v>185</v>
      </c>
      <c r="AD134" s="40" t="s">
        <v>186</v>
      </c>
      <c r="AE134" s="40" t="s">
        <v>78</v>
      </c>
      <c r="AF134" s="40" t="s">
        <v>78</v>
      </c>
      <c r="AG134" s="40" t="s">
        <v>78</v>
      </c>
      <c r="AH134" s="40" t="s">
        <v>78</v>
      </c>
      <c r="AI134" s="40" t="s">
        <v>78</v>
      </c>
      <c r="AJ134" s="40" t="s">
        <v>78</v>
      </c>
      <c r="AK134" s="40" t="s">
        <v>188</v>
      </c>
      <c r="AL134" t="str">
        <f>VLOOKUP($Q134,武学奇术!$A:$ZZ,25,FALSE)</f>
        <v>心法</v>
      </c>
      <c r="AM134" s="24">
        <f>VLOOKUP($Q134,武学奇术!$A:$ZZ,26,FALSE)</f>
        <v>1</v>
      </c>
      <c r="AN134" s="25">
        <f>VLOOKUP($Q134,武学奇术!$A:$ZZ,27,FALSE)*(1+IF(OR($AL134=$F$4,$AL134=$F$5),$B$22,0))</f>
        <v>0</v>
      </c>
      <c r="AO134" s="24">
        <f>VLOOKUP($Q134,武学奇术!$A:$ZZ,28,FALSE)</f>
        <v>1</v>
      </c>
      <c r="AP134" s="25">
        <f>VLOOKUP($Q134,武学奇术!$A:$ZZ,29,FALSE)*(1+IF(OR($AL134=$F$4,$AL134=$F$5),$B$22,0))</f>
        <v>0</v>
      </c>
      <c r="AQ134" s="24" cm="1">
        <f t="array" ref="AQ134">$G$3+IFERROR(VLOOKUP($AL134,$F$4:$G$7,2,FALSE),0)+VLOOKUP($Q134,武学奇术!$A:$ZZ,2,FALSE)+SUM(_xlfn.XLOOKUP($R134:$AK134,增益!$A:$A,增益!$B:$B,0))</f>
        <v>0.2337</v>
      </c>
      <c r="AR134" s="24" cm="1">
        <f t="array" ref="AR134">VLOOKUP($Q134,武学奇术!$A:$ZZ,5,FALSE)+SUM(_xlfn.XLOOKUP($R134:$AK134,增益!$A:$A,增益!$E:$E,0))</f>
        <v>0.15</v>
      </c>
      <c r="AS134" cm="1">
        <f t="array" ref="AS134">$D$10*(1+$AR134)+VLOOKUP($Q134,武学奇术!$A:$ZZ,3,FALSE)+SUM(_xlfn.XLOOKUP($R134:$AK134,增益!$A:$A,增益!$C:$C,0))-$I$2</f>
        <v>4427.0462</v>
      </c>
      <c r="AT134" cm="1">
        <f t="array" ref="AT134">$E$10*(1+$AR134)+VLOOKUP($Q134,武学奇术!$A:$ZZ,4,FALSE)+SUM(_xlfn.XLOOKUP($R134:$AK134,增益!$A:$A,增益!$D:$D,0))-$I$2</f>
        <v>4427.0462</v>
      </c>
      <c r="AU134" s="32" cm="1">
        <f t="array" ref="AU134">IF($F$10-$I$3+VLOOKUP($Q134,武学奇术!$A:$ZZ,6,FALSE)+SUM(_xlfn.XLOOKUP($R134:$AK134,增益!$A:$A,增益!$F:$F,0))&gt;0,($F$10-$I$3+VLOOKUP($Q134,武学奇术!$A:$ZZ,6,FALSE)+SUM(_xlfn.XLOOKUP($R134:$AK134,增益!$A:$A,增益!$F:$F,0)))/200,($F$10-$I$3+VLOOKUP($Q134,武学奇术!$A:$ZZ,6,FALSE)+SUM(_xlfn.XLOOKUP($R134:$AK134,增益!$A:$A,增益!$F:$F,0)))/100)</f>
        <v>0.4175</v>
      </c>
      <c r="AV134" s="32" cm="1">
        <f t="array" ref="AV134">$G$10+VLOOKUP($Q134,武学奇术!$A:$ZZ,7,FALSE)+SUM(_xlfn.XLOOKUP($R134:$AK134,增益!$A:$A,增益!$G:$G,0))</f>
        <v>0</v>
      </c>
      <c r="AW134" s="24" cm="1">
        <f t="array" ref="AW134">VLOOKUP($Q134,武学奇术!$A:$ZZ,8,FALSE)+SUM(_xlfn.XLOOKUP($R134:$AK134,增益!$A:$A,增益!$H:$H,0))</f>
        <v>0</v>
      </c>
      <c r="AX134">
        <f t="shared" si="35"/>
        <v>0</v>
      </c>
      <c r="AY134">
        <f t="shared" si="36"/>
        <v>0</v>
      </c>
      <c r="AZ134" s="32" cm="1">
        <f t="array" ref="AZ134">IF($F$11-$I$4+VLOOKUP($Q134,武学奇术!$A:$ZZ,9,FALSE)+SUM(_xlfn.XLOOKUP($R134:$AK134,增益!$A:$A,增益!$I:$I,0))&gt;0,($F$11-$I$4+VLOOKUP($Q134,武学奇术!$A:$ZZ,9,FALSE)+SUM(_xlfn.XLOOKUP($R134:$AK134,增益!$A:$A,增益!$I:$I,0)))/200,($F$11-$I$4+VLOOKUP($Q134,武学奇术!$A:$ZZ,9,FALSE)+SUM(_xlfn.XLOOKUP($R134:$AK134,增益!$A:$A,增益!$I:$I,0)))/100)</f>
        <v>-0.3</v>
      </c>
      <c r="BA134" s="32" cm="1">
        <f t="array" ref="BA134">$G$11+VLOOKUP($Q134,武学奇术!$A:$ZZ,10,FALSE)+SUM(_xlfn.XLOOKUP($R134:$AK134,增益!$A:$A,增益!$J:$J,0))</f>
        <v>0</v>
      </c>
      <c r="BB134">
        <f t="shared" si="37"/>
        <v>0</v>
      </c>
      <c r="BC134">
        <f t="shared" si="38"/>
        <v>0</v>
      </c>
      <c r="BD134" s="32" cm="1">
        <f t="array" ref="BD134">IF($F$12-$I$4+VLOOKUP($Q134,武学奇术!$A:$ZZ,11,FALSE)+SUM(_xlfn.XLOOKUP($R134:$AK134,增益!$A:$A,增益!$K:$K,0))&gt;0,($F$12-$I$4+VLOOKUP($Q134,武学奇术!$A:$ZZ,11,FALSE)+SUM(_xlfn.XLOOKUP($R134:$AK134,增益!$A:$A,增益!$K:$K,0)))/200,($F$12-$I$4+VLOOKUP($Q134,武学奇术!$A:$ZZ,11,FALSE)+SUM(_xlfn.XLOOKUP($R134:$AK134,增益!$A:$A,增益!$K:$K,0)))/100)</f>
        <v>-0.3</v>
      </c>
      <c r="BE134" s="32" cm="1">
        <f t="array" ref="BE134">$G$12+VLOOKUP($Q134,武学奇术!$A:$ZZ,12,FALSE)+SUM(_xlfn.XLOOKUP($R134:$AK134,增益!$A:$A,增益!$L:$L,0))</f>
        <v>0</v>
      </c>
      <c r="BF134">
        <f t="shared" si="39"/>
        <v>605.472</v>
      </c>
      <c r="BG134">
        <f t="shared" si="40"/>
        <v>1579.612</v>
      </c>
      <c r="BH134" s="32" cm="1">
        <f t="array" ref="BH134">IF($F$13-$I$4+VLOOKUP($Q134,武学奇术!$A:$ZZ,13,FALSE)+SUM(_xlfn.XLOOKUP($R134:$AK134,增益!$A:$A,增益!$M:$M,0))&gt;0,($F$13-$I$4+VLOOKUP($Q134,武学奇术!$A:$ZZ,13,FALSE)+SUM(_xlfn.XLOOKUP($R134:$AK134,增益!$A:$A,增益!$K:$K,0)))/200,($F$13-$I$4+VLOOKUP($Q134,武学奇术!$A:$ZZ,13,FALSE)+SUM(_xlfn.XLOOKUP($R134:$AK134,增益!$A:$A,增益!$M:$M,0)))/100)</f>
        <v>0</v>
      </c>
      <c r="BI134" s="32" cm="1">
        <f t="array" ref="BI134">$G$13+VLOOKUP($Q134,武学奇术!$A:$ZZ,14,FALSE)+SUM(_xlfn.XLOOKUP($R134:$AK134,增益!$A:$A,增益!$N:$N,0))</f>
        <v>0.15</v>
      </c>
      <c r="BJ134">
        <f t="shared" si="41"/>
        <v>0</v>
      </c>
      <c r="BK134">
        <f t="shared" si="42"/>
        <v>0</v>
      </c>
      <c r="BL134" s="32" cm="1">
        <f t="array" ref="BL134">IF($F$14-$I$4+VLOOKUP($Q134,武学奇术!$A:$ZZ,15,FALSE)+SUM(_xlfn.XLOOKUP($R134:$AK134,增益!$A:$A,增益!$O:$O,0))&gt;0,($F$14-$I$4+VLOOKUP($Q134,武学奇术!$A:$ZZ,15,FALSE)+SUM(_xlfn.XLOOKUP($R134:$AK134,增益!$A:$A,增益!$O:$O,0)))/200,($F$14-$I$4+VLOOKUP($Q134,武学奇术!$A:$ZZ,15,FALSE)+SUM(_xlfn.XLOOKUP($R134:$AK134,增益!$A:$A,增益!$O:$O,0)))/100)</f>
        <v>-0.3</v>
      </c>
      <c r="BM134" s="32" cm="1">
        <f t="array" ref="BM134">$G$14+VLOOKUP($Q134,武学奇术!$A:$ZZ,16,FALSE)+SUM(_xlfn.XLOOKUP($R134:$AK134,增益!$A:$A,增益!$P:$P,0))</f>
        <v>0</v>
      </c>
      <c r="BN134" s="24">
        <f>MIN(IF(VLOOKUP($Q134,武学奇术!$A:$ZZ,23,FALSE)=1,100%,$B$8),100%)</f>
        <v>1</v>
      </c>
      <c r="BO134" s="24" cm="1">
        <f t="array" ref="BO134">IF(VLOOKUP($Q134,武学奇术!$A:$ZZ,23,FALSE)=1,100%,MIN(80%,$B$9+VLOOKUP($Q134,武学奇术!$A:$ZZ,17,FALSE)+SUM(_xlfn.XLOOKUP($R134:$AK134,增益!$A:$A,增益!$Q:$Q,0)))+$B$11+SUM(_xlfn.XLOOKUP($R134:$AK134,增益!$A:$A,增益!$U:$U,0)))*IF(VLOOKUP($Q134,武学奇术!$A:$ZZ,24,FALSE)=1,0,1)</f>
        <v>0.9093</v>
      </c>
      <c r="BP134" s="24" cm="1">
        <f t="array" ref="BP134">1+$B$13+VLOOKUP($Q134,武学奇术!$A:$ZZ,18,FALSE)+SUM(_xlfn.XLOOKUP($R134:$AK134,增益!$A:$A,增益!$R:$R,0))</f>
        <v>1.85</v>
      </c>
      <c r="BQ134" s="24" cm="1">
        <f t="array" ref="BQ134">IF(VLOOKUP($Q134,武学奇术!$A:$ZZ,24,FALSE)=1,100%,MIN(40%,$B$10+VLOOKUP($Q134,武学奇术!$A:$ZZ,19,FALSE)+SUM(_xlfn.XLOOKUP($R134:$AK134,增益!$A:$A,增益!$S:$S,0)))+$B$12+SUM(_xlfn.XLOOKUP($R134:$AK134,增益!$A:$A,增益!$V:$V,0)))*IF(VLOOKUP($Q134,武学奇术!$A:$ZZ,23,FALSE)=1,0,1)</f>
        <v>0.0929</v>
      </c>
      <c r="BR134" s="24" cm="1">
        <f t="array" ref="BR134">1+$B$14+VLOOKUP($Q134,武学奇术!$A:$ZZ,20,FALSE)+SUM(_xlfn.XLOOKUP($R134:$AK134,增益!$A:$A,增益!$T:$T,0))</f>
        <v>1.35</v>
      </c>
      <c r="BS134" s="24">
        <f t="shared" si="43"/>
        <v>0.9071</v>
      </c>
      <c r="BT134" s="24">
        <f t="shared" si="44"/>
        <v>0</v>
      </c>
      <c r="BU134" s="24">
        <f>IF(VLOOKUP($Q134,武学奇术!$A:$ZZ,22,FALSE)=1,0,(1-$BN134))*(1-$BQ134)</f>
        <v>0</v>
      </c>
      <c r="BV134" s="24" cm="1">
        <f t="array" ref="BV134">SUM(_xlfn.XLOOKUP($R134:$AK134,增益!$A:$A,增益!$W:$W,0))+$I$5</f>
        <v>0.26</v>
      </c>
    </row>
    <row r="135" spans="11:74">
      <c r="K135" s="38">
        <f t="shared" si="34"/>
        <v>0</v>
      </c>
      <c r="L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BP135*$P135*(1+IF(VLOOKUP($Q135,武学奇术!$A:$ZZ,30,FALSE)="弹道",$B$21,0))*(1+$BV135)</f>
        <v>0</v>
      </c>
      <c r="M135" s="38">
        <f>(($AT135*$AM135+$AN135)*(1+$AU135)*(1+$AV135)+($AY135*IF($G$1="鸣金",$AO135,$AM135)+IF($G$1="鸣金",$AP135*1.5,0))*(1+$AZ135)*(1+$BA135)+($BC135*IF($G$1="裂石",$AO135,$AM135)+IF($G$1="裂石",$AP135*1.5,0))*(1+$BD135)*(1+$BE135)+($BG135*IF($G$1="牵丝",$AO135,$AM135)+IF($G$1="牵丝",$AP135*1.5,0))*(1+$BH135)*(1+$BI135)+($BK135*IF($G$1="破竹",$AO135,$AM135)+IF($G$1="破竹",$AP135*1.5,0))*(1+$BL135)*(1+$BM135))*(1+$AQ135)*$BR135*$P135*(1+IF(VLOOKUP($Q135,武学奇术!$A:$ZZ,30,FALSE)="弹道",$B$21,0))*(1+$BV135)</f>
        <v>0</v>
      </c>
      <c r="N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P135*(1+IF(VLOOKUP($Q135,武学奇术!$A:$ZZ,30,FALSE)="弹道",$B$21,0))*(1+$BV135)</f>
        <v>0</v>
      </c>
      <c r="O135" s="38">
        <f>((($AS135*$AM135+$AN135)*(1+$AU135)*(1+$AV135)+($AX135*IF($G$1="鸣金",$AO135,$AM135)+IF($G$1="鸣金",$AP135*1.5,0))*(1+$AZ135)*(1+$BA135)+($BB135*IF($G$1="裂石",$AO135,$AM135)+IF($G$1="裂石",$AP135*1.5,0))*(1+$BD135)*(1+$BE135)+($BF135*IF($G$1="牵丝",$AO135,$AM135)+IF($G$1="牵丝",$AP135*1.5,0))*(1+$BH135)*(1+$BI135)+($BJ135*IF($G$1="破竹",$AO135,$AM135)+IF($G$1="破竹",$AP135*1.5,0))*(1+$BL135)*(1+$BM135))*(1+$AQ135))*$P135*(1+IF(VLOOKUP($Q135,武学奇术!$A:$ZZ,30,FALSE)="弹道",$B$21,0))*(1+$BV135)</f>
        <v>0</v>
      </c>
      <c r="P135" s="39">
        <v>1</v>
      </c>
      <c r="Q135" s="40" t="s">
        <v>78</v>
      </c>
      <c r="R135" s="40" t="s">
        <v>78</v>
      </c>
      <c r="S135" s="40" t="s">
        <v>78</v>
      </c>
      <c r="T135" s="40" t="s">
        <v>78</v>
      </c>
      <c r="U135" s="40" t="s">
        <v>78</v>
      </c>
      <c r="V135" s="40" t="s">
        <v>78</v>
      </c>
      <c r="W135" s="40" t="s">
        <v>78</v>
      </c>
      <c r="X135" s="40" t="s">
        <v>78</v>
      </c>
      <c r="Y135" s="40" t="s">
        <v>78</v>
      </c>
      <c r="Z135" s="40" t="s">
        <v>78</v>
      </c>
      <c r="AA135" s="40" t="s">
        <v>78</v>
      </c>
      <c r="AB135" s="40" t="s">
        <v>78</v>
      </c>
      <c r="AC135" s="40" t="s">
        <v>78</v>
      </c>
      <c r="AD135" s="40" t="s">
        <v>78</v>
      </c>
      <c r="AE135" s="40" t="s">
        <v>78</v>
      </c>
      <c r="AF135" s="40" t="s">
        <v>78</v>
      </c>
      <c r="AG135" s="40" t="s">
        <v>78</v>
      </c>
      <c r="AH135" s="40" t="s">
        <v>78</v>
      </c>
      <c r="AI135" s="40" t="s">
        <v>78</v>
      </c>
      <c r="AJ135" s="40" t="s">
        <v>78</v>
      </c>
      <c r="AK135" s="40" t="s">
        <v>78</v>
      </c>
      <c r="AL135" t="str">
        <f>VLOOKUP($Q135,武学奇术!$A:$ZZ,25,FALSE)</f>
        <v>心法</v>
      </c>
      <c r="AM135" s="24">
        <f>VLOOKUP($Q135,武学奇术!$A:$ZZ,26,FALSE)</f>
        <v>0</v>
      </c>
      <c r="AN135" s="25">
        <f>VLOOKUP($Q135,武学奇术!$A:$ZZ,27,FALSE)*(1+IF(OR($AL135=$F$4,$AL135=$F$5),$B$22,0))</f>
        <v>0</v>
      </c>
      <c r="AO135" s="24">
        <f>VLOOKUP($Q135,武学奇术!$A:$ZZ,28,FALSE)</f>
        <v>0</v>
      </c>
      <c r="AP135" s="25">
        <f>VLOOKUP($Q135,武学奇术!$A:$ZZ,29,FALSE)*(1+IF(OR($AL135=$F$4,$AL135=$F$5),$B$22,0))</f>
        <v>0</v>
      </c>
      <c r="AQ135" s="24" cm="1">
        <f t="array" ref="AQ135">$G$3+IFERROR(VLOOKUP($AL135,$F$4:$G$7,2,FALSE),0)+VLOOKUP($Q135,武学奇术!$A:$ZZ,2,FALSE)+SUM(_xlfn.XLOOKUP($R135:$AK135,增益!$A:$A,增益!$B:$B,0))</f>
        <v>0.1837</v>
      </c>
      <c r="AR135" s="24" cm="1">
        <f t="array" ref="AR135">VLOOKUP($Q135,武学奇术!$A:$ZZ,5,FALSE)+SUM(_xlfn.XLOOKUP($R135:$AK135,增益!$A:$A,增益!$E:$E,0))</f>
        <v>0</v>
      </c>
      <c r="AS135" cm="1">
        <f t="array" ref="AS135">$D$10*(1+$AR135)+VLOOKUP($Q135,武学奇术!$A:$ZZ,3,FALSE)+SUM(_xlfn.XLOOKUP($R135:$AK135,增益!$A:$A,增益!$C:$C,0))-$I$2</f>
        <v>3773.588</v>
      </c>
      <c r="AT135" cm="1">
        <f t="array" ref="AT135">$E$10*(1+$AR135)+VLOOKUP($Q135,武学奇术!$A:$ZZ,4,FALSE)+SUM(_xlfn.XLOOKUP($R135:$AK135,增益!$A:$A,增益!$D:$D,0))-$I$2</f>
        <v>3773.588</v>
      </c>
      <c r="AU135" s="32" cm="1">
        <f t="array" ref="AU135">IF($F$10-$I$3+VLOOKUP($Q135,武学奇术!$A:$ZZ,6,FALSE)+SUM(_xlfn.XLOOKUP($R135:$AK135,增益!$A:$A,增益!$F:$F,0))&gt;0,($F$10-$I$3+VLOOKUP($Q135,武学奇术!$A:$ZZ,6,FALSE)+SUM(_xlfn.XLOOKUP($R135:$AK135,增益!$A:$A,增益!$F:$F,0)))/200,($F$10-$I$3+VLOOKUP($Q135,武学奇术!$A:$ZZ,6,FALSE)+SUM(_xlfn.XLOOKUP($R135:$AK135,增益!$A:$A,增益!$F:$F,0)))/100)</f>
        <v>0.2425</v>
      </c>
      <c r="AV135" s="32" cm="1">
        <f t="array" ref="AV135">$G$10+VLOOKUP($Q135,武学奇术!$A:$ZZ,7,FALSE)+SUM(_xlfn.XLOOKUP($R135:$AK135,增益!$A:$A,增益!$G:$G,0))</f>
        <v>0</v>
      </c>
      <c r="AW135" s="24" cm="1">
        <f t="array" ref="AW135">VLOOKUP($Q135,武学奇术!$A:$ZZ,8,FALSE)+SUM(_xlfn.XLOOKUP($R135:$AK135,增益!$A:$A,增益!$H:$H,0))</f>
        <v>0</v>
      </c>
      <c r="AX135">
        <f t="shared" si="35"/>
        <v>0</v>
      </c>
      <c r="AY135">
        <f t="shared" si="36"/>
        <v>0</v>
      </c>
      <c r="AZ135" s="32" cm="1">
        <f t="array" ref="AZ135">IF($F$11-$I$4+VLOOKUP($Q135,武学奇术!$A:$ZZ,9,FALSE)+SUM(_xlfn.XLOOKUP($R135:$AK135,增益!$A:$A,增益!$I:$I,0))&gt;0,($F$11-$I$4+VLOOKUP($Q135,武学奇术!$A:$ZZ,9,FALSE)+SUM(_xlfn.XLOOKUP($R135:$AK135,增益!$A:$A,增益!$I:$I,0)))/200,($F$11-$I$4+VLOOKUP($Q135,武学奇术!$A:$ZZ,9,FALSE)+SUM(_xlfn.XLOOKUP($R135:$AK135,增益!$A:$A,增益!$I:$I,0)))/100)</f>
        <v>-0.3</v>
      </c>
      <c r="BA135" s="32" cm="1">
        <f t="array" ref="BA135">$G$11+VLOOKUP($Q135,武学奇术!$A:$ZZ,10,FALSE)+SUM(_xlfn.XLOOKUP($R135:$AK135,增益!$A:$A,增益!$J:$J,0))</f>
        <v>0</v>
      </c>
      <c r="BB135">
        <f t="shared" si="37"/>
        <v>0</v>
      </c>
      <c r="BC135">
        <f t="shared" si="38"/>
        <v>0</v>
      </c>
      <c r="BD135" s="32" cm="1">
        <f t="array" ref="BD135">IF($F$12-$I$4+VLOOKUP($Q135,武学奇术!$A:$ZZ,11,FALSE)+SUM(_xlfn.XLOOKUP($R135:$AK135,增益!$A:$A,增益!$K:$K,0))&gt;0,($F$12-$I$4+VLOOKUP($Q135,武学奇术!$A:$ZZ,11,FALSE)+SUM(_xlfn.XLOOKUP($R135:$AK135,增益!$A:$A,增益!$K:$K,0)))/200,($F$12-$I$4+VLOOKUP($Q135,武学奇术!$A:$ZZ,11,FALSE)+SUM(_xlfn.XLOOKUP($R135:$AK135,增益!$A:$A,增益!$K:$K,0)))/100)</f>
        <v>-0.3</v>
      </c>
      <c r="BE135" s="32" cm="1">
        <f t="array" ref="BE135">$G$12+VLOOKUP($Q135,武学奇术!$A:$ZZ,12,FALSE)+SUM(_xlfn.XLOOKUP($R135:$AK135,增益!$A:$A,增益!$L:$L,0))</f>
        <v>0</v>
      </c>
      <c r="BF135">
        <f t="shared" si="39"/>
        <v>605.472</v>
      </c>
      <c r="BG135">
        <f t="shared" si="40"/>
        <v>1579.612</v>
      </c>
      <c r="BH135" s="32" cm="1">
        <f t="array" ref="BH135">IF($F$13-$I$4+VLOOKUP($Q135,武学奇术!$A:$ZZ,13,FALSE)+SUM(_xlfn.XLOOKUP($R135:$AK135,增益!$A:$A,增益!$M:$M,0))&gt;0,($F$13-$I$4+VLOOKUP($Q135,武学奇术!$A:$ZZ,13,FALSE)+SUM(_xlfn.XLOOKUP($R135:$AK135,增益!$A:$A,增益!$K:$K,0)))/200,($F$13-$I$4+VLOOKUP($Q135,武学奇术!$A:$ZZ,13,FALSE)+SUM(_xlfn.XLOOKUP($R135:$AK135,增益!$A:$A,增益!$M:$M,0)))/100)</f>
        <v>0</v>
      </c>
      <c r="BI135" s="32" cm="1">
        <f t="array" ref="BI135">$G$13+VLOOKUP($Q135,武学奇术!$A:$ZZ,14,FALSE)+SUM(_xlfn.XLOOKUP($R135:$AK135,增益!$A:$A,增益!$N:$N,0))</f>
        <v>0.15</v>
      </c>
      <c r="BJ135">
        <f t="shared" si="41"/>
        <v>0</v>
      </c>
      <c r="BK135">
        <f t="shared" si="42"/>
        <v>0</v>
      </c>
      <c r="BL135" s="32" cm="1">
        <f t="array" ref="BL135">IF($F$14-$I$4+VLOOKUP($Q135,武学奇术!$A:$ZZ,15,FALSE)+SUM(_xlfn.XLOOKUP($R135:$AK135,增益!$A:$A,增益!$O:$O,0))&gt;0,($F$14-$I$4+VLOOKUP($Q135,武学奇术!$A:$ZZ,15,FALSE)+SUM(_xlfn.XLOOKUP($R135:$AK135,增益!$A:$A,增益!$O:$O,0)))/200,($F$14-$I$4+VLOOKUP($Q135,武学奇术!$A:$ZZ,15,FALSE)+SUM(_xlfn.XLOOKUP($R135:$AK135,增益!$A:$A,增益!$O:$O,0)))/100)</f>
        <v>-0.3</v>
      </c>
      <c r="BM135" s="32" cm="1">
        <f t="array" ref="BM135">$G$14+VLOOKUP($Q135,武学奇术!$A:$ZZ,16,FALSE)+SUM(_xlfn.XLOOKUP($R135:$AK135,增益!$A:$A,增益!$P:$P,0))</f>
        <v>0</v>
      </c>
      <c r="BN135" s="24">
        <f>MIN(IF(VLOOKUP($Q135,武学奇术!$A:$ZZ,23,FALSE)=1,100%,$B$8),100%)</f>
        <v>1</v>
      </c>
      <c r="BO135" s="24" cm="1">
        <f t="array" ref="BO135">IF(VLOOKUP($Q135,武学奇术!$A:$ZZ,23,FALSE)=1,100%,MIN(80%,$B$9+VLOOKUP($Q135,武学奇术!$A:$ZZ,17,FALSE)+SUM(_xlfn.XLOOKUP($R135:$AK135,增益!$A:$A,增益!$Q:$Q,0)))+$B$11+SUM(_xlfn.XLOOKUP($R135:$AK135,增益!$A:$A,增益!$U:$U,0)))*IF(VLOOKUP($Q135,武学奇术!$A:$ZZ,24,FALSE)=1,0,1)</f>
        <v>0.9093</v>
      </c>
      <c r="BP135" s="24" cm="1">
        <f t="array" ref="BP135">1+$B$13+VLOOKUP($Q135,武学奇术!$A:$ZZ,18,FALSE)+SUM(_xlfn.XLOOKUP($R135:$AK135,增益!$A:$A,增益!$R:$R,0))</f>
        <v>1.5</v>
      </c>
      <c r="BQ135" s="24" cm="1">
        <f t="array" ref="BQ135">IF(VLOOKUP($Q135,武学奇术!$A:$ZZ,24,FALSE)=1,100%,MIN(40%,$B$10+VLOOKUP($Q135,武学奇术!$A:$ZZ,19,FALSE)+SUM(_xlfn.XLOOKUP($R135:$AK135,增益!$A:$A,增益!$S:$S,0)))+$B$12+SUM(_xlfn.XLOOKUP($R135:$AK135,增益!$A:$A,增益!$V:$V,0)))*IF(VLOOKUP($Q135,武学奇术!$A:$ZZ,23,FALSE)=1,0,1)</f>
        <v>0.0929</v>
      </c>
      <c r="BR135" s="24" cm="1">
        <f t="array" ref="BR135">1+$B$14+VLOOKUP($Q135,武学奇术!$A:$ZZ,20,FALSE)+SUM(_xlfn.XLOOKUP($R135:$AK135,增益!$A:$A,增益!$T:$T,0))</f>
        <v>1.35</v>
      </c>
      <c r="BS135" s="24">
        <f t="shared" si="43"/>
        <v>0.9071</v>
      </c>
      <c r="BT135" s="24">
        <f t="shared" si="44"/>
        <v>0</v>
      </c>
      <c r="BU135" s="24">
        <f>IF(VLOOKUP($Q135,武学奇术!$A:$ZZ,22,FALSE)=1,0,(1-$BN135))*(1-$BQ135)</f>
        <v>0</v>
      </c>
      <c r="BV135" s="24" cm="1">
        <f t="array" ref="BV135">SUM(_xlfn.XLOOKUP($R135:$AK135,增益!$A:$A,增益!$W:$W,0))+$I$5</f>
        <v>0.06</v>
      </c>
    </row>
    <row r="136" spans="11:74">
      <c r="K136" s="38">
        <f t="shared" si="34"/>
        <v>0</v>
      </c>
      <c r="L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BP136*$P136*(1+IF(VLOOKUP($Q136,武学奇术!$A:$ZZ,30,FALSE)="弹道",$B$21,0))*(1+$BV136)</f>
        <v>0</v>
      </c>
      <c r="M136" s="38">
        <f>(($AT136*$AM136+$AN136)*(1+$AU136)*(1+$AV136)+($AY136*IF($G$1="鸣金",$AO136,$AM136)+IF($G$1="鸣金",$AP136*1.5,0))*(1+$AZ136)*(1+$BA136)+($BC136*IF($G$1="裂石",$AO136,$AM136)+IF($G$1="裂石",$AP136*1.5,0))*(1+$BD136)*(1+$BE136)+($BG136*IF($G$1="牵丝",$AO136,$AM136)+IF($G$1="牵丝",$AP136*1.5,0))*(1+$BH136)*(1+$BI136)+($BK136*IF($G$1="破竹",$AO136,$AM136)+IF($G$1="破竹",$AP136*1.5,0))*(1+$BL136)*(1+$BM136))*(1+$AQ136)*$BR136*$P136*(1+IF(VLOOKUP($Q136,武学奇术!$A:$ZZ,30,FALSE)="弹道",$B$21,0))*(1+$BV136)</f>
        <v>0</v>
      </c>
      <c r="N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P136*(1+IF(VLOOKUP($Q136,武学奇术!$A:$ZZ,30,FALSE)="弹道",$B$21,0))*(1+$BV136)</f>
        <v>0</v>
      </c>
      <c r="O136" s="38">
        <f>((($AS136*$AM136+$AN136)*(1+$AU136)*(1+$AV136)+($AX136*IF($G$1="鸣金",$AO136,$AM136)+IF($G$1="鸣金",$AP136*1.5,0))*(1+$AZ136)*(1+$BA136)+($BB136*IF($G$1="裂石",$AO136,$AM136)+IF($G$1="裂石",$AP136*1.5,0))*(1+$BD136)*(1+$BE136)+($BF136*IF($G$1="牵丝",$AO136,$AM136)+IF($G$1="牵丝",$AP136*1.5,0))*(1+$BH136)*(1+$BI136)+($BJ136*IF($G$1="破竹",$AO136,$AM136)+IF($G$1="破竹",$AP136*1.5,0))*(1+$BL136)*(1+$BM136))*(1+$AQ136))*$P136*(1+IF(VLOOKUP($Q136,武学奇术!$A:$ZZ,30,FALSE)="弹道",$B$21,0))*(1+$BV136)</f>
        <v>0</v>
      </c>
      <c r="P136" s="39">
        <v>1</v>
      </c>
      <c r="Q136" s="40" t="s">
        <v>78</v>
      </c>
      <c r="R136" s="40" t="s">
        <v>78</v>
      </c>
      <c r="S136" s="40" t="s">
        <v>78</v>
      </c>
      <c r="T136" s="40" t="s">
        <v>78</v>
      </c>
      <c r="U136" s="40" t="s">
        <v>78</v>
      </c>
      <c r="V136" s="40" t="s">
        <v>78</v>
      </c>
      <c r="W136" s="40" t="s">
        <v>78</v>
      </c>
      <c r="X136" s="40" t="s">
        <v>78</v>
      </c>
      <c r="Y136" s="40" t="s">
        <v>78</v>
      </c>
      <c r="Z136" s="40" t="s">
        <v>78</v>
      </c>
      <c r="AA136" s="40" t="s">
        <v>78</v>
      </c>
      <c r="AB136" s="40" t="s">
        <v>78</v>
      </c>
      <c r="AC136" s="40" t="s">
        <v>78</v>
      </c>
      <c r="AD136" s="40" t="s">
        <v>78</v>
      </c>
      <c r="AE136" s="40" t="s">
        <v>78</v>
      </c>
      <c r="AF136" s="40" t="s">
        <v>78</v>
      </c>
      <c r="AG136" s="40" t="s">
        <v>78</v>
      </c>
      <c r="AH136" s="40" t="s">
        <v>78</v>
      </c>
      <c r="AI136" s="40" t="s">
        <v>78</v>
      </c>
      <c r="AJ136" s="40" t="s">
        <v>78</v>
      </c>
      <c r="AK136" s="40" t="s">
        <v>78</v>
      </c>
      <c r="AL136" t="str">
        <f>VLOOKUP($Q136,武学奇术!$A:$ZZ,25,FALSE)</f>
        <v>心法</v>
      </c>
      <c r="AM136" s="24">
        <f>VLOOKUP($Q136,武学奇术!$A:$ZZ,26,FALSE)</f>
        <v>0</v>
      </c>
      <c r="AN136" s="25">
        <f>VLOOKUP($Q136,武学奇术!$A:$ZZ,27,FALSE)*(1+IF(OR($AL136=$F$4,$AL136=$F$5),$B$22,0))</f>
        <v>0</v>
      </c>
      <c r="AO136" s="24">
        <f>VLOOKUP($Q136,武学奇术!$A:$ZZ,28,FALSE)</f>
        <v>0</v>
      </c>
      <c r="AP136" s="25">
        <f>VLOOKUP($Q136,武学奇术!$A:$ZZ,29,FALSE)*(1+IF(OR($AL136=$F$4,$AL136=$F$5),$B$22,0))</f>
        <v>0</v>
      </c>
      <c r="AQ136" s="24" cm="1">
        <f t="array" ref="AQ136">$G$3+IFERROR(VLOOKUP($AL136,$F$4:$G$7,2,FALSE),0)+VLOOKUP($Q136,武学奇术!$A:$ZZ,2,FALSE)+SUM(_xlfn.XLOOKUP($R136:$AK136,增益!$A:$A,增益!$B:$B,0))</f>
        <v>0.1837</v>
      </c>
      <c r="AR136" s="24" cm="1">
        <f t="array" ref="AR136">VLOOKUP($Q136,武学奇术!$A:$ZZ,5,FALSE)+SUM(_xlfn.XLOOKUP($R136:$AK136,增益!$A:$A,增益!$E:$E,0))</f>
        <v>0</v>
      </c>
      <c r="AS136" cm="1">
        <f t="array" ref="AS136">$D$10*(1+$AR136)+VLOOKUP($Q136,武学奇术!$A:$ZZ,3,FALSE)+SUM(_xlfn.XLOOKUP($R136:$AK136,增益!$A:$A,增益!$C:$C,0))-$I$2</f>
        <v>3773.588</v>
      </c>
      <c r="AT136" cm="1">
        <f t="array" ref="AT136">$E$10*(1+$AR136)+VLOOKUP($Q136,武学奇术!$A:$ZZ,4,FALSE)+SUM(_xlfn.XLOOKUP($R136:$AK136,增益!$A:$A,增益!$D:$D,0))-$I$2</f>
        <v>3773.588</v>
      </c>
      <c r="AU136" s="32" cm="1">
        <f t="array" ref="AU136">IF($F$10-$I$3+VLOOKUP($Q136,武学奇术!$A:$ZZ,6,FALSE)+SUM(_xlfn.XLOOKUP($R136:$AK136,增益!$A:$A,增益!$F:$F,0))&gt;0,($F$10-$I$3+VLOOKUP($Q136,武学奇术!$A:$ZZ,6,FALSE)+SUM(_xlfn.XLOOKUP($R136:$AK136,增益!$A:$A,增益!$F:$F,0)))/200,($F$10-$I$3+VLOOKUP($Q136,武学奇术!$A:$ZZ,6,FALSE)+SUM(_xlfn.XLOOKUP($R136:$AK136,增益!$A:$A,增益!$F:$F,0)))/100)</f>
        <v>0.2425</v>
      </c>
      <c r="AV136" s="32" cm="1">
        <f t="array" ref="AV136">$G$10+VLOOKUP($Q136,武学奇术!$A:$ZZ,7,FALSE)+SUM(_xlfn.XLOOKUP($R136:$AK136,增益!$A:$A,增益!$G:$G,0))</f>
        <v>0</v>
      </c>
      <c r="AW136" s="24" cm="1">
        <f t="array" ref="AW136">VLOOKUP($Q136,武学奇术!$A:$ZZ,8,FALSE)+SUM(_xlfn.XLOOKUP($R136:$AK136,增益!$A:$A,增益!$H:$H,0))</f>
        <v>0</v>
      </c>
      <c r="AX136">
        <f t="shared" si="35"/>
        <v>0</v>
      </c>
      <c r="AY136">
        <f t="shared" si="36"/>
        <v>0</v>
      </c>
      <c r="AZ136" s="32" cm="1">
        <f t="array" ref="AZ136">IF($F$11-$I$4+VLOOKUP($Q136,武学奇术!$A:$ZZ,9,FALSE)+SUM(_xlfn.XLOOKUP($R136:$AK136,增益!$A:$A,增益!$I:$I,0))&gt;0,($F$11-$I$4+VLOOKUP($Q136,武学奇术!$A:$ZZ,9,FALSE)+SUM(_xlfn.XLOOKUP($R136:$AK136,增益!$A:$A,增益!$I:$I,0)))/200,($F$11-$I$4+VLOOKUP($Q136,武学奇术!$A:$ZZ,9,FALSE)+SUM(_xlfn.XLOOKUP($R136:$AK136,增益!$A:$A,增益!$I:$I,0)))/100)</f>
        <v>-0.3</v>
      </c>
      <c r="BA136" s="32" cm="1">
        <f t="array" ref="BA136">$G$11+VLOOKUP($Q136,武学奇术!$A:$ZZ,10,FALSE)+SUM(_xlfn.XLOOKUP($R136:$AK136,增益!$A:$A,增益!$J:$J,0))</f>
        <v>0</v>
      </c>
      <c r="BB136">
        <f t="shared" si="37"/>
        <v>0</v>
      </c>
      <c r="BC136">
        <f t="shared" si="38"/>
        <v>0</v>
      </c>
      <c r="BD136" s="32" cm="1">
        <f t="array" ref="BD136">IF($F$12-$I$4+VLOOKUP($Q136,武学奇术!$A:$ZZ,11,FALSE)+SUM(_xlfn.XLOOKUP($R136:$AK136,增益!$A:$A,增益!$K:$K,0))&gt;0,($F$12-$I$4+VLOOKUP($Q136,武学奇术!$A:$ZZ,11,FALSE)+SUM(_xlfn.XLOOKUP($R136:$AK136,增益!$A:$A,增益!$K:$K,0)))/200,($F$12-$I$4+VLOOKUP($Q136,武学奇术!$A:$ZZ,11,FALSE)+SUM(_xlfn.XLOOKUP($R136:$AK136,增益!$A:$A,增益!$K:$K,0)))/100)</f>
        <v>-0.3</v>
      </c>
      <c r="BE136" s="32" cm="1">
        <f t="array" ref="BE136">$G$12+VLOOKUP($Q136,武学奇术!$A:$ZZ,12,FALSE)+SUM(_xlfn.XLOOKUP($R136:$AK136,增益!$A:$A,增益!$L:$L,0))</f>
        <v>0</v>
      </c>
      <c r="BF136">
        <f t="shared" si="39"/>
        <v>605.472</v>
      </c>
      <c r="BG136">
        <f t="shared" si="40"/>
        <v>1579.612</v>
      </c>
      <c r="BH136" s="32" cm="1">
        <f t="array" ref="BH136">IF($F$13-$I$4+VLOOKUP($Q136,武学奇术!$A:$ZZ,13,FALSE)+SUM(_xlfn.XLOOKUP($R136:$AK136,增益!$A:$A,增益!$M:$M,0))&gt;0,($F$13-$I$4+VLOOKUP($Q136,武学奇术!$A:$ZZ,13,FALSE)+SUM(_xlfn.XLOOKUP($R136:$AK136,增益!$A:$A,增益!$K:$K,0)))/200,($F$13-$I$4+VLOOKUP($Q136,武学奇术!$A:$ZZ,13,FALSE)+SUM(_xlfn.XLOOKUP($R136:$AK136,增益!$A:$A,增益!$M:$M,0)))/100)</f>
        <v>0</v>
      </c>
      <c r="BI136" s="32" cm="1">
        <f t="array" ref="BI136">$G$13+VLOOKUP($Q136,武学奇术!$A:$ZZ,14,FALSE)+SUM(_xlfn.XLOOKUP($R136:$AK136,增益!$A:$A,增益!$N:$N,0))</f>
        <v>0.15</v>
      </c>
      <c r="BJ136">
        <f t="shared" si="41"/>
        <v>0</v>
      </c>
      <c r="BK136">
        <f t="shared" si="42"/>
        <v>0</v>
      </c>
      <c r="BL136" s="32" cm="1">
        <f t="array" ref="BL136">IF($F$14-$I$4+VLOOKUP($Q136,武学奇术!$A:$ZZ,15,FALSE)+SUM(_xlfn.XLOOKUP($R136:$AK136,增益!$A:$A,增益!$O:$O,0))&gt;0,($F$14-$I$4+VLOOKUP($Q136,武学奇术!$A:$ZZ,15,FALSE)+SUM(_xlfn.XLOOKUP($R136:$AK136,增益!$A:$A,增益!$O:$O,0)))/200,($F$14-$I$4+VLOOKUP($Q136,武学奇术!$A:$ZZ,15,FALSE)+SUM(_xlfn.XLOOKUP($R136:$AK136,增益!$A:$A,增益!$O:$O,0)))/100)</f>
        <v>-0.3</v>
      </c>
      <c r="BM136" s="32" cm="1">
        <f t="array" ref="BM136">$G$14+VLOOKUP($Q136,武学奇术!$A:$ZZ,16,FALSE)+SUM(_xlfn.XLOOKUP($R136:$AK136,增益!$A:$A,增益!$P:$P,0))</f>
        <v>0</v>
      </c>
      <c r="BN136" s="24">
        <f>MIN(IF(VLOOKUP($Q136,武学奇术!$A:$ZZ,23,FALSE)=1,100%,$B$8),100%)</f>
        <v>1</v>
      </c>
      <c r="BO136" s="24" cm="1">
        <f t="array" ref="BO136">IF(VLOOKUP($Q136,武学奇术!$A:$ZZ,23,FALSE)=1,100%,MIN(80%,$B$9+VLOOKUP($Q136,武学奇术!$A:$ZZ,17,FALSE)+SUM(_xlfn.XLOOKUP($R136:$AK136,增益!$A:$A,增益!$Q:$Q,0)))+$B$11+SUM(_xlfn.XLOOKUP($R136:$AK136,增益!$A:$A,增益!$U:$U,0)))*IF(VLOOKUP($Q136,武学奇术!$A:$ZZ,24,FALSE)=1,0,1)</f>
        <v>0.9093</v>
      </c>
      <c r="BP136" s="24" cm="1">
        <f t="array" ref="BP136">1+$B$13+VLOOKUP($Q136,武学奇术!$A:$ZZ,18,FALSE)+SUM(_xlfn.XLOOKUP($R136:$AK136,增益!$A:$A,增益!$R:$R,0))</f>
        <v>1.5</v>
      </c>
      <c r="BQ136" s="24" cm="1">
        <f t="array" ref="BQ136">IF(VLOOKUP($Q136,武学奇术!$A:$ZZ,24,FALSE)=1,100%,MIN(40%,$B$10+VLOOKUP($Q136,武学奇术!$A:$ZZ,19,FALSE)+SUM(_xlfn.XLOOKUP($R136:$AK136,增益!$A:$A,增益!$S:$S,0)))+$B$12+SUM(_xlfn.XLOOKUP($R136:$AK136,增益!$A:$A,增益!$V:$V,0)))*IF(VLOOKUP($Q136,武学奇术!$A:$ZZ,23,FALSE)=1,0,1)</f>
        <v>0.0929</v>
      </c>
      <c r="BR136" s="24" cm="1">
        <f t="array" ref="BR136">1+$B$14+VLOOKUP($Q136,武学奇术!$A:$ZZ,20,FALSE)+SUM(_xlfn.XLOOKUP($R136:$AK136,增益!$A:$A,增益!$T:$T,0))</f>
        <v>1.35</v>
      </c>
      <c r="BS136" s="24">
        <f t="shared" si="43"/>
        <v>0.9071</v>
      </c>
      <c r="BT136" s="24">
        <f t="shared" si="44"/>
        <v>0</v>
      </c>
      <c r="BU136" s="24">
        <f>IF(VLOOKUP($Q136,武学奇术!$A:$ZZ,22,FALSE)=1,0,(1-$BN136))*(1-$BQ136)</f>
        <v>0</v>
      </c>
      <c r="BV136" s="24" cm="1">
        <f t="array" ref="BV136">SUM(_xlfn.XLOOKUP($R136:$AK136,增益!$A:$A,增益!$W:$W,0))+$I$5</f>
        <v>0.06</v>
      </c>
    </row>
  </sheetData>
  <mergeCells count="31">
    <mergeCell ref="H1:I1"/>
    <mergeCell ref="C8:G8"/>
    <mergeCell ref="C15:D15"/>
    <mergeCell ref="E21:F21"/>
    <mergeCell ref="E22:F22"/>
    <mergeCell ref="A23:A24"/>
    <mergeCell ref="C31:C41"/>
    <mergeCell ref="C60:C65"/>
    <mergeCell ref="C100:C105"/>
    <mergeCell ref="D43:D46"/>
    <mergeCell ref="D74:D76"/>
    <mergeCell ref="D88:D90"/>
    <mergeCell ref="E23:E24"/>
    <mergeCell ref="E36:E46"/>
    <mergeCell ref="E60:E65"/>
    <mergeCell ref="E70:E77"/>
    <mergeCell ref="E86:E96"/>
    <mergeCell ref="F23:F24"/>
    <mergeCell ref="G31:G45"/>
    <mergeCell ref="G50:G60"/>
    <mergeCell ref="G82:G95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K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36"/>
  <sheetViews>
    <sheetView workbookViewId="0">
      <selection activeCell="H31" sqref="H31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31" customWidth="1"/>
    <col min="18" max="32" width="9" style="31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2"/>
    <col min="47" max="48" width="9" style="32"/>
    <col min="61" max="65" width="9" style="24"/>
    <col min="66" max="67" width="9.00833333333333" style="24" customWidth="1"/>
    <col min="68" max="69" width="9" style="24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4" t="s">
        <v>35</v>
      </c>
      <c r="AN1" s="25" t="s">
        <v>36</v>
      </c>
      <c r="AO1" s="24" t="s">
        <v>37</v>
      </c>
      <c r="AP1" s="25" t="s">
        <v>38</v>
      </c>
      <c r="AQ1" s="24" t="s">
        <v>39</v>
      </c>
      <c r="AR1" s="24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</row>
    <row r="2" spans="1:74">
      <c r="A2" s="41" t="s">
        <v>71</v>
      </c>
      <c r="B2" s="31"/>
      <c r="C2" s="31"/>
      <c r="D2" s="31"/>
      <c r="E2" s="42"/>
      <c r="F2" s="43" t="s">
        <v>72</v>
      </c>
      <c r="G2" s="44" t="str">
        <f>期望!G2</f>
        <v>撼天</v>
      </c>
      <c r="H2" s="45" t="s">
        <v>74</v>
      </c>
      <c r="I2" s="11">
        <f>620*(1-IF(F17="√",0.06,0)-IF(D20="√",0.04,0))</f>
        <v>620</v>
      </c>
      <c r="K2" s="38">
        <f t="shared" ref="K2:K65" si="0">($L2*$BS2+$M2*$BQ2+$N2*$BT2+$O2*$BU2)</f>
        <v>18083.8451070866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弹道",$B$21,0))*(1+$BV2)</f>
        <v>18073.022465739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弹道",$B$21,0))*(1+$BV2)</f>
        <v>18189.5202197503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弹道",$B$21,0))*(1+$BV2)</f>
        <v>11968.8890501583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弹道",$B$21,0))*(1+$BV2)</f>
        <v>10464.05941902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78</v>
      </c>
      <c r="V2" s="40" t="s">
        <v>78</v>
      </c>
      <c r="W2" s="40" t="s">
        <v>78</v>
      </c>
      <c r="X2" s="40" t="s">
        <v>78</v>
      </c>
      <c r="Y2" s="40" t="s">
        <v>78</v>
      </c>
      <c r="Z2" s="40" t="s">
        <v>78</v>
      </c>
      <c r="AA2" s="40" t="s">
        <v>79</v>
      </c>
      <c r="AB2" s="40" t="s">
        <v>78</v>
      </c>
      <c r="AC2" s="40" t="s">
        <v>78</v>
      </c>
      <c r="AD2" s="40" t="s">
        <v>78</v>
      </c>
      <c r="AE2" s="40" t="s">
        <v>78</v>
      </c>
      <c r="AF2" s="40" t="s">
        <v>78</v>
      </c>
      <c r="AG2" s="40" t="s">
        <v>78</v>
      </c>
      <c r="AH2" s="40" t="s">
        <v>78</v>
      </c>
      <c r="AI2" s="40" t="s">
        <v>78</v>
      </c>
      <c r="AJ2" s="40" t="s">
        <v>78</v>
      </c>
      <c r="AK2" s="40" t="s">
        <v>78</v>
      </c>
      <c r="AL2" t="str">
        <f>VLOOKUP($Q2,武学奇术!$A:$ZZ,25,FALSE)</f>
        <v>群体奇术</v>
      </c>
      <c r="AM2" s="24">
        <f>VLOOKUP($Q2,武学奇术!$A:$ZZ,26,FALSE)</f>
        <v>1.4904</v>
      </c>
      <c r="AN2" s="25">
        <f>VLOOKUP($Q2,武学奇术!$A:$ZZ,27,FALSE)*(1+IF(OR($AL2=$F$4,$AL2=$F$5),$B$22,0))</f>
        <v>378</v>
      </c>
      <c r="AO2" s="24">
        <f>VLOOKUP($Q2,武学奇术!$A:$ZZ,28,FALSE)</f>
        <v>2.2356</v>
      </c>
      <c r="AP2" s="25">
        <f>VLOOKUP($Q2,武学奇术!$A:$ZZ,29,FALSE)*(1+IF(OR($AL2=$F$4,$AL2=$F$5),$B$22,0))</f>
        <v>0</v>
      </c>
      <c r="AQ2" s="24" cm="1">
        <f t="array" ref="AQ2">$G$3+IFERROR(VLOOKUP($AL2,$F$4:$G$7,2,FALSE),0)+VLOOKUP($Q2,武学奇术!$A:$ZZ,2,FALSE)+SUM(_xlfn.XLOOKUP($R2:$AK2,增益!$A:$A,增益!$B:$B,0))</f>
        <v>0.1337</v>
      </c>
      <c r="AR2" s="24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3736.388</v>
      </c>
      <c r="AT2" cm="1">
        <f t="array" ref="AT2">$E$10*(1+$AR2)+VLOOKUP($Q2,武学奇术!$A:$ZZ,4,FALSE)+SUM(_xlfn.XLOOKUP($R2:$AK2,增益!$A:$A,增益!$D:$D,0))-$I$2</f>
        <v>3736.388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0.2025</v>
      </c>
      <c r="AV2" s="32" cm="1">
        <f t="array" ref="AV2">$G$10+VLOOKUP($Q2,武学奇术!$A:$ZZ,7,FALSE)+SUM(_xlfn.XLOOKUP($R2:$AK2,增益!$A:$A,增益!$G:$G,0))</f>
        <v>0</v>
      </c>
      <c r="AW2" s="24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2" cm="1">
        <f t="array" ref="BA2">$G$11+VLOOKUP($Q2,武学奇术!$A:$ZZ,10,FALSE)+SUM(_xlfn.XLOOKUP($R2:$AK2,增益!$A:$A,增益!$J:$J,0))</f>
        <v>0</v>
      </c>
      <c r="BB2">
        <f t="shared" ref="BB2:BB65" si="3">$D$12*(1+$AW2)</f>
        <v>0</v>
      </c>
      <c r="BC2">
        <f t="shared" ref="BC2:BC65" si="4"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-0.3</v>
      </c>
      <c r="BE2" s="32" cm="1">
        <f t="array" ref="BE2">$G$12+VLOOKUP($Q2,武学奇术!$A:$ZZ,12,FALSE)+SUM(_xlfn.XLOOKUP($R2:$AK2,增益!$A:$A,增益!$L:$L,0))</f>
        <v>0</v>
      </c>
      <c r="BF2">
        <f t="shared" ref="BF2:BF65" si="5">$D$13*(1+$AW2)</f>
        <v>605.472</v>
      </c>
      <c r="BG2">
        <f t="shared" ref="BG2:BG65" si="6">$E$13*(1+$AW2)</f>
        <v>1579.612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</v>
      </c>
      <c r="BI2" s="32" cm="1">
        <f t="array" ref="BI2">$G$13+VLOOKUP($Q2,武学奇术!$A:$ZZ,14,FALSE)+SUM(_xlfn.XLOOKUP($R2:$AK2,增益!$A:$A,增益!$N:$N,0))</f>
        <v>0.15</v>
      </c>
      <c r="BJ2">
        <f t="shared" ref="BJ2:BJ65" si="7">$D$14*(1+$AW2)</f>
        <v>0</v>
      </c>
      <c r="BK2">
        <f t="shared" ref="BK2:BK65" si="8"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2" cm="1">
        <f t="array" ref="BM2">$G$14+VLOOKUP($Q2,武学奇术!$A:$ZZ,16,FALSE)+SUM(_xlfn.XLOOKUP($R2:$AK2,增益!$A:$A,增益!$P:$P,0))</f>
        <v>0</v>
      </c>
      <c r="BN2" s="24">
        <f>MIN(IF(VLOOKUP($Q2,武学奇术!$A:$ZZ,23,FALSE)=1,100%,$B$8),100%)</f>
        <v>1</v>
      </c>
      <c r="BO2" s="24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0.9093</v>
      </c>
      <c r="BP2" s="24" cm="1">
        <f t="array" ref="BP2">1+$B$13+VLOOKUP($Q2,武学奇术!$A:$ZZ,18,FALSE)+SUM(_xlfn.XLOOKUP($R2:$AK2,增益!$A:$A,增益!$R:$R,0))</f>
        <v>1.51</v>
      </c>
      <c r="BQ2" s="24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4" cm="1">
        <f t="array" ref="BR2">1+$B$14+VLOOKUP($Q2,武学奇术!$A:$ZZ,20,FALSE)+SUM(_xlfn.XLOOKUP($R2:$AK2,增益!$A:$A,增益!$T:$T,0))</f>
        <v>1.35</v>
      </c>
      <c r="BS2" s="24">
        <f t="shared" ref="BS2:BS65" si="9">MIN((1-BQ2)*BN2,BN2*BO2)</f>
        <v>0.9071</v>
      </c>
      <c r="BT2" s="24">
        <f t="shared" ref="BT2:BT65" si="10">1-BQ2-BS2-BU2</f>
        <v>0</v>
      </c>
      <c r="BU2" s="24">
        <f>IF(VLOOKUP($Q2,武学奇术!$A:$ZZ,22,FALSE)=1,0,(1-$BN2))*(1-$BQ2)</f>
        <v>0</v>
      </c>
      <c r="BV2" s="24" cm="1">
        <f t="array" ref="BV2">SUM(_xlfn.XLOOKUP($R2:$AK2,增益!$A:$A,增益!$W:$W,0))+$I$5</f>
        <v>0.06</v>
      </c>
    </row>
    <row r="3" spans="1:74">
      <c r="A3" s="46" t="s">
        <v>80</v>
      </c>
      <c r="B3" s="47"/>
      <c r="C3" s="47"/>
      <c r="D3" s="47"/>
      <c r="E3" s="48"/>
      <c r="F3" s="45" t="s">
        <v>39</v>
      </c>
      <c r="G3" s="49">
        <f>B16+1.5%+IF($D$16="√",8%,0)+IF($E$22="征人归",8%,0)</f>
        <v>0.1037</v>
      </c>
      <c r="H3" s="45" t="s">
        <v>81</v>
      </c>
      <c r="I3" s="11">
        <f>25-IF(D17="√",10,0)-IF(F17="√",10,0)</f>
        <v>25</v>
      </c>
      <c r="K3" s="38">
        <f t="shared" si="0"/>
        <v>18461.3275466269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弹道",$B$21,0))*(1+$BV3)</f>
        <v>18462.7651877364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弹道",$B$21,0))*(1+$BV3)</f>
        <v>18447.2900412397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弹道",$B$21,0))*(1+$BV3)</f>
        <v>12146.5560445634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弹道",$B$21,0))*(1+$BV3)</f>
        <v>10628.4527993197</v>
      </c>
      <c r="P3" s="39">
        <v>1</v>
      </c>
      <c r="Q3" s="40" t="s">
        <v>75</v>
      </c>
      <c r="R3" s="40" t="s">
        <v>82</v>
      </c>
      <c r="S3" s="40" t="s">
        <v>83</v>
      </c>
      <c r="T3" s="40" t="s">
        <v>78</v>
      </c>
      <c r="U3" s="40" t="s">
        <v>78</v>
      </c>
      <c r="V3" s="40" t="s">
        <v>78</v>
      </c>
      <c r="W3" s="40" t="s">
        <v>78</v>
      </c>
      <c r="X3" s="40" t="s">
        <v>78</v>
      </c>
      <c r="Y3" s="40" t="s">
        <v>78</v>
      </c>
      <c r="Z3" s="40" t="s">
        <v>78</v>
      </c>
      <c r="AA3" s="40" t="s">
        <v>79</v>
      </c>
      <c r="AB3" s="40" t="s">
        <v>78</v>
      </c>
      <c r="AC3" s="40" t="s">
        <v>78</v>
      </c>
      <c r="AD3" s="40" t="s">
        <v>78</v>
      </c>
      <c r="AE3" s="40" t="s">
        <v>78</v>
      </c>
      <c r="AF3" s="40" t="s">
        <v>78</v>
      </c>
      <c r="AG3" s="40" t="s">
        <v>78</v>
      </c>
      <c r="AH3" s="40" t="s">
        <v>78</v>
      </c>
      <c r="AI3" s="40" t="s">
        <v>78</v>
      </c>
      <c r="AJ3" s="40" t="s">
        <v>78</v>
      </c>
      <c r="AK3" s="40" t="s">
        <v>78</v>
      </c>
      <c r="AL3" t="str">
        <f>VLOOKUP($Q3,武学奇术!$A:$ZZ,25,FALSE)</f>
        <v>群体奇术</v>
      </c>
      <c r="AM3" s="24">
        <f>VLOOKUP($Q3,武学奇术!$A:$ZZ,26,FALSE)</f>
        <v>1.4904</v>
      </c>
      <c r="AN3" s="25">
        <f>VLOOKUP($Q3,武学奇术!$A:$ZZ,27,FALSE)*(1+IF(OR($AL3=$F$4,$AL3=$F$5),$B$22,0))</f>
        <v>378</v>
      </c>
      <c r="AO3" s="24">
        <f>VLOOKUP($Q3,武学奇术!$A:$ZZ,28,FALSE)</f>
        <v>2.2356</v>
      </c>
      <c r="AP3" s="25">
        <f>VLOOKUP($Q3,武学奇术!$A:$ZZ,29,FALSE)*(1+IF(OR($AL3=$F$4,$AL3=$F$5),$B$22,0))</f>
        <v>0</v>
      </c>
      <c r="AQ3" s="24" cm="1">
        <f t="array" ref="AQ3">$G$3+IFERROR(VLOOKUP($AL3,$F$4:$G$7,2,FALSE),0)+VLOOKUP($Q3,武学奇术!$A:$ZZ,2,FALSE)+SUM(_xlfn.XLOOKUP($R3:$AK3,增益!$A:$A,增益!$B:$B,0))</f>
        <v>0.1437</v>
      </c>
      <c r="AR3" s="24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3736.388</v>
      </c>
      <c r="AT3" cm="1">
        <f t="array" ref="AT3">$E$10*(1+$AR3)+VLOOKUP($Q3,武学奇术!$A:$ZZ,4,FALSE)+SUM(_xlfn.XLOOKUP($R3:$AK3,增益!$A:$A,增益!$D:$D,0))-$I$2</f>
        <v>3736.388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0.2125</v>
      </c>
      <c r="AV3" s="32" cm="1">
        <f t="array" ref="AV3">$G$10+VLOOKUP($Q3,武学奇术!$A:$ZZ,7,FALSE)+SUM(_xlfn.XLOOKUP($R3:$AK3,增益!$A:$A,增益!$G:$G,0))</f>
        <v>0</v>
      </c>
      <c r="AW3" s="24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2" cm="1">
        <f t="array" ref="BA3">$G$11+VLOOKUP($Q3,武学奇术!$A:$ZZ,10,FALSE)+SUM(_xlfn.XLOOKUP($R3:$AK3,增益!$A:$A,增益!$J:$J,0))</f>
        <v>0</v>
      </c>
      <c r="BB3">
        <f t="shared" si="3"/>
        <v>0</v>
      </c>
      <c r="BC3">
        <f t="shared" si="4"/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-0.3</v>
      </c>
      <c r="BE3" s="32" cm="1">
        <f t="array" ref="BE3">$G$12+VLOOKUP($Q3,武学奇术!$A:$ZZ,12,FALSE)+SUM(_xlfn.XLOOKUP($R3:$AK3,增益!$A:$A,增益!$L:$L,0))</f>
        <v>0</v>
      </c>
      <c r="BF3">
        <f t="shared" si="5"/>
        <v>605.472</v>
      </c>
      <c r="BG3">
        <f t="shared" si="6"/>
        <v>1579.612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</v>
      </c>
      <c r="BI3" s="32" cm="1">
        <f t="array" ref="BI3">$G$13+VLOOKUP($Q3,武学奇术!$A:$ZZ,14,FALSE)+SUM(_xlfn.XLOOKUP($R3:$AK3,增益!$A:$A,增益!$N:$N,0))</f>
        <v>0.15</v>
      </c>
      <c r="BJ3">
        <f t="shared" si="7"/>
        <v>0</v>
      </c>
      <c r="BK3">
        <f t="shared" si="8"/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2" cm="1">
        <f t="array" ref="BM3">$G$14+VLOOKUP($Q3,武学奇术!$A:$ZZ,16,FALSE)+SUM(_xlfn.XLOOKUP($R3:$AK3,增益!$A:$A,增益!$P:$P,0))</f>
        <v>0</v>
      </c>
      <c r="BN3" s="24">
        <f>MIN(IF(VLOOKUP($Q3,武学奇术!$A:$ZZ,23,FALSE)=1,100%,$B$8),100%)</f>
        <v>1</v>
      </c>
      <c r="BO3" s="24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0.9093</v>
      </c>
      <c r="BP3" s="24" cm="1">
        <f t="array" ref="BP3">1+$B$13+VLOOKUP($Q3,武学奇术!$A:$ZZ,18,FALSE)+SUM(_xlfn.XLOOKUP($R3:$AK3,增益!$A:$A,增益!$R:$R,0))</f>
        <v>1.52</v>
      </c>
      <c r="BQ3" s="24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4" cm="1">
        <f t="array" ref="BR3">1+$B$14+VLOOKUP($Q3,武学奇术!$A:$ZZ,20,FALSE)+SUM(_xlfn.XLOOKUP($R3:$AK3,增益!$A:$A,增益!$T:$T,0))</f>
        <v>1.35</v>
      </c>
      <c r="BS3" s="24">
        <f t="shared" si="9"/>
        <v>0.9071</v>
      </c>
      <c r="BT3" s="24">
        <f t="shared" si="10"/>
        <v>0</v>
      </c>
      <c r="BU3" s="24">
        <f>IF(VLOOKUP($Q3,武学奇术!$A:$ZZ,22,FALSE)=1,0,(1-$BN3))*(1-$BQ3)</f>
        <v>0</v>
      </c>
      <c r="BV3" s="24" cm="1">
        <f t="array" ref="BV3">SUM(_xlfn.XLOOKUP($R3:$AK3,增益!$A:$A,增益!$W:$W,0))+$I$5</f>
        <v>0.06</v>
      </c>
    </row>
    <row r="4" ht="14.25" spans="1:74">
      <c r="A4" s="50" t="s">
        <v>85</v>
      </c>
      <c r="B4" s="51"/>
      <c r="C4" s="51"/>
      <c r="D4" s="51"/>
      <c r="E4" s="52"/>
      <c r="F4" s="45" t="s">
        <v>86</v>
      </c>
      <c r="G4" s="49">
        <f>B15+B17</f>
        <v>0.1704</v>
      </c>
      <c r="H4" s="53" t="s">
        <v>87</v>
      </c>
      <c r="I4" s="15">
        <f>30</f>
        <v>30</v>
      </c>
      <c r="K4" s="38">
        <f t="shared" si="0"/>
        <v>19945.6249142664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弹道",$B$21,0))*(1+$BV4)</f>
        <v>19971.8478341324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弹道",$B$21,0))*(1+$BV4)</f>
        <v>19689.5774372971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弹道",$B$21,0))*(1+$BV4)</f>
        <v>13053.4953164264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弹道",$B$21,0))*(1+$BV4)</f>
        <v>11522.1184570772</v>
      </c>
      <c r="P4" s="39">
        <v>1</v>
      </c>
      <c r="Q4" s="40" t="s">
        <v>75</v>
      </c>
      <c r="R4" s="40" t="s">
        <v>88</v>
      </c>
      <c r="S4" s="40" t="s">
        <v>89</v>
      </c>
      <c r="T4" s="40" t="s">
        <v>78</v>
      </c>
      <c r="U4" s="40" t="s">
        <v>90</v>
      </c>
      <c r="V4" s="40" t="s">
        <v>78</v>
      </c>
      <c r="W4" s="40" t="s">
        <v>78</v>
      </c>
      <c r="X4" s="40" t="s">
        <v>78</v>
      </c>
      <c r="Y4" s="40" t="s">
        <v>78</v>
      </c>
      <c r="Z4" s="40" t="s">
        <v>78</v>
      </c>
      <c r="AA4" s="40" t="s">
        <v>79</v>
      </c>
      <c r="AB4" s="40" t="s">
        <v>78</v>
      </c>
      <c r="AC4" s="40" t="s">
        <v>78</v>
      </c>
      <c r="AD4" s="40" t="s">
        <v>78</v>
      </c>
      <c r="AE4" s="40" t="s">
        <v>78</v>
      </c>
      <c r="AF4" s="40" t="s">
        <v>78</v>
      </c>
      <c r="AG4" s="40" t="s">
        <v>78</v>
      </c>
      <c r="AH4" s="40" t="s">
        <v>78</v>
      </c>
      <c r="AI4" s="40" t="s">
        <v>78</v>
      </c>
      <c r="AJ4" s="40" t="s">
        <v>78</v>
      </c>
      <c r="AK4" s="40" t="s">
        <v>78</v>
      </c>
      <c r="AL4" t="str">
        <f>VLOOKUP($Q4,武学奇术!$A:$ZZ,25,FALSE)</f>
        <v>群体奇术</v>
      </c>
      <c r="AM4" s="24">
        <f>VLOOKUP($Q4,武学奇术!$A:$ZZ,26,FALSE)</f>
        <v>1.4904</v>
      </c>
      <c r="AN4" s="25">
        <f>VLOOKUP($Q4,武学奇术!$A:$ZZ,27,FALSE)*(1+IF(OR($AL4=$F$4,$AL4=$F$5),$B$22,0))</f>
        <v>378</v>
      </c>
      <c r="AO4" s="24">
        <f>VLOOKUP($Q4,武学奇术!$A:$ZZ,28,FALSE)</f>
        <v>2.2356</v>
      </c>
      <c r="AP4" s="25">
        <f>VLOOKUP($Q4,武学奇术!$A:$ZZ,29,FALSE)*(1+IF(OR($AL4=$F$4,$AL4=$F$5),$B$22,0))</f>
        <v>0</v>
      </c>
      <c r="AQ4" s="24" cm="1">
        <f t="array" ref="AQ4">$G$3+IFERROR(VLOOKUP($AL4,$F$4:$G$7,2,FALSE),0)+VLOOKUP($Q4,武学奇术!$A:$ZZ,2,FALSE)+SUM(_xlfn.XLOOKUP($R4:$AK4,增益!$A:$A,增益!$B:$B,0))</f>
        <v>0.1537</v>
      </c>
      <c r="AR4" s="24" cm="1">
        <f t="array" ref="AR4">VLOOKUP($Q4,武学奇术!$A:$ZZ,5,FALSE)+SUM(_xlfn.XLOOKUP($R4:$AK4,增益!$A:$A,增益!$E:$E,0))</f>
        <v>0.075</v>
      </c>
      <c r="AS4" cm="1">
        <f t="array" ref="AS4">$D$10*(1+$AR4)+VLOOKUP($Q4,武学奇术!$A:$ZZ,3,FALSE)+SUM(_xlfn.XLOOKUP($R4:$AK4,增益!$A:$A,增益!$C:$C,0))-$I$2</f>
        <v>4063.1171</v>
      </c>
      <c r="AT4" cm="1">
        <f t="array" ref="AT4">$E$10*(1+$AR4)+VLOOKUP($Q4,武学奇术!$A:$ZZ,4,FALSE)+SUM(_xlfn.XLOOKUP($R4:$AK4,增益!$A:$A,增益!$D:$D,0))-$I$2</f>
        <v>4063.1171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0.2225</v>
      </c>
      <c r="AV4" s="32" cm="1">
        <f t="array" ref="AV4">$G$10+VLOOKUP($Q4,武学奇术!$A:$ZZ,7,FALSE)+SUM(_xlfn.XLOOKUP($R4:$AK4,增益!$A:$A,增益!$G:$G,0))</f>
        <v>0</v>
      </c>
      <c r="AW4" s="24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2" cm="1">
        <f t="array" ref="BA4">$G$11+VLOOKUP($Q4,武学奇术!$A:$ZZ,10,FALSE)+SUM(_xlfn.XLOOKUP($R4:$AK4,增益!$A:$A,增益!$J:$J,0))</f>
        <v>0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-0.3</v>
      </c>
      <c r="BE4" s="32" cm="1">
        <f t="array" ref="BE4">$G$12+VLOOKUP($Q4,武学奇术!$A:$ZZ,12,FALSE)+SUM(_xlfn.XLOOKUP($R4:$AK4,增益!$A:$A,增益!$L:$L,0))</f>
        <v>0</v>
      </c>
      <c r="BF4">
        <f t="shared" si="5"/>
        <v>605.472</v>
      </c>
      <c r="BG4">
        <f t="shared" si="6"/>
        <v>1579.612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</v>
      </c>
      <c r="BI4" s="32" cm="1">
        <f t="array" ref="BI4">$G$13+VLOOKUP($Q4,武学奇术!$A:$ZZ,14,FALSE)+SUM(_xlfn.XLOOKUP($R4:$AK4,增益!$A:$A,增益!$N:$N,0))</f>
        <v>0.15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2" cm="1">
        <f t="array" ref="BM4">$G$14+VLOOKUP($Q4,武学奇术!$A:$ZZ,16,FALSE)+SUM(_xlfn.XLOOKUP($R4:$AK4,增益!$A:$A,增益!$P:$P,0))</f>
        <v>0</v>
      </c>
      <c r="BN4" s="24">
        <f>MIN(IF(VLOOKUP($Q4,武学奇术!$A:$ZZ,23,FALSE)=1,100%,$B$8),100%)</f>
        <v>1</v>
      </c>
      <c r="BO4" s="24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0.9093</v>
      </c>
      <c r="BP4" s="24" cm="1">
        <f t="array" ref="BP4">1+$B$13+VLOOKUP($Q4,武学奇术!$A:$ZZ,18,FALSE)+SUM(_xlfn.XLOOKUP($R4:$AK4,增益!$A:$A,增益!$R:$R,0))</f>
        <v>1.53</v>
      </c>
      <c r="BQ4" s="24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4" cm="1">
        <f t="array" ref="BR4">1+$B$14+VLOOKUP($Q4,武学奇术!$A:$ZZ,20,FALSE)+SUM(_xlfn.XLOOKUP($R4:$AK4,增益!$A:$A,增益!$T:$T,0))</f>
        <v>1.35</v>
      </c>
      <c r="BS4" s="24">
        <f t="shared" si="9"/>
        <v>0.9071</v>
      </c>
      <c r="BT4" s="24">
        <f t="shared" si="10"/>
        <v>0</v>
      </c>
      <c r="BU4" s="24">
        <f>IF(VLOOKUP($Q4,武学奇术!$A:$ZZ,22,FALSE)=1,0,(1-$BN4))*(1-$BQ4)</f>
        <v>0</v>
      </c>
      <c r="BV4" s="24" cm="1">
        <f t="array" ref="BV4">SUM(_xlfn.XLOOKUP($R4:$AK4,增益!$A:$A,增益!$W:$W,0))+$I$5</f>
        <v>0.06</v>
      </c>
    </row>
    <row r="5" spans="1:74">
      <c r="A5" s="54" t="s">
        <v>5</v>
      </c>
      <c r="B5" s="55"/>
      <c r="C5" s="55"/>
      <c r="D5" s="55"/>
      <c r="E5" s="56"/>
      <c r="F5" s="45" t="s">
        <v>91</v>
      </c>
      <c r="G5" s="49">
        <f>B15+B18</f>
        <v>0.0852</v>
      </c>
      <c r="H5" t="s">
        <v>92</v>
      </c>
      <c r="I5" s="27">
        <v>0.06</v>
      </c>
      <c r="K5" s="38">
        <f t="shared" si="0"/>
        <v>20358.7582165987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弹道",$B$21,0))*(1+$BV5)</f>
        <v>20398.841035337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弹道",$B$21,0))*(1+$BV5)</f>
        <v>19967.3790467645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弹道",$B$21,0))*(1+$BV5)</f>
        <v>13246.0006722968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弹道",$B$21,0))*(1+$BV5)</f>
        <v>11701.3501988421</v>
      </c>
      <c r="P5" s="39">
        <v>1</v>
      </c>
      <c r="Q5" s="40" t="s">
        <v>75</v>
      </c>
      <c r="R5" s="40" t="s">
        <v>93</v>
      </c>
      <c r="S5" s="40" t="s">
        <v>94</v>
      </c>
      <c r="T5" s="40" t="s">
        <v>78</v>
      </c>
      <c r="U5" s="40" t="s">
        <v>90</v>
      </c>
      <c r="V5" s="40" t="s">
        <v>78</v>
      </c>
      <c r="W5" s="40" t="s">
        <v>78</v>
      </c>
      <c r="X5" s="40" t="s">
        <v>78</v>
      </c>
      <c r="Y5" s="40" t="s">
        <v>78</v>
      </c>
      <c r="Z5" s="40" t="s">
        <v>78</v>
      </c>
      <c r="AA5" s="40" t="s">
        <v>79</v>
      </c>
      <c r="AB5" s="40" t="s">
        <v>78</v>
      </c>
      <c r="AC5" s="40" t="s">
        <v>78</v>
      </c>
      <c r="AD5" s="40" t="s">
        <v>78</v>
      </c>
      <c r="AE5" s="40" t="s">
        <v>78</v>
      </c>
      <c r="AF5" s="40" t="s">
        <v>78</v>
      </c>
      <c r="AG5" s="40" t="s">
        <v>78</v>
      </c>
      <c r="AH5" s="40" t="s">
        <v>78</v>
      </c>
      <c r="AI5" s="40" t="s">
        <v>78</v>
      </c>
      <c r="AJ5" s="40" t="s">
        <v>78</v>
      </c>
      <c r="AK5" s="40" t="s">
        <v>78</v>
      </c>
      <c r="AL5" t="str">
        <f>VLOOKUP($Q5,武学奇术!$A:$ZZ,25,FALSE)</f>
        <v>群体奇术</v>
      </c>
      <c r="AM5" s="24">
        <f>VLOOKUP($Q5,武学奇术!$A:$ZZ,26,FALSE)</f>
        <v>1.4904</v>
      </c>
      <c r="AN5" s="25">
        <f>VLOOKUP($Q5,武学奇术!$A:$ZZ,27,FALSE)*(1+IF(OR($AL5=$F$4,$AL5=$F$5),$B$22,0))</f>
        <v>378</v>
      </c>
      <c r="AO5" s="24">
        <f>VLOOKUP($Q5,武学奇术!$A:$ZZ,28,FALSE)</f>
        <v>2.2356</v>
      </c>
      <c r="AP5" s="25">
        <f>VLOOKUP($Q5,武学奇术!$A:$ZZ,29,FALSE)*(1+IF(OR($AL5=$F$4,$AL5=$F$5),$B$22,0))</f>
        <v>0</v>
      </c>
      <c r="AQ5" s="24" cm="1">
        <f t="array" ref="AQ5">$G$3+IFERROR(VLOOKUP($AL5,$F$4:$G$7,2,FALSE),0)+VLOOKUP($Q5,武学奇术!$A:$ZZ,2,FALSE)+SUM(_xlfn.XLOOKUP($R5:$AK5,增益!$A:$A,增益!$B:$B,0))</f>
        <v>0.1637</v>
      </c>
      <c r="AR5" s="24" cm="1">
        <f t="array" ref="AR5">VLOOKUP($Q5,武学奇术!$A:$ZZ,5,FALSE)+SUM(_xlfn.XLOOKUP($R5:$AK5,增益!$A:$A,增益!$E:$E,0))</f>
        <v>0.075</v>
      </c>
      <c r="AS5" cm="1">
        <f t="array" ref="AS5">$D$10*(1+$AR5)+VLOOKUP($Q5,武学奇术!$A:$ZZ,3,FALSE)+SUM(_xlfn.XLOOKUP($R5:$AK5,增益!$A:$A,增益!$C:$C,0))-$I$2</f>
        <v>4063.1171</v>
      </c>
      <c r="AT5" cm="1">
        <f t="array" ref="AT5">$E$10*(1+$AR5)+VLOOKUP($Q5,武学奇术!$A:$ZZ,4,FALSE)+SUM(_xlfn.XLOOKUP($R5:$AK5,增益!$A:$A,增益!$D:$D,0))-$I$2</f>
        <v>4063.1171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0.2325</v>
      </c>
      <c r="AV5" s="32" cm="1">
        <f t="array" ref="AV5">$G$10+VLOOKUP($Q5,武学奇术!$A:$ZZ,7,FALSE)+SUM(_xlfn.XLOOKUP($R5:$AK5,增益!$A:$A,增益!$G:$G,0))</f>
        <v>0</v>
      </c>
      <c r="AW5" s="24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2" cm="1">
        <f t="array" ref="BA5">$G$11+VLOOKUP($Q5,武学奇术!$A:$ZZ,10,FALSE)+SUM(_xlfn.XLOOKUP($R5:$AK5,增益!$A:$A,增益!$J:$J,0))</f>
        <v>0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-0.3</v>
      </c>
      <c r="BE5" s="32" cm="1">
        <f t="array" ref="BE5">$G$12+VLOOKUP($Q5,武学奇术!$A:$ZZ,12,FALSE)+SUM(_xlfn.XLOOKUP($R5:$AK5,增益!$A:$A,增益!$L:$L,0))</f>
        <v>0</v>
      </c>
      <c r="BF5">
        <f t="shared" si="5"/>
        <v>605.472</v>
      </c>
      <c r="BG5">
        <f t="shared" si="6"/>
        <v>1579.612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</v>
      </c>
      <c r="BI5" s="32" cm="1">
        <f t="array" ref="BI5">$G$13+VLOOKUP($Q5,武学奇术!$A:$ZZ,14,FALSE)+SUM(_xlfn.XLOOKUP($R5:$AK5,增益!$A:$A,增益!$N:$N,0))</f>
        <v>0.15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2" cm="1">
        <f t="array" ref="BM5">$G$14+VLOOKUP($Q5,武学奇术!$A:$ZZ,16,FALSE)+SUM(_xlfn.XLOOKUP($R5:$AK5,增益!$A:$A,增益!$P:$P,0))</f>
        <v>0</v>
      </c>
      <c r="BN5" s="24">
        <f>MIN(IF(VLOOKUP($Q5,武学奇术!$A:$ZZ,23,FALSE)=1,100%,$B$8),100%)</f>
        <v>1</v>
      </c>
      <c r="BO5" s="24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0.9093</v>
      </c>
      <c r="BP5" s="24" cm="1">
        <f t="array" ref="BP5">1+$B$13+VLOOKUP($Q5,武学奇术!$A:$ZZ,18,FALSE)+SUM(_xlfn.XLOOKUP($R5:$AK5,增益!$A:$A,增益!$R:$R,0))</f>
        <v>1.54</v>
      </c>
      <c r="BQ5" s="24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4" cm="1">
        <f t="array" ref="BR5">1+$B$14+VLOOKUP($Q5,武学奇术!$A:$ZZ,20,FALSE)+SUM(_xlfn.XLOOKUP($R5:$AK5,增益!$A:$A,增益!$T:$T,0))</f>
        <v>1.35</v>
      </c>
      <c r="BS5" s="24">
        <f t="shared" si="9"/>
        <v>0.9071</v>
      </c>
      <c r="BT5" s="24">
        <f t="shared" si="10"/>
        <v>0</v>
      </c>
      <c r="BU5" s="24">
        <f>IF(VLOOKUP($Q5,武学奇术!$A:$ZZ,22,FALSE)=1,0,(1-$BN5))*(1-$BQ5)</f>
        <v>0</v>
      </c>
      <c r="BV5" s="24" cm="1">
        <f t="array" ref="BV5">SUM(_xlfn.XLOOKUP($R5:$AK5,增益!$A:$A,增益!$W:$W,0))+$I$5</f>
        <v>0.06</v>
      </c>
    </row>
    <row r="6" spans="1:74">
      <c r="A6" s="57" t="s">
        <v>95</v>
      </c>
      <c r="B6" s="58"/>
      <c r="C6" s="58"/>
      <c r="D6" s="58"/>
      <c r="E6" s="59"/>
      <c r="F6" s="45" t="s">
        <v>96</v>
      </c>
      <c r="G6" s="49">
        <f>B19</f>
        <v>0.2678</v>
      </c>
      <c r="K6" s="38">
        <f t="shared" si="0"/>
        <v>20777.4727130013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弹道",$B$21,0))*(1+$BV6)</f>
        <v>20831.798447531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弹道",$B$21,0))*(1+$BV6)</f>
        <v>20247.0219725074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弹道",$B$21,0))*(1+$BV6)</f>
        <v>13439.869966149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弹道",$B$21,0))*(1+$BV6)</f>
        <v>11881.9458785888</v>
      </c>
      <c r="P6" s="39">
        <v>1</v>
      </c>
      <c r="Q6" s="40" t="s">
        <v>75</v>
      </c>
      <c r="R6" s="40" t="s">
        <v>97</v>
      </c>
      <c r="S6" s="40" t="s">
        <v>98</v>
      </c>
      <c r="T6" s="40" t="s">
        <v>78</v>
      </c>
      <c r="U6" s="40" t="s">
        <v>90</v>
      </c>
      <c r="V6" s="40" t="s">
        <v>78</v>
      </c>
      <c r="W6" s="40" t="s">
        <v>78</v>
      </c>
      <c r="X6" s="40" t="s">
        <v>78</v>
      </c>
      <c r="Y6" s="40" t="s">
        <v>78</v>
      </c>
      <c r="Z6" s="40" t="s">
        <v>78</v>
      </c>
      <c r="AA6" s="40" t="s">
        <v>79</v>
      </c>
      <c r="AB6" s="40" t="s">
        <v>78</v>
      </c>
      <c r="AC6" s="40" t="s">
        <v>78</v>
      </c>
      <c r="AD6" s="40" t="s">
        <v>78</v>
      </c>
      <c r="AE6" s="40" t="s">
        <v>78</v>
      </c>
      <c r="AF6" s="40" t="s">
        <v>78</v>
      </c>
      <c r="AG6" s="40" t="s">
        <v>78</v>
      </c>
      <c r="AH6" s="40" t="s">
        <v>78</v>
      </c>
      <c r="AI6" s="40" t="s">
        <v>78</v>
      </c>
      <c r="AJ6" s="40" t="s">
        <v>78</v>
      </c>
      <c r="AK6" s="40" t="s">
        <v>78</v>
      </c>
      <c r="AL6" t="str">
        <f>VLOOKUP($Q6,武学奇术!$A:$ZZ,25,FALSE)</f>
        <v>群体奇术</v>
      </c>
      <c r="AM6" s="24">
        <f>VLOOKUP($Q6,武学奇术!$A:$ZZ,26,FALSE)</f>
        <v>1.4904</v>
      </c>
      <c r="AN6" s="25">
        <f>VLOOKUP($Q6,武学奇术!$A:$ZZ,27,FALSE)*(1+IF(OR($AL6=$F$4,$AL6=$F$5),$B$22,0))</f>
        <v>378</v>
      </c>
      <c r="AO6" s="24">
        <f>VLOOKUP($Q6,武学奇术!$A:$ZZ,28,FALSE)</f>
        <v>2.2356</v>
      </c>
      <c r="AP6" s="25">
        <f>VLOOKUP($Q6,武学奇术!$A:$ZZ,29,FALSE)*(1+IF(OR($AL6=$F$4,$AL6=$F$5),$B$22,0))</f>
        <v>0</v>
      </c>
      <c r="AQ6" s="24" cm="1">
        <f t="array" ref="AQ6">$G$3+IFERROR(VLOOKUP($AL6,$F$4:$G$7,2,FALSE),0)+VLOOKUP($Q6,武学奇术!$A:$ZZ,2,FALSE)+SUM(_xlfn.XLOOKUP($R6:$AK6,增益!$A:$A,增益!$B:$B,0))</f>
        <v>0.1737</v>
      </c>
      <c r="AR6" s="24" cm="1">
        <f t="array" ref="AR6">VLOOKUP($Q6,武学奇术!$A:$ZZ,5,FALSE)+SUM(_xlfn.XLOOKUP($R6:$AK6,增益!$A:$A,增益!$E:$E,0))</f>
        <v>0.075</v>
      </c>
      <c r="AS6" cm="1">
        <f t="array" ref="AS6">$D$10*(1+$AR6)+VLOOKUP($Q6,武学奇术!$A:$ZZ,3,FALSE)+SUM(_xlfn.XLOOKUP($R6:$AK6,增益!$A:$A,增益!$C:$C,0))-$I$2</f>
        <v>4063.1171</v>
      </c>
      <c r="AT6" cm="1">
        <f t="array" ref="AT6">$E$10*(1+$AR6)+VLOOKUP($Q6,武学奇术!$A:$ZZ,4,FALSE)+SUM(_xlfn.XLOOKUP($R6:$AK6,增益!$A:$A,增益!$D:$D,0))-$I$2</f>
        <v>4063.1171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0.2425</v>
      </c>
      <c r="AV6" s="32" cm="1">
        <f t="array" ref="AV6">$G$10+VLOOKUP($Q6,武学奇术!$A:$ZZ,7,FALSE)+SUM(_xlfn.XLOOKUP($R6:$AK6,增益!$A:$A,增益!$G:$G,0))</f>
        <v>0</v>
      </c>
      <c r="AW6" s="24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2" cm="1">
        <f t="array" ref="BA6">$G$11+VLOOKUP($Q6,武学奇术!$A:$ZZ,10,FALSE)+SUM(_xlfn.XLOOKUP($R6:$AK6,增益!$A:$A,增益!$J:$J,0))</f>
        <v>0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-0.3</v>
      </c>
      <c r="BE6" s="32" cm="1">
        <f t="array" ref="BE6">$G$12+VLOOKUP($Q6,武学奇术!$A:$ZZ,12,FALSE)+SUM(_xlfn.XLOOKUP($R6:$AK6,增益!$A:$A,增益!$L:$L,0))</f>
        <v>0</v>
      </c>
      <c r="BF6">
        <f t="shared" si="5"/>
        <v>605.472</v>
      </c>
      <c r="BG6">
        <f t="shared" si="6"/>
        <v>1579.612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</v>
      </c>
      <c r="BI6" s="32" cm="1">
        <f t="array" ref="BI6">$G$13+VLOOKUP($Q6,武学奇术!$A:$ZZ,14,FALSE)+SUM(_xlfn.XLOOKUP($R6:$AK6,增益!$A:$A,增益!$N:$N,0))</f>
        <v>0.15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2" cm="1">
        <f t="array" ref="BM6">$G$14+VLOOKUP($Q6,武学奇术!$A:$ZZ,16,FALSE)+SUM(_xlfn.XLOOKUP($R6:$AK6,增益!$A:$A,增益!$P:$P,0))</f>
        <v>0</v>
      </c>
      <c r="BN6" s="24">
        <f>MIN(IF(VLOOKUP($Q6,武学奇术!$A:$ZZ,23,FALSE)=1,100%,$B$8),100%)</f>
        <v>1</v>
      </c>
      <c r="BO6" s="24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0.9093</v>
      </c>
      <c r="BP6" s="24" cm="1">
        <f t="array" ref="BP6">1+$B$13+VLOOKUP($Q6,武学奇术!$A:$ZZ,18,FALSE)+SUM(_xlfn.XLOOKUP($R6:$AK6,增益!$A:$A,增益!$R:$R,0))</f>
        <v>1.55</v>
      </c>
      <c r="BQ6" s="24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4" cm="1">
        <f t="array" ref="BR6">1+$B$14+VLOOKUP($Q6,武学奇术!$A:$ZZ,20,FALSE)+SUM(_xlfn.XLOOKUP($R6:$AK6,增益!$A:$A,增益!$T:$T,0))</f>
        <v>1.35</v>
      </c>
      <c r="BS6" s="24">
        <f t="shared" si="9"/>
        <v>0.9071</v>
      </c>
      <c r="BT6" s="24">
        <f t="shared" si="10"/>
        <v>0</v>
      </c>
      <c r="BU6" s="24">
        <f>IF(VLOOKUP($Q6,武学奇术!$A:$ZZ,22,FALSE)=1,0,(1-$BN6))*(1-$BQ6)</f>
        <v>0</v>
      </c>
      <c r="BV6" s="24" cm="1">
        <f t="array" ref="BV6">SUM(_xlfn.XLOOKUP($R6:$AK6,增益!$A:$A,增益!$W:$W,0))+$I$5</f>
        <v>0.06</v>
      </c>
    </row>
    <row r="7" ht="14.25" spans="1:74">
      <c r="A7" s="41" t="s">
        <v>99</v>
      </c>
      <c r="B7" s="60"/>
      <c r="C7" s="61"/>
      <c r="D7" s="62"/>
      <c r="E7" s="63"/>
      <c r="F7" s="53" t="s">
        <v>100</v>
      </c>
      <c r="G7" s="64">
        <f>B20</f>
        <v>0</v>
      </c>
      <c r="K7" s="38">
        <f t="shared" si="0"/>
        <v>55876.7042638028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弹道",$B$21,0))*(1+$BV7)</f>
        <v>56909.359468042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弹道",$B$21,0))*(1+$BV7)</f>
        <v>45793.5876247779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弹道",$B$21,0))*(1+$BV7)</f>
        <v>30432.8125497551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弹道",$B$21,0))*(1+$BV7)</f>
        <v>26944.4490811562</v>
      </c>
      <c r="P7" s="39">
        <v>1</v>
      </c>
      <c r="Q7" s="40" t="s">
        <v>101</v>
      </c>
      <c r="R7" s="40" t="s">
        <v>78</v>
      </c>
      <c r="S7" s="40" t="s">
        <v>77</v>
      </c>
      <c r="T7" s="40" t="s">
        <v>78</v>
      </c>
      <c r="U7" s="40" t="s">
        <v>78</v>
      </c>
      <c r="V7" s="40" t="s">
        <v>102</v>
      </c>
      <c r="W7" s="40" t="s">
        <v>78</v>
      </c>
      <c r="X7" s="40" t="s">
        <v>78</v>
      </c>
      <c r="Y7" s="40" t="s">
        <v>78</v>
      </c>
      <c r="Z7" s="40" t="s">
        <v>78</v>
      </c>
      <c r="AA7" s="40" t="s">
        <v>78</v>
      </c>
      <c r="AB7" s="40" t="s">
        <v>78</v>
      </c>
      <c r="AC7" s="40" t="s">
        <v>78</v>
      </c>
      <c r="AD7" s="40" t="s">
        <v>78</v>
      </c>
      <c r="AE7" s="40" t="s">
        <v>78</v>
      </c>
      <c r="AF7" s="40" t="s">
        <v>78</v>
      </c>
      <c r="AG7" s="40" t="s">
        <v>78</v>
      </c>
      <c r="AH7" s="40" t="s">
        <v>78</v>
      </c>
      <c r="AI7" s="40" t="s">
        <v>78</v>
      </c>
      <c r="AJ7" s="40" t="s">
        <v>78</v>
      </c>
      <c r="AK7" s="40" t="s">
        <v>78</v>
      </c>
      <c r="AL7" t="str">
        <f>VLOOKUP($Q7,武学奇术!$A:$ZZ,25,FALSE)</f>
        <v>伞</v>
      </c>
      <c r="AM7" s="24">
        <f>VLOOKUP($Q7,武学奇术!$A:$ZZ,26,FALSE)</f>
        <v>2.3397</v>
      </c>
      <c r="AN7" s="25">
        <f>VLOOKUP($Q7,武学奇术!$A:$ZZ,27,FALSE)*(1+IF(OR($AL7=$F$4,$AL7=$F$5),$B$22,0))</f>
        <v>972</v>
      </c>
      <c r="AO7" s="24">
        <f>VLOOKUP($Q7,武学奇术!$A:$ZZ,28,FALSE)</f>
        <v>3.5095</v>
      </c>
      <c r="AP7" s="25">
        <f>VLOOKUP($Q7,武学奇术!$A:$ZZ,29,FALSE)*(1+IF(OR($AL7=$F$4,$AL7=$F$5),$B$22,0))</f>
        <v>529.5</v>
      </c>
      <c r="AQ7" s="24" cm="1">
        <f t="array" ref="AQ7">$G$3+IFERROR(VLOOKUP($AL7,$F$4:$G$7,2,FALSE),0)+VLOOKUP($Q7,武学奇术!$A:$ZZ,2,FALSE)+SUM(_xlfn.XLOOKUP($R7:$AK7,增益!$A:$A,增益!$B:$B,0))</f>
        <v>0.6741</v>
      </c>
      <c r="AR7" s="24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3736.388</v>
      </c>
      <c r="AT7" cm="1">
        <f t="array" ref="AT7">$E$10*(1+$AR7)+VLOOKUP($Q7,武学奇术!$A:$ZZ,4,FALSE)+SUM(_xlfn.XLOOKUP($R7:$AK7,增益!$A:$A,增益!$D:$D,0))-$I$2</f>
        <v>3736.388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0.2175</v>
      </c>
      <c r="AV7" s="32" cm="1">
        <f t="array" ref="AV7">$G$10+VLOOKUP($Q7,武学奇术!$A:$ZZ,7,FALSE)+SUM(_xlfn.XLOOKUP($R7:$AK7,增益!$A:$A,增益!$G:$G,0))</f>
        <v>0</v>
      </c>
      <c r="AW7" s="24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2" cm="1">
        <f t="array" ref="BA7">$G$11+VLOOKUP($Q7,武学奇术!$A:$ZZ,10,FALSE)+SUM(_xlfn.XLOOKUP($R7:$AK7,增益!$A:$A,增益!$J:$J,0))</f>
        <v>0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2" cm="1">
        <f t="array" ref="BE7">$G$12+VLOOKUP($Q7,武学奇术!$A:$ZZ,12,FALSE)+SUM(_xlfn.XLOOKUP($R7:$AK7,增益!$A:$A,增益!$L:$L,0))</f>
        <v>0</v>
      </c>
      <c r="BF7">
        <f t="shared" si="5"/>
        <v>605.472</v>
      </c>
      <c r="BG7">
        <f t="shared" si="6"/>
        <v>1579.612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2" cm="1">
        <f t="array" ref="BI7">$G$13+VLOOKUP($Q7,武学奇术!$A:$ZZ,14,FALSE)+SUM(_xlfn.XLOOKUP($R7:$AK7,增益!$A:$A,增益!$N:$N,0))</f>
        <v>0.15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2" cm="1">
        <f t="array" ref="BM7">$G$14+VLOOKUP($Q7,武学奇术!$A:$ZZ,16,FALSE)+SUM(_xlfn.XLOOKUP($R7:$AK7,增益!$A:$A,增益!$P:$P,0))</f>
        <v>0</v>
      </c>
      <c r="BN7" s="24">
        <f>MIN(IF(VLOOKUP($Q7,武学奇术!$A:$ZZ,23,FALSE)=1,100%,$B$8),100%)</f>
        <v>1</v>
      </c>
      <c r="BO7" s="24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0.9093</v>
      </c>
      <c r="BP7" s="24" cm="1">
        <f t="array" ref="BP7">1+$B$13+VLOOKUP($Q7,武学奇术!$A:$ZZ,18,FALSE)+SUM(_xlfn.XLOOKUP($R7:$AK7,增益!$A:$A,增益!$R:$R,0))</f>
        <v>1.87</v>
      </c>
      <c r="BQ7" s="24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4" cm="1">
        <f t="array" ref="BR7">1+$B$14+VLOOKUP($Q7,武学奇术!$A:$ZZ,20,FALSE)+SUM(_xlfn.XLOOKUP($R7:$AK7,增益!$A:$A,增益!$T:$T,0))</f>
        <v>1.35</v>
      </c>
      <c r="BS7" s="24">
        <f t="shared" si="9"/>
        <v>0.9071</v>
      </c>
      <c r="BT7" s="24">
        <f t="shared" si="10"/>
        <v>0</v>
      </c>
      <c r="BU7" s="24">
        <f>IF(VLOOKUP($Q7,武学奇术!$A:$ZZ,22,FALSE)=1,0,(1-$BN7))*(1-$BQ7)</f>
        <v>0</v>
      </c>
      <c r="BV7" s="24" cm="1">
        <f t="array" ref="BV7">SUM(_xlfn.XLOOKUP($R7:$AK7,增益!$A:$A,增益!$W:$W,0))+$I$5</f>
        <v>0.06</v>
      </c>
    </row>
    <row r="8" spans="1:74">
      <c r="A8" s="65" t="s">
        <v>103</v>
      </c>
      <c r="B8" s="66">
        <f>期望!B8</f>
        <v>1.0067</v>
      </c>
      <c r="C8" s="67" t="s">
        <v>104</v>
      </c>
      <c r="D8" s="67"/>
      <c r="E8" s="67"/>
      <c r="F8" s="67"/>
      <c r="G8" s="37"/>
      <c r="H8" s="68" t="s">
        <v>105</v>
      </c>
      <c r="I8" s="20">
        <f>期望!I8</f>
        <v>91.6</v>
      </c>
      <c r="J8" s="69"/>
      <c r="K8" s="38">
        <f t="shared" si="0"/>
        <v>65588.8538511793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弹道",$B$21,0))*(1+$BV8)</f>
        <v>66803.9449237233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弹道",$B$21,0))*(1+$BV8)</f>
        <v>53724.3854776092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弹道",$B$21,0))*(1+$BV8)</f>
        <v>35724.0347185686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弹道",$B$21,0))*(1+$BV8)</f>
        <v>31652.2283426119</v>
      </c>
      <c r="P8" s="39">
        <v>1</v>
      </c>
      <c r="Q8" s="40" t="s">
        <v>101</v>
      </c>
      <c r="R8" s="40" t="s">
        <v>76</v>
      </c>
      <c r="S8" s="40" t="s">
        <v>77</v>
      </c>
      <c r="T8" s="40" t="s">
        <v>106</v>
      </c>
      <c r="U8" s="40" t="s">
        <v>78</v>
      </c>
      <c r="V8" s="40" t="s">
        <v>102</v>
      </c>
      <c r="W8" s="40" t="s">
        <v>78</v>
      </c>
      <c r="X8" s="40" t="s">
        <v>78</v>
      </c>
      <c r="Y8" s="40" t="s">
        <v>78</v>
      </c>
      <c r="Z8" s="40" t="s">
        <v>78</v>
      </c>
      <c r="AA8" s="40" t="s">
        <v>79</v>
      </c>
      <c r="AB8" s="40" t="s">
        <v>78</v>
      </c>
      <c r="AC8" s="40" t="s">
        <v>78</v>
      </c>
      <c r="AD8" s="40" t="s">
        <v>78</v>
      </c>
      <c r="AE8" s="40" t="s">
        <v>78</v>
      </c>
      <c r="AF8" s="40" t="s">
        <v>78</v>
      </c>
      <c r="AG8" s="40" t="s">
        <v>78</v>
      </c>
      <c r="AH8" s="40" t="s">
        <v>78</v>
      </c>
      <c r="AI8" s="40" t="s">
        <v>78</v>
      </c>
      <c r="AJ8" s="40" t="s">
        <v>78</v>
      </c>
      <c r="AK8" s="40" t="s">
        <v>78</v>
      </c>
      <c r="AL8" t="str">
        <f>VLOOKUP($Q8,武学奇术!$A:$ZZ,25,FALSE)</f>
        <v>伞</v>
      </c>
      <c r="AM8" s="24">
        <f>VLOOKUP($Q8,武学奇术!$A:$ZZ,26,FALSE)</f>
        <v>2.3397</v>
      </c>
      <c r="AN8" s="25">
        <f>VLOOKUP($Q8,武学奇术!$A:$ZZ,27,FALSE)*(1+IF(OR($AL8=$F$4,$AL8=$F$5),$B$22,0))</f>
        <v>972</v>
      </c>
      <c r="AO8" s="24">
        <f>VLOOKUP($Q8,武学奇术!$A:$ZZ,28,FALSE)</f>
        <v>3.5095</v>
      </c>
      <c r="AP8" s="25">
        <f>VLOOKUP($Q8,武学奇术!$A:$ZZ,29,FALSE)*(1+IF(OR($AL8=$F$4,$AL8=$F$5),$B$22,0))</f>
        <v>529.5</v>
      </c>
      <c r="AQ8" s="24" cm="1">
        <f t="array" ref="AQ8">$G$3+IFERROR(VLOOKUP($AL8,$F$4:$G$7,2,FALSE),0)+VLOOKUP($Q8,武学奇术!$A:$ZZ,2,FALSE)+SUM(_xlfn.XLOOKUP($R8:$AK8,增益!$A:$A,增益!$B:$B,0))</f>
        <v>0.9541</v>
      </c>
      <c r="AR8" s="24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3736.388</v>
      </c>
      <c r="AT8" cm="1">
        <f t="array" ref="AT8">$E$10*(1+$AR8)+VLOOKUP($Q8,武学奇术!$A:$ZZ,4,FALSE)+SUM(_xlfn.XLOOKUP($R8:$AK8,增益!$A:$A,增益!$D:$D,0))-$I$2</f>
        <v>3736.388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0.2275</v>
      </c>
      <c r="AV8" s="32" cm="1">
        <f t="array" ref="AV8">$G$10+VLOOKUP($Q8,武学奇术!$A:$ZZ,7,FALSE)+SUM(_xlfn.XLOOKUP($R8:$AK8,增益!$A:$A,增益!$G:$G,0))</f>
        <v>0</v>
      </c>
      <c r="AW8" s="24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2" cm="1">
        <f t="array" ref="BA8">$G$11+VLOOKUP($Q8,武学奇术!$A:$ZZ,10,FALSE)+SUM(_xlfn.XLOOKUP($R8:$AK8,增益!$A:$A,增益!$J:$J,0))</f>
        <v>0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2" cm="1">
        <f t="array" ref="BE8">$G$12+VLOOKUP($Q8,武学奇术!$A:$ZZ,12,FALSE)+SUM(_xlfn.XLOOKUP($R8:$AK8,增益!$A:$A,增益!$L:$L,0))</f>
        <v>0</v>
      </c>
      <c r="BF8">
        <f t="shared" si="5"/>
        <v>605.472</v>
      </c>
      <c r="BG8">
        <f t="shared" si="6"/>
        <v>1579.612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2" cm="1">
        <f t="array" ref="BI8">$G$13+VLOOKUP($Q8,武学奇术!$A:$ZZ,14,FALSE)+SUM(_xlfn.XLOOKUP($R8:$AK8,增益!$A:$A,增益!$N:$N,0))</f>
        <v>0.15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2" cm="1">
        <f t="array" ref="BM8">$G$14+VLOOKUP($Q8,武学奇术!$A:$ZZ,16,FALSE)+SUM(_xlfn.XLOOKUP($R8:$AK8,增益!$A:$A,增益!$P:$P,0))</f>
        <v>0</v>
      </c>
      <c r="BN8" s="24">
        <f>MIN(IF(VLOOKUP($Q8,武学奇术!$A:$ZZ,23,FALSE)=1,100%,$B$8),100%)</f>
        <v>1</v>
      </c>
      <c r="BO8" s="24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0.9093</v>
      </c>
      <c r="BP8" s="24" cm="1">
        <f t="array" ref="BP8">1+$B$13+VLOOKUP($Q8,武学奇术!$A:$ZZ,18,FALSE)+SUM(_xlfn.XLOOKUP($R8:$AK8,增益!$A:$A,增益!$R:$R,0))</f>
        <v>1.87</v>
      </c>
      <c r="BQ8" s="24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4" cm="1">
        <f t="array" ref="BR8">1+$B$14+VLOOKUP($Q8,武学奇术!$A:$ZZ,20,FALSE)+SUM(_xlfn.XLOOKUP($R8:$AK8,增益!$A:$A,增益!$T:$T,0))</f>
        <v>1.35</v>
      </c>
      <c r="BS8" s="24">
        <f t="shared" si="9"/>
        <v>0.9071</v>
      </c>
      <c r="BT8" s="24">
        <f t="shared" si="10"/>
        <v>0</v>
      </c>
      <c r="BU8" s="24">
        <f>IF(VLOOKUP($Q8,武学奇术!$A:$ZZ,22,FALSE)=1,0,(1-$BN8))*(1-$BQ8)</f>
        <v>0</v>
      </c>
      <c r="BV8" s="24" cm="1">
        <f t="array" ref="BV8">SUM(_xlfn.XLOOKUP($R8:$AK8,增益!$A:$A,增益!$W:$W,0))+$I$5</f>
        <v>0.06</v>
      </c>
    </row>
    <row r="9" ht="14.25" spans="1:74">
      <c r="A9" s="41" t="s">
        <v>107</v>
      </c>
      <c r="B9" s="70">
        <f>期望!B9</f>
        <v>0.7763</v>
      </c>
      <c r="C9" s="12"/>
      <c r="D9" t="s">
        <v>0</v>
      </c>
      <c r="E9" t="s">
        <v>1</v>
      </c>
      <c r="F9" s="39" t="s">
        <v>2</v>
      </c>
      <c r="G9" s="44" t="s">
        <v>3</v>
      </c>
      <c r="H9" s="71"/>
      <c r="I9" s="23"/>
      <c r="J9" s="72"/>
      <c r="K9" s="38">
        <f t="shared" si="0"/>
        <v>26126.9018892749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弹道",$B$21,0))*(1+$BV9)</f>
        <v>26134.6194136218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弹道",$B$21,0))*(1+$BV9)</f>
        <v>26051.545954559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弹道",$B$21,0))*(1+$BV9)</f>
        <v>17307.6949759085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弹道",$B$21,0))*(1+$BV9)</f>
        <v>15317.9485039954</v>
      </c>
      <c r="P9" s="39">
        <v>1</v>
      </c>
      <c r="Q9" s="40" t="s">
        <v>108</v>
      </c>
      <c r="R9" s="40" t="s">
        <v>82</v>
      </c>
      <c r="S9" s="40" t="s">
        <v>77</v>
      </c>
      <c r="T9" s="40" t="s">
        <v>78</v>
      </c>
      <c r="U9" s="40" t="s">
        <v>78</v>
      </c>
      <c r="V9" s="40" t="s">
        <v>78</v>
      </c>
      <c r="W9" s="40" t="s">
        <v>78</v>
      </c>
      <c r="X9" s="40" t="s">
        <v>78</v>
      </c>
      <c r="Y9" s="40" t="s">
        <v>78</v>
      </c>
      <c r="Z9" s="40" t="s">
        <v>78</v>
      </c>
      <c r="AA9" s="40" t="s">
        <v>79</v>
      </c>
      <c r="AB9" s="40" t="s">
        <v>78</v>
      </c>
      <c r="AC9" s="40" t="s">
        <v>78</v>
      </c>
      <c r="AD9" s="40" t="s">
        <v>78</v>
      </c>
      <c r="AE9" s="40" t="s">
        <v>78</v>
      </c>
      <c r="AF9" s="40" t="s">
        <v>78</v>
      </c>
      <c r="AG9" s="40" t="s">
        <v>78</v>
      </c>
      <c r="AH9" s="40" t="s">
        <v>78</v>
      </c>
      <c r="AI9" s="40" t="s">
        <v>78</v>
      </c>
      <c r="AJ9" s="40" t="s">
        <v>78</v>
      </c>
      <c r="AK9" s="40" t="s">
        <v>78</v>
      </c>
      <c r="AL9" t="str">
        <f>VLOOKUP($Q9,武学奇术!$A:$ZZ,25,FALSE)</f>
        <v>伞</v>
      </c>
      <c r="AM9" s="24">
        <f>VLOOKUP($Q9,武学奇术!$A:$ZZ,26,FALSE)</f>
        <v>1.7001</v>
      </c>
      <c r="AN9" s="25">
        <f>VLOOKUP($Q9,武学奇术!$A:$ZZ,27,FALSE)*(1+IF(OR($AL9=$F$4,$AL9=$F$5),$B$22,0))</f>
        <v>706.5</v>
      </c>
      <c r="AO9" s="24">
        <f>VLOOKUP($Q9,武学奇术!$A:$ZZ,28,FALSE)</f>
        <v>2.5502</v>
      </c>
      <c r="AP9" s="25">
        <f>VLOOKUP($Q9,武学奇术!$A:$ZZ,29,FALSE)*(1+IF(OR($AL9=$F$4,$AL9=$F$5),$B$22,0))</f>
        <v>384</v>
      </c>
      <c r="AQ9" s="24" cm="1">
        <f t="array" ref="AQ9">$G$3+IFERROR(VLOOKUP($AL9,$F$4:$G$7,2,FALSE),0)+VLOOKUP($Q9,武学奇术!$A:$ZZ,2,FALSE)+SUM(_xlfn.XLOOKUP($R9:$AK9,增益!$A:$A,增益!$B:$B,0))</f>
        <v>0.3141</v>
      </c>
      <c r="AR9" s="24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3736.388</v>
      </c>
      <c r="AT9" cm="1">
        <f t="array" ref="AT9">$E$10*(1+$AR9)+VLOOKUP($Q9,武学奇术!$A:$ZZ,4,FALSE)+SUM(_xlfn.XLOOKUP($R9:$AK9,增益!$A:$A,增益!$D:$D,0))-$I$2</f>
        <v>3736.388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0.2125</v>
      </c>
      <c r="AV9" s="32" cm="1">
        <f t="array" ref="AV9">$G$10+VLOOKUP($Q9,武学奇术!$A:$ZZ,7,FALSE)+SUM(_xlfn.XLOOKUP($R9:$AK9,增益!$A:$A,增益!$G:$G,0))</f>
        <v>0</v>
      </c>
      <c r="AW9" s="24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2" cm="1">
        <f t="array" ref="BA9">$G$11+VLOOKUP($Q9,武学奇术!$A:$ZZ,10,FALSE)+SUM(_xlfn.XLOOKUP($R9:$AK9,增益!$A:$A,增益!$J:$J,0))</f>
        <v>0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2" cm="1">
        <f t="array" ref="BE9">$G$12+VLOOKUP($Q9,武学奇术!$A:$ZZ,12,FALSE)+SUM(_xlfn.XLOOKUP($R9:$AK9,增益!$A:$A,增益!$L:$L,0))</f>
        <v>0</v>
      </c>
      <c r="BF9">
        <f t="shared" si="5"/>
        <v>605.472</v>
      </c>
      <c r="BG9">
        <f t="shared" si="6"/>
        <v>1579.612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2" cm="1">
        <f t="array" ref="BI9">$G$13+VLOOKUP($Q9,武学奇术!$A:$ZZ,14,FALSE)+SUM(_xlfn.XLOOKUP($R9:$AK9,增益!$A:$A,增益!$N:$N,0))</f>
        <v>0.15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2" cm="1">
        <f t="array" ref="BM9">$G$14+VLOOKUP($Q9,武学奇术!$A:$ZZ,16,FALSE)+SUM(_xlfn.XLOOKUP($R9:$AK9,增益!$A:$A,增益!$P:$P,0))</f>
        <v>0</v>
      </c>
      <c r="BN9" s="24">
        <f>MIN(IF(VLOOKUP($Q9,武学奇术!$A:$ZZ,23,FALSE)=1,100%,$B$8),100%)</f>
        <v>1</v>
      </c>
      <c r="BO9" s="24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0.9093</v>
      </c>
      <c r="BP9" s="24" cm="1">
        <f t="array" ref="BP9">1+$B$13+VLOOKUP($Q9,武学奇术!$A:$ZZ,18,FALSE)+SUM(_xlfn.XLOOKUP($R9:$AK9,增益!$A:$A,增益!$R:$R,0))</f>
        <v>1.51</v>
      </c>
      <c r="BQ9" s="24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4" cm="1">
        <f t="array" ref="BR9">1+$B$14+VLOOKUP($Q9,武学奇术!$A:$ZZ,20,FALSE)+SUM(_xlfn.XLOOKUP($R9:$AK9,增益!$A:$A,增益!$T:$T,0))</f>
        <v>1.35</v>
      </c>
      <c r="BS9" s="24">
        <f t="shared" si="9"/>
        <v>0.9071</v>
      </c>
      <c r="BT9" s="24">
        <f t="shared" si="10"/>
        <v>0</v>
      </c>
      <c r="BU9" s="24">
        <f>IF(VLOOKUP($Q9,武学奇术!$A:$ZZ,22,FALSE)=1,0,(1-$BN9))*(1-$BQ9)</f>
        <v>0</v>
      </c>
      <c r="BV9" s="24" cm="1">
        <f t="array" ref="BV9">SUM(_xlfn.XLOOKUP($R9:$AK9,增益!$A:$A,增益!$W:$W,0))+$I$5</f>
        <v>0.06</v>
      </c>
    </row>
    <row r="10" spans="1:74">
      <c r="A10" s="41" t="s">
        <v>109</v>
      </c>
      <c r="B10" s="70">
        <f>期望!B10</f>
        <v>0.0929</v>
      </c>
      <c r="C10" s="12" t="s">
        <v>71</v>
      </c>
      <c r="D10">
        <f>期望!D10</f>
        <v>4356.388</v>
      </c>
      <c r="E10">
        <f>期望!E10</f>
        <v>4356.388</v>
      </c>
      <c r="F10">
        <f>期望!F10</f>
        <v>63.5</v>
      </c>
      <c r="G10" s="49">
        <f>期望!G10</f>
        <v>0</v>
      </c>
      <c r="H10" s="68" t="s">
        <v>110</v>
      </c>
      <c r="I10" s="73">
        <f>SUM(K:K)</f>
        <v>13000991.3836243</v>
      </c>
      <c r="J10" s="74"/>
      <c r="K10" s="38">
        <f t="shared" si="0"/>
        <v>11013.2551052734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弹道",$B$21,0))*(1+$BV10)</f>
        <v>11023.1630719814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弹道",$B$21,0))*(1+$BV10)</f>
        <v>10916.5111160291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弹道",$B$21,0))*(1+$BV10)</f>
        <v>7252.08096840881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弹道",$B$21,0))*(1+$BV10)</f>
        <v>6417.85740642566</v>
      </c>
      <c r="P10" s="39">
        <v>1</v>
      </c>
      <c r="Q10" s="40" t="s">
        <v>111</v>
      </c>
      <c r="R10" s="40" t="s">
        <v>82</v>
      </c>
      <c r="S10" s="40" t="s">
        <v>83</v>
      </c>
      <c r="T10" s="40" t="s">
        <v>78</v>
      </c>
      <c r="U10" s="40" t="s">
        <v>78</v>
      </c>
      <c r="V10" s="40" t="s">
        <v>78</v>
      </c>
      <c r="W10" s="40" t="s">
        <v>78</v>
      </c>
      <c r="X10" s="40" t="s">
        <v>78</v>
      </c>
      <c r="Y10" s="40" t="s">
        <v>78</v>
      </c>
      <c r="Z10" s="40" t="s">
        <v>78</v>
      </c>
      <c r="AA10" s="40" t="s">
        <v>79</v>
      </c>
      <c r="AB10" s="40" t="s">
        <v>78</v>
      </c>
      <c r="AC10" s="40" t="s">
        <v>78</v>
      </c>
      <c r="AD10" s="40" t="s">
        <v>78</v>
      </c>
      <c r="AE10" s="40" t="s">
        <v>78</v>
      </c>
      <c r="AF10" s="40" t="s">
        <v>78</v>
      </c>
      <c r="AG10" s="40" t="s">
        <v>78</v>
      </c>
      <c r="AH10" s="40" t="s">
        <v>78</v>
      </c>
      <c r="AI10" s="40" t="s">
        <v>78</v>
      </c>
      <c r="AJ10" s="40" t="s">
        <v>78</v>
      </c>
      <c r="AK10" s="40" t="s">
        <v>78</v>
      </c>
      <c r="AL10" t="str">
        <f>VLOOKUP($Q10,武学奇术!$A:$ZZ,25,FALSE)</f>
        <v>伞</v>
      </c>
      <c r="AM10" s="24">
        <f>VLOOKUP($Q10,武学奇术!$A:$ZZ,26,FALSE)</f>
        <v>0.54</v>
      </c>
      <c r="AN10" s="25">
        <f>VLOOKUP($Q10,武学奇术!$A:$ZZ,27,FALSE)*(1+IF(OR($AL10=$F$4,$AL10=$F$5),$B$22,0))</f>
        <v>222</v>
      </c>
      <c r="AO10" s="24">
        <f>VLOOKUP($Q10,武学奇术!$A:$ZZ,28,FALSE)</f>
        <v>0.81</v>
      </c>
      <c r="AP10" s="25">
        <f>VLOOKUP($Q10,武学奇术!$A:$ZZ,29,FALSE)*(1+IF(OR($AL10=$F$4,$AL10=$F$5),$B$22,0))</f>
        <v>122.25</v>
      </c>
      <c r="AQ10" s="24" cm="1">
        <f t="array" ref="AQ10">$G$3+IFERROR(VLOOKUP($AL10,$F$4:$G$7,2,FALSE),0)+VLOOKUP($Q10,武学奇术!$A:$ZZ,2,FALSE)+SUM(_xlfn.XLOOKUP($R10:$AK10,增益!$A:$A,增益!$B:$B,0))</f>
        <v>0.3141</v>
      </c>
      <c r="AR10" s="24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3736.388</v>
      </c>
      <c r="AT10" cm="1">
        <f t="array" ref="AT10">$E$10*(1+$AR10)+VLOOKUP($Q10,武学奇术!$A:$ZZ,4,FALSE)+SUM(_xlfn.XLOOKUP($R10:$AK10,增益!$A:$A,增益!$D:$D,0))-$I$2</f>
        <v>3736.388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0.2125</v>
      </c>
      <c r="AV10" s="32" cm="1">
        <f t="array" ref="AV10">$G$10+VLOOKUP($Q10,武学奇术!$A:$ZZ,7,FALSE)+SUM(_xlfn.XLOOKUP($R10:$AK10,增益!$A:$A,增益!$G:$G,0))</f>
        <v>0</v>
      </c>
      <c r="AW10" s="24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2" cm="1">
        <f t="array" ref="BA10">$G$11+VLOOKUP($Q10,武学奇术!$A:$ZZ,10,FALSE)+SUM(_xlfn.XLOOKUP($R10:$AK10,增益!$A:$A,增益!$J:$J,0))</f>
        <v>0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-0.3</v>
      </c>
      <c r="BE10" s="32" cm="1">
        <f t="array" ref="BE10">$G$12+VLOOKUP($Q10,武学奇术!$A:$ZZ,12,FALSE)+SUM(_xlfn.XLOOKUP($R10:$AK10,增益!$A:$A,增益!$L:$L,0))</f>
        <v>0</v>
      </c>
      <c r="BF10">
        <f t="shared" si="5"/>
        <v>605.472</v>
      </c>
      <c r="BG10">
        <f t="shared" si="6"/>
        <v>1579.612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</v>
      </c>
      <c r="BI10" s="32" cm="1">
        <f t="array" ref="BI10">$G$13+VLOOKUP($Q10,武学奇术!$A:$ZZ,14,FALSE)+SUM(_xlfn.XLOOKUP($R10:$AK10,增益!$A:$A,增益!$N:$N,0))</f>
        <v>0.15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2" cm="1">
        <f t="array" ref="BM10">$G$14+VLOOKUP($Q10,武学奇术!$A:$ZZ,16,FALSE)+SUM(_xlfn.XLOOKUP($R10:$AK10,增益!$A:$A,增益!$P:$P,0))</f>
        <v>0</v>
      </c>
      <c r="BN10" s="24">
        <f>MIN(IF(VLOOKUP($Q10,武学奇术!$A:$ZZ,23,FALSE)=1,100%,$B$8),100%)</f>
        <v>1</v>
      </c>
      <c r="BO10" s="24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0.9093</v>
      </c>
      <c r="BP10" s="24" cm="1">
        <f t="array" ref="BP10">1+$B$13+VLOOKUP($Q10,武学奇术!$A:$ZZ,18,FALSE)+SUM(_xlfn.XLOOKUP($R10:$AK10,增益!$A:$A,增益!$R:$R,0))</f>
        <v>1.52</v>
      </c>
      <c r="BQ10" s="24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4" cm="1">
        <f t="array" ref="BR10">1+$B$14+VLOOKUP($Q10,武学奇术!$A:$ZZ,20,FALSE)+SUM(_xlfn.XLOOKUP($R10:$AK10,增益!$A:$A,增益!$T:$T,0))</f>
        <v>1.35</v>
      </c>
      <c r="BS10" s="24">
        <f t="shared" si="9"/>
        <v>0.9071</v>
      </c>
      <c r="BT10" s="24">
        <f t="shared" si="10"/>
        <v>0</v>
      </c>
      <c r="BU10" s="24">
        <f>IF(VLOOKUP($Q10,武学奇术!$A:$ZZ,22,FALSE)=1,0,(1-$BN10))*(1-$BQ10)</f>
        <v>0</v>
      </c>
      <c r="BV10" s="24" cm="1">
        <f t="array" ref="BV10">SUM(_xlfn.XLOOKUP($R10:$AK10,增益!$A:$A,增益!$W:$W,0))+$I$5</f>
        <v>0.06</v>
      </c>
    </row>
    <row r="11" ht="14.25" spans="1:74">
      <c r="A11" s="41" t="s">
        <v>112</v>
      </c>
      <c r="B11" s="70">
        <f>期望!B11</f>
        <v>0.133</v>
      </c>
      <c r="C11" s="12" t="s">
        <v>80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22309.9652492261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弹道",$B$21,0))*(1+$BV11)</f>
        <v>22734.3923683982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弹道",$B$21,0))*(1+$BV11)</f>
        <v>18165.7473826923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弹道",$B$21,0))*(1+$BV11)</f>
        <v>12092.7618980842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弹道",$B$21,0))*(1+$BV11)</f>
        <v>10729.4146238037</v>
      </c>
      <c r="P11" s="39">
        <v>0.5</v>
      </c>
      <c r="Q11" s="40" t="s">
        <v>113</v>
      </c>
      <c r="R11" s="40" t="s">
        <v>88</v>
      </c>
      <c r="S11" s="40" t="s">
        <v>83</v>
      </c>
      <c r="T11" s="40" t="s">
        <v>106</v>
      </c>
      <c r="U11" s="40" t="s">
        <v>78</v>
      </c>
      <c r="V11" s="40" t="s">
        <v>102</v>
      </c>
      <c r="W11" s="40" t="s">
        <v>78</v>
      </c>
      <c r="X11" s="40" t="s">
        <v>78</v>
      </c>
      <c r="Y11" s="40" t="s">
        <v>78</v>
      </c>
      <c r="Z11" s="40" t="s">
        <v>78</v>
      </c>
      <c r="AA11" s="40" t="s">
        <v>79</v>
      </c>
      <c r="AB11" s="40" t="s">
        <v>78</v>
      </c>
      <c r="AC11" s="40" t="s">
        <v>78</v>
      </c>
      <c r="AD11" s="40" t="s">
        <v>78</v>
      </c>
      <c r="AE11" s="40" t="s">
        <v>78</v>
      </c>
      <c r="AF11" s="40" t="s">
        <v>78</v>
      </c>
      <c r="AG11" s="40" t="s">
        <v>78</v>
      </c>
      <c r="AH11" s="40" t="s">
        <v>78</v>
      </c>
      <c r="AI11" s="40" t="s">
        <v>78</v>
      </c>
      <c r="AJ11" s="40" t="s">
        <v>78</v>
      </c>
      <c r="AK11" s="40" t="s">
        <v>78</v>
      </c>
      <c r="AL11" t="str">
        <f>VLOOKUP($Q11,武学奇术!$A:$ZZ,25,FALSE)</f>
        <v>伞</v>
      </c>
      <c r="AM11" s="24">
        <f>VLOOKUP($Q11,武学奇术!$A:$ZZ,26,FALSE)</f>
        <v>1.174955</v>
      </c>
      <c r="AN11" s="25">
        <f>VLOOKUP($Q11,武学奇术!$A:$ZZ,27,FALSE)*(1+IF(OR($AL11=$F$4,$AL11=$F$5),$B$22,0))</f>
        <v>486.45</v>
      </c>
      <c r="AO11" s="24">
        <f>VLOOKUP($Q11,武学奇术!$A:$ZZ,28,FALSE)</f>
        <v>1.762375</v>
      </c>
      <c r="AP11" s="25">
        <f>VLOOKUP($Q11,武学奇术!$A:$ZZ,29,FALSE)*(1+IF(OR($AL11=$F$4,$AL11=$F$5),$B$22,0))</f>
        <v>265.65</v>
      </c>
      <c r="AQ11" s="24" cm="1">
        <f t="array" ref="AQ11">$G$3+IFERROR(VLOOKUP($AL11,$F$4:$G$7,2,FALSE),0)+VLOOKUP($Q11,武学奇术!$A:$ZZ,2,FALSE)+SUM(_xlfn.XLOOKUP($R11:$AK11,增益!$A:$A,增益!$B:$B,0))</f>
        <v>0.9741</v>
      </c>
      <c r="AR11" s="24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3736.388</v>
      </c>
      <c r="AT11" cm="1">
        <f t="array" ref="AT11">$E$10*(1+$AR11)+VLOOKUP($Q11,武学奇术!$A:$ZZ,4,FALSE)+SUM(_xlfn.XLOOKUP($R11:$AK11,增益!$A:$A,增益!$D:$D,0))-$I$2</f>
        <v>3736.388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0.2475</v>
      </c>
      <c r="AV11" s="32" cm="1">
        <f t="array" ref="AV11">$G$10+VLOOKUP($Q11,武学奇术!$A:$ZZ,7,FALSE)+SUM(_xlfn.XLOOKUP($R11:$AK11,增益!$A:$A,增益!$G:$G,0))</f>
        <v>0</v>
      </c>
      <c r="AW11" s="24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2" cm="1">
        <f t="array" ref="BA11">$G$11+VLOOKUP($Q11,武学奇术!$A:$ZZ,10,FALSE)+SUM(_xlfn.XLOOKUP($R11:$AK11,增益!$A:$A,增益!$J:$J,0))</f>
        <v>0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-0.3</v>
      </c>
      <c r="BE11" s="32" cm="1">
        <f t="array" ref="BE11">$G$12+VLOOKUP($Q11,武学奇术!$A:$ZZ,12,FALSE)+SUM(_xlfn.XLOOKUP($R11:$AK11,增益!$A:$A,增益!$L:$L,0))</f>
        <v>0</v>
      </c>
      <c r="BF11">
        <f t="shared" si="5"/>
        <v>605.472</v>
      </c>
      <c r="BG11">
        <f t="shared" si="6"/>
        <v>1579.612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</v>
      </c>
      <c r="BI11" s="32" cm="1">
        <f t="array" ref="BI11">$G$13+VLOOKUP($Q11,武学奇术!$A:$ZZ,14,FALSE)+SUM(_xlfn.XLOOKUP($R11:$AK11,增益!$A:$A,增益!$N:$N,0))</f>
        <v>0.15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2" cm="1">
        <f t="array" ref="BM11">$G$14+VLOOKUP($Q11,武学奇术!$A:$ZZ,16,FALSE)+SUM(_xlfn.XLOOKUP($R11:$AK11,增益!$A:$A,增益!$P:$P,0))</f>
        <v>0</v>
      </c>
      <c r="BN11" s="24">
        <f>MIN(IF(VLOOKUP($Q11,武学奇术!$A:$ZZ,23,FALSE)=1,100%,$B$8),100%)</f>
        <v>1</v>
      </c>
      <c r="BO11" s="24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0.9093</v>
      </c>
      <c r="BP11" s="24" cm="1">
        <f t="array" ref="BP11">1+$B$13+VLOOKUP($Q11,武学奇术!$A:$ZZ,18,FALSE)+SUM(_xlfn.XLOOKUP($R11:$AK11,增益!$A:$A,增益!$R:$R,0))</f>
        <v>1.88</v>
      </c>
      <c r="BQ11" s="24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4" cm="1">
        <f t="array" ref="BR11">1+$B$14+VLOOKUP($Q11,武学奇术!$A:$ZZ,20,FALSE)+SUM(_xlfn.XLOOKUP($R11:$AK11,增益!$A:$A,增益!$T:$T,0))</f>
        <v>1.35</v>
      </c>
      <c r="BS11" s="24">
        <f t="shared" si="9"/>
        <v>0.9071</v>
      </c>
      <c r="BT11" s="24">
        <f t="shared" si="10"/>
        <v>0</v>
      </c>
      <c r="BU11" s="24">
        <f>IF(VLOOKUP($Q11,武学奇术!$A:$ZZ,22,FALSE)=1,0,(1-$BN11))*(1-$BQ11)</f>
        <v>0</v>
      </c>
      <c r="BV11" s="24" cm="1">
        <f t="array" ref="BV11">SUM(_xlfn.XLOOKUP($R11:$AK11,增益!$A:$A,增益!$W:$W,0))+$I$5</f>
        <v>0.06</v>
      </c>
    </row>
    <row r="12" spans="1:74">
      <c r="A12" s="41" t="s">
        <v>114</v>
      </c>
      <c r="B12" s="70">
        <f>期望!B12</f>
        <v>0</v>
      </c>
      <c r="C12" s="12" t="s">
        <v>85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115</v>
      </c>
      <c r="I12" s="38">
        <f>I10/I8</f>
        <v>141932.220345243</v>
      </c>
      <c r="J12" s="77"/>
      <c r="K12" s="38">
        <f t="shared" si="0"/>
        <v>22309.9652492261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弹道",$B$21,0))*(1+$BV12)</f>
        <v>22734.3923683982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弹道",$B$21,0))*(1+$BV12)</f>
        <v>18165.7473826923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弹道",$B$21,0))*(1+$BV12)</f>
        <v>12092.7618980842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弹道",$B$21,0))*(1+$BV12)</f>
        <v>10729.4146238037</v>
      </c>
      <c r="P12" s="39">
        <v>0.5</v>
      </c>
      <c r="Q12" s="40" t="s">
        <v>113</v>
      </c>
      <c r="R12" s="40" t="s">
        <v>88</v>
      </c>
      <c r="S12" s="40" t="s">
        <v>83</v>
      </c>
      <c r="T12" s="40" t="s">
        <v>106</v>
      </c>
      <c r="U12" s="40" t="s">
        <v>78</v>
      </c>
      <c r="V12" s="40" t="s">
        <v>102</v>
      </c>
      <c r="W12" s="40" t="s">
        <v>78</v>
      </c>
      <c r="X12" s="40" t="s">
        <v>78</v>
      </c>
      <c r="Y12" s="40" t="s">
        <v>78</v>
      </c>
      <c r="Z12" s="40" t="s">
        <v>78</v>
      </c>
      <c r="AA12" s="40" t="s">
        <v>79</v>
      </c>
      <c r="AB12" s="40" t="s">
        <v>78</v>
      </c>
      <c r="AC12" s="40" t="s">
        <v>78</v>
      </c>
      <c r="AD12" s="40" t="s">
        <v>78</v>
      </c>
      <c r="AE12" s="40" t="s">
        <v>78</v>
      </c>
      <c r="AF12" s="40" t="s">
        <v>78</v>
      </c>
      <c r="AG12" s="40" t="s">
        <v>78</v>
      </c>
      <c r="AH12" s="40" t="s">
        <v>78</v>
      </c>
      <c r="AI12" s="40" t="s">
        <v>78</v>
      </c>
      <c r="AJ12" s="40" t="s">
        <v>78</v>
      </c>
      <c r="AK12" s="40" t="s">
        <v>78</v>
      </c>
      <c r="AL12" t="str">
        <f>VLOOKUP($Q12,武学奇术!$A:$ZZ,25,FALSE)</f>
        <v>伞</v>
      </c>
      <c r="AM12" s="24">
        <f>VLOOKUP($Q12,武学奇术!$A:$ZZ,26,FALSE)</f>
        <v>1.174955</v>
      </c>
      <c r="AN12" s="25">
        <f>VLOOKUP($Q12,武学奇术!$A:$ZZ,27,FALSE)*(1+IF(OR($AL12=$F$4,$AL12=$F$5),$B$22,0))</f>
        <v>486.45</v>
      </c>
      <c r="AO12" s="24">
        <f>VLOOKUP($Q12,武学奇术!$A:$ZZ,28,FALSE)</f>
        <v>1.762375</v>
      </c>
      <c r="AP12" s="25">
        <f>VLOOKUP($Q12,武学奇术!$A:$ZZ,29,FALSE)*(1+IF(OR($AL12=$F$4,$AL12=$F$5),$B$22,0))</f>
        <v>265.65</v>
      </c>
      <c r="AQ12" s="24" cm="1">
        <f t="array" ref="AQ12">$G$3+IFERROR(VLOOKUP($AL12,$F$4:$G$7,2,FALSE),0)+VLOOKUP($Q12,武学奇术!$A:$ZZ,2,FALSE)+SUM(_xlfn.XLOOKUP($R12:$AK12,增益!$A:$A,增益!$B:$B,0))</f>
        <v>0.9741</v>
      </c>
      <c r="AR12" s="24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3736.388</v>
      </c>
      <c r="AT12" cm="1">
        <f t="array" ref="AT12">$E$10*(1+$AR12)+VLOOKUP($Q12,武学奇术!$A:$ZZ,4,FALSE)+SUM(_xlfn.XLOOKUP($R12:$AK12,增益!$A:$A,增益!$D:$D,0))-$I$2</f>
        <v>3736.388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0.2475</v>
      </c>
      <c r="AV12" s="32" cm="1">
        <f t="array" ref="AV12">$G$10+VLOOKUP($Q12,武学奇术!$A:$ZZ,7,FALSE)+SUM(_xlfn.XLOOKUP($R12:$AK12,增益!$A:$A,增益!$G:$G,0))</f>
        <v>0</v>
      </c>
      <c r="AW12" s="24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2" cm="1">
        <f t="array" ref="BA12">$G$11+VLOOKUP($Q12,武学奇术!$A:$ZZ,10,FALSE)+SUM(_xlfn.XLOOKUP($R12:$AK12,增益!$A:$A,增益!$J:$J,0))</f>
        <v>0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-0.3</v>
      </c>
      <c r="BE12" s="32" cm="1">
        <f t="array" ref="BE12">$G$12+VLOOKUP($Q12,武学奇术!$A:$ZZ,12,FALSE)+SUM(_xlfn.XLOOKUP($R12:$AK12,增益!$A:$A,增益!$L:$L,0))</f>
        <v>0</v>
      </c>
      <c r="BF12">
        <f t="shared" si="5"/>
        <v>605.472</v>
      </c>
      <c r="BG12">
        <f t="shared" si="6"/>
        <v>1579.612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</v>
      </c>
      <c r="BI12" s="32" cm="1">
        <f t="array" ref="BI12">$G$13+VLOOKUP($Q12,武学奇术!$A:$ZZ,14,FALSE)+SUM(_xlfn.XLOOKUP($R12:$AK12,增益!$A:$A,增益!$N:$N,0))</f>
        <v>0.15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2" cm="1">
        <f t="array" ref="BM12">$G$14+VLOOKUP($Q12,武学奇术!$A:$ZZ,16,FALSE)+SUM(_xlfn.XLOOKUP($R12:$AK12,增益!$A:$A,增益!$P:$P,0))</f>
        <v>0</v>
      </c>
      <c r="BN12" s="24">
        <f>MIN(IF(VLOOKUP($Q12,武学奇术!$A:$ZZ,23,FALSE)=1,100%,$B$8),100%)</f>
        <v>1</v>
      </c>
      <c r="BO12" s="24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0.9093</v>
      </c>
      <c r="BP12" s="24" cm="1">
        <f t="array" ref="BP12">1+$B$13+VLOOKUP($Q12,武学奇术!$A:$ZZ,18,FALSE)+SUM(_xlfn.XLOOKUP($R12:$AK12,增益!$A:$A,增益!$R:$R,0))</f>
        <v>1.88</v>
      </c>
      <c r="BQ12" s="24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4" cm="1">
        <f t="array" ref="BR12">1+$B$14+VLOOKUP($Q12,武学奇术!$A:$ZZ,20,FALSE)+SUM(_xlfn.XLOOKUP($R12:$AK12,增益!$A:$A,增益!$T:$T,0))</f>
        <v>1.35</v>
      </c>
      <c r="BS12" s="24">
        <f t="shared" si="9"/>
        <v>0.9071</v>
      </c>
      <c r="BT12" s="24">
        <f t="shared" si="10"/>
        <v>0</v>
      </c>
      <c r="BU12" s="24">
        <f>IF(VLOOKUP($Q12,武学奇术!$A:$ZZ,22,FALSE)=1,0,(1-$BN12))*(1-$BQ12)</f>
        <v>0</v>
      </c>
      <c r="BV12" s="24" cm="1">
        <f t="array" ref="BV12">SUM(_xlfn.XLOOKUP($R12:$AK12,增益!$A:$A,增益!$W:$W,0))+$I$5</f>
        <v>0.06</v>
      </c>
    </row>
    <row r="13" ht="14.25" spans="1:74">
      <c r="A13" s="41" t="s">
        <v>116</v>
      </c>
      <c r="B13" s="70">
        <f>期望!B13</f>
        <v>0.5</v>
      </c>
      <c r="C13" s="12" t="s">
        <v>5</v>
      </c>
      <c r="D13">
        <f>期望!D13</f>
        <v>605.472</v>
      </c>
      <c r="E13">
        <f>期望!E13</f>
        <v>1579.612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117604.220313639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弹道",$B$21,0))*(1+$BV13)</f>
        <v>119889.184304383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弹道",$B$21,0))*(1+$BV13)</f>
        <v>95293.2317667745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弹道",$B$21,0))*(1+$BV13)</f>
        <v>63770.8427150972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弹道",$B$21,0))*(1+$BV13)</f>
        <v>56954.1063436949</v>
      </c>
      <c r="P13" s="39">
        <v>2.5</v>
      </c>
      <c r="Q13" s="40" t="s">
        <v>113</v>
      </c>
      <c r="R13" s="40" t="s">
        <v>88</v>
      </c>
      <c r="S13" s="40" t="s">
        <v>83</v>
      </c>
      <c r="T13" s="40" t="s">
        <v>106</v>
      </c>
      <c r="U13" s="40" t="s">
        <v>90</v>
      </c>
      <c r="V13" s="40" t="s">
        <v>102</v>
      </c>
      <c r="W13" s="40" t="s">
        <v>78</v>
      </c>
      <c r="X13" s="40" t="s">
        <v>78</v>
      </c>
      <c r="Y13" s="40" t="s">
        <v>78</v>
      </c>
      <c r="Z13" s="40" t="s">
        <v>78</v>
      </c>
      <c r="AA13" s="40" t="s">
        <v>79</v>
      </c>
      <c r="AB13" s="40" t="s">
        <v>78</v>
      </c>
      <c r="AC13" s="40" t="s">
        <v>78</v>
      </c>
      <c r="AD13" s="40" t="s">
        <v>78</v>
      </c>
      <c r="AE13" s="40" t="s">
        <v>78</v>
      </c>
      <c r="AF13" s="40" t="s">
        <v>78</v>
      </c>
      <c r="AG13" s="40" t="s">
        <v>78</v>
      </c>
      <c r="AH13" s="40" t="s">
        <v>78</v>
      </c>
      <c r="AI13" s="40" t="s">
        <v>78</v>
      </c>
      <c r="AJ13" s="40" t="s">
        <v>78</v>
      </c>
      <c r="AK13" s="40" t="s">
        <v>78</v>
      </c>
      <c r="AL13" t="str">
        <f>VLOOKUP($Q13,武学奇术!$A:$ZZ,25,FALSE)</f>
        <v>伞</v>
      </c>
      <c r="AM13" s="24">
        <f>VLOOKUP($Q13,武学奇术!$A:$ZZ,26,FALSE)</f>
        <v>1.174955</v>
      </c>
      <c r="AN13" s="25">
        <f>VLOOKUP($Q13,武学奇术!$A:$ZZ,27,FALSE)*(1+IF(OR($AL13=$F$4,$AL13=$F$5),$B$22,0))</f>
        <v>486.45</v>
      </c>
      <c r="AO13" s="24">
        <f>VLOOKUP($Q13,武学奇术!$A:$ZZ,28,FALSE)</f>
        <v>1.762375</v>
      </c>
      <c r="AP13" s="25">
        <f>VLOOKUP($Q13,武学奇术!$A:$ZZ,29,FALSE)*(1+IF(OR($AL13=$F$4,$AL13=$F$5),$B$22,0))</f>
        <v>265.65</v>
      </c>
      <c r="AQ13" s="24" cm="1">
        <f t="array" ref="AQ13">$G$3+IFERROR(VLOOKUP($AL13,$F$4:$G$7,2,FALSE),0)+VLOOKUP($Q13,武学奇术!$A:$ZZ,2,FALSE)+SUM(_xlfn.XLOOKUP($R13:$AK13,增益!$A:$A,增益!$B:$B,0))</f>
        <v>0.9741</v>
      </c>
      <c r="AR13" s="24" cm="1">
        <f t="array" ref="AR13">VLOOKUP($Q13,武学奇术!$A:$ZZ,5,FALSE)+SUM(_xlfn.XLOOKUP($R13:$AK13,增益!$A:$A,增益!$E:$E,0))</f>
        <v>0.075</v>
      </c>
      <c r="AS13" cm="1">
        <f t="array" ref="AS13">$D$10*(1+$AR13)+VLOOKUP($Q13,武学奇术!$A:$ZZ,3,FALSE)+SUM(_xlfn.XLOOKUP($R13:$AK13,增益!$A:$A,增益!$C:$C,0))-$I$2</f>
        <v>4063.1171</v>
      </c>
      <c r="AT13" cm="1">
        <f t="array" ref="AT13">$E$10*(1+$AR13)+VLOOKUP($Q13,武学奇术!$A:$ZZ,4,FALSE)+SUM(_xlfn.XLOOKUP($R13:$AK13,增益!$A:$A,增益!$D:$D,0))-$I$2</f>
        <v>4063.1171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0.2475</v>
      </c>
      <c r="AV13" s="32" cm="1">
        <f t="array" ref="AV13">$G$10+VLOOKUP($Q13,武学奇术!$A:$ZZ,7,FALSE)+SUM(_xlfn.XLOOKUP($R13:$AK13,增益!$A:$A,增益!$G:$G,0))</f>
        <v>0</v>
      </c>
      <c r="AW13" s="24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2" cm="1">
        <f t="array" ref="BA13">$G$11+VLOOKUP($Q13,武学奇术!$A:$ZZ,10,FALSE)+SUM(_xlfn.XLOOKUP($R13:$AK13,增益!$A:$A,增益!$J:$J,0))</f>
        <v>0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-0.3</v>
      </c>
      <c r="BE13" s="32" cm="1">
        <f t="array" ref="BE13">$G$12+VLOOKUP($Q13,武学奇术!$A:$ZZ,12,FALSE)+SUM(_xlfn.XLOOKUP($R13:$AK13,增益!$A:$A,增益!$L:$L,0))</f>
        <v>0</v>
      </c>
      <c r="BF13">
        <f t="shared" si="5"/>
        <v>605.472</v>
      </c>
      <c r="BG13">
        <f t="shared" si="6"/>
        <v>1579.612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</v>
      </c>
      <c r="BI13" s="32" cm="1">
        <f t="array" ref="BI13">$G$13+VLOOKUP($Q13,武学奇术!$A:$ZZ,14,FALSE)+SUM(_xlfn.XLOOKUP($R13:$AK13,增益!$A:$A,增益!$N:$N,0))</f>
        <v>0.15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2" cm="1">
        <f t="array" ref="BM13">$G$14+VLOOKUP($Q13,武学奇术!$A:$ZZ,16,FALSE)+SUM(_xlfn.XLOOKUP($R13:$AK13,增益!$A:$A,增益!$P:$P,0))</f>
        <v>0</v>
      </c>
      <c r="BN13" s="24">
        <f>MIN(IF(VLOOKUP($Q13,武学奇术!$A:$ZZ,23,FALSE)=1,100%,$B$8),100%)</f>
        <v>1</v>
      </c>
      <c r="BO13" s="24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0.9093</v>
      </c>
      <c r="BP13" s="24" cm="1">
        <f t="array" ref="BP13">1+$B$13+VLOOKUP($Q13,武学奇术!$A:$ZZ,18,FALSE)+SUM(_xlfn.XLOOKUP($R13:$AK13,增益!$A:$A,增益!$R:$R,0))</f>
        <v>1.88</v>
      </c>
      <c r="BQ13" s="24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4" cm="1">
        <f t="array" ref="BR13">1+$B$14+VLOOKUP($Q13,武学奇术!$A:$ZZ,20,FALSE)+SUM(_xlfn.XLOOKUP($R13:$AK13,增益!$A:$A,增益!$T:$T,0))</f>
        <v>1.35</v>
      </c>
      <c r="BS13" s="24">
        <f t="shared" si="9"/>
        <v>0.9071</v>
      </c>
      <c r="BT13" s="24">
        <f t="shared" si="10"/>
        <v>0</v>
      </c>
      <c r="BU13" s="24">
        <f>IF(VLOOKUP($Q13,武学奇术!$A:$ZZ,22,FALSE)=1,0,(1-$BN13))*(1-$BQ13)</f>
        <v>0</v>
      </c>
      <c r="BV13" s="24" cm="1">
        <f t="array" ref="BV13">SUM(_xlfn.XLOOKUP($R13:$AK13,增益!$A:$A,增益!$W:$W,0))+$I$5</f>
        <v>0.06</v>
      </c>
    </row>
    <row r="14" ht="14.25" spans="1:74">
      <c r="A14" s="41" t="s">
        <v>118</v>
      </c>
      <c r="B14" s="70">
        <f>期望!B14</f>
        <v>0.35</v>
      </c>
      <c r="C14" s="14" t="s">
        <v>95</v>
      </c>
      <c r="D14" s="14">
        <f>期望!D14</f>
        <v>0</v>
      </c>
      <c r="E14" s="14">
        <f>期望!E14</f>
        <v>0</v>
      </c>
      <c r="F14" s="14">
        <f>期望!F14</f>
        <v>0</v>
      </c>
      <c r="G14" s="64">
        <f>期望!G14</f>
        <v>0</v>
      </c>
      <c r="H14" s="36" t="s">
        <v>119</v>
      </c>
      <c r="I14" s="73">
        <f>I12</f>
        <v>141932.220345243</v>
      </c>
      <c r="J14" s="74"/>
      <c r="K14" s="38">
        <f t="shared" si="0"/>
        <v>191124.902351927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弹道",$B$21,0))*(1+$BV14)</f>
        <v>194923.937902384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弹道",$B$21,0))*(1+$BV14)</f>
        <v>154030.121428146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弹道",$B$21,0))*(1+$BV14)</f>
        <v>103134.35867851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弹道",$B$21,0))*(1+$BV14)</f>
        <v>92172.3311139495</v>
      </c>
      <c r="P14" s="39">
        <v>4</v>
      </c>
      <c r="Q14" s="40" t="s">
        <v>113</v>
      </c>
      <c r="R14" s="40" t="s">
        <v>93</v>
      </c>
      <c r="S14" s="40" t="s">
        <v>89</v>
      </c>
      <c r="T14" s="40" t="s">
        <v>106</v>
      </c>
      <c r="U14" s="40" t="s">
        <v>90</v>
      </c>
      <c r="V14" s="40" t="s">
        <v>102</v>
      </c>
      <c r="W14" s="40" t="s">
        <v>78</v>
      </c>
      <c r="X14" s="40" t="s">
        <v>78</v>
      </c>
      <c r="Y14" s="40" t="s">
        <v>78</v>
      </c>
      <c r="Z14" s="40" t="s">
        <v>78</v>
      </c>
      <c r="AA14" s="40" t="s">
        <v>79</v>
      </c>
      <c r="AB14" s="40" t="s">
        <v>78</v>
      </c>
      <c r="AC14" s="40" t="s">
        <v>78</v>
      </c>
      <c r="AD14" s="40" t="s">
        <v>78</v>
      </c>
      <c r="AE14" s="40" t="s">
        <v>78</v>
      </c>
      <c r="AF14" s="40" t="s">
        <v>78</v>
      </c>
      <c r="AG14" s="40" t="s">
        <v>78</v>
      </c>
      <c r="AH14" s="40" t="s">
        <v>78</v>
      </c>
      <c r="AI14" s="40" t="s">
        <v>78</v>
      </c>
      <c r="AJ14" s="40" t="s">
        <v>78</v>
      </c>
      <c r="AK14" s="40" t="s">
        <v>78</v>
      </c>
      <c r="AL14" t="str">
        <f>VLOOKUP($Q14,武学奇术!$A:$ZZ,25,FALSE)</f>
        <v>伞</v>
      </c>
      <c r="AM14" s="24">
        <f>VLOOKUP($Q14,武学奇术!$A:$ZZ,26,FALSE)</f>
        <v>1.174955</v>
      </c>
      <c r="AN14" s="25">
        <f>VLOOKUP($Q14,武学奇术!$A:$ZZ,27,FALSE)*(1+IF(OR($AL14=$F$4,$AL14=$F$5),$B$22,0))</f>
        <v>486.45</v>
      </c>
      <c r="AO14" s="24">
        <f>VLOOKUP($Q14,武学奇术!$A:$ZZ,28,FALSE)</f>
        <v>1.762375</v>
      </c>
      <c r="AP14" s="25">
        <f>VLOOKUP($Q14,武学奇术!$A:$ZZ,29,FALSE)*(1+IF(OR($AL14=$F$4,$AL14=$F$5),$B$22,0))</f>
        <v>265.65</v>
      </c>
      <c r="AQ14" s="24" cm="1">
        <f t="array" ref="AQ14">$G$3+IFERROR(VLOOKUP($AL14,$F$4:$G$7,2,FALSE),0)+VLOOKUP($Q14,武学奇术!$A:$ZZ,2,FALSE)+SUM(_xlfn.XLOOKUP($R14:$AK14,增益!$A:$A,增益!$B:$B,0))</f>
        <v>0.9841</v>
      </c>
      <c r="AR14" s="24" cm="1">
        <f t="array" ref="AR14">VLOOKUP($Q14,武学奇术!$A:$ZZ,5,FALSE)+SUM(_xlfn.XLOOKUP($R14:$AK14,增益!$A:$A,增益!$E:$E,0))</f>
        <v>0.075</v>
      </c>
      <c r="AS14" cm="1">
        <f t="array" ref="AS14">$D$10*(1+$AR14)+VLOOKUP($Q14,武学奇术!$A:$ZZ,3,FALSE)+SUM(_xlfn.XLOOKUP($R14:$AK14,增益!$A:$A,增益!$C:$C,0))-$I$2</f>
        <v>4063.1171</v>
      </c>
      <c r="AT14" cm="1">
        <f t="array" ref="AT14">$E$10*(1+$AR14)+VLOOKUP($Q14,武学奇术!$A:$ZZ,4,FALSE)+SUM(_xlfn.XLOOKUP($R14:$AK14,增益!$A:$A,增益!$D:$D,0))-$I$2</f>
        <v>4063.1171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0.2575</v>
      </c>
      <c r="AV14" s="32" cm="1">
        <f t="array" ref="AV14">$G$10+VLOOKUP($Q14,武学奇术!$A:$ZZ,7,FALSE)+SUM(_xlfn.XLOOKUP($R14:$AK14,增益!$A:$A,增益!$G:$G,0))</f>
        <v>0</v>
      </c>
      <c r="AW14" s="24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2" cm="1">
        <f t="array" ref="BA14">$G$11+VLOOKUP($Q14,武学奇术!$A:$ZZ,10,FALSE)+SUM(_xlfn.XLOOKUP($R14:$AK14,增益!$A:$A,增益!$J:$J,0))</f>
        <v>0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-0.3</v>
      </c>
      <c r="BE14" s="32" cm="1">
        <f t="array" ref="BE14">$G$12+VLOOKUP($Q14,武学奇术!$A:$ZZ,12,FALSE)+SUM(_xlfn.XLOOKUP($R14:$AK14,增益!$A:$A,增益!$L:$L,0))</f>
        <v>0</v>
      </c>
      <c r="BF14">
        <f t="shared" si="5"/>
        <v>605.472</v>
      </c>
      <c r="BG14">
        <f t="shared" si="6"/>
        <v>1579.612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</v>
      </c>
      <c r="BI14" s="32" cm="1">
        <f t="array" ref="BI14">$G$13+VLOOKUP($Q14,武学奇术!$A:$ZZ,14,FALSE)+SUM(_xlfn.XLOOKUP($R14:$AK14,增益!$A:$A,增益!$N:$N,0))</f>
        <v>0.15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2" cm="1">
        <f t="array" ref="BM14">$G$14+VLOOKUP($Q14,武学奇术!$A:$ZZ,16,FALSE)+SUM(_xlfn.XLOOKUP($R14:$AK14,增益!$A:$A,增益!$P:$P,0))</f>
        <v>0</v>
      </c>
      <c r="BN14" s="24">
        <f>MIN(IF(VLOOKUP($Q14,武学奇术!$A:$ZZ,23,FALSE)=1,100%,$B$8),100%)</f>
        <v>1</v>
      </c>
      <c r="BO14" s="24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0.9093</v>
      </c>
      <c r="BP14" s="24" cm="1">
        <f t="array" ref="BP14">1+$B$13+VLOOKUP($Q14,武学奇术!$A:$ZZ,18,FALSE)+SUM(_xlfn.XLOOKUP($R14:$AK14,增益!$A:$A,增益!$R:$R,0))</f>
        <v>1.89</v>
      </c>
      <c r="BQ14" s="24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4" cm="1">
        <f t="array" ref="BR14">1+$B$14+VLOOKUP($Q14,武学奇术!$A:$ZZ,20,FALSE)+SUM(_xlfn.XLOOKUP($R14:$AK14,增益!$A:$A,增益!$T:$T,0))</f>
        <v>1.35</v>
      </c>
      <c r="BS14" s="24">
        <f t="shared" si="9"/>
        <v>0.9071</v>
      </c>
      <c r="BT14" s="24">
        <f t="shared" si="10"/>
        <v>0</v>
      </c>
      <c r="BU14" s="24">
        <f>IF(VLOOKUP($Q14,武学奇术!$A:$ZZ,22,FALSE)=1,0,(1-$BN14))*(1-$BQ14)</f>
        <v>0</v>
      </c>
      <c r="BV14" s="24" cm="1">
        <f t="array" ref="BV14">SUM(_xlfn.XLOOKUP($R14:$AK14,增益!$A:$A,增益!$W:$W,0))+$I$5</f>
        <v>0.06</v>
      </c>
    </row>
    <row r="15" ht="14.25" spans="1:74">
      <c r="A15" s="41" t="s">
        <v>120</v>
      </c>
      <c r="B15" s="70">
        <f>期望!B15</f>
        <v>0.0852</v>
      </c>
      <c r="C15" s="39" t="s">
        <v>121</v>
      </c>
      <c r="D15" s="39"/>
      <c r="F15" s="79"/>
      <c r="H15" s="80"/>
      <c r="I15" s="75"/>
      <c r="J15" s="76"/>
      <c r="K15" s="38">
        <f t="shared" si="0"/>
        <v>96584.1706103468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弹道",$B$21,0))*(1+$BV15)</f>
        <v>98507.988174499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弹道",$B$21,0))*(1+$BV15)</f>
        <v>77799.510627113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弹道",$B$21,0))*(1+$BV15)</f>
        <v>52120.6286637561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弹道",$B$21,0))*(1+$BV15)</f>
        <v>46611.9901963173</v>
      </c>
      <c r="P15" s="39">
        <v>2</v>
      </c>
      <c r="Q15" s="40" t="s">
        <v>113</v>
      </c>
      <c r="R15" s="40" t="s">
        <v>97</v>
      </c>
      <c r="S15" s="40" t="s">
        <v>89</v>
      </c>
      <c r="T15" s="40" t="s">
        <v>106</v>
      </c>
      <c r="U15" s="40" t="s">
        <v>90</v>
      </c>
      <c r="V15" s="40" t="s">
        <v>102</v>
      </c>
      <c r="W15" s="40" t="s">
        <v>78</v>
      </c>
      <c r="X15" s="40" t="s">
        <v>78</v>
      </c>
      <c r="Y15" s="40" t="s">
        <v>78</v>
      </c>
      <c r="Z15" s="40" t="s">
        <v>78</v>
      </c>
      <c r="AA15" s="40" t="s">
        <v>79</v>
      </c>
      <c r="AB15" s="40" t="s">
        <v>78</v>
      </c>
      <c r="AC15" s="40" t="s">
        <v>78</v>
      </c>
      <c r="AD15" s="40" t="s">
        <v>78</v>
      </c>
      <c r="AE15" s="40" t="s">
        <v>78</v>
      </c>
      <c r="AF15" s="40" t="s">
        <v>78</v>
      </c>
      <c r="AG15" s="40" t="s">
        <v>78</v>
      </c>
      <c r="AH15" s="40" t="s">
        <v>78</v>
      </c>
      <c r="AI15" s="40" t="s">
        <v>78</v>
      </c>
      <c r="AJ15" s="40" t="s">
        <v>78</v>
      </c>
      <c r="AK15" s="40" t="s">
        <v>78</v>
      </c>
      <c r="AL15" t="str">
        <f>VLOOKUP($Q15,武学奇术!$A:$ZZ,25,FALSE)</f>
        <v>伞</v>
      </c>
      <c r="AM15" s="24">
        <f>VLOOKUP($Q15,武学奇术!$A:$ZZ,26,FALSE)</f>
        <v>1.174955</v>
      </c>
      <c r="AN15" s="25">
        <f>VLOOKUP($Q15,武学奇术!$A:$ZZ,27,FALSE)*(1+IF(OR($AL15=$F$4,$AL15=$F$5),$B$22,0))</f>
        <v>486.45</v>
      </c>
      <c r="AO15" s="24">
        <f>VLOOKUP($Q15,武学奇术!$A:$ZZ,28,FALSE)</f>
        <v>1.762375</v>
      </c>
      <c r="AP15" s="25">
        <f>VLOOKUP($Q15,武学奇术!$A:$ZZ,29,FALSE)*(1+IF(OR($AL15=$F$4,$AL15=$F$5),$B$22,0))</f>
        <v>265.65</v>
      </c>
      <c r="AQ15" s="24" cm="1">
        <f t="array" ref="AQ15">$G$3+IFERROR(VLOOKUP($AL15,$F$4:$G$7,2,FALSE),0)+VLOOKUP($Q15,武学奇术!$A:$ZZ,2,FALSE)+SUM(_xlfn.XLOOKUP($R15:$AK15,增益!$A:$A,增益!$B:$B,0))</f>
        <v>0.9941</v>
      </c>
      <c r="AR15" s="24" cm="1">
        <f t="array" ref="AR15">VLOOKUP($Q15,武学奇术!$A:$ZZ,5,FALSE)+SUM(_xlfn.XLOOKUP($R15:$AK15,增益!$A:$A,增益!$E:$E,0))</f>
        <v>0.075</v>
      </c>
      <c r="AS15" cm="1">
        <f t="array" ref="AS15">$D$10*(1+$AR15)+VLOOKUP($Q15,武学奇术!$A:$ZZ,3,FALSE)+SUM(_xlfn.XLOOKUP($R15:$AK15,增益!$A:$A,增益!$C:$C,0))-$I$2</f>
        <v>4063.1171</v>
      </c>
      <c r="AT15" cm="1">
        <f t="array" ref="AT15">$E$10*(1+$AR15)+VLOOKUP($Q15,武学奇术!$A:$ZZ,4,FALSE)+SUM(_xlfn.XLOOKUP($R15:$AK15,增益!$A:$A,增益!$D:$D,0))-$I$2</f>
        <v>4063.1171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0.2675</v>
      </c>
      <c r="AV15" s="32" cm="1">
        <f t="array" ref="AV15">$G$10+VLOOKUP($Q15,武学奇术!$A:$ZZ,7,FALSE)+SUM(_xlfn.XLOOKUP($R15:$AK15,增益!$A:$A,增益!$G:$G,0))</f>
        <v>0</v>
      </c>
      <c r="AW15" s="24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2" cm="1">
        <f t="array" ref="BA15">$G$11+VLOOKUP($Q15,武学奇术!$A:$ZZ,10,FALSE)+SUM(_xlfn.XLOOKUP($R15:$AK15,增益!$A:$A,增益!$J:$J,0))</f>
        <v>0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-0.3</v>
      </c>
      <c r="BE15" s="32" cm="1">
        <f t="array" ref="BE15">$G$12+VLOOKUP($Q15,武学奇术!$A:$ZZ,12,FALSE)+SUM(_xlfn.XLOOKUP($R15:$AK15,增益!$A:$A,增益!$L:$L,0))</f>
        <v>0</v>
      </c>
      <c r="BF15">
        <f t="shared" si="5"/>
        <v>605.472</v>
      </c>
      <c r="BG15">
        <f t="shared" si="6"/>
        <v>1579.612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</v>
      </c>
      <c r="BI15" s="32" cm="1">
        <f t="array" ref="BI15">$G$13+VLOOKUP($Q15,武学奇术!$A:$ZZ,14,FALSE)+SUM(_xlfn.XLOOKUP($R15:$AK15,增益!$A:$A,增益!$N:$N,0))</f>
        <v>0.15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2" cm="1">
        <f t="array" ref="BM15">$G$14+VLOOKUP($Q15,武学奇术!$A:$ZZ,16,FALSE)+SUM(_xlfn.XLOOKUP($R15:$AK15,增益!$A:$A,增益!$P:$P,0))</f>
        <v>0</v>
      </c>
      <c r="BN15" s="24">
        <f>MIN(IF(VLOOKUP($Q15,武学奇术!$A:$ZZ,23,FALSE)=1,100%,$B$8),100%)</f>
        <v>1</v>
      </c>
      <c r="BO15" s="24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0.9093</v>
      </c>
      <c r="BP15" s="24" cm="1">
        <f t="array" ref="BP15">1+$B$13+VLOOKUP($Q15,武学奇术!$A:$ZZ,18,FALSE)+SUM(_xlfn.XLOOKUP($R15:$AK15,增益!$A:$A,增益!$R:$R,0))</f>
        <v>1.89</v>
      </c>
      <c r="BQ15" s="24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4" cm="1">
        <f t="array" ref="BR15">1+$B$14+VLOOKUP($Q15,武学奇术!$A:$ZZ,20,FALSE)+SUM(_xlfn.XLOOKUP($R15:$AK15,增益!$A:$A,增益!$T:$T,0))</f>
        <v>1.35</v>
      </c>
      <c r="BS15" s="24">
        <f t="shared" si="9"/>
        <v>0.9071</v>
      </c>
      <c r="BT15" s="24">
        <f t="shared" si="10"/>
        <v>0</v>
      </c>
      <c r="BU15" s="24">
        <f>IF(VLOOKUP($Q15,武学奇术!$A:$ZZ,22,FALSE)=1,0,(1-$BN15))*(1-$BQ15)</f>
        <v>0</v>
      </c>
      <c r="BV15" s="24" cm="1">
        <f t="array" ref="BV15">SUM(_xlfn.XLOOKUP($R15:$AK15,增益!$A:$A,增益!$W:$W,0))+$I$5</f>
        <v>0.06</v>
      </c>
    </row>
    <row r="16" spans="1:74">
      <c r="A16" s="41" t="s">
        <v>122</v>
      </c>
      <c r="B16" s="70">
        <f>期望!B16</f>
        <v>0.0887</v>
      </c>
      <c r="C16" s="39" t="s">
        <v>123</v>
      </c>
      <c r="D16" s="79" t="s">
        <v>129</v>
      </c>
      <c r="E16" s="39" t="s">
        <v>125</v>
      </c>
      <c r="F16" s="79" t="s">
        <v>124</v>
      </c>
      <c r="H16" s="68" t="s">
        <v>126</v>
      </c>
      <c r="I16" s="81"/>
      <c r="J16" s="82"/>
      <c r="K16" s="38">
        <f t="shared" si="0"/>
        <v>24264.2392082389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弹道",$B$21,0))*(1+$BV16)</f>
        <v>24757.2986152841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弹道",$B$21,0))*(1+$BV16)</f>
        <v>19449.8776567782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弹道",$B$21,0))*(1+$BV16)</f>
        <v>13030.157165939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弹道",$B$21,0))*(1+$BV16)</f>
        <v>11652.9975490793</v>
      </c>
      <c r="P16" s="39">
        <v>0.5</v>
      </c>
      <c r="Q16" s="40" t="s">
        <v>113</v>
      </c>
      <c r="R16" s="40" t="s">
        <v>97</v>
      </c>
      <c r="S16" s="40" t="s">
        <v>94</v>
      </c>
      <c r="T16" s="40" t="s">
        <v>106</v>
      </c>
      <c r="U16" s="40" t="s">
        <v>90</v>
      </c>
      <c r="V16" s="40" t="s">
        <v>102</v>
      </c>
      <c r="W16" s="40" t="s">
        <v>78</v>
      </c>
      <c r="X16" s="40" t="s">
        <v>78</v>
      </c>
      <c r="Y16" s="40" t="s">
        <v>78</v>
      </c>
      <c r="Z16" s="40" t="s">
        <v>78</v>
      </c>
      <c r="AA16" s="40" t="s">
        <v>79</v>
      </c>
      <c r="AB16" s="40" t="s">
        <v>78</v>
      </c>
      <c r="AC16" s="40" t="s">
        <v>78</v>
      </c>
      <c r="AD16" s="40" t="s">
        <v>78</v>
      </c>
      <c r="AE16" s="40" t="s">
        <v>78</v>
      </c>
      <c r="AF16" s="40" t="s">
        <v>78</v>
      </c>
      <c r="AG16" s="40" t="s">
        <v>78</v>
      </c>
      <c r="AH16" s="40" t="s">
        <v>78</v>
      </c>
      <c r="AI16" s="40" t="s">
        <v>78</v>
      </c>
      <c r="AJ16" s="40" t="s">
        <v>78</v>
      </c>
      <c r="AK16" s="40" t="s">
        <v>78</v>
      </c>
      <c r="AL16" t="str">
        <f>VLOOKUP($Q16,武学奇术!$A:$ZZ,25,FALSE)</f>
        <v>伞</v>
      </c>
      <c r="AM16" s="24">
        <f>VLOOKUP($Q16,武学奇术!$A:$ZZ,26,FALSE)</f>
        <v>1.174955</v>
      </c>
      <c r="AN16" s="25">
        <f>VLOOKUP($Q16,武学奇术!$A:$ZZ,27,FALSE)*(1+IF(OR($AL16=$F$4,$AL16=$F$5),$B$22,0))</f>
        <v>486.45</v>
      </c>
      <c r="AO16" s="24">
        <f>VLOOKUP($Q16,武学奇术!$A:$ZZ,28,FALSE)</f>
        <v>1.762375</v>
      </c>
      <c r="AP16" s="25">
        <f>VLOOKUP($Q16,武学奇术!$A:$ZZ,29,FALSE)*(1+IF(OR($AL16=$F$4,$AL16=$F$5),$B$22,0))</f>
        <v>265.65</v>
      </c>
      <c r="AQ16" s="24" cm="1">
        <f t="array" ref="AQ16">$G$3+IFERROR(VLOOKUP($AL16,$F$4:$G$7,2,FALSE),0)+VLOOKUP($Q16,武学奇术!$A:$ZZ,2,FALSE)+SUM(_xlfn.XLOOKUP($R16:$AK16,增益!$A:$A,增益!$B:$B,0))</f>
        <v>0.9941</v>
      </c>
      <c r="AR16" s="24" cm="1">
        <f t="array" ref="AR16">VLOOKUP($Q16,武学奇术!$A:$ZZ,5,FALSE)+SUM(_xlfn.XLOOKUP($R16:$AK16,增益!$A:$A,增益!$E:$E,0))</f>
        <v>0.075</v>
      </c>
      <c r="AS16" cm="1">
        <f t="array" ref="AS16">$D$10*(1+$AR16)+VLOOKUP($Q16,武学奇术!$A:$ZZ,3,FALSE)+SUM(_xlfn.XLOOKUP($R16:$AK16,增益!$A:$A,增益!$C:$C,0))-$I$2</f>
        <v>4063.1171</v>
      </c>
      <c r="AT16" cm="1">
        <f t="array" ref="AT16">$E$10*(1+$AR16)+VLOOKUP($Q16,武学奇术!$A:$ZZ,4,FALSE)+SUM(_xlfn.XLOOKUP($R16:$AK16,增益!$A:$A,增益!$D:$D,0))-$I$2</f>
        <v>4063.1171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0.2675</v>
      </c>
      <c r="AV16" s="32" cm="1">
        <f t="array" ref="AV16">$G$10+VLOOKUP($Q16,武学奇术!$A:$ZZ,7,FALSE)+SUM(_xlfn.XLOOKUP($R16:$AK16,增益!$A:$A,增益!$G:$G,0))</f>
        <v>0</v>
      </c>
      <c r="AW16" s="24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2" cm="1">
        <f t="array" ref="BA16">$G$11+VLOOKUP($Q16,武学奇术!$A:$ZZ,10,FALSE)+SUM(_xlfn.XLOOKUP($R16:$AK16,增益!$A:$A,增益!$J:$J,0))</f>
        <v>0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-0.3</v>
      </c>
      <c r="BE16" s="32" cm="1">
        <f t="array" ref="BE16">$G$12+VLOOKUP($Q16,武学奇术!$A:$ZZ,12,FALSE)+SUM(_xlfn.XLOOKUP($R16:$AK16,增益!$A:$A,增益!$L:$L,0))</f>
        <v>0</v>
      </c>
      <c r="BF16">
        <f t="shared" si="5"/>
        <v>605.472</v>
      </c>
      <c r="BG16">
        <f t="shared" si="6"/>
        <v>1579.612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</v>
      </c>
      <c r="BI16" s="32" cm="1">
        <f t="array" ref="BI16">$G$13+VLOOKUP($Q16,武学奇术!$A:$ZZ,14,FALSE)+SUM(_xlfn.XLOOKUP($R16:$AK16,增益!$A:$A,增益!$N:$N,0))</f>
        <v>0.15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2" cm="1">
        <f t="array" ref="BM16">$G$14+VLOOKUP($Q16,武学奇术!$A:$ZZ,16,FALSE)+SUM(_xlfn.XLOOKUP($R16:$AK16,增益!$A:$A,增益!$P:$P,0))</f>
        <v>0</v>
      </c>
      <c r="BN16" s="24">
        <f>MIN(IF(VLOOKUP($Q16,武学奇术!$A:$ZZ,23,FALSE)=1,100%,$B$8),100%)</f>
        <v>1</v>
      </c>
      <c r="BO16" s="24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0.9093</v>
      </c>
      <c r="BP16" s="24" cm="1">
        <f t="array" ref="BP16">1+$B$13+VLOOKUP($Q16,武学奇术!$A:$ZZ,18,FALSE)+SUM(_xlfn.XLOOKUP($R16:$AK16,增益!$A:$A,增益!$R:$R,0))</f>
        <v>1.9</v>
      </c>
      <c r="BQ16" s="24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4" cm="1">
        <f t="array" ref="BR16">1+$B$14+VLOOKUP($Q16,武学奇术!$A:$ZZ,20,FALSE)+SUM(_xlfn.XLOOKUP($R16:$AK16,增益!$A:$A,增益!$T:$T,0))</f>
        <v>1.35</v>
      </c>
      <c r="BS16" s="24">
        <f t="shared" si="9"/>
        <v>0.9071</v>
      </c>
      <c r="BT16" s="24">
        <f t="shared" si="10"/>
        <v>0</v>
      </c>
      <c r="BU16" s="24">
        <f>IF(VLOOKUP($Q16,武学奇术!$A:$ZZ,22,FALSE)=1,0,(1-$BN16))*(1-$BQ16)</f>
        <v>0</v>
      </c>
      <c r="BV16" s="24" cm="1">
        <f t="array" ref="BV16">SUM(_xlfn.XLOOKUP($R16:$AK16,增益!$A:$A,增益!$W:$W,0))+$I$5</f>
        <v>0.06</v>
      </c>
    </row>
    <row r="17" ht="14.25" spans="1:74">
      <c r="A17" s="41" t="s">
        <v>127</v>
      </c>
      <c r="B17" s="70">
        <f>期望!B17</f>
        <v>0.0852</v>
      </c>
      <c r="C17" s="39" t="s">
        <v>128</v>
      </c>
      <c r="D17" s="79" t="s">
        <v>129</v>
      </c>
      <c r="E17" s="39" t="s">
        <v>130</v>
      </c>
      <c r="F17" s="79" t="s">
        <v>129</v>
      </c>
      <c r="H17" s="71"/>
      <c r="I17" s="83"/>
      <c r="J17" s="84"/>
      <c r="K17" s="38">
        <f t="shared" si="0"/>
        <v>18761.6526884772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弹道",$B$21,0))*(1+$BV17)</f>
        <v>18779.677795545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弹道",$B$21,0))*(1+$BV17)</f>
        <v>18585.6508088085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弹道",$B$21,0))*(1+$BV17)</f>
        <v>12355.0511812796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弹道",$B$21,0))*(1+$BV17)</f>
        <v>10942.9536152937</v>
      </c>
      <c r="P17" s="39">
        <v>1</v>
      </c>
      <c r="Q17" s="40" t="s">
        <v>131</v>
      </c>
      <c r="R17" s="40" t="s">
        <v>88</v>
      </c>
      <c r="S17" s="40" t="s">
        <v>83</v>
      </c>
      <c r="T17" s="40" t="s">
        <v>78</v>
      </c>
      <c r="U17" s="40" t="s">
        <v>78</v>
      </c>
      <c r="V17" s="40" t="s">
        <v>78</v>
      </c>
      <c r="W17" s="40" t="s">
        <v>78</v>
      </c>
      <c r="X17" s="40" t="s">
        <v>78</v>
      </c>
      <c r="Y17" s="40" t="s">
        <v>78</v>
      </c>
      <c r="Z17" s="40" t="s">
        <v>78</v>
      </c>
      <c r="AA17" s="40" t="s">
        <v>79</v>
      </c>
      <c r="AB17" s="40" t="s">
        <v>78</v>
      </c>
      <c r="AC17" s="40" t="s">
        <v>78</v>
      </c>
      <c r="AD17" s="40" t="s">
        <v>78</v>
      </c>
      <c r="AE17" s="40" t="s">
        <v>78</v>
      </c>
      <c r="AF17" s="40" t="s">
        <v>78</v>
      </c>
      <c r="AG17" s="40" t="s">
        <v>78</v>
      </c>
      <c r="AH17" s="40" t="s">
        <v>78</v>
      </c>
      <c r="AI17" s="40" t="s">
        <v>78</v>
      </c>
      <c r="AJ17" s="40" t="s">
        <v>78</v>
      </c>
      <c r="AK17" s="40" t="s">
        <v>78</v>
      </c>
      <c r="AL17" t="str">
        <f>VLOOKUP($Q17,武学奇术!$A:$ZZ,25,FALSE)</f>
        <v>扇</v>
      </c>
      <c r="AM17" s="24">
        <f>VLOOKUP($Q17,武学奇术!$A:$ZZ,26,FALSE)</f>
        <v>1.2798</v>
      </c>
      <c r="AN17" s="25">
        <f>VLOOKUP($Q17,武学奇术!$A:$ZZ,27,FALSE)*(1+IF(OR($AL17=$F$4,$AL17=$F$5),$B$22,0))</f>
        <v>532.5</v>
      </c>
      <c r="AO17" s="24">
        <f>VLOOKUP($Q17,武学奇术!$A:$ZZ,28,FALSE)</f>
        <v>1.9197</v>
      </c>
      <c r="AP17" s="25">
        <f>VLOOKUP($Q17,武学奇术!$A:$ZZ,29,FALSE)*(1+IF(OR($AL17=$F$4,$AL17=$F$5),$B$22,0))</f>
        <v>289.5</v>
      </c>
      <c r="AQ17" s="24" cm="1">
        <f t="array" ref="AQ17">$G$3+IFERROR(VLOOKUP($AL17,$F$4:$G$7,2,FALSE),0)+VLOOKUP($Q17,武学奇术!$A:$ZZ,2,FALSE)+SUM(_xlfn.XLOOKUP($R17:$AK17,增益!$A:$A,增益!$B:$B,0))</f>
        <v>0.2389</v>
      </c>
      <c r="AR17" s="24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3736.388</v>
      </c>
      <c r="AT17" cm="1">
        <f t="array" ref="AT17">$E$10*(1+$AR17)+VLOOKUP($Q17,武学奇术!$A:$ZZ,4,FALSE)+SUM(_xlfn.XLOOKUP($R17:$AK17,增益!$A:$A,增益!$D:$D,0))-$I$2</f>
        <v>3736.388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0.2225</v>
      </c>
      <c r="AV17" s="32" cm="1">
        <f t="array" ref="AV17">$G$10+VLOOKUP($Q17,武学奇术!$A:$ZZ,7,FALSE)+SUM(_xlfn.XLOOKUP($R17:$AK17,增益!$A:$A,增益!$G:$G,0))</f>
        <v>0</v>
      </c>
      <c r="AW17" s="24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2" cm="1">
        <f t="array" ref="BA17">$G$11+VLOOKUP($Q17,武学奇术!$A:$ZZ,10,FALSE)+SUM(_xlfn.XLOOKUP($R17:$AK17,增益!$A:$A,增益!$J:$J,0))</f>
        <v>0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-0.3</v>
      </c>
      <c r="BE17" s="32" cm="1">
        <f t="array" ref="BE17">$G$12+VLOOKUP($Q17,武学奇术!$A:$ZZ,12,FALSE)+SUM(_xlfn.XLOOKUP($R17:$AK17,增益!$A:$A,增益!$L:$L,0))</f>
        <v>0</v>
      </c>
      <c r="BF17">
        <f t="shared" si="5"/>
        <v>605.472</v>
      </c>
      <c r="BG17">
        <f t="shared" si="6"/>
        <v>1579.612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</v>
      </c>
      <c r="BI17" s="32" cm="1">
        <f t="array" ref="BI17">$G$13+VLOOKUP($Q17,武学奇术!$A:$ZZ,14,FALSE)+SUM(_xlfn.XLOOKUP($R17:$AK17,增益!$A:$A,增益!$N:$N,0))</f>
        <v>0.15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2" cm="1">
        <f t="array" ref="BM17">$G$14+VLOOKUP($Q17,武学奇术!$A:$ZZ,16,FALSE)+SUM(_xlfn.XLOOKUP($R17:$AK17,增益!$A:$A,增益!$P:$P,0))</f>
        <v>0</v>
      </c>
      <c r="BN17" s="24">
        <f>MIN(IF(VLOOKUP($Q17,武学奇术!$A:$ZZ,23,FALSE)=1,100%,$B$8),100%)</f>
        <v>1</v>
      </c>
      <c r="BO17" s="24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0.9093</v>
      </c>
      <c r="BP17" s="24" cm="1">
        <f t="array" ref="BP17">1+$B$13+VLOOKUP($Q17,武学奇术!$A:$ZZ,18,FALSE)+SUM(_xlfn.XLOOKUP($R17:$AK17,增益!$A:$A,增益!$R:$R,0))</f>
        <v>1.52</v>
      </c>
      <c r="BQ17" s="24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4" cm="1">
        <f t="array" ref="BR17">1+$B$14+VLOOKUP($Q17,武学奇术!$A:$ZZ,20,FALSE)+SUM(_xlfn.XLOOKUP($R17:$AK17,增益!$A:$A,增益!$T:$T,0))</f>
        <v>1.35</v>
      </c>
      <c r="BS17" s="24">
        <f t="shared" si="9"/>
        <v>0.9071</v>
      </c>
      <c r="BT17" s="24">
        <f t="shared" si="10"/>
        <v>0</v>
      </c>
      <c r="BU17" s="24">
        <f>IF(VLOOKUP($Q17,武学奇术!$A:$ZZ,22,FALSE)=1,0,(1-$BN17))*(1-$BQ17)</f>
        <v>0</v>
      </c>
      <c r="BV17" s="24" cm="1">
        <f t="array" ref="BV17">SUM(_xlfn.XLOOKUP($R17:$AK17,增益!$A:$A,增益!$W:$W,0))+$I$5</f>
        <v>0.06</v>
      </c>
    </row>
    <row r="18" spans="1:74">
      <c r="A18" s="41" t="s">
        <v>132</v>
      </c>
      <c r="B18" s="70">
        <f>期望!B18</f>
        <v>0</v>
      </c>
      <c r="C18" s="39" t="s">
        <v>133</v>
      </c>
      <c r="D18" s="79" t="s">
        <v>129</v>
      </c>
      <c r="K18" s="38">
        <f t="shared" si="0"/>
        <v>65928.8453822613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弹道",$B$21,0))*(1+$BV18)</f>
        <v>66012.9499606007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弹道",$B$21,0))*(1+$BV18)</f>
        <v>65107.6261894556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弹道",$B$21,0))*(1+$BV18)</f>
        <v>43145.7189284972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弹道",$B$21,0))*(1+$BV18)</f>
        <v>38063.5666055457</v>
      </c>
      <c r="P18" s="39">
        <v>1</v>
      </c>
      <c r="Q18" s="40" t="s">
        <v>134</v>
      </c>
      <c r="R18" s="40" t="s">
        <v>93</v>
      </c>
      <c r="S18" s="40" t="s">
        <v>89</v>
      </c>
      <c r="T18" s="40" t="s">
        <v>78</v>
      </c>
      <c r="U18" s="40" t="s">
        <v>90</v>
      </c>
      <c r="V18" s="40" t="s">
        <v>78</v>
      </c>
      <c r="W18" s="40" t="s">
        <v>78</v>
      </c>
      <c r="X18" s="40" t="s">
        <v>78</v>
      </c>
      <c r="Y18" s="40" t="s">
        <v>78</v>
      </c>
      <c r="Z18" s="40" t="s">
        <v>78</v>
      </c>
      <c r="AA18" s="40" t="s">
        <v>79</v>
      </c>
      <c r="AB18" s="40" t="s">
        <v>78</v>
      </c>
      <c r="AC18" s="40" t="s">
        <v>78</v>
      </c>
      <c r="AD18" s="40" t="s">
        <v>78</v>
      </c>
      <c r="AE18" s="40" t="s">
        <v>78</v>
      </c>
      <c r="AF18" s="40" t="s">
        <v>78</v>
      </c>
      <c r="AG18" s="40" t="s">
        <v>78</v>
      </c>
      <c r="AH18" s="40" t="s">
        <v>78</v>
      </c>
      <c r="AI18" s="40" t="s">
        <v>78</v>
      </c>
      <c r="AJ18" s="40" t="s">
        <v>78</v>
      </c>
      <c r="AK18" s="40" t="s">
        <v>78</v>
      </c>
      <c r="AL18" t="str">
        <f>VLOOKUP($Q18,武学奇术!$A:$ZZ,25,FALSE)</f>
        <v>单体奇术</v>
      </c>
      <c r="AM18" s="24">
        <f>VLOOKUP($Q18,武学奇术!$A:$ZZ,26,FALSE)</f>
        <v>3.9863</v>
      </c>
      <c r="AN18" s="25">
        <f>VLOOKUP($Q18,武学奇术!$A:$ZZ,27,FALSE)*(1+IF(OR($AL18=$F$4,$AL18=$F$5),$B$22,0))</f>
        <v>778</v>
      </c>
      <c r="AO18" s="24">
        <f>VLOOKUP($Q18,武学奇术!$A:$ZZ,28,FALSE)</f>
        <v>5.97945</v>
      </c>
      <c r="AP18" s="25">
        <f>VLOOKUP($Q18,武学奇术!$A:$ZZ,29,FALSE)*(1+IF(OR($AL18=$F$4,$AL18=$F$5),$B$22,0))</f>
        <v>0</v>
      </c>
      <c r="AQ18" s="24" cm="1">
        <f t="array" ref="AQ18">$G$3+IFERROR(VLOOKUP($AL18,$F$4:$G$7,2,FALSE),0)+VLOOKUP($Q18,武学奇术!$A:$ZZ,2,FALSE)+SUM(_xlfn.XLOOKUP($R18:$AK18,增益!$A:$A,增益!$B:$B,0))</f>
        <v>0.4315</v>
      </c>
      <c r="AR18" s="24" cm="1">
        <f t="array" ref="AR18">VLOOKUP($Q18,武学奇术!$A:$ZZ,5,FALSE)+SUM(_xlfn.XLOOKUP($R18:$AK18,增益!$A:$A,增益!$E:$E,0))</f>
        <v>0.075</v>
      </c>
      <c r="AS18" cm="1">
        <f t="array" ref="AS18">$D$10*(1+$AR18)+VLOOKUP($Q18,武学奇术!$A:$ZZ,3,FALSE)+SUM(_xlfn.XLOOKUP($R18:$AK18,增益!$A:$A,增益!$C:$C,0))-$I$2</f>
        <v>4063.1171</v>
      </c>
      <c r="AT18" cm="1">
        <f t="array" ref="AT18">$E$10*(1+$AR18)+VLOOKUP($Q18,武学奇术!$A:$ZZ,4,FALSE)+SUM(_xlfn.XLOOKUP($R18:$AK18,增益!$A:$A,增益!$D:$D,0))-$I$2</f>
        <v>4063.1171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0.2325</v>
      </c>
      <c r="AV18" s="32" cm="1">
        <f t="array" ref="AV18">$G$10+VLOOKUP($Q18,武学奇术!$A:$ZZ,7,FALSE)+SUM(_xlfn.XLOOKUP($R18:$AK18,增益!$A:$A,增益!$G:$G,0))</f>
        <v>0</v>
      </c>
      <c r="AW18" s="24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2" cm="1">
        <f t="array" ref="BA18">$G$11+VLOOKUP($Q18,武学奇术!$A:$ZZ,10,FALSE)+SUM(_xlfn.XLOOKUP($R18:$AK18,增益!$A:$A,增益!$J:$J,0))</f>
        <v>0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-0.3</v>
      </c>
      <c r="BE18" s="32" cm="1">
        <f t="array" ref="BE18">$G$12+VLOOKUP($Q18,武学奇术!$A:$ZZ,12,FALSE)+SUM(_xlfn.XLOOKUP($R18:$AK18,增益!$A:$A,增益!$L:$L,0))</f>
        <v>0</v>
      </c>
      <c r="BF18">
        <f t="shared" si="5"/>
        <v>605.472</v>
      </c>
      <c r="BG18">
        <f t="shared" si="6"/>
        <v>1579.612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</v>
      </c>
      <c r="BI18" s="32" cm="1">
        <f t="array" ref="BI18">$G$13+VLOOKUP($Q18,武学奇术!$A:$ZZ,14,FALSE)+SUM(_xlfn.XLOOKUP($R18:$AK18,增益!$A:$A,增益!$N:$N,0))</f>
        <v>0.15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2" cm="1">
        <f t="array" ref="BM18">$G$14+VLOOKUP($Q18,武学奇术!$A:$ZZ,16,FALSE)+SUM(_xlfn.XLOOKUP($R18:$AK18,增益!$A:$A,增益!$P:$P,0))</f>
        <v>0</v>
      </c>
      <c r="BN18" s="24">
        <f>MIN(IF(VLOOKUP($Q18,武学奇术!$A:$ZZ,23,FALSE)=1,100%,$B$8),100%)</f>
        <v>1</v>
      </c>
      <c r="BO18" s="24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0.9093</v>
      </c>
      <c r="BP18" s="24" cm="1">
        <f t="array" ref="BP18">1+$B$13+VLOOKUP($Q18,武学奇术!$A:$ZZ,18,FALSE)+SUM(_xlfn.XLOOKUP($R18:$AK18,增益!$A:$A,增益!$R:$R,0))</f>
        <v>1.53</v>
      </c>
      <c r="BQ18" s="24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4" cm="1">
        <f t="array" ref="BR18">1+$B$14+VLOOKUP($Q18,武学奇术!$A:$ZZ,20,FALSE)+SUM(_xlfn.XLOOKUP($R18:$AK18,增益!$A:$A,增益!$T:$T,0))</f>
        <v>1.35</v>
      </c>
      <c r="BS18" s="24">
        <f t="shared" si="9"/>
        <v>0.9071</v>
      </c>
      <c r="BT18" s="24">
        <f t="shared" si="10"/>
        <v>0</v>
      </c>
      <c r="BU18" s="24">
        <f>IF(VLOOKUP($Q18,武学奇术!$A:$ZZ,22,FALSE)=1,0,(1-$BN18))*(1-$BQ18)</f>
        <v>0</v>
      </c>
      <c r="BV18" s="24" cm="1">
        <f t="array" ref="BV18">SUM(_xlfn.XLOOKUP($R18:$AK18,增益!$A:$A,增益!$W:$W,0))+$I$5</f>
        <v>0.06</v>
      </c>
    </row>
    <row r="19" spans="1:74">
      <c r="A19" s="41" t="s">
        <v>135</v>
      </c>
      <c r="B19" s="70">
        <f>期望!B19</f>
        <v>0.2678</v>
      </c>
      <c r="C19" s="39" t="s">
        <v>136</v>
      </c>
      <c r="D19" s="79" t="s">
        <v>129</v>
      </c>
      <c r="K19" s="38">
        <f t="shared" si="0"/>
        <v>15612.0044941055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弹道",$B$21,0))*(1+$BV19)</f>
        <v>15631.9139150835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弹道",$B$21,0))*(1+$BV19)</f>
        <v>15417.6036785068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弹道",$B$21,0))*(1+$BV19)</f>
        <v>10216.937199401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弹道",$B$21,0))*(1+$BV19)</f>
        <v>9013.42722953768</v>
      </c>
      <c r="P19" s="39">
        <v>4</v>
      </c>
      <c r="Q19" s="40" t="s">
        <v>137</v>
      </c>
      <c r="R19" s="40" t="s">
        <v>93</v>
      </c>
      <c r="S19" s="40" t="s">
        <v>89</v>
      </c>
      <c r="T19" s="40" t="s">
        <v>78</v>
      </c>
      <c r="U19" s="40" t="s">
        <v>90</v>
      </c>
      <c r="V19" s="40" t="s">
        <v>78</v>
      </c>
      <c r="W19" s="40" t="s">
        <v>78</v>
      </c>
      <c r="X19" s="40" t="s">
        <v>78</v>
      </c>
      <c r="Y19" s="40" t="s">
        <v>78</v>
      </c>
      <c r="Z19" s="40" t="s">
        <v>78</v>
      </c>
      <c r="AA19" s="40" t="s">
        <v>79</v>
      </c>
      <c r="AB19" s="40" t="s">
        <v>78</v>
      </c>
      <c r="AC19" s="40" t="s">
        <v>78</v>
      </c>
      <c r="AD19" s="40" t="s">
        <v>78</v>
      </c>
      <c r="AE19" s="40" t="s">
        <v>78</v>
      </c>
      <c r="AF19" s="40" t="s">
        <v>78</v>
      </c>
      <c r="AG19" s="40" t="s">
        <v>78</v>
      </c>
      <c r="AH19" s="40" t="s">
        <v>78</v>
      </c>
      <c r="AI19" s="40" t="s">
        <v>78</v>
      </c>
      <c r="AJ19" s="40" t="s">
        <v>78</v>
      </c>
      <c r="AK19" s="40" t="s">
        <v>78</v>
      </c>
      <c r="AL19" t="str">
        <f>VLOOKUP($Q19,武学奇术!$A:$ZZ,25,FALSE)</f>
        <v>单体奇术</v>
      </c>
      <c r="AM19" s="24">
        <f>VLOOKUP($Q19,武学奇术!$A:$ZZ,26,FALSE)</f>
        <v>0.236</v>
      </c>
      <c r="AN19" s="25">
        <f>VLOOKUP($Q19,武学奇术!$A:$ZZ,27,FALSE)*(1+IF(OR($AL19=$F$4,$AL19=$F$5),$B$22,0))</f>
        <v>46</v>
      </c>
      <c r="AO19" s="24">
        <f>VLOOKUP($Q19,武学奇术!$A:$ZZ,28,FALSE)</f>
        <v>0.354</v>
      </c>
      <c r="AP19" s="25">
        <f>VLOOKUP($Q19,武学奇术!$A:$ZZ,29,FALSE)*(1+IF(OR($AL19=$F$4,$AL19=$F$5),$B$22,0))</f>
        <v>0</v>
      </c>
      <c r="AQ19" s="24" cm="1">
        <f t="array" ref="AQ19">$G$3+IFERROR(VLOOKUP($AL19,$F$4:$G$7,2,FALSE),0)+VLOOKUP($Q19,武学奇术!$A:$ZZ,2,FALSE)+SUM(_xlfn.XLOOKUP($R19:$AK19,增益!$A:$A,增益!$B:$B,0))</f>
        <v>0.4315</v>
      </c>
      <c r="AR19" s="24" cm="1">
        <f t="array" ref="AR19">VLOOKUP($Q19,武学奇术!$A:$ZZ,5,FALSE)+SUM(_xlfn.XLOOKUP($R19:$AK19,增益!$A:$A,增益!$E:$E,0))</f>
        <v>0.075</v>
      </c>
      <c r="AS19" cm="1">
        <f t="array" ref="AS19">$D$10*(1+$AR19)+VLOOKUP($Q19,武学奇术!$A:$ZZ,3,FALSE)+SUM(_xlfn.XLOOKUP($R19:$AK19,增益!$A:$A,增益!$C:$C,0))-$I$2</f>
        <v>4063.1171</v>
      </c>
      <c r="AT19" cm="1">
        <f t="array" ref="AT19">$E$10*(1+$AR19)+VLOOKUP($Q19,武学奇术!$A:$ZZ,4,FALSE)+SUM(_xlfn.XLOOKUP($R19:$AK19,增益!$A:$A,增益!$D:$D,0))-$I$2</f>
        <v>4063.1171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0.2325</v>
      </c>
      <c r="AV19" s="32" cm="1">
        <f t="array" ref="AV19">$G$10+VLOOKUP($Q19,武学奇术!$A:$ZZ,7,FALSE)+SUM(_xlfn.XLOOKUP($R19:$AK19,增益!$A:$A,增益!$G:$G,0))</f>
        <v>0</v>
      </c>
      <c r="AW19" s="24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2" cm="1">
        <f t="array" ref="BA19">$G$11+VLOOKUP($Q19,武学奇术!$A:$ZZ,10,FALSE)+SUM(_xlfn.XLOOKUP($R19:$AK19,增益!$A:$A,增益!$J:$J,0))</f>
        <v>0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-0.3</v>
      </c>
      <c r="BE19" s="32" cm="1">
        <f t="array" ref="BE19">$G$12+VLOOKUP($Q19,武学奇术!$A:$ZZ,12,FALSE)+SUM(_xlfn.XLOOKUP($R19:$AK19,增益!$A:$A,增益!$L:$L,0))</f>
        <v>0</v>
      </c>
      <c r="BF19">
        <f t="shared" si="5"/>
        <v>605.472</v>
      </c>
      <c r="BG19">
        <f t="shared" si="6"/>
        <v>1579.612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</v>
      </c>
      <c r="BI19" s="32" cm="1">
        <f t="array" ref="BI19">$G$13+VLOOKUP($Q19,武学奇术!$A:$ZZ,14,FALSE)+SUM(_xlfn.XLOOKUP($R19:$AK19,增益!$A:$A,增益!$N:$N,0))</f>
        <v>0.15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2" cm="1">
        <f t="array" ref="BM19">$G$14+VLOOKUP($Q19,武学奇术!$A:$ZZ,16,FALSE)+SUM(_xlfn.XLOOKUP($R19:$AK19,增益!$A:$A,增益!$P:$P,0))</f>
        <v>0</v>
      </c>
      <c r="BN19" s="24">
        <f>MIN(IF(VLOOKUP($Q19,武学奇术!$A:$ZZ,23,FALSE)=1,100%,$B$8),100%)</f>
        <v>1</v>
      </c>
      <c r="BO19" s="24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0.9093</v>
      </c>
      <c r="BP19" s="24" cm="1">
        <f t="array" ref="BP19">1+$B$13+VLOOKUP($Q19,武学奇术!$A:$ZZ,18,FALSE)+SUM(_xlfn.XLOOKUP($R19:$AK19,增益!$A:$A,增益!$R:$R,0))</f>
        <v>1.53</v>
      </c>
      <c r="BQ19" s="24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4" cm="1">
        <f t="array" ref="BR19">1+$B$14+VLOOKUP($Q19,武学奇术!$A:$ZZ,20,FALSE)+SUM(_xlfn.XLOOKUP($R19:$AK19,增益!$A:$A,增益!$T:$T,0))</f>
        <v>1.35</v>
      </c>
      <c r="BS19" s="24">
        <f t="shared" si="9"/>
        <v>0.9071</v>
      </c>
      <c r="BT19" s="24">
        <f t="shared" si="10"/>
        <v>0</v>
      </c>
      <c r="BU19" s="24">
        <f>IF(VLOOKUP($Q19,武学奇术!$A:$ZZ,22,FALSE)=1,0,(1-$BN19))*(1-$BQ19)</f>
        <v>0</v>
      </c>
      <c r="BV19" s="24" cm="1">
        <f t="array" ref="BV19">SUM(_xlfn.XLOOKUP($R19:$AK19,增益!$A:$A,增益!$W:$W,0))+$I$5</f>
        <v>0.06</v>
      </c>
    </row>
    <row r="20" spans="1:74">
      <c r="A20" s="41" t="s">
        <v>139</v>
      </c>
      <c r="B20" s="70">
        <f>期望!B20</f>
        <v>0</v>
      </c>
      <c r="C20" s="39" t="s">
        <v>140</v>
      </c>
      <c r="D20" s="79" t="s">
        <v>129</v>
      </c>
      <c r="K20" s="38">
        <f t="shared" si="0"/>
        <v>7907.00434982166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弹道",$B$21,0))*(1+$BV20)</f>
        <v>7917.5421234743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弹道",$B$21,0))*(1+$BV20)</f>
        <v>7804.11076015203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弹道",$B$21,0))*(1+$BV20)</f>
        <v>5174.86413298974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弹道",$B$21,0))*(1+$BV20)</f>
        <v>4568.90548068168</v>
      </c>
      <c r="P20" s="39">
        <v>2</v>
      </c>
      <c r="Q20" s="40" t="s">
        <v>137</v>
      </c>
      <c r="R20" s="40" t="s">
        <v>97</v>
      </c>
      <c r="S20" s="40" t="s">
        <v>89</v>
      </c>
      <c r="T20" s="40" t="s">
        <v>78</v>
      </c>
      <c r="U20" s="40" t="s">
        <v>90</v>
      </c>
      <c r="V20" s="40" t="s">
        <v>78</v>
      </c>
      <c r="W20" s="40" t="s">
        <v>78</v>
      </c>
      <c r="X20" s="40" t="s">
        <v>78</v>
      </c>
      <c r="Y20" s="40" t="s">
        <v>78</v>
      </c>
      <c r="Z20" s="40" t="s">
        <v>78</v>
      </c>
      <c r="AA20" s="40" t="s">
        <v>79</v>
      </c>
      <c r="AB20" s="40" t="s">
        <v>78</v>
      </c>
      <c r="AC20" s="40" t="s">
        <v>78</v>
      </c>
      <c r="AD20" s="40" t="s">
        <v>78</v>
      </c>
      <c r="AE20" s="40" t="s">
        <v>78</v>
      </c>
      <c r="AF20" s="40" t="s">
        <v>78</v>
      </c>
      <c r="AG20" s="40" t="s">
        <v>78</v>
      </c>
      <c r="AH20" s="40" t="s">
        <v>78</v>
      </c>
      <c r="AI20" s="40" t="s">
        <v>78</v>
      </c>
      <c r="AJ20" s="40" t="s">
        <v>78</v>
      </c>
      <c r="AK20" s="40" t="s">
        <v>78</v>
      </c>
      <c r="AL20" t="str">
        <f>VLOOKUP($Q20,武学奇术!$A:$ZZ,25,FALSE)</f>
        <v>单体奇术</v>
      </c>
      <c r="AM20" s="24">
        <f>VLOOKUP($Q20,武学奇术!$A:$ZZ,26,FALSE)</f>
        <v>0.236</v>
      </c>
      <c r="AN20" s="25">
        <f>VLOOKUP($Q20,武学奇术!$A:$ZZ,27,FALSE)*(1+IF(OR($AL20=$F$4,$AL20=$F$5),$B$22,0))</f>
        <v>46</v>
      </c>
      <c r="AO20" s="24">
        <f>VLOOKUP($Q20,武学奇术!$A:$ZZ,28,FALSE)</f>
        <v>0.354</v>
      </c>
      <c r="AP20" s="25">
        <f>VLOOKUP($Q20,武学奇术!$A:$ZZ,29,FALSE)*(1+IF(OR($AL20=$F$4,$AL20=$F$5),$B$22,0))</f>
        <v>0</v>
      </c>
      <c r="AQ20" s="24" cm="1">
        <f t="array" ref="AQ20">$G$3+IFERROR(VLOOKUP($AL20,$F$4:$G$7,2,FALSE),0)+VLOOKUP($Q20,武学奇术!$A:$ZZ,2,FALSE)+SUM(_xlfn.XLOOKUP($R20:$AK20,增益!$A:$A,增益!$B:$B,0))</f>
        <v>0.4415</v>
      </c>
      <c r="AR20" s="24" cm="1">
        <f t="array" ref="AR20">VLOOKUP($Q20,武学奇术!$A:$ZZ,5,FALSE)+SUM(_xlfn.XLOOKUP($R20:$AK20,增益!$A:$A,增益!$E:$E,0))</f>
        <v>0.075</v>
      </c>
      <c r="AS20" cm="1">
        <f t="array" ref="AS20">$D$10*(1+$AR20)+VLOOKUP($Q20,武学奇术!$A:$ZZ,3,FALSE)+SUM(_xlfn.XLOOKUP($R20:$AK20,增益!$A:$A,增益!$C:$C,0))-$I$2</f>
        <v>4063.1171</v>
      </c>
      <c r="AT20" cm="1">
        <f t="array" ref="AT20">$E$10*(1+$AR20)+VLOOKUP($Q20,武学奇术!$A:$ZZ,4,FALSE)+SUM(_xlfn.XLOOKUP($R20:$AK20,增益!$A:$A,增益!$D:$D,0))-$I$2</f>
        <v>4063.1171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0.2425</v>
      </c>
      <c r="AV20" s="32" cm="1">
        <f t="array" ref="AV20">$G$10+VLOOKUP($Q20,武学奇术!$A:$ZZ,7,FALSE)+SUM(_xlfn.XLOOKUP($R20:$AK20,增益!$A:$A,增益!$G:$G,0))</f>
        <v>0</v>
      </c>
      <c r="AW20" s="24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2" cm="1">
        <f t="array" ref="BA20">$G$11+VLOOKUP($Q20,武学奇术!$A:$ZZ,10,FALSE)+SUM(_xlfn.XLOOKUP($R20:$AK20,增益!$A:$A,增益!$J:$J,0))</f>
        <v>0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-0.3</v>
      </c>
      <c r="BE20" s="32" cm="1">
        <f t="array" ref="BE20">$G$12+VLOOKUP($Q20,武学奇术!$A:$ZZ,12,FALSE)+SUM(_xlfn.XLOOKUP($R20:$AK20,增益!$A:$A,增益!$L:$L,0))</f>
        <v>0</v>
      </c>
      <c r="BF20">
        <f t="shared" si="5"/>
        <v>605.472</v>
      </c>
      <c r="BG20">
        <f t="shared" si="6"/>
        <v>1579.612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</v>
      </c>
      <c r="BI20" s="32" cm="1">
        <f t="array" ref="BI20">$G$13+VLOOKUP($Q20,武学奇术!$A:$ZZ,14,FALSE)+SUM(_xlfn.XLOOKUP($R20:$AK20,增益!$A:$A,增益!$N:$N,0))</f>
        <v>0.15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2" cm="1">
        <f t="array" ref="BM20">$G$14+VLOOKUP($Q20,武学奇术!$A:$ZZ,16,FALSE)+SUM(_xlfn.XLOOKUP($R20:$AK20,增益!$A:$A,增益!$P:$P,0))</f>
        <v>0</v>
      </c>
      <c r="BN20" s="24">
        <f>MIN(IF(VLOOKUP($Q20,武学奇术!$A:$ZZ,23,FALSE)=1,100%,$B$8),100%)</f>
        <v>1</v>
      </c>
      <c r="BO20" s="24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0.9093</v>
      </c>
      <c r="BP20" s="24" cm="1">
        <f t="array" ref="BP20">1+$B$13+VLOOKUP($Q20,武学奇术!$A:$ZZ,18,FALSE)+SUM(_xlfn.XLOOKUP($R20:$AK20,增益!$A:$A,增益!$R:$R,0))</f>
        <v>1.53</v>
      </c>
      <c r="BQ20" s="24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4" cm="1">
        <f t="array" ref="BR20">1+$B$14+VLOOKUP($Q20,武学奇术!$A:$ZZ,20,FALSE)+SUM(_xlfn.XLOOKUP($R20:$AK20,增益!$A:$A,增益!$T:$T,0))</f>
        <v>1.35</v>
      </c>
      <c r="BS20" s="24">
        <f t="shared" si="9"/>
        <v>0.9071</v>
      </c>
      <c r="BT20" s="24">
        <f t="shared" si="10"/>
        <v>0</v>
      </c>
      <c r="BU20" s="24">
        <f>IF(VLOOKUP($Q20,武学奇术!$A:$ZZ,22,FALSE)=1,0,(1-$BN20))*(1-$BQ20)</f>
        <v>0</v>
      </c>
      <c r="BV20" s="24" cm="1">
        <f t="array" ref="BV20">SUM(_xlfn.XLOOKUP($R20:$AK20,增益!$A:$A,增益!$W:$W,0))+$I$5</f>
        <v>0.06</v>
      </c>
    </row>
    <row r="21" ht="14.25" spans="1:74">
      <c r="A21" s="85" t="s">
        <v>198</v>
      </c>
      <c r="B21" s="86">
        <f>期望!B21</f>
        <v>0.32</v>
      </c>
      <c r="C21" s="39" t="s">
        <v>142</v>
      </c>
      <c r="D21" s="79" t="s">
        <v>129</v>
      </c>
      <c r="E21" s="39" t="s">
        <v>143</v>
      </c>
      <c r="F21" s="39"/>
      <c r="K21" s="38">
        <f t="shared" si="0"/>
        <v>23861.836627116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弹道",$B$21,0))*(1+$BV21)</f>
        <v>23907.8722944126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弹道",$B$21,0))*(1+$BV21)</f>
        <v>23412.3322804561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弹道",$B$21,0))*(1+$BV21)</f>
        <v>15524.5923989692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弹道",$B$21,0))*(1+$BV21)</f>
        <v>13706.716442045</v>
      </c>
      <c r="P21" s="39">
        <v>6</v>
      </c>
      <c r="Q21" s="40" t="s">
        <v>137</v>
      </c>
      <c r="R21" s="40" t="s">
        <v>97</v>
      </c>
      <c r="S21" s="40" t="s">
        <v>94</v>
      </c>
      <c r="T21" s="40" t="s">
        <v>78</v>
      </c>
      <c r="U21" s="40" t="s">
        <v>90</v>
      </c>
      <c r="V21" s="40" t="s">
        <v>78</v>
      </c>
      <c r="W21" s="40" t="s">
        <v>78</v>
      </c>
      <c r="X21" s="40" t="s">
        <v>78</v>
      </c>
      <c r="Y21" s="40" t="s">
        <v>78</v>
      </c>
      <c r="Z21" s="40" t="s">
        <v>78</v>
      </c>
      <c r="AA21" s="40" t="s">
        <v>79</v>
      </c>
      <c r="AB21" s="40" t="s">
        <v>78</v>
      </c>
      <c r="AC21" s="40" t="s">
        <v>78</v>
      </c>
      <c r="AD21" s="40" t="s">
        <v>78</v>
      </c>
      <c r="AE21" s="40" t="s">
        <v>78</v>
      </c>
      <c r="AF21" s="40" t="s">
        <v>78</v>
      </c>
      <c r="AG21" s="40" t="s">
        <v>78</v>
      </c>
      <c r="AH21" s="40" t="s">
        <v>78</v>
      </c>
      <c r="AI21" s="40" t="s">
        <v>78</v>
      </c>
      <c r="AJ21" s="40" t="s">
        <v>78</v>
      </c>
      <c r="AK21" s="40" t="s">
        <v>78</v>
      </c>
      <c r="AL21" t="str">
        <f>VLOOKUP($Q21,武学奇术!$A:$ZZ,25,FALSE)</f>
        <v>单体奇术</v>
      </c>
      <c r="AM21" s="24">
        <f>VLOOKUP($Q21,武学奇术!$A:$ZZ,26,FALSE)</f>
        <v>0.236</v>
      </c>
      <c r="AN21" s="25">
        <f>VLOOKUP($Q21,武学奇术!$A:$ZZ,27,FALSE)*(1+IF(OR($AL21=$F$4,$AL21=$F$5),$B$22,0))</f>
        <v>46</v>
      </c>
      <c r="AO21" s="24">
        <f>VLOOKUP($Q21,武学奇术!$A:$ZZ,28,FALSE)</f>
        <v>0.354</v>
      </c>
      <c r="AP21" s="25">
        <f>VLOOKUP($Q21,武学奇术!$A:$ZZ,29,FALSE)*(1+IF(OR($AL21=$F$4,$AL21=$F$5),$B$22,0))</f>
        <v>0</v>
      </c>
      <c r="AQ21" s="24" cm="1">
        <f t="array" ref="AQ21">$G$3+IFERROR(VLOOKUP($AL21,$F$4:$G$7,2,FALSE),0)+VLOOKUP($Q21,武学奇术!$A:$ZZ,2,FALSE)+SUM(_xlfn.XLOOKUP($R21:$AK21,增益!$A:$A,增益!$B:$B,0))</f>
        <v>0.4415</v>
      </c>
      <c r="AR21" s="24" cm="1">
        <f t="array" ref="AR21">VLOOKUP($Q21,武学奇术!$A:$ZZ,5,FALSE)+SUM(_xlfn.XLOOKUP($R21:$AK21,增益!$A:$A,增益!$E:$E,0))</f>
        <v>0.075</v>
      </c>
      <c r="AS21" cm="1">
        <f t="array" ref="AS21">$D$10*(1+$AR21)+VLOOKUP($Q21,武学奇术!$A:$ZZ,3,FALSE)+SUM(_xlfn.XLOOKUP($R21:$AK21,增益!$A:$A,增益!$C:$C,0))-$I$2</f>
        <v>4063.1171</v>
      </c>
      <c r="AT21" cm="1">
        <f t="array" ref="AT21">$E$10*(1+$AR21)+VLOOKUP($Q21,武学奇术!$A:$ZZ,4,FALSE)+SUM(_xlfn.XLOOKUP($R21:$AK21,增益!$A:$A,增益!$D:$D,0))-$I$2</f>
        <v>4063.1171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0.2425</v>
      </c>
      <c r="AV21" s="32" cm="1">
        <f t="array" ref="AV21">$G$10+VLOOKUP($Q21,武学奇术!$A:$ZZ,7,FALSE)+SUM(_xlfn.XLOOKUP($R21:$AK21,增益!$A:$A,增益!$G:$G,0))</f>
        <v>0</v>
      </c>
      <c r="AW21" s="24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2" cm="1">
        <f t="array" ref="BA21">$G$11+VLOOKUP($Q21,武学奇术!$A:$ZZ,10,FALSE)+SUM(_xlfn.XLOOKUP($R21:$AK21,增益!$A:$A,增益!$J:$J,0))</f>
        <v>0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-0.3</v>
      </c>
      <c r="BE21" s="32" cm="1">
        <f t="array" ref="BE21">$G$12+VLOOKUP($Q21,武学奇术!$A:$ZZ,12,FALSE)+SUM(_xlfn.XLOOKUP($R21:$AK21,增益!$A:$A,增益!$L:$L,0))</f>
        <v>0</v>
      </c>
      <c r="BF21">
        <f t="shared" si="5"/>
        <v>605.472</v>
      </c>
      <c r="BG21">
        <f t="shared" si="6"/>
        <v>1579.612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</v>
      </c>
      <c r="BI21" s="32" cm="1">
        <f t="array" ref="BI21">$G$13+VLOOKUP($Q21,武学奇术!$A:$ZZ,14,FALSE)+SUM(_xlfn.XLOOKUP($R21:$AK21,增益!$A:$A,增益!$N:$N,0))</f>
        <v>0.15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2" cm="1">
        <f t="array" ref="BM21">$G$14+VLOOKUP($Q21,武学奇术!$A:$ZZ,16,FALSE)+SUM(_xlfn.XLOOKUP($R21:$AK21,增益!$A:$A,增益!$P:$P,0))</f>
        <v>0</v>
      </c>
      <c r="BN21" s="24">
        <f>MIN(IF(VLOOKUP($Q21,武学奇术!$A:$ZZ,23,FALSE)=1,100%,$B$8),100%)</f>
        <v>1</v>
      </c>
      <c r="BO21" s="24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0.9093</v>
      </c>
      <c r="BP21" s="24" cm="1">
        <f t="array" ref="BP21">1+$B$13+VLOOKUP($Q21,武学奇术!$A:$ZZ,18,FALSE)+SUM(_xlfn.XLOOKUP($R21:$AK21,增益!$A:$A,增益!$R:$R,0))</f>
        <v>1.54</v>
      </c>
      <c r="BQ21" s="24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4" cm="1">
        <f t="array" ref="BR21">1+$B$14+VLOOKUP($Q21,武学奇术!$A:$ZZ,20,FALSE)+SUM(_xlfn.XLOOKUP($R21:$AK21,增益!$A:$A,增益!$T:$T,0))</f>
        <v>1.35</v>
      </c>
      <c r="BS21" s="24">
        <f t="shared" si="9"/>
        <v>0.9071</v>
      </c>
      <c r="BT21" s="24">
        <f t="shared" si="10"/>
        <v>0</v>
      </c>
      <c r="BU21" s="24">
        <f>IF(VLOOKUP($Q21,武学奇术!$A:$ZZ,22,FALSE)=1,0,(1-$BN21))*(1-$BQ21)</f>
        <v>0</v>
      </c>
      <c r="BV21" s="24" cm="1">
        <f t="array" ref="BV21">SUM(_xlfn.XLOOKUP($R21:$AK21,增益!$A:$A,增益!$W:$W,0))+$I$5</f>
        <v>0.06</v>
      </c>
    </row>
    <row r="22" spans="1:74">
      <c r="A22" t="s">
        <v>144</v>
      </c>
      <c r="B22" s="27">
        <f>期望!B22</f>
        <v>0.5</v>
      </c>
      <c r="C22" s="39" t="s">
        <v>145</v>
      </c>
      <c r="D22" s="79" t="s">
        <v>129</v>
      </c>
      <c r="E22" s="40" t="str">
        <f>期望!E22</f>
        <v>易水歌</v>
      </c>
      <c r="F22" s="40"/>
      <c r="K22" s="38">
        <f t="shared" si="0"/>
        <v>8000.88673492236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弹道",$B$21,0))*(1+$BV22)</f>
        <v>8021.03940613409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弹道",$B$21,0))*(1+$BV22)</f>
        <v>7804.11076015203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弹道",$B$21,0))*(1+$BV22)</f>
        <v>5174.86413298974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弹道",$B$21,0))*(1+$BV22)</f>
        <v>4568.90548068168</v>
      </c>
      <c r="P22" s="39">
        <v>2</v>
      </c>
      <c r="Q22" s="40" t="s">
        <v>137</v>
      </c>
      <c r="R22" s="40" t="s">
        <v>97</v>
      </c>
      <c r="S22" s="40" t="s">
        <v>98</v>
      </c>
      <c r="T22" s="40" t="s">
        <v>78</v>
      </c>
      <c r="U22" s="40" t="s">
        <v>90</v>
      </c>
      <c r="V22" s="40" t="s">
        <v>78</v>
      </c>
      <c r="W22" s="40" t="s">
        <v>78</v>
      </c>
      <c r="X22" s="40" t="s">
        <v>78</v>
      </c>
      <c r="Y22" s="40" t="s">
        <v>78</v>
      </c>
      <c r="Z22" s="40" t="s">
        <v>78</v>
      </c>
      <c r="AA22" s="40" t="s">
        <v>79</v>
      </c>
      <c r="AB22" s="40" t="s">
        <v>78</v>
      </c>
      <c r="AC22" s="40" t="s">
        <v>78</v>
      </c>
      <c r="AD22" s="40" t="s">
        <v>78</v>
      </c>
      <c r="AE22" s="40" t="s">
        <v>78</v>
      </c>
      <c r="AF22" s="40" t="s">
        <v>78</v>
      </c>
      <c r="AG22" s="40" t="s">
        <v>78</v>
      </c>
      <c r="AH22" s="40" t="s">
        <v>78</v>
      </c>
      <c r="AI22" s="40" t="s">
        <v>78</v>
      </c>
      <c r="AJ22" s="40" t="s">
        <v>78</v>
      </c>
      <c r="AK22" s="40" t="s">
        <v>78</v>
      </c>
      <c r="AL22" t="str">
        <f>VLOOKUP($Q22,武学奇术!$A:$ZZ,25,FALSE)</f>
        <v>单体奇术</v>
      </c>
      <c r="AM22" s="24">
        <f>VLOOKUP($Q22,武学奇术!$A:$ZZ,26,FALSE)</f>
        <v>0.236</v>
      </c>
      <c r="AN22" s="25">
        <f>VLOOKUP($Q22,武学奇术!$A:$ZZ,27,FALSE)*(1+IF(OR($AL22=$F$4,$AL22=$F$5),$B$22,0))</f>
        <v>46</v>
      </c>
      <c r="AO22" s="24">
        <f>VLOOKUP($Q22,武学奇术!$A:$ZZ,28,FALSE)</f>
        <v>0.354</v>
      </c>
      <c r="AP22" s="25">
        <f>VLOOKUP($Q22,武学奇术!$A:$ZZ,29,FALSE)*(1+IF(OR($AL22=$F$4,$AL22=$F$5),$B$22,0))</f>
        <v>0</v>
      </c>
      <c r="AQ22" s="24" cm="1">
        <f t="array" ref="AQ22">$G$3+IFERROR(VLOOKUP($AL22,$F$4:$G$7,2,FALSE),0)+VLOOKUP($Q22,武学奇术!$A:$ZZ,2,FALSE)+SUM(_xlfn.XLOOKUP($R22:$AK22,增益!$A:$A,增益!$B:$B,0))</f>
        <v>0.4415</v>
      </c>
      <c r="AR22" s="24" cm="1">
        <f t="array" ref="AR22">VLOOKUP($Q22,武学奇术!$A:$ZZ,5,FALSE)+SUM(_xlfn.XLOOKUP($R22:$AK22,增益!$A:$A,增益!$E:$E,0))</f>
        <v>0.075</v>
      </c>
      <c r="AS22" cm="1">
        <f t="array" ref="AS22">$D$10*(1+$AR22)+VLOOKUP($Q22,武学奇术!$A:$ZZ,3,FALSE)+SUM(_xlfn.XLOOKUP($R22:$AK22,增益!$A:$A,增益!$C:$C,0))-$I$2</f>
        <v>4063.1171</v>
      </c>
      <c r="AT22" cm="1">
        <f t="array" ref="AT22">$E$10*(1+$AR22)+VLOOKUP($Q22,武学奇术!$A:$ZZ,4,FALSE)+SUM(_xlfn.XLOOKUP($R22:$AK22,增益!$A:$A,增益!$D:$D,0))-$I$2</f>
        <v>4063.1171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0.2425</v>
      </c>
      <c r="AV22" s="32" cm="1">
        <f t="array" ref="AV22">$G$10+VLOOKUP($Q22,武学奇术!$A:$ZZ,7,FALSE)+SUM(_xlfn.XLOOKUP($R22:$AK22,增益!$A:$A,增益!$G:$G,0))</f>
        <v>0</v>
      </c>
      <c r="AW22" s="24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2" cm="1">
        <f t="array" ref="BA22">$G$11+VLOOKUP($Q22,武学奇术!$A:$ZZ,10,FALSE)+SUM(_xlfn.XLOOKUP($R22:$AK22,增益!$A:$A,增益!$J:$J,0))</f>
        <v>0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2" cm="1">
        <f t="array" ref="BE22">$G$12+VLOOKUP($Q22,武学奇术!$A:$ZZ,12,FALSE)+SUM(_xlfn.XLOOKUP($R22:$AK22,增益!$A:$A,增益!$L:$L,0))</f>
        <v>0</v>
      </c>
      <c r="BF22">
        <f t="shared" si="5"/>
        <v>605.472</v>
      </c>
      <c r="BG22">
        <f t="shared" si="6"/>
        <v>1579.612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2" cm="1">
        <f t="array" ref="BI22">$G$13+VLOOKUP($Q22,武学奇术!$A:$ZZ,14,FALSE)+SUM(_xlfn.XLOOKUP($R22:$AK22,增益!$A:$A,增益!$N:$N,0))</f>
        <v>0.15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2" cm="1">
        <f t="array" ref="BM22">$G$14+VLOOKUP($Q22,武学奇术!$A:$ZZ,16,FALSE)+SUM(_xlfn.XLOOKUP($R22:$AK22,增益!$A:$A,增益!$P:$P,0))</f>
        <v>0</v>
      </c>
      <c r="BN22" s="24">
        <f>MIN(IF(VLOOKUP($Q22,武学奇术!$A:$ZZ,23,FALSE)=1,100%,$B$8),100%)</f>
        <v>1</v>
      </c>
      <c r="BO22" s="24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0.9093</v>
      </c>
      <c r="BP22" s="24" cm="1">
        <f t="array" ref="BP22">1+$B$13+VLOOKUP($Q22,武学奇术!$A:$ZZ,18,FALSE)+SUM(_xlfn.XLOOKUP($R22:$AK22,增益!$A:$A,增益!$R:$R,0))</f>
        <v>1.55</v>
      </c>
      <c r="BQ22" s="24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4" cm="1">
        <f t="array" ref="BR22">1+$B$14+VLOOKUP($Q22,武学奇术!$A:$ZZ,20,FALSE)+SUM(_xlfn.XLOOKUP($R22:$AK22,增益!$A:$A,增益!$T:$T,0))</f>
        <v>1.35</v>
      </c>
      <c r="BS22" s="24">
        <f t="shared" si="9"/>
        <v>0.9071</v>
      </c>
      <c r="BT22" s="24">
        <f t="shared" si="10"/>
        <v>0</v>
      </c>
      <c r="BU22" s="24">
        <f>IF(VLOOKUP($Q22,武学奇术!$A:$ZZ,22,FALSE)=1,0,(1-$BN22))*(1-$BQ22)</f>
        <v>0</v>
      </c>
      <c r="BV22" s="24" cm="1">
        <f t="array" ref="BV22">SUM(_xlfn.XLOOKUP($R22:$AK22,增益!$A:$A,增益!$W:$W,0))+$I$5</f>
        <v>0.06</v>
      </c>
    </row>
    <row r="23" spans="1:74">
      <c r="A23" s="39" t="s">
        <v>147</v>
      </c>
      <c r="B23" s="87">
        <f>期望!B23</f>
        <v>200</v>
      </c>
      <c r="C23" s="39" t="s">
        <v>148</v>
      </c>
      <c r="D23" s="79" t="s">
        <v>129</v>
      </c>
      <c r="E23" s="39" t="s">
        <v>149</v>
      </c>
      <c r="F23" s="39" t="str">
        <f>期望!F23</f>
        <v>全蹭</v>
      </c>
      <c r="K23" s="38">
        <f t="shared" si="0"/>
        <v>19425.3535363891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弹道",$B$21,0))*(1+$BV23)</f>
        <v>19733.7869411141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弹道",$B$21,0))*(1+$BV23)</f>
        <v>16413.7287632348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弹道",$B$21,0))*(1+$BV23)</f>
        <v>10963.2149672856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弹道",$B$21,0))*(1+$BV23)</f>
        <v>9768.1123321751</v>
      </c>
      <c r="P23" s="39">
        <v>4</v>
      </c>
      <c r="Q23" s="40" t="s">
        <v>137</v>
      </c>
      <c r="R23" s="40" t="s">
        <v>97</v>
      </c>
      <c r="S23" s="40" t="s">
        <v>98</v>
      </c>
      <c r="T23" s="40" t="s">
        <v>78</v>
      </c>
      <c r="U23" s="40" t="s">
        <v>90</v>
      </c>
      <c r="V23" s="40" t="s">
        <v>78</v>
      </c>
      <c r="W23" s="40" t="s">
        <v>78</v>
      </c>
      <c r="X23" s="40" t="s">
        <v>78</v>
      </c>
      <c r="Y23" s="40" t="s">
        <v>151</v>
      </c>
      <c r="Z23" s="40" t="s">
        <v>78</v>
      </c>
      <c r="AA23" s="40" t="s">
        <v>78</v>
      </c>
      <c r="AB23" s="40" t="s">
        <v>78</v>
      </c>
      <c r="AC23" s="40" t="s">
        <v>78</v>
      </c>
      <c r="AD23" s="40" t="s">
        <v>78</v>
      </c>
      <c r="AE23" s="40" t="s">
        <v>78</v>
      </c>
      <c r="AF23" s="40" t="s">
        <v>78</v>
      </c>
      <c r="AG23" s="40" t="s">
        <v>78</v>
      </c>
      <c r="AH23" s="40" t="s">
        <v>78</v>
      </c>
      <c r="AI23" s="40" t="s">
        <v>78</v>
      </c>
      <c r="AJ23" s="40" t="s">
        <v>78</v>
      </c>
      <c r="AK23" s="40" t="s">
        <v>78</v>
      </c>
      <c r="AL23" t="str">
        <f>VLOOKUP($Q23,武学奇术!$A:$ZZ,25,FALSE)</f>
        <v>单体奇术</v>
      </c>
      <c r="AM23" s="24">
        <f>VLOOKUP($Q23,武学奇术!$A:$ZZ,26,FALSE)</f>
        <v>0.236</v>
      </c>
      <c r="AN23" s="25">
        <f>VLOOKUP($Q23,武学奇术!$A:$ZZ,27,FALSE)*(1+IF(OR($AL23=$F$4,$AL23=$F$5),$B$22,0))</f>
        <v>46</v>
      </c>
      <c r="AO23" s="24">
        <f>VLOOKUP($Q23,武学奇术!$A:$ZZ,28,FALSE)</f>
        <v>0.354</v>
      </c>
      <c r="AP23" s="25">
        <f>VLOOKUP($Q23,武学奇术!$A:$ZZ,29,FALSE)*(1+IF(OR($AL23=$F$4,$AL23=$F$5),$B$22,0))</f>
        <v>0</v>
      </c>
      <c r="AQ23" s="24" cm="1">
        <f t="array" ref="AQ23">$G$3+IFERROR(VLOOKUP($AL23,$F$4:$G$7,2,FALSE),0)+VLOOKUP($Q23,武学奇术!$A:$ZZ,2,FALSE)+SUM(_xlfn.XLOOKUP($R23:$AK23,增益!$A:$A,增益!$B:$B,0))</f>
        <v>0.4215</v>
      </c>
      <c r="AR23" s="24" cm="1">
        <f t="array" ref="AR23">VLOOKUP($Q23,武学奇术!$A:$ZZ,5,FALSE)+SUM(_xlfn.XLOOKUP($R23:$AK23,增益!$A:$A,增益!$E:$E,0))</f>
        <v>0.075</v>
      </c>
      <c r="AS23" cm="1">
        <f t="array" ref="AS23">$D$10*(1+$AR23)+VLOOKUP($Q23,武学奇术!$A:$ZZ,3,FALSE)+SUM(_xlfn.XLOOKUP($R23:$AK23,增益!$A:$A,增益!$C:$C,0))-$I$2</f>
        <v>4063.1171</v>
      </c>
      <c r="AT23" cm="1">
        <f t="array" ref="AT23">$E$10*(1+$AR23)+VLOOKUP($Q23,武学奇术!$A:$ZZ,4,FALSE)+SUM(_xlfn.XLOOKUP($R23:$AK23,增益!$A:$A,增益!$D:$D,0))-$I$2</f>
        <v>4063.1171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0.3675</v>
      </c>
      <c r="AV23" s="32" cm="1">
        <f t="array" ref="AV23">$G$10+VLOOKUP($Q23,武学奇术!$A:$ZZ,7,FALSE)+SUM(_xlfn.XLOOKUP($R23:$AK23,增益!$A:$A,增益!$G:$G,0))</f>
        <v>0</v>
      </c>
      <c r="AW23" s="24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2" cm="1">
        <f t="array" ref="BA23">$G$11+VLOOKUP($Q23,武学奇术!$A:$ZZ,10,FALSE)+SUM(_xlfn.XLOOKUP($R23:$AK23,增益!$A:$A,增益!$J:$J,0))</f>
        <v>0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2" cm="1">
        <f t="array" ref="BE23">$G$12+VLOOKUP($Q23,武学奇术!$A:$ZZ,12,FALSE)+SUM(_xlfn.XLOOKUP($R23:$AK23,增益!$A:$A,增益!$L:$L,0))</f>
        <v>0</v>
      </c>
      <c r="BF23">
        <f t="shared" si="5"/>
        <v>605.472</v>
      </c>
      <c r="BG23">
        <f t="shared" si="6"/>
        <v>1579.612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2" cm="1">
        <f t="array" ref="BI23">$G$13+VLOOKUP($Q23,武学奇术!$A:$ZZ,14,FALSE)+SUM(_xlfn.XLOOKUP($R23:$AK23,增益!$A:$A,增益!$N:$N,0))</f>
        <v>0.15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2" cm="1">
        <f t="array" ref="BM23">$G$14+VLOOKUP($Q23,武学奇术!$A:$ZZ,16,FALSE)+SUM(_xlfn.XLOOKUP($R23:$AK23,增益!$A:$A,增益!$P:$P,0))</f>
        <v>0</v>
      </c>
      <c r="BN23" s="24">
        <f>MIN(IF(VLOOKUP($Q23,武学奇术!$A:$ZZ,23,FALSE)=1,100%,$B$8),100%)</f>
        <v>1</v>
      </c>
      <c r="BO23" s="24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0.9093</v>
      </c>
      <c r="BP23" s="24" cm="1">
        <f t="array" ref="BP23">1+$B$13+VLOOKUP($Q23,武学奇术!$A:$ZZ,18,FALSE)+SUM(_xlfn.XLOOKUP($R23:$AK23,增益!$A:$A,增益!$R:$R,0))</f>
        <v>1.8</v>
      </c>
      <c r="BQ23" s="24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4" cm="1">
        <f t="array" ref="BR23">1+$B$14+VLOOKUP($Q23,武学奇术!$A:$ZZ,20,FALSE)+SUM(_xlfn.XLOOKUP($R23:$AK23,增益!$A:$A,增益!$T:$T,0))</f>
        <v>1.35</v>
      </c>
      <c r="BS23" s="24">
        <f t="shared" si="9"/>
        <v>0.9071</v>
      </c>
      <c r="BT23" s="24">
        <f t="shared" si="10"/>
        <v>0</v>
      </c>
      <c r="BU23" s="24">
        <f>IF(VLOOKUP($Q23,武学奇术!$A:$ZZ,22,FALSE)=1,0,(1-$BN23))*(1-$BQ23)</f>
        <v>0</v>
      </c>
      <c r="BV23" s="24" cm="1">
        <f t="array" ref="BV23">SUM(_xlfn.XLOOKUP($R23:$AK23,增益!$A:$A,增益!$W:$W,0))+$I$5</f>
        <v>0.06</v>
      </c>
    </row>
    <row r="24" spans="1:74">
      <c r="A24" s="39"/>
      <c r="B24" s="87">
        <f>期望!B24</f>
        <v>400</v>
      </c>
      <c r="E24" s="39"/>
      <c r="F24" s="39"/>
      <c r="K24" s="38">
        <f t="shared" si="0"/>
        <v>9762.40042967869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弹道",$B$21,0))*(1+$BV24)</f>
        <v>9921.70954539349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弹道",$B$21,0))*(1+$BV24)</f>
        <v>8206.8643816174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弹道",$B$21,0))*(1+$BV24)</f>
        <v>5481.60748364281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弹道",$B$21,0))*(1+$BV24)</f>
        <v>4884.05616608755</v>
      </c>
      <c r="P24" s="39">
        <v>2</v>
      </c>
      <c r="Q24" s="40" t="s">
        <v>137</v>
      </c>
      <c r="R24" s="40" t="s">
        <v>97</v>
      </c>
      <c r="S24" s="40" t="s">
        <v>152</v>
      </c>
      <c r="T24" s="40" t="s">
        <v>78</v>
      </c>
      <c r="U24" s="40" t="s">
        <v>90</v>
      </c>
      <c r="V24" s="40" t="s">
        <v>78</v>
      </c>
      <c r="W24" s="40" t="s">
        <v>78</v>
      </c>
      <c r="X24" s="40" t="s">
        <v>78</v>
      </c>
      <c r="Y24" s="40" t="s">
        <v>151</v>
      </c>
      <c r="Z24" s="40" t="s">
        <v>78</v>
      </c>
      <c r="AA24" s="40" t="s">
        <v>78</v>
      </c>
      <c r="AB24" s="40" t="s">
        <v>78</v>
      </c>
      <c r="AC24" s="40" t="s">
        <v>78</v>
      </c>
      <c r="AD24" s="40" t="s">
        <v>78</v>
      </c>
      <c r="AE24" s="40" t="s">
        <v>78</v>
      </c>
      <c r="AF24" s="40" t="s">
        <v>78</v>
      </c>
      <c r="AG24" s="40" t="s">
        <v>78</v>
      </c>
      <c r="AH24" s="40" t="s">
        <v>78</v>
      </c>
      <c r="AI24" s="40" t="s">
        <v>78</v>
      </c>
      <c r="AJ24" s="40" t="s">
        <v>78</v>
      </c>
      <c r="AK24" s="40" t="s">
        <v>78</v>
      </c>
      <c r="AL24" t="str">
        <f>VLOOKUP($Q24,武学奇术!$A:$ZZ,25,FALSE)</f>
        <v>单体奇术</v>
      </c>
      <c r="AM24" s="24">
        <f>VLOOKUP($Q24,武学奇术!$A:$ZZ,26,FALSE)</f>
        <v>0.236</v>
      </c>
      <c r="AN24" s="25">
        <f>VLOOKUP($Q24,武学奇术!$A:$ZZ,27,FALSE)*(1+IF(OR($AL24=$F$4,$AL24=$F$5),$B$22,0))</f>
        <v>46</v>
      </c>
      <c r="AO24" s="24">
        <f>VLOOKUP($Q24,武学奇术!$A:$ZZ,28,FALSE)</f>
        <v>0.354</v>
      </c>
      <c r="AP24" s="25">
        <f>VLOOKUP($Q24,武学奇术!$A:$ZZ,29,FALSE)*(1+IF(OR($AL24=$F$4,$AL24=$F$5),$B$22,0))</f>
        <v>0</v>
      </c>
      <c r="AQ24" s="24" cm="1">
        <f t="array" ref="AQ24">$G$3+IFERROR(VLOOKUP($AL24,$F$4:$G$7,2,FALSE),0)+VLOOKUP($Q24,武学奇术!$A:$ZZ,2,FALSE)+SUM(_xlfn.XLOOKUP($R24:$AK24,增益!$A:$A,增益!$B:$B,0))</f>
        <v>0.4215</v>
      </c>
      <c r="AR24" s="24" cm="1">
        <f t="array" ref="AR24">VLOOKUP($Q24,武学奇术!$A:$ZZ,5,FALSE)+SUM(_xlfn.XLOOKUP($R24:$AK24,增益!$A:$A,增益!$E:$E,0))</f>
        <v>0.075</v>
      </c>
      <c r="AS24" cm="1">
        <f t="array" ref="AS24">$D$10*(1+$AR24)+VLOOKUP($Q24,武学奇术!$A:$ZZ,3,FALSE)+SUM(_xlfn.XLOOKUP($R24:$AK24,增益!$A:$A,增益!$C:$C,0))-$I$2</f>
        <v>4063.1171</v>
      </c>
      <c r="AT24" cm="1">
        <f t="array" ref="AT24">$E$10*(1+$AR24)+VLOOKUP($Q24,武学奇术!$A:$ZZ,4,FALSE)+SUM(_xlfn.XLOOKUP($R24:$AK24,增益!$A:$A,增益!$D:$D,0))-$I$2</f>
        <v>4063.1171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0.3675</v>
      </c>
      <c r="AV24" s="32" cm="1">
        <f t="array" ref="AV24">$G$10+VLOOKUP($Q24,武学奇术!$A:$ZZ,7,FALSE)+SUM(_xlfn.XLOOKUP($R24:$AK24,增益!$A:$A,增益!$G:$G,0))</f>
        <v>0</v>
      </c>
      <c r="AW24" s="24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2" cm="1">
        <f t="array" ref="BA24">$G$11+VLOOKUP($Q24,武学奇术!$A:$ZZ,10,FALSE)+SUM(_xlfn.XLOOKUP($R24:$AK24,增益!$A:$A,增益!$J:$J,0))</f>
        <v>0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2" cm="1">
        <f t="array" ref="BE24">$G$12+VLOOKUP($Q24,武学奇术!$A:$ZZ,12,FALSE)+SUM(_xlfn.XLOOKUP($R24:$AK24,增益!$A:$A,增益!$L:$L,0))</f>
        <v>0</v>
      </c>
      <c r="BF24">
        <f t="shared" si="5"/>
        <v>605.472</v>
      </c>
      <c r="BG24">
        <f t="shared" si="6"/>
        <v>1579.612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2" cm="1">
        <f t="array" ref="BI24">$G$13+VLOOKUP($Q24,武学奇术!$A:$ZZ,14,FALSE)+SUM(_xlfn.XLOOKUP($R24:$AK24,增益!$A:$A,增益!$N:$N,0))</f>
        <v>0.15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2" cm="1">
        <f t="array" ref="BM24">$G$14+VLOOKUP($Q24,武学奇术!$A:$ZZ,16,FALSE)+SUM(_xlfn.XLOOKUP($R24:$AK24,增益!$A:$A,增益!$P:$P,0))</f>
        <v>0</v>
      </c>
      <c r="BN24" s="24">
        <f>MIN(IF(VLOOKUP($Q24,武学奇术!$A:$ZZ,23,FALSE)=1,100%,$B$8),100%)</f>
        <v>1</v>
      </c>
      <c r="BO24" s="24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0.9093</v>
      </c>
      <c r="BP24" s="24" cm="1">
        <f t="array" ref="BP24">1+$B$13+VLOOKUP($Q24,武学奇术!$A:$ZZ,18,FALSE)+SUM(_xlfn.XLOOKUP($R24:$AK24,增益!$A:$A,增益!$R:$R,0))</f>
        <v>1.81</v>
      </c>
      <c r="BQ24" s="24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4" cm="1">
        <f t="array" ref="BR24">1+$B$14+VLOOKUP($Q24,武学奇术!$A:$ZZ,20,FALSE)+SUM(_xlfn.XLOOKUP($R24:$AK24,增益!$A:$A,增益!$T:$T,0))</f>
        <v>1.35</v>
      </c>
      <c r="BS24" s="24">
        <f t="shared" si="9"/>
        <v>0.9071</v>
      </c>
      <c r="BT24" s="24">
        <f t="shared" si="10"/>
        <v>0</v>
      </c>
      <c r="BU24" s="24">
        <f>IF(VLOOKUP($Q24,武学奇术!$A:$ZZ,22,FALSE)=1,0,(1-$BN24))*(1-$BQ24)</f>
        <v>0</v>
      </c>
      <c r="BV24" s="24" cm="1">
        <f t="array" ref="BV24">SUM(_xlfn.XLOOKUP($R24:$AK24,增益!$A:$A,增益!$W:$W,0))+$I$5</f>
        <v>0.06</v>
      </c>
    </row>
    <row r="25" spans="1:74">
      <c r="K25" s="38">
        <f t="shared" si="0"/>
        <v>14643.600644518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弹道",$B$21,0))*(1+$BV25)</f>
        <v>14882.5643180902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弹道",$B$21,0))*(1+$BV25)</f>
        <v>12310.2965724261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弹道",$B$21,0))*(1+$BV25)</f>
        <v>8222.41122546421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弹道",$B$21,0))*(1+$BV25)</f>
        <v>7326.08424913133</v>
      </c>
      <c r="P25" s="39">
        <v>3</v>
      </c>
      <c r="Q25" s="40" t="s">
        <v>137</v>
      </c>
      <c r="R25" s="40" t="s">
        <v>97</v>
      </c>
      <c r="S25" s="40" t="s">
        <v>152</v>
      </c>
      <c r="T25" s="40" t="s">
        <v>78</v>
      </c>
      <c r="U25" s="40" t="s">
        <v>90</v>
      </c>
      <c r="V25" s="40" t="s">
        <v>78</v>
      </c>
      <c r="W25" s="40" t="s">
        <v>78</v>
      </c>
      <c r="X25" s="40" t="s">
        <v>78</v>
      </c>
      <c r="Y25" s="40" t="s">
        <v>151</v>
      </c>
      <c r="Z25" s="40" t="s">
        <v>78</v>
      </c>
      <c r="AA25" s="40" t="s">
        <v>78</v>
      </c>
      <c r="AB25" s="40" t="s">
        <v>78</v>
      </c>
      <c r="AC25" s="40" t="s">
        <v>78</v>
      </c>
      <c r="AD25" s="40" t="s">
        <v>78</v>
      </c>
      <c r="AE25" s="40" t="s">
        <v>78</v>
      </c>
      <c r="AF25" s="40" t="s">
        <v>78</v>
      </c>
      <c r="AG25" s="40" t="s">
        <v>78</v>
      </c>
      <c r="AH25" s="40" t="s">
        <v>78</v>
      </c>
      <c r="AI25" s="40" t="s">
        <v>78</v>
      </c>
      <c r="AJ25" s="40" t="s">
        <v>78</v>
      </c>
      <c r="AK25" s="40" t="s">
        <v>78</v>
      </c>
      <c r="AL25" t="str">
        <f>VLOOKUP($Q25,武学奇术!$A:$ZZ,25,FALSE)</f>
        <v>单体奇术</v>
      </c>
      <c r="AM25" s="24">
        <f>VLOOKUP($Q25,武学奇术!$A:$ZZ,26,FALSE)</f>
        <v>0.236</v>
      </c>
      <c r="AN25" s="25">
        <f>VLOOKUP($Q25,武学奇术!$A:$ZZ,27,FALSE)*(1+IF(OR($AL25=$F$4,$AL25=$F$5),$B$22,0))</f>
        <v>46</v>
      </c>
      <c r="AO25" s="24">
        <f>VLOOKUP($Q25,武学奇术!$A:$ZZ,28,FALSE)</f>
        <v>0.354</v>
      </c>
      <c r="AP25" s="25">
        <f>VLOOKUP($Q25,武学奇术!$A:$ZZ,29,FALSE)*(1+IF(OR($AL25=$F$4,$AL25=$F$5),$B$22,0))</f>
        <v>0</v>
      </c>
      <c r="AQ25" s="24" cm="1">
        <f t="array" ref="AQ25">$G$3+IFERROR(VLOOKUP($AL25,$F$4:$G$7,2,FALSE),0)+VLOOKUP($Q25,武学奇术!$A:$ZZ,2,FALSE)+SUM(_xlfn.XLOOKUP($R25:$AK25,增益!$A:$A,增益!$B:$B,0))</f>
        <v>0.4215</v>
      </c>
      <c r="AR25" s="24" cm="1">
        <f t="array" ref="AR25">VLOOKUP($Q25,武学奇术!$A:$ZZ,5,FALSE)+SUM(_xlfn.XLOOKUP($R25:$AK25,增益!$A:$A,增益!$E:$E,0))</f>
        <v>0.075</v>
      </c>
      <c r="AS25" cm="1">
        <f t="array" ref="AS25">$D$10*(1+$AR25)+VLOOKUP($Q25,武学奇术!$A:$ZZ,3,FALSE)+SUM(_xlfn.XLOOKUP($R25:$AK25,增益!$A:$A,增益!$C:$C,0))-$I$2</f>
        <v>4063.1171</v>
      </c>
      <c r="AT25" cm="1">
        <f t="array" ref="AT25">$E$10*(1+$AR25)+VLOOKUP($Q25,武学奇术!$A:$ZZ,4,FALSE)+SUM(_xlfn.XLOOKUP($R25:$AK25,增益!$A:$A,增益!$D:$D,0))-$I$2</f>
        <v>4063.1171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0.3675</v>
      </c>
      <c r="AV25" s="32" cm="1">
        <f t="array" ref="AV25">$G$10+VLOOKUP($Q25,武学奇术!$A:$ZZ,7,FALSE)+SUM(_xlfn.XLOOKUP($R25:$AK25,增益!$A:$A,增益!$G:$G,0))</f>
        <v>0</v>
      </c>
      <c r="AW25" s="24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2" cm="1">
        <f t="array" ref="BA25">$G$11+VLOOKUP($Q25,武学奇术!$A:$ZZ,10,FALSE)+SUM(_xlfn.XLOOKUP($R25:$AK25,增益!$A:$A,增益!$J:$J,0))</f>
        <v>0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2" cm="1">
        <f t="array" ref="BE25">$G$12+VLOOKUP($Q25,武学奇术!$A:$ZZ,12,FALSE)+SUM(_xlfn.XLOOKUP($R25:$AK25,增益!$A:$A,增益!$L:$L,0))</f>
        <v>0</v>
      </c>
      <c r="BF25">
        <f t="shared" si="5"/>
        <v>605.472</v>
      </c>
      <c r="BG25">
        <f t="shared" si="6"/>
        <v>1579.612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2" cm="1">
        <f t="array" ref="BI25">$G$13+VLOOKUP($Q25,武学奇术!$A:$ZZ,14,FALSE)+SUM(_xlfn.XLOOKUP($R25:$AK25,增益!$A:$A,增益!$N:$N,0))</f>
        <v>0.15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2" cm="1">
        <f t="array" ref="BM25">$G$14+VLOOKUP($Q25,武学奇术!$A:$ZZ,16,FALSE)+SUM(_xlfn.XLOOKUP($R25:$AK25,增益!$A:$A,增益!$P:$P,0))</f>
        <v>0</v>
      </c>
      <c r="BN25" s="24">
        <f>MIN(IF(VLOOKUP($Q25,武学奇术!$A:$ZZ,23,FALSE)=1,100%,$B$8),100%)</f>
        <v>1</v>
      </c>
      <c r="BO25" s="24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0.9093</v>
      </c>
      <c r="BP25" s="24" cm="1">
        <f t="array" ref="BP25">1+$B$13+VLOOKUP($Q25,武学奇术!$A:$ZZ,18,FALSE)+SUM(_xlfn.XLOOKUP($R25:$AK25,增益!$A:$A,增益!$R:$R,0))</f>
        <v>1.81</v>
      </c>
      <c r="BQ25" s="24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4" cm="1">
        <f t="array" ref="BR25">1+$B$14+VLOOKUP($Q25,武学奇术!$A:$ZZ,20,FALSE)+SUM(_xlfn.XLOOKUP($R25:$AK25,增益!$A:$A,增益!$T:$T,0))</f>
        <v>1.35</v>
      </c>
      <c r="BS25" s="24">
        <f t="shared" si="9"/>
        <v>0.9071</v>
      </c>
      <c r="BT25" s="24">
        <f t="shared" si="10"/>
        <v>0</v>
      </c>
      <c r="BU25" s="24">
        <f>IF(VLOOKUP($Q25,武学奇术!$A:$ZZ,22,FALSE)=1,0,(1-$BN25))*(1-$BQ25)</f>
        <v>0</v>
      </c>
      <c r="BV25" s="24" cm="1">
        <f t="array" ref="BV25">SUM(_xlfn.XLOOKUP($R25:$AK25,增益!$A:$A,增益!$W:$W,0))+$I$5</f>
        <v>0.06</v>
      </c>
    </row>
    <row r="26" spans="1:74">
      <c r="K26" s="38">
        <f t="shared" si="0"/>
        <v>33846.5757465147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弹道",$B$21,0))*(1+$BV26)</f>
        <v>33889.5413246112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弹道",$B$21,0))*(1+$BV26)</f>
        <v>33427.0485571573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弹道",$B$21,0))*(1+$BV26)</f>
        <v>22150.0270095498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弹道",$B$21,0))*(1+$BV26)</f>
        <v>19539.2773100942</v>
      </c>
      <c r="P26" s="39">
        <v>2</v>
      </c>
      <c r="Q26" s="40" t="s">
        <v>153</v>
      </c>
      <c r="R26" s="40" t="s">
        <v>93</v>
      </c>
      <c r="S26" s="40" t="s">
        <v>89</v>
      </c>
      <c r="T26" s="40" t="s">
        <v>78</v>
      </c>
      <c r="U26" s="40" t="s">
        <v>90</v>
      </c>
      <c r="V26" s="40" t="s">
        <v>78</v>
      </c>
      <c r="W26" s="40" t="s">
        <v>78</v>
      </c>
      <c r="X26" s="40" t="s">
        <v>78</v>
      </c>
      <c r="Y26" s="40" t="s">
        <v>78</v>
      </c>
      <c r="Z26" s="40" t="s">
        <v>78</v>
      </c>
      <c r="AA26" s="40" t="s">
        <v>79</v>
      </c>
      <c r="AB26" s="40" t="s">
        <v>78</v>
      </c>
      <c r="AC26" s="40" t="s">
        <v>78</v>
      </c>
      <c r="AD26" s="40" t="s">
        <v>78</v>
      </c>
      <c r="AE26" s="40" t="s">
        <v>78</v>
      </c>
      <c r="AF26" s="40" t="s">
        <v>78</v>
      </c>
      <c r="AG26" s="40" t="s">
        <v>78</v>
      </c>
      <c r="AH26" s="40" t="s">
        <v>78</v>
      </c>
      <c r="AI26" s="40" t="s">
        <v>78</v>
      </c>
      <c r="AJ26" s="40" t="s">
        <v>78</v>
      </c>
      <c r="AK26" s="40" t="s">
        <v>78</v>
      </c>
      <c r="AL26" t="str">
        <f>VLOOKUP($Q26,武学奇术!$A:$ZZ,25,FALSE)</f>
        <v>单体奇术</v>
      </c>
      <c r="AM26" s="24">
        <f>VLOOKUP($Q26,武学奇术!$A:$ZZ,26,FALSE)</f>
        <v>1.0239</v>
      </c>
      <c r="AN26" s="25">
        <f>VLOOKUP($Q26,武学奇术!$A:$ZZ,27,FALSE)*(1+IF(OR($AL26=$F$4,$AL26=$F$5),$B$22,0))</f>
        <v>196</v>
      </c>
      <c r="AO26" s="24">
        <f>VLOOKUP($Q26,武学奇术!$A:$ZZ,28,FALSE)</f>
        <v>1.53585</v>
      </c>
      <c r="AP26" s="25">
        <f>VLOOKUP($Q26,武学奇术!$A:$ZZ,29,FALSE)*(1+IF(OR($AL26=$F$4,$AL26=$F$5),$B$22,0))</f>
        <v>0</v>
      </c>
      <c r="AQ26" s="24" cm="1">
        <f t="array" ref="AQ26">$G$3+IFERROR(VLOOKUP($AL26,$F$4:$G$7,2,FALSE),0)+VLOOKUP($Q26,武学奇术!$A:$ZZ,2,FALSE)+SUM(_xlfn.XLOOKUP($R26:$AK26,增益!$A:$A,增益!$B:$B,0))</f>
        <v>0.4315</v>
      </c>
      <c r="AR26" s="24" cm="1">
        <f t="array" ref="AR26">VLOOKUP($Q26,武学奇术!$A:$ZZ,5,FALSE)+SUM(_xlfn.XLOOKUP($R26:$AK26,增益!$A:$A,增益!$E:$E,0))</f>
        <v>0.075</v>
      </c>
      <c r="AS26" cm="1">
        <f t="array" ref="AS26">$D$10*(1+$AR26)+VLOOKUP($Q26,武学奇术!$A:$ZZ,3,FALSE)+SUM(_xlfn.XLOOKUP($R26:$AK26,增益!$A:$A,增益!$C:$C,0))-$I$2</f>
        <v>4063.1171</v>
      </c>
      <c r="AT26" cm="1">
        <f t="array" ref="AT26">$E$10*(1+$AR26)+VLOOKUP($Q26,武学奇术!$A:$ZZ,4,FALSE)+SUM(_xlfn.XLOOKUP($R26:$AK26,增益!$A:$A,增益!$D:$D,0))-$I$2</f>
        <v>4063.1171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0.2325</v>
      </c>
      <c r="AV26" s="32" cm="1">
        <f t="array" ref="AV26">$G$10+VLOOKUP($Q26,武学奇术!$A:$ZZ,7,FALSE)+SUM(_xlfn.XLOOKUP($R26:$AK26,增益!$A:$A,增益!$G:$G,0))</f>
        <v>0</v>
      </c>
      <c r="AW26" s="24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2" cm="1">
        <f t="array" ref="BA26">$G$11+VLOOKUP($Q26,武学奇术!$A:$ZZ,10,FALSE)+SUM(_xlfn.XLOOKUP($R26:$AK26,增益!$A:$A,增益!$J:$J,0))</f>
        <v>0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2" cm="1">
        <f t="array" ref="BE26">$G$12+VLOOKUP($Q26,武学奇术!$A:$ZZ,12,FALSE)+SUM(_xlfn.XLOOKUP($R26:$AK26,增益!$A:$A,增益!$L:$L,0))</f>
        <v>0</v>
      </c>
      <c r="BF26">
        <f t="shared" si="5"/>
        <v>605.472</v>
      </c>
      <c r="BG26">
        <f t="shared" si="6"/>
        <v>1579.612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2" cm="1">
        <f t="array" ref="BI26">$G$13+VLOOKUP($Q26,武学奇术!$A:$ZZ,14,FALSE)+SUM(_xlfn.XLOOKUP($R26:$AK26,增益!$A:$A,增益!$N:$N,0))</f>
        <v>0.15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2" cm="1">
        <f t="array" ref="BM26">$G$14+VLOOKUP($Q26,武学奇术!$A:$ZZ,16,FALSE)+SUM(_xlfn.XLOOKUP($R26:$AK26,增益!$A:$A,增益!$P:$P,0))</f>
        <v>0</v>
      </c>
      <c r="BN26" s="24">
        <f>MIN(IF(VLOOKUP($Q26,武学奇术!$A:$ZZ,23,FALSE)=1,100%,$B$8),100%)</f>
        <v>1</v>
      </c>
      <c r="BO26" s="24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0.9093</v>
      </c>
      <c r="BP26" s="24" cm="1">
        <f t="array" ref="BP26">1+$B$13+VLOOKUP($Q26,武学奇术!$A:$ZZ,18,FALSE)+SUM(_xlfn.XLOOKUP($R26:$AK26,增益!$A:$A,增益!$R:$R,0))</f>
        <v>1.53</v>
      </c>
      <c r="BQ26" s="24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4" cm="1">
        <f t="array" ref="BR26">1+$B$14+VLOOKUP($Q26,武学奇术!$A:$ZZ,20,FALSE)+SUM(_xlfn.XLOOKUP($R26:$AK26,增益!$A:$A,增益!$T:$T,0))</f>
        <v>1.35</v>
      </c>
      <c r="BS26" s="24">
        <f t="shared" si="9"/>
        <v>0.9071</v>
      </c>
      <c r="BT26" s="24">
        <f t="shared" si="10"/>
        <v>0</v>
      </c>
      <c r="BU26" s="24">
        <f>IF(VLOOKUP($Q26,武学奇术!$A:$ZZ,22,FALSE)=1,0,(1-$BN26))*(1-$BQ26)</f>
        <v>0</v>
      </c>
      <c r="BV26" s="24" cm="1">
        <f t="array" ref="BV26">SUM(_xlfn.XLOOKUP($R26:$AK26,增益!$A:$A,增益!$W:$W,0))+$I$5</f>
        <v>0.06</v>
      </c>
    </row>
    <row r="27" spans="1:74">
      <c r="A27" t="s">
        <v>165</v>
      </c>
      <c r="B27">
        <v>-5</v>
      </c>
      <c r="K27" s="38">
        <f t="shared" si="0"/>
        <v>53187.9329305036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弹道",$B$21,0))*(1+$BV27)</f>
        <v>53255.450695937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弹道",$B$21,0))*(1+$BV27)</f>
        <v>52528.6717354051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弹道",$B$21,0))*(1+$BV27)</f>
        <v>34807.4841149915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弹道",$B$21,0))*(1+$BV27)</f>
        <v>30704.8410185719</v>
      </c>
      <c r="P27" s="39">
        <v>2</v>
      </c>
      <c r="Q27" s="40" t="s">
        <v>155</v>
      </c>
      <c r="R27" s="40" t="s">
        <v>93</v>
      </c>
      <c r="S27" s="40" t="s">
        <v>89</v>
      </c>
      <c r="T27" s="40" t="s">
        <v>78</v>
      </c>
      <c r="U27" s="40" t="s">
        <v>90</v>
      </c>
      <c r="V27" s="40" t="s">
        <v>78</v>
      </c>
      <c r="W27" s="40" t="s">
        <v>78</v>
      </c>
      <c r="X27" s="40" t="s">
        <v>78</v>
      </c>
      <c r="Y27" s="40" t="s">
        <v>78</v>
      </c>
      <c r="Z27" s="40" t="s">
        <v>78</v>
      </c>
      <c r="AA27" s="40" t="s">
        <v>79</v>
      </c>
      <c r="AB27" s="40" t="s">
        <v>78</v>
      </c>
      <c r="AC27" s="40" t="s">
        <v>78</v>
      </c>
      <c r="AD27" s="40" t="s">
        <v>78</v>
      </c>
      <c r="AE27" s="40" t="s">
        <v>78</v>
      </c>
      <c r="AF27" s="40" t="s">
        <v>78</v>
      </c>
      <c r="AG27" s="40" t="s">
        <v>78</v>
      </c>
      <c r="AH27" s="40" t="s">
        <v>78</v>
      </c>
      <c r="AI27" s="40" t="s">
        <v>78</v>
      </c>
      <c r="AJ27" s="40" t="s">
        <v>78</v>
      </c>
      <c r="AK27" s="40" t="s">
        <v>78</v>
      </c>
      <c r="AL27" t="str">
        <f>VLOOKUP($Q27,武学奇术!$A:$ZZ,25,FALSE)</f>
        <v>单体奇术</v>
      </c>
      <c r="AM27" s="24">
        <f>VLOOKUP($Q27,武学奇术!$A:$ZZ,26,FALSE)</f>
        <v>1.609</v>
      </c>
      <c r="AN27" s="25">
        <f>VLOOKUP($Q27,武学奇术!$A:$ZZ,27,FALSE)*(1+IF(OR($AL27=$F$4,$AL27=$F$5),$B$22,0))</f>
        <v>308</v>
      </c>
      <c r="AO27" s="24">
        <f>VLOOKUP($Q27,武学奇术!$A:$ZZ,28,FALSE)</f>
        <v>2.4135</v>
      </c>
      <c r="AP27" s="25">
        <f>VLOOKUP($Q27,武学奇术!$A:$ZZ,29,FALSE)*(1+IF(OR($AL27=$F$4,$AL27=$F$5),$B$22,0))</f>
        <v>0</v>
      </c>
      <c r="AQ27" s="24" cm="1">
        <f t="array" ref="AQ27">$G$3+IFERROR(VLOOKUP($AL27,$F$4:$G$7,2,FALSE),0)+VLOOKUP($Q27,武学奇术!$A:$ZZ,2,FALSE)+SUM(_xlfn.XLOOKUP($R27:$AK27,增益!$A:$A,增益!$B:$B,0))</f>
        <v>0.4315</v>
      </c>
      <c r="AR27" s="24" cm="1">
        <f t="array" ref="AR27">VLOOKUP($Q27,武学奇术!$A:$ZZ,5,FALSE)+SUM(_xlfn.XLOOKUP($R27:$AK27,增益!$A:$A,增益!$E:$E,0))</f>
        <v>0.075</v>
      </c>
      <c r="AS27" cm="1">
        <f t="array" ref="AS27">$D$10*(1+$AR27)+VLOOKUP($Q27,武学奇术!$A:$ZZ,3,FALSE)+SUM(_xlfn.XLOOKUP($R27:$AK27,增益!$A:$A,增益!$C:$C,0))-$I$2</f>
        <v>4063.1171</v>
      </c>
      <c r="AT27" cm="1">
        <f t="array" ref="AT27">$E$10*(1+$AR27)+VLOOKUP($Q27,武学奇术!$A:$ZZ,4,FALSE)+SUM(_xlfn.XLOOKUP($R27:$AK27,增益!$A:$A,增益!$D:$D,0))-$I$2</f>
        <v>4063.1171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0.2325</v>
      </c>
      <c r="AV27" s="32" cm="1">
        <f t="array" ref="AV27">$G$10+VLOOKUP($Q27,武学奇术!$A:$ZZ,7,FALSE)+SUM(_xlfn.XLOOKUP($R27:$AK27,增益!$A:$A,增益!$G:$G,0))</f>
        <v>0</v>
      </c>
      <c r="AW27" s="24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2" cm="1">
        <f t="array" ref="BA27">$G$11+VLOOKUP($Q27,武学奇术!$A:$ZZ,10,FALSE)+SUM(_xlfn.XLOOKUP($R27:$AK27,增益!$A:$A,增益!$J:$J,0))</f>
        <v>0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-0.3</v>
      </c>
      <c r="BE27" s="32" cm="1">
        <f t="array" ref="BE27">$G$12+VLOOKUP($Q27,武学奇术!$A:$ZZ,12,FALSE)+SUM(_xlfn.XLOOKUP($R27:$AK27,增益!$A:$A,增益!$L:$L,0))</f>
        <v>0</v>
      </c>
      <c r="BF27">
        <f t="shared" si="5"/>
        <v>605.472</v>
      </c>
      <c r="BG27">
        <f t="shared" si="6"/>
        <v>1579.612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</v>
      </c>
      <c r="BI27" s="32" cm="1">
        <f t="array" ref="BI27">$G$13+VLOOKUP($Q27,武学奇术!$A:$ZZ,14,FALSE)+SUM(_xlfn.XLOOKUP($R27:$AK27,增益!$A:$A,增益!$N:$N,0))</f>
        <v>0.15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2" cm="1">
        <f t="array" ref="BM27">$G$14+VLOOKUP($Q27,武学奇术!$A:$ZZ,16,FALSE)+SUM(_xlfn.XLOOKUP($R27:$AK27,增益!$A:$A,增益!$P:$P,0))</f>
        <v>0</v>
      </c>
      <c r="BN27" s="24">
        <f>MIN(IF(VLOOKUP($Q27,武学奇术!$A:$ZZ,23,FALSE)=1,100%,$B$8),100%)</f>
        <v>1</v>
      </c>
      <c r="BO27" s="24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0.9093</v>
      </c>
      <c r="BP27" s="24" cm="1">
        <f t="array" ref="BP27">1+$B$13+VLOOKUP($Q27,武学奇术!$A:$ZZ,18,FALSE)+SUM(_xlfn.XLOOKUP($R27:$AK27,增益!$A:$A,增益!$R:$R,0))</f>
        <v>1.53</v>
      </c>
      <c r="BQ27" s="24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4" cm="1">
        <f t="array" ref="BR27">1+$B$14+VLOOKUP($Q27,武学奇术!$A:$ZZ,20,FALSE)+SUM(_xlfn.XLOOKUP($R27:$AK27,增益!$A:$A,增益!$T:$T,0))</f>
        <v>1.35</v>
      </c>
      <c r="BS27" s="24">
        <f t="shared" si="9"/>
        <v>0.9071</v>
      </c>
      <c r="BT27" s="24">
        <f t="shared" si="10"/>
        <v>0</v>
      </c>
      <c r="BU27" s="24">
        <f>IF(VLOOKUP($Q27,武学奇术!$A:$ZZ,22,FALSE)=1,0,(1-$BN27))*(1-$BQ27)</f>
        <v>0</v>
      </c>
      <c r="BV27" s="24" cm="1">
        <f t="array" ref="BV27">SUM(_xlfn.XLOOKUP($R27:$AK27,增益!$A:$A,增益!$W:$W,0))+$I$5</f>
        <v>0.06</v>
      </c>
    </row>
    <row r="28" spans="1:74">
      <c r="A28" t="s">
        <v>154</v>
      </c>
      <c r="B28">
        <v>2.3</v>
      </c>
      <c r="K28" s="38">
        <f t="shared" si="0"/>
        <v>34284.4727854354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弹道",$B$21,0))*(1+$BV28)</f>
        <v>34329.9646299393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弹道",$B$21,0))*(1+$BV28)</f>
        <v>33840.2784673577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弹道",$B$21,0))*(1+$BV28)</f>
        <v>22437.8853790453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弹道",$B$21,0))*(1+$BV28)</f>
        <v>19808.897819307</v>
      </c>
      <c r="P28" s="39">
        <v>2</v>
      </c>
      <c r="Q28" s="40" t="s">
        <v>153</v>
      </c>
      <c r="R28" s="40" t="s">
        <v>97</v>
      </c>
      <c r="S28" s="40" t="s">
        <v>89</v>
      </c>
      <c r="T28" s="40" t="s">
        <v>78</v>
      </c>
      <c r="U28" s="40" t="s">
        <v>90</v>
      </c>
      <c r="V28" s="40" t="s">
        <v>78</v>
      </c>
      <c r="W28" s="40" t="s">
        <v>78</v>
      </c>
      <c r="X28" s="40" t="s">
        <v>78</v>
      </c>
      <c r="Y28" s="40" t="s">
        <v>78</v>
      </c>
      <c r="Z28" s="40" t="s">
        <v>78</v>
      </c>
      <c r="AA28" s="40" t="s">
        <v>79</v>
      </c>
      <c r="AB28" s="40" t="s">
        <v>78</v>
      </c>
      <c r="AC28" s="40" t="s">
        <v>78</v>
      </c>
      <c r="AD28" s="40" t="s">
        <v>78</v>
      </c>
      <c r="AE28" s="40" t="s">
        <v>78</v>
      </c>
      <c r="AF28" s="40" t="s">
        <v>78</v>
      </c>
      <c r="AG28" s="40" t="s">
        <v>78</v>
      </c>
      <c r="AH28" s="40" t="s">
        <v>78</v>
      </c>
      <c r="AI28" s="40" t="s">
        <v>78</v>
      </c>
      <c r="AJ28" s="40" t="s">
        <v>78</v>
      </c>
      <c r="AK28" s="40" t="s">
        <v>78</v>
      </c>
      <c r="AL28" t="str">
        <f>VLOOKUP($Q28,武学奇术!$A:$ZZ,25,FALSE)</f>
        <v>单体奇术</v>
      </c>
      <c r="AM28" s="24">
        <f>VLOOKUP($Q28,武学奇术!$A:$ZZ,26,FALSE)</f>
        <v>1.0239</v>
      </c>
      <c r="AN28" s="25">
        <f>VLOOKUP($Q28,武学奇术!$A:$ZZ,27,FALSE)*(1+IF(OR($AL28=$F$4,$AL28=$F$5),$B$22,0))</f>
        <v>196</v>
      </c>
      <c r="AO28" s="24">
        <f>VLOOKUP($Q28,武学奇术!$A:$ZZ,28,FALSE)</f>
        <v>1.53585</v>
      </c>
      <c r="AP28" s="25">
        <f>VLOOKUP($Q28,武学奇术!$A:$ZZ,29,FALSE)*(1+IF(OR($AL28=$F$4,$AL28=$F$5),$B$22,0))</f>
        <v>0</v>
      </c>
      <c r="AQ28" s="24" cm="1">
        <f t="array" ref="AQ28">$G$3+IFERROR(VLOOKUP($AL28,$F$4:$G$7,2,FALSE),0)+VLOOKUP($Q28,武学奇术!$A:$ZZ,2,FALSE)+SUM(_xlfn.XLOOKUP($R28:$AK28,增益!$A:$A,增益!$B:$B,0))</f>
        <v>0.4415</v>
      </c>
      <c r="AR28" s="24" cm="1">
        <f t="array" ref="AR28">VLOOKUP($Q28,武学奇术!$A:$ZZ,5,FALSE)+SUM(_xlfn.XLOOKUP($R28:$AK28,增益!$A:$A,增益!$E:$E,0))</f>
        <v>0.075</v>
      </c>
      <c r="AS28" cm="1">
        <f t="array" ref="AS28">$D$10*(1+$AR28)+VLOOKUP($Q28,武学奇术!$A:$ZZ,3,FALSE)+SUM(_xlfn.XLOOKUP($R28:$AK28,增益!$A:$A,增益!$C:$C,0))-$I$2</f>
        <v>4063.1171</v>
      </c>
      <c r="AT28" cm="1">
        <f t="array" ref="AT28">$E$10*(1+$AR28)+VLOOKUP($Q28,武学奇术!$A:$ZZ,4,FALSE)+SUM(_xlfn.XLOOKUP($R28:$AK28,增益!$A:$A,增益!$D:$D,0))-$I$2</f>
        <v>4063.1171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0.2425</v>
      </c>
      <c r="AV28" s="32" cm="1">
        <f t="array" ref="AV28">$G$10+VLOOKUP($Q28,武学奇术!$A:$ZZ,7,FALSE)+SUM(_xlfn.XLOOKUP($R28:$AK28,增益!$A:$A,增益!$G:$G,0))</f>
        <v>0</v>
      </c>
      <c r="AW28" s="24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2" cm="1">
        <f t="array" ref="BA28">$G$11+VLOOKUP($Q28,武学奇术!$A:$ZZ,10,FALSE)+SUM(_xlfn.XLOOKUP($R28:$AK28,增益!$A:$A,增益!$J:$J,0))</f>
        <v>0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-0.3</v>
      </c>
      <c r="BE28" s="32" cm="1">
        <f t="array" ref="BE28">$G$12+VLOOKUP($Q28,武学奇术!$A:$ZZ,12,FALSE)+SUM(_xlfn.XLOOKUP($R28:$AK28,增益!$A:$A,增益!$L:$L,0))</f>
        <v>0</v>
      </c>
      <c r="BF28">
        <f t="shared" si="5"/>
        <v>605.472</v>
      </c>
      <c r="BG28">
        <f t="shared" si="6"/>
        <v>1579.612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</v>
      </c>
      <c r="BI28" s="32" cm="1">
        <f t="array" ref="BI28">$G$13+VLOOKUP($Q28,武学奇术!$A:$ZZ,14,FALSE)+SUM(_xlfn.XLOOKUP($R28:$AK28,增益!$A:$A,增益!$N:$N,0))</f>
        <v>0.15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2" cm="1">
        <f t="array" ref="BM28">$G$14+VLOOKUP($Q28,武学奇术!$A:$ZZ,16,FALSE)+SUM(_xlfn.XLOOKUP($R28:$AK28,增益!$A:$A,增益!$P:$P,0))</f>
        <v>0</v>
      </c>
      <c r="BN28" s="24">
        <f>MIN(IF(VLOOKUP($Q28,武学奇术!$A:$ZZ,23,FALSE)=1,100%,$B$8),100%)</f>
        <v>1</v>
      </c>
      <c r="BO28" s="24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0.9093</v>
      </c>
      <c r="BP28" s="24" cm="1">
        <f t="array" ref="BP28">1+$B$13+VLOOKUP($Q28,武学奇术!$A:$ZZ,18,FALSE)+SUM(_xlfn.XLOOKUP($R28:$AK28,增益!$A:$A,增益!$R:$R,0))</f>
        <v>1.53</v>
      </c>
      <c r="BQ28" s="24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4" cm="1">
        <f t="array" ref="BR28">1+$B$14+VLOOKUP($Q28,武学奇术!$A:$ZZ,20,FALSE)+SUM(_xlfn.XLOOKUP($R28:$AK28,增益!$A:$A,增益!$T:$T,0))</f>
        <v>1.35</v>
      </c>
      <c r="BS28" s="24">
        <f t="shared" si="9"/>
        <v>0.9071</v>
      </c>
      <c r="BT28" s="24">
        <f t="shared" si="10"/>
        <v>0</v>
      </c>
      <c r="BU28" s="24">
        <f>IF(VLOOKUP($Q28,武学奇术!$A:$ZZ,22,FALSE)=1,0,(1-$BN28))*(1-$BQ28)</f>
        <v>0</v>
      </c>
      <c r="BV28" s="24" cm="1">
        <f t="array" ref="BV28">SUM(_xlfn.XLOOKUP($R28:$AK28,增益!$A:$A,增益!$W:$W,0))+$I$5</f>
        <v>0.06</v>
      </c>
    </row>
    <row r="29" spans="1:74">
      <c r="A29" s="4" t="s">
        <v>157</v>
      </c>
      <c r="B29" s="4">
        <v>0.3</v>
      </c>
      <c r="K29" s="38">
        <f t="shared" si="0"/>
        <v>53876.0627238652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弹道",$B$21,0))*(1+$BV29)</f>
        <v>53947.550369165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弹道",$B$21,0))*(1+$BV29)</f>
        <v>53178.0385790703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弹道",$B$21,0))*(1+$BV29)</f>
        <v>35259.8368425915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弹道",$B$21,0))*(1+$BV29)</f>
        <v>31128.5339969827</v>
      </c>
      <c r="P29" s="39">
        <v>2</v>
      </c>
      <c r="Q29" s="40" t="s">
        <v>155</v>
      </c>
      <c r="R29" s="40" t="s">
        <v>97</v>
      </c>
      <c r="S29" s="40" t="s">
        <v>89</v>
      </c>
      <c r="T29" s="40" t="s">
        <v>78</v>
      </c>
      <c r="U29" s="40" t="s">
        <v>90</v>
      </c>
      <c r="V29" s="40" t="s">
        <v>78</v>
      </c>
      <c r="W29" s="40" t="s">
        <v>78</v>
      </c>
      <c r="X29" s="40" t="s">
        <v>78</v>
      </c>
      <c r="Y29" s="40" t="s">
        <v>78</v>
      </c>
      <c r="Z29" s="40" t="s">
        <v>78</v>
      </c>
      <c r="AA29" s="40" t="s">
        <v>79</v>
      </c>
      <c r="AB29" s="40" t="s">
        <v>78</v>
      </c>
      <c r="AC29" s="40" t="s">
        <v>78</v>
      </c>
      <c r="AD29" s="40" t="s">
        <v>78</v>
      </c>
      <c r="AE29" s="40" t="s">
        <v>78</v>
      </c>
      <c r="AF29" s="40" t="s">
        <v>78</v>
      </c>
      <c r="AG29" s="40" t="s">
        <v>78</v>
      </c>
      <c r="AH29" s="40" t="s">
        <v>78</v>
      </c>
      <c r="AI29" s="40" t="s">
        <v>78</v>
      </c>
      <c r="AJ29" s="40" t="s">
        <v>78</v>
      </c>
      <c r="AK29" s="40" t="s">
        <v>78</v>
      </c>
      <c r="AL29" t="str">
        <f>VLOOKUP($Q29,武学奇术!$A:$ZZ,25,FALSE)</f>
        <v>单体奇术</v>
      </c>
      <c r="AM29" s="24">
        <f>VLOOKUP($Q29,武学奇术!$A:$ZZ,26,FALSE)</f>
        <v>1.609</v>
      </c>
      <c r="AN29" s="25">
        <f>VLOOKUP($Q29,武学奇术!$A:$ZZ,27,FALSE)*(1+IF(OR($AL29=$F$4,$AL29=$F$5),$B$22,0))</f>
        <v>308</v>
      </c>
      <c r="AO29" s="24">
        <f>VLOOKUP($Q29,武学奇术!$A:$ZZ,28,FALSE)</f>
        <v>2.4135</v>
      </c>
      <c r="AP29" s="25">
        <f>VLOOKUP($Q29,武学奇术!$A:$ZZ,29,FALSE)*(1+IF(OR($AL29=$F$4,$AL29=$F$5),$B$22,0))</f>
        <v>0</v>
      </c>
      <c r="AQ29" s="24" cm="1">
        <f t="array" ref="AQ29">$G$3+IFERROR(VLOOKUP($AL29,$F$4:$G$7,2,FALSE),0)+VLOOKUP($Q29,武学奇术!$A:$ZZ,2,FALSE)+SUM(_xlfn.XLOOKUP($R29:$AK29,增益!$A:$A,增益!$B:$B,0))</f>
        <v>0.4415</v>
      </c>
      <c r="AR29" s="24" cm="1">
        <f t="array" ref="AR29">VLOOKUP($Q29,武学奇术!$A:$ZZ,5,FALSE)+SUM(_xlfn.XLOOKUP($R29:$AK29,增益!$A:$A,增益!$E:$E,0))</f>
        <v>0.075</v>
      </c>
      <c r="AS29" cm="1">
        <f t="array" ref="AS29">$D$10*(1+$AR29)+VLOOKUP($Q29,武学奇术!$A:$ZZ,3,FALSE)+SUM(_xlfn.XLOOKUP($R29:$AK29,增益!$A:$A,增益!$C:$C,0))-$I$2</f>
        <v>4063.1171</v>
      </c>
      <c r="AT29" cm="1">
        <f t="array" ref="AT29">$E$10*(1+$AR29)+VLOOKUP($Q29,武学奇术!$A:$ZZ,4,FALSE)+SUM(_xlfn.XLOOKUP($R29:$AK29,增益!$A:$A,增益!$D:$D,0))-$I$2</f>
        <v>4063.1171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0.2425</v>
      </c>
      <c r="AV29" s="32" cm="1">
        <f t="array" ref="AV29">$G$10+VLOOKUP($Q29,武学奇术!$A:$ZZ,7,FALSE)+SUM(_xlfn.XLOOKUP($R29:$AK29,增益!$A:$A,增益!$G:$G,0))</f>
        <v>0</v>
      </c>
      <c r="AW29" s="24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2" cm="1">
        <f t="array" ref="BA29">$G$11+VLOOKUP($Q29,武学奇术!$A:$ZZ,10,FALSE)+SUM(_xlfn.XLOOKUP($R29:$AK29,增益!$A:$A,增益!$J:$J,0))</f>
        <v>0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-0.3</v>
      </c>
      <c r="BE29" s="32" cm="1">
        <f t="array" ref="BE29">$G$12+VLOOKUP($Q29,武学奇术!$A:$ZZ,12,FALSE)+SUM(_xlfn.XLOOKUP($R29:$AK29,增益!$A:$A,增益!$L:$L,0))</f>
        <v>0</v>
      </c>
      <c r="BF29">
        <f t="shared" si="5"/>
        <v>605.472</v>
      </c>
      <c r="BG29">
        <f t="shared" si="6"/>
        <v>1579.612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</v>
      </c>
      <c r="BI29" s="32" cm="1">
        <f t="array" ref="BI29">$G$13+VLOOKUP($Q29,武学奇术!$A:$ZZ,14,FALSE)+SUM(_xlfn.XLOOKUP($R29:$AK29,增益!$A:$A,增益!$N:$N,0))</f>
        <v>0.15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2" cm="1">
        <f t="array" ref="BM29">$G$14+VLOOKUP($Q29,武学奇术!$A:$ZZ,16,FALSE)+SUM(_xlfn.XLOOKUP($R29:$AK29,增益!$A:$A,增益!$P:$P,0))</f>
        <v>0</v>
      </c>
      <c r="BN29" s="24">
        <f>MIN(IF(VLOOKUP($Q29,武学奇术!$A:$ZZ,23,FALSE)=1,100%,$B$8),100%)</f>
        <v>1</v>
      </c>
      <c r="BO29" s="24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0.9093</v>
      </c>
      <c r="BP29" s="24" cm="1">
        <f t="array" ref="BP29">1+$B$13+VLOOKUP($Q29,武学奇术!$A:$ZZ,18,FALSE)+SUM(_xlfn.XLOOKUP($R29:$AK29,增益!$A:$A,增益!$R:$R,0))</f>
        <v>1.53</v>
      </c>
      <c r="BQ29" s="24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4" cm="1">
        <f t="array" ref="BR29">1+$B$14+VLOOKUP($Q29,武学奇术!$A:$ZZ,20,FALSE)+SUM(_xlfn.XLOOKUP($R29:$AK29,增益!$A:$A,增益!$T:$T,0))</f>
        <v>1.35</v>
      </c>
      <c r="BS29" s="24">
        <f t="shared" si="9"/>
        <v>0.9071</v>
      </c>
      <c r="BT29" s="24">
        <f t="shared" si="10"/>
        <v>0</v>
      </c>
      <c r="BU29" s="24">
        <f>IF(VLOOKUP($Q29,武学奇术!$A:$ZZ,22,FALSE)=1,0,(1-$BN29))*(1-$BQ29)</f>
        <v>0</v>
      </c>
      <c r="BV29" s="24" cm="1">
        <f t="array" ref="BV29">SUM(_xlfn.XLOOKUP($R29:$AK29,增益!$A:$A,增益!$W:$W,0))+$I$5</f>
        <v>0.06</v>
      </c>
    </row>
    <row r="30" spans="1:74">
      <c r="A30" s="4" t="s">
        <v>101</v>
      </c>
      <c r="B30" s="4">
        <v>0.95</v>
      </c>
      <c r="K30" s="38">
        <f t="shared" si="0"/>
        <v>29161.3718692178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弹道",$B$21,0))*(1+$BV30)</f>
        <v>29241.2853952054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弹道",$B$21,0))*(1+$BV30)</f>
        <v>28381.0752123466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弹道",$B$21,0))*(1+$BV30)</f>
        <v>18987.8476592243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弹道",$B$21,0))*(1+$BV30)</f>
        <v>16952.6766426362</v>
      </c>
      <c r="P30" s="39">
        <v>1</v>
      </c>
      <c r="Q30" s="40" t="s">
        <v>108</v>
      </c>
      <c r="R30" s="40" t="s">
        <v>97</v>
      </c>
      <c r="S30" s="40" t="s">
        <v>94</v>
      </c>
      <c r="T30" s="40" t="s">
        <v>78</v>
      </c>
      <c r="U30" s="40" t="s">
        <v>90</v>
      </c>
      <c r="V30" s="40" t="s">
        <v>78</v>
      </c>
      <c r="W30" s="40" t="s">
        <v>78</v>
      </c>
      <c r="X30" s="40" t="s">
        <v>78</v>
      </c>
      <c r="Y30" s="40" t="s">
        <v>78</v>
      </c>
      <c r="Z30" s="40" t="s">
        <v>78</v>
      </c>
      <c r="AA30" s="40" t="s">
        <v>79</v>
      </c>
      <c r="AB30" s="40" t="s">
        <v>78</v>
      </c>
      <c r="AC30" s="40" t="s">
        <v>78</v>
      </c>
      <c r="AD30" s="40" t="s">
        <v>78</v>
      </c>
      <c r="AE30" s="40" t="s">
        <v>78</v>
      </c>
      <c r="AF30" s="40" t="s">
        <v>78</v>
      </c>
      <c r="AG30" s="40" t="s">
        <v>78</v>
      </c>
      <c r="AH30" s="40" t="s">
        <v>78</v>
      </c>
      <c r="AI30" s="40" t="s">
        <v>78</v>
      </c>
      <c r="AJ30" s="40" t="s">
        <v>78</v>
      </c>
      <c r="AK30" s="40" t="s">
        <v>78</v>
      </c>
      <c r="AL30" t="str">
        <f>VLOOKUP($Q30,武学奇术!$A:$ZZ,25,FALSE)</f>
        <v>伞</v>
      </c>
      <c r="AM30" s="24">
        <f>VLOOKUP($Q30,武学奇术!$A:$ZZ,26,FALSE)</f>
        <v>1.7001</v>
      </c>
      <c r="AN30" s="25">
        <f>VLOOKUP($Q30,武学奇术!$A:$ZZ,27,FALSE)*(1+IF(OR($AL30=$F$4,$AL30=$F$5),$B$22,0))</f>
        <v>706.5</v>
      </c>
      <c r="AO30" s="24">
        <f>VLOOKUP($Q30,武学奇术!$A:$ZZ,28,FALSE)</f>
        <v>2.5502</v>
      </c>
      <c r="AP30" s="25">
        <f>VLOOKUP($Q30,武学奇术!$A:$ZZ,29,FALSE)*(1+IF(OR($AL30=$F$4,$AL30=$F$5),$B$22,0))</f>
        <v>384</v>
      </c>
      <c r="AQ30" s="24" cm="1">
        <f t="array" ref="AQ30">$G$3+IFERROR(VLOOKUP($AL30,$F$4:$G$7,2,FALSE),0)+VLOOKUP($Q30,武学奇术!$A:$ZZ,2,FALSE)+SUM(_xlfn.XLOOKUP($R30:$AK30,增益!$A:$A,增益!$B:$B,0))</f>
        <v>0.3441</v>
      </c>
      <c r="AR30" s="24" cm="1">
        <f t="array" ref="AR30">VLOOKUP($Q30,武学奇术!$A:$ZZ,5,FALSE)+SUM(_xlfn.XLOOKUP($R30:$AK30,增益!$A:$A,增益!$E:$E,0))</f>
        <v>0.075</v>
      </c>
      <c r="AS30" cm="1">
        <f t="array" ref="AS30">$D$10*(1+$AR30)+VLOOKUP($Q30,武学奇术!$A:$ZZ,3,FALSE)+SUM(_xlfn.XLOOKUP($R30:$AK30,增益!$A:$A,增益!$C:$C,0))-$I$2</f>
        <v>4063.1171</v>
      </c>
      <c r="AT30" cm="1">
        <f t="array" ref="AT30">$E$10*(1+$AR30)+VLOOKUP($Q30,武学奇术!$A:$ZZ,4,FALSE)+SUM(_xlfn.XLOOKUP($R30:$AK30,增益!$A:$A,增益!$D:$D,0))-$I$2</f>
        <v>4063.1171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0.2425</v>
      </c>
      <c r="AV30" s="32" cm="1">
        <f t="array" ref="AV30">$G$10+VLOOKUP($Q30,武学奇术!$A:$ZZ,7,FALSE)+SUM(_xlfn.XLOOKUP($R30:$AK30,增益!$A:$A,增益!$G:$G,0))</f>
        <v>0</v>
      </c>
      <c r="AW30" s="24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2" cm="1">
        <f t="array" ref="BA30">$G$11+VLOOKUP($Q30,武学奇术!$A:$ZZ,10,FALSE)+SUM(_xlfn.XLOOKUP($R30:$AK30,增益!$A:$A,增益!$J:$J,0))</f>
        <v>0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-0.3</v>
      </c>
      <c r="BE30" s="32" cm="1">
        <f t="array" ref="BE30">$G$12+VLOOKUP($Q30,武学奇术!$A:$ZZ,12,FALSE)+SUM(_xlfn.XLOOKUP($R30:$AK30,增益!$A:$A,增益!$L:$L,0))</f>
        <v>0</v>
      </c>
      <c r="BF30">
        <f t="shared" si="5"/>
        <v>605.472</v>
      </c>
      <c r="BG30">
        <f t="shared" si="6"/>
        <v>1579.612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</v>
      </c>
      <c r="BI30" s="32" cm="1">
        <f t="array" ref="BI30">$G$13+VLOOKUP($Q30,武学奇术!$A:$ZZ,14,FALSE)+SUM(_xlfn.XLOOKUP($R30:$AK30,增益!$A:$A,增益!$N:$N,0))</f>
        <v>0.15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2" cm="1">
        <f t="array" ref="BM30">$G$14+VLOOKUP($Q30,武学奇术!$A:$ZZ,16,FALSE)+SUM(_xlfn.XLOOKUP($R30:$AK30,增益!$A:$A,增益!$P:$P,0))</f>
        <v>0</v>
      </c>
      <c r="BN30" s="24">
        <f>MIN(IF(VLOOKUP($Q30,武学奇术!$A:$ZZ,23,FALSE)=1,100%,$B$8),100%)</f>
        <v>1</v>
      </c>
      <c r="BO30" s="24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0.9093</v>
      </c>
      <c r="BP30" s="24" cm="1">
        <f t="array" ref="BP30">1+$B$13+VLOOKUP($Q30,武学奇术!$A:$ZZ,18,FALSE)+SUM(_xlfn.XLOOKUP($R30:$AK30,增益!$A:$A,增益!$R:$R,0))</f>
        <v>1.54</v>
      </c>
      <c r="BQ30" s="24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4" cm="1">
        <f t="array" ref="BR30">1+$B$14+VLOOKUP($Q30,武学奇术!$A:$ZZ,20,FALSE)+SUM(_xlfn.XLOOKUP($R30:$AK30,增益!$A:$A,增益!$T:$T,0))</f>
        <v>1.35</v>
      </c>
      <c r="BS30" s="24">
        <f t="shared" si="9"/>
        <v>0.9071</v>
      </c>
      <c r="BT30" s="24">
        <f t="shared" si="10"/>
        <v>0</v>
      </c>
      <c r="BU30" s="24">
        <f>IF(VLOOKUP($Q30,武学奇术!$A:$ZZ,22,FALSE)=1,0,(1-$BN30))*(1-$BQ30)</f>
        <v>0</v>
      </c>
      <c r="BV30" s="24" cm="1">
        <f t="array" ref="BV30">SUM(_xlfn.XLOOKUP($R30:$AK30,增益!$A:$A,增益!$W:$W,0))+$I$5</f>
        <v>0.06</v>
      </c>
    </row>
    <row r="31" spans="1:74">
      <c r="A31" s="4" t="s">
        <v>101</v>
      </c>
      <c r="B31" s="4">
        <v>1.25</v>
      </c>
      <c r="K31" s="38">
        <f t="shared" si="0"/>
        <v>73228.7643884421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弹道",$B$21,0))*(1+$BV31)</f>
        <v>74716.9414325722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弹道",$B$21,0))*(1+$BV31)</f>
        <v>58697.8128628183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弹道",$B$21,0))*(1+$BV31)</f>
        <v>39324.7060171433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弹道",$B$21,0))*(1+$BV31)</f>
        <v>35169.5506544212</v>
      </c>
      <c r="P31" s="39">
        <v>1</v>
      </c>
      <c r="Q31" s="40" t="s">
        <v>101</v>
      </c>
      <c r="R31" s="40" t="s">
        <v>97</v>
      </c>
      <c r="S31" s="40" t="s">
        <v>94</v>
      </c>
      <c r="T31" s="40" t="s">
        <v>106</v>
      </c>
      <c r="U31" s="40" t="s">
        <v>90</v>
      </c>
      <c r="V31" s="40" t="s">
        <v>102</v>
      </c>
      <c r="W31" s="40" t="s">
        <v>78</v>
      </c>
      <c r="X31" s="40" t="s">
        <v>78</v>
      </c>
      <c r="Y31" s="40" t="s">
        <v>78</v>
      </c>
      <c r="Z31" s="40" t="s">
        <v>78</v>
      </c>
      <c r="AA31" s="40" t="s">
        <v>79</v>
      </c>
      <c r="AB31" s="40" t="s">
        <v>78</v>
      </c>
      <c r="AC31" s="40" t="s">
        <v>78</v>
      </c>
      <c r="AD31" s="40" t="s">
        <v>78</v>
      </c>
      <c r="AE31" s="40" t="s">
        <v>78</v>
      </c>
      <c r="AF31" s="40" t="s">
        <v>78</v>
      </c>
      <c r="AG31" s="40" t="s">
        <v>78</v>
      </c>
      <c r="AH31" s="40" t="s">
        <v>78</v>
      </c>
      <c r="AI31" s="40" t="s">
        <v>78</v>
      </c>
      <c r="AJ31" s="40" t="s">
        <v>78</v>
      </c>
      <c r="AK31" s="40" t="s">
        <v>78</v>
      </c>
      <c r="AL31" t="str">
        <f>VLOOKUP($Q31,武学奇术!$A:$ZZ,25,FALSE)</f>
        <v>伞</v>
      </c>
      <c r="AM31" s="24">
        <f>VLOOKUP($Q31,武学奇术!$A:$ZZ,26,FALSE)</f>
        <v>2.3397</v>
      </c>
      <c r="AN31" s="25">
        <f>VLOOKUP($Q31,武学奇术!$A:$ZZ,27,FALSE)*(1+IF(OR($AL31=$F$4,$AL31=$F$5),$B$22,0))</f>
        <v>972</v>
      </c>
      <c r="AO31" s="24">
        <f>VLOOKUP($Q31,武学奇术!$A:$ZZ,28,FALSE)</f>
        <v>3.5095</v>
      </c>
      <c r="AP31" s="25">
        <f>VLOOKUP($Q31,武学奇术!$A:$ZZ,29,FALSE)*(1+IF(OR($AL31=$F$4,$AL31=$F$5),$B$22,0))</f>
        <v>529.5</v>
      </c>
      <c r="AQ31" s="24" cm="1">
        <f t="array" ref="AQ31">$G$3+IFERROR(VLOOKUP($AL31,$F$4:$G$7,2,FALSE),0)+VLOOKUP($Q31,武学奇术!$A:$ZZ,2,FALSE)+SUM(_xlfn.XLOOKUP($R31:$AK31,增益!$A:$A,增益!$B:$B,0))</f>
        <v>0.9941</v>
      </c>
      <c r="AR31" s="24" cm="1">
        <f t="array" ref="AR31">VLOOKUP($Q31,武学奇术!$A:$ZZ,5,FALSE)+SUM(_xlfn.XLOOKUP($R31:$AK31,增益!$A:$A,增益!$E:$E,0))</f>
        <v>0.075</v>
      </c>
      <c r="AS31" cm="1">
        <f t="array" ref="AS31">$D$10*(1+$AR31)+VLOOKUP($Q31,武学奇术!$A:$ZZ,3,FALSE)+SUM(_xlfn.XLOOKUP($R31:$AK31,增益!$A:$A,增益!$C:$C,0))-$I$2</f>
        <v>4063.1171</v>
      </c>
      <c r="AT31" cm="1">
        <f t="array" ref="AT31">$E$10*(1+$AR31)+VLOOKUP($Q31,武学奇术!$A:$ZZ,4,FALSE)+SUM(_xlfn.XLOOKUP($R31:$AK31,增益!$A:$A,增益!$D:$D,0))-$I$2</f>
        <v>4063.1171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0.2675</v>
      </c>
      <c r="AV31" s="32" cm="1">
        <f t="array" ref="AV31">$G$10+VLOOKUP($Q31,武学奇术!$A:$ZZ,7,FALSE)+SUM(_xlfn.XLOOKUP($R31:$AK31,增益!$A:$A,增益!$G:$G,0))</f>
        <v>0</v>
      </c>
      <c r="AW31" s="24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2" cm="1">
        <f t="array" ref="BA31">$G$11+VLOOKUP($Q31,武学奇术!$A:$ZZ,10,FALSE)+SUM(_xlfn.XLOOKUP($R31:$AK31,增益!$A:$A,增益!$J:$J,0))</f>
        <v>0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-0.3</v>
      </c>
      <c r="BE31" s="32" cm="1">
        <f t="array" ref="BE31">$G$12+VLOOKUP($Q31,武学奇术!$A:$ZZ,12,FALSE)+SUM(_xlfn.XLOOKUP($R31:$AK31,增益!$A:$A,增益!$L:$L,0))</f>
        <v>0</v>
      </c>
      <c r="BF31">
        <f t="shared" si="5"/>
        <v>605.472</v>
      </c>
      <c r="BG31">
        <f t="shared" si="6"/>
        <v>1579.612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</v>
      </c>
      <c r="BI31" s="32" cm="1">
        <f t="array" ref="BI31">$G$13+VLOOKUP($Q31,武学奇术!$A:$ZZ,14,FALSE)+SUM(_xlfn.XLOOKUP($R31:$AK31,增益!$A:$A,增益!$N:$N,0))</f>
        <v>0.15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2" cm="1">
        <f t="array" ref="BM31">$G$14+VLOOKUP($Q31,武学奇术!$A:$ZZ,16,FALSE)+SUM(_xlfn.XLOOKUP($R31:$AK31,增益!$A:$A,增益!$P:$P,0))</f>
        <v>0</v>
      </c>
      <c r="BN31" s="24">
        <f>MIN(IF(VLOOKUP($Q31,武学奇术!$A:$ZZ,23,FALSE)=1,100%,$B$8),100%)</f>
        <v>1</v>
      </c>
      <c r="BO31" s="24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0.9093</v>
      </c>
      <c r="BP31" s="24" cm="1">
        <f t="array" ref="BP31">1+$B$13+VLOOKUP($Q31,武学奇术!$A:$ZZ,18,FALSE)+SUM(_xlfn.XLOOKUP($R31:$AK31,增益!$A:$A,增益!$R:$R,0))</f>
        <v>1.9</v>
      </c>
      <c r="BQ31" s="24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4" cm="1">
        <f t="array" ref="BR31">1+$B$14+VLOOKUP($Q31,武学奇术!$A:$ZZ,20,FALSE)+SUM(_xlfn.XLOOKUP($R31:$AK31,增益!$A:$A,增益!$T:$T,0))</f>
        <v>1.35</v>
      </c>
      <c r="BS31" s="24">
        <f t="shared" si="9"/>
        <v>0.9071</v>
      </c>
      <c r="BT31" s="24">
        <f t="shared" si="10"/>
        <v>0</v>
      </c>
      <c r="BU31" s="24">
        <f>IF(VLOOKUP($Q31,武学奇术!$A:$ZZ,22,FALSE)=1,0,(1-$BN31))*(1-$BQ31)</f>
        <v>0</v>
      </c>
      <c r="BV31" s="24" cm="1">
        <f t="array" ref="BV31">SUM(_xlfn.XLOOKUP($R31:$AK31,增益!$A:$A,增益!$W:$W,0))+$I$5</f>
        <v>0.06</v>
      </c>
    </row>
    <row r="32" spans="1:74">
      <c r="A32" s="4" t="s">
        <v>159</v>
      </c>
      <c r="B32" s="88">
        <v>1.3</v>
      </c>
      <c r="K32" s="38">
        <f t="shared" si="0"/>
        <v>12291.4176159896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弹道",$B$21,0))*(1+$BV32)</f>
        <v>12332.2326366148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弹道",$B$21,0))*(1+$BV32)</f>
        <v>11892.8890346213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弹道",$B$21,0))*(1+$BV32)</f>
        <v>7956.27912039662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弹道",$B$21,0))*(1+$BV32)</f>
        <v>7103.01080774039</v>
      </c>
      <c r="P32" s="39">
        <v>1</v>
      </c>
      <c r="Q32" s="40" t="s">
        <v>111</v>
      </c>
      <c r="R32" s="40" t="s">
        <v>97</v>
      </c>
      <c r="S32" s="40" t="s">
        <v>98</v>
      </c>
      <c r="T32" s="40" t="s">
        <v>78</v>
      </c>
      <c r="U32" s="40" t="s">
        <v>90</v>
      </c>
      <c r="V32" s="40" t="s">
        <v>78</v>
      </c>
      <c r="W32" s="40" t="s">
        <v>78</v>
      </c>
      <c r="X32" s="40" t="s">
        <v>78</v>
      </c>
      <c r="Y32" s="40" t="s">
        <v>78</v>
      </c>
      <c r="Z32" s="40" t="s">
        <v>78</v>
      </c>
      <c r="AA32" s="40" t="s">
        <v>79</v>
      </c>
      <c r="AB32" s="40" t="s">
        <v>78</v>
      </c>
      <c r="AC32" s="40" t="s">
        <v>78</v>
      </c>
      <c r="AD32" s="40" t="s">
        <v>78</v>
      </c>
      <c r="AE32" s="40" t="s">
        <v>78</v>
      </c>
      <c r="AF32" s="40" t="s">
        <v>78</v>
      </c>
      <c r="AG32" s="40" t="s">
        <v>78</v>
      </c>
      <c r="AH32" s="40" t="s">
        <v>78</v>
      </c>
      <c r="AI32" s="40" t="s">
        <v>78</v>
      </c>
      <c r="AJ32" s="40" t="s">
        <v>78</v>
      </c>
      <c r="AK32" s="40" t="s">
        <v>78</v>
      </c>
      <c r="AL32" t="str">
        <f>VLOOKUP($Q32,武学奇术!$A:$ZZ,25,FALSE)</f>
        <v>伞</v>
      </c>
      <c r="AM32" s="24">
        <f>VLOOKUP($Q32,武学奇术!$A:$ZZ,26,FALSE)</f>
        <v>0.54</v>
      </c>
      <c r="AN32" s="25">
        <f>VLOOKUP($Q32,武学奇术!$A:$ZZ,27,FALSE)*(1+IF(OR($AL32=$F$4,$AL32=$F$5),$B$22,0))</f>
        <v>222</v>
      </c>
      <c r="AO32" s="24">
        <f>VLOOKUP($Q32,武学奇术!$A:$ZZ,28,FALSE)</f>
        <v>0.81</v>
      </c>
      <c r="AP32" s="25">
        <f>VLOOKUP($Q32,武学奇术!$A:$ZZ,29,FALSE)*(1+IF(OR($AL32=$F$4,$AL32=$F$5),$B$22,0))</f>
        <v>122.25</v>
      </c>
      <c r="AQ32" s="24" cm="1">
        <f t="array" ref="AQ32">$G$3+IFERROR(VLOOKUP($AL32,$F$4:$G$7,2,FALSE),0)+VLOOKUP($Q32,武学奇术!$A:$ZZ,2,FALSE)+SUM(_xlfn.XLOOKUP($R32:$AK32,增益!$A:$A,增益!$B:$B,0))</f>
        <v>0.3441</v>
      </c>
      <c r="AR32" s="24" cm="1">
        <f t="array" ref="AR32">VLOOKUP($Q32,武学奇术!$A:$ZZ,5,FALSE)+SUM(_xlfn.XLOOKUP($R32:$AK32,增益!$A:$A,增益!$E:$E,0))</f>
        <v>0.075</v>
      </c>
      <c r="AS32" cm="1">
        <f t="array" ref="AS32">$D$10*(1+$AR32)+VLOOKUP($Q32,武学奇术!$A:$ZZ,3,FALSE)+SUM(_xlfn.XLOOKUP($R32:$AK32,增益!$A:$A,增益!$C:$C,0))-$I$2</f>
        <v>4063.1171</v>
      </c>
      <c r="AT32" cm="1">
        <f t="array" ref="AT32">$E$10*(1+$AR32)+VLOOKUP($Q32,武学奇术!$A:$ZZ,4,FALSE)+SUM(_xlfn.XLOOKUP($R32:$AK32,增益!$A:$A,增益!$D:$D,0))-$I$2</f>
        <v>4063.1171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0.2425</v>
      </c>
      <c r="AV32" s="32" cm="1">
        <f t="array" ref="AV32">$G$10+VLOOKUP($Q32,武学奇术!$A:$ZZ,7,FALSE)+SUM(_xlfn.XLOOKUP($R32:$AK32,增益!$A:$A,增益!$G:$G,0))</f>
        <v>0</v>
      </c>
      <c r="AW32" s="24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2" cm="1">
        <f t="array" ref="BA32">$G$11+VLOOKUP($Q32,武学奇术!$A:$ZZ,10,FALSE)+SUM(_xlfn.XLOOKUP($R32:$AK32,增益!$A:$A,增益!$J:$J,0))</f>
        <v>0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-0.3</v>
      </c>
      <c r="BE32" s="32" cm="1">
        <f t="array" ref="BE32">$G$12+VLOOKUP($Q32,武学奇术!$A:$ZZ,12,FALSE)+SUM(_xlfn.XLOOKUP($R32:$AK32,增益!$A:$A,增益!$L:$L,0))</f>
        <v>0</v>
      </c>
      <c r="BF32">
        <f t="shared" si="5"/>
        <v>605.472</v>
      </c>
      <c r="BG32">
        <f t="shared" si="6"/>
        <v>1579.612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</v>
      </c>
      <c r="BI32" s="32" cm="1">
        <f t="array" ref="BI32">$G$13+VLOOKUP($Q32,武学奇术!$A:$ZZ,14,FALSE)+SUM(_xlfn.XLOOKUP($R32:$AK32,增益!$A:$A,增益!$N:$N,0))</f>
        <v>0.15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2" cm="1">
        <f t="array" ref="BM32">$G$14+VLOOKUP($Q32,武学奇术!$A:$ZZ,16,FALSE)+SUM(_xlfn.XLOOKUP($R32:$AK32,增益!$A:$A,增益!$P:$P,0))</f>
        <v>0</v>
      </c>
      <c r="BN32" s="24">
        <f>MIN(IF(VLOOKUP($Q32,武学奇术!$A:$ZZ,23,FALSE)=1,100%,$B$8),100%)</f>
        <v>1</v>
      </c>
      <c r="BO32" s="24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0.9093</v>
      </c>
      <c r="BP32" s="24" cm="1">
        <f t="array" ref="BP32">1+$B$13+VLOOKUP($Q32,武学奇术!$A:$ZZ,18,FALSE)+SUM(_xlfn.XLOOKUP($R32:$AK32,增益!$A:$A,增益!$R:$R,0))</f>
        <v>1.55</v>
      </c>
      <c r="BQ32" s="24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4" cm="1">
        <f t="array" ref="BR32">1+$B$14+VLOOKUP($Q32,武学奇术!$A:$ZZ,20,FALSE)+SUM(_xlfn.XLOOKUP($R32:$AK32,增益!$A:$A,增益!$T:$T,0))</f>
        <v>1.35</v>
      </c>
      <c r="BS32" s="24">
        <f t="shared" si="9"/>
        <v>0.9071</v>
      </c>
      <c r="BT32" s="24">
        <f t="shared" si="10"/>
        <v>0</v>
      </c>
      <c r="BU32" s="24">
        <f>IF(VLOOKUP($Q32,武学奇术!$A:$ZZ,22,FALSE)=1,0,(1-$BN32))*(1-$BQ32)</f>
        <v>0</v>
      </c>
      <c r="BV32" s="24" cm="1">
        <f t="array" ref="BV32">SUM(_xlfn.XLOOKUP($R32:$AK32,增益!$A:$A,增益!$W:$W,0))+$I$5</f>
        <v>0.06</v>
      </c>
    </row>
    <row r="33" spans="1:74">
      <c r="A33" s="4" t="s">
        <v>111</v>
      </c>
      <c r="B33" s="88">
        <v>1.16</v>
      </c>
      <c r="K33" s="38">
        <f t="shared" si="0"/>
        <v>18110.1456221545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弹道",$B$21,0))*(1+$BV33)</f>
        <v>18409.4077749009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弹道",$B$21,0))*(1+$BV33)</f>
        <v>15188.0713621297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弹道",$B$21,0))*(1+$BV33)</f>
        <v>10227.4487638338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弹道",$B$21,0))*(1+$BV33)</f>
        <v>9204.47429646048</v>
      </c>
      <c r="P33" s="39">
        <v>1</v>
      </c>
      <c r="Q33" s="40" t="s">
        <v>160</v>
      </c>
      <c r="R33" s="40" t="s">
        <v>97</v>
      </c>
      <c r="S33" s="40" t="s">
        <v>98</v>
      </c>
      <c r="T33" s="40" t="s">
        <v>78</v>
      </c>
      <c r="U33" s="40" t="s">
        <v>90</v>
      </c>
      <c r="V33" s="40" t="s">
        <v>78</v>
      </c>
      <c r="W33" s="40" t="s">
        <v>78</v>
      </c>
      <c r="X33" s="40" t="s">
        <v>78</v>
      </c>
      <c r="Y33" s="40" t="s">
        <v>151</v>
      </c>
      <c r="Z33" s="40" t="s">
        <v>78</v>
      </c>
      <c r="AA33" s="40" t="s">
        <v>78</v>
      </c>
      <c r="AB33" s="40" t="s">
        <v>78</v>
      </c>
      <c r="AC33" s="40" t="s">
        <v>78</v>
      </c>
      <c r="AD33" s="40" t="s">
        <v>78</v>
      </c>
      <c r="AE33" s="40" t="s">
        <v>78</v>
      </c>
      <c r="AF33" s="40" t="s">
        <v>78</v>
      </c>
      <c r="AG33" s="40" t="s">
        <v>78</v>
      </c>
      <c r="AH33" s="40" t="s">
        <v>78</v>
      </c>
      <c r="AI33" s="40" t="s">
        <v>78</v>
      </c>
      <c r="AJ33" s="40" t="s">
        <v>78</v>
      </c>
      <c r="AK33" s="40" t="s">
        <v>78</v>
      </c>
      <c r="AL33" t="str">
        <f>VLOOKUP($Q33,武学奇术!$A:$ZZ,25,FALSE)</f>
        <v>扇</v>
      </c>
      <c r="AM33" s="24">
        <f>VLOOKUP($Q33,武学奇术!$A:$ZZ,26,FALSE)</f>
        <v>0.9271</v>
      </c>
      <c r="AN33" s="25">
        <f>VLOOKUP($Q33,武学奇术!$A:$ZZ,27,FALSE)*(1+IF(OR($AL33=$F$4,$AL33=$F$5),$B$22,0))</f>
        <v>385.5</v>
      </c>
      <c r="AO33" s="24">
        <f>VLOOKUP($Q33,武学奇术!$A:$ZZ,28,FALSE)</f>
        <v>1.3907</v>
      </c>
      <c r="AP33" s="25">
        <f>VLOOKUP($Q33,武学奇术!$A:$ZZ,29,FALSE)*(1+IF(OR($AL33=$F$4,$AL33=$F$5),$B$22,0))</f>
        <v>210</v>
      </c>
      <c r="AQ33" s="24" cm="1">
        <f t="array" ref="AQ33">$G$3+IFERROR(VLOOKUP($AL33,$F$4:$G$7,2,FALSE),0)+VLOOKUP($Q33,武学奇术!$A:$ZZ,2,FALSE)+SUM(_xlfn.XLOOKUP($R33:$AK33,增益!$A:$A,增益!$B:$B,0))</f>
        <v>0.2389</v>
      </c>
      <c r="AR33" s="24" cm="1">
        <f t="array" ref="AR33">VLOOKUP($Q33,武学奇术!$A:$ZZ,5,FALSE)+SUM(_xlfn.XLOOKUP($R33:$AK33,增益!$A:$A,增益!$E:$E,0))</f>
        <v>0.075</v>
      </c>
      <c r="AS33" cm="1">
        <f t="array" ref="AS33">$D$10*(1+$AR33)+VLOOKUP($Q33,武学奇术!$A:$ZZ,3,FALSE)+SUM(_xlfn.XLOOKUP($R33:$AK33,增益!$A:$A,增益!$C:$C,0))-$I$2</f>
        <v>4063.1171</v>
      </c>
      <c r="AT33" cm="1">
        <f t="array" ref="AT33">$E$10*(1+$AR33)+VLOOKUP($Q33,武学奇术!$A:$ZZ,4,FALSE)+SUM(_xlfn.XLOOKUP($R33:$AK33,增益!$A:$A,增益!$D:$D,0))-$I$2</f>
        <v>4063.1171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0.3675</v>
      </c>
      <c r="AV33" s="32" cm="1">
        <f t="array" ref="AV33">$G$10+VLOOKUP($Q33,武学奇术!$A:$ZZ,7,FALSE)+SUM(_xlfn.XLOOKUP($R33:$AK33,增益!$A:$A,增益!$G:$G,0))</f>
        <v>0</v>
      </c>
      <c r="AW33" s="24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2" cm="1">
        <f t="array" ref="BA33">$G$11+VLOOKUP($Q33,武学奇术!$A:$ZZ,10,FALSE)+SUM(_xlfn.XLOOKUP($R33:$AK33,增益!$A:$A,增益!$J:$J,0))</f>
        <v>0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-0.3</v>
      </c>
      <c r="BE33" s="32" cm="1">
        <f t="array" ref="BE33">$G$12+VLOOKUP($Q33,武学奇术!$A:$ZZ,12,FALSE)+SUM(_xlfn.XLOOKUP($R33:$AK33,增益!$A:$A,增益!$L:$L,0))</f>
        <v>0</v>
      </c>
      <c r="BF33">
        <f t="shared" si="5"/>
        <v>605.472</v>
      </c>
      <c r="BG33">
        <f t="shared" si="6"/>
        <v>1579.612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</v>
      </c>
      <c r="BI33" s="32" cm="1">
        <f t="array" ref="BI33">$G$13+VLOOKUP($Q33,武学奇术!$A:$ZZ,14,FALSE)+SUM(_xlfn.XLOOKUP($R33:$AK33,增益!$A:$A,增益!$N:$N,0))</f>
        <v>0.15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2" cm="1">
        <f t="array" ref="BM33">$G$14+VLOOKUP($Q33,武学奇术!$A:$ZZ,16,FALSE)+SUM(_xlfn.XLOOKUP($R33:$AK33,增益!$A:$A,增益!$P:$P,0))</f>
        <v>0</v>
      </c>
      <c r="BN33" s="24">
        <f>MIN(IF(VLOOKUP($Q33,武学奇术!$A:$ZZ,23,FALSE)=1,100%,$B$8),100%)</f>
        <v>1</v>
      </c>
      <c r="BO33" s="24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0.9093</v>
      </c>
      <c r="BP33" s="24" cm="1">
        <f t="array" ref="BP33">1+$B$13+VLOOKUP($Q33,武学奇术!$A:$ZZ,18,FALSE)+SUM(_xlfn.XLOOKUP($R33:$AK33,增益!$A:$A,增益!$R:$R,0))</f>
        <v>1.8</v>
      </c>
      <c r="BQ33" s="24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4" cm="1">
        <f t="array" ref="BR33">1+$B$14+VLOOKUP($Q33,武学奇术!$A:$ZZ,20,FALSE)+SUM(_xlfn.XLOOKUP($R33:$AK33,增益!$A:$A,增益!$T:$T,0))</f>
        <v>1.35</v>
      </c>
      <c r="BS33" s="24">
        <f t="shared" si="9"/>
        <v>0.9071</v>
      </c>
      <c r="BT33" s="24">
        <f t="shared" si="10"/>
        <v>0</v>
      </c>
      <c r="BU33" s="24">
        <f>IF(VLOOKUP($Q33,武学奇术!$A:$ZZ,22,FALSE)=1,0,(1-$BN33))*(1-$BQ33)</f>
        <v>0</v>
      </c>
      <c r="BV33" s="24" cm="1">
        <f t="array" ref="BV33">SUM(_xlfn.XLOOKUP($R33:$AK33,增益!$A:$A,增益!$W:$W,0))+$I$5</f>
        <v>0.06</v>
      </c>
    </row>
    <row r="34" spans="1:74">
      <c r="A34" s="4" t="s">
        <v>161</v>
      </c>
      <c r="B34" s="4">
        <v>0.1</v>
      </c>
      <c r="K34" s="38">
        <f t="shared" si="0"/>
        <v>42113.1303613433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弹道",$B$21,0))*(1+$BV34)</f>
        <v>42781.5929861364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弹道",$B$21,0))*(1+$BV34)</f>
        <v>35586.0857224859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弹道",$B$21,0))*(1+$BV34)</f>
        <v>23767.5516589647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弹道",$B$21,0))*(1+$BV34)</f>
        <v>21175.0398197917</v>
      </c>
      <c r="P34" s="39">
        <v>2</v>
      </c>
      <c r="Q34" s="40" t="s">
        <v>153</v>
      </c>
      <c r="R34" s="40" t="s">
        <v>97</v>
      </c>
      <c r="S34" s="40" t="s">
        <v>98</v>
      </c>
      <c r="T34" s="40" t="s">
        <v>78</v>
      </c>
      <c r="U34" s="40" t="s">
        <v>90</v>
      </c>
      <c r="V34" s="40" t="s">
        <v>78</v>
      </c>
      <c r="W34" s="40" t="s">
        <v>78</v>
      </c>
      <c r="X34" s="40" t="s">
        <v>78</v>
      </c>
      <c r="Y34" s="40" t="s">
        <v>151</v>
      </c>
      <c r="Z34" s="40" t="s">
        <v>78</v>
      </c>
      <c r="AA34" s="40" t="s">
        <v>78</v>
      </c>
      <c r="AB34" s="40" t="s">
        <v>78</v>
      </c>
      <c r="AC34" s="40" t="s">
        <v>78</v>
      </c>
      <c r="AD34" s="40" t="s">
        <v>78</v>
      </c>
      <c r="AE34" s="40" t="s">
        <v>78</v>
      </c>
      <c r="AF34" s="40" t="s">
        <v>78</v>
      </c>
      <c r="AG34" s="40" t="s">
        <v>78</v>
      </c>
      <c r="AH34" s="40" t="s">
        <v>78</v>
      </c>
      <c r="AI34" s="40" t="s">
        <v>78</v>
      </c>
      <c r="AJ34" s="40" t="s">
        <v>78</v>
      </c>
      <c r="AK34" s="40" t="s">
        <v>78</v>
      </c>
      <c r="AL34" t="str">
        <f>VLOOKUP($Q34,武学奇术!$A:$ZZ,25,FALSE)</f>
        <v>单体奇术</v>
      </c>
      <c r="AM34" s="24">
        <f>VLOOKUP($Q34,武学奇术!$A:$ZZ,26,FALSE)</f>
        <v>1.0239</v>
      </c>
      <c r="AN34" s="25">
        <f>VLOOKUP($Q34,武学奇术!$A:$ZZ,27,FALSE)*(1+IF(OR($AL34=$F$4,$AL34=$F$5),$B$22,0))</f>
        <v>196</v>
      </c>
      <c r="AO34" s="24">
        <f>VLOOKUP($Q34,武学奇术!$A:$ZZ,28,FALSE)</f>
        <v>1.53585</v>
      </c>
      <c r="AP34" s="25">
        <f>VLOOKUP($Q34,武学奇术!$A:$ZZ,29,FALSE)*(1+IF(OR($AL34=$F$4,$AL34=$F$5),$B$22,0))</f>
        <v>0</v>
      </c>
      <c r="AQ34" s="24" cm="1">
        <f t="array" ref="AQ34">$G$3+IFERROR(VLOOKUP($AL34,$F$4:$G$7,2,FALSE),0)+VLOOKUP($Q34,武学奇术!$A:$ZZ,2,FALSE)+SUM(_xlfn.XLOOKUP($R34:$AK34,增益!$A:$A,增益!$B:$B,0))</f>
        <v>0.4215</v>
      </c>
      <c r="AR34" s="24" cm="1">
        <f t="array" ref="AR34">VLOOKUP($Q34,武学奇术!$A:$ZZ,5,FALSE)+SUM(_xlfn.XLOOKUP($R34:$AK34,增益!$A:$A,增益!$E:$E,0))</f>
        <v>0.075</v>
      </c>
      <c r="AS34" cm="1">
        <f t="array" ref="AS34">$D$10*(1+$AR34)+VLOOKUP($Q34,武学奇术!$A:$ZZ,3,FALSE)+SUM(_xlfn.XLOOKUP($R34:$AK34,增益!$A:$A,增益!$C:$C,0))-$I$2</f>
        <v>4063.1171</v>
      </c>
      <c r="AT34" cm="1">
        <f t="array" ref="AT34">$E$10*(1+$AR34)+VLOOKUP($Q34,武学奇术!$A:$ZZ,4,FALSE)+SUM(_xlfn.XLOOKUP($R34:$AK34,增益!$A:$A,增益!$D:$D,0))-$I$2</f>
        <v>4063.1171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0.3675</v>
      </c>
      <c r="AV34" s="32" cm="1">
        <f t="array" ref="AV34">$G$10+VLOOKUP($Q34,武学奇术!$A:$ZZ,7,FALSE)+SUM(_xlfn.XLOOKUP($R34:$AK34,增益!$A:$A,增益!$G:$G,0))</f>
        <v>0</v>
      </c>
      <c r="AW34" s="24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2" cm="1">
        <f t="array" ref="BA34">$G$11+VLOOKUP($Q34,武学奇术!$A:$ZZ,10,FALSE)+SUM(_xlfn.XLOOKUP($R34:$AK34,增益!$A:$A,增益!$J:$J,0))</f>
        <v>0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-0.3</v>
      </c>
      <c r="BE34" s="32" cm="1">
        <f t="array" ref="BE34">$G$12+VLOOKUP($Q34,武学奇术!$A:$ZZ,12,FALSE)+SUM(_xlfn.XLOOKUP($R34:$AK34,增益!$A:$A,增益!$L:$L,0))</f>
        <v>0</v>
      </c>
      <c r="BF34">
        <f t="shared" si="5"/>
        <v>605.472</v>
      </c>
      <c r="BG34">
        <f t="shared" si="6"/>
        <v>1579.612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</v>
      </c>
      <c r="BI34" s="32" cm="1">
        <f t="array" ref="BI34">$G$13+VLOOKUP($Q34,武学奇术!$A:$ZZ,14,FALSE)+SUM(_xlfn.XLOOKUP($R34:$AK34,增益!$A:$A,增益!$N:$N,0))</f>
        <v>0.15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2" cm="1">
        <f t="array" ref="BM34">$G$14+VLOOKUP($Q34,武学奇术!$A:$ZZ,16,FALSE)+SUM(_xlfn.XLOOKUP($R34:$AK34,增益!$A:$A,增益!$P:$P,0))</f>
        <v>0</v>
      </c>
      <c r="BN34" s="24">
        <f>MIN(IF(VLOOKUP($Q34,武学奇术!$A:$ZZ,23,FALSE)=1,100%,$B$8),100%)</f>
        <v>1</v>
      </c>
      <c r="BO34" s="24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0.9093</v>
      </c>
      <c r="BP34" s="24" cm="1">
        <f t="array" ref="BP34">1+$B$13+VLOOKUP($Q34,武学奇术!$A:$ZZ,18,FALSE)+SUM(_xlfn.XLOOKUP($R34:$AK34,增益!$A:$A,增益!$R:$R,0))</f>
        <v>1.8</v>
      </c>
      <c r="BQ34" s="24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4" cm="1">
        <f t="array" ref="BR34">1+$B$14+VLOOKUP($Q34,武学奇术!$A:$ZZ,20,FALSE)+SUM(_xlfn.XLOOKUP($R34:$AK34,增益!$A:$A,增益!$T:$T,0))</f>
        <v>1.35</v>
      </c>
      <c r="BS34" s="24">
        <f t="shared" si="9"/>
        <v>0.9071</v>
      </c>
      <c r="BT34" s="24">
        <f t="shared" si="10"/>
        <v>0</v>
      </c>
      <c r="BU34" s="24">
        <f>IF(VLOOKUP($Q34,武学奇术!$A:$ZZ,22,FALSE)=1,0,(1-$BN34))*(1-$BQ34)</f>
        <v>0</v>
      </c>
      <c r="BV34" s="24" cm="1">
        <f t="array" ref="BV34">SUM(_xlfn.XLOOKUP($R34:$AK34,增益!$A:$A,增益!$W:$W,0))+$I$5</f>
        <v>0.06</v>
      </c>
    </row>
    <row r="35" spans="1:74">
      <c r="A35" s="4" t="s">
        <v>199</v>
      </c>
      <c r="B35" s="4">
        <v>0.5</v>
      </c>
      <c r="K35" s="38">
        <f t="shared" si="0"/>
        <v>66178.3440410129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弹道",$B$21,0))*(1+$BV35)</f>
        <v>67228.7941639783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弹道",$B$21,0))*(1+$BV35)</f>
        <v>55921.473141745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弹道",$B$21,0))*(1+$BV35)</f>
        <v>37349.3300910991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弹道",$B$21,0))*(1+$BV35)</f>
        <v>33275.3467438685</v>
      </c>
      <c r="P35" s="39">
        <v>2</v>
      </c>
      <c r="Q35" s="40" t="s">
        <v>155</v>
      </c>
      <c r="R35" s="40" t="s">
        <v>97</v>
      </c>
      <c r="S35" s="40" t="s">
        <v>98</v>
      </c>
      <c r="T35" s="40" t="s">
        <v>78</v>
      </c>
      <c r="U35" s="40" t="s">
        <v>90</v>
      </c>
      <c r="V35" s="40" t="s">
        <v>78</v>
      </c>
      <c r="W35" s="40" t="s">
        <v>78</v>
      </c>
      <c r="X35" s="40" t="s">
        <v>78</v>
      </c>
      <c r="Y35" s="40" t="s">
        <v>151</v>
      </c>
      <c r="Z35" s="40" t="s">
        <v>78</v>
      </c>
      <c r="AA35" s="40" t="s">
        <v>78</v>
      </c>
      <c r="AB35" s="40" t="s">
        <v>78</v>
      </c>
      <c r="AC35" s="40" t="s">
        <v>78</v>
      </c>
      <c r="AD35" s="40" t="s">
        <v>78</v>
      </c>
      <c r="AE35" s="40" t="s">
        <v>78</v>
      </c>
      <c r="AF35" s="40" t="s">
        <v>78</v>
      </c>
      <c r="AG35" s="40" t="s">
        <v>78</v>
      </c>
      <c r="AH35" s="40" t="s">
        <v>78</v>
      </c>
      <c r="AI35" s="40" t="s">
        <v>78</v>
      </c>
      <c r="AJ35" s="40" t="s">
        <v>78</v>
      </c>
      <c r="AK35" s="40" t="s">
        <v>78</v>
      </c>
      <c r="AL35" t="str">
        <f>VLOOKUP($Q35,武学奇术!$A:$ZZ,25,FALSE)</f>
        <v>单体奇术</v>
      </c>
      <c r="AM35" s="24">
        <f>VLOOKUP($Q35,武学奇术!$A:$ZZ,26,FALSE)</f>
        <v>1.609</v>
      </c>
      <c r="AN35" s="25">
        <f>VLOOKUP($Q35,武学奇术!$A:$ZZ,27,FALSE)*(1+IF(OR($AL35=$F$4,$AL35=$F$5),$B$22,0))</f>
        <v>308</v>
      </c>
      <c r="AO35" s="24">
        <f>VLOOKUP($Q35,武学奇术!$A:$ZZ,28,FALSE)</f>
        <v>2.4135</v>
      </c>
      <c r="AP35" s="25">
        <f>VLOOKUP($Q35,武学奇术!$A:$ZZ,29,FALSE)*(1+IF(OR($AL35=$F$4,$AL35=$F$5),$B$22,0))</f>
        <v>0</v>
      </c>
      <c r="AQ35" s="24" cm="1">
        <f t="array" ref="AQ35">$G$3+IFERROR(VLOOKUP($AL35,$F$4:$G$7,2,FALSE),0)+VLOOKUP($Q35,武学奇术!$A:$ZZ,2,FALSE)+SUM(_xlfn.XLOOKUP($R35:$AK35,增益!$A:$A,增益!$B:$B,0))</f>
        <v>0.4215</v>
      </c>
      <c r="AR35" s="24" cm="1">
        <f t="array" ref="AR35">VLOOKUP($Q35,武学奇术!$A:$ZZ,5,FALSE)+SUM(_xlfn.XLOOKUP($R35:$AK35,增益!$A:$A,增益!$E:$E,0))</f>
        <v>0.075</v>
      </c>
      <c r="AS35" cm="1">
        <f t="array" ref="AS35">$D$10*(1+$AR35)+VLOOKUP($Q35,武学奇术!$A:$ZZ,3,FALSE)+SUM(_xlfn.XLOOKUP($R35:$AK35,增益!$A:$A,增益!$C:$C,0))-$I$2</f>
        <v>4063.1171</v>
      </c>
      <c r="AT35" cm="1">
        <f t="array" ref="AT35">$E$10*(1+$AR35)+VLOOKUP($Q35,武学奇术!$A:$ZZ,4,FALSE)+SUM(_xlfn.XLOOKUP($R35:$AK35,增益!$A:$A,增益!$D:$D,0))-$I$2</f>
        <v>4063.1171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0.3675</v>
      </c>
      <c r="AV35" s="32" cm="1">
        <f t="array" ref="AV35">$G$10+VLOOKUP($Q35,武学奇术!$A:$ZZ,7,FALSE)+SUM(_xlfn.XLOOKUP($R35:$AK35,增益!$A:$A,增益!$G:$G,0))</f>
        <v>0</v>
      </c>
      <c r="AW35" s="24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2" cm="1">
        <f t="array" ref="BA35">$G$11+VLOOKUP($Q35,武学奇术!$A:$ZZ,10,FALSE)+SUM(_xlfn.XLOOKUP($R35:$AK35,增益!$A:$A,增益!$J:$J,0))</f>
        <v>0</v>
      </c>
      <c r="BB35">
        <f t="shared" si="3"/>
        <v>0</v>
      </c>
      <c r="BC35">
        <f t="shared" si="4"/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-0.3</v>
      </c>
      <c r="BE35" s="32" cm="1">
        <f t="array" ref="BE35">$G$12+VLOOKUP($Q35,武学奇术!$A:$ZZ,12,FALSE)+SUM(_xlfn.XLOOKUP($R35:$AK35,增益!$A:$A,增益!$L:$L,0))</f>
        <v>0</v>
      </c>
      <c r="BF35">
        <f t="shared" si="5"/>
        <v>605.472</v>
      </c>
      <c r="BG35">
        <f t="shared" si="6"/>
        <v>1579.612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</v>
      </c>
      <c r="BI35" s="32" cm="1">
        <f t="array" ref="BI35">$G$13+VLOOKUP($Q35,武学奇术!$A:$ZZ,14,FALSE)+SUM(_xlfn.XLOOKUP($R35:$AK35,增益!$A:$A,增益!$N:$N,0))</f>
        <v>0.15</v>
      </c>
      <c r="BJ35">
        <f t="shared" si="7"/>
        <v>0</v>
      </c>
      <c r="BK35">
        <f t="shared" si="8"/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2" cm="1">
        <f t="array" ref="BM35">$G$14+VLOOKUP($Q35,武学奇术!$A:$ZZ,16,FALSE)+SUM(_xlfn.XLOOKUP($R35:$AK35,增益!$A:$A,增益!$P:$P,0))</f>
        <v>0</v>
      </c>
      <c r="BN35" s="24">
        <f>MIN(IF(VLOOKUP($Q35,武学奇术!$A:$ZZ,23,FALSE)=1,100%,$B$8),100%)</f>
        <v>1</v>
      </c>
      <c r="BO35" s="24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0.9093</v>
      </c>
      <c r="BP35" s="24" cm="1">
        <f t="array" ref="BP35">1+$B$13+VLOOKUP($Q35,武学奇术!$A:$ZZ,18,FALSE)+SUM(_xlfn.XLOOKUP($R35:$AK35,增益!$A:$A,增益!$R:$R,0))</f>
        <v>1.8</v>
      </c>
      <c r="BQ35" s="24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4" cm="1">
        <f t="array" ref="BR35">1+$B$14+VLOOKUP($Q35,武学奇术!$A:$ZZ,20,FALSE)+SUM(_xlfn.XLOOKUP($R35:$AK35,增益!$A:$A,增益!$T:$T,0))</f>
        <v>1.35</v>
      </c>
      <c r="BS35" s="24">
        <f t="shared" si="9"/>
        <v>0.9071</v>
      </c>
      <c r="BT35" s="24">
        <f t="shared" si="10"/>
        <v>0</v>
      </c>
      <c r="BU35" s="24">
        <f>IF(VLOOKUP($Q35,武学奇术!$A:$ZZ,22,FALSE)=1,0,(1-$BN35))*(1-$BQ35)</f>
        <v>0</v>
      </c>
      <c r="BV35" s="24" cm="1">
        <f t="array" ref="BV35">SUM(_xlfn.XLOOKUP($R35:$AK35,增益!$A:$A,增益!$W:$W,0))+$I$5</f>
        <v>0.06</v>
      </c>
    </row>
    <row r="36" spans="1:74">
      <c r="A36" s="4" t="s">
        <v>131</v>
      </c>
      <c r="B36" s="4">
        <v>0.8</v>
      </c>
      <c r="K36" s="38">
        <f t="shared" si="0"/>
        <v>42328.7258224418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弹道",$B$21,0))*(1+$BV36)</f>
        <v>43019.2685027261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弹道",$B$21,0))*(1+$BV36)</f>
        <v>35586.0857224859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弹道",$B$21,0))*(1+$BV36)</f>
        <v>23767.5516589647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弹道",$B$21,0))*(1+$BV36)</f>
        <v>21175.0398197917</v>
      </c>
      <c r="P36" s="39">
        <v>2</v>
      </c>
      <c r="Q36" s="40" t="s">
        <v>153</v>
      </c>
      <c r="R36" s="40" t="s">
        <v>97</v>
      </c>
      <c r="S36" s="40" t="s">
        <v>152</v>
      </c>
      <c r="T36" s="40" t="s">
        <v>78</v>
      </c>
      <c r="U36" s="40" t="s">
        <v>90</v>
      </c>
      <c r="V36" s="40" t="s">
        <v>78</v>
      </c>
      <c r="W36" s="40" t="s">
        <v>78</v>
      </c>
      <c r="X36" s="40" t="s">
        <v>78</v>
      </c>
      <c r="Y36" s="40" t="s">
        <v>151</v>
      </c>
      <c r="Z36" s="40" t="s">
        <v>78</v>
      </c>
      <c r="AA36" s="40" t="s">
        <v>78</v>
      </c>
      <c r="AB36" s="40" t="s">
        <v>78</v>
      </c>
      <c r="AC36" s="40" t="s">
        <v>78</v>
      </c>
      <c r="AD36" s="40" t="s">
        <v>78</v>
      </c>
      <c r="AE36" s="40" t="s">
        <v>78</v>
      </c>
      <c r="AF36" s="40" t="s">
        <v>78</v>
      </c>
      <c r="AG36" s="40" t="s">
        <v>78</v>
      </c>
      <c r="AH36" s="40" t="s">
        <v>78</v>
      </c>
      <c r="AI36" s="40" t="s">
        <v>78</v>
      </c>
      <c r="AJ36" s="40" t="s">
        <v>78</v>
      </c>
      <c r="AK36" s="40" t="s">
        <v>78</v>
      </c>
      <c r="AL36" t="str">
        <f>VLOOKUP($Q36,武学奇术!$A:$ZZ,25,FALSE)</f>
        <v>单体奇术</v>
      </c>
      <c r="AM36" s="24">
        <f>VLOOKUP($Q36,武学奇术!$A:$ZZ,26,FALSE)</f>
        <v>1.0239</v>
      </c>
      <c r="AN36" s="25">
        <f>VLOOKUP($Q36,武学奇术!$A:$ZZ,27,FALSE)*(1+IF(OR($AL36=$F$4,$AL36=$F$5),$B$22,0))</f>
        <v>196</v>
      </c>
      <c r="AO36" s="24">
        <f>VLOOKUP($Q36,武学奇术!$A:$ZZ,28,FALSE)</f>
        <v>1.53585</v>
      </c>
      <c r="AP36" s="25">
        <f>VLOOKUP($Q36,武学奇术!$A:$ZZ,29,FALSE)*(1+IF(OR($AL36=$F$4,$AL36=$F$5),$B$22,0))</f>
        <v>0</v>
      </c>
      <c r="AQ36" s="24" cm="1">
        <f t="array" ref="AQ36">$G$3+IFERROR(VLOOKUP($AL36,$F$4:$G$7,2,FALSE),0)+VLOOKUP($Q36,武学奇术!$A:$ZZ,2,FALSE)+SUM(_xlfn.XLOOKUP($R36:$AK36,增益!$A:$A,增益!$B:$B,0))</f>
        <v>0.4215</v>
      </c>
      <c r="AR36" s="24" cm="1">
        <f t="array" ref="AR36">VLOOKUP($Q36,武学奇术!$A:$ZZ,5,FALSE)+SUM(_xlfn.XLOOKUP($R36:$AK36,增益!$A:$A,增益!$E:$E,0))</f>
        <v>0.075</v>
      </c>
      <c r="AS36" cm="1">
        <f t="array" ref="AS36">$D$10*(1+$AR36)+VLOOKUP($Q36,武学奇术!$A:$ZZ,3,FALSE)+SUM(_xlfn.XLOOKUP($R36:$AK36,增益!$A:$A,增益!$C:$C,0))-$I$2</f>
        <v>4063.1171</v>
      </c>
      <c r="AT36" cm="1">
        <f t="array" ref="AT36">$E$10*(1+$AR36)+VLOOKUP($Q36,武学奇术!$A:$ZZ,4,FALSE)+SUM(_xlfn.XLOOKUP($R36:$AK36,增益!$A:$A,增益!$D:$D,0))-$I$2</f>
        <v>4063.1171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0.3675</v>
      </c>
      <c r="AV36" s="32" cm="1">
        <f t="array" ref="AV36">$G$10+VLOOKUP($Q36,武学奇术!$A:$ZZ,7,FALSE)+SUM(_xlfn.XLOOKUP($R36:$AK36,增益!$A:$A,增益!$G:$G,0))</f>
        <v>0</v>
      </c>
      <c r="AW36" s="24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2" cm="1">
        <f t="array" ref="BA36">$G$11+VLOOKUP($Q36,武学奇术!$A:$ZZ,10,FALSE)+SUM(_xlfn.XLOOKUP($R36:$AK36,增益!$A:$A,增益!$J:$J,0))</f>
        <v>0</v>
      </c>
      <c r="BB36">
        <f t="shared" si="3"/>
        <v>0</v>
      </c>
      <c r="BC36">
        <f t="shared" si="4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-0.3</v>
      </c>
      <c r="BE36" s="32" cm="1">
        <f t="array" ref="BE36">$G$12+VLOOKUP($Q36,武学奇术!$A:$ZZ,12,FALSE)+SUM(_xlfn.XLOOKUP($R36:$AK36,增益!$A:$A,增益!$L:$L,0))</f>
        <v>0</v>
      </c>
      <c r="BF36">
        <f t="shared" si="5"/>
        <v>605.472</v>
      </c>
      <c r="BG36">
        <f t="shared" si="6"/>
        <v>1579.612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</v>
      </c>
      <c r="BI36" s="32" cm="1">
        <f t="array" ref="BI36">$G$13+VLOOKUP($Q36,武学奇术!$A:$ZZ,14,FALSE)+SUM(_xlfn.XLOOKUP($R36:$AK36,增益!$A:$A,增益!$N:$N,0))</f>
        <v>0.15</v>
      </c>
      <c r="BJ36">
        <f t="shared" si="7"/>
        <v>0</v>
      </c>
      <c r="BK36">
        <f t="shared" si="8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2" cm="1">
        <f t="array" ref="BM36">$G$14+VLOOKUP($Q36,武学奇术!$A:$ZZ,16,FALSE)+SUM(_xlfn.XLOOKUP($R36:$AK36,增益!$A:$A,增益!$P:$P,0))</f>
        <v>0</v>
      </c>
      <c r="BN36" s="24">
        <f>MIN(IF(VLOOKUP($Q36,武学奇术!$A:$ZZ,23,FALSE)=1,100%,$B$8),100%)</f>
        <v>1</v>
      </c>
      <c r="BO36" s="24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0.9093</v>
      </c>
      <c r="BP36" s="24" cm="1">
        <f t="array" ref="BP36">1+$B$13+VLOOKUP($Q36,武学奇术!$A:$ZZ,18,FALSE)+SUM(_xlfn.XLOOKUP($R36:$AK36,增益!$A:$A,增益!$R:$R,0))</f>
        <v>1.81</v>
      </c>
      <c r="BQ36" s="24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4" cm="1">
        <f t="array" ref="BR36">1+$B$14+VLOOKUP($Q36,武学奇术!$A:$ZZ,20,FALSE)+SUM(_xlfn.XLOOKUP($R36:$AK36,增益!$A:$A,增益!$T:$T,0))</f>
        <v>1.35</v>
      </c>
      <c r="BS36" s="24">
        <f t="shared" si="9"/>
        <v>0.9071</v>
      </c>
      <c r="BT36" s="24">
        <f t="shared" si="10"/>
        <v>0</v>
      </c>
      <c r="BU36" s="24">
        <f>IF(VLOOKUP($Q36,武学奇术!$A:$ZZ,22,FALSE)=1,0,(1-$BN36))*(1-$BQ36)</f>
        <v>0</v>
      </c>
      <c r="BV36" s="24" cm="1">
        <f t="array" ref="BV36">SUM(_xlfn.XLOOKUP($R36:$AK36,增益!$A:$A,增益!$W:$W,0))+$I$5</f>
        <v>0.06</v>
      </c>
    </row>
    <row r="37" spans="1:74">
      <c r="A37" t="s">
        <v>165</v>
      </c>
      <c r="B37">
        <v>1</v>
      </c>
      <c r="K37" s="38">
        <f t="shared" si="0"/>
        <v>66517.1398142692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弹道",$B$21,0))*(1+$BV37)</f>
        <v>67602.2874648893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弹道",$B$21,0))*(1+$BV37)</f>
        <v>55921.473141745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弹道",$B$21,0))*(1+$BV37)</f>
        <v>37349.3300910991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弹道",$B$21,0))*(1+$BV37)</f>
        <v>33275.3467438685</v>
      </c>
      <c r="P37" s="39">
        <v>2</v>
      </c>
      <c r="Q37" s="40" t="s">
        <v>155</v>
      </c>
      <c r="R37" s="40" t="s">
        <v>97</v>
      </c>
      <c r="S37" s="40" t="s">
        <v>152</v>
      </c>
      <c r="T37" s="40" t="s">
        <v>78</v>
      </c>
      <c r="U37" s="40" t="s">
        <v>90</v>
      </c>
      <c r="V37" s="40" t="s">
        <v>78</v>
      </c>
      <c r="W37" s="40" t="s">
        <v>78</v>
      </c>
      <c r="X37" s="40" t="s">
        <v>78</v>
      </c>
      <c r="Y37" s="40" t="s">
        <v>151</v>
      </c>
      <c r="Z37" s="40" t="s">
        <v>78</v>
      </c>
      <c r="AA37" s="40" t="s">
        <v>78</v>
      </c>
      <c r="AB37" s="40" t="s">
        <v>78</v>
      </c>
      <c r="AC37" s="40" t="s">
        <v>78</v>
      </c>
      <c r="AD37" s="40" t="s">
        <v>78</v>
      </c>
      <c r="AE37" s="40" t="s">
        <v>78</v>
      </c>
      <c r="AF37" s="40" t="s">
        <v>78</v>
      </c>
      <c r="AG37" s="40" t="s">
        <v>78</v>
      </c>
      <c r="AH37" s="40" t="s">
        <v>78</v>
      </c>
      <c r="AI37" s="40" t="s">
        <v>78</v>
      </c>
      <c r="AJ37" s="40" t="s">
        <v>78</v>
      </c>
      <c r="AK37" s="40" t="s">
        <v>78</v>
      </c>
      <c r="AL37" t="str">
        <f>VLOOKUP($Q37,武学奇术!$A:$ZZ,25,FALSE)</f>
        <v>单体奇术</v>
      </c>
      <c r="AM37" s="24">
        <f>VLOOKUP($Q37,武学奇术!$A:$ZZ,26,FALSE)</f>
        <v>1.609</v>
      </c>
      <c r="AN37" s="25">
        <f>VLOOKUP($Q37,武学奇术!$A:$ZZ,27,FALSE)*(1+IF(OR($AL37=$F$4,$AL37=$F$5),$B$22,0))</f>
        <v>308</v>
      </c>
      <c r="AO37" s="24">
        <f>VLOOKUP($Q37,武学奇术!$A:$ZZ,28,FALSE)</f>
        <v>2.4135</v>
      </c>
      <c r="AP37" s="25">
        <f>VLOOKUP($Q37,武学奇术!$A:$ZZ,29,FALSE)*(1+IF(OR($AL37=$F$4,$AL37=$F$5),$B$22,0))</f>
        <v>0</v>
      </c>
      <c r="AQ37" s="24" cm="1">
        <f t="array" ref="AQ37">$G$3+IFERROR(VLOOKUP($AL37,$F$4:$G$7,2,FALSE),0)+VLOOKUP($Q37,武学奇术!$A:$ZZ,2,FALSE)+SUM(_xlfn.XLOOKUP($R37:$AK37,增益!$A:$A,增益!$B:$B,0))</f>
        <v>0.4215</v>
      </c>
      <c r="AR37" s="24" cm="1">
        <f t="array" ref="AR37">VLOOKUP($Q37,武学奇术!$A:$ZZ,5,FALSE)+SUM(_xlfn.XLOOKUP($R37:$AK37,增益!$A:$A,增益!$E:$E,0))</f>
        <v>0.075</v>
      </c>
      <c r="AS37" cm="1">
        <f t="array" ref="AS37">$D$10*(1+$AR37)+VLOOKUP($Q37,武学奇术!$A:$ZZ,3,FALSE)+SUM(_xlfn.XLOOKUP($R37:$AK37,增益!$A:$A,增益!$C:$C,0))-$I$2</f>
        <v>4063.1171</v>
      </c>
      <c r="AT37" cm="1">
        <f t="array" ref="AT37">$E$10*(1+$AR37)+VLOOKUP($Q37,武学奇术!$A:$ZZ,4,FALSE)+SUM(_xlfn.XLOOKUP($R37:$AK37,增益!$A:$A,增益!$D:$D,0))-$I$2</f>
        <v>4063.1171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0.3675</v>
      </c>
      <c r="AV37" s="32" cm="1">
        <f t="array" ref="AV37">$G$10+VLOOKUP($Q37,武学奇术!$A:$ZZ,7,FALSE)+SUM(_xlfn.XLOOKUP($R37:$AK37,增益!$A:$A,增益!$G:$G,0))</f>
        <v>0</v>
      </c>
      <c r="AW37" s="24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2" cm="1">
        <f t="array" ref="BA37">$G$11+VLOOKUP($Q37,武学奇术!$A:$ZZ,10,FALSE)+SUM(_xlfn.XLOOKUP($R37:$AK37,增益!$A:$A,增益!$J:$J,0))</f>
        <v>0</v>
      </c>
      <c r="BB37">
        <f t="shared" si="3"/>
        <v>0</v>
      </c>
      <c r="BC37">
        <f t="shared" si="4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-0.3</v>
      </c>
      <c r="BE37" s="32" cm="1">
        <f t="array" ref="BE37">$G$12+VLOOKUP($Q37,武学奇术!$A:$ZZ,12,FALSE)+SUM(_xlfn.XLOOKUP($R37:$AK37,增益!$A:$A,增益!$L:$L,0))</f>
        <v>0</v>
      </c>
      <c r="BF37">
        <f t="shared" si="5"/>
        <v>605.472</v>
      </c>
      <c r="BG37">
        <f t="shared" si="6"/>
        <v>1579.612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</v>
      </c>
      <c r="BI37" s="32" cm="1">
        <f t="array" ref="BI37">$G$13+VLOOKUP($Q37,武学奇术!$A:$ZZ,14,FALSE)+SUM(_xlfn.XLOOKUP($R37:$AK37,增益!$A:$A,增益!$N:$N,0))</f>
        <v>0.15</v>
      </c>
      <c r="BJ37">
        <f t="shared" si="7"/>
        <v>0</v>
      </c>
      <c r="BK37">
        <f t="shared" si="8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2" cm="1">
        <f t="array" ref="BM37">$G$14+VLOOKUP($Q37,武学奇术!$A:$ZZ,16,FALSE)+SUM(_xlfn.XLOOKUP($R37:$AK37,增益!$A:$A,增益!$P:$P,0))</f>
        <v>0</v>
      </c>
      <c r="BN37" s="24">
        <f>MIN(IF(VLOOKUP($Q37,武学奇术!$A:$ZZ,23,FALSE)=1,100%,$B$8),100%)</f>
        <v>1</v>
      </c>
      <c r="BO37" s="24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0.9093</v>
      </c>
      <c r="BP37" s="24" cm="1">
        <f t="array" ref="BP37">1+$B$13+VLOOKUP($Q37,武学奇术!$A:$ZZ,18,FALSE)+SUM(_xlfn.XLOOKUP($R37:$AK37,增益!$A:$A,增益!$R:$R,0))</f>
        <v>1.81</v>
      </c>
      <c r="BQ37" s="24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4" cm="1">
        <f t="array" ref="BR37">1+$B$14+VLOOKUP($Q37,武学奇术!$A:$ZZ,20,FALSE)+SUM(_xlfn.XLOOKUP($R37:$AK37,增益!$A:$A,增益!$T:$T,0))</f>
        <v>1.35</v>
      </c>
      <c r="BS37" s="24">
        <f t="shared" si="9"/>
        <v>0.9071</v>
      </c>
      <c r="BT37" s="24">
        <f t="shared" si="10"/>
        <v>0</v>
      </c>
      <c r="BU37" s="24">
        <f>IF(VLOOKUP($Q37,武学奇术!$A:$ZZ,22,FALSE)=1,0,(1-$BN37))*(1-$BQ37)</f>
        <v>0</v>
      </c>
      <c r="BV37" s="24" cm="1">
        <f t="array" ref="BV37">SUM(_xlfn.XLOOKUP($R37:$AK37,增益!$A:$A,增益!$W:$W,0))+$I$5</f>
        <v>0.06</v>
      </c>
    </row>
    <row r="38" spans="1:74">
      <c r="A38" t="s">
        <v>200</v>
      </c>
      <c r="B38">
        <v>2.5</v>
      </c>
      <c r="K38" s="38">
        <f t="shared" si="0"/>
        <v>55127.5063101853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弹道",$B$21,0))*(1+$BV38)</f>
        <v>56026.8607537604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弹道",$B$21,0))*(1+$BV38)</f>
        <v>46345.973309464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弹道",$B$21,0))*(1+$BV38)</f>
        <v>30954.0667147847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弹道",$B$21,0))*(1+$BV38)</f>
        <v>27577.7828299666</v>
      </c>
      <c r="P38" s="39">
        <v>1</v>
      </c>
      <c r="Q38" s="40" t="s">
        <v>164</v>
      </c>
      <c r="R38" s="40" t="s">
        <v>97</v>
      </c>
      <c r="S38" s="40" t="s">
        <v>152</v>
      </c>
      <c r="T38" s="40" t="s">
        <v>78</v>
      </c>
      <c r="U38" s="40" t="s">
        <v>90</v>
      </c>
      <c r="V38" s="40" t="s">
        <v>78</v>
      </c>
      <c r="W38" s="40" t="s">
        <v>78</v>
      </c>
      <c r="X38" s="40" t="s">
        <v>78</v>
      </c>
      <c r="Y38" s="40" t="s">
        <v>151</v>
      </c>
      <c r="Z38" s="40" t="s">
        <v>78</v>
      </c>
      <c r="AA38" s="40" t="s">
        <v>78</v>
      </c>
      <c r="AB38" s="40" t="s">
        <v>78</v>
      </c>
      <c r="AC38" s="40" t="s">
        <v>78</v>
      </c>
      <c r="AD38" s="40" t="s">
        <v>78</v>
      </c>
      <c r="AE38" s="40" t="s">
        <v>78</v>
      </c>
      <c r="AF38" s="40" t="s">
        <v>78</v>
      </c>
      <c r="AG38" s="40" t="s">
        <v>78</v>
      </c>
      <c r="AH38" s="40" t="s">
        <v>78</v>
      </c>
      <c r="AI38" s="40" t="s">
        <v>78</v>
      </c>
      <c r="AJ38" s="40" t="s">
        <v>78</v>
      </c>
      <c r="AK38" s="40" t="s">
        <v>78</v>
      </c>
      <c r="AL38" t="str">
        <f>VLOOKUP($Q38,武学奇术!$A:$ZZ,25,FALSE)</f>
        <v>单体奇术</v>
      </c>
      <c r="AM38" s="24">
        <f>VLOOKUP($Q38,武学奇术!$A:$ZZ,26,FALSE)</f>
        <v>1.7065</v>
      </c>
      <c r="AN38" s="25">
        <f>VLOOKUP($Q38,武学奇术!$A:$ZZ,27,FALSE)*(1+IF(OR($AL38=$F$4,$AL38=$F$5),$B$22,0))</f>
        <v>327</v>
      </c>
      <c r="AO38" s="24">
        <f>VLOOKUP($Q38,武学奇术!$A:$ZZ,28,FALSE)</f>
        <v>2.55975</v>
      </c>
      <c r="AP38" s="25">
        <f>VLOOKUP($Q38,武学奇术!$A:$ZZ,29,FALSE)*(1+IF(OR($AL38=$F$4,$AL38=$F$5),$B$22,0))</f>
        <v>0</v>
      </c>
      <c r="AQ38" s="24" cm="1">
        <f t="array" ref="AQ38">$G$3+IFERROR(VLOOKUP($AL38,$F$4:$G$7,2,FALSE),0)+VLOOKUP($Q38,武学奇术!$A:$ZZ,2,FALSE)+SUM(_xlfn.XLOOKUP($R38:$AK38,增益!$A:$A,增益!$B:$B,0))</f>
        <v>1.2215</v>
      </c>
      <c r="AR38" s="24" cm="1">
        <f t="array" ref="AR38">VLOOKUP($Q38,武学奇术!$A:$ZZ,5,FALSE)+SUM(_xlfn.XLOOKUP($R38:$AK38,增益!$A:$A,增益!$E:$E,0))</f>
        <v>0.075</v>
      </c>
      <c r="AS38" cm="1">
        <f t="array" ref="AS38">$D$10*(1+$AR38)+VLOOKUP($Q38,武学奇术!$A:$ZZ,3,FALSE)+SUM(_xlfn.XLOOKUP($R38:$AK38,增益!$A:$A,增益!$C:$C,0))-$I$2</f>
        <v>4063.1171</v>
      </c>
      <c r="AT38" cm="1">
        <f t="array" ref="AT38">$E$10*(1+$AR38)+VLOOKUP($Q38,武学奇术!$A:$ZZ,4,FALSE)+SUM(_xlfn.XLOOKUP($R38:$AK38,增益!$A:$A,增益!$D:$D,0))-$I$2</f>
        <v>4063.1171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0.3675</v>
      </c>
      <c r="AV38" s="32" cm="1">
        <f t="array" ref="AV38">$G$10+VLOOKUP($Q38,武学奇术!$A:$ZZ,7,FALSE)+SUM(_xlfn.XLOOKUP($R38:$AK38,增益!$A:$A,增益!$G:$G,0))</f>
        <v>0</v>
      </c>
      <c r="AW38" s="24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2" cm="1">
        <f t="array" ref="BA38">$G$11+VLOOKUP($Q38,武学奇术!$A:$ZZ,10,FALSE)+SUM(_xlfn.XLOOKUP($R38:$AK38,增益!$A:$A,增益!$J:$J,0))</f>
        <v>0</v>
      </c>
      <c r="BB38">
        <f t="shared" si="3"/>
        <v>0</v>
      </c>
      <c r="BC38">
        <f t="shared" si="4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-0.3</v>
      </c>
      <c r="BE38" s="32" cm="1">
        <f t="array" ref="BE38">$G$12+VLOOKUP($Q38,武学奇术!$A:$ZZ,12,FALSE)+SUM(_xlfn.XLOOKUP($R38:$AK38,增益!$A:$A,增益!$L:$L,0))</f>
        <v>0</v>
      </c>
      <c r="BF38">
        <f t="shared" si="5"/>
        <v>605.472</v>
      </c>
      <c r="BG38">
        <f t="shared" si="6"/>
        <v>1579.612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</v>
      </c>
      <c r="BI38" s="32" cm="1">
        <f t="array" ref="BI38">$G$13+VLOOKUP($Q38,武学奇术!$A:$ZZ,14,FALSE)+SUM(_xlfn.XLOOKUP($R38:$AK38,增益!$A:$A,增益!$N:$N,0))</f>
        <v>0.15</v>
      </c>
      <c r="BJ38">
        <f t="shared" si="7"/>
        <v>0</v>
      </c>
      <c r="BK38">
        <f t="shared" si="8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2" cm="1">
        <f t="array" ref="BM38">$G$14+VLOOKUP($Q38,武学奇术!$A:$ZZ,16,FALSE)+SUM(_xlfn.XLOOKUP($R38:$AK38,增益!$A:$A,增益!$P:$P,0))</f>
        <v>0</v>
      </c>
      <c r="BN38" s="24">
        <f>MIN(IF(VLOOKUP($Q38,武学奇术!$A:$ZZ,23,FALSE)=1,100%,$B$8),100%)</f>
        <v>1</v>
      </c>
      <c r="BO38" s="24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0.9093</v>
      </c>
      <c r="BP38" s="24" cm="1">
        <f t="array" ref="BP38">1+$B$13+VLOOKUP($Q38,武学奇术!$A:$ZZ,18,FALSE)+SUM(_xlfn.XLOOKUP($R38:$AK38,增益!$A:$A,增益!$R:$R,0))</f>
        <v>1.81</v>
      </c>
      <c r="BQ38" s="24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4" cm="1">
        <f t="array" ref="BR38">1+$B$14+VLOOKUP($Q38,武学奇术!$A:$ZZ,20,FALSE)+SUM(_xlfn.XLOOKUP($R38:$AK38,增益!$A:$A,增益!$T:$T,0))</f>
        <v>1.35</v>
      </c>
      <c r="BS38" s="24">
        <f t="shared" si="9"/>
        <v>0.9071</v>
      </c>
      <c r="BT38" s="24">
        <f t="shared" si="10"/>
        <v>0</v>
      </c>
      <c r="BU38" s="24">
        <f>IF(VLOOKUP($Q38,武学奇术!$A:$ZZ,22,FALSE)=1,0,(1-$BN38))*(1-$BQ38)</f>
        <v>0</v>
      </c>
      <c r="BV38" s="24" cm="1">
        <f t="array" ref="BV38">SUM(_xlfn.XLOOKUP($R38:$AK38,增益!$A:$A,增益!$W:$W,0))+$I$5</f>
        <v>0.06</v>
      </c>
    </row>
    <row r="39" spans="1:74">
      <c r="A39" s="4" t="s">
        <v>161</v>
      </c>
      <c r="B39" s="4">
        <v>0.1</v>
      </c>
      <c r="E39" s="4"/>
      <c r="F39" s="4"/>
      <c r="K39" s="38">
        <f t="shared" si="0"/>
        <v>33258.5699071346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弹道",$B$21,0))*(1+$BV39)</f>
        <v>33801.1437324447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弹道",$B$21,0))*(1+$BV39)</f>
        <v>27960.7365708725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弹道",$B$21,0))*(1+$BV39)</f>
        <v>18674.6650455495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弹道",$B$21,0))*(1+$BV39)</f>
        <v>16637.6733719343</v>
      </c>
      <c r="P39" s="39">
        <v>1</v>
      </c>
      <c r="Q39" s="40" t="s">
        <v>155</v>
      </c>
      <c r="R39" s="40" t="s">
        <v>97</v>
      </c>
      <c r="S39" s="40" t="s">
        <v>152</v>
      </c>
      <c r="T39" s="40" t="s">
        <v>78</v>
      </c>
      <c r="U39" s="40" t="s">
        <v>90</v>
      </c>
      <c r="V39" s="40" t="s">
        <v>78</v>
      </c>
      <c r="W39" s="40" t="s">
        <v>78</v>
      </c>
      <c r="X39" s="40" t="s">
        <v>78</v>
      </c>
      <c r="Y39" s="40" t="s">
        <v>151</v>
      </c>
      <c r="Z39" s="40" t="s">
        <v>78</v>
      </c>
      <c r="AA39" s="40" t="s">
        <v>78</v>
      </c>
      <c r="AB39" s="40" t="s">
        <v>78</v>
      </c>
      <c r="AC39" s="40" t="s">
        <v>78</v>
      </c>
      <c r="AD39" s="40" t="s">
        <v>78</v>
      </c>
      <c r="AE39" s="40" t="s">
        <v>78</v>
      </c>
      <c r="AF39" s="40" t="s">
        <v>78</v>
      </c>
      <c r="AG39" s="40" t="s">
        <v>78</v>
      </c>
      <c r="AH39" s="40" t="s">
        <v>78</v>
      </c>
      <c r="AI39" s="40" t="s">
        <v>78</v>
      </c>
      <c r="AJ39" s="40" t="s">
        <v>78</v>
      </c>
      <c r="AK39" s="40" t="s">
        <v>78</v>
      </c>
      <c r="AL39" t="str">
        <f>VLOOKUP($Q39,武学奇术!$A:$ZZ,25,FALSE)</f>
        <v>单体奇术</v>
      </c>
      <c r="AM39" s="24">
        <f>VLOOKUP($Q39,武学奇术!$A:$ZZ,26,FALSE)</f>
        <v>1.609</v>
      </c>
      <c r="AN39" s="25">
        <f>VLOOKUP($Q39,武学奇术!$A:$ZZ,27,FALSE)*(1+IF(OR($AL39=$F$4,$AL39=$F$5),$B$22,0))</f>
        <v>308</v>
      </c>
      <c r="AO39" s="24">
        <f>VLOOKUP($Q39,武学奇术!$A:$ZZ,28,FALSE)</f>
        <v>2.4135</v>
      </c>
      <c r="AP39" s="25">
        <f>VLOOKUP($Q39,武学奇术!$A:$ZZ,29,FALSE)*(1+IF(OR($AL39=$F$4,$AL39=$F$5),$B$22,0))</f>
        <v>0</v>
      </c>
      <c r="AQ39" s="24" cm="1">
        <f t="array" ref="AQ39">$G$3+IFERROR(VLOOKUP($AL39,$F$4:$G$7,2,FALSE),0)+VLOOKUP($Q39,武学奇术!$A:$ZZ,2,FALSE)+SUM(_xlfn.XLOOKUP($R39:$AK39,增益!$A:$A,增益!$B:$B,0))</f>
        <v>0.4215</v>
      </c>
      <c r="AR39" s="24" cm="1">
        <f t="array" ref="AR39">VLOOKUP($Q39,武学奇术!$A:$ZZ,5,FALSE)+SUM(_xlfn.XLOOKUP($R39:$AK39,增益!$A:$A,增益!$E:$E,0))</f>
        <v>0.075</v>
      </c>
      <c r="AS39" cm="1">
        <f t="array" ref="AS39">$D$10*(1+$AR39)+VLOOKUP($Q39,武学奇术!$A:$ZZ,3,FALSE)+SUM(_xlfn.XLOOKUP($R39:$AK39,增益!$A:$A,增益!$C:$C,0))-$I$2</f>
        <v>4063.1171</v>
      </c>
      <c r="AT39" cm="1">
        <f t="array" ref="AT39">$E$10*(1+$AR39)+VLOOKUP($Q39,武学奇术!$A:$ZZ,4,FALSE)+SUM(_xlfn.XLOOKUP($R39:$AK39,增益!$A:$A,增益!$D:$D,0))-$I$2</f>
        <v>4063.1171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0.3675</v>
      </c>
      <c r="AV39" s="32" cm="1">
        <f t="array" ref="AV39">$G$10+VLOOKUP($Q39,武学奇术!$A:$ZZ,7,FALSE)+SUM(_xlfn.XLOOKUP($R39:$AK39,增益!$A:$A,增益!$G:$G,0))</f>
        <v>0</v>
      </c>
      <c r="AW39" s="24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2" cm="1">
        <f t="array" ref="BA39">$G$11+VLOOKUP($Q39,武学奇术!$A:$ZZ,10,FALSE)+SUM(_xlfn.XLOOKUP($R39:$AK39,增益!$A:$A,增益!$J:$J,0))</f>
        <v>0</v>
      </c>
      <c r="BB39">
        <f t="shared" si="3"/>
        <v>0</v>
      </c>
      <c r="BC39">
        <f t="shared" si="4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2" cm="1">
        <f t="array" ref="BE39">$G$12+VLOOKUP($Q39,武学奇术!$A:$ZZ,12,FALSE)+SUM(_xlfn.XLOOKUP($R39:$AK39,增益!$A:$A,增益!$L:$L,0))</f>
        <v>0</v>
      </c>
      <c r="BF39">
        <f t="shared" si="5"/>
        <v>605.472</v>
      </c>
      <c r="BG39">
        <f t="shared" si="6"/>
        <v>1579.612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2" cm="1">
        <f t="array" ref="BI39">$G$13+VLOOKUP($Q39,武学奇术!$A:$ZZ,14,FALSE)+SUM(_xlfn.XLOOKUP($R39:$AK39,增益!$A:$A,增益!$N:$N,0))</f>
        <v>0.15</v>
      </c>
      <c r="BJ39">
        <f t="shared" si="7"/>
        <v>0</v>
      </c>
      <c r="BK39">
        <f t="shared" si="8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2" cm="1">
        <f t="array" ref="BM39">$G$14+VLOOKUP($Q39,武学奇术!$A:$ZZ,16,FALSE)+SUM(_xlfn.XLOOKUP($R39:$AK39,增益!$A:$A,增益!$P:$P,0))</f>
        <v>0</v>
      </c>
      <c r="BN39" s="24">
        <f>MIN(IF(VLOOKUP($Q39,武学奇术!$A:$ZZ,23,FALSE)=1,100%,$B$8),100%)</f>
        <v>1</v>
      </c>
      <c r="BO39" s="24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0.9093</v>
      </c>
      <c r="BP39" s="24" cm="1">
        <f t="array" ref="BP39">1+$B$13+VLOOKUP($Q39,武学奇术!$A:$ZZ,18,FALSE)+SUM(_xlfn.XLOOKUP($R39:$AK39,增益!$A:$A,增益!$R:$R,0))</f>
        <v>1.81</v>
      </c>
      <c r="BQ39" s="24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4" cm="1">
        <f t="array" ref="BR39">1+$B$14+VLOOKUP($Q39,武学奇术!$A:$ZZ,20,FALSE)+SUM(_xlfn.XLOOKUP($R39:$AK39,增益!$A:$A,增益!$T:$T,0))</f>
        <v>1.35</v>
      </c>
      <c r="BS39" s="24">
        <f t="shared" si="9"/>
        <v>0.9071</v>
      </c>
      <c r="BT39" s="24">
        <f t="shared" si="10"/>
        <v>0</v>
      </c>
      <c r="BU39" s="24">
        <f>IF(VLOOKUP($Q39,武学奇术!$A:$ZZ,22,FALSE)=1,0,(1-$BN39))*(1-$BQ39)</f>
        <v>0</v>
      </c>
      <c r="BV39" s="24" cm="1">
        <f t="array" ref="BV39">SUM(_xlfn.XLOOKUP($R39:$AK39,增益!$A:$A,增益!$W:$W,0))+$I$5</f>
        <v>0.06</v>
      </c>
    </row>
    <row r="40" spans="1:74">
      <c r="A40" s="4" t="s">
        <v>101</v>
      </c>
      <c r="B40" s="4">
        <v>1.25</v>
      </c>
      <c r="K40" s="38">
        <f t="shared" si="0"/>
        <v>48764.8715277823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弹道",$B$21,0))*(1+$BV40)</f>
        <v>49775.200373887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弹道",$B$21,0))*(1+$BV40)</f>
        <v>38899.7553135565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弹道",$B$21,0))*(1+$BV40)</f>
        <v>26060.314331878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弹道",$B$21,0))*(1+$BV40)</f>
        <v>23305.9950981587</v>
      </c>
      <c r="P40" s="39">
        <v>1</v>
      </c>
      <c r="Q40" s="40" t="s">
        <v>113</v>
      </c>
      <c r="R40" s="40" t="s">
        <v>97</v>
      </c>
      <c r="S40" s="40" t="s">
        <v>98</v>
      </c>
      <c r="T40" s="40" t="s">
        <v>106</v>
      </c>
      <c r="U40" s="40" t="s">
        <v>90</v>
      </c>
      <c r="V40" s="40" t="s">
        <v>102</v>
      </c>
      <c r="W40" s="40" t="s">
        <v>78</v>
      </c>
      <c r="X40" s="40" t="s">
        <v>78</v>
      </c>
      <c r="Y40" s="40" t="s">
        <v>78</v>
      </c>
      <c r="Z40" s="40" t="s">
        <v>78</v>
      </c>
      <c r="AA40" s="40" t="s">
        <v>79</v>
      </c>
      <c r="AB40" s="40" t="s">
        <v>78</v>
      </c>
      <c r="AC40" s="40" t="s">
        <v>78</v>
      </c>
      <c r="AD40" s="40" t="s">
        <v>78</v>
      </c>
      <c r="AE40" s="40" t="s">
        <v>78</v>
      </c>
      <c r="AF40" s="40" t="s">
        <v>78</v>
      </c>
      <c r="AG40" s="40" t="s">
        <v>78</v>
      </c>
      <c r="AH40" s="40" t="s">
        <v>78</v>
      </c>
      <c r="AI40" s="40" t="s">
        <v>78</v>
      </c>
      <c r="AJ40" s="40" t="s">
        <v>78</v>
      </c>
      <c r="AK40" s="40" t="s">
        <v>78</v>
      </c>
      <c r="AL40" t="str">
        <f>VLOOKUP($Q40,武学奇术!$A:$ZZ,25,FALSE)</f>
        <v>伞</v>
      </c>
      <c r="AM40" s="24">
        <f>VLOOKUP($Q40,武学奇术!$A:$ZZ,26,FALSE)</f>
        <v>1.174955</v>
      </c>
      <c r="AN40" s="25">
        <f>VLOOKUP($Q40,武学奇术!$A:$ZZ,27,FALSE)*(1+IF(OR($AL40=$F$4,$AL40=$F$5),$B$22,0))</f>
        <v>486.45</v>
      </c>
      <c r="AO40" s="24">
        <f>VLOOKUP($Q40,武学奇术!$A:$ZZ,28,FALSE)</f>
        <v>1.762375</v>
      </c>
      <c r="AP40" s="25">
        <f>VLOOKUP($Q40,武学奇术!$A:$ZZ,29,FALSE)*(1+IF(OR($AL40=$F$4,$AL40=$F$5),$B$22,0))</f>
        <v>265.65</v>
      </c>
      <c r="AQ40" s="24" cm="1">
        <f t="array" ref="AQ40">$G$3+IFERROR(VLOOKUP($AL40,$F$4:$G$7,2,FALSE),0)+VLOOKUP($Q40,武学奇术!$A:$ZZ,2,FALSE)+SUM(_xlfn.XLOOKUP($R40:$AK40,增益!$A:$A,增益!$B:$B,0))</f>
        <v>0.9941</v>
      </c>
      <c r="AR40" s="24" cm="1">
        <f t="array" ref="AR40">VLOOKUP($Q40,武学奇术!$A:$ZZ,5,FALSE)+SUM(_xlfn.XLOOKUP($R40:$AK40,增益!$A:$A,增益!$E:$E,0))</f>
        <v>0.075</v>
      </c>
      <c r="AS40" cm="1">
        <f t="array" ref="AS40">$D$10*(1+$AR40)+VLOOKUP($Q40,武学奇术!$A:$ZZ,3,FALSE)+SUM(_xlfn.XLOOKUP($R40:$AK40,增益!$A:$A,增益!$C:$C,0))-$I$2</f>
        <v>4063.1171</v>
      </c>
      <c r="AT40" cm="1">
        <f t="array" ref="AT40">$E$10*(1+$AR40)+VLOOKUP($Q40,武学奇术!$A:$ZZ,4,FALSE)+SUM(_xlfn.XLOOKUP($R40:$AK40,增益!$A:$A,增益!$D:$D,0))-$I$2</f>
        <v>4063.1171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0.2675</v>
      </c>
      <c r="AV40" s="32" cm="1">
        <f t="array" ref="AV40">$G$10+VLOOKUP($Q40,武学奇术!$A:$ZZ,7,FALSE)+SUM(_xlfn.XLOOKUP($R40:$AK40,增益!$A:$A,增益!$G:$G,0))</f>
        <v>0</v>
      </c>
      <c r="AW40" s="24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2" cm="1">
        <f t="array" ref="BA40">$G$11+VLOOKUP($Q40,武学奇术!$A:$ZZ,10,FALSE)+SUM(_xlfn.XLOOKUP($R40:$AK40,增益!$A:$A,增益!$J:$J,0))</f>
        <v>0</v>
      </c>
      <c r="BB40">
        <f t="shared" si="3"/>
        <v>0</v>
      </c>
      <c r="BC40">
        <f t="shared" si="4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2" cm="1">
        <f t="array" ref="BE40">$G$12+VLOOKUP($Q40,武学奇术!$A:$ZZ,12,FALSE)+SUM(_xlfn.XLOOKUP($R40:$AK40,增益!$A:$A,增益!$L:$L,0))</f>
        <v>0</v>
      </c>
      <c r="BF40">
        <f t="shared" si="5"/>
        <v>605.472</v>
      </c>
      <c r="BG40">
        <f t="shared" si="6"/>
        <v>1579.612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2" cm="1">
        <f t="array" ref="BI40">$G$13+VLOOKUP($Q40,武学奇术!$A:$ZZ,14,FALSE)+SUM(_xlfn.XLOOKUP($R40:$AK40,增益!$A:$A,增益!$N:$N,0))</f>
        <v>0.15</v>
      </c>
      <c r="BJ40">
        <f t="shared" si="7"/>
        <v>0</v>
      </c>
      <c r="BK40">
        <f t="shared" si="8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2" cm="1">
        <f t="array" ref="BM40">$G$14+VLOOKUP($Q40,武学奇术!$A:$ZZ,16,FALSE)+SUM(_xlfn.XLOOKUP($R40:$AK40,增益!$A:$A,增益!$P:$P,0))</f>
        <v>0</v>
      </c>
      <c r="BN40" s="24">
        <f>MIN(IF(VLOOKUP($Q40,武学奇术!$A:$ZZ,23,FALSE)=1,100%,$B$8),100%)</f>
        <v>1</v>
      </c>
      <c r="BO40" s="24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0.9093</v>
      </c>
      <c r="BP40" s="24" cm="1">
        <f t="array" ref="BP40">1+$B$13+VLOOKUP($Q40,武学奇术!$A:$ZZ,18,FALSE)+SUM(_xlfn.XLOOKUP($R40:$AK40,增益!$A:$A,增益!$R:$R,0))</f>
        <v>1.91</v>
      </c>
      <c r="BQ40" s="24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4" cm="1">
        <f t="array" ref="BR40">1+$B$14+VLOOKUP($Q40,武学奇术!$A:$ZZ,20,FALSE)+SUM(_xlfn.XLOOKUP($R40:$AK40,增益!$A:$A,增益!$T:$T,0))</f>
        <v>1.35</v>
      </c>
      <c r="BS40" s="24">
        <f t="shared" si="9"/>
        <v>0.9071</v>
      </c>
      <c r="BT40" s="24">
        <f t="shared" si="10"/>
        <v>0</v>
      </c>
      <c r="BU40" s="24">
        <f>IF(VLOOKUP($Q40,武学奇术!$A:$ZZ,22,FALSE)=1,0,(1-$BN40))*(1-$BQ40)</f>
        <v>0</v>
      </c>
      <c r="BV40" s="24" cm="1">
        <f t="array" ref="BV40">SUM(_xlfn.XLOOKUP($R40:$AK40,增益!$A:$A,增益!$W:$W,0))+$I$5</f>
        <v>0.06</v>
      </c>
    </row>
    <row r="41" spans="1:74">
      <c r="A41" s="4" t="s">
        <v>159</v>
      </c>
      <c r="B41" s="88">
        <v>1.3</v>
      </c>
      <c r="K41" s="38">
        <f t="shared" si="0"/>
        <v>231651.213472377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弹道",$B$21,0))*(1+$BV41)</f>
        <v>238595.407390098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弹道",$B$21,0))*(1+$BV41)</f>
        <v>163846.280181041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弹道",$B$21,0))*(1+$BV41)</f>
        <v>110460.836754675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弹道",$B$21,0))*(1+$BV41)</f>
        <v>99554.0585604314</v>
      </c>
      <c r="P41" s="39">
        <v>4</v>
      </c>
      <c r="Q41" s="40" t="s">
        <v>113</v>
      </c>
      <c r="R41" s="40" t="s">
        <v>97</v>
      </c>
      <c r="S41" s="40" t="s">
        <v>98</v>
      </c>
      <c r="T41" s="40" t="s">
        <v>106</v>
      </c>
      <c r="U41" s="40" t="s">
        <v>90</v>
      </c>
      <c r="V41" s="40" t="s">
        <v>102</v>
      </c>
      <c r="W41" s="40" t="s">
        <v>78</v>
      </c>
      <c r="X41" s="40" t="s">
        <v>78</v>
      </c>
      <c r="Y41" s="40" t="s">
        <v>151</v>
      </c>
      <c r="Z41" s="40" t="s">
        <v>78</v>
      </c>
      <c r="AA41" s="40" t="s">
        <v>78</v>
      </c>
      <c r="AB41" s="40" t="s">
        <v>78</v>
      </c>
      <c r="AC41" s="40" t="s">
        <v>78</v>
      </c>
      <c r="AD41" s="40" t="s">
        <v>78</v>
      </c>
      <c r="AE41" s="40" t="s">
        <v>78</v>
      </c>
      <c r="AF41" s="40" t="s">
        <v>78</v>
      </c>
      <c r="AG41" s="40" t="s">
        <v>78</v>
      </c>
      <c r="AH41" s="40" t="s">
        <v>78</v>
      </c>
      <c r="AI41" s="40" t="s">
        <v>78</v>
      </c>
      <c r="AJ41" s="40" t="s">
        <v>78</v>
      </c>
      <c r="AK41" s="40" t="s">
        <v>78</v>
      </c>
      <c r="AL41" t="str">
        <f>VLOOKUP($Q41,武学奇术!$A:$ZZ,25,FALSE)</f>
        <v>伞</v>
      </c>
      <c r="AM41" s="24">
        <f>VLOOKUP($Q41,武学奇术!$A:$ZZ,26,FALSE)</f>
        <v>1.174955</v>
      </c>
      <c r="AN41" s="25">
        <f>VLOOKUP($Q41,武学奇术!$A:$ZZ,27,FALSE)*(1+IF(OR($AL41=$F$4,$AL41=$F$5),$B$22,0))</f>
        <v>486.45</v>
      </c>
      <c r="AO41" s="24">
        <f>VLOOKUP($Q41,武学奇术!$A:$ZZ,28,FALSE)</f>
        <v>1.762375</v>
      </c>
      <c r="AP41" s="25">
        <f>VLOOKUP($Q41,武学奇术!$A:$ZZ,29,FALSE)*(1+IF(OR($AL41=$F$4,$AL41=$F$5),$B$22,0))</f>
        <v>265.65</v>
      </c>
      <c r="AQ41" s="24" cm="1">
        <f t="array" ref="AQ41">$G$3+IFERROR(VLOOKUP($AL41,$F$4:$G$7,2,FALSE),0)+VLOOKUP($Q41,武学奇术!$A:$ZZ,2,FALSE)+SUM(_xlfn.XLOOKUP($R41:$AK41,增益!$A:$A,增益!$B:$B,0))</f>
        <v>0.9741</v>
      </c>
      <c r="AR41" s="24" cm="1">
        <f t="array" ref="AR41">VLOOKUP($Q41,武学奇术!$A:$ZZ,5,FALSE)+SUM(_xlfn.XLOOKUP($R41:$AK41,增益!$A:$A,增益!$E:$E,0))</f>
        <v>0.075</v>
      </c>
      <c r="AS41" cm="1">
        <f t="array" ref="AS41">$D$10*(1+$AR41)+VLOOKUP($Q41,武学奇术!$A:$ZZ,3,FALSE)+SUM(_xlfn.XLOOKUP($R41:$AK41,增益!$A:$A,增益!$C:$C,0))-$I$2</f>
        <v>4063.1171</v>
      </c>
      <c r="AT41" cm="1">
        <f t="array" ref="AT41">$E$10*(1+$AR41)+VLOOKUP($Q41,武学奇术!$A:$ZZ,4,FALSE)+SUM(_xlfn.XLOOKUP($R41:$AK41,增益!$A:$A,增益!$D:$D,0))-$I$2</f>
        <v>4063.1171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0.3925</v>
      </c>
      <c r="AV41" s="32" cm="1">
        <f t="array" ref="AV41">$G$10+VLOOKUP($Q41,武学奇术!$A:$ZZ,7,FALSE)+SUM(_xlfn.XLOOKUP($R41:$AK41,增益!$A:$A,增益!$G:$G,0))</f>
        <v>0</v>
      </c>
      <c r="AW41" s="24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2" cm="1">
        <f t="array" ref="BA41">$G$11+VLOOKUP($Q41,武学奇术!$A:$ZZ,10,FALSE)+SUM(_xlfn.XLOOKUP($R41:$AK41,增益!$A:$A,增益!$J:$J,0))</f>
        <v>0</v>
      </c>
      <c r="BB41">
        <f t="shared" si="3"/>
        <v>0</v>
      </c>
      <c r="BC41">
        <f t="shared" si="4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2" cm="1">
        <f t="array" ref="BE41">$G$12+VLOOKUP($Q41,武学奇术!$A:$ZZ,12,FALSE)+SUM(_xlfn.XLOOKUP($R41:$AK41,增益!$A:$A,增益!$L:$L,0))</f>
        <v>0</v>
      </c>
      <c r="BF41">
        <f t="shared" si="5"/>
        <v>605.472</v>
      </c>
      <c r="BG41">
        <f t="shared" si="6"/>
        <v>1579.612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2" cm="1">
        <f t="array" ref="BI41">$G$13+VLOOKUP($Q41,武学奇术!$A:$ZZ,14,FALSE)+SUM(_xlfn.XLOOKUP($R41:$AK41,增益!$A:$A,增益!$N:$N,0))</f>
        <v>0.15</v>
      </c>
      <c r="BJ41">
        <f t="shared" si="7"/>
        <v>0</v>
      </c>
      <c r="BK41">
        <f t="shared" si="8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2" cm="1">
        <f t="array" ref="BM41">$G$14+VLOOKUP($Q41,武学奇术!$A:$ZZ,16,FALSE)+SUM(_xlfn.XLOOKUP($R41:$AK41,增益!$A:$A,增益!$P:$P,0))</f>
        <v>0</v>
      </c>
      <c r="BN41" s="24">
        <f>MIN(IF(VLOOKUP($Q41,武学奇术!$A:$ZZ,23,FALSE)=1,100%,$B$8),100%)</f>
        <v>1</v>
      </c>
      <c r="BO41" s="24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0.9093</v>
      </c>
      <c r="BP41" s="24" cm="1">
        <f t="array" ref="BP41">1+$B$13+VLOOKUP($Q41,武学奇术!$A:$ZZ,18,FALSE)+SUM(_xlfn.XLOOKUP($R41:$AK41,增益!$A:$A,增益!$R:$R,0))</f>
        <v>2.16</v>
      </c>
      <c r="BQ41" s="24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4" cm="1">
        <f t="array" ref="BR41">1+$B$14+VLOOKUP($Q41,武学奇术!$A:$ZZ,20,FALSE)+SUM(_xlfn.XLOOKUP($R41:$AK41,增益!$A:$A,增益!$T:$T,0))</f>
        <v>1.35</v>
      </c>
      <c r="BS41" s="24">
        <f t="shared" si="9"/>
        <v>0.9071</v>
      </c>
      <c r="BT41" s="24">
        <f t="shared" si="10"/>
        <v>0</v>
      </c>
      <c r="BU41" s="24">
        <f>IF(VLOOKUP($Q41,武学奇术!$A:$ZZ,22,FALSE)=1,0,(1-$BN41))*(1-$BQ41)</f>
        <v>0</v>
      </c>
      <c r="BV41" s="24" cm="1">
        <f t="array" ref="BV41">SUM(_xlfn.XLOOKUP($R41:$AK41,增益!$A:$A,增益!$W:$W,0))+$I$5</f>
        <v>0.06</v>
      </c>
    </row>
    <row r="42" spans="1:74">
      <c r="A42" s="4" t="s">
        <v>111</v>
      </c>
      <c r="B42" s="88">
        <v>1.16</v>
      </c>
      <c r="K42" s="38">
        <f t="shared" si="0"/>
        <v>290816.504653223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弹道",$B$21,0))*(1+$BV42)</f>
        <v>299625.019697057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弹道",$B$21,0))*(1+$BV42)</f>
        <v>204807.850226301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弹道",$B$21,0))*(1+$BV42)</f>
        <v>138076.045943344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弹道",$B$21,0))*(1+$BV42)</f>
        <v>124442.573200539</v>
      </c>
      <c r="P42" s="39">
        <v>5</v>
      </c>
      <c r="Q42" s="40" t="s">
        <v>113</v>
      </c>
      <c r="R42" s="40" t="s">
        <v>97</v>
      </c>
      <c r="S42" s="40" t="s">
        <v>152</v>
      </c>
      <c r="T42" s="40" t="s">
        <v>106</v>
      </c>
      <c r="U42" s="40" t="s">
        <v>90</v>
      </c>
      <c r="V42" s="40" t="s">
        <v>102</v>
      </c>
      <c r="W42" s="40" t="s">
        <v>78</v>
      </c>
      <c r="X42" s="40" t="s">
        <v>78</v>
      </c>
      <c r="Y42" s="40" t="s">
        <v>151</v>
      </c>
      <c r="Z42" s="40" t="s">
        <v>78</v>
      </c>
      <c r="AA42" s="40" t="s">
        <v>78</v>
      </c>
      <c r="AB42" s="40" t="s">
        <v>78</v>
      </c>
      <c r="AC42" s="40" t="s">
        <v>78</v>
      </c>
      <c r="AD42" s="40" t="s">
        <v>78</v>
      </c>
      <c r="AE42" s="40" t="s">
        <v>78</v>
      </c>
      <c r="AF42" s="40" t="s">
        <v>78</v>
      </c>
      <c r="AG42" s="40" t="s">
        <v>78</v>
      </c>
      <c r="AH42" s="40" t="s">
        <v>78</v>
      </c>
      <c r="AI42" s="40" t="s">
        <v>78</v>
      </c>
      <c r="AJ42" s="40" t="s">
        <v>78</v>
      </c>
      <c r="AK42" s="40" t="s">
        <v>78</v>
      </c>
      <c r="AL42" t="str">
        <f>VLOOKUP($Q42,武学奇术!$A:$ZZ,25,FALSE)</f>
        <v>伞</v>
      </c>
      <c r="AM42" s="24">
        <f>VLOOKUP($Q42,武学奇术!$A:$ZZ,26,FALSE)</f>
        <v>1.174955</v>
      </c>
      <c r="AN42" s="25">
        <f>VLOOKUP($Q42,武学奇术!$A:$ZZ,27,FALSE)*(1+IF(OR($AL42=$F$4,$AL42=$F$5),$B$22,0))</f>
        <v>486.45</v>
      </c>
      <c r="AO42" s="24">
        <f>VLOOKUP($Q42,武学奇术!$A:$ZZ,28,FALSE)</f>
        <v>1.762375</v>
      </c>
      <c r="AP42" s="25">
        <f>VLOOKUP($Q42,武学奇术!$A:$ZZ,29,FALSE)*(1+IF(OR($AL42=$F$4,$AL42=$F$5),$B$22,0))</f>
        <v>265.65</v>
      </c>
      <c r="AQ42" s="24" cm="1">
        <f t="array" ref="AQ42">$G$3+IFERROR(VLOOKUP($AL42,$F$4:$G$7,2,FALSE),0)+VLOOKUP($Q42,武学奇术!$A:$ZZ,2,FALSE)+SUM(_xlfn.XLOOKUP($R42:$AK42,增益!$A:$A,增益!$B:$B,0))</f>
        <v>0.9741</v>
      </c>
      <c r="AR42" s="24" cm="1">
        <f t="array" ref="AR42">VLOOKUP($Q42,武学奇术!$A:$ZZ,5,FALSE)+SUM(_xlfn.XLOOKUP($R42:$AK42,增益!$A:$A,增益!$E:$E,0))</f>
        <v>0.075</v>
      </c>
      <c r="AS42" cm="1">
        <f t="array" ref="AS42">$D$10*(1+$AR42)+VLOOKUP($Q42,武学奇术!$A:$ZZ,3,FALSE)+SUM(_xlfn.XLOOKUP($R42:$AK42,增益!$A:$A,增益!$C:$C,0))-$I$2</f>
        <v>4063.1171</v>
      </c>
      <c r="AT42" cm="1">
        <f t="array" ref="AT42">$E$10*(1+$AR42)+VLOOKUP($Q42,武学奇术!$A:$ZZ,4,FALSE)+SUM(_xlfn.XLOOKUP($R42:$AK42,增益!$A:$A,增益!$D:$D,0))-$I$2</f>
        <v>4063.1171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0.3925</v>
      </c>
      <c r="AV42" s="32" cm="1">
        <f t="array" ref="AV42">$G$10+VLOOKUP($Q42,武学奇术!$A:$ZZ,7,FALSE)+SUM(_xlfn.XLOOKUP($R42:$AK42,增益!$A:$A,增益!$G:$G,0))</f>
        <v>0</v>
      </c>
      <c r="AW42" s="24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2" cm="1">
        <f t="array" ref="BA42">$G$11+VLOOKUP($Q42,武学奇术!$A:$ZZ,10,FALSE)+SUM(_xlfn.XLOOKUP($R42:$AK42,增益!$A:$A,增益!$J:$J,0))</f>
        <v>0</v>
      </c>
      <c r="BB42">
        <f t="shared" si="3"/>
        <v>0</v>
      </c>
      <c r="BC42">
        <f t="shared" si="4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2" cm="1">
        <f t="array" ref="BE42">$G$12+VLOOKUP($Q42,武学奇术!$A:$ZZ,12,FALSE)+SUM(_xlfn.XLOOKUP($R42:$AK42,增益!$A:$A,增益!$L:$L,0))</f>
        <v>0</v>
      </c>
      <c r="BF42">
        <f t="shared" si="5"/>
        <v>605.472</v>
      </c>
      <c r="BG42">
        <f t="shared" si="6"/>
        <v>1579.612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2" cm="1">
        <f t="array" ref="BI42">$G$13+VLOOKUP($Q42,武学奇术!$A:$ZZ,14,FALSE)+SUM(_xlfn.XLOOKUP($R42:$AK42,增益!$A:$A,增益!$N:$N,0))</f>
        <v>0.15</v>
      </c>
      <c r="BJ42">
        <f t="shared" si="7"/>
        <v>0</v>
      </c>
      <c r="BK42">
        <f t="shared" si="8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2" cm="1">
        <f t="array" ref="BM42">$G$14+VLOOKUP($Q42,武学奇术!$A:$ZZ,16,FALSE)+SUM(_xlfn.XLOOKUP($R42:$AK42,增益!$A:$A,增益!$P:$P,0))</f>
        <v>0</v>
      </c>
      <c r="BN42" s="24">
        <f>MIN(IF(VLOOKUP($Q42,武学奇术!$A:$ZZ,23,FALSE)=1,100%,$B$8),100%)</f>
        <v>1</v>
      </c>
      <c r="BO42" s="24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0.9093</v>
      </c>
      <c r="BP42" s="24" cm="1">
        <f t="array" ref="BP42">1+$B$13+VLOOKUP($Q42,武学奇术!$A:$ZZ,18,FALSE)+SUM(_xlfn.XLOOKUP($R42:$AK42,增益!$A:$A,增益!$R:$R,0))</f>
        <v>2.17</v>
      </c>
      <c r="BQ42" s="24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4" cm="1">
        <f t="array" ref="BR42">1+$B$14+VLOOKUP($Q42,武学奇术!$A:$ZZ,20,FALSE)+SUM(_xlfn.XLOOKUP($R42:$AK42,增益!$A:$A,增益!$T:$T,0))</f>
        <v>1.35</v>
      </c>
      <c r="BS42" s="24">
        <f t="shared" si="9"/>
        <v>0.9071</v>
      </c>
      <c r="BT42" s="24">
        <f t="shared" si="10"/>
        <v>0</v>
      </c>
      <c r="BU42" s="24">
        <f>IF(VLOOKUP($Q42,武学奇术!$A:$ZZ,22,FALSE)=1,0,(1-$BN42))*(1-$BQ42)</f>
        <v>0</v>
      </c>
      <c r="BV42" s="24" cm="1">
        <f t="array" ref="BV42">SUM(_xlfn.XLOOKUP($R42:$AK42,增益!$A:$A,增益!$W:$W,0))+$I$5</f>
        <v>0.06</v>
      </c>
    </row>
    <row r="43" spans="1:74">
      <c r="A43" s="4" t="s">
        <v>161</v>
      </c>
      <c r="B43" s="4">
        <v>0.1</v>
      </c>
      <c r="K43" s="38">
        <f t="shared" si="0"/>
        <v>73200.5835243973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弹道",$B$21,0))*(1+$BV43)</f>
        <v>74746.1672559098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弹道",$B$21,0))*(1+$BV43)</f>
        <v>58109.0980254198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弹道",$B$21,0))*(1+$BV43)</f>
        <v>38930.2954457864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弹道",$B$21,0))*(1+$BV43)</f>
        <v>34816.8145764469</v>
      </c>
      <c r="P43" s="39">
        <v>1</v>
      </c>
      <c r="Q43" s="40" t="s">
        <v>101</v>
      </c>
      <c r="R43" s="40" t="s">
        <v>97</v>
      </c>
      <c r="S43" s="40" t="s">
        <v>152</v>
      </c>
      <c r="T43" s="40" t="s">
        <v>106</v>
      </c>
      <c r="U43" s="40" t="s">
        <v>90</v>
      </c>
      <c r="V43" s="40" t="s">
        <v>102</v>
      </c>
      <c r="W43" s="40" t="s">
        <v>78</v>
      </c>
      <c r="X43" s="40" t="s">
        <v>78</v>
      </c>
      <c r="Y43" s="40" t="s">
        <v>78</v>
      </c>
      <c r="Z43" s="40" t="s">
        <v>78</v>
      </c>
      <c r="AA43" s="40" t="s">
        <v>78</v>
      </c>
      <c r="AB43" s="40" t="s">
        <v>78</v>
      </c>
      <c r="AC43" s="40" t="s">
        <v>78</v>
      </c>
      <c r="AD43" s="40" t="s">
        <v>78</v>
      </c>
      <c r="AE43" s="40" t="s">
        <v>78</v>
      </c>
      <c r="AF43" s="40" t="s">
        <v>78</v>
      </c>
      <c r="AG43" s="40" t="s">
        <v>78</v>
      </c>
      <c r="AH43" s="40" t="s">
        <v>78</v>
      </c>
      <c r="AI43" s="40" t="s">
        <v>78</v>
      </c>
      <c r="AJ43" s="40" t="s">
        <v>78</v>
      </c>
      <c r="AK43" s="40" t="s">
        <v>78</v>
      </c>
      <c r="AL43" t="str">
        <f>VLOOKUP($Q43,武学奇术!$A:$ZZ,25,FALSE)</f>
        <v>伞</v>
      </c>
      <c r="AM43" s="24">
        <f>VLOOKUP($Q43,武学奇术!$A:$ZZ,26,FALSE)</f>
        <v>2.3397</v>
      </c>
      <c r="AN43" s="25">
        <f>VLOOKUP($Q43,武学奇术!$A:$ZZ,27,FALSE)*(1+IF(OR($AL43=$F$4,$AL43=$F$5),$B$22,0))</f>
        <v>972</v>
      </c>
      <c r="AO43" s="24">
        <f>VLOOKUP($Q43,武学奇术!$A:$ZZ,28,FALSE)</f>
        <v>3.5095</v>
      </c>
      <c r="AP43" s="25">
        <f>VLOOKUP($Q43,武学奇术!$A:$ZZ,29,FALSE)*(1+IF(OR($AL43=$F$4,$AL43=$F$5),$B$22,0))</f>
        <v>529.5</v>
      </c>
      <c r="AQ43" s="24" cm="1">
        <f t="array" ref="AQ43">$G$3+IFERROR(VLOOKUP($AL43,$F$4:$G$7,2,FALSE),0)+VLOOKUP($Q43,武学奇术!$A:$ZZ,2,FALSE)+SUM(_xlfn.XLOOKUP($R43:$AK43,增益!$A:$A,增益!$B:$B,0))</f>
        <v>0.9741</v>
      </c>
      <c r="AR43" s="24" cm="1">
        <f t="array" ref="AR43">VLOOKUP($Q43,武学奇术!$A:$ZZ,5,FALSE)+SUM(_xlfn.XLOOKUP($R43:$AK43,增益!$A:$A,增益!$E:$E,0))</f>
        <v>0.075</v>
      </c>
      <c r="AS43" cm="1">
        <f t="array" ref="AS43">$D$10*(1+$AR43)+VLOOKUP($Q43,武学奇术!$A:$ZZ,3,FALSE)+SUM(_xlfn.XLOOKUP($R43:$AK43,增益!$A:$A,增益!$C:$C,0))-$I$2</f>
        <v>4063.1171</v>
      </c>
      <c r="AT43" cm="1">
        <f t="array" ref="AT43">$E$10*(1+$AR43)+VLOOKUP($Q43,武学奇术!$A:$ZZ,4,FALSE)+SUM(_xlfn.XLOOKUP($R43:$AK43,增益!$A:$A,增益!$D:$D,0))-$I$2</f>
        <v>4063.1171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0.2675</v>
      </c>
      <c r="AV43" s="32" cm="1">
        <f t="array" ref="AV43">$G$10+VLOOKUP($Q43,武学奇术!$A:$ZZ,7,FALSE)+SUM(_xlfn.XLOOKUP($R43:$AK43,增益!$A:$A,增益!$G:$G,0))</f>
        <v>0</v>
      </c>
      <c r="AW43" s="24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2" cm="1">
        <f t="array" ref="BA43">$G$11+VLOOKUP($Q43,武学奇术!$A:$ZZ,10,FALSE)+SUM(_xlfn.XLOOKUP($R43:$AK43,增益!$A:$A,增益!$J:$J,0))</f>
        <v>0</v>
      </c>
      <c r="BB43">
        <f t="shared" si="3"/>
        <v>0</v>
      </c>
      <c r="BC43">
        <f t="shared" si="4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2" cm="1">
        <f t="array" ref="BE43">$G$12+VLOOKUP($Q43,武学奇术!$A:$ZZ,12,FALSE)+SUM(_xlfn.XLOOKUP($R43:$AK43,增益!$A:$A,增益!$L:$L,0))</f>
        <v>0</v>
      </c>
      <c r="BF43">
        <f t="shared" si="5"/>
        <v>605.472</v>
      </c>
      <c r="BG43">
        <f t="shared" si="6"/>
        <v>1579.612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2" cm="1">
        <f t="array" ref="BI43">$G$13+VLOOKUP($Q43,武学奇术!$A:$ZZ,14,FALSE)+SUM(_xlfn.XLOOKUP($R43:$AK43,增益!$A:$A,增益!$N:$N,0))</f>
        <v>0.15</v>
      </c>
      <c r="BJ43">
        <f t="shared" si="7"/>
        <v>0</v>
      </c>
      <c r="BK43">
        <f t="shared" si="8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2" cm="1">
        <f t="array" ref="BM43">$G$14+VLOOKUP($Q43,武学奇术!$A:$ZZ,16,FALSE)+SUM(_xlfn.XLOOKUP($R43:$AK43,增益!$A:$A,增益!$P:$P,0))</f>
        <v>0</v>
      </c>
      <c r="BN43" s="24">
        <f>MIN(IF(VLOOKUP($Q43,武学奇术!$A:$ZZ,23,FALSE)=1,100%,$B$8),100%)</f>
        <v>1</v>
      </c>
      <c r="BO43" s="24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0.9093</v>
      </c>
      <c r="BP43" s="24" cm="1">
        <f t="array" ref="BP43">1+$B$13+VLOOKUP($Q43,武学奇术!$A:$ZZ,18,FALSE)+SUM(_xlfn.XLOOKUP($R43:$AK43,增益!$A:$A,增益!$R:$R,0))</f>
        <v>1.92</v>
      </c>
      <c r="BQ43" s="24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4" cm="1">
        <f t="array" ref="BR43">1+$B$14+VLOOKUP($Q43,武学奇术!$A:$ZZ,20,FALSE)+SUM(_xlfn.XLOOKUP($R43:$AK43,增益!$A:$A,增益!$T:$T,0))</f>
        <v>1.35</v>
      </c>
      <c r="BS43" s="24">
        <f t="shared" si="9"/>
        <v>0.9071</v>
      </c>
      <c r="BT43" s="24">
        <f t="shared" si="10"/>
        <v>0</v>
      </c>
      <c r="BU43" s="24">
        <f>IF(VLOOKUP($Q43,武学奇术!$A:$ZZ,22,FALSE)=1,0,(1-$BN43))*(1-$BQ43)</f>
        <v>0</v>
      </c>
      <c r="BV43" s="24" cm="1">
        <f t="array" ref="BV43">SUM(_xlfn.XLOOKUP($R43:$AK43,增益!$A:$A,增益!$W:$W,0))+$I$5</f>
        <v>0.06</v>
      </c>
    </row>
    <row r="44" spans="1:74">
      <c r="A44" t="s">
        <v>165</v>
      </c>
      <c r="B44">
        <v>1</v>
      </c>
      <c r="K44" s="38">
        <f t="shared" si="0"/>
        <v>29236.4828083306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弹道",$B$21,0))*(1+$BV44)</f>
        <v>29367.338936358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弹道",$B$21,0))*(1+$BV44)</f>
        <v>27958.7692051693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弹道",$B$21,0))*(1+$BV44)</f>
        <v>18705.3114244318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弹道",$B$21,0))*(1+$BV44)</f>
        <v>16700.4234376271</v>
      </c>
      <c r="P44" s="39">
        <v>1</v>
      </c>
      <c r="Q44" s="40" t="s">
        <v>108</v>
      </c>
      <c r="R44" s="40" t="s">
        <v>97</v>
      </c>
      <c r="S44" s="40" t="s">
        <v>167</v>
      </c>
      <c r="T44" s="40" t="s">
        <v>78</v>
      </c>
      <c r="U44" s="40" t="s">
        <v>90</v>
      </c>
      <c r="V44" s="40" t="s">
        <v>78</v>
      </c>
      <c r="W44" s="40" t="s">
        <v>78</v>
      </c>
      <c r="X44" s="40" t="s">
        <v>78</v>
      </c>
      <c r="Y44" s="40" t="s">
        <v>78</v>
      </c>
      <c r="Z44" s="40" t="s">
        <v>78</v>
      </c>
      <c r="AA44" s="40" t="s">
        <v>78</v>
      </c>
      <c r="AB44" s="40" t="s">
        <v>78</v>
      </c>
      <c r="AC44" s="40" t="s">
        <v>78</v>
      </c>
      <c r="AD44" s="40" t="s">
        <v>78</v>
      </c>
      <c r="AE44" s="40" t="s">
        <v>78</v>
      </c>
      <c r="AF44" s="40" t="s">
        <v>78</v>
      </c>
      <c r="AG44" s="40" t="s">
        <v>78</v>
      </c>
      <c r="AH44" s="40" t="s">
        <v>78</v>
      </c>
      <c r="AI44" s="40" t="s">
        <v>78</v>
      </c>
      <c r="AJ44" s="40" t="s">
        <v>78</v>
      </c>
      <c r="AK44" s="40" t="s">
        <v>78</v>
      </c>
      <c r="AL44" t="str">
        <f>VLOOKUP($Q44,武学奇术!$A:$ZZ,25,FALSE)</f>
        <v>伞</v>
      </c>
      <c r="AM44" s="24">
        <f>VLOOKUP($Q44,武学奇术!$A:$ZZ,26,FALSE)</f>
        <v>1.7001</v>
      </c>
      <c r="AN44" s="25">
        <f>VLOOKUP($Q44,武学奇术!$A:$ZZ,27,FALSE)*(1+IF(OR($AL44=$F$4,$AL44=$F$5),$B$22,0))</f>
        <v>706.5</v>
      </c>
      <c r="AO44" s="24">
        <f>VLOOKUP($Q44,武学奇术!$A:$ZZ,28,FALSE)</f>
        <v>2.5502</v>
      </c>
      <c r="AP44" s="25">
        <f>VLOOKUP($Q44,武学奇术!$A:$ZZ,29,FALSE)*(1+IF(OR($AL44=$F$4,$AL44=$F$5),$B$22,0))</f>
        <v>384</v>
      </c>
      <c r="AQ44" s="24" cm="1">
        <f t="array" ref="AQ44">$G$3+IFERROR(VLOOKUP($AL44,$F$4:$G$7,2,FALSE),0)+VLOOKUP($Q44,武学奇术!$A:$ZZ,2,FALSE)+SUM(_xlfn.XLOOKUP($R44:$AK44,增益!$A:$A,增益!$B:$B,0))</f>
        <v>0.3241</v>
      </c>
      <c r="AR44" s="24" cm="1">
        <f t="array" ref="AR44">VLOOKUP($Q44,武学奇术!$A:$ZZ,5,FALSE)+SUM(_xlfn.XLOOKUP($R44:$AK44,增益!$A:$A,增益!$E:$E,0))</f>
        <v>0.075</v>
      </c>
      <c r="AS44" cm="1">
        <f t="array" ref="AS44">$D$10*(1+$AR44)+VLOOKUP($Q44,武学奇术!$A:$ZZ,3,FALSE)+SUM(_xlfn.XLOOKUP($R44:$AK44,增益!$A:$A,增益!$C:$C,0))-$I$2</f>
        <v>4063.1171</v>
      </c>
      <c r="AT44" cm="1">
        <f t="array" ref="AT44">$E$10*(1+$AR44)+VLOOKUP($Q44,武学奇术!$A:$ZZ,4,FALSE)+SUM(_xlfn.XLOOKUP($R44:$AK44,增益!$A:$A,增益!$D:$D,0))-$I$2</f>
        <v>4063.1171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0.2425</v>
      </c>
      <c r="AV44" s="32" cm="1">
        <f t="array" ref="AV44">$G$10+VLOOKUP($Q44,武学奇术!$A:$ZZ,7,FALSE)+SUM(_xlfn.XLOOKUP($R44:$AK44,增益!$A:$A,增益!$G:$G,0))</f>
        <v>0</v>
      </c>
      <c r="AW44" s="24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2" cm="1">
        <f t="array" ref="BA44">$G$11+VLOOKUP($Q44,武学奇术!$A:$ZZ,10,FALSE)+SUM(_xlfn.XLOOKUP($R44:$AK44,增益!$A:$A,增益!$J:$J,0))</f>
        <v>0</v>
      </c>
      <c r="BB44">
        <f t="shared" si="3"/>
        <v>0</v>
      </c>
      <c r="BC44">
        <f t="shared" si="4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2" cm="1">
        <f t="array" ref="BE44">$G$12+VLOOKUP($Q44,武学奇术!$A:$ZZ,12,FALSE)+SUM(_xlfn.XLOOKUP($R44:$AK44,增益!$A:$A,增益!$L:$L,0))</f>
        <v>0</v>
      </c>
      <c r="BF44">
        <f t="shared" si="5"/>
        <v>605.472</v>
      </c>
      <c r="BG44">
        <f t="shared" si="6"/>
        <v>1579.612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2" cm="1">
        <f t="array" ref="BI44">$G$13+VLOOKUP($Q44,武学奇术!$A:$ZZ,14,FALSE)+SUM(_xlfn.XLOOKUP($R44:$AK44,增益!$A:$A,增益!$N:$N,0))</f>
        <v>0.15</v>
      </c>
      <c r="BJ44">
        <f t="shared" si="7"/>
        <v>0</v>
      </c>
      <c r="BK44">
        <f t="shared" si="8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2" cm="1">
        <f t="array" ref="BM44">$G$14+VLOOKUP($Q44,武学奇术!$A:$ZZ,16,FALSE)+SUM(_xlfn.XLOOKUP($R44:$AK44,增益!$A:$A,增益!$P:$P,0))</f>
        <v>0</v>
      </c>
      <c r="BN44" s="24">
        <f>MIN(IF(VLOOKUP($Q44,武学奇术!$A:$ZZ,23,FALSE)=1,100%,$B$8),100%)</f>
        <v>1</v>
      </c>
      <c r="BO44" s="24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0.9093</v>
      </c>
      <c r="BP44" s="24" cm="1">
        <f t="array" ref="BP44">1+$B$13+VLOOKUP($Q44,武学奇术!$A:$ZZ,18,FALSE)+SUM(_xlfn.XLOOKUP($R44:$AK44,增益!$A:$A,增益!$R:$R,0))</f>
        <v>1.57</v>
      </c>
      <c r="BQ44" s="24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4" cm="1">
        <f t="array" ref="BR44">1+$B$14+VLOOKUP($Q44,武学奇术!$A:$ZZ,20,FALSE)+SUM(_xlfn.XLOOKUP($R44:$AK44,增益!$A:$A,增益!$T:$T,0))</f>
        <v>1.35</v>
      </c>
      <c r="BS44" s="24">
        <f t="shared" si="9"/>
        <v>0.9071</v>
      </c>
      <c r="BT44" s="24">
        <f t="shared" si="10"/>
        <v>0</v>
      </c>
      <c r="BU44" s="24">
        <f>IF(VLOOKUP($Q44,武学奇术!$A:$ZZ,22,FALSE)=1,0,(1-$BN44))*(1-$BQ44)</f>
        <v>0</v>
      </c>
      <c r="BV44" s="24" cm="1">
        <f t="array" ref="BV44">SUM(_xlfn.XLOOKUP($R44:$AK44,增益!$A:$A,增益!$W:$W,0))+$I$5</f>
        <v>0.06</v>
      </c>
    </row>
    <row r="45" spans="1:74">
      <c r="A45" s="4" t="s">
        <v>180</v>
      </c>
      <c r="B45" s="4">
        <v>1.4</v>
      </c>
      <c r="K45" s="38">
        <f t="shared" si="0"/>
        <v>62151.3695968603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弹道",$B$21,0))*(1+$BV45)</f>
        <v>62490.9688729545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弹道",$B$21,0))*(1+$BV45)</f>
        <v>58835.4330700036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弹道",$B$21,0))*(1+$BV45)</f>
        <v>39551.2461221231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弹道",$B$21,0))*(1+$BV45)</f>
        <v>35520.6899701694</v>
      </c>
      <c r="P45" s="39">
        <v>1</v>
      </c>
      <c r="Q45" s="40" t="s">
        <v>169</v>
      </c>
      <c r="R45" s="40" t="s">
        <v>97</v>
      </c>
      <c r="S45" s="40" t="s">
        <v>170</v>
      </c>
      <c r="T45" s="40" t="s">
        <v>78</v>
      </c>
      <c r="U45" s="40" t="s">
        <v>171</v>
      </c>
      <c r="V45" s="40" t="s">
        <v>102</v>
      </c>
      <c r="W45" s="40" t="s">
        <v>78</v>
      </c>
      <c r="X45" s="40" t="s">
        <v>78</v>
      </c>
      <c r="Y45" s="40" t="s">
        <v>78</v>
      </c>
      <c r="Z45" s="40" t="s">
        <v>78</v>
      </c>
      <c r="AA45" s="40" t="s">
        <v>78</v>
      </c>
      <c r="AB45" s="40" t="s">
        <v>78</v>
      </c>
      <c r="AC45" s="40" t="s">
        <v>78</v>
      </c>
      <c r="AD45" s="40" t="s">
        <v>78</v>
      </c>
      <c r="AE45" s="40" t="s">
        <v>78</v>
      </c>
      <c r="AF45" s="40" t="s">
        <v>78</v>
      </c>
      <c r="AG45" s="40" t="s">
        <v>78</v>
      </c>
      <c r="AH45" s="40" t="s">
        <v>78</v>
      </c>
      <c r="AI45" s="40" t="s">
        <v>78</v>
      </c>
      <c r="AJ45" s="40" t="s">
        <v>78</v>
      </c>
      <c r="AK45" s="40" t="s">
        <v>78</v>
      </c>
      <c r="AL45" t="str">
        <f>VLOOKUP($Q45,武学奇术!$A:$ZZ,25,FALSE)</f>
        <v>扇</v>
      </c>
      <c r="AM45" s="24">
        <f>VLOOKUP($Q45,武学奇术!$A:$ZZ,26,FALSE)</f>
        <v>2.76138</v>
      </c>
      <c r="AN45" s="25">
        <f>VLOOKUP($Q45,武学奇术!$A:$ZZ,27,FALSE)*(1+IF(OR($AL45=$F$4,$AL45=$F$5),$B$22,0))</f>
        <v>1146.225</v>
      </c>
      <c r="AO45" s="24">
        <f>VLOOKUP($Q45,武学奇术!$A:$ZZ,28,FALSE)</f>
        <v>4.14207</v>
      </c>
      <c r="AP45" s="25">
        <f>VLOOKUP($Q45,武学奇术!$A:$ZZ,29,FALSE)*(1+IF(OR($AL45=$F$4,$AL45=$F$5),$B$22,0))</f>
        <v>624.225</v>
      </c>
      <c r="AQ45" s="24" cm="1">
        <f t="array" ref="AQ45">$G$3+IFERROR(VLOOKUP($AL45,$F$4:$G$7,2,FALSE),0)+VLOOKUP($Q45,武学奇术!$A:$ZZ,2,FALSE)+SUM(_xlfn.XLOOKUP($R45:$AK45,增益!$A:$A,增益!$B:$B,0))</f>
        <v>0.6389</v>
      </c>
      <c r="AR45" s="24" cm="1">
        <f t="array" ref="AR45">VLOOKUP($Q45,武学奇术!$A:$ZZ,5,FALSE)+SUM(_xlfn.XLOOKUP($R45:$AK45,增益!$A:$A,增益!$E:$E,0))</f>
        <v>0.15</v>
      </c>
      <c r="AS45" cm="1">
        <f t="array" ref="AS45">$D$10*(1+$AR45)+VLOOKUP($Q45,武学奇术!$A:$ZZ,3,FALSE)+SUM(_xlfn.XLOOKUP($R45:$AK45,增益!$A:$A,增益!$C:$C,0))-$I$2</f>
        <v>4389.8462</v>
      </c>
      <c r="AT45" cm="1">
        <f t="array" ref="AT45">$E$10*(1+$AR45)+VLOOKUP($Q45,武学奇术!$A:$ZZ,4,FALSE)+SUM(_xlfn.XLOOKUP($R45:$AK45,增益!$A:$A,增益!$D:$D,0))-$I$2</f>
        <v>4389.8462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0.2425</v>
      </c>
      <c r="AV45" s="32" cm="1">
        <f t="array" ref="AV45">$G$10+VLOOKUP($Q45,武学奇术!$A:$ZZ,7,FALSE)+SUM(_xlfn.XLOOKUP($R45:$AK45,增益!$A:$A,增益!$G:$G,0))</f>
        <v>0</v>
      </c>
      <c r="AW45" s="24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5"/>
        <v>605.472</v>
      </c>
      <c r="BG45">
        <f t="shared" si="6"/>
        <v>1579.612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4">
        <f>MIN(IF(VLOOKUP($Q45,武学奇术!$A:$ZZ,23,FALSE)=1,100%,$B$8),100%)</f>
        <v>1</v>
      </c>
      <c r="BO45" s="24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0.9093</v>
      </c>
      <c r="BP45" s="24" cm="1">
        <f t="array" ref="BP45">1+$B$13+VLOOKUP($Q45,武学奇术!$A:$ZZ,18,FALSE)+SUM(_xlfn.XLOOKUP($R45:$AK45,增益!$A:$A,增益!$R:$R,0))</f>
        <v>1.58</v>
      </c>
      <c r="BQ45" s="24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4" cm="1">
        <f t="array" ref="BR45">1+$B$14+VLOOKUP($Q45,武学奇术!$A:$ZZ,20,FALSE)+SUM(_xlfn.XLOOKUP($R45:$AK45,增益!$A:$A,增益!$T:$T,0))</f>
        <v>1.35</v>
      </c>
      <c r="BS45" s="24">
        <f t="shared" si="9"/>
        <v>0.9071</v>
      </c>
      <c r="BT45" s="24">
        <f t="shared" si="10"/>
        <v>0</v>
      </c>
      <c r="BU45" s="24">
        <f>IF(VLOOKUP($Q45,武学奇术!$A:$ZZ,22,FALSE)=1,0,(1-$BN45))*(1-$BQ45)</f>
        <v>0</v>
      </c>
      <c r="BV45" s="24" cm="1">
        <f t="array" ref="BV45">SUM(_xlfn.XLOOKUP($R45:$AK45,增益!$A:$A,增益!$W:$W,0))+$I$5</f>
        <v>0.06</v>
      </c>
    </row>
    <row r="46" spans="1:74">
      <c r="A46" t="s">
        <v>200</v>
      </c>
      <c r="B46">
        <v>2.5</v>
      </c>
      <c r="K46" s="38">
        <f t="shared" si="0"/>
        <v>12954.8430246533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弹道",$B$21,0))*(1+$BV46)</f>
        <v>13025.5729752315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弹道",$B$21,0))*(1+$BV46)</f>
        <v>12264.2172101273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弹道",$B$21,0))*(1+$BV46)</f>
        <v>8244.03352862752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弹道",$B$21,0))*(1+$BV46)</f>
        <v>7403.46171642001</v>
      </c>
      <c r="P46" s="39">
        <v>1</v>
      </c>
      <c r="Q46" s="40" t="s">
        <v>111</v>
      </c>
      <c r="R46" s="40" t="s">
        <v>97</v>
      </c>
      <c r="S46" s="40" t="s">
        <v>170</v>
      </c>
      <c r="T46" s="40" t="s">
        <v>78</v>
      </c>
      <c r="U46" s="40" t="s">
        <v>171</v>
      </c>
      <c r="V46" s="40" t="s">
        <v>78</v>
      </c>
      <c r="W46" s="40" t="s">
        <v>78</v>
      </c>
      <c r="X46" s="40" t="s">
        <v>78</v>
      </c>
      <c r="Y46" s="40" t="s">
        <v>78</v>
      </c>
      <c r="Z46" s="40" t="s">
        <v>78</v>
      </c>
      <c r="AA46" s="40" t="s">
        <v>78</v>
      </c>
      <c r="AB46" s="40" t="s">
        <v>78</v>
      </c>
      <c r="AC46" s="40" t="s">
        <v>78</v>
      </c>
      <c r="AD46" s="40" t="s">
        <v>78</v>
      </c>
      <c r="AE46" s="40" t="s">
        <v>78</v>
      </c>
      <c r="AF46" s="40" t="s">
        <v>78</v>
      </c>
      <c r="AG46" s="40" t="s">
        <v>78</v>
      </c>
      <c r="AH46" s="40" t="s">
        <v>78</v>
      </c>
      <c r="AI46" s="40" t="s">
        <v>78</v>
      </c>
      <c r="AJ46" s="40" t="s">
        <v>78</v>
      </c>
      <c r="AK46" s="40" t="s">
        <v>78</v>
      </c>
      <c r="AL46" t="str">
        <f>VLOOKUP($Q46,武学奇术!$A:$ZZ,25,FALSE)</f>
        <v>伞</v>
      </c>
      <c r="AM46" s="24">
        <f>VLOOKUP($Q46,武学奇术!$A:$ZZ,26,FALSE)</f>
        <v>0.54</v>
      </c>
      <c r="AN46" s="25">
        <f>VLOOKUP($Q46,武学奇术!$A:$ZZ,27,FALSE)*(1+IF(OR($AL46=$F$4,$AL46=$F$5),$B$22,0))</f>
        <v>222</v>
      </c>
      <c r="AO46" s="24">
        <f>VLOOKUP($Q46,武学奇术!$A:$ZZ,28,FALSE)</f>
        <v>0.81</v>
      </c>
      <c r="AP46" s="25">
        <f>VLOOKUP($Q46,武学奇术!$A:$ZZ,29,FALSE)*(1+IF(OR($AL46=$F$4,$AL46=$F$5),$B$22,0))</f>
        <v>122.25</v>
      </c>
      <c r="AQ46" s="24" cm="1">
        <f t="array" ref="AQ46">$G$3+IFERROR(VLOOKUP($AL46,$F$4:$G$7,2,FALSE),0)+VLOOKUP($Q46,武学奇术!$A:$ZZ,2,FALSE)+SUM(_xlfn.XLOOKUP($R46:$AK46,增益!$A:$A,增益!$B:$B,0))</f>
        <v>0.3241</v>
      </c>
      <c r="AR46" s="24" cm="1">
        <f t="array" ref="AR46">VLOOKUP($Q46,武学奇术!$A:$ZZ,5,FALSE)+SUM(_xlfn.XLOOKUP($R46:$AK46,增益!$A:$A,增益!$E:$E,0))</f>
        <v>0.15</v>
      </c>
      <c r="AS46" cm="1">
        <f t="array" ref="AS46">$D$10*(1+$AR46)+VLOOKUP($Q46,武学奇术!$A:$ZZ,3,FALSE)+SUM(_xlfn.XLOOKUP($R46:$AK46,增益!$A:$A,增益!$C:$C,0))-$I$2</f>
        <v>4389.8462</v>
      </c>
      <c r="AT46" cm="1">
        <f t="array" ref="AT46">$E$10*(1+$AR46)+VLOOKUP($Q46,武学奇术!$A:$ZZ,4,FALSE)+SUM(_xlfn.XLOOKUP($R46:$AK46,增益!$A:$A,增益!$D:$D,0))-$I$2</f>
        <v>4389.8462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0.2425</v>
      </c>
      <c r="AV46" s="32" cm="1">
        <f t="array" ref="AV46">$G$10+VLOOKUP($Q46,武学奇术!$A:$ZZ,7,FALSE)+SUM(_xlfn.XLOOKUP($R46:$AK46,增益!$A:$A,增益!$G:$G,0))</f>
        <v>0</v>
      </c>
      <c r="AW46" s="24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2" cm="1">
        <f t="array" ref="BA46">$G$11+VLOOKUP($Q46,武学奇术!$A:$ZZ,10,FALSE)+SUM(_xlfn.XLOOKUP($R46:$AK46,增益!$A:$A,增益!$J:$J,0))</f>
        <v>0</v>
      </c>
      <c r="BB46">
        <f t="shared" si="3"/>
        <v>0</v>
      </c>
      <c r="BC46">
        <f t="shared" si="4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-0.3</v>
      </c>
      <c r="BE46" s="32" cm="1">
        <f t="array" ref="BE46">$G$12+VLOOKUP($Q46,武学奇术!$A:$ZZ,12,FALSE)+SUM(_xlfn.XLOOKUP($R46:$AK46,增益!$A:$A,增益!$L:$L,0))</f>
        <v>0</v>
      </c>
      <c r="BF46">
        <f t="shared" si="5"/>
        <v>605.472</v>
      </c>
      <c r="BG46">
        <f t="shared" si="6"/>
        <v>1579.612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</v>
      </c>
      <c r="BI46" s="32" cm="1">
        <f t="array" ref="BI46">$G$13+VLOOKUP($Q46,武学奇术!$A:$ZZ,14,FALSE)+SUM(_xlfn.XLOOKUP($R46:$AK46,增益!$A:$A,增益!$N:$N,0))</f>
        <v>0.15</v>
      </c>
      <c r="BJ46">
        <f t="shared" si="7"/>
        <v>0</v>
      </c>
      <c r="BK46">
        <f t="shared" si="8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2" cm="1">
        <f t="array" ref="BM46">$G$14+VLOOKUP($Q46,武学奇术!$A:$ZZ,16,FALSE)+SUM(_xlfn.XLOOKUP($R46:$AK46,增益!$A:$A,增益!$P:$P,0))</f>
        <v>0</v>
      </c>
      <c r="BN46" s="24">
        <f>MIN(IF(VLOOKUP($Q46,武学奇术!$A:$ZZ,23,FALSE)=1,100%,$B$8),100%)</f>
        <v>1</v>
      </c>
      <c r="BO46" s="24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0.9093</v>
      </c>
      <c r="BP46" s="24" cm="1">
        <f t="array" ref="BP46">1+$B$13+VLOOKUP($Q46,武学奇术!$A:$ZZ,18,FALSE)+SUM(_xlfn.XLOOKUP($R46:$AK46,增益!$A:$A,增益!$R:$R,0))</f>
        <v>1.58</v>
      </c>
      <c r="BQ46" s="24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4" cm="1">
        <f t="array" ref="BR46">1+$B$14+VLOOKUP($Q46,武学奇术!$A:$ZZ,20,FALSE)+SUM(_xlfn.XLOOKUP($R46:$AK46,增益!$A:$A,增益!$T:$T,0))</f>
        <v>1.35</v>
      </c>
      <c r="BS46" s="24">
        <f t="shared" si="9"/>
        <v>0.9071</v>
      </c>
      <c r="BT46" s="24">
        <f t="shared" si="10"/>
        <v>0</v>
      </c>
      <c r="BU46" s="24">
        <f>IF(VLOOKUP($Q46,武学奇术!$A:$ZZ,22,FALSE)=1,0,(1-$BN46))*(1-$BQ46)</f>
        <v>0</v>
      </c>
      <c r="BV46" s="24" cm="1">
        <f t="array" ref="BV46">SUM(_xlfn.XLOOKUP($R46:$AK46,增益!$A:$A,增益!$W:$W,0))+$I$5</f>
        <v>0.06</v>
      </c>
    </row>
    <row r="47" spans="1:74">
      <c r="A47" s="4" t="s">
        <v>161</v>
      </c>
      <c r="B47" s="4">
        <v>0.1</v>
      </c>
      <c r="C47" s="27"/>
      <c r="K47" s="38">
        <f t="shared" si="0"/>
        <v>21904.2349066173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弹道",$B$21,0))*(1+$BV47)</f>
        <v>22036.141604348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弹道",$B$21,0))*(1+$BV47)</f>
        <v>20616.2632649425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弹道",$B$21,0))*(1+$BV47)</f>
        <v>13859.2085561937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弹道",$B$21,0))*(1+$BV47)</f>
        <v>12447.1109902078</v>
      </c>
      <c r="P47" s="39">
        <v>1</v>
      </c>
      <c r="Q47" s="40" t="s">
        <v>131</v>
      </c>
      <c r="R47" s="40" t="s">
        <v>97</v>
      </c>
      <c r="S47" s="40" t="s">
        <v>173</v>
      </c>
      <c r="T47" s="40" t="s">
        <v>78</v>
      </c>
      <c r="U47" s="40" t="s">
        <v>171</v>
      </c>
      <c r="V47" s="40" t="s">
        <v>78</v>
      </c>
      <c r="W47" s="40" t="s">
        <v>78</v>
      </c>
      <c r="X47" s="40" t="s">
        <v>78</v>
      </c>
      <c r="Y47" s="40" t="s">
        <v>78</v>
      </c>
      <c r="Z47" s="40" t="s">
        <v>78</v>
      </c>
      <c r="AA47" s="40" t="s">
        <v>78</v>
      </c>
      <c r="AB47" s="40" t="s">
        <v>78</v>
      </c>
      <c r="AC47" s="40" t="s">
        <v>78</v>
      </c>
      <c r="AD47" s="40" t="s">
        <v>78</v>
      </c>
      <c r="AE47" s="40" t="s">
        <v>78</v>
      </c>
      <c r="AF47" s="40" t="s">
        <v>78</v>
      </c>
      <c r="AG47" s="40" t="s">
        <v>78</v>
      </c>
      <c r="AH47" s="40" t="s">
        <v>78</v>
      </c>
      <c r="AI47" s="40" t="s">
        <v>78</v>
      </c>
      <c r="AJ47" s="40" t="s">
        <v>78</v>
      </c>
      <c r="AK47" s="40" t="s">
        <v>78</v>
      </c>
      <c r="AL47" t="str">
        <f>VLOOKUP($Q47,武学奇术!$A:$ZZ,25,FALSE)</f>
        <v>扇</v>
      </c>
      <c r="AM47" s="24">
        <f>VLOOKUP($Q47,武学奇术!$A:$ZZ,26,FALSE)</f>
        <v>1.2798</v>
      </c>
      <c r="AN47" s="25">
        <f>VLOOKUP($Q47,武学奇术!$A:$ZZ,27,FALSE)*(1+IF(OR($AL47=$F$4,$AL47=$F$5),$B$22,0))</f>
        <v>532.5</v>
      </c>
      <c r="AO47" s="24">
        <f>VLOOKUP($Q47,武学奇术!$A:$ZZ,28,FALSE)</f>
        <v>1.9197</v>
      </c>
      <c r="AP47" s="25">
        <f>VLOOKUP($Q47,武学奇术!$A:$ZZ,29,FALSE)*(1+IF(OR($AL47=$F$4,$AL47=$F$5),$B$22,0))</f>
        <v>289.5</v>
      </c>
      <c r="AQ47" s="24" cm="1">
        <f t="array" ref="AQ47">$G$3+IFERROR(VLOOKUP($AL47,$F$4:$G$7,2,FALSE),0)+VLOOKUP($Q47,武学奇术!$A:$ZZ,2,FALSE)+SUM(_xlfn.XLOOKUP($R47:$AK47,增益!$A:$A,增益!$B:$B,0))</f>
        <v>0.2389</v>
      </c>
      <c r="AR47" s="24" cm="1">
        <f t="array" ref="AR47">VLOOKUP($Q47,武学奇术!$A:$ZZ,5,FALSE)+SUM(_xlfn.XLOOKUP($R47:$AK47,增益!$A:$A,增益!$E:$E,0))</f>
        <v>0.15</v>
      </c>
      <c r="AS47" cm="1">
        <f t="array" ref="AS47">$D$10*(1+$AR47)+VLOOKUP($Q47,武学奇术!$A:$ZZ,3,FALSE)+SUM(_xlfn.XLOOKUP($R47:$AK47,增益!$A:$A,增益!$C:$C,0))-$I$2</f>
        <v>4389.8462</v>
      </c>
      <c r="AT47" cm="1">
        <f t="array" ref="AT47">$E$10*(1+$AR47)+VLOOKUP($Q47,武学奇术!$A:$ZZ,4,FALSE)+SUM(_xlfn.XLOOKUP($R47:$AK47,增益!$A:$A,增益!$D:$D,0))-$I$2</f>
        <v>4389.8462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0.2425</v>
      </c>
      <c r="AV47" s="32" cm="1">
        <f t="array" ref="AV47">$G$10+VLOOKUP($Q47,武学奇术!$A:$ZZ,7,FALSE)+SUM(_xlfn.XLOOKUP($R47:$AK47,增益!$A:$A,增益!$G:$G,0))</f>
        <v>0</v>
      </c>
      <c r="AW47" s="24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2" cm="1">
        <f t="array" ref="BA47">$G$11+VLOOKUP($Q47,武学奇术!$A:$ZZ,10,FALSE)+SUM(_xlfn.XLOOKUP($R47:$AK47,增益!$A:$A,增益!$J:$J,0))</f>
        <v>0</v>
      </c>
      <c r="BB47">
        <f t="shared" si="3"/>
        <v>0</v>
      </c>
      <c r="BC47">
        <f t="shared" si="4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-0.3</v>
      </c>
      <c r="BE47" s="32" cm="1">
        <f t="array" ref="BE47">$G$12+VLOOKUP($Q47,武学奇术!$A:$ZZ,12,FALSE)+SUM(_xlfn.XLOOKUP($R47:$AK47,增益!$A:$A,增益!$L:$L,0))</f>
        <v>0</v>
      </c>
      <c r="BF47">
        <f t="shared" si="5"/>
        <v>605.472</v>
      </c>
      <c r="BG47">
        <f t="shared" si="6"/>
        <v>1579.612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</v>
      </c>
      <c r="BI47" s="32" cm="1">
        <f t="array" ref="BI47">$G$13+VLOOKUP($Q47,武学奇术!$A:$ZZ,14,FALSE)+SUM(_xlfn.XLOOKUP($R47:$AK47,增益!$A:$A,增益!$N:$N,0))</f>
        <v>0.15</v>
      </c>
      <c r="BJ47">
        <f t="shared" si="7"/>
        <v>0</v>
      </c>
      <c r="BK47">
        <f t="shared" si="8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2" cm="1">
        <f t="array" ref="BM47">$G$14+VLOOKUP($Q47,武学奇术!$A:$ZZ,16,FALSE)+SUM(_xlfn.XLOOKUP($R47:$AK47,增益!$A:$A,增益!$P:$P,0))</f>
        <v>0</v>
      </c>
      <c r="BN47" s="24">
        <f>MIN(IF(VLOOKUP($Q47,武学奇术!$A:$ZZ,23,FALSE)=1,100%,$B$8),100%)</f>
        <v>1</v>
      </c>
      <c r="BO47" s="24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0.9093</v>
      </c>
      <c r="BP47" s="24" cm="1">
        <f t="array" ref="BP47">1+$B$13+VLOOKUP($Q47,武学奇术!$A:$ZZ,18,FALSE)+SUM(_xlfn.XLOOKUP($R47:$AK47,增益!$A:$A,增益!$R:$R,0))</f>
        <v>1.59</v>
      </c>
      <c r="BQ47" s="24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4" cm="1">
        <f t="array" ref="BR47">1+$B$14+VLOOKUP($Q47,武学奇术!$A:$ZZ,20,FALSE)+SUM(_xlfn.XLOOKUP($R47:$AK47,增益!$A:$A,增益!$T:$T,0))</f>
        <v>1.35</v>
      </c>
      <c r="BS47" s="24">
        <f t="shared" si="9"/>
        <v>0.9071</v>
      </c>
      <c r="BT47" s="24">
        <f t="shared" si="10"/>
        <v>0</v>
      </c>
      <c r="BU47" s="24">
        <f>IF(VLOOKUP($Q47,武学奇术!$A:$ZZ,22,FALSE)=1,0,(1-$BN47))*(1-$BQ47)</f>
        <v>0</v>
      </c>
      <c r="BV47" s="24" cm="1">
        <f t="array" ref="BV47">SUM(_xlfn.XLOOKUP($R47:$AK47,增益!$A:$A,增益!$W:$W,0))+$I$5</f>
        <v>0.06</v>
      </c>
    </row>
    <row r="48" spans="1:74">
      <c r="A48" s="4" t="s">
        <v>159</v>
      </c>
      <c r="B48" s="88">
        <v>1.3</v>
      </c>
      <c r="C48" s="27"/>
      <c r="K48" s="38">
        <f t="shared" si="0"/>
        <v>62510.1389504341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弹道",$B$21,0))*(1+$BV48)</f>
        <v>62886.4813341757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弹道",$B$21,0))*(1+$BV48)</f>
        <v>58835.4330700036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弹道",$B$21,0))*(1+$BV48)</f>
        <v>39551.2461221231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弹道",$B$21,0))*(1+$BV48)</f>
        <v>35520.6899701694</v>
      </c>
      <c r="P48" s="39">
        <v>1</v>
      </c>
      <c r="Q48" s="40" t="s">
        <v>169</v>
      </c>
      <c r="R48" s="40" t="s">
        <v>97</v>
      </c>
      <c r="S48" s="40" t="s">
        <v>173</v>
      </c>
      <c r="T48" s="40" t="s">
        <v>78</v>
      </c>
      <c r="U48" s="40" t="s">
        <v>171</v>
      </c>
      <c r="V48" s="40" t="s">
        <v>102</v>
      </c>
      <c r="W48" s="40" t="s">
        <v>78</v>
      </c>
      <c r="X48" s="40" t="s">
        <v>78</v>
      </c>
      <c r="Y48" s="40" t="s">
        <v>78</v>
      </c>
      <c r="Z48" s="40" t="s">
        <v>78</v>
      </c>
      <c r="AA48" s="40" t="s">
        <v>78</v>
      </c>
      <c r="AB48" s="40" t="s">
        <v>78</v>
      </c>
      <c r="AC48" s="40" t="s">
        <v>78</v>
      </c>
      <c r="AD48" s="40" t="s">
        <v>78</v>
      </c>
      <c r="AE48" s="40" t="s">
        <v>78</v>
      </c>
      <c r="AF48" s="40" t="s">
        <v>78</v>
      </c>
      <c r="AG48" s="40" t="s">
        <v>78</v>
      </c>
      <c r="AH48" s="40" t="s">
        <v>78</v>
      </c>
      <c r="AI48" s="40" t="s">
        <v>78</v>
      </c>
      <c r="AJ48" s="40" t="s">
        <v>78</v>
      </c>
      <c r="AK48" s="40" t="s">
        <v>78</v>
      </c>
      <c r="AL48" t="str">
        <f>VLOOKUP($Q48,武学奇术!$A:$ZZ,25,FALSE)</f>
        <v>扇</v>
      </c>
      <c r="AM48" s="24">
        <f>VLOOKUP($Q48,武学奇术!$A:$ZZ,26,FALSE)</f>
        <v>2.76138</v>
      </c>
      <c r="AN48" s="25">
        <f>VLOOKUP($Q48,武学奇术!$A:$ZZ,27,FALSE)*(1+IF(OR($AL48=$F$4,$AL48=$F$5),$B$22,0))</f>
        <v>1146.225</v>
      </c>
      <c r="AO48" s="24">
        <f>VLOOKUP($Q48,武学奇术!$A:$ZZ,28,FALSE)</f>
        <v>4.14207</v>
      </c>
      <c r="AP48" s="25">
        <f>VLOOKUP($Q48,武学奇术!$A:$ZZ,29,FALSE)*(1+IF(OR($AL48=$F$4,$AL48=$F$5),$B$22,0))</f>
        <v>624.225</v>
      </c>
      <c r="AQ48" s="24" cm="1">
        <f t="array" ref="AQ48">$G$3+IFERROR(VLOOKUP($AL48,$F$4:$G$7,2,FALSE),0)+VLOOKUP($Q48,武学奇术!$A:$ZZ,2,FALSE)+SUM(_xlfn.XLOOKUP($R48:$AK48,增益!$A:$A,增益!$B:$B,0))</f>
        <v>0.6389</v>
      </c>
      <c r="AR48" s="24" cm="1">
        <f t="array" ref="AR48">VLOOKUP($Q48,武学奇术!$A:$ZZ,5,FALSE)+SUM(_xlfn.XLOOKUP($R48:$AK48,增益!$A:$A,增益!$E:$E,0))</f>
        <v>0.15</v>
      </c>
      <c r="AS48" cm="1">
        <f t="array" ref="AS48">$D$10*(1+$AR48)+VLOOKUP($Q48,武学奇术!$A:$ZZ,3,FALSE)+SUM(_xlfn.XLOOKUP($R48:$AK48,增益!$A:$A,增益!$C:$C,0))-$I$2</f>
        <v>4389.8462</v>
      </c>
      <c r="AT48" cm="1">
        <f t="array" ref="AT48">$E$10*(1+$AR48)+VLOOKUP($Q48,武学奇术!$A:$ZZ,4,FALSE)+SUM(_xlfn.XLOOKUP($R48:$AK48,增益!$A:$A,增益!$D:$D,0))-$I$2</f>
        <v>4389.8462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0.2425</v>
      </c>
      <c r="AV48" s="32" cm="1">
        <f t="array" ref="AV48">$G$10+VLOOKUP($Q48,武学奇术!$A:$ZZ,7,FALSE)+SUM(_xlfn.XLOOKUP($R48:$AK48,增益!$A:$A,增益!$G:$G,0))</f>
        <v>0</v>
      </c>
      <c r="AW48" s="24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2" cm="1">
        <f t="array" ref="BA48">$G$11+VLOOKUP($Q48,武学奇术!$A:$ZZ,10,FALSE)+SUM(_xlfn.XLOOKUP($R48:$AK48,增益!$A:$A,增益!$J:$J,0))</f>
        <v>0</v>
      </c>
      <c r="BB48">
        <f t="shared" si="3"/>
        <v>0</v>
      </c>
      <c r="BC48">
        <f t="shared" si="4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-0.3</v>
      </c>
      <c r="BE48" s="32" cm="1">
        <f t="array" ref="BE48">$G$12+VLOOKUP($Q48,武学奇术!$A:$ZZ,12,FALSE)+SUM(_xlfn.XLOOKUP($R48:$AK48,增益!$A:$A,增益!$L:$L,0))</f>
        <v>0</v>
      </c>
      <c r="BF48">
        <f t="shared" si="5"/>
        <v>605.472</v>
      </c>
      <c r="BG48">
        <f t="shared" si="6"/>
        <v>1579.612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</v>
      </c>
      <c r="BI48" s="32" cm="1">
        <f t="array" ref="BI48">$G$13+VLOOKUP($Q48,武学奇术!$A:$ZZ,14,FALSE)+SUM(_xlfn.XLOOKUP($R48:$AK48,增益!$A:$A,增益!$N:$N,0))</f>
        <v>0.15</v>
      </c>
      <c r="BJ48">
        <f t="shared" si="7"/>
        <v>0</v>
      </c>
      <c r="BK48">
        <f t="shared" si="8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2" cm="1">
        <f t="array" ref="BM48">$G$14+VLOOKUP($Q48,武学奇术!$A:$ZZ,16,FALSE)+SUM(_xlfn.XLOOKUP($R48:$AK48,增益!$A:$A,增益!$P:$P,0))</f>
        <v>0</v>
      </c>
      <c r="BN48" s="24">
        <f>MIN(IF(VLOOKUP($Q48,武学奇术!$A:$ZZ,23,FALSE)=1,100%,$B$8),100%)</f>
        <v>1</v>
      </c>
      <c r="BO48" s="24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0.9093</v>
      </c>
      <c r="BP48" s="24" cm="1">
        <f t="array" ref="BP48">1+$B$13+VLOOKUP($Q48,武学奇术!$A:$ZZ,18,FALSE)+SUM(_xlfn.XLOOKUP($R48:$AK48,增益!$A:$A,增益!$R:$R,0))</f>
        <v>1.59</v>
      </c>
      <c r="BQ48" s="24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4" cm="1">
        <f t="array" ref="BR48">1+$B$14+VLOOKUP($Q48,武学奇术!$A:$ZZ,20,FALSE)+SUM(_xlfn.XLOOKUP($R48:$AK48,增益!$A:$A,增益!$T:$T,0))</f>
        <v>1.35</v>
      </c>
      <c r="BS48" s="24">
        <f t="shared" si="9"/>
        <v>0.9071</v>
      </c>
      <c r="BT48" s="24">
        <f t="shared" si="10"/>
        <v>0</v>
      </c>
      <c r="BU48" s="24">
        <f>IF(VLOOKUP($Q48,武学奇术!$A:$ZZ,22,FALSE)=1,0,(1-$BN48))*(1-$BQ48)</f>
        <v>0</v>
      </c>
      <c r="BV48" s="24" cm="1">
        <f t="array" ref="BV48">SUM(_xlfn.XLOOKUP($R48:$AK48,增益!$A:$A,增益!$W:$W,0))+$I$5</f>
        <v>0.06</v>
      </c>
    </row>
    <row r="49" spans="1:74">
      <c r="A49" s="4" t="s">
        <v>101</v>
      </c>
      <c r="B49" s="4">
        <v>1.25</v>
      </c>
      <c r="K49" s="38">
        <f t="shared" si="0"/>
        <v>98130.8536772853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弹道",$B$21,0))*(1+$BV49)</f>
        <v>100378.51539239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弹道",$B$21,0))*(1+$BV49)</f>
        <v>76184.0943471278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弹道",$B$21,0))*(1+$BV49)</f>
        <v>51213.5282614235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弹道",$B$21,0))*(1+$BV49)</f>
        <v>45994.3940434931</v>
      </c>
      <c r="P49" s="39">
        <v>1</v>
      </c>
      <c r="Q49" s="40" t="s">
        <v>175</v>
      </c>
      <c r="R49" s="40" t="s">
        <v>97</v>
      </c>
      <c r="S49" s="40" t="s">
        <v>176</v>
      </c>
      <c r="T49" s="40" t="s">
        <v>78</v>
      </c>
      <c r="U49" s="40" t="s">
        <v>171</v>
      </c>
      <c r="V49" s="40" t="s">
        <v>177</v>
      </c>
      <c r="W49" s="40" t="s">
        <v>78</v>
      </c>
      <c r="X49" s="40" t="s">
        <v>78</v>
      </c>
      <c r="Y49" s="40" t="s">
        <v>78</v>
      </c>
      <c r="Z49" s="40" t="s">
        <v>78</v>
      </c>
      <c r="AA49" s="40" t="s">
        <v>78</v>
      </c>
      <c r="AB49" s="40" t="s">
        <v>78</v>
      </c>
      <c r="AC49" s="40" t="s">
        <v>78</v>
      </c>
      <c r="AD49" s="40" t="s">
        <v>78</v>
      </c>
      <c r="AE49" s="40" t="s">
        <v>78</v>
      </c>
      <c r="AF49" s="40" t="s">
        <v>78</v>
      </c>
      <c r="AG49" s="40" t="s">
        <v>78</v>
      </c>
      <c r="AH49" s="40" t="s">
        <v>78</v>
      </c>
      <c r="AI49" s="40" t="s">
        <v>78</v>
      </c>
      <c r="AJ49" s="40" t="s">
        <v>78</v>
      </c>
      <c r="AK49" s="40" t="s">
        <v>78</v>
      </c>
      <c r="AL49" t="str">
        <f>VLOOKUP($Q49,武学奇术!$A:$ZZ,25,FALSE)</f>
        <v>扇</v>
      </c>
      <c r="AM49" s="24">
        <f>VLOOKUP($Q49,武学奇术!$A:$ZZ,26,FALSE)</f>
        <v>4.376825</v>
      </c>
      <c r="AN49" s="25">
        <f>VLOOKUP($Q49,武学奇术!$A:$ZZ,27,FALSE)*(1+IF(OR($AL49=$F$4,$AL49=$F$5),$B$22,0))</f>
        <v>1816.125</v>
      </c>
      <c r="AO49" s="24">
        <f>VLOOKUP($Q49,武学奇术!$A:$ZZ,28,FALSE)</f>
        <v>6.56531</v>
      </c>
      <c r="AP49" s="25">
        <f>VLOOKUP($Q49,武学奇术!$A:$ZZ,29,FALSE)*(1+IF(OR($AL49=$F$4,$AL49=$F$5),$B$22,0))</f>
        <v>989.625</v>
      </c>
      <c r="AQ49" s="24" cm="1">
        <f t="array" ref="AQ49">$G$3+IFERROR(VLOOKUP($AL49,$F$4:$G$7,2,FALSE),0)+VLOOKUP($Q49,武学奇术!$A:$ZZ,2,FALSE)+SUM(_xlfn.XLOOKUP($R49:$AK49,增益!$A:$A,增益!$B:$B,0))</f>
        <v>0.3389</v>
      </c>
      <c r="AR49" s="24" cm="1">
        <f t="array" ref="AR49">VLOOKUP($Q49,武学奇术!$A:$ZZ,5,FALSE)+SUM(_xlfn.XLOOKUP($R49:$AK49,增益!$A:$A,增益!$E:$E,0))</f>
        <v>0.15</v>
      </c>
      <c r="AS49" cm="1">
        <f t="array" ref="AS49">$D$10*(1+$AR49)+VLOOKUP($Q49,武学奇术!$A:$ZZ,3,FALSE)+SUM(_xlfn.XLOOKUP($R49:$AK49,增益!$A:$A,增益!$C:$C,0))-$I$2</f>
        <v>4389.8462</v>
      </c>
      <c r="AT49" cm="1">
        <f t="array" ref="AT49">$E$10*(1+$AR49)+VLOOKUP($Q49,武学奇术!$A:$ZZ,4,FALSE)+SUM(_xlfn.XLOOKUP($R49:$AK49,增益!$A:$A,增益!$D:$D,0))-$I$2</f>
        <v>4389.8462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0.2425</v>
      </c>
      <c r="AV49" s="32" cm="1">
        <f t="array" ref="AV49">$G$10+VLOOKUP($Q49,武学奇术!$A:$ZZ,7,FALSE)+SUM(_xlfn.XLOOKUP($R49:$AK49,增益!$A:$A,增益!$G:$G,0))</f>
        <v>0</v>
      </c>
      <c r="AW49" s="24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2" cm="1">
        <f t="array" ref="BA49">$G$11+VLOOKUP($Q49,武学奇术!$A:$ZZ,10,FALSE)+SUM(_xlfn.XLOOKUP($R49:$AK49,增益!$A:$A,增益!$J:$J,0))</f>
        <v>0</v>
      </c>
      <c r="BB49">
        <f t="shared" si="3"/>
        <v>0</v>
      </c>
      <c r="BC49">
        <f t="shared" si="4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-0.3</v>
      </c>
      <c r="BE49" s="32" cm="1">
        <f t="array" ref="BE49">$G$12+VLOOKUP($Q49,武学奇术!$A:$ZZ,12,FALSE)+SUM(_xlfn.XLOOKUP($R49:$AK49,增益!$A:$A,增益!$L:$L,0))</f>
        <v>0</v>
      </c>
      <c r="BF49">
        <f t="shared" si="5"/>
        <v>605.472</v>
      </c>
      <c r="BG49">
        <f t="shared" si="6"/>
        <v>1579.612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</v>
      </c>
      <c r="BI49" s="32" cm="1">
        <f t="array" ref="BI49">$G$13+VLOOKUP($Q49,武学奇术!$A:$ZZ,14,FALSE)+SUM(_xlfn.XLOOKUP($R49:$AK49,增益!$A:$A,增益!$N:$N,0))</f>
        <v>0.15</v>
      </c>
      <c r="BJ49">
        <f t="shared" si="7"/>
        <v>0</v>
      </c>
      <c r="BK49">
        <f t="shared" si="8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2" cm="1">
        <f t="array" ref="BM49">$G$14+VLOOKUP($Q49,武学奇术!$A:$ZZ,16,FALSE)+SUM(_xlfn.XLOOKUP($R49:$AK49,增益!$A:$A,增益!$P:$P,0))</f>
        <v>0</v>
      </c>
      <c r="BN49" s="24">
        <f>MIN(IF(VLOOKUP($Q49,武学奇术!$A:$ZZ,23,FALSE)=1,100%,$B$8),100%)</f>
        <v>1</v>
      </c>
      <c r="BO49" s="24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0.9093</v>
      </c>
      <c r="BP49" s="24" cm="1">
        <f t="array" ref="BP49">1+$B$13+VLOOKUP($Q49,武学奇术!$A:$ZZ,18,FALSE)+SUM(_xlfn.XLOOKUP($R49:$AK49,增益!$A:$A,增益!$R:$R,0))</f>
        <v>1.96</v>
      </c>
      <c r="BQ49" s="24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4" cm="1">
        <f t="array" ref="BR49">1+$B$14+VLOOKUP($Q49,武学奇术!$A:$ZZ,20,FALSE)+SUM(_xlfn.XLOOKUP($R49:$AK49,增益!$A:$A,增益!$T:$T,0))</f>
        <v>1.35</v>
      </c>
      <c r="BS49" s="24">
        <f t="shared" si="9"/>
        <v>0.9071</v>
      </c>
      <c r="BT49" s="24">
        <f t="shared" si="10"/>
        <v>0</v>
      </c>
      <c r="BU49" s="24">
        <f>IF(VLOOKUP($Q49,武学奇术!$A:$ZZ,22,FALSE)=1,0,(1-$BN49))*(1-$BQ49)</f>
        <v>0</v>
      </c>
      <c r="BV49" s="24" cm="1">
        <f t="array" ref="BV49">SUM(_xlfn.XLOOKUP($R49:$AK49,增益!$A:$A,增益!$W:$W,0))+$I$5</f>
        <v>0.06</v>
      </c>
    </row>
    <row r="50" spans="1:74">
      <c r="A50" s="4" t="s">
        <v>111</v>
      </c>
      <c r="B50" s="88">
        <v>1.16</v>
      </c>
      <c r="K50" s="38">
        <f t="shared" si="0"/>
        <v>25755.789811253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弹道",$B$21,0))*(1+$BV50)</f>
        <v>26328.6720264798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弹道",$B$21,0))*(1+$BV50)</f>
        <v>20162.0173954063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弹道",$B$21,0))*(1+$BV50)</f>
        <v>13571.4804260205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弹道",$B$21,0))*(1+$BV50)</f>
        <v>12208.13315174</v>
      </c>
      <c r="P50" s="39">
        <v>0.5</v>
      </c>
      <c r="Q50" s="40" t="s">
        <v>113</v>
      </c>
      <c r="R50" s="40" t="s">
        <v>97</v>
      </c>
      <c r="S50" s="40" t="s">
        <v>170</v>
      </c>
      <c r="T50" s="40" t="s">
        <v>106</v>
      </c>
      <c r="U50" s="40" t="s">
        <v>171</v>
      </c>
      <c r="V50" s="40" t="s">
        <v>102</v>
      </c>
      <c r="W50" s="40" t="s">
        <v>78</v>
      </c>
      <c r="X50" s="40" t="s">
        <v>78</v>
      </c>
      <c r="Y50" s="40" t="s">
        <v>78</v>
      </c>
      <c r="Z50" s="40" t="s">
        <v>78</v>
      </c>
      <c r="AA50" s="40" t="s">
        <v>78</v>
      </c>
      <c r="AB50" s="40" t="s">
        <v>78</v>
      </c>
      <c r="AC50" s="40" t="s">
        <v>78</v>
      </c>
      <c r="AD50" s="40" t="s">
        <v>78</v>
      </c>
      <c r="AE50" s="40" t="s">
        <v>78</v>
      </c>
      <c r="AF50" s="40" t="s">
        <v>78</v>
      </c>
      <c r="AG50" s="40" t="s">
        <v>78</v>
      </c>
      <c r="AH50" s="40" t="s">
        <v>78</v>
      </c>
      <c r="AI50" s="40" t="s">
        <v>78</v>
      </c>
      <c r="AJ50" s="40" t="s">
        <v>78</v>
      </c>
      <c r="AK50" s="40" t="s">
        <v>78</v>
      </c>
      <c r="AL50" t="str">
        <f>VLOOKUP($Q50,武学奇术!$A:$ZZ,25,FALSE)</f>
        <v>伞</v>
      </c>
      <c r="AM50" s="24">
        <f>VLOOKUP($Q50,武学奇术!$A:$ZZ,26,FALSE)</f>
        <v>1.174955</v>
      </c>
      <c r="AN50" s="25">
        <f>VLOOKUP($Q50,武学奇术!$A:$ZZ,27,FALSE)*(1+IF(OR($AL50=$F$4,$AL50=$F$5),$B$22,0))</f>
        <v>486.45</v>
      </c>
      <c r="AO50" s="24">
        <f>VLOOKUP($Q50,武学奇术!$A:$ZZ,28,FALSE)</f>
        <v>1.762375</v>
      </c>
      <c r="AP50" s="25">
        <f>VLOOKUP($Q50,武学奇术!$A:$ZZ,29,FALSE)*(1+IF(OR($AL50=$F$4,$AL50=$F$5),$B$22,0))</f>
        <v>265.65</v>
      </c>
      <c r="AQ50" s="24" cm="1">
        <f t="array" ref="AQ50">$G$3+IFERROR(VLOOKUP($AL50,$F$4:$G$7,2,FALSE),0)+VLOOKUP($Q50,武学奇术!$A:$ZZ,2,FALSE)+SUM(_xlfn.XLOOKUP($R50:$AK50,增益!$A:$A,增益!$B:$B,0))</f>
        <v>0.9741</v>
      </c>
      <c r="AR50" s="24" cm="1">
        <f t="array" ref="AR50">VLOOKUP($Q50,武学奇术!$A:$ZZ,5,FALSE)+SUM(_xlfn.XLOOKUP($R50:$AK50,增益!$A:$A,增益!$E:$E,0))</f>
        <v>0.15</v>
      </c>
      <c r="AS50" cm="1">
        <f t="array" ref="AS50">$D$10*(1+$AR50)+VLOOKUP($Q50,武学奇术!$A:$ZZ,3,FALSE)+SUM(_xlfn.XLOOKUP($R50:$AK50,增益!$A:$A,增益!$C:$C,0))-$I$2</f>
        <v>4389.8462</v>
      </c>
      <c r="AT50" cm="1">
        <f t="array" ref="AT50">$E$10*(1+$AR50)+VLOOKUP($Q50,武学奇术!$A:$ZZ,4,FALSE)+SUM(_xlfn.XLOOKUP($R50:$AK50,增益!$A:$A,增益!$D:$D,0))-$I$2</f>
        <v>4389.8462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0.2675</v>
      </c>
      <c r="AV50" s="32" cm="1">
        <f t="array" ref="AV50">$G$10+VLOOKUP($Q50,武学奇术!$A:$ZZ,7,FALSE)+SUM(_xlfn.XLOOKUP($R50:$AK50,增益!$A:$A,增益!$G:$G,0))</f>
        <v>0</v>
      </c>
      <c r="AW50" s="24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2" cm="1">
        <f t="array" ref="BA50">$G$11+VLOOKUP($Q50,武学奇术!$A:$ZZ,10,FALSE)+SUM(_xlfn.XLOOKUP($R50:$AK50,增益!$A:$A,增益!$J:$J,0))</f>
        <v>0</v>
      </c>
      <c r="BB50">
        <f t="shared" si="3"/>
        <v>0</v>
      </c>
      <c r="BC50">
        <f t="shared" si="4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-0.3</v>
      </c>
      <c r="BE50" s="32" cm="1">
        <f t="array" ref="BE50">$G$12+VLOOKUP($Q50,武学奇术!$A:$ZZ,12,FALSE)+SUM(_xlfn.XLOOKUP($R50:$AK50,增益!$A:$A,增益!$L:$L,0))</f>
        <v>0</v>
      </c>
      <c r="BF50">
        <f t="shared" si="5"/>
        <v>605.472</v>
      </c>
      <c r="BG50">
        <f t="shared" si="6"/>
        <v>1579.612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</v>
      </c>
      <c r="BI50" s="32" cm="1">
        <f t="array" ref="BI50">$G$13+VLOOKUP($Q50,武学奇术!$A:$ZZ,14,FALSE)+SUM(_xlfn.XLOOKUP($R50:$AK50,增益!$A:$A,增益!$N:$N,0))</f>
        <v>0.15</v>
      </c>
      <c r="BJ50">
        <f t="shared" si="7"/>
        <v>0</v>
      </c>
      <c r="BK50">
        <f t="shared" si="8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2" cm="1">
        <f t="array" ref="BM50">$G$14+VLOOKUP($Q50,武学奇术!$A:$ZZ,16,FALSE)+SUM(_xlfn.XLOOKUP($R50:$AK50,增益!$A:$A,增益!$P:$P,0))</f>
        <v>0</v>
      </c>
      <c r="BN50" s="24">
        <f>MIN(IF(VLOOKUP($Q50,武学奇术!$A:$ZZ,23,FALSE)=1,100%,$B$8),100%)</f>
        <v>1</v>
      </c>
      <c r="BO50" s="24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0.9093</v>
      </c>
      <c r="BP50" s="24" cm="1">
        <f t="array" ref="BP50">1+$B$13+VLOOKUP($Q50,武学奇术!$A:$ZZ,18,FALSE)+SUM(_xlfn.XLOOKUP($R50:$AK50,增益!$A:$A,增益!$R:$R,0))</f>
        <v>1.94</v>
      </c>
      <c r="BQ50" s="24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4" cm="1">
        <f t="array" ref="BR50">1+$B$14+VLOOKUP($Q50,武学奇术!$A:$ZZ,20,FALSE)+SUM(_xlfn.XLOOKUP($R50:$AK50,增益!$A:$A,增益!$T:$T,0))</f>
        <v>1.35</v>
      </c>
      <c r="BS50" s="24">
        <f t="shared" si="9"/>
        <v>0.9071</v>
      </c>
      <c r="BT50" s="24">
        <f t="shared" si="10"/>
        <v>0</v>
      </c>
      <c r="BU50" s="24">
        <f>IF(VLOOKUP($Q50,武学奇术!$A:$ZZ,22,FALSE)=1,0,(1-$BN50))*(1-$BQ50)</f>
        <v>0</v>
      </c>
      <c r="BV50" s="24" cm="1">
        <f t="array" ref="BV50">SUM(_xlfn.XLOOKUP($R50:$AK50,增益!$A:$A,增益!$W:$W,0))+$I$5</f>
        <v>0.06</v>
      </c>
    </row>
    <row r="51" spans="1:74">
      <c r="A51" s="4" t="s">
        <v>161</v>
      </c>
      <c r="B51" s="4">
        <v>0.1</v>
      </c>
      <c r="K51" s="38">
        <f t="shared" si="0"/>
        <v>103515.58684079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弹道",$B$21,0))*(1+$BV51)</f>
        <v>105857.54732296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弹道",$B$21,0))*(1+$BV51)</f>
        <v>80648.0695816253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弹道",$B$21,0))*(1+$BV51)</f>
        <v>54285.921704082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弹道",$B$21,0))*(1+$BV51)</f>
        <v>48832.5326069601</v>
      </c>
      <c r="P51" s="39">
        <v>2</v>
      </c>
      <c r="Q51" s="40" t="s">
        <v>113</v>
      </c>
      <c r="R51" s="40" t="s">
        <v>97</v>
      </c>
      <c r="S51" s="40" t="s">
        <v>173</v>
      </c>
      <c r="T51" s="40" t="s">
        <v>106</v>
      </c>
      <c r="U51" s="40" t="s">
        <v>171</v>
      </c>
      <c r="V51" s="40" t="s">
        <v>102</v>
      </c>
      <c r="W51" s="40" t="s">
        <v>78</v>
      </c>
      <c r="X51" s="40" t="s">
        <v>78</v>
      </c>
      <c r="Y51" s="40" t="s">
        <v>78</v>
      </c>
      <c r="Z51" s="40" t="s">
        <v>78</v>
      </c>
      <c r="AA51" s="40" t="s">
        <v>78</v>
      </c>
      <c r="AB51" s="40" t="s">
        <v>78</v>
      </c>
      <c r="AC51" s="40" t="s">
        <v>78</v>
      </c>
      <c r="AD51" s="40" t="s">
        <v>78</v>
      </c>
      <c r="AE51" s="40" t="s">
        <v>78</v>
      </c>
      <c r="AF51" s="40" t="s">
        <v>78</v>
      </c>
      <c r="AG51" s="40" t="s">
        <v>78</v>
      </c>
      <c r="AH51" s="40" t="s">
        <v>78</v>
      </c>
      <c r="AI51" s="40" t="s">
        <v>78</v>
      </c>
      <c r="AJ51" s="40" t="s">
        <v>78</v>
      </c>
      <c r="AK51" s="40" t="s">
        <v>78</v>
      </c>
      <c r="AL51" t="str">
        <f>VLOOKUP($Q51,武学奇术!$A:$ZZ,25,FALSE)</f>
        <v>伞</v>
      </c>
      <c r="AM51" s="24">
        <f>VLOOKUP($Q51,武学奇术!$A:$ZZ,26,FALSE)</f>
        <v>1.174955</v>
      </c>
      <c r="AN51" s="25">
        <f>VLOOKUP($Q51,武学奇术!$A:$ZZ,27,FALSE)*(1+IF(OR($AL51=$F$4,$AL51=$F$5),$B$22,0))</f>
        <v>486.45</v>
      </c>
      <c r="AO51" s="24">
        <f>VLOOKUP($Q51,武学奇术!$A:$ZZ,28,FALSE)</f>
        <v>1.762375</v>
      </c>
      <c r="AP51" s="25">
        <f>VLOOKUP($Q51,武学奇术!$A:$ZZ,29,FALSE)*(1+IF(OR($AL51=$F$4,$AL51=$F$5),$B$22,0))</f>
        <v>265.65</v>
      </c>
      <c r="AQ51" s="24" cm="1">
        <f t="array" ref="AQ51">$G$3+IFERROR(VLOOKUP($AL51,$F$4:$G$7,2,FALSE),0)+VLOOKUP($Q51,武学奇术!$A:$ZZ,2,FALSE)+SUM(_xlfn.XLOOKUP($R51:$AK51,增益!$A:$A,增益!$B:$B,0))</f>
        <v>0.9741</v>
      </c>
      <c r="AR51" s="24" cm="1">
        <f t="array" ref="AR51">VLOOKUP($Q51,武学奇术!$A:$ZZ,5,FALSE)+SUM(_xlfn.XLOOKUP($R51:$AK51,增益!$A:$A,增益!$E:$E,0))</f>
        <v>0.15</v>
      </c>
      <c r="AS51" cm="1">
        <f t="array" ref="AS51">$D$10*(1+$AR51)+VLOOKUP($Q51,武学奇术!$A:$ZZ,3,FALSE)+SUM(_xlfn.XLOOKUP($R51:$AK51,增益!$A:$A,增益!$C:$C,0))-$I$2</f>
        <v>4389.8462</v>
      </c>
      <c r="AT51" cm="1">
        <f t="array" ref="AT51">$E$10*(1+$AR51)+VLOOKUP($Q51,武学奇术!$A:$ZZ,4,FALSE)+SUM(_xlfn.XLOOKUP($R51:$AK51,增益!$A:$A,增益!$D:$D,0))-$I$2</f>
        <v>4389.8462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0.2675</v>
      </c>
      <c r="AV51" s="32" cm="1">
        <f t="array" ref="AV51">$G$10+VLOOKUP($Q51,武学奇术!$A:$ZZ,7,FALSE)+SUM(_xlfn.XLOOKUP($R51:$AK51,增益!$A:$A,增益!$G:$G,0))</f>
        <v>0</v>
      </c>
      <c r="AW51" s="24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2" cm="1">
        <f t="array" ref="BA51">$G$11+VLOOKUP($Q51,武学奇术!$A:$ZZ,10,FALSE)+SUM(_xlfn.XLOOKUP($R51:$AK51,增益!$A:$A,增益!$J:$J,0))</f>
        <v>0</v>
      </c>
      <c r="BB51">
        <f t="shared" si="3"/>
        <v>0</v>
      </c>
      <c r="BC51">
        <f t="shared" si="4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-0.3</v>
      </c>
      <c r="BE51" s="32" cm="1">
        <f t="array" ref="BE51">$G$12+VLOOKUP($Q51,武学奇术!$A:$ZZ,12,FALSE)+SUM(_xlfn.XLOOKUP($R51:$AK51,增益!$A:$A,增益!$L:$L,0))</f>
        <v>0</v>
      </c>
      <c r="BF51">
        <f t="shared" si="5"/>
        <v>605.472</v>
      </c>
      <c r="BG51">
        <f t="shared" si="6"/>
        <v>1579.612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</v>
      </c>
      <c r="BI51" s="32" cm="1">
        <f t="array" ref="BI51">$G$13+VLOOKUP($Q51,武学奇术!$A:$ZZ,14,FALSE)+SUM(_xlfn.XLOOKUP($R51:$AK51,增益!$A:$A,增益!$N:$N,0))</f>
        <v>0.15</v>
      </c>
      <c r="BJ51">
        <f t="shared" si="7"/>
        <v>0</v>
      </c>
      <c r="BK51">
        <f t="shared" si="8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2" cm="1">
        <f t="array" ref="BM51">$G$14+VLOOKUP($Q51,武学奇术!$A:$ZZ,16,FALSE)+SUM(_xlfn.XLOOKUP($R51:$AK51,增益!$A:$A,增益!$P:$P,0))</f>
        <v>0</v>
      </c>
      <c r="BN51" s="24">
        <f>MIN(IF(VLOOKUP($Q51,武学奇术!$A:$ZZ,23,FALSE)=1,100%,$B$8),100%)</f>
        <v>1</v>
      </c>
      <c r="BO51" s="24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0.9093</v>
      </c>
      <c r="BP51" s="24" cm="1">
        <f t="array" ref="BP51">1+$B$13+VLOOKUP($Q51,武学奇术!$A:$ZZ,18,FALSE)+SUM(_xlfn.XLOOKUP($R51:$AK51,增益!$A:$A,增益!$R:$R,0))</f>
        <v>1.95</v>
      </c>
      <c r="BQ51" s="24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4" cm="1">
        <f t="array" ref="BR51">1+$B$14+VLOOKUP($Q51,武学奇术!$A:$ZZ,20,FALSE)+SUM(_xlfn.XLOOKUP($R51:$AK51,增益!$A:$A,增益!$T:$T,0))</f>
        <v>1.35</v>
      </c>
      <c r="BS51" s="24">
        <f t="shared" si="9"/>
        <v>0.9071</v>
      </c>
      <c r="BT51" s="24">
        <f t="shared" si="10"/>
        <v>0</v>
      </c>
      <c r="BU51" s="24">
        <f>IF(VLOOKUP($Q51,武学奇术!$A:$ZZ,22,FALSE)=1,0,(1-$BN51))*(1-$BQ51)</f>
        <v>0</v>
      </c>
      <c r="BV51" s="24" cm="1">
        <f t="array" ref="BV51">SUM(_xlfn.XLOOKUP($R51:$AK51,增益!$A:$A,增益!$W:$W,0))+$I$5</f>
        <v>0.06</v>
      </c>
    </row>
    <row r="52" spans="1:74">
      <c r="A52" t="s">
        <v>201</v>
      </c>
      <c r="B52">
        <v>1</v>
      </c>
      <c r="K52" s="38">
        <f t="shared" si="0"/>
        <v>312024.043309703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弹道",$B$21,0))*(1+$BV52)</f>
        <v>319201.219620002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弹道",$B$21,0))*(1+$BV52)</f>
        <v>241944.208744876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弹道",$B$21,0))*(1+$BV52)</f>
        <v>162857.765112246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弹道",$B$21,0))*(1+$BV52)</f>
        <v>146497.59782088</v>
      </c>
      <c r="P52" s="39">
        <v>6</v>
      </c>
      <c r="Q52" s="40" t="s">
        <v>113</v>
      </c>
      <c r="R52" s="40" t="s">
        <v>97</v>
      </c>
      <c r="S52" s="40" t="s">
        <v>176</v>
      </c>
      <c r="T52" s="40" t="s">
        <v>106</v>
      </c>
      <c r="U52" s="40" t="s">
        <v>171</v>
      </c>
      <c r="V52" s="40" t="s">
        <v>102</v>
      </c>
      <c r="W52" s="40" t="s">
        <v>78</v>
      </c>
      <c r="X52" s="40" t="s">
        <v>78</v>
      </c>
      <c r="Y52" s="40" t="s">
        <v>78</v>
      </c>
      <c r="Z52" s="40" t="s">
        <v>78</v>
      </c>
      <c r="AA52" s="40" t="s">
        <v>78</v>
      </c>
      <c r="AB52" s="40" t="s">
        <v>78</v>
      </c>
      <c r="AC52" s="40" t="s">
        <v>78</v>
      </c>
      <c r="AD52" s="40" t="s">
        <v>78</v>
      </c>
      <c r="AE52" s="40" t="s">
        <v>78</v>
      </c>
      <c r="AF52" s="40" t="s">
        <v>78</v>
      </c>
      <c r="AG52" s="40" t="s">
        <v>78</v>
      </c>
      <c r="AH52" s="40" t="s">
        <v>78</v>
      </c>
      <c r="AI52" s="40" t="s">
        <v>78</v>
      </c>
      <c r="AJ52" s="40" t="s">
        <v>78</v>
      </c>
      <c r="AK52" s="40" t="s">
        <v>78</v>
      </c>
      <c r="AL52" t="str">
        <f>VLOOKUP($Q52,武学奇术!$A:$ZZ,25,FALSE)</f>
        <v>伞</v>
      </c>
      <c r="AM52" s="24">
        <f>VLOOKUP($Q52,武学奇术!$A:$ZZ,26,FALSE)</f>
        <v>1.174955</v>
      </c>
      <c r="AN52" s="25">
        <f>VLOOKUP($Q52,武学奇术!$A:$ZZ,27,FALSE)*(1+IF(OR($AL52=$F$4,$AL52=$F$5),$B$22,0))</f>
        <v>486.45</v>
      </c>
      <c r="AO52" s="24">
        <f>VLOOKUP($Q52,武学奇术!$A:$ZZ,28,FALSE)</f>
        <v>1.762375</v>
      </c>
      <c r="AP52" s="25">
        <f>VLOOKUP($Q52,武学奇术!$A:$ZZ,29,FALSE)*(1+IF(OR($AL52=$F$4,$AL52=$F$5),$B$22,0))</f>
        <v>265.65</v>
      </c>
      <c r="AQ52" s="24" cm="1">
        <f t="array" ref="AQ52">$G$3+IFERROR(VLOOKUP($AL52,$F$4:$G$7,2,FALSE),0)+VLOOKUP($Q52,武学奇术!$A:$ZZ,2,FALSE)+SUM(_xlfn.XLOOKUP($R52:$AK52,增益!$A:$A,增益!$B:$B,0))</f>
        <v>0.9741</v>
      </c>
      <c r="AR52" s="24" cm="1">
        <f t="array" ref="AR52">VLOOKUP($Q52,武学奇术!$A:$ZZ,5,FALSE)+SUM(_xlfn.XLOOKUP($R52:$AK52,增益!$A:$A,增益!$E:$E,0))</f>
        <v>0.15</v>
      </c>
      <c r="AS52" cm="1">
        <f t="array" ref="AS52">$D$10*(1+$AR52)+VLOOKUP($Q52,武学奇术!$A:$ZZ,3,FALSE)+SUM(_xlfn.XLOOKUP($R52:$AK52,增益!$A:$A,增益!$C:$C,0))-$I$2</f>
        <v>4389.8462</v>
      </c>
      <c r="AT52" cm="1">
        <f t="array" ref="AT52">$E$10*(1+$AR52)+VLOOKUP($Q52,武学奇术!$A:$ZZ,4,FALSE)+SUM(_xlfn.XLOOKUP($R52:$AK52,增益!$A:$A,增益!$D:$D,0))-$I$2</f>
        <v>4389.8462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0.2675</v>
      </c>
      <c r="AV52" s="32" cm="1">
        <f t="array" ref="AV52">$G$10+VLOOKUP($Q52,武学奇术!$A:$ZZ,7,FALSE)+SUM(_xlfn.XLOOKUP($R52:$AK52,增益!$A:$A,增益!$G:$G,0))</f>
        <v>0</v>
      </c>
      <c r="AW52" s="24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2" cm="1">
        <f t="array" ref="BA52">$G$11+VLOOKUP($Q52,武学奇术!$A:$ZZ,10,FALSE)+SUM(_xlfn.XLOOKUP($R52:$AK52,增益!$A:$A,增益!$J:$J,0))</f>
        <v>0</v>
      </c>
      <c r="BB52">
        <f t="shared" si="3"/>
        <v>0</v>
      </c>
      <c r="BC52">
        <f t="shared" si="4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-0.3</v>
      </c>
      <c r="BE52" s="32" cm="1">
        <f t="array" ref="BE52">$G$12+VLOOKUP($Q52,武学奇术!$A:$ZZ,12,FALSE)+SUM(_xlfn.XLOOKUP($R52:$AK52,增益!$A:$A,增益!$L:$L,0))</f>
        <v>0</v>
      </c>
      <c r="BF52">
        <f t="shared" si="5"/>
        <v>605.472</v>
      </c>
      <c r="BG52">
        <f t="shared" si="6"/>
        <v>1579.612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</v>
      </c>
      <c r="BI52" s="32" cm="1">
        <f t="array" ref="BI52">$G$13+VLOOKUP($Q52,武学奇术!$A:$ZZ,14,FALSE)+SUM(_xlfn.XLOOKUP($R52:$AK52,增益!$A:$A,增益!$N:$N,0))</f>
        <v>0.15</v>
      </c>
      <c r="BJ52">
        <f t="shared" si="7"/>
        <v>0</v>
      </c>
      <c r="BK52">
        <f t="shared" si="8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2" cm="1">
        <f t="array" ref="BM52">$G$14+VLOOKUP($Q52,武学奇术!$A:$ZZ,16,FALSE)+SUM(_xlfn.XLOOKUP($R52:$AK52,增益!$A:$A,增益!$P:$P,0))</f>
        <v>0</v>
      </c>
      <c r="BN52" s="24">
        <f>MIN(IF(VLOOKUP($Q52,武学奇术!$A:$ZZ,23,FALSE)=1,100%,$B$8),100%)</f>
        <v>1</v>
      </c>
      <c r="BO52" s="24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0.9093</v>
      </c>
      <c r="BP52" s="24" cm="1">
        <f t="array" ref="BP52">1+$B$13+VLOOKUP($Q52,武学奇术!$A:$ZZ,18,FALSE)+SUM(_xlfn.XLOOKUP($R52:$AK52,增益!$A:$A,增益!$R:$R,0))</f>
        <v>1.96</v>
      </c>
      <c r="BQ52" s="24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4" cm="1">
        <f t="array" ref="BR52">1+$B$14+VLOOKUP($Q52,武学奇术!$A:$ZZ,20,FALSE)+SUM(_xlfn.XLOOKUP($R52:$AK52,增益!$A:$A,增益!$T:$T,0))</f>
        <v>1.35</v>
      </c>
      <c r="BS52" s="24">
        <f t="shared" si="9"/>
        <v>0.9071</v>
      </c>
      <c r="BT52" s="24">
        <f t="shared" si="10"/>
        <v>0</v>
      </c>
      <c r="BU52" s="24">
        <f>IF(VLOOKUP($Q52,武学奇术!$A:$ZZ,22,FALSE)=1,0,(1-$BN52))*(1-$BQ52)</f>
        <v>0</v>
      </c>
      <c r="BV52" s="24" cm="1">
        <f t="array" ref="BV52">SUM(_xlfn.XLOOKUP($R52:$AK52,增益!$A:$A,增益!$W:$W,0))+$I$5</f>
        <v>0.06</v>
      </c>
    </row>
    <row r="53" spans="1:74">
      <c r="A53" s="4" t="s">
        <v>131</v>
      </c>
      <c r="B53" s="4">
        <v>0.8</v>
      </c>
      <c r="K53" s="38">
        <f t="shared" si="0"/>
        <v>78006.0108274257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弹道",$B$21,0))*(1+$BV53)</f>
        <v>79800.3049050005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弹道",$B$21,0))*(1+$BV53)</f>
        <v>60486.0521862189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弹道",$B$21,0))*(1+$BV53)</f>
        <v>40714.4412780615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弹道",$B$21,0))*(1+$BV53)</f>
        <v>36624.39945522</v>
      </c>
      <c r="P53" s="39">
        <v>1.5</v>
      </c>
      <c r="Q53" s="40" t="s">
        <v>113</v>
      </c>
      <c r="R53" s="40" t="s">
        <v>97</v>
      </c>
      <c r="S53" s="40" t="s">
        <v>176</v>
      </c>
      <c r="T53" s="40" t="s">
        <v>106</v>
      </c>
      <c r="U53" s="40" t="s">
        <v>171</v>
      </c>
      <c r="V53" s="40" t="s">
        <v>102</v>
      </c>
      <c r="W53" s="40" t="s">
        <v>78</v>
      </c>
      <c r="X53" s="40" t="s">
        <v>78</v>
      </c>
      <c r="Y53" s="40" t="s">
        <v>78</v>
      </c>
      <c r="Z53" s="40" t="s">
        <v>78</v>
      </c>
      <c r="AA53" s="40" t="s">
        <v>78</v>
      </c>
      <c r="AB53" s="40" t="s">
        <v>78</v>
      </c>
      <c r="AC53" s="40" t="s">
        <v>78</v>
      </c>
      <c r="AD53" s="40" t="s">
        <v>78</v>
      </c>
      <c r="AE53" s="40" t="s">
        <v>78</v>
      </c>
      <c r="AF53" s="40" t="s">
        <v>78</v>
      </c>
      <c r="AG53" s="40" t="s">
        <v>78</v>
      </c>
      <c r="AH53" s="40" t="s">
        <v>78</v>
      </c>
      <c r="AI53" s="40" t="s">
        <v>78</v>
      </c>
      <c r="AJ53" s="40" t="s">
        <v>78</v>
      </c>
      <c r="AK53" s="40" t="s">
        <v>78</v>
      </c>
      <c r="AL53" t="str">
        <f>VLOOKUP($Q53,武学奇术!$A:$ZZ,25,FALSE)</f>
        <v>伞</v>
      </c>
      <c r="AM53" s="24">
        <f>VLOOKUP($Q53,武学奇术!$A:$ZZ,26,FALSE)</f>
        <v>1.174955</v>
      </c>
      <c r="AN53" s="25">
        <f>VLOOKUP($Q53,武学奇术!$A:$ZZ,27,FALSE)*(1+IF(OR($AL53=$F$4,$AL53=$F$5),$B$22,0))</f>
        <v>486.45</v>
      </c>
      <c r="AO53" s="24">
        <f>VLOOKUP($Q53,武学奇术!$A:$ZZ,28,FALSE)</f>
        <v>1.762375</v>
      </c>
      <c r="AP53" s="25">
        <f>VLOOKUP($Q53,武学奇术!$A:$ZZ,29,FALSE)*(1+IF(OR($AL53=$F$4,$AL53=$F$5),$B$22,0))</f>
        <v>265.65</v>
      </c>
      <c r="AQ53" s="24" cm="1">
        <f t="array" ref="AQ53">$G$3+IFERROR(VLOOKUP($AL53,$F$4:$G$7,2,FALSE),0)+VLOOKUP($Q53,武学奇术!$A:$ZZ,2,FALSE)+SUM(_xlfn.XLOOKUP($R53:$AK53,增益!$A:$A,增益!$B:$B,0))</f>
        <v>0.9741</v>
      </c>
      <c r="AR53" s="24" cm="1">
        <f t="array" ref="AR53">VLOOKUP($Q53,武学奇术!$A:$ZZ,5,FALSE)+SUM(_xlfn.XLOOKUP($R53:$AK53,增益!$A:$A,增益!$E:$E,0))</f>
        <v>0.15</v>
      </c>
      <c r="AS53" cm="1">
        <f t="array" ref="AS53">$D$10*(1+$AR53)+VLOOKUP($Q53,武学奇术!$A:$ZZ,3,FALSE)+SUM(_xlfn.XLOOKUP($R53:$AK53,增益!$A:$A,增益!$C:$C,0))-$I$2</f>
        <v>4389.8462</v>
      </c>
      <c r="AT53" cm="1">
        <f t="array" ref="AT53">$E$10*(1+$AR53)+VLOOKUP($Q53,武学奇术!$A:$ZZ,4,FALSE)+SUM(_xlfn.XLOOKUP($R53:$AK53,增益!$A:$A,增益!$D:$D,0))-$I$2</f>
        <v>4389.8462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0.2675</v>
      </c>
      <c r="AV53" s="32" cm="1">
        <f t="array" ref="AV53">$G$10+VLOOKUP($Q53,武学奇术!$A:$ZZ,7,FALSE)+SUM(_xlfn.XLOOKUP($R53:$AK53,增益!$A:$A,增益!$G:$G,0))</f>
        <v>0</v>
      </c>
      <c r="AW53" s="24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2" cm="1">
        <f t="array" ref="BA53">$G$11+VLOOKUP($Q53,武学奇术!$A:$ZZ,10,FALSE)+SUM(_xlfn.XLOOKUP($R53:$AK53,增益!$A:$A,增益!$J:$J,0))</f>
        <v>0</v>
      </c>
      <c r="BB53">
        <f t="shared" si="3"/>
        <v>0</v>
      </c>
      <c r="BC53">
        <f t="shared" si="4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-0.3</v>
      </c>
      <c r="BE53" s="32" cm="1">
        <f t="array" ref="BE53">$G$12+VLOOKUP($Q53,武学奇术!$A:$ZZ,12,FALSE)+SUM(_xlfn.XLOOKUP($R53:$AK53,增益!$A:$A,增益!$L:$L,0))</f>
        <v>0</v>
      </c>
      <c r="BF53">
        <f t="shared" si="5"/>
        <v>605.472</v>
      </c>
      <c r="BG53">
        <f t="shared" si="6"/>
        <v>1579.612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</v>
      </c>
      <c r="BI53" s="32" cm="1">
        <f t="array" ref="BI53">$G$13+VLOOKUP($Q53,武学奇术!$A:$ZZ,14,FALSE)+SUM(_xlfn.XLOOKUP($R53:$AK53,增益!$A:$A,增益!$N:$N,0))</f>
        <v>0.15</v>
      </c>
      <c r="BJ53">
        <f t="shared" si="7"/>
        <v>0</v>
      </c>
      <c r="BK53">
        <f t="shared" si="8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2" cm="1">
        <f t="array" ref="BM53">$G$14+VLOOKUP($Q53,武学奇术!$A:$ZZ,16,FALSE)+SUM(_xlfn.XLOOKUP($R53:$AK53,增益!$A:$A,增益!$P:$P,0))</f>
        <v>0</v>
      </c>
      <c r="BN53" s="24">
        <f>MIN(IF(VLOOKUP($Q53,武学奇术!$A:$ZZ,23,FALSE)=1,100%,$B$8),100%)</f>
        <v>1</v>
      </c>
      <c r="BO53" s="24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0.9093</v>
      </c>
      <c r="BP53" s="24" cm="1">
        <f t="array" ref="BP53">1+$B$13+VLOOKUP($Q53,武学奇术!$A:$ZZ,18,FALSE)+SUM(_xlfn.XLOOKUP($R53:$AK53,增益!$A:$A,增益!$R:$R,0))</f>
        <v>1.96</v>
      </c>
      <c r="BQ53" s="24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4" cm="1">
        <f t="array" ref="BR53">1+$B$14+VLOOKUP($Q53,武学奇术!$A:$ZZ,20,FALSE)+SUM(_xlfn.XLOOKUP($R53:$AK53,增益!$A:$A,增益!$T:$T,0))</f>
        <v>1.35</v>
      </c>
      <c r="BS53" s="24">
        <f t="shared" si="9"/>
        <v>0.9071</v>
      </c>
      <c r="BT53" s="24">
        <f t="shared" si="10"/>
        <v>0</v>
      </c>
      <c r="BU53" s="24">
        <f>IF(VLOOKUP($Q53,武学奇术!$A:$ZZ,22,FALSE)=1,0,(1-$BN53))*(1-$BQ53)</f>
        <v>0</v>
      </c>
      <c r="BV53" s="24" cm="1">
        <f t="array" ref="BV53">SUM(_xlfn.XLOOKUP($R53:$AK53,增益!$A:$A,增益!$W:$W,0))+$I$5</f>
        <v>0.06</v>
      </c>
    </row>
    <row r="54" spans="1:74">
      <c r="A54" t="s">
        <v>200</v>
      </c>
      <c r="B54">
        <v>2.5</v>
      </c>
      <c r="K54" s="38">
        <f t="shared" si="0"/>
        <v>15959.2263738113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弹道",$B$21,0))*(1+$BV54)</f>
        <v>16064.1106369502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弹道",$B$21,0))*(1+$BV54)</f>
        <v>14935.1088808807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弹道",$B$21,0))*(1+$BV54)</f>
        <v>10040.0691480938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弹道",$B$21,0))*(1+$BV54)</f>
        <v>9017.09468072049</v>
      </c>
      <c r="P54" s="39">
        <v>1</v>
      </c>
      <c r="Q54" s="40" t="s">
        <v>160</v>
      </c>
      <c r="R54" s="40" t="s">
        <v>97</v>
      </c>
      <c r="S54" s="40" t="s">
        <v>176</v>
      </c>
      <c r="T54" s="40" t="s">
        <v>78</v>
      </c>
      <c r="U54" s="40" t="s">
        <v>171</v>
      </c>
      <c r="V54" s="40" t="s">
        <v>78</v>
      </c>
      <c r="W54" s="40" t="s">
        <v>78</v>
      </c>
      <c r="X54" s="40" t="s">
        <v>78</v>
      </c>
      <c r="Y54" s="40" t="s">
        <v>78</v>
      </c>
      <c r="Z54" s="40" t="s">
        <v>78</v>
      </c>
      <c r="AA54" s="40" t="s">
        <v>78</v>
      </c>
      <c r="AB54" s="40" t="s">
        <v>78</v>
      </c>
      <c r="AC54" s="40" t="s">
        <v>78</v>
      </c>
      <c r="AD54" s="40" t="s">
        <v>78</v>
      </c>
      <c r="AE54" s="40" t="s">
        <v>78</v>
      </c>
      <c r="AF54" s="40" t="s">
        <v>78</v>
      </c>
      <c r="AG54" s="40" t="s">
        <v>78</v>
      </c>
      <c r="AH54" s="40" t="s">
        <v>78</v>
      </c>
      <c r="AI54" s="40" t="s">
        <v>78</v>
      </c>
      <c r="AJ54" s="40" t="s">
        <v>78</v>
      </c>
      <c r="AK54" s="40" t="s">
        <v>78</v>
      </c>
      <c r="AL54" t="str">
        <f>VLOOKUP($Q54,武学奇术!$A:$ZZ,25,FALSE)</f>
        <v>扇</v>
      </c>
      <c r="AM54" s="24">
        <f>VLOOKUP($Q54,武学奇术!$A:$ZZ,26,FALSE)</f>
        <v>0.9271</v>
      </c>
      <c r="AN54" s="25">
        <f>VLOOKUP($Q54,武学奇术!$A:$ZZ,27,FALSE)*(1+IF(OR($AL54=$F$4,$AL54=$F$5),$B$22,0))</f>
        <v>385.5</v>
      </c>
      <c r="AO54" s="24">
        <f>VLOOKUP($Q54,武学奇术!$A:$ZZ,28,FALSE)</f>
        <v>1.3907</v>
      </c>
      <c r="AP54" s="25">
        <f>VLOOKUP($Q54,武学奇术!$A:$ZZ,29,FALSE)*(1+IF(OR($AL54=$F$4,$AL54=$F$5),$B$22,0))</f>
        <v>210</v>
      </c>
      <c r="AQ54" s="24" cm="1">
        <f t="array" ref="AQ54">$G$3+IFERROR(VLOOKUP($AL54,$F$4:$G$7,2,FALSE),0)+VLOOKUP($Q54,武学奇术!$A:$ZZ,2,FALSE)+SUM(_xlfn.XLOOKUP($R54:$AK54,增益!$A:$A,增益!$B:$B,0))</f>
        <v>0.2389</v>
      </c>
      <c r="AR54" s="24" cm="1">
        <f t="array" ref="AR54">VLOOKUP($Q54,武学奇术!$A:$ZZ,5,FALSE)+SUM(_xlfn.XLOOKUP($R54:$AK54,增益!$A:$A,增益!$E:$E,0))</f>
        <v>0.15</v>
      </c>
      <c r="AS54" cm="1">
        <f t="array" ref="AS54">$D$10*(1+$AR54)+VLOOKUP($Q54,武学奇术!$A:$ZZ,3,FALSE)+SUM(_xlfn.XLOOKUP($R54:$AK54,增益!$A:$A,增益!$C:$C,0))-$I$2</f>
        <v>4389.8462</v>
      </c>
      <c r="AT54" cm="1">
        <f t="array" ref="AT54">$E$10*(1+$AR54)+VLOOKUP($Q54,武学奇术!$A:$ZZ,4,FALSE)+SUM(_xlfn.XLOOKUP($R54:$AK54,增益!$A:$A,增益!$D:$D,0))-$I$2</f>
        <v>4389.8462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0.2425</v>
      </c>
      <c r="AV54" s="32" cm="1">
        <f t="array" ref="AV54">$G$10+VLOOKUP($Q54,武学奇术!$A:$ZZ,7,FALSE)+SUM(_xlfn.XLOOKUP($R54:$AK54,增益!$A:$A,增益!$G:$G,0))</f>
        <v>0</v>
      </c>
      <c r="AW54" s="24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2" cm="1">
        <f t="array" ref="BA54">$G$11+VLOOKUP($Q54,武学奇术!$A:$ZZ,10,FALSE)+SUM(_xlfn.XLOOKUP($R54:$AK54,增益!$A:$A,增益!$J:$J,0))</f>
        <v>0</v>
      </c>
      <c r="BB54">
        <f t="shared" si="3"/>
        <v>0</v>
      </c>
      <c r="BC54">
        <f t="shared" si="4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-0.3</v>
      </c>
      <c r="BE54" s="32" cm="1">
        <f t="array" ref="BE54">$G$12+VLOOKUP($Q54,武学奇术!$A:$ZZ,12,FALSE)+SUM(_xlfn.XLOOKUP($R54:$AK54,增益!$A:$A,增益!$L:$L,0))</f>
        <v>0</v>
      </c>
      <c r="BF54">
        <f t="shared" si="5"/>
        <v>605.472</v>
      </c>
      <c r="BG54">
        <f t="shared" si="6"/>
        <v>1579.612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</v>
      </c>
      <c r="BI54" s="32" cm="1">
        <f t="array" ref="BI54">$G$13+VLOOKUP($Q54,武学奇术!$A:$ZZ,14,FALSE)+SUM(_xlfn.XLOOKUP($R54:$AK54,增益!$A:$A,增益!$N:$N,0))</f>
        <v>0.15</v>
      </c>
      <c r="BJ54">
        <f t="shared" si="7"/>
        <v>0</v>
      </c>
      <c r="BK54">
        <f t="shared" si="8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2" cm="1">
        <f t="array" ref="BM54">$G$14+VLOOKUP($Q54,武学奇术!$A:$ZZ,16,FALSE)+SUM(_xlfn.XLOOKUP($R54:$AK54,增益!$A:$A,增益!$P:$P,0))</f>
        <v>0</v>
      </c>
      <c r="BN54" s="24">
        <f>MIN(IF(VLOOKUP($Q54,武学奇术!$A:$ZZ,23,FALSE)=1,100%,$B$8),100%)</f>
        <v>1</v>
      </c>
      <c r="BO54" s="24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0.9093</v>
      </c>
      <c r="BP54" s="24" cm="1">
        <f t="array" ref="BP54">1+$B$13+VLOOKUP($Q54,武学奇术!$A:$ZZ,18,FALSE)+SUM(_xlfn.XLOOKUP($R54:$AK54,增益!$A:$A,增益!$R:$R,0))</f>
        <v>1.6</v>
      </c>
      <c r="BQ54" s="24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4" cm="1">
        <f t="array" ref="BR54">1+$B$14+VLOOKUP($Q54,武学奇术!$A:$ZZ,20,FALSE)+SUM(_xlfn.XLOOKUP($R54:$AK54,增益!$A:$A,增益!$T:$T,0))</f>
        <v>1.35</v>
      </c>
      <c r="BS54" s="24">
        <f t="shared" si="9"/>
        <v>0.9071</v>
      </c>
      <c r="BT54" s="24">
        <f t="shared" si="10"/>
        <v>0</v>
      </c>
      <c r="BU54" s="24">
        <f>IF(VLOOKUP($Q54,武学奇术!$A:$ZZ,22,FALSE)=1,0,(1-$BN54))*(1-$BQ54)</f>
        <v>0</v>
      </c>
      <c r="BV54" s="24" cm="1">
        <f t="array" ref="BV54">SUM(_xlfn.XLOOKUP($R54:$AK54,增益!$A:$A,增益!$W:$W,0))+$I$5</f>
        <v>0.06</v>
      </c>
    </row>
    <row r="55" spans="1:74">
      <c r="A55" s="4" t="s">
        <v>161</v>
      </c>
      <c r="B55" s="4">
        <v>0.1</v>
      </c>
      <c r="K55" s="38">
        <f t="shared" si="0"/>
        <v>78472.2238059395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弹道",$B$21,0))*(1+$BV55)</f>
        <v>80277.3715876609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弹道",$B$21,0))*(1+$BV55)</f>
        <v>60846.286746742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弹道",$B$21,0))*(1+$BV55)</f>
        <v>40957.8426467658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弹道",$B$21,0))*(1+$BV55)</f>
        <v>36844.3617774264</v>
      </c>
      <c r="P55" s="39">
        <v>1</v>
      </c>
      <c r="Q55" s="40" t="s">
        <v>101</v>
      </c>
      <c r="R55" s="40" t="s">
        <v>97</v>
      </c>
      <c r="S55" s="40" t="s">
        <v>176</v>
      </c>
      <c r="T55" s="40" t="s">
        <v>106</v>
      </c>
      <c r="U55" s="40" t="s">
        <v>171</v>
      </c>
      <c r="V55" s="40" t="s">
        <v>102</v>
      </c>
      <c r="W55" s="40" t="s">
        <v>78</v>
      </c>
      <c r="X55" s="40" t="s">
        <v>78</v>
      </c>
      <c r="Y55" s="40" t="s">
        <v>78</v>
      </c>
      <c r="Z55" s="40" t="s">
        <v>78</v>
      </c>
      <c r="AA55" s="40" t="s">
        <v>78</v>
      </c>
      <c r="AB55" s="40" t="s">
        <v>78</v>
      </c>
      <c r="AC55" s="40" t="s">
        <v>78</v>
      </c>
      <c r="AD55" s="40" t="s">
        <v>78</v>
      </c>
      <c r="AE55" s="40" t="s">
        <v>78</v>
      </c>
      <c r="AF55" s="40" t="s">
        <v>78</v>
      </c>
      <c r="AG55" s="40" t="s">
        <v>78</v>
      </c>
      <c r="AH55" s="40" t="s">
        <v>78</v>
      </c>
      <c r="AI55" s="40" t="s">
        <v>78</v>
      </c>
      <c r="AJ55" s="40" t="s">
        <v>78</v>
      </c>
      <c r="AK55" s="40" t="s">
        <v>78</v>
      </c>
      <c r="AL55" t="str">
        <f>VLOOKUP($Q55,武学奇术!$A:$ZZ,25,FALSE)</f>
        <v>伞</v>
      </c>
      <c r="AM55" s="24">
        <f>VLOOKUP($Q55,武学奇术!$A:$ZZ,26,FALSE)</f>
        <v>2.3397</v>
      </c>
      <c r="AN55" s="25">
        <f>VLOOKUP($Q55,武学奇术!$A:$ZZ,27,FALSE)*(1+IF(OR($AL55=$F$4,$AL55=$F$5),$B$22,0))</f>
        <v>972</v>
      </c>
      <c r="AO55" s="24">
        <f>VLOOKUP($Q55,武学奇术!$A:$ZZ,28,FALSE)</f>
        <v>3.5095</v>
      </c>
      <c r="AP55" s="25">
        <f>VLOOKUP($Q55,武学奇术!$A:$ZZ,29,FALSE)*(1+IF(OR($AL55=$F$4,$AL55=$F$5),$B$22,0))</f>
        <v>529.5</v>
      </c>
      <c r="AQ55" s="24" cm="1">
        <f t="array" ref="AQ55">$G$3+IFERROR(VLOOKUP($AL55,$F$4:$G$7,2,FALSE),0)+VLOOKUP($Q55,武学奇术!$A:$ZZ,2,FALSE)+SUM(_xlfn.XLOOKUP($R55:$AK55,增益!$A:$A,增益!$B:$B,0))</f>
        <v>0.9741</v>
      </c>
      <c r="AR55" s="24" cm="1">
        <f t="array" ref="AR55">VLOOKUP($Q55,武学奇术!$A:$ZZ,5,FALSE)+SUM(_xlfn.XLOOKUP($R55:$AK55,增益!$A:$A,增益!$E:$E,0))</f>
        <v>0.15</v>
      </c>
      <c r="AS55" cm="1">
        <f t="array" ref="AS55">$D$10*(1+$AR55)+VLOOKUP($Q55,武学奇术!$A:$ZZ,3,FALSE)+SUM(_xlfn.XLOOKUP($R55:$AK55,增益!$A:$A,增益!$C:$C,0))-$I$2</f>
        <v>4389.8462</v>
      </c>
      <c r="AT55" cm="1">
        <f t="array" ref="AT55">$E$10*(1+$AR55)+VLOOKUP($Q55,武学奇术!$A:$ZZ,4,FALSE)+SUM(_xlfn.XLOOKUP($R55:$AK55,增益!$A:$A,增益!$D:$D,0))-$I$2</f>
        <v>4389.8462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0.2675</v>
      </c>
      <c r="AV55" s="32" cm="1">
        <f t="array" ref="AV55">$G$10+VLOOKUP($Q55,武学奇术!$A:$ZZ,7,FALSE)+SUM(_xlfn.XLOOKUP($R55:$AK55,增益!$A:$A,增益!$G:$G,0))</f>
        <v>0</v>
      </c>
      <c r="AW55" s="24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2" cm="1">
        <f t="array" ref="BA55">$G$11+VLOOKUP($Q55,武学奇术!$A:$ZZ,10,FALSE)+SUM(_xlfn.XLOOKUP($R55:$AK55,增益!$A:$A,增益!$J:$J,0))</f>
        <v>0</v>
      </c>
      <c r="BB55">
        <f t="shared" si="3"/>
        <v>0</v>
      </c>
      <c r="BC55">
        <f t="shared" si="4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-0.3</v>
      </c>
      <c r="BE55" s="32" cm="1">
        <f t="array" ref="BE55">$G$12+VLOOKUP($Q55,武学奇术!$A:$ZZ,12,FALSE)+SUM(_xlfn.XLOOKUP($R55:$AK55,增益!$A:$A,增益!$L:$L,0))</f>
        <v>0</v>
      </c>
      <c r="BF55">
        <f t="shared" si="5"/>
        <v>605.472</v>
      </c>
      <c r="BG55">
        <f t="shared" si="6"/>
        <v>1579.612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</v>
      </c>
      <c r="BI55" s="32" cm="1">
        <f t="array" ref="BI55">$G$13+VLOOKUP($Q55,武学奇术!$A:$ZZ,14,FALSE)+SUM(_xlfn.XLOOKUP($R55:$AK55,增益!$A:$A,增益!$N:$N,0))</f>
        <v>0.15</v>
      </c>
      <c r="BJ55">
        <f t="shared" si="7"/>
        <v>0</v>
      </c>
      <c r="BK55">
        <f t="shared" si="8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2" cm="1">
        <f t="array" ref="BM55">$G$14+VLOOKUP($Q55,武学奇术!$A:$ZZ,16,FALSE)+SUM(_xlfn.XLOOKUP($R55:$AK55,增益!$A:$A,增益!$P:$P,0))</f>
        <v>0</v>
      </c>
      <c r="BN55" s="24">
        <f>MIN(IF(VLOOKUP($Q55,武学奇术!$A:$ZZ,23,FALSE)=1,100%,$B$8),100%)</f>
        <v>1</v>
      </c>
      <c r="BO55" s="24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0.9093</v>
      </c>
      <c r="BP55" s="24" cm="1">
        <f t="array" ref="BP55">1+$B$13+VLOOKUP($Q55,武学奇术!$A:$ZZ,18,FALSE)+SUM(_xlfn.XLOOKUP($R55:$AK55,增益!$A:$A,增益!$R:$R,0))</f>
        <v>1.96</v>
      </c>
      <c r="BQ55" s="24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4" cm="1">
        <f t="array" ref="BR55">1+$B$14+VLOOKUP($Q55,武学奇术!$A:$ZZ,20,FALSE)+SUM(_xlfn.XLOOKUP($R55:$AK55,增益!$A:$A,增益!$T:$T,0))</f>
        <v>1.35</v>
      </c>
      <c r="BS55" s="24">
        <f t="shared" si="9"/>
        <v>0.9071</v>
      </c>
      <c r="BT55" s="24">
        <f t="shared" si="10"/>
        <v>0</v>
      </c>
      <c r="BU55" s="24">
        <f>IF(VLOOKUP($Q55,武学奇术!$A:$ZZ,22,FALSE)=1,0,(1-$BN55))*(1-$BQ55)</f>
        <v>0</v>
      </c>
      <c r="BV55" s="24" cm="1">
        <f t="array" ref="BV55">SUM(_xlfn.XLOOKUP($R55:$AK55,增益!$A:$A,增益!$W:$W,0))+$I$5</f>
        <v>0.06</v>
      </c>
    </row>
    <row r="56" spans="1:74">
      <c r="A56" s="4" t="s">
        <v>159</v>
      </c>
      <c r="B56" s="4">
        <v>1.3</v>
      </c>
      <c r="K56" s="38">
        <f t="shared" si="0"/>
        <v>13104.4062809297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弹道",$B$21,0))*(1+$BV56)</f>
        <v>13190.453645804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弹道",$B$21,0))*(1+$BV56)</f>
        <v>12264.2172101273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弹道",$B$21,0))*(1+$BV56)</f>
        <v>8244.03352862752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弹道",$B$21,0))*(1+$BV56)</f>
        <v>7403.46171642001</v>
      </c>
      <c r="P56" s="39">
        <v>1</v>
      </c>
      <c r="Q56" s="40" t="s">
        <v>111</v>
      </c>
      <c r="R56" s="40" t="s">
        <v>97</v>
      </c>
      <c r="S56" s="40" t="s">
        <v>176</v>
      </c>
      <c r="T56" s="40" t="s">
        <v>78</v>
      </c>
      <c r="U56" s="40" t="s">
        <v>171</v>
      </c>
      <c r="V56" s="40" t="s">
        <v>78</v>
      </c>
      <c r="W56" s="40" t="s">
        <v>78</v>
      </c>
      <c r="X56" s="40" t="s">
        <v>78</v>
      </c>
      <c r="Y56" s="40" t="s">
        <v>78</v>
      </c>
      <c r="Z56" s="40" t="s">
        <v>78</v>
      </c>
      <c r="AA56" s="40" t="s">
        <v>78</v>
      </c>
      <c r="AB56" s="40" t="s">
        <v>78</v>
      </c>
      <c r="AC56" s="40" t="s">
        <v>78</v>
      </c>
      <c r="AD56" s="40" t="s">
        <v>78</v>
      </c>
      <c r="AE56" s="40" t="s">
        <v>78</v>
      </c>
      <c r="AF56" s="40" t="s">
        <v>78</v>
      </c>
      <c r="AG56" s="40" t="s">
        <v>78</v>
      </c>
      <c r="AH56" s="40" t="s">
        <v>78</v>
      </c>
      <c r="AI56" s="40" t="s">
        <v>78</v>
      </c>
      <c r="AJ56" s="40" t="s">
        <v>78</v>
      </c>
      <c r="AK56" s="40" t="s">
        <v>78</v>
      </c>
      <c r="AL56" t="str">
        <f>VLOOKUP($Q56,武学奇术!$A:$ZZ,25,FALSE)</f>
        <v>伞</v>
      </c>
      <c r="AM56" s="24">
        <f>VLOOKUP($Q56,武学奇术!$A:$ZZ,26,FALSE)</f>
        <v>0.54</v>
      </c>
      <c r="AN56" s="25">
        <f>VLOOKUP($Q56,武学奇术!$A:$ZZ,27,FALSE)*(1+IF(OR($AL56=$F$4,$AL56=$F$5),$B$22,0))</f>
        <v>222</v>
      </c>
      <c r="AO56" s="24">
        <f>VLOOKUP($Q56,武学奇术!$A:$ZZ,28,FALSE)</f>
        <v>0.81</v>
      </c>
      <c r="AP56" s="25">
        <f>VLOOKUP($Q56,武学奇术!$A:$ZZ,29,FALSE)*(1+IF(OR($AL56=$F$4,$AL56=$F$5),$B$22,0))</f>
        <v>122.25</v>
      </c>
      <c r="AQ56" s="24" cm="1">
        <f t="array" ref="AQ56">$G$3+IFERROR(VLOOKUP($AL56,$F$4:$G$7,2,FALSE),0)+VLOOKUP($Q56,武学奇术!$A:$ZZ,2,FALSE)+SUM(_xlfn.XLOOKUP($R56:$AK56,增益!$A:$A,增益!$B:$B,0))</f>
        <v>0.3241</v>
      </c>
      <c r="AR56" s="24" cm="1">
        <f t="array" ref="AR56">VLOOKUP($Q56,武学奇术!$A:$ZZ,5,FALSE)+SUM(_xlfn.XLOOKUP($R56:$AK56,增益!$A:$A,增益!$E:$E,0))</f>
        <v>0.15</v>
      </c>
      <c r="AS56" cm="1">
        <f t="array" ref="AS56">$D$10*(1+$AR56)+VLOOKUP($Q56,武学奇术!$A:$ZZ,3,FALSE)+SUM(_xlfn.XLOOKUP($R56:$AK56,增益!$A:$A,增益!$C:$C,0))-$I$2</f>
        <v>4389.8462</v>
      </c>
      <c r="AT56" cm="1">
        <f t="array" ref="AT56">$E$10*(1+$AR56)+VLOOKUP($Q56,武学奇术!$A:$ZZ,4,FALSE)+SUM(_xlfn.XLOOKUP($R56:$AK56,增益!$A:$A,增益!$D:$D,0))-$I$2</f>
        <v>4389.8462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0.2425</v>
      </c>
      <c r="AV56" s="32" cm="1">
        <f t="array" ref="AV56">$G$10+VLOOKUP($Q56,武学奇术!$A:$ZZ,7,FALSE)+SUM(_xlfn.XLOOKUP($R56:$AK56,增益!$A:$A,增益!$G:$G,0))</f>
        <v>0</v>
      </c>
      <c r="AW56" s="24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2" cm="1">
        <f t="array" ref="BA56">$G$11+VLOOKUP($Q56,武学奇术!$A:$ZZ,10,FALSE)+SUM(_xlfn.XLOOKUP($R56:$AK56,增益!$A:$A,增益!$J:$J,0))</f>
        <v>0</v>
      </c>
      <c r="BB56">
        <f t="shared" si="3"/>
        <v>0</v>
      </c>
      <c r="BC56">
        <f t="shared" si="4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2" cm="1">
        <f t="array" ref="BE56">$G$12+VLOOKUP($Q56,武学奇术!$A:$ZZ,12,FALSE)+SUM(_xlfn.XLOOKUP($R56:$AK56,增益!$A:$A,增益!$L:$L,0))</f>
        <v>0</v>
      </c>
      <c r="BF56">
        <f t="shared" si="5"/>
        <v>605.472</v>
      </c>
      <c r="BG56">
        <f t="shared" si="6"/>
        <v>1579.612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2" cm="1">
        <f t="array" ref="BI56">$G$13+VLOOKUP($Q56,武学奇术!$A:$ZZ,14,FALSE)+SUM(_xlfn.XLOOKUP($R56:$AK56,增益!$A:$A,增益!$N:$N,0))</f>
        <v>0.15</v>
      </c>
      <c r="BJ56">
        <f t="shared" si="7"/>
        <v>0</v>
      </c>
      <c r="BK56">
        <f t="shared" si="8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2" cm="1">
        <f t="array" ref="BM56">$G$14+VLOOKUP($Q56,武学奇术!$A:$ZZ,16,FALSE)+SUM(_xlfn.XLOOKUP($R56:$AK56,增益!$A:$A,增益!$P:$P,0))</f>
        <v>0</v>
      </c>
      <c r="BN56" s="24">
        <f>MIN(IF(VLOOKUP($Q56,武学奇术!$A:$ZZ,23,FALSE)=1,100%,$B$8),100%)</f>
        <v>1</v>
      </c>
      <c r="BO56" s="24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0.9093</v>
      </c>
      <c r="BP56" s="24" cm="1">
        <f t="array" ref="BP56">1+$B$13+VLOOKUP($Q56,武学奇术!$A:$ZZ,18,FALSE)+SUM(_xlfn.XLOOKUP($R56:$AK56,增益!$A:$A,增益!$R:$R,0))</f>
        <v>1.6</v>
      </c>
      <c r="BQ56" s="24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4" cm="1">
        <f t="array" ref="BR56">1+$B$14+VLOOKUP($Q56,武学奇术!$A:$ZZ,20,FALSE)+SUM(_xlfn.XLOOKUP($R56:$AK56,增益!$A:$A,增益!$T:$T,0))</f>
        <v>1.35</v>
      </c>
      <c r="BS56" s="24">
        <f t="shared" si="9"/>
        <v>0.9071</v>
      </c>
      <c r="BT56" s="24">
        <f t="shared" si="10"/>
        <v>0</v>
      </c>
      <c r="BU56" s="24">
        <f>IF(VLOOKUP($Q56,武学奇术!$A:$ZZ,22,FALSE)=1,0,(1-$BN56))*(1-$BQ56)</f>
        <v>0</v>
      </c>
      <c r="BV56" s="24" cm="1">
        <f t="array" ref="BV56">SUM(_xlfn.XLOOKUP($R56:$AK56,增益!$A:$A,增益!$W:$W,0))+$I$5</f>
        <v>0.06</v>
      </c>
    </row>
    <row r="57" spans="1:74">
      <c r="A57" s="4" t="s">
        <v>111</v>
      </c>
      <c r="B57" s="88">
        <v>1.16</v>
      </c>
      <c r="E57" s="4"/>
      <c r="K57" s="38">
        <f t="shared" si="0"/>
        <v>379716.077208952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弹道",$B$21,0))*(1+$BV57)</f>
        <v>391796.014687067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弹道",$B$21,0))*(1+$BV57)</f>
        <v>261764.394901115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弹道",$B$21,0))*(1+$BV57)</f>
        <v>177283.264564284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弹道",$B$21,0))*(1+$BV57)</f>
        <v>160666.977349964</v>
      </c>
      <c r="P57" s="39">
        <v>5</v>
      </c>
      <c r="Q57" s="40" t="s">
        <v>113</v>
      </c>
      <c r="R57" s="40" t="s">
        <v>97</v>
      </c>
      <c r="S57" s="40" t="s">
        <v>176</v>
      </c>
      <c r="T57" s="40" t="s">
        <v>183</v>
      </c>
      <c r="U57" s="40" t="s">
        <v>171</v>
      </c>
      <c r="V57" s="40" t="s">
        <v>102</v>
      </c>
      <c r="W57" s="40" t="s">
        <v>78</v>
      </c>
      <c r="X57" s="40" t="s">
        <v>78</v>
      </c>
      <c r="Y57" s="40" t="s">
        <v>184</v>
      </c>
      <c r="Z57" s="40" t="s">
        <v>78</v>
      </c>
      <c r="AA57" s="40" t="s">
        <v>78</v>
      </c>
      <c r="AB57" s="40" t="s">
        <v>78</v>
      </c>
      <c r="AC57" s="40" t="s">
        <v>185</v>
      </c>
      <c r="AD57" s="40" t="s">
        <v>78</v>
      </c>
      <c r="AE57" s="40" t="s">
        <v>78</v>
      </c>
      <c r="AF57" s="40" t="s">
        <v>78</v>
      </c>
      <c r="AG57" s="40" t="s">
        <v>78</v>
      </c>
      <c r="AH57" s="40" t="s">
        <v>78</v>
      </c>
      <c r="AI57" s="40" t="s">
        <v>78</v>
      </c>
      <c r="AJ57" s="40" t="s">
        <v>78</v>
      </c>
      <c r="AK57" s="40" t="s">
        <v>188</v>
      </c>
      <c r="AL57" t="str">
        <f>VLOOKUP($Q57,武学奇术!$A:$ZZ,25,FALSE)</f>
        <v>伞</v>
      </c>
      <c r="AM57" s="24">
        <f>VLOOKUP($Q57,武学奇术!$A:$ZZ,26,FALSE)</f>
        <v>1.174955</v>
      </c>
      <c r="AN57" s="25">
        <f>VLOOKUP($Q57,武学奇术!$A:$ZZ,27,FALSE)*(1+IF(OR($AL57=$F$4,$AL57=$F$5),$B$22,0))</f>
        <v>486.45</v>
      </c>
      <c r="AO57" s="24">
        <f>VLOOKUP($Q57,武学奇术!$A:$ZZ,28,FALSE)</f>
        <v>1.762375</v>
      </c>
      <c r="AP57" s="25">
        <f>VLOOKUP($Q57,武学奇术!$A:$ZZ,29,FALSE)*(1+IF(OR($AL57=$F$4,$AL57=$F$5),$B$22,0))</f>
        <v>265.65</v>
      </c>
      <c r="AQ57" s="24" cm="1">
        <f t="array" ref="AQ57">$G$3+IFERROR(VLOOKUP($AL57,$F$4:$G$7,2,FALSE),0)+VLOOKUP($Q57,武学奇术!$A:$ZZ,2,FALSE)+SUM(_xlfn.XLOOKUP($R57:$AK57,增益!$A:$A,增益!$B:$B,0))</f>
        <v>1.0241</v>
      </c>
      <c r="AR57" s="24" cm="1">
        <f t="array" ref="AR57">VLOOKUP($Q57,武学奇术!$A:$ZZ,5,FALSE)+SUM(_xlfn.XLOOKUP($R57:$AK57,增益!$A:$A,增益!$E:$E,0))</f>
        <v>0.15</v>
      </c>
      <c r="AS57" cm="1">
        <f t="array" ref="AS57">$D$10*(1+$AR57)+VLOOKUP($Q57,武学奇术!$A:$ZZ,3,FALSE)+SUM(_xlfn.XLOOKUP($R57:$AK57,增益!$A:$A,增益!$C:$C,0))-$I$2</f>
        <v>4389.8462</v>
      </c>
      <c r="AT57" cm="1">
        <f t="array" ref="AT57">$E$10*(1+$AR57)+VLOOKUP($Q57,武学奇术!$A:$ZZ,4,FALSE)+SUM(_xlfn.XLOOKUP($R57:$AK57,增益!$A:$A,增益!$D:$D,0))-$I$2</f>
        <v>4389.8462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0.3925</v>
      </c>
      <c r="AV57" s="32" cm="1">
        <f t="array" ref="AV57">$G$10+VLOOKUP($Q57,武学奇术!$A:$ZZ,7,FALSE)+SUM(_xlfn.XLOOKUP($R57:$AK57,增益!$A:$A,增益!$G:$G,0))</f>
        <v>0</v>
      </c>
      <c r="AW57" s="24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2" cm="1">
        <f t="array" ref="BA57">$G$11+VLOOKUP($Q57,武学奇术!$A:$ZZ,10,FALSE)+SUM(_xlfn.XLOOKUP($R57:$AK57,增益!$A:$A,增益!$J:$J,0))</f>
        <v>0</v>
      </c>
      <c r="BB57">
        <f t="shared" si="3"/>
        <v>0</v>
      </c>
      <c r="BC57">
        <f t="shared" si="4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2" cm="1">
        <f t="array" ref="BE57">$G$12+VLOOKUP($Q57,武学奇术!$A:$ZZ,12,FALSE)+SUM(_xlfn.XLOOKUP($R57:$AK57,增益!$A:$A,增益!$L:$L,0))</f>
        <v>0</v>
      </c>
      <c r="BF57">
        <f t="shared" si="5"/>
        <v>605.472</v>
      </c>
      <c r="BG57">
        <f t="shared" si="6"/>
        <v>1579.612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2" cm="1">
        <f t="array" ref="BI57">$G$13+VLOOKUP($Q57,武学奇术!$A:$ZZ,14,FALSE)+SUM(_xlfn.XLOOKUP($R57:$AK57,增益!$A:$A,增益!$N:$N,0))</f>
        <v>0.15</v>
      </c>
      <c r="BJ57">
        <f t="shared" si="7"/>
        <v>0</v>
      </c>
      <c r="BK57">
        <f t="shared" si="8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2" cm="1">
        <f t="array" ref="BM57">$G$14+VLOOKUP($Q57,武学奇术!$A:$ZZ,16,FALSE)+SUM(_xlfn.XLOOKUP($R57:$AK57,增益!$A:$A,增益!$P:$P,0))</f>
        <v>0</v>
      </c>
      <c r="BN57" s="24">
        <f>MIN(IF(VLOOKUP($Q57,武学奇术!$A:$ZZ,23,FALSE)=1,100%,$B$8),100%)</f>
        <v>1</v>
      </c>
      <c r="BO57" s="24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0.9093</v>
      </c>
      <c r="BP57" s="24" cm="1">
        <f t="array" ref="BP57">1+$B$13+VLOOKUP($Q57,武学奇术!$A:$ZZ,18,FALSE)+SUM(_xlfn.XLOOKUP($R57:$AK57,增益!$A:$A,增益!$R:$R,0))</f>
        <v>2.21</v>
      </c>
      <c r="BQ57" s="24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4" cm="1">
        <f t="array" ref="BR57">1+$B$14+VLOOKUP($Q57,武学奇术!$A:$ZZ,20,FALSE)+SUM(_xlfn.XLOOKUP($R57:$AK57,增益!$A:$A,增益!$T:$T,0))</f>
        <v>1.35</v>
      </c>
      <c r="BS57" s="24">
        <f t="shared" si="9"/>
        <v>0.9071</v>
      </c>
      <c r="BT57" s="24">
        <f t="shared" si="10"/>
        <v>0</v>
      </c>
      <c r="BU57" s="24">
        <f>IF(VLOOKUP($Q57,武学奇术!$A:$ZZ,22,FALSE)=1,0,(1-$BN57))*(1-$BQ57)</f>
        <v>0</v>
      </c>
      <c r="BV57" s="24" cm="1">
        <f t="array" ref="BV57">SUM(_xlfn.XLOOKUP($R57:$AK57,增益!$A:$A,增益!$W:$W,0))+$I$5</f>
        <v>0.26</v>
      </c>
    </row>
    <row r="58" spans="1:74">
      <c r="A58" s="4" t="s">
        <v>161</v>
      </c>
      <c r="B58" s="4">
        <v>0.1</v>
      </c>
      <c r="K58" s="38">
        <f t="shared" si="0"/>
        <v>379716.077208952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弹道",$B$21,0))*(1+$BV58)</f>
        <v>391796.014687067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弹道",$B$21,0))*(1+$BV58)</f>
        <v>261764.394901115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弹道",$B$21,0))*(1+$BV58)</f>
        <v>177283.264564284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弹道",$B$21,0))*(1+$BV58)</f>
        <v>160666.977349964</v>
      </c>
      <c r="P58" s="39">
        <v>5</v>
      </c>
      <c r="Q58" s="40" t="s">
        <v>113</v>
      </c>
      <c r="R58" s="40" t="s">
        <v>97</v>
      </c>
      <c r="S58" s="40" t="s">
        <v>176</v>
      </c>
      <c r="T58" s="40" t="s">
        <v>183</v>
      </c>
      <c r="U58" s="40" t="s">
        <v>171</v>
      </c>
      <c r="V58" s="40" t="s">
        <v>102</v>
      </c>
      <c r="W58" s="40" t="s">
        <v>78</v>
      </c>
      <c r="X58" s="40" t="s">
        <v>78</v>
      </c>
      <c r="Y58" s="40" t="s">
        <v>184</v>
      </c>
      <c r="Z58" s="40" t="s">
        <v>78</v>
      </c>
      <c r="AA58" s="40" t="s">
        <v>78</v>
      </c>
      <c r="AB58" s="40" t="s">
        <v>78</v>
      </c>
      <c r="AC58" s="40" t="s">
        <v>185</v>
      </c>
      <c r="AD58" s="40" t="s">
        <v>78</v>
      </c>
      <c r="AE58" s="40" t="s">
        <v>78</v>
      </c>
      <c r="AF58" s="40" t="s">
        <v>78</v>
      </c>
      <c r="AG58" s="40" t="s">
        <v>78</v>
      </c>
      <c r="AH58" s="40" t="s">
        <v>78</v>
      </c>
      <c r="AI58" s="40" t="s">
        <v>78</v>
      </c>
      <c r="AJ58" s="40" t="s">
        <v>78</v>
      </c>
      <c r="AK58" s="40" t="s">
        <v>188</v>
      </c>
      <c r="AL58" t="str">
        <f>VLOOKUP($Q58,武学奇术!$A:$ZZ,25,FALSE)</f>
        <v>伞</v>
      </c>
      <c r="AM58" s="24">
        <f>VLOOKUP($Q58,武学奇术!$A:$ZZ,26,FALSE)</f>
        <v>1.174955</v>
      </c>
      <c r="AN58" s="25">
        <f>VLOOKUP($Q58,武学奇术!$A:$ZZ,27,FALSE)*(1+IF(OR($AL58=$F$4,$AL58=$F$5),$B$22,0))</f>
        <v>486.45</v>
      </c>
      <c r="AO58" s="24">
        <f>VLOOKUP($Q58,武学奇术!$A:$ZZ,28,FALSE)</f>
        <v>1.762375</v>
      </c>
      <c r="AP58" s="25">
        <f>VLOOKUP($Q58,武学奇术!$A:$ZZ,29,FALSE)*(1+IF(OR($AL58=$F$4,$AL58=$F$5),$B$22,0))</f>
        <v>265.65</v>
      </c>
      <c r="AQ58" s="24" cm="1">
        <f t="array" ref="AQ58">$G$3+IFERROR(VLOOKUP($AL58,$F$4:$G$7,2,FALSE),0)+VLOOKUP($Q58,武学奇术!$A:$ZZ,2,FALSE)+SUM(_xlfn.XLOOKUP($R58:$AK58,增益!$A:$A,增益!$B:$B,0))</f>
        <v>1.0241</v>
      </c>
      <c r="AR58" s="24" cm="1">
        <f t="array" ref="AR58">VLOOKUP($Q58,武学奇术!$A:$ZZ,5,FALSE)+SUM(_xlfn.XLOOKUP($R58:$AK58,增益!$A:$A,增益!$E:$E,0))</f>
        <v>0.15</v>
      </c>
      <c r="AS58" cm="1">
        <f t="array" ref="AS58">$D$10*(1+$AR58)+VLOOKUP($Q58,武学奇术!$A:$ZZ,3,FALSE)+SUM(_xlfn.XLOOKUP($R58:$AK58,增益!$A:$A,增益!$C:$C,0))-$I$2</f>
        <v>4389.8462</v>
      </c>
      <c r="AT58" cm="1">
        <f t="array" ref="AT58">$E$10*(1+$AR58)+VLOOKUP($Q58,武学奇术!$A:$ZZ,4,FALSE)+SUM(_xlfn.XLOOKUP($R58:$AK58,增益!$A:$A,增益!$D:$D,0))-$I$2</f>
        <v>4389.8462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0.3925</v>
      </c>
      <c r="AV58" s="32" cm="1">
        <f t="array" ref="AV58">$G$10+VLOOKUP($Q58,武学奇术!$A:$ZZ,7,FALSE)+SUM(_xlfn.XLOOKUP($R58:$AK58,增益!$A:$A,增益!$G:$G,0))</f>
        <v>0</v>
      </c>
      <c r="AW58" s="24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2" cm="1">
        <f t="array" ref="BA58">$G$11+VLOOKUP($Q58,武学奇术!$A:$ZZ,10,FALSE)+SUM(_xlfn.XLOOKUP($R58:$AK58,增益!$A:$A,增益!$J:$J,0))</f>
        <v>0</v>
      </c>
      <c r="BB58">
        <f t="shared" si="3"/>
        <v>0</v>
      </c>
      <c r="BC58">
        <f t="shared" si="4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-0.3</v>
      </c>
      <c r="BE58" s="32" cm="1">
        <f t="array" ref="BE58">$G$12+VLOOKUP($Q58,武学奇术!$A:$ZZ,12,FALSE)+SUM(_xlfn.XLOOKUP($R58:$AK58,增益!$A:$A,增益!$L:$L,0))</f>
        <v>0</v>
      </c>
      <c r="BF58">
        <f t="shared" si="5"/>
        <v>605.472</v>
      </c>
      <c r="BG58">
        <f t="shared" si="6"/>
        <v>1579.612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</v>
      </c>
      <c r="BI58" s="32" cm="1">
        <f t="array" ref="BI58">$G$13+VLOOKUP($Q58,武学奇术!$A:$ZZ,14,FALSE)+SUM(_xlfn.XLOOKUP($R58:$AK58,增益!$A:$A,增益!$N:$N,0))</f>
        <v>0.15</v>
      </c>
      <c r="BJ58">
        <f t="shared" si="7"/>
        <v>0</v>
      </c>
      <c r="BK58">
        <f t="shared" si="8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2" cm="1">
        <f t="array" ref="BM58">$G$14+VLOOKUP($Q58,武学奇术!$A:$ZZ,16,FALSE)+SUM(_xlfn.XLOOKUP($R58:$AK58,增益!$A:$A,增益!$P:$P,0))</f>
        <v>0</v>
      </c>
      <c r="BN58" s="24">
        <f>MIN(IF(VLOOKUP($Q58,武学奇术!$A:$ZZ,23,FALSE)=1,100%,$B$8),100%)</f>
        <v>1</v>
      </c>
      <c r="BO58" s="24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0.9093</v>
      </c>
      <c r="BP58" s="24" cm="1">
        <f t="array" ref="BP58">1+$B$13+VLOOKUP($Q58,武学奇术!$A:$ZZ,18,FALSE)+SUM(_xlfn.XLOOKUP($R58:$AK58,增益!$A:$A,增益!$R:$R,0))</f>
        <v>2.21</v>
      </c>
      <c r="BQ58" s="24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4" cm="1">
        <f t="array" ref="BR58">1+$B$14+VLOOKUP($Q58,武学奇术!$A:$ZZ,20,FALSE)+SUM(_xlfn.XLOOKUP($R58:$AK58,增益!$A:$A,增益!$T:$T,0))</f>
        <v>1.35</v>
      </c>
      <c r="BS58" s="24">
        <f t="shared" si="9"/>
        <v>0.9071</v>
      </c>
      <c r="BT58" s="24">
        <f t="shared" si="10"/>
        <v>0</v>
      </c>
      <c r="BU58" s="24">
        <f>IF(VLOOKUP($Q58,武学奇术!$A:$ZZ,22,FALSE)=1,0,(1-$BN58))*(1-$BQ58)</f>
        <v>0</v>
      </c>
      <c r="BV58" s="24" cm="1">
        <f t="array" ref="BV58">SUM(_xlfn.XLOOKUP($R58:$AK58,增益!$A:$A,增益!$W:$W,0))+$I$5</f>
        <v>0.26</v>
      </c>
    </row>
    <row r="59" spans="1:74">
      <c r="A59" s="4" t="s">
        <v>193</v>
      </c>
      <c r="B59" s="88">
        <v>2</v>
      </c>
      <c r="K59" s="38">
        <f t="shared" si="0"/>
        <v>759432.154417903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弹道",$B$21,0))*(1+$BV59)</f>
        <v>783592.029374133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弹道",$B$21,0))*(1+$BV59)</f>
        <v>523528.789802229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弹道",$B$21,0))*(1+$BV59)</f>
        <v>354566.529128567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弹道",$B$21,0))*(1+$BV59)</f>
        <v>321333.954699927</v>
      </c>
      <c r="P59" s="39">
        <v>10</v>
      </c>
      <c r="Q59" s="40" t="s">
        <v>113</v>
      </c>
      <c r="R59" s="40" t="s">
        <v>97</v>
      </c>
      <c r="S59" s="40" t="s">
        <v>176</v>
      </c>
      <c r="T59" s="40" t="s">
        <v>183</v>
      </c>
      <c r="U59" s="40" t="s">
        <v>171</v>
      </c>
      <c r="V59" s="40" t="s">
        <v>102</v>
      </c>
      <c r="W59" s="40" t="s">
        <v>78</v>
      </c>
      <c r="X59" s="40" t="s">
        <v>78</v>
      </c>
      <c r="Y59" s="40" t="s">
        <v>184</v>
      </c>
      <c r="Z59" s="40" t="s">
        <v>78</v>
      </c>
      <c r="AA59" s="40" t="s">
        <v>78</v>
      </c>
      <c r="AB59" s="40" t="s">
        <v>78</v>
      </c>
      <c r="AC59" s="40" t="s">
        <v>185</v>
      </c>
      <c r="AD59" s="40" t="s">
        <v>78</v>
      </c>
      <c r="AE59" s="40" t="s">
        <v>78</v>
      </c>
      <c r="AF59" s="40" t="s">
        <v>78</v>
      </c>
      <c r="AG59" s="40" t="s">
        <v>78</v>
      </c>
      <c r="AH59" s="40" t="s">
        <v>78</v>
      </c>
      <c r="AI59" s="40" t="s">
        <v>78</v>
      </c>
      <c r="AJ59" s="40" t="s">
        <v>78</v>
      </c>
      <c r="AK59" s="40" t="s">
        <v>188</v>
      </c>
      <c r="AL59" t="str">
        <f>VLOOKUP($Q59,武学奇术!$A:$ZZ,25,FALSE)</f>
        <v>伞</v>
      </c>
      <c r="AM59" s="24">
        <f>VLOOKUP($Q59,武学奇术!$A:$ZZ,26,FALSE)</f>
        <v>1.174955</v>
      </c>
      <c r="AN59" s="25">
        <f>VLOOKUP($Q59,武学奇术!$A:$ZZ,27,FALSE)*(1+IF(OR($AL59=$F$4,$AL59=$F$5),$B$22,0))</f>
        <v>486.45</v>
      </c>
      <c r="AO59" s="24">
        <f>VLOOKUP($Q59,武学奇术!$A:$ZZ,28,FALSE)</f>
        <v>1.762375</v>
      </c>
      <c r="AP59" s="25">
        <f>VLOOKUP($Q59,武学奇术!$A:$ZZ,29,FALSE)*(1+IF(OR($AL59=$F$4,$AL59=$F$5),$B$22,0))</f>
        <v>265.65</v>
      </c>
      <c r="AQ59" s="24" cm="1">
        <f t="array" ref="AQ59">$G$3+IFERROR(VLOOKUP($AL59,$F$4:$G$7,2,FALSE),0)+VLOOKUP($Q59,武学奇术!$A:$ZZ,2,FALSE)+SUM(_xlfn.XLOOKUP($R59:$AK59,增益!$A:$A,增益!$B:$B,0))</f>
        <v>1.0241</v>
      </c>
      <c r="AR59" s="24" cm="1">
        <f t="array" ref="AR59">VLOOKUP($Q59,武学奇术!$A:$ZZ,5,FALSE)+SUM(_xlfn.XLOOKUP($R59:$AK59,增益!$A:$A,增益!$E:$E,0))</f>
        <v>0.15</v>
      </c>
      <c r="AS59" cm="1">
        <f t="array" ref="AS59">$D$10*(1+$AR59)+VLOOKUP($Q59,武学奇术!$A:$ZZ,3,FALSE)+SUM(_xlfn.XLOOKUP($R59:$AK59,增益!$A:$A,增益!$C:$C,0))-$I$2</f>
        <v>4389.8462</v>
      </c>
      <c r="AT59" cm="1">
        <f t="array" ref="AT59">$E$10*(1+$AR59)+VLOOKUP($Q59,武学奇术!$A:$ZZ,4,FALSE)+SUM(_xlfn.XLOOKUP($R59:$AK59,增益!$A:$A,增益!$D:$D,0))-$I$2</f>
        <v>4389.8462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0.3925</v>
      </c>
      <c r="AV59" s="32" cm="1">
        <f t="array" ref="AV59">$G$10+VLOOKUP($Q59,武学奇术!$A:$ZZ,7,FALSE)+SUM(_xlfn.XLOOKUP($R59:$AK59,增益!$A:$A,增益!$G:$G,0))</f>
        <v>0</v>
      </c>
      <c r="AW59" s="24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2" cm="1">
        <f t="array" ref="BA59">$G$11+VLOOKUP($Q59,武学奇术!$A:$ZZ,10,FALSE)+SUM(_xlfn.XLOOKUP($R59:$AK59,增益!$A:$A,增益!$J:$J,0))</f>
        <v>0</v>
      </c>
      <c r="BB59">
        <f t="shared" si="3"/>
        <v>0</v>
      </c>
      <c r="BC59">
        <f t="shared" si="4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-0.3</v>
      </c>
      <c r="BE59" s="32" cm="1">
        <f t="array" ref="BE59">$G$12+VLOOKUP($Q59,武学奇术!$A:$ZZ,12,FALSE)+SUM(_xlfn.XLOOKUP($R59:$AK59,增益!$A:$A,增益!$L:$L,0))</f>
        <v>0</v>
      </c>
      <c r="BF59">
        <f t="shared" si="5"/>
        <v>605.472</v>
      </c>
      <c r="BG59">
        <f t="shared" si="6"/>
        <v>1579.612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</v>
      </c>
      <c r="BI59" s="32" cm="1">
        <f t="array" ref="BI59">$G$13+VLOOKUP($Q59,武学奇术!$A:$ZZ,14,FALSE)+SUM(_xlfn.XLOOKUP($R59:$AK59,增益!$A:$A,增益!$N:$N,0))</f>
        <v>0.15</v>
      </c>
      <c r="BJ59">
        <f t="shared" si="7"/>
        <v>0</v>
      </c>
      <c r="BK59">
        <f t="shared" si="8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2" cm="1">
        <f t="array" ref="BM59">$G$14+VLOOKUP($Q59,武学奇术!$A:$ZZ,16,FALSE)+SUM(_xlfn.XLOOKUP($R59:$AK59,增益!$A:$A,增益!$P:$P,0))</f>
        <v>0</v>
      </c>
      <c r="BN59" s="24">
        <f>MIN(IF(VLOOKUP($Q59,武学奇术!$A:$ZZ,23,FALSE)=1,100%,$B$8),100%)</f>
        <v>1</v>
      </c>
      <c r="BO59" s="24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0.9093</v>
      </c>
      <c r="BP59" s="24" cm="1">
        <f t="array" ref="BP59">1+$B$13+VLOOKUP($Q59,武学奇术!$A:$ZZ,18,FALSE)+SUM(_xlfn.XLOOKUP($R59:$AK59,增益!$A:$A,增益!$R:$R,0))</f>
        <v>2.21</v>
      </c>
      <c r="BQ59" s="24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4" cm="1">
        <f t="array" ref="BR59">1+$B$14+VLOOKUP($Q59,武学奇术!$A:$ZZ,20,FALSE)+SUM(_xlfn.XLOOKUP($R59:$AK59,增益!$A:$A,增益!$T:$T,0))</f>
        <v>1.35</v>
      </c>
      <c r="BS59" s="24">
        <f t="shared" si="9"/>
        <v>0.9071</v>
      </c>
      <c r="BT59" s="24">
        <f t="shared" si="10"/>
        <v>0</v>
      </c>
      <c r="BU59" s="24">
        <f>IF(VLOOKUP($Q59,武学奇术!$A:$ZZ,22,FALSE)=1,0,(1-$BN59))*(1-$BQ59)</f>
        <v>0</v>
      </c>
      <c r="BV59" s="24" cm="1">
        <f t="array" ref="BV59">SUM(_xlfn.XLOOKUP($R59:$AK59,增益!$A:$A,增益!$W:$W,0))+$I$5</f>
        <v>0.26</v>
      </c>
    </row>
    <row r="60" spans="1:74">
      <c r="A60" s="4" t="s">
        <v>165</v>
      </c>
      <c r="B60" s="4">
        <v>1</v>
      </c>
      <c r="K60" s="38">
        <f t="shared" si="0"/>
        <v>105759.889586662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弹道",$B$21,0))*(1+$BV60)</f>
        <v>107711.988291688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弹道",$B$21,0))*(1+$BV60)</f>
        <v>86699.0851159522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弹道",$B$21,0))*(1+$BV60)</f>
        <v>58222.6963738854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弹道",$B$21,0))*(1+$BV60)</f>
        <v>52223.8482174357</v>
      </c>
      <c r="P60" s="39">
        <v>1</v>
      </c>
      <c r="Q60" s="40" t="s">
        <v>134</v>
      </c>
      <c r="R60" s="40" t="s">
        <v>97</v>
      </c>
      <c r="S60" s="40" t="s">
        <v>176</v>
      </c>
      <c r="T60" s="40" t="s">
        <v>78</v>
      </c>
      <c r="U60" s="40" t="s">
        <v>171</v>
      </c>
      <c r="V60" s="40" t="s">
        <v>78</v>
      </c>
      <c r="W60" s="40" t="s">
        <v>78</v>
      </c>
      <c r="X60" s="40" t="s">
        <v>78</v>
      </c>
      <c r="Y60" s="40" t="s">
        <v>184</v>
      </c>
      <c r="Z60" s="40" t="s">
        <v>78</v>
      </c>
      <c r="AA60" s="40" t="s">
        <v>78</v>
      </c>
      <c r="AB60" s="40" t="s">
        <v>78</v>
      </c>
      <c r="AC60" s="40" t="s">
        <v>185</v>
      </c>
      <c r="AD60" s="40" t="s">
        <v>78</v>
      </c>
      <c r="AE60" s="40" t="s">
        <v>78</v>
      </c>
      <c r="AF60" s="40" t="s">
        <v>78</v>
      </c>
      <c r="AG60" s="40" t="s">
        <v>78</v>
      </c>
      <c r="AH60" s="40" t="s">
        <v>78</v>
      </c>
      <c r="AI60" s="40" t="s">
        <v>78</v>
      </c>
      <c r="AJ60" s="40" t="s">
        <v>78</v>
      </c>
      <c r="AK60" s="40" t="s">
        <v>188</v>
      </c>
      <c r="AL60" t="str">
        <f>VLOOKUP($Q60,武学奇术!$A:$ZZ,25,FALSE)</f>
        <v>单体奇术</v>
      </c>
      <c r="AM60" s="24">
        <f>VLOOKUP($Q60,武学奇术!$A:$ZZ,26,FALSE)</f>
        <v>3.9863</v>
      </c>
      <c r="AN60" s="25">
        <f>VLOOKUP($Q60,武学奇术!$A:$ZZ,27,FALSE)*(1+IF(OR($AL60=$F$4,$AL60=$F$5),$B$22,0))</f>
        <v>778</v>
      </c>
      <c r="AO60" s="24">
        <f>VLOOKUP($Q60,武学奇术!$A:$ZZ,28,FALSE)</f>
        <v>5.97945</v>
      </c>
      <c r="AP60" s="25">
        <f>VLOOKUP($Q60,武学奇术!$A:$ZZ,29,FALSE)*(1+IF(OR($AL60=$F$4,$AL60=$F$5),$B$22,0))</f>
        <v>0</v>
      </c>
      <c r="AQ60" s="24" cm="1">
        <f t="array" ref="AQ60">$G$3+IFERROR(VLOOKUP($AL60,$F$4:$G$7,2,FALSE),0)+VLOOKUP($Q60,武学奇术!$A:$ZZ,2,FALSE)+SUM(_xlfn.XLOOKUP($R60:$AK60,增益!$A:$A,增益!$B:$B,0))</f>
        <v>0.4215</v>
      </c>
      <c r="AR60" s="24" cm="1">
        <f t="array" ref="AR60">VLOOKUP($Q60,武学奇术!$A:$ZZ,5,FALSE)+SUM(_xlfn.XLOOKUP($R60:$AK60,增益!$A:$A,增益!$E:$E,0))</f>
        <v>0.15</v>
      </c>
      <c r="AS60" cm="1">
        <f t="array" ref="AS60">$D$10*(1+$AR60)+VLOOKUP($Q60,武学奇术!$A:$ZZ,3,FALSE)+SUM(_xlfn.XLOOKUP($R60:$AK60,增益!$A:$A,增益!$C:$C,0))-$I$2</f>
        <v>4389.8462</v>
      </c>
      <c r="AT60" cm="1">
        <f t="array" ref="AT60">$E$10*(1+$AR60)+VLOOKUP($Q60,武学奇术!$A:$ZZ,4,FALSE)+SUM(_xlfn.XLOOKUP($R60:$AK60,增益!$A:$A,增益!$D:$D,0))-$I$2</f>
        <v>4389.8462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0.3675</v>
      </c>
      <c r="AV60" s="32" cm="1">
        <f t="array" ref="AV60">$G$10+VLOOKUP($Q60,武学奇术!$A:$ZZ,7,FALSE)+SUM(_xlfn.XLOOKUP($R60:$AK60,增益!$A:$A,增益!$G:$G,0))</f>
        <v>0</v>
      </c>
      <c r="AW60" s="24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5"/>
        <v>605.472</v>
      </c>
      <c r="BG60">
        <f t="shared" si="6"/>
        <v>1579.612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4">
        <f>MIN(IF(VLOOKUP($Q60,武学奇术!$A:$ZZ,23,FALSE)=1,100%,$B$8),100%)</f>
        <v>1</v>
      </c>
      <c r="BO60" s="24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0.9093</v>
      </c>
      <c r="BP60" s="24" cm="1">
        <f t="array" ref="BP60">1+$B$13+VLOOKUP($Q60,武学奇术!$A:$ZZ,18,FALSE)+SUM(_xlfn.XLOOKUP($R60:$AK60,增益!$A:$A,增益!$R:$R,0))</f>
        <v>1.85</v>
      </c>
      <c r="BQ60" s="24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4" cm="1">
        <f t="array" ref="BR60">1+$B$14+VLOOKUP($Q60,武学奇术!$A:$ZZ,20,FALSE)+SUM(_xlfn.XLOOKUP($R60:$AK60,增益!$A:$A,增益!$T:$T,0))</f>
        <v>1.35</v>
      </c>
      <c r="BS60" s="24">
        <f t="shared" si="9"/>
        <v>0.9071</v>
      </c>
      <c r="BT60" s="24">
        <f t="shared" si="10"/>
        <v>0</v>
      </c>
      <c r="BU60" s="24">
        <f>IF(VLOOKUP($Q60,武学奇术!$A:$ZZ,22,FALSE)=1,0,(1-$BN60))*(1-$BQ60)</f>
        <v>0</v>
      </c>
      <c r="BV60" s="24" cm="1">
        <f t="array" ref="BV60">SUM(_xlfn.XLOOKUP($R60:$AK60,增益!$A:$A,增益!$W:$W,0))+$I$5</f>
        <v>0.26</v>
      </c>
    </row>
    <row r="61" spans="1:74">
      <c r="A61" s="4" t="s">
        <v>161</v>
      </c>
      <c r="B61" s="4">
        <v>0.1</v>
      </c>
      <c r="K61" s="38">
        <f t="shared" si="0"/>
        <v>62610.1440000516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弹道",$B$21,0))*(1+$BV61)</f>
        <v>63765.7725132175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弹道",$B$21,0))*(1+$BV61)</f>
        <v>51326.2836739715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弹道",$B$21,0))*(1+$BV61)</f>
        <v>34467.9851422798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弹道",$B$21,0))*(1+$BV61)</f>
        <v>30916.5008964325</v>
      </c>
      <c r="P61" s="39">
        <v>10</v>
      </c>
      <c r="Q61" s="40" t="s">
        <v>137</v>
      </c>
      <c r="R61" s="40" t="s">
        <v>97</v>
      </c>
      <c r="S61" s="40" t="s">
        <v>176</v>
      </c>
      <c r="T61" s="40" t="s">
        <v>78</v>
      </c>
      <c r="U61" s="40" t="s">
        <v>171</v>
      </c>
      <c r="V61" s="40" t="s">
        <v>78</v>
      </c>
      <c r="W61" s="40" t="s">
        <v>78</v>
      </c>
      <c r="X61" s="40" t="s">
        <v>78</v>
      </c>
      <c r="Y61" s="40" t="s">
        <v>184</v>
      </c>
      <c r="Z61" s="40" t="s">
        <v>78</v>
      </c>
      <c r="AA61" s="40" t="s">
        <v>78</v>
      </c>
      <c r="AB61" s="40" t="s">
        <v>78</v>
      </c>
      <c r="AC61" s="40" t="s">
        <v>185</v>
      </c>
      <c r="AD61" s="40" t="s">
        <v>78</v>
      </c>
      <c r="AE61" s="40" t="s">
        <v>78</v>
      </c>
      <c r="AF61" s="40" t="s">
        <v>78</v>
      </c>
      <c r="AG61" s="40" t="s">
        <v>78</v>
      </c>
      <c r="AH61" s="40" t="s">
        <v>78</v>
      </c>
      <c r="AI61" s="40" t="s">
        <v>78</v>
      </c>
      <c r="AJ61" s="40" t="s">
        <v>78</v>
      </c>
      <c r="AK61" s="40" t="s">
        <v>188</v>
      </c>
      <c r="AL61" t="str">
        <f>VLOOKUP($Q61,武学奇术!$A:$ZZ,25,FALSE)</f>
        <v>单体奇术</v>
      </c>
      <c r="AM61" s="24">
        <f>VLOOKUP($Q61,武学奇术!$A:$ZZ,26,FALSE)</f>
        <v>0.236</v>
      </c>
      <c r="AN61" s="25">
        <f>VLOOKUP($Q61,武学奇术!$A:$ZZ,27,FALSE)*(1+IF(OR($AL61=$F$4,$AL61=$F$5),$B$22,0))</f>
        <v>46</v>
      </c>
      <c r="AO61" s="24">
        <f>VLOOKUP($Q61,武学奇术!$A:$ZZ,28,FALSE)</f>
        <v>0.354</v>
      </c>
      <c r="AP61" s="25">
        <f>VLOOKUP($Q61,武学奇术!$A:$ZZ,29,FALSE)*(1+IF(OR($AL61=$F$4,$AL61=$F$5),$B$22,0))</f>
        <v>0</v>
      </c>
      <c r="AQ61" s="24" cm="1">
        <f t="array" ref="AQ61">$G$3+IFERROR(VLOOKUP($AL61,$F$4:$G$7,2,FALSE),0)+VLOOKUP($Q61,武学奇术!$A:$ZZ,2,FALSE)+SUM(_xlfn.XLOOKUP($R61:$AK61,增益!$A:$A,增益!$B:$B,0))</f>
        <v>0.4215</v>
      </c>
      <c r="AR61" s="24" cm="1">
        <f t="array" ref="AR61">VLOOKUP($Q61,武学奇术!$A:$ZZ,5,FALSE)+SUM(_xlfn.XLOOKUP($R61:$AK61,增益!$A:$A,增益!$E:$E,0))</f>
        <v>0.15</v>
      </c>
      <c r="AS61" cm="1">
        <f t="array" ref="AS61">$D$10*(1+$AR61)+VLOOKUP($Q61,武学奇术!$A:$ZZ,3,FALSE)+SUM(_xlfn.XLOOKUP($R61:$AK61,增益!$A:$A,增益!$C:$C,0))-$I$2</f>
        <v>4389.8462</v>
      </c>
      <c r="AT61" cm="1">
        <f t="array" ref="AT61">$E$10*(1+$AR61)+VLOOKUP($Q61,武学奇术!$A:$ZZ,4,FALSE)+SUM(_xlfn.XLOOKUP($R61:$AK61,增益!$A:$A,增益!$D:$D,0))-$I$2</f>
        <v>4389.8462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0.3675</v>
      </c>
      <c r="AV61" s="32" cm="1">
        <f t="array" ref="AV61">$G$10+VLOOKUP($Q61,武学奇术!$A:$ZZ,7,FALSE)+SUM(_xlfn.XLOOKUP($R61:$AK61,增益!$A:$A,增益!$G:$G,0))</f>
        <v>0</v>
      </c>
      <c r="AW61" s="24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2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2" cm="1">
        <f t="array" ref="BE61">$G$12+VLOOKUP($Q61,武学奇术!$A:$ZZ,12,FALSE)+SUM(_xlfn.XLOOKUP($R61:$AK61,增益!$A:$A,增益!$L:$L,0))</f>
        <v>0</v>
      </c>
      <c r="BF61">
        <f t="shared" si="5"/>
        <v>605.472</v>
      </c>
      <c r="BG61">
        <f t="shared" si="6"/>
        <v>1579.612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2" cm="1">
        <f t="array" ref="BI61">$G$13+VLOOKUP($Q61,武学奇术!$A:$ZZ,14,FALSE)+SUM(_xlfn.XLOOKUP($R61:$AK61,增益!$A:$A,增益!$N:$N,0))</f>
        <v>0.15</v>
      </c>
      <c r="BJ61">
        <f t="shared" si="7"/>
        <v>0</v>
      </c>
      <c r="BK61">
        <f t="shared" si="8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2" cm="1">
        <f t="array" ref="BM61">$G$14+VLOOKUP($Q61,武学奇术!$A:$ZZ,16,FALSE)+SUM(_xlfn.XLOOKUP($R61:$AK61,增益!$A:$A,增益!$P:$P,0))</f>
        <v>0</v>
      </c>
      <c r="BN61" s="24">
        <f>MIN(IF(VLOOKUP($Q61,武学奇术!$A:$ZZ,23,FALSE)=1,100%,$B$8),100%)</f>
        <v>1</v>
      </c>
      <c r="BO61" s="24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0.9093</v>
      </c>
      <c r="BP61" s="24" cm="1">
        <f t="array" ref="BP61">1+$B$13+VLOOKUP($Q61,武学奇术!$A:$ZZ,18,FALSE)+SUM(_xlfn.XLOOKUP($R61:$AK61,增益!$A:$A,增益!$R:$R,0))</f>
        <v>1.85</v>
      </c>
      <c r="BQ61" s="24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4" cm="1">
        <f t="array" ref="BR61">1+$B$14+VLOOKUP($Q61,武学奇术!$A:$ZZ,20,FALSE)+SUM(_xlfn.XLOOKUP($R61:$AK61,增益!$A:$A,增益!$T:$T,0))</f>
        <v>1.35</v>
      </c>
      <c r="BS61" s="24">
        <f t="shared" si="9"/>
        <v>0.9071</v>
      </c>
      <c r="BT61" s="24">
        <f t="shared" si="10"/>
        <v>0</v>
      </c>
      <c r="BU61" s="24">
        <f>IF(VLOOKUP($Q61,武学奇术!$A:$ZZ,22,FALSE)=1,0,(1-$BN61))*(1-$BQ61)</f>
        <v>0</v>
      </c>
      <c r="BV61" s="24" cm="1">
        <f t="array" ref="BV61">SUM(_xlfn.XLOOKUP($R61:$AK61,增益!$A:$A,增益!$W:$W,0))+$I$5</f>
        <v>0.26</v>
      </c>
    </row>
    <row r="62" spans="1:74">
      <c r="A62" s="4" t="s">
        <v>159</v>
      </c>
      <c r="B62" s="88">
        <v>1.3</v>
      </c>
      <c r="K62" s="38">
        <f t="shared" si="0"/>
        <v>62610.1440000516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弹道",$B$21,0))*(1+$BV62)</f>
        <v>63765.7725132175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弹道",$B$21,0))*(1+$BV62)</f>
        <v>51326.2836739715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弹道",$B$21,0))*(1+$BV62)</f>
        <v>34467.9851422798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弹道",$B$21,0))*(1+$BV62)</f>
        <v>30916.5008964325</v>
      </c>
      <c r="P62" s="39">
        <v>10</v>
      </c>
      <c r="Q62" s="40" t="s">
        <v>137</v>
      </c>
      <c r="R62" s="40" t="s">
        <v>97</v>
      </c>
      <c r="S62" s="40" t="s">
        <v>176</v>
      </c>
      <c r="T62" s="40" t="s">
        <v>78</v>
      </c>
      <c r="U62" s="40" t="s">
        <v>171</v>
      </c>
      <c r="V62" s="40" t="s">
        <v>78</v>
      </c>
      <c r="W62" s="40" t="s">
        <v>78</v>
      </c>
      <c r="X62" s="40" t="s">
        <v>78</v>
      </c>
      <c r="Y62" s="40" t="s">
        <v>184</v>
      </c>
      <c r="Z62" s="40" t="s">
        <v>78</v>
      </c>
      <c r="AA62" s="40" t="s">
        <v>78</v>
      </c>
      <c r="AB62" s="40" t="s">
        <v>78</v>
      </c>
      <c r="AC62" s="40" t="s">
        <v>185</v>
      </c>
      <c r="AD62" s="40" t="s">
        <v>78</v>
      </c>
      <c r="AE62" s="40" t="s">
        <v>78</v>
      </c>
      <c r="AF62" s="40" t="s">
        <v>78</v>
      </c>
      <c r="AG62" s="40" t="s">
        <v>78</v>
      </c>
      <c r="AH62" s="40" t="s">
        <v>78</v>
      </c>
      <c r="AI62" s="40" t="s">
        <v>78</v>
      </c>
      <c r="AJ62" s="40" t="s">
        <v>78</v>
      </c>
      <c r="AK62" s="40" t="s">
        <v>188</v>
      </c>
      <c r="AL62" t="str">
        <f>VLOOKUP($Q62,武学奇术!$A:$ZZ,25,FALSE)</f>
        <v>单体奇术</v>
      </c>
      <c r="AM62" s="24">
        <f>VLOOKUP($Q62,武学奇术!$A:$ZZ,26,FALSE)</f>
        <v>0.236</v>
      </c>
      <c r="AN62" s="25">
        <f>VLOOKUP($Q62,武学奇术!$A:$ZZ,27,FALSE)*(1+IF(OR($AL62=$F$4,$AL62=$F$5),$B$22,0))</f>
        <v>46</v>
      </c>
      <c r="AO62" s="24">
        <f>VLOOKUP($Q62,武学奇术!$A:$ZZ,28,FALSE)</f>
        <v>0.354</v>
      </c>
      <c r="AP62" s="25">
        <f>VLOOKUP($Q62,武学奇术!$A:$ZZ,29,FALSE)*(1+IF(OR($AL62=$F$4,$AL62=$F$5),$B$22,0))</f>
        <v>0</v>
      </c>
      <c r="AQ62" s="24" cm="1">
        <f t="array" ref="AQ62">$G$3+IFERROR(VLOOKUP($AL62,$F$4:$G$7,2,FALSE),0)+VLOOKUP($Q62,武学奇术!$A:$ZZ,2,FALSE)+SUM(_xlfn.XLOOKUP($R62:$AK62,增益!$A:$A,增益!$B:$B,0))</f>
        <v>0.4215</v>
      </c>
      <c r="AR62" s="24" cm="1">
        <f t="array" ref="AR62">VLOOKUP($Q62,武学奇术!$A:$ZZ,5,FALSE)+SUM(_xlfn.XLOOKUP($R62:$AK62,增益!$A:$A,增益!$E:$E,0))</f>
        <v>0.15</v>
      </c>
      <c r="AS62" cm="1">
        <f t="array" ref="AS62">$D$10*(1+$AR62)+VLOOKUP($Q62,武学奇术!$A:$ZZ,3,FALSE)+SUM(_xlfn.XLOOKUP($R62:$AK62,增益!$A:$A,增益!$C:$C,0))-$I$2</f>
        <v>4389.8462</v>
      </c>
      <c r="AT62" cm="1">
        <f t="array" ref="AT62">$E$10*(1+$AR62)+VLOOKUP($Q62,武学奇术!$A:$ZZ,4,FALSE)+SUM(_xlfn.XLOOKUP($R62:$AK62,增益!$A:$A,增益!$D:$D,0))-$I$2</f>
        <v>4389.8462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0.3675</v>
      </c>
      <c r="AV62" s="32" cm="1">
        <f t="array" ref="AV62">$G$10+VLOOKUP($Q62,武学奇术!$A:$ZZ,7,FALSE)+SUM(_xlfn.XLOOKUP($R62:$AK62,增益!$A:$A,增益!$G:$G,0))</f>
        <v>0</v>
      </c>
      <c r="AW62" s="24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2" cm="1">
        <f t="array" ref="BA62">$G$11+VLOOKUP($Q62,武学奇术!$A:$ZZ,10,FALSE)+SUM(_xlfn.XLOOKUP($R62:$AK62,增益!$A:$A,增益!$J:$J,0))</f>
        <v>0</v>
      </c>
      <c r="BB62">
        <f t="shared" si="3"/>
        <v>0</v>
      </c>
      <c r="BC62">
        <f t="shared" si="4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2" cm="1">
        <f t="array" ref="BE62">$G$12+VLOOKUP($Q62,武学奇术!$A:$ZZ,12,FALSE)+SUM(_xlfn.XLOOKUP($R62:$AK62,增益!$A:$A,增益!$L:$L,0))</f>
        <v>0</v>
      </c>
      <c r="BF62">
        <f t="shared" si="5"/>
        <v>605.472</v>
      </c>
      <c r="BG62">
        <f t="shared" si="6"/>
        <v>1579.612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2" cm="1">
        <f t="array" ref="BI62">$G$13+VLOOKUP($Q62,武学奇术!$A:$ZZ,14,FALSE)+SUM(_xlfn.XLOOKUP($R62:$AK62,增益!$A:$A,增益!$N:$N,0))</f>
        <v>0.15</v>
      </c>
      <c r="BJ62">
        <f t="shared" si="7"/>
        <v>0</v>
      </c>
      <c r="BK62">
        <f t="shared" si="8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2" cm="1">
        <f t="array" ref="BM62">$G$14+VLOOKUP($Q62,武学奇术!$A:$ZZ,16,FALSE)+SUM(_xlfn.XLOOKUP($R62:$AK62,增益!$A:$A,增益!$P:$P,0))</f>
        <v>0</v>
      </c>
      <c r="BN62" s="24">
        <f>MIN(IF(VLOOKUP($Q62,武学奇术!$A:$ZZ,23,FALSE)=1,100%,$B$8),100%)</f>
        <v>1</v>
      </c>
      <c r="BO62" s="24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0.9093</v>
      </c>
      <c r="BP62" s="24" cm="1">
        <f t="array" ref="BP62">1+$B$13+VLOOKUP($Q62,武学奇术!$A:$ZZ,18,FALSE)+SUM(_xlfn.XLOOKUP($R62:$AK62,增益!$A:$A,增益!$R:$R,0))</f>
        <v>1.85</v>
      </c>
      <c r="BQ62" s="24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4" cm="1">
        <f t="array" ref="BR62">1+$B$14+VLOOKUP($Q62,武学奇术!$A:$ZZ,20,FALSE)+SUM(_xlfn.XLOOKUP($R62:$AK62,增益!$A:$A,增益!$T:$T,0))</f>
        <v>1.35</v>
      </c>
      <c r="BS62" s="24">
        <f t="shared" si="9"/>
        <v>0.9071</v>
      </c>
      <c r="BT62" s="24">
        <f t="shared" si="10"/>
        <v>0</v>
      </c>
      <c r="BU62" s="24">
        <f>IF(VLOOKUP($Q62,武学奇术!$A:$ZZ,22,FALSE)=1,0,(1-$BN62))*(1-$BQ62)</f>
        <v>0</v>
      </c>
      <c r="BV62" s="24" cm="1">
        <f t="array" ref="BV62">SUM(_xlfn.XLOOKUP($R62:$AK62,增益!$A:$A,增益!$W:$W,0))+$I$5</f>
        <v>0.26</v>
      </c>
    </row>
    <row r="63" spans="1:74">
      <c r="A63" s="4" t="s">
        <v>101</v>
      </c>
      <c r="B63" s="4">
        <v>1.25</v>
      </c>
      <c r="K63" s="38">
        <f t="shared" si="0"/>
        <v>108591.982301395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弹道",$B$21,0))*(1+$BV63)</f>
        <v>110595.8611022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弹道",$B$21,0))*(1+$BV63)</f>
        <v>89025.5833755492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弹道",$B$21,0))*(1+$BV63)</f>
        <v>59781.54654173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弹道",$B$21,0))*(1+$BV63)</f>
        <v>53618.216508979</v>
      </c>
      <c r="P63" s="39">
        <v>4</v>
      </c>
      <c r="Q63" s="40" t="s">
        <v>153</v>
      </c>
      <c r="R63" s="40" t="s">
        <v>97</v>
      </c>
      <c r="S63" s="40" t="s">
        <v>176</v>
      </c>
      <c r="T63" s="40" t="s">
        <v>78</v>
      </c>
      <c r="U63" s="40" t="s">
        <v>171</v>
      </c>
      <c r="V63" s="40" t="s">
        <v>78</v>
      </c>
      <c r="W63" s="40" t="s">
        <v>78</v>
      </c>
      <c r="X63" s="40" t="s">
        <v>78</v>
      </c>
      <c r="Y63" s="40" t="s">
        <v>184</v>
      </c>
      <c r="Z63" s="40" t="s">
        <v>78</v>
      </c>
      <c r="AA63" s="40" t="s">
        <v>78</v>
      </c>
      <c r="AB63" s="40" t="s">
        <v>78</v>
      </c>
      <c r="AC63" s="40" t="s">
        <v>185</v>
      </c>
      <c r="AD63" s="40" t="s">
        <v>78</v>
      </c>
      <c r="AE63" s="40" t="s">
        <v>78</v>
      </c>
      <c r="AF63" s="40" t="s">
        <v>78</v>
      </c>
      <c r="AG63" s="40" t="s">
        <v>78</v>
      </c>
      <c r="AH63" s="40" t="s">
        <v>78</v>
      </c>
      <c r="AI63" s="40" t="s">
        <v>78</v>
      </c>
      <c r="AJ63" s="40" t="s">
        <v>78</v>
      </c>
      <c r="AK63" s="40" t="s">
        <v>188</v>
      </c>
      <c r="AL63" t="str">
        <f>VLOOKUP($Q63,武学奇术!$A:$ZZ,25,FALSE)</f>
        <v>单体奇术</v>
      </c>
      <c r="AM63" s="24">
        <f>VLOOKUP($Q63,武学奇术!$A:$ZZ,26,FALSE)</f>
        <v>1.0239</v>
      </c>
      <c r="AN63" s="25">
        <f>VLOOKUP($Q63,武学奇术!$A:$ZZ,27,FALSE)*(1+IF(OR($AL63=$F$4,$AL63=$F$5),$B$22,0))</f>
        <v>196</v>
      </c>
      <c r="AO63" s="24">
        <f>VLOOKUP($Q63,武学奇术!$A:$ZZ,28,FALSE)</f>
        <v>1.53585</v>
      </c>
      <c r="AP63" s="25">
        <f>VLOOKUP($Q63,武学奇术!$A:$ZZ,29,FALSE)*(1+IF(OR($AL63=$F$4,$AL63=$F$5),$B$22,0))</f>
        <v>0</v>
      </c>
      <c r="AQ63" s="24" cm="1">
        <f t="array" ref="AQ63">$G$3+IFERROR(VLOOKUP($AL63,$F$4:$G$7,2,FALSE),0)+VLOOKUP($Q63,武学奇术!$A:$ZZ,2,FALSE)+SUM(_xlfn.XLOOKUP($R63:$AK63,增益!$A:$A,增益!$B:$B,0))</f>
        <v>0.4215</v>
      </c>
      <c r="AR63" s="24" cm="1">
        <f t="array" ref="AR63">VLOOKUP($Q63,武学奇术!$A:$ZZ,5,FALSE)+SUM(_xlfn.XLOOKUP($R63:$AK63,增益!$A:$A,增益!$E:$E,0))</f>
        <v>0.15</v>
      </c>
      <c r="AS63" cm="1">
        <f t="array" ref="AS63">$D$10*(1+$AR63)+VLOOKUP($Q63,武学奇术!$A:$ZZ,3,FALSE)+SUM(_xlfn.XLOOKUP($R63:$AK63,增益!$A:$A,增益!$C:$C,0))-$I$2</f>
        <v>4389.8462</v>
      </c>
      <c r="AT63" cm="1">
        <f t="array" ref="AT63">$E$10*(1+$AR63)+VLOOKUP($Q63,武学奇术!$A:$ZZ,4,FALSE)+SUM(_xlfn.XLOOKUP($R63:$AK63,增益!$A:$A,增益!$D:$D,0))-$I$2</f>
        <v>4389.8462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0.3675</v>
      </c>
      <c r="AV63" s="32" cm="1">
        <f t="array" ref="AV63">$G$10+VLOOKUP($Q63,武学奇术!$A:$ZZ,7,FALSE)+SUM(_xlfn.XLOOKUP($R63:$AK63,增益!$A:$A,增益!$G:$G,0))</f>
        <v>0</v>
      </c>
      <c r="AW63" s="24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2" cm="1">
        <f t="array" ref="BA63">$G$11+VLOOKUP($Q63,武学奇术!$A:$ZZ,10,FALSE)+SUM(_xlfn.XLOOKUP($R63:$AK63,增益!$A:$A,增益!$J:$J,0))</f>
        <v>0</v>
      </c>
      <c r="BB63">
        <f t="shared" si="3"/>
        <v>0</v>
      </c>
      <c r="BC63">
        <f t="shared" si="4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2" cm="1">
        <f t="array" ref="BE63">$G$12+VLOOKUP($Q63,武学奇术!$A:$ZZ,12,FALSE)+SUM(_xlfn.XLOOKUP($R63:$AK63,增益!$A:$A,增益!$L:$L,0))</f>
        <v>0</v>
      </c>
      <c r="BF63">
        <f t="shared" si="5"/>
        <v>605.472</v>
      </c>
      <c r="BG63">
        <f t="shared" si="6"/>
        <v>1579.612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2" cm="1">
        <f t="array" ref="BI63">$G$13+VLOOKUP($Q63,武学奇术!$A:$ZZ,14,FALSE)+SUM(_xlfn.XLOOKUP($R63:$AK63,增益!$A:$A,增益!$N:$N,0))</f>
        <v>0.15</v>
      </c>
      <c r="BJ63">
        <f t="shared" si="7"/>
        <v>0</v>
      </c>
      <c r="BK63">
        <f t="shared" si="8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2" cm="1">
        <f t="array" ref="BM63">$G$14+VLOOKUP($Q63,武学奇术!$A:$ZZ,16,FALSE)+SUM(_xlfn.XLOOKUP($R63:$AK63,增益!$A:$A,增益!$P:$P,0))</f>
        <v>0</v>
      </c>
      <c r="BN63" s="24">
        <f>MIN(IF(VLOOKUP($Q63,武学奇术!$A:$ZZ,23,FALSE)=1,100%,$B$8),100%)</f>
        <v>1</v>
      </c>
      <c r="BO63" s="24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0.9093</v>
      </c>
      <c r="BP63" s="24" cm="1">
        <f t="array" ref="BP63">1+$B$13+VLOOKUP($Q63,武学奇术!$A:$ZZ,18,FALSE)+SUM(_xlfn.XLOOKUP($R63:$AK63,增益!$A:$A,增益!$R:$R,0))</f>
        <v>1.85</v>
      </c>
      <c r="BQ63" s="24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4" cm="1">
        <f t="array" ref="BR63">1+$B$14+VLOOKUP($Q63,武学奇术!$A:$ZZ,20,FALSE)+SUM(_xlfn.XLOOKUP($R63:$AK63,增益!$A:$A,增益!$T:$T,0))</f>
        <v>1.35</v>
      </c>
      <c r="BS63" s="24">
        <f t="shared" si="9"/>
        <v>0.9071</v>
      </c>
      <c r="BT63" s="24">
        <f t="shared" si="10"/>
        <v>0</v>
      </c>
      <c r="BU63" s="24">
        <f>IF(VLOOKUP($Q63,武学奇术!$A:$ZZ,22,FALSE)=1,0,(1-$BN63))*(1-$BQ63)</f>
        <v>0</v>
      </c>
      <c r="BV63" s="24" cm="1">
        <f t="array" ref="BV63">SUM(_xlfn.XLOOKUP($R63:$AK63,增益!$A:$A,增益!$W:$W,0))+$I$5</f>
        <v>0.26</v>
      </c>
    </row>
    <row r="64" spans="1:74">
      <c r="A64" s="4" t="s">
        <v>111</v>
      </c>
      <c r="B64" s="88">
        <v>1.16</v>
      </c>
      <c r="K64" s="38">
        <f t="shared" si="0"/>
        <v>170646.010398825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弹道",$B$21,0))*(1+$BV64)</f>
        <v>173794.989514232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弹道",$B$21,0))*(1+$BV64)</f>
        <v>139898.551242902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弹道",$B$21,0))*(1+$BV64)</f>
        <v>93943.2375752604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弹道",$B$21,0))*(1+$BV64)</f>
        <v>84257.9186742971</v>
      </c>
      <c r="P64" s="39">
        <v>4</v>
      </c>
      <c r="Q64" s="40" t="s">
        <v>155</v>
      </c>
      <c r="R64" s="40" t="s">
        <v>97</v>
      </c>
      <c r="S64" s="40" t="s">
        <v>176</v>
      </c>
      <c r="T64" s="40" t="s">
        <v>78</v>
      </c>
      <c r="U64" s="40" t="s">
        <v>171</v>
      </c>
      <c r="V64" s="40" t="s">
        <v>78</v>
      </c>
      <c r="W64" s="40" t="s">
        <v>78</v>
      </c>
      <c r="X64" s="40" t="s">
        <v>78</v>
      </c>
      <c r="Y64" s="40" t="s">
        <v>184</v>
      </c>
      <c r="Z64" s="40" t="s">
        <v>78</v>
      </c>
      <c r="AA64" s="40" t="s">
        <v>78</v>
      </c>
      <c r="AB64" s="40" t="s">
        <v>78</v>
      </c>
      <c r="AC64" s="40" t="s">
        <v>185</v>
      </c>
      <c r="AD64" s="40" t="s">
        <v>78</v>
      </c>
      <c r="AE64" s="40" t="s">
        <v>78</v>
      </c>
      <c r="AF64" s="40" t="s">
        <v>78</v>
      </c>
      <c r="AG64" s="40" t="s">
        <v>78</v>
      </c>
      <c r="AH64" s="40" t="s">
        <v>78</v>
      </c>
      <c r="AI64" s="40" t="s">
        <v>78</v>
      </c>
      <c r="AJ64" s="40" t="s">
        <v>78</v>
      </c>
      <c r="AK64" s="40" t="s">
        <v>188</v>
      </c>
      <c r="AL64" t="str">
        <f>VLOOKUP($Q64,武学奇术!$A:$ZZ,25,FALSE)</f>
        <v>单体奇术</v>
      </c>
      <c r="AM64" s="24">
        <f>VLOOKUP($Q64,武学奇术!$A:$ZZ,26,FALSE)</f>
        <v>1.609</v>
      </c>
      <c r="AN64" s="25">
        <f>VLOOKUP($Q64,武学奇术!$A:$ZZ,27,FALSE)*(1+IF(OR($AL64=$F$4,$AL64=$F$5),$B$22,0))</f>
        <v>308</v>
      </c>
      <c r="AO64" s="24">
        <f>VLOOKUP($Q64,武学奇术!$A:$ZZ,28,FALSE)</f>
        <v>2.4135</v>
      </c>
      <c r="AP64" s="25">
        <f>VLOOKUP($Q64,武学奇术!$A:$ZZ,29,FALSE)*(1+IF(OR($AL64=$F$4,$AL64=$F$5),$B$22,0))</f>
        <v>0</v>
      </c>
      <c r="AQ64" s="24" cm="1">
        <f t="array" ref="AQ64">$G$3+IFERROR(VLOOKUP($AL64,$F$4:$G$7,2,FALSE),0)+VLOOKUP($Q64,武学奇术!$A:$ZZ,2,FALSE)+SUM(_xlfn.XLOOKUP($R64:$AK64,增益!$A:$A,增益!$B:$B,0))</f>
        <v>0.4215</v>
      </c>
      <c r="AR64" s="24" cm="1">
        <f t="array" ref="AR64">VLOOKUP($Q64,武学奇术!$A:$ZZ,5,FALSE)+SUM(_xlfn.XLOOKUP($R64:$AK64,增益!$A:$A,增益!$E:$E,0))</f>
        <v>0.15</v>
      </c>
      <c r="AS64" cm="1">
        <f t="array" ref="AS64">$D$10*(1+$AR64)+VLOOKUP($Q64,武学奇术!$A:$ZZ,3,FALSE)+SUM(_xlfn.XLOOKUP($R64:$AK64,增益!$A:$A,增益!$C:$C,0))-$I$2</f>
        <v>4389.8462</v>
      </c>
      <c r="AT64" cm="1">
        <f t="array" ref="AT64">$E$10*(1+$AR64)+VLOOKUP($Q64,武学奇术!$A:$ZZ,4,FALSE)+SUM(_xlfn.XLOOKUP($R64:$AK64,增益!$A:$A,增益!$D:$D,0))-$I$2</f>
        <v>4389.8462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0.3675</v>
      </c>
      <c r="AV64" s="32" cm="1">
        <f t="array" ref="AV64">$G$10+VLOOKUP($Q64,武学奇术!$A:$ZZ,7,FALSE)+SUM(_xlfn.XLOOKUP($R64:$AK64,增益!$A:$A,增益!$G:$G,0))</f>
        <v>0</v>
      </c>
      <c r="AW64" s="24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2" cm="1">
        <f t="array" ref="BA64">$G$11+VLOOKUP($Q64,武学奇术!$A:$ZZ,10,FALSE)+SUM(_xlfn.XLOOKUP($R64:$AK64,增益!$A:$A,增益!$J:$J,0))</f>
        <v>0</v>
      </c>
      <c r="BB64">
        <f t="shared" si="3"/>
        <v>0</v>
      </c>
      <c r="BC64">
        <f t="shared" si="4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-0.3</v>
      </c>
      <c r="BE64" s="32" cm="1">
        <f t="array" ref="BE64">$G$12+VLOOKUP($Q64,武学奇术!$A:$ZZ,12,FALSE)+SUM(_xlfn.XLOOKUP($R64:$AK64,增益!$A:$A,增益!$L:$L,0))</f>
        <v>0</v>
      </c>
      <c r="BF64">
        <f t="shared" si="5"/>
        <v>605.472</v>
      </c>
      <c r="BG64">
        <f t="shared" si="6"/>
        <v>1579.612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</v>
      </c>
      <c r="BI64" s="32" cm="1">
        <f t="array" ref="BI64">$G$13+VLOOKUP($Q64,武学奇术!$A:$ZZ,14,FALSE)+SUM(_xlfn.XLOOKUP($R64:$AK64,增益!$A:$A,增益!$N:$N,0))</f>
        <v>0.15</v>
      </c>
      <c r="BJ64">
        <f t="shared" si="7"/>
        <v>0</v>
      </c>
      <c r="BK64">
        <f t="shared" si="8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2" cm="1">
        <f t="array" ref="BM64">$G$14+VLOOKUP($Q64,武学奇术!$A:$ZZ,16,FALSE)+SUM(_xlfn.XLOOKUP($R64:$AK64,增益!$A:$A,增益!$P:$P,0))</f>
        <v>0</v>
      </c>
      <c r="BN64" s="24">
        <f>MIN(IF(VLOOKUP($Q64,武学奇术!$A:$ZZ,23,FALSE)=1,100%,$B$8),100%)</f>
        <v>1</v>
      </c>
      <c r="BO64" s="24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0.9093</v>
      </c>
      <c r="BP64" s="24" cm="1">
        <f t="array" ref="BP64">1+$B$13+VLOOKUP($Q64,武学奇术!$A:$ZZ,18,FALSE)+SUM(_xlfn.XLOOKUP($R64:$AK64,增益!$A:$A,增益!$R:$R,0))</f>
        <v>1.85</v>
      </c>
      <c r="BQ64" s="24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4" cm="1">
        <f t="array" ref="BR64">1+$B$14+VLOOKUP($Q64,武学奇术!$A:$ZZ,20,FALSE)+SUM(_xlfn.XLOOKUP($R64:$AK64,增益!$A:$A,增益!$T:$T,0))</f>
        <v>1.35</v>
      </c>
      <c r="BS64" s="24">
        <f t="shared" si="9"/>
        <v>0.9071</v>
      </c>
      <c r="BT64" s="24">
        <f t="shared" si="10"/>
        <v>0</v>
      </c>
      <c r="BU64" s="24">
        <f>IF(VLOOKUP($Q64,武学奇术!$A:$ZZ,22,FALSE)=1,0,(1-$BN64))*(1-$BQ64)</f>
        <v>0</v>
      </c>
      <c r="BV64" s="24" cm="1">
        <f t="array" ref="BV64">SUM(_xlfn.XLOOKUP($R64:$AK64,增益!$A:$A,增益!$W:$W,0))+$I$5</f>
        <v>0.26</v>
      </c>
    </row>
    <row r="65" spans="1:74">
      <c r="A65" s="4" t="s">
        <v>202</v>
      </c>
      <c r="B65" s="4">
        <v>1</v>
      </c>
      <c r="K65" s="38">
        <f t="shared" si="0"/>
        <v>217183.964602789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弹道",$B$21,0))*(1+$BV65)</f>
        <v>221191.722204401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弹道",$B$21,0))*(1+$BV65)</f>
        <v>178051.166751098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弹道",$B$21,0))*(1+$BV65)</f>
        <v>119563.09308346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弹道",$B$21,0))*(1+$BV65)</f>
        <v>107236.433017958</v>
      </c>
      <c r="P65" s="39">
        <v>8</v>
      </c>
      <c r="Q65" s="40" t="s">
        <v>153</v>
      </c>
      <c r="R65" s="40" t="s">
        <v>97</v>
      </c>
      <c r="S65" s="40" t="s">
        <v>176</v>
      </c>
      <c r="T65" s="40" t="s">
        <v>78</v>
      </c>
      <c r="U65" s="40" t="s">
        <v>171</v>
      </c>
      <c r="V65" s="40" t="s">
        <v>78</v>
      </c>
      <c r="W65" s="40" t="s">
        <v>78</v>
      </c>
      <c r="X65" s="40" t="s">
        <v>78</v>
      </c>
      <c r="Y65" s="40" t="s">
        <v>184</v>
      </c>
      <c r="Z65" s="40" t="s">
        <v>78</v>
      </c>
      <c r="AA65" s="40" t="s">
        <v>78</v>
      </c>
      <c r="AB65" s="40" t="s">
        <v>78</v>
      </c>
      <c r="AC65" s="40" t="s">
        <v>185</v>
      </c>
      <c r="AD65" s="40" t="s">
        <v>78</v>
      </c>
      <c r="AE65" s="40" t="s">
        <v>78</v>
      </c>
      <c r="AF65" s="40" t="s">
        <v>78</v>
      </c>
      <c r="AG65" s="40" t="s">
        <v>78</v>
      </c>
      <c r="AH65" s="40" t="s">
        <v>78</v>
      </c>
      <c r="AI65" s="40" t="s">
        <v>78</v>
      </c>
      <c r="AJ65" s="40" t="s">
        <v>78</v>
      </c>
      <c r="AK65" s="40" t="s">
        <v>188</v>
      </c>
      <c r="AL65" t="str">
        <f>VLOOKUP($Q65,武学奇术!$A:$ZZ,25,FALSE)</f>
        <v>单体奇术</v>
      </c>
      <c r="AM65" s="24">
        <f>VLOOKUP($Q65,武学奇术!$A:$ZZ,26,FALSE)</f>
        <v>1.0239</v>
      </c>
      <c r="AN65" s="25">
        <f>VLOOKUP($Q65,武学奇术!$A:$ZZ,27,FALSE)*(1+IF(OR($AL65=$F$4,$AL65=$F$5),$B$22,0))</f>
        <v>196</v>
      </c>
      <c r="AO65" s="24">
        <f>VLOOKUP($Q65,武学奇术!$A:$ZZ,28,FALSE)</f>
        <v>1.53585</v>
      </c>
      <c r="AP65" s="25">
        <f>VLOOKUP($Q65,武学奇术!$A:$ZZ,29,FALSE)*(1+IF(OR($AL65=$F$4,$AL65=$F$5),$B$22,0))</f>
        <v>0</v>
      </c>
      <c r="AQ65" s="24" cm="1">
        <f t="array" ref="AQ65">$G$3+IFERROR(VLOOKUP($AL65,$F$4:$G$7,2,FALSE),0)+VLOOKUP($Q65,武学奇术!$A:$ZZ,2,FALSE)+SUM(_xlfn.XLOOKUP($R65:$AK65,增益!$A:$A,增益!$B:$B,0))</f>
        <v>0.4215</v>
      </c>
      <c r="AR65" s="24" cm="1">
        <f t="array" ref="AR65">VLOOKUP($Q65,武学奇术!$A:$ZZ,5,FALSE)+SUM(_xlfn.XLOOKUP($R65:$AK65,增益!$A:$A,增益!$E:$E,0))</f>
        <v>0.15</v>
      </c>
      <c r="AS65" cm="1">
        <f t="array" ref="AS65">$D$10*(1+$AR65)+VLOOKUP($Q65,武学奇术!$A:$ZZ,3,FALSE)+SUM(_xlfn.XLOOKUP($R65:$AK65,增益!$A:$A,增益!$C:$C,0))-$I$2</f>
        <v>4389.8462</v>
      </c>
      <c r="AT65" cm="1">
        <f t="array" ref="AT65">$E$10*(1+$AR65)+VLOOKUP($Q65,武学奇术!$A:$ZZ,4,FALSE)+SUM(_xlfn.XLOOKUP($R65:$AK65,增益!$A:$A,增益!$D:$D,0))-$I$2</f>
        <v>4389.8462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0.3675</v>
      </c>
      <c r="AV65" s="32" cm="1">
        <f t="array" ref="AV65">$G$10+VLOOKUP($Q65,武学奇术!$A:$ZZ,7,FALSE)+SUM(_xlfn.XLOOKUP($R65:$AK65,增益!$A:$A,增益!$G:$G,0))</f>
        <v>0</v>
      </c>
      <c r="AW65" s="24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2" cm="1">
        <f t="array" ref="BA65">$G$11+VLOOKUP($Q65,武学奇术!$A:$ZZ,10,FALSE)+SUM(_xlfn.XLOOKUP($R65:$AK65,增益!$A:$A,增益!$J:$J,0))</f>
        <v>0</v>
      </c>
      <c r="BB65">
        <f t="shared" si="3"/>
        <v>0</v>
      </c>
      <c r="BC65">
        <f t="shared" si="4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-0.3</v>
      </c>
      <c r="BE65" s="32" cm="1">
        <f t="array" ref="BE65">$G$12+VLOOKUP($Q65,武学奇术!$A:$ZZ,12,FALSE)+SUM(_xlfn.XLOOKUP($R65:$AK65,增益!$A:$A,增益!$L:$L,0))</f>
        <v>0</v>
      </c>
      <c r="BF65">
        <f t="shared" si="5"/>
        <v>605.472</v>
      </c>
      <c r="BG65">
        <f t="shared" si="6"/>
        <v>1579.612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</v>
      </c>
      <c r="BI65" s="32" cm="1">
        <f t="array" ref="BI65">$G$13+VLOOKUP($Q65,武学奇术!$A:$ZZ,14,FALSE)+SUM(_xlfn.XLOOKUP($R65:$AK65,增益!$A:$A,增益!$N:$N,0))</f>
        <v>0.15</v>
      </c>
      <c r="BJ65">
        <f t="shared" si="7"/>
        <v>0</v>
      </c>
      <c r="BK65">
        <f t="shared" si="8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2" cm="1">
        <f t="array" ref="BM65">$G$14+VLOOKUP($Q65,武学奇术!$A:$ZZ,16,FALSE)+SUM(_xlfn.XLOOKUP($R65:$AK65,增益!$A:$A,增益!$P:$P,0))</f>
        <v>0</v>
      </c>
      <c r="BN65" s="24">
        <f>MIN(IF(VLOOKUP($Q65,武学奇术!$A:$ZZ,23,FALSE)=1,100%,$B$8),100%)</f>
        <v>1</v>
      </c>
      <c r="BO65" s="24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0.9093</v>
      </c>
      <c r="BP65" s="24" cm="1">
        <f t="array" ref="BP65">1+$B$13+VLOOKUP($Q65,武学奇术!$A:$ZZ,18,FALSE)+SUM(_xlfn.XLOOKUP($R65:$AK65,增益!$A:$A,增益!$R:$R,0))</f>
        <v>1.85</v>
      </c>
      <c r="BQ65" s="24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4" cm="1">
        <f t="array" ref="BR65">1+$B$14+VLOOKUP($Q65,武学奇术!$A:$ZZ,20,FALSE)+SUM(_xlfn.XLOOKUP($R65:$AK65,增益!$A:$A,增益!$T:$T,0))</f>
        <v>1.35</v>
      </c>
      <c r="BS65" s="24">
        <f t="shared" si="9"/>
        <v>0.9071</v>
      </c>
      <c r="BT65" s="24">
        <f t="shared" si="10"/>
        <v>0</v>
      </c>
      <c r="BU65" s="24">
        <f>IF(VLOOKUP($Q65,武学奇术!$A:$ZZ,22,FALSE)=1,0,(1-$BN65))*(1-$BQ65)</f>
        <v>0</v>
      </c>
      <c r="BV65" s="24" cm="1">
        <f t="array" ref="BV65">SUM(_xlfn.XLOOKUP($R65:$AK65,增益!$A:$A,增益!$W:$W,0))+$I$5</f>
        <v>0.26</v>
      </c>
    </row>
    <row r="66" spans="1:74">
      <c r="A66" s="4" t="s">
        <v>162</v>
      </c>
      <c r="B66" s="4">
        <v>1.5</v>
      </c>
      <c r="K66" s="38">
        <f t="shared" ref="K66:K129" si="11">($L66*$BS66+$M66*$BQ66+$N66*$BT66+$O66*$BU66)</f>
        <v>341292.02079765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弹道",$B$21,0))*(1+$BV66)</f>
        <v>347589.979028463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弹道",$B$21,0))*(1+$BV66)</f>
        <v>279797.102485804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弹道",$B$21,0))*(1+$BV66)</f>
        <v>187886.475150521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弹道",$B$21,0))*(1+$BV66)</f>
        <v>168515.837348594</v>
      </c>
      <c r="P66" s="39">
        <v>8</v>
      </c>
      <c r="Q66" s="40" t="s">
        <v>155</v>
      </c>
      <c r="R66" s="40" t="s">
        <v>97</v>
      </c>
      <c r="S66" s="40" t="s">
        <v>176</v>
      </c>
      <c r="T66" s="40" t="s">
        <v>78</v>
      </c>
      <c r="U66" s="40" t="s">
        <v>171</v>
      </c>
      <c r="V66" s="40" t="s">
        <v>78</v>
      </c>
      <c r="W66" s="40" t="s">
        <v>78</v>
      </c>
      <c r="X66" s="40" t="s">
        <v>78</v>
      </c>
      <c r="Y66" s="40" t="s">
        <v>184</v>
      </c>
      <c r="Z66" s="40" t="s">
        <v>78</v>
      </c>
      <c r="AA66" s="40" t="s">
        <v>78</v>
      </c>
      <c r="AB66" s="40" t="s">
        <v>78</v>
      </c>
      <c r="AC66" s="40" t="s">
        <v>185</v>
      </c>
      <c r="AD66" s="40" t="s">
        <v>78</v>
      </c>
      <c r="AE66" s="40" t="s">
        <v>78</v>
      </c>
      <c r="AF66" s="40" t="s">
        <v>78</v>
      </c>
      <c r="AG66" s="40" t="s">
        <v>78</v>
      </c>
      <c r="AH66" s="40" t="s">
        <v>78</v>
      </c>
      <c r="AI66" s="40" t="s">
        <v>78</v>
      </c>
      <c r="AJ66" s="40" t="s">
        <v>78</v>
      </c>
      <c r="AK66" s="40" t="s">
        <v>188</v>
      </c>
      <c r="AL66" t="str">
        <f>VLOOKUP($Q66,武学奇术!$A:$ZZ,25,FALSE)</f>
        <v>单体奇术</v>
      </c>
      <c r="AM66" s="24">
        <f>VLOOKUP($Q66,武学奇术!$A:$ZZ,26,FALSE)</f>
        <v>1.609</v>
      </c>
      <c r="AN66" s="25">
        <f>VLOOKUP($Q66,武学奇术!$A:$ZZ,27,FALSE)*(1+IF(OR($AL66=$F$4,$AL66=$F$5),$B$22,0))</f>
        <v>308</v>
      </c>
      <c r="AO66" s="24">
        <f>VLOOKUP($Q66,武学奇术!$A:$ZZ,28,FALSE)</f>
        <v>2.4135</v>
      </c>
      <c r="AP66" s="25">
        <f>VLOOKUP($Q66,武学奇术!$A:$ZZ,29,FALSE)*(1+IF(OR($AL66=$F$4,$AL66=$F$5),$B$22,0))</f>
        <v>0</v>
      </c>
      <c r="AQ66" s="24" cm="1">
        <f t="array" ref="AQ66">$G$3+IFERROR(VLOOKUP($AL66,$F$4:$G$7,2,FALSE),0)+VLOOKUP($Q66,武学奇术!$A:$ZZ,2,FALSE)+SUM(_xlfn.XLOOKUP($R66:$AK66,增益!$A:$A,增益!$B:$B,0))</f>
        <v>0.4215</v>
      </c>
      <c r="AR66" s="24" cm="1">
        <f t="array" ref="AR66">VLOOKUP($Q66,武学奇术!$A:$ZZ,5,FALSE)+SUM(_xlfn.XLOOKUP($R66:$AK66,增益!$A:$A,增益!$E:$E,0))</f>
        <v>0.15</v>
      </c>
      <c r="AS66" cm="1">
        <f t="array" ref="AS66">$D$10*(1+$AR66)+VLOOKUP($Q66,武学奇术!$A:$ZZ,3,FALSE)+SUM(_xlfn.XLOOKUP($R66:$AK66,增益!$A:$A,增益!$C:$C,0))-$I$2</f>
        <v>4389.8462</v>
      </c>
      <c r="AT66" cm="1">
        <f t="array" ref="AT66">$E$10*(1+$AR66)+VLOOKUP($Q66,武学奇术!$A:$ZZ,4,FALSE)+SUM(_xlfn.XLOOKUP($R66:$AK66,增益!$A:$A,增益!$D:$D,0))-$I$2</f>
        <v>4389.8462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0.3675</v>
      </c>
      <c r="AV66" s="32" cm="1">
        <f t="array" ref="AV66">$G$10+VLOOKUP($Q66,武学奇术!$A:$ZZ,7,FALSE)+SUM(_xlfn.XLOOKUP($R66:$AK66,增益!$A:$A,增益!$G:$G,0))</f>
        <v>0</v>
      </c>
      <c r="AW66" s="24" cm="1">
        <f t="array" ref="AW66">VLOOKUP($Q66,武学奇术!$A:$ZZ,8,FALSE)+SUM(_xlfn.XLOOKUP($R66:$AK66,增益!$A:$A,增益!$H:$H,0))</f>
        <v>0</v>
      </c>
      <c r="AX66">
        <f t="shared" ref="AX66:AX129" si="12">$D$11*(1+$AW66)</f>
        <v>0</v>
      </c>
      <c r="AY66">
        <f t="shared" ref="AY66:AY129" si="13">$E$11*(1+$AW66)</f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2" cm="1">
        <f t="array" ref="BA66">$G$11+VLOOKUP($Q66,武学奇术!$A:$ZZ,10,FALSE)+SUM(_xlfn.XLOOKUP($R66:$AK66,增益!$A:$A,增益!$J:$J,0))</f>
        <v>0</v>
      </c>
      <c r="BB66">
        <f t="shared" ref="BB66:BB129" si="14">$D$12*(1+$AW66)</f>
        <v>0</v>
      </c>
      <c r="BC66">
        <f t="shared" ref="BC66:BC129" si="15">$E$12*(1+$AW66)</f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-0.3</v>
      </c>
      <c r="BE66" s="32" cm="1">
        <f t="array" ref="BE66">$G$12+VLOOKUP($Q66,武学奇术!$A:$ZZ,12,FALSE)+SUM(_xlfn.XLOOKUP($R66:$AK66,增益!$A:$A,增益!$L:$L,0))</f>
        <v>0</v>
      </c>
      <c r="BF66">
        <f t="shared" ref="BF66:BF129" si="16">$D$13*(1+$AW66)</f>
        <v>605.472</v>
      </c>
      <c r="BG66">
        <f t="shared" ref="BG66:BG129" si="17">$E$13*(1+$AW66)</f>
        <v>1579.612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</v>
      </c>
      <c r="BI66" s="32" cm="1">
        <f t="array" ref="BI66">$G$13+VLOOKUP($Q66,武学奇术!$A:$ZZ,14,FALSE)+SUM(_xlfn.XLOOKUP($R66:$AK66,增益!$A:$A,增益!$N:$N,0))</f>
        <v>0.15</v>
      </c>
      <c r="BJ66">
        <f t="shared" ref="BJ66:BJ129" si="18">$D$14*(1+$AW66)</f>
        <v>0</v>
      </c>
      <c r="BK66">
        <f t="shared" ref="BK66:BK129" si="19">$E$14*(1+$AW66)</f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2" cm="1">
        <f t="array" ref="BM66">$G$14+VLOOKUP($Q66,武学奇术!$A:$ZZ,16,FALSE)+SUM(_xlfn.XLOOKUP($R66:$AK66,增益!$A:$A,增益!$P:$P,0))</f>
        <v>0</v>
      </c>
      <c r="BN66" s="24">
        <f>MIN(IF(VLOOKUP($Q66,武学奇术!$A:$ZZ,23,FALSE)=1,100%,$B$8),100%)</f>
        <v>1</v>
      </c>
      <c r="BO66" s="24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0.9093</v>
      </c>
      <c r="BP66" s="24" cm="1">
        <f t="array" ref="BP66">1+$B$13+VLOOKUP($Q66,武学奇术!$A:$ZZ,18,FALSE)+SUM(_xlfn.XLOOKUP($R66:$AK66,增益!$A:$A,增益!$R:$R,0))</f>
        <v>1.85</v>
      </c>
      <c r="BQ66" s="24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4" cm="1">
        <f t="array" ref="BR66">1+$B$14+VLOOKUP($Q66,武学奇术!$A:$ZZ,20,FALSE)+SUM(_xlfn.XLOOKUP($R66:$AK66,增益!$A:$A,增益!$T:$T,0))</f>
        <v>1.35</v>
      </c>
      <c r="BS66" s="24">
        <f t="shared" ref="BS66:BS129" si="20">MIN((1-BQ66)*BN66,BN66*BO66)</f>
        <v>0.9071</v>
      </c>
      <c r="BT66" s="24">
        <f t="shared" ref="BT66:BT129" si="21">1-BQ66-BS66-BU66</f>
        <v>0</v>
      </c>
      <c r="BU66" s="24">
        <f>IF(VLOOKUP($Q66,武学奇术!$A:$ZZ,22,FALSE)=1,0,(1-$BN66))*(1-$BQ66)</f>
        <v>0</v>
      </c>
      <c r="BV66" s="24" cm="1">
        <f t="array" ref="BV66">SUM(_xlfn.XLOOKUP($R66:$AK66,增益!$A:$A,增益!$W:$W,0))+$I$5</f>
        <v>0.26</v>
      </c>
    </row>
    <row r="67" spans="1:74">
      <c r="A67" s="4" t="s">
        <v>172</v>
      </c>
      <c r="B67" s="4">
        <v>3.3</v>
      </c>
      <c r="K67" s="38">
        <f t="shared" si="11"/>
        <v>222051.064834831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弹道",$B$21,0))*(1+$BV67)</f>
        <v>226149.105191028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弹道",$B$21,0))*(1+$BV67)</f>
        <v>182036.72245479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弹道",$B$21,0))*(1+$BV67)</f>
        <v>122242.759562718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弹道",$B$21,0))*(1+$BV67)</f>
        <v>109643.502492258</v>
      </c>
      <c r="P67" s="39">
        <v>1</v>
      </c>
      <c r="Q67" s="40" t="s">
        <v>192</v>
      </c>
      <c r="R67" s="40" t="s">
        <v>97</v>
      </c>
      <c r="S67" s="40" t="s">
        <v>176</v>
      </c>
      <c r="T67" s="40" t="s">
        <v>78</v>
      </c>
      <c r="U67" s="40" t="s">
        <v>171</v>
      </c>
      <c r="V67" s="40" t="s">
        <v>78</v>
      </c>
      <c r="W67" s="40" t="s">
        <v>78</v>
      </c>
      <c r="X67" s="40" t="s">
        <v>78</v>
      </c>
      <c r="Y67" s="40" t="s">
        <v>184</v>
      </c>
      <c r="Z67" s="40" t="s">
        <v>78</v>
      </c>
      <c r="AA67" s="40" t="s">
        <v>78</v>
      </c>
      <c r="AB67" s="40" t="s">
        <v>78</v>
      </c>
      <c r="AC67" s="40" t="s">
        <v>185</v>
      </c>
      <c r="AD67" s="40" t="s">
        <v>78</v>
      </c>
      <c r="AE67" s="40" t="s">
        <v>78</v>
      </c>
      <c r="AF67" s="40" t="s">
        <v>78</v>
      </c>
      <c r="AG67" s="40" t="s">
        <v>78</v>
      </c>
      <c r="AH67" s="40" t="s">
        <v>78</v>
      </c>
      <c r="AI67" s="40" t="s">
        <v>78</v>
      </c>
      <c r="AJ67" s="40" t="s">
        <v>78</v>
      </c>
      <c r="AK67" s="40" t="s">
        <v>188</v>
      </c>
      <c r="AL67" t="str">
        <f>VLOOKUP($Q67,武学奇术!$A:$ZZ,25,FALSE)</f>
        <v>群体奇术</v>
      </c>
      <c r="AM67" s="24">
        <f>VLOOKUP($Q67,武学奇术!$A:$ZZ,26,FALSE)</f>
        <v>10.315755</v>
      </c>
      <c r="AN67" s="25">
        <f>VLOOKUP($Q67,武学奇术!$A:$ZZ,27,FALSE)*(1+IF(OR($AL67=$F$4,$AL67=$F$5),$B$22,0))</f>
        <v>1992.6</v>
      </c>
      <c r="AO67" s="24">
        <f>VLOOKUP($Q67,武学奇术!$A:$ZZ,28,FALSE)</f>
        <v>15.4736325</v>
      </c>
      <c r="AP67" s="25">
        <f>VLOOKUP($Q67,武学奇术!$A:$ZZ,29,FALSE)*(1+IF(OR($AL67=$F$4,$AL67=$F$5),$B$22,0))</f>
        <v>0</v>
      </c>
      <c r="AQ67" s="24" cm="1">
        <f t="array" ref="AQ67">$G$3+IFERROR(VLOOKUP($AL67,$F$4:$G$7,2,FALSE),0)+VLOOKUP($Q67,武学奇术!$A:$ZZ,2,FALSE)+SUM(_xlfn.XLOOKUP($R67:$AK67,增益!$A:$A,增益!$B:$B,0))</f>
        <v>0.1537</v>
      </c>
      <c r="AR67" s="24" cm="1">
        <f t="array" ref="AR67">VLOOKUP($Q67,武学奇术!$A:$ZZ,5,FALSE)+SUM(_xlfn.XLOOKUP($R67:$AK67,增益!$A:$A,增益!$E:$E,0))</f>
        <v>0.15</v>
      </c>
      <c r="AS67" cm="1">
        <f t="array" ref="AS67">$D$10*(1+$AR67)+VLOOKUP($Q67,武学奇术!$A:$ZZ,3,FALSE)+SUM(_xlfn.XLOOKUP($R67:$AK67,增益!$A:$A,增益!$C:$C,0))-$I$2</f>
        <v>4389.8462</v>
      </c>
      <c r="AT67" cm="1">
        <f t="array" ref="AT67">$E$10*(1+$AR67)+VLOOKUP($Q67,武学奇术!$A:$ZZ,4,FALSE)+SUM(_xlfn.XLOOKUP($R67:$AK67,增益!$A:$A,增益!$D:$D,0))-$I$2</f>
        <v>4389.8462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0.3675</v>
      </c>
      <c r="AV67" s="32" cm="1">
        <f t="array" ref="AV67">$G$10+VLOOKUP($Q67,武学奇术!$A:$ZZ,7,FALSE)+SUM(_xlfn.XLOOKUP($R67:$AK67,增益!$A:$A,增益!$G:$G,0))</f>
        <v>0</v>
      </c>
      <c r="AW67" s="24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2" cm="1">
        <f t="array" ref="BA67">$G$11+VLOOKUP($Q67,武学奇术!$A:$ZZ,10,FALSE)+SUM(_xlfn.XLOOKUP($R67:$AK67,增益!$A:$A,增益!$J:$J,0))</f>
        <v>0</v>
      </c>
      <c r="BB67">
        <f t="shared" si="14"/>
        <v>0</v>
      </c>
      <c r="BC67">
        <f t="shared" si="15"/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-0.3</v>
      </c>
      <c r="BE67" s="32" cm="1">
        <f t="array" ref="BE67">$G$12+VLOOKUP($Q67,武学奇术!$A:$ZZ,12,FALSE)+SUM(_xlfn.XLOOKUP($R67:$AK67,增益!$A:$A,增益!$L:$L,0))</f>
        <v>0</v>
      </c>
      <c r="BF67">
        <f t="shared" si="16"/>
        <v>605.472</v>
      </c>
      <c r="BG67">
        <f t="shared" si="17"/>
        <v>1579.612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</v>
      </c>
      <c r="BI67" s="32" cm="1">
        <f t="array" ref="BI67">$G$13+VLOOKUP($Q67,武学奇术!$A:$ZZ,14,FALSE)+SUM(_xlfn.XLOOKUP($R67:$AK67,增益!$A:$A,增益!$N:$N,0))</f>
        <v>0.15</v>
      </c>
      <c r="BJ67">
        <f t="shared" si="18"/>
        <v>0</v>
      </c>
      <c r="BK67">
        <f t="shared" si="19"/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2" cm="1">
        <f t="array" ref="BM67">$G$14+VLOOKUP($Q67,武学奇术!$A:$ZZ,16,FALSE)+SUM(_xlfn.XLOOKUP($R67:$AK67,增益!$A:$A,增益!$P:$P,0))</f>
        <v>0</v>
      </c>
      <c r="BN67" s="24">
        <f>MIN(IF(VLOOKUP($Q67,武学奇术!$A:$ZZ,23,FALSE)=1,100%,$B$8),100%)</f>
        <v>1</v>
      </c>
      <c r="BO67" s="24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0.9093</v>
      </c>
      <c r="BP67" s="24" cm="1">
        <f t="array" ref="BP67">1+$B$13+VLOOKUP($Q67,武学奇术!$A:$ZZ,18,FALSE)+SUM(_xlfn.XLOOKUP($R67:$AK67,增益!$A:$A,增益!$R:$R,0))</f>
        <v>1.85</v>
      </c>
      <c r="BQ67" s="24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4" cm="1">
        <f t="array" ref="BR67">1+$B$14+VLOOKUP($Q67,武学奇术!$A:$ZZ,20,FALSE)+SUM(_xlfn.XLOOKUP($R67:$AK67,增益!$A:$A,增益!$T:$T,0))</f>
        <v>1.35</v>
      </c>
      <c r="BS67" s="24">
        <f t="shared" si="20"/>
        <v>0.9071</v>
      </c>
      <c r="BT67" s="24">
        <f t="shared" si="21"/>
        <v>0</v>
      </c>
      <c r="BU67" s="24">
        <f>IF(VLOOKUP($Q67,武学奇术!$A:$ZZ,22,FALSE)=1,0,(1-$BN67))*(1-$BQ67)</f>
        <v>0</v>
      </c>
      <c r="BV67" s="24" cm="1">
        <f t="array" ref="BV67">SUM(_xlfn.XLOOKUP($R67:$AK67,增益!$A:$A,增益!$W:$W,0))+$I$5</f>
        <v>0.26</v>
      </c>
    </row>
    <row r="68" spans="1:74">
      <c r="A68" s="4" t="s">
        <v>172</v>
      </c>
      <c r="B68" s="4">
        <v>3.3</v>
      </c>
      <c r="K68" s="38">
        <f t="shared" si="11"/>
        <v>23244.7519267752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弹道",$B$21,0))*(1+$BV68)</f>
        <v>23686.9840839475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弹道",$B$21,0))*(1+$BV68)</f>
        <v>18926.68099275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弹道",$B$21,0))*(1+$BV68)</f>
        <v>12803.7751805121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弹道",$B$21,0))*(1+$BV68)</f>
        <v>11587.786662691</v>
      </c>
      <c r="P68" s="39">
        <v>1</v>
      </c>
      <c r="Q68" s="40" t="s">
        <v>160</v>
      </c>
      <c r="R68" s="40" t="s">
        <v>97</v>
      </c>
      <c r="S68" s="40" t="s">
        <v>176</v>
      </c>
      <c r="T68" s="40" t="s">
        <v>78</v>
      </c>
      <c r="U68" s="40" t="s">
        <v>171</v>
      </c>
      <c r="V68" s="40" t="s">
        <v>78</v>
      </c>
      <c r="W68" s="40" t="s">
        <v>78</v>
      </c>
      <c r="X68" s="40" t="s">
        <v>78</v>
      </c>
      <c r="Y68" s="40" t="s">
        <v>184</v>
      </c>
      <c r="Z68" s="40" t="s">
        <v>78</v>
      </c>
      <c r="AA68" s="40" t="s">
        <v>78</v>
      </c>
      <c r="AB68" s="40" t="s">
        <v>78</v>
      </c>
      <c r="AC68" s="40" t="s">
        <v>185</v>
      </c>
      <c r="AD68" s="40" t="s">
        <v>78</v>
      </c>
      <c r="AE68" s="40" t="s">
        <v>78</v>
      </c>
      <c r="AF68" s="40" t="s">
        <v>78</v>
      </c>
      <c r="AG68" s="40" t="s">
        <v>78</v>
      </c>
      <c r="AH68" s="40" t="s">
        <v>78</v>
      </c>
      <c r="AI68" s="40" t="s">
        <v>78</v>
      </c>
      <c r="AJ68" s="40" t="s">
        <v>78</v>
      </c>
      <c r="AK68" s="40" t="s">
        <v>188</v>
      </c>
      <c r="AL68" t="str">
        <f>VLOOKUP($Q68,武学奇术!$A:$ZZ,25,FALSE)</f>
        <v>扇</v>
      </c>
      <c r="AM68" s="24">
        <f>VLOOKUP($Q68,武学奇术!$A:$ZZ,26,FALSE)</f>
        <v>0.9271</v>
      </c>
      <c r="AN68" s="25">
        <f>VLOOKUP($Q68,武学奇术!$A:$ZZ,27,FALSE)*(1+IF(OR($AL68=$F$4,$AL68=$F$5),$B$22,0))</f>
        <v>385.5</v>
      </c>
      <c r="AO68" s="24">
        <f>VLOOKUP($Q68,武学奇术!$A:$ZZ,28,FALSE)</f>
        <v>1.3907</v>
      </c>
      <c r="AP68" s="25">
        <f>VLOOKUP($Q68,武学奇术!$A:$ZZ,29,FALSE)*(1+IF(OR($AL68=$F$4,$AL68=$F$5),$B$22,0))</f>
        <v>210</v>
      </c>
      <c r="AQ68" s="24" cm="1">
        <f t="array" ref="AQ68">$G$3+IFERROR(VLOOKUP($AL68,$F$4:$G$7,2,FALSE),0)+VLOOKUP($Q68,武学奇术!$A:$ZZ,2,FALSE)+SUM(_xlfn.XLOOKUP($R68:$AK68,增益!$A:$A,增益!$B:$B,0))</f>
        <v>0.2389</v>
      </c>
      <c r="AR68" s="24" cm="1">
        <f t="array" ref="AR68">VLOOKUP($Q68,武学奇术!$A:$ZZ,5,FALSE)+SUM(_xlfn.XLOOKUP($R68:$AK68,增益!$A:$A,增益!$E:$E,0))</f>
        <v>0.15</v>
      </c>
      <c r="AS68" cm="1">
        <f t="array" ref="AS68">$D$10*(1+$AR68)+VLOOKUP($Q68,武学奇术!$A:$ZZ,3,FALSE)+SUM(_xlfn.XLOOKUP($R68:$AK68,增益!$A:$A,增益!$C:$C,0))-$I$2</f>
        <v>4389.8462</v>
      </c>
      <c r="AT68" cm="1">
        <f t="array" ref="AT68">$E$10*(1+$AR68)+VLOOKUP($Q68,武学奇术!$A:$ZZ,4,FALSE)+SUM(_xlfn.XLOOKUP($R68:$AK68,增益!$A:$A,增益!$D:$D,0))-$I$2</f>
        <v>4389.8462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0.3675</v>
      </c>
      <c r="AV68" s="32" cm="1">
        <f t="array" ref="AV68">$G$10+VLOOKUP($Q68,武学奇术!$A:$ZZ,7,FALSE)+SUM(_xlfn.XLOOKUP($R68:$AK68,增益!$A:$A,增益!$G:$G,0))</f>
        <v>0</v>
      </c>
      <c r="AW68" s="24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2" cm="1">
        <f t="array" ref="BA68">$G$11+VLOOKUP($Q68,武学奇术!$A:$ZZ,10,FALSE)+SUM(_xlfn.XLOOKUP($R68:$AK68,增益!$A:$A,增益!$J:$J,0))</f>
        <v>0</v>
      </c>
      <c r="BB68">
        <f t="shared" si="14"/>
        <v>0</v>
      </c>
      <c r="BC68">
        <f t="shared" si="15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-0.3</v>
      </c>
      <c r="BE68" s="32" cm="1">
        <f t="array" ref="BE68">$G$12+VLOOKUP($Q68,武学奇术!$A:$ZZ,12,FALSE)+SUM(_xlfn.XLOOKUP($R68:$AK68,增益!$A:$A,增益!$L:$L,0))</f>
        <v>0</v>
      </c>
      <c r="BF68">
        <f t="shared" si="16"/>
        <v>605.472</v>
      </c>
      <c r="BG68">
        <f t="shared" si="17"/>
        <v>1579.612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</v>
      </c>
      <c r="BI68" s="32" cm="1">
        <f t="array" ref="BI68">$G$13+VLOOKUP($Q68,武学奇术!$A:$ZZ,14,FALSE)+SUM(_xlfn.XLOOKUP($R68:$AK68,增益!$A:$A,增益!$N:$N,0))</f>
        <v>0.15</v>
      </c>
      <c r="BJ68">
        <f t="shared" si="18"/>
        <v>0</v>
      </c>
      <c r="BK68">
        <f t="shared" si="19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2" cm="1">
        <f t="array" ref="BM68">$G$14+VLOOKUP($Q68,武学奇术!$A:$ZZ,16,FALSE)+SUM(_xlfn.XLOOKUP($R68:$AK68,增益!$A:$A,增益!$P:$P,0))</f>
        <v>0</v>
      </c>
      <c r="BN68" s="24">
        <f>MIN(IF(VLOOKUP($Q68,武学奇术!$A:$ZZ,23,FALSE)=1,100%,$B$8),100%)</f>
        <v>1</v>
      </c>
      <c r="BO68" s="24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0.9093</v>
      </c>
      <c r="BP68" s="24" cm="1">
        <f t="array" ref="BP68">1+$B$13+VLOOKUP($Q68,武学奇术!$A:$ZZ,18,FALSE)+SUM(_xlfn.XLOOKUP($R68:$AK68,增益!$A:$A,增益!$R:$R,0))</f>
        <v>1.85</v>
      </c>
      <c r="BQ68" s="24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4" cm="1">
        <f t="array" ref="BR68">1+$B$14+VLOOKUP($Q68,武学奇术!$A:$ZZ,20,FALSE)+SUM(_xlfn.XLOOKUP($R68:$AK68,增益!$A:$A,增益!$T:$T,0))</f>
        <v>1.35</v>
      </c>
      <c r="BS68" s="24">
        <f t="shared" si="20"/>
        <v>0.9071</v>
      </c>
      <c r="BT68" s="24">
        <f t="shared" si="21"/>
        <v>0</v>
      </c>
      <c r="BU68" s="24">
        <f>IF(VLOOKUP($Q68,武学奇术!$A:$ZZ,22,FALSE)=1,0,(1-$BN68))*(1-$BQ68)</f>
        <v>0</v>
      </c>
      <c r="BV68" s="24" cm="1">
        <f t="array" ref="BV68">SUM(_xlfn.XLOOKUP($R68:$AK68,增益!$A:$A,增益!$W:$W,0))+$I$5</f>
        <v>0.26</v>
      </c>
    </row>
    <row r="69" spans="1:74">
      <c r="A69" s="4" t="s">
        <v>193</v>
      </c>
      <c r="B69" s="4">
        <v>2</v>
      </c>
      <c r="K69" s="38">
        <f t="shared" si="11"/>
        <v>0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弹道",$B$21,0))*(1+$BV69)</f>
        <v>0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弹道",$B$21,0))*(1+$BV69)</f>
        <v>0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弹道",$B$21,0))*(1+$BV69)</f>
        <v>0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弹道",$B$21,0))*(1+$BV69)</f>
        <v>0</v>
      </c>
      <c r="P69" s="39">
        <v>1</v>
      </c>
      <c r="Q69" s="40" t="s">
        <v>78</v>
      </c>
      <c r="R69" s="40" t="s">
        <v>78</v>
      </c>
      <c r="S69" s="40" t="s">
        <v>78</v>
      </c>
      <c r="T69" s="40" t="s">
        <v>78</v>
      </c>
      <c r="U69" s="40" t="s">
        <v>78</v>
      </c>
      <c r="V69" s="40" t="s">
        <v>78</v>
      </c>
      <c r="W69" s="40" t="s">
        <v>78</v>
      </c>
      <c r="X69" s="40" t="s">
        <v>78</v>
      </c>
      <c r="Y69" s="40" t="s">
        <v>78</v>
      </c>
      <c r="Z69" s="40" t="s">
        <v>78</v>
      </c>
      <c r="AA69" s="40" t="s">
        <v>78</v>
      </c>
      <c r="AB69" s="40" t="s">
        <v>78</v>
      </c>
      <c r="AC69" s="40" t="s">
        <v>78</v>
      </c>
      <c r="AD69" s="40" t="s">
        <v>78</v>
      </c>
      <c r="AE69" s="40" t="s">
        <v>78</v>
      </c>
      <c r="AF69" s="40" t="s">
        <v>78</v>
      </c>
      <c r="AG69" s="40" t="s">
        <v>78</v>
      </c>
      <c r="AH69" s="40" t="s">
        <v>78</v>
      </c>
      <c r="AI69" s="40" t="s">
        <v>78</v>
      </c>
      <c r="AJ69" s="40" t="s">
        <v>78</v>
      </c>
      <c r="AK69" s="40" t="s">
        <v>78</v>
      </c>
      <c r="AL69" t="str">
        <f>VLOOKUP($Q69,武学奇术!$A:$ZZ,25,FALSE)</f>
        <v>心法</v>
      </c>
      <c r="AM69" s="24">
        <f>VLOOKUP($Q69,武学奇术!$A:$ZZ,26,FALSE)</f>
        <v>0</v>
      </c>
      <c r="AN69" s="25">
        <f>VLOOKUP($Q69,武学奇术!$A:$ZZ,27,FALSE)*(1+IF(OR($AL69=$F$4,$AL69=$F$5),$B$22,0))</f>
        <v>0</v>
      </c>
      <c r="AO69" s="24">
        <f>VLOOKUP($Q69,武学奇术!$A:$ZZ,28,FALSE)</f>
        <v>0</v>
      </c>
      <c r="AP69" s="25">
        <f>VLOOKUP($Q69,武学奇术!$A:$ZZ,29,FALSE)*(1+IF(OR($AL69=$F$4,$AL69=$F$5),$B$22,0))</f>
        <v>0</v>
      </c>
      <c r="AQ69" s="24" cm="1">
        <f t="array" ref="AQ69">$G$3+IFERROR(VLOOKUP($AL69,$F$4:$G$7,2,FALSE),0)+VLOOKUP($Q69,武学奇术!$A:$ZZ,2,FALSE)+SUM(_xlfn.XLOOKUP($R69:$AK69,增益!$A:$A,增益!$B:$B,0))</f>
        <v>0.1037</v>
      </c>
      <c r="AR69" s="24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3736.388</v>
      </c>
      <c r="AT69" cm="1">
        <f t="array" ref="AT69">$E$10*(1+$AR69)+VLOOKUP($Q69,武学奇术!$A:$ZZ,4,FALSE)+SUM(_xlfn.XLOOKUP($R69:$AK69,增益!$A:$A,增益!$D:$D,0))-$I$2</f>
        <v>3736.388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0.1925</v>
      </c>
      <c r="AV69" s="32" cm="1">
        <f t="array" ref="AV69">$G$10+VLOOKUP($Q69,武学奇术!$A:$ZZ,7,FALSE)+SUM(_xlfn.XLOOKUP($R69:$AK69,增益!$A:$A,增益!$G:$G,0))</f>
        <v>0</v>
      </c>
      <c r="AW69" s="24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2" cm="1">
        <f t="array" ref="BA69">$G$11+VLOOKUP($Q69,武学奇术!$A:$ZZ,10,FALSE)+SUM(_xlfn.XLOOKUP($R69:$AK69,增益!$A:$A,增益!$J:$J,0))</f>
        <v>0</v>
      </c>
      <c r="BB69">
        <f t="shared" si="14"/>
        <v>0</v>
      </c>
      <c r="BC69">
        <f t="shared" si="15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-0.3</v>
      </c>
      <c r="BE69" s="32" cm="1">
        <f t="array" ref="BE69">$G$12+VLOOKUP($Q69,武学奇术!$A:$ZZ,12,FALSE)+SUM(_xlfn.XLOOKUP($R69:$AK69,增益!$A:$A,增益!$L:$L,0))</f>
        <v>0</v>
      </c>
      <c r="BF69">
        <f t="shared" si="16"/>
        <v>605.472</v>
      </c>
      <c r="BG69">
        <f t="shared" si="17"/>
        <v>1579.612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</v>
      </c>
      <c r="BI69" s="32" cm="1">
        <f t="array" ref="BI69">$G$13+VLOOKUP($Q69,武学奇术!$A:$ZZ,14,FALSE)+SUM(_xlfn.XLOOKUP($R69:$AK69,增益!$A:$A,增益!$N:$N,0))</f>
        <v>0.15</v>
      </c>
      <c r="BJ69">
        <f t="shared" si="18"/>
        <v>0</v>
      </c>
      <c r="BK69">
        <f t="shared" si="19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2" cm="1">
        <f t="array" ref="BM69">$G$14+VLOOKUP($Q69,武学奇术!$A:$ZZ,16,FALSE)+SUM(_xlfn.XLOOKUP($R69:$AK69,增益!$A:$A,增益!$P:$P,0))</f>
        <v>0</v>
      </c>
      <c r="BN69" s="24">
        <f>MIN(IF(VLOOKUP($Q69,武学奇术!$A:$ZZ,23,FALSE)=1,100%,$B$8),100%)</f>
        <v>1</v>
      </c>
      <c r="BO69" s="24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0.9093</v>
      </c>
      <c r="BP69" s="24" cm="1">
        <f t="array" ref="BP69">1+$B$13+VLOOKUP($Q69,武学奇术!$A:$ZZ,18,FALSE)+SUM(_xlfn.XLOOKUP($R69:$AK69,增益!$A:$A,增益!$R:$R,0))</f>
        <v>1.5</v>
      </c>
      <c r="BQ69" s="24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4" cm="1">
        <f t="array" ref="BR69">1+$B$14+VLOOKUP($Q69,武学奇术!$A:$ZZ,20,FALSE)+SUM(_xlfn.XLOOKUP($R69:$AK69,增益!$A:$A,增益!$T:$T,0))</f>
        <v>1.35</v>
      </c>
      <c r="BS69" s="24">
        <f t="shared" si="20"/>
        <v>0.9071</v>
      </c>
      <c r="BT69" s="24">
        <f t="shared" si="21"/>
        <v>0</v>
      </c>
      <c r="BU69" s="24">
        <f>IF(VLOOKUP($Q69,武学奇术!$A:$ZZ,22,FALSE)=1,0,(1-$BN69))*(1-$BQ69)</f>
        <v>0</v>
      </c>
      <c r="BV69" s="24" cm="1">
        <f t="array" ref="BV69">SUM(_xlfn.XLOOKUP($R69:$AK69,增益!$A:$A,增益!$W:$W,0))+$I$5</f>
        <v>0.06</v>
      </c>
    </row>
    <row r="70" spans="1:74">
      <c r="A70" s="4" t="s">
        <v>101</v>
      </c>
      <c r="B70" s="4">
        <v>1.25</v>
      </c>
      <c r="K70" s="38">
        <f t="shared" si="11"/>
        <v>20954.135380113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弹道",$B$21,0))*(1+$BV70)</f>
        <v>21083.0711180731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弹道",$B$21,0))*(1+$BV70)</f>
        <v>19695.1729699552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弹道",$B$21,0))*(1+$BV70)</f>
        <v>13176.9194487957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弹道",$B$21,0))*(1+$BV70)</f>
        <v>11764.8218828098</v>
      </c>
      <c r="P70" s="39">
        <v>1</v>
      </c>
      <c r="Q70" s="40" t="s">
        <v>131</v>
      </c>
      <c r="R70" s="40" t="s">
        <v>97</v>
      </c>
      <c r="S70" s="40" t="s">
        <v>176</v>
      </c>
      <c r="T70" s="40" t="s">
        <v>78</v>
      </c>
      <c r="U70" s="40" t="s">
        <v>90</v>
      </c>
      <c r="V70" s="40" t="s">
        <v>78</v>
      </c>
      <c r="W70" s="40" t="s">
        <v>78</v>
      </c>
      <c r="X70" s="40" t="s">
        <v>78</v>
      </c>
      <c r="Y70" s="40" t="s">
        <v>78</v>
      </c>
      <c r="Z70" s="40" t="s">
        <v>78</v>
      </c>
      <c r="AA70" s="40" t="s">
        <v>78</v>
      </c>
      <c r="AB70" s="40" t="s">
        <v>78</v>
      </c>
      <c r="AC70" s="40" t="s">
        <v>78</v>
      </c>
      <c r="AD70" s="40" t="s">
        <v>78</v>
      </c>
      <c r="AE70" s="40" t="s">
        <v>78</v>
      </c>
      <c r="AF70" s="40" t="s">
        <v>78</v>
      </c>
      <c r="AG70" s="40" t="s">
        <v>78</v>
      </c>
      <c r="AH70" s="40" t="s">
        <v>78</v>
      </c>
      <c r="AI70" s="40" t="s">
        <v>78</v>
      </c>
      <c r="AJ70" s="40" t="s">
        <v>78</v>
      </c>
      <c r="AK70" s="40" t="s">
        <v>78</v>
      </c>
      <c r="AL70" t="str">
        <f>VLOOKUP($Q70,武学奇术!$A:$ZZ,25,FALSE)</f>
        <v>扇</v>
      </c>
      <c r="AM70" s="24">
        <f>VLOOKUP($Q70,武学奇术!$A:$ZZ,26,FALSE)</f>
        <v>1.2798</v>
      </c>
      <c r="AN70" s="25">
        <f>VLOOKUP($Q70,武学奇术!$A:$ZZ,27,FALSE)*(1+IF(OR($AL70=$F$4,$AL70=$F$5),$B$22,0))</f>
        <v>532.5</v>
      </c>
      <c r="AO70" s="24">
        <f>VLOOKUP($Q70,武学奇术!$A:$ZZ,28,FALSE)</f>
        <v>1.9197</v>
      </c>
      <c r="AP70" s="25">
        <f>VLOOKUP($Q70,武学奇术!$A:$ZZ,29,FALSE)*(1+IF(OR($AL70=$F$4,$AL70=$F$5),$B$22,0))</f>
        <v>289.5</v>
      </c>
      <c r="AQ70" s="24" cm="1">
        <f t="array" ref="AQ70">$G$3+IFERROR(VLOOKUP($AL70,$F$4:$G$7,2,FALSE),0)+VLOOKUP($Q70,武学奇术!$A:$ZZ,2,FALSE)+SUM(_xlfn.XLOOKUP($R70:$AK70,增益!$A:$A,增益!$B:$B,0))</f>
        <v>0.2389</v>
      </c>
      <c r="AR70" s="24" cm="1">
        <f t="array" ref="AR70">VLOOKUP($Q70,武学奇术!$A:$ZZ,5,FALSE)+SUM(_xlfn.XLOOKUP($R70:$AK70,增益!$A:$A,增益!$E:$E,0))</f>
        <v>0.075</v>
      </c>
      <c r="AS70" cm="1">
        <f t="array" ref="AS70">$D$10*(1+$AR70)+VLOOKUP($Q70,武学奇术!$A:$ZZ,3,FALSE)+SUM(_xlfn.XLOOKUP($R70:$AK70,增益!$A:$A,增益!$C:$C,0))-$I$2</f>
        <v>4063.1171</v>
      </c>
      <c r="AT70" cm="1">
        <f t="array" ref="AT70">$E$10*(1+$AR70)+VLOOKUP($Q70,武学奇术!$A:$ZZ,4,FALSE)+SUM(_xlfn.XLOOKUP($R70:$AK70,增益!$A:$A,增益!$D:$D,0))-$I$2</f>
        <v>4063.1171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0.2425</v>
      </c>
      <c r="AV70" s="32" cm="1">
        <f t="array" ref="AV70">$G$10+VLOOKUP($Q70,武学奇术!$A:$ZZ,7,FALSE)+SUM(_xlfn.XLOOKUP($R70:$AK70,增益!$A:$A,增益!$G:$G,0))</f>
        <v>0</v>
      </c>
      <c r="AW70" s="24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2" cm="1">
        <f t="array" ref="BA70">$G$11+VLOOKUP($Q70,武学奇术!$A:$ZZ,10,FALSE)+SUM(_xlfn.XLOOKUP($R70:$AK70,增益!$A:$A,增益!$J:$J,0))</f>
        <v>0</v>
      </c>
      <c r="BB70">
        <f t="shared" si="14"/>
        <v>0</v>
      </c>
      <c r="BC70">
        <f t="shared" si="15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-0.3</v>
      </c>
      <c r="BE70" s="32" cm="1">
        <f t="array" ref="BE70">$G$12+VLOOKUP($Q70,武学奇术!$A:$ZZ,12,FALSE)+SUM(_xlfn.XLOOKUP($R70:$AK70,增益!$A:$A,增益!$L:$L,0))</f>
        <v>0</v>
      </c>
      <c r="BF70">
        <f t="shared" si="16"/>
        <v>605.472</v>
      </c>
      <c r="BG70">
        <f t="shared" si="17"/>
        <v>1579.612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</v>
      </c>
      <c r="BI70" s="32" cm="1">
        <f t="array" ref="BI70">$G$13+VLOOKUP($Q70,武学奇术!$A:$ZZ,14,FALSE)+SUM(_xlfn.XLOOKUP($R70:$AK70,增益!$A:$A,增益!$N:$N,0))</f>
        <v>0.15</v>
      </c>
      <c r="BJ70">
        <f t="shared" si="18"/>
        <v>0</v>
      </c>
      <c r="BK70">
        <f t="shared" si="19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2" cm="1">
        <f t="array" ref="BM70">$G$14+VLOOKUP($Q70,武学奇术!$A:$ZZ,16,FALSE)+SUM(_xlfn.XLOOKUP($R70:$AK70,增益!$A:$A,增益!$P:$P,0))</f>
        <v>0</v>
      </c>
      <c r="BN70" s="24">
        <f>MIN(IF(VLOOKUP($Q70,武学奇术!$A:$ZZ,23,FALSE)=1,100%,$B$8),100%)</f>
        <v>1</v>
      </c>
      <c r="BO70" s="24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0.9093</v>
      </c>
      <c r="BP70" s="24" cm="1">
        <f t="array" ref="BP70">1+$B$13+VLOOKUP($Q70,武学奇术!$A:$ZZ,18,FALSE)+SUM(_xlfn.XLOOKUP($R70:$AK70,增益!$A:$A,增益!$R:$R,0))</f>
        <v>1.6</v>
      </c>
      <c r="BQ70" s="24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4" cm="1">
        <f t="array" ref="BR70">1+$B$14+VLOOKUP($Q70,武学奇术!$A:$ZZ,20,FALSE)+SUM(_xlfn.XLOOKUP($R70:$AK70,增益!$A:$A,增益!$T:$T,0))</f>
        <v>1.35</v>
      </c>
      <c r="BS70" s="24">
        <f t="shared" si="20"/>
        <v>0.9071</v>
      </c>
      <c r="BT70" s="24">
        <f t="shared" si="21"/>
        <v>0</v>
      </c>
      <c r="BU70" s="24">
        <f>IF(VLOOKUP($Q70,武学奇术!$A:$ZZ,22,FALSE)=1,0,(1-$BN70))*(1-$BQ70)</f>
        <v>0</v>
      </c>
      <c r="BV70" s="24" cm="1">
        <f t="array" ref="BV70">SUM(_xlfn.XLOOKUP($R70:$AK70,增益!$A:$A,增益!$W:$W,0))+$I$5</f>
        <v>0.06</v>
      </c>
    </row>
    <row r="71" spans="1:74">
      <c r="A71" s="4" t="s">
        <v>159</v>
      </c>
      <c r="B71" s="88">
        <v>1.3</v>
      </c>
      <c r="K71" s="38">
        <f t="shared" si="11"/>
        <v>12464.0107665658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弹道",$B$21,0))*(1+$BV71)</f>
        <v>12540.6254693159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弹道",$B$21,0))*(1+$BV71)</f>
        <v>11715.9246862154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弹道",$B$21,0))*(1+$BV71)</f>
        <v>7837.89091832242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弹道",$B$21,0))*(1+$BV71)</f>
        <v>6997.31910611491</v>
      </c>
      <c r="P71" s="39">
        <v>1</v>
      </c>
      <c r="Q71" s="40" t="s">
        <v>111</v>
      </c>
      <c r="R71" s="40" t="s">
        <v>97</v>
      </c>
      <c r="S71" s="40" t="s">
        <v>176</v>
      </c>
      <c r="T71" s="40" t="s">
        <v>78</v>
      </c>
      <c r="U71" s="40" t="s">
        <v>90</v>
      </c>
      <c r="V71" s="40" t="s">
        <v>78</v>
      </c>
      <c r="W71" s="40" t="s">
        <v>78</v>
      </c>
      <c r="X71" s="40" t="s">
        <v>78</v>
      </c>
      <c r="Y71" s="40" t="s">
        <v>78</v>
      </c>
      <c r="Z71" s="40" t="s">
        <v>78</v>
      </c>
      <c r="AA71" s="40" t="s">
        <v>78</v>
      </c>
      <c r="AB71" s="40" t="s">
        <v>78</v>
      </c>
      <c r="AC71" s="40" t="s">
        <v>78</v>
      </c>
      <c r="AD71" s="40" t="s">
        <v>78</v>
      </c>
      <c r="AE71" s="40" t="s">
        <v>78</v>
      </c>
      <c r="AF71" s="40" t="s">
        <v>78</v>
      </c>
      <c r="AG71" s="40" t="s">
        <v>78</v>
      </c>
      <c r="AH71" s="40" t="s">
        <v>78</v>
      </c>
      <c r="AI71" s="40" t="s">
        <v>78</v>
      </c>
      <c r="AJ71" s="40" t="s">
        <v>78</v>
      </c>
      <c r="AK71" s="40" t="s">
        <v>78</v>
      </c>
      <c r="AL71" t="str">
        <f>VLOOKUP($Q71,武学奇术!$A:$ZZ,25,FALSE)</f>
        <v>伞</v>
      </c>
      <c r="AM71" s="24">
        <f>VLOOKUP($Q71,武学奇术!$A:$ZZ,26,FALSE)</f>
        <v>0.54</v>
      </c>
      <c r="AN71" s="25">
        <f>VLOOKUP($Q71,武学奇术!$A:$ZZ,27,FALSE)*(1+IF(OR($AL71=$F$4,$AL71=$F$5),$B$22,0))</f>
        <v>222</v>
      </c>
      <c r="AO71" s="24">
        <f>VLOOKUP($Q71,武学奇术!$A:$ZZ,28,FALSE)</f>
        <v>0.81</v>
      </c>
      <c r="AP71" s="25">
        <f>VLOOKUP($Q71,武学奇术!$A:$ZZ,29,FALSE)*(1+IF(OR($AL71=$F$4,$AL71=$F$5),$B$22,0))</f>
        <v>122.25</v>
      </c>
      <c r="AQ71" s="24" cm="1">
        <f t="array" ref="AQ71">$G$3+IFERROR(VLOOKUP($AL71,$F$4:$G$7,2,FALSE),0)+VLOOKUP($Q71,武学奇术!$A:$ZZ,2,FALSE)+SUM(_xlfn.XLOOKUP($R71:$AK71,增益!$A:$A,增益!$B:$B,0))</f>
        <v>0.3241</v>
      </c>
      <c r="AR71" s="24" cm="1">
        <f t="array" ref="AR71">VLOOKUP($Q71,武学奇术!$A:$ZZ,5,FALSE)+SUM(_xlfn.XLOOKUP($R71:$AK71,增益!$A:$A,增益!$E:$E,0))</f>
        <v>0.075</v>
      </c>
      <c r="AS71" cm="1">
        <f t="array" ref="AS71">$D$10*(1+$AR71)+VLOOKUP($Q71,武学奇术!$A:$ZZ,3,FALSE)+SUM(_xlfn.XLOOKUP($R71:$AK71,增益!$A:$A,增益!$C:$C,0))-$I$2</f>
        <v>4063.1171</v>
      </c>
      <c r="AT71" cm="1">
        <f t="array" ref="AT71">$E$10*(1+$AR71)+VLOOKUP($Q71,武学奇术!$A:$ZZ,4,FALSE)+SUM(_xlfn.XLOOKUP($R71:$AK71,增益!$A:$A,增益!$D:$D,0))-$I$2</f>
        <v>4063.1171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0.2425</v>
      </c>
      <c r="AV71" s="32" cm="1">
        <f t="array" ref="AV71">$G$10+VLOOKUP($Q71,武学奇术!$A:$ZZ,7,FALSE)+SUM(_xlfn.XLOOKUP($R71:$AK71,增益!$A:$A,增益!$G:$G,0))</f>
        <v>0</v>
      </c>
      <c r="AW71" s="24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2" cm="1">
        <f t="array" ref="BA71">$G$11+VLOOKUP($Q71,武学奇术!$A:$ZZ,10,FALSE)+SUM(_xlfn.XLOOKUP($R71:$AK71,增益!$A:$A,增益!$J:$J,0))</f>
        <v>0</v>
      </c>
      <c r="BB71">
        <f t="shared" si="14"/>
        <v>0</v>
      </c>
      <c r="BC71">
        <f t="shared" si="15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-0.3</v>
      </c>
      <c r="BE71" s="32" cm="1">
        <f t="array" ref="BE71">$G$12+VLOOKUP($Q71,武学奇术!$A:$ZZ,12,FALSE)+SUM(_xlfn.XLOOKUP($R71:$AK71,增益!$A:$A,增益!$L:$L,0))</f>
        <v>0</v>
      </c>
      <c r="BF71">
        <f t="shared" si="16"/>
        <v>605.472</v>
      </c>
      <c r="BG71">
        <f t="shared" si="17"/>
        <v>1579.612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</v>
      </c>
      <c r="BI71" s="32" cm="1">
        <f t="array" ref="BI71">$G$13+VLOOKUP($Q71,武学奇术!$A:$ZZ,14,FALSE)+SUM(_xlfn.XLOOKUP($R71:$AK71,增益!$A:$A,增益!$N:$N,0))</f>
        <v>0.15</v>
      </c>
      <c r="BJ71">
        <f t="shared" si="18"/>
        <v>0</v>
      </c>
      <c r="BK71">
        <f t="shared" si="19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2" cm="1">
        <f t="array" ref="BM71">$G$14+VLOOKUP($Q71,武学奇术!$A:$ZZ,16,FALSE)+SUM(_xlfn.XLOOKUP($R71:$AK71,增益!$A:$A,增益!$P:$P,0))</f>
        <v>0</v>
      </c>
      <c r="BN71" s="24">
        <f>MIN(IF(VLOOKUP($Q71,武学奇术!$A:$ZZ,23,FALSE)=1,100%,$B$8),100%)</f>
        <v>1</v>
      </c>
      <c r="BO71" s="24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0.9093</v>
      </c>
      <c r="BP71" s="24" cm="1">
        <f t="array" ref="BP71">1+$B$13+VLOOKUP($Q71,武学奇术!$A:$ZZ,18,FALSE)+SUM(_xlfn.XLOOKUP($R71:$AK71,增益!$A:$A,增益!$R:$R,0))</f>
        <v>1.6</v>
      </c>
      <c r="BQ71" s="24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4" cm="1">
        <f t="array" ref="BR71">1+$B$14+VLOOKUP($Q71,武学奇术!$A:$ZZ,20,FALSE)+SUM(_xlfn.XLOOKUP($R71:$AK71,增益!$A:$A,增益!$T:$T,0))</f>
        <v>1.35</v>
      </c>
      <c r="BS71" s="24">
        <f t="shared" si="20"/>
        <v>0.9071</v>
      </c>
      <c r="BT71" s="24">
        <f t="shared" si="21"/>
        <v>0</v>
      </c>
      <c r="BU71" s="24">
        <f>IF(VLOOKUP($Q71,武学奇术!$A:$ZZ,22,FALSE)=1,0,(1-$BN71))*(1-$BQ71)</f>
        <v>0</v>
      </c>
      <c r="BV71" s="24" cm="1">
        <f t="array" ref="BV71">SUM(_xlfn.XLOOKUP($R71:$AK71,增益!$A:$A,增益!$W:$W,0))+$I$5</f>
        <v>0.06</v>
      </c>
    </row>
    <row r="72" spans="1:74">
      <c r="A72" s="4" t="s">
        <v>111</v>
      </c>
      <c r="B72" s="88">
        <v>1.16</v>
      </c>
      <c r="K72" s="38">
        <f t="shared" si="11"/>
        <v>15179.8941412562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弹道",$B$21,0))*(1+$BV72)</f>
        <v>15273.2992833403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弹道",$B$21,0))*(1+$BV72)</f>
        <v>14267.8618012724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弹道",$B$21,0))*(1+$BV72)</f>
        <v>9545.81205208767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弹道",$B$21,0))*(1+$BV72)</f>
        <v>8522.83758471431</v>
      </c>
      <c r="P72" s="39">
        <v>1</v>
      </c>
      <c r="Q72" s="40" t="s">
        <v>160</v>
      </c>
      <c r="R72" s="40" t="s">
        <v>97</v>
      </c>
      <c r="S72" s="40" t="s">
        <v>176</v>
      </c>
      <c r="T72" s="40" t="s">
        <v>78</v>
      </c>
      <c r="U72" s="40" t="s">
        <v>90</v>
      </c>
      <c r="V72" s="40" t="s">
        <v>78</v>
      </c>
      <c r="W72" s="40" t="s">
        <v>78</v>
      </c>
      <c r="X72" s="40" t="s">
        <v>78</v>
      </c>
      <c r="Y72" s="40" t="s">
        <v>78</v>
      </c>
      <c r="Z72" s="40" t="s">
        <v>78</v>
      </c>
      <c r="AA72" s="40" t="s">
        <v>78</v>
      </c>
      <c r="AB72" s="40" t="s">
        <v>78</v>
      </c>
      <c r="AC72" s="40" t="s">
        <v>78</v>
      </c>
      <c r="AD72" s="40" t="s">
        <v>78</v>
      </c>
      <c r="AE72" s="40" t="s">
        <v>78</v>
      </c>
      <c r="AF72" s="40" t="s">
        <v>78</v>
      </c>
      <c r="AG72" s="40" t="s">
        <v>78</v>
      </c>
      <c r="AH72" s="40" t="s">
        <v>78</v>
      </c>
      <c r="AI72" s="40" t="s">
        <v>78</v>
      </c>
      <c r="AJ72" s="40" t="s">
        <v>78</v>
      </c>
      <c r="AK72" s="40" t="s">
        <v>78</v>
      </c>
      <c r="AL72" t="str">
        <f>VLOOKUP($Q72,武学奇术!$A:$ZZ,25,FALSE)</f>
        <v>扇</v>
      </c>
      <c r="AM72" s="24">
        <f>VLOOKUP($Q72,武学奇术!$A:$ZZ,26,FALSE)</f>
        <v>0.9271</v>
      </c>
      <c r="AN72" s="25">
        <f>VLOOKUP($Q72,武学奇术!$A:$ZZ,27,FALSE)*(1+IF(OR($AL72=$F$4,$AL72=$F$5),$B$22,0))</f>
        <v>385.5</v>
      </c>
      <c r="AO72" s="24">
        <f>VLOOKUP($Q72,武学奇术!$A:$ZZ,28,FALSE)</f>
        <v>1.3907</v>
      </c>
      <c r="AP72" s="25">
        <f>VLOOKUP($Q72,武学奇术!$A:$ZZ,29,FALSE)*(1+IF(OR($AL72=$F$4,$AL72=$F$5),$B$22,0))</f>
        <v>210</v>
      </c>
      <c r="AQ72" s="24" cm="1">
        <f t="array" ref="AQ72">$G$3+IFERROR(VLOOKUP($AL72,$F$4:$G$7,2,FALSE),0)+VLOOKUP($Q72,武学奇术!$A:$ZZ,2,FALSE)+SUM(_xlfn.XLOOKUP($R72:$AK72,增益!$A:$A,增益!$B:$B,0))</f>
        <v>0.2389</v>
      </c>
      <c r="AR72" s="24" cm="1">
        <f t="array" ref="AR72">VLOOKUP($Q72,武学奇术!$A:$ZZ,5,FALSE)+SUM(_xlfn.XLOOKUP($R72:$AK72,增益!$A:$A,增益!$E:$E,0))</f>
        <v>0.075</v>
      </c>
      <c r="AS72" cm="1">
        <f t="array" ref="AS72">$D$10*(1+$AR72)+VLOOKUP($Q72,武学奇术!$A:$ZZ,3,FALSE)+SUM(_xlfn.XLOOKUP($R72:$AK72,增益!$A:$A,增益!$C:$C,0))-$I$2</f>
        <v>4063.1171</v>
      </c>
      <c r="AT72" cm="1">
        <f t="array" ref="AT72">$E$10*(1+$AR72)+VLOOKUP($Q72,武学奇术!$A:$ZZ,4,FALSE)+SUM(_xlfn.XLOOKUP($R72:$AK72,增益!$A:$A,增益!$D:$D,0))-$I$2</f>
        <v>4063.1171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0.2425</v>
      </c>
      <c r="AV72" s="32" cm="1">
        <f t="array" ref="AV72">$G$10+VLOOKUP($Q72,武学奇术!$A:$ZZ,7,FALSE)+SUM(_xlfn.XLOOKUP($R72:$AK72,增益!$A:$A,增益!$G:$G,0))</f>
        <v>0</v>
      </c>
      <c r="AW72" s="24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2" cm="1">
        <f t="array" ref="BA72">$G$11+VLOOKUP($Q72,武学奇术!$A:$ZZ,10,FALSE)+SUM(_xlfn.XLOOKUP($R72:$AK72,增益!$A:$A,增益!$J:$J,0))</f>
        <v>0</v>
      </c>
      <c r="BB72">
        <f t="shared" si="14"/>
        <v>0</v>
      </c>
      <c r="BC72">
        <f t="shared" si="15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-0.3</v>
      </c>
      <c r="BE72" s="32" cm="1">
        <f t="array" ref="BE72">$G$12+VLOOKUP($Q72,武学奇术!$A:$ZZ,12,FALSE)+SUM(_xlfn.XLOOKUP($R72:$AK72,增益!$A:$A,增益!$L:$L,0))</f>
        <v>0</v>
      </c>
      <c r="BF72">
        <f t="shared" si="16"/>
        <v>605.472</v>
      </c>
      <c r="BG72">
        <f t="shared" si="17"/>
        <v>1579.612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</v>
      </c>
      <c r="BI72" s="32" cm="1">
        <f t="array" ref="BI72">$G$13+VLOOKUP($Q72,武学奇术!$A:$ZZ,14,FALSE)+SUM(_xlfn.XLOOKUP($R72:$AK72,增益!$A:$A,增益!$N:$N,0))</f>
        <v>0.15</v>
      </c>
      <c r="BJ72">
        <f t="shared" si="18"/>
        <v>0</v>
      </c>
      <c r="BK72">
        <f t="shared" si="19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2" cm="1">
        <f t="array" ref="BM72">$G$14+VLOOKUP($Q72,武学奇术!$A:$ZZ,16,FALSE)+SUM(_xlfn.XLOOKUP($R72:$AK72,增益!$A:$A,增益!$P:$P,0))</f>
        <v>0</v>
      </c>
      <c r="BN72" s="24">
        <f>MIN(IF(VLOOKUP($Q72,武学奇术!$A:$ZZ,23,FALSE)=1,100%,$B$8),100%)</f>
        <v>1</v>
      </c>
      <c r="BO72" s="24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0.9093</v>
      </c>
      <c r="BP72" s="24" cm="1">
        <f t="array" ref="BP72">1+$B$13+VLOOKUP($Q72,武学奇术!$A:$ZZ,18,FALSE)+SUM(_xlfn.XLOOKUP($R72:$AK72,增益!$A:$A,增益!$R:$R,0))</f>
        <v>1.6</v>
      </c>
      <c r="BQ72" s="24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4" cm="1">
        <f t="array" ref="BR72">1+$B$14+VLOOKUP($Q72,武学奇术!$A:$ZZ,20,FALSE)+SUM(_xlfn.XLOOKUP($R72:$AK72,增益!$A:$A,增益!$T:$T,0))</f>
        <v>1.35</v>
      </c>
      <c r="BS72" s="24">
        <f t="shared" si="20"/>
        <v>0.9071</v>
      </c>
      <c r="BT72" s="24">
        <f t="shared" si="21"/>
        <v>0</v>
      </c>
      <c r="BU72" s="24">
        <f>IF(VLOOKUP($Q72,武学奇术!$A:$ZZ,22,FALSE)=1,0,(1-$BN72))*(1-$BQ72)</f>
        <v>0</v>
      </c>
      <c r="BV72" s="24" cm="1">
        <f t="array" ref="BV72">SUM(_xlfn.XLOOKUP($R72:$AK72,增益!$A:$A,增益!$W:$W,0))+$I$5</f>
        <v>0.06</v>
      </c>
    </row>
    <row r="73" spans="1:74">
      <c r="A73" s="4" t="s">
        <v>161</v>
      </c>
      <c r="B73" s="4">
        <v>0.1</v>
      </c>
      <c r="K73" s="38">
        <f t="shared" si="11"/>
        <v>39426.9676818635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弹道",$B$21,0))*(1+$BV73)</f>
        <v>40320.0541337075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弹道",$B$21,0))*(1+$BV73)</f>
        <v>30706.6369986807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弹道",$B$21,0))*(1+$BV73)</f>
        <v>20571.4561906671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弹道",$B$21,0))*(1+$BV73)</f>
        <v>18397.2553452743</v>
      </c>
      <c r="P73" s="39">
        <v>1</v>
      </c>
      <c r="Q73" s="40" t="s">
        <v>113</v>
      </c>
      <c r="R73" s="40" t="s">
        <v>97</v>
      </c>
      <c r="S73" s="40" t="s">
        <v>176</v>
      </c>
      <c r="T73" s="40" t="s">
        <v>106</v>
      </c>
      <c r="U73" s="40" t="s">
        <v>90</v>
      </c>
      <c r="V73" s="40" t="s">
        <v>78</v>
      </c>
      <c r="W73" s="40" t="s">
        <v>78</v>
      </c>
      <c r="X73" s="40" t="s">
        <v>78</v>
      </c>
      <c r="Y73" s="40" t="s">
        <v>78</v>
      </c>
      <c r="Z73" s="40" t="s">
        <v>78</v>
      </c>
      <c r="AA73" s="40" t="s">
        <v>78</v>
      </c>
      <c r="AB73" s="40" t="s">
        <v>78</v>
      </c>
      <c r="AC73" s="40" t="s">
        <v>78</v>
      </c>
      <c r="AD73" s="40" t="s">
        <v>78</v>
      </c>
      <c r="AE73" s="40" t="s">
        <v>78</v>
      </c>
      <c r="AF73" s="40" t="s">
        <v>78</v>
      </c>
      <c r="AG73" s="40" t="s">
        <v>78</v>
      </c>
      <c r="AH73" s="40" t="s">
        <v>78</v>
      </c>
      <c r="AI73" s="40" t="s">
        <v>78</v>
      </c>
      <c r="AJ73" s="40" t="s">
        <v>78</v>
      </c>
      <c r="AK73" s="40" t="s">
        <v>78</v>
      </c>
      <c r="AL73" t="str">
        <f>VLOOKUP($Q73,武学奇术!$A:$ZZ,25,FALSE)</f>
        <v>伞</v>
      </c>
      <c r="AM73" s="24">
        <f>VLOOKUP($Q73,武学奇术!$A:$ZZ,26,FALSE)</f>
        <v>1.174955</v>
      </c>
      <c r="AN73" s="25">
        <f>VLOOKUP($Q73,武学奇术!$A:$ZZ,27,FALSE)*(1+IF(OR($AL73=$F$4,$AL73=$F$5),$B$22,0))</f>
        <v>486.45</v>
      </c>
      <c r="AO73" s="24">
        <f>VLOOKUP($Q73,武学奇术!$A:$ZZ,28,FALSE)</f>
        <v>1.762375</v>
      </c>
      <c r="AP73" s="25">
        <f>VLOOKUP($Q73,武学奇术!$A:$ZZ,29,FALSE)*(1+IF(OR($AL73=$F$4,$AL73=$F$5),$B$22,0))</f>
        <v>265.65</v>
      </c>
      <c r="AQ73" s="24" cm="1">
        <f t="array" ref="AQ73">$G$3+IFERROR(VLOOKUP($AL73,$F$4:$G$7,2,FALSE),0)+VLOOKUP($Q73,武学奇术!$A:$ZZ,2,FALSE)+SUM(_xlfn.XLOOKUP($R73:$AK73,增益!$A:$A,增益!$B:$B,0))</f>
        <v>0.5741</v>
      </c>
      <c r="AR73" s="24" cm="1">
        <f t="array" ref="AR73">VLOOKUP($Q73,武学奇术!$A:$ZZ,5,FALSE)+SUM(_xlfn.XLOOKUP($R73:$AK73,增益!$A:$A,增益!$E:$E,0))</f>
        <v>0.075</v>
      </c>
      <c r="AS73" cm="1">
        <f t="array" ref="AS73">$D$10*(1+$AR73)+VLOOKUP($Q73,武学奇术!$A:$ZZ,3,FALSE)+SUM(_xlfn.XLOOKUP($R73:$AK73,增益!$A:$A,增益!$C:$C,0))-$I$2</f>
        <v>4063.1171</v>
      </c>
      <c r="AT73" cm="1">
        <f t="array" ref="AT73">$E$10*(1+$AR73)+VLOOKUP($Q73,武学奇术!$A:$ZZ,4,FALSE)+SUM(_xlfn.XLOOKUP($R73:$AK73,增益!$A:$A,增益!$D:$D,0))-$I$2</f>
        <v>4063.1171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0.2675</v>
      </c>
      <c r="AV73" s="32" cm="1">
        <f t="array" ref="AV73">$G$10+VLOOKUP($Q73,武学奇术!$A:$ZZ,7,FALSE)+SUM(_xlfn.XLOOKUP($R73:$AK73,增益!$A:$A,增益!$G:$G,0))</f>
        <v>0</v>
      </c>
      <c r="AW73" s="24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2" cm="1">
        <f t="array" ref="BA73">$G$11+VLOOKUP($Q73,武学奇术!$A:$ZZ,10,FALSE)+SUM(_xlfn.XLOOKUP($R73:$AK73,增益!$A:$A,增益!$J:$J,0))</f>
        <v>0</v>
      </c>
      <c r="BB73">
        <f t="shared" si="14"/>
        <v>0</v>
      </c>
      <c r="BC73">
        <f t="shared" si="15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-0.3</v>
      </c>
      <c r="BE73" s="32" cm="1">
        <f t="array" ref="BE73">$G$12+VLOOKUP($Q73,武学奇术!$A:$ZZ,12,FALSE)+SUM(_xlfn.XLOOKUP($R73:$AK73,增益!$A:$A,增益!$L:$L,0))</f>
        <v>0</v>
      </c>
      <c r="BF73">
        <f t="shared" si="16"/>
        <v>605.472</v>
      </c>
      <c r="BG73">
        <f t="shared" si="17"/>
        <v>1579.612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</v>
      </c>
      <c r="BI73" s="32" cm="1">
        <f t="array" ref="BI73">$G$13+VLOOKUP($Q73,武学奇术!$A:$ZZ,14,FALSE)+SUM(_xlfn.XLOOKUP($R73:$AK73,增益!$A:$A,增益!$N:$N,0))</f>
        <v>0.15</v>
      </c>
      <c r="BJ73">
        <f t="shared" si="18"/>
        <v>0</v>
      </c>
      <c r="BK73">
        <f t="shared" si="19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2" cm="1">
        <f t="array" ref="BM73">$G$14+VLOOKUP($Q73,武学奇术!$A:$ZZ,16,FALSE)+SUM(_xlfn.XLOOKUP($R73:$AK73,增益!$A:$A,增益!$P:$P,0))</f>
        <v>0</v>
      </c>
      <c r="BN73" s="24">
        <f>MIN(IF(VLOOKUP($Q73,武学奇术!$A:$ZZ,23,FALSE)=1,100%,$B$8),100%)</f>
        <v>1</v>
      </c>
      <c r="BO73" s="24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0.9093</v>
      </c>
      <c r="BP73" s="24" cm="1">
        <f t="array" ref="BP73">1+$B$13+VLOOKUP($Q73,武学奇术!$A:$ZZ,18,FALSE)+SUM(_xlfn.XLOOKUP($R73:$AK73,增益!$A:$A,增益!$R:$R,0))</f>
        <v>1.96</v>
      </c>
      <c r="BQ73" s="24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4" cm="1">
        <f t="array" ref="BR73">1+$B$14+VLOOKUP($Q73,武学奇术!$A:$ZZ,20,FALSE)+SUM(_xlfn.XLOOKUP($R73:$AK73,增益!$A:$A,增益!$T:$T,0))</f>
        <v>1.35</v>
      </c>
      <c r="BS73" s="24">
        <f t="shared" si="20"/>
        <v>0.9071</v>
      </c>
      <c r="BT73" s="24">
        <f t="shared" si="21"/>
        <v>0</v>
      </c>
      <c r="BU73" s="24">
        <f>IF(VLOOKUP($Q73,武学奇术!$A:$ZZ,22,FALSE)=1,0,(1-$BN73))*(1-$BQ73)</f>
        <v>0</v>
      </c>
      <c r="BV73" s="24" cm="1">
        <f t="array" ref="BV73">SUM(_xlfn.XLOOKUP($R73:$AK73,增益!$A:$A,增益!$W:$W,0))+$I$5</f>
        <v>0.06</v>
      </c>
    </row>
    <row r="74" spans="1:74">
      <c r="A74" s="4" t="s">
        <v>165</v>
      </c>
      <c r="B74" s="4">
        <v>1</v>
      </c>
      <c r="K74" s="38">
        <f t="shared" si="11"/>
        <v>445013.018300553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弹道",$B$21,0))*(1+$BV74)</f>
        <v>455093.303975711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弹道",$B$21,0))*(1+$BV74)</f>
        <v>346586.461401347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弹道",$B$21,0))*(1+$BV74)</f>
        <v>232190.461212098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弹道",$B$21,0))*(1+$BV74)</f>
        <v>207650.210275049</v>
      </c>
      <c r="P74" s="39">
        <v>9</v>
      </c>
      <c r="Q74" s="40" t="s">
        <v>113</v>
      </c>
      <c r="R74" s="40" t="s">
        <v>97</v>
      </c>
      <c r="S74" s="40" t="s">
        <v>176</v>
      </c>
      <c r="T74" s="40" t="s">
        <v>106</v>
      </c>
      <c r="U74" s="40" t="s">
        <v>90</v>
      </c>
      <c r="V74" s="40" t="s">
        <v>102</v>
      </c>
      <c r="W74" s="40" t="s">
        <v>78</v>
      </c>
      <c r="X74" s="40" t="s">
        <v>78</v>
      </c>
      <c r="Y74" s="40" t="s">
        <v>78</v>
      </c>
      <c r="Z74" s="40" t="s">
        <v>78</v>
      </c>
      <c r="AA74" s="40" t="s">
        <v>78</v>
      </c>
      <c r="AB74" s="40" t="s">
        <v>78</v>
      </c>
      <c r="AC74" s="40" t="s">
        <v>78</v>
      </c>
      <c r="AD74" s="40" t="s">
        <v>78</v>
      </c>
      <c r="AE74" s="40" t="s">
        <v>78</v>
      </c>
      <c r="AF74" s="40" t="s">
        <v>78</v>
      </c>
      <c r="AG74" s="40" t="s">
        <v>78</v>
      </c>
      <c r="AH74" s="40" t="s">
        <v>78</v>
      </c>
      <c r="AI74" s="40" t="s">
        <v>78</v>
      </c>
      <c r="AJ74" s="40" t="s">
        <v>78</v>
      </c>
      <c r="AK74" s="40" t="s">
        <v>78</v>
      </c>
      <c r="AL74" t="str">
        <f>VLOOKUP($Q74,武学奇术!$A:$ZZ,25,FALSE)</f>
        <v>伞</v>
      </c>
      <c r="AM74" s="24">
        <f>VLOOKUP($Q74,武学奇术!$A:$ZZ,26,FALSE)</f>
        <v>1.174955</v>
      </c>
      <c r="AN74" s="25">
        <f>VLOOKUP($Q74,武学奇术!$A:$ZZ,27,FALSE)*(1+IF(OR($AL74=$F$4,$AL74=$F$5),$B$22,0))</f>
        <v>486.45</v>
      </c>
      <c r="AO74" s="24">
        <f>VLOOKUP($Q74,武学奇术!$A:$ZZ,28,FALSE)</f>
        <v>1.762375</v>
      </c>
      <c r="AP74" s="25">
        <f>VLOOKUP($Q74,武学奇术!$A:$ZZ,29,FALSE)*(1+IF(OR($AL74=$F$4,$AL74=$F$5),$B$22,0))</f>
        <v>265.65</v>
      </c>
      <c r="AQ74" s="24" cm="1">
        <f t="array" ref="AQ74">$G$3+IFERROR(VLOOKUP($AL74,$F$4:$G$7,2,FALSE),0)+VLOOKUP($Q74,武学奇术!$A:$ZZ,2,FALSE)+SUM(_xlfn.XLOOKUP($R74:$AK74,增益!$A:$A,增益!$B:$B,0))</f>
        <v>0.9741</v>
      </c>
      <c r="AR74" s="24" cm="1">
        <f t="array" ref="AR74">VLOOKUP($Q74,武学奇术!$A:$ZZ,5,FALSE)+SUM(_xlfn.XLOOKUP($R74:$AK74,增益!$A:$A,增益!$E:$E,0))</f>
        <v>0.075</v>
      </c>
      <c r="AS74" cm="1">
        <f t="array" ref="AS74">$D$10*(1+$AR74)+VLOOKUP($Q74,武学奇术!$A:$ZZ,3,FALSE)+SUM(_xlfn.XLOOKUP($R74:$AK74,增益!$A:$A,增益!$C:$C,0))-$I$2</f>
        <v>4063.1171</v>
      </c>
      <c r="AT74" cm="1">
        <f t="array" ref="AT74">$E$10*(1+$AR74)+VLOOKUP($Q74,武学奇术!$A:$ZZ,4,FALSE)+SUM(_xlfn.XLOOKUP($R74:$AK74,增益!$A:$A,增益!$D:$D,0))-$I$2</f>
        <v>4063.1171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0.2675</v>
      </c>
      <c r="AV74" s="32" cm="1">
        <f t="array" ref="AV74">$G$10+VLOOKUP($Q74,武学奇术!$A:$ZZ,7,FALSE)+SUM(_xlfn.XLOOKUP($R74:$AK74,增益!$A:$A,增益!$G:$G,0))</f>
        <v>0</v>
      </c>
      <c r="AW74" s="24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2" cm="1">
        <f t="array" ref="BA74">$G$11+VLOOKUP($Q74,武学奇术!$A:$ZZ,10,FALSE)+SUM(_xlfn.XLOOKUP($R74:$AK74,增益!$A:$A,增益!$J:$J,0))</f>
        <v>0</v>
      </c>
      <c r="BB74">
        <f t="shared" si="14"/>
        <v>0</v>
      </c>
      <c r="BC74">
        <f t="shared" si="15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2" cm="1">
        <f t="array" ref="BE74">$G$12+VLOOKUP($Q74,武学奇术!$A:$ZZ,12,FALSE)+SUM(_xlfn.XLOOKUP($R74:$AK74,增益!$A:$A,增益!$L:$L,0))</f>
        <v>0</v>
      </c>
      <c r="BF74">
        <f t="shared" si="16"/>
        <v>605.472</v>
      </c>
      <c r="BG74">
        <f t="shared" si="17"/>
        <v>1579.612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2" cm="1">
        <f t="array" ref="BI74">$G$13+VLOOKUP($Q74,武学奇术!$A:$ZZ,14,FALSE)+SUM(_xlfn.XLOOKUP($R74:$AK74,增益!$A:$A,增益!$N:$N,0))</f>
        <v>0.15</v>
      </c>
      <c r="BJ74">
        <f t="shared" si="18"/>
        <v>0</v>
      </c>
      <c r="BK74">
        <f t="shared" si="19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2" cm="1">
        <f t="array" ref="BM74">$G$14+VLOOKUP($Q74,武学奇术!$A:$ZZ,16,FALSE)+SUM(_xlfn.XLOOKUP($R74:$AK74,增益!$A:$A,增益!$P:$P,0))</f>
        <v>0</v>
      </c>
      <c r="BN74" s="24">
        <f>MIN(IF(VLOOKUP($Q74,武学奇术!$A:$ZZ,23,FALSE)=1,100%,$B$8),100%)</f>
        <v>1</v>
      </c>
      <c r="BO74" s="24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0.9093</v>
      </c>
      <c r="BP74" s="24" cm="1">
        <f t="array" ref="BP74">1+$B$13+VLOOKUP($Q74,武学奇术!$A:$ZZ,18,FALSE)+SUM(_xlfn.XLOOKUP($R74:$AK74,增益!$A:$A,增益!$R:$R,0))</f>
        <v>1.96</v>
      </c>
      <c r="BQ74" s="24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4" cm="1">
        <f t="array" ref="BR74">1+$B$14+VLOOKUP($Q74,武学奇术!$A:$ZZ,20,FALSE)+SUM(_xlfn.XLOOKUP($R74:$AK74,增益!$A:$A,增益!$T:$T,0))</f>
        <v>1.35</v>
      </c>
      <c r="BS74" s="24">
        <f t="shared" si="20"/>
        <v>0.9071</v>
      </c>
      <c r="BT74" s="24">
        <f t="shared" si="21"/>
        <v>0</v>
      </c>
      <c r="BU74" s="24">
        <f>IF(VLOOKUP($Q74,武学奇术!$A:$ZZ,22,FALSE)=1,0,(1-$BN74))*(1-$BQ74)</f>
        <v>0</v>
      </c>
      <c r="BV74" s="24" cm="1">
        <f t="array" ref="BV74">SUM(_xlfn.XLOOKUP($R74:$AK74,增益!$A:$A,增益!$W:$W,0))+$I$5</f>
        <v>0.06</v>
      </c>
    </row>
    <row r="75" spans="1:74">
      <c r="A75" s="4" t="s">
        <v>180</v>
      </c>
      <c r="B75" s="4">
        <v>1.4</v>
      </c>
      <c r="K75" s="38">
        <f t="shared" si="11"/>
        <v>68592.0722552442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弹道",$B$21,0))*(1+$BV75)</f>
        <v>68960.1462640458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弹道",$B$21,0))*(1+$BV75)</f>
        <v>64998.1009593993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弹道",$B$21,0))*(1+$BV75)</f>
        <v>43100.0914150286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弹道",$B$21,0))*(1+$BV75)</f>
        <v>38053.4413786504</v>
      </c>
      <c r="P75" s="39">
        <v>1</v>
      </c>
      <c r="Q75" s="40" t="s">
        <v>134</v>
      </c>
      <c r="R75" s="40" t="s">
        <v>97</v>
      </c>
      <c r="S75" s="40" t="s">
        <v>176</v>
      </c>
      <c r="T75" s="40" t="s">
        <v>78</v>
      </c>
      <c r="U75" s="40" t="s">
        <v>90</v>
      </c>
      <c r="V75" s="40" t="s">
        <v>78</v>
      </c>
      <c r="W75" s="40" t="s">
        <v>78</v>
      </c>
      <c r="X75" s="40" t="s">
        <v>78</v>
      </c>
      <c r="Y75" s="40" t="s">
        <v>78</v>
      </c>
      <c r="Z75" s="40" t="s">
        <v>78</v>
      </c>
      <c r="AA75" s="40" t="s">
        <v>78</v>
      </c>
      <c r="AB75" s="40" t="s">
        <v>78</v>
      </c>
      <c r="AC75" s="40" t="s">
        <v>78</v>
      </c>
      <c r="AD75" s="40" t="s">
        <v>78</v>
      </c>
      <c r="AE75" s="40" t="s">
        <v>78</v>
      </c>
      <c r="AF75" s="40" t="s">
        <v>78</v>
      </c>
      <c r="AG75" s="40" t="s">
        <v>78</v>
      </c>
      <c r="AH75" s="40" t="s">
        <v>78</v>
      </c>
      <c r="AI75" s="40" t="s">
        <v>78</v>
      </c>
      <c r="AJ75" s="40" t="s">
        <v>78</v>
      </c>
      <c r="AK75" s="40" t="s">
        <v>78</v>
      </c>
      <c r="AL75" t="str">
        <f>VLOOKUP($Q75,武学奇术!$A:$ZZ,25,FALSE)</f>
        <v>单体奇术</v>
      </c>
      <c r="AM75" s="24">
        <f>VLOOKUP($Q75,武学奇术!$A:$ZZ,26,FALSE)</f>
        <v>3.9863</v>
      </c>
      <c r="AN75" s="25">
        <f>VLOOKUP($Q75,武学奇术!$A:$ZZ,27,FALSE)*(1+IF(OR($AL75=$F$4,$AL75=$F$5),$B$22,0))</f>
        <v>778</v>
      </c>
      <c r="AO75" s="24">
        <f>VLOOKUP($Q75,武学奇术!$A:$ZZ,28,FALSE)</f>
        <v>5.97945</v>
      </c>
      <c r="AP75" s="25">
        <f>VLOOKUP($Q75,武学奇术!$A:$ZZ,29,FALSE)*(1+IF(OR($AL75=$F$4,$AL75=$F$5),$B$22,0))</f>
        <v>0</v>
      </c>
      <c r="AQ75" s="24" cm="1">
        <f t="array" ref="AQ75">$G$3+IFERROR(VLOOKUP($AL75,$F$4:$G$7,2,FALSE),0)+VLOOKUP($Q75,武学奇术!$A:$ZZ,2,FALSE)+SUM(_xlfn.XLOOKUP($R75:$AK75,增益!$A:$A,增益!$B:$B,0))</f>
        <v>0.4215</v>
      </c>
      <c r="AR75" s="24" cm="1">
        <f t="array" ref="AR75">VLOOKUP($Q75,武学奇术!$A:$ZZ,5,FALSE)+SUM(_xlfn.XLOOKUP($R75:$AK75,增益!$A:$A,增益!$E:$E,0))</f>
        <v>0.075</v>
      </c>
      <c r="AS75" cm="1">
        <f t="array" ref="AS75">$D$10*(1+$AR75)+VLOOKUP($Q75,武学奇术!$A:$ZZ,3,FALSE)+SUM(_xlfn.XLOOKUP($R75:$AK75,增益!$A:$A,增益!$C:$C,0))-$I$2</f>
        <v>4063.1171</v>
      </c>
      <c r="AT75" cm="1">
        <f t="array" ref="AT75">$E$10*(1+$AR75)+VLOOKUP($Q75,武学奇术!$A:$ZZ,4,FALSE)+SUM(_xlfn.XLOOKUP($R75:$AK75,增益!$A:$A,增益!$D:$D,0))-$I$2</f>
        <v>4063.1171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0.2425</v>
      </c>
      <c r="AV75" s="32" cm="1">
        <f t="array" ref="AV75">$G$10+VLOOKUP($Q75,武学奇术!$A:$ZZ,7,FALSE)+SUM(_xlfn.XLOOKUP($R75:$AK75,增益!$A:$A,增益!$G:$G,0))</f>
        <v>0</v>
      </c>
      <c r="AW75" s="24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2" cm="1">
        <f t="array" ref="BA75">$G$11+VLOOKUP($Q75,武学奇术!$A:$ZZ,10,FALSE)+SUM(_xlfn.XLOOKUP($R75:$AK75,增益!$A:$A,增益!$J:$J,0))</f>
        <v>0</v>
      </c>
      <c r="BB75">
        <f t="shared" si="14"/>
        <v>0</v>
      </c>
      <c r="BC75">
        <f t="shared" si="15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-0.3</v>
      </c>
      <c r="BE75" s="32" cm="1">
        <f t="array" ref="BE75">$G$12+VLOOKUP($Q75,武学奇术!$A:$ZZ,12,FALSE)+SUM(_xlfn.XLOOKUP($R75:$AK75,增益!$A:$A,增益!$L:$L,0))</f>
        <v>0</v>
      </c>
      <c r="BF75">
        <f t="shared" si="16"/>
        <v>605.472</v>
      </c>
      <c r="BG75">
        <f t="shared" si="17"/>
        <v>1579.612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</v>
      </c>
      <c r="BI75" s="32" cm="1">
        <f t="array" ref="BI75">$G$13+VLOOKUP($Q75,武学奇术!$A:$ZZ,14,FALSE)+SUM(_xlfn.XLOOKUP($R75:$AK75,增益!$A:$A,增益!$N:$N,0))</f>
        <v>0.15</v>
      </c>
      <c r="BJ75">
        <f t="shared" si="18"/>
        <v>0</v>
      </c>
      <c r="BK75">
        <f t="shared" si="19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2" cm="1">
        <f t="array" ref="BM75">$G$14+VLOOKUP($Q75,武学奇术!$A:$ZZ,16,FALSE)+SUM(_xlfn.XLOOKUP($R75:$AK75,增益!$A:$A,增益!$P:$P,0))</f>
        <v>0</v>
      </c>
      <c r="BN75" s="24">
        <f>MIN(IF(VLOOKUP($Q75,武学奇术!$A:$ZZ,23,FALSE)=1,100%,$B$8),100%)</f>
        <v>1</v>
      </c>
      <c r="BO75" s="24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0.9093</v>
      </c>
      <c r="BP75" s="24" cm="1">
        <f t="array" ref="BP75">1+$B$13+VLOOKUP($Q75,武学奇术!$A:$ZZ,18,FALSE)+SUM(_xlfn.XLOOKUP($R75:$AK75,增益!$A:$A,增益!$R:$R,0))</f>
        <v>1.6</v>
      </c>
      <c r="BQ75" s="24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4" cm="1">
        <f t="array" ref="BR75">1+$B$14+VLOOKUP($Q75,武学奇术!$A:$ZZ,20,FALSE)+SUM(_xlfn.XLOOKUP($R75:$AK75,增益!$A:$A,增益!$T:$T,0))</f>
        <v>1.35</v>
      </c>
      <c r="BS75" s="24">
        <f t="shared" si="20"/>
        <v>0.9071</v>
      </c>
      <c r="BT75" s="24">
        <f t="shared" si="21"/>
        <v>0</v>
      </c>
      <c r="BU75" s="24">
        <f>IF(VLOOKUP($Q75,武学奇术!$A:$ZZ,22,FALSE)=1,0,(1-$BN75))*(1-$BQ75)</f>
        <v>0</v>
      </c>
      <c r="BV75" s="24" cm="1">
        <f t="array" ref="BV75">SUM(_xlfn.XLOOKUP($R75:$AK75,增益!$A:$A,增益!$W:$W,0))+$I$5</f>
        <v>0.06</v>
      </c>
    </row>
    <row r="76" spans="1:74">
      <c r="A76" t="s">
        <v>200</v>
      </c>
      <c r="B76">
        <v>2.5</v>
      </c>
      <c r="K76" s="38">
        <f t="shared" si="11"/>
        <v>44667.306700375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弹道",$B$21,0))*(1+$BV76)</f>
        <v>44906.9791275721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弹道",$B$21,0))*(1+$BV76)</f>
        <v>42327.0821717368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弹道",$B$21,0))*(1+$BV76)</f>
        <v>28066.8619547326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弹道",$B$21,0))*(1+$BV76)</f>
        <v>24780.3297081787</v>
      </c>
      <c r="P76" s="39">
        <v>11</v>
      </c>
      <c r="Q76" s="40" t="s">
        <v>137</v>
      </c>
      <c r="R76" s="40" t="s">
        <v>97</v>
      </c>
      <c r="S76" s="40" t="s">
        <v>176</v>
      </c>
      <c r="T76" s="40" t="s">
        <v>78</v>
      </c>
      <c r="U76" s="40" t="s">
        <v>90</v>
      </c>
      <c r="V76" s="40" t="s">
        <v>78</v>
      </c>
      <c r="W76" s="40" t="s">
        <v>78</v>
      </c>
      <c r="X76" s="40" t="s">
        <v>78</v>
      </c>
      <c r="Y76" s="40" t="s">
        <v>78</v>
      </c>
      <c r="Z76" s="40" t="s">
        <v>78</v>
      </c>
      <c r="AA76" s="40" t="s">
        <v>78</v>
      </c>
      <c r="AB76" s="40" t="s">
        <v>78</v>
      </c>
      <c r="AC76" s="40" t="s">
        <v>78</v>
      </c>
      <c r="AD76" s="40" t="s">
        <v>78</v>
      </c>
      <c r="AE76" s="40" t="s">
        <v>78</v>
      </c>
      <c r="AF76" s="40" t="s">
        <v>78</v>
      </c>
      <c r="AG76" s="40" t="s">
        <v>78</v>
      </c>
      <c r="AH76" s="40" t="s">
        <v>78</v>
      </c>
      <c r="AI76" s="40" t="s">
        <v>78</v>
      </c>
      <c r="AJ76" s="40" t="s">
        <v>78</v>
      </c>
      <c r="AK76" s="40" t="s">
        <v>78</v>
      </c>
      <c r="AL76" t="str">
        <f>VLOOKUP($Q76,武学奇术!$A:$ZZ,25,FALSE)</f>
        <v>单体奇术</v>
      </c>
      <c r="AM76" s="24">
        <f>VLOOKUP($Q76,武学奇术!$A:$ZZ,26,FALSE)</f>
        <v>0.236</v>
      </c>
      <c r="AN76" s="25">
        <f>VLOOKUP($Q76,武学奇术!$A:$ZZ,27,FALSE)*(1+IF(OR($AL76=$F$4,$AL76=$F$5),$B$22,0))</f>
        <v>46</v>
      </c>
      <c r="AO76" s="24">
        <f>VLOOKUP($Q76,武学奇术!$A:$ZZ,28,FALSE)</f>
        <v>0.354</v>
      </c>
      <c r="AP76" s="25">
        <f>VLOOKUP($Q76,武学奇术!$A:$ZZ,29,FALSE)*(1+IF(OR($AL76=$F$4,$AL76=$F$5),$B$22,0))</f>
        <v>0</v>
      </c>
      <c r="AQ76" s="24" cm="1">
        <f t="array" ref="AQ76">$G$3+IFERROR(VLOOKUP($AL76,$F$4:$G$7,2,FALSE),0)+VLOOKUP($Q76,武学奇术!$A:$ZZ,2,FALSE)+SUM(_xlfn.XLOOKUP($R76:$AK76,增益!$A:$A,增益!$B:$B,0))</f>
        <v>0.4215</v>
      </c>
      <c r="AR76" s="24" cm="1">
        <f t="array" ref="AR76">VLOOKUP($Q76,武学奇术!$A:$ZZ,5,FALSE)+SUM(_xlfn.XLOOKUP($R76:$AK76,增益!$A:$A,增益!$E:$E,0))</f>
        <v>0.075</v>
      </c>
      <c r="AS76" cm="1">
        <f t="array" ref="AS76">$D$10*(1+$AR76)+VLOOKUP($Q76,武学奇术!$A:$ZZ,3,FALSE)+SUM(_xlfn.XLOOKUP($R76:$AK76,增益!$A:$A,增益!$C:$C,0))-$I$2</f>
        <v>4063.1171</v>
      </c>
      <c r="AT76" cm="1">
        <f t="array" ref="AT76">$E$10*(1+$AR76)+VLOOKUP($Q76,武学奇术!$A:$ZZ,4,FALSE)+SUM(_xlfn.XLOOKUP($R76:$AK76,增益!$A:$A,增益!$D:$D,0))-$I$2</f>
        <v>4063.1171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0.2425</v>
      </c>
      <c r="AV76" s="32" cm="1">
        <f t="array" ref="AV76">$G$10+VLOOKUP($Q76,武学奇术!$A:$ZZ,7,FALSE)+SUM(_xlfn.XLOOKUP($R76:$AK76,增益!$A:$A,增益!$G:$G,0))</f>
        <v>0</v>
      </c>
      <c r="AW76" s="24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2" cm="1">
        <f t="array" ref="BA76">$G$11+VLOOKUP($Q76,武学奇术!$A:$ZZ,10,FALSE)+SUM(_xlfn.XLOOKUP($R76:$AK76,增益!$A:$A,增益!$J:$J,0))</f>
        <v>0</v>
      </c>
      <c r="BB76">
        <f t="shared" si="14"/>
        <v>0</v>
      </c>
      <c r="BC76">
        <f t="shared" si="15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-0.3</v>
      </c>
      <c r="BE76" s="32" cm="1">
        <f t="array" ref="BE76">$G$12+VLOOKUP($Q76,武学奇术!$A:$ZZ,12,FALSE)+SUM(_xlfn.XLOOKUP($R76:$AK76,增益!$A:$A,增益!$L:$L,0))</f>
        <v>0</v>
      </c>
      <c r="BF76">
        <f t="shared" si="16"/>
        <v>605.472</v>
      </c>
      <c r="BG76">
        <f t="shared" si="17"/>
        <v>1579.612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</v>
      </c>
      <c r="BI76" s="32" cm="1">
        <f t="array" ref="BI76">$G$13+VLOOKUP($Q76,武学奇术!$A:$ZZ,14,FALSE)+SUM(_xlfn.XLOOKUP($R76:$AK76,增益!$A:$A,增益!$N:$N,0))</f>
        <v>0.15</v>
      </c>
      <c r="BJ76">
        <f t="shared" si="18"/>
        <v>0</v>
      </c>
      <c r="BK76">
        <f t="shared" si="19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2" cm="1">
        <f t="array" ref="BM76">$G$14+VLOOKUP($Q76,武学奇术!$A:$ZZ,16,FALSE)+SUM(_xlfn.XLOOKUP($R76:$AK76,增益!$A:$A,增益!$P:$P,0))</f>
        <v>0</v>
      </c>
      <c r="BN76" s="24">
        <f>MIN(IF(VLOOKUP($Q76,武学奇术!$A:$ZZ,23,FALSE)=1,100%,$B$8),100%)</f>
        <v>1</v>
      </c>
      <c r="BO76" s="24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0.9093</v>
      </c>
      <c r="BP76" s="24" cm="1">
        <f t="array" ref="BP76">1+$B$13+VLOOKUP($Q76,武学奇术!$A:$ZZ,18,FALSE)+SUM(_xlfn.XLOOKUP($R76:$AK76,增益!$A:$A,增益!$R:$R,0))</f>
        <v>1.6</v>
      </c>
      <c r="BQ76" s="24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4" cm="1">
        <f t="array" ref="BR76">1+$B$14+VLOOKUP($Q76,武学奇术!$A:$ZZ,20,FALSE)+SUM(_xlfn.XLOOKUP($R76:$AK76,增益!$A:$A,增益!$T:$T,0))</f>
        <v>1.35</v>
      </c>
      <c r="BS76" s="24">
        <f t="shared" si="20"/>
        <v>0.9071</v>
      </c>
      <c r="BT76" s="24">
        <f t="shared" si="21"/>
        <v>0</v>
      </c>
      <c r="BU76" s="24">
        <f>IF(VLOOKUP($Q76,武学奇术!$A:$ZZ,22,FALSE)=1,0,(1-$BN76))*(1-$BQ76)</f>
        <v>0</v>
      </c>
      <c r="BV76" s="24" cm="1">
        <f t="array" ref="BV76">SUM(_xlfn.XLOOKUP($R76:$AK76,增益!$A:$A,增益!$W:$W,0))+$I$5</f>
        <v>0.06</v>
      </c>
    </row>
    <row r="77" spans="1:74">
      <c r="A77" s="4" t="s">
        <v>161</v>
      </c>
      <c r="B77" s="4">
        <v>0.1</v>
      </c>
      <c r="K77" s="38">
        <f t="shared" si="11"/>
        <v>49806.4753780759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弹道",$B$21,0))*(1+$BV77)</f>
        <v>50704.869223696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弹道",$B$21,0))*(1+$BV77)</f>
        <v>41034.321908087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弹道",$B$21,0))*(1+$BV77)</f>
        <v>27408.0374182141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弹道",$B$21,0))*(1+$BV77)</f>
        <v>24420.2808304378</v>
      </c>
      <c r="P77" s="39">
        <v>10</v>
      </c>
      <c r="Q77" s="40" t="s">
        <v>137</v>
      </c>
      <c r="R77" s="40" t="s">
        <v>97</v>
      </c>
      <c r="S77" s="40" t="s">
        <v>176</v>
      </c>
      <c r="T77" s="40" t="s">
        <v>78</v>
      </c>
      <c r="U77" s="40" t="s">
        <v>90</v>
      </c>
      <c r="V77" s="40" t="s">
        <v>78</v>
      </c>
      <c r="W77" s="40" t="s">
        <v>78</v>
      </c>
      <c r="X77" s="40" t="s">
        <v>78</v>
      </c>
      <c r="Y77" s="40" t="s">
        <v>151</v>
      </c>
      <c r="Z77" s="40" t="s">
        <v>78</v>
      </c>
      <c r="AA77" s="40" t="s">
        <v>78</v>
      </c>
      <c r="AB77" s="40" t="s">
        <v>78</v>
      </c>
      <c r="AC77" s="40" t="s">
        <v>78</v>
      </c>
      <c r="AD77" s="40" t="s">
        <v>78</v>
      </c>
      <c r="AE77" s="40" t="s">
        <v>78</v>
      </c>
      <c r="AF77" s="40" t="s">
        <v>78</v>
      </c>
      <c r="AG77" s="40" t="s">
        <v>78</v>
      </c>
      <c r="AH77" s="40" t="s">
        <v>78</v>
      </c>
      <c r="AI77" s="40" t="s">
        <v>78</v>
      </c>
      <c r="AJ77" s="40" t="s">
        <v>78</v>
      </c>
      <c r="AK77" s="40" t="s">
        <v>78</v>
      </c>
      <c r="AL77" t="str">
        <f>VLOOKUP($Q77,武学奇术!$A:$ZZ,25,FALSE)</f>
        <v>单体奇术</v>
      </c>
      <c r="AM77" s="24">
        <f>VLOOKUP($Q77,武学奇术!$A:$ZZ,26,FALSE)</f>
        <v>0.236</v>
      </c>
      <c r="AN77" s="25">
        <f>VLOOKUP($Q77,武学奇术!$A:$ZZ,27,FALSE)*(1+IF(OR($AL77=$F$4,$AL77=$F$5),$B$22,0))</f>
        <v>46</v>
      </c>
      <c r="AO77" s="24">
        <f>VLOOKUP($Q77,武学奇术!$A:$ZZ,28,FALSE)</f>
        <v>0.354</v>
      </c>
      <c r="AP77" s="25">
        <f>VLOOKUP($Q77,武学奇术!$A:$ZZ,29,FALSE)*(1+IF(OR($AL77=$F$4,$AL77=$F$5),$B$22,0))</f>
        <v>0</v>
      </c>
      <c r="AQ77" s="24" cm="1">
        <f t="array" ref="AQ77">$G$3+IFERROR(VLOOKUP($AL77,$F$4:$G$7,2,FALSE),0)+VLOOKUP($Q77,武学奇术!$A:$ZZ,2,FALSE)+SUM(_xlfn.XLOOKUP($R77:$AK77,增益!$A:$A,增益!$B:$B,0))</f>
        <v>0.4215</v>
      </c>
      <c r="AR77" s="24" cm="1">
        <f t="array" ref="AR77">VLOOKUP($Q77,武学奇术!$A:$ZZ,5,FALSE)+SUM(_xlfn.XLOOKUP($R77:$AK77,增益!$A:$A,增益!$E:$E,0))</f>
        <v>0.075</v>
      </c>
      <c r="AS77" cm="1">
        <f t="array" ref="AS77">$D$10*(1+$AR77)+VLOOKUP($Q77,武学奇术!$A:$ZZ,3,FALSE)+SUM(_xlfn.XLOOKUP($R77:$AK77,增益!$A:$A,增益!$C:$C,0))-$I$2</f>
        <v>4063.1171</v>
      </c>
      <c r="AT77" cm="1">
        <f t="array" ref="AT77">$E$10*(1+$AR77)+VLOOKUP($Q77,武学奇术!$A:$ZZ,4,FALSE)+SUM(_xlfn.XLOOKUP($R77:$AK77,增益!$A:$A,增益!$D:$D,0))-$I$2</f>
        <v>4063.1171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0.3675</v>
      </c>
      <c r="AV77" s="32" cm="1">
        <f t="array" ref="AV77">$G$10+VLOOKUP($Q77,武学奇术!$A:$ZZ,7,FALSE)+SUM(_xlfn.XLOOKUP($R77:$AK77,增益!$A:$A,增益!$G:$G,0))</f>
        <v>0</v>
      </c>
      <c r="AW77" s="24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2" cm="1">
        <f t="array" ref="BA77">$G$11+VLOOKUP($Q77,武学奇术!$A:$ZZ,10,FALSE)+SUM(_xlfn.XLOOKUP($R77:$AK77,增益!$A:$A,增益!$J:$J,0))</f>
        <v>0</v>
      </c>
      <c r="BB77">
        <f t="shared" si="14"/>
        <v>0</v>
      </c>
      <c r="BC77">
        <f t="shared" si="15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-0.3</v>
      </c>
      <c r="BE77" s="32" cm="1">
        <f t="array" ref="BE77">$G$12+VLOOKUP($Q77,武学奇术!$A:$ZZ,12,FALSE)+SUM(_xlfn.XLOOKUP($R77:$AK77,增益!$A:$A,增益!$L:$L,0))</f>
        <v>0</v>
      </c>
      <c r="BF77">
        <f t="shared" si="16"/>
        <v>605.472</v>
      </c>
      <c r="BG77">
        <f t="shared" si="17"/>
        <v>1579.612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</v>
      </c>
      <c r="BI77" s="32" cm="1">
        <f t="array" ref="BI77">$G$13+VLOOKUP($Q77,武学奇术!$A:$ZZ,14,FALSE)+SUM(_xlfn.XLOOKUP($R77:$AK77,增益!$A:$A,增益!$N:$N,0))</f>
        <v>0.15</v>
      </c>
      <c r="BJ77">
        <f t="shared" si="18"/>
        <v>0</v>
      </c>
      <c r="BK77">
        <f t="shared" si="19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2" cm="1">
        <f t="array" ref="BM77">$G$14+VLOOKUP($Q77,武学奇术!$A:$ZZ,16,FALSE)+SUM(_xlfn.XLOOKUP($R77:$AK77,增益!$A:$A,增益!$P:$P,0))</f>
        <v>0</v>
      </c>
      <c r="BN77" s="24">
        <f>MIN(IF(VLOOKUP($Q77,武学奇术!$A:$ZZ,23,FALSE)=1,100%,$B$8),100%)</f>
        <v>1</v>
      </c>
      <c r="BO77" s="24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0.9093</v>
      </c>
      <c r="BP77" s="24" cm="1">
        <f t="array" ref="BP77">1+$B$13+VLOOKUP($Q77,武学奇术!$A:$ZZ,18,FALSE)+SUM(_xlfn.XLOOKUP($R77:$AK77,增益!$A:$A,增益!$R:$R,0))</f>
        <v>1.85</v>
      </c>
      <c r="BQ77" s="24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4" cm="1">
        <f t="array" ref="BR77">1+$B$14+VLOOKUP($Q77,武学奇术!$A:$ZZ,20,FALSE)+SUM(_xlfn.XLOOKUP($R77:$AK77,增益!$A:$A,增益!$T:$T,0))</f>
        <v>1.35</v>
      </c>
      <c r="BS77" s="24">
        <f t="shared" si="20"/>
        <v>0.9071</v>
      </c>
      <c r="BT77" s="24">
        <f t="shared" si="21"/>
        <v>0</v>
      </c>
      <c r="BU77" s="24">
        <f>IF(VLOOKUP($Q77,武学奇术!$A:$ZZ,22,FALSE)=1,0,(1-$BN77))*(1-$BQ77)</f>
        <v>0</v>
      </c>
      <c r="BV77" s="24" cm="1">
        <f t="array" ref="BV77">SUM(_xlfn.XLOOKUP($R77:$AK77,增益!$A:$A,增益!$W:$W,0))+$I$5</f>
        <v>0.06</v>
      </c>
    </row>
    <row r="78" spans="1:74">
      <c r="A78" s="4" t="s">
        <v>101</v>
      </c>
      <c r="B78" s="4">
        <v>1.25</v>
      </c>
      <c r="K78" s="38">
        <f t="shared" si="11"/>
        <v>8121.32849097728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弹道",$B$21,0))*(1+$BV78)</f>
        <v>8164.90529592221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弹道",$B$21,0))*(1+$BV78)</f>
        <v>7695.83312213396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弹道",$B$21,0))*(1+$BV78)</f>
        <v>5103.06580995138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弹道",$B$21,0))*(1+$BV78)</f>
        <v>4505.51449239612</v>
      </c>
      <c r="P78" s="39">
        <v>2</v>
      </c>
      <c r="Q78" s="40" t="s">
        <v>137</v>
      </c>
      <c r="R78" s="40" t="s">
        <v>97</v>
      </c>
      <c r="S78" s="40" t="s">
        <v>176</v>
      </c>
      <c r="T78" s="40" t="s">
        <v>78</v>
      </c>
      <c r="U78" s="40" t="s">
        <v>90</v>
      </c>
      <c r="V78" s="40" t="s">
        <v>78</v>
      </c>
      <c r="W78" s="40" t="s">
        <v>78</v>
      </c>
      <c r="X78" s="40" t="s">
        <v>78</v>
      </c>
      <c r="Y78" s="40" t="s">
        <v>78</v>
      </c>
      <c r="Z78" s="40" t="s">
        <v>78</v>
      </c>
      <c r="AA78" s="40" t="s">
        <v>78</v>
      </c>
      <c r="AB78" s="40" t="s">
        <v>78</v>
      </c>
      <c r="AC78" s="40" t="s">
        <v>78</v>
      </c>
      <c r="AD78" s="40" t="s">
        <v>78</v>
      </c>
      <c r="AE78" s="40" t="s">
        <v>78</v>
      </c>
      <c r="AF78" s="40" t="s">
        <v>78</v>
      </c>
      <c r="AG78" s="40" t="s">
        <v>78</v>
      </c>
      <c r="AH78" s="40" t="s">
        <v>78</v>
      </c>
      <c r="AI78" s="40" t="s">
        <v>78</v>
      </c>
      <c r="AJ78" s="40" t="s">
        <v>78</v>
      </c>
      <c r="AK78" s="40" t="s">
        <v>78</v>
      </c>
      <c r="AL78" t="str">
        <f>VLOOKUP($Q78,武学奇术!$A:$ZZ,25,FALSE)</f>
        <v>单体奇术</v>
      </c>
      <c r="AM78" s="24">
        <f>VLOOKUP($Q78,武学奇术!$A:$ZZ,26,FALSE)</f>
        <v>0.236</v>
      </c>
      <c r="AN78" s="25">
        <f>VLOOKUP($Q78,武学奇术!$A:$ZZ,27,FALSE)*(1+IF(OR($AL78=$F$4,$AL78=$F$5),$B$22,0))</f>
        <v>46</v>
      </c>
      <c r="AO78" s="24">
        <f>VLOOKUP($Q78,武学奇术!$A:$ZZ,28,FALSE)</f>
        <v>0.354</v>
      </c>
      <c r="AP78" s="25">
        <f>VLOOKUP($Q78,武学奇术!$A:$ZZ,29,FALSE)*(1+IF(OR($AL78=$F$4,$AL78=$F$5),$B$22,0))</f>
        <v>0</v>
      </c>
      <c r="AQ78" s="24" cm="1">
        <f t="array" ref="AQ78">$G$3+IFERROR(VLOOKUP($AL78,$F$4:$G$7,2,FALSE),0)+VLOOKUP($Q78,武学奇术!$A:$ZZ,2,FALSE)+SUM(_xlfn.XLOOKUP($R78:$AK78,增益!$A:$A,增益!$B:$B,0))</f>
        <v>0.4215</v>
      </c>
      <c r="AR78" s="24" cm="1">
        <f t="array" ref="AR78">VLOOKUP($Q78,武学奇术!$A:$ZZ,5,FALSE)+SUM(_xlfn.XLOOKUP($R78:$AK78,增益!$A:$A,增益!$E:$E,0))</f>
        <v>0.075</v>
      </c>
      <c r="AS78" cm="1">
        <f t="array" ref="AS78">$D$10*(1+$AR78)+VLOOKUP($Q78,武学奇术!$A:$ZZ,3,FALSE)+SUM(_xlfn.XLOOKUP($R78:$AK78,增益!$A:$A,增益!$C:$C,0))-$I$2</f>
        <v>4063.1171</v>
      </c>
      <c r="AT78" cm="1">
        <f t="array" ref="AT78">$E$10*(1+$AR78)+VLOOKUP($Q78,武学奇术!$A:$ZZ,4,FALSE)+SUM(_xlfn.XLOOKUP($R78:$AK78,增益!$A:$A,增益!$D:$D,0))-$I$2</f>
        <v>4063.1171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0.2425</v>
      </c>
      <c r="AV78" s="32" cm="1">
        <f t="array" ref="AV78">$G$10+VLOOKUP($Q78,武学奇术!$A:$ZZ,7,FALSE)+SUM(_xlfn.XLOOKUP($R78:$AK78,增益!$A:$A,增益!$G:$G,0))</f>
        <v>0</v>
      </c>
      <c r="AW78" s="24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2" cm="1">
        <f t="array" ref="BA78">$G$11+VLOOKUP($Q78,武学奇术!$A:$ZZ,10,FALSE)+SUM(_xlfn.XLOOKUP($R78:$AK78,增益!$A:$A,增益!$J:$J,0))</f>
        <v>0</v>
      </c>
      <c r="BB78">
        <f t="shared" si="14"/>
        <v>0</v>
      </c>
      <c r="BC78">
        <f t="shared" si="15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-0.3</v>
      </c>
      <c r="BE78" s="32" cm="1">
        <f t="array" ref="BE78">$G$12+VLOOKUP($Q78,武学奇术!$A:$ZZ,12,FALSE)+SUM(_xlfn.XLOOKUP($R78:$AK78,增益!$A:$A,增益!$L:$L,0))</f>
        <v>0</v>
      </c>
      <c r="BF78">
        <f t="shared" si="16"/>
        <v>605.472</v>
      </c>
      <c r="BG78">
        <f t="shared" si="17"/>
        <v>1579.612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</v>
      </c>
      <c r="BI78" s="32" cm="1">
        <f t="array" ref="BI78">$G$13+VLOOKUP($Q78,武学奇术!$A:$ZZ,14,FALSE)+SUM(_xlfn.XLOOKUP($R78:$AK78,增益!$A:$A,增益!$N:$N,0))</f>
        <v>0.15</v>
      </c>
      <c r="BJ78">
        <f t="shared" si="18"/>
        <v>0</v>
      </c>
      <c r="BK78">
        <f t="shared" si="19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2" cm="1">
        <f t="array" ref="BM78">$G$14+VLOOKUP($Q78,武学奇术!$A:$ZZ,16,FALSE)+SUM(_xlfn.XLOOKUP($R78:$AK78,增益!$A:$A,增益!$P:$P,0))</f>
        <v>0</v>
      </c>
      <c r="BN78" s="24">
        <f>MIN(IF(VLOOKUP($Q78,武学奇术!$A:$ZZ,23,FALSE)=1,100%,$B$8),100%)</f>
        <v>1</v>
      </c>
      <c r="BO78" s="24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0.9093</v>
      </c>
      <c r="BP78" s="24" cm="1">
        <f t="array" ref="BP78">1+$B$13+VLOOKUP($Q78,武学奇术!$A:$ZZ,18,FALSE)+SUM(_xlfn.XLOOKUP($R78:$AK78,增益!$A:$A,增益!$R:$R,0))</f>
        <v>1.6</v>
      </c>
      <c r="BQ78" s="24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4" cm="1">
        <f t="array" ref="BR78">1+$B$14+VLOOKUP($Q78,武学奇术!$A:$ZZ,20,FALSE)+SUM(_xlfn.XLOOKUP($R78:$AK78,增益!$A:$A,增益!$T:$T,0))</f>
        <v>1.35</v>
      </c>
      <c r="BS78" s="24">
        <f t="shared" si="20"/>
        <v>0.9071</v>
      </c>
      <c r="BT78" s="24">
        <f t="shared" si="21"/>
        <v>0</v>
      </c>
      <c r="BU78" s="24">
        <f>IF(VLOOKUP($Q78,武学奇术!$A:$ZZ,22,FALSE)=1,0,(1-$BN78))*(1-$BQ78)</f>
        <v>0</v>
      </c>
      <c r="BV78" s="24" cm="1">
        <f t="array" ref="BV78">SUM(_xlfn.XLOOKUP($R78:$AK78,增益!$A:$A,增益!$W:$W,0))+$I$5</f>
        <v>0.06</v>
      </c>
    </row>
    <row r="79" spans="1:74">
      <c r="A79" s="4" t="s">
        <v>159</v>
      </c>
      <c r="B79" s="88">
        <v>1.3</v>
      </c>
      <c r="K79" s="38">
        <f t="shared" si="11"/>
        <v>70427.5320310026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弹道",$B$21,0))*(1+$BV79)</f>
        <v>70805.0315728069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弹道",$B$21,0))*(1+$BV79)</f>
        <v>66741.5273553229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弹道",$B$21,0))*(1+$BV79)</f>
        <v>44253.1447330043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弹道",$B$21,0))*(1+$BV79)</f>
        <v>39068.1210546583</v>
      </c>
      <c r="P79" s="39">
        <v>4</v>
      </c>
      <c r="Q79" s="40" t="s">
        <v>153</v>
      </c>
      <c r="R79" s="40" t="s">
        <v>97</v>
      </c>
      <c r="S79" s="40" t="s">
        <v>176</v>
      </c>
      <c r="T79" s="40" t="s">
        <v>78</v>
      </c>
      <c r="U79" s="40" t="s">
        <v>90</v>
      </c>
      <c r="V79" s="40" t="s">
        <v>78</v>
      </c>
      <c r="W79" s="40" t="s">
        <v>78</v>
      </c>
      <c r="X79" s="40" t="s">
        <v>78</v>
      </c>
      <c r="Y79" s="40" t="s">
        <v>78</v>
      </c>
      <c r="Z79" s="40" t="s">
        <v>78</v>
      </c>
      <c r="AA79" s="40" t="s">
        <v>78</v>
      </c>
      <c r="AB79" s="40" t="s">
        <v>78</v>
      </c>
      <c r="AC79" s="40" t="s">
        <v>78</v>
      </c>
      <c r="AD79" s="40" t="s">
        <v>78</v>
      </c>
      <c r="AE79" s="40" t="s">
        <v>78</v>
      </c>
      <c r="AF79" s="40" t="s">
        <v>78</v>
      </c>
      <c r="AG79" s="40" t="s">
        <v>78</v>
      </c>
      <c r="AH79" s="40" t="s">
        <v>78</v>
      </c>
      <c r="AI79" s="40" t="s">
        <v>78</v>
      </c>
      <c r="AJ79" s="40" t="s">
        <v>78</v>
      </c>
      <c r="AK79" s="40" t="s">
        <v>78</v>
      </c>
      <c r="AL79" t="str">
        <f>VLOOKUP($Q79,武学奇术!$A:$ZZ,25,FALSE)</f>
        <v>单体奇术</v>
      </c>
      <c r="AM79" s="24">
        <f>VLOOKUP($Q79,武学奇术!$A:$ZZ,26,FALSE)</f>
        <v>1.0239</v>
      </c>
      <c r="AN79" s="25">
        <f>VLOOKUP($Q79,武学奇术!$A:$ZZ,27,FALSE)*(1+IF(OR($AL79=$F$4,$AL79=$F$5),$B$22,0))</f>
        <v>196</v>
      </c>
      <c r="AO79" s="24">
        <f>VLOOKUP($Q79,武学奇术!$A:$ZZ,28,FALSE)</f>
        <v>1.53585</v>
      </c>
      <c r="AP79" s="25">
        <f>VLOOKUP($Q79,武学奇术!$A:$ZZ,29,FALSE)*(1+IF(OR($AL79=$F$4,$AL79=$F$5),$B$22,0))</f>
        <v>0</v>
      </c>
      <c r="AQ79" s="24" cm="1">
        <f t="array" ref="AQ79">$G$3+IFERROR(VLOOKUP($AL79,$F$4:$G$7,2,FALSE),0)+VLOOKUP($Q79,武学奇术!$A:$ZZ,2,FALSE)+SUM(_xlfn.XLOOKUP($R79:$AK79,增益!$A:$A,增益!$B:$B,0))</f>
        <v>0.4215</v>
      </c>
      <c r="AR79" s="24" cm="1">
        <f t="array" ref="AR79">VLOOKUP($Q79,武学奇术!$A:$ZZ,5,FALSE)+SUM(_xlfn.XLOOKUP($R79:$AK79,增益!$A:$A,增益!$E:$E,0))</f>
        <v>0.075</v>
      </c>
      <c r="AS79" cm="1">
        <f t="array" ref="AS79">$D$10*(1+$AR79)+VLOOKUP($Q79,武学奇术!$A:$ZZ,3,FALSE)+SUM(_xlfn.XLOOKUP($R79:$AK79,增益!$A:$A,增益!$C:$C,0))-$I$2</f>
        <v>4063.1171</v>
      </c>
      <c r="AT79" cm="1">
        <f t="array" ref="AT79">$E$10*(1+$AR79)+VLOOKUP($Q79,武学奇术!$A:$ZZ,4,FALSE)+SUM(_xlfn.XLOOKUP($R79:$AK79,增益!$A:$A,增益!$D:$D,0))-$I$2</f>
        <v>4063.1171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0.2425</v>
      </c>
      <c r="AV79" s="32" cm="1">
        <f t="array" ref="AV79">$G$10+VLOOKUP($Q79,武学奇术!$A:$ZZ,7,FALSE)+SUM(_xlfn.XLOOKUP($R79:$AK79,增益!$A:$A,增益!$G:$G,0))</f>
        <v>0</v>
      </c>
      <c r="AW79" s="24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2" cm="1">
        <f t="array" ref="BA79">$G$11+VLOOKUP($Q79,武学奇术!$A:$ZZ,10,FALSE)+SUM(_xlfn.XLOOKUP($R79:$AK79,增益!$A:$A,增益!$J:$J,0))</f>
        <v>0</v>
      </c>
      <c r="BB79">
        <f t="shared" si="14"/>
        <v>0</v>
      </c>
      <c r="BC79">
        <f t="shared" si="15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2" cm="1">
        <f t="array" ref="BE79">$G$12+VLOOKUP($Q79,武学奇术!$A:$ZZ,12,FALSE)+SUM(_xlfn.XLOOKUP($R79:$AK79,增益!$A:$A,增益!$L:$L,0))</f>
        <v>0</v>
      </c>
      <c r="BF79">
        <f t="shared" si="16"/>
        <v>605.472</v>
      </c>
      <c r="BG79">
        <f t="shared" si="17"/>
        <v>1579.612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2" cm="1">
        <f t="array" ref="BI79">$G$13+VLOOKUP($Q79,武学奇术!$A:$ZZ,14,FALSE)+SUM(_xlfn.XLOOKUP($R79:$AK79,增益!$A:$A,增益!$N:$N,0))</f>
        <v>0.15</v>
      </c>
      <c r="BJ79">
        <f t="shared" si="18"/>
        <v>0</v>
      </c>
      <c r="BK79">
        <f t="shared" si="19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2" cm="1">
        <f t="array" ref="BM79">$G$14+VLOOKUP($Q79,武学奇术!$A:$ZZ,16,FALSE)+SUM(_xlfn.XLOOKUP($R79:$AK79,增益!$A:$A,增益!$P:$P,0))</f>
        <v>0</v>
      </c>
      <c r="BN79" s="24">
        <f>MIN(IF(VLOOKUP($Q79,武学奇术!$A:$ZZ,23,FALSE)=1,100%,$B$8),100%)</f>
        <v>1</v>
      </c>
      <c r="BO79" s="24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0.9093</v>
      </c>
      <c r="BP79" s="24" cm="1">
        <f t="array" ref="BP79">1+$B$13+VLOOKUP($Q79,武学奇术!$A:$ZZ,18,FALSE)+SUM(_xlfn.XLOOKUP($R79:$AK79,增益!$A:$A,增益!$R:$R,0))</f>
        <v>1.6</v>
      </c>
      <c r="BQ79" s="24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4" cm="1">
        <f t="array" ref="BR79">1+$B$14+VLOOKUP($Q79,武学奇术!$A:$ZZ,20,FALSE)+SUM(_xlfn.XLOOKUP($R79:$AK79,增益!$A:$A,增益!$T:$T,0))</f>
        <v>1.35</v>
      </c>
      <c r="BS79" s="24">
        <f t="shared" si="20"/>
        <v>0.9071</v>
      </c>
      <c r="BT79" s="24">
        <f t="shared" si="21"/>
        <v>0</v>
      </c>
      <c r="BU79" s="24">
        <f>IF(VLOOKUP($Q79,武学奇术!$A:$ZZ,22,FALSE)=1,0,(1-$BN79))*(1-$BQ79)</f>
        <v>0</v>
      </c>
      <c r="BV79" s="24" cm="1">
        <f t="array" ref="BV79">SUM(_xlfn.XLOOKUP($R79:$AK79,增益!$A:$A,增益!$W:$W,0))+$I$5</f>
        <v>0.06</v>
      </c>
    </row>
    <row r="80" spans="1:74">
      <c r="A80" s="4" t="s">
        <v>111</v>
      </c>
      <c r="B80" s="88">
        <v>1.16</v>
      </c>
      <c r="K80" s="38">
        <f t="shared" si="11"/>
        <v>110672.786380792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弹道",$B$21,0))*(1+$BV80)</f>
        <v>111266.004737829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弹道",$B$21,0))*(1+$BV80)</f>
        <v>104880.446535066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弹道",$B$21,0))*(1+$BV80)</f>
        <v>69541.252961143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弹道",$B$21,0))*(1+$BV80)</f>
        <v>61393.2862666818</v>
      </c>
      <c r="P80" s="39">
        <v>4</v>
      </c>
      <c r="Q80" s="40" t="s">
        <v>155</v>
      </c>
      <c r="R80" s="40" t="s">
        <v>97</v>
      </c>
      <c r="S80" s="40" t="s">
        <v>176</v>
      </c>
      <c r="T80" s="40" t="s">
        <v>78</v>
      </c>
      <c r="U80" s="40" t="s">
        <v>90</v>
      </c>
      <c r="V80" s="40" t="s">
        <v>78</v>
      </c>
      <c r="W80" s="40" t="s">
        <v>78</v>
      </c>
      <c r="X80" s="40" t="s">
        <v>78</v>
      </c>
      <c r="Y80" s="40" t="s">
        <v>78</v>
      </c>
      <c r="Z80" s="40" t="s">
        <v>78</v>
      </c>
      <c r="AA80" s="40" t="s">
        <v>78</v>
      </c>
      <c r="AB80" s="40" t="s">
        <v>78</v>
      </c>
      <c r="AC80" s="40" t="s">
        <v>78</v>
      </c>
      <c r="AD80" s="40" t="s">
        <v>78</v>
      </c>
      <c r="AE80" s="40" t="s">
        <v>78</v>
      </c>
      <c r="AF80" s="40" t="s">
        <v>78</v>
      </c>
      <c r="AG80" s="40" t="s">
        <v>78</v>
      </c>
      <c r="AH80" s="40" t="s">
        <v>78</v>
      </c>
      <c r="AI80" s="40" t="s">
        <v>78</v>
      </c>
      <c r="AJ80" s="40" t="s">
        <v>78</v>
      </c>
      <c r="AK80" s="40" t="s">
        <v>78</v>
      </c>
      <c r="AL80" t="str">
        <f>VLOOKUP($Q80,武学奇术!$A:$ZZ,25,FALSE)</f>
        <v>单体奇术</v>
      </c>
      <c r="AM80" s="24">
        <f>VLOOKUP($Q80,武学奇术!$A:$ZZ,26,FALSE)</f>
        <v>1.609</v>
      </c>
      <c r="AN80" s="25">
        <f>VLOOKUP($Q80,武学奇术!$A:$ZZ,27,FALSE)*(1+IF(OR($AL80=$F$4,$AL80=$F$5),$B$22,0))</f>
        <v>308</v>
      </c>
      <c r="AO80" s="24">
        <f>VLOOKUP($Q80,武学奇术!$A:$ZZ,28,FALSE)</f>
        <v>2.4135</v>
      </c>
      <c r="AP80" s="25">
        <f>VLOOKUP($Q80,武学奇术!$A:$ZZ,29,FALSE)*(1+IF(OR($AL80=$F$4,$AL80=$F$5),$B$22,0))</f>
        <v>0</v>
      </c>
      <c r="AQ80" s="24" cm="1">
        <f t="array" ref="AQ80">$G$3+IFERROR(VLOOKUP($AL80,$F$4:$G$7,2,FALSE),0)+VLOOKUP($Q80,武学奇术!$A:$ZZ,2,FALSE)+SUM(_xlfn.XLOOKUP($R80:$AK80,增益!$A:$A,增益!$B:$B,0))</f>
        <v>0.4215</v>
      </c>
      <c r="AR80" s="24" cm="1">
        <f t="array" ref="AR80">VLOOKUP($Q80,武学奇术!$A:$ZZ,5,FALSE)+SUM(_xlfn.XLOOKUP($R80:$AK80,增益!$A:$A,增益!$E:$E,0))</f>
        <v>0.075</v>
      </c>
      <c r="AS80" cm="1">
        <f t="array" ref="AS80">$D$10*(1+$AR80)+VLOOKUP($Q80,武学奇术!$A:$ZZ,3,FALSE)+SUM(_xlfn.XLOOKUP($R80:$AK80,增益!$A:$A,增益!$C:$C,0))-$I$2</f>
        <v>4063.1171</v>
      </c>
      <c r="AT80" cm="1">
        <f t="array" ref="AT80">$E$10*(1+$AR80)+VLOOKUP($Q80,武学奇术!$A:$ZZ,4,FALSE)+SUM(_xlfn.XLOOKUP($R80:$AK80,增益!$A:$A,增益!$D:$D,0))-$I$2</f>
        <v>4063.1171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0.2425</v>
      </c>
      <c r="AV80" s="32" cm="1">
        <f t="array" ref="AV80">$G$10+VLOOKUP($Q80,武学奇术!$A:$ZZ,7,FALSE)+SUM(_xlfn.XLOOKUP($R80:$AK80,增益!$A:$A,增益!$G:$G,0))</f>
        <v>0</v>
      </c>
      <c r="AW80" s="24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2" cm="1">
        <f t="array" ref="BA80">$G$11+VLOOKUP($Q80,武学奇术!$A:$ZZ,10,FALSE)+SUM(_xlfn.XLOOKUP($R80:$AK80,增益!$A:$A,增益!$J:$J,0))</f>
        <v>0</v>
      </c>
      <c r="BB80">
        <f t="shared" si="14"/>
        <v>0</v>
      </c>
      <c r="BC80">
        <f t="shared" si="15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2" cm="1">
        <f t="array" ref="BE80">$G$12+VLOOKUP($Q80,武学奇术!$A:$ZZ,12,FALSE)+SUM(_xlfn.XLOOKUP($R80:$AK80,增益!$A:$A,增益!$L:$L,0))</f>
        <v>0</v>
      </c>
      <c r="BF80">
        <f t="shared" si="16"/>
        <v>605.472</v>
      </c>
      <c r="BG80">
        <f t="shared" si="17"/>
        <v>1579.612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2" cm="1">
        <f t="array" ref="BI80">$G$13+VLOOKUP($Q80,武学奇术!$A:$ZZ,14,FALSE)+SUM(_xlfn.XLOOKUP($R80:$AK80,增益!$A:$A,增益!$N:$N,0))</f>
        <v>0.15</v>
      </c>
      <c r="BJ80">
        <f t="shared" si="18"/>
        <v>0</v>
      </c>
      <c r="BK80">
        <f t="shared" si="19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2" cm="1">
        <f t="array" ref="BM80">$G$14+VLOOKUP($Q80,武学奇术!$A:$ZZ,16,FALSE)+SUM(_xlfn.XLOOKUP($R80:$AK80,增益!$A:$A,增益!$P:$P,0))</f>
        <v>0</v>
      </c>
      <c r="BN80" s="24">
        <f>MIN(IF(VLOOKUP($Q80,武学奇术!$A:$ZZ,23,FALSE)=1,100%,$B$8),100%)</f>
        <v>1</v>
      </c>
      <c r="BO80" s="24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0.9093</v>
      </c>
      <c r="BP80" s="24" cm="1">
        <f t="array" ref="BP80">1+$B$13+VLOOKUP($Q80,武学奇术!$A:$ZZ,18,FALSE)+SUM(_xlfn.XLOOKUP($R80:$AK80,增益!$A:$A,增益!$R:$R,0))</f>
        <v>1.6</v>
      </c>
      <c r="BQ80" s="24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4" cm="1">
        <f t="array" ref="BR80">1+$B$14+VLOOKUP($Q80,武学奇术!$A:$ZZ,20,FALSE)+SUM(_xlfn.XLOOKUP($R80:$AK80,增益!$A:$A,增益!$T:$T,0))</f>
        <v>1.35</v>
      </c>
      <c r="BS80" s="24">
        <f t="shared" si="20"/>
        <v>0.9071</v>
      </c>
      <c r="BT80" s="24">
        <f t="shared" si="21"/>
        <v>0</v>
      </c>
      <c r="BU80" s="24">
        <f>IF(VLOOKUP($Q80,武学奇术!$A:$ZZ,22,FALSE)=1,0,(1-$BN80))*(1-$BQ80)</f>
        <v>0</v>
      </c>
      <c r="BV80" s="24" cm="1">
        <f t="array" ref="BV80">SUM(_xlfn.XLOOKUP($R80:$AK80,增益!$A:$A,增益!$W:$W,0))+$I$5</f>
        <v>0.06</v>
      </c>
    </row>
    <row r="81" spans="1:74">
      <c r="A81" s="4" t="s">
        <v>161</v>
      </c>
      <c r="B81" s="4">
        <v>0.1</v>
      </c>
      <c r="K81" s="38">
        <f t="shared" si="11"/>
        <v>74613.1303643522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弹道",$B$21,0))*(1+$BV81)</f>
        <v>76303.3790737412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弹道",$B$21,0))*(1+$BV81)</f>
        <v>58109.0980254198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弹道",$B$21,0))*(1+$BV81)</f>
        <v>38930.2954457864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弹道",$B$21,0))*(1+$BV81)</f>
        <v>34816.8145764469</v>
      </c>
      <c r="P81" s="39">
        <v>1</v>
      </c>
      <c r="Q81" s="40" t="s">
        <v>101</v>
      </c>
      <c r="R81" s="40" t="s">
        <v>97</v>
      </c>
      <c r="S81" s="40" t="s">
        <v>176</v>
      </c>
      <c r="T81" s="40" t="s">
        <v>106</v>
      </c>
      <c r="U81" s="40" t="s">
        <v>90</v>
      </c>
      <c r="V81" s="40" t="s">
        <v>102</v>
      </c>
      <c r="W81" s="40" t="s">
        <v>78</v>
      </c>
      <c r="X81" s="40" t="s">
        <v>78</v>
      </c>
      <c r="Y81" s="40" t="s">
        <v>78</v>
      </c>
      <c r="Z81" s="40" t="s">
        <v>78</v>
      </c>
      <c r="AA81" s="40" t="s">
        <v>78</v>
      </c>
      <c r="AB81" s="40" t="s">
        <v>78</v>
      </c>
      <c r="AC81" s="40" t="s">
        <v>78</v>
      </c>
      <c r="AD81" s="40" t="s">
        <v>78</v>
      </c>
      <c r="AE81" s="40" t="s">
        <v>78</v>
      </c>
      <c r="AF81" s="40" t="s">
        <v>78</v>
      </c>
      <c r="AG81" s="40" t="s">
        <v>78</v>
      </c>
      <c r="AH81" s="40" t="s">
        <v>78</v>
      </c>
      <c r="AI81" s="40" t="s">
        <v>78</v>
      </c>
      <c r="AJ81" s="40" t="s">
        <v>78</v>
      </c>
      <c r="AK81" s="40" t="s">
        <v>78</v>
      </c>
      <c r="AL81" t="str">
        <f>VLOOKUP($Q81,武学奇术!$A:$ZZ,25,FALSE)</f>
        <v>伞</v>
      </c>
      <c r="AM81" s="24">
        <f>VLOOKUP($Q81,武学奇术!$A:$ZZ,26,FALSE)</f>
        <v>2.3397</v>
      </c>
      <c r="AN81" s="25">
        <f>VLOOKUP($Q81,武学奇术!$A:$ZZ,27,FALSE)*(1+IF(OR($AL81=$F$4,$AL81=$F$5),$B$22,0))</f>
        <v>972</v>
      </c>
      <c r="AO81" s="24">
        <f>VLOOKUP($Q81,武学奇术!$A:$ZZ,28,FALSE)</f>
        <v>3.5095</v>
      </c>
      <c r="AP81" s="25">
        <f>VLOOKUP($Q81,武学奇术!$A:$ZZ,29,FALSE)*(1+IF(OR($AL81=$F$4,$AL81=$F$5),$B$22,0))</f>
        <v>529.5</v>
      </c>
      <c r="AQ81" s="24" cm="1">
        <f t="array" ref="AQ81">$G$3+IFERROR(VLOOKUP($AL81,$F$4:$G$7,2,FALSE),0)+VLOOKUP($Q81,武学奇术!$A:$ZZ,2,FALSE)+SUM(_xlfn.XLOOKUP($R81:$AK81,增益!$A:$A,增益!$B:$B,0))</f>
        <v>0.9741</v>
      </c>
      <c r="AR81" s="24" cm="1">
        <f t="array" ref="AR81">VLOOKUP($Q81,武学奇术!$A:$ZZ,5,FALSE)+SUM(_xlfn.XLOOKUP($R81:$AK81,增益!$A:$A,增益!$E:$E,0))</f>
        <v>0.075</v>
      </c>
      <c r="AS81" cm="1">
        <f t="array" ref="AS81">$D$10*(1+$AR81)+VLOOKUP($Q81,武学奇术!$A:$ZZ,3,FALSE)+SUM(_xlfn.XLOOKUP($R81:$AK81,增益!$A:$A,增益!$C:$C,0))-$I$2</f>
        <v>4063.1171</v>
      </c>
      <c r="AT81" cm="1">
        <f t="array" ref="AT81">$E$10*(1+$AR81)+VLOOKUP($Q81,武学奇术!$A:$ZZ,4,FALSE)+SUM(_xlfn.XLOOKUP($R81:$AK81,增益!$A:$A,增益!$D:$D,0))-$I$2</f>
        <v>4063.1171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0.2675</v>
      </c>
      <c r="AV81" s="32" cm="1">
        <f t="array" ref="AV81">$G$10+VLOOKUP($Q81,武学奇术!$A:$ZZ,7,FALSE)+SUM(_xlfn.XLOOKUP($R81:$AK81,增益!$A:$A,增益!$G:$G,0))</f>
        <v>0</v>
      </c>
      <c r="AW81" s="24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2" cm="1">
        <f t="array" ref="BA81">$G$11+VLOOKUP($Q81,武学奇术!$A:$ZZ,10,FALSE)+SUM(_xlfn.XLOOKUP($R81:$AK81,增益!$A:$A,增益!$J:$J,0))</f>
        <v>0</v>
      </c>
      <c r="BB81">
        <f t="shared" si="14"/>
        <v>0</v>
      </c>
      <c r="BC81">
        <f t="shared" si="15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2" cm="1">
        <f t="array" ref="BE81">$G$12+VLOOKUP($Q81,武学奇术!$A:$ZZ,12,FALSE)+SUM(_xlfn.XLOOKUP($R81:$AK81,增益!$A:$A,增益!$L:$L,0))</f>
        <v>0</v>
      </c>
      <c r="BF81">
        <f t="shared" si="16"/>
        <v>605.472</v>
      </c>
      <c r="BG81">
        <f t="shared" si="17"/>
        <v>1579.612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2" cm="1">
        <f t="array" ref="BI81">$G$13+VLOOKUP($Q81,武学奇术!$A:$ZZ,14,FALSE)+SUM(_xlfn.XLOOKUP($R81:$AK81,增益!$A:$A,增益!$N:$N,0))</f>
        <v>0.15</v>
      </c>
      <c r="BJ81">
        <f t="shared" si="18"/>
        <v>0</v>
      </c>
      <c r="BK81">
        <f t="shared" si="19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2" cm="1">
        <f t="array" ref="BM81">$G$14+VLOOKUP($Q81,武学奇术!$A:$ZZ,16,FALSE)+SUM(_xlfn.XLOOKUP($R81:$AK81,增益!$A:$A,增益!$P:$P,0))</f>
        <v>0</v>
      </c>
      <c r="BN81" s="24">
        <f>MIN(IF(VLOOKUP($Q81,武学奇术!$A:$ZZ,23,FALSE)=1,100%,$B$8),100%)</f>
        <v>1</v>
      </c>
      <c r="BO81" s="24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0.9093</v>
      </c>
      <c r="BP81" s="24" cm="1">
        <f t="array" ref="BP81">1+$B$13+VLOOKUP($Q81,武学奇术!$A:$ZZ,18,FALSE)+SUM(_xlfn.XLOOKUP($R81:$AK81,增益!$A:$A,增益!$R:$R,0))</f>
        <v>1.96</v>
      </c>
      <c r="BQ81" s="24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4" cm="1">
        <f t="array" ref="BR81">1+$B$14+VLOOKUP($Q81,武学奇术!$A:$ZZ,20,FALSE)+SUM(_xlfn.XLOOKUP($R81:$AK81,增益!$A:$A,增益!$T:$T,0))</f>
        <v>1.35</v>
      </c>
      <c r="BS81" s="24">
        <f t="shared" si="20"/>
        <v>0.9071</v>
      </c>
      <c r="BT81" s="24">
        <f t="shared" si="21"/>
        <v>0</v>
      </c>
      <c r="BU81" s="24">
        <f>IF(VLOOKUP($Q81,武学奇术!$A:$ZZ,22,FALSE)=1,0,(1-$BN81))*(1-$BQ81)</f>
        <v>0</v>
      </c>
      <c r="BV81" s="24" cm="1">
        <f t="array" ref="BV81">SUM(_xlfn.XLOOKUP($R81:$AK81,增益!$A:$A,增益!$W:$W,0))+$I$5</f>
        <v>0.06</v>
      </c>
    </row>
    <row r="82" spans="1:74">
      <c r="A82" s="4" t="s">
        <v>193</v>
      </c>
      <c r="B82" s="4">
        <v>2</v>
      </c>
      <c r="K82" s="38">
        <f t="shared" si="11"/>
        <v>29745.5104481236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弹道",$B$21,0))*(1+$BV82)</f>
        <v>29928.4982790909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弹道",$B$21,0))*(1+$BV82)</f>
        <v>27958.7692051693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弹道",$B$21,0))*(1+$BV82)</f>
        <v>18705.3114244318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弹道",$B$21,0))*(1+$BV82)</f>
        <v>16700.4234376271</v>
      </c>
      <c r="P82" s="39">
        <v>1</v>
      </c>
      <c r="Q82" s="40" t="s">
        <v>108</v>
      </c>
      <c r="R82" s="40" t="s">
        <v>97</v>
      </c>
      <c r="S82" s="40" t="s">
        <v>176</v>
      </c>
      <c r="T82" s="40" t="s">
        <v>78</v>
      </c>
      <c r="U82" s="40" t="s">
        <v>90</v>
      </c>
      <c r="V82" s="40" t="s">
        <v>78</v>
      </c>
      <c r="W82" s="40" t="s">
        <v>78</v>
      </c>
      <c r="X82" s="40" t="s">
        <v>78</v>
      </c>
      <c r="Y82" s="40" t="s">
        <v>78</v>
      </c>
      <c r="Z82" s="40" t="s">
        <v>78</v>
      </c>
      <c r="AA82" s="40" t="s">
        <v>78</v>
      </c>
      <c r="AB82" s="40" t="s">
        <v>78</v>
      </c>
      <c r="AC82" s="40" t="s">
        <v>78</v>
      </c>
      <c r="AD82" s="40" t="s">
        <v>78</v>
      </c>
      <c r="AE82" s="40" t="s">
        <v>78</v>
      </c>
      <c r="AF82" s="40" t="s">
        <v>78</v>
      </c>
      <c r="AG82" s="40" t="s">
        <v>78</v>
      </c>
      <c r="AH82" s="40" t="s">
        <v>78</v>
      </c>
      <c r="AI82" s="40" t="s">
        <v>78</v>
      </c>
      <c r="AJ82" s="40" t="s">
        <v>78</v>
      </c>
      <c r="AK82" s="40" t="s">
        <v>78</v>
      </c>
      <c r="AL82" t="str">
        <f>VLOOKUP($Q82,武学奇术!$A:$ZZ,25,FALSE)</f>
        <v>伞</v>
      </c>
      <c r="AM82" s="24">
        <f>VLOOKUP($Q82,武学奇术!$A:$ZZ,26,FALSE)</f>
        <v>1.7001</v>
      </c>
      <c r="AN82" s="25">
        <f>VLOOKUP($Q82,武学奇术!$A:$ZZ,27,FALSE)*(1+IF(OR($AL82=$F$4,$AL82=$F$5),$B$22,0))</f>
        <v>706.5</v>
      </c>
      <c r="AO82" s="24">
        <f>VLOOKUP($Q82,武学奇术!$A:$ZZ,28,FALSE)</f>
        <v>2.5502</v>
      </c>
      <c r="AP82" s="25">
        <f>VLOOKUP($Q82,武学奇术!$A:$ZZ,29,FALSE)*(1+IF(OR($AL82=$F$4,$AL82=$F$5),$B$22,0))</f>
        <v>384</v>
      </c>
      <c r="AQ82" s="24" cm="1">
        <f t="array" ref="AQ82">$G$3+IFERROR(VLOOKUP($AL82,$F$4:$G$7,2,FALSE),0)+VLOOKUP($Q82,武学奇术!$A:$ZZ,2,FALSE)+SUM(_xlfn.XLOOKUP($R82:$AK82,增益!$A:$A,增益!$B:$B,0))</f>
        <v>0.3241</v>
      </c>
      <c r="AR82" s="24" cm="1">
        <f t="array" ref="AR82">VLOOKUP($Q82,武学奇术!$A:$ZZ,5,FALSE)+SUM(_xlfn.XLOOKUP($R82:$AK82,增益!$A:$A,增益!$E:$E,0))</f>
        <v>0.075</v>
      </c>
      <c r="AS82" cm="1">
        <f t="array" ref="AS82">$D$10*(1+$AR82)+VLOOKUP($Q82,武学奇术!$A:$ZZ,3,FALSE)+SUM(_xlfn.XLOOKUP($R82:$AK82,增益!$A:$A,增益!$C:$C,0))-$I$2</f>
        <v>4063.1171</v>
      </c>
      <c r="AT82" cm="1">
        <f t="array" ref="AT82">$E$10*(1+$AR82)+VLOOKUP($Q82,武学奇术!$A:$ZZ,4,FALSE)+SUM(_xlfn.XLOOKUP($R82:$AK82,增益!$A:$A,增益!$D:$D,0))-$I$2</f>
        <v>4063.1171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0.2425</v>
      </c>
      <c r="AV82" s="32" cm="1">
        <f t="array" ref="AV82">$G$10+VLOOKUP($Q82,武学奇术!$A:$ZZ,7,FALSE)+SUM(_xlfn.XLOOKUP($R82:$AK82,增益!$A:$A,增益!$G:$G,0))</f>
        <v>0</v>
      </c>
      <c r="AW82" s="24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2" cm="1">
        <f t="array" ref="BA82">$G$11+VLOOKUP($Q82,武学奇术!$A:$ZZ,10,FALSE)+SUM(_xlfn.XLOOKUP($R82:$AK82,增益!$A:$A,增益!$J:$J,0))</f>
        <v>0</v>
      </c>
      <c r="BB82">
        <f t="shared" si="14"/>
        <v>0</v>
      </c>
      <c r="BC82">
        <f t="shared" si="15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2" cm="1">
        <f t="array" ref="BE82">$G$12+VLOOKUP($Q82,武学奇术!$A:$ZZ,12,FALSE)+SUM(_xlfn.XLOOKUP($R82:$AK82,增益!$A:$A,增益!$L:$L,0))</f>
        <v>0</v>
      </c>
      <c r="BF82">
        <f t="shared" si="16"/>
        <v>605.472</v>
      </c>
      <c r="BG82">
        <f t="shared" si="17"/>
        <v>1579.612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2" cm="1">
        <f t="array" ref="BI82">$G$13+VLOOKUP($Q82,武学奇术!$A:$ZZ,14,FALSE)+SUM(_xlfn.XLOOKUP($R82:$AK82,增益!$A:$A,增益!$N:$N,0))</f>
        <v>0.15</v>
      </c>
      <c r="BJ82">
        <f t="shared" si="18"/>
        <v>0</v>
      </c>
      <c r="BK82">
        <f t="shared" si="19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2" cm="1">
        <f t="array" ref="BM82">$G$14+VLOOKUP($Q82,武学奇术!$A:$ZZ,16,FALSE)+SUM(_xlfn.XLOOKUP($R82:$AK82,增益!$A:$A,增益!$P:$P,0))</f>
        <v>0</v>
      </c>
      <c r="BN82" s="24">
        <f>MIN(IF(VLOOKUP($Q82,武学奇术!$A:$ZZ,23,FALSE)=1,100%,$B$8),100%)</f>
        <v>1</v>
      </c>
      <c r="BO82" s="24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0.9093</v>
      </c>
      <c r="BP82" s="24" cm="1">
        <f t="array" ref="BP82">1+$B$13+VLOOKUP($Q82,武学奇术!$A:$ZZ,18,FALSE)+SUM(_xlfn.XLOOKUP($R82:$AK82,增益!$A:$A,增益!$R:$R,0))</f>
        <v>1.6</v>
      </c>
      <c r="BQ82" s="24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4" cm="1">
        <f t="array" ref="BR82">1+$B$14+VLOOKUP($Q82,武学奇术!$A:$ZZ,20,FALSE)+SUM(_xlfn.XLOOKUP($R82:$AK82,增益!$A:$A,增益!$T:$T,0))</f>
        <v>1.35</v>
      </c>
      <c r="BS82" s="24">
        <f t="shared" si="20"/>
        <v>0.9071</v>
      </c>
      <c r="BT82" s="24">
        <f t="shared" si="21"/>
        <v>0</v>
      </c>
      <c r="BU82" s="24">
        <f>IF(VLOOKUP($Q82,武学奇术!$A:$ZZ,22,FALSE)=1,0,(1-$BN82))*(1-$BQ82)</f>
        <v>0</v>
      </c>
      <c r="BV82" s="24" cm="1">
        <f t="array" ref="BV82">SUM(_xlfn.XLOOKUP($R82:$AK82,增益!$A:$A,增益!$W:$W,0))+$I$5</f>
        <v>0.06</v>
      </c>
    </row>
    <row r="83" spans="1:74">
      <c r="A83" t="s">
        <v>203</v>
      </c>
      <c r="B83">
        <v>1.7</v>
      </c>
      <c r="K83" s="38">
        <f t="shared" si="11"/>
        <v>12464.0107665658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弹道",$B$21,0))*(1+$BV83)</f>
        <v>12540.6254693159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弹道",$B$21,0))*(1+$BV83)</f>
        <v>11715.9246862154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弹道",$B$21,0))*(1+$BV83)</f>
        <v>7837.89091832242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弹道",$B$21,0))*(1+$BV83)</f>
        <v>6997.31910611491</v>
      </c>
      <c r="P83" s="39">
        <v>1</v>
      </c>
      <c r="Q83" s="40" t="s">
        <v>111</v>
      </c>
      <c r="R83" s="40" t="s">
        <v>97</v>
      </c>
      <c r="S83" s="40" t="s">
        <v>176</v>
      </c>
      <c r="T83" s="40" t="s">
        <v>78</v>
      </c>
      <c r="U83" s="40" t="s">
        <v>90</v>
      </c>
      <c r="V83" s="40" t="s">
        <v>78</v>
      </c>
      <c r="W83" s="40" t="s">
        <v>78</v>
      </c>
      <c r="X83" s="40" t="s">
        <v>78</v>
      </c>
      <c r="Y83" s="40" t="s">
        <v>78</v>
      </c>
      <c r="Z83" s="40" t="s">
        <v>78</v>
      </c>
      <c r="AA83" s="40" t="s">
        <v>78</v>
      </c>
      <c r="AB83" s="40" t="s">
        <v>78</v>
      </c>
      <c r="AC83" s="40" t="s">
        <v>78</v>
      </c>
      <c r="AD83" s="40" t="s">
        <v>78</v>
      </c>
      <c r="AE83" s="40" t="s">
        <v>78</v>
      </c>
      <c r="AF83" s="40" t="s">
        <v>78</v>
      </c>
      <c r="AG83" s="40" t="s">
        <v>78</v>
      </c>
      <c r="AH83" s="40" t="s">
        <v>78</v>
      </c>
      <c r="AI83" s="40" t="s">
        <v>78</v>
      </c>
      <c r="AJ83" s="40" t="s">
        <v>78</v>
      </c>
      <c r="AK83" s="40" t="s">
        <v>78</v>
      </c>
      <c r="AL83" t="str">
        <f>VLOOKUP($Q83,武学奇术!$A:$ZZ,25,FALSE)</f>
        <v>伞</v>
      </c>
      <c r="AM83" s="24">
        <f>VLOOKUP($Q83,武学奇术!$A:$ZZ,26,FALSE)</f>
        <v>0.54</v>
      </c>
      <c r="AN83" s="25">
        <f>VLOOKUP($Q83,武学奇术!$A:$ZZ,27,FALSE)*(1+IF(OR($AL83=$F$4,$AL83=$F$5),$B$22,0))</f>
        <v>222</v>
      </c>
      <c r="AO83" s="24">
        <f>VLOOKUP($Q83,武学奇术!$A:$ZZ,28,FALSE)</f>
        <v>0.81</v>
      </c>
      <c r="AP83" s="25">
        <f>VLOOKUP($Q83,武学奇术!$A:$ZZ,29,FALSE)*(1+IF(OR($AL83=$F$4,$AL83=$F$5),$B$22,0))</f>
        <v>122.25</v>
      </c>
      <c r="AQ83" s="24" cm="1">
        <f t="array" ref="AQ83">$G$3+IFERROR(VLOOKUP($AL83,$F$4:$G$7,2,FALSE),0)+VLOOKUP($Q83,武学奇术!$A:$ZZ,2,FALSE)+SUM(_xlfn.XLOOKUP($R83:$AK83,增益!$A:$A,增益!$B:$B,0))</f>
        <v>0.3241</v>
      </c>
      <c r="AR83" s="24" cm="1">
        <f t="array" ref="AR83">VLOOKUP($Q83,武学奇术!$A:$ZZ,5,FALSE)+SUM(_xlfn.XLOOKUP($R83:$AK83,增益!$A:$A,增益!$E:$E,0))</f>
        <v>0.075</v>
      </c>
      <c r="AS83" cm="1">
        <f t="array" ref="AS83">$D$10*(1+$AR83)+VLOOKUP($Q83,武学奇术!$A:$ZZ,3,FALSE)+SUM(_xlfn.XLOOKUP($R83:$AK83,增益!$A:$A,增益!$C:$C,0))-$I$2</f>
        <v>4063.1171</v>
      </c>
      <c r="AT83" cm="1">
        <f t="array" ref="AT83">$E$10*(1+$AR83)+VLOOKUP($Q83,武学奇术!$A:$ZZ,4,FALSE)+SUM(_xlfn.XLOOKUP($R83:$AK83,增益!$A:$A,增益!$D:$D,0))-$I$2</f>
        <v>4063.1171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0.2425</v>
      </c>
      <c r="AV83" s="32" cm="1">
        <f t="array" ref="AV83">$G$10+VLOOKUP($Q83,武学奇术!$A:$ZZ,7,FALSE)+SUM(_xlfn.XLOOKUP($R83:$AK83,增益!$A:$A,增益!$G:$G,0))</f>
        <v>0</v>
      </c>
      <c r="AW83" s="24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2" cm="1">
        <f t="array" ref="BA83">$G$11+VLOOKUP($Q83,武学奇术!$A:$ZZ,10,FALSE)+SUM(_xlfn.XLOOKUP($R83:$AK83,增益!$A:$A,增益!$J:$J,0))</f>
        <v>0</v>
      </c>
      <c r="BB83">
        <f t="shared" si="14"/>
        <v>0</v>
      </c>
      <c r="BC83">
        <f t="shared" si="15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2" cm="1">
        <f t="array" ref="BE83">$G$12+VLOOKUP($Q83,武学奇术!$A:$ZZ,12,FALSE)+SUM(_xlfn.XLOOKUP($R83:$AK83,增益!$A:$A,增益!$L:$L,0))</f>
        <v>0</v>
      </c>
      <c r="BF83">
        <f t="shared" si="16"/>
        <v>605.472</v>
      </c>
      <c r="BG83">
        <f t="shared" si="17"/>
        <v>1579.612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2" cm="1">
        <f t="array" ref="BI83">$G$13+VLOOKUP($Q83,武学奇术!$A:$ZZ,14,FALSE)+SUM(_xlfn.XLOOKUP($R83:$AK83,增益!$A:$A,增益!$N:$N,0))</f>
        <v>0.15</v>
      </c>
      <c r="BJ83">
        <f t="shared" si="18"/>
        <v>0</v>
      </c>
      <c r="BK83">
        <f t="shared" si="19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2" cm="1">
        <f t="array" ref="BM83">$G$14+VLOOKUP($Q83,武学奇术!$A:$ZZ,16,FALSE)+SUM(_xlfn.XLOOKUP($R83:$AK83,增益!$A:$A,增益!$P:$P,0))</f>
        <v>0</v>
      </c>
      <c r="BN83" s="24">
        <f>MIN(IF(VLOOKUP($Q83,武学奇术!$A:$ZZ,23,FALSE)=1,100%,$B$8),100%)</f>
        <v>1</v>
      </c>
      <c r="BO83" s="24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0.9093</v>
      </c>
      <c r="BP83" s="24" cm="1">
        <f t="array" ref="BP83">1+$B$13+VLOOKUP($Q83,武学奇术!$A:$ZZ,18,FALSE)+SUM(_xlfn.XLOOKUP($R83:$AK83,增益!$A:$A,增益!$R:$R,0))</f>
        <v>1.6</v>
      </c>
      <c r="BQ83" s="24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4" cm="1">
        <f t="array" ref="BR83">1+$B$14+VLOOKUP($Q83,武学奇术!$A:$ZZ,20,FALSE)+SUM(_xlfn.XLOOKUP($R83:$AK83,增益!$A:$A,增益!$T:$T,0))</f>
        <v>1.35</v>
      </c>
      <c r="BS83" s="24">
        <f t="shared" si="20"/>
        <v>0.9071</v>
      </c>
      <c r="BT83" s="24">
        <f t="shared" si="21"/>
        <v>0</v>
      </c>
      <c r="BU83" s="24">
        <f>IF(VLOOKUP($Q83,武学奇术!$A:$ZZ,22,FALSE)=1,0,(1-$BN83))*(1-$BQ83)</f>
        <v>0</v>
      </c>
      <c r="BV83" s="24" cm="1">
        <f t="array" ref="BV83">SUM(_xlfn.XLOOKUP($R83:$AK83,增益!$A:$A,增益!$W:$W,0))+$I$5</f>
        <v>0.06</v>
      </c>
    </row>
    <row r="84" spans="1:74">
      <c r="A84" s="4" t="s">
        <v>165</v>
      </c>
      <c r="B84" s="4">
        <v>1</v>
      </c>
      <c r="K84" s="38">
        <f t="shared" si="11"/>
        <v>354991.747085078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弹道",$B$21,0))*(1+$BV84)</f>
        <v>366177.673841748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弹道",$B$21,0))*(1+$BV84)</f>
        <v>245769.420271561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弹道",$B$21,0))*(1+$BV84)</f>
        <v>165691.255132013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弹道",$B$21,0))*(1+$BV84)</f>
        <v>149331.087840647</v>
      </c>
      <c r="P84" s="39">
        <v>6</v>
      </c>
      <c r="Q84" s="40" t="s">
        <v>113</v>
      </c>
      <c r="R84" s="40" t="s">
        <v>97</v>
      </c>
      <c r="S84" s="40" t="s">
        <v>176</v>
      </c>
      <c r="T84" s="40" t="s">
        <v>106</v>
      </c>
      <c r="U84" s="40" t="s">
        <v>90</v>
      </c>
      <c r="V84" s="40" t="s">
        <v>102</v>
      </c>
      <c r="W84" s="40" t="s">
        <v>78</v>
      </c>
      <c r="X84" s="40" t="s">
        <v>78</v>
      </c>
      <c r="Y84" s="40" t="s">
        <v>151</v>
      </c>
      <c r="Z84" s="40" t="s">
        <v>78</v>
      </c>
      <c r="AA84" s="40" t="s">
        <v>78</v>
      </c>
      <c r="AB84" s="40" t="s">
        <v>78</v>
      </c>
      <c r="AC84" s="40" t="s">
        <v>78</v>
      </c>
      <c r="AD84" s="40" t="s">
        <v>78</v>
      </c>
      <c r="AE84" s="40" t="s">
        <v>78</v>
      </c>
      <c r="AF84" s="40" t="s">
        <v>78</v>
      </c>
      <c r="AG84" s="40" t="s">
        <v>78</v>
      </c>
      <c r="AH84" s="40" t="s">
        <v>78</v>
      </c>
      <c r="AI84" s="40" t="s">
        <v>78</v>
      </c>
      <c r="AJ84" s="40" t="s">
        <v>78</v>
      </c>
      <c r="AK84" s="40" t="s">
        <v>78</v>
      </c>
      <c r="AL84" t="str">
        <f>VLOOKUP($Q84,武学奇术!$A:$ZZ,25,FALSE)</f>
        <v>伞</v>
      </c>
      <c r="AM84" s="24">
        <f>VLOOKUP($Q84,武学奇术!$A:$ZZ,26,FALSE)</f>
        <v>1.174955</v>
      </c>
      <c r="AN84" s="25">
        <f>VLOOKUP($Q84,武学奇术!$A:$ZZ,27,FALSE)*(1+IF(OR($AL84=$F$4,$AL84=$F$5),$B$22,0))</f>
        <v>486.45</v>
      </c>
      <c r="AO84" s="24">
        <f>VLOOKUP($Q84,武学奇术!$A:$ZZ,28,FALSE)</f>
        <v>1.762375</v>
      </c>
      <c r="AP84" s="25">
        <f>VLOOKUP($Q84,武学奇术!$A:$ZZ,29,FALSE)*(1+IF(OR($AL84=$F$4,$AL84=$F$5),$B$22,0))</f>
        <v>265.65</v>
      </c>
      <c r="AQ84" s="24" cm="1">
        <f t="array" ref="AQ84">$G$3+IFERROR(VLOOKUP($AL84,$F$4:$G$7,2,FALSE),0)+VLOOKUP($Q84,武学奇术!$A:$ZZ,2,FALSE)+SUM(_xlfn.XLOOKUP($R84:$AK84,增益!$A:$A,增益!$B:$B,0))</f>
        <v>0.9741</v>
      </c>
      <c r="AR84" s="24" cm="1">
        <f t="array" ref="AR84">VLOOKUP($Q84,武学奇术!$A:$ZZ,5,FALSE)+SUM(_xlfn.XLOOKUP($R84:$AK84,增益!$A:$A,增益!$E:$E,0))</f>
        <v>0.075</v>
      </c>
      <c r="AS84" cm="1">
        <f t="array" ref="AS84">$D$10*(1+$AR84)+VLOOKUP($Q84,武学奇术!$A:$ZZ,3,FALSE)+SUM(_xlfn.XLOOKUP($R84:$AK84,增益!$A:$A,增益!$C:$C,0))-$I$2</f>
        <v>4063.1171</v>
      </c>
      <c r="AT84" cm="1">
        <f t="array" ref="AT84">$E$10*(1+$AR84)+VLOOKUP($Q84,武学奇术!$A:$ZZ,4,FALSE)+SUM(_xlfn.XLOOKUP($R84:$AK84,增益!$A:$A,增益!$D:$D,0))-$I$2</f>
        <v>4063.1171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0.3925</v>
      </c>
      <c r="AV84" s="32" cm="1">
        <f t="array" ref="AV84">$G$10+VLOOKUP($Q84,武学奇术!$A:$ZZ,7,FALSE)+SUM(_xlfn.XLOOKUP($R84:$AK84,增益!$A:$A,增益!$G:$G,0))</f>
        <v>0</v>
      </c>
      <c r="AW84" s="24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2" cm="1">
        <f t="array" ref="BA84">$G$11+VLOOKUP($Q84,武学奇术!$A:$ZZ,10,FALSE)+SUM(_xlfn.XLOOKUP($R84:$AK84,增益!$A:$A,增益!$J:$J,0))</f>
        <v>0</v>
      </c>
      <c r="BB84">
        <f t="shared" si="14"/>
        <v>0</v>
      </c>
      <c r="BC84">
        <f t="shared" si="15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2" cm="1">
        <f t="array" ref="BE84">$G$12+VLOOKUP($Q84,武学奇术!$A:$ZZ,12,FALSE)+SUM(_xlfn.XLOOKUP($R84:$AK84,增益!$A:$A,增益!$L:$L,0))</f>
        <v>0</v>
      </c>
      <c r="BF84">
        <f t="shared" si="16"/>
        <v>605.472</v>
      </c>
      <c r="BG84">
        <f t="shared" si="17"/>
        <v>1579.612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2" cm="1">
        <f t="array" ref="BI84">$G$13+VLOOKUP($Q84,武学奇术!$A:$ZZ,14,FALSE)+SUM(_xlfn.XLOOKUP($R84:$AK84,增益!$A:$A,增益!$N:$N,0))</f>
        <v>0.15</v>
      </c>
      <c r="BJ84">
        <f t="shared" si="18"/>
        <v>0</v>
      </c>
      <c r="BK84">
        <f t="shared" si="19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2" cm="1">
        <f t="array" ref="BM84">$G$14+VLOOKUP($Q84,武学奇术!$A:$ZZ,16,FALSE)+SUM(_xlfn.XLOOKUP($R84:$AK84,增益!$A:$A,增益!$P:$P,0))</f>
        <v>0</v>
      </c>
      <c r="BN84" s="24">
        <f>MIN(IF(VLOOKUP($Q84,武学奇术!$A:$ZZ,23,FALSE)=1,100%,$B$8),100%)</f>
        <v>1</v>
      </c>
      <c r="BO84" s="24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0.9093</v>
      </c>
      <c r="BP84" s="24" cm="1">
        <f t="array" ref="BP84">1+$B$13+VLOOKUP($Q84,武学奇术!$A:$ZZ,18,FALSE)+SUM(_xlfn.XLOOKUP($R84:$AK84,增益!$A:$A,增益!$R:$R,0))</f>
        <v>2.21</v>
      </c>
      <c r="BQ84" s="24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4" cm="1">
        <f t="array" ref="BR84">1+$B$14+VLOOKUP($Q84,武学奇术!$A:$ZZ,20,FALSE)+SUM(_xlfn.XLOOKUP($R84:$AK84,增益!$A:$A,增益!$T:$T,0))</f>
        <v>1.35</v>
      </c>
      <c r="BS84" s="24">
        <f t="shared" si="20"/>
        <v>0.9071</v>
      </c>
      <c r="BT84" s="24">
        <f t="shared" si="21"/>
        <v>0</v>
      </c>
      <c r="BU84" s="24">
        <f>IF(VLOOKUP($Q84,武学奇术!$A:$ZZ,22,FALSE)=1,0,(1-$BN84))*(1-$BQ84)</f>
        <v>0</v>
      </c>
      <c r="BV84" s="24" cm="1">
        <f t="array" ref="BV84">SUM(_xlfn.XLOOKUP($R84:$AK84,增益!$A:$A,增益!$W:$W,0))+$I$5</f>
        <v>0.06</v>
      </c>
    </row>
    <row r="85" spans="1:74">
      <c r="A85" s="4" t="s">
        <v>101</v>
      </c>
      <c r="B85" s="4">
        <v>1.25</v>
      </c>
      <c r="K85" s="38">
        <f t="shared" si="11"/>
        <v>197783.563689135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弹道",$B$21,0))*(1+$BV85)</f>
        <v>202263.690655872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弹道",$B$21,0))*(1+$BV85)</f>
        <v>154038.427289488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弹道",$B$21,0))*(1+$BV85)</f>
        <v>103195.76053871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弹道",$B$21,0))*(1+$BV85)</f>
        <v>92288.9823444662</v>
      </c>
      <c r="P85" s="39">
        <v>4</v>
      </c>
      <c r="Q85" s="40" t="s">
        <v>113</v>
      </c>
      <c r="R85" s="40" t="s">
        <v>97</v>
      </c>
      <c r="S85" s="40" t="s">
        <v>176</v>
      </c>
      <c r="T85" s="40" t="s">
        <v>106</v>
      </c>
      <c r="U85" s="40" t="s">
        <v>90</v>
      </c>
      <c r="V85" s="40" t="s">
        <v>102</v>
      </c>
      <c r="W85" s="40" t="s">
        <v>78</v>
      </c>
      <c r="X85" s="40" t="s">
        <v>78</v>
      </c>
      <c r="Y85" s="40" t="s">
        <v>78</v>
      </c>
      <c r="Z85" s="40" t="s">
        <v>78</v>
      </c>
      <c r="AA85" s="40" t="s">
        <v>78</v>
      </c>
      <c r="AB85" s="40" t="s">
        <v>78</v>
      </c>
      <c r="AC85" s="40" t="s">
        <v>78</v>
      </c>
      <c r="AD85" s="40" t="s">
        <v>78</v>
      </c>
      <c r="AE85" s="40" t="s">
        <v>78</v>
      </c>
      <c r="AF85" s="40" t="s">
        <v>78</v>
      </c>
      <c r="AG85" s="40" t="s">
        <v>78</v>
      </c>
      <c r="AH85" s="40" t="s">
        <v>78</v>
      </c>
      <c r="AI85" s="40" t="s">
        <v>78</v>
      </c>
      <c r="AJ85" s="40" t="s">
        <v>78</v>
      </c>
      <c r="AK85" s="40" t="s">
        <v>78</v>
      </c>
      <c r="AL85" t="str">
        <f>VLOOKUP($Q85,武学奇术!$A:$ZZ,25,FALSE)</f>
        <v>伞</v>
      </c>
      <c r="AM85" s="24">
        <f>VLOOKUP($Q85,武学奇术!$A:$ZZ,26,FALSE)</f>
        <v>1.174955</v>
      </c>
      <c r="AN85" s="25">
        <f>VLOOKUP($Q85,武学奇术!$A:$ZZ,27,FALSE)*(1+IF(OR($AL85=$F$4,$AL85=$F$5),$B$22,0))</f>
        <v>486.45</v>
      </c>
      <c r="AO85" s="24">
        <f>VLOOKUP($Q85,武学奇术!$A:$ZZ,28,FALSE)</f>
        <v>1.762375</v>
      </c>
      <c r="AP85" s="25">
        <f>VLOOKUP($Q85,武学奇术!$A:$ZZ,29,FALSE)*(1+IF(OR($AL85=$F$4,$AL85=$F$5),$B$22,0))</f>
        <v>265.65</v>
      </c>
      <c r="AQ85" s="24" cm="1">
        <f t="array" ref="AQ85">$G$3+IFERROR(VLOOKUP($AL85,$F$4:$G$7,2,FALSE),0)+VLOOKUP($Q85,武学奇术!$A:$ZZ,2,FALSE)+SUM(_xlfn.XLOOKUP($R85:$AK85,增益!$A:$A,增益!$B:$B,0))</f>
        <v>0.9741</v>
      </c>
      <c r="AR85" s="24" cm="1">
        <f t="array" ref="AR85">VLOOKUP($Q85,武学奇术!$A:$ZZ,5,FALSE)+SUM(_xlfn.XLOOKUP($R85:$AK85,增益!$A:$A,增益!$E:$E,0))</f>
        <v>0.075</v>
      </c>
      <c r="AS85" cm="1">
        <f t="array" ref="AS85">$D$10*(1+$AR85)+VLOOKUP($Q85,武学奇术!$A:$ZZ,3,FALSE)+SUM(_xlfn.XLOOKUP($R85:$AK85,增益!$A:$A,增益!$C:$C,0))-$I$2</f>
        <v>4063.1171</v>
      </c>
      <c r="AT85" cm="1">
        <f t="array" ref="AT85">$E$10*(1+$AR85)+VLOOKUP($Q85,武学奇术!$A:$ZZ,4,FALSE)+SUM(_xlfn.XLOOKUP($R85:$AK85,增益!$A:$A,增益!$D:$D,0))-$I$2</f>
        <v>4063.1171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0.2675</v>
      </c>
      <c r="AV85" s="32" cm="1">
        <f t="array" ref="AV85">$G$10+VLOOKUP($Q85,武学奇术!$A:$ZZ,7,FALSE)+SUM(_xlfn.XLOOKUP($R85:$AK85,增益!$A:$A,增益!$G:$G,0))</f>
        <v>0</v>
      </c>
      <c r="AW85" s="24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2" cm="1">
        <f t="array" ref="BA85">$G$11+VLOOKUP($Q85,武学奇术!$A:$ZZ,10,FALSE)+SUM(_xlfn.XLOOKUP($R85:$AK85,增益!$A:$A,增益!$J:$J,0))</f>
        <v>0</v>
      </c>
      <c r="BB85">
        <f t="shared" si="14"/>
        <v>0</v>
      </c>
      <c r="BC85">
        <f t="shared" si="15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2" cm="1">
        <f t="array" ref="BE85">$G$12+VLOOKUP($Q85,武学奇术!$A:$ZZ,12,FALSE)+SUM(_xlfn.XLOOKUP($R85:$AK85,增益!$A:$A,增益!$L:$L,0))</f>
        <v>0</v>
      </c>
      <c r="BF85">
        <f t="shared" si="16"/>
        <v>605.472</v>
      </c>
      <c r="BG85">
        <f t="shared" si="17"/>
        <v>1579.612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2" cm="1">
        <f t="array" ref="BI85">$G$13+VLOOKUP($Q85,武学奇术!$A:$ZZ,14,FALSE)+SUM(_xlfn.XLOOKUP($R85:$AK85,增益!$A:$A,增益!$N:$N,0))</f>
        <v>0.15</v>
      </c>
      <c r="BJ85">
        <f t="shared" si="18"/>
        <v>0</v>
      </c>
      <c r="BK85">
        <f t="shared" si="19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2" cm="1">
        <f t="array" ref="BM85">$G$14+VLOOKUP($Q85,武学奇术!$A:$ZZ,16,FALSE)+SUM(_xlfn.XLOOKUP($R85:$AK85,增益!$A:$A,增益!$P:$P,0))</f>
        <v>0</v>
      </c>
      <c r="BN85" s="24">
        <f>MIN(IF(VLOOKUP($Q85,武学奇术!$A:$ZZ,23,FALSE)=1,100%,$B$8),100%)</f>
        <v>1</v>
      </c>
      <c r="BO85" s="24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0.9093</v>
      </c>
      <c r="BP85" s="24" cm="1">
        <f t="array" ref="BP85">1+$B$13+VLOOKUP($Q85,武学奇术!$A:$ZZ,18,FALSE)+SUM(_xlfn.XLOOKUP($R85:$AK85,增益!$A:$A,增益!$R:$R,0))</f>
        <v>1.96</v>
      </c>
      <c r="BQ85" s="24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4" cm="1">
        <f t="array" ref="BR85">1+$B$14+VLOOKUP($Q85,武学奇术!$A:$ZZ,20,FALSE)+SUM(_xlfn.XLOOKUP($R85:$AK85,增益!$A:$A,增益!$T:$T,0))</f>
        <v>1.35</v>
      </c>
      <c r="BS85" s="24">
        <f t="shared" si="20"/>
        <v>0.9071</v>
      </c>
      <c r="BT85" s="24">
        <f t="shared" si="21"/>
        <v>0</v>
      </c>
      <c r="BU85" s="24">
        <f>IF(VLOOKUP($Q85,武学奇术!$A:$ZZ,22,FALSE)=1,0,(1-$BN85))*(1-$BQ85)</f>
        <v>0</v>
      </c>
      <c r="BV85" s="24" cm="1">
        <f t="array" ref="BV85">SUM(_xlfn.XLOOKUP($R85:$AK85,增益!$A:$A,增益!$W:$W,0))+$I$5</f>
        <v>0.06</v>
      </c>
    </row>
    <row r="86" spans="1:74">
      <c r="A86" s="4" t="s">
        <v>204</v>
      </c>
      <c r="B86" s="88">
        <v>5.75</v>
      </c>
      <c r="K86" s="38">
        <f t="shared" si="11"/>
        <v>86382.2153336713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弹道",$B$21,0))*(1+$BV86)</f>
        <v>87939.9411381693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弹道",$B$21,0))*(1+$BV86)</f>
        <v>71172.1714449718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弹道",$B$21,0))*(1+$BV86)</f>
        <v>47535.1033179294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弹道",$B$21,0))*(1+$BV86)</f>
        <v>42350.0796395833</v>
      </c>
      <c r="P86" s="39">
        <v>4</v>
      </c>
      <c r="Q86" s="40" t="s">
        <v>153</v>
      </c>
      <c r="R86" s="40" t="s">
        <v>97</v>
      </c>
      <c r="S86" s="40" t="s">
        <v>176</v>
      </c>
      <c r="T86" s="40" t="s">
        <v>78</v>
      </c>
      <c r="U86" s="40" t="s">
        <v>90</v>
      </c>
      <c r="V86" s="40" t="s">
        <v>78</v>
      </c>
      <c r="W86" s="40" t="s">
        <v>78</v>
      </c>
      <c r="X86" s="40" t="s">
        <v>78</v>
      </c>
      <c r="Y86" s="40" t="s">
        <v>151</v>
      </c>
      <c r="Z86" s="40" t="s">
        <v>78</v>
      </c>
      <c r="AA86" s="40" t="s">
        <v>78</v>
      </c>
      <c r="AB86" s="40" t="s">
        <v>78</v>
      </c>
      <c r="AC86" s="40" t="s">
        <v>78</v>
      </c>
      <c r="AD86" s="40" t="s">
        <v>78</v>
      </c>
      <c r="AE86" s="40" t="s">
        <v>78</v>
      </c>
      <c r="AF86" s="40" t="s">
        <v>78</v>
      </c>
      <c r="AG86" s="40" t="s">
        <v>78</v>
      </c>
      <c r="AH86" s="40" t="s">
        <v>78</v>
      </c>
      <c r="AI86" s="40" t="s">
        <v>78</v>
      </c>
      <c r="AJ86" s="40" t="s">
        <v>78</v>
      </c>
      <c r="AK86" s="40" t="s">
        <v>78</v>
      </c>
      <c r="AL86" t="str">
        <f>VLOOKUP($Q86,武学奇术!$A:$ZZ,25,FALSE)</f>
        <v>单体奇术</v>
      </c>
      <c r="AM86" s="24">
        <f>VLOOKUP($Q86,武学奇术!$A:$ZZ,26,FALSE)</f>
        <v>1.0239</v>
      </c>
      <c r="AN86" s="25">
        <f>VLOOKUP($Q86,武学奇术!$A:$ZZ,27,FALSE)*(1+IF(OR($AL86=$F$4,$AL86=$F$5),$B$22,0))</f>
        <v>196</v>
      </c>
      <c r="AO86" s="24">
        <f>VLOOKUP($Q86,武学奇术!$A:$ZZ,28,FALSE)</f>
        <v>1.53585</v>
      </c>
      <c r="AP86" s="25">
        <f>VLOOKUP($Q86,武学奇术!$A:$ZZ,29,FALSE)*(1+IF(OR($AL86=$F$4,$AL86=$F$5),$B$22,0))</f>
        <v>0</v>
      </c>
      <c r="AQ86" s="24" cm="1">
        <f t="array" ref="AQ86">$G$3+IFERROR(VLOOKUP($AL86,$F$4:$G$7,2,FALSE),0)+VLOOKUP($Q86,武学奇术!$A:$ZZ,2,FALSE)+SUM(_xlfn.XLOOKUP($R86:$AK86,增益!$A:$A,增益!$B:$B,0))</f>
        <v>0.4215</v>
      </c>
      <c r="AR86" s="24" cm="1">
        <f t="array" ref="AR86">VLOOKUP($Q86,武学奇术!$A:$ZZ,5,FALSE)+SUM(_xlfn.XLOOKUP($R86:$AK86,增益!$A:$A,增益!$E:$E,0))</f>
        <v>0.075</v>
      </c>
      <c r="AS86" cm="1">
        <f t="array" ref="AS86">$D$10*(1+$AR86)+VLOOKUP($Q86,武学奇术!$A:$ZZ,3,FALSE)+SUM(_xlfn.XLOOKUP($R86:$AK86,增益!$A:$A,增益!$C:$C,0))-$I$2</f>
        <v>4063.1171</v>
      </c>
      <c r="AT86" cm="1">
        <f t="array" ref="AT86">$E$10*(1+$AR86)+VLOOKUP($Q86,武学奇术!$A:$ZZ,4,FALSE)+SUM(_xlfn.XLOOKUP($R86:$AK86,增益!$A:$A,增益!$D:$D,0))-$I$2</f>
        <v>4063.1171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0.3675</v>
      </c>
      <c r="AV86" s="32" cm="1">
        <f t="array" ref="AV86">$G$10+VLOOKUP($Q86,武学奇术!$A:$ZZ,7,FALSE)+SUM(_xlfn.XLOOKUP($R86:$AK86,增益!$A:$A,增益!$G:$G,0))</f>
        <v>0</v>
      </c>
      <c r="AW86" s="24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2" cm="1">
        <f t="array" ref="BA86">$G$11+VLOOKUP($Q86,武学奇术!$A:$ZZ,10,FALSE)+SUM(_xlfn.XLOOKUP($R86:$AK86,增益!$A:$A,增益!$J:$J,0))</f>
        <v>0</v>
      </c>
      <c r="BB86">
        <f t="shared" si="14"/>
        <v>0</v>
      </c>
      <c r="BC86">
        <f t="shared" si="15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2" cm="1">
        <f t="array" ref="BE86">$G$12+VLOOKUP($Q86,武学奇术!$A:$ZZ,12,FALSE)+SUM(_xlfn.XLOOKUP($R86:$AK86,增益!$A:$A,增益!$L:$L,0))</f>
        <v>0</v>
      </c>
      <c r="BF86">
        <f t="shared" si="16"/>
        <v>605.472</v>
      </c>
      <c r="BG86">
        <f t="shared" si="17"/>
        <v>1579.612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2" cm="1">
        <f t="array" ref="BI86">$G$13+VLOOKUP($Q86,武学奇术!$A:$ZZ,14,FALSE)+SUM(_xlfn.XLOOKUP($R86:$AK86,增益!$A:$A,增益!$N:$N,0))</f>
        <v>0.15</v>
      </c>
      <c r="BJ86">
        <f t="shared" si="18"/>
        <v>0</v>
      </c>
      <c r="BK86">
        <f t="shared" si="19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2" cm="1">
        <f t="array" ref="BM86">$G$14+VLOOKUP($Q86,武学奇术!$A:$ZZ,16,FALSE)+SUM(_xlfn.XLOOKUP($R86:$AK86,增益!$A:$A,增益!$P:$P,0))</f>
        <v>0</v>
      </c>
      <c r="BN86" s="24">
        <f>MIN(IF(VLOOKUP($Q86,武学奇术!$A:$ZZ,23,FALSE)=1,100%,$B$8),100%)</f>
        <v>1</v>
      </c>
      <c r="BO86" s="24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0.9093</v>
      </c>
      <c r="BP86" s="24" cm="1">
        <f t="array" ref="BP86">1+$B$13+VLOOKUP($Q86,武学奇术!$A:$ZZ,18,FALSE)+SUM(_xlfn.XLOOKUP($R86:$AK86,增益!$A:$A,增益!$R:$R,0))</f>
        <v>1.85</v>
      </c>
      <c r="BQ86" s="24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4" cm="1">
        <f t="array" ref="BR86">1+$B$14+VLOOKUP($Q86,武学奇术!$A:$ZZ,20,FALSE)+SUM(_xlfn.XLOOKUP($R86:$AK86,增益!$A:$A,增益!$T:$T,0))</f>
        <v>1.35</v>
      </c>
      <c r="BS86" s="24">
        <f t="shared" si="20"/>
        <v>0.9071</v>
      </c>
      <c r="BT86" s="24">
        <f t="shared" si="21"/>
        <v>0</v>
      </c>
      <c r="BU86" s="24">
        <f>IF(VLOOKUP($Q86,武学奇术!$A:$ZZ,22,FALSE)=1,0,(1-$BN86))*(1-$BQ86)</f>
        <v>0</v>
      </c>
      <c r="BV86" s="24" cm="1">
        <f t="array" ref="BV86">SUM(_xlfn.XLOOKUP($R86:$AK86,增益!$A:$A,增益!$W:$W,0))+$I$5</f>
        <v>0.06</v>
      </c>
    </row>
    <row r="87" spans="1:74">
      <c r="A87" s="4"/>
      <c r="B87" s="88"/>
      <c r="K87" s="38">
        <f t="shared" si="11"/>
        <v>135744.645814589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弹道",$B$21,0))*(1+$BV87)</f>
        <v>138192.521337067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弹道",$B$21,0))*(1+$BV87)</f>
        <v>111842.94628349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弹道",$B$21,0))*(1+$BV87)</f>
        <v>74698.6601821981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弹道",$B$21,0))*(1+$BV87)</f>
        <v>66550.693487737</v>
      </c>
      <c r="P87" s="39">
        <v>4</v>
      </c>
      <c r="Q87" s="40" t="s">
        <v>155</v>
      </c>
      <c r="R87" s="40" t="s">
        <v>97</v>
      </c>
      <c r="S87" s="40" t="s">
        <v>176</v>
      </c>
      <c r="T87" s="40" t="s">
        <v>78</v>
      </c>
      <c r="U87" s="40" t="s">
        <v>90</v>
      </c>
      <c r="V87" s="40" t="s">
        <v>78</v>
      </c>
      <c r="W87" s="40" t="s">
        <v>78</v>
      </c>
      <c r="X87" s="40" t="s">
        <v>78</v>
      </c>
      <c r="Y87" s="40" t="s">
        <v>151</v>
      </c>
      <c r="Z87" s="40" t="s">
        <v>78</v>
      </c>
      <c r="AA87" s="40" t="s">
        <v>78</v>
      </c>
      <c r="AB87" s="40" t="s">
        <v>78</v>
      </c>
      <c r="AC87" s="40" t="s">
        <v>78</v>
      </c>
      <c r="AD87" s="40" t="s">
        <v>78</v>
      </c>
      <c r="AE87" s="40" t="s">
        <v>78</v>
      </c>
      <c r="AF87" s="40" t="s">
        <v>78</v>
      </c>
      <c r="AG87" s="40" t="s">
        <v>78</v>
      </c>
      <c r="AH87" s="40" t="s">
        <v>78</v>
      </c>
      <c r="AI87" s="40" t="s">
        <v>78</v>
      </c>
      <c r="AJ87" s="40" t="s">
        <v>78</v>
      </c>
      <c r="AK87" s="40" t="s">
        <v>78</v>
      </c>
      <c r="AL87" t="str">
        <f>VLOOKUP($Q87,武学奇术!$A:$ZZ,25,FALSE)</f>
        <v>单体奇术</v>
      </c>
      <c r="AM87" s="24">
        <f>VLOOKUP($Q87,武学奇术!$A:$ZZ,26,FALSE)</f>
        <v>1.609</v>
      </c>
      <c r="AN87" s="25">
        <f>VLOOKUP($Q87,武学奇术!$A:$ZZ,27,FALSE)*(1+IF(OR($AL87=$F$4,$AL87=$F$5),$B$22,0))</f>
        <v>308</v>
      </c>
      <c r="AO87" s="24">
        <f>VLOOKUP($Q87,武学奇术!$A:$ZZ,28,FALSE)</f>
        <v>2.4135</v>
      </c>
      <c r="AP87" s="25">
        <f>VLOOKUP($Q87,武学奇术!$A:$ZZ,29,FALSE)*(1+IF(OR($AL87=$F$4,$AL87=$F$5),$B$22,0))</f>
        <v>0</v>
      </c>
      <c r="AQ87" s="24" cm="1">
        <f t="array" ref="AQ87">$G$3+IFERROR(VLOOKUP($AL87,$F$4:$G$7,2,FALSE),0)+VLOOKUP($Q87,武学奇术!$A:$ZZ,2,FALSE)+SUM(_xlfn.XLOOKUP($R87:$AK87,增益!$A:$A,增益!$B:$B,0))</f>
        <v>0.4215</v>
      </c>
      <c r="AR87" s="24" cm="1">
        <f t="array" ref="AR87">VLOOKUP($Q87,武学奇术!$A:$ZZ,5,FALSE)+SUM(_xlfn.XLOOKUP($R87:$AK87,增益!$A:$A,增益!$E:$E,0))</f>
        <v>0.075</v>
      </c>
      <c r="AS87" cm="1">
        <f t="array" ref="AS87">$D$10*(1+$AR87)+VLOOKUP($Q87,武学奇术!$A:$ZZ,3,FALSE)+SUM(_xlfn.XLOOKUP($R87:$AK87,增益!$A:$A,增益!$C:$C,0))-$I$2</f>
        <v>4063.1171</v>
      </c>
      <c r="AT87" cm="1">
        <f t="array" ref="AT87">$E$10*(1+$AR87)+VLOOKUP($Q87,武学奇术!$A:$ZZ,4,FALSE)+SUM(_xlfn.XLOOKUP($R87:$AK87,增益!$A:$A,增益!$D:$D,0))-$I$2</f>
        <v>4063.1171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0.3675</v>
      </c>
      <c r="AV87" s="32" cm="1">
        <f t="array" ref="AV87">$G$10+VLOOKUP($Q87,武学奇术!$A:$ZZ,7,FALSE)+SUM(_xlfn.XLOOKUP($R87:$AK87,增益!$A:$A,增益!$G:$G,0))</f>
        <v>0</v>
      </c>
      <c r="AW87" s="24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2" cm="1">
        <f t="array" ref="BA87">$G$11+VLOOKUP($Q87,武学奇术!$A:$ZZ,10,FALSE)+SUM(_xlfn.XLOOKUP($R87:$AK87,增益!$A:$A,增益!$J:$J,0))</f>
        <v>0</v>
      </c>
      <c r="BB87">
        <f t="shared" si="14"/>
        <v>0</v>
      </c>
      <c r="BC87">
        <f t="shared" si="15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2" cm="1">
        <f t="array" ref="BE87">$G$12+VLOOKUP($Q87,武学奇术!$A:$ZZ,12,FALSE)+SUM(_xlfn.XLOOKUP($R87:$AK87,增益!$A:$A,增益!$L:$L,0))</f>
        <v>0</v>
      </c>
      <c r="BF87">
        <f t="shared" si="16"/>
        <v>605.472</v>
      </c>
      <c r="BG87">
        <f t="shared" si="17"/>
        <v>1579.612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2" cm="1">
        <f t="array" ref="BI87">$G$13+VLOOKUP($Q87,武学奇术!$A:$ZZ,14,FALSE)+SUM(_xlfn.XLOOKUP($R87:$AK87,增益!$A:$A,增益!$N:$N,0))</f>
        <v>0.15</v>
      </c>
      <c r="BJ87">
        <f t="shared" si="18"/>
        <v>0</v>
      </c>
      <c r="BK87">
        <f t="shared" si="19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2" cm="1">
        <f t="array" ref="BM87">$G$14+VLOOKUP($Q87,武学奇术!$A:$ZZ,16,FALSE)+SUM(_xlfn.XLOOKUP($R87:$AK87,增益!$A:$A,增益!$P:$P,0))</f>
        <v>0</v>
      </c>
      <c r="BN87" s="24">
        <f>MIN(IF(VLOOKUP($Q87,武学奇术!$A:$ZZ,23,FALSE)=1,100%,$B$8),100%)</f>
        <v>1</v>
      </c>
      <c r="BO87" s="24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0.9093</v>
      </c>
      <c r="BP87" s="24" cm="1">
        <f t="array" ref="BP87">1+$B$13+VLOOKUP($Q87,武学奇术!$A:$ZZ,18,FALSE)+SUM(_xlfn.XLOOKUP($R87:$AK87,增益!$A:$A,增益!$R:$R,0))</f>
        <v>1.85</v>
      </c>
      <c r="BQ87" s="24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4" cm="1">
        <f t="array" ref="BR87">1+$B$14+VLOOKUP($Q87,武学奇术!$A:$ZZ,20,FALSE)+SUM(_xlfn.XLOOKUP($R87:$AK87,增益!$A:$A,增益!$T:$T,0))</f>
        <v>1.35</v>
      </c>
      <c r="BS87" s="24">
        <f t="shared" si="20"/>
        <v>0.9071</v>
      </c>
      <c r="BT87" s="24">
        <f t="shared" si="21"/>
        <v>0</v>
      </c>
      <c r="BU87" s="24">
        <f>IF(VLOOKUP($Q87,武学奇术!$A:$ZZ,22,FALSE)=1,0,(1-$BN87))*(1-$BQ87)</f>
        <v>0</v>
      </c>
      <c r="BV87" s="24" cm="1">
        <f t="array" ref="BV87">SUM(_xlfn.XLOOKUP($R87:$AK87,增益!$A:$A,增益!$W:$W,0))+$I$5</f>
        <v>0.06</v>
      </c>
    </row>
    <row r="88" spans="1:74">
      <c r="A88" s="4" t="s">
        <v>111</v>
      </c>
      <c r="B88" s="88">
        <v>1.16</v>
      </c>
      <c r="K88" s="38">
        <f t="shared" si="11"/>
        <v>122259.770218399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弹道",$B$21,0))*(1+$BV88)</f>
        <v>122915.325293823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弹道",$B$21,0))*(1+$BV88)</f>
        <v>115858.758281723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弹道",$B$21,0))*(1+$BV88)</f>
        <v>76822.0783086395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弹道",$B$21,0))*(1+$BV88)</f>
        <v>67822.8541863729</v>
      </c>
      <c r="P88" s="39">
        <v>1</v>
      </c>
      <c r="Q88" s="40" t="s">
        <v>195</v>
      </c>
      <c r="R88" s="40" t="s">
        <v>97</v>
      </c>
      <c r="S88" s="40" t="s">
        <v>176</v>
      </c>
      <c r="T88" s="40" t="s">
        <v>78</v>
      </c>
      <c r="U88" s="40" t="s">
        <v>90</v>
      </c>
      <c r="V88" s="40" t="s">
        <v>78</v>
      </c>
      <c r="W88" s="40" t="s">
        <v>78</v>
      </c>
      <c r="X88" s="40" t="s">
        <v>78</v>
      </c>
      <c r="Y88" s="40" t="s">
        <v>78</v>
      </c>
      <c r="Z88" s="40" t="s">
        <v>78</v>
      </c>
      <c r="AA88" s="40" t="s">
        <v>78</v>
      </c>
      <c r="AB88" s="40" t="s">
        <v>78</v>
      </c>
      <c r="AC88" s="40" t="s">
        <v>78</v>
      </c>
      <c r="AD88" s="40" t="s">
        <v>78</v>
      </c>
      <c r="AE88" s="40" t="s">
        <v>78</v>
      </c>
      <c r="AF88" s="40" t="s">
        <v>78</v>
      </c>
      <c r="AG88" s="40" t="s">
        <v>78</v>
      </c>
      <c r="AH88" s="40" t="s">
        <v>78</v>
      </c>
      <c r="AI88" s="40" t="s">
        <v>78</v>
      </c>
      <c r="AJ88" s="40" t="s">
        <v>78</v>
      </c>
      <c r="AK88" s="40" t="s">
        <v>78</v>
      </c>
      <c r="AL88" t="str">
        <f>VLOOKUP($Q88,武学奇术!$A:$ZZ,25,FALSE)</f>
        <v>单体奇术</v>
      </c>
      <c r="AM88" s="24">
        <f>VLOOKUP($Q88,武学奇术!$A:$ZZ,26,FALSE)</f>
        <v>7.1084</v>
      </c>
      <c r="AN88" s="25">
        <f>VLOOKUP($Q88,武学奇术!$A:$ZZ,27,FALSE)*(1+IF(OR($AL88=$F$4,$AL88=$F$5),$B$22,0))</f>
        <v>1369</v>
      </c>
      <c r="AO88" s="24">
        <f>VLOOKUP($Q88,武学奇术!$A:$ZZ,28,FALSE)</f>
        <v>10.6626</v>
      </c>
      <c r="AP88" s="25">
        <f>VLOOKUP($Q88,武学奇术!$A:$ZZ,29,FALSE)*(1+IF(OR($AL88=$F$4,$AL88=$F$5),$B$22,0))</f>
        <v>0</v>
      </c>
      <c r="AQ88" s="24" cm="1">
        <f t="array" ref="AQ88">$G$3+IFERROR(VLOOKUP($AL88,$F$4:$G$7,2,FALSE),0)+VLOOKUP($Q88,武学奇术!$A:$ZZ,2,FALSE)+SUM(_xlfn.XLOOKUP($R88:$AK88,增益!$A:$A,增益!$B:$B,0))</f>
        <v>0.4215</v>
      </c>
      <c r="AR88" s="24" cm="1">
        <f t="array" ref="AR88">VLOOKUP($Q88,武学奇术!$A:$ZZ,5,FALSE)+SUM(_xlfn.XLOOKUP($R88:$AK88,增益!$A:$A,增益!$E:$E,0))</f>
        <v>0.075</v>
      </c>
      <c r="AS88" cm="1">
        <f t="array" ref="AS88">$D$10*(1+$AR88)+VLOOKUP($Q88,武学奇术!$A:$ZZ,3,FALSE)+SUM(_xlfn.XLOOKUP($R88:$AK88,增益!$A:$A,增益!$C:$C,0))-$I$2</f>
        <v>4063.1171</v>
      </c>
      <c r="AT88" cm="1">
        <f t="array" ref="AT88">$E$10*(1+$AR88)+VLOOKUP($Q88,武学奇术!$A:$ZZ,4,FALSE)+SUM(_xlfn.XLOOKUP($R88:$AK88,增益!$A:$A,增益!$D:$D,0))-$I$2</f>
        <v>4063.1171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0.2425</v>
      </c>
      <c r="AV88" s="32" cm="1">
        <f t="array" ref="AV88">$G$10+VLOOKUP($Q88,武学奇术!$A:$ZZ,7,FALSE)+SUM(_xlfn.XLOOKUP($R88:$AK88,增益!$A:$A,增益!$G:$G,0))</f>
        <v>0</v>
      </c>
      <c r="AW88" s="24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16"/>
        <v>605.472</v>
      </c>
      <c r="BG88">
        <f t="shared" si="17"/>
        <v>1579.612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4">
        <f>MIN(IF(VLOOKUP($Q88,武学奇术!$A:$ZZ,23,FALSE)=1,100%,$B$8),100%)</f>
        <v>1</v>
      </c>
      <c r="BO88" s="24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0.9093</v>
      </c>
      <c r="BP88" s="24" cm="1">
        <f t="array" ref="BP88">1+$B$13+VLOOKUP($Q88,武学奇术!$A:$ZZ,18,FALSE)+SUM(_xlfn.XLOOKUP($R88:$AK88,增益!$A:$A,增益!$R:$R,0))</f>
        <v>1.6</v>
      </c>
      <c r="BQ88" s="24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4" cm="1">
        <f t="array" ref="BR88">1+$B$14+VLOOKUP($Q88,武学奇术!$A:$ZZ,20,FALSE)+SUM(_xlfn.XLOOKUP($R88:$AK88,增益!$A:$A,增益!$T:$T,0))</f>
        <v>1.35</v>
      </c>
      <c r="BS88" s="24">
        <f t="shared" si="20"/>
        <v>0.9071</v>
      </c>
      <c r="BT88" s="24">
        <f t="shared" si="21"/>
        <v>0</v>
      </c>
      <c r="BU88" s="24">
        <f>IF(VLOOKUP($Q88,武学奇术!$A:$ZZ,22,FALSE)=1,0,(1-$BN88))*(1-$BQ88)</f>
        <v>0</v>
      </c>
      <c r="BV88" s="24" cm="1">
        <f t="array" ref="BV88">SUM(_xlfn.XLOOKUP($R88:$AK88,增益!$A:$A,增益!$W:$W,0))+$I$5</f>
        <v>0.06</v>
      </c>
    </row>
    <row r="89" spans="1:74">
      <c r="A89" t="s">
        <v>199</v>
      </c>
      <c r="B89">
        <v>0.5</v>
      </c>
      <c r="K89" s="38">
        <f t="shared" si="11"/>
        <v>70427.5320310026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弹道",$B$21,0))*(1+$BV89)</f>
        <v>70805.0315728069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弹道",$B$21,0))*(1+$BV89)</f>
        <v>66741.5273553229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弹道",$B$21,0))*(1+$BV89)</f>
        <v>44253.1447330043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弹道",$B$21,0))*(1+$BV89)</f>
        <v>39068.1210546583</v>
      </c>
      <c r="P89" s="39">
        <v>4</v>
      </c>
      <c r="Q89" s="40" t="s">
        <v>153</v>
      </c>
      <c r="R89" s="40" t="s">
        <v>97</v>
      </c>
      <c r="S89" s="40" t="s">
        <v>176</v>
      </c>
      <c r="T89" s="40" t="s">
        <v>78</v>
      </c>
      <c r="U89" s="40" t="s">
        <v>90</v>
      </c>
      <c r="V89" s="40" t="s">
        <v>78</v>
      </c>
      <c r="W89" s="40" t="s">
        <v>78</v>
      </c>
      <c r="X89" s="40" t="s">
        <v>78</v>
      </c>
      <c r="Y89" s="40" t="s">
        <v>78</v>
      </c>
      <c r="Z89" s="40" t="s">
        <v>78</v>
      </c>
      <c r="AA89" s="40" t="s">
        <v>78</v>
      </c>
      <c r="AB89" s="40" t="s">
        <v>78</v>
      </c>
      <c r="AC89" s="40" t="s">
        <v>78</v>
      </c>
      <c r="AD89" s="40" t="s">
        <v>78</v>
      </c>
      <c r="AE89" s="40" t="s">
        <v>78</v>
      </c>
      <c r="AF89" s="40" t="s">
        <v>78</v>
      </c>
      <c r="AG89" s="40" t="s">
        <v>78</v>
      </c>
      <c r="AH89" s="40" t="s">
        <v>78</v>
      </c>
      <c r="AI89" s="40" t="s">
        <v>78</v>
      </c>
      <c r="AJ89" s="40" t="s">
        <v>78</v>
      </c>
      <c r="AK89" s="40" t="s">
        <v>78</v>
      </c>
      <c r="AL89" t="str">
        <f>VLOOKUP($Q89,武学奇术!$A:$ZZ,25,FALSE)</f>
        <v>单体奇术</v>
      </c>
      <c r="AM89" s="24">
        <f>VLOOKUP($Q89,武学奇术!$A:$ZZ,26,FALSE)</f>
        <v>1.0239</v>
      </c>
      <c r="AN89" s="25">
        <f>VLOOKUP($Q89,武学奇术!$A:$ZZ,27,FALSE)*(1+IF(OR($AL89=$F$4,$AL89=$F$5),$B$22,0))</f>
        <v>196</v>
      </c>
      <c r="AO89" s="24">
        <f>VLOOKUP($Q89,武学奇术!$A:$ZZ,28,FALSE)</f>
        <v>1.53585</v>
      </c>
      <c r="AP89" s="25">
        <f>VLOOKUP($Q89,武学奇术!$A:$ZZ,29,FALSE)*(1+IF(OR($AL89=$F$4,$AL89=$F$5),$B$22,0))</f>
        <v>0</v>
      </c>
      <c r="AQ89" s="24" cm="1">
        <f t="array" ref="AQ89">$G$3+IFERROR(VLOOKUP($AL89,$F$4:$G$7,2,FALSE),0)+VLOOKUP($Q89,武学奇术!$A:$ZZ,2,FALSE)+SUM(_xlfn.XLOOKUP($R89:$AK89,增益!$A:$A,增益!$B:$B,0))</f>
        <v>0.4215</v>
      </c>
      <c r="AR89" s="24" cm="1">
        <f t="array" ref="AR89">VLOOKUP($Q89,武学奇术!$A:$ZZ,5,FALSE)+SUM(_xlfn.XLOOKUP($R89:$AK89,增益!$A:$A,增益!$E:$E,0))</f>
        <v>0.075</v>
      </c>
      <c r="AS89" cm="1">
        <f t="array" ref="AS89">$D$10*(1+$AR89)+VLOOKUP($Q89,武学奇术!$A:$ZZ,3,FALSE)+SUM(_xlfn.XLOOKUP($R89:$AK89,增益!$A:$A,增益!$C:$C,0))-$I$2</f>
        <v>4063.1171</v>
      </c>
      <c r="AT89" cm="1">
        <f t="array" ref="AT89">$E$10*(1+$AR89)+VLOOKUP($Q89,武学奇术!$A:$ZZ,4,FALSE)+SUM(_xlfn.XLOOKUP($R89:$AK89,增益!$A:$A,增益!$D:$D,0))-$I$2</f>
        <v>4063.1171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0.2425</v>
      </c>
      <c r="AV89" s="32" cm="1">
        <f t="array" ref="AV89">$G$10+VLOOKUP($Q89,武学奇术!$A:$ZZ,7,FALSE)+SUM(_xlfn.XLOOKUP($R89:$AK89,增益!$A:$A,增益!$G:$G,0))</f>
        <v>0</v>
      </c>
      <c r="AW89" s="24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16"/>
        <v>605.472</v>
      </c>
      <c r="BG89">
        <f t="shared" si="17"/>
        <v>1579.612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4">
        <f>MIN(IF(VLOOKUP($Q89,武学奇术!$A:$ZZ,23,FALSE)=1,100%,$B$8),100%)</f>
        <v>1</v>
      </c>
      <c r="BO89" s="24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0.9093</v>
      </c>
      <c r="BP89" s="24" cm="1">
        <f t="array" ref="BP89">1+$B$13+VLOOKUP($Q89,武学奇术!$A:$ZZ,18,FALSE)+SUM(_xlfn.XLOOKUP($R89:$AK89,增益!$A:$A,增益!$R:$R,0))</f>
        <v>1.6</v>
      </c>
      <c r="BQ89" s="24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4" cm="1">
        <f t="array" ref="BR89">1+$B$14+VLOOKUP($Q89,武学奇术!$A:$ZZ,20,FALSE)+SUM(_xlfn.XLOOKUP($R89:$AK89,增益!$A:$A,增益!$T:$T,0))</f>
        <v>1.35</v>
      </c>
      <c r="BS89" s="24">
        <f t="shared" si="20"/>
        <v>0.9071</v>
      </c>
      <c r="BT89" s="24">
        <f t="shared" si="21"/>
        <v>0</v>
      </c>
      <c r="BU89" s="24">
        <f>IF(VLOOKUP($Q89,武学奇术!$A:$ZZ,22,FALSE)=1,0,(1-$BN89))*(1-$BQ89)</f>
        <v>0</v>
      </c>
      <c r="BV89" s="24" cm="1">
        <f t="array" ref="BV89">SUM(_xlfn.XLOOKUP($R89:$AK89,增益!$A:$A,增益!$W:$W,0))+$I$5</f>
        <v>0.06</v>
      </c>
    </row>
    <row r="90" spans="1:74">
      <c r="A90" s="4" t="s">
        <v>205</v>
      </c>
      <c r="B90" s="4">
        <v>1.7</v>
      </c>
      <c r="E90" s="27">
        <v>0.3</v>
      </c>
      <c r="K90" s="38">
        <f t="shared" si="11"/>
        <v>110672.786380792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弹道",$B$21,0))*(1+$BV90)</f>
        <v>111266.004737829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弹道",$B$21,0))*(1+$BV90)</f>
        <v>104880.446535066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弹道",$B$21,0))*(1+$BV90)</f>
        <v>69541.252961143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弹道",$B$21,0))*(1+$BV90)</f>
        <v>61393.2862666818</v>
      </c>
      <c r="P90" s="39">
        <v>4</v>
      </c>
      <c r="Q90" s="40" t="s">
        <v>155</v>
      </c>
      <c r="R90" s="40" t="s">
        <v>97</v>
      </c>
      <c r="S90" s="40" t="s">
        <v>176</v>
      </c>
      <c r="T90" s="40" t="s">
        <v>78</v>
      </c>
      <c r="U90" s="40" t="s">
        <v>90</v>
      </c>
      <c r="V90" s="40" t="s">
        <v>78</v>
      </c>
      <c r="W90" s="40" t="s">
        <v>78</v>
      </c>
      <c r="X90" s="40" t="s">
        <v>78</v>
      </c>
      <c r="Y90" s="40" t="s">
        <v>78</v>
      </c>
      <c r="Z90" s="40" t="s">
        <v>78</v>
      </c>
      <c r="AA90" s="40" t="s">
        <v>78</v>
      </c>
      <c r="AB90" s="40" t="s">
        <v>78</v>
      </c>
      <c r="AC90" s="40" t="s">
        <v>78</v>
      </c>
      <c r="AD90" s="40" t="s">
        <v>78</v>
      </c>
      <c r="AE90" s="40" t="s">
        <v>78</v>
      </c>
      <c r="AF90" s="40" t="s">
        <v>78</v>
      </c>
      <c r="AG90" s="40" t="s">
        <v>78</v>
      </c>
      <c r="AH90" s="40" t="s">
        <v>78</v>
      </c>
      <c r="AI90" s="40" t="s">
        <v>78</v>
      </c>
      <c r="AJ90" s="40" t="s">
        <v>78</v>
      </c>
      <c r="AK90" s="40" t="s">
        <v>78</v>
      </c>
      <c r="AL90" t="str">
        <f>VLOOKUP($Q90,武学奇术!$A:$ZZ,25,FALSE)</f>
        <v>单体奇术</v>
      </c>
      <c r="AM90" s="24">
        <f>VLOOKUP($Q90,武学奇术!$A:$ZZ,26,FALSE)</f>
        <v>1.609</v>
      </c>
      <c r="AN90" s="25">
        <f>VLOOKUP($Q90,武学奇术!$A:$ZZ,27,FALSE)*(1+IF(OR($AL90=$F$4,$AL90=$F$5),$B$22,0))</f>
        <v>308</v>
      </c>
      <c r="AO90" s="24">
        <f>VLOOKUP($Q90,武学奇术!$A:$ZZ,28,FALSE)</f>
        <v>2.4135</v>
      </c>
      <c r="AP90" s="25">
        <f>VLOOKUP($Q90,武学奇术!$A:$ZZ,29,FALSE)*(1+IF(OR($AL90=$F$4,$AL90=$F$5),$B$22,0))</f>
        <v>0</v>
      </c>
      <c r="AQ90" s="24" cm="1">
        <f t="array" ref="AQ90">$G$3+IFERROR(VLOOKUP($AL90,$F$4:$G$7,2,FALSE),0)+VLOOKUP($Q90,武学奇术!$A:$ZZ,2,FALSE)+SUM(_xlfn.XLOOKUP($R90:$AK90,增益!$A:$A,增益!$B:$B,0))</f>
        <v>0.4215</v>
      </c>
      <c r="AR90" s="24" cm="1">
        <f t="array" ref="AR90">VLOOKUP($Q90,武学奇术!$A:$ZZ,5,FALSE)+SUM(_xlfn.XLOOKUP($R90:$AK90,增益!$A:$A,增益!$E:$E,0))</f>
        <v>0.075</v>
      </c>
      <c r="AS90" cm="1">
        <f t="array" ref="AS90">$D$10*(1+$AR90)+VLOOKUP($Q90,武学奇术!$A:$ZZ,3,FALSE)+SUM(_xlfn.XLOOKUP($R90:$AK90,增益!$A:$A,增益!$C:$C,0))-$I$2</f>
        <v>4063.1171</v>
      </c>
      <c r="AT90" cm="1">
        <f t="array" ref="AT90">$E$10*(1+$AR90)+VLOOKUP($Q90,武学奇术!$A:$ZZ,4,FALSE)+SUM(_xlfn.XLOOKUP($R90:$AK90,增益!$A:$A,增益!$D:$D,0))-$I$2</f>
        <v>4063.1171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0.2425</v>
      </c>
      <c r="AV90" s="32" cm="1">
        <f t="array" ref="AV90">$G$10+VLOOKUP($Q90,武学奇术!$A:$ZZ,7,FALSE)+SUM(_xlfn.XLOOKUP($R90:$AK90,增益!$A:$A,增益!$G:$G,0))</f>
        <v>0</v>
      </c>
      <c r="AW90" s="24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16"/>
        <v>605.472</v>
      </c>
      <c r="BG90">
        <f t="shared" si="17"/>
        <v>1579.612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4">
        <f>MIN(IF(VLOOKUP($Q90,武学奇术!$A:$ZZ,23,FALSE)=1,100%,$B$8),100%)</f>
        <v>1</v>
      </c>
      <c r="BO90" s="24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0.9093</v>
      </c>
      <c r="BP90" s="24" cm="1">
        <f t="array" ref="BP90">1+$B$13+VLOOKUP($Q90,武学奇术!$A:$ZZ,18,FALSE)+SUM(_xlfn.XLOOKUP($R90:$AK90,增益!$A:$A,增益!$R:$R,0))</f>
        <v>1.6</v>
      </c>
      <c r="BQ90" s="24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4" cm="1">
        <f t="array" ref="BR90">1+$B$14+VLOOKUP($Q90,武学奇术!$A:$ZZ,20,FALSE)+SUM(_xlfn.XLOOKUP($R90:$AK90,增益!$A:$A,增益!$T:$T,0))</f>
        <v>1.35</v>
      </c>
      <c r="BS90" s="24">
        <f t="shared" si="20"/>
        <v>0.9071</v>
      </c>
      <c r="BT90" s="24">
        <f t="shared" si="21"/>
        <v>0</v>
      </c>
      <c r="BU90" s="24">
        <f>IF(VLOOKUP($Q90,武学奇术!$A:$ZZ,22,FALSE)=1,0,(1-$BN90))*(1-$BQ90)</f>
        <v>0</v>
      </c>
      <c r="BV90" s="24" cm="1">
        <f t="array" ref="BV90">SUM(_xlfn.XLOOKUP($R90:$AK90,增益!$A:$A,增益!$W:$W,0))+$I$5</f>
        <v>0.06</v>
      </c>
    </row>
    <row r="91" spans="1:74">
      <c r="A91" s="4" t="s">
        <v>131</v>
      </c>
      <c r="B91" s="4">
        <v>0.8</v>
      </c>
      <c r="K91" s="38">
        <f t="shared" si="11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弹道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弹道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弹道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弹道",$B$21,0))*(1+$BV91)</f>
        <v>0</v>
      </c>
      <c r="P91" s="39">
        <v>1</v>
      </c>
      <c r="Q91" s="40" t="s">
        <v>78</v>
      </c>
      <c r="R91" s="40" t="s">
        <v>78</v>
      </c>
      <c r="S91" s="40" t="s">
        <v>78</v>
      </c>
      <c r="T91" s="40" t="s">
        <v>78</v>
      </c>
      <c r="U91" s="40" t="s">
        <v>78</v>
      </c>
      <c r="V91" s="40" t="s">
        <v>78</v>
      </c>
      <c r="W91" s="40" t="s">
        <v>78</v>
      </c>
      <c r="X91" s="40" t="s">
        <v>78</v>
      </c>
      <c r="Y91" s="40" t="s">
        <v>78</v>
      </c>
      <c r="Z91" s="40" t="s">
        <v>78</v>
      </c>
      <c r="AA91" s="40" t="s">
        <v>78</v>
      </c>
      <c r="AB91" s="40" t="s">
        <v>78</v>
      </c>
      <c r="AC91" s="40" t="s">
        <v>78</v>
      </c>
      <c r="AD91" s="40" t="s">
        <v>78</v>
      </c>
      <c r="AE91" s="40" t="s">
        <v>78</v>
      </c>
      <c r="AF91" s="40" t="s">
        <v>78</v>
      </c>
      <c r="AG91" s="40" t="s">
        <v>78</v>
      </c>
      <c r="AH91" s="40" t="s">
        <v>78</v>
      </c>
      <c r="AI91" s="40" t="s">
        <v>78</v>
      </c>
      <c r="AJ91" s="40" t="s">
        <v>78</v>
      </c>
      <c r="AK91" s="40" t="s">
        <v>78</v>
      </c>
      <c r="AL91" t="str">
        <f>VLOOKUP($Q91,武学奇术!$A:$ZZ,25,FALSE)</f>
        <v>心法</v>
      </c>
      <c r="AM91" s="24">
        <f>VLOOKUP($Q91,武学奇术!$A:$ZZ,26,FALSE)</f>
        <v>0</v>
      </c>
      <c r="AN91" s="25">
        <f>VLOOKUP($Q91,武学奇术!$A:$ZZ,27,FALSE)*(1+IF(OR($AL91=$F$4,$AL91=$F$5),$B$22,0))</f>
        <v>0</v>
      </c>
      <c r="AO91" s="24">
        <f>VLOOKUP($Q91,武学奇术!$A:$ZZ,28,FALSE)</f>
        <v>0</v>
      </c>
      <c r="AP91" s="25">
        <f>VLOOKUP($Q91,武学奇术!$A:$ZZ,29,FALSE)*(1+IF(OR($AL91=$F$4,$AL91=$F$5),$B$22,0))</f>
        <v>0</v>
      </c>
      <c r="AQ91" s="24" cm="1">
        <f t="array" ref="AQ91">$G$3+IFERROR(VLOOKUP($AL91,$F$4:$G$7,2,FALSE),0)+VLOOKUP($Q91,武学奇术!$A:$ZZ,2,FALSE)+SUM(_xlfn.XLOOKUP($R91:$AK91,增益!$A:$A,增益!$B:$B,0))</f>
        <v>0.1037</v>
      </c>
      <c r="AR91" s="24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3736.388</v>
      </c>
      <c r="AT91" cm="1">
        <f t="array" ref="AT91">$E$10*(1+$AR91)+VLOOKUP($Q91,武学奇术!$A:$ZZ,4,FALSE)+SUM(_xlfn.XLOOKUP($R91:$AK91,增益!$A:$A,增益!$D:$D,0))-$I$2</f>
        <v>3736.388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0.1925</v>
      </c>
      <c r="AV91" s="32" cm="1">
        <f t="array" ref="AV91">$G$10+VLOOKUP($Q91,武学奇术!$A:$ZZ,7,FALSE)+SUM(_xlfn.XLOOKUP($R91:$AK91,增益!$A:$A,增益!$G:$G,0))</f>
        <v>0</v>
      </c>
      <c r="AW91" s="24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16"/>
        <v>605.472</v>
      </c>
      <c r="BG91">
        <f t="shared" si="17"/>
        <v>1579.612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4">
        <f>MIN(IF(VLOOKUP($Q91,武学奇术!$A:$ZZ,23,FALSE)=1,100%,$B$8),100%)</f>
        <v>1</v>
      </c>
      <c r="BO91" s="24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0.9093</v>
      </c>
      <c r="BP91" s="24" cm="1">
        <f t="array" ref="BP91">1+$B$13+VLOOKUP($Q91,武学奇术!$A:$ZZ,18,FALSE)+SUM(_xlfn.XLOOKUP($R91:$AK91,增益!$A:$A,增益!$R:$R,0))</f>
        <v>1.5</v>
      </c>
      <c r="BQ91" s="24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4" cm="1">
        <f t="array" ref="BR91">1+$B$14+VLOOKUP($Q91,武学奇术!$A:$ZZ,20,FALSE)+SUM(_xlfn.XLOOKUP($R91:$AK91,增益!$A:$A,增益!$T:$T,0))</f>
        <v>1.35</v>
      </c>
      <c r="BS91" s="24">
        <f t="shared" si="20"/>
        <v>0.9071</v>
      </c>
      <c r="BT91" s="24">
        <f t="shared" si="21"/>
        <v>0</v>
      </c>
      <c r="BU91" s="24">
        <f>IF(VLOOKUP($Q91,武学奇术!$A:$ZZ,22,FALSE)=1,0,(1-$BN91))*(1-$BQ91)</f>
        <v>0</v>
      </c>
      <c r="BV91" s="24" cm="1">
        <f t="array" ref="BV91">SUM(_xlfn.XLOOKUP($R91:$AK91,增益!$A:$A,增益!$W:$W,0))+$I$5</f>
        <v>0.06</v>
      </c>
    </row>
    <row r="92" spans="1:74">
      <c r="A92" t="s">
        <v>200</v>
      </c>
      <c r="B92">
        <v>2.5</v>
      </c>
      <c r="K92" s="38">
        <f t="shared" si="11"/>
        <v>61504.7454141465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弹道",$B$21,0))*(1+$BV92)</f>
        <v>62885.4437441911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弹道",$B$21,0))*(1+$BV92)</f>
        <v>48023.2442819238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弹道",$B$21,0))*(1+$BV92)</f>
        <v>32084.4100735669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弹道",$B$21,0))*(1+$BV92)</f>
        <v>28596.046604968</v>
      </c>
      <c r="P92" s="39">
        <v>1</v>
      </c>
      <c r="Q92" s="40" t="s">
        <v>101</v>
      </c>
      <c r="R92" s="40" t="s">
        <v>78</v>
      </c>
      <c r="S92" s="40" t="s">
        <v>176</v>
      </c>
      <c r="T92" s="40" t="s">
        <v>78</v>
      </c>
      <c r="U92" s="40" t="s">
        <v>90</v>
      </c>
      <c r="V92" s="40" t="s">
        <v>102</v>
      </c>
      <c r="W92" s="40" t="s">
        <v>78</v>
      </c>
      <c r="X92" s="40" t="s">
        <v>78</v>
      </c>
      <c r="Y92" s="40" t="s">
        <v>78</v>
      </c>
      <c r="Z92" s="40" t="s">
        <v>78</v>
      </c>
      <c r="AA92" s="40" t="s">
        <v>78</v>
      </c>
      <c r="AB92" s="40" t="s">
        <v>78</v>
      </c>
      <c r="AC92" s="40" t="s">
        <v>78</v>
      </c>
      <c r="AD92" s="40" t="s">
        <v>78</v>
      </c>
      <c r="AE92" s="40" t="s">
        <v>78</v>
      </c>
      <c r="AF92" s="40" t="s">
        <v>78</v>
      </c>
      <c r="AG92" s="40" t="s">
        <v>78</v>
      </c>
      <c r="AH92" s="40" t="s">
        <v>78</v>
      </c>
      <c r="AI92" s="40" t="s">
        <v>78</v>
      </c>
      <c r="AJ92" s="40" t="s">
        <v>78</v>
      </c>
      <c r="AK92" s="40" t="s">
        <v>78</v>
      </c>
      <c r="AL92" t="str">
        <f>VLOOKUP($Q92,武学奇术!$A:$ZZ,25,FALSE)</f>
        <v>伞</v>
      </c>
      <c r="AM92" s="24">
        <f>VLOOKUP($Q92,武学奇术!$A:$ZZ,26,FALSE)</f>
        <v>2.3397</v>
      </c>
      <c r="AN92" s="25">
        <f>VLOOKUP($Q92,武学奇术!$A:$ZZ,27,FALSE)*(1+IF(OR($AL92=$F$4,$AL92=$F$5),$B$22,0))</f>
        <v>972</v>
      </c>
      <c r="AO92" s="24">
        <f>VLOOKUP($Q92,武学奇术!$A:$ZZ,28,FALSE)</f>
        <v>3.5095</v>
      </c>
      <c r="AP92" s="25">
        <f>VLOOKUP($Q92,武学奇术!$A:$ZZ,29,FALSE)*(1+IF(OR($AL92=$F$4,$AL92=$F$5),$B$22,0))</f>
        <v>529.5</v>
      </c>
      <c r="AQ92" s="24" cm="1">
        <f t="array" ref="AQ92">$G$3+IFERROR(VLOOKUP($AL92,$F$4:$G$7,2,FALSE),0)+VLOOKUP($Q92,武学奇术!$A:$ZZ,2,FALSE)+SUM(_xlfn.XLOOKUP($R92:$AK92,增益!$A:$A,增益!$B:$B,0))</f>
        <v>0.6741</v>
      </c>
      <c r="AR92" s="24" cm="1">
        <f t="array" ref="AR92">VLOOKUP($Q92,武学奇术!$A:$ZZ,5,FALSE)+SUM(_xlfn.XLOOKUP($R92:$AK92,增益!$A:$A,增益!$E:$E,0))</f>
        <v>0.075</v>
      </c>
      <c r="AS92" cm="1">
        <f t="array" ref="AS92">$D$10*(1+$AR92)+VLOOKUP($Q92,武学奇术!$A:$ZZ,3,FALSE)+SUM(_xlfn.XLOOKUP($R92:$AK92,增益!$A:$A,增益!$C:$C,0))-$I$2</f>
        <v>4063.1171</v>
      </c>
      <c r="AT92" cm="1">
        <f t="array" ref="AT92">$E$10*(1+$AR92)+VLOOKUP($Q92,武学奇术!$A:$ZZ,4,FALSE)+SUM(_xlfn.XLOOKUP($R92:$AK92,增益!$A:$A,增益!$D:$D,0))-$I$2</f>
        <v>4063.1171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0.2175</v>
      </c>
      <c r="AV92" s="32" cm="1">
        <f t="array" ref="AV92">$G$10+VLOOKUP($Q92,武学奇术!$A:$ZZ,7,FALSE)+SUM(_xlfn.XLOOKUP($R92:$AK92,增益!$A:$A,增益!$G:$G,0))</f>
        <v>0</v>
      </c>
      <c r="AW92" s="24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16"/>
        <v>605.472</v>
      </c>
      <c r="BG92">
        <f t="shared" si="17"/>
        <v>1579.612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4">
        <f>MIN(IF(VLOOKUP($Q92,武学奇术!$A:$ZZ,23,FALSE)=1,100%,$B$8),100%)</f>
        <v>1</v>
      </c>
      <c r="BO92" s="24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0.9093</v>
      </c>
      <c r="BP92" s="24" cm="1">
        <f t="array" ref="BP92">1+$B$13+VLOOKUP($Q92,武学奇术!$A:$ZZ,18,FALSE)+SUM(_xlfn.XLOOKUP($R92:$AK92,增益!$A:$A,增益!$R:$R,0))</f>
        <v>1.96</v>
      </c>
      <c r="BQ92" s="24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4" cm="1">
        <f t="array" ref="BR92">1+$B$14+VLOOKUP($Q92,武学奇术!$A:$ZZ,20,FALSE)+SUM(_xlfn.XLOOKUP($R92:$AK92,增益!$A:$A,增益!$T:$T,0))</f>
        <v>1.35</v>
      </c>
      <c r="BS92" s="24">
        <f t="shared" si="20"/>
        <v>0.9071</v>
      </c>
      <c r="BT92" s="24">
        <f t="shared" si="21"/>
        <v>0</v>
      </c>
      <c r="BU92" s="24">
        <f>IF(VLOOKUP($Q92,武学奇术!$A:$ZZ,22,FALSE)=1,0,(1-$BN92))*(1-$BQ92)</f>
        <v>0</v>
      </c>
      <c r="BV92" s="24" cm="1">
        <f t="array" ref="BV92">SUM(_xlfn.XLOOKUP($R92:$AK92,增益!$A:$A,增益!$W:$W,0))+$I$5</f>
        <v>0.06</v>
      </c>
    </row>
    <row r="93" spans="1:74">
      <c r="A93" s="4" t="s">
        <v>161</v>
      </c>
      <c r="B93" s="4">
        <v>0.1</v>
      </c>
      <c r="K93" s="38">
        <f t="shared" si="11"/>
        <v>19818.121434006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弹道",$B$21,0))*(1+$BV93)</f>
        <v>19936.1264716142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弹道",$B$21,0))*(1+$BV93)</f>
        <v>18665.889253012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弹道",$B$21,0))*(1+$BV93)</f>
        <v>12460.0790447589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弹道",$B$21,0))*(1+$BV93)</f>
        <v>11093.573457657</v>
      </c>
      <c r="P93" s="39">
        <v>1</v>
      </c>
      <c r="Q93" s="40" t="s">
        <v>131</v>
      </c>
      <c r="R93" s="40" t="s">
        <v>76</v>
      </c>
      <c r="S93" s="40" t="s">
        <v>176</v>
      </c>
      <c r="T93" s="40" t="s">
        <v>78</v>
      </c>
      <c r="U93" s="40" t="s">
        <v>90</v>
      </c>
      <c r="V93" s="40" t="s">
        <v>78</v>
      </c>
      <c r="W93" s="40" t="s">
        <v>78</v>
      </c>
      <c r="X93" s="40" t="s">
        <v>78</v>
      </c>
      <c r="Y93" s="40" t="s">
        <v>78</v>
      </c>
      <c r="Z93" s="40" t="s">
        <v>78</v>
      </c>
      <c r="AA93" s="40" t="s">
        <v>78</v>
      </c>
      <c r="AB93" s="40" t="s">
        <v>78</v>
      </c>
      <c r="AC93" s="40" t="s">
        <v>78</v>
      </c>
      <c r="AD93" s="40" t="s">
        <v>78</v>
      </c>
      <c r="AE93" s="40" t="s">
        <v>78</v>
      </c>
      <c r="AF93" s="40" t="s">
        <v>78</v>
      </c>
      <c r="AG93" s="40" t="s">
        <v>78</v>
      </c>
      <c r="AH93" s="40" t="s">
        <v>78</v>
      </c>
      <c r="AI93" s="40" t="s">
        <v>78</v>
      </c>
      <c r="AJ93" s="40" t="s">
        <v>78</v>
      </c>
      <c r="AK93" s="40" t="s">
        <v>78</v>
      </c>
      <c r="AL93" t="str">
        <f>VLOOKUP($Q93,武学奇术!$A:$ZZ,25,FALSE)</f>
        <v>扇</v>
      </c>
      <c r="AM93" s="24">
        <f>VLOOKUP($Q93,武学奇术!$A:$ZZ,26,FALSE)</f>
        <v>1.2798</v>
      </c>
      <c r="AN93" s="25">
        <f>VLOOKUP($Q93,武学奇术!$A:$ZZ,27,FALSE)*(1+IF(OR($AL93=$F$4,$AL93=$F$5),$B$22,0))</f>
        <v>532.5</v>
      </c>
      <c r="AO93" s="24">
        <f>VLOOKUP($Q93,武学奇术!$A:$ZZ,28,FALSE)</f>
        <v>1.9197</v>
      </c>
      <c r="AP93" s="25">
        <f>VLOOKUP($Q93,武学奇术!$A:$ZZ,29,FALSE)*(1+IF(OR($AL93=$F$4,$AL93=$F$5),$B$22,0))</f>
        <v>289.5</v>
      </c>
      <c r="AQ93" s="24" cm="1">
        <f t="array" ref="AQ93">$G$3+IFERROR(VLOOKUP($AL93,$F$4:$G$7,2,FALSE),0)+VLOOKUP($Q93,武学奇术!$A:$ZZ,2,FALSE)+SUM(_xlfn.XLOOKUP($R93:$AK93,增益!$A:$A,增益!$B:$B,0))</f>
        <v>0.1989</v>
      </c>
      <c r="AR93" s="24" cm="1">
        <f t="array" ref="AR93">VLOOKUP($Q93,武学奇术!$A:$ZZ,5,FALSE)+SUM(_xlfn.XLOOKUP($R93:$AK93,增益!$A:$A,增益!$E:$E,0))</f>
        <v>0.075</v>
      </c>
      <c r="AS93" cm="1">
        <f t="array" ref="AS93">$D$10*(1+$AR93)+VLOOKUP($Q93,武学奇术!$A:$ZZ,3,FALSE)+SUM(_xlfn.XLOOKUP($R93:$AK93,增益!$A:$A,增益!$C:$C,0))-$I$2</f>
        <v>4063.1171</v>
      </c>
      <c r="AT93" cm="1">
        <f t="array" ref="AT93">$E$10*(1+$AR93)+VLOOKUP($Q93,武学奇术!$A:$ZZ,4,FALSE)+SUM(_xlfn.XLOOKUP($R93:$AK93,增益!$A:$A,增益!$D:$D,0))-$I$2</f>
        <v>4063.1171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0.2025</v>
      </c>
      <c r="AV93" s="32" cm="1">
        <f t="array" ref="AV93">$G$10+VLOOKUP($Q93,武学奇术!$A:$ZZ,7,FALSE)+SUM(_xlfn.XLOOKUP($R93:$AK93,增益!$A:$A,增益!$G:$G,0))</f>
        <v>0</v>
      </c>
      <c r="AW93" s="24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16"/>
        <v>605.472</v>
      </c>
      <c r="BG93">
        <f t="shared" si="17"/>
        <v>1579.612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4">
        <f>MIN(IF(VLOOKUP($Q93,武学奇术!$A:$ZZ,23,FALSE)=1,100%,$B$8),100%)</f>
        <v>1</v>
      </c>
      <c r="BO93" s="24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0.9093</v>
      </c>
      <c r="BP93" s="24" cm="1">
        <f t="array" ref="BP93">1+$B$13+VLOOKUP($Q93,武学奇术!$A:$ZZ,18,FALSE)+SUM(_xlfn.XLOOKUP($R93:$AK93,增益!$A:$A,增益!$R:$R,0))</f>
        <v>1.6</v>
      </c>
      <c r="BQ93" s="24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4" cm="1">
        <f t="array" ref="BR93">1+$B$14+VLOOKUP($Q93,武学奇术!$A:$ZZ,20,FALSE)+SUM(_xlfn.XLOOKUP($R93:$AK93,增益!$A:$A,增益!$T:$T,0))</f>
        <v>1.35</v>
      </c>
      <c r="BS93" s="24">
        <f t="shared" si="20"/>
        <v>0.9071</v>
      </c>
      <c r="BT93" s="24">
        <f t="shared" si="21"/>
        <v>0</v>
      </c>
      <c r="BU93" s="24">
        <f>IF(VLOOKUP($Q93,武学奇术!$A:$ZZ,22,FALSE)=1,0,(1-$BN93))*(1-$BQ93)</f>
        <v>0</v>
      </c>
      <c r="BV93" s="24" cm="1">
        <f t="array" ref="BV93">SUM(_xlfn.XLOOKUP($R93:$AK93,增益!$A:$A,增益!$W:$W,0))+$I$5</f>
        <v>0.06</v>
      </c>
    </row>
    <row r="94" spans="1:74">
      <c r="A94" s="4" t="s">
        <v>101</v>
      </c>
      <c r="B94" s="4">
        <v>1.25</v>
      </c>
      <c r="K94" s="38">
        <f t="shared" si="11"/>
        <v>23680.0929197587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弹道",$B$21,0))*(1+$BV94)</f>
        <v>24212.6270268483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弹道",$B$21,0))*(1+$BV94)</f>
        <v>18480.2900291133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弹道",$B$21,0))*(1+$BV94)</f>
        <v>12353.3811361471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弹道",$B$21,0))*(1+$BV94)</f>
        <v>11017.658547025</v>
      </c>
      <c r="P94" s="39">
        <v>0.5</v>
      </c>
      <c r="Q94" s="40" t="s">
        <v>113</v>
      </c>
      <c r="R94" s="40" t="s">
        <v>76</v>
      </c>
      <c r="S94" s="40" t="s">
        <v>176</v>
      </c>
      <c r="T94" s="40" t="s">
        <v>106</v>
      </c>
      <c r="U94" s="40" t="s">
        <v>90</v>
      </c>
      <c r="V94" s="40" t="s">
        <v>102</v>
      </c>
      <c r="W94" s="40" t="s">
        <v>78</v>
      </c>
      <c r="X94" s="40" t="s">
        <v>78</v>
      </c>
      <c r="Y94" s="40" t="s">
        <v>78</v>
      </c>
      <c r="Z94" s="40" t="s">
        <v>78</v>
      </c>
      <c r="AA94" s="40" t="s">
        <v>78</v>
      </c>
      <c r="AB94" s="40" t="s">
        <v>78</v>
      </c>
      <c r="AC94" s="40" t="s">
        <v>78</v>
      </c>
      <c r="AD94" s="40" t="s">
        <v>78</v>
      </c>
      <c r="AE94" s="40" t="s">
        <v>78</v>
      </c>
      <c r="AF94" s="40" t="s">
        <v>78</v>
      </c>
      <c r="AG94" s="40" t="s">
        <v>78</v>
      </c>
      <c r="AH94" s="40" t="s">
        <v>78</v>
      </c>
      <c r="AI94" s="40" t="s">
        <v>78</v>
      </c>
      <c r="AJ94" s="40" t="s">
        <v>78</v>
      </c>
      <c r="AK94" s="40" t="s">
        <v>78</v>
      </c>
      <c r="AL94" t="str">
        <f>VLOOKUP($Q94,武学奇术!$A:$ZZ,25,FALSE)</f>
        <v>伞</v>
      </c>
      <c r="AM94" s="24">
        <f>VLOOKUP($Q94,武学奇术!$A:$ZZ,26,FALSE)</f>
        <v>1.174955</v>
      </c>
      <c r="AN94" s="25">
        <f>VLOOKUP($Q94,武学奇术!$A:$ZZ,27,FALSE)*(1+IF(OR($AL94=$F$4,$AL94=$F$5),$B$22,0))</f>
        <v>486.45</v>
      </c>
      <c r="AO94" s="24">
        <f>VLOOKUP($Q94,武学奇术!$A:$ZZ,28,FALSE)</f>
        <v>1.762375</v>
      </c>
      <c r="AP94" s="25">
        <f>VLOOKUP($Q94,武学奇术!$A:$ZZ,29,FALSE)*(1+IF(OR($AL94=$F$4,$AL94=$F$5),$B$22,0))</f>
        <v>265.65</v>
      </c>
      <c r="AQ94" s="24" cm="1">
        <f t="array" ref="AQ94">$G$3+IFERROR(VLOOKUP($AL94,$F$4:$G$7,2,FALSE),0)+VLOOKUP($Q94,武学奇术!$A:$ZZ,2,FALSE)+SUM(_xlfn.XLOOKUP($R94:$AK94,增益!$A:$A,增益!$B:$B,0))</f>
        <v>0.9341</v>
      </c>
      <c r="AR94" s="24" cm="1">
        <f t="array" ref="AR94">VLOOKUP($Q94,武学奇术!$A:$ZZ,5,FALSE)+SUM(_xlfn.XLOOKUP($R94:$AK94,增益!$A:$A,增益!$E:$E,0))</f>
        <v>0.075</v>
      </c>
      <c r="AS94" cm="1">
        <f t="array" ref="AS94">$D$10*(1+$AR94)+VLOOKUP($Q94,武学奇术!$A:$ZZ,3,FALSE)+SUM(_xlfn.XLOOKUP($R94:$AK94,增益!$A:$A,增益!$C:$C,0))-$I$2</f>
        <v>4063.1171</v>
      </c>
      <c r="AT94" cm="1">
        <f t="array" ref="AT94">$E$10*(1+$AR94)+VLOOKUP($Q94,武学奇术!$A:$ZZ,4,FALSE)+SUM(_xlfn.XLOOKUP($R94:$AK94,增益!$A:$A,增益!$D:$D,0))-$I$2</f>
        <v>4063.1171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0.2275</v>
      </c>
      <c r="AV94" s="32" cm="1">
        <f t="array" ref="AV94">$G$10+VLOOKUP($Q94,武学奇术!$A:$ZZ,7,FALSE)+SUM(_xlfn.XLOOKUP($R94:$AK94,增益!$A:$A,增益!$G:$G,0))</f>
        <v>0</v>
      </c>
      <c r="AW94" s="24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16"/>
        <v>605.472</v>
      </c>
      <c r="BG94">
        <f t="shared" si="17"/>
        <v>1579.612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4">
        <f>MIN(IF(VLOOKUP($Q94,武学奇术!$A:$ZZ,23,FALSE)=1,100%,$B$8),100%)</f>
        <v>1</v>
      </c>
      <c r="BO94" s="24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0.9093</v>
      </c>
      <c r="BP94" s="24" cm="1">
        <f t="array" ref="BP94">1+$B$13+VLOOKUP($Q94,武学奇术!$A:$ZZ,18,FALSE)+SUM(_xlfn.XLOOKUP($R94:$AK94,增益!$A:$A,增益!$R:$R,0))</f>
        <v>1.96</v>
      </c>
      <c r="BQ94" s="24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4" cm="1">
        <f t="array" ref="BR94">1+$B$14+VLOOKUP($Q94,武学奇术!$A:$ZZ,20,FALSE)+SUM(_xlfn.XLOOKUP($R94:$AK94,增益!$A:$A,增益!$T:$T,0))</f>
        <v>1.35</v>
      </c>
      <c r="BS94" s="24">
        <f t="shared" si="20"/>
        <v>0.9071</v>
      </c>
      <c r="BT94" s="24">
        <f t="shared" si="21"/>
        <v>0</v>
      </c>
      <c r="BU94" s="24">
        <f>IF(VLOOKUP($Q94,武学奇术!$A:$ZZ,22,FALSE)=1,0,(1-$BN94))*(1-$BQ94)</f>
        <v>0</v>
      </c>
      <c r="BV94" s="24" cm="1">
        <f t="array" ref="BV94">SUM(_xlfn.XLOOKUP($R94:$AK94,增益!$A:$A,增益!$W:$W,0))+$I$5</f>
        <v>0.06</v>
      </c>
    </row>
    <row r="95" spans="1:74">
      <c r="A95" s="4" t="s">
        <v>159</v>
      </c>
      <c r="B95" s="88">
        <v>1.3</v>
      </c>
      <c r="K95" s="38">
        <f t="shared" si="11"/>
        <v>95754.8186615632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弹道",$B$21,0))*(1+$BV95)</f>
        <v>97912.186589997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弹道",$B$21,0))*(1+$BV95)</f>
        <v>74689.7115799455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弹道",$B$21,0))*(1+$BV95)</f>
        <v>49955.1972397944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弹道",$B$21,0))*(1+$BV95)</f>
        <v>44584.6821981477</v>
      </c>
      <c r="P95" s="39">
        <v>2</v>
      </c>
      <c r="Q95" s="40" t="s">
        <v>113</v>
      </c>
      <c r="R95" s="40" t="s">
        <v>82</v>
      </c>
      <c r="S95" s="40" t="s">
        <v>176</v>
      </c>
      <c r="T95" s="40" t="s">
        <v>106</v>
      </c>
      <c r="U95" s="40" t="s">
        <v>90</v>
      </c>
      <c r="V95" s="40" t="s">
        <v>102</v>
      </c>
      <c r="W95" s="40" t="s">
        <v>78</v>
      </c>
      <c r="X95" s="40" t="s">
        <v>78</v>
      </c>
      <c r="Y95" s="40" t="s">
        <v>78</v>
      </c>
      <c r="Z95" s="40" t="s">
        <v>78</v>
      </c>
      <c r="AA95" s="40" t="s">
        <v>78</v>
      </c>
      <c r="AB95" s="40" t="s">
        <v>78</v>
      </c>
      <c r="AC95" s="40" t="s">
        <v>78</v>
      </c>
      <c r="AD95" s="40" t="s">
        <v>78</v>
      </c>
      <c r="AE95" s="40" t="s">
        <v>78</v>
      </c>
      <c r="AF95" s="40" t="s">
        <v>78</v>
      </c>
      <c r="AG95" s="40" t="s">
        <v>78</v>
      </c>
      <c r="AH95" s="40" t="s">
        <v>78</v>
      </c>
      <c r="AI95" s="40" t="s">
        <v>78</v>
      </c>
      <c r="AJ95" s="40" t="s">
        <v>78</v>
      </c>
      <c r="AK95" s="40" t="s">
        <v>78</v>
      </c>
      <c r="AL95" t="str">
        <f>VLOOKUP($Q95,武学奇术!$A:$ZZ,25,FALSE)</f>
        <v>伞</v>
      </c>
      <c r="AM95" s="24">
        <f>VLOOKUP($Q95,武学奇术!$A:$ZZ,26,FALSE)</f>
        <v>1.174955</v>
      </c>
      <c r="AN95" s="25">
        <f>VLOOKUP($Q95,武学奇术!$A:$ZZ,27,FALSE)*(1+IF(OR($AL95=$F$4,$AL95=$F$5),$B$22,0))</f>
        <v>486.45</v>
      </c>
      <c r="AO95" s="24">
        <f>VLOOKUP($Q95,武学奇术!$A:$ZZ,28,FALSE)</f>
        <v>1.762375</v>
      </c>
      <c r="AP95" s="25">
        <f>VLOOKUP($Q95,武学奇术!$A:$ZZ,29,FALSE)*(1+IF(OR($AL95=$F$4,$AL95=$F$5),$B$22,0))</f>
        <v>265.65</v>
      </c>
      <c r="AQ95" s="24" cm="1">
        <f t="array" ref="AQ95">$G$3+IFERROR(VLOOKUP($AL95,$F$4:$G$7,2,FALSE),0)+VLOOKUP($Q95,武学奇术!$A:$ZZ,2,FALSE)+SUM(_xlfn.XLOOKUP($R95:$AK95,增益!$A:$A,增益!$B:$B,0))</f>
        <v>0.9441</v>
      </c>
      <c r="AR95" s="24" cm="1">
        <f t="array" ref="AR95">VLOOKUP($Q95,武学奇术!$A:$ZZ,5,FALSE)+SUM(_xlfn.XLOOKUP($R95:$AK95,增益!$A:$A,增益!$E:$E,0))</f>
        <v>0.075</v>
      </c>
      <c r="AS95" cm="1">
        <f t="array" ref="AS95">$D$10*(1+$AR95)+VLOOKUP($Q95,武学奇术!$A:$ZZ,3,FALSE)+SUM(_xlfn.XLOOKUP($R95:$AK95,增益!$A:$A,增益!$C:$C,0))-$I$2</f>
        <v>4063.1171</v>
      </c>
      <c r="AT95" cm="1">
        <f t="array" ref="AT95">$E$10*(1+$AR95)+VLOOKUP($Q95,武学奇术!$A:$ZZ,4,FALSE)+SUM(_xlfn.XLOOKUP($R95:$AK95,增益!$A:$A,增益!$D:$D,0))-$I$2</f>
        <v>4063.1171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0.2375</v>
      </c>
      <c r="AV95" s="32" cm="1">
        <f t="array" ref="AV95">$G$10+VLOOKUP($Q95,武学奇术!$A:$ZZ,7,FALSE)+SUM(_xlfn.XLOOKUP($R95:$AK95,增益!$A:$A,增益!$G:$G,0))</f>
        <v>0</v>
      </c>
      <c r="AW95" s="24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16"/>
        <v>605.472</v>
      </c>
      <c r="BG95">
        <f t="shared" si="17"/>
        <v>1579.612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4">
        <f>MIN(IF(VLOOKUP($Q95,武学奇术!$A:$ZZ,23,FALSE)=1,100%,$B$8),100%)</f>
        <v>1</v>
      </c>
      <c r="BO95" s="24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0.9093</v>
      </c>
      <c r="BP95" s="24" cm="1">
        <f t="array" ref="BP95">1+$B$13+VLOOKUP($Q95,武学奇术!$A:$ZZ,18,FALSE)+SUM(_xlfn.XLOOKUP($R95:$AK95,增益!$A:$A,增益!$R:$R,0))</f>
        <v>1.96</v>
      </c>
      <c r="BQ95" s="24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4" cm="1">
        <f t="array" ref="BR95">1+$B$14+VLOOKUP($Q95,武学奇术!$A:$ZZ,20,FALSE)+SUM(_xlfn.XLOOKUP($R95:$AK95,增益!$A:$A,增益!$T:$T,0))</f>
        <v>1.35</v>
      </c>
      <c r="BS95" s="24">
        <f t="shared" si="20"/>
        <v>0.9071</v>
      </c>
      <c r="BT95" s="24">
        <f t="shared" si="21"/>
        <v>0</v>
      </c>
      <c r="BU95" s="24">
        <f>IF(VLOOKUP($Q95,武学奇术!$A:$ZZ,22,FALSE)=1,0,(1-$BN95))*(1-$BQ95)</f>
        <v>0</v>
      </c>
      <c r="BV95" s="24" cm="1">
        <f t="array" ref="BV95">SUM(_xlfn.XLOOKUP($R95:$AK95,增益!$A:$A,增益!$W:$W,0))+$I$5</f>
        <v>0.06</v>
      </c>
    </row>
    <row r="96" spans="1:74">
      <c r="A96" s="4" t="s">
        <v>111</v>
      </c>
      <c r="B96" s="88">
        <v>1.16</v>
      </c>
      <c r="K96" s="38">
        <f t="shared" si="11"/>
        <v>193589.73869999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弹道",$B$21,0))*(1+$BV96)</f>
        <v>197959.271241911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弹道",$B$21,0))*(1+$BV96)</f>
        <v>150924.475311649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弹道",$B$21,0))*(1+$BV96)</f>
        <v>100999.628184648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弹道",$B$21,0))*(1+$BV96)</f>
        <v>90203.3487310382</v>
      </c>
      <c r="P96" s="39">
        <v>4</v>
      </c>
      <c r="Q96" s="40" t="s">
        <v>113</v>
      </c>
      <c r="R96" s="40" t="s">
        <v>88</v>
      </c>
      <c r="S96" s="40" t="s">
        <v>176</v>
      </c>
      <c r="T96" s="40" t="s">
        <v>106</v>
      </c>
      <c r="U96" s="40" t="s">
        <v>90</v>
      </c>
      <c r="V96" s="40" t="s">
        <v>102</v>
      </c>
      <c r="W96" s="40" t="s">
        <v>78</v>
      </c>
      <c r="X96" s="40" t="s">
        <v>78</v>
      </c>
      <c r="Y96" s="40" t="s">
        <v>78</v>
      </c>
      <c r="Z96" s="40" t="s">
        <v>78</v>
      </c>
      <c r="AA96" s="40" t="s">
        <v>78</v>
      </c>
      <c r="AB96" s="40" t="s">
        <v>78</v>
      </c>
      <c r="AC96" s="40" t="s">
        <v>78</v>
      </c>
      <c r="AD96" s="40" t="s">
        <v>78</v>
      </c>
      <c r="AE96" s="40" t="s">
        <v>78</v>
      </c>
      <c r="AF96" s="40" t="s">
        <v>78</v>
      </c>
      <c r="AG96" s="40" t="s">
        <v>78</v>
      </c>
      <c r="AH96" s="40" t="s">
        <v>78</v>
      </c>
      <c r="AI96" s="40" t="s">
        <v>78</v>
      </c>
      <c r="AJ96" s="40" t="s">
        <v>78</v>
      </c>
      <c r="AK96" s="40" t="s">
        <v>78</v>
      </c>
      <c r="AL96" t="str">
        <f>VLOOKUP($Q96,武学奇术!$A:$ZZ,25,FALSE)</f>
        <v>伞</v>
      </c>
      <c r="AM96" s="24">
        <f>VLOOKUP($Q96,武学奇术!$A:$ZZ,26,FALSE)</f>
        <v>1.174955</v>
      </c>
      <c r="AN96" s="25">
        <f>VLOOKUP($Q96,武学奇术!$A:$ZZ,27,FALSE)*(1+IF(OR($AL96=$F$4,$AL96=$F$5),$B$22,0))</f>
        <v>486.45</v>
      </c>
      <c r="AO96" s="24">
        <f>VLOOKUP($Q96,武学奇术!$A:$ZZ,28,FALSE)</f>
        <v>1.762375</v>
      </c>
      <c r="AP96" s="25">
        <f>VLOOKUP($Q96,武学奇术!$A:$ZZ,29,FALSE)*(1+IF(OR($AL96=$F$4,$AL96=$F$5),$B$22,0))</f>
        <v>265.65</v>
      </c>
      <c r="AQ96" s="24" cm="1">
        <f t="array" ref="AQ96">$G$3+IFERROR(VLOOKUP($AL96,$F$4:$G$7,2,FALSE),0)+VLOOKUP($Q96,武学奇术!$A:$ZZ,2,FALSE)+SUM(_xlfn.XLOOKUP($R96:$AK96,增益!$A:$A,增益!$B:$B,0))</f>
        <v>0.9541</v>
      </c>
      <c r="AR96" s="24" cm="1">
        <f t="array" ref="AR96">VLOOKUP($Q96,武学奇术!$A:$ZZ,5,FALSE)+SUM(_xlfn.XLOOKUP($R96:$AK96,增益!$A:$A,增益!$E:$E,0))</f>
        <v>0.075</v>
      </c>
      <c r="AS96" cm="1">
        <f t="array" ref="AS96">$D$10*(1+$AR96)+VLOOKUP($Q96,武学奇术!$A:$ZZ,3,FALSE)+SUM(_xlfn.XLOOKUP($R96:$AK96,增益!$A:$A,增益!$C:$C,0))-$I$2</f>
        <v>4063.1171</v>
      </c>
      <c r="AT96" cm="1">
        <f t="array" ref="AT96">$E$10*(1+$AR96)+VLOOKUP($Q96,武学奇术!$A:$ZZ,4,FALSE)+SUM(_xlfn.XLOOKUP($R96:$AK96,增益!$A:$A,增益!$D:$D,0))-$I$2</f>
        <v>4063.1171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0.2475</v>
      </c>
      <c r="AV96" s="32" cm="1">
        <f t="array" ref="AV96">$G$10+VLOOKUP($Q96,武学奇术!$A:$ZZ,7,FALSE)+SUM(_xlfn.XLOOKUP($R96:$AK96,增益!$A:$A,增益!$G:$G,0))</f>
        <v>0</v>
      </c>
      <c r="AW96" s="24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16"/>
        <v>605.472</v>
      </c>
      <c r="BG96">
        <f t="shared" si="17"/>
        <v>1579.612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4">
        <f>MIN(IF(VLOOKUP($Q96,武学奇术!$A:$ZZ,23,FALSE)=1,100%,$B$8),100%)</f>
        <v>1</v>
      </c>
      <c r="BO96" s="24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0.9093</v>
      </c>
      <c r="BP96" s="24" cm="1">
        <f t="array" ref="BP96">1+$B$13+VLOOKUP($Q96,武学奇术!$A:$ZZ,18,FALSE)+SUM(_xlfn.XLOOKUP($R96:$AK96,增益!$A:$A,增益!$R:$R,0))</f>
        <v>1.96</v>
      </c>
      <c r="BQ96" s="24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4" cm="1">
        <f t="array" ref="BR96">1+$B$14+VLOOKUP($Q96,武学奇术!$A:$ZZ,20,FALSE)+SUM(_xlfn.XLOOKUP($R96:$AK96,增益!$A:$A,增益!$T:$T,0))</f>
        <v>1.35</v>
      </c>
      <c r="BS96" s="24">
        <f t="shared" si="20"/>
        <v>0.9071</v>
      </c>
      <c r="BT96" s="24">
        <f t="shared" si="21"/>
        <v>0</v>
      </c>
      <c r="BU96" s="24">
        <f>IF(VLOOKUP($Q96,武学奇术!$A:$ZZ,22,FALSE)=1,0,(1-$BN96))*(1-$BQ96)</f>
        <v>0</v>
      </c>
      <c r="BV96" s="24" cm="1">
        <f t="array" ref="BV96">SUM(_xlfn.XLOOKUP($R96:$AK96,增益!$A:$A,增益!$W:$W,0))+$I$5</f>
        <v>0.06</v>
      </c>
    </row>
    <row r="97" spans="1:74">
      <c r="A97" s="4" t="s">
        <v>161</v>
      </c>
      <c r="B97" s="4">
        <v>0.1</v>
      </c>
      <c r="K97" s="38">
        <f t="shared" si="11"/>
        <v>204951.752962761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弹道",$B$21,0))*(1+$BV97)</f>
        <v>211403.398537486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弹道",$B$21,0))*(1+$BV97)</f>
        <v>141956.191059284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弹道",$B$21,0))*(1+$BV97)</f>
        <v>95657.6463970523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弹道",$B$21,0))*(1+$BV97)</f>
        <v>86162.5586761162</v>
      </c>
      <c r="P97" s="39">
        <v>3.5</v>
      </c>
      <c r="Q97" s="40" t="s">
        <v>113</v>
      </c>
      <c r="R97" s="40" t="s">
        <v>93</v>
      </c>
      <c r="S97" s="40" t="s">
        <v>176</v>
      </c>
      <c r="T97" s="40" t="s">
        <v>106</v>
      </c>
      <c r="U97" s="40" t="s">
        <v>90</v>
      </c>
      <c r="V97" s="40" t="s">
        <v>102</v>
      </c>
      <c r="W97" s="40" t="s">
        <v>78</v>
      </c>
      <c r="X97" s="40" t="s">
        <v>78</v>
      </c>
      <c r="Y97" s="40" t="s">
        <v>151</v>
      </c>
      <c r="Z97" s="40" t="s">
        <v>78</v>
      </c>
      <c r="AA97" s="40" t="s">
        <v>78</v>
      </c>
      <c r="AB97" s="40" t="s">
        <v>78</v>
      </c>
      <c r="AC97" s="40" t="s">
        <v>78</v>
      </c>
      <c r="AD97" s="40" t="s">
        <v>78</v>
      </c>
      <c r="AE97" s="40" t="s">
        <v>78</v>
      </c>
      <c r="AF97" s="40" t="s">
        <v>78</v>
      </c>
      <c r="AG97" s="40" t="s">
        <v>78</v>
      </c>
      <c r="AH97" s="40" t="s">
        <v>78</v>
      </c>
      <c r="AI97" s="40" t="s">
        <v>78</v>
      </c>
      <c r="AJ97" s="40" t="s">
        <v>78</v>
      </c>
      <c r="AK97" s="40" t="s">
        <v>78</v>
      </c>
      <c r="AL97" t="str">
        <f>VLOOKUP($Q97,武学奇术!$A:$ZZ,25,FALSE)</f>
        <v>伞</v>
      </c>
      <c r="AM97" s="24">
        <f>VLOOKUP($Q97,武学奇术!$A:$ZZ,26,FALSE)</f>
        <v>1.174955</v>
      </c>
      <c r="AN97" s="25">
        <f>VLOOKUP($Q97,武学奇术!$A:$ZZ,27,FALSE)*(1+IF(OR($AL97=$F$4,$AL97=$F$5),$B$22,0))</f>
        <v>486.45</v>
      </c>
      <c r="AO97" s="24">
        <f>VLOOKUP($Q97,武学奇术!$A:$ZZ,28,FALSE)</f>
        <v>1.762375</v>
      </c>
      <c r="AP97" s="25">
        <f>VLOOKUP($Q97,武学奇术!$A:$ZZ,29,FALSE)*(1+IF(OR($AL97=$F$4,$AL97=$F$5),$B$22,0))</f>
        <v>265.65</v>
      </c>
      <c r="AQ97" s="24" cm="1">
        <f t="array" ref="AQ97">$G$3+IFERROR(VLOOKUP($AL97,$F$4:$G$7,2,FALSE),0)+VLOOKUP($Q97,武学奇术!$A:$ZZ,2,FALSE)+SUM(_xlfn.XLOOKUP($R97:$AK97,增益!$A:$A,增益!$B:$B,0))</f>
        <v>0.9641</v>
      </c>
      <c r="AR97" s="24" cm="1">
        <f t="array" ref="AR97">VLOOKUP($Q97,武学奇术!$A:$ZZ,5,FALSE)+SUM(_xlfn.XLOOKUP($R97:$AK97,增益!$A:$A,增益!$E:$E,0))</f>
        <v>0.075</v>
      </c>
      <c r="AS97" cm="1">
        <f t="array" ref="AS97">$D$10*(1+$AR97)+VLOOKUP($Q97,武学奇术!$A:$ZZ,3,FALSE)+SUM(_xlfn.XLOOKUP($R97:$AK97,增益!$A:$A,增益!$C:$C,0))-$I$2</f>
        <v>4063.1171</v>
      </c>
      <c r="AT97" cm="1">
        <f t="array" ref="AT97">$E$10*(1+$AR97)+VLOOKUP($Q97,武学奇术!$A:$ZZ,4,FALSE)+SUM(_xlfn.XLOOKUP($R97:$AK97,增益!$A:$A,增益!$D:$D,0))-$I$2</f>
        <v>4063.1171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0.3825</v>
      </c>
      <c r="AV97" s="32" cm="1">
        <f t="array" ref="AV97">$G$10+VLOOKUP($Q97,武学奇术!$A:$ZZ,7,FALSE)+SUM(_xlfn.XLOOKUP($R97:$AK97,增益!$A:$A,增益!$G:$G,0))</f>
        <v>0</v>
      </c>
      <c r="AW97" s="24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16"/>
        <v>605.472</v>
      </c>
      <c r="BG97">
        <f t="shared" si="17"/>
        <v>1579.612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4">
        <f>MIN(IF(VLOOKUP($Q97,武学奇术!$A:$ZZ,23,FALSE)=1,100%,$B$8),100%)</f>
        <v>1</v>
      </c>
      <c r="BO97" s="24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0.9093</v>
      </c>
      <c r="BP97" s="24" cm="1">
        <f t="array" ref="BP97">1+$B$13+VLOOKUP($Q97,武学奇术!$A:$ZZ,18,FALSE)+SUM(_xlfn.XLOOKUP($R97:$AK97,增益!$A:$A,增益!$R:$R,0))</f>
        <v>2.21</v>
      </c>
      <c r="BQ97" s="24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4" cm="1">
        <f t="array" ref="BR97">1+$B$14+VLOOKUP($Q97,武学奇术!$A:$ZZ,20,FALSE)+SUM(_xlfn.XLOOKUP($R97:$AK97,增益!$A:$A,增益!$T:$T,0))</f>
        <v>1.35</v>
      </c>
      <c r="BS97" s="24">
        <f t="shared" si="20"/>
        <v>0.9071</v>
      </c>
      <c r="BT97" s="24">
        <f t="shared" si="21"/>
        <v>0</v>
      </c>
      <c r="BU97" s="24">
        <f>IF(VLOOKUP($Q97,武学奇术!$A:$ZZ,22,FALSE)=1,0,(1-$BN97))*(1-$BQ97)</f>
        <v>0</v>
      </c>
      <c r="BV97" s="24" cm="1">
        <f t="array" ref="BV97">SUM(_xlfn.XLOOKUP($R97:$AK97,增益!$A:$A,增益!$W:$W,0))+$I$5</f>
        <v>0.06</v>
      </c>
    </row>
    <row r="98" spans="1:74">
      <c r="A98" s="4" t="s">
        <v>165</v>
      </c>
      <c r="B98" s="4">
        <v>1</v>
      </c>
      <c r="K98" s="38">
        <f t="shared" si="11"/>
        <v>65960.1101620021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弹道",$B$21,0))*(1+$BV98)</f>
        <v>66302.9711714115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弹道",$B$21,0))*(1+$BV98)</f>
        <v>62612.3252143677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弹道",$B$21,0))*(1+$BV98)</f>
        <v>41439.3569821322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弹道",$B$21,0))*(1+$BV98)</f>
        <v>36499.2138054735</v>
      </c>
      <c r="P98" s="39">
        <v>1</v>
      </c>
      <c r="Q98" s="40" t="s">
        <v>134</v>
      </c>
      <c r="R98" s="40" t="s">
        <v>82</v>
      </c>
      <c r="S98" s="40" t="s">
        <v>176</v>
      </c>
      <c r="T98" s="40" t="s">
        <v>78</v>
      </c>
      <c r="U98" s="40" t="s">
        <v>90</v>
      </c>
      <c r="V98" s="40" t="s">
        <v>78</v>
      </c>
      <c r="W98" s="40" t="s">
        <v>78</v>
      </c>
      <c r="X98" s="40" t="s">
        <v>78</v>
      </c>
      <c r="Y98" s="40" t="s">
        <v>78</v>
      </c>
      <c r="Z98" s="40" t="s">
        <v>78</v>
      </c>
      <c r="AA98" s="40" t="s">
        <v>78</v>
      </c>
      <c r="AB98" s="40" t="s">
        <v>78</v>
      </c>
      <c r="AC98" s="40" t="s">
        <v>78</v>
      </c>
      <c r="AD98" s="40" t="s">
        <v>78</v>
      </c>
      <c r="AE98" s="40" t="s">
        <v>78</v>
      </c>
      <c r="AF98" s="40" t="s">
        <v>78</v>
      </c>
      <c r="AG98" s="40" t="s">
        <v>78</v>
      </c>
      <c r="AH98" s="40" t="s">
        <v>78</v>
      </c>
      <c r="AI98" s="40" t="s">
        <v>78</v>
      </c>
      <c r="AJ98" s="40" t="s">
        <v>78</v>
      </c>
      <c r="AK98" s="40" t="s">
        <v>78</v>
      </c>
      <c r="AL98" t="str">
        <f>VLOOKUP($Q98,武学奇术!$A:$ZZ,25,FALSE)</f>
        <v>单体奇术</v>
      </c>
      <c r="AM98" s="24">
        <f>VLOOKUP($Q98,武学奇术!$A:$ZZ,26,FALSE)</f>
        <v>3.9863</v>
      </c>
      <c r="AN98" s="25">
        <f>VLOOKUP($Q98,武学奇术!$A:$ZZ,27,FALSE)*(1+IF(OR($AL98=$F$4,$AL98=$F$5),$B$22,0))</f>
        <v>778</v>
      </c>
      <c r="AO98" s="24">
        <f>VLOOKUP($Q98,武学奇术!$A:$ZZ,28,FALSE)</f>
        <v>5.97945</v>
      </c>
      <c r="AP98" s="25">
        <f>VLOOKUP($Q98,武学奇术!$A:$ZZ,29,FALSE)*(1+IF(OR($AL98=$F$4,$AL98=$F$5),$B$22,0))</f>
        <v>0</v>
      </c>
      <c r="AQ98" s="24" cm="1">
        <f t="array" ref="AQ98">$G$3+IFERROR(VLOOKUP($AL98,$F$4:$G$7,2,FALSE),0)+VLOOKUP($Q98,武学奇术!$A:$ZZ,2,FALSE)+SUM(_xlfn.XLOOKUP($R98:$AK98,增益!$A:$A,增益!$B:$B,0))</f>
        <v>0.3915</v>
      </c>
      <c r="AR98" s="24" cm="1">
        <f t="array" ref="AR98">VLOOKUP($Q98,武学奇术!$A:$ZZ,5,FALSE)+SUM(_xlfn.XLOOKUP($R98:$AK98,增益!$A:$A,增益!$E:$E,0))</f>
        <v>0.075</v>
      </c>
      <c r="AS98" cm="1">
        <f t="array" ref="AS98">$D$10*(1+$AR98)+VLOOKUP($Q98,武学奇术!$A:$ZZ,3,FALSE)+SUM(_xlfn.XLOOKUP($R98:$AK98,增益!$A:$A,增益!$C:$C,0))-$I$2</f>
        <v>4063.1171</v>
      </c>
      <c r="AT98" cm="1">
        <f t="array" ref="AT98">$E$10*(1+$AR98)+VLOOKUP($Q98,武学奇术!$A:$ZZ,4,FALSE)+SUM(_xlfn.XLOOKUP($R98:$AK98,增益!$A:$A,增益!$D:$D,0))-$I$2</f>
        <v>4063.1171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0.2125</v>
      </c>
      <c r="AV98" s="32" cm="1">
        <f t="array" ref="AV98">$G$10+VLOOKUP($Q98,武学奇术!$A:$ZZ,7,FALSE)+SUM(_xlfn.XLOOKUP($R98:$AK98,增益!$A:$A,增益!$G:$G,0))</f>
        <v>0</v>
      </c>
      <c r="AW98" s="24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16"/>
        <v>605.472</v>
      </c>
      <c r="BG98">
        <f t="shared" si="17"/>
        <v>1579.612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4">
        <f>MIN(IF(VLOOKUP($Q98,武学奇术!$A:$ZZ,23,FALSE)=1,100%,$B$8),100%)</f>
        <v>1</v>
      </c>
      <c r="BO98" s="24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0.9093</v>
      </c>
      <c r="BP98" s="24" cm="1">
        <f t="array" ref="BP98">1+$B$13+VLOOKUP($Q98,武学奇术!$A:$ZZ,18,FALSE)+SUM(_xlfn.XLOOKUP($R98:$AK98,增益!$A:$A,增益!$R:$R,0))</f>
        <v>1.6</v>
      </c>
      <c r="BQ98" s="24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4" cm="1">
        <f t="array" ref="BR98">1+$B$14+VLOOKUP($Q98,武学奇术!$A:$ZZ,20,FALSE)+SUM(_xlfn.XLOOKUP($R98:$AK98,增益!$A:$A,增益!$T:$T,0))</f>
        <v>1.35</v>
      </c>
      <c r="BS98" s="24">
        <f t="shared" si="20"/>
        <v>0.9071</v>
      </c>
      <c r="BT98" s="24">
        <f t="shared" si="21"/>
        <v>0</v>
      </c>
      <c r="BU98" s="24">
        <f>IF(VLOOKUP($Q98,武学奇术!$A:$ZZ,22,FALSE)=1,0,(1-$BN98))*(1-$BQ98)</f>
        <v>0</v>
      </c>
      <c r="BV98" s="24" cm="1">
        <f t="array" ref="BV98">SUM(_xlfn.XLOOKUP($R98:$AK98,增益!$A:$A,增益!$W:$W,0))+$I$5</f>
        <v>0.06</v>
      </c>
    </row>
    <row r="99" spans="1:74">
      <c r="A99" s="4" t="s">
        <v>180</v>
      </c>
      <c r="B99" s="4">
        <v>1.4</v>
      </c>
      <c r="K99" s="38">
        <f t="shared" si="11"/>
        <v>15619.4107693565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弹道",$B$21,0))*(1+$BV99)</f>
        <v>15700.594126658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弹道",$B$21,0))*(1+$BV99)</f>
        <v>14826.715146018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弹道",$B$21,0))*(1+$BV99)</f>
        <v>9812.87132916124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弹道",$B$21,0))*(1+$BV99)</f>
        <v>8642.99069830913</v>
      </c>
      <c r="P99" s="39">
        <v>4</v>
      </c>
      <c r="Q99" s="40" t="s">
        <v>137</v>
      </c>
      <c r="R99" s="40" t="s">
        <v>82</v>
      </c>
      <c r="S99" s="40" t="s">
        <v>176</v>
      </c>
      <c r="T99" s="40" t="s">
        <v>78</v>
      </c>
      <c r="U99" s="40" t="s">
        <v>90</v>
      </c>
      <c r="V99" s="40" t="s">
        <v>78</v>
      </c>
      <c r="W99" s="40" t="s">
        <v>78</v>
      </c>
      <c r="X99" s="40" t="s">
        <v>78</v>
      </c>
      <c r="Y99" s="40" t="s">
        <v>78</v>
      </c>
      <c r="Z99" s="40" t="s">
        <v>78</v>
      </c>
      <c r="AA99" s="40" t="s">
        <v>78</v>
      </c>
      <c r="AB99" s="40" t="s">
        <v>78</v>
      </c>
      <c r="AC99" s="40" t="s">
        <v>78</v>
      </c>
      <c r="AD99" s="40" t="s">
        <v>78</v>
      </c>
      <c r="AE99" s="40" t="s">
        <v>78</v>
      </c>
      <c r="AF99" s="40" t="s">
        <v>78</v>
      </c>
      <c r="AG99" s="40" t="s">
        <v>78</v>
      </c>
      <c r="AH99" s="40" t="s">
        <v>78</v>
      </c>
      <c r="AI99" s="40" t="s">
        <v>78</v>
      </c>
      <c r="AJ99" s="40" t="s">
        <v>78</v>
      </c>
      <c r="AK99" s="40" t="s">
        <v>78</v>
      </c>
      <c r="AL99" t="str">
        <f>VLOOKUP($Q99,武学奇术!$A:$ZZ,25,FALSE)</f>
        <v>单体奇术</v>
      </c>
      <c r="AM99" s="24">
        <f>VLOOKUP($Q99,武学奇术!$A:$ZZ,26,FALSE)</f>
        <v>0.236</v>
      </c>
      <c r="AN99" s="25">
        <f>VLOOKUP($Q99,武学奇术!$A:$ZZ,27,FALSE)*(1+IF(OR($AL99=$F$4,$AL99=$F$5),$B$22,0))</f>
        <v>46</v>
      </c>
      <c r="AO99" s="24">
        <f>VLOOKUP($Q99,武学奇术!$A:$ZZ,28,FALSE)</f>
        <v>0.354</v>
      </c>
      <c r="AP99" s="25">
        <f>VLOOKUP($Q99,武学奇术!$A:$ZZ,29,FALSE)*(1+IF(OR($AL99=$F$4,$AL99=$F$5),$B$22,0))</f>
        <v>0</v>
      </c>
      <c r="AQ99" s="24" cm="1">
        <f t="array" ref="AQ99">$G$3+IFERROR(VLOOKUP($AL99,$F$4:$G$7,2,FALSE),0)+VLOOKUP($Q99,武学奇术!$A:$ZZ,2,FALSE)+SUM(_xlfn.XLOOKUP($R99:$AK99,增益!$A:$A,增益!$B:$B,0))</f>
        <v>0.3915</v>
      </c>
      <c r="AR99" s="24" cm="1">
        <f t="array" ref="AR99">VLOOKUP($Q99,武学奇术!$A:$ZZ,5,FALSE)+SUM(_xlfn.XLOOKUP($R99:$AK99,增益!$A:$A,增益!$E:$E,0))</f>
        <v>0.075</v>
      </c>
      <c r="AS99" cm="1">
        <f t="array" ref="AS99">$D$10*(1+$AR99)+VLOOKUP($Q99,武学奇术!$A:$ZZ,3,FALSE)+SUM(_xlfn.XLOOKUP($R99:$AK99,增益!$A:$A,增益!$C:$C,0))-$I$2</f>
        <v>4063.1171</v>
      </c>
      <c r="AT99" cm="1">
        <f t="array" ref="AT99">$E$10*(1+$AR99)+VLOOKUP($Q99,武学奇术!$A:$ZZ,4,FALSE)+SUM(_xlfn.XLOOKUP($R99:$AK99,增益!$A:$A,增益!$D:$D,0))-$I$2</f>
        <v>4063.1171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0.2125</v>
      </c>
      <c r="AV99" s="32" cm="1">
        <f t="array" ref="AV99">$G$10+VLOOKUP($Q99,武学奇术!$A:$ZZ,7,FALSE)+SUM(_xlfn.XLOOKUP($R99:$AK99,增益!$A:$A,增益!$G:$G,0))</f>
        <v>0</v>
      </c>
      <c r="AW99" s="24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si="16"/>
        <v>605.472</v>
      </c>
      <c r="BG99">
        <f t="shared" si="17"/>
        <v>1579.612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4">
        <f>MIN(IF(VLOOKUP($Q99,武学奇术!$A:$ZZ,23,FALSE)=1,100%,$B$8),100%)</f>
        <v>1</v>
      </c>
      <c r="BO99" s="24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0.9093</v>
      </c>
      <c r="BP99" s="24" cm="1">
        <f t="array" ref="BP99">1+$B$13+VLOOKUP($Q99,武学奇术!$A:$ZZ,18,FALSE)+SUM(_xlfn.XLOOKUP($R99:$AK99,增益!$A:$A,增益!$R:$R,0))</f>
        <v>1.6</v>
      </c>
      <c r="BQ99" s="24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4" cm="1">
        <f t="array" ref="BR99">1+$B$14+VLOOKUP($Q99,武学奇术!$A:$ZZ,20,FALSE)+SUM(_xlfn.XLOOKUP($R99:$AK99,增益!$A:$A,增益!$T:$T,0))</f>
        <v>1.35</v>
      </c>
      <c r="BS99" s="24">
        <f t="shared" si="20"/>
        <v>0.9071</v>
      </c>
      <c r="BT99" s="24">
        <f t="shared" si="21"/>
        <v>0</v>
      </c>
      <c r="BU99" s="24">
        <f>IF(VLOOKUP($Q99,武学奇术!$A:$ZZ,22,FALSE)=1,0,(1-$BN99))*(1-$BQ99)</f>
        <v>0</v>
      </c>
      <c r="BV99" s="24" cm="1">
        <f t="array" ref="BV99">SUM(_xlfn.XLOOKUP($R99:$AK99,增益!$A:$A,增益!$W:$W,0))+$I$5</f>
        <v>0.06</v>
      </c>
    </row>
    <row r="100" spans="1:74">
      <c r="A100" t="s">
        <v>200</v>
      </c>
      <c r="B100">
        <v>2.5</v>
      </c>
      <c r="K100" s="38">
        <f t="shared" si="11"/>
        <v>20540.4555805352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弹道",$B$21,0))*(1+$BV100)</f>
        <v>20917.889219239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弹道",$B$21,0))*(1+$BV100)</f>
        <v>16855.0944000383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弹道",$B$21,0))*(1+$BV100)</f>
        <v>11306.9671455346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弹道",$B$21,0))*(1+$BV100)</f>
        <v>10128.6791799297</v>
      </c>
      <c r="P100" s="39">
        <v>4</v>
      </c>
      <c r="Q100" s="40" t="s">
        <v>137</v>
      </c>
      <c r="R100" s="40" t="s">
        <v>88</v>
      </c>
      <c r="S100" s="40" t="s">
        <v>176</v>
      </c>
      <c r="T100" s="40" t="s">
        <v>78</v>
      </c>
      <c r="U100" s="40" t="s">
        <v>171</v>
      </c>
      <c r="V100" s="40" t="s">
        <v>78</v>
      </c>
      <c r="W100" s="40" t="s">
        <v>78</v>
      </c>
      <c r="X100" s="40" t="s">
        <v>78</v>
      </c>
      <c r="Y100" s="40" t="s">
        <v>151</v>
      </c>
      <c r="Z100" s="40" t="s">
        <v>78</v>
      </c>
      <c r="AA100" s="40" t="s">
        <v>78</v>
      </c>
      <c r="AB100" s="40" t="s">
        <v>78</v>
      </c>
      <c r="AC100" s="40" t="s">
        <v>78</v>
      </c>
      <c r="AD100" s="40" t="s">
        <v>78</v>
      </c>
      <c r="AE100" s="40" t="s">
        <v>78</v>
      </c>
      <c r="AF100" s="40" t="s">
        <v>78</v>
      </c>
      <c r="AG100" s="40" t="s">
        <v>78</v>
      </c>
      <c r="AH100" s="40" t="s">
        <v>78</v>
      </c>
      <c r="AI100" s="40" t="s">
        <v>78</v>
      </c>
      <c r="AJ100" s="40" t="s">
        <v>78</v>
      </c>
      <c r="AK100" s="40" t="s">
        <v>78</v>
      </c>
      <c r="AL100" t="str">
        <f>VLOOKUP($Q100,武学奇术!$A:$ZZ,25,FALSE)</f>
        <v>单体奇术</v>
      </c>
      <c r="AM100" s="24">
        <f>VLOOKUP($Q100,武学奇术!$A:$ZZ,26,FALSE)</f>
        <v>0.236</v>
      </c>
      <c r="AN100" s="25">
        <f>VLOOKUP($Q100,武学奇术!$A:$ZZ,27,FALSE)*(1+IF(OR($AL100=$F$4,$AL100=$F$5),$B$22,0))</f>
        <v>46</v>
      </c>
      <c r="AO100" s="24">
        <f>VLOOKUP($Q100,武学奇术!$A:$ZZ,28,FALSE)</f>
        <v>0.354</v>
      </c>
      <c r="AP100" s="25">
        <f>VLOOKUP($Q100,武学奇术!$A:$ZZ,29,FALSE)*(1+IF(OR($AL100=$F$4,$AL100=$F$5),$B$22,0))</f>
        <v>0</v>
      </c>
      <c r="AQ100" s="24" cm="1">
        <f t="array" ref="AQ100">$G$3+IFERROR(VLOOKUP($AL100,$F$4:$G$7,2,FALSE),0)+VLOOKUP($Q100,武学奇术!$A:$ZZ,2,FALSE)+SUM(_xlfn.XLOOKUP($R100:$AK100,增益!$A:$A,增益!$B:$B,0))</f>
        <v>0.4015</v>
      </c>
      <c r="AR100" s="24" cm="1">
        <f t="array" ref="AR100">VLOOKUP($Q100,武学奇术!$A:$ZZ,5,FALSE)+SUM(_xlfn.XLOOKUP($R100:$AK100,增益!$A:$A,增益!$E:$E,0))</f>
        <v>0.15</v>
      </c>
      <c r="AS100" cm="1">
        <f t="array" ref="AS100">$D$10*(1+$AR100)+VLOOKUP($Q100,武学奇术!$A:$ZZ,3,FALSE)+SUM(_xlfn.XLOOKUP($R100:$AK100,增益!$A:$A,增益!$C:$C,0))-$I$2</f>
        <v>4389.8462</v>
      </c>
      <c r="AT100" cm="1">
        <f t="array" ref="AT100">$E$10*(1+$AR100)+VLOOKUP($Q100,武学奇术!$A:$ZZ,4,FALSE)+SUM(_xlfn.XLOOKUP($R100:$AK100,增益!$A:$A,增益!$D:$D,0))-$I$2</f>
        <v>4389.8462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0.3475</v>
      </c>
      <c r="AV100" s="32" cm="1">
        <f t="array" ref="AV100">$G$10+VLOOKUP($Q100,武学奇术!$A:$ZZ,7,FALSE)+SUM(_xlfn.XLOOKUP($R100:$AK100,增益!$A:$A,增益!$G:$G,0))</f>
        <v>0</v>
      </c>
      <c r="AW100" s="24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16"/>
        <v>605.472</v>
      </c>
      <c r="BG100">
        <f t="shared" si="17"/>
        <v>1579.612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4">
        <f>MIN(IF(VLOOKUP($Q100,武学奇术!$A:$ZZ,23,FALSE)=1,100%,$B$8),100%)</f>
        <v>1</v>
      </c>
      <c r="BO100" s="24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0.9093</v>
      </c>
      <c r="BP100" s="24" cm="1">
        <f t="array" ref="BP100">1+$B$13+VLOOKUP($Q100,武学奇术!$A:$ZZ,18,FALSE)+SUM(_xlfn.XLOOKUP($R100:$AK100,增益!$A:$A,增益!$R:$R,0))</f>
        <v>1.85</v>
      </c>
      <c r="BQ100" s="24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4" cm="1">
        <f t="array" ref="BR100">1+$B$14+VLOOKUP($Q100,武学奇术!$A:$ZZ,20,FALSE)+SUM(_xlfn.XLOOKUP($R100:$AK100,增益!$A:$A,增益!$T:$T,0))</f>
        <v>1.35</v>
      </c>
      <c r="BS100" s="24">
        <f t="shared" si="20"/>
        <v>0.9071</v>
      </c>
      <c r="BT100" s="24">
        <f t="shared" si="21"/>
        <v>0</v>
      </c>
      <c r="BU100" s="24">
        <f>IF(VLOOKUP($Q100,武学奇术!$A:$ZZ,22,FALSE)=1,0,(1-$BN100))*(1-$BQ100)</f>
        <v>0</v>
      </c>
      <c r="BV100" s="24" cm="1">
        <f t="array" ref="BV100">SUM(_xlfn.XLOOKUP($R100:$AK100,增益!$A:$A,增益!$W:$W,0))+$I$5</f>
        <v>0.06</v>
      </c>
    </row>
    <row r="101" spans="1:74">
      <c r="A101" s="4" t="s">
        <v>161</v>
      </c>
      <c r="B101" s="4">
        <v>0.1</v>
      </c>
      <c r="K101" s="38">
        <f t="shared" si="11"/>
        <v>20803.8055573704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弹道",$B$21,0))*(1+$BV101)</f>
        <v>21186.9401500434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弹道",$B$21,0))*(1+$BV101)</f>
        <v>17062.778764974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弹道",$B$21,0))*(1+$BV101)</f>
        <v>11452.4000811045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弹道",$B$21,0))*(1+$BV101)</f>
        <v>10265.7047807468</v>
      </c>
      <c r="P101" s="39">
        <v>4</v>
      </c>
      <c r="Q101" s="40" t="s">
        <v>137</v>
      </c>
      <c r="R101" s="40" t="s">
        <v>93</v>
      </c>
      <c r="S101" s="40" t="s">
        <v>176</v>
      </c>
      <c r="T101" s="40" t="s">
        <v>78</v>
      </c>
      <c r="U101" s="40" t="s">
        <v>171</v>
      </c>
      <c r="V101" s="40" t="s">
        <v>78</v>
      </c>
      <c r="W101" s="40" t="s">
        <v>78</v>
      </c>
      <c r="X101" s="40" t="s">
        <v>78</v>
      </c>
      <c r="Y101" s="40" t="s">
        <v>151</v>
      </c>
      <c r="Z101" s="40" t="s">
        <v>78</v>
      </c>
      <c r="AA101" s="40" t="s">
        <v>78</v>
      </c>
      <c r="AB101" s="40" t="s">
        <v>78</v>
      </c>
      <c r="AC101" s="40" t="s">
        <v>78</v>
      </c>
      <c r="AD101" s="40" t="s">
        <v>78</v>
      </c>
      <c r="AE101" s="40" t="s">
        <v>78</v>
      </c>
      <c r="AF101" s="40" t="s">
        <v>78</v>
      </c>
      <c r="AG101" s="40" t="s">
        <v>78</v>
      </c>
      <c r="AH101" s="40" t="s">
        <v>78</v>
      </c>
      <c r="AI101" s="40" t="s">
        <v>78</v>
      </c>
      <c r="AJ101" s="40" t="s">
        <v>78</v>
      </c>
      <c r="AK101" s="40" t="s">
        <v>78</v>
      </c>
      <c r="AL101" t="str">
        <f>VLOOKUP($Q101,武学奇术!$A:$ZZ,25,FALSE)</f>
        <v>单体奇术</v>
      </c>
      <c r="AM101" s="24">
        <f>VLOOKUP($Q101,武学奇术!$A:$ZZ,26,FALSE)</f>
        <v>0.236</v>
      </c>
      <c r="AN101" s="25">
        <f>VLOOKUP($Q101,武学奇术!$A:$ZZ,27,FALSE)*(1+IF(OR($AL101=$F$4,$AL101=$F$5),$B$22,0))</f>
        <v>46</v>
      </c>
      <c r="AO101" s="24">
        <f>VLOOKUP($Q101,武学奇术!$A:$ZZ,28,FALSE)</f>
        <v>0.354</v>
      </c>
      <c r="AP101" s="25">
        <f>VLOOKUP($Q101,武学奇术!$A:$ZZ,29,FALSE)*(1+IF(OR($AL101=$F$4,$AL101=$F$5),$B$22,0))</f>
        <v>0</v>
      </c>
      <c r="AQ101" s="24" cm="1">
        <f t="array" ref="AQ101">$G$3+IFERROR(VLOOKUP($AL101,$F$4:$G$7,2,FALSE),0)+VLOOKUP($Q101,武学奇术!$A:$ZZ,2,FALSE)+SUM(_xlfn.XLOOKUP($R101:$AK101,增益!$A:$A,增益!$B:$B,0))</f>
        <v>0.4115</v>
      </c>
      <c r="AR101" s="24" cm="1">
        <f t="array" ref="AR101">VLOOKUP($Q101,武学奇术!$A:$ZZ,5,FALSE)+SUM(_xlfn.XLOOKUP($R101:$AK101,增益!$A:$A,增益!$E:$E,0))</f>
        <v>0.15</v>
      </c>
      <c r="AS101" cm="1">
        <f t="array" ref="AS101">$D$10*(1+$AR101)+VLOOKUP($Q101,武学奇术!$A:$ZZ,3,FALSE)+SUM(_xlfn.XLOOKUP($R101:$AK101,增益!$A:$A,增益!$C:$C,0))-$I$2</f>
        <v>4389.8462</v>
      </c>
      <c r="AT101" cm="1">
        <f t="array" ref="AT101">$E$10*(1+$AR101)+VLOOKUP($Q101,武学奇术!$A:$ZZ,4,FALSE)+SUM(_xlfn.XLOOKUP($R101:$AK101,增益!$A:$A,增益!$D:$D,0))-$I$2</f>
        <v>4389.8462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0.3575</v>
      </c>
      <c r="AV101" s="32" cm="1">
        <f t="array" ref="AV101">$G$10+VLOOKUP($Q101,武学奇术!$A:$ZZ,7,FALSE)+SUM(_xlfn.XLOOKUP($R101:$AK101,增益!$A:$A,增益!$G:$G,0))</f>
        <v>0</v>
      </c>
      <c r="AW101" s="24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16"/>
        <v>605.472</v>
      </c>
      <c r="BG101">
        <f t="shared" si="17"/>
        <v>1579.612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4">
        <f>MIN(IF(VLOOKUP($Q101,武学奇术!$A:$ZZ,23,FALSE)=1,100%,$B$8),100%)</f>
        <v>1</v>
      </c>
      <c r="BO101" s="24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0.9093</v>
      </c>
      <c r="BP101" s="24" cm="1">
        <f t="array" ref="BP101">1+$B$13+VLOOKUP($Q101,武学奇术!$A:$ZZ,18,FALSE)+SUM(_xlfn.XLOOKUP($R101:$AK101,增益!$A:$A,增益!$R:$R,0))</f>
        <v>1.85</v>
      </c>
      <c r="BQ101" s="24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4" cm="1">
        <f t="array" ref="BR101">1+$B$14+VLOOKUP($Q101,武学奇术!$A:$ZZ,20,FALSE)+SUM(_xlfn.XLOOKUP($R101:$AK101,增益!$A:$A,增益!$T:$T,0))</f>
        <v>1.35</v>
      </c>
      <c r="BS101" s="24">
        <f t="shared" si="20"/>
        <v>0.9071</v>
      </c>
      <c r="BT101" s="24">
        <f t="shared" si="21"/>
        <v>0</v>
      </c>
      <c r="BU101" s="24">
        <f>IF(VLOOKUP($Q101,武学奇术!$A:$ZZ,22,FALSE)=1,0,(1-$BN101))*(1-$BQ101)</f>
        <v>0</v>
      </c>
      <c r="BV101" s="24" cm="1">
        <f t="array" ref="BV101">SUM(_xlfn.XLOOKUP($R101:$AK101,增益!$A:$A,增益!$W:$W,0))+$I$5</f>
        <v>0.06</v>
      </c>
    </row>
    <row r="102" spans="1:74">
      <c r="A102" s="4" t="s">
        <v>159</v>
      </c>
      <c r="B102" s="88">
        <v>1.3</v>
      </c>
      <c r="K102" s="38">
        <f t="shared" si="11"/>
        <v>10534.4051809611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弹道",$B$21,0))*(1+$BV102)</f>
        <v>10728.8442641287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弹道",$B$21,0))*(1+$BV102)</f>
        <v>8635.85090387457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弹道",$B$21,0))*(1+$BV102)</f>
        <v>5799.37527790739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弹道",$B$21,0))*(1+$BV102)</f>
        <v>5201.82396035213</v>
      </c>
      <c r="P102" s="39">
        <v>2</v>
      </c>
      <c r="Q102" s="40" t="s">
        <v>137</v>
      </c>
      <c r="R102" s="40" t="s">
        <v>97</v>
      </c>
      <c r="S102" s="40" t="s">
        <v>176</v>
      </c>
      <c r="T102" s="40" t="s">
        <v>78</v>
      </c>
      <c r="U102" s="40" t="s">
        <v>171</v>
      </c>
      <c r="V102" s="40" t="s">
        <v>78</v>
      </c>
      <c r="W102" s="40" t="s">
        <v>78</v>
      </c>
      <c r="X102" s="40" t="s">
        <v>78</v>
      </c>
      <c r="Y102" s="40" t="s">
        <v>151</v>
      </c>
      <c r="Z102" s="40" t="s">
        <v>78</v>
      </c>
      <c r="AA102" s="40" t="s">
        <v>78</v>
      </c>
      <c r="AB102" s="40" t="s">
        <v>78</v>
      </c>
      <c r="AC102" s="40" t="s">
        <v>78</v>
      </c>
      <c r="AD102" s="40" t="s">
        <v>78</v>
      </c>
      <c r="AE102" s="40" t="s">
        <v>78</v>
      </c>
      <c r="AF102" s="40" t="s">
        <v>78</v>
      </c>
      <c r="AG102" s="40" t="s">
        <v>78</v>
      </c>
      <c r="AH102" s="40" t="s">
        <v>78</v>
      </c>
      <c r="AI102" s="40" t="s">
        <v>78</v>
      </c>
      <c r="AJ102" s="40" t="s">
        <v>78</v>
      </c>
      <c r="AK102" s="40" t="s">
        <v>78</v>
      </c>
      <c r="AL102" t="str">
        <f>VLOOKUP($Q102,武学奇术!$A:$ZZ,25,FALSE)</f>
        <v>单体奇术</v>
      </c>
      <c r="AM102" s="24">
        <f>VLOOKUP($Q102,武学奇术!$A:$ZZ,26,FALSE)</f>
        <v>0.236</v>
      </c>
      <c r="AN102" s="25">
        <f>VLOOKUP($Q102,武学奇术!$A:$ZZ,27,FALSE)*(1+IF(OR($AL102=$F$4,$AL102=$F$5),$B$22,0))</f>
        <v>46</v>
      </c>
      <c r="AO102" s="24">
        <f>VLOOKUP($Q102,武学奇术!$A:$ZZ,28,FALSE)</f>
        <v>0.354</v>
      </c>
      <c r="AP102" s="25">
        <f>VLOOKUP($Q102,武学奇术!$A:$ZZ,29,FALSE)*(1+IF(OR($AL102=$F$4,$AL102=$F$5),$B$22,0))</f>
        <v>0</v>
      </c>
      <c r="AQ102" s="24" cm="1">
        <f t="array" ref="AQ102">$G$3+IFERROR(VLOOKUP($AL102,$F$4:$G$7,2,FALSE),0)+VLOOKUP($Q102,武学奇术!$A:$ZZ,2,FALSE)+SUM(_xlfn.XLOOKUP($R102:$AK102,增益!$A:$A,增益!$B:$B,0))</f>
        <v>0.4215</v>
      </c>
      <c r="AR102" s="24" cm="1">
        <f t="array" ref="AR102">VLOOKUP($Q102,武学奇术!$A:$ZZ,5,FALSE)+SUM(_xlfn.XLOOKUP($R102:$AK102,增益!$A:$A,增益!$E:$E,0))</f>
        <v>0.15</v>
      </c>
      <c r="AS102" cm="1">
        <f t="array" ref="AS102">$D$10*(1+$AR102)+VLOOKUP($Q102,武学奇术!$A:$ZZ,3,FALSE)+SUM(_xlfn.XLOOKUP($R102:$AK102,增益!$A:$A,增益!$C:$C,0))-$I$2</f>
        <v>4389.8462</v>
      </c>
      <c r="AT102" cm="1">
        <f t="array" ref="AT102">$E$10*(1+$AR102)+VLOOKUP($Q102,武学奇术!$A:$ZZ,4,FALSE)+SUM(_xlfn.XLOOKUP($R102:$AK102,增益!$A:$A,增益!$D:$D,0))-$I$2</f>
        <v>4389.8462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0.3675</v>
      </c>
      <c r="AV102" s="32" cm="1">
        <f t="array" ref="AV102">$G$10+VLOOKUP($Q102,武学奇术!$A:$ZZ,7,FALSE)+SUM(_xlfn.XLOOKUP($R102:$AK102,增益!$A:$A,增益!$G:$G,0))</f>
        <v>0</v>
      </c>
      <c r="AW102" s="24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16"/>
        <v>605.472</v>
      </c>
      <c r="BG102">
        <f t="shared" si="17"/>
        <v>1579.612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4">
        <f>MIN(IF(VLOOKUP($Q102,武学奇术!$A:$ZZ,23,FALSE)=1,100%,$B$8),100%)</f>
        <v>1</v>
      </c>
      <c r="BO102" s="24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0.9093</v>
      </c>
      <c r="BP102" s="24" cm="1">
        <f t="array" ref="BP102">1+$B$13+VLOOKUP($Q102,武学奇术!$A:$ZZ,18,FALSE)+SUM(_xlfn.XLOOKUP($R102:$AK102,增益!$A:$A,增益!$R:$R,0))</f>
        <v>1.85</v>
      </c>
      <c r="BQ102" s="24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4" cm="1">
        <f t="array" ref="BR102">1+$B$14+VLOOKUP($Q102,武学奇术!$A:$ZZ,20,FALSE)+SUM(_xlfn.XLOOKUP($R102:$AK102,增益!$A:$A,增益!$T:$T,0))</f>
        <v>1.35</v>
      </c>
      <c r="BS102" s="24">
        <f t="shared" si="20"/>
        <v>0.9071</v>
      </c>
      <c r="BT102" s="24">
        <f t="shared" si="21"/>
        <v>0</v>
      </c>
      <c r="BU102" s="24">
        <f>IF(VLOOKUP($Q102,武学奇术!$A:$ZZ,22,FALSE)=1,0,(1-$BN102))*(1-$BQ102)</f>
        <v>0</v>
      </c>
      <c r="BV102" s="24" cm="1">
        <f t="array" ref="BV102">SUM(_xlfn.XLOOKUP($R102:$AK102,增益!$A:$A,增益!$W:$W,0))+$I$5</f>
        <v>0.06</v>
      </c>
    </row>
    <row r="103" spans="1:74">
      <c r="A103" s="4" t="s">
        <v>111</v>
      </c>
      <c r="B103" s="88">
        <v>1.16</v>
      </c>
      <c r="K103" s="38">
        <f t="shared" si="11"/>
        <v>21441.4428543141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弹道",$B$21,0))*(1+$BV103)</f>
        <v>21567.1487516848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弹道",$B$21,0))*(1+$BV103)</f>
        <v>20214.0174559831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弹道",$B$21,0))*(1+$BV103)</f>
        <v>13479.467969803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弹道",$B$21,0))*(1+$BV103)</f>
        <v>11985.5896759149</v>
      </c>
      <c r="P103" s="39">
        <v>5</v>
      </c>
      <c r="Q103" s="40" t="s">
        <v>137</v>
      </c>
      <c r="R103" s="40" t="s">
        <v>97</v>
      </c>
      <c r="S103" s="40" t="s">
        <v>176</v>
      </c>
      <c r="T103" s="40" t="s">
        <v>78</v>
      </c>
      <c r="U103" s="40" t="s">
        <v>171</v>
      </c>
      <c r="V103" s="40" t="s">
        <v>78</v>
      </c>
      <c r="W103" s="40" t="s">
        <v>78</v>
      </c>
      <c r="X103" s="40" t="s">
        <v>78</v>
      </c>
      <c r="Y103" s="40" t="s">
        <v>78</v>
      </c>
      <c r="Z103" s="40" t="s">
        <v>78</v>
      </c>
      <c r="AA103" s="40" t="s">
        <v>78</v>
      </c>
      <c r="AB103" s="40" t="s">
        <v>78</v>
      </c>
      <c r="AC103" s="40" t="s">
        <v>78</v>
      </c>
      <c r="AD103" s="40" t="s">
        <v>78</v>
      </c>
      <c r="AE103" s="40" t="s">
        <v>78</v>
      </c>
      <c r="AF103" s="40" t="s">
        <v>78</v>
      </c>
      <c r="AG103" s="40" t="s">
        <v>78</v>
      </c>
      <c r="AH103" s="40" t="s">
        <v>78</v>
      </c>
      <c r="AI103" s="40" t="s">
        <v>78</v>
      </c>
      <c r="AJ103" s="40" t="s">
        <v>78</v>
      </c>
      <c r="AK103" s="40" t="s">
        <v>78</v>
      </c>
      <c r="AL103" t="str">
        <f>VLOOKUP($Q103,武学奇术!$A:$ZZ,25,FALSE)</f>
        <v>单体奇术</v>
      </c>
      <c r="AM103" s="24">
        <f>VLOOKUP($Q103,武学奇术!$A:$ZZ,26,FALSE)</f>
        <v>0.236</v>
      </c>
      <c r="AN103" s="25">
        <f>VLOOKUP($Q103,武学奇术!$A:$ZZ,27,FALSE)*(1+IF(OR($AL103=$F$4,$AL103=$F$5),$B$22,0))</f>
        <v>46</v>
      </c>
      <c r="AO103" s="24">
        <f>VLOOKUP($Q103,武学奇术!$A:$ZZ,28,FALSE)</f>
        <v>0.354</v>
      </c>
      <c r="AP103" s="25">
        <f>VLOOKUP($Q103,武学奇术!$A:$ZZ,29,FALSE)*(1+IF(OR($AL103=$F$4,$AL103=$F$5),$B$22,0))</f>
        <v>0</v>
      </c>
      <c r="AQ103" s="24" cm="1">
        <f t="array" ref="AQ103">$G$3+IFERROR(VLOOKUP($AL103,$F$4:$G$7,2,FALSE),0)+VLOOKUP($Q103,武学奇术!$A:$ZZ,2,FALSE)+SUM(_xlfn.XLOOKUP($R103:$AK103,增益!$A:$A,增益!$B:$B,0))</f>
        <v>0.4215</v>
      </c>
      <c r="AR103" s="24" cm="1">
        <f t="array" ref="AR103">VLOOKUP($Q103,武学奇术!$A:$ZZ,5,FALSE)+SUM(_xlfn.XLOOKUP($R103:$AK103,增益!$A:$A,增益!$E:$E,0))</f>
        <v>0.15</v>
      </c>
      <c r="AS103" cm="1">
        <f t="array" ref="AS103">$D$10*(1+$AR103)+VLOOKUP($Q103,武学奇术!$A:$ZZ,3,FALSE)+SUM(_xlfn.XLOOKUP($R103:$AK103,增益!$A:$A,增益!$C:$C,0))-$I$2</f>
        <v>4389.8462</v>
      </c>
      <c r="AT103" cm="1">
        <f t="array" ref="AT103">$E$10*(1+$AR103)+VLOOKUP($Q103,武学奇术!$A:$ZZ,4,FALSE)+SUM(_xlfn.XLOOKUP($R103:$AK103,增益!$A:$A,增益!$D:$D,0))-$I$2</f>
        <v>4389.8462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0.2425</v>
      </c>
      <c r="AV103" s="32" cm="1">
        <f t="array" ref="AV103">$G$10+VLOOKUP($Q103,武学奇术!$A:$ZZ,7,FALSE)+SUM(_xlfn.XLOOKUP($R103:$AK103,增益!$A:$A,增益!$G:$G,0))</f>
        <v>0</v>
      </c>
      <c r="AW103" s="24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16"/>
        <v>605.472</v>
      </c>
      <c r="BG103">
        <f t="shared" si="17"/>
        <v>1579.612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4">
        <f>MIN(IF(VLOOKUP($Q103,武学奇术!$A:$ZZ,23,FALSE)=1,100%,$B$8),100%)</f>
        <v>1</v>
      </c>
      <c r="BO103" s="24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0.9093</v>
      </c>
      <c r="BP103" s="24" cm="1">
        <f t="array" ref="BP103">1+$B$13+VLOOKUP($Q103,武学奇术!$A:$ZZ,18,FALSE)+SUM(_xlfn.XLOOKUP($R103:$AK103,增益!$A:$A,增益!$R:$R,0))</f>
        <v>1.6</v>
      </c>
      <c r="BQ103" s="24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4" cm="1">
        <f t="array" ref="BR103">1+$B$14+VLOOKUP($Q103,武学奇术!$A:$ZZ,20,FALSE)+SUM(_xlfn.XLOOKUP($R103:$AK103,增益!$A:$A,增益!$T:$T,0))</f>
        <v>1.35</v>
      </c>
      <c r="BS103" s="24">
        <f t="shared" si="20"/>
        <v>0.9071</v>
      </c>
      <c r="BT103" s="24">
        <f t="shared" si="21"/>
        <v>0</v>
      </c>
      <c r="BU103" s="24">
        <f>IF(VLOOKUP($Q103,武学奇术!$A:$ZZ,22,FALSE)=1,0,(1-$BN103))*(1-$BQ103)</f>
        <v>0</v>
      </c>
      <c r="BV103" s="24" cm="1">
        <f t="array" ref="BV103">SUM(_xlfn.XLOOKUP($R103:$AK103,增益!$A:$A,增益!$W:$W,0))+$I$5</f>
        <v>0.06</v>
      </c>
    </row>
    <row r="104" spans="1:74">
      <c r="A104" s="4" t="s">
        <v>161</v>
      </c>
      <c r="B104" s="4">
        <v>0.1</v>
      </c>
      <c r="K104" s="38">
        <f t="shared" si="11"/>
        <v>17153.1542834513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弹道",$B$21,0))*(1+$BV104)</f>
        <v>17253.7190013479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弹道",$B$21,0))*(1+$BV104)</f>
        <v>16171.2139647865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弹道",$B$21,0))*(1+$BV104)</f>
        <v>10783.5743758424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弹道",$B$21,0))*(1+$BV104)</f>
        <v>9588.47174073189</v>
      </c>
      <c r="P104" s="39">
        <v>4</v>
      </c>
      <c r="Q104" s="40" t="s">
        <v>137</v>
      </c>
      <c r="R104" s="40" t="s">
        <v>97</v>
      </c>
      <c r="S104" s="40" t="s">
        <v>176</v>
      </c>
      <c r="T104" s="40" t="s">
        <v>78</v>
      </c>
      <c r="U104" s="40" t="s">
        <v>171</v>
      </c>
      <c r="V104" s="40" t="s">
        <v>78</v>
      </c>
      <c r="W104" s="40" t="s">
        <v>78</v>
      </c>
      <c r="X104" s="40" t="s">
        <v>78</v>
      </c>
      <c r="Y104" s="40" t="s">
        <v>78</v>
      </c>
      <c r="Z104" s="40" t="s">
        <v>78</v>
      </c>
      <c r="AA104" s="40" t="s">
        <v>78</v>
      </c>
      <c r="AB104" s="40" t="s">
        <v>78</v>
      </c>
      <c r="AC104" s="40" t="s">
        <v>78</v>
      </c>
      <c r="AD104" s="40" t="s">
        <v>78</v>
      </c>
      <c r="AE104" s="40" t="s">
        <v>78</v>
      </c>
      <c r="AF104" s="40" t="s">
        <v>78</v>
      </c>
      <c r="AG104" s="40" t="s">
        <v>78</v>
      </c>
      <c r="AH104" s="40" t="s">
        <v>78</v>
      </c>
      <c r="AI104" s="40" t="s">
        <v>78</v>
      </c>
      <c r="AJ104" s="40" t="s">
        <v>78</v>
      </c>
      <c r="AK104" s="40" t="s">
        <v>78</v>
      </c>
      <c r="AL104" t="str">
        <f>VLOOKUP($Q104,武学奇术!$A:$ZZ,25,FALSE)</f>
        <v>单体奇术</v>
      </c>
      <c r="AM104" s="24">
        <f>VLOOKUP($Q104,武学奇术!$A:$ZZ,26,FALSE)</f>
        <v>0.236</v>
      </c>
      <c r="AN104" s="25">
        <f>VLOOKUP($Q104,武学奇术!$A:$ZZ,27,FALSE)*(1+IF(OR($AL104=$F$4,$AL104=$F$5),$B$22,0))</f>
        <v>46</v>
      </c>
      <c r="AO104" s="24">
        <f>VLOOKUP($Q104,武学奇术!$A:$ZZ,28,FALSE)</f>
        <v>0.354</v>
      </c>
      <c r="AP104" s="25">
        <f>VLOOKUP($Q104,武学奇术!$A:$ZZ,29,FALSE)*(1+IF(OR($AL104=$F$4,$AL104=$F$5),$B$22,0))</f>
        <v>0</v>
      </c>
      <c r="AQ104" s="24" cm="1">
        <f t="array" ref="AQ104">$G$3+IFERROR(VLOOKUP($AL104,$F$4:$G$7,2,FALSE),0)+VLOOKUP($Q104,武学奇术!$A:$ZZ,2,FALSE)+SUM(_xlfn.XLOOKUP($R104:$AK104,增益!$A:$A,增益!$B:$B,0))</f>
        <v>0.4215</v>
      </c>
      <c r="AR104" s="24" cm="1">
        <f t="array" ref="AR104">VLOOKUP($Q104,武学奇术!$A:$ZZ,5,FALSE)+SUM(_xlfn.XLOOKUP($R104:$AK104,增益!$A:$A,增益!$E:$E,0))</f>
        <v>0.15</v>
      </c>
      <c r="AS104" cm="1">
        <f t="array" ref="AS104">$D$10*(1+$AR104)+VLOOKUP($Q104,武学奇术!$A:$ZZ,3,FALSE)+SUM(_xlfn.XLOOKUP($R104:$AK104,增益!$A:$A,增益!$C:$C,0))-$I$2</f>
        <v>4389.8462</v>
      </c>
      <c r="AT104" cm="1">
        <f t="array" ref="AT104">$E$10*(1+$AR104)+VLOOKUP($Q104,武学奇术!$A:$ZZ,4,FALSE)+SUM(_xlfn.XLOOKUP($R104:$AK104,增益!$A:$A,增益!$D:$D,0))-$I$2</f>
        <v>4389.8462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0.2425</v>
      </c>
      <c r="AV104" s="32" cm="1">
        <f t="array" ref="AV104">$G$10+VLOOKUP($Q104,武学奇术!$A:$ZZ,7,FALSE)+SUM(_xlfn.XLOOKUP($R104:$AK104,增益!$A:$A,增益!$G:$G,0))</f>
        <v>0</v>
      </c>
      <c r="AW104" s="24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16"/>
        <v>605.472</v>
      </c>
      <c r="BG104">
        <f t="shared" si="17"/>
        <v>1579.612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4">
        <f>MIN(IF(VLOOKUP($Q104,武学奇术!$A:$ZZ,23,FALSE)=1,100%,$B$8),100%)</f>
        <v>1</v>
      </c>
      <c r="BO104" s="24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0.9093</v>
      </c>
      <c r="BP104" s="24" cm="1">
        <f t="array" ref="BP104">1+$B$13+VLOOKUP($Q104,武学奇术!$A:$ZZ,18,FALSE)+SUM(_xlfn.XLOOKUP($R104:$AK104,增益!$A:$A,增益!$R:$R,0))</f>
        <v>1.6</v>
      </c>
      <c r="BQ104" s="24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4" cm="1">
        <f t="array" ref="BR104">1+$B$14+VLOOKUP($Q104,武学奇术!$A:$ZZ,20,FALSE)+SUM(_xlfn.XLOOKUP($R104:$AK104,增益!$A:$A,增益!$T:$T,0))</f>
        <v>1.35</v>
      </c>
      <c r="BS104" s="24">
        <f t="shared" si="20"/>
        <v>0.9071</v>
      </c>
      <c r="BT104" s="24">
        <f t="shared" si="21"/>
        <v>0</v>
      </c>
      <c r="BU104" s="24">
        <f>IF(VLOOKUP($Q104,武学奇术!$A:$ZZ,22,FALSE)=1,0,(1-$BN104))*(1-$BQ104)</f>
        <v>0</v>
      </c>
      <c r="BV104" s="24" cm="1">
        <f t="array" ref="BV104">SUM(_xlfn.XLOOKUP($R104:$AK104,增益!$A:$A,增益!$W:$W,0))+$I$5</f>
        <v>0.06</v>
      </c>
    </row>
    <row r="105" spans="1:74">
      <c r="A105" s="4" t="s">
        <v>193</v>
      </c>
      <c r="B105" s="4">
        <v>2</v>
      </c>
      <c r="K105" s="38">
        <f t="shared" si="11"/>
        <v>149957.341324534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弹道",$B$21,0))*(1+$BV105)</f>
        <v>152661.75138909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弹道",$B$21,0))*(1+$BV105)</f>
        <v>123550.771146288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弹道",$B$21,0))*(1+$BV105)</f>
        <v>82519.8656157246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弹道",$B$21,0))*(1+$BV105)</f>
        <v>73520.641493458</v>
      </c>
      <c r="P105" s="39">
        <v>1</v>
      </c>
      <c r="Q105" s="40" t="s">
        <v>195</v>
      </c>
      <c r="R105" s="40" t="s">
        <v>97</v>
      </c>
      <c r="S105" s="40" t="s">
        <v>176</v>
      </c>
      <c r="T105" s="40" t="s">
        <v>78</v>
      </c>
      <c r="U105" s="40" t="s">
        <v>90</v>
      </c>
      <c r="V105" s="40" t="s">
        <v>78</v>
      </c>
      <c r="W105" s="40" t="s">
        <v>78</v>
      </c>
      <c r="X105" s="40" t="s">
        <v>78</v>
      </c>
      <c r="Y105" s="40" t="s">
        <v>151</v>
      </c>
      <c r="Z105" s="40" t="s">
        <v>78</v>
      </c>
      <c r="AA105" s="40" t="s">
        <v>78</v>
      </c>
      <c r="AB105" s="40" t="s">
        <v>78</v>
      </c>
      <c r="AC105" s="40" t="s">
        <v>78</v>
      </c>
      <c r="AD105" s="40" t="s">
        <v>78</v>
      </c>
      <c r="AE105" s="40" t="s">
        <v>78</v>
      </c>
      <c r="AF105" s="40" t="s">
        <v>78</v>
      </c>
      <c r="AG105" s="40" t="s">
        <v>78</v>
      </c>
      <c r="AH105" s="40" t="s">
        <v>78</v>
      </c>
      <c r="AI105" s="40" t="s">
        <v>78</v>
      </c>
      <c r="AJ105" s="40" t="s">
        <v>78</v>
      </c>
      <c r="AK105" s="40" t="s">
        <v>78</v>
      </c>
      <c r="AL105" t="str">
        <f>VLOOKUP($Q105,武学奇术!$A:$ZZ,25,FALSE)</f>
        <v>单体奇术</v>
      </c>
      <c r="AM105" s="24">
        <f>VLOOKUP($Q105,武学奇术!$A:$ZZ,26,FALSE)</f>
        <v>7.1084</v>
      </c>
      <c r="AN105" s="25">
        <f>VLOOKUP($Q105,武学奇术!$A:$ZZ,27,FALSE)*(1+IF(OR($AL105=$F$4,$AL105=$F$5),$B$22,0))</f>
        <v>1369</v>
      </c>
      <c r="AO105" s="24">
        <f>VLOOKUP($Q105,武学奇术!$A:$ZZ,28,FALSE)</f>
        <v>10.6626</v>
      </c>
      <c r="AP105" s="25">
        <f>VLOOKUP($Q105,武学奇术!$A:$ZZ,29,FALSE)*(1+IF(OR($AL105=$F$4,$AL105=$F$5),$B$22,0))</f>
        <v>0</v>
      </c>
      <c r="AQ105" s="24" cm="1">
        <f t="array" ref="AQ105">$G$3+IFERROR(VLOOKUP($AL105,$F$4:$G$7,2,FALSE),0)+VLOOKUP($Q105,武学奇术!$A:$ZZ,2,FALSE)+SUM(_xlfn.XLOOKUP($R105:$AK105,增益!$A:$A,增益!$B:$B,0))</f>
        <v>0.4215</v>
      </c>
      <c r="AR105" s="24" cm="1">
        <f t="array" ref="AR105">VLOOKUP($Q105,武学奇术!$A:$ZZ,5,FALSE)+SUM(_xlfn.XLOOKUP($R105:$AK105,增益!$A:$A,增益!$E:$E,0))</f>
        <v>0.075</v>
      </c>
      <c r="AS105" cm="1">
        <f t="array" ref="AS105">$D$10*(1+$AR105)+VLOOKUP($Q105,武学奇术!$A:$ZZ,3,FALSE)+SUM(_xlfn.XLOOKUP($R105:$AK105,增益!$A:$A,增益!$C:$C,0))-$I$2</f>
        <v>4063.1171</v>
      </c>
      <c r="AT105" cm="1">
        <f t="array" ref="AT105">$E$10*(1+$AR105)+VLOOKUP($Q105,武学奇术!$A:$ZZ,4,FALSE)+SUM(_xlfn.XLOOKUP($R105:$AK105,增益!$A:$A,增益!$D:$D,0))-$I$2</f>
        <v>4063.1171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0.3675</v>
      </c>
      <c r="AV105" s="32" cm="1">
        <f t="array" ref="AV105">$G$10+VLOOKUP($Q105,武学奇术!$A:$ZZ,7,FALSE)+SUM(_xlfn.XLOOKUP($R105:$AK105,增益!$A:$A,增益!$G:$G,0))</f>
        <v>0</v>
      </c>
      <c r="AW105" s="24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16"/>
        <v>605.472</v>
      </c>
      <c r="BG105">
        <f t="shared" si="17"/>
        <v>1579.612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4">
        <f>MIN(IF(VLOOKUP($Q105,武学奇术!$A:$ZZ,23,FALSE)=1,100%,$B$8),100%)</f>
        <v>1</v>
      </c>
      <c r="BO105" s="24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0.9093</v>
      </c>
      <c r="BP105" s="24" cm="1">
        <f t="array" ref="BP105">1+$B$13+VLOOKUP($Q105,武学奇术!$A:$ZZ,18,FALSE)+SUM(_xlfn.XLOOKUP($R105:$AK105,增益!$A:$A,增益!$R:$R,0))</f>
        <v>1.85</v>
      </c>
      <c r="BQ105" s="24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4" cm="1">
        <f t="array" ref="BR105">1+$B$14+VLOOKUP($Q105,武学奇术!$A:$ZZ,20,FALSE)+SUM(_xlfn.XLOOKUP($R105:$AK105,增益!$A:$A,增益!$T:$T,0))</f>
        <v>1.35</v>
      </c>
      <c r="BS105" s="24">
        <f t="shared" si="20"/>
        <v>0.9071</v>
      </c>
      <c r="BT105" s="24">
        <f t="shared" si="21"/>
        <v>0</v>
      </c>
      <c r="BU105" s="24">
        <f>IF(VLOOKUP($Q105,武学奇术!$A:$ZZ,22,FALSE)=1,0,(1-$BN105))*(1-$BQ105)</f>
        <v>0</v>
      </c>
      <c r="BV105" s="24" cm="1">
        <f t="array" ref="BV105">SUM(_xlfn.XLOOKUP($R105:$AK105,增益!$A:$A,增益!$W:$W,0))+$I$5</f>
        <v>0.06</v>
      </c>
    </row>
    <row r="106" spans="1:74">
      <c r="A106" s="4" t="s">
        <v>203</v>
      </c>
      <c r="B106" s="4">
        <v>0.8</v>
      </c>
      <c r="K106" s="38">
        <f t="shared" si="11"/>
        <v>78472.2238059395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弹道",$B$21,0))*(1+$BV106)</f>
        <v>80277.3715876609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弹道",$B$21,0))*(1+$BV106)</f>
        <v>60846.286746742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弹道",$B$21,0))*(1+$BV106)</f>
        <v>40957.8426467658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弹道",$B$21,0))*(1+$BV106)</f>
        <v>36844.3617774264</v>
      </c>
      <c r="P106" s="39">
        <v>1</v>
      </c>
      <c r="Q106" s="40" t="s">
        <v>101</v>
      </c>
      <c r="R106" s="40" t="s">
        <v>97</v>
      </c>
      <c r="S106" s="40" t="s">
        <v>176</v>
      </c>
      <c r="T106" s="40" t="s">
        <v>106</v>
      </c>
      <c r="U106" s="40" t="s">
        <v>171</v>
      </c>
      <c r="V106" s="40" t="s">
        <v>102</v>
      </c>
      <c r="W106" s="40" t="s">
        <v>78</v>
      </c>
      <c r="X106" s="40" t="s">
        <v>78</v>
      </c>
      <c r="Y106" s="40" t="s">
        <v>78</v>
      </c>
      <c r="Z106" s="40" t="s">
        <v>78</v>
      </c>
      <c r="AA106" s="40" t="s">
        <v>78</v>
      </c>
      <c r="AB106" s="40" t="s">
        <v>78</v>
      </c>
      <c r="AC106" s="40" t="s">
        <v>78</v>
      </c>
      <c r="AD106" s="40" t="s">
        <v>78</v>
      </c>
      <c r="AE106" s="40" t="s">
        <v>78</v>
      </c>
      <c r="AF106" s="40" t="s">
        <v>78</v>
      </c>
      <c r="AG106" s="40" t="s">
        <v>78</v>
      </c>
      <c r="AH106" s="40" t="s">
        <v>78</v>
      </c>
      <c r="AI106" s="40" t="s">
        <v>78</v>
      </c>
      <c r="AJ106" s="40" t="s">
        <v>78</v>
      </c>
      <c r="AK106" s="40" t="s">
        <v>78</v>
      </c>
      <c r="AL106" t="str">
        <f>VLOOKUP($Q106,武学奇术!$A:$ZZ,25,FALSE)</f>
        <v>伞</v>
      </c>
      <c r="AM106" s="24">
        <f>VLOOKUP($Q106,武学奇术!$A:$ZZ,26,FALSE)</f>
        <v>2.3397</v>
      </c>
      <c r="AN106" s="25">
        <f>VLOOKUP($Q106,武学奇术!$A:$ZZ,27,FALSE)*(1+IF(OR($AL106=$F$4,$AL106=$F$5),$B$22,0))</f>
        <v>972</v>
      </c>
      <c r="AO106" s="24">
        <f>VLOOKUP($Q106,武学奇术!$A:$ZZ,28,FALSE)</f>
        <v>3.5095</v>
      </c>
      <c r="AP106" s="25">
        <f>VLOOKUP($Q106,武学奇术!$A:$ZZ,29,FALSE)*(1+IF(OR($AL106=$F$4,$AL106=$F$5),$B$22,0))</f>
        <v>529.5</v>
      </c>
      <c r="AQ106" s="24" cm="1">
        <f t="array" ref="AQ106">$G$3+IFERROR(VLOOKUP($AL106,$F$4:$G$7,2,FALSE),0)+VLOOKUP($Q106,武学奇术!$A:$ZZ,2,FALSE)+SUM(_xlfn.XLOOKUP($R106:$AK106,增益!$A:$A,增益!$B:$B,0))</f>
        <v>0.9741</v>
      </c>
      <c r="AR106" s="24" cm="1">
        <f t="array" ref="AR106">VLOOKUP($Q106,武学奇术!$A:$ZZ,5,FALSE)+SUM(_xlfn.XLOOKUP($R106:$AK106,增益!$A:$A,增益!$E:$E,0))</f>
        <v>0.15</v>
      </c>
      <c r="AS106" cm="1">
        <f t="array" ref="AS106">$D$10*(1+$AR106)+VLOOKUP($Q106,武学奇术!$A:$ZZ,3,FALSE)+SUM(_xlfn.XLOOKUP($R106:$AK106,增益!$A:$A,增益!$C:$C,0))-$I$2</f>
        <v>4389.8462</v>
      </c>
      <c r="AT106" cm="1">
        <f t="array" ref="AT106">$E$10*(1+$AR106)+VLOOKUP($Q106,武学奇术!$A:$ZZ,4,FALSE)+SUM(_xlfn.XLOOKUP($R106:$AK106,增益!$A:$A,增益!$D:$D,0))-$I$2</f>
        <v>4389.8462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0.2675</v>
      </c>
      <c r="AV106" s="32" cm="1">
        <f t="array" ref="AV106">$G$10+VLOOKUP($Q106,武学奇术!$A:$ZZ,7,FALSE)+SUM(_xlfn.XLOOKUP($R106:$AK106,增益!$A:$A,增益!$G:$G,0))</f>
        <v>0</v>
      </c>
      <c r="AW106" s="24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16"/>
        <v>605.472</v>
      </c>
      <c r="BG106">
        <f t="shared" si="17"/>
        <v>1579.612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4">
        <f>MIN(IF(VLOOKUP($Q106,武学奇术!$A:$ZZ,23,FALSE)=1,100%,$B$8),100%)</f>
        <v>1</v>
      </c>
      <c r="BO106" s="24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0.9093</v>
      </c>
      <c r="BP106" s="24" cm="1">
        <f t="array" ref="BP106">1+$B$13+VLOOKUP($Q106,武学奇术!$A:$ZZ,18,FALSE)+SUM(_xlfn.XLOOKUP($R106:$AK106,增益!$A:$A,增益!$R:$R,0))</f>
        <v>1.96</v>
      </c>
      <c r="BQ106" s="24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4" cm="1">
        <f t="array" ref="BR106">1+$B$14+VLOOKUP($Q106,武学奇术!$A:$ZZ,20,FALSE)+SUM(_xlfn.XLOOKUP($R106:$AK106,增益!$A:$A,增益!$T:$T,0))</f>
        <v>1.35</v>
      </c>
      <c r="BS106" s="24">
        <f t="shared" si="20"/>
        <v>0.9071</v>
      </c>
      <c r="BT106" s="24">
        <f t="shared" si="21"/>
        <v>0</v>
      </c>
      <c r="BU106" s="24">
        <f>IF(VLOOKUP($Q106,武学奇术!$A:$ZZ,22,FALSE)=1,0,(1-$BN106))*(1-$BQ106)</f>
        <v>0</v>
      </c>
      <c r="BV106" s="24" cm="1">
        <f t="array" ref="BV106">SUM(_xlfn.XLOOKUP($R106:$AK106,增益!$A:$A,增益!$W:$W,0))+$I$5</f>
        <v>0.06</v>
      </c>
    </row>
    <row r="107" spans="1:74">
      <c r="A107" s="4" t="s">
        <v>199</v>
      </c>
      <c r="B107" s="4">
        <v>0.5</v>
      </c>
      <c r="K107" s="38">
        <f t="shared" si="11"/>
        <v>31272.9184362969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弹道",$B$21,0))*(1+$BV107)</f>
        <v>31478.4041192249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弹道",$B$21,0))*(1+$BV107)</f>
        <v>29266.5022577824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弹道",$B$21,0))*(1+$BV107)</f>
        <v>19674.0025745156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弹道",$B$21,0))*(1+$BV107)</f>
        <v>17669.1145877109</v>
      </c>
      <c r="P107" s="39">
        <v>1</v>
      </c>
      <c r="Q107" s="40" t="s">
        <v>108</v>
      </c>
      <c r="R107" s="40" t="s">
        <v>97</v>
      </c>
      <c r="S107" s="40" t="s">
        <v>176</v>
      </c>
      <c r="T107" s="40" t="s">
        <v>78</v>
      </c>
      <c r="U107" s="40" t="s">
        <v>171</v>
      </c>
      <c r="V107" s="40" t="s">
        <v>78</v>
      </c>
      <c r="W107" s="40" t="s">
        <v>78</v>
      </c>
      <c r="X107" s="40" t="s">
        <v>78</v>
      </c>
      <c r="Y107" s="40" t="s">
        <v>78</v>
      </c>
      <c r="Z107" s="40" t="s">
        <v>78</v>
      </c>
      <c r="AA107" s="40" t="s">
        <v>78</v>
      </c>
      <c r="AB107" s="40" t="s">
        <v>78</v>
      </c>
      <c r="AC107" s="40" t="s">
        <v>78</v>
      </c>
      <c r="AD107" s="40" t="s">
        <v>78</v>
      </c>
      <c r="AE107" s="40" t="s">
        <v>78</v>
      </c>
      <c r="AF107" s="40" t="s">
        <v>78</v>
      </c>
      <c r="AG107" s="40" t="s">
        <v>78</v>
      </c>
      <c r="AH107" s="40" t="s">
        <v>78</v>
      </c>
      <c r="AI107" s="40" t="s">
        <v>78</v>
      </c>
      <c r="AJ107" s="40" t="s">
        <v>78</v>
      </c>
      <c r="AK107" s="40" t="s">
        <v>78</v>
      </c>
      <c r="AL107" t="str">
        <f>VLOOKUP($Q107,武学奇术!$A:$ZZ,25,FALSE)</f>
        <v>伞</v>
      </c>
      <c r="AM107" s="24">
        <f>VLOOKUP($Q107,武学奇术!$A:$ZZ,26,FALSE)</f>
        <v>1.7001</v>
      </c>
      <c r="AN107" s="25">
        <f>VLOOKUP($Q107,武学奇术!$A:$ZZ,27,FALSE)*(1+IF(OR($AL107=$F$4,$AL107=$F$5),$B$22,0))</f>
        <v>706.5</v>
      </c>
      <c r="AO107" s="24">
        <f>VLOOKUP($Q107,武学奇术!$A:$ZZ,28,FALSE)</f>
        <v>2.5502</v>
      </c>
      <c r="AP107" s="25">
        <f>VLOOKUP($Q107,武学奇术!$A:$ZZ,29,FALSE)*(1+IF(OR($AL107=$F$4,$AL107=$F$5),$B$22,0))</f>
        <v>384</v>
      </c>
      <c r="AQ107" s="24" cm="1">
        <f t="array" ref="AQ107">$G$3+IFERROR(VLOOKUP($AL107,$F$4:$G$7,2,FALSE),0)+VLOOKUP($Q107,武学奇术!$A:$ZZ,2,FALSE)+SUM(_xlfn.XLOOKUP($R107:$AK107,增益!$A:$A,增益!$B:$B,0))</f>
        <v>0.3241</v>
      </c>
      <c r="AR107" s="24" cm="1">
        <f t="array" ref="AR107">VLOOKUP($Q107,武学奇术!$A:$ZZ,5,FALSE)+SUM(_xlfn.XLOOKUP($R107:$AK107,增益!$A:$A,增益!$E:$E,0))</f>
        <v>0.15</v>
      </c>
      <c r="AS107" cm="1">
        <f t="array" ref="AS107">$D$10*(1+$AR107)+VLOOKUP($Q107,武学奇术!$A:$ZZ,3,FALSE)+SUM(_xlfn.XLOOKUP($R107:$AK107,增益!$A:$A,增益!$C:$C,0))-$I$2</f>
        <v>4389.8462</v>
      </c>
      <c r="AT107" cm="1">
        <f t="array" ref="AT107">$E$10*(1+$AR107)+VLOOKUP($Q107,武学奇术!$A:$ZZ,4,FALSE)+SUM(_xlfn.XLOOKUP($R107:$AK107,增益!$A:$A,增益!$D:$D,0))-$I$2</f>
        <v>4389.8462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0.2425</v>
      </c>
      <c r="AV107" s="32" cm="1">
        <f t="array" ref="AV107">$G$10+VLOOKUP($Q107,武学奇术!$A:$ZZ,7,FALSE)+SUM(_xlfn.XLOOKUP($R107:$AK107,增益!$A:$A,增益!$G:$G,0))</f>
        <v>0</v>
      </c>
      <c r="AW107" s="24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16"/>
        <v>605.472</v>
      </c>
      <c r="BG107">
        <f t="shared" si="17"/>
        <v>1579.612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4">
        <f>MIN(IF(VLOOKUP($Q107,武学奇术!$A:$ZZ,23,FALSE)=1,100%,$B$8),100%)</f>
        <v>1</v>
      </c>
      <c r="BO107" s="24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0.9093</v>
      </c>
      <c r="BP107" s="24" cm="1">
        <f t="array" ref="BP107">1+$B$13+VLOOKUP($Q107,武学奇术!$A:$ZZ,18,FALSE)+SUM(_xlfn.XLOOKUP($R107:$AK107,增益!$A:$A,增益!$R:$R,0))</f>
        <v>1.6</v>
      </c>
      <c r="BQ107" s="24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4" cm="1">
        <f t="array" ref="BR107">1+$B$14+VLOOKUP($Q107,武学奇术!$A:$ZZ,20,FALSE)+SUM(_xlfn.XLOOKUP($R107:$AK107,增益!$A:$A,增益!$T:$T,0))</f>
        <v>1.35</v>
      </c>
      <c r="BS107" s="24">
        <f t="shared" si="20"/>
        <v>0.9071</v>
      </c>
      <c r="BT107" s="24">
        <f t="shared" si="21"/>
        <v>0</v>
      </c>
      <c r="BU107" s="24">
        <f>IF(VLOOKUP($Q107,武学奇术!$A:$ZZ,22,FALSE)=1,0,(1-$BN107))*(1-$BQ107)</f>
        <v>0</v>
      </c>
      <c r="BV107" s="24" cm="1">
        <f t="array" ref="BV107">SUM(_xlfn.XLOOKUP($R107:$AK107,增益!$A:$A,增益!$W:$W,0))+$I$5</f>
        <v>0.06</v>
      </c>
    </row>
    <row r="108" spans="1:74">
      <c r="A108" s="4" t="s">
        <v>101</v>
      </c>
      <c r="B108" s="4">
        <v>1.25</v>
      </c>
      <c r="K108" s="38">
        <f t="shared" si="11"/>
        <v>13104.4062809297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弹道",$B$21,0))*(1+$BV108)</f>
        <v>13190.453645804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弹道",$B$21,0))*(1+$BV108)</f>
        <v>12264.2172101273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弹道",$B$21,0))*(1+$BV108)</f>
        <v>8244.03352862752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弹道",$B$21,0))*(1+$BV108)</f>
        <v>7403.46171642001</v>
      </c>
      <c r="P108" s="39">
        <v>1</v>
      </c>
      <c r="Q108" s="40" t="s">
        <v>111</v>
      </c>
      <c r="R108" s="40" t="s">
        <v>97</v>
      </c>
      <c r="S108" s="40" t="s">
        <v>176</v>
      </c>
      <c r="T108" s="40" t="s">
        <v>78</v>
      </c>
      <c r="U108" s="40" t="s">
        <v>171</v>
      </c>
      <c r="V108" s="40" t="s">
        <v>78</v>
      </c>
      <c r="W108" s="40" t="s">
        <v>78</v>
      </c>
      <c r="X108" s="40" t="s">
        <v>78</v>
      </c>
      <c r="Y108" s="40" t="s">
        <v>78</v>
      </c>
      <c r="Z108" s="40" t="s">
        <v>78</v>
      </c>
      <c r="AA108" s="40" t="s">
        <v>78</v>
      </c>
      <c r="AB108" s="40" t="s">
        <v>78</v>
      </c>
      <c r="AC108" s="40" t="s">
        <v>78</v>
      </c>
      <c r="AD108" s="40" t="s">
        <v>78</v>
      </c>
      <c r="AE108" s="40" t="s">
        <v>78</v>
      </c>
      <c r="AF108" s="40" t="s">
        <v>78</v>
      </c>
      <c r="AG108" s="40" t="s">
        <v>78</v>
      </c>
      <c r="AH108" s="40" t="s">
        <v>78</v>
      </c>
      <c r="AI108" s="40" t="s">
        <v>78</v>
      </c>
      <c r="AJ108" s="40" t="s">
        <v>78</v>
      </c>
      <c r="AK108" s="40" t="s">
        <v>78</v>
      </c>
      <c r="AL108" t="str">
        <f>VLOOKUP($Q108,武学奇术!$A:$ZZ,25,FALSE)</f>
        <v>伞</v>
      </c>
      <c r="AM108" s="24">
        <f>VLOOKUP($Q108,武学奇术!$A:$ZZ,26,FALSE)</f>
        <v>0.54</v>
      </c>
      <c r="AN108" s="25">
        <f>VLOOKUP($Q108,武学奇术!$A:$ZZ,27,FALSE)*(1+IF(OR($AL108=$F$4,$AL108=$F$5),$B$22,0))</f>
        <v>222</v>
      </c>
      <c r="AO108" s="24">
        <f>VLOOKUP($Q108,武学奇术!$A:$ZZ,28,FALSE)</f>
        <v>0.81</v>
      </c>
      <c r="AP108" s="25">
        <f>VLOOKUP($Q108,武学奇术!$A:$ZZ,29,FALSE)*(1+IF(OR($AL108=$F$4,$AL108=$F$5),$B$22,0))</f>
        <v>122.25</v>
      </c>
      <c r="AQ108" s="24" cm="1">
        <f t="array" ref="AQ108">$G$3+IFERROR(VLOOKUP($AL108,$F$4:$G$7,2,FALSE),0)+VLOOKUP($Q108,武学奇术!$A:$ZZ,2,FALSE)+SUM(_xlfn.XLOOKUP($R108:$AK108,增益!$A:$A,增益!$B:$B,0))</f>
        <v>0.3241</v>
      </c>
      <c r="AR108" s="24" cm="1">
        <f t="array" ref="AR108">VLOOKUP($Q108,武学奇术!$A:$ZZ,5,FALSE)+SUM(_xlfn.XLOOKUP($R108:$AK108,增益!$A:$A,增益!$E:$E,0))</f>
        <v>0.15</v>
      </c>
      <c r="AS108" cm="1">
        <f t="array" ref="AS108">$D$10*(1+$AR108)+VLOOKUP($Q108,武学奇术!$A:$ZZ,3,FALSE)+SUM(_xlfn.XLOOKUP($R108:$AK108,增益!$A:$A,增益!$C:$C,0))-$I$2</f>
        <v>4389.8462</v>
      </c>
      <c r="AT108" cm="1">
        <f t="array" ref="AT108">$E$10*(1+$AR108)+VLOOKUP($Q108,武学奇术!$A:$ZZ,4,FALSE)+SUM(_xlfn.XLOOKUP($R108:$AK108,增益!$A:$A,增益!$D:$D,0))-$I$2</f>
        <v>4389.8462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0.2425</v>
      </c>
      <c r="AV108" s="32" cm="1">
        <f t="array" ref="AV108">$G$10+VLOOKUP($Q108,武学奇术!$A:$ZZ,7,FALSE)+SUM(_xlfn.XLOOKUP($R108:$AK108,增益!$A:$A,增益!$G:$G,0))</f>
        <v>0</v>
      </c>
      <c r="AW108" s="24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16"/>
        <v>605.472</v>
      </c>
      <c r="BG108">
        <f t="shared" si="17"/>
        <v>1579.612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4">
        <f>MIN(IF(VLOOKUP($Q108,武学奇术!$A:$ZZ,23,FALSE)=1,100%,$B$8),100%)</f>
        <v>1</v>
      </c>
      <c r="BO108" s="24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0.9093</v>
      </c>
      <c r="BP108" s="24" cm="1">
        <f t="array" ref="BP108">1+$B$13+VLOOKUP($Q108,武学奇术!$A:$ZZ,18,FALSE)+SUM(_xlfn.XLOOKUP($R108:$AK108,增益!$A:$A,增益!$R:$R,0))</f>
        <v>1.6</v>
      </c>
      <c r="BQ108" s="24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4" cm="1">
        <f t="array" ref="BR108">1+$B$14+VLOOKUP($Q108,武学奇术!$A:$ZZ,20,FALSE)+SUM(_xlfn.XLOOKUP($R108:$AK108,增益!$A:$A,增益!$T:$T,0))</f>
        <v>1.35</v>
      </c>
      <c r="BS108" s="24">
        <f t="shared" si="20"/>
        <v>0.9071</v>
      </c>
      <c r="BT108" s="24">
        <f t="shared" si="21"/>
        <v>0</v>
      </c>
      <c r="BU108" s="24">
        <f>IF(VLOOKUP($Q108,武学奇术!$A:$ZZ,22,FALSE)=1,0,(1-$BN108))*(1-$BQ108)</f>
        <v>0</v>
      </c>
      <c r="BV108" s="24" cm="1">
        <f t="array" ref="BV108">SUM(_xlfn.XLOOKUP($R108:$AK108,增益!$A:$A,增益!$W:$W,0))+$I$5</f>
        <v>0.06</v>
      </c>
    </row>
    <row r="109" spans="1:74">
      <c r="A109" s="4" t="s">
        <v>101</v>
      </c>
      <c r="B109" s="4">
        <v>1.25</v>
      </c>
      <c r="K109" s="38">
        <f t="shared" si="11"/>
        <v>520040.072182838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弹道",$B$21,0))*(1+$BV109)</f>
        <v>532002.032700003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弹道",$B$21,0))*(1+$BV109)</f>
        <v>403240.347908126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弹道",$B$21,0))*(1+$BV109)</f>
        <v>271429.60852041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弹道",$B$21,0))*(1+$BV109)</f>
        <v>244162.6630348</v>
      </c>
      <c r="P109" s="39">
        <v>10</v>
      </c>
      <c r="Q109" s="40" t="s">
        <v>113</v>
      </c>
      <c r="R109" s="40" t="s">
        <v>97</v>
      </c>
      <c r="S109" s="40" t="s">
        <v>176</v>
      </c>
      <c r="T109" s="40" t="s">
        <v>106</v>
      </c>
      <c r="U109" s="40" t="s">
        <v>171</v>
      </c>
      <c r="V109" s="40" t="s">
        <v>102</v>
      </c>
      <c r="W109" s="40" t="s">
        <v>78</v>
      </c>
      <c r="X109" s="40" t="s">
        <v>78</v>
      </c>
      <c r="Y109" s="40" t="s">
        <v>78</v>
      </c>
      <c r="Z109" s="40" t="s">
        <v>78</v>
      </c>
      <c r="AA109" s="40" t="s">
        <v>78</v>
      </c>
      <c r="AB109" s="40" t="s">
        <v>78</v>
      </c>
      <c r="AC109" s="40" t="s">
        <v>78</v>
      </c>
      <c r="AD109" s="40" t="s">
        <v>78</v>
      </c>
      <c r="AE109" s="40" t="s">
        <v>78</v>
      </c>
      <c r="AF109" s="40" t="s">
        <v>78</v>
      </c>
      <c r="AG109" s="40" t="s">
        <v>78</v>
      </c>
      <c r="AH109" s="40" t="s">
        <v>78</v>
      </c>
      <c r="AI109" s="40" t="s">
        <v>78</v>
      </c>
      <c r="AJ109" s="40" t="s">
        <v>78</v>
      </c>
      <c r="AK109" s="40" t="s">
        <v>78</v>
      </c>
      <c r="AL109" t="str">
        <f>VLOOKUP($Q109,武学奇术!$A:$ZZ,25,FALSE)</f>
        <v>伞</v>
      </c>
      <c r="AM109" s="24">
        <f>VLOOKUP($Q109,武学奇术!$A:$ZZ,26,FALSE)</f>
        <v>1.174955</v>
      </c>
      <c r="AN109" s="25">
        <f>VLOOKUP($Q109,武学奇术!$A:$ZZ,27,FALSE)*(1+IF(OR($AL109=$F$4,$AL109=$F$5),$B$22,0))</f>
        <v>486.45</v>
      </c>
      <c r="AO109" s="24">
        <f>VLOOKUP($Q109,武学奇术!$A:$ZZ,28,FALSE)</f>
        <v>1.762375</v>
      </c>
      <c r="AP109" s="25">
        <f>VLOOKUP($Q109,武学奇术!$A:$ZZ,29,FALSE)*(1+IF(OR($AL109=$F$4,$AL109=$F$5),$B$22,0))</f>
        <v>265.65</v>
      </c>
      <c r="AQ109" s="24" cm="1">
        <f t="array" ref="AQ109">$G$3+IFERROR(VLOOKUP($AL109,$F$4:$G$7,2,FALSE),0)+VLOOKUP($Q109,武学奇术!$A:$ZZ,2,FALSE)+SUM(_xlfn.XLOOKUP($R109:$AK109,增益!$A:$A,增益!$B:$B,0))</f>
        <v>0.9741</v>
      </c>
      <c r="AR109" s="24" cm="1">
        <f t="array" ref="AR109">VLOOKUP($Q109,武学奇术!$A:$ZZ,5,FALSE)+SUM(_xlfn.XLOOKUP($R109:$AK109,增益!$A:$A,增益!$E:$E,0))</f>
        <v>0.15</v>
      </c>
      <c r="AS109" cm="1">
        <f t="array" ref="AS109">$D$10*(1+$AR109)+VLOOKUP($Q109,武学奇术!$A:$ZZ,3,FALSE)+SUM(_xlfn.XLOOKUP($R109:$AK109,增益!$A:$A,增益!$C:$C,0))-$I$2</f>
        <v>4389.8462</v>
      </c>
      <c r="AT109" cm="1">
        <f t="array" ref="AT109">$E$10*(1+$AR109)+VLOOKUP($Q109,武学奇术!$A:$ZZ,4,FALSE)+SUM(_xlfn.XLOOKUP($R109:$AK109,增益!$A:$A,增益!$D:$D,0))-$I$2</f>
        <v>4389.8462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0.2675</v>
      </c>
      <c r="AV109" s="32" cm="1">
        <f t="array" ref="AV109">$G$10+VLOOKUP($Q109,武学奇术!$A:$ZZ,7,FALSE)+SUM(_xlfn.XLOOKUP($R109:$AK109,增益!$A:$A,增益!$G:$G,0))</f>
        <v>0</v>
      </c>
      <c r="AW109" s="24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16"/>
        <v>605.472</v>
      </c>
      <c r="BG109">
        <f t="shared" si="17"/>
        <v>1579.612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4">
        <f>MIN(IF(VLOOKUP($Q109,武学奇术!$A:$ZZ,23,FALSE)=1,100%,$B$8),100%)</f>
        <v>1</v>
      </c>
      <c r="BO109" s="24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0.9093</v>
      </c>
      <c r="BP109" s="24" cm="1">
        <f t="array" ref="BP109">1+$B$13+VLOOKUP($Q109,武学奇术!$A:$ZZ,18,FALSE)+SUM(_xlfn.XLOOKUP($R109:$AK109,增益!$A:$A,增益!$R:$R,0))</f>
        <v>1.96</v>
      </c>
      <c r="BQ109" s="24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4" cm="1">
        <f t="array" ref="BR109">1+$B$14+VLOOKUP($Q109,武学奇术!$A:$ZZ,20,FALSE)+SUM(_xlfn.XLOOKUP($R109:$AK109,增益!$A:$A,增益!$T:$T,0))</f>
        <v>1.35</v>
      </c>
      <c r="BS109" s="24">
        <f t="shared" si="20"/>
        <v>0.9071</v>
      </c>
      <c r="BT109" s="24">
        <f t="shared" si="21"/>
        <v>0</v>
      </c>
      <c r="BU109" s="24">
        <f>IF(VLOOKUP($Q109,武学奇术!$A:$ZZ,22,FALSE)=1,0,(1-$BN109))*(1-$BQ109)</f>
        <v>0</v>
      </c>
      <c r="BV109" s="24" cm="1">
        <f t="array" ref="BV109">SUM(_xlfn.XLOOKUP($R109:$AK109,增益!$A:$A,增益!$W:$W,0))+$I$5</f>
        <v>0.06</v>
      </c>
    </row>
    <row r="110" spans="1:74">
      <c r="A110" s="4" t="s">
        <v>111</v>
      </c>
      <c r="B110" s="88">
        <v>1.16</v>
      </c>
      <c r="K110" s="38">
        <f t="shared" si="11"/>
        <v>74377.778586098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弹道",$B$21,0))*(1+$BV110)</f>
        <v>74813.4630155635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弹道",$B$21,0))*(1+$BV110)</f>
        <v>70123.6413851489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弹道",$B$21,0))*(1+$BV110)</f>
        <v>46758.4143847272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弹道",$B$21,0))*(1+$BV110)</f>
        <v>41573.3907063812</v>
      </c>
      <c r="P110" s="39">
        <v>4</v>
      </c>
      <c r="Q110" s="40" t="s">
        <v>153</v>
      </c>
      <c r="R110" s="40" t="s">
        <v>97</v>
      </c>
      <c r="S110" s="40" t="s">
        <v>176</v>
      </c>
      <c r="T110" s="40" t="s">
        <v>78</v>
      </c>
      <c r="U110" s="40" t="s">
        <v>171</v>
      </c>
      <c r="V110" s="40" t="s">
        <v>78</v>
      </c>
      <c r="W110" s="40" t="s">
        <v>78</v>
      </c>
      <c r="X110" s="40" t="s">
        <v>78</v>
      </c>
      <c r="Y110" s="40" t="s">
        <v>78</v>
      </c>
      <c r="Z110" s="40" t="s">
        <v>78</v>
      </c>
      <c r="AA110" s="40" t="s">
        <v>78</v>
      </c>
      <c r="AB110" s="40" t="s">
        <v>78</v>
      </c>
      <c r="AC110" s="40" t="s">
        <v>78</v>
      </c>
      <c r="AD110" s="40" t="s">
        <v>78</v>
      </c>
      <c r="AE110" s="40" t="s">
        <v>78</v>
      </c>
      <c r="AF110" s="40" t="s">
        <v>78</v>
      </c>
      <c r="AG110" s="40" t="s">
        <v>78</v>
      </c>
      <c r="AH110" s="40" t="s">
        <v>78</v>
      </c>
      <c r="AI110" s="40" t="s">
        <v>78</v>
      </c>
      <c r="AJ110" s="40" t="s">
        <v>78</v>
      </c>
      <c r="AK110" s="40" t="s">
        <v>78</v>
      </c>
      <c r="AL110" t="str">
        <f>VLOOKUP($Q110,武学奇术!$A:$ZZ,25,FALSE)</f>
        <v>单体奇术</v>
      </c>
      <c r="AM110" s="24">
        <f>VLOOKUP($Q110,武学奇术!$A:$ZZ,26,FALSE)</f>
        <v>1.0239</v>
      </c>
      <c r="AN110" s="25">
        <f>VLOOKUP($Q110,武学奇术!$A:$ZZ,27,FALSE)*(1+IF(OR($AL110=$F$4,$AL110=$F$5),$B$22,0))</f>
        <v>196</v>
      </c>
      <c r="AO110" s="24">
        <f>VLOOKUP($Q110,武学奇术!$A:$ZZ,28,FALSE)</f>
        <v>1.53585</v>
      </c>
      <c r="AP110" s="25">
        <f>VLOOKUP($Q110,武学奇术!$A:$ZZ,29,FALSE)*(1+IF(OR($AL110=$F$4,$AL110=$F$5),$B$22,0))</f>
        <v>0</v>
      </c>
      <c r="AQ110" s="24" cm="1">
        <f t="array" ref="AQ110">$G$3+IFERROR(VLOOKUP($AL110,$F$4:$G$7,2,FALSE),0)+VLOOKUP($Q110,武学奇术!$A:$ZZ,2,FALSE)+SUM(_xlfn.XLOOKUP($R110:$AK110,增益!$A:$A,增益!$B:$B,0))</f>
        <v>0.4215</v>
      </c>
      <c r="AR110" s="24" cm="1">
        <f t="array" ref="AR110">VLOOKUP($Q110,武学奇术!$A:$ZZ,5,FALSE)+SUM(_xlfn.XLOOKUP($R110:$AK110,增益!$A:$A,增益!$E:$E,0))</f>
        <v>0.15</v>
      </c>
      <c r="AS110" cm="1">
        <f t="array" ref="AS110">$D$10*(1+$AR110)+VLOOKUP($Q110,武学奇术!$A:$ZZ,3,FALSE)+SUM(_xlfn.XLOOKUP($R110:$AK110,增益!$A:$A,增益!$C:$C,0))-$I$2</f>
        <v>4389.8462</v>
      </c>
      <c r="AT110" cm="1">
        <f t="array" ref="AT110">$E$10*(1+$AR110)+VLOOKUP($Q110,武学奇术!$A:$ZZ,4,FALSE)+SUM(_xlfn.XLOOKUP($R110:$AK110,增益!$A:$A,增益!$D:$D,0))-$I$2</f>
        <v>4389.8462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0.2425</v>
      </c>
      <c r="AV110" s="32" cm="1">
        <f t="array" ref="AV110">$G$10+VLOOKUP($Q110,武学奇术!$A:$ZZ,7,FALSE)+SUM(_xlfn.XLOOKUP($R110:$AK110,增益!$A:$A,增益!$G:$G,0))</f>
        <v>0</v>
      </c>
      <c r="AW110" s="24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16"/>
        <v>605.472</v>
      </c>
      <c r="BG110">
        <f t="shared" si="17"/>
        <v>1579.612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4">
        <f>MIN(IF(VLOOKUP($Q110,武学奇术!$A:$ZZ,23,FALSE)=1,100%,$B$8),100%)</f>
        <v>1</v>
      </c>
      <c r="BO110" s="24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0.9093</v>
      </c>
      <c r="BP110" s="24" cm="1">
        <f t="array" ref="BP110">1+$B$13+VLOOKUP($Q110,武学奇术!$A:$ZZ,18,FALSE)+SUM(_xlfn.XLOOKUP($R110:$AK110,增益!$A:$A,增益!$R:$R,0))</f>
        <v>1.6</v>
      </c>
      <c r="BQ110" s="24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4" cm="1">
        <f t="array" ref="BR110">1+$B$14+VLOOKUP($Q110,武学奇术!$A:$ZZ,20,FALSE)+SUM(_xlfn.XLOOKUP($R110:$AK110,增益!$A:$A,增益!$T:$T,0))</f>
        <v>1.35</v>
      </c>
      <c r="BS110" s="24">
        <f t="shared" si="20"/>
        <v>0.9071</v>
      </c>
      <c r="BT110" s="24">
        <f t="shared" si="21"/>
        <v>0</v>
      </c>
      <c r="BU110" s="24">
        <f>IF(VLOOKUP($Q110,武学奇术!$A:$ZZ,22,FALSE)=1,0,(1-$BN110))*(1-$BQ110)</f>
        <v>0</v>
      </c>
      <c r="BV110" s="24" cm="1">
        <f t="array" ref="BV110">SUM(_xlfn.XLOOKUP($R110:$AK110,增益!$A:$A,增益!$W:$W,0))+$I$5</f>
        <v>0.06</v>
      </c>
    </row>
    <row r="111" spans="1:74">
      <c r="A111" s="4" t="s">
        <v>161</v>
      </c>
      <c r="B111" s="4">
        <v>0.1</v>
      </c>
      <c r="K111" s="38">
        <f t="shared" si="11"/>
        <v>116880.371796505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弹道",$B$21,0))*(1+$BV111)</f>
        <v>117565.024360248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弹道",$B$21,0))*(1+$BV111)</f>
        <v>110195.244341482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弹道",$B$21,0))*(1+$BV111)</f>
        <v>73478.1402251552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弹道",$B$21,0))*(1+$BV111)</f>
        <v>65330.1735306941</v>
      </c>
      <c r="P111" s="39">
        <v>4</v>
      </c>
      <c r="Q111" s="40" t="s">
        <v>155</v>
      </c>
      <c r="R111" s="40" t="s">
        <v>97</v>
      </c>
      <c r="S111" s="40" t="s">
        <v>176</v>
      </c>
      <c r="T111" s="40" t="s">
        <v>78</v>
      </c>
      <c r="U111" s="40" t="s">
        <v>171</v>
      </c>
      <c r="V111" s="40" t="s">
        <v>78</v>
      </c>
      <c r="W111" s="40" t="s">
        <v>78</v>
      </c>
      <c r="X111" s="40" t="s">
        <v>78</v>
      </c>
      <c r="Y111" s="40" t="s">
        <v>78</v>
      </c>
      <c r="Z111" s="40" t="s">
        <v>78</v>
      </c>
      <c r="AA111" s="40" t="s">
        <v>78</v>
      </c>
      <c r="AB111" s="40" t="s">
        <v>78</v>
      </c>
      <c r="AC111" s="40" t="s">
        <v>78</v>
      </c>
      <c r="AD111" s="40" t="s">
        <v>78</v>
      </c>
      <c r="AE111" s="40" t="s">
        <v>78</v>
      </c>
      <c r="AF111" s="40" t="s">
        <v>78</v>
      </c>
      <c r="AG111" s="40" t="s">
        <v>78</v>
      </c>
      <c r="AH111" s="40" t="s">
        <v>78</v>
      </c>
      <c r="AI111" s="40" t="s">
        <v>78</v>
      </c>
      <c r="AJ111" s="40" t="s">
        <v>78</v>
      </c>
      <c r="AK111" s="40" t="s">
        <v>78</v>
      </c>
      <c r="AL111" t="str">
        <f>VLOOKUP($Q111,武学奇术!$A:$ZZ,25,FALSE)</f>
        <v>单体奇术</v>
      </c>
      <c r="AM111" s="24">
        <f>VLOOKUP($Q111,武学奇术!$A:$ZZ,26,FALSE)</f>
        <v>1.609</v>
      </c>
      <c r="AN111" s="25">
        <f>VLOOKUP($Q111,武学奇术!$A:$ZZ,27,FALSE)*(1+IF(OR($AL111=$F$4,$AL111=$F$5),$B$22,0))</f>
        <v>308</v>
      </c>
      <c r="AO111" s="24">
        <f>VLOOKUP($Q111,武学奇术!$A:$ZZ,28,FALSE)</f>
        <v>2.4135</v>
      </c>
      <c r="AP111" s="25">
        <f>VLOOKUP($Q111,武学奇术!$A:$ZZ,29,FALSE)*(1+IF(OR($AL111=$F$4,$AL111=$F$5),$B$22,0))</f>
        <v>0</v>
      </c>
      <c r="AQ111" s="24" cm="1">
        <f t="array" ref="AQ111">$G$3+IFERROR(VLOOKUP($AL111,$F$4:$G$7,2,FALSE),0)+VLOOKUP($Q111,武学奇术!$A:$ZZ,2,FALSE)+SUM(_xlfn.XLOOKUP($R111:$AK111,增益!$A:$A,增益!$B:$B,0))</f>
        <v>0.4215</v>
      </c>
      <c r="AR111" s="24" cm="1">
        <f t="array" ref="AR111">VLOOKUP($Q111,武学奇术!$A:$ZZ,5,FALSE)+SUM(_xlfn.XLOOKUP($R111:$AK111,增益!$A:$A,增益!$E:$E,0))</f>
        <v>0.15</v>
      </c>
      <c r="AS111" cm="1">
        <f t="array" ref="AS111">$D$10*(1+$AR111)+VLOOKUP($Q111,武学奇术!$A:$ZZ,3,FALSE)+SUM(_xlfn.XLOOKUP($R111:$AK111,增益!$A:$A,增益!$C:$C,0))-$I$2</f>
        <v>4389.8462</v>
      </c>
      <c r="AT111" cm="1">
        <f t="array" ref="AT111">$E$10*(1+$AR111)+VLOOKUP($Q111,武学奇术!$A:$ZZ,4,FALSE)+SUM(_xlfn.XLOOKUP($R111:$AK111,增益!$A:$A,增益!$D:$D,0))-$I$2</f>
        <v>4389.8462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0.2425</v>
      </c>
      <c r="AV111" s="32" cm="1">
        <f t="array" ref="AV111">$G$10+VLOOKUP($Q111,武学奇术!$A:$ZZ,7,FALSE)+SUM(_xlfn.XLOOKUP($R111:$AK111,增益!$A:$A,增益!$G:$G,0))</f>
        <v>0</v>
      </c>
      <c r="AW111" s="24" cm="1">
        <f t="array" ref="AW111">VLOOKUP($Q111,武学奇术!$A:$ZZ,8,FALSE)+SUM(_xlfn.XLOOKUP($R111:$AK111,增益!$A:$A,增益!$H:$H,0))</f>
        <v>0</v>
      </c>
      <c r="AX111">
        <f t="shared" si="12"/>
        <v>0</v>
      </c>
      <c r="AY111">
        <f t="shared" si="13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-0.3</v>
      </c>
      <c r="BA111" s="32" cm="1">
        <f t="array" ref="BA111">$G$11+VLOOKUP($Q111,武学奇术!$A:$ZZ,10,FALSE)+SUM(_xlfn.XLOOKUP($R111:$AK111,增益!$A:$A,增益!$J:$J,0))</f>
        <v>0</v>
      </c>
      <c r="BB111">
        <f t="shared" si="14"/>
        <v>0</v>
      </c>
      <c r="BC111">
        <f t="shared" si="15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-0.3</v>
      </c>
      <c r="BE111" s="32" cm="1">
        <f t="array" ref="BE111">$G$12+VLOOKUP($Q111,武学奇术!$A:$ZZ,12,FALSE)+SUM(_xlfn.XLOOKUP($R111:$AK111,增益!$A:$A,增益!$L:$L,0))</f>
        <v>0</v>
      </c>
      <c r="BF111">
        <f t="shared" si="16"/>
        <v>605.472</v>
      </c>
      <c r="BG111">
        <f t="shared" si="17"/>
        <v>1579.612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</v>
      </c>
      <c r="BI111" s="32" cm="1">
        <f t="array" ref="BI111">$G$13+VLOOKUP($Q111,武学奇术!$A:$ZZ,14,FALSE)+SUM(_xlfn.XLOOKUP($R111:$AK111,增益!$A:$A,增益!$N:$N,0))</f>
        <v>0.15</v>
      </c>
      <c r="BJ111">
        <f t="shared" si="18"/>
        <v>0</v>
      </c>
      <c r="BK111">
        <f t="shared" si="19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-0.3</v>
      </c>
      <c r="BM111" s="32" cm="1">
        <f t="array" ref="BM111">$G$14+VLOOKUP($Q111,武学奇术!$A:$ZZ,16,FALSE)+SUM(_xlfn.XLOOKUP($R111:$AK111,增益!$A:$A,增益!$P:$P,0))</f>
        <v>0</v>
      </c>
      <c r="BN111" s="24">
        <f>MIN(IF(VLOOKUP($Q111,武学奇术!$A:$ZZ,23,FALSE)=1,100%,$B$8),100%)</f>
        <v>1</v>
      </c>
      <c r="BO111" s="24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0.9093</v>
      </c>
      <c r="BP111" s="24" cm="1">
        <f t="array" ref="BP111">1+$B$13+VLOOKUP($Q111,武学奇术!$A:$ZZ,18,FALSE)+SUM(_xlfn.XLOOKUP($R111:$AK111,增益!$A:$A,增益!$R:$R,0))</f>
        <v>1.6</v>
      </c>
      <c r="BQ111" s="24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4" cm="1">
        <f t="array" ref="BR111">1+$B$14+VLOOKUP($Q111,武学奇术!$A:$ZZ,20,FALSE)+SUM(_xlfn.XLOOKUP($R111:$AK111,增益!$A:$A,增益!$T:$T,0))</f>
        <v>1.35</v>
      </c>
      <c r="BS111" s="24">
        <f t="shared" si="20"/>
        <v>0.9071</v>
      </c>
      <c r="BT111" s="24">
        <f t="shared" si="21"/>
        <v>0</v>
      </c>
      <c r="BU111" s="24">
        <f>IF(VLOOKUP($Q111,武学奇术!$A:$ZZ,22,FALSE)=1,0,(1-$BN111))*(1-$BQ111)</f>
        <v>0</v>
      </c>
      <c r="BV111" s="24" cm="1">
        <f t="array" ref="BV111">SUM(_xlfn.XLOOKUP($R111:$AK111,增益!$A:$A,增益!$W:$W,0))+$I$5</f>
        <v>0.06</v>
      </c>
    </row>
    <row r="112" spans="1:74">
      <c r="A112" s="4" t="s">
        <v>165</v>
      </c>
      <c r="B112" s="4">
        <v>1</v>
      </c>
      <c r="K112" s="38">
        <f t="shared" si="11"/>
        <v>15959.2263738113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弹道",$B$21,0))*(1+$BV112)</f>
        <v>16064.1106369502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弹道",$B$21,0))*(1+$BV112)</f>
        <v>14935.1088808807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弹道",$B$21,0))*(1+$BV112)</f>
        <v>10040.0691480938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弹道",$B$21,0))*(1+$BV112)</f>
        <v>9017.09468072049</v>
      </c>
      <c r="P112" s="39">
        <v>1</v>
      </c>
      <c r="Q112" s="40" t="s">
        <v>160</v>
      </c>
      <c r="R112" s="40" t="s">
        <v>97</v>
      </c>
      <c r="S112" s="40" t="s">
        <v>176</v>
      </c>
      <c r="T112" s="40" t="s">
        <v>78</v>
      </c>
      <c r="U112" s="40" t="s">
        <v>171</v>
      </c>
      <c r="V112" s="40" t="s">
        <v>78</v>
      </c>
      <c r="W112" s="40" t="s">
        <v>78</v>
      </c>
      <c r="X112" s="40" t="s">
        <v>78</v>
      </c>
      <c r="Y112" s="40" t="s">
        <v>78</v>
      </c>
      <c r="Z112" s="40" t="s">
        <v>78</v>
      </c>
      <c r="AA112" s="40" t="s">
        <v>78</v>
      </c>
      <c r="AB112" s="40" t="s">
        <v>78</v>
      </c>
      <c r="AC112" s="40" t="s">
        <v>78</v>
      </c>
      <c r="AD112" s="40" t="s">
        <v>78</v>
      </c>
      <c r="AE112" s="40" t="s">
        <v>78</v>
      </c>
      <c r="AF112" s="40" t="s">
        <v>78</v>
      </c>
      <c r="AG112" s="40" t="s">
        <v>78</v>
      </c>
      <c r="AH112" s="40" t="s">
        <v>78</v>
      </c>
      <c r="AI112" s="40" t="s">
        <v>78</v>
      </c>
      <c r="AJ112" s="40" t="s">
        <v>78</v>
      </c>
      <c r="AK112" s="40" t="s">
        <v>78</v>
      </c>
      <c r="AL112" t="str">
        <f>VLOOKUP($Q112,武学奇术!$A:$ZZ,25,FALSE)</f>
        <v>扇</v>
      </c>
      <c r="AM112" s="24">
        <f>VLOOKUP($Q112,武学奇术!$A:$ZZ,26,FALSE)</f>
        <v>0.9271</v>
      </c>
      <c r="AN112" s="25">
        <f>VLOOKUP($Q112,武学奇术!$A:$ZZ,27,FALSE)*(1+IF(OR($AL112=$F$4,$AL112=$F$5),$B$22,0))</f>
        <v>385.5</v>
      </c>
      <c r="AO112" s="24">
        <f>VLOOKUP($Q112,武学奇术!$A:$ZZ,28,FALSE)</f>
        <v>1.3907</v>
      </c>
      <c r="AP112" s="25">
        <f>VLOOKUP($Q112,武学奇术!$A:$ZZ,29,FALSE)*(1+IF(OR($AL112=$F$4,$AL112=$F$5),$B$22,0))</f>
        <v>210</v>
      </c>
      <c r="AQ112" s="24" cm="1">
        <f t="array" ref="AQ112">$G$3+IFERROR(VLOOKUP($AL112,$F$4:$G$7,2,FALSE),0)+VLOOKUP($Q112,武学奇术!$A:$ZZ,2,FALSE)+SUM(_xlfn.XLOOKUP($R112:$AK112,增益!$A:$A,增益!$B:$B,0))</f>
        <v>0.2389</v>
      </c>
      <c r="AR112" s="24" cm="1">
        <f t="array" ref="AR112">VLOOKUP($Q112,武学奇术!$A:$ZZ,5,FALSE)+SUM(_xlfn.XLOOKUP($R112:$AK112,增益!$A:$A,增益!$E:$E,0))</f>
        <v>0.15</v>
      </c>
      <c r="AS112" cm="1">
        <f t="array" ref="AS112">$D$10*(1+$AR112)+VLOOKUP($Q112,武学奇术!$A:$ZZ,3,FALSE)+SUM(_xlfn.XLOOKUP($R112:$AK112,增益!$A:$A,增益!$C:$C,0))-$I$2</f>
        <v>4389.8462</v>
      </c>
      <c r="AT112" cm="1">
        <f t="array" ref="AT112">$E$10*(1+$AR112)+VLOOKUP($Q112,武学奇术!$A:$ZZ,4,FALSE)+SUM(_xlfn.XLOOKUP($R112:$AK112,增益!$A:$A,增益!$D:$D,0))-$I$2</f>
        <v>4389.8462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0.2425</v>
      </c>
      <c r="AV112" s="32" cm="1">
        <f t="array" ref="AV112">$G$10+VLOOKUP($Q112,武学奇术!$A:$ZZ,7,FALSE)+SUM(_xlfn.XLOOKUP($R112:$AK112,增益!$A:$A,增益!$G:$G,0))</f>
        <v>0</v>
      </c>
      <c r="AW112" s="24" cm="1">
        <f t="array" ref="AW112">VLOOKUP($Q112,武学奇术!$A:$ZZ,8,FALSE)+SUM(_xlfn.XLOOKUP($R112:$AK112,增益!$A:$A,增益!$H:$H,0))</f>
        <v>0</v>
      </c>
      <c r="AX112">
        <f t="shared" si="12"/>
        <v>0</v>
      </c>
      <c r="AY112">
        <f t="shared" si="13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2" cm="1">
        <f t="array" ref="BA112">$G$11+VLOOKUP($Q112,武学奇术!$A:$ZZ,10,FALSE)+SUM(_xlfn.XLOOKUP($R112:$AK112,增益!$A:$A,增益!$J:$J,0))</f>
        <v>0</v>
      </c>
      <c r="BB112">
        <f t="shared" si="14"/>
        <v>0</v>
      </c>
      <c r="BC112">
        <f t="shared" si="15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2" cm="1">
        <f t="array" ref="BE112">$G$12+VLOOKUP($Q112,武学奇术!$A:$ZZ,12,FALSE)+SUM(_xlfn.XLOOKUP($R112:$AK112,增益!$A:$A,增益!$L:$L,0))</f>
        <v>0</v>
      </c>
      <c r="BF112">
        <f t="shared" si="16"/>
        <v>605.472</v>
      </c>
      <c r="BG112">
        <f t="shared" si="17"/>
        <v>1579.612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2" cm="1">
        <f t="array" ref="BI112">$G$13+VLOOKUP($Q112,武学奇术!$A:$ZZ,14,FALSE)+SUM(_xlfn.XLOOKUP($R112:$AK112,增益!$A:$A,增益!$N:$N,0))</f>
        <v>0.15</v>
      </c>
      <c r="BJ112">
        <f t="shared" si="18"/>
        <v>0</v>
      </c>
      <c r="BK112">
        <f t="shared" si="19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2" cm="1">
        <f t="array" ref="BM112">$G$14+VLOOKUP($Q112,武学奇术!$A:$ZZ,16,FALSE)+SUM(_xlfn.XLOOKUP($R112:$AK112,增益!$A:$A,增益!$P:$P,0))</f>
        <v>0</v>
      </c>
      <c r="BN112" s="24">
        <f>MIN(IF(VLOOKUP($Q112,武学奇术!$A:$ZZ,23,FALSE)=1,100%,$B$8),100%)</f>
        <v>1</v>
      </c>
      <c r="BO112" s="24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0.9093</v>
      </c>
      <c r="BP112" s="24" cm="1">
        <f t="array" ref="BP112">1+$B$13+VLOOKUP($Q112,武学奇术!$A:$ZZ,18,FALSE)+SUM(_xlfn.XLOOKUP($R112:$AK112,增益!$A:$A,增益!$R:$R,0))</f>
        <v>1.6</v>
      </c>
      <c r="BQ112" s="24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4" cm="1">
        <f t="array" ref="BR112">1+$B$14+VLOOKUP($Q112,武学奇术!$A:$ZZ,20,FALSE)+SUM(_xlfn.XLOOKUP($R112:$AK112,增益!$A:$A,增益!$T:$T,0))</f>
        <v>1.35</v>
      </c>
      <c r="BS112" s="24">
        <f t="shared" si="20"/>
        <v>0.9071</v>
      </c>
      <c r="BT112" s="24">
        <f t="shared" si="21"/>
        <v>0</v>
      </c>
      <c r="BU112" s="24">
        <f>IF(VLOOKUP($Q112,武学奇术!$A:$ZZ,22,FALSE)=1,0,(1-$BN112))*(1-$BQ112)</f>
        <v>0</v>
      </c>
      <c r="BV112" s="24" cm="1">
        <f t="array" ref="BV112">SUM(_xlfn.XLOOKUP($R112:$AK112,增益!$A:$A,增益!$W:$W,0))+$I$5</f>
        <v>0.06</v>
      </c>
    </row>
    <row r="113" spans="1:74">
      <c r="A113" s="4" t="s">
        <v>162</v>
      </c>
      <c r="B113" s="4">
        <v>2.5</v>
      </c>
      <c r="K113" s="38">
        <f t="shared" si="11"/>
        <v>37188.889293049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弹道",$B$21,0))*(1+$BV113)</f>
        <v>37406.7315077818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弹道",$B$21,0))*(1+$BV113)</f>
        <v>35061.8206925744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弹道",$B$21,0))*(1+$BV113)</f>
        <v>23379.2071923636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弹道",$B$21,0))*(1+$BV113)</f>
        <v>20786.6953531906</v>
      </c>
      <c r="P113" s="39">
        <v>2</v>
      </c>
      <c r="Q113" s="40" t="s">
        <v>153</v>
      </c>
      <c r="R113" s="40" t="s">
        <v>97</v>
      </c>
      <c r="S113" s="40" t="s">
        <v>176</v>
      </c>
      <c r="T113" s="40" t="s">
        <v>78</v>
      </c>
      <c r="U113" s="40" t="s">
        <v>171</v>
      </c>
      <c r="V113" s="40" t="s">
        <v>78</v>
      </c>
      <c r="W113" s="40" t="s">
        <v>78</v>
      </c>
      <c r="X113" s="40" t="s">
        <v>78</v>
      </c>
      <c r="Y113" s="40" t="s">
        <v>78</v>
      </c>
      <c r="Z113" s="40" t="s">
        <v>78</v>
      </c>
      <c r="AA113" s="40" t="s">
        <v>78</v>
      </c>
      <c r="AB113" s="40" t="s">
        <v>78</v>
      </c>
      <c r="AC113" s="40" t="s">
        <v>78</v>
      </c>
      <c r="AD113" s="40" t="s">
        <v>78</v>
      </c>
      <c r="AE113" s="40" t="s">
        <v>78</v>
      </c>
      <c r="AF113" s="40" t="s">
        <v>78</v>
      </c>
      <c r="AG113" s="40" t="s">
        <v>78</v>
      </c>
      <c r="AH113" s="40" t="s">
        <v>78</v>
      </c>
      <c r="AI113" s="40" t="s">
        <v>78</v>
      </c>
      <c r="AJ113" s="40" t="s">
        <v>78</v>
      </c>
      <c r="AK113" s="40" t="s">
        <v>78</v>
      </c>
      <c r="AL113" t="str">
        <f>VLOOKUP($Q113,武学奇术!$A:$ZZ,25,FALSE)</f>
        <v>单体奇术</v>
      </c>
      <c r="AM113" s="24">
        <f>VLOOKUP($Q113,武学奇术!$A:$ZZ,26,FALSE)</f>
        <v>1.0239</v>
      </c>
      <c r="AN113" s="25">
        <f>VLOOKUP($Q113,武学奇术!$A:$ZZ,27,FALSE)*(1+IF(OR($AL113=$F$4,$AL113=$F$5),$B$22,0))</f>
        <v>196</v>
      </c>
      <c r="AO113" s="24">
        <f>VLOOKUP($Q113,武学奇术!$A:$ZZ,28,FALSE)</f>
        <v>1.53585</v>
      </c>
      <c r="AP113" s="25">
        <f>VLOOKUP($Q113,武学奇术!$A:$ZZ,29,FALSE)*(1+IF(OR($AL113=$F$4,$AL113=$F$5),$B$22,0))</f>
        <v>0</v>
      </c>
      <c r="AQ113" s="24" cm="1">
        <f t="array" ref="AQ113">$G$3+IFERROR(VLOOKUP($AL113,$F$4:$G$7,2,FALSE),0)+VLOOKUP($Q113,武学奇术!$A:$ZZ,2,FALSE)+SUM(_xlfn.XLOOKUP($R113:$AK113,增益!$A:$A,增益!$B:$B,0))</f>
        <v>0.4215</v>
      </c>
      <c r="AR113" s="24" cm="1">
        <f t="array" ref="AR113">VLOOKUP($Q113,武学奇术!$A:$ZZ,5,FALSE)+SUM(_xlfn.XLOOKUP($R113:$AK113,增益!$A:$A,增益!$E:$E,0))</f>
        <v>0.15</v>
      </c>
      <c r="AS113" cm="1">
        <f t="array" ref="AS113">$D$10*(1+$AR113)+VLOOKUP($Q113,武学奇术!$A:$ZZ,3,FALSE)+SUM(_xlfn.XLOOKUP($R113:$AK113,增益!$A:$A,增益!$C:$C,0))-$I$2</f>
        <v>4389.8462</v>
      </c>
      <c r="AT113" cm="1">
        <f t="array" ref="AT113">$E$10*(1+$AR113)+VLOOKUP($Q113,武学奇术!$A:$ZZ,4,FALSE)+SUM(_xlfn.XLOOKUP($R113:$AK113,增益!$A:$A,增益!$D:$D,0))-$I$2</f>
        <v>4389.8462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0.2425</v>
      </c>
      <c r="AV113" s="32" cm="1">
        <f t="array" ref="AV113">$G$10+VLOOKUP($Q113,武学奇术!$A:$ZZ,7,FALSE)+SUM(_xlfn.XLOOKUP($R113:$AK113,增益!$A:$A,增益!$G:$G,0))</f>
        <v>0</v>
      </c>
      <c r="AW113" s="24" cm="1">
        <f t="array" ref="AW113">VLOOKUP($Q113,武学奇术!$A:$ZZ,8,FALSE)+SUM(_xlfn.XLOOKUP($R113:$AK113,增益!$A:$A,增益!$H:$H,0))</f>
        <v>0</v>
      </c>
      <c r="AX113">
        <f t="shared" si="12"/>
        <v>0</v>
      </c>
      <c r="AY113">
        <f t="shared" si="13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2" cm="1">
        <f t="array" ref="BA113">$G$11+VLOOKUP($Q113,武学奇术!$A:$ZZ,10,FALSE)+SUM(_xlfn.XLOOKUP($R113:$AK113,增益!$A:$A,增益!$J:$J,0))</f>
        <v>0</v>
      </c>
      <c r="BB113">
        <f t="shared" si="14"/>
        <v>0</v>
      </c>
      <c r="BC113">
        <f t="shared" si="15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-0.3</v>
      </c>
      <c r="BE113" s="32" cm="1">
        <f t="array" ref="BE113">$G$12+VLOOKUP($Q113,武学奇术!$A:$ZZ,12,FALSE)+SUM(_xlfn.XLOOKUP($R113:$AK113,增益!$A:$A,增益!$L:$L,0))</f>
        <v>0</v>
      </c>
      <c r="BF113">
        <f t="shared" si="16"/>
        <v>605.472</v>
      </c>
      <c r="BG113">
        <f t="shared" si="17"/>
        <v>1579.612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</v>
      </c>
      <c r="BI113" s="32" cm="1">
        <f t="array" ref="BI113">$G$13+VLOOKUP($Q113,武学奇术!$A:$ZZ,14,FALSE)+SUM(_xlfn.XLOOKUP($R113:$AK113,增益!$A:$A,增益!$N:$N,0))</f>
        <v>0.15</v>
      </c>
      <c r="BJ113">
        <f t="shared" si="18"/>
        <v>0</v>
      </c>
      <c r="BK113">
        <f t="shared" si="19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2" cm="1">
        <f t="array" ref="BM113">$G$14+VLOOKUP($Q113,武学奇术!$A:$ZZ,16,FALSE)+SUM(_xlfn.XLOOKUP($R113:$AK113,增益!$A:$A,增益!$P:$P,0))</f>
        <v>0</v>
      </c>
      <c r="BN113" s="24">
        <f>MIN(IF(VLOOKUP($Q113,武学奇术!$A:$ZZ,23,FALSE)=1,100%,$B$8),100%)</f>
        <v>1</v>
      </c>
      <c r="BO113" s="24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0.9093</v>
      </c>
      <c r="BP113" s="24" cm="1">
        <f t="array" ref="BP113">1+$B$13+VLOOKUP($Q113,武学奇术!$A:$ZZ,18,FALSE)+SUM(_xlfn.XLOOKUP($R113:$AK113,增益!$A:$A,增益!$R:$R,0))</f>
        <v>1.6</v>
      </c>
      <c r="BQ113" s="24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4" cm="1">
        <f t="array" ref="BR113">1+$B$14+VLOOKUP($Q113,武学奇术!$A:$ZZ,20,FALSE)+SUM(_xlfn.XLOOKUP($R113:$AK113,增益!$A:$A,增益!$T:$T,0))</f>
        <v>1.35</v>
      </c>
      <c r="BS113" s="24">
        <f t="shared" si="20"/>
        <v>0.9071</v>
      </c>
      <c r="BT113" s="24">
        <f t="shared" si="21"/>
        <v>0</v>
      </c>
      <c r="BU113" s="24">
        <f>IF(VLOOKUP($Q113,武学奇术!$A:$ZZ,22,FALSE)=1,0,(1-$BN113))*(1-$BQ113)</f>
        <v>0</v>
      </c>
      <c r="BV113" s="24" cm="1">
        <f t="array" ref="BV113">SUM(_xlfn.XLOOKUP($R113:$AK113,增益!$A:$A,增益!$W:$W,0))+$I$5</f>
        <v>0.06</v>
      </c>
    </row>
    <row r="114" spans="1:74">
      <c r="A114" s="4" t="s">
        <v>172</v>
      </c>
      <c r="B114" s="4">
        <v>3.3</v>
      </c>
      <c r="K114" s="38">
        <f t="shared" si="11"/>
        <v>58440.1858982525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弹道",$B$21,0))*(1+$BV114)</f>
        <v>58782.5121801242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弹道",$B$21,0))*(1+$BV114)</f>
        <v>55097.6221707411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弹道",$B$21,0))*(1+$BV114)</f>
        <v>36739.0701125776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弹道",$B$21,0))*(1+$BV114)</f>
        <v>32665.0867653471</v>
      </c>
      <c r="P114" s="39">
        <v>2</v>
      </c>
      <c r="Q114" s="40" t="s">
        <v>155</v>
      </c>
      <c r="R114" s="40" t="s">
        <v>97</v>
      </c>
      <c r="S114" s="40" t="s">
        <v>176</v>
      </c>
      <c r="T114" s="40" t="s">
        <v>78</v>
      </c>
      <c r="U114" s="40" t="s">
        <v>171</v>
      </c>
      <c r="V114" s="40" t="s">
        <v>78</v>
      </c>
      <c r="W114" s="40" t="s">
        <v>78</v>
      </c>
      <c r="X114" s="40" t="s">
        <v>78</v>
      </c>
      <c r="Y114" s="40" t="s">
        <v>78</v>
      </c>
      <c r="Z114" s="40" t="s">
        <v>78</v>
      </c>
      <c r="AA114" s="40" t="s">
        <v>78</v>
      </c>
      <c r="AB114" s="40" t="s">
        <v>78</v>
      </c>
      <c r="AC114" s="40" t="s">
        <v>78</v>
      </c>
      <c r="AD114" s="40" t="s">
        <v>78</v>
      </c>
      <c r="AE114" s="40" t="s">
        <v>78</v>
      </c>
      <c r="AF114" s="40" t="s">
        <v>78</v>
      </c>
      <c r="AG114" s="40" t="s">
        <v>78</v>
      </c>
      <c r="AH114" s="40" t="s">
        <v>78</v>
      </c>
      <c r="AI114" s="40" t="s">
        <v>78</v>
      </c>
      <c r="AJ114" s="40" t="s">
        <v>78</v>
      </c>
      <c r="AK114" s="40" t="s">
        <v>78</v>
      </c>
      <c r="AL114" t="str">
        <f>VLOOKUP($Q114,武学奇术!$A:$ZZ,25,FALSE)</f>
        <v>单体奇术</v>
      </c>
      <c r="AM114" s="24">
        <f>VLOOKUP($Q114,武学奇术!$A:$ZZ,26,FALSE)</f>
        <v>1.609</v>
      </c>
      <c r="AN114" s="25">
        <f>VLOOKUP($Q114,武学奇术!$A:$ZZ,27,FALSE)*(1+IF(OR($AL114=$F$4,$AL114=$F$5),$B$22,0))</f>
        <v>308</v>
      </c>
      <c r="AO114" s="24">
        <f>VLOOKUP($Q114,武学奇术!$A:$ZZ,28,FALSE)</f>
        <v>2.4135</v>
      </c>
      <c r="AP114" s="25">
        <f>VLOOKUP($Q114,武学奇术!$A:$ZZ,29,FALSE)*(1+IF(OR($AL114=$F$4,$AL114=$F$5),$B$22,0))</f>
        <v>0</v>
      </c>
      <c r="AQ114" s="24" cm="1">
        <f t="array" ref="AQ114">$G$3+IFERROR(VLOOKUP($AL114,$F$4:$G$7,2,FALSE),0)+VLOOKUP($Q114,武学奇术!$A:$ZZ,2,FALSE)+SUM(_xlfn.XLOOKUP($R114:$AK114,增益!$A:$A,增益!$B:$B,0))</f>
        <v>0.4215</v>
      </c>
      <c r="AR114" s="24" cm="1">
        <f t="array" ref="AR114">VLOOKUP($Q114,武学奇术!$A:$ZZ,5,FALSE)+SUM(_xlfn.XLOOKUP($R114:$AK114,增益!$A:$A,增益!$E:$E,0))</f>
        <v>0.15</v>
      </c>
      <c r="AS114" cm="1">
        <f t="array" ref="AS114">$D$10*(1+$AR114)+VLOOKUP($Q114,武学奇术!$A:$ZZ,3,FALSE)+SUM(_xlfn.XLOOKUP($R114:$AK114,增益!$A:$A,增益!$C:$C,0))-$I$2</f>
        <v>4389.8462</v>
      </c>
      <c r="AT114" cm="1">
        <f t="array" ref="AT114">$E$10*(1+$AR114)+VLOOKUP($Q114,武学奇术!$A:$ZZ,4,FALSE)+SUM(_xlfn.XLOOKUP($R114:$AK114,增益!$A:$A,增益!$D:$D,0))-$I$2</f>
        <v>4389.8462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0.2425</v>
      </c>
      <c r="AV114" s="32" cm="1">
        <f t="array" ref="AV114">$G$10+VLOOKUP($Q114,武学奇术!$A:$ZZ,7,FALSE)+SUM(_xlfn.XLOOKUP($R114:$AK114,增益!$A:$A,增益!$G:$G,0))</f>
        <v>0</v>
      </c>
      <c r="AW114" s="24" cm="1">
        <f t="array" ref="AW114">VLOOKUP($Q114,武学奇术!$A:$ZZ,8,FALSE)+SUM(_xlfn.XLOOKUP($R114:$AK114,增益!$A:$A,增益!$H:$H,0))</f>
        <v>0</v>
      </c>
      <c r="AX114">
        <f t="shared" si="12"/>
        <v>0</v>
      </c>
      <c r="AY114">
        <f t="shared" si="13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2" cm="1">
        <f t="array" ref="BA114">$G$11+VLOOKUP($Q114,武学奇术!$A:$ZZ,10,FALSE)+SUM(_xlfn.XLOOKUP($R114:$AK114,增益!$A:$A,增益!$J:$J,0))</f>
        <v>0</v>
      </c>
      <c r="BB114">
        <f t="shared" si="14"/>
        <v>0</v>
      </c>
      <c r="BC114">
        <f t="shared" si="15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2" cm="1">
        <f t="array" ref="BE114">$G$12+VLOOKUP($Q114,武学奇术!$A:$ZZ,12,FALSE)+SUM(_xlfn.XLOOKUP($R114:$AK114,增益!$A:$A,增益!$L:$L,0))</f>
        <v>0</v>
      </c>
      <c r="BF114">
        <f t="shared" si="16"/>
        <v>605.472</v>
      </c>
      <c r="BG114">
        <f t="shared" si="17"/>
        <v>1579.612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2" cm="1">
        <f t="array" ref="BI114">$G$13+VLOOKUP($Q114,武学奇术!$A:$ZZ,14,FALSE)+SUM(_xlfn.XLOOKUP($R114:$AK114,增益!$A:$A,增益!$N:$N,0))</f>
        <v>0.15</v>
      </c>
      <c r="BJ114">
        <f t="shared" si="18"/>
        <v>0</v>
      </c>
      <c r="BK114">
        <f t="shared" si="19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2" cm="1">
        <f t="array" ref="BM114">$G$14+VLOOKUP($Q114,武学奇术!$A:$ZZ,16,FALSE)+SUM(_xlfn.XLOOKUP($R114:$AK114,增益!$A:$A,增益!$P:$P,0))</f>
        <v>0</v>
      </c>
      <c r="BN114" s="24">
        <f>MIN(IF(VLOOKUP($Q114,武学奇术!$A:$ZZ,23,FALSE)=1,100%,$B$8),100%)</f>
        <v>1</v>
      </c>
      <c r="BO114" s="24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0.9093</v>
      </c>
      <c r="BP114" s="24" cm="1">
        <f t="array" ref="BP114">1+$B$13+VLOOKUP($Q114,武学奇术!$A:$ZZ,18,FALSE)+SUM(_xlfn.XLOOKUP($R114:$AK114,增益!$A:$A,增益!$R:$R,0))</f>
        <v>1.6</v>
      </c>
      <c r="BQ114" s="24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4" cm="1">
        <f t="array" ref="BR114">1+$B$14+VLOOKUP($Q114,武学奇术!$A:$ZZ,20,FALSE)+SUM(_xlfn.XLOOKUP($R114:$AK114,增益!$A:$A,增益!$T:$T,0))</f>
        <v>1.35</v>
      </c>
      <c r="BS114" s="24">
        <f t="shared" si="20"/>
        <v>0.9071</v>
      </c>
      <c r="BT114" s="24">
        <f t="shared" si="21"/>
        <v>0</v>
      </c>
      <c r="BU114" s="24">
        <f>IF(VLOOKUP($Q114,武学奇术!$A:$ZZ,22,FALSE)=1,0,(1-$BN114))*(1-$BQ114)</f>
        <v>0</v>
      </c>
      <c r="BV114" s="24" cm="1">
        <f t="array" ref="BV114">SUM(_xlfn.XLOOKUP($R114:$AK114,增益!$A:$A,增益!$W:$W,0))+$I$5</f>
        <v>0.06</v>
      </c>
    </row>
    <row r="115" spans="1:74">
      <c r="A115" s="4" t="s">
        <v>163</v>
      </c>
      <c r="B115" s="4">
        <v>2.1</v>
      </c>
      <c r="K115" s="38">
        <f t="shared" si="11"/>
        <v>156944.447611879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弹道",$B$21,0))*(1+$BV115)</f>
        <v>160554.743175322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弹道",$B$21,0))*(1+$BV115)</f>
        <v>121692.573493484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弹道",$B$21,0))*(1+$BV115)</f>
        <v>81915.6852935315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弹道",$B$21,0))*(1+$BV115)</f>
        <v>73688.7235548527</v>
      </c>
      <c r="P115" s="39">
        <v>2</v>
      </c>
      <c r="Q115" s="40" t="s">
        <v>101</v>
      </c>
      <c r="R115" s="40" t="s">
        <v>97</v>
      </c>
      <c r="S115" s="40" t="s">
        <v>176</v>
      </c>
      <c r="T115" s="40" t="s">
        <v>106</v>
      </c>
      <c r="U115" s="40" t="s">
        <v>171</v>
      </c>
      <c r="V115" s="40" t="s">
        <v>102</v>
      </c>
      <c r="W115" s="40" t="s">
        <v>78</v>
      </c>
      <c r="X115" s="40" t="s">
        <v>78</v>
      </c>
      <c r="Y115" s="40" t="s">
        <v>78</v>
      </c>
      <c r="Z115" s="40" t="s">
        <v>78</v>
      </c>
      <c r="AA115" s="40" t="s">
        <v>78</v>
      </c>
      <c r="AB115" s="40" t="s">
        <v>78</v>
      </c>
      <c r="AC115" s="40" t="s">
        <v>78</v>
      </c>
      <c r="AD115" s="40" t="s">
        <v>78</v>
      </c>
      <c r="AE115" s="40" t="s">
        <v>78</v>
      </c>
      <c r="AF115" s="40" t="s">
        <v>78</v>
      </c>
      <c r="AG115" s="40" t="s">
        <v>78</v>
      </c>
      <c r="AH115" s="40" t="s">
        <v>78</v>
      </c>
      <c r="AI115" s="40" t="s">
        <v>78</v>
      </c>
      <c r="AJ115" s="40" t="s">
        <v>78</v>
      </c>
      <c r="AK115" s="40" t="s">
        <v>78</v>
      </c>
      <c r="AL115" t="str">
        <f>VLOOKUP($Q115,武学奇术!$A:$ZZ,25,FALSE)</f>
        <v>伞</v>
      </c>
      <c r="AM115" s="24">
        <f>VLOOKUP($Q115,武学奇术!$A:$ZZ,26,FALSE)</f>
        <v>2.3397</v>
      </c>
      <c r="AN115" s="25">
        <f>VLOOKUP($Q115,武学奇术!$A:$ZZ,27,FALSE)*(1+IF(OR($AL115=$F$4,$AL115=$F$5),$B$22,0))</f>
        <v>972</v>
      </c>
      <c r="AO115" s="24">
        <f>VLOOKUP($Q115,武学奇术!$A:$ZZ,28,FALSE)</f>
        <v>3.5095</v>
      </c>
      <c r="AP115" s="25">
        <f>VLOOKUP($Q115,武学奇术!$A:$ZZ,29,FALSE)*(1+IF(OR($AL115=$F$4,$AL115=$F$5),$B$22,0))</f>
        <v>529.5</v>
      </c>
      <c r="AQ115" s="24" cm="1">
        <f t="array" ref="AQ115">$G$3+IFERROR(VLOOKUP($AL115,$F$4:$G$7,2,FALSE),0)+VLOOKUP($Q115,武学奇术!$A:$ZZ,2,FALSE)+SUM(_xlfn.XLOOKUP($R115:$AK115,增益!$A:$A,增益!$B:$B,0))</f>
        <v>0.9741</v>
      </c>
      <c r="AR115" s="24" cm="1">
        <f t="array" ref="AR115">VLOOKUP($Q115,武学奇术!$A:$ZZ,5,FALSE)+SUM(_xlfn.XLOOKUP($R115:$AK115,增益!$A:$A,增益!$E:$E,0))</f>
        <v>0.15</v>
      </c>
      <c r="AS115" cm="1">
        <f t="array" ref="AS115">$D$10*(1+$AR115)+VLOOKUP($Q115,武学奇术!$A:$ZZ,3,FALSE)+SUM(_xlfn.XLOOKUP($R115:$AK115,增益!$A:$A,增益!$C:$C,0))-$I$2</f>
        <v>4389.8462</v>
      </c>
      <c r="AT115" cm="1">
        <f t="array" ref="AT115">$E$10*(1+$AR115)+VLOOKUP($Q115,武学奇术!$A:$ZZ,4,FALSE)+SUM(_xlfn.XLOOKUP($R115:$AK115,增益!$A:$A,增益!$D:$D,0))-$I$2</f>
        <v>4389.8462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0.2675</v>
      </c>
      <c r="AV115" s="32" cm="1">
        <f t="array" ref="AV115">$G$10+VLOOKUP($Q115,武学奇术!$A:$ZZ,7,FALSE)+SUM(_xlfn.XLOOKUP($R115:$AK115,增益!$A:$A,增益!$G:$G,0))</f>
        <v>0</v>
      </c>
      <c r="AW115" s="24" cm="1">
        <f t="array" ref="AW115">VLOOKUP($Q115,武学奇术!$A:$ZZ,8,FALSE)+SUM(_xlfn.XLOOKUP($R115:$AK115,增益!$A:$A,增益!$H:$H,0))</f>
        <v>0</v>
      </c>
      <c r="AX115">
        <f t="shared" si="12"/>
        <v>0</v>
      </c>
      <c r="AY115">
        <f t="shared" si="13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2" cm="1">
        <f t="array" ref="BA115">$G$11+VLOOKUP($Q115,武学奇术!$A:$ZZ,10,FALSE)+SUM(_xlfn.XLOOKUP($R115:$AK115,增益!$A:$A,增益!$J:$J,0))</f>
        <v>0</v>
      </c>
      <c r="BB115">
        <f t="shared" si="14"/>
        <v>0</v>
      </c>
      <c r="BC115">
        <f t="shared" si="15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-0.3</v>
      </c>
      <c r="BE115" s="32" cm="1">
        <f t="array" ref="BE115">$G$12+VLOOKUP($Q115,武学奇术!$A:$ZZ,12,FALSE)+SUM(_xlfn.XLOOKUP($R115:$AK115,增益!$A:$A,增益!$L:$L,0))</f>
        <v>0</v>
      </c>
      <c r="BF115">
        <f t="shared" si="16"/>
        <v>605.472</v>
      </c>
      <c r="BG115">
        <f t="shared" si="17"/>
        <v>1579.612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</v>
      </c>
      <c r="BI115" s="32" cm="1">
        <f t="array" ref="BI115">$G$13+VLOOKUP($Q115,武学奇术!$A:$ZZ,14,FALSE)+SUM(_xlfn.XLOOKUP($R115:$AK115,增益!$A:$A,增益!$N:$N,0))</f>
        <v>0.15</v>
      </c>
      <c r="BJ115">
        <f t="shared" si="18"/>
        <v>0</v>
      </c>
      <c r="BK115">
        <f t="shared" si="19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2" cm="1">
        <f t="array" ref="BM115">$G$14+VLOOKUP($Q115,武学奇术!$A:$ZZ,16,FALSE)+SUM(_xlfn.XLOOKUP($R115:$AK115,增益!$A:$A,增益!$P:$P,0))</f>
        <v>0</v>
      </c>
      <c r="BN115" s="24">
        <f>MIN(IF(VLOOKUP($Q115,武学奇术!$A:$ZZ,23,FALSE)=1,100%,$B$8),100%)</f>
        <v>1</v>
      </c>
      <c r="BO115" s="24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0.9093</v>
      </c>
      <c r="BP115" s="24" cm="1">
        <f t="array" ref="BP115">1+$B$13+VLOOKUP($Q115,武学奇术!$A:$ZZ,18,FALSE)+SUM(_xlfn.XLOOKUP($R115:$AK115,增益!$A:$A,增益!$R:$R,0))</f>
        <v>1.96</v>
      </c>
      <c r="BQ115" s="24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4" cm="1">
        <f t="array" ref="BR115">1+$B$14+VLOOKUP($Q115,武学奇术!$A:$ZZ,20,FALSE)+SUM(_xlfn.XLOOKUP($R115:$AK115,增益!$A:$A,增益!$T:$T,0))</f>
        <v>1.35</v>
      </c>
      <c r="BS115" s="24">
        <f t="shared" si="20"/>
        <v>0.9071</v>
      </c>
      <c r="BT115" s="24">
        <f t="shared" si="21"/>
        <v>0</v>
      </c>
      <c r="BU115" s="24">
        <f>IF(VLOOKUP($Q115,武学奇术!$A:$ZZ,22,FALSE)=1,0,(1-$BN115))*(1-$BQ115)</f>
        <v>0</v>
      </c>
      <c r="BV115" s="24" cm="1">
        <f t="array" ref="BV115">SUM(_xlfn.XLOOKUP($R115:$AK115,增益!$A:$A,增益!$W:$W,0))+$I$5</f>
        <v>0.06</v>
      </c>
    </row>
    <row r="116" spans="1:74">
      <c r="A116" s="4" t="s">
        <v>206</v>
      </c>
      <c r="B116" s="4">
        <v>1.2</v>
      </c>
      <c r="K116" s="38">
        <f t="shared" si="11"/>
        <v>13104.4062809297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弹道",$B$21,0))*(1+$BV116)</f>
        <v>13190.453645804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弹道",$B$21,0))*(1+$BV116)</f>
        <v>12264.2172101273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弹道",$B$21,0))*(1+$BV116)</f>
        <v>8244.03352862752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弹道",$B$21,0))*(1+$BV116)</f>
        <v>7403.46171642001</v>
      </c>
      <c r="P116" s="39">
        <v>1</v>
      </c>
      <c r="Q116" s="40" t="s">
        <v>111</v>
      </c>
      <c r="R116" s="40" t="s">
        <v>97</v>
      </c>
      <c r="S116" s="40" t="s">
        <v>176</v>
      </c>
      <c r="T116" s="40" t="s">
        <v>78</v>
      </c>
      <c r="U116" s="40" t="s">
        <v>171</v>
      </c>
      <c r="V116" s="40" t="s">
        <v>78</v>
      </c>
      <c r="W116" s="40" t="s">
        <v>78</v>
      </c>
      <c r="X116" s="40" t="s">
        <v>78</v>
      </c>
      <c r="Y116" s="40" t="s">
        <v>78</v>
      </c>
      <c r="Z116" s="40" t="s">
        <v>78</v>
      </c>
      <c r="AA116" s="40" t="s">
        <v>78</v>
      </c>
      <c r="AB116" s="40" t="s">
        <v>78</v>
      </c>
      <c r="AC116" s="40" t="s">
        <v>78</v>
      </c>
      <c r="AD116" s="40" t="s">
        <v>78</v>
      </c>
      <c r="AE116" s="40" t="s">
        <v>78</v>
      </c>
      <c r="AF116" s="40" t="s">
        <v>78</v>
      </c>
      <c r="AG116" s="40" t="s">
        <v>78</v>
      </c>
      <c r="AH116" s="40" t="s">
        <v>78</v>
      </c>
      <c r="AI116" s="40" t="s">
        <v>78</v>
      </c>
      <c r="AJ116" s="40" t="s">
        <v>78</v>
      </c>
      <c r="AK116" s="40" t="s">
        <v>78</v>
      </c>
      <c r="AL116" t="str">
        <f>VLOOKUP($Q116,武学奇术!$A:$ZZ,25,FALSE)</f>
        <v>伞</v>
      </c>
      <c r="AM116" s="24">
        <f>VLOOKUP($Q116,武学奇术!$A:$ZZ,26,FALSE)</f>
        <v>0.54</v>
      </c>
      <c r="AN116" s="25">
        <f>VLOOKUP($Q116,武学奇术!$A:$ZZ,27,FALSE)*(1+IF(OR($AL116=$F$4,$AL116=$F$5),$B$22,0))</f>
        <v>222</v>
      </c>
      <c r="AO116" s="24">
        <f>VLOOKUP($Q116,武学奇术!$A:$ZZ,28,FALSE)</f>
        <v>0.81</v>
      </c>
      <c r="AP116" s="25">
        <f>VLOOKUP($Q116,武学奇术!$A:$ZZ,29,FALSE)*(1+IF(OR($AL116=$F$4,$AL116=$F$5),$B$22,0))</f>
        <v>122.25</v>
      </c>
      <c r="AQ116" s="24" cm="1">
        <f t="array" ref="AQ116">$G$3+IFERROR(VLOOKUP($AL116,$F$4:$G$7,2,FALSE),0)+VLOOKUP($Q116,武学奇术!$A:$ZZ,2,FALSE)+SUM(_xlfn.XLOOKUP($R116:$AK116,增益!$A:$A,增益!$B:$B,0))</f>
        <v>0.3241</v>
      </c>
      <c r="AR116" s="24" cm="1">
        <f t="array" ref="AR116">VLOOKUP($Q116,武学奇术!$A:$ZZ,5,FALSE)+SUM(_xlfn.XLOOKUP($R116:$AK116,增益!$A:$A,增益!$E:$E,0))</f>
        <v>0.15</v>
      </c>
      <c r="AS116" cm="1">
        <f t="array" ref="AS116">$D$10*(1+$AR116)+VLOOKUP($Q116,武学奇术!$A:$ZZ,3,FALSE)+SUM(_xlfn.XLOOKUP($R116:$AK116,增益!$A:$A,增益!$C:$C,0))-$I$2</f>
        <v>4389.8462</v>
      </c>
      <c r="AT116" cm="1">
        <f t="array" ref="AT116">$E$10*(1+$AR116)+VLOOKUP($Q116,武学奇术!$A:$ZZ,4,FALSE)+SUM(_xlfn.XLOOKUP($R116:$AK116,增益!$A:$A,增益!$D:$D,0))-$I$2</f>
        <v>4389.8462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0.2425</v>
      </c>
      <c r="AV116" s="32" cm="1">
        <f t="array" ref="AV116">$G$10+VLOOKUP($Q116,武学奇术!$A:$ZZ,7,FALSE)+SUM(_xlfn.XLOOKUP($R116:$AK116,增益!$A:$A,增益!$G:$G,0))</f>
        <v>0</v>
      </c>
      <c r="AW116" s="24" cm="1">
        <f t="array" ref="AW116">VLOOKUP($Q116,武学奇术!$A:$ZZ,8,FALSE)+SUM(_xlfn.XLOOKUP($R116:$AK116,增益!$A:$A,增益!$H:$H,0))</f>
        <v>0</v>
      </c>
      <c r="AX116">
        <f t="shared" si="12"/>
        <v>0</v>
      </c>
      <c r="AY116">
        <f t="shared" si="13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2" cm="1">
        <f t="array" ref="BA116">$G$11+VLOOKUP($Q116,武学奇术!$A:$ZZ,10,FALSE)+SUM(_xlfn.XLOOKUP($R116:$AK116,增益!$A:$A,增益!$J:$J,0))</f>
        <v>0</v>
      </c>
      <c r="BB116">
        <f t="shared" si="14"/>
        <v>0</v>
      </c>
      <c r="BC116">
        <f t="shared" si="15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2" cm="1">
        <f t="array" ref="BE116">$G$12+VLOOKUP($Q116,武学奇术!$A:$ZZ,12,FALSE)+SUM(_xlfn.XLOOKUP($R116:$AK116,增益!$A:$A,增益!$L:$L,0))</f>
        <v>0</v>
      </c>
      <c r="BF116">
        <f t="shared" si="16"/>
        <v>605.472</v>
      </c>
      <c r="BG116">
        <f t="shared" si="17"/>
        <v>1579.612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2" cm="1">
        <f t="array" ref="BI116">$G$13+VLOOKUP($Q116,武学奇术!$A:$ZZ,14,FALSE)+SUM(_xlfn.XLOOKUP($R116:$AK116,增益!$A:$A,增益!$N:$N,0))</f>
        <v>0.15</v>
      </c>
      <c r="BJ116">
        <f t="shared" si="18"/>
        <v>0</v>
      </c>
      <c r="BK116">
        <f t="shared" si="19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2" cm="1">
        <f t="array" ref="BM116">$G$14+VLOOKUP($Q116,武学奇术!$A:$ZZ,16,FALSE)+SUM(_xlfn.XLOOKUP($R116:$AK116,增益!$A:$A,增益!$P:$P,0))</f>
        <v>0</v>
      </c>
      <c r="BN116" s="24">
        <f>MIN(IF(VLOOKUP($Q116,武学奇术!$A:$ZZ,23,FALSE)=1,100%,$B$8),100%)</f>
        <v>1</v>
      </c>
      <c r="BO116" s="24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0.9093</v>
      </c>
      <c r="BP116" s="24" cm="1">
        <f t="array" ref="BP116">1+$B$13+VLOOKUP($Q116,武学奇术!$A:$ZZ,18,FALSE)+SUM(_xlfn.XLOOKUP($R116:$AK116,增益!$A:$A,增益!$R:$R,0))</f>
        <v>1.6</v>
      </c>
      <c r="BQ116" s="24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4" cm="1">
        <f t="array" ref="BR116">1+$B$14+VLOOKUP($Q116,武学奇术!$A:$ZZ,20,FALSE)+SUM(_xlfn.XLOOKUP($R116:$AK116,增益!$A:$A,增益!$T:$T,0))</f>
        <v>1.35</v>
      </c>
      <c r="BS116" s="24">
        <f t="shared" si="20"/>
        <v>0.9071</v>
      </c>
      <c r="BT116" s="24">
        <f t="shared" si="21"/>
        <v>0</v>
      </c>
      <c r="BU116" s="24">
        <f>IF(VLOOKUP($Q116,武学奇术!$A:$ZZ,22,FALSE)=1,0,(1-$BN116))*(1-$BQ116)</f>
        <v>0</v>
      </c>
      <c r="BV116" s="24" cm="1">
        <f t="array" ref="BV116">SUM(_xlfn.XLOOKUP($R116:$AK116,增益!$A:$A,增益!$W:$W,0))+$I$5</f>
        <v>0.06</v>
      </c>
    </row>
    <row r="117" spans="1:74">
      <c r="A117" s="4" t="s">
        <v>172</v>
      </c>
      <c r="B117" s="4">
        <v>3.3</v>
      </c>
      <c r="K117" s="38">
        <f t="shared" si="11"/>
        <v>379716.077208952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弹道",$B$21,0))*(1+$BV117)</f>
        <v>391796.014687067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弹道",$B$21,0))*(1+$BV117)</f>
        <v>261764.394901115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弹道",$B$21,0))*(1+$BV117)</f>
        <v>177283.264564284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弹道",$B$21,0))*(1+$BV117)</f>
        <v>160666.977349964</v>
      </c>
      <c r="P117" s="39">
        <v>5</v>
      </c>
      <c r="Q117" s="40" t="s">
        <v>113</v>
      </c>
      <c r="R117" s="40" t="s">
        <v>97</v>
      </c>
      <c r="S117" s="40" t="s">
        <v>176</v>
      </c>
      <c r="T117" s="40" t="s">
        <v>183</v>
      </c>
      <c r="U117" s="40" t="s">
        <v>171</v>
      </c>
      <c r="V117" s="40" t="s">
        <v>102</v>
      </c>
      <c r="W117" s="40" t="s">
        <v>78</v>
      </c>
      <c r="X117" s="40" t="s">
        <v>78</v>
      </c>
      <c r="Y117" s="40" t="s">
        <v>184</v>
      </c>
      <c r="Z117" s="40" t="s">
        <v>78</v>
      </c>
      <c r="AA117" s="40" t="s">
        <v>78</v>
      </c>
      <c r="AB117" s="40" t="s">
        <v>78</v>
      </c>
      <c r="AC117" s="40" t="s">
        <v>185</v>
      </c>
      <c r="AD117" s="40" t="s">
        <v>78</v>
      </c>
      <c r="AE117" s="40" t="s">
        <v>78</v>
      </c>
      <c r="AF117" s="40" t="s">
        <v>78</v>
      </c>
      <c r="AG117" s="40" t="s">
        <v>78</v>
      </c>
      <c r="AH117" s="40" t="s">
        <v>78</v>
      </c>
      <c r="AI117" s="40" t="s">
        <v>78</v>
      </c>
      <c r="AJ117" s="40" t="s">
        <v>78</v>
      </c>
      <c r="AK117" s="40" t="s">
        <v>188</v>
      </c>
      <c r="AL117" t="str">
        <f>VLOOKUP($Q117,武学奇术!$A:$ZZ,25,FALSE)</f>
        <v>伞</v>
      </c>
      <c r="AM117" s="24">
        <f>VLOOKUP($Q117,武学奇术!$A:$ZZ,26,FALSE)</f>
        <v>1.174955</v>
      </c>
      <c r="AN117" s="25">
        <f>VLOOKUP($Q117,武学奇术!$A:$ZZ,27,FALSE)*(1+IF(OR($AL117=$F$4,$AL117=$F$5),$B$22,0))</f>
        <v>486.45</v>
      </c>
      <c r="AO117" s="24">
        <f>VLOOKUP($Q117,武学奇术!$A:$ZZ,28,FALSE)</f>
        <v>1.762375</v>
      </c>
      <c r="AP117" s="25">
        <f>VLOOKUP($Q117,武学奇术!$A:$ZZ,29,FALSE)*(1+IF(OR($AL117=$F$4,$AL117=$F$5),$B$22,0))</f>
        <v>265.65</v>
      </c>
      <c r="AQ117" s="24" cm="1">
        <f t="array" ref="AQ117">$G$3+IFERROR(VLOOKUP($AL117,$F$4:$G$7,2,FALSE),0)+VLOOKUP($Q117,武学奇术!$A:$ZZ,2,FALSE)+SUM(_xlfn.XLOOKUP($R117:$AK117,增益!$A:$A,增益!$B:$B,0))</f>
        <v>1.0241</v>
      </c>
      <c r="AR117" s="24" cm="1">
        <f t="array" ref="AR117">VLOOKUP($Q117,武学奇术!$A:$ZZ,5,FALSE)+SUM(_xlfn.XLOOKUP($R117:$AK117,增益!$A:$A,增益!$E:$E,0))</f>
        <v>0.15</v>
      </c>
      <c r="AS117" cm="1">
        <f t="array" ref="AS117">$D$10*(1+$AR117)+VLOOKUP($Q117,武学奇术!$A:$ZZ,3,FALSE)+SUM(_xlfn.XLOOKUP($R117:$AK117,增益!$A:$A,增益!$C:$C,0))-$I$2</f>
        <v>4389.8462</v>
      </c>
      <c r="AT117" cm="1">
        <f t="array" ref="AT117">$E$10*(1+$AR117)+VLOOKUP($Q117,武学奇术!$A:$ZZ,4,FALSE)+SUM(_xlfn.XLOOKUP($R117:$AK117,增益!$A:$A,增益!$D:$D,0))-$I$2</f>
        <v>4389.8462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0.3925</v>
      </c>
      <c r="AV117" s="32" cm="1">
        <f t="array" ref="AV117">$G$10+VLOOKUP($Q117,武学奇术!$A:$ZZ,7,FALSE)+SUM(_xlfn.XLOOKUP($R117:$AK117,增益!$A:$A,增益!$G:$G,0))</f>
        <v>0</v>
      </c>
      <c r="AW117" s="24" cm="1">
        <f t="array" ref="AW117">VLOOKUP($Q117,武学奇术!$A:$ZZ,8,FALSE)+SUM(_xlfn.XLOOKUP($R117:$AK117,增益!$A:$A,增益!$H:$H,0))</f>
        <v>0</v>
      </c>
      <c r="AX117">
        <f t="shared" si="12"/>
        <v>0</v>
      </c>
      <c r="AY117">
        <f t="shared" si="13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2" cm="1">
        <f t="array" ref="BA117">$G$11+VLOOKUP($Q117,武学奇术!$A:$ZZ,10,FALSE)+SUM(_xlfn.XLOOKUP($R117:$AK117,增益!$A:$A,增益!$J:$J,0))</f>
        <v>0</v>
      </c>
      <c r="BB117">
        <f t="shared" si="14"/>
        <v>0</v>
      </c>
      <c r="BC117">
        <f t="shared" si="15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-0.3</v>
      </c>
      <c r="BE117" s="32" cm="1">
        <f t="array" ref="BE117">$G$12+VLOOKUP($Q117,武学奇术!$A:$ZZ,12,FALSE)+SUM(_xlfn.XLOOKUP($R117:$AK117,增益!$A:$A,增益!$L:$L,0))</f>
        <v>0</v>
      </c>
      <c r="BF117">
        <f t="shared" si="16"/>
        <v>605.472</v>
      </c>
      <c r="BG117">
        <f t="shared" si="17"/>
        <v>1579.612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</v>
      </c>
      <c r="BI117" s="32" cm="1">
        <f t="array" ref="BI117">$G$13+VLOOKUP($Q117,武学奇术!$A:$ZZ,14,FALSE)+SUM(_xlfn.XLOOKUP($R117:$AK117,增益!$A:$A,增益!$N:$N,0))</f>
        <v>0.15</v>
      </c>
      <c r="BJ117">
        <f t="shared" si="18"/>
        <v>0</v>
      </c>
      <c r="BK117">
        <f t="shared" si="19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2" cm="1">
        <f t="array" ref="BM117">$G$14+VLOOKUP($Q117,武学奇术!$A:$ZZ,16,FALSE)+SUM(_xlfn.XLOOKUP($R117:$AK117,增益!$A:$A,增益!$P:$P,0))</f>
        <v>0</v>
      </c>
      <c r="BN117" s="24">
        <f>MIN(IF(VLOOKUP($Q117,武学奇术!$A:$ZZ,23,FALSE)=1,100%,$B$8),100%)</f>
        <v>1</v>
      </c>
      <c r="BO117" s="24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0.9093</v>
      </c>
      <c r="BP117" s="24" cm="1">
        <f t="array" ref="BP117">1+$B$13+VLOOKUP($Q117,武学奇术!$A:$ZZ,18,FALSE)+SUM(_xlfn.XLOOKUP($R117:$AK117,增益!$A:$A,增益!$R:$R,0))</f>
        <v>2.21</v>
      </c>
      <c r="BQ117" s="24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4" cm="1">
        <f t="array" ref="BR117">1+$B$14+VLOOKUP($Q117,武学奇术!$A:$ZZ,20,FALSE)+SUM(_xlfn.XLOOKUP($R117:$AK117,增益!$A:$A,增益!$T:$T,0))</f>
        <v>1.35</v>
      </c>
      <c r="BS117" s="24">
        <f t="shared" si="20"/>
        <v>0.9071</v>
      </c>
      <c r="BT117" s="24">
        <f t="shared" si="21"/>
        <v>0</v>
      </c>
      <c r="BU117" s="24">
        <f>IF(VLOOKUP($Q117,武学奇术!$A:$ZZ,22,FALSE)=1,0,(1-$BN117))*(1-$BQ117)</f>
        <v>0</v>
      </c>
      <c r="BV117" s="24" cm="1">
        <f t="array" ref="BV117">SUM(_xlfn.XLOOKUP($R117:$AK117,增益!$A:$A,增益!$W:$W,0))+$I$5</f>
        <v>0.26</v>
      </c>
    </row>
    <row r="118" spans="1:74">
      <c r="K118" s="38">
        <f t="shared" si="11"/>
        <v>1139148.23162686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弹道",$B$21,0))*(1+$BV118)</f>
        <v>1175388.0440612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弹道",$B$21,0))*(1+$BV118)</f>
        <v>785293.184703344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弹道",$B$21,0))*(1+$BV118)</f>
        <v>531849.793692851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弹道",$B$21,0))*(1+$BV118)</f>
        <v>482000.932049891</v>
      </c>
      <c r="P118" s="39">
        <v>15</v>
      </c>
      <c r="Q118" s="40" t="s">
        <v>113</v>
      </c>
      <c r="R118" s="40" t="s">
        <v>97</v>
      </c>
      <c r="S118" s="40" t="s">
        <v>176</v>
      </c>
      <c r="T118" s="40" t="s">
        <v>183</v>
      </c>
      <c r="U118" s="40" t="s">
        <v>171</v>
      </c>
      <c r="V118" s="40" t="s">
        <v>102</v>
      </c>
      <c r="W118" s="40" t="s">
        <v>78</v>
      </c>
      <c r="X118" s="40" t="s">
        <v>78</v>
      </c>
      <c r="Y118" s="40" t="s">
        <v>184</v>
      </c>
      <c r="Z118" s="40" t="s">
        <v>78</v>
      </c>
      <c r="AA118" s="40" t="s">
        <v>78</v>
      </c>
      <c r="AB118" s="40" t="s">
        <v>78</v>
      </c>
      <c r="AC118" s="40" t="s">
        <v>185</v>
      </c>
      <c r="AD118" s="40" t="s">
        <v>78</v>
      </c>
      <c r="AE118" s="40" t="s">
        <v>78</v>
      </c>
      <c r="AF118" s="40" t="s">
        <v>78</v>
      </c>
      <c r="AG118" s="40" t="s">
        <v>78</v>
      </c>
      <c r="AH118" s="40" t="s">
        <v>78</v>
      </c>
      <c r="AI118" s="40" t="s">
        <v>78</v>
      </c>
      <c r="AJ118" s="40" t="s">
        <v>78</v>
      </c>
      <c r="AK118" s="40" t="s">
        <v>188</v>
      </c>
      <c r="AL118" t="str">
        <f>VLOOKUP($Q118,武学奇术!$A:$ZZ,25,FALSE)</f>
        <v>伞</v>
      </c>
      <c r="AM118" s="24">
        <f>VLOOKUP($Q118,武学奇术!$A:$ZZ,26,FALSE)</f>
        <v>1.174955</v>
      </c>
      <c r="AN118" s="25">
        <f>VLOOKUP($Q118,武学奇术!$A:$ZZ,27,FALSE)*(1+IF(OR($AL118=$F$4,$AL118=$F$5),$B$22,0))</f>
        <v>486.45</v>
      </c>
      <c r="AO118" s="24">
        <f>VLOOKUP($Q118,武学奇术!$A:$ZZ,28,FALSE)</f>
        <v>1.762375</v>
      </c>
      <c r="AP118" s="25">
        <f>VLOOKUP($Q118,武学奇术!$A:$ZZ,29,FALSE)*(1+IF(OR($AL118=$F$4,$AL118=$F$5),$B$22,0))</f>
        <v>265.65</v>
      </c>
      <c r="AQ118" s="24" cm="1">
        <f t="array" ref="AQ118">$G$3+IFERROR(VLOOKUP($AL118,$F$4:$G$7,2,FALSE),0)+VLOOKUP($Q118,武学奇术!$A:$ZZ,2,FALSE)+SUM(_xlfn.XLOOKUP($R118:$AK118,增益!$A:$A,增益!$B:$B,0))</f>
        <v>1.0241</v>
      </c>
      <c r="AR118" s="24" cm="1">
        <f t="array" ref="AR118">VLOOKUP($Q118,武学奇术!$A:$ZZ,5,FALSE)+SUM(_xlfn.XLOOKUP($R118:$AK118,增益!$A:$A,增益!$E:$E,0))</f>
        <v>0.15</v>
      </c>
      <c r="AS118" cm="1">
        <f t="array" ref="AS118">$D$10*(1+$AR118)+VLOOKUP($Q118,武学奇术!$A:$ZZ,3,FALSE)+SUM(_xlfn.XLOOKUP($R118:$AK118,增益!$A:$A,增益!$C:$C,0))-$I$2</f>
        <v>4389.8462</v>
      </c>
      <c r="AT118" cm="1">
        <f t="array" ref="AT118">$E$10*(1+$AR118)+VLOOKUP($Q118,武学奇术!$A:$ZZ,4,FALSE)+SUM(_xlfn.XLOOKUP($R118:$AK118,增益!$A:$A,增益!$D:$D,0))-$I$2</f>
        <v>4389.8462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0.3925</v>
      </c>
      <c r="AV118" s="32" cm="1">
        <f t="array" ref="AV118">$G$10+VLOOKUP($Q118,武学奇术!$A:$ZZ,7,FALSE)+SUM(_xlfn.XLOOKUP($R118:$AK118,增益!$A:$A,增益!$G:$G,0))</f>
        <v>0</v>
      </c>
      <c r="AW118" s="24" cm="1">
        <f t="array" ref="AW118">VLOOKUP($Q118,武学奇术!$A:$ZZ,8,FALSE)+SUM(_xlfn.XLOOKUP($R118:$AK118,增益!$A:$A,增益!$H:$H,0))</f>
        <v>0</v>
      </c>
      <c r="AX118">
        <f t="shared" si="12"/>
        <v>0</v>
      </c>
      <c r="AY118">
        <f t="shared" si="13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2" cm="1">
        <f t="array" ref="BA118">$G$11+VLOOKUP($Q118,武学奇术!$A:$ZZ,10,FALSE)+SUM(_xlfn.XLOOKUP($R118:$AK118,增益!$A:$A,增益!$J:$J,0))</f>
        <v>0</v>
      </c>
      <c r="BB118">
        <f t="shared" si="14"/>
        <v>0</v>
      </c>
      <c r="BC118">
        <f t="shared" si="15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2" cm="1">
        <f t="array" ref="BE118">$G$12+VLOOKUP($Q118,武学奇术!$A:$ZZ,12,FALSE)+SUM(_xlfn.XLOOKUP($R118:$AK118,增益!$A:$A,增益!$L:$L,0))</f>
        <v>0</v>
      </c>
      <c r="BF118">
        <f t="shared" si="16"/>
        <v>605.472</v>
      </c>
      <c r="BG118">
        <f t="shared" si="17"/>
        <v>1579.612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2" cm="1">
        <f t="array" ref="BI118">$G$13+VLOOKUP($Q118,武学奇术!$A:$ZZ,14,FALSE)+SUM(_xlfn.XLOOKUP($R118:$AK118,增益!$A:$A,增益!$N:$N,0))</f>
        <v>0.15</v>
      </c>
      <c r="BJ118">
        <f t="shared" si="18"/>
        <v>0</v>
      </c>
      <c r="BK118">
        <f t="shared" si="19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2" cm="1">
        <f t="array" ref="BM118">$G$14+VLOOKUP($Q118,武学奇术!$A:$ZZ,16,FALSE)+SUM(_xlfn.XLOOKUP($R118:$AK118,增益!$A:$A,增益!$P:$P,0))</f>
        <v>0</v>
      </c>
      <c r="BN118" s="24">
        <f>MIN(IF(VLOOKUP($Q118,武学奇术!$A:$ZZ,23,FALSE)=1,100%,$B$8),100%)</f>
        <v>1</v>
      </c>
      <c r="BO118" s="24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0.9093</v>
      </c>
      <c r="BP118" s="24" cm="1">
        <f t="array" ref="BP118">1+$B$13+VLOOKUP($Q118,武学奇术!$A:$ZZ,18,FALSE)+SUM(_xlfn.XLOOKUP($R118:$AK118,增益!$A:$A,增益!$R:$R,0))</f>
        <v>2.21</v>
      </c>
      <c r="BQ118" s="24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4" cm="1">
        <f t="array" ref="BR118">1+$B$14+VLOOKUP($Q118,武学奇术!$A:$ZZ,20,FALSE)+SUM(_xlfn.XLOOKUP($R118:$AK118,增益!$A:$A,增益!$T:$T,0))</f>
        <v>1.35</v>
      </c>
      <c r="BS118" s="24">
        <f t="shared" si="20"/>
        <v>0.9071</v>
      </c>
      <c r="BT118" s="24">
        <f t="shared" si="21"/>
        <v>0</v>
      </c>
      <c r="BU118" s="24">
        <f>IF(VLOOKUP($Q118,武学奇术!$A:$ZZ,22,FALSE)=1,0,(1-$BN118))*(1-$BQ118)</f>
        <v>0</v>
      </c>
      <c r="BV118" s="24" cm="1">
        <f t="array" ref="BV118">SUM(_xlfn.XLOOKUP($R118:$AK118,增益!$A:$A,增益!$W:$W,0))+$I$5</f>
        <v>0.26</v>
      </c>
    </row>
    <row r="119" spans="1:74">
      <c r="K119" s="38">
        <f t="shared" si="11"/>
        <v>105759.889586662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弹道",$B$21,0))*(1+$BV119)</f>
        <v>107711.988291688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弹道",$B$21,0))*(1+$BV119)</f>
        <v>86699.0851159522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弹道",$B$21,0))*(1+$BV119)</f>
        <v>58222.6963738854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弹道",$B$21,0))*(1+$BV119)</f>
        <v>52223.8482174357</v>
      </c>
      <c r="P119" s="39">
        <v>1</v>
      </c>
      <c r="Q119" s="40" t="s">
        <v>134</v>
      </c>
      <c r="R119" s="40" t="s">
        <v>97</v>
      </c>
      <c r="S119" s="40" t="s">
        <v>176</v>
      </c>
      <c r="T119" s="40" t="s">
        <v>78</v>
      </c>
      <c r="U119" s="40" t="s">
        <v>171</v>
      </c>
      <c r="V119" s="40" t="s">
        <v>78</v>
      </c>
      <c r="W119" s="40" t="s">
        <v>78</v>
      </c>
      <c r="X119" s="40" t="s">
        <v>78</v>
      </c>
      <c r="Y119" s="40" t="s">
        <v>184</v>
      </c>
      <c r="Z119" s="40" t="s">
        <v>78</v>
      </c>
      <c r="AA119" s="40" t="s">
        <v>78</v>
      </c>
      <c r="AB119" s="40" t="s">
        <v>78</v>
      </c>
      <c r="AC119" s="40" t="s">
        <v>185</v>
      </c>
      <c r="AD119" s="40" t="s">
        <v>78</v>
      </c>
      <c r="AE119" s="40" t="s">
        <v>78</v>
      </c>
      <c r="AF119" s="40" t="s">
        <v>78</v>
      </c>
      <c r="AG119" s="40" t="s">
        <v>78</v>
      </c>
      <c r="AH119" s="40" t="s">
        <v>78</v>
      </c>
      <c r="AI119" s="40" t="s">
        <v>78</v>
      </c>
      <c r="AJ119" s="40" t="s">
        <v>78</v>
      </c>
      <c r="AK119" s="40" t="s">
        <v>188</v>
      </c>
      <c r="AL119" t="str">
        <f>VLOOKUP($Q119,武学奇术!$A:$ZZ,25,FALSE)</f>
        <v>单体奇术</v>
      </c>
      <c r="AM119" s="24">
        <f>VLOOKUP($Q119,武学奇术!$A:$ZZ,26,FALSE)</f>
        <v>3.9863</v>
      </c>
      <c r="AN119" s="25">
        <f>VLOOKUP($Q119,武学奇术!$A:$ZZ,27,FALSE)*(1+IF(OR($AL119=$F$4,$AL119=$F$5),$B$22,0))</f>
        <v>778</v>
      </c>
      <c r="AO119" s="24">
        <f>VLOOKUP($Q119,武学奇术!$A:$ZZ,28,FALSE)</f>
        <v>5.97945</v>
      </c>
      <c r="AP119" s="25">
        <f>VLOOKUP($Q119,武学奇术!$A:$ZZ,29,FALSE)*(1+IF(OR($AL119=$F$4,$AL119=$F$5),$B$22,0))</f>
        <v>0</v>
      </c>
      <c r="AQ119" s="24" cm="1">
        <f t="array" ref="AQ119">$G$3+IFERROR(VLOOKUP($AL119,$F$4:$G$7,2,FALSE),0)+VLOOKUP($Q119,武学奇术!$A:$ZZ,2,FALSE)+SUM(_xlfn.XLOOKUP($R119:$AK119,增益!$A:$A,增益!$B:$B,0))</f>
        <v>0.4215</v>
      </c>
      <c r="AR119" s="24" cm="1">
        <f t="array" ref="AR119">VLOOKUP($Q119,武学奇术!$A:$ZZ,5,FALSE)+SUM(_xlfn.XLOOKUP($R119:$AK119,增益!$A:$A,增益!$E:$E,0))</f>
        <v>0.15</v>
      </c>
      <c r="AS119" cm="1">
        <f t="array" ref="AS119">$D$10*(1+$AR119)+VLOOKUP($Q119,武学奇术!$A:$ZZ,3,FALSE)+SUM(_xlfn.XLOOKUP($R119:$AK119,增益!$A:$A,增益!$C:$C,0))-$I$2</f>
        <v>4389.8462</v>
      </c>
      <c r="AT119" cm="1">
        <f t="array" ref="AT119">$E$10*(1+$AR119)+VLOOKUP($Q119,武学奇术!$A:$ZZ,4,FALSE)+SUM(_xlfn.XLOOKUP($R119:$AK119,增益!$A:$A,增益!$D:$D,0))-$I$2</f>
        <v>4389.8462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0.3675</v>
      </c>
      <c r="AV119" s="32" cm="1">
        <f t="array" ref="AV119">$G$10+VLOOKUP($Q119,武学奇术!$A:$ZZ,7,FALSE)+SUM(_xlfn.XLOOKUP($R119:$AK119,增益!$A:$A,增益!$G:$G,0))</f>
        <v>0</v>
      </c>
      <c r="AW119" s="24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2" cm="1">
        <f t="array" ref="BA119">$G$11+VLOOKUP($Q119,武学奇术!$A:$ZZ,10,FALSE)+SUM(_xlfn.XLOOKUP($R119:$AK119,增益!$A:$A,增益!$J:$J,0))</f>
        <v>0</v>
      </c>
      <c r="BB119">
        <f t="shared" si="14"/>
        <v>0</v>
      </c>
      <c r="BC119">
        <f t="shared" si="15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2" cm="1">
        <f t="array" ref="BE119">$G$12+VLOOKUP($Q119,武学奇术!$A:$ZZ,12,FALSE)+SUM(_xlfn.XLOOKUP($R119:$AK119,增益!$A:$A,增益!$L:$L,0))</f>
        <v>0</v>
      </c>
      <c r="BF119">
        <f t="shared" si="16"/>
        <v>605.472</v>
      </c>
      <c r="BG119">
        <f t="shared" si="17"/>
        <v>1579.612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2" cm="1">
        <f t="array" ref="BI119">$G$13+VLOOKUP($Q119,武学奇术!$A:$ZZ,14,FALSE)+SUM(_xlfn.XLOOKUP($R119:$AK119,增益!$A:$A,增益!$N:$N,0))</f>
        <v>0.15</v>
      </c>
      <c r="BJ119">
        <f t="shared" si="18"/>
        <v>0</v>
      </c>
      <c r="BK119">
        <f t="shared" si="19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2" cm="1">
        <f t="array" ref="BM119">$G$14+VLOOKUP($Q119,武学奇术!$A:$ZZ,16,FALSE)+SUM(_xlfn.XLOOKUP($R119:$AK119,增益!$A:$A,增益!$P:$P,0))</f>
        <v>0</v>
      </c>
      <c r="BN119" s="24">
        <f>MIN(IF(VLOOKUP($Q119,武学奇术!$A:$ZZ,23,FALSE)=1,100%,$B$8),100%)</f>
        <v>1</v>
      </c>
      <c r="BO119" s="24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0.9093</v>
      </c>
      <c r="BP119" s="24" cm="1">
        <f t="array" ref="BP119">1+$B$13+VLOOKUP($Q119,武学奇术!$A:$ZZ,18,FALSE)+SUM(_xlfn.XLOOKUP($R119:$AK119,增益!$A:$A,增益!$R:$R,0))</f>
        <v>1.85</v>
      </c>
      <c r="BQ119" s="24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4" cm="1">
        <f t="array" ref="BR119">1+$B$14+VLOOKUP($Q119,武学奇术!$A:$ZZ,20,FALSE)+SUM(_xlfn.XLOOKUP($R119:$AK119,增益!$A:$A,增益!$T:$T,0))</f>
        <v>1.35</v>
      </c>
      <c r="BS119" s="24">
        <f t="shared" si="20"/>
        <v>0.9071</v>
      </c>
      <c r="BT119" s="24">
        <f t="shared" si="21"/>
        <v>0</v>
      </c>
      <c r="BU119" s="24">
        <f>IF(VLOOKUP($Q119,武学奇术!$A:$ZZ,22,FALSE)=1,0,(1-$BN119))*(1-$BQ119)</f>
        <v>0</v>
      </c>
      <c r="BV119" s="24" cm="1">
        <f t="array" ref="BV119">SUM(_xlfn.XLOOKUP($R119:$AK119,增益!$A:$A,增益!$W:$W,0))+$I$5</f>
        <v>0.26</v>
      </c>
    </row>
    <row r="120" spans="1:74">
      <c r="K120" s="38">
        <f t="shared" si="11"/>
        <v>125220.288000103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弹道",$B$21,0))*(1+$BV120)</f>
        <v>127531.545026435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弹道",$B$21,0))*(1+$BV120)</f>
        <v>102652.567347943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弹道",$B$21,0))*(1+$BV120)</f>
        <v>68935.9702845595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弹道",$B$21,0))*(1+$BV120)</f>
        <v>61833.0017928649</v>
      </c>
      <c r="P120" s="39">
        <v>20</v>
      </c>
      <c r="Q120" s="40" t="s">
        <v>137</v>
      </c>
      <c r="R120" s="40" t="s">
        <v>97</v>
      </c>
      <c r="S120" s="40" t="s">
        <v>176</v>
      </c>
      <c r="T120" s="40" t="s">
        <v>78</v>
      </c>
      <c r="U120" s="40" t="s">
        <v>171</v>
      </c>
      <c r="V120" s="40" t="s">
        <v>78</v>
      </c>
      <c r="W120" s="40" t="s">
        <v>78</v>
      </c>
      <c r="X120" s="40" t="s">
        <v>78</v>
      </c>
      <c r="Y120" s="40" t="s">
        <v>184</v>
      </c>
      <c r="Z120" s="40" t="s">
        <v>78</v>
      </c>
      <c r="AA120" s="40" t="s">
        <v>78</v>
      </c>
      <c r="AB120" s="40" t="s">
        <v>78</v>
      </c>
      <c r="AC120" s="40" t="s">
        <v>185</v>
      </c>
      <c r="AD120" s="40" t="s">
        <v>78</v>
      </c>
      <c r="AE120" s="40" t="s">
        <v>78</v>
      </c>
      <c r="AF120" s="40" t="s">
        <v>78</v>
      </c>
      <c r="AG120" s="40" t="s">
        <v>78</v>
      </c>
      <c r="AH120" s="40" t="s">
        <v>78</v>
      </c>
      <c r="AI120" s="40" t="s">
        <v>78</v>
      </c>
      <c r="AJ120" s="40" t="s">
        <v>78</v>
      </c>
      <c r="AK120" s="40" t="s">
        <v>188</v>
      </c>
      <c r="AL120" t="str">
        <f>VLOOKUP($Q120,武学奇术!$A:$ZZ,25,FALSE)</f>
        <v>单体奇术</v>
      </c>
      <c r="AM120" s="24">
        <f>VLOOKUP($Q120,武学奇术!$A:$ZZ,26,FALSE)</f>
        <v>0.236</v>
      </c>
      <c r="AN120" s="25">
        <f>VLOOKUP($Q120,武学奇术!$A:$ZZ,27,FALSE)*(1+IF(OR($AL120=$F$4,$AL120=$F$5),$B$22,0))</f>
        <v>46</v>
      </c>
      <c r="AO120" s="24">
        <f>VLOOKUP($Q120,武学奇术!$A:$ZZ,28,FALSE)</f>
        <v>0.354</v>
      </c>
      <c r="AP120" s="25">
        <f>VLOOKUP($Q120,武学奇术!$A:$ZZ,29,FALSE)*(1+IF(OR($AL120=$F$4,$AL120=$F$5),$B$22,0))</f>
        <v>0</v>
      </c>
      <c r="AQ120" s="24" cm="1">
        <f t="array" ref="AQ120">$G$3+IFERROR(VLOOKUP($AL120,$F$4:$G$7,2,FALSE),0)+VLOOKUP($Q120,武学奇术!$A:$ZZ,2,FALSE)+SUM(_xlfn.XLOOKUP($R120:$AK120,增益!$A:$A,增益!$B:$B,0))</f>
        <v>0.4215</v>
      </c>
      <c r="AR120" s="24" cm="1">
        <f t="array" ref="AR120">VLOOKUP($Q120,武学奇术!$A:$ZZ,5,FALSE)+SUM(_xlfn.XLOOKUP($R120:$AK120,增益!$A:$A,增益!$E:$E,0))</f>
        <v>0.15</v>
      </c>
      <c r="AS120" cm="1">
        <f t="array" ref="AS120">$D$10*(1+$AR120)+VLOOKUP($Q120,武学奇术!$A:$ZZ,3,FALSE)+SUM(_xlfn.XLOOKUP($R120:$AK120,增益!$A:$A,增益!$C:$C,0))-$I$2</f>
        <v>4389.8462</v>
      </c>
      <c r="AT120" cm="1">
        <f t="array" ref="AT120">$E$10*(1+$AR120)+VLOOKUP($Q120,武学奇术!$A:$ZZ,4,FALSE)+SUM(_xlfn.XLOOKUP($R120:$AK120,增益!$A:$A,增益!$D:$D,0))-$I$2</f>
        <v>4389.8462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0.3675</v>
      </c>
      <c r="AV120" s="32" cm="1">
        <f t="array" ref="AV120">$G$10+VLOOKUP($Q120,武学奇术!$A:$ZZ,7,FALSE)+SUM(_xlfn.XLOOKUP($R120:$AK120,增益!$A:$A,增益!$G:$G,0))</f>
        <v>0</v>
      </c>
      <c r="AW120" s="24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2" cm="1">
        <f t="array" ref="BA120">$G$11+VLOOKUP($Q120,武学奇术!$A:$ZZ,10,FALSE)+SUM(_xlfn.XLOOKUP($R120:$AK120,增益!$A:$A,增益!$J:$J,0))</f>
        <v>0</v>
      </c>
      <c r="BB120">
        <f t="shared" si="14"/>
        <v>0</v>
      </c>
      <c r="BC120">
        <f t="shared" si="15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2" cm="1">
        <f t="array" ref="BE120">$G$12+VLOOKUP($Q120,武学奇术!$A:$ZZ,12,FALSE)+SUM(_xlfn.XLOOKUP($R120:$AK120,增益!$A:$A,增益!$L:$L,0))</f>
        <v>0</v>
      </c>
      <c r="BF120">
        <f t="shared" si="16"/>
        <v>605.472</v>
      </c>
      <c r="BG120">
        <f t="shared" si="17"/>
        <v>1579.612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2" cm="1">
        <f t="array" ref="BI120">$G$13+VLOOKUP($Q120,武学奇术!$A:$ZZ,14,FALSE)+SUM(_xlfn.XLOOKUP($R120:$AK120,增益!$A:$A,增益!$N:$N,0))</f>
        <v>0.15</v>
      </c>
      <c r="BJ120">
        <f t="shared" si="18"/>
        <v>0</v>
      </c>
      <c r="BK120">
        <f t="shared" si="19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2" cm="1">
        <f t="array" ref="BM120">$G$14+VLOOKUP($Q120,武学奇术!$A:$ZZ,16,FALSE)+SUM(_xlfn.XLOOKUP($R120:$AK120,增益!$A:$A,增益!$P:$P,0))</f>
        <v>0</v>
      </c>
      <c r="BN120" s="24">
        <f>MIN(IF(VLOOKUP($Q120,武学奇术!$A:$ZZ,23,FALSE)=1,100%,$B$8),100%)</f>
        <v>1</v>
      </c>
      <c r="BO120" s="24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0.9093</v>
      </c>
      <c r="BP120" s="24" cm="1">
        <f t="array" ref="BP120">1+$B$13+VLOOKUP($Q120,武学奇术!$A:$ZZ,18,FALSE)+SUM(_xlfn.XLOOKUP($R120:$AK120,增益!$A:$A,增益!$R:$R,0))</f>
        <v>1.85</v>
      </c>
      <c r="BQ120" s="24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4" cm="1">
        <f t="array" ref="BR120">1+$B$14+VLOOKUP($Q120,武学奇术!$A:$ZZ,20,FALSE)+SUM(_xlfn.XLOOKUP($R120:$AK120,增益!$A:$A,增益!$T:$T,0))</f>
        <v>1.35</v>
      </c>
      <c r="BS120" s="24">
        <f t="shared" si="20"/>
        <v>0.9071</v>
      </c>
      <c r="BT120" s="24">
        <f t="shared" si="21"/>
        <v>0</v>
      </c>
      <c r="BU120" s="24">
        <f>IF(VLOOKUP($Q120,武学奇术!$A:$ZZ,22,FALSE)=1,0,(1-$BN120))*(1-$BQ120)</f>
        <v>0</v>
      </c>
      <c r="BV120" s="24" cm="1">
        <f t="array" ref="BV120">SUM(_xlfn.XLOOKUP($R120:$AK120,增益!$A:$A,增益!$W:$W,0))+$I$5</f>
        <v>0.26</v>
      </c>
    </row>
    <row r="121" spans="1:74">
      <c r="K121" s="38">
        <f t="shared" si="11"/>
        <v>325775.946904184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弹道",$B$21,0))*(1+$BV121)</f>
        <v>331787.583306601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弹道",$B$21,0))*(1+$BV121)</f>
        <v>267076.750126648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弹道",$B$21,0))*(1+$BV121)</f>
        <v>179344.63962519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弹道",$B$21,0))*(1+$BV121)</f>
        <v>160854.649526937</v>
      </c>
      <c r="P121" s="39">
        <v>12</v>
      </c>
      <c r="Q121" s="40" t="s">
        <v>153</v>
      </c>
      <c r="R121" s="40" t="s">
        <v>97</v>
      </c>
      <c r="S121" s="40" t="s">
        <v>176</v>
      </c>
      <c r="T121" s="40" t="s">
        <v>78</v>
      </c>
      <c r="U121" s="40" t="s">
        <v>171</v>
      </c>
      <c r="V121" s="40" t="s">
        <v>78</v>
      </c>
      <c r="W121" s="40" t="s">
        <v>78</v>
      </c>
      <c r="X121" s="40" t="s">
        <v>78</v>
      </c>
      <c r="Y121" s="40" t="s">
        <v>184</v>
      </c>
      <c r="Z121" s="40" t="s">
        <v>78</v>
      </c>
      <c r="AA121" s="40" t="s">
        <v>78</v>
      </c>
      <c r="AB121" s="40" t="s">
        <v>78</v>
      </c>
      <c r="AC121" s="40" t="s">
        <v>185</v>
      </c>
      <c r="AD121" s="40" t="s">
        <v>78</v>
      </c>
      <c r="AE121" s="40" t="s">
        <v>78</v>
      </c>
      <c r="AF121" s="40" t="s">
        <v>78</v>
      </c>
      <c r="AG121" s="40" t="s">
        <v>78</v>
      </c>
      <c r="AH121" s="40" t="s">
        <v>78</v>
      </c>
      <c r="AI121" s="40" t="s">
        <v>78</v>
      </c>
      <c r="AJ121" s="40" t="s">
        <v>78</v>
      </c>
      <c r="AK121" s="40" t="s">
        <v>188</v>
      </c>
      <c r="AL121" t="str">
        <f>VLOOKUP($Q121,武学奇术!$A:$ZZ,25,FALSE)</f>
        <v>单体奇术</v>
      </c>
      <c r="AM121" s="24">
        <f>VLOOKUP($Q121,武学奇术!$A:$ZZ,26,FALSE)</f>
        <v>1.0239</v>
      </c>
      <c r="AN121" s="25">
        <f>VLOOKUP($Q121,武学奇术!$A:$ZZ,27,FALSE)*(1+IF(OR($AL121=$F$4,$AL121=$F$5),$B$22,0))</f>
        <v>196</v>
      </c>
      <c r="AO121" s="24">
        <f>VLOOKUP($Q121,武学奇术!$A:$ZZ,28,FALSE)</f>
        <v>1.53585</v>
      </c>
      <c r="AP121" s="25">
        <f>VLOOKUP($Q121,武学奇术!$A:$ZZ,29,FALSE)*(1+IF(OR($AL121=$F$4,$AL121=$F$5),$B$22,0))</f>
        <v>0</v>
      </c>
      <c r="AQ121" s="24" cm="1">
        <f t="array" ref="AQ121">$G$3+IFERROR(VLOOKUP($AL121,$F$4:$G$7,2,FALSE),0)+VLOOKUP($Q121,武学奇术!$A:$ZZ,2,FALSE)+SUM(_xlfn.XLOOKUP($R121:$AK121,增益!$A:$A,增益!$B:$B,0))</f>
        <v>0.4215</v>
      </c>
      <c r="AR121" s="24" cm="1">
        <f t="array" ref="AR121">VLOOKUP($Q121,武学奇术!$A:$ZZ,5,FALSE)+SUM(_xlfn.XLOOKUP($R121:$AK121,增益!$A:$A,增益!$E:$E,0))</f>
        <v>0.15</v>
      </c>
      <c r="AS121" cm="1">
        <f t="array" ref="AS121">$D$10*(1+$AR121)+VLOOKUP($Q121,武学奇术!$A:$ZZ,3,FALSE)+SUM(_xlfn.XLOOKUP($R121:$AK121,增益!$A:$A,增益!$C:$C,0))-$I$2</f>
        <v>4389.8462</v>
      </c>
      <c r="AT121" cm="1">
        <f t="array" ref="AT121">$E$10*(1+$AR121)+VLOOKUP($Q121,武学奇术!$A:$ZZ,4,FALSE)+SUM(_xlfn.XLOOKUP($R121:$AK121,增益!$A:$A,增益!$D:$D,0))-$I$2</f>
        <v>4389.8462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0.3675</v>
      </c>
      <c r="AV121" s="32" cm="1">
        <f t="array" ref="AV121">$G$10+VLOOKUP($Q121,武学奇术!$A:$ZZ,7,FALSE)+SUM(_xlfn.XLOOKUP($R121:$AK121,增益!$A:$A,增益!$G:$G,0))</f>
        <v>0</v>
      </c>
      <c r="AW121" s="24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16"/>
        <v>605.472</v>
      </c>
      <c r="BG121">
        <f t="shared" si="17"/>
        <v>1579.612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4">
        <f>MIN(IF(VLOOKUP($Q121,武学奇术!$A:$ZZ,23,FALSE)=1,100%,$B$8),100%)</f>
        <v>1</v>
      </c>
      <c r="BO121" s="24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0.9093</v>
      </c>
      <c r="BP121" s="24" cm="1">
        <f t="array" ref="BP121">1+$B$13+VLOOKUP($Q121,武学奇术!$A:$ZZ,18,FALSE)+SUM(_xlfn.XLOOKUP($R121:$AK121,增益!$A:$A,增益!$R:$R,0))</f>
        <v>1.85</v>
      </c>
      <c r="BQ121" s="24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4" cm="1">
        <f t="array" ref="BR121">1+$B$14+VLOOKUP($Q121,武学奇术!$A:$ZZ,20,FALSE)+SUM(_xlfn.XLOOKUP($R121:$AK121,增益!$A:$A,增益!$T:$T,0))</f>
        <v>1.35</v>
      </c>
      <c r="BS121" s="24">
        <f t="shared" si="20"/>
        <v>0.9071</v>
      </c>
      <c r="BT121" s="24">
        <f t="shared" si="21"/>
        <v>0</v>
      </c>
      <c r="BU121" s="24">
        <f>IF(VLOOKUP($Q121,武学奇术!$A:$ZZ,22,FALSE)=1,0,(1-$BN121))*(1-$BQ121)</f>
        <v>0</v>
      </c>
      <c r="BV121" s="24" cm="1">
        <f t="array" ref="BV121">SUM(_xlfn.XLOOKUP($R121:$AK121,增益!$A:$A,增益!$W:$W,0))+$I$5</f>
        <v>0.26</v>
      </c>
    </row>
    <row r="122" spans="1:74">
      <c r="K122" s="38">
        <f t="shared" si="11"/>
        <v>511938.031196475</v>
      </c>
      <c r="L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弹道",$B$21,0))*(1+$BV122)</f>
        <v>521384.968542695</v>
      </c>
      <c r="M122" s="38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弹道",$B$21,0))*(1+$BV122)</f>
        <v>419695.653728706</v>
      </c>
      <c r="N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弹道",$B$21,0))*(1+$BV122)</f>
        <v>281829.712725781</v>
      </c>
      <c r="O122" s="38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弹道",$B$21,0))*(1+$BV122)</f>
        <v>252773.756022891</v>
      </c>
      <c r="P122" s="39">
        <v>12</v>
      </c>
      <c r="Q122" s="40" t="s">
        <v>155</v>
      </c>
      <c r="R122" s="40" t="s">
        <v>97</v>
      </c>
      <c r="S122" s="40" t="s">
        <v>176</v>
      </c>
      <c r="T122" s="40" t="s">
        <v>78</v>
      </c>
      <c r="U122" s="40" t="s">
        <v>171</v>
      </c>
      <c r="V122" s="40" t="s">
        <v>78</v>
      </c>
      <c r="W122" s="40" t="s">
        <v>78</v>
      </c>
      <c r="X122" s="40" t="s">
        <v>78</v>
      </c>
      <c r="Y122" s="40" t="s">
        <v>184</v>
      </c>
      <c r="Z122" s="40" t="s">
        <v>78</v>
      </c>
      <c r="AA122" s="40" t="s">
        <v>78</v>
      </c>
      <c r="AB122" s="40" t="s">
        <v>78</v>
      </c>
      <c r="AC122" s="40" t="s">
        <v>185</v>
      </c>
      <c r="AD122" s="40" t="s">
        <v>78</v>
      </c>
      <c r="AE122" s="40" t="s">
        <v>78</v>
      </c>
      <c r="AF122" s="40" t="s">
        <v>78</v>
      </c>
      <c r="AG122" s="40" t="s">
        <v>78</v>
      </c>
      <c r="AH122" s="40" t="s">
        <v>78</v>
      </c>
      <c r="AI122" s="40" t="s">
        <v>78</v>
      </c>
      <c r="AJ122" s="40" t="s">
        <v>78</v>
      </c>
      <c r="AK122" s="40" t="s">
        <v>188</v>
      </c>
      <c r="AL122" t="str">
        <f>VLOOKUP($Q122,武学奇术!$A:$ZZ,25,FALSE)</f>
        <v>单体奇术</v>
      </c>
      <c r="AM122" s="24">
        <f>VLOOKUP($Q122,武学奇术!$A:$ZZ,26,FALSE)</f>
        <v>1.609</v>
      </c>
      <c r="AN122" s="25">
        <f>VLOOKUP($Q122,武学奇术!$A:$ZZ,27,FALSE)*(1+IF(OR($AL122=$F$4,$AL122=$F$5),$B$22,0))</f>
        <v>308</v>
      </c>
      <c r="AO122" s="24">
        <f>VLOOKUP($Q122,武学奇术!$A:$ZZ,28,FALSE)</f>
        <v>2.4135</v>
      </c>
      <c r="AP122" s="25">
        <f>VLOOKUP($Q122,武学奇术!$A:$ZZ,29,FALSE)*(1+IF(OR($AL122=$F$4,$AL122=$F$5),$B$22,0))</f>
        <v>0</v>
      </c>
      <c r="AQ122" s="24" cm="1">
        <f t="array" ref="AQ122">$G$3+IFERROR(VLOOKUP($AL122,$F$4:$G$7,2,FALSE),0)+VLOOKUP($Q122,武学奇术!$A:$ZZ,2,FALSE)+SUM(_xlfn.XLOOKUP($R122:$AK122,增益!$A:$A,增益!$B:$B,0))</f>
        <v>0.4215</v>
      </c>
      <c r="AR122" s="24" cm="1">
        <f t="array" ref="AR122">VLOOKUP($Q122,武学奇术!$A:$ZZ,5,FALSE)+SUM(_xlfn.XLOOKUP($R122:$AK122,增益!$A:$A,增益!$E:$E,0))</f>
        <v>0.15</v>
      </c>
      <c r="AS122" cm="1">
        <f t="array" ref="AS122">$D$10*(1+$AR122)+VLOOKUP($Q122,武学奇术!$A:$ZZ,3,FALSE)+SUM(_xlfn.XLOOKUP($R122:$AK122,增益!$A:$A,增益!$C:$C,0))-$I$2</f>
        <v>4389.8462</v>
      </c>
      <c r="AT122" cm="1">
        <f t="array" ref="AT122">$E$10*(1+$AR122)+VLOOKUP($Q122,武学奇术!$A:$ZZ,4,FALSE)+SUM(_xlfn.XLOOKUP($R122:$AK122,增益!$A:$A,增益!$D:$D,0))-$I$2</f>
        <v>4389.8462</v>
      </c>
      <c r="AU122" s="32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0.3675</v>
      </c>
      <c r="AV122" s="32" cm="1">
        <f t="array" ref="AV122">$G$10+VLOOKUP($Q122,武学奇术!$A:$ZZ,7,FALSE)+SUM(_xlfn.XLOOKUP($R122:$AK122,增益!$A:$A,增益!$G:$G,0))</f>
        <v>0</v>
      </c>
      <c r="AW122" s="24" cm="1">
        <f t="array" ref="AW122">VLOOKUP($Q122,武学奇术!$A:$ZZ,8,FALSE)+SUM(_xlfn.XLOOKUP($R122:$AK122,增益!$A:$A,增益!$H:$H,0))</f>
        <v>0</v>
      </c>
      <c r="AX122">
        <f t="shared" si="12"/>
        <v>0</v>
      </c>
      <c r="AY122">
        <f t="shared" si="13"/>
        <v>0</v>
      </c>
      <c r="AZ122" s="32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-0.3</v>
      </c>
      <c r="BA122" s="32" cm="1">
        <f t="array" ref="BA122">$G$11+VLOOKUP($Q122,武学奇术!$A:$ZZ,10,FALSE)+SUM(_xlfn.XLOOKUP($R122:$AK122,增益!$A:$A,增益!$J:$J,0))</f>
        <v>0</v>
      </c>
      <c r="BB122">
        <f t="shared" si="14"/>
        <v>0</v>
      </c>
      <c r="BC122">
        <f t="shared" si="15"/>
        <v>0</v>
      </c>
      <c r="BD122" s="32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-0.3</v>
      </c>
      <c r="BE122" s="32" cm="1">
        <f t="array" ref="BE122">$G$12+VLOOKUP($Q122,武学奇术!$A:$ZZ,12,FALSE)+SUM(_xlfn.XLOOKUP($R122:$AK122,增益!$A:$A,增益!$L:$L,0))</f>
        <v>0</v>
      </c>
      <c r="BF122">
        <f t="shared" si="16"/>
        <v>605.472</v>
      </c>
      <c r="BG122">
        <f t="shared" si="17"/>
        <v>1579.612</v>
      </c>
      <c r="BH122" s="32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0</v>
      </c>
      <c r="BI122" s="32" cm="1">
        <f t="array" ref="BI122">$G$13+VLOOKUP($Q122,武学奇术!$A:$ZZ,14,FALSE)+SUM(_xlfn.XLOOKUP($R122:$AK122,增益!$A:$A,增益!$N:$N,0))</f>
        <v>0.15</v>
      </c>
      <c r="BJ122">
        <f t="shared" si="18"/>
        <v>0</v>
      </c>
      <c r="BK122">
        <f t="shared" si="19"/>
        <v>0</v>
      </c>
      <c r="BL122" s="32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-0.3</v>
      </c>
      <c r="BM122" s="32" cm="1">
        <f t="array" ref="BM122">$G$14+VLOOKUP($Q122,武学奇术!$A:$ZZ,16,FALSE)+SUM(_xlfn.XLOOKUP($R122:$AK122,增益!$A:$A,增益!$P:$P,0))</f>
        <v>0</v>
      </c>
      <c r="BN122" s="24">
        <f>MIN(IF(VLOOKUP($Q122,武学奇术!$A:$ZZ,23,FALSE)=1,100%,$B$8),100%)</f>
        <v>1</v>
      </c>
      <c r="BO122" s="24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0.9093</v>
      </c>
      <c r="BP122" s="24" cm="1">
        <f t="array" ref="BP122">1+$B$13+VLOOKUP($Q122,武学奇术!$A:$ZZ,18,FALSE)+SUM(_xlfn.XLOOKUP($R122:$AK122,增益!$A:$A,增益!$R:$R,0))</f>
        <v>1.85</v>
      </c>
      <c r="BQ122" s="24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4" cm="1">
        <f t="array" ref="BR122">1+$B$14+VLOOKUP($Q122,武学奇术!$A:$ZZ,20,FALSE)+SUM(_xlfn.XLOOKUP($R122:$AK122,增益!$A:$A,增益!$T:$T,0))</f>
        <v>1.35</v>
      </c>
      <c r="BS122" s="24">
        <f t="shared" si="20"/>
        <v>0.9071</v>
      </c>
      <c r="BT122" s="24">
        <f t="shared" si="21"/>
        <v>0</v>
      </c>
      <c r="BU122" s="24">
        <f>IF(VLOOKUP($Q122,武学奇术!$A:$ZZ,22,FALSE)=1,0,(1-$BN122))*(1-$BQ122)</f>
        <v>0</v>
      </c>
      <c r="BV122" s="24" cm="1">
        <f t="array" ref="BV122">SUM(_xlfn.XLOOKUP($R122:$AK122,增益!$A:$A,增益!$W:$W,0))+$I$5</f>
        <v>0.26</v>
      </c>
    </row>
    <row r="123" spans="1:74">
      <c r="K123" s="38">
        <f t="shared" si="11"/>
        <v>222051.064834831</v>
      </c>
      <c r="L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弹道",$B$21,0))*(1+$BV123)</f>
        <v>226149.105191028</v>
      </c>
      <c r="M123" s="38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弹道",$B$21,0))*(1+$BV123)</f>
        <v>182036.72245479</v>
      </c>
      <c r="N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弹道",$B$21,0))*(1+$BV123)</f>
        <v>122242.759562718</v>
      </c>
      <c r="O123" s="38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弹道",$B$21,0))*(1+$BV123)</f>
        <v>109643.502492258</v>
      </c>
      <c r="P123" s="39">
        <v>1</v>
      </c>
      <c r="Q123" s="40" t="s">
        <v>192</v>
      </c>
      <c r="R123" s="40" t="s">
        <v>97</v>
      </c>
      <c r="S123" s="40" t="s">
        <v>176</v>
      </c>
      <c r="T123" s="40" t="s">
        <v>78</v>
      </c>
      <c r="U123" s="40" t="s">
        <v>171</v>
      </c>
      <c r="V123" s="40" t="s">
        <v>78</v>
      </c>
      <c r="W123" s="40" t="s">
        <v>78</v>
      </c>
      <c r="X123" s="40" t="s">
        <v>78</v>
      </c>
      <c r="Y123" s="40" t="s">
        <v>184</v>
      </c>
      <c r="Z123" s="40" t="s">
        <v>78</v>
      </c>
      <c r="AA123" s="40" t="s">
        <v>78</v>
      </c>
      <c r="AB123" s="40" t="s">
        <v>78</v>
      </c>
      <c r="AC123" s="40" t="s">
        <v>185</v>
      </c>
      <c r="AD123" s="40" t="s">
        <v>78</v>
      </c>
      <c r="AE123" s="40" t="s">
        <v>78</v>
      </c>
      <c r="AF123" s="40" t="s">
        <v>78</v>
      </c>
      <c r="AG123" s="40" t="s">
        <v>78</v>
      </c>
      <c r="AH123" s="40" t="s">
        <v>78</v>
      </c>
      <c r="AI123" s="40" t="s">
        <v>78</v>
      </c>
      <c r="AJ123" s="40" t="s">
        <v>78</v>
      </c>
      <c r="AK123" s="40" t="s">
        <v>188</v>
      </c>
      <c r="AL123" t="str">
        <f>VLOOKUP($Q123,武学奇术!$A:$ZZ,25,FALSE)</f>
        <v>群体奇术</v>
      </c>
      <c r="AM123" s="24">
        <f>VLOOKUP($Q123,武学奇术!$A:$ZZ,26,FALSE)</f>
        <v>10.315755</v>
      </c>
      <c r="AN123" s="25">
        <f>VLOOKUP($Q123,武学奇术!$A:$ZZ,27,FALSE)*(1+IF(OR($AL123=$F$4,$AL123=$F$5),$B$22,0))</f>
        <v>1992.6</v>
      </c>
      <c r="AO123" s="24">
        <f>VLOOKUP($Q123,武学奇术!$A:$ZZ,28,FALSE)</f>
        <v>15.4736325</v>
      </c>
      <c r="AP123" s="25">
        <f>VLOOKUP($Q123,武学奇术!$A:$ZZ,29,FALSE)*(1+IF(OR($AL123=$F$4,$AL123=$F$5),$B$22,0))</f>
        <v>0</v>
      </c>
      <c r="AQ123" s="24" cm="1">
        <f t="array" ref="AQ123">$G$3+IFERROR(VLOOKUP($AL123,$F$4:$G$7,2,FALSE),0)+VLOOKUP($Q123,武学奇术!$A:$ZZ,2,FALSE)+SUM(_xlfn.XLOOKUP($R123:$AK123,增益!$A:$A,增益!$B:$B,0))</f>
        <v>0.1537</v>
      </c>
      <c r="AR123" s="24" cm="1">
        <f t="array" ref="AR123">VLOOKUP($Q123,武学奇术!$A:$ZZ,5,FALSE)+SUM(_xlfn.XLOOKUP($R123:$AK123,增益!$A:$A,增益!$E:$E,0))</f>
        <v>0.15</v>
      </c>
      <c r="AS123" cm="1">
        <f t="array" ref="AS123">$D$10*(1+$AR123)+VLOOKUP($Q123,武学奇术!$A:$ZZ,3,FALSE)+SUM(_xlfn.XLOOKUP($R123:$AK123,增益!$A:$A,增益!$C:$C,0))-$I$2</f>
        <v>4389.8462</v>
      </c>
      <c r="AT123" cm="1">
        <f t="array" ref="AT123">$E$10*(1+$AR123)+VLOOKUP($Q123,武学奇术!$A:$ZZ,4,FALSE)+SUM(_xlfn.XLOOKUP($R123:$AK123,增益!$A:$A,增益!$D:$D,0))-$I$2</f>
        <v>4389.8462</v>
      </c>
      <c r="AU123" s="32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0.3675</v>
      </c>
      <c r="AV123" s="32" cm="1">
        <f t="array" ref="AV123">$G$10+VLOOKUP($Q123,武学奇术!$A:$ZZ,7,FALSE)+SUM(_xlfn.XLOOKUP($R123:$AK123,增益!$A:$A,增益!$G:$G,0))</f>
        <v>0</v>
      </c>
      <c r="AW123" s="24" cm="1">
        <f t="array" ref="AW123">VLOOKUP($Q123,武学奇术!$A:$ZZ,8,FALSE)+SUM(_xlfn.XLOOKUP($R123:$AK123,增益!$A:$A,增益!$H:$H,0))</f>
        <v>0</v>
      </c>
      <c r="AX123">
        <f t="shared" si="12"/>
        <v>0</v>
      </c>
      <c r="AY123">
        <f t="shared" si="13"/>
        <v>0</v>
      </c>
      <c r="AZ123" s="32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-0.3</v>
      </c>
      <c r="BA123" s="32" cm="1">
        <f t="array" ref="BA123">$G$11+VLOOKUP($Q123,武学奇术!$A:$ZZ,10,FALSE)+SUM(_xlfn.XLOOKUP($R123:$AK123,增益!$A:$A,增益!$J:$J,0))</f>
        <v>0</v>
      </c>
      <c r="BB123">
        <f t="shared" si="14"/>
        <v>0</v>
      </c>
      <c r="BC123">
        <f t="shared" si="15"/>
        <v>0</v>
      </c>
      <c r="BD123" s="32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-0.3</v>
      </c>
      <c r="BE123" s="32" cm="1">
        <f t="array" ref="BE123">$G$12+VLOOKUP($Q123,武学奇术!$A:$ZZ,12,FALSE)+SUM(_xlfn.XLOOKUP($R123:$AK123,增益!$A:$A,增益!$L:$L,0))</f>
        <v>0</v>
      </c>
      <c r="BF123">
        <f t="shared" si="16"/>
        <v>605.472</v>
      </c>
      <c r="BG123">
        <f t="shared" si="17"/>
        <v>1579.612</v>
      </c>
      <c r="BH123" s="32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0</v>
      </c>
      <c r="BI123" s="32" cm="1">
        <f t="array" ref="BI123">$G$13+VLOOKUP($Q123,武学奇术!$A:$ZZ,14,FALSE)+SUM(_xlfn.XLOOKUP($R123:$AK123,增益!$A:$A,增益!$N:$N,0))</f>
        <v>0.15</v>
      </c>
      <c r="BJ123">
        <f t="shared" si="18"/>
        <v>0</v>
      </c>
      <c r="BK123">
        <f t="shared" si="19"/>
        <v>0</v>
      </c>
      <c r="BL123" s="32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-0.3</v>
      </c>
      <c r="BM123" s="32" cm="1">
        <f t="array" ref="BM123">$G$14+VLOOKUP($Q123,武学奇术!$A:$ZZ,16,FALSE)+SUM(_xlfn.XLOOKUP($R123:$AK123,增益!$A:$A,增益!$P:$P,0))</f>
        <v>0</v>
      </c>
      <c r="BN123" s="24">
        <f>MIN(IF(VLOOKUP($Q123,武学奇术!$A:$ZZ,23,FALSE)=1,100%,$B$8),100%)</f>
        <v>1</v>
      </c>
      <c r="BO123" s="24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0.9093</v>
      </c>
      <c r="BP123" s="24" cm="1">
        <f t="array" ref="BP123">1+$B$13+VLOOKUP($Q123,武学奇术!$A:$ZZ,18,FALSE)+SUM(_xlfn.XLOOKUP($R123:$AK123,增益!$A:$A,增益!$R:$R,0))</f>
        <v>1.85</v>
      </c>
      <c r="BQ123" s="24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4" cm="1">
        <f t="array" ref="BR123">1+$B$14+VLOOKUP($Q123,武学奇术!$A:$ZZ,20,FALSE)+SUM(_xlfn.XLOOKUP($R123:$AK123,增益!$A:$A,增益!$T:$T,0))</f>
        <v>1.35</v>
      </c>
      <c r="BS123" s="24">
        <f t="shared" si="20"/>
        <v>0.9071</v>
      </c>
      <c r="BT123" s="24">
        <f t="shared" si="21"/>
        <v>0</v>
      </c>
      <c r="BU123" s="24">
        <f>IF(VLOOKUP($Q123,武学奇术!$A:$ZZ,22,FALSE)=1,0,(1-$BN123))*(1-$BQ123)</f>
        <v>0</v>
      </c>
      <c r="BV123" s="24" cm="1">
        <f t="array" ref="BV123">SUM(_xlfn.XLOOKUP($R123:$AK123,增益!$A:$A,增益!$W:$W,0))+$I$5</f>
        <v>0.26</v>
      </c>
    </row>
    <row r="124" spans="1:74">
      <c r="K124" s="38">
        <f t="shared" si="11"/>
        <v>23244.7519267752</v>
      </c>
      <c r="L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弹道",$B$21,0))*(1+$BV124)</f>
        <v>23686.9840839475</v>
      </c>
      <c r="M124" s="38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弹道",$B$21,0))*(1+$BV124)</f>
        <v>18926.68099275</v>
      </c>
      <c r="N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弹道",$B$21,0))*(1+$BV124)</f>
        <v>12803.7751805121</v>
      </c>
      <c r="O124" s="38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弹道",$B$21,0))*(1+$BV124)</f>
        <v>11587.786662691</v>
      </c>
      <c r="P124" s="39">
        <v>1</v>
      </c>
      <c r="Q124" s="40" t="s">
        <v>160</v>
      </c>
      <c r="R124" s="40" t="s">
        <v>97</v>
      </c>
      <c r="S124" s="40" t="s">
        <v>176</v>
      </c>
      <c r="T124" s="40" t="s">
        <v>78</v>
      </c>
      <c r="U124" s="40" t="s">
        <v>171</v>
      </c>
      <c r="V124" s="40" t="s">
        <v>78</v>
      </c>
      <c r="W124" s="40" t="s">
        <v>78</v>
      </c>
      <c r="X124" s="40" t="s">
        <v>78</v>
      </c>
      <c r="Y124" s="40" t="s">
        <v>184</v>
      </c>
      <c r="Z124" s="40" t="s">
        <v>78</v>
      </c>
      <c r="AA124" s="40" t="s">
        <v>78</v>
      </c>
      <c r="AB124" s="40" t="s">
        <v>78</v>
      </c>
      <c r="AC124" s="40" t="s">
        <v>185</v>
      </c>
      <c r="AD124" s="40" t="s">
        <v>78</v>
      </c>
      <c r="AE124" s="40" t="s">
        <v>78</v>
      </c>
      <c r="AF124" s="40" t="s">
        <v>78</v>
      </c>
      <c r="AG124" s="40" t="s">
        <v>78</v>
      </c>
      <c r="AH124" s="40" t="s">
        <v>78</v>
      </c>
      <c r="AI124" s="40" t="s">
        <v>78</v>
      </c>
      <c r="AJ124" s="40" t="s">
        <v>78</v>
      </c>
      <c r="AK124" s="40" t="s">
        <v>188</v>
      </c>
      <c r="AL124" t="str">
        <f>VLOOKUP($Q124,武学奇术!$A:$ZZ,25,FALSE)</f>
        <v>扇</v>
      </c>
      <c r="AM124" s="24">
        <f>VLOOKUP($Q124,武学奇术!$A:$ZZ,26,FALSE)</f>
        <v>0.9271</v>
      </c>
      <c r="AN124" s="25">
        <f>VLOOKUP($Q124,武学奇术!$A:$ZZ,27,FALSE)*(1+IF(OR($AL124=$F$4,$AL124=$F$5),$B$22,0))</f>
        <v>385.5</v>
      </c>
      <c r="AO124" s="24">
        <f>VLOOKUP($Q124,武学奇术!$A:$ZZ,28,FALSE)</f>
        <v>1.3907</v>
      </c>
      <c r="AP124" s="25">
        <f>VLOOKUP($Q124,武学奇术!$A:$ZZ,29,FALSE)*(1+IF(OR($AL124=$F$4,$AL124=$F$5),$B$22,0))</f>
        <v>210</v>
      </c>
      <c r="AQ124" s="24" cm="1">
        <f t="array" ref="AQ124">$G$3+IFERROR(VLOOKUP($AL124,$F$4:$G$7,2,FALSE),0)+VLOOKUP($Q124,武学奇术!$A:$ZZ,2,FALSE)+SUM(_xlfn.XLOOKUP($R124:$AK124,增益!$A:$A,增益!$B:$B,0))</f>
        <v>0.2389</v>
      </c>
      <c r="AR124" s="24" cm="1">
        <f t="array" ref="AR124">VLOOKUP($Q124,武学奇术!$A:$ZZ,5,FALSE)+SUM(_xlfn.XLOOKUP($R124:$AK124,增益!$A:$A,增益!$E:$E,0))</f>
        <v>0.15</v>
      </c>
      <c r="AS124" cm="1">
        <f t="array" ref="AS124">$D$10*(1+$AR124)+VLOOKUP($Q124,武学奇术!$A:$ZZ,3,FALSE)+SUM(_xlfn.XLOOKUP($R124:$AK124,增益!$A:$A,增益!$C:$C,0))-$I$2</f>
        <v>4389.8462</v>
      </c>
      <c r="AT124" cm="1">
        <f t="array" ref="AT124">$E$10*(1+$AR124)+VLOOKUP($Q124,武学奇术!$A:$ZZ,4,FALSE)+SUM(_xlfn.XLOOKUP($R124:$AK124,增益!$A:$A,增益!$D:$D,0))-$I$2</f>
        <v>4389.8462</v>
      </c>
      <c r="AU124" s="32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0.3675</v>
      </c>
      <c r="AV124" s="32" cm="1">
        <f t="array" ref="AV124">$G$10+VLOOKUP($Q124,武学奇术!$A:$ZZ,7,FALSE)+SUM(_xlfn.XLOOKUP($R124:$AK124,增益!$A:$A,增益!$G:$G,0))</f>
        <v>0</v>
      </c>
      <c r="AW124" s="24" cm="1">
        <f t="array" ref="AW124">VLOOKUP($Q124,武学奇术!$A:$ZZ,8,FALSE)+SUM(_xlfn.XLOOKUP($R124:$AK124,增益!$A:$A,增益!$H:$H,0))</f>
        <v>0</v>
      </c>
      <c r="AX124">
        <f t="shared" si="12"/>
        <v>0</v>
      </c>
      <c r="AY124">
        <f t="shared" si="13"/>
        <v>0</v>
      </c>
      <c r="AZ124" s="32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-0.3</v>
      </c>
      <c r="BA124" s="32" cm="1">
        <f t="array" ref="BA124">$G$11+VLOOKUP($Q124,武学奇术!$A:$ZZ,10,FALSE)+SUM(_xlfn.XLOOKUP($R124:$AK124,增益!$A:$A,增益!$J:$J,0))</f>
        <v>0</v>
      </c>
      <c r="BB124">
        <f t="shared" si="14"/>
        <v>0</v>
      </c>
      <c r="BC124">
        <f t="shared" si="15"/>
        <v>0</v>
      </c>
      <c r="BD124" s="32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-0.3</v>
      </c>
      <c r="BE124" s="32" cm="1">
        <f t="array" ref="BE124">$G$12+VLOOKUP($Q124,武学奇术!$A:$ZZ,12,FALSE)+SUM(_xlfn.XLOOKUP($R124:$AK124,增益!$A:$A,增益!$L:$L,0))</f>
        <v>0</v>
      </c>
      <c r="BF124">
        <f t="shared" si="16"/>
        <v>605.472</v>
      </c>
      <c r="BG124">
        <f t="shared" si="17"/>
        <v>1579.612</v>
      </c>
      <c r="BH124" s="32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0</v>
      </c>
      <c r="BI124" s="32" cm="1">
        <f t="array" ref="BI124">$G$13+VLOOKUP($Q124,武学奇术!$A:$ZZ,14,FALSE)+SUM(_xlfn.XLOOKUP($R124:$AK124,增益!$A:$A,增益!$N:$N,0))</f>
        <v>0.15</v>
      </c>
      <c r="BJ124">
        <f t="shared" si="18"/>
        <v>0</v>
      </c>
      <c r="BK124">
        <f t="shared" si="19"/>
        <v>0</v>
      </c>
      <c r="BL124" s="32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-0.3</v>
      </c>
      <c r="BM124" s="32" cm="1">
        <f t="array" ref="BM124">$G$14+VLOOKUP($Q124,武学奇术!$A:$ZZ,16,FALSE)+SUM(_xlfn.XLOOKUP($R124:$AK124,增益!$A:$A,增益!$P:$P,0))</f>
        <v>0</v>
      </c>
      <c r="BN124" s="24">
        <f>MIN(IF(VLOOKUP($Q124,武学奇术!$A:$ZZ,23,FALSE)=1,100%,$B$8),100%)</f>
        <v>1</v>
      </c>
      <c r="BO124" s="24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0.9093</v>
      </c>
      <c r="BP124" s="24" cm="1">
        <f t="array" ref="BP124">1+$B$13+VLOOKUP($Q124,武学奇术!$A:$ZZ,18,FALSE)+SUM(_xlfn.XLOOKUP($R124:$AK124,增益!$A:$A,增益!$R:$R,0))</f>
        <v>1.85</v>
      </c>
      <c r="BQ124" s="24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4" cm="1">
        <f t="array" ref="BR124">1+$B$14+VLOOKUP($Q124,武学奇术!$A:$ZZ,20,FALSE)+SUM(_xlfn.XLOOKUP($R124:$AK124,增益!$A:$A,增益!$T:$T,0))</f>
        <v>1.35</v>
      </c>
      <c r="BS124" s="24">
        <f t="shared" si="20"/>
        <v>0.9071</v>
      </c>
      <c r="BT124" s="24">
        <f t="shared" si="21"/>
        <v>0</v>
      </c>
      <c r="BU124" s="24">
        <f>IF(VLOOKUP($Q124,武学奇术!$A:$ZZ,22,FALSE)=1,0,(1-$BN124))*(1-$BQ124)</f>
        <v>0</v>
      </c>
      <c r="BV124" s="24" cm="1">
        <f t="array" ref="BV124">SUM(_xlfn.XLOOKUP($R124:$AK124,增益!$A:$A,增益!$W:$W,0))+$I$5</f>
        <v>0.26</v>
      </c>
    </row>
    <row r="125" spans="1:74">
      <c r="K125" s="38">
        <f t="shared" si="11"/>
        <v>0</v>
      </c>
      <c r="L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弹道",$B$21,0))*(1+$BV125)</f>
        <v>0</v>
      </c>
      <c r="M125" s="38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弹道",$B$21,0))*(1+$BV125)</f>
        <v>0</v>
      </c>
      <c r="N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弹道",$B$21,0))*(1+$BV125)</f>
        <v>0</v>
      </c>
      <c r="O125" s="38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弹道",$B$21,0))*(1+$BV125)</f>
        <v>0</v>
      </c>
      <c r="P125" s="39">
        <v>1</v>
      </c>
      <c r="Q125" s="40" t="s">
        <v>78</v>
      </c>
      <c r="R125" s="40" t="s">
        <v>78</v>
      </c>
      <c r="S125" s="40" t="s">
        <v>78</v>
      </c>
      <c r="T125" s="40" t="s">
        <v>78</v>
      </c>
      <c r="U125" s="40" t="s">
        <v>78</v>
      </c>
      <c r="V125" s="40" t="s">
        <v>78</v>
      </c>
      <c r="W125" s="40" t="s">
        <v>78</v>
      </c>
      <c r="X125" s="40" t="s">
        <v>78</v>
      </c>
      <c r="Y125" s="40" t="s">
        <v>78</v>
      </c>
      <c r="Z125" s="40" t="s">
        <v>78</v>
      </c>
      <c r="AA125" s="40" t="s">
        <v>78</v>
      </c>
      <c r="AB125" s="40" t="s">
        <v>78</v>
      </c>
      <c r="AC125" s="40" t="s">
        <v>78</v>
      </c>
      <c r="AD125" s="40" t="s">
        <v>78</v>
      </c>
      <c r="AE125" s="40" t="s">
        <v>78</v>
      </c>
      <c r="AF125" s="40" t="s">
        <v>78</v>
      </c>
      <c r="AG125" s="40" t="s">
        <v>78</v>
      </c>
      <c r="AH125" s="40" t="s">
        <v>78</v>
      </c>
      <c r="AI125" s="40" t="s">
        <v>78</v>
      </c>
      <c r="AJ125" s="40" t="s">
        <v>78</v>
      </c>
      <c r="AK125" s="40" t="s">
        <v>78</v>
      </c>
      <c r="AL125" t="str">
        <f>VLOOKUP($Q125,武学奇术!$A:$ZZ,25,FALSE)</f>
        <v>心法</v>
      </c>
      <c r="AM125" s="24">
        <f>VLOOKUP($Q125,武学奇术!$A:$ZZ,26,FALSE)</f>
        <v>0</v>
      </c>
      <c r="AN125" s="25">
        <f>VLOOKUP($Q125,武学奇术!$A:$ZZ,27,FALSE)*(1+IF(OR($AL125=$F$4,$AL125=$F$5),$B$22,0))</f>
        <v>0</v>
      </c>
      <c r="AO125" s="24">
        <f>VLOOKUP($Q125,武学奇术!$A:$ZZ,28,FALSE)</f>
        <v>0</v>
      </c>
      <c r="AP125" s="25">
        <f>VLOOKUP($Q125,武学奇术!$A:$ZZ,29,FALSE)*(1+IF(OR($AL125=$F$4,$AL125=$F$5),$B$22,0))</f>
        <v>0</v>
      </c>
      <c r="AQ125" s="24" cm="1">
        <f t="array" ref="AQ125">$G$3+IFERROR(VLOOKUP($AL125,$F$4:$G$7,2,FALSE),0)+VLOOKUP($Q125,武学奇术!$A:$ZZ,2,FALSE)+SUM(_xlfn.XLOOKUP($R125:$AK125,增益!$A:$A,增益!$B:$B,0))</f>
        <v>0.1037</v>
      </c>
      <c r="AR125" s="24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3736.388</v>
      </c>
      <c r="AT125" cm="1">
        <f t="array" ref="AT125">$E$10*(1+$AR125)+VLOOKUP($Q125,武学奇术!$A:$ZZ,4,FALSE)+SUM(_xlfn.XLOOKUP($R125:$AK125,增益!$A:$A,增益!$D:$D,0))-$I$2</f>
        <v>3736.388</v>
      </c>
      <c r="AU125" s="32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0.1925</v>
      </c>
      <c r="AV125" s="32" cm="1">
        <f t="array" ref="AV125">$G$10+VLOOKUP($Q125,武学奇术!$A:$ZZ,7,FALSE)+SUM(_xlfn.XLOOKUP($R125:$AK125,增益!$A:$A,增益!$G:$G,0))</f>
        <v>0</v>
      </c>
      <c r="AW125" s="24" cm="1">
        <f t="array" ref="AW125">VLOOKUP($Q125,武学奇术!$A:$ZZ,8,FALSE)+SUM(_xlfn.XLOOKUP($R125:$AK125,增益!$A:$A,增益!$H:$H,0))</f>
        <v>0</v>
      </c>
      <c r="AX125">
        <f t="shared" si="12"/>
        <v>0</v>
      </c>
      <c r="AY125">
        <f t="shared" si="13"/>
        <v>0</v>
      </c>
      <c r="AZ125" s="32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-0.3</v>
      </c>
      <c r="BA125" s="32" cm="1">
        <f t="array" ref="BA125">$G$11+VLOOKUP($Q125,武学奇术!$A:$ZZ,10,FALSE)+SUM(_xlfn.XLOOKUP($R125:$AK125,增益!$A:$A,增益!$J:$J,0))</f>
        <v>0</v>
      </c>
      <c r="BB125">
        <f t="shared" si="14"/>
        <v>0</v>
      </c>
      <c r="BC125">
        <f t="shared" si="15"/>
        <v>0</v>
      </c>
      <c r="BD125" s="32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-0.3</v>
      </c>
      <c r="BE125" s="32" cm="1">
        <f t="array" ref="BE125">$G$12+VLOOKUP($Q125,武学奇术!$A:$ZZ,12,FALSE)+SUM(_xlfn.XLOOKUP($R125:$AK125,增益!$A:$A,增益!$L:$L,0))</f>
        <v>0</v>
      </c>
      <c r="BF125">
        <f t="shared" si="16"/>
        <v>605.472</v>
      </c>
      <c r="BG125">
        <f t="shared" si="17"/>
        <v>1579.612</v>
      </c>
      <c r="BH125" s="32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0</v>
      </c>
      <c r="BI125" s="32" cm="1">
        <f t="array" ref="BI125">$G$13+VLOOKUP($Q125,武学奇术!$A:$ZZ,14,FALSE)+SUM(_xlfn.XLOOKUP($R125:$AK125,增益!$A:$A,增益!$N:$N,0))</f>
        <v>0.15</v>
      </c>
      <c r="BJ125">
        <f t="shared" si="18"/>
        <v>0</v>
      </c>
      <c r="BK125">
        <f t="shared" si="19"/>
        <v>0</v>
      </c>
      <c r="BL125" s="32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-0.3</v>
      </c>
      <c r="BM125" s="32" cm="1">
        <f t="array" ref="BM125">$G$14+VLOOKUP($Q125,武学奇术!$A:$ZZ,16,FALSE)+SUM(_xlfn.XLOOKUP($R125:$AK125,增益!$A:$A,增益!$P:$P,0))</f>
        <v>0</v>
      </c>
      <c r="BN125" s="24">
        <f>MIN(IF(VLOOKUP($Q125,武学奇术!$A:$ZZ,23,FALSE)=1,100%,$B$8),100%)</f>
        <v>1</v>
      </c>
      <c r="BO125" s="24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0.9093</v>
      </c>
      <c r="BP125" s="24" cm="1">
        <f t="array" ref="BP125">1+$B$13+VLOOKUP($Q125,武学奇术!$A:$ZZ,18,FALSE)+SUM(_xlfn.XLOOKUP($R125:$AK125,增益!$A:$A,增益!$R:$R,0))</f>
        <v>1.5</v>
      </c>
      <c r="BQ125" s="24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4" cm="1">
        <f t="array" ref="BR125">1+$B$14+VLOOKUP($Q125,武学奇术!$A:$ZZ,20,FALSE)+SUM(_xlfn.XLOOKUP($R125:$AK125,增益!$A:$A,增益!$T:$T,0))</f>
        <v>1.35</v>
      </c>
      <c r="BS125" s="24">
        <f t="shared" si="20"/>
        <v>0.9071</v>
      </c>
      <c r="BT125" s="24">
        <f t="shared" si="21"/>
        <v>0</v>
      </c>
      <c r="BU125" s="24">
        <f>IF(VLOOKUP($Q125,武学奇术!$A:$ZZ,22,FALSE)=1,0,(1-$BN125))*(1-$BQ125)</f>
        <v>0</v>
      </c>
      <c r="BV125" s="24" cm="1">
        <f t="array" ref="BV125">SUM(_xlfn.XLOOKUP($R125:$AK125,增益!$A:$A,增益!$W:$W,0))+$I$5</f>
        <v>0.06</v>
      </c>
    </row>
    <row r="126" spans="1:74">
      <c r="K126" s="38">
        <f t="shared" si="11"/>
        <v>14835.8691588525</v>
      </c>
      <c r="L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弹道",$B$21,0))*(1+$BV126)</f>
        <v>15087.0568876639</v>
      </c>
      <c r="M126" s="38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弹道",$B$21,0))*(1+$BV126)</f>
        <v>12383.2062007812</v>
      </c>
      <c r="N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弹道",$B$21,0))*(1+$BV126)</f>
        <v>8475.87465599098</v>
      </c>
      <c r="O126" s="38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弹道",$B$21,0))*(1+$BV126)</f>
        <v>7779.00397806998</v>
      </c>
      <c r="P126" s="39">
        <f t="shared" ref="P126:P134" si="22">IF($E$22="易水歌",1,0)</f>
        <v>1</v>
      </c>
      <c r="Q126" s="40" t="s">
        <v>197</v>
      </c>
      <c r="R126" s="40" t="s">
        <v>97</v>
      </c>
      <c r="S126" s="40" t="s">
        <v>89</v>
      </c>
      <c r="T126" s="40" t="s">
        <v>78</v>
      </c>
      <c r="U126" s="40" t="s">
        <v>90</v>
      </c>
      <c r="V126" s="40" t="s">
        <v>79</v>
      </c>
      <c r="W126" s="40" t="s">
        <v>78</v>
      </c>
      <c r="X126" s="40" t="s">
        <v>78</v>
      </c>
      <c r="Y126" s="40" t="s">
        <v>151</v>
      </c>
      <c r="Z126" s="40" t="s">
        <v>78</v>
      </c>
      <c r="AA126" s="40" t="s">
        <v>78</v>
      </c>
      <c r="AB126" s="40" t="s">
        <v>78</v>
      </c>
      <c r="AC126" s="40" t="s">
        <v>78</v>
      </c>
      <c r="AD126" s="40" t="s">
        <v>78</v>
      </c>
      <c r="AE126" s="40" t="s">
        <v>78</v>
      </c>
      <c r="AF126" s="40" t="s">
        <v>78</v>
      </c>
      <c r="AG126" s="40" t="s">
        <v>78</v>
      </c>
      <c r="AH126" s="40" t="s">
        <v>78</v>
      </c>
      <c r="AI126" s="40" t="s">
        <v>78</v>
      </c>
      <c r="AJ126" s="40" t="s">
        <v>78</v>
      </c>
      <c r="AK126" s="40" t="s">
        <v>78</v>
      </c>
      <c r="AL126" t="str">
        <f>VLOOKUP($Q126,武学奇术!$A:$ZZ,25,FALSE)</f>
        <v>心法</v>
      </c>
      <c r="AM126" s="24">
        <f>VLOOKUP($Q126,武学奇术!$A:$ZZ,26,FALSE)</f>
        <v>1</v>
      </c>
      <c r="AN126" s="25">
        <f>VLOOKUP($Q126,武学奇术!$A:$ZZ,27,FALSE)*(1+IF(OR($AL126=$F$4,$AL126=$F$5),$B$22,0))</f>
        <v>0</v>
      </c>
      <c r="AO126" s="24">
        <f>VLOOKUP($Q126,武学奇术!$A:$ZZ,28,FALSE)</f>
        <v>1</v>
      </c>
      <c r="AP126" s="25">
        <f>VLOOKUP($Q126,武学奇术!$A:$ZZ,29,FALSE)*(1+IF(OR($AL126=$F$4,$AL126=$F$5),$B$22,0))</f>
        <v>0</v>
      </c>
      <c r="AQ126" s="24" cm="1">
        <f t="array" ref="AQ126">$G$3+IFERROR(VLOOKUP($AL126,$F$4:$G$7,2,FALSE),0)+VLOOKUP($Q126,武学奇术!$A:$ZZ,2,FALSE)+SUM(_xlfn.XLOOKUP($R126:$AK126,增益!$A:$A,增益!$B:$B,0))</f>
        <v>0.1737</v>
      </c>
      <c r="AR126" s="24" cm="1">
        <f t="array" ref="AR126">VLOOKUP($Q126,武学奇术!$A:$ZZ,5,FALSE)+SUM(_xlfn.XLOOKUP($R126:$AK126,增益!$A:$A,增益!$E:$E,0))</f>
        <v>0.075</v>
      </c>
      <c r="AS126" cm="1">
        <f t="array" ref="AS126">$D$10*(1+$AR126)+VLOOKUP($Q126,武学奇术!$A:$ZZ,3,FALSE)+SUM(_xlfn.XLOOKUP($R126:$AK126,增益!$A:$A,增益!$C:$C,0))-$I$2</f>
        <v>4063.1171</v>
      </c>
      <c r="AT126" cm="1">
        <f t="array" ref="AT126">$E$10*(1+$AR126)+VLOOKUP($Q126,武学奇术!$A:$ZZ,4,FALSE)+SUM(_xlfn.XLOOKUP($R126:$AK126,增益!$A:$A,增益!$D:$D,0))-$I$2</f>
        <v>4063.1171</v>
      </c>
      <c r="AU126" s="32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0.3675</v>
      </c>
      <c r="AV126" s="32" cm="1">
        <f t="array" ref="AV126">$G$10+VLOOKUP($Q126,武学奇术!$A:$ZZ,7,FALSE)+SUM(_xlfn.XLOOKUP($R126:$AK126,增益!$A:$A,增益!$G:$G,0))</f>
        <v>0</v>
      </c>
      <c r="AW126" s="24" cm="1">
        <f t="array" ref="AW126">VLOOKUP($Q126,武学奇术!$A:$ZZ,8,FALSE)+SUM(_xlfn.XLOOKUP($R126:$AK126,增益!$A:$A,增益!$H:$H,0))</f>
        <v>0</v>
      </c>
      <c r="AX126">
        <f t="shared" si="12"/>
        <v>0</v>
      </c>
      <c r="AY126">
        <f t="shared" si="13"/>
        <v>0</v>
      </c>
      <c r="AZ126" s="32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2" cm="1">
        <f t="array" ref="BA126">$G$11+VLOOKUP($Q126,武学奇术!$A:$ZZ,10,FALSE)+SUM(_xlfn.XLOOKUP($R126:$AK126,增益!$A:$A,增益!$J:$J,0))</f>
        <v>0</v>
      </c>
      <c r="BB126">
        <f t="shared" si="14"/>
        <v>0</v>
      </c>
      <c r="BC126">
        <f t="shared" si="15"/>
        <v>0</v>
      </c>
      <c r="BD126" s="32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-0.3</v>
      </c>
      <c r="BE126" s="32" cm="1">
        <f t="array" ref="BE126">$G$12+VLOOKUP($Q126,武学奇术!$A:$ZZ,12,FALSE)+SUM(_xlfn.XLOOKUP($R126:$AK126,增益!$A:$A,增益!$L:$L,0))</f>
        <v>0</v>
      </c>
      <c r="BF126">
        <f t="shared" si="16"/>
        <v>605.472</v>
      </c>
      <c r="BG126">
        <f t="shared" si="17"/>
        <v>1579.612</v>
      </c>
      <c r="BH126" s="32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0</v>
      </c>
      <c r="BI126" s="32" cm="1">
        <f t="array" ref="BI126">$G$13+VLOOKUP($Q126,武学奇术!$A:$ZZ,14,FALSE)+SUM(_xlfn.XLOOKUP($R126:$AK126,增益!$A:$A,增益!$N:$N,0))</f>
        <v>0.15</v>
      </c>
      <c r="BJ126">
        <f t="shared" si="18"/>
        <v>0</v>
      </c>
      <c r="BK126">
        <f t="shared" si="19"/>
        <v>0</v>
      </c>
      <c r="BL126" s="32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2" cm="1">
        <f t="array" ref="BM126">$G$14+VLOOKUP($Q126,武学奇术!$A:$ZZ,16,FALSE)+SUM(_xlfn.XLOOKUP($R126:$AK126,增益!$A:$A,增益!$P:$P,0))</f>
        <v>0</v>
      </c>
      <c r="BN126" s="24">
        <f>MIN(IF(VLOOKUP($Q126,武学奇术!$A:$ZZ,23,FALSE)=1,100%,$B$8),100%)</f>
        <v>1</v>
      </c>
      <c r="BO126" s="24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0.9093</v>
      </c>
      <c r="BP126" s="24" cm="1">
        <f t="array" ref="BP126">1+$B$13+VLOOKUP($Q126,武学奇术!$A:$ZZ,18,FALSE)+SUM(_xlfn.XLOOKUP($R126:$AK126,增益!$A:$A,增益!$R:$R,0))</f>
        <v>1.78</v>
      </c>
      <c r="BQ126" s="24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4" cm="1">
        <f t="array" ref="BR126">1+$B$14+VLOOKUP($Q126,武学奇术!$A:$ZZ,20,FALSE)+SUM(_xlfn.XLOOKUP($R126:$AK126,增益!$A:$A,增益!$T:$T,0))</f>
        <v>1.35</v>
      </c>
      <c r="BS126" s="24">
        <f t="shared" si="20"/>
        <v>0.9071</v>
      </c>
      <c r="BT126" s="24">
        <f t="shared" si="21"/>
        <v>0</v>
      </c>
      <c r="BU126" s="24">
        <f>IF(VLOOKUP($Q126,武学奇术!$A:$ZZ,22,FALSE)=1,0,(1-$BN126))*(1-$BQ126)</f>
        <v>0</v>
      </c>
      <c r="BV126" s="24" cm="1">
        <f t="array" ref="BV126">SUM(_xlfn.XLOOKUP($R126:$AK126,增益!$A:$A,增益!$W:$W,0))+$I$5</f>
        <v>0.06</v>
      </c>
    </row>
    <row r="127" spans="1:74">
      <c r="K127" s="38">
        <f t="shared" si="11"/>
        <v>12033.5512618988</v>
      </c>
      <c r="L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弹道",$B$21,0))*(1+$BV127)</f>
        <v>12105.2263313751</v>
      </c>
      <c r="M127" s="38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弹道",$B$21,0))*(1+$BV127)</f>
        <v>11333.6970582174</v>
      </c>
      <c r="N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弹道",$B$21,0))*(1+$BV127)</f>
        <v>7710.3352429141</v>
      </c>
      <c r="O127" s="38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弹道",$B$21,0))*(1+$BV127)</f>
        <v>7025.3393315931</v>
      </c>
      <c r="P127" s="39">
        <f t="shared" si="22"/>
        <v>1</v>
      </c>
      <c r="Q127" s="40" t="s">
        <v>197</v>
      </c>
      <c r="R127" s="40" t="s">
        <v>97</v>
      </c>
      <c r="S127" s="40" t="s">
        <v>167</v>
      </c>
      <c r="T127" s="40" t="s">
        <v>78</v>
      </c>
      <c r="U127" s="40" t="s">
        <v>90</v>
      </c>
      <c r="V127" s="40" t="s">
        <v>78</v>
      </c>
      <c r="W127" s="40" t="s">
        <v>78</v>
      </c>
      <c r="X127" s="40" t="s">
        <v>78</v>
      </c>
      <c r="Y127" s="40" t="s">
        <v>78</v>
      </c>
      <c r="Z127" s="40" t="s">
        <v>78</v>
      </c>
      <c r="AA127" s="40" t="s">
        <v>78</v>
      </c>
      <c r="AB127" s="40" t="s">
        <v>78</v>
      </c>
      <c r="AC127" s="40" t="s">
        <v>78</v>
      </c>
      <c r="AD127" s="40" t="s">
        <v>78</v>
      </c>
      <c r="AE127" s="40" t="s">
        <v>78</v>
      </c>
      <c r="AF127" s="40" t="s">
        <v>78</v>
      </c>
      <c r="AG127" s="40" t="s">
        <v>78</v>
      </c>
      <c r="AH127" s="40" t="s">
        <v>78</v>
      </c>
      <c r="AI127" s="40" t="s">
        <v>78</v>
      </c>
      <c r="AJ127" s="40" t="s">
        <v>78</v>
      </c>
      <c r="AK127" s="40" t="s">
        <v>78</v>
      </c>
      <c r="AL127" t="str">
        <f>VLOOKUP($Q127,武学奇术!$A:$ZZ,25,FALSE)</f>
        <v>心法</v>
      </c>
      <c r="AM127" s="24">
        <f>VLOOKUP($Q127,武学奇术!$A:$ZZ,26,FALSE)</f>
        <v>1</v>
      </c>
      <c r="AN127" s="25">
        <f>VLOOKUP($Q127,武学奇术!$A:$ZZ,27,FALSE)*(1+IF(OR($AL127=$F$4,$AL127=$F$5),$B$22,0))</f>
        <v>0</v>
      </c>
      <c r="AO127" s="24">
        <f>VLOOKUP($Q127,武学奇术!$A:$ZZ,28,FALSE)</f>
        <v>1</v>
      </c>
      <c r="AP127" s="25">
        <f>VLOOKUP($Q127,武学奇术!$A:$ZZ,29,FALSE)*(1+IF(OR($AL127=$F$4,$AL127=$F$5),$B$22,0))</f>
        <v>0</v>
      </c>
      <c r="AQ127" s="24" cm="1">
        <f t="array" ref="AQ127">$G$3+IFERROR(VLOOKUP($AL127,$F$4:$G$7,2,FALSE),0)+VLOOKUP($Q127,武学奇术!$A:$ZZ,2,FALSE)+SUM(_xlfn.XLOOKUP($R127:$AK127,增益!$A:$A,增益!$B:$B,0))</f>
        <v>0.1537</v>
      </c>
      <c r="AR127" s="24" cm="1">
        <f t="array" ref="AR127">VLOOKUP($Q127,武学奇术!$A:$ZZ,5,FALSE)+SUM(_xlfn.XLOOKUP($R127:$AK127,增益!$A:$A,增益!$E:$E,0))</f>
        <v>0.075</v>
      </c>
      <c r="AS127" cm="1">
        <f t="array" ref="AS127">$D$10*(1+$AR127)+VLOOKUP($Q127,武学奇术!$A:$ZZ,3,FALSE)+SUM(_xlfn.XLOOKUP($R127:$AK127,增益!$A:$A,增益!$C:$C,0))-$I$2</f>
        <v>4063.1171</v>
      </c>
      <c r="AT127" cm="1">
        <f t="array" ref="AT127">$E$10*(1+$AR127)+VLOOKUP($Q127,武学奇术!$A:$ZZ,4,FALSE)+SUM(_xlfn.XLOOKUP($R127:$AK127,增益!$A:$A,增益!$D:$D,0))-$I$2</f>
        <v>4063.1171</v>
      </c>
      <c r="AU127" s="32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0.2425</v>
      </c>
      <c r="AV127" s="32" cm="1">
        <f t="array" ref="AV127">$G$10+VLOOKUP($Q127,武学奇术!$A:$ZZ,7,FALSE)+SUM(_xlfn.XLOOKUP($R127:$AK127,增益!$A:$A,增益!$G:$G,0))</f>
        <v>0</v>
      </c>
      <c r="AW127" s="24" cm="1">
        <f t="array" ref="AW127">VLOOKUP($Q127,武学奇术!$A:$ZZ,8,FALSE)+SUM(_xlfn.XLOOKUP($R127:$AK127,增益!$A:$A,增益!$H:$H,0))</f>
        <v>0</v>
      </c>
      <c r="AX127">
        <f t="shared" si="12"/>
        <v>0</v>
      </c>
      <c r="AY127">
        <f t="shared" si="13"/>
        <v>0</v>
      </c>
      <c r="AZ127" s="32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-0.3</v>
      </c>
      <c r="BA127" s="32" cm="1">
        <f t="array" ref="BA127">$G$11+VLOOKUP($Q127,武学奇术!$A:$ZZ,10,FALSE)+SUM(_xlfn.XLOOKUP($R127:$AK127,增益!$A:$A,增益!$J:$J,0))</f>
        <v>0</v>
      </c>
      <c r="BB127">
        <f t="shared" si="14"/>
        <v>0</v>
      </c>
      <c r="BC127">
        <f t="shared" si="15"/>
        <v>0</v>
      </c>
      <c r="BD127" s="32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-0.3</v>
      </c>
      <c r="BE127" s="32" cm="1">
        <f t="array" ref="BE127">$G$12+VLOOKUP($Q127,武学奇术!$A:$ZZ,12,FALSE)+SUM(_xlfn.XLOOKUP($R127:$AK127,增益!$A:$A,增益!$L:$L,0))</f>
        <v>0</v>
      </c>
      <c r="BF127">
        <f t="shared" si="16"/>
        <v>605.472</v>
      </c>
      <c r="BG127">
        <f t="shared" si="17"/>
        <v>1579.612</v>
      </c>
      <c r="BH127" s="32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0</v>
      </c>
      <c r="BI127" s="32" cm="1">
        <f t="array" ref="BI127">$G$13+VLOOKUP($Q127,武学奇术!$A:$ZZ,14,FALSE)+SUM(_xlfn.XLOOKUP($R127:$AK127,增益!$A:$A,增益!$N:$N,0))</f>
        <v>0.15</v>
      </c>
      <c r="BJ127">
        <f t="shared" si="18"/>
        <v>0</v>
      </c>
      <c r="BK127">
        <f t="shared" si="19"/>
        <v>0</v>
      </c>
      <c r="BL127" s="32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-0.3</v>
      </c>
      <c r="BM127" s="32" cm="1">
        <f t="array" ref="BM127">$G$14+VLOOKUP($Q127,武学奇术!$A:$ZZ,16,FALSE)+SUM(_xlfn.XLOOKUP($R127:$AK127,增益!$A:$A,增益!$P:$P,0))</f>
        <v>0</v>
      </c>
      <c r="BN127" s="24">
        <f>MIN(IF(VLOOKUP($Q127,武学奇术!$A:$ZZ,23,FALSE)=1,100%,$B$8),100%)</f>
        <v>1</v>
      </c>
      <c r="BO127" s="24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0.9093</v>
      </c>
      <c r="BP127" s="24" cm="1">
        <f t="array" ref="BP127">1+$B$13+VLOOKUP($Q127,武学奇术!$A:$ZZ,18,FALSE)+SUM(_xlfn.XLOOKUP($R127:$AK127,增益!$A:$A,增益!$R:$R,0))</f>
        <v>1.57</v>
      </c>
      <c r="BQ127" s="24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4" cm="1">
        <f t="array" ref="BR127">1+$B$14+VLOOKUP($Q127,武学奇术!$A:$ZZ,20,FALSE)+SUM(_xlfn.XLOOKUP($R127:$AK127,增益!$A:$A,增益!$T:$T,0))</f>
        <v>1.35</v>
      </c>
      <c r="BS127" s="24">
        <f t="shared" si="20"/>
        <v>0.9071</v>
      </c>
      <c r="BT127" s="24">
        <f t="shared" si="21"/>
        <v>0</v>
      </c>
      <c r="BU127" s="24">
        <f>IF(VLOOKUP($Q127,武学奇术!$A:$ZZ,22,FALSE)=1,0,(1-$BN127))*(1-$BQ127)</f>
        <v>0</v>
      </c>
      <c r="BV127" s="24" cm="1">
        <f t="array" ref="BV127">SUM(_xlfn.XLOOKUP($R127:$AK127,增益!$A:$A,增益!$W:$W,0))+$I$5</f>
        <v>0.06</v>
      </c>
    </row>
    <row r="128" spans="1:74">
      <c r="K128" s="38">
        <f t="shared" si="11"/>
        <v>13026.1760040514</v>
      </c>
      <c r="L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BP128*$P128*(1+IF(VLOOKUP($Q128,武学奇术!$A:$ZZ,30,FALSE)="弹道",$B$21,0))*(1+$BV128)</f>
        <v>13130.8700270698</v>
      </c>
      <c r="M128" s="38">
        <f>(($AT128*$AM128+$AN128)*(1+$AU128)*(1+$AV128)+($AY128*IF($G$1="鸣金",$AO128,$AM128)+IF($G$1="鸣金",$AP128*1.5,0))*(1+$AZ128)*(1+$BA128)+($BC128*IF($G$1="裂石",$AO128,$AM128)+IF($G$1="裂石",$AP128*1.5,0))*(1+$BD128)*(1+$BE128)+($BG128*IF($G$1="牵丝",$AO128,$AM128)+IF($G$1="牵丝",$AP128*1.5,0))*(1+$BH128)*(1+$BI128)+($BK128*IF($G$1="破竹",$AO128,$AM128)+IF($G$1="破竹",$AP128*1.5,0))*(1+$BL128)*(1+$BM128))*(1+$AQ128)*$BR128*$P128*(1+IF(VLOOKUP($Q128,武学奇术!$A:$ZZ,30,FALSE)="弹道",$B$21,0))*(1+$BV128)</f>
        <v>12003.9160656235</v>
      </c>
      <c r="N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P128*(1+IF(VLOOKUP($Q128,武学奇术!$A:$ZZ,30,FALSE)="弹道",$B$21,0))*(1+$BV128)</f>
        <v>8206.79376691863</v>
      </c>
      <c r="O128" s="38">
        <f>((($AS128*$AM128+$AN128)*(1+$AU128)*(1+$AV128)+($AX128*IF($G$1="鸣金",$AO128,$AM128)+IF($G$1="鸣金",$AP128*1.5,0))*(1+$AZ128)*(1+$BA128)+($BB128*IF($G$1="裂石",$AO128,$AM128)+IF($G$1="裂石",$AP128*1.5,0))*(1+$BD128)*(1+$BE128)+($BF128*IF($G$1="牵丝",$AO128,$AM128)+IF($G$1="牵丝",$AP128*1.5,0))*(1+$BH128)*(1+$BI128)+($BJ128*IF($G$1="破竹",$AO128,$AM128)+IF($G$1="破竹",$AP128*1.5,0))*(1+$BL128)*(1+$BM128))*(1+$AQ128))*$P128*(1+IF(VLOOKUP($Q128,武学奇术!$A:$ZZ,30,FALSE)="弹道",$B$21,0))*(1+$BV128)</f>
        <v>7521.79785559763</v>
      </c>
      <c r="P128" s="39">
        <f t="shared" si="22"/>
        <v>1</v>
      </c>
      <c r="Q128" s="40" t="s">
        <v>197</v>
      </c>
      <c r="R128" s="40" t="s">
        <v>97</v>
      </c>
      <c r="S128" s="40" t="s">
        <v>176</v>
      </c>
      <c r="T128" s="40" t="s">
        <v>78</v>
      </c>
      <c r="U128" s="40" t="s">
        <v>171</v>
      </c>
      <c r="V128" s="40" t="s">
        <v>78</v>
      </c>
      <c r="W128" s="40" t="s">
        <v>78</v>
      </c>
      <c r="X128" s="40" t="s">
        <v>78</v>
      </c>
      <c r="Y128" s="40" t="s">
        <v>78</v>
      </c>
      <c r="Z128" s="40" t="s">
        <v>78</v>
      </c>
      <c r="AA128" s="40" t="s">
        <v>78</v>
      </c>
      <c r="AB128" s="40" t="s">
        <v>78</v>
      </c>
      <c r="AC128" s="40" t="s">
        <v>78</v>
      </c>
      <c r="AD128" s="40" t="s">
        <v>78</v>
      </c>
      <c r="AE128" s="40" t="s">
        <v>78</v>
      </c>
      <c r="AF128" s="40" t="s">
        <v>78</v>
      </c>
      <c r="AG128" s="40" t="s">
        <v>78</v>
      </c>
      <c r="AH128" s="40" t="s">
        <v>78</v>
      </c>
      <c r="AI128" s="40" t="s">
        <v>78</v>
      </c>
      <c r="AJ128" s="40" t="s">
        <v>78</v>
      </c>
      <c r="AK128" s="40" t="s">
        <v>78</v>
      </c>
      <c r="AL128" t="str">
        <f>VLOOKUP($Q128,武学奇术!$A:$ZZ,25,FALSE)</f>
        <v>心法</v>
      </c>
      <c r="AM128" s="24">
        <f>VLOOKUP($Q128,武学奇术!$A:$ZZ,26,FALSE)</f>
        <v>1</v>
      </c>
      <c r="AN128" s="25">
        <f>VLOOKUP($Q128,武学奇术!$A:$ZZ,27,FALSE)*(1+IF(OR($AL128=$F$4,$AL128=$F$5),$B$22,0))</f>
        <v>0</v>
      </c>
      <c r="AO128" s="24">
        <f>VLOOKUP($Q128,武学奇术!$A:$ZZ,28,FALSE)</f>
        <v>1</v>
      </c>
      <c r="AP128" s="25">
        <f>VLOOKUP($Q128,武学奇术!$A:$ZZ,29,FALSE)*(1+IF(OR($AL128=$F$4,$AL128=$F$5),$B$22,0))</f>
        <v>0</v>
      </c>
      <c r="AQ128" s="24" cm="1">
        <f t="array" ref="AQ128">$G$3+IFERROR(VLOOKUP($AL128,$F$4:$G$7,2,FALSE),0)+VLOOKUP($Q128,武学奇术!$A:$ZZ,2,FALSE)+SUM(_xlfn.XLOOKUP($R128:$AK128,增益!$A:$A,增益!$B:$B,0))</f>
        <v>0.1537</v>
      </c>
      <c r="AR128" s="24" cm="1">
        <f t="array" ref="AR128">VLOOKUP($Q128,武学奇术!$A:$ZZ,5,FALSE)+SUM(_xlfn.XLOOKUP($R128:$AK128,增益!$A:$A,增益!$E:$E,0))</f>
        <v>0.15</v>
      </c>
      <c r="AS128" cm="1">
        <f t="array" ref="AS128">$D$10*(1+$AR128)+VLOOKUP($Q128,武学奇术!$A:$ZZ,3,FALSE)+SUM(_xlfn.XLOOKUP($R128:$AK128,增益!$A:$A,增益!$C:$C,0))-$I$2</f>
        <v>4389.8462</v>
      </c>
      <c r="AT128" cm="1">
        <f t="array" ref="AT128">$E$10*(1+$AR128)+VLOOKUP($Q128,武学奇术!$A:$ZZ,4,FALSE)+SUM(_xlfn.XLOOKUP($R128:$AK128,增益!$A:$A,增益!$D:$D,0))-$I$2</f>
        <v>4389.8462</v>
      </c>
      <c r="AU128" s="32" cm="1">
        <f t="array" ref="AU128">IF($F$10-$I$3+VLOOKUP($Q128,武学奇术!$A:$ZZ,6,FALSE)+SUM(_xlfn.XLOOKUP($R128:$AK128,增益!$A:$A,增益!$F:$F,0))&gt;0,($F$10-$I$3+VLOOKUP($Q128,武学奇术!$A:$ZZ,6,FALSE)+SUM(_xlfn.XLOOKUP($R128:$AK128,增益!$A:$A,增益!$F:$F,0)))/200,($F$10-$I$3+VLOOKUP($Q128,武学奇术!$A:$ZZ,6,FALSE)+SUM(_xlfn.XLOOKUP($R128:$AK128,增益!$A:$A,增益!$F:$F,0)))/100)</f>
        <v>0.2425</v>
      </c>
      <c r="AV128" s="32" cm="1">
        <f t="array" ref="AV128">$G$10+VLOOKUP($Q128,武学奇术!$A:$ZZ,7,FALSE)+SUM(_xlfn.XLOOKUP($R128:$AK128,增益!$A:$A,增益!$G:$G,0))</f>
        <v>0</v>
      </c>
      <c r="AW128" s="24" cm="1">
        <f t="array" ref="AW128">VLOOKUP($Q128,武学奇术!$A:$ZZ,8,FALSE)+SUM(_xlfn.XLOOKUP($R128:$AK128,增益!$A:$A,增益!$H:$H,0))</f>
        <v>0</v>
      </c>
      <c r="AX128">
        <f t="shared" si="12"/>
        <v>0</v>
      </c>
      <c r="AY128">
        <f t="shared" si="13"/>
        <v>0</v>
      </c>
      <c r="AZ128" s="32" cm="1">
        <f t="array" ref="AZ128">IF($F$11-$I$4+VLOOKUP($Q128,武学奇术!$A:$ZZ,9,FALSE)+SUM(_xlfn.XLOOKUP($R128:$AK128,增益!$A:$A,增益!$I:$I,0))&gt;0,($F$11-$I$4+VLOOKUP($Q128,武学奇术!$A:$ZZ,9,FALSE)+SUM(_xlfn.XLOOKUP($R128:$AK128,增益!$A:$A,增益!$I:$I,0)))/200,($F$11-$I$4+VLOOKUP($Q128,武学奇术!$A:$ZZ,9,FALSE)+SUM(_xlfn.XLOOKUP($R128:$AK128,增益!$A:$A,增益!$I:$I,0)))/100)</f>
        <v>-0.3</v>
      </c>
      <c r="BA128" s="32" cm="1">
        <f t="array" ref="BA128">$G$11+VLOOKUP($Q128,武学奇术!$A:$ZZ,10,FALSE)+SUM(_xlfn.XLOOKUP($R128:$AK128,增益!$A:$A,增益!$J:$J,0))</f>
        <v>0</v>
      </c>
      <c r="BB128">
        <f t="shared" si="14"/>
        <v>0</v>
      </c>
      <c r="BC128">
        <f t="shared" si="15"/>
        <v>0</v>
      </c>
      <c r="BD128" s="32" cm="1">
        <f t="array" ref="BD128">IF($F$12-$I$4+VLOOKUP($Q128,武学奇术!$A:$ZZ,11,FALSE)+SUM(_xlfn.XLOOKUP($R128:$AK128,增益!$A:$A,增益!$K:$K,0))&gt;0,($F$12-$I$4+VLOOKUP($Q128,武学奇术!$A:$ZZ,11,FALSE)+SUM(_xlfn.XLOOKUP($R128:$AK128,增益!$A:$A,增益!$K:$K,0)))/200,($F$12-$I$4+VLOOKUP($Q128,武学奇术!$A:$ZZ,11,FALSE)+SUM(_xlfn.XLOOKUP($R128:$AK128,增益!$A:$A,增益!$K:$K,0)))/100)</f>
        <v>-0.3</v>
      </c>
      <c r="BE128" s="32" cm="1">
        <f t="array" ref="BE128">$G$12+VLOOKUP($Q128,武学奇术!$A:$ZZ,12,FALSE)+SUM(_xlfn.XLOOKUP($R128:$AK128,增益!$A:$A,增益!$L:$L,0))</f>
        <v>0</v>
      </c>
      <c r="BF128">
        <f t="shared" si="16"/>
        <v>605.472</v>
      </c>
      <c r="BG128">
        <f t="shared" si="17"/>
        <v>1579.612</v>
      </c>
      <c r="BH128" s="32" cm="1">
        <f t="array" ref="BH128">IF($F$13-$I$4+VLOOKUP($Q128,武学奇术!$A:$ZZ,13,FALSE)+SUM(_xlfn.XLOOKUP($R128:$AK128,增益!$A:$A,增益!$M:$M,0))&gt;0,($F$13-$I$4+VLOOKUP($Q128,武学奇术!$A:$ZZ,13,FALSE)+SUM(_xlfn.XLOOKUP($R128:$AK128,增益!$A:$A,增益!$K:$K,0)))/200,($F$13-$I$4+VLOOKUP($Q128,武学奇术!$A:$ZZ,13,FALSE)+SUM(_xlfn.XLOOKUP($R128:$AK128,增益!$A:$A,增益!$M:$M,0)))/100)</f>
        <v>0</v>
      </c>
      <c r="BI128" s="32" cm="1">
        <f t="array" ref="BI128">$G$13+VLOOKUP($Q128,武学奇术!$A:$ZZ,14,FALSE)+SUM(_xlfn.XLOOKUP($R128:$AK128,增益!$A:$A,增益!$N:$N,0))</f>
        <v>0.15</v>
      </c>
      <c r="BJ128">
        <f t="shared" si="18"/>
        <v>0</v>
      </c>
      <c r="BK128">
        <f t="shared" si="19"/>
        <v>0</v>
      </c>
      <c r="BL128" s="32" cm="1">
        <f t="array" ref="BL128">IF($F$14-$I$4+VLOOKUP($Q128,武学奇术!$A:$ZZ,15,FALSE)+SUM(_xlfn.XLOOKUP($R128:$AK128,增益!$A:$A,增益!$O:$O,0))&gt;0,($F$14-$I$4+VLOOKUP($Q128,武学奇术!$A:$ZZ,15,FALSE)+SUM(_xlfn.XLOOKUP($R128:$AK128,增益!$A:$A,增益!$O:$O,0)))/200,($F$14-$I$4+VLOOKUP($Q128,武学奇术!$A:$ZZ,15,FALSE)+SUM(_xlfn.XLOOKUP($R128:$AK128,增益!$A:$A,增益!$O:$O,0)))/100)</f>
        <v>-0.3</v>
      </c>
      <c r="BM128" s="32" cm="1">
        <f t="array" ref="BM128">$G$14+VLOOKUP($Q128,武学奇术!$A:$ZZ,16,FALSE)+SUM(_xlfn.XLOOKUP($R128:$AK128,增益!$A:$A,增益!$P:$P,0))</f>
        <v>0</v>
      </c>
      <c r="BN128" s="24">
        <f>MIN(IF(VLOOKUP($Q128,武学奇术!$A:$ZZ,23,FALSE)=1,100%,$B$8),100%)</f>
        <v>1</v>
      </c>
      <c r="BO128" s="24" cm="1">
        <f t="array" ref="BO128">IF(VLOOKUP($Q128,武学奇术!$A:$ZZ,23,FALSE)=1,100%,MIN(80%,$B$9+VLOOKUP($Q128,武学奇术!$A:$ZZ,17,FALSE)+SUM(_xlfn.XLOOKUP($R128:$AK128,增益!$A:$A,增益!$Q:$Q,0)))+$B$11+SUM(_xlfn.XLOOKUP($R128:$AK128,增益!$A:$A,增益!$U:$U,0)))*IF(VLOOKUP($Q128,武学奇术!$A:$ZZ,24,FALSE)=1,0,1)</f>
        <v>0.9093</v>
      </c>
      <c r="BP128" s="24" cm="1">
        <f t="array" ref="BP128">1+$B$13+VLOOKUP($Q128,武学奇术!$A:$ZZ,18,FALSE)+SUM(_xlfn.XLOOKUP($R128:$AK128,增益!$A:$A,增益!$R:$R,0))</f>
        <v>1.6</v>
      </c>
      <c r="BQ128" s="24" cm="1">
        <f t="array" ref="BQ128">IF(VLOOKUP($Q128,武学奇术!$A:$ZZ,24,FALSE)=1,100%,MIN(40%,$B$10+VLOOKUP($Q128,武学奇术!$A:$ZZ,19,FALSE)+SUM(_xlfn.XLOOKUP($R128:$AK128,增益!$A:$A,增益!$S:$S,0)))+$B$12+SUM(_xlfn.XLOOKUP($R128:$AK128,增益!$A:$A,增益!$V:$V,0)))*IF(VLOOKUP($Q128,武学奇术!$A:$ZZ,23,FALSE)=1,0,1)</f>
        <v>0.0929</v>
      </c>
      <c r="BR128" s="24" cm="1">
        <f t="array" ref="BR128">1+$B$14+VLOOKUP($Q128,武学奇术!$A:$ZZ,20,FALSE)+SUM(_xlfn.XLOOKUP($R128:$AK128,增益!$A:$A,增益!$T:$T,0))</f>
        <v>1.35</v>
      </c>
      <c r="BS128" s="24">
        <f t="shared" si="20"/>
        <v>0.9071</v>
      </c>
      <c r="BT128" s="24">
        <f t="shared" si="21"/>
        <v>0</v>
      </c>
      <c r="BU128" s="24">
        <f>IF(VLOOKUP($Q128,武学奇术!$A:$ZZ,22,FALSE)=1,0,(1-$BN128))*(1-$BQ128)</f>
        <v>0</v>
      </c>
      <c r="BV128" s="24" cm="1">
        <f t="array" ref="BV128">SUM(_xlfn.XLOOKUP($R128:$AK128,增益!$A:$A,增益!$W:$W,0))+$I$5</f>
        <v>0.06</v>
      </c>
    </row>
    <row r="129" spans="11:74">
      <c r="K129" s="38">
        <f t="shared" si="11"/>
        <v>19134.826903525</v>
      </c>
      <c r="L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BP129*$P129*(1+IF(VLOOKUP($Q129,武学奇术!$A:$ZZ,30,FALSE)="弹道",$B$21,0))*(1+$BV129)</f>
        <v>19522.8918192692</v>
      </c>
      <c r="M129" s="38">
        <f>(($AT129*$AM129+$AN129)*(1+$AU129)*(1+$AV129)+($AY129*IF($G$1="鸣金",$AO129,$AM129)+IF($G$1="鸣金",$AP129*1.5,0))*(1+$AZ129)*(1+$BA129)+($BC129*IF($G$1="裂石",$AO129,$AM129)+IF($G$1="裂石",$AP129*1.5,0))*(1+$BD129)*(1+$BE129)+($BG129*IF($G$1="牵丝",$AO129,$AM129)+IF($G$1="牵丝",$AP129*1.5,0))*(1+$BH129)*(1+$BI129)+($BK129*IF($G$1="破竹",$AO129,$AM129)+IF($G$1="破竹",$AP129*1.5,0))*(1+$BL129)*(1+$BM129))*(1+$AQ129)*$BR129*$P129*(1+IF(VLOOKUP($Q129,武学奇术!$A:$ZZ,30,FALSE)="弹道",$B$21,0))*(1+$BV129)</f>
        <v>15345.6591417209</v>
      </c>
      <c r="N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P129*(1+IF(VLOOKUP($Q129,武学奇术!$A:$ZZ,30,FALSE)="弹道",$B$21,0))*(1+$BV129)</f>
        <v>10552.9144969023</v>
      </c>
      <c r="O129" s="38">
        <f>((($AS129*$AM129+$AN129)*(1+$AU129)*(1+$AV129)+($AX129*IF($G$1="鸣金",$AO129,$AM129)+IF($G$1="鸣金",$AP129*1.5,0))*(1+$AZ129)*(1+$BA129)+($BB129*IF($G$1="裂石",$AO129,$AM129)+IF($G$1="裂石",$AP129*1.5,0))*(1+$BD129)*(1+$BE129)+($BF129*IF($G$1="牵丝",$AO129,$AM129)+IF($G$1="牵丝",$AP129*1.5,0))*(1+$BH129)*(1+$BI129)+($BJ129*IF($G$1="破竹",$AO129,$AM129)+IF($G$1="破竹",$AP129*1.5,0))*(1+$BL129)*(1+$BM129))*(1+$AQ129))*$P129*(1+IF(VLOOKUP($Q129,武学奇术!$A:$ZZ,30,FALSE)="弹道",$B$21,0))*(1+$BV129)</f>
        <v>9738.67407401127</v>
      </c>
      <c r="P129" s="39">
        <f t="shared" si="22"/>
        <v>1</v>
      </c>
      <c r="Q129" s="40" t="s">
        <v>197</v>
      </c>
      <c r="R129" s="40" t="s">
        <v>97</v>
      </c>
      <c r="S129" s="40" t="s">
        <v>176</v>
      </c>
      <c r="T129" s="40" t="s">
        <v>78</v>
      </c>
      <c r="U129" s="40" t="s">
        <v>171</v>
      </c>
      <c r="V129" s="40" t="s">
        <v>78</v>
      </c>
      <c r="W129" s="40" t="s">
        <v>78</v>
      </c>
      <c r="X129" s="40" t="s">
        <v>78</v>
      </c>
      <c r="Y129" s="40" t="s">
        <v>184</v>
      </c>
      <c r="Z129" s="40" t="s">
        <v>78</v>
      </c>
      <c r="AA129" s="40" t="s">
        <v>78</v>
      </c>
      <c r="AB129" s="40" t="s">
        <v>78</v>
      </c>
      <c r="AC129" s="40" t="s">
        <v>185</v>
      </c>
      <c r="AD129" s="40" t="s">
        <v>78</v>
      </c>
      <c r="AE129" s="40" t="s">
        <v>78</v>
      </c>
      <c r="AF129" s="40" t="s">
        <v>78</v>
      </c>
      <c r="AG129" s="40" t="s">
        <v>78</v>
      </c>
      <c r="AH129" s="40" t="s">
        <v>78</v>
      </c>
      <c r="AI129" s="40" t="s">
        <v>78</v>
      </c>
      <c r="AJ129" s="40" t="s">
        <v>78</v>
      </c>
      <c r="AK129" s="40" t="s">
        <v>188</v>
      </c>
      <c r="AL129" t="str">
        <f>VLOOKUP($Q129,武学奇术!$A:$ZZ,25,FALSE)</f>
        <v>心法</v>
      </c>
      <c r="AM129" s="24">
        <f>VLOOKUP($Q129,武学奇术!$A:$ZZ,26,FALSE)</f>
        <v>1</v>
      </c>
      <c r="AN129" s="25">
        <f>VLOOKUP($Q129,武学奇术!$A:$ZZ,27,FALSE)*(1+IF(OR($AL129=$F$4,$AL129=$F$5),$B$22,0))</f>
        <v>0</v>
      </c>
      <c r="AO129" s="24">
        <f>VLOOKUP($Q129,武学奇术!$A:$ZZ,28,FALSE)</f>
        <v>1</v>
      </c>
      <c r="AP129" s="25">
        <f>VLOOKUP($Q129,武学奇术!$A:$ZZ,29,FALSE)*(1+IF(OR($AL129=$F$4,$AL129=$F$5),$B$22,0))</f>
        <v>0</v>
      </c>
      <c r="AQ129" s="24" cm="1">
        <f t="array" ref="AQ129">$G$3+IFERROR(VLOOKUP($AL129,$F$4:$G$7,2,FALSE),0)+VLOOKUP($Q129,武学奇术!$A:$ZZ,2,FALSE)+SUM(_xlfn.XLOOKUP($R129:$AK129,增益!$A:$A,增益!$B:$B,0))</f>
        <v>0.1537</v>
      </c>
      <c r="AR129" s="24" cm="1">
        <f t="array" ref="AR129">VLOOKUP($Q129,武学奇术!$A:$ZZ,5,FALSE)+SUM(_xlfn.XLOOKUP($R129:$AK129,增益!$A:$A,增益!$E:$E,0))</f>
        <v>0.15</v>
      </c>
      <c r="AS129" cm="1">
        <f t="array" ref="AS129">$D$10*(1+$AR129)+VLOOKUP($Q129,武学奇术!$A:$ZZ,3,FALSE)+SUM(_xlfn.XLOOKUP($R129:$AK129,增益!$A:$A,增益!$C:$C,0))-$I$2</f>
        <v>4389.8462</v>
      </c>
      <c r="AT129" cm="1">
        <f t="array" ref="AT129">$E$10*(1+$AR129)+VLOOKUP($Q129,武学奇术!$A:$ZZ,4,FALSE)+SUM(_xlfn.XLOOKUP($R129:$AK129,增益!$A:$A,增益!$D:$D,0))-$I$2</f>
        <v>4389.8462</v>
      </c>
      <c r="AU129" s="32" cm="1">
        <f t="array" ref="AU129">IF($F$10-$I$3+VLOOKUP($Q129,武学奇术!$A:$ZZ,6,FALSE)+SUM(_xlfn.XLOOKUP($R129:$AK129,增益!$A:$A,增益!$F:$F,0))&gt;0,($F$10-$I$3+VLOOKUP($Q129,武学奇术!$A:$ZZ,6,FALSE)+SUM(_xlfn.XLOOKUP($R129:$AK129,增益!$A:$A,增益!$F:$F,0)))/200,($F$10-$I$3+VLOOKUP($Q129,武学奇术!$A:$ZZ,6,FALSE)+SUM(_xlfn.XLOOKUP($R129:$AK129,增益!$A:$A,增益!$F:$F,0)))/100)</f>
        <v>0.3675</v>
      </c>
      <c r="AV129" s="32" cm="1">
        <f t="array" ref="AV129">$G$10+VLOOKUP($Q129,武学奇术!$A:$ZZ,7,FALSE)+SUM(_xlfn.XLOOKUP($R129:$AK129,增益!$A:$A,增益!$G:$G,0))</f>
        <v>0</v>
      </c>
      <c r="AW129" s="24" cm="1">
        <f t="array" ref="AW129">VLOOKUP($Q129,武学奇术!$A:$ZZ,8,FALSE)+SUM(_xlfn.XLOOKUP($R129:$AK129,增益!$A:$A,增益!$H:$H,0))</f>
        <v>0</v>
      </c>
      <c r="AX129">
        <f t="shared" si="12"/>
        <v>0</v>
      </c>
      <c r="AY129">
        <f t="shared" si="13"/>
        <v>0</v>
      </c>
      <c r="AZ129" s="32" cm="1">
        <f t="array" ref="AZ129">IF($F$11-$I$4+VLOOKUP($Q129,武学奇术!$A:$ZZ,9,FALSE)+SUM(_xlfn.XLOOKUP($R129:$AK129,增益!$A:$A,增益!$I:$I,0))&gt;0,($F$11-$I$4+VLOOKUP($Q129,武学奇术!$A:$ZZ,9,FALSE)+SUM(_xlfn.XLOOKUP($R129:$AK129,增益!$A:$A,增益!$I:$I,0)))/200,($F$11-$I$4+VLOOKUP($Q129,武学奇术!$A:$ZZ,9,FALSE)+SUM(_xlfn.XLOOKUP($R129:$AK129,增益!$A:$A,增益!$I:$I,0)))/100)</f>
        <v>-0.3</v>
      </c>
      <c r="BA129" s="32" cm="1">
        <f t="array" ref="BA129">$G$11+VLOOKUP($Q129,武学奇术!$A:$ZZ,10,FALSE)+SUM(_xlfn.XLOOKUP($R129:$AK129,增益!$A:$A,增益!$J:$J,0))</f>
        <v>0</v>
      </c>
      <c r="BB129">
        <f t="shared" si="14"/>
        <v>0</v>
      </c>
      <c r="BC129">
        <f t="shared" si="15"/>
        <v>0</v>
      </c>
      <c r="BD129" s="32" cm="1">
        <f t="array" ref="BD129">IF($F$12-$I$4+VLOOKUP($Q129,武学奇术!$A:$ZZ,11,FALSE)+SUM(_xlfn.XLOOKUP($R129:$AK129,增益!$A:$A,增益!$K:$K,0))&gt;0,($F$12-$I$4+VLOOKUP($Q129,武学奇术!$A:$ZZ,11,FALSE)+SUM(_xlfn.XLOOKUP($R129:$AK129,增益!$A:$A,增益!$K:$K,0)))/200,($F$12-$I$4+VLOOKUP($Q129,武学奇术!$A:$ZZ,11,FALSE)+SUM(_xlfn.XLOOKUP($R129:$AK129,增益!$A:$A,增益!$K:$K,0)))/100)</f>
        <v>-0.3</v>
      </c>
      <c r="BE129" s="32" cm="1">
        <f t="array" ref="BE129">$G$12+VLOOKUP($Q129,武学奇术!$A:$ZZ,12,FALSE)+SUM(_xlfn.XLOOKUP($R129:$AK129,增益!$A:$A,增益!$L:$L,0))</f>
        <v>0</v>
      </c>
      <c r="BF129">
        <f t="shared" si="16"/>
        <v>605.472</v>
      </c>
      <c r="BG129">
        <f t="shared" si="17"/>
        <v>1579.612</v>
      </c>
      <c r="BH129" s="32" cm="1">
        <f t="array" ref="BH129">IF($F$13-$I$4+VLOOKUP($Q129,武学奇术!$A:$ZZ,13,FALSE)+SUM(_xlfn.XLOOKUP($R129:$AK129,增益!$A:$A,增益!$M:$M,0))&gt;0,($F$13-$I$4+VLOOKUP($Q129,武学奇术!$A:$ZZ,13,FALSE)+SUM(_xlfn.XLOOKUP($R129:$AK129,增益!$A:$A,增益!$K:$K,0)))/200,($F$13-$I$4+VLOOKUP($Q129,武学奇术!$A:$ZZ,13,FALSE)+SUM(_xlfn.XLOOKUP($R129:$AK129,增益!$A:$A,增益!$M:$M,0)))/100)</f>
        <v>0</v>
      </c>
      <c r="BI129" s="32" cm="1">
        <f t="array" ref="BI129">$G$13+VLOOKUP($Q129,武学奇术!$A:$ZZ,14,FALSE)+SUM(_xlfn.XLOOKUP($R129:$AK129,增益!$A:$A,增益!$N:$N,0))</f>
        <v>0.15</v>
      </c>
      <c r="BJ129">
        <f t="shared" si="18"/>
        <v>0</v>
      </c>
      <c r="BK129">
        <f t="shared" si="19"/>
        <v>0</v>
      </c>
      <c r="BL129" s="32" cm="1">
        <f t="array" ref="BL129">IF($F$14-$I$4+VLOOKUP($Q129,武学奇术!$A:$ZZ,15,FALSE)+SUM(_xlfn.XLOOKUP($R129:$AK129,增益!$A:$A,增益!$O:$O,0))&gt;0,($F$14-$I$4+VLOOKUP($Q129,武学奇术!$A:$ZZ,15,FALSE)+SUM(_xlfn.XLOOKUP($R129:$AK129,增益!$A:$A,增益!$O:$O,0)))/200,($F$14-$I$4+VLOOKUP($Q129,武学奇术!$A:$ZZ,15,FALSE)+SUM(_xlfn.XLOOKUP($R129:$AK129,增益!$A:$A,增益!$O:$O,0)))/100)</f>
        <v>-0.3</v>
      </c>
      <c r="BM129" s="32" cm="1">
        <f t="array" ref="BM129">$G$14+VLOOKUP($Q129,武学奇术!$A:$ZZ,16,FALSE)+SUM(_xlfn.XLOOKUP($R129:$AK129,增益!$A:$A,增益!$P:$P,0))</f>
        <v>0</v>
      </c>
      <c r="BN129" s="24">
        <f>MIN(IF(VLOOKUP($Q129,武学奇术!$A:$ZZ,23,FALSE)=1,100%,$B$8),100%)</f>
        <v>1</v>
      </c>
      <c r="BO129" s="24" cm="1">
        <f t="array" ref="BO129">IF(VLOOKUP($Q129,武学奇术!$A:$ZZ,23,FALSE)=1,100%,MIN(80%,$B$9+VLOOKUP($Q129,武学奇术!$A:$ZZ,17,FALSE)+SUM(_xlfn.XLOOKUP($R129:$AK129,增益!$A:$A,增益!$Q:$Q,0)))+$B$11+SUM(_xlfn.XLOOKUP($R129:$AK129,增益!$A:$A,增益!$U:$U,0)))*IF(VLOOKUP($Q129,武学奇术!$A:$ZZ,24,FALSE)=1,0,1)</f>
        <v>0.9093</v>
      </c>
      <c r="BP129" s="24" cm="1">
        <f t="array" ref="BP129">1+$B$13+VLOOKUP($Q129,武学奇术!$A:$ZZ,18,FALSE)+SUM(_xlfn.XLOOKUP($R129:$AK129,增益!$A:$A,增益!$R:$R,0))</f>
        <v>1.85</v>
      </c>
      <c r="BQ129" s="24" cm="1">
        <f t="array" ref="BQ129">IF(VLOOKUP($Q129,武学奇术!$A:$ZZ,24,FALSE)=1,100%,MIN(40%,$B$10+VLOOKUP($Q129,武学奇术!$A:$ZZ,19,FALSE)+SUM(_xlfn.XLOOKUP($R129:$AK129,增益!$A:$A,增益!$S:$S,0)))+$B$12+SUM(_xlfn.XLOOKUP($R129:$AK129,增益!$A:$A,增益!$V:$V,0)))*IF(VLOOKUP($Q129,武学奇术!$A:$ZZ,23,FALSE)=1,0,1)</f>
        <v>0.0929</v>
      </c>
      <c r="BR129" s="24" cm="1">
        <f t="array" ref="BR129">1+$B$14+VLOOKUP($Q129,武学奇术!$A:$ZZ,20,FALSE)+SUM(_xlfn.XLOOKUP($R129:$AK129,增益!$A:$A,增益!$T:$T,0))</f>
        <v>1.35</v>
      </c>
      <c r="BS129" s="24">
        <f t="shared" si="20"/>
        <v>0.9071</v>
      </c>
      <c r="BT129" s="24">
        <f t="shared" si="21"/>
        <v>0</v>
      </c>
      <c r="BU129" s="24">
        <f>IF(VLOOKUP($Q129,武学奇术!$A:$ZZ,22,FALSE)=1,0,(1-$BN129))*(1-$BQ129)</f>
        <v>0</v>
      </c>
      <c r="BV129" s="24" cm="1">
        <f t="array" ref="BV129">SUM(_xlfn.XLOOKUP($R129:$AK129,增益!$A:$A,增益!$W:$W,0))+$I$5</f>
        <v>0.26</v>
      </c>
    </row>
    <row r="130" spans="11:74">
      <c r="K130" s="38">
        <f t="shared" ref="K130:K136" si="23">($L130*$BS130+$M130*$BQ130+$N130*$BT130+$O130*$BU130)</f>
        <v>12243.3726148642</v>
      </c>
      <c r="L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BP130*$P130*(1+IF(VLOOKUP($Q130,武学奇术!$A:$ZZ,30,FALSE)="弹道",$B$21,0))*(1+$BV130)</f>
        <v>12336.5363886626</v>
      </c>
      <c r="M130" s="38">
        <f>(($AT130*$AM130+$AN130)*(1+$AU130)*(1+$AV130)+($AY130*IF($G$1="鸣金",$AO130,$AM130)+IF($G$1="鸣金",$AP130*1.5,0))*(1+$AZ130)*(1+$BA130)+($BC130*IF($G$1="裂石",$AO130,$AM130)+IF($G$1="裂石",$AP130*1.5,0))*(1+$BD130)*(1+$BE130)+($BG130*IF($G$1="牵丝",$AO130,$AM130)+IF($G$1="牵丝",$AP130*1.5,0))*(1+$BH130)*(1+$BI130)+($BK130*IF($G$1="破竹",$AO130,$AM130)+IF($G$1="破竹",$AP130*1.5,0))*(1+$BL130)*(1+$BM130))*(1+$AQ130)*$BR130*$P130*(1+IF(VLOOKUP($Q130,武学奇术!$A:$ZZ,30,FALSE)="弹道",$B$21,0))*(1+$BV130)</f>
        <v>11333.6970582174</v>
      </c>
      <c r="N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P130*(1+IF(VLOOKUP($Q130,武学奇术!$A:$ZZ,30,FALSE)="弹道",$B$21,0))*(1+$BV130)</f>
        <v>7710.3352429141</v>
      </c>
      <c r="O130" s="38">
        <f>((($AS130*$AM130+$AN130)*(1+$AU130)*(1+$AV130)+($AX130*IF($G$1="鸣金",$AO130,$AM130)+IF($G$1="鸣金",$AP130*1.5,0))*(1+$AZ130)*(1+$BA130)+($BB130*IF($G$1="裂石",$AO130,$AM130)+IF($G$1="裂石",$AP130*1.5,0))*(1+$BD130)*(1+$BE130)+($BF130*IF($G$1="牵丝",$AO130,$AM130)+IF($G$1="牵丝",$AP130*1.5,0))*(1+$BH130)*(1+$BI130)+($BJ130*IF($G$1="破竹",$AO130,$AM130)+IF($G$1="破竹",$AP130*1.5,0))*(1+$BL130)*(1+$BM130))*(1+$AQ130))*$P130*(1+IF(VLOOKUP($Q130,武学奇术!$A:$ZZ,30,FALSE)="弹道",$B$21,0))*(1+$BV130)</f>
        <v>7025.3393315931</v>
      </c>
      <c r="P130" s="39">
        <f t="shared" si="22"/>
        <v>1</v>
      </c>
      <c r="Q130" s="40" t="s">
        <v>197</v>
      </c>
      <c r="R130" s="40" t="s">
        <v>97</v>
      </c>
      <c r="S130" s="40" t="s">
        <v>176</v>
      </c>
      <c r="T130" s="40" t="s">
        <v>78</v>
      </c>
      <c r="U130" s="40" t="s">
        <v>90</v>
      </c>
      <c r="V130" s="40" t="s">
        <v>78</v>
      </c>
      <c r="W130" s="40" t="s">
        <v>78</v>
      </c>
      <c r="X130" s="40" t="s">
        <v>78</v>
      </c>
      <c r="Y130" s="40" t="s">
        <v>78</v>
      </c>
      <c r="Z130" s="40" t="s">
        <v>78</v>
      </c>
      <c r="AA130" s="40" t="s">
        <v>78</v>
      </c>
      <c r="AB130" s="40" t="s">
        <v>78</v>
      </c>
      <c r="AC130" s="40" t="s">
        <v>78</v>
      </c>
      <c r="AD130" s="40" t="s">
        <v>78</v>
      </c>
      <c r="AE130" s="40" t="s">
        <v>78</v>
      </c>
      <c r="AF130" s="40" t="s">
        <v>78</v>
      </c>
      <c r="AG130" s="40" t="s">
        <v>78</v>
      </c>
      <c r="AH130" s="40" t="s">
        <v>78</v>
      </c>
      <c r="AI130" s="40" t="s">
        <v>78</v>
      </c>
      <c r="AJ130" s="40" t="s">
        <v>78</v>
      </c>
      <c r="AK130" s="40" t="s">
        <v>78</v>
      </c>
      <c r="AL130" t="str">
        <f>VLOOKUP($Q130,武学奇术!$A:$ZZ,25,FALSE)</f>
        <v>心法</v>
      </c>
      <c r="AM130" s="24">
        <f>VLOOKUP($Q130,武学奇术!$A:$ZZ,26,FALSE)</f>
        <v>1</v>
      </c>
      <c r="AN130" s="25">
        <f>VLOOKUP($Q130,武学奇术!$A:$ZZ,27,FALSE)*(1+IF(OR($AL130=$F$4,$AL130=$F$5),$B$22,0))</f>
        <v>0</v>
      </c>
      <c r="AO130" s="24">
        <f>VLOOKUP($Q130,武学奇术!$A:$ZZ,28,FALSE)</f>
        <v>1</v>
      </c>
      <c r="AP130" s="25">
        <f>VLOOKUP($Q130,武学奇术!$A:$ZZ,29,FALSE)*(1+IF(OR($AL130=$F$4,$AL130=$F$5),$B$22,0))</f>
        <v>0</v>
      </c>
      <c r="AQ130" s="24" cm="1">
        <f t="array" ref="AQ130">$G$3+IFERROR(VLOOKUP($AL130,$F$4:$G$7,2,FALSE),0)+VLOOKUP($Q130,武学奇术!$A:$ZZ,2,FALSE)+SUM(_xlfn.XLOOKUP($R130:$AK130,增益!$A:$A,增益!$B:$B,0))</f>
        <v>0.1537</v>
      </c>
      <c r="AR130" s="24" cm="1">
        <f t="array" ref="AR130">VLOOKUP($Q130,武学奇术!$A:$ZZ,5,FALSE)+SUM(_xlfn.XLOOKUP($R130:$AK130,增益!$A:$A,增益!$E:$E,0))</f>
        <v>0.075</v>
      </c>
      <c r="AS130" cm="1">
        <f t="array" ref="AS130">$D$10*(1+$AR130)+VLOOKUP($Q130,武学奇术!$A:$ZZ,3,FALSE)+SUM(_xlfn.XLOOKUP($R130:$AK130,增益!$A:$A,增益!$C:$C,0))-$I$2</f>
        <v>4063.1171</v>
      </c>
      <c r="AT130" cm="1">
        <f t="array" ref="AT130">$E$10*(1+$AR130)+VLOOKUP($Q130,武学奇术!$A:$ZZ,4,FALSE)+SUM(_xlfn.XLOOKUP($R130:$AK130,增益!$A:$A,增益!$D:$D,0))-$I$2</f>
        <v>4063.1171</v>
      </c>
      <c r="AU130" s="32" cm="1">
        <f t="array" ref="AU130">IF($F$10-$I$3+VLOOKUP($Q130,武学奇术!$A:$ZZ,6,FALSE)+SUM(_xlfn.XLOOKUP($R130:$AK130,增益!$A:$A,增益!$F:$F,0))&gt;0,($F$10-$I$3+VLOOKUP($Q130,武学奇术!$A:$ZZ,6,FALSE)+SUM(_xlfn.XLOOKUP($R130:$AK130,增益!$A:$A,增益!$F:$F,0)))/200,($F$10-$I$3+VLOOKUP($Q130,武学奇术!$A:$ZZ,6,FALSE)+SUM(_xlfn.XLOOKUP($R130:$AK130,增益!$A:$A,增益!$F:$F,0)))/100)</f>
        <v>0.2425</v>
      </c>
      <c r="AV130" s="32" cm="1">
        <f t="array" ref="AV130">$G$10+VLOOKUP($Q130,武学奇术!$A:$ZZ,7,FALSE)+SUM(_xlfn.XLOOKUP($R130:$AK130,增益!$A:$A,增益!$G:$G,0))</f>
        <v>0</v>
      </c>
      <c r="AW130" s="24" cm="1">
        <f t="array" ref="AW130">VLOOKUP($Q130,武学奇术!$A:$ZZ,8,FALSE)+SUM(_xlfn.XLOOKUP($R130:$AK130,增益!$A:$A,增益!$H:$H,0))</f>
        <v>0</v>
      </c>
      <c r="AX130">
        <f t="shared" ref="AX130:AX136" si="24">$D$11*(1+$AW130)</f>
        <v>0</v>
      </c>
      <c r="AY130">
        <f t="shared" ref="AY130:AY136" si="25">$E$11*(1+$AW130)</f>
        <v>0</v>
      </c>
      <c r="AZ130" s="32" cm="1">
        <f t="array" ref="AZ130">IF($F$11-$I$4+VLOOKUP($Q130,武学奇术!$A:$ZZ,9,FALSE)+SUM(_xlfn.XLOOKUP($R130:$AK130,增益!$A:$A,增益!$I:$I,0))&gt;0,($F$11-$I$4+VLOOKUP($Q130,武学奇术!$A:$ZZ,9,FALSE)+SUM(_xlfn.XLOOKUP($R130:$AK130,增益!$A:$A,增益!$I:$I,0)))/200,($F$11-$I$4+VLOOKUP($Q130,武学奇术!$A:$ZZ,9,FALSE)+SUM(_xlfn.XLOOKUP($R130:$AK130,增益!$A:$A,增益!$I:$I,0)))/100)</f>
        <v>-0.3</v>
      </c>
      <c r="BA130" s="32" cm="1">
        <f t="array" ref="BA130">$G$11+VLOOKUP($Q130,武学奇术!$A:$ZZ,10,FALSE)+SUM(_xlfn.XLOOKUP($R130:$AK130,增益!$A:$A,增益!$J:$J,0))</f>
        <v>0</v>
      </c>
      <c r="BB130">
        <f t="shared" ref="BB130:BB136" si="26">$D$12*(1+$AW130)</f>
        <v>0</v>
      </c>
      <c r="BC130">
        <f t="shared" ref="BC130:BC136" si="27">$E$12*(1+$AW130)</f>
        <v>0</v>
      </c>
      <c r="BD130" s="32" cm="1">
        <f t="array" ref="BD130">IF($F$12-$I$4+VLOOKUP($Q130,武学奇术!$A:$ZZ,11,FALSE)+SUM(_xlfn.XLOOKUP($R130:$AK130,增益!$A:$A,增益!$K:$K,0))&gt;0,($F$12-$I$4+VLOOKUP($Q130,武学奇术!$A:$ZZ,11,FALSE)+SUM(_xlfn.XLOOKUP($R130:$AK130,增益!$A:$A,增益!$K:$K,0)))/200,($F$12-$I$4+VLOOKUP($Q130,武学奇术!$A:$ZZ,11,FALSE)+SUM(_xlfn.XLOOKUP($R130:$AK130,增益!$A:$A,增益!$K:$K,0)))/100)</f>
        <v>-0.3</v>
      </c>
      <c r="BE130" s="32" cm="1">
        <f t="array" ref="BE130">$G$12+VLOOKUP($Q130,武学奇术!$A:$ZZ,12,FALSE)+SUM(_xlfn.XLOOKUP($R130:$AK130,增益!$A:$A,增益!$L:$L,0))</f>
        <v>0</v>
      </c>
      <c r="BF130">
        <f t="shared" ref="BF130:BF136" si="28">$D$13*(1+$AW130)</f>
        <v>605.472</v>
      </c>
      <c r="BG130">
        <f t="shared" ref="BG130:BG136" si="29">$E$13*(1+$AW130)</f>
        <v>1579.612</v>
      </c>
      <c r="BH130" s="32" cm="1">
        <f t="array" ref="BH130">IF($F$13-$I$4+VLOOKUP($Q130,武学奇术!$A:$ZZ,13,FALSE)+SUM(_xlfn.XLOOKUP($R130:$AK130,增益!$A:$A,增益!$M:$M,0))&gt;0,($F$13-$I$4+VLOOKUP($Q130,武学奇术!$A:$ZZ,13,FALSE)+SUM(_xlfn.XLOOKUP($R130:$AK130,增益!$A:$A,增益!$K:$K,0)))/200,($F$13-$I$4+VLOOKUP($Q130,武学奇术!$A:$ZZ,13,FALSE)+SUM(_xlfn.XLOOKUP($R130:$AK130,增益!$A:$A,增益!$M:$M,0)))/100)</f>
        <v>0</v>
      </c>
      <c r="BI130" s="32" cm="1">
        <f t="array" ref="BI130">$G$13+VLOOKUP($Q130,武学奇术!$A:$ZZ,14,FALSE)+SUM(_xlfn.XLOOKUP($R130:$AK130,增益!$A:$A,增益!$N:$N,0))</f>
        <v>0.15</v>
      </c>
      <c r="BJ130">
        <f t="shared" ref="BJ130:BJ136" si="30">$D$14*(1+$AW130)</f>
        <v>0</v>
      </c>
      <c r="BK130">
        <f t="shared" ref="BK130:BK136" si="31">$E$14*(1+$AW130)</f>
        <v>0</v>
      </c>
      <c r="BL130" s="32" cm="1">
        <f t="array" ref="BL130">IF($F$14-$I$4+VLOOKUP($Q130,武学奇术!$A:$ZZ,15,FALSE)+SUM(_xlfn.XLOOKUP($R130:$AK130,增益!$A:$A,增益!$O:$O,0))&gt;0,($F$14-$I$4+VLOOKUP($Q130,武学奇术!$A:$ZZ,15,FALSE)+SUM(_xlfn.XLOOKUP($R130:$AK130,增益!$A:$A,增益!$O:$O,0)))/200,($F$14-$I$4+VLOOKUP($Q130,武学奇术!$A:$ZZ,15,FALSE)+SUM(_xlfn.XLOOKUP($R130:$AK130,增益!$A:$A,增益!$O:$O,0)))/100)</f>
        <v>-0.3</v>
      </c>
      <c r="BM130" s="32" cm="1">
        <f t="array" ref="BM130">$G$14+VLOOKUP($Q130,武学奇术!$A:$ZZ,16,FALSE)+SUM(_xlfn.XLOOKUP($R130:$AK130,增益!$A:$A,增益!$P:$P,0))</f>
        <v>0</v>
      </c>
      <c r="BN130" s="24">
        <f>MIN(IF(VLOOKUP($Q130,武学奇术!$A:$ZZ,23,FALSE)=1,100%,$B$8),100%)</f>
        <v>1</v>
      </c>
      <c r="BO130" s="24" cm="1">
        <f t="array" ref="BO130">IF(VLOOKUP($Q130,武学奇术!$A:$ZZ,23,FALSE)=1,100%,MIN(80%,$B$9+VLOOKUP($Q130,武学奇术!$A:$ZZ,17,FALSE)+SUM(_xlfn.XLOOKUP($R130:$AK130,增益!$A:$A,增益!$Q:$Q,0)))+$B$11+SUM(_xlfn.XLOOKUP($R130:$AK130,增益!$A:$A,增益!$U:$U,0)))*IF(VLOOKUP($Q130,武学奇术!$A:$ZZ,24,FALSE)=1,0,1)</f>
        <v>0.9093</v>
      </c>
      <c r="BP130" s="24" cm="1">
        <f t="array" ref="BP130">1+$B$13+VLOOKUP($Q130,武学奇术!$A:$ZZ,18,FALSE)+SUM(_xlfn.XLOOKUP($R130:$AK130,增益!$A:$A,增益!$R:$R,0))</f>
        <v>1.6</v>
      </c>
      <c r="BQ130" s="24" cm="1">
        <f t="array" ref="BQ130">IF(VLOOKUP($Q130,武学奇术!$A:$ZZ,24,FALSE)=1,100%,MIN(40%,$B$10+VLOOKUP($Q130,武学奇术!$A:$ZZ,19,FALSE)+SUM(_xlfn.XLOOKUP($R130:$AK130,增益!$A:$A,增益!$S:$S,0)))+$B$12+SUM(_xlfn.XLOOKUP($R130:$AK130,增益!$A:$A,增益!$V:$V,0)))*IF(VLOOKUP($Q130,武学奇术!$A:$ZZ,23,FALSE)=1,0,1)</f>
        <v>0.0929</v>
      </c>
      <c r="BR130" s="24" cm="1">
        <f t="array" ref="BR130">1+$B$14+VLOOKUP($Q130,武学奇术!$A:$ZZ,20,FALSE)+SUM(_xlfn.XLOOKUP($R130:$AK130,增益!$A:$A,增益!$T:$T,0))</f>
        <v>1.35</v>
      </c>
      <c r="BS130" s="24">
        <f t="shared" ref="BS130:BS136" si="32">MIN((1-BQ130)*BN130,BN130*BO130)</f>
        <v>0.9071</v>
      </c>
      <c r="BT130" s="24">
        <f t="shared" ref="BT130:BT136" si="33">1-BQ130-BS130-BU130</f>
        <v>0</v>
      </c>
      <c r="BU130" s="24">
        <f>IF(VLOOKUP($Q130,武学奇术!$A:$ZZ,22,FALSE)=1,0,(1-$BN130))*(1-$BQ130)</f>
        <v>0</v>
      </c>
      <c r="BV130" s="24" cm="1">
        <f t="array" ref="BV130">SUM(_xlfn.XLOOKUP($R130:$AK130,增益!$A:$A,增益!$W:$W,0))+$I$5</f>
        <v>0.06</v>
      </c>
    </row>
    <row r="131" spans="11:74">
      <c r="K131" s="38">
        <f t="shared" si="23"/>
        <v>12243.3726148642</v>
      </c>
      <c r="L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BP131*$P131*(1+IF(VLOOKUP($Q131,武学奇术!$A:$ZZ,30,FALSE)="弹道",$B$21,0))*(1+$BV131)</f>
        <v>12336.5363886626</v>
      </c>
      <c r="M131" s="38">
        <f>(($AT131*$AM131+$AN131)*(1+$AU131)*(1+$AV131)+($AY131*IF($G$1="鸣金",$AO131,$AM131)+IF($G$1="鸣金",$AP131*1.5,0))*(1+$AZ131)*(1+$BA131)+($BC131*IF($G$1="裂石",$AO131,$AM131)+IF($G$1="裂石",$AP131*1.5,0))*(1+$BD131)*(1+$BE131)+($BG131*IF($G$1="牵丝",$AO131,$AM131)+IF($G$1="牵丝",$AP131*1.5,0))*(1+$BH131)*(1+$BI131)+($BK131*IF($G$1="破竹",$AO131,$AM131)+IF($G$1="破竹",$AP131*1.5,0))*(1+$BL131)*(1+$BM131))*(1+$AQ131)*$BR131*$P131*(1+IF(VLOOKUP($Q131,武学奇术!$A:$ZZ,30,FALSE)="弹道",$B$21,0))*(1+$BV131)</f>
        <v>11333.6970582174</v>
      </c>
      <c r="N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P131*(1+IF(VLOOKUP($Q131,武学奇术!$A:$ZZ,30,FALSE)="弹道",$B$21,0))*(1+$BV131)</f>
        <v>7710.3352429141</v>
      </c>
      <c r="O131" s="38">
        <f>((($AS131*$AM131+$AN131)*(1+$AU131)*(1+$AV131)+($AX131*IF($G$1="鸣金",$AO131,$AM131)+IF($G$1="鸣金",$AP131*1.5,0))*(1+$AZ131)*(1+$BA131)+($BB131*IF($G$1="裂石",$AO131,$AM131)+IF($G$1="裂石",$AP131*1.5,0))*(1+$BD131)*(1+$BE131)+($BF131*IF($G$1="牵丝",$AO131,$AM131)+IF($G$1="牵丝",$AP131*1.5,0))*(1+$BH131)*(1+$BI131)+($BJ131*IF($G$1="破竹",$AO131,$AM131)+IF($G$1="破竹",$AP131*1.5,0))*(1+$BL131)*(1+$BM131))*(1+$AQ131))*$P131*(1+IF(VLOOKUP($Q131,武学奇术!$A:$ZZ,30,FALSE)="弹道",$B$21,0))*(1+$BV131)</f>
        <v>7025.3393315931</v>
      </c>
      <c r="P131" s="39">
        <f t="shared" si="22"/>
        <v>1</v>
      </c>
      <c r="Q131" s="40" t="s">
        <v>197</v>
      </c>
      <c r="R131" s="40" t="s">
        <v>97</v>
      </c>
      <c r="S131" s="40" t="s">
        <v>176</v>
      </c>
      <c r="T131" s="40" t="s">
        <v>78</v>
      </c>
      <c r="U131" s="40" t="s">
        <v>90</v>
      </c>
      <c r="V131" s="40" t="s">
        <v>78</v>
      </c>
      <c r="W131" s="40" t="s">
        <v>78</v>
      </c>
      <c r="X131" s="40" t="s">
        <v>78</v>
      </c>
      <c r="Y131" s="40" t="s">
        <v>78</v>
      </c>
      <c r="Z131" s="40" t="s">
        <v>78</v>
      </c>
      <c r="AA131" s="40" t="s">
        <v>78</v>
      </c>
      <c r="AB131" s="40" t="s">
        <v>78</v>
      </c>
      <c r="AC131" s="40" t="s">
        <v>78</v>
      </c>
      <c r="AD131" s="40" t="s">
        <v>78</v>
      </c>
      <c r="AE131" s="40" t="s">
        <v>78</v>
      </c>
      <c r="AF131" s="40" t="s">
        <v>78</v>
      </c>
      <c r="AG131" s="40" t="s">
        <v>78</v>
      </c>
      <c r="AH131" s="40" t="s">
        <v>78</v>
      </c>
      <c r="AI131" s="40" t="s">
        <v>78</v>
      </c>
      <c r="AJ131" s="40" t="s">
        <v>78</v>
      </c>
      <c r="AK131" s="40" t="s">
        <v>78</v>
      </c>
      <c r="AL131" t="str">
        <f>VLOOKUP($Q131,武学奇术!$A:$ZZ,25,FALSE)</f>
        <v>心法</v>
      </c>
      <c r="AM131" s="24">
        <f>VLOOKUP($Q131,武学奇术!$A:$ZZ,26,FALSE)</f>
        <v>1</v>
      </c>
      <c r="AN131" s="25">
        <f>VLOOKUP($Q131,武学奇术!$A:$ZZ,27,FALSE)*(1+IF(OR($AL131=$F$4,$AL131=$F$5),$B$22,0))</f>
        <v>0</v>
      </c>
      <c r="AO131" s="24">
        <f>VLOOKUP($Q131,武学奇术!$A:$ZZ,28,FALSE)</f>
        <v>1</v>
      </c>
      <c r="AP131" s="25">
        <f>VLOOKUP($Q131,武学奇术!$A:$ZZ,29,FALSE)*(1+IF(OR($AL131=$F$4,$AL131=$F$5),$B$22,0))</f>
        <v>0</v>
      </c>
      <c r="AQ131" s="24" cm="1">
        <f t="array" ref="AQ131">$G$3+IFERROR(VLOOKUP($AL131,$F$4:$G$7,2,FALSE),0)+VLOOKUP($Q131,武学奇术!$A:$ZZ,2,FALSE)+SUM(_xlfn.XLOOKUP($R131:$AK131,增益!$A:$A,增益!$B:$B,0))</f>
        <v>0.1537</v>
      </c>
      <c r="AR131" s="24" cm="1">
        <f t="array" ref="AR131">VLOOKUP($Q131,武学奇术!$A:$ZZ,5,FALSE)+SUM(_xlfn.XLOOKUP($R131:$AK131,增益!$A:$A,增益!$E:$E,0))</f>
        <v>0.075</v>
      </c>
      <c r="AS131" cm="1">
        <f t="array" ref="AS131">$D$10*(1+$AR131)+VLOOKUP($Q131,武学奇术!$A:$ZZ,3,FALSE)+SUM(_xlfn.XLOOKUP($R131:$AK131,增益!$A:$A,增益!$C:$C,0))-$I$2</f>
        <v>4063.1171</v>
      </c>
      <c r="AT131" cm="1">
        <f t="array" ref="AT131">$E$10*(1+$AR131)+VLOOKUP($Q131,武学奇术!$A:$ZZ,4,FALSE)+SUM(_xlfn.XLOOKUP($R131:$AK131,增益!$A:$A,增益!$D:$D,0))-$I$2</f>
        <v>4063.1171</v>
      </c>
      <c r="AU131" s="32" cm="1">
        <f t="array" ref="AU131">IF($F$10-$I$3+VLOOKUP($Q131,武学奇术!$A:$ZZ,6,FALSE)+SUM(_xlfn.XLOOKUP($R131:$AK131,增益!$A:$A,增益!$F:$F,0))&gt;0,($F$10-$I$3+VLOOKUP($Q131,武学奇术!$A:$ZZ,6,FALSE)+SUM(_xlfn.XLOOKUP($R131:$AK131,增益!$A:$A,增益!$F:$F,0)))/200,($F$10-$I$3+VLOOKUP($Q131,武学奇术!$A:$ZZ,6,FALSE)+SUM(_xlfn.XLOOKUP($R131:$AK131,增益!$A:$A,增益!$F:$F,0)))/100)</f>
        <v>0.2425</v>
      </c>
      <c r="AV131" s="32" cm="1">
        <f t="array" ref="AV131">$G$10+VLOOKUP($Q131,武学奇术!$A:$ZZ,7,FALSE)+SUM(_xlfn.XLOOKUP($R131:$AK131,增益!$A:$A,增益!$G:$G,0))</f>
        <v>0</v>
      </c>
      <c r="AW131" s="24" cm="1">
        <f t="array" ref="AW131">VLOOKUP($Q131,武学奇术!$A:$ZZ,8,FALSE)+SUM(_xlfn.XLOOKUP($R131:$AK131,增益!$A:$A,增益!$H:$H,0))</f>
        <v>0</v>
      </c>
      <c r="AX131">
        <f t="shared" si="24"/>
        <v>0</v>
      </c>
      <c r="AY131">
        <f t="shared" si="25"/>
        <v>0</v>
      </c>
      <c r="AZ131" s="32" cm="1">
        <f t="array" ref="AZ131">IF($F$11-$I$4+VLOOKUP($Q131,武学奇术!$A:$ZZ,9,FALSE)+SUM(_xlfn.XLOOKUP($R131:$AK131,增益!$A:$A,增益!$I:$I,0))&gt;0,($F$11-$I$4+VLOOKUP($Q131,武学奇术!$A:$ZZ,9,FALSE)+SUM(_xlfn.XLOOKUP($R131:$AK131,增益!$A:$A,增益!$I:$I,0)))/200,($F$11-$I$4+VLOOKUP($Q131,武学奇术!$A:$ZZ,9,FALSE)+SUM(_xlfn.XLOOKUP($R131:$AK131,增益!$A:$A,增益!$I:$I,0)))/100)</f>
        <v>-0.3</v>
      </c>
      <c r="BA131" s="32" cm="1">
        <f t="array" ref="BA131">$G$11+VLOOKUP($Q131,武学奇术!$A:$ZZ,10,FALSE)+SUM(_xlfn.XLOOKUP($R131:$AK131,增益!$A:$A,增益!$J:$J,0))</f>
        <v>0</v>
      </c>
      <c r="BB131">
        <f t="shared" si="26"/>
        <v>0</v>
      </c>
      <c r="BC131">
        <f t="shared" si="27"/>
        <v>0</v>
      </c>
      <c r="BD131" s="32" cm="1">
        <f t="array" ref="BD131">IF($F$12-$I$4+VLOOKUP($Q131,武学奇术!$A:$ZZ,11,FALSE)+SUM(_xlfn.XLOOKUP($R131:$AK131,增益!$A:$A,增益!$K:$K,0))&gt;0,($F$12-$I$4+VLOOKUP($Q131,武学奇术!$A:$ZZ,11,FALSE)+SUM(_xlfn.XLOOKUP($R131:$AK131,增益!$A:$A,增益!$K:$K,0)))/200,($F$12-$I$4+VLOOKUP($Q131,武学奇术!$A:$ZZ,11,FALSE)+SUM(_xlfn.XLOOKUP($R131:$AK131,增益!$A:$A,增益!$K:$K,0)))/100)</f>
        <v>-0.3</v>
      </c>
      <c r="BE131" s="32" cm="1">
        <f t="array" ref="BE131">$G$12+VLOOKUP($Q131,武学奇术!$A:$ZZ,12,FALSE)+SUM(_xlfn.XLOOKUP($R131:$AK131,增益!$A:$A,增益!$L:$L,0))</f>
        <v>0</v>
      </c>
      <c r="BF131">
        <f t="shared" si="28"/>
        <v>605.472</v>
      </c>
      <c r="BG131">
        <f t="shared" si="29"/>
        <v>1579.612</v>
      </c>
      <c r="BH131" s="32" cm="1">
        <f t="array" ref="BH131">IF($F$13-$I$4+VLOOKUP($Q131,武学奇术!$A:$ZZ,13,FALSE)+SUM(_xlfn.XLOOKUP($R131:$AK131,增益!$A:$A,增益!$M:$M,0))&gt;0,($F$13-$I$4+VLOOKUP($Q131,武学奇术!$A:$ZZ,13,FALSE)+SUM(_xlfn.XLOOKUP($R131:$AK131,增益!$A:$A,增益!$K:$K,0)))/200,($F$13-$I$4+VLOOKUP($Q131,武学奇术!$A:$ZZ,13,FALSE)+SUM(_xlfn.XLOOKUP($R131:$AK131,增益!$A:$A,增益!$M:$M,0)))/100)</f>
        <v>0</v>
      </c>
      <c r="BI131" s="32" cm="1">
        <f t="array" ref="BI131">$G$13+VLOOKUP($Q131,武学奇术!$A:$ZZ,14,FALSE)+SUM(_xlfn.XLOOKUP($R131:$AK131,增益!$A:$A,增益!$N:$N,0))</f>
        <v>0.15</v>
      </c>
      <c r="BJ131">
        <f t="shared" si="30"/>
        <v>0</v>
      </c>
      <c r="BK131">
        <f t="shared" si="31"/>
        <v>0</v>
      </c>
      <c r="BL131" s="32" cm="1">
        <f t="array" ref="BL131">IF($F$14-$I$4+VLOOKUP($Q131,武学奇术!$A:$ZZ,15,FALSE)+SUM(_xlfn.XLOOKUP($R131:$AK131,增益!$A:$A,增益!$O:$O,0))&gt;0,($F$14-$I$4+VLOOKUP($Q131,武学奇术!$A:$ZZ,15,FALSE)+SUM(_xlfn.XLOOKUP($R131:$AK131,增益!$A:$A,增益!$O:$O,0)))/200,($F$14-$I$4+VLOOKUP($Q131,武学奇术!$A:$ZZ,15,FALSE)+SUM(_xlfn.XLOOKUP($R131:$AK131,增益!$A:$A,增益!$O:$O,0)))/100)</f>
        <v>-0.3</v>
      </c>
      <c r="BM131" s="32" cm="1">
        <f t="array" ref="BM131">$G$14+VLOOKUP($Q131,武学奇术!$A:$ZZ,16,FALSE)+SUM(_xlfn.XLOOKUP($R131:$AK131,增益!$A:$A,增益!$P:$P,0))</f>
        <v>0</v>
      </c>
      <c r="BN131" s="24">
        <f>MIN(IF(VLOOKUP($Q131,武学奇术!$A:$ZZ,23,FALSE)=1,100%,$B$8),100%)</f>
        <v>1</v>
      </c>
      <c r="BO131" s="24" cm="1">
        <f t="array" ref="BO131">IF(VLOOKUP($Q131,武学奇术!$A:$ZZ,23,FALSE)=1,100%,MIN(80%,$B$9+VLOOKUP($Q131,武学奇术!$A:$ZZ,17,FALSE)+SUM(_xlfn.XLOOKUP($R131:$AK131,增益!$A:$A,增益!$Q:$Q,0)))+$B$11+SUM(_xlfn.XLOOKUP($R131:$AK131,增益!$A:$A,增益!$U:$U,0)))*IF(VLOOKUP($Q131,武学奇术!$A:$ZZ,24,FALSE)=1,0,1)</f>
        <v>0.9093</v>
      </c>
      <c r="BP131" s="24" cm="1">
        <f t="array" ref="BP131">1+$B$13+VLOOKUP($Q131,武学奇术!$A:$ZZ,18,FALSE)+SUM(_xlfn.XLOOKUP($R131:$AK131,增益!$A:$A,增益!$R:$R,0))</f>
        <v>1.6</v>
      </c>
      <c r="BQ131" s="24" cm="1">
        <f t="array" ref="BQ131">IF(VLOOKUP($Q131,武学奇术!$A:$ZZ,24,FALSE)=1,100%,MIN(40%,$B$10+VLOOKUP($Q131,武学奇术!$A:$ZZ,19,FALSE)+SUM(_xlfn.XLOOKUP($R131:$AK131,增益!$A:$A,增益!$S:$S,0)))+$B$12+SUM(_xlfn.XLOOKUP($R131:$AK131,增益!$A:$A,增益!$V:$V,0)))*IF(VLOOKUP($Q131,武学奇术!$A:$ZZ,23,FALSE)=1,0,1)</f>
        <v>0.0929</v>
      </c>
      <c r="BR131" s="24" cm="1">
        <f t="array" ref="BR131">1+$B$14+VLOOKUP($Q131,武学奇术!$A:$ZZ,20,FALSE)+SUM(_xlfn.XLOOKUP($R131:$AK131,增益!$A:$A,增益!$T:$T,0))</f>
        <v>1.35</v>
      </c>
      <c r="BS131" s="24">
        <f t="shared" si="32"/>
        <v>0.9071</v>
      </c>
      <c r="BT131" s="24">
        <f t="shared" si="33"/>
        <v>0</v>
      </c>
      <c r="BU131" s="24">
        <f>IF(VLOOKUP($Q131,武学奇术!$A:$ZZ,22,FALSE)=1,0,(1-$BN131))*(1-$BQ131)</f>
        <v>0</v>
      </c>
      <c r="BV131" s="24" cm="1">
        <f t="array" ref="BV131">SUM(_xlfn.XLOOKUP($R131:$AK131,增益!$A:$A,增益!$W:$W,0))+$I$5</f>
        <v>0.06</v>
      </c>
    </row>
    <row r="132" spans="11:74">
      <c r="K132" s="38">
        <f t="shared" si="23"/>
        <v>16097.5527918543</v>
      </c>
      <c r="L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BP132*$P132*(1+IF(VLOOKUP($Q132,武学奇术!$A:$ZZ,30,FALSE)="弹道",$B$21,0))*(1+$BV132)</f>
        <v>16424.0201019249</v>
      </c>
      <c r="M132" s="38">
        <f>(($AT132*$AM132+$AN132)*(1+$AU132)*(1+$AV132)+($AY132*IF($G$1="鸣金",$AO132,$AM132)+IF($G$1="鸣金",$AP132*1.5,0))*(1+$AZ132)*(1+$BA132)+($BC132*IF($G$1="裂石",$AO132,$AM132)+IF($G$1="裂石",$AP132*1.5,0))*(1+$BD132)*(1+$BE132)+($BG132*IF($G$1="牵丝",$AO132,$AM132)+IF($G$1="牵丝",$AP132*1.5,0))*(1+$BH132)*(1+$BI132)+($BK132*IF($G$1="破竹",$AO132,$AM132)+IF($G$1="破竹",$AP132*1.5,0))*(1+$BL132)*(1+$BM132))*(1+$AQ132)*$BR132*$P132*(1+IF(VLOOKUP($Q132,武学奇术!$A:$ZZ,30,FALSE)="弹道",$B$21,0))*(1+$BV132)</f>
        <v>12909.8402303366</v>
      </c>
      <c r="N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P132*(1+IF(VLOOKUP($Q132,武学奇术!$A:$ZZ,30,FALSE)="弹道",$B$21,0))*(1+$BV132)</f>
        <v>8877.84870374318</v>
      </c>
      <c r="O132" s="38">
        <f>((($AS132*$AM132+$AN132)*(1+$AU132)*(1+$AV132)+($AX132*IF($G$1="鸣金",$AO132,$AM132)+IF($G$1="鸣金",$AP132*1.5,0))*(1+$AZ132)*(1+$BA132)+($BB132*IF($G$1="裂石",$AO132,$AM132)+IF($G$1="裂石",$AP132*1.5,0))*(1+$BD132)*(1+$BE132)+($BF132*IF($G$1="牵丝",$AO132,$AM132)+IF($G$1="牵丝",$AP132*1.5,0))*(1+$BH132)*(1+$BI132)+($BJ132*IF($G$1="破竹",$AO132,$AM132)+IF($G$1="破竹",$AP132*1.5,0))*(1+$BL132)*(1+$BM132))*(1+$AQ132))*$P132*(1+IF(VLOOKUP($Q132,武学奇术!$A:$ZZ,30,FALSE)="弹道",$B$21,0))*(1+$BV132)</f>
        <v>8192.85279242218</v>
      </c>
      <c r="P132" s="39">
        <f t="shared" si="22"/>
        <v>1</v>
      </c>
      <c r="Q132" s="40" t="s">
        <v>197</v>
      </c>
      <c r="R132" s="40" t="s">
        <v>97</v>
      </c>
      <c r="S132" s="40" t="s">
        <v>176</v>
      </c>
      <c r="T132" s="40" t="s">
        <v>78</v>
      </c>
      <c r="U132" s="40" t="s">
        <v>171</v>
      </c>
      <c r="V132" s="40" t="s">
        <v>78</v>
      </c>
      <c r="W132" s="40" t="s">
        <v>78</v>
      </c>
      <c r="X132" s="40" t="s">
        <v>78</v>
      </c>
      <c r="Y132" s="40" t="s">
        <v>151</v>
      </c>
      <c r="Z132" s="40" t="s">
        <v>78</v>
      </c>
      <c r="AA132" s="40" t="s">
        <v>78</v>
      </c>
      <c r="AB132" s="40" t="s">
        <v>78</v>
      </c>
      <c r="AC132" s="40" t="s">
        <v>78</v>
      </c>
      <c r="AD132" s="40" t="s">
        <v>78</v>
      </c>
      <c r="AE132" s="40" t="s">
        <v>78</v>
      </c>
      <c r="AF132" s="40" t="s">
        <v>78</v>
      </c>
      <c r="AG132" s="40" t="s">
        <v>78</v>
      </c>
      <c r="AH132" s="40" t="s">
        <v>78</v>
      </c>
      <c r="AI132" s="40" t="s">
        <v>78</v>
      </c>
      <c r="AJ132" s="40" t="s">
        <v>78</v>
      </c>
      <c r="AK132" s="40" t="s">
        <v>78</v>
      </c>
      <c r="AL132" t="str">
        <f>VLOOKUP($Q132,武学奇术!$A:$ZZ,25,FALSE)</f>
        <v>心法</v>
      </c>
      <c r="AM132" s="24">
        <f>VLOOKUP($Q132,武学奇术!$A:$ZZ,26,FALSE)</f>
        <v>1</v>
      </c>
      <c r="AN132" s="25">
        <f>VLOOKUP($Q132,武学奇术!$A:$ZZ,27,FALSE)*(1+IF(OR($AL132=$F$4,$AL132=$F$5),$B$22,0))</f>
        <v>0</v>
      </c>
      <c r="AO132" s="24">
        <f>VLOOKUP($Q132,武学奇术!$A:$ZZ,28,FALSE)</f>
        <v>1</v>
      </c>
      <c r="AP132" s="25">
        <f>VLOOKUP($Q132,武学奇术!$A:$ZZ,29,FALSE)*(1+IF(OR($AL132=$F$4,$AL132=$F$5),$B$22,0))</f>
        <v>0</v>
      </c>
      <c r="AQ132" s="24" cm="1">
        <f t="array" ref="AQ132">$G$3+IFERROR(VLOOKUP($AL132,$F$4:$G$7,2,FALSE),0)+VLOOKUP($Q132,武学奇术!$A:$ZZ,2,FALSE)+SUM(_xlfn.XLOOKUP($R132:$AK132,增益!$A:$A,增益!$B:$B,0))</f>
        <v>0.1537</v>
      </c>
      <c r="AR132" s="24" cm="1">
        <f t="array" ref="AR132">VLOOKUP($Q132,武学奇术!$A:$ZZ,5,FALSE)+SUM(_xlfn.XLOOKUP($R132:$AK132,增益!$A:$A,增益!$E:$E,0))</f>
        <v>0.15</v>
      </c>
      <c r="AS132" cm="1">
        <f t="array" ref="AS132">$D$10*(1+$AR132)+VLOOKUP($Q132,武学奇术!$A:$ZZ,3,FALSE)+SUM(_xlfn.XLOOKUP($R132:$AK132,增益!$A:$A,增益!$C:$C,0))-$I$2</f>
        <v>4389.8462</v>
      </c>
      <c r="AT132" cm="1">
        <f t="array" ref="AT132">$E$10*(1+$AR132)+VLOOKUP($Q132,武学奇术!$A:$ZZ,4,FALSE)+SUM(_xlfn.XLOOKUP($R132:$AK132,增益!$A:$A,增益!$D:$D,0))-$I$2</f>
        <v>4389.8462</v>
      </c>
      <c r="AU132" s="32" cm="1">
        <f t="array" ref="AU132">IF($F$10-$I$3+VLOOKUP($Q132,武学奇术!$A:$ZZ,6,FALSE)+SUM(_xlfn.XLOOKUP($R132:$AK132,增益!$A:$A,增益!$F:$F,0))&gt;0,($F$10-$I$3+VLOOKUP($Q132,武学奇术!$A:$ZZ,6,FALSE)+SUM(_xlfn.XLOOKUP($R132:$AK132,增益!$A:$A,增益!$F:$F,0)))/200,($F$10-$I$3+VLOOKUP($Q132,武学奇术!$A:$ZZ,6,FALSE)+SUM(_xlfn.XLOOKUP($R132:$AK132,增益!$A:$A,增益!$F:$F,0)))/100)</f>
        <v>0.3675</v>
      </c>
      <c r="AV132" s="32" cm="1">
        <f t="array" ref="AV132">$G$10+VLOOKUP($Q132,武学奇术!$A:$ZZ,7,FALSE)+SUM(_xlfn.XLOOKUP($R132:$AK132,增益!$A:$A,增益!$G:$G,0))</f>
        <v>0</v>
      </c>
      <c r="AW132" s="24" cm="1">
        <f t="array" ref="AW132">VLOOKUP($Q132,武学奇术!$A:$ZZ,8,FALSE)+SUM(_xlfn.XLOOKUP($R132:$AK132,增益!$A:$A,增益!$H:$H,0))</f>
        <v>0</v>
      </c>
      <c r="AX132">
        <f t="shared" si="24"/>
        <v>0</v>
      </c>
      <c r="AY132">
        <f t="shared" si="25"/>
        <v>0</v>
      </c>
      <c r="AZ132" s="32" cm="1">
        <f t="array" ref="AZ132">IF($F$11-$I$4+VLOOKUP($Q132,武学奇术!$A:$ZZ,9,FALSE)+SUM(_xlfn.XLOOKUP($R132:$AK132,增益!$A:$A,增益!$I:$I,0))&gt;0,($F$11-$I$4+VLOOKUP($Q132,武学奇术!$A:$ZZ,9,FALSE)+SUM(_xlfn.XLOOKUP($R132:$AK132,增益!$A:$A,增益!$I:$I,0)))/200,($F$11-$I$4+VLOOKUP($Q132,武学奇术!$A:$ZZ,9,FALSE)+SUM(_xlfn.XLOOKUP($R132:$AK132,增益!$A:$A,增益!$I:$I,0)))/100)</f>
        <v>-0.3</v>
      </c>
      <c r="BA132" s="32" cm="1">
        <f t="array" ref="BA132">$G$11+VLOOKUP($Q132,武学奇术!$A:$ZZ,10,FALSE)+SUM(_xlfn.XLOOKUP($R132:$AK132,增益!$A:$A,增益!$J:$J,0))</f>
        <v>0</v>
      </c>
      <c r="BB132">
        <f t="shared" si="26"/>
        <v>0</v>
      </c>
      <c r="BC132">
        <f t="shared" si="27"/>
        <v>0</v>
      </c>
      <c r="BD132" s="32" cm="1">
        <f t="array" ref="BD132">IF($F$12-$I$4+VLOOKUP($Q132,武学奇术!$A:$ZZ,11,FALSE)+SUM(_xlfn.XLOOKUP($R132:$AK132,增益!$A:$A,增益!$K:$K,0))&gt;0,($F$12-$I$4+VLOOKUP($Q132,武学奇术!$A:$ZZ,11,FALSE)+SUM(_xlfn.XLOOKUP($R132:$AK132,增益!$A:$A,增益!$K:$K,0)))/200,($F$12-$I$4+VLOOKUP($Q132,武学奇术!$A:$ZZ,11,FALSE)+SUM(_xlfn.XLOOKUP($R132:$AK132,增益!$A:$A,增益!$K:$K,0)))/100)</f>
        <v>-0.3</v>
      </c>
      <c r="BE132" s="32" cm="1">
        <f t="array" ref="BE132">$G$12+VLOOKUP($Q132,武学奇术!$A:$ZZ,12,FALSE)+SUM(_xlfn.XLOOKUP($R132:$AK132,增益!$A:$A,增益!$L:$L,0))</f>
        <v>0</v>
      </c>
      <c r="BF132">
        <f t="shared" si="28"/>
        <v>605.472</v>
      </c>
      <c r="BG132">
        <f t="shared" si="29"/>
        <v>1579.612</v>
      </c>
      <c r="BH132" s="32" cm="1">
        <f t="array" ref="BH132">IF($F$13-$I$4+VLOOKUP($Q132,武学奇术!$A:$ZZ,13,FALSE)+SUM(_xlfn.XLOOKUP($R132:$AK132,增益!$A:$A,增益!$M:$M,0))&gt;0,($F$13-$I$4+VLOOKUP($Q132,武学奇术!$A:$ZZ,13,FALSE)+SUM(_xlfn.XLOOKUP($R132:$AK132,增益!$A:$A,增益!$K:$K,0)))/200,($F$13-$I$4+VLOOKUP($Q132,武学奇术!$A:$ZZ,13,FALSE)+SUM(_xlfn.XLOOKUP($R132:$AK132,增益!$A:$A,增益!$M:$M,0)))/100)</f>
        <v>0</v>
      </c>
      <c r="BI132" s="32" cm="1">
        <f t="array" ref="BI132">$G$13+VLOOKUP($Q132,武学奇术!$A:$ZZ,14,FALSE)+SUM(_xlfn.XLOOKUP($R132:$AK132,增益!$A:$A,增益!$N:$N,0))</f>
        <v>0.15</v>
      </c>
      <c r="BJ132">
        <f t="shared" si="30"/>
        <v>0</v>
      </c>
      <c r="BK132">
        <f t="shared" si="31"/>
        <v>0</v>
      </c>
      <c r="BL132" s="32" cm="1">
        <f t="array" ref="BL132">IF($F$14-$I$4+VLOOKUP($Q132,武学奇术!$A:$ZZ,15,FALSE)+SUM(_xlfn.XLOOKUP($R132:$AK132,增益!$A:$A,增益!$O:$O,0))&gt;0,($F$14-$I$4+VLOOKUP($Q132,武学奇术!$A:$ZZ,15,FALSE)+SUM(_xlfn.XLOOKUP($R132:$AK132,增益!$A:$A,增益!$O:$O,0)))/200,($F$14-$I$4+VLOOKUP($Q132,武学奇术!$A:$ZZ,15,FALSE)+SUM(_xlfn.XLOOKUP($R132:$AK132,增益!$A:$A,增益!$O:$O,0)))/100)</f>
        <v>-0.3</v>
      </c>
      <c r="BM132" s="32" cm="1">
        <f t="array" ref="BM132">$G$14+VLOOKUP($Q132,武学奇术!$A:$ZZ,16,FALSE)+SUM(_xlfn.XLOOKUP($R132:$AK132,增益!$A:$A,增益!$P:$P,0))</f>
        <v>0</v>
      </c>
      <c r="BN132" s="24">
        <f>MIN(IF(VLOOKUP($Q132,武学奇术!$A:$ZZ,23,FALSE)=1,100%,$B$8),100%)</f>
        <v>1</v>
      </c>
      <c r="BO132" s="24" cm="1">
        <f t="array" ref="BO132">IF(VLOOKUP($Q132,武学奇术!$A:$ZZ,23,FALSE)=1,100%,MIN(80%,$B$9+VLOOKUP($Q132,武学奇术!$A:$ZZ,17,FALSE)+SUM(_xlfn.XLOOKUP($R132:$AK132,增益!$A:$A,增益!$Q:$Q,0)))+$B$11+SUM(_xlfn.XLOOKUP($R132:$AK132,增益!$A:$A,增益!$U:$U,0)))*IF(VLOOKUP($Q132,武学奇术!$A:$ZZ,24,FALSE)=1,0,1)</f>
        <v>0.9093</v>
      </c>
      <c r="BP132" s="24" cm="1">
        <f t="array" ref="BP132">1+$B$13+VLOOKUP($Q132,武学奇术!$A:$ZZ,18,FALSE)+SUM(_xlfn.XLOOKUP($R132:$AK132,增益!$A:$A,增益!$R:$R,0))</f>
        <v>1.85</v>
      </c>
      <c r="BQ132" s="24" cm="1">
        <f t="array" ref="BQ132">IF(VLOOKUP($Q132,武学奇术!$A:$ZZ,24,FALSE)=1,100%,MIN(40%,$B$10+VLOOKUP($Q132,武学奇术!$A:$ZZ,19,FALSE)+SUM(_xlfn.XLOOKUP($R132:$AK132,增益!$A:$A,增益!$S:$S,0)))+$B$12+SUM(_xlfn.XLOOKUP($R132:$AK132,增益!$A:$A,增益!$V:$V,0)))*IF(VLOOKUP($Q132,武学奇术!$A:$ZZ,23,FALSE)=1,0,1)</f>
        <v>0.0929</v>
      </c>
      <c r="BR132" s="24" cm="1">
        <f t="array" ref="BR132">1+$B$14+VLOOKUP($Q132,武学奇术!$A:$ZZ,20,FALSE)+SUM(_xlfn.XLOOKUP($R132:$AK132,增益!$A:$A,增益!$T:$T,0))</f>
        <v>1.35</v>
      </c>
      <c r="BS132" s="24">
        <f t="shared" si="32"/>
        <v>0.9071</v>
      </c>
      <c r="BT132" s="24">
        <f t="shared" si="33"/>
        <v>0</v>
      </c>
      <c r="BU132" s="24">
        <f>IF(VLOOKUP($Q132,武学奇术!$A:$ZZ,22,FALSE)=1,0,(1-$BN132))*(1-$BQ132)</f>
        <v>0</v>
      </c>
      <c r="BV132" s="24" cm="1">
        <f t="array" ref="BV132">SUM(_xlfn.XLOOKUP($R132:$AK132,增益!$A:$A,增益!$W:$W,0))+$I$5</f>
        <v>0.06</v>
      </c>
    </row>
    <row r="133" spans="11:74">
      <c r="K133" s="38">
        <f t="shared" si="23"/>
        <v>13026.1760040514</v>
      </c>
      <c r="L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BP133*$P133*(1+IF(VLOOKUP($Q133,武学奇术!$A:$ZZ,30,FALSE)="弹道",$B$21,0))*(1+$BV133)</f>
        <v>13130.8700270698</v>
      </c>
      <c r="M133" s="38">
        <f>(($AT133*$AM133+$AN133)*(1+$AU133)*(1+$AV133)+($AY133*IF($G$1="鸣金",$AO133,$AM133)+IF($G$1="鸣金",$AP133*1.5,0))*(1+$AZ133)*(1+$BA133)+($BC133*IF($G$1="裂石",$AO133,$AM133)+IF($G$1="裂石",$AP133*1.5,0))*(1+$BD133)*(1+$BE133)+($BG133*IF($G$1="牵丝",$AO133,$AM133)+IF($G$1="牵丝",$AP133*1.5,0))*(1+$BH133)*(1+$BI133)+($BK133*IF($G$1="破竹",$AO133,$AM133)+IF($G$1="破竹",$AP133*1.5,0))*(1+$BL133)*(1+$BM133))*(1+$AQ133)*$BR133*$P133*(1+IF(VLOOKUP($Q133,武学奇术!$A:$ZZ,30,FALSE)="弹道",$B$21,0))*(1+$BV133)</f>
        <v>12003.9160656235</v>
      </c>
      <c r="N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P133*(1+IF(VLOOKUP($Q133,武学奇术!$A:$ZZ,30,FALSE)="弹道",$B$21,0))*(1+$BV133)</f>
        <v>8206.79376691863</v>
      </c>
      <c r="O133" s="38">
        <f>((($AS133*$AM133+$AN133)*(1+$AU133)*(1+$AV133)+($AX133*IF($G$1="鸣金",$AO133,$AM133)+IF($G$1="鸣金",$AP133*1.5,0))*(1+$AZ133)*(1+$BA133)+($BB133*IF($G$1="裂石",$AO133,$AM133)+IF($G$1="裂石",$AP133*1.5,0))*(1+$BD133)*(1+$BE133)+($BF133*IF($G$1="牵丝",$AO133,$AM133)+IF($G$1="牵丝",$AP133*1.5,0))*(1+$BH133)*(1+$BI133)+($BJ133*IF($G$1="破竹",$AO133,$AM133)+IF($G$1="破竹",$AP133*1.5,0))*(1+$BL133)*(1+$BM133))*(1+$AQ133))*$P133*(1+IF(VLOOKUP($Q133,武学奇术!$A:$ZZ,30,FALSE)="弹道",$B$21,0))*(1+$BV133)</f>
        <v>7521.79785559763</v>
      </c>
      <c r="P133" s="39">
        <f t="shared" si="22"/>
        <v>1</v>
      </c>
      <c r="Q133" s="40" t="s">
        <v>197</v>
      </c>
      <c r="R133" s="40" t="s">
        <v>97</v>
      </c>
      <c r="S133" s="40" t="s">
        <v>176</v>
      </c>
      <c r="T133" s="40" t="s">
        <v>78</v>
      </c>
      <c r="U133" s="40" t="s">
        <v>171</v>
      </c>
      <c r="V133" s="40" t="s">
        <v>78</v>
      </c>
      <c r="W133" s="40" t="s">
        <v>78</v>
      </c>
      <c r="X133" s="40" t="s">
        <v>78</v>
      </c>
      <c r="Y133" s="40" t="s">
        <v>78</v>
      </c>
      <c r="Z133" s="40" t="s">
        <v>78</v>
      </c>
      <c r="AA133" s="40" t="s">
        <v>78</v>
      </c>
      <c r="AB133" s="40" t="s">
        <v>78</v>
      </c>
      <c r="AC133" s="40" t="s">
        <v>78</v>
      </c>
      <c r="AD133" s="40" t="s">
        <v>78</v>
      </c>
      <c r="AE133" s="40" t="s">
        <v>78</v>
      </c>
      <c r="AF133" s="40" t="s">
        <v>78</v>
      </c>
      <c r="AG133" s="40" t="s">
        <v>78</v>
      </c>
      <c r="AH133" s="40" t="s">
        <v>78</v>
      </c>
      <c r="AI133" s="40" t="s">
        <v>78</v>
      </c>
      <c r="AJ133" s="40" t="s">
        <v>78</v>
      </c>
      <c r="AK133" s="40" t="s">
        <v>78</v>
      </c>
      <c r="AL133" t="str">
        <f>VLOOKUP($Q133,武学奇术!$A:$ZZ,25,FALSE)</f>
        <v>心法</v>
      </c>
      <c r="AM133" s="24">
        <f>VLOOKUP($Q133,武学奇术!$A:$ZZ,26,FALSE)</f>
        <v>1</v>
      </c>
      <c r="AN133" s="25">
        <f>VLOOKUP($Q133,武学奇术!$A:$ZZ,27,FALSE)*(1+IF(OR($AL133=$F$4,$AL133=$F$5),$B$22,0))</f>
        <v>0</v>
      </c>
      <c r="AO133" s="24">
        <f>VLOOKUP($Q133,武学奇术!$A:$ZZ,28,FALSE)</f>
        <v>1</v>
      </c>
      <c r="AP133" s="25">
        <f>VLOOKUP($Q133,武学奇术!$A:$ZZ,29,FALSE)*(1+IF(OR($AL133=$F$4,$AL133=$F$5),$B$22,0))</f>
        <v>0</v>
      </c>
      <c r="AQ133" s="24" cm="1">
        <f t="array" ref="AQ133">$G$3+IFERROR(VLOOKUP($AL133,$F$4:$G$7,2,FALSE),0)+VLOOKUP($Q133,武学奇术!$A:$ZZ,2,FALSE)+SUM(_xlfn.XLOOKUP($R133:$AK133,增益!$A:$A,增益!$B:$B,0))</f>
        <v>0.1537</v>
      </c>
      <c r="AR133" s="24" cm="1">
        <f t="array" ref="AR133">VLOOKUP($Q133,武学奇术!$A:$ZZ,5,FALSE)+SUM(_xlfn.XLOOKUP($R133:$AK133,增益!$A:$A,增益!$E:$E,0))</f>
        <v>0.15</v>
      </c>
      <c r="AS133" cm="1">
        <f t="array" ref="AS133">$D$10*(1+$AR133)+VLOOKUP($Q133,武学奇术!$A:$ZZ,3,FALSE)+SUM(_xlfn.XLOOKUP($R133:$AK133,增益!$A:$A,增益!$C:$C,0))-$I$2</f>
        <v>4389.8462</v>
      </c>
      <c r="AT133" cm="1">
        <f t="array" ref="AT133">$E$10*(1+$AR133)+VLOOKUP($Q133,武学奇术!$A:$ZZ,4,FALSE)+SUM(_xlfn.XLOOKUP($R133:$AK133,增益!$A:$A,增益!$D:$D,0))-$I$2</f>
        <v>4389.8462</v>
      </c>
      <c r="AU133" s="32" cm="1">
        <f t="array" ref="AU133">IF($F$10-$I$3+VLOOKUP($Q133,武学奇术!$A:$ZZ,6,FALSE)+SUM(_xlfn.XLOOKUP($R133:$AK133,增益!$A:$A,增益!$F:$F,0))&gt;0,($F$10-$I$3+VLOOKUP($Q133,武学奇术!$A:$ZZ,6,FALSE)+SUM(_xlfn.XLOOKUP($R133:$AK133,增益!$A:$A,增益!$F:$F,0)))/200,($F$10-$I$3+VLOOKUP($Q133,武学奇术!$A:$ZZ,6,FALSE)+SUM(_xlfn.XLOOKUP($R133:$AK133,增益!$A:$A,增益!$F:$F,0)))/100)</f>
        <v>0.2425</v>
      </c>
      <c r="AV133" s="32" cm="1">
        <f t="array" ref="AV133">$G$10+VLOOKUP($Q133,武学奇术!$A:$ZZ,7,FALSE)+SUM(_xlfn.XLOOKUP($R133:$AK133,增益!$A:$A,增益!$G:$G,0))</f>
        <v>0</v>
      </c>
      <c r="AW133" s="24" cm="1">
        <f t="array" ref="AW133">VLOOKUP($Q133,武学奇术!$A:$ZZ,8,FALSE)+SUM(_xlfn.XLOOKUP($R133:$AK133,增益!$A:$A,增益!$H:$H,0))</f>
        <v>0</v>
      </c>
      <c r="AX133">
        <f t="shared" si="24"/>
        <v>0</v>
      </c>
      <c r="AY133">
        <f t="shared" si="25"/>
        <v>0</v>
      </c>
      <c r="AZ133" s="32" cm="1">
        <f t="array" ref="AZ133">IF($F$11-$I$4+VLOOKUP($Q133,武学奇术!$A:$ZZ,9,FALSE)+SUM(_xlfn.XLOOKUP($R133:$AK133,增益!$A:$A,增益!$I:$I,0))&gt;0,($F$11-$I$4+VLOOKUP($Q133,武学奇术!$A:$ZZ,9,FALSE)+SUM(_xlfn.XLOOKUP($R133:$AK133,增益!$A:$A,增益!$I:$I,0)))/200,($F$11-$I$4+VLOOKUP($Q133,武学奇术!$A:$ZZ,9,FALSE)+SUM(_xlfn.XLOOKUP($R133:$AK133,增益!$A:$A,增益!$I:$I,0)))/100)</f>
        <v>-0.3</v>
      </c>
      <c r="BA133" s="32" cm="1">
        <f t="array" ref="BA133">$G$11+VLOOKUP($Q133,武学奇术!$A:$ZZ,10,FALSE)+SUM(_xlfn.XLOOKUP($R133:$AK133,增益!$A:$A,增益!$J:$J,0))</f>
        <v>0</v>
      </c>
      <c r="BB133">
        <f t="shared" si="26"/>
        <v>0</v>
      </c>
      <c r="BC133">
        <f t="shared" si="27"/>
        <v>0</v>
      </c>
      <c r="BD133" s="32" cm="1">
        <f t="array" ref="BD133">IF($F$12-$I$4+VLOOKUP($Q133,武学奇术!$A:$ZZ,11,FALSE)+SUM(_xlfn.XLOOKUP($R133:$AK133,增益!$A:$A,增益!$K:$K,0))&gt;0,($F$12-$I$4+VLOOKUP($Q133,武学奇术!$A:$ZZ,11,FALSE)+SUM(_xlfn.XLOOKUP($R133:$AK133,增益!$A:$A,增益!$K:$K,0)))/200,($F$12-$I$4+VLOOKUP($Q133,武学奇术!$A:$ZZ,11,FALSE)+SUM(_xlfn.XLOOKUP($R133:$AK133,增益!$A:$A,增益!$K:$K,0)))/100)</f>
        <v>-0.3</v>
      </c>
      <c r="BE133" s="32" cm="1">
        <f t="array" ref="BE133">$G$12+VLOOKUP($Q133,武学奇术!$A:$ZZ,12,FALSE)+SUM(_xlfn.XLOOKUP($R133:$AK133,增益!$A:$A,增益!$L:$L,0))</f>
        <v>0</v>
      </c>
      <c r="BF133">
        <f t="shared" si="28"/>
        <v>605.472</v>
      </c>
      <c r="BG133">
        <f t="shared" si="29"/>
        <v>1579.612</v>
      </c>
      <c r="BH133" s="32" cm="1">
        <f t="array" ref="BH133">IF($F$13-$I$4+VLOOKUP($Q133,武学奇术!$A:$ZZ,13,FALSE)+SUM(_xlfn.XLOOKUP($R133:$AK133,增益!$A:$A,增益!$M:$M,0))&gt;0,($F$13-$I$4+VLOOKUP($Q133,武学奇术!$A:$ZZ,13,FALSE)+SUM(_xlfn.XLOOKUP($R133:$AK133,增益!$A:$A,增益!$K:$K,0)))/200,($F$13-$I$4+VLOOKUP($Q133,武学奇术!$A:$ZZ,13,FALSE)+SUM(_xlfn.XLOOKUP($R133:$AK133,增益!$A:$A,增益!$M:$M,0)))/100)</f>
        <v>0</v>
      </c>
      <c r="BI133" s="32" cm="1">
        <f t="array" ref="BI133">$G$13+VLOOKUP($Q133,武学奇术!$A:$ZZ,14,FALSE)+SUM(_xlfn.XLOOKUP($R133:$AK133,增益!$A:$A,增益!$N:$N,0))</f>
        <v>0.15</v>
      </c>
      <c r="BJ133">
        <f t="shared" si="30"/>
        <v>0</v>
      </c>
      <c r="BK133">
        <f t="shared" si="31"/>
        <v>0</v>
      </c>
      <c r="BL133" s="32" cm="1">
        <f t="array" ref="BL133">IF($F$14-$I$4+VLOOKUP($Q133,武学奇术!$A:$ZZ,15,FALSE)+SUM(_xlfn.XLOOKUP($R133:$AK133,增益!$A:$A,增益!$O:$O,0))&gt;0,($F$14-$I$4+VLOOKUP($Q133,武学奇术!$A:$ZZ,15,FALSE)+SUM(_xlfn.XLOOKUP($R133:$AK133,增益!$A:$A,增益!$O:$O,0)))/200,($F$14-$I$4+VLOOKUP($Q133,武学奇术!$A:$ZZ,15,FALSE)+SUM(_xlfn.XLOOKUP($R133:$AK133,增益!$A:$A,增益!$O:$O,0)))/100)</f>
        <v>-0.3</v>
      </c>
      <c r="BM133" s="32" cm="1">
        <f t="array" ref="BM133">$G$14+VLOOKUP($Q133,武学奇术!$A:$ZZ,16,FALSE)+SUM(_xlfn.XLOOKUP($R133:$AK133,增益!$A:$A,增益!$P:$P,0))</f>
        <v>0</v>
      </c>
      <c r="BN133" s="24">
        <f>MIN(IF(VLOOKUP($Q133,武学奇术!$A:$ZZ,23,FALSE)=1,100%,$B$8),100%)</f>
        <v>1</v>
      </c>
      <c r="BO133" s="24" cm="1">
        <f t="array" ref="BO133">IF(VLOOKUP($Q133,武学奇术!$A:$ZZ,23,FALSE)=1,100%,MIN(80%,$B$9+VLOOKUP($Q133,武学奇术!$A:$ZZ,17,FALSE)+SUM(_xlfn.XLOOKUP($R133:$AK133,增益!$A:$A,增益!$Q:$Q,0)))+$B$11+SUM(_xlfn.XLOOKUP($R133:$AK133,增益!$A:$A,增益!$U:$U,0)))*IF(VLOOKUP($Q133,武学奇术!$A:$ZZ,24,FALSE)=1,0,1)</f>
        <v>0.9093</v>
      </c>
      <c r="BP133" s="24" cm="1">
        <f t="array" ref="BP133">1+$B$13+VLOOKUP($Q133,武学奇术!$A:$ZZ,18,FALSE)+SUM(_xlfn.XLOOKUP($R133:$AK133,增益!$A:$A,增益!$R:$R,0))</f>
        <v>1.6</v>
      </c>
      <c r="BQ133" s="24" cm="1">
        <f t="array" ref="BQ133">IF(VLOOKUP($Q133,武学奇术!$A:$ZZ,24,FALSE)=1,100%,MIN(40%,$B$10+VLOOKUP($Q133,武学奇术!$A:$ZZ,19,FALSE)+SUM(_xlfn.XLOOKUP($R133:$AK133,增益!$A:$A,增益!$S:$S,0)))+$B$12+SUM(_xlfn.XLOOKUP($R133:$AK133,增益!$A:$A,增益!$V:$V,0)))*IF(VLOOKUP($Q133,武学奇术!$A:$ZZ,23,FALSE)=1,0,1)</f>
        <v>0.0929</v>
      </c>
      <c r="BR133" s="24" cm="1">
        <f t="array" ref="BR133">1+$B$14+VLOOKUP($Q133,武学奇术!$A:$ZZ,20,FALSE)+SUM(_xlfn.XLOOKUP($R133:$AK133,增益!$A:$A,增益!$T:$T,0))</f>
        <v>1.35</v>
      </c>
      <c r="BS133" s="24">
        <f t="shared" si="32"/>
        <v>0.9071</v>
      </c>
      <c r="BT133" s="24">
        <f t="shared" si="33"/>
        <v>0</v>
      </c>
      <c r="BU133" s="24">
        <f>IF(VLOOKUP($Q133,武学奇术!$A:$ZZ,22,FALSE)=1,0,(1-$BN133))*(1-$BQ133)</f>
        <v>0</v>
      </c>
      <c r="BV133" s="24" cm="1">
        <f t="array" ref="BV133">SUM(_xlfn.XLOOKUP($R133:$AK133,增益!$A:$A,增益!$W:$W,0))+$I$5</f>
        <v>0.06</v>
      </c>
    </row>
    <row r="134" spans="11:74">
      <c r="K134" s="38">
        <f t="shared" si="23"/>
        <v>19134.826903525</v>
      </c>
      <c r="L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BP134*$P134*(1+IF(VLOOKUP($Q134,武学奇术!$A:$ZZ,30,FALSE)="弹道",$B$21,0))*(1+$BV134)</f>
        <v>19522.8918192692</v>
      </c>
      <c r="M134" s="38">
        <f>(($AT134*$AM134+$AN134)*(1+$AU134)*(1+$AV134)+($AY134*IF($G$1="鸣金",$AO134,$AM134)+IF($G$1="鸣金",$AP134*1.5,0))*(1+$AZ134)*(1+$BA134)+($BC134*IF($G$1="裂石",$AO134,$AM134)+IF($G$1="裂石",$AP134*1.5,0))*(1+$BD134)*(1+$BE134)+($BG134*IF($G$1="牵丝",$AO134,$AM134)+IF($G$1="牵丝",$AP134*1.5,0))*(1+$BH134)*(1+$BI134)+($BK134*IF($G$1="破竹",$AO134,$AM134)+IF($G$1="破竹",$AP134*1.5,0))*(1+$BL134)*(1+$BM134))*(1+$AQ134)*$BR134*$P134*(1+IF(VLOOKUP($Q134,武学奇术!$A:$ZZ,30,FALSE)="弹道",$B$21,0))*(1+$BV134)</f>
        <v>15345.6591417209</v>
      </c>
      <c r="N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P134*(1+IF(VLOOKUP($Q134,武学奇术!$A:$ZZ,30,FALSE)="弹道",$B$21,0))*(1+$BV134)</f>
        <v>10552.9144969023</v>
      </c>
      <c r="O134" s="38">
        <f>((($AS134*$AM134+$AN134)*(1+$AU134)*(1+$AV134)+($AX134*IF($G$1="鸣金",$AO134,$AM134)+IF($G$1="鸣金",$AP134*1.5,0))*(1+$AZ134)*(1+$BA134)+($BB134*IF($G$1="裂石",$AO134,$AM134)+IF($G$1="裂石",$AP134*1.5,0))*(1+$BD134)*(1+$BE134)+($BF134*IF($G$1="牵丝",$AO134,$AM134)+IF($G$1="牵丝",$AP134*1.5,0))*(1+$BH134)*(1+$BI134)+($BJ134*IF($G$1="破竹",$AO134,$AM134)+IF($G$1="破竹",$AP134*1.5,0))*(1+$BL134)*(1+$BM134))*(1+$AQ134))*$P134*(1+IF(VLOOKUP($Q134,武学奇术!$A:$ZZ,30,FALSE)="弹道",$B$21,0))*(1+$BV134)</f>
        <v>9738.67407401127</v>
      </c>
      <c r="P134" s="39">
        <f t="shared" si="22"/>
        <v>1</v>
      </c>
      <c r="Q134" s="40" t="s">
        <v>197</v>
      </c>
      <c r="R134" s="40" t="s">
        <v>97</v>
      </c>
      <c r="S134" s="40" t="s">
        <v>176</v>
      </c>
      <c r="T134" s="40" t="s">
        <v>78</v>
      </c>
      <c r="U134" s="40" t="s">
        <v>171</v>
      </c>
      <c r="V134" s="40" t="s">
        <v>78</v>
      </c>
      <c r="W134" s="40" t="s">
        <v>78</v>
      </c>
      <c r="X134" s="40" t="s">
        <v>78</v>
      </c>
      <c r="Y134" s="40" t="s">
        <v>184</v>
      </c>
      <c r="Z134" s="40" t="s">
        <v>78</v>
      </c>
      <c r="AA134" s="40" t="s">
        <v>78</v>
      </c>
      <c r="AB134" s="40" t="s">
        <v>78</v>
      </c>
      <c r="AC134" s="40" t="s">
        <v>185</v>
      </c>
      <c r="AD134" s="40" t="s">
        <v>78</v>
      </c>
      <c r="AE134" s="40" t="s">
        <v>78</v>
      </c>
      <c r="AF134" s="40" t="s">
        <v>78</v>
      </c>
      <c r="AG134" s="40" t="s">
        <v>78</v>
      </c>
      <c r="AH134" s="40" t="s">
        <v>78</v>
      </c>
      <c r="AI134" s="40" t="s">
        <v>78</v>
      </c>
      <c r="AJ134" s="40" t="s">
        <v>78</v>
      </c>
      <c r="AK134" s="40" t="s">
        <v>188</v>
      </c>
      <c r="AL134" t="str">
        <f>VLOOKUP($Q134,武学奇术!$A:$ZZ,25,FALSE)</f>
        <v>心法</v>
      </c>
      <c r="AM134" s="24">
        <f>VLOOKUP($Q134,武学奇术!$A:$ZZ,26,FALSE)</f>
        <v>1</v>
      </c>
      <c r="AN134" s="25">
        <f>VLOOKUP($Q134,武学奇术!$A:$ZZ,27,FALSE)*(1+IF(OR($AL134=$F$4,$AL134=$F$5),$B$22,0))</f>
        <v>0</v>
      </c>
      <c r="AO134" s="24">
        <f>VLOOKUP($Q134,武学奇术!$A:$ZZ,28,FALSE)</f>
        <v>1</v>
      </c>
      <c r="AP134" s="25">
        <f>VLOOKUP($Q134,武学奇术!$A:$ZZ,29,FALSE)*(1+IF(OR($AL134=$F$4,$AL134=$F$5),$B$22,0))</f>
        <v>0</v>
      </c>
      <c r="AQ134" s="24" cm="1">
        <f t="array" ref="AQ134">$G$3+IFERROR(VLOOKUP($AL134,$F$4:$G$7,2,FALSE),0)+VLOOKUP($Q134,武学奇术!$A:$ZZ,2,FALSE)+SUM(_xlfn.XLOOKUP($R134:$AK134,增益!$A:$A,增益!$B:$B,0))</f>
        <v>0.1537</v>
      </c>
      <c r="AR134" s="24" cm="1">
        <f t="array" ref="AR134">VLOOKUP($Q134,武学奇术!$A:$ZZ,5,FALSE)+SUM(_xlfn.XLOOKUP($R134:$AK134,增益!$A:$A,增益!$E:$E,0))</f>
        <v>0.15</v>
      </c>
      <c r="AS134" cm="1">
        <f t="array" ref="AS134">$D$10*(1+$AR134)+VLOOKUP($Q134,武学奇术!$A:$ZZ,3,FALSE)+SUM(_xlfn.XLOOKUP($R134:$AK134,增益!$A:$A,增益!$C:$C,0))-$I$2</f>
        <v>4389.8462</v>
      </c>
      <c r="AT134" cm="1">
        <f t="array" ref="AT134">$E$10*(1+$AR134)+VLOOKUP($Q134,武学奇术!$A:$ZZ,4,FALSE)+SUM(_xlfn.XLOOKUP($R134:$AK134,增益!$A:$A,增益!$D:$D,0))-$I$2</f>
        <v>4389.8462</v>
      </c>
      <c r="AU134" s="32" cm="1">
        <f t="array" ref="AU134">IF($F$10-$I$3+VLOOKUP($Q134,武学奇术!$A:$ZZ,6,FALSE)+SUM(_xlfn.XLOOKUP($R134:$AK134,增益!$A:$A,增益!$F:$F,0))&gt;0,($F$10-$I$3+VLOOKUP($Q134,武学奇术!$A:$ZZ,6,FALSE)+SUM(_xlfn.XLOOKUP($R134:$AK134,增益!$A:$A,增益!$F:$F,0)))/200,($F$10-$I$3+VLOOKUP($Q134,武学奇术!$A:$ZZ,6,FALSE)+SUM(_xlfn.XLOOKUP($R134:$AK134,增益!$A:$A,增益!$F:$F,0)))/100)</f>
        <v>0.3675</v>
      </c>
      <c r="AV134" s="32" cm="1">
        <f t="array" ref="AV134">$G$10+VLOOKUP($Q134,武学奇术!$A:$ZZ,7,FALSE)+SUM(_xlfn.XLOOKUP($R134:$AK134,增益!$A:$A,增益!$G:$G,0))</f>
        <v>0</v>
      </c>
      <c r="AW134" s="24" cm="1">
        <f t="array" ref="AW134">VLOOKUP($Q134,武学奇术!$A:$ZZ,8,FALSE)+SUM(_xlfn.XLOOKUP($R134:$AK134,增益!$A:$A,增益!$H:$H,0))</f>
        <v>0</v>
      </c>
      <c r="AX134">
        <f t="shared" si="24"/>
        <v>0</v>
      </c>
      <c r="AY134">
        <f t="shared" si="25"/>
        <v>0</v>
      </c>
      <c r="AZ134" s="32" cm="1">
        <f t="array" ref="AZ134">IF($F$11-$I$4+VLOOKUP($Q134,武学奇术!$A:$ZZ,9,FALSE)+SUM(_xlfn.XLOOKUP($R134:$AK134,增益!$A:$A,增益!$I:$I,0))&gt;0,($F$11-$I$4+VLOOKUP($Q134,武学奇术!$A:$ZZ,9,FALSE)+SUM(_xlfn.XLOOKUP($R134:$AK134,增益!$A:$A,增益!$I:$I,0)))/200,($F$11-$I$4+VLOOKUP($Q134,武学奇术!$A:$ZZ,9,FALSE)+SUM(_xlfn.XLOOKUP($R134:$AK134,增益!$A:$A,增益!$I:$I,0)))/100)</f>
        <v>-0.3</v>
      </c>
      <c r="BA134" s="32" cm="1">
        <f t="array" ref="BA134">$G$11+VLOOKUP($Q134,武学奇术!$A:$ZZ,10,FALSE)+SUM(_xlfn.XLOOKUP($R134:$AK134,增益!$A:$A,增益!$J:$J,0))</f>
        <v>0</v>
      </c>
      <c r="BB134">
        <f t="shared" si="26"/>
        <v>0</v>
      </c>
      <c r="BC134">
        <f t="shared" si="27"/>
        <v>0</v>
      </c>
      <c r="BD134" s="32" cm="1">
        <f t="array" ref="BD134">IF($F$12-$I$4+VLOOKUP($Q134,武学奇术!$A:$ZZ,11,FALSE)+SUM(_xlfn.XLOOKUP($R134:$AK134,增益!$A:$A,增益!$K:$K,0))&gt;0,($F$12-$I$4+VLOOKUP($Q134,武学奇术!$A:$ZZ,11,FALSE)+SUM(_xlfn.XLOOKUP($R134:$AK134,增益!$A:$A,增益!$K:$K,0)))/200,($F$12-$I$4+VLOOKUP($Q134,武学奇术!$A:$ZZ,11,FALSE)+SUM(_xlfn.XLOOKUP($R134:$AK134,增益!$A:$A,增益!$K:$K,0)))/100)</f>
        <v>-0.3</v>
      </c>
      <c r="BE134" s="32" cm="1">
        <f t="array" ref="BE134">$G$12+VLOOKUP($Q134,武学奇术!$A:$ZZ,12,FALSE)+SUM(_xlfn.XLOOKUP($R134:$AK134,增益!$A:$A,增益!$L:$L,0))</f>
        <v>0</v>
      </c>
      <c r="BF134">
        <f t="shared" si="28"/>
        <v>605.472</v>
      </c>
      <c r="BG134">
        <f t="shared" si="29"/>
        <v>1579.612</v>
      </c>
      <c r="BH134" s="32" cm="1">
        <f t="array" ref="BH134">IF($F$13-$I$4+VLOOKUP($Q134,武学奇术!$A:$ZZ,13,FALSE)+SUM(_xlfn.XLOOKUP($R134:$AK134,增益!$A:$A,增益!$M:$M,0))&gt;0,($F$13-$I$4+VLOOKUP($Q134,武学奇术!$A:$ZZ,13,FALSE)+SUM(_xlfn.XLOOKUP($R134:$AK134,增益!$A:$A,增益!$K:$K,0)))/200,($F$13-$I$4+VLOOKUP($Q134,武学奇术!$A:$ZZ,13,FALSE)+SUM(_xlfn.XLOOKUP($R134:$AK134,增益!$A:$A,增益!$M:$M,0)))/100)</f>
        <v>0</v>
      </c>
      <c r="BI134" s="32" cm="1">
        <f t="array" ref="BI134">$G$13+VLOOKUP($Q134,武学奇术!$A:$ZZ,14,FALSE)+SUM(_xlfn.XLOOKUP($R134:$AK134,增益!$A:$A,增益!$N:$N,0))</f>
        <v>0.15</v>
      </c>
      <c r="BJ134">
        <f t="shared" si="30"/>
        <v>0</v>
      </c>
      <c r="BK134">
        <f t="shared" si="31"/>
        <v>0</v>
      </c>
      <c r="BL134" s="32" cm="1">
        <f t="array" ref="BL134">IF($F$14-$I$4+VLOOKUP($Q134,武学奇术!$A:$ZZ,15,FALSE)+SUM(_xlfn.XLOOKUP($R134:$AK134,增益!$A:$A,增益!$O:$O,0))&gt;0,($F$14-$I$4+VLOOKUP($Q134,武学奇术!$A:$ZZ,15,FALSE)+SUM(_xlfn.XLOOKUP($R134:$AK134,增益!$A:$A,增益!$O:$O,0)))/200,($F$14-$I$4+VLOOKUP($Q134,武学奇术!$A:$ZZ,15,FALSE)+SUM(_xlfn.XLOOKUP($R134:$AK134,增益!$A:$A,增益!$O:$O,0)))/100)</f>
        <v>-0.3</v>
      </c>
      <c r="BM134" s="32" cm="1">
        <f t="array" ref="BM134">$G$14+VLOOKUP($Q134,武学奇术!$A:$ZZ,16,FALSE)+SUM(_xlfn.XLOOKUP($R134:$AK134,增益!$A:$A,增益!$P:$P,0))</f>
        <v>0</v>
      </c>
      <c r="BN134" s="24">
        <f>MIN(IF(VLOOKUP($Q134,武学奇术!$A:$ZZ,23,FALSE)=1,100%,$B$8),100%)</f>
        <v>1</v>
      </c>
      <c r="BO134" s="24" cm="1">
        <f t="array" ref="BO134">IF(VLOOKUP($Q134,武学奇术!$A:$ZZ,23,FALSE)=1,100%,MIN(80%,$B$9+VLOOKUP($Q134,武学奇术!$A:$ZZ,17,FALSE)+SUM(_xlfn.XLOOKUP($R134:$AK134,增益!$A:$A,增益!$Q:$Q,0)))+$B$11+SUM(_xlfn.XLOOKUP($R134:$AK134,增益!$A:$A,增益!$U:$U,0)))*IF(VLOOKUP($Q134,武学奇术!$A:$ZZ,24,FALSE)=1,0,1)</f>
        <v>0.9093</v>
      </c>
      <c r="BP134" s="24" cm="1">
        <f t="array" ref="BP134">1+$B$13+VLOOKUP($Q134,武学奇术!$A:$ZZ,18,FALSE)+SUM(_xlfn.XLOOKUP($R134:$AK134,增益!$A:$A,增益!$R:$R,0))</f>
        <v>1.85</v>
      </c>
      <c r="BQ134" s="24" cm="1">
        <f t="array" ref="BQ134">IF(VLOOKUP($Q134,武学奇术!$A:$ZZ,24,FALSE)=1,100%,MIN(40%,$B$10+VLOOKUP($Q134,武学奇术!$A:$ZZ,19,FALSE)+SUM(_xlfn.XLOOKUP($R134:$AK134,增益!$A:$A,增益!$S:$S,0)))+$B$12+SUM(_xlfn.XLOOKUP($R134:$AK134,增益!$A:$A,增益!$V:$V,0)))*IF(VLOOKUP($Q134,武学奇术!$A:$ZZ,23,FALSE)=1,0,1)</f>
        <v>0.0929</v>
      </c>
      <c r="BR134" s="24" cm="1">
        <f t="array" ref="BR134">1+$B$14+VLOOKUP($Q134,武学奇术!$A:$ZZ,20,FALSE)+SUM(_xlfn.XLOOKUP($R134:$AK134,增益!$A:$A,增益!$T:$T,0))</f>
        <v>1.35</v>
      </c>
      <c r="BS134" s="24">
        <f t="shared" si="32"/>
        <v>0.9071</v>
      </c>
      <c r="BT134" s="24">
        <f t="shared" si="33"/>
        <v>0</v>
      </c>
      <c r="BU134" s="24">
        <f>IF(VLOOKUP($Q134,武学奇术!$A:$ZZ,22,FALSE)=1,0,(1-$BN134))*(1-$BQ134)</f>
        <v>0</v>
      </c>
      <c r="BV134" s="24" cm="1">
        <f t="array" ref="BV134">SUM(_xlfn.XLOOKUP($R134:$AK134,增益!$A:$A,增益!$W:$W,0))+$I$5</f>
        <v>0.26</v>
      </c>
    </row>
    <row r="135" spans="11:74">
      <c r="K135" s="38">
        <f t="shared" si="23"/>
        <v>0</v>
      </c>
      <c r="L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BP135*$P135*(1+IF(VLOOKUP($Q135,武学奇术!$A:$ZZ,30,FALSE)="弹道",$B$21,0))*(1+$BV135)</f>
        <v>0</v>
      </c>
      <c r="M135" s="38">
        <f>(($AT135*$AM135+$AN135)*(1+$AU135)*(1+$AV135)+($AY135*IF($G$1="鸣金",$AO135,$AM135)+IF($G$1="鸣金",$AP135*1.5,0))*(1+$AZ135)*(1+$BA135)+($BC135*IF($G$1="裂石",$AO135,$AM135)+IF($G$1="裂石",$AP135*1.5,0))*(1+$BD135)*(1+$BE135)+($BG135*IF($G$1="牵丝",$AO135,$AM135)+IF($G$1="牵丝",$AP135*1.5,0))*(1+$BH135)*(1+$BI135)+($BK135*IF($G$1="破竹",$AO135,$AM135)+IF($G$1="破竹",$AP135*1.5,0))*(1+$BL135)*(1+$BM135))*(1+$AQ135)*$BR135*$P135*(1+IF(VLOOKUP($Q135,武学奇术!$A:$ZZ,30,FALSE)="弹道",$B$21,0))*(1+$BV135)</f>
        <v>0</v>
      </c>
      <c r="N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P135*(1+IF(VLOOKUP($Q135,武学奇术!$A:$ZZ,30,FALSE)="弹道",$B$21,0))*(1+$BV135)</f>
        <v>0</v>
      </c>
      <c r="O135" s="38">
        <f>((($AS135*$AM135+$AN135)*(1+$AU135)*(1+$AV135)+($AX135*IF($G$1="鸣金",$AO135,$AM135)+IF($G$1="鸣金",$AP135*1.5,0))*(1+$AZ135)*(1+$BA135)+($BB135*IF($G$1="裂石",$AO135,$AM135)+IF($G$1="裂石",$AP135*1.5,0))*(1+$BD135)*(1+$BE135)+($BF135*IF($G$1="牵丝",$AO135,$AM135)+IF($G$1="牵丝",$AP135*1.5,0))*(1+$BH135)*(1+$BI135)+($BJ135*IF($G$1="破竹",$AO135,$AM135)+IF($G$1="破竹",$AP135*1.5,0))*(1+$BL135)*(1+$BM135))*(1+$AQ135))*$P135*(1+IF(VLOOKUP($Q135,武学奇术!$A:$ZZ,30,FALSE)="弹道",$B$21,0))*(1+$BV135)</f>
        <v>0</v>
      </c>
      <c r="P135" s="39">
        <v>1</v>
      </c>
      <c r="Q135" s="40" t="s">
        <v>78</v>
      </c>
      <c r="R135" s="40" t="s">
        <v>78</v>
      </c>
      <c r="S135" s="40" t="s">
        <v>78</v>
      </c>
      <c r="T135" s="40" t="s">
        <v>78</v>
      </c>
      <c r="U135" s="40" t="s">
        <v>78</v>
      </c>
      <c r="V135" s="40" t="s">
        <v>78</v>
      </c>
      <c r="W135" s="40" t="s">
        <v>78</v>
      </c>
      <c r="X135" s="40" t="s">
        <v>78</v>
      </c>
      <c r="Y135" s="40" t="s">
        <v>78</v>
      </c>
      <c r="Z135" s="40" t="s">
        <v>78</v>
      </c>
      <c r="AA135" s="40" t="s">
        <v>78</v>
      </c>
      <c r="AB135" s="40" t="s">
        <v>78</v>
      </c>
      <c r="AC135" s="40" t="s">
        <v>78</v>
      </c>
      <c r="AD135" s="40" t="s">
        <v>78</v>
      </c>
      <c r="AE135" s="40" t="s">
        <v>78</v>
      </c>
      <c r="AF135" s="40" t="s">
        <v>78</v>
      </c>
      <c r="AG135" s="40" t="s">
        <v>78</v>
      </c>
      <c r="AH135" s="40" t="s">
        <v>78</v>
      </c>
      <c r="AI135" s="40" t="s">
        <v>78</v>
      </c>
      <c r="AJ135" s="40" t="s">
        <v>78</v>
      </c>
      <c r="AK135" s="40" t="s">
        <v>78</v>
      </c>
      <c r="AL135" t="str">
        <f>VLOOKUP($Q135,武学奇术!$A:$ZZ,25,FALSE)</f>
        <v>心法</v>
      </c>
      <c r="AM135" s="24">
        <f>VLOOKUP($Q135,武学奇术!$A:$ZZ,26,FALSE)</f>
        <v>0</v>
      </c>
      <c r="AN135" s="25">
        <f>VLOOKUP($Q135,武学奇术!$A:$ZZ,27,FALSE)*(1+IF(OR($AL135=$F$4,$AL135=$F$5),$B$22,0))</f>
        <v>0</v>
      </c>
      <c r="AO135" s="24">
        <f>VLOOKUP($Q135,武学奇术!$A:$ZZ,28,FALSE)</f>
        <v>0</v>
      </c>
      <c r="AP135" s="25">
        <f>VLOOKUP($Q135,武学奇术!$A:$ZZ,29,FALSE)*(1+IF(OR($AL135=$F$4,$AL135=$F$5),$B$22,0))</f>
        <v>0</v>
      </c>
      <c r="AQ135" s="24" cm="1">
        <f t="array" ref="AQ135">$G$3+IFERROR(VLOOKUP($AL135,$F$4:$G$7,2,FALSE),0)+VLOOKUP($Q135,武学奇术!$A:$ZZ,2,FALSE)+SUM(_xlfn.XLOOKUP($R135:$AK135,增益!$A:$A,增益!$B:$B,0))</f>
        <v>0.1037</v>
      </c>
      <c r="AR135" s="24" cm="1">
        <f t="array" ref="AR135">VLOOKUP($Q135,武学奇术!$A:$ZZ,5,FALSE)+SUM(_xlfn.XLOOKUP($R135:$AK135,增益!$A:$A,增益!$E:$E,0))</f>
        <v>0</v>
      </c>
      <c r="AS135" cm="1">
        <f t="array" ref="AS135">$D$10*(1+$AR135)+VLOOKUP($Q135,武学奇术!$A:$ZZ,3,FALSE)+SUM(_xlfn.XLOOKUP($R135:$AK135,增益!$A:$A,增益!$C:$C,0))-$I$2</f>
        <v>3736.388</v>
      </c>
      <c r="AT135" cm="1">
        <f t="array" ref="AT135">$E$10*(1+$AR135)+VLOOKUP($Q135,武学奇术!$A:$ZZ,4,FALSE)+SUM(_xlfn.XLOOKUP($R135:$AK135,增益!$A:$A,增益!$D:$D,0))-$I$2</f>
        <v>3736.388</v>
      </c>
      <c r="AU135" s="32" cm="1">
        <f t="array" ref="AU135">IF($F$10-$I$3+VLOOKUP($Q135,武学奇术!$A:$ZZ,6,FALSE)+SUM(_xlfn.XLOOKUP($R135:$AK135,增益!$A:$A,增益!$F:$F,0))&gt;0,($F$10-$I$3+VLOOKUP($Q135,武学奇术!$A:$ZZ,6,FALSE)+SUM(_xlfn.XLOOKUP($R135:$AK135,增益!$A:$A,增益!$F:$F,0)))/200,($F$10-$I$3+VLOOKUP($Q135,武学奇术!$A:$ZZ,6,FALSE)+SUM(_xlfn.XLOOKUP($R135:$AK135,增益!$A:$A,增益!$F:$F,0)))/100)</f>
        <v>0.1925</v>
      </c>
      <c r="AV135" s="32" cm="1">
        <f t="array" ref="AV135">$G$10+VLOOKUP($Q135,武学奇术!$A:$ZZ,7,FALSE)+SUM(_xlfn.XLOOKUP($R135:$AK135,增益!$A:$A,增益!$G:$G,0))</f>
        <v>0</v>
      </c>
      <c r="AW135" s="24" cm="1">
        <f t="array" ref="AW135">VLOOKUP($Q135,武学奇术!$A:$ZZ,8,FALSE)+SUM(_xlfn.XLOOKUP($R135:$AK135,增益!$A:$A,增益!$H:$H,0))</f>
        <v>0</v>
      </c>
      <c r="AX135">
        <f t="shared" si="24"/>
        <v>0</v>
      </c>
      <c r="AY135">
        <f t="shared" si="25"/>
        <v>0</v>
      </c>
      <c r="AZ135" s="32" cm="1">
        <f t="array" ref="AZ135">IF($F$11-$I$4+VLOOKUP($Q135,武学奇术!$A:$ZZ,9,FALSE)+SUM(_xlfn.XLOOKUP($R135:$AK135,增益!$A:$A,增益!$I:$I,0))&gt;0,($F$11-$I$4+VLOOKUP($Q135,武学奇术!$A:$ZZ,9,FALSE)+SUM(_xlfn.XLOOKUP($R135:$AK135,增益!$A:$A,增益!$I:$I,0)))/200,($F$11-$I$4+VLOOKUP($Q135,武学奇术!$A:$ZZ,9,FALSE)+SUM(_xlfn.XLOOKUP($R135:$AK135,增益!$A:$A,增益!$I:$I,0)))/100)</f>
        <v>-0.3</v>
      </c>
      <c r="BA135" s="32" cm="1">
        <f t="array" ref="BA135">$G$11+VLOOKUP($Q135,武学奇术!$A:$ZZ,10,FALSE)+SUM(_xlfn.XLOOKUP($R135:$AK135,增益!$A:$A,增益!$J:$J,0))</f>
        <v>0</v>
      </c>
      <c r="BB135">
        <f t="shared" si="26"/>
        <v>0</v>
      </c>
      <c r="BC135">
        <f t="shared" si="27"/>
        <v>0</v>
      </c>
      <c r="BD135" s="32" cm="1">
        <f t="array" ref="BD135">IF($F$12-$I$4+VLOOKUP($Q135,武学奇术!$A:$ZZ,11,FALSE)+SUM(_xlfn.XLOOKUP($R135:$AK135,增益!$A:$A,增益!$K:$K,0))&gt;0,($F$12-$I$4+VLOOKUP($Q135,武学奇术!$A:$ZZ,11,FALSE)+SUM(_xlfn.XLOOKUP($R135:$AK135,增益!$A:$A,增益!$K:$K,0)))/200,($F$12-$I$4+VLOOKUP($Q135,武学奇术!$A:$ZZ,11,FALSE)+SUM(_xlfn.XLOOKUP($R135:$AK135,增益!$A:$A,增益!$K:$K,0)))/100)</f>
        <v>-0.3</v>
      </c>
      <c r="BE135" s="32" cm="1">
        <f t="array" ref="BE135">$G$12+VLOOKUP($Q135,武学奇术!$A:$ZZ,12,FALSE)+SUM(_xlfn.XLOOKUP($R135:$AK135,增益!$A:$A,增益!$L:$L,0))</f>
        <v>0</v>
      </c>
      <c r="BF135">
        <f t="shared" si="28"/>
        <v>605.472</v>
      </c>
      <c r="BG135">
        <f t="shared" si="29"/>
        <v>1579.612</v>
      </c>
      <c r="BH135" s="32" cm="1">
        <f t="array" ref="BH135">IF($F$13-$I$4+VLOOKUP($Q135,武学奇术!$A:$ZZ,13,FALSE)+SUM(_xlfn.XLOOKUP($R135:$AK135,增益!$A:$A,增益!$M:$M,0))&gt;0,($F$13-$I$4+VLOOKUP($Q135,武学奇术!$A:$ZZ,13,FALSE)+SUM(_xlfn.XLOOKUP($R135:$AK135,增益!$A:$A,增益!$K:$K,0)))/200,($F$13-$I$4+VLOOKUP($Q135,武学奇术!$A:$ZZ,13,FALSE)+SUM(_xlfn.XLOOKUP($R135:$AK135,增益!$A:$A,增益!$M:$M,0)))/100)</f>
        <v>0</v>
      </c>
      <c r="BI135" s="32" cm="1">
        <f t="array" ref="BI135">$G$13+VLOOKUP($Q135,武学奇术!$A:$ZZ,14,FALSE)+SUM(_xlfn.XLOOKUP($R135:$AK135,增益!$A:$A,增益!$N:$N,0))</f>
        <v>0.15</v>
      </c>
      <c r="BJ135">
        <f t="shared" si="30"/>
        <v>0</v>
      </c>
      <c r="BK135">
        <f t="shared" si="31"/>
        <v>0</v>
      </c>
      <c r="BL135" s="32" cm="1">
        <f t="array" ref="BL135">IF($F$14-$I$4+VLOOKUP($Q135,武学奇术!$A:$ZZ,15,FALSE)+SUM(_xlfn.XLOOKUP($R135:$AK135,增益!$A:$A,增益!$O:$O,0))&gt;0,($F$14-$I$4+VLOOKUP($Q135,武学奇术!$A:$ZZ,15,FALSE)+SUM(_xlfn.XLOOKUP($R135:$AK135,增益!$A:$A,增益!$O:$O,0)))/200,($F$14-$I$4+VLOOKUP($Q135,武学奇术!$A:$ZZ,15,FALSE)+SUM(_xlfn.XLOOKUP($R135:$AK135,增益!$A:$A,增益!$O:$O,0)))/100)</f>
        <v>-0.3</v>
      </c>
      <c r="BM135" s="32" cm="1">
        <f t="array" ref="BM135">$G$14+VLOOKUP($Q135,武学奇术!$A:$ZZ,16,FALSE)+SUM(_xlfn.XLOOKUP($R135:$AK135,增益!$A:$A,增益!$P:$P,0))</f>
        <v>0</v>
      </c>
      <c r="BN135" s="24">
        <f>MIN(IF(VLOOKUP($Q135,武学奇术!$A:$ZZ,23,FALSE)=1,100%,$B$8),100%)</f>
        <v>1</v>
      </c>
      <c r="BO135" s="24" cm="1">
        <f t="array" ref="BO135">IF(VLOOKUP($Q135,武学奇术!$A:$ZZ,23,FALSE)=1,100%,MIN(80%,$B$9+VLOOKUP($Q135,武学奇术!$A:$ZZ,17,FALSE)+SUM(_xlfn.XLOOKUP($R135:$AK135,增益!$A:$A,增益!$Q:$Q,0)))+$B$11+SUM(_xlfn.XLOOKUP($R135:$AK135,增益!$A:$A,增益!$U:$U,0)))*IF(VLOOKUP($Q135,武学奇术!$A:$ZZ,24,FALSE)=1,0,1)</f>
        <v>0.9093</v>
      </c>
      <c r="BP135" s="24" cm="1">
        <f t="array" ref="BP135">1+$B$13+VLOOKUP($Q135,武学奇术!$A:$ZZ,18,FALSE)+SUM(_xlfn.XLOOKUP($R135:$AK135,增益!$A:$A,增益!$R:$R,0))</f>
        <v>1.5</v>
      </c>
      <c r="BQ135" s="24" cm="1">
        <f t="array" ref="BQ135">IF(VLOOKUP($Q135,武学奇术!$A:$ZZ,24,FALSE)=1,100%,MIN(40%,$B$10+VLOOKUP($Q135,武学奇术!$A:$ZZ,19,FALSE)+SUM(_xlfn.XLOOKUP($R135:$AK135,增益!$A:$A,增益!$S:$S,0)))+$B$12+SUM(_xlfn.XLOOKUP($R135:$AK135,增益!$A:$A,增益!$V:$V,0)))*IF(VLOOKUP($Q135,武学奇术!$A:$ZZ,23,FALSE)=1,0,1)</f>
        <v>0.0929</v>
      </c>
      <c r="BR135" s="24" cm="1">
        <f t="array" ref="BR135">1+$B$14+VLOOKUP($Q135,武学奇术!$A:$ZZ,20,FALSE)+SUM(_xlfn.XLOOKUP($R135:$AK135,增益!$A:$A,增益!$T:$T,0))</f>
        <v>1.35</v>
      </c>
      <c r="BS135" s="24">
        <f t="shared" si="32"/>
        <v>0.9071</v>
      </c>
      <c r="BT135" s="24">
        <f t="shared" si="33"/>
        <v>0</v>
      </c>
      <c r="BU135" s="24">
        <f>IF(VLOOKUP($Q135,武学奇术!$A:$ZZ,22,FALSE)=1,0,(1-$BN135))*(1-$BQ135)</f>
        <v>0</v>
      </c>
      <c r="BV135" s="24" cm="1">
        <f t="array" ref="BV135">SUM(_xlfn.XLOOKUP($R135:$AK135,增益!$A:$A,增益!$W:$W,0))+$I$5</f>
        <v>0.06</v>
      </c>
    </row>
    <row r="136" spans="11:74">
      <c r="K136" s="38">
        <f t="shared" si="23"/>
        <v>0</v>
      </c>
      <c r="L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BP136*$P136*(1+IF(VLOOKUP($Q136,武学奇术!$A:$ZZ,30,FALSE)="弹道",$B$21,0))*(1+$BV136)</f>
        <v>0</v>
      </c>
      <c r="M136" s="38">
        <f>(($AT136*$AM136+$AN136)*(1+$AU136)*(1+$AV136)+($AY136*IF($G$1="鸣金",$AO136,$AM136)+IF($G$1="鸣金",$AP136*1.5,0))*(1+$AZ136)*(1+$BA136)+($BC136*IF($G$1="裂石",$AO136,$AM136)+IF($G$1="裂石",$AP136*1.5,0))*(1+$BD136)*(1+$BE136)+($BG136*IF($G$1="牵丝",$AO136,$AM136)+IF($G$1="牵丝",$AP136*1.5,0))*(1+$BH136)*(1+$BI136)+($BK136*IF($G$1="破竹",$AO136,$AM136)+IF($G$1="破竹",$AP136*1.5,0))*(1+$BL136)*(1+$BM136))*(1+$AQ136)*$BR136*$P136*(1+IF(VLOOKUP($Q136,武学奇术!$A:$ZZ,30,FALSE)="弹道",$B$21,0))*(1+$BV136)</f>
        <v>0</v>
      </c>
      <c r="N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P136*(1+IF(VLOOKUP($Q136,武学奇术!$A:$ZZ,30,FALSE)="弹道",$B$21,0))*(1+$BV136)</f>
        <v>0</v>
      </c>
      <c r="O136" s="38">
        <f>((($AS136*$AM136+$AN136)*(1+$AU136)*(1+$AV136)+($AX136*IF($G$1="鸣金",$AO136,$AM136)+IF($G$1="鸣金",$AP136*1.5,0))*(1+$AZ136)*(1+$BA136)+($BB136*IF($G$1="裂石",$AO136,$AM136)+IF($G$1="裂石",$AP136*1.5,0))*(1+$BD136)*(1+$BE136)+($BF136*IF($G$1="牵丝",$AO136,$AM136)+IF($G$1="牵丝",$AP136*1.5,0))*(1+$BH136)*(1+$BI136)+($BJ136*IF($G$1="破竹",$AO136,$AM136)+IF($G$1="破竹",$AP136*1.5,0))*(1+$BL136)*(1+$BM136))*(1+$AQ136))*$P136*(1+IF(VLOOKUP($Q136,武学奇术!$A:$ZZ,30,FALSE)="弹道",$B$21,0))*(1+$BV136)</f>
        <v>0</v>
      </c>
      <c r="P136" s="39">
        <v>1</v>
      </c>
      <c r="Q136" s="40" t="s">
        <v>78</v>
      </c>
      <c r="R136" s="40" t="s">
        <v>78</v>
      </c>
      <c r="S136" s="40" t="s">
        <v>78</v>
      </c>
      <c r="T136" s="40" t="s">
        <v>78</v>
      </c>
      <c r="U136" s="40" t="s">
        <v>78</v>
      </c>
      <c r="V136" s="40" t="s">
        <v>78</v>
      </c>
      <c r="W136" s="40" t="s">
        <v>78</v>
      </c>
      <c r="X136" s="40" t="s">
        <v>78</v>
      </c>
      <c r="Y136" s="40" t="s">
        <v>78</v>
      </c>
      <c r="Z136" s="40" t="s">
        <v>78</v>
      </c>
      <c r="AA136" s="40" t="s">
        <v>78</v>
      </c>
      <c r="AB136" s="40" t="s">
        <v>78</v>
      </c>
      <c r="AC136" s="40" t="s">
        <v>78</v>
      </c>
      <c r="AD136" s="40" t="s">
        <v>78</v>
      </c>
      <c r="AE136" s="40" t="s">
        <v>78</v>
      </c>
      <c r="AF136" s="40" t="s">
        <v>78</v>
      </c>
      <c r="AG136" s="40" t="s">
        <v>78</v>
      </c>
      <c r="AH136" s="40" t="s">
        <v>78</v>
      </c>
      <c r="AI136" s="40" t="s">
        <v>78</v>
      </c>
      <c r="AJ136" s="40" t="s">
        <v>78</v>
      </c>
      <c r="AK136" s="40" t="s">
        <v>78</v>
      </c>
      <c r="AL136" t="str">
        <f>VLOOKUP($Q136,武学奇术!$A:$ZZ,25,FALSE)</f>
        <v>心法</v>
      </c>
      <c r="AM136" s="24">
        <f>VLOOKUP($Q136,武学奇术!$A:$ZZ,26,FALSE)</f>
        <v>0</v>
      </c>
      <c r="AN136" s="25">
        <f>VLOOKUP($Q136,武学奇术!$A:$ZZ,27,FALSE)*(1+IF(OR($AL136=$F$4,$AL136=$F$5),$B$22,0))</f>
        <v>0</v>
      </c>
      <c r="AO136" s="24">
        <f>VLOOKUP($Q136,武学奇术!$A:$ZZ,28,FALSE)</f>
        <v>0</v>
      </c>
      <c r="AP136" s="25">
        <f>VLOOKUP($Q136,武学奇术!$A:$ZZ,29,FALSE)*(1+IF(OR($AL136=$F$4,$AL136=$F$5),$B$22,0))</f>
        <v>0</v>
      </c>
      <c r="AQ136" s="24" cm="1">
        <f t="array" ref="AQ136">$G$3+IFERROR(VLOOKUP($AL136,$F$4:$G$7,2,FALSE),0)+VLOOKUP($Q136,武学奇术!$A:$ZZ,2,FALSE)+SUM(_xlfn.XLOOKUP($R136:$AK136,增益!$A:$A,增益!$B:$B,0))</f>
        <v>0.1037</v>
      </c>
      <c r="AR136" s="24" cm="1">
        <f t="array" ref="AR136">VLOOKUP($Q136,武学奇术!$A:$ZZ,5,FALSE)+SUM(_xlfn.XLOOKUP($R136:$AK136,增益!$A:$A,增益!$E:$E,0))</f>
        <v>0</v>
      </c>
      <c r="AS136" cm="1">
        <f t="array" ref="AS136">$D$10*(1+$AR136)+VLOOKUP($Q136,武学奇术!$A:$ZZ,3,FALSE)+SUM(_xlfn.XLOOKUP($R136:$AK136,增益!$A:$A,增益!$C:$C,0))-$I$2</f>
        <v>3736.388</v>
      </c>
      <c r="AT136" cm="1">
        <f t="array" ref="AT136">$E$10*(1+$AR136)+VLOOKUP($Q136,武学奇术!$A:$ZZ,4,FALSE)+SUM(_xlfn.XLOOKUP($R136:$AK136,增益!$A:$A,增益!$D:$D,0))-$I$2</f>
        <v>3736.388</v>
      </c>
      <c r="AU136" s="32" cm="1">
        <f t="array" ref="AU136">IF($F$10-$I$3+VLOOKUP($Q136,武学奇术!$A:$ZZ,6,FALSE)+SUM(_xlfn.XLOOKUP($R136:$AK136,增益!$A:$A,增益!$F:$F,0))&gt;0,($F$10-$I$3+VLOOKUP($Q136,武学奇术!$A:$ZZ,6,FALSE)+SUM(_xlfn.XLOOKUP($R136:$AK136,增益!$A:$A,增益!$F:$F,0)))/200,($F$10-$I$3+VLOOKUP($Q136,武学奇术!$A:$ZZ,6,FALSE)+SUM(_xlfn.XLOOKUP($R136:$AK136,增益!$A:$A,增益!$F:$F,0)))/100)</f>
        <v>0.1925</v>
      </c>
      <c r="AV136" s="32" cm="1">
        <f t="array" ref="AV136">$G$10+VLOOKUP($Q136,武学奇术!$A:$ZZ,7,FALSE)+SUM(_xlfn.XLOOKUP($R136:$AK136,增益!$A:$A,增益!$G:$G,0))</f>
        <v>0</v>
      </c>
      <c r="AW136" s="24" cm="1">
        <f t="array" ref="AW136">VLOOKUP($Q136,武学奇术!$A:$ZZ,8,FALSE)+SUM(_xlfn.XLOOKUP($R136:$AK136,增益!$A:$A,增益!$H:$H,0))</f>
        <v>0</v>
      </c>
      <c r="AX136">
        <f t="shared" si="24"/>
        <v>0</v>
      </c>
      <c r="AY136">
        <f t="shared" si="25"/>
        <v>0</v>
      </c>
      <c r="AZ136" s="32" cm="1">
        <f t="array" ref="AZ136">IF($F$11-$I$4+VLOOKUP($Q136,武学奇术!$A:$ZZ,9,FALSE)+SUM(_xlfn.XLOOKUP($R136:$AK136,增益!$A:$A,增益!$I:$I,0))&gt;0,($F$11-$I$4+VLOOKUP($Q136,武学奇术!$A:$ZZ,9,FALSE)+SUM(_xlfn.XLOOKUP($R136:$AK136,增益!$A:$A,增益!$I:$I,0)))/200,($F$11-$I$4+VLOOKUP($Q136,武学奇术!$A:$ZZ,9,FALSE)+SUM(_xlfn.XLOOKUP($R136:$AK136,增益!$A:$A,增益!$I:$I,0)))/100)</f>
        <v>-0.3</v>
      </c>
      <c r="BA136" s="32" cm="1">
        <f t="array" ref="BA136">$G$11+VLOOKUP($Q136,武学奇术!$A:$ZZ,10,FALSE)+SUM(_xlfn.XLOOKUP($R136:$AK136,增益!$A:$A,增益!$J:$J,0))</f>
        <v>0</v>
      </c>
      <c r="BB136">
        <f t="shared" si="26"/>
        <v>0</v>
      </c>
      <c r="BC136">
        <f t="shared" si="27"/>
        <v>0</v>
      </c>
      <c r="BD136" s="32" cm="1">
        <f t="array" ref="BD136">IF($F$12-$I$4+VLOOKUP($Q136,武学奇术!$A:$ZZ,11,FALSE)+SUM(_xlfn.XLOOKUP($R136:$AK136,增益!$A:$A,增益!$K:$K,0))&gt;0,($F$12-$I$4+VLOOKUP($Q136,武学奇术!$A:$ZZ,11,FALSE)+SUM(_xlfn.XLOOKUP($R136:$AK136,增益!$A:$A,增益!$K:$K,0)))/200,($F$12-$I$4+VLOOKUP($Q136,武学奇术!$A:$ZZ,11,FALSE)+SUM(_xlfn.XLOOKUP($R136:$AK136,增益!$A:$A,增益!$K:$K,0)))/100)</f>
        <v>-0.3</v>
      </c>
      <c r="BE136" s="32" cm="1">
        <f t="array" ref="BE136">$G$12+VLOOKUP($Q136,武学奇术!$A:$ZZ,12,FALSE)+SUM(_xlfn.XLOOKUP($R136:$AK136,增益!$A:$A,增益!$L:$L,0))</f>
        <v>0</v>
      </c>
      <c r="BF136">
        <f t="shared" si="28"/>
        <v>605.472</v>
      </c>
      <c r="BG136">
        <f t="shared" si="29"/>
        <v>1579.612</v>
      </c>
      <c r="BH136" s="32" cm="1">
        <f t="array" ref="BH136">IF($F$13-$I$4+VLOOKUP($Q136,武学奇术!$A:$ZZ,13,FALSE)+SUM(_xlfn.XLOOKUP($R136:$AK136,增益!$A:$A,增益!$M:$M,0))&gt;0,($F$13-$I$4+VLOOKUP($Q136,武学奇术!$A:$ZZ,13,FALSE)+SUM(_xlfn.XLOOKUP($R136:$AK136,增益!$A:$A,增益!$K:$K,0)))/200,($F$13-$I$4+VLOOKUP($Q136,武学奇术!$A:$ZZ,13,FALSE)+SUM(_xlfn.XLOOKUP($R136:$AK136,增益!$A:$A,增益!$M:$M,0)))/100)</f>
        <v>0</v>
      </c>
      <c r="BI136" s="32" cm="1">
        <f t="array" ref="BI136">$G$13+VLOOKUP($Q136,武学奇术!$A:$ZZ,14,FALSE)+SUM(_xlfn.XLOOKUP($R136:$AK136,增益!$A:$A,增益!$N:$N,0))</f>
        <v>0.15</v>
      </c>
      <c r="BJ136">
        <f t="shared" si="30"/>
        <v>0</v>
      </c>
      <c r="BK136">
        <f t="shared" si="31"/>
        <v>0</v>
      </c>
      <c r="BL136" s="32" cm="1">
        <f t="array" ref="BL136">IF($F$14-$I$4+VLOOKUP($Q136,武学奇术!$A:$ZZ,15,FALSE)+SUM(_xlfn.XLOOKUP($R136:$AK136,增益!$A:$A,增益!$O:$O,0))&gt;0,($F$14-$I$4+VLOOKUP($Q136,武学奇术!$A:$ZZ,15,FALSE)+SUM(_xlfn.XLOOKUP($R136:$AK136,增益!$A:$A,增益!$O:$O,0)))/200,($F$14-$I$4+VLOOKUP($Q136,武学奇术!$A:$ZZ,15,FALSE)+SUM(_xlfn.XLOOKUP($R136:$AK136,增益!$A:$A,增益!$O:$O,0)))/100)</f>
        <v>-0.3</v>
      </c>
      <c r="BM136" s="32" cm="1">
        <f t="array" ref="BM136">$G$14+VLOOKUP($Q136,武学奇术!$A:$ZZ,16,FALSE)+SUM(_xlfn.XLOOKUP($R136:$AK136,增益!$A:$A,增益!$P:$P,0))</f>
        <v>0</v>
      </c>
      <c r="BN136" s="24">
        <f>MIN(IF(VLOOKUP($Q136,武学奇术!$A:$ZZ,23,FALSE)=1,100%,$B$8),100%)</f>
        <v>1</v>
      </c>
      <c r="BO136" s="24" cm="1">
        <f t="array" ref="BO136">IF(VLOOKUP($Q136,武学奇术!$A:$ZZ,23,FALSE)=1,100%,MIN(80%,$B$9+VLOOKUP($Q136,武学奇术!$A:$ZZ,17,FALSE)+SUM(_xlfn.XLOOKUP($R136:$AK136,增益!$A:$A,增益!$Q:$Q,0)))+$B$11+SUM(_xlfn.XLOOKUP($R136:$AK136,增益!$A:$A,增益!$U:$U,0)))*IF(VLOOKUP($Q136,武学奇术!$A:$ZZ,24,FALSE)=1,0,1)</f>
        <v>0.9093</v>
      </c>
      <c r="BP136" s="24" cm="1">
        <f t="array" ref="BP136">1+$B$13+VLOOKUP($Q136,武学奇术!$A:$ZZ,18,FALSE)+SUM(_xlfn.XLOOKUP($R136:$AK136,增益!$A:$A,增益!$R:$R,0))</f>
        <v>1.5</v>
      </c>
      <c r="BQ136" s="24" cm="1">
        <f t="array" ref="BQ136">IF(VLOOKUP($Q136,武学奇术!$A:$ZZ,24,FALSE)=1,100%,MIN(40%,$B$10+VLOOKUP($Q136,武学奇术!$A:$ZZ,19,FALSE)+SUM(_xlfn.XLOOKUP($R136:$AK136,增益!$A:$A,增益!$S:$S,0)))+$B$12+SUM(_xlfn.XLOOKUP($R136:$AK136,增益!$A:$A,增益!$V:$V,0)))*IF(VLOOKUP($Q136,武学奇术!$A:$ZZ,23,FALSE)=1,0,1)</f>
        <v>0.0929</v>
      </c>
      <c r="BR136" s="24" cm="1">
        <f t="array" ref="BR136">1+$B$14+VLOOKUP($Q136,武学奇术!$A:$ZZ,20,FALSE)+SUM(_xlfn.XLOOKUP($R136:$AK136,增益!$A:$A,增益!$T:$T,0))</f>
        <v>1.35</v>
      </c>
      <c r="BS136" s="24">
        <f t="shared" si="32"/>
        <v>0.9071</v>
      </c>
      <c r="BT136" s="24">
        <f t="shared" si="33"/>
        <v>0</v>
      </c>
      <c r="BU136" s="24">
        <f>IF(VLOOKUP($Q136,武学奇术!$A:$ZZ,22,FALSE)=1,0,(1-$BN136))*(1-$BQ136)</f>
        <v>0</v>
      </c>
      <c r="BV136" s="24" cm="1">
        <f t="array" ref="BV136">SUM(_xlfn.XLOOKUP($R136:$AK136,增益!$A:$A,增益!$W:$W,0))+$I$5</f>
        <v>0.06</v>
      </c>
    </row>
  </sheetData>
  <mergeCells count="18">
    <mergeCell ref="H1:I1"/>
    <mergeCell ref="C8:G8"/>
    <mergeCell ref="C15:D15"/>
    <mergeCell ref="E21:F21"/>
    <mergeCell ref="E22:F22"/>
    <mergeCell ref="A23:A24"/>
    <mergeCell ref="E23:E24"/>
    <mergeCell ref="F23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K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M41" sqref="M41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39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4" t="s">
        <v>107</v>
      </c>
      <c r="R1" t="s">
        <v>213</v>
      </c>
      <c r="S1" t="s">
        <v>109</v>
      </c>
      <c r="T1" t="s">
        <v>214</v>
      </c>
      <c r="U1" t="s">
        <v>215</v>
      </c>
      <c r="V1" t="s">
        <v>216</v>
      </c>
      <c r="W1" t="s">
        <v>217</v>
      </c>
      <c r="X1" t="s">
        <v>218</v>
      </c>
      <c r="Y1" t="s">
        <v>34</v>
      </c>
      <c r="Z1" s="24" t="s">
        <v>35</v>
      </c>
      <c r="AA1" s="25" t="s">
        <v>36</v>
      </c>
      <c r="AB1" s="24" t="s">
        <v>37</v>
      </c>
      <c r="AC1" s="25" t="s">
        <v>38</v>
      </c>
      <c r="AD1" t="s">
        <v>219</v>
      </c>
    </row>
    <row r="2" customFormat="1" spans="1:31">
      <c r="A2" t="s">
        <v>220</v>
      </c>
      <c r="E2" s="27"/>
      <c r="F2">
        <v>5</v>
      </c>
      <c r="G2" s="27">
        <f>IF(期望!$G$2="烟柳",10%,0)</f>
        <v>0</v>
      </c>
      <c r="N2" s="27">
        <f>IF(期望!$G$2="烟柳",10%,0)</f>
        <v>0</v>
      </c>
      <c r="Q2" s="24"/>
      <c r="R2" s="27">
        <v>0.36</v>
      </c>
      <c r="Y2" t="s">
        <v>86</v>
      </c>
      <c r="Z2" s="29">
        <f>171.75%*1.25</f>
        <v>2.146875</v>
      </c>
      <c r="AA2" s="30">
        <f>474*1.25</f>
        <v>592.5</v>
      </c>
      <c r="AB2" s="29">
        <f>257.62%*1.25</f>
        <v>3.22025</v>
      </c>
      <c r="AC2" s="30">
        <f>258*1.25</f>
        <v>322.5</v>
      </c>
      <c r="AD2" t="s">
        <v>221</v>
      </c>
    </row>
    <row r="3" spans="1:31">
      <c r="A3" t="s">
        <v>113</v>
      </c>
      <c r="E3" s="27"/>
      <c r="F3">
        <v>5</v>
      </c>
      <c r="G3" s="27">
        <f>IF(期望!$G$2="烟柳",10%,0)</f>
        <v>0</v>
      </c>
      <c r="N3" s="27">
        <f>IF(期望!$G$2="烟柳",10%,0)</f>
        <v>0</v>
      </c>
      <c r="R3" s="27">
        <v>0.36</v>
      </c>
      <c r="Y3" t="s">
        <v>86</v>
      </c>
      <c r="Z3" s="29">
        <f>102.17%*1.15</f>
        <v>1.174955</v>
      </c>
      <c r="AA3" s="30">
        <f>282*1.15</f>
        <v>324.3</v>
      </c>
      <c r="AB3" s="29">
        <f>153.25%*1.15</f>
        <v>1.762375</v>
      </c>
      <c r="AC3" s="30">
        <f>154*1.15</f>
        <v>177.1</v>
      </c>
      <c r="AD3" t="s">
        <v>221</v>
      </c>
    </row>
    <row r="4" spans="1:31">
      <c r="A4" t="s">
        <v>101</v>
      </c>
      <c r="B4" s="27"/>
      <c r="E4" s="27"/>
      <c r="F4">
        <v>5</v>
      </c>
      <c r="G4" s="27">
        <f>IF(期望!$G$2="烟柳",10%,0)</f>
        <v>0</v>
      </c>
      <c r="N4" s="27">
        <f>IF(期望!$G$2="烟柳",10%,0)</f>
        <v>0</v>
      </c>
      <c r="R4" s="27">
        <v>0.36</v>
      </c>
      <c r="Y4" t="s">
        <v>86</v>
      </c>
      <c r="Z4" s="29">
        <v>2.3397</v>
      </c>
      <c r="AA4" s="30">
        <v>648</v>
      </c>
      <c r="AB4" s="29">
        <v>3.5095</v>
      </c>
      <c r="AC4" s="25">
        <v>353</v>
      </c>
    </row>
    <row r="5" spans="1:31">
      <c r="A5" t="s">
        <v>108</v>
      </c>
      <c r="B5" s="27"/>
      <c r="E5" s="27"/>
      <c r="G5" s="27">
        <f>IF(期望!$G$2="烟柳",10%,0)</f>
        <v>0</v>
      </c>
      <c r="N5" s="27">
        <f>IF(期望!$G$2="烟柳",10%,0)</f>
        <v>0</v>
      </c>
      <c r="R5" s="27"/>
      <c r="Y5" t="s">
        <v>86</v>
      </c>
      <c r="Z5" s="29">
        <f>53.97%+116.04%</f>
        <v>1.7001</v>
      </c>
      <c r="AA5" s="30">
        <f>149+322</f>
        <v>471</v>
      </c>
      <c r="AB5" s="29">
        <f>80.96%+174.06%</f>
        <v>2.5502</v>
      </c>
      <c r="AC5" s="25">
        <f>81+175</f>
        <v>256</v>
      </c>
    </row>
    <row r="6" spans="1:31">
      <c r="A6" t="s">
        <v>111</v>
      </c>
      <c r="B6" s="27"/>
      <c r="E6" s="27"/>
      <c r="G6" s="27">
        <f>IF(期望!$G$2="烟柳",10%,0)</f>
        <v>0</v>
      </c>
      <c r="N6" s="27">
        <f>IF(期望!$G$2="烟柳",10%,0)</f>
        <v>0</v>
      </c>
      <c r="R6" s="27"/>
      <c r="Y6" t="s">
        <v>86</v>
      </c>
      <c r="Z6" s="26">
        <v>0.54</v>
      </c>
      <c r="AA6" s="25">
        <v>148</v>
      </c>
      <c r="AB6" s="24">
        <v>0.81</v>
      </c>
      <c r="AC6" s="25">
        <v>81.5</v>
      </c>
      <c r="AD6" t="s">
        <v>221</v>
      </c>
    </row>
    <row r="7" spans="1:31">
      <c r="A7" t="s">
        <v>169</v>
      </c>
      <c r="E7" s="27"/>
      <c r="G7" s="27">
        <f>IF(期望!$G$2="烟柳",10%,0)</f>
        <v>0</v>
      </c>
      <c r="N7" s="27">
        <f>IF(期望!$G$2="烟柳",10%,0)</f>
        <v>0</v>
      </c>
      <c r="Y7" t="s">
        <v>91</v>
      </c>
      <c r="Z7" s="26">
        <f>190.44%*1.45</f>
        <v>2.76138</v>
      </c>
      <c r="AA7" s="28">
        <f>527*1.45</f>
        <v>764.15</v>
      </c>
      <c r="AB7" s="26">
        <f>285.66%*1.45</f>
        <v>4.14207</v>
      </c>
      <c r="AC7" s="25">
        <f>287*1.45</f>
        <v>416.15</v>
      </c>
    </row>
    <row r="8" spans="1:31">
      <c r="A8" t="s">
        <v>160</v>
      </c>
      <c r="B8" s="27"/>
      <c r="E8" s="27"/>
      <c r="G8" s="27"/>
      <c r="N8" s="27"/>
      <c r="R8" s="27"/>
      <c r="Y8" t="s">
        <v>91</v>
      </c>
      <c r="Z8" s="26">
        <v>0.9271</v>
      </c>
      <c r="AA8" s="28">
        <v>257</v>
      </c>
      <c r="AB8" s="26">
        <v>1.3907</v>
      </c>
      <c r="AC8" s="25">
        <v>140</v>
      </c>
    </row>
    <row r="9" spans="1:31">
      <c r="A9" t="s">
        <v>131</v>
      </c>
      <c r="B9" s="27"/>
      <c r="E9" s="27"/>
      <c r="G9" s="27"/>
      <c r="N9" s="27"/>
      <c r="R9" s="27"/>
      <c r="Y9" t="s">
        <v>91</v>
      </c>
      <c r="Z9" s="26">
        <v>1.2798</v>
      </c>
      <c r="AA9" s="28">
        <v>355</v>
      </c>
      <c r="AB9" s="26">
        <v>1.9197</v>
      </c>
      <c r="AC9" s="25">
        <v>193</v>
      </c>
    </row>
    <row r="10" spans="1:31">
      <c r="A10" t="s">
        <v>222</v>
      </c>
      <c r="B10" s="27"/>
      <c r="E10" s="27"/>
      <c r="G10" s="27">
        <f>IF(期望!$G$2="烟柳",10%,0)</f>
        <v>0</v>
      </c>
      <c r="N10" s="27">
        <f>IF(期望!$G$2="烟柳",10%,0)</f>
        <v>0</v>
      </c>
      <c r="R10" s="27">
        <v>0.36</v>
      </c>
      <c r="Y10" t="s">
        <v>91</v>
      </c>
      <c r="Z10" s="26">
        <f>124.78%*1.45</f>
        <v>1.80931</v>
      </c>
      <c r="AA10" s="28">
        <f>346*1.45</f>
        <v>501.7</v>
      </c>
      <c r="AB10" s="26">
        <f>187.16%*1.45</f>
        <v>2.71382</v>
      </c>
      <c r="AC10" s="25">
        <f>188*1.45</f>
        <v>272.6</v>
      </c>
    </row>
    <row r="11" spans="1:31">
      <c r="A11" t="s">
        <v>175</v>
      </c>
      <c r="B11" s="27"/>
      <c r="E11" s="27"/>
      <c r="G11" s="27">
        <f>IF(期望!$G$2="烟柳",10%,0)</f>
        <v>0</v>
      </c>
      <c r="N11" s="27">
        <f>IF(期望!$G$2="烟柳",10%,0)</f>
        <v>0</v>
      </c>
      <c r="R11" s="27">
        <v>0.36</v>
      </c>
      <c r="Y11" t="s">
        <v>91</v>
      </c>
      <c r="Z11" s="26">
        <f>301.85%*1.45</f>
        <v>4.376825</v>
      </c>
      <c r="AA11" s="28">
        <f>835*1.45</f>
        <v>1210.75</v>
      </c>
      <c r="AB11" s="26">
        <f>452.78%*1.45</f>
        <v>6.56531</v>
      </c>
      <c r="AC11" s="25">
        <f>455*1.45</f>
        <v>659.75</v>
      </c>
    </row>
    <row r="12" customFormat="1" spans="1:31">
      <c r="A12" t="s">
        <v>223</v>
      </c>
      <c r="B12"/>
      <c r="Q12" s="24"/>
      <c r="R12" s="27"/>
      <c r="Y12" t="s">
        <v>100</v>
      </c>
      <c r="Z12" s="24">
        <f>198.73%*2</f>
        <v>3.9746</v>
      </c>
      <c r="AA12" s="25">
        <f>504*2</f>
        <v>1008</v>
      </c>
      <c r="AB12" s="24">
        <f t="shared" ref="AB12:AB27" si="0">Z12*1.5</f>
        <v>5.9619</v>
      </c>
      <c r="AC12" s="25"/>
      <c r="AE12">
        <v>1</v>
      </c>
    </row>
    <row r="13" customFormat="1" spans="1:31">
      <c r="A13" t="s">
        <v>75</v>
      </c>
      <c r="B13"/>
      <c r="Q13" s="24"/>
      <c r="R13" s="27"/>
      <c r="Y13" t="s">
        <v>100</v>
      </c>
      <c r="Z13" s="24">
        <f>74.52%*2</f>
        <v>1.4904</v>
      </c>
      <c r="AA13" s="25">
        <f>189*2</f>
        <v>378</v>
      </c>
      <c r="AB13" s="24">
        <f t="shared" si="0"/>
        <v>2.2356</v>
      </c>
      <c r="AC13" s="25"/>
      <c r="AE13">
        <v>1</v>
      </c>
    </row>
    <row r="14" customFormat="1" spans="1:31">
      <c r="A14" t="s">
        <v>192</v>
      </c>
      <c r="B14" s="27"/>
      <c r="E14" s="27"/>
      <c r="F14"/>
      <c r="G14" s="27"/>
      <c r="N14" s="27"/>
      <c r="O14"/>
      <c r="R14" s="27"/>
      <c r="Y14" t="s">
        <v>100</v>
      </c>
      <c r="Z14" s="24">
        <f>254.71%*2.7*1.5</f>
        <v>10.315755</v>
      </c>
      <c r="AA14" s="25">
        <f>492*2.7*1.5</f>
        <v>1992.6</v>
      </c>
      <c r="AB14" s="24">
        <f t="shared" si="0"/>
        <v>15.4736325</v>
      </c>
      <c r="AC14" s="25"/>
      <c r="AE14">
        <v>1</v>
      </c>
    </row>
    <row r="15" customFormat="1" spans="1:31">
      <c r="A15" t="s">
        <v>195</v>
      </c>
      <c r="B15" s="27"/>
      <c r="Q15" s="24"/>
      <c r="R15" s="27"/>
      <c r="Y15" t="s">
        <v>96</v>
      </c>
      <c r="Z15" s="24">
        <f>319.88%+390.96%</f>
        <v>7.1084</v>
      </c>
      <c r="AA15" s="25">
        <f>616+753</f>
        <v>1369</v>
      </c>
      <c r="AB15" s="24">
        <f t="shared" si="0"/>
        <v>10.6626</v>
      </c>
      <c r="AC15" s="25"/>
      <c r="AE15">
        <v>1</v>
      </c>
    </row>
    <row r="16" customFormat="1" spans="1:31">
      <c r="A16" t="s">
        <v>224</v>
      </c>
      <c r="B16" s="27">
        <v>0.4</v>
      </c>
      <c r="Q16" s="24"/>
      <c r="R16" s="27"/>
      <c r="V16">
        <v>1</v>
      </c>
      <c r="Y16" t="s">
        <v>96</v>
      </c>
      <c r="Z16" s="24">
        <f>1636.48%*2.2*0.7</f>
        <v>25.201792</v>
      </c>
      <c r="AA16" s="25">
        <f>3162*2.2*0.7</f>
        <v>4869.48</v>
      </c>
      <c r="AB16" s="24">
        <f t="shared" si="0"/>
        <v>37.802688</v>
      </c>
      <c r="AC16" s="25"/>
      <c r="AE16">
        <v>1</v>
      </c>
    </row>
    <row r="17" customFormat="1" spans="1:31">
      <c r="A17" t="s">
        <v>225</v>
      </c>
      <c r="B17"/>
      <c r="Q17" s="24"/>
      <c r="R17" s="27"/>
      <c r="Y17" t="s">
        <v>100</v>
      </c>
      <c r="Z17" s="24">
        <f>(416.02%+772.61%)*2</f>
        <v>23.7726</v>
      </c>
      <c r="AA17" s="25">
        <f>(803+1493)*2</f>
        <v>4592</v>
      </c>
      <c r="AB17" s="24">
        <f t="shared" si="0"/>
        <v>35.6589</v>
      </c>
      <c r="AC17" s="25"/>
      <c r="AE17">
        <v>1</v>
      </c>
    </row>
    <row r="18" customFormat="1" spans="1:31">
      <c r="A18" t="s">
        <v>226</v>
      </c>
      <c r="B18" s="27"/>
      <c r="Q18" s="24"/>
      <c r="R18" s="27"/>
      <c r="Y18" t="s">
        <v>96</v>
      </c>
      <c r="Z18" s="24">
        <f>257.01%/2</f>
        <v>1.28505</v>
      </c>
      <c r="AA18" s="25">
        <f>502/2</f>
        <v>251</v>
      </c>
      <c r="AB18" s="24">
        <f t="shared" si="0"/>
        <v>1.927575</v>
      </c>
      <c r="AC18" s="25"/>
      <c r="AE18">
        <v>1</v>
      </c>
    </row>
    <row r="19" customFormat="1" spans="1:31">
      <c r="A19" t="s">
        <v>134</v>
      </c>
      <c r="B19"/>
      <c r="Q19" s="24"/>
      <c r="R19" s="27"/>
      <c r="Y19" t="s">
        <v>96</v>
      </c>
      <c r="Z19" s="24">
        <f>257.01%+141.62%</f>
        <v>3.9863</v>
      </c>
      <c r="AA19" s="25">
        <f>502+276</f>
        <v>778</v>
      </c>
      <c r="AB19" s="24">
        <f t="shared" si="0"/>
        <v>5.97945</v>
      </c>
      <c r="AC19" s="25"/>
      <c r="AE19">
        <v>1</v>
      </c>
    </row>
    <row r="20" customFormat="1" spans="1:31">
      <c r="A20" t="s">
        <v>137</v>
      </c>
      <c r="B20" s="27"/>
      <c r="Q20" s="24"/>
      <c r="R20" s="27"/>
      <c r="T20" s="27"/>
      <c r="Y20" t="s">
        <v>96</v>
      </c>
      <c r="Z20" s="24">
        <v>0.236</v>
      </c>
      <c r="AA20" s="25">
        <v>46</v>
      </c>
      <c r="AB20" s="24">
        <f t="shared" si="0"/>
        <v>0.354</v>
      </c>
      <c r="AC20" s="25"/>
      <c r="AE20">
        <v>0.5</v>
      </c>
    </row>
    <row r="21" customFormat="1" spans="1:31">
      <c r="A21" t="s">
        <v>227</v>
      </c>
      <c r="B21" s="27"/>
      <c r="Q21" s="24"/>
      <c r="R21" s="27"/>
      <c r="Y21" t="s">
        <v>96</v>
      </c>
      <c r="Z21" s="24">
        <f>272.42%/2</f>
        <v>1.3621</v>
      </c>
      <c r="AA21" s="25">
        <f>528/2</f>
        <v>264</v>
      </c>
      <c r="AB21" s="24">
        <f t="shared" si="0"/>
        <v>2.04315</v>
      </c>
      <c r="AC21" s="25"/>
      <c r="AE21">
        <v>1</v>
      </c>
    </row>
    <row r="22" customFormat="1" spans="1:31">
      <c r="A22" t="s">
        <v>228</v>
      </c>
      <c r="B22"/>
      <c r="Q22" s="24"/>
      <c r="R22" s="27"/>
      <c r="Y22" t="s">
        <v>96</v>
      </c>
      <c r="Z22" s="24">
        <f>272.42%+150.11%</f>
        <v>4.2253</v>
      </c>
      <c r="AA22" s="25">
        <f>528+291</f>
        <v>819</v>
      </c>
      <c r="AB22" s="24">
        <f t="shared" si="0"/>
        <v>6.33795</v>
      </c>
      <c r="AC22" s="25"/>
      <c r="AE22">
        <v>1</v>
      </c>
    </row>
    <row r="23" customFormat="1" spans="1:31">
      <c r="A23" t="s">
        <v>229</v>
      </c>
      <c r="B23" s="27"/>
      <c r="Q23" s="24"/>
      <c r="R23" s="27"/>
      <c r="T23" s="27"/>
      <c r="Y23" t="s">
        <v>96</v>
      </c>
      <c r="Z23" s="24">
        <v>0.2958</v>
      </c>
      <c r="AA23" s="25">
        <v>57</v>
      </c>
      <c r="AB23" s="24">
        <f t="shared" si="0"/>
        <v>0.4437</v>
      </c>
      <c r="AC23" s="25"/>
      <c r="AE23">
        <v>0.5</v>
      </c>
    </row>
    <row r="24" customFormat="1" spans="1:31">
      <c r="A24" t="s">
        <v>153</v>
      </c>
      <c r="B24"/>
      <c r="Q24" s="24"/>
      <c r="R24" s="27"/>
      <c r="Y24" t="s">
        <v>96</v>
      </c>
      <c r="Z24" s="24">
        <v>1.0239</v>
      </c>
      <c r="AA24" s="25">
        <v>196</v>
      </c>
      <c r="AB24" s="24">
        <f t="shared" si="0"/>
        <v>1.53585</v>
      </c>
      <c r="AC24" s="25"/>
      <c r="AE24">
        <v>1</v>
      </c>
    </row>
    <row r="25" customFormat="1" spans="1:31">
      <c r="A25" t="s">
        <v>164</v>
      </c>
      <c r="B25" s="27">
        <v>0.8</v>
      </c>
      <c r="Q25" s="24"/>
      <c r="R25" s="27"/>
      <c r="Y25" t="s">
        <v>96</v>
      </c>
      <c r="Z25" s="24">
        <v>1.7065</v>
      </c>
      <c r="AA25" s="25">
        <v>327</v>
      </c>
      <c r="AB25" s="24">
        <f t="shared" si="0"/>
        <v>2.55975</v>
      </c>
      <c r="AC25" s="25"/>
      <c r="AE25">
        <v>1</v>
      </c>
    </row>
    <row r="26" customFormat="1" spans="1:31">
      <c r="A26" t="s">
        <v>230</v>
      </c>
      <c r="B26"/>
      <c r="Q26" s="24"/>
      <c r="R26" s="27"/>
      <c r="Y26" t="s">
        <v>96</v>
      </c>
      <c r="Z26" s="24">
        <v>0.7021</v>
      </c>
      <c r="AA26" s="25">
        <v>134</v>
      </c>
      <c r="AB26" s="24">
        <f t="shared" si="0"/>
        <v>1.05315</v>
      </c>
      <c r="AC26" s="25"/>
      <c r="AE26">
        <v>1</v>
      </c>
    </row>
    <row r="27" customFormat="1" spans="1:31">
      <c r="A27" t="s">
        <v>155</v>
      </c>
      <c r="B27"/>
      <c r="Q27" s="24"/>
      <c r="R27" s="27"/>
      <c r="Y27" t="s">
        <v>96</v>
      </c>
      <c r="Z27" s="24">
        <v>1.609</v>
      </c>
      <c r="AA27" s="25">
        <v>308</v>
      </c>
      <c r="AB27" s="24">
        <f t="shared" si="0"/>
        <v>2.4135</v>
      </c>
      <c r="AC27" s="25"/>
      <c r="AE27">
        <v>1</v>
      </c>
    </row>
    <row r="28" customFormat="1" spans="1:31">
      <c r="A28" t="s">
        <v>197</v>
      </c>
      <c r="Q28" s="24"/>
      <c r="R28" s="27"/>
      <c r="Y28" t="s">
        <v>231</v>
      </c>
      <c r="Z28" s="24">
        <v>1</v>
      </c>
      <c r="AA28" s="25"/>
      <c r="AB28" s="24">
        <v>1</v>
      </c>
      <c r="AC28" s="25"/>
      <c r="AE28">
        <v>1</v>
      </c>
    </row>
    <row r="29" customFormat="1" spans="1:31">
      <c r="A29" t="s">
        <v>232</v>
      </c>
      <c r="B29" s="27"/>
      <c r="E29" s="27"/>
      <c r="G29" s="27"/>
      <c r="N29" s="27"/>
      <c r="R29" s="27"/>
      <c r="Y29" t="s">
        <v>100</v>
      </c>
      <c r="Z29" s="24">
        <f>254.71%*2.7</f>
        <v>6.87717</v>
      </c>
      <c r="AA29" s="25">
        <f>492*2.7</f>
        <v>1328.4</v>
      </c>
      <c r="AB29" s="24">
        <f>Z29*1.5</f>
        <v>10.315755</v>
      </c>
      <c r="AC29" s="25"/>
      <c r="AE29">
        <v>1</v>
      </c>
    </row>
    <row r="30" customFormat="1" spans="1:31">
      <c r="A30" t="s">
        <v>78</v>
      </c>
      <c r="Q30" s="24"/>
      <c r="Y30" t="s">
        <v>231</v>
      </c>
      <c r="Z30" s="24">
        <v>0</v>
      </c>
      <c r="AA30" s="25"/>
      <c r="AB30" s="24">
        <v>0</v>
      </c>
      <c r="AC30" s="25"/>
      <c r="AE3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W14" sqref="W14"/>
    </sheetView>
  </sheetViews>
  <sheetFormatPr defaultColWidth="9" defaultRowHeight="13.5"/>
  <cols>
    <col min="1" max="1" width="15.875" customWidth="1"/>
    <col min="2" max="2" width="9.00833333333333" style="24" customWidth="1"/>
    <col min="18" max="18" width="9" style="24"/>
    <col min="23" max="23" width="9" style="24"/>
    <col min="24" max="24" width="9.375" style="24"/>
    <col min="25" max="25" width="9" style="25"/>
  </cols>
  <sheetData>
    <row r="1" spans="1:27">
      <c r="B1" s="24" t="s">
        <v>39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107</v>
      </c>
      <c r="R1" s="24" t="s">
        <v>213</v>
      </c>
      <c r="S1" t="s">
        <v>109</v>
      </c>
      <c r="T1" t="s">
        <v>214</v>
      </c>
      <c r="U1" s="24" t="s">
        <v>112</v>
      </c>
      <c r="V1" s="25" t="s">
        <v>114</v>
      </c>
      <c r="W1" s="24" t="s">
        <v>70</v>
      </c>
    </row>
    <row r="2" customFormat="1" spans="1:27">
      <c r="A2" t="s">
        <v>84</v>
      </c>
      <c r="B2" s="24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R2" s="24"/>
      <c r="W2" s="26"/>
      <c r="X2" s="26"/>
      <c r="Y2" s="25"/>
    </row>
    <row r="3" customFormat="1" spans="1:27">
      <c r="A3" t="s">
        <v>138</v>
      </c>
      <c r="B3" s="24">
        <f>IF(期望!$D$20="√",25%,0)</f>
        <v>0</v>
      </c>
      <c r="R3" s="24"/>
      <c r="W3" s="26"/>
      <c r="X3" s="24"/>
      <c r="Y3" s="25"/>
    </row>
    <row r="4" customFormat="1" spans="1:27">
      <c r="A4" t="s">
        <v>233</v>
      </c>
      <c r="B4" s="27"/>
      <c r="E4" s="27">
        <f>IF(期望!$D$21="√",12%,0)</f>
        <v>0</v>
      </c>
      <c r="H4" s="27">
        <f>IF(期望!$D$21="√",12%,0)</f>
        <v>0</v>
      </c>
      <c r="I4" s="27"/>
      <c r="W4" s="26"/>
      <c r="X4" s="26"/>
      <c r="Y4" s="28"/>
      <c r="Z4" s="26"/>
      <c r="AA4" s="25"/>
    </row>
    <row r="5" customFormat="1" spans="1:27">
      <c r="A5" t="s">
        <v>234</v>
      </c>
      <c r="B5" s="27"/>
      <c r="H5" s="27">
        <f>IF(期望!$D$21="√",6%,0)</f>
        <v>0</v>
      </c>
      <c r="W5" s="26"/>
      <c r="X5" s="26"/>
      <c r="Y5" s="28"/>
      <c r="Z5" s="26"/>
      <c r="AA5" s="25"/>
    </row>
    <row r="6" customFormat="1" spans="1:27">
      <c r="A6" t="s">
        <v>235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6"/>
      <c r="X6" s="26"/>
      <c r="Y6" s="28"/>
      <c r="Z6" s="26"/>
      <c r="AA6" s="25"/>
    </row>
    <row r="7" customFormat="1" spans="1:27">
      <c r="A7" t="s">
        <v>236</v>
      </c>
      <c r="B7" s="27"/>
      <c r="G7" s="27">
        <f>IF(期望!$D$22="√",2%,0)</f>
        <v>0</v>
      </c>
      <c r="J7" s="27">
        <f>IF(期望!$D$22="√",2%,0)</f>
        <v>0</v>
      </c>
      <c r="L7" s="27">
        <f>IF(期望!$D$22="√",2%,0)</f>
        <v>0</v>
      </c>
      <c r="N7" s="27">
        <f>IF(期望!$D$22="√",2%,0)</f>
        <v>0</v>
      </c>
      <c r="P7" s="27">
        <f>IF(期望!$D$22="√",2%,0)</f>
        <v>0</v>
      </c>
      <c r="W7" s="26"/>
      <c r="X7" s="26"/>
      <c r="Y7" s="28"/>
      <c r="Z7" s="26"/>
      <c r="AA7" s="25"/>
    </row>
    <row r="8" customFormat="1" spans="1:27">
      <c r="A8" t="s">
        <v>117</v>
      </c>
      <c r="B8" s="27">
        <f>IF(期望!$D$23="√",24%,0)</f>
        <v>0.24</v>
      </c>
      <c r="R8" s="24"/>
      <c r="W8" s="26"/>
      <c r="X8" s="24"/>
      <c r="Y8" s="25"/>
    </row>
    <row r="9" customFormat="1" spans="1:27">
      <c r="A9" t="s">
        <v>187</v>
      </c>
      <c r="B9" s="27">
        <v>0.29</v>
      </c>
      <c r="R9" s="24"/>
      <c r="W9" s="26"/>
      <c r="X9" s="24"/>
      <c r="Y9" s="25"/>
    </row>
    <row r="10" spans="1:27">
      <c r="A10" t="s">
        <v>79</v>
      </c>
      <c r="B10" s="24">
        <v>0.02</v>
      </c>
      <c r="W10" s="26"/>
    </row>
    <row r="11" customFormat="1" spans="1:27">
      <c r="A11" t="s">
        <v>237</v>
      </c>
      <c r="B11" s="24">
        <v>0.2</v>
      </c>
      <c r="R11" s="24"/>
      <c r="W11" s="26"/>
      <c r="X11" s="24"/>
      <c r="Y11" s="25"/>
    </row>
    <row r="12" spans="1:27">
      <c r="A12" t="s">
        <v>238</v>
      </c>
      <c r="W12" s="26">
        <v>0.05</v>
      </c>
    </row>
    <row r="13" spans="1:27">
      <c r="A13" t="s">
        <v>188</v>
      </c>
      <c r="B13" s="24"/>
      <c r="W13" s="24">
        <v>0.1</v>
      </c>
    </row>
    <row r="14" spans="1:27">
      <c r="A14" t="s">
        <v>185</v>
      </c>
      <c r="W14" s="24">
        <v>0.1</v>
      </c>
    </row>
    <row r="15" spans="1:27">
      <c r="A15" t="s">
        <v>186</v>
      </c>
      <c r="J15" s="27">
        <f>IF(期望!$D$18="√",10%,0)</f>
        <v>0</v>
      </c>
      <c r="W15" s="24">
        <f>IF(期望!$D$18="√",10%,0)</f>
        <v>0</v>
      </c>
      <c r="X15" s="26"/>
    </row>
    <row r="16" spans="1:27">
      <c r="A16" t="s">
        <v>171</v>
      </c>
      <c r="E16" s="27">
        <v>0.15</v>
      </c>
      <c r="X16" s="26"/>
    </row>
    <row r="17" spans="1:25">
      <c r="A17" t="s">
        <v>90</v>
      </c>
      <c r="E17" s="24">
        <v>0.075</v>
      </c>
      <c r="G17" s="27"/>
      <c r="J17" s="27"/>
      <c r="L17" s="27"/>
      <c r="M17" s="27"/>
      <c r="N17" s="27"/>
      <c r="P17" s="27"/>
      <c r="X17" s="26"/>
    </row>
    <row r="18" spans="1:25">
      <c r="A18" t="s">
        <v>106</v>
      </c>
      <c r="B18" s="24">
        <v>0.25</v>
      </c>
      <c r="E18" s="27"/>
      <c r="H18" s="27"/>
      <c r="S18" s="27"/>
      <c r="T18" s="27"/>
      <c r="X18" s="26"/>
    </row>
    <row r="19" customFormat="1" spans="1:25">
      <c r="A19" t="s">
        <v>183</v>
      </c>
      <c r="B19" s="24">
        <v>0.3</v>
      </c>
      <c r="E19" s="27"/>
      <c r="H19" s="27"/>
      <c r="R19" s="24"/>
      <c r="S19" s="27"/>
      <c r="T19" s="27"/>
      <c r="W19" s="24"/>
      <c r="X19" s="26"/>
      <c r="Y19" s="25"/>
    </row>
    <row r="20" spans="1:25">
      <c r="A20" t="s">
        <v>102</v>
      </c>
      <c r="B20" s="24">
        <v>0.4</v>
      </c>
      <c r="E20" s="27"/>
      <c r="H20" s="27"/>
      <c r="S20" s="27"/>
      <c r="T20" s="27"/>
      <c r="X20" s="26"/>
    </row>
    <row r="21" customFormat="1" spans="1:25">
      <c r="A21" t="s">
        <v>177</v>
      </c>
      <c r="B21" s="24">
        <v>0.1</v>
      </c>
      <c r="E21" s="27"/>
      <c r="H21" s="27"/>
      <c r="R21" s="24"/>
      <c r="S21" s="27"/>
      <c r="T21" s="27"/>
      <c r="W21" s="24"/>
      <c r="X21" s="26"/>
      <c r="Y21" s="25"/>
    </row>
    <row r="22" customFormat="1" spans="1:25">
      <c r="A22" t="s">
        <v>239</v>
      </c>
      <c r="B22" s="24"/>
      <c r="F22">
        <f>IF(期望!$F$23="不带",0,5)</f>
        <v>5</v>
      </c>
      <c r="R22" s="24">
        <f>IF(期望!$F$23="不带",0,5%)</f>
        <v>0.05</v>
      </c>
      <c r="S22" s="27"/>
      <c r="T22" s="27"/>
      <c r="W22" s="24"/>
      <c r="X22" s="26"/>
      <c r="Y22" s="25"/>
    </row>
    <row r="23" customFormat="1" spans="1:25">
      <c r="A23" t="s">
        <v>240</v>
      </c>
      <c r="B23" s="24"/>
      <c r="E23" s="27"/>
      <c r="F23">
        <f>IF(期望!$F$23="不带",0,10)</f>
        <v>10</v>
      </c>
      <c r="H23" s="27"/>
      <c r="R23" s="24">
        <f>IF(期望!$F$23="不带",0,10%)</f>
        <v>0.1</v>
      </c>
      <c r="S23" s="27"/>
      <c r="T23" s="27"/>
      <c r="W23" s="24"/>
      <c r="X23" s="26"/>
      <c r="Y23" s="25"/>
    </row>
    <row r="24" customFormat="1" spans="1:25">
      <c r="A24" t="s">
        <v>241</v>
      </c>
      <c r="B24" s="24"/>
      <c r="F24">
        <f>IF(期望!$F$23="不带",0,15)</f>
        <v>15</v>
      </c>
      <c r="R24" s="24">
        <f>IF(期望!$F$23="不带",0,15%)</f>
        <v>0.15</v>
      </c>
      <c r="S24" s="27"/>
      <c r="T24" s="27"/>
      <c r="W24" s="24"/>
      <c r="X24" s="26"/>
      <c r="Y24" s="25"/>
    </row>
    <row r="25" customFormat="1" spans="1:25">
      <c r="A25" t="s">
        <v>242</v>
      </c>
      <c r="B25" s="24"/>
      <c r="E25" s="27"/>
      <c r="F25">
        <f>IF(期望!$F$23="不带",0,20)</f>
        <v>20</v>
      </c>
      <c r="H25" s="27"/>
      <c r="R25" s="24">
        <f>IF(期望!$F$23="不带",0,20%)</f>
        <v>0.2</v>
      </c>
      <c r="S25" s="27"/>
      <c r="T25" s="27"/>
      <c r="W25" s="24"/>
      <c r="X25" s="26"/>
      <c r="Y25" s="25"/>
    </row>
    <row r="26" customFormat="1" spans="1:25">
      <c r="A26" t="s">
        <v>184</v>
      </c>
      <c r="B26" s="24"/>
      <c r="F26">
        <f>IF(期望!$F$23="不带",0,25)</f>
        <v>25</v>
      </c>
      <c r="R26" s="24">
        <f>IF(期望!$F$23="不带",0,25%)</f>
        <v>0.25</v>
      </c>
      <c r="S26" s="27"/>
      <c r="T26" s="27"/>
      <c r="W26" s="24"/>
      <c r="X26" s="26"/>
      <c r="Y26" s="25"/>
    </row>
    <row r="27" customFormat="1" spans="1:25">
      <c r="A27" t="s">
        <v>151</v>
      </c>
      <c r="B27" s="24"/>
      <c r="E27" s="27"/>
      <c r="F27">
        <f>IF(期望!$F$23="全蹭",25,0)</f>
        <v>25</v>
      </c>
      <c r="R27" s="24">
        <f>IF(期望!$F$23="全蹭",25%,0)</f>
        <v>0.25</v>
      </c>
      <c r="S27" s="27"/>
      <c r="T27" s="27"/>
      <c r="W27" s="24"/>
      <c r="X27" s="26"/>
      <c r="Y27" s="25"/>
    </row>
    <row r="28" customFormat="1" spans="1:25">
      <c r="A28" t="s">
        <v>243</v>
      </c>
      <c r="B28" s="24">
        <v>0.15</v>
      </c>
      <c r="E28" s="27"/>
      <c r="R28" s="24"/>
      <c r="S28" s="27"/>
      <c r="T28" s="27"/>
      <c r="W28" s="24"/>
      <c r="X28" s="26"/>
      <c r="Y28" s="25"/>
    </row>
    <row r="29" customFormat="1" spans="1:25">
      <c r="A29" t="s">
        <v>244</v>
      </c>
      <c r="B29" s="27">
        <v>0.2</v>
      </c>
      <c r="E29" s="27"/>
      <c r="R29" s="24"/>
      <c r="S29" s="27"/>
      <c r="T29" s="27"/>
      <c r="W29" s="24"/>
      <c r="X29" s="26"/>
      <c r="Y29" s="25"/>
    </row>
    <row r="30" customFormat="1" spans="1:25">
      <c r="A30" t="s">
        <v>245</v>
      </c>
      <c r="B30" s="24">
        <v>0.08</v>
      </c>
      <c r="Q30" s="27">
        <v>0.3</v>
      </c>
      <c r="R30" s="24"/>
      <c r="S30" s="27"/>
      <c r="T30" s="27"/>
      <c r="W30" s="24"/>
      <c r="X30" s="26"/>
      <c r="Y30" s="25"/>
    </row>
    <row r="31" spans="1:25">
      <c r="A31" t="s">
        <v>77</v>
      </c>
      <c r="R31" s="24">
        <f>IF(期望!$F$16="√",1%,0)</f>
        <v>0.01</v>
      </c>
      <c r="S31" s="27"/>
      <c r="T31" s="27"/>
      <c r="X31" s="26"/>
    </row>
    <row r="32" spans="1:25">
      <c r="A32" t="s">
        <v>83</v>
      </c>
      <c r="R32" s="24">
        <f>IF(期望!$F$16="√",2%,0)</f>
        <v>0.02</v>
      </c>
      <c r="S32" s="27"/>
      <c r="T32" s="27"/>
      <c r="X32" s="26"/>
    </row>
    <row r="33" spans="1:24">
      <c r="A33" t="s">
        <v>89</v>
      </c>
      <c r="R33" s="24">
        <f>IF(期望!$F$16="√",3%,0)</f>
        <v>0.03</v>
      </c>
      <c r="S33" s="27"/>
      <c r="T33" s="27"/>
      <c r="X33" s="26"/>
    </row>
    <row r="34" spans="1:24">
      <c r="A34" t="s">
        <v>94</v>
      </c>
      <c r="R34" s="24">
        <f>IF(期望!$F$16="√",4%,0)</f>
        <v>0.04</v>
      </c>
      <c r="S34" s="27"/>
      <c r="T34" s="27"/>
      <c r="X34" s="26"/>
    </row>
    <row r="35" spans="1:24">
      <c r="A35" t="s">
        <v>98</v>
      </c>
      <c r="R35" s="24">
        <f>IF(期望!$F$16="√",5%,0)</f>
        <v>0.05</v>
      </c>
      <c r="S35" s="27"/>
      <c r="T35" s="27"/>
      <c r="X35" s="26"/>
    </row>
    <row r="36" spans="1:24">
      <c r="A36" t="s">
        <v>152</v>
      </c>
      <c r="R36" s="24">
        <f>IF(期望!$F$16="√",6%,0)</f>
        <v>0.06</v>
      </c>
      <c r="S36" s="27"/>
      <c r="T36" s="27"/>
      <c r="X36" s="26"/>
    </row>
    <row r="37" spans="1:24">
      <c r="A37" t="s">
        <v>167</v>
      </c>
      <c r="R37" s="24">
        <f>IF(期望!$F$16="√",7%,0)</f>
        <v>0.07</v>
      </c>
      <c r="S37" s="27"/>
      <c r="T37" s="27"/>
      <c r="X37" s="26"/>
    </row>
    <row r="38" spans="1:24">
      <c r="A38" t="s">
        <v>170</v>
      </c>
      <c r="R38" s="24">
        <f>IF(期望!$F$16="√",8%,0)</f>
        <v>0.08</v>
      </c>
      <c r="S38" s="27"/>
      <c r="T38" s="27"/>
      <c r="X38" s="26"/>
    </row>
    <row r="39" spans="1:24">
      <c r="A39" t="s">
        <v>173</v>
      </c>
      <c r="R39" s="24">
        <f>IF(期望!$F$16="√",9%,0)</f>
        <v>0.09</v>
      </c>
      <c r="S39" s="27"/>
      <c r="T39" s="27"/>
      <c r="X39" s="26"/>
    </row>
    <row r="40" spans="1:24">
      <c r="A40" t="s">
        <v>176</v>
      </c>
      <c r="R40" s="24">
        <f>IF(期望!$F$16="√",10%,0)</f>
        <v>0.1</v>
      </c>
      <c r="S40" s="27"/>
      <c r="T40" s="27"/>
      <c r="X40" s="26"/>
    </row>
    <row r="41" spans="1:24">
      <c r="A41" t="s">
        <v>76</v>
      </c>
      <c r="B41" s="24">
        <f>1%*IF(期望!$E$22="易水歌",1,0)</f>
        <v>0.01</v>
      </c>
      <c r="F41">
        <f>2*IF(期望!$E$22="易水歌",1,0)</f>
        <v>2</v>
      </c>
      <c r="X41" s="26"/>
    </row>
    <row r="42" spans="1:24">
      <c r="A42" t="s">
        <v>82</v>
      </c>
      <c r="B42" s="24">
        <f>2%*IF(期望!$E$22="易水歌",1,0)</f>
        <v>0.02</v>
      </c>
      <c r="F42">
        <f>4*IF(期望!$E$22="易水歌",1,0)</f>
        <v>4</v>
      </c>
      <c r="X42" s="26"/>
    </row>
    <row r="43" spans="1:24">
      <c r="A43" t="s">
        <v>88</v>
      </c>
      <c r="B43" s="24">
        <f>3%*IF(期望!$E$22="易水歌",1,0)</f>
        <v>0.03</v>
      </c>
      <c r="F43">
        <f>6*IF(期望!$E$22="易水歌",1,0)</f>
        <v>6</v>
      </c>
      <c r="X43" s="26"/>
    </row>
    <row r="44" spans="1:24">
      <c r="A44" t="s">
        <v>93</v>
      </c>
      <c r="B44" s="24">
        <f>4%*IF(期望!$E$22="易水歌",1,0)</f>
        <v>0.04</v>
      </c>
      <c r="F44">
        <f>8*IF(期望!$E$22="易水歌",1,0)</f>
        <v>8</v>
      </c>
      <c r="X44" s="26"/>
    </row>
    <row r="45" spans="1:24">
      <c r="A45" t="s">
        <v>97</v>
      </c>
      <c r="B45" s="24">
        <f>5%*IF(期望!$E$22="易水歌",1,0)</f>
        <v>0.05</v>
      </c>
      <c r="F45">
        <f>10*IF(期望!$E$22="易水歌",1,0)</f>
        <v>10</v>
      </c>
      <c r="X45" s="26"/>
    </row>
    <row r="46" spans="1:24">
      <c r="A46" t="s">
        <v>78</v>
      </c>
      <c r="X46" s="26"/>
    </row>
    <row r="47" spans="1:24">
      <c r="X47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H30" sqref="H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246</v>
      </c>
      <c r="B1" s="3" t="s">
        <v>247</v>
      </c>
      <c r="C1" s="4" t="s">
        <v>248</v>
      </c>
      <c r="D1" s="5" t="s">
        <v>249</v>
      </c>
    </row>
    <row r="2" spans="1:4">
      <c r="A2" s="6">
        <v>0.1</v>
      </c>
      <c r="B2" s="7">
        <v>1</v>
      </c>
      <c r="C2" s="8" t="s">
        <v>250</v>
      </c>
      <c r="D2" s="4" t="s">
        <v>251</v>
      </c>
    </row>
    <row r="3" spans="1:4">
      <c r="A3" s="9"/>
      <c r="B3" s="10">
        <v>2</v>
      </c>
      <c r="C3" s="11" t="s">
        <v>252</v>
      </c>
    </row>
    <row r="4" spans="1:4">
      <c r="A4" s="9"/>
      <c r="B4" s="10">
        <v>3</v>
      </c>
      <c r="C4" s="11" t="s">
        <v>253</v>
      </c>
    </row>
    <row r="5" spans="1:4">
      <c r="A5" s="9"/>
      <c r="B5" s="12">
        <v>4</v>
      </c>
      <c r="C5" s="11" t="s">
        <v>254</v>
      </c>
    </row>
    <row r="6" spans="1:4">
      <c r="A6" s="9"/>
      <c r="B6" s="12">
        <v>5</v>
      </c>
      <c r="C6" s="11" t="s">
        <v>255</v>
      </c>
    </row>
    <row r="7" spans="1:4">
      <c r="A7" s="9"/>
      <c r="B7" s="12">
        <v>6</v>
      </c>
      <c r="C7" s="11" t="s">
        <v>256</v>
      </c>
    </row>
    <row r="8" ht="14.25" spans="1:4">
      <c r="A8" s="13"/>
      <c r="B8" s="14">
        <v>7</v>
      </c>
      <c r="C8" s="15" t="s">
        <v>257</v>
      </c>
    </row>
    <row r="9" ht="14.25" spans="1:4">
      <c r="A9" s="16">
        <v>0.2</v>
      </c>
      <c r="B9" s="17">
        <v>1</v>
      </c>
      <c r="C9" s="18" t="s">
        <v>258</v>
      </c>
    </row>
    <row r="10" ht="14.25" spans="1:4">
      <c r="A10" s="19">
        <v>0.3</v>
      </c>
      <c r="B10" s="17">
        <v>1</v>
      </c>
      <c r="C10" s="18" t="s">
        <v>258</v>
      </c>
    </row>
    <row r="11" ht="14.25" spans="1:4">
      <c r="A11" s="16">
        <v>0.4</v>
      </c>
      <c r="B11" s="17">
        <v>1</v>
      </c>
      <c r="C11" s="18" t="s">
        <v>259</v>
      </c>
    </row>
    <row r="12" ht="14.25" spans="1:4">
      <c r="A12" s="16">
        <v>0.5</v>
      </c>
      <c r="B12" s="17">
        <v>1</v>
      </c>
      <c r="C12" s="18" t="s">
        <v>260</v>
      </c>
    </row>
    <row r="13" ht="14.25" spans="1:4">
      <c r="A13" s="20">
        <v>1</v>
      </c>
      <c r="B13" s="21">
        <v>1</v>
      </c>
      <c r="C13" s="8" t="s">
        <v>261</v>
      </c>
    </row>
    <row r="14" spans="1:4">
      <c r="A14" s="20">
        <v>1.1</v>
      </c>
      <c r="B14" s="21">
        <v>1</v>
      </c>
      <c r="C14" s="8" t="s">
        <v>262</v>
      </c>
    </row>
    <row r="15" spans="1:4">
      <c r="A15" s="22"/>
      <c r="B15" s="12">
        <v>2</v>
      </c>
      <c r="C15" s="11" t="s">
        <v>263</v>
      </c>
    </row>
    <row r="16" spans="1:4">
      <c r="A16" s="22"/>
      <c r="B16" s="12">
        <v>3</v>
      </c>
      <c r="C16" s="11" t="s">
        <v>264</v>
      </c>
    </row>
    <row r="17" spans="1:3">
      <c r="A17" s="22"/>
      <c r="B17" s="12">
        <v>4</v>
      </c>
      <c r="C17" s="11" t="s">
        <v>265</v>
      </c>
    </row>
    <row r="18" spans="1:3">
      <c r="A18" s="22"/>
      <c r="B18" s="12">
        <v>5</v>
      </c>
      <c r="C18" s="11" t="s">
        <v>266</v>
      </c>
    </row>
    <row r="19" spans="1:3">
      <c r="A19" s="22"/>
      <c r="B19" s="12">
        <v>6</v>
      </c>
      <c r="C19" s="11" t="s">
        <v>267</v>
      </c>
    </row>
    <row r="20" spans="1:3">
      <c r="A20" s="22"/>
      <c r="B20" s="12">
        <v>7</v>
      </c>
      <c r="C20" s="11" t="s">
        <v>268</v>
      </c>
    </row>
    <row r="21" spans="1:3">
      <c r="A21" s="22"/>
      <c r="B21" s="12"/>
      <c r="C21" s="11" t="s">
        <v>269</v>
      </c>
    </row>
    <row r="22" spans="1:3">
      <c r="A22" s="22"/>
      <c r="B22" s="12"/>
      <c r="C22" s="11" t="s">
        <v>270</v>
      </c>
    </row>
    <row r="23" spans="1:3">
      <c r="A23" s="22"/>
      <c r="B23" s="12">
        <v>8</v>
      </c>
      <c r="C23" s="11" t="s">
        <v>271</v>
      </c>
    </row>
    <row r="24" ht="14.25" spans="1:3">
      <c r="A24" s="23"/>
      <c r="B24" s="14"/>
      <c r="C24" s="15" t="s">
        <v>272</v>
      </c>
    </row>
    <row r="25" ht="14.25" spans="1:3">
      <c r="A25" s="16">
        <v>1.2</v>
      </c>
      <c r="B25" s="17">
        <v>1</v>
      </c>
      <c r="C25" s="18" t="s">
        <v>258</v>
      </c>
    </row>
    <row r="26" ht="14.25" spans="1:3">
      <c r="A26" s="16">
        <v>1.3</v>
      </c>
      <c r="B26" s="17">
        <v>1</v>
      </c>
      <c r="C26" s="18" t="s">
        <v>273</v>
      </c>
    </row>
    <row r="27" ht="14.25" spans="1:3">
      <c r="A27" s="20">
        <v>1.4</v>
      </c>
      <c r="B27" s="21">
        <v>1</v>
      </c>
      <c r="C27" s="8" t="s">
        <v>258</v>
      </c>
    </row>
    <row r="28" spans="1:3">
      <c r="A28" s="20">
        <v>2</v>
      </c>
      <c r="B28" s="21">
        <v>1</v>
      </c>
      <c r="C28" s="8" t="s">
        <v>274</v>
      </c>
    </row>
    <row r="29" spans="1:3">
      <c r="A29" s="22"/>
      <c r="B29" s="12">
        <v>2</v>
      </c>
      <c r="C29" s="11" t="s">
        <v>275</v>
      </c>
    </row>
    <row r="30" spans="1:3">
      <c r="A30" s="22"/>
      <c r="B30" s="12">
        <v>3</v>
      </c>
      <c r="C30" s="11" t="s">
        <v>276</v>
      </c>
    </row>
    <row r="31" spans="1:3">
      <c r="A31" s="22"/>
      <c r="B31" s="12">
        <v>4</v>
      </c>
      <c r="C31" s="11" t="s">
        <v>277</v>
      </c>
    </row>
    <row r="32" spans="1:3">
      <c r="A32" s="22"/>
      <c r="B32" s="12">
        <v>5</v>
      </c>
      <c r="C32" s="11" t="s">
        <v>278</v>
      </c>
    </row>
    <row r="33" ht="14.25" spans="1:3">
      <c r="A33" s="23"/>
      <c r="B33" s="14">
        <v>6</v>
      </c>
      <c r="C33" s="15" t="s">
        <v>279</v>
      </c>
    </row>
  </sheetData>
  <mergeCells count="3">
    <mergeCell ref="A2:A8"/>
    <mergeCell ref="A14:A24"/>
    <mergeCell ref="A28:A3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2026-08-22T05:28:01Z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